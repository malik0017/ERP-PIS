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internationalspecializedfoo-my.sharepoint.com/personal/a_ahmed_isfc_com_sa/Documents/Desktop/Working-Recipe/Revised SMC Recipe-V2/"/>
    </mc:Choice>
  </mc:AlternateContent>
  <xr:revisionPtr revIDLastSave="4055" documentId="11_8452F7845EFDD9A46263482465C1B580672403F9" xr6:coauthVersionLast="47" xr6:coauthVersionMax="47" xr10:uidLastSave="{D1916262-F3CD-48C6-ACC3-C7035D7B19ED}"/>
  <bookViews>
    <workbookView xWindow="-96" yWindow="-96" windowWidth="23232" windowHeight="13872" activeTab="3" xr2:uid="{00000000-000D-0000-FFFF-FFFF00000000}"/>
  </bookViews>
  <sheets>
    <sheet name="Menu" sheetId="18" r:id="rId1"/>
    <sheet name="Sheet2" sheetId="6" state="hidden" r:id="rId2"/>
    <sheet name="Master – Recipes" sheetId="1" state="hidden" r:id="rId3"/>
    <sheet name="Recipe Ingredients" sheetId="2" r:id="rId4"/>
    <sheet name="Raw material list" sheetId="3" state="hidden" r:id="rId5"/>
    <sheet name="Per Patient Serving" sheetId="8" state="hidden" r:id="rId6"/>
    <sheet name="Saturday " sheetId="10" state="hidden" r:id="rId7"/>
    <sheet name="Sunday " sheetId="11" state="hidden" r:id="rId8"/>
    <sheet name="Monday" sheetId="12" state="hidden" r:id="rId9"/>
    <sheet name="Tuesday" sheetId="13" state="hidden" r:id="rId10"/>
    <sheet name="Wednesday" sheetId="14" state="hidden" r:id="rId11"/>
    <sheet name="Thursday" sheetId="15" state="hidden" r:id="rId12"/>
    <sheet name="Friday " sheetId="16" state="hidden" r:id="rId13"/>
    <sheet name="Packing Cost" sheetId="7" state="hidden" r:id="rId14"/>
    <sheet name="Avg Cooking W8t" sheetId="17" state="hidden" r:id="rId15"/>
  </sheets>
  <externalReferences>
    <externalReference r:id="rId16"/>
    <externalReference r:id="rId17"/>
    <externalReference r:id="rId18"/>
  </externalReferences>
  <definedNames>
    <definedName name="_xlnm._FilterDatabase" localSheetId="2" hidden="1">'Master – Recipes'!$A$3:$P$172</definedName>
    <definedName name="_xlnm._FilterDatabase" localSheetId="0" hidden="1">Menu!$A$4:$F$346</definedName>
    <definedName name="_xlnm._FilterDatabase" localSheetId="4" hidden="1">'Raw material list'!$A$2:$H$715</definedName>
    <definedName name="_xlnm._FilterDatabase" localSheetId="3" hidden="1">'Recipe Ingredients'!$A$4:$W$2237</definedName>
    <definedName name="_xlnm.Print_Area" localSheetId="14">'Avg Cooking W8t'!$A$1:$E$39</definedName>
    <definedName name="_xlnm.Print_Area" localSheetId="12">'Friday '!$A$1:$G$62</definedName>
    <definedName name="_xlnm.Print_Area" localSheetId="0">Menu!$A$1:$E$347</definedName>
    <definedName name="_xlnm.Print_Area" localSheetId="8">Monday!$A$1:$G$64</definedName>
    <definedName name="_xlnm.Print_Area" localSheetId="6">'Saturday '!$A$1:$G$65</definedName>
    <definedName name="_xlnm.Print_Area" localSheetId="7">'Sunday '!$A$1:$G$66</definedName>
    <definedName name="_xlnm.Print_Area" localSheetId="11">Thursday!$A$1:$G$65</definedName>
    <definedName name="_xlnm.Print_Area" localSheetId="9">Tuesday!$A$1:$G$65</definedName>
    <definedName name="_xlnm.Print_Area" localSheetId="10">Wednesday!$A$1:$G$66</definedName>
  </definedNames>
  <calcPr calcId="191029" forceFullCalc="1"/>
  <pivotCaches>
    <pivotCache cacheId="1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2" l="1"/>
  <c r="T5" i="2"/>
  <c r="P2237" i="2"/>
  <c r="U2237" i="2" s="1"/>
  <c r="P2236" i="2"/>
  <c r="U2236" i="2" s="1"/>
  <c r="P2235" i="2"/>
  <c r="U2235" i="2" s="1"/>
  <c r="P2234" i="2"/>
  <c r="U2234" i="2" s="1"/>
  <c r="P2233" i="2"/>
  <c r="U2233" i="2" s="1"/>
  <c r="P2232" i="2"/>
  <c r="U2232" i="2" s="1"/>
  <c r="P2231" i="2"/>
  <c r="U2231" i="2" s="1"/>
  <c r="P2230" i="2"/>
  <c r="U2230" i="2" s="1"/>
  <c r="P2229" i="2"/>
  <c r="U2229" i="2" s="1"/>
  <c r="P2228" i="2"/>
  <c r="U2228" i="2" s="1"/>
  <c r="P2227" i="2"/>
  <c r="U2227" i="2" s="1"/>
  <c r="P2226" i="2"/>
  <c r="U2226" i="2" s="1"/>
  <c r="P2225" i="2"/>
  <c r="U2225" i="2" s="1"/>
  <c r="P2224" i="2"/>
  <c r="U2224" i="2" s="1"/>
  <c r="P2223" i="2"/>
  <c r="U2223" i="2" s="1"/>
  <c r="P2222" i="2"/>
  <c r="U2222" i="2" s="1"/>
  <c r="P2221" i="2"/>
  <c r="U2221" i="2" s="1"/>
  <c r="P2220" i="2"/>
  <c r="U2220" i="2" s="1"/>
  <c r="P2219" i="2"/>
  <c r="U2219" i="2" s="1"/>
  <c r="P2218" i="2"/>
  <c r="U2218" i="2" s="1"/>
  <c r="P2217" i="2"/>
  <c r="U2217" i="2" s="1"/>
  <c r="P2216" i="2"/>
  <c r="U2216" i="2" s="1"/>
  <c r="P2215" i="2"/>
  <c r="U2215" i="2" s="1"/>
  <c r="P2214" i="2"/>
  <c r="U2214" i="2" s="1"/>
  <c r="P2213" i="2"/>
  <c r="U2213" i="2" s="1"/>
  <c r="P2212" i="2"/>
  <c r="U2212" i="2" s="1"/>
  <c r="P2211" i="2"/>
  <c r="U2211" i="2" s="1"/>
  <c r="P2210" i="2"/>
  <c r="U2210" i="2" s="1"/>
  <c r="P2209" i="2"/>
  <c r="U2209" i="2" s="1"/>
  <c r="P2208" i="2"/>
  <c r="U2208" i="2" s="1"/>
  <c r="P2207" i="2"/>
  <c r="U2207" i="2" s="1"/>
  <c r="P2206" i="2"/>
  <c r="U2206" i="2" s="1"/>
  <c r="P2205" i="2"/>
  <c r="U2205" i="2" s="1"/>
  <c r="P2204" i="2"/>
  <c r="U2204" i="2" s="1"/>
  <c r="P2203" i="2"/>
  <c r="U2203" i="2" s="1"/>
  <c r="P2202" i="2"/>
  <c r="U2202" i="2" s="1"/>
  <c r="P2201" i="2"/>
  <c r="U2201" i="2" s="1"/>
  <c r="P2200" i="2"/>
  <c r="U2200" i="2" s="1"/>
  <c r="P2199" i="2"/>
  <c r="U2199" i="2" s="1"/>
  <c r="P2198" i="2"/>
  <c r="U2198" i="2" s="1"/>
  <c r="P2197" i="2"/>
  <c r="U2197" i="2" s="1"/>
  <c r="P2196" i="2"/>
  <c r="U2196" i="2" s="1"/>
  <c r="P2195" i="2"/>
  <c r="U2195" i="2" s="1"/>
  <c r="P2194" i="2"/>
  <c r="U2194" i="2" s="1"/>
  <c r="P2193" i="2"/>
  <c r="U2193" i="2" s="1"/>
  <c r="P2192" i="2"/>
  <c r="U2192" i="2" s="1"/>
  <c r="P2191" i="2"/>
  <c r="U2191" i="2" s="1"/>
  <c r="P2190" i="2"/>
  <c r="U2190" i="2" s="1"/>
  <c r="P2189" i="2"/>
  <c r="U2189" i="2" s="1"/>
  <c r="P2188" i="2"/>
  <c r="U2188" i="2" s="1"/>
  <c r="P2187" i="2"/>
  <c r="U2187" i="2" s="1"/>
  <c r="P2186" i="2"/>
  <c r="U2186" i="2" s="1"/>
  <c r="P2185" i="2"/>
  <c r="U2185" i="2" s="1"/>
  <c r="P2184" i="2"/>
  <c r="U2184" i="2" s="1"/>
  <c r="P2183" i="2"/>
  <c r="U2183" i="2" s="1"/>
  <c r="P2182" i="2"/>
  <c r="U2182" i="2" s="1"/>
  <c r="P2181" i="2"/>
  <c r="U2181" i="2" s="1"/>
  <c r="P2180" i="2"/>
  <c r="U2180" i="2" s="1"/>
  <c r="P2179" i="2"/>
  <c r="U2179" i="2" s="1"/>
  <c r="P2178" i="2"/>
  <c r="U2178" i="2" s="1"/>
  <c r="P2177" i="2"/>
  <c r="U2177" i="2" s="1"/>
  <c r="P2176" i="2"/>
  <c r="U2176" i="2" s="1"/>
  <c r="P2175" i="2"/>
  <c r="U2175" i="2" s="1"/>
  <c r="P2174" i="2"/>
  <c r="U2174" i="2" s="1"/>
  <c r="P2173" i="2"/>
  <c r="U2173" i="2" s="1"/>
  <c r="P2172" i="2"/>
  <c r="U2172" i="2" s="1"/>
  <c r="P2171" i="2"/>
  <c r="U2171" i="2" s="1"/>
  <c r="P2170" i="2"/>
  <c r="U2170" i="2" s="1"/>
  <c r="P2169" i="2"/>
  <c r="U2169" i="2" s="1"/>
  <c r="P2168" i="2"/>
  <c r="U2168" i="2" s="1"/>
  <c r="P2167" i="2"/>
  <c r="U2167" i="2" s="1"/>
  <c r="P2166" i="2"/>
  <c r="U2166" i="2" s="1"/>
  <c r="P2165" i="2"/>
  <c r="U2165" i="2" s="1"/>
  <c r="P2164" i="2"/>
  <c r="U2164" i="2" s="1"/>
  <c r="P2163" i="2"/>
  <c r="U2163" i="2" s="1"/>
  <c r="P2162" i="2"/>
  <c r="U2162" i="2" s="1"/>
  <c r="P2161" i="2"/>
  <c r="U2161" i="2" s="1"/>
  <c r="P2160" i="2"/>
  <c r="U2160" i="2" s="1"/>
  <c r="P2159" i="2"/>
  <c r="U2159" i="2" s="1"/>
  <c r="P2158" i="2"/>
  <c r="U2158" i="2" s="1"/>
  <c r="P2157" i="2"/>
  <c r="U2157" i="2" s="1"/>
  <c r="P2156" i="2"/>
  <c r="U2156" i="2" s="1"/>
  <c r="P2155" i="2"/>
  <c r="U2155" i="2" s="1"/>
  <c r="P2154" i="2"/>
  <c r="U2154" i="2" s="1"/>
  <c r="P2153" i="2"/>
  <c r="U2153" i="2" s="1"/>
  <c r="P2152" i="2"/>
  <c r="U2152" i="2" s="1"/>
  <c r="P2151" i="2"/>
  <c r="U2151" i="2" s="1"/>
  <c r="P2150" i="2"/>
  <c r="U2150" i="2" s="1"/>
  <c r="P2149" i="2"/>
  <c r="U2149" i="2" s="1"/>
  <c r="P2148" i="2"/>
  <c r="U2148" i="2" s="1"/>
  <c r="P2147" i="2"/>
  <c r="U2147" i="2" s="1"/>
  <c r="P2146" i="2"/>
  <c r="U2146" i="2" s="1"/>
  <c r="P2145" i="2"/>
  <c r="U2145" i="2" s="1"/>
  <c r="P2144" i="2"/>
  <c r="U2144" i="2" s="1"/>
  <c r="P2143" i="2"/>
  <c r="U2143" i="2" s="1"/>
  <c r="P2142" i="2"/>
  <c r="U2142" i="2" s="1"/>
  <c r="P2141" i="2"/>
  <c r="U2141" i="2" s="1"/>
  <c r="P2140" i="2"/>
  <c r="U2140" i="2" s="1"/>
  <c r="P2139" i="2"/>
  <c r="U2139" i="2" s="1"/>
  <c r="P2138" i="2"/>
  <c r="U2138" i="2" s="1"/>
  <c r="P2137" i="2"/>
  <c r="U2137" i="2" s="1"/>
  <c r="P2136" i="2"/>
  <c r="U2136" i="2" s="1"/>
  <c r="P2135" i="2"/>
  <c r="U2135" i="2" s="1"/>
  <c r="P2134" i="2"/>
  <c r="U2134" i="2" s="1"/>
  <c r="P2133" i="2"/>
  <c r="U2133" i="2" s="1"/>
  <c r="P2132" i="2"/>
  <c r="U2132" i="2" s="1"/>
  <c r="P2131" i="2"/>
  <c r="U2131" i="2" s="1"/>
  <c r="P2130" i="2"/>
  <c r="U2130" i="2" s="1"/>
  <c r="P2129" i="2"/>
  <c r="U2129" i="2" s="1"/>
  <c r="P2128" i="2"/>
  <c r="U2128" i="2" s="1"/>
  <c r="P2127" i="2"/>
  <c r="U2127" i="2" s="1"/>
  <c r="P2126" i="2"/>
  <c r="U2126" i="2" s="1"/>
  <c r="P2125" i="2"/>
  <c r="U2125" i="2" s="1"/>
  <c r="P2124" i="2"/>
  <c r="U2124" i="2" s="1"/>
  <c r="P2123" i="2"/>
  <c r="U2123" i="2" s="1"/>
  <c r="P2122" i="2"/>
  <c r="U2122" i="2" s="1"/>
  <c r="P2121" i="2"/>
  <c r="U2121" i="2" s="1"/>
  <c r="P2120" i="2"/>
  <c r="U2120" i="2" s="1"/>
  <c r="P2119" i="2"/>
  <c r="U2119" i="2" s="1"/>
  <c r="P2118" i="2"/>
  <c r="U2118" i="2" s="1"/>
  <c r="P2117" i="2"/>
  <c r="U2117" i="2" s="1"/>
  <c r="P2116" i="2"/>
  <c r="U2116" i="2" s="1"/>
  <c r="P2115" i="2"/>
  <c r="U2115" i="2" s="1"/>
  <c r="P2114" i="2"/>
  <c r="U2114" i="2" s="1"/>
  <c r="P2113" i="2"/>
  <c r="U2113" i="2" s="1"/>
  <c r="P2112" i="2"/>
  <c r="U2112" i="2" s="1"/>
  <c r="P2111" i="2"/>
  <c r="U2111" i="2" s="1"/>
  <c r="P2110" i="2"/>
  <c r="U2110" i="2" s="1"/>
  <c r="P2109" i="2"/>
  <c r="U2109" i="2" s="1"/>
  <c r="P2108" i="2"/>
  <c r="U2108" i="2" s="1"/>
  <c r="P2107" i="2"/>
  <c r="U2107" i="2" s="1"/>
  <c r="P2106" i="2"/>
  <c r="U2106" i="2" s="1"/>
  <c r="P2105" i="2"/>
  <c r="U2105" i="2" s="1"/>
  <c r="P2104" i="2"/>
  <c r="U2104" i="2" s="1"/>
  <c r="P2103" i="2"/>
  <c r="U2103" i="2" s="1"/>
  <c r="P2102" i="2"/>
  <c r="U2102" i="2" s="1"/>
  <c r="P2101" i="2"/>
  <c r="U2101" i="2" s="1"/>
  <c r="P2100" i="2"/>
  <c r="U2100" i="2" s="1"/>
  <c r="P2099" i="2"/>
  <c r="U2099" i="2" s="1"/>
  <c r="P2098" i="2"/>
  <c r="U2098" i="2" s="1"/>
  <c r="P2097" i="2"/>
  <c r="U2097" i="2" s="1"/>
  <c r="P2096" i="2"/>
  <c r="U2096" i="2" s="1"/>
  <c r="P2095" i="2"/>
  <c r="U2095" i="2" s="1"/>
  <c r="P2094" i="2"/>
  <c r="U2094" i="2" s="1"/>
  <c r="P2093" i="2"/>
  <c r="U2093" i="2" s="1"/>
  <c r="P2092" i="2"/>
  <c r="U2092" i="2" s="1"/>
  <c r="P2091" i="2"/>
  <c r="U2091" i="2" s="1"/>
  <c r="P2090" i="2"/>
  <c r="U2090" i="2" s="1"/>
  <c r="P2089" i="2"/>
  <c r="U2089" i="2" s="1"/>
  <c r="P2088" i="2"/>
  <c r="U2088" i="2" s="1"/>
  <c r="P2087" i="2"/>
  <c r="U2087" i="2" s="1"/>
  <c r="P2086" i="2"/>
  <c r="U2086" i="2" s="1"/>
  <c r="P2085" i="2"/>
  <c r="U2085" i="2" s="1"/>
  <c r="P2084" i="2"/>
  <c r="U2084" i="2" s="1"/>
  <c r="P2083" i="2"/>
  <c r="U2083" i="2" s="1"/>
  <c r="P2082" i="2"/>
  <c r="U2082" i="2" s="1"/>
  <c r="P2081" i="2"/>
  <c r="U2081" i="2" s="1"/>
  <c r="P2080" i="2"/>
  <c r="U2080" i="2" s="1"/>
  <c r="P2079" i="2"/>
  <c r="U2079" i="2" s="1"/>
  <c r="P2078" i="2"/>
  <c r="U2078" i="2" s="1"/>
  <c r="P2077" i="2"/>
  <c r="U2077" i="2" s="1"/>
  <c r="P2076" i="2"/>
  <c r="U2076" i="2" s="1"/>
  <c r="P2075" i="2"/>
  <c r="U2075" i="2" s="1"/>
  <c r="P2074" i="2"/>
  <c r="U2074" i="2" s="1"/>
  <c r="P2073" i="2"/>
  <c r="U2073" i="2" s="1"/>
  <c r="P2072" i="2"/>
  <c r="U2072" i="2" s="1"/>
  <c r="P2071" i="2"/>
  <c r="U2071" i="2" s="1"/>
  <c r="P2070" i="2"/>
  <c r="U2070" i="2" s="1"/>
  <c r="P2069" i="2"/>
  <c r="U2069" i="2" s="1"/>
  <c r="P2068" i="2"/>
  <c r="U2068" i="2" s="1"/>
  <c r="P2067" i="2"/>
  <c r="U2067" i="2" s="1"/>
  <c r="P2066" i="2"/>
  <c r="U2066" i="2" s="1"/>
  <c r="P2065" i="2"/>
  <c r="U2065" i="2" s="1"/>
  <c r="P2064" i="2"/>
  <c r="U2064" i="2" s="1"/>
  <c r="P2063" i="2"/>
  <c r="U2063" i="2" s="1"/>
  <c r="P2062" i="2"/>
  <c r="U2062" i="2" s="1"/>
  <c r="P2061" i="2"/>
  <c r="U2061" i="2" s="1"/>
  <c r="P2060" i="2"/>
  <c r="U2060" i="2" s="1"/>
  <c r="P2059" i="2"/>
  <c r="U2059" i="2" s="1"/>
  <c r="P2058" i="2"/>
  <c r="U2058" i="2" s="1"/>
  <c r="P2057" i="2"/>
  <c r="U2057" i="2" s="1"/>
  <c r="P2056" i="2"/>
  <c r="U2056" i="2" s="1"/>
  <c r="P2055" i="2"/>
  <c r="U2055" i="2" s="1"/>
  <c r="P2054" i="2"/>
  <c r="U2054" i="2" s="1"/>
  <c r="P2053" i="2"/>
  <c r="U2053" i="2" s="1"/>
  <c r="P2052" i="2"/>
  <c r="U2052" i="2" s="1"/>
  <c r="P2051" i="2"/>
  <c r="U2051" i="2" s="1"/>
  <c r="P2050" i="2"/>
  <c r="U2050" i="2" s="1"/>
  <c r="P2049" i="2"/>
  <c r="U2049" i="2" s="1"/>
  <c r="P2048" i="2"/>
  <c r="U2048" i="2" s="1"/>
  <c r="P2047" i="2"/>
  <c r="U2047" i="2" s="1"/>
  <c r="P2046" i="2"/>
  <c r="U2046" i="2" s="1"/>
  <c r="P2045" i="2"/>
  <c r="U2045" i="2" s="1"/>
  <c r="P2044" i="2"/>
  <c r="U2044" i="2" s="1"/>
  <c r="P2043" i="2"/>
  <c r="U2043" i="2" s="1"/>
  <c r="P2042" i="2"/>
  <c r="U2042" i="2" s="1"/>
  <c r="P2041" i="2"/>
  <c r="U2041" i="2" s="1"/>
  <c r="P2040" i="2"/>
  <c r="U2040" i="2" s="1"/>
  <c r="P2039" i="2"/>
  <c r="U2039" i="2" s="1"/>
  <c r="P2038" i="2"/>
  <c r="U2038" i="2" s="1"/>
  <c r="P2037" i="2"/>
  <c r="U2037" i="2" s="1"/>
  <c r="P2036" i="2"/>
  <c r="U2036" i="2" s="1"/>
  <c r="P2035" i="2"/>
  <c r="U2035" i="2" s="1"/>
  <c r="P2034" i="2"/>
  <c r="U2034" i="2" s="1"/>
  <c r="P2033" i="2"/>
  <c r="U2033" i="2" s="1"/>
  <c r="P2032" i="2"/>
  <c r="U2032" i="2" s="1"/>
  <c r="P2031" i="2"/>
  <c r="U2031" i="2" s="1"/>
  <c r="P2030" i="2"/>
  <c r="U2030" i="2" s="1"/>
  <c r="P2029" i="2"/>
  <c r="U2029" i="2" s="1"/>
  <c r="P2028" i="2"/>
  <c r="U2028" i="2" s="1"/>
  <c r="P2027" i="2"/>
  <c r="U2027" i="2" s="1"/>
  <c r="P2026" i="2"/>
  <c r="U2026" i="2" s="1"/>
  <c r="P2025" i="2"/>
  <c r="U2025" i="2" s="1"/>
  <c r="P2024" i="2"/>
  <c r="U2024" i="2" s="1"/>
  <c r="P2023" i="2"/>
  <c r="U2023" i="2" s="1"/>
  <c r="P2022" i="2"/>
  <c r="U2022" i="2" s="1"/>
  <c r="P2021" i="2"/>
  <c r="U2021" i="2" s="1"/>
  <c r="P2020" i="2"/>
  <c r="U2020" i="2" s="1"/>
  <c r="P2019" i="2"/>
  <c r="U2019" i="2" s="1"/>
  <c r="P2018" i="2"/>
  <c r="U2018" i="2" s="1"/>
  <c r="P2017" i="2"/>
  <c r="U2017" i="2" s="1"/>
  <c r="P2016" i="2"/>
  <c r="U2016" i="2" s="1"/>
  <c r="P2015" i="2"/>
  <c r="U2015" i="2" s="1"/>
  <c r="P2014" i="2"/>
  <c r="U2014" i="2" s="1"/>
  <c r="P2013" i="2"/>
  <c r="U2013" i="2" s="1"/>
  <c r="P2012" i="2"/>
  <c r="U2012" i="2" s="1"/>
  <c r="P2011" i="2"/>
  <c r="U2011" i="2" s="1"/>
  <c r="P2010" i="2"/>
  <c r="U2010" i="2" s="1"/>
  <c r="P2009" i="2"/>
  <c r="U2009" i="2" s="1"/>
  <c r="P2008" i="2"/>
  <c r="U2008" i="2" s="1"/>
  <c r="P2007" i="2"/>
  <c r="U2007" i="2" s="1"/>
  <c r="P2006" i="2"/>
  <c r="U2006" i="2" s="1"/>
  <c r="P2005" i="2"/>
  <c r="U2005" i="2" s="1"/>
  <c r="P2004" i="2"/>
  <c r="U2004" i="2" s="1"/>
  <c r="P2003" i="2"/>
  <c r="U2003" i="2" s="1"/>
  <c r="P2002" i="2"/>
  <c r="U2002" i="2" s="1"/>
  <c r="P2001" i="2"/>
  <c r="U2001" i="2" s="1"/>
  <c r="P2000" i="2"/>
  <c r="U2000" i="2" s="1"/>
  <c r="P1999" i="2"/>
  <c r="U1999" i="2" s="1"/>
  <c r="P1998" i="2"/>
  <c r="U1998" i="2" s="1"/>
  <c r="P1997" i="2"/>
  <c r="U1997" i="2" s="1"/>
  <c r="P1996" i="2"/>
  <c r="U1996" i="2" s="1"/>
  <c r="P1995" i="2"/>
  <c r="U1995" i="2" s="1"/>
  <c r="P1994" i="2"/>
  <c r="U1994" i="2" s="1"/>
  <c r="P1993" i="2"/>
  <c r="U1993" i="2" s="1"/>
  <c r="P1992" i="2"/>
  <c r="U1992" i="2" s="1"/>
  <c r="P1991" i="2"/>
  <c r="U1991" i="2" s="1"/>
  <c r="P1990" i="2"/>
  <c r="U1990" i="2" s="1"/>
  <c r="P1989" i="2"/>
  <c r="U1989" i="2" s="1"/>
  <c r="P1988" i="2"/>
  <c r="U1988" i="2" s="1"/>
  <c r="P1987" i="2"/>
  <c r="U1987" i="2" s="1"/>
  <c r="P1986" i="2"/>
  <c r="U1986" i="2" s="1"/>
  <c r="P1985" i="2"/>
  <c r="U1985" i="2" s="1"/>
  <c r="P1984" i="2"/>
  <c r="U1984" i="2" s="1"/>
  <c r="P1983" i="2"/>
  <c r="U1983" i="2" s="1"/>
  <c r="P1982" i="2"/>
  <c r="U1982" i="2" s="1"/>
  <c r="P1981" i="2"/>
  <c r="U1981" i="2" s="1"/>
  <c r="P1980" i="2"/>
  <c r="U1980" i="2" s="1"/>
  <c r="P1979" i="2"/>
  <c r="U1979" i="2" s="1"/>
  <c r="P1978" i="2"/>
  <c r="U1978" i="2" s="1"/>
  <c r="P1977" i="2"/>
  <c r="U1977" i="2" s="1"/>
  <c r="P1976" i="2"/>
  <c r="U1976" i="2" s="1"/>
  <c r="P1975" i="2"/>
  <c r="U1975" i="2" s="1"/>
  <c r="P1974" i="2"/>
  <c r="U1974" i="2" s="1"/>
  <c r="P1973" i="2"/>
  <c r="U1973" i="2" s="1"/>
  <c r="P1972" i="2"/>
  <c r="U1972" i="2" s="1"/>
  <c r="P1971" i="2"/>
  <c r="U1971" i="2" s="1"/>
  <c r="P1970" i="2"/>
  <c r="U1970" i="2" s="1"/>
  <c r="P1969" i="2"/>
  <c r="U1969" i="2" s="1"/>
  <c r="P1968" i="2"/>
  <c r="U1968" i="2" s="1"/>
  <c r="P1967" i="2"/>
  <c r="U1967" i="2" s="1"/>
  <c r="P1966" i="2"/>
  <c r="U1966" i="2" s="1"/>
  <c r="P1965" i="2"/>
  <c r="U1965" i="2" s="1"/>
  <c r="P1964" i="2"/>
  <c r="U1964" i="2" s="1"/>
  <c r="P1963" i="2"/>
  <c r="U1963" i="2" s="1"/>
  <c r="P1962" i="2"/>
  <c r="U1962" i="2" s="1"/>
  <c r="P1961" i="2"/>
  <c r="U1961" i="2" s="1"/>
  <c r="P1960" i="2"/>
  <c r="U1960" i="2" s="1"/>
  <c r="P1959" i="2"/>
  <c r="U1959" i="2" s="1"/>
  <c r="P1958" i="2"/>
  <c r="U1958" i="2" s="1"/>
  <c r="P1957" i="2"/>
  <c r="U1957" i="2" s="1"/>
  <c r="P1956" i="2"/>
  <c r="U1956" i="2" s="1"/>
  <c r="P1955" i="2"/>
  <c r="U1955" i="2" s="1"/>
  <c r="P1954" i="2"/>
  <c r="U1954" i="2" s="1"/>
  <c r="P1953" i="2"/>
  <c r="U1953" i="2" s="1"/>
  <c r="P1952" i="2"/>
  <c r="U1952" i="2" s="1"/>
  <c r="P1951" i="2"/>
  <c r="U1951" i="2" s="1"/>
  <c r="P1950" i="2"/>
  <c r="U1950" i="2" s="1"/>
  <c r="P1949" i="2"/>
  <c r="U1949" i="2" s="1"/>
  <c r="P1948" i="2"/>
  <c r="U1948" i="2" s="1"/>
  <c r="P1947" i="2"/>
  <c r="U1947" i="2" s="1"/>
  <c r="P1946" i="2"/>
  <c r="U1946" i="2" s="1"/>
  <c r="P1945" i="2"/>
  <c r="U1945" i="2" s="1"/>
  <c r="P1944" i="2"/>
  <c r="U1944" i="2" s="1"/>
  <c r="P1943" i="2"/>
  <c r="U1943" i="2" s="1"/>
  <c r="P1942" i="2"/>
  <c r="U1942" i="2" s="1"/>
  <c r="P1941" i="2"/>
  <c r="U1941" i="2" s="1"/>
  <c r="P1940" i="2"/>
  <c r="U1940" i="2" s="1"/>
  <c r="P1939" i="2"/>
  <c r="U1939" i="2" s="1"/>
  <c r="P1938" i="2"/>
  <c r="U1938" i="2" s="1"/>
  <c r="P1937" i="2"/>
  <c r="U1937" i="2" s="1"/>
  <c r="P1936" i="2"/>
  <c r="U1936" i="2" s="1"/>
  <c r="P1935" i="2"/>
  <c r="U1935" i="2" s="1"/>
  <c r="P1934" i="2"/>
  <c r="U1934" i="2" s="1"/>
  <c r="P1933" i="2"/>
  <c r="U1933" i="2" s="1"/>
  <c r="P1932" i="2"/>
  <c r="U1932" i="2" s="1"/>
  <c r="P1931" i="2"/>
  <c r="U1931" i="2" s="1"/>
  <c r="P1930" i="2"/>
  <c r="U1930" i="2" s="1"/>
  <c r="P1929" i="2"/>
  <c r="U1929" i="2" s="1"/>
  <c r="P1928" i="2"/>
  <c r="U1928" i="2" s="1"/>
  <c r="P1927" i="2"/>
  <c r="U1927" i="2" s="1"/>
  <c r="P1926" i="2"/>
  <c r="U1926" i="2" s="1"/>
  <c r="P1925" i="2"/>
  <c r="U1925" i="2" s="1"/>
  <c r="P1924" i="2"/>
  <c r="U1924" i="2" s="1"/>
  <c r="P1923" i="2"/>
  <c r="U1923" i="2" s="1"/>
  <c r="P1922" i="2"/>
  <c r="U1922" i="2" s="1"/>
  <c r="P1921" i="2"/>
  <c r="U1921" i="2" s="1"/>
  <c r="P1920" i="2"/>
  <c r="U1920" i="2" s="1"/>
  <c r="P1919" i="2"/>
  <c r="U1919" i="2" s="1"/>
  <c r="P1918" i="2"/>
  <c r="U1918" i="2" s="1"/>
  <c r="P1917" i="2"/>
  <c r="U1917" i="2" s="1"/>
  <c r="P1916" i="2"/>
  <c r="U1916" i="2" s="1"/>
  <c r="P1915" i="2"/>
  <c r="U1915" i="2" s="1"/>
  <c r="P1914" i="2"/>
  <c r="U1914" i="2" s="1"/>
  <c r="P1913" i="2"/>
  <c r="U1913" i="2" s="1"/>
  <c r="P1912" i="2"/>
  <c r="U1912" i="2" s="1"/>
  <c r="P1911" i="2"/>
  <c r="U1911" i="2" s="1"/>
  <c r="P1910" i="2"/>
  <c r="U1910" i="2" s="1"/>
  <c r="P1909" i="2"/>
  <c r="U1909" i="2" s="1"/>
  <c r="P1908" i="2"/>
  <c r="U1908" i="2" s="1"/>
  <c r="P1907" i="2"/>
  <c r="U1907" i="2" s="1"/>
  <c r="P1906" i="2"/>
  <c r="U1906" i="2" s="1"/>
  <c r="P1905" i="2"/>
  <c r="U1905" i="2" s="1"/>
  <c r="P1904" i="2"/>
  <c r="U1904" i="2" s="1"/>
  <c r="P1903" i="2"/>
  <c r="U1903" i="2" s="1"/>
  <c r="P1902" i="2"/>
  <c r="U1902" i="2" s="1"/>
  <c r="P1901" i="2"/>
  <c r="U1901" i="2" s="1"/>
  <c r="P1900" i="2"/>
  <c r="U1900" i="2" s="1"/>
  <c r="P1899" i="2"/>
  <c r="U1899" i="2" s="1"/>
  <c r="P1898" i="2"/>
  <c r="U1898" i="2" s="1"/>
  <c r="P1897" i="2"/>
  <c r="U1897" i="2" s="1"/>
  <c r="P1896" i="2"/>
  <c r="U1896" i="2" s="1"/>
  <c r="P1895" i="2"/>
  <c r="U1895" i="2" s="1"/>
  <c r="P1894" i="2"/>
  <c r="U1894" i="2" s="1"/>
  <c r="P1893" i="2"/>
  <c r="U1893" i="2" s="1"/>
  <c r="P1892" i="2"/>
  <c r="U1892" i="2" s="1"/>
  <c r="P1891" i="2"/>
  <c r="U1891" i="2" s="1"/>
  <c r="P1890" i="2"/>
  <c r="U1890" i="2" s="1"/>
  <c r="P1889" i="2"/>
  <c r="U1889" i="2" s="1"/>
  <c r="P1888" i="2"/>
  <c r="U1888" i="2" s="1"/>
  <c r="P1887" i="2"/>
  <c r="U1887" i="2" s="1"/>
  <c r="P1886" i="2"/>
  <c r="U1886" i="2" s="1"/>
  <c r="P1885" i="2"/>
  <c r="U1885" i="2" s="1"/>
  <c r="P1884" i="2"/>
  <c r="U1884" i="2" s="1"/>
  <c r="P1883" i="2"/>
  <c r="U1883" i="2" s="1"/>
  <c r="P1882" i="2"/>
  <c r="U1882" i="2" s="1"/>
  <c r="P1881" i="2"/>
  <c r="U1881" i="2" s="1"/>
  <c r="P1880" i="2"/>
  <c r="U1880" i="2" s="1"/>
  <c r="P1879" i="2"/>
  <c r="U1879" i="2" s="1"/>
  <c r="P1878" i="2"/>
  <c r="U1878" i="2" s="1"/>
  <c r="P1877" i="2"/>
  <c r="U1877" i="2" s="1"/>
  <c r="P1876" i="2"/>
  <c r="U1876" i="2" s="1"/>
  <c r="P1875" i="2"/>
  <c r="U1875" i="2" s="1"/>
  <c r="P1874" i="2"/>
  <c r="U1874" i="2" s="1"/>
  <c r="P1873" i="2"/>
  <c r="U1873" i="2" s="1"/>
  <c r="P1872" i="2"/>
  <c r="U1872" i="2" s="1"/>
  <c r="P1871" i="2"/>
  <c r="U1871" i="2" s="1"/>
  <c r="P1870" i="2"/>
  <c r="U1870" i="2" s="1"/>
  <c r="P1869" i="2"/>
  <c r="U1869" i="2" s="1"/>
  <c r="P1868" i="2"/>
  <c r="U1868" i="2" s="1"/>
  <c r="P1867" i="2"/>
  <c r="U1867" i="2" s="1"/>
  <c r="P1866" i="2"/>
  <c r="U1866" i="2" s="1"/>
  <c r="P1865" i="2"/>
  <c r="U1865" i="2" s="1"/>
  <c r="P1864" i="2"/>
  <c r="U1864" i="2" s="1"/>
  <c r="P1863" i="2"/>
  <c r="U1863" i="2" s="1"/>
  <c r="P1862" i="2"/>
  <c r="U1862" i="2" s="1"/>
  <c r="P1861" i="2"/>
  <c r="U1861" i="2" s="1"/>
  <c r="P1860" i="2"/>
  <c r="U1860" i="2" s="1"/>
  <c r="P1859" i="2"/>
  <c r="U1859" i="2" s="1"/>
  <c r="P1858" i="2"/>
  <c r="U1858" i="2" s="1"/>
  <c r="P1857" i="2"/>
  <c r="U1857" i="2" s="1"/>
  <c r="P1856" i="2"/>
  <c r="U1856" i="2" s="1"/>
  <c r="P1855" i="2"/>
  <c r="U1855" i="2" s="1"/>
  <c r="P1854" i="2"/>
  <c r="U1854" i="2" s="1"/>
  <c r="P1853" i="2"/>
  <c r="U1853" i="2" s="1"/>
  <c r="P1852" i="2"/>
  <c r="U1852" i="2" s="1"/>
  <c r="P1851" i="2"/>
  <c r="U1851" i="2" s="1"/>
  <c r="P1850" i="2"/>
  <c r="U1850" i="2" s="1"/>
  <c r="P1849" i="2"/>
  <c r="U1849" i="2" s="1"/>
  <c r="P1848" i="2"/>
  <c r="U1848" i="2" s="1"/>
  <c r="P1847" i="2"/>
  <c r="U1847" i="2" s="1"/>
  <c r="P1846" i="2"/>
  <c r="U1846" i="2" s="1"/>
  <c r="P1845" i="2"/>
  <c r="U1845" i="2" s="1"/>
  <c r="P1844" i="2"/>
  <c r="U1844" i="2" s="1"/>
  <c r="P1843" i="2"/>
  <c r="U1843" i="2" s="1"/>
  <c r="P1842" i="2"/>
  <c r="U1842" i="2" s="1"/>
  <c r="P1841" i="2"/>
  <c r="U1841" i="2" s="1"/>
  <c r="P1840" i="2"/>
  <c r="U1840" i="2" s="1"/>
  <c r="P1839" i="2"/>
  <c r="U1839" i="2" s="1"/>
  <c r="P1838" i="2"/>
  <c r="U1838" i="2" s="1"/>
  <c r="P1837" i="2"/>
  <c r="U1837" i="2" s="1"/>
  <c r="P1836" i="2"/>
  <c r="U1836" i="2" s="1"/>
  <c r="P1835" i="2"/>
  <c r="U1835" i="2" s="1"/>
  <c r="P1834" i="2"/>
  <c r="U1834" i="2" s="1"/>
  <c r="P1833" i="2"/>
  <c r="U1833" i="2" s="1"/>
  <c r="P1832" i="2"/>
  <c r="U1832" i="2" s="1"/>
  <c r="P1831" i="2"/>
  <c r="U1831" i="2" s="1"/>
  <c r="P1830" i="2"/>
  <c r="U1830" i="2" s="1"/>
  <c r="P1829" i="2"/>
  <c r="U1829" i="2" s="1"/>
  <c r="P1828" i="2"/>
  <c r="U1828" i="2" s="1"/>
  <c r="P1827" i="2"/>
  <c r="U1827" i="2" s="1"/>
  <c r="P1826" i="2"/>
  <c r="U1826" i="2" s="1"/>
  <c r="P1825" i="2"/>
  <c r="U1825" i="2" s="1"/>
  <c r="P1824" i="2"/>
  <c r="U1824" i="2" s="1"/>
  <c r="P1823" i="2"/>
  <c r="U1823" i="2" s="1"/>
  <c r="P1822" i="2"/>
  <c r="U1822" i="2" s="1"/>
  <c r="P1821" i="2"/>
  <c r="U1821" i="2" s="1"/>
  <c r="P1820" i="2"/>
  <c r="U1820" i="2" s="1"/>
  <c r="P1819" i="2"/>
  <c r="U1819" i="2" s="1"/>
  <c r="P1818" i="2"/>
  <c r="U1818" i="2" s="1"/>
  <c r="P1817" i="2"/>
  <c r="U1817" i="2" s="1"/>
  <c r="P1816" i="2"/>
  <c r="U1816" i="2" s="1"/>
  <c r="P1815" i="2"/>
  <c r="U1815" i="2" s="1"/>
  <c r="P1814" i="2"/>
  <c r="U1814" i="2" s="1"/>
  <c r="P1813" i="2"/>
  <c r="U1813" i="2" s="1"/>
  <c r="P1812" i="2"/>
  <c r="U1812" i="2" s="1"/>
  <c r="P1811" i="2"/>
  <c r="U1811" i="2" s="1"/>
  <c r="P1810" i="2"/>
  <c r="U1810" i="2" s="1"/>
  <c r="P1809" i="2"/>
  <c r="U1809" i="2" s="1"/>
  <c r="P1808" i="2"/>
  <c r="U1808" i="2" s="1"/>
  <c r="P1807" i="2"/>
  <c r="U1807" i="2" s="1"/>
  <c r="P1806" i="2"/>
  <c r="U1806" i="2" s="1"/>
  <c r="P1805" i="2"/>
  <c r="U1805" i="2" s="1"/>
  <c r="P1804" i="2"/>
  <c r="U1804" i="2" s="1"/>
  <c r="P1803" i="2"/>
  <c r="U1803" i="2" s="1"/>
  <c r="P1802" i="2"/>
  <c r="U1802" i="2" s="1"/>
  <c r="P1801" i="2"/>
  <c r="U1801" i="2" s="1"/>
  <c r="P1800" i="2"/>
  <c r="U1800" i="2" s="1"/>
  <c r="P1799" i="2"/>
  <c r="U1799" i="2" s="1"/>
  <c r="P1798" i="2"/>
  <c r="U1798" i="2" s="1"/>
  <c r="P1797" i="2"/>
  <c r="U1797" i="2" s="1"/>
  <c r="P1796" i="2"/>
  <c r="U1796" i="2" s="1"/>
  <c r="P1795" i="2"/>
  <c r="U1795" i="2" s="1"/>
  <c r="P1794" i="2"/>
  <c r="U1794" i="2" s="1"/>
  <c r="P1793" i="2"/>
  <c r="U1793" i="2" s="1"/>
  <c r="P1792" i="2"/>
  <c r="U1792" i="2" s="1"/>
  <c r="P1791" i="2"/>
  <c r="U1791" i="2" s="1"/>
  <c r="P1790" i="2"/>
  <c r="U1790" i="2" s="1"/>
  <c r="P1789" i="2"/>
  <c r="U1789" i="2" s="1"/>
  <c r="P1788" i="2"/>
  <c r="U1788" i="2" s="1"/>
  <c r="P1787" i="2"/>
  <c r="U1787" i="2" s="1"/>
  <c r="P1786" i="2"/>
  <c r="U1786" i="2" s="1"/>
  <c r="P1785" i="2"/>
  <c r="U1785" i="2" s="1"/>
  <c r="P1784" i="2"/>
  <c r="U1784" i="2" s="1"/>
  <c r="P1783" i="2"/>
  <c r="U1783" i="2" s="1"/>
  <c r="P1782" i="2"/>
  <c r="U1782" i="2" s="1"/>
  <c r="P1781" i="2"/>
  <c r="U1781" i="2" s="1"/>
  <c r="P1780" i="2"/>
  <c r="U1780" i="2" s="1"/>
  <c r="P1779" i="2"/>
  <c r="U1779" i="2" s="1"/>
  <c r="P1778" i="2"/>
  <c r="U1778" i="2" s="1"/>
  <c r="P1777" i="2"/>
  <c r="U1777" i="2" s="1"/>
  <c r="P1776" i="2"/>
  <c r="U1776" i="2" s="1"/>
  <c r="P1775" i="2"/>
  <c r="U1775" i="2" s="1"/>
  <c r="P1774" i="2"/>
  <c r="U1774" i="2" s="1"/>
  <c r="P1773" i="2"/>
  <c r="U1773" i="2" s="1"/>
  <c r="P1772" i="2"/>
  <c r="U1772" i="2" s="1"/>
  <c r="P1771" i="2"/>
  <c r="U1771" i="2" s="1"/>
  <c r="P1770" i="2"/>
  <c r="U1770" i="2" s="1"/>
  <c r="P1769" i="2"/>
  <c r="U1769" i="2" s="1"/>
  <c r="P1768" i="2"/>
  <c r="U1768" i="2" s="1"/>
  <c r="P1767" i="2"/>
  <c r="U1767" i="2" s="1"/>
  <c r="P1766" i="2"/>
  <c r="U1766" i="2" s="1"/>
  <c r="P1765" i="2"/>
  <c r="U1765" i="2" s="1"/>
  <c r="P1764" i="2"/>
  <c r="U1764" i="2" s="1"/>
  <c r="P1763" i="2"/>
  <c r="U1763" i="2" s="1"/>
  <c r="P1762" i="2"/>
  <c r="U1762" i="2" s="1"/>
  <c r="P1761" i="2"/>
  <c r="U1761" i="2" s="1"/>
  <c r="P1760" i="2"/>
  <c r="U1760" i="2" s="1"/>
  <c r="P1759" i="2"/>
  <c r="U1759" i="2" s="1"/>
  <c r="P1758" i="2"/>
  <c r="U1758" i="2" s="1"/>
  <c r="P1757" i="2"/>
  <c r="U1757" i="2" s="1"/>
  <c r="P1756" i="2"/>
  <c r="U1756" i="2" s="1"/>
  <c r="P1755" i="2"/>
  <c r="U1755" i="2" s="1"/>
  <c r="P1754" i="2"/>
  <c r="U1754" i="2" s="1"/>
  <c r="P1753" i="2"/>
  <c r="U1753" i="2" s="1"/>
  <c r="P1752" i="2"/>
  <c r="U1752" i="2" s="1"/>
  <c r="P1751" i="2"/>
  <c r="U1751" i="2" s="1"/>
  <c r="P1750" i="2"/>
  <c r="U1750" i="2" s="1"/>
  <c r="P1749" i="2"/>
  <c r="U1749" i="2" s="1"/>
  <c r="P1748" i="2"/>
  <c r="U1748" i="2" s="1"/>
  <c r="P1747" i="2"/>
  <c r="U1747" i="2" s="1"/>
  <c r="P1746" i="2"/>
  <c r="U1746" i="2" s="1"/>
  <c r="P1745" i="2"/>
  <c r="U1745" i="2" s="1"/>
  <c r="P1744" i="2"/>
  <c r="U1744" i="2" s="1"/>
  <c r="P1743" i="2"/>
  <c r="U1743" i="2" s="1"/>
  <c r="P1742" i="2"/>
  <c r="U1742" i="2" s="1"/>
  <c r="P1741" i="2"/>
  <c r="U1741" i="2" s="1"/>
  <c r="P1740" i="2"/>
  <c r="U1740" i="2" s="1"/>
  <c r="P1739" i="2"/>
  <c r="U1739" i="2" s="1"/>
  <c r="P1738" i="2"/>
  <c r="U1738" i="2" s="1"/>
  <c r="P1737" i="2"/>
  <c r="U1737" i="2" s="1"/>
  <c r="P1736" i="2"/>
  <c r="U1736" i="2" s="1"/>
  <c r="P1735" i="2"/>
  <c r="U1735" i="2" s="1"/>
  <c r="P1734" i="2"/>
  <c r="U1734" i="2" s="1"/>
  <c r="P1733" i="2"/>
  <c r="U1733" i="2" s="1"/>
  <c r="P1732" i="2"/>
  <c r="U1732" i="2" s="1"/>
  <c r="P1731" i="2"/>
  <c r="U1731" i="2" s="1"/>
  <c r="P1730" i="2"/>
  <c r="U1730" i="2" s="1"/>
  <c r="P1729" i="2"/>
  <c r="U1729" i="2" s="1"/>
  <c r="P1728" i="2"/>
  <c r="U1728" i="2" s="1"/>
  <c r="P1727" i="2"/>
  <c r="U1727" i="2" s="1"/>
  <c r="P1726" i="2"/>
  <c r="U1726" i="2" s="1"/>
  <c r="P1725" i="2"/>
  <c r="U1725" i="2" s="1"/>
  <c r="P1724" i="2"/>
  <c r="U1724" i="2" s="1"/>
  <c r="P1723" i="2"/>
  <c r="U1723" i="2" s="1"/>
  <c r="P1722" i="2"/>
  <c r="U1722" i="2" s="1"/>
  <c r="P1721" i="2"/>
  <c r="U1721" i="2" s="1"/>
  <c r="P1720" i="2"/>
  <c r="U1720" i="2" s="1"/>
  <c r="P1719" i="2"/>
  <c r="U1719" i="2" s="1"/>
  <c r="P1718" i="2"/>
  <c r="U1718" i="2" s="1"/>
  <c r="P1717" i="2"/>
  <c r="U1717" i="2" s="1"/>
  <c r="P1716" i="2"/>
  <c r="U1716" i="2" s="1"/>
  <c r="P1715" i="2"/>
  <c r="U1715" i="2" s="1"/>
  <c r="P1714" i="2"/>
  <c r="U1714" i="2" s="1"/>
  <c r="P1713" i="2"/>
  <c r="U1713" i="2" s="1"/>
  <c r="P1712" i="2"/>
  <c r="U1712" i="2" s="1"/>
  <c r="P1711" i="2"/>
  <c r="U1711" i="2" s="1"/>
  <c r="P1710" i="2"/>
  <c r="U1710" i="2" s="1"/>
  <c r="P1709" i="2"/>
  <c r="U1709" i="2" s="1"/>
  <c r="P1708" i="2"/>
  <c r="U1708" i="2" s="1"/>
  <c r="P1707" i="2"/>
  <c r="U1707" i="2" s="1"/>
  <c r="P1706" i="2"/>
  <c r="U1706" i="2" s="1"/>
  <c r="P1705" i="2"/>
  <c r="U1705" i="2" s="1"/>
  <c r="P1704" i="2"/>
  <c r="U1704" i="2" s="1"/>
  <c r="P1703" i="2"/>
  <c r="U1703" i="2" s="1"/>
  <c r="P1702" i="2"/>
  <c r="U1702" i="2" s="1"/>
  <c r="P1701" i="2"/>
  <c r="U1701" i="2" s="1"/>
  <c r="P1700" i="2"/>
  <c r="U1700" i="2" s="1"/>
  <c r="P1699" i="2"/>
  <c r="U1699" i="2" s="1"/>
  <c r="P1698" i="2"/>
  <c r="U1698" i="2" s="1"/>
  <c r="P1697" i="2"/>
  <c r="U1697" i="2" s="1"/>
  <c r="P1696" i="2"/>
  <c r="U1696" i="2" s="1"/>
  <c r="P1695" i="2"/>
  <c r="U1695" i="2" s="1"/>
  <c r="P1694" i="2"/>
  <c r="U1694" i="2" s="1"/>
  <c r="P1693" i="2"/>
  <c r="U1693" i="2" s="1"/>
  <c r="P1692" i="2"/>
  <c r="U1692" i="2" s="1"/>
  <c r="P1691" i="2"/>
  <c r="U1691" i="2" s="1"/>
  <c r="P1690" i="2"/>
  <c r="U1690" i="2" s="1"/>
  <c r="P1689" i="2"/>
  <c r="U1689" i="2" s="1"/>
  <c r="P1688" i="2"/>
  <c r="U1688" i="2" s="1"/>
  <c r="P1687" i="2"/>
  <c r="U1687" i="2" s="1"/>
  <c r="P1686" i="2"/>
  <c r="U1686" i="2" s="1"/>
  <c r="P1685" i="2"/>
  <c r="U1685" i="2" s="1"/>
  <c r="P1684" i="2"/>
  <c r="U1684" i="2" s="1"/>
  <c r="P1683" i="2"/>
  <c r="U1683" i="2" s="1"/>
  <c r="P1682" i="2"/>
  <c r="U1682" i="2" s="1"/>
  <c r="P1681" i="2"/>
  <c r="U1681" i="2" s="1"/>
  <c r="P1680" i="2"/>
  <c r="U1680" i="2" s="1"/>
  <c r="P1679" i="2"/>
  <c r="U1679" i="2" s="1"/>
  <c r="P1678" i="2"/>
  <c r="U1678" i="2" s="1"/>
  <c r="P1677" i="2"/>
  <c r="U1677" i="2" s="1"/>
  <c r="P1676" i="2"/>
  <c r="U1676" i="2" s="1"/>
  <c r="P1675" i="2"/>
  <c r="U1675" i="2" s="1"/>
  <c r="P1674" i="2"/>
  <c r="U1674" i="2" s="1"/>
  <c r="P1673" i="2"/>
  <c r="U1673" i="2" s="1"/>
  <c r="P1672" i="2"/>
  <c r="U1672" i="2" s="1"/>
  <c r="P1671" i="2"/>
  <c r="U1671" i="2" s="1"/>
  <c r="P1670" i="2"/>
  <c r="U1670" i="2" s="1"/>
  <c r="P1669" i="2"/>
  <c r="U1669" i="2" s="1"/>
  <c r="P1668" i="2"/>
  <c r="U1668" i="2" s="1"/>
  <c r="P1667" i="2"/>
  <c r="U1667" i="2" s="1"/>
  <c r="P1666" i="2"/>
  <c r="U1666" i="2" s="1"/>
  <c r="P1665" i="2"/>
  <c r="U1665" i="2" s="1"/>
  <c r="P1664" i="2"/>
  <c r="U1664" i="2" s="1"/>
  <c r="P1663" i="2"/>
  <c r="U1663" i="2" s="1"/>
  <c r="P1662" i="2"/>
  <c r="U1662" i="2" s="1"/>
  <c r="P1661" i="2"/>
  <c r="U1661" i="2" s="1"/>
  <c r="P1660" i="2"/>
  <c r="U1660" i="2" s="1"/>
  <c r="P1659" i="2"/>
  <c r="U1659" i="2" s="1"/>
  <c r="P1658" i="2"/>
  <c r="U1658" i="2" s="1"/>
  <c r="P1657" i="2"/>
  <c r="U1657" i="2" s="1"/>
  <c r="P1656" i="2"/>
  <c r="U1656" i="2" s="1"/>
  <c r="P1655" i="2"/>
  <c r="U1655" i="2" s="1"/>
  <c r="P1654" i="2"/>
  <c r="U1654" i="2" s="1"/>
  <c r="P1653" i="2"/>
  <c r="U1653" i="2" s="1"/>
  <c r="P1652" i="2"/>
  <c r="U1652" i="2" s="1"/>
  <c r="P1651" i="2"/>
  <c r="U1651" i="2" s="1"/>
  <c r="P1650" i="2"/>
  <c r="U1650" i="2" s="1"/>
  <c r="P1649" i="2"/>
  <c r="U1649" i="2" s="1"/>
  <c r="P1648" i="2"/>
  <c r="U1648" i="2" s="1"/>
  <c r="P1647" i="2"/>
  <c r="U1647" i="2" s="1"/>
  <c r="P1646" i="2"/>
  <c r="U1646" i="2" s="1"/>
  <c r="P1645" i="2"/>
  <c r="U1645" i="2" s="1"/>
  <c r="P1644" i="2"/>
  <c r="U1644" i="2" s="1"/>
  <c r="P1643" i="2"/>
  <c r="U1643" i="2" s="1"/>
  <c r="P1642" i="2"/>
  <c r="U1642" i="2" s="1"/>
  <c r="P1641" i="2"/>
  <c r="U1641" i="2" s="1"/>
  <c r="P1640" i="2"/>
  <c r="U1640" i="2" s="1"/>
  <c r="P1639" i="2"/>
  <c r="U1639" i="2" s="1"/>
  <c r="P1638" i="2"/>
  <c r="U1638" i="2" s="1"/>
  <c r="P1637" i="2"/>
  <c r="U1637" i="2" s="1"/>
  <c r="P1636" i="2"/>
  <c r="U1636" i="2" s="1"/>
  <c r="P1635" i="2"/>
  <c r="U1635" i="2" s="1"/>
  <c r="P1634" i="2"/>
  <c r="U1634" i="2" s="1"/>
  <c r="P1633" i="2"/>
  <c r="U1633" i="2" s="1"/>
  <c r="P1632" i="2"/>
  <c r="U1632" i="2" s="1"/>
  <c r="P1631" i="2"/>
  <c r="U1631" i="2" s="1"/>
  <c r="P1630" i="2"/>
  <c r="U1630" i="2" s="1"/>
  <c r="P1629" i="2"/>
  <c r="U1629" i="2" s="1"/>
  <c r="P1628" i="2"/>
  <c r="U1628" i="2" s="1"/>
  <c r="P1627" i="2"/>
  <c r="U1627" i="2" s="1"/>
  <c r="P1626" i="2"/>
  <c r="U1626" i="2" s="1"/>
  <c r="P1625" i="2"/>
  <c r="U1625" i="2" s="1"/>
  <c r="P1624" i="2"/>
  <c r="U1624" i="2" s="1"/>
  <c r="P1623" i="2"/>
  <c r="U1623" i="2" s="1"/>
  <c r="P1622" i="2"/>
  <c r="U1622" i="2" s="1"/>
  <c r="P1621" i="2"/>
  <c r="U1621" i="2" s="1"/>
  <c r="P1620" i="2"/>
  <c r="U1620" i="2" s="1"/>
  <c r="P1619" i="2"/>
  <c r="U1619" i="2" s="1"/>
  <c r="P1618" i="2"/>
  <c r="U1618" i="2" s="1"/>
  <c r="P1617" i="2"/>
  <c r="U1617" i="2" s="1"/>
  <c r="P1616" i="2"/>
  <c r="U1616" i="2" s="1"/>
  <c r="P1615" i="2"/>
  <c r="U1615" i="2" s="1"/>
  <c r="P1614" i="2"/>
  <c r="U1614" i="2" s="1"/>
  <c r="P1613" i="2"/>
  <c r="U1613" i="2" s="1"/>
  <c r="P1612" i="2"/>
  <c r="U1612" i="2" s="1"/>
  <c r="P1611" i="2"/>
  <c r="U1611" i="2" s="1"/>
  <c r="P1610" i="2"/>
  <c r="U1610" i="2" s="1"/>
  <c r="P1609" i="2"/>
  <c r="U1609" i="2" s="1"/>
  <c r="P1608" i="2"/>
  <c r="U1608" i="2" s="1"/>
  <c r="P1607" i="2"/>
  <c r="U1607" i="2" s="1"/>
  <c r="P1606" i="2"/>
  <c r="U1606" i="2" s="1"/>
  <c r="P1605" i="2"/>
  <c r="U1605" i="2" s="1"/>
  <c r="P1604" i="2"/>
  <c r="U1604" i="2" s="1"/>
  <c r="P1603" i="2"/>
  <c r="U1603" i="2" s="1"/>
  <c r="P1602" i="2"/>
  <c r="U1602" i="2" s="1"/>
  <c r="P1601" i="2"/>
  <c r="U1601" i="2" s="1"/>
  <c r="P1600" i="2"/>
  <c r="U1600" i="2" s="1"/>
  <c r="P1599" i="2"/>
  <c r="U1599" i="2" s="1"/>
  <c r="P1598" i="2"/>
  <c r="U1598" i="2" s="1"/>
  <c r="P1597" i="2"/>
  <c r="U1597" i="2" s="1"/>
  <c r="P1596" i="2"/>
  <c r="U1596" i="2" s="1"/>
  <c r="P1595" i="2"/>
  <c r="U1595" i="2" s="1"/>
  <c r="P1594" i="2"/>
  <c r="U1594" i="2" s="1"/>
  <c r="P1593" i="2"/>
  <c r="U1593" i="2" s="1"/>
  <c r="P1592" i="2"/>
  <c r="U1592" i="2" s="1"/>
  <c r="P1591" i="2"/>
  <c r="U1591" i="2" s="1"/>
  <c r="P1590" i="2"/>
  <c r="U1590" i="2" s="1"/>
  <c r="P1589" i="2"/>
  <c r="U1589" i="2" s="1"/>
  <c r="P1588" i="2"/>
  <c r="U1588" i="2" s="1"/>
  <c r="P1587" i="2"/>
  <c r="U1587" i="2" s="1"/>
  <c r="P1586" i="2"/>
  <c r="U1586" i="2" s="1"/>
  <c r="P1585" i="2"/>
  <c r="U1585" i="2" s="1"/>
  <c r="P1584" i="2"/>
  <c r="U1584" i="2" s="1"/>
  <c r="P1583" i="2"/>
  <c r="U1583" i="2" s="1"/>
  <c r="P1582" i="2"/>
  <c r="U1582" i="2" s="1"/>
  <c r="P1581" i="2"/>
  <c r="U1581" i="2" s="1"/>
  <c r="P1580" i="2"/>
  <c r="U1580" i="2" s="1"/>
  <c r="P1579" i="2"/>
  <c r="U1579" i="2" s="1"/>
  <c r="P1578" i="2"/>
  <c r="U1578" i="2" s="1"/>
  <c r="P1577" i="2"/>
  <c r="U1577" i="2" s="1"/>
  <c r="P1576" i="2"/>
  <c r="U1576" i="2" s="1"/>
  <c r="P1575" i="2"/>
  <c r="U1575" i="2" s="1"/>
  <c r="P1574" i="2"/>
  <c r="U1574" i="2" s="1"/>
  <c r="P1573" i="2"/>
  <c r="U1573" i="2" s="1"/>
  <c r="P1572" i="2"/>
  <c r="U1572" i="2" s="1"/>
  <c r="P1571" i="2"/>
  <c r="U1571" i="2" s="1"/>
  <c r="P1570" i="2"/>
  <c r="U1570" i="2" s="1"/>
  <c r="P1569" i="2"/>
  <c r="U1569" i="2" s="1"/>
  <c r="P1568" i="2"/>
  <c r="U1568" i="2" s="1"/>
  <c r="P1567" i="2"/>
  <c r="U1567" i="2" s="1"/>
  <c r="P1566" i="2"/>
  <c r="U1566" i="2" s="1"/>
  <c r="P1565" i="2"/>
  <c r="U1565" i="2" s="1"/>
  <c r="P1564" i="2"/>
  <c r="U1564" i="2" s="1"/>
  <c r="P1563" i="2"/>
  <c r="U1563" i="2" s="1"/>
  <c r="P1562" i="2"/>
  <c r="U1562" i="2" s="1"/>
  <c r="P1561" i="2"/>
  <c r="U1561" i="2" s="1"/>
  <c r="P1560" i="2"/>
  <c r="U1560" i="2" s="1"/>
  <c r="P1559" i="2"/>
  <c r="U1559" i="2" s="1"/>
  <c r="P1558" i="2"/>
  <c r="U1558" i="2" s="1"/>
  <c r="P1557" i="2"/>
  <c r="U1557" i="2" s="1"/>
  <c r="P1556" i="2"/>
  <c r="U1556" i="2" s="1"/>
  <c r="P1555" i="2"/>
  <c r="U1555" i="2" s="1"/>
  <c r="P1554" i="2"/>
  <c r="U1554" i="2" s="1"/>
  <c r="P1553" i="2"/>
  <c r="U1553" i="2" s="1"/>
  <c r="P1552" i="2"/>
  <c r="U1552" i="2" s="1"/>
  <c r="P1551" i="2"/>
  <c r="U1551" i="2" s="1"/>
  <c r="P1550" i="2"/>
  <c r="U1550" i="2" s="1"/>
  <c r="P1549" i="2"/>
  <c r="U1549" i="2" s="1"/>
  <c r="P1548" i="2"/>
  <c r="U1548" i="2" s="1"/>
  <c r="P1547" i="2"/>
  <c r="U1547" i="2" s="1"/>
  <c r="P1546" i="2"/>
  <c r="U1546" i="2" s="1"/>
  <c r="P1545" i="2"/>
  <c r="U1545" i="2" s="1"/>
  <c r="P1544" i="2"/>
  <c r="U1544" i="2" s="1"/>
  <c r="P1543" i="2"/>
  <c r="U1543" i="2" s="1"/>
  <c r="P1542" i="2"/>
  <c r="U1542" i="2" s="1"/>
  <c r="P1541" i="2"/>
  <c r="U1541" i="2" s="1"/>
  <c r="P1540" i="2"/>
  <c r="U1540" i="2" s="1"/>
  <c r="P1539" i="2"/>
  <c r="U1539" i="2" s="1"/>
  <c r="P1538" i="2"/>
  <c r="U1538" i="2" s="1"/>
  <c r="P1537" i="2"/>
  <c r="U1537" i="2" s="1"/>
  <c r="P1536" i="2"/>
  <c r="U1536" i="2" s="1"/>
  <c r="P1535" i="2"/>
  <c r="U1535" i="2" s="1"/>
  <c r="P1534" i="2"/>
  <c r="U1534" i="2" s="1"/>
  <c r="P1533" i="2"/>
  <c r="U1533" i="2" s="1"/>
  <c r="P1532" i="2"/>
  <c r="U1532" i="2" s="1"/>
  <c r="P1531" i="2"/>
  <c r="U1531" i="2" s="1"/>
  <c r="P1530" i="2"/>
  <c r="U1530" i="2" s="1"/>
  <c r="P1529" i="2"/>
  <c r="U1529" i="2" s="1"/>
  <c r="P1528" i="2"/>
  <c r="U1528" i="2" s="1"/>
  <c r="P1527" i="2"/>
  <c r="U1527" i="2" s="1"/>
  <c r="P1526" i="2"/>
  <c r="U1526" i="2" s="1"/>
  <c r="P1525" i="2"/>
  <c r="U1525" i="2" s="1"/>
  <c r="P1524" i="2"/>
  <c r="U1524" i="2" s="1"/>
  <c r="P1523" i="2"/>
  <c r="U1523" i="2" s="1"/>
  <c r="P1522" i="2"/>
  <c r="U1522" i="2" s="1"/>
  <c r="P1521" i="2"/>
  <c r="U1521" i="2" s="1"/>
  <c r="P1520" i="2"/>
  <c r="U1520" i="2" s="1"/>
  <c r="P1519" i="2"/>
  <c r="U1519" i="2" s="1"/>
  <c r="P1518" i="2"/>
  <c r="U1518" i="2" s="1"/>
  <c r="P1517" i="2"/>
  <c r="U1517" i="2" s="1"/>
  <c r="P1516" i="2"/>
  <c r="U1516" i="2" s="1"/>
  <c r="P1515" i="2"/>
  <c r="U1515" i="2" s="1"/>
  <c r="P1514" i="2"/>
  <c r="U1514" i="2" s="1"/>
  <c r="P1513" i="2"/>
  <c r="U1513" i="2" s="1"/>
  <c r="P1512" i="2"/>
  <c r="U1512" i="2" s="1"/>
  <c r="P1511" i="2"/>
  <c r="U1511" i="2" s="1"/>
  <c r="P1510" i="2"/>
  <c r="U1510" i="2" s="1"/>
  <c r="P1509" i="2"/>
  <c r="U1509" i="2" s="1"/>
  <c r="P1508" i="2"/>
  <c r="U1508" i="2" s="1"/>
  <c r="P1507" i="2"/>
  <c r="U1507" i="2" s="1"/>
  <c r="P1506" i="2"/>
  <c r="U1506" i="2" s="1"/>
  <c r="P1505" i="2"/>
  <c r="U1505" i="2" s="1"/>
  <c r="P1504" i="2"/>
  <c r="U1504" i="2" s="1"/>
  <c r="P1503" i="2"/>
  <c r="U1503" i="2" s="1"/>
  <c r="P1502" i="2"/>
  <c r="U1502" i="2" s="1"/>
  <c r="P1501" i="2"/>
  <c r="U1501" i="2" s="1"/>
  <c r="P1500" i="2"/>
  <c r="U1500" i="2" s="1"/>
  <c r="P1499" i="2"/>
  <c r="U1499" i="2" s="1"/>
  <c r="P1498" i="2"/>
  <c r="U1498" i="2" s="1"/>
  <c r="P1497" i="2"/>
  <c r="U1497" i="2" s="1"/>
  <c r="P1496" i="2"/>
  <c r="U1496" i="2" s="1"/>
  <c r="P1495" i="2"/>
  <c r="U1495" i="2" s="1"/>
  <c r="P1494" i="2"/>
  <c r="U1494" i="2" s="1"/>
  <c r="P1493" i="2"/>
  <c r="U1493" i="2" s="1"/>
  <c r="P1492" i="2"/>
  <c r="U1492" i="2" s="1"/>
  <c r="P1491" i="2"/>
  <c r="U1491" i="2" s="1"/>
  <c r="P1490" i="2"/>
  <c r="U1490" i="2" s="1"/>
  <c r="P1489" i="2"/>
  <c r="U1489" i="2" s="1"/>
  <c r="P1488" i="2"/>
  <c r="U1488" i="2" s="1"/>
  <c r="P1487" i="2"/>
  <c r="U1487" i="2" s="1"/>
  <c r="P1486" i="2"/>
  <c r="U1486" i="2" s="1"/>
  <c r="P1485" i="2"/>
  <c r="U1485" i="2" s="1"/>
  <c r="P1484" i="2"/>
  <c r="U1484" i="2" s="1"/>
  <c r="P1483" i="2"/>
  <c r="U1483" i="2" s="1"/>
  <c r="P1482" i="2"/>
  <c r="U1482" i="2" s="1"/>
  <c r="P1481" i="2"/>
  <c r="U1481" i="2" s="1"/>
  <c r="P1480" i="2"/>
  <c r="U1480" i="2" s="1"/>
  <c r="P1479" i="2"/>
  <c r="U1479" i="2" s="1"/>
  <c r="P1478" i="2"/>
  <c r="U1478" i="2" s="1"/>
  <c r="P1477" i="2"/>
  <c r="U1477" i="2" s="1"/>
  <c r="P1476" i="2"/>
  <c r="U1476" i="2" s="1"/>
  <c r="P1475" i="2"/>
  <c r="U1475" i="2" s="1"/>
  <c r="P1474" i="2"/>
  <c r="U1474" i="2" s="1"/>
  <c r="P1473" i="2"/>
  <c r="U1473" i="2" s="1"/>
  <c r="P1472" i="2"/>
  <c r="U1472" i="2" s="1"/>
  <c r="P1471" i="2"/>
  <c r="U1471" i="2" s="1"/>
  <c r="P1470" i="2"/>
  <c r="U1470" i="2" s="1"/>
  <c r="P1469" i="2"/>
  <c r="U1469" i="2" s="1"/>
  <c r="P1468" i="2"/>
  <c r="U1468" i="2" s="1"/>
  <c r="P1467" i="2"/>
  <c r="U1467" i="2" s="1"/>
  <c r="P1466" i="2"/>
  <c r="U1466" i="2" s="1"/>
  <c r="P1465" i="2"/>
  <c r="U1465" i="2" s="1"/>
  <c r="P1464" i="2"/>
  <c r="U1464" i="2" s="1"/>
  <c r="P1463" i="2"/>
  <c r="U1463" i="2" s="1"/>
  <c r="P1462" i="2"/>
  <c r="U1462" i="2" s="1"/>
  <c r="P1461" i="2"/>
  <c r="U1461" i="2" s="1"/>
  <c r="P1460" i="2"/>
  <c r="U1460" i="2" s="1"/>
  <c r="P1459" i="2"/>
  <c r="U1459" i="2" s="1"/>
  <c r="P1458" i="2"/>
  <c r="U1458" i="2" s="1"/>
  <c r="P1457" i="2"/>
  <c r="U1457" i="2" s="1"/>
  <c r="P1456" i="2"/>
  <c r="U1456" i="2" s="1"/>
  <c r="P1455" i="2"/>
  <c r="U1455" i="2" s="1"/>
  <c r="P1454" i="2"/>
  <c r="U1454" i="2" s="1"/>
  <c r="P1453" i="2"/>
  <c r="U1453" i="2" s="1"/>
  <c r="P1452" i="2"/>
  <c r="U1452" i="2" s="1"/>
  <c r="P1451" i="2"/>
  <c r="U1451" i="2" s="1"/>
  <c r="P1450" i="2"/>
  <c r="U1450" i="2" s="1"/>
  <c r="P1449" i="2"/>
  <c r="U1449" i="2" s="1"/>
  <c r="P1448" i="2"/>
  <c r="U1448" i="2" s="1"/>
  <c r="P1447" i="2"/>
  <c r="U1447" i="2" s="1"/>
  <c r="P1446" i="2"/>
  <c r="U1446" i="2" s="1"/>
  <c r="P1445" i="2"/>
  <c r="U1445" i="2" s="1"/>
  <c r="P1444" i="2"/>
  <c r="U1444" i="2" s="1"/>
  <c r="P1443" i="2"/>
  <c r="U1443" i="2" s="1"/>
  <c r="P1442" i="2"/>
  <c r="U1442" i="2" s="1"/>
  <c r="P1441" i="2"/>
  <c r="U1441" i="2" s="1"/>
  <c r="P1440" i="2"/>
  <c r="U1440" i="2" s="1"/>
  <c r="P1439" i="2"/>
  <c r="U1439" i="2" s="1"/>
  <c r="P1438" i="2"/>
  <c r="U1438" i="2" s="1"/>
  <c r="P1437" i="2"/>
  <c r="U1437" i="2" s="1"/>
  <c r="P1436" i="2"/>
  <c r="U1436" i="2" s="1"/>
  <c r="P1435" i="2"/>
  <c r="U1435" i="2" s="1"/>
  <c r="P1434" i="2"/>
  <c r="U1434" i="2" s="1"/>
  <c r="P1433" i="2"/>
  <c r="U1433" i="2" s="1"/>
  <c r="P1432" i="2"/>
  <c r="U1432" i="2" s="1"/>
  <c r="P1431" i="2"/>
  <c r="U1431" i="2" s="1"/>
  <c r="P1430" i="2"/>
  <c r="U1430" i="2" s="1"/>
  <c r="P1429" i="2"/>
  <c r="U1429" i="2" s="1"/>
  <c r="P1428" i="2"/>
  <c r="U1428" i="2" s="1"/>
  <c r="P1427" i="2"/>
  <c r="U1427" i="2" s="1"/>
  <c r="P1426" i="2"/>
  <c r="U1426" i="2" s="1"/>
  <c r="P1425" i="2"/>
  <c r="U1425" i="2" s="1"/>
  <c r="P1424" i="2"/>
  <c r="U1424" i="2" s="1"/>
  <c r="P1423" i="2"/>
  <c r="U1423" i="2" s="1"/>
  <c r="P1422" i="2"/>
  <c r="U1422" i="2" s="1"/>
  <c r="P1421" i="2"/>
  <c r="U1421" i="2" s="1"/>
  <c r="P1420" i="2"/>
  <c r="U1420" i="2" s="1"/>
  <c r="P1419" i="2"/>
  <c r="U1419" i="2" s="1"/>
  <c r="P1418" i="2"/>
  <c r="U1418" i="2" s="1"/>
  <c r="P1417" i="2"/>
  <c r="U1417" i="2" s="1"/>
  <c r="P1416" i="2"/>
  <c r="U1416" i="2" s="1"/>
  <c r="P1415" i="2"/>
  <c r="U1415" i="2" s="1"/>
  <c r="P1414" i="2"/>
  <c r="U1414" i="2" s="1"/>
  <c r="P1413" i="2"/>
  <c r="U1413" i="2" s="1"/>
  <c r="P1412" i="2"/>
  <c r="U1412" i="2" s="1"/>
  <c r="P1411" i="2"/>
  <c r="U1411" i="2" s="1"/>
  <c r="P1410" i="2"/>
  <c r="U1410" i="2" s="1"/>
  <c r="P1409" i="2"/>
  <c r="U1409" i="2" s="1"/>
  <c r="P1408" i="2"/>
  <c r="U1408" i="2" s="1"/>
  <c r="P1407" i="2"/>
  <c r="U1407" i="2" s="1"/>
  <c r="P1406" i="2"/>
  <c r="U1406" i="2" s="1"/>
  <c r="P1405" i="2"/>
  <c r="U1405" i="2" s="1"/>
  <c r="P1404" i="2"/>
  <c r="U1404" i="2" s="1"/>
  <c r="P1403" i="2"/>
  <c r="U1403" i="2" s="1"/>
  <c r="P1402" i="2"/>
  <c r="U1402" i="2" s="1"/>
  <c r="P1401" i="2"/>
  <c r="U1401" i="2" s="1"/>
  <c r="P1400" i="2"/>
  <c r="U1400" i="2" s="1"/>
  <c r="P1399" i="2"/>
  <c r="U1399" i="2" s="1"/>
  <c r="P1398" i="2"/>
  <c r="U1398" i="2" s="1"/>
  <c r="P1397" i="2"/>
  <c r="U1397" i="2" s="1"/>
  <c r="P1396" i="2"/>
  <c r="U1396" i="2" s="1"/>
  <c r="P1395" i="2"/>
  <c r="U1395" i="2" s="1"/>
  <c r="P1394" i="2"/>
  <c r="U1394" i="2" s="1"/>
  <c r="P1393" i="2"/>
  <c r="U1393" i="2" s="1"/>
  <c r="P1392" i="2"/>
  <c r="U1392" i="2" s="1"/>
  <c r="P1391" i="2"/>
  <c r="U1391" i="2" s="1"/>
  <c r="P1390" i="2"/>
  <c r="U1390" i="2" s="1"/>
  <c r="P1389" i="2"/>
  <c r="U1389" i="2" s="1"/>
  <c r="P1388" i="2"/>
  <c r="U1388" i="2" s="1"/>
  <c r="P1387" i="2"/>
  <c r="U1387" i="2" s="1"/>
  <c r="P1386" i="2"/>
  <c r="U1386" i="2" s="1"/>
  <c r="P1385" i="2"/>
  <c r="U1385" i="2" s="1"/>
  <c r="P1384" i="2"/>
  <c r="U1384" i="2" s="1"/>
  <c r="P1383" i="2"/>
  <c r="U1383" i="2" s="1"/>
  <c r="P1382" i="2"/>
  <c r="U1382" i="2" s="1"/>
  <c r="P1381" i="2"/>
  <c r="U1381" i="2" s="1"/>
  <c r="P1380" i="2"/>
  <c r="U1380" i="2" s="1"/>
  <c r="P1379" i="2"/>
  <c r="U1379" i="2" s="1"/>
  <c r="P1378" i="2"/>
  <c r="U1378" i="2" s="1"/>
  <c r="P1377" i="2"/>
  <c r="U1377" i="2" s="1"/>
  <c r="P1376" i="2"/>
  <c r="U1376" i="2" s="1"/>
  <c r="P1375" i="2"/>
  <c r="U1375" i="2" s="1"/>
  <c r="P1374" i="2"/>
  <c r="U1374" i="2" s="1"/>
  <c r="P1373" i="2"/>
  <c r="U1373" i="2" s="1"/>
  <c r="P1372" i="2"/>
  <c r="U1372" i="2" s="1"/>
  <c r="P1371" i="2"/>
  <c r="U1371" i="2" s="1"/>
  <c r="P1370" i="2"/>
  <c r="U1370" i="2" s="1"/>
  <c r="P1369" i="2"/>
  <c r="U1369" i="2" s="1"/>
  <c r="P1368" i="2"/>
  <c r="U1368" i="2" s="1"/>
  <c r="P1367" i="2"/>
  <c r="U1367" i="2" s="1"/>
  <c r="P1366" i="2"/>
  <c r="U1366" i="2" s="1"/>
  <c r="P1365" i="2"/>
  <c r="U1365" i="2" s="1"/>
  <c r="P1364" i="2"/>
  <c r="U1364" i="2" s="1"/>
  <c r="P1363" i="2"/>
  <c r="U1363" i="2" s="1"/>
  <c r="P1362" i="2"/>
  <c r="U1362" i="2" s="1"/>
  <c r="P1361" i="2"/>
  <c r="U1361" i="2" s="1"/>
  <c r="P1360" i="2"/>
  <c r="U1360" i="2" s="1"/>
  <c r="P1359" i="2"/>
  <c r="U1359" i="2" s="1"/>
  <c r="P1358" i="2"/>
  <c r="U1358" i="2" s="1"/>
  <c r="P1357" i="2"/>
  <c r="U1357" i="2" s="1"/>
  <c r="P1356" i="2"/>
  <c r="U1356" i="2" s="1"/>
  <c r="P1355" i="2"/>
  <c r="U1355" i="2" s="1"/>
  <c r="P1354" i="2"/>
  <c r="U1354" i="2" s="1"/>
  <c r="P1353" i="2"/>
  <c r="U1353" i="2" s="1"/>
  <c r="P1352" i="2"/>
  <c r="U1352" i="2" s="1"/>
  <c r="P1351" i="2"/>
  <c r="U1351" i="2" s="1"/>
  <c r="P1350" i="2"/>
  <c r="U1350" i="2" s="1"/>
  <c r="P1349" i="2"/>
  <c r="U1349" i="2" s="1"/>
  <c r="P1348" i="2"/>
  <c r="U1348" i="2" s="1"/>
  <c r="P1347" i="2"/>
  <c r="U1347" i="2" s="1"/>
  <c r="P1346" i="2"/>
  <c r="U1346" i="2" s="1"/>
  <c r="P1345" i="2"/>
  <c r="U1345" i="2" s="1"/>
  <c r="P1344" i="2"/>
  <c r="U1344" i="2" s="1"/>
  <c r="P1343" i="2"/>
  <c r="U1343" i="2" s="1"/>
  <c r="P1342" i="2"/>
  <c r="U1342" i="2" s="1"/>
  <c r="P1341" i="2"/>
  <c r="U1341" i="2" s="1"/>
  <c r="P1340" i="2"/>
  <c r="U1340" i="2" s="1"/>
  <c r="P1339" i="2"/>
  <c r="U1339" i="2" s="1"/>
  <c r="P1338" i="2"/>
  <c r="U1338" i="2" s="1"/>
  <c r="P1337" i="2"/>
  <c r="U1337" i="2" s="1"/>
  <c r="P1336" i="2"/>
  <c r="U1336" i="2" s="1"/>
  <c r="P1335" i="2"/>
  <c r="U1335" i="2" s="1"/>
  <c r="P1334" i="2"/>
  <c r="U1334" i="2" s="1"/>
  <c r="P1333" i="2"/>
  <c r="U1333" i="2" s="1"/>
  <c r="P1332" i="2"/>
  <c r="U1332" i="2" s="1"/>
  <c r="P1331" i="2"/>
  <c r="U1331" i="2" s="1"/>
  <c r="P1330" i="2"/>
  <c r="U1330" i="2" s="1"/>
  <c r="P1329" i="2"/>
  <c r="U1329" i="2" s="1"/>
  <c r="P1328" i="2"/>
  <c r="U1328" i="2" s="1"/>
  <c r="P1327" i="2"/>
  <c r="U1327" i="2" s="1"/>
  <c r="P1326" i="2"/>
  <c r="U1326" i="2" s="1"/>
  <c r="P1325" i="2"/>
  <c r="U1325" i="2" s="1"/>
  <c r="P1324" i="2"/>
  <c r="U1324" i="2" s="1"/>
  <c r="P1323" i="2"/>
  <c r="U1323" i="2" s="1"/>
  <c r="P1322" i="2"/>
  <c r="U1322" i="2" s="1"/>
  <c r="P1321" i="2"/>
  <c r="U1321" i="2" s="1"/>
  <c r="P1320" i="2"/>
  <c r="U1320" i="2" s="1"/>
  <c r="P1319" i="2"/>
  <c r="U1319" i="2" s="1"/>
  <c r="P1318" i="2"/>
  <c r="U1318" i="2" s="1"/>
  <c r="P1317" i="2"/>
  <c r="U1317" i="2" s="1"/>
  <c r="P1316" i="2"/>
  <c r="U1316" i="2" s="1"/>
  <c r="P1315" i="2"/>
  <c r="U1315" i="2" s="1"/>
  <c r="P1314" i="2"/>
  <c r="U1314" i="2" s="1"/>
  <c r="P1313" i="2"/>
  <c r="U1313" i="2" s="1"/>
  <c r="P1312" i="2"/>
  <c r="U1312" i="2" s="1"/>
  <c r="P1311" i="2"/>
  <c r="U1311" i="2" s="1"/>
  <c r="P1310" i="2"/>
  <c r="U1310" i="2" s="1"/>
  <c r="P1309" i="2"/>
  <c r="U1309" i="2" s="1"/>
  <c r="P1308" i="2"/>
  <c r="U1308" i="2" s="1"/>
  <c r="P1307" i="2"/>
  <c r="U1307" i="2" s="1"/>
  <c r="P1306" i="2"/>
  <c r="U1306" i="2" s="1"/>
  <c r="P1305" i="2"/>
  <c r="U1305" i="2" s="1"/>
  <c r="P1304" i="2"/>
  <c r="U1304" i="2" s="1"/>
  <c r="P1303" i="2"/>
  <c r="U1303" i="2" s="1"/>
  <c r="P1302" i="2"/>
  <c r="U1302" i="2" s="1"/>
  <c r="P1301" i="2"/>
  <c r="U1301" i="2" s="1"/>
  <c r="P1300" i="2"/>
  <c r="U1300" i="2" s="1"/>
  <c r="P1299" i="2"/>
  <c r="U1299" i="2" s="1"/>
  <c r="P1298" i="2"/>
  <c r="U1298" i="2" s="1"/>
  <c r="P1297" i="2"/>
  <c r="U1297" i="2" s="1"/>
  <c r="P1296" i="2"/>
  <c r="U1296" i="2" s="1"/>
  <c r="P1295" i="2"/>
  <c r="U1295" i="2" s="1"/>
  <c r="P1294" i="2"/>
  <c r="U1294" i="2" s="1"/>
  <c r="P1293" i="2"/>
  <c r="U1293" i="2" s="1"/>
  <c r="P1292" i="2"/>
  <c r="U1292" i="2" s="1"/>
  <c r="P1291" i="2"/>
  <c r="U1291" i="2" s="1"/>
  <c r="P1290" i="2"/>
  <c r="U1290" i="2" s="1"/>
  <c r="P1289" i="2"/>
  <c r="U1289" i="2" s="1"/>
  <c r="P1288" i="2"/>
  <c r="U1288" i="2" s="1"/>
  <c r="P1287" i="2"/>
  <c r="U1287" i="2" s="1"/>
  <c r="P1286" i="2"/>
  <c r="U1286" i="2" s="1"/>
  <c r="P1285" i="2"/>
  <c r="U1285" i="2" s="1"/>
  <c r="P1284" i="2"/>
  <c r="U1284" i="2" s="1"/>
  <c r="P1283" i="2"/>
  <c r="U1283" i="2" s="1"/>
  <c r="P1282" i="2"/>
  <c r="U1282" i="2" s="1"/>
  <c r="P1281" i="2"/>
  <c r="U1281" i="2" s="1"/>
  <c r="P1280" i="2"/>
  <c r="U1280" i="2" s="1"/>
  <c r="P1279" i="2"/>
  <c r="U1279" i="2" s="1"/>
  <c r="P1278" i="2"/>
  <c r="U1278" i="2" s="1"/>
  <c r="P1277" i="2"/>
  <c r="U1277" i="2" s="1"/>
  <c r="P1276" i="2"/>
  <c r="U1276" i="2" s="1"/>
  <c r="P1275" i="2"/>
  <c r="U1275" i="2" s="1"/>
  <c r="P1274" i="2"/>
  <c r="U1274" i="2" s="1"/>
  <c r="P1273" i="2"/>
  <c r="U1273" i="2" s="1"/>
  <c r="P1272" i="2"/>
  <c r="U1272" i="2" s="1"/>
  <c r="P1271" i="2"/>
  <c r="U1271" i="2" s="1"/>
  <c r="P1270" i="2"/>
  <c r="U1270" i="2" s="1"/>
  <c r="P1269" i="2"/>
  <c r="U1269" i="2" s="1"/>
  <c r="P1268" i="2"/>
  <c r="U1268" i="2" s="1"/>
  <c r="P1267" i="2"/>
  <c r="U1267" i="2" s="1"/>
  <c r="P1266" i="2"/>
  <c r="U1266" i="2" s="1"/>
  <c r="P1265" i="2"/>
  <c r="U1265" i="2" s="1"/>
  <c r="P1264" i="2"/>
  <c r="U1264" i="2" s="1"/>
  <c r="P1263" i="2"/>
  <c r="U1263" i="2" s="1"/>
  <c r="P1262" i="2"/>
  <c r="U1262" i="2" s="1"/>
  <c r="P1261" i="2"/>
  <c r="U1261" i="2" s="1"/>
  <c r="P1260" i="2"/>
  <c r="U1260" i="2" s="1"/>
  <c r="P1259" i="2"/>
  <c r="U1259" i="2" s="1"/>
  <c r="P1258" i="2"/>
  <c r="U1258" i="2" s="1"/>
  <c r="P1257" i="2"/>
  <c r="U1257" i="2" s="1"/>
  <c r="P1256" i="2"/>
  <c r="U1256" i="2" s="1"/>
  <c r="P1255" i="2"/>
  <c r="U1255" i="2" s="1"/>
  <c r="P1254" i="2"/>
  <c r="U1254" i="2" s="1"/>
  <c r="P1253" i="2"/>
  <c r="U1253" i="2" s="1"/>
  <c r="P1252" i="2"/>
  <c r="U1252" i="2" s="1"/>
  <c r="P1251" i="2"/>
  <c r="U1251" i="2" s="1"/>
  <c r="P1250" i="2"/>
  <c r="U1250" i="2" s="1"/>
  <c r="P1249" i="2"/>
  <c r="U1249" i="2" s="1"/>
  <c r="P1248" i="2"/>
  <c r="U1248" i="2" s="1"/>
  <c r="P1247" i="2"/>
  <c r="U1247" i="2" s="1"/>
  <c r="P1246" i="2"/>
  <c r="U1246" i="2" s="1"/>
  <c r="P1245" i="2"/>
  <c r="U1245" i="2" s="1"/>
  <c r="P1244" i="2"/>
  <c r="U1244" i="2" s="1"/>
  <c r="P1243" i="2"/>
  <c r="U1243" i="2" s="1"/>
  <c r="P1242" i="2"/>
  <c r="U1242" i="2" s="1"/>
  <c r="P1241" i="2"/>
  <c r="U1241" i="2" s="1"/>
  <c r="P1240" i="2"/>
  <c r="U1240" i="2" s="1"/>
  <c r="P1239" i="2"/>
  <c r="U1239" i="2" s="1"/>
  <c r="P1238" i="2"/>
  <c r="U1238" i="2" s="1"/>
  <c r="P1237" i="2"/>
  <c r="U1237" i="2" s="1"/>
  <c r="P1236" i="2"/>
  <c r="U1236" i="2" s="1"/>
  <c r="P1235" i="2"/>
  <c r="U1235" i="2" s="1"/>
  <c r="P1234" i="2"/>
  <c r="U1234" i="2" s="1"/>
  <c r="P1233" i="2"/>
  <c r="U1233" i="2" s="1"/>
  <c r="P1232" i="2"/>
  <c r="U1232" i="2" s="1"/>
  <c r="P1231" i="2"/>
  <c r="U1231" i="2" s="1"/>
  <c r="P1230" i="2"/>
  <c r="U1230" i="2" s="1"/>
  <c r="P1229" i="2"/>
  <c r="U1229" i="2" s="1"/>
  <c r="P1228" i="2"/>
  <c r="U1228" i="2" s="1"/>
  <c r="P1227" i="2"/>
  <c r="U1227" i="2" s="1"/>
  <c r="P1226" i="2"/>
  <c r="U1226" i="2" s="1"/>
  <c r="P1225" i="2"/>
  <c r="U1225" i="2" s="1"/>
  <c r="P1224" i="2"/>
  <c r="U1224" i="2" s="1"/>
  <c r="P1223" i="2"/>
  <c r="U1223" i="2" s="1"/>
  <c r="P1222" i="2"/>
  <c r="U1222" i="2" s="1"/>
  <c r="P1221" i="2"/>
  <c r="U1221" i="2" s="1"/>
  <c r="P1220" i="2"/>
  <c r="U1220" i="2" s="1"/>
  <c r="P1219" i="2"/>
  <c r="U1219" i="2" s="1"/>
  <c r="P1218" i="2"/>
  <c r="U1218" i="2" s="1"/>
  <c r="P1217" i="2"/>
  <c r="U1217" i="2" s="1"/>
  <c r="P1216" i="2"/>
  <c r="U1216" i="2" s="1"/>
  <c r="P1215" i="2"/>
  <c r="U1215" i="2" s="1"/>
  <c r="P1214" i="2"/>
  <c r="U1214" i="2" s="1"/>
  <c r="P1213" i="2"/>
  <c r="U1213" i="2" s="1"/>
  <c r="P1212" i="2"/>
  <c r="U1212" i="2" s="1"/>
  <c r="P1211" i="2"/>
  <c r="U1211" i="2" s="1"/>
  <c r="P1210" i="2"/>
  <c r="U1210" i="2" s="1"/>
  <c r="P1209" i="2"/>
  <c r="U1209" i="2" s="1"/>
  <c r="P1208" i="2"/>
  <c r="U1208" i="2" s="1"/>
  <c r="P1207" i="2"/>
  <c r="U1207" i="2" s="1"/>
  <c r="P1206" i="2"/>
  <c r="U1206" i="2" s="1"/>
  <c r="P1205" i="2"/>
  <c r="U1205" i="2" s="1"/>
  <c r="P1204" i="2"/>
  <c r="U1204" i="2" s="1"/>
  <c r="P1203" i="2"/>
  <c r="U1203" i="2" s="1"/>
  <c r="P1202" i="2"/>
  <c r="U1202" i="2" s="1"/>
  <c r="P1201" i="2"/>
  <c r="U1201" i="2" s="1"/>
  <c r="P1200" i="2"/>
  <c r="U1200" i="2" s="1"/>
  <c r="P1199" i="2"/>
  <c r="U1199" i="2" s="1"/>
  <c r="P1198" i="2"/>
  <c r="U1198" i="2" s="1"/>
  <c r="P1197" i="2"/>
  <c r="U1197" i="2" s="1"/>
  <c r="P1196" i="2"/>
  <c r="U1196" i="2" s="1"/>
  <c r="P1195" i="2"/>
  <c r="U1195" i="2" s="1"/>
  <c r="P1194" i="2"/>
  <c r="U1194" i="2" s="1"/>
  <c r="P1193" i="2"/>
  <c r="U1193" i="2" s="1"/>
  <c r="P1192" i="2"/>
  <c r="U1192" i="2" s="1"/>
  <c r="P1191" i="2"/>
  <c r="U1191" i="2" s="1"/>
  <c r="P1190" i="2"/>
  <c r="U1190" i="2" s="1"/>
  <c r="P1189" i="2"/>
  <c r="U1189" i="2" s="1"/>
  <c r="P1188" i="2"/>
  <c r="U1188" i="2" s="1"/>
  <c r="P1187" i="2"/>
  <c r="U1187" i="2" s="1"/>
  <c r="P1186" i="2"/>
  <c r="U1186" i="2" s="1"/>
  <c r="P1185" i="2"/>
  <c r="U1185" i="2" s="1"/>
  <c r="P1184" i="2"/>
  <c r="U1184" i="2" s="1"/>
  <c r="P1183" i="2"/>
  <c r="U1183" i="2" s="1"/>
  <c r="P1182" i="2"/>
  <c r="U1182" i="2" s="1"/>
  <c r="P1181" i="2"/>
  <c r="U1181" i="2" s="1"/>
  <c r="P1180" i="2"/>
  <c r="U1180" i="2" s="1"/>
  <c r="P1179" i="2"/>
  <c r="U1179" i="2" s="1"/>
  <c r="P1178" i="2"/>
  <c r="U1178" i="2" s="1"/>
  <c r="P1177" i="2"/>
  <c r="U1177" i="2" s="1"/>
  <c r="P1176" i="2"/>
  <c r="U1176" i="2" s="1"/>
  <c r="P1175" i="2"/>
  <c r="U1175" i="2" s="1"/>
  <c r="P1174" i="2"/>
  <c r="U1174" i="2" s="1"/>
  <c r="P1173" i="2"/>
  <c r="U1173" i="2" s="1"/>
  <c r="P1172" i="2"/>
  <c r="U1172" i="2" s="1"/>
  <c r="P1171" i="2"/>
  <c r="U1171" i="2" s="1"/>
  <c r="P1170" i="2"/>
  <c r="U1170" i="2" s="1"/>
  <c r="P1169" i="2"/>
  <c r="U1169" i="2" s="1"/>
  <c r="P1168" i="2"/>
  <c r="U1168" i="2" s="1"/>
  <c r="P1167" i="2"/>
  <c r="U1167" i="2" s="1"/>
  <c r="P1166" i="2"/>
  <c r="U1166" i="2" s="1"/>
  <c r="P1165" i="2"/>
  <c r="U1165" i="2" s="1"/>
  <c r="P1164" i="2"/>
  <c r="U1164" i="2" s="1"/>
  <c r="P1163" i="2"/>
  <c r="U1163" i="2" s="1"/>
  <c r="P1162" i="2"/>
  <c r="U1162" i="2" s="1"/>
  <c r="P1161" i="2"/>
  <c r="U1161" i="2" s="1"/>
  <c r="P1160" i="2"/>
  <c r="U1160" i="2" s="1"/>
  <c r="P1159" i="2"/>
  <c r="U1159" i="2" s="1"/>
  <c r="P1158" i="2"/>
  <c r="U1158" i="2" s="1"/>
  <c r="P1157" i="2"/>
  <c r="U1157" i="2" s="1"/>
  <c r="P1156" i="2"/>
  <c r="U1156" i="2" s="1"/>
  <c r="P1155" i="2"/>
  <c r="U1155" i="2" s="1"/>
  <c r="P1154" i="2"/>
  <c r="U1154" i="2" s="1"/>
  <c r="P1153" i="2"/>
  <c r="U1153" i="2" s="1"/>
  <c r="P1152" i="2"/>
  <c r="U1152" i="2" s="1"/>
  <c r="P1151" i="2"/>
  <c r="U1151" i="2" s="1"/>
  <c r="P1150" i="2"/>
  <c r="U1150" i="2" s="1"/>
  <c r="P1149" i="2"/>
  <c r="U1149" i="2" s="1"/>
  <c r="P1148" i="2"/>
  <c r="U1148" i="2" s="1"/>
  <c r="P1147" i="2"/>
  <c r="U1147" i="2" s="1"/>
  <c r="P1146" i="2"/>
  <c r="U1146" i="2" s="1"/>
  <c r="P1145" i="2"/>
  <c r="U1145" i="2" s="1"/>
  <c r="P1144" i="2"/>
  <c r="U1144" i="2" s="1"/>
  <c r="P1143" i="2"/>
  <c r="U1143" i="2" s="1"/>
  <c r="P1142" i="2"/>
  <c r="U1142" i="2" s="1"/>
  <c r="P1141" i="2"/>
  <c r="U1141" i="2" s="1"/>
  <c r="P1140" i="2"/>
  <c r="U1140" i="2" s="1"/>
  <c r="P1139" i="2"/>
  <c r="U1139" i="2" s="1"/>
  <c r="P1138" i="2"/>
  <c r="U1138" i="2" s="1"/>
  <c r="P1137" i="2"/>
  <c r="U1137" i="2" s="1"/>
  <c r="P1136" i="2"/>
  <c r="U1136" i="2" s="1"/>
  <c r="P1135" i="2"/>
  <c r="U1135" i="2" s="1"/>
  <c r="P1134" i="2"/>
  <c r="U1134" i="2" s="1"/>
  <c r="P1133" i="2"/>
  <c r="U1133" i="2" s="1"/>
  <c r="P1132" i="2"/>
  <c r="U1132" i="2" s="1"/>
  <c r="P1131" i="2"/>
  <c r="U1131" i="2" s="1"/>
  <c r="P1130" i="2"/>
  <c r="U1130" i="2" s="1"/>
  <c r="P1129" i="2"/>
  <c r="U1129" i="2" s="1"/>
  <c r="P1128" i="2"/>
  <c r="U1128" i="2" s="1"/>
  <c r="P1127" i="2"/>
  <c r="U1127" i="2" s="1"/>
  <c r="P1126" i="2"/>
  <c r="U1126" i="2" s="1"/>
  <c r="P1125" i="2"/>
  <c r="U1125" i="2" s="1"/>
  <c r="P1124" i="2"/>
  <c r="U1124" i="2" s="1"/>
  <c r="P1123" i="2"/>
  <c r="U1123" i="2" s="1"/>
  <c r="P1122" i="2"/>
  <c r="U1122" i="2" s="1"/>
  <c r="P1121" i="2"/>
  <c r="U1121" i="2" s="1"/>
  <c r="P1120" i="2"/>
  <c r="U1120" i="2" s="1"/>
  <c r="P1119" i="2"/>
  <c r="U1119" i="2" s="1"/>
  <c r="P1118" i="2"/>
  <c r="U1118" i="2" s="1"/>
  <c r="P1117" i="2"/>
  <c r="U1117" i="2" s="1"/>
  <c r="P1116" i="2"/>
  <c r="U1116" i="2" s="1"/>
  <c r="P1115" i="2"/>
  <c r="U1115" i="2" s="1"/>
  <c r="P1114" i="2"/>
  <c r="U1114" i="2" s="1"/>
  <c r="P1113" i="2"/>
  <c r="U1113" i="2" s="1"/>
  <c r="P1112" i="2"/>
  <c r="U1112" i="2" s="1"/>
  <c r="P1111" i="2"/>
  <c r="U1111" i="2" s="1"/>
  <c r="P1110" i="2"/>
  <c r="U1110" i="2" s="1"/>
  <c r="P1109" i="2"/>
  <c r="U1109" i="2" s="1"/>
  <c r="P1108" i="2"/>
  <c r="U1108" i="2" s="1"/>
  <c r="P1107" i="2"/>
  <c r="U1107" i="2" s="1"/>
  <c r="P1106" i="2"/>
  <c r="U1106" i="2" s="1"/>
  <c r="P1105" i="2"/>
  <c r="U1105" i="2" s="1"/>
  <c r="P1104" i="2"/>
  <c r="U1104" i="2" s="1"/>
  <c r="P1103" i="2"/>
  <c r="U1103" i="2" s="1"/>
  <c r="P1102" i="2"/>
  <c r="U1102" i="2" s="1"/>
  <c r="P1101" i="2"/>
  <c r="U1101" i="2" s="1"/>
  <c r="P1100" i="2"/>
  <c r="U1100" i="2" s="1"/>
  <c r="P1099" i="2"/>
  <c r="U1099" i="2" s="1"/>
  <c r="P1098" i="2"/>
  <c r="U1098" i="2" s="1"/>
  <c r="P1097" i="2"/>
  <c r="U1097" i="2" s="1"/>
  <c r="P1096" i="2"/>
  <c r="U1096" i="2" s="1"/>
  <c r="P1095" i="2"/>
  <c r="U1095" i="2" s="1"/>
  <c r="P1094" i="2"/>
  <c r="U1094" i="2" s="1"/>
  <c r="P1093" i="2"/>
  <c r="U1093" i="2" s="1"/>
  <c r="P1092" i="2"/>
  <c r="U1092" i="2" s="1"/>
  <c r="P1091" i="2"/>
  <c r="U1091" i="2" s="1"/>
  <c r="P1090" i="2"/>
  <c r="U1090" i="2" s="1"/>
  <c r="P1089" i="2"/>
  <c r="U1089" i="2" s="1"/>
  <c r="P1088" i="2"/>
  <c r="U1088" i="2" s="1"/>
  <c r="P1087" i="2"/>
  <c r="U1087" i="2" s="1"/>
  <c r="P1086" i="2"/>
  <c r="U1086" i="2" s="1"/>
  <c r="P1085" i="2"/>
  <c r="U1085" i="2" s="1"/>
  <c r="P1084" i="2"/>
  <c r="U1084" i="2" s="1"/>
  <c r="P1083" i="2"/>
  <c r="U1083" i="2" s="1"/>
  <c r="P1082" i="2"/>
  <c r="U1082" i="2" s="1"/>
  <c r="P1081" i="2"/>
  <c r="U1081" i="2" s="1"/>
  <c r="P1080" i="2"/>
  <c r="U1080" i="2" s="1"/>
  <c r="P1079" i="2"/>
  <c r="U1079" i="2" s="1"/>
  <c r="P1078" i="2"/>
  <c r="U1078" i="2" s="1"/>
  <c r="P1077" i="2"/>
  <c r="U1077" i="2" s="1"/>
  <c r="P1076" i="2"/>
  <c r="U1076" i="2" s="1"/>
  <c r="P1075" i="2"/>
  <c r="U1075" i="2" s="1"/>
  <c r="P1074" i="2"/>
  <c r="U1074" i="2" s="1"/>
  <c r="P1073" i="2"/>
  <c r="U1073" i="2" s="1"/>
  <c r="P1072" i="2"/>
  <c r="U1072" i="2" s="1"/>
  <c r="P1071" i="2"/>
  <c r="U1071" i="2" s="1"/>
  <c r="P1070" i="2"/>
  <c r="U1070" i="2" s="1"/>
  <c r="P1069" i="2"/>
  <c r="U1069" i="2" s="1"/>
  <c r="P1068" i="2"/>
  <c r="U1068" i="2" s="1"/>
  <c r="P1067" i="2"/>
  <c r="U1067" i="2" s="1"/>
  <c r="P1066" i="2"/>
  <c r="U1066" i="2" s="1"/>
  <c r="P1065" i="2"/>
  <c r="U1065" i="2" s="1"/>
  <c r="P1064" i="2"/>
  <c r="U1064" i="2" s="1"/>
  <c r="P1063" i="2"/>
  <c r="U1063" i="2" s="1"/>
  <c r="P1062" i="2"/>
  <c r="U1062" i="2" s="1"/>
  <c r="P1061" i="2"/>
  <c r="U1061" i="2" s="1"/>
  <c r="P1060" i="2"/>
  <c r="U1060" i="2" s="1"/>
  <c r="P1059" i="2"/>
  <c r="U1059" i="2" s="1"/>
  <c r="P1058" i="2"/>
  <c r="U1058" i="2" s="1"/>
  <c r="P1057" i="2"/>
  <c r="U1057" i="2" s="1"/>
  <c r="P1056" i="2"/>
  <c r="U1056" i="2" s="1"/>
  <c r="P1055" i="2"/>
  <c r="U1055" i="2" s="1"/>
  <c r="P1054" i="2"/>
  <c r="U1054" i="2" s="1"/>
  <c r="P1053" i="2"/>
  <c r="U1053" i="2" s="1"/>
  <c r="P1052" i="2"/>
  <c r="U1052" i="2" s="1"/>
  <c r="P1051" i="2"/>
  <c r="U1051" i="2" s="1"/>
  <c r="P1050" i="2"/>
  <c r="U1050" i="2" s="1"/>
  <c r="P1049" i="2"/>
  <c r="U1049" i="2" s="1"/>
  <c r="P1048" i="2"/>
  <c r="U1048" i="2" s="1"/>
  <c r="P1047" i="2"/>
  <c r="U1047" i="2" s="1"/>
  <c r="P1046" i="2"/>
  <c r="U1046" i="2" s="1"/>
  <c r="P1045" i="2"/>
  <c r="U1045" i="2" s="1"/>
  <c r="P1044" i="2"/>
  <c r="U1044" i="2" s="1"/>
  <c r="P1043" i="2"/>
  <c r="U1043" i="2" s="1"/>
  <c r="P1042" i="2"/>
  <c r="U1042" i="2" s="1"/>
  <c r="P1041" i="2"/>
  <c r="U1041" i="2" s="1"/>
  <c r="P1040" i="2"/>
  <c r="U1040" i="2" s="1"/>
  <c r="P1039" i="2"/>
  <c r="U1039" i="2" s="1"/>
  <c r="P1038" i="2"/>
  <c r="U1038" i="2" s="1"/>
  <c r="P1037" i="2"/>
  <c r="U1037" i="2" s="1"/>
  <c r="P1036" i="2"/>
  <c r="U1036" i="2" s="1"/>
  <c r="P1035" i="2"/>
  <c r="U1035" i="2" s="1"/>
  <c r="P1034" i="2"/>
  <c r="U1034" i="2" s="1"/>
  <c r="P1033" i="2"/>
  <c r="U1033" i="2" s="1"/>
  <c r="P1032" i="2"/>
  <c r="U1032" i="2" s="1"/>
  <c r="P1031" i="2"/>
  <c r="U1031" i="2" s="1"/>
  <c r="P1030" i="2"/>
  <c r="U1030" i="2" s="1"/>
  <c r="P1029" i="2"/>
  <c r="U1029" i="2" s="1"/>
  <c r="P1028" i="2"/>
  <c r="U1028" i="2" s="1"/>
  <c r="P1027" i="2"/>
  <c r="U1027" i="2" s="1"/>
  <c r="P1026" i="2"/>
  <c r="U1026" i="2" s="1"/>
  <c r="P1025" i="2"/>
  <c r="U1025" i="2" s="1"/>
  <c r="P1024" i="2"/>
  <c r="U1024" i="2" s="1"/>
  <c r="P1023" i="2"/>
  <c r="U1023" i="2" s="1"/>
  <c r="P1022" i="2"/>
  <c r="U1022" i="2" s="1"/>
  <c r="P1021" i="2"/>
  <c r="U1021" i="2" s="1"/>
  <c r="P1020" i="2"/>
  <c r="U1020" i="2" s="1"/>
  <c r="P1019" i="2"/>
  <c r="U1019" i="2" s="1"/>
  <c r="P1018" i="2"/>
  <c r="U1018" i="2" s="1"/>
  <c r="P1017" i="2"/>
  <c r="U1017" i="2" s="1"/>
  <c r="P1016" i="2"/>
  <c r="U1016" i="2" s="1"/>
  <c r="P1015" i="2"/>
  <c r="U1015" i="2" s="1"/>
  <c r="P1014" i="2"/>
  <c r="U1014" i="2" s="1"/>
  <c r="P1013" i="2"/>
  <c r="U1013" i="2" s="1"/>
  <c r="P1012" i="2"/>
  <c r="U1012" i="2" s="1"/>
  <c r="P1011" i="2"/>
  <c r="U1011" i="2" s="1"/>
  <c r="P1010" i="2"/>
  <c r="U1010" i="2" s="1"/>
  <c r="P1009" i="2"/>
  <c r="U1009" i="2" s="1"/>
  <c r="P1008" i="2"/>
  <c r="U1008" i="2" s="1"/>
  <c r="P1007" i="2"/>
  <c r="U1007" i="2" s="1"/>
  <c r="P1006" i="2"/>
  <c r="U1006" i="2" s="1"/>
  <c r="P1005" i="2"/>
  <c r="U1005" i="2" s="1"/>
  <c r="P1004" i="2"/>
  <c r="U1004" i="2" s="1"/>
  <c r="P1003" i="2"/>
  <c r="U1003" i="2" s="1"/>
  <c r="P1002" i="2"/>
  <c r="U1002" i="2" s="1"/>
  <c r="P1001" i="2"/>
  <c r="U1001" i="2" s="1"/>
  <c r="P1000" i="2"/>
  <c r="U1000" i="2" s="1"/>
  <c r="P999" i="2"/>
  <c r="U999" i="2" s="1"/>
  <c r="P998" i="2"/>
  <c r="U998" i="2" s="1"/>
  <c r="P997" i="2"/>
  <c r="U997" i="2" s="1"/>
  <c r="P996" i="2"/>
  <c r="U996" i="2" s="1"/>
  <c r="P995" i="2"/>
  <c r="U995" i="2" s="1"/>
  <c r="P994" i="2"/>
  <c r="U994" i="2" s="1"/>
  <c r="P993" i="2"/>
  <c r="U993" i="2" s="1"/>
  <c r="P992" i="2"/>
  <c r="U992" i="2" s="1"/>
  <c r="P991" i="2"/>
  <c r="U991" i="2" s="1"/>
  <c r="P990" i="2"/>
  <c r="U990" i="2" s="1"/>
  <c r="P989" i="2"/>
  <c r="U989" i="2" s="1"/>
  <c r="P988" i="2"/>
  <c r="U988" i="2" s="1"/>
  <c r="P987" i="2"/>
  <c r="U987" i="2" s="1"/>
  <c r="P986" i="2"/>
  <c r="U986" i="2" s="1"/>
  <c r="P985" i="2"/>
  <c r="U985" i="2" s="1"/>
  <c r="P984" i="2"/>
  <c r="U984" i="2" s="1"/>
  <c r="P983" i="2"/>
  <c r="U983" i="2" s="1"/>
  <c r="P982" i="2"/>
  <c r="U982" i="2" s="1"/>
  <c r="P981" i="2"/>
  <c r="U981" i="2" s="1"/>
  <c r="P980" i="2"/>
  <c r="U980" i="2" s="1"/>
  <c r="P979" i="2"/>
  <c r="U979" i="2" s="1"/>
  <c r="P978" i="2"/>
  <c r="U978" i="2" s="1"/>
  <c r="P977" i="2"/>
  <c r="U977" i="2" s="1"/>
  <c r="P976" i="2"/>
  <c r="U976" i="2" s="1"/>
  <c r="P975" i="2"/>
  <c r="U975" i="2" s="1"/>
  <c r="P974" i="2"/>
  <c r="U974" i="2" s="1"/>
  <c r="P973" i="2"/>
  <c r="U973" i="2" s="1"/>
  <c r="P972" i="2"/>
  <c r="U972" i="2" s="1"/>
  <c r="P971" i="2"/>
  <c r="U971" i="2" s="1"/>
  <c r="P970" i="2"/>
  <c r="U970" i="2" s="1"/>
  <c r="P969" i="2"/>
  <c r="U969" i="2" s="1"/>
  <c r="P968" i="2"/>
  <c r="U968" i="2" s="1"/>
  <c r="P967" i="2"/>
  <c r="U967" i="2" s="1"/>
  <c r="P966" i="2"/>
  <c r="U966" i="2" s="1"/>
  <c r="P965" i="2"/>
  <c r="U965" i="2" s="1"/>
  <c r="P964" i="2"/>
  <c r="U964" i="2" s="1"/>
  <c r="P963" i="2"/>
  <c r="U963" i="2" s="1"/>
  <c r="P962" i="2"/>
  <c r="U962" i="2" s="1"/>
  <c r="P961" i="2"/>
  <c r="U961" i="2" s="1"/>
  <c r="P960" i="2"/>
  <c r="U960" i="2" s="1"/>
  <c r="P959" i="2"/>
  <c r="U959" i="2" s="1"/>
  <c r="P958" i="2"/>
  <c r="U958" i="2" s="1"/>
  <c r="P957" i="2"/>
  <c r="U957" i="2" s="1"/>
  <c r="P956" i="2"/>
  <c r="U956" i="2" s="1"/>
  <c r="P955" i="2"/>
  <c r="U955" i="2" s="1"/>
  <c r="P954" i="2"/>
  <c r="U954" i="2" s="1"/>
  <c r="P953" i="2"/>
  <c r="U953" i="2" s="1"/>
  <c r="P952" i="2"/>
  <c r="U952" i="2" s="1"/>
  <c r="P951" i="2"/>
  <c r="U951" i="2" s="1"/>
  <c r="P950" i="2"/>
  <c r="U950" i="2" s="1"/>
  <c r="P949" i="2"/>
  <c r="U949" i="2" s="1"/>
  <c r="P948" i="2"/>
  <c r="U948" i="2" s="1"/>
  <c r="P947" i="2"/>
  <c r="U947" i="2" s="1"/>
  <c r="P946" i="2"/>
  <c r="U946" i="2" s="1"/>
  <c r="P945" i="2"/>
  <c r="U945" i="2" s="1"/>
  <c r="P944" i="2"/>
  <c r="U944" i="2" s="1"/>
  <c r="P943" i="2"/>
  <c r="U943" i="2" s="1"/>
  <c r="P942" i="2"/>
  <c r="U942" i="2" s="1"/>
  <c r="P941" i="2"/>
  <c r="U941" i="2" s="1"/>
  <c r="P940" i="2"/>
  <c r="U940" i="2" s="1"/>
  <c r="P939" i="2"/>
  <c r="U939" i="2" s="1"/>
  <c r="P938" i="2"/>
  <c r="U938" i="2" s="1"/>
  <c r="P937" i="2"/>
  <c r="U937" i="2" s="1"/>
  <c r="P936" i="2"/>
  <c r="U936" i="2" s="1"/>
  <c r="P935" i="2"/>
  <c r="U935" i="2" s="1"/>
  <c r="P934" i="2"/>
  <c r="U934" i="2" s="1"/>
  <c r="P933" i="2"/>
  <c r="U933" i="2" s="1"/>
  <c r="P932" i="2"/>
  <c r="U932" i="2" s="1"/>
  <c r="P931" i="2"/>
  <c r="U931" i="2" s="1"/>
  <c r="P930" i="2"/>
  <c r="U930" i="2" s="1"/>
  <c r="P929" i="2"/>
  <c r="U929" i="2" s="1"/>
  <c r="P928" i="2"/>
  <c r="U928" i="2" s="1"/>
  <c r="P927" i="2"/>
  <c r="U927" i="2" s="1"/>
  <c r="P926" i="2"/>
  <c r="U926" i="2" s="1"/>
  <c r="P925" i="2"/>
  <c r="U925" i="2" s="1"/>
  <c r="P924" i="2"/>
  <c r="U924" i="2" s="1"/>
  <c r="P923" i="2"/>
  <c r="U923" i="2" s="1"/>
  <c r="P922" i="2"/>
  <c r="U922" i="2" s="1"/>
  <c r="P921" i="2"/>
  <c r="U921" i="2" s="1"/>
  <c r="P920" i="2"/>
  <c r="U920" i="2" s="1"/>
  <c r="P919" i="2"/>
  <c r="U919" i="2" s="1"/>
  <c r="P918" i="2"/>
  <c r="U918" i="2" s="1"/>
  <c r="P917" i="2"/>
  <c r="U917" i="2" s="1"/>
  <c r="P916" i="2"/>
  <c r="U916" i="2" s="1"/>
  <c r="P915" i="2"/>
  <c r="U915" i="2" s="1"/>
  <c r="P914" i="2"/>
  <c r="U914" i="2" s="1"/>
  <c r="P913" i="2"/>
  <c r="U913" i="2" s="1"/>
  <c r="P912" i="2"/>
  <c r="U912" i="2" s="1"/>
  <c r="P911" i="2"/>
  <c r="U911" i="2" s="1"/>
  <c r="P910" i="2"/>
  <c r="U910" i="2" s="1"/>
  <c r="P909" i="2"/>
  <c r="U909" i="2" s="1"/>
  <c r="P908" i="2"/>
  <c r="U908" i="2" s="1"/>
  <c r="P907" i="2"/>
  <c r="U907" i="2" s="1"/>
  <c r="P906" i="2"/>
  <c r="U906" i="2" s="1"/>
  <c r="P905" i="2"/>
  <c r="U905" i="2" s="1"/>
  <c r="P904" i="2"/>
  <c r="U904" i="2" s="1"/>
  <c r="P903" i="2"/>
  <c r="U903" i="2" s="1"/>
  <c r="P902" i="2"/>
  <c r="U902" i="2" s="1"/>
  <c r="P901" i="2"/>
  <c r="U901" i="2" s="1"/>
  <c r="P900" i="2"/>
  <c r="U900" i="2" s="1"/>
  <c r="P899" i="2"/>
  <c r="U899" i="2" s="1"/>
  <c r="P898" i="2"/>
  <c r="U898" i="2" s="1"/>
  <c r="P897" i="2"/>
  <c r="U897" i="2" s="1"/>
  <c r="P896" i="2"/>
  <c r="U896" i="2" s="1"/>
  <c r="P895" i="2"/>
  <c r="U895" i="2" s="1"/>
  <c r="P894" i="2"/>
  <c r="U894" i="2" s="1"/>
  <c r="P893" i="2"/>
  <c r="U893" i="2" s="1"/>
  <c r="P892" i="2"/>
  <c r="U892" i="2" s="1"/>
  <c r="P891" i="2"/>
  <c r="U891" i="2" s="1"/>
  <c r="P890" i="2"/>
  <c r="U890" i="2" s="1"/>
  <c r="P889" i="2"/>
  <c r="U889" i="2" s="1"/>
  <c r="P888" i="2"/>
  <c r="U888" i="2" s="1"/>
  <c r="P887" i="2"/>
  <c r="U887" i="2" s="1"/>
  <c r="P886" i="2"/>
  <c r="U886" i="2" s="1"/>
  <c r="P885" i="2"/>
  <c r="U885" i="2" s="1"/>
  <c r="P884" i="2"/>
  <c r="U884" i="2" s="1"/>
  <c r="P883" i="2"/>
  <c r="U883" i="2" s="1"/>
  <c r="P882" i="2"/>
  <c r="U882" i="2" s="1"/>
  <c r="P881" i="2"/>
  <c r="U881" i="2" s="1"/>
  <c r="P880" i="2"/>
  <c r="U880" i="2" s="1"/>
  <c r="P879" i="2"/>
  <c r="U879" i="2" s="1"/>
  <c r="P878" i="2"/>
  <c r="U878" i="2" s="1"/>
  <c r="P877" i="2"/>
  <c r="U877" i="2" s="1"/>
  <c r="P876" i="2"/>
  <c r="U876" i="2" s="1"/>
  <c r="P875" i="2"/>
  <c r="U875" i="2" s="1"/>
  <c r="P874" i="2"/>
  <c r="U874" i="2" s="1"/>
  <c r="P873" i="2"/>
  <c r="U873" i="2" s="1"/>
  <c r="P872" i="2"/>
  <c r="U872" i="2" s="1"/>
  <c r="P871" i="2"/>
  <c r="U871" i="2" s="1"/>
  <c r="P870" i="2"/>
  <c r="U870" i="2" s="1"/>
  <c r="P869" i="2"/>
  <c r="U869" i="2" s="1"/>
  <c r="P868" i="2"/>
  <c r="U868" i="2" s="1"/>
  <c r="P867" i="2"/>
  <c r="U867" i="2" s="1"/>
  <c r="P866" i="2"/>
  <c r="U866" i="2" s="1"/>
  <c r="P865" i="2"/>
  <c r="U865" i="2" s="1"/>
  <c r="P864" i="2"/>
  <c r="U864" i="2" s="1"/>
  <c r="P863" i="2"/>
  <c r="U863" i="2" s="1"/>
  <c r="P862" i="2"/>
  <c r="U862" i="2" s="1"/>
  <c r="P861" i="2"/>
  <c r="U861" i="2" s="1"/>
  <c r="P860" i="2"/>
  <c r="U860" i="2" s="1"/>
  <c r="P859" i="2"/>
  <c r="U859" i="2" s="1"/>
  <c r="P858" i="2"/>
  <c r="U858" i="2" s="1"/>
  <c r="P857" i="2"/>
  <c r="U857" i="2" s="1"/>
  <c r="P856" i="2"/>
  <c r="U856" i="2" s="1"/>
  <c r="P855" i="2"/>
  <c r="U855" i="2" s="1"/>
  <c r="P854" i="2"/>
  <c r="U854" i="2" s="1"/>
  <c r="P853" i="2"/>
  <c r="U853" i="2" s="1"/>
  <c r="P852" i="2"/>
  <c r="U852" i="2" s="1"/>
  <c r="P851" i="2"/>
  <c r="U851" i="2" s="1"/>
  <c r="P850" i="2"/>
  <c r="U850" i="2" s="1"/>
  <c r="P849" i="2"/>
  <c r="U849" i="2" s="1"/>
  <c r="P848" i="2"/>
  <c r="U848" i="2" s="1"/>
  <c r="P847" i="2"/>
  <c r="U847" i="2" s="1"/>
  <c r="P846" i="2"/>
  <c r="U846" i="2" s="1"/>
  <c r="P845" i="2"/>
  <c r="U845" i="2" s="1"/>
  <c r="P844" i="2"/>
  <c r="U844" i="2" s="1"/>
  <c r="P843" i="2"/>
  <c r="U843" i="2" s="1"/>
  <c r="P842" i="2"/>
  <c r="U842" i="2" s="1"/>
  <c r="P841" i="2"/>
  <c r="U841" i="2" s="1"/>
  <c r="P840" i="2"/>
  <c r="U840" i="2" s="1"/>
  <c r="P839" i="2"/>
  <c r="U839" i="2" s="1"/>
  <c r="P838" i="2"/>
  <c r="U838" i="2" s="1"/>
  <c r="P837" i="2"/>
  <c r="U837" i="2" s="1"/>
  <c r="P836" i="2"/>
  <c r="U836" i="2" s="1"/>
  <c r="P835" i="2"/>
  <c r="U835" i="2" s="1"/>
  <c r="P834" i="2"/>
  <c r="U834" i="2" s="1"/>
  <c r="P833" i="2"/>
  <c r="U833" i="2" s="1"/>
  <c r="P832" i="2"/>
  <c r="U832" i="2" s="1"/>
  <c r="P831" i="2"/>
  <c r="U831" i="2" s="1"/>
  <c r="P830" i="2"/>
  <c r="U830" i="2" s="1"/>
  <c r="P829" i="2"/>
  <c r="U829" i="2" s="1"/>
  <c r="P828" i="2"/>
  <c r="U828" i="2" s="1"/>
  <c r="P827" i="2"/>
  <c r="U827" i="2" s="1"/>
  <c r="P826" i="2"/>
  <c r="U826" i="2" s="1"/>
  <c r="P825" i="2"/>
  <c r="U825" i="2" s="1"/>
  <c r="P824" i="2"/>
  <c r="U824" i="2" s="1"/>
  <c r="P823" i="2"/>
  <c r="U823" i="2" s="1"/>
  <c r="P822" i="2"/>
  <c r="U822" i="2" s="1"/>
  <c r="P821" i="2"/>
  <c r="U821" i="2" s="1"/>
  <c r="P820" i="2"/>
  <c r="U820" i="2" s="1"/>
  <c r="P819" i="2"/>
  <c r="U819" i="2" s="1"/>
  <c r="P818" i="2"/>
  <c r="U818" i="2" s="1"/>
  <c r="P817" i="2"/>
  <c r="U817" i="2" s="1"/>
  <c r="P816" i="2"/>
  <c r="U816" i="2" s="1"/>
  <c r="P815" i="2"/>
  <c r="U815" i="2" s="1"/>
  <c r="P814" i="2"/>
  <c r="U814" i="2" s="1"/>
  <c r="P813" i="2"/>
  <c r="U813" i="2" s="1"/>
  <c r="P812" i="2"/>
  <c r="U812" i="2" s="1"/>
  <c r="P811" i="2"/>
  <c r="U811" i="2" s="1"/>
  <c r="P810" i="2"/>
  <c r="U810" i="2" s="1"/>
  <c r="P809" i="2"/>
  <c r="U809" i="2" s="1"/>
  <c r="P808" i="2"/>
  <c r="U808" i="2" s="1"/>
  <c r="P807" i="2"/>
  <c r="U807" i="2" s="1"/>
  <c r="P806" i="2"/>
  <c r="U806" i="2" s="1"/>
  <c r="P805" i="2"/>
  <c r="U805" i="2" s="1"/>
  <c r="P804" i="2"/>
  <c r="U804" i="2" s="1"/>
  <c r="P803" i="2"/>
  <c r="U803" i="2" s="1"/>
  <c r="P802" i="2"/>
  <c r="U802" i="2" s="1"/>
  <c r="P801" i="2"/>
  <c r="U801" i="2" s="1"/>
  <c r="P800" i="2"/>
  <c r="U800" i="2" s="1"/>
  <c r="P799" i="2"/>
  <c r="U799" i="2" s="1"/>
  <c r="P798" i="2"/>
  <c r="U798" i="2" s="1"/>
  <c r="P797" i="2"/>
  <c r="U797" i="2" s="1"/>
  <c r="P796" i="2"/>
  <c r="U796" i="2" s="1"/>
  <c r="P795" i="2"/>
  <c r="U795" i="2" s="1"/>
  <c r="P794" i="2"/>
  <c r="U794" i="2" s="1"/>
  <c r="P793" i="2"/>
  <c r="U793" i="2" s="1"/>
  <c r="P792" i="2"/>
  <c r="U792" i="2" s="1"/>
  <c r="P791" i="2"/>
  <c r="U791" i="2" s="1"/>
  <c r="P790" i="2"/>
  <c r="U790" i="2" s="1"/>
  <c r="P789" i="2"/>
  <c r="U789" i="2" s="1"/>
  <c r="P788" i="2"/>
  <c r="U788" i="2" s="1"/>
  <c r="P787" i="2"/>
  <c r="U787" i="2" s="1"/>
  <c r="P786" i="2"/>
  <c r="U786" i="2" s="1"/>
  <c r="P785" i="2"/>
  <c r="U785" i="2" s="1"/>
  <c r="P784" i="2"/>
  <c r="U784" i="2" s="1"/>
  <c r="P783" i="2"/>
  <c r="U783" i="2" s="1"/>
  <c r="P782" i="2"/>
  <c r="U782" i="2" s="1"/>
  <c r="P781" i="2"/>
  <c r="U781" i="2" s="1"/>
  <c r="P780" i="2"/>
  <c r="U780" i="2" s="1"/>
  <c r="P779" i="2"/>
  <c r="U779" i="2" s="1"/>
  <c r="P778" i="2"/>
  <c r="U778" i="2" s="1"/>
  <c r="P777" i="2"/>
  <c r="U777" i="2" s="1"/>
  <c r="P776" i="2"/>
  <c r="U776" i="2" s="1"/>
  <c r="P775" i="2"/>
  <c r="U775" i="2" s="1"/>
  <c r="P774" i="2"/>
  <c r="U774" i="2" s="1"/>
  <c r="P773" i="2"/>
  <c r="U773" i="2" s="1"/>
  <c r="P772" i="2"/>
  <c r="U772" i="2" s="1"/>
  <c r="P771" i="2"/>
  <c r="U771" i="2" s="1"/>
  <c r="P770" i="2"/>
  <c r="U770" i="2" s="1"/>
  <c r="P769" i="2"/>
  <c r="U769" i="2" s="1"/>
  <c r="P768" i="2"/>
  <c r="U768" i="2" s="1"/>
  <c r="P767" i="2"/>
  <c r="U767" i="2" s="1"/>
  <c r="P766" i="2"/>
  <c r="U766" i="2" s="1"/>
  <c r="P765" i="2"/>
  <c r="U765" i="2" s="1"/>
  <c r="P764" i="2"/>
  <c r="U764" i="2" s="1"/>
  <c r="P763" i="2"/>
  <c r="U763" i="2" s="1"/>
  <c r="P762" i="2"/>
  <c r="U762" i="2" s="1"/>
  <c r="P761" i="2"/>
  <c r="U761" i="2" s="1"/>
  <c r="P760" i="2"/>
  <c r="U760" i="2" s="1"/>
  <c r="P759" i="2"/>
  <c r="U759" i="2" s="1"/>
  <c r="P758" i="2"/>
  <c r="U758" i="2" s="1"/>
  <c r="P757" i="2"/>
  <c r="U757" i="2" s="1"/>
  <c r="P756" i="2"/>
  <c r="U756" i="2" s="1"/>
  <c r="P755" i="2"/>
  <c r="U755" i="2" s="1"/>
  <c r="P754" i="2"/>
  <c r="U754" i="2" s="1"/>
  <c r="P753" i="2"/>
  <c r="U753" i="2" s="1"/>
  <c r="P752" i="2"/>
  <c r="U752" i="2" s="1"/>
  <c r="P751" i="2"/>
  <c r="U751" i="2" s="1"/>
  <c r="P750" i="2"/>
  <c r="U750" i="2" s="1"/>
  <c r="P749" i="2"/>
  <c r="U749" i="2" s="1"/>
  <c r="P748" i="2"/>
  <c r="U748" i="2" s="1"/>
  <c r="P747" i="2"/>
  <c r="U747" i="2" s="1"/>
  <c r="P746" i="2"/>
  <c r="U746" i="2" s="1"/>
  <c r="P745" i="2"/>
  <c r="U745" i="2" s="1"/>
  <c r="P744" i="2"/>
  <c r="U744" i="2" s="1"/>
  <c r="P743" i="2"/>
  <c r="U743" i="2" s="1"/>
  <c r="P742" i="2"/>
  <c r="U742" i="2" s="1"/>
  <c r="P741" i="2"/>
  <c r="U741" i="2" s="1"/>
  <c r="P740" i="2"/>
  <c r="U740" i="2" s="1"/>
  <c r="P739" i="2"/>
  <c r="U739" i="2" s="1"/>
  <c r="P738" i="2"/>
  <c r="U738" i="2" s="1"/>
  <c r="P737" i="2"/>
  <c r="U737" i="2" s="1"/>
  <c r="P736" i="2"/>
  <c r="U736" i="2" s="1"/>
  <c r="P735" i="2"/>
  <c r="U735" i="2" s="1"/>
  <c r="P734" i="2"/>
  <c r="U734" i="2" s="1"/>
  <c r="P733" i="2"/>
  <c r="U733" i="2" s="1"/>
  <c r="P732" i="2"/>
  <c r="U732" i="2" s="1"/>
  <c r="P731" i="2"/>
  <c r="U731" i="2" s="1"/>
  <c r="P730" i="2"/>
  <c r="U730" i="2" s="1"/>
  <c r="P729" i="2"/>
  <c r="U729" i="2" s="1"/>
  <c r="P728" i="2"/>
  <c r="U728" i="2" s="1"/>
  <c r="P727" i="2"/>
  <c r="U727" i="2" s="1"/>
  <c r="P726" i="2"/>
  <c r="U726" i="2" s="1"/>
  <c r="P725" i="2"/>
  <c r="U725" i="2" s="1"/>
  <c r="P724" i="2"/>
  <c r="U724" i="2" s="1"/>
  <c r="P723" i="2"/>
  <c r="U723" i="2" s="1"/>
  <c r="P722" i="2"/>
  <c r="U722" i="2" s="1"/>
  <c r="P721" i="2"/>
  <c r="U721" i="2" s="1"/>
  <c r="P720" i="2"/>
  <c r="U720" i="2" s="1"/>
  <c r="P719" i="2"/>
  <c r="U719" i="2" s="1"/>
  <c r="P718" i="2"/>
  <c r="U718" i="2" s="1"/>
  <c r="P717" i="2"/>
  <c r="U717" i="2" s="1"/>
  <c r="P716" i="2"/>
  <c r="U716" i="2" s="1"/>
  <c r="P715" i="2"/>
  <c r="U715" i="2" s="1"/>
  <c r="P714" i="2"/>
  <c r="U714" i="2" s="1"/>
  <c r="P713" i="2"/>
  <c r="U713" i="2" s="1"/>
  <c r="P712" i="2"/>
  <c r="U712" i="2" s="1"/>
  <c r="P711" i="2"/>
  <c r="U711" i="2" s="1"/>
  <c r="P710" i="2"/>
  <c r="U710" i="2" s="1"/>
  <c r="P709" i="2"/>
  <c r="U709" i="2" s="1"/>
  <c r="P708" i="2"/>
  <c r="U708" i="2" s="1"/>
  <c r="P707" i="2"/>
  <c r="U707" i="2" s="1"/>
  <c r="P706" i="2"/>
  <c r="U706" i="2" s="1"/>
  <c r="P705" i="2"/>
  <c r="U705" i="2" s="1"/>
  <c r="P704" i="2"/>
  <c r="U704" i="2" s="1"/>
  <c r="P703" i="2"/>
  <c r="U703" i="2" s="1"/>
  <c r="P702" i="2"/>
  <c r="U702" i="2" s="1"/>
  <c r="P701" i="2"/>
  <c r="U701" i="2" s="1"/>
  <c r="P700" i="2"/>
  <c r="U700" i="2" s="1"/>
  <c r="P699" i="2"/>
  <c r="U699" i="2" s="1"/>
  <c r="P698" i="2"/>
  <c r="U698" i="2" s="1"/>
  <c r="P697" i="2"/>
  <c r="U697" i="2" s="1"/>
  <c r="P696" i="2"/>
  <c r="U696" i="2" s="1"/>
  <c r="P695" i="2"/>
  <c r="U695" i="2" s="1"/>
  <c r="P694" i="2"/>
  <c r="U694" i="2" s="1"/>
  <c r="P693" i="2"/>
  <c r="U693" i="2" s="1"/>
  <c r="P692" i="2"/>
  <c r="U692" i="2" s="1"/>
  <c r="P691" i="2"/>
  <c r="U691" i="2" s="1"/>
  <c r="P690" i="2"/>
  <c r="U690" i="2" s="1"/>
  <c r="P689" i="2"/>
  <c r="U689" i="2" s="1"/>
  <c r="P688" i="2"/>
  <c r="U688" i="2" s="1"/>
  <c r="P687" i="2"/>
  <c r="U687" i="2" s="1"/>
  <c r="P686" i="2"/>
  <c r="U686" i="2" s="1"/>
  <c r="P685" i="2"/>
  <c r="U685" i="2" s="1"/>
  <c r="P684" i="2"/>
  <c r="U684" i="2" s="1"/>
  <c r="P683" i="2"/>
  <c r="U683" i="2" s="1"/>
  <c r="P682" i="2"/>
  <c r="U682" i="2" s="1"/>
  <c r="P681" i="2"/>
  <c r="U681" i="2" s="1"/>
  <c r="P680" i="2"/>
  <c r="U680" i="2" s="1"/>
  <c r="P679" i="2"/>
  <c r="U679" i="2" s="1"/>
  <c r="P678" i="2"/>
  <c r="U678" i="2" s="1"/>
  <c r="P677" i="2"/>
  <c r="U677" i="2" s="1"/>
  <c r="P676" i="2"/>
  <c r="U676" i="2" s="1"/>
  <c r="P675" i="2"/>
  <c r="U675" i="2" s="1"/>
  <c r="P674" i="2"/>
  <c r="U674" i="2" s="1"/>
  <c r="P673" i="2"/>
  <c r="U673" i="2" s="1"/>
  <c r="P672" i="2"/>
  <c r="U672" i="2" s="1"/>
  <c r="P671" i="2"/>
  <c r="U671" i="2" s="1"/>
  <c r="P670" i="2"/>
  <c r="U670" i="2" s="1"/>
  <c r="P669" i="2"/>
  <c r="U669" i="2" s="1"/>
  <c r="P668" i="2"/>
  <c r="U668" i="2" s="1"/>
  <c r="P667" i="2"/>
  <c r="U667" i="2" s="1"/>
  <c r="P666" i="2"/>
  <c r="U666" i="2" s="1"/>
  <c r="P665" i="2"/>
  <c r="U665" i="2" s="1"/>
  <c r="P664" i="2"/>
  <c r="U664" i="2" s="1"/>
  <c r="P663" i="2"/>
  <c r="U663" i="2" s="1"/>
  <c r="P662" i="2"/>
  <c r="U662" i="2" s="1"/>
  <c r="P661" i="2"/>
  <c r="U661" i="2" s="1"/>
  <c r="P660" i="2"/>
  <c r="U660" i="2" s="1"/>
  <c r="P659" i="2"/>
  <c r="U659" i="2" s="1"/>
  <c r="P658" i="2"/>
  <c r="U658" i="2" s="1"/>
  <c r="P657" i="2"/>
  <c r="U657" i="2" s="1"/>
  <c r="P656" i="2"/>
  <c r="U656" i="2" s="1"/>
  <c r="P655" i="2"/>
  <c r="U655" i="2" s="1"/>
  <c r="P654" i="2"/>
  <c r="U654" i="2" s="1"/>
  <c r="P653" i="2"/>
  <c r="U653" i="2" s="1"/>
  <c r="P652" i="2"/>
  <c r="U652" i="2" s="1"/>
  <c r="P651" i="2"/>
  <c r="U651" i="2" s="1"/>
  <c r="P650" i="2"/>
  <c r="U650" i="2" s="1"/>
  <c r="P649" i="2"/>
  <c r="U649" i="2" s="1"/>
  <c r="P648" i="2"/>
  <c r="U648" i="2" s="1"/>
  <c r="P647" i="2"/>
  <c r="U647" i="2" s="1"/>
  <c r="P646" i="2"/>
  <c r="U646" i="2" s="1"/>
  <c r="P645" i="2"/>
  <c r="U645" i="2" s="1"/>
  <c r="P644" i="2"/>
  <c r="U644" i="2" s="1"/>
  <c r="P643" i="2"/>
  <c r="U643" i="2" s="1"/>
  <c r="P642" i="2"/>
  <c r="U642" i="2" s="1"/>
  <c r="P641" i="2"/>
  <c r="U641" i="2" s="1"/>
  <c r="P640" i="2"/>
  <c r="U640" i="2" s="1"/>
  <c r="P639" i="2"/>
  <c r="U639" i="2" s="1"/>
  <c r="P638" i="2"/>
  <c r="U638" i="2" s="1"/>
  <c r="P637" i="2"/>
  <c r="U637" i="2" s="1"/>
  <c r="P636" i="2"/>
  <c r="U636" i="2" s="1"/>
  <c r="P635" i="2"/>
  <c r="U635" i="2" s="1"/>
  <c r="P634" i="2"/>
  <c r="U634" i="2" s="1"/>
  <c r="P633" i="2"/>
  <c r="U633" i="2" s="1"/>
  <c r="P632" i="2"/>
  <c r="U632" i="2" s="1"/>
  <c r="P631" i="2"/>
  <c r="U631" i="2" s="1"/>
  <c r="P630" i="2"/>
  <c r="U630" i="2" s="1"/>
  <c r="P629" i="2"/>
  <c r="U629" i="2" s="1"/>
  <c r="P628" i="2"/>
  <c r="U628" i="2" s="1"/>
  <c r="P627" i="2"/>
  <c r="U627" i="2" s="1"/>
  <c r="P626" i="2"/>
  <c r="U626" i="2" s="1"/>
  <c r="P625" i="2"/>
  <c r="U625" i="2" s="1"/>
  <c r="P624" i="2"/>
  <c r="U624" i="2" s="1"/>
  <c r="P623" i="2"/>
  <c r="U623" i="2" s="1"/>
  <c r="P622" i="2"/>
  <c r="U622" i="2" s="1"/>
  <c r="P621" i="2"/>
  <c r="U621" i="2" s="1"/>
  <c r="P620" i="2"/>
  <c r="U620" i="2" s="1"/>
  <c r="P619" i="2"/>
  <c r="U619" i="2" s="1"/>
  <c r="P618" i="2"/>
  <c r="U618" i="2" s="1"/>
  <c r="P617" i="2"/>
  <c r="U617" i="2" s="1"/>
  <c r="P616" i="2"/>
  <c r="U616" i="2" s="1"/>
  <c r="P615" i="2"/>
  <c r="U615" i="2" s="1"/>
  <c r="P614" i="2"/>
  <c r="U614" i="2" s="1"/>
  <c r="P613" i="2"/>
  <c r="U613" i="2" s="1"/>
  <c r="P612" i="2"/>
  <c r="U612" i="2" s="1"/>
  <c r="P611" i="2"/>
  <c r="U611" i="2" s="1"/>
  <c r="P610" i="2"/>
  <c r="U610" i="2" s="1"/>
  <c r="P609" i="2"/>
  <c r="U609" i="2" s="1"/>
  <c r="P608" i="2"/>
  <c r="U608" i="2" s="1"/>
  <c r="P607" i="2"/>
  <c r="U607" i="2" s="1"/>
  <c r="P606" i="2"/>
  <c r="U606" i="2" s="1"/>
  <c r="P605" i="2"/>
  <c r="U605" i="2" s="1"/>
  <c r="P604" i="2"/>
  <c r="U604" i="2" s="1"/>
  <c r="P603" i="2"/>
  <c r="U603" i="2" s="1"/>
  <c r="P602" i="2"/>
  <c r="U602" i="2" s="1"/>
  <c r="P601" i="2"/>
  <c r="U601" i="2" s="1"/>
  <c r="P600" i="2"/>
  <c r="U600" i="2" s="1"/>
  <c r="P599" i="2"/>
  <c r="U599" i="2" s="1"/>
  <c r="P598" i="2"/>
  <c r="U598" i="2" s="1"/>
  <c r="P597" i="2"/>
  <c r="U597" i="2" s="1"/>
  <c r="P596" i="2"/>
  <c r="U596" i="2" s="1"/>
  <c r="P595" i="2"/>
  <c r="U595" i="2" s="1"/>
  <c r="P594" i="2"/>
  <c r="U594" i="2" s="1"/>
  <c r="P593" i="2"/>
  <c r="U593" i="2" s="1"/>
  <c r="P592" i="2"/>
  <c r="U592" i="2" s="1"/>
  <c r="P591" i="2"/>
  <c r="U591" i="2" s="1"/>
  <c r="P590" i="2"/>
  <c r="U590" i="2" s="1"/>
  <c r="P589" i="2"/>
  <c r="U589" i="2" s="1"/>
  <c r="P588" i="2"/>
  <c r="U588" i="2" s="1"/>
  <c r="P587" i="2"/>
  <c r="U587" i="2" s="1"/>
  <c r="P586" i="2"/>
  <c r="U586" i="2" s="1"/>
  <c r="P585" i="2"/>
  <c r="U585" i="2" s="1"/>
  <c r="P584" i="2"/>
  <c r="U584" i="2" s="1"/>
  <c r="P583" i="2"/>
  <c r="U583" i="2" s="1"/>
  <c r="P582" i="2"/>
  <c r="U582" i="2" s="1"/>
  <c r="P581" i="2"/>
  <c r="U581" i="2" s="1"/>
  <c r="P580" i="2"/>
  <c r="U580" i="2" s="1"/>
  <c r="P579" i="2"/>
  <c r="U579" i="2" s="1"/>
  <c r="P578" i="2"/>
  <c r="U578" i="2" s="1"/>
  <c r="P577" i="2"/>
  <c r="U577" i="2" s="1"/>
  <c r="P576" i="2"/>
  <c r="U576" i="2" s="1"/>
  <c r="P575" i="2"/>
  <c r="U575" i="2" s="1"/>
  <c r="P574" i="2"/>
  <c r="U574" i="2" s="1"/>
  <c r="P573" i="2"/>
  <c r="U573" i="2" s="1"/>
  <c r="P572" i="2"/>
  <c r="U572" i="2" s="1"/>
  <c r="P571" i="2"/>
  <c r="U571" i="2" s="1"/>
  <c r="P570" i="2"/>
  <c r="U570" i="2" s="1"/>
  <c r="P569" i="2"/>
  <c r="U569" i="2" s="1"/>
  <c r="P568" i="2"/>
  <c r="U568" i="2" s="1"/>
  <c r="P567" i="2"/>
  <c r="U567" i="2" s="1"/>
  <c r="P566" i="2"/>
  <c r="U566" i="2" s="1"/>
  <c r="P565" i="2"/>
  <c r="U565" i="2" s="1"/>
  <c r="P564" i="2"/>
  <c r="U564" i="2" s="1"/>
  <c r="P563" i="2"/>
  <c r="U563" i="2" s="1"/>
  <c r="P562" i="2"/>
  <c r="U562" i="2" s="1"/>
  <c r="P561" i="2"/>
  <c r="U561" i="2" s="1"/>
  <c r="P560" i="2"/>
  <c r="U560" i="2" s="1"/>
  <c r="P559" i="2"/>
  <c r="U559" i="2" s="1"/>
  <c r="P558" i="2"/>
  <c r="U558" i="2" s="1"/>
  <c r="P557" i="2"/>
  <c r="U557" i="2" s="1"/>
  <c r="P556" i="2"/>
  <c r="U556" i="2" s="1"/>
  <c r="P555" i="2"/>
  <c r="U555" i="2" s="1"/>
  <c r="P554" i="2"/>
  <c r="U554" i="2" s="1"/>
  <c r="P553" i="2"/>
  <c r="U553" i="2" s="1"/>
  <c r="P552" i="2"/>
  <c r="U552" i="2" s="1"/>
  <c r="P551" i="2"/>
  <c r="U551" i="2" s="1"/>
  <c r="P550" i="2"/>
  <c r="U550" i="2" s="1"/>
  <c r="P549" i="2"/>
  <c r="U549" i="2" s="1"/>
  <c r="P548" i="2"/>
  <c r="U548" i="2" s="1"/>
  <c r="P547" i="2"/>
  <c r="U547" i="2" s="1"/>
  <c r="P546" i="2"/>
  <c r="U546" i="2" s="1"/>
  <c r="P545" i="2"/>
  <c r="U545" i="2" s="1"/>
  <c r="P544" i="2"/>
  <c r="U544" i="2" s="1"/>
  <c r="P543" i="2"/>
  <c r="U543" i="2" s="1"/>
  <c r="P542" i="2"/>
  <c r="U542" i="2" s="1"/>
  <c r="P541" i="2"/>
  <c r="U541" i="2" s="1"/>
  <c r="P540" i="2"/>
  <c r="U540" i="2" s="1"/>
  <c r="P539" i="2"/>
  <c r="U539" i="2" s="1"/>
  <c r="P538" i="2"/>
  <c r="U538" i="2" s="1"/>
  <c r="P537" i="2"/>
  <c r="U537" i="2" s="1"/>
  <c r="P536" i="2"/>
  <c r="U536" i="2" s="1"/>
  <c r="P535" i="2"/>
  <c r="U535" i="2" s="1"/>
  <c r="P534" i="2"/>
  <c r="U534" i="2" s="1"/>
  <c r="P533" i="2"/>
  <c r="U533" i="2" s="1"/>
  <c r="P532" i="2"/>
  <c r="U532" i="2" s="1"/>
  <c r="P531" i="2"/>
  <c r="U531" i="2" s="1"/>
  <c r="P530" i="2"/>
  <c r="U530" i="2" s="1"/>
  <c r="P529" i="2"/>
  <c r="U529" i="2" s="1"/>
  <c r="P528" i="2"/>
  <c r="U528" i="2" s="1"/>
  <c r="P527" i="2"/>
  <c r="U527" i="2" s="1"/>
  <c r="P526" i="2"/>
  <c r="U526" i="2" s="1"/>
  <c r="P525" i="2"/>
  <c r="U525" i="2" s="1"/>
  <c r="P524" i="2"/>
  <c r="U524" i="2" s="1"/>
  <c r="P523" i="2"/>
  <c r="U523" i="2" s="1"/>
  <c r="P522" i="2"/>
  <c r="U522" i="2" s="1"/>
  <c r="P521" i="2"/>
  <c r="U521" i="2" s="1"/>
  <c r="P520" i="2"/>
  <c r="U520" i="2" s="1"/>
  <c r="P519" i="2"/>
  <c r="U519" i="2" s="1"/>
  <c r="P518" i="2"/>
  <c r="U518" i="2" s="1"/>
  <c r="P517" i="2"/>
  <c r="U517" i="2" s="1"/>
  <c r="P516" i="2"/>
  <c r="U516" i="2" s="1"/>
  <c r="P515" i="2"/>
  <c r="U515" i="2" s="1"/>
  <c r="P514" i="2"/>
  <c r="U514" i="2" s="1"/>
  <c r="P513" i="2"/>
  <c r="U513" i="2" s="1"/>
  <c r="P512" i="2"/>
  <c r="U512" i="2" s="1"/>
  <c r="P511" i="2"/>
  <c r="U511" i="2" s="1"/>
  <c r="P510" i="2"/>
  <c r="U510" i="2" s="1"/>
  <c r="P509" i="2"/>
  <c r="U509" i="2" s="1"/>
  <c r="P508" i="2"/>
  <c r="U508" i="2" s="1"/>
  <c r="P507" i="2"/>
  <c r="U507" i="2" s="1"/>
  <c r="P506" i="2"/>
  <c r="U506" i="2" s="1"/>
  <c r="P505" i="2"/>
  <c r="U505" i="2" s="1"/>
  <c r="P504" i="2"/>
  <c r="U504" i="2" s="1"/>
  <c r="P503" i="2"/>
  <c r="U503" i="2" s="1"/>
  <c r="P502" i="2"/>
  <c r="U502" i="2" s="1"/>
  <c r="P501" i="2"/>
  <c r="U501" i="2" s="1"/>
  <c r="P500" i="2"/>
  <c r="U500" i="2" s="1"/>
  <c r="P499" i="2"/>
  <c r="U499" i="2" s="1"/>
  <c r="P498" i="2"/>
  <c r="U498" i="2" s="1"/>
  <c r="P497" i="2"/>
  <c r="U497" i="2" s="1"/>
  <c r="P496" i="2"/>
  <c r="U496" i="2" s="1"/>
  <c r="P495" i="2"/>
  <c r="U495" i="2" s="1"/>
  <c r="P494" i="2"/>
  <c r="U494" i="2" s="1"/>
  <c r="P493" i="2"/>
  <c r="U493" i="2" s="1"/>
  <c r="P492" i="2"/>
  <c r="U492" i="2" s="1"/>
  <c r="P491" i="2"/>
  <c r="U491" i="2" s="1"/>
  <c r="P490" i="2"/>
  <c r="U490" i="2" s="1"/>
  <c r="P489" i="2"/>
  <c r="U489" i="2" s="1"/>
  <c r="P488" i="2"/>
  <c r="U488" i="2" s="1"/>
  <c r="P487" i="2"/>
  <c r="U487" i="2" s="1"/>
  <c r="P486" i="2"/>
  <c r="U486" i="2" s="1"/>
  <c r="P485" i="2"/>
  <c r="U485" i="2" s="1"/>
  <c r="P484" i="2"/>
  <c r="U484" i="2" s="1"/>
  <c r="P483" i="2"/>
  <c r="U483" i="2" s="1"/>
  <c r="P482" i="2"/>
  <c r="U482" i="2" s="1"/>
  <c r="P481" i="2"/>
  <c r="U481" i="2" s="1"/>
  <c r="P480" i="2"/>
  <c r="U480" i="2" s="1"/>
  <c r="P479" i="2"/>
  <c r="U479" i="2" s="1"/>
  <c r="P478" i="2"/>
  <c r="U478" i="2" s="1"/>
  <c r="P477" i="2"/>
  <c r="U477" i="2" s="1"/>
  <c r="P476" i="2"/>
  <c r="U476" i="2" s="1"/>
  <c r="P475" i="2"/>
  <c r="U475" i="2" s="1"/>
  <c r="P474" i="2"/>
  <c r="U474" i="2" s="1"/>
  <c r="P473" i="2"/>
  <c r="U473" i="2" s="1"/>
  <c r="P472" i="2"/>
  <c r="U472" i="2" s="1"/>
  <c r="P471" i="2"/>
  <c r="U471" i="2" s="1"/>
  <c r="P470" i="2"/>
  <c r="U470" i="2" s="1"/>
  <c r="P469" i="2"/>
  <c r="U469" i="2" s="1"/>
  <c r="P468" i="2"/>
  <c r="U468" i="2" s="1"/>
  <c r="P467" i="2"/>
  <c r="U467" i="2" s="1"/>
  <c r="P466" i="2"/>
  <c r="U466" i="2" s="1"/>
  <c r="P465" i="2"/>
  <c r="U465" i="2" s="1"/>
  <c r="P464" i="2"/>
  <c r="U464" i="2" s="1"/>
  <c r="P463" i="2"/>
  <c r="U463" i="2" s="1"/>
  <c r="P462" i="2"/>
  <c r="U462" i="2" s="1"/>
  <c r="P461" i="2"/>
  <c r="U461" i="2" s="1"/>
  <c r="P460" i="2"/>
  <c r="U460" i="2" s="1"/>
  <c r="P459" i="2"/>
  <c r="U459" i="2" s="1"/>
  <c r="P458" i="2"/>
  <c r="U458" i="2" s="1"/>
  <c r="P457" i="2"/>
  <c r="U457" i="2" s="1"/>
  <c r="P456" i="2"/>
  <c r="U456" i="2" s="1"/>
  <c r="P455" i="2"/>
  <c r="U455" i="2" s="1"/>
  <c r="P454" i="2"/>
  <c r="U454" i="2" s="1"/>
  <c r="P453" i="2"/>
  <c r="U453" i="2" s="1"/>
  <c r="P452" i="2"/>
  <c r="U452" i="2" s="1"/>
  <c r="P451" i="2"/>
  <c r="U451" i="2" s="1"/>
  <c r="P450" i="2"/>
  <c r="U450" i="2" s="1"/>
  <c r="P449" i="2"/>
  <c r="U449" i="2" s="1"/>
  <c r="P448" i="2"/>
  <c r="U448" i="2" s="1"/>
  <c r="P447" i="2"/>
  <c r="U447" i="2" s="1"/>
  <c r="P446" i="2"/>
  <c r="U446" i="2" s="1"/>
  <c r="P445" i="2"/>
  <c r="U445" i="2" s="1"/>
  <c r="P444" i="2"/>
  <c r="U444" i="2" s="1"/>
  <c r="P443" i="2"/>
  <c r="U443" i="2" s="1"/>
  <c r="P442" i="2"/>
  <c r="U442" i="2" s="1"/>
  <c r="P441" i="2"/>
  <c r="U441" i="2" s="1"/>
  <c r="P440" i="2"/>
  <c r="U440" i="2" s="1"/>
  <c r="P439" i="2"/>
  <c r="U439" i="2" s="1"/>
  <c r="P438" i="2"/>
  <c r="U438" i="2" s="1"/>
  <c r="P437" i="2"/>
  <c r="U437" i="2" s="1"/>
  <c r="P436" i="2"/>
  <c r="U436" i="2" s="1"/>
  <c r="P435" i="2"/>
  <c r="U435" i="2" s="1"/>
  <c r="P434" i="2"/>
  <c r="U434" i="2" s="1"/>
  <c r="P433" i="2"/>
  <c r="U433" i="2" s="1"/>
  <c r="P432" i="2"/>
  <c r="U432" i="2" s="1"/>
  <c r="P431" i="2"/>
  <c r="U431" i="2" s="1"/>
  <c r="P430" i="2"/>
  <c r="U430" i="2" s="1"/>
  <c r="P429" i="2"/>
  <c r="U429" i="2" s="1"/>
  <c r="P428" i="2"/>
  <c r="U428" i="2" s="1"/>
  <c r="P427" i="2"/>
  <c r="U427" i="2" s="1"/>
  <c r="P426" i="2"/>
  <c r="U426" i="2" s="1"/>
  <c r="P425" i="2"/>
  <c r="U425" i="2" s="1"/>
  <c r="P424" i="2"/>
  <c r="U424" i="2" s="1"/>
  <c r="P423" i="2"/>
  <c r="U423" i="2" s="1"/>
  <c r="P422" i="2"/>
  <c r="U422" i="2" s="1"/>
  <c r="P421" i="2"/>
  <c r="U421" i="2" s="1"/>
  <c r="P420" i="2"/>
  <c r="U420" i="2" s="1"/>
  <c r="P419" i="2"/>
  <c r="U419" i="2" s="1"/>
  <c r="P418" i="2"/>
  <c r="U418" i="2" s="1"/>
  <c r="P417" i="2"/>
  <c r="U417" i="2" s="1"/>
  <c r="P416" i="2"/>
  <c r="U416" i="2" s="1"/>
  <c r="P415" i="2"/>
  <c r="U415" i="2" s="1"/>
  <c r="P414" i="2"/>
  <c r="U414" i="2" s="1"/>
  <c r="P413" i="2"/>
  <c r="U413" i="2" s="1"/>
  <c r="P412" i="2"/>
  <c r="U412" i="2" s="1"/>
  <c r="P411" i="2"/>
  <c r="U411" i="2" s="1"/>
  <c r="P410" i="2"/>
  <c r="U410" i="2" s="1"/>
  <c r="P409" i="2"/>
  <c r="U409" i="2" s="1"/>
  <c r="P408" i="2"/>
  <c r="U408" i="2" s="1"/>
  <c r="P407" i="2"/>
  <c r="U407" i="2" s="1"/>
  <c r="P406" i="2"/>
  <c r="U406" i="2" s="1"/>
  <c r="P405" i="2"/>
  <c r="U405" i="2" s="1"/>
  <c r="P404" i="2"/>
  <c r="U404" i="2" s="1"/>
  <c r="P403" i="2"/>
  <c r="U403" i="2" s="1"/>
  <c r="P402" i="2"/>
  <c r="U402" i="2" s="1"/>
  <c r="P401" i="2"/>
  <c r="U401" i="2" s="1"/>
  <c r="P400" i="2"/>
  <c r="U400" i="2" s="1"/>
  <c r="P399" i="2"/>
  <c r="U399" i="2" s="1"/>
  <c r="P398" i="2"/>
  <c r="U398" i="2" s="1"/>
  <c r="P397" i="2"/>
  <c r="U397" i="2" s="1"/>
  <c r="P396" i="2"/>
  <c r="U396" i="2" s="1"/>
  <c r="P395" i="2"/>
  <c r="U395" i="2" s="1"/>
  <c r="P394" i="2"/>
  <c r="U394" i="2" s="1"/>
  <c r="P393" i="2"/>
  <c r="U393" i="2" s="1"/>
  <c r="P392" i="2"/>
  <c r="U392" i="2" s="1"/>
  <c r="P391" i="2"/>
  <c r="U391" i="2" s="1"/>
  <c r="P390" i="2"/>
  <c r="U390" i="2" s="1"/>
  <c r="P389" i="2"/>
  <c r="U389" i="2" s="1"/>
  <c r="P388" i="2"/>
  <c r="U388" i="2" s="1"/>
  <c r="P387" i="2"/>
  <c r="U387" i="2" s="1"/>
  <c r="P386" i="2"/>
  <c r="U386" i="2" s="1"/>
  <c r="P385" i="2"/>
  <c r="U385" i="2" s="1"/>
  <c r="P384" i="2"/>
  <c r="U384" i="2" s="1"/>
  <c r="P383" i="2"/>
  <c r="U383" i="2" s="1"/>
  <c r="P382" i="2"/>
  <c r="U382" i="2" s="1"/>
  <c r="P381" i="2"/>
  <c r="U381" i="2" s="1"/>
  <c r="P380" i="2"/>
  <c r="U380" i="2" s="1"/>
  <c r="P379" i="2"/>
  <c r="U379" i="2" s="1"/>
  <c r="P378" i="2"/>
  <c r="U378" i="2" s="1"/>
  <c r="P377" i="2"/>
  <c r="U377" i="2" s="1"/>
  <c r="P376" i="2"/>
  <c r="U376" i="2" s="1"/>
  <c r="P375" i="2"/>
  <c r="U375" i="2" s="1"/>
  <c r="P374" i="2"/>
  <c r="U374" i="2" s="1"/>
  <c r="P373" i="2"/>
  <c r="U373" i="2" s="1"/>
  <c r="P372" i="2"/>
  <c r="U372" i="2" s="1"/>
  <c r="P371" i="2"/>
  <c r="U371" i="2" s="1"/>
  <c r="P370" i="2"/>
  <c r="U370" i="2" s="1"/>
  <c r="P369" i="2"/>
  <c r="U369" i="2" s="1"/>
  <c r="P368" i="2"/>
  <c r="U368" i="2" s="1"/>
  <c r="P367" i="2"/>
  <c r="U367" i="2" s="1"/>
  <c r="P366" i="2"/>
  <c r="U366" i="2" s="1"/>
  <c r="P365" i="2"/>
  <c r="U365" i="2" s="1"/>
  <c r="P364" i="2"/>
  <c r="U364" i="2" s="1"/>
  <c r="P363" i="2"/>
  <c r="U363" i="2" s="1"/>
  <c r="P362" i="2"/>
  <c r="U362" i="2" s="1"/>
  <c r="P361" i="2"/>
  <c r="U361" i="2" s="1"/>
  <c r="P360" i="2"/>
  <c r="U360" i="2" s="1"/>
  <c r="P359" i="2"/>
  <c r="U359" i="2" s="1"/>
  <c r="P358" i="2"/>
  <c r="U358" i="2" s="1"/>
  <c r="P357" i="2"/>
  <c r="U357" i="2" s="1"/>
  <c r="P356" i="2"/>
  <c r="U356" i="2" s="1"/>
  <c r="P355" i="2"/>
  <c r="U355" i="2" s="1"/>
  <c r="P354" i="2"/>
  <c r="U354" i="2" s="1"/>
  <c r="P353" i="2"/>
  <c r="U353" i="2" s="1"/>
  <c r="P352" i="2"/>
  <c r="U352" i="2" s="1"/>
  <c r="P351" i="2"/>
  <c r="U351" i="2" s="1"/>
  <c r="P350" i="2"/>
  <c r="U350" i="2" s="1"/>
  <c r="P349" i="2"/>
  <c r="U349" i="2" s="1"/>
  <c r="P348" i="2"/>
  <c r="U348" i="2" s="1"/>
  <c r="P347" i="2"/>
  <c r="U347" i="2" s="1"/>
  <c r="P346" i="2"/>
  <c r="U346" i="2" s="1"/>
  <c r="P345" i="2"/>
  <c r="U345" i="2" s="1"/>
  <c r="P344" i="2"/>
  <c r="U344" i="2" s="1"/>
  <c r="P343" i="2"/>
  <c r="U343" i="2" s="1"/>
  <c r="P342" i="2"/>
  <c r="U342" i="2" s="1"/>
  <c r="P341" i="2"/>
  <c r="U341" i="2" s="1"/>
  <c r="P340" i="2"/>
  <c r="U340" i="2" s="1"/>
  <c r="P339" i="2"/>
  <c r="U339" i="2" s="1"/>
  <c r="P338" i="2"/>
  <c r="U338" i="2" s="1"/>
  <c r="P337" i="2"/>
  <c r="U337" i="2" s="1"/>
  <c r="P336" i="2"/>
  <c r="U336" i="2" s="1"/>
  <c r="P335" i="2"/>
  <c r="U335" i="2" s="1"/>
  <c r="P334" i="2"/>
  <c r="U334" i="2" s="1"/>
  <c r="P333" i="2"/>
  <c r="U333" i="2" s="1"/>
  <c r="P332" i="2"/>
  <c r="U332" i="2" s="1"/>
  <c r="P331" i="2"/>
  <c r="U331" i="2" s="1"/>
  <c r="P330" i="2"/>
  <c r="U330" i="2" s="1"/>
  <c r="P329" i="2"/>
  <c r="U329" i="2" s="1"/>
  <c r="P328" i="2"/>
  <c r="U328" i="2" s="1"/>
  <c r="P327" i="2"/>
  <c r="U327" i="2" s="1"/>
  <c r="P326" i="2"/>
  <c r="U326" i="2" s="1"/>
  <c r="P325" i="2"/>
  <c r="U325" i="2" s="1"/>
  <c r="P324" i="2"/>
  <c r="U324" i="2" s="1"/>
  <c r="P323" i="2"/>
  <c r="U323" i="2" s="1"/>
  <c r="P322" i="2"/>
  <c r="U322" i="2" s="1"/>
  <c r="P321" i="2"/>
  <c r="U321" i="2" s="1"/>
  <c r="P320" i="2"/>
  <c r="U320" i="2" s="1"/>
  <c r="P319" i="2"/>
  <c r="U319" i="2" s="1"/>
  <c r="P318" i="2"/>
  <c r="U318" i="2" s="1"/>
  <c r="P317" i="2"/>
  <c r="U317" i="2" s="1"/>
  <c r="P316" i="2"/>
  <c r="U316" i="2" s="1"/>
  <c r="P315" i="2"/>
  <c r="U315" i="2" s="1"/>
  <c r="P314" i="2"/>
  <c r="U314" i="2" s="1"/>
  <c r="P313" i="2"/>
  <c r="U313" i="2" s="1"/>
  <c r="P312" i="2"/>
  <c r="U312" i="2" s="1"/>
  <c r="P311" i="2"/>
  <c r="U311" i="2" s="1"/>
  <c r="P310" i="2"/>
  <c r="U310" i="2" s="1"/>
  <c r="P309" i="2"/>
  <c r="U309" i="2" s="1"/>
  <c r="P308" i="2"/>
  <c r="U308" i="2" s="1"/>
  <c r="P307" i="2"/>
  <c r="U307" i="2" s="1"/>
  <c r="P306" i="2"/>
  <c r="U306" i="2" s="1"/>
  <c r="P305" i="2"/>
  <c r="U305" i="2" s="1"/>
  <c r="P304" i="2"/>
  <c r="U304" i="2" s="1"/>
  <c r="P303" i="2"/>
  <c r="U303" i="2" s="1"/>
  <c r="P302" i="2"/>
  <c r="U302" i="2" s="1"/>
  <c r="P301" i="2"/>
  <c r="U301" i="2" s="1"/>
  <c r="P300" i="2"/>
  <c r="U300" i="2" s="1"/>
  <c r="P299" i="2"/>
  <c r="U299" i="2" s="1"/>
  <c r="P298" i="2"/>
  <c r="U298" i="2" s="1"/>
  <c r="P297" i="2"/>
  <c r="U297" i="2" s="1"/>
  <c r="P296" i="2"/>
  <c r="U296" i="2" s="1"/>
  <c r="P295" i="2"/>
  <c r="U295" i="2" s="1"/>
  <c r="P294" i="2"/>
  <c r="U294" i="2" s="1"/>
  <c r="P293" i="2"/>
  <c r="U293" i="2" s="1"/>
  <c r="P292" i="2"/>
  <c r="U292" i="2" s="1"/>
  <c r="P291" i="2"/>
  <c r="U291" i="2" s="1"/>
  <c r="P290" i="2"/>
  <c r="U290" i="2" s="1"/>
  <c r="P289" i="2"/>
  <c r="U289" i="2" s="1"/>
  <c r="P288" i="2"/>
  <c r="U288" i="2" s="1"/>
  <c r="P287" i="2"/>
  <c r="U287" i="2" s="1"/>
  <c r="P286" i="2"/>
  <c r="U286" i="2" s="1"/>
  <c r="P285" i="2"/>
  <c r="U285" i="2" s="1"/>
  <c r="P284" i="2"/>
  <c r="U284" i="2" s="1"/>
  <c r="P283" i="2"/>
  <c r="U283" i="2" s="1"/>
  <c r="P282" i="2"/>
  <c r="U282" i="2" s="1"/>
  <c r="P281" i="2"/>
  <c r="U281" i="2" s="1"/>
  <c r="P280" i="2"/>
  <c r="U280" i="2" s="1"/>
  <c r="P279" i="2"/>
  <c r="U279" i="2" s="1"/>
  <c r="P278" i="2"/>
  <c r="U278" i="2" s="1"/>
  <c r="P277" i="2"/>
  <c r="U277" i="2" s="1"/>
  <c r="P276" i="2"/>
  <c r="U276" i="2" s="1"/>
  <c r="P275" i="2"/>
  <c r="U275" i="2" s="1"/>
  <c r="P274" i="2"/>
  <c r="U274" i="2" s="1"/>
  <c r="P273" i="2"/>
  <c r="U273" i="2" s="1"/>
  <c r="P272" i="2"/>
  <c r="U272" i="2" s="1"/>
  <c r="P271" i="2"/>
  <c r="U271" i="2" s="1"/>
  <c r="P270" i="2"/>
  <c r="U270" i="2" s="1"/>
  <c r="P269" i="2"/>
  <c r="U269" i="2" s="1"/>
  <c r="P268" i="2"/>
  <c r="U268" i="2" s="1"/>
  <c r="P267" i="2"/>
  <c r="U267" i="2" s="1"/>
  <c r="P266" i="2"/>
  <c r="U266" i="2" s="1"/>
  <c r="P265" i="2"/>
  <c r="U265" i="2" s="1"/>
  <c r="P264" i="2"/>
  <c r="U264" i="2" s="1"/>
  <c r="P263" i="2"/>
  <c r="U263" i="2" s="1"/>
  <c r="P262" i="2"/>
  <c r="U262" i="2" s="1"/>
  <c r="P261" i="2"/>
  <c r="U261" i="2" s="1"/>
  <c r="P260" i="2"/>
  <c r="U260" i="2" s="1"/>
  <c r="P259" i="2"/>
  <c r="U259" i="2" s="1"/>
  <c r="P258" i="2"/>
  <c r="U258" i="2" s="1"/>
  <c r="P257" i="2"/>
  <c r="U257" i="2" s="1"/>
  <c r="P256" i="2"/>
  <c r="U256" i="2" s="1"/>
  <c r="P255" i="2"/>
  <c r="U255" i="2" s="1"/>
  <c r="P254" i="2"/>
  <c r="U254" i="2" s="1"/>
  <c r="P253" i="2"/>
  <c r="U253" i="2" s="1"/>
  <c r="P252" i="2"/>
  <c r="U252" i="2" s="1"/>
  <c r="P251" i="2"/>
  <c r="U251" i="2" s="1"/>
  <c r="P250" i="2"/>
  <c r="U250" i="2" s="1"/>
  <c r="P249" i="2"/>
  <c r="U249" i="2" s="1"/>
  <c r="P248" i="2"/>
  <c r="U248" i="2" s="1"/>
  <c r="P247" i="2"/>
  <c r="U247" i="2" s="1"/>
  <c r="P246" i="2"/>
  <c r="U246" i="2" s="1"/>
  <c r="P245" i="2"/>
  <c r="U245" i="2" s="1"/>
  <c r="P244" i="2"/>
  <c r="U244" i="2" s="1"/>
  <c r="P243" i="2"/>
  <c r="U243" i="2" s="1"/>
  <c r="P242" i="2"/>
  <c r="U242" i="2" s="1"/>
  <c r="P241" i="2"/>
  <c r="U241" i="2" s="1"/>
  <c r="P240" i="2"/>
  <c r="U240" i="2" s="1"/>
  <c r="P239" i="2"/>
  <c r="U239" i="2" s="1"/>
  <c r="P238" i="2"/>
  <c r="U238" i="2" s="1"/>
  <c r="P237" i="2"/>
  <c r="U237" i="2" s="1"/>
  <c r="P236" i="2"/>
  <c r="U236" i="2" s="1"/>
  <c r="P235" i="2"/>
  <c r="U235" i="2" s="1"/>
  <c r="P234" i="2"/>
  <c r="U234" i="2" s="1"/>
  <c r="P233" i="2"/>
  <c r="U233" i="2" s="1"/>
  <c r="P232" i="2"/>
  <c r="U232" i="2" s="1"/>
  <c r="P231" i="2"/>
  <c r="U231" i="2" s="1"/>
  <c r="P230" i="2"/>
  <c r="U230" i="2" s="1"/>
  <c r="P229" i="2"/>
  <c r="U229" i="2" s="1"/>
  <c r="P228" i="2"/>
  <c r="U228" i="2" s="1"/>
  <c r="P227" i="2"/>
  <c r="U227" i="2" s="1"/>
  <c r="P226" i="2"/>
  <c r="U226" i="2" s="1"/>
  <c r="P225" i="2"/>
  <c r="U225" i="2" s="1"/>
  <c r="P224" i="2"/>
  <c r="U224" i="2" s="1"/>
  <c r="P223" i="2"/>
  <c r="U223" i="2" s="1"/>
  <c r="P222" i="2"/>
  <c r="U222" i="2" s="1"/>
  <c r="P221" i="2"/>
  <c r="U221" i="2" s="1"/>
  <c r="P220" i="2"/>
  <c r="U220" i="2" s="1"/>
  <c r="P219" i="2"/>
  <c r="U219" i="2" s="1"/>
  <c r="P218" i="2"/>
  <c r="U218" i="2" s="1"/>
  <c r="P217" i="2"/>
  <c r="U217" i="2" s="1"/>
  <c r="P216" i="2"/>
  <c r="U216" i="2" s="1"/>
  <c r="P215" i="2"/>
  <c r="U215" i="2" s="1"/>
  <c r="P214" i="2"/>
  <c r="U214" i="2" s="1"/>
  <c r="P213" i="2"/>
  <c r="U213" i="2" s="1"/>
  <c r="P212" i="2"/>
  <c r="U212" i="2" s="1"/>
  <c r="P211" i="2"/>
  <c r="U211" i="2" s="1"/>
  <c r="P210" i="2"/>
  <c r="U210" i="2" s="1"/>
  <c r="P209" i="2"/>
  <c r="U209" i="2" s="1"/>
  <c r="P208" i="2"/>
  <c r="U208" i="2" s="1"/>
  <c r="P207" i="2"/>
  <c r="U207" i="2" s="1"/>
  <c r="P206" i="2"/>
  <c r="U206" i="2" s="1"/>
  <c r="P205" i="2"/>
  <c r="U205" i="2" s="1"/>
  <c r="P204" i="2"/>
  <c r="U204" i="2" s="1"/>
  <c r="P203" i="2"/>
  <c r="U203" i="2" s="1"/>
  <c r="P202" i="2"/>
  <c r="U202" i="2" s="1"/>
  <c r="P201" i="2"/>
  <c r="U201" i="2" s="1"/>
  <c r="P200" i="2"/>
  <c r="U200" i="2" s="1"/>
  <c r="P199" i="2"/>
  <c r="U199" i="2" s="1"/>
  <c r="P198" i="2"/>
  <c r="U198" i="2" s="1"/>
  <c r="P197" i="2"/>
  <c r="U197" i="2" s="1"/>
  <c r="P196" i="2"/>
  <c r="U196" i="2" s="1"/>
  <c r="P195" i="2"/>
  <c r="U195" i="2" s="1"/>
  <c r="P194" i="2"/>
  <c r="U194" i="2" s="1"/>
  <c r="P193" i="2"/>
  <c r="U193" i="2" s="1"/>
  <c r="P192" i="2"/>
  <c r="U192" i="2" s="1"/>
  <c r="P191" i="2"/>
  <c r="U191" i="2" s="1"/>
  <c r="P190" i="2"/>
  <c r="U190" i="2" s="1"/>
  <c r="P189" i="2"/>
  <c r="U189" i="2" s="1"/>
  <c r="P188" i="2"/>
  <c r="U188" i="2" s="1"/>
  <c r="P187" i="2"/>
  <c r="U187" i="2" s="1"/>
  <c r="P186" i="2"/>
  <c r="U186" i="2" s="1"/>
  <c r="P185" i="2"/>
  <c r="U185" i="2" s="1"/>
  <c r="P184" i="2"/>
  <c r="U184" i="2" s="1"/>
  <c r="P183" i="2"/>
  <c r="U183" i="2" s="1"/>
  <c r="P182" i="2"/>
  <c r="U182" i="2" s="1"/>
  <c r="P181" i="2"/>
  <c r="U181" i="2" s="1"/>
  <c r="P180" i="2"/>
  <c r="U180" i="2" s="1"/>
  <c r="P179" i="2"/>
  <c r="U179" i="2" s="1"/>
  <c r="P178" i="2"/>
  <c r="U178" i="2" s="1"/>
  <c r="P177" i="2"/>
  <c r="U177" i="2" s="1"/>
  <c r="P176" i="2"/>
  <c r="U176" i="2" s="1"/>
  <c r="P175" i="2"/>
  <c r="U175" i="2" s="1"/>
  <c r="P174" i="2"/>
  <c r="U174" i="2" s="1"/>
  <c r="P173" i="2"/>
  <c r="U173" i="2" s="1"/>
  <c r="P172" i="2"/>
  <c r="U172" i="2" s="1"/>
  <c r="P171" i="2"/>
  <c r="U171" i="2" s="1"/>
  <c r="P170" i="2"/>
  <c r="U170" i="2" s="1"/>
  <c r="P169" i="2"/>
  <c r="U169" i="2" s="1"/>
  <c r="P168" i="2"/>
  <c r="U168" i="2" s="1"/>
  <c r="P167" i="2"/>
  <c r="U167" i="2" s="1"/>
  <c r="P166" i="2"/>
  <c r="U166" i="2" s="1"/>
  <c r="P165" i="2"/>
  <c r="U165" i="2" s="1"/>
  <c r="P164" i="2"/>
  <c r="U164" i="2" s="1"/>
  <c r="P163" i="2"/>
  <c r="U163" i="2" s="1"/>
  <c r="P162" i="2"/>
  <c r="U162" i="2" s="1"/>
  <c r="P161" i="2"/>
  <c r="U161" i="2" s="1"/>
  <c r="P160" i="2"/>
  <c r="U160" i="2" s="1"/>
  <c r="P159" i="2"/>
  <c r="U159" i="2" s="1"/>
  <c r="P158" i="2"/>
  <c r="U158" i="2" s="1"/>
  <c r="P157" i="2"/>
  <c r="U157" i="2" s="1"/>
  <c r="P156" i="2"/>
  <c r="U156" i="2" s="1"/>
  <c r="P155" i="2"/>
  <c r="U155" i="2" s="1"/>
  <c r="P154" i="2"/>
  <c r="U154" i="2" s="1"/>
  <c r="P153" i="2"/>
  <c r="U153" i="2" s="1"/>
  <c r="P152" i="2"/>
  <c r="U152" i="2" s="1"/>
  <c r="P151" i="2"/>
  <c r="U151" i="2" s="1"/>
  <c r="P150" i="2"/>
  <c r="U150" i="2" s="1"/>
  <c r="P149" i="2"/>
  <c r="U149" i="2" s="1"/>
  <c r="P148" i="2"/>
  <c r="U148" i="2" s="1"/>
  <c r="P147" i="2"/>
  <c r="U147" i="2" s="1"/>
  <c r="P146" i="2"/>
  <c r="U146" i="2" s="1"/>
  <c r="P145" i="2"/>
  <c r="U145" i="2" s="1"/>
  <c r="P144" i="2"/>
  <c r="U144" i="2" s="1"/>
  <c r="P143" i="2"/>
  <c r="U143" i="2" s="1"/>
  <c r="P142" i="2"/>
  <c r="U142" i="2" s="1"/>
  <c r="P141" i="2"/>
  <c r="U141" i="2" s="1"/>
  <c r="P140" i="2"/>
  <c r="U140" i="2" s="1"/>
  <c r="P139" i="2"/>
  <c r="U139" i="2" s="1"/>
  <c r="P138" i="2"/>
  <c r="U138" i="2" s="1"/>
  <c r="P137" i="2"/>
  <c r="U137" i="2" s="1"/>
  <c r="P136" i="2"/>
  <c r="U136" i="2" s="1"/>
  <c r="P135" i="2"/>
  <c r="U135" i="2" s="1"/>
  <c r="P134" i="2"/>
  <c r="U134" i="2" s="1"/>
  <c r="P133" i="2"/>
  <c r="U133" i="2" s="1"/>
  <c r="P132" i="2"/>
  <c r="U132" i="2" s="1"/>
  <c r="P131" i="2"/>
  <c r="U131" i="2" s="1"/>
  <c r="P130" i="2"/>
  <c r="U130" i="2" s="1"/>
  <c r="P129" i="2"/>
  <c r="U129" i="2" s="1"/>
  <c r="P128" i="2"/>
  <c r="U128" i="2" s="1"/>
  <c r="P127" i="2"/>
  <c r="U127" i="2" s="1"/>
  <c r="P126" i="2"/>
  <c r="U126" i="2" s="1"/>
  <c r="P125" i="2"/>
  <c r="U125" i="2" s="1"/>
  <c r="P124" i="2"/>
  <c r="U124" i="2" s="1"/>
  <c r="P123" i="2"/>
  <c r="U123" i="2" s="1"/>
  <c r="P122" i="2"/>
  <c r="U122" i="2" s="1"/>
  <c r="P121" i="2"/>
  <c r="U121" i="2" s="1"/>
  <c r="P120" i="2"/>
  <c r="U120" i="2" s="1"/>
  <c r="P119" i="2"/>
  <c r="U119" i="2" s="1"/>
  <c r="P118" i="2"/>
  <c r="U118" i="2" s="1"/>
  <c r="P117" i="2"/>
  <c r="U117" i="2" s="1"/>
  <c r="P116" i="2"/>
  <c r="U116" i="2" s="1"/>
  <c r="P115" i="2"/>
  <c r="U115" i="2" s="1"/>
  <c r="P114" i="2"/>
  <c r="U114" i="2" s="1"/>
  <c r="P113" i="2"/>
  <c r="U113" i="2" s="1"/>
  <c r="P112" i="2"/>
  <c r="U112" i="2" s="1"/>
  <c r="P111" i="2"/>
  <c r="U111" i="2" s="1"/>
  <c r="P110" i="2"/>
  <c r="U110" i="2" s="1"/>
  <c r="P109" i="2"/>
  <c r="U109" i="2" s="1"/>
  <c r="P108" i="2"/>
  <c r="U108" i="2" s="1"/>
  <c r="P107" i="2"/>
  <c r="U107" i="2" s="1"/>
  <c r="P106" i="2"/>
  <c r="U106" i="2" s="1"/>
  <c r="P105" i="2"/>
  <c r="U105" i="2" s="1"/>
  <c r="P104" i="2"/>
  <c r="U104" i="2" s="1"/>
  <c r="P103" i="2"/>
  <c r="U103" i="2" s="1"/>
  <c r="P102" i="2"/>
  <c r="U102" i="2" s="1"/>
  <c r="P101" i="2"/>
  <c r="U101" i="2" s="1"/>
  <c r="P100" i="2"/>
  <c r="U100" i="2" s="1"/>
  <c r="P99" i="2"/>
  <c r="U99" i="2" s="1"/>
  <c r="P98" i="2"/>
  <c r="U98" i="2" s="1"/>
  <c r="P97" i="2"/>
  <c r="U97" i="2" s="1"/>
  <c r="P96" i="2"/>
  <c r="U96" i="2" s="1"/>
  <c r="P95" i="2"/>
  <c r="U95" i="2" s="1"/>
  <c r="P94" i="2"/>
  <c r="U94" i="2" s="1"/>
  <c r="P93" i="2"/>
  <c r="U93" i="2" s="1"/>
  <c r="P92" i="2"/>
  <c r="U92" i="2" s="1"/>
  <c r="P91" i="2"/>
  <c r="U91" i="2" s="1"/>
  <c r="P90" i="2"/>
  <c r="U90" i="2" s="1"/>
  <c r="P89" i="2"/>
  <c r="U89" i="2" s="1"/>
  <c r="P88" i="2"/>
  <c r="U88" i="2" s="1"/>
  <c r="P87" i="2"/>
  <c r="U87" i="2" s="1"/>
  <c r="P86" i="2"/>
  <c r="U86" i="2" s="1"/>
  <c r="P85" i="2"/>
  <c r="U85" i="2" s="1"/>
  <c r="P84" i="2"/>
  <c r="U84" i="2" s="1"/>
  <c r="P83" i="2"/>
  <c r="U83" i="2" s="1"/>
  <c r="P82" i="2"/>
  <c r="U82" i="2" s="1"/>
  <c r="P81" i="2"/>
  <c r="U81" i="2" s="1"/>
  <c r="P80" i="2"/>
  <c r="U80" i="2" s="1"/>
  <c r="P79" i="2"/>
  <c r="U79" i="2" s="1"/>
  <c r="P78" i="2"/>
  <c r="U78" i="2" s="1"/>
  <c r="P77" i="2"/>
  <c r="U77" i="2" s="1"/>
  <c r="P76" i="2"/>
  <c r="U76" i="2" s="1"/>
  <c r="P75" i="2"/>
  <c r="U75" i="2" s="1"/>
  <c r="P74" i="2"/>
  <c r="U74" i="2" s="1"/>
  <c r="P73" i="2"/>
  <c r="U73" i="2" s="1"/>
  <c r="P72" i="2"/>
  <c r="U72" i="2" s="1"/>
  <c r="P71" i="2"/>
  <c r="U71" i="2" s="1"/>
  <c r="P70" i="2"/>
  <c r="U70" i="2" s="1"/>
  <c r="P69" i="2"/>
  <c r="U69" i="2" s="1"/>
  <c r="P68" i="2"/>
  <c r="U68" i="2" s="1"/>
  <c r="P67" i="2"/>
  <c r="U67" i="2" s="1"/>
  <c r="P66" i="2"/>
  <c r="U66" i="2" s="1"/>
  <c r="P65" i="2"/>
  <c r="U65" i="2" s="1"/>
  <c r="P64" i="2"/>
  <c r="U64" i="2" s="1"/>
  <c r="P63" i="2"/>
  <c r="U63" i="2" s="1"/>
  <c r="P62" i="2"/>
  <c r="U62" i="2" s="1"/>
  <c r="P61" i="2"/>
  <c r="U61" i="2" s="1"/>
  <c r="P60" i="2"/>
  <c r="U60" i="2" s="1"/>
  <c r="P59" i="2"/>
  <c r="U59" i="2" s="1"/>
  <c r="P58" i="2"/>
  <c r="U58" i="2" s="1"/>
  <c r="P57" i="2"/>
  <c r="U57" i="2" s="1"/>
  <c r="P56" i="2"/>
  <c r="U56" i="2" s="1"/>
  <c r="P55" i="2"/>
  <c r="U55" i="2" s="1"/>
  <c r="P54" i="2"/>
  <c r="U54" i="2" s="1"/>
  <c r="P53" i="2"/>
  <c r="U53" i="2" s="1"/>
  <c r="P52" i="2"/>
  <c r="U52" i="2" s="1"/>
  <c r="P51" i="2"/>
  <c r="U51" i="2" s="1"/>
  <c r="P50" i="2"/>
  <c r="U50" i="2" s="1"/>
  <c r="P49" i="2"/>
  <c r="U49" i="2" s="1"/>
  <c r="P48" i="2"/>
  <c r="U48" i="2" s="1"/>
  <c r="P47" i="2"/>
  <c r="U47" i="2" s="1"/>
  <c r="P46" i="2"/>
  <c r="U46" i="2" s="1"/>
  <c r="P45" i="2"/>
  <c r="U45" i="2" s="1"/>
  <c r="P44" i="2"/>
  <c r="U44" i="2" s="1"/>
  <c r="P43" i="2"/>
  <c r="U43" i="2" s="1"/>
  <c r="P42" i="2"/>
  <c r="U42" i="2" s="1"/>
  <c r="P41" i="2"/>
  <c r="U41" i="2" s="1"/>
  <c r="P40" i="2"/>
  <c r="U40" i="2" s="1"/>
  <c r="P39" i="2"/>
  <c r="U39" i="2" s="1"/>
  <c r="P38" i="2"/>
  <c r="U38" i="2" s="1"/>
  <c r="P37" i="2"/>
  <c r="U37" i="2" s="1"/>
  <c r="P36" i="2"/>
  <c r="U36" i="2" s="1"/>
  <c r="P35" i="2"/>
  <c r="U35" i="2" s="1"/>
  <c r="P34" i="2"/>
  <c r="U34" i="2" s="1"/>
  <c r="P33" i="2"/>
  <c r="U33" i="2" s="1"/>
  <c r="P32" i="2"/>
  <c r="U32" i="2" s="1"/>
  <c r="P31" i="2"/>
  <c r="U31" i="2" s="1"/>
  <c r="P30" i="2"/>
  <c r="U30" i="2" s="1"/>
  <c r="P29" i="2"/>
  <c r="U29" i="2" s="1"/>
  <c r="P28" i="2"/>
  <c r="U28" i="2" s="1"/>
  <c r="P27" i="2"/>
  <c r="U27" i="2" s="1"/>
  <c r="P26" i="2"/>
  <c r="U26" i="2" s="1"/>
  <c r="P25" i="2"/>
  <c r="U25" i="2" s="1"/>
  <c r="P24" i="2"/>
  <c r="U24" i="2" s="1"/>
  <c r="P23" i="2"/>
  <c r="U23" i="2" s="1"/>
  <c r="P22" i="2"/>
  <c r="U22" i="2" s="1"/>
  <c r="P21" i="2"/>
  <c r="U21" i="2" s="1"/>
  <c r="P20" i="2"/>
  <c r="U20" i="2" s="1"/>
  <c r="P19" i="2"/>
  <c r="U19" i="2" s="1"/>
  <c r="P18" i="2"/>
  <c r="U18" i="2" s="1"/>
  <c r="P17" i="2"/>
  <c r="U17" i="2" s="1"/>
  <c r="P16" i="2"/>
  <c r="U16" i="2" s="1"/>
  <c r="P15" i="2"/>
  <c r="U15" i="2" s="1"/>
  <c r="P14" i="2"/>
  <c r="U14" i="2" s="1"/>
  <c r="P13" i="2"/>
  <c r="U13" i="2" s="1"/>
  <c r="P12" i="2"/>
  <c r="U12" i="2" s="1"/>
  <c r="P11" i="2"/>
  <c r="U11" i="2" s="1"/>
  <c r="P10" i="2"/>
  <c r="U10" i="2" s="1"/>
  <c r="P9" i="2"/>
  <c r="U9" i="2" s="1"/>
  <c r="P8" i="2"/>
  <c r="U8" i="2" s="1"/>
  <c r="P7" i="2"/>
  <c r="U7" i="2" s="1"/>
  <c r="P6" i="2"/>
  <c r="U6" i="2" s="1"/>
  <c r="P5" i="2"/>
  <c r="U5" i="2" s="1"/>
  <c r="P173" i="1"/>
  <c r="N173" i="1"/>
  <c r="M173" i="1"/>
  <c r="L173" i="1"/>
  <c r="K173" i="1"/>
  <c r="O2239" i="2" l="1"/>
  <c r="B11" i="18"/>
  <c r="B60" i="18" s="1"/>
  <c r="B110" i="18" s="1"/>
  <c r="B158" i="18" s="1"/>
  <c r="B207" i="18" s="1"/>
  <c r="B257" i="18" s="1"/>
  <c r="B306" i="18" s="1"/>
  <c r="B10" i="18"/>
  <c r="B59" i="18" s="1"/>
  <c r="B109" i="18" s="1"/>
  <c r="B157" i="18" s="1"/>
  <c r="B206" i="18" s="1"/>
  <c r="B256" i="18" s="1"/>
  <c r="B305" i="18" s="1"/>
  <c r="B9" i="18"/>
  <c r="B108" i="18" s="1"/>
  <c r="B205" i="18" s="1"/>
  <c r="B304" i="18" s="1"/>
  <c r="B8" i="18"/>
  <c r="B58" i="18"/>
  <c r="B156" i="18" s="1"/>
  <c r="B255" i="18" s="1"/>
  <c r="B152" i="18"/>
  <c r="B201" i="18"/>
  <c r="B251" i="18"/>
  <c r="B300" i="18"/>
  <c r="B104" i="18"/>
  <c r="B54" i="18"/>
  <c r="B7" i="18"/>
  <c r="B56" i="18" s="1"/>
  <c r="B106" i="18" s="1"/>
  <c r="B154" i="18" s="1"/>
  <c r="B203" i="18" s="1"/>
  <c r="B253" i="18" s="1"/>
  <c r="B302" i="18" s="1"/>
  <c r="B57" i="18"/>
  <c r="B107" i="18" s="1"/>
  <c r="B155" i="18" s="1"/>
  <c r="B204" i="18" s="1"/>
  <c r="B254" i="18" s="1"/>
  <c r="B303" i="18" s="1"/>
  <c r="B5" i="18"/>
  <c r="B6" i="18"/>
  <c r="B55" i="18" s="1"/>
  <c r="B105" i="18" s="1"/>
  <c r="B153" i="18" s="1"/>
  <c r="B202" i="18" s="1"/>
  <c r="B252" i="18" s="1"/>
  <c r="B301" i="18" s="1"/>
  <c r="T2228" i="2"/>
  <c r="V2228" i="2"/>
  <c r="W2228" i="2" s="1"/>
  <c r="T2229" i="2"/>
  <c r="V2229" i="2"/>
  <c r="W2229" i="2" s="1"/>
  <c r="T2230" i="2"/>
  <c r="V2230" i="2"/>
  <c r="W2230" i="2" s="1"/>
  <c r="T2231" i="2"/>
  <c r="V2231" i="2"/>
  <c r="W2231" i="2" s="1"/>
  <c r="T2232" i="2"/>
  <c r="V2232" i="2"/>
  <c r="W2232" i="2" s="1"/>
  <c r="T2233" i="2"/>
  <c r="V2233" i="2"/>
  <c r="W2233" i="2" s="1"/>
  <c r="T2234" i="2"/>
  <c r="V2234" i="2"/>
  <c r="W2234" i="2" s="1"/>
  <c r="T2235" i="2"/>
  <c r="V2235" i="2"/>
  <c r="W2235" i="2" s="1"/>
  <c r="T2236" i="2"/>
  <c r="V2236" i="2"/>
  <c r="W2236" i="2" s="1"/>
  <c r="T2237" i="2"/>
  <c r="V2237" i="2"/>
  <c r="W2237" i="2" s="1"/>
  <c r="N2228" i="2"/>
  <c r="N2229" i="2"/>
  <c r="N2230" i="2"/>
  <c r="N2231" i="2"/>
  <c r="N2232" i="2"/>
  <c r="N2233" i="2"/>
  <c r="N2234" i="2"/>
  <c r="N2235" i="2"/>
  <c r="N2236" i="2"/>
  <c r="N2237" i="2"/>
  <c r="K2228" i="2"/>
  <c r="K2229" i="2"/>
  <c r="K2230" i="2"/>
  <c r="K2231" i="2"/>
  <c r="K2232" i="2"/>
  <c r="K2233" i="2"/>
  <c r="K2234" i="2"/>
  <c r="K2235" i="2"/>
  <c r="K2236" i="2"/>
  <c r="K2237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V2227" i="2"/>
  <c r="W2227" i="2" s="1"/>
  <c r="T2227" i="2"/>
  <c r="V2226" i="2"/>
  <c r="W2226" i="2" s="1"/>
  <c r="T2226" i="2"/>
  <c r="V2225" i="2"/>
  <c r="W2225" i="2" s="1"/>
  <c r="T2225" i="2"/>
  <c r="V2224" i="2"/>
  <c r="W2224" i="2" s="1"/>
  <c r="T2224" i="2"/>
  <c r="V2223" i="2"/>
  <c r="W2223" i="2" s="1"/>
  <c r="T2223" i="2"/>
  <c r="V2222" i="2"/>
  <c r="W2222" i="2" s="1"/>
  <c r="T2222" i="2"/>
  <c r="V2221" i="2"/>
  <c r="W2221" i="2" s="1"/>
  <c r="T2221" i="2"/>
  <c r="V2220" i="2"/>
  <c r="W2220" i="2" s="1"/>
  <c r="T2220" i="2"/>
  <c r="V2219" i="2"/>
  <c r="W2219" i="2" s="1"/>
  <c r="T2219" i="2"/>
  <c r="V2218" i="2"/>
  <c r="W2218" i="2" s="1"/>
  <c r="T2218" i="2"/>
  <c r="V2217" i="2"/>
  <c r="W2217" i="2" s="1"/>
  <c r="T2217" i="2"/>
  <c r="V2216" i="2"/>
  <c r="W2216" i="2" s="1"/>
  <c r="T2216" i="2"/>
  <c r="V2215" i="2"/>
  <c r="W2215" i="2" s="1"/>
  <c r="T2215" i="2"/>
  <c r="V2214" i="2"/>
  <c r="W2214" i="2" s="1"/>
  <c r="T2214" i="2"/>
  <c r="V2213" i="2"/>
  <c r="W2213" i="2" s="1"/>
  <c r="T2213" i="2"/>
  <c r="V2212" i="2"/>
  <c r="W2212" i="2" s="1"/>
  <c r="T2212" i="2"/>
  <c r="V2211" i="2"/>
  <c r="W2211" i="2" s="1"/>
  <c r="T2211" i="2"/>
  <c r="V2210" i="2"/>
  <c r="W2210" i="2" s="1"/>
  <c r="T2210" i="2"/>
  <c r="V2209" i="2"/>
  <c r="W2209" i="2" s="1"/>
  <c r="T2209" i="2"/>
  <c r="V2208" i="2"/>
  <c r="W2208" i="2" s="1"/>
  <c r="T2208" i="2"/>
  <c r="V2207" i="2"/>
  <c r="W2207" i="2" s="1"/>
  <c r="T2207" i="2"/>
  <c r="V2206" i="2"/>
  <c r="W2206" i="2" s="1"/>
  <c r="T2206" i="2"/>
  <c r="V2205" i="2"/>
  <c r="W2205" i="2" s="1"/>
  <c r="T2205" i="2"/>
  <c r="V2204" i="2"/>
  <c r="W2204" i="2" s="1"/>
  <c r="T2204" i="2"/>
  <c r="V2203" i="2"/>
  <c r="W2203" i="2" s="1"/>
  <c r="T2203" i="2"/>
  <c r="V2202" i="2"/>
  <c r="W2202" i="2" s="1"/>
  <c r="T2202" i="2"/>
  <c r="V2201" i="2"/>
  <c r="W2201" i="2" s="1"/>
  <c r="T2201" i="2"/>
  <c r="V2200" i="2"/>
  <c r="W2200" i="2" s="1"/>
  <c r="T2200" i="2"/>
  <c r="V2199" i="2"/>
  <c r="W2199" i="2" s="1"/>
  <c r="T2199" i="2"/>
  <c r="V2198" i="2"/>
  <c r="W2198" i="2" s="1"/>
  <c r="T2198" i="2"/>
  <c r="V2197" i="2"/>
  <c r="W2197" i="2" s="1"/>
  <c r="T2197" i="2"/>
  <c r="V2196" i="2"/>
  <c r="W2196" i="2" s="1"/>
  <c r="T2196" i="2"/>
  <c r="V2195" i="2"/>
  <c r="W2195" i="2" s="1"/>
  <c r="T2195" i="2"/>
  <c r="V2194" i="2"/>
  <c r="W2194" i="2" s="1"/>
  <c r="T2194" i="2"/>
  <c r="V2193" i="2"/>
  <c r="W2193" i="2" s="1"/>
  <c r="T2193" i="2"/>
  <c r="V2192" i="2"/>
  <c r="W2192" i="2" s="1"/>
  <c r="T2192" i="2"/>
  <c r="V2191" i="2"/>
  <c r="W2191" i="2" s="1"/>
  <c r="T2191" i="2"/>
  <c r="V2190" i="2"/>
  <c r="W2190" i="2" s="1"/>
  <c r="T2190" i="2"/>
  <c r="V2189" i="2"/>
  <c r="W2189" i="2" s="1"/>
  <c r="T2189" i="2"/>
  <c r="V2188" i="2"/>
  <c r="W2188" i="2" s="1"/>
  <c r="T2188" i="2"/>
  <c r="V2187" i="2"/>
  <c r="W2187" i="2" s="1"/>
  <c r="T2187" i="2"/>
  <c r="V2186" i="2"/>
  <c r="W2186" i="2" s="1"/>
  <c r="T2186" i="2"/>
  <c r="V2185" i="2"/>
  <c r="W2185" i="2" s="1"/>
  <c r="T2185" i="2"/>
  <c r="V2184" i="2"/>
  <c r="W2184" i="2" s="1"/>
  <c r="T2184" i="2"/>
  <c r="V2183" i="2"/>
  <c r="W2183" i="2" s="1"/>
  <c r="T2183" i="2"/>
  <c r="V2182" i="2"/>
  <c r="W2182" i="2" s="1"/>
  <c r="T2182" i="2"/>
  <c r="V2181" i="2"/>
  <c r="W2181" i="2" s="1"/>
  <c r="T2181" i="2"/>
  <c r="V2180" i="2"/>
  <c r="W2180" i="2" s="1"/>
  <c r="T2180" i="2"/>
  <c r="V2179" i="2"/>
  <c r="W2179" i="2" s="1"/>
  <c r="T2179" i="2"/>
  <c r="V2178" i="2"/>
  <c r="W2178" i="2" s="1"/>
  <c r="T2178" i="2"/>
  <c r="V2177" i="2"/>
  <c r="W2177" i="2" s="1"/>
  <c r="T2177" i="2"/>
  <c r="V2176" i="2"/>
  <c r="W2176" i="2" s="1"/>
  <c r="T2176" i="2"/>
  <c r="V2175" i="2"/>
  <c r="W2175" i="2" s="1"/>
  <c r="T2175" i="2"/>
  <c r="V2174" i="2"/>
  <c r="W2174" i="2" s="1"/>
  <c r="T2174" i="2"/>
  <c r="V2173" i="2"/>
  <c r="W2173" i="2" s="1"/>
  <c r="T2173" i="2"/>
  <c r="V2172" i="2"/>
  <c r="W2172" i="2" s="1"/>
  <c r="T2172" i="2"/>
  <c r="V2171" i="2"/>
  <c r="W2171" i="2" s="1"/>
  <c r="T2171" i="2"/>
  <c r="V2170" i="2"/>
  <c r="W2170" i="2" s="1"/>
  <c r="T2170" i="2"/>
  <c r="V2169" i="2"/>
  <c r="W2169" i="2" s="1"/>
  <c r="T2169" i="2"/>
  <c r="V2168" i="2"/>
  <c r="W2168" i="2" s="1"/>
  <c r="T2168" i="2"/>
  <c r="V2167" i="2"/>
  <c r="W2167" i="2" s="1"/>
  <c r="T2167" i="2"/>
  <c r="V2166" i="2"/>
  <c r="W2166" i="2" s="1"/>
  <c r="T2166" i="2"/>
  <c r="V2165" i="2"/>
  <c r="W2165" i="2" s="1"/>
  <c r="T2165" i="2"/>
  <c r="V2164" i="2"/>
  <c r="W2164" i="2" s="1"/>
  <c r="T2164" i="2"/>
  <c r="V2163" i="2"/>
  <c r="W2163" i="2" s="1"/>
  <c r="T2163" i="2"/>
  <c r="V2162" i="2"/>
  <c r="W2162" i="2" s="1"/>
  <c r="T2162" i="2"/>
  <c r="V2161" i="2"/>
  <c r="W2161" i="2" s="1"/>
  <c r="T2161" i="2"/>
  <c r="V2160" i="2"/>
  <c r="W2160" i="2" s="1"/>
  <c r="T2160" i="2"/>
  <c r="V2159" i="2"/>
  <c r="W2159" i="2" s="1"/>
  <c r="T2159" i="2"/>
  <c r="V2158" i="2"/>
  <c r="W2158" i="2" s="1"/>
  <c r="T2158" i="2"/>
  <c r="V2157" i="2"/>
  <c r="W2157" i="2" s="1"/>
  <c r="T2157" i="2"/>
  <c r="V2156" i="2"/>
  <c r="W2156" i="2" s="1"/>
  <c r="T2156" i="2"/>
  <c r="V2155" i="2"/>
  <c r="W2155" i="2" s="1"/>
  <c r="T2155" i="2"/>
  <c r="V2154" i="2"/>
  <c r="W2154" i="2" s="1"/>
  <c r="T2154" i="2"/>
  <c r="V2153" i="2"/>
  <c r="W2153" i="2" s="1"/>
  <c r="T2153" i="2"/>
  <c r="V2152" i="2"/>
  <c r="W2152" i="2" s="1"/>
  <c r="T2152" i="2"/>
  <c r="V2151" i="2"/>
  <c r="W2151" i="2" s="1"/>
  <c r="T2151" i="2"/>
  <c r="V2150" i="2"/>
  <c r="W2150" i="2" s="1"/>
  <c r="T2150" i="2"/>
  <c r="V2149" i="2"/>
  <c r="W2149" i="2" s="1"/>
  <c r="T2149" i="2"/>
  <c r="V2148" i="2"/>
  <c r="W2148" i="2" s="1"/>
  <c r="T2148" i="2"/>
  <c r="V2147" i="2"/>
  <c r="W2147" i="2" s="1"/>
  <c r="T2147" i="2"/>
  <c r="V2146" i="2"/>
  <c r="W2146" i="2" s="1"/>
  <c r="T2146" i="2"/>
  <c r="V2145" i="2"/>
  <c r="W2145" i="2" s="1"/>
  <c r="T2145" i="2"/>
  <c r="V2144" i="2"/>
  <c r="W2144" i="2" s="1"/>
  <c r="T2144" i="2"/>
  <c r="V2143" i="2"/>
  <c r="W2143" i="2" s="1"/>
  <c r="T2143" i="2"/>
  <c r="V2142" i="2"/>
  <c r="W2142" i="2" s="1"/>
  <c r="T2142" i="2"/>
  <c r="V2141" i="2"/>
  <c r="W2141" i="2" s="1"/>
  <c r="T2141" i="2"/>
  <c r="V2140" i="2"/>
  <c r="W2140" i="2" s="1"/>
  <c r="T2140" i="2"/>
  <c r="V2139" i="2"/>
  <c r="W2139" i="2" s="1"/>
  <c r="T2139" i="2"/>
  <c r="V2138" i="2"/>
  <c r="W2138" i="2" s="1"/>
  <c r="T2138" i="2"/>
  <c r="V2137" i="2"/>
  <c r="W2137" i="2" s="1"/>
  <c r="T2137" i="2"/>
  <c r="V2136" i="2"/>
  <c r="W2136" i="2" s="1"/>
  <c r="T2136" i="2"/>
  <c r="V2135" i="2"/>
  <c r="W2135" i="2" s="1"/>
  <c r="T2135" i="2"/>
  <c r="V2134" i="2"/>
  <c r="W2134" i="2" s="1"/>
  <c r="T2134" i="2"/>
  <c r="V2133" i="2"/>
  <c r="W2133" i="2" s="1"/>
  <c r="T2133" i="2"/>
  <c r="V2132" i="2"/>
  <c r="W2132" i="2" s="1"/>
  <c r="T2132" i="2"/>
  <c r="V2131" i="2"/>
  <c r="W2131" i="2" s="1"/>
  <c r="T2131" i="2"/>
  <c r="V2130" i="2"/>
  <c r="W2130" i="2" s="1"/>
  <c r="T2130" i="2"/>
  <c r="V2129" i="2"/>
  <c r="W2129" i="2" s="1"/>
  <c r="T2129" i="2"/>
  <c r="V2128" i="2"/>
  <c r="W2128" i="2" s="1"/>
  <c r="T2128" i="2"/>
  <c r="V2127" i="2"/>
  <c r="W2127" i="2" s="1"/>
  <c r="T2127" i="2"/>
  <c r="V2126" i="2"/>
  <c r="W2126" i="2" s="1"/>
  <c r="T2126" i="2"/>
  <c r="V2125" i="2"/>
  <c r="W2125" i="2" s="1"/>
  <c r="T2125" i="2"/>
  <c r="V2124" i="2"/>
  <c r="W2124" i="2" s="1"/>
  <c r="T2124" i="2"/>
  <c r="V2123" i="2"/>
  <c r="W2123" i="2" s="1"/>
  <c r="T2123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073" i="2"/>
  <c r="N2073" i="2"/>
  <c r="K2074" i="2"/>
  <c r="N2074" i="2"/>
  <c r="K2075" i="2"/>
  <c r="N2075" i="2"/>
  <c r="K2076" i="2"/>
  <c r="N2076" i="2"/>
  <c r="K2077" i="2"/>
  <c r="N2077" i="2"/>
  <c r="K2078" i="2"/>
  <c r="N2078" i="2"/>
  <c r="K2079" i="2"/>
  <c r="N2079" i="2"/>
  <c r="K2080" i="2"/>
  <c r="N2080" i="2"/>
  <c r="K2081" i="2"/>
  <c r="N2081" i="2"/>
  <c r="K2082" i="2"/>
  <c r="N2082" i="2"/>
  <c r="K2083" i="2"/>
  <c r="N2083" i="2"/>
  <c r="K2084" i="2"/>
  <c r="N2084" i="2"/>
  <c r="V2122" i="2"/>
  <c r="W2122" i="2" s="1"/>
  <c r="T2122" i="2"/>
  <c r="V2121" i="2"/>
  <c r="W2121" i="2" s="1"/>
  <c r="T2121" i="2"/>
  <c r="V2120" i="2"/>
  <c r="W2120" i="2" s="1"/>
  <c r="T2120" i="2"/>
  <c r="V2119" i="2"/>
  <c r="W2119" i="2" s="1"/>
  <c r="T2119" i="2"/>
  <c r="V2118" i="2"/>
  <c r="W2118" i="2" s="1"/>
  <c r="T2118" i="2"/>
  <c r="V2117" i="2"/>
  <c r="W2117" i="2" s="1"/>
  <c r="T2117" i="2"/>
  <c r="V2116" i="2"/>
  <c r="W2116" i="2" s="1"/>
  <c r="T2116" i="2"/>
  <c r="V2115" i="2"/>
  <c r="W2115" i="2" s="1"/>
  <c r="T2115" i="2"/>
  <c r="V2114" i="2"/>
  <c r="W2114" i="2" s="1"/>
  <c r="T2114" i="2"/>
  <c r="V2113" i="2"/>
  <c r="W2113" i="2" s="1"/>
  <c r="T2113" i="2"/>
  <c r="V2112" i="2"/>
  <c r="W2112" i="2" s="1"/>
  <c r="T2112" i="2"/>
  <c r="V2111" i="2"/>
  <c r="W2111" i="2" s="1"/>
  <c r="T2111" i="2"/>
  <c r="V2110" i="2"/>
  <c r="W2110" i="2" s="1"/>
  <c r="T2110" i="2"/>
  <c r="V2109" i="2"/>
  <c r="W2109" i="2" s="1"/>
  <c r="T2109" i="2"/>
  <c r="V2108" i="2"/>
  <c r="W2108" i="2" s="1"/>
  <c r="T2108" i="2"/>
  <c r="V2107" i="2"/>
  <c r="W2107" i="2" s="1"/>
  <c r="T2107" i="2"/>
  <c r="V2106" i="2"/>
  <c r="W2106" i="2" s="1"/>
  <c r="T2106" i="2"/>
  <c r="V2105" i="2"/>
  <c r="W2105" i="2" s="1"/>
  <c r="T2105" i="2"/>
  <c r="V2104" i="2"/>
  <c r="W2104" i="2" s="1"/>
  <c r="T2104" i="2"/>
  <c r="V2103" i="2"/>
  <c r="W2103" i="2" s="1"/>
  <c r="T2103" i="2"/>
  <c r="V2102" i="2"/>
  <c r="W2102" i="2" s="1"/>
  <c r="T2102" i="2"/>
  <c r="V2101" i="2"/>
  <c r="W2101" i="2" s="1"/>
  <c r="T2101" i="2"/>
  <c r="V2100" i="2"/>
  <c r="W2100" i="2" s="1"/>
  <c r="T2100" i="2"/>
  <c r="V2099" i="2"/>
  <c r="W2099" i="2" s="1"/>
  <c r="T2099" i="2"/>
  <c r="V2098" i="2"/>
  <c r="W2098" i="2" s="1"/>
  <c r="T2098" i="2"/>
  <c r="V2097" i="2"/>
  <c r="W2097" i="2" s="1"/>
  <c r="T2097" i="2"/>
  <c r="V2096" i="2"/>
  <c r="W2096" i="2" s="1"/>
  <c r="T2096" i="2"/>
  <c r="V2095" i="2"/>
  <c r="W2095" i="2" s="1"/>
  <c r="T2095" i="2"/>
  <c r="V2094" i="2"/>
  <c r="W2094" i="2" s="1"/>
  <c r="T2094" i="2"/>
  <c r="V2093" i="2"/>
  <c r="W2093" i="2" s="1"/>
  <c r="T2093" i="2"/>
  <c r="V2092" i="2"/>
  <c r="W2092" i="2" s="1"/>
  <c r="T2092" i="2"/>
  <c r="V2091" i="2"/>
  <c r="W2091" i="2" s="1"/>
  <c r="T2091" i="2"/>
  <c r="V2090" i="2"/>
  <c r="W2090" i="2" s="1"/>
  <c r="T2090" i="2"/>
  <c r="V2089" i="2"/>
  <c r="W2089" i="2" s="1"/>
  <c r="T2089" i="2"/>
  <c r="V2088" i="2"/>
  <c r="W2088" i="2" s="1"/>
  <c r="T2088" i="2"/>
  <c r="V2087" i="2"/>
  <c r="W2087" i="2" s="1"/>
  <c r="T2087" i="2"/>
  <c r="V2086" i="2"/>
  <c r="W2086" i="2" s="1"/>
  <c r="T2086" i="2"/>
  <c r="V2085" i="2"/>
  <c r="W2085" i="2" s="1"/>
  <c r="T2085" i="2"/>
  <c r="V2084" i="2"/>
  <c r="W2084" i="2" s="1"/>
  <c r="T2084" i="2"/>
  <c r="V2083" i="2"/>
  <c r="W2083" i="2" s="1"/>
  <c r="T2083" i="2"/>
  <c r="V2082" i="2"/>
  <c r="W2082" i="2" s="1"/>
  <c r="T2082" i="2"/>
  <c r="V2081" i="2"/>
  <c r="W2081" i="2" s="1"/>
  <c r="T2081" i="2"/>
  <c r="V2080" i="2"/>
  <c r="W2080" i="2" s="1"/>
  <c r="T2080" i="2"/>
  <c r="V2079" i="2"/>
  <c r="W2079" i="2" s="1"/>
  <c r="T2079" i="2"/>
  <c r="V2078" i="2"/>
  <c r="W2078" i="2" s="1"/>
  <c r="T2078" i="2"/>
  <c r="V2077" i="2"/>
  <c r="W2077" i="2" s="1"/>
  <c r="T2077" i="2"/>
  <c r="V2076" i="2"/>
  <c r="W2076" i="2" s="1"/>
  <c r="T2076" i="2"/>
  <c r="V2075" i="2"/>
  <c r="W2075" i="2" s="1"/>
  <c r="T2075" i="2"/>
  <c r="V2074" i="2"/>
  <c r="W2074" i="2" s="1"/>
  <c r="T2074" i="2"/>
  <c r="V2073" i="2"/>
  <c r="W2073" i="2" s="1"/>
  <c r="T2073" i="2"/>
  <c r="V2072" i="2"/>
  <c r="W2072" i="2" s="1"/>
  <c r="T2072" i="2"/>
  <c r="V2071" i="2"/>
  <c r="W2071" i="2" s="1"/>
  <c r="T2071" i="2"/>
  <c r="V2070" i="2"/>
  <c r="W2070" i="2" s="1"/>
  <c r="T2070" i="2"/>
  <c r="V2069" i="2"/>
  <c r="W2069" i="2" s="1"/>
  <c r="T2069" i="2"/>
  <c r="V2068" i="2"/>
  <c r="W2068" i="2" s="1"/>
  <c r="T2068" i="2"/>
  <c r="V2067" i="2"/>
  <c r="W2067" i="2" s="1"/>
  <c r="T2067" i="2"/>
  <c r="V2066" i="2"/>
  <c r="W2066" i="2" s="1"/>
  <c r="T2066" i="2"/>
  <c r="V2065" i="2"/>
  <c r="W2065" i="2" s="1"/>
  <c r="T2065" i="2"/>
  <c r="V2064" i="2"/>
  <c r="W2064" i="2" s="1"/>
  <c r="T2064" i="2"/>
  <c r="V2063" i="2"/>
  <c r="W2063" i="2" s="1"/>
  <c r="T2063" i="2"/>
  <c r="V2062" i="2"/>
  <c r="W2062" i="2" s="1"/>
  <c r="T2062" i="2"/>
  <c r="V2061" i="2"/>
  <c r="W2061" i="2" s="1"/>
  <c r="T2061" i="2"/>
  <c r="V2060" i="2"/>
  <c r="W2060" i="2" s="1"/>
  <c r="T2060" i="2"/>
  <c r="V2059" i="2"/>
  <c r="W2059" i="2" s="1"/>
  <c r="T2059" i="2"/>
  <c r="V2058" i="2"/>
  <c r="W2058" i="2" s="1"/>
  <c r="T2058" i="2"/>
  <c r="V2057" i="2"/>
  <c r="W2057" i="2" s="1"/>
  <c r="T2057" i="2"/>
  <c r="V2056" i="2"/>
  <c r="W2056" i="2" s="1"/>
  <c r="T2056" i="2"/>
  <c r="V2055" i="2"/>
  <c r="W2055" i="2" s="1"/>
  <c r="T2055" i="2"/>
  <c r="V2054" i="2"/>
  <c r="W2054" i="2" s="1"/>
  <c r="T2054" i="2"/>
  <c r="V2053" i="2"/>
  <c r="W2053" i="2" s="1"/>
  <c r="T2053" i="2"/>
  <c r="V2052" i="2"/>
  <c r="W2052" i="2" s="1"/>
  <c r="T2052" i="2"/>
  <c r="V2051" i="2"/>
  <c r="W2051" i="2" s="1"/>
  <c r="T2051" i="2"/>
  <c r="V2050" i="2"/>
  <c r="W2050" i="2" s="1"/>
  <c r="T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85" i="2"/>
  <c r="K2086" i="2"/>
  <c r="K2087" i="2"/>
  <c r="K2088" i="2"/>
  <c r="K2089" i="2"/>
  <c r="K2090" i="2"/>
  <c r="K2091" i="2"/>
  <c r="K2092" i="2"/>
  <c r="K2093" i="2"/>
  <c r="K2094" i="2"/>
  <c r="K2095" i="2"/>
  <c r="K2050" i="2"/>
  <c r="B141" i="18"/>
  <c r="B268" i="18"/>
  <c r="D908" i="2"/>
  <c r="B72" i="18"/>
  <c r="B219" i="18"/>
  <c r="B121" i="18"/>
  <c r="B318" i="18" s="1"/>
  <c r="B170" i="18"/>
  <c r="B173" i="18"/>
  <c r="B77" i="18"/>
  <c r="B126" i="18" s="1"/>
  <c r="B120" i="18"/>
  <c r="B169" i="18" s="1"/>
  <c r="B218" i="18" s="1"/>
  <c r="B267" i="18" s="1"/>
  <c r="B317" i="18" s="1"/>
  <c r="B222" i="18"/>
  <c r="B124" i="18"/>
  <c r="B75" i="18"/>
  <c r="B271" i="18"/>
  <c r="B28" i="18" l="1"/>
  <c r="B175" i="18"/>
  <c r="B224" i="18" s="1"/>
  <c r="B71" i="18"/>
  <c r="B49" i="18"/>
  <c r="B99" i="18" s="1"/>
  <c r="B147" i="18" s="1"/>
  <c r="B196" i="18" s="1"/>
  <c r="B246" i="18" s="1"/>
  <c r="B295" i="18" s="1"/>
  <c r="B342" i="18" s="1"/>
  <c r="B23" i="18"/>
  <c r="B26" i="18"/>
  <c r="B22" i="18"/>
  <c r="B27" i="18"/>
  <c r="B29" i="18"/>
  <c r="B21" i="18"/>
  <c r="B70" i="18" s="1"/>
  <c r="B119" i="18" s="1"/>
  <c r="B168" i="18" s="1"/>
  <c r="B217" i="18" s="1"/>
  <c r="B266" i="18" s="1"/>
  <c r="B316" i="18" s="1"/>
  <c r="B190" i="18"/>
  <c r="B95" i="18"/>
  <c r="B19" i="18"/>
  <c r="B339" i="18"/>
  <c r="B338" i="18"/>
  <c r="B337" i="18"/>
  <c r="B315" i="18"/>
  <c r="B314" i="18"/>
  <c r="B313" i="18"/>
  <c r="B263" i="18"/>
  <c r="B292" i="18"/>
  <c r="B291" i="18"/>
  <c r="B290" i="18"/>
  <c r="B289" i="18"/>
  <c r="B265" i="18"/>
  <c r="B264" i="18"/>
  <c r="B243" i="18"/>
  <c r="B242" i="18"/>
  <c r="B241" i="18"/>
  <c r="B240" i="18"/>
  <c r="B216" i="18"/>
  <c r="B215" i="18"/>
  <c r="B214" i="18"/>
  <c r="B193" i="18"/>
  <c r="B192" i="18"/>
  <c r="B191" i="18"/>
  <c r="B167" i="18"/>
  <c r="B166" i="18"/>
  <c r="B165" i="18"/>
  <c r="B144" i="18"/>
  <c r="B143" i="18"/>
  <c r="B142" i="18"/>
  <c r="B118" i="18"/>
  <c r="B117" i="18"/>
  <c r="B116" i="18"/>
  <c r="B96" i="18"/>
  <c r="B67" i="18"/>
  <c r="B93" i="18"/>
  <c r="B94" i="18"/>
  <c r="B69" i="18"/>
  <c r="B68" i="18"/>
  <c r="B43" i="18"/>
  <c r="B20" i="18"/>
  <c r="B18" i="18"/>
  <c r="B46" i="18"/>
  <c r="B45" i="18"/>
  <c r="B44" i="18"/>
  <c r="B53" i="18"/>
  <c r="B103" i="18" s="1"/>
  <c r="B151" i="18" s="1"/>
  <c r="B200" i="18" s="1"/>
  <c r="B250" i="18" s="1"/>
  <c r="B299" i="18" s="1"/>
  <c r="B346" i="18" s="1"/>
  <c r="B52" i="18"/>
  <c r="B102" i="18" s="1"/>
  <c r="B150" i="18" s="1"/>
  <c r="B199" i="18" s="1"/>
  <c r="B249" i="18" s="1"/>
  <c r="B298" i="18" s="1"/>
  <c r="B345" i="18" s="1"/>
  <c r="B51" i="18"/>
  <c r="B101" i="18" s="1"/>
  <c r="B50" i="18"/>
  <c r="B48" i="18"/>
  <c r="B98" i="18" s="1"/>
  <c r="B146" i="18" s="1"/>
  <c r="B195" i="18" s="1"/>
  <c r="B245" i="18" s="1"/>
  <c r="B294" i="18" s="1"/>
  <c r="B341" i="18" s="1"/>
  <c r="B47" i="18"/>
  <c r="B97" i="18" s="1"/>
  <c r="B145" i="18" s="1"/>
  <c r="B194" i="18" s="1"/>
  <c r="B244" i="18" s="1"/>
  <c r="B293" i="18" s="1"/>
  <c r="B340" i="18" s="1"/>
  <c r="B327" i="18"/>
  <c r="B326" i="18"/>
  <c r="B278" i="18"/>
  <c r="B277" i="18"/>
  <c r="B229" i="18"/>
  <c r="B228" i="18"/>
  <c r="B180" i="18"/>
  <c r="B179" i="18"/>
  <c r="B131" i="18"/>
  <c r="B130" i="18"/>
  <c r="B82" i="18"/>
  <c r="B33" i="18"/>
  <c r="B32" i="18"/>
  <c r="B31" i="18"/>
  <c r="B80" i="18" s="1"/>
  <c r="B30" i="18"/>
  <c r="B79" i="18" s="1"/>
  <c r="B81" i="18"/>
  <c r="B37" i="18"/>
  <c r="B86" i="18" s="1"/>
  <c r="B135" i="18" s="1"/>
  <c r="B184" i="18" s="1"/>
  <c r="B233" i="18" s="1"/>
  <c r="B282" i="18" s="1"/>
  <c r="B331" i="18" s="1"/>
  <c r="B36" i="18"/>
  <c r="B85" i="18" s="1"/>
  <c r="B134" i="18" s="1"/>
  <c r="B183" i="18" s="1"/>
  <c r="B232" i="18" s="1"/>
  <c r="B281" i="18" s="1"/>
  <c r="B330" i="18" s="1"/>
  <c r="B35" i="18"/>
  <c r="B182" i="18" s="1"/>
  <c r="B329" i="18" s="1"/>
  <c r="B34" i="18"/>
  <c r="B83" i="18" s="1"/>
  <c r="B132" i="18" s="1"/>
  <c r="B181" i="18" s="1"/>
  <c r="B230" i="18" s="1"/>
  <c r="B279" i="18" s="1"/>
  <c r="B328" i="18" s="1"/>
  <c r="B311" i="18"/>
  <c r="B212" i="18"/>
  <c r="B163" i="18"/>
  <c r="B114" i="18"/>
  <c r="B65" i="18"/>
  <c r="B261" i="18"/>
  <c r="B41" i="18"/>
  <c r="B91" i="18" s="1"/>
  <c r="B17" i="18"/>
  <c r="B42" i="18" s="1"/>
  <c r="B16" i="18"/>
  <c r="B333" i="18"/>
  <c r="B332" i="18"/>
  <c r="B310" i="18"/>
  <c r="B308" i="18"/>
  <c r="B307" i="18"/>
  <c r="B284" i="18"/>
  <c r="B283" i="18"/>
  <c r="B259" i="18"/>
  <c r="B258" i="18"/>
  <c r="B237" i="18"/>
  <c r="B286" i="18" s="1"/>
  <c r="B235" i="18"/>
  <c r="B234" i="18"/>
  <c r="B211" i="18"/>
  <c r="B209" i="18"/>
  <c r="B208" i="18"/>
  <c r="B186" i="18"/>
  <c r="B162" i="18"/>
  <c r="B160" i="18"/>
  <c r="B159" i="18"/>
  <c r="B137" i="18"/>
  <c r="B136" i="18"/>
  <c r="B112" i="18"/>
  <c r="B111" i="18"/>
  <c r="B185" i="18" s="1"/>
  <c r="B90" i="18"/>
  <c r="B88" i="18"/>
  <c r="B87" i="18"/>
  <c r="B64" i="18"/>
  <c r="B62" i="18"/>
  <c r="B61" i="18"/>
  <c r="B39" i="18"/>
  <c r="B38" i="18"/>
  <c r="B15" i="18"/>
  <c r="B14" i="18"/>
  <c r="B40" i="18" s="1"/>
  <c r="B63" i="18" s="1"/>
  <c r="B89" i="18" s="1"/>
  <c r="B13" i="18"/>
  <c r="B12" i="18"/>
  <c r="F10" i="8"/>
  <c r="F7" i="8"/>
  <c r="F30" i="8" s="1"/>
  <c r="F8" i="8"/>
  <c r="F12" i="8"/>
  <c r="F18" i="8"/>
  <c r="F25" i="8" s="1"/>
  <c r="L28" i="8"/>
  <c r="K28" i="8"/>
  <c r="J28" i="8"/>
  <c r="I28" i="8"/>
  <c r="H28" i="8"/>
  <c r="G28" i="8"/>
  <c r="F28" i="8"/>
  <c r="L26" i="8"/>
  <c r="K26" i="8"/>
  <c r="J26" i="8"/>
  <c r="I26" i="8"/>
  <c r="H26" i="8"/>
  <c r="G26" i="8"/>
  <c r="F26" i="8"/>
  <c r="L19" i="8"/>
  <c r="K19" i="8"/>
  <c r="J19" i="8"/>
  <c r="I19" i="8"/>
  <c r="H19" i="8"/>
  <c r="G19" i="8"/>
  <c r="F19" i="8"/>
  <c r="L13" i="8"/>
  <c r="K13" i="8"/>
  <c r="J13" i="8"/>
  <c r="I13" i="8"/>
  <c r="H13" i="8"/>
  <c r="G13" i="8"/>
  <c r="F13" i="8"/>
  <c r="G3" i="15"/>
  <c r="G3" i="14" s="1"/>
  <c r="G3" i="13" s="1"/>
  <c r="G3" i="12" s="1"/>
  <c r="G3" i="11" s="1"/>
  <c r="G2" i="10" s="1"/>
  <c r="F12" i="11"/>
  <c r="F12" i="12" s="1"/>
  <c r="F12" i="13" s="1"/>
  <c r="F12" i="14" s="1"/>
  <c r="F12" i="15" s="1"/>
  <c r="F11" i="16" s="1"/>
  <c r="F38" i="11"/>
  <c r="F37" i="12" s="1"/>
  <c r="F38" i="13" s="1"/>
  <c r="F38" i="14" s="1"/>
  <c r="F37" i="15" s="1"/>
  <c r="F36" i="16" s="1"/>
  <c r="B21" i="17"/>
  <c r="C14" i="17"/>
  <c r="B14" i="17"/>
  <c r="C7" i="17"/>
  <c r="B7" i="17"/>
  <c r="E56" i="10"/>
  <c r="D56" i="10"/>
  <c r="I160" i="1"/>
  <c r="J160" i="1" s="1"/>
  <c r="I159" i="1"/>
  <c r="J159" i="1" s="1"/>
  <c r="I158" i="1"/>
  <c r="J158" i="1" s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38" i="1"/>
  <c r="J138" i="1" s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I94" i="1"/>
  <c r="J94" i="1" s="1"/>
  <c r="I93" i="1"/>
  <c r="J93" i="1" s="1"/>
  <c r="I92" i="1"/>
  <c r="J92" i="1" s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I82" i="1"/>
  <c r="J82" i="1" s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4" i="1"/>
  <c r="S87" i="1" l="1"/>
  <c r="Q87" i="1"/>
  <c r="R87" i="1"/>
  <c r="T87" i="1"/>
  <c r="R8" i="1"/>
  <c r="Q8" i="1"/>
  <c r="S8" i="1"/>
  <c r="T8" i="1"/>
  <c r="Q24" i="1"/>
  <c r="R24" i="1"/>
  <c r="S24" i="1"/>
  <c r="T24" i="1"/>
  <c r="Q40" i="1"/>
  <c r="S40" i="1"/>
  <c r="T40" i="1"/>
  <c r="R40" i="1"/>
  <c r="Q56" i="1"/>
  <c r="R56" i="1"/>
  <c r="S56" i="1"/>
  <c r="T56" i="1"/>
  <c r="S72" i="1"/>
  <c r="Q72" i="1"/>
  <c r="R72" i="1"/>
  <c r="T72" i="1"/>
  <c r="Q88" i="1"/>
  <c r="S88" i="1"/>
  <c r="R88" i="1"/>
  <c r="T88" i="1"/>
  <c r="R104" i="1"/>
  <c r="S104" i="1"/>
  <c r="T104" i="1"/>
  <c r="Q104" i="1"/>
  <c r="R120" i="1"/>
  <c r="T120" i="1"/>
  <c r="Q120" i="1"/>
  <c r="S120" i="1"/>
  <c r="R136" i="1"/>
  <c r="S136" i="1"/>
  <c r="Q136" i="1"/>
  <c r="T136" i="1"/>
  <c r="Q152" i="1"/>
  <c r="R152" i="1"/>
  <c r="S152" i="1"/>
  <c r="T152" i="1"/>
  <c r="Q9" i="1"/>
  <c r="S9" i="1"/>
  <c r="T9" i="1"/>
  <c r="R9" i="1"/>
  <c r="Q25" i="1"/>
  <c r="T25" i="1"/>
  <c r="R25" i="1"/>
  <c r="S25" i="1"/>
  <c r="Q41" i="1"/>
  <c r="T41" i="1"/>
  <c r="R41" i="1"/>
  <c r="S41" i="1"/>
  <c r="Q57" i="1"/>
  <c r="T57" i="1"/>
  <c r="R57" i="1"/>
  <c r="S57" i="1"/>
  <c r="Q73" i="1"/>
  <c r="T73" i="1"/>
  <c r="R73" i="1"/>
  <c r="S73" i="1"/>
  <c r="Q89" i="1"/>
  <c r="T89" i="1"/>
  <c r="R89" i="1"/>
  <c r="S89" i="1"/>
  <c r="Q105" i="1"/>
  <c r="T105" i="1"/>
  <c r="R105" i="1"/>
  <c r="S105" i="1"/>
  <c r="Q121" i="1"/>
  <c r="T121" i="1"/>
  <c r="R121" i="1"/>
  <c r="S121" i="1"/>
  <c r="Q137" i="1"/>
  <c r="S137" i="1"/>
  <c r="T137" i="1"/>
  <c r="R137" i="1"/>
  <c r="Q153" i="1"/>
  <c r="T153" i="1"/>
  <c r="R153" i="1"/>
  <c r="S153" i="1"/>
  <c r="R11" i="1"/>
  <c r="S11" i="1"/>
  <c r="T11" i="1"/>
  <c r="Q11" i="1"/>
  <c r="R107" i="1"/>
  <c r="S107" i="1"/>
  <c r="T107" i="1"/>
  <c r="Q107" i="1"/>
  <c r="Q28" i="1"/>
  <c r="R28" i="1"/>
  <c r="T28" i="1"/>
  <c r="S28" i="1"/>
  <c r="Q108" i="1"/>
  <c r="S108" i="1"/>
  <c r="R108" i="1"/>
  <c r="T108" i="1"/>
  <c r="Q29" i="1"/>
  <c r="T29" i="1"/>
  <c r="R29" i="1"/>
  <c r="S29" i="1"/>
  <c r="Q45" i="1"/>
  <c r="T45" i="1"/>
  <c r="R45" i="1"/>
  <c r="S45" i="1"/>
  <c r="Q61" i="1"/>
  <c r="T61" i="1"/>
  <c r="R61" i="1"/>
  <c r="S61" i="1"/>
  <c r="Q93" i="1"/>
  <c r="T93" i="1"/>
  <c r="R93" i="1"/>
  <c r="S93" i="1"/>
  <c r="Q109" i="1"/>
  <c r="T109" i="1"/>
  <c r="R109" i="1"/>
  <c r="S109" i="1"/>
  <c r="Q141" i="1"/>
  <c r="T141" i="1"/>
  <c r="R141" i="1"/>
  <c r="S141" i="1"/>
  <c r="Q157" i="1"/>
  <c r="T157" i="1"/>
  <c r="R157" i="1"/>
  <c r="S157" i="1"/>
  <c r="Q46" i="1"/>
  <c r="T46" i="1"/>
  <c r="R46" i="1"/>
  <c r="S46" i="1"/>
  <c r="Q94" i="1"/>
  <c r="R94" i="1"/>
  <c r="T94" i="1"/>
  <c r="S94" i="1"/>
  <c r="R142" i="1"/>
  <c r="T142" i="1"/>
  <c r="S142" i="1"/>
  <c r="Q142" i="1"/>
  <c r="R15" i="1"/>
  <c r="S15" i="1"/>
  <c r="Q15" i="1"/>
  <c r="T15" i="1"/>
  <c r="R79" i="1"/>
  <c r="T79" i="1"/>
  <c r="Q79" i="1"/>
  <c r="S79" i="1"/>
  <c r="Q143" i="1"/>
  <c r="S143" i="1"/>
  <c r="T143" i="1"/>
  <c r="R143" i="1"/>
  <c r="R32" i="1"/>
  <c r="S32" i="1"/>
  <c r="T32" i="1"/>
  <c r="Q32" i="1"/>
  <c r="R96" i="1"/>
  <c r="S96" i="1"/>
  <c r="T96" i="1"/>
  <c r="Q96" i="1"/>
  <c r="R160" i="1"/>
  <c r="S160" i="1"/>
  <c r="T160" i="1"/>
  <c r="Q160" i="1"/>
  <c r="Q49" i="1"/>
  <c r="T49" i="1"/>
  <c r="R49" i="1"/>
  <c r="S49" i="1"/>
  <c r="Q129" i="1"/>
  <c r="T129" i="1"/>
  <c r="R129" i="1"/>
  <c r="S129" i="1"/>
  <c r="S98" i="1"/>
  <c r="T98" i="1"/>
  <c r="Q98" i="1"/>
  <c r="R98" i="1"/>
  <c r="T147" i="1"/>
  <c r="Q147" i="1"/>
  <c r="R147" i="1"/>
  <c r="S147" i="1"/>
  <c r="Q20" i="1"/>
  <c r="S20" i="1"/>
  <c r="T20" i="1"/>
  <c r="R20" i="1"/>
  <c r="Q36" i="1"/>
  <c r="R36" i="1"/>
  <c r="S36" i="1"/>
  <c r="T36" i="1"/>
  <c r="S52" i="1"/>
  <c r="Q52" i="1"/>
  <c r="R52" i="1"/>
  <c r="T52" i="1"/>
  <c r="R84" i="1"/>
  <c r="S84" i="1"/>
  <c r="T84" i="1"/>
  <c r="Q84" i="1"/>
  <c r="S100" i="1"/>
  <c r="Q100" i="1"/>
  <c r="R100" i="1"/>
  <c r="T100" i="1"/>
  <c r="T116" i="1"/>
  <c r="Q116" i="1"/>
  <c r="R116" i="1"/>
  <c r="S116" i="1"/>
  <c r="R132" i="1"/>
  <c r="T132" i="1"/>
  <c r="Q132" i="1"/>
  <c r="S132" i="1"/>
  <c r="R148" i="1"/>
  <c r="S148" i="1"/>
  <c r="T148" i="1"/>
  <c r="Q148" i="1"/>
  <c r="Q133" i="1"/>
  <c r="T133" i="1"/>
  <c r="R133" i="1"/>
  <c r="S133" i="1"/>
  <c r="S7" i="1"/>
  <c r="T7" i="1"/>
  <c r="Q7" i="1"/>
  <c r="R7" i="1"/>
  <c r="Q23" i="1"/>
  <c r="S23" i="1"/>
  <c r="R23" i="1"/>
  <c r="T23" i="1"/>
  <c r="R39" i="1"/>
  <c r="S39" i="1"/>
  <c r="T39" i="1"/>
  <c r="Q39" i="1"/>
  <c r="Q55" i="1"/>
  <c r="S55" i="1"/>
  <c r="R55" i="1"/>
  <c r="T55" i="1"/>
  <c r="T71" i="1"/>
  <c r="Q71" i="1"/>
  <c r="R71" i="1"/>
  <c r="S71" i="1"/>
  <c r="Q103" i="1"/>
  <c r="R103" i="1"/>
  <c r="S103" i="1"/>
  <c r="T103" i="1"/>
  <c r="Q119" i="1"/>
  <c r="S119" i="1"/>
  <c r="T119" i="1"/>
  <c r="R119" i="1"/>
  <c r="T135" i="1"/>
  <c r="Q135" i="1"/>
  <c r="R135" i="1"/>
  <c r="S135" i="1"/>
  <c r="R151" i="1"/>
  <c r="S151" i="1"/>
  <c r="T151" i="1"/>
  <c r="Q151" i="1"/>
  <c r="Q10" i="1"/>
  <c r="R10" i="1"/>
  <c r="S10" i="1"/>
  <c r="T10" i="1"/>
  <c r="Q26" i="1"/>
  <c r="T26" i="1"/>
  <c r="R26" i="1"/>
  <c r="S26" i="1"/>
  <c r="R42" i="1"/>
  <c r="T42" i="1"/>
  <c r="Q42" i="1"/>
  <c r="S42" i="1"/>
  <c r="S58" i="1"/>
  <c r="T58" i="1"/>
  <c r="Q58" i="1"/>
  <c r="R58" i="1"/>
  <c r="Q74" i="1"/>
  <c r="R74" i="1"/>
  <c r="S74" i="1"/>
  <c r="T74" i="1"/>
  <c r="Q90" i="1"/>
  <c r="R90" i="1"/>
  <c r="S90" i="1"/>
  <c r="T90" i="1"/>
  <c r="Q106" i="1"/>
  <c r="S106" i="1"/>
  <c r="T106" i="1"/>
  <c r="R106" i="1"/>
  <c r="Q122" i="1"/>
  <c r="R122" i="1"/>
  <c r="S122" i="1"/>
  <c r="T122" i="1"/>
  <c r="Q138" i="1"/>
  <c r="R138" i="1"/>
  <c r="T138" i="1"/>
  <c r="S138" i="1"/>
  <c r="R154" i="1"/>
  <c r="T154" i="1"/>
  <c r="S154" i="1"/>
  <c r="Q154" i="1"/>
  <c r="R27" i="1"/>
  <c r="S27" i="1"/>
  <c r="T27" i="1"/>
  <c r="Q27" i="1"/>
  <c r="R43" i="1"/>
  <c r="S43" i="1"/>
  <c r="T43" i="1"/>
  <c r="Q43" i="1"/>
  <c r="R59" i="1"/>
  <c r="S59" i="1"/>
  <c r="T59" i="1"/>
  <c r="Q59" i="1"/>
  <c r="R75" i="1"/>
  <c r="S75" i="1"/>
  <c r="T75" i="1"/>
  <c r="Q75" i="1"/>
  <c r="R91" i="1"/>
  <c r="S91" i="1"/>
  <c r="T91" i="1"/>
  <c r="Q91" i="1"/>
  <c r="R123" i="1"/>
  <c r="S123" i="1"/>
  <c r="T123" i="1"/>
  <c r="Q123" i="1"/>
  <c r="R139" i="1"/>
  <c r="S139" i="1"/>
  <c r="T139" i="1"/>
  <c r="Q139" i="1"/>
  <c r="R155" i="1"/>
  <c r="S155" i="1"/>
  <c r="Q155" i="1"/>
  <c r="T155" i="1"/>
  <c r="S12" i="1"/>
  <c r="T12" i="1"/>
  <c r="Q12" i="1"/>
  <c r="R12" i="1"/>
  <c r="Q44" i="1"/>
  <c r="S44" i="1"/>
  <c r="T44" i="1"/>
  <c r="R44" i="1"/>
  <c r="Q60" i="1"/>
  <c r="S60" i="1"/>
  <c r="T60" i="1"/>
  <c r="R60" i="1"/>
  <c r="Q76" i="1"/>
  <c r="R76" i="1"/>
  <c r="S76" i="1"/>
  <c r="T76" i="1"/>
  <c r="S92" i="1"/>
  <c r="Q92" i="1"/>
  <c r="R92" i="1"/>
  <c r="T92" i="1"/>
  <c r="R124" i="1"/>
  <c r="S124" i="1"/>
  <c r="Q124" i="1"/>
  <c r="T124" i="1"/>
  <c r="Q140" i="1"/>
  <c r="R140" i="1"/>
  <c r="S140" i="1"/>
  <c r="T140" i="1"/>
  <c r="Q156" i="1"/>
  <c r="R156" i="1"/>
  <c r="S156" i="1"/>
  <c r="T156" i="1"/>
  <c r="Q13" i="1"/>
  <c r="T13" i="1"/>
  <c r="R13" i="1"/>
  <c r="S13" i="1"/>
  <c r="Q77" i="1"/>
  <c r="T77" i="1"/>
  <c r="R77" i="1"/>
  <c r="S77" i="1"/>
  <c r="Q125" i="1"/>
  <c r="T125" i="1"/>
  <c r="R125" i="1"/>
  <c r="S125" i="1"/>
  <c r="T14" i="1"/>
  <c r="Q14" i="1"/>
  <c r="R14" i="1"/>
  <c r="S14" i="1"/>
  <c r="R30" i="1"/>
  <c r="Q30" i="1"/>
  <c r="S30" i="1"/>
  <c r="T30" i="1"/>
  <c r="R62" i="1"/>
  <c r="S62" i="1"/>
  <c r="T62" i="1"/>
  <c r="Q62" i="1"/>
  <c r="S78" i="1"/>
  <c r="T78" i="1"/>
  <c r="R78" i="1"/>
  <c r="Q78" i="1"/>
  <c r="Q110" i="1"/>
  <c r="R110" i="1"/>
  <c r="S110" i="1"/>
  <c r="T110" i="1"/>
  <c r="Q126" i="1"/>
  <c r="R126" i="1"/>
  <c r="T126" i="1"/>
  <c r="S126" i="1"/>
  <c r="R158" i="1"/>
  <c r="Q158" i="1"/>
  <c r="S158" i="1"/>
  <c r="T158" i="1"/>
  <c r="T31" i="1"/>
  <c r="Q31" i="1"/>
  <c r="R31" i="1"/>
  <c r="S31" i="1"/>
  <c r="R47" i="1"/>
  <c r="S47" i="1"/>
  <c r="Q47" i="1"/>
  <c r="T47" i="1"/>
  <c r="Q63" i="1"/>
  <c r="R63" i="1"/>
  <c r="S63" i="1"/>
  <c r="T63" i="1"/>
  <c r="Q95" i="1"/>
  <c r="R95" i="1"/>
  <c r="S95" i="1"/>
  <c r="T95" i="1"/>
  <c r="Q111" i="1"/>
  <c r="S111" i="1"/>
  <c r="R111" i="1"/>
  <c r="T111" i="1"/>
  <c r="Q127" i="1"/>
  <c r="R127" i="1"/>
  <c r="S127" i="1"/>
  <c r="T127" i="1"/>
  <c r="T159" i="1"/>
  <c r="Q159" i="1"/>
  <c r="R159" i="1"/>
  <c r="S159" i="1"/>
  <c r="R16" i="1"/>
  <c r="S16" i="1"/>
  <c r="T16" i="1"/>
  <c r="Q16" i="1"/>
  <c r="R48" i="1"/>
  <c r="S48" i="1"/>
  <c r="T48" i="1"/>
  <c r="Q48" i="1"/>
  <c r="R64" i="1"/>
  <c r="S64" i="1"/>
  <c r="T64" i="1"/>
  <c r="Q64" i="1"/>
  <c r="R80" i="1"/>
  <c r="S80" i="1"/>
  <c r="T80" i="1"/>
  <c r="Q80" i="1"/>
  <c r="R112" i="1"/>
  <c r="S112" i="1"/>
  <c r="T112" i="1"/>
  <c r="Q112" i="1"/>
  <c r="R128" i="1"/>
  <c r="S128" i="1"/>
  <c r="Q128" i="1"/>
  <c r="T128" i="1"/>
  <c r="R144" i="1"/>
  <c r="S144" i="1"/>
  <c r="Q144" i="1"/>
  <c r="T144" i="1"/>
  <c r="Q17" i="1"/>
  <c r="T17" i="1"/>
  <c r="R17" i="1"/>
  <c r="S17" i="1"/>
  <c r="Q33" i="1"/>
  <c r="T33" i="1"/>
  <c r="R33" i="1"/>
  <c r="S33" i="1"/>
  <c r="Q65" i="1"/>
  <c r="T65" i="1"/>
  <c r="R65" i="1"/>
  <c r="S65" i="1"/>
  <c r="Q81" i="1"/>
  <c r="T81" i="1"/>
  <c r="R81" i="1"/>
  <c r="S81" i="1"/>
  <c r="Q97" i="1"/>
  <c r="T97" i="1"/>
  <c r="R97" i="1"/>
  <c r="S97" i="1"/>
  <c r="Q113" i="1"/>
  <c r="T113" i="1"/>
  <c r="R113" i="1"/>
  <c r="S113" i="1"/>
  <c r="Q145" i="1"/>
  <c r="T145" i="1"/>
  <c r="R145" i="1"/>
  <c r="S145" i="1"/>
  <c r="R18" i="1"/>
  <c r="Q18" i="1"/>
  <c r="S18" i="1"/>
  <c r="T18" i="1"/>
  <c r="R34" i="1"/>
  <c r="T34" i="1"/>
  <c r="Q34" i="1"/>
  <c r="S34" i="1"/>
  <c r="R50" i="1"/>
  <c r="Q50" i="1"/>
  <c r="S50" i="1"/>
  <c r="T50" i="1"/>
  <c r="Q66" i="1"/>
  <c r="T66" i="1"/>
  <c r="R66" i="1"/>
  <c r="S66" i="1"/>
  <c r="R82" i="1"/>
  <c r="T82" i="1"/>
  <c r="Q82" i="1"/>
  <c r="S82" i="1"/>
  <c r="Q114" i="1"/>
  <c r="R114" i="1"/>
  <c r="S114" i="1"/>
  <c r="T114" i="1"/>
  <c r="R130" i="1"/>
  <c r="T130" i="1"/>
  <c r="S130" i="1"/>
  <c r="Q130" i="1"/>
  <c r="R146" i="1"/>
  <c r="Q146" i="1"/>
  <c r="S146" i="1"/>
  <c r="T146" i="1"/>
  <c r="R19" i="1"/>
  <c r="S19" i="1"/>
  <c r="T19" i="1"/>
  <c r="Q19" i="1"/>
  <c r="Q35" i="1"/>
  <c r="S35" i="1"/>
  <c r="R35" i="1"/>
  <c r="T35" i="1"/>
  <c r="T51" i="1"/>
  <c r="Q51" i="1"/>
  <c r="R51" i="1"/>
  <c r="S51" i="1"/>
  <c r="R67" i="1"/>
  <c r="S67" i="1"/>
  <c r="Q67" i="1"/>
  <c r="T67" i="1"/>
  <c r="Q83" i="1"/>
  <c r="R83" i="1"/>
  <c r="S83" i="1"/>
  <c r="T83" i="1"/>
  <c r="R99" i="1"/>
  <c r="S99" i="1"/>
  <c r="T99" i="1"/>
  <c r="Q99" i="1"/>
  <c r="R115" i="1"/>
  <c r="Q115" i="1"/>
  <c r="S115" i="1"/>
  <c r="T115" i="1"/>
  <c r="Q131" i="1"/>
  <c r="S131" i="1"/>
  <c r="R131" i="1"/>
  <c r="T131" i="1"/>
  <c r="Q68" i="1"/>
  <c r="S68" i="1"/>
  <c r="R68" i="1"/>
  <c r="T68" i="1"/>
  <c r="Q5" i="1"/>
  <c r="T5" i="1"/>
  <c r="R5" i="1"/>
  <c r="S5" i="1"/>
  <c r="Q21" i="1"/>
  <c r="T21" i="1"/>
  <c r="R21" i="1"/>
  <c r="S21" i="1"/>
  <c r="Q37" i="1"/>
  <c r="T37" i="1"/>
  <c r="R37" i="1"/>
  <c r="S37" i="1"/>
  <c r="Q53" i="1"/>
  <c r="T53" i="1"/>
  <c r="R53" i="1"/>
  <c r="S53" i="1"/>
  <c r="Q69" i="1"/>
  <c r="T69" i="1"/>
  <c r="R69" i="1"/>
  <c r="S69" i="1"/>
  <c r="Q85" i="1"/>
  <c r="T85" i="1"/>
  <c r="R85" i="1"/>
  <c r="S85" i="1"/>
  <c r="Q101" i="1"/>
  <c r="T101" i="1"/>
  <c r="R101" i="1"/>
  <c r="S101" i="1"/>
  <c r="Q117" i="1"/>
  <c r="T117" i="1"/>
  <c r="R117" i="1"/>
  <c r="S117" i="1"/>
  <c r="Q149" i="1"/>
  <c r="T149" i="1"/>
  <c r="R149" i="1"/>
  <c r="S149" i="1"/>
  <c r="R6" i="1"/>
  <c r="S6" i="1"/>
  <c r="T6" i="1"/>
  <c r="Q6" i="1"/>
  <c r="R22" i="1"/>
  <c r="S22" i="1"/>
  <c r="T22" i="1"/>
  <c r="Q22" i="1"/>
  <c r="R38" i="1"/>
  <c r="S38" i="1"/>
  <c r="T38" i="1"/>
  <c r="Q38" i="1"/>
  <c r="R54" i="1"/>
  <c r="S54" i="1"/>
  <c r="T54" i="1"/>
  <c r="Q54" i="1"/>
  <c r="R70" i="1"/>
  <c r="S70" i="1"/>
  <c r="T70" i="1"/>
  <c r="Q70" i="1"/>
  <c r="R86" i="1"/>
  <c r="S86" i="1"/>
  <c r="T86" i="1"/>
  <c r="Q86" i="1"/>
  <c r="R102" i="1"/>
  <c r="S102" i="1"/>
  <c r="T102" i="1"/>
  <c r="Q102" i="1"/>
  <c r="R118" i="1"/>
  <c r="S118" i="1"/>
  <c r="Q118" i="1"/>
  <c r="T118" i="1"/>
  <c r="R134" i="1"/>
  <c r="S134" i="1"/>
  <c r="Q134" i="1"/>
  <c r="T134" i="1"/>
  <c r="R150" i="1"/>
  <c r="S150" i="1"/>
  <c r="T150" i="1"/>
  <c r="Q150" i="1"/>
  <c r="J4" i="1"/>
  <c r="T4" i="1" s="1"/>
  <c r="F23" i="14"/>
  <c r="F47" i="10"/>
  <c r="F52" i="16"/>
  <c r="F57" i="14"/>
  <c r="F61" i="10"/>
  <c r="F62" i="11" s="1"/>
  <c r="F60" i="12" s="1"/>
  <c r="F61" i="13" s="1"/>
  <c r="F62" i="14" s="1"/>
  <c r="F61" i="15" s="1"/>
  <c r="F58" i="16" s="1"/>
  <c r="F48" i="14"/>
  <c r="F47" i="15" s="1"/>
  <c r="F25" i="14"/>
  <c r="F27" i="10"/>
  <c r="F27" i="11" s="1"/>
  <c r="F26" i="12" s="1"/>
  <c r="F27" i="13" s="1"/>
  <c r="F27" i="14" s="1"/>
  <c r="F26" i="15" s="1"/>
  <c r="F26" i="16" s="1"/>
  <c r="F17" i="8"/>
  <c r="F19" i="16"/>
  <c r="F28" i="10"/>
  <c r="F28" i="11" s="1"/>
  <c r="F27" i="12" s="1"/>
  <c r="F28" i="13" s="1"/>
  <c r="F28" i="14" s="1"/>
  <c r="F27" i="15" s="1"/>
  <c r="F27" i="16" s="1"/>
  <c r="F53" i="16"/>
  <c r="F19" i="12"/>
  <c r="F40" i="10"/>
  <c r="F40" i="11" s="1"/>
  <c r="F22" i="15"/>
  <c r="F54" i="12"/>
  <c r="F18" i="11"/>
  <c r="F54" i="16"/>
  <c r="F20" i="14"/>
  <c r="F47" i="13"/>
  <c r="F30" i="10"/>
  <c r="F62" i="10" s="1"/>
  <c r="F63" i="11" s="1"/>
  <c r="F61" i="12" s="1"/>
  <c r="F62" i="13" s="1"/>
  <c r="F63" i="14" s="1"/>
  <c r="F62" i="15" s="1"/>
  <c r="F59" i="16" s="1"/>
  <c r="F48" i="13"/>
  <c r="F42" i="10"/>
  <c r="F42" i="11" s="1"/>
  <c r="F22" i="12"/>
  <c r="F33" i="10"/>
  <c r="F33" i="11" s="1"/>
  <c r="F32" i="12" s="1"/>
  <c r="F33" i="13" s="1"/>
  <c r="F33" i="14" s="1"/>
  <c r="F32" i="15" s="1"/>
  <c r="F32" i="16" s="1"/>
  <c r="F56" i="14"/>
  <c r="F16" i="10"/>
  <c r="F15" i="12"/>
  <c r="F16" i="12"/>
  <c r="F35" i="10"/>
  <c r="F35" i="11" s="1"/>
  <c r="F34" i="12" s="1"/>
  <c r="F35" i="13" s="1"/>
  <c r="F35" i="14" s="1"/>
  <c r="F34" i="15" s="1"/>
  <c r="F57" i="10"/>
  <c r="F23" i="12"/>
  <c r="F44" i="10"/>
  <c r="F44" i="11" s="1"/>
  <c r="F25" i="13"/>
  <c r="F37" i="10"/>
  <c r="F37" i="11" s="1"/>
  <c r="F36" i="12" s="1"/>
  <c r="F37" i="13" s="1"/>
  <c r="F37" i="14" s="1"/>
  <c r="F36" i="15" s="1"/>
  <c r="F35" i="16" s="1"/>
  <c r="F50" i="11"/>
  <c r="F16" i="15"/>
  <c r="F11" i="10"/>
  <c r="F11" i="11" s="1"/>
  <c r="F11" i="12" s="1"/>
  <c r="F11" i="13" s="1"/>
  <c r="F11" i="14" s="1"/>
  <c r="F11" i="15" s="1"/>
  <c r="F10" i="16" s="1"/>
  <c r="K6" i="8" s="1"/>
  <c r="F57" i="13"/>
  <c r="F54" i="15"/>
  <c r="F48" i="10"/>
  <c r="F54" i="10"/>
  <c r="F56" i="11"/>
  <c r="F43" i="10"/>
  <c r="F43" i="11" s="1"/>
  <c r="F20" i="13"/>
  <c r="F47" i="11"/>
  <c r="F24" i="14"/>
  <c r="F39" i="11"/>
  <c r="F20" i="10"/>
  <c r="F23" i="13"/>
  <c r="F59" i="10"/>
  <c r="F60" i="11" s="1"/>
  <c r="F58" i="12" s="1"/>
  <c r="F59" i="13" s="1"/>
  <c r="F60" i="14" s="1"/>
  <c r="F59" i="15" s="1"/>
  <c r="F56" i="16" s="1"/>
  <c r="F48" i="11"/>
  <c r="F55" i="13"/>
  <c r="F55" i="10"/>
  <c r="F39" i="13"/>
  <c r="F17" i="16"/>
  <c r="F57" i="11"/>
  <c r="F25" i="10"/>
  <c r="F15" i="13"/>
  <c r="F16" i="11"/>
  <c r="F23" i="10"/>
  <c r="F65" i="10"/>
  <c r="F66" i="11" s="1"/>
  <c r="F64" i="12" s="1"/>
  <c r="F65" i="13" s="1"/>
  <c r="F66" i="14" s="1"/>
  <c r="F65" i="15" s="1"/>
  <c r="F62" i="16" s="1"/>
  <c r="F38" i="15"/>
  <c r="F16" i="13"/>
  <c r="F55" i="15"/>
  <c r="F56" i="10"/>
  <c r="F23" i="11"/>
  <c r="F18" i="10"/>
  <c r="F46" i="16"/>
  <c r="B273" i="18"/>
  <c r="B322" i="18"/>
  <c r="B78" i="18"/>
  <c r="B127" i="18"/>
  <c r="B176" i="18" s="1"/>
  <c r="B225" i="18" s="1"/>
  <c r="B274" i="18" s="1"/>
  <c r="B323" i="18" s="1"/>
  <c r="B100" i="18"/>
  <c r="B148" i="18" s="1"/>
  <c r="B73" i="18"/>
  <c r="B76" i="18"/>
  <c r="B125" i="18"/>
  <c r="B174" i="18" s="1"/>
  <c r="B223" i="18" s="1"/>
  <c r="B149" i="18"/>
  <c r="B198" i="18" s="1"/>
  <c r="B123" i="18"/>
  <c r="B172" i="18" s="1"/>
  <c r="B24" i="18"/>
  <c r="B25" i="18"/>
  <c r="B74" i="18" s="1"/>
  <c r="B227" i="18"/>
  <c r="B276" i="18" s="1"/>
  <c r="B325" i="18" s="1"/>
  <c r="B226" i="18"/>
  <c r="B275" i="18" s="1"/>
  <c r="B324" i="18" s="1"/>
  <c r="B178" i="18"/>
  <c r="B177" i="18"/>
  <c r="B129" i="18"/>
  <c r="B128" i="18"/>
  <c r="B231" i="18"/>
  <c r="B280" i="18" s="1"/>
  <c r="B84" i="18"/>
  <c r="B133" i="18" s="1"/>
  <c r="B335" i="18"/>
  <c r="B238" i="18"/>
  <c r="B287" i="18"/>
  <c r="B139" i="18"/>
  <c r="B188" i="18"/>
  <c r="B336" i="18"/>
  <c r="B288" i="18"/>
  <c r="B312" i="18"/>
  <c r="B239" i="18"/>
  <c r="B262" i="18"/>
  <c r="B213" i="18"/>
  <c r="B164" i="18"/>
  <c r="B189" i="18"/>
  <c r="B140" i="18"/>
  <c r="B115" i="18"/>
  <c r="B92" i="18"/>
  <c r="B66" i="18"/>
  <c r="B113" i="18"/>
  <c r="B138" i="18" s="1"/>
  <c r="B161" i="18" s="1"/>
  <c r="B187" i="18" s="1"/>
  <c r="B210" i="18" s="1"/>
  <c r="B236" i="18" s="1"/>
  <c r="B260" i="18" s="1"/>
  <c r="B285" i="18" s="1"/>
  <c r="B309" i="18" s="1"/>
  <c r="B334" i="18" s="1"/>
  <c r="F24" i="12"/>
  <c r="F24" i="16"/>
  <c r="F34" i="10"/>
  <c r="F34" i="11" s="1"/>
  <c r="F33" i="12" s="1"/>
  <c r="F34" i="13" s="1"/>
  <c r="F34" i="14" s="1"/>
  <c r="F33" i="15" s="1"/>
  <c r="F33" i="16" s="1"/>
  <c r="F19" i="15"/>
  <c r="F25" i="11"/>
  <c r="F23" i="16"/>
  <c r="F50" i="14"/>
  <c r="F49" i="15" s="1"/>
  <c r="F24" i="10"/>
  <c r="F24" i="13" s="1"/>
  <c r="F58" i="11"/>
  <c r="F23" i="15"/>
  <c r="F55" i="11"/>
  <c r="F64" i="10"/>
  <c r="F65" i="11" s="1"/>
  <c r="F63" i="12" s="1"/>
  <c r="F64" i="13" s="1"/>
  <c r="F65" i="14" s="1"/>
  <c r="F64" i="15" s="1"/>
  <c r="F61" i="16" s="1"/>
  <c r="F47" i="12"/>
  <c r="F16" i="14"/>
  <c r="F24" i="15"/>
  <c r="F46" i="12"/>
  <c r="F39" i="10"/>
  <c r="F55" i="14"/>
  <c r="F49" i="10"/>
  <c r="F17" i="10" s="1"/>
  <c r="F16" i="16" s="1"/>
  <c r="F52" i="10"/>
  <c r="F21" i="10" s="1"/>
  <c r="F20" i="16" s="1"/>
  <c r="F57" i="15"/>
  <c r="F15" i="10"/>
  <c r="F51" i="10"/>
  <c r="F52" i="11" s="1"/>
  <c r="F41" i="10"/>
  <c r="F41" i="11" s="1"/>
  <c r="F15" i="11"/>
  <c r="F20" i="11"/>
  <c r="F38" i="12"/>
  <c r="F32" i="10"/>
  <c r="F32" i="11" s="1"/>
  <c r="F31" i="12" s="1"/>
  <c r="F32" i="13" s="1"/>
  <c r="F32" i="14" s="1"/>
  <c r="F31" i="15" s="1"/>
  <c r="F31" i="16" s="1"/>
  <c r="F56" i="15"/>
  <c r="F31" i="10"/>
  <c r="F31" i="11" s="1"/>
  <c r="F30" i="12" s="1"/>
  <c r="F31" i="13" s="1"/>
  <c r="F31" i="14" s="1"/>
  <c r="F30" i="15" s="1"/>
  <c r="F30" i="16" s="1"/>
  <c r="F29" i="8"/>
  <c r="F8" i="16"/>
  <c r="F4" i="16"/>
  <c r="F9" i="15"/>
  <c r="F5" i="11"/>
  <c r="F5" i="15"/>
  <c r="F5" i="14"/>
  <c r="F9" i="12"/>
  <c r="F5" i="13"/>
  <c r="F9" i="13"/>
  <c r="F9" i="14" s="1"/>
  <c r="F5" i="12"/>
  <c r="F9" i="11"/>
  <c r="F6" i="11"/>
  <c r="F6" i="12" s="1"/>
  <c r="F6" i="13" s="1"/>
  <c r="F6" i="14" s="1"/>
  <c r="F6" i="15" s="1"/>
  <c r="F5" i="16" s="1"/>
  <c r="F37" i="16"/>
  <c r="F40" i="14"/>
  <c r="F39" i="15" s="1"/>
  <c r="F38" i="16" s="1"/>
  <c r="F39" i="14"/>
  <c r="F40" i="13"/>
  <c r="F43" i="12"/>
  <c r="F44" i="13" s="1"/>
  <c r="F44" i="14" s="1"/>
  <c r="F43" i="15" s="1"/>
  <c r="F42" i="16" s="1"/>
  <c r="F42" i="12"/>
  <c r="F43" i="13" s="1"/>
  <c r="F43" i="14" s="1"/>
  <c r="F42" i="15" s="1"/>
  <c r="F41" i="16" s="1"/>
  <c r="F41" i="12"/>
  <c r="F42" i="13" s="1"/>
  <c r="F42" i="14" s="1"/>
  <c r="F41" i="15" s="1"/>
  <c r="F40" i="16" s="1"/>
  <c r="F40" i="12"/>
  <c r="F41" i="13" s="1"/>
  <c r="F41" i="14" s="1"/>
  <c r="F40" i="15" s="1"/>
  <c r="F39" i="16" s="1"/>
  <c r="F39" i="12"/>
  <c r="F53" i="12"/>
  <c r="F56" i="12"/>
  <c r="F55" i="12"/>
  <c r="F58" i="14"/>
  <c r="F22" i="16"/>
  <c r="F56" i="13"/>
  <c r="F54" i="13"/>
  <c r="F21" i="14"/>
  <c r="F45" i="16"/>
  <c r="F15" i="16"/>
  <c r="F14" i="16"/>
  <c r="F46" i="15"/>
  <c r="F15" i="15"/>
  <c r="F47" i="14"/>
  <c r="F18" i="14"/>
  <c r="F15" i="14"/>
  <c r="F18" i="13"/>
  <c r="F7" i="10"/>
  <c r="F7" i="11" s="1"/>
  <c r="F7" i="12" s="1"/>
  <c r="F7" i="13" s="1"/>
  <c r="F7" i="14" s="1"/>
  <c r="F7" i="15" s="1"/>
  <c r="F6" i="16" s="1"/>
  <c r="F60" i="10"/>
  <c r="F61" i="11" s="1"/>
  <c r="F59" i="12" s="1"/>
  <c r="F60" i="13" s="1"/>
  <c r="F61" i="14" s="1"/>
  <c r="F60" i="15" s="1"/>
  <c r="F57" i="16" s="1"/>
  <c r="F63" i="10"/>
  <c r="F64" i="11" s="1"/>
  <c r="F62" i="12" s="1"/>
  <c r="F63" i="13" s="1"/>
  <c r="F64" i="14" s="1"/>
  <c r="F63" i="15" s="1"/>
  <c r="F60" i="16" s="1"/>
  <c r="F8" i="10"/>
  <c r="F9" i="10"/>
  <c r="F5" i="10"/>
  <c r="F6" i="10"/>
  <c r="F29" i="10"/>
  <c r="F29" i="11" s="1"/>
  <c r="F28" i="12" s="1"/>
  <c r="F29" i="13" s="1"/>
  <c r="F29" i="14" s="1"/>
  <c r="F28" i="15" s="1"/>
  <c r="F28" i="16" s="1"/>
  <c r="U44" i="1" l="1"/>
  <c r="U123" i="1"/>
  <c r="U43" i="1"/>
  <c r="U151" i="1"/>
  <c r="U32" i="1"/>
  <c r="U45" i="1"/>
  <c r="U107" i="1"/>
  <c r="U59" i="1"/>
  <c r="U39" i="1"/>
  <c r="U87" i="1"/>
  <c r="U119" i="1"/>
  <c r="U17" i="1"/>
  <c r="U150" i="1"/>
  <c r="U86" i="1"/>
  <c r="U22" i="1"/>
  <c r="U54" i="1"/>
  <c r="U99" i="1"/>
  <c r="U80" i="1"/>
  <c r="U91" i="1"/>
  <c r="U27" i="1"/>
  <c r="U20" i="1"/>
  <c r="U11" i="1"/>
  <c r="U38" i="1"/>
  <c r="U120" i="1"/>
  <c r="U78" i="1"/>
  <c r="U65" i="1"/>
  <c r="U145" i="1"/>
  <c r="U103" i="1"/>
  <c r="U23" i="1"/>
  <c r="U157" i="1"/>
  <c r="U61" i="1"/>
  <c r="U28" i="1"/>
  <c r="U58" i="1"/>
  <c r="U158" i="1"/>
  <c r="U71" i="1"/>
  <c r="U21" i="1"/>
  <c r="U55" i="1"/>
  <c r="U159" i="1"/>
  <c r="U92" i="1"/>
  <c r="U100" i="1"/>
  <c r="U72" i="1"/>
  <c r="U35" i="1"/>
  <c r="U152" i="1"/>
  <c r="U10" i="1"/>
  <c r="U40" i="1"/>
  <c r="U50" i="1"/>
  <c r="U134" i="1"/>
  <c r="U85" i="1"/>
  <c r="U57" i="1"/>
  <c r="U102" i="1"/>
  <c r="U19" i="1"/>
  <c r="U148" i="1"/>
  <c r="U160" i="1"/>
  <c r="U93" i="1"/>
  <c r="U14" i="1"/>
  <c r="U79" i="1"/>
  <c r="U153" i="1"/>
  <c r="U113" i="1"/>
  <c r="U95" i="1"/>
  <c r="U77" i="1"/>
  <c r="U122" i="1"/>
  <c r="U5" i="1"/>
  <c r="U36" i="1"/>
  <c r="U12" i="1"/>
  <c r="U53" i="1"/>
  <c r="U97" i="1"/>
  <c r="U63" i="1"/>
  <c r="U30" i="1"/>
  <c r="U42" i="1"/>
  <c r="U88" i="1"/>
  <c r="U82" i="1"/>
  <c r="U126" i="1"/>
  <c r="U13" i="1"/>
  <c r="U106" i="1"/>
  <c r="U135" i="1"/>
  <c r="U24" i="1"/>
  <c r="U117" i="1"/>
  <c r="U68" i="1"/>
  <c r="U83" i="1"/>
  <c r="U18" i="1"/>
  <c r="U144" i="1"/>
  <c r="U47" i="1"/>
  <c r="U155" i="1"/>
  <c r="U133" i="1"/>
  <c r="U49" i="1"/>
  <c r="U143" i="1"/>
  <c r="U94" i="1"/>
  <c r="U109" i="1"/>
  <c r="U29" i="1"/>
  <c r="U136" i="1"/>
  <c r="U137" i="1"/>
  <c r="U69" i="1"/>
  <c r="U121" i="1"/>
  <c r="U67" i="1"/>
  <c r="U81" i="1"/>
  <c r="U127" i="1"/>
  <c r="U8" i="1"/>
  <c r="U48" i="1"/>
  <c r="U31" i="1"/>
  <c r="U110" i="1"/>
  <c r="U156" i="1"/>
  <c r="U76" i="1"/>
  <c r="U75" i="1"/>
  <c r="U154" i="1"/>
  <c r="U90" i="1"/>
  <c r="U147" i="1"/>
  <c r="U124" i="1"/>
  <c r="U34" i="1"/>
  <c r="U62" i="1"/>
  <c r="U116" i="1"/>
  <c r="U114" i="1"/>
  <c r="U105" i="1"/>
  <c r="U64" i="1"/>
  <c r="U101" i="1"/>
  <c r="U37" i="1"/>
  <c r="U131" i="1"/>
  <c r="U146" i="1"/>
  <c r="U128" i="1"/>
  <c r="U139" i="1"/>
  <c r="U26" i="1"/>
  <c r="U84" i="1"/>
  <c r="U46" i="1"/>
  <c r="U108" i="1"/>
  <c r="U73" i="1"/>
  <c r="U41" i="1"/>
  <c r="U6" i="1"/>
  <c r="U115" i="1"/>
  <c r="U66" i="1"/>
  <c r="U52" i="1"/>
  <c r="U96" i="1"/>
  <c r="U89" i="1"/>
  <c r="U25" i="1"/>
  <c r="U9" i="1"/>
  <c r="U118" i="1"/>
  <c r="U149" i="1"/>
  <c r="U70" i="1"/>
  <c r="U130" i="1"/>
  <c r="U111" i="1"/>
  <c r="U132" i="1"/>
  <c r="U98" i="1"/>
  <c r="U15" i="1"/>
  <c r="U56" i="1"/>
  <c r="U33" i="1"/>
  <c r="U7" i="1"/>
  <c r="U129" i="1"/>
  <c r="U142" i="1"/>
  <c r="U141" i="1"/>
  <c r="U51" i="1"/>
  <c r="U112" i="1"/>
  <c r="U16" i="1"/>
  <c r="U125" i="1"/>
  <c r="U140" i="1"/>
  <c r="U60" i="1"/>
  <c r="U138" i="1"/>
  <c r="U74" i="1"/>
  <c r="U104" i="1"/>
  <c r="G21" i="14"/>
  <c r="I15" i="8" s="1"/>
  <c r="R4" i="1"/>
  <c r="S4" i="1"/>
  <c r="F24" i="11"/>
  <c r="G25" i="11" s="1"/>
  <c r="Q4" i="1"/>
  <c r="G25" i="14"/>
  <c r="G25" i="13"/>
  <c r="G54" i="16"/>
  <c r="G20" i="16"/>
  <c r="K15" i="8" s="1"/>
  <c r="F30" i="11"/>
  <c r="F29" i="12" s="1"/>
  <c r="F30" i="13" s="1"/>
  <c r="F30" i="14" s="1"/>
  <c r="F29" i="15" s="1"/>
  <c r="F29" i="16" s="1"/>
  <c r="G33" i="16" s="1"/>
  <c r="G57" i="10"/>
  <c r="F6" i="8"/>
  <c r="G6" i="8"/>
  <c r="G44" i="11"/>
  <c r="F24" i="8" s="1"/>
  <c r="H6" i="8"/>
  <c r="I6" i="8"/>
  <c r="J6" i="8"/>
  <c r="G24" i="12"/>
  <c r="L6" i="8"/>
  <c r="B122" i="18"/>
  <c r="B197" i="18"/>
  <c r="B220" i="18" s="1"/>
  <c r="B171" i="18"/>
  <c r="B272" i="18"/>
  <c r="B321" i="18"/>
  <c r="B248" i="18"/>
  <c r="B297" i="18" s="1"/>
  <c r="B344" i="18" s="1"/>
  <c r="B221" i="18"/>
  <c r="B270" i="18" s="1"/>
  <c r="B320" i="18" s="1"/>
  <c r="G24" i="15"/>
  <c r="G44" i="10"/>
  <c r="L24" i="8" s="1"/>
  <c r="F53" i="14"/>
  <c r="G58" i="14"/>
  <c r="G21" i="10"/>
  <c r="L15" i="8" s="1"/>
  <c r="F53" i="11"/>
  <c r="F21" i="11" s="1"/>
  <c r="F51" i="12" s="1"/>
  <c r="F20" i="12" s="1"/>
  <c r="F21" i="13" s="1"/>
  <c r="G21" i="13" s="1"/>
  <c r="H15" i="8" s="1"/>
  <c r="G18" i="10"/>
  <c r="L14" i="8" s="1"/>
  <c r="F49" i="11"/>
  <c r="F17" i="11" s="1"/>
  <c r="G18" i="11" s="1"/>
  <c r="F14" i="8" s="1"/>
  <c r="G25" i="10"/>
  <c r="G57" i="15"/>
  <c r="G58" i="11"/>
  <c r="F49" i="13"/>
  <c r="F17" i="13" s="1"/>
  <c r="F17" i="14" s="1"/>
  <c r="F49" i="14" s="1"/>
  <c r="G50" i="14" s="1"/>
  <c r="I21" i="8" s="1"/>
  <c r="G49" i="10"/>
  <c r="L21" i="8" s="1"/>
  <c r="F52" i="14"/>
  <c r="F50" i="12"/>
  <c r="F51" i="13"/>
  <c r="G24" i="16"/>
  <c r="F52" i="15"/>
  <c r="F50" i="16"/>
  <c r="G52" i="10"/>
  <c r="L22" i="8" s="1"/>
  <c r="F51" i="15"/>
  <c r="F49" i="16"/>
  <c r="G65" i="10"/>
  <c r="G35" i="10"/>
  <c r="G12" i="10"/>
  <c r="G43" i="12"/>
  <c r="G24" i="8" s="1"/>
  <c r="G66" i="11"/>
  <c r="G56" i="12"/>
  <c r="G64" i="12"/>
  <c r="G57" i="13"/>
  <c r="G65" i="13"/>
  <c r="G44" i="13"/>
  <c r="H24" i="8" s="1"/>
  <c r="G66" i="14"/>
  <c r="G44" i="14"/>
  <c r="I24" i="8" s="1"/>
  <c r="G65" i="15"/>
  <c r="G43" i="15"/>
  <c r="J24" i="8" s="1"/>
  <c r="G62" i="16"/>
  <c r="G42" i="16"/>
  <c r="K24" i="8" s="1"/>
  <c r="G17" i="16"/>
  <c r="K14" i="8" s="1"/>
  <c r="F8" i="11"/>
  <c r="G12" i="11" s="1"/>
  <c r="F8" i="12"/>
  <c r="F8" i="13" s="1"/>
  <c r="F8" i="14" s="1"/>
  <c r="F8" i="15" s="1"/>
  <c r="F7" i="16" s="1"/>
  <c r="G11" i="16" s="1"/>
  <c r="K5" i="8" s="1"/>
  <c r="K23" i="8" l="1"/>
  <c r="U4" i="1"/>
  <c r="F5" i="8"/>
  <c r="G34" i="12"/>
  <c r="G16" i="8" s="1"/>
  <c r="L23" i="8"/>
  <c r="G34" i="15"/>
  <c r="J16" i="8" s="1"/>
  <c r="G35" i="14"/>
  <c r="I16" i="8" s="1"/>
  <c r="G35" i="11"/>
  <c r="F16" i="8" s="1"/>
  <c r="G35" i="13"/>
  <c r="H16" i="8" s="1"/>
  <c r="L5" i="8"/>
  <c r="B247" i="18"/>
  <c r="B296" i="18" s="1"/>
  <c r="B343" i="18" s="1"/>
  <c r="I23" i="8"/>
  <c r="G50" i="16"/>
  <c r="K22" i="8" s="1"/>
  <c r="F23" i="8"/>
  <c r="G51" i="12"/>
  <c r="G22" i="8" s="1"/>
  <c r="G53" i="14"/>
  <c r="I22" i="8" s="1"/>
  <c r="G21" i="11"/>
  <c r="F15" i="8" s="1"/>
  <c r="G50" i="11"/>
  <c r="F21" i="8" s="1"/>
  <c r="L16" i="8"/>
  <c r="G18" i="14"/>
  <c r="I14" i="8" s="1"/>
  <c r="F17" i="12"/>
  <c r="G17" i="12" s="1"/>
  <c r="G14" i="8" s="1"/>
  <c r="F48" i="12"/>
  <c r="G48" i="12" s="1"/>
  <c r="G21" i="8" s="1"/>
  <c r="F52" i="13"/>
  <c r="G52" i="13" s="1"/>
  <c r="H22" i="8" s="1"/>
  <c r="F17" i="15"/>
  <c r="F48" i="15" s="1"/>
  <c r="F47" i="16" s="1"/>
  <c r="G47" i="16" s="1"/>
  <c r="K21" i="8" s="1"/>
  <c r="G18" i="13"/>
  <c r="H14" i="8" s="1"/>
  <c r="F20" i="15"/>
  <c r="G20" i="15" s="1"/>
  <c r="J15" i="8" s="1"/>
  <c r="G53" i="11"/>
  <c r="F22" i="8" s="1"/>
  <c r="G49" i="13"/>
  <c r="H21" i="8" s="1"/>
  <c r="G20" i="12"/>
  <c r="G15" i="8" s="1"/>
  <c r="G52" i="15"/>
  <c r="J22" i="8" s="1"/>
  <c r="K16" i="8"/>
  <c r="J23" i="8"/>
  <c r="H23" i="8"/>
  <c r="G23" i="8"/>
  <c r="G12" i="12"/>
  <c r="G5" i="8" s="1"/>
  <c r="G12" i="13"/>
  <c r="H5" i="8" s="1"/>
  <c r="G12" i="14"/>
  <c r="I5" i="8" s="1"/>
  <c r="G12" i="15"/>
  <c r="J5" i="8" s="1"/>
  <c r="L31" i="8" l="1"/>
  <c r="L35" i="8" s="1"/>
  <c r="B319" i="18"/>
  <c r="B269" i="18"/>
  <c r="I31" i="8"/>
  <c r="I35" i="8" s="1"/>
  <c r="F31" i="8"/>
  <c r="G49" i="15"/>
  <c r="J21" i="8" s="1"/>
  <c r="K31" i="8"/>
  <c r="K35" i="8" s="1"/>
  <c r="G17" i="15"/>
  <c r="J14" i="8" s="1"/>
  <c r="G31" i="8"/>
  <c r="G35" i="8" s="1"/>
  <c r="H31" i="8"/>
  <c r="H35" i="8" s="1"/>
  <c r="J31" i="8" l="1"/>
  <c r="J35" i="8" s="1"/>
  <c r="H28" i="7"/>
  <c r="H29" i="7"/>
  <c r="G29" i="7"/>
  <c r="E29" i="7"/>
  <c r="G28" i="7"/>
  <c r="F28" i="7"/>
  <c r="H25" i="7"/>
  <c r="G25" i="7"/>
  <c r="F25" i="7"/>
  <c r="H17" i="7"/>
  <c r="G17" i="7"/>
  <c r="F17" i="7"/>
  <c r="H16" i="7"/>
  <c r="G16" i="7"/>
  <c r="F16" i="7"/>
  <c r="H10" i="7"/>
  <c r="G10" i="7"/>
  <c r="F10" i="7"/>
  <c r="H9" i="7"/>
  <c r="G9" i="7"/>
  <c r="F9" i="7"/>
  <c r="H8" i="7"/>
  <c r="G8" i="7"/>
  <c r="F8" i="7"/>
  <c r="H7" i="7"/>
  <c r="G7" i="7"/>
  <c r="F7" i="7"/>
  <c r="H6" i="7"/>
  <c r="G6" i="7"/>
  <c r="F6" i="7"/>
  <c r="H5" i="7"/>
  <c r="G5" i="7"/>
  <c r="F5" i="7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N2049" i="2"/>
  <c r="N2048" i="2"/>
  <c r="N2047" i="2"/>
  <c r="N2046" i="2"/>
  <c r="N2045" i="2"/>
  <c r="N2044" i="2"/>
  <c r="N2043" i="2"/>
  <c r="N2042" i="2"/>
  <c r="N2041" i="2"/>
  <c r="N2040" i="2"/>
  <c r="N2039" i="2"/>
  <c r="N2038" i="2"/>
  <c r="N2037" i="2"/>
  <c r="N2036" i="2"/>
  <c r="N2035" i="2"/>
  <c r="N2034" i="2"/>
  <c r="N2033" i="2"/>
  <c r="N2032" i="2"/>
  <c r="N2031" i="2"/>
  <c r="N2030" i="2"/>
  <c r="N2029" i="2"/>
  <c r="N2028" i="2"/>
  <c r="N2027" i="2"/>
  <c r="N2026" i="2"/>
  <c r="N2025" i="2"/>
  <c r="N2024" i="2"/>
  <c r="N2023" i="2"/>
  <c r="N2022" i="2"/>
  <c r="N2021" i="2"/>
  <c r="N2020" i="2"/>
  <c r="N2019" i="2"/>
  <c r="N2018" i="2"/>
  <c r="N2017" i="2"/>
  <c r="N2016" i="2"/>
  <c r="N2015" i="2"/>
  <c r="N2014" i="2"/>
  <c r="N2013" i="2"/>
  <c r="N2012" i="2"/>
  <c r="N2011" i="2"/>
  <c r="N2010" i="2"/>
  <c r="N2009" i="2"/>
  <c r="N2008" i="2"/>
  <c r="N2007" i="2"/>
  <c r="N2006" i="2"/>
  <c r="N2005" i="2"/>
  <c r="N2004" i="2"/>
  <c r="N2003" i="2"/>
  <c r="N2002" i="2"/>
  <c r="N2001" i="2"/>
  <c r="N2000" i="2"/>
  <c r="N1999" i="2"/>
  <c r="N1998" i="2"/>
  <c r="N1997" i="2"/>
  <c r="N1996" i="2"/>
  <c r="N1995" i="2"/>
  <c r="N1994" i="2"/>
  <c r="N1993" i="2"/>
  <c r="N1992" i="2"/>
  <c r="N1991" i="2"/>
  <c r="N1990" i="2"/>
  <c r="N1989" i="2"/>
  <c r="N1988" i="2"/>
  <c r="N1987" i="2"/>
  <c r="N1986" i="2"/>
  <c r="N1985" i="2"/>
  <c r="N1984" i="2"/>
  <c r="N1983" i="2"/>
  <c r="N1982" i="2"/>
  <c r="N1981" i="2"/>
  <c r="N1980" i="2"/>
  <c r="N1979" i="2"/>
  <c r="N1978" i="2"/>
  <c r="N1977" i="2"/>
  <c r="N1976" i="2"/>
  <c r="N1975" i="2"/>
  <c r="N1974" i="2"/>
  <c r="N1973" i="2"/>
  <c r="N1972" i="2"/>
  <c r="N1971" i="2"/>
  <c r="N1970" i="2"/>
  <c r="N1969" i="2"/>
  <c r="N1968" i="2"/>
  <c r="N1967" i="2"/>
  <c r="N1966" i="2"/>
  <c r="N1965" i="2"/>
  <c r="N1964" i="2"/>
  <c r="N1963" i="2"/>
  <c r="N1962" i="2"/>
  <c r="N1961" i="2"/>
  <c r="N1960" i="2"/>
  <c r="N1959" i="2"/>
  <c r="N1958" i="2"/>
  <c r="N1957" i="2"/>
  <c r="N1956" i="2"/>
  <c r="N1955" i="2"/>
  <c r="N1954" i="2"/>
  <c r="N1953" i="2"/>
  <c r="N1952" i="2"/>
  <c r="N1951" i="2"/>
  <c r="N1950" i="2"/>
  <c r="N1949" i="2"/>
  <c r="N1948" i="2"/>
  <c r="N1947" i="2"/>
  <c r="N1946" i="2"/>
  <c r="N1945" i="2"/>
  <c r="N1944" i="2"/>
  <c r="N1943" i="2"/>
  <c r="N1942" i="2"/>
  <c r="N1941" i="2"/>
  <c r="N1940" i="2"/>
  <c r="N1939" i="2"/>
  <c r="N1938" i="2"/>
  <c r="N1937" i="2"/>
  <c r="N1936" i="2"/>
  <c r="N1935" i="2"/>
  <c r="N1934" i="2"/>
  <c r="N1933" i="2"/>
  <c r="N1932" i="2"/>
  <c r="N1931" i="2"/>
  <c r="N1930" i="2"/>
  <c r="N1929" i="2"/>
  <c r="N1928" i="2"/>
  <c r="N1927" i="2"/>
  <c r="N1926" i="2"/>
  <c r="N1925" i="2"/>
  <c r="N1924" i="2"/>
  <c r="N1923" i="2"/>
  <c r="N1922" i="2"/>
  <c r="N1921" i="2"/>
  <c r="N1920" i="2"/>
  <c r="N1919" i="2"/>
  <c r="N1918" i="2"/>
  <c r="N1917" i="2"/>
  <c r="N1916" i="2"/>
  <c r="N1915" i="2"/>
  <c r="N1914" i="2"/>
  <c r="N1913" i="2"/>
  <c r="N1912" i="2"/>
  <c r="N1911" i="2"/>
  <c r="N1910" i="2"/>
  <c r="N1909" i="2"/>
  <c r="N1908" i="2"/>
  <c r="N1907" i="2"/>
  <c r="N1906" i="2"/>
  <c r="N1905" i="2"/>
  <c r="N1904" i="2"/>
  <c r="N1903" i="2"/>
  <c r="N1902" i="2"/>
  <c r="N1901" i="2"/>
  <c r="N1900" i="2"/>
  <c r="N1899" i="2"/>
  <c r="N1898" i="2"/>
  <c r="N1897" i="2"/>
  <c r="N1896" i="2"/>
  <c r="N1895" i="2"/>
  <c r="N1894" i="2"/>
  <c r="N1893" i="2"/>
  <c r="N1892" i="2"/>
  <c r="N1891" i="2"/>
  <c r="N1890" i="2"/>
  <c r="N1889" i="2"/>
  <c r="N1888" i="2"/>
  <c r="N1887" i="2"/>
  <c r="N1886" i="2"/>
  <c r="N1885" i="2"/>
  <c r="N1884" i="2"/>
  <c r="N1883" i="2"/>
  <c r="N1882" i="2"/>
  <c r="N1881" i="2"/>
  <c r="N1880" i="2"/>
  <c r="N1879" i="2"/>
  <c r="N1878" i="2"/>
  <c r="N1877" i="2"/>
  <c r="N1876" i="2"/>
  <c r="N1875" i="2"/>
  <c r="N1874" i="2"/>
  <c r="N1873" i="2"/>
  <c r="N1872" i="2"/>
  <c r="N1871" i="2"/>
  <c r="N1870" i="2"/>
  <c r="N1869" i="2"/>
  <c r="N1868" i="2"/>
  <c r="N1867" i="2"/>
  <c r="N1866" i="2"/>
  <c r="N1865" i="2"/>
  <c r="N1864" i="2"/>
  <c r="N1863" i="2"/>
  <c r="N1862" i="2"/>
  <c r="N1861" i="2"/>
  <c r="N1860" i="2"/>
  <c r="N1859" i="2"/>
  <c r="N1858" i="2"/>
  <c r="N1857" i="2"/>
  <c r="N1856" i="2"/>
  <c r="N1855" i="2"/>
  <c r="N1854" i="2"/>
  <c r="N1853" i="2"/>
  <c r="N1852" i="2"/>
  <c r="N1851" i="2"/>
  <c r="N1850" i="2"/>
  <c r="N1849" i="2"/>
  <c r="N1848" i="2"/>
  <c r="N1847" i="2"/>
  <c r="N1846" i="2"/>
  <c r="N1845" i="2"/>
  <c r="N1844" i="2"/>
  <c r="N1843" i="2"/>
  <c r="N1842" i="2"/>
  <c r="N1841" i="2"/>
  <c r="N1840" i="2"/>
  <c r="N1839" i="2"/>
  <c r="N1838" i="2"/>
  <c r="N1837" i="2"/>
  <c r="N1836" i="2"/>
  <c r="N1835" i="2"/>
  <c r="N1834" i="2"/>
  <c r="N1833" i="2"/>
  <c r="N1832" i="2"/>
  <c r="N1831" i="2"/>
  <c r="N1830" i="2"/>
  <c r="N1829" i="2"/>
  <c r="N1828" i="2"/>
  <c r="N1827" i="2"/>
  <c r="N1826" i="2"/>
  <c r="N1825" i="2"/>
  <c r="N1824" i="2"/>
  <c r="N1823" i="2"/>
  <c r="N1822" i="2"/>
  <c r="N1821" i="2"/>
  <c r="N1820" i="2"/>
  <c r="N1819" i="2"/>
  <c r="N1818" i="2"/>
  <c r="N1817" i="2"/>
  <c r="N1816" i="2"/>
  <c r="N1815" i="2"/>
  <c r="N1814" i="2"/>
  <c r="N1813" i="2"/>
  <c r="N1812" i="2"/>
  <c r="N1811" i="2"/>
  <c r="N1810" i="2"/>
  <c r="N1809" i="2"/>
  <c r="N1808" i="2"/>
  <c r="N1807" i="2"/>
  <c r="N1806" i="2"/>
  <c r="N1805" i="2"/>
  <c r="N1804" i="2"/>
  <c r="N1803" i="2"/>
  <c r="N1802" i="2"/>
  <c r="N1801" i="2"/>
  <c r="N1800" i="2"/>
  <c r="N1799" i="2"/>
  <c r="N1798" i="2"/>
  <c r="N1797" i="2"/>
  <c r="N1796" i="2"/>
  <c r="N1795" i="2"/>
  <c r="N1794" i="2"/>
  <c r="N1793" i="2"/>
  <c r="N1792" i="2"/>
  <c r="N1791" i="2"/>
  <c r="N1790" i="2"/>
  <c r="N1789" i="2"/>
  <c r="N1788" i="2"/>
  <c r="N1787" i="2"/>
  <c r="N1786" i="2"/>
  <c r="N1785" i="2"/>
  <c r="N1784" i="2"/>
  <c r="N1783" i="2"/>
  <c r="N1782" i="2"/>
  <c r="N1781" i="2"/>
  <c r="N1780" i="2"/>
  <c r="N1779" i="2"/>
  <c r="N1778" i="2"/>
  <c r="N1777" i="2"/>
  <c r="N1776" i="2"/>
  <c r="N1775" i="2"/>
  <c r="N1774" i="2"/>
  <c r="N1773" i="2"/>
  <c r="N1772" i="2"/>
  <c r="N1771" i="2"/>
  <c r="N1770" i="2"/>
  <c r="N1769" i="2"/>
  <c r="N1768" i="2"/>
  <c r="N1767" i="2"/>
  <c r="N1766" i="2"/>
  <c r="N1765" i="2"/>
  <c r="N1764" i="2"/>
  <c r="N1763" i="2"/>
  <c r="N1762" i="2"/>
  <c r="N1761" i="2"/>
  <c r="N1760" i="2"/>
  <c r="N1759" i="2"/>
  <c r="N1758" i="2"/>
  <c r="N1757" i="2"/>
  <c r="N1756" i="2"/>
  <c r="N1755" i="2"/>
  <c r="N1754" i="2"/>
  <c r="N1753" i="2"/>
  <c r="N1752" i="2"/>
  <c r="N1751" i="2"/>
  <c r="N1750" i="2"/>
  <c r="N1749" i="2"/>
  <c r="N1748" i="2"/>
  <c r="N1747" i="2"/>
  <c r="N1746" i="2"/>
  <c r="N1745" i="2"/>
  <c r="N1744" i="2"/>
  <c r="N1743" i="2"/>
  <c r="N1742" i="2"/>
  <c r="N1741" i="2"/>
  <c r="N1740" i="2"/>
  <c r="N1739" i="2"/>
  <c r="N1738" i="2"/>
  <c r="N1737" i="2"/>
  <c r="N1736" i="2"/>
  <c r="N1735" i="2"/>
  <c r="N1734" i="2"/>
  <c r="N1733" i="2"/>
  <c r="N1732" i="2"/>
  <c r="N1731" i="2"/>
  <c r="N1730" i="2"/>
  <c r="N1729" i="2"/>
  <c r="N1728" i="2"/>
  <c r="N1727" i="2"/>
  <c r="N1726" i="2"/>
  <c r="N1725" i="2"/>
  <c r="N1724" i="2"/>
  <c r="N1723" i="2"/>
  <c r="N1722" i="2"/>
  <c r="N1721" i="2"/>
  <c r="N1720" i="2"/>
  <c r="N1719" i="2"/>
  <c r="N1718" i="2"/>
  <c r="N1717" i="2"/>
  <c r="N1716" i="2"/>
  <c r="N1715" i="2"/>
  <c r="N1714" i="2"/>
  <c r="N1713" i="2"/>
  <c r="N1712" i="2"/>
  <c r="N1711" i="2"/>
  <c r="N1710" i="2"/>
  <c r="N1709" i="2"/>
  <c r="N1708" i="2"/>
  <c r="N1707" i="2"/>
  <c r="N1706" i="2"/>
  <c r="N1705" i="2"/>
  <c r="N1704" i="2"/>
  <c r="N1703" i="2"/>
  <c r="N1702" i="2"/>
  <c r="N1701" i="2"/>
  <c r="N1700" i="2"/>
  <c r="N1699" i="2"/>
  <c r="N1698" i="2"/>
  <c r="N1697" i="2"/>
  <c r="N1696" i="2"/>
  <c r="N1695" i="2"/>
  <c r="N1694" i="2"/>
  <c r="N1693" i="2"/>
  <c r="N1692" i="2"/>
  <c r="N1691" i="2"/>
  <c r="N1690" i="2"/>
  <c r="N1689" i="2"/>
  <c r="N1688" i="2"/>
  <c r="N1687" i="2"/>
  <c r="N1686" i="2"/>
  <c r="N1685" i="2"/>
  <c r="N1684" i="2"/>
  <c r="N1683" i="2"/>
  <c r="N1682" i="2"/>
  <c r="N1681" i="2"/>
  <c r="N1680" i="2"/>
  <c r="N1679" i="2"/>
  <c r="N1678" i="2"/>
  <c r="N1677" i="2"/>
  <c r="N1676" i="2"/>
  <c r="N1675" i="2"/>
  <c r="N1674" i="2"/>
  <c r="N1673" i="2"/>
  <c r="N1672" i="2"/>
  <c r="N1671" i="2"/>
  <c r="N1670" i="2"/>
  <c r="N1669" i="2"/>
  <c r="N1668" i="2"/>
  <c r="N1667" i="2"/>
  <c r="N1666" i="2"/>
  <c r="N1665" i="2"/>
  <c r="N1664" i="2"/>
  <c r="N1663" i="2"/>
  <c r="N1662" i="2"/>
  <c r="N1661" i="2"/>
  <c r="N1660" i="2"/>
  <c r="N1659" i="2"/>
  <c r="N1658" i="2"/>
  <c r="N1657" i="2"/>
  <c r="N1656" i="2"/>
  <c r="N1655" i="2"/>
  <c r="N1654" i="2"/>
  <c r="N1653" i="2"/>
  <c r="N1652" i="2"/>
  <c r="N1651" i="2"/>
  <c r="N1650" i="2"/>
  <c r="N1649" i="2"/>
  <c r="N1648" i="2"/>
  <c r="N1647" i="2"/>
  <c r="N1646" i="2"/>
  <c r="N1645" i="2"/>
  <c r="N1644" i="2"/>
  <c r="N1643" i="2"/>
  <c r="N1642" i="2"/>
  <c r="N1641" i="2"/>
  <c r="N1640" i="2"/>
  <c r="N1639" i="2"/>
  <c r="N1638" i="2"/>
  <c r="N1637" i="2"/>
  <c r="N1636" i="2"/>
  <c r="N1635" i="2"/>
  <c r="N1634" i="2"/>
  <c r="N1633" i="2"/>
  <c r="N1632" i="2"/>
  <c r="N1631" i="2"/>
  <c r="N1630" i="2"/>
  <c r="N1629" i="2"/>
  <c r="N1628" i="2"/>
  <c r="N1627" i="2"/>
  <c r="N1626" i="2"/>
  <c r="N1625" i="2"/>
  <c r="N1624" i="2"/>
  <c r="N1623" i="2"/>
  <c r="N1622" i="2"/>
  <c r="N1621" i="2"/>
  <c r="N1620" i="2"/>
  <c r="N1619" i="2"/>
  <c r="N1618" i="2"/>
  <c r="N1617" i="2"/>
  <c r="N1616" i="2"/>
  <c r="N1615" i="2"/>
  <c r="N1614" i="2"/>
  <c r="N1613" i="2"/>
  <c r="N1612" i="2"/>
  <c r="N1611" i="2"/>
  <c r="N1610" i="2"/>
  <c r="N1609" i="2"/>
  <c r="N1608" i="2"/>
  <c r="N1607" i="2"/>
  <c r="N1606" i="2"/>
  <c r="N1605" i="2"/>
  <c r="N1604" i="2"/>
  <c r="N1603" i="2"/>
  <c r="N1602" i="2"/>
  <c r="N1601" i="2"/>
  <c r="N1600" i="2"/>
  <c r="N1599" i="2"/>
  <c r="N1598" i="2"/>
  <c r="N1597" i="2"/>
  <c r="N1596" i="2"/>
  <c r="N1595" i="2"/>
  <c r="N1594" i="2"/>
  <c r="N1593" i="2"/>
  <c r="N1592" i="2"/>
  <c r="N1591" i="2"/>
  <c r="N1590" i="2"/>
  <c r="N1589" i="2"/>
  <c r="N1588" i="2"/>
  <c r="N1587" i="2"/>
  <c r="N1586" i="2"/>
  <c r="N1585" i="2"/>
  <c r="N1584" i="2"/>
  <c r="N1583" i="2"/>
  <c r="N1582" i="2"/>
  <c r="N1581" i="2"/>
  <c r="N1580" i="2"/>
  <c r="N1579" i="2"/>
  <c r="N1578" i="2"/>
  <c r="N1577" i="2"/>
  <c r="N1576" i="2"/>
  <c r="N1575" i="2"/>
  <c r="N1574" i="2"/>
  <c r="N1573" i="2"/>
  <c r="N1572" i="2"/>
  <c r="N1571" i="2"/>
  <c r="N1570" i="2"/>
  <c r="N1569" i="2"/>
  <c r="N1568" i="2"/>
  <c r="N1567" i="2"/>
  <c r="N1566" i="2"/>
  <c r="N1565" i="2"/>
  <c r="N1564" i="2"/>
  <c r="N1563" i="2"/>
  <c r="N1562" i="2"/>
  <c r="N1561" i="2"/>
  <c r="N1560" i="2"/>
  <c r="N1559" i="2"/>
  <c r="N1558" i="2"/>
  <c r="N1557" i="2"/>
  <c r="N1556" i="2"/>
  <c r="N1555" i="2"/>
  <c r="N1554" i="2"/>
  <c r="N1553" i="2"/>
  <c r="N1552" i="2"/>
  <c r="N1551" i="2"/>
  <c r="N1550" i="2"/>
  <c r="N1549" i="2"/>
  <c r="N1548" i="2"/>
  <c r="N1547" i="2"/>
  <c r="N1546" i="2"/>
  <c r="N1545" i="2"/>
  <c r="N1544" i="2"/>
  <c r="N1543" i="2"/>
  <c r="N1542" i="2"/>
  <c r="N1541" i="2"/>
  <c r="N1540" i="2"/>
  <c r="N1539" i="2"/>
  <c r="N1538" i="2"/>
  <c r="N1537" i="2"/>
  <c r="N1536" i="2"/>
  <c r="N1535" i="2"/>
  <c r="N1534" i="2"/>
  <c r="N1533" i="2"/>
  <c r="N1532" i="2"/>
  <c r="N1531" i="2"/>
  <c r="N1530" i="2"/>
  <c r="N1529" i="2"/>
  <c r="N1528" i="2"/>
  <c r="N1527" i="2"/>
  <c r="N1526" i="2"/>
  <c r="N1525" i="2"/>
  <c r="N1524" i="2"/>
  <c r="N1523" i="2"/>
  <c r="N1522" i="2"/>
  <c r="N1521" i="2"/>
  <c r="N1520" i="2"/>
  <c r="N1519" i="2"/>
  <c r="N1518" i="2"/>
  <c r="N1517" i="2"/>
  <c r="N1516" i="2"/>
  <c r="N1515" i="2"/>
  <c r="N1514" i="2"/>
  <c r="N1513" i="2"/>
  <c r="N1512" i="2"/>
  <c r="N1511" i="2"/>
  <c r="N1510" i="2"/>
  <c r="N1509" i="2"/>
  <c r="N1508" i="2"/>
  <c r="N1507" i="2"/>
  <c r="N1506" i="2"/>
  <c r="N1505" i="2"/>
  <c r="N1504" i="2"/>
  <c r="N1503" i="2"/>
  <c r="N1502" i="2"/>
  <c r="N1501" i="2"/>
  <c r="N1500" i="2"/>
  <c r="N1499" i="2"/>
  <c r="N1498" i="2"/>
  <c r="N1497" i="2"/>
  <c r="N1496" i="2"/>
  <c r="N1495" i="2"/>
  <c r="N1494" i="2"/>
  <c r="N1493" i="2"/>
  <c r="N1492" i="2"/>
  <c r="N1491" i="2"/>
  <c r="N1490" i="2"/>
  <c r="N1489" i="2"/>
  <c r="N1488" i="2"/>
  <c r="N1487" i="2"/>
  <c r="N1486" i="2"/>
  <c r="N1485" i="2"/>
  <c r="N1484" i="2"/>
  <c r="N1483" i="2"/>
  <c r="N1482" i="2"/>
  <c r="N1481" i="2"/>
  <c r="N1480" i="2"/>
  <c r="N1479" i="2"/>
  <c r="N1478" i="2"/>
  <c r="N1477" i="2"/>
  <c r="N1476" i="2"/>
  <c r="N1475" i="2"/>
  <c r="N1474" i="2"/>
  <c r="N1473" i="2"/>
  <c r="N1472" i="2"/>
  <c r="N1471" i="2"/>
  <c r="N1470" i="2"/>
  <c r="N1469" i="2"/>
  <c r="N1468" i="2"/>
  <c r="N1467" i="2"/>
  <c r="N1466" i="2"/>
  <c r="N1465" i="2"/>
  <c r="N1464" i="2"/>
  <c r="N1463" i="2"/>
  <c r="N1462" i="2"/>
  <c r="N1461" i="2"/>
  <c r="N1460" i="2"/>
  <c r="N1459" i="2"/>
  <c r="N1458" i="2"/>
  <c r="N1457" i="2"/>
  <c r="N1456" i="2"/>
  <c r="N1455" i="2"/>
  <c r="N1454" i="2"/>
  <c r="N1453" i="2"/>
  <c r="N1452" i="2"/>
  <c r="N1451" i="2"/>
  <c r="N1450" i="2"/>
  <c r="N1449" i="2"/>
  <c r="N1448" i="2"/>
  <c r="N1447" i="2"/>
  <c r="N1446" i="2"/>
  <c r="N1445" i="2"/>
  <c r="N1444" i="2"/>
  <c r="N1443" i="2"/>
  <c r="N1442" i="2"/>
  <c r="N1441" i="2"/>
  <c r="N1440" i="2"/>
  <c r="N1439" i="2"/>
  <c r="N1438" i="2"/>
  <c r="N1437" i="2"/>
  <c r="N1436" i="2"/>
  <c r="N1435" i="2"/>
  <c r="N1434" i="2"/>
  <c r="N1433" i="2"/>
  <c r="N1432" i="2"/>
  <c r="N1431" i="2"/>
  <c r="N1430" i="2"/>
  <c r="N1429" i="2"/>
  <c r="N1428" i="2"/>
  <c r="N1427" i="2"/>
  <c r="N1426" i="2"/>
  <c r="N1425" i="2"/>
  <c r="N1424" i="2"/>
  <c r="N1423" i="2"/>
  <c r="N1422" i="2"/>
  <c r="N1421" i="2"/>
  <c r="N1420" i="2"/>
  <c r="N1419" i="2"/>
  <c r="N1418" i="2"/>
  <c r="N1417" i="2"/>
  <c r="N1416" i="2"/>
  <c r="N1415" i="2"/>
  <c r="N1414" i="2"/>
  <c r="N1413" i="2"/>
  <c r="N1412" i="2"/>
  <c r="N1411" i="2"/>
  <c r="N1410" i="2"/>
  <c r="N1409" i="2"/>
  <c r="N1408" i="2"/>
  <c r="N1407" i="2"/>
  <c r="N1406" i="2"/>
  <c r="N1405" i="2"/>
  <c r="N1404" i="2"/>
  <c r="N1403" i="2"/>
  <c r="N1402" i="2"/>
  <c r="N1401" i="2"/>
  <c r="N1400" i="2"/>
  <c r="N1399" i="2"/>
  <c r="N1398" i="2"/>
  <c r="N1397" i="2"/>
  <c r="N1396" i="2"/>
  <c r="N1395" i="2"/>
  <c r="N1394" i="2"/>
  <c r="N1393" i="2"/>
  <c r="N1392" i="2"/>
  <c r="N1391" i="2"/>
  <c r="N1390" i="2"/>
  <c r="N1389" i="2"/>
  <c r="N1388" i="2"/>
  <c r="N1387" i="2"/>
  <c r="N1386" i="2"/>
  <c r="N1385" i="2"/>
  <c r="N1384" i="2"/>
  <c r="N1383" i="2"/>
  <c r="N1382" i="2"/>
  <c r="N1381" i="2"/>
  <c r="N1380" i="2"/>
  <c r="N1379" i="2"/>
  <c r="N1378" i="2"/>
  <c r="N1377" i="2"/>
  <c r="N1376" i="2"/>
  <c r="N1375" i="2"/>
  <c r="N1374" i="2"/>
  <c r="N1373" i="2"/>
  <c r="N1372" i="2"/>
  <c r="N1371" i="2"/>
  <c r="N1370" i="2"/>
  <c r="N1369" i="2"/>
  <c r="N1368" i="2"/>
  <c r="N1367" i="2"/>
  <c r="N1366" i="2"/>
  <c r="N1365" i="2"/>
  <c r="N1364" i="2"/>
  <c r="N1363" i="2"/>
  <c r="N1362" i="2"/>
  <c r="N1361" i="2"/>
  <c r="N1360" i="2"/>
  <c r="N1359" i="2"/>
  <c r="N1358" i="2"/>
  <c r="N1357" i="2"/>
  <c r="N1356" i="2"/>
  <c r="N1355" i="2"/>
  <c r="N1354" i="2"/>
  <c r="N1353" i="2"/>
  <c r="N1352" i="2"/>
  <c r="N1351" i="2"/>
  <c r="N1350" i="2"/>
  <c r="N1349" i="2"/>
  <c r="N1348" i="2"/>
  <c r="N1347" i="2"/>
  <c r="N1346" i="2"/>
  <c r="N1345" i="2"/>
  <c r="N1344" i="2"/>
  <c r="N1343" i="2"/>
  <c r="N1342" i="2"/>
  <c r="N1341" i="2"/>
  <c r="N1340" i="2"/>
  <c r="N1339" i="2"/>
  <c r="N1338" i="2"/>
  <c r="N1337" i="2"/>
  <c r="N1336" i="2"/>
  <c r="N1335" i="2"/>
  <c r="N1334" i="2"/>
  <c r="N1333" i="2"/>
  <c r="N1332" i="2"/>
  <c r="N1331" i="2"/>
  <c r="N1330" i="2"/>
  <c r="N1329" i="2"/>
  <c r="N1328" i="2"/>
  <c r="N1327" i="2"/>
  <c r="N1326" i="2"/>
  <c r="N1325" i="2"/>
  <c r="N1324" i="2"/>
  <c r="N1323" i="2"/>
  <c r="N1322" i="2"/>
  <c r="N1321" i="2"/>
  <c r="N1320" i="2"/>
  <c r="N1319" i="2"/>
  <c r="N1318" i="2"/>
  <c r="N1317" i="2"/>
  <c r="N1316" i="2"/>
  <c r="N1315" i="2"/>
  <c r="N1314" i="2"/>
  <c r="N1313" i="2"/>
  <c r="N1312" i="2"/>
  <c r="N1311" i="2"/>
  <c r="N1310" i="2"/>
  <c r="N1309" i="2"/>
  <c r="N1308" i="2"/>
  <c r="N1307" i="2"/>
  <c r="N1306" i="2"/>
  <c r="N1305" i="2"/>
  <c r="N1304" i="2"/>
  <c r="N1303" i="2"/>
  <c r="N1302" i="2"/>
  <c r="N1301" i="2"/>
  <c r="N1300" i="2"/>
  <c r="N1299" i="2"/>
  <c r="N1298" i="2"/>
  <c r="N1297" i="2"/>
  <c r="N1296" i="2"/>
  <c r="N1295" i="2"/>
  <c r="N1294" i="2"/>
  <c r="N1293" i="2"/>
  <c r="N1292" i="2"/>
  <c r="N1291" i="2"/>
  <c r="N1290" i="2"/>
  <c r="N1289" i="2"/>
  <c r="N1288" i="2"/>
  <c r="N1287" i="2"/>
  <c r="N1286" i="2"/>
  <c r="N1285" i="2"/>
  <c r="N1284" i="2"/>
  <c r="N1283" i="2"/>
  <c r="N1282" i="2"/>
  <c r="N1281" i="2"/>
  <c r="N1280" i="2"/>
  <c r="N1279" i="2"/>
  <c r="N1278" i="2"/>
  <c r="N1277" i="2"/>
  <c r="N1276" i="2"/>
  <c r="N1275" i="2"/>
  <c r="N1274" i="2"/>
  <c r="N1273" i="2"/>
  <c r="N1272" i="2"/>
  <c r="N1271" i="2"/>
  <c r="N1270" i="2"/>
  <c r="N1269" i="2"/>
  <c r="N1268" i="2"/>
  <c r="N1267" i="2"/>
  <c r="N1266" i="2"/>
  <c r="N1265" i="2"/>
  <c r="N1264" i="2"/>
  <c r="N1263" i="2"/>
  <c r="N1262" i="2"/>
  <c r="N1261" i="2"/>
  <c r="N1260" i="2"/>
  <c r="N1259" i="2"/>
  <c r="N1258" i="2"/>
  <c r="N1257" i="2"/>
  <c r="N1256" i="2"/>
  <c r="N1255" i="2"/>
  <c r="N1254" i="2"/>
  <c r="N1253" i="2"/>
  <c r="N1252" i="2"/>
  <c r="N1251" i="2"/>
  <c r="N1250" i="2"/>
  <c r="N1249" i="2"/>
  <c r="N1248" i="2"/>
  <c r="N1247" i="2"/>
  <c r="N1246" i="2"/>
  <c r="N1245" i="2"/>
  <c r="N1244" i="2"/>
  <c r="N1243" i="2"/>
  <c r="N1242" i="2"/>
  <c r="N1241" i="2"/>
  <c r="N1240" i="2"/>
  <c r="N1239" i="2"/>
  <c r="N1238" i="2"/>
  <c r="N1237" i="2"/>
  <c r="N1236" i="2"/>
  <c r="N1235" i="2"/>
  <c r="N1234" i="2"/>
  <c r="N1233" i="2"/>
  <c r="N1232" i="2"/>
  <c r="N1231" i="2"/>
  <c r="N1230" i="2"/>
  <c r="N1229" i="2"/>
  <c r="N1228" i="2"/>
  <c r="N1227" i="2"/>
  <c r="N1226" i="2"/>
  <c r="N1225" i="2"/>
  <c r="N1224" i="2"/>
  <c r="N1223" i="2"/>
  <c r="N1222" i="2"/>
  <c r="N1221" i="2"/>
  <c r="N1220" i="2"/>
  <c r="N1219" i="2"/>
  <c r="N1218" i="2"/>
  <c r="N1217" i="2"/>
  <c r="N1216" i="2"/>
  <c r="N1215" i="2"/>
  <c r="N1214" i="2"/>
  <c r="N1213" i="2"/>
  <c r="N1212" i="2"/>
  <c r="N1211" i="2"/>
  <c r="N1210" i="2"/>
  <c r="N1209" i="2"/>
  <c r="N1208" i="2"/>
  <c r="N1207" i="2"/>
  <c r="N1206" i="2"/>
  <c r="N1205" i="2"/>
  <c r="N1204" i="2"/>
  <c r="N1203" i="2"/>
  <c r="N1202" i="2"/>
  <c r="N1201" i="2"/>
  <c r="N1200" i="2"/>
  <c r="N1199" i="2"/>
  <c r="N1198" i="2"/>
  <c r="N1197" i="2"/>
  <c r="N1196" i="2"/>
  <c r="N1195" i="2"/>
  <c r="N1194" i="2"/>
  <c r="N1193" i="2"/>
  <c r="N1192" i="2"/>
  <c r="N1191" i="2"/>
  <c r="N1190" i="2"/>
  <c r="N1189" i="2"/>
  <c r="N1188" i="2"/>
  <c r="N1187" i="2"/>
  <c r="N1186" i="2"/>
  <c r="N1185" i="2"/>
  <c r="N1184" i="2"/>
  <c r="N1183" i="2"/>
  <c r="N1182" i="2"/>
  <c r="N1181" i="2"/>
  <c r="N1180" i="2"/>
  <c r="N1179" i="2"/>
  <c r="N1178" i="2"/>
  <c r="N1177" i="2"/>
  <c r="N1176" i="2"/>
  <c r="N1175" i="2"/>
  <c r="N1174" i="2"/>
  <c r="N1173" i="2"/>
  <c r="N1172" i="2"/>
  <c r="N1171" i="2"/>
  <c r="N1170" i="2"/>
  <c r="N1169" i="2"/>
  <c r="N1168" i="2"/>
  <c r="N1167" i="2"/>
  <c r="N1166" i="2"/>
  <c r="N1165" i="2"/>
  <c r="N1164" i="2"/>
  <c r="N1163" i="2"/>
  <c r="N1162" i="2"/>
  <c r="N1161" i="2"/>
  <c r="N1160" i="2"/>
  <c r="N1159" i="2"/>
  <c r="N1158" i="2"/>
  <c r="N1157" i="2"/>
  <c r="N1156" i="2"/>
  <c r="N1155" i="2"/>
  <c r="N1154" i="2"/>
  <c r="N1153" i="2"/>
  <c r="N1152" i="2"/>
  <c r="N1151" i="2"/>
  <c r="N1150" i="2"/>
  <c r="N1149" i="2"/>
  <c r="N1148" i="2"/>
  <c r="N1147" i="2"/>
  <c r="N1146" i="2"/>
  <c r="N1145" i="2"/>
  <c r="N1144" i="2"/>
  <c r="N1143" i="2"/>
  <c r="N1142" i="2"/>
  <c r="N1141" i="2"/>
  <c r="N1140" i="2"/>
  <c r="N1139" i="2"/>
  <c r="N1138" i="2"/>
  <c r="N1137" i="2"/>
  <c r="N1136" i="2"/>
  <c r="N1135" i="2"/>
  <c r="N1134" i="2"/>
  <c r="N1133" i="2"/>
  <c r="N1132" i="2"/>
  <c r="N1131" i="2"/>
  <c r="N1130" i="2"/>
  <c r="N1129" i="2"/>
  <c r="N1128" i="2"/>
  <c r="N1127" i="2"/>
  <c r="N1126" i="2"/>
  <c r="N1125" i="2"/>
  <c r="N1124" i="2"/>
  <c r="N1123" i="2"/>
  <c r="N1122" i="2"/>
  <c r="N1121" i="2"/>
  <c r="N1120" i="2"/>
  <c r="N1119" i="2"/>
  <c r="N1118" i="2"/>
  <c r="N1117" i="2"/>
  <c r="N1116" i="2"/>
  <c r="N1115" i="2"/>
  <c r="N1114" i="2"/>
  <c r="N1113" i="2"/>
  <c r="N1112" i="2"/>
  <c r="N1111" i="2"/>
  <c r="N1110" i="2"/>
  <c r="N1109" i="2"/>
  <c r="N1108" i="2"/>
  <c r="N1107" i="2"/>
  <c r="N1106" i="2"/>
  <c r="N1105" i="2"/>
  <c r="N1104" i="2"/>
  <c r="N1103" i="2"/>
  <c r="N1102" i="2"/>
  <c r="N1101" i="2"/>
  <c r="N1100" i="2"/>
  <c r="N1099" i="2"/>
  <c r="N1098" i="2"/>
  <c r="N1097" i="2"/>
  <c r="N1096" i="2"/>
  <c r="N1095" i="2"/>
  <c r="N1094" i="2"/>
  <c r="N1093" i="2"/>
  <c r="N1092" i="2"/>
  <c r="N1091" i="2"/>
  <c r="N1090" i="2"/>
  <c r="N1089" i="2"/>
  <c r="N1088" i="2"/>
  <c r="N1087" i="2"/>
  <c r="N1086" i="2"/>
  <c r="N1085" i="2"/>
  <c r="N1084" i="2"/>
  <c r="N1083" i="2"/>
  <c r="N1082" i="2"/>
  <c r="N1081" i="2"/>
  <c r="N1080" i="2"/>
  <c r="N1079" i="2"/>
  <c r="N1078" i="2"/>
  <c r="N1077" i="2"/>
  <c r="N1076" i="2"/>
  <c r="N1075" i="2"/>
  <c r="N1074" i="2"/>
  <c r="N1073" i="2"/>
  <c r="N1072" i="2"/>
  <c r="N1071" i="2"/>
  <c r="N1070" i="2"/>
  <c r="N1069" i="2"/>
  <c r="N1068" i="2"/>
  <c r="N1067" i="2"/>
  <c r="N1066" i="2"/>
  <c r="N1065" i="2"/>
  <c r="N1064" i="2"/>
  <c r="N1063" i="2"/>
  <c r="N1062" i="2"/>
  <c r="N1061" i="2"/>
  <c r="N1060" i="2"/>
  <c r="N1059" i="2"/>
  <c r="N1058" i="2"/>
  <c r="N1057" i="2"/>
  <c r="N1056" i="2"/>
  <c r="N1055" i="2"/>
  <c r="N1054" i="2"/>
  <c r="N1053" i="2"/>
  <c r="N1052" i="2"/>
  <c r="N1051" i="2"/>
  <c r="N1050" i="2"/>
  <c r="N1049" i="2"/>
  <c r="N1048" i="2"/>
  <c r="N1047" i="2"/>
  <c r="N1046" i="2"/>
  <c r="N1045" i="2"/>
  <c r="N1044" i="2"/>
  <c r="N1043" i="2"/>
  <c r="N1042" i="2"/>
  <c r="N1041" i="2"/>
  <c r="N1040" i="2"/>
  <c r="N1039" i="2"/>
  <c r="N1038" i="2"/>
  <c r="N1037" i="2"/>
  <c r="N1036" i="2"/>
  <c r="N1035" i="2"/>
  <c r="N1034" i="2"/>
  <c r="N1033" i="2"/>
  <c r="N1032" i="2"/>
  <c r="N1031" i="2"/>
  <c r="N1030" i="2"/>
  <c r="N1029" i="2"/>
  <c r="N1028" i="2"/>
  <c r="N1027" i="2"/>
  <c r="N1026" i="2"/>
  <c r="N1025" i="2"/>
  <c r="N1024" i="2"/>
  <c r="N1023" i="2"/>
  <c r="N1022" i="2"/>
  <c r="N1021" i="2"/>
  <c r="N1020" i="2"/>
  <c r="N1019" i="2"/>
  <c r="N1018" i="2"/>
  <c r="N1017" i="2"/>
  <c r="N1016" i="2"/>
  <c r="N1015" i="2"/>
  <c r="N1014" i="2"/>
  <c r="N1013" i="2"/>
  <c r="N1012" i="2"/>
  <c r="N1011" i="2"/>
  <c r="N1010" i="2"/>
  <c r="N1009" i="2"/>
  <c r="N1008" i="2"/>
  <c r="N1007" i="2"/>
  <c r="N1006" i="2"/>
  <c r="N1005" i="2"/>
  <c r="N1004" i="2"/>
  <c r="N1003" i="2"/>
  <c r="N1002" i="2"/>
  <c r="N1001" i="2"/>
  <c r="N1000" i="2"/>
  <c r="N999" i="2"/>
  <c r="N998" i="2"/>
  <c r="N997" i="2"/>
  <c r="N996" i="2"/>
  <c r="N995" i="2"/>
  <c r="N994" i="2"/>
  <c r="N993" i="2"/>
  <c r="N992" i="2"/>
  <c r="N991" i="2"/>
  <c r="N990" i="2"/>
  <c r="N989" i="2"/>
  <c r="N988" i="2"/>
  <c r="N987" i="2"/>
  <c r="N986" i="2"/>
  <c r="N985" i="2"/>
  <c r="N984" i="2"/>
  <c r="N983" i="2"/>
  <c r="N982" i="2"/>
  <c r="N981" i="2"/>
  <c r="N980" i="2"/>
  <c r="N979" i="2"/>
  <c r="N978" i="2"/>
  <c r="N977" i="2"/>
  <c r="N976" i="2"/>
  <c r="N975" i="2"/>
  <c r="N974" i="2"/>
  <c r="N973" i="2"/>
  <c r="N972" i="2"/>
  <c r="N971" i="2"/>
  <c r="N970" i="2"/>
  <c r="N969" i="2"/>
  <c r="N968" i="2"/>
  <c r="N967" i="2"/>
  <c r="N966" i="2"/>
  <c r="N965" i="2"/>
  <c r="N964" i="2"/>
  <c r="N963" i="2"/>
  <c r="N962" i="2"/>
  <c r="N961" i="2"/>
  <c r="N960" i="2"/>
  <c r="N959" i="2"/>
  <c r="N958" i="2"/>
  <c r="N957" i="2"/>
  <c r="N956" i="2"/>
  <c r="N955" i="2"/>
  <c r="N954" i="2"/>
  <c r="N953" i="2"/>
  <c r="N952" i="2"/>
  <c r="N951" i="2"/>
  <c r="N950" i="2"/>
  <c r="N949" i="2"/>
  <c r="N948" i="2"/>
  <c r="N947" i="2"/>
  <c r="N946" i="2"/>
  <c r="N945" i="2"/>
  <c r="N944" i="2"/>
  <c r="N943" i="2"/>
  <c r="N942" i="2"/>
  <c r="N941" i="2"/>
  <c r="N940" i="2"/>
  <c r="N939" i="2"/>
  <c r="N938" i="2"/>
  <c r="N937" i="2"/>
  <c r="N936" i="2"/>
  <c r="N935" i="2"/>
  <c r="N934" i="2"/>
  <c r="N933" i="2"/>
  <c r="N932" i="2"/>
  <c r="N931" i="2"/>
  <c r="N930" i="2"/>
  <c r="N929" i="2"/>
  <c r="N928" i="2"/>
  <c r="N927" i="2"/>
  <c r="N926" i="2"/>
  <c r="N925" i="2"/>
  <c r="N924" i="2"/>
  <c r="N923" i="2"/>
  <c r="N922" i="2"/>
  <c r="N921" i="2"/>
  <c r="N920" i="2"/>
  <c r="N919" i="2"/>
  <c r="N918" i="2"/>
  <c r="N917" i="2"/>
  <c r="N916" i="2"/>
  <c r="N915" i="2"/>
  <c r="N914" i="2"/>
  <c r="N913" i="2"/>
  <c r="N912" i="2"/>
  <c r="N911" i="2"/>
  <c r="N910" i="2"/>
  <c r="N909" i="2"/>
  <c r="N908" i="2"/>
  <c r="N907" i="2"/>
  <c r="N906" i="2"/>
  <c r="N905" i="2"/>
  <c r="N904" i="2"/>
  <c r="N903" i="2"/>
  <c r="N902" i="2"/>
  <c r="N901" i="2"/>
  <c r="N900" i="2"/>
  <c r="N899" i="2"/>
  <c r="N898" i="2"/>
  <c r="N897" i="2"/>
  <c r="N896" i="2"/>
  <c r="N895" i="2"/>
  <c r="N894" i="2"/>
  <c r="N893" i="2"/>
  <c r="N892" i="2"/>
  <c r="N891" i="2"/>
  <c r="N890" i="2"/>
  <c r="N889" i="2"/>
  <c r="N888" i="2"/>
  <c r="N887" i="2"/>
  <c r="N886" i="2"/>
  <c r="N885" i="2"/>
  <c r="N884" i="2"/>
  <c r="N883" i="2"/>
  <c r="N882" i="2"/>
  <c r="N881" i="2"/>
  <c r="N880" i="2"/>
  <c r="N879" i="2"/>
  <c r="N878" i="2"/>
  <c r="N877" i="2"/>
  <c r="N876" i="2"/>
  <c r="N875" i="2"/>
  <c r="N874" i="2"/>
  <c r="N873" i="2"/>
  <c r="N872" i="2"/>
  <c r="N871" i="2"/>
  <c r="N870" i="2"/>
  <c r="N869" i="2"/>
  <c r="N868" i="2"/>
  <c r="N867" i="2"/>
  <c r="N866" i="2"/>
  <c r="N865" i="2"/>
  <c r="N864" i="2"/>
  <c r="N863" i="2"/>
  <c r="N862" i="2"/>
  <c r="N861" i="2"/>
  <c r="N860" i="2"/>
  <c r="N859" i="2"/>
  <c r="N858" i="2"/>
  <c r="N857" i="2"/>
  <c r="N856" i="2"/>
  <c r="N855" i="2"/>
  <c r="N854" i="2"/>
  <c r="N853" i="2"/>
  <c r="N852" i="2"/>
  <c r="N851" i="2"/>
  <c r="N850" i="2"/>
  <c r="N849" i="2"/>
  <c r="N848" i="2"/>
  <c r="N847" i="2"/>
  <c r="N846" i="2"/>
  <c r="N845" i="2"/>
  <c r="N844" i="2"/>
  <c r="N843" i="2"/>
  <c r="N842" i="2"/>
  <c r="N841" i="2"/>
  <c r="N840" i="2"/>
  <c r="N839" i="2"/>
  <c r="N838" i="2"/>
  <c r="N837" i="2"/>
  <c r="N836" i="2"/>
  <c r="N835" i="2"/>
  <c r="N834" i="2"/>
  <c r="N833" i="2"/>
  <c r="N832" i="2"/>
  <c r="N831" i="2"/>
  <c r="N830" i="2"/>
  <c r="N829" i="2"/>
  <c r="N828" i="2"/>
  <c r="N827" i="2"/>
  <c r="N826" i="2"/>
  <c r="N825" i="2"/>
  <c r="N824" i="2"/>
  <c r="N823" i="2"/>
  <c r="N822" i="2"/>
  <c r="N821" i="2"/>
  <c r="N820" i="2"/>
  <c r="N819" i="2"/>
  <c r="N818" i="2"/>
  <c r="N817" i="2"/>
  <c r="N816" i="2"/>
  <c r="N815" i="2"/>
  <c r="N814" i="2"/>
  <c r="N813" i="2"/>
  <c r="N812" i="2"/>
  <c r="N811" i="2"/>
  <c r="N810" i="2"/>
  <c r="N809" i="2"/>
  <c r="N808" i="2"/>
  <c r="N807" i="2"/>
  <c r="N806" i="2"/>
  <c r="N805" i="2"/>
  <c r="N804" i="2"/>
  <c r="N803" i="2"/>
  <c r="N802" i="2"/>
  <c r="N801" i="2"/>
  <c r="N800" i="2"/>
  <c r="N799" i="2"/>
  <c r="N798" i="2"/>
  <c r="N797" i="2"/>
  <c r="N796" i="2"/>
  <c r="N795" i="2"/>
  <c r="N794" i="2"/>
  <c r="N793" i="2"/>
  <c r="N792" i="2"/>
  <c r="N791" i="2"/>
  <c r="N790" i="2"/>
  <c r="N789" i="2"/>
  <c r="N788" i="2"/>
  <c r="N787" i="2"/>
  <c r="N786" i="2"/>
  <c r="N785" i="2"/>
  <c r="N784" i="2"/>
  <c r="N783" i="2"/>
  <c r="N782" i="2"/>
  <c r="N781" i="2"/>
  <c r="N780" i="2"/>
  <c r="N779" i="2"/>
  <c r="N778" i="2"/>
  <c r="N777" i="2"/>
  <c r="N776" i="2"/>
  <c r="N775" i="2"/>
  <c r="N774" i="2"/>
  <c r="N773" i="2"/>
  <c r="N772" i="2"/>
  <c r="N771" i="2"/>
  <c r="N770" i="2"/>
  <c r="N769" i="2"/>
  <c r="N768" i="2"/>
  <c r="N767" i="2"/>
  <c r="N766" i="2"/>
  <c r="N765" i="2"/>
  <c r="N764" i="2"/>
  <c r="N763" i="2"/>
  <c r="N762" i="2"/>
  <c r="N761" i="2"/>
  <c r="N760" i="2"/>
  <c r="N759" i="2"/>
  <c r="N758" i="2"/>
  <c r="N757" i="2"/>
  <c r="N756" i="2"/>
  <c r="N755" i="2"/>
  <c r="N754" i="2"/>
  <c r="N753" i="2"/>
  <c r="N752" i="2"/>
  <c r="N751" i="2"/>
  <c r="N750" i="2"/>
  <c r="N749" i="2"/>
  <c r="N748" i="2"/>
  <c r="N747" i="2"/>
  <c r="N746" i="2"/>
  <c r="N745" i="2"/>
  <c r="N744" i="2"/>
  <c r="N743" i="2"/>
  <c r="N742" i="2"/>
  <c r="N741" i="2"/>
  <c r="N740" i="2"/>
  <c r="N739" i="2"/>
  <c r="N738" i="2"/>
  <c r="N737" i="2"/>
  <c r="N736" i="2"/>
  <c r="N735" i="2"/>
  <c r="N734" i="2"/>
  <c r="N733" i="2"/>
  <c r="N732" i="2"/>
  <c r="N731" i="2"/>
  <c r="N730" i="2"/>
  <c r="N729" i="2"/>
  <c r="N728" i="2"/>
  <c r="N727" i="2"/>
  <c r="N726" i="2"/>
  <c r="N725" i="2"/>
  <c r="N724" i="2"/>
  <c r="N723" i="2"/>
  <c r="N722" i="2"/>
  <c r="N721" i="2"/>
  <c r="N720" i="2"/>
  <c r="N719" i="2"/>
  <c r="N718" i="2"/>
  <c r="N717" i="2"/>
  <c r="N716" i="2"/>
  <c r="N715" i="2"/>
  <c r="N714" i="2"/>
  <c r="N713" i="2"/>
  <c r="N712" i="2"/>
  <c r="N711" i="2"/>
  <c r="N710" i="2"/>
  <c r="N709" i="2"/>
  <c r="N708" i="2"/>
  <c r="N707" i="2"/>
  <c r="N706" i="2"/>
  <c r="N705" i="2"/>
  <c r="N704" i="2"/>
  <c r="N703" i="2"/>
  <c r="N702" i="2"/>
  <c r="N701" i="2"/>
  <c r="N700" i="2"/>
  <c r="N699" i="2"/>
  <c r="N698" i="2"/>
  <c r="N697" i="2"/>
  <c r="N696" i="2"/>
  <c r="N695" i="2"/>
  <c r="N694" i="2"/>
  <c r="N693" i="2"/>
  <c r="N692" i="2"/>
  <c r="N691" i="2"/>
  <c r="N690" i="2"/>
  <c r="N689" i="2"/>
  <c r="N688" i="2"/>
  <c r="N687" i="2"/>
  <c r="N686" i="2"/>
  <c r="N685" i="2"/>
  <c r="N684" i="2"/>
  <c r="N683" i="2"/>
  <c r="N682" i="2"/>
  <c r="N681" i="2"/>
  <c r="N680" i="2"/>
  <c r="N679" i="2"/>
  <c r="N678" i="2"/>
  <c r="N677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N650" i="2"/>
  <c r="N649" i="2"/>
  <c r="N648" i="2"/>
  <c r="N647" i="2"/>
  <c r="N646" i="2"/>
  <c r="N645" i="2"/>
  <c r="N644" i="2"/>
  <c r="N643" i="2"/>
  <c r="N642" i="2"/>
  <c r="N641" i="2"/>
  <c r="N640" i="2"/>
  <c r="N639" i="2"/>
  <c r="N638" i="2"/>
  <c r="N637" i="2"/>
  <c r="N636" i="2"/>
  <c r="N635" i="2"/>
  <c r="N634" i="2"/>
  <c r="N633" i="2"/>
  <c r="N632" i="2"/>
  <c r="N631" i="2"/>
  <c r="N630" i="2"/>
  <c r="N629" i="2"/>
  <c r="N628" i="2"/>
  <c r="N627" i="2"/>
  <c r="N626" i="2"/>
  <c r="N625" i="2"/>
  <c r="N624" i="2"/>
  <c r="N623" i="2"/>
  <c r="N622" i="2"/>
  <c r="N621" i="2"/>
  <c r="N620" i="2"/>
  <c r="N619" i="2"/>
  <c r="N618" i="2"/>
  <c r="N617" i="2"/>
  <c r="N616" i="2"/>
  <c r="N615" i="2"/>
  <c r="N614" i="2"/>
  <c r="N613" i="2"/>
  <c r="N612" i="2"/>
  <c r="N611" i="2"/>
  <c r="N610" i="2"/>
  <c r="N609" i="2"/>
  <c r="N608" i="2"/>
  <c r="N607" i="2"/>
  <c r="N606" i="2"/>
  <c r="N605" i="2"/>
  <c r="N604" i="2"/>
  <c r="N603" i="2"/>
  <c r="N602" i="2"/>
  <c r="N601" i="2"/>
  <c r="N600" i="2"/>
  <c r="N599" i="2"/>
  <c r="N598" i="2"/>
  <c r="N597" i="2"/>
  <c r="N596" i="2"/>
  <c r="N595" i="2"/>
  <c r="N594" i="2"/>
  <c r="N593" i="2"/>
  <c r="N592" i="2"/>
  <c r="N591" i="2"/>
  <c r="N590" i="2"/>
  <c r="N589" i="2"/>
  <c r="N588" i="2"/>
  <c r="N587" i="2"/>
  <c r="N586" i="2"/>
  <c r="N585" i="2"/>
  <c r="N584" i="2"/>
  <c r="N583" i="2"/>
  <c r="N582" i="2"/>
  <c r="N581" i="2"/>
  <c r="N580" i="2"/>
  <c r="N579" i="2"/>
  <c r="N578" i="2"/>
  <c r="N577" i="2"/>
  <c r="N576" i="2"/>
  <c r="N575" i="2"/>
  <c r="N574" i="2"/>
  <c r="N573" i="2"/>
  <c r="N572" i="2"/>
  <c r="N571" i="2"/>
  <c r="N570" i="2"/>
  <c r="N569" i="2"/>
  <c r="N568" i="2"/>
  <c r="N567" i="2"/>
  <c r="N566" i="2"/>
  <c r="N565" i="2"/>
  <c r="N564" i="2"/>
  <c r="N563" i="2"/>
  <c r="N562" i="2"/>
  <c r="N561" i="2"/>
  <c r="N560" i="2"/>
  <c r="N559" i="2"/>
  <c r="N558" i="2"/>
  <c r="N557" i="2"/>
  <c r="N556" i="2"/>
  <c r="N555" i="2"/>
  <c r="N554" i="2"/>
  <c r="N553" i="2"/>
  <c r="N552" i="2"/>
  <c r="N551" i="2"/>
  <c r="N550" i="2"/>
  <c r="N549" i="2"/>
  <c r="N548" i="2"/>
  <c r="N547" i="2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N483" i="2"/>
  <c r="N482" i="2"/>
  <c r="N481" i="2"/>
  <c r="N480" i="2"/>
  <c r="N479" i="2"/>
  <c r="N478" i="2"/>
  <c r="N477" i="2"/>
  <c r="N476" i="2"/>
  <c r="N475" i="2"/>
  <c r="N474" i="2"/>
  <c r="N473" i="2"/>
  <c r="N472" i="2"/>
  <c r="N471" i="2"/>
  <c r="N470" i="2"/>
  <c r="N469" i="2"/>
  <c r="N468" i="2"/>
  <c r="N467" i="2"/>
  <c r="N466" i="2"/>
  <c r="N465" i="2"/>
  <c r="N464" i="2"/>
  <c r="N463" i="2"/>
  <c r="N462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O173" i="1" l="1"/>
  <c r="H31" i="7"/>
  <c r="F32" i="8" s="1"/>
  <c r="F35" i="8" s="1"/>
  <c r="V1120" i="2" l="1"/>
  <c r="W1120" i="2" s="1"/>
  <c r="V1977" i="2" l="1"/>
  <c r="W1977" i="2" s="1"/>
  <c r="V1975" i="2"/>
  <c r="W1975" i="2" s="1"/>
  <c r="V1942" i="2" l="1"/>
  <c r="W1942" i="2" s="1"/>
  <c r="F12" i="3" l="1"/>
  <c r="XFD671" i="3" l="1"/>
  <c r="XFC671" i="3" s="1"/>
  <c r="XFB671" i="3" s="1"/>
  <c r="XFA671" i="3" s="1"/>
  <c r="XEZ671" i="3" s="1"/>
  <c r="XEY671" i="3" s="1"/>
  <c r="XEX671" i="3" s="1"/>
  <c r="XEW671" i="3" s="1"/>
  <c r="XEV671" i="3" s="1"/>
  <c r="XEU671" i="3" s="1"/>
  <c r="XET671" i="3" s="1"/>
  <c r="XES671" i="3" s="1"/>
  <c r="XER671" i="3" s="1"/>
  <c r="XEQ671" i="3" s="1"/>
  <c r="XEP671" i="3" s="1"/>
  <c r="XEO671" i="3" s="1"/>
  <c r="XEN671" i="3" s="1"/>
  <c r="XEM671" i="3" s="1"/>
  <c r="XEL671" i="3" s="1"/>
  <c r="XEK671" i="3" s="1"/>
  <c r="XEJ671" i="3" s="1"/>
  <c r="XEI671" i="3" s="1"/>
  <c r="XEH671" i="3" s="1"/>
  <c r="XEG671" i="3" s="1"/>
  <c r="XEF671" i="3" s="1"/>
  <c r="XEE671" i="3" s="1"/>
  <c r="XED671" i="3" s="1"/>
  <c r="XEC671" i="3" s="1"/>
  <c r="XEB671" i="3" s="1"/>
  <c r="XEA671" i="3" s="1"/>
  <c r="XDZ671" i="3" s="1"/>
  <c r="XDY671" i="3" s="1"/>
  <c r="XDX671" i="3" s="1"/>
  <c r="XDW671" i="3" s="1"/>
  <c r="XDV671" i="3" s="1"/>
  <c r="XDU671" i="3" s="1"/>
  <c r="XDT671" i="3" s="1"/>
  <c r="XDS671" i="3" s="1"/>
  <c r="XDR671" i="3" s="1"/>
  <c r="XDQ671" i="3" s="1"/>
  <c r="XDP671" i="3" s="1"/>
  <c r="XDO671" i="3" s="1"/>
  <c r="XDN671" i="3" s="1"/>
  <c r="XDM671" i="3" s="1"/>
  <c r="XDL671" i="3" s="1"/>
  <c r="XDK671" i="3" s="1"/>
  <c r="XDJ671" i="3" s="1"/>
  <c r="XDI671" i="3" s="1"/>
  <c r="XDH671" i="3" s="1"/>
  <c r="XDG671" i="3" s="1"/>
  <c r="XDF671" i="3" s="1"/>
  <c r="XDE671" i="3" s="1"/>
  <c r="XDD671" i="3" s="1"/>
  <c r="XDC671" i="3" s="1"/>
  <c r="XDB671" i="3" s="1"/>
  <c r="XDA671" i="3" s="1"/>
  <c r="XCZ671" i="3" s="1"/>
  <c r="XCY671" i="3" s="1"/>
  <c r="XCX671" i="3" s="1"/>
  <c r="XCW671" i="3" s="1"/>
  <c r="XCV671" i="3" s="1"/>
  <c r="XCU671" i="3" s="1"/>
  <c r="XCT671" i="3" s="1"/>
  <c r="XCS671" i="3" s="1"/>
  <c r="XCR671" i="3" s="1"/>
  <c r="XCQ671" i="3" s="1"/>
  <c r="XCP671" i="3" s="1"/>
  <c r="XCO671" i="3" s="1"/>
  <c r="XCN671" i="3" s="1"/>
  <c r="XCM671" i="3" s="1"/>
  <c r="XCL671" i="3" s="1"/>
  <c r="XCK671" i="3" s="1"/>
  <c r="XCJ671" i="3" s="1"/>
  <c r="XCI671" i="3" s="1"/>
  <c r="XCH671" i="3" s="1"/>
  <c r="XCG671" i="3" s="1"/>
  <c r="XCF671" i="3" s="1"/>
  <c r="XCE671" i="3" s="1"/>
  <c r="XCD671" i="3" s="1"/>
  <c r="XCC671" i="3" s="1"/>
  <c r="XCB671" i="3" s="1"/>
  <c r="XCA671" i="3" s="1"/>
  <c r="XBZ671" i="3" s="1"/>
  <c r="XBY671" i="3" s="1"/>
  <c r="XBX671" i="3" s="1"/>
  <c r="XBW671" i="3" s="1"/>
  <c r="XBV671" i="3" s="1"/>
  <c r="XBU671" i="3" s="1"/>
  <c r="XBT671" i="3" s="1"/>
  <c r="XBS671" i="3" s="1"/>
  <c r="XBR671" i="3" s="1"/>
  <c r="XBQ671" i="3" s="1"/>
  <c r="XBP671" i="3" s="1"/>
  <c r="XBO671" i="3" s="1"/>
  <c r="XBN671" i="3" s="1"/>
  <c r="XBM671" i="3" s="1"/>
  <c r="XBL671" i="3" s="1"/>
  <c r="XBK671" i="3" s="1"/>
  <c r="XBJ671" i="3" s="1"/>
  <c r="XBI671" i="3" s="1"/>
  <c r="XBH671" i="3" s="1"/>
  <c r="XBG671" i="3" s="1"/>
  <c r="XBF671" i="3" s="1"/>
  <c r="XBE671" i="3" s="1"/>
  <c r="XBD671" i="3" s="1"/>
  <c r="XBC671" i="3" s="1"/>
  <c r="XBB671" i="3" s="1"/>
  <c r="XBA671" i="3" s="1"/>
  <c r="XAZ671" i="3" s="1"/>
  <c r="XAY671" i="3" s="1"/>
  <c r="XAX671" i="3" s="1"/>
  <c r="XAW671" i="3" s="1"/>
  <c r="XAV671" i="3" s="1"/>
  <c r="XAU671" i="3" s="1"/>
  <c r="XAT671" i="3" s="1"/>
  <c r="XAS671" i="3" s="1"/>
  <c r="XAR671" i="3" s="1"/>
  <c r="XAQ671" i="3" s="1"/>
  <c r="XAP671" i="3" s="1"/>
  <c r="XAO671" i="3" s="1"/>
  <c r="XAN671" i="3" s="1"/>
  <c r="XAM671" i="3" s="1"/>
  <c r="XAL671" i="3" s="1"/>
  <c r="XAK671" i="3" s="1"/>
  <c r="XAJ671" i="3" s="1"/>
  <c r="XAI671" i="3" s="1"/>
  <c r="XAH671" i="3" s="1"/>
  <c r="XAG671" i="3" s="1"/>
  <c r="XAF671" i="3" s="1"/>
  <c r="XAE671" i="3" s="1"/>
  <c r="XAD671" i="3" s="1"/>
  <c r="XAC671" i="3" s="1"/>
  <c r="XAB671" i="3" s="1"/>
  <c r="XAA671" i="3" s="1"/>
  <c r="WZZ671" i="3" s="1"/>
  <c r="WZY671" i="3" s="1"/>
  <c r="WZX671" i="3" s="1"/>
  <c r="WZW671" i="3" s="1"/>
  <c r="WZV671" i="3" s="1"/>
  <c r="WZU671" i="3" s="1"/>
  <c r="WZT671" i="3" s="1"/>
  <c r="WZS671" i="3" s="1"/>
  <c r="WZR671" i="3" s="1"/>
  <c r="WZQ671" i="3" s="1"/>
  <c r="WZP671" i="3" s="1"/>
  <c r="WZO671" i="3" s="1"/>
  <c r="WZN671" i="3" s="1"/>
  <c r="WZM671" i="3" s="1"/>
  <c r="WZL671" i="3" s="1"/>
  <c r="WZK671" i="3" s="1"/>
  <c r="WZJ671" i="3" s="1"/>
  <c r="WZI671" i="3" s="1"/>
  <c r="WZH671" i="3" s="1"/>
  <c r="WZG671" i="3" s="1"/>
  <c r="WZF671" i="3" s="1"/>
  <c r="WZE671" i="3" s="1"/>
  <c r="WZD671" i="3" s="1"/>
  <c r="WZC671" i="3" s="1"/>
  <c r="WZB671" i="3" s="1"/>
  <c r="WZA671" i="3" s="1"/>
  <c r="WYZ671" i="3" s="1"/>
  <c r="WYY671" i="3" s="1"/>
  <c r="WYX671" i="3" s="1"/>
  <c r="WYW671" i="3" s="1"/>
  <c r="WYV671" i="3" s="1"/>
  <c r="WYU671" i="3" s="1"/>
  <c r="WYT671" i="3" s="1"/>
  <c r="WYS671" i="3" s="1"/>
  <c r="WYR671" i="3" s="1"/>
  <c r="WYQ671" i="3" s="1"/>
  <c r="WYP671" i="3" s="1"/>
  <c r="WYO671" i="3" s="1"/>
  <c r="WYN671" i="3" s="1"/>
  <c r="WYM671" i="3" s="1"/>
  <c r="WYL671" i="3" s="1"/>
  <c r="WYK671" i="3" s="1"/>
  <c r="WYJ671" i="3" s="1"/>
  <c r="WYI671" i="3" s="1"/>
  <c r="WYH671" i="3" s="1"/>
  <c r="WYG671" i="3" s="1"/>
  <c r="WYF671" i="3" s="1"/>
  <c r="WYE671" i="3" s="1"/>
  <c r="WYD671" i="3" s="1"/>
  <c r="WYC671" i="3" s="1"/>
  <c r="WYB671" i="3" s="1"/>
  <c r="WYA671" i="3" s="1"/>
  <c r="WXZ671" i="3" s="1"/>
  <c r="WXY671" i="3" s="1"/>
  <c r="WXX671" i="3" s="1"/>
  <c r="WXW671" i="3" s="1"/>
  <c r="WXV671" i="3" s="1"/>
  <c r="WXU671" i="3" s="1"/>
  <c r="WXT671" i="3" s="1"/>
  <c r="WXS671" i="3" s="1"/>
  <c r="WXR671" i="3" s="1"/>
  <c r="WXQ671" i="3" s="1"/>
  <c r="WXP671" i="3" s="1"/>
  <c r="WXO671" i="3" s="1"/>
  <c r="WXN671" i="3" s="1"/>
  <c r="WXM671" i="3" s="1"/>
  <c r="WXL671" i="3" s="1"/>
  <c r="WXK671" i="3" s="1"/>
  <c r="WXJ671" i="3" s="1"/>
  <c r="WXI671" i="3" s="1"/>
  <c r="WXH671" i="3" s="1"/>
  <c r="WXG671" i="3" s="1"/>
  <c r="WXF671" i="3" s="1"/>
  <c r="WXE671" i="3" s="1"/>
  <c r="WXD671" i="3" s="1"/>
  <c r="WXC671" i="3" s="1"/>
  <c r="WXB671" i="3" s="1"/>
  <c r="WXA671" i="3" s="1"/>
  <c r="WWZ671" i="3" s="1"/>
  <c r="WWY671" i="3" s="1"/>
  <c r="WWX671" i="3" s="1"/>
  <c r="WWW671" i="3" s="1"/>
  <c r="WWV671" i="3" s="1"/>
  <c r="WWU671" i="3" s="1"/>
  <c r="WWT671" i="3" s="1"/>
  <c r="WWS671" i="3" s="1"/>
  <c r="WWR671" i="3" s="1"/>
  <c r="WWQ671" i="3" s="1"/>
  <c r="WWP671" i="3" s="1"/>
  <c r="WWO671" i="3" s="1"/>
  <c r="WWN671" i="3" s="1"/>
  <c r="WWM671" i="3" s="1"/>
  <c r="WWL671" i="3" s="1"/>
  <c r="WWK671" i="3" s="1"/>
  <c r="WWJ671" i="3" s="1"/>
  <c r="WWI671" i="3" s="1"/>
  <c r="WWH671" i="3" s="1"/>
  <c r="WWG671" i="3" s="1"/>
  <c r="WWF671" i="3" s="1"/>
  <c r="WWE671" i="3" s="1"/>
  <c r="WWD671" i="3" s="1"/>
  <c r="WWC671" i="3" s="1"/>
  <c r="WWB671" i="3" s="1"/>
  <c r="WWA671" i="3" s="1"/>
  <c r="WVZ671" i="3" s="1"/>
  <c r="WVY671" i="3" s="1"/>
  <c r="WVX671" i="3" s="1"/>
  <c r="WVW671" i="3" s="1"/>
  <c r="WVV671" i="3" s="1"/>
  <c r="WVU671" i="3" s="1"/>
  <c r="WVT671" i="3" s="1"/>
  <c r="WVS671" i="3" s="1"/>
  <c r="WVR671" i="3" s="1"/>
  <c r="WVQ671" i="3" s="1"/>
  <c r="WVP671" i="3" s="1"/>
  <c r="WVO671" i="3" s="1"/>
  <c r="WVN671" i="3" s="1"/>
  <c r="WVM671" i="3" s="1"/>
  <c r="WVL671" i="3" s="1"/>
  <c r="WVK671" i="3" s="1"/>
  <c r="WVJ671" i="3" s="1"/>
  <c r="WVI671" i="3" s="1"/>
  <c r="WVH671" i="3" s="1"/>
  <c r="WVG671" i="3" s="1"/>
  <c r="WVF671" i="3" s="1"/>
  <c r="WVE671" i="3" s="1"/>
  <c r="WVD671" i="3" s="1"/>
  <c r="WVC671" i="3" s="1"/>
  <c r="WVB671" i="3" s="1"/>
  <c r="WVA671" i="3" s="1"/>
  <c r="WUZ671" i="3" s="1"/>
  <c r="WUY671" i="3" s="1"/>
  <c r="WUX671" i="3" s="1"/>
  <c r="WUW671" i="3" s="1"/>
  <c r="WUV671" i="3" s="1"/>
  <c r="WUU671" i="3" s="1"/>
  <c r="WUT671" i="3" s="1"/>
  <c r="WUS671" i="3" s="1"/>
  <c r="WUR671" i="3" s="1"/>
  <c r="WUQ671" i="3" s="1"/>
  <c r="WUP671" i="3" s="1"/>
  <c r="WUO671" i="3" s="1"/>
  <c r="WUN671" i="3" s="1"/>
  <c r="WUM671" i="3" s="1"/>
  <c r="WUL671" i="3" s="1"/>
  <c r="WUK671" i="3" s="1"/>
  <c r="WUJ671" i="3" s="1"/>
  <c r="WUI671" i="3" s="1"/>
  <c r="WUH671" i="3" s="1"/>
  <c r="WUG671" i="3" s="1"/>
  <c r="WUF671" i="3" s="1"/>
  <c r="WUE671" i="3" s="1"/>
  <c r="WUD671" i="3" s="1"/>
  <c r="WUC671" i="3" s="1"/>
  <c r="WUB671" i="3" s="1"/>
  <c r="WUA671" i="3" s="1"/>
  <c r="WTZ671" i="3" s="1"/>
  <c r="WTY671" i="3" s="1"/>
  <c r="WTX671" i="3" s="1"/>
  <c r="WTW671" i="3" s="1"/>
  <c r="WTV671" i="3" s="1"/>
  <c r="WTU671" i="3" s="1"/>
  <c r="WTT671" i="3" s="1"/>
  <c r="WTS671" i="3" s="1"/>
  <c r="WTR671" i="3" s="1"/>
  <c r="WTQ671" i="3" s="1"/>
  <c r="WTP671" i="3" s="1"/>
  <c r="WTO671" i="3" s="1"/>
  <c r="WTN671" i="3" s="1"/>
  <c r="WTM671" i="3" s="1"/>
  <c r="WTL671" i="3" s="1"/>
  <c r="WTK671" i="3" s="1"/>
  <c r="WTJ671" i="3" s="1"/>
  <c r="WTI671" i="3" s="1"/>
  <c r="WTH671" i="3" s="1"/>
  <c r="WTG671" i="3" s="1"/>
  <c r="WTF671" i="3" s="1"/>
  <c r="WTE671" i="3" s="1"/>
  <c r="WTD671" i="3" s="1"/>
  <c r="WTC671" i="3" s="1"/>
  <c r="WTB671" i="3" s="1"/>
  <c r="WTA671" i="3" s="1"/>
  <c r="WSZ671" i="3" s="1"/>
  <c r="WSY671" i="3" s="1"/>
  <c r="WSX671" i="3" s="1"/>
  <c r="WSW671" i="3" s="1"/>
  <c r="WSV671" i="3" s="1"/>
  <c r="WSU671" i="3" s="1"/>
  <c r="WST671" i="3" s="1"/>
  <c r="WSS671" i="3" s="1"/>
  <c r="WSR671" i="3" s="1"/>
  <c r="WSQ671" i="3" s="1"/>
  <c r="WSP671" i="3" s="1"/>
  <c r="WSO671" i="3" s="1"/>
  <c r="WSN671" i="3" s="1"/>
  <c r="WSM671" i="3" s="1"/>
  <c r="WSL671" i="3" s="1"/>
  <c r="WSK671" i="3" s="1"/>
  <c r="WSJ671" i="3" s="1"/>
  <c r="WSI671" i="3" s="1"/>
  <c r="WSH671" i="3" s="1"/>
  <c r="WSG671" i="3" s="1"/>
  <c r="WSF671" i="3" s="1"/>
  <c r="WSE671" i="3" s="1"/>
  <c r="WSD671" i="3" s="1"/>
  <c r="WSC671" i="3" s="1"/>
  <c r="WSB671" i="3" s="1"/>
  <c r="WSA671" i="3" s="1"/>
  <c r="WRZ671" i="3" s="1"/>
  <c r="WRY671" i="3" s="1"/>
  <c r="WRX671" i="3" s="1"/>
  <c r="WRW671" i="3" s="1"/>
  <c r="WRV671" i="3" s="1"/>
  <c r="WRU671" i="3" s="1"/>
  <c r="WRT671" i="3" s="1"/>
  <c r="WRS671" i="3" s="1"/>
  <c r="WRR671" i="3" s="1"/>
  <c r="WRQ671" i="3" s="1"/>
  <c r="WRP671" i="3" s="1"/>
  <c r="WRO671" i="3" s="1"/>
  <c r="WRN671" i="3" s="1"/>
  <c r="WRM671" i="3" s="1"/>
  <c r="WRL671" i="3" s="1"/>
  <c r="WRK671" i="3" s="1"/>
  <c r="WRJ671" i="3" s="1"/>
  <c r="WRI671" i="3" s="1"/>
  <c r="WRH671" i="3" s="1"/>
  <c r="WRG671" i="3" s="1"/>
  <c r="WRF671" i="3" s="1"/>
  <c r="WRE671" i="3" s="1"/>
  <c r="WRD671" i="3" s="1"/>
  <c r="WRC671" i="3" s="1"/>
  <c r="WRB671" i="3" s="1"/>
  <c r="WRA671" i="3" s="1"/>
  <c r="WQZ671" i="3" s="1"/>
  <c r="WQY671" i="3" s="1"/>
  <c r="WQX671" i="3" s="1"/>
  <c r="WQW671" i="3" s="1"/>
  <c r="WQV671" i="3" s="1"/>
  <c r="WQU671" i="3" s="1"/>
  <c r="WQT671" i="3" s="1"/>
  <c r="WQS671" i="3" s="1"/>
  <c r="WQR671" i="3" s="1"/>
  <c r="WQQ671" i="3" s="1"/>
  <c r="WQP671" i="3" s="1"/>
  <c r="WQO671" i="3" s="1"/>
  <c r="WQN671" i="3" s="1"/>
  <c r="WQM671" i="3" s="1"/>
  <c r="WQL671" i="3" s="1"/>
  <c r="WQK671" i="3" s="1"/>
  <c r="WQJ671" i="3" s="1"/>
  <c r="WQI671" i="3" s="1"/>
  <c r="WQH671" i="3" s="1"/>
  <c r="WQG671" i="3" s="1"/>
  <c r="WQF671" i="3" s="1"/>
  <c r="WQE671" i="3" s="1"/>
  <c r="WQD671" i="3" s="1"/>
  <c r="WQC671" i="3" s="1"/>
  <c r="WQB671" i="3" s="1"/>
  <c r="WQA671" i="3" s="1"/>
  <c r="WPZ671" i="3" s="1"/>
  <c r="WPY671" i="3" s="1"/>
  <c r="WPX671" i="3" s="1"/>
  <c r="WPW671" i="3" s="1"/>
  <c r="WPV671" i="3" s="1"/>
  <c r="WPU671" i="3" s="1"/>
  <c r="WPT671" i="3" s="1"/>
  <c r="WPS671" i="3" s="1"/>
  <c r="WPR671" i="3" s="1"/>
  <c r="WPQ671" i="3" s="1"/>
  <c r="WPP671" i="3" s="1"/>
  <c r="WPO671" i="3" s="1"/>
  <c r="WPN671" i="3" s="1"/>
  <c r="WPM671" i="3" s="1"/>
  <c r="WPL671" i="3" s="1"/>
  <c r="WPK671" i="3" s="1"/>
  <c r="WPJ671" i="3" s="1"/>
  <c r="WPI671" i="3" s="1"/>
  <c r="WPH671" i="3" s="1"/>
  <c r="WPG671" i="3" s="1"/>
  <c r="WPF671" i="3" s="1"/>
  <c r="WPE671" i="3" s="1"/>
  <c r="WPD671" i="3" s="1"/>
  <c r="WPC671" i="3" s="1"/>
  <c r="WPB671" i="3" s="1"/>
  <c r="WPA671" i="3" s="1"/>
  <c r="WOZ671" i="3" s="1"/>
  <c r="WOY671" i="3" s="1"/>
  <c r="WOX671" i="3" s="1"/>
  <c r="WOW671" i="3" s="1"/>
  <c r="WOV671" i="3" s="1"/>
  <c r="WOU671" i="3" s="1"/>
  <c r="WOT671" i="3" s="1"/>
  <c r="WOS671" i="3" s="1"/>
  <c r="WOR671" i="3" s="1"/>
  <c r="WOQ671" i="3" s="1"/>
  <c r="WOP671" i="3" s="1"/>
  <c r="WOO671" i="3" s="1"/>
  <c r="WON671" i="3" s="1"/>
  <c r="WOM671" i="3" s="1"/>
  <c r="WOL671" i="3" s="1"/>
  <c r="WOK671" i="3" s="1"/>
  <c r="WOJ671" i="3" s="1"/>
  <c r="WOI671" i="3" s="1"/>
  <c r="WOH671" i="3" s="1"/>
  <c r="WOG671" i="3" s="1"/>
  <c r="WOF671" i="3" s="1"/>
  <c r="WOE671" i="3" s="1"/>
  <c r="WOD671" i="3" s="1"/>
  <c r="WOC671" i="3" s="1"/>
  <c r="WOB671" i="3" s="1"/>
  <c r="WOA671" i="3" s="1"/>
  <c r="WNZ671" i="3" s="1"/>
  <c r="WNY671" i="3" s="1"/>
  <c r="WNX671" i="3" s="1"/>
  <c r="WNW671" i="3" s="1"/>
  <c r="WNV671" i="3" s="1"/>
  <c r="WNU671" i="3" s="1"/>
  <c r="WNT671" i="3" s="1"/>
  <c r="WNS671" i="3" s="1"/>
  <c r="WNR671" i="3" s="1"/>
  <c r="WNQ671" i="3" s="1"/>
  <c r="WNP671" i="3" s="1"/>
  <c r="WNO671" i="3" s="1"/>
  <c r="WNN671" i="3" s="1"/>
  <c r="WNM671" i="3" s="1"/>
  <c r="WNL671" i="3" s="1"/>
  <c r="WNK671" i="3" s="1"/>
  <c r="WNJ671" i="3" s="1"/>
  <c r="WNI671" i="3" s="1"/>
  <c r="WNH671" i="3" s="1"/>
  <c r="WNG671" i="3" s="1"/>
  <c r="WNF671" i="3" s="1"/>
  <c r="WNE671" i="3" s="1"/>
  <c r="WND671" i="3" s="1"/>
  <c r="WNC671" i="3" s="1"/>
  <c r="WNB671" i="3" s="1"/>
  <c r="WNA671" i="3" s="1"/>
  <c r="WMZ671" i="3" s="1"/>
  <c r="WMY671" i="3" s="1"/>
  <c r="WMX671" i="3" s="1"/>
  <c r="WMW671" i="3" s="1"/>
  <c r="WMV671" i="3" s="1"/>
  <c r="WMU671" i="3" s="1"/>
  <c r="WMT671" i="3" s="1"/>
  <c r="WMS671" i="3" s="1"/>
  <c r="WMR671" i="3" s="1"/>
  <c r="WMQ671" i="3" s="1"/>
  <c r="WMP671" i="3" s="1"/>
  <c r="WMO671" i="3" s="1"/>
  <c r="WMN671" i="3" s="1"/>
  <c r="WMM671" i="3" s="1"/>
  <c r="WML671" i="3" s="1"/>
  <c r="WMK671" i="3" s="1"/>
  <c r="WMJ671" i="3" s="1"/>
  <c r="WMI671" i="3" s="1"/>
  <c r="WMH671" i="3" s="1"/>
  <c r="WMG671" i="3" s="1"/>
  <c r="WMF671" i="3" s="1"/>
  <c r="WME671" i="3" s="1"/>
  <c r="WMD671" i="3" s="1"/>
  <c r="WMC671" i="3" s="1"/>
  <c r="WMB671" i="3" s="1"/>
  <c r="WMA671" i="3" s="1"/>
  <c r="WLZ671" i="3" s="1"/>
  <c r="WLY671" i="3" s="1"/>
  <c r="WLX671" i="3" s="1"/>
  <c r="WLW671" i="3" s="1"/>
  <c r="WLV671" i="3" s="1"/>
  <c r="WLU671" i="3" s="1"/>
  <c r="WLT671" i="3" s="1"/>
  <c r="WLS671" i="3" s="1"/>
  <c r="WLR671" i="3" s="1"/>
  <c r="WLQ671" i="3" s="1"/>
  <c r="WLP671" i="3" s="1"/>
  <c r="WLO671" i="3" s="1"/>
  <c r="WLN671" i="3" s="1"/>
  <c r="WLM671" i="3" s="1"/>
  <c r="WLL671" i="3" s="1"/>
  <c r="WLK671" i="3" s="1"/>
  <c r="WLJ671" i="3" s="1"/>
  <c r="WLI671" i="3" s="1"/>
  <c r="WLH671" i="3" s="1"/>
  <c r="WLG671" i="3" s="1"/>
  <c r="WLF671" i="3" s="1"/>
  <c r="WLE671" i="3" s="1"/>
  <c r="WLD671" i="3" s="1"/>
  <c r="WLC671" i="3" s="1"/>
  <c r="WLB671" i="3" s="1"/>
  <c r="WLA671" i="3" s="1"/>
  <c r="WKZ671" i="3" s="1"/>
  <c r="WKY671" i="3" s="1"/>
  <c r="WKX671" i="3" s="1"/>
  <c r="WKW671" i="3" s="1"/>
  <c r="WKV671" i="3" s="1"/>
  <c r="WKU671" i="3" s="1"/>
  <c r="WKT671" i="3" s="1"/>
  <c r="WKS671" i="3" s="1"/>
  <c r="WKR671" i="3" s="1"/>
  <c r="WKQ671" i="3" s="1"/>
  <c r="WKP671" i="3" s="1"/>
  <c r="WKO671" i="3" s="1"/>
  <c r="WKN671" i="3" s="1"/>
  <c r="WKM671" i="3" s="1"/>
  <c r="WKL671" i="3" s="1"/>
  <c r="WKK671" i="3" s="1"/>
  <c r="WKJ671" i="3" s="1"/>
  <c r="WKI671" i="3" s="1"/>
  <c r="WKH671" i="3" s="1"/>
  <c r="WKG671" i="3" s="1"/>
  <c r="WKF671" i="3" s="1"/>
  <c r="WKE671" i="3" s="1"/>
  <c r="WKD671" i="3" s="1"/>
  <c r="WKC671" i="3" s="1"/>
  <c r="WKB671" i="3" s="1"/>
  <c r="WKA671" i="3" s="1"/>
  <c r="WJZ671" i="3" s="1"/>
  <c r="WJY671" i="3" s="1"/>
  <c r="WJX671" i="3" s="1"/>
  <c r="WJW671" i="3" s="1"/>
  <c r="WJV671" i="3" s="1"/>
  <c r="WJU671" i="3" s="1"/>
  <c r="WJT671" i="3" s="1"/>
  <c r="WJS671" i="3" s="1"/>
  <c r="WJR671" i="3" s="1"/>
  <c r="WJQ671" i="3" s="1"/>
  <c r="WJP671" i="3" s="1"/>
  <c r="WJO671" i="3" s="1"/>
  <c r="WJN671" i="3" s="1"/>
  <c r="WJM671" i="3" s="1"/>
  <c r="WJL671" i="3" s="1"/>
  <c r="WJK671" i="3" s="1"/>
  <c r="WJJ671" i="3" s="1"/>
  <c r="WJI671" i="3" s="1"/>
  <c r="WJH671" i="3" s="1"/>
  <c r="WJG671" i="3" s="1"/>
  <c r="WJF671" i="3" s="1"/>
  <c r="WJE671" i="3" s="1"/>
  <c r="WJD671" i="3" s="1"/>
  <c r="WJC671" i="3" s="1"/>
  <c r="WJB671" i="3" s="1"/>
  <c r="WJA671" i="3" s="1"/>
  <c r="WIZ671" i="3" s="1"/>
  <c r="WIY671" i="3" s="1"/>
  <c r="WIX671" i="3" s="1"/>
  <c r="WIW671" i="3" s="1"/>
  <c r="WIV671" i="3" s="1"/>
  <c r="WIU671" i="3" s="1"/>
  <c r="WIT671" i="3" s="1"/>
  <c r="WIS671" i="3" s="1"/>
  <c r="WIR671" i="3" s="1"/>
  <c r="WIQ671" i="3" s="1"/>
  <c r="WIP671" i="3" s="1"/>
  <c r="WIO671" i="3" s="1"/>
  <c r="WIN671" i="3" s="1"/>
  <c r="WIM671" i="3" s="1"/>
  <c r="WIL671" i="3" s="1"/>
  <c r="WIK671" i="3" s="1"/>
  <c r="WIJ671" i="3" s="1"/>
  <c r="WII671" i="3" s="1"/>
  <c r="WIH671" i="3" s="1"/>
  <c r="WIG671" i="3" s="1"/>
  <c r="WIF671" i="3" s="1"/>
  <c r="WIE671" i="3" s="1"/>
  <c r="WID671" i="3" s="1"/>
  <c r="WIC671" i="3" s="1"/>
  <c r="WIB671" i="3" s="1"/>
  <c r="WIA671" i="3" s="1"/>
  <c r="WHZ671" i="3" s="1"/>
  <c r="WHY671" i="3" s="1"/>
  <c r="WHX671" i="3" s="1"/>
  <c r="WHW671" i="3" s="1"/>
  <c r="WHV671" i="3" s="1"/>
  <c r="WHU671" i="3" s="1"/>
  <c r="WHT671" i="3" s="1"/>
  <c r="WHS671" i="3" s="1"/>
  <c r="WHR671" i="3" s="1"/>
  <c r="WHQ671" i="3" s="1"/>
  <c r="WHP671" i="3" s="1"/>
  <c r="WHO671" i="3" s="1"/>
  <c r="WHN671" i="3" s="1"/>
  <c r="WHM671" i="3" s="1"/>
  <c r="WHL671" i="3" s="1"/>
  <c r="WHK671" i="3" s="1"/>
  <c r="WHJ671" i="3" s="1"/>
  <c r="WHI671" i="3" s="1"/>
  <c r="WHH671" i="3" s="1"/>
  <c r="WHG671" i="3" s="1"/>
  <c r="WHF671" i="3" s="1"/>
  <c r="WHE671" i="3" s="1"/>
  <c r="WHD671" i="3" s="1"/>
  <c r="WHC671" i="3" s="1"/>
  <c r="WHB671" i="3" s="1"/>
  <c r="WHA671" i="3" s="1"/>
  <c r="WGZ671" i="3" s="1"/>
  <c r="WGY671" i="3" s="1"/>
  <c r="WGX671" i="3" s="1"/>
  <c r="WGW671" i="3" s="1"/>
  <c r="WGV671" i="3" s="1"/>
  <c r="WGU671" i="3" s="1"/>
  <c r="WGT671" i="3" s="1"/>
  <c r="WGS671" i="3" s="1"/>
  <c r="WGR671" i="3" s="1"/>
  <c r="WGQ671" i="3" s="1"/>
  <c r="WGP671" i="3" s="1"/>
  <c r="WGO671" i="3" s="1"/>
  <c r="WGN671" i="3" s="1"/>
  <c r="WGM671" i="3" s="1"/>
  <c r="WGL671" i="3" s="1"/>
  <c r="WGK671" i="3" s="1"/>
  <c r="WGJ671" i="3" s="1"/>
  <c r="WGI671" i="3" s="1"/>
  <c r="WGH671" i="3" s="1"/>
  <c r="WGG671" i="3" s="1"/>
  <c r="WGF671" i="3" s="1"/>
  <c r="WGE671" i="3" s="1"/>
  <c r="WGD671" i="3" s="1"/>
  <c r="WGC671" i="3" s="1"/>
  <c r="WGB671" i="3" s="1"/>
  <c r="WGA671" i="3" s="1"/>
  <c r="WFZ671" i="3" s="1"/>
  <c r="WFY671" i="3" s="1"/>
  <c r="WFX671" i="3" s="1"/>
  <c r="WFW671" i="3" s="1"/>
  <c r="WFV671" i="3" s="1"/>
  <c r="WFU671" i="3" s="1"/>
  <c r="WFT671" i="3" s="1"/>
  <c r="WFS671" i="3" s="1"/>
  <c r="WFR671" i="3" s="1"/>
  <c r="WFQ671" i="3" s="1"/>
  <c r="WFP671" i="3" s="1"/>
  <c r="WFO671" i="3" s="1"/>
  <c r="WFN671" i="3" s="1"/>
  <c r="WFM671" i="3" s="1"/>
  <c r="WFL671" i="3" s="1"/>
  <c r="WFK671" i="3" s="1"/>
  <c r="WFJ671" i="3" s="1"/>
  <c r="WFI671" i="3" s="1"/>
  <c r="WFH671" i="3" s="1"/>
  <c r="WFG671" i="3" s="1"/>
  <c r="WFF671" i="3" s="1"/>
  <c r="WFE671" i="3" s="1"/>
  <c r="WFD671" i="3" s="1"/>
  <c r="WFC671" i="3" s="1"/>
  <c r="WFB671" i="3" s="1"/>
  <c r="WFA671" i="3" s="1"/>
  <c r="WEZ671" i="3" s="1"/>
  <c r="WEY671" i="3" s="1"/>
  <c r="WEX671" i="3" s="1"/>
  <c r="WEW671" i="3" s="1"/>
  <c r="WEV671" i="3" s="1"/>
  <c r="WEU671" i="3" s="1"/>
  <c r="WET671" i="3" s="1"/>
  <c r="WES671" i="3" s="1"/>
  <c r="WER671" i="3" s="1"/>
  <c r="WEQ671" i="3" s="1"/>
  <c r="WEP671" i="3" s="1"/>
  <c r="WEO671" i="3" s="1"/>
  <c r="WEN671" i="3" s="1"/>
  <c r="WEM671" i="3" s="1"/>
  <c r="WEL671" i="3" s="1"/>
  <c r="WEK671" i="3" s="1"/>
  <c r="WEJ671" i="3" s="1"/>
  <c r="WEI671" i="3" s="1"/>
  <c r="WEH671" i="3" s="1"/>
  <c r="WEG671" i="3" s="1"/>
  <c r="WEF671" i="3" s="1"/>
  <c r="WEE671" i="3" s="1"/>
  <c r="WED671" i="3" s="1"/>
  <c r="WEC671" i="3" s="1"/>
  <c r="WEB671" i="3" s="1"/>
  <c r="WEA671" i="3" s="1"/>
  <c r="WDZ671" i="3" s="1"/>
  <c r="WDY671" i="3" s="1"/>
  <c r="WDX671" i="3" s="1"/>
  <c r="WDW671" i="3" s="1"/>
  <c r="WDV671" i="3" s="1"/>
  <c r="WDU671" i="3" s="1"/>
  <c r="WDT671" i="3" s="1"/>
  <c r="WDS671" i="3" s="1"/>
  <c r="WDR671" i="3" s="1"/>
  <c r="WDQ671" i="3" s="1"/>
  <c r="WDP671" i="3" s="1"/>
  <c r="WDO671" i="3" s="1"/>
  <c r="WDN671" i="3" s="1"/>
  <c r="WDM671" i="3" s="1"/>
  <c r="WDL671" i="3" s="1"/>
  <c r="WDK671" i="3" s="1"/>
  <c r="WDJ671" i="3" s="1"/>
  <c r="WDI671" i="3" s="1"/>
  <c r="WDH671" i="3" s="1"/>
  <c r="WDG671" i="3" s="1"/>
  <c r="WDF671" i="3" s="1"/>
  <c r="WDE671" i="3" s="1"/>
  <c r="WDD671" i="3" s="1"/>
  <c r="WDC671" i="3" s="1"/>
  <c r="WDB671" i="3" s="1"/>
  <c r="WDA671" i="3" s="1"/>
  <c r="WCZ671" i="3" s="1"/>
  <c r="WCY671" i="3" s="1"/>
  <c r="WCX671" i="3" s="1"/>
  <c r="WCW671" i="3" s="1"/>
  <c r="WCV671" i="3" s="1"/>
  <c r="WCU671" i="3" s="1"/>
  <c r="WCT671" i="3" s="1"/>
  <c r="WCS671" i="3" s="1"/>
  <c r="WCR671" i="3" s="1"/>
  <c r="WCQ671" i="3" s="1"/>
  <c r="WCP671" i="3" s="1"/>
  <c r="WCO671" i="3" s="1"/>
  <c r="WCN671" i="3" s="1"/>
  <c r="WCM671" i="3" s="1"/>
  <c r="WCL671" i="3" s="1"/>
  <c r="WCK671" i="3" s="1"/>
  <c r="WCJ671" i="3" s="1"/>
  <c r="WCI671" i="3" s="1"/>
  <c r="WCH671" i="3" s="1"/>
  <c r="WCG671" i="3" s="1"/>
  <c r="WCF671" i="3" s="1"/>
  <c r="WCE671" i="3" s="1"/>
  <c r="WCD671" i="3" s="1"/>
  <c r="WCC671" i="3" s="1"/>
  <c r="WCB671" i="3" s="1"/>
  <c r="WCA671" i="3" s="1"/>
  <c r="WBZ671" i="3" s="1"/>
  <c r="WBY671" i="3" s="1"/>
  <c r="WBX671" i="3" s="1"/>
  <c r="WBW671" i="3" s="1"/>
  <c r="WBV671" i="3" s="1"/>
  <c r="WBU671" i="3" s="1"/>
  <c r="WBT671" i="3" s="1"/>
  <c r="WBS671" i="3" s="1"/>
  <c r="WBR671" i="3" s="1"/>
  <c r="WBQ671" i="3" s="1"/>
  <c r="WBP671" i="3" s="1"/>
  <c r="WBO671" i="3" s="1"/>
  <c r="WBN671" i="3" s="1"/>
  <c r="WBM671" i="3" s="1"/>
  <c r="WBL671" i="3" s="1"/>
  <c r="WBK671" i="3" s="1"/>
  <c r="WBJ671" i="3" s="1"/>
  <c r="WBI671" i="3" s="1"/>
  <c r="WBH671" i="3" s="1"/>
  <c r="WBG671" i="3" s="1"/>
  <c r="WBF671" i="3" s="1"/>
  <c r="WBE671" i="3" s="1"/>
  <c r="WBD671" i="3" s="1"/>
  <c r="WBC671" i="3" s="1"/>
  <c r="WBB671" i="3" s="1"/>
  <c r="WBA671" i="3" s="1"/>
  <c r="WAZ671" i="3" s="1"/>
  <c r="WAY671" i="3" s="1"/>
  <c r="WAX671" i="3" s="1"/>
  <c r="WAW671" i="3" s="1"/>
  <c r="WAV671" i="3" s="1"/>
  <c r="WAU671" i="3" s="1"/>
  <c r="WAT671" i="3" s="1"/>
  <c r="WAS671" i="3" s="1"/>
  <c r="WAR671" i="3" s="1"/>
  <c r="WAQ671" i="3" s="1"/>
  <c r="WAP671" i="3" s="1"/>
  <c r="WAO671" i="3" s="1"/>
  <c r="WAN671" i="3" s="1"/>
  <c r="WAM671" i="3" s="1"/>
  <c r="WAL671" i="3" s="1"/>
  <c r="WAK671" i="3" s="1"/>
  <c r="WAJ671" i="3" s="1"/>
  <c r="WAI671" i="3" s="1"/>
  <c r="WAH671" i="3" s="1"/>
  <c r="WAG671" i="3" s="1"/>
  <c r="WAF671" i="3" s="1"/>
  <c r="WAE671" i="3" s="1"/>
  <c r="WAD671" i="3" s="1"/>
  <c r="WAC671" i="3" s="1"/>
  <c r="WAB671" i="3" s="1"/>
  <c r="WAA671" i="3" s="1"/>
  <c r="VZZ671" i="3" s="1"/>
  <c r="VZY671" i="3" s="1"/>
  <c r="VZX671" i="3" s="1"/>
  <c r="VZW671" i="3" s="1"/>
  <c r="VZV671" i="3" s="1"/>
  <c r="VZU671" i="3" s="1"/>
  <c r="VZT671" i="3" s="1"/>
  <c r="VZS671" i="3" s="1"/>
  <c r="VZR671" i="3" s="1"/>
  <c r="VZQ671" i="3" s="1"/>
  <c r="VZP671" i="3" s="1"/>
  <c r="VZO671" i="3" s="1"/>
  <c r="VZN671" i="3" s="1"/>
  <c r="VZM671" i="3" s="1"/>
  <c r="VZL671" i="3" s="1"/>
  <c r="VZK671" i="3" s="1"/>
  <c r="VZJ671" i="3" s="1"/>
  <c r="VZI671" i="3" s="1"/>
  <c r="VZH671" i="3" s="1"/>
  <c r="VZG671" i="3" s="1"/>
  <c r="VZF671" i="3" s="1"/>
  <c r="VZE671" i="3" s="1"/>
  <c r="VZD671" i="3" s="1"/>
  <c r="VZC671" i="3" s="1"/>
  <c r="VZB671" i="3" s="1"/>
  <c r="VZA671" i="3" s="1"/>
  <c r="VYZ671" i="3" s="1"/>
  <c r="VYY671" i="3" s="1"/>
  <c r="VYX671" i="3" s="1"/>
  <c r="VYW671" i="3" s="1"/>
  <c r="VYV671" i="3" s="1"/>
  <c r="VYU671" i="3" s="1"/>
  <c r="VYT671" i="3" s="1"/>
  <c r="VYS671" i="3" s="1"/>
  <c r="VYR671" i="3" s="1"/>
  <c r="VYQ671" i="3" s="1"/>
  <c r="VYP671" i="3" s="1"/>
  <c r="VYO671" i="3" s="1"/>
  <c r="VYN671" i="3" s="1"/>
  <c r="VYM671" i="3" s="1"/>
  <c r="VYL671" i="3" s="1"/>
  <c r="VYK671" i="3" s="1"/>
  <c r="VYJ671" i="3" s="1"/>
  <c r="VYI671" i="3" s="1"/>
  <c r="VYH671" i="3" s="1"/>
  <c r="VYG671" i="3" s="1"/>
  <c r="VYF671" i="3" s="1"/>
  <c r="VYE671" i="3" s="1"/>
  <c r="VYD671" i="3" s="1"/>
  <c r="VYC671" i="3" s="1"/>
  <c r="VYB671" i="3" s="1"/>
  <c r="VYA671" i="3" s="1"/>
  <c r="VXZ671" i="3" s="1"/>
  <c r="VXY671" i="3" s="1"/>
  <c r="VXX671" i="3" s="1"/>
  <c r="VXW671" i="3" s="1"/>
  <c r="VXV671" i="3" s="1"/>
  <c r="VXU671" i="3" s="1"/>
  <c r="VXT671" i="3" s="1"/>
  <c r="VXS671" i="3" s="1"/>
  <c r="VXR671" i="3" s="1"/>
  <c r="VXQ671" i="3" s="1"/>
  <c r="VXP671" i="3" s="1"/>
  <c r="VXO671" i="3" s="1"/>
  <c r="VXN671" i="3" s="1"/>
  <c r="VXM671" i="3" s="1"/>
  <c r="VXL671" i="3" s="1"/>
  <c r="VXK671" i="3" s="1"/>
  <c r="VXJ671" i="3" s="1"/>
  <c r="VXI671" i="3" s="1"/>
  <c r="VXH671" i="3" s="1"/>
  <c r="VXG671" i="3" s="1"/>
  <c r="VXF671" i="3" s="1"/>
  <c r="VXE671" i="3" s="1"/>
  <c r="VXD671" i="3" s="1"/>
  <c r="VXC671" i="3" s="1"/>
  <c r="VXB671" i="3" s="1"/>
  <c r="VXA671" i="3" s="1"/>
  <c r="VWZ671" i="3" s="1"/>
  <c r="VWY671" i="3" s="1"/>
  <c r="VWX671" i="3" s="1"/>
  <c r="VWW671" i="3" s="1"/>
  <c r="VWV671" i="3" s="1"/>
  <c r="VWU671" i="3" s="1"/>
  <c r="VWT671" i="3" s="1"/>
  <c r="VWS671" i="3" s="1"/>
  <c r="VWR671" i="3" s="1"/>
  <c r="VWQ671" i="3" s="1"/>
  <c r="VWP671" i="3" s="1"/>
  <c r="VWO671" i="3" s="1"/>
  <c r="VWN671" i="3" s="1"/>
  <c r="VWM671" i="3" s="1"/>
  <c r="VWL671" i="3" s="1"/>
  <c r="VWK671" i="3" s="1"/>
  <c r="VWJ671" i="3" s="1"/>
  <c r="VWI671" i="3" s="1"/>
  <c r="VWH671" i="3" s="1"/>
  <c r="VWG671" i="3" s="1"/>
  <c r="VWF671" i="3" s="1"/>
  <c r="VWE671" i="3" s="1"/>
  <c r="VWD671" i="3" s="1"/>
  <c r="VWC671" i="3" s="1"/>
  <c r="VWB671" i="3" s="1"/>
  <c r="VWA671" i="3" s="1"/>
  <c r="VVZ671" i="3" s="1"/>
  <c r="VVY671" i="3" s="1"/>
  <c r="VVX671" i="3" s="1"/>
  <c r="VVW671" i="3" s="1"/>
  <c r="VVV671" i="3" s="1"/>
  <c r="VVU671" i="3" s="1"/>
  <c r="VVT671" i="3" s="1"/>
  <c r="VVS671" i="3" s="1"/>
  <c r="VVR671" i="3" s="1"/>
  <c r="VVQ671" i="3" s="1"/>
  <c r="VVP671" i="3" s="1"/>
  <c r="VVO671" i="3" s="1"/>
  <c r="VVN671" i="3" s="1"/>
  <c r="VVM671" i="3" s="1"/>
  <c r="VVL671" i="3" s="1"/>
  <c r="VVK671" i="3" s="1"/>
  <c r="VVJ671" i="3" s="1"/>
  <c r="VVI671" i="3" s="1"/>
  <c r="VVH671" i="3" s="1"/>
  <c r="VVG671" i="3" s="1"/>
  <c r="VVF671" i="3" s="1"/>
  <c r="VVE671" i="3" s="1"/>
  <c r="VVD671" i="3" s="1"/>
  <c r="VVC671" i="3" s="1"/>
  <c r="VVB671" i="3" s="1"/>
  <c r="VVA671" i="3" s="1"/>
  <c r="VUZ671" i="3" s="1"/>
  <c r="VUY671" i="3" s="1"/>
  <c r="VUX671" i="3" s="1"/>
  <c r="VUW671" i="3" s="1"/>
  <c r="VUV671" i="3" s="1"/>
  <c r="VUU671" i="3" s="1"/>
  <c r="VUT671" i="3" s="1"/>
  <c r="VUS671" i="3" s="1"/>
  <c r="VUR671" i="3" s="1"/>
  <c r="VUQ671" i="3" s="1"/>
  <c r="VUP671" i="3" s="1"/>
  <c r="VUO671" i="3" s="1"/>
  <c r="VUN671" i="3" s="1"/>
  <c r="VUM671" i="3" s="1"/>
  <c r="VUL671" i="3" s="1"/>
  <c r="VUK671" i="3" s="1"/>
  <c r="VUJ671" i="3" s="1"/>
  <c r="VUI671" i="3" s="1"/>
  <c r="VUH671" i="3" s="1"/>
  <c r="VUG671" i="3" s="1"/>
  <c r="VUF671" i="3" s="1"/>
  <c r="VUE671" i="3" s="1"/>
  <c r="VUD671" i="3" s="1"/>
  <c r="VUC671" i="3" s="1"/>
  <c r="VUB671" i="3" s="1"/>
  <c r="VUA671" i="3" s="1"/>
  <c r="VTZ671" i="3" s="1"/>
  <c r="VTY671" i="3" s="1"/>
  <c r="VTX671" i="3" s="1"/>
  <c r="VTW671" i="3" s="1"/>
  <c r="VTV671" i="3" s="1"/>
  <c r="VTU671" i="3" s="1"/>
  <c r="VTT671" i="3" s="1"/>
  <c r="VTS671" i="3" s="1"/>
  <c r="VTR671" i="3" s="1"/>
  <c r="VTQ671" i="3" s="1"/>
  <c r="VTP671" i="3" s="1"/>
  <c r="VTO671" i="3" s="1"/>
  <c r="VTN671" i="3" s="1"/>
  <c r="VTM671" i="3" s="1"/>
  <c r="VTL671" i="3" s="1"/>
  <c r="VTK671" i="3" s="1"/>
  <c r="VTJ671" i="3" s="1"/>
  <c r="VTI671" i="3" s="1"/>
  <c r="VTH671" i="3" s="1"/>
  <c r="VTG671" i="3" s="1"/>
  <c r="VTF671" i="3" s="1"/>
  <c r="VTE671" i="3" s="1"/>
  <c r="VTD671" i="3" s="1"/>
  <c r="VTC671" i="3" s="1"/>
  <c r="VTB671" i="3" s="1"/>
  <c r="VTA671" i="3" s="1"/>
  <c r="VSZ671" i="3" s="1"/>
  <c r="VSY671" i="3" s="1"/>
  <c r="VSX671" i="3" s="1"/>
  <c r="VSW671" i="3" s="1"/>
  <c r="VSV671" i="3" s="1"/>
  <c r="VSU671" i="3" s="1"/>
  <c r="VST671" i="3" s="1"/>
  <c r="VSS671" i="3" s="1"/>
  <c r="VSR671" i="3" s="1"/>
  <c r="VSQ671" i="3" s="1"/>
  <c r="VSP671" i="3" s="1"/>
  <c r="VSO671" i="3" s="1"/>
  <c r="VSN671" i="3" s="1"/>
  <c r="VSM671" i="3" s="1"/>
  <c r="VSL671" i="3" s="1"/>
  <c r="VSK671" i="3" s="1"/>
  <c r="VSJ671" i="3" s="1"/>
  <c r="VSI671" i="3" s="1"/>
  <c r="VSH671" i="3" s="1"/>
  <c r="VSG671" i="3" s="1"/>
  <c r="VSF671" i="3" s="1"/>
  <c r="VSE671" i="3" s="1"/>
  <c r="VSD671" i="3" s="1"/>
  <c r="VSC671" i="3" s="1"/>
  <c r="VSB671" i="3" s="1"/>
  <c r="VSA671" i="3" s="1"/>
  <c r="VRZ671" i="3" s="1"/>
  <c r="VRY671" i="3" s="1"/>
  <c r="VRX671" i="3" s="1"/>
  <c r="VRW671" i="3" s="1"/>
  <c r="VRV671" i="3" s="1"/>
  <c r="VRU671" i="3" s="1"/>
  <c r="VRT671" i="3" s="1"/>
  <c r="VRS671" i="3" s="1"/>
  <c r="VRR671" i="3" s="1"/>
  <c r="VRQ671" i="3" s="1"/>
  <c r="VRP671" i="3" s="1"/>
  <c r="VRO671" i="3" s="1"/>
  <c r="VRN671" i="3" s="1"/>
  <c r="VRM671" i="3" s="1"/>
  <c r="VRL671" i="3" s="1"/>
  <c r="VRK671" i="3" s="1"/>
  <c r="VRJ671" i="3" s="1"/>
  <c r="VRI671" i="3" s="1"/>
  <c r="VRH671" i="3" s="1"/>
  <c r="VRG671" i="3" s="1"/>
  <c r="VRF671" i="3" s="1"/>
  <c r="VRE671" i="3" s="1"/>
  <c r="VRD671" i="3" s="1"/>
  <c r="VRC671" i="3" s="1"/>
  <c r="VRB671" i="3" s="1"/>
  <c r="VRA671" i="3" s="1"/>
  <c r="VQZ671" i="3" s="1"/>
  <c r="VQY671" i="3" s="1"/>
  <c r="VQX671" i="3" s="1"/>
  <c r="VQW671" i="3" s="1"/>
  <c r="VQV671" i="3" s="1"/>
  <c r="VQU671" i="3" s="1"/>
  <c r="VQT671" i="3" s="1"/>
  <c r="VQS671" i="3" s="1"/>
  <c r="VQR671" i="3" s="1"/>
  <c r="VQQ671" i="3" s="1"/>
  <c r="VQP671" i="3" s="1"/>
  <c r="VQO671" i="3" s="1"/>
  <c r="VQN671" i="3" s="1"/>
  <c r="VQM671" i="3" s="1"/>
  <c r="VQL671" i="3" s="1"/>
  <c r="VQK671" i="3" s="1"/>
  <c r="VQJ671" i="3" s="1"/>
  <c r="VQI671" i="3" s="1"/>
  <c r="VQH671" i="3" s="1"/>
  <c r="VQG671" i="3" s="1"/>
  <c r="VQF671" i="3" s="1"/>
  <c r="VQE671" i="3" s="1"/>
  <c r="VQD671" i="3" s="1"/>
  <c r="VQC671" i="3" s="1"/>
  <c r="VQB671" i="3" s="1"/>
  <c r="VQA671" i="3" s="1"/>
  <c r="VPZ671" i="3" s="1"/>
  <c r="VPY671" i="3" s="1"/>
  <c r="VPX671" i="3" s="1"/>
  <c r="VPW671" i="3" s="1"/>
  <c r="VPV671" i="3" s="1"/>
  <c r="VPU671" i="3" s="1"/>
  <c r="VPT671" i="3" s="1"/>
  <c r="VPS671" i="3" s="1"/>
  <c r="VPR671" i="3" s="1"/>
  <c r="VPQ671" i="3" s="1"/>
  <c r="VPP671" i="3" s="1"/>
  <c r="VPO671" i="3" s="1"/>
  <c r="VPN671" i="3" s="1"/>
  <c r="VPM671" i="3" s="1"/>
  <c r="VPL671" i="3" s="1"/>
  <c r="VPK671" i="3" s="1"/>
  <c r="VPJ671" i="3" s="1"/>
  <c r="VPI671" i="3" s="1"/>
  <c r="VPH671" i="3" s="1"/>
  <c r="VPG671" i="3" s="1"/>
  <c r="VPF671" i="3" s="1"/>
  <c r="VPE671" i="3" s="1"/>
  <c r="VPD671" i="3" s="1"/>
  <c r="VPC671" i="3" s="1"/>
  <c r="VPB671" i="3" s="1"/>
  <c r="VPA671" i="3" s="1"/>
  <c r="VOZ671" i="3" s="1"/>
  <c r="VOY671" i="3" s="1"/>
  <c r="VOX671" i="3" s="1"/>
  <c r="VOW671" i="3" s="1"/>
  <c r="VOV671" i="3" s="1"/>
  <c r="VOU671" i="3" s="1"/>
  <c r="VOT671" i="3" s="1"/>
  <c r="VOS671" i="3" s="1"/>
  <c r="VOR671" i="3" s="1"/>
  <c r="VOQ671" i="3" s="1"/>
  <c r="VOP671" i="3" s="1"/>
  <c r="VOO671" i="3" s="1"/>
  <c r="VON671" i="3" s="1"/>
  <c r="VOM671" i="3" s="1"/>
  <c r="VOL671" i="3" s="1"/>
  <c r="VOK671" i="3" s="1"/>
  <c r="VOJ671" i="3" s="1"/>
  <c r="VOI671" i="3" s="1"/>
  <c r="VOH671" i="3" s="1"/>
  <c r="VOG671" i="3" s="1"/>
  <c r="VOF671" i="3" s="1"/>
  <c r="VOE671" i="3" s="1"/>
  <c r="VOD671" i="3" s="1"/>
  <c r="VOC671" i="3" s="1"/>
  <c r="VOB671" i="3" s="1"/>
  <c r="VOA671" i="3" s="1"/>
  <c r="VNZ671" i="3" s="1"/>
  <c r="VNY671" i="3" s="1"/>
  <c r="VNX671" i="3" s="1"/>
  <c r="VNW671" i="3" s="1"/>
  <c r="VNV671" i="3" s="1"/>
  <c r="VNU671" i="3" s="1"/>
  <c r="VNT671" i="3" s="1"/>
  <c r="VNS671" i="3" s="1"/>
  <c r="VNR671" i="3" s="1"/>
  <c r="VNQ671" i="3" s="1"/>
  <c r="VNP671" i="3" s="1"/>
  <c r="VNO671" i="3" s="1"/>
  <c r="VNN671" i="3" s="1"/>
  <c r="VNM671" i="3" s="1"/>
  <c r="VNL671" i="3" s="1"/>
  <c r="VNK671" i="3" s="1"/>
  <c r="VNJ671" i="3" s="1"/>
  <c r="VNI671" i="3" s="1"/>
  <c r="VNH671" i="3" s="1"/>
  <c r="VNG671" i="3" s="1"/>
  <c r="VNF671" i="3" s="1"/>
  <c r="VNE671" i="3" s="1"/>
  <c r="VND671" i="3" s="1"/>
  <c r="VNC671" i="3" s="1"/>
  <c r="VNB671" i="3" s="1"/>
  <c r="VNA671" i="3" s="1"/>
  <c r="VMZ671" i="3" s="1"/>
  <c r="VMY671" i="3" s="1"/>
  <c r="VMX671" i="3" s="1"/>
  <c r="VMW671" i="3" s="1"/>
  <c r="VMV671" i="3" s="1"/>
  <c r="VMU671" i="3" s="1"/>
  <c r="VMT671" i="3" s="1"/>
  <c r="VMS671" i="3" s="1"/>
  <c r="VMR671" i="3" s="1"/>
  <c r="VMQ671" i="3" s="1"/>
  <c r="VMP671" i="3" s="1"/>
  <c r="VMO671" i="3" s="1"/>
  <c r="VMN671" i="3" s="1"/>
  <c r="VMM671" i="3" s="1"/>
  <c r="VML671" i="3" s="1"/>
  <c r="VMK671" i="3" s="1"/>
  <c r="VMJ671" i="3" s="1"/>
  <c r="VMI671" i="3" s="1"/>
  <c r="VMH671" i="3" s="1"/>
  <c r="VMG671" i="3" s="1"/>
  <c r="VMF671" i="3" s="1"/>
  <c r="VME671" i="3" s="1"/>
  <c r="VMD671" i="3" s="1"/>
  <c r="VMC671" i="3" s="1"/>
  <c r="VMB671" i="3" s="1"/>
  <c r="VMA671" i="3" s="1"/>
  <c r="VLZ671" i="3" s="1"/>
  <c r="VLY671" i="3" s="1"/>
  <c r="VLX671" i="3" s="1"/>
  <c r="VLW671" i="3" s="1"/>
  <c r="VLV671" i="3" s="1"/>
  <c r="VLU671" i="3" s="1"/>
  <c r="VLT671" i="3" s="1"/>
  <c r="VLS671" i="3" s="1"/>
  <c r="VLR671" i="3" s="1"/>
  <c r="VLQ671" i="3" s="1"/>
  <c r="VLP671" i="3" s="1"/>
  <c r="VLO671" i="3" s="1"/>
  <c r="VLN671" i="3" s="1"/>
  <c r="VLM671" i="3" s="1"/>
  <c r="VLL671" i="3" s="1"/>
  <c r="VLK671" i="3" s="1"/>
  <c r="VLJ671" i="3" s="1"/>
  <c r="VLI671" i="3" s="1"/>
  <c r="VLH671" i="3" s="1"/>
  <c r="VLG671" i="3" s="1"/>
  <c r="VLF671" i="3" s="1"/>
  <c r="VLE671" i="3" s="1"/>
  <c r="VLD671" i="3" s="1"/>
  <c r="VLC671" i="3" s="1"/>
  <c r="VLB671" i="3" s="1"/>
  <c r="VLA671" i="3" s="1"/>
  <c r="VKZ671" i="3" s="1"/>
  <c r="VKY671" i="3" s="1"/>
  <c r="VKX671" i="3" s="1"/>
  <c r="VKW671" i="3" s="1"/>
  <c r="VKV671" i="3" s="1"/>
  <c r="VKU671" i="3" s="1"/>
  <c r="VKT671" i="3" s="1"/>
  <c r="VKS671" i="3" s="1"/>
  <c r="VKR671" i="3" s="1"/>
  <c r="VKQ671" i="3" s="1"/>
  <c r="VKP671" i="3" s="1"/>
  <c r="VKO671" i="3" s="1"/>
  <c r="VKN671" i="3" s="1"/>
  <c r="VKM671" i="3" s="1"/>
  <c r="VKL671" i="3" s="1"/>
  <c r="VKK671" i="3" s="1"/>
  <c r="VKJ671" i="3" s="1"/>
  <c r="VKI671" i="3" s="1"/>
  <c r="VKH671" i="3" s="1"/>
  <c r="VKG671" i="3" s="1"/>
  <c r="VKF671" i="3" s="1"/>
  <c r="VKE671" i="3" s="1"/>
  <c r="VKD671" i="3" s="1"/>
  <c r="VKC671" i="3" s="1"/>
  <c r="VKB671" i="3" s="1"/>
  <c r="VKA671" i="3" s="1"/>
  <c r="VJZ671" i="3" s="1"/>
  <c r="VJY671" i="3" s="1"/>
  <c r="VJX671" i="3" s="1"/>
  <c r="VJW671" i="3" s="1"/>
  <c r="VJV671" i="3" s="1"/>
  <c r="VJU671" i="3" s="1"/>
  <c r="VJT671" i="3" s="1"/>
  <c r="VJS671" i="3" s="1"/>
  <c r="VJR671" i="3" s="1"/>
  <c r="VJQ671" i="3" s="1"/>
  <c r="VJP671" i="3" s="1"/>
  <c r="VJO671" i="3" s="1"/>
  <c r="VJN671" i="3" s="1"/>
  <c r="VJM671" i="3" s="1"/>
  <c r="VJL671" i="3" s="1"/>
  <c r="VJK671" i="3" s="1"/>
  <c r="VJJ671" i="3" s="1"/>
  <c r="VJI671" i="3" s="1"/>
  <c r="VJH671" i="3" s="1"/>
  <c r="VJG671" i="3" s="1"/>
  <c r="VJF671" i="3" s="1"/>
  <c r="VJE671" i="3" s="1"/>
  <c r="VJD671" i="3" s="1"/>
  <c r="VJC671" i="3" s="1"/>
  <c r="VJB671" i="3" s="1"/>
  <c r="VJA671" i="3" s="1"/>
  <c r="VIZ671" i="3" s="1"/>
  <c r="VIY671" i="3" s="1"/>
  <c r="VIX671" i="3" s="1"/>
  <c r="VIW671" i="3" s="1"/>
  <c r="VIV671" i="3" s="1"/>
  <c r="VIU671" i="3" s="1"/>
  <c r="VIT671" i="3" s="1"/>
  <c r="VIS671" i="3" s="1"/>
  <c r="VIR671" i="3" s="1"/>
  <c r="VIQ671" i="3" s="1"/>
  <c r="VIP671" i="3" s="1"/>
  <c r="VIO671" i="3" s="1"/>
  <c r="VIN671" i="3" s="1"/>
  <c r="VIM671" i="3" s="1"/>
  <c r="VIL671" i="3" s="1"/>
  <c r="VIK671" i="3" s="1"/>
  <c r="VIJ671" i="3" s="1"/>
  <c r="VII671" i="3" s="1"/>
  <c r="VIH671" i="3" s="1"/>
  <c r="VIG671" i="3" s="1"/>
  <c r="VIF671" i="3" s="1"/>
  <c r="VIE671" i="3" s="1"/>
  <c r="VID671" i="3" s="1"/>
  <c r="VIC671" i="3" s="1"/>
  <c r="VIB671" i="3" s="1"/>
  <c r="VIA671" i="3" s="1"/>
  <c r="VHZ671" i="3" s="1"/>
  <c r="VHY671" i="3" s="1"/>
  <c r="VHX671" i="3" s="1"/>
  <c r="VHW671" i="3" s="1"/>
  <c r="VHV671" i="3" s="1"/>
  <c r="VHU671" i="3" s="1"/>
  <c r="VHT671" i="3" s="1"/>
  <c r="VHS671" i="3" s="1"/>
  <c r="VHR671" i="3" s="1"/>
  <c r="VHQ671" i="3" s="1"/>
  <c r="VHP671" i="3" s="1"/>
  <c r="VHO671" i="3" s="1"/>
  <c r="VHN671" i="3" s="1"/>
  <c r="VHM671" i="3" s="1"/>
  <c r="VHL671" i="3" s="1"/>
  <c r="VHK671" i="3" s="1"/>
  <c r="VHJ671" i="3" s="1"/>
  <c r="VHI671" i="3" s="1"/>
  <c r="VHH671" i="3" s="1"/>
  <c r="VHG671" i="3" s="1"/>
  <c r="VHF671" i="3" s="1"/>
  <c r="VHE671" i="3" s="1"/>
  <c r="VHD671" i="3" s="1"/>
  <c r="VHC671" i="3" s="1"/>
  <c r="VHB671" i="3" s="1"/>
  <c r="VHA671" i="3" s="1"/>
  <c r="VGZ671" i="3" s="1"/>
  <c r="VGY671" i="3" s="1"/>
  <c r="VGX671" i="3" s="1"/>
  <c r="VGW671" i="3" s="1"/>
  <c r="VGV671" i="3" s="1"/>
  <c r="VGU671" i="3" s="1"/>
  <c r="VGT671" i="3" s="1"/>
  <c r="VGS671" i="3" s="1"/>
  <c r="VGR671" i="3" s="1"/>
  <c r="VGQ671" i="3" s="1"/>
  <c r="VGP671" i="3" s="1"/>
  <c r="VGO671" i="3" s="1"/>
  <c r="VGN671" i="3" s="1"/>
  <c r="VGM671" i="3" s="1"/>
  <c r="VGL671" i="3" s="1"/>
  <c r="VGK671" i="3" s="1"/>
  <c r="VGJ671" i="3" s="1"/>
  <c r="VGI671" i="3" s="1"/>
  <c r="VGH671" i="3" s="1"/>
  <c r="VGG671" i="3" s="1"/>
  <c r="VGF671" i="3" s="1"/>
  <c r="VGE671" i="3" s="1"/>
  <c r="VGD671" i="3" s="1"/>
  <c r="VGC671" i="3" s="1"/>
  <c r="VGB671" i="3" s="1"/>
  <c r="VGA671" i="3" s="1"/>
  <c r="VFZ671" i="3" s="1"/>
  <c r="VFY671" i="3" s="1"/>
  <c r="VFX671" i="3" s="1"/>
  <c r="VFW671" i="3" s="1"/>
  <c r="VFV671" i="3" s="1"/>
  <c r="VFU671" i="3" s="1"/>
  <c r="VFT671" i="3" s="1"/>
  <c r="VFS671" i="3" s="1"/>
  <c r="VFR671" i="3" s="1"/>
  <c r="VFQ671" i="3" s="1"/>
  <c r="VFP671" i="3" s="1"/>
  <c r="VFO671" i="3" s="1"/>
  <c r="VFN671" i="3" s="1"/>
  <c r="VFM671" i="3" s="1"/>
  <c r="VFL671" i="3" s="1"/>
  <c r="VFK671" i="3" s="1"/>
  <c r="VFJ671" i="3" s="1"/>
  <c r="VFI671" i="3" s="1"/>
  <c r="VFH671" i="3" s="1"/>
  <c r="VFG671" i="3" s="1"/>
  <c r="VFF671" i="3" s="1"/>
  <c r="VFE671" i="3" s="1"/>
  <c r="VFD671" i="3" s="1"/>
  <c r="VFC671" i="3" s="1"/>
  <c r="VFB671" i="3" s="1"/>
  <c r="VFA671" i="3" s="1"/>
  <c r="VEZ671" i="3" s="1"/>
  <c r="VEY671" i="3" s="1"/>
  <c r="VEX671" i="3" s="1"/>
  <c r="VEW671" i="3" s="1"/>
  <c r="VEV671" i="3" s="1"/>
  <c r="VEU671" i="3" s="1"/>
  <c r="VET671" i="3" s="1"/>
  <c r="VES671" i="3" s="1"/>
  <c r="VER671" i="3" s="1"/>
  <c r="VEQ671" i="3" s="1"/>
  <c r="VEP671" i="3" s="1"/>
  <c r="VEO671" i="3" s="1"/>
  <c r="VEN671" i="3" s="1"/>
  <c r="VEM671" i="3" s="1"/>
  <c r="VEL671" i="3" s="1"/>
  <c r="VEK671" i="3" s="1"/>
  <c r="VEJ671" i="3" s="1"/>
  <c r="VEI671" i="3" s="1"/>
  <c r="VEH671" i="3" s="1"/>
  <c r="VEG671" i="3" s="1"/>
  <c r="VEF671" i="3" s="1"/>
  <c r="VEE671" i="3" s="1"/>
  <c r="VED671" i="3" s="1"/>
  <c r="VEC671" i="3" s="1"/>
  <c r="VEB671" i="3" s="1"/>
  <c r="VEA671" i="3" s="1"/>
  <c r="VDZ671" i="3" s="1"/>
  <c r="VDY671" i="3" s="1"/>
  <c r="VDX671" i="3" s="1"/>
  <c r="VDW671" i="3" s="1"/>
  <c r="VDV671" i="3" s="1"/>
  <c r="VDU671" i="3" s="1"/>
  <c r="VDT671" i="3" s="1"/>
  <c r="VDS671" i="3" s="1"/>
  <c r="VDR671" i="3" s="1"/>
  <c r="VDQ671" i="3" s="1"/>
  <c r="VDP671" i="3" s="1"/>
  <c r="VDO671" i="3" s="1"/>
  <c r="VDN671" i="3" s="1"/>
  <c r="VDM671" i="3" s="1"/>
  <c r="VDL671" i="3" s="1"/>
  <c r="VDK671" i="3" s="1"/>
  <c r="VDJ671" i="3" s="1"/>
  <c r="VDI671" i="3" s="1"/>
  <c r="VDH671" i="3" s="1"/>
  <c r="VDG671" i="3" s="1"/>
  <c r="VDF671" i="3" s="1"/>
  <c r="VDE671" i="3" s="1"/>
  <c r="VDD671" i="3" s="1"/>
  <c r="VDC671" i="3" s="1"/>
  <c r="VDB671" i="3" s="1"/>
  <c r="VDA671" i="3" s="1"/>
  <c r="VCZ671" i="3" s="1"/>
  <c r="VCY671" i="3" s="1"/>
  <c r="VCX671" i="3" s="1"/>
  <c r="VCW671" i="3" s="1"/>
  <c r="VCV671" i="3" s="1"/>
  <c r="VCU671" i="3" s="1"/>
  <c r="VCT671" i="3" s="1"/>
  <c r="VCS671" i="3" s="1"/>
  <c r="VCR671" i="3" s="1"/>
  <c r="VCQ671" i="3" s="1"/>
  <c r="VCP671" i="3" s="1"/>
  <c r="VCO671" i="3" s="1"/>
  <c r="VCN671" i="3" s="1"/>
  <c r="VCM671" i="3" s="1"/>
  <c r="VCL671" i="3" s="1"/>
  <c r="VCK671" i="3" s="1"/>
  <c r="VCJ671" i="3" s="1"/>
  <c r="VCI671" i="3" s="1"/>
  <c r="VCH671" i="3" s="1"/>
  <c r="VCG671" i="3" s="1"/>
  <c r="VCF671" i="3" s="1"/>
  <c r="VCE671" i="3" s="1"/>
  <c r="VCD671" i="3" s="1"/>
  <c r="VCC671" i="3" s="1"/>
  <c r="VCB671" i="3" s="1"/>
  <c r="VCA671" i="3" s="1"/>
  <c r="VBZ671" i="3" s="1"/>
  <c r="VBY671" i="3" s="1"/>
  <c r="VBX671" i="3" s="1"/>
  <c r="VBW671" i="3" s="1"/>
  <c r="VBV671" i="3" s="1"/>
  <c r="VBU671" i="3" s="1"/>
  <c r="VBT671" i="3" s="1"/>
  <c r="VBS671" i="3" s="1"/>
  <c r="VBR671" i="3" s="1"/>
  <c r="VBQ671" i="3" s="1"/>
  <c r="VBP671" i="3" s="1"/>
  <c r="VBO671" i="3" s="1"/>
  <c r="VBN671" i="3" s="1"/>
  <c r="VBM671" i="3" s="1"/>
  <c r="VBL671" i="3" s="1"/>
  <c r="VBK671" i="3" s="1"/>
  <c r="VBJ671" i="3" s="1"/>
  <c r="VBI671" i="3" s="1"/>
  <c r="VBH671" i="3" s="1"/>
  <c r="VBG671" i="3" s="1"/>
  <c r="VBF671" i="3" s="1"/>
  <c r="VBE671" i="3" s="1"/>
  <c r="VBD671" i="3" s="1"/>
  <c r="VBC671" i="3" s="1"/>
  <c r="VBB671" i="3" s="1"/>
  <c r="VBA671" i="3" s="1"/>
  <c r="VAZ671" i="3" s="1"/>
  <c r="VAY671" i="3" s="1"/>
  <c r="VAX671" i="3" s="1"/>
  <c r="VAW671" i="3" s="1"/>
  <c r="VAV671" i="3" s="1"/>
  <c r="VAU671" i="3" s="1"/>
  <c r="VAT671" i="3" s="1"/>
  <c r="VAS671" i="3" s="1"/>
  <c r="VAR671" i="3" s="1"/>
  <c r="VAQ671" i="3" s="1"/>
  <c r="VAP671" i="3" s="1"/>
  <c r="VAO671" i="3" s="1"/>
  <c r="VAN671" i="3" s="1"/>
  <c r="VAM671" i="3" s="1"/>
  <c r="VAL671" i="3" s="1"/>
  <c r="VAK671" i="3" s="1"/>
  <c r="VAJ671" i="3" s="1"/>
  <c r="VAI671" i="3" s="1"/>
  <c r="VAH671" i="3" s="1"/>
  <c r="VAG671" i="3" s="1"/>
  <c r="VAF671" i="3" s="1"/>
  <c r="VAE671" i="3" s="1"/>
  <c r="VAD671" i="3" s="1"/>
  <c r="VAC671" i="3" s="1"/>
  <c r="VAB671" i="3" s="1"/>
  <c r="VAA671" i="3" s="1"/>
  <c r="UZZ671" i="3" s="1"/>
  <c r="UZY671" i="3" s="1"/>
  <c r="UZX671" i="3" s="1"/>
  <c r="UZW671" i="3" s="1"/>
  <c r="UZV671" i="3" s="1"/>
  <c r="UZU671" i="3" s="1"/>
  <c r="UZT671" i="3" s="1"/>
  <c r="UZS671" i="3" s="1"/>
  <c r="UZR671" i="3" s="1"/>
  <c r="UZQ671" i="3" s="1"/>
  <c r="UZP671" i="3" s="1"/>
  <c r="UZO671" i="3" s="1"/>
  <c r="UZN671" i="3" s="1"/>
  <c r="UZM671" i="3" s="1"/>
  <c r="UZL671" i="3" s="1"/>
  <c r="UZK671" i="3" s="1"/>
  <c r="UZJ671" i="3" s="1"/>
  <c r="UZI671" i="3" s="1"/>
  <c r="UZH671" i="3" s="1"/>
  <c r="UZG671" i="3" s="1"/>
  <c r="UZF671" i="3" s="1"/>
  <c r="UZE671" i="3" s="1"/>
  <c r="UZD671" i="3" s="1"/>
  <c r="UZC671" i="3" s="1"/>
  <c r="UZB671" i="3" s="1"/>
  <c r="UZA671" i="3" s="1"/>
  <c r="UYZ671" i="3" s="1"/>
  <c r="UYY671" i="3" s="1"/>
  <c r="UYX671" i="3" s="1"/>
  <c r="UYW671" i="3" s="1"/>
  <c r="UYV671" i="3" s="1"/>
  <c r="UYU671" i="3" s="1"/>
  <c r="UYT671" i="3" s="1"/>
  <c r="UYS671" i="3" s="1"/>
  <c r="UYR671" i="3" s="1"/>
  <c r="UYQ671" i="3" s="1"/>
  <c r="UYP671" i="3" s="1"/>
  <c r="UYO671" i="3" s="1"/>
  <c r="UYN671" i="3" s="1"/>
  <c r="UYM671" i="3" s="1"/>
  <c r="UYL671" i="3" s="1"/>
  <c r="UYK671" i="3" s="1"/>
  <c r="UYJ671" i="3" s="1"/>
  <c r="UYI671" i="3" s="1"/>
  <c r="UYH671" i="3" s="1"/>
  <c r="UYG671" i="3" s="1"/>
  <c r="UYF671" i="3" s="1"/>
  <c r="UYE671" i="3" s="1"/>
  <c r="UYD671" i="3" s="1"/>
  <c r="UYC671" i="3" s="1"/>
  <c r="UYB671" i="3" s="1"/>
  <c r="UYA671" i="3" s="1"/>
  <c r="UXZ671" i="3" s="1"/>
  <c r="UXY671" i="3" s="1"/>
  <c r="UXX671" i="3" s="1"/>
  <c r="UXW671" i="3" s="1"/>
  <c r="UXV671" i="3" s="1"/>
  <c r="UXU671" i="3" s="1"/>
  <c r="UXT671" i="3" s="1"/>
  <c r="UXS671" i="3" s="1"/>
  <c r="UXR671" i="3" s="1"/>
  <c r="UXQ671" i="3" s="1"/>
  <c r="UXP671" i="3" s="1"/>
  <c r="UXO671" i="3" s="1"/>
  <c r="UXN671" i="3" s="1"/>
  <c r="UXM671" i="3" s="1"/>
  <c r="UXL671" i="3" s="1"/>
  <c r="UXK671" i="3" s="1"/>
  <c r="UXJ671" i="3" s="1"/>
  <c r="UXI671" i="3" s="1"/>
  <c r="UXH671" i="3" s="1"/>
  <c r="UXG671" i="3" s="1"/>
  <c r="UXF671" i="3" s="1"/>
  <c r="UXE671" i="3" s="1"/>
  <c r="UXD671" i="3" s="1"/>
  <c r="UXC671" i="3" s="1"/>
  <c r="UXB671" i="3" s="1"/>
  <c r="UXA671" i="3" s="1"/>
  <c r="UWZ671" i="3" s="1"/>
  <c r="UWY671" i="3" s="1"/>
  <c r="UWX671" i="3" s="1"/>
  <c r="UWW671" i="3" s="1"/>
  <c r="UWV671" i="3" s="1"/>
  <c r="UWU671" i="3" s="1"/>
  <c r="UWT671" i="3" s="1"/>
  <c r="UWS671" i="3" s="1"/>
  <c r="UWR671" i="3" s="1"/>
  <c r="UWQ671" i="3" s="1"/>
  <c r="UWP671" i="3" s="1"/>
  <c r="UWO671" i="3" s="1"/>
  <c r="UWN671" i="3" s="1"/>
  <c r="UWM671" i="3" s="1"/>
  <c r="UWL671" i="3" s="1"/>
  <c r="UWK671" i="3" s="1"/>
  <c r="UWJ671" i="3" s="1"/>
  <c r="UWI671" i="3" s="1"/>
  <c r="UWH671" i="3" s="1"/>
  <c r="UWG671" i="3" s="1"/>
  <c r="UWF671" i="3" s="1"/>
  <c r="UWE671" i="3" s="1"/>
  <c r="UWD671" i="3" s="1"/>
  <c r="UWC671" i="3" s="1"/>
  <c r="UWB671" i="3" s="1"/>
  <c r="UWA671" i="3" s="1"/>
  <c r="UVZ671" i="3" s="1"/>
  <c r="UVY671" i="3" s="1"/>
  <c r="UVX671" i="3" s="1"/>
  <c r="UVW671" i="3" s="1"/>
  <c r="UVV671" i="3" s="1"/>
  <c r="UVU671" i="3" s="1"/>
  <c r="UVT671" i="3" s="1"/>
  <c r="UVS671" i="3" s="1"/>
  <c r="UVR671" i="3" s="1"/>
  <c r="UVQ671" i="3" s="1"/>
  <c r="UVP671" i="3" s="1"/>
  <c r="UVO671" i="3" s="1"/>
  <c r="UVN671" i="3" s="1"/>
  <c r="UVM671" i="3" s="1"/>
  <c r="UVL671" i="3" s="1"/>
  <c r="UVK671" i="3" s="1"/>
  <c r="UVJ671" i="3" s="1"/>
  <c r="UVI671" i="3" s="1"/>
  <c r="UVH671" i="3" s="1"/>
  <c r="UVG671" i="3" s="1"/>
  <c r="UVF671" i="3" s="1"/>
  <c r="UVE671" i="3" s="1"/>
  <c r="UVD671" i="3" s="1"/>
  <c r="UVC671" i="3" s="1"/>
  <c r="UVB671" i="3" s="1"/>
  <c r="UVA671" i="3" s="1"/>
  <c r="UUZ671" i="3" s="1"/>
  <c r="UUY671" i="3" s="1"/>
  <c r="UUX671" i="3" s="1"/>
  <c r="UUW671" i="3" s="1"/>
  <c r="UUV671" i="3" s="1"/>
  <c r="UUU671" i="3" s="1"/>
  <c r="UUT671" i="3" s="1"/>
  <c r="UUS671" i="3" s="1"/>
  <c r="UUR671" i="3" s="1"/>
  <c r="UUQ671" i="3" s="1"/>
  <c r="UUP671" i="3" s="1"/>
  <c r="UUO671" i="3" s="1"/>
  <c r="UUN671" i="3" s="1"/>
  <c r="UUM671" i="3" s="1"/>
  <c r="UUL671" i="3" s="1"/>
  <c r="UUK671" i="3" s="1"/>
  <c r="UUJ671" i="3" s="1"/>
  <c r="UUI671" i="3" s="1"/>
  <c r="UUH671" i="3" s="1"/>
  <c r="UUG671" i="3" s="1"/>
  <c r="UUF671" i="3" s="1"/>
  <c r="UUE671" i="3" s="1"/>
  <c r="UUD671" i="3" s="1"/>
  <c r="UUC671" i="3" s="1"/>
  <c r="UUB671" i="3" s="1"/>
  <c r="UUA671" i="3" s="1"/>
  <c r="UTZ671" i="3" s="1"/>
  <c r="UTY671" i="3" s="1"/>
  <c r="UTX671" i="3" s="1"/>
  <c r="UTW671" i="3" s="1"/>
  <c r="UTV671" i="3" s="1"/>
  <c r="UTU671" i="3" s="1"/>
  <c r="UTT671" i="3" s="1"/>
  <c r="UTS671" i="3" s="1"/>
  <c r="UTR671" i="3" s="1"/>
  <c r="UTQ671" i="3" s="1"/>
  <c r="UTP671" i="3" s="1"/>
  <c r="UTO671" i="3" s="1"/>
  <c r="UTN671" i="3" s="1"/>
  <c r="UTM671" i="3" s="1"/>
  <c r="UTL671" i="3" s="1"/>
  <c r="UTK671" i="3" s="1"/>
  <c r="UTJ671" i="3" s="1"/>
  <c r="UTI671" i="3" s="1"/>
  <c r="UTH671" i="3" s="1"/>
  <c r="UTG671" i="3" s="1"/>
  <c r="UTF671" i="3" s="1"/>
  <c r="UTE671" i="3" s="1"/>
  <c r="UTD671" i="3" s="1"/>
  <c r="UTC671" i="3" s="1"/>
  <c r="UTB671" i="3" s="1"/>
  <c r="UTA671" i="3" s="1"/>
  <c r="USZ671" i="3" s="1"/>
  <c r="USY671" i="3" s="1"/>
  <c r="USX671" i="3" s="1"/>
  <c r="USW671" i="3" s="1"/>
  <c r="USV671" i="3" s="1"/>
  <c r="USU671" i="3" s="1"/>
  <c r="UST671" i="3" s="1"/>
  <c r="USS671" i="3" s="1"/>
  <c r="USR671" i="3" s="1"/>
  <c r="USQ671" i="3" s="1"/>
  <c r="USP671" i="3" s="1"/>
  <c r="USO671" i="3" s="1"/>
  <c r="USN671" i="3" s="1"/>
  <c r="USM671" i="3" s="1"/>
  <c r="USL671" i="3" s="1"/>
  <c r="USK671" i="3" s="1"/>
  <c r="USJ671" i="3" s="1"/>
  <c r="USI671" i="3" s="1"/>
  <c r="USH671" i="3" s="1"/>
  <c r="USG671" i="3" s="1"/>
  <c r="USF671" i="3" s="1"/>
  <c r="USE671" i="3" s="1"/>
  <c r="USD671" i="3" s="1"/>
  <c r="USC671" i="3" s="1"/>
  <c r="USB671" i="3" s="1"/>
  <c r="USA671" i="3" s="1"/>
  <c r="URZ671" i="3" s="1"/>
  <c r="URY671" i="3" s="1"/>
  <c r="URX671" i="3" s="1"/>
  <c r="URW671" i="3" s="1"/>
  <c r="URV671" i="3" s="1"/>
  <c r="URU671" i="3" s="1"/>
  <c r="URT671" i="3" s="1"/>
  <c r="URS671" i="3" s="1"/>
  <c r="URR671" i="3" s="1"/>
  <c r="URQ671" i="3" s="1"/>
  <c r="URP671" i="3" s="1"/>
  <c r="URO671" i="3" s="1"/>
  <c r="URN671" i="3" s="1"/>
  <c r="URM671" i="3" s="1"/>
  <c r="URL671" i="3" s="1"/>
  <c r="URK671" i="3" s="1"/>
  <c r="URJ671" i="3" s="1"/>
  <c r="URI671" i="3" s="1"/>
  <c r="URH671" i="3" s="1"/>
  <c r="URG671" i="3" s="1"/>
  <c r="URF671" i="3" s="1"/>
  <c r="URE671" i="3" s="1"/>
  <c r="URD671" i="3" s="1"/>
  <c r="URC671" i="3" s="1"/>
  <c r="URB671" i="3" s="1"/>
  <c r="URA671" i="3" s="1"/>
  <c r="UQZ671" i="3" s="1"/>
  <c r="UQY671" i="3" s="1"/>
  <c r="UQX671" i="3" s="1"/>
  <c r="UQW671" i="3" s="1"/>
  <c r="UQV671" i="3" s="1"/>
  <c r="UQU671" i="3" s="1"/>
  <c r="UQT671" i="3" s="1"/>
  <c r="UQS671" i="3" s="1"/>
  <c r="UQR671" i="3" s="1"/>
  <c r="UQQ671" i="3" s="1"/>
  <c r="UQP671" i="3" s="1"/>
  <c r="UQO671" i="3" s="1"/>
  <c r="UQN671" i="3" s="1"/>
  <c r="UQM671" i="3" s="1"/>
  <c r="UQL671" i="3" s="1"/>
  <c r="UQK671" i="3" s="1"/>
  <c r="UQJ671" i="3" s="1"/>
  <c r="UQI671" i="3" s="1"/>
  <c r="UQH671" i="3" s="1"/>
  <c r="UQG671" i="3" s="1"/>
  <c r="UQF671" i="3" s="1"/>
  <c r="UQE671" i="3" s="1"/>
  <c r="UQD671" i="3" s="1"/>
  <c r="UQC671" i="3" s="1"/>
  <c r="UQB671" i="3" s="1"/>
  <c r="UQA671" i="3" s="1"/>
  <c r="UPZ671" i="3" s="1"/>
  <c r="UPY671" i="3" s="1"/>
  <c r="UPX671" i="3" s="1"/>
  <c r="UPW671" i="3" s="1"/>
  <c r="UPV671" i="3" s="1"/>
  <c r="UPU671" i="3" s="1"/>
  <c r="UPT671" i="3" s="1"/>
  <c r="UPS671" i="3" s="1"/>
  <c r="UPR671" i="3" s="1"/>
  <c r="UPQ671" i="3" s="1"/>
  <c r="UPP671" i="3" s="1"/>
  <c r="UPO671" i="3" s="1"/>
  <c r="UPN671" i="3" s="1"/>
  <c r="UPM671" i="3" s="1"/>
  <c r="UPL671" i="3" s="1"/>
  <c r="UPK671" i="3" s="1"/>
  <c r="UPJ671" i="3" s="1"/>
  <c r="UPI671" i="3" s="1"/>
  <c r="UPH671" i="3" s="1"/>
  <c r="UPG671" i="3" s="1"/>
  <c r="UPF671" i="3" s="1"/>
  <c r="UPE671" i="3" s="1"/>
  <c r="UPD671" i="3" s="1"/>
  <c r="UPC671" i="3" s="1"/>
  <c r="UPB671" i="3" s="1"/>
  <c r="UPA671" i="3" s="1"/>
  <c r="UOZ671" i="3" s="1"/>
  <c r="UOY671" i="3" s="1"/>
  <c r="UOX671" i="3" s="1"/>
  <c r="UOW671" i="3" s="1"/>
  <c r="UOV671" i="3" s="1"/>
  <c r="UOU671" i="3" s="1"/>
  <c r="UOT671" i="3" s="1"/>
  <c r="UOS671" i="3" s="1"/>
  <c r="UOR671" i="3" s="1"/>
  <c r="UOQ671" i="3" s="1"/>
  <c r="UOP671" i="3" s="1"/>
  <c r="UOO671" i="3" s="1"/>
  <c r="UON671" i="3" s="1"/>
  <c r="UOM671" i="3" s="1"/>
  <c r="UOL671" i="3" s="1"/>
  <c r="UOK671" i="3" s="1"/>
  <c r="UOJ671" i="3" s="1"/>
  <c r="UOI671" i="3" s="1"/>
  <c r="UOH671" i="3" s="1"/>
  <c r="UOG671" i="3" s="1"/>
  <c r="UOF671" i="3" s="1"/>
  <c r="UOE671" i="3" s="1"/>
  <c r="UOD671" i="3" s="1"/>
  <c r="UOC671" i="3" s="1"/>
  <c r="UOB671" i="3" s="1"/>
  <c r="UOA671" i="3" s="1"/>
  <c r="UNZ671" i="3" s="1"/>
  <c r="UNY671" i="3" s="1"/>
  <c r="UNX671" i="3" s="1"/>
  <c r="UNW671" i="3" s="1"/>
  <c r="UNV671" i="3" s="1"/>
  <c r="UNU671" i="3" s="1"/>
  <c r="UNT671" i="3" s="1"/>
  <c r="UNS671" i="3" s="1"/>
  <c r="UNR671" i="3" s="1"/>
  <c r="UNQ671" i="3" s="1"/>
  <c r="UNP671" i="3" s="1"/>
  <c r="UNO671" i="3" s="1"/>
  <c r="UNN671" i="3" s="1"/>
  <c r="UNM671" i="3" s="1"/>
  <c r="UNL671" i="3" s="1"/>
  <c r="UNK671" i="3" s="1"/>
  <c r="UNJ671" i="3" s="1"/>
  <c r="UNI671" i="3" s="1"/>
  <c r="UNH671" i="3" s="1"/>
  <c r="UNG671" i="3" s="1"/>
  <c r="UNF671" i="3" s="1"/>
  <c r="UNE671" i="3" s="1"/>
  <c r="UND671" i="3" s="1"/>
  <c r="UNC671" i="3" s="1"/>
  <c r="UNB671" i="3" s="1"/>
  <c r="UNA671" i="3" s="1"/>
  <c r="UMZ671" i="3" s="1"/>
  <c r="UMY671" i="3" s="1"/>
  <c r="UMX671" i="3" s="1"/>
  <c r="UMW671" i="3" s="1"/>
  <c r="UMV671" i="3" s="1"/>
  <c r="UMU671" i="3" s="1"/>
  <c r="UMT671" i="3" s="1"/>
  <c r="UMS671" i="3" s="1"/>
  <c r="UMR671" i="3" s="1"/>
  <c r="UMQ671" i="3" s="1"/>
  <c r="UMP671" i="3" s="1"/>
  <c r="UMO671" i="3" s="1"/>
  <c r="UMN671" i="3" s="1"/>
  <c r="UMM671" i="3" s="1"/>
  <c r="UML671" i="3" s="1"/>
  <c r="UMK671" i="3" s="1"/>
  <c r="UMJ671" i="3" s="1"/>
  <c r="UMI671" i="3" s="1"/>
  <c r="UMH671" i="3" s="1"/>
  <c r="UMG671" i="3" s="1"/>
  <c r="UMF671" i="3" s="1"/>
  <c r="UME671" i="3" s="1"/>
  <c r="UMD671" i="3" s="1"/>
  <c r="UMC671" i="3" s="1"/>
  <c r="UMB671" i="3" s="1"/>
  <c r="UMA671" i="3" s="1"/>
  <c r="ULZ671" i="3" s="1"/>
  <c r="ULY671" i="3" s="1"/>
  <c r="ULX671" i="3" s="1"/>
  <c r="ULW671" i="3" s="1"/>
  <c r="ULV671" i="3" s="1"/>
  <c r="ULU671" i="3" s="1"/>
  <c r="ULT671" i="3" s="1"/>
  <c r="ULS671" i="3" s="1"/>
  <c r="ULR671" i="3" s="1"/>
  <c r="ULQ671" i="3" s="1"/>
  <c r="ULP671" i="3" s="1"/>
  <c r="ULO671" i="3" s="1"/>
  <c r="ULN671" i="3" s="1"/>
  <c r="ULM671" i="3" s="1"/>
  <c r="ULL671" i="3" s="1"/>
  <c r="ULK671" i="3" s="1"/>
  <c r="ULJ671" i="3" s="1"/>
  <c r="ULI671" i="3" s="1"/>
  <c r="ULH671" i="3" s="1"/>
  <c r="ULG671" i="3" s="1"/>
  <c r="ULF671" i="3" s="1"/>
  <c r="ULE671" i="3" s="1"/>
  <c r="ULD671" i="3" s="1"/>
  <c r="ULC671" i="3" s="1"/>
  <c r="ULB671" i="3" s="1"/>
  <c r="ULA671" i="3" s="1"/>
  <c r="UKZ671" i="3" s="1"/>
  <c r="UKY671" i="3" s="1"/>
  <c r="UKX671" i="3" s="1"/>
  <c r="UKW671" i="3" s="1"/>
  <c r="UKV671" i="3" s="1"/>
  <c r="UKU671" i="3" s="1"/>
  <c r="UKT671" i="3" s="1"/>
  <c r="UKS671" i="3" s="1"/>
  <c r="UKR671" i="3" s="1"/>
  <c r="UKQ671" i="3" s="1"/>
  <c r="UKP671" i="3" s="1"/>
  <c r="UKO671" i="3" s="1"/>
  <c r="UKN671" i="3" s="1"/>
  <c r="UKM671" i="3" s="1"/>
  <c r="UKL671" i="3" s="1"/>
  <c r="UKK671" i="3" s="1"/>
  <c r="UKJ671" i="3" s="1"/>
  <c r="UKI671" i="3" s="1"/>
  <c r="UKH671" i="3" s="1"/>
  <c r="UKG671" i="3" s="1"/>
  <c r="UKF671" i="3" s="1"/>
  <c r="UKE671" i="3" s="1"/>
  <c r="UKD671" i="3" s="1"/>
  <c r="UKC671" i="3" s="1"/>
  <c r="UKB671" i="3" s="1"/>
  <c r="UKA671" i="3" s="1"/>
  <c r="UJZ671" i="3" s="1"/>
  <c r="UJY671" i="3" s="1"/>
  <c r="UJX671" i="3" s="1"/>
  <c r="UJW671" i="3" s="1"/>
  <c r="UJV671" i="3" s="1"/>
  <c r="UJU671" i="3" s="1"/>
  <c r="UJT671" i="3" s="1"/>
  <c r="UJS671" i="3" s="1"/>
  <c r="UJR671" i="3" s="1"/>
  <c r="UJQ671" i="3" s="1"/>
  <c r="UJP671" i="3" s="1"/>
  <c r="UJO671" i="3" s="1"/>
  <c r="UJN671" i="3" s="1"/>
  <c r="UJM671" i="3" s="1"/>
  <c r="UJL671" i="3" s="1"/>
  <c r="UJK671" i="3" s="1"/>
  <c r="UJJ671" i="3" s="1"/>
  <c r="UJI671" i="3" s="1"/>
  <c r="UJH671" i="3" s="1"/>
  <c r="UJG671" i="3" s="1"/>
  <c r="UJF671" i="3" s="1"/>
  <c r="UJE671" i="3" s="1"/>
  <c r="UJD671" i="3" s="1"/>
  <c r="UJC671" i="3" s="1"/>
  <c r="UJB671" i="3" s="1"/>
  <c r="UJA671" i="3" s="1"/>
  <c r="UIZ671" i="3" s="1"/>
  <c r="UIY671" i="3" s="1"/>
  <c r="UIX671" i="3" s="1"/>
  <c r="UIW671" i="3" s="1"/>
  <c r="UIV671" i="3" s="1"/>
  <c r="UIU671" i="3" s="1"/>
  <c r="UIT671" i="3" s="1"/>
  <c r="UIS671" i="3" s="1"/>
  <c r="UIR671" i="3" s="1"/>
  <c r="UIQ671" i="3" s="1"/>
  <c r="UIP671" i="3" s="1"/>
  <c r="UIO671" i="3" s="1"/>
  <c r="UIN671" i="3" s="1"/>
  <c r="UIM671" i="3" s="1"/>
  <c r="UIL671" i="3" s="1"/>
  <c r="UIK671" i="3" s="1"/>
  <c r="UIJ671" i="3" s="1"/>
  <c r="UII671" i="3" s="1"/>
  <c r="UIH671" i="3" s="1"/>
  <c r="UIG671" i="3" s="1"/>
  <c r="UIF671" i="3" s="1"/>
  <c r="UIE671" i="3" s="1"/>
  <c r="UID671" i="3" s="1"/>
  <c r="UIC671" i="3" s="1"/>
  <c r="UIB671" i="3" s="1"/>
  <c r="UIA671" i="3" s="1"/>
  <c r="UHZ671" i="3" s="1"/>
  <c r="UHY671" i="3" s="1"/>
  <c r="UHX671" i="3" s="1"/>
  <c r="UHW671" i="3" s="1"/>
  <c r="UHV671" i="3" s="1"/>
  <c r="UHU671" i="3" s="1"/>
  <c r="UHT671" i="3" s="1"/>
  <c r="UHS671" i="3" s="1"/>
  <c r="UHR671" i="3" s="1"/>
  <c r="UHQ671" i="3" s="1"/>
  <c r="UHP671" i="3" s="1"/>
  <c r="UHO671" i="3" s="1"/>
  <c r="UHN671" i="3" s="1"/>
  <c r="UHM671" i="3" s="1"/>
  <c r="UHL671" i="3" s="1"/>
  <c r="UHK671" i="3" s="1"/>
  <c r="UHJ671" i="3" s="1"/>
  <c r="UHI671" i="3" s="1"/>
  <c r="UHH671" i="3" s="1"/>
  <c r="UHG671" i="3" s="1"/>
  <c r="UHF671" i="3" s="1"/>
  <c r="UHE671" i="3" s="1"/>
  <c r="UHD671" i="3" s="1"/>
  <c r="UHC671" i="3" s="1"/>
  <c r="UHB671" i="3" s="1"/>
  <c r="UHA671" i="3" s="1"/>
  <c r="UGZ671" i="3" s="1"/>
  <c r="UGY671" i="3" s="1"/>
  <c r="UGX671" i="3" s="1"/>
  <c r="UGW671" i="3" s="1"/>
  <c r="UGV671" i="3" s="1"/>
  <c r="UGU671" i="3" s="1"/>
  <c r="UGT671" i="3" s="1"/>
  <c r="UGS671" i="3" s="1"/>
  <c r="UGR671" i="3" s="1"/>
  <c r="UGQ671" i="3" s="1"/>
  <c r="UGP671" i="3" s="1"/>
  <c r="UGO671" i="3" s="1"/>
  <c r="UGN671" i="3" s="1"/>
  <c r="UGM671" i="3" s="1"/>
  <c r="UGL671" i="3" s="1"/>
  <c r="UGK671" i="3" s="1"/>
  <c r="UGJ671" i="3" s="1"/>
  <c r="UGI671" i="3" s="1"/>
  <c r="UGH671" i="3" s="1"/>
  <c r="UGG671" i="3" s="1"/>
  <c r="UGF671" i="3" s="1"/>
  <c r="UGE671" i="3" s="1"/>
  <c r="UGD671" i="3" s="1"/>
  <c r="UGC671" i="3" s="1"/>
  <c r="UGB671" i="3" s="1"/>
  <c r="UGA671" i="3" s="1"/>
  <c r="UFZ671" i="3" s="1"/>
  <c r="UFY671" i="3" s="1"/>
  <c r="UFX671" i="3" s="1"/>
  <c r="UFW671" i="3" s="1"/>
  <c r="UFV671" i="3" s="1"/>
  <c r="UFU671" i="3" s="1"/>
  <c r="UFT671" i="3" s="1"/>
  <c r="UFS671" i="3" s="1"/>
  <c r="UFR671" i="3" s="1"/>
  <c r="UFQ671" i="3" s="1"/>
  <c r="UFP671" i="3" s="1"/>
  <c r="UFO671" i="3" s="1"/>
  <c r="UFN671" i="3" s="1"/>
  <c r="UFM671" i="3" s="1"/>
  <c r="UFL671" i="3" s="1"/>
  <c r="UFK671" i="3" s="1"/>
  <c r="UFJ671" i="3" s="1"/>
  <c r="UFI671" i="3" s="1"/>
  <c r="UFH671" i="3" s="1"/>
  <c r="UFG671" i="3" s="1"/>
  <c r="UFF671" i="3" s="1"/>
  <c r="UFE671" i="3" s="1"/>
  <c r="UFD671" i="3" s="1"/>
  <c r="UFC671" i="3" s="1"/>
  <c r="UFB671" i="3" s="1"/>
  <c r="UFA671" i="3" s="1"/>
  <c r="UEZ671" i="3" s="1"/>
  <c r="UEY671" i="3" s="1"/>
  <c r="UEX671" i="3" s="1"/>
  <c r="UEW671" i="3" s="1"/>
  <c r="UEV671" i="3" s="1"/>
  <c r="UEU671" i="3" s="1"/>
  <c r="UET671" i="3" s="1"/>
  <c r="UES671" i="3" s="1"/>
  <c r="UER671" i="3" s="1"/>
  <c r="UEQ671" i="3" s="1"/>
  <c r="UEP671" i="3" s="1"/>
  <c r="UEO671" i="3" s="1"/>
  <c r="UEN671" i="3" s="1"/>
  <c r="UEM671" i="3" s="1"/>
  <c r="UEL671" i="3" s="1"/>
  <c r="UEK671" i="3" s="1"/>
  <c r="UEJ671" i="3" s="1"/>
  <c r="UEI671" i="3" s="1"/>
  <c r="UEH671" i="3" s="1"/>
  <c r="UEG671" i="3" s="1"/>
  <c r="UEF671" i="3" s="1"/>
  <c r="UEE671" i="3" s="1"/>
  <c r="UED671" i="3" s="1"/>
  <c r="UEC671" i="3" s="1"/>
  <c r="UEB671" i="3" s="1"/>
  <c r="UEA671" i="3" s="1"/>
  <c r="UDZ671" i="3" s="1"/>
  <c r="UDY671" i="3" s="1"/>
  <c r="UDX671" i="3" s="1"/>
  <c r="UDW671" i="3" s="1"/>
  <c r="UDV671" i="3" s="1"/>
  <c r="UDU671" i="3" s="1"/>
  <c r="UDT671" i="3" s="1"/>
  <c r="UDS671" i="3" s="1"/>
  <c r="UDR671" i="3" s="1"/>
  <c r="UDQ671" i="3" s="1"/>
  <c r="UDP671" i="3" s="1"/>
  <c r="UDO671" i="3" s="1"/>
  <c r="UDN671" i="3" s="1"/>
  <c r="UDM671" i="3" s="1"/>
  <c r="UDL671" i="3" s="1"/>
  <c r="UDK671" i="3" s="1"/>
  <c r="UDJ671" i="3" s="1"/>
  <c r="UDI671" i="3" s="1"/>
  <c r="UDH671" i="3" s="1"/>
  <c r="UDG671" i="3" s="1"/>
  <c r="UDF671" i="3" s="1"/>
  <c r="UDE671" i="3" s="1"/>
  <c r="UDD671" i="3" s="1"/>
  <c r="UDC671" i="3" s="1"/>
  <c r="UDB671" i="3" s="1"/>
  <c r="UDA671" i="3" s="1"/>
  <c r="UCZ671" i="3" s="1"/>
  <c r="UCY671" i="3" s="1"/>
  <c r="UCX671" i="3" s="1"/>
  <c r="UCW671" i="3" s="1"/>
  <c r="UCV671" i="3" s="1"/>
  <c r="UCU671" i="3" s="1"/>
  <c r="UCT671" i="3" s="1"/>
  <c r="UCS671" i="3" s="1"/>
  <c r="UCR671" i="3" s="1"/>
  <c r="UCQ671" i="3" s="1"/>
  <c r="UCP671" i="3" s="1"/>
  <c r="UCO671" i="3" s="1"/>
  <c r="UCN671" i="3" s="1"/>
  <c r="UCM671" i="3" s="1"/>
  <c r="UCL671" i="3" s="1"/>
  <c r="UCK671" i="3" s="1"/>
  <c r="UCJ671" i="3" s="1"/>
  <c r="UCI671" i="3" s="1"/>
  <c r="UCH671" i="3" s="1"/>
  <c r="UCG671" i="3" s="1"/>
  <c r="UCF671" i="3" s="1"/>
  <c r="UCE671" i="3" s="1"/>
  <c r="UCD671" i="3" s="1"/>
  <c r="UCC671" i="3" s="1"/>
  <c r="UCB671" i="3" s="1"/>
  <c r="UCA671" i="3" s="1"/>
  <c r="UBZ671" i="3" s="1"/>
  <c r="UBY671" i="3" s="1"/>
  <c r="UBX671" i="3" s="1"/>
  <c r="UBW671" i="3" s="1"/>
  <c r="UBV671" i="3" s="1"/>
  <c r="UBU671" i="3" s="1"/>
  <c r="UBT671" i="3" s="1"/>
  <c r="UBS671" i="3" s="1"/>
  <c r="UBR671" i="3" s="1"/>
  <c r="UBQ671" i="3" s="1"/>
  <c r="UBP671" i="3" s="1"/>
  <c r="UBO671" i="3" s="1"/>
  <c r="UBN671" i="3" s="1"/>
  <c r="UBM671" i="3" s="1"/>
  <c r="UBL671" i="3" s="1"/>
  <c r="UBK671" i="3" s="1"/>
  <c r="UBJ671" i="3" s="1"/>
  <c r="UBI671" i="3" s="1"/>
  <c r="UBH671" i="3" s="1"/>
  <c r="UBG671" i="3" s="1"/>
  <c r="UBF671" i="3" s="1"/>
  <c r="UBE671" i="3" s="1"/>
  <c r="UBD671" i="3" s="1"/>
  <c r="UBC671" i="3" s="1"/>
  <c r="UBB671" i="3" s="1"/>
  <c r="UBA671" i="3" s="1"/>
  <c r="UAZ671" i="3" s="1"/>
  <c r="UAY671" i="3" s="1"/>
  <c r="UAX671" i="3" s="1"/>
  <c r="UAW671" i="3" s="1"/>
  <c r="UAV671" i="3" s="1"/>
  <c r="UAU671" i="3" s="1"/>
  <c r="UAT671" i="3" s="1"/>
  <c r="UAS671" i="3" s="1"/>
  <c r="UAR671" i="3" s="1"/>
  <c r="UAQ671" i="3" s="1"/>
  <c r="UAP671" i="3" s="1"/>
  <c r="UAO671" i="3" s="1"/>
  <c r="UAN671" i="3" s="1"/>
  <c r="UAM671" i="3" s="1"/>
  <c r="UAL671" i="3" s="1"/>
  <c r="UAK671" i="3" s="1"/>
  <c r="UAJ671" i="3" s="1"/>
  <c r="UAI671" i="3" s="1"/>
  <c r="UAH671" i="3" s="1"/>
  <c r="UAG671" i="3" s="1"/>
  <c r="UAF671" i="3" s="1"/>
  <c r="UAE671" i="3" s="1"/>
  <c r="UAD671" i="3" s="1"/>
  <c r="UAC671" i="3" s="1"/>
  <c r="UAB671" i="3" s="1"/>
  <c r="UAA671" i="3" s="1"/>
  <c r="TZZ671" i="3" s="1"/>
  <c r="TZY671" i="3" s="1"/>
  <c r="TZX671" i="3" s="1"/>
  <c r="TZW671" i="3" s="1"/>
  <c r="TZV671" i="3" s="1"/>
  <c r="TZU671" i="3" s="1"/>
  <c r="TZT671" i="3" s="1"/>
  <c r="TZS671" i="3" s="1"/>
  <c r="TZR671" i="3" s="1"/>
  <c r="TZQ671" i="3" s="1"/>
  <c r="TZP671" i="3" s="1"/>
  <c r="TZO671" i="3" s="1"/>
  <c r="TZN671" i="3" s="1"/>
  <c r="TZM671" i="3" s="1"/>
  <c r="TZL671" i="3" s="1"/>
  <c r="TZK671" i="3" s="1"/>
  <c r="TZJ671" i="3" s="1"/>
  <c r="TZI671" i="3" s="1"/>
  <c r="TZH671" i="3" s="1"/>
  <c r="TZG671" i="3" s="1"/>
  <c r="TZF671" i="3" s="1"/>
  <c r="TZE671" i="3" s="1"/>
  <c r="TZD671" i="3" s="1"/>
  <c r="TZC671" i="3" s="1"/>
  <c r="TZB671" i="3" s="1"/>
  <c r="TZA671" i="3" s="1"/>
  <c r="TYZ671" i="3" s="1"/>
  <c r="TYY671" i="3" s="1"/>
  <c r="TYX671" i="3" s="1"/>
  <c r="TYW671" i="3" s="1"/>
  <c r="TYV671" i="3" s="1"/>
  <c r="TYU671" i="3" s="1"/>
  <c r="TYT671" i="3" s="1"/>
  <c r="TYS671" i="3" s="1"/>
  <c r="TYR671" i="3" s="1"/>
  <c r="TYQ671" i="3" s="1"/>
  <c r="TYP671" i="3" s="1"/>
  <c r="TYO671" i="3" s="1"/>
  <c r="TYN671" i="3" s="1"/>
  <c r="TYM671" i="3" s="1"/>
  <c r="TYL671" i="3" s="1"/>
  <c r="TYK671" i="3" s="1"/>
  <c r="TYJ671" i="3" s="1"/>
  <c r="TYI671" i="3" s="1"/>
  <c r="TYH671" i="3" s="1"/>
  <c r="TYG671" i="3" s="1"/>
  <c r="TYF671" i="3" s="1"/>
  <c r="TYE671" i="3" s="1"/>
  <c r="TYD671" i="3" s="1"/>
  <c r="TYC671" i="3" s="1"/>
  <c r="TYB671" i="3" s="1"/>
  <c r="TYA671" i="3" s="1"/>
  <c r="TXZ671" i="3" s="1"/>
  <c r="TXY671" i="3" s="1"/>
  <c r="TXX671" i="3" s="1"/>
  <c r="TXW671" i="3" s="1"/>
  <c r="TXV671" i="3" s="1"/>
  <c r="TXU671" i="3" s="1"/>
  <c r="TXT671" i="3" s="1"/>
  <c r="TXS671" i="3" s="1"/>
  <c r="TXR671" i="3" s="1"/>
  <c r="TXQ671" i="3" s="1"/>
  <c r="TXP671" i="3" s="1"/>
  <c r="TXO671" i="3" s="1"/>
  <c r="TXN671" i="3" s="1"/>
  <c r="TXM671" i="3" s="1"/>
  <c r="TXL671" i="3" s="1"/>
  <c r="TXK671" i="3" s="1"/>
  <c r="TXJ671" i="3" s="1"/>
  <c r="TXI671" i="3" s="1"/>
  <c r="TXH671" i="3" s="1"/>
  <c r="TXG671" i="3" s="1"/>
  <c r="TXF671" i="3" s="1"/>
  <c r="TXE671" i="3" s="1"/>
  <c r="TXD671" i="3" s="1"/>
  <c r="TXC671" i="3" s="1"/>
  <c r="TXB671" i="3" s="1"/>
  <c r="TXA671" i="3" s="1"/>
  <c r="TWZ671" i="3" s="1"/>
  <c r="TWY671" i="3" s="1"/>
  <c r="TWX671" i="3" s="1"/>
  <c r="TWW671" i="3" s="1"/>
  <c r="TWV671" i="3" s="1"/>
  <c r="TWU671" i="3" s="1"/>
  <c r="TWT671" i="3" s="1"/>
  <c r="TWS671" i="3" s="1"/>
  <c r="TWR671" i="3" s="1"/>
  <c r="TWQ671" i="3" s="1"/>
  <c r="TWP671" i="3" s="1"/>
  <c r="TWO671" i="3" s="1"/>
  <c r="TWN671" i="3" s="1"/>
  <c r="TWM671" i="3" s="1"/>
  <c r="TWL671" i="3" s="1"/>
  <c r="TWK671" i="3" s="1"/>
  <c r="TWJ671" i="3" s="1"/>
  <c r="TWI671" i="3" s="1"/>
  <c r="TWH671" i="3" s="1"/>
  <c r="TWG671" i="3" s="1"/>
  <c r="TWF671" i="3" s="1"/>
  <c r="TWE671" i="3" s="1"/>
  <c r="TWD671" i="3" s="1"/>
  <c r="TWC671" i="3" s="1"/>
  <c r="TWB671" i="3" s="1"/>
  <c r="TWA671" i="3" s="1"/>
  <c r="TVZ671" i="3" s="1"/>
  <c r="TVY671" i="3" s="1"/>
  <c r="TVX671" i="3" s="1"/>
  <c r="TVW671" i="3" s="1"/>
  <c r="TVV671" i="3" s="1"/>
  <c r="TVU671" i="3" s="1"/>
  <c r="TVT671" i="3" s="1"/>
  <c r="TVS671" i="3" s="1"/>
  <c r="TVR671" i="3" s="1"/>
  <c r="TVQ671" i="3" s="1"/>
  <c r="TVP671" i="3" s="1"/>
  <c r="TVO671" i="3" s="1"/>
  <c r="TVN671" i="3" s="1"/>
  <c r="TVM671" i="3" s="1"/>
  <c r="TVL671" i="3" s="1"/>
  <c r="TVK671" i="3" s="1"/>
  <c r="TVJ671" i="3" s="1"/>
  <c r="TVI671" i="3" s="1"/>
  <c r="TVH671" i="3" s="1"/>
  <c r="TVG671" i="3" s="1"/>
  <c r="TVF671" i="3" s="1"/>
  <c r="TVE671" i="3" s="1"/>
  <c r="TVD671" i="3" s="1"/>
  <c r="TVC671" i="3" s="1"/>
  <c r="TVB671" i="3" s="1"/>
  <c r="TVA671" i="3" s="1"/>
  <c r="TUZ671" i="3" s="1"/>
  <c r="TUY671" i="3" s="1"/>
  <c r="TUX671" i="3" s="1"/>
  <c r="TUW671" i="3" s="1"/>
  <c r="TUV671" i="3" s="1"/>
  <c r="TUU671" i="3" s="1"/>
  <c r="TUT671" i="3" s="1"/>
  <c r="TUS671" i="3" s="1"/>
  <c r="TUR671" i="3" s="1"/>
  <c r="TUQ671" i="3" s="1"/>
  <c r="TUP671" i="3" s="1"/>
  <c r="TUO671" i="3" s="1"/>
  <c r="TUN671" i="3" s="1"/>
  <c r="TUM671" i="3" s="1"/>
  <c r="TUL671" i="3" s="1"/>
  <c r="TUK671" i="3" s="1"/>
  <c r="TUJ671" i="3" s="1"/>
  <c r="TUI671" i="3" s="1"/>
  <c r="TUH671" i="3" s="1"/>
  <c r="TUG671" i="3" s="1"/>
  <c r="TUF671" i="3" s="1"/>
  <c r="TUE671" i="3" s="1"/>
  <c r="TUD671" i="3" s="1"/>
  <c r="TUC671" i="3" s="1"/>
  <c r="TUB671" i="3" s="1"/>
  <c r="TUA671" i="3" s="1"/>
  <c r="TTZ671" i="3" s="1"/>
  <c r="TTY671" i="3" s="1"/>
  <c r="TTX671" i="3" s="1"/>
  <c r="TTW671" i="3" s="1"/>
  <c r="TTV671" i="3" s="1"/>
  <c r="TTU671" i="3" s="1"/>
  <c r="TTT671" i="3" s="1"/>
  <c r="TTS671" i="3" s="1"/>
  <c r="TTR671" i="3" s="1"/>
  <c r="TTQ671" i="3" s="1"/>
  <c r="TTP671" i="3" s="1"/>
  <c r="TTO671" i="3" s="1"/>
  <c r="TTN671" i="3" s="1"/>
  <c r="TTM671" i="3" s="1"/>
  <c r="TTL671" i="3" s="1"/>
  <c r="TTK671" i="3" s="1"/>
  <c r="TTJ671" i="3" s="1"/>
  <c r="TTI671" i="3" s="1"/>
  <c r="TTH671" i="3" s="1"/>
  <c r="TTG671" i="3" s="1"/>
  <c r="TTF671" i="3" s="1"/>
  <c r="TTE671" i="3" s="1"/>
  <c r="TTD671" i="3" s="1"/>
  <c r="TTC671" i="3" s="1"/>
  <c r="TTB671" i="3" s="1"/>
  <c r="TTA671" i="3" s="1"/>
  <c r="TSZ671" i="3" s="1"/>
  <c r="TSY671" i="3" s="1"/>
  <c r="TSX671" i="3" s="1"/>
  <c r="TSW671" i="3" s="1"/>
  <c r="TSV671" i="3" s="1"/>
  <c r="TSU671" i="3" s="1"/>
  <c r="TST671" i="3" s="1"/>
  <c r="TSS671" i="3" s="1"/>
  <c r="TSR671" i="3" s="1"/>
  <c r="TSQ671" i="3" s="1"/>
  <c r="TSP671" i="3" s="1"/>
  <c r="TSO671" i="3" s="1"/>
  <c r="TSN671" i="3" s="1"/>
  <c r="TSM671" i="3" s="1"/>
  <c r="TSL671" i="3" s="1"/>
  <c r="TSK671" i="3" s="1"/>
  <c r="TSJ671" i="3" s="1"/>
  <c r="TSI671" i="3" s="1"/>
  <c r="TSH671" i="3" s="1"/>
  <c r="TSG671" i="3" s="1"/>
  <c r="TSF671" i="3" s="1"/>
  <c r="TSE671" i="3" s="1"/>
  <c r="TSD671" i="3" s="1"/>
  <c r="TSC671" i="3" s="1"/>
  <c r="TSB671" i="3" s="1"/>
  <c r="TSA671" i="3" s="1"/>
  <c r="TRZ671" i="3" s="1"/>
  <c r="TRY671" i="3" s="1"/>
  <c r="TRX671" i="3" s="1"/>
  <c r="TRW671" i="3" s="1"/>
  <c r="TRV671" i="3" s="1"/>
  <c r="TRU671" i="3" s="1"/>
  <c r="TRT671" i="3" s="1"/>
  <c r="TRS671" i="3" s="1"/>
  <c r="TRR671" i="3" s="1"/>
  <c r="TRQ671" i="3" s="1"/>
  <c r="TRP671" i="3" s="1"/>
  <c r="TRO671" i="3" s="1"/>
  <c r="TRN671" i="3" s="1"/>
  <c r="TRM671" i="3" s="1"/>
  <c r="TRL671" i="3" s="1"/>
  <c r="TRK671" i="3" s="1"/>
  <c r="TRJ671" i="3" s="1"/>
  <c r="TRI671" i="3" s="1"/>
  <c r="TRH671" i="3" s="1"/>
  <c r="TRG671" i="3" s="1"/>
  <c r="TRF671" i="3" s="1"/>
  <c r="TRE671" i="3" s="1"/>
  <c r="TRD671" i="3" s="1"/>
  <c r="TRC671" i="3" s="1"/>
  <c r="TRB671" i="3" s="1"/>
  <c r="TRA671" i="3" s="1"/>
  <c r="TQZ671" i="3" s="1"/>
  <c r="TQY671" i="3" s="1"/>
  <c r="TQX671" i="3" s="1"/>
  <c r="TQW671" i="3" s="1"/>
  <c r="TQV671" i="3" s="1"/>
  <c r="TQU671" i="3" s="1"/>
  <c r="TQT671" i="3" s="1"/>
  <c r="TQS671" i="3" s="1"/>
  <c r="TQR671" i="3" s="1"/>
  <c r="TQQ671" i="3" s="1"/>
  <c r="TQP671" i="3" s="1"/>
  <c r="TQO671" i="3" s="1"/>
  <c r="TQN671" i="3" s="1"/>
  <c r="TQM671" i="3" s="1"/>
  <c r="TQL671" i="3" s="1"/>
  <c r="TQK671" i="3" s="1"/>
  <c r="TQJ671" i="3" s="1"/>
  <c r="TQI671" i="3" s="1"/>
  <c r="TQH671" i="3" s="1"/>
  <c r="TQG671" i="3" s="1"/>
  <c r="TQF671" i="3" s="1"/>
  <c r="TQE671" i="3" s="1"/>
  <c r="TQD671" i="3" s="1"/>
  <c r="TQC671" i="3" s="1"/>
  <c r="TQB671" i="3" s="1"/>
  <c r="TQA671" i="3" s="1"/>
  <c r="TPZ671" i="3" s="1"/>
  <c r="TPY671" i="3" s="1"/>
  <c r="TPX671" i="3" s="1"/>
  <c r="TPW671" i="3" s="1"/>
  <c r="TPV671" i="3" s="1"/>
  <c r="TPU671" i="3" s="1"/>
  <c r="TPT671" i="3" s="1"/>
  <c r="TPS671" i="3" s="1"/>
  <c r="TPR671" i="3" s="1"/>
  <c r="TPQ671" i="3" s="1"/>
  <c r="TPP671" i="3" s="1"/>
  <c r="TPO671" i="3" s="1"/>
  <c r="TPN671" i="3" s="1"/>
  <c r="TPM671" i="3" s="1"/>
  <c r="TPL671" i="3" s="1"/>
  <c r="TPK671" i="3" s="1"/>
  <c r="TPJ671" i="3" s="1"/>
  <c r="TPI671" i="3" s="1"/>
  <c r="TPH671" i="3" s="1"/>
  <c r="TPG671" i="3" s="1"/>
  <c r="TPF671" i="3" s="1"/>
  <c r="TPE671" i="3" s="1"/>
  <c r="TPD671" i="3" s="1"/>
  <c r="TPC671" i="3" s="1"/>
  <c r="TPB671" i="3" s="1"/>
  <c r="TPA671" i="3" s="1"/>
  <c r="TOZ671" i="3" s="1"/>
  <c r="TOY671" i="3" s="1"/>
  <c r="TOX671" i="3" s="1"/>
  <c r="TOW671" i="3" s="1"/>
  <c r="TOV671" i="3" s="1"/>
  <c r="TOU671" i="3" s="1"/>
  <c r="TOT671" i="3" s="1"/>
  <c r="TOS671" i="3" s="1"/>
  <c r="TOR671" i="3" s="1"/>
  <c r="TOQ671" i="3" s="1"/>
  <c r="TOP671" i="3" s="1"/>
  <c r="TOO671" i="3" s="1"/>
  <c r="TON671" i="3" s="1"/>
  <c r="TOM671" i="3" s="1"/>
  <c r="TOL671" i="3" s="1"/>
  <c r="TOK671" i="3" s="1"/>
  <c r="TOJ671" i="3" s="1"/>
  <c r="TOI671" i="3" s="1"/>
  <c r="TOH671" i="3" s="1"/>
  <c r="TOG671" i="3" s="1"/>
  <c r="TOF671" i="3" s="1"/>
  <c r="TOE671" i="3" s="1"/>
  <c r="TOD671" i="3" s="1"/>
  <c r="TOC671" i="3" s="1"/>
  <c r="TOB671" i="3" s="1"/>
  <c r="TOA671" i="3" s="1"/>
  <c r="TNZ671" i="3" s="1"/>
  <c r="TNY671" i="3" s="1"/>
  <c r="TNX671" i="3" s="1"/>
  <c r="TNW671" i="3" s="1"/>
  <c r="TNV671" i="3" s="1"/>
  <c r="TNU671" i="3" s="1"/>
  <c r="TNT671" i="3" s="1"/>
  <c r="TNS671" i="3" s="1"/>
  <c r="TNR671" i="3" s="1"/>
  <c r="TNQ671" i="3" s="1"/>
  <c r="TNP671" i="3" s="1"/>
  <c r="TNO671" i="3" s="1"/>
  <c r="TNN671" i="3" s="1"/>
  <c r="TNM671" i="3" s="1"/>
  <c r="TNL671" i="3" s="1"/>
  <c r="TNK671" i="3" s="1"/>
  <c r="TNJ671" i="3" s="1"/>
  <c r="TNI671" i="3" s="1"/>
  <c r="TNH671" i="3" s="1"/>
  <c r="TNG671" i="3" s="1"/>
  <c r="TNF671" i="3" s="1"/>
  <c r="TNE671" i="3" s="1"/>
  <c r="TND671" i="3" s="1"/>
  <c r="TNC671" i="3" s="1"/>
  <c r="TNB671" i="3" s="1"/>
  <c r="TNA671" i="3" s="1"/>
  <c r="TMZ671" i="3" s="1"/>
  <c r="TMY671" i="3" s="1"/>
  <c r="TMX671" i="3" s="1"/>
  <c r="TMW671" i="3" s="1"/>
  <c r="TMV671" i="3" s="1"/>
  <c r="TMU671" i="3" s="1"/>
  <c r="TMT671" i="3" s="1"/>
  <c r="TMS671" i="3" s="1"/>
  <c r="TMR671" i="3" s="1"/>
  <c r="TMQ671" i="3" s="1"/>
  <c r="TMP671" i="3" s="1"/>
  <c r="TMO671" i="3" s="1"/>
  <c r="TMN671" i="3" s="1"/>
  <c r="TMM671" i="3" s="1"/>
  <c r="TML671" i="3" s="1"/>
  <c r="TMK671" i="3" s="1"/>
  <c r="TMJ671" i="3" s="1"/>
  <c r="TMI671" i="3" s="1"/>
  <c r="TMH671" i="3" s="1"/>
  <c r="TMG671" i="3" s="1"/>
  <c r="TMF671" i="3" s="1"/>
  <c r="TME671" i="3" s="1"/>
  <c r="TMD671" i="3" s="1"/>
  <c r="TMC671" i="3" s="1"/>
  <c r="TMB671" i="3" s="1"/>
  <c r="TMA671" i="3" s="1"/>
  <c r="TLZ671" i="3" s="1"/>
  <c r="TLY671" i="3" s="1"/>
  <c r="TLX671" i="3" s="1"/>
  <c r="TLW671" i="3" s="1"/>
  <c r="TLV671" i="3" s="1"/>
  <c r="TLU671" i="3" s="1"/>
  <c r="TLT671" i="3" s="1"/>
  <c r="TLS671" i="3" s="1"/>
  <c r="TLR671" i="3" s="1"/>
  <c r="TLQ671" i="3" s="1"/>
  <c r="TLP671" i="3" s="1"/>
  <c r="TLO671" i="3" s="1"/>
  <c r="TLN671" i="3" s="1"/>
  <c r="TLM671" i="3" s="1"/>
  <c r="TLL671" i="3" s="1"/>
  <c r="TLK671" i="3" s="1"/>
  <c r="TLJ671" i="3" s="1"/>
  <c r="TLI671" i="3" s="1"/>
  <c r="TLH671" i="3" s="1"/>
  <c r="TLG671" i="3" s="1"/>
  <c r="TLF671" i="3" s="1"/>
  <c r="TLE671" i="3" s="1"/>
  <c r="TLD671" i="3" s="1"/>
  <c r="TLC671" i="3" s="1"/>
  <c r="TLB671" i="3" s="1"/>
  <c r="TLA671" i="3" s="1"/>
  <c r="TKZ671" i="3" s="1"/>
  <c r="TKY671" i="3" s="1"/>
  <c r="TKX671" i="3" s="1"/>
  <c r="TKW671" i="3" s="1"/>
  <c r="TKV671" i="3" s="1"/>
  <c r="TKU671" i="3" s="1"/>
  <c r="TKT671" i="3" s="1"/>
  <c r="TKS671" i="3" s="1"/>
  <c r="TKR671" i="3" s="1"/>
  <c r="TKQ671" i="3" s="1"/>
  <c r="TKP671" i="3" s="1"/>
  <c r="TKO671" i="3" s="1"/>
  <c r="TKN671" i="3" s="1"/>
  <c r="TKM671" i="3" s="1"/>
  <c r="TKL671" i="3" s="1"/>
  <c r="TKK671" i="3" s="1"/>
  <c r="TKJ671" i="3" s="1"/>
  <c r="TKI671" i="3" s="1"/>
  <c r="TKH671" i="3" s="1"/>
  <c r="TKG671" i="3" s="1"/>
  <c r="TKF671" i="3" s="1"/>
  <c r="TKE671" i="3" s="1"/>
  <c r="TKD671" i="3" s="1"/>
  <c r="TKC671" i="3" s="1"/>
  <c r="TKB671" i="3" s="1"/>
  <c r="TKA671" i="3" s="1"/>
  <c r="TJZ671" i="3" s="1"/>
  <c r="TJY671" i="3" s="1"/>
  <c r="TJX671" i="3" s="1"/>
  <c r="TJW671" i="3" s="1"/>
  <c r="TJV671" i="3" s="1"/>
  <c r="TJU671" i="3" s="1"/>
  <c r="TJT671" i="3" s="1"/>
  <c r="TJS671" i="3" s="1"/>
  <c r="TJR671" i="3" s="1"/>
  <c r="TJQ671" i="3" s="1"/>
  <c r="TJP671" i="3" s="1"/>
  <c r="TJO671" i="3" s="1"/>
  <c r="TJN671" i="3" s="1"/>
  <c r="TJM671" i="3" s="1"/>
  <c r="TJL671" i="3" s="1"/>
  <c r="TJK671" i="3" s="1"/>
  <c r="TJJ671" i="3" s="1"/>
  <c r="TJI671" i="3" s="1"/>
  <c r="TJH671" i="3" s="1"/>
  <c r="TJG671" i="3" s="1"/>
  <c r="TJF671" i="3" s="1"/>
  <c r="TJE671" i="3" s="1"/>
  <c r="TJD671" i="3" s="1"/>
  <c r="TJC671" i="3" s="1"/>
  <c r="TJB671" i="3" s="1"/>
  <c r="TJA671" i="3" s="1"/>
  <c r="TIZ671" i="3" s="1"/>
  <c r="TIY671" i="3" s="1"/>
  <c r="TIX671" i="3" s="1"/>
  <c r="TIW671" i="3" s="1"/>
  <c r="TIV671" i="3" s="1"/>
  <c r="TIU671" i="3" s="1"/>
  <c r="TIT671" i="3" s="1"/>
  <c r="TIS671" i="3" s="1"/>
  <c r="TIR671" i="3" s="1"/>
  <c r="TIQ671" i="3" s="1"/>
  <c r="TIP671" i="3" s="1"/>
  <c r="TIO671" i="3" s="1"/>
  <c r="TIN671" i="3" s="1"/>
  <c r="TIM671" i="3" s="1"/>
  <c r="TIL671" i="3" s="1"/>
  <c r="TIK671" i="3" s="1"/>
  <c r="TIJ671" i="3" s="1"/>
  <c r="TII671" i="3" s="1"/>
  <c r="TIH671" i="3" s="1"/>
  <c r="TIG671" i="3" s="1"/>
  <c r="TIF671" i="3" s="1"/>
  <c r="TIE671" i="3" s="1"/>
  <c r="TID671" i="3" s="1"/>
  <c r="TIC671" i="3" s="1"/>
  <c r="TIB671" i="3" s="1"/>
  <c r="TIA671" i="3" s="1"/>
  <c r="THZ671" i="3" s="1"/>
  <c r="THY671" i="3" s="1"/>
  <c r="THX671" i="3" s="1"/>
  <c r="THW671" i="3" s="1"/>
  <c r="THV671" i="3" s="1"/>
  <c r="THU671" i="3" s="1"/>
  <c r="THT671" i="3" s="1"/>
  <c r="THS671" i="3" s="1"/>
  <c r="THR671" i="3" s="1"/>
  <c r="THQ671" i="3" s="1"/>
  <c r="THP671" i="3" s="1"/>
  <c r="THO671" i="3" s="1"/>
  <c r="THN671" i="3" s="1"/>
  <c r="THM671" i="3" s="1"/>
  <c r="THL671" i="3" s="1"/>
  <c r="THK671" i="3" s="1"/>
  <c r="THJ671" i="3" s="1"/>
  <c r="THI671" i="3" s="1"/>
  <c r="THH671" i="3" s="1"/>
  <c r="THG671" i="3" s="1"/>
  <c r="THF671" i="3" s="1"/>
  <c r="THE671" i="3" s="1"/>
  <c r="THD671" i="3" s="1"/>
  <c r="THC671" i="3" s="1"/>
  <c r="THB671" i="3" s="1"/>
  <c r="THA671" i="3" s="1"/>
  <c r="TGZ671" i="3" s="1"/>
  <c r="TGY671" i="3" s="1"/>
  <c r="TGX671" i="3" s="1"/>
  <c r="TGW671" i="3" s="1"/>
  <c r="TGV671" i="3" s="1"/>
  <c r="TGU671" i="3" s="1"/>
  <c r="TGT671" i="3" s="1"/>
  <c r="TGS671" i="3" s="1"/>
  <c r="TGR671" i="3" s="1"/>
  <c r="TGQ671" i="3" s="1"/>
  <c r="TGP671" i="3" s="1"/>
  <c r="TGO671" i="3" s="1"/>
  <c r="TGN671" i="3" s="1"/>
  <c r="TGM671" i="3" s="1"/>
  <c r="TGL671" i="3" s="1"/>
  <c r="TGK671" i="3" s="1"/>
  <c r="TGJ671" i="3" s="1"/>
  <c r="TGI671" i="3" s="1"/>
  <c r="TGH671" i="3" s="1"/>
  <c r="TGG671" i="3" s="1"/>
  <c r="TGF671" i="3" s="1"/>
  <c r="TGE671" i="3" s="1"/>
  <c r="TGD671" i="3" s="1"/>
  <c r="TGC671" i="3" s="1"/>
  <c r="TGB671" i="3" s="1"/>
  <c r="TGA671" i="3" s="1"/>
  <c r="TFZ671" i="3" s="1"/>
  <c r="TFY671" i="3" s="1"/>
  <c r="TFX671" i="3" s="1"/>
  <c r="TFW671" i="3" s="1"/>
  <c r="TFV671" i="3" s="1"/>
  <c r="TFU671" i="3" s="1"/>
  <c r="TFT671" i="3" s="1"/>
  <c r="TFS671" i="3" s="1"/>
  <c r="TFR671" i="3" s="1"/>
  <c r="TFQ671" i="3" s="1"/>
  <c r="TFP671" i="3" s="1"/>
  <c r="TFO671" i="3" s="1"/>
  <c r="TFN671" i="3" s="1"/>
  <c r="TFM671" i="3" s="1"/>
  <c r="TFL671" i="3" s="1"/>
  <c r="TFK671" i="3" s="1"/>
  <c r="TFJ671" i="3" s="1"/>
  <c r="TFI671" i="3" s="1"/>
  <c r="TFH671" i="3" s="1"/>
  <c r="TFG671" i="3" s="1"/>
  <c r="TFF671" i="3" s="1"/>
  <c r="TFE671" i="3" s="1"/>
  <c r="TFD671" i="3" s="1"/>
  <c r="TFC671" i="3" s="1"/>
  <c r="TFB671" i="3" s="1"/>
  <c r="TFA671" i="3" s="1"/>
  <c r="TEZ671" i="3" s="1"/>
  <c r="TEY671" i="3" s="1"/>
  <c r="TEX671" i="3" s="1"/>
  <c r="TEW671" i="3" s="1"/>
  <c r="TEV671" i="3" s="1"/>
  <c r="TEU671" i="3" s="1"/>
  <c r="TET671" i="3" s="1"/>
  <c r="TES671" i="3" s="1"/>
  <c r="TER671" i="3" s="1"/>
  <c r="TEQ671" i="3" s="1"/>
  <c r="TEP671" i="3" s="1"/>
  <c r="TEO671" i="3" s="1"/>
  <c r="TEN671" i="3" s="1"/>
  <c r="TEM671" i="3" s="1"/>
  <c r="TEL671" i="3" s="1"/>
  <c r="TEK671" i="3" s="1"/>
  <c r="TEJ671" i="3" s="1"/>
  <c r="TEI671" i="3" s="1"/>
  <c r="TEH671" i="3" s="1"/>
  <c r="TEG671" i="3" s="1"/>
  <c r="TEF671" i="3" s="1"/>
  <c r="TEE671" i="3" s="1"/>
  <c r="TED671" i="3" s="1"/>
  <c r="TEC671" i="3" s="1"/>
  <c r="TEB671" i="3" s="1"/>
  <c r="TEA671" i="3" s="1"/>
  <c r="TDZ671" i="3" s="1"/>
  <c r="TDY671" i="3" s="1"/>
  <c r="TDX671" i="3" s="1"/>
  <c r="TDW671" i="3" s="1"/>
  <c r="TDV671" i="3" s="1"/>
  <c r="TDU671" i="3" s="1"/>
  <c r="TDT671" i="3" s="1"/>
  <c r="TDS671" i="3" s="1"/>
  <c r="TDR671" i="3" s="1"/>
  <c r="TDQ671" i="3" s="1"/>
  <c r="TDP671" i="3" s="1"/>
  <c r="TDO671" i="3" s="1"/>
  <c r="TDN671" i="3" s="1"/>
  <c r="TDM671" i="3" s="1"/>
  <c r="TDL671" i="3" s="1"/>
  <c r="TDK671" i="3" s="1"/>
  <c r="TDJ671" i="3" s="1"/>
  <c r="TDI671" i="3" s="1"/>
  <c r="TDH671" i="3" s="1"/>
  <c r="TDG671" i="3" s="1"/>
  <c r="TDF671" i="3" s="1"/>
  <c r="TDE671" i="3" s="1"/>
  <c r="TDD671" i="3" s="1"/>
  <c r="TDC671" i="3" s="1"/>
  <c r="TDB671" i="3" s="1"/>
  <c r="TDA671" i="3" s="1"/>
  <c r="TCZ671" i="3" s="1"/>
  <c r="TCY671" i="3" s="1"/>
  <c r="TCX671" i="3" s="1"/>
  <c r="TCW671" i="3" s="1"/>
  <c r="TCV671" i="3" s="1"/>
  <c r="TCU671" i="3" s="1"/>
  <c r="TCT671" i="3" s="1"/>
  <c r="TCS671" i="3" s="1"/>
  <c r="TCR671" i="3" s="1"/>
  <c r="TCQ671" i="3" s="1"/>
  <c r="TCP671" i="3" s="1"/>
  <c r="TCO671" i="3" s="1"/>
  <c r="TCN671" i="3" s="1"/>
  <c r="TCM671" i="3" s="1"/>
  <c r="TCL671" i="3" s="1"/>
  <c r="TCK671" i="3" s="1"/>
  <c r="TCJ671" i="3" s="1"/>
  <c r="TCI671" i="3" s="1"/>
  <c r="TCH671" i="3" s="1"/>
  <c r="TCG671" i="3" s="1"/>
  <c r="TCF671" i="3" s="1"/>
  <c r="TCE671" i="3" s="1"/>
  <c r="TCD671" i="3" s="1"/>
  <c r="TCC671" i="3" s="1"/>
  <c r="TCB671" i="3" s="1"/>
  <c r="TCA671" i="3" s="1"/>
  <c r="TBZ671" i="3" s="1"/>
  <c r="TBY671" i="3" s="1"/>
  <c r="TBX671" i="3" s="1"/>
  <c r="TBW671" i="3" s="1"/>
  <c r="TBV671" i="3" s="1"/>
  <c r="TBU671" i="3" s="1"/>
  <c r="TBT671" i="3" s="1"/>
  <c r="TBS671" i="3" s="1"/>
  <c r="TBR671" i="3" s="1"/>
  <c r="TBQ671" i="3" s="1"/>
  <c r="TBP671" i="3" s="1"/>
  <c r="TBO671" i="3" s="1"/>
  <c r="TBN671" i="3" s="1"/>
  <c r="TBM671" i="3" s="1"/>
  <c r="TBL671" i="3" s="1"/>
  <c r="TBK671" i="3" s="1"/>
  <c r="TBJ671" i="3" s="1"/>
  <c r="TBI671" i="3" s="1"/>
  <c r="TBH671" i="3" s="1"/>
  <c r="TBG671" i="3" s="1"/>
  <c r="TBF671" i="3" s="1"/>
  <c r="TBE671" i="3" s="1"/>
  <c r="TBD671" i="3" s="1"/>
  <c r="TBC671" i="3" s="1"/>
  <c r="TBB671" i="3" s="1"/>
  <c r="TBA671" i="3" s="1"/>
  <c r="TAZ671" i="3" s="1"/>
  <c r="TAY671" i="3" s="1"/>
  <c r="TAX671" i="3" s="1"/>
  <c r="TAW671" i="3" s="1"/>
  <c r="TAV671" i="3" s="1"/>
  <c r="TAU671" i="3" s="1"/>
  <c r="TAT671" i="3" s="1"/>
  <c r="TAS671" i="3" s="1"/>
  <c r="TAR671" i="3" s="1"/>
  <c r="TAQ671" i="3" s="1"/>
  <c r="TAP671" i="3" s="1"/>
  <c r="TAO671" i="3" s="1"/>
  <c r="TAN671" i="3" s="1"/>
  <c r="TAM671" i="3" s="1"/>
  <c r="TAL671" i="3" s="1"/>
  <c r="TAK671" i="3" s="1"/>
  <c r="TAJ671" i="3" s="1"/>
  <c r="TAI671" i="3" s="1"/>
  <c r="TAH671" i="3" s="1"/>
  <c r="TAG671" i="3" s="1"/>
  <c r="TAF671" i="3" s="1"/>
  <c r="TAE671" i="3" s="1"/>
  <c r="TAD671" i="3" s="1"/>
  <c r="TAC671" i="3" s="1"/>
  <c r="TAB671" i="3" s="1"/>
  <c r="TAA671" i="3" s="1"/>
  <c r="SZZ671" i="3" s="1"/>
  <c r="SZY671" i="3" s="1"/>
  <c r="SZX671" i="3" s="1"/>
  <c r="SZW671" i="3" s="1"/>
  <c r="SZV671" i="3" s="1"/>
  <c r="SZU671" i="3" s="1"/>
  <c r="SZT671" i="3" s="1"/>
  <c r="SZS671" i="3" s="1"/>
  <c r="SZR671" i="3" s="1"/>
  <c r="SZQ671" i="3" s="1"/>
  <c r="SZP671" i="3" s="1"/>
  <c r="SZO671" i="3" s="1"/>
  <c r="SZN671" i="3" s="1"/>
  <c r="SZM671" i="3" s="1"/>
  <c r="SZL671" i="3" s="1"/>
  <c r="SZK671" i="3" s="1"/>
  <c r="SZJ671" i="3" s="1"/>
  <c r="SZI671" i="3" s="1"/>
  <c r="SZH671" i="3" s="1"/>
  <c r="SZG671" i="3" s="1"/>
  <c r="SZF671" i="3" s="1"/>
  <c r="SZE671" i="3" s="1"/>
  <c r="SZD671" i="3" s="1"/>
  <c r="SZC671" i="3" s="1"/>
  <c r="SZB671" i="3" s="1"/>
  <c r="SZA671" i="3" s="1"/>
  <c r="SYZ671" i="3" s="1"/>
  <c r="SYY671" i="3" s="1"/>
  <c r="SYX671" i="3" s="1"/>
  <c r="SYW671" i="3" s="1"/>
  <c r="SYV671" i="3" s="1"/>
  <c r="SYU671" i="3" s="1"/>
  <c r="SYT671" i="3" s="1"/>
  <c r="SYS671" i="3" s="1"/>
  <c r="SYR671" i="3" s="1"/>
  <c r="SYQ671" i="3" s="1"/>
  <c r="SYP671" i="3" s="1"/>
  <c r="SYO671" i="3" s="1"/>
  <c r="SYN671" i="3" s="1"/>
  <c r="SYM671" i="3" s="1"/>
  <c r="SYL671" i="3" s="1"/>
  <c r="SYK671" i="3" s="1"/>
  <c r="SYJ671" i="3" s="1"/>
  <c r="SYI671" i="3" s="1"/>
  <c r="SYH671" i="3" s="1"/>
  <c r="SYG671" i="3" s="1"/>
  <c r="SYF671" i="3" s="1"/>
  <c r="SYE671" i="3" s="1"/>
  <c r="SYD671" i="3" s="1"/>
  <c r="SYC671" i="3" s="1"/>
  <c r="SYB671" i="3" s="1"/>
  <c r="SYA671" i="3" s="1"/>
  <c r="SXZ671" i="3" s="1"/>
  <c r="SXY671" i="3" s="1"/>
  <c r="SXX671" i="3" s="1"/>
  <c r="SXW671" i="3" s="1"/>
  <c r="SXV671" i="3" s="1"/>
  <c r="SXU671" i="3" s="1"/>
  <c r="SXT671" i="3" s="1"/>
  <c r="SXS671" i="3" s="1"/>
  <c r="SXR671" i="3" s="1"/>
  <c r="SXQ671" i="3" s="1"/>
  <c r="SXP671" i="3" s="1"/>
  <c r="SXO671" i="3" s="1"/>
  <c r="SXN671" i="3" s="1"/>
  <c r="SXM671" i="3" s="1"/>
  <c r="SXL671" i="3" s="1"/>
  <c r="SXK671" i="3" s="1"/>
  <c r="SXJ671" i="3" s="1"/>
  <c r="SXI671" i="3" s="1"/>
  <c r="SXH671" i="3" s="1"/>
  <c r="SXG671" i="3" s="1"/>
  <c r="SXF671" i="3" s="1"/>
  <c r="SXE671" i="3" s="1"/>
  <c r="SXD671" i="3" s="1"/>
  <c r="SXC671" i="3" s="1"/>
  <c r="SXB671" i="3" s="1"/>
  <c r="SXA671" i="3" s="1"/>
  <c r="SWZ671" i="3" s="1"/>
  <c r="SWY671" i="3" s="1"/>
  <c r="SWX671" i="3" s="1"/>
  <c r="SWW671" i="3" s="1"/>
  <c r="SWV671" i="3" s="1"/>
  <c r="SWU671" i="3" s="1"/>
  <c r="SWT671" i="3" s="1"/>
  <c r="SWS671" i="3" s="1"/>
  <c r="SWR671" i="3" s="1"/>
  <c r="SWQ671" i="3" s="1"/>
  <c r="SWP671" i="3" s="1"/>
  <c r="SWO671" i="3" s="1"/>
  <c r="SWN671" i="3" s="1"/>
  <c r="SWM671" i="3" s="1"/>
  <c r="SWL671" i="3" s="1"/>
  <c r="SWK671" i="3" s="1"/>
  <c r="SWJ671" i="3" s="1"/>
  <c r="SWI671" i="3" s="1"/>
  <c r="SWH671" i="3" s="1"/>
  <c r="SWG671" i="3" s="1"/>
  <c r="SWF671" i="3" s="1"/>
  <c r="SWE671" i="3" s="1"/>
  <c r="SWD671" i="3" s="1"/>
  <c r="SWC671" i="3" s="1"/>
  <c r="SWB671" i="3" s="1"/>
  <c r="SWA671" i="3" s="1"/>
  <c r="SVZ671" i="3" s="1"/>
  <c r="SVY671" i="3" s="1"/>
  <c r="SVX671" i="3" s="1"/>
  <c r="SVW671" i="3" s="1"/>
  <c r="SVV671" i="3" s="1"/>
  <c r="SVU671" i="3" s="1"/>
  <c r="SVT671" i="3" s="1"/>
  <c r="SVS671" i="3" s="1"/>
  <c r="SVR671" i="3" s="1"/>
  <c r="SVQ671" i="3" s="1"/>
  <c r="SVP671" i="3" s="1"/>
  <c r="SVO671" i="3" s="1"/>
  <c r="SVN671" i="3" s="1"/>
  <c r="SVM671" i="3" s="1"/>
  <c r="SVL671" i="3" s="1"/>
  <c r="SVK671" i="3" s="1"/>
  <c r="SVJ671" i="3" s="1"/>
  <c r="SVI671" i="3" s="1"/>
  <c r="SVH671" i="3" s="1"/>
  <c r="SVG671" i="3" s="1"/>
  <c r="SVF671" i="3" s="1"/>
  <c r="SVE671" i="3" s="1"/>
  <c r="SVD671" i="3" s="1"/>
  <c r="SVC671" i="3" s="1"/>
  <c r="SVB671" i="3" s="1"/>
  <c r="SVA671" i="3" s="1"/>
  <c r="SUZ671" i="3" s="1"/>
  <c r="SUY671" i="3" s="1"/>
  <c r="SUX671" i="3" s="1"/>
  <c r="SUW671" i="3" s="1"/>
  <c r="SUV671" i="3" s="1"/>
  <c r="SUU671" i="3" s="1"/>
  <c r="SUT671" i="3" s="1"/>
  <c r="SUS671" i="3" s="1"/>
  <c r="SUR671" i="3" s="1"/>
  <c r="SUQ671" i="3" s="1"/>
  <c r="SUP671" i="3" s="1"/>
  <c r="SUO671" i="3" s="1"/>
  <c r="SUN671" i="3" s="1"/>
  <c r="SUM671" i="3" s="1"/>
  <c r="SUL671" i="3" s="1"/>
  <c r="SUK671" i="3" s="1"/>
  <c r="SUJ671" i="3" s="1"/>
  <c r="SUI671" i="3" s="1"/>
  <c r="SUH671" i="3" s="1"/>
  <c r="SUG671" i="3" s="1"/>
  <c r="SUF671" i="3" s="1"/>
  <c r="SUE671" i="3" s="1"/>
  <c r="SUD671" i="3" s="1"/>
  <c r="SUC671" i="3" s="1"/>
  <c r="SUB671" i="3" s="1"/>
  <c r="SUA671" i="3" s="1"/>
  <c r="STZ671" i="3" s="1"/>
  <c r="STY671" i="3" s="1"/>
  <c r="STX671" i="3" s="1"/>
  <c r="STW671" i="3" s="1"/>
  <c r="STV671" i="3" s="1"/>
  <c r="STU671" i="3" s="1"/>
  <c r="STT671" i="3" s="1"/>
  <c r="STS671" i="3" s="1"/>
  <c r="STR671" i="3" s="1"/>
  <c r="STQ671" i="3" s="1"/>
  <c r="STP671" i="3" s="1"/>
  <c r="STO671" i="3" s="1"/>
  <c r="STN671" i="3" s="1"/>
  <c r="STM671" i="3" s="1"/>
  <c r="STL671" i="3" s="1"/>
  <c r="STK671" i="3" s="1"/>
  <c r="STJ671" i="3" s="1"/>
  <c r="STI671" i="3" s="1"/>
  <c r="STH671" i="3" s="1"/>
  <c r="STG671" i="3" s="1"/>
  <c r="STF671" i="3" s="1"/>
  <c r="STE671" i="3" s="1"/>
  <c r="STD671" i="3" s="1"/>
  <c r="STC671" i="3" s="1"/>
  <c r="STB671" i="3" s="1"/>
  <c r="STA671" i="3" s="1"/>
  <c r="SSZ671" i="3" s="1"/>
  <c r="SSY671" i="3" s="1"/>
  <c r="SSX671" i="3" s="1"/>
  <c r="SSW671" i="3" s="1"/>
  <c r="SSV671" i="3" s="1"/>
  <c r="SSU671" i="3" s="1"/>
  <c r="SST671" i="3" s="1"/>
  <c r="SSS671" i="3" s="1"/>
  <c r="SSR671" i="3" s="1"/>
  <c r="SSQ671" i="3" s="1"/>
  <c r="SSP671" i="3" s="1"/>
  <c r="SSO671" i="3" s="1"/>
  <c r="SSN671" i="3" s="1"/>
  <c r="SSM671" i="3" s="1"/>
  <c r="SSL671" i="3" s="1"/>
  <c r="SSK671" i="3" s="1"/>
  <c r="SSJ671" i="3" s="1"/>
  <c r="SSI671" i="3" s="1"/>
  <c r="SSH671" i="3" s="1"/>
  <c r="SSG671" i="3" s="1"/>
  <c r="SSF671" i="3" s="1"/>
  <c r="SSE671" i="3" s="1"/>
  <c r="SSD671" i="3" s="1"/>
  <c r="SSC671" i="3" s="1"/>
  <c r="SSB671" i="3" s="1"/>
  <c r="SSA671" i="3" s="1"/>
  <c r="SRZ671" i="3" s="1"/>
  <c r="SRY671" i="3" s="1"/>
  <c r="SRX671" i="3" s="1"/>
  <c r="SRW671" i="3" s="1"/>
  <c r="SRV671" i="3" s="1"/>
  <c r="SRU671" i="3" s="1"/>
  <c r="SRT671" i="3" s="1"/>
  <c r="SRS671" i="3" s="1"/>
  <c r="SRR671" i="3" s="1"/>
  <c r="SRQ671" i="3" s="1"/>
  <c r="SRP671" i="3" s="1"/>
  <c r="SRO671" i="3" s="1"/>
  <c r="SRN671" i="3" s="1"/>
  <c r="SRM671" i="3" s="1"/>
  <c r="SRL671" i="3" s="1"/>
  <c r="SRK671" i="3" s="1"/>
  <c r="SRJ671" i="3" s="1"/>
  <c r="SRI671" i="3" s="1"/>
  <c r="SRH671" i="3" s="1"/>
  <c r="SRG671" i="3" s="1"/>
  <c r="SRF671" i="3" s="1"/>
  <c r="SRE671" i="3" s="1"/>
  <c r="SRD671" i="3" s="1"/>
  <c r="SRC671" i="3" s="1"/>
  <c r="SRB671" i="3" s="1"/>
  <c r="SRA671" i="3" s="1"/>
  <c r="SQZ671" i="3" s="1"/>
  <c r="SQY671" i="3" s="1"/>
  <c r="SQX671" i="3" s="1"/>
  <c r="SQW671" i="3" s="1"/>
  <c r="SQV671" i="3" s="1"/>
  <c r="SQU671" i="3" s="1"/>
  <c r="SQT671" i="3" s="1"/>
  <c r="SQS671" i="3" s="1"/>
  <c r="SQR671" i="3" s="1"/>
  <c r="SQQ671" i="3" s="1"/>
  <c r="SQP671" i="3" s="1"/>
  <c r="SQO671" i="3" s="1"/>
  <c r="SQN671" i="3" s="1"/>
  <c r="SQM671" i="3" s="1"/>
  <c r="SQL671" i="3" s="1"/>
  <c r="SQK671" i="3" s="1"/>
  <c r="SQJ671" i="3" s="1"/>
  <c r="SQI671" i="3" s="1"/>
  <c r="SQH671" i="3" s="1"/>
  <c r="SQG671" i="3" s="1"/>
  <c r="SQF671" i="3" s="1"/>
  <c r="SQE671" i="3" s="1"/>
  <c r="SQD671" i="3" s="1"/>
  <c r="SQC671" i="3" s="1"/>
  <c r="SQB671" i="3" s="1"/>
  <c r="SQA671" i="3" s="1"/>
  <c r="SPZ671" i="3" s="1"/>
  <c r="SPY671" i="3" s="1"/>
  <c r="SPX671" i="3" s="1"/>
  <c r="SPW671" i="3" s="1"/>
  <c r="SPV671" i="3" s="1"/>
  <c r="SPU671" i="3" s="1"/>
  <c r="SPT671" i="3" s="1"/>
  <c r="SPS671" i="3" s="1"/>
  <c r="SPR671" i="3" s="1"/>
  <c r="SPQ671" i="3" s="1"/>
  <c r="SPP671" i="3" s="1"/>
  <c r="SPO671" i="3" s="1"/>
  <c r="SPN671" i="3" s="1"/>
  <c r="SPM671" i="3" s="1"/>
  <c r="SPL671" i="3" s="1"/>
  <c r="SPK671" i="3" s="1"/>
  <c r="SPJ671" i="3" s="1"/>
  <c r="SPI671" i="3" s="1"/>
  <c r="SPH671" i="3" s="1"/>
  <c r="SPG671" i="3" s="1"/>
  <c r="SPF671" i="3" s="1"/>
  <c r="SPE671" i="3" s="1"/>
  <c r="SPD671" i="3" s="1"/>
  <c r="SPC671" i="3" s="1"/>
  <c r="SPB671" i="3" s="1"/>
  <c r="SPA671" i="3" s="1"/>
  <c r="SOZ671" i="3" s="1"/>
  <c r="SOY671" i="3" s="1"/>
  <c r="SOX671" i="3" s="1"/>
  <c r="SOW671" i="3" s="1"/>
  <c r="SOV671" i="3" s="1"/>
  <c r="SOU671" i="3" s="1"/>
  <c r="SOT671" i="3" s="1"/>
  <c r="SOS671" i="3" s="1"/>
  <c r="SOR671" i="3" s="1"/>
  <c r="SOQ671" i="3" s="1"/>
  <c r="SOP671" i="3" s="1"/>
  <c r="SOO671" i="3" s="1"/>
  <c r="SON671" i="3" s="1"/>
  <c r="SOM671" i="3" s="1"/>
  <c r="SOL671" i="3" s="1"/>
  <c r="SOK671" i="3" s="1"/>
  <c r="SOJ671" i="3" s="1"/>
  <c r="SOI671" i="3" s="1"/>
  <c r="SOH671" i="3" s="1"/>
  <c r="SOG671" i="3" s="1"/>
  <c r="SOF671" i="3" s="1"/>
  <c r="SOE671" i="3" s="1"/>
  <c r="SOD671" i="3" s="1"/>
  <c r="SOC671" i="3" s="1"/>
  <c r="SOB671" i="3" s="1"/>
  <c r="SOA671" i="3" s="1"/>
  <c r="SNZ671" i="3" s="1"/>
  <c r="SNY671" i="3" s="1"/>
  <c r="SNX671" i="3" s="1"/>
  <c r="SNW671" i="3" s="1"/>
  <c r="SNV671" i="3" s="1"/>
  <c r="SNU671" i="3" s="1"/>
  <c r="SNT671" i="3" s="1"/>
  <c r="SNS671" i="3" s="1"/>
  <c r="SNR671" i="3" s="1"/>
  <c r="SNQ671" i="3" s="1"/>
  <c r="SNP671" i="3" s="1"/>
  <c r="SNO671" i="3" s="1"/>
  <c r="SNN671" i="3" s="1"/>
  <c r="SNM671" i="3" s="1"/>
  <c r="SNL671" i="3" s="1"/>
  <c r="SNK671" i="3" s="1"/>
  <c r="SNJ671" i="3" s="1"/>
  <c r="SNI671" i="3" s="1"/>
  <c r="SNH671" i="3" s="1"/>
  <c r="SNG671" i="3" s="1"/>
  <c r="SNF671" i="3" s="1"/>
  <c r="SNE671" i="3" s="1"/>
  <c r="SND671" i="3" s="1"/>
  <c r="SNC671" i="3" s="1"/>
  <c r="SNB671" i="3" s="1"/>
  <c r="SNA671" i="3" s="1"/>
  <c r="SMZ671" i="3" s="1"/>
  <c r="SMY671" i="3" s="1"/>
  <c r="SMX671" i="3" s="1"/>
  <c r="SMW671" i="3" s="1"/>
  <c r="SMV671" i="3" s="1"/>
  <c r="SMU671" i="3" s="1"/>
  <c r="SMT671" i="3" s="1"/>
  <c r="SMS671" i="3" s="1"/>
  <c r="SMR671" i="3" s="1"/>
  <c r="SMQ671" i="3" s="1"/>
  <c r="SMP671" i="3" s="1"/>
  <c r="SMO671" i="3" s="1"/>
  <c r="SMN671" i="3" s="1"/>
  <c r="SMM671" i="3" s="1"/>
  <c r="SML671" i="3" s="1"/>
  <c r="SMK671" i="3" s="1"/>
  <c r="SMJ671" i="3" s="1"/>
  <c r="SMI671" i="3" s="1"/>
  <c r="SMH671" i="3" s="1"/>
  <c r="SMG671" i="3" s="1"/>
  <c r="SMF671" i="3" s="1"/>
  <c r="SME671" i="3" s="1"/>
  <c r="SMD671" i="3" s="1"/>
  <c r="SMC671" i="3" s="1"/>
  <c r="SMB671" i="3" s="1"/>
  <c r="SMA671" i="3" s="1"/>
  <c r="SLZ671" i="3" s="1"/>
  <c r="SLY671" i="3" s="1"/>
  <c r="SLX671" i="3" s="1"/>
  <c r="SLW671" i="3" s="1"/>
  <c r="SLV671" i="3" s="1"/>
  <c r="SLU671" i="3" s="1"/>
  <c r="SLT671" i="3" s="1"/>
  <c r="SLS671" i="3" s="1"/>
  <c r="SLR671" i="3" s="1"/>
  <c r="SLQ671" i="3" s="1"/>
  <c r="SLP671" i="3" s="1"/>
  <c r="SLO671" i="3" s="1"/>
  <c r="SLN671" i="3" s="1"/>
  <c r="SLM671" i="3" s="1"/>
  <c r="SLL671" i="3" s="1"/>
  <c r="SLK671" i="3" s="1"/>
  <c r="SLJ671" i="3" s="1"/>
  <c r="SLI671" i="3" s="1"/>
  <c r="SLH671" i="3" s="1"/>
  <c r="SLG671" i="3" s="1"/>
  <c r="SLF671" i="3" s="1"/>
  <c r="SLE671" i="3" s="1"/>
  <c r="SLD671" i="3" s="1"/>
  <c r="SLC671" i="3" s="1"/>
  <c r="SLB671" i="3" s="1"/>
  <c r="SLA671" i="3" s="1"/>
  <c r="SKZ671" i="3" s="1"/>
  <c r="SKY671" i="3" s="1"/>
  <c r="SKX671" i="3" s="1"/>
  <c r="SKW671" i="3" s="1"/>
  <c r="SKV671" i="3" s="1"/>
  <c r="SKU671" i="3" s="1"/>
  <c r="SKT671" i="3" s="1"/>
  <c r="SKS671" i="3" s="1"/>
  <c r="SKR671" i="3" s="1"/>
  <c r="SKQ671" i="3" s="1"/>
  <c r="SKP671" i="3" s="1"/>
  <c r="SKO671" i="3" s="1"/>
  <c r="SKN671" i="3" s="1"/>
  <c r="SKM671" i="3" s="1"/>
  <c r="SKL671" i="3" s="1"/>
  <c r="SKK671" i="3" s="1"/>
  <c r="SKJ671" i="3" s="1"/>
  <c r="SKI671" i="3" s="1"/>
  <c r="SKH671" i="3" s="1"/>
  <c r="SKG671" i="3" s="1"/>
  <c r="SKF671" i="3" s="1"/>
  <c r="SKE671" i="3" s="1"/>
  <c r="SKD671" i="3" s="1"/>
  <c r="SKC671" i="3" s="1"/>
  <c r="SKB671" i="3" s="1"/>
  <c r="SKA671" i="3" s="1"/>
  <c r="SJZ671" i="3" s="1"/>
  <c r="SJY671" i="3" s="1"/>
  <c r="SJX671" i="3" s="1"/>
  <c r="SJW671" i="3" s="1"/>
  <c r="SJV671" i="3" s="1"/>
  <c r="SJU671" i="3" s="1"/>
  <c r="SJT671" i="3" s="1"/>
  <c r="SJS671" i="3" s="1"/>
  <c r="SJR671" i="3" s="1"/>
  <c r="SJQ671" i="3" s="1"/>
  <c r="SJP671" i="3" s="1"/>
  <c r="SJO671" i="3" s="1"/>
  <c r="SJN671" i="3" s="1"/>
  <c r="SJM671" i="3" s="1"/>
  <c r="SJL671" i="3" s="1"/>
  <c r="SJK671" i="3" s="1"/>
  <c r="SJJ671" i="3" s="1"/>
  <c r="SJI671" i="3" s="1"/>
  <c r="SJH671" i="3" s="1"/>
  <c r="SJG671" i="3" s="1"/>
  <c r="SJF671" i="3" s="1"/>
  <c r="SJE671" i="3" s="1"/>
  <c r="SJD671" i="3" s="1"/>
  <c r="SJC671" i="3" s="1"/>
  <c r="SJB671" i="3" s="1"/>
  <c r="SJA671" i="3" s="1"/>
  <c r="SIZ671" i="3" s="1"/>
  <c r="SIY671" i="3" s="1"/>
  <c r="SIX671" i="3" s="1"/>
  <c r="SIW671" i="3" s="1"/>
  <c r="SIV671" i="3" s="1"/>
  <c r="SIU671" i="3" s="1"/>
  <c r="SIT671" i="3" s="1"/>
  <c r="SIS671" i="3" s="1"/>
  <c r="SIR671" i="3" s="1"/>
  <c r="SIQ671" i="3" s="1"/>
  <c r="SIP671" i="3" s="1"/>
  <c r="SIO671" i="3" s="1"/>
  <c r="SIN671" i="3" s="1"/>
  <c r="SIM671" i="3" s="1"/>
  <c r="SIL671" i="3" s="1"/>
  <c r="SIK671" i="3" s="1"/>
  <c r="SIJ671" i="3" s="1"/>
  <c r="SII671" i="3" s="1"/>
  <c r="SIH671" i="3" s="1"/>
  <c r="SIG671" i="3" s="1"/>
  <c r="SIF671" i="3" s="1"/>
  <c r="SIE671" i="3" s="1"/>
  <c r="SID671" i="3" s="1"/>
  <c r="SIC671" i="3" s="1"/>
  <c r="SIB671" i="3" s="1"/>
  <c r="SIA671" i="3" s="1"/>
  <c r="SHZ671" i="3" s="1"/>
  <c r="SHY671" i="3" s="1"/>
  <c r="SHX671" i="3" s="1"/>
  <c r="SHW671" i="3" s="1"/>
  <c r="SHV671" i="3" s="1"/>
  <c r="SHU671" i="3" s="1"/>
  <c r="SHT671" i="3" s="1"/>
  <c r="SHS671" i="3" s="1"/>
  <c r="SHR671" i="3" s="1"/>
  <c r="SHQ671" i="3" s="1"/>
  <c r="SHP671" i="3" s="1"/>
  <c r="SHO671" i="3" s="1"/>
  <c r="SHN671" i="3" s="1"/>
  <c r="SHM671" i="3" s="1"/>
  <c r="SHL671" i="3" s="1"/>
  <c r="SHK671" i="3" s="1"/>
  <c r="SHJ671" i="3" s="1"/>
  <c r="SHI671" i="3" s="1"/>
  <c r="SHH671" i="3" s="1"/>
  <c r="SHG671" i="3" s="1"/>
  <c r="SHF671" i="3" s="1"/>
  <c r="SHE671" i="3" s="1"/>
  <c r="SHD671" i="3" s="1"/>
  <c r="SHC671" i="3" s="1"/>
  <c r="SHB671" i="3" s="1"/>
  <c r="SHA671" i="3" s="1"/>
  <c r="SGZ671" i="3" s="1"/>
  <c r="SGY671" i="3" s="1"/>
  <c r="SGX671" i="3" s="1"/>
  <c r="SGW671" i="3" s="1"/>
  <c r="SGV671" i="3" s="1"/>
  <c r="SGU671" i="3" s="1"/>
  <c r="SGT671" i="3" s="1"/>
  <c r="SGS671" i="3" s="1"/>
  <c r="SGR671" i="3" s="1"/>
  <c r="SGQ671" i="3" s="1"/>
  <c r="SGP671" i="3" s="1"/>
  <c r="SGO671" i="3" s="1"/>
  <c r="SGN671" i="3" s="1"/>
  <c r="SGM671" i="3" s="1"/>
  <c r="SGL671" i="3" s="1"/>
  <c r="SGK671" i="3" s="1"/>
  <c r="SGJ671" i="3" s="1"/>
  <c r="SGI671" i="3" s="1"/>
  <c r="SGH671" i="3" s="1"/>
  <c r="SGG671" i="3" s="1"/>
  <c r="SGF671" i="3" s="1"/>
  <c r="SGE671" i="3" s="1"/>
  <c r="SGD671" i="3" s="1"/>
  <c r="SGC671" i="3" s="1"/>
  <c r="SGB671" i="3" s="1"/>
  <c r="SGA671" i="3" s="1"/>
  <c r="SFZ671" i="3" s="1"/>
  <c r="SFY671" i="3" s="1"/>
  <c r="SFX671" i="3" s="1"/>
  <c r="SFW671" i="3" s="1"/>
  <c r="SFV671" i="3" s="1"/>
  <c r="SFU671" i="3" s="1"/>
  <c r="SFT671" i="3" s="1"/>
  <c r="SFS671" i="3" s="1"/>
  <c r="SFR671" i="3" s="1"/>
  <c r="SFQ671" i="3" s="1"/>
  <c r="SFP671" i="3" s="1"/>
  <c r="SFO671" i="3" s="1"/>
  <c r="SFN671" i="3" s="1"/>
  <c r="SFM671" i="3" s="1"/>
  <c r="SFL671" i="3" s="1"/>
  <c r="SFK671" i="3" s="1"/>
  <c r="SFJ671" i="3" s="1"/>
  <c r="SFI671" i="3" s="1"/>
  <c r="SFH671" i="3" s="1"/>
  <c r="SFG671" i="3" s="1"/>
  <c r="SFF671" i="3" s="1"/>
  <c r="SFE671" i="3" s="1"/>
  <c r="SFD671" i="3" s="1"/>
  <c r="SFC671" i="3" s="1"/>
  <c r="SFB671" i="3" s="1"/>
  <c r="SFA671" i="3" s="1"/>
  <c r="SEZ671" i="3" s="1"/>
  <c r="SEY671" i="3" s="1"/>
  <c r="SEX671" i="3" s="1"/>
  <c r="SEW671" i="3" s="1"/>
  <c r="SEV671" i="3" s="1"/>
  <c r="SEU671" i="3" s="1"/>
  <c r="SET671" i="3" s="1"/>
  <c r="SES671" i="3" s="1"/>
  <c r="SER671" i="3" s="1"/>
  <c r="SEQ671" i="3" s="1"/>
  <c r="SEP671" i="3" s="1"/>
  <c r="SEO671" i="3" s="1"/>
  <c r="SEN671" i="3" s="1"/>
  <c r="SEM671" i="3" s="1"/>
  <c r="SEL671" i="3" s="1"/>
  <c r="SEK671" i="3" s="1"/>
  <c r="SEJ671" i="3" s="1"/>
  <c r="SEI671" i="3" s="1"/>
  <c r="SEH671" i="3" s="1"/>
  <c r="SEG671" i="3" s="1"/>
  <c r="SEF671" i="3" s="1"/>
  <c r="SEE671" i="3" s="1"/>
  <c r="SED671" i="3" s="1"/>
  <c r="SEC671" i="3" s="1"/>
  <c r="SEB671" i="3" s="1"/>
  <c r="SEA671" i="3" s="1"/>
  <c r="SDZ671" i="3" s="1"/>
  <c r="SDY671" i="3" s="1"/>
  <c r="SDX671" i="3" s="1"/>
  <c r="SDW671" i="3" s="1"/>
  <c r="SDV671" i="3" s="1"/>
  <c r="SDU671" i="3" s="1"/>
  <c r="SDT671" i="3" s="1"/>
  <c r="SDS671" i="3" s="1"/>
  <c r="SDR671" i="3" s="1"/>
  <c r="SDQ671" i="3" s="1"/>
  <c r="SDP671" i="3" s="1"/>
  <c r="SDO671" i="3" s="1"/>
  <c r="SDN671" i="3" s="1"/>
  <c r="SDM671" i="3" s="1"/>
  <c r="SDL671" i="3" s="1"/>
  <c r="SDK671" i="3" s="1"/>
  <c r="SDJ671" i="3" s="1"/>
  <c r="SDI671" i="3" s="1"/>
  <c r="SDH671" i="3" s="1"/>
  <c r="SDG671" i="3" s="1"/>
  <c r="SDF671" i="3" s="1"/>
  <c r="SDE671" i="3" s="1"/>
  <c r="SDD671" i="3" s="1"/>
  <c r="SDC671" i="3" s="1"/>
  <c r="SDB671" i="3" s="1"/>
  <c r="SDA671" i="3" s="1"/>
  <c r="SCZ671" i="3" s="1"/>
  <c r="SCY671" i="3" s="1"/>
  <c r="SCX671" i="3" s="1"/>
  <c r="SCW671" i="3" s="1"/>
  <c r="SCV671" i="3" s="1"/>
  <c r="SCU671" i="3" s="1"/>
  <c r="SCT671" i="3" s="1"/>
  <c r="SCS671" i="3" s="1"/>
  <c r="SCR671" i="3" s="1"/>
  <c r="SCQ671" i="3" s="1"/>
  <c r="SCP671" i="3" s="1"/>
  <c r="SCO671" i="3" s="1"/>
  <c r="SCN671" i="3" s="1"/>
  <c r="SCM671" i="3" s="1"/>
  <c r="SCL671" i="3" s="1"/>
  <c r="SCK671" i="3" s="1"/>
  <c r="SCJ671" i="3" s="1"/>
  <c r="SCI671" i="3" s="1"/>
  <c r="SCH671" i="3" s="1"/>
  <c r="SCG671" i="3" s="1"/>
  <c r="SCF671" i="3" s="1"/>
  <c r="SCE671" i="3" s="1"/>
  <c r="SCD671" i="3" s="1"/>
  <c r="SCC671" i="3" s="1"/>
  <c r="SCB671" i="3" s="1"/>
  <c r="SCA671" i="3" s="1"/>
  <c r="SBZ671" i="3" s="1"/>
  <c r="SBY671" i="3" s="1"/>
  <c r="SBX671" i="3" s="1"/>
  <c r="SBW671" i="3" s="1"/>
  <c r="SBV671" i="3" s="1"/>
  <c r="SBU671" i="3" s="1"/>
  <c r="SBT671" i="3" s="1"/>
  <c r="SBS671" i="3" s="1"/>
  <c r="SBR671" i="3" s="1"/>
  <c r="SBQ671" i="3" s="1"/>
  <c r="SBP671" i="3" s="1"/>
  <c r="SBO671" i="3" s="1"/>
  <c r="SBN671" i="3" s="1"/>
  <c r="SBM671" i="3" s="1"/>
  <c r="SBL671" i="3" s="1"/>
  <c r="SBK671" i="3" s="1"/>
  <c r="SBJ671" i="3" s="1"/>
  <c r="SBI671" i="3" s="1"/>
  <c r="SBH671" i="3" s="1"/>
  <c r="SBG671" i="3" s="1"/>
  <c r="SBF671" i="3" s="1"/>
  <c r="SBE671" i="3" s="1"/>
  <c r="SBD671" i="3" s="1"/>
  <c r="SBC671" i="3" s="1"/>
  <c r="SBB671" i="3" s="1"/>
  <c r="SBA671" i="3" s="1"/>
  <c r="SAZ671" i="3" s="1"/>
  <c r="SAY671" i="3" s="1"/>
  <c r="SAX671" i="3" s="1"/>
  <c r="SAW671" i="3" s="1"/>
  <c r="SAV671" i="3" s="1"/>
  <c r="SAU671" i="3" s="1"/>
  <c r="SAT671" i="3" s="1"/>
  <c r="SAS671" i="3" s="1"/>
  <c r="SAR671" i="3" s="1"/>
  <c r="SAQ671" i="3" s="1"/>
  <c r="SAP671" i="3" s="1"/>
  <c r="SAO671" i="3" s="1"/>
  <c r="SAN671" i="3" s="1"/>
  <c r="SAM671" i="3" s="1"/>
  <c r="SAL671" i="3" s="1"/>
  <c r="SAK671" i="3" s="1"/>
  <c r="SAJ671" i="3" s="1"/>
  <c r="SAI671" i="3" s="1"/>
  <c r="SAH671" i="3" s="1"/>
  <c r="SAG671" i="3" s="1"/>
  <c r="SAF671" i="3" s="1"/>
  <c r="SAE671" i="3" s="1"/>
  <c r="SAD671" i="3" s="1"/>
  <c r="SAC671" i="3" s="1"/>
  <c r="SAB671" i="3" s="1"/>
  <c r="SAA671" i="3" s="1"/>
  <c r="RZZ671" i="3" s="1"/>
  <c r="RZY671" i="3" s="1"/>
  <c r="RZX671" i="3" s="1"/>
  <c r="RZW671" i="3" s="1"/>
  <c r="RZV671" i="3" s="1"/>
  <c r="RZU671" i="3" s="1"/>
  <c r="RZT671" i="3" s="1"/>
  <c r="RZS671" i="3" s="1"/>
  <c r="RZR671" i="3" s="1"/>
  <c r="RZQ671" i="3" s="1"/>
  <c r="RZP671" i="3" s="1"/>
  <c r="RZO671" i="3" s="1"/>
  <c r="RZN671" i="3" s="1"/>
  <c r="RZM671" i="3" s="1"/>
  <c r="RZL671" i="3" s="1"/>
  <c r="RZK671" i="3" s="1"/>
  <c r="RZJ671" i="3" s="1"/>
  <c r="RZI671" i="3" s="1"/>
  <c r="RZH671" i="3" s="1"/>
  <c r="RZG671" i="3" s="1"/>
  <c r="RZF671" i="3" s="1"/>
  <c r="RZE671" i="3" s="1"/>
  <c r="RZD671" i="3" s="1"/>
  <c r="RZC671" i="3" s="1"/>
  <c r="RZB671" i="3" s="1"/>
  <c r="RZA671" i="3" s="1"/>
  <c r="RYZ671" i="3" s="1"/>
  <c r="RYY671" i="3" s="1"/>
  <c r="RYX671" i="3" s="1"/>
  <c r="RYW671" i="3" s="1"/>
  <c r="RYV671" i="3" s="1"/>
  <c r="RYU671" i="3" s="1"/>
  <c r="RYT671" i="3" s="1"/>
  <c r="RYS671" i="3" s="1"/>
  <c r="RYR671" i="3" s="1"/>
  <c r="RYQ671" i="3" s="1"/>
  <c r="RYP671" i="3" s="1"/>
  <c r="RYO671" i="3" s="1"/>
  <c r="RYN671" i="3" s="1"/>
  <c r="RYM671" i="3" s="1"/>
  <c r="RYL671" i="3" s="1"/>
  <c r="RYK671" i="3" s="1"/>
  <c r="RYJ671" i="3" s="1"/>
  <c r="RYI671" i="3" s="1"/>
  <c r="RYH671" i="3" s="1"/>
  <c r="RYG671" i="3" s="1"/>
  <c r="RYF671" i="3" s="1"/>
  <c r="RYE671" i="3" s="1"/>
  <c r="RYD671" i="3" s="1"/>
  <c r="RYC671" i="3" s="1"/>
  <c r="RYB671" i="3" s="1"/>
  <c r="RYA671" i="3" s="1"/>
  <c r="RXZ671" i="3" s="1"/>
  <c r="RXY671" i="3" s="1"/>
  <c r="RXX671" i="3" s="1"/>
  <c r="RXW671" i="3" s="1"/>
  <c r="RXV671" i="3" s="1"/>
  <c r="RXU671" i="3" s="1"/>
  <c r="RXT671" i="3" s="1"/>
  <c r="RXS671" i="3" s="1"/>
  <c r="RXR671" i="3" s="1"/>
  <c r="RXQ671" i="3" s="1"/>
  <c r="RXP671" i="3" s="1"/>
  <c r="RXO671" i="3" s="1"/>
  <c r="RXN671" i="3" s="1"/>
  <c r="RXM671" i="3" s="1"/>
  <c r="RXL671" i="3" s="1"/>
  <c r="RXK671" i="3" s="1"/>
  <c r="RXJ671" i="3" s="1"/>
  <c r="RXI671" i="3" s="1"/>
  <c r="RXH671" i="3" s="1"/>
  <c r="RXG671" i="3" s="1"/>
  <c r="RXF671" i="3" s="1"/>
  <c r="RXE671" i="3" s="1"/>
  <c r="RXD671" i="3" s="1"/>
  <c r="RXC671" i="3" s="1"/>
  <c r="RXB671" i="3" s="1"/>
  <c r="RXA671" i="3" s="1"/>
  <c r="RWZ671" i="3" s="1"/>
  <c r="RWY671" i="3" s="1"/>
  <c r="RWX671" i="3" s="1"/>
  <c r="RWW671" i="3" s="1"/>
  <c r="RWV671" i="3" s="1"/>
  <c r="RWU671" i="3" s="1"/>
  <c r="RWT671" i="3" s="1"/>
  <c r="RWS671" i="3" s="1"/>
  <c r="RWR671" i="3" s="1"/>
  <c r="RWQ671" i="3" s="1"/>
  <c r="RWP671" i="3" s="1"/>
  <c r="RWO671" i="3" s="1"/>
  <c r="RWN671" i="3" s="1"/>
  <c r="RWM671" i="3" s="1"/>
  <c r="RWL671" i="3" s="1"/>
  <c r="RWK671" i="3" s="1"/>
  <c r="RWJ671" i="3" s="1"/>
  <c r="RWI671" i="3" s="1"/>
  <c r="RWH671" i="3" s="1"/>
  <c r="RWG671" i="3" s="1"/>
  <c r="RWF671" i="3" s="1"/>
  <c r="RWE671" i="3" s="1"/>
  <c r="RWD671" i="3" s="1"/>
  <c r="RWC671" i="3" s="1"/>
  <c r="RWB671" i="3" s="1"/>
  <c r="RWA671" i="3" s="1"/>
  <c r="RVZ671" i="3" s="1"/>
  <c r="RVY671" i="3" s="1"/>
  <c r="RVX671" i="3" s="1"/>
  <c r="RVW671" i="3" s="1"/>
  <c r="RVV671" i="3" s="1"/>
  <c r="RVU671" i="3" s="1"/>
  <c r="RVT671" i="3" s="1"/>
  <c r="RVS671" i="3" s="1"/>
  <c r="RVR671" i="3" s="1"/>
  <c r="RVQ671" i="3" s="1"/>
  <c r="RVP671" i="3" s="1"/>
  <c r="RVO671" i="3" s="1"/>
  <c r="RVN671" i="3" s="1"/>
  <c r="RVM671" i="3" s="1"/>
  <c r="RVL671" i="3" s="1"/>
  <c r="RVK671" i="3" s="1"/>
  <c r="RVJ671" i="3" s="1"/>
  <c r="RVI671" i="3" s="1"/>
  <c r="RVH671" i="3" s="1"/>
  <c r="RVG671" i="3" s="1"/>
  <c r="RVF671" i="3" s="1"/>
  <c r="RVE671" i="3" s="1"/>
  <c r="RVD671" i="3" s="1"/>
  <c r="RVC671" i="3" s="1"/>
  <c r="RVB671" i="3" s="1"/>
  <c r="RVA671" i="3" s="1"/>
  <c r="RUZ671" i="3" s="1"/>
  <c r="RUY671" i="3" s="1"/>
  <c r="RUX671" i="3" s="1"/>
  <c r="RUW671" i="3" s="1"/>
  <c r="RUV671" i="3" s="1"/>
  <c r="RUU671" i="3" s="1"/>
  <c r="RUT671" i="3" s="1"/>
  <c r="RUS671" i="3" s="1"/>
  <c r="RUR671" i="3" s="1"/>
  <c r="RUQ671" i="3" s="1"/>
  <c r="RUP671" i="3" s="1"/>
  <c r="RUO671" i="3" s="1"/>
  <c r="RUN671" i="3" s="1"/>
  <c r="RUM671" i="3" s="1"/>
  <c r="RUL671" i="3" s="1"/>
  <c r="RUK671" i="3" s="1"/>
  <c r="RUJ671" i="3" s="1"/>
  <c r="RUI671" i="3" s="1"/>
  <c r="RUH671" i="3" s="1"/>
  <c r="RUG671" i="3" s="1"/>
  <c r="RUF671" i="3" s="1"/>
  <c r="RUE671" i="3" s="1"/>
  <c r="RUD671" i="3" s="1"/>
  <c r="RUC671" i="3" s="1"/>
  <c r="RUB671" i="3" s="1"/>
  <c r="RUA671" i="3" s="1"/>
  <c r="RTZ671" i="3" s="1"/>
  <c r="RTY671" i="3" s="1"/>
  <c r="RTX671" i="3" s="1"/>
  <c r="RTW671" i="3" s="1"/>
  <c r="RTV671" i="3" s="1"/>
  <c r="RTU671" i="3" s="1"/>
  <c r="RTT671" i="3" s="1"/>
  <c r="RTS671" i="3" s="1"/>
  <c r="RTR671" i="3" s="1"/>
  <c r="RTQ671" i="3" s="1"/>
  <c r="RTP671" i="3" s="1"/>
  <c r="RTO671" i="3" s="1"/>
  <c r="RTN671" i="3" s="1"/>
  <c r="RTM671" i="3" s="1"/>
  <c r="RTL671" i="3" s="1"/>
  <c r="RTK671" i="3" s="1"/>
  <c r="RTJ671" i="3" s="1"/>
  <c r="RTI671" i="3" s="1"/>
  <c r="RTH671" i="3" s="1"/>
  <c r="RTG671" i="3" s="1"/>
  <c r="RTF671" i="3" s="1"/>
  <c r="RTE671" i="3" s="1"/>
  <c r="RTD671" i="3" s="1"/>
  <c r="RTC671" i="3" s="1"/>
  <c r="RTB671" i="3" s="1"/>
  <c r="RTA671" i="3" s="1"/>
  <c r="RSZ671" i="3" s="1"/>
  <c r="RSY671" i="3" s="1"/>
  <c r="RSX671" i="3" s="1"/>
  <c r="RSW671" i="3" s="1"/>
  <c r="RSV671" i="3" s="1"/>
  <c r="RSU671" i="3" s="1"/>
  <c r="RST671" i="3" s="1"/>
  <c r="RSS671" i="3" s="1"/>
  <c r="RSR671" i="3" s="1"/>
  <c r="RSQ671" i="3" s="1"/>
  <c r="RSP671" i="3" s="1"/>
  <c r="RSO671" i="3" s="1"/>
  <c r="RSN671" i="3" s="1"/>
  <c r="RSM671" i="3" s="1"/>
  <c r="RSL671" i="3" s="1"/>
  <c r="RSK671" i="3" s="1"/>
  <c r="RSJ671" i="3" s="1"/>
  <c r="RSI671" i="3" s="1"/>
  <c r="RSH671" i="3" s="1"/>
  <c r="RSG671" i="3" s="1"/>
  <c r="RSF671" i="3" s="1"/>
  <c r="RSE671" i="3" s="1"/>
  <c r="RSD671" i="3" s="1"/>
  <c r="RSC671" i="3" s="1"/>
  <c r="RSB671" i="3" s="1"/>
  <c r="RSA671" i="3" s="1"/>
  <c r="RRZ671" i="3" s="1"/>
  <c r="RRY671" i="3" s="1"/>
  <c r="RRX671" i="3" s="1"/>
  <c r="RRW671" i="3" s="1"/>
  <c r="RRV671" i="3" s="1"/>
  <c r="RRU671" i="3" s="1"/>
  <c r="RRT671" i="3" s="1"/>
  <c r="RRS671" i="3" s="1"/>
  <c r="RRR671" i="3" s="1"/>
  <c r="RRQ671" i="3" s="1"/>
  <c r="RRP671" i="3" s="1"/>
  <c r="RRO671" i="3" s="1"/>
  <c r="RRN671" i="3" s="1"/>
  <c r="RRM671" i="3" s="1"/>
  <c r="RRL671" i="3" s="1"/>
  <c r="RRK671" i="3" s="1"/>
  <c r="RRJ671" i="3" s="1"/>
  <c r="RRI671" i="3" s="1"/>
  <c r="RRH671" i="3" s="1"/>
  <c r="RRG671" i="3" s="1"/>
  <c r="RRF671" i="3" s="1"/>
  <c r="RRE671" i="3" s="1"/>
  <c r="RRD671" i="3" s="1"/>
  <c r="RRC671" i="3" s="1"/>
  <c r="RRB671" i="3" s="1"/>
  <c r="RRA671" i="3" s="1"/>
  <c r="RQZ671" i="3" s="1"/>
  <c r="RQY671" i="3" s="1"/>
  <c r="RQX671" i="3" s="1"/>
  <c r="RQW671" i="3" s="1"/>
  <c r="RQV671" i="3" s="1"/>
  <c r="RQU671" i="3" s="1"/>
  <c r="RQT671" i="3" s="1"/>
  <c r="RQS671" i="3" s="1"/>
  <c r="RQR671" i="3" s="1"/>
  <c r="RQQ671" i="3" s="1"/>
  <c r="RQP671" i="3" s="1"/>
  <c r="RQO671" i="3" s="1"/>
  <c r="RQN671" i="3" s="1"/>
  <c r="RQM671" i="3" s="1"/>
  <c r="RQL671" i="3" s="1"/>
  <c r="RQK671" i="3" s="1"/>
  <c r="RQJ671" i="3" s="1"/>
  <c r="RQI671" i="3" s="1"/>
  <c r="RQH671" i="3" s="1"/>
  <c r="RQG671" i="3" s="1"/>
  <c r="RQF671" i="3" s="1"/>
  <c r="RQE671" i="3" s="1"/>
  <c r="RQD671" i="3" s="1"/>
  <c r="RQC671" i="3" s="1"/>
  <c r="RQB671" i="3" s="1"/>
  <c r="RQA671" i="3" s="1"/>
  <c r="RPZ671" i="3" s="1"/>
  <c r="RPY671" i="3" s="1"/>
  <c r="RPX671" i="3" s="1"/>
  <c r="RPW671" i="3" s="1"/>
  <c r="RPV671" i="3" s="1"/>
  <c r="RPU671" i="3" s="1"/>
  <c r="RPT671" i="3" s="1"/>
  <c r="RPS671" i="3" s="1"/>
  <c r="RPR671" i="3" s="1"/>
  <c r="RPQ671" i="3" s="1"/>
  <c r="RPP671" i="3" s="1"/>
  <c r="RPO671" i="3" s="1"/>
  <c r="RPN671" i="3" s="1"/>
  <c r="RPM671" i="3" s="1"/>
  <c r="RPL671" i="3" s="1"/>
  <c r="RPK671" i="3" s="1"/>
  <c r="RPJ671" i="3" s="1"/>
  <c r="RPI671" i="3" s="1"/>
  <c r="RPH671" i="3" s="1"/>
  <c r="RPG671" i="3" s="1"/>
  <c r="RPF671" i="3" s="1"/>
  <c r="RPE671" i="3" s="1"/>
  <c r="RPD671" i="3" s="1"/>
  <c r="RPC671" i="3" s="1"/>
  <c r="RPB671" i="3" s="1"/>
  <c r="RPA671" i="3" s="1"/>
  <c r="ROZ671" i="3" s="1"/>
  <c r="ROY671" i="3" s="1"/>
  <c r="ROX671" i="3" s="1"/>
  <c r="ROW671" i="3" s="1"/>
  <c r="ROV671" i="3" s="1"/>
  <c r="ROU671" i="3" s="1"/>
  <c r="ROT671" i="3" s="1"/>
  <c r="ROS671" i="3" s="1"/>
  <c r="ROR671" i="3" s="1"/>
  <c r="ROQ671" i="3" s="1"/>
  <c r="ROP671" i="3" s="1"/>
  <c r="ROO671" i="3" s="1"/>
  <c r="RON671" i="3" s="1"/>
  <c r="ROM671" i="3" s="1"/>
  <c r="ROL671" i="3" s="1"/>
  <c r="ROK671" i="3" s="1"/>
  <c r="ROJ671" i="3" s="1"/>
  <c r="ROI671" i="3" s="1"/>
  <c r="ROH671" i="3" s="1"/>
  <c r="ROG671" i="3" s="1"/>
  <c r="ROF671" i="3" s="1"/>
  <c r="ROE671" i="3" s="1"/>
  <c r="ROD671" i="3" s="1"/>
  <c r="ROC671" i="3" s="1"/>
  <c r="ROB671" i="3" s="1"/>
  <c r="ROA671" i="3" s="1"/>
  <c r="RNZ671" i="3" s="1"/>
  <c r="RNY671" i="3" s="1"/>
  <c r="RNX671" i="3" s="1"/>
  <c r="RNW671" i="3" s="1"/>
  <c r="RNV671" i="3" s="1"/>
  <c r="RNU671" i="3" s="1"/>
  <c r="RNT671" i="3" s="1"/>
  <c r="RNS671" i="3" s="1"/>
  <c r="RNR671" i="3" s="1"/>
  <c r="RNQ671" i="3" s="1"/>
  <c r="RNP671" i="3" s="1"/>
  <c r="RNO671" i="3" s="1"/>
  <c r="RNN671" i="3" s="1"/>
  <c r="RNM671" i="3" s="1"/>
  <c r="RNL671" i="3" s="1"/>
  <c r="RNK671" i="3" s="1"/>
  <c r="RNJ671" i="3" s="1"/>
  <c r="RNI671" i="3" s="1"/>
  <c r="RNH671" i="3" s="1"/>
  <c r="RNG671" i="3" s="1"/>
  <c r="RNF671" i="3" s="1"/>
  <c r="RNE671" i="3" s="1"/>
  <c r="RND671" i="3" s="1"/>
  <c r="RNC671" i="3" s="1"/>
  <c r="RNB671" i="3" s="1"/>
  <c r="RNA671" i="3" s="1"/>
  <c r="RMZ671" i="3" s="1"/>
  <c r="RMY671" i="3" s="1"/>
  <c r="RMX671" i="3" s="1"/>
  <c r="RMW671" i="3" s="1"/>
  <c r="RMV671" i="3" s="1"/>
  <c r="RMU671" i="3" s="1"/>
  <c r="RMT671" i="3" s="1"/>
  <c r="RMS671" i="3" s="1"/>
  <c r="RMR671" i="3" s="1"/>
  <c r="RMQ671" i="3" s="1"/>
  <c r="RMP671" i="3" s="1"/>
  <c r="RMO671" i="3" s="1"/>
  <c r="RMN671" i="3" s="1"/>
  <c r="RMM671" i="3" s="1"/>
  <c r="RML671" i="3" s="1"/>
  <c r="RMK671" i="3" s="1"/>
  <c r="RMJ671" i="3" s="1"/>
  <c r="RMI671" i="3" s="1"/>
  <c r="RMH671" i="3" s="1"/>
  <c r="RMG671" i="3" s="1"/>
  <c r="RMF671" i="3" s="1"/>
  <c r="RME671" i="3" s="1"/>
  <c r="RMD671" i="3" s="1"/>
  <c r="RMC671" i="3" s="1"/>
  <c r="RMB671" i="3" s="1"/>
  <c r="RMA671" i="3" s="1"/>
  <c r="RLZ671" i="3" s="1"/>
  <c r="RLY671" i="3" s="1"/>
  <c r="RLX671" i="3" s="1"/>
  <c r="RLW671" i="3" s="1"/>
  <c r="RLV671" i="3" s="1"/>
  <c r="RLU671" i="3" s="1"/>
  <c r="RLT671" i="3" s="1"/>
  <c r="RLS671" i="3" s="1"/>
  <c r="RLR671" i="3" s="1"/>
  <c r="RLQ671" i="3" s="1"/>
  <c r="RLP671" i="3" s="1"/>
  <c r="RLO671" i="3" s="1"/>
  <c r="RLN671" i="3" s="1"/>
  <c r="RLM671" i="3" s="1"/>
  <c r="RLL671" i="3" s="1"/>
  <c r="RLK671" i="3" s="1"/>
  <c r="RLJ671" i="3" s="1"/>
  <c r="RLI671" i="3" s="1"/>
  <c r="RLH671" i="3" s="1"/>
  <c r="RLG671" i="3" s="1"/>
  <c r="RLF671" i="3" s="1"/>
  <c r="RLE671" i="3" s="1"/>
  <c r="RLD671" i="3" s="1"/>
  <c r="RLC671" i="3" s="1"/>
  <c r="RLB671" i="3" s="1"/>
  <c r="RLA671" i="3" s="1"/>
  <c r="RKZ671" i="3" s="1"/>
  <c r="RKY671" i="3" s="1"/>
  <c r="RKX671" i="3" s="1"/>
  <c r="RKW671" i="3" s="1"/>
  <c r="RKV671" i="3" s="1"/>
  <c r="RKU671" i="3" s="1"/>
  <c r="RKT671" i="3" s="1"/>
  <c r="RKS671" i="3" s="1"/>
  <c r="RKR671" i="3" s="1"/>
  <c r="RKQ671" i="3" s="1"/>
  <c r="RKP671" i="3" s="1"/>
  <c r="RKO671" i="3" s="1"/>
  <c r="RKN671" i="3" s="1"/>
  <c r="RKM671" i="3" s="1"/>
  <c r="RKL671" i="3" s="1"/>
  <c r="RKK671" i="3" s="1"/>
  <c r="RKJ671" i="3" s="1"/>
  <c r="RKI671" i="3" s="1"/>
  <c r="RKH671" i="3" s="1"/>
  <c r="RKG671" i="3" s="1"/>
  <c r="RKF671" i="3" s="1"/>
  <c r="RKE671" i="3" s="1"/>
  <c r="RKD671" i="3" s="1"/>
  <c r="RKC671" i="3" s="1"/>
  <c r="RKB671" i="3" s="1"/>
  <c r="RKA671" i="3" s="1"/>
  <c r="RJZ671" i="3" s="1"/>
  <c r="RJY671" i="3" s="1"/>
  <c r="RJX671" i="3" s="1"/>
  <c r="RJW671" i="3" s="1"/>
  <c r="RJV671" i="3" s="1"/>
  <c r="RJU671" i="3" s="1"/>
  <c r="RJT671" i="3" s="1"/>
  <c r="RJS671" i="3" s="1"/>
  <c r="RJR671" i="3" s="1"/>
  <c r="RJQ671" i="3" s="1"/>
  <c r="RJP671" i="3" s="1"/>
  <c r="RJO671" i="3" s="1"/>
  <c r="RJN671" i="3" s="1"/>
  <c r="RJM671" i="3" s="1"/>
  <c r="RJL671" i="3" s="1"/>
  <c r="RJK671" i="3" s="1"/>
  <c r="RJJ671" i="3" s="1"/>
  <c r="RJI671" i="3" s="1"/>
  <c r="RJH671" i="3" s="1"/>
  <c r="RJG671" i="3" s="1"/>
  <c r="RJF671" i="3" s="1"/>
  <c r="RJE671" i="3" s="1"/>
  <c r="RJD671" i="3" s="1"/>
  <c r="RJC671" i="3" s="1"/>
  <c r="RJB671" i="3" s="1"/>
  <c r="RJA671" i="3" s="1"/>
  <c r="RIZ671" i="3" s="1"/>
  <c r="RIY671" i="3" s="1"/>
  <c r="RIX671" i="3" s="1"/>
  <c r="RIW671" i="3" s="1"/>
  <c r="RIV671" i="3" s="1"/>
  <c r="RIU671" i="3" s="1"/>
  <c r="RIT671" i="3" s="1"/>
  <c r="RIS671" i="3" s="1"/>
  <c r="RIR671" i="3" s="1"/>
  <c r="RIQ671" i="3" s="1"/>
  <c r="RIP671" i="3" s="1"/>
  <c r="RIO671" i="3" s="1"/>
  <c r="RIN671" i="3" s="1"/>
  <c r="RIM671" i="3" s="1"/>
  <c r="RIL671" i="3" s="1"/>
  <c r="RIK671" i="3" s="1"/>
  <c r="RIJ671" i="3" s="1"/>
  <c r="RII671" i="3" s="1"/>
  <c r="RIH671" i="3" s="1"/>
  <c r="RIG671" i="3" s="1"/>
  <c r="RIF671" i="3" s="1"/>
  <c r="RIE671" i="3" s="1"/>
  <c r="RID671" i="3" s="1"/>
  <c r="RIC671" i="3" s="1"/>
  <c r="RIB671" i="3" s="1"/>
  <c r="RIA671" i="3" s="1"/>
  <c r="RHZ671" i="3" s="1"/>
  <c r="RHY671" i="3" s="1"/>
  <c r="RHX671" i="3" s="1"/>
  <c r="RHW671" i="3" s="1"/>
  <c r="RHV671" i="3" s="1"/>
  <c r="RHU671" i="3" s="1"/>
  <c r="RHT671" i="3" s="1"/>
  <c r="RHS671" i="3" s="1"/>
  <c r="RHR671" i="3" s="1"/>
  <c r="RHQ671" i="3" s="1"/>
  <c r="RHP671" i="3" s="1"/>
  <c r="RHO671" i="3" s="1"/>
  <c r="RHN671" i="3" s="1"/>
  <c r="RHM671" i="3" s="1"/>
  <c r="RHL671" i="3" s="1"/>
  <c r="RHK671" i="3" s="1"/>
  <c r="RHJ671" i="3" s="1"/>
  <c r="RHI671" i="3" s="1"/>
  <c r="RHH671" i="3" s="1"/>
  <c r="RHG671" i="3" s="1"/>
  <c r="RHF671" i="3" s="1"/>
  <c r="RHE671" i="3" s="1"/>
  <c r="RHD671" i="3" s="1"/>
  <c r="RHC671" i="3" s="1"/>
  <c r="RHB671" i="3" s="1"/>
  <c r="RHA671" i="3" s="1"/>
  <c r="RGZ671" i="3" s="1"/>
  <c r="RGY671" i="3" s="1"/>
  <c r="RGX671" i="3" s="1"/>
  <c r="RGW671" i="3" s="1"/>
  <c r="RGV671" i="3" s="1"/>
  <c r="RGU671" i="3" s="1"/>
  <c r="RGT671" i="3" s="1"/>
  <c r="RGS671" i="3" s="1"/>
  <c r="RGR671" i="3" s="1"/>
  <c r="RGQ671" i="3" s="1"/>
  <c r="RGP671" i="3" s="1"/>
  <c r="RGO671" i="3" s="1"/>
  <c r="RGN671" i="3" s="1"/>
  <c r="RGM671" i="3" s="1"/>
  <c r="RGL671" i="3" s="1"/>
  <c r="RGK671" i="3" s="1"/>
  <c r="RGJ671" i="3" s="1"/>
  <c r="RGI671" i="3" s="1"/>
  <c r="RGH671" i="3" s="1"/>
  <c r="RGG671" i="3" s="1"/>
  <c r="RGF671" i="3" s="1"/>
  <c r="RGE671" i="3" s="1"/>
  <c r="RGD671" i="3" s="1"/>
  <c r="RGC671" i="3" s="1"/>
  <c r="RGB671" i="3" s="1"/>
  <c r="RGA671" i="3" s="1"/>
  <c r="RFZ671" i="3" s="1"/>
  <c r="RFY671" i="3" s="1"/>
  <c r="RFX671" i="3" s="1"/>
  <c r="RFW671" i="3" s="1"/>
  <c r="RFV671" i="3" s="1"/>
  <c r="RFU671" i="3" s="1"/>
  <c r="RFT671" i="3" s="1"/>
  <c r="RFS671" i="3" s="1"/>
  <c r="RFR671" i="3" s="1"/>
  <c r="RFQ671" i="3" s="1"/>
  <c r="RFP671" i="3" s="1"/>
  <c r="RFO671" i="3" s="1"/>
  <c r="RFN671" i="3" s="1"/>
  <c r="RFM671" i="3" s="1"/>
  <c r="RFL671" i="3" s="1"/>
  <c r="RFK671" i="3" s="1"/>
  <c r="RFJ671" i="3" s="1"/>
  <c r="RFI671" i="3" s="1"/>
  <c r="RFH671" i="3" s="1"/>
  <c r="RFG671" i="3" s="1"/>
  <c r="RFF671" i="3" s="1"/>
  <c r="RFE671" i="3" s="1"/>
  <c r="RFD671" i="3" s="1"/>
  <c r="RFC671" i="3" s="1"/>
  <c r="RFB671" i="3" s="1"/>
  <c r="RFA671" i="3" s="1"/>
  <c r="REZ671" i="3" s="1"/>
  <c r="REY671" i="3" s="1"/>
  <c r="REX671" i="3" s="1"/>
  <c r="REW671" i="3" s="1"/>
  <c r="REV671" i="3" s="1"/>
  <c r="REU671" i="3" s="1"/>
  <c r="RET671" i="3" s="1"/>
  <c r="RES671" i="3" s="1"/>
  <c r="RER671" i="3" s="1"/>
  <c r="REQ671" i="3" s="1"/>
  <c r="REP671" i="3" s="1"/>
  <c r="REO671" i="3" s="1"/>
  <c r="REN671" i="3" s="1"/>
  <c r="REM671" i="3" s="1"/>
  <c r="REL671" i="3" s="1"/>
  <c r="REK671" i="3" s="1"/>
  <c r="REJ671" i="3" s="1"/>
  <c r="REI671" i="3" s="1"/>
  <c r="REH671" i="3" s="1"/>
  <c r="REG671" i="3" s="1"/>
  <c r="REF671" i="3" s="1"/>
  <c r="REE671" i="3" s="1"/>
  <c r="RED671" i="3" s="1"/>
  <c r="REC671" i="3" s="1"/>
  <c r="REB671" i="3" s="1"/>
  <c r="REA671" i="3" s="1"/>
  <c r="RDZ671" i="3" s="1"/>
  <c r="RDY671" i="3" s="1"/>
  <c r="RDX671" i="3" s="1"/>
  <c r="RDW671" i="3" s="1"/>
  <c r="RDV671" i="3" s="1"/>
  <c r="RDU671" i="3" s="1"/>
  <c r="RDT671" i="3" s="1"/>
  <c r="RDS671" i="3" s="1"/>
  <c r="RDR671" i="3" s="1"/>
  <c r="RDQ671" i="3" s="1"/>
  <c r="RDP671" i="3" s="1"/>
  <c r="RDO671" i="3" s="1"/>
  <c r="RDN671" i="3" s="1"/>
  <c r="RDM671" i="3" s="1"/>
  <c r="RDL671" i="3" s="1"/>
  <c r="RDK671" i="3" s="1"/>
  <c r="RDJ671" i="3" s="1"/>
  <c r="RDI671" i="3" s="1"/>
  <c r="RDH671" i="3" s="1"/>
  <c r="RDG671" i="3" s="1"/>
  <c r="RDF671" i="3" s="1"/>
  <c r="RDE671" i="3" s="1"/>
  <c r="RDD671" i="3" s="1"/>
  <c r="RDC671" i="3" s="1"/>
  <c r="RDB671" i="3" s="1"/>
  <c r="RDA671" i="3" s="1"/>
  <c r="RCZ671" i="3" s="1"/>
  <c r="RCY671" i="3" s="1"/>
  <c r="RCX671" i="3" s="1"/>
  <c r="RCW671" i="3" s="1"/>
  <c r="RCV671" i="3" s="1"/>
  <c r="RCU671" i="3" s="1"/>
  <c r="RCT671" i="3" s="1"/>
  <c r="RCS671" i="3" s="1"/>
  <c r="RCR671" i="3" s="1"/>
  <c r="RCQ671" i="3" s="1"/>
  <c r="RCP671" i="3" s="1"/>
  <c r="RCO671" i="3" s="1"/>
  <c r="RCN671" i="3" s="1"/>
  <c r="RCM671" i="3" s="1"/>
  <c r="RCL671" i="3" s="1"/>
  <c r="RCK671" i="3" s="1"/>
  <c r="RCJ671" i="3" s="1"/>
  <c r="RCI671" i="3" s="1"/>
  <c r="RCH671" i="3" s="1"/>
  <c r="RCG671" i="3" s="1"/>
  <c r="RCF671" i="3" s="1"/>
  <c r="RCE671" i="3" s="1"/>
  <c r="RCD671" i="3" s="1"/>
  <c r="RCC671" i="3" s="1"/>
  <c r="RCB671" i="3" s="1"/>
  <c r="RCA671" i="3" s="1"/>
  <c r="RBZ671" i="3" s="1"/>
  <c r="RBY671" i="3" s="1"/>
  <c r="RBX671" i="3" s="1"/>
  <c r="RBW671" i="3" s="1"/>
  <c r="RBV671" i="3" s="1"/>
  <c r="RBU671" i="3" s="1"/>
  <c r="RBT671" i="3" s="1"/>
  <c r="RBS671" i="3" s="1"/>
  <c r="RBR671" i="3" s="1"/>
  <c r="RBQ671" i="3" s="1"/>
  <c r="RBP671" i="3" s="1"/>
  <c r="RBO671" i="3" s="1"/>
  <c r="RBN671" i="3" s="1"/>
  <c r="RBM671" i="3" s="1"/>
  <c r="RBL671" i="3" s="1"/>
  <c r="RBK671" i="3" s="1"/>
  <c r="RBJ671" i="3" s="1"/>
  <c r="RBI671" i="3" s="1"/>
  <c r="RBH671" i="3" s="1"/>
  <c r="RBG671" i="3" s="1"/>
  <c r="RBF671" i="3" s="1"/>
  <c r="RBE671" i="3" s="1"/>
  <c r="RBD671" i="3" s="1"/>
  <c r="RBC671" i="3" s="1"/>
  <c r="RBB671" i="3" s="1"/>
  <c r="RBA671" i="3" s="1"/>
  <c r="RAZ671" i="3" s="1"/>
  <c r="RAY671" i="3" s="1"/>
  <c r="RAX671" i="3" s="1"/>
  <c r="RAW671" i="3" s="1"/>
  <c r="RAV671" i="3" s="1"/>
  <c r="RAU671" i="3" s="1"/>
  <c r="RAT671" i="3" s="1"/>
  <c r="RAS671" i="3" s="1"/>
  <c r="RAR671" i="3" s="1"/>
  <c r="RAQ671" i="3" s="1"/>
  <c r="RAP671" i="3" s="1"/>
  <c r="RAO671" i="3" s="1"/>
  <c r="RAN671" i="3" s="1"/>
  <c r="RAM671" i="3" s="1"/>
  <c r="RAL671" i="3" s="1"/>
  <c r="RAK671" i="3" s="1"/>
  <c r="RAJ671" i="3" s="1"/>
  <c r="RAI671" i="3" s="1"/>
  <c r="RAH671" i="3" s="1"/>
  <c r="RAG671" i="3" s="1"/>
  <c r="RAF671" i="3" s="1"/>
  <c r="RAE671" i="3" s="1"/>
  <c r="RAD671" i="3" s="1"/>
  <c r="RAC671" i="3" s="1"/>
  <c r="RAB671" i="3" s="1"/>
  <c r="RAA671" i="3" s="1"/>
  <c r="QZZ671" i="3" s="1"/>
  <c r="QZY671" i="3" s="1"/>
  <c r="QZX671" i="3" s="1"/>
  <c r="QZW671" i="3" s="1"/>
  <c r="QZV671" i="3" s="1"/>
  <c r="QZU671" i="3" s="1"/>
  <c r="QZT671" i="3" s="1"/>
  <c r="QZS671" i="3" s="1"/>
  <c r="QZR671" i="3" s="1"/>
  <c r="QZQ671" i="3" s="1"/>
  <c r="QZP671" i="3" s="1"/>
  <c r="QZO671" i="3" s="1"/>
  <c r="QZN671" i="3" s="1"/>
  <c r="QZM671" i="3" s="1"/>
  <c r="QZL671" i="3" s="1"/>
  <c r="QZK671" i="3" s="1"/>
  <c r="QZJ671" i="3" s="1"/>
  <c r="QZI671" i="3" s="1"/>
  <c r="QZH671" i="3" s="1"/>
  <c r="QZG671" i="3" s="1"/>
  <c r="QZF671" i="3" s="1"/>
  <c r="QZE671" i="3" s="1"/>
  <c r="QZD671" i="3" s="1"/>
  <c r="QZC671" i="3" s="1"/>
  <c r="QZB671" i="3" s="1"/>
  <c r="QZA671" i="3" s="1"/>
  <c r="QYZ671" i="3" s="1"/>
  <c r="QYY671" i="3" s="1"/>
  <c r="QYX671" i="3" s="1"/>
  <c r="QYW671" i="3" s="1"/>
  <c r="QYV671" i="3" s="1"/>
  <c r="QYU671" i="3" s="1"/>
  <c r="QYT671" i="3" s="1"/>
  <c r="QYS671" i="3" s="1"/>
  <c r="QYR671" i="3" s="1"/>
  <c r="QYQ671" i="3" s="1"/>
  <c r="QYP671" i="3" s="1"/>
  <c r="QYO671" i="3" s="1"/>
  <c r="QYN671" i="3" s="1"/>
  <c r="QYM671" i="3" s="1"/>
  <c r="QYL671" i="3" s="1"/>
  <c r="QYK671" i="3" s="1"/>
  <c r="QYJ671" i="3" s="1"/>
  <c r="QYI671" i="3" s="1"/>
  <c r="QYH671" i="3" s="1"/>
  <c r="QYG671" i="3" s="1"/>
  <c r="QYF671" i="3" s="1"/>
  <c r="QYE671" i="3" s="1"/>
  <c r="QYD671" i="3" s="1"/>
  <c r="QYC671" i="3" s="1"/>
  <c r="QYB671" i="3" s="1"/>
  <c r="QYA671" i="3" s="1"/>
  <c r="QXZ671" i="3" s="1"/>
  <c r="QXY671" i="3" s="1"/>
  <c r="QXX671" i="3" s="1"/>
  <c r="QXW671" i="3" s="1"/>
  <c r="QXV671" i="3" s="1"/>
  <c r="QXU671" i="3" s="1"/>
  <c r="QXT671" i="3" s="1"/>
  <c r="QXS671" i="3" s="1"/>
  <c r="QXR671" i="3" s="1"/>
  <c r="QXQ671" i="3" s="1"/>
  <c r="QXP671" i="3" s="1"/>
  <c r="QXO671" i="3" s="1"/>
  <c r="QXN671" i="3" s="1"/>
  <c r="QXM671" i="3" s="1"/>
  <c r="QXL671" i="3" s="1"/>
  <c r="QXK671" i="3" s="1"/>
  <c r="QXJ671" i="3" s="1"/>
  <c r="QXI671" i="3" s="1"/>
  <c r="QXH671" i="3" s="1"/>
  <c r="QXG671" i="3" s="1"/>
  <c r="QXF671" i="3" s="1"/>
  <c r="QXE671" i="3" s="1"/>
  <c r="QXD671" i="3" s="1"/>
  <c r="QXC671" i="3" s="1"/>
  <c r="QXB671" i="3" s="1"/>
  <c r="QXA671" i="3" s="1"/>
  <c r="QWZ671" i="3" s="1"/>
  <c r="QWY671" i="3" s="1"/>
  <c r="QWX671" i="3" s="1"/>
  <c r="QWW671" i="3" s="1"/>
  <c r="QWV671" i="3" s="1"/>
  <c r="QWU671" i="3" s="1"/>
  <c r="QWT671" i="3" s="1"/>
  <c r="QWS671" i="3" s="1"/>
  <c r="QWR671" i="3" s="1"/>
  <c r="QWQ671" i="3" s="1"/>
  <c r="QWP671" i="3" s="1"/>
  <c r="QWO671" i="3" s="1"/>
  <c r="QWN671" i="3" s="1"/>
  <c r="QWM671" i="3" s="1"/>
  <c r="QWL671" i="3" s="1"/>
  <c r="QWK671" i="3" s="1"/>
  <c r="QWJ671" i="3" s="1"/>
  <c r="QWI671" i="3" s="1"/>
  <c r="QWH671" i="3" s="1"/>
  <c r="QWG671" i="3" s="1"/>
  <c r="QWF671" i="3" s="1"/>
  <c r="QWE671" i="3" s="1"/>
  <c r="QWD671" i="3" s="1"/>
  <c r="QWC671" i="3" s="1"/>
  <c r="QWB671" i="3" s="1"/>
  <c r="QWA671" i="3" s="1"/>
  <c r="QVZ671" i="3" s="1"/>
  <c r="QVY671" i="3" s="1"/>
  <c r="QVX671" i="3" s="1"/>
  <c r="QVW671" i="3" s="1"/>
  <c r="QVV671" i="3" s="1"/>
  <c r="QVU671" i="3" s="1"/>
  <c r="QVT671" i="3" s="1"/>
  <c r="QVS671" i="3" s="1"/>
  <c r="QVR671" i="3" s="1"/>
  <c r="QVQ671" i="3" s="1"/>
  <c r="QVP671" i="3" s="1"/>
  <c r="QVO671" i="3" s="1"/>
  <c r="QVN671" i="3" s="1"/>
  <c r="QVM671" i="3" s="1"/>
  <c r="QVL671" i="3" s="1"/>
  <c r="QVK671" i="3" s="1"/>
  <c r="QVJ671" i="3" s="1"/>
  <c r="QVI671" i="3" s="1"/>
  <c r="QVH671" i="3" s="1"/>
  <c r="QVG671" i="3" s="1"/>
  <c r="QVF671" i="3" s="1"/>
  <c r="QVE671" i="3" s="1"/>
  <c r="QVD671" i="3" s="1"/>
  <c r="QVC671" i="3" s="1"/>
  <c r="QVB671" i="3" s="1"/>
  <c r="QVA671" i="3" s="1"/>
  <c r="QUZ671" i="3" s="1"/>
  <c r="QUY671" i="3" s="1"/>
  <c r="QUX671" i="3" s="1"/>
  <c r="QUW671" i="3" s="1"/>
  <c r="QUV671" i="3" s="1"/>
  <c r="QUU671" i="3" s="1"/>
  <c r="QUT671" i="3" s="1"/>
  <c r="QUS671" i="3" s="1"/>
  <c r="QUR671" i="3" s="1"/>
  <c r="QUQ671" i="3" s="1"/>
  <c r="QUP671" i="3" s="1"/>
  <c r="QUO671" i="3" s="1"/>
  <c r="QUN671" i="3" s="1"/>
  <c r="QUM671" i="3" s="1"/>
  <c r="QUL671" i="3" s="1"/>
  <c r="QUK671" i="3" s="1"/>
  <c r="QUJ671" i="3" s="1"/>
  <c r="QUI671" i="3" s="1"/>
  <c r="QUH671" i="3" s="1"/>
  <c r="QUG671" i="3" s="1"/>
  <c r="QUF671" i="3" s="1"/>
  <c r="QUE671" i="3" s="1"/>
  <c r="QUD671" i="3" s="1"/>
  <c r="QUC671" i="3" s="1"/>
  <c r="QUB671" i="3" s="1"/>
  <c r="QUA671" i="3" s="1"/>
  <c r="QTZ671" i="3" s="1"/>
  <c r="QTY671" i="3" s="1"/>
  <c r="QTX671" i="3" s="1"/>
  <c r="QTW671" i="3" s="1"/>
  <c r="QTV671" i="3" s="1"/>
  <c r="QTU671" i="3" s="1"/>
  <c r="QTT671" i="3" s="1"/>
  <c r="QTS671" i="3" s="1"/>
  <c r="QTR671" i="3" s="1"/>
  <c r="QTQ671" i="3" s="1"/>
  <c r="QTP671" i="3" s="1"/>
  <c r="QTO671" i="3" s="1"/>
  <c r="QTN671" i="3" s="1"/>
  <c r="QTM671" i="3" s="1"/>
  <c r="QTL671" i="3" s="1"/>
  <c r="QTK671" i="3" s="1"/>
  <c r="QTJ671" i="3" s="1"/>
  <c r="QTI671" i="3" s="1"/>
  <c r="QTH671" i="3" s="1"/>
  <c r="QTG671" i="3" s="1"/>
  <c r="QTF671" i="3" s="1"/>
  <c r="QTE671" i="3" s="1"/>
  <c r="QTD671" i="3" s="1"/>
  <c r="QTC671" i="3" s="1"/>
  <c r="QTB671" i="3" s="1"/>
  <c r="QTA671" i="3" s="1"/>
  <c r="QSZ671" i="3" s="1"/>
  <c r="QSY671" i="3" s="1"/>
  <c r="QSX671" i="3" s="1"/>
  <c r="QSW671" i="3" s="1"/>
  <c r="QSV671" i="3" s="1"/>
  <c r="QSU671" i="3" s="1"/>
  <c r="QST671" i="3" s="1"/>
  <c r="QSS671" i="3" s="1"/>
  <c r="QSR671" i="3" s="1"/>
  <c r="QSQ671" i="3" s="1"/>
  <c r="QSP671" i="3" s="1"/>
  <c r="QSO671" i="3" s="1"/>
  <c r="QSN671" i="3" s="1"/>
  <c r="QSM671" i="3" s="1"/>
  <c r="QSL671" i="3" s="1"/>
  <c r="QSK671" i="3" s="1"/>
  <c r="QSJ671" i="3" s="1"/>
  <c r="QSI671" i="3" s="1"/>
  <c r="QSH671" i="3" s="1"/>
  <c r="QSG671" i="3" s="1"/>
  <c r="QSF671" i="3" s="1"/>
  <c r="QSE671" i="3" s="1"/>
  <c r="QSD671" i="3" s="1"/>
  <c r="QSC671" i="3" s="1"/>
  <c r="QSB671" i="3" s="1"/>
  <c r="QSA671" i="3" s="1"/>
  <c r="QRZ671" i="3" s="1"/>
  <c r="QRY671" i="3" s="1"/>
  <c r="QRX671" i="3" s="1"/>
  <c r="QRW671" i="3" s="1"/>
  <c r="QRV671" i="3" s="1"/>
  <c r="QRU671" i="3" s="1"/>
  <c r="QRT671" i="3" s="1"/>
  <c r="QRS671" i="3" s="1"/>
  <c r="QRR671" i="3" s="1"/>
  <c r="QRQ671" i="3" s="1"/>
  <c r="QRP671" i="3" s="1"/>
  <c r="QRO671" i="3" s="1"/>
  <c r="QRN671" i="3" s="1"/>
  <c r="QRM671" i="3" s="1"/>
  <c r="QRL671" i="3" s="1"/>
  <c r="QRK671" i="3" s="1"/>
  <c r="QRJ671" i="3" s="1"/>
  <c r="QRI671" i="3" s="1"/>
  <c r="QRH671" i="3" s="1"/>
  <c r="QRG671" i="3" s="1"/>
  <c r="QRF671" i="3" s="1"/>
  <c r="QRE671" i="3" s="1"/>
  <c r="QRD671" i="3" s="1"/>
  <c r="QRC671" i="3" s="1"/>
  <c r="QRB671" i="3" s="1"/>
  <c r="QRA671" i="3" s="1"/>
  <c r="QQZ671" i="3" s="1"/>
  <c r="QQY671" i="3" s="1"/>
  <c r="QQX671" i="3" s="1"/>
  <c r="QQW671" i="3" s="1"/>
  <c r="QQV671" i="3" s="1"/>
  <c r="QQU671" i="3" s="1"/>
  <c r="QQT671" i="3" s="1"/>
  <c r="QQS671" i="3" s="1"/>
  <c r="QQR671" i="3" s="1"/>
  <c r="QQQ671" i="3" s="1"/>
  <c r="QQP671" i="3" s="1"/>
  <c r="QQO671" i="3" s="1"/>
  <c r="QQN671" i="3" s="1"/>
  <c r="QQM671" i="3" s="1"/>
  <c r="QQL671" i="3" s="1"/>
  <c r="QQK671" i="3" s="1"/>
  <c r="QQJ671" i="3" s="1"/>
  <c r="QQI671" i="3" s="1"/>
  <c r="QQH671" i="3" s="1"/>
  <c r="QQG671" i="3" s="1"/>
  <c r="QQF671" i="3" s="1"/>
  <c r="QQE671" i="3" s="1"/>
  <c r="QQD671" i="3" s="1"/>
  <c r="QQC671" i="3" s="1"/>
  <c r="QQB671" i="3" s="1"/>
  <c r="QQA671" i="3" s="1"/>
  <c r="QPZ671" i="3" s="1"/>
  <c r="QPY671" i="3" s="1"/>
  <c r="QPX671" i="3" s="1"/>
  <c r="QPW671" i="3" s="1"/>
  <c r="QPV671" i="3" s="1"/>
  <c r="QPU671" i="3" s="1"/>
  <c r="QPT671" i="3" s="1"/>
  <c r="QPS671" i="3" s="1"/>
  <c r="QPR671" i="3" s="1"/>
  <c r="QPQ671" i="3" s="1"/>
  <c r="QPP671" i="3" s="1"/>
  <c r="QPO671" i="3" s="1"/>
  <c r="QPN671" i="3" s="1"/>
  <c r="QPM671" i="3" s="1"/>
  <c r="QPL671" i="3" s="1"/>
  <c r="QPK671" i="3" s="1"/>
  <c r="QPJ671" i="3" s="1"/>
  <c r="QPI671" i="3" s="1"/>
  <c r="QPH671" i="3" s="1"/>
  <c r="QPG671" i="3" s="1"/>
  <c r="QPF671" i="3" s="1"/>
  <c r="QPE671" i="3" s="1"/>
  <c r="QPD671" i="3" s="1"/>
  <c r="QPC671" i="3" s="1"/>
  <c r="QPB671" i="3" s="1"/>
  <c r="QPA671" i="3" s="1"/>
  <c r="QOZ671" i="3" s="1"/>
  <c r="QOY671" i="3" s="1"/>
  <c r="QOX671" i="3" s="1"/>
  <c r="QOW671" i="3" s="1"/>
  <c r="QOV671" i="3" s="1"/>
  <c r="QOU671" i="3" s="1"/>
  <c r="QOT671" i="3" s="1"/>
  <c r="QOS671" i="3" s="1"/>
  <c r="QOR671" i="3" s="1"/>
  <c r="QOQ671" i="3" s="1"/>
  <c r="QOP671" i="3" s="1"/>
  <c r="QOO671" i="3" s="1"/>
  <c r="QON671" i="3" s="1"/>
  <c r="QOM671" i="3" s="1"/>
  <c r="QOL671" i="3" s="1"/>
  <c r="QOK671" i="3" s="1"/>
  <c r="QOJ671" i="3" s="1"/>
  <c r="QOI671" i="3" s="1"/>
  <c r="QOH671" i="3" s="1"/>
  <c r="QOG671" i="3" s="1"/>
  <c r="QOF671" i="3" s="1"/>
  <c r="QOE671" i="3" s="1"/>
  <c r="QOD671" i="3" s="1"/>
  <c r="QOC671" i="3" s="1"/>
  <c r="QOB671" i="3" s="1"/>
  <c r="QOA671" i="3" s="1"/>
  <c r="QNZ671" i="3" s="1"/>
  <c r="QNY671" i="3" s="1"/>
  <c r="QNX671" i="3" s="1"/>
  <c r="QNW671" i="3" s="1"/>
  <c r="QNV671" i="3" s="1"/>
  <c r="QNU671" i="3" s="1"/>
  <c r="QNT671" i="3" s="1"/>
  <c r="QNS671" i="3" s="1"/>
  <c r="QNR671" i="3" s="1"/>
  <c r="QNQ671" i="3" s="1"/>
  <c r="QNP671" i="3" s="1"/>
  <c r="QNO671" i="3" s="1"/>
  <c r="QNN671" i="3" s="1"/>
  <c r="QNM671" i="3" s="1"/>
  <c r="QNL671" i="3" s="1"/>
  <c r="QNK671" i="3" s="1"/>
  <c r="QNJ671" i="3" s="1"/>
  <c r="QNI671" i="3" s="1"/>
  <c r="QNH671" i="3" s="1"/>
  <c r="QNG671" i="3" s="1"/>
  <c r="QNF671" i="3" s="1"/>
  <c r="QNE671" i="3" s="1"/>
  <c r="QND671" i="3" s="1"/>
  <c r="QNC671" i="3" s="1"/>
  <c r="QNB671" i="3" s="1"/>
  <c r="QNA671" i="3" s="1"/>
  <c r="QMZ671" i="3" s="1"/>
  <c r="QMY671" i="3" s="1"/>
  <c r="QMX671" i="3" s="1"/>
  <c r="QMW671" i="3" s="1"/>
  <c r="QMV671" i="3" s="1"/>
  <c r="QMU671" i="3" s="1"/>
  <c r="QMT671" i="3" s="1"/>
  <c r="QMS671" i="3" s="1"/>
  <c r="QMR671" i="3" s="1"/>
  <c r="QMQ671" i="3" s="1"/>
  <c r="QMP671" i="3" s="1"/>
  <c r="QMO671" i="3" s="1"/>
  <c r="QMN671" i="3" s="1"/>
  <c r="QMM671" i="3" s="1"/>
  <c r="QML671" i="3" s="1"/>
  <c r="QMK671" i="3" s="1"/>
  <c r="QMJ671" i="3" s="1"/>
  <c r="QMI671" i="3" s="1"/>
  <c r="QMH671" i="3" s="1"/>
  <c r="QMG671" i="3" s="1"/>
  <c r="QMF671" i="3" s="1"/>
  <c r="QME671" i="3" s="1"/>
  <c r="QMD671" i="3" s="1"/>
  <c r="QMC671" i="3" s="1"/>
  <c r="QMB671" i="3" s="1"/>
  <c r="QMA671" i="3" s="1"/>
  <c r="QLZ671" i="3" s="1"/>
  <c r="QLY671" i="3" s="1"/>
  <c r="QLX671" i="3" s="1"/>
  <c r="QLW671" i="3" s="1"/>
  <c r="QLV671" i="3" s="1"/>
  <c r="QLU671" i="3" s="1"/>
  <c r="QLT671" i="3" s="1"/>
  <c r="QLS671" i="3" s="1"/>
  <c r="QLR671" i="3" s="1"/>
  <c r="QLQ671" i="3" s="1"/>
  <c r="QLP671" i="3" s="1"/>
  <c r="QLO671" i="3" s="1"/>
  <c r="QLN671" i="3" s="1"/>
  <c r="QLM671" i="3" s="1"/>
  <c r="QLL671" i="3" s="1"/>
  <c r="QLK671" i="3" s="1"/>
  <c r="QLJ671" i="3" s="1"/>
  <c r="QLI671" i="3" s="1"/>
  <c r="QLH671" i="3" s="1"/>
  <c r="QLG671" i="3" s="1"/>
  <c r="QLF671" i="3" s="1"/>
  <c r="QLE671" i="3" s="1"/>
  <c r="QLD671" i="3" s="1"/>
  <c r="QLC671" i="3" s="1"/>
  <c r="QLB671" i="3" s="1"/>
  <c r="QLA671" i="3" s="1"/>
  <c r="QKZ671" i="3" s="1"/>
  <c r="QKY671" i="3" s="1"/>
  <c r="QKX671" i="3" s="1"/>
  <c r="QKW671" i="3" s="1"/>
  <c r="QKV671" i="3" s="1"/>
  <c r="QKU671" i="3" s="1"/>
  <c r="QKT671" i="3" s="1"/>
  <c r="QKS671" i="3" s="1"/>
  <c r="QKR671" i="3" s="1"/>
  <c r="QKQ671" i="3" s="1"/>
  <c r="QKP671" i="3" s="1"/>
  <c r="QKO671" i="3" s="1"/>
  <c r="QKN671" i="3" s="1"/>
  <c r="QKM671" i="3" s="1"/>
  <c r="QKL671" i="3" s="1"/>
  <c r="QKK671" i="3" s="1"/>
  <c r="QKJ671" i="3" s="1"/>
  <c r="QKI671" i="3" s="1"/>
  <c r="QKH671" i="3" s="1"/>
  <c r="QKG671" i="3" s="1"/>
  <c r="QKF671" i="3" s="1"/>
  <c r="QKE671" i="3" s="1"/>
  <c r="QKD671" i="3" s="1"/>
  <c r="QKC671" i="3" s="1"/>
  <c r="QKB671" i="3" s="1"/>
  <c r="QKA671" i="3" s="1"/>
  <c r="QJZ671" i="3" s="1"/>
  <c r="QJY671" i="3" s="1"/>
  <c r="QJX671" i="3" s="1"/>
  <c r="QJW671" i="3" s="1"/>
  <c r="QJV671" i="3" s="1"/>
  <c r="QJU671" i="3" s="1"/>
  <c r="QJT671" i="3" s="1"/>
  <c r="QJS671" i="3" s="1"/>
  <c r="QJR671" i="3" s="1"/>
  <c r="QJQ671" i="3" s="1"/>
  <c r="QJP671" i="3" s="1"/>
  <c r="QJO671" i="3" s="1"/>
  <c r="QJN671" i="3" s="1"/>
  <c r="QJM671" i="3" s="1"/>
  <c r="QJL671" i="3" s="1"/>
  <c r="QJK671" i="3" s="1"/>
  <c r="QJJ671" i="3" s="1"/>
  <c r="QJI671" i="3" s="1"/>
  <c r="QJH671" i="3" s="1"/>
  <c r="QJG671" i="3" s="1"/>
  <c r="QJF671" i="3" s="1"/>
  <c r="QJE671" i="3" s="1"/>
  <c r="QJD671" i="3" s="1"/>
  <c r="QJC671" i="3" s="1"/>
  <c r="QJB671" i="3" s="1"/>
  <c r="QJA671" i="3" s="1"/>
  <c r="QIZ671" i="3" s="1"/>
  <c r="QIY671" i="3" s="1"/>
  <c r="QIX671" i="3" s="1"/>
  <c r="QIW671" i="3" s="1"/>
  <c r="QIV671" i="3" s="1"/>
  <c r="QIU671" i="3" s="1"/>
  <c r="QIT671" i="3" s="1"/>
  <c r="QIS671" i="3" s="1"/>
  <c r="QIR671" i="3" s="1"/>
  <c r="QIQ671" i="3" s="1"/>
  <c r="QIP671" i="3" s="1"/>
  <c r="QIO671" i="3" s="1"/>
  <c r="QIN671" i="3" s="1"/>
  <c r="QIM671" i="3" s="1"/>
  <c r="QIL671" i="3" s="1"/>
  <c r="QIK671" i="3" s="1"/>
  <c r="QIJ671" i="3" s="1"/>
  <c r="QII671" i="3" s="1"/>
  <c r="QIH671" i="3" s="1"/>
  <c r="QIG671" i="3" s="1"/>
  <c r="QIF671" i="3" s="1"/>
  <c r="QIE671" i="3" s="1"/>
  <c r="QID671" i="3" s="1"/>
  <c r="QIC671" i="3" s="1"/>
  <c r="QIB671" i="3" s="1"/>
  <c r="QIA671" i="3" s="1"/>
  <c r="QHZ671" i="3" s="1"/>
  <c r="QHY671" i="3" s="1"/>
  <c r="QHX671" i="3" s="1"/>
  <c r="QHW671" i="3" s="1"/>
  <c r="QHV671" i="3" s="1"/>
  <c r="QHU671" i="3" s="1"/>
  <c r="QHT671" i="3" s="1"/>
  <c r="QHS671" i="3" s="1"/>
  <c r="QHR671" i="3" s="1"/>
  <c r="QHQ671" i="3" s="1"/>
  <c r="QHP671" i="3" s="1"/>
  <c r="QHO671" i="3" s="1"/>
  <c r="QHN671" i="3" s="1"/>
  <c r="QHM671" i="3" s="1"/>
  <c r="QHL671" i="3" s="1"/>
  <c r="QHK671" i="3" s="1"/>
  <c r="QHJ671" i="3" s="1"/>
  <c r="QHI671" i="3" s="1"/>
  <c r="QHH671" i="3" s="1"/>
  <c r="QHG671" i="3" s="1"/>
  <c r="QHF671" i="3" s="1"/>
  <c r="QHE671" i="3" s="1"/>
  <c r="QHD671" i="3" s="1"/>
  <c r="QHC671" i="3" s="1"/>
  <c r="QHB671" i="3" s="1"/>
  <c r="QHA671" i="3" s="1"/>
  <c r="QGZ671" i="3" s="1"/>
  <c r="QGY671" i="3" s="1"/>
  <c r="QGX671" i="3" s="1"/>
  <c r="QGW671" i="3" s="1"/>
  <c r="QGV671" i="3" s="1"/>
  <c r="QGU671" i="3" s="1"/>
  <c r="QGT671" i="3" s="1"/>
  <c r="QGS671" i="3" s="1"/>
  <c r="QGR671" i="3" s="1"/>
  <c r="QGQ671" i="3" s="1"/>
  <c r="QGP671" i="3" s="1"/>
  <c r="QGO671" i="3" s="1"/>
  <c r="QGN671" i="3" s="1"/>
  <c r="QGM671" i="3" s="1"/>
  <c r="QGL671" i="3" s="1"/>
  <c r="QGK671" i="3" s="1"/>
  <c r="QGJ671" i="3" s="1"/>
  <c r="QGI671" i="3" s="1"/>
  <c r="QGH671" i="3" s="1"/>
  <c r="QGG671" i="3" s="1"/>
  <c r="QGF671" i="3" s="1"/>
  <c r="QGE671" i="3" s="1"/>
  <c r="QGD671" i="3" s="1"/>
  <c r="QGC671" i="3" s="1"/>
  <c r="QGB671" i="3" s="1"/>
  <c r="QGA671" i="3" s="1"/>
  <c r="QFZ671" i="3" s="1"/>
  <c r="QFY671" i="3" s="1"/>
  <c r="QFX671" i="3" s="1"/>
  <c r="QFW671" i="3" s="1"/>
  <c r="QFV671" i="3" s="1"/>
  <c r="QFU671" i="3" s="1"/>
  <c r="QFT671" i="3" s="1"/>
  <c r="QFS671" i="3" s="1"/>
  <c r="QFR671" i="3" s="1"/>
  <c r="QFQ671" i="3" s="1"/>
  <c r="QFP671" i="3" s="1"/>
  <c r="QFO671" i="3" s="1"/>
  <c r="QFN671" i="3" s="1"/>
  <c r="QFM671" i="3" s="1"/>
  <c r="QFL671" i="3" s="1"/>
  <c r="QFK671" i="3" s="1"/>
  <c r="QFJ671" i="3" s="1"/>
  <c r="QFI671" i="3" s="1"/>
  <c r="QFH671" i="3" s="1"/>
  <c r="QFG671" i="3" s="1"/>
  <c r="QFF671" i="3" s="1"/>
  <c r="QFE671" i="3" s="1"/>
  <c r="QFD671" i="3" s="1"/>
  <c r="QFC671" i="3" s="1"/>
  <c r="QFB671" i="3" s="1"/>
  <c r="QFA671" i="3" s="1"/>
  <c r="QEZ671" i="3" s="1"/>
  <c r="QEY671" i="3" s="1"/>
  <c r="QEX671" i="3" s="1"/>
  <c r="QEW671" i="3" s="1"/>
  <c r="QEV671" i="3" s="1"/>
  <c r="QEU671" i="3" s="1"/>
  <c r="QET671" i="3" s="1"/>
  <c r="QES671" i="3" s="1"/>
  <c r="QER671" i="3" s="1"/>
  <c r="QEQ671" i="3" s="1"/>
  <c r="QEP671" i="3" s="1"/>
  <c r="QEO671" i="3" s="1"/>
  <c r="QEN671" i="3" s="1"/>
  <c r="QEM671" i="3" s="1"/>
  <c r="QEL671" i="3" s="1"/>
  <c r="QEK671" i="3" s="1"/>
  <c r="QEJ671" i="3" s="1"/>
  <c r="QEI671" i="3" s="1"/>
  <c r="QEH671" i="3" s="1"/>
  <c r="QEG671" i="3" s="1"/>
  <c r="QEF671" i="3" s="1"/>
  <c r="QEE671" i="3" s="1"/>
  <c r="QED671" i="3" s="1"/>
  <c r="QEC671" i="3" s="1"/>
  <c r="QEB671" i="3" s="1"/>
  <c r="QEA671" i="3" s="1"/>
  <c r="QDZ671" i="3" s="1"/>
  <c r="QDY671" i="3" s="1"/>
  <c r="QDX671" i="3" s="1"/>
  <c r="QDW671" i="3" s="1"/>
  <c r="QDV671" i="3" s="1"/>
  <c r="QDU671" i="3" s="1"/>
  <c r="QDT671" i="3" s="1"/>
  <c r="QDS671" i="3" s="1"/>
  <c r="QDR671" i="3" s="1"/>
  <c r="QDQ671" i="3" s="1"/>
  <c r="QDP671" i="3" s="1"/>
  <c r="QDO671" i="3" s="1"/>
  <c r="QDN671" i="3" s="1"/>
  <c r="QDM671" i="3" s="1"/>
  <c r="QDL671" i="3" s="1"/>
  <c r="QDK671" i="3" s="1"/>
  <c r="QDJ671" i="3" s="1"/>
  <c r="QDI671" i="3" s="1"/>
  <c r="QDH671" i="3" s="1"/>
  <c r="QDG671" i="3" s="1"/>
  <c r="QDF671" i="3" s="1"/>
  <c r="QDE671" i="3" s="1"/>
  <c r="QDD671" i="3" s="1"/>
  <c r="QDC671" i="3" s="1"/>
  <c r="QDB671" i="3" s="1"/>
  <c r="QDA671" i="3" s="1"/>
  <c r="QCZ671" i="3" s="1"/>
  <c r="QCY671" i="3" s="1"/>
  <c r="QCX671" i="3" s="1"/>
  <c r="QCW671" i="3" s="1"/>
  <c r="QCV671" i="3" s="1"/>
  <c r="QCU671" i="3" s="1"/>
  <c r="QCT671" i="3" s="1"/>
  <c r="QCS671" i="3" s="1"/>
  <c r="QCR671" i="3" s="1"/>
  <c r="QCQ671" i="3" s="1"/>
  <c r="QCP671" i="3" s="1"/>
  <c r="QCO671" i="3" s="1"/>
  <c r="QCN671" i="3" s="1"/>
  <c r="QCM671" i="3" s="1"/>
  <c r="QCL671" i="3" s="1"/>
  <c r="QCK671" i="3" s="1"/>
  <c r="QCJ671" i="3" s="1"/>
  <c r="QCI671" i="3" s="1"/>
  <c r="QCH671" i="3" s="1"/>
  <c r="QCG671" i="3" s="1"/>
  <c r="QCF671" i="3" s="1"/>
  <c r="QCE671" i="3" s="1"/>
  <c r="QCD671" i="3" s="1"/>
  <c r="QCC671" i="3" s="1"/>
  <c r="QCB671" i="3" s="1"/>
  <c r="QCA671" i="3" s="1"/>
  <c r="QBZ671" i="3" s="1"/>
  <c r="QBY671" i="3" s="1"/>
  <c r="QBX671" i="3" s="1"/>
  <c r="QBW671" i="3" s="1"/>
  <c r="QBV671" i="3" s="1"/>
  <c r="QBU671" i="3" s="1"/>
  <c r="QBT671" i="3" s="1"/>
  <c r="QBS671" i="3" s="1"/>
  <c r="QBR671" i="3" s="1"/>
  <c r="QBQ671" i="3" s="1"/>
  <c r="QBP671" i="3" s="1"/>
  <c r="QBO671" i="3" s="1"/>
  <c r="QBN671" i="3" s="1"/>
  <c r="QBM671" i="3" s="1"/>
  <c r="QBL671" i="3" s="1"/>
  <c r="QBK671" i="3" s="1"/>
  <c r="QBJ671" i="3" s="1"/>
  <c r="QBI671" i="3" s="1"/>
  <c r="QBH671" i="3" s="1"/>
  <c r="QBG671" i="3" s="1"/>
  <c r="QBF671" i="3" s="1"/>
  <c r="QBE671" i="3" s="1"/>
  <c r="QBD671" i="3" s="1"/>
  <c r="QBC671" i="3" s="1"/>
  <c r="QBB671" i="3" s="1"/>
  <c r="QBA671" i="3" s="1"/>
  <c r="QAZ671" i="3" s="1"/>
  <c r="QAY671" i="3" s="1"/>
  <c r="QAX671" i="3" s="1"/>
  <c r="QAW671" i="3" s="1"/>
  <c r="QAV671" i="3" s="1"/>
  <c r="QAU671" i="3" s="1"/>
  <c r="QAT671" i="3" s="1"/>
  <c r="QAS671" i="3" s="1"/>
  <c r="QAR671" i="3" s="1"/>
  <c r="QAQ671" i="3" s="1"/>
  <c r="QAP671" i="3" s="1"/>
  <c r="QAO671" i="3" s="1"/>
  <c r="QAN671" i="3" s="1"/>
  <c r="QAM671" i="3" s="1"/>
  <c r="QAL671" i="3" s="1"/>
  <c r="QAK671" i="3" s="1"/>
  <c r="QAJ671" i="3" s="1"/>
  <c r="QAI671" i="3" s="1"/>
  <c r="QAH671" i="3" s="1"/>
  <c r="QAG671" i="3" s="1"/>
  <c r="QAF671" i="3" s="1"/>
  <c r="QAE671" i="3" s="1"/>
  <c r="QAD671" i="3" s="1"/>
  <c r="QAC671" i="3" s="1"/>
  <c r="QAB671" i="3" s="1"/>
  <c r="QAA671" i="3" s="1"/>
  <c r="PZZ671" i="3" s="1"/>
  <c r="PZY671" i="3" s="1"/>
  <c r="PZX671" i="3" s="1"/>
  <c r="PZW671" i="3" s="1"/>
  <c r="PZV671" i="3" s="1"/>
  <c r="PZU671" i="3" s="1"/>
  <c r="PZT671" i="3" s="1"/>
  <c r="PZS671" i="3" s="1"/>
  <c r="PZR671" i="3" s="1"/>
  <c r="PZQ671" i="3" s="1"/>
  <c r="PZP671" i="3" s="1"/>
  <c r="PZO671" i="3" s="1"/>
  <c r="PZN671" i="3" s="1"/>
  <c r="PZM671" i="3" s="1"/>
  <c r="PZL671" i="3" s="1"/>
  <c r="PZK671" i="3" s="1"/>
  <c r="PZJ671" i="3" s="1"/>
  <c r="PZI671" i="3" s="1"/>
  <c r="PZH671" i="3" s="1"/>
  <c r="PZG671" i="3" s="1"/>
  <c r="PZF671" i="3" s="1"/>
  <c r="PZE671" i="3" s="1"/>
  <c r="PZD671" i="3" s="1"/>
  <c r="PZC671" i="3" s="1"/>
  <c r="PZB671" i="3" s="1"/>
  <c r="PZA671" i="3" s="1"/>
  <c r="PYZ671" i="3" s="1"/>
  <c r="PYY671" i="3" s="1"/>
  <c r="PYX671" i="3" s="1"/>
  <c r="PYW671" i="3" s="1"/>
  <c r="PYV671" i="3" s="1"/>
  <c r="PYU671" i="3" s="1"/>
  <c r="PYT671" i="3" s="1"/>
  <c r="PYS671" i="3" s="1"/>
  <c r="PYR671" i="3" s="1"/>
  <c r="PYQ671" i="3" s="1"/>
  <c r="PYP671" i="3" s="1"/>
  <c r="PYO671" i="3" s="1"/>
  <c r="PYN671" i="3" s="1"/>
  <c r="PYM671" i="3" s="1"/>
  <c r="PYL671" i="3" s="1"/>
  <c r="PYK671" i="3" s="1"/>
  <c r="PYJ671" i="3" s="1"/>
  <c r="PYI671" i="3" s="1"/>
  <c r="PYH671" i="3" s="1"/>
  <c r="PYG671" i="3" s="1"/>
  <c r="PYF671" i="3" s="1"/>
  <c r="PYE671" i="3" s="1"/>
  <c r="PYD671" i="3" s="1"/>
  <c r="PYC671" i="3" s="1"/>
  <c r="PYB671" i="3" s="1"/>
  <c r="PYA671" i="3" s="1"/>
  <c r="PXZ671" i="3" s="1"/>
  <c r="PXY671" i="3" s="1"/>
  <c r="PXX671" i="3" s="1"/>
  <c r="PXW671" i="3" s="1"/>
  <c r="PXV671" i="3" s="1"/>
  <c r="PXU671" i="3" s="1"/>
  <c r="PXT671" i="3" s="1"/>
  <c r="PXS671" i="3" s="1"/>
  <c r="PXR671" i="3" s="1"/>
  <c r="PXQ671" i="3" s="1"/>
  <c r="PXP671" i="3" s="1"/>
  <c r="PXO671" i="3" s="1"/>
  <c r="PXN671" i="3" s="1"/>
  <c r="PXM671" i="3" s="1"/>
  <c r="PXL671" i="3" s="1"/>
  <c r="PXK671" i="3" s="1"/>
  <c r="PXJ671" i="3" s="1"/>
  <c r="PXI671" i="3" s="1"/>
  <c r="PXH671" i="3" s="1"/>
  <c r="PXG671" i="3" s="1"/>
  <c r="PXF671" i="3" s="1"/>
  <c r="PXE671" i="3" s="1"/>
  <c r="PXD671" i="3" s="1"/>
  <c r="PXC671" i="3" s="1"/>
  <c r="PXB671" i="3" s="1"/>
  <c r="PXA671" i="3" s="1"/>
  <c r="PWZ671" i="3" s="1"/>
  <c r="PWY671" i="3" s="1"/>
  <c r="PWX671" i="3" s="1"/>
  <c r="PWW671" i="3" s="1"/>
  <c r="PWV671" i="3" s="1"/>
  <c r="PWU671" i="3" s="1"/>
  <c r="PWT671" i="3" s="1"/>
  <c r="PWS671" i="3" s="1"/>
  <c r="PWR671" i="3" s="1"/>
  <c r="PWQ671" i="3" s="1"/>
  <c r="PWP671" i="3" s="1"/>
  <c r="PWO671" i="3" s="1"/>
  <c r="PWN671" i="3" s="1"/>
  <c r="PWM671" i="3" s="1"/>
  <c r="PWL671" i="3" s="1"/>
  <c r="PWK671" i="3" s="1"/>
  <c r="PWJ671" i="3" s="1"/>
  <c r="PWI671" i="3" s="1"/>
  <c r="PWH671" i="3" s="1"/>
  <c r="PWG671" i="3" s="1"/>
  <c r="PWF671" i="3" s="1"/>
  <c r="PWE671" i="3" s="1"/>
  <c r="PWD671" i="3" s="1"/>
  <c r="PWC671" i="3" s="1"/>
  <c r="PWB671" i="3" s="1"/>
  <c r="PWA671" i="3" s="1"/>
  <c r="PVZ671" i="3" s="1"/>
  <c r="PVY671" i="3" s="1"/>
  <c r="PVX671" i="3" s="1"/>
  <c r="PVW671" i="3" s="1"/>
  <c r="PVV671" i="3" s="1"/>
  <c r="PVU671" i="3" s="1"/>
  <c r="PVT671" i="3" s="1"/>
  <c r="PVS671" i="3" s="1"/>
  <c r="PVR671" i="3" s="1"/>
  <c r="PVQ671" i="3" s="1"/>
  <c r="PVP671" i="3" s="1"/>
  <c r="PVO671" i="3" s="1"/>
  <c r="PVN671" i="3" s="1"/>
  <c r="PVM671" i="3" s="1"/>
  <c r="PVL671" i="3" s="1"/>
  <c r="PVK671" i="3" s="1"/>
  <c r="PVJ671" i="3" s="1"/>
  <c r="PVI671" i="3" s="1"/>
  <c r="PVH671" i="3" s="1"/>
  <c r="PVG671" i="3" s="1"/>
  <c r="PVF671" i="3" s="1"/>
  <c r="PVE671" i="3" s="1"/>
  <c r="PVD671" i="3" s="1"/>
  <c r="PVC671" i="3" s="1"/>
  <c r="PVB671" i="3" s="1"/>
  <c r="PVA671" i="3" s="1"/>
  <c r="PUZ671" i="3" s="1"/>
  <c r="PUY671" i="3" s="1"/>
  <c r="PUX671" i="3" s="1"/>
  <c r="PUW671" i="3" s="1"/>
  <c r="PUV671" i="3" s="1"/>
  <c r="PUU671" i="3" s="1"/>
  <c r="PUT671" i="3" s="1"/>
  <c r="PUS671" i="3" s="1"/>
  <c r="PUR671" i="3" s="1"/>
  <c r="PUQ671" i="3" s="1"/>
  <c r="PUP671" i="3" s="1"/>
  <c r="PUO671" i="3" s="1"/>
  <c r="PUN671" i="3" s="1"/>
  <c r="PUM671" i="3" s="1"/>
  <c r="PUL671" i="3" s="1"/>
  <c r="PUK671" i="3" s="1"/>
  <c r="PUJ671" i="3" s="1"/>
  <c r="PUI671" i="3" s="1"/>
  <c r="PUH671" i="3" s="1"/>
  <c r="PUG671" i="3" s="1"/>
  <c r="PUF671" i="3" s="1"/>
  <c r="PUE671" i="3" s="1"/>
  <c r="PUD671" i="3" s="1"/>
  <c r="PUC671" i="3" s="1"/>
  <c r="PUB671" i="3" s="1"/>
  <c r="PUA671" i="3" s="1"/>
  <c r="PTZ671" i="3" s="1"/>
  <c r="PTY671" i="3" s="1"/>
  <c r="PTX671" i="3" s="1"/>
  <c r="PTW671" i="3" s="1"/>
  <c r="PTV671" i="3" s="1"/>
  <c r="PTU671" i="3" s="1"/>
  <c r="PTT671" i="3" s="1"/>
  <c r="PTS671" i="3" s="1"/>
  <c r="PTR671" i="3" s="1"/>
  <c r="PTQ671" i="3" s="1"/>
  <c r="PTP671" i="3" s="1"/>
  <c r="PTO671" i="3" s="1"/>
  <c r="PTN671" i="3" s="1"/>
  <c r="PTM671" i="3" s="1"/>
  <c r="PTL671" i="3" s="1"/>
  <c r="PTK671" i="3" s="1"/>
  <c r="PTJ671" i="3" s="1"/>
  <c r="PTI671" i="3" s="1"/>
  <c r="PTH671" i="3" s="1"/>
  <c r="PTG671" i="3" s="1"/>
  <c r="PTF671" i="3" s="1"/>
  <c r="PTE671" i="3" s="1"/>
  <c r="PTD671" i="3" s="1"/>
  <c r="PTC671" i="3" s="1"/>
  <c r="PTB671" i="3" s="1"/>
  <c r="PTA671" i="3" s="1"/>
  <c r="PSZ671" i="3" s="1"/>
  <c r="PSY671" i="3" s="1"/>
  <c r="PSX671" i="3" s="1"/>
  <c r="PSW671" i="3" s="1"/>
  <c r="PSV671" i="3" s="1"/>
  <c r="PSU671" i="3" s="1"/>
  <c r="PST671" i="3" s="1"/>
  <c r="PSS671" i="3" s="1"/>
  <c r="PSR671" i="3" s="1"/>
  <c r="PSQ671" i="3" s="1"/>
  <c r="PSP671" i="3" s="1"/>
  <c r="PSO671" i="3" s="1"/>
  <c r="PSN671" i="3" s="1"/>
  <c r="PSM671" i="3" s="1"/>
  <c r="PSL671" i="3" s="1"/>
  <c r="PSK671" i="3" s="1"/>
  <c r="PSJ671" i="3" s="1"/>
  <c r="PSI671" i="3" s="1"/>
  <c r="PSH671" i="3" s="1"/>
  <c r="PSG671" i="3" s="1"/>
  <c r="PSF671" i="3" s="1"/>
  <c r="PSE671" i="3" s="1"/>
  <c r="PSD671" i="3" s="1"/>
  <c r="PSC671" i="3" s="1"/>
  <c r="PSB671" i="3" s="1"/>
  <c r="PSA671" i="3" s="1"/>
  <c r="PRZ671" i="3" s="1"/>
  <c r="PRY671" i="3" s="1"/>
  <c r="PRX671" i="3" s="1"/>
  <c r="PRW671" i="3" s="1"/>
  <c r="PRV671" i="3" s="1"/>
  <c r="PRU671" i="3" s="1"/>
  <c r="PRT671" i="3" s="1"/>
  <c r="PRS671" i="3" s="1"/>
  <c r="PRR671" i="3" s="1"/>
  <c r="PRQ671" i="3" s="1"/>
  <c r="PRP671" i="3" s="1"/>
  <c r="PRO671" i="3" s="1"/>
  <c r="PRN671" i="3" s="1"/>
  <c r="PRM671" i="3" s="1"/>
  <c r="PRL671" i="3" s="1"/>
  <c r="PRK671" i="3" s="1"/>
  <c r="PRJ671" i="3" s="1"/>
  <c r="PRI671" i="3" s="1"/>
  <c r="PRH671" i="3" s="1"/>
  <c r="PRG671" i="3" s="1"/>
  <c r="PRF671" i="3" s="1"/>
  <c r="PRE671" i="3" s="1"/>
  <c r="PRD671" i="3" s="1"/>
  <c r="PRC671" i="3" s="1"/>
  <c r="PRB671" i="3" s="1"/>
  <c r="PRA671" i="3" s="1"/>
  <c r="PQZ671" i="3" s="1"/>
  <c r="PQY671" i="3" s="1"/>
  <c r="PQX671" i="3" s="1"/>
  <c r="PQW671" i="3" s="1"/>
  <c r="PQV671" i="3" s="1"/>
  <c r="PQU671" i="3" s="1"/>
  <c r="PQT671" i="3" s="1"/>
  <c r="PQS671" i="3" s="1"/>
  <c r="PQR671" i="3" s="1"/>
  <c r="PQQ671" i="3" s="1"/>
  <c r="PQP671" i="3" s="1"/>
  <c r="PQO671" i="3" s="1"/>
  <c r="PQN671" i="3" s="1"/>
  <c r="PQM671" i="3" s="1"/>
  <c r="PQL671" i="3" s="1"/>
  <c r="PQK671" i="3" s="1"/>
  <c r="PQJ671" i="3" s="1"/>
  <c r="PQI671" i="3" s="1"/>
  <c r="PQH671" i="3" s="1"/>
  <c r="PQG671" i="3" s="1"/>
  <c r="PQF671" i="3" s="1"/>
  <c r="PQE671" i="3" s="1"/>
  <c r="PQD671" i="3" s="1"/>
  <c r="PQC671" i="3" s="1"/>
  <c r="PQB671" i="3" s="1"/>
  <c r="PQA671" i="3" s="1"/>
  <c r="PPZ671" i="3" s="1"/>
  <c r="PPY671" i="3" s="1"/>
  <c r="PPX671" i="3" s="1"/>
  <c r="PPW671" i="3" s="1"/>
  <c r="PPV671" i="3" s="1"/>
  <c r="PPU671" i="3" s="1"/>
  <c r="PPT671" i="3" s="1"/>
  <c r="PPS671" i="3" s="1"/>
  <c r="PPR671" i="3" s="1"/>
  <c r="PPQ671" i="3" s="1"/>
  <c r="PPP671" i="3" s="1"/>
  <c r="PPO671" i="3" s="1"/>
  <c r="PPN671" i="3" s="1"/>
  <c r="PPM671" i="3" s="1"/>
  <c r="PPL671" i="3" s="1"/>
  <c r="PPK671" i="3" s="1"/>
  <c r="PPJ671" i="3" s="1"/>
  <c r="PPI671" i="3" s="1"/>
  <c r="PPH671" i="3" s="1"/>
  <c r="PPG671" i="3" s="1"/>
  <c r="PPF671" i="3" s="1"/>
  <c r="PPE671" i="3" s="1"/>
  <c r="PPD671" i="3" s="1"/>
  <c r="PPC671" i="3" s="1"/>
  <c r="PPB671" i="3" s="1"/>
  <c r="PPA671" i="3" s="1"/>
  <c r="POZ671" i="3" s="1"/>
  <c r="POY671" i="3" s="1"/>
  <c r="POX671" i="3" s="1"/>
  <c r="POW671" i="3" s="1"/>
  <c r="POV671" i="3" s="1"/>
  <c r="POU671" i="3" s="1"/>
  <c r="POT671" i="3" s="1"/>
  <c r="POS671" i="3" s="1"/>
  <c r="POR671" i="3" s="1"/>
  <c r="POQ671" i="3" s="1"/>
  <c r="POP671" i="3" s="1"/>
  <c r="POO671" i="3" s="1"/>
  <c r="PON671" i="3" s="1"/>
  <c r="POM671" i="3" s="1"/>
  <c r="POL671" i="3" s="1"/>
  <c r="POK671" i="3" s="1"/>
  <c r="POJ671" i="3" s="1"/>
  <c r="POI671" i="3" s="1"/>
  <c r="POH671" i="3" s="1"/>
  <c r="POG671" i="3" s="1"/>
  <c r="POF671" i="3" s="1"/>
  <c r="POE671" i="3" s="1"/>
  <c r="POD671" i="3" s="1"/>
  <c r="POC671" i="3" s="1"/>
  <c r="POB671" i="3" s="1"/>
  <c r="POA671" i="3" s="1"/>
  <c r="PNZ671" i="3" s="1"/>
  <c r="PNY671" i="3" s="1"/>
  <c r="PNX671" i="3" s="1"/>
  <c r="PNW671" i="3" s="1"/>
  <c r="PNV671" i="3" s="1"/>
  <c r="PNU671" i="3" s="1"/>
  <c r="PNT671" i="3" s="1"/>
  <c r="PNS671" i="3" s="1"/>
  <c r="PNR671" i="3" s="1"/>
  <c r="PNQ671" i="3" s="1"/>
  <c r="PNP671" i="3" s="1"/>
  <c r="PNO671" i="3" s="1"/>
  <c r="PNN671" i="3" s="1"/>
  <c r="PNM671" i="3" s="1"/>
  <c r="PNL671" i="3" s="1"/>
  <c r="PNK671" i="3" s="1"/>
  <c r="PNJ671" i="3" s="1"/>
  <c r="PNI671" i="3" s="1"/>
  <c r="PNH671" i="3" s="1"/>
  <c r="PNG671" i="3" s="1"/>
  <c r="PNF671" i="3" s="1"/>
  <c r="PNE671" i="3" s="1"/>
  <c r="PND671" i="3" s="1"/>
  <c r="PNC671" i="3" s="1"/>
  <c r="PNB671" i="3" s="1"/>
  <c r="PNA671" i="3" s="1"/>
  <c r="PMZ671" i="3" s="1"/>
  <c r="PMY671" i="3" s="1"/>
  <c r="PMX671" i="3" s="1"/>
  <c r="PMW671" i="3" s="1"/>
  <c r="PMV671" i="3" s="1"/>
  <c r="PMU671" i="3" s="1"/>
  <c r="PMT671" i="3" s="1"/>
  <c r="PMS671" i="3" s="1"/>
  <c r="PMR671" i="3" s="1"/>
  <c r="PMQ671" i="3" s="1"/>
  <c r="PMP671" i="3" s="1"/>
  <c r="PMO671" i="3" s="1"/>
  <c r="PMN671" i="3" s="1"/>
  <c r="PMM671" i="3" s="1"/>
  <c r="PML671" i="3" s="1"/>
  <c r="PMK671" i="3" s="1"/>
  <c r="PMJ671" i="3" s="1"/>
  <c r="PMI671" i="3" s="1"/>
  <c r="PMH671" i="3" s="1"/>
  <c r="PMG671" i="3" s="1"/>
  <c r="PMF671" i="3" s="1"/>
  <c r="PME671" i="3" s="1"/>
  <c r="PMD671" i="3" s="1"/>
  <c r="PMC671" i="3" s="1"/>
  <c r="PMB671" i="3" s="1"/>
  <c r="PMA671" i="3" s="1"/>
  <c r="PLZ671" i="3" s="1"/>
  <c r="PLY671" i="3" s="1"/>
  <c r="PLX671" i="3" s="1"/>
  <c r="PLW671" i="3" s="1"/>
  <c r="PLV671" i="3" s="1"/>
  <c r="PLU671" i="3" s="1"/>
  <c r="PLT671" i="3" s="1"/>
  <c r="PLS671" i="3" s="1"/>
  <c r="PLR671" i="3" s="1"/>
  <c r="PLQ671" i="3" s="1"/>
  <c r="PLP671" i="3" s="1"/>
  <c r="PLO671" i="3" s="1"/>
  <c r="PLN671" i="3" s="1"/>
  <c r="PLM671" i="3" s="1"/>
  <c r="PLL671" i="3" s="1"/>
  <c r="PLK671" i="3" s="1"/>
  <c r="PLJ671" i="3" s="1"/>
  <c r="PLI671" i="3" s="1"/>
  <c r="PLH671" i="3" s="1"/>
  <c r="PLG671" i="3" s="1"/>
  <c r="PLF671" i="3" s="1"/>
  <c r="PLE671" i="3" s="1"/>
  <c r="PLD671" i="3" s="1"/>
  <c r="PLC671" i="3" s="1"/>
  <c r="PLB671" i="3" s="1"/>
  <c r="PLA671" i="3" s="1"/>
  <c r="PKZ671" i="3" s="1"/>
  <c r="PKY671" i="3" s="1"/>
  <c r="PKX671" i="3" s="1"/>
  <c r="PKW671" i="3" s="1"/>
  <c r="PKV671" i="3" s="1"/>
  <c r="PKU671" i="3" s="1"/>
  <c r="PKT671" i="3" s="1"/>
  <c r="PKS671" i="3" s="1"/>
  <c r="PKR671" i="3" s="1"/>
  <c r="PKQ671" i="3" s="1"/>
  <c r="PKP671" i="3" s="1"/>
  <c r="PKO671" i="3" s="1"/>
  <c r="PKN671" i="3" s="1"/>
  <c r="PKM671" i="3" s="1"/>
  <c r="PKL671" i="3" s="1"/>
  <c r="PKK671" i="3" s="1"/>
  <c r="PKJ671" i="3" s="1"/>
  <c r="PKI671" i="3" s="1"/>
  <c r="PKH671" i="3" s="1"/>
  <c r="PKG671" i="3" s="1"/>
  <c r="PKF671" i="3" s="1"/>
  <c r="PKE671" i="3" s="1"/>
  <c r="PKD671" i="3" s="1"/>
  <c r="PKC671" i="3" s="1"/>
  <c r="PKB671" i="3" s="1"/>
  <c r="PKA671" i="3" s="1"/>
  <c r="PJZ671" i="3" s="1"/>
  <c r="PJY671" i="3" s="1"/>
  <c r="PJX671" i="3" s="1"/>
  <c r="PJW671" i="3" s="1"/>
  <c r="PJV671" i="3" s="1"/>
  <c r="PJU671" i="3" s="1"/>
  <c r="PJT671" i="3" s="1"/>
  <c r="PJS671" i="3" s="1"/>
  <c r="PJR671" i="3" s="1"/>
  <c r="PJQ671" i="3" s="1"/>
  <c r="PJP671" i="3" s="1"/>
  <c r="PJO671" i="3" s="1"/>
  <c r="PJN671" i="3" s="1"/>
  <c r="PJM671" i="3" s="1"/>
  <c r="PJL671" i="3" s="1"/>
  <c r="PJK671" i="3" s="1"/>
  <c r="PJJ671" i="3" s="1"/>
  <c r="PJI671" i="3" s="1"/>
  <c r="PJH671" i="3" s="1"/>
  <c r="PJG671" i="3" s="1"/>
  <c r="PJF671" i="3" s="1"/>
  <c r="PJE671" i="3" s="1"/>
  <c r="PJD671" i="3" s="1"/>
  <c r="PJC671" i="3" s="1"/>
  <c r="PJB671" i="3" s="1"/>
  <c r="PJA671" i="3" s="1"/>
  <c r="PIZ671" i="3" s="1"/>
  <c r="PIY671" i="3" s="1"/>
  <c r="PIX671" i="3" s="1"/>
  <c r="PIW671" i="3" s="1"/>
  <c r="PIV671" i="3" s="1"/>
  <c r="PIU671" i="3" s="1"/>
  <c r="PIT671" i="3" s="1"/>
  <c r="PIS671" i="3" s="1"/>
  <c r="PIR671" i="3" s="1"/>
  <c r="PIQ671" i="3" s="1"/>
  <c r="PIP671" i="3" s="1"/>
  <c r="PIO671" i="3" s="1"/>
  <c r="PIN671" i="3" s="1"/>
  <c r="PIM671" i="3" s="1"/>
  <c r="PIL671" i="3" s="1"/>
  <c r="PIK671" i="3" s="1"/>
  <c r="PIJ671" i="3" s="1"/>
  <c r="PII671" i="3" s="1"/>
  <c r="PIH671" i="3" s="1"/>
  <c r="PIG671" i="3" s="1"/>
  <c r="PIF671" i="3" s="1"/>
  <c r="PIE671" i="3" s="1"/>
  <c r="PID671" i="3" s="1"/>
  <c r="PIC671" i="3" s="1"/>
  <c r="PIB671" i="3" s="1"/>
  <c r="PIA671" i="3" s="1"/>
  <c r="PHZ671" i="3" s="1"/>
  <c r="PHY671" i="3" s="1"/>
  <c r="PHX671" i="3" s="1"/>
  <c r="PHW671" i="3" s="1"/>
  <c r="PHV671" i="3" s="1"/>
  <c r="PHU671" i="3" s="1"/>
  <c r="PHT671" i="3" s="1"/>
  <c r="PHS671" i="3" s="1"/>
  <c r="PHR671" i="3" s="1"/>
  <c r="PHQ671" i="3" s="1"/>
  <c r="PHP671" i="3" s="1"/>
  <c r="PHO671" i="3" s="1"/>
  <c r="PHN671" i="3" s="1"/>
  <c r="PHM671" i="3" s="1"/>
  <c r="PHL671" i="3" s="1"/>
  <c r="PHK671" i="3" s="1"/>
  <c r="PHJ671" i="3" s="1"/>
  <c r="PHI671" i="3" s="1"/>
  <c r="PHH671" i="3" s="1"/>
  <c r="PHG671" i="3" s="1"/>
  <c r="PHF671" i="3" s="1"/>
  <c r="PHE671" i="3" s="1"/>
  <c r="PHD671" i="3" s="1"/>
  <c r="PHC671" i="3" s="1"/>
  <c r="PHB671" i="3" s="1"/>
  <c r="PHA671" i="3" s="1"/>
  <c r="PGZ671" i="3" s="1"/>
  <c r="PGY671" i="3" s="1"/>
  <c r="PGX671" i="3" s="1"/>
  <c r="PGW671" i="3" s="1"/>
  <c r="PGV671" i="3" s="1"/>
  <c r="PGU671" i="3" s="1"/>
  <c r="PGT671" i="3" s="1"/>
  <c r="PGS671" i="3" s="1"/>
  <c r="PGR671" i="3" s="1"/>
  <c r="PGQ671" i="3" s="1"/>
  <c r="PGP671" i="3" s="1"/>
  <c r="PGO671" i="3" s="1"/>
  <c r="PGN671" i="3" s="1"/>
  <c r="PGM671" i="3" s="1"/>
  <c r="PGL671" i="3" s="1"/>
  <c r="PGK671" i="3" s="1"/>
  <c r="PGJ671" i="3" s="1"/>
  <c r="PGI671" i="3" s="1"/>
  <c r="PGH671" i="3" s="1"/>
  <c r="PGG671" i="3" s="1"/>
  <c r="PGF671" i="3" s="1"/>
  <c r="PGE671" i="3" s="1"/>
  <c r="PGD671" i="3" s="1"/>
  <c r="PGC671" i="3" s="1"/>
  <c r="PGB671" i="3" s="1"/>
  <c r="PGA671" i="3" s="1"/>
  <c r="PFZ671" i="3" s="1"/>
  <c r="PFY671" i="3" s="1"/>
  <c r="PFX671" i="3" s="1"/>
  <c r="PFW671" i="3" s="1"/>
  <c r="PFV671" i="3" s="1"/>
  <c r="PFU671" i="3" s="1"/>
  <c r="PFT671" i="3" s="1"/>
  <c r="PFS671" i="3" s="1"/>
  <c r="PFR671" i="3" s="1"/>
  <c r="PFQ671" i="3" s="1"/>
  <c r="PFP671" i="3" s="1"/>
  <c r="PFO671" i="3" s="1"/>
  <c r="PFN671" i="3" s="1"/>
  <c r="PFM671" i="3" s="1"/>
  <c r="PFL671" i="3" s="1"/>
  <c r="PFK671" i="3" s="1"/>
  <c r="PFJ671" i="3" s="1"/>
  <c r="PFI671" i="3" s="1"/>
  <c r="PFH671" i="3" s="1"/>
  <c r="PFG671" i="3" s="1"/>
  <c r="PFF671" i="3" s="1"/>
  <c r="PFE671" i="3" s="1"/>
  <c r="PFD671" i="3" s="1"/>
  <c r="PFC671" i="3" s="1"/>
  <c r="PFB671" i="3" s="1"/>
  <c r="PFA671" i="3" s="1"/>
  <c r="PEZ671" i="3" s="1"/>
  <c r="PEY671" i="3" s="1"/>
  <c r="PEX671" i="3" s="1"/>
  <c r="PEW671" i="3" s="1"/>
  <c r="PEV671" i="3" s="1"/>
  <c r="PEU671" i="3" s="1"/>
  <c r="PET671" i="3" s="1"/>
  <c r="PES671" i="3" s="1"/>
  <c r="PER671" i="3" s="1"/>
  <c r="PEQ671" i="3" s="1"/>
  <c r="PEP671" i="3" s="1"/>
  <c r="PEO671" i="3" s="1"/>
  <c r="PEN671" i="3" s="1"/>
  <c r="PEM671" i="3" s="1"/>
  <c r="PEL671" i="3" s="1"/>
  <c r="PEK671" i="3" s="1"/>
  <c r="PEJ671" i="3" s="1"/>
  <c r="PEI671" i="3" s="1"/>
  <c r="PEH671" i="3" s="1"/>
  <c r="PEG671" i="3" s="1"/>
  <c r="PEF671" i="3" s="1"/>
  <c r="PEE671" i="3" s="1"/>
  <c r="PED671" i="3" s="1"/>
  <c r="PEC671" i="3" s="1"/>
  <c r="PEB671" i="3" s="1"/>
  <c r="PEA671" i="3" s="1"/>
  <c r="PDZ671" i="3" s="1"/>
  <c r="PDY671" i="3" s="1"/>
  <c r="PDX671" i="3" s="1"/>
  <c r="PDW671" i="3" s="1"/>
  <c r="PDV671" i="3" s="1"/>
  <c r="PDU671" i="3" s="1"/>
  <c r="PDT671" i="3" s="1"/>
  <c r="PDS671" i="3" s="1"/>
  <c r="PDR671" i="3" s="1"/>
  <c r="PDQ671" i="3" s="1"/>
  <c r="PDP671" i="3" s="1"/>
  <c r="PDO671" i="3" s="1"/>
  <c r="PDN671" i="3" s="1"/>
  <c r="PDM671" i="3" s="1"/>
  <c r="PDL671" i="3" s="1"/>
  <c r="PDK671" i="3" s="1"/>
  <c r="PDJ671" i="3" s="1"/>
  <c r="PDI671" i="3" s="1"/>
  <c r="PDH671" i="3" s="1"/>
  <c r="PDG671" i="3" s="1"/>
  <c r="PDF671" i="3" s="1"/>
  <c r="PDE671" i="3" s="1"/>
  <c r="PDD671" i="3" s="1"/>
  <c r="PDC671" i="3" s="1"/>
  <c r="PDB671" i="3" s="1"/>
  <c r="PDA671" i="3" s="1"/>
  <c r="PCZ671" i="3" s="1"/>
  <c r="PCY671" i="3" s="1"/>
  <c r="PCX671" i="3" s="1"/>
  <c r="PCW671" i="3" s="1"/>
  <c r="PCV671" i="3" s="1"/>
  <c r="PCU671" i="3" s="1"/>
  <c r="PCT671" i="3" s="1"/>
  <c r="PCS671" i="3" s="1"/>
  <c r="PCR671" i="3" s="1"/>
  <c r="PCQ671" i="3" s="1"/>
  <c r="PCP671" i="3" s="1"/>
  <c r="PCO671" i="3" s="1"/>
  <c r="PCN671" i="3" s="1"/>
  <c r="PCM671" i="3" s="1"/>
  <c r="PCL671" i="3" s="1"/>
  <c r="PCK671" i="3" s="1"/>
  <c r="PCJ671" i="3" s="1"/>
  <c r="PCI671" i="3" s="1"/>
  <c r="PCH671" i="3" s="1"/>
  <c r="PCG671" i="3" s="1"/>
  <c r="PCF671" i="3" s="1"/>
  <c r="PCE671" i="3" s="1"/>
  <c r="PCD671" i="3" s="1"/>
  <c r="PCC671" i="3" s="1"/>
  <c r="PCB671" i="3" s="1"/>
  <c r="PCA671" i="3" s="1"/>
  <c r="PBZ671" i="3" s="1"/>
  <c r="PBY671" i="3" s="1"/>
  <c r="PBX671" i="3" s="1"/>
  <c r="PBW671" i="3" s="1"/>
  <c r="PBV671" i="3" s="1"/>
  <c r="PBU671" i="3" s="1"/>
  <c r="PBT671" i="3" s="1"/>
  <c r="PBS671" i="3" s="1"/>
  <c r="PBR671" i="3" s="1"/>
  <c r="PBQ671" i="3" s="1"/>
  <c r="PBP671" i="3" s="1"/>
  <c r="PBO671" i="3" s="1"/>
  <c r="PBN671" i="3" s="1"/>
  <c r="PBM671" i="3" s="1"/>
  <c r="PBL671" i="3" s="1"/>
  <c r="PBK671" i="3" s="1"/>
  <c r="PBJ671" i="3" s="1"/>
  <c r="PBI671" i="3" s="1"/>
  <c r="PBH671" i="3" s="1"/>
  <c r="PBG671" i="3" s="1"/>
  <c r="PBF671" i="3" s="1"/>
  <c r="PBE671" i="3" s="1"/>
  <c r="PBD671" i="3" s="1"/>
  <c r="PBC671" i="3" s="1"/>
  <c r="PBB671" i="3" s="1"/>
  <c r="PBA671" i="3" s="1"/>
  <c r="PAZ671" i="3" s="1"/>
  <c r="PAY671" i="3" s="1"/>
  <c r="PAX671" i="3" s="1"/>
  <c r="PAW671" i="3" s="1"/>
  <c r="PAV671" i="3" s="1"/>
  <c r="PAU671" i="3" s="1"/>
  <c r="PAT671" i="3" s="1"/>
  <c r="PAS671" i="3" s="1"/>
  <c r="PAR671" i="3" s="1"/>
  <c r="PAQ671" i="3" s="1"/>
  <c r="PAP671" i="3" s="1"/>
  <c r="PAO671" i="3" s="1"/>
  <c r="PAN671" i="3" s="1"/>
  <c r="PAM671" i="3" s="1"/>
  <c r="PAL671" i="3" s="1"/>
  <c r="PAK671" i="3" s="1"/>
  <c r="PAJ671" i="3" s="1"/>
  <c r="PAI671" i="3" s="1"/>
  <c r="PAH671" i="3" s="1"/>
  <c r="PAG671" i="3" s="1"/>
  <c r="PAF671" i="3" s="1"/>
  <c r="PAE671" i="3" s="1"/>
  <c r="PAD671" i="3" s="1"/>
  <c r="PAC671" i="3" s="1"/>
  <c r="PAB671" i="3" s="1"/>
  <c r="PAA671" i="3" s="1"/>
  <c r="OZZ671" i="3" s="1"/>
  <c r="OZY671" i="3" s="1"/>
  <c r="OZX671" i="3" s="1"/>
  <c r="OZW671" i="3" s="1"/>
  <c r="OZV671" i="3" s="1"/>
  <c r="OZU671" i="3" s="1"/>
  <c r="OZT671" i="3" s="1"/>
  <c r="OZS671" i="3" s="1"/>
  <c r="OZR671" i="3" s="1"/>
  <c r="OZQ671" i="3" s="1"/>
  <c r="OZP671" i="3" s="1"/>
  <c r="OZO671" i="3" s="1"/>
  <c r="OZN671" i="3" s="1"/>
  <c r="OZM671" i="3" s="1"/>
  <c r="OZL671" i="3" s="1"/>
  <c r="OZK671" i="3" s="1"/>
  <c r="OZJ671" i="3" s="1"/>
  <c r="OZI671" i="3" s="1"/>
  <c r="OZH671" i="3" s="1"/>
  <c r="OZG671" i="3" s="1"/>
  <c r="OZF671" i="3" s="1"/>
  <c r="OZE671" i="3" s="1"/>
  <c r="OZD671" i="3" s="1"/>
  <c r="OZC671" i="3" s="1"/>
  <c r="OZB671" i="3" s="1"/>
  <c r="OZA671" i="3" s="1"/>
  <c r="OYZ671" i="3" s="1"/>
  <c r="OYY671" i="3" s="1"/>
  <c r="OYX671" i="3" s="1"/>
  <c r="OYW671" i="3" s="1"/>
  <c r="OYV671" i="3" s="1"/>
  <c r="OYU671" i="3" s="1"/>
  <c r="OYT671" i="3" s="1"/>
  <c r="OYS671" i="3" s="1"/>
  <c r="OYR671" i="3" s="1"/>
  <c r="OYQ671" i="3" s="1"/>
  <c r="OYP671" i="3" s="1"/>
  <c r="OYO671" i="3" s="1"/>
  <c r="OYN671" i="3" s="1"/>
  <c r="OYM671" i="3" s="1"/>
  <c r="OYL671" i="3" s="1"/>
  <c r="OYK671" i="3" s="1"/>
  <c r="OYJ671" i="3" s="1"/>
  <c r="OYI671" i="3" s="1"/>
  <c r="OYH671" i="3" s="1"/>
  <c r="OYG671" i="3" s="1"/>
  <c r="OYF671" i="3" s="1"/>
  <c r="OYE671" i="3" s="1"/>
  <c r="OYD671" i="3" s="1"/>
  <c r="OYC671" i="3" s="1"/>
  <c r="OYB671" i="3" s="1"/>
  <c r="OYA671" i="3" s="1"/>
  <c r="OXZ671" i="3" s="1"/>
  <c r="OXY671" i="3" s="1"/>
  <c r="OXX671" i="3" s="1"/>
  <c r="OXW671" i="3" s="1"/>
  <c r="OXV671" i="3" s="1"/>
  <c r="OXU671" i="3" s="1"/>
  <c r="OXT671" i="3" s="1"/>
  <c r="OXS671" i="3" s="1"/>
  <c r="OXR671" i="3" s="1"/>
  <c r="OXQ671" i="3" s="1"/>
  <c r="OXP671" i="3" s="1"/>
  <c r="OXO671" i="3" s="1"/>
  <c r="OXN671" i="3" s="1"/>
  <c r="OXM671" i="3" s="1"/>
  <c r="OXL671" i="3" s="1"/>
  <c r="OXK671" i="3" s="1"/>
  <c r="OXJ671" i="3" s="1"/>
  <c r="OXI671" i="3" s="1"/>
  <c r="OXH671" i="3" s="1"/>
  <c r="OXG671" i="3" s="1"/>
  <c r="OXF671" i="3" s="1"/>
  <c r="OXE671" i="3" s="1"/>
  <c r="OXD671" i="3" s="1"/>
  <c r="OXC671" i="3" s="1"/>
  <c r="OXB671" i="3" s="1"/>
  <c r="OXA671" i="3" s="1"/>
  <c r="OWZ671" i="3" s="1"/>
  <c r="OWY671" i="3" s="1"/>
  <c r="OWX671" i="3" s="1"/>
  <c r="OWW671" i="3" s="1"/>
  <c r="OWV671" i="3" s="1"/>
  <c r="OWU671" i="3" s="1"/>
  <c r="OWT671" i="3" s="1"/>
  <c r="OWS671" i="3" s="1"/>
  <c r="OWR671" i="3" s="1"/>
  <c r="OWQ671" i="3" s="1"/>
  <c r="OWP671" i="3" s="1"/>
  <c r="OWO671" i="3" s="1"/>
  <c r="OWN671" i="3" s="1"/>
  <c r="OWM671" i="3" s="1"/>
  <c r="OWL671" i="3" s="1"/>
  <c r="OWK671" i="3" s="1"/>
  <c r="OWJ671" i="3" s="1"/>
  <c r="OWI671" i="3" s="1"/>
  <c r="OWH671" i="3" s="1"/>
  <c r="OWG671" i="3" s="1"/>
  <c r="OWF671" i="3" s="1"/>
  <c r="OWE671" i="3" s="1"/>
  <c r="OWD671" i="3" s="1"/>
  <c r="OWC671" i="3" s="1"/>
  <c r="OWB671" i="3" s="1"/>
  <c r="OWA671" i="3" s="1"/>
  <c r="OVZ671" i="3" s="1"/>
  <c r="OVY671" i="3" s="1"/>
  <c r="OVX671" i="3" s="1"/>
  <c r="OVW671" i="3" s="1"/>
  <c r="OVV671" i="3" s="1"/>
  <c r="OVU671" i="3" s="1"/>
  <c r="OVT671" i="3" s="1"/>
  <c r="OVS671" i="3" s="1"/>
  <c r="OVR671" i="3" s="1"/>
  <c r="OVQ671" i="3" s="1"/>
  <c r="OVP671" i="3" s="1"/>
  <c r="OVO671" i="3" s="1"/>
  <c r="OVN671" i="3" s="1"/>
  <c r="OVM671" i="3" s="1"/>
  <c r="OVL671" i="3" s="1"/>
  <c r="OVK671" i="3" s="1"/>
  <c r="OVJ671" i="3" s="1"/>
  <c r="OVI671" i="3" s="1"/>
  <c r="OVH671" i="3" s="1"/>
  <c r="OVG671" i="3" s="1"/>
  <c r="OVF671" i="3" s="1"/>
  <c r="OVE671" i="3" s="1"/>
  <c r="OVD671" i="3" s="1"/>
  <c r="OVC671" i="3" s="1"/>
  <c r="OVB671" i="3" s="1"/>
  <c r="OVA671" i="3" s="1"/>
  <c r="OUZ671" i="3" s="1"/>
  <c r="OUY671" i="3" s="1"/>
  <c r="OUX671" i="3" s="1"/>
  <c r="OUW671" i="3" s="1"/>
  <c r="OUV671" i="3" s="1"/>
  <c r="OUU671" i="3" s="1"/>
  <c r="OUT671" i="3" s="1"/>
  <c r="OUS671" i="3" s="1"/>
  <c r="OUR671" i="3" s="1"/>
  <c r="OUQ671" i="3" s="1"/>
  <c r="OUP671" i="3" s="1"/>
  <c r="OUO671" i="3" s="1"/>
  <c r="OUN671" i="3" s="1"/>
  <c r="OUM671" i="3" s="1"/>
  <c r="OUL671" i="3" s="1"/>
  <c r="OUK671" i="3" s="1"/>
  <c r="OUJ671" i="3" s="1"/>
  <c r="OUI671" i="3" s="1"/>
  <c r="OUH671" i="3" s="1"/>
  <c r="OUG671" i="3" s="1"/>
  <c r="OUF671" i="3" s="1"/>
  <c r="OUE671" i="3" s="1"/>
  <c r="OUD671" i="3" s="1"/>
  <c r="OUC671" i="3" s="1"/>
  <c r="OUB671" i="3" s="1"/>
  <c r="OUA671" i="3" s="1"/>
  <c r="OTZ671" i="3" s="1"/>
  <c r="OTY671" i="3" s="1"/>
  <c r="OTX671" i="3" s="1"/>
  <c r="OTW671" i="3" s="1"/>
  <c r="OTV671" i="3" s="1"/>
  <c r="OTU671" i="3" s="1"/>
  <c r="OTT671" i="3" s="1"/>
  <c r="OTS671" i="3" s="1"/>
  <c r="OTR671" i="3" s="1"/>
  <c r="OTQ671" i="3" s="1"/>
  <c r="OTP671" i="3" s="1"/>
  <c r="OTO671" i="3" s="1"/>
  <c r="OTN671" i="3" s="1"/>
  <c r="OTM671" i="3" s="1"/>
  <c r="OTL671" i="3" s="1"/>
  <c r="OTK671" i="3" s="1"/>
  <c r="OTJ671" i="3" s="1"/>
  <c r="OTI671" i="3" s="1"/>
  <c r="OTH671" i="3" s="1"/>
  <c r="OTG671" i="3" s="1"/>
  <c r="OTF671" i="3" s="1"/>
  <c r="OTE671" i="3" s="1"/>
  <c r="OTD671" i="3" s="1"/>
  <c r="OTC671" i="3" s="1"/>
  <c r="OTB671" i="3" s="1"/>
  <c r="OTA671" i="3" s="1"/>
  <c r="OSZ671" i="3" s="1"/>
  <c r="OSY671" i="3" s="1"/>
  <c r="OSX671" i="3" s="1"/>
  <c r="OSW671" i="3" s="1"/>
  <c r="OSV671" i="3" s="1"/>
  <c r="OSU671" i="3" s="1"/>
  <c r="OST671" i="3" s="1"/>
  <c r="OSS671" i="3" s="1"/>
  <c r="OSR671" i="3" s="1"/>
  <c r="OSQ671" i="3" s="1"/>
  <c r="OSP671" i="3" s="1"/>
  <c r="OSO671" i="3" s="1"/>
  <c r="OSN671" i="3" s="1"/>
  <c r="OSM671" i="3" s="1"/>
  <c r="OSL671" i="3" s="1"/>
  <c r="OSK671" i="3" s="1"/>
  <c r="OSJ671" i="3" s="1"/>
  <c r="OSI671" i="3" s="1"/>
  <c r="OSH671" i="3" s="1"/>
  <c r="OSG671" i="3" s="1"/>
  <c r="OSF671" i="3" s="1"/>
  <c r="OSE671" i="3" s="1"/>
  <c r="OSD671" i="3" s="1"/>
  <c r="OSC671" i="3" s="1"/>
  <c r="OSB671" i="3" s="1"/>
  <c r="OSA671" i="3" s="1"/>
  <c r="ORZ671" i="3" s="1"/>
  <c r="ORY671" i="3" s="1"/>
  <c r="ORX671" i="3" s="1"/>
  <c r="ORW671" i="3" s="1"/>
  <c r="ORV671" i="3" s="1"/>
  <c r="ORU671" i="3" s="1"/>
  <c r="ORT671" i="3" s="1"/>
  <c r="ORS671" i="3" s="1"/>
  <c r="ORR671" i="3" s="1"/>
  <c r="ORQ671" i="3" s="1"/>
  <c r="ORP671" i="3" s="1"/>
  <c r="ORO671" i="3" s="1"/>
  <c r="ORN671" i="3" s="1"/>
  <c r="ORM671" i="3" s="1"/>
  <c r="ORL671" i="3" s="1"/>
  <c r="ORK671" i="3" s="1"/>
  <c r="ORJ671" i="3" s="1"/>
  <c r="ORI671" i="3" s="1"/>
  <c r="ORH671" i="3" s="1"/>
  <c r="ORG671" i="3" s="1"/>
  <c r="ORF671" i="3" s="1"/>
  <c r="ORE671" i="3" s="1"/>
  <c r="ORD671" i="3" s="1"/>
  <c r="ORC671" i="3" s="1"/>
  <c r="ORB671" i="3" s="1"/>
  <c r="ORA671" i="3" s="1"/>
  <c r="OQZ671" i="3" s="1"/>
  <c r="OQY671" i="3" s="1"/>
  <c r="OQX671" i="3" s="1"/>
  <c r="OQW671" i="3" s="1"/>
  <c r="OQV671" i="3" s="1"/>
  <c r="OQU671" i="3" s="1"/>
  <c r="OQT671" i="3" s="1"/>
  <c r="OQS671" i="3" s="1"/>
  <c r="OQR671" i="3" s="1"/>
  <c r="OQQ671" i="3" s="1"/>
  <c r="OQP671" i="3" s="1"/>
  <c r="OQO671" i="3" s="1"/>
  <c r="OQN671" i="3" s="1"/>
  <c r="OQM671" i="3" s="1"/>
  <c r="OQL671" i="3" s="1"/>
  <c r="OQK671" i="3" s="1"/>
  <c r="OQJ671" i="3" s="1"/>
  <c r="OQI671" i="3" s="1"/>
  <c r="OQH671" i="3" s="1"/>
  <c r="OQG671" i="3" s="1"/>
  <c r="OQF671" i="3" s="1"/>
  <c r="OQE671" i="3" s="1"/>
  <c r="OQD671" i="3" s="1"/>
  <c r="OQC671" i="3" s="1"/>
  <c r="OQB671" i="3" s="1"/>
  <c r="OQA671" i="3" s="1"/>
  <c r="OPZ671" i="3" s="1"/>
  <c r="OPY671" i="3" s="1"/>
  <c r="OPX671" i="3" s="1"/>
  <c r="OPW671" i="3" s="1"/>
  <c r="OPV671" i="3" s="1"/>
  <c r="OPU671" i="3" s="1"/>
  <c r="OPT671" i="3" s="1"/>
  <c r="OPS671" i="3" s="1"/>
  <c r="OPR671" i="3" s="1"/>
  <c r="OPQ671" i="3" s="1"/>
  <c r="OPP671" i="3" s="1"/>
  <c r="OPO671" i="3" s="1"/>
  <c r="OPN671" i="3" s="1"/>
  <c r="OPM671" i="3" s="1"/>
  <c r="OPL671" i="3" s="1"/>
  <c r="OPK671" i="3" s="1"/>
  <c r="OPJ671" i="3" s="1"/>
  <c r="OPI671" i="3" s="1"/>
  <c r="OPH671" i="3" s="1"/>
  <c r="OPG671" i="3" s="1"/>
  <c r="OPF671" i="3" s="1"/>
  <c r="OPE671" i="3" s="1"/>
  <c r="OPD671" i="3" s="1"/>
  <c r="OPC671" i="3" s="1"/>
  <c r="OPB671" i="3" s="1"/>
  <c r="OPA671" i="3" s="1"/>
  <c r="OOZ671" i="3" s="1"/>
  <c r="OOY671" i="3" s="1"/>
  <c r="OOX671" i="3" s="1"/>
  <c r="OOW671" i="3" s="1"/>
  <c r="OOV671" i="3" s="1"/>
  <c r="OOU671" i="3" s="1"/>
  <c r="OOT671" i="3" s="1"/>
  <c r="OOS671" i="3" s="1"/>
  <c r="OOR671" i="3" s="1"/>
  <c r="OOQ671" i="3" s="1"/>
  <c r="OOP671" i="3" s="1"/>
  <c r="OOO671" i="3" s="1"/>
  <c r="OON671" i="3" s="1"/>
  <c r="OOM671" i="3" s="1"/>
  <c r="OOL671" i="3" s="1"/>
  <c r="OOK671" i="3" s="1"/>
  <c r="OOJ671" i="3" s="1"/>
  <c r="OOI671" i="3" s="1"/>
  <c r="OOH671" i="3" s="1"/>
  <c r="OOG671" i="3" s="1"/>
  <c r="OOF671" i="3" s="1"/>
  <c r="OOE671" i="3" s="1"/>
  <c r="OOD671" i="3" s="1"/>
  <c r="OOC671" i="3" s="1"/>
  <c r="OOB671" i="3" s="1"/>
  <c r="OOA671" i="3" s="1"/>
  <c r="ONZ671" i="3" s="1"/>
  <c r="ONY671" i="3" s="1"/>
  <c r="ONX671" i="3" s="1"/>
  <c r="ONW671" i="3" s="1"/>
  <c r="ONV671" i="3" s="1"/>
  <c r="ONU671" i="3" s="1"/>
  <c r="ONT671" i="3" s="1"/>
  <c r="ONS671" i="3" s="1"/>
  <c r="ONR671" i="3" s="1"/>
  <c r="ONQ671" i="3" s="1"/>
  <c r="ONP671" i="3" s="1"/>
  <c r="ONO671" i="3" s="1"/>
  <c r="ONN671" i="3" s="1"/>
  <c r="ONM671" i="3" s="1"/>
  <c r="ONL671" i="3" s="1"/>
  <c r="ONK671" i="3" s="1"/>
  <c r="ONJ671" i="3" s="1"/>
  <c r="ONI671" i="3" s="1"/>
  <c r="ONH671" i="3" s="1"/>
  <c r="ONG671" i="3" s="1"/>
  <c r="ONF671" i="3" s="1"/>
  <c r="ONE671" i="3" s="1"/>
  <c r="OND671" i="3" s="1"/>
  <c r="ONC671" i="3" s="1"/>
  <c r="ONB671" i="3" s="1"/>
  <c r="ONA671" i="3" s="1"/>
  <c r="OMZ671" i="3" s="1"/>
  <c r="OMY671" i="3" s="1"/>
  <c r="OMX671" i="3" s="1"/>
  <c r="OMW671" i="3" s="1"/>
  <c r="OMV671" i="3" s="1"/>
  <c r="OMU671" i="3" s="1"/>
  <c r="OMT671" i="3" s="1"/>
  <c r="OMS671" i="3" s="1"/>
  <c r="OMR671" i="3" s="1"/>
  <c r="OMQ671" i="3" s="1"/>
  <c r="OMP671" i="3" s="1"/>
  <c r="OMO671" i="3" s="1"/>
  <c r="OMN671" i="3" s="1"/>
  <c r="OMM671" i="3" s="1"/>
  <c r="OML671" i="3" s="1"/>
  <c r="OMK671" i="3" s="1"/>
  <c r="OMJ671" i="3" s="1"/>
  <c r="OMI671" i="3" s="1"/>
  <c r="OMH671" i="3" s="1"/>
  <c r="OMG671" i="3" s="1"/>
  <c r="OMF671" i="3" s="1"/>
  <c r="OME671" i="3" s="1"/>
  <c r="OMD671" i="3" s="1"/>
  <c r="OMC671" i="3" s="1"/>
  <c r="OMB671" i="3" s="1"/>
  <c r="OMA671" i="3" s="1"/>
  <c r="OLZ671" i="3" s="1"/>
  <c r="OLY671" i="3" s="1"/>
  <c r="OLX671" i="3" s="1"/>
  <c r="OLW671" i="3" s="1"/>
  <c r="OLV671" i="3" s="1"/>
  <c r="OLU671" i="3" s="1"/>
  <c r="OLT671" i="3" s="1"/>
  <c r="OLS671" i="3" s="1"/>
  <c r="OLR671" i="3" s="1"/>
  <c r="OLQ671" i="3" s="1"/>
  <c r="OLP671" i="3" s="1"/>
  <c r="OLO671" i="3" s="1"/>
  <c r="OLN671" i="3" s="1"/>
  <c r="OLM671" i="3" s="1"/>
  <c r="OLL671" i="3" s="1"/>
  <c r="OLK671" i="3" s="1"/>
  <c r="OLJ671" i="3" s="1"/>
  <c r="OLI671" i="3" s="1"/>
  <c r="OLH671" i="3" s="1"/>
  <c r="OLG671" i="3" s="1"/>
  <c r="OLF671" i="3" s="1"/>
  <c r="OLE671" i="3" s="1"/>
  <c r="OLD671" i="3" s="1"/>
  <c r="OLC671" i="3" s="1"/>
  <c r="OLB671" i="3" s="1"/>
  <c r="OLA671" i="3" s="1"/>
  <c r="OKZ671" i="3" s="1"/>
  <c r="OKY671" i="3" s="1"/>
  <c r="OKX671" i="3" s="1"/>
  <c r="OKW671" i="3" s="1"/>
  <c r="OKV671" i="3" s="1"/>
  <c r="OKU671" i="3" s="1"/>
  <c r="OKT671" i="3" s="1"/>
  <c r="OKS671" i="3" s="1"/>
  <c r="OKR671" i="3" s="1"/>
  <c r="OKQ671" i="3" s="1"/>
  <c r="OKP671" i="3" s="1"/>
  <c r="OKO671" i="3" s="1"/>
  <c r="OKN671" i="3" s="1"/>
  <c r="OKM671" i="3" s="1"/>
  <c r="OKL671" i="3" s="1"/>
  <c r="OKK671" i="3" s="1"/>
  <c r="OKJ671" i="3" s="1"/>
  <c r="OKI671" i="3" s="1"/>
  <c r="OKH671" i="3" s="1"/>
  <c r="OKG671" i="3" s="1"/>
  <c r="OKF671" i="3" s="1"/>
  <c r="OKE671" i="3" s="1"/>
  <c r="OKD671" i="3" s="1"/>
  <c r="OKC671" i="3" s="1"/>
  <c r="OKB671" i="3" s="1"/>
  <c r="OKA671" i="3" s="1"/>
  <c r="OJZ671" i="3" s="1"/>
  <c r="OJY671" i="3" s="1"/>
  <c r="OJX671" i="3" s="1"/>
  <c r="OJW671" i="3" s="1"/>
  <c r="OJV671" i="3" s="1"/>
  <c r="OJU671" i="3" s="1"/>
  <c r="OJT671" i="3" s="1"/>
  <c r="OJS671" i="3" s="1"/>
  <c r="OJR671" i="3" s="1"/>
  <c r="OJQ671" i="3" s="1"/>
  <c r="OJP671" i="3" s="1"/>
  <c r="OJO671" i="3" s="1"/>
  <c r="OJN671" i="3" s="1"/>
  <c r="OJM671" i="3" s="1"/>
  <c r="OJL671" i="3" s="1"/>
  <c r="OJK671" i="3" s="1"/>
  <c r="OJJ671" i="3" s="1"/>
  <c r="OJI671" i="3" s="1"/>
  <c r="OJH671" i="3" s="1"/>
  <c r="OJG671" i="3" s="1"/>
  <c r="OJF671" i="3" s="1"/>
  <c r="OJE671" i="3" s="1"/>
  <c r="OJD671" i="3" s="1"/>
  <c r="OJC671" i="3" s="1"/>
  <c r="OJB671" i="3" s="1"/>
  <c r="OJA671" i="3" s="1"/>
  <c r="OIZ671" i="3" s="1"/>
  <c r="OIY671" i="3" s="1"/>
  <c r="OIX671" i="3" s="1"/>
  <c r="OIW671" i="3" s="1"/>
  <c r="OIV671" i="3" s="1"/>
  <c r="OIU671" i="3" s="1"/>
  <c r="OIT671" i="3" s="1"/>
  <c r="OIS671" i="3" s="1"/>
  <c r="OIR671" i="3" s="1"/>
  <c r="OIQ671" i="3" s="1"/>
  <c r="OIP671" i="3" s="1"/>
  <c r="OIO671" i="3" s="1"/>
  <c r="OIN671" i="3" s="1"/>
  <c r="OIM671" i="3" s="1"/>
  <c r="OIL671" i="3" s="1"/>
  <c r="OIK671" i="3" s="1"/>
  <c r="OIJ671" i="3" s="1"/>
  <c r="OII671" i="3" s="1"/>
  <c r="OIH671" i="3" s="1"/>
  <c r="OIG671" i="3" s="1"/>
  <c r="OIF671" i="3" s="1"/>
  <c r="OIE671" i="3" s="1"/>
  <c r="OID671" i="3" s="1"/>
  <c r="OIC671" i="3" s="1"/>
  <c r="OIB671" i="3" s="1"/>
  <c r="OIA671" i="3" s="1"/>
  <c r="OHZ671" i="3" s="1"/>
  <c r="OHY671" i="3" s="1"/>
  <c r="OHX671" i="3" s="1"/>
  <c r="OHW671" i="3" s="1"/>
  <c r="OHV671" i="3" s="1"/>
  <c r="OHU671" i="3" s="1"/>
  <c r="OHT671" i="3" s="1"/>
  <c r="OHS671" i="3" s="1"/>
  <c r="OHR671" i="3" s="1"/>
  <c r="OHQ671" i="3" s="1"/>
  <c r="OHP671" i="3" s="1"/>
  <c r="OHO671" i="3" s="1"/>
  <c r="OHN671" i="3" s="1"/>
  <c r="OHM671" i="3" s="1"/>
  <c r="OHL671" i="3" s="1"/>
  <c r="OHK671" i="3" s="1"/>
  <c r="OHJ671" i="3" s="1"/>
  <c r="OHI671" i="3" s="1"/>
  <c r="OHH671" i="3" s="1"/>
  <c r="OHG671" i="3" s="1"/>
  <c r="OHF671" i="3" s="1"/>
  <c r="OHE671" i="3" s="1"/>
  <c r="OHD671" i="3" s="1"/>
  <c r="OHC671" i="3" s="1"/>
  <c r="OHB671" i="3" s="1"/>
  <c r="OHA671" i="3" s="1"/>
  <c r="OGZ671" i="3" s="1"/>
  <c r="OGY671" i="3" s="1"/>
  <c r="OGX671" i="3" s="1"/>
  <c r="OGW671" i="3" s="1"/>
  <c r="OGV671" i="3" s="1"/>
  <c r="OGU671" i="3" s="1"/>
  <c r="OGT671" i="3" s="1"/>
  <c r="OGS671" i="3" s="1"/>
  <c r="OGR671" i="3" s="1"/>
  <c r="OGQ671" i="3" s="1"/>
  <c r="OGP671" i="3" s="1"/>
  <c r="OGO671" i="3" s="1"/>
  <c r="OGN671" i="3" s="1"/>
  <c r="OGM671" i="3" s="1"/>
  <c r="OGL671" i="3" s="1"/>
  <c r="OGK671" i="3" s="1"/>
  <c r="OGJ671" i="3" s="1"/>
  <c r="OGI671" i="3" s="1"/>
  <c r="OGH671" i="3" s="1"/>
  <c r="OGG671" i="3" s="1"/>
  <c r="OGF671" i="3" s="1"/>
  <c r="OGE671" i="3" s="1"/>
  <c r="OGD671" i="3" s="1"/>
  <c r="OGC671" i="3" s="1"/>
  <c r="OGB671" i="3" s="1"/>
  <c r="OGA671" i="3" s="1"/>
  <c r="OFZ671" i="3" s="1"/>
  <c r="OFY671" i="3" s="1"/>
  <c r="OFX671" i="3" s="1"/>
  <c r="OFW671" i="3" s="1"/>
  <c r="OFV671" i="3" s="1"/>
  <c r="OFU671" i="3" s="1"/>
  <c r="OFT671" i="3" s="1"/>
  <c r="OFS671" i="3" s="1"/>
  <c r="OFR671" i="3" s="1"/>
  <c r="OFQ671" i="3" s="1"/>
  <c r="OFP671" i="3" s="1"/>
  <c r="OFO671" i="3" s="1"/>
  <c r="OFN671" i="3" s="1"/>
  <c r="OFM671" i="3" s="1"/>
  <c r="OFL671" i="3" s="1"/>
  <c r="OFK671" i="3" s="1"/>
  <c r="OFJ671" i="3" s="1"/>
  <c r="OFI671" i="3" s="1"/>
  <c r="OFH671" i="3" s="1"/>
  <c r="OFG671" i="3" s="1"/>
  <c r="OFF671" i="3" s="1"/>
  <c r="OFE671" i="3" s="1"/>
  <c r="OFD671" i="3" s="1"/>
  <c r="OFC671" i="3" s="1"/>
  <c r="OFB671" i="3" s="1"/>
  <c r="OFA671" i="3" s="1"/>
  <c r="OEZ671" i="3" s="1"/>
  <c r="OEY671" i="3" s="1"/>
  <c r="OEX671" i="3" s="1"/>
  <c r="OEW671" i="3" s="1"/>
  <c r="OEV671" i="3" s="1"/>
  <c r="OEU671" i="3" s="1"/>
  <c r="OET671" i="3" s="1"/>
  <c r="OES671" i="3" s="1"/>
  <c r="OER671" i="3" s="1"/>
  <c r="OEQ671" i="3" s="1"/>
  <c r="OEP671" i="3" s="1"/>
  <c r="OEO671" i="3" s="1"/>
  <c r="OEN671" i="3" s="1"/>
  <c r="OEM671" i="3" s="1"/>
  <c r="OEL671" i="3" s="1"/>
  <c r="OEK671" i="3" s="1"/>
  <c r="OEJ671" i="3" s="1"/>
  <c r="OEI671" i="3" s="1"/>
  <c r="OEH671" i="3" s="1"/>
  <c r="OEG671" i="3" s="1"/>
  <c r="OEF671" i="3" s="1"/>
  <c r="OEE671" i="3" s="1"/>
  <c r="OED671" i="3" s="1"/>
  <c r="OEC671" i="3" s="1"/>
  <c r="OEB671" i="3" s="1"/>
  <c r="OEA671" i="3" s="1"/>
  <c r="ODZ671" i="3" s="1"/>
  <c r="ODY671" i="3" s="1"/>
  <c r="ODX671" i="3" s="1"/>
  <c r="ODW671" i="3" s="1"/>
  <c r="ODV671" i="3" s="1"/>
  <c r="ODU671" i="3" s="1"/>
  <c r="ODT671" i="3" s="1"/>
  <c r="ODS671" i="3" s="1"/>
  <c r="ODR671" i="3" s="1"/>
  <c r="ODQ671" i="3" s="1"/>
  <c r="ODP671" i="3" s="1"/>
  <c r="ODO671" i="3" s="1"/>
  <c r="ODN671" i="3" s="1"/>
  <c r="ODM671" i="3" s="1"/>
  <c r="ODL671" i="3" s="1"/>
  <c r="ODK671" i="3" s="1"/>
  <c r="ODJ671" i="3" s="1"/>
  <c r="ODI671" i="3" s="1"/>
  <c r="ODH671" i="3" s="1"/>
  <c r="ODG671" i="3" s="1"/>
  <c r="ODF671" i="3" s="1"/>
  <c r="ODE671" i="3" s="1"/>
  <c r="ODD671" i="3" s="1"/>
  <c r="ODC671" i="3" s="1"/>
  <c r="ODB671" i="3" s="1"/>
  <c r="ODA671" i="3" s="1"/>
  <c r="OCZ671" i="3" s="1"/>
  <c r="OCY671" i="3" s="1"/>
  <c r="OCX671" i="3" s="1"/>
  <c r="OCW671" i="3" s="1"/>
  <c r="OCV671" i="3" s="1"/>
  <c r="OCU671" i="3" s="1"/>
  <c r="OCT671" i="3" s="1"/>
  <c r="OCS671" i="3" s="1"/>
  <c r="OCR671" i="3" s="1"/>
  <c r="OCQ671" i="3" s="1"/>
  <c r="OCP671" i="3" s="1"/>
  <c r="OCO671" i="3" s="1"/>
  <c r="OCN671" i="3" s="1"/>
  <c r="OCM671" i="3" s="1"/>
  <c r="OCL671" i="3" s="1"/>
  <c r="OCK671" i="3" s="1"/>
  <c r="OCJ671" i="3" s="1"/>
  <c r="OCI671" i="3" s="1"/>
  <c r="OCH671" i="3" s="1"/>
  <c r="OCG671" i="3" s="1"/>
  <c r="OCF671" i="3" s="1"/>
  <c r="OCE671" i="3" s="1"/>
  <c r="OCD671" i="3" s="1"/>
  <c r="OCC671" i="3" s="1"/>
  <c r="OCB671" i="3" s="1"/>
  <c r="OCA671" i="3" s="1"/>
  <c r="OBZ671" i="3" s="1"/>
  <c r="OBY671" i="3" s="1"/>
  <c r="OBX671" i="3" s="1"/>
  <c r="OBW671" i="3" s="1"/>
  <c r="OBV671" i="3" s="1"/>
  <c r="OBU671" i="3" s="1"/>
  <c r="OBT671" i="3" s="1"/>
  <c r="OBS671" i="3" s="1"/>
  <c r="OBR671" i="3" s="1"/>
  <c r="OBQ671" i="3" s="1"/>
  <c r="OBP671" i="3" s="1"/>
  <c r="OBO671" i="3" s="1"/>
  <c r="OBN671" i="3" s="1"/>
  <c r="OBM671" i="3" s="1"/>
  <c r="OBL671" i="3" s="1"/>
  <c r="OBK671" i="3" s="1"/>
  <c r="OBJ671" i="3" s="1"/>
  <c r="OBI671" i="3" s="1"/>
  <c r="OBH671" i="3" s="1"/>
  <c r="OBG671" i="3" s="1"/>
  <c r="OBF671" i="3" s="1"/>
  <c r="OBE671" i="3" s="1"/>
  <c r="OBD671" i="3" s="1"/>
  <c r="OBC671" i="3" s="1"/>
  <c r="OBB671" i="3" s="1"/>
  <c r="OBA671" i="3" s="1"/>
  <c r="OAZ671" i="3" s="1"/>
  <c r="OAY671" i="3" s="1"/>
  <c r="OAX671" i="3" s="1"/>
  <c r="OAW671" i="3" s="1"/>
  <c r="OAV671" i="3" s="1"/>
  <c r="OAU671" i="3" s="1"/>
  <c r="OAT671" i="3" s="1"/>
  <c r="OAS671" i="3" s="1"/>
  <c r="OAR671" i="3" s="1"/>
  <c r="OAQ671" i="3" s="1"/>
  <c r="OAP671" i="3" s="1"/>
  <c r="OAO671" i="3" s="1"/>
  <c r="OAN671" i="3" s="1"/>
  <c r="OAM671" i="3" s="1"/>
  <c r="OAL671" i="3" s="1"/>
  <c r="OAK671" i="3" s="1"/>
  <c r="OAJ671" i="3" s="1"/>
  <c r="OAI671" i="3" s="1"/>
  <c r="OAH671" i="3" s="1"/>
  <c r="OAG671" i="3" s="1"/>
  <c r="OAF671" i="3" s="1"/>
  <c r="OAE671" i="3" s="1"/>
  <c r="OAD671" i="3" s="1"/>
  <c r="OAC671" i="3" s="1"/>
  <c r="OAB671" i="3" s="1"/>
  <c r="OAA671" i="3" s="1"/>
  <c r="NZZ671" i="3" s="1"/>
  <c r="NZY671" i="3" s="1"/>
  <c r="NZX671" i="3" s="1"/>
  <c r="NZW671" i="3" s="1"/>
  <c r="NZV671" i="3" s="1"/>
  <c r="NZU671" i="3" s="1"/>
  <c r="NZT671" i="3" s="1"/>
  <c r="NZS671" i="3" s="1"/>
  <c r="NZR671" i="3" s="1"/>
  <c r="NZQ671" i="3" s="1"/>
  <c r="NZP671" i="3" s="1"/>
  <c r="NZO671" i="3" s="1"/>
  <c r="NZN671" i="3" s="1"/>
  <c r="NZM671" i="3" s="1"/>
  <c r="NZL671" i="3" s="1"/>
  <c r="NZK671" i="3" s="1"/>
  <c r="NZJ671" i="3" s="1"/>
  <c r="NZI671" i="3" s="1"/>
  <c r="NZH671" i="3" s="1"/>
  <c r="NZG671" i="3" s="1"/>
  <c r="NZF671" i="3" s="1"/>
  <c r="NZE671" i="3" s="1"/>
  <c r="NZD671" i="3" s="1"/>
  <c r="NZC671" i="3" s="1"/>
  <c r="NZB671" i="3" s="1"/>
  <c r="NZA671" i="3" s="1"/>
  <c r="NYZ671" i="3" s="1"/>
  <c r="NYY671" i="3" s="1"/>
  <c r="NYX671" i="3" s="1"/>
  <c r="NYW671" i="3" s="1"/>
  <c r="NYV671" i="3" s="1"/>
  <c r="NYU671" i="3" s="1"/>
  <c r="NYT671" i="3" s="1"/>
  <c r="NYS671" i="3" s="1"/>
  <c r="NYR671" i="3" s="1"/>
  <c r="NYQ671" i="3" s="1"/>
  <c r="NYP671" i="3" s="1"/>
  <c r="NYO671" i="3" s="1"/>
  <c r="NYN671" i="3" s="1"/>
  <c r="NYM671" i="3" s="1"/>
  <c r="NYL671" i="3" s="1"/>
  <c r="NYK671" i="3" s="1"/>
  <c r="NYJ671" i="3" s="1"/>
  <c r="NYI671" i="3" s="1"/>
  <c r="NYH671" i="3" s="1"/>
  <c r="NYG671" i="3" s="1"/>
  <c r="NYF671" i="3" s="1"/>
  <c r="NYE671" i="3" s="1"/>
  <c r="NYD671" i="3" s="1"/>
  <c r="NYC671" i="3" s="1"/>
  <c r="NYB671" i="3" s="1"/>
  <c r="NYA671" i="3" s="1"/>
  <c r="NXZ671" i="3" s="1"/>
  <c r="NXY671" i="3" s="1"/>
  <c r="NXX671" i="3" s="1"/>
  <c r="NXW671" i="3" s="1"/>
  <c r="NXV671" i="3" s="1"/>
  <c r="NXU671" i="3" s="1"/>
  <c r="NXT671" i="3" s="1"/>
  <c r="NXS671" i="3" s="1"/>
  <c r="NXR671" i="3" s="1"/>
  <c r="NXQ671" i="3" s="1"/>
  <c r="NXP671" i="3" s="1"/>
  <c r="NXO671" i="3" s="1"/>
  <c r="NXN671" i="3" s="1"/>
  <c r="NXM671" i="3" s="1"/>
  <c r="NXL671" i="3" s="1"/>
  <c r="NXK671" i="3" s="1"/>
  <c r="NXJ671" i="3" s="1"/>
  <c r="NXI671" i="3" s="1"/>
  <c r="NXH671" i="3" s="1"/>
  <c r="NXG671" i="3" s="1"/>
  <c r="NXF671" i="3" s="1"/>
  <c r="NXE671" i="3" s="1"/>
  <c r="NXD671" i="3" s="1"/>
  <c r="NXC671" i="3" s="1"/>
  <c r="NXB671" i="3" s="1"/>
  <c r="NXA671" i="3" s="1"/>
  <c r="NWZ671" i="3" s="1"/>
  <c r="NWY671" i="3" s="1"/>
  <c r="NWX671" i="3" s="1"/>
  <c r="NWW671" i="3" s="1"/>
  <c r="NWV671" i="3" s="1"/>
  <c r="NWU671" i="3" s="1"/>
  <c r="NWT671" i="3" s="1"/>
  <c r="NWS671" i="3" s="1"/>
  <c r="NWR671" i="3" s="1"/>
  <c r="NWQ671" i="3" s="1"/>
  <c r="NWP671" i="3" s="1"/>
  <c r="NWO671" i="3" s="1"/>
  <c r="NWN671" i="3" s="1"/>
  <c r="NWM671" i="3" s="1"/>
  <c r="NWL671" i="3" s="1"/>
  <c r="NWK671" i="3" s="1"/>
  <c r="NWJ671" i="3" s="1"/>
  <c r="NWI671" i="3" s="1"/>
  <c r="NWH671" i="3" s="1"/>
  <c r="NWG671" i="3" s="1"/>
  <c r="NWF671" i="3" s="1"/>
  <c r="NWE671" i="3" s="1"/>
  <c r="NWD671" i="3" s="1"/>
  <c r="NWC671" i="3" s="1"/>
  <c r="NWB671" i="3" s="1"/>
  <c r="NWA671" i="3" s="1"/>
  <c r="NVZ671" i="3" s="1"/>
  <c r="NVY671" i="3" s="1"/>
  <c r="NVX671" i="3" s="1"/>
  <c r="NVW671" i="3" s="1"/>
  <c r="NVV671" i="3" s="1"/>
  <c r="NVU671" i="3" s="1"/>
  <c r="NVT671" i="3" s="1"/>
  <c r="NVS671" i="3" s="1"/>
  <c r="NVR671" i="3" s="1"/>
  <c r="NVQ671" i="3" s="1"/>
  <c r="NVP671" i="3" s="1"/>
  <c r="NVO671" i="3" s="1"/>
  <c r="NVN671" i="3" s="1"/>
  <c r="NVM671" i="3" s="1"/>
  <c r="NVL671" i="3" s="1"/>
  <c r="NVK671" i="3" s="1"/>
  <c r="NVJ671" i="3" s="1"/>
  <c r="NVI671" i="3" s="1"/>
  <c r="NVH671" i="3" s="1"/>
  <c r="NVG671" i="3" s="1"/>
  <c r="NVF671" i="3" s="1"/>
  <c r="NVE671" i="3" s="1"/>
  <c r="NVD671" i="3" s="1"/>
  <c r="NVC671" i="3" s="1"/>
  <c r="NVB671" i="3" s="1"/>
  <c r="NVA671" i="3" s="1"/>
  <c r="NUZ671" i="3" s="1"/>
  <c r="NUY671" i="3" s="1"/>
  <c r="NUX671" i="3" s="1"/>
  <c r="NUW671" i="3" s="1"/>
  <c r="NUV671" i="3" s="1"/>
  <c r="NUU671" i="3" s="1"/>
  <c r="NUT671" i="3" s="1"/>
  <c r="NUS671" i="3" s="1"/>
  <c r="NUR671" i="3" s="1"/>
  <c r="NUQ671" i="3" s="1"/>
  <c r="NUP671" i="3" s="1"/>
  <c r="NUO671" i="3" s="1"/>
  <c r="NUN671" i="3" s="1"/>
  <c r="NUM671" i="3" s="1"/>
  <c r="NUL671" i="3" s="1"/>
  <c r="NUK671" i="3" s="1"/>
  <c r="NUJ671" i="3" s="1"/>
  <c r="NUI671" i="3" s="1"/>
  <c r="NUH671" i="3" s="1"/>
  <c r="NUG671" i="3" s="1"/>
  <c r="NUF671" i="3" s="1"/>
  <c r="NUE671" i="3" s="1"/>
  <c r="NUD671" i="3" s="1"/>
  <c r="NUC671" i="3" s="1"/>
  <c r="NUB671" i="3" s="1"/>
  <c r="NUA671" i="3" s="1"/>
  <c r="NTZ671" i="3" s="1"/>
  <c r="NTY671" i="3" s="1"/>
  <c r="NTX671" i="3" s="1"/>
  <c r="NTW671" i="3" s="1"/>
  <c r="NTV671" i="3" s="1"/>
  <c r="NTU671" i="3" s="1"/>
  <c r="NTT671" i="3" s="1"/>
  <c r="NTS671" i="3" s="1"/>
  <c r="NTR671" i="3" s="1"/>
  <c r="NTQ671" i="3" s="1"/>
  <c r="NTP671" i="3" s="1"/>
  <c r="NTO671" i="3" s="1"/>
  <c r="NTN671" i="3" s="1"/>
  <c r="NTM671" i="3" s="1"/>
  <c r="NTL671" i="3" s="1"/>
  <c r="NTK671" i="3" s="1"/>
  <c r="NTJ671" i="3" s="1"/>
  <c r="NTI671" i="3" s="1"/>
  <c r="NTH671" i="3" s="1"/>
  <c r="NTG671" i="3" s="1"/>
  <c r="NTF671" i="3" s="1"/>
  <c r="NTE671" i="3" s="1"/>
  <c r="NTD671" i="3" s="1"/>
  <c r="NTC671" i="3" s="1"/>
  <c r="NTB671" i="3" s="1"/>
  <c r="NTA671" i="3" s="1"/>
  <c r="NSZ671" i="3" s="1"/>
  <c r="NSY671" i="3" s="1"/>
  <c r="NSX671" i="3" s="1"/>
  <c r="NSW671" i="3" s="1"/>
  <c r="NSV671" i="3" s="1"/>
  <c r="NSU671" i="3" s="1"/>
  <c r="NST671" i="3" s="1"/>
  <c r="NSS671" i="3" s="1"/>
  <c r="NSR671" i="3" s="1"/>
  <c r="NSQ671" i="3" s="1"/>
  <c r="NSP671" i="3" s="1"/>
  <c r="NSO671" i="3" s="1"/>
  <c r="NSN671" i="3" s="1"/>
  <c r="NSM671" i="3" s="1"/>
  <c r="NSL671" i="3" s="1"/>
  <c r="NSK671" i="3" s="1"/>
  <c r="NSJ671" i="3" s="1"/>
  <c r="NSI671" i="3" s="1"/>
  <c r="NSH671" i="3" s="1"/>
  <c r="NSG671" i="3" s="1"/>
  <c r="NSF671" i="3" s="1"/>
  <c r="NSE671" i="3" s="1"/>
  <c r="NSD671" i="3" s="1"/>
  <c r="NSC671" i="3" s="1"/>
  <c r="NSB671" i="3" s="1"/>
  <c r="NSA671" i="3" s="1"/>
  <c r="NRZ671" i="3" s="1"/>
  <c r="NRY671" i="3" s="1"/>
  <c r="NRX671" i="3" s="1"/>
  <c r="NRW671" i="3" s="1"/>
  <c r="NRV671" i="3" s="1"/>
  <c r="NRU671" i="3" s="1"/>
  <c r="NRT671" i="3" s="1"/>
  <c r="NRS671" i="3" s="1"/>
  <c r="NRR671" i="3" s="1"/>
  <c r="NRQ671" i="3" s="1"/>
  <c r="NRP671" i="3" s="1"/>
  <c r="NRO671" i="3" s="1"/>
  <c r="NRN671" i="3" s="1"/>
  <c r="NRM671" i="3" s="1"/>
  <c r="NRL671" i="3" s="1"/>
  <c r="NRK671" i="3" s="1"/>
  <c r="NRJ671" i="3" s="1"/>
  <c r="NRI671" i="3" s="1"/>
  <c r="NRH671" i="3" s="1"/>
  <c r="NRG671" i="3" s="1"/>
  <c r="NRF671" i="3" s="1"/>
  <c r="NRE671" i="3" s="1"/>
  <c r="NRD671" i="3" s="1"/>
  <c r="NRC671" i="3" s="1"/>
  <c r="NRB671" i="3" s="1"/>
  <c r="NRA671" i="3" s="1"/>
  <c r="NQZ671" i="3" s="1"/>
  <c r="NQY671" i="3" s="1"/>
  <c r="NQX671" i="3" s="1"/>
  <c r="NQW671" i="3" s="1"/>
  <c r="NQV671" i="3" s="1"/>
  <c r="NQU671" i="3" s="1"/>
  <c r="NQT671" i="3" s="1"/>
  <c r="NQS671" i="3" s="1"/>
  <c r="NQR671" i="3" s="1"/>
  <c r="NQQ671" i="3" s="1"/>
  <c r="NQP671" i="3" s="1"/>
  <c r="NQO671" i="3" s="1"/>
  <c r="NQN671" i="3" s="1"/>
  <c r="NQM671" i="3" s="1"/>
  <c r="NQL671" i="3" s="1"/>
  <c r="NQK671" i="3" s="1"/>
  <c r="NQJ671" i="3" s="1"/>
  <c r="NQI671" i="3" s="1"/>
  <c r="NQH671" i="3" s="1"/>
  <c r="NQG671" i="3" s="1"/>
  <c r="NQF671" i="3" s="1"/>
  <c r="NQE671" i="3" s="1"/>
  <c r="NQD671" i="3" s="1"/>
  <c r="NQC671" i="3" s="1"/>
  <c r="NQB671" i="3" s="1"/>
  <c r="NQA671" i="3" s="1"/>
  <c r="NPZ671" i="3" s="1"/>
  <c r="NPY671" i="3" s="1"/>
  <c r="NPX671" i="3" s="1"/>
  <c r="NPW671" i="3" s="1"/>
  <c r="NPV671" i="3" s="1"/>
  <c r="NPU671" i="3" s="1"/>
  <c r="NPT671" i="3" s="1"/>
  <c r="NPS671" i="3" s="1"/>
  <c r="NPR671" i="3" s="1"/>
  <c r="NPQ671" i="3" s="1"/>
  <c r="NPP671" i="3" s="1"/>
  <c r="NPO671" i="3" s="1"/>
  <c r="NPN671" i="3" s="1"/>
  <c r="NPM671" i="3" s="1"/>
  <c r="NPL671" i="3" s="1"/>
  <c r="NPK671" i="3" s="1"/>
  <c r="NPJ671" i="3" s="1"/>
  <c r="NPI671" i="3" s="1"/>
  <c r="NPH671" i="3" s="1"/>
  <c r="NPG671" i="3" s="1"/>
  <c r="NPF671" i="3" s="1"/>
  <c r="NPE671" i="3" s="1"/>
  <c r="NPD671" i="3" s="1"/>
  <c r="NPC671" i="3" s="1"/>
  <c r="NPB671" i="3" s="1"/>
  <c r="NPA671" i="3" s="1"/>
  <c r="NOZ671" i="3" s="1"/>
  <c r="NOY671" i="3" s="1"/>
  <c r="NOX671" i="3" s="1"/>
  <c r="NOW671" i="3" s="1"/>
  <c r="NOV671" i="3" s="1"/>
  <c r="NOU671" i="3" s="1"/>
  <c r="NOT671" i="3" s="1"/>
  <c r="NOS671" i="3" s="1"/>
  <c r="NOR671" i="3" s="1"/>
  <c r="NOQ671" i="3" s="1"/>
  <c r="NOP671" i="3" s="1"/>
  <c r="NOO671" i="3" s="1"/>
  <c r="NON671" i="3" s="1"/>
  <c r="NOM671" i="3" s="1"/>
  <c r="NOL671" i="3" s="1"/>
  <c r="NOK671" i="3" s="1"/>
  <c r="NOJ671" i="3" s="1"/>
  <c r="NOI671" i="3" s="1"/>
  <c r="NOH671" i="3" s="1"/>
  <c r="NOG671" i="3" s="1"/>
  <c r="NOF671" i="3" s="1"/>
  <c r="NOE671" i="3" s="1"/>
  <c r="NOD671" i="3" s="1"/>
  <c r="NOC671" i="3" s="1"/>
  <c r="NOB671" i="3" s="1"/>
  <c r="NOA671" i="3" s="1"/>
  <c r="NNZ671" i="3" s="1"/>
  <c r="NNY671" i="3" s="1"/>
  <c r="NNX671" i="3" s="1"/>
  <c r="NNW671" i="3" s="1"/>
  <c r="NNV671" i="3" s="1"/>
  <c r="NNU671" i="3" s="1"/>
  <c r="NNT671" i="3" s="1"/>
  <c r="NNS671" i="3" s="1"/>
  <c r="NNR671" i="3" s="1"/>
  <c r="NNQ671" i="3" s="1"/>
  <c r="NNP671" i="3" s="1"/>
  <c r="NNO671" i="3" s="1"/>
  <c r="NNN671" i="3" s="1"/>
  <c r="NNM671" i="3" s="1"/>
  <c r="NNL671" i="3" s="1"/>
  <c r="NNK671" i="3" s="1"/>
  <c r="NNJ671" i="3" s="1"/>
  <c r="NNI671" i="3" s="1"/>
  <c r="NNH671" i="3" s="1"/>
  <c r="NNG671" i="3" s="1"/>
  <c r="NNF671" i="3" s="1"/>
  <c r="NNE671" i="3" s="1"/>
  <c r="NND671" i="3" s="1"/>
  <c r="NNC671" i="3" s="1"/>
  <c r="NNB671" i="3" s="1"/>
  <c r="NNA671" i="3" s="1"/>
  <c r="NMZ671" i="3" s="1"/>
  <c r="NMY671" i="3" s="1"/>
  <c r="NMX671" i="3" s="1"/>
  <c r="NMW671" i="3" s="1"/>
  <c r="NMV671" i="3" s="1"/>
  <c r="NMU671" i="3" s="1"/>
  <c r="NMT671" i="3" s="1"/>
  <c r="NMS671" i="3" s="1"/>
  <c r="NMR671" i="3" s="1"/>
  <c r="NMQ671" i="3" s="1"/>
  <c r="NMP671" i="3" s="1"/>
  <c r="NMO671" i="3" s="1"/>
  <c r="NMN671" i="3" s="1"/>
  <c r="NMM671" i="3" s="1"/>
  <c r="NML671" i="3" s="1"/>
  <c r="NMK671" i="3" s="1"/>
  <c r="NMJ671" i="3" s="1"/>
  <c r="NMI671" i="3" s="1"/>
  <c r="NMH671" i="3" s="1"/>
  <c r="NMG671" i="3" s="1"/>
  <c r="NMF671" i="3" s="1"/>
  <c r="NME671" i="3" s="1"/>
  <c r="NMD671" i="3" s="1"/>
  <c r="NMC671" i="3" s="1"/>
  <c r="NMB671" i="3" s="1"/>
  <c r="NMA671" i="3" s="1"/>
  <c r="NLZ671" i="3" s="1"/>
  <c r="NLY671" i="3" s="1"/>
  <c r="NLX671" i="3" s="1"/>
  <c r="NLW671" i="3" s="1"/>
  <c r="NLV671" i="3" s="1"/>
  <c r="NLU671" i="3" s="1"/>
  <c r="NLT671" i="3" s="1"/>
  <c r="NLS671" i="3" s="1"/>
  <c r="NLR671" i="3" s="1"/>
  <c r="NLQ671" i="3" s="1"/>
  <c r="NLP671" i="3" s="1"/>
  <c r="NLO671" i="3" s="1"/>
  <c r="NLN671" i="3" s="1"/>
  <c r="NLM671" i="3" s="1"/>
  <c r="NLL671" i="3" s="1"/>
  <c r="NLK671" i="3" s="1"/>
  <c r="NLJ671" i="3" s="1"/>
  <c r="NLI671" i="3" s="1"/>
  <c r="NLH671" i="3" s="1"/>
  <c r="NLG671" i="3" s="1"/>
  <c r="NLF671" i="3" s="1"/>
  <c r="NLE671" i="3" s="1"/>
  <c r="NLD671" i="3" s="1"/>
  <c r="NLC671" i="3" s="1"/>
  <c r="NLB671" i="3" s="1"/>
  <c r="NLA671" i="3" s="1"/>
  <c r="NKZ671" i="3" s="1"/>
  <c r="NKY671" i="3" s="1"/>
  <c r="NKX671" i="3" s="1"/>
  <c r="NKW671" i="3" s="1"/>
  <c r="NKV671" i="3" s="1"/>
  <c r="NKU671" i="3" s="1"/>
  <c r="NKT671" i="3" s="1"/>
  <c r="NKS671" i="3" s="1"/>
  <c r="NKR671" i="3" s="1"/>
  <c r="NKQ671" i="3" s="1"/>
  <c r="NKP671" i="3" s="1"/>
  <c r="NKO671" i="3" s="1"/>
  <c r="NKN671" i="3" s="1"/>
  <c r="NKM671" i="3" s="1"/>
  <c r="NKL671" i="3" s="1"/>
  <c r="NKK671" i="3" s="1"/>
  <c r="NKJ671" i="3" s="1"/>
  <c r="NKI671" i="3" s="1"/>
  <c r="NKH671" i="3" s="1"/>
  <c r="NKG671" i="3" s="1"/>
  <c r="NKF671" i="3" s="1"/>
  <c r="NKE671" i="3" s="1"/>
  <c r="NKD671" i="3" s="1"/>
  <c r="NKC671" i="3" s="1"/>
  <c r="NKB671" i="3" s="1"/>
  <c r="NKA671" i="3" s="1"/>
  <c r="NJZ671" i="3" s="1"/>
  <c r="NJY671" i="3" s="1"/>
  <c r="NJX671" i="3" s="1"/>
  <c r="NJW671" i="3" s="1"/>
  <c r="NJV671" i="3" s="1"/>
  <c r="NJU671" i="3" s="1"/>
  <c r="NJT671" i="3" s="1"/>
  <c r="NJS671" i="3" s="1"/>
  <c r="NJR671" i="3" s="1"/>
  <c r="NJQ671" i="3" s="1"/>
  <c r="NJP671" i="3" s="1"/>
  <c r="NJO671" i="3" s="1"/>
  <c r="NJN671" i="3" s="1"/>
  <c r="NJM671" i="3" s="1"/>
  <c r="NJL671" i="3" s="1"/>
  <c r="NJK671" i="3" s="1"/>
  <c r="NJJ671" i="3" s="1"/>
  <c r="NJI671" i="3" s="1"/>
  <c r="NJH671" i="3" s="1"/>
  <c r="NJG671" i="3" s="1"/>
  <c r="NJF671" i="3" s="1"/>
  <c r="NJE671" i="3" s="1"/>
  <c r="NJD671" i="3" s="1"/>
  <c r="NJC671" i="3" s="1"/>
  <c r="NJB671" i="3" s="1"/>
  <c r="NJA671" i="3" s="1"/>
  <c r="NIZ671" i="3" s="1"/>
  <c r="NIY671" i="3" s="1"/>
  <c r="NIX671" i="3" s="1"/>
  <c r="NIW671" i="3" s="1"/>
  <c r="NIV671" i="3" s="1"/>
  <c r="NIU671" i="3" s="1"/>
  <c r="NIT671" i="3" s="1"/>
  <c r="NIS671" i="3" s="1"/>
  <c r="NIR671" i="3" s="1"/>
  <c r="NIQ671" i="3" s="1"/>
  <c r="NIP671" i="3" s="1"/>
  <c r="NIO671" i="3" s="1"/>
  <c r="NIN671" i="3" s="1"/>
  <c r="NIM671" i="3" s="1"/>
  <c r="NIL671" i="3" s="1"/>
  <c r="NIK671" i="3" s="1"/>
  <c r="NIJ671" i="3" s="1"/>
  <c r="NII671" i="3" s="1"/>
  <c r="NIH671" i="3" s="1"/>
  <c r="NIG671" i="3" s="1"/>
  <c r="NIF671" i="3" s="1"/>
  <c r="NIE671" i="3" s="1"/>
  <c r="NID671" i="3" s="1"/>
  <c r="NIC671" i="3" s="1"/>
  <c r="NIB671" i="3" s="1"/>
  <c r="NIA671" i="3" s="1"/>
  <c r="NHZ671" i="3" s="1"/>
  <c r="NHY671" i="3" s="1"/>
  <c r="NHX671" i="3" s="1"/>
  <c r="NHW671" i="3" s="1"/>
  <c r="NHV671" i="3" s="1"/>
  <c r="NHU671" i="3" s="1"/>
  <c r="NHT671" i="3" s="1"/>
  <c r="NHS671" i="3" s="1"/>
  <c r="NHR671" i="3" s="1"/>
  <c r="NHQ671" i="3" s="1"/>
  <c r="NHP671" i="3" s="1"/>
  <c r="NHO671" i="3" s="1"/>
  <c r="NHN671" i="3" s="1"/>
  <c r="NHM671" i="3" s="1"/>
  <c r="NHL671" i="3" s="1"/>
  <c r="NHK671" i="3" s="1"/>
  <c r="NHJ671" i="3" s="1"/>
  <c r="NHI671" i="3" s="1"/>
  <c r="NHH671" i="3" s="1"/>
  <c r="NHG671" i="3" s="1"/>
  <c r="NHF671" i="3" s="1"/>
  <c r="NHE671" i="3" s="1"/>
  <c r="NHD671" i="3" s="1"/>
  <c r="NHC671" i="3" s="1"/>
  <c r="NHB671" i="3" s="1"/>
  <c r="NHA671" i="3" s="1"/>
  <c r="NGZ671" i="3" s="1"/>
  <c r="NGY671" i="3" s="1"/>
  <c r="NGX671" i="3" s="1"/>
  <c r="NGW671" i="3" s="1"/>
  <c r="NGV671" i="3" s="1"/>
  <c r="NGU671" i="3" s="1"/>
  <c r="NGT671" i="3" s="1"/>
  <c r="NGS671" i="3" s="1"/>
  <c r="NGR671" i="3" s="1"/>
  <c r="NGQ671" i="3" s="1"/>
  <c r="NGP671" i="3" s="1"/>
  <c r="NGO671" i="3" s="1"/>
  <c r="NGN671" i="3" s="1"/>
  <c r="NGM671" i="3" s="1"/>
  <c r="NGL671" i="3" s="1"/>
  <c r="NGK671" i="3" s="1"/>
  <c r="NGJ671" i="3" s="1"/>
  <c r="NGI671" i="3" s="1"/>
  <c r="NGH671" i="3" s="1"/>
  <c r="NGG671" i="3" s="1"/>
  <c r="NGF671" i="3" s="1"/>
  <c r="NGE671" i="3" s="1"/>
  <c r="NGD671" i="3" s="1"/>
  <c r="NGC671" i="3" s="1"/>
  <c r="NGB671" i="3" s="1"/>
  <c r="NGA671" i="3" s="1"/>
  <c r="NFZ671" i="3" s="1"/>
  <c r="NFY671" i="3" s="1"/>
  <c r="NFX671" i="3" s="1"/>
  <c r="NFW671" i="3" s="1"/>
  <c r="NFV671" i="3" s="1"/>
  <c r="NFU671" i="3" s="1"/>
  <c r="NFT671" i="3" s="1"/>
  <c r="NFS671" i="3" s="1"/>
  <c r="NFR671" i="3" s="1"/>
  <c r="NFQ671" i="3" s="1"/>
  <c r="NFP671" i="3" s="1"/>
  <c r="NFO671" i="3" s="1"/>
  <c r="NFN671" i="3" s="1"/>
  <c r="NFM671" i="3" s="1"/>
  <c r="NFL671" i="3" s="1"/>
  <c r="NFK671" i="3" s="1"/>
  <c r="NFJ671" i="3" s="1"/>
  <c r="NFI671" i="3" s="1"/>
  <c r="NFH671" i="3" s="1"/>
  <c r="NFG671" i="3" s="1"/>
  <c r="NFF671" i="3" s="1"/>
  <c r="NFE671" i="3" s="1"/>
  <c r="NFD671" i="3" s="1"/>
  <c r="NFC671" i="3" s="1"/>
  <c r="NFB671" i="3" s="1"/>
  <c r="NFA671" i="3" s="1"/>
  <c r="NEZ671" i="3" s="1"/>
  <c r="NEY671" i="3" s="1"/>
  <c r="NEX671" i="3" s="1"/>
  <c r="NEW671" i="3" s="1"/>
  <c r="NEV671" i="3" s="1"/>
  <c r="NEU671" i="3" s="1"/>
  <c r="NET671" i="3" s="1"/>
  <c r="NES671" i="3" s="1"/>
  <c r="NER671" i="3" s="1"/>
  <c r="NEQ671" i="3" s="1"/>
  <c r="NEP671" i="3" s="1"/>
  <c r="NEO671" i="3" s="1"/>
  <c r="NEN671" i="3" s="1"/>
  <c r="NEM671" i="3" s="1"/>
  <c r="NEL671" i="3" s="1"/>
  <c r="NEK671" i="3" s="1"/>
  <c r="NEJ671" i="3" s="1"/>
  <c r="NEI671" i="3" s="1"/>
  <c r="NEH671" i="3" s="1"/>
  <c r="NEG671" i="3" s="1"/>
  <c r="NEF671" i="3" s="1"/>
  <c r="NEE671" i="3" s="1"/>
  <c r="NED671" i="3" s="1"/>
  <c r="NEC671" i="3" s="1"/>
  <c r="NEB671" i="3" s="1"/>
  <c r="NEA671" i="3" s="1"/>
  <c r="NDZ671" i="3" s="1"/>
  <c r="NDY671" i="3" s="1"/>
  <c r="NDX671" i="3" s="1"/>
  <c r="NDW671" i="3" s="1"/>
  <c r="NDV671" i="3" s="1"/>
  <c r="NDU671" i="3" s="1"/>
  <c r="NDT671" i="3" s="1"/>
  <c r="NDS671" i="3" s="1"/>
  <c r="NDR671" i="3" s="1"/>
  <c r="NDQ671" i="3" s="1"/>
  <c r="NDP671" i="3" s="1"/>
  <c r="NDO671" i="3" s="1"/>
  <c r="NDN671" i="3" s="1"/>
  <c r="NDM671" i="3" s="1"/>
  <c r="NDL671" i="3" s="1"/>
  <c r="NDK671" i="3" s="1"/>
  <c r="NDJ671" i="3" s="1"/>
  <c r="NDI671" i="3" s="1"/>
  <c r="NDH671" i="3" s="1"/>
  <c r="NDG671" i="3" s="1"/>
  <c r="NDF671" i="3" s="1"/>
  <c r="NDE671" i="3" s="1"/>
  <c r="NDD671" i="3" s="1"/>
  <c r="NDC671" i="3" s="1"/>
  <c r="NDB671" i="3" s="1"/>
  <c r="NDA671" i="3" s="1"/>
  <c r="NCZ671" i="3" s="1"/>
  <c r="NCY671" i="3" s="1"/>
  <c r="NCX671" i="3" s="1"/>
  <c r="NCW671" i="3" s="1"/>
  <c r="NCV671" i="3" s="1"/>
  <c r="NCU671" i="3" s="1"/>
  <c r="NCT671" i="3" s="1"/>
  <c r="NCS671" i="3" s="1"/>
  <c r="NCR671" i="3" s="1"/>
  <c r="NCQ671" i="3" s="1"/>
  <c r="NCP671" i="3" s="1"/>
  <c r="NCO671" i="3" s="1"/>
  <c r="NCN671" i="3" s="1"/>
  <c r="NCM671" i="3" s="1"/>
  <c r="NCL671" i="3" s="1"/>
  <c r="NCK671" i="3" s="1"/>
  <c r="NCJ671" i="3" s="1"/>
  <c r="NCI671" i="3" s="1"/>
  <c r="NCH671" i="3" s="1"/>
  <c r="NCG671" i="3" s="1"/>
  <c r="NCF671" i="3" s="1"/>
  <c r="NCE671" i="3" s="1"/>
  <c r="NCD671" i="3" s="1"/>
  <c r="NCC671" i="3" s="1"/>
  <c r="NCB671" i="3" s="1"/>
  <c r="NCA671" i="3" s="1"/>
  <c r="NBZ671" i="3" s="1"/>
  <c r="NBY671" i="3" s="1"/>
  <c r="NBX671" i="3" s="1"/>
  <c r="NBW671" i="3" s="1"/>
  <c r="NBV671" i="3" s="1"/>
  <c r="NBU671" i="3" s="1"/>
  <c r="NBT671" i="3" s="1"/>
  <c r="NBS671" i="3" s="1"/>
  <c r="NBR671" i="3" s="1"/>
  <c r="NBQ671" i="3" s="1"/>
  <c r="NBP671" i="3" s="1"/>
  <c r="NBO671" i="3" s="1"/>
  <c r="NBN671" i="3" s="1"/>
  <c r="NBM671" i="3" s="1"/>
  <c r="NBL671" i="3" s="1"/>
  <c r="NBK671" i="3" s="1"/>
  <c r="NBJ671" i="3" s="1"/>
  <c r="NBI671" i="3" s="1"/>
  <c r="NBH671" i="3" s="1"/>
  <c r="NBG671" i="3" s="1"/>
  <c r="NBF671" i="3" s="1"/>
  <c r="NBE671" i="3" s="1"/>
  <c r="NBD671" i="3" s="1"/>
  <c r="NBC671" i="3" s="1"/>
  <c r="NBB671" i="3" s="1"/>
  <c r="NBA671" i="3" s="1"/>
  <c r="NAZ671" i="3" s="1"/>
  <c r="NAY671" i="3" s="1"/>
  <c r="NAX671" i="3" s="1"/>
  <c r="NAW671" i="3" s="1"/>
  <c r="NAV671" i="3" s="1"/>
  <c r="NAU671" i="3" s="1"/>
  <c r="NAT671" i="3" s="1"/>
  <c r="NAS671" i="3" s="1"/>
  <c r="NAR671" i="3" s="1"/>
  <c r="NAQ671" i="3" s="1"/>
  <c r="NAP671" i="3" s="1"/>
  <c r="NAO671" i="3" s="1"/>
  <c r="NAN671" i="3" s="1"/>
  <c r="NAM671" i="3" s="1"/>
  <c r="NAL671" i="3" s="1"/>
  <c r="NAK671" i="3" s="1"/>
  <c r="NAJ671" i="3" s="1"/>
  <c r="NAI671" i="3" s="1"/>
  <c r="NAH671" i="3" s="1"/>
  <c r="NAG671" i="3" s="1"/>
  <c r="NAF671" i="3" s="1"/>
  <c r="NAE671" i="3" s="1"/>
  <c r="NAD671" i="3" s="1"/>
  <c r="NAC671" i="3" s="1"/>
  <c r="NAB671" i="3" s="1"/>
  <c r="NAA671" i="3" s="1"/>
  <c r="MZZ671" i="3" s="1"/>
  <c r="MZY671" i="3" s="1"/>
  <c r="MZX671" i="3" s="1"/>
  <c r="MZW671" i="3" s="1"/>
  <c r="MZV671" i="3" s="1"/>
  <c r="MZU671" i="3" s="1"/>
  <c r="MZT671" i="3" s="1"/>
  <c r="MZS671" i="3" s="1"/>
  <c r="MZR671" i="3" s="1"/>
  <c r="MZQ671" i="3" s="1"/>
  <c r="MZP671" i="3" s="1"/>
  <c r="MZO671" i="3" s="1"/>
  <c r="MZN671" i="3" s="1"/>
  <c r="MZM671" i="3" s="1"/>
  <c r="MZL671" i="3" s="1"/>
  <c r="MZK671" i="3" s="1"/>
  <c r="MZJ671" i="3" s="1"/>
  <c r="MZI671" i="3" s="1"/>
  <c r="MZH671" i="3" s="1"/>
  <c r="MZG671" i="3" s="1"/>
  <c r="MZF671" i="3" s="1"/>
  <c r="MZE671" i="3" s="1"/>
  <c r="MZD671" i="3" s="1"/>
  <c r="MZC671" i="3" s="1"/>
  <c r="MZB671" i="3" s="1"/>
  <c r="MZA671" i="3" s="1"/>
  <c r="MYZ671" i="3" s="1"/>
  <c r="MYY671" i="3" s="1"/>
  <c r="MYX671" i="3" s="1"/>
  <c r="MYW671" i="3" s="1"/>
  <c r="MYV671" i="3" s="1"/>
  <c r="MYU671" i="3" s="1"/>
  <c r="MYT671" i="3" s="1"/>
  <c r="MYS671" i="3" s="1"/>
  <c r="MYR671" i="3" s="1"/>
  <c r="MYQ671" i="3" s="1"/>
  <c r="MYP671" i="3" s="1"/>
  <c r="MYO671" i="3" s="1"/>
  <c r="MYN671" i="3" s="1"/>
  <c r="MYM671" i="3" s="1"/>
  <c r="MYL671" i="3" s="1"/>
  <c r="MYK671" i="3" s="1"/>
  <c r="MYJ671" i="3" s="1"/>
  <c r="MYI671" i="3" s="1"/>
  <c r="MYH671" i="3" s="1"/>
  <c r="MYG671" i="3" s="1"/>
  <c r="MYF671" i="3" s="1"/>
  <c r="MYE671" i="3" s="1"/>
  <c r="MYD671" i="3" s="1"/>
  <c r="MYC671" i="3" s="1"/>
  <c r="MYB671" i="3" s="1"/>
  <c r="MYA671" i="3" s="1"/>
  <c r="MXZ671" i="3" s="1"/>
  <c r="MXY671" i="3" s="1"/>
  <c r="MXX671" i="3" s="1"/>
  <c r="MXW671" i="3" s="1"/>
  <c r="MXV671" i="3" s="1"/>
  <c r="MXU671" i="3" s="1"/>
  <c r="MXT671" i="3" s="1"/>
  <c r="MXS671" i="3" s="1"/>
  <c r="MXR671" i="3" s="1"/>
  <c r="MXQ671" i="3" s="1"/>
  <c r="MXP671" i="3" s="1"/>
  <c r="MXO671" i="3" s="1"/>
  <c r="MXN671" i="3" s="1"/>
  <c r="MXM671" i="3" s="1"/>
  <c r="MXL671" i="3" s="1"/>
  <c r="MXK671" i="3" s="1"/>
  <c r="MXJ671" i="3" s="1"/>
  <c r="MXI671" i="3" s="1"/>
  <c r="MXH671" i="3" s="1"/>
  <c r="MXG671" i="3" s="1"/>
  <c r="MXF671" i="3" s="1"/>
  <c r="MXE671" i="3" s="1"/>
  <c r="MXD671" i="3" s="1"/>
  <c r="MXC671" i="3" s="1"/>
  <c r="MXB671" i="3" s="1"/>
  <c r="MXA671" i="3" s="1"/>
  <c r="MWZ671" i="3" s="1"/>
  <c r="MWY671" i="3" s="1"/>
  <c r="MWX671" i="3" s="1"/>
  <c r="MWW671" i="3" s="1"/>
  <c r="MWV671" i="3" s="1"/>
  <c r="MWU671" i="3" s="1"/>
  <c r="MWT671" i="3" s="1"/>
  <c r="MWS671" i="3" s="1"/>
  <c r="MWR671" i="3" s="1"/>
  <c r="MWQ671" i="3" s="1"/>
  <c r="MWP671" i="3" s="1"/>
  <c r="MWO671" i="3" s="1"/>
  <c r="MWN671" i="3" s="1"/>
  <c r="MWM671" i="3" s="1"/>
  <c r="MWL671" i="3" s="1"/>
  <c r="MWK671" i="3" s="1"/>
  <c r="MWJ671" i="3" s="1"/>
  <c r="MWI671" i="3" s="1"/>
  <c r="MWH671" i="3" s="1"/>
  <c r="MWG671" i="3" s="1"/>
  <c r="MWF671" i="3" s="1"/>
  <c r="MWE671" i="3" s="1"/>
  <c r="MWD671" i="3" s="1"/>
  <c r="MWC671" i="3" s="1"/>
  <c r="MWB671" i="3" s="1"/>
  <c r="MWA671" i="3" s="1"/>
  <c r="MVZ671" i="3" s="1"/>
  <c r="MVY671" i="3" s="1"/>
  <c r="MVX671" i="3" s="1"/>
  <c r="MVW671" i="3" s="1"/>
  <c r="MVV671" i="3" s="1"/>
  <c r="MVU671" i="3" s="1"/>
  <c r="MVT671" i="3" s="1"/>
  <c r="MVS671" i="3" s="1"/>
  <c r="MVR671" i="3" s="1"/>
  <c r="MVQ671" i="3" s="1"/>
  <c r="MVP671" i="3" s="1"/>
  <c r="MVO671" i="3" s="1"/>
  <c r="MVN671" i="3" s="1"/>
  <c r="MVM671" i="3" s="1"/>
  <c r="MVL671" i="3" s="1"/>
  <c r="MVK671" i="3" s="1"/>
  <c r="MVJ671" i="3" s="1"/>
  <c r="MVI671" i="3" s="1"/>
  <c r="MVH671" i="3" s="1"/>
  <c r="MVG671" i="3" s="1"/>
  <c r="MVF671" i="3" s="1"/>
  <c r="MVE671" i="3" s="1"/>
  <c r="MVD671" i="3" s="1"/>
  <c r="MVC671" i="3" s="1"/>
  <c r="MVB671" i="3" s="1"/>
  <c r="MVA671" i="3" s="1"/>
  <c r="MUZ671" i="3" s="1"/>
  <c r="MUY671" i="3" s="1"/>
  <c r="MUX671" i="3" s="1"/>
  <c r="MUW671" i="3" s="1"/>
  <c r="MUV671" i="3" s="1"/>
  <c r="MUU671" i="3" s="1"/>
  <c r="MUT671" i="3" s="1"/>
  <c r="MUS671" i="3" s="1"/>
  <c r="MUR671" i="3" s="1"/>
  <c r="MUQ671" i="3" s="1"/>
  <c r="MUP671" i="3" s="1"/>
  <c r="MUO671" i="3" s="1"/>
  <c r="MUN671" i="3" s="1"/>
  <c r="MUM671" i="3" s="1"/>
  <c r="MUL671" i="3" s="1"/>
  <c r="MUK671" i="3" s="1"/>
  <c r="MUJ671" i="3" s="1"/>
  <c r="MUI671" i="3" s="1"/>
  <c r="MUH671" i="3" s="1"/>
  <c r="MUG671" i="3" s="1"/>
  <c r="MUF671" i="3" s="1"/>
  <c r="MUE671" i="3" s="1"/>
  <c r="MUD671" i="3" s="1"/>
  <c r="MUC671" i="3" s="1"/>
  <c r="MUB671" i="3" s="1"/>
  <c r="MUA671" i="3" s="1"/>
  <c r="MTZ671" i="3" s="1"/>
  <c r="MTY671" i="3" s="1"/>
  <c r="MTX671" i="3" s="1"/>
  <c r="MTW671" i="3" s="1"/>
  <c r="MTV671" i="3" s="1"/>
  <c r="MTU671" i="3" s="1"/>
  <c r="MTT671" i="3" s="1"/>
  <c r="MTS671" i="3" s="1"/>
  <c r="MTR671" i="3" s="1"/>
  <c r="MTQ671" i="3" s="1"/>
  <c r="MTP671" i="3" s="1"/>
  <c r="MTO671" i="3" s="1"/>
  <c r="MTN671" i="3" s="1"/>
  <c r="MTM671" i="3" s="1"/>
  <c r="MTL671" i="3" s="1"/>
  <c r="MTK671" i="3" s="1"/>
  <c r="MTJ671" i="3" s="1"/>
  <c r="MTI671" i="3" s="1"/>
  <c r="MTH671" i="3" s="1"/>
  <c r="MTG671" i="3" s="1"/>
  <c r="MTF671" i="3" s="1"/>
  <c r="MTE671" i="3" s="1"/>
  <c r="MTD671" i="3" s="1"/>
  <c r="MTC671" i="3" s="1"/>
  <c r="MTB671" i="3" s="1"/>
  <c r="MTA671" i="3" s="1"/>
  <c r="MSZ671" i="3" s="1"/>
  <c r="MSY671" i="3" s="1"/>
  <c r="MSX671" i="3" s="1"/>
  <c r="MSW671" i="3" s="1"/>
  <c r="MSV671" i="3" s="1"/>
  <c r="MSU671" i="3" s="1"/>
  <c r="MST671" i="3" s="1"/>
  <c r="MSS671" i="3" s="1"/>
  <c r="MSR671" i="3" s="1"/>
  <c r="MSQ671" i="3" s="1"/>
  <c r="MSP671" i="3" s="1"/>
  <c r="MSO671" i="3" s="1"/>
  <c r="MSN671" i="3" s="1"/>
  <c r="MSM671" i="3" s="1"/>
  <c r="MSL671" i="3" s="1"/>
  <c r="MSK671" i="3" s="1"/>
  <c r="MSJ671" i="3" s="1"/>
  <c r="MSI671" i="3" s="1"/>
  <c r="MSH671" i="3" s="1"/>
  <c r="MSG671" i="3" s="1"/>
  <c r="MSF671" i="3" s="1"/>
  <c r="MSE671" i="3" s="1"/>
  <c r="MSD671" i="3" s="1"/>
  <c r="MSC671" i="3" s="1"/>
  <c r="MSB671" i="3" s="1"/>
  <c r="MSA671" i="3" s="1"/>
  <c r="MRZ671" i="3" s="1"/>
  <c r="MRY671" i="3" s="1"/>
  <c r="MRX671" i="3" s="1"/>
  <c r="MRW671" i="3" s="1"/>
  <c r="MRV671" i="3" s="1"/>
  <c r="MRU671" i="3" s="1"/>
  <c r="MRT671" i="3" s="1"/>
  <c r="MRS671" i="3" s="1"/>
  <c r="MRR671" i="3" s="1"/>
  <c r="MRQ671" i="3" s="1"/>
  <c r="MRP671" i="3" s="1"/>
  <c r="MRO671" i="3" s="1"/>
  <c r="MRN671" i="3" s="1"/>
  <c r="MRM671" i="3" s="1"/>
  <c r="MRL671" i="3" s="1"/>
  <c r="MRK671" i="3" s="1"/>
  <c r="MRJ671" i="3" s="1"/>
  <c r="MRI671" i="3" s="1"/>
  <c r="MRH671" i="3" s="1"/>
  <c r="MRG671" i="3" s="1"/>
  <c r="MRF671" i="3" s="1"/>
  <c r="MRE671" i="3" s="1"/>
  <c r="MRD671" i="3" s="1"/>
  <c r="MRC671" i="3" s="1"/>
  <c r="MRB671" i="3" s="1"/>
  <c r="MRA671" i="3" s="1"/>
  <c r="MQZ671" i="3" s="1"/>
  <c r="MQY671" i="3" s="1"/>
  <c r="MQX671" i="3" s="1"/>
  <c r="MQW671" i="3" s="1"/>
  <c r="MQV671" i="3" s="1"/>
  <c r="MQU671" i="3" s="1"/>
  <c r="MQT671" i="3" s="1"/>
  <c r="MQS671" i="3" s="1"/>
  <c r="MQR671" i="3" s="1"/>
  <c r="MQQ671" i="3" s="1"/>
  <c r="MQP671" i="3" s="1"/>
  <c r="MQO671" i="3" s="1"/>
  <c r="MQN671" i="3" s="1"/>
  <c r="MQM671" i="3" s="1"/>
  <c r="MQL671" i="3" s="1"/>
  <c r="MQK671" i="3" s="1"/>
  <c r="MQJ671" i="3" s="1"/>
  <c r="MQI671" i="3" s="1"/>
  <c r="MQH671" i="3" s="1"/>
  <c r="MQG671" i="3" s="1"/>
  <c r="MQF671" i="3" s="1"/>
  <c r="MQE671" i="3" s="1"/>
  <c r="MQD671" i="3" s="1"/>
  <c r="MQC671" i="3" s="1"/>
  <c r="MQB671" i="3" s="1"/>
  <c r="MQA671" i="3" s="1"/>
  <c r="MPZ671" i="3" s="1"/>
  <c r="MPY671" i="3" s="1"/>
  <c r="MPX671" i="3" s="1"/>
  <c r="MPW671" i="3" s="1"/>
  <c r="MPV671" i="3" s="1"/>
  <c r="MPU671" i="3" s="1"/>
  <c r="MPT671" i="3" s="1"/>
  <c r="MPS671" i="3" s="1"/>
  <c r="MPR671" i="3" s="1"/>
  <c r="MPQ671" i="3" s="1"/>
  <c r="MPP671" i="3" s="1"/>
  <c r="MPO671" i="3" s="1"/>
  <c r="MPN671" i="3" s="1"/>
  <c r="MPM671" i="3" s="1"/>
  <c r="MPL671" i="3" s="1"/>
  <c r="MPK671" i="3" s="1"/>
  <c r="MPJ671" i="3" s="1"/>
  <c r="MPI671" i="3" s="1"/>
  <c r="MPH671" i="3" s="1"/>
  <c r="MPG671" i="3" s="1"/>
  <c r="MPF671" i="3" s="1"/>
  <c r="MPE671" i="3" s="1"/>
  <c r="MPD671" i="3" s="1"/>
  <c r="MPC671" i="3" s="1"/>
  <c r="MPB671" i="3" s="1"/>
  <c r="MPA671" i="3" s="1"/>
  <c r="MOZ671" i="3" s="1"/>
  <c r="MOY671" i="3" s="1"/>
  <c r="MOX671" i="3" s="1"/>
  <c r="MOW671" i="3" s="1"/>
  <c r="MOV671" i="3" s="1"/>
  <c r="MOU671" i="3" s="1"/>
  <c r="MOT671" i="3" s="1"/>
  <c r="MOS671" i="3" s="1"/>
  <c r="MOR671" i="3" s="1"/>
  <c r="MOQ671" i="3" s="1"/>
  <c r="MOP671" i="3" s="1"/>
  <c r="MOO671" i="3" s="1"/>
  <c r="MON671" i="3" s="1"/>
  <c r="MOM671" i="3" s="1"/>
  <c r="MOL671" i="3" s="1"/>
  <c r="MOK671" i="3" s="1"/>
  <c r="MOJ671" i="3" s="1"/>
  <c r="MOI671" i="3" s="1"/>
  <c r="MOH671" i="3" s="1"/>
  <c r="MOG671" i="3" s="1"/>
  <c r="MOF671" i="3" s="1"/>
  <c r="MOE671" i="3" s="1"/>
  <c r="MOD671" i="3" s="1"/>
  <c r="MOC671" i="3" s="1"/>
  <c r="MOB671" i="3" s="1"/>
  <c r="MOA671" i="3" s="1"/>
  <c r="MNZ671" i="3" s="1"/>
  <c r="MNY671" i="3" s="1"/>
  <c r="MNX671" i="3" s="1"/>
  <c r="MNW671" i="3" s="1"/>
  <c r="MNV671" i="3" s="1"/>
  <c r="MNU671" i="3" s="1"/>
  <c r="MNT671" i="3" s="1"/>
  <c r="MNS671" i="3" s="1"/>
  <c r="MNR671" i="3" s="1"/>
  <c r="MNQ671" i="3" s="1"/>
  <c r="MNP671" i="3" s="1"/>
  <c r="MNO671" i="3" s="1"/>
  <c r="MNN671" i="3" s="1"/>
  <c r="MNM671" i="3" s="1"/>
  <c r="MNL671" i="3" s="1"/>
  <c r="MNK671" i="3" s="1"/>
  <c r="MNJ671" i="3" s="1"/>
  <c r="MNI671" i="3" s="1"/>
  <c r="MNH671" i="3" s="1"/>
  <c r="MNG671" i="3" s="1"/>
  <c r="MNF671" i="3" s="1"/>
  <c r="MNE671" i="3" s="1"/>
  <c r="MND671" i="3" s="1"/>
  <c r="MNC671" i="3" s="1"/>
  <c r="MNB671" i="3" s="1"/>
  <c r="MNA671" i="3" s="1"/>
  <c r="MMZ671" i="3" s="1"/>
  <c r="MMY671" i="3" s="1"/>
  <c r="MMX671" i="3" s="1"/>
  <c r="MMW671" i="3" s="1"/>
  <c r="MMV671" i="3" s="1"/>
  <c r="MMU671" i="3" s="1"/>
  <c r="MMT671" i="3" s="1"/>
  <c r="MMS671" i="3" s="1"/>
  <c r="MMR671" i="3" s="1"/>
  <c r="MMQ671" i="3" s="1"/>
  <c r="MMP671" i="3" s="1"/>
  <c r="MMO671" i="3" s="1"/>
  <c r="MMN671" i="3" s="1"/>
  <c r="MMM671" i="3" s="1"/>
  <c r="MML671" i="3" s="1"/>
  <c r="MMK671" i="3" s="1"/>
  <c r="MMJ671" i="3" s="1"/>
  <c r="MMI671" i="3" s="1"/>
  <c r="MMH671" i="3" s="1"/>
  <c r="MMG671" i="3" s="1"/>
  <c r="MMF671" i="3" s="1"/>
  <c r="MME671" i="3" s="1"/>
  <c r="MMD671" i="3" s="1"/>
  <c r="MMC671" i="3" s="1"/>
  <c r="MMB671" i="3" s="1"/>
  <c r="MMA671" i="3" s="1"/>
  <c r="MLZ671" i="3" s="1"/>
  <c r="MLY671" i="3" s="1"/>
  <c r="MLX671" i="3" s="1"/>
  <c r="MLW671" i="3" s="1"/>
  <c r="MLV671" i="3" s="1"/>
  <c r="MLU671" i="3" s="1"/>
  <c r="MLT671" i="3" s="1"/>
  <c r="MLS671" i="3" s="1"/>
  <c r="MLR671" i="3" s="1"/>
  <c r="MLQ671" i="3" s="1"/>
  <c r="MLP671" i="3" s="1"/>
  <c r="MLO671" i="3" s="1"/>
  <c r="MLN671" i="3" s="1"/>
  <c r="MLM671" i="3" s="1"/>
  <c r="MLL671" i="3" s="1"/>
  <c r="MLK671" i="3" s="1"/>
  <c r="MLJ671" i="3" s="1"/>
  <c r="MLI671" i="3" s="1"/>
  <c r="MLH671" i="3" s="1"/>
  <c r="MLG671" i="3" s="1"/>
  <c r="MLF671" i="3" s="1"/>
  <c r="MLE671" i="3" s="1"/>
  <c r="MLD671" i="3" s="1"/>
  <c r="MLC671" i="3" s="1"/>
  <c r="MLB671" i="3" s="1"/>
  <c r="MLA671" i="3" s="1"/>
  <c r="MKZ671" i="3" s="1"/>
  <c r="MKY671" i="3" s="1"/>
  <c r="MKX671" i="3" s="1"/>
  <c r="MKW671" i="3" s="1"/>
  <c r="MKV671" i="3" s="1"/>
  <c r="MKU671" i="3" s="1"/>
  <c r="MKT671" i="3" s="1"/>
  <c r="MKS671" i="3" s="1"/>
  <c r="MKR671" i="3" s="1"/>
  <c r="MKQ671" i="3" s="1"/>
  <c r="MKP671" i="3" s="1"/>
  <c r="MKO671" i="3" s="1"/>
  <c r="MKN671" i="3" s="1"/>
  <c r="MKM671" i="3" s="1"/>
  <c r="MKL671" i="3" s="1"/>
  <c r="MKK671" i="3" s="1"/>
  <c r="MKJ671" i="3" s="1"/>
  <c r="MKI671" i="3" s="1"/>
  <c r="MKH671" i="3" s="1"/>
  <c r="MKG671" i="3" s="1"/>
  <c r="MKF671" i="3" s="1"/>
  <c r="MKE671" i="3" s="1"/>
  <c r="MKD671" i="3" s="1"/>
  <c r="MKC671" i="3" s="1"/>
  <c r="MKB671" i="3" s="1"/>
  <c r="MKA671" i="3" s="1"/>
  <c r="MJZ671" i="3" s="1"/>
  <c r="MJY671" i="3" s="1"/>
  <c r="MJX671" i="3" s="1"/>
  <c r="MJW671" i="3" s="1"/>
  <c r="MJV671" i="3" s="1"/>
  <c r="MJU671" i="3" s="1"/>
  <c r="MJT671" i="3" s="1"/>
  <c r="MJS671" i="3" s="1"/>
  <c r="MJR671" i="3" s="1"/>
  <c r="MJQ671" i="3" s="1"/>
  <c r="MJP671" i="3" s="1"/>
  <c r="MJO671" i="3" s="1"/>
  <c r="MJN671" i="3" s="1"/>
  <c r="MJM671" i="3" s="1"/>
  <c r="MJL671" i="3" s="1"/>
  <c r="MJK671" i="3" s="1"/>
  <c r="MJJ671" i="3" s="1"/>
  <c r="MJI671" i="3" s="1"/>
  <c r="MJH671" i="3" s="1"/>
  <c r="MJG671" i="3" s="1"/>
  <c r="MJF671" i="3" s="1"/>
  <c r="MJE671" i="3" s="1"/>
  <c r="MJD671" i="3" s="1"/>
  <c r="MJC671" i="3" s="1"/>
  <c r="MJB671" i="3" s="1"/>
  <c r="MJA671" i="3" s="1"/>
  <c r="MIZ671" i="3" s="1"/>
  <c r="MIY671" i="3" s="1"/>
  <c r="MIX671" i="3" s="1"/>
  <c r="MIW671" i="3" s="1"/>
  <c r="MIV671" i="3" s="1"/>
  <c r="MIU671" i="3" s="1"/>
  <c r="MIT671" i="3" s="1"/>
  <c r="MIS671" i="3" s="1"/>
  <c r="MIR671" i="3" s="1"/>
  <c r="MIQ671" i="3" s="1"/>
  <c r="MIP671" i="3" s="1"/>
  <c r="MIO671" i="3" s="1"/>
  <c r="MIN671" i="3" s="1"/>
  <c r="MIM671" i="3" s="1"/>
  <c r="MIL671" i="3" s="1"/>
  <c r="MIK671" i="3" s="1"/>
  <c r="MIJ671" i="3" s="1"/>
  <c r="MII671" i="3" s="1"/>
  <c r="MIH671" i="3" s="1"/>
  <c r="MIG671" i="3" s="1"/>
  <c r="MIF671" i="3" s="1"/>
  <c r="MIE671" i="3" s="1"/>
  <c r="MID671" i="3" s="1"/>
  <c r="MIC671" i="3" s="1"/>
  <c r="MIB671" i="3" s="1"/>
  <c r="MIA671" i="3" s="1"/>
  <c r="MHZ671" i="3" s="1"/>
  <c r="MHY671" i="3" s="1"/>
  <c r="MHX671" i="3" s="1"/>
  <c r="MHW671" i="3" s="1"/>
  <c r="MHV671" i="3" s="1"/>
  <c r="MHU671" i="3" s="1"/>
  <c r="MHT671" i="3" s="1"/>
  <c r="MHS671" i="3" s="1"/>
  <c r="MHR671" i="3" s="1"/>
  <c r="MHQ671" i="3" s="1"/>
  <c r="MHP671" i="3" s="1"/>
  <c r="MHO671" i="3" s="1"/>
  <c r="MHN671" i="3" s="1"/>
  <c r="MHM671" i="3" s="1"/>
  <c r="MHL671" i="3" s="1"/>
  <c r="MHK671" i="3" s="1"/>
  <c r="MHJ671" i="3" s="1"/>
  <c r="MHI671" i="3" s="1"/>
  <c r="MHH671" i="3" s="1"/>
  <c r="MHG671" i="3" s="1"/>
  <c r="MHF671" i="3" s="1"/>
  <c r="MHE671" i="3" s="1"/>
  <c r="MHD671" i="3" s="1"/>
  <c r="MHC671" i="3" s="1"/>
  <c r="MHB671" i="3" s="1"/>
  <c r="MHA671" i="3" s="1"/>
  <c r="MGZ671" i="3" s="1"/>
  <c r="MGY671" i="3" s="1"/>
  <c r="MGX671" i="3" s="1"/>
  <c r="MGW671" i="3" s="1"/>
  <c r="MGV671" i="3" s="1"/>
  <c r="MGU671" i="3" s="1"/>
  <c r="MGT671" i="3" s="1"/>
  <c r="MGS671" i="3" s="1"/>
  <c r="MGR671" i="3" s="1"/>
  <c r="MGQ671" i="3" s="1"/>
  <c r="MGP671" i="3" s="1"/>
  <c r="MGO671" i="3" s="1"/>
  <c r="MGN671" i="3" s="1"/>
  <c r="MGM671" i="3" s="1"/>
  <c r="MGL671" i="3" s="1"/>
  <c r="MGK671" i="3" s="1"/>
  <c r="MGJ671" i="3" s="1"/>
  <c r="MGI671" i="3" s="1"/>
  <c r="MGH671" i="3" s="1"/>
  <c r="MGG671" i="3" s="1"/>
  <c r="MGF671" i="3" s="1"/>
  <c r="MGE671" i="3" s="1"/>
  <c r="MGD671" i="3" s="1"/>
  <c r="MGC671" i="3" s="1"/>
  <c r="MGB671" i="3" s="1"/>
  <c r="MGA671" i="3" s="1"/>
  <c r="MFZ671" i="3" s="1"/>
  <c r="MFY671" i="3" s="1"/>
  <c r="MFX671" i="3" s="1"/>
  <c r="MFW671" i="3" s="1"/>
  <c r="MFV671" i="3" s="1"/>
  <c r="MFU671" i="3" s="1"/>
  <c r="MFT671" i="3" s="1"/>
  <c r="MFS671" i="3" s="1"/>
  <c r="MFR671" i="3" s="1"/>
  <c r="MFQ671" i="3" s="1"/>
  <c r="MFP671" i="3" s="1"/>
  <c r="MFO671" i="3" s="1"/>
  <c r="MFN671" i="3" s="1"/>
  <c r="MFM671" i="3" s="1"/>
  <c r="MFL671" i="3" s="1"/>
  <c r="MFK671" i="3" s="1"/>
  <c r="MFJ671" i="3" s="1"/>
  <c r="MFI671" i="3" s="1"/>
  <c r="MFH671" i="3" s="1"/>
  <c r="MFG671" i="3" s="1"/>
  <c r="MFF671" i="3" s="1"/>
  <c r="MFE671" i="3" s="1"/>
  <c r="MFD671" i="3" s="1"/>
  <c r="MFC671" i="3" s="1"/>
  <c r="MFB671" i="3" s="1"/>
  <c r="MFA671" i="3" s="1"/>
  <c r="MEZ671" i="3" s="1"/>
  <c r="MEY671" i="3" s="1"/>
  <c r="MEX671" i="3" s="1"/>
  <c r="MEW671" i="3" s="1"/>
  <c r="MEV671" i="3" s="1"/>
  <c r="MEU671" i="3" s="1"/>
  <c r="MET671" i="3" s="1"/>
  <c r="MES671" i="3" s="1"/>
  <c r="MER671" i="3" s="1"/>
  <c r="MEQ671" i="3" s="1"/>
  <c r="MEP671" i="3" s="1"/>
  <c r="MEO671" i="3" s="1"/>
  <c r="MEN671" i="3" s="1"/>
  <c r="MEM671" i="3" s="1"/>
  <c r="MEL671" i="3" s="1"/>
  <c r="MEK671" i="3" s="1"/>
  <c r="MEJ671" i="3" s="1"/>
  <c r="MEI671" i="3" s="1"/>
  <c r="MEH671" i="3" s="1"/>
  <c r="MEG671" i="3" s="1"/>
  <c r="MEF671" i="3" s="1"/>
  <c r="MEE671" i="3" s="1"/>
  <c r="MED671" i="3" s="1"/>
  <c r="MEC671" i="3" s="1"/>
  <c r="MEB671" i="3" s="1"/>
  <c r="MEA671" i="3" s="1"/>
  <c r="MDZ671" i="3" s="1"/>
  <c r="MDY671" i="3" s="1"/>
  <c r="MDX671" i="3" s="1"/>
  <c r="MDW671" i="3" s="1"/>
  <c r="MDV671" i="3" s="1"/>
  <c r="MDU671" i="3" s="1"/>
  <c r="MDT671" i="3" s="1"/>
  <c r="MDS671" i="3" s="1"/>
  <c r="MDR671" i="3" s="1"/>
  <c r="MDQ671" i="3" s="1"/>
  <c r="MDP671" i="3" s="1"/>
  <c r="MDO671" i="3" s="1"/>
  <c r="MDN671" i="3" s="1"/>
  <c r="MDM671" i="3" s="1"/>
  <c r="MDL671" i="3" s="1"/>
  <c r="MDK671" i="3" s="1"/>
  <c r="MDJ671" i="3" s="1"/>
  <c r="MDI671" i="3" s="1"/>
  <c r="MDH671" i="3" s="1"/>
  <c r="MDG671" i="3" s="1"/>
  <c r="MDF671" i="3" s="1"/>
  <c r="MDE671" i="3" s="1"/>
  <c r="MDD671" i="3" s="1"/>
  <c r="MDC671" i="3" s="1"/>
  <c r="MDB671" i="3" s="1"/>
  <c r="MDA671" i="3" s="1"/>
  <c r="MCZ671" i="3" s="1"/>
  <c r="MCY671" i="3" s="1"/>
  <c r="MCX671" i="3" s="1"/>
  <c r="MCW671" i="3" s="1"/>
  <c r="MCV671" i="3" s="1"/>
  <c r="MCU671" i="3" s="1"/>
  <c r="MCT671" i="3" s="1"/>
  <c r="MCS671" i="3" s="1"/>
  <c r="MCR671" i="3" s="1"/>
  <c r="MCQ671" i="3" s="1"/>
  <c r="MCP671" i="3" s="1"/>
  <c r="MCO671" i="3" s="1"/>
  <c r="MCN671" i="3" s="1"/>
  <c r="MCM671" i="3" s="1"/>
  <c r="MCL671" i="3" s="1"/>
  <c r="MCK671" i="3" s="1"/>
  <c r="MCJ671" i="3" s="1"/>
  <c r="MCI671" i="3" s="1"/>
  <c r="MCH671" i="3" s="1"/>
  <c r="MCG671" i="3" s="1"/>
  <c r="MCF671" i="3" s="1"/>
  <c r="MCE671" i="3" s="1"/>
  <c r="MCD671" i="3" s="1"/>
  <c r="MCC671" i="3" s="1"/>
  <c r="MCB671" i="3" s="1"/>
  <c r="MCA671" i="3" s="1"/>
  <c r="MBZ671" i="3" s="1"/>
  <c r="MBY671" i="3" s="1"/>
  <c r="MBX671" i="3" s="1"/>
  <c r="MBW671" i="3" s="1"/>
  <c r="MBV671" i="3" s="1"/>
  <c r="MBU671" i="3" s="1"/>
  <c r="MBT671" i="3" s="1"/>
  <c r="MBS671" i="3" s="1"/>
  <c r="MBR671" i="3" s="1"/>
  <c r="MBQ671" i="3" s="1"/>
  <c r="MBP671" i="3" s="1"/>
  <c r="MBO671" i="3" s="1"/>
  <c r="MBN671" i="3" s="1"/>
  <c r="MBM671" i="3" s="1"/>
  <c r="MBL671" i="3" s="1"/>
  <c r="MBK671" i="3" s="1"/>
  <c r="MBJ671" i="3" s="1"/>
  <c r="MBI671" i="3" s="1"/>
  <c r="MBH671" i="3" s="1"/>
  <c r="MBG671" i="3" s="1"/>
  <c r="MBF671" i="3" s="1"/>
  <c r="MBE671" i="3" s="1"/>
  <c r="MBD671" i="3" s="1"/>
  <c r="MBC671" i="3" s="1"/>
  <c r="MBB671" i="3" s="1"/>
  <c r="MBA671" i="3" s="1"/>
  <c r="MAZ671" i="3" s="1"/>
  <c r="MAY671" i="3" s="1"/>
  <c r="MAX671" i="3" s="1"/>
  <c r="MAW671" i="3" s="1"/>
  <c r="MAV671" i="3" s="1"/>
  <c r="MAU671" i="3" s="1"/>
  <c r="MAT671" i="3" s="1"/>
  <c r="MAS671" i="3" s="1"/>
  <c r="MAR671" i="3" s="1"/>
  <c r="MAQ671" i="3" s="1"/>
  <c r="MAP671" i="3" s="1"/>
  <c r="MAO671" i="3" s="1"/>
  <c r="MAN671" i="3" s="1"/>
  <c r="MAM671" i="3" s="1"/>
  <c r="MAL671" i="3" s="1"/>
  <c r="MAK671" i="3" s="1"/>
  <c r="MAJ671" i="3" s="1"/>
  <c r="MAI671" i="3" s="1"/>
  <c r="MAH671" i="3" s="1"/>
  <c r="MAG671" i="3" s="1"/>
  <c r="MAF671" i="3" s="1"/>
  <c r="MAE671" i="3" s="1"/>
  <c r="MAD671" i="3" s="1"/>
  <c r="MAC671" i="3" s="1"/>
  <c r="MAB671" i="3" s="1"/>
  <c r="MAA671" i="3" s="1"/>
  <c r="LZZ671" i="3" s="1"/>
  <c r="LZY671" i="3" s="1"/>
  <c r="LZX671" i="3" s="1"/>
  <c r="LZW671" i="3" s="1"/>
  <c r="LZV671" i="3" s="1"/>
  <c r="LZU671" i="3" s="1"/>
  <c r="LZT671" i="3" s="1"/>
  <c r="LZS671" i="3" s="1"/>
  <c r="LZR671" i="3" s="1"/>
  <c r="LZQ671" i="3" s="1"/>
  <c r="LZP671" i="3" s="1"/>
  <c r="LZO671" i="3" s="1"/>
  <c r="LZN671" i="3" s="1"/>
  <c r="LZM671" i="3" s="1"/>
  <c r="LZL671" i="3" s="1"/>
  <c r="LZK671" i="3" s="1"/>
  <c r="LZJ671" i="3" s="1"/>
  <c r="LZI671" i="3" s="1"/>
  <c r="LZH671" i="3" s="1"/>
  <c r="LZG671" i="3" s="1"/>
  <c r="LZF671" i="3" s="1"/>
  <c r="LZE671" i="3" s="1"/>
  <c r="LZD671" i="3" s="1"/>
  <c r="LZC671" i="3" s="1"/>
  <c r="LZB671" i="3" s="1"/>
  <c r="LZA671" i="3" s="1"/>
  <c r="LYZ671" i="3" s="1"/>
  <c r="LYY671" i="3" s="1"/>
  <c r="LYX671" i="3" s="1"/>
  <c r="LYW671" i="3" s="1"/>
  <c r="LYV671" i="3" s="1"/>
  <c r="LYU671" i="3" s="1"/>
  <c r="LYT671" i="3" s="1"/>
  <c r="LYS671" i="3" s="1"/>
  <c r="LYR671" i="3" s="1"/>
  <c r="LYQ671" i="3" s="1"/>
  <c r="LYP671" i="3" s="1"/>
  <c r="LYO671" i="3" s="1"/>
  <c r="LYN671" i="3" s="1"/>
  <c r="LYM671" i="3" s="1"/>
  <c r="LYL671" i="3" s="1"/>
  <c r="LYK671" i="3" s="1"/>
  <c r="LYJ671" i="3" s="1"/>
  <c r="LYI671" i="3" s="1"/>
  <c r="LYH671" i="3" s="1"/>
  <c r="LYG671" i="3" s="1"/>
  <c r="LYF671" i="3" s="1"/>
  <c r="LYE671" i="3" s="1"/>
  <c r="LYD671" i="3" s="1"/>
  <c r="LYC671" i="3" s="1"/>
  <c r="LYB671" i="3" s="1"/>
  <c r="LYA671" i="3" s="1"/>
  <c r="LXZ671" i="3" s="1"/>
  <c r="LXY671" i="3" s="1"/>
  <c r="LXX671" i="3" s="1"/>
  <c r="LXW671" i="3" s="1"/>
  <c r="LXV671" i="3" s="1"/>
  <c r="LXU671" i="3" s="1"/>
  <c r="LXT671" i="3" s="1"/>
  <c r="LXS671" i="3" s="1"/>
  <c r="LXR671" i="3" s="1"/>
  <c r="LXQ671" i="3" s="1"/>
  <c r="LXP671" i="3" s="1"/>
  <c r="LXO671" i="3" s="1"/>
  <c r="LXN671" i="3" s="1"/>
  <c r="LXM671" i="3" s="1"/>
  <c r="LXL671" i="3" s="1"/>
  <c r="LXK671" i="3" s="1"/>
  <c r="LXJ671" i="3" s="1"/>
  <c r="LXI671" i="3" s="1"/>
  <c r="LXH671" i="3" s="1"/>
  <c r="LXG671" i="3" s="1"/>
  <c r="LXF671" i="3" s="1"/>
  <c r="LXE671" i="3" s="1"/>
  <c r="LXD671" i="3" s="1"/>
  <c r="LXC671" i="3" s="1"/>
  <c r="LXB671" i="3" s="1"/>
  <c r="LXA671" i="3" s="1"/>
  <c r="LWZ671" i="3" s="1"/>
  <c r="LWY671" i="3" s="1"/>
  <c r="LWX671" i="3" s="1"/>
  <c r="LWW671" i="3" s="1"/>
  <c r="LWV671" i="3" s="1"/>
  <c r="LWU671" i="3" s="1"/>
  <c r="LWT671" i="3" s="1"/>
  <c r="LWS671" i="3" s="1"/>
  <c r="LWR671" i="3" s="1"/>
  <c r="LWQ671" i="3" s="1"/>
  <c r="LWP671" i="3" s="1"/>
  <c r="LWO671" i="3" s="1"/>
  <c r="LWN671" i="3" s="1"/>
  <c r="LWM671" i="3" s="1"/>
  <c r="LWL671" i="3" s="1"/>
  <c r="LWK671" i="3" s="1"/>
  <c r="LWJ671" i="3" s="1"/>
  <c r="LWI671" i="3" s="1"/>
  <c r="LWH671" i="3" s="1"/>
  <c r="LWG671" i="3" s="1"/>
  <c r="LWF671" i="3" s="1"/>
  <c r="LWE671" i="3" s="1"/>
  <c r="LWD671" i="3" s="1"/>
  <c r="LWC671" i="3" s="1"/>
  <c r="LWB671" i="3" s="1"/>
  <c r="LWA671" i="3" s="1"/>
  <c r="LVZ671" i="3" s="1"/>
  <c r="LVY671" i="3" s="1"/>
  <c r="LVX671" i="3" s="1"/>
  <c r="LVW671" i="3" s="1"/>
  <c r="LVV671" i="3" s="1"/>
  <c r="LVU671" i="3" s="1"/>
  <c r="LVT671" i="3" s="1"/>
  <c r="LVS671" i="3" s="1"/>
  <c r="LVR671" i="3" s="1"/>
  <c r="LVQ671" i="3" s="1"/>
  <c r="LVP671" i="3" s="1"/>
  <c r="LVO671" i="3" s="1"/>
  <c r="LVN671" i="3" s="1"/>
  <c r="LVM671" i="3" s="1"/>
  <c r="LVL671" i="3" s="1"/>
  <c r="LVK671" i="3" s="1"/>
  <c r="LVJ671" i="3" s="1"/>
  <c r="LVI671" i="3" s="1"/>
  <c r="LVH671" i="3" s="1"/>
  <c r="LVG671" i="3" s="1"/>
  <c r="LVF671" i="3" s="1"/>
  <c r="LVE671" i="3" s="1"/>
  <c r="LVD671" i="3" s="1"/>
  <c r="LVC671" i="3" s="1"/>
  <c r="LVB671" i="3" s="1"/>
  <c r="LVA671" i="3" s="1"/>
  <c r="LUZ671" i="3" s="1"/>
  <c r="LUY671" i="3" s="1"/>
  <c r="LUX671" i="3" s="1"/>
  <c r="LUW671" i="3" s="1"/>
  <c r="LUV671" i="3" s="1"/>
  <c r="LUU671" i="3" s="1"/>
  <c r="LUT671" i="3" s="1"/>
  <c r="LUS671" i="3" s="1"/>
  <c r="LUR671" i="3" s="1"/>
  <c r="LUQ671" i="3" s="1"/>
  <c r="LUP671" i="3" s="1"/>
  <c r="LUO671" i="3" s="1"/>
  <c r="LUN671" i="3" s="1"/>
  <c r="LUM671" i="3" s="1"/>
  <c r="LUL671" i="3" s="1"/>
  <c r="LUK671" i="3" s="1"/>
  <c r="LUJ671" i="3" s="1"/>
  <c r="LUI671" i="3" s="1"/>
  <c r="LUH671" i="3" s="1"/>
  <c r="LUG671" i="3" s="1"/>
  <c r="LUF671" i="3" s="1"/>
  <c r="LUE671" i="3" s="1"/>
  <c r="LUD671" i="3" s="1"/>
  <c r="LUC671" i="3" s="1"/>
  <c r="LUB671" i="3" s="1"/>
  <c r="LUA671" i="3" s="1"/>
  <c r="LTZ671" i="3" s="1"/>
  <c r="LTY671" i="3" s="1"/>
  <c r="LTX671" i="3" s="1"/>
  <c r="LTW671" i="3" s="1"/>
  <c r="LTV671" i="3" s="1"/>
  <c r="LTU671" i="3" s="1"/>
  <c r="LTT671" i="3" s="1"/>
  <c r="LTS671" i="3" s="1"/>
  <c r="LTR671" i="3" s="1"/>
  <c r="LTQ671" i="3" s="1"/>
  <c r="LTP671" i="3" s="1"/>
  <c r="LTO671" i="3" s="1"/>
  <c r="LTN671" i="3" s="1"/>
  <c r="LTM671" i="3" s="1"/>
  <c r="LTL671" i="3" s="1"/>
  <c r="LTK671" i="3" s="1"/>
  <c r="LTJ671" i="3" s="1"/>
  <c r="LTI671" i="3" s="1"/>
  <c r="LTH671" i="3" s="1"/>
  <c r="LTG671" i="3" s="1"/>
  <c r="LTF671" i="3" s="1"/>
  <c r="LTE671" i="3" s="1"/>
  <c r="LTD671" i="3" s="1"/>
  <c r="LTC671" i="3" s="1"/>
  <c r="LTB671" i="3" s="1"/>
  <c r="LTA671" i="3" s="1"/>
  <c r="LSZ671" i="3" s="1"/>
  <c r="LSY671" i="3" s="1"/>
  <c r="LSX671" i="3" s="1"/>
  <c r="LSW671" i="3" s="1"/>
  <c r="LSV671" i="3" s="1"/>
  <c r="LSU671" i="3" s="1"/>
  <c r="LST671" i="3" s="1"/>
  <c r="LSS671" i="3" s="1"/>
  <c r="LSR671" i="3" s="1"/>
  <c r="LSQ671" i="3" s="1"/>
  <c r="LSP671" i="3" s="1"/>
  <c r="LSO671" i="3" s="1"/>
  <c r="LSN671" i="3" s="1"/>
  <c r="LSM671" i="3" s="1"/>
  <c r="LSL671" i="3" s="1"/>
  <c r="LSK671" i="3" s="1"/>
  <c r="LSJ671" i="3" s="1"/>
  <c r="LSI671" i="3" s="1"/>
  <c r="LSH671" i="3" s="1"/>
  <c r="LSG671" i="3" s="1"/>
  <c r="LSF671" i="3" s="1"/>
  <c r="LSE671" i="3" s="1"/>
  <c r="LSD671" i="3" s="1"/>
  <c r="LSC671" i="3" s="1"/>
  <c r="LSB671" i="3" s="1"/>
  <c r="LSA671" i="3" s="1"/>
  <c r="LRZ671" i="3" s="1"/>
  <c r="LRY671" i="3" s="1"/>
  <c r="LRX671" i="3" s="1"/>
  <c r="LRW671" i="3" s="1"/>
  <c r="LRV671" i="3" s="1"/>
  <c r="LRU671" i="3" s="1"/>
  <c r="LRT671" i="3" s="1"/>
  <c r="LRS671" i="3" s="1"/>
  <c r="LRR671" i="3" s="1"/>
  <c r="LRQ671" i="3" s="1"/>
  <c r="LRP671" i="3" s="1"/>
  <c r="LRO671" i="3" s="1"/>
  <c r="LRN671" i="3" s="1"/>
  <c r="LRM671" i="3" s="1"/>
  <c r="LRL671" i="3" s="1"/>
  <c r="LRK671" i="3" s="1"/>
  <c r="LRJ671" i="3" s="1"/>
  <c r="LRI671" i="3" s="1"/>
  <c r="LRH671" i="3" s="1"/>
  <c r="LRG671" i="3" s="1"/>
  <c r="LRF671" i="3" s="1"/>
  <c r="LRE671" i="3" s="1"/>
  <c r="LRD671" i="3" s="1"/>
  <c r="LRC671" i="3" s="1"/>
  <c r="LRB671" i="3" s="1"/>
  <c r="LRA671" i="3" s="1"/>
  <c r="LQZ671" i="3" s="1"/>
  <c r="LQY671" i="3" s="1"/>
  <c r="LQX671" i="3" s="1"/>
  <c r="LQW671" i="3" s="1"/>
  <c r="LQV671" i="3" s="1"/>
  <c r="LQU671" i="3" s="1"/>
  <c r="LQT671" i="3" s="1"/>
  <c r="LQS671" i="3" s="1"/>
  <c r="LQR671" i="3" s="1"/>
  <c r="LQQ671" i="3" s="1"/>
  <c r="LQP671" i="3" s="1"/>
  <c r="LQO671" i="3" s="1"/>
  <c r="LQN671" i="3" s="1"/>
  <c r="LQM671" i="3" s="1"/>
  <c r="LQL671" i="3" s="1"/>
  <c r="LQK671" i="3" s="1"/>
  <c r="LQJ671" i="3" s="1"/>
  <c r="LQI671" i="3" s="1"/>
  <c r="LQH671" i="3" s="1"/>
  <c r="LQG671" i="3" s="1"/>
  <c r="LQF671" i="3" s="1"/>
  <c r="LQE671" i="3" s="1"/>
  <c r="LQD671" i="3" s="1"/>
  <c r="LQC671" i="3" s="1"/>
  <c r="LQB671" i="3" s="1"/>
  <c r="LQA671" i="3" s="1"/>
  <c r="LPZ671" i="3" s="1"/>
  <c r="LPY671" i="3" s="1"/>
  <c r="LPX671" i="3" s="1"/>
  <c r="LPW671" i="3" s="1"/>
  <c r="LPV671" i="3" s="1"/>
  <c r="LPU671" i="3" s="1"/>
  <c r="LPT671" i="3" s="1"/>
  <c r="LPS671" i="3" s="1"/>
  <c r="LPR671" i="3" s="1"/>
  <c r="LPQ671" i="3" s="1"/>
  <c r="LPP671" i="3" s="1"/>
  <c r="LPO671" i="3" s="1"/>
  <c r="LPN671" i="3" s="1"/>
  <c r="LPM671" i="3" s="1"/>
  <c r="LPL671" i="3" s="1"/>
  <c r="LPK671" i="3" s="1"/>
  <c r="LPJ671" i="3" s="1"/>
  <c r="LPI671" i="3" s="1"/>
  <c r="LPH671" i="3" s="1"/>
  <c r="LPG671" i="3" s="1"/>
  <c r="LPF671" i="3" s="1"/>
  <c r="LPE671" i="3" s="1"/>
  <c r="LPD671" i="3" s="1"/>
  <c r="LPC671" i="3" s="1"/>
  <c r="LPB671" i="3" s="1"/>
  <c r="LPA671" i="3" s="1"/>
  <c r="LOZ671" i="3" s="1"/>
  <c r="LOY671" i="3" s="1"/>
  <c r="LOX671" i="3" s="1"/>
  <c r="LOW671" i="3" s="1"/>
  <c r="LOV671" i="3" s="1"/>
  <c r="LOU671" i="3" s="1"/>
  <c r="LOT671" i="3" s="1"/>
  <c r="LOS671" i="3" s="1"/>
  <c r="LOR671" i="3" s="1"/>
  <c r="LOQ671" i="3" s="1"/>
  <c r="LOP671" i="3" s="1"/>
  <c r="LOO671" i="3" s="1"/>
  <c r="LON671" i="3" s="1"/>
  <c r="LOM671" i="3" s="1"/>
  <c r="LOL671" i="3" s="1"/>
  <c r="LOK671" i="3" s="1"/>
  <c r="LOJ671" i="3" s="1"/>
  <c r="LOI671" i="3" s="1"/>
  <c r="LOH671" i="3" s="1"/>
  <c r="LOG671" i="3" s="1"/>
  <c r="LOF671" i="3" s="1"/>
  <c r="LOE671" i="3" s="1"/>
  <c r="LOD671" i="3" s="1"/>
  <c r="LOC671" i="3" s="1"/>
  <c r="LOB671" i="3" s="1"/>
  <c r="LOA671" i="3" s="1"/>
  <c r="LNZ671" i="3" s="1"/>
  <c r="LNY671" i="3" s="1"/>
  <c r="LNX671" i="3" s="1"/>
  <c r="LNW671" i="3" s="1"/>
  <c r="LNV671" i="3" s="1"/>
  <c r="LNU671" i="3" s="1"/>
  <c r="LNT671" i="3" s="1"/>
  <c r="LNS671" i="3" s="1"/>
  <c r="LNR671" i="3" s="1"/>
  <c r="LNQ671" i="3" s="1"/>
  <c r="LNP671" i="3" s="1"/>
  <c r="LNO671" i="3" s="1"/>
  <c r="LNN671" i="3" s="1"/>
  <c r="LNM671" i="3" s="1"/>
  <c r="LNL671" i="3" s="1"/>
  <c r="LNK671" i="3" s="1"/>
  <c r="LNJ671" i="3" s="1"/>
  <c r="LNI671" i="3" s="1"/>
  <c r="LNH671" i="3" s="1"/>
  <c r="LNG671" i="3" s="1"/>
  <c r="LNF671" i="3" s="1"/>
  <c r="LNE671" i="3" s="1"/>
  <c r="LND671" i="3" s="1"/>
  <c r="LNC671" i="3" s="1"/>
  <c r="LNB671" i="3" s="1"/>
  <c r="LNA671" i="3" s="1"/>
  <c r="LMZ671" i="3" s="1"/>
  <c r="LMY671" i="3" s="1"/>
  <c r="LMX671" i="3" s="1"/>
  <c r="LMW671" i="3" s="1"/>
  <c r="LMV671" i="3" s="1"/>
  <c r="LMU671" i="3" s="1"/>
  <c r="LMT671" i="3" s="1"/>
  <c r="LMS671" i="3" s="1"/>
  <c r="LMR671" i="3" s="1"/>
  <c r="LMQ671" i="3" s="1"/>
  <c r="LMP671" i="3" s="1"/>
  <c r="LMO671" i="3" s="1"/>
  <c r="LMN671" i="3" s="1"/>
  <c r="LMM671" i="3" s="1"/>
  <c r="LML671" i="3" s="1"/>
  <c r="LMK671" i="3" s="1"/>
  <c r="LMJ671" i="3" s="1"/>
  <c r="LMI671" i="3" s="1"/>
  <c r="LMH671" i="3" s="1"/>
  <c r="LMG671" i="3" s="1"/>
  <c r="LMF671" i="3" s="1"/>
  <c r="LME671" i="3" s="1"/>
  <c r="LMD671" i="3" s="1"/>
  <c r="LMC671" i="3" s="1"/>
  <c r="LMB671" i="3" s="1"/>
  <c r="LMA671" i="3" s="1"/>
  <c r="LLZ671" i="3" s="1"/>
  <c r="LLY671" i="3" s="1"/>
  <c r="LLX671" i="3" s="1"/>
  <c r="LLW671" i="3" s="1"/>
  <c r="LLV671" i="3" s="1"/>
  <c r="LLU671" i="3" s="1"/>
  <c r="LLT671" i="3" s="1"/>
  <c r="LLS671" i="3" s="1"/>
  <c r="LLR671" i="3" s="1"/>
  <c r="LLQ671" i="3" s="1"/>
  <c r="LLP671" i="3" s="1"/>
  <c r="LLO671" i="3" s="1"/>
  <c r="LLN671" i="3" s="1"/>
  <c r="LLM671" i="3" s="1"/>
  <c r="LLL671" i="3" s="1"/>
  <c r="LLK671" i="3" s="1"/>
  <c r="LLJ671" i="3" s="1"/>
  <c r="LLI671" i="3" s="1"/>
  <c r="LLH671" i="3" s="1"/>
  <c r="LLG671" i="3" s="1"/>
  <c r="LLF671" i="3" s="1"/>
  <c r="LLE671" i="3" s="1"/>
  <c r="LLD671" i="3" s="1"/>
  <c r="LLC671" i="3" s="1"/>
  <c r="LLB671" i="3" s="1"/>
  <c r="LLA671" i="3" s="1"/>
  <c r="LKZ671" i="3" s="1"/>
  <c r="LKY671" i="3" s="1"/>
  <c r="LKX671" i="3" s="1"/>
  <c r="LKW671" i="3" s="1"/>
  <c r="LKV671" i="3" s="1"/>
  <c r="LKU671" i="3" s="1"/>
  <c r="LKT671" i="3" s="1"/>
  <c r="LKS671" i="3" s="1"/>
  <c r="LKR671" i="3" s="1"/>
  <c r="LKQ671" i="3" s="1"/>
  <c r="LKP671" i="3" s="1"/>
  <c r="LKO671" i="3" s="1"/>
  <c r="LKN671" i="3" s="1"/>
  <c r="LKM671" i="3" s="1"/>
  <c r="LKL671" i="3" s="1"/>
  <c r="LKK671" i="3" s="1"/>
  <c r="LKJ671" i="3" s="1"/>
  <c r="LKI671" i="3" s="1"/>
  <c r="LKH671" i="3" s="1"/>
  <c r="LKG671" i="3" s="1"/>
  <c r="LKF671" i="3" s="1"/>
  <c r="LKE671" i="3" s="1"/>
  <c r="LKD671" i="3" s="1"/>
  <c r="LKC671" i="3" s="1"/>
  <c r="LKB671" i="3" s="1"/>
  <c r="LKA671" i="3" s="1"/>
  <c r="LJZ671" i="3" s="1"/>
  <c r="LJY671" i="3" s="1"/>
  <c r="LJX671" i="3" s="1"/>
  <c r="LJW671" i="3" s="1"/>
  <c r="LJV671" i="3" s="1"/>
  <c r="LJU671" i="3" s="1"/>
  <c r="LJT671" i="3" s="1"/>
  <c r="LJS671" i="3" s="1"/>
  <c r="LJR671" i="3" s="1"/>
  <c r="LJQ671" i="3" s="1"/>
  <c r="LJP671" i="3" s="1"/>
  <c r="LJO671" i="3" s="1"/>
  <c r="LJN671" i="3" s="1"/>
  <c r="LJM671" i="3" s="1"/>
  <c r="LJL671" i="3" s="1"/>
  <c r="LJK671" i="3" s="1"/>
  <c r="LJJ671" i="3" s="1"/>
  <c r="LJI671" i="3" s="1"/>
  <c r="LJH671" i="3" s="1"/>
  <c r="LJG671" i="3" s="1"/>
  <c r="LJF671" i="3" s="1"/>
  <c r="LJE671" i="3" s="1"/>
  <c r="LJD671" i="3" s="1"/>
  <c r="LJC671" i="3" s="1"/>
  <c r="LJB671" i="3" s="1"/>
  <c r="LJA671" i="3" s="1"/>
  <c r="LIZ671" i="3" s="1"/>
  <c r="LIY671" i="3" s="1"/>
  <c r="LIX671" i="3" s="1"/>
  <c r="LIW671" i="3" s="1"/>
  <c r="LIV671" i="3" s="1"/>
  <c r="LIU671" i="3" s="1"/>
  <c r="LIT671" i="3" s="1"/>
  <c r="LIS671" i="3" s="1"/>
  <c r="LIR671" i="3" s="1"/>
  <c r="LIQ671" i="3" s="1"/>
  <c r="LIP671" i="3" s="1"/>
  <c r="LIO671" i="3" s="1"/>
  <c r="LIN671" i="3" s="1"/>
  <c r="LIM671" i="3" s="1"/>
  <c r="LIL671" i="3" s="1"/>
  <c r="LIK671" i="3" s="1"/>
  <c r="LIJ671" i="3" s="1"/>
  <c r="LII671" i="3" s="1"/>
  <c r="LIH671" i="3" s="1"/>
  <c r="LIG671" i="3" s="1"/>
  <c r="LIF671" i="3" s="1"/>
  <c r="LIE671" i="3" s="1"/>
  <c r="LID671" i="3" s="1"/>
  <c r="LIC671" i="3" s="1"/>
  <c r="LIB671" i="3" s="1"/>
  <c r="LIA671" i="3" s="1"/>
  <c r="LHZ671" i="3" s="1"/>
  <c r="LHY671" i="3" s="1"/>
  <c r="LHX671" i="3" s="1"/>
  <c r="LHW671" i="3" s="1"/>
  <c r="LHV671" i="3" s="1"/>
  <c r="LHU671" i="3" s="1"/>
  <c r="LHT671" i="3" s="1"/>
  <c r="LHS671" i="3" s="1"/>
  <c r="LHR671" i="3" s="1"/>
  <c r="LHQ671" i="3" s="1"/>
  <c r="LHP671" i="3" s="1"/>
  <c r="LHO671" i="3" s="1"/>
  <c r="LHN671" i="3" s="1"/>
  <c r="LHM671" i="3" s="1"/>
  <c r="LHL671" i="3" s="1"/>
  <c r="LHK671" i="3" s="1"/>
  <c r="LHJ671" i="3" s="1"/>
  <c r="LHI671" i="3" s="1"/>
  <c r="LHH671" i="3" s="1"/>
  <c r="LHG671" i="3" s="1"/>
  <c r="LHF671" i="3" s="1"/>
  <c r="LHE671" i="3" s="1"/>
  <c r="LHD671" i="3" s="1"/>
  <c r="LHC671" i="3" s="1"/>
  <c r="LHB671" i="3" s="1"/>
  <c r="LHA671" i="3" s="1"/>
  <c r="LGZ671" i="3" s="1"/>
  <c r="LGY671" i="3" s="1"/>
  <c r="LGX671" i="3" s="1"/>
  <c r="LGW671" i="3" s="1"/>
  <c r="LGV671" i="3" s="1"/>
  <c r="LGU671" i="3" s="1"/>
  <c r="LGT671" i="3" s="1"/>
  <c r="LGS671" i="3" s="1"/>
  <c r="LGR671" i="3" s="1"/>
  <c r="LGQ671" i="3" s="1"/>
  <c r="LGP671" i="3" s="1"/>
  <c r="LGO671" i="3" s="1"/>
  <c r="LGN671" i="3" s="1"/>
  <c r="LGM671" i="3" s="1"/>
  <c r="LGL671" i="3" s="1"/>
  <c r="LGK671" i="3" s="1"/>
  <c r="LGJ671" i="3" s="1"/>
  <c r="LGI671" i="3" s="1"/>
  <c r="LGH671" i="3" s="1"/>
  <c r="LGG671" i="3" s="1"/>
  <c r="LGF671" i="3" s="1"/>
  <c r="LGE671" i="3" s="1"/>
  <c r="LGD671" i="3" s="1"/>
  <c r="LGC671" i="3" s="1"/>
  <c r="LGB671" i="3" s="1"/>
  <c r="LGA671" i="3" s="1"/>
  <c r="LFZ671" i="3" s="1"/>
  <c r="LFY671" i="3" s="1"/>
  <c r="LFX671" i="3" s="1"/>
  <c r="LFW671" i="3" s="1"/>
  <c r="LFV671" i="3" s="1"/>
  <c r="LFU671" i="3" s="1"/>
  <c r="LFT671" i="3" s="1"/>
  <c r="LFS671" i="3" s="1"/>
  <c r="LFR671" i="3" s="1"/>
  <c r="LFQ671" i="3" s="1"/>
  <c r="LFP671" i="3" s="1"/>
  <c r="LFO671" i="3" s="1"/>
  <c r="LFN671" i="3" s="1"/>
  <c r="LFM671" i="3" s="1"/>
  <c r="LFL671" i="3" s="1"/>
  <c r="LFK671" i="3" s="1"/>
  <c r="LFJ671" i="3" s="1"/>
  <c r="LFI671" i="3" s="1"/>
  <c r="LFH671" i="3" s="1"/>
  <c r="LFG671" i="3" s="1"/>
  <c r="LFF671" i="3" s="1"/>
  <c r="LFE671" i="3" s="1"/>
  <c r="LFD671" i="3" s="1"/>
  <c r="LFC671" i="3" s="1"/>
  <c r="LFB671" i="3" s="1"/>
  <c r="LFA671" i="3" s="1"/>
  <c r="LEZ671" i="3" s="1"/>
  <c r="LEY671" i="3" s="1"/>
  <c r="LEX671" i="3" s="1"/>
  <c r="LEW671" i="3" s="1"/>
  <c r="LEV671" i="3" s="1"/>
  <c r="LEU671" i="3" s="1"/>
  <c r="LET671" i="3" s="1"/>
  <c r="LES671" i="3" s="1"/>
  <c r="LER671" i="3" s="1"/>
  <c r="LEQ671" i="3" s="1"/>
  <c r="LEP671" i="3" s="1"/>
  <c r="LEO671" i="3" s="1"/>
  <c r="LEN671" i="3" s="1"/>
  <c r="LEM671" i="3" s="1"/>
  <c r="LEL671" i="3" s="1"/>
  <c r="LEK671" i="3" s="1"/>
  <c r="LEJ671" i="3" s="1"/>
  <c r="LEI671" i="3" s="1"/>
  <c r="LEH671" i="3" s="1"/>
  <c r="LEG671" i="3" s="1"/>
  <c r="LEF671" i="3" s="1"/>
  <c r="LEE671" i="3" s="1"/>
  <c r="LED671" i="3" s="1"/>
  <c r="LEC671" i="3" s="1"/>
  <c r="LEB671" i="3" s="1"/>
  <c r="LEA671" i="3" s="1"/>
  <c r="LDZ671" i="3" s="1"/>
  <c r="LDY671" i="3" s="1"/>
  <c r="LDX671" i="3" s="1"/>
  <c r="LDW671" i="3" s="1"/>
  <c r="LDV671" i="3" s="1"/>
  <c r="LDU671" i="3" s="1"/>
  <c r="LDT671" i="3" s="1"/>
  <c r="LDS671" i="3" s="1"/>
  <c r="LDR671" i="3" s="1"/>
  <c r="LDQ671" i="3" s="1"/>
  <c r="LDP671" i="3" s="1"/>
  <c r="LDO671" i="3" s="1"/>
  <c r="LDN671" i="3" s="1"/>
  <c r="LDM671" i="3" s="1"/>
  <c r="LDL671" i="3" s="1"/>
  <c r="LDK671" i="3" s="1"/>
  <c r="LDJ671" i="3" s="1"/>
  <c r="LDI671" i="3" s="1"/>
  <c r="LDH671" i="3" s="1"/>
  <c r="LDG671" i="3" s="1"/>
  <c r="LDF671" i="3" s="1"/>
  <c r="LDE671" i="3" s="1"/>
  <c r="LDD671" i="3" s="1"/>
  <c r="LDC671" i="3" s="1"/>
  <c r="LDB671" i="3" s="1"/>
  <c r="LDA671" i="3" s="1"/>
  <c r="LCZ671" i="3" s="1"/>
  <c r="LCY671" i="3" s="1"/>
  <c r="LCX671" i="3" s="1"/>
  <c r="LCW671" i="3" s="1"/>
  <c r="LCV671" i="3" s="1"/>
  <c r="LCU671" i="3" s="1"/>
  <c r="LCT671" i="3" s="1"/>
  <c r="LCS671" i="3" s="1"/>
  <c r="LCR671" i="3" s="1"/>
  <c r="LCQ671" i="3" s="1"/>
  <c r="LCP671" i="3" s="1"/>
  <c r="LCO671" i="3" s="1"/>
  <c r="LCN671" i="3" s="1"/>
  <c r="LCM671" i="3" s="1"/>
  <c r="LCL671" i="3" s="1"/>
  <c r="LCK671" i="3" s="1"/>
  <c r="LCJ671" i="3" s="1"/>
  <c r="LCI671" i="3" s="1"/>
  <c r="LCH671" i="3" s="1"/>
  <c r="LCG671" i="3" s="1"/>
  <c r="LCF671" i="3" s="1"/>
  <c r="LCE671" i="3" s="1"/>
  <c r="LCD671" i="3" s="1"/>
  <c r="LCC671" i="3" s="1"/>
  <c r="LCB671" i="3" s="1"/>
  <c r="LCA671" i="3" s="1"/>
  <c r="LBZ671" i="3" s="1"/>
  <c r="LBY671" i="3" s="1"/>
  <c r="LBX671" i="3" s="1"/>
  <c r="LBW671" i="3" s="1"/>
  <c r="LBV671" i="3" s="1"/>
  <c r="LBU671" i="3" s="1"/>
  <c r="LBT671" i="3" s="1"/>
  <c r="LBS671" i="3" s="1"/>
  <c r="LBR671" i="3" s="1"/>
  <c r="LBQ671" i="3" s="1"/>
  <c r="LBP671" i="3" s="1"/>
  <c r="LBO671" i="3" s="1"/>
  <c r="LBN671" i="3" s="1"/>
  <c r="LBM671" i="3" s="1"/>
  <c r="LBL671" i="3" s="1"/>
  <c r="LBK671" i="3" s="1"/>
  <c r="LBJ671" i="3" s="1"/>
  <c r="LBI671" i="3" s="1"/>
  <c r="LBH671" i="3" s="1"/>
  <c r="LBG671" i="3" s="1"/>
  <c r="LBF671" i="3" s="1"/>
  <c r="LBE671" i="3" s="1"/>
  <c r="LBD671" i="3" s="1"/>
  <c r="LBC671" i="3" s="1"/>
  <c r="LBB671" i="3" s="1"/>
  <c r="LBA671" i="3" s="1"/>
  <c r="LAZ671" i="3" s="1"/>
  <c r="LAY671" i="3" s="1"/>
  <c r="LAX671" i="3" s="1"/>
  <c r="LAW671" i="3" s="1"/>
  <c r="LAV671" i="3" s="1"/>
  <c r="LAU671" i="3" s="1"/>
  <c r="LAT671" i="3" s="1"/>
  <c r="LAS671" i="3" s="1"/>
  <c r="LAR671" i="3" s="1"/>
  <c r="LAQ671" i="3" s="1"/>
  <c r="LAP671" i="3" s="1"/>
  <c r="LAO671" i="3" s="1"/>
  <c r="LAN671" i="3" s="1"/>
  <c r="LAM671" i="3" s="1"/>
  <c r="LAL671" i="3" s="1"/>
  <c r="LAK671" i="3" s="1"/>
  <c r="LAJ671" i="3" s="1"/>
  <c r="LAI671" i="3" s="1"/>
  <c r="LAH671" i="3" s="1"/>
  <c r="LAG671" i="3" s="1"/>
  <c r="LAF671" i="3" s="1"/>
  <c r="LAE671" i="3" s="1"/>
  <c r="LAD671" i="3" s="1"/>
  <c r="LAC671" i="3" s="1"/>
  <c r="LAB671" i="3" s="1"/>
  <c r="LAA671" i="3" s="1"/>
  <c r="KZZ671" i="3" s="1"/>
  <c r="KZY671" i="3" s="1"/>
  <c r="KZX671" i="3" s="1"/>
  <c r="KZW671" i="3" s="1"/>
  <c r="KZV671" i="3" s="1"/>
  <c r="KZU671" i="3" s="1"/>
  <c r="KZT671" i="3" s="1"/>
  <c r="KZS671" i="3" s="1"/>
  <c r="KZR671" i="3" s="1"/>
  <c r="KZQ671" i="3" s="1"/>
  <c r="KZP671" i="3" s="1"/>
  <c r="KZO671" i="3" s="1"/>
  <c r="KZN671" i="3" s="1"/>
  <c r="KZM671" i="3" s="1"/>
  <c r="KZL671" i="3" s="1"/>
  <c r="KZK671" i="3" s="1"/>
  <c r="KZJ671" i="3" s="1"/>
  <c r="KZI671" i="3" s="1"/>
  <c r="KZH671" i="3" s="1"/>
  <c r="KZG671" i="3" s="1"/>
  <c r="KZF671" i="3" s="1"/>
  <c r="KZE671" i="3" s="1"/>
  <c r="KZD671" i="3" s="1"/>
  <c r="KZC671" i="3" s="1"/>
  <c r="KZB671" i="3" s="1"/>
  <c r="KZA671" i="3" s="1"/>
  <c r="KYZ671" i="3" s="1"/>
  <c r="KYY671" i="3" s="1"/>
  <c r="KYX671" i="3" s="1"/>
  <c r="KYW671" i="3" s="1"/>
  <c r="KYV671" i="3" s="1"/>
  <c r="KYU671" i="3" s="1"/>
  <c r="KYT671" i="3" s="1"/>
  <c r="KYS671" i="3" s="1"/>
  <c r="KYR671" i="3" s="1"/>
  <c r="KYQ671" i="3" s="1"/>
  <c r="KYP671" i="3" s="1"/>
  <c r="KYO671" i="3" s="1"/>
  <c r="KYN671" i="3" s="1"/>
  <c r="KYM671" i="3" s="1"/>
  <c r="KYL671" i="3" s="1"/>
  <c r="KYK671" i="3" s="1"/>
  <c r="KYJ671" i="3" s="1"/>
  <c r="KYI671" i="3" s="1"/>
  <c r="KYH671" i="3" s="1"/>
  <c r="KYG671" i="3" s="1"/>
  <c r="KYF671" i="3" s="1"/>
  <c r="KYE671" i="3" s="1"/>
  <c r="KYD671" i="3" s="1"/>
  <c r="KYC671" i="3" s="1"/>
  <c r="KYB671" i="3" s="1"/>
  <c r="KYA671" i="3" s="1"/>
  <c r="KXZ671" i="3" s="1"/>
  <c r="KXY671" i="3" s="1"/>
  <c r="KXX671" i="3" s="1"/>
  <c r="KXW671" i="3" s="1"/>
  <c r="KXV671" i="3" s="1"/>
  <c r="KXU671" i="3" s="1"/>
  <c r="KXT671" i="3" s="1"/>
  <c r="KXS671" i="3" s="1"/>
  <c r="KXR671" i="3" s="1"/>
  <c r="KXQ671" i="3" s="1"/>
  <c r="KXP671" i="3" s="1"/>
  <c r="KXO671" i="3" s="1"/>
  <c r="KXN671" i="3" s="1"/>
  <c r="KXM671" i="3" s="1"/>
  <c r="KXL671" i="3" s="1"/>
  <c r="KXK671" i="3" s="1"/>
  <c r="KXJ671" i="3" s="1"/>
  <c r="KXI671" i="3" s="1"/>
  <c r="KXH671" i="3" s="1"/>
  <c r="KXG671" i="3" s="1"/>
  <c r="KXF671" i="3" s="1"/>
  <c r="KXE671" i="3" s="1"/>
  <c r="KXD671" i="3" s="1"/>
  <c r="KXC671" i="3" s="1"/>
  <c r="KXB671" i="3" s="1"/>
  <c r="KXA671" i="3" s="1"/>
  <c r="KWZ671" i="3" s="1"/>
  <c r="KWY671" i="3" s="1"/>
  <c r="KWX671" i="3" s="1"/>
  <c r="KWW671" i="3" s="1"/>
  <c r="KWV671" i="3" s="1"/>
  <c r="KWU671" i="3" s="1"/>
  <c r="KWT671" i="3" s="1"/>
  <c r="KWS671" i="3" s="1"/>
  <c r="KWR671" i="3" s="1"/>
  <c r="KWQ671" i="3" s="1"/>
  <c r="KWP671" i="3" s="1"/>
  <c r="KWO671" i="3" s="1"/>
  <c r="KWN671" i="3" s="1"/>
  <c r="KWM671" i="3" s="1"/>
  <c r="KWL671" i="3" s="1"/>
  <c r="KWK671" i="3" s="1"/>
  <c r="KWJ671" i="3" s="1"/>
  <c r="KWI671" i="3" s="1"/>
  <c r="KWH671" i="3" s="1"/>
  <c r="KWG671" i="3" s="1"/>
  <c r="KWF671" i="3" s="1"/>
  <c r="KWE671" i="3" s="1"/>
  <c r="KWD671" i="3" s="1"/>
  <c r="KWC671" i="3" s="1"/>
  <c r="KWB671" i="3" s="1"/>
  <c r="KWA671" i="3" s="1"/>
  <c r="KVZ671" i="3" s="1"/>
  <c r="KVY671" i="3" s="1"/>
  <c r="KVX671" i="3" s="1"/>
  <c r="KVW671" i="3" s="1"/>
  <c r="KVV671" i="3" s="1"/>
  <c r="KVU671" i="3" s="1"/>
  <c r="KVT671" i="3" s="1"/>
  <c r="KVS671" i="3" s="1"/>
  <c r="KVR671" i="3" s="1"/>
  <c r="KVQ671" i="3" s="1"/>
  <c r="KVP671" i="3" s="1"/>
  <c r="KVO671" i="3" s="1"/>
  <c r="KVN671" i="3" s="1"/>
  <c r="KVM671" i="3" s="1"/>
  <c r="KVL671" i="3" s="1"/>
  <c r="KVK671" i="3" s="1"/>
  <c r="KVJ671" i="3" s="1"/>
  <c r="KVI671" i="3" s="1"/>
  <c r="KVH671" i="3" s="1"/>
  <c r="KVG671" i="3" s="1"/>
  <c r="KVF671" i="3" s="1"/>
  <c r="KVE671" i="3" s="1"/>
  <c r="KVD671" i="3" s="1"/>
  <c r="KVC671" i="3" s="1"/>
  <c r="KVB671" i="3" s="1"/>
  <c r="KVA671" i="3" s="1"/>
  <c r="KUZ671" i="3" s="1"/>
  <c r="KUY671" i="3" s="1"/>
  <c r="KUX671" i="3" s="1"/>
  <c r="KUW671" i="3" s="1"/>
  <c r="KUV671" i="3" s="1"/>
  <c r="KUU671" i="3" s="1"/>
  <c r="KUT671" i="3" s="1"/>
  <c r="KUS671" i="3" s="1"/>
  <c r="KUR671" i="3" s="1"/>
  <c r="KUQ671" i="3" s="1"/>
  <c r="KUP671" i="3" s="1"/>
  <c r="KUO671" i="3" s="1"/>
  <c r="KUN671" i="3" s="1"/>
  <c r="KUM671" i="3" s="1"/>
  <c r="KUL671" i="3" s="1"/>
  <c r="KUK671" i="3" s="1"/>
  <c r="KUJ671" i="3" s="1"/>
  <c r="KUI671" i="3" s="1"/>
  <c r="KUH671" i="3" s="1"/>
  <c r="KUG671" i="3" s="1"/>
  <c r="KUF671" i="3" s="1"/>
  <c r="KUE671" i="3" s="1"/>
  <c r="KUD671" i="3" s="1"/>
  <c r="KUC671" i="3" s="1"/>
  <c r="KUB671" i="3" s="1"/>
  <c r="KUA671" i="3" s="1"/>
  <c r="KTZ671" i="3" s="1"/>
  <c r="KTY671" i="3" s="1"/>
  <c r="KTX671" i="3" s="1"/>
  <c r="KTW671" i="3" s="1"/>
  <c r="KTV671" i="3" s="1"/>
  <c r="KTU671" i="3" s="1"/>
  <c r="KTT671" i="3" s="1"/>
  <c r="KTS671" i="3" s="1"/>
  <c r="KTR671" i="3" s="1"/>
  <c r="KTQ671" i="3" s="1"/>
  <c r="KTP671" i="3" s="1"/>
  <c r="KTO671" i="3" s="1"/>
  <c r="KTN671" i="3" s="1"/>
  <c r="KTM671" i="3" s="1"/>
  <c r="KTL671" i="3" s="1"/>
  <c r="KTK671" i="3" s="1"/>
  <c r="KTJ671" i="3" s="1"/>
  <c r="KTI671" i="3" s="1"/>
  <c r="KTH671" i="3" s="1"/>
  <c r="KTG671" i="3" s="1"/>
  <c r="KTF671" i="3" s="1"/>
  <c r="KTE671" i="3" s="1"/>
  <c r="KTD671" i="3" s="1"/>
  <c r="KTC671" i="3" s="1"/>
  <c r="KTB671" i="3" s="1"/>
  <c r="KTA671" i="3" s="1"/>
  <c r="KSZ671" i="3" s="1"/>
  <c r="KSY671" i="3" s="1"/>
  <c r="KSX671" i="3" s="1"/>
  <c r="KSW671" i="3" s="1"/>
  <c r="KSV671" i="3" s="1"/>
  <c r="KSU671" i="3" s="1"/>
  <c r="KST671" i="3" s="1"/>
  <c r="KSS671" i="3" s="1"/>
  <c r="KSR671" i="3" s="1"/>
  <c r="KSQ671" i="3" s="1"/>
  <c r="KSP671" i="3" s="1"/>
  <c r="KSO671" i="3" s="1"/>
  <c r="KSN671" i="3" s="1"/>
  <c r="KSM671" i="3" s="1"/>
  <c r="KSL671" i="3" s="1"/>
  <c r="KSK671" i="3" s="1"/>
  <c r="KSJ671" i="3" s="1"/>
  <c r="KSI671" i="3" s="1"/>
  <c r="KSH671" i="3" s="1"/>
  <c r="KSG671" i="3" s="1"/>
  <c r="KSF671" i="3" s="1"/>
  <c r="KSE671" i="3" s="1"/>
  <c r="KSD671" i="3" s="1"/>
  <c r="KSC671" i="3" s="1"/>
  <c r="KSB671" i="3" s="1"/>
  <c r="KSA671" i="3" s="1"/>
  <c r="KRZ671" i="3" s="1"/>
  <c r="KRY671" i="3" s="1"/>
  <c r="KRX671" i="3" s="1"/>
  <c r="KRW671" i="3" s="1"/>
  <c r="KRV671" i="3" s="1"/>
  <c r="KRU671" i="3" s="1"/>
  <c r="KRT671" i="3" s="1"/>
  <c r="KRS671" i="3" s="1"/>
  <c r="KRR671" i="3" s="1"/>
  <c r="KRQ671" i="3" s="1"/>
  <c r="KRP671" i="3" s="1"/>
  <c r="KRO671" i="3" s="1"/>
  <c r="KRN671" i="3" s="1"/>
  <c r="KRM671" i="3" s="1"/>
  <c r="KRL671" i="3" s="1"/>
  <c r="KRK671" i="3" s="1"/>
  <c r="KRJ671" i="3" s="1"/>
  <c r="KRI671" i="3" s="1"/>
  <c r="KRH671" i="3" s="1"/>
  <c r="KRG671" i="3" s="1"/>
  <c r="KRF671" i="3" s="1"/>
  <c r="KRE671" i="3" s="1"/>
  <c r="KRD671" i="3" s="1"/>
  <c r="KRC671" i="3" s="1"/>
  <c r="KRB671" i="3" s="1"/>
  <c r="KRA671" i="3" s="1"/>
  <c r="KQZ671" i="3" s="1"/>
  <c r="KQY671" i="3" s="1"/>
  <c r="KQX671" i="3" s="1"/>
  <c r="KQW671" i="3" s="1"/>
  <c r="KQV671" i="3" s="1"/>
  <c r="KQU671" i="3" s="1"/>
  <c r="KQT671" i="3" s="1"/>
  <c r="KQS671" i="3" s="1"/>
  <c r="KQR671" i="3" s="1"/>
  <c r="KQQ671" i="3" s="1"/>
  <c r="KQP671" i="3" s="1"/>
  <c r="KQO671" i="3" s="1"/>
  <c r="KQN671" i="3" s="1"/>
  <c r="KQM671" i="3" s="1"/>
  <c r="KQL671" i="3" s="1"/>
  <c r="KQK671" i="3" s="1"/>
  <c r="KQJ671" i="3" s="1"/>
  <c r="KQI671" i="3" s="1"/>
  <c r="KQH671" i="3" s="1"/>
  <c r="KQG671" i="3" s="1"/>
  <c r="KQF671" i="3" s="1"/>
  <c r="KQE671" i="3" s="1"/>
  <c r="KQD671" i="3" s="1"/>
  <c r="KQC671" i="3" s="1"/>
  <c r="KQB671" i="3" s="1"/>
  <c r="KQA671" i="3" s="1"/>
  <c r="KPZ671" i="3" s="1"/>
  <c r="KPY671" i="3" s="1"/>
  <c r="KPX671" i="3" s="1"/>
  <c r="KPW671" i="3" s="1"/>
  <c r="KPV671" i="3" s="1"/>
  <c r="KPU671" i="3" s="1"/>
  <c r="KPT671" i="3" s="1"/>
  <c r="KPS671" i="3" s="1"/>
  <c r="KPR671" i="3" s="1"/>
  <c r="KPQ671" i="3" s="1"/>
  <c r="KPP671" i="3" s="1"/>
  <c r="KPO671" i="3" s="1"/>
  <c r="KPN671" i="3" s="1"/>
  <c r="KPM671" i="3" s="1"/>
  <c r="KPL671" i="3" s="1"/>
  <c r="KPK671" i="3" s="1"/>
  <c r="KPJ671" i="3" s="1"/>
  <c r="KPI671" i="3" s="1"/>
  <c r="KPH671" i="3" s="1"/>
  <c r="KPG671" i="3" s="1"/>
  <c r="KPF671" i="3" s="1"/>
  <c r="KPE671" i="3" s="1"/>
  <c r="KPD671" i="3" s="1"/>
  <c r="KPC671" i="3" s="1"/>
  <c r="KPB671" i="3" s="1"/>
  <c r="KPA671" i="3" s="1"/>
  <c r="KOZ671" i="3" s="1"/>
  <c r="KOY671" i="3" s="1"/>
  <c r="KOX671" i="3" s="1"/>
  <c r="KOW671" i="3" s="1"/>
  <c r="KOV671" i="3" s="1"/>
  <c r="KOU671" i="3" s="1"/>
  <c r="KOT671" i="3" s="1"/>
  <c r="KOS671" i="3" s="1"/>
  <c r="KOR671" i="3" s="1"/>
  <c r="KOQ671" i="3" s="1"/>
  <c r="KOP671" i="3" s="1"/>
  <c r="KOO671" i="3" s="1"/>
  <c r="KON671" i="3" s="1"/>
  <c r="KOM671" i="3" s="1"/>
  <c r="KOL671" i="3" s="1"/>
  <c r="KOK671" i="3" s="1"/>
  <c r="KOJ671" i="3" s="1"/>
  <c r="KOI671" i="3" s="1"/>
  <c r="KOH671" i="3" s="1"/>
  <c r="KOG671" i="3" s="1"/>
  <c r="KOF671" i="3" s="1"/>
  <c r="KOE671" i="3" s="1"/>
  <c r="KOD671" i="3" s="1"/>
  <c r="KOC671" i="3" s="1"/>
  <c r="KOB671" i="3" s="1"/>
  <c r="KOA671" i="3" s="1"/>
  <c r="KNZ671" i="3" s="1"/>
  <c r="KNY671" i="3" s="1"/>
  <c r="KNX671" i="3" s="1"/>
  <c r="KNW671" i="3" s="1"/>
  <c r="KNV671" i="3" s="1"/>
  <c r="KNU671" i="3" s="1"/>
  <c r="KNT671" i="3" s="1"/>
  <c r="KNS671" i="3" s="1"/>
  <c r="KNR671" i="3" s="1"/>
  <c r="KNQ671" i="3" s="1"/>
  <c r="KNP671" i="3" s="1"/>
  <c r="KNO671" i="3" s="1"/>
  <c r="KNN671" i="3" s="1"/>
  <c r="KNM671" i="3" s="1"/>
  <c r="KNL671" i="3" s="1"/>
  <c r="KNK671" i="3" s="1"/>
  <c r="KNJ671" i="3" s="1"/>
  <c r="KNI671" i="3" s="1"/>
  <c r="KNH671" i="3" s="1"/>
  <c r="KNG671" i="3" s="1"/>
  <c r="KNF671" i="3" s="1"/>
  <c r="KNE671" i="3" s="1"/>
  <c r="KND671" i="3" s="1"/>
  <c r="KNC671" i="3" s="1"/>
  <c r="KNB671" i="3" s="1"/>
  <c r="KNA671" i="3" s="1"/>
  <c r="KMZ671" i="3" s="1"/>
  <c r="KMY671" i="3" s="1"/>
  <c r="KMX671" i="3" s="1"/>
  <c r="KMW671" i="3" s="1"/>
  <c r="KMV671" i="3" s="1"/>
  <c r="KMU671" i="3" s="1"/>
  <c r="KMT671" i="3" s="1"/>
  <c r="KMS671" i="3" s="1"/>
  <c r="KMR671" i="3" s="1"/>
  <c r="KMQ671" i="3" s="1"/>
  <c r="KMP671" i="3" s="1"/>
  <c r="KMO671" i="3" s="1"/>
  <c r="KMN671" i="3" s="1"/>
  <c r="KMM671" i="3" s="1"/>
  <c r="KML671" i="3" s="1"/>
  <c r="KMK671" i="3" s="1"/>
  <c r="KMJ671" i="3" s="1"/>
  <c r="KMI671" i="3" s="1"/>
  <c r="KMH671" i="3" s="1"/>
  <c r="KMG671" i="3" s="1"/>
  <c r="KMF671" i="3" s="1"/>
  <c r="KME671" i="3" s="1"/>
  <c r="KMD671" i="3" s="1"/>
  <c r="KMC671" i="3" s="1"/>
  <c r="KMB671" i="3" s="1"/>
  <c r="KMA671" i="3" s="1"/>
  <c r="KLZ671" i="3" s="1"/>
  <c r="KLY671" i="3" s="1"/>
  <c r="KLX671" i="3" s="1"/>
  <c r="KLW671" i="3" s="1"/>
  <c r="KLV671" i="3" s="1"/>
  <c r="KLU671" i="3" s="1"/>
  <c r="KLT671" i="3" s="1"/>
  <c r="KLS671" i="3" s="1"/>
  <c r="KLR671" i="3" s="1"/>
  <c r="KLQ671" i="3" s="1"/>
  <c r="KLP671" i="3" s="1"/>
  <c r="KLO671" i="3" s="1"/>
  <c r="KLN671" i="3" s="1"/>
  <c r="KLM671" i="3" s="1"/>
  <c r="KLL671" i="3" s="1"/>
  <c r="KLK671" i="3" s="1"/>
  <c r="KLJ671" i="3" s="1"/>
  <c r="KLI671" i="3" s="1"/>
  <c r="KLH671" i="3" s="1"/>
  <c r="KLG671" i="3" s="1"/>
  <c r="KLF671" i="3" s="1"/>
  <c r="KLE671" i="3" s="1"/>
  <c r="KLD671" i="3" s="1"/>
  <c r="KLC671" i="3" s="1"/>
  <c r="KLB671" i="3" s="1"/>
  <c r="KLA671" i="3" s="1"/>
  <c r="KKZ671" i="3" s="1"/>
  <c r="KKY671" i="3" s="1"/>
  <c r="KKX671" i="3" s="1"/>
  <c r="KKW671" i="3" s="1"/>
  <c r="KKV671" i="3" s="1"/>
  <c r="KKU671" i="3" s="1"/>
  <c r="KKT671" i="3" s="1"/>
  <c r="KKS671" i="3" s="1"/>
  <c r="KKR671" i="3" s="1"/>
  <c r="KKQ671" i="3" s="1"/>
  <c r="KKP671" i="3" s="1"/>
  <c r="KKO671" i="3" s="1"/>
  <c r="KKN671" i="3" s="1"/>
  <c r="KKM671" i="3" s="1"/>
  <c r="KKL671" i="3" s="1"/>
  <c r="KKK671" i="3" s="1"/>
  <c r="KKJ671" i="3" s="1"/>
  <c r="KKI671" i="3" s="1"/>
  <c r="KKH671" i="3" s="1"/>
  <c r="KKG671" i="3" s="1"/>
  <c r="KKF671" i="3" s="1"/>
  <c r="KKE671" i="3" s="1"/>
  <c r="KKD671" i="3" s="1"/>
  <c r="KKC671" i="3" s="1"/>
  <c r="KKB671" i="3" s="1"/>
  <c r="KKA671" i="3" s="1"/>
  <c r="KJZ671" i="3" s="1"/>
  <c r="KJY671" i="3" s="1"/>
  <c r="KJX671" i="3" s="1"/>
  <c r="KJW671" i="3" s="1"/>
  <c r="KJV671" i="3" s="1"/>
  <c r="KJU671" i="3" s="1"/>
  <c r="KJT671" i="3" s="1"/>
  <c r="KJS671" i="3" s="1"/>
  <c r="KJR671" i="3" s="1"/>
  <c r="KJQ671" i="3" s="1"/>
  <c r="KJP671" i="3" s="1"/>
  <c r="KJO671" i="3" s="1"/>
  <c r="KJN671" i="3" s="1"/>
  <c r="KJM671" i="3" s="1"/>
  <c r="KJL671" i="3" s="1"/>
  <c r="KJK671" i="3" s="1"/>
  <c r="KJJ671" i="3" s="1"/>
  <c r="KJI671" i="3" s="1"/>
  <c r="KJH671" i="3" s="1"/>
  <c r="KJG671" i="3" s="1"/>
  <c r="KJF671" i="3" s="1"/>
  <c r="KJE671" i="3" s="1"/>
  <c r="KJD671" i="3" s="1"/>
  <c r="KJC671" i="3" s="1"/>
  <c r="KJB671" i="3" s="1"/>
  <c r="KJA671" i="3" s="1"/>
  <c r="KIZ671" i="3" s="1"/>
  <c r="KIY671" i="3" s="1"/>
  <c r="KIX671" i="3" s="1"/>
  <c r="KIW671" i="3" s="1"/>
  <c r="KIV671" i="3" s="1"/>
  <c r="KIU671" i="3" s="1"/>
  <c r="KIT671" i="3" s="1"/>
  <c r="KIS671" i="3" s="1"/>
  <c r="KIR671" i="3" s="1"/>
  <c r="KIQ671" i="3" s="1"/>
  <c r="KIP671" i="3" s="1"/>
  <c r="KIO671" i="3" s="1"/>
  <c r="KIN671" i="3" s="1"/>
  <c r="KIM671" i="3" s="1"/>
  <c r="KIL671" i="3" s="1"/>
  <c r="KIK671" i="3" s="1"/>
  <c r="KIJ671" i="3" s="1"/>
  <c r="KII671" i="3" s="1"/>
  <c r="KIH671" i="3" s="1"/>
  <c r="KIG671" i="3" s="1"/>
  <c r="KIF671" i="3" s="1"/>
  <c r="KIE671" i="3" s="1"/>
  <c r="KID671" i="3" s="1"/>
  <c r="KIC671" i="3" s="1"/>
  <c r="KIB671" i="3" s="1"/>
  <c r="KIA671" i="3" s="1"/>
  <c r="KHZ671" i="3" s="1"/>
  <c r="KHY671" i="3" s="1"/>
  <c r="KHX671" i="3" s="1"/>
  <c r="KHW671" i="3" s="1"/>
  <c r="KHV671" i="3" s="1"/>
  <c r="KHU671" i="3" s="1"/>
  <c r="KHT671" i="3" s="1"/>
  <c r="KHS671" i="3" s="1"/>
  <c r="KHR671" i="3" s="1"/>
  <c r="KHQ671" i="3" s="1"/>
  <c r="KHP671" i="3" s="1"/>
  <c r="KHO671" i="3" s="1"/>
  <c r="KHN671" i="3" s="1"/>
  <c r="KHM671" i="3" s="1"/>
  <c r="KHL671" i="3" s="1"/>
  <c r="KHK671" i="3" s="1"/>
  <c r="KHJ671" i="3" s="1"/>
  <c r="KHI671" i="3" s="1"/>
  <c r="KHH671" i="3" s="1"/>
  <c r="KHG671" i="3" s="1"/>
  <c r="KHF671" i="3" s="1"/>
  <c r="KHE671" i="3" s="1"/>
  <c r="KHD671" i="3" s="1"/>
  <c r="KHC671" i="3" s="1"/>
  <c r="KHB671" i="3" s="1"/>
  <c r="KHA671" i="3" s="1"/>
  <c r="KGZ671" i="3" s="1"/>
  <c r="KGY671" i="3" s="1"/>
  <c r="KGX671" i="3" s="1"/>
  <c r="KGW671" i="3" s="1"/>
  <c r="KGV671" i="3" s="1"/>
  <c r="KGU671" i="3" s="1"/>
  <c r="KGT671" i="3" s="1"/>
  <c r="KGS671" i="3" s="1"/>
  <c r="KGR671" i="3" s="1"/>
  <c r="KGQ671" i="3" s="1"/>
  <c r="KGP671" i="3" s="1"/>
  <c r="KGO671" i="3" s="1"/>
  <c r="KGN671" i="3" s="1"/>
  <c r="KGM671" i="3" s="1"/>
  <c r="KGL671" i="3" s="1"/>
  <c r="KGK671" i="3" s="1"/>
  <c r="KGJ671" i="3" s="1"/>
  <c r="KGI671" i="3" s="1"/>
  <c r="KGH671" i="3" s="1"/>
  <c r="KGG671" i="3" s="1"/>
  <c r="KGF671" i="3" s="1"/>
  <c r="KGE671" i="3" s="1"/>
  <c r="KGD671" i="3" s="1"/>
  <c r="KGC671" i="3" s="1"/>
  <c r="KGB671" i="3" s="1"/>
  <c r="KGA671" i="3" s="1"/>
  <c r="KFZ671" i="3" s="1"/>
  <c r="KFY671" i="3" s="1"/>
  <c r="KFX671" i="3" s="1"/>
  <c r="KFW671" i="3" s="1"/>
  <c r="KFV671" i="3" s="1"/>
  <c r="KFU671" i="3" s="1"/>
  <c r="KFT671" i="3" s="1"/>
  <c r="KFS671" i="3" s="1"/>
  <c r="KFR671" i="3" s="1"/>
  <c r="KFQ671" i="3" s="1"/>
  <c r="KFP671" i="3" s="1"/>
  <c r="KFO671" i="3" s="1"/>
  <c r="KFN671" i="3" s="1"/>
  <c r="KFM671" i="3" s="1"/>
  <c r="KFL671" i="3" s="1"/>
  <c r="KFK671" i="3" s="1"/>
  <c r="KFJ671" i="3" s="1"/>
  <c r="KFI671" i="3" s="1"/>
  <c r="KFH671" i="3" s="1"/>
  <c r="KFG671" i="3" s="1"/>
  <c r="KFF671" i="3" s="1"/>
  <c r="KFE671" i="3" s="1"/>
  <c r="KFD671" i="3" s="1"/>
  <c r="KFC671" i="3" s="1"/>
  <c r="KFB671" i="3" s="1"/>
  <c r="KFA671" i="3" s="1"/>
  <c r="KEZ671" i="3" s="1"/>
  <c r="KEY671" i="3" s="1"/>
  <c r="KEX671" i="3" s="1"/>
  <c r="KEW671" i="3" s="1"/>
  <c r="KEV671" i="3" s="1"/>
  <c r="KEU671" i="3" s="1"/>
  <c r="KET671" i="3" s="1"/>
  <c r="KES671" i="3" s="1"/>
  <c r="KER671" i="3" s="1"/>
  <c r="KEQ671" i="3" s="1"/>
  <c r="KEP671" i="3" s="1"/>
  <c r="KEO671" i="3" s="1"/>
  <c r="KEN671" i="3" s="1"/>
  <c r="KEM671" i="3" s="1"/>
  <c r="KEL671" i="3" s="1"/>
  <c r="KEK671" i="3" s="1"/>
  <c r="KEJ671" i="3" s="1"/>
  <c r="KEI671" i="3" s="1"/>
  <c r="KEH671" i="3" s="1"/>
  <c r="KEG671" i="3" s="1"/>
  <c r="KEF671" i="3" s="1"/>
  <c r="KEE671" i="3" s="1"/>
  <c r="KED671" i="3" s="1"/>
  <c r="KEC671" i="3" s="1"/>
  <c r="KEB671" i="3" s="1"/>
  <c r="KEA671" i="3" s="1"/>
  <c r="KDZ671" i="3" s="1"/>
  <c r="KDY671" i="3" s="1"/>
  <c r="KDX671" i="3" s="1"/>
  <c r="KDW671" i="3" s="1"/>
  <c r="KDV671" i="3" s="1"/>
  <c r="KDU671" i="3" s="1"/>
  <c r="KDT671" i="3" s="1"/>
  <c r="KDS671" i="3" s="1"/>
  <c r="KDR671" i="3" s="1"/>
  <c r="KDQ671" i="3" s="1"/>
  <c r="KDP671" i="3" s="1"/>
  <c r="KDO671" i="3" s="1"/>
  <c r="KDN671" i="3" s="1"/>
  <c r="KDM671" i="3" s="1"/>
  <c r="KDL671" i="3" s="1"/>
  <c r="KDK671" i="3" s="1"/>
  <c r="KDJ671" i="3" s="1"/>
  <c r="KDI671" i="3" s="1"/>
  <c r="KDH671" i="3" s="1"/>
  <c r="KDG671" i="3" s="1"/>
  <c r="KDF671" i="3" s="1"/>
  <c r="KDE671" i="3" s="1"/>
  <c r="KDD671" i="3" s="1"/>
  <c r="KDC671" i="3" s="1"/>
  <c r="KDB671" i="3" s="1"/>
  <c r="KDA671" i="3" s="1"/>
  <c r="KCZ671" i="3" s="1"/>
  <c r="KCY671" i="3" s="1"/>
  <c r="KCX671" i="3" s="1"/>
  <c r="KCW671" i="3" s="1"/>
  <c r="KCV671" i="3" s="1"/>
  <c r="KCU671" i="3" s="1"/>
  <c r="KCT671" i="3" s="1"/>
  <c r="KCS671" i="3" s="1"/>
  <c r="KCR671" i="3" s="1"/>
  <c r="KCQ671" i="3" s="1"/>
  <c r="KCP671" i="3" s="1"/>
  <c r="KCO671" i="3" s="1"/>
  <c r="KCN671" i="3" s="1"/>
  <c r="KCM671" i="3" s="1"/>
  <c r="KCL671" i="3" s="1"/>
  <c r="KCK671" i="3" s="1"/>
  <c r="KCJ671" i="3" s="1"/>
  <c r="KCI671" i="3" s="1"/>
  <c r="KCH671" i="3" s="1"/>
  <c r="KCG671" i="3" s="1"/>
  <c r="KCF671" i="3" s="1"/>
  <c r="KCE671" i="3" s="1"/>
  <c r="KCD671" i="3" s="1"/>
  <c r="KCC671" i="3" s="1"/>
  <c r="KCB671" i="3" s="1"/>
  <c r="KCA671" i="3" s="1"/>
  <c r="KBZ671" i="3" s="1"/>
  <c r="KBY671" i="3" s="1"/>
  <c r="KBX671" i="3" s="1"/>
  <c r="KBW671" i="3" s="1"/>
  <c r="KBV671" i="3" s="1"/>
  <c r="KBU671" i="3" s="1"/>
  <c r="KBT671" i="3" s="1"/>
  <c r="KBS671" i="3" s="1"/>
  <c r="KBR671" i="3" s="1"/>
  <c r="KBQ671" i="3" s="1"/>
  <c r="KBP671" i="3" s="1"/>
  <c r="KBO671" i="3" s="1"/>
  <c r="KBN671" i="3" s="1"/>
  <c r="KBM671" i="3" s="1"/>
  <c r="KBL671" i="3" s="1"/>
  <c r="KBK671" i="3" s="1"/>
  <c r="KBJ671" i="3" s="1"/>
  <c r="KBI671" i="3" s="1"/>
  <c r="KBH671" i="3" s="1"/>
  <c r="KBG671" i="3" s="1"/>
  <c r="KBF671" i="3" s="1"/>
  <c r="KBE671" i="3" s="1"/>
  <c r="KBD671" i="3" s="1"/>
  <c r="KBC671" i="3" s="1"/>
  <c r="KBB671" i="3" s="1"/>
  <c r="KBA671" i="3" s="1"/>
  <c r="KAZ671" i="3" s="1"/>
  <c r="KAY671" i="3" s="1"/>
  <c r="KAX671" i="3" s="1"/>
  <c r="KAW671" i="3" s="1"/>
  <c r="KAV671" i="3" s="1"/>
  <c r="KAU671" i="3" s="1"/>
  <c r="KAT671" i="3" s="1"/>
  <c r="KAS671" i="3" s="1"/>
  <c r="KAR671" i="3" s="1"/>
  <c r="KAQ671" i="3" s="1"/>
  <c r="KAP671" i="3" s="1"/>
  <c r="KAO671" i="3" s="1"/>
  <c r="KAN671" i="3" s="1"/>
  <c r="KAM671" i="3" s="1"/>
  <c r="KAL671" i="3" s="1"/>
  <c r="KAK671" i="3" s="1"/>
  <c r="KAJ671" i="3" s="1"/>
  <c r="KAI671" i="3" s="1"/>
  <c r="KAH671" i="3" s="1"/>
  <c r="KAG671" i="3" s="1"/>
  <c r="KAF671" i="3" s="1"/>
  <c r="KAE671" i="3" s="1"/>
  <c r="KAD671" i="3" s="1"/>
  <c r="KAC671" i="3" s="1"/>
  <c r="KAB671" i="3" s="1"/>
  <c r="KAA671" i="3" s="1"/>
  <c r="JZZ671" i="3" s="1"/>
  <c r="JZY671" i="3" s="1"/>
  <c r="JZX671" i="3" s="1"/>
  <c r="JZW671" i="3" s="1"/>
  <c r="JZV671" i="3" s="1"/>
  <c r="JZU671" i="3" s="1"/>
  <c r="JZT671" i="3" s="1"/>
  <c r="JZS671" i="3" s="1"/>
  <c r="JZR671" i="3" s="1"/>
  <c r="JZQ671" i="3" s="1"/>
  <c r="JZP671" i="3" s="1"/>
  <c r="JZO671" i="3" s="1"/>
  <c r="JZN671" i="3" s="1"/>
  <c r="JZM671" i="3" s="1"/>
  <c r="JZL671" i="3" s="1"/>
  <c r="JZK671" i="3" s="1"/>
  <c r="JZJ671" i="3" s="1"/>
  <c r="JZI671" i="3" s="1"/>
  <c r="JZH671" i="3" s="1"/>
  <c r="JZG671" i="3" s="1"/>
  <c r="JZF671" i="3" s="1"/>
  <c r="JZE671" i="3" s="1"/>
  <c r="JZD671" i="3" s="1"/>
  <c r="JZC671" i="3" s="1"/>
  <c r="JZB671" i="3" s="1"/>
  <c r="JZA671" i="3" s="1"/>
  <c r="JYZ671" i="3" s="1"/>
  <c r="JYY671" i="3" s="1"/>
  <c r="JYX671" i="3" s="1"/>
  <c r="JYW671" i="3" s="1"/>
  <c r="JYV671" i="3" s="1"/>
  <c r="JYU671" i="3" s="1"/>
  <c r="JYT671" i="3" s="1"/>
  <c r="JYS671" i="3" s="1"/>
  <c r="JYR671" i="3" s="1"/>
  <c r="JYQ671" i="3" s="1"/>
  <c r="JYP671" i="3" s="1"/>
  <c r="JYO671" i="3" s="1"/>
  <c r="JYN671" i="3" s="1"/>
  <c r="JYM671" i="3" s="1"/>
  <c r="JYL671" i="3" s="1"/>
  <c r="JYK671" i="3" s="1"/>
  <c r="JYJ671" i="3" s="1"/>
  <c r="JYI671" i="3" s="1"/>
  <c r="JYH671" i="3" s="1"/>
  <c r="JYG671" i="3" s="1"/>
  <c r="JYF671" i="3" s="1"/>
  <c r="JYE671" i="3" s="1"/>
  <c r="JYD671" i="3" s="1"/>
  <c r="JYC671" i="3" s="1"/>
  <c r="JYB671" i="3" s="1"/>
  <c r="JYA671" i="3" s="1"/>
  <c r="JXZ671" i="3" s="1"/>
  <c r="JXY671" i="3" s="1"/>
  <c r="JXX671" i="3" s="1"/>
  <c r="JXW671" i="3" s="1"/>
  <c r="JXV671" i="3" s="1"/>
  <c r="JXU671" i="3" s="1"/>
  <c r="JXT671" i="3" s="1"/>
  <c r="JXS671" i="3" s="1"/>
  <c r="JXR671" i="3" s="1"/>
  <c r="JXQ671" i="3" s="1"/>
  <c r="JXP671" i="3" s="1"/>
  <c r="JXO671" i="3" s="1"/>
  <c r="JXN671" i="3" s="1"/>
  <c r="JXM671" i="3" s="1"/>
  <c r="JXL671" i="3" s="1"/>
  <c r="JXK671" i="3" s="1"/>
  <c r="JXJ671" i="3" s="1"/>
  <c r="JXI671" i="3" s="1"/>
  <c r="JXH671" i="3" s="1"/>
  <c r="JXG671" i="3" s="1"/>
  <c r="JXF671" i="3" s="1"/>
  <c r="JXE671" i="3" s="1"/>
  <c r="JXD671" i="3" s="1"/>
  <c r="JXC671" i="3" s="1"/>
  <c r="JXB671" i="3" s="1"/>
  <c r="JXA671" i="3" s="1"/>
  <c r="JWZ671" i="3" s="1"/>
  <c r="JWY671" i="3" s="1"/>
  <c r="JWX671" i="3" s="1"/>
  <c r="JWW671" i="3" s="1"/>
  <c r="JWV671" i="3" s="1"/>
  <c r="JWU671" i="3" s="1"/>
  <c r="JWT671" i="3" s="1"/>
  <c r="JWS671" i="3" s="1"/>
  <c r="JWR671" i="3" s="1"/>
  <c r="JWQ671" i="3" s="1"/>
  <c r="JWP671" i="3" s="1"/>
  <c r="JWO671" i="3" s="1"/>
  <c r="JWN671" i="3" s="1"/>
  <c r="JWM671" i="3" s="1"/>
  <c r="JWL671" i="3" s="1"/>
  <c r="JWK671" i="3" s="1"/>
  <c r="JWJ671" i="3" s="1"/>
  <c r="JWI671" i="3" s="1"/>
  <c r="JWH671" i="3" s="1"/>
  <c r="JWG671" i="3" s="1"/>
  <c r="JWF671" i="3" s="1"/>
  <c r="JWE671" i="3" s="1"/>
  <c r="JWD671" i="3" s="1"/>
  <c r="JWC671" i="3" s="1"/>
  <c r="JWB671" i="3" s="1"/>
  <c r="JWA671" i="3" s="1"/>
  <c r="JVZ671" i="3" s="1"/>
  <c r="JVY671" i="3" s="1"/>
  <c r="JVX671" i="3" s="1"/>
  <c r="JVW671" i="3" s="1"/>
  <c r="JVV671" i="3" s="1"/>
  <c r="JVU671" i="3" s="1"/>
  <c r="JVT671" i="3" s="1"/>
  <c r="JVS671" i="3" s="1"/>
  <c r="JVR671" i="3" s="1"/>
  <c r="JVQ671" i="3" s="1"/>
  <c r="JVP671" i="3" s="1"/>
  <c r="JVO671" i="3" s="1"/>
  <c r="JVN671" i="3" s="1"/>
  <c r="JVM671" i="3" s="1"/>
  <c r="JVL671" i="3" s="1"/>
  <c r="JVK671" i="3" s="1"/>
  <c r="JVJ671" i="3" s="1"/>
  <c r="JVI671" i="3" s="1"/>
  <c r="JVH671" i="3" s="1"/>
  <c r="JVG671" i="3" s="1"/>
  <c r="JVF671" i="3" s="1"/>
  <c r="JVE671" i="3" s="1"/>
  <c r="JVD671" i="3" s="1"/>
  <c r="JVC671" i="3" s="1"/>
  <c r="JVB671" i="3" s="1"/>
  <c r="JVA671" i="3" s="1"/>
  <c r="JUZ671" i="3" s="1"/>
  <c r="JUY671" i="3" s="1"/>
  <c r="JUX671" i="3" s="1"/>
  <c r="JUW671" i="3" s="1"/>
  <c r="JUV671" i="3" s="1"/>
  <c r="JUU671" i="3" s="1"/>
  <c r="JUT671" i="3" s="1"/>
  <c r="JUS671" i="3" s="1"/>
  <c r="JUR671" i="3" s="1"/>
  <c r="JUQ671" i="3" s="1"/>
  <c r="JUP671" i="3" s="1"/>
  <c r="JUO671" i="3" s="1"/>
  <c r="JUN671" i="3" s="1"/>
  <c r="JUM671" i="3" s="1"/>
  <c r="JUL671" i="3" s="1"/>
  <c r="JUK671" i="3" s="1"/>
  <c r="JUJ671" i="3" s="1"/>
  <c r="JUI671" i="3" s="1"/>
  <c r="JUH671" i="3" s="1"/>
  <c r="JUG671" i="3" s="1"/>
  <c r="JUF671" i="3" s="1"/>
  <c r="JUE671" i="3" s="1"/>
  <c r="JUD671" i="3" s="1"/>
  <c r="JUC671" i="3" s="1"/>
  <c r="JUB671" i="3" s="1"/>
  <c r="JUA671" i="3" s="1"/>
  <c r="JTZ671" i="3" s="1"/>
  <c r="JTY671" i="3" s="1"/>
  <c r="JTX671" i="3" s="1"/>
  <c r="JTW671" i="3" s="1"/>
  <c r="JTV671" i="3" s="1"/>
  <c r="JTU671" i="3" s="1"/>
  <c r="JTT671" i="3" s="1"/>
  <c r="JTS671" i="3" s="1"/>
  <c r="JTR671" i="3" s="1"/>
  <c r="JTQ671" i="3" s="1"/>
  <c r="JTP671" i="3" s="1"/>
  <c r="JTO671" i="3" s="1"/>
  <c r="JTN671" i="3" s="1"/>
  <c r="JTM671" i="3" s="1"/>
  <c r="JTL671" i="3" s="1"/>
  <c r="JTK671" i="3" s="1"/>
  <c r="JTJ671" i="3" s="1"/>
  <c r="JTI671" i="3" s="1"/>
  <c r="JTH671" i="3" s="1"/>
  <c r="JTG671" i="3" s="1"/>
  <c r="JTF671" i="3" s="1"/>
  <c r="JTE671" i="3" s="1"/>
  <c r="JTD671" i="3" s="1"/>
  <c r="JTC671" i="3" s="1"/>
  <c r="JTB671" i="3" s="1"/>
  <c r="JTA671" i="3" s="1"/>
  <c r="JSZ671" i="3" s="1"/>
  <c r="JSY671" i="3" s="1"/>
  <c r="JSX671" i="3" s="1"/>
  <c r="JSW671" i="3" s="1"/>
  <c r="JSV671" i="3" s="1"/>
  <c r="JSU671" i="3" s="1"/>
  <c r="JST671" i="3" s="1"/>
  <c r="JSS671" i="3" s="1"/>
  <c r="JSR671" i="3" s="1"/>
  <c r="JSQ671" i="3" s="1"/>
  <c r="JSP671" i="3" s="1"/>
  <c r="JSO671" i="3" s="1"/>
  <c r="JSN671" i="3" s="1"/>
  <c r="JSM671" i="3" s="1"/>
  <c r="JSL671" i="3" s="1"/>
  <c r="JSK671" i="3" s="1"/>
  <c r="JSJ671" i="3" s="1"/>
  <c r="JSI671" i="3" s="1"/>
  <c r="JSH671" i="3" s="1"/>
  <c r="JSG671" i="3" s="1"/>
  <c r="JSF671" i="3" s="1"/>
  <c r="JSE671" i="3" s="1"/>
  <c r="JSD671" i="3" s="1"/>
  <c r="JSC671" i="3" s="1"/>
  <c r="JSB671" i="3" s="1"/>
  <c r="JSA671" i="3" s="1"/>
  <c r="JRZ671" i="3" s="1"/>
  <c r="JRY671" i="3" s="1"/>
  <c r="JRX671" i="3" s="1"/>
  <c r="JRW671" i="3" s="1"/>
  <c r="JRV671" i="3" s="1"/>
  <c r="JRU671" i="3" s="1"/>
  <c r="JRT671" i="3" s="1"/>
  <c r="JRS671" i="3" s="1"/>
  <c r="JRR671" i="3" s="1"/>
  <c r="JRQ671" i="3" s="1"/>
  <c r="JRP671" i="3" s="1"/>
  <c r="JRO671" i="3" s="1"/>
  <c r="JRN671" i="3" s="1"/>
  <c r="JRM671" i="3" s="1"/>
  <c r="JRL671" i="3" s="1"/>
  <c r="JRK671" i="3" s="1"/>
  <c r="JRJ671" i="3" s="1"/>
  <c r="JRI671" i="3" s="1"/>
  <c r="JRH671" i="3" s="1"/>
  <c r="JRG671" i="3" s="1"/>
  <c r="JRF671" i="3" s="1"/>
  <c r="JRE671" i="3" s="1"/>
  <c r="JRD671" i="3" s="1"/>
  <c r="JRC671" i="3" s="1"/>
  <c r="JRB671" i="3" s="1"/>
  <c r="JRA671" i="3" s="1"/>
  <c r="JQZ671" i="3" s="1"/>
  <c r="JQY671" i="3" s="1"/>
  <c r="JQX671" i="3" s="1"/>
  <c r="JQW671" i="3" s="1"/>
  <c r="JQV671" i="3" s="1"/>
  <c r="JQU671" i="3" s="1"/>
  <c r="JQT671" i="3" s="1"/>
  <c r="JQS671" i="3" s="1"/>
  <c r="JQR671" i="3" s="1"/>
  <c r="JQQ671" i="3" s="1"/>
  <c r="JQP671" i="3" s="1"/>
  <c r="JQO671" i="3" s="1"/>
  <c r="JQN671" i="3" s="1"/>
  <c r="JQM671" i="3" s="1"/>
  <c r="JQL671" i="3" s="1"/>
  <c r="JQK671" i="3" s="1"/>
  <c r="JQJ671" i="3" s="1"/>
  <c r="JQI671" i="3" s="1"/>
  <c r="JQH671" i="3" s="1"/>
  <c r="JQG671" i="3" s="1"/>
  <c r="JQF671" i="3" s="1"/>
  <c r="JQE671" i="3" s="1"/>
  <c r="JQD671" i="3" s="1"/>
  <c r="JQC671" i="3" s="1"/>
  <c r="JQB671" i="3" s="1"/>
  <c r="JQA671" i="3" s="1"/>
  <c r="JPZ671" i="3" s="1"/>
  <c r="JPY671" i="3" s="1"/>
  <c r="JPX671" i="3" s="1"/>
  <c r="JPW671" i="3" s="1"/>
  <c r="JPV671" i="3" s="1"/>
  <c r="JPU671" i="3" s="1"/>
  <c r="JPT671" i="3" s="1"/>
  <c r="JPS671" i="3" s="1"/>
  <c r="JPR671" i="3" s="1"/>
  <c r="JPQ671" i="3" s="1"/>
  <c r="JPP671" i="3" s="1"/>
  <c r="JPO671" i="3" s="1"/>
  <c r="JPN671" i="3" s="1"/>
  <c r="JPM671" i="3" s="1"/>
  <c r="JPL671" i="3" s="1"/>
  <c r="JPK671" i="3" s="1"/>
  <c r="JPJ671" i="3" s="1"/>
  <c r="JPI671" i="3" s="1"/>
  <c r="JPH671" i="3" s="1"/>
  <c r="JPG671" i="3" s="1"/>
  <c r="JPF671" i="3" s="1"/>
  <c r="JPE671" i="3" s="1"/>
  <c r="JPD671" i="3" s="1"/>
  <c r="JPC671" i="3" s="1"/>
  <c r="JPB671" i="3" s="1"/>
  <c r="JPA671" i="3" s="1"/>
  <c r="JOZ671" i="3" s="1"/>
  <c r="JOY671" i="3" s="1"/>
  <c r="JOX671" i="3" s="1"/>
  <c r="JOW671" i="3" s="1"/>
  <c r="JOV671" i="3" s="1"/>
  <c r="JOU671" i="3" s="1"/>
  <c r="JOT671" i="3" s="1"/>
  <c r="JOS671" i="3" s="1"/>
  <c r="JOR671" i="3" s="1"/>
  <c r="JOQ671" i="3" s="1"/>
  <c r="JOP671" i="3" s="1"/>
  <c r="JOO671" i="3" s="1"/>
  <c r="JON671" i="3" s="1"/>
  <c r="JOM671" i="3" s="1"/>
  <c r="JOL671" i="3" s="1"/>
  <c r="JOK671" i="3" s="1"/>
  <c r="JOJ671" i="3" s="1"/>
  <c r="JOI671" i="3" s="1"/>
  <c r="JOH671" i="3" s="1"/>
  <c r="JOG671" i="3" s="1"/>
  <c r="JOF671" i="3" s="1"/>
  <c r="JOE671" i="3" s="1"/>
  <c r="JOD671" i="3" s="1"/>
  <c r="JOC671" i="3" s="1"/>
  <c r="JOB671" i="3" s="1"/>
  <c r="JOA671" i="3" s="1"/>
  <c r="JNZ671" i="3" s="1"/>
  <c r="JNY671" i="3" s="1"/>
  <c r="JNX671" i="3" s="1"/>
  <c r="JNW671" i="3" s="1"/>
  <c r="JNV671" i="3" s="1"/>
  <c r="JNU671" i="3" s="1"/>
  <c r="JNT671" i="3" s="1"/>
  <c r="JNS671" i="3" s="1"/>
  <c r="JNR671" i="3" s="1"/>
  <c r="JNQ671" i="3" s="1"/>
  <c r="JNP671" i="3" s="1"/>
  <c r="JNO671" i="3" s="1"/>
  <c r="JNN671" i="3" s="1"/>
  <c r="JNM671" i="3" s="1"/>
  <c r="JNL671" i="3" s="1"/>
  <c r="JNK671" i="3" s="1"/>
  <c r="JNJ671" i="3" s="1"/>
  <c r="JNI671" i="3" s="1"/>
  <c r="JNH671" i="3" s="1"/>
  <c r="JNG671" i="3" s="1"/>
  <c r="JNF671" i="3" s="1"/>
  <c r="JNE671" i="3" s="1"/>
  <c r="JND671" i="3" s="1"/>
  <c r="JNC671" i="3" s="1"/>
  <c r="JNB671" i="3" s="1"/>
  <c r="JNA671" i="3" s="1"/>
  <c r="JMZ671" i="3" s="1"/>
  <c r="JMY671" i="3" s="1"/>
  <c r="JMX671" i="3" s="1"/>
  <c r="JMW671" i="3" s="1"/>
  <c r="JMV671" i="3" s="1"/>
  <c r="JMU671" i="3" s="1"/>
  <c r="JMT671" i="3" s="1"/>
  <c r="JMS671" i="3" s="1"/>
  <c r="JMR671" i="3" s="1"/>
  <c r="JMQ671" i="3" s="1"/>
  <c r="JMP671" i="3" s="1"/>
  <c r="JMO671" i="3" s="1"/>
  <c r="JMN671" i="3" s="1"/>
  <c r="JMM671" i="3" s="1"/>
  <c r="JML671" i="3" s="1"/>
  <c r="JMK671" i="3" s="1"/>
  <c r="JMJ671" i="3" s="1"/>
  <c r="JMI671" i="3" s="1"/>
  <c r="JMH671" i="3" s="1"/>
  <c r="JMG671" i="3" s="1"/>
  <c r="JMF671" i="3" s="1"/>
  <c r="JME671" i="3" s="1"/>
  <c r="JMD671" i="3" s="1"/>
  <c r="JMC671" i="3" s="1"/>
  <c r="JMB671" i="3" s="1"/>
  <c r="JMA671" i="3" s="1"/>
  <c r="JLZ671" i="3" s="1"/>
  <c r="JLY671" i="3" s="1"/>
  <c r="JLX671" i="3" s="1"/>
  <c r="JLW671" i="3" s="1"/>
  <c r="JLV671" i="3" s="1"/>
  <c r="JLU671" i="3" s="1"/>
  <c r="JLT671" i="3" s="1"/>
  <c r="JLS671" i="3" s="1"/>
  <c r="JLR671" i="3" s="1"/>
  <c r="JLQ671" i="3" s="1"/>
  <c r="JLP671" i="3" s="1"/>
  <c r="JLO671" i="3" s="1"/>
  <c r="JLN671" i="3" s="1"/>
  <c r="JLM671" i="3" s="1"/>
  <c r="JLL671" i="3" s="1"/>
  <c r="JLK671" i="3" s="1"/>
  <c r="JLJ671" i="3" s="1"/>
  <c r="JLI671" i="3" s="1"/>
  <c r="JLH671" i="3" s="1"/>
  <c r="JLG671" i="3" s="1"/>
  <c r="JLF671" i="3" s="1"/>
  <c r="JLE671" i="3" s="1"/>
  <c r="JLD671" i="3" s="1"/>
  <c r="JLC671" i="3" s="1"/>
  <c r="JLB671" i="3" s="1"/>
  <c r="JLA671" i="3" s="1"/>
  <c r="JKZ671" i="3" s="1"/>
  <c r="JKY671" i="3" s="1"/>
  <c r="JKX671" i="3" s="1"/>
  <c r="JKW671" i="3" s="1"/>
  <c r="JKV671" i="3" s="1"/>
  <c r="JKU671" i="3" s="1"/>
  <c r="JKT671" i="3" s="1"/>
  <c r="JKS671" i="3" s="1"/>
  <c r="JKR671" i="3" s="1"/>
  <c r="JKQ671" i="3" s="1"/>
  <c r="JKP671" i="3" s="1"/>
  <c r="JKO671" i="3" s="1"/>
  <c r="JKN671" i="3" s="1"/>
  <c r="JKM671" i="3" s="1"/>
  <c r="JKL671" i="3" s="1"/>
  <c r="JKK671" i="3" s="1"/>
  <c r="JKJ671" i="3" s="1"/>
  <c r="JKI671" i="3" s="1"/>
  <c r="JKH671" i="3" s="1"/>
  <c r="JKG671" i="3" s="1"/>
  <c r="JKF671" i="3" s="1"/>
  <c r="JKE671" i="3" s="1"/>
  <c r="JKD671" i="3" s="1"/>
  <c r="JKC671" i="3" s="1"/>
  <c r="JKB671" i="3" s="1"/>
  <c r="JKA671" i="3" s="1"/>
  <c r="JJZ671" i="3" s="1"/>
  <c r="JJY671" i="3" s="1"/>
  <c r="JJX671" i="3" s="1"/>
  <c r="JJW671" i="3" s="1"/>
  <c r="JJV671" i="3" s="1"/>
  <c r="JJU671" i="3" s="1"/>
  <c r="JJT671" i="3" s="1"/>
  <c r="JJS671" i="3" s="1"/>
  <c r="JJR671" i="3" s="1"/>
  <c r="JJQ671" i="3" s="1"/>
  <c r="JJP671" i="3" s="1"/>
  <c r="JJO671" i="3" s="1"/>
  <c r="JJN671" i="3" s="1"/>
  <c r="JJM671" i="3" s="1"/>
  <c r="JJL671" i="3" s="1"/>
  <c r="JJK671" i="3" s="1"/>
  <c r="JJJ671" i="3" s="1"/>
  <c r="JJI671" i="3" s="1"/>
  <c r="JJH671" i="3" s="1"/>
  <c r="JJG671" i="3" s="1"/>
  <c r="JJF671" i="3" s="1"/>
  <c r="JJE671" i="3" s="1"/>
  <c r="JJD671" i="3" s="1"/>
  <c r="JJC671" i="3" s="1"/>
  <c r="JJB671" i="3" s="1"/>
  <c r="JJA671" i="3" s="1"/>
  <c r="JIZ671" i="3" s="1"/>
  <c r="JIY671" i="3" s="1"/>
  <c r="JIX671" i="3" s="1"/>
  <c r="JIW671" i="3" s="1"/>
  <c r="JIV671" i="3" s="1"/>
  <c r="JIU671" i="3" s="1"/>
  <c r="JIT671" i="3" s="1"/>
  <c r="JIS671" i="3" s="1"/>
  <c r="JIR671" i="3" s="1"/>
  <c r="JIQ671" i="3" s="1"/>
  <c r="JIP671" i="3" s="1"/>
  <c r="JIO671" i="3" s="1"/>
  <c r="JIN671" i="3" s="1"/>
  <c r="JIM671" i="3" s="1"/>
  <c r="JIL671" i="3" s="1"/>
  <c r="JIK671" i="3" s="1"/>
  <c r="JIJ671" i="3" s="1"/>
  <c r="JII671" i="3" s="1"/>
  <c r="JIH671" i="3" s="1"/>
  <c r="JIG671" i="3" s="1"/>
  <c r="JIF671" i="3" s="1"/>
  <c r="JIE671" i="3" s="1"/>
  <c r="JID671" i="3" s="1"/>
  <c r="JIC671" i="3" s="1"/>
  <c r="JIB671" i="3" s="1"/>
  <c r="JIA671" i="3" s="1"/>
  <c r="JHZ671" i="3" s="1"/>
  <c r="JHY671" i="3" s="1"/>
  <c r="JHX671" i="3" s="1"/>
  <c r="JHW671" i="3" s="1"/>
  <c r="JHV671" i="3" s="1"/>
  <c r="JHU671" i="3" s="1"/>
  <c r="JHT671" i="3" s="1"/>
  <c r="JHS671" i="3" s="1"/>
  <c r="JHR671" i="3" s="1"/>
  <c r="JHQ671" i="3" s="1"/>
  <c r="JHP671" i="3" s="1"/>
  <c r="JHO671" i="3" s="1"/>
  <c r="JHN671" i="3" s="1"/>
  <c r="JHM671" i="3" s="1"/>
  <c r="JHL671" i="3" s="1"/>
  <c r="JHK671" i="3" s="1"/>
  <c r="JHJ671" i="3" s="1"/>
  <c r="JHI671" i="3" s="1"/>
  <c r="JHH671" i="3" s="1"/>
  <c r="JHG671" i="3" s="1"/>
  <c r="JHF671" i="3" s="1"/>
  <c r="JHE671" i="3" s="1"/>
  <c r="JHD671" i="3" s="1"/>
  <c r="JHC671" i="3" s="1"/>
  <c r="JHB671" i="3" s="1"/>
  <c r="JHA671" i="3" s="1"/>
  <c r="JGZ671" i="3" s="1"/>
  <c r="JGY671" i="3" s="1"/>
  <c r="JGX671" i="3" s="1"/>
  <c r="JGW671" i="3" s="1"/>
  <c r="JGV671" i="3" s="1"/>
  <c r="JGU671" i="3" s="1"/>
  <c r="JGT671" i="3" s="1"/>
  <c r="JGS671" i="3" s="1"/>
  <c r="JGR671" i="3" s="1"/>
  <c r="JGQ671" i="3" s="1"/>
  <c r="JGP671" i="3" s="1"/>
  <c r="JGO671" i="3" s="1"/>
  <c r="JGN671" i="3" s="1"/>
  <c r="JGM671" i="3" s="1"/>
  <c r="JGL671" i="3" s="1"/>
  <c r="JGK671" i="3" s="1"/>
  <c r="JGJ671" i="3" s="1"/>
  <c r="JGI671" i="3" s="1"/>
  <c r="JGH671" i="3" s="1"/>
  <c r="JGG671" i="3" s="1"/>
  <c r="JGF671" i="3" s="1"/>
  <c r="JGE671" i="3" s="1"/>
  <c r="JGD671" i="3" s="1"/>
  <c r="JGC671" i="3" s="1"/>
  <c r="JGB671" i="3" s="1"/>
  <c r="JGA671" i="3" s="1"/>
  <c r="JFZ671" i="3" s="1"/>
  <c r="JFY671" i="3" s="1"/>
  <c r="JFX671" i="3" s="1"/>
  <c r="JFW671" i="3" s="1"/>
  <c r="JFV671" i="3" s="1"/>
  <c r="JFU671" i="3" s="1"/>
  <c r="JFT671" i="3" s="1"/>
  <c r="JFS671" i="3" s="1"/>
  <c r="JFR671" i="3" s="1"/>
  <c r="JFQ671" i="3" s="1"/>
  <c r="JFP671" i="3" s="1"/>
  <c r="JFO671" i="3" s="1"/>
  <c r="JFN671" i="3" s="1"/>
  <c r="JFM671" i="3" s="1"/>
  <c r="JFL671" i="3" s="1"/>
  <c r="JFK671" i="3" s="1"/>
  <c r="JFJ671" i="3" s="1"/>
  <c r="JFI671" i="3" s="1"/>
  <c r="JFH671" i="3" s="1"/>
  <c r="JFG671" i="3" s="1"/>
  <c r="JFF671" i="3" s="1"/>
  <c r="JFE671" i="3" s="1"/>
  <c r="JFD671" i="3" s="1"/>
  <c r="JFC671" i="3" s="1"/>
  <c r="JFB671" i="3" s="1"/>
  <c r="JFA671" i="3" s="1"/>
  <c r="JEZ671" i="3" s="1"/>
  <c r="JEY671" i="3" s="1"/>
  <c r="JEX671" i="3" s="1"/>
  <c r="JEW671" i="3" s="1"/>
  <c r="JEV671" i="3" s="1"/>
  <c r="JEU671" i="3" s="1"/>
  <c r="JET671" i="3" s="1"/>
  <c r="JES671" i="3" s="1"/>
  <c r="JER671" i="3" s="1"/>
  <c r="JEQ671" i="3" s="1"/>
  <c r="JEP671" i="3" s="1"/>
  <c r="JEO671" i="3" s="1"/>
  <c r="JEN671" i="3" s="1"/>
  <c r="JEM671" i="3" s="1"/>
  <c r="JEL671" i="3" s="1"/>
  <c r="JEK671" i="3" s="1"/>
  <c r="JEJ671" i="3" s="1"/>
  <c r="JEI671" i="3" s="1"/>
  <c r="JEH671" i="3" s="1"/>
  <c r="JEG671" i="3" s="1"/>
  <c r="JEF671" i="3" s="1"/>
  <c r="JEE671" i="3" s="1"/>
  <c r="JED671" i="3" s="1"/>
  <c r="JEC671" i="3" s="1"/>
  <c r="JEB671" i="3" s="1"/>
  <c r="JEA671" i="3" s="1"/>
  <c r="JDZ671" i="3" s="1"/>
  <c r="JDY671" i="3" s="1"/>
  <c r="JDX671" i="3" s="1"/>
  <c r="JDW671" i="3" s="1"/>
  <c r="JDV671" i="3" s="1"/>
  <c r="JDU671" i="3" s="1"/>
  <c r="JDT671" i="3" s="1"/>
  <c r="JDS671" i="3" s="1"/>
  <c r="JDR671" i="3" s="1"/>
  <c r="JDQ671" i="3" s="1"/>
  <c r="JDP671" i="3" s="1"/>
  <c r="JDO671" i="3" s="1"/>
  <c r="JDN671" i="3" s="1"/>
  <c r="JDM671" i="3" s="1"/>
  <c r="JDL671" i="3" s="1"/>
  <c r="JDK671" i="3" s="1"/>
  <c r="JDJ671" i="3" s="1"/>
  <c r="JDI671" i="3" s="1"/>
  <c r="JDH671" i="3" s="1"/>
  <c r="JDG671" i="3" s="1"/>
  <c r="JDF671" i="3" s="1"/>
  <c r="JDE671" i="3" s="1"/>
  <c r="JDD671" i="3" s="1"/>
  <c r="JDC671" i="3" s="1"/>
  <c r="JDB671" i="3" s="1"/>
  <c r="JDA671" i="3" s="1"/>
  <c r="JCZ671" i="3" s="1"/>
  <c r="JCY671" i="3" s="1"/>
  <c r="JCX671" i="3" s="1"/>
  <c r="JCW671" i="3" s="1"/>
  <c r="JCV671" i="3" s="1"/>
  <c r="JCU671" i="3" s="1"/>
  <c r="JCT671" i="3" s="1"/>
  <c r="JCS671" i="3" s="1"/>
  <c r="JCR671" i="3" s="1"/>
  <c r="JCQ671" i="3" s="1"/>
  <c r="JCP671" i="3" s="1"/>
  <c r="JCO671" i="3" s="1"/>
  <c r="JCN671" i="3" s="1"/>
  <c r="JCM671" i="3" s="1"/>
  <c r="JCL671" i="3" s="1"/>
  <c r="JCK671" i="3" s="1"/>
  <c r="JCJ671" i="3" s="1"/>
  <c r="JCI671" i="3" s="1"/>
  <c r="JCH671" i="3" s="1"/>
  <c r="JCG671" i="3" s="1"/>
  <c r="JCF671" i="3" s="1"/>
  <c r="JCE671" i="3" s="1"/>
  <c r="JCD671" i="3" s="1"/>
  <c r="JCC671" i="3" s="1"/>
  <c r="JCB671" i="3" s="1"/>
  <c r="JCA671" i="3" s="1"/>
  <c r="JBZ671" i="3" s="1"/>
  <c r="JBY671" i="3" s="1"/>
  <c r="JBX671" i="3" s="1"/>
  <c r="JBW671" i="3" s="1"/>
  <c r="JBV671" i="3" s="1"/>
  <c r="JBU671" i="3" s="1"/>
  <c r="JBT671" i="3" s="1"/>
  <c r="JBS671" i="3" s="1"/>
  <c r="JBR671" i="3" s="1"/>
  <c r="JBQ671" i="3" s="1"/>
  <c r="JBP671" i="3" s="1"/>
  <c r="JBO671" i="3" s="1"/>
  <c r="JBN671" i="3" s="1"/>
  <c r="JBM671" i="3" s="1"/>
  <c r="JBL671" i="3" s="1"/>
  <c r="JBK671" i="3" s="1"/>
  <c r="JBJ671" i="3" s="1"/>
  <c r="JBI671" i="3" s="1"/>
  <c r="JBH671" i="3" s="1"/>
  <c r="JBG671" i="3" s="1"/>
  <c r="JBF671" i="3" s="1"/>
  <c r="JBE671" i="3" s="1"/>
  <c r="JBD671" i="3" s="1"/>
  <c r="JBC671" i="3" s="1"/>
  <c r="JBB671" i="3" s="1"/>
  <c r="JBA671" i="3" s="1"/>
  <c r="JAZ671" i="3" s="1"/>
  <c r="JAY671" i="3" s="1"/>
  <c r="JAX671" i="3" s="1"/>
  <c r="JAW671" i="3" s="1"/>
  <c r="JAV671" i="3" s="1"/>
  <c r="JAU671" i="3" s="1"/>
  <c r="JAT671" i="3" s="1"/>
  <c r="JAS671" i="3" s="1"/>
  <c r="JAR671" i="3" s="1"/>
  <c r="JAQ671" i="3" s="1"/>
  <c r="JAP671" i="3" s="1"/>
  <c r="JAO671" i="3" s="1"/>
  <c r="JAN671" i="3" s="1"/>
  <c r="JAM671" i="3" s="1"/>
  <c r="JAL671" i="3" s="1"/>
  <c r="JAK671" i="3" s="1"/>
  <c r="JAJ671" i="3" s="1"/>
  <c r="JAI671" i="3" s="1"/>
  <c r="JAH671" i="3" s="1"/>
  <c r="JAG671" i="3" s="1"/>
  <c r="JAF671" i="3" s="1"/>
  <c r="JAE671" i="3" s="1"/>
  <c r="JAD671" i="3" s="1"/>
  <c r="JAC671" i="3" s="1"/>
  <c r="JAB671" i="3" s="1"/>
  <c r="JAA671" i="3" s="1"/>
  <c r="IZZ671" i="3" s="1"/>
  <c r="IZY671" i="3" s="1"/>
  <c r="IZX671" i="3" s="1"/>
  <c r="IZW671" i="3" s="1"/>
  <c r="IZV671" i="3" s="1"/>
  <c r="IZU671" i="3" s="1"/>
  <c r="IZT671" i="3" s="1"/>
  <c r="IZS671" i="3" s="1"/>
  <c r="IZR671" i="3" s="1"/>
  <c r="IZQ671" i="3" s="1"/>
  <c r="IZP671" i="3" s="1"/>
  <c r="IZO671" i="3" s="1"/>
  <c r="IZN671" i="3" s="1"/>
  <c r="IZM671" i="3" s="1"/>
  <c r="IZL671" i="3" s="1"/>
  <c r="IZK671" i="3" s="1"/>
  <c r="IZJ671" i="3" s="1"/>
  <c r="IZI671" i="3" s="1"/>
  <c r="IZH671" i="3" s="1"/>
  <c r="IZG671" i="3" s="1"/>
  <c r="IZF671" i="3" s="1"/>
  <c r="IZE671" i="3" s="1"/>
  <c r="IZD671" i="3" s="1"/>
  <c r="IZC671" i="3" s="1"/>
  <c r="IZB671" i="3" s="1"/>
  <c r="IZA671" i="3" s="1"/>
  <c r="IYZ671" i="3" s="1"/>
  <c r="IYY671" i="3" s="1"/>
  <c r="IYX671" i="3" s="1"/>
  <c r="IYW671" i="3" s="1"/>
  <c r="IYV671" i="3" s="1"/>
  <c r="IYU671" i="3" s="1"/>
  <c r="IYT671" i="3" s="1"/>
  <c r="IYS671" i="3" s="1"/>
  <c r="IYR671" i="3" s="1"/>
  <c r="IYQ671" i="3" s="1"/>
  <c r="IYP671" i="3" s="1"/>
  <c r="IYO671" i="3" s="1"/>
  <c r="IYN671" i="3" s="1"/>
  <c r="IYM671" i="3" s="1"/>
  <c r="IYL671" i="3" s="1"/>
  <c r="IYK671" i="3" s="1"/>
  <c r="IYJ671" i="3" s="1"/>
  <c r="IYI671" i="3" s="1"/>
  <c r="IYH671" i="3" s="1"/>
  <c r="IYG671" i="3" s="1"/>
  <c r="IYF671" i="3" s="1"/>
  <c r="IYE671" i="3" s="1"/>
  <c r="IYD671" i="3" s="1"/>
  <c r="IYC671" i="3" s="1"/>
  <c r="IYB671" i="3" s="1"/>
  <c r="IYA671" i="3" s="1"/>
  <c r="IXZ671" i="3" s="1"/>
  <c r="IXY671" i="3" s="1"/>
  <c r="IXX671" i="3" s="1"/>
  <c r="IXW671" i="3" s="1"/>
  <c r="IXV671" i="3" s="1"/>
  <c r="IXU671" i="3" s="1"/>
  <c r="IXT671" i="3" s="1"/>
  <c r="IXS671" i="3" s="1"/>
  <c r="IXR671" i="3" s="1"/>
  <c r="IXQ671" i="3" s="1"/>
  <c r="IXP671" i="3" s="1"/>
  <c r="IXO671" i="3" s="1"/>
  <c r="IXN671" i="3" s="1"/>
  <c r="IXM671" i="3" s="1"/>
  <c r="IXL671" i="3" s="1"/>
  <c r="IXK671" i="3" s="1"/>
  <c r="IXJ671" i="3" s="1"/>
  <c r="IXI671" i="3" s="1"/>
  <c r="IXH671" i="3" s="1"/>
  <c r="IXG671" i="3" s="1"/>
  <c r="IXF671" i="3" s="1"/>
  <c r="IXE671" i="3" s="1"/>
  <c r="IXD671" i="3" s="1"/>
  <c r="IXC671" i="3" s="1"/>
  <c r="IXB671" i="3" s="1"/>
  <c r="IXA671" i="3" s="1"/>
  <c r="IWZ671" i="3" s="1"/>
  <c r="IWY671" i="3" s="1"/>
  <c r="IWX671" i="3" s="1"/>
  <c r="IWW671" i="3" s="1"/>
  <c r="IWV671" i="3" s="1"/>
  <c r="IWU671" i="3" s="1"/>
  <c r="IWT671" i="3" s="1"/>
  <c r="IWS671" i="3" s="1"/>
  <c r="IWR671" i="3" s="1"/>
  <c r="IWQ671" i="3" s="1"/>
  <c r="IWP671" i="3" s="1"/>
  <c r="IWO671" i="3" s="1"/>
  <c r="IWN671" i="3" s="1"/>
  <c r="IWM671" i="3" s="1"/>
  <c r="IWL671" i="3" s="1"/>
  <c r="IWK671" i="3" s="1"/>
  <c r="IWJ671" i="3" s="1"/>
  <c r="IWI671" i="3" s="1"/>
  <c r="IWH671" i="3" s="1"/>
  <c r="IWG671" i="3" s="1"/>
  <c r="IWF671" i="3" s="1"/>
  <c r="IWE671" i="3" s="1"/>
  <c r="IWD671" i="3" s="1"/>
  <c r="IWC671" i="3" s="1"/>
  <c r="IWB671" i="3" s="1"/>
  <c r="IWA671" i="3" s="1"/>
  <c r="IVZ671" i="3" s="1"/>
  <c r="IVY671" i="3" s="1"/>
  <c r="IVX671" i="3" s="1"/>
  <c r="IVW671" i="3" s="1"/>
  <c r="IVV671" i="3" s="1"/>
  <c r="IVU671" i="3" s="1"/>
  <c r="IVT671" i="3" s="1"/>
  <c r="IVS671" i="3" s="1"/>
  <c r="IVR671" i="3" s="1"/>
  <c r="IVQ671" i="3" s="1"/>
  <c r="IVP671" i="3" s="1"/>
  <c r="IVO671" i="3" s="1"/>
  <c r="IVN671" i="3" s="1"/>
  <c r="IVM671" i="3" s="1"/>
  <c r="IVL671" i="3" s="1"/>
  <c r="IVK671" i="3" s="1"/>
  <c r="IVJ671" i="3" s="1"/>
  <c r="IVI671" i="3" s="1"/>
  <c r="IVH671" i="3" s="1"/>
  <c r="IVG671" i="3" s="1"/>
  <c r="IVF671" i="3" s="1"/>
  <c r="IVE671" i="3" s="1"/>
  <c r="IVD671" i="3" s="1"/>
  <c r="IVC671" i="3" s="1"/>
  <c r="IVB671" i="3" s="1"/>
  <c r="IVA671" i="3" s="1"/>
  <c r="IUZ671" i="3" s="1"/>
  <c r="IUY671" i="3" s="1"/>
  <c r="IUX671" i="3" s="1"/>
  <c r="IUW671" i="3" s="1"/>
  <c r="IUV671" i="3" s="1"/>
  <c r="IUU671" i="3" s="1"/>
  <c r="IUT671" i="3" s="1"/>
  <c r="IUS671" i="3" s="1"/>
  <c r="IUR671" i="3" s="1"/>
  <c r="IUQ671" i="3" s="1"/>
  <c r="IUP671" i="3" s="1"/>
  <c r="IUO671" i="3" s="1"/>
  <c r="IUN671" i="3" s="1"/>
  <c r="IUM671" i="3" s="1"/>
  <c r="IUL671" i="3" s="1"/>
  <c r="IUK671" i="3" s="1"/>
  <c r="IUJ671" i="3" s="1"/>
  <c r="IUI671" i="3" s="1"/>
  <c r="IUH671" i="3" s="1"/>
  <c r="IUG671" i="3" s="1"/>
  <c r="IUF671" i="3" s="1"/>
  <c r="IUE671" i="3" s="1"/>
  <c r="IUD671" i="3" s="1"/>
  <c r="IUC671" i="3" s="1"/>
  <c r="IUB671" i="3" s="1"/>
  <c r="IUA671" i="3" s="1"/>
  <c r="ITZ671" i="3" s="1"/>
  <c r="ITY671" i="3" s="1"/>
  <c r="ITX671" i="3" s="1"/>
  <c r="ITW671" i="3" s="1"/>
  <c r="ITV671" i="3" s="1"/>
  <c r="ITU671" i="3" s="1"/>
  <c r="ITT671" i="3" s="1"/>
  <c r="ITS671" i="3" s="1"/>
  <c r="ITR671" i="3" s="1"/>
  <c r="ITQ671" i="3" s="1"/>
  <c r="ITP671" i="3" s="1"/>
  <c r="ITO671" i="3" s="1"/>
  <c r="ITN671" i="3" s="1"/>
  <c r="ITM671" i="3" s="1"/>
  <c r="ITL671" i="3" s="1"/>
  <c r="ITK671" i="3" s="1"/>
  <c r="ITJ671" i="3" s="1"/>
  <c r="ITI671" i="3" s="1"/>
  <c r="ITH671" i="3" s="1"/>
  <c r="ITG671" i="3" s="1"/>
  <c r="ITF671" i="3" s="1"/>
  <c r="ITE671" i="3" s="1"/>
  <c r="ITD671" i="3" s="1"/>
  <c r="ITC671" i="3" s="1"/>
  <c r="ITB671" i="3" s="1"/>
  <c r="ITA671" i="3" s="1"/>
  <c r="ISZ671" i="3" s="1"/>
  <c r="ISY671" i="3" s="1"/>
  <c r="ISX671" i="3" s="1"/>
  <c r="ISW671" i="3" s="1"/>
  <c r="ISV671" i="3" s="1"/>
  <c r="ISU671" i="3" s="1"/>
  <c r="IST671" i="3" s="1"/>
  <c r="ISS671" i="3" s="1"/>
  <c r="ISR671" i="3" s="1"/>
  <c r="ISQ671" i="3" s="1"/>
  <c r="ISP671" i="3" s="1"/>
  <c r="ISO671" i="3" s="1"/>
  <c r="ISN671" i="3" s="1"/>
  <c r="ISM671" i="3" s="1"/>
  <c r="ISL671" i="3" s="1"/>
  <c r="ISK671" i="3" s="1"/>
  <c r="ISJ671" i="3" s="1"/>
  <c r="ISI671" i="3" s="1"/>
  <c r="ISH671" i="3" s="1"/>
  <c r="ISG671" i="3" s="1"/>
  <c r="ISF671" i="3" s="1"/>
  <c r="ISE671" i="3" s="1"/>
  <c r="ISD671" i="3" s="1"/>
  <c r="ISC671" i="3" s="1"/>
  <c r="ISB671" i="3" s="1"/>
  <c r="ISA671" i="3" s="1"/>
  <c r="IRZ671" i="3" s="1"/>
  <c r="IRY671" i="3" s="1"/>
  <c r="IRX671" i="3" s="1"/>
  <c r="IRW671" i="3" s="1"/>
  <c r="IRV671" i="3" s="1"/>
  <c r="IRU671" i="3" s="1"/>
  <c r="IRT671" i="3" s="1"/>
  <c r="IRS671" i="3" s="1"/>
  <c r="IRR671" i="3" s="1"/>
  <c r="IRQ671" i="3" s="1"/>
  <c r="IRP671" i="3" s="1"/>
  <c r="IRO671" i="3" s="1"/>
  <c r="IRN671" i="3" s="1"/>
  <c r="IRM671" i="3" s="1"/>
  <c r="IRL671" i="3" s="1"/>
  <c r="IRK671" i="3" s="1"/>
  <c r="IRJ671" i="3" s="1"/>
  <c r="IRI671" i="3" s="1"/>
  <c r="IRH671" i="3" s="1"/>
  <c r="IRG671" i="3" s="1"/>
  <c r="IRF671" i="3" s="1"/>
  <c r="IRE671" i="3" s="1"/>
  <c r="IRD671" i="3" s="1"/>
  <c r="IRC671" i="3" s="1"/>
  <c r="IRB671" i="3" s="1"/>
  <c r="IRA671" i="3" s="1"/>
  <c r="IQZ671" i="3" s="1"/>
  <c r="IQY671" i="3" s="1"/>
  <c r="IQX671" i="3" s="1"/>
  <c r="IQW671" i="3" s="1"/>
  <c r="IQV671" i="3" s="1"/>
  <c r="IQU671" i="3" s="1"/>
  <c r="IQT671" i="3" s="1"/>
  <c r="IQS671" i="3" s="1"/>
  <c r="IQR671" i="3" s="1"/>
  <c r="IQQ671" i="3" s="1"/>
  <c r="IQP671" i="3" s="1"/>
  <c r="IQO671" i="3" s="1"/>
  <c r="IQN671" i="3" s="1"/>
  <c r="IQM671" i="3" s="1"/>
  <c r="IQL671" i="3" s="1"/>
  <c r="IQK671" i="3" s="1"/>
  <c r="IQJ671" i="3" s="1"/>
  <c r="IQI671" i="3" s="1"/>
  <c r="IQH671" i="3" s="1"/>
  <c r="IQG671" i="3" s="1"/>
  <c r="IQF671" i="3" s="1"/>
  <c r="IQE671" i="3" s="1"/>
  <c r="IQD671" i="3" s="1"/>
  <c r="IQC671" i="3" s="1"/>
  <c r="IQB671" i="3" s="1"/>
  <c r="IQA671" i="3" s="1"/>
  <c r="IPZ671" i="3" s="1"/>
  <c r="IPY671" i="3" s="1"/>
  <c r="IPX671" i="3" s="1"/>
  <c r="IPW671" i="3" s="1"/>
  <c r="IPV671" i="3" s="1"/>
  <c r="IPU671" i="3" s="1"/>
  <c r="IPT671" i="3" s="1"/>
  <c r="IPS671" i="3" s="1"/>
  <c r="IPR671" i="3" s="1"/>
  <c r="IPQ671" i="3" s="1"/>
  <c r="IPP671" i="3" s="1"/>
  <c r="IPO671" i="3" s="1"/>
  <c r="IPN671" i="3" s="1"/>
  <c r="IPM671" i="3" s="1"/>
  <c r="IPL671" i="3" s="1"/>
  <c r="IPK671" i="3" s="1"/>
  <c r="IPJ671" i="3" s="1"/>
  <c r="IPI671" i="3" s="1"/>
  <c r="IPH671" i="3" s="1"/>
  <c r="IPG671" i="3" s="1"/>
  <c r="IPF671" i="3" s="1"/>
  <c r="IPE671" i="3" s="1"/>
  <c r="IPD671" i="3" s="1"/>
  <c r="IPC671" i="3" s="1"/>
  <c r="IPB671" i="3" s="1"/>
  <c r="IPA671" i="3" s="1"/>
  <c r="IOZ671" i="3" s="1"/>
  <c r="IOY671" i="3" s="1"/>
  <c r="IOX671" i="3" s="1"/>
  <c r="IOW671" i="3" s="1"/>
  <c r="IOV671" i="3" s="1"/>
  <c r="IOU671" i="3" s="1"/>
  <c r="IOT671" i="3" s="1"/>
  <c r="IOS671" i="3" s="1"/>
  <c r="IOR671" i="3" s="1"/>
  <c r="IOQ671" i="3" s="1"/>
  <c r="IOP671" i="3" s="1"/>
  <c r="IOO671" i="3" s="1"/>
  <c r="ION671" i="3" s="1"/>
  <c r="IOM671" i="3" s="1"/>
  <c r="IOL671" i="3" s="1"/>
  <c r="IOK671" i="3" s="1"/>
  <c r="IOJ671" i="3" s="1"/>
  <c r="IOI671" i="3" s="1"/>
  <c r="IOH671" i="3" s="1"/>
  <c r="IOG671" i="3" s="1"/>
  <c r="IOF671" i="3" s="1"/>
  <c r="IOE671" i="3" s="1"/>
  <c r="IOD671" i="3" s="1"/>
  <c r="IOC671" i="3" s="1"/>
  <c r="IOB671" i="3" s="1"/>
  <c r="IOA671" i="3" s="1"/>
  <c r="INZ671" i="3" s="1"/>
  <c r="INY671" i="3" s="1"/>
  <c r="INX671" i="3" s="1"/>
  <c r="INW671" i="3" s="1"/>
  <c r="INV671" i="3" s="1"/>
  <c r="INU671" i="3" s="1"/>
  <c r="INT671" i="3" s="1"/>
  <c r="INS671" i="3" s="1"/>
  <c r="INR671" i="3" s="1"/>
  <c r="INQ671" i="3" s="1"/>
  <c r="INP671" i="3" s="1"/>
  <c r="INO671" i="3" s="1"/>
  <c r="INN671" i="3" s="1"/>
  <c r="INM671" i="3" s="1"/>
  <c r="INL671" i="3" s="1"/>
  <c r="INK671" i="3" s="1"/>
  <c r="INJ671" i="3" s="1"/>
  <c r="INI671" i="3" s="1"/>
  <c r="INH671" i="3" s="1"/>
  <c r="ING671" i="3" s="1"/>
  <c r="INF671" i="3" s="1"/>
  <c r="INE671" i="3" s="1"/>
  <c r="IND671" i="3" s="1"/>
  <c r="INC671" i="3" s="1"/>
  <c r="INB671" i="3" s="1"/>
  <c r="INA671" i="3" s="1"/>
  <c r="IMZ671" i="3" s="1"/>
  <c r="IMY671" i="3" s="1"/>
  <c r="IMX671" i="3" s="1"/>
  <c r="IMW671" i="3" s="1"/>
  <c r="IMV671" i="3" s="1"/>
  <c r="IMU671" i="3" s="1"/>
  <c r="IMT671" i="3" s="1"/>
  <c r="IMS671" i="3" s="1"/>
  <c r="IMR671" i="3" s="1"/>
  <c r="IMQ671" i="3" s="1"/>
  <c r="IMP671" i="3" s="1"/>
  <c r="IMO671" i="3" s="1"/>
  <c r="IMN671" i="3" s="1"/>
  <c r="IMM671" i="3" s="1"/>
  <c r="IML671" i="3" s="1"/>
  <c r="IMK671" i="3" s="1"/>
  <c r="IMJ671" i="3" s="1"/>
  <c r="IMI671" i="3" s="1"/>
  <c r="IMH671" i="3" s="1"/>
  <c r="IMG671" i="3" s="1"/>
  <c r="IMF671" i="3" s="1"/>
  <c r="IME671" i="3" s="1"/>
  <c r="IMD671" i="3" s="1"/>
  <c r="IMC671" i="3" s="1"/>
  <c r="IMB671" i="3" s="1"/>
  <c r="IMA671" i="3" s="1"/>
  <c r="ILZ671" i="3" s="1"/>
  <c r="ILY671" i="3" s="1"/>
  <c r="ILX671" i="3" s="1"/>
  <c r="ILW671" i="3" s="1"/>
  <c r="ILV671" i="3" s="1"/>
  <c r="ILU671" i="3" s="1"/>
  <c r="ILT671" i="3" s="1"/>
  <c r="ILS671" i="3" s="1"/>
  <c r="ILR671" i="3" s="1"/>
  <c r="ILQ671" i="3" s="1"/>
  <c r="ILP671" i="3" s="1"/>
  <c r="ILO671" i="3" s="1"/>
  <c r="ILN671" i="3" s="1"/>
  <c r="ILM671" i="3" s="1"/>
  <c r="ILL671" i="3" s="1"/>
  <c r="ILK671" i="3" s="1"/>
  <c r="ILJ671" i="3" s="1"/>
  <c r="ILI671" i="3" s="1"/>
  <c r="ILH671" i="3" s="1"/>
  <c r="ILG671" i="3" s="1"/>
  <c r="ILF671" i="3" s="1"/>
  <c r="ILE671" i="3" s="1"/>
  <c r="ILD671" i="3" s="1"/>
  <c r="ILC671" i="3" s="1"/>
  <c r="ILB671" i="3" s="1"/>
  <c r="ILA671" i="3" s="1"/>
  <c r="IKZ671" i="3" s="1"/>
  <c r="IKY671" i="3" s="1"/>
  <c r="IKX671" i="3" s="1"/>
  <c r="IKW671" i="3" s="1"/>
  <c r="IKV671" i="3" s="1"/>
  <c r="IKU671" i="3" s="1"/>
  <c r="IKT671" i="3" s="1"/>
  <c r="IKS671" i="3" s="1"/>
  <c r="IKR671" i="3" s="1"/>
  <c r="IKQ671" i="3" s="1"/>
  <c r="IKP671" i="3" s="1"/>
  <c r="IKO671" i="3" s="1"/>
  <c r="IKN671" i="3" s="1"/>
  <c r="IKM671" i="3" s="1"/>
  <c r="IKL671" i="3" s="1"/>
  <c r="IKK671" i="3" s="1"/>
  <c r="IKJ671" i="3" s="1"/>
  <c r="IKI671" i="3" s="1"/>
  <c r="IKH671" i="3" s="1"/>
  <c r="IKG671" i="3" s="1"/>
  <c r="IKF671" i="3" s="1"/>
  <c r="IKE671" i="3" s="1"/>
  <c r="IKD671" i="3" s="1"/>
  <c r="IKC671" i="3" s="1"/>
  <c r="IKB671" i="3" s="1"/>
  <c r="IKA671" i="3" s="1"/>
  <c r="IJZ671" i="3" s="1"/>
  <c r="IJY671" i="3" s="1"/>
  <c r="IJX671" i="3" s="1"/>
  <c r="IJW671" i="3" s="1"/>
  <c r="IJV671" i="3" s="1"/>
  <c r="IJU671" i="3" s="1"/>
  <c r="IJT671" i="3" s="1"/>
  <c r="IJS671" i="3" s="1"/>
  <c r="IJR671" i="3" s="1"/>
  <c r="IJQ671" i="3" s="1"/>
  <c r="IJP671" i="3" s="1"/>
  <c r="IJO671" i="3" s="1"/>
  <c r="IJN671" i="3" s="1"/>
  <c r="IJM671" i="3" s="1"/>
  <c r="IJL671" i="3" s="1"/>
  <c r="IJK671" i="3" s="1"/>
  <c r="IJJ671" i="3" s="1"/>
  <c r="IJI671" i="3" s="1"/>
  <c r="IJH671" i="3" s="1"/>
  <c r="IJG671" i="3" s="1"/>
  <c r="IJF671" i="3" s="1"/>
  <c r="IJE671" i="3" s="1"/>
  <c r="IJD671" i="3" s="1"/>
  <c r="IJC671" i="3" s="1"/>
  <c r="IJB671" i="3" s="1"/>
  <c r="IJA671" i="3" s="1"/>
  <c r="IIZ671" i="3" s="1"/>
  <c r="IIY671" i="3" s="1"/>
  <c r="IIX671" i="3" s="1"/>
  <c r="IIW671" i="3" s="1"/>
  <c r="IIV671" i="3" s="1"/>
  <c r="IIU671" i="3" s="1"/>
  <c r="IIT671" i="3" s="1"/>
  <c r="IIS671" i="3" s="1"/>
  <c r="IIR671" i="3" s="1"/>
  <c r="IIQ671" i="3" s="1"/>
  <c r="IIP671" i="3" s="1"/>
  <c r="IIO671" i="3" s="1"/>
  <c r="IIN671" i="3" s="1"/>
  <c r="IIM671" i="3" s="1"/>
  <c r="IIL671" i="3" s="1"/>
  <c r="IIK671" i="3" s="1"/>
  <c r="IIJ671" i="3" s="1"/>
  <c r="III671" i="3" s="1"/>
  <c r="IIH671" i="3" s="1"/>
  <c r="IIG671" i="3" s="1"/>
  <c r="IIF671" i="3" s="1"/>
  <c r="IIE671" i="3" s="1"/>
  <c r="IID671" i="3" s="1"/>
  <c r="IIC671" i="3" s="1"/>
  <c r="IIB671" i="3" s="1"/>
  <c r="IIA671" i="3" s="1"/>
  <c r="IHZ671" i="3" s="1"/>
  <c r="IHY671" i="3" s="1"/>
  <c r="IHX671" i="3" s="1"/>
  <c r="IHW671" i="3" s="1"/>
  <c r="IHV671" i="3" s="1"/>
  <c r="IHU671" i="3" s="1"/>
  <c r="IHT671" i="3" s="1"/>
  <c r="IHS671" i="3" s="1"/>
  <c r="IHR671" i="3" s="1"/>
  <c r="IHQ671" i="3" s="1"/>
  <c r="IHP671" i="3" s="1"/>
  <c r="IHO671" i="3" s="1"/>
  <c r="IHN671" i="3" s="1"/>
  <c r="IHM671" i="3" s="1"/>
  <c r="IHL671" i="3" s="1"/>
  <c r="IHK671" i="3" s="1"/>
  <c r="IHJ671" i="3" s="1"/>
  <c r="IHI671" i="3" s="1"/>
  <c r="IHH671" i="3" s="1"/>
  <c r="IHG671" i="3" s="1"/>
  <c r="IHF671" i="3" s="1"/>
  <c r="IHE671" i="3" s="1"/>
  <c r="IHD671" i="3" s="1"/>
  <c r="IHC671" i="3" s="1"/>
  <c r="IHB671" i="3" s="1"/>
  <c r="IHA671" i="3" s="1"/>
  <c r="IGZ671" i="3" s="1"/>
  <c r="IGY671" i="3" s="1"/>
  <c r="IGX671" i="3" s="1"/>
  <c r="IGW671" i="3" s="1"/>
  <c r="IGV671" i="3" s="1"/>
  <c r="IGU671" i="3" s="1"/>
  <c r="IGT671" i="3" s="1"/>
  <c r="IGS671" i="3" s="1"/>
  <c r="IGR671" i="3" s="1"/>
  <c r="IGQ671" i="3" s="1"/>
  <c r="IGP671" i="3" s="1"/>
  <c r="IGO671" i="3" s="1"/>
  <c r="IGN671" i="3" s="1"/>
  <c r="IGM671" i="3" s="1"/>
  <c r="IGL671" i="3" s="1"/>
  <c r="IGK671" i="3" s="1"/>
  <c r="IGJ671" i="3" s="1"/>
  <c r="IGI671" i="3" s="1"/>
  <c r="IGH671" i="3" s="1"/>
  <c r="IGG671" i="3" s="1"/>
  <c r="IGF671" i="3" s="1"/>
  <c r="IGE671" i="3" s="1"/>
  <c r="IGD671" i="3" s="1"/>
  <c r="IGC671" i="3" s="1"/>
  <c r="IGB671" i="3" s="1"/>
  <c r="IGA671" i="3" s="1"/>
  <c r="IFZ671" i="3" s="1"/>
  <c r="IFY671" i="3" s="1"/>
  <c r="IFX671" i="3" s="1"/>
  <c r="IFW671" i="3" s="1"/>
  <c r="IFV671" i="3" s="1"/>
  <c r="IFU671" i="3" s="1"/>
  <c r="IFT671" i="3" s="1"/>
  <c r="IFS671" i="3" s="1"/>
  <c r="IFR671" i="3" s="1"/>
  <c r="IFQ671" i="3" s="1"/>
  <c r="IFP671" i="3" s="1"/>
  <c r="IFO671" i="3" s="1"/>
  <c r="IFN671" i="3" s="1"/>
  <c r="IFM671" i="3" s="1"/>
  <c r="IFL671" i="3" s="1"/>
  <c r="IFK671" i="3" s="1"/>
  <c r="IFJ671" i="3" s="1"/>
  <c r="IFI671" i="3" s="1"/>
  <c r="IFH671" i="3" s="1"/>
  <c r="IFG671" i="3" s="1"/>
  <c r="IFF671" i="3" s="1"/>
  <c r="IFE671" i="3" s="1"/>
  <c r="IFD671" i="3" s="1"/>
  <c r="IFC671" i="3" s="1"/>
  <c r="IFB671" i="3" s="1"/>
  <c r="IFA671" i="3" s="1"/>
  <c r="IEZ671" i="3" s="1"/>
  <c r="IEY671" i="3" s="1"/>
  <c r="IEX671" i="3" s="1"/>
  <c r="IEW671" i="3" s="1"/>
  <c r="IEV671" i="3" s="1"/>
  <c r="IEU671" i="3" s="1"/>
  <c r="IET671" i="3" s="1"/>
  <c r="IES671" i="3" s="1"/>
  <c r="IER671" i="3" s="1"/>
  <c r="IEQ671" i="3" s="1"/>
  <c r="IEP671" i="3" s="1"/>
  <c r="IEO671" i="3" s="1"/>
  <c r="IEN671" i="3" s="1"/>
  <c r="IEM671" i="3" s="1"/>
  <c r="IEL671" i="3" s="1"/>
  <c r="IEK671" i="3" s="1"/>
  <c r="IEJ671" i="3" s="1"/>
  <c r="IEI671" i="3" s="1"/>
  <c r="IEH671" i="3" s="1"/>
  <c r="IEG671" i="3" s="1"/>
  <c r="IEF671" i="3" s="1"/>
  <c r="IEE671" i="3" s="1"/>
  <c r="IED671" i="3" s="1"/>
  <c r="IEC671" i="3" s="1"/>
  <c r="IEB671" i="3" s="1"/>
  <c r="IEA671" i="3" s="1"/>
  <c r="IDZ671" i="3" s="1"/>
  <c r="IDY671" i="3" s="1"/>
  <c r="IDX671" i="3" s="1"/>
  <c r="IDW671" i="3" s="1"/>
  <c r="IDV671" i="3" s="1"/>
  <c r="IDU671" i="3" s="1"/>
  <c r="IDT671" i="3" s="1"/>
  <c r="IDS671" i="3" s="1"/>
  <c r="IDR671" i="3" s="1"/>
  <c r="IDQ671" i="3" s="1"/>
  <c r="IDP671" i="3" s="1"/>
  <c r="IDO671" i="3" s="1"/>
  <c r="IDN671" i="3" s="1"/>
  <c r="IDM671" i="3" s="1"/>
  <c r="IDL671" i="3" s="1"/>
  <c r="IDK671" i="3" s="1"/>
  <c r="IDJ671" i="3" s="1"/>
  <c r="IDI671" i="3" s="1"/>
  <c r="IDH671" i="3" s="1"/>
  <c r="IDG671" i="3" s="1"/>
  <c r="IDF671" i="3" s="1"/>
  <c r="IDE671" i="3" s="1"/>
  <c r="IDD671" i="3" s="1"/>
  <c r="IDC671" i="3" s="1"/>
  <c r="IDB671" i="3" s="1"/>
  <c r="IDA671" i="3" s="1"/>
  <c r="ICZ671" i="3" s="1"/>
  <c r="ICY671" i="3" s="1"/>
  <c r="ICX671" i="3" s="1"/>
  <c r="ICW671" i="3" s="1"/>
  <c r="ICV671" i="3" s="1"/>
  <c r="ICU671" i="3" s="1"/>
  <c r="ICT671" i="3" s="1"/>
  <c r="ICS671" i="3" s="1"/>
  <c r="ICR671" i="3" s="1"/>
  <c r="ICQ671" i="3" s="1"/>
  <c r="ICP671" i="3" s="1"/>
  <c r="ICO671" i="3" s="1"/>
  <c r="ICN671" i="3" s="1"/>
  <c r="ICM671" i="3" s="1"/>
  <c r="ICL671" i="3" s="1"/>
  <c r="ICK671" i="3" s="1"/>
  <c r="ICJ671" i="3" s="1"/>
  <c r="ICI671" i="3" s="1"/>
  <c r="ICH671" i="3" s="1"/>
  <c r="ICG671" i="3" s="1"/>
  <c r="ICF671" i="3" s="1"/>
  <c r="ICE671" i="3" s="1"/>
  <c r="ICD671" i="3" s="1"/>
  <c r="ICC671" i="3" s="1"/>
  <c r="ICB671" i="3" s="1"/>
  <c r="ICA671" i="3" s="1"/>
  <c r="IBZ671" i="3" s="1"/>
  <c r="IBY671" i="3" s="1"/>
  <c r="IBX671" i="3" s="1"/>
  <c r="IBW671" i="3" s="1"/>
  <c r="IBV671" i="3" s="1"/>
  <c r="IBU671" i="3" s="1"/>
  <c r="IBT671" i="3" s="1"/>
  <c r="IBS671" i="3" s="1"/>
  <c r="IBR671" i="3" s="1"/>
  <c r="IBQ671" i="3" s="1"/>
  <c r="IBP671" i="3" s="1"/>
  <c r="IBO671" i="3" s="1"/>
  <c r="IBN671" i="3" s="1"/>
  <c r="IBM671" i="3" s="1"/>
  <c r="IBL671" i="3" s="1"/>
  <c r="IBK671" i="3" s="1"/>
  <c r="IBJ671" i="3" s="1"/>
  <c r="IBI671" i="3" s="1"/>
  <c r="IBH671" i="3" s="1"/>
  <c r="IBG671" i="3" s="1"/>
  <c r="IBF671" i="3" s="1"/>
  <c r="IBE671" i="3" s="1"/>
  <c r="IBD671" i="3" s="1"/>
  <c r="IBC671" i="3" s="1"/>
  <c r="IBB671" i="3" s="1"/>
  <c r="IBA671" i="3" s="1"/>
  <c r="IAZ671" i="3" s="1"/>
  <c r="IAY671" i="3" s="1"/>
  <c r="IAX671" i="3" s="1"/>
  <c r="IAW671" i="3" s="1"/>
  <c r="IAV671" i="3" s="1"/>
  <c r="IAU671" i="3" s="1"/>
  <c r="IAT671" i="3" s="1"/>
  <c r="IAS671" i="3" s="1"/>
  <c r="IAR671" i="3" s="1"/>
  <c r="IAQ671" i="3" s="1"/>
  <c r="IAP671" i="3" s="1"/>
  <c r="IAO671" i="3" s="1"/>
  <c r="IAN671" i="3" s="1"/>
  <c r="IAM671" i="3" s="1"/>
  <c r="IAL671" i="3" s="1"/>
  <c r="IAK671" i="3" s="1"/>
  <c r="IAJ671" i="3" s="1"/>
  <c r="IAI671" i="3" s="1"/>
  <c r="IAH671" i="3" s="1"/>
  <c r="IAG671" i="3" s="1"/>
  <c r="IAF671" i="3" s="1"/>
  <c r="IAE671" i="3" s="1"/>
  <c r="IAD671" i="3" s="1"/>
  <c r="IAC671" i="3" s="1"/>
  <c r="IAB671" i="3" s="1"/>
  <c r="IAA671" i="3" s="1"/>
  <c r="HZZ671" i="3" s="1"/>
  <c r="HZY671" i="3" s="1"/>
  <c r="HZX671" i="3" s="1"/>
  <c r="HZW671" i="3" s="1"/>
  <c r="HZV671" i="3" s="1"/>
  <c r="HZU671" i="3" s="1"/>
  <c r="HZT671" i="3" s="1"/>
  <c r="HZS671" i="3" s="1"/>
  <c r="HZR671" i="3" s="1"/>
  <c r="HZQ671" i="3" s="1"/>
  <c r="HZP671" i="3" s="1"/>
  <c r="HZO671" i="3" s="1"/>
  <c r="HZN671" i="3" s="1"/>
  <c r="HZM671" i="3" s="1"/>
  <c r="HZL671" i="3" s="1"/>
  <c r="HZK671" i="3" s="1"/>
  <c r="HZJ671" i="3" s="1"/>
  <c r="HZI671" i="3" s="1"/>
  <c r="HZH671" i="3" s="1"/>
  <c r="HZG671" i="3" s="1"/>
  <c r="HZF671" i="3" s="1"/>
  <c r="HZE671" i="3" s="1"/>
  <c r="HZD671" i="3" s="1"/>
  <c r="HZC671" i="3" s="1"/>
  <c r="HZB671" i="3" s="1"/>
  <c r="HZA671" i="3" s="1"/>
  <c r="HYZ671" i="3" s="1"/>
  <c r="HYY671" i="3" s="1"/>
  <c r="HYX671" i="3" s="1"/>
  <c r="HYW671" i="3" s="1"/>
  <c r="HYV671" i="3" s="1"/>
  <c r="HYU671" i="3" s="1"/>
  <c r="HYT671" i="3" s="1"/>
  <c r="HYS671" i="3" s="1"/>
  <c r="HYR671" i="3" s="1"/>
  <c r="HYQ671" i="3" s="1"/>
  <c r="HYP671" i="3" s="1"/>
  <c r="HYO671" i="3" s="1"/>
  <c r="HYN671" i="3" s="1"/>
  <c r="HYM671" i="3" s="1"/>
  <c r="HYL671" i="3" s="1"/>
  <c r="HYK671" i="3" s="1"/>
  <c r="HYJ671" i="3" s="1"/>
  <c r="HYI671" i="3" s="1"/>
  <c r="HYH671" i="3" s="1"/>
  <c r="HYG671" i="3" s="1"/>
  <c r="HYF671" i="3" s="1"/>
  <c r="HYE671" i="3" s="1"/>
  <c r="HYD671" i="3" s="1"/>
  <c r="HYC671" i="3" s="1"/>
  <c r="HYB671" i="3" s="1"/>
  <c r="HYA671" i="3" s="1"/>
  <c r="HXZ671" i="3" s="1"/>
  <c r="HXY671" i="3" s="1"/>
  <c r="HXX671" i="3" s="1"/>
  <c r="HXW671" i="3" s="1"/>
  <c r="HXV671" i="3" s="1"/>
  <c r="HXU671" i="3" s="1"/>
  <c r="HXT671" i="3" s="1"/>
  <c r="HXS671" i="3" s="1"/>
  <c r="HXR671" i="3" s="1"/>
  <c r="HXQ671" i="3" s="1"/>
  <c r="HXP671" i="3" s="1"/>
  <c r="HXO671" i="3" s="1"/>
  <c r="HXN671" i="3" s="1"/>
  <c r="HXM671" i="3" s="1"/>
  <c r="HXL671" i="3" s="1"/>
  <c r="HXK671" i="3" s="1"/>
  <c r="HXJ671" i="3" s="1"/>
  <c r="HXI671" i="3" s="1"/>
  <c r="HXH671" i="3" s="1"/>
  <c r="HXG671" i="3" s="1"/>
  <c r="HXF671" i="3" s="1"/>
  <c r="HXE671" i="3" s="1"/>
  <c r="HXD671" i="3" s="1"/>
  <c r="HXC671" i="3" s="1"/>
  <c r="HXB671" i="3" s="1"/>
  <c r="HXA671" i="3" s="1"/>
  <c r="HWZ671" i="3" s="1"/>
  <c r="HWY671" i="3" s="1"/>
  <c r="HWX671" i="3" s="1"/>
  <c r="HWW671" i="3" s="1"/>
  <c r="HWV671" i="3" s="1"/>
  <c r="HWU671" i="3" s="1"/>
  <c r="HWT671" i="3" s="1"/>
  <c r="HWS671" i="3" s="1"/>
  <c r="HWR671" i="3" s="1"/>
  <c r="HWQ671" i="3" s="1"/>
  <c r="HWP671" i="3" s="1"/>
  <c r="HWO671" i="3" s="1"/>
  <c r="HWN671" i="3" s="1"/>
  <c r="HWM671" i="3" s="1"/>
  <c r="HWL671" i="3" s="1"/>
  <c r="HWK671" i="3" s="1"/>
  <c r="HWJ671" i="3" s="1"/>
  <c r="HWI671" i="3" s="1"/>
  <c r="HWH671" i="3" s="1"/>
  <c r="HWG671" i="3" s="1"/>
  <c r="HWF671" i="3" s="1"/>
  <c r="HWE671" i="3" s="1"/>
  <c r="HWD671" i="3" s="1"/>
  <c r="HWC671" i="3" s="1"/>
  <c r="HWB671" i="3" s="1"/>
  <c r="HWA671" i="3" s="1"/>
  <c r="HVZ671" i="3" s="1"/>
  <c r="HVY671" i="3" s="1"/>
  <c r="HVX671" i="3" s="1"/>
  <c r="HVW671" i="3" s="1"/>
  <c r="HVV671" i="3" s="1"/>
  <c r="HVU671" i="3" s="1"/>
  <c r="HVT671" i="3" s="1"/>
  <c r="HVS671" i="3" s="1"/>
  <c r="HVR671" i="3" s="1"/>
  <c r="HVQ671" i="3" s="1"/>
  <c r="HVP671" i="3" s="1"/>
  <c r="HVO671" i="3" s="1"/>
  <c r="HVN671" i="3" s="1"/>
  <c r="HVM671" i="3" s="1"/>
  <c r="HVL671" i="3" s="1"/>
  <c r="HVK671" i="3" s="1"/>
  <c r="HVJ671" i="3" s="1"/>
  <c r="HVI671" i="3" s="1"/>
  <c r="HVH671" i="3" s="1"/>
  <c r="HVG671" i="3" s="1"/>
  <c r="HVF671" i="3" s="1"/>
  <c r="HVE671" i="3" s="1"/>
  <c r="HVD671" i="3" s="1"/>
  <c r="HVC671" i="3" s="1"/>
  <c r="HVB671" i="3" s="1"/>
  <c r="HVA671" i="3" s="1"/>
  <c r="HUZ671" i="3" s="1"/>
  <c r="HUY671" i="3" s="1"/>
  <c r="HUX671" i="3" s="1"/>
  <c r="HUW671" i="3" s="1"/>
  <c r="HUV671" i="3" s="1"/>
  <c r="HUU671" i="3" s="1"/>
  <c r="HUT671" i="3" s="1"/>
  <c r="HUS671" i="3" s="1"/>
  <c r="HUR671" i="3" s="1"/>
  <c r="HUQ671" i="3" s="1"/>
  <c r="HUP671" i="3" s="1"/>
  <c r="HUO671" i="3" s="1"/>
  <c r="HUN671" i="3" s="1"/>
  <c r="HUM671" i="3" s="1"/>
  <c r="HUL671" i="3" s="1"/>
  <c r="HUK671" i="3" s="1"/>
  <c r="HUJ671" i="3" s="1"/>
  <c r="HUI671" i="3" s="1"/>
  <c r="HUH671" i="3" s="1"/>
  <c r="HUG671" i="3" s="1"/>
  <c r="HUF671" i="3" s="1"/>
  <c r="HUE671" i="3" s="1"/>
  <c r="HUD671" i="3" s="1"/>
  <c r="HUC671" i="3" s="1"/>
  <c r="HUB671" i="3" s="1"/>
  <c r="HUA671" i="3" s="1"/>
  <c r="HTZ671" i="3" s="1"/>
  <c r="HTY671" i="3" s="1"/>
  <c r="HTX671" i="3" s="1"/>
  <c r="HTW671" i="3" s="1"/>
  <c r="HTV671" i="3" s="1"/>
  <c r="HTU671" i="3" s="1"/>
  <c r="HTT671" i="3" s="1"/>
  <c r="HTS671" i="3" s="1"/>
  <c r="HTR671" i="3" s="1"/>
  <c r="HTQ671" i="3" s="1"/>
  <c r="HTP671" i="3" s="1"/>
  <c r="HTO671" i="3" s="1"/>
  <c r="HTN671" i="3" s="1"/>
  <c r="HTM671" i="3" s="1"/>
  <c r="HTL671" i="3" s="1"/>
  <c r="HTK671" i="3" s="1"/>
  <c r="HTJ671" i="3" s="1"/>
  <c r="HTI671" i="3" s="1"/>
  <c r="HTH671" i="3" s="1"/>
  <c r="HTG671" i="3" s="1"/>
  <c r="HTF671" i="3" s="1"/>
  <c r="HTE671" i="3" s="1"/>
  <c r="HTD671" i="3" s="1"/>
  <c r="HTC671" i="3" s="1"/>
  <c r="HTB671" i="3" s="1"/>
  <c r="HTA671" i="3" s="1"/>
  <c r="HSZ671" i="3" s="1"/>
  <c r="HSY671" i="3" s="1"/>
  <c r="HSX671" i="3" s="1"/>
  <c r="HSW671" i="3" s="1"/>
  <c r="HSV671" i="3" s="1"/>
  <c r="HSU671" i="3" s="1"/>
  <c r="HST671" i="3" s="1"/>
  <c r="HSS671" i="3" s="1"/>
  <c r="HSR671" i="3" s="1"/>
  <c r="HSQ671" i="3" s="1"/>
  <c r="HSP671" i="3" s="1"/>
  <c r="HSO671" i="3" s="1"/>
  <c r="HSN671" i="3" s="1"/>
  <c r="HSM671" i="3" s="1"/>
  <c r="HSL671" i="3" s="1"/>
  <c r="HSK671" i="3" s="1"/>
  <c r="HSJ671" i="3" s="1"/>
  <c r="HSI671" i="3" s="1"/>
  <c r="HSH671" i="3" s="1"/>
  <c r="HSG671" i="3" s="1"/>
  <c r="HSF671" i="3" s="1"/>
  <c r="HSE671" i="3" s="1"/>
  <c r="HSD671" i="3" s="1"/>
  <c r="HSC671" i="3" s="1"/>
  <c r="HSB671" i="3" s="1"/>
  <c r="HSA671" i="3" s="1"/>
  <c r="HRZ671" i="3" s="1"/>
  <c r="HRY671" i="3" s="1"/>
  <c r="HRX671" i="3" s="1"/>
  <c r="HRW671" i="3" s="1"/>
  <c r="HRV671" i="3" s="1"/>
  <c r="HRU671" i="3" s="1"/>
  <c r="HRT671" i="3" s="1"/>
  <c r="HRS671" i="3" s="1"/>
  <c r="HRR671" i="3" s="1"/>
  <c r="HRQ671" i="3" s="1"/>
  <c r="HRP671" i="3" s="1"/>
  <c r="HRO671" i="3" s="1"/>
  <c r="HRN671" i="3" s="1"/>
  <c r="HRM671" i="3" s="1"/>
  <c r="HRL671" i="3" s="1"/>
  <c r="HRK671" i="3" s="1"/>
  <c r="HRJ671" i="3" s="1"/>
  <c r="HRI671" i="3" s="1"/>
  <c r="HRH671" i="3" s="1"/>
  <c r="HRG671" i="3" s="1"/>
  <c r="HRF671" i="3" s="1"/>
  <c r="HRE671" i="3" s="1"/>
  <c r="HRD671" i="3" s="1"/>
  <c r="HRC671" i="3" s="1"/>
  <c r="HRB671" i="3" s="1"/>
  <c r="HRA671" i="3" s="1"/>
  <c r="HQZ671" i="3" s="1"/>
  <c r="HQY671" i="3" s="1"/>
  <c r="HQX671" i="3" s="1"/>
  <c r="HQW671" i="3" s="1"/>
  <c r="HQV671" i="3" s="1"/>
  <c r="HQU671" i="3" s="1"/>
  <c r="HQT671" i="3" s="1"/>
  <c r="HQS671" i="3" s="1"/>
  <c r="HQR671" i="3" s="1"/>
  <c r="HQQ671" i="3" s="1"/>
  <c r="HQP671" i="3" s="1"/>
  <c r="HQO671" i="3" s="1"/>
  <c r="HQN671" i="3" s="1"/>
  <c r="HQM671" i="3" s="1"/>
  <c r="HQL671" i="3" s="1"/>
  <c r="HQK671" i="3" s="1"/>
  <c r="HQJ671" i="3" s="1"/>
  <c r="HQI671" i="3" s="1"/>
  <c r="HQH671" i="3" s="1"/>
  <c r="HQG671" i="3" s="1"/>
  <c r="HQF671" i="3" s="1"/>
  <c r="HQE671" i="3" s="1"/>
  <c r="HQD671" i="3" s="1"/>
  <c r="HQC671" i="3" s="1"/>
  <c r="HQB671" i="3" s="1"/>
  <c r="HQA671" i="3" s="1"/>
  <c r="HPZ671" i="3" s="1"/>
  <c r="HPY671" i="3" s="1"/>
  <c r="HPX671" i="3" s="1"/>
  <c r="HPW671" i="3" s="1"/>
  <c r="HPV671" i="3" s="1"/>
  <c r="HPU671" i="3" s="1"/>
  <c r="HPT671" i="3" s="1"/>
  <c r="HPS671" i="3" s="1"/>
  <c r="HPR671" i="3" s="1"/>
  <c r="HPQ671" i="3" s="1"/>
  <c r="HPP671" i="3" s="1"/>
  <c r="HPO671" i="3" s="1"/>
  <c r="HPN671" i="3" s="1"/>
  <c r="HPM671" i="3" s="1"/>
  <c r="HPL671" i="3" s="1"/>
  <c r="HPK671" i="3" s="1"/>
  <c r="HPJ671" i="3" s="1"/>
  <c r="HPI671" i="3" s="1"/>
  <c r="HPH671" i="3" s="1"/>
  <c r="HPG671" i="3" s="1"/>
  <c r="HPF671" i="3" s="1"/>
  <c r="HPE671" i="3" s="1"/>
  <c r="HPD671" i="3" s="1"/>
  <c r="HPC671" i="3" s="1"/>
  <c r="HPB671" i="3" s="1"/>
  <c r="HPA671" i="3" s="1"/>
  <c r="HOZ671" i="3" s="1"/>
  <c r="HOY671" i="3" s="1"/>
  <c r="HOX671" i="3" s="1"/>
  <c r="HOW671" i="3" s="1"/>
  <c r="HOV671" i="3" s="1"/>
  <c r="HOU671" i="3" s="1"/>
  <c r="HOT671" i="3" s="1"/>
  <c r="HOS671" i="3" s="1"/>
  <c r="HOR671" i="3" s="1"/>
  <c r="HOQ671" i="3" s="1"/>
  <c r="HOP671" i="3" s="1"/>
  <c r="HOO671" i="3" s="1"/>
  <c r="HON671" i="3" s="1"/>
  <c r="HOM671" i="3" s="1"/>
  <c r="HOL671" i="3" s="1"/>
  <c r="HOK671" i="3" s="1"/>
  <c r="HOJ671" i="3" s="1"/>
  <c r="HOI671" i="3" s="1"/>
  <c r="HOH671" i="3" s="1"/>
  <c r="HOG671" i="3" s="1"/>
  <c r="HOF671" i="3" s="1"/>
  <c r="HOE671" i="3" s="1"/>
  <c r="HOD671" i="3" s="1"/>
  <c r="HOC671" i="3" s="1"/>
  <c r="HOB671" i="3" s="1"/>
  <c r="HOA671" i="3" s="1"/>
  <c r="HNZ671" i="3" s="1"/>
  <c r="HNY671" i="3" s="1"/>
  <c r="HNX671" i="3" s="1"/>
  <c r="HNW671" i="3" s="1"/>
  <c r="HNV671" i="3" s="1"/>
  <c r="HNU671" i="3" s="1"/>
  <c r="HNT671" i="3" s="1"/>
  <c r="HNS671" i="3" s="1"/>
  <c r="HNR671" i="3" s="1"/>
  <c r="HNQ671" i="3" s="1"/>
  <c r="HNP671" i="3" s="1"/>
  <c r="HNO671" i="3" s="1"/>
  <c r="HNN671" i="3" s="1"/>
  <c r="HNM671" i="3" s="1"/>
  <c r="HNL671" i="3" s="1"/>
  <c r="HNK671" i="3" s="1"/>
  <c r="HNJ671" i="3" s="1"/>
  <c r="HNI671" i="3" s="1"/>
  <c r="HNH671" i="3" s="1"/>
  <c r="HNG671" i="3" s="1"/>
  <c r="HNF671" i="3" s="1"/>
  <c r="HNE671" i="3" s="1"/>
  <c r="HND671" i="3" s="1"/>
  <c r="HNC671" i="3" s="1"/>
  <c r="HNB671" i="3" s="1"/>
  <c r="HNA671" i="3" s="1"/>
  <c r="HMZ671" i="3" s="1"/>
  <c r="HMY671" i="3" s="1"/>
  <c r="HMX671" i="3" s="1"/>
  <c r="HMW671" i="3" s="1"/>
  <c r="HMV671" i="3" s="1"/>
  <c r="HMU671" i="3" s="1"/>
  <c r="HMT671" i="3" s="1"/>
  <c r="HMS671" i="3" s="1"/>
  <c r="HMR671" i="3" s="1"/>
  <c r="HMQ671" i="3" s="1"/>
  <c r="HMP671" i="3" s="1"/>
  <c r="HMO671" i="3" s="1"/>
  <c r="HMN671" i="3" s="1"/>
  <c r="HMM671" i="3" s="1"/>
  <c r="HML671" i="3" s="1"/>
  <c r="HMK671" i="3" s="1"/>
  <c r="HMJ671" i="3" s="1"/>
  <c r="HMI671" i="3" s="1"/>
  <c r="HMH671" i="3" s="1"/>
  <c r="HMG671" i="3" s="1"/>
  <c r="HMF671" i="3" s="1"/>
  <c r="HME671" i="3" s="1"/>
  <c r="HMD671" i="3" s="1"/>
  <c r="HMC671" i="3" s="1"/>
  <c r="HMB671" i="3" s="1"/>
  <c r="HMA671" i="3" s="1"/>
  <c r="HLZ671" i="3" s="1"/>
  <c r="HLY671" i="3" s="1"/>
  <c r="HLX671" i="3" s="1"/>
  <c r="HLW671" i="3" s="1"/>
  <c r="HLV671" i="3" s="1"/>
  <c r="HLU671" i="3" s="1"/>
  <c r="HLT671" i="3" s="1"/>
  <c r="HLS671" i="3" s="1"/>
  <c r="HLR671" i="3" s="1"/>
  <c r="HLQ671" i="3" s="1"/>
  <c r="HLP671" i="3" s="1"/>
  <c r="HLO671" i="3" s="1"/>
  <c r="HLN671" i="3" s="1"/>
  <c r="HLM671" i="3" s="1"/>
  <c r="HLL671" i="3" s="1"/>
  <c r="HLK671" i="3" s="1"/>
  <c r="HLJ671" i="3" s="1"/>
  <c r="HLI671" i="3" s="1"/>
  <c r="HLH671" i="3" s="1"/>
  <c r="HLG671" i="3" s="1"/>
  <c r="HLF671" i="3" s="1"/>
  <c r="HLE671" i="3" s="1"/>
  <c r="HLD671" i="3" s="1"/>
  <c r="HLC671" i="3" s="1"/>
  <c r="HLB671" i="3" s="1"/>
  <c r="HLA671" i="3" s="1"/>
  <c r="HKZ671" i="3" s="1"/>
  <c r="HKY671" i="3" s="1"/>
  <c r="HKX671" i="3" s="1"/>
  <c r="HKW671" i="3" s="1"/>
  <c r="HKV671" i="3" s="1"/>
  <c r="HKU671" i="3" s="1"/>
  <c r="HKT671" i="3" s="1"/>
  <c r="HKS671" i="3" s="1"/>
  <c r="HKR671" i="3" s="1"/>
  <c r="HKQ671" i="3" s="1"/>
  <c r="HKP671" i="3" s="1"/>
  <c r="HKO671" i="3" s="1"/>
  <c r="HKN671" i="3" s="1"/>
  <c r="HKM671" i="3" s="1"/>
  <c r="HKL671" i="3" s="1"/>
  <c r="HKK671" i="3" s="1"/>
  <c r="HKJ671" i="3" s="1"/>
  <c r="HKI671" i="3" s="1"/>
  <c r="HKH671" i="3" s="1"/>
  <c r="HKG671" i="3" s="1"/>
  <c r="HKF671" i="3" s="1"/>
  <c r="HKE671" i="3" s="1"/>
  <c r="HKD671" i="3" s="1"/>
  <c r="HKC671" i="3" s="1"/>
  <c r="HKB671" i="3" s="1"/>
  <c r="HKA671" i="3" s="1"/>
  <c r="HJZ671" i="3" s="1"/>
  <c r="HJY671" i="3" s="1"/>
  <c r="HJX671" i="3" s="1"/>
  <c r="HJW671" i="3" s="1"/>
  <c r="HJV671" i="3" s="1"/>
  <c r="HJU671" i="3" s="1"/>
  <c r="HJT671" i="3" s="1"/>
  <c r="HJS671" i="3" s="1"/>
  <c r="HJR671" i="3" s="1"/>
  <c r="HJQ671" i="3" s="1"/>
  <c r="HJP671" i="3" s="1"/>
  <c r="HJO671" i="3" s="1"/>
  <c r="HJN671" i="3" s="1"/>
  <c r="HJM671" i="3" s="1"/>
  <c r="HJL671" i="3" s="1"/>
  <c r="HJK671" i="3" s="1"/>
  <c r="HJJ671" i="3" s="1"/>
  <c r="HJI671" i="3" s="1"/>
  <c r="HJH671" i="3" s="1"/>
  <c r="HJG671" i="3" s="1"/>
  <c r="HJF671" i="3" s="1"/>
  <c r="HJE671" i="3" s="1"/>
  <c r="HJD671" i="3" s="1"/>
  <c r="HJC671" i="3" s="1"/>
  <c r="HJB671" i="3" s="1"/>
  <c r="HJA671" i="3" s="1"/>
  <c r="HIZ671" i="3" s="1"/>
  <c r="HIY671" i="3" s="1"/>
  <c r="HIX671" i="3" s="1"/>
  <c r="HIW671" i="3" s="1"/>
  <c r="HIV671" i="3" s="1"/>
  <c r="HIU671" i="3" s="1"/>
  <c r="HIT671" i="3" s="1"/>
  <c r="HIS671" i="3" s="1"/>
  <c r="HIR671" i="3" s="1"/>
  <c r="HIQ671" i="3" s="1"/>
  <c r="HIP671" i="3" s="1"/>
  <c r="HIO671" i="3" s="1"/>
  <c r="HIN671" i="3" s="1"/>
  <c r="HIM671" i="3" s="1"/>
  <c r="HIL671" i="3" s="1"/>
  <c r="HIK671" i="3" s="1"/>
  <c r="HIJ671" i="3" s="1"/>
  <c r="HII671" i="3" s="1"/>
  <c r="HIH671" i="3" s="1"/>
  <c r="HIG671" i="3" s="1"/>
  <c r="HIF671" i="3" s="1"/>
  <c r="HIE671" i="3" s="1"/>
  <c r="HID671" i="3" s="1"/>
  <c r="HIC671" i="3" s="1"/>
  <c r="HIB671" i="3" s="1"/>
  <c r="HIA671" i="3" s="1"/>
  <c r="HHZ671" i="3" s="1"/>
  <c r="HHY671" i="3" s="1"/>
  <c r="HHX671" i="3" s="1"/>
  <c r="HHW671" i="3" s="1"/>
  <c r="HHV671" i="3" s="1"/>
  <c r="HHU671" i="3" s="1"/>
  <c r="HHT671" i="3" s="1"/>
  <c r="HHS671" i="3" s="1"/>
  <c r="HHR671" i="3" s="1"/>
  <c r="HHQ671" i="3" s="1"/>
  <c r="HHP671" i="3" s="1"/>
  <c r="HHO671" i="3" s="1"/>
  <c r="HHN671" i="3" s="1"/>
  <c r="HHM671" i="3" s="1"/>
  <c r="HHL671" i="3" s="1"/>
  <c r="HHK671" i="3" s="1"/>
  <c r="HHJ671" i="3" s="1"/>
  <c r="HHI671" i="3" s="1"/>
  <c r="HHH671" i="3" s="1"/>
  <c r="HHG671" i="3" s="1"/>
  <c r="HHF671" i="3" s="1"/>
  <c r="HHE671" i="3" s="1"/>
  <c r="HHD671" i="3" s="1"/>
  <c r="HHC671" i="3" s="1"/>
  <c r="HHB671" i="3" s="1"/>
  <c r="HHA671" i="3" s="1"/>
  <c r="HGZ671" i="3" s="1"/>
  <c r="HGY671" i="3" s="1"/>
  <c r="HGX671" i="3" s="1"/>
  <c r="HGW671" i="3" s="1"/>
  <c r="HGV671" i="3" s="1"/>
  <c r="HGU671" i="3" s="1"/>
  <c r="HGT671" i="3" s="1"/>
  <c r="HGS671" i="3" s="1"/>
  <c r="HGR671" i="3" s="1"/>
  <c r="HGQ671" i="3" s="1"/>
  <c r="HGP671" i="3" s="1"/>
  <c r="HGO671" i="3" s="1"/>
  <c r="HGN671" i="3" s="1"/>
  <c r="HGM671" i="3" s="1"/>
  <c r="HGL671" i="3" s="1"/>
  <c r="HGK671" i="3" s="1"/>
  <c r="HGJ671" i="3" s="1"/>
  <c r="HGI671" i="3" s="1"/>
  <c r="HGH671" i="3" s="1"/>
  <c r="HGG671" i="3" s="1"/>
  <c r="HGF671" i="3" s="1"/>
  <c r="HGE671" i="3" s="1"/>
  <c r="HGD671" i="3" s="1"/>
  <c r="HGC671" i="3" s="1"/>
  <c r="HGB671" i="3" s="1"/>
  <c r="HGA671" i="3" s="1"/>
  <c r="HFZ671" i="3" s="1"/>
  <c r="HFY671" i="3" s="1"/>
  <c r="HFX671" i="3" s="1"/>
  <c r="HFW671" i="3" s="1"/>
  <c r="HFV671" i="3" s="1"/>
  <c r="HFU671" i="3" s="1"/>
  <c r="HFT671" i="3" s="1"/>
  <c r="HFS671" i="3" s="1"/>
  <c r="HFR671" i="3" s="1"/>
  <c r="HFQ671" i="3" s="1"/>
  <c r="HFP671" i="3" s="1"/>
  <c r="HFO671" i="3" s="1"/>
  <c r="HFN671" i="3" s="1"/>
  <c r="HFM671" i="3" s="1"/>
  <c r="HFL671" i="3" s="1"/>
  <c r="HFK671" i="3" s="1"/>
  <c r="HFJ671" i="3" s="1"/>
  <c r="HFI671" i="3" s="1"/>
  <c r="HFH671" i="3" s="1"/>
  <c r="HFG671" i="3" s="1"/>
  <c r="HFF671" i="3" s="1"/>
  <c r="HFE671" i="3" s="1"/>
  <c r="HFD671" i="3" s="1"/>
  <c r="HFC671" i="3" s="1"/>
  <c r="HFB671" i="3" s="1"/>
  <c r="HFA671" i="3" s="1"/>
  <c r="HEZ671" i="3" s="1"/>
  <c r="HEY671" i="3" s="1"/>
  <c r="HEX671" i="3" s="1"/>
  <c r="HEW671" i="3" s="1"/>
  <c r="HEV671" i="3" s="1"/>
  <c r="HEU671" i="3" s="1"/>
  <c r="HET671" i="3" s="1"/>
  <c r="HES671" i="3" s="1"/>
  <c r="HER671" i="3" s="1"/>
  <c r="HEQ671" i="3" s="1"/>
  <c r="HEP671" i="3" s="1"/>
  <c r="HEO671" i="3" s="1"/>
  <c r="HEN671" i="3" s="1"/>
  <c r="HEM671" i="3" s="1"/>
  <c r="HEL671" i="3" s="1"/>
  <c r="HEK671" i="3" s="1"/>
  <c r="HEJ671" i="3" s="1"/>
  <c r="HEI671" i="3" s="1"/>
  <c r="HEH671" i="3" s="1"/>
  <c r="HEG671" i="3" s="1"/>
  <c r="HEF671" i="3" s="1"/>
  <c r="HEE671" i="3" s="1"/>
  <c r="HED671" i="3" s="1"/>
  <c r="HEC671" i="3" s="1"/>
  <c r="HEB671" i="3" s="1"/>
  <c r="HEA671" i="3" s="1"/>
  <c r="HDZ671" i="3" s="1"/>
  <c r="HDY671" i="3" s="1"/>
  <c r="HDX671" i="3" s="1"/>
  <c r="HDW671" i="3" s="1"/>
  <c r="HDV671" i="3" s="1"/>
  <c r="HDU671" i="3" s="1"/>
  <c r="HDT671" i="3" s="1"/>
  <c r="HDS671" i="3" s="1"/>
  <c r="HDR671" i="3" s="1"/>
  <c r="HDQ671" i="3" s="1"/>
  <c r="HDP671" i="3" s="1"/>
  <c r="HDO671" i="3" s="1"/>
  <c r="HDN671" i="3" s="1"/>
  <c r="HDM671" i="3" s="1"/>
  <c r="HDL671" i="3" s="1"/>
  <c r="HDK671" i="3" s="1"/>
  <c r="HDJ671" i="3" s="1"/>
  <c r="HDI671" i="3" s="1"/>
  <c r="HDH671" i="3" s="1"/>
  <c r="HDG671" i="3" s="1"/>
  <c r="HDF671" i="3" s="1"/>
  <c r="HDE671" i="3" s="1"/>
  <c r="HDD671" i="3" s="1"/>
  <c r="HDC671" i="3" s="1"/>
  <c r="HDB671" i="3" s="1"/>
  <c r="HDA671" i="3" s="1"/>
  <c r="HCZ671" i="3" s="1"/>
  <c r="HCY671" i="3" s="1"/>
  <c r="HCX671" i="3" s="1"/>
  <c r="HCW671" i="3" s="1"/>
  <c r="HCV671" i="3" s="1"/>
  <c r="HCU671" i="3" s="1"/>
  <c r="HCT671" i="3" s="1"/>
  <c r="HCS671" i="3" s="1"/>
  <c r="HCR671" i="3" s="1"/>
  <c r="HCQ671" i="3" s="1"/>
  <c r="HCP671" i="3" s="1"/>
  <c r="HCO671" i="3" s="1"/>
  <c r="HCN671" i="3" s="1"/>
  <c r="HCM671" i="3" s="1"/>
  <c r="HCL671" i="3" s="1"/>
  <c r="HCK671" i="3" s="1"/>
  <c r="HCJ671" i="3" s="1"/>
  <c r="HCI671" i="3" s="1"/>
  <c r="HCH671" i="3" s="1"/>
  <c r="HCG671" i="3" s="1"/>
  <c r="HCF671" i="3" s="1"/>
  <c r="HCE671" i="3" s="1"/>
  <c r="HCD671" i="3" s="1"/>
  <c r="HCC671" i="3" s="1"/>
  <c r="HCB671" i="3" s="1"/>
  <c r="HCA671" i="3" s="1"/>
  <c r="HBZ671" i="3" s="1"/>
  <c r="HBY671" i="3" s="1"/>
  <c r="HBX671" i="3" s="1"/>
  <c r="HBW671" i="3" s="1"/>
  <c r="HBV671" i="3" s="1"/>
  <c r="HBU671" i="3" s="1"/>
  <c r="HBT671" i="3" s="1"/>
  <c r="HBS671" i="3" s="1"/>
  <c r="HBR671" i="3" s="1"/>
  <c r="HBQ671" i="3" s="1"/>
  <c r="HBP671" i="3" s="1"/>
  <c r="HBO671" i="3" s="1"/>
  <c r="HBN671" i="3" s="1"/>
  <c r="HBM671" i="3" s="1"/>
  <c r="HBL671" i="3" s="1"/>
  <c r="HBK671" i="3" s="1"/>
  <c r="HBJ671" i="3" s="1"/>
  <c r="HBI671" i="3" s="1"/>
  <c r="HBH671" i="3" s="1"/>
  <c r="HBG671" i="3" s="1"/>
  <c r="HBF671" i="3" s="1"/>
  <c r="HBE671" i="3" s="1"/>
  <c r="HBD671" i="3" s="1"/>
  <c r="HBC671" i="3" s="1"/>
  <c r="HBB671" i="3" s="1"/>
  <c r="HBA671" i="3" s="1"/>
  <c r="HAZ671" i="3" s="1"/>
  <c r="HAY671" i="3" s="1"/>
  <c r="HAX671" i="3" s="1"/>
  <c r="HAW671" i="3" s="1"/>
  <c r="HAV671" i="3" s="1"/>
  <c r="HAU671" i="3" s="1"/>
  <c r="HAT671" i="3" s="1"/>
  <c r="HAS671" i="3" s="1"/>
  <c r="HAR671" i="3" s="1"/>
  <c r="HAQ671" i="3" s="1"/>
  <c r="HAP671" i="3" s="1"/>
  <c r="HAO671" i="3" s="1"/>
  <c r="HAN671" i="3" s="1"/>
  <c r="HAM671" i="3" s="1"/>
  <c r="HAL671" i="3" s="1"/>
  <c r="HAK671" i="3" s="1"/>
  <c r="HAJ671" i="3" s="1"/>
  <c r="HAI671" i="3" s="1"/>
  <c r="HAH671" i="3" s="1"/>
  <c r="HAG671" i="3" s="1"/>
  <c r="HAF671" i="3" s="1"/>
  <c r="HAE671" i="3" s="1"/>
  <c r="HAD671" i="3" s="1"/>
  <c r="HAC671" i="3" s="1"/>
  <c r="HAB671" i="3" s="1"/>
  <c r="HAA671" i="3" s="1"/>
  <c r="GZZ671" i="3" s="1"/>
  <c r="GZY671" i="3" s="1"/>
  <c r="GZX671" i="3" s="1"/>
  <c r="GZW671" i="3" s="1"/>
  <c r="GZV671" i="3" s="1"/>
  <c r="GZU671" i="3" s="1"/>
  <c r="GZT671" i="3" s="1"/>
  <c r="GZS671" i="3" s="1"/>
  <c r="GZR671" i="3" s="1"/>
  <c r="GZQ671" i="3" s="1"/>
  <c r="GZP671" i="3" s="1"/>
  <c r="GZO671" i="3" s="1"/>
  <c r="GZN671" i="3" s="1"/>
  <c r="GZM671" i="3" s="1"/>
  <c r="GZL671" i="3" s="1"/>
  <c r="GZK671" i="3" s="1"/>
  <c r="GZJ671" i="3" s="1"/>
  <c r="GZI671" i="3" s="1"/>
  <c r="GZH671" i="3" s="1"/>
  <c r="GZG671" i="3" s="1"/>
  <c r="GZF671" i="3" s="1"/>
  <c r="GZE671" i="3" s="1"/>
  <c r="GZD671" i="3" s="1"/>
  <c r="GZC671" i="3" s="1"/>
  <c r="GZB671" i="3" s="1"/>
  <c r="GZA671" i="3" s="1"/>
  <c r="GYZ671" i="3" s="1"/>
  <c r="GYY671" i="3" s="1"/>
  <c r="GYX671" i="3" s="1"/>
  <c r="GYW671" i="3" s="1"/>
  <c r="GYV671" i="3" s="1"/>
  <c r="GYU671" i="3" s="1"/>
  <c r="GYT671" i="3" s="1"/>
  <c r="GYS671" i="3" s="1"/>
  <c r="GYR671" i="3" s="1"/>
  <c r="GYQ671" i="3" s="1"/>
  <c r="GYP671" i="3" s="1"/>
  <c r="GYO671" i="3" s="1"/>
  <c r="GYN671" i="3" s="1"/>
  <c r="GYM671" i="3" s="1"/>
  <c r="GYL671" i="3" s="1"/>
  <c r="GYK671" i="3" s="1"/>
  <c r="GYJ671" i="3" s="1"/>
  <c r="GYI671" i="3" s="1"/>
  <c r="GYH671" i="3" s="1"/>
  <c r="GYG671" i="3" s="1"/>
  <c r="GYF671" i="3" s="1"/>
  <c r="GYE671" i="3" s="1"/>
  <c r="GYD671" i="3" s="1"/>
  <c r="GYC671" i="3" s="1"/>
  <c r="GYB671" i="3" s="1"/>
  <c r="GYA671" i="3" s="1"/>
  <c r="GXZ671" i="3" s="1"/>
  <c r="GXY671" i="3" s="1"/>
  <c r="GXX671" i="3" s="1"/>
  <c r="GXW671" i="3" s="1"/>
  <c r="GXV671" i="3" s="1"/>
  <c r="GXU671" i="3" s="1"/>
  <c r="GXT671" i="3" s="1"/>
  <c r="GXS671" i="3" s="1"/>
  <c r="GXR671" i="3" s="1"/>
  <c r="GXQ671" i="3" s="1"/>
  <c r="GXP671" i="3" s="1"/>
  <c r="GXO671" i="3" s="1"/>
  <c r="GXN671" i="3" s="1"/>
  <c r="GXM671" i="3" s="1"/>
  <c r="GXL671" i="3" s="1"/>
  <c r="GXK671" i="3" s="1"/>
  <c r="GXJ671" i="3" s="1"/>
  <c r="GXI671" i="3" s="1"/>
  <c r="GXH671" i="3" s="1"/>
  <c r="GXG671" i="3" s="1"/>
  <c r="GXF671" i="3" s="1"/>
  <c r="GXE671" i="3" s="1"/>
  <c r="GXD671" i="3" s="1"/>
  <c r="GXC671" i="3" s="1"/>
  <c r="GXB671" i="3" s="1"/>
  <c r="GXA671" i="3" s="1"/>
  <c r="GWZ671" i="3" s="1"/>
  <c r="GWY671" i="3" s="1"/>
  <c r="GWX671" i="3" s="1"/>
  <c r="GWW671" i="3" s="1"/>
  <c r="GWV671" i="3" s="1"/>
  <c r="GWU671" i="3" s="1"/>
  <c r="GWT671" i="3" s="1"/>
  <c r="GWS671" i="3" s="1"/>
  <c r="GWR671" i="3" s="1"/>
  <c r="GWQ671" i="3" s="1"/>
  <c r="GWP671" i="3" s="1"/>
  <c r="GWO671" i="3" s="1"/>
  <c r="GWN671" i="3" s="1"/>
  <c r="GWM671" i="3" s="1"/>
  <c r="GWL671" i="3" s="1"/>
  <c r="GWK671" i="3" s="1"/>
  <c r="GWJ671" i="3" s="1"/>
  <c r="GWI671" i="3" s="1"/>
  <c r="GWH671" i="3" s="1"/>
  <c r="GWG671" i="3" s="1"/>
  <c r="GWF671" i="3" s="1"/>
  <c r="GWE671" i="3" s="1"/>
  <c r="GWD671" i="3" s="1"/>
  <c r="GWC671" i="3" s="1"/>
  <c r="GWB671" i="3" s="1"/>
  <c r="GWA671" i="3" s="1"/>
  <c r="GVZ671" i="3" s="1"/>
  <c r="GVY671" i="3" s="1"/>
  <c r="GVX671" i="3" s="1"/>
  <c r="GVW671" i="3" s="1"/>
  <c r="GVV671" i="3" s="1"/>
  <c r="GVU671" i="3" s="1"/>
  <c r="GVT671" i="3" s="1"/>
  <c r="GVS671" i="3" s="1"/>
  <c r="GVR671" i="3" s="1"/>
  <c r="GVQ671" i="3" s="1"/>
  <c r="GVP671" i="3" s="1"/>
  <c r="GVO671" i="3" s="1"/>
  <c r="GVN671" i="3" s="1"/>
  <c r="GVM671" i="3" s="1"/>
  <c r="GVL671" i="3" s="1"/>
  <c r="GVK671" i="3" s="1"/>
  <c r="GVJ671" i="3" s="1"/>
  <c r="GVI671" i="3" s="1"/>
  <c r="GVH671" i="3" s="1"/>
  <c r="GVG671" i="3" s="1"/>
  <c r="GVF671" i="3" s="1"/>
  <c r="GVE671" i="3" s="1"/>
  <c r="GVD671" i="3" s="1"/>
  <c r="GVC671" i="3" s="1"/>
  <c r="GVB671" i="3" s="1"/>
  <c r="GVA671" i="3" s="1"/>
  <c r="GUZ671" i="3" s="1"/>
  <c r="GUY671" i="3" s="1"/>
  <c r="GUX671" i="3" s="1"/>
  <c r="GUW671" i="3" s="1"/>
  <c r="GUV671" i="3" s="1"/>
  <c r="GUU671" i="3" s="1"/>
  <c r="GUT671" i="3" s="1"/>
  <c r="GUS671" i="3" s="1"/>
  <c r="GUR671" i="3" s="1"/>
  <c r="GUQ671" i="3" s="1"/>
  <c r="GUP671" i="3" s="1"/>
  <c r="GUO671" i="3" s="1"/>
  <c r="GUN671" i="3" s="1"/>
  <c r="GUM671" i="3" s="1"/>
  <c r="GUL671" i="3" s="1"/>
  <c r="GUK671" i="3" s="1"/>
  <c r="GUJ671" i="3" s="1"/>
  <c r="GUI671" i="3" s="1"/>
  <c r="GUH671" i="3" s="1"/>
  <c r="GUG671" i="3" s="1"/>
  <c r="GUF671" i="3" s="1"/>
  <c r="GUE671" i="3" s="1"/>
  <c r="GUD671" i="3" s="1"/>
  <c r="GUC671" i="3" s="1"/>
  <c r="GUB671" i="3" s="1"/>
  <c r="GUA671" i="3" s="1"/>
  <c r="GTZ671" i="3" s="1"/>
  <c r="GTY671" i="3" s="1"/>
  <c r="GTX671" i="3" s="1"/>
  <c r="GTW671" i="3" s="1"/>
  <c r="GTV671" i="3" s="1"/>
  <c r="GTU671" i="3" s="1"/>
  <c r="GTT671" i="3" s="1"/>
  <c r="GTS671" i="3" s="1"/>
  <c r="GTR671" i="3" s="1"/>
  <c r="GTQ671" i="3" s="1"/>
  <c r="GTP671" i="3" s="1"/>
  <c r="GTO671" i="3" s="1"/>
  <c r="GTN671" i="3" s="1"/>
  <c r="GTM671" i="3" s="1"/>
  <c r="GTL671" i="3" s="1"/>
  <c r="GTK671" i="3" s="1"/>
  <c r="GTJ671" i="3" s="1"/>
  <c r="GTI671" i="3" s="1"/>
  <c r="GTH671" i="3" s="1"/>
  <c r="GTG671" i="3" s="1"/>
  <c r="GTF671" i="3" s="1"/>
  <c r="GTE671" i="3" s="1"/>
  <c r="GTD671" i="3" s="1"/>
  <c r="GTC671" i="3" s="1"/>
  <c r="GTB671" i="3" s="1"/>
  <c r="GTA671" i="3" s="1"/>
  <c r="GSZ671" i="3" s="1"/>
  <c r="GSY671" i="3" s="1"/>
  <c r="GSX671" i="3" s="1"/>
  <c r="GSW671" i="3" s="1"/>
  <c r="GSV671" i="3" s="1"/>
  <c r="GSU671" i="3" s="1"/>
  <c r="GST671" i="3" s="1"/>
  <c r="GSS671" i="3" s="1"/>
  <c r="GSR671" i="3" s="1"/>
  <c r="GSQ671" i="3" s="1"/>
  <c r="GSP671" i="3" s="1"/>
  <c r="GSO671" i="3" s="1"/>
  <c r="GSN671" i="3" s="1"/>
  <c r="GSM671" i="3" s="1"/>
  <c r="GSL671" i="3" s="1"/>
  <c r="GSK671" i="3" s="1"/>
  <c r="GSJ671" i="3" s="1"/>
  <c r="GSI671" i="3" s="1"/>
  <c r="GSH671" i="3" s="1"/>
  <c r="GSG671" i="3" s="1"/>
  <c r="GSF671" i="3" s="1"/>
  <c r="GSE671" i="3" s="1"/>
  <c r="GSD671" i="3" s="1"/>
  <c r="GSC671" i="3" s="1"/>
  <c r="GSB671" i="3" s="1"/>
  <c r="GSA671" i="3" s="1"/>
  <c r="GRZ671" i="3" s="1"/>
  <c r="GRY671" i="3" s="1"/>
  <c r="GRX671" i="3" s="1"/>
  <c r="GRW671" i="3" s="1"/>
  <c r="GRV671" i="3" s="1"/>
  <c r="GRU671" i="3" s="1"/>
  <c r="GRT671" i="3" s="1"/>
  <c r="GRS671" i="3" s="1"/>
  <c r="GRR671" i="3" s="1"/>
  <c r="GRQ671" i="3" s="1"/>
  <c r="GRP671" i="3" s="1"/>
  <c r="GRO671" i="3" s="1"/>
  <c r="GRN671" i="3" s="1"/>
  <c r="GRM671" i="3" s="1"/>
  <c r="GRL671" i="3" s="1"/>
  <c r="GRK671" i="3" s="1"/>
  <c r="GRJ671" i="3" s="1"/>
  <c r="GRI671" i="3" s="1"/>
  <c r="GRH671" i="3" s="1"/>
  <c r="GRG671" i="3" s="1"/>
  <c r="GRF671" i="3" s="1"/>
  <c r="GRE671" i="3" s="1"/>
  <c r="GRD671" i="3" s="1"/>
  <c r="GRC671" i="3" s="1"/>
  <c r="GRB671" i="3" s="1"/>
  <c r="GRA671" i="3" s="1"/>
  <c r="GQZ671" i="3" s="1"/>
  <c r="GQY671" i="3" s="1"/>
  <c r="GQX671" i="3" s="1"/>
  <c r="GQW671" i="3" s="1"/>
  <c r="GQV671" i="3" s="1"/>
  <c r="GQU671" i="3" s="1"/>
  <c r="GQT671" i="3" s="1"/>
  <c r="GQS671" i="3" s="1"/>
  <c r="GQR671" i="3" s="1"/>
  <c r="GQQ671" i="3" s="1"/>
  <c r="GQP671" i="3" s="1"/>
  <c r="GQO671" i="3" s="1"/>
  <c r="GQN671" i="3" s="1"/>
  <c r="GQM671" i="3" s="1"/>
  <c r="GQL671" i="3" s="1"/>
  <c r="GQK671" i="3" s="1"/>
  <c r="GQJ671" i="3" s="1"/>
  <c r="GQI671" i="3" s="1"/>
  <c r="GQH671" i="3" s="1"/>
  <c r="GQG671" i="3" s="1"/>
  <c r="GQF671" i="3" s="1"/>
  <c r="GQE671" i="3" s="1"/>
  <c r="GQD671" i="3" s="1"/>
  <c r="GQC671" i="3" s="1"/>
  <c r="GQB671" i="3" s="1"/>
  <c r="GQA671" i="3" s="1"/>
  <c r="GPZ671" i="3" s="1"/>
  <c r="GPY671" i="3" s="1"/>
  <c r="GPX671" i="3" s="1"/>
  <c r="GPW671" i="3" s="1"/>
  <c r="GPV671" i="3" s="1"/>
  <c r="GPU671" i="3" s="1"/>
  <c r="GPT671" i="3" s="1"/>
  <c r="GPS671" i="3" s="1"/>
  <c r="GPR671" i="3" s="1"/>
  <c r="GPQ671" i="3" s="1"/>
  <c r="GPP671" i="3" s="1"/>
  <c r="GPO671" i="3" s="1"/>
  <c r="GPN671" i="3" s="1"/>
  <c r="GPM671" i="3" s="1"/>
  <c r="GPL671" i="3" s="1"/>
  <c r="GPK671" i="3" s="1"/>
  <c r="GPJ671" i="3" s="1"/>
  <c r="GPI671" i="3" s="1"/>
  <c r="GPH671" i="3" s="1"/>
  <c r="GPG671" i="3" s="1"/>
  <c r="GPF671" i="3" s="1"/>
  <c r="GPE671" i="3" s="1"/>
  <c r="GPD671" i="3" s="1"/>
  <c r="GPC671" i="3" s="1"/>
  <c r="GPB671" i="3" s="1"/>
  <c r="GPA671" i="3" s="1"/>
  <c r="GOZ671" i="3" s="1"/>
  <c r="GOY671" i="3" s="1"/>
  <c r="GOX671" i="3" s="1"/>
  <c r="GOW671" i="3" s="1"/>
  <c r="GOV671" i="3" s="1"/>
  <c r="GOU671" i="3" s="1"/>
  <c r="GOT671" i="3" s="1"/>
  <c r="GOS671" i="3" s="1"/>
  <c r="GOR671" i="3" s="1"/>
  <c r="GOQ671" i="3" s="1"/>
  <c r="GOP671" i="3" s="1"/>
  <c r="GOO671" i="3" s="1"/>
  <c r="GON671" i="3" s="1"/>
  <c r="GOM671" i="3" s="1"/>
  <c r="GOL671" i="3" s="1"/>
  <c r="GOK671" i="3" s="1"/>
  <c r="GOJ671" i="3" s="1"/>
  <c r="GOI671" i="3" s="1"/>
  <c r="GOH671" i="3" s="1"/>
  <c r="GOG671" i="3" s="1"/>
  <c r="GOF671" i="3" s="1"/>
  <c r="GOE671" i="3" s="1"/>
  <c r="GOD671" i="3" s="1"/>
  <c r="GOC671" i="3" s="1"/>
  <c r="GOB671" i="3" s="1"/>
  <c r="GOA671" i="3" s="1"/>
  <c r="GNZ671" i="3" s="1"/>
  <c r="GNY671" i="3" s="1"/>
  <c r="GNX671" i="3" s="1"/>
  <c r="GNW671" i="3" s="1"/>
  <c r="GNV671" i="3" s="1"/>
  <c r="GNU671" i="3" s="1"/>
  <c r="GNT671" i="3" s="1"/>
  <c r="GNS671" i="3" s="1"/>
  <c r="GNR671" i="3" s="1"/>
  <c r="GNQ671" i="3" s="1"/>
  <c r="GNP671" i="3" s="1"/>
  <c r="GNO671" i="3" s="1"/>
  <c r="GNN671" i="3" s="1"/>
  <c r="GNM671" i="3" s="1"/>
  <c r="GNL671" i="3" s="1"/>
  <c r="GNK671" i="3" s="1"/>
  <c r="GNJ671" i="3" s="1"/>
  <c r="GNI671" i="3" s="1"/>
  <c r="GNH671" i="3" s="1"/>
  <c r="GNG671" i="3" s="1"/>
  <c r="GNF671" i="3" s="1"/>
  <c r="GNE671" i="3" s="1"/>
  <c r="GND671" i="3" s="1"/>
  <c r="GNC671" i="3" s="1"/>
  <c r="GNB671" i="3" s="1"/>
  <c r="GNA671" i="3" s="1"/>
  <c r="GMZ671" i="3" s="1"/>
  <c r="GMY671" i="3" s="1"/>
  <c r="GMX671" i="3" s="1"/>
  <c r="GMW671" i="3" s="1"/>
  <c r="GMV671" i="3" s="1"/>
  <c r="GMU671" i="3" s="1"/>
  <c r="GMT671" i="3" s="1"/>
  <c r="GMS671" i="3" s="1"/>
  <c r="GMR671" i="3" s="1"/>
  <c r="GMQ671" i="3" s="1"/>
  <c r="GMP671" i="3" s="1"/>
  <c r="GMO671" i="3" s="1"/>
  <c r="GMN671" i="3" s="1"/>
  <c r="GMM671" i="3" s="1"/>
  <c r="GML671" i="3" s="1"/>
  <c r="GMK671" i="3" s="1"/>
  <c r="GMJ671" i="3" s="1"/>
  <c r="GMI671" i="3" s="1"/>
  <c r="GMH671" i="3" s="1"/>
  <c r="GMG671" i="3" s="1"/>
  <c r="GMF671" i="3" s="1"/>
  <c r="GME671" i="3" s="1"/>
  <c r="GMD671" i="3" s="1"/>
  <c r="GMC671" i="3" s="1"/>
  <c r="GMB671" i="3" s="1"/>
  <c r="GMA671" i="3" s="1"/>
  <c r="GLZ671" i="3" s="1"/>
  <c r="GLY671" i="3" s="1"/>
  <c r="GLX671" i="3" s="1"/>
  <c r="GLW671" i="3" s="1"/>
  <c r="GLV671" i="3" s="1"/>
  <c r="GLU671" i="3" s="1"/>
  <c r="GLT671" i="3" s="1"/>
  <c r="GLS671" i="3" s="1"/>
  <c r="GLR671" i="3" s="1"/>
  <c r="GLQ671" i="3" s="1"/>
  <c r="GLP671" i="3" s="1"/>
  <c r="GLO671" i="3" s="1"/>
  <c r="GLN671" i="3" s="1"/>
  <c r="GLM671" i="3" s="1"/>
  <c r="GLL671" i="3" s="1"/>
  <c r="GLK671" i="3" s="1"/>
  <c r="GLJ671" i="3" s="1"/>
  <c r="GLI671" i="3" s="1"/>
  <c r="GLH671" i="3" s="1"/>
  <c r="GLG671" i="3" s="1"/>
  <c r="GLF671" i="3" s="1"/>
  <c r="GLE671" i="3" s="1"/>
  <c r="GLD671" i="3" s="1"/>
  <c r="GLC671" i="3" s="1"/>
  <c r="GLB671" i="3" s="1"/>
  <c r="GLA671" i="3" s="1"/>
  <c r="GKZ671" i="3" s="1"/>
  <c r="GKY671" i="3" s="1"/>
  <c r="GKX671" i="3" s="1"/>
  <c r="GKW671" i="3" s="1"/>
  <c r="GKV671" i="3" s="1"/>
  <c r="GKU671" i="3" s="1"/>
  <c r="GKT671" i="3" s="1"/>
  <c r="GKS671" i="3" s="1"/>
  <c r="GKR671" i="3" s="1"/>
  <c r="GKQ671" i="3" s="1"/>
  <c r="GKP671" i="3" s="1"/>
  <c r="GKO671" i="3" s="1"/>
  <c r="GKN671" i="3" s="1"/>
  <c r="GKM671" i="3" s="1"/>
  <c r="GKL671" i="3" s="1"/>
  <c r="GKK671" i="3" s="1"/>
  <c r="GKJ671" i="3" s="1"/>
  <c r="GKI671" i="3" s="1"/>
  <c r="GKH671" i="3" s="1"/>
  <c r="GKG671" i="3" s="1"/>
  <c r="GKF671" i="3" s="1"/>
  <c r="GKE671" i="3" s="1"/>
  <c r="GKD671" i="3" s="1"/>
  <c r="GKC671" i="3" s="1"/>
  <c r="GKB671" i="3" s="1"/>
  <c r="GKA671" i="3" s="1"/>
  <c r="GJZ671" i="3" s="1"/>
  <c r="GJY671" i="3" s="1"/>
  <c r="GJX671" i="3" s="1"/>
  <c r="GJW671" i="3" s="1"/>
  <c r="GJV671" i="3" s="1"/>
  <c r="GJU671" i="3" s="1"/>
  <c r="GJT671" i="3" s="1"/>
  <c r="GJS671" i="3" s="1"/>
  <c r="GJR671" i="3" s="1"/>
  <c r="GJQ671" i="3" s="1"/>
  <c r="GJP671" i="3" s="1"/>
  <c r="GJO671" i="3" s="1"/>
  <c r="GJN671" i="3" s="1"/>
  <c r="GJM671" i="3" s="1"/>
  <c r="GJL671" i="3" s="1"/>
  <c r="GJK671" i="3" s="1"/>
  <c r="GJJ671" i="3" s="1"/>
  <c r="GJI671" i="3" s="1"/>
  <c r="GJH671" i="3" s="1"/>
  <c r="GJG671" i="3" s="1"/>
  <c r="GJF671" i="3" s="1"/>
  <c r="GJE671" i="3" s="1"/>
  <c r="GJD671" i="3" s="1"/>
  <c r="GJC671" i="3" s="1"/>
  <c r="GJB671" i="3" s="1"/>
  <c r="GJA671" i="3" s="1"/>
  <c r="GIZ671" i="3" s="1"/>
  <c r="GIY671" i="3" s="1"/>
  <c r="GIX671" i="3" s="1"/>
  <c r="GIW671" i="3" s="1"/>
  <c r="GIV671" i="3" s="1"/>
  <c r="GIU671" i="3" s="1"/>
  <c r="GIT671" i="3" s="1"/>
  <c r="GIS671" i="3" s="1"/>
  <c r="GIR671" i="3" s="1"/>
  <c r="GIQ671" i="3" s="1"/>
  <c r="GIP671" i="3" s="1"/>
  <c r="GIO671" i="3" s="1"/>
  <c r="GIN671" i="3" s="1"/>
  <c r="GIM671" i="3" s="1"/>
  <c r="GIL671" i="3" s="1"/>
  <c r="GIK671" i="3" s="1"/>
  <c r="GIJ671" i="3" s="1"/>
  <c r="GII671" i="3" s="1"/>
  <c r="GIH671" i="3" s="1"/>
  <c r="GIG671" i="3" s="1"/>
  <c r="GIF671" i="3" s="1"/>
  <c r="GIE671" i="3" s="1"/>
  <c r="GID671" i="3" s="1"/>
  <c r="GIC671" i="3" s="1"/>
  <c r="GIB671" i="3" s="1"/>
  <c r="GIA671" i="3" s="1"/>
  <c r="GHZ671" i="3" s="1"/>
  <c r="GHY671" i="3" s="1"/>
  <c r="GHX671" i="3" s="1"/>
  <c r="GHW671" i="3" s="1"/>
  <c r="GHV671" i="3" s="1"/>
  <c r="GHU671" i="3" s="1"/>
  <c r="GHT671" i="3" s="1"/>
  <c r="GHS671" i="3" s="1"/>
  <c r="GHR671" i="3" s="1"/>
  <c r="GHQ671" i="3" s="1"/>
  <c r="GHP671" i="3" s="1"/>
  <c r="GHO671" i="3" s="1"/>
  <c r="GHN671" i="3" s="1"/>
  <c r="GHM671" i="3" s="1"/>
  <c r="GHL671" i="3" s="1"/>
  <c r="GHK671" i="3" s="1"/>
  <c r="GHJ671" i="3" s="1"/>
  <c r="GHI671" i="3" s="1"/>
  <c r="GHH671" i="3" s="1"/>
  <c r="GHG671" i="3" s="1"/>
  <c r="GHF671" i="3" s="1"/>
  <c r="GHE671" i="3" s="1"/>
  <c r="GHD671" i="3" s="1"/>
  <c r="GHC671" i="3" s="1"/>
  <c r="GHB671" i="3" s="1"/>
  <c r="GHA671" i="3" s="1"/>
  <c r="GGZ671" i="3" s="1"/>
  <c r="GGY671" i="3" s="1"/>
  <c r="GGX671" i="3" s="1"/>
  <c r="GGW671" i="3" s="1"/>
  <c r="GGV671" i="3" s="1"/>
  <c r="GGU671" i="3" s="1"/>
  <c r="GGT671" i="3" s="1"/>
  <c r="GGS671" i="3" s="1"/>
  <c r="GGR671" i="3" s="1"/>
  <c r="GGQ671" i="3" s="1"/>
  <c r="GGP671" i="3" s="1"/>
  <c r="GGO671" i="3" s="1"/>
  <c r="GGN671" i="3" s="1"/>
  <c r="GGM671" i="3" s="1"/>
  <c r="GGL671" i="3" s="1"/>
  <c r="GGK671" i="3" s="1"/>
  <c r="GGJ671" i="3" s="1"/>
  <c r="GGI671" i="3" s="1"/>
  <c r="GGH671" i="3" s="1"/>
  <c r="GGG671" i="3" s="1"/>
  <c r="GGF671" i="3" s="1"/>
  <c r="GGE671" i="3" s="1"/>
  <c r="GGD671" i="3" s="1"/>
  <c r="GGC671" i="3" s="1"/>
  <c r="GGB671" i="3" s="1"/>
  <c r="GGA671" i="3" s="1"/>
  <c r="GFZ671" i="3" s="1"/>
  <c r="GFY671" i="3" s="1"/>
  <c r="GFX671" i="3" s="1"/>
  <c r="GFW671" i="3" s="1"/>
  <c r="GFV671" i="3" s="1"/>
  <c r="GFU671" i="3" s="1"/>
  <c r="GFT671" i="3" s="1"/>
  <c r="GFS671" i="3" s="1"/>
  <c r="GFR671" i="3" s="1"/>
  <c r="GFQ671" i="3" s="1"/>
  <c r="GFP671" i="3" s="1"/>
  <c r="GFO671" i="3" s="1"/>
  <c r="GFN671" i="3" s="1"/>
  <c r="GFM671" i="3" s="1"/>
  <c r="GFL671" i="3" s="1"/>
  <c r="GFK671" i="3" s="1"/>
  <c r="GFJ671" i="3" s="1"/>
  <c r="GFI671" i="3" s="1"/>
  <c r="GFH671" i="3" s="1"/>
  <c r="GFG671" i="3" s="1"/>
  <c r="GFF671" i="3" s="1"/>
  <c r="GFE671" i="3" s="1"/>
  <c r="GFD671" i="3" s="1"/>
  <c r="GFC671" i="3" s="1"/>
  <c r="GFB671" i="3" s="1"/>
  <c r="GFA671" i="3" s="1"/>
  <c r="GEZ671" i="3" s="1"/>
  <c r="GEY671" i="3" s="1"/>
  <c r="GEX671" i="3" s="1"/>
  <c r="GEW671" i="3" s="1"/>
  <c r="GEV671" i="3" s="1"/>
  <c r="GEU671" i="3" s="1"/>
  <c r="GET671" i="3" s="1"/>
  <c r="GES671" i="3" s="1"/>
  <c r="GER671" i="3" s="1"/>
  <c r="GEQ671" i="3" s="1"/>
  <c r="GEP671" i="3" s="1"/>
  <c r="GEO671" i="3" s="1"/>
  <c r="GEN671" i="3" s="1"/>
  <c r="GEM671" i="3" s="1"/>
  <c r="GEL671" i="3" s="1"/>
  <c r="GEK671" i="3" s="1"/>
  <c r="GEJ671" i="3" s="1"/>
  <c r="GEI671" i="3" s="1"/>
  <c r="GEH671" i="3" s="1"/>
  <c r="GEG671" i="3" s="1"/>
  <c r="GEF671" i="3" s="1"/>
  <c r="GEE671" i="3" s="1"/>
  <c r="GED671" i="3" s="1"/>
  <c r="GEC671" i="3" s="1"/>
  <c r="GEB671" i="3" s="1"/>
  <c r="GEA671" i="3" s="1"/>
  <c r="GDZ671" i="3" s="1"/>
  <c r="GDY671" i="3" s="1"/>
  <c r="GDX671" i="3" s="1"/>
  <c r="GDW671" i="3" s="1"/>
  <c r="GDV671" i="3" s="1"/>
  <c r="GDU671" i="3" s="1"/>
  <c r="GDT671" i="3" s="1"/>
  <c r="GDS671" i="3" s="1"/>
  <c r="GDR671" i="3" s="1"/>
  <c r="GDQ671" i="3" s="1"/>
  <c r="GDP671" i="3" s="1"/>
  <c r="GDO671" i="3" s="1"/>
  <c r="GDN671" i="3" s="1"/>
  <c r="GDM671" i="3" s="1"/>
  <c r="GDL671" i="3" s="1"/>
  <c r="GDK671" i="3" s="1"/>
  <c r="GDJ671" i="3" s="1"/>
  <c r="GDI671" i="3" s="1"/>
  <c r="GDH671" i="3" s="1"/>
  <c r="GDG671" i="3" s="1"/>
  <c r="GDF671" i="3" s="1"/>
  <c r="GDE671" i="3" s="1"/>
  <c r="GDD671" i="3" s="1"/>
  <c r="GDC671" i="3" s="1"/>
  <c r="GDB671" i="3" s="1"/>
  <c r="GDA671" i="3" s="1"/>
  <c r="GCZ671" i="3" s="1"/>
  <c r="GCY671" i="3" s="1"/>
  <c r="GCX671" i="3" s="1"/>
  <c r="GCW671" i="3" s="1"/>
  <c r="GCV671" i="3" s="1"/>
  <c r="GCU671" i="3" s="1"/>
  <c r="GCT671" i="3" s="1"/>
  <c r="GCS671" i="3" s="1"/>
  <c r="GCR671" i="3" s="1"/>
  <c r="GCQ671" i="3" s="1"/>
  <c r="GCP671" i="3" s="1"/>
  <c r="GCO671" i="3" s="1"/>
  <c r="GCN671" i="3" s="1"/>
  <c r="GCM671" i="3" s="1"/>
  <c r="GCL671" i="3" s="1"/>
  <c r="GCK671" i="3" s="1"/>
  <c r="GCJ671" i="3" s="1"/>
  <c r="GCI671" i="3" s="1"/>
  <c r="GCH671" i="3" s="1"/>
  <c r="GCG671" i="3" s="1"/>
  <c r="GCF671" i="3" s="1"/>
  <c r="GCE671" i="3" s="1"/>
  <c r="GCD671" i="3" s="1"/>
  <c r="GCC671" i="3" s="1"/>
  <c r="GCB671" i="3" s="1"/>
  <c r="GCA671" i="3" s="1"/>
  <c r="GBZ671" i="3" s="1"/>
  <c r="GBY671" i="3" s="1"/>
  <c r="GBX671" i="3" s="1"/>
  <c r="GBW671" i="3" s="1"/>
  <c r="GBV671" i="3" s="1"/>
  <c r="GBU671" i="3" s="1"/>
  <c r="GBT671" i="3" s="1"/>
  <c r="GBS671" i="3" s="1"/>
  <c r="GBR671" i="3" s="1"/>
  <c r="GBQ671" i="3" s="1"/>
  <c r="GBP671" i="3" s="1"/>
  <c r="GBO671" i="3" s="1"/>
  <c r="GBN671" i="3" s="1"/>
  <c r="GBM671" i="3" s="1"/>
  <c r="GBL671" i="3" s="1"/>
  <c r="GBK671" i="3" s="1"/>
  <c r="GBJ671" i="3" s="1"/>
  <c r="GBI671" i="3" s="1"/>
  <c r="GBH671" i="3" s="1"/>
  <c r="GBG671" i="3" s="1"/>
  <c r="GBF671" i="3" s="1"/>
  <c r="GBE671" i="3" s="1"/>
  <c r="GBD671" i="3" s="1"/>
  <c r="GBC671" i="3" s="1"/>
  <c r="GBB671" i="3" s="1"/>
  <c r="GBA671" i="3" s="1"/>
  <c r="GAZ671" i="3" s="1"/>
  <c r="GAY671" i="3" s="1"/>
  <c r="GAX671" i="3" s="1"/>
  <c r="GAW671" i="3" s="1"/>
  <c r="GAV671" i="3" s="1"/>
  <c r="GAU671" i="3" s="1"/>
  <c r="GAT671" i="3" s="1"/>
  <c r="GAS671" i="3" s="1"/>
  <c r="GAR671" i="3" s="1"/>
  <c r="GAQ671" i="3" s="1"/>
  <c r="GAP671" i="3" s="1"/>
  <c r="GAO671" i="3" s="1"/>
  <c r="GAN671" i="3" s="1"/>
  <c r="GAM671" i="3" s="1"/>
  <c r="GAL671" i="3" s="1"/>
  <c r="GAK671" i="3" s="1"/>
  <c r="GAJ671" i="3" s="1"/>
  <c r="GAI671" i="3" s="1"/>
  <c r="GAH671" i="3" s="1"/>
  <c r="GAG671" i="3" s="1"/>
  <c r="GAF671" i="3" s="1"/>
  <c r="GAE671" i="3" s="1"/>
  <c r="GAD671" i="3" s="1"/>
  <c r="GAC671" i="3" s="1"/>
  <c r="GAB671" i="3" s="1"/>
  <c r="GAA671" i="3" s="1"/>
  <c r="FZZ671" i="3" s="1"/>
  <c r="FZY671" i="3" s="1"/>
  <c r="FZX671" i="3" s="1"/>
  <c r="FZW671" i="3" s="1"/>
  <c r="FZV671" i="3" s="1"/>
  <c r="FZU671" i="3" s="1"/>
  <c r="FZT671" i="3" s="1"/>
  <c r="FZS671" i="3" s="1"/>
  <c r="FZR671" i="3" s="1"/>
  <c r="FZQ671" i="3" s="1"/>
  <c r="FZP671" i="3" s="1"/>
  <c r="FZO671" i="3" s="1"/>
  <c r="FZN671" i="3" s="1"/>
  <c r="FZM671" i="3" s="1"/>
  <c r="FZL671" i="3" s="1"/>
  <c r="FZK671" i="3" s="1"/>
  <c r="FZJ671" i="3" s="1"/>
  <c r="FZI671" i="3" s="1"/>
  <c r="FZH671" i="3" s="1"/>
  <c r="FZG671" i="3" s="1"/>
  <c r="FZF671" i="3" s="1"/>
  <c r="FZE671" i="3" s="1"/>
  <c r="FZD671" i="3" s="1"/>
  <c r="FZC671" i="3" s="1"/>
  <c r="FZB671" i="3" s="1"/>
  <c r="FZA671" i="3" s="1"/>
  <c r="FYZ671" i="3" s="1"/>
  <c r="FYY671" i="3" s="1"/>
  <c r="FYX671" i="3" s="1"/>
  <c r="FYW671" i="3" s="1"/>
  <c r="FYV671" i="3" s="1"/>
  <c r="FYU671" i="3" s="1"/>
  <c r="FYT671" i="3" s="1"/>
  <c r="FYS671" i="3" s="1"/>
  <c r="FYR671" i="3" s="1"/>
  <c r="FYQ671" i="3" s="1"/>
  <c r="FYP671" i="3" s="1"/>
  <c r="FYO671" i="3" s="1"/>
  <c r="FYN671" i="3" s="1"/>
  <c r="FYM671" i="3" s="1"/>
  <c r="FYL671" i="3" s="1"/>
  <c r="FYK671" i="3" s="1"/>
  <c r="FYJ671" i="3" s="1"/>
  <c r="FYI671" i="3" s="1"/>
  <c r="FYH671" i="3" s="1"/>
  <c r="FYG671" i="3" s="1"/>
  <c r="FYF671" i="3" s="1"/>
  <c r="FYE671" i="3" s="1"/>
  <c r="FYD671" i="3" s="1"/>
  <c r="FYC671" i="3" s="1"/>
  <c r="FYB671" i="3" s="1"/>
  <c r="FYA671" i="3" s="1"/>
  <c r="FXZ671" i="3" s="1"/>
  <c r="FXY671" i="3" s="1"/>
  <c r="FXX671" i="3" s="1"/>
  <c r="FXW671" i="3" s="1"/>
  <c r="FXV671" i="3" s="1"/>
  <c r="FXU671" i="3" s="1"/>
  <c r="FXT671" i="3" s="1"/>
  <c r="FXS671" i="3" s="1"/>
  <c r="FXR671" i="3" s="1"/>
  <c r="FXQ671" i="3" s="1"/>
  <c r="FXP671" i="3" s="1"/>
  <c r="FXO671" i="3" s="1"/>
  <c r="FXN671" i="3" s="1"/>
  <c r="FXM671" i="3" s="1"/>
  <c r="FXL671" i="3" s="1"/>
  <c r="FXK671" i="3" s="1"/>
  <c r="FXJ671" i="3" s="1"/>
  <c r="FXI671" i="3" s="1"/>
  <c r="FXH671" i="3" s="1"/>
  <c r="FXG671" i="3" s="1"/>
  <c r="FXF671" i="3" s="1"/>
  <c r="FXE671" i="3" s="1"/>
  <c r="FXD671" i="3" s="1"/>
  <c r="FXC671" i="3" s="1"/>
  <c r="FXB671" i="3" s="1"/>
  <c r="FXA671" i="3" s="1"/>
  <c r="FWZ671" i="3" s="1"/>
  <c r="FWY671" i="3" s="1"/>
  <c r="FWX671" i="3" s="1"/>
  <c r="FWW671" i="3" s="1"/>
  <c r="FWV671" i="3" s="1"/>
  <c r="FWU671" i="3" s="1"/>
  <c r="FWT671" i="3" s="1"/>
  <c r="FWS671" i="3" s="1"/>
  <c r="FWR671" i="3" s="1"/>
  <c r="FWQ671" i="3" s="1"/>
  <c r="FWP671" i="3" s="1"/>
  <c r="FWO671" i="3" s="1"/>
  <c r="FWN671" i="3" s="1"/>
  <c r="FWM671" i="3" s="1"/>
  <c r="FWL671" i="3" s="1"/>
  <c r="FWK671" i="3" s="1"/>
  <c r="FWJ671" i="3" s="1"/>
  <c r="FWI671" i="3" s="1"/>
  <c r="FWH671" i="3" s="1"/>
  <c r="FWG671" i="3" s="1"/>
  <c r="FWF671" i="3" s="1"/>
  <c r="FWE671" i="3" s="1"/>
  <c r="FWD671" i="3" s="1"/>
  <c r="FWC671" i="3" s="1"/>
  <c r="FWB671" i="3" s="1"/>
  <c r="FWA671" i="3" s="1"/>
  <c r="FVZ671" i="3" s="1"/>
  <c r="FVY671" i="3" s="1"/>
  <c r="FVX671" i="3" s="1"/>
  <c r="FVW671" i="3" s="1"/>
  <c r="FVV671" i="3" s="1"/>
  <c r="FVU671" i="3" s="1"/>
  <c r="FVT671" i="3" s="1"/>
  <c r="FVS671" i="3" s="1"/>
  <c r="FVR671" i="3" s="1"/>
  <c r="FVQ671" i="3" s="1"/>
  <c r="FVP671" i="3" s="1"/>
  <c r="FVO671" i="3" s="1"/>
  <c r="FVN671" i="3" s="1"/>
  <c r="FVM671" i="3" s="1"/>
  <c r="FVL671" i="3" s="1"/>
  <c r="FVK671" i="3" s="1"/>
  <c r="FVJ671" i="3" s="1"/>
  <c r="FVI671" i="3" s="1"/>
  <c r="FVH671" i="3" s="1"/>
  <c r="FVG671" i="3" s="1"/>
  <c r="FVF671" i="3" s="1"/>
  <c r="FVE671" i="3" s="1"/>
  <c r="FVD671" i="3" s="1"/>
  <c r="FVC671" i="3" s="1"/>
  <c r="FVB671" i="3" s="1"/>
  <c r="FVA671" i="3" s="1"/>
  <c r="FUZ671" i="3" s="1"/>
  <c r="FUY671" i="3" s="1"/>
  <c r="FUX671" i="3" s="1"/>
  <c r="FUW671" i="3" s="1"/>
  <c r="FUV671" i="3" s="1"/>
  <c r="FUU671" i="3" s="1"/>
  <c r="FUT671" i="3" s="1"/>
  <c r="FUS671" i="3" s="1"/>
  <c r="FUR671" i="3" s="1"/>
  <c r="FUQ671" i="3" s="1"/>
  <c r="FUP671" i="3" s="1"/>
  <c r="FUO671" i="3" s="1"/>
  <c r="FUN671" i="3" s="1"/>
  <c r="FUM671" i="3" s="1"/>
  <c r="FUL671" i="3" s="1"/>
  <c r="FUK671" i="3" s="1"/>
  <c r="FUJ671" i="3" s="1"/>
  <c r="FUI671" i="3" s="1"/>
  <c r="FUH671" i="3" s="1"/>
  <c r="FUG671" i="3" s="1"/>
  <c r="FUF671" i="3" s="1"/>
  <c r="FUE671" i="3" s="1"/>
  <c r="FUD671" i="3" s="1"/>
  <c r="FUC671" i="3" s="1"/>
  <c r="FUB671" i="3" s="1"/>
  <c r="FUA671" i="3" s="1"/>
  <c r="FTZ671" i="3" s="1"/>
  <c r="FTY671" i="3" s="1"/>
  <c r="FTX671" i="3" s="1"/>
  <c r="FTW671" i="3" s="1"/>
  <c r="FTV671" i="3" s="1"/>
  <c r="FTU671" i="3" s="1"/>
  <c r="FTT671" i="3" s="1"/>
  <c r="FTS671" i="3" s="1"/>
  <c r="FTR671" i="3" s="1"/>
  <c r="FTQ671" i="3" s="1"/>
  <c r="FTP671" i="3" s="1"/>
  <c r="FTO671" i="3" s="1"/>
  <c r="FTN671" i="3" s="1"/>
  <c r="FTM671" i="3" s="1"/>
  <c r="FTL671" i="3" s="1"/>
  <c r="FTK671" i="3" s="1"/>
  <c r="FTJ671" i="3" s="1"/>
  <c r="FTI671" i="3" s="1"/>
  <c r="FTH671" i="3" s="1"/>
  <c r="FTG671" i="3" s="1"/>
  <c r="FTF671" i="3" s="1"/>
  <c r="FTE671" i="3" s="1"/>
  <c r="FTD671" i="3" s="1"/>
  <c r="FTC671" i="3" s="1"/>
  <c r="FTB671" i="3" s="1"/>
  <c r="FTA671" i="3" s="1"/>
  <c r="FSZ671" i="3" s="1"/>
  <c r="FSY671" i="3" s="1"/>
  <c r="FSX671" i="3" s="1"/>
  <c r="FSW671" i="3" s="1"/>
  <c r="FSV671" i="3" s="1"/>
  <c r="FSU671" i="3" s="1"/>
  <c r="FST671" i="3" s="1"/>
  <c r="FSS671" i="3" s="1"/>
  <c r="FSR671" i="3" s="1"/>
  <c r="FSQ671" i="3" s="1"/>
  <c r="FSP671" i="3" s="1"/>
  <c r="FSO671" i="3" s="1"/>
  <c r="FSN671" i="3" s="1"/>
  <c r="FSM671" i="3" s="1"/>
  <c r="FSL671" i="3" s="1"/>
  <c r="FSK671" i="3" s="1"/>
  <c r="FSJ671" i="3" s="1"/>
  <c r="FSI671" i="3" s="1"/>
  <c r="FSH671" i="3" s="1"/>
  <c r="FSG671" i="3" s="1"/>
  <c r="FSF671" i="3" s="1"/>
  <c r="FSE671" i="3" s="1"/>
  <c r="FSD671" i="3" s="1"/>
  <c r="FSC671" i="3" s="1"/>
  <c r="FSB671" i="3" s="1"/>
  <c r="FSA671" i="3" s="1"/>
  <c r="FRZ671" i="3" s="1"/>
  <c r="FRY671" i="3" s="1"/>
  <c r="FRX671" i="3" s="1"/>
  <c r="FRW671" i="3" s="1"/>
  <c r="FRV671" i="3" s="1"/>
  <c r="FRU671" i="3" s="1"/>
  <c r="FRT671" i="3" s="1"/>
  <c r="FRS671" i="3" s="1"/>
  <c r="FRR671" i="3" s="1"/>
  <c r="FRQ671" i="3" s="1"/>
  <c r="FRP671" i="3" s="1"/>
  <c r="FRO671" i="3" s="1"/>
  <c r="FRN671" i="3" s="1"/>
  <c r="FRM671" i="3" s="1"/>
  <c r="FRL671" i="3" s="1"/>
  <c r="FRK671" i="3" s="1"/>
  <c r="FRJ671" i="3" s="1"/>
  <c r="FRI671" i="3" s="1"/>
  <c r="FRH671" i="3" s="1"/>
  <c r="FRG671" i="3" s="1"/>
  <c r="FRF671" i="3" s="1"/>
  <c r="FRE671" i="3" s="1"/>
  <c r="FRD671" i="3" s="1"/>
  <c r="FRC671" i="3" s="1"/>
  <c r="FRB671" i="3" s="1"/>
  <c r="FRA671" i="3" s="1"/>
  <c r="FQZ671" i="3" s="1"/>
  <c r="FQY671" i="3" s="1"/>
  <c r="FQX671" i="3" s="1"/>
  <c r="FQW671" i="3" s="1"/>
  <c r="FQV671" i="3" s="1"/>
  <c r="FQU671" i="3" s="1"/>
  <c r="FQT671" i="3" s="1"/>
  <c r="FQS671" i="3" s="1"/>
  <c r="FQR671" i="3" s="1"/>
  <c r="FQQ671" i="3" s="1"/>
  <c r="FQP671" i="3" s="1"/>
  <c r="FQO671" i="3" s="1"/>
  <c r="FQN671" i="3" s="1"/>
  <c r="FQM671" i="3" s="1"/>
  <c r="FQL671" i="3" s="1"/>
  <c r="FQK671" i="3" s="1"/>
  <c r="FQJ671" i="3" s="1"/>
  <c r="FQI671" i="3" s="1"/>
  <c r="FQH671" i="3" s="1"/>
  <c r="FQG671" i="3" s="1"/>
  <c r="FQF671" i="3" s="1"/>
  <c r="FQE671" i="3" s="1"/>
  <c r="FQD671" i="3" s="1"/>
  <c r="FQC671" i="3" s="1"/>
  <c r="FQB671" i="3" s="1"/>
  <c r="FQA671" i="3" s="1"/>
  <c r="FPZ671" i="3" s="1"/>
  <c r="FPY671" i="3" s="1"/>
  <c r="FPX671" i="3" s="1"/>
  <c r="FPW671" i="3" s="1"/>
  <c r="FPV671" i="3" s="1"/>
  <c r="FPU671" i="3" s="1"/>
  <c r="FPT671" i="3" s="1"/>
  <c r="FPS671" i="3" s="1"/>
  <c r="FPR671" i="3" s="1"/>
  <c r="FPQ671" i="3" s="1"/>
  <c r="FPP671" i="3" s="1"/>
  <c r="FPO671" i="3" s="1"/>
  <c r="FPN671" i="3" s="1"/>
  <c r="FPM671" i="3" s="1"/>
  <c r="FPL671" i="3" s="1"/>
  <c r="FPK671" i="3" s="1"/>
  <c r="FPJ671" i="3" s="1"/>
  <c r="FPI671" i="3" s="1"/>
  <c r="FPH671" i="3" s="1"/>
  <c r="FPG671" i="3" s="1"/>
  <c r="FPF671" i="3" s="1"/>
  <c r="FPE671" i="3" s="1"/>
  <c r="FPD671" i="3" s="1"/>
  <c r="FPC671" i="3" s="1"/>
  <c r="FPB671" i="3" s="1"/>
  <c r="FPA671" i="3" s="1"/>
  <c r="FOZ671" i="3" s="1"/>
  <c r="FOY671" i="3" s="1"/>
  <c r="FOX671" i="3" s="1"/>
  <c r="FOW671" i="3" s="1"/>
  <c r="FOV671" i="3" s="1"/>
  <c r="FOU671" i="3" s="1"/>
  <c r="FOT671" i="3" s="1"/>
  <c r="FOS671" i="3" s="1"/>
  <c r="FOR671" i="3" s="1"/>
  <c r="FOQ671" i="3" s="1"/>
  <c r="FOP671" i="3" s="1"/>
  <c r="FOO671" i="3" s="1"/>
  <c r="FON671" i="3" s="1"/>
  <c r="FOM671" i="3" s="1"/>
  <c r="FOL671" i="3" s="1"/>
  <c r="FOK671" i="3" s="1"/>
  <c r="FOJ671" i="3" s="1"/>
  <c r="FOI671" i="3" s="1"/>
  <c r="FOH671" i="3" s="1"/>
  <c r="FOG671" i="3" s="1"/>
  <c r="FOF671" i="3" s="1"/>
  <c r="FOE671" i="3" s="1"/>
  <c r="FOD671" i="3" s="1"/>
  <c r="FOC671" i="3" s="1"/>
  <c r="FOB671" i="3" s="1"/>
  <c r="FOA671" i="3" s="1"/>
  <c r="FNZ671" i="3" s="1"/>
  <c r="FNY671" i="3" s="1"/>
  <c r="FNX671" i="3" s="1"/>
  <c r="FNW671" i="3" s="1"/>
  <c r="FNV671" i="3" s="1"/>
  <c r="FNU671" i="3" s="1"/>
  <c r="FNT671" i="3" s="1"/>
  <c r="FNS671" i="3" s="1"/>
  <c r="FNR671" i="3" s="1"/>
  <c r="FNQ671" i="3" s="1"/>
  <c r="FNP671" i="3" s="1"/>
  <c r="FNO671" i="3" s="1"/>
  <c r="FNN671" i="3" s="1"/>
  <c r="FNM671" i="3" s="1"/>
  <c r="FNL671" i="3" s="1"/>
  <c r="FNK671" i="3" s="1"/>
  <c r="FNJ671" i="3" s="1"/>
  <c r="FNI671" i="3" s="1"/>
  <c r="FNH671" i="3" s="1"/>
  <c r="FNG671" i="3" s="1"/>
  <c r="FNF671" i="3" s="1"/>
  <c r="FNE671" i="3" s="1"/>
  <c r="FND671" i="3" s="1"/>
  <c r="FNC671" i="3" s="1"/>
  <c r="FNB671" i="3" s="1"/>
  <c r="FNA671" i="3" s="1"/>
  <c r="FMZ671" i="3" s="1"/>
  <c r="FMY671" i="3" s="1"/>
  <c r="FMX671" i="3" s="1"/>
  <c r="FMW671" i="3" s="1"/>
  <c r="FMV671" i="3" s="1"/>
  <c r="FMU671" i="3" s="1"/>
  <c r="FMT671" i="3" s="1"/>
  <c r="FMS671" i="3" s="1"/>
  <c r="FMR671" i="3" s="1"/>
  <c r="FMQ671" i="3" s="1"/>
  <c r="FMP671" i="3" s="1"/>
  <c r="FMO671" i="3" s="1"/>
  <c r="FMN671" i="3" s="1"/>
  <c r="FMM671" i="3" s="1"/>
  <c r="FML671" i="3" s="1"/>
  <c r="FMK671" i="3" s="1"/>
  <c r="FMJ671" i="3" s="1"/>
  <c r="FMI671" i="3" s="1"/>
  <c r="FMH671" i="3" s="1"/>
  <c r="FMG671" i="3" s="1"/>
  <c r="FMF671" i="3" s="1"/>
  <c r="FME671" i="3" s="1"/>
  <c r="FMD671" i="3" s="1"/>
  <c r="FMC671" i="3" s="1"/>
  <c r="FMB671" i="3" s="1"/>
  <c r="FMA671" i="3" s="1"/>
  <c r="FLZ671" i="3" s="1"/>
  <c r="FLY671" i="3" s="1"/>
  <c r="FLX671" i="3" s="1"/>
  <c r="FLW671" i="3" s="1"/>
  <c r="FLV671" i="3" s="1"/>
  <c r="FLU671" i="3" s="1"/>
  <c r="FLT671" i="3" s="1"/>
  <c r="FLS671" i="3" s="1"/>
  <c r="FLR671" i="3" s="1"/>
  <c r="FLQ671" i="3" s="1"/>
  <c r="FLP671" i="3" s="1"/>
  <c r="FLO671" i="3" s="1"/>
  <c r="FLN671" i="3" s="1"/>
  <c r="FLM671" i="3" s="1"/>
  <c r="FLL671" i="3" s="1"/>
  <c r="FLK671" i="3" s="1"/>
  <c r="FLJ671" i="3" s="1"/>
  <c r="FLI671" i="3" s="1"/>
  <c r="FLH671" i="3" s="1"/>
  <c r="FLG671" i="3" s="1"/>
  <c r="FLF671" i="3" s="1"/>
  <c r="FLE671" i="3" s="1"/>
  <c r="FLD671" i="3" s="1"/>
  <c r="FLC671" i="3" s="1"/>
  <c r="FLB671" i="3" s="1"/>
  <c r="FLA671" i="3" s="1"/>
  <c r="FKZ671" i="3" s="1"/>
  <c r="FKY671" i="3" s="1"/>
  <c r="FKX671" i="3" s="1"/>
  <c r="FKW671" i="3" s="1"/>
  <c r="FKV671" i="3" s="1"/>
  <c r="FKU671" i="3" s="1"/>
  <c r="FKT671" i="3" s="1"/>
  <c r="FKS671" i="3" s="1"/>
  <c r="FKR671" i="3" s="1"/>
  <c r="FKQ671" i="3" s="1"/>
  <c r="FKP671" i="3" s="1"/>
  <c r="FKO671" i="3" s="1"/>
  <c r="FKN671" i="3" s="1"/>
  <c r="FKM671" i="3" s="1"/>
  <c r="FKL671" i="3" s="1"/>
  <c r="FKK671" i="3" s="1"/>
  <c r="FKJ671" i="3" s="1"/>
  <c r="FKI671" i="3" s="1"/>
  <c r="FKH671" i="3" s="1"/>
  <c r="FKG671" i="3" s="1"/>
  <c r="FKF671" i="3" s="1"/>
  <c r="FKE671" i="3" s="1"/>
  <c r="FKD671" i="3" s="1"/>
  <c r="FKC671" i="3" s="1"/>
  <c r="FKB671" i="3" s="1"/>
  <c r="FKA671" i="3" s="1"/>
  <c r="FJZ671" i="3" s="1"/>
  <c r="FJY671" i="3" s="1"/>
  <c r="FJX671" i="3" s="1"/>
  <c r="FJW671" i="3" s="1"/>
  <c r="FJV671" i="3" s="1"/>
  <c r="FJU671" i="3" s="1"/>
  <c r="FJT671" i="3" s="1"/>
  <c r="FJS671" i="3" s="1"/>
  <c r="FJR671" i="3" s="1"/>
  <c r="FJQ671" i="3" s="1"/>
  <c r="FJP671" i="3" s="1"/>
  <c r="FJO671" i="3" s="1"/>
  <c r="FJN671" i="3" s="1"/>
  <c r="FJM671" i="3" s="1"/>
  <c r="FJL671" i="3" s="1"/>
  <c r="FJK671" i="3" s="1"/>
  <c r="FJJ671" i="3" s="1"/>
  <c r="FJI671" i="3" s="1"/>
  <c r="FJH671" i="3" s="1"/>
  <c r="FJG671" i="3" s="1"/>
  <c r="FJF671" i="3" s="1"/>
  <c r="FJE671" i="3" s="1"/>
  <c r="FJD671" i="3" s="1"/>
  <c r="FJC671" i="3" s="1"/>
  <c r="FJB671" i="3" s="1"/>
  <c r="FJA671" i="3" s="1"/>
  <c r="FIZ671" i="3" s="1"/>
  <c r="FIY671" i="3" s="1"/>
  <c r="FIX671" i="3" s="1"/>
  <c r="FIW671" i="3" s="1"/>
  <c r="FIV671" i="3" s="1"/>
  <c r="FIU671" i="3" s="1"/>
  <c r="FIT671" i="3" s="1"/>
  <c r="FIS671" i="3" s="1"/>
  <c r="FIR671" i="3" s="1"/>
  <c r="FIQ671" i="3" s="1"/>
  <c r="FIP671" i="3" s="1"/>
  <c r="FIO671" i="3" s="1"/>
  <c r="FIN671" i="3" s="1"/>
  <c r="FIM671" i="3" s="1"/>
  <c r="FIL671" i="3" s="1"/>
  <c r="FIK671" i="3" s="1"/>
  <c r="FIJ671" i="3" s="1"/>
  <c r="FII671" i="3" s="1"/>
  <c r="FIH671" i="3" s="1"/>
  <c r="FIG671" i="3" s="1"/>
  <c r="FIF671" i="3" s="1"/>
  <c r="FIE671" i="3" s="1"/>
  <c r="FID671" i="3" s="1"/>
  <c r="FIC671" i="3" s="1"/>
  <c r="FIB671" i="3" s="1"/>
  <c r="FIA671" i="3" s="1"/>
  <c r="FHZ671" i="3" s="1"/>
  <c r="FHY671" i="3" s="1"/>
  <c r="FHX671" i="3" s="1"/>
  <c r="FHW671" i="3" s="1"/>
  <c r="FHV671" i="3" s="1"/>
  <c r="FHU671" i="3" s="1"/>
  <c r="FHT671" i="3" s="1"/>
  <c r="FHS671" i="3" s="1"/>
  <c r="FHR671" i="3" s="1"/>
  <c r="FHQ671" i="3" s="1"/>
  <c r="FHP671" i="3" s="1"/>
  <c r="FHO671" i="3" s="1"/>
  <c r="FHN671" i="3" s="1"/>
  <c r="FHM671" i="3" s="1"/>
  <c r="FHL671" i="3" s="1"/>
  <c r="FHK671" i="3" s="1"/>
  <c r="FHJ671" i="3" s="1"/>
  <c r="FHI671" i="3" s="1"/>
  <c r="FHH671" i="3" s="1"/>
  <c r="FHG671" i="3" s="1"/>
  <c r="FHF671" i="3" s="1"/>
  <c r="FHE671" i="3" s="1"/>
  <c r="FHD671" i="3" s="1"/>
  <c r="FHC671" i="3" s="1"/>
  <c r="FHB671" i="3" s="1"/>
  <c r="FHA671" i="3" s="1"/>
  <c r="FGZ671" i="3" s="1"/>
  <c r="FGY671" i="3" s="1"/>
  <c r="FGX671" i="3" s="1"/>
  <c r="FGW671" i="3" s="1"/>
  <c r="FGV671" i="3" s="1"/>
  <c r="FGU671" i="3" s="1"/>
  <c r="FGT671" i="3" s="1"/>
  <c r="FGS671" i="3" s="1"/>
  <c r="FGR671" i="3" s="1"/>
  <c r="FGQ671" i="3" s="1"/>
  <c r="FGP671" i="3" s="1"/>
  <c r="FGO671" i="3" s="1"/>
  <c r="FGN671" i="3" s="1"/>
  <c r="FGM671" i="3" s="1"/>
  <c r="FGL671" i="3" s="1"/>
  <c r="FGK671" i="3" s="1"/>
  <c r="FGJ671" i="3" s="1"/>
  <c r="FGI671" i="3" s="1"/>
  <c r="FGH671" i="3" s="1"/>
  <c r="FGG671" i="3" s="1"/>
  <c r="FGF671" i="3" s="1"/>
  <c r="FGE671" i="3" s="1"/>
  <c r="FGD671" i="3" s="1"/>
  <c r="FGC671" i="3" s="1"/>
  <c r="FGB671" i="3" s="1"/>
  <c r="FGA671" i="3" s="1"/>
  <c r="FFZ671" i="3" s="1"/>
  <c r="FFY671" i="3" s="1"/>
  <c r="FFX671" i="3" s="1"/>
  <c r="FFW671" i="3" s="1"/>
  <c r="FFV671" i="3" s="1"/>
  <c r="FFU671" i="3" s="1"/>
  <c r="FFT671" i="3" s="1"/>
  <c r="FFS671" i="3" s="1"/>
  <c r="FFR671" i="3" s="1"/>
  <c r="FFQ671" i="3" s="1"/>
  <c r="FFP671" i="3" s="1"/>
  <c r="FFO671" i="3" s="1"/>
  <c r="FFN671" i="3" s="1"/>
  <c r="FFM671" i="3" s="1"/>
  <c r="FFL671" i="3" s="1"/>
  <c r="FFK671" i="3" s="1"/>
  <c r="FFJ671" i="3" s="1"/>
  <c r="FFI671" i="3" s="1"/>
  <c r="FFH671" i="3" s="1"/>
  <c r="FFG671" i="3" s="1"/>
  <c r="FFF671" i="3" s="1"/>
  <c r="FFE671" i="3" s="1"/>
  <c r="FFD671" i="3" s="1"/>
  <c r="FFC671" i="3" s="1"/>
  <c r="FFB671" i="3" s="1"/>
  <c r="FFA671" i="3" s="1"/>
  <c r="FEZ671" i="3" s="1"/>
  <c r="FEY671" i="3" s="1"/>
  <c r="FEX671" i="3" s="1"/>
  <c r="FEW671" i="3" s="1"/>
  <c r="FEV671" i="3" s="1"/>
  <c r="FEU671" i="3" s="1"/>
  <c r="FET671" i="3" s="1"/>
  <c r="FES671" i="3" s="1"/>
  <c r="FER671" i="3" s="1"/>
  <c r="FEQ671" i="3" s="1"/>
  <c r="FEP671" i="3" s="1"/>
  <c r="FEO671" i="3" s="1"/>
  <c r="FEN671" i="3" s="1"/>
  <c r="FEM671" i="3" s="1"/>
  <c r="FEL671" i="3" s="1"/>
  <c r="FEK671" i="3" s="1"/>
  <c r="FEJ671" i="3" s="1"/>
  <c r="FEI671" i="3" s="1"/>
  <c r="FEH671" i="3" s="1"/>
  <c r="FEG671" i="3" s="1"/>
  <c r="FEF671" i="3" s="1"/>
  <c r="FEE671" i="3" s="1"/>
  <c r="FED671" i="3" s="1"/>
  <c r="FEC671" i="3" s="1"/>
  <c r="FEB671" i="3" s="1"/>
  <c r="FEA671" i="3" s="1"/>
  <c r="FDZ671" i="3" s="1"/>
  <c r="FDY671" i="3" s="1"/>
  <c r="FDX671" i="3" s="1"/>
  <c r="FDW671" i="3" s="1"/>
  <c r="FDV671" i="3" s="1"/>
  <c r="FDU671" i="3" s="1"/>
  <c r="FDT671" i="3" s="1"/>
  <c r="FDS671" i="3" s="1"/>
  <c r="FDR671" i="3" s="1"/>
  <c r="FDQ671" i="3" s="1"/>
  <c r="FDP671" i="3" s="1"/>
  <c r="FDO671" i="3" s="1"/>
  <c r="FDN671" i="3" s="1"/>
  <c r="FDM671" i="3" s="1"/>
  <c r="FDL671" i="3" s="1"/>
  <c r="FDK671" i="3" s="1"/>
  <c r="FDJ671" i="3" s="1"/>
  <c r="FDI671" i="3" s="1"/>
  <c r="FDH671" i="3" s="1"/>
  <c r="FDG671" i="3" s="1"/>
  <c r="FDF671" i="3" s="1"/>
  <c r="FDE671" i="3" s="1"/>
  <c r="FDD671" i="3" s="1"/>
  <c r="FDC671" i="3" s="1"/>
  <c r="FDB671" i="3" s="1"/>
  <c r="FDA671" i="3" s="1"/>
  <c r="FCZ671" i="3" s="1"/>
  <c r="FCY671" i="3" s="1"/>
  <c r="FCX671" i="3" s="1"/>
  <c r="FCW671" i="3" s="1"/>
  <c r="FCV671" i="3" s="1"/>
  <c r="FCU671" i="3" s="1"/>
  <c r="FCT671" i="3" s="1"/>
  <c r="FCS671" i="3" s="1"/>
  <c r="FCR671" i="3" s="1"/>
  <c r="FCQ671" i="3" s="1"/>
  <c r="FCP671" i="3" s="1"/>
  <c r="FCO671" i="3" s="1"/>
  <c r="FCN671" i="3" s="1"/>
  <c r="FCM671" i="3" s="1"/>
  <c r="FCL671" i="3" s="1"/>
  <c r="FCK671" i="3" s="1"/>
  <c r="FCJ671" i="3" s="1"/>
  <c r="FCI671" i="3" s="1"/>
  <c r="FCH671" i="3" s="1"/>
  <c r="FCG671" i="3" s="1"/>
  <c r="FCF671" i="3" s="1"/>
  <c r="FCE671" i="3" s="1"/>
  <c r="FCD671" i="3" s="1"/>
  <c r="FCC671" i="3" s="1"/>
  <c r="FCB671" i="3" s="1"/>
  <c r="FCA671" i="3" s="1"/>
  <c r="FBZ671" i="3" s="1"/>
  <c r="FBY671" i="3" s="1"/>
  <c r="FBX671" i="3" s="1"/>
  <c r="FBW671" i="3" s="1"/>
  <c r="FBV671" i="3" s="1"/>
  <c r="FBU671" i="3" s="1"/>
  <c r="FBT671" i="3" s="1"/>
  <c r="FBS671" i="3" s="1"/>
  <c r="FBR671" i="3" s="1"/>
  <c r="FBQ671" i="3" s="1"/>
  <c r="FBP671" i="3" s="1"/>
  <c r="FBO671" i="3" s="1"/>
  <c r="FBN671" i="3" s="1"/>
  <c r="FBM671" i="3" s="1"/>
  <c r="FBL671" i="3" s="1"/>
  <c r="FBK671" i="3" s="1"/>
  <c r="FBJ671" i="3" s="1"/>
  <c r="FBI671" i="3" s="1"/>
  <c r="FBH671" i="3" s="1"/>
  <c r="FBG671" i="3" s="1"/>
  <c r="FBF671" i="3" s="1"/>
  <c r="FBE671" i="3" s="1"/>
  <c r="FBD671" i="3" s="1"/>
  <c r="FBC671" i="3" s="1"/>
  <c r="FBB671" i="3" s="1"/>
  <c r="FBA671" i="3" s="1"/>
  <c r="FAZ671" i="3" s="1"/>
  <c r="FAY671" i="3" s="1"/>
  <c r="FAX671" i="3" s="1"/>
  <c r="FAW671" i="3" s="1"/>
  <c r="FAV671" i="3" s="1"/>
  <c r="FAU671" i="3" s="1"/>
  <c r="FAT671" i="3" s="1"/>
  <c r="FAS671" i="3" s="1"/>
  <c r="FAR671" i="3" s="1"/>
  <c r="FAQ671" i="3" s="1"/>
  <c r="FAP671" i="3" s="1"/>
  <c r="FAO671" i="3" s="1"/>
  <c r="FAN671" i="3" s="1"/>
  <c r="FAM671" i="3" s="1"/>
  <c r="FAL671" i="3" s="1"/>
  <c r="FAK671" i="3" s="1"/>
  <c r="FAJ671" i="3" s="1"/>
  <c r="FAI671" i="3" s="1"/>
  <c r="FAH671" i="3" s="1"/>
  <c r="FAG671" i="3" s="1"/>
  <c r="FAF671" i="3" s="1"/>
  <c r="FAE671" i="3" s="1"/>
  <c r="FAD671" i="3" s="1"/>
  <c r="FAC671" i="3" s="1"/>
  <c r="FAB671" i="3" s="1"/>
  <c r="FAA671" i="3" s="1"/>
  <c r="EZZ671" i="3" s="1"/>
  <c r="EZY671" i="3" s="1"/>
  <c r="EZX671" i="3" s="1"/>
  <c r="EZW671" i="3" s="1"/>
  <c r="EZV671" i="3" s="1"/>
  <c r="EZU671" i="3" s="1"/>
  <c r="EZT671" i="3" s="1"/>
  <c r="EZS671" i="3" s="1"/>
  <c r="EZR671" i="3" s="1"/>
  <c r="EZQ671" i="3" s="1"/>
  <c r="EZP671" i="3" s="1"/>
  <c r="EZO671" i="3" s="1"/>
  <c r="EZN671" i="3" s="1"/>
  <c r="EZM671" i="3" s="1"/>
  <c r="EZL671" i="3" s="1"/>
  <c r="EZK671" i="3" s="1"/>
  <c r="EZJ671" i="3" s="1"/>
  <c r="EZI671" i="3" s="1"/>
  <c r="EZH671" i="3" s="1"/>
  <c r="EZG671" i="3" s="1"/>
  <c r="EZF671" i="3" s="1"/>
  <c r="EZE671" i="3" s="1"/>
  <c r="EZD671" i="3" s="1"/>
  <c r="EZC671" i="3" s="1"/>
  <c r="EZB671" i="3" s="1"/>
  <c r="EZA671" i="3" s="1"/>
  <c r="EYZ671" i="3" s="1"/>
  <c r="EYY671" i="3" s="1"/>
  <c r="EYX671" i="3" s="1"/>
  <c r="EYW671" i="3" s="1"/>
  <c r="EYV671" i="3" s="1"/>
  <c r="EYU671" i="3" s="1"/>
  <c r="EYT671" i="3" s="1"/>
  <c r="EYS671" i="3" s="1"/>
  <c r="EYR671" i="3" s="1"/>
  <c r="EYQ671" i="3" s="1"/>
  <c r="EYP671" i="3" s="1"/>
  <c r="EYO671" i="3" s="1"/>
  <c r="EYN671" i="3" s="1"/>
  <c r="EYM671" i="3" s="1"/>
  <c r="EYL671" i="3" s="1"/>
  <c r="EYK671" i="3" s="1"/>
  <c r="EYJ671" i="3" s="1"/>
  <c r="EYI671" i="3" s="1"/>
  <c r="EYH671" i="3" s="1"/>
  <c r="EYG671" i="3" s="1"/>
  <c r="EYF671" i="3" s="1"/>
  <c r="EYE671" i="3" s="1"/>
  <c r="EYD671" i="3" s="1"/>
  <c r="EYC671" i="3" s="1"/>
  <c r="EYB671" i="3" s="1"/>
  <c r="EYA671" i="3" s="1"/>
  <c r="EXZ671" i="3" s="1"/>
  <c r="EXY671" i="3" s="1"/>
  <c r="EXX671" i="3" s="1"/>
  <c r="EXW671" i="3" s="1"/>
  <c r="EXV671" i="3" s="1"/>
  <c r="EXU671" i="3" s="1"/>
  <c r="EXT671" i="3" s="1"/>
  <c r="EXS671" i="3" s="1"/>
  <c r="EXR671" i="3" s="1"/>
  <c r="EXQ671" i="3" s="1"/>
  <c r="EXP671" i="3" s="1"/>
  <c r="EXO671" i="3" s="1"/>
  <c r="EXN671" i="3" s="1"/>
  <c r="EXM671" i="3" s="1"/>
  <c r="EXL671" i="3" s="1"/>
  <c r="EXK671" i="3" s="1"/>
  <c r="EXJ671" i="3" s="1"/>
  <c r="EXI671" i="3" s="1"/>
  <c r="EXH671" i="3" s="1"/>
  <c r="EXG671" i="3" s="1"/>
  <c r="EXF671" i="3" s="1"/>
  <c r="EXE671" i="3" s="1"/>
  <c r="EXD671" i="3" s="1"/>
  <c r="EXC671" i="3" s="1"/>
  <c r="EXB671" i="3" s="1"/>
  <c r="EXA671" i="3" s="1"/>
  <c r="EWZ671" i="3" s="1"/>
  <c r="EWY671" i="3" s="1"/>
  <c r="EWX671" i="3" s="1"/>
  <c r="EWW671" i="3" s="1"/>
  <c r="EWV671" i="3" s="1"/>
  <c r="EWU671" i="3" s="1"/>
  <c r="EWT671" i="3" s="1"/>
  <c r="EWS671" i="3" s="1"/>
  <c r="EWR671" i="3" s="1"/>
  <c r="EWQ671" i="3" s="1"/>
  <c r="EWP671" i="3" s="1"/>
  <c r="EWO671" i="3" s="1"/>
  <c r="EWN671" i="3" s="1"/>
  <c r="EWM671" i="3" s="1"/>
  <c r="EWL671" i="3" s="1"/>
  <c r="EWK671" i="3" s="1"/>
  <c r="EWJ671" i="3" s="1"/>
  <c r="EWI671" i="3" s="1"/>
  <c r="EWH671" i="3" s="1"/>
  <c r="EWG671" i="3" s="1"/>
  <c r="EWF671" i="3" s="1"/>
  <c r="EWE671" i="3" s="1"/>
  <c r="EWD671" i="3" s="1"/>
  <c r="EWC671" i="3" s="1"/>
  <c r="EWB671" i="3" s="1"/>
  <c r="EWA671" i="3" s="1"/>
  <c r="EVZ671" i="3" s="1"/>
  <c r="EVY671" i="3" s="1"/>
  <c r="EVX671" i="3" s="1"/>
  <c r="EVW671" i="3" s="1"/>
  <c r="EVV671" i="3" s="1"/>
  <c r="EVU671" i="3" s="1"/>
  <c r="EVT671" i="3" s="1"/>
  <c r="EVS671" i="3" s="1"/>
  <c r="EVR671" i="3" s="1"/>
  <c r="EVQ671" i="3" s="1"/>
  <c r="EVP671" i="3" s="1"/>
  <c r="EVO671" i="3" s="1"/>
  <c r="EVN671" i="3" s="1"/>
  <c r="EVM671" i="3" s="1"/>
  <c r="EVL671" i="3" s="1"/>
  <c r="EVK671" i="3" s="1"/>
  <c r="EVJ671" i="3" s="1"/>
  <c r="EVI671" i="3" s="1"/>
  <c r="EVH671" i="3" s="1"/>
  <c r="EVG671" i="3" s="1"/>
  <c r="EVF671" i="3" s="1"/>
  <c r="EVE671" i="3" s="1"/>
  <c r="EVD671" i="3" s="1"/>
  <c r="EVC671" i="3" s="1"/>
  <c r="EVB671" i="3" s="1"/>
  <c r="EVA671" i="3" s="1"/>
  <c r="EUZ671" i="3" s="1"/>
  <c r="EUY671" i="3" s="1"/>
  <c r="EUX671" i="3" s="1"/>
  <c r="EUW671" i="3" s="1"/>
  <c r="EUV671" i="3" s="1"/>
  <c r="EUU671" i="3" s="1"/>
  <c r="EUT671" i="3" s="1"/>
  <c r="EUS671" i="3" s="1"/>
  <c r="EUR671" i="3" s="1"/>
  <c r="EUQ671" i="3" s="1"/>
  <c r="EUP671" i="3" s="1"/>
  <c r="EUO671" i="3" s="1"/>
  <c r="EUN671" i="3" s="1"/>
  <c r="EUM671" i="3" s="1"/>
  <c r="EUL671" i="3" s="1"/>
  <c r="EUK671" i="3" s="1"/>
  <c r="EUJ671" i="3" s="1"/>
  <c r="EUI671" i="3" s="1"/>
  <c r="EUH671" i="3" s="1"/>
  <c r="EUG671" i="3" s="1"/>
  <c r="EUF671" i="3" s="1"/>
  <c r="EUE671" i="3" s="1"/>
  <c r="EUD671" i="3" s="1"/>
  <c r="EUC671" i="3" s="1"/>
  <c r="EUB671" i="3" s="1"/>
  <c r="EUA671" i="3" s="1"/>
  <c r="ETZ671" i="3" s="1"/>
  <c r="ETY671" i="3" s="1"/>
  <c r="ETX671" i="3" s="1"/>
  <c r="ETW671" i="3" s="1"/>
  <c r="ETV671" i="3" s="1"/>
  <c r="ETU671" i="3" s="1"/>
  <c r="ETT671" i="3" s="1"/>
  <c r="ETS671" i="3" s="1"/>
  <c r="ETR671" i="3" s="1"/>
  <c r="ETQ671" i="3" s="1"/>
  <c r="ETP671" i="3" s="1"/>
  <c r="ETO671" i="3" s="1"/>
  <c r="ETN671" i="3" s="1"/>
  <c r="ETM671" i="3" s="1"/>
  <c r="ETL671" i="3" s="1"/>
  <c r="ETK671" i="3" s="1"/>
  <c r="ETJ671" i="3" s="1"/>
  <c r="ETI671" i="3" s="1"/>
  <c r="ETH671" i="3" s="1"/>
  <c r="ETG671" i="3" s="1"/>
  <c r="ETF671" i="3" s="1"/>
  <c r="ETE671" i="3" s="1"/>
  <c r="ETD671" i="3" s="1"/>
  <c r="ETC671" i="3" s="1"/>
  <c r="ETB671" i="3" s="1"/>
  <c r="ETA671" i="3" s="1"/>
  <c r="ESZ671" i="3" s="1"/>
  <c r="ESY671" i="3" s="1"/>
  <c r="ESX671" i="3" s="1"/>
  <c r="ESW671" i="3" s="1"/>
  <c r="ESV671" i="3" s="1"/>
  <c r="ESU671" i="3" s="1"/>
  <c r="EST671" i="3" s="1"/>
  <c r="ESS671" i="3" s="1"/>
  <c r="ESR671" i="3" s="1"/>
  <c r="ESQ671" i="3" s="1"/>
  <c r="ESP671" i="3" s="1"/>
  <c r="ESO671" i="3" s="1"/>
  <c r="ESN671" i="3" s="1"/>
  <c r="ESM671" i="3" s="1"/>
  <c r="ESL671" i="3" s="1"/>
  <c r="ESK671" i="3" s="1"/>
  <c r="ESJ671" i="3" s="1"/>
  <c r="ESI671" i="3" s="1"/>
  <c r="ESH671" i="3" s="1"/>
  <c r="ESG671" i="3" s="1"/>
  <c r="ESF671" i="3" s="1"/>
  <c r="ESE671" i="3" s="1"/>
  <c r="ESD671" i="3" s="1"/>
  <c r="ESC671" i="3" s="1"/>
  <c r="ESB671" i="3" s="1"/>
  <c r="ESA671" i="3" s="1"/>
  <c r="ERZ671" i="3" s="1"/>
  <c r="ERY671" i="3" s="1"/>
  <c r="ERX671" i="3" s="1"/>
  <c r="ERW671" i="3" s="1"/>
  <c r="ERV671" i="3" s="1"/>
  <c r="ERU671" i="3" s="1"/>
  <c r="ERT671" i="3" s="1"/>
  <c r="ERS671" i="3" s="1"/>
  <c r="ERR671" i="3" s="1"/>
  <c r="ERQ671" i="3" s="1"/>
  <c r="ERP671" i="3" s="1"/>
  <c r="ERO671" i="3" s="1"/>
  <c r="ERN671" i="3" s="1"/>
  <c r="ERM671" i="3" s="1"/>
  <c r="ERL671" i="3" s="1"/>
  <c r="ERK671" i="3" s="1"/>
  <c r="ERJ671" i="3" s="1"/>
  <c r="ERI671" i="3" s="1"/>
  <c r="ERH671" i="3" s="1"/>
  <c r="ERG671" i="3" s="1"/>
  <c r="ERF671" i="3" s="1"/>
  <c r="ERE671" i="3" s="1"/>
  <c r="ERD671" i="3" s="1"/>
  <c r="ERC671" i="3" s="1"/>
  <c r="ERB671" i="3" s="1"/>
  <c r="ERA671" i="3" s="1"/>
  <c r="EQZ671" i="3" s="1"/>
  <c r="EQY671" i="3" s="1"/>
  <c r="EQX671" i="3" s="1"/>
  <c r="EQW671" i="3" s="1"/>
  <c r="EQV671" i="3" s="1"/>
  <c r="EQU671" i="3" s="1"/>
  <c r="EQT671" i="3" s="1"/>
  <c r="EQS671" i="3" s="1"/>
  <c r="EQR671" i="3" s="1"/>
  <c r="EQQ671" i="3" s="1"/>
  <c r="EQP671" i="3" s="1"/>
  <c r="EQO671" i="3" s="1"/>
  <c r="EQN671" i="3" s="1"/>
  <c r="EQM671" i="3" s="1"/>
  <c r="EQL671" i="3" s="1"/>
  <c r="EQK671" i="3" s="1"/>
  <c r="EQJ671" i="3" s="1"/>
  <c r="EQI671" i="3" s="1"/>
  <c r="EQH671" i="3" s="1"/>
  <c r="EQG671" i="3" s="1"/>
  <c r="EQF671" i="3" s="1"/>
  <c r="EQE671" i="3" s="1"/>
  <c r="EQD671" i="3" s="1"/>
  <c r="EQC671" i="3" s="1"/>
  <c r="EQB671" i="3" s="1"/>
  <c r="EQA671" i="3" s="1"/>
  <c r="EPZ671" i="3" s="1"/>
  <c r="EPY671" i="3" s="1"/>
  <c r="EPX671" i="3" s="1"/>
  <c r="EPW671" i="3" s="1"/>
  <c r="EPV671" i="3" s="1"/>
  <c r="EPU671" i="3" s="1"/>
  <c r="EPT671" i="3" s="1"/>
  <c r="EPS671" i="3" s="1"/>
  <c r="EPR671" i="3" s="1"/>
  <c r="EPQ671" i="3" s="1"/>
  <c r="EPP671" i="3" s="1"/>
  <c r="EPO671" i="3" s="1"/>
  <c r="EPN671" i="3" s="1"/>
  <c r="EPM671" i="3" s="1"/>
  <c r="EPL671" i="3" s="1"/>
  <c r="EPK671" i="3" s="1"/>
  <c r="EPJ671" i="3" s="1"/>
  <c r="EPI671" i="3" s="1"/>
  <c r="EPH671" i="3" s="1"/>
  <c r="EPG671" i="3" s="1"/>
  <c r="EPF671" i="3" s="1"/>
  <c r="EPE671" i="3" s="1"/>
  <c r="EPD671" i="3" s="1"/>
  <c r="EPC671" i="3" s="1"/>
  <c r="EPB671" i="3" s="1"/>
  <c r="EPA671" i="3" s="1"/>
  <c r="EOZ671" i="3" s="1"/>
  <c r="EOY671" i="3" s="1"/>
  <c r="EOX671" i="3" s="1"/>
  <c r="EOW671" i="3" s="1"/>
  <c r="EOV671" i="3" s="1"/>
  <c r="EOU671" i="3" s="1"/>
  <c r="EOT671" i="3" s="1"/>
  <c r="EOS671" i="3" s="1"/>
  <c r="EOR671" i="3" s="1"/>
  <c r="EOQ671" i="3" s="1"/>
  <c r="EOP671" i="3" s="1"/>
  <c r="EOO671" i="3" s="1"/>
  <c r="EON671" i="3" s="1"/>
  <c r="EOM671" i="3" s="1"/>
  <c r="EOL671" i="3" s="1"/>
  <c r="EOK671" i="3" s="1"/>
  <c r="EOJ671" i="3" s="1"/>
  <c r="EOI671" i="3" s="1"/>
  <c r="EOH671" i="3" s="1"/>
  <c r="EOG671" i="3" s="1"/>
  <c r="EOF671" i="3" s="1"/>
  <c r="EOE671" i="3" s="1"/>
  <c r="EOD671" i="3" s="1"/>
  <c r="EOC671" i="3" s="1"/>
  <c r="EOB671" i="3" s="1"/>
  <c r="EOA671" i="3" s="1"/>
  <c r="ENZ671" i="3" s="1"/>
  <c r="ENY671" i="3" s="1"/>
  <c r="ENX671" i="3" s="1"/>
  <c r="ENW671" i="3" s="1"/>
  <c r="ENV671" i="3" s="1"/>
  <c r="ENU671" i="3" s="1"/>
  <c r="ENT671" i="3" s="1"/>
  <c r="ENS671" i="3" s="1"/>
  <c r="ENR671" i="3" s="1"/>
  <c r="ENQ671" i="3" s="1"/>
  <c r="ENP671" i="3" s="1"/>
  <c r="ENO671" i="3" s="1"/>
  <c r="ENN671" i="3" s="1"/>
  <c r="ENM671" i="3" s="1"/>
  <c r="ENL671" i="3" s="1"/>
  <c r="ENK671" i="3" s="1"/>
  <c r="ENJ671" i="3" s="1"/>
  <c r="ENI671" i="3" s="1"/>
  <c r="ENH671" i="3" s="1"/>
  <c r="ENG671" i="3" s="1"/>
  <c r="ENF671" i="3" s="1"/>
  <c r="ENE671" i="3" s="1"/>
  <c r="END671" i="3" s="1"/>
  <c r="ENC671" i="3" s="1"/>
  <c r="ENB671" i="3" s="1"/>
  <c r="ENA671" i="3" s="1"/>
  <c r="EMZ671" i="3" s="1"/>
  <c r="EMY671" i="3" s="1"/>
  <c r="EMX671" i="3" s="1"/>
  <c r="EMW671" i="3" s="1"/>
  <c r="EMV671" i="3" s="1"/>
  <c r="EMU671" i="3" s="1"/>
  <c r="EMT671" i="3" s="1"/>
  <c r="EMS671" i="3" s="1"/>
  <c r="EMR671" i="3" s="1"/>
  <c r="EMQ671" i="3" s="1"/>
  <c r="EMP671" i="3" s="1"/>
  <c r="EMO671" i="3" s="1"/>
  <c r="EMN671" i="3" s="1"/>
  <c r="EMM671" i="3" s="1"/>
  <c r="EML671" i="3" s="1"/>
  <c r="EMK671" i="3" s="1"/>
  <c r="EMJ671" i="3" s="1"/>
  <c r="EMI671" i="3" s="1"/>
  <c r="EMH671" i="3" s="1"/>
  <c r="EMG671" i="3" s="1"/>
  <c r="EMF671" i="3" s="1"/>
  <c r="EME671" i="3" s="1"/>
  <c r="EMD671" i="3" s="1"/>
  <c r="EMC671" i="3" s="1"/>
  <c r="EMB671" i="3" s="1"/>
  <c r="EMA671" i="3" s="1"/>
  <c r="ELZ671" i="3" s="1"/>
  <c r="ELY671" i="3" s="1"/>
  <c r="ELX671" i="3" s="1"/>
  <c r="ELW671" i="3" s="1"/>
  <c r="ELV671" i="3" s="1"/>
  <c r="ELU671" i="3" s="1"/>
  <c r="ELT671" i="3" s="1"/>
  <c r="ELS671" i="3" s="1"/>
  <c r="ELR671" i="3" s="1"/>
  <c r="ELQ671" i="3" s="1"/>
  <c r="ELP671" i="3" s="1"/>
  <c r="ELO671" i="3" s="1"/>
  <c r="ELN671" i="3" s="1"/>
  <c r="ELM671" i="3" s="1"/>
  <c r="ELL671" i="3" s="1"/>
  <c r="ELK671" i="3" s="1"/>
  <c r="ELJ671" i="3" s="1"/>
  <c r="ELI671" i="3" s="1"/>
  <c r="ELH671" i="3" s="1"/>
  <c r="ELG671" i="3" s="1"/>
  <c r="ELF671" i="3" s="1"/>
  <c r="ELE671" i="3" s="1"/>
  <c r="ELD671" i="3" s="1"/>
  <c r="ELC671" i="3" s="1"/>
  <c r="ELB671" i="3" s="1"/>
  <c r="ELA671" i="3" s="1"/>
  <c r="EKZ671" i="3" s="1"/>
  <c r="EKY671" i="3" s="1"/>
  <c r="EKX671" i="3" s="1"/>
  <c r="EKW671" i="3" s="1"/>
  <c r="EKV671" i="3" s="1"/>
  <c r="EKU671" i="3" s="1"/>
  <c r="EKT671" i="3" s="1"/>
  <c r="EKS671" i="3" s="1"/>
  <c r="EKR671" i="3" s="1"/>
  <c r="EKQ671" i="3" s="1"/>
  <c r="EKP671" i="3" s="1"/>
  <c r="EKO671" i="3" s="1"/>
  <c r="EKN671" i="3" s="1"/>
  <c r="EKM671" i="3" s="1"/>
  <c r="EKL671" i="3" s="1"/>
  <c r="EKK671" i="3" s="1"/>
  <c r="EKJ671" i="3" s="1"/>
  <c r="EKI671" i="3" s="1"/>
  <c r="EKH671" i="3" s="1"/>
  <c r="EKG671" i="3" s="1"/>
  <c r="EKF671" i="3" s="1"/>
  <c r="EKE671" i="3" s="1"/>
  <c r="EKD671" i="3" s="1"/>
  <c r="EKC671" i="3" s="1"/>
  <c r="EKB671" i="3" s="1"/>
  <c r="EKA671" i="3" s="1"/>
  <c r="EJZ671" i="3" s="1"/>
  <c r="EJY671" i="3" s="1"/>
  <c r="EJX671" i="3" s="1"/>
  <c r="EJW671" i="3" s="1"/>
  <c r="EJV671" i="3" s="1"/>
  <c r="EJU671" i="3" s="1"/>
  <c r="EJT671" i="3" s="1"/>
  <c r="EJS671" i="3" s="1"/>
  <c r="EJR671" i="3" s="1"/>
  <c r="EJQ671" i="3" s="1"/>
  <c r="EJP671" i="3" s="1"/>
  <c r="EJO671" i="3" s="1"/>
  <c r="EJN671" i="3" s="1"/>
  <c r="EJM671" i="3" s="1"/>
  <c r="EJL671" i="3" s="1"/>
  <c r="EJK671" i="3" s="1"/>
  <c r="EJJ671" i="3" s="1"/>
  <c r="EJI671" i="3" s="1"/>
  <c r="EJH671" i="3" s="1"/>
  <c r="EJG671" i="3" s="1"/>
  <c r="EJF671" i="3" s="1"/>
  <c r="EJE671" i="3" s="1"/>
  <c r="EJD671" i="3" s="1"/>
  <c r="EJC671" i="3" s="1"/>
  <c r="EJB671" i="3" s="1"/>
  <c r="EJA671" i="3" s="1"/>
  <c r="EIZ671" i="3" s="1"/>
  <c r="EIY671" i="3" s="1"/>
  <c r="EIX671" i="3" s="1"/>
  <c r="EIW671" i="3" s="1"/>
  <c r="EIV671" i="3" s="1"/>
  <c r="EIU671" i="3" s="1"/>
  <c r="EIT671" i="3" s="1"/>
  <c r="EIS671" i="3" s="1"/>
  <c r="EIR671" i="3" s="1"/>
  <c r="EIQ671" i="3" s="1"/>
  <c r="EIP671" i="3" s="1"/>
  <c r="EIO671" i="3" s="1"/>
  <c r="EIN671" i="3" s="1"/>
  <c r="EIM671" i="3" s="1"/>
  <c r="EIL671" i="3" s="1"/>
  <c r="EIK671" i="3" s="1"/>
  <c r="EIJ671" i="3" s="1"/>
  <c r="EII671" i="3" s="1"/>
  <c r="EIH671" i="3" s="1"/>
  <c r="EIG671" i="3" s="1"/>
  <c r="EIF671" i="3" s="1"/>
  <c r="EIE671" i="3" s="1"/>
  <c r="EID671" i="3" s="1"/>
  <c r="EIC671" i="3" s="1"/>
  <c r="EIB671" i="3" s="1"/>
  <c r="EIA671" i="3" s="1"/>
  <c r="EHZ671" i="3" s="1"/>
  <c r="EHY671" i="3" s="1"/>
  <c r="EHX671" i="3" s="1"/>
  <c r="EHW671" i="3" s="1"/>
  <c r="EHV671" i="3" s="1"/>
  <c r="EHU671" i="3" s="1"/>
  <c r="EHT671" i="3" s="1"/>
  <c r="EHS671" i="3" s="1"/>
  <c r="EHR671" i="3" s="1"/>
  <c r="EHQ671" i="3" s="1"/>
  <c r="EHP671" i="3" s="1"/>
  <c r="EHO671" i="3" s="1"/>
  <c r="EHN671" i="3" s="1"/>
  <c r="EHM671" i="3" s="1"/>
  <c r="EHL671" i="3" s="1"/>
  <c r="EHK671" i="3" s="1"/>
  <c r="EHJ671" i="3" s="1"/>
  <c r="EHI671" i="3" s="1"/>
  <c r="EHH671" i="3" s="1"/>
  <c r="EHG671" i="3" s="1"/>
  <c r="EHF671" i="3" s="1"/>
  <c r="EHE671" i="3" s="1"/>
  <c r="EHD671" i="3" s="1"/>
  <c r="EHC671" i="3" s="1"/>
  <c r="EHB671" i="3" s="1"/>
  <c r="EHA671" i="3" s="1"/>
  <c r="EGZ671" i="3" s="1"/>
  <c r="EGY671" i="3" s="1"/>
  <c r="EGX671" i="3" s="1"/>
  <c r="EGW671" i="3" s="1"/>
  <c r="EGV671" i="3" s="1"/>
  <c r="EGU671" i="3" s="1"/>
  <c r="EGT671" i="3" s="1"/>
  <c r="EGS671" i="3" s="1"/>
  <c r="EGR671" i="3" s="1"/>
  <c r="EGQ671" i="3" s="1"/>
  <c r="EGP671" i="3" s="1"/>
  <c r="EGO671" i="3" s="1"/>
  <c r="EGN671" i="3" s="1"/>
  <c r="EGM671" i="3" s="1"/>
  <c r="EGL671" i="3" s="1"/>
  <c r="EGK671" i="3" s="1"/>
  <c r="EGJ671" i="3" s="1"/>
  <c r="EGI671" i="3" s="1"/>
  <c r="EGH671" i="3" s="1"/>
  <c r="EGG671" i="3" s="1"/>
  <c r="EGF671" i="3" s="1"/>
  <c r="EGE671" i="3" s="1"/>
  <c r="EGD671" i="3" s="1"/>
  <c r="EGC671" i="3" s="1"/>
  <c r="EGB671" i="3" s="1"/>
  <c r="EGA671" i="3" s="1"/>
  <c r="EFZ671" i="3" s="1"/>
  <c r="EFY671" i="3" s="1"/>
  <c r="EFX671" i="3" s="1"/>
  <c r="EFW671" i="3" s="1"/>
  <c r="EFV671" i="3" s="1"/>
  <c r="EFU671" i="3" s="1"/>
  <c r="EFT671" i="3" s="1"/>
  <c r="EFS671" i="3" s="1"/>
  <c r="EFR671" i="3" s="1"/>
  <c r="EFQ671" i="3" s="1"/>
  <c r="EFP671" i="3" s="1"/>
  <c r="EFO671" i="3" s="1"/>
  <c r="EFN671" i="3" s="1"/>
  <c r="EFM671" i="3" s="1"/>
  <c r="EFL671" i="3" s="1"/>
  <c r="EFK671" i="3" s="1"/>
  <c r="EFJ671" i="3" s="1"/>
  <c r="EFI671" i="3" s="1"/>
  <c r="EFH671" i="3" s="1"/>
  <c r="EFG671" i="3" s="1"/>
  <c r="EFF671" i="3" s="1"/>
  <c r="EFE671" i="3" s="1"/>
  <c r="EFD671" i="3" s="1"/>
  <c r="EFC671" i="3" s="1"/>
  <c r="EFB671" i="3" s="1"/>
  <c r="EFA671" i="3" s="1"/>
  <c r="EEZ671" i="3" s="1"/>
  <c r="EEY671" i="3" s="1"/>
  <c r="EEX671" i="3" s="1"/>
  <c r="EEW671" i="3" s="1"/>
  <c r="EEV671" i="3" s="1"/>
  <c r="EEU671" i="3" s="1"/>
  <c r="EET671" i="3" s="1"/>
  <c r="EES671" i="3" s="1"/>
  <c r="EER671" i="3" s="1"/>
  <c r="EEQ671" i="3" s="1"/>
  <c r="EEP671" i="3" s="1"/>
  <c r="EEO671" i="3" s="1"/>
  <c r="EEN671" i="3" s="1"/>
  <c r="EEM671" i="3" s="1"/>
  <c r="EEL671" i="3" s="1"/>
  <c r="EEK671" i="3" s="1"/>
  <c r="EEJ671" i="3" s="1"/>
  <c r="EEI671" i="3" s="1"/>
  <c r="EEH671" i="3" s="1"/>
  <c r="EEG671" i="3" s="1"/>
  <c r="EEF671" i="3" s="1"/>
  <c r="EEE671" i="3" s="1"/>
  <c r="EED671" i="3" s="1"/>
  <c r="EEC671" i="3" s="1"/>
  <c r="EEB671" i="3" s="1"/>
  <c r="EEA671" i="3" s="1"/>
  <c r="EDZ671" i="3" s="1"/>
  <c r="EDY671" i="3" s="1"/>
  <c r="EDX671" i="3" s="1"/>
  <c r="EDW671" i="3" s="1"/>
  <c r="EDV671" i="3" s="1"/>
  <c r="EDU671" i="3" s="1"/>
  <c r="EDT671" i="3" s="1"/>
  <c r="EDS671" i="3" s="1"/>
  <c r="EDR671" i="3" s="1"/>
  <c r="EDQ671" i="3" s="1"/>
  <c r="EDP671" i="3" s="1"/>
  <c r="EDO671" i="3" s="1"/>
  <c r="EDN671" i="3" s="1"/>
  <c r="EDM671" i="3" s="1"/>
  <c r="EDL671" i="3" s="1"/>
  <c r="EDK671" i="3" s="1"/>
  <c r="EDJ671" i="3" s="1"/>
  <c r="EDI671" i="3" s="1"/>
  <c r="EDH671" i="3" s="1"/>
  <c r="EDG671" i="3" s="1"/>
  <c r="EDF671" i="3" s="1"/>
  <c r="EDE671" i="3" s="1"/>
  <c r="EDD671" i="3" s="1"/>
  <c r="EDC671" i="3" s="1"/>
  <c r="EDB671" i="3" s="1"/>
  <c r="EDA671" i="3" s="1"/>
  <c r="ECZ671" i="3" s="1"/>
  <c r="ECY671" i="3" s="1"/>
  <c r="ECX671" i="3" s="1"/>
  <c r="ECW671" i="3" s="1"/>
  <c r="ECV671" i="3" s="1"/>
  <c r="ECU671" i="3" s="1"/>
  <c r="ECT671" i="3" s="1"/>
  <c r="ECS671" i="3" s="1"/>
  <c r="ECR671" i="3" s="1"/>
  <c r="ECQ671" i="3" s="1"/>
  <c r="ECP671" i="3" s="1"/>
  <c r="ECO671" i="3" s="1"/>
  <c r="ECN671" i="3" s="1"/>
  <c r="ECM671" i="3" s="1"/>
  <c r="ECL671" i="3" s="1"/>
  <c r="ECK671" i="3" s="1"/>
  <c r="ECJ671" i="3" s="1"/>
  <c r="ECI671" i="3" s="1"/>
  <c r="ECH671" i="3" s="1"/>
  <c r="ECG671" i="3" s="1"/>
  <c r="ECF671" i="3" s="1"/>
  <c r="ECE671" i="3" s="1"/>
  <c r="ECD671" i="3" s="1"/>
  <c r="ECC671" i="3" s="1"/>
  <c r="ECB671" i="3" s="1"/>
  <c r="ECA671" i="3" s="1"/>
  <c r="EBZ671" i="3" s="1"/>
  <c r="EBY671" i="3" s="1"/>
  <c r="EBX671" i="3" s="1"/>
  <c r="EBW671" i="3" s="1"/>
  <c r="EBV671" i="3" s="1"/>
  <c r="EBU671" i="3" s="1"/>
  <c r="EBT671" i="3" s="1"/>
  <c r="EBS671" i="3" s="1"/>
  <c r="EBR671" i="3" s="1"/>
  <c r="EBQ671" i="3" s="1"/>
  <c r="EBP671" i="3" s="1"/>
  <c r="EBO671" i="3" s="1"/>
  <c r="EBN671" i="3" s="1"/>
  <c r="EBM671" i="3" s="1"/>
  <c r="EBL671" i="3" s="1"/>
  <c r="EBK671" i="3" s="1"/>
  <c r="EBJ671" i="3" s="1"/>
  <c r="EBI671" i="3" s="1"/>
  <c r="EBH671" i="3" s="1"/>
  <c r="EBG671" i="3" s="1"/>
  <c r="EBF671" i="3" s="1"/>
  <c r="EBE671" i="3" s="1"/>
  <c r="EBD671" i="3" s="1"/>
  <c r="EBC671" i="3" s="1"/>
  <c r="EBB671" i="3" s="1"/>
  <c r="EBA671" i="3" s="1"/>
  <c r="EAZ671" i="3" s="1"/>
  <c r="EAY671" i="3" s="1"/>
  <c r="EAX671" i="3" s="1"/>
  <c r="EAW671" i="3" s="1"/>
  <c r="EAV671" i="3" s="1"/>
  <c r="EAU671" i="3" s="1"/>
  <c r="EAT671" i="3" s="1"/>
  <c r="EAS671" i="3" s="1"/>
  <c r="EAR671" i="3" s="1"/>
  <c r="EAQ671" i="3" s="1"/>
  <c r="EAP671" i="3" s="1"/>
  <c r="EAO671" i="3" s="1"/>
  <c r="EAN671" i="3" s="1"/>
  <c r="EAM671" i="3" s="1"/>
  <c r="EAL671" i="3" s="1"/>
  <c r="EAK671" i="3" s="1"/>
  <c r="EAJ671" i="3" s="1"/>
  <c r="EAI671" i="3" s="1"/>
  <c r="EAH671" i="3" s="1"/>
  <c r="EAG671" i="3" s="1"/>
  <c r="EAF671" i="3" s="1"/>
  <c r="EAE671" i="3" s="1"/>
  <c r="EAD671" i="3" s="1"/>
  <c r="EAC671" i="3" s="1"/>
  <c r="EAB671" i="3" s="1"/>
  <c r="EAA671" i="3" s="1"/>
  <c r="DZZ671" i="3" s="1"/>
  <c r="DZY671" i="3" s="1"/>
  <c r="DZX671" i="3" s="1"/>
  <c r="DZW671" i="3" s="1"/>
  <c r="DZV671" i="3" s="1"/>
  <c r="DZU671" i="3" s="1"/>
  <c r="DZT671" i="3" s="1"/>
  <c r="DZS671" i="3" s="1"/>
  <c r="DZR671" i="3" s="1"/>
  <c r="DZQ671" i="3" s="1"/>
  <c r="DZP671" i="3" s="1"/>
  <c r="DZO671" i="3" s="1"/>
  <c r="DZN671" i="3" s="1"/>
  <c r="DZM671" i="3" s="1"/>
  <c r="DZL671" i="3" s="1"/>
  <c r="DZK671" i="3" s="1"/>
  <c r="DZJ671" i="3" s="1"/>
  <c r="DZI671" i="3" s="1"/>
  <c r="DZH671" i="3" s="1"/>
  <c r="DZG671" i="3" s="1"/>
  <c r="DZF671" i="3" s="1"/>
  <c r="DZE671" i="3" s="1"/>
  <c r="DZD671" i="3" s="1"/>
  <c r="DZC671" i="3" s="1"/>
  <c r="DZB671" i="3" s="1"/>
  <c r="DZA671" i="3" s="1"/>
  <c r="DYZ671" i="3" s="1"/>
  <c r="DYY671" i="3" s="1"/>
  <c r="DYX671" i="3" s="1"/>
  <c r="DYW671" i="3" s="1"/>
  <c r="DYV671" i="3" s="1"/>
  <c r="DYU671" i="3" s="1"/>
  <c r="DYT671" i="3" s="1"/>
  <c r="DYS671" i="3" s="1"/>
  <c r="DYR671" i="3" s="1"/>
  <c r="DYQ671" i="3" s="1"/>
  <c r="DYP671" i="3" s="1"/>
  <c r="DYO671" i="3" s="1"/>
  <c r="DYN671" i="3" s="1"/>
  <c r="DYM671" i="3" s="1"/>
  <c r="DYL671" i="3" s="1"/>
  <c r="DYK671" i="3" s="1"/>
  <c r="DYJ671" i="3" s="1"/>
  <c r="DYI671" i="3" s="1"/>
  <c r="DYH671" i="3" s="1"/>
  <c r="DYG671" i="3" s="1"/>
  <c r="DYF671" i="3" s="1"/>
  <c r="DYE671" i="3" s="1"/>
  <c r="DYD671" i="3" s="1"/>
  <c r="DYC671" i="3" s="1"/>
  <c r="DYB671" i="3" s="1"/>
  <c r="DYA671" i="3" s="1"/>
  <c r="DXZ671" i="3" s="1"/>
  <c r="DXY671" i="3" s="1"/>
  <c r="DXX671" i="3" s="1"/>
  <c r="DXW671" i="3" s="1"/>
  <c r="DXV671" i="3" s="1"/>
  <c r="DXU671" i="3" s="1"/>
  <c r="DXT671" i="3" s="1"/>
  <c r="DXS671" i="3" s="1"/>
  <c r="DXR671" i="3" s="1"/>
  <c r="DXQ671" i="3" s="1"/>
  <c r="DXP671" i="3" s="1"/>
  <c r="DXO671" i="3" s="1"/>
  <c r="DXN671" i="3" s="1"/>
  <c r="DXM671" i="3" s="1"/>
  <c r="DXL671" i="3" s="1"/>
  <c r="DXK671" i="3" s="1"/>
  <c r="DXJ671" i="3" s="1"/>
  <c r="DXI671" i="3" s="1"/>
  <c r="DXH671" i="3" s="1"/>
  <c r="DXG671" i="3" s="1"/>
  <c r="DXF671" i="3" s="1"/>
  <c r="DXE671" i="3" s="1"/>
  <c r="DXD671" i="3" s="1"/>
  <c r="DXC671" i="3" s="1"/>
  <c r="DXB671" i="3" s="1"/>
  <c r="DXA671" i="3" s="1"/>
  <c r="DWZ671" i="3" s="1"/>
  <c r="DWY671" i="3" s="1"/>
  <c r="DWX671" i="3" s="1"/>
  <c r="DWW671" i="3" s="1"/>
  <c r="DWV671" i="3" s="1"/>
  <c r="DWU671" i="3" s="1"/>
  <c r="DWT671" i="3" s="1"/>
  <c r="DWS671" i="3" s="1"/>
  <c r="DWR671" i="3" s="1"/>
  <c r="DWQ671" i="3" s="1"/>
  <c r="DWP671" i="3" s="1"/>
  <c r="DWO671" i="3" s="1"/>
  <c r="DWN671" i="3" s="1"/>
  <c r="DWM671" i="3" s="1"/>
  <c r="DWL671" i="3" s="1"/>
  <c r="DWK671" i="3" s="1"/>
  <c r="DWJ671" i="3" s="1"/>
  <c r="DWI671" i="3" s="1"/>
  <c r="DWH671" i="3" s="1"/>
  <c r="DWG671" i="3" s="1"/>
  <c r="DWF671" i="3" s="1"/>
  <c r="DWE671" i="3" s="1"/>
  <c r="DWD671" i="3" s="1"/>
  <c r="DWC671" i="3" s="1"/>
  <c r="DWB671" i="3" s="1"/>
  <c r="DWA671" i="3" s="1"/>
  <c r="DVZ671" i="3" s="1"/>
  <c r="DVY671" i="3" s="1"/>
  <c r="DVX671" i="3" s="1"/>
  <c r="DVW671" i="3" s="1"/>
  <c r="DVV671" i="3" s="1"/>
  <c r="DVU671" i="3" s="1"/>
  <c r="DVT671" i="3" s="1"/>
  <c r="DVS671" i="3" s="1"/>
  <c r="DVR671" i="3" s="1"/>
  <c r="DVQ671" i="3" s="1"/>
  <c r="DVP671" i="3" s="1"/>
  <c r="DVO671" i="3" s="1"/>
  <c r="DVN671" i="3" s="1"/>
  <c r="DVM671" i="3" s="1"/>
  <c r="DVL671" i="3" s="1"/>
  <c r="DVK671" i="3" s="1"/>
  <c r="DVJ671" i="3" s="1"/>
  <c r="DVI671" i="3" s="1"/>
  <c r="DVH671" i="3" s="1"/>
  <c r="DVG671" i="3" s="1"/>
  <c r="DVF671" i="3" s="1"/>
  <c r="DVE671" i="3" s="1"/>
  <c r="DVD671" i="3" s="1"/>
  <c r="DVC671" i="3" s="1"/>
  <c r="DVB671" i="3" s="1"/>
  <c r="DVA671" i="3" s="1"/>
  <c r="DUZ671" i="3" s="1"/>
  <c r="DUY671" i="3" s="1"/>
  <c r="DUX671" i="3" s="1"/>
  <c r="DUW671" i="3" s="1"/>
  <c r="DUV671" i="3" s="1"/>
  <c r="DUU671" i="3" s="1"/>
  <c r="DUT671" i="3" s="1"/>
  <c r="DUS671" i="3" s="1"/>
  <c r="DUR671" i="3" s="1"/>
  <c r="DUQ671" i="3" s="1"/>
  <c r="DUP671" i="3" s="1"/>
  <c r="DUO671" i="3" s="1"/>
  <c r="DUN671" i="3" s="1"/>
  <c r="DUM671" i="3" s="1"/>
  <c r="DUL671" i="3" s="1"/>
  <c r="DUK671" i="3" s="1"/>
  <c r="DUJ671" i="3" s="1"/>
  <c r="DUI671" i="3" s="1"/>
  <c r="DUH671" i="3" s="1"/>
  <c r="DUG671" i="3" s="1"/>
  <c r="DUF671" i="3" s="1"/>
  <c r="DUE671" i="3" s="1"/>
  <c r="DUD671" i="3" s="1"/>
  <c r="DUC671" i="3" s="1"/>
  <c r="DUB671" i="3" s="1"/>
  <c r="DUA671" i="3" s="1"/>
  <c r="DTZ671" i="3" s="1"/>
  <c r="DTY671" i="3" s="1"/>
  <c r="DTX671" i="3" s="1"/>
  <c r="DTW671" i="3" s="1"/>
  <c r="DTV671" i="3" s="1"/>
  <c r="DTU671" i="3" s="1"/>
  <c r="DTT671" i="3" s="1"/>
  <c r="DTS671" i="3" s="1"/>
  <c r="DTR671" i="3" s="1"/>
  <c r="DTQ671" i="3" s="1"/>
  <c r="DTP671" i="3" s="1"/>
  <c r="DTO671" i="3" s="1"/>
  <c r="DTN671" i="3" s="1"/>
  <c r="DTM671" i="3" s="1"/>
  <c r="DTL671" i="3" s="1"/>
  <c r="DTK671" i="3" s="1"/>
  <c r="DTJ671" i="3" s="1"/>
  <c r="DTI671" i="3" s="1"/>
  <c r="DTH671" i="3" s="1"/>
  <c r="DTG671" i="3" s="1"/>
  <c r="DTF671" i="3" s="1"/>
  <c r="DTE671" i="3" s="1"/>
  <c r="DTD671" i="3" s="1"/>
  <c r="DTC671" i="3" s="1"/>
  <c r="DTB671" i="3" s="1"/>
  <c r="DTA671" i="3" s="1"/>
  <c r="DSZ671" i="3" s="1"/>
  <c r="DSY671" i="3" s="1"/>
  <c r="DSX671" i="3" s="1"/>
  <c r="DSW671" i="3" s="1"/>
  <c r="DSV671" i="3" s="1"/>
  <c r="DSU671" i="3" s="1"/>
  <c r="DST671" i="3" s="1"/>
  <c r="DSS671" i="3" s="1"/>
  <c r="DSR671" i="3" s="1"/>
  <c r="DSQ671" i="3" s="1"/>
  <c r="DSP671" i="3" s="1"/>
  <c r="DSO671" i="3" s="1"/>
  <c r="DSN671" i="3" s="1"/>
  <c r="DSM671" i="3" s="1"/>
  <c r="DSL671" i="3" s="1"/>
  <c r="DSK671" i="3" s="1"/>
  <c r="DSJ671" i="3" s="1"/>
  <c r="DSI671" i="3" s="1"/>
  <c r="DSH671" i="3" s="1"/>
  <c r="DSG671" i="3" s="1"/>
  <c r="DSF671" i="3" s="1"/>
  <c r="DSE671" i="3" s="1"/>
  <c r="DSD671" i="3" s="1"/>
  <c r="DSC671" i="3" s="1"/>
  <c r="DSB671" i="3" s="1"/>
  <c r="DSA671" i="3" s="1"/>
  <c r="DRZ671" i="3" s="1"/>
  <c r="DRY671" i="3" s="1"/>
  <c r="DRX671" i="3" s="1"/>
  <c r="DRW671" i="3" s="1"/>
  <c r="DRV671" i="3" s="1"/>
  <c r="DRU671" i="3" s="1"/>
  <c r="DRT671" i="3" s="1"/>
  <c r="DRS671" i="3" s="1"/>
  <c r="DRR671" i="3" s="1"/>
  <c r="DRQ671" i="3" s="1"/>
  <c r="DRP671" i="3" s="1"/>
  <c r="DRO671" i="3" s="1"/>
  <c r="DRN671" i="3" s="1"/>
  <c r="DRM671" i="3" s="1"/>
  <c r="DRL671" i="3" s="1"/>
  <c r="DRK671" i="3" s="1"/>
  <c r="DRJ671" i="3" s="1"/>
  <c r="DRI671" i="3" s="1"/>
  <c r="DRH671" i="3" s="1"/>
  <c r="DRG671" i="3" s="1"/>
  <c r="DRF671" i="3" s="1"/>
  <c r="DRE671" i="3" s="1"/>
  <c r="DRD671" i="3" s="1"/>
  <c r="DRC671" i="3" s="1"/>
  <c r="DRB671" i="3" s="1"/>
  <c r="DRA671" i="3" s="1"/>
  <c r="DQZ671" i="3" s="1"/>
  <c r="DQY671" i="3" s="1"/>
  <c r="DQX671" i="3" s="1"/>
  <c r="DQW671" i="3" s="1"/>
  <c r="DQV671" i="3" s="1"/>
  <c r="DQU671" i="3" s="1"/>
  <c r="DQT671" i="3" s="1"/>
  <c r="DQS671" i="3" s="1"/>
  <c r="DQR671" i="3" s="1"/>
  <c r="DQQ671" i="3" s="1"/>
  <c r="DQP671" i="3" s="1"/>
  <c r="DQO671" i="3" s="1"/>
  <c r="DQN671" i="3" s="1"/>
  <c r="DQM671" i="3" s="1"/>
  <c r="DQL671" i="3" s="1"/>
  <c r="DQK671" i="3" s="1"/>
  <c r="DQJ671" i="3" s="1"/>
  <c r="DQI671" i="3" s="1"/>
  <c r="DQH671" i="3" s="1"/>
  <c r="DQG671" i="3" s="1"/>
  <c r="DQF671" i="3" s="1"/>
  <c r="DQE671" i="3" s="1"/>
  <c r="DQD671" i="3" s="1"/>
  <c r="DQC671" i="3" s="1"/>
  <c r="DQB671" i="3" s="1"/>
  <c r="DQA671" i="3" s="1"/>
  <c r="DPZ671" i="3" s="1"/>
  <c r="DPY671" i="3" s="1"/>
  <c r="DPX671" i="3" s="1"/>
  <c r="DPW671" i="3" s="1"/>
  <c r="DPV671" i="3" s="1"/>
  <c r="DPU671" i="3" s="1"/>
  <c r="DPT671" i="3" s="1"/>
  <c r="DPS671" i="3" s="1"/>
  <c r="DPR671" i="3" s="1"/>
  <c r="DPQ671" i="3" s="1"/>
  <c r="DPP671" i="3" s="1"/>
  <c r="DPO671" i="3" s="1"/>
  <c r="DPN671" i="3" s="1"/>
  <c r="DPM671" i="3" s="1"/>
  <c r="DPL671" i="3" s="1"/>
  <c r="DPK671" i="3" s="1"/>
  <c r="DPJ671" i="3" s="1"/>
  <c r="DPI671" i="3" s="1"/>
  <c r="DPH671" i="3" s="1"/>
  <c r="DPG671" i="3" s="1"/>
  <c r="DPF671" i="3" s="1"/>
  <c r="DPE671" i="3" s="1"/>
  <c r="DPD671" i="3" s="1"/>
  <c r="DPC671" i="3" s="1"/>
  <c r="DPB671" i="3" s="1"/>
  <c r="DPA671" i="3" s="1"/>
  <c r="DOZ671" i="3" s="1"/>
  <c r="DOY671" i="3" s="1"/>
  <c r="DOX671" i="3" s="1"/>
  <c r="DOW671" i="3" s="1"/>
  <c r="DOV671" i="3" s="1"/>
  <c r="DOU671" i="3" s="1"/>
  <c r="DOT671" i="3" s="1"/>
  <c r="DOS671" i="3" s="1"/>
  <c r="DOR671" i="3" s="1"/>
  <c r="DOQ671" i="3" s="1"/>
  <c r="DOP671" i="3" s="1"/>
  <c r="DOO671" i="3" s="1"/>
  <c r="DON671" i="3" s="1"/>
  <c r="DOM671" i="3" s="1"/>
  <c r="DOL671" i="3" s="1"/>
  <c r="DOK671" i="3" s="1"/>
  <c r="DOJ671" i="3" s="1"/>
  <c r="DOI671" i="3" s="1"/>
  <c r="DOH671" i="3" s="1"/>
  <c r="DOG671" i="3" s="1"/>
  <c r="DOF671" i="3" s="1"/>
  <c r="DOE671" i="3" s="1"/>
  <c r="DOD671" i="3" s="1"/>
  <c r="DOC671" i="3" s="1"/>
  <c r="DOB671" i="3" s="1"/>
  <c r="DOA671" i="3" s="1"/>
  <c r="DNZ671" i="3" s="1"/>
  <c r="DNY671" i="3" s="1"/>
  <c r="DNX671" i="3" s="1"/>
  <c r="DNW671" i="3" s="1"/>
  <c r="DNV671" i="3" s="1"/>
  <c r="DNU671" i="3" s="1"/>
  <c r="DNT671" i="3" s="1"/>
  <c r="DNS671" i="3" s="1"/>
  <c r="DNR671" i="3" s="1"/>
  <c r="DNQ671" i="3" s="1"/>
  <c r="DNP671" i="3" s="1"/>
  <c r="DNO671" i="3" s="1"/>
  <c r="DNN671" i="3" s="1"/>
  <c r="DNM671" i="3" s="1"/>
  <c r="DNL671" i="3" s="1"/>
  <c r="DNK671" i="3" s="1"/>
  <c r="DNJ671" i="3" s="1"/>
  <c r="DNI671" i="3" s="1"/>
  <c r="DNH671" i="3" s="1"/>
  <c r="DNG671" i="3" s="1"/>
  <c r="DNF671" i="3" s="1"/>
  <c r="DNE671" i="3" s="1"/>
  <c r="DND671" i="3" s="1"/>
  <c r="DNC671" i="3" s="1"/>
  <c r="DNB671" i="3" s="1"/>
  <c r="DNA671" i="3" s="1"/>
  <c r="DMZ671" i="3" s="1"/>
  <c r="DMY671" i="3" s="1"/>
  <c r="DMX671" i="3" s="1"/>
  <c r="DMW671" i="3" s="1"/>
  <c r="DMV671" i="3" s="1"/>
  <c r="DMU671" i="3" s="1"/>
  <c r="DMT671" i="3" s="1"/>
  <c r="DMS671" i="3" s="1"/>
  <c r="DMR671" i="3" s="1"/>
  <c r="DMQ671" i="3" s="1"/>
  <c r="DMP671" i="3" s="1"/>
  <c r="DMO671" i="3" s="1"/>
  <c r="DMN671" i="3" s="1"/>
  <c r="DMM671" i="3" s="1"/>
  <c r="DML671" i="3" s="1"/>
  <c r="DMK671" i="3" s="1"/>
  <c r="DMJ671" i="3" s="1"/>
  <c r="DMI671" i="3" s="1"/>
  <c r="DMH671" i="3" s="1"/>
  <c r="DMG671" i="3" s="1"/>
  <c r="DMF671" i="3" s="1"/>
  <c r="DME671" i="3" s="1"/>
  <c r="DMD671" i="3" s="1"/>
  <c r="DMC671" i="3" s="1"/>
  <c r="DMB671" i="3" s="1"/>
  <c r="DMA671" i="3" s="1"/>
  <c r="DLZ671" i="3" s="1"/>
  <c r="DLY671" i="3" s="1"/>
  <c r="DLX671" i="3" s="1"/>
  <c r="DLW671" i="3" s="1"/>
  <c r="DLV671" i="3" s="1"/>
  <c r="DLU671" i="3" s="1"/>
  <c r="DLT671" i="3" s="1"/>
  <c r="DLS671" i="3" s="1"/>
  <c r="DLR671" i="3" s="1"/>
  <c r="DLQ671" i="3" s="1"/>
  <c r="DLP671" i="3" s="1"/>
  <c r="DLO671" i="3" s="1"/>
  <c r="DLN671" i="3" s="1"/>
  <c r="DLM671" i="3" s="1"/>
  <c r="DLL671" i="3" s="1"/>
  <c r="DLK671" i="3" s="1"/>
  <c r="DLJ671" i="3" s="1"/>
  <c r="DLI671" i="3" s="1"/>
  <c r="DLH671" i="3" s="1"/>
  <c r="DLG671" i="3" s="1"/>
  <c r="DLF671" i="3" s="1"/>
  <c r="DLE671" i="3" s="1"/>
  <c r="DLD671" i="3" s="1"/>
  <c r="DLC671" i="3" s="1"/>
  <c r="DLB671" i="3" s="1"/>
  <c r="DLA671" i="3" s="1"/>
  <c r="DKZ671" i="3" s="1"/>
  <c r="DKY671" i="3" s="1"/>
  <c r="DKX671" i="3" s="1"/>
  <c r="DKW671" i="3" s="1"/>
  <c r="DKV671" i="3" s="1"/>
  <c r="DKU671" i="3" s="1"/>
  <c r="DKT671" i="3" s="1"/>
  <c r="DKS671" i="3" s="1"/>
  <c r="DKR671" i="3" s="1"/>
  <c r="DKQ671" i="3" s="1"/>
  <c r="DKP671" i="3" s="1"/>
  <c r="DKO671" i="3" s="1"/>
  <c r="DKN671" i="3" s="1"/>
  <c r="DKM671" i="3" s="1"/>
  <c r="DKL671" i="3" s="1"/>
  <c r="DKK671" i="3" s="1"/>
  <c r="DKJ671" i="3" s="1"/>
  <c r="DKI671" i="3" s="1"/>
  <c r="DKH671" i="3" s="1"/>
  <c r="DKG671" i="3" s="1"/>
  <c r="DKF671" i="3" s="1"/>
  <c r="DKE671" i="3" s="1"/>
  <c r="DKD671" i="3" s="1"/>
  <c r="DKC671" i="3" s="1"/>
  <c r="DKB671" i="3" s="1"/>
  <c r="DKA671" i="3" s="1"/>
  <c r="DJZ671" i="3" s="1"/>
  <c r="DJY671" i="3" s="1"/>
  <c r="DJX671" i="3" s="1"/>
  <c r="DJW671" i="3" s="1"/>
  <c r="DJV671" i="3" s="1"/>
  <c r="DJU671" i="3" s="1"/>
  <c r="DJT671" i="3" s="1"/>
  <c r="DJS671" i="3" s="1"/>
  <c r="DJR671" i="3" s="1"/>
  <c r="DJQ671" i="3" s="1"/>
  <c r="DJP671" i="3" s="1"/>
  <c r="DJO671" i="3" s="1"/>
  <c r="DJN671" i="3" s="1"/>
  <c r="DJM671" i="3" s="1"/>
  <c r="DJL671" i="3" s="1"/>
  <c r="DJK671" i="3" s="1"/>
  <c r="DJJ671" i="3" s="1"/>
  <c r="DJI671" i="3" s="1"/>
  <c r="DJH671" i="3" s="1"/>
  <c r="DJG671" i="3" s="1"/>
  <c r="DJF671" i="3" s="1"/>
  <c r="DJE671" i="3" s="1"/>
  <c r="DJD671" i="3" s="1"/>
  <c r="DJC671" i="3" s="1"/>
  <c r="DJB671" i="3" s="1"/>
  <c r="DJA671" i="3" s="1"/>
  <c r="DIZ671" i="3" s="1"/>
  <c r="DIY671" i="3" s="1"/>
  <c r="DIX671" i="3" s="1"/>
  <c r="DIW671" i="3" s="1"/>
  <c r="DIV671" i="3" s="1"/>
  <c r="DIU671" i="3" s="1"/>
  <c r="DIT671" i="3" s="1"/>
  <c r="DIS671" i="3" s="1"/>
  <c r="DIR671" i="3" s="1"/>
  <c r="DIQ671" i="3" s="1"/>
  <c r="DIP671" i="3" s="1"/>
  <c r="DIO671" i="3" s="1"/>
  <c r="DIN671" i="3" s="1"/>
  <c r="DIM671" i="3" s="1"/>
  <c r="DIL671" i="3" s="1"/>
  <c r="DIK671" i="3" s="1"/>
  <c r="DIJ671" i="3" s="1"/>
  <c r="DII671" i="3" s="1"/>
  <c r="DIH671" i="3" s="1"/>
  <c r="DIG671" i="3" s="1"/>
  <c r="DIF671" i="3" s="1"/>
  <c r="DIE671" i="3" s="1"/>
  <c r="DID671" i="3" s="1"/>
  <c r="DIC671" i="3" s="1"/>
  <c r="DIB671" i="3" s="1"/>
  <c r="DIA671" i="3" s="1"/>
  <c r="DHZ671" i="3" s="1"/>
  <c r="DHY671" i="3" s="1"/>
  <c r="DHX671" i="3" s="1"/>
  <c r="DHW671" i="3" s="1"/>
  <c r="DHV671" i="3" s="1"/>
  <c r="DHU671" i="3" s="1"/>
  <c r="DHT671" i="3" s="1"/>
  <c r="DHS671" i="3" s="1"/>
  <c r="DHR671" i="3" s="1"/>
  <c r="DHQ671" i="3" s="1"/>
  <c r="DHP671" i="3" s="1"/>
  <c r="DHO671" i="3" s="1"/>
  <c r="DHN671" i="3" s="1"/>
  <c r="DHM671" i="3" s="1"/>
  <c r="DHL671" i="3" s="1"/>
  <c r="DHK671" i="3" s="1"/>
  <c r="DHJ671" i="3" s="1"/>
  <c r="DHI671" i="3" s="1"/>
  <c r="DHH671" i="3" s="1"/>
  <c r="DHG671" i="3" s="1"/>
  <c r="DHF671" i="3" s="1"/>
  <c r="DHE671" i="3" s="1"/>
  <c r="DHD671" i="3" s="1"/>
  <c r="DHC671" i="3" s="1"/>
  <c r="DHB671" i="3" s="1"/>
  <c r="DHA671" i="3" s="1"/>
  <c r="DGZ671" i="3" s="1"/>
  <c r="DGY671" i="3" s="1"/>
  <c r="DGX671" i="3" s="1"/>
  <c r="DGW671" i="3" s="1"/>
  <c r="DGV671" i="3" s="1"/>
  <c r="DGU671" i="3" s="1"/>
  <c r="DGT671" i="3" s="1"/>
  <c r="DGS671" i="3" s="1"/>
  <c r="DGR671" i="3" s="1"/>
  <c r="DGQ671" i="3" s="1"/>
  <c r="DGP671" i="3" s="1"/>
  <c r="DGO671" i="3" s="1"/>
  <c r="DGN671" i="3" s="1"/>
  <c r="DGM671" i="3" s="1"/>
  <c r="DGL671" i="3" s="1"/>
  <c r="DGK671" i="3" s="1"/>
  <c r="DGJ671" i="3" s="1"/>
  <c r="DGI671" i="3" s="1"/>
  <c r="DGH671" i="3" s="1"/>
  <c r="DGG671" i="3" s="1"/>
  <c r="DGF671" i="3" s="1"/>
  <c r="DGE671" i="3" s="1"/>
  <c r="DGD671" i="3" s="1"/>
  <c r="DGC671" i="3" s="1"/>
  <c r="DGB671" i="3" s="1"/>
  <c r="DGA671" i="3" s="1"/>
  <c r="DFZ671" i="3" s="1"/>
  <c r="DFY671" i="3" s="1"/>
  <c r="DFX671" i="3" s="1"/>
  <c r="DFW671" i="3" s="1"/>
  <c r="DFV671" i="3" s="1"/>
  <c r="DFU671" i="3" s="1"/>
  <c r="DFT671" i="3" s="1"/>
  <c r="DFS671" i="3" s="1"/>
  <c r="DFR671" i="3" s="1"/>
  <c r="DFQ671" i="3" s="1"/>
  <c r="DFP671" i="3" s="1"/>
  <c r="DFO671" i="3" s="1"/>
  <c r="DFN671" i="3" s="1"/>
  <c r="DFM671" i="3" s="1"/>
  <c r="DFL671" i="3" s="1"/>
  <c r="DFK671" i="3" s="1"/>
  <c r="DFJ671" i="3" s="1"/>
  <c r="DFI671" i="3" s="1"/>
  <c r="DFH671" i="3" s="1"/>
  <c r="DFG671" i="3" s="1"/>
  <c r="DFF671" i="3" s="1"/>
  <c r="DFE671" i="3" s="1"/>
  <c r="DFD671" i="3" s="1"/>
  <c r="DFC671" i="3" s="1"/>
  <c r="DFB671" i="3" s="1"/>
  <c r="DFA671" i="3" s="1"/>
  <c r="DEZ671" i="3" s="1"/>
  <c r="DEY671" i="3" s="1"/>
  <c r="DEX671" i="3" s="1"/>
  <c r="DEW671" i="3" s="1"/>
  <c r="DEV671" i="3" s="1"/>
  <c r="DEU671" i="3" s="1"/>
  <c r="DET671" i="3" s="1"/>
  <c r="DES671" i="3" s="1"/>
  <c r="DER671" i="3" s="1"/>
  <c r="DEQ671" i="3" s="1"/>
  <c r="DEP671" i="3" s="1"/>
  <c r="DEO671" i="3" s="1"/>
  <c r="DEN671" i="3" s="1"/>
  <c r="DEM671" i="3" s="1"/>
  <c r="DEL671" i="3" s="1"/>
  <c r="DEK671" i="3" s="1"/>
  <c r="DEJ671" i="3" s="1"/>
  <c r="DEI671" i="3" s="1"/>
  <c r="DEH671" i="3" s="1"/>
  <c r="DEG671" i="3" s="1"/>
  <c r="DEF671" i="3" s="1"/>
  <c r="DEE671" i="3" s="1"/>
  <c r="DED671" i="3" s="1"/>
  <c r="DEC671" i="3" s="1"/>
  <c r="DEB671" i="3" s="1"/>
  <c r="DEA671" i="3" s="1"/>
  <c r="DDZ671" i="3" s="1"/>
  <c r="DDY671" i="3" s="1"/>
  <c r="DDX671" i="3" s="1"/>
  <c r="DDW671" i="3" s="1"/>
  <c r="DDV671" i="3" s="1"/>
  <c r="DDU671" i="3" s="1"/>
  <c r="DDT671" i="3" s="1"/>
  <c r="DDS671" i="3" s="1"/>
  <c r="DDR671" i="3" s="1"/>
  <c r="DDQ671" i="3" s="1"/>
  <c r="DDP671" i="3" s="1"/>
  <c r="DDO671" i="3" s="1"/>
  <c r="DDN671" i="3" s="1"/>
  <c r="DDM671" i="3" s="1"/>
  <c r="DDL671" i="3" s="1"/>
  <c r="DDK671" i="3" s="1"/>
  <c r="DDJ671" i="3" s="1"/>
  <c r="DDI671" i="3" s="1"/>
  <c r="DDH671" i="3" s="1"/>
  <c r="DDG671" i="3" s="1"/>
  <c r="DDF671" i="3" s="1"/>
  <c r="DDE671" i="3" s="1"/>
  <c r="DDD671" i="3" s="1"/>
  <c r="DDC671" i="3" s="1"/>
  <c r="DDB671" i="3" s="1"/>
  <c r="DDA671" i="3" s="1"/>
  <c r="DCZ671" i="3" s="1"/>
  <c r="DCY671" i="3" s="1"/>
  <c r="DCX671" i="3" s="1"/>
  <c r="DCW671" i="3" s="1"/>
  <c r="DCV671" i="3" s="1"/>
  <c r="DCU671" i="3" s="1"/>
  <c r="DCT671" i="3" s="1"/>
  <c r="DCS671" i="3" s="1"/>
  <c r="DCR671" i="3" s="1"/>
  <c r="DCQ671" i="3" s="1"/>
  <c r="DCP671" i="3" s="1"/>
  <c r="DCO671" i="3" s="1"/>
  <c r="DCN671" i="3" s="1"/>
  <c r="DCM671" i="3" s="1"/>
  <c r="DCL671" i="3" s="1"/>
  <c r="DCK671" i="3" s="1"/>
  <c r="DCJ671" i="3" s="1"/>
  <c r="DCI671" i="3" s="1"/>
  <c r="DCH671" i="3" s="1"/>
  <c r="DCG671" i="3" s="1"/>
  <c r="DCF671" i="3" s="1"/>
  <c r="DCE671" i="3" s="1"/>
  <c r="DCD671" i="3" s="1"/>
  <c r="DCC671" i="3" s="1"/>
  <c r="DCB671" i="3" s="1"/>
  <c r="DCA671" i="3" s="1"/>
  <c r="DBZ671" i="3" s="1"/>
  <c r="DBY671" i="3" s="1"/>
  <c r="DBX671" i="3" s="1"/>
  <c r="DBW671" i="3" s="1"/>
  <c r="DBV671" i="3" s="1"/>
  <c r="DBU671" i="3" s="1"/>
  <c r="DBT671" i="3" s="1"/>
  <c r="DBS671" i="3" s="1"/>
  <c r="DBR671" i="3" s="1"/>
  <c r="DBQ671" i="3" s="1"/>
  <c r="DBP671" i="3" s="1"/>
  <c r="DBO671" i="3" s="1"/>
  <c r="DBN671" i="3" s="1"/>
  <c r="DBM671" i="3" s="1"/>
  <c r="DBL671" i="3" s="1"/>
  <c r="DBK671" i="3" s="1"/>
  <c r="DBJ671" i="3" s="1"/>
  <c r="DBI671" i="3" s="1"/>
  <c r="DBH671" i="3" s="1"/>
  <c r="DBG671" i="3" s="1"/>
  <c r="DBF671" i="3" s="1"/>
  <c r="DBE671" i="3" s="1"/>
  <c r="DBD671" i="3" s="1"/>
  <c r="DBC671" i="3" s="1"/>
  <c r="DBB671" i="3" s="1"/>
  <c r="DBA671" i="3" s="1"/>
  <c r="DAZ671" i="3" s="1"/>
  <c r="DAY671" i="3" s="1"/>
  <c r="DAX671" i="3" s="1"/>
  <c r="DAW671" i="3" s="1"/>
  <c r="DAV671" i="3" s="1"/>
  <c r="DAU671" i="3" s="1"/>
  <c r="DAT671" i="3" s="1"/>
  <c r="DAS671" i="3" s="1"/>
  <c r="DAR671" i="3" s="1"/>
  <c r="DAQ671" i="3" s="1"/>
  <c r="DAP671" i="3" s="1"/>
  <c r="DAO671" i="3" s="1"/>
  <c r="DAN671" i="3" s="1"/>
  <c r="DAM671" i="3" s="1"/>
  <c r="DAL671" i="3" s="1"/>
  <c r="DAK671" i="3" s="1"/>
  <c r="DAJ671" i="3" s="1"/>
  <c r="DAI671" i="3" s="1"/>
  <c r="DAH671" i="3" s="1"/>
  <c r="DAG671" i="3" s="1"/>
  <c r="DAF671" i="3" s="1"/>
  <c r="DAE671" i="3" s="1"/>
  <c r="DAD671" i="3" s="1"/>
  <c r="DAC671" i="3" s="1"/>
  <c r="DAB671" i="3" s="1"/>
  <c r="DAA671" i="3" s="1"/>
  <c r="CZZ671" i="3" s="1"/>
  <c r="CZY671" i="3" s="1"/>
  <c r="CZX671" i="3" s="1"/>
  <c r="CZW671" i="3" s="1"/>
  <c r="CZV671" i="3" s="1"/>
  <c r="CZU671" i="3" s="1"/>
  <c r="CZT671" i="3" s="1"/>
  <c r="CZS671" i="3" s="1"/>
  <c r="CZR671" i="3" s="1"/>
  <c r="CZQ671" i="3" s="1"/>
  <c r="CZP671" i="3" s="1"/>
  <c r="CZO671" i="3" s="1"/>
  <c r="CZN671" i="3" s="1"/>
  <c r="CZM671" i="3" s="1"/>
  <c r="CZL671" i="3" s="1"/>
  <c r="CZK671" i="3" s="1"/>
  <c r="CZJ671" i="3" s="1"/>
  <c r="CZI671" i="3" s="1"/>
  <c r="CZH671" i="3" s="1"/>
  <c r="CZG671" i="3" s="1"/>
  <c r="CZF671" i="3" s="1"/>
  <c r="CZE671" i="3" s="1"/>
  <c r="CZD671" i="3" s="1"/>
  <c r="CZC671" i="3" s="1"/>
  <c r="CZB671" i="3" s="1"/>
  <c r="CZA671" i="3" s="1"/>
  <c r="CYZ671" i="3" s="1"/>
  <c r="CYY671" i="3" s="1"/>
  <c r="CYX671" i="3" s="1"/>
  <c r="CYW671" i="3" s="1"/>
  <c r="CYV671" i="3" s="1"/>
  <c r="CYU671" i="3" s="1"/>
  <c r="CYT671" i="3" s="1"/>
  <c r="CYS671" i="3" s="1"/>
  <c r="CYR671" i="3" s="1"/>
  <c r="CYQ671" i="3" s="1"/>
  <c r="CYP671" i="3" s="1"/>
  <c r="CYO671" i="3" s="1"/>
  <c r="CYN671" i="3" s="1"/>
  <c r="CYM671" i="3" s="1"/>
  <c r="CYL671" i="3" s="1"/>
  <c r="CYK671" i="3" s="1"/>
  <c r="CYJ671" i="3" s="1"/>
  <c r="CYI671" i="3" s="1"/>
  <c r="CYH671" i="3" s="1"/>
  <c r="CYG671" i="3" s="1"/>
  <c r="CYF671" i="3" s="1"/>
  <c r="CYE671" i="3" s="1"/>
  <c r="CYD671" i="3" s="1"/>
  <c r="CYC671" i="3" s="1"/>
  <c r="CYB671" i="3" s="1"/>
  <c r="CYA671" i="3" s="1"/>
  <c r="CXZ671" i="3" s="1"/>
  <c r="CXY671" i="3" s="1"/>
  <c r="CXX671" i="3" s="1"/>
  <c r="CXW671" i="3" s="1"/>
  <c r="CXV671" i="3" s="1"/>
  <c r="CXU671" i="3" s="1"/>
  <c r="CXT671" i="3" s="1"/>
  <c r="CXS671" i="3" s="1"/>
  <c r="CXR671" i="3" s="1"/>
  <c r="CXQ671" i="3" s="1"/>
  <c r="CXP671" i="3" s="1"/>
  <c r="CXO671" i="3" s="1"/>
  <c r="CXN671" i="3" s="1"/>
  <c r="CXM671" i="3" s="1"/>
  <c r="CXL671" i="3" s="1"/>
  <c r="CXK671" i="3" s="1"/>
  <c r="CXJ671" i="3" s="1"/>
  <c r="CXI671" i="3" s="1"/>
  <c r="CXH671" i="3" s="1"/>
  <c r="CXG671" i="3" s="1"/>
  <c r="CXF671" i="3" s="1"/>
  <c r="CXE671" i="3" s="1"/>
  <c r="CXD671" i="3" s="1"/>
  <c r="CXC671" i="3" s="1"/>
  <c r="CXB671" i="3" s="1"/>
  <c r="CXA671" i="3" s="1"/>
  <c r="CWZ671" i="3" s="1"/>
  <c r="CWY671" i="3" s="1"/>
  <c r="CWX671" i="3" s="1"/>
  <c r="CWW671" i="3" s="1"/>
  <c r="CWV671" i="3" s="1"/>
  <c r="CWU671" i="3" s="1"/>
  <c r="CWT671" i="3" s="1"/>
  <c r="CWS671" i="3" s="1"/>
  <c r="CWR671" i="3" s="1"/>
  <c r="CWQ671" i="3" s="1"/>
  <c r="CWP671" i="3" s="1"/>
  <c r="CWO671" i="3" s="1"/>
  <c r="CWN671" i="3" s="1"/>
  <c r="CWM671" i="3" s="1"/>
  <c r="CWL671" i="3" s="1"/>
  <c r="CWK671" i="3" s="1"/>
  <c r="CWJ671" i="3" s="1"/>
  <c r="CWI671" i="3" s="1"/>
  <c r="CWH671" i="3" s="1"/>
  <c r="CWG671" i="3" s="1"/>
  <c r="CWF671" i="3" s="1"/>
  <c r="CWE671" i="3" s="1"/>
  <c r="CWD671" i="3" s="1"/>
  <c r="CWC671" i="3" s="1"/>
  <c r="CWB671" i="3" s="1"/>
  <c r="CWA671" i="3" s="1"/>
  <c r="CVZ671" i="3" s="1"/>
  <c r="CVY671" i="3" s="1"/>
  <c r="CVX671" i="3" s="1"/>
  <c r="CVW671" i="3" s="1"/>
  <c r="CVV671" i="3" s="1"/>
  <c r="CVU671" i="3" s="1"/>
  <c r="CVT671" i="3" s="1"/>
  <c r="CVS671" i="3" s="1"/>
  <c r="CVR671" i="3" s="1"/>
  <c r="CVQ671" i="3" s="1"/>
  <c r="CVP671" i="3" s="1"/>
  <c r="CVO671" i="3" s="1"/>
  <c r="CVN671" i="3" s="1"/>
  <c r="CVM671" i="3" s="1"/>
  <c r="CVL671" i="3" s="1"/>
  <c r="CVK671" i="3" s="1"/>
  <c r="CVJ671" i="3" s="1"/>
  <c r="CVI671" i="3" s="1"/>
  <c r="CVH671" i="3" s="1"/>
  <c r="CVG671" i="3" s="1"/>
  <c r="CVF671" i="3" s="1"/>
  <c r="CVE671" i="3" s="1"/>
  <c r="CVD671" i="3" s="1"/>
  <c r="CVC671" i="3" s="1"/>
  <c r="CVB671" i="3" s="1"/>
  <c r="CVA671" i="3" s="1"/>
  <c r="CUZ671" i="3" s="1"/>
  <c r="CUY671" i="3" s="1"/>
  <c r="CUX671" i="3" s="1"/>
  <c r="CUW671" i="3" s="1"/>
  <c r="CUV671" i="3" s="1"/>
  <c r="CUU671" i="3" s="1"/>
  <c r="CUT671" i="3" s="1"/>
  <c r="CUS671" i="3" s="1"/>
  <c r="CUR671" i="3" s="1"/>
  <c r="CUQ671" i="3" s="1"/>
  <c r="CUP671" i="3" s="1"/>
  <c r="CUO671" i="3" s="1"/>
  <c r="CUN671" i="3" s="1"/>
  <c r="CUM671" i="3" s="1"/>
  <c r="CUL671" i="3" s="1"/>
  <c r="CUK671" i="3" s="1"/>
  <c r="CUJ671" i="3" s="1"/>
  <c r="CUI671" i="3" s="1"/>
  <c r="CUH671" i="3" s="1"/>
  <c r="CUG671" i="3" s="1"/>
  <c r="CUF671" i="3" s="1"/>
  <c r="CUE671" i="3" s="1"/>
  <c r="CUD671" i="3" s="1"/>
  <c r="CUC671" i="3" s="1"/>
  <c r="CUB671" i="3" s="1"/>
  <c r="CUA671" i="3" s="1"/>
  <c r="CTZ671" i="3" s="1"/>
  <c r="CTY671" i="3" s="1"/>
  <c r="CTX671" i="3" s="1"/>
  <c r="CTW671" i="3" s="1"/>
  <c r="CTV671" i="3" s="1"/>
  <c r="CTU671" i="3" s="1"/>
  <c r="CTT671" i="3" s="1"/>
  <c r="CTS671" i="3" s="1"/>
  <c r="CTR671" i="3" s="1"/>
  <c r="CTQ671" i="3" s="1"/>
  <c r="CTP671" i="3" s="1"/>
  <c r="CTO671" i="3" s="1"/>
  <c r="CTN671" i="3" s="1"/>
  <c r="CTM671" i="3" s="1"/>
  <c r="CTL671" i="3" s="1"/>
  <c r="CTK671" i="3" s="1"/>
  <c r="CTJ671" i="3" s="1"/>
  <c r="CTI671" i="3" s="1"/>
  <c r="CTH671" i="3" s="1"/>
  <c r="CTG671" i="3" s="1"/>
  <c r="CTF671" i="3" s="1"/>
  <c r="CTE671" i="3" s="1"/>
  <c r="CTD671" i="3" s="1"/>
  <c r="CTC671" i="3" s="1"/>
  <c r="CTB671" i="3" s="1"/>
  <c r="CTA671" i="3" s="1"/>
  <c r="CSZ671" i="3" s="1"/>
  <c r="CSY671" i="3" s="1"/>
  <c r="CSX671" i="3" s="1"/>
  <c r="CSW671" i="3" s="1"/>
  <c r="CSV671" i="3" s="1"/>
  <c r="CSU671" i="3" s="1"/>
  <c r="CST671" i="3" s="1"/>
  <c r="CSS671" i="3" s="1"/>
  <c r="CSR671" i="3" s="1"/>
  <c r="CSQ671" i="3" s="1"/>
  <c r="CSP671" i="3" s="1"/>
  <c r="CSO671" i="3" s="1"/>
  <c r="CSN671" i="3" s="1"/>
  <c r="CSM671" i="3" s="1"/>
  <c r="CSL671" i="3" s="1"/>
  <c r="CSK671" i="3" s="1"/>
  <c r="CSJ671" i="3" s="1"/>
  <c r="CSI671" i="3" s="1"/>
  <c r="CSH671" i="3" s="1"/>
  <c r="CSG671" i="3" s="1"/>
  <c r="CSF671" i="3" s="1"/>
  <c r="CSE671" i="3" s="1"/>
  <c r="CSD671" i="3" s="1"/>
  <c r="CSC671" i="3" s="1"/>
  <c r="CSB671" i="3" s="1"/>
  <c r="CSA671" i="3" s="1"/>
  <c r="CRZ671" i="3" s="1"/>
  <c r="CRY671" i="3" s="1"/>
  <c r="CRX671" i="3" s="1"/>
  <c r="CRW671" i="3" s="1"/>
  <c r="CRV671" i="3" s="1"/>
  <c r="CRU671" i="3" s="1"/>
  <c r="CRT671" i="3" s="1"/>
  <c r="CRS671" i="3" s="1"/>
  <c r="CRR671" i="3" s="1"/>
  <c r="CRQ671" i="3" s="1"/>
  <c r="CRP671" i="3" s="1"/>
  <c r="CRO671" i="3" s="1"/>
  <c r="CRN671" i="3" s="1"/>
  <c r="CRM671" i="3" s="1"/>
  <c r="CRL671" i="3" s="1"/>
  <c r="CRK671" i="3" s="1"/>
  <c r="CRJ671" i="3" s="1"/>
  <c r="CRI671" i="3" s="1"/>
  <c r="CRH671" i="3" s="1"/>
  <c r="CRG671" i="3" s="1"/>
  <c r="CRF671" i="3" s="1"/>
  <c r="CRE671" i="3" s="1"/>
  <c r="CRD671" i="3" s="1"/>
  <c r="CRC671" i="3" s="1"/>
  <c r="CRB671" i="3" s="1"/>
  <c r="CRA671" i="3" s="1"/>
  <c r="CQZ671" i="3" s="1"/>
  <c r="CQY671" i="3" s="1"/>
  <c r="CQX671" i="3" s="1"/>
  <c r="CQW671" i="3" s="1"/>
  <c r="CQV671" i="3" s="1"/>
  <c r="CQU671" i="3" s="1"/>
  <c r="CQT671" i="3" s="1"/>
  <c r="CQS671" i="3" s="1"/>
  <c r="CQR671" i="3" s="1"/>
  <c r="CQQ671" i="3" s="1"/>
  <c r="CQP671" i="3" s="1"/>
  <c r="CQO671" i="3" s="1"/>
  <c r="CQN671" i="3" s="1"/>
  <c r="CQM671" i="3" s="1"/>
  <c r="CQL671" i="3" s="1"/>
  <c r="CQK671" i="3" s="1"/>
  <c r="CQJ671" i="3" s="1"/>
  <c r="CQI671" i="3" s="1"/>
  <c r="CQH671" i="3" s="1"/>
  <c r="CQG671" i="3" s="1"/>
  <c r="CQF671" i="3" s="1"/>
  <c r="CQE671" i="3" s="1"/>
  <c r="CQD671" i="3" s="1"/>
  <c r="CQC671" i="3" s="1"/>
  <c r="CQB671" i="3" s="1"/>
  <c r="CQA671" i="3" s="1"/>
  <c r="CPZ671" i="3" s="1"/>
  <c r="CPY671" i="3" s="1"/>
  <c r="CPX671" i="3" s="1"/>
  <c r="CPW671" i="3" s="1"/>
  <c r="CPV671" i="3" s="1"/>
  <c r="CPU671" i="3" s="1"/>
  <c r="CPT671" i="3" s="1"/>
  <c r="CPS671" i="3" s="1"/>
  <c r="CPR671" i="3" s="1"/>
  <c r="CPQ671" i="3" s="1"/>
  <c r="CPP671" i="3" s="1"/>
  <c r="CPO671" i="3" s="1"/>
  <c r="CPN671" i="3" s="1"/>
  <c r="CPM671" i="3" s="1"/>
  <c r="CPL671" i="3" s="1"/>
  <c r="CPK671" i="3" s="1"/>
  <c r="CPJ671" i="3" s="1"/>
  <c r="CPI671" i="3" s="1"/>
  <c r="CPH671" i="3" s="1"/>
  <c r="CPG671" i="3" s="1"/>
  <c r="CPF671" i="3" s="1"/>
  <c r="CPE671" i="3" s="1"/>
  <c r="CPD671" i="3" s="1"/>
  <c r="CPC671" i="3" s="1"/>
  <c r="CPB671" i="3" s="1"/>
  <c r="CPA671" i="3" s="1"/>
  <c r="COZ671" i="3" s="1"/>
  <c r="COY671" i="3" s="1"/>
  <c r="COX671" i="3" s="1"/>
  <c r="COW671" i="3" s="1"/>
  <c r="COV671" i="3" s="1"/>
  <c r="COU671" i="3" s="1"/>
  <c r="COT671" i="3" s="1"/>
  <c r="COS671" i="3" s="1"/>
  <c r="COR671" i="3" s="1"/>
  <c r="COQ671" i="3" s="1"/>
  <c r="COP671" i="3" s="1"/>
  <c r="COO671" i="3" s="1"/>
  <c r="CON671" i="3" s="1"/>
  <c r="COM671" i="3" s="1"/>
  <c r="COL671" i="3" s="1"/>
  <c r="COK671" i="3" s="1"/>
  <c r="COJ671" i="3" s="1"/>
  <c r="COI671" i="3" s="1"/>
  <c r="COH671" i="3" s="1"/>
  <c r="COG671" i="3" s="1"/>
  <c r="COF671" i="3" s="1"/>
  <c r="COE671" i="3" s="1"/>
  <c r="COD671" i="3" s="1"/>
  <c r="COC671" i="3" s="1"/>
  <c r="COB671" i="3" s="1"/>
  <c r="COA671" i="3" s="1"/>
  <c r="CNZ671" i="3" s="1"/>
  <c r="CNY671" i="3" s="1"/>
  <c r="CNX671" i="3" s="1"/>
  <c r="CNW671" i="3" s="1"/>
  <c r="CNV671" i="3" s="1"/>
  <c r="CNU671" i="3" s="1"/>
  <c r="CNT671" i="3" s="1"/>
  <c r="CNS671" i="3" s="1"/>
  <c r="CNR671" i="3" s="1"/>
  <c r="CNQ671" i="3" s="1"/>
  <c r="CNP671" i="3" s="1"/>
  <c r="CNO671" i="3" s="1"/>
  <c r="CNN671" i="3" s="1"/>
  <c r="CNM671" i="3" s="1"/>
  <c r="CNL671" i="3" s="1"/>
  <c r="CNK671" i="3" s="1"/>
  <c r="CNJ671" i="3" s="1"/>
  <c r="CNI671" i="3" s="1"/>
  <c r="CNH671" i="3" s="1"/>
  <c r="CNG671" i="3" s="1"/>
  <c r="CNF671" i="3" s="1"/>
  <c r="CNE671" i="3" s="1"/>
  <c r="CND671" i="3" s="1"/>
  <c r="CNC671" i="3" s="1"/>
  <c r="CNB671" i="3" s="1"/>
  <c r="CNA671" i="3" s="1"/>
  <c r="CMZ671" i="3" s="1"/>
  <c r="CMY671" i="3" s="1"/>
  <c r="CMX671" i="3" s="1"/>
  <c r="CMW671" i="3" s="1"/>
  <c r="CMV671" i="3" s="1"/>
  <c r="CMU671" i="3" s="1"/>
  <c r="CMT671" i="3" s="1"/>
  <c r="CMS671" i="3" s="1"/>
  <c r="CMR671" i="3" s="1"/>
  <c r="CMQ671" i="3" s="1"/>
  <c r="CMP671" i="3" s="1"/>
  <c r="CMO671" i="3" s="1"/>
  <c r="CMN671" i="3" s="1"/>
  <c r="CMM671" i="3" s="1"/>
  <c r="CML671" i="3" s="1"/>
  <c r="CMK671" i="3" s="1"/>
  <c r="CMJ671" i="3" s="1"/>
  <c r="CMI671" i="3" s="1"/>
  <c r="CMH671" i="3" s="1"/>
  <c r="CMG671" i="3" s="1"/>
  <c r="CMF671" i="3" s="1"/>
  <c r="CME671" i="3" s="1"/>
  <c r="CMD671" i="3" s="1"/>
  <c r="CMC671" i="3" s="1"/>
  <c r="CMB671" i="3" s="1"/>
  <c r="CMA671" i="3" s="1"/>
  <c r="CLZ671" i="3" s="1"/>
  <c r="CLY671" i="3" s="1"/>
  <c r="CLX671" i="3" s="1"/>
  <c r="CLW671" i="3" s="1"/>
  <c r="CLV671" i="3" s="1"/>
  <c r="CLU671" i="3" s="1"/>
  <c r="CLT671" i="3" s="1"/>
  <c r="CLS671" i="3" s="1"/>
  <c r="CLR671" i="3" s="1"/>
  <c r="CLQ671" i="3" s="1"/>
  <c r="CLP671" i="3" s="1"/>
  <c r="CLO671" i="3" s="1"/>
  <c r="CLN671" i="3" s="1"/>
  <c r="CLM671" i="3" s="1"/>
  <c r="CLL671" i="3" s="1"/>
  <c r="CLK671" i="3" s="1"/>
  <c r="CLJ671" i="3" s="1"/>
  <c r="CLI671" i="3" s="1"/>
  <c r="CLH671" i="3" s="1"/>
  <c r="CLG671" i="3" s="1"/>
  <c r="CLF671" i="3" s="1"/>
  <c r="CLE671" i="3" s="1"/>
  <c r="CLD671" i="3" s="1"/>
  <c r="CLC671" i="3" s="1"/>
  <c r="CLB671" i="3" s="1"/>
  <c r="CLA671" i="3" s="1"/>
  <c r="CKZ671" i="3" s="1"/>
  <c r="CKY671" i="3" s="1"/>
  <c r="CKX671" i="3" s="1"/>
  <c r="CKW671" i="3" s="1"/>
  <c r="CKV671" i="3" s="1"/>
  <c r="CKU671" i="3" s="1"/>
  <c r="CKT671" i="3" s="1"/>
  <c r="CKS671" i="3" s="1"/>
  <c r="CKR671" i="3" s="1"/>
  <c r="CKQ671" i="3" s="1"/>
  <c r="CKP671" i="3" s="1"/>
  <c r="CKO671" i="3" s="1"/>
  <c r="CKN671" i="3" s="1"/>
  <c r="CKM671" i="3" s="1"/>
  <c r="CKL671" i="3" s="1"/>
  <c r="CKK671" i="3" s="1"/>
  <c r="CKJ671" i="3" s="1"/>
  <c r="CKI671" i="3" s="1"/>
  <c r="CKH671" i="3" s="1"/>
  <c r="CKG671" i="3" s="1"/>
  <c r="CKF671" i="3" s="1"/>
  <c r="CKE671" i="3" s="1"/>
  <c r="CKD671" i="3" s="1"/>
  <c r="CKC671" i="3" s="1"/>
  <c r="CKB671" i="3" s="1"/>
  <c r="CKA671" i="3" s="1"/>
  <c r="CJZ671" i="3" s="1"/>
  <c r="CJY671" i="3" s="1"/>
  <c r="CJX671" i="3" s="1"/>
  <c r="CJW671" i="3" s="1"/>
  <c r="CJV671" i="3" s="1"/>
  <c r="CJU671" i="3" s="1"/>
  <c r="CJT671" i="3" s="1"/>
  <c r="CJS671" i="3" s="1"/>
  <c r="CJR671" i="3" s="1"/>
  <c r="CJQ671" i="3" s="1"/>
  <c r="CJP671" i="3" s="1"/>
  <c r="CJO671" i="3" s="1"/>
  <c r="CJN671" i="3" s="1"/>
  <c r="CJM671" i="3" s="1"/>
  <c r="CJL671" i="3" s="1"/>
  <c r="CJK671" i="3" s="1"/>
  <c r="CJJ671" i="3" s="1"/>
  <c r="CJI671" i="3" s="1"/>
  <c r="CJH671" i="3" s="1"/>
  <c r="CJG671" i="3" s="1"/>
  <c r="CJF671" i="3" s="1"/>
  <c r="CJE671" i="3" s="1"/>
  <c r="CJD671" i="3" s="1"/>
  <c r="CJC671" i="3" s="1"/>
  <c r="CJB671" i="3" s="1"/>
  <c r="CJA671" i="3" s="1"/>
  <c r="CIZ671" i="3" s="1"/>
  <c r="CIY671" i="3" s="1"/>
  <c r="CIX671" i="3" s="1"/>
  <c r="CIW671" i="3" s="1"/>
  <c r="CIV671" i="3" s="1"/>
  <c r="CIU671" i="3" s="1"/>
  <c r="CIT671" i="3" s="1"/>
  <c r="CIS671" i="3" s="1"/>
  <c r="CIR671" i="3" s="1"/>
  <c r="CIQ671" i="3" s="1"/>
  <c r="CIP671" i="3" s="1"/>
  <c r="CIO671" i="3" s="1"/>
  <c r="CIN671" i="3" s="1"/>
  <c r="CIM671" i="3" s="1"/>
  <c r="CIL671" i="3" s="1"/>
  <c r="CIK671" i="3" s="1"/>
  <c r="CIJ671" i="3" s="1"/>
  <c r="CII671" i="3" s="1"/>
  <c r="CIH671" i="3" s="1"/>
  <c r="CIG671" i="3" s="1"/>
  <c r="CIF671" i="3" s="1"/>
  <c r="CIE671" i="3" s="1"/>
  <c r="CID671" i="3" s="1"/>
  <c r="CIC671" i="3" s="1"/>
  <c r="CIB671" i="3" s="1"/>
  <c r="CIA671" i="3" s="1"/>
  <c r="CHZ671" i="3" s="1"/>
  <c r="CHY671" i="3" s="1"/>
  <c r="CHX671" i="3" s="1"/>
  <c r="CHW671" i="3" s="1"/>
  <c r="CHV671" i="3" s="1"/>
  <c r="CHU671" i="3" s="1"/>
  <c r="CHT671" i="3" s="1"/>
  <c r="CHS671" i="3" s="1"/>
  <c r="CHR671" i="3" s="1"/>
  <c r="CHQ671" i="3" s="1"/>
  <c r="CHP671" i="3" s="1"/>
  <c r="CHO671" i="3" s="1"/>
  <c r="CHN671" i="3" s="1"/>
  <c r="CHM671" i="3" s="1"/>
  <c r="CHL671" i="3" s="1"/>
  <c r="CHK671" i="3" s="1"/>
  <c r="CHJ671" i="3" s="1"/>
  <c r="CHI671" i="3" s="1"/>
  <c r="CHH671" i="3" s="1"/>
  <c r="CHG671" i="3" s="1"/>
  <c r="CHF671" i="3" s="1"/>
  <c r="CHE671" i="3" s="1"/>
  <c r="CHD671" i="3" s="1"/>
  <c r="CHC671" i="3" s="1"/>
  <c r="CHB671" i="3" s="1"/>
  <c r="CHA671" i="3" s="1"/>
  <c r="CGZ671" i="3" s="1"/>
  <c r="CGY671" i="3" s="1"/>
  <c r="CGX671" i="3" s="1"/>
  <c r="CGW671" i="3" s="1"/>
  <c r="CGV671" i="3" s="1"/>
  <c r="CGU671" i="3" s="1"/>
  <c r="CGT671" i="3" s="1"/>
  <c r="CGS671" i="3" s="1"/>
  <c r="CGR671" i="3" s="1"/>
  <c r="CGQ671" i="3" s="1"/>
  <c r="CGP671" i="3" s="1"/>
  <c r="CGO671" i="3" s="1"/>
  <c r="CGN671" i="3" s="1"/>
  <c r="CGM671" i="3" s="1"/>
  <c r="CGL671" i="3" s="1"/>
  <c r="CGK671" i="3" s="1"/>
  <c r="CGJ671" i="3" s="1"/>
  <c r="CGI671" i="3" s="1"/>
  <c r="CGH671" i="3" s="1"/>
  <c r="CGG671" i="3" s="1"/>
  <c r="CGF671" i="3" s="1"/>
  <c r="CGE671" i="3" s="1"/>
  <c r="CGD671" i="3" s="1"/>
  <c r="CGC671" i="3" s="1"/>
  <c r="CGB671" i="3" s="1"/>
  <c r="CGA671" i="3" s="1"/>
  <c r="CFZ671" i="3" s="1"/>
  <c r="CFY671" i="3" s="1"/>
  <c r="CFX671" i="3" s="1"/>
  <c r="CFW671" i="3" s="1"/>
  <c r="CFV671" i="3" s="1"/>
  <c r="CFU671" i="3" s="1"/>
  <c r="CFT671" i="3" s="1"/>
  <c r="CFS671" i="3" s="1"/>
  <c r="CFR671" i="3" s="1"/>
  <c r="CFQ671" i="3" s="1"/>
  <c r="CFP671" i="3" s="1"/>
  <c r="CFO671" i="3" s="1"/>
  <c r="CFN671" i="3" s="1"/>
  <c r="CFM671" i="3" s="1"/>
  <c r="CFL671" i="3" s="1"/>
  <c r="CFK671" i="3" s="1"/>
  <c r="CFJ671" i="3" s="1"/>
  <c r="CFI671" i="3" s="1"/>
  <c r="CFH671" i="3" s="1"/>
  <c r="CFG671" i="3" s="1"/>
  <c r="CFF671" i="3" s="1"/>
  <c r="CFE671" i="3" s="1"/>
  <c r="CFD671" i="3" s="1"/>
  <c r="CFC671" i="3" s="1"/>
  <c r="CFB671" i="3" s="1"/>
  <c r="CFA671" i="3" s="1"/>
  <c r="CEZ671" i="3" s="1"/>
  <c r="CEY671" i="3" s="1"/>
  <c r="CEX671" i="3" s="1"/>
  <c r="CEW671" i="3" s="1"/>
  <c r="CEV671" i="3" s="1"/>
  <c r="CEU671" i="3" s="1"/>
  <c r="CET671" i="3" s="1"/>
  <c r="CES671" i="3" s="1"/>
  <c r="CER671" i="3" s="1"/>
  <c r="CEQ671" i="3" s="1"/>
  <c r="CEP671" i="3" s="1"/>
  <c r="CEO671" i="3" s="1"/>
  <c r="CEN671" i="3" s="1"/>
  <c r="CEM671" i="3" s="1"/>
  <c r="CEL671" i="3" s="1"/>
  <c r="CEK671" i="3" s="1"/>
  <c r="CEJ671" i="3" s="1"/>
  <c r="CEI671" i="3" s="1"/>
  <c r="CEH671" i="3" s="1"/>
  <c r="CEG671" i="3" s="1"/>
  <c r="CEF671" i="3" s="1"/>
  <c r="CEE671" i="3" s="1"/>
  <c r="CED671" i="3" s="1"/>
  <c r="CEC671" i="3" s="1"/>
  <c r="CEB671" i="3" s="1"/>
  <c r="CEA671" i="3" s="1"/>
  <c r="CDZ671" i="3" s="1"/>
  <c r="CDY671" i="3" s="1"/>
  <c r="CDX671" i="3" s="1"/>
  <c r="CDW671" i="3" s="1"/>
  <c r="CDV671" i="3" s="1"/>
  <c r="CDU671" i="3" s="1"/>
  <c r="CDT671" i="3" s="1"/>
  <c r="CDS671" i="3" s="1"/>
  <c r="CDR671" i="3" s="1"/>
  <c r="CDQ671" i="3" s="1"/>
  <c r="CDP671" i="3" s="1"/>
  <c r="CDO671" i="3" s="1"/>
  <c r="CDN671" i="3" s="1"/>
  <c r="CDM671" i="3" s="1"/>
  <c r="CDL671" i="3" s="1"/>
  <c r="CDK671" i="3" s="1"/>
  <c r="CDJ671" i="3" s="1"/>
  <c r="CDI671" i="3" s="1"/>
  <c r="CDH671" i="3" s="1"/>
  <c r="CDG671" i="3" s="1"/>
  <c r="CDF671" i="3" s="1"/>
  <c r="CDE671" i="3" s="1"/>
  <c r="CDD671" i="3" s="1"/>
  <c r="CDC671" i="3" s="1"/>
  <c r="CDB671" i="3" s="1"/>
  <c r="CDA671" i="3" s="1"/>
  <c r="CCZ671" i="3" s="1"/>
  <c r="CCY671" i="3" s="1"/>
  <c r="CCX671" i="3" s="1"/>
  <c r="CCW671" i="3" s="1"/>
  <c r="CCV671" i="3" s="1"/>
  <c r="CCU671" i="3" s="1"/>
  <c r="CCT671" i="3" s="1"/>
  <c r="CCS671" i="3" s="1"/>
  <c r="CCR671" i="3" s="1"/>
  <c r="CCQ671" i="3" s="1"/>
  <c r="CCP671" i="3" s="1"/>
  <c r="CCO671" i="3" s="1"/>
  <c r="CCN671" i="3" s="1"/>
  <c r="CCM671" i="3" s="1"/>
  <c r="CCL671" i="3" s="1"/>
  <c r="CCK671" i="3" s="1"/>
  <c r="CCJ671" i="3" s="1"/>
  <c r="CCI671" i="3" s="1"/>
  <c r="CCH671" i="3" s="1"/>
  <c r="CCG671" i="3" s="1"/>
  <c r="CCF671" i="3" s="1"/>
  <c r="CCE671" i="3" s="1"/>
  <c r="CCD671" i="3" s="1"/>
  <c r="CCC671" i="3" s="1"/>
  <c r="CCB671" i="3" s="1"/>
  <c r="CCA671" i="3" s="1"/>
  <c r="CBZ671" i="3" s="1"/>
  <c r="CBY671" i="3" s="1"/>
  <c r="CBX671" i="3" s="1"/>
  <c r="CBW671" i="3" s="1"/>
  <c r="CBV671" i="3" s="1"/>
  <c r="CBU671" i="3" s="1"/>
  <c r="CBT671" i="3" s="1"/>
  <c r="CBS671" i="3" s="1"/>
  <c r="CBR671" i="3" s="1"/>
  <c r="CBQ671" i="3" s="1"/>
  <c r="CBP671" i="3" s="1"/>
  <c r="CBO671" i="3" s="1"/>
  <c r="CBN671" i="3" s="1"/>
  <c r="CBM671" i="3" s="1"/>
  <c r="CBL671" i="3" s="1"/>
  <c r="CBK671" i="3" s="1"/>
  <c r="CBJ671" i="3" s="1"/>
  <c r="CBI671" i="3" s="1"/>
  <c r="CBH671" i="3" s="1"/>
  <c r="CBG671" i="3" s="1"/>
  <c r="CBF671" i="3" s="1"/>
  <c r="CBE671" i="3" s="1"/>
  <c r="CBD671" i="3" s="1"/>
  <c r="CBC671" i="3" s="1"/>
  <c r="CBB671" i="3" s="1"/>
  <c r="CBA671" i="3" s="1"/>
  <c r="CAZ671" i="3" s="1"/>
  <c r="CAY671" i="3" s="1"/>
  <c r="CAX671" i="3" s="1"/>
  <c r="CAW671" i="3" s="1"/>
  <c r="CAV671" i="3" s="1"/>
  <c r="CAU671" i="3" s="1"/>
  <c r="CAT671" i="3" s="1"/>
  <c r="CAS671" i="3" s="1"/>
  <c r="CAR671" i="3" s="1"/>
  <c r="CAQ671" i="3" s="1"/>
  <c r="CAP671" i="3" s="1"/>
  <c r="CAO671" i="3" s="1"/>
  <c r="CAN671" i="3" s="1"/>
  <c r="CAM671" i="3" s="1"/>
  <c r="CAL671" i="3" s="1"/>
  <c r="CAK671" i="3" s="1"/>
  <c r="CAJ671" i="3" s="1"/>
  <c r="CAI671" i="3" s="1"/>
  <c r="CAH671" i="3" s="1"/>
  <c r="CAG671" i="3" s="1"/>
  <c r="CAF671" i="3" s="1"/>
  <c r="CAE671" i="3" s="1"/>
  <c r="CAD671" i="3" s="1"/>
  <c r="CAC671" i="3" s="1"/>
  <c r="CAB671" i="3" s="1"/>
  <c r="CAA671" i="3" s="1"/>
  <c r="BZZ671" i="3" s="1"/>
  <c r="BZY671" i="3" s="1"/>
  <c r="BZX671" i="3" s="1"/>
  <c r="BZW671" i="3" s="1"/>
  <c r="BZV671" i="3" s="1"/>
  <c r="BZU671" i="3" s="1"/>
  <c r="BZT671" i="3" s="1"/>
  <c r="BZS671" i="3" s="1"/>
  <c r="BZR671" i="3" s="1"/>
  <c r="BZQ671" i="3" s="1"/>
  <c r="BZP671" i="3" s="1"/>
  <c r="BZO671" i="3" s="1"/>
  <c r="BZN671" i="3" s="1"/>
  <c r="BZM671" i="3" s="1"/>
  <c r="BZL671" i="3" s="1"/>
  <c r="BZK671" i="3" s="1"/>
  <c r="BZJ671" i="3" s="1"/>
  <c r="BZI671" i="3" s="1"/>
  <c r="BZH671" i="3" s="1"/>
  <c r="BZG671" i="3" s="1"/>
  <c r="BZF671" i="3" s="1"/>
  <c r="BZE671" i="3" s="1"/>
  <c r="BZD671" i="3" s="1"/>
  <c r="BZC671" i="3" s="1"/>
  <c r="BZB671" i="3" s="1"/>
  <c r="BZA671" i="3" s="1"/>
  <c r="BYZ671" i="3" s="1"/>
  <c r="BYY671" i="3" s="1"/>
  <c r="BYX671" i="3" s="1"/>
  <c r="BYW671" i="3" s="1"/>
  <c r="BYV671" i="3" s="1"/>
  <c r="BYU671" i="3" s="1"/>
  <c r="BYT671" i="3" s="1"/>
  <c r="BYS671" i="3" s="1"/>
  <c r="BYR671" i="3" s="1"/>
  <c r="BYQ671" i="3" s="1"/>
  <c r="BYP671" i="3" s="1"/>
  <c r="BYO671" i="3" s="1"/>
  <c r="BYN671" i="3" s="1"/>
  <c r="BYM671" i="3" s="1"/>
  <c r="BYL671" i="3" s="1"/>
  <c r="BYK671" i="3" s="1"/>
  <c r="BYJ671" i="3" s="1"/>
  <c r="BYI671" i="3" s="1"/>
  <c r="BYH671" i="3" s="1"/>
  <c r="BYG671" i="3" s="1"/>
  <c r="BYF671" i="3" s="1"/>
  <c r="BYE671" i="3" s="1"/>
  <c r="BYD671" i="3" s="1"/>
  <c r="BYC671" i="3" s="1"/>
  <c r="BYB671" i="3" s="1"/>
  <c r="BYA671" i="3" s="1"/>
  <c r="BXZ671" i="3" s="1"/>
  <c r="BXY671" i="3" s="1"/>
  <c r="BXX671" i="3" s="1"/>
  <c r="BXW671" i="3" s="1"/>
  <c r="BXV671" i="3" s="1"/>
  <c r="BXU671" i="3" s="1"/>
  <c r="BXT671" i="3" s="1"/>
  <c r="BXS671" i="3" s="1"/>
  <c r="BXR671" i="3" s="1"/>
  <c r="BXQ671" i="3" s="1"/>
  <c r="BXP671" i="3" s="1"/>
  <c r="BXO671" i="3" s="1"/>
  <c r="BXN671" i="3" s="1"/>
  <c r="BXM671" i="3" s="1"/>
  <c r="BXL671" i="3" s="1"/>
  <c r="BXK671" i="3" s="1"/>
  <c r="BXJ671" i="3" s="1"/>
  <c r="BXI671" i="3" s="1"/>
  <c r="BXH671" i="3" s="1"/>
  <c r="BXG671" i="3" s="1"/>
  <c r="BXF671" i="3" s="1"/>
  <c r="BXE671" i="3" s="1"/>
  <c r="BXD671" i="3" s="1"/>
  <c r="BXC671" i="3" s="1"/>
  <c r="BXB671" i="3" s="1"/>
  <c r="BXA671" i="3" s="1"/>
  <c r="BWZ671" i="3" s="1"/>
  <c r="BWY671" i="3" s="1"/>
  <c r="BWX671" i="3" s="1"/>
  <c r="BWW671" i="3" s="1"/>
  <c r="BWV671" i="3" s="1"/>
  <c r="BWU671" i="3" s="1"/>
  <c r="BWT671" i="3" s="1"/>
  <c r="BWS671" i="3" s="1"/>
  <c r="BWR671" i="3" s="1"/>
  <c r="BWQ671" i="3" s="1"/>
  <c r="BWP671" i="3" s="1"/>
  <c r="BWO671" i="3" s="1"/>
  <c r="BWN671" i="3" s="1"/>
  <c r="BWM671" i="3" s="1"/>
  <c r="BWL671" i="3" s="1"/>
  <c r="BWK671" i="3" s="1"/>
  <c r="BWJ671" i="3" s="1"/>
  <c r="BWI671" i="3" s="1"/>
  <c r="BWH671" i="3" s="1"/>
  <c r="BWG671" i="3" s="1"/>
  <c r="BWF671" i="3" s="1"/>
  <c r="BWE671" i="3" s="1"/>
  <c r="BWD671" i="3" s="1"/>
  <c r="BWC671" i="3" s="1"/>
  <c r="BWB671" i="3" s="1"/>
  <c r="BWA671" i="3" s="1"/>
  <c r="BVZ671" i="3" s="1"/>
  <c r="BVY671" i="3" s="1"/>
  <c r="BVX671" i="3" s="1"/>
  <c r="BVW671" i="3" s="1"/>
  <c r="BVV671" i="3" s="1"/>
  <c r="BVU671" i="3" s="1"/>
  <c r="BVT671" i="3" s="1"/>
  <c r="BVS671" i="3" s="1"/>
  <c r="BVR671" i="3" s="1"/>
  <c r="BVQ671" i="3" s="1"/>
  <c r="BVP671" i="3" s="1"/>
  <c r="BVO671" i="3" s="1"/>
  <c r="BVN671" i="3" s="1"/>
  <c r="BVM671" i="3" s="1"/>
  <c r="BVL671" i="3" s="1"/>
  <c r="BVK671" i="3" s="1"/>
  <c r="BVJ671" i="3" s="1"/>
  <c r="BVI671" i="3" s="1"/>
  <c r="BVH671" i="3" s="1"/>
  <c r="BVG671" i="3" s="1"/>
  <c r="BVF671" i="3" s="1"/>
  <c r="BVE671" i="3" s="1"/>
  <c r="BVD671" i="3" s="1"/>
  <c r="BVC671" i="3" s="1"/>
  <c r="BVB671" i="3" s="1"/>
  <c r="BVA671" i="3" s="1"/>
  <c r="BUZ671" i="3" s="1"/>
  <c r="BUY671" i="3" s="1"/>
  <c r="BUX671" i="3" s="1"/>
  <c r="BUW671" i="3" s="1"/>
  <c r="BUV671" i="3" s="1"/>
  <c r="BUU671" i="3" s="1"/>
  <c r="BUT671" i="3" s="1"/>
  <c r="BUS671" i="3" s="1"/>
  <c r="BUR671" i="3" s="1"/>
  <c r="BUQ671" i="3" s="1"/>
  <c r="BUP671" i="3" s="1"/>
  <c r="BUO671" i="3" s="1"/>
  <c r="BUN671" i="3" s="1"/>
  <c r="BUM671" i="3" s="1"/>
  <c r="BUL671" i="3" s="1"/>
  <c r="BUK671" i="3" s="1"/>
  <c r="BUJ671" i="3" s="1"/>
  <c r="BUI671" i="3" s="1"/>
  <c r="BUH671" i="3" s="1"/>
  <c r="BUG671" i="3" s="1"/>
  <c r="BUF671" i="3" s="1"/>
  <c r="BUE671" i="3" s="1"/>
  <c r="BUD671" i="3" s="1"/>
  <c r="BUC671" i="3" s="1"/>
  <c r="BUB671" i="3" s="1"/>
  <c r="BUA671" i="3" s="1"/>
  <c r="BTZ671" i="3" s="1"/>
  <c r="BTY671" i="3" s="1"/>
  <c r="BTX671" i="3" s="1"/>
  <c r="BTW671" i="3" s="1"/>
  <c r="BTV671" i="3" s="1"/>
  <c r="BTU671" i="3" s="1"/>
  <c r="BTT671" i="3" s="1"/>
  <c r="BTS671" i="3" s="1"/>
  <c r="BTR671" i="3" s="1"/>
  <c r="BTQ671" i="3" s="1"/>
  <c r="BTP671" i="3" s="1"/>
  <c r="BTO671" i="3" s="1"/>
  <c r="BTN671" i="3" s="1"/>
  <c r="BTM671" i="3" s="1"/>
  <c r="BTL671" i="3" s="1"/>
  <c r="BTK671" i="3" s="1"/>
  <c r="BTJ671" i="3" s="1"/>
  <c r="BTI671" i="3" s="1"/>
  <c r="BTH671" i="3" s="1"/>
  <c r="BTG671" i="3" s="1"/>
  <c r="BTF671" i="3" s="1"/>
  <c r="BTE671" i="3" s="1"/>
  <c r="BTD671" i="3" s="1"/>
  <c r="BTC671" i="3" s="1"/>
  <c r="BTB671" i="3" s="1"/>
  <c r="BTA671" i="3" s="1"/>
  <c r="BSZ671" i="3" s="1"/>
  <c r="BSY671" i="3" s="1"/>
  <c r="BSX671" i="3" s="1"/>
  <c r="BSW671" i="3" s="1"/>
  <c r="BSV671" i="3" s="1"/>
  <c r="BSU671" i="3" s="1"/>
  <c r="BST671" i="3" s="1"/>
  <c r="BSS671" i="3" s="1"/>
  <c r="BSR671" i="3" s="1"/>
  <c r="BSQ671" i="3" s="1"/>
  <c r="BSP671" i="3" s="1"/>
  <c r="BSO671" i="3" s="1"/>
  <c r="BSN671" i="3" s="1"/>
  <c r="BSM671" i="3" s="1"/>
  <c r="BSL671" i="3" s="1"/>
  <c r="BSK671" i="3" s="1"/>
  <c r="BSJ671" i="3" s="1"/>
  <c r="BSI671" i="3" s="1"/>
  <c r="BSH671" i="3" s="1"/>
  <c r="BSG671" i="3" s="1"/>
  <c r="BSF671" i="3" s="1"/>
  <c r="BSE671" i="3" s="1"/>
  <c r="BSD671" i="3" s="1"/>
  <c r="BSC671" i="3" s="1"/>
  <c r="BSB671" i="3" s="1"/>
  <c r="BSA671" i="3" s="1"/>
  <c r="BRZ671" i="3" s="1"/>
  <c r="BRY671" i="3" s="1"/>
  <c r="BRX671" i="3" s="1"/>
  <c r="BRW671" i="3" s="1"/>
  <c r="BRV671" i="3" s="1"/>
  <c r="BRU671" i="3" s="1"/>
  <c r="BRT671" i="3" s="1"/>
  <c r="BRS671" i="3" s="1"/>
  <c r="BRR671" i="3" s="1"/>
  <c r="BRQ671" i="3" s="1"/>
  <c r="BRP671" i="3" s="1"/>
  <c r="BRO671" i="3" s="1"/>
  <c r="BRN671" i="3" s="1"/>
  <c r="BRM671" i="3" s="1"/>
  <c r="BRL671" i="3" s="1"/>
  <c r="BRK671" i="3" s="1"/>
  <c r="BRJ671" i="3" s="1"/>
  <c r="BRI671" i="3" s="1"/>
  <c r="BRH671" i="3" s="1"/>
  <c r="BRG671" i="3" s="1"/>
  <c r="BRF671" i="3" s="1"/>
  <c r="BRE671" i="3" s="1"/>
  <c r="BRD671" i="3" s="1"/>
  <c r="BRC671" i="3" s="1"/>
  <c r="BRB671" i="3" s="1"/>
  <c r="BRA671" i="3" s="1"/>
  <c r="BQZ671" i="3" s="1"/>
  <c r="BQY671" i="3" s="1"/>
  <c r="BQX671" i="3" s="1"/>
  <c r="BQW671" i="3" s="1"/>
  <c r="BQV671" i="3" s="1"/>
  <c r="BQU671" i="3" s="1"/>
  <c r="BQT671" i="3" s="1"/>
  <c r="BQS671" i="3" s="1"/>
  <c r="BQR671" i="3" s="1"/>
  <c r="BQQ671" i="3" s="1"/>
  <c r="BQP671" i="3" s="1"/>
  <c r="BQO671" i="3" s="1"/>
  <c r="BQN671" i="3" s="1"/>
  <c r="BQM671" i="3" s="1"/>
  <c r="BQL671" i="3" s="1"/>
  <c r="BQK671" i="3" s="1"/>
  <c r="BQJ671" i="3" s="1"/>
  <c r="BQI671" i="3" s="1"/>
  <c r="BQH671" i="3" s="1"/>
  <c r="BQG671" i="3" s="1"/>
  <c r="BQF671" i="3" s="1"/>
  <c r="BQE671" i="3" s="1"/>
  <c r="BQD671" i="3" s="1"/>
  <c r="BQC671" i="3" s="1"/>
  <c r="BQB671" i="3" s="1"/>
  <c r="BQA671" i="3" s="1"/>
  <c r="BPZ671" i="3" s="1"/>
  <c r="BPY671" i="3" s="1"/>
  <c r="BPX671" i="3" s="1"/>
  <c r="BPW671" i="3" s="1"/>
  <c r="BPV671" i="3" s="1"/>
  <c r="BPU671" i="3" s="1"/>
  <c r="BPT671" i="3" s="1"/>
  <c r="BPS671" i="3" s="1"/>
  <c r="BPR671" i="3" s="1"/>
  <c r="BPQ671" i="3" s="1"/>
  <c r="BPP671" i="3" s="1"/>
  <c r="BPO671" i="3" s="1"/>
  <c r="BPN671" i="3" s="1"/>
  <c r="BPM671" i="3" s="1"/>
  <c r="BPL671" i="3" s="1"/>
  <c r="BPK671" i="3" s="1"/>
  <c r="BPJ671" i="3" s="1"/>
  <c r="BPI671" i="3" s="1"/>
  <c r="BPH671" i="3" s="1"/>
  <c r="BPG671" i="3" s="1"/>
  <c r="BPF671" i="3" s="1"/>
  <c r="BPE671" i="3" s="1"/>
  <c r="BPD671" i="3" s="1"/>
  <c r="BPC671" i="3" s="1"/>
  <c r="BPB671" i="3" s="1"/>
  <c r="BPA671" i="3" s="1"/>
  <c r="BOZ671" i="3" s="1"/>
  <c r="BOY671" i="3" s="1"/>
  <c r="BOX671" i="3" s="1"/>
  <c r="BOW671" i="3" s="1"/>
  <c r="BOV671" i="3" s="1"/>
  <c r="BOU671" i="3" s="1"/>
  <c r="BOT671" i="3" s="1"/>
  <c r="BOS671" i="3" s="1"/>
  <c r="BOR671" i="3" s="1"/>
  <c r="BOQ671" i="3" s="1"/>
  <c r="BOP671" i="3" s="1"/>
  <c r="BOO671" i="3" s="1"/>
  <c r="BON671" i="3" s="1"/>
  <c r="BOM671" i="3" s="1"/>
  <c r="BOL671" i="3" s="1"/>
  <c r="BOK671" i="3" s="1"/>
  <c r="BOJ671" i="3" s="1"/>
  <c r="BOI671" i="3" s="1"/>
  <c r="BOH671" i="3" s="1"/>
  <c r="BOG671" i="3" s="1"/>
  <c r="BOF671" i="3" s="1"/>
  <c r="BOE671" i="3" s="1"/>
  <c r="BOD671" i="3" s="1"/>
  <c r="BOC671" i="3" s="1"/>
  <c r="BOB671" i="3" s="1"/>
  <c r="BOA671" i="3" s="1"/>
  <c r="BNZ671" i="3" s="1"/>
  <c r="BNY671" i="3" s="1"/>
  <c r="BNX671" i="3" s="1"/>
  <c r="BNW671" i="3" s="1"/>
  <c r="BNV671" i="3" s="1"/>
  <c r="BNU671" i="3" s="1"/>
  <c r="BNT671" i="3" s="1"/>
  <c r="BNS671" i="3" s="1"/>
  <c r="BNR671" i="3" s="1"/>
  <c r="BNQ671" i="3" s="1"/>
  <c r="BNP671" i="3" s="1"/>
  <c r="BNO671" i="3" s="1"/>
  <c r="BNN671" i="3" s="1"/>
  <c r="BNM671" i="3" s="1"/>
  <c r="BNL671" i="3" s="1"/>
  <c r="BNK671" i="3" s="1"/>
  <c r="BNJ671" i="3" s="1"/>
  <c r="BNI671" i="3" s="1"/>
  <c r="BNH671" i="3" s="1"/>
  <c r="BNG671" i="3" s="1"/>
  <c r="BNF671" i="3" s="1"/>
  <c r="BNE671" i="3" s="1"/>
  <c r="BND671" i="3" s="1"/>
  <c r="BNC671" i="3" s="1"/>
  <c r="BNB671" i="3" s="1"/>
  <c r="BNA671" i="3" s="1"/>
  <c r="BMZ671" i="3" s="1"/>
  <c r="BMY671" i="3" s="1"/>
  <c r="BMX671" i="3" s="1"/>
  <c r="BMW671" i="3" s="1"/>
  <c r="BMV671" i="3" s="1"/>
  <c r="BMU671" i="3" s="1"/>
  <c r="BMT671" i="3" s="1"/>
  <c r="BMS671" i="3" s="1"/>
  <c r="BMR671" i="3" s="1"/>
  <c r="BMQ671" i="3" s="1"/>
  <c r="BMP671" i="3" s="1"/>
  <c r="BMO671" i="3" s="1"/>
  <c r="BMN671" i="3" s="1"/>
  <c r="BMM671" i="3" s="1"/>
  <c r="BML671" i="3" s="1"/>
  <c r="BMK671" i="3" s="1"/>
  <c r="BMJ671" i="3" s="1"/>
  <c r="BMI671" i="3" s="1"/>
  <c r="BMH671" i="3" s="1"/>
  <c r="BMG671" i="3" s="1"/>
  <c r="BMF671" i="3" s="1"/>
  <c r="BME671" i="3" s="1"/>
  <c r="BMD671" i="3" s="1"/>
  <c r="BMC671" i="3" s="1"/>
  <c r="BMB671" i="3" s="1"/>
  <c r="BMA671" i="3" s="1"/>
  <c r="BLZ671" i="3" s="1"/>
  <c r="BLY671" i="3" s="1"/>
  <c r="BLX671" i="3" s="1"/>
  <c r="BLW671" i="3" s="1"/>
  <c r="BLV671" i="3" s="1"/>
  <c r="BLU671" i="3" s="1"/>
  <c r="BLT671" i="3" s="1"/>
  <c r="BLS671" i="3" s="1"/>
  <c r="BLR671" i="3" s="1"/>
  <c r="BLQ671" i="3" s="1"/>
  <c r="BLP671" i="3" s="1"/>
  <c r="BLO671" i="3" s="1"/>
  <c r="BLN671" i="3" s="1"/>
  <c r="BLM671" i="3" s="1"/>
  <c r="BLL671" i="3" s="1"/>
  <c r="BLK671" i="3" s="1"/>
  <c r="BLJ671" i="3" s="1"/>
  <c r="BLI671" i="3" s="1"/>
  <c r="BLH671" i="3" s="1"/>
  <c r="BLG671" i="3" s="1"/>
  <c r="BLF671" i="3" s="1"/>
  <c r="BLE671" i="3" s="1"/>
  <c r="BLD671" i="3" s="1"/>
  <c r="BLC671" i="3" s="1"/>
  <c r="BLB671" i="3" s="1"/>
  <c r="BLA671" i="3" s="1"/>
  <c r="BKZ671" i="3" s="1"/>
  <c r="BKY671" i="3" s="1"/>
  <c r="BKX671" i="3" s="1"/>
  <c r="BKW671" i="3" s="1"/>
  <c r="BKV671" i="3" s="1"/>
  <c r="BKU671" i="3" s="1"/>
  <c r="BKT671" i="3" s="1"/>
  <c r="BKS671" i="3" s="1"/>
  <c r="BKR671" i="3" s="1"/>
  <c r="BKQ671" i="3" s="1"/>
  <c r="BKP671" i="3" s="1"/>
  <c r="BKO671" i="3" s="1"/>
  <c r="BKN671" i="3" s="1"/>
  <c r="BKM671" i="3" s="1"/>
  <c r="BKL671" i="3" s="1"/>
  <c r="BKK671" i="3" s="1"/>
  <c r="BKJ671" i="3" s="1"/>
  <c r="BKI671" i="3" s="1"/>
  <c r="BKH671" i="3" s="1"/>
  <c r="BKG671" i="3" s="1"/>
  <c r="BKF671" i="3" s="1"/>
  <c r="BKE671" i="3" s="1"/>
  <c r="BKD671" i="3" s="1"/>
  <c r="BKC671" i="3" s="1"/>
  <c r="BKB671" i="3" s="1"/>
  <c r="BKA671" i="3" s="1"/>
  <c r="BJZ671" i="3" s="1"/>
  <c r="BJY671" i="3" s="1"/>
  <c r="BJX671" i="3" s="1"/>
  <c r="BJW671" i="3" s="1"/>
  <c r="BJV671" i="3" s="1"/>
  <c r="BJU671" i="3" s="1"/>
  <c r="BJT671" i="3" s="1"/>
  <c r="BJS671" i="3" s="1"/>
  <c r="BJR671" i="3" s="1"/>
  <c r="BJQ671" i="3" s="1"/>
  <c r="BJP671" i="3" s="1"/>
  <c r="BJO671" i="3" s="1"/>
  <c r="BJN671" i="3" s="1"/>
  <c r="BJM671" i="3" s="1"/>
  <c r="BJL671" i="3" s="1"/>
  <c r="BJK671" i="3" s="1"/>
  <c r="BJJ671" i="3" s="1"/>
  <c r="BJI671" i="3" s="1"/>
  <c r="BJH671" i="3" s="1"/>
  <c r="BJG671" i="3" s="1"/>
  <c r="BJF671" i="3" s="1"/>
  <c r="BJE671" i="3" s="1"/>
  <c r="BJD671" i="3" s="1"/>
  <c r="BJC671" i="3" s="1"/>
  <c r="BJB671" i="3" s="1"/>
  <c r="BJA671" i="3" s="1"/>
  <c r="BIZ671" i="3" s="1"/>
  <c r="BIY671" i="3" s="1"/>
  <c r="BIX671" i="3" s="1"/>
  <c r="BIW671" i="3" s="1"/>
  <c r="BIV671" i="3" s="1"/>
  <c r="BIU671" i="3" s="1"/>
  <c r="BIT671" i="3" s="1"/>
  <c r="BIS671" i="3" s="1"/>
  <c r="BIR671" i="3" s="1"/>
  <c r="BIQ671" i="3" s="1"/>
  <c r="BIP671" i="3" s="1"/>
  <c r="BIO671" i="3" s="1"/>
  <c r="BIN671" i="3" s="1"/>
  <c r="BIM671" i="3" s="1"/>
  <c r="BIL671" i="3" s="1"/>
  <c r="BIK671" i="3" s="1"/>
  <c r="BIJ671" i="3" s="1"/>
  <c r="BII671" i="3" s="1"/>
  <c r="BIH671" i="3" s="1"/>
  <c r="BIG671" i="3" s="1"/>
  <c r="BIF671" i="3" s="1"/>
  <c r="BIE671" i="3" s="1"/>
  <c r="BID671" i="3" s="1"/>
  <c r="BIC671" i="3" s="1"/>
  <c r="BIB671" i="3" s="1"/>
  <c r="BIA671" i="3" s="1"/>
  <c r="BHZ671" i="3" s="1"/>
  <c r="BHY671" i="3" s="1"/>
  <c r="BHX671" i="3" s="1"/>
  <c r="BHW671" i="3" s="1"/>
  <c r="BHV671" i="3" s="1"/>
  <c r="BHU671" i="3" s="1"/>
  <c r="BHT671" i="3" s="1"/>
  <c r="BHS671" i="3" s="1"/>
  <c r="BHR671" i="3" s="1"/>
  <c r="BHQ671" i="3" s="1"/>
  <c r="BHP671" i="3" s="1"/>
  <c r="BHO671" i="3" s="1"/>
  <c r="BHN671" i="3" s="1"/>
  <c r="BHM671" i="3" s="1"/>
  <c r="BHL671" i="3" s="1"/>
  <c r="BHK671" i="3" s="1"/>
  <c r="BHJ671" i="3" s="1"/>
  <c r="BHI671" i="3" s="1"/>
  <c r="BHH671" i="3" s="1"/>
  <c r="BHG671" i="3" s="1"/>
  <c r="BHF671" i="3" s="1"/>
  <c r="BHE671" i="3" s="1"/>
  <c r="BHD671" i="3" s="1"/>
  <c r="BHC671" i="3" s="1"/>
  <c r="BHB671" i="3" s="1"/>
  <c r="BHA671" i="3" s="1"/>
  <c r="BGZ671" i="3" s="1"/>
  <c r="BGY671" i="3" s="1"/>
  <c r="BGX671" i="3" s="1"/>
  <c r="BGW671" i="3" s="1"/>
  <c r="BGV671" i="3" s="1"/>
  <c r="BGU671" i="3" s="1"/>
  <c r="BGT671" i="3" s="1"/>
  <c r="BGS671" i="3" s="1"/>
  <c r="BGR671" i="3" s="1"/>
  <c r="BGQ671" i="3" s="1"/>
  <c r="BGP671" i="3" s="1"/>
  <c r="BGO671" i="3" s="1"/>
  <c r="BGN671" i="3" s="1"/>
  <c r="BGM671" i="3" s="1"/>
  <c r="BGL671" i="3" s="1"/>
  <c r="BGK671" i="3" s="1"/>
  <c r="BGJ671" i="3" s="1"/>
  <c r="BGI671" i="3" s="1"/>
  <c r="BGH671" i="3" s="1"/>
  <c r="BGG671" i="3" s="1"/>
  <c r="BGF671" i="3" s="1"/>
  <c r="BGE671" i="3" s="1"/>
  <c r="BGD671" i="3" s="1"/>
  <c r="BGC671" i="3" s="1"/>
  <c r="BGB671" i="3" s="1"/>
  <c r="BGA671" i="3" s="1"/>
  <c r="BFZ671" i="3" s="1"/>
  <c r="BFY671" i="3" s="1"/>
  <c r="BFX671" i="3" s="1"/>
  <c r="BFW671" i="3" s="1"/>
  <c r="BFV671" i="3" s="1"/>
  <c r="BFU671" i="3" s="1"/>
  <c r="BFT671" i="3" s="1"/>
  <c r="BFS671" i="3" s="1"/>
  <c r="BFR671" i="3" s="1"/>
  <c r="BFQ671" i="3" s="1"/>
  <c r="BFP671" i="3" s="1"/>
  <c r="BFO671" i="3" s="1"/>
  <c r="BFN671" i="3" s="1"/>
  <c r="BFM671" i="3" s="1"/>
  <c r="BFL671" i="3" s="1"/>
  <c r="BFK671" i="3" s="1"/>
  <c r="BFJ671" i="3" s="1"/>
  <c r="BFI671" i="3" s="1"/>
  <c r="BFH671" i="3" s="1"/>
  <c r="BFG671" i="3" s="1"/>
  <c r="BFF671" i="3" s="1"/>
  <c r="BFE671" i="3" s="1"/>
  <c r="BFD671" i="3" s="1"/>
  <c r="BFC671" i="3" s="1"/>
  <c r="BFB671" i="3" s="1"/>
  <c r="BFA671" i="3" s="1"/>
  <c r="BEZ671" i="3" s="1"/>
  <c r="BEY671" i="3" s="1"/>
  <c r="BEX671" i="3" s="1"/>
  <c r="BEW671" i="3" s="1"/>
  <c r="BEV671" i="3" s="1"/>
  <c r="BEU671" i="3" s="1"/>
  <c r="BET671" i="3" s="1"/>
  <c r="BES671" i="3" s="1"/>
  <c r="BER671" i="3" s="1"/>
  <c r="BEQ671" i="3" s="1"/>
  <c r="BEP671" i="3" s="1"/>
  <c r="BEO671" i="3" s="1"/>
  <c r="BEN671" i="3" s="1"/>
  <c r="BEM671" i="3" s="1"/>
  <c r="BEL671" i="3" s="1"/>
  <c r="BEK671" i="3" s="1"/>
  <c r="BEJ671" i="3" s="1"/>
  <c r="BEI671" i="3" s="1"/>
  <c r="BEH671" i="3" s="1"/>
  <c r="BEG671" i="3" s="1"/>
  <c r="BEF671" i="3" s="1"/>
  <c r="BEE671" i="3" s="1"/>
  <c r="BED671" i="3" s="1"/>
  <c r="BEC671" i="3" s="1"/>
  <c r="BEB671" i="3" s="1"/>
  <c r="BEA671" i="3" s="1"/>
  <c r="BDZ671" i="3" s="1"/>
  <c r="BDY671" i="3" s="1"/>
  <c r="BDX671" i="3" s="1"/>
  <c r="BDW671" i="3" s="1"/>
  <c r="BDV671" i="3" s="1"/>
  <c r="BDU671" i="3" s="1"/>
  <c r="BDT671" i="3" s="1"/>
  <c r="BDS671" i="3" s="1"/>
  <c r="BDR671" i="3" s="1"/>
  <c r="BDQ671" i="3" s="1"/>
  <c r="BDP671" i="3" s="1"/>
  <c r="BDO671" i="3" s="1"/>
  <c r="BDN671" i="3" s="1"/>
  <c r="BDM671" i="3" s="1"/>
  <c r="BDL671" i="3" s="1"/>
  <c r="BDK671" i="3" s="1"/>
  <c r="BDJ671" i="3" s="1"/>
  <c r="BDI671" i="3" s="1"/>
  <c r="BDH671" i="3" s="1"/>
  <c r="BDG671" i="3" s="1"/>
  <c r="BDF671" i="3" s="1"/>
  <c r="BDE671" i="3" s="1"/>
  <c r="BDD671" i="3" s="1"/>
  <c r="BDC671" i="3" s="1"/>
  <c r="BDB671" i="3" s="1"/>
  <c r="BDA671" i="3" s="1"/>
  <c r="BCZ671" i="3" s="1"/>
  <c r="BCY671" i="3" s="1"/>
  <c r="BCX671" i="3" s="1"/>
  <c r="BCW671" i="3" s="1"/>
  <c r="BCV671" i="3" s="1"/>
  <c r="BCU671" i="3" s="1"/>
  <c r="BCT671" i="3" s="1"/>
  <c r="BCS671" i="3" s="1"/>
  <c r="BCR671" i="3" s="1"/>
  <c r="BCQ671" i="3" s="1"/>
  <c r="BCP671" i="3" s="1"/>
  <c r="BCO671" i="3" s="1"/>
  <c r="BCN671" i="3" s="1"/>
  <c r="BCM671" i="3" s="1"/>
  <c r="BCL671" i="3" s="1"/>
  <c r="BCK671" i="3" s="1"/>
  <c r="BCJ671" i="3" s="1"/>
  <c r="BCI671" i="3" s="1"/>
  <c r="BCH671" i="3" s="1"/>
  <c r="BCG671" i="3" s="1"/>
  <c r="BCF671" i="3" s="1"/>
  <c r="BCE671" i="3" s="1"/>
  <c r="BCD671" i="3" s="1"/>
  <c r="BCC671" i="3" s="1"/>
  <c r="BCB671" i="3" s="1"/>
  <c r="BCA671" i="3" s="1"/>
  <c r="BBZ671" i="3" s="1"/>
  <c r="BBY671" i="3" s="1"/>
  <c r="BBX671" i="3" s="1"/>
  <c r="BBW671" i="3" s="1"/>
  <c r="BBV671" i="3" s="1"/>
  <c r="BBU671" i="3" s="1"/>
  <c r="BBT671" i="3" s="1"/>
  <c r="BBS671" i="3" s="1"/>
  <c r="BBR671" i="3" s="1"/>
  <c r="BBQ671" i="3" s="1"/>
  <c r="BBP671" i="3" s="1"/>
  <c r="BBO671" i="3" s="1"/>
  <c r="BBN671" i="3" s="1"/>
  <c r="BBM671" i="3" s="1"/>
  <c r="BBL671" i="3" s="1"/>
  <c r="BBK671" i="3" s="1"/>
  <c r="BBJ671" i="3" s="1"/>
  <c r="BBI671" i="3" s="1"/>
  <c r="BBH671" i="3" s="1"/>
  <c r="BBG671" i="3" s="1"/>
  <c r="BBF671" i="3" s="1"/>
  <c r="BBE671" i="3" s="1"/>
  <c r="BBD671" i="3" s="1"/>
  <c r="BBC671" i="3" s="1"/>
  <c r="BBB671" i="3" s="1"/>
  <c r="BBA671" i="3" s="1"/>
  <c r="BAZ671" i="3" s="1"/>
  <c r="BAY671" i="3" s="1"/>
  <c r="BAX671" i="3" s="1"/>
  <c r="BAW671" i="3" s="1"/>
  <c r="BAV671" i="3" s="1"/>
  <c r="BAU671" i="3" s="1"/>
  <c r="BAT671" i="3" s="1"/>
  <c r="BAS671" i="3" s="1"/>
  <c r="BAR671" i="3" s="1"/>
  <c r="BAQ671" i="3" s="1"/>
  <c r="BAP671" i="3" s="1"/>
  <c r="BAO671" i="3" s="1"/>
  <c r="BAN671" i="3" s="1"/>
  <c r="BAM671" i="3" s="1"/>
  <c r="BAL671" i="3" s="1"/>
  <c r="BAK671" i="3" s="1"/>
  <c r="BAJ671" i="3" s="1"/>
  <c r="BAI671" i="3" s="1"/>
  <c r="BAH671" i="3" s="1"/>
  <c r="BAG671" i="3" s="1"/>
  <c r="BAF671" i="3" s="1"/>
  <c r="BAE671" i="3" s="1"/>
  <c r="BAD671" i="3" s="1"/>
  <c r="BAC671" i="3" s="1"/>
  <c r="BAB671" i="3" s="1"/>
  <c r="BAA671" i="3" s="1"/>
  <c r="AZZ671" i="3" s="1"/>
  <c r="AZY671" i="3" s="1"/>
  <c r="AZX671" i="3" s="1"/>
  <c r="AZW671" i="3" s="1"/>
  <c r="AZV671" i="3" s="1"/>
  <c r="AZU671" i="3" s="1"/>
  <c r="AZT671" i="3" s="1"/>
  <c r="AZS671" i="3" s="1"/>
  <c r="AZR671" i="3" s="1"/>
  <c r="AZQ671" i="3" s="1"/>
  <c r="AZP671" i="3" s="1"/>
  <c r="AZO671" i="3" s="1"/>
  <c r="AZN671" i="3" s="1"/>
  <c r="AZM671" i="3" s="1"/>
  <c r="AZL671" i="3" s="1"/>
  <c r="AZK671" i="3" s="1"/>
  <c r="AZJ671" i="3" s="1"/>
  <c r="AZI671" i="3" s="1"/>
  <c r="AZH671" i="3" s="1"/>
  <c r="AZG671" i="3" s="1"/>
  <c r="AZF671" i="3" s="1"/>
  <c r="AZE671" i="3" s="1"/>
  <c r="AZD671" i="3" s="1"/>
  <c r="AZC671" i="3" s="1"/>
  <c r="AZB671" i="3" s="1"/>
  <c r="AZA671" i="3" s="1"/>
  <c r="AYZ671" i="3" s="1"/>
  <c r="AYY671" i="3" s="1"/>
  <c r="AYX671" i="3" s="1"/>
  <c r="AYW671" i="3" s="1"/>
  <c r="AYV671" i="3" s="1"/>
  <c r="AYU671" i="3" s="1"/>
  <c r="AYT671" i="3" s="1"/>
  <c r="AYS671" i="3" s="1"/>
  <c r="AYR671" i="3" s="1"/>
  <c r="AYQ671" i="3" s="1"/>
  <c r="AYP671" i="3" s="1"/>
  <c r="AYO671" i="3" s="1"/>
  <c r="AYN671" i="3" s="1"/>
  <c r="AYM671" i="3" s="1"/>
  <c r="AYL671" i="3" s="1"/>
  <c r="AYK671" i="3" s="1"/>
  <c r="AYJ671" i="3" s="1"/>
  <c r="AYI671" i="3" s="1"/>
  <c r="AYH671" i="3" s="1"/>
  <c r="AYG671" i="3" s="1"/>
  <c r="AYF671" i="3" s="1"/>
  <c r="AYE671" i="3" s="1"/>
  <c r="AYD671" i="3" s="1"/>
  <c r="AYC671" i="3" s="1"/>
  <c r="AYB671" i="3" s="1"/>
  <c r="AYA671" i="3" s="1"/>
  <c r="AXZ671" i="3" s="1"/>
  <c r="AXY671" i="3" s="1"/>
  <c r="AXX671" i="3" s="1"/>
  <c r="AXW671" i="3" s="1"/>
  <c r="AXV671" i="3" s="1"/>
  <c r="AXU671" i="3" s="1"/>
  <c r="AXT671" i="3" s="1"/>
  <c r="AXS671" i="3" s="1"/>
  <c r="AXR671" i="3" s="1"/>
  <c r="AXQ671" i="3" s="1"/>
  <c r="AXP671" i="3" s="1"/>
  <c r="AXO671" i="3" s="1"/>
  <c r="AXN671" i="3" s="1"/>
  <c r="AXM671" i="3" s="1"/>
  <c r="AXL671" i="3" s="1"/>
  <c r="AXK671" i="3" s="1"/>
  <c r="AXJ671" i="3" s="1"/>
  <c r="AXI671" i="3" s="1"/>
  <c r="AXH671" i="3" s="1"/>
  <c r="AXG671" i="3" s="1"/>
  <c r="AXF671" i="3" s="1"/>
  <c r="AXE671" i="3" s="1"/>
  <c r="AXD671" i="3" s="1"/>
  <c r="AXC671" i="3" s="1"/>
  <c r="AXB671" i="3" s="1"/>
  <c r="AXA671" i="3" s="1"/>
  <c r="AWZ671" i="3" s="1"/>
  <c r="AWY671" i="3" s="1"/>
  <c r="AWX671" i="3" s="1"/>
  <c r="AWW671" i="3" s="1"/>
  <c r="AWV671" i="3" s="1"/>
  <c r="AWU671" i="3" s="1"/>
  <c r="AWT671" i="3" s="1"/>
  <c r="AWS671" i="3" s="1"/>
  <c r="AWR671" i="3" s="1"/>
  <c r="AWQ671" i="3" s="1"/>
  <c r="AWP671" i="3" s="1"/>
  <c r="AWO671" i="3" s="1"/>
  <c r="AWN671" i="3" s="1"/>
  <c r="AWM671" i="3" s="1"/>
  <c r="AWL671" i="3" s="1"/>
  <c r="AWK671" i="3" s="1"/>
  <c r="AWJ671" i="3" s="1"/>
  <c r="AWI671" i="3" s="1"/>
  <c r="AWH671" i="3" s="1"/>
  <c r="AWG671" i="3" s="1"/>
  <c r="AWF671" i="3" s="1"/>
  <c r="AWE671" i="3" s="1"/>
  <c r="AWD671" i="3" s="1"/>
  <c r="AWC671" i="3" s="1"/>
  <c r="AWB671" i="3" s="1"/>
  <c r="AWA671" i="3" s="1"/>
  <c r="AVZ671" i="3" s="1"/>
  <c r="AVY671" i="3" s="1"/>
  <c r="AVX671" i="3" s="1"/>
  <c r="AVW671" i="3" s="1"/>
  <c r="AVV671" i="3" s="1"/>
  <c r="AVU671" i="3" s="1"/>
  <c r="AVT671" i="3" s="1"/>
  <c r="AVS671" i="3" s="1"/>
  <c r="AVR671" i="3" s="1"/>
  <c r="AVQ671" i="3" s="1"/>
  <c r="AVP671" i="3" s="1"/>
  <c r="AVO671" i="3" s="1"/>
  <c r="AVN671" i="3" s="1"/>
  <c r="AVM671" i="3" s="1"/>
  <c r="AVL671" i="3" s="1"/>
  <c r="AVK671" i="3" s="1"/>
  <c r="AVJ671" i="3" s="1"/>
  <c r="AVI671" i="3" s="1"/>
  <c r="AVH671" i="3" s="1"/>
  <c r="AVG671" i="3" s="1"/>
  <c r="AVF671" i="3" s="1"/>
  <c r="AVE671" i="3" s="1"/>
  <c r="AVD671" i="3" s="1"/>
  <c r="AVC671" i="3" s="1"/>
  <c r="AVB671" i="3" s="1"/>
  <c r="AVA671" i="3" s="1"/>
  <c r="AUZ671" i="3" s="1"/>
  <c r="AUY671" i="3" s="1"/>
  <c r="AUX671" i="3" s="1"/>
  <c r="AUW671" i="3" s="1"/>
  <c r="AUV671" i="3" s="1"/>
  <c r="AUU671" i="3" s="1"/>
  <c r="AUT671" i="3" s="1"/>
  <c r="AUS671" i="3" s="1"/>
  <c r="AUR671" i="3" s="1"/>
  <c r="AUQ671" i="3" s="1"/>
  <c r="AUP671" i="3" s="1"/>
  <c r="AUO671" i="3" s="1"/>
  <c r="AUN671" i="3" s="1"/>
  <c r="AUM671" i="3" s="1"/>
  <c r="AUL671" i="3" s="1"/>
  <c r="AUK671" i="3" s="1"/>
  <c r="AUJ671" i="3" s="1"/>
  <c r="AUI671" i="3" s="1"/>
  <c r="AUH671" i="3" s="1"/>
  <c r="AUG671" i="3" s="1"/>
  <c r="AUF671" i="3" s="1"/>
  <c r="AUE671" i="3" s="1"/>
  <c r="AUD671" i="3" s="1"/>
  <c r="AUC671" i="3" s="1"/>
  <c r="AUB671" i="3" s="1"/>
  <c r="AUA671" i="3" s="1"/>
  <c r="ATZ671" i="3" s="1"/>
  <c r="ATY671" i="3" s="1"/>
  <c r="ATX671" i="3" s="1"/>
  <c r="ATW671" i="3" s="1"/>
  <c r="ATV671" i="3" s="1"/>
  <c r="ATU671" i="3" s="1"/>
  <c r="ATT671" i="3" s="1"/>
  <c r="ATS671" i="3" s="1"/>
  <c r="ATR671" i="3" s="1"/>
  <c r="ATQ671" i="3" s="1"/>
  <c r="ATP671" i="3" s="1"/>
  <c r="ATO671" i="3" s="1"/>
  <c r="ATN671" i="3" s="1"/>
  <c r="ATM671" i="3" s="1"/>
  <c r="ATL671" i="3" s="1"/>
  <c r="ATK671" i="3" s="1"/>
  <c r="ATJ671" i="3" s="1"/>
  <c r="ATI671" i="3" s="1"/>
  <c r="ATH671" i="3" s="1"/>
  <c r="ATG671" i="3" s="1"/>
  <c r="ATF671" i="3" s="1"/>
  <c r="ATE671" i="3" s="1"/>
  <c r="ATD671" i="3" s="1"/>
  <c r="ATC671" i="3" s="1"/>
  <c r="ATB671" i="3" s="1"/>
  <c r="ATA671" i="3" s="1"/>
  <c r="ASZ671" i="3" s="1"/>
  <c r="ASY671" i="3" s="1"/>
  <c r="ASX671" i="3" s="1"/>
  <c r="ASW671" i="3" s="1"/>
  <c r="ASV671" i="3" s="1"/>
  <c r="ASU671" i="3" s="1"/>
  <c r="AST671" i="3" s="1"/>
  <c r="ASS671" i="3" s="1"/>
  <c r="ASR671" i="3" s="1"/>
  <c r="ASQ671" i="3" s="1"/>
  <c r="ASP671" i="3" s="1"/>
  <c r="ASO671" i="3" s="1"/>
  <c r="ASN671" i="3" s="1"/>
  <c r="ASM671" i="3" s="1"/>
  <c r="ASL671" i="3" s="1"/>
  <c r="ASK671" i="3" s="1"/>
  <c r="ASJ671" i="3" s="1"/>
  <c r="ASI671" i="3" s="1"/>
  <c r="ASH671" i="3" s="1"/>
  <c r="ASG671" i="3" s="1"/>
  <c r="ASF671" i="3" s="1"/>
  <c r="ASE671" i="3" s="1"/>
  <c r="ASD671" i="3" s="1"/>
  <c r="ASC671" i="3" s="1"/>
  <c r="ASB671" i="3" s="1"/>
  <c r="ASA671" i="3" s="1"/>
  <c r="ARZ671" i="3" s="1"/>
  <c r="ARY671" i="3" s="1"/>
  <c r="ARX671" i="3" s="1"/>
  <c r="ARW671" i="3" s="1"/>
  <c r="ARV671" i="3" s="1"/>
  <c r="ARU671" i="3" s="1"/>
  <c r="ART671" i="3" s="1"/>
  <c r="ARS671" i="3" s="1"/>
  <c r="ARR671" i="3" s="1"/>
  <c r="ARQ671" i="3" s="1"/>
  <c r="ARP671" i="3" s="1"/>
  <c r="ARO671" i="3" s="1"/>
  <c r="ARN671" i="3" s="1"/>
  <c r="ARM671" i="3" s="1"/>
  <c r="ARL671" i="3" s="1"/>
  <c r="ARK671" i="3" s="1"/>
  <c r="ARJ671" i="3" s="1"/>
  <c r="ARI671" i="3" s="1"/>
  <c r="ARH671" i="3" s="1"/>
  <c r="ARG671" i="3" s="1"/>
  <c r="ARF671" i="3" s="1"/>
  <c r="ARE671" i="3" s="1"/>
  <c r="ARD671" i="3" s="1"/>
  <c r="ARC671" i="3" s="1"/>
  <c r="ARB671" i="3" s="1"/>
  <c r="ARA671" i="3" s="1"/>
  <c r="AQZ671" i="3" s="1"/>
  <c r="AQY671" i="3" s="1"/>
  <c r="AQX671" i="3" s="1"/>
  <c r="AQW671" i="3" s="1"/>
  <c r="AQV671" i="3" s="1"/>
  <c r="AQU671" i="3" s="1"/>
  <c r="AQT671" i="3" s="1"/>
  <c r="AQS671" i="3" s="1"/>
  <c r="AQR671" i="3" s="1"/>
  <c r="AQQ671" i="3" s="1"/>
  <c r="AQP671" i="3" s="1"/>
  <c r="AQO671" i="3" s="1"/>
  <c r="AQN671" i="3" s="1"/>
  <c r="AQM671" i="3" s="1"/>
  <c r="AQL671" i="3" s="1"/>
  <c r="AQK671" i="3" s="1"/>
  <c r="AQJ671" i="3" s="1"/>
  <c r="AQI671" i="3" s="1"/>
  <c r="AQH671" i="3" s="1"/>
  <c r="AQG671" i="3" s="1"/>
  <c r="AQF671" i="3" s="1"/>
  <c r="AQE671" i="3" s="1"/>
  <c r="AQD671" i="3" s="1"/>
  <c r="AQC671" i="3" s="1"/>
  <c r="AQB671" i="3" s="1"/>
  <c r="AQA671" i="3" s="1"/>
  <c r="APZ671" i="3" s="1"/>
  <c r="APY671" i="3" s="1"/>
  <c r="APX671" i="3" s="1"/>
  <c r="APW671" i="3" s="1"/>
  <c r="APV671" i="3" s="1"/>
  <c r="APU671" i="3" s="1"/>
  <c r="APT671" i="3" s="1"/>
  <c r="APS671" i="3" s="1"/>
  <c r="APR671" i="3" s="1"/>
  <c r="APQ671" i="3" s="1"/>
  <c r="APP671" i="3" s="1"/>
  <c r="APO671" i="3" s="1"/>
  <c r="APN671" i="3" s="1"/>
  <c r="APM671" i="3" s="1"/>
  <c r="APL671" i="3" s="1"/>
  <c r="APK671" i="3" s="1"/>
  <c r="APJ671" i="3" s="1"/>
  <c r="API671" i="3" s="1"/>
  <c r="APH671" i="3" s="1"/>
  <c r="APG671" i="3" s="1"/>
  <c r="APF671" i="3" s="1"/>
  <c r="APE671" i="3" s="1"/>
  <c r="APD671" i="3" s="1"/>
  <c r="APC671" i="3" s="1"/>
  <c r="APB671" i="3" s="1"/>
  <c r="APA671" i="3" s="1"/>
  <c r="AOZ671" i="3" s="1"/>
  <c r="AOY671" i="3" s="1"/>
  <c r="AOX671" i="3" s="1"/>
  <c r="AOW671" i="3" s="1"/>
  <c r="AOV671" i="3" s="1"/>
  <c r="AOU671" i="3" s="1"/>
  <c r="AOT671" i="3" s="1"/>
  <c r="AOS671" i="3" s="1"/>
  <c r="AOR671" i="3" s="1"/>
  <c r="AOQ671" i="3" s="1"/>
  <c r="AOP671" i="3" s="1"/>
  <c r="AOO671" i="3" s="1"/>
  <c r="AON671" i="3" s="1"/>
  <c r="AOM671" i="3" s="1"/>
  <c r="AOL671" i="3" s="1"/>
  <c r="AOK671" i="3" s="1"/>
  <c r="AOJ671" i="3" s="1"/>
  <c r="AOI671" i="3" s="1"/>
  <c r="AOH671" i="3" s="1"/>
  <c r="AOG671" i="3" s="1"/>
  <c r="AOF671" i="3" s="1"/>
  <c r="AOE671" i="3" s="1"/>
  <c r="AOD671" i="3" s="1"/>
  <c r="AOC671" i="3" s="1"/>
  <c r="AOB671" i="3" s="1"/>
  <c r="AOA671" i="3" s="1"/>
  <c r="ANZ671" i="3" s="1"/>
  <c r="ANY671" i="3" s="1"/>
  <c r="ANX671" i="3" s="1"/>
  <c r="ANW671" i="3" s="1"/>
  <c r="ANV671" i="3" s="1"/>
  <c r="ANU671" i="3" s="1"/>
  <c r="ANT671" i="3" s="1"/>
  <c r="ANS671" i="3" s="1"/>
  <c r="ANR671" i="3" s="1"/>
  <c r="ANQ671" i="3" s="1"/>
  <c r="ANP671" i="3" s="1"/>
  <c r="ANO671" i="3" s="1"/>
  <c r="ANN671" i="3" s="1"/>
  <c r="ANM671" i="3" s="1"/>
  <c r="ANL671" i="3" s="1"/>
  <c r="ANK671" i="3" s="1"/>
  <c r="ANJ671" i="3" s="1"/>
  <c r="ANI671" i="3" s="1"/>
  <c r="ANH671" i="3" s="1"/>
  <c r="ANG671" i="3" s="1"/>
  <c r="ANF671" i="3" s="1"/>
  <c r="ANE671" i="3" s="1"/>
  <c r="AND671" i="3" s="1"/>
  <c r="ANC671" i="3" s="1"/>
  <c r="ANB671" i="3" s="1"/>
  <c r="ANA671" i="3" s="1"/>
  <c r="AMZ671" i="3" s="1"/>
  <c r="AMY671" i="3" s="1"/>
  <c r="AMX671" i="3" s="1"/>
  <c r="AMW671" i="3" s="1"/>
  <c r="AMV671" i="3" s="1"/>
  <c r="AMU671" i="3" s="1"/>
  <c r="AMT671" i="3" s="1"/>
  <c r="AMS671" i="3" s="1"/>
  <c r="AMR671" i="3" s="1"/>
  <c r="AMQ671" i="3" s="1"/>
  <c r="AMP671" i="3" s="1"/>
  <c r="AMO671" i="3" s="1"/>
  <c r="AMN671" i="3" s="1"/>
  <c r="AMM671" i="3" s="1"/>
  <c r="AML671" i="3" s="1"/>
  <c r="AMK671" i="3" s="1"/>
  <c r="AMJ671" i="3" s="1"/>
  <c r="AMI671" i="3" s="1"/>
  <c r="AMH671" i="3" s="1"/>
  <c r="AMG671" i="3" s="1"/>
  <c r="AMF671" i="3" s="1"/>
  <c r="AME671" i="3" s="1"/>
  <c r="AMD671" i="3" s="1"/>
  <c r="AMC671" i="3" s="1"/>
  <c r="AMB671" i="3" s="1"/>
  <c r="AMA671" i="3" s="1"/>
  <c r="ALZ671" i="3" s="1"/>
  <c r="ALY671" i="3" s="1"/>
  <c r="ALX671" i="3" s="1"/>
  <c r="ALW671" i="3" s="1"/>
  <c r="ALV671" i="3" s="1"/>
  <c r="ALU671" i="3" s="1"/>
  <c r="ALT671" i="3" s="1"/>
  <c r="ALS671" i="3" s="1"/>
  <c r="ALR671" i="3" s="1"/>
  <c r="ALQ671" i="3" s="1"/>
  <c r="ALP671" i="3" s="1"/>
  <c r="ALO671" i="3" s="1"/>
  <c r="ALN671" i="3" s="1"/>
  <c r="ALM671" i="3" s="1"/>
  <c r="ALL671" i="3" s="1"/>
  <c r="ALK671" i="3" s="1"/>
  <c r="ALJ671" i="3" s="1"/>
  <c r="ALI671" i="3" s="1"/>
  <c r="ALH671" i="3" s="1"/>
  <c r="ALG671" i="3" s="1"/>
  <c r="ALF671" i="3" s="1"/>
  <c r="ALE671" i="3" s="1"/>
  <c r="ALD671" i="3" s="1"/>
  <c r="ALC671" i="3" s="1"/>
  <c r="ALB671" i="3" s="1"/>
  <c r="ALA671" i="3" s="1"/>
  <c r="AKZ671" i="3" s="1"/>
  <c r="AKY671" i="3" s="1"/>
  <c r="AKX671" i="3" s="1"/>
  <c r="AKW671" i="3" s="1"/>
  <c r="AKV671" i="3" s="1"/>
  <c r="AKU671" i="3" s="1"/>
  <c r="AKT671" i="3" s="1"/>
  <c r="AKS671" i="3" s="1"/>
  <c r="AKR671" i="3" s="1"/>
  <c r="AKQ671" i="3" s="1"/>
  <c r="AKP671" i="3" s="1"/>
  <c r="AKO671" i="3" s="1"/>
  <c r="AKN671" i="3" s="1"/>
  <c r="AKM671" i="3" s="1"/>
  <c r="AKL671" i="3" s="1"/>
  <c r="AKK671" i="3" s="1"/>
  <c r="AKJ671" i="3" s="1"/>
  <c r="AKI671" i="3" s="1"/>
  <c r="AKH671" i="3" s="1"/>
  <c r="AKG671" i="3" s="1"/>
  <c r="AKF671" i="3" s="1"/>
  <c r="AKE671" i="3" s="1"/>
  <c r="AKD671" i="3" s="1"/>
  <c r="AKC671" i="3" s="1"/>
  <c r="AKB671" i="3" s="1"/>
  <c r="AKA671" i="3" s="1"/>
  <c r="AJZ671" i="3" s="1"/>
  <c r="AJY671" i="3" s="1"/>
  <c r="AJX671" i="3" s="1"/>
  <c r="AJW671" i="3" s="1"/>
  <c r="AJV671" i="3" s="1"/>
  <c r="AJU671" i="3" s="1"/>
  <c r="AJT671" i="3" s="1"/>
  <c r="AJS671" i="3" s="1"/>
  <c r="AJR671" i="3" s="1"/>
  <c r="AJQ671" i="3" s="1"/>
  <c r="AJP671" i="3" s="1"/>
  <c r="AJO671" i="3" s="1"/>
  <c r="AJN671" i="3" s="1"/>
  <c r="AJM671" i="3" s="1"/>
  <c r="AJL671" i="3" s="1"/>
  <c r="AJK671" i="3" s="1"/>
  <c r="AJJ671" i="3" s="1"/>
  <c r="AJI671" i="3" s="1"/>
  <c r="AJH671" i="3" s="1"/>
  <c r="AJG671" i="3" s="1"/>
  <c r="AJF671" i="3" s="1"/>
  <c r="AJE671" i="3" s="1"/>
  <c r="AJD671" i="3" s="1"/>
  <c r="AJC671" i="3" s="1"/>
  <c r="AJB671" i="3" s="1"/>
  <c r="AJA671" i="3" s="1"/>
  <c r="AIZ671" i="3" s="1"/>
  <c r="AIY671" i="3" s="1"/>
  <c r="AIX671" i="3" s="1"/>
  <c r="AIW671" i="3" s="1"/>
  <c r="AIV671" i="3" s="1"/>
  <c r="AIU671" i="3" s="1"/>
  <c r="AIT671" i="3" s="1"/>
  <c r="AIS671" i="3" s="1"/>
  <c r="AIR671" i="3" s="1"/>
  <c r="AIQ671" i="3" s="1"/>
  <c r="AIP671" i="3" s="1"/>
  <c r="AIO671" i="3" s="1"/>
  <c r="AIN671" i="3" s="1"/>
  <c r="AIM671" i="3" s="1"/>
  <c r="AIL671" i="3" s="1"/>
  <c r="AIK671" i="3" s="1"/>
  <c r="AIJ671" i="3" s="1"/>
  <c r="AII671" i="3" s="1"/>
  <c r="AIH671" i="3" s="1"/>
  <c r="AIG671" i="3" s="1"/>
  <c r="AIF671" i="3" s="1"/>
  <c r="AIE671" i="3" s="1"/>
  <c r="AID671" i="3" s="1"/>
  <c r="AIC671" i="3" s="1"/>
  <c r="AIB671" i="3" s="1"/>
  <c r="AIA671" i="3" s="1"/>
  <c r="AHZ671" i="3" s="1"/>
  <c r="AHY671" i="3" s="1"/>
  <c r="AHX671" i="3" s="1"/>
  <c r="AHW671" i="3" s="1"/>
  <c r="AHV671" i="3" s="1"/>
  <c r="AHU671" i="3" s="1"/>
  <c r="AHT671" i="3" s="1"/>
  <c r="AHS671" i="3" s="1"/>
  <c r="AHR671" i="3" s="1"/>
  <c r="AHQ671" i="3" s="1"/>
  <c r="AHP671" i="3" s="1"/>
  <c r="AHO671" i="3" s="1"/>
  <c r="AHN671" i="3" s="1"/>
  <c r="AHM671" i="3" s="1"/>
  <c r="AHL671" i="3" s="1"/>
  <c r="AHK671" i="3" s="1"/>
  <c r="AHJ671" i="3" s="1"/>
  <c r="AHI671" i="3" s="1"/>
  <c r="AHH671" i="3" s="1"/>
  <c r="AHG671" i="3" s="1"/>
  <c r="AHF671" i="3" s="1"/>
  <c r="AHE671" i="3" s="1"/>
  <c r="AHD671" i="3" s="1"/>
  <c r="AHC671" i="3" s="1"/>
  <c r="AHB671" i="3" s="1"/>
  <c r="AHA671" i="3" s="1"/>
  <c r="AGZ671" i="3" s="1"/>
  <c r="AGY671" i="3" s="1"/>
  <c r="AGX671" i="3" s="1"/>
  <c r="AGW671" i="3" s="1"/>
  <c r="AGV671" i="3" s="1"/>
  <c r="AGU671" i="3" s="1"/>
  <c r="AGT671" i="3" s="1"/>
  <c r="AGS671" i="3" s="1"/>
  <c r="AGR671" i="3" s="1"/>
  <c r="AGQ671" i="3" s="1"/>
  <c r="AGP671" i="3" s="1"/>
  <c r="AGO671" i="3" s="1"/>
  <c r="AGN671" i="3" s="1"/>
  <c r="AGM671" i="3" s="1"/>
  <c r="AGL671" i="3" s="1"/>
  <c r="AGK671" i="3" s="1"/>
  <c r="AGJ671" i="3" s="1"/>
  <c r="AGI671" i="3" s="1"/>
  <c r="AGH671" i="3" s="1"/>
  <c r="AGG671" i="3" s="1"/>
  <c r="AGF671" i="3" s="1"/>
  <c r="AGE671" i="3" s="1"/>
  <c r="AGD671" i="3" s="1"/>
  <c r="AGC671" i="3" s="1"/>
  <c r="AGB671" i="3" s="1"/>
  <c r="AGA671" i="3" s="1"/>
  <c r="AFZ671" i="3" s="1"/>
  <c r="AFY671" i="3" s="1"/>
  <c r="AFX671" i="3" s="1"/>
  <c r="AFW671" i="3" s="1"/>
  <c r="AFV671" i="3" s="1"/>
  <c r="AFU671" i="3" s="1"/>
  <c r="AFT671" i="3" s="1"/>
  <c r="AFS671" i="3" s="1"/>
  <c r="AFR671" i="3" s="1"/>
  <c r="AFQ671" i="3" s="1"/>
  <c r="AFP671" i="3" s="1"/>
  <c r="AFO671" i="3" s="1"/>
  <c r="AFN671" i="3" s="1"/>
  <c r="AFM671" i="3" s="1"/>
  <c r="AFL671" i="3" s="1"/>
  <c r="AFK671" i="3" s="1"/>
  <c r="AFJ671" i="3" s="1"/>
  <c r="AFI671" i="3" s="1"/>
  <c r="AFH671" i="3" s="1"/>
  <c r="AFG671" i="3" s="1"/>
  <c r="AFF671" i="3" s="1"/>
  <c r="AFE671" i="3" s="1"/>
  <c r="AFD671" i="3" s="1"/>
  <c r="AFC671" i="3" s="1"/>
  <c r="AFB671" i="3" s="1"/>
  <c r="AFA671" i="3" s="1"/>
  <c r="AEZ671" i="3" s="1"/>
  <c r="AEY671" i="3" s="1"/>
  <c r="AEX671" i="3" s="1"/>
  <c r="AEW671" i="3" s="1"/>
  <c r="AEV671" i="3" s="1"/>
  <c r="AEU671" i="3" s="1"/>
  <c r="AET671" i="3" s="1"/>
  <c r="AES671" i="3" s="1"/>
  <c r="AER671" i="3" s="1"/>
  <c r="AEQ671" i="3" s="1"/>
  <c r="AEP671" i="3" s="1"/>
  <c r="AEO671" i="3" s="1"/>
  <c r="AEN671" i="3" s="1"/>
  <c r="AEM671" i="3" s="1"/>
  <c r="AEL671" i="3" s="1"/>
  <c r="AEK671" i="3" s="1"/>
  <c r="AEJ671" i="3" s="1"/>
  <c r="AEI671" i="3" s="1"/>
  <c r="AEH671" i="3" s="1"/>
  <c r="AEG671" i="3" s="1"/>
  <c r="AEF671" i="3" s="1"/>
  <c r="AEE671" i="3" s="1"/>
  <c r="AED671" i="3" s="1"/>
  <c r="AEC671" i="3" s="1"/>
  <c r="AEB671" i="3" s="1"/>
  <c r="AEA671" i="3" s="1"/>
  <c r="ADZ671" i="3" s="1"/>
  <c r="ADY671" i="3" s="1"/>
  <c r="ADX671" i="3" s="1"/>
  <c r="ADW671" i="3" s="1"/>
  <c r="ADV671" i="3" s="1"/>
  <c r="ADU671" i="3" s="1"/>
  <c r="ADT671" i="3" s="1"/>
  <c r="ADS671" i="3" s="1"/>
  <c r="ADR671" i="3" s="1"/>
  <c r="ADQ671" i="3" s="1"/>
  <c r="ADP671" i="3" s="1"/>
  <c r="ADO671" i="3" s="1"/>
  <c r="ADN671" i="3" s="1"/>
  <c r="ADM671" i="3" s="1"/>
  <c r="ADL671" i="3" s="1"/>
  <c r="ADK671" i="3" s="1"/>
  <c r="ADJ671" i="3" s="1"/>
  <c r="ADI671" i="3" s="1"/>
  <c r="ADH671" i="3" s="1"/>
  <c r="ADG671" i="3" s="1"/>
  <c r="ADF671" i="3" s="1"/>
  <c r="ADE671" i="3" s="1"/>
  <c r="ADD671" i="3" s="1"/>
  <c r="ADC671" i="3" s="1"/>
  <c r="ADB671" i="3" s="1"/>
  <c r="ADA671" i="3" s="1"/>
  <c r="ACZ671" i="3" s="1"/>
  <c r="ACY671" i="3" s="1"/>
  <c r="ACX671" i="3" s="1"/>
  <c r="ACW671" i="3" s="1"/>
  <c r="ACV671" i="3" s="1"/>
  <c r="ACU671" i="3" s="1"/>
  <c r="ACT671" i="3" s="1"/>
  <c r="ACS671" i="3" s="1"/>
  <c r="ACR671" i="3" s="1"/>
  <c r="ACQ671" i="3" s="1"/>
  <c r="ACP671" i="3" s="1"/>
  <c r="ACO671" i="3" s="1"/>
  <c r="ACN671" i="3" s="1"/>
  <c r="ACM671" i="3" s="1"/>
  <c r="ACL671" i="3" s="1"/>
  <c r="ACK671" i="3" s="1"/>
  <c r="ACJ671" i="3" s="1"/>
  <c r="ACI671" i="3" s="1"/>
  <c r="ACH671" i="3" s="1"/>
  <c r="ACG671" i="3" s="1"/>
  <c r="ACF671" i="3" s="1"/>
  <c r="ACE671" i="3" s="1"/>
  <c r="ACD671" i="3" s="1"/>
  <c r="ACC671" i="3" s="1"/>
  <c r="ACB671" i="3" s="1"/>
  <c r="ACA671" i="3" s="1"/>
  <c r="ABZ671" i="3" s="1"/>
  <c r="ABY671" i="3" s="1"/>
  <c r="ABX671" i="3" s="1"/>
  <c r="ABW671" i="3" s="1"/>
  <c r="ABV671" i="3" s="1"/>
  <c r="ABU671" i="3" s="1"/>
  <c r="ABT671" i="3" s="1"/>
  <c r="ABS671" i="3" s="1"/>
  <c r="ABR671" i="3" s="1"/>
  <c r="ABQ671" i="3" s="1"/>
  <c r="ABP671" i="3" s="1"/>
  <c r="ABO671" i="3" s="1"/>
  <c r="ABN671" i="3" s="1"/>
  <c r="ABM671" i="3" s="1"/>
  <c r="ABL671" i="3" s="1"/>
  <c r="ABK671" i="3" s="1"/>
  <c r="ABJ671" i="3" s="1"/>
  <c r="ABI671" i="3" s="1"/>
  <c r="ABH671" i="3" s="1"/>
  <c r="ABG671" i="3" s="1"/>
  <c r="ABF671" i="3" s="1"/>
  <c r="ABE671" i="3" s="1"/>
  <c r="ABD671" i="3" s="1"/>
  <c r="ABC671" i="3" s="1"/>
  <c r="ABB671" i="3" s="1"/>
  <c r="ABA671" i="3" s="1"/>
  <c r="AAZ671" i="3" s="1"/>
  <c r="AAY671" i="3" s="1"/>
  <c r="AAX671" i="3" s="1"/>
  <c r="AAW671" i="3" s="1"/>
  <c r="AAV671" i="3" s="1"/>
  <c r="AAU671" i="3" s="1"/>
  <c r="AAT671" i="3" s="1"/>
  <c r="AAS671" i="3" s="1"/>
  <c r="AAR671" i="3" s="1"/>
  <c r="AAQ671" i="3" s="1"/>
  <c r="AAP671" i="3" s="1"/>
  <c r="AAO671" i="3" s="1"/>
  <c r="AAN671" i="3" s="1"/>
  <c r="AAM671" i="3" s="1"/>
  <c r="AAL671" i="3" s="1"/>
  <c r="AAK671" i="3" s="1"/>
  <c r="AAJ671" i="3" s="1"/>
  <c r="AAI671" i="3" s="1"/>
  <c r="AAH671" i="3" s="1"/>
  <c r="AAG671" i="3" s="1"/>
  <c r="AAF671" i="3" s="1"/>
  <c r="AAE671" i="3" s="1"/>
  <c r="AAD671" i="3" s="1"/>
  <c r="AAC671" i="3" s="1"/>
  <c r="AAB671" i="3" s="1"/>
  <c r="AAA671" i="3" s="1"/>
  <c r="ZZ671" i="3" s="1"/>
  <c r="ZY671" i="3" s="1"/>
  <c r="ZX671" i="3" s="1"/>
  <c r="ZW671" i="3" s="1"/>
  <c r="ZV671" i="3" s="1"/>
  <c r="ZU671" i="3" s="1"/>
  <c r="ZT671" i="3" s="1"/>
  <c r="ZS671" i="3" s="1"/>
  <c r="ZR671" i="3" s="1"/>
  <c r="ZQ671" i="3" s="1"/>
  <c r="ZP671" i="3" s="1"/>
  <c r="ZO671" i="3" s="1"/>
  <c r="ZN671" i="3" s="1"/>
  <c r="ZM671" i="3" s="1"/>
  <c r="ZL671" i="3" s="1"/>
  <c r="ZK671" i="3" s="1"/>
  <c r="ZJ671" i="3" s="1"/>
  <c r="ZI671" i="3" s="1"/>
  <c r="ZH671" i="3" s="1"/>
  <c r="ZG671" i="3" s="1"/>
  <c r="ZF671" i="3" s="1"/>
  <c r="ZE671" i="3" s="1"/>
  <c r="ZD671" i="3" s="1"/>
  <c r="ZC671" i="3" s="1"/>
  <c r="ZB671" i="3" s="1"/>
  <c r="ZA671" i="3" s="1"/>
  <c r="YZ671" i="3" s="1"/>
  <c r="YY671" i="3" s="1"/>
  <c r="YX671" i="3" s="1"/>
  <c r="YW671" i="3" s="1"/>
  <c r="YV671" i="3" s="1"/>
  <c r="YU671" i="3" s="1"/>
  <c r="YT671" i="3" s="1"/>
  <c r="YS671" i="3" s="1"/>
  <c r="YR671" i="3" s="1"/>
  <c r="YQ671" i="3" s="1"/>
  <c r="YP671" i="3" s="1"/>
  <c r="YO671" i="3" s="1"/>
  <c r="YN671" i="3" s="1"/>
  <c r="YM671" i="3" s="1"/>
  <c r="YL671" i="3" s="1"/>
  <c r="YK671" i="3" s="1"/>
  <c r="YJ671" i="3" s="1"/>
  <c r="YI671" i="3" s="1"/>
  <c r="YH671" i="3" s="1"/>
  <c r="YG671" i="3" s="1"/>
  <c r="YF671" i="3" s="1"/>
  <c r="YE671" i="3" s="1"/>
  <c r="YD671" i="3" s="1"/>
  <c r="YC671" i="3" s="1"/>
  <c r="YB671" i="3" s="1"/>
  <c r="YA671" i="3" s="1"/>
  <c r="XZ671" i="3" s="1"/>
  <c r="XY671" i="3" s="1"/>
  <c r="XX671" i="3" s="1"/>
  <c r="XW671" i="3" s="1"/>
  <c r="XV671" i="3" s="1"/>
  <c r="XU671" i="3" s="1"/>
  <c r="XT671" i="3" s="1"/>
  <c r="XS671" i="3" s="1"/>
  <c r="XR671" i="3" s="1"/>
  <c r="XQ671" i="3" s="1"/>
  <c r="XP671" i="3" s="1"/>
  <c r="XO671" i="3" s="1"/>
  <c r="XN671" i="3" s="1"/>
  <c r="XM671" i="3" s="1"/>
  <c r="XL671" i="3" s="1"/>
  <c r="XK671" i="3" s="1"/>
  <c r="XJ671" i="3" s="1"/>
  <c r="XI671" i="3" s="1"/>
  <c r="XH671" i="3" s="1"/>
  <c r="XG671" i="3" s="1"/>
  <c r="XF671" i="3" s="1"/>
  <c r="XE671" i="3" s="1"/>
  <c r="XD671" i="3" s="1"/>
  <c r="XC671" i="3" s="1"/>
  <c r="XB671" i="3" s="1"/>
  <c r="XA671" i="3" s="1"/>
  <c r="WZ671" i="3" s="1"/>
  <c r="WY671" i="3" s="1"/>
  <c r="WX671" i="3" s="1"/>
  <c r="WW671" i="3" s="1"/>
  <c r="WV671" i="3" s="1"/>
  <c r="WU671" i="3" s="1"/>
  <c r="WT671" i="3" s="1"/>
  <c r="WS671" i="3" s="1"/>
  <c r="WR671" i="3" s="1"/>
  <c r="WQ671" i="3" s="1"/>
  <c r="WP671" i="3" s="1"/>
  <c r="WO671" i="3" s="1"/>
  <c r="WN671" i="3" s="1"/>
  <c r="WM671" i="3" s="1"/>
  <c r="WL671" i="3" s="1"/>
  <c r="WK671" i="3" s="1"/>
  <c r="WJ671" i="3" s="1"/>
  <c r="WI671" i="3" s="1"/>
  <c r="WH671" i="3" s="1"/>
  <c r="WG671" i="3" s="1"/>
  <c r="WF671" i="3" s="1"/>
  <c r="WE671" i="3" s="1"/>
  <c r="WD671" i="3" s="1"/>
  <c r="WC671" i="3" s="1"/>
  <c r="WB671" i="3" s="1"/>
  <c r="WA671" i="3" s="1"/>
  <c r="VZ671" i="3" s="1"/>
  <c r="VY671" i="3" s="1"/>
  <c r="VX671" i="3" s="1"/>
  <c r="VW671" i="3" s="1"/>
  <c r="VV671" i="3" s="1"/>
  <c r="VU671" i="3" s="1"/>
  <c r="VT671" i="3" s="1"/>
  <c r="VS671" i="3" s="1"/>
  <c r="VR671" i="3" s="1"/>
  <c r="VQ671" i="3" s="1"/>
  <c r="VP671" i="3" s="1"/>
  <c r="VO671" i="3" s="1"/>
  <c r="VN671" i="3" s="1"/>
  <c r="VM671" i="3" s="1"/>
  <c r="VL671" i="3" s="1"/>
  <c r="VK671" i="3" s="1"/>
  <c r="VJ671" i="3" s="1"/>
  <c r="VI671" i="3" s="1"/>
  <c r="VH671" i="3" s="1"/>
  <c r="VG671" i="3" s="1"/>
  <c r="VF671" i="3" s="1"/>
  <c r="VE671" i="3" s="1"/>
  <c r="VD671" i="3" s="1"/>
  <c r="VC671" i="3" s="1"/>
  <c r="VB671" i="3" s="1"/>
  <c r="VA671" i="3" s="1"/>
  <c r="UZ671" i="3" s="1"/>
  <c r="UY671" i="3" s="1"/>
  <c r="UX671" i="3" s="1"/>
  <c r="UW671" i="3" s="1"/>
  <c r="UV671" i="3" s="1"/>
  <c r="UU671" i="3" s="1"/>
  <c r="UT671" i="3" s="1"/>
  <c r="US671" i="3" s="1"/>
  <c r="UR671" i="3" s="1"/>
  <c r="UQ671" i="3" s="1"/>
  <c r="UP671" i="3" s="1"/>
  <c r="UO671" i="3" s="1"/>
  <c r="UN671" i="3" s="1"/>
  <c r="UM671" i="3" s="1"/>
  <c r="UL671" i="3" s="1"/>
  <c r="UK671" i="3" s="1"/>
  <c r="UJ671" i="3" s="1"/>
  <c r="UI671" i="3" s="1"/>
  <c r="UH671" i="3" s="1"/>
  <c r="UG671" i="3" s="1"/>
  <c r="UF671" i="3" s="1"/>
  <c r="UE671" i="3" s="1"/>
  <c r="UD671" i="3" s="1"/>
  <c r="UC671" i="3" s="1"/>
  <c r="UB671" i="3" s="1"/>
  <c r="UA671" i="3" s="1"/>
  <c r="TZ671" i="3" s="1"/>
  <c r="TY671" i="3" s="1"/>
  <c r="TX671" i="3" s="1"/>
  <c r="TW671" i="3" s="1"/>
  <c r="TV671" i="3" s="1"/>
  <c r="TU671" i="3" s="1"/>
  <c r="TT671" i="3" s="1"/>
  <c r="TS671" i="3" s="1"/>
  <c r="TR671" i="3" s="1"/>
  <c r="TQ671" i="3" s="1"/>
  <c r="TP671" i="3" s="1"/>
  <c r="TO671" i="3" s="1"/>
  <c r="TN671" i="3" s="1"/>
  <c r="TM671" i="3" s="1"/>
  <c r="TL671" i="3" s="1"/>
  <c r="TK671" i="3" s="1"/>
  <c r="TJ671" i="3" s="1"/>
  <c r="TI671" i="3" s="1"/>
  <c r="TH671" i="3" s="1"/>
  <c r="TG671" i="3" s="1"/>
  <c r="TF671" i="3" s="1"/>
  <c r="TE671" i="3" s="1"/>
  <c r="TD671" i="3" s="1"/>
  <c r="TC671" i="3" s="1"/>
  <c r="TB671" i="3" s="1"/>
  <c r="TA671" i="3" s="1"/>
  <c r="SZ671" i="3" s="1"/>
  <c r="SY671" i="3" s="1"/>
  <c r="SX671" i="3" s="1"/>
  <c r="SW671" i="3" s="1"/>
  <c r="SV671" i="3" s="1"/>
  <c r="SU671" i="3" s="1"/>
  <c r="ST671" i="3" s="1"/>
  <c r="SS671" i="3" s="1"/>
  <c r="SR671" i="3" s="1"/>
  <c r="SQ671" i="3" s="1"/>
  <c r="SP671" i="3" s="1"/>
  <c r="SO671" i="3" s="1"/>
  <c r="SN671" i="3" s="1"/>
  <c r="SM671" i="3" s="1"/>
  <c r="SL671" i="3" s="1"/>
  <c r="SK671" i="3" s="1"/>
  <c r="SJ671" i="3" s="1"/>
  <c r="SI671" i="3" s="1"/>
  <c r="SH671" i="3" s="1"/>
  <c r="SG671" i="3" s="1"/>
  <c r="SF671" i="3" s="1"/>
  <c r="SE671" i="3" s="1"/>
  <c r="SD671" i="3" s="1"/>
  <c r="SC671" i="3" s="1"/>
  <c r="SB671" i="3" s="1"/>
  <c r="SA671" i="3" s="1"/>
  <c r="RZ671" i="3" s="1"/>
  <c r="RY671" i="3" s="1"/>
  <c r="RX671" i="3" s="1"/>
  <c r="RW671" i="3" s="1"/>
  <c r="RV671" i="3" s="1"/>
  <c r="RU671" i="3" s="1"/>
  <c r="RT671" i="3" s="1"/>
  <c r="RS671" i="3" s="1"/>
  <c r="RR671" i="3" s="1"/>
  <c r="RQ671" i="3" s="1"/>
  <c r="RP671" i="3" s="1"/>
  <c r="RO671" i="3" s="1"/>
  <c r="RN671" i="3" s="1"/>
  <c r="RM671" i="3" s="1"/>
  <c r="RL671" i="3" s="1"/>
  <c r="RK671" i="3" s="1"/>
  <c r="RJ671" i="3" s="1"/>
  <c r="RI671" i="3" s="1"/>
  <c r="RH671" i="3" s="1"/>
  <c r="RG671" i="3" s="1"/>
  <c r="RF671" i="3" s="1"/>
  <c r="RE671" i="3" s="1"/>
  <c r="RD671" i="3" s="1"/>
  <c r="RC671" i="3" s="1"/>
  <c r="RB671" i="3" s="1"/>
  <c r="RA671" i="3" s="1"/>
  <c r="QZ671" i="3" s="1"/>
  <c r="QY671" i="3" s="1"/>
  <c r="QX671" i="3" s="1"/>
  <c r="QW671" i="3" s="1"/>
  <c r="QV671" i="3" s="1"/>
  <c r="QU671" i="3" s="1"/>
  <c r="QT671" i="3" s="1"/>
  <c r="QS671" i="3" s="1"/>
  <c r="QR671" i="3" s="1"/>
  <c r="QQ671" i="3" s="1"/>
  <c r="QP671" i="3" s="1"/>
  <c r="QO671" i="3" s="1"/>
  <c r="QN671" i="3" s="1"/>
  <c r="QM671" i="3" s="1"/>
  <c r="QL671" i="3" s="1"/>
  <c r="QK671" i="3" s="1"/>
  <c r="QJ671" i="3" s="1"/>
  <c r="QI671" i="3" s="1"/>
  <c r="QH671" i="3" s="1"/>
  <c r="QG671" i="3" s="1"/>
  <c r="QF671" i="3" s="1"/>
  <c r="QE671" i="3" s="1"/>
  <c r="QD671" i="3" s="1"/>
  <c r="QC671" i="3" s="1"/>
  <c r="QB671" i="3" s="1"/>
  <c r="QA671" i="3" s="1"/>
  <c r="PZ671" i="3" s="1"/>
  <c r="PY671" i="3" s="1"/>
  <c r="PX671" i="3" s="1"/>
  <c r="PW671" i="3" s="1"/>
  <c r="PV671" i="3" s="1"/>
  <c r="PU671" i="3" s="1"/>
  <c r="PT671" i="3" s="1"/>
  <c r="PS671" i="3" s="1"/>
  <c r="PR671" i="3" s="1"/>
  <c r="PQ671" i="3" s="1"/>
  <c r="PP671" i="3" s="1"/>
  <c r="PO671" i="3" s="1"/>
  <c r="PN671" i="3" s="1"/>
  <c r="PM671" i="3" s="1"/>
  <c r="PL671" i="3" s="1"/>
  <c r="PK671" i="3" s="1"/>
  <c r="PJ671" i="3" s="1"/>
  <c r="PI671" i="3" s="1"/>
  <c r="PH671" i="3" s="1"/>
  <c r="PG671" i="3" s="1"/>
  <c r="PF671" i="3" s="1"/>
  <c r="PE671" i="3" s="1"/>
  <c r="PD671" i="3" s="1"/>
  <c r="PC671" i="3" s="1"/>
  <c r="PB671" i="3" s="1"/>
  <c r="PA671" i="3" s="1"/>
  <c r="OZ671" i="3" s="1"/>
  <c r="OY671" i="3" s="1"/>
  <c r="OX671" i="3" s="1"/>
  <c r="OW671" i="3" s="1"/>
  <c r="OV671" i="3" s="1"/>
  <c r="OU671" i="3" s="1"/>
  <c r="OT671" i="3" s="1"/>
  <c r="OS671" i="3" s="1"/>
  <c r="OR671" i="3" s="1"/>
  <c r="OQ671" i="3" s="1"/>
  <c r="OP671" i="3" s="1"/>
  <c r="OO671" i="3" s="1"/>
  <c r="ON671" i="3" s="1"/>
  <c r="OM671" i="3" s="1"/>
  <c r="OL671" i="3" s="1"/>
  <c r="OK671" i="3" s="1"/>
  <c r="OJ671" i="3" s="1"/>
  <c r="OI671" i="3" s="1"/>
  <c r="OH671" i="3" s="1"/>
  <c r="OG671" i="3" s="1"/>
  <c r="OF671" i="3" s="1"/>
  <c r="OE671" i="3" s="1"/>
  <c r="OD671" i="3" s="1"/>
  <c r="OC671" i="3" s="1"/>
  <c r="OB671" i="3" s="1"/>
  <c r="OA671" i="3" s="1"/>
  <c r="NZ671" i="3" s="1"/>
  <c r="NY671" i="3" s="1"/>
  <c r="NX671" i="3" s="1"/>
  <c r="NW671" i="3" s="1"/>
  <c r="NV671" i="3" s="1"/>
  <c r="NU671" i="3" s="1"/>
  <c r="NT671" i="3" s="1"/>
  <c r="NS671" i="3" s="1"/>
  <c r="NR671" i="3" s="1"/>
  <c r="NQ671" i="3" s="1"/>
  <c r="NP671" i="3" s="1"/>
  <c r="NO671" i="3" s="1"/>
  <c r="NN671" i="3" s="1"/>
  <c r="NM671" i="3" s="1"/>
  <c r="NL671" i="3" s="1"/>
  <c r="NK671" i="3" s="1"/>
  <c r="NJ671" i="3" s="1"/>
  <c r="NI671" i="3" s="1"/>
  <c r="NH671" i="3" s="1"/>
  <c r="NG671" i="3" s="1"/>
  <c r="NF671" i="3" s="1"/>
  <c r="NE671" i="3" s="1"/>
  <c r="ND671" i="3" s="1"/>
  <c r="NC671" i="3" s="1"/>
  <c r="NB671" i="3" s="1"/>
  <c r="NA671" i="3" s="1"/>
  <c r="MZ671" i="3" s="1"/>
  <c r="MY671" i="3" s="1"/>
  <c r="MX671" i="3" s="1"/>
  <c r="MW671" i="3" s="1"/>
  <c r="MV671" i="3" s="1"/>
  <c r="MU671" i="3" s="1"/>
  <c r="MT671" i="3" s="1"/>
  <c r="MS671" i="3" s="1"/>
  <c r="MR671" i="3" s="1"/>
  <c r="MQ671" i="3" s="1"/>
  <c r="MP671" i="3" s="1"/>
  <c r="MO671" i="3" s="1"/>
  <c r="MN671" i="3" s="1"/>
  <c r="MM671" i="3" s="1"/>
  <c r="ML671" i="3" s="1"/>
  <c r="MK671" i="3" s="1"/>
  <c r="MJ671" i="3" s="1"/>
  <c r="MI671" i="3" s="1"/>
  <c r="MH671" i="3" s="1"/>
  <c r="MG671" i="3" s="1"/>
  <c r="MF671" i="3" s="1"/>
  <c r="ME671" i="3" s="1"/>
  <c r="MD671" i="3" s="1"/>
  <c r="MC671" i="3" s="1"/>
  <c r="MB671" i="3" s="1"/>
  <c r="MA671" i="3" s="1"/>
  <c r="LZ671" i="3" s="1"/>
  <c r="LY671" i="3" s="1"/>
  <c r="LX671" i="3" s="1"/>
  <c r="LW671" i="3" s="1"/>
  <c r="LV671" i="3" s="1"/>
  <c r="LU671" i="3" s="1"/>
  <c r="LT671" i="3" s="1"/>
  <c r="LS671" i="3" s="1"/>
  <c r="LR671" i="3" s="1"/>
  <c r="LQ671" i="3" s="1"/>
  <c r="LP671" i="3" s="1"/>
  <c r="LO671" i="3" s="1"/>
  <c r="LN671" i="3" s="1"/>
  <c r="LM671" i="3" s="1"/>
  <c r="LL671" i="3" s="1"/>
  <c r="LK671" i="3" s="1"/>
  <c r="LJ671" i="3" s="1"/>
  <c r="LI671" i="3" s="1"/>
  <c r="LH671" i="3" s="1"/>
  <c r="LG671" i="3" s="1"/>
  <c r="LF671" i="3" s="1"/>
  <c r="LE671" i="3" s="1"/>
  <c r="LD671" i="3" s="1"/>
  <c r="LC671" i="3" s="1"/>
  <c r="LB671" i="3" s="1"/>
  <c r="LA671" i="3" s="1"/>
  <c r="KZ671" i="3" s="1"/>
  <c r="KY671" i="3" s="1"/>
  <c r="KX671" i="3" s="1"/>
  <c r="KW671" i="3" s="1"/>
  <c r="KV671" i="3" s="1"/>
  <c r="KU671" i="3" s="1"/>
  <c r="KT671" i="3" s="1"/>
  <c r="KS671" i="3" s="1"/>
  <c r="KR671" i="3" s="1"/>
  <c r="KQ671" i="3" s="1"/>
  <c r="KP671" i="3" s="1"/>
  <c r="KO671" i="3" s="1"/>
  <c r="KN671" i="3" s="1"/>
  <c r="KM671" i="3" s="1"/>
  <c r="KL671" i="3" s="1"/>
  <c r="KK671" i="3" s="1"/>
  <c r="KJ671" i="3" s="1"/>
  <c r="KI671" i="3" s="1"/>
  <c r="KH671" i="3" s="1"/>
  <c r="KG671" i="3" s="1"/>
  <c r="KF671" i="3" s="1"/>
  <c r="KE671" i="3" s="1"/>
  <c r="KD671" i="3" s="1"/>
  <c r="KC671" i="3" s="1"/>
  <c r="KB671" i="3" s="1"/>
  <c r="KA671" i="3" s="1"/>
  <c r="JZ671" i="3" s="1"/>
  <c r="JY671" i="3" s="1"/>
  <c r="JX671" i="3" s="1"/>
  <c r="JW671" i="3" s="1"/>
  <c r="JV671" i="3" s="1"/>
  <c r="JU671" i="3" s="1"/>
  <c r="JT671" i="3" s="1"/>
  <c r="JS671" i="3" s="1"/>
  <c r="JR671" i="3" s="1"/>
  <c r="JQ671" i="3" s="1"/>
  <c r="JP671" i="3" s="1"/>
  <c r="JO671" i="3" s="1"/>
  <c r="JN671" i="3" s="1"/>
  <c r="JM671" i="3" s="1"/>
  <c r="JL671" i="3" s="1"/>
  <c r="JK671" i="3" s="1"/>
  <c r="JJ671" i="3" s="1"/>
  <c r="JI671" i="3" s="1"/>
  <c r="JH671" i="3" s="1"/>
  <c r="JG671" i="3" s="1"/>
  <c r="JF671" i="3" s="1"/>
  <c r="JE671" i="3" s="1"/>
  <c r="JD671" i="3" s="1"/>
  <c r="JC671" i="3" s="1"/>
  <c r="JB671" i="3" s="1"/>
  <c r="JA671" i="3" s="1"/>
  <c r="IZ671" i="3" s="1"/>
  <c r="IY671" i="3" s="1"/>
  <c r="IX671" i="3" s="1"/>
  <c r="IW671" i="3" s="1"/>
  <c r="IV671" i="3" s="1"/>
  <c r="IU671" i="3" s="1"/>
  <c r="IT671" i="3" s="1"/>
  <c r="IS671" i="3" s="1"/>
  <c r="IR671" i="3" s="1"/>
  <c r="IQ671" i="3" s="1"/>
  <c r="IP671" i="3" s="1"/>
  <c r="IO671" i="3" s="1"/>
  <c r="IN671" i="3" s="1"/>
  <c r="IM671" i="3" s="1"/>
  <c r="IL671" i="3" s="1"/>
  <c r="IK671" i="3" s="1"/>
  <c r="IJ671" i="3" s="1"/>
  <c r="II671" i="3" s="1"/>
  <c r="IH671" i="3" s="1"/>
  <c r="IG671" i="3" s="1"/>
  <c r="IF671" i="3" s="1"/>
  <c r="IE671" i="3" s="1"/>
  <c r="ID671" i="3" s="1"/>
  <c r="IC671" i="3" s="1"/>
  <c r="IB671" i="3" s="1"/>
  <c r="IA671" i="3" s="1"/>
  <c r="HZ671" i="3" s="1"/>
  <c r="HY671" i="3" s="1"/>
  <c r="HX671" i="3" s="1"/>
  <c r="HW671" i="3" s="1"/>
  <c r="HV671" i="3" s="1"/>
  <c r="HU671" i="3" s="1"/>
  <c r="HT671" i="3" s="1"/>
  <c r="HS671" i="3" s="1"/>
  <c r="HR671" i="3" s="1"/>
  <c r="HQ671" i="3" s="1"/>
  <c r="HP671" i="3" s="1"/>
  <c r="HO671" i="3" s="1"/>
  <c r="HN671" i="3" s="1"/>
  <c r="HM671" i="3" s="1"/>
  <c r="HL671" i="3" s="1"/>
  <c r="HK671" i="3" s="1"/>
  <c r="HJ671" i="3" s="1"/>
  <c r="HI671" i="3" s="1"/>
  <c r="HH671" i="3" s="1"/>
  <c r="HG671" i="3" s="1"/>
  <c r="HF671" i="3" s="1"/>
  <c r="HE671" i="3" s="1"/>
  <c r="HD671" i="3" s="1"/>
  <c r="HC671" i="3" s="1"/>
  <c r="HB671" i="3" s="1"/>
  <c r="HA671" i="3" s="1"/>
  <c r="GZ671" i="3" s="1"/>
  <c r="GY671" i="3" s="1"/>
  <c r="GX671" i="3" s="1"/>
  <c r="GW671" i="3" s="1"/>
  <c r="GV671" i="3" s="1"/>
  <c r="GU671" i="3" s="1"/>
  <c r="GT671" i="3" s="1"/>
  <c r="GS671" i="3" s="1"/>
  <c r="GR671" i="3" s="1"/>
  <c r="GQ671" i="3" s="1"/>
  <c r="GP671" i="3" s="1"/>
  <c r="GO671" i="3" s="1"/>
  <c r="GN671" i="3" s="1"/>
  <c r="GM671" i="3" s="1"/>
  <c r="GL671" i="3" s="1"/>
  <c r="GK671" i="3" s="1"/>
  <c r="GJ671" i="3" s="1"/>
  <c r="GI671" i="3" s="1"/>
  <c r="GH671" i="3" s="1"/>
  <c r="GG671" i="3" s="1"/>
  <c r="GF671" i="3" s="1"/>
  <c r="GE671" i="3" s="1"/>
  <c r="GD671" i="3" s="1"/>
  <c r="GC671" i="3" s="1"/>
  <c r="GB671" i="3" s="1"/>
  <c r="GA671" i="3" s="1"/>
  <c r="FZ671" i="3" s="1"/>
  <c r="FY671" i="3" s="1"/>
  <c r="FX671" i="3" s="1"/>
  <c r="FW671" i="3" s="1"/>
  <c r="FV671" i="3" s="1"/>
  <c r="FU671" i="3" s="1"/>
  <c r="FT671" i="3" s="1"/>
  <c r="FS671" i="3" s="1"/>
  <c r="FR671" i="3" s="1"/>
  <c r="FQ671" i="3" s="1"/>
  <c r="FP671" i="3" s="1"/>
  <c r="FO671" i="3" s="1"/>
  <c r="FN671" i="3" s="1"/>
  <c r="FM671" i="3" s="1"/>
  <c r="FL671" i="3" s="1"/>
  <c r="FK671" i="3" s="1"/>
  <c r="FJ671" i="3" s="1"/>
  <c r="FI671" i="3" s="1"/>
  <c r="FH671" i="3" s="1"/>
  <c r="FG671" i="3" s="1"/>
  <c r="FF671" i="3" s="1"/>
  <c r="FE671" i="3" s="1"/>
  <c r="FD671" i="3" s="1"/>
  <c r="FC671" i="3" s="1"/>
  <c r="FB671" i="3" s="1"/>
  <c r="FA671" i="3" s="1"/>
  <c r="EZ671" i="3" s="1"/>
  <c r="EY671" i="3" s="1"/>
  <c r="EX671" i="3" s="1"/>
  <c r="EW671" i="3" s="1"/>
  <c r="EV671" i="3" s="1"/>
  <c r="EU671" i="3" s="1"/>
  <c r="ET671" i="3" s="1"/>
  <c r="ES671" i="3" s="1"/>
  <c r="ER671" i="3" s="1"/>
  <c r="EQ671" i="3" s="1"/>
  <c r="EP671" i="3" s="1"/>
  <c r="EO671" i="3" s="1"/>
  <c r="EN671" i="3" s="1"/>
  <c r="EM671" i="3" s="1"/>
  <c r="EL671" i="3" s="1"/>
  <c r="EK671" i="3" s="1"/>
  <c r="EJ671" i="3" s="1"/>
  <c r="EI671" i="3" s="1"/>
  <c r="EH671" i="3" s="1"/>
  <c r="EG671" i="3" s="1"/>
  <c r="EF671" i="3" s="1"/>
  <c r="EE671" i="3" s="1"/>
  <c r="ED671" i="3" s="1"/>
  <c r="EC671" i="3" s="1"/>
  <c r="EB671" i="3" s="1"/>
  <c r="EA671" i="3" s="1"/>
  <c r="DZ671" i="3" s="1"/>
  <c r="DY671" i="3" s="1"/>
  <c r="DX671" i="3" s="1"/>
  <c r="DW671" i="3" s="1"/>
  <c r="DV671" i="3" s="1"/>
  <c r="DU671" i="3" s="1"/>
  <c r="DT671" i="3" s="1"/>
  <c r="DS671" i="3" s="1"/>
  <c r="DR671" i="3" s="1"/>
  <c r="DQ671" i="3" s="1"/>
  <c r="DP671" i="3" s="1"/>
  <c r="DO671" i="3" s="1"/>
  <c r="DN671" i="3" s="1"/>
  <c r="DM671" i="3" s="1"/>
  <c r="DL671" i="3" s="1"/>
  <c r="DK671" i="3" s="1"/>
  <c r="DJ671" i="3" s="1"/>
  <c r="DI671" i="3" s="1"/>
  <c r="DH671" i="3" s="1"/>
  <c r="DG671" i="3" s="1"/>
  <c r="DF671" i="3" s="1"/>
  <c r="DE671" i="3" s="1"/>
  <c r="DD671" i="3" s="1"/>
  <c r="DC671" i="3" s="1"/>
  <c r="DB671" i="3" s="1"/>
  <c r="DA671" i="3" s="1"/>
  <c r="CZ671" i="3" s="1"/>
  <c r="CY671" i="3" s="1"/>
  <c r="CX671" i="3" s="1"/>
  <c r="CW671" i="3" s="1"/>
  <c r="CV671" i="3" s="1"/>
  <c r="CU671" i="3" s="1"/>
  <c r="CT671" i="3" s="1"/>
  <c r="CS671" i="3" s="1"/>
  <c r="CR671" i="3" s="1"/>
  <c r="CQ671" i="3" s="1"/>
  <c r="CP671" i="3" s="1"/>
  <c r="CO671" i="3" s="1"/>
  <c r="CN671" i="3" s="1"/>
  <c r="CM671" i="3" s="1"/>
  <c r="CL671" i="3" s="1"/>
  <c r="CK671" i="3" s="1"/>
  <c r="CJ671" i="3" s="1"/>
  <c r="CI671" i="3" s="1"/>
  <c r="CH671" i="3" s="1"/>
  <c r="CG671" i="3" s="1"/>
  <c r="CF671" i="3" s="1"/>
  <c r="CE671" i="3" s="1"/>
  <c r="CD671" i="3" s="1"/>
  <c r="CC671" i="3" s="1"/>
  <c r="CB671" i="3" s="1"/>
  <c r="CA671" i="3" s="1"/>
  <c r="BZ671" i="3" s="1"/>
  <c r="BY671" i="3" s="1"/>
  <c r="BX671" i="3" s="1"/>
  <c r="BW671" i="3" s="1"/>
  <c r="BV671" i="3" s="1"/>
  <c r="BU671" i="3" s="1"/>
  <c r="BT671" i="3" s="1"/>
  <c r="BS671" i="3" s="1"/>
  <c r="BR671" i="3" s="1"/>
  <c r="BQ671" i="3" s="1"/>
  <c r="BP671" i="3" s="1"/>
  <c r="BO671" i="3" s="1"/>
  <c r="BN671" i="3" s="1"/>
  <c r="BM671" i="3" s="1"/>
  <c r="BL671" i="3" s="1"/>
  <c r="BK671" i="3" s="1"/>
  <c r="BJ671" i="3" s="1"/>
  <c r="BI671" i="3" s="1"/>
  <c r="BH671" i="3" s="1"/>
  <c r="BG671" i="3" s="1"/>
  <c r="BF671" i="3" s="1"/>
  <c r="BE671" i="3" s="1"/>
  <c r="BD671" i="3" s="1"/>
  <c r="BC671" i="3" s="1"/>
  <c r="BB671" i="3" s="1"/>
  <c r="BA671" i="3" s="1"/>
  <c r="AZ671" i="3" s="1"/>
  <c r="AY671" i="3" s="1"/>
  <c r="AX671" i="3" s="1"/>
  <c r="AW671" i="3" s="1"/>
  <c r="AV671" i="3" s="1"/>
  <c r="AU671" i="3" s="1"/>
  <c r="AT671" i="3" s="1"/>
  <c r="AS671" i="3" s="1"/>
  <c r="AR671" i="3" s="1"/>
  <c r="AQ671" i="3" s="1"/>
  <c r="AP671" i="3" s="1"/>
  <c r="AO671" i="3" s="1"/>
  <c r="AN671" i="3" s="1"/>
  <c r="AM671" i="3" s="1"/>
  <c r="AL671" i="3" s="1"/>
  <c r="AK671" i="3" s="1"/>
  <c r="AJ671" i="3" s="1"/>
  <c r="AI671" i="3" s="1"/>
  <c r="AH671" i="3" s="1"/>
  <c r="AG671" i="3" s="1"/>
  <c r="AF671" i="3" s="1"/>
  <c r="AE671" i="3" s="1"/>
  <c r="AD671" i="3" s="1"/>
  <c r="AC671" i="3" s="1"/>
  <c r="AB671" i="3" s="1"/>
  <c r="AA671" i="3" s="1"/>
  <c r="Z671" i="3" s="1"/>
  <c r="Y671" i="3" s="1"/>
  <c r="X671" i="3" s="1"/>
  <c r="W671" i="3" s="1"/>
  <c r="V671" i="3" s="1"/>
  <c r="U671" i="3" s="1"/>
  <c r="T671" i="3" s="1"/>
  <c r="S671" i="3" s="1"/>
  <c r="R671" i="3" s="1"/>
  <c r="Q671" i="3" s="1"/>
  <c r="P671" i="3" s="1"/>
  <c r="O671" i="3" s="1"/>
  <c r="N671" i="3" s="1"/>
  <c r="M671" i="3" s="1"/>
  <c r="L671" i="3" s="1"/>
  <c r="K671" i="3" s="1"/>
  <c r="J671" i="3" s="1"/>
  <c r="I671" i="3" s="1"/>
  <c r="A1771" i="2" l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5" i="2"/>
  <c r="A1786" i="2" s="1"/>
  <c r="A1787" i="2" s="1"/>
  <c r="A1788" i="2" s="1"/>
  <c r="A1789" i="2" s="1"/>
  <c r="A1790" i="2" s="1"/>
  <c r="A1791" i="2" s="1"/>
  <c r="A1792" i="2" s="1"/>
  <c r="A1794" i="2"/>
  <c r="A1795" i="2" s="1"/>
  <c r="A1797" i="2"/>
  <c r="A1798" i="2" s="1"/>
  <c r="A1799" i="2" s="1"/>
  <c r="A1801" i="2"/>
  <c r="A1802" i="2" s="1"/>
  <c r="A1803" i="2" s="1"/>
  <c r="A1804" i="2" s="1"/>
  <c r="A1805" i="2" s="1"/>
  <c r="A1807" i="2"/>
  <c r="A1808" i="2" s="1"/>
  <c r="A1810" i="2"/>
  <c r="A1811" i="2" s="1"/>
  <c r="A1813" i="2"/>
  <c r="A1814" i="2" s="1"/>
  <c r="A1816" i="2"/>
  <c r="A1817" i="2" s="1"/>
  <c r="A1818" i="2" s="1"/>
  <c r="A1819" i="2" s="1"/>
  <c r="A1820" i="2" s="1"/>
  <c r="A1821" i="2" s="1"/>
  <c r="A1822" i="2" s="1"/>
  <c r="A1823" i="2" s="1"/>
  <c r="A1825" i="2"/>
  <c r="A1826" i="2" s="1"/>
  <c r="A1827" i="2" s="1"/>
  <c r="A1828" i="2" s="1"/>
  <c r="A1829" i="2" s="1"/>
  <c r="A1830" i="2" s="1"/>
  <c r="A1831" i="2" s="1"/>
  <c r="A1832" i="2" s="1"/>
  <c r="A1834" i="2"/>
  <c r="A1835" i="2" s="1"/>
  <c r="A1836" i="2" s="1"/>
  <c r="A1837" i="2" s="1"/>
  <c r="A1838" i="2" s="1"/>
  <c r="A1839" i="2" s="1"/>
  <c r="A1840" i="2" s="1"/>
  <c r="A1841" i="2" s="1"/>
  <c r="A1843" i="2"/>
  <c r="A1844" i="2" s="1"/>
  <c r="A1845" i="2" s="1"/>
  <c r="A1846" i="2" s="1"/>
  <c r="A1847" i="2" s="1"/>
  <c r="A1848" i="2" s="1"/>
  <c r="A1849" i="2" s="1"/>
  <c r="A1850" i="2" s="1"/>
  <c r="A1851" i="2" s="1"/>
  <c r="A1853" i="2"/>
  <c r="A1854" i="2" s="1"/>
  <c r="A1855" i="2" s="1"/>
  <c r="A1856" i="2" s="1"/>
  <c r="A1857" i="2" s="1"/>
  <c r="A1858" i="2" s="1"/>
  <c r="A1859" i="2" s="1"/>
  <c r="A1860" i="2" s="1"/>
  <c r="A1861" i="2" s="1"/>
  <c r="A1862" i="2" s="1"/>
  <c r="A1864" i="2"/>
  <c r="A1865" i="2" s="1"/>
  <c r="A1866" i="2" s="1"/>
  <c r="A1867" i="2" s="1"/>
  <c r="A1868" i="2" s="1"/>
  <c r="A1869" i="2" s="1"/>
  <c r="A1870" i="2" s="1"/>
  <c r="A1871" i="2" s="1"/>
  <c r="A1873" i="2"/>
  <c r="A1874" i="2" s="1"/>
  <c r="A1875" i="2" s="1"/>
  <c r="A1876" i="2" s="1"/>
  <c r="A1877" i="2" s="1"/>
  <c r="A1879" i="2"/>
  <c r="A1880" i="2" s="1"/>
  <c r="A1881" i="2" s="1"/>
  <c r="A1882" i="2" s="1"/>
  <c r="A1883" i="2" s="1"/>
  <c r="A1884" i="2" s="1"/>
  <c r="A1885" i="2" s="1"/>
  <c r="A1886" i="2" s="1"/>
  <c r="A1889" i="2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3" i="2"/>
  <c r="A1914" i="2" s="1"/>
  <c r="A1915" i="2" s="1"/>
  <c r="A1916" i="2" s="1"/>
  <c r="A1917" i="2" s="1"/>
  <c r="A1918" i="2" s="1"/>
  <c r="A1919" i="2" s="1"/>
  <c r="A1920" i="2" s="1"/>
  <c r="A1921" i="2" s="1"/>
  <c r="A1923" i="2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9" i="2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1" i="2"/>
  <c r="A1952" i="2" s="1"/>
  <c r="A1953" i="2" s="1"/>
  <c r="A1954" i="2" s="1"/>
  <c r="A1955" i="2" s="1"/>
  <c r="A1957" i="2"/>
  <c r="A1958" i="2" s="1"/>
  <c r="A1959" i="2" s="1"/>
  <c r="A1960" i="2" s="1"/>
  <c r="A1961" i="2" s="1"/>
  <c r="A1962" i="2" s="1"/>
  <c r="A1963" i="2" s="1"/>
  <c r="A1964" i="2" s="1"/>
  <c r="A1966" i="2"/>
  <c r="A1967" i="2" s="1"/>
  <c r="A1968" i="2" s="1"/>
  <c r="A1969" i="2" s="1"/>
  <c r="A1971" i="2"/>
  <c r="A1972" i="2" s="1"/>
  <c r="A1973" i="2" s="1"/>
  <c r="A1974" i="2" s="1"/>
  <c r="A1975" i="2" s="1"/>
  <c r="A1976" i="2" s="1"/>
  <c r="A1977" i="2" s="1"/>
  <c r="A1978" i="2" s="1"/>
  <c r="A1980" i="2"/>
  <c r="A1981" i="2" s="1"/>
  <c r="A1982" i="2" s="1"/>
  <c r="A1983" i="2" s="1"/>
  <c r="A1984" i="2" s="1"/>
  <c r="A1985" i="2" s="1"/>
  <c r="A1986" i="2" s="1"/>
  <c r="A1987" i="2" s="1"/>
  <c r="A1988" i="2" s="1"/>
  <c r="A1990" i="2"/>
  <c r="A1991" i="2" s="1"/>
  <c r="A1992" i="2" s="1"/>
  <c r="A1993" i="2" s="1"/>
  <c r="A1994" i="2" s="1"/>
  <c r="A1995" i="2" s="1"/>
  <c r="A1996" i="2" s="1"/>
  <c r="A2005" i="2"/>
  <c r="A2006" i="2" s="1"/>
  <c r="A2007" i="2" s="1"/>
  <c r="A2009" i="2"/>
  <c r="A2011" i="2"/>
  <c r="A2012" i="2" s="1"/>
  <c r="A2013" i="2" s="1"/>
  <c r="A2014" i="2" s="1"/>
  <c r="A2015" i="2" s="1"/>
  <c r="A2017" i="2"/>
  <c r="A2018" i="2" s="1"/>
  <c r="A2019" i="2" s="1"/>
  <c r="A2020" i="2" s="1"/>
  <c r="A2021" i="2" s="1"/>
  <c r="A2022" i="2" s="1"/>
  <c r="A2024" i="2"/>
  <c r="A2025" i="2" s="1"/>
  <c r="A2026" i="2" s="1"/>
  <c r="A2027" i="2" s="1"/>
  <c r="A2029" i="2"/>
  <c r="A2030" i="2" s="1"/>
  <c r="A2031" i="2" s="1"/>
  <c r="A2032" i="2" s="1"/>
  <c r="A2033" i="2" s="1"/>
  <c r="A2035" i="2"/>
  <c r="A2036" i="2" s="1"/>
  <c r="A2037" i="2" s="1"/>
  <c r="A2038" i="2" s="1"/>
  <c r="A2039" i="2" s="1"/>
  <c r="A2041" i="2"/>
  <c r="A2042" i="2" s="1"/>
  <c r="A2044" i="2"/>
  <c r="A2045" i="2" s="1"/>
  <c r="A2046" i="2" s="1"/>
  <c r="A2047" i="2" s="1"/>
  <c r="A2048" i="2" s="1"/>
  <c r="A2049" i="2" s="1"/>
  <c r="D1771" i="2"/>
  <c r="D1772" i="2" s="1"/>
  <c r="D1773" i="2" s="1"/>
  <c r="D1774" i="2" s="1"/>
  <c r="D1775" i="2" s="1"/>
  <c r="D1776" i="2" s="1"/>
  <c r="D1777" i="2" s="1"/>
  <c r="D1778" i="2" s="1"/>
  <c r="D1779" i="2" s="1"/>
  <c r="D1780" i="2" s="1"/>
  <c r="D1781" i="2" s="1"/>
  <c r="D1782" i="2" s="1"/>
  <c r="D1783" i="2" s="1"/>
  <c r="D1785" i="2"/>
  <c r="D1786" i="2" s="1"/>
  <c r="D1787" i="2" s="1"/>
  <c r="D1788" i="2" s="1"/>
  <c r="D1789" i="2" s="1"/>
  <c r="D1790" i="2" s="1"/>
  <c r="D1791" i="2" s="1"/>
  <c r="D1792" i="2" s="1"/>
  <c r="D1794" i="2"/>
  <c r="D1795" i="2" s="1"/>
  <c r="D1797" i="2"/>
  <c r="D1798" i="2" s="1"/>
  <c r="D1799" i="2" s="1"/>
  <c r="D1801" i="2"/>
  <c r="D1802" i="2" s="1"/>
  <c r="D1803" i="2" s="1"/>
  <c r="D1804" i="2" s="1"/>
  <c r="D1805" i="2" s="1"/>
  <c r="D1807" i="2"/>
  <c r="D1808" i="2" s="1"/>
  <c r="D1810" i="2"/>
  <c r="D1811" i="2" s="1"/>
  <c r="D1813" i="2"/>
  <c r="D1814" i="2" s="1"/>
  <c r="D1816" i="2"/>
  <c r="D1817" i="2" s="1"/>
  <c r="D1818" i="2" s="1"/>
  <c r="D1819" i="2" s="1"/>
  <c r="D1820" i="2" s="1"/>
  <c r="D1821" i="2" s="1"/>
  <c r="D1822" i="2" s="1"/>
  <c r="D1823" i="2" s="1"/>
  <c r="D1825" i="2"/>
  <c r="D1826" i="2" s="1"/>
  <c r="D1827" i="2" s="1"/>
  <c r="D1828" i="2" s="1"/>
  <c r="D1829" i="2" s="1"/>
  <c r="D1830" i="2" s="1"/>
  <c r="D1831" i="2" s="1"/>
  <c r="D1832" i="2" s="1"/>
  <c r="D1834" i="2"/>
  <c r="D1835" i="2" s="1"/>
  <c r="D1836" i="2" s="1"/>
  <c r="D1837" i="2" s="1"/>
  <c r="D1838" i="2" s="1"/>
  <c r="D1839" i="2" s="1"/>
  <c r="D1840" i="2" s="1"/>
  <c r="D1841" i="2" s="1"/>
  <c r="D1843" i="2"/>
  <c r="D1844" i="2" s="1"/>
  <c r="D1845" i="2" s="1"/>
  <c r="D1846" i="2" s="1"/>
  <c r="D1847" i="2" s="1"/>
  <c r="D1848" i="2" s="1"/>
  <c r="D1849" i="2" s="1"/>
  <c r="D1850" i="2" s="1"/>
  <c r="D1851" i="2" s="1"/>
  <c r="D1853" i="2"/>
  <c r="D1854" i="2" s="1"/>
  <c r="D1855" i="2" s="1"/>
  <c r="D1856" i="2" s="1"/>
  <c r="D1857" i="2" s="1"/>
  <c r="D1858" i="2" s="1"/>
  <c r="D1859" i="2" s="1"/>
  <c r="D1860" i="2" s="1"/>
  <c r="D1861" i="2" s="1"/>
  <c r="D1862" i="2" s="1"/>
  <c r="D1864" i="2"/>
  <c r="D1865" i="2" s="1"/>
  <c r="D1866" i="2" s="1"/>
  <c r="D1867" i="2" s="1"/>
  <c r="D1868" i="2" s="1"/>
  <c r="D1869" i="2" s="1"/>
  <c r="D1870" i="2" s="1"/>
  <c r="D1871" i="2" s="1"/>
  <c r="D1873" i="2"/>
  <c r="D1874" i="2" s="1"/>
  <c r="D1875" i="2" s="1"/>
  <c r="D1876" i="2" s="1"/>
  <c r="D1877" i="2" s="1"/>
  <c r="D1879" i="2"/>
  <c r="D1880" i="2" s="1"/>
  <c r="D1881" i="2" s="1"/>
  <c r="D1882" i="2" s="1"/>
  <c r="D1883" i="2" s="1"/>
  <c r="D1884" i="2" s="1"/>
  <c r="D1885" i="2" s="1"/>
  <c r="D1886" i="2" s="1"/>
  <c r="D1889" i="2"/>
  <c r="D1890" i="2" s="1"/>
  <c r="D1891" i="2" s="1"/>
  <c r="D1892" i="2" s="1"/>
  <c r="D1893" i="2" s="1"/>
  <c r="D1894" i="2" s="1"/>
  <c r="D1895" i="2" s="1"/>
  <c r="D1896" i="2" s="1"/>
  <c r="D1897" i="2" s="1"/>
  <c r="D1898" i="2" s="1"/>
  <c r="D1899" i="2" s="1"/>
  <c r="D1900" i="2" s="1"/>
  <c r="D1901" i="2" s="1"/>
  <c r="D1902" i="2" s="1"/>
  <c r="D1903" i="2" s="1"/>
  <c r="D1904" i="2" s="1"/>
  <c r="D1905" i="2" s="1"/>
  <c r="D1906" i="2" s="1"/>
  <c r="D1907" i="2" s="1"/>
  <c r="D1908" i="2" s="1"/>
  <c r="D1909" i="2" s="1"/>
  <c r="D1910" i="2" s="1"/>
  <c r="D1911" i="2" s="1"/>
  <c r="D1913" i="2"/>
  <c r="D1914" i="2" s="1"/>
  <c r="D1915" i="2" s="1"/>
  <c r="D1916" i="2" s="1"/>
  <c r="D1917" i="2" s="1"/>
  <c r="D1918" i="2" s="1"/>
  <c r="D1919" i="2" s="1"/>
  <c r="D1920" i="2" s="1"/>
  <c r="D1921" i="2" s="1"/>
  <c r="D1923" i="2"/>
  <c r="D1924" i="2" s="1"/>
  <c r="D1925" i="2" s="1"/>
  <c r="D1926" i="2" s="1"/>
  <c r="D1927" i="2" s="1"/>
  <c r="D1928" i="2" s="1"/>
  <c r="D1929" i="2" s="1"/>
  <c r="D1930" i="2" s="1"/>
  <c r="D1931" i="2" s="1"/>
  <c r="D1932" i="2" s="1"/>
  <c r="D1933" i="2" s="1"/>
  <c r="D1934" i="2" s="1"/>
  <c r="D1935" i="2" s="1"/>
  <c r="D1936" i="2" s="1"/>
  <c r="D1937" i="2" s="1"/>
  <c r="D1939" i="2"/>
  <c r="D1940" i="2" s="1"/>
  <c r="D1941" i="2" s="1"/>
  <c r="D1942" i="2" s="1"/>
  <c r="D1943" i="2" s="1"/>
  <c r="D1944" i="2" s="1"/>
  <c r="D1945" i="2" s="1"/>
  <c r="D1946" i="2" s="1"/>
  <c r="D1947" i="2" s="1"/>
  <c r="D1948" i="2" s="1"/>
  <c r="D1949" i="2" s="1"/>
  <c r="D1951" i="2"/>
  <c r="D1952" i="2" s="1"/>
  <c r="D1953" i="2" s="1"/>
  <c r="D1954" i="2" s="1"/>
  <c r="D1955" i="2" s="1"/>
  <c r="D1957" i="2"/>
  <c r="D1958" i="2" s="1"/>
  <c r="D1959" i="2" s="1"/>
  <c r="D1960" i="2" s="1"/>
  <c r="D1961" i="2" s="1"/>
  <c r="D1962" i="2" s="1"/>
  <c r="D1963" i="2" s="1"/>
  <c r="D1964" i="2" s="1"/>
  <c r="D1966" i="2"/>
  <c r="D1967" i="2" s="1"/>
  <c r="D1968" i="2" s="1"/>
  <c r="D1969" i="2" s="1"/>
  <c r="D1971" i="2"/>
  <c r="D1972" i="2" s="1"/>
  <c r="D1973" i="2" s="1"/>
  <c r="D1974" i="2" s="1"/>
  <c r="D1975" i="2" s="1"/>
  <c r="D1976" i="2" s="1"/>
  <c r="D1977" i="2" s="1"/>
  <c r="D1978" i="2" s="1"/>
  <c r="D1980" i="2"/>
  <c r="D1981" i="2" s="1"/>
  <c r="D1982" i="2" s="1"/>
  <c r="D1983" i="2" s="1"/>
  <c r="D1984" i="2" s="1"/>
  <c r="D1985" i="2" s="1"/>
  <c r="D1986" i="2" s="1"/>
  <c r="D1987" i="2" s="1"/>
  <c r="D1988" i="2" s="1"/>
  <c r="D1990" i="2"/>
  <c r="D1991" i="2" s="1"/>
  <c r="D1992" i="2" s="1"/>
  <c r="D1993" i="2" s="1"/>
  <c r="D1994" i="2" s="1"/>
  <c r="D1995" i="2" s="1"/>
  <c r="D1996" i="2" s="1"/>
  <c r="D1998" i="2"/>
  <c r="D1999" i="2" s="1"/>
  <c r="D2000" i="2" s="1"/>
  <c r="D2001" i="2" s="1"/>
  <c r="D2002" i="2" s="1"/>
  <c r="D2003" i="2" s="1"/>
  <c r="D2005" i="2"/>
  <c r="D2006" i="2" s="1"/>
  <c r="D2007" i="2" s="1"/>
  <c r="D2009" i="2"/>
  <c r="D2011" i="2"/>
  <c r="D2012" i="2" s="1"/>
  <c r="D2013" i="2" s="1"/>
  <c r="D2014" i="2" s="1"/>
  <c r="D2015" i="2" s="1"/>
  <c r="D2017" i="2"/>
  <c r="D2018" i="2" s="1"/>
  <c r="D2019" i="2" s="1"/>
  <c r="D2020" i="2" s="1"/>
  <c r="D2021" i="2" s="1"/>
  <c r="D2022" i="2" s="1"/>
  <c r="D2024" i="2"/>
  <c r="D2025" i="2" s="1"/>
  <c r="D2026" i="2" s="1"/>
  <c r="D2027" i="2" s="1"/>
  <c r="D2029" i="2"/>
  <c r="D2030" i="2" s="1"/>
  <c r="D2031" i="2" s="1"/>
  <c r="D2032" i="2" s="1"/>
  <c r="D2033" i="2" s="1"/>
  <c r="D2035" i="2"/>
  <c r="D2036" i="2" s="1"/>
  <c r="D2037" i="2" s="1"/>
  <c r="D2038" i="2" s="1"/>
  <c r="D2039" i="2" s="1"/>
  <c r="D2041" i="2"/>
  <c r="D2042" i="2" s="1"/>
  <c r="D2044" i="2"/>
  <c r="D2045" i="2" s="1"/>
  <c r="D2046" i="2" s="1"/>
  <c r="D2047" i="2" s="1"/>
  <c r="D2048" i="2" s="1"/>
  <c r="D2049" i="2" s="1"/>
  <c r="V2049" i="2"/>
  <c r="W2049" i="2" s="1"/>
  <c r="T2049" i="2"/>
  <c r="V2048" i="2"/>
  <c r="W2048" i="2" s="1"/>
  <c r="T2048" i="2"/>
  <c r="V2047" i="2"/>
  <c r="W2047" i="2" s="1"/>
  <c r="T2047" i="2"/>
  <c r="V2046" i="2"/>
  <c r="W2046" i="2" s="1"/>
  <c r="T2046" i="2"/>
  <c r="V2045" i="2"/>
  <c r="W2045" i="2" s="1"/>
  <c r="T2045" i="2"/>
  <c r="V2044" i="2"/>
  <c r="W2044" i="2" s="1"/>
  <c r="T2044" i="2"/>
  <c r="V2043" i="2"/>
  <c r="W2043" i="2" s="1"/>
  <c r="T2043" i="2"/>
  <c r="V2042" i="2"/>
  <c r="W2042" i="2" s="1"/>
  <c r="T2042" i="2"/>
  <c r="V2041" i="2"/>
  <c r="W2041" i="2" s="1"/>
  <c r="T2041" i="2"/>
  <c r="V2040" i="2"/>
  <c r="W2040" i="2" s="1"/>
  <c r="T2040" i="2"/>
  <c r="V2039" i="2"/>
  <c r="W2039" i="2" s="1"/>
  <c r="T2039" i="2"/>
  <c r="V2038" i="2"/>
  <c r="W2038" i="2" s="1"/>
  <c r="T2038" i="2"/>
  <c r="V2037" i="2"/>
  <c r="W2037" i="2" s="1"/>
  <c r="T2037" i="2"/>
  <c r="V2036" i="2"/>
  <c r="W2036" i="2" s="1"/>
  <c r="T2036" i="2"/>
  <c r="V2035" i="2"/>
  <c r="W2035" i="2" s="1"/>
  <c r="T2035" i="2"/>
  <c r="V2034" i="2"/>
  <c r="W2034" i="2" s="1"/>
  <c r="T2034" i="2"/>
  <c r="V2033" i="2"/>
  <c r="W2033" i="2" s="1"/>
  <c r="T2033" i="2"/>
  <c r="V2032" i="2"/>
  <c r="W2032" i="2" s="1"/>
  <c r="T2032" i="2"/>
  <c r="V2031" i="2"/>
  <c r="W2031" i="2" s="1"/>
  <c r="T2031" i="2"/>
  <c r="V2030" i="2"/>
  <c r="W2030" i="2" s="1"/>
  <c r="T2030" i="2"/>
  <c r="V2029" i="2"/>
  <c r="W2029" i="2" s="1"/>
  <c r="T2029" i="2"/>
  <c r="V2028" i="2"/>
  <c r="W2028" i="2" s="1"/>
  <c r="T2028" i="2"/>
  <c r="V2027" i="2"/>
  <c r="W2027" i="2" s="1"/>
  <c r="T2027" i="2"/>
  <c r="V2026" i="2"/>
  <c r="W2026" i="2" s="1"/>
  <c r="T2026" i="2"/>
  <c r="V2025" i="2"/>
  <c r="W2025" i="2" s="1"/>
  <c r="T2025" i="2"/>
  <c r="V2024" i="2"/>
  <c r="W2024" i="2" s="1"/>
  <c r="T2024" i="2"/>
  <c r="V2023" i="2"/>
  <c r="W2023" i="2" s="1"/>
  <c r="T2023" i="2"/>
  <c r="V2022" i="2"/>
  <c r="W2022" i="2" s="1"/>
  <c r="T2022" i="2"/>
  <c r="V2021" i="2"/>
  <c r="W2021" i="2" s="1"/>
  <c r="T2021" i="2"/>
  <c r="V2020" i="2"/>
  <c r="W2020" i="2" s="1"/>
  <c r="T2020" i="2"/>
  <c r="V2019" i="2"/>
  <c r="W2019" i="2" s="1"/>
  <c r="T2019" i="2"/>
  <c r="V2018" i="2"/>
  <c r="W2018" i="2" s="1"/>
  <c r="T2018" i="2"/>
  <c r="V2017" i="2"/>
  <c r="W2017" i="2" s="1"/>
  <c r="T2017" i="2"/>
  <c r="V2016" i="2"/>
  <c r="W2016" i="2" s="1"/>
  <c r="T2016" i="2"/>
  <c r="V2015" i="2"/>
  <c r="W2015" i="2" s="1"/>
  <c r="T2015" i="2"/>
  <c r="V2014" i="2"/>
  <c r="W2014" i="2" s="1"/>
  <c r="T2014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D1362" i="2" l="1"/>
  <c r="D1363" i="2" s="1"/>
  <c r="D1364" i="2" s="1"/>
  <c r="D1365" i="2" s="1"/>
  <c r="D1366" i="2" s="1"/>
  <c r="D1367" i="2" s="1"/>
  <c r="D1369" i="2"/>
  <c r="D1370" i="2" s="1"/>
  <c r="D1371" i="2" s="1"/>
  <c r="D1372" i="2" s="1"/>
  <c r="D1373" i="2" s="1"/>
  <c r="D1374" i="2" s="1"/>
  <c r="D1375" i="2" s="1"/>
  <c r="D1376" i="2" s="1"/>
  <c r="D1377" i="2" s="1"/>
  <c r="D1378" i="2" s="1"/>
  <c r="D1379" i="2" s="1"/>
  <c r="D1380" i="2" s="1"/>
  <c r="D1382" i="2"/>
  <c r="D1383" i="2" s="1"/>
  <c r="D1384" i="2" s="1"/>
  <c r="D1385" i="2" s="1"/>
  <c r="D1386" i="2" s="1"/>
  <c r="D1387" i="2" s="1"/>
  <c r="D1388" i="2" s="1"/>
  <c r="D1389" i="2" s="1"/>
  <c r="D1390" i="2" s="1"/>
  <c r="D1391" i="2" s="1"/>
  <c r="D1392" i="2" s="1"/>
  <c r="D1393" i="2" s="1"/>
  <c r="D1395" i="2"/>
  <c r="D1396" i="2" s="1"/>
  <c r="D1397" i="2" s="1"/>
  <c r="D1398" i="2" s="1"/>
  <c r="D1399" i="2" s="1"/>
  <c r="D1400" i="2" s="1"/>
  <c r="D1401" i="2" s="1"/>
  <c r="D1402" i="2" s="1"/>
  <c r="D1403" i="2" s="1"/>
  <c r="D1404" i="2" s="1"/>
  <c r="D1405" i="2" s="1"/>
  <c r="D1406" i="2" s="1"/>
  <c r="D1408" i="2"/>
  <c r="D1409" i="2" s="1"/>
  <c r="D1410" i="2" s="1"/>
  <c r="D1411" i="2" s="1"/>
  <c r="D1412" i="2" s="1"/>
  <c r="D1413" i="2" s="1"/>
  <c r="D1414" i="2" s="1"/>
  <c r="D1415" i="2" s="1"/>
  <c r="D1416" i="2" s="1"/>
  <c r="D1417" i="2" s="1"/>
  <c r="D1419" i="2"/>
  <c r="D1420" i="2" s="1"/>
  <c r="D1421" i="2" s="1"/>
  <c r="D1422" i="2" s="1"/>
  <c r="D1423" i="2" s="1"/>
  <c r="D1424" i="2" s="1"/>
  <c r="D1425" i="2" s="1"/>
  <c r="D1426" i="2" s="1"/>
  <c r="D1427" i="2" s="1"/>
  <c r="D1428" i="2" s="1"/>
  <c r="D1429" i="2" s="1"/>
  <c r="D1430" i="2" s="1"/>
  <c r="D1431" i="2" s="1"/>
  <c r="D1432" i="2" s="1"/>
  <c r="D1434" i="2"/>
  <c r="D1435" i="2" s="1"/>
  <c r="D1436" i="2" s="1"/>
  <c r="D1437" i="2" s="1"/>
  <c r="D1438" i="2" s="1"/>
  <c r="D1439" i="2" s="1"/>
  <c r="D1440" i="2" s="1"/>
  <c r="D1441" i="2" s="1"/>
  <c r="D1442" i="2" s="1"/>
  <c r="D1443" i="2" s="1"/>
  <c r="D1445" i="2"/>
  <c r="D1446" i="2" s="1"/>
  <c r="D1447" i="2" s="1"/>
  <c r="D1448" i="2" s="1"/>
  <c r="D1449" i="2" s="1"/>
  <c r="D1450" i="2" s="1"/>
  <c r="D1451" i="2" s="1"/>
  <c r="D1452" i="2" s="1"/>
  <c r="D1453" i="2" s="1"/>
  <c r="D1455" i="2"/>
  <c r="D1456" i="2" s="1"/>
  <c r="D1457" i="2" s="1"/>
  <c r="D1458" i="2" s="1"/>
  <c r="D1459" i="2" s="1"/>
  <c r="D1460" i="2" s="1"/>
  <c r="D1461" i="2" s="1"/>
  <c r="D1462" i="2" s="1"/>
  <c r="D1463" i="2" s="1"/>
  <c r="D1464" i="2" s="1"/>
  <c r="D1465" i="2" s="1"/>
  <c r="D1467" i="2"/>
  <c r="D1468" i="2" s="1"/>
  <c r="D1469" i="2" s="1"/>
  <c r="D1470" i="2" s="1"/>
  <c r="D1471" i="2" s="1"/>
  <c r="D1472" i="2" s="1"/>
  <c r="D1473" i="2" s="1"/>
  <c r="D1474" i="2" s="1"/>
  <c r="D1475" i="2" s="1"/>
  <c r="D1477" i="2"/>
  <c r="D1478" i="2" s="1"/>
  <c r="D1479" i="2" s="1"/>
  <c r="D1480" i="2" s="1"/>
  <c r="D1481" i="2" s="1"/>
  <c r="D1482" i="2" s="1"/>
  <c r="D1483" i="2" s="1"/>
  <c r="D1484" i="2" s="1"/>
  <c r="D1485" i="2" s="1"/>
  <c r="D1487" i="2"/>
  <c r="D1488" i="2" s="1"/>
  <c r="D1489" i="2" s="1"/>
  <c r="D1490" i="2" s="1"/>
  <c r="D1491" i="2" s="1"/>
  <c r="D1492" i="2" s="1"/>
  <c r="D1493" i="2" s="1"/>
  <c r="D1494" i="2" s="1"/>
  <c r="D1495" i="2" s="1"/>
  <c r="D1497" i="2"/>
  <c r="D1498" i="2" s="1"/>
  <c r="D1499" i="2" s="1"/>
  <c r="D1500" i="2" s="1"/>
  <c r="D1501" i="2" s="1"/>
  <c r="D1502" i="2" s="1"/>
  <c r="D1503" i="2" s="1"/>
  <c r="D1504" i="2" s="1"/>
  <c r="D1505" i="2" s="1"/>
  <c r="D1506" i="2" s="1"/>
  <c r="D1507" i="2" s="1"/>
  <c r="D1509" i="2"/>
  <c r="D1510" i="2" s="1"/>
  <c r="D1511" i="2" s="1"/>
  <c r="D1512" i="2" s="1"/>
  <c r="D1513" i="2" s="1"/>
  <c r="D1514" i="2" s="1"/>
  <c r="D1515" i="2" s="1"/>
  <c r="D1516" i="2" s="1"/>
  <c r="D1517" i="2" s="1"/>
  <c r="D1518" i="2" s="1"/>
  <c r="D1519" i="2" s="1"/>
  <c r="D1521" i="2"/>
  <c r="D1522" i="2" s="1"/>
  <c r="D1523" i="2" s="1"/>
  <c r="D1524" i="2" s="1"/>
  <c r="D1525" i="2" s="1"/>
  <c r="D1526" i="2" s="1"/>
  <c r="D1527" i="2" s="1"/>
  <c r="D1528" i="2" s="1"/>
  <c r="D1529" i="2" s="1"/>
  <c r="D1530" i="2" s="1"/>
  <c r="D1532" i="2"/>
  <c r="D1533" i="2" s="1"/>
  <c r="D1534" i="2" s="1"/>
  <c r="D1535" i="2" s="1"/>
  <c r="D1536" i="2" s="1"/>
  <c r="D1537" i="2" s="1"/>
  <c r="D1538" i="2" s="1"/>
  <c r="D1539" i="2" s="1"/>
  <c r="D1540" i="2" s="1"/>
  <c r="D1541" i="2" s="1"/>
  <c r="D1542" i="2" s="1"/>
  <c r="D1543" i="2" s="1"/>
  <c r="D1544" i="2" s="1"/>
  <c r="D1546" i="2"/>
  <c r="D1547" i="2" s="1"/>
  <c r="D1548" i="2" s="1"/>
  <c r="D1549" i="2" s="1"/>
  <c r="D1550" i="2" s="1"/>
  <c r="D1551" i="2" s="1"/>
  <c r="D1552" i="2" s="1"/>
  <c r="D1553" i="2" s="1"/>
  <c r="D1554" i="2" s="1"/>
  <c r="D1556" i="2"/>
  <c r="D1557" i="2" s="1"/>
  <c r="D1558" i="2" s="1"/>
  <c r="D1559" i="2" s="1"/>
  <c r="D1560" i="2" s="1"/>
  <c r="D1561" i="2" s="1"/>
  <c r="D1562" i="2" s="1"/>
  <c r="D1563" i="2" s="1"/>
  <c r="D1564" i="2" s="1"/>
  <c r="D1565" i="2" s="1"/>
  <c r="D1566" i="2" s="1"/>
  <c r="D1567" i="2" s="1"/>
  <c r="D1569" i="2"/>
  <c r="D1570" i="2" s="1"/>
  <c r="D1571" i="2" s="1"/>
  <c r="D1572" i="2" s="1"/>
  <c r="D1573" i="2" s="1"/>
  <c r="D1574" i="2" s="1"/>
  <c r="D1575" i="2" s="1"/>
  <c r="D1576" i="2" s="1"/>
  <c r="D1577" i="2" s="1"/>
  <c r="D1578" i="2" s="1"/>
  <c r="D1579" i="2" s="1"/>
  <c r="D1580" i="2" s="1"/>
  <c r="D1582" i="2"/>
  <c r="D1583" i="2" s="1"/>
  <c r="D1584" i="2" s="1"/>
  <c r="D1585" i="2" s="1"/>
  <c r="D1586" i="2" s="1"/>
  <c r="D1587" i="2" s="1"/>
  <c r="D1588" i="2" s="1"/>
  <c r="D1589" i="2" s="1"/>
  <c r="D1590" i="2" s="1"/>
  <c r="D1592" i="2"/>
  <c r="D1593" i="2" s="1"/>
  <c r="D1594" i="2" s="1"/>
  <c r="D1595" i="2" s="1"/>
  <c r="D1596" i="2" s="1"/>
  <c r="D1597" i="2" s="1"/>
  <c r="D1598" i="2" s="1"/>
  <c r="D1599" i="2" s="1"/>
  <c r="D1600" i="2" s="1"/>
  <c r="D1601" i="2" s="1"/>
  <c r="D1603" i="2"/>
  <c r="D1604" i="2" s="1"/>
  <c r="D1605" i="2" s="1"/>
  <c r="D1606" i="2" s="1"/>
  <c r="D1607" i="2" s="1"/>
  <c r="D1608" i="2" s="1"/>
  <c r="D1609" i="2" s="1"/>
  <c r="D1610" i="2" s="1"/>
  <c r="D1611" i="2" s="1"/>
  <c r="D1612" i="2" s="1"/>
  <c r="D1624" i="2"/>
  <c r="D1625" i="2" s="1"/>
  <c r="D1626" i="2" s="1"/>
  <c r="D1627" i="2" s="1"/>
  <c r="D1628" i="2" s="1"/>
  <c r="D1629" i="2" s="1"/>
  <c r="D1630" i="2" s="1"/>
  <c r="D1631" i="2" s="1"/>
  <c r="D1632" i="2" s="1"/>
  <c r="D1633" i="2" s="1"/>
  <c r="D1634" i="2" s="1"/>
  <c r="D1636" i="2"/>
  <c r="D1637" i="2" s="1"/>
  <c r="D1638" i="2" s="1"/>
  <c r="D1639" i="2" s="1"/>
  <c r="D1640" i="2" s="1"/>
  <c r="D1641" i="2" s="1"/>
  <c r="D1642" i="2" s="1"/>
  <c r="D1643" i="2" s="1"/>
  <c r="D1644" i="2" s="1"/>
  <c r="D1645" i="2" s="1"/>
  <c r="D1646" i="2" s="1"/>
  <c r="D1647" i="2" s="1"/>
  <c r="D1648" i="2" s="1"/>
  <c r="D1649" i="2" s="1"/>
  <c r="D1651" i="2"/>
  <c r="D1652" i="2" s="1"/>
  <c r="D1653" i="2" s="1"/>
  <c r="D1654" i="2" s="1"/>
  <c r="D1655" i="2" s="1"/>
  <c r="D1656" i="2" s="1"/>
  <c r="D1657" i="2" s="1"/>
  <c r="D1658" i="2" s="1"/>
  <c r="D1659" i="2" s="1"/>
  <c r="D1661" i="2"/>
  <c r="D1662" i="2" s="1"/>
  <c r="D1663" i="2" s="1"/>
  <c r="D1664" i="2" s="1"/>
  <c r="D1665" i="2" s="1"/>
  <c r="D1666" i="2" s="1"/>
  <c r="D1667" i="2" s="1"/>
  <c r="D1668" i="2" s="1"/>
  <c r="D1669" i="2" s="1"/>
  <c r="D1670" i="2" s="1"/>
  <c r="D1672" i="2"/>
  <c r="D1673" i="2" s="1"/>
  <c r="D1674" i="2" s="1"/>
  <c r="D1675" i="2" s="1"/>
  <c r="D1676" i="2" s="1"/>
  <c r="D1677" i="2" s="1"/>
  <c r="D1678" i="2" s="1"/>
  <c r="D1679" i="2" s="1"/>
  <c r="D1680" i="2" s="1"/>
  <c r="D1681" i="2" s="1"/>
  <c r="D1682" i="2" s="1"/>
  <c r="D1683" i="2" s="1"/>
  <c r="D1685" i="2"/>
  <c r="D1686" i="2" s="1"/>
  <c r="D1687" i="2" s="1"/>
  <c r="D1688" i="2" s="1"/>
  <c r="D1689" i="2" s="1"/>
  <c r="D1690" i="2" s="1"/>
  <c r="D1691" i="2" s="1"/>
  <c r="D1692" i="2" s="1"/>
  <c r="D1693" i="2" s="1"/>
  <c r="D1695" i="2"/>
  <c r="D1696" i="2" s="1"/>
  <c r="D1697" i="2" s="1"/>
  <c r="D1698" i="2" s="1"/>
  <c r="D1699" i="2" s="1"/>
  <c r="D1700" i="2" s="1"/>
  <c r="D1701" i="2" s="1"/>
  <c r="D1702" i="2" s="1"/>
  <c r="D1703" i="2" s="1"/>
  <c r="D1704" i="2" s="1"/>
  <c r="D1705" i="2" s="1"/>
  <c r="D1706" i="2" s="1"/>
  <c r="D1707" i="2" s="1"/>
  <c r="D1709" i="2"/>
  <c r="D1710" i="2" s="1"/>
  <c r="D1711" i="2" s="1"/>
  <c r="D1712" i="2" s="1"/>
  <c r="D1713" i="2" s="1"/>
  <c r="D1714" i="2" s="1"/>
  <c r="D1715" i="2" s="1"/>
  <c r="D1716" i="2" s="1"/>
  <c r="D1717" i="2" s="1"/>
  <c r="D1718" i="2" s="1"/>
  <c r="D1719" i="2" s="1"/>
  <c r="D1720" i="2" s="1"/>
  <c r="D1721" i="2" s="1"/>
  <c r="D1734" i="2"/>
  <c r="D1735" i="2" s="1"/>
  <c r="D1736" i="2" s="1"/>
  <c r="D1737" i="2" s="1"/>
  <c r="D1738" i="2" s="1"/>
  <c r="D1739" i="2" s="1"/>
  <c r="D1740" i="2" s="1"/>
  <c r="D1741" i="2" s="1"/>
  <c r="D1742" i="2" s="1"/>
  <c r="D1743" i="2" s="1"/>
  <c r="D1744" i="2" s="1"/>
  <c r="D1745" i="2" s="1"/>
  <c r="D1747" i="2"/>
  <c r="D1748" i="2" s="1"/>
  <c r="D1749" i="2" s="1"/>
  <c r="D1750" i="2" s="1"/>
  <c r="D1751" i="2" s="1"/>
  <c r="D1752" i="2" s="1"/>
  <c r="D1753" i="2" s="1"/>
  <c r="D1754" i="2" s="1"/>
  <c r="D1755" i="2" s="1"/>
  <c r="D1756" i="2" s="1"/>
  <c r="D1757" i="2" s="1"/>
  <c r="D1759" i="2"/>
  <c r="D1760" i="2" s="1"/>
  <c r="D1761" i="2" s="1"/>
  <c r="D1762" i="2" s="1"/>
  <c r="D1763" i="2" s="1"/>
  <c r="D1764" i="2" s="1"/>
  <c r="D1765" i="2" s="1"/>
  <c r="D1766" i="2" s="1"/>
  <c r="D1767" i="2" s="1"/>
  <c r="D1768" i="2" s="1"/>
  <c r="D1769" i="2" s="1"/>
  <c r="A1362" i="2"/>
  <c r="A1363" i="2" s="1"/>
  <c r="A1364" i="2" s="1"/>
  <c r="A1365" i="2" s="1"/>
  <c r="A1366" i="2" s="1"/>
  <c r="A1367" i="2" s="1"/>
  <c r="A1369" i="2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2" i="2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5" i="2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8" i="2"/>
  <c r="A1409" i="2" s="1"/>
  <c r="A1410" i="2" s="1"/>
  <c r="A1411" i="2" s="1"/>
  <c r="A1412" i="2" s="1"/>
  <c r="A1413" i="2" s="1"/>
  <c r="A1414" i="2" s="1"/>
  <c r="A1415" i="2" s="1"/>
  <c r="A1416" i="2" s="1"/>
  <c r="A1417" i="2" s="1"/>
  <c r="A1419" i="2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4" i="2"/>
  <c r="A1435" i="2" s="1"/>
  <c r="A1436" i="2" s="1"/>
  <c r="A1437" i="2" s="1"/>
  <c r="A1438" i="2" s="1"/>
  <c r="A1439" i="2" s="1"/>
  <c r="A1440" i="2" s="1"/>
  <c r="A1441" i="2" s="1"/>
  <c r="A1442" i="2" s="1"/>
  <c r="A1443" i="2" s="1"/>
  <c r="A1445" i="2"/>
  <c r="A1446" i="2" s="1"/>
  <c r="A1447" i="2" s="1"/>
  <c r="A1448" i="2" s="1"/>
  <c r="A1449" i="2" s="1"/>
  <c r="A1450" i="2" s="1"/>
  <c r="A1451" i="2" s="1"/>
  <c r="A1452" i="2" s="1"/>
  <c r="A1453" i="2" s="1"/>
  <c r="A1455" i="2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7" i="2"/>
  <c r="A1468" i="2" s="1"/>
  <c r="A1469" i="2" s="1"/>
  <c r="A1470" i="2" s="1"/>
  <c r="A1471" i="2" s="1"/>
  <c r="A1472" i="2" s="1"/>
  <c r="A1473" i="2" s="1"/>
  <c r="A1474" i="2" s="1"/>
  <c r="A1475" i="2" s="1"/>
  <c r="A1477" i="2"/>
  <c r="A1478" i="2" s="1"/>
  <c r="A1479" i="2" s="1"/>
  <c r="A1480" i="2" s="1"/>
  <c r="A1481" i="2" s="1"/>
  <c r="A1482" i="2" s="1"/>
  <c r="A1483" i="2" s="1"/>
  <c r="A1484" i="2" s="1"/>
  <c r="A1485" i="2" s="1"/>
  <c r="A1487" i="2"/>
  <c r="A1488" i="2" s="1"/>
  <c r="A1489" i="2" s="1"/>
  <c r="A1490" i="2" s="1"/>
  <c r="A1491" i="2" s="1"/>
  <c r="A1492" i="2" s="1"/>
  <c r="A1493" i="2" s="1"/>
  <c r="A1494" i="2" s="1"/>
  <c r="A1495" i="2" s="1"/>
  <c r="A1497" i="2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9" i="2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1" i="2"/>
  <c r="A1522" i="2" s="1"/>
  <c r="A1523" i="2" s="1"/>
  <c r="A1524" i="2" s="1"/>
  <c r="A1525" i="2" s="1"/>
  <c r="A1526" i="2" s="1"/>
  <c r="A1527" i="2" s="1"/>
  <c r="A1528" i="2" s="1"/>
  <c r="A1529" i="2" s="1"/>
  <c r="A1530" i="2" s="1"/>
  <c r="A1532" i="2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6" i="2"/>
  <c r="A1547" i="2" s="1"/>
  <c r="A1548" i="2" s="1"/>
  <c r="A1549" i="2" s="1"/>
  <c r="A1550" i="2" s="1"/>
  <c r="A1551" i="2" s="1"/>
  <c r="A1552" i="2" s="1"/>
  <c r="A1553" i="2" s="1"/>
  <c r="A1554" i="2" s="1"/>
  <c r="A1556" i="2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9" i="2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2" i="2"/>
  <c r="A1583" i="2" s="1"/>
  <c r="A1584" i="2" s="1"/>
  <c r="A1585" i="2" s="1"/>
  <c r="A1586" i="2" s="1"/>
  <c r="A1587" i="2" s="1"/>
  <c r="A1588" i="2" s="1"/>
  <c r="A1589" i="2" s="1"/>
  <c r="A1590" i="2" s="1"/>
  <c r="A1592" i="2"/>
  <c r="A1593" i="2" s="1"/>
  <c r="A1594" i="2" s="1"/>
  <c r="A1595" i="2" s="1"/>
  <c r="A1596" i="2" s="1"/>
  <c r="A1597" i="2" s="1"/>
  <c r="A1598" i="2" s="1"/>
  <c r="A1599" i="2" s="1"/>
  <c r="A1600" i="2" s="1"/>
  <c r="A1601" i="2" s="1"/>
  <c r="A1603" i="2"/>
  <c r="A1604" i="2" s="1"/>
  <c r="A1605" i="2" s="1"/>
  <c r="A1606" i="2" s="1"/>
  <c r="A1607" i="2" s="1"/>
  <c r="A1608" i="2" s="1"/>
  <c r="A1609" i="2" s="1"/>
  <c r="A1610" i="2" s="1"/>
  <c r="A1611" i="2" s="1"/>
  <c r="A1612" i="2" s="1"/>
  <c r="A1614" i="2"/>
  <c r="A1615" i="2" s="1"/>
  <c r="A1616" i="2" s="1"/>
  <c r="A1617" i="2" s="1"/>
  <c r="A1618" i="2" s="1"/>
  <c r="A1619" i="2" s="1"/>
  <c r="A1620" i="2" s="1"/>
  <c r="A1621" i="2" s="1"/>
  <c r="A1622" i="2" s="1"/>
  <c r="A1624" i="2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6" i="2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1" i="2"/>
  <c r="A1652" i="2" s="1"/>
  <c r="A1653" i="2" s="1"/>
  <c r="A1654" i="2" s="1"/>
  <c r="A1655" i="2" s="1"/>
  <c r="A1656" i="2" s="1"/>
  <c r="A1657" i="2" s="1"/>
  <c r="A1658" i="2" s="1"/>
  <c r="A1659" i="2" s="1"/>
  <c r="A1661" i="2"/>
  <c r="A1662" i="2" s="1"/>
  <c r="A1663" i="2" s="1"/>
  <c r="A1664" i="2" s="1"/>
  <c r="A1665" i="2" s="1"/>
  <c r="A1666" i="2" s="1"/>
  <c r="A1667" i="2" s="1"/>
  <c r="A1668" i="2" s="1"/>
  <c r="A1669" i="2" s="1"/>
  <c r="A1670" i="2" s="1"/>
  <c r="A1672" i="2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5" i="2"/>
  <c r="A1686" i="2" s="1"/>
  <c r="A1687" i="2" s="1"/>
  <c r="A1688" i="2" s="1"/>
  <c r="A1689" i="2" s="1"/>
  <c r="A1690" i="2" s="1"/>
  <c r="A1691" i="2" s="1"/>
  <c r="A1692" i="2" s="1"/>
  <c r="A1693" i="2" s="1"/>
  <c r="A1695" i="2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9" i="2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3" i="2"/>
  <c r="A1724" i="2" s="1"/>
  <c r="A1725" i="2" s="1"/>
  <c r="A1726" i="2" s="1"/>
  <c r="A1727" i="2" s="1"/>
  <c r="A1728" i="2" s="1"/>
  <c r="A1729" i="2" s="1"/>
  <c r="A1730" i="2" s="1"/>
  <c r="A1731" i="2" s="1"/>
  <c r="A1732" i="2" s="1"/>
  <c r="A1734" i="2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7" i="2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9" i="2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6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V2013" i="2"/>
  <c r="W2013" i="2" s="1"/>
  <c r="T2013" i="2"/>
  <c r="V2012" i="2"/>
  <c r="W2012" i="2" s="1"/>
  <c r="T2012" i="2"/>
  <c r="V2011" i="2"/>
  <c r="W2011" i="2" s="1"/>
  <c r="T2011" i="2"/>
  <c r="V2010" i="2"/>
  <c r="W2010" i="2" s="1"/>
  <c r="T2010" i="2"/>
  <c r="V2009" i="2"/>
  <c r="W2009" i="2" s="1"/>
  <c r="T2009" i="2"/>
  <c r="V2008" i="2"/>
  <c r="W2008" i="2" s="1"/>
  <c r="T2008" i="2"/>
  <c r="V2007" i="2"/>
  <c r="W2007" i="2" s="1"/>
  <c r="T2007" i="2"/>
  <c r="V2006" i="2"/>
  <c r="W2006" i="2" s="1"/>
  <c r="T2006" i="2"/>
  <c r="V2005" i="2"/>
  <c r="W2005" i="2" s="1"/>
  <c r="T2005" i="2"/>
  <c r="V2004" i="2"/>
  <c r="W2004" i="2" s="1"/>
  <c r="T2004" i="2"/>
  <c r="V2003" i="2"/>
  <c r="W2003" i="2" s="1"/>
  <c r="T2003" i="2"/>
  <c r="V2002" i="2"/>
  <c r="W2002" i="2" s="1"/>
  <c r="T2002" i="2"/>
  <c r="V2001" i="2"/>
  <c r="W2001" i="2" s="1"/>
  <c r="T2001" i="2"/>
  <c r="V2000" i="2"/>
  <c r="W2000" i="2" s="1"/>
  <c r="T2000" i="2"/>
  <c r="V1999" i="2"/>
  <c r="W1999" i="2" s="1"/>
  <c r="T1999" i="2"/>
  <c r="V1998" i="2"/>
  <c r="W1998" i="2" s="1"/>
  <c r="T1998" i="2"/>
  <c r="V1997" i="2"/>
  <c r="W1997" i="2" s="1"/>
  <c r="T1997" i="2"/>
  <c r="V1996" i="2"/>
  <c r="W1996" i="2" s="1"/>
  <c r="T1996" i="2"/>
  <c r="V1995" i="2"/>
  <c r="W1995" i="2" s="1"/>
  <c r="T1995" i="2"/>
  <c r="V1994" i="2"/>
  <c r="W1994" i="2" s="1"/>
  <c r="T1994" i="2"/>
  <c r="V1993" i="2"/>
  <c r="W1993" i="2" s="1"/>
  <c r="T1993" i="2"/>
  <c r="V1992" i="2"/>
  <c r="W1992" i="2" s="1"/>
  <c r="T1992" i="2"/>
  <c r="V1991" i="2"/>
  <c r="W1991" i="2" s="1"/>
  <c r="T1991" i="2"/>
  <c r="V1990" i="2"/>
  <c r="W1990" i="2" s="1"/>
  <c r="T1990" i="2"/>
  <c r="V1989" i="2"/>
  <c r="W1989" i="2" s="1"/>
  <c r="T1989" i="2"/>
  <c r="V1988" i="2"/>
  <c r="W1988" i="2" s="1"/>
  <c r="T1988" i="2"/>
  <c r="V1987" i="2"/>
  <c r="W1987" i="2" s="1"/>
  <c r="T1987" i="2"/>
  <c r="V1986" i="2"/>
  <c r="W1986" i="2" s="1"/>
  <c r="T1986" i="2"/>
  <c r="V1985" i="2"/>
  <c r="W1985" i="2" s="1"/>
  <c r="T1985" i="2"/>
  <c r="V1984" i="2"/>
  <c r="W1984" i="2" s="1"/>
  <c r="T1984" i="2"/>
  <c r="V1983" i="2"/>
  <c r="W1983" i="2" s="1"/>
  <c r="T1983" i="2"/>
  <c r="V1982" i="2"/>
  <c r="W1982" i="2" s="1"/>
  <c r="T1982" i="2"/>
  <c r="V1981" i="2"/>
  <c r="W1981" i="2" s="1"/>
  <c r="T1981" i="2"/>
  <c r="V1980" i="2"/>
  <c r="W1980" i="2" s="1"/>
  <c r="T1980" i="2"/>
  <c r="V1979" i="2"/>
  <c r="W1979" i="2" s="1"/>
  <c r="T1979" i="2"/>
  <c r="V1978" i="2"/>
  <c r="W1978" i="2" s="1"/>
  <c r="T1978" i="2"/>
  <c r="T1977" i="2"/>
  <c r="V1976" i="2"/>
  <c r="W1976" i="2" s="1"/>
  <c r="T1976" i="2"/>
  <c r="T1975" i="2"/>
  <c r="V1974" i="2"/>
  <c r="W1974" i="2" s="1"/>
  <c r="T1974" i="2"/>
  <c r="V1973" i="2"/>
  <c r="W1973" i="2" s="1"/>
  <c r="T1973" i="2"/>
  <c r="V1972" i="2"/>
  <c r="W1972" i="2" s="1"/>
  <c r="T1972" i="2"/>
  <c r="V1971" i="2"/>
  <c r="W1971" i="2" s="1"/>
  <c r="T1971" i="2"/>
  <c r="V1970" i="2"/>
  <c r="W1970" i="2" s="1"/>
  <c r="T1970" i="2"/>
  <c r="V1969" i="2"/>
  <c r="W1969" i="2" s="1"/>
  <c r="T1969" i="2"/>
  <c r="V1968" i="2"/>
  <c r="W1968" i="2" s="1"/>
  <c r="T1968" i="2"/>
  <c r="V1967" i="2"/>
  <c r="W1967" i="2" s="1"/>
  <c r="T1967" i="2"/>
  <c r="V1966" i="2"/>
  <c r="W1966" i="2" s="1"/>
  <c r="T1966" i="2"/>
  <c r="V1965" i="2"/>
  <c r="W1965" i="2" s="1"/>
  <c r="T1965" i="2"/>
  <c r="V1964" i="2"/>
  <c r="W1964" i="2" s="1"/>
  <c r="T1964" i="2"/>
  <c r="V1963" i="2"/>
  <c r="W1963" i="2" s="1"/>
  <c r="T1963" i="2"/>
  <c r="V1962" i="2"/>
  <c r="W1962" i="2" s="1"/>
  <c r="T1962" i="2"/>
  <c r="V1961" i="2"/>
  <c r="W1961" i="2" s="1"/>
  <c r="T1961" i="2"/>
  <c r="V1960" i="2"/>
  <c r="W1960" i="2" s="1"/>
  <c r="T1960" i="2"/>
  <c r="V1959" i="2"/>
  <c r="W1959" i="2" s="1"/>
  <c r="T1959" i="2"/>
  <c r="V1958" i="2"/>
  <c r="W1958" i="2" s="1"/>
  <c r="T1958" i="2"/>
  <c r="V1957" i="2"/>
  <c r="W1957" i="2" s="1"/>
  <c r="T1957" i="2"/>
  <c r="V1956" i="2"/>
  <c r="W1956" i="2" s="1"/>
  <c r="T1956" i="2"/>
  <c r="V1955" i="2"/>
  <c r="W1955" i="2" s="1"/>
  <c r="T1955" i="2"/>
  <c r="V1954" i="2"/>
  <c r="W1954" i="2" s="1"/>
  <c r="T1954" i="2"/>
  <c r="V1953" i="2"/>
  <c r="W1953" i="2" s="1"/>
  <c r="T1953" i="2"/>
  <c r="V1952" i="2"/>
  <c r="W1952" i="2" s="1"/>
  <c r="T1952" i="2"/>
  <c r="V1951" i="2"/>
  <c r="W1951" i="2" s="1"/>
  <c r="T1951" i="2"/>
  <c r="V1950" i="2"/>
  <c r="W1950" i="2" s="1"/>
  <c r="T1950" i="2"/>
  <c r="V1949" i="2"/>
  <c r="W1949" i="2" s="1"/>
  <c r="T1949" i="2"/>
  <c r="V1948" i="2"/>
  <c r="W1948" i="2" s="1"/>
  <c r="T1948" i="2"/>
  <c r="V1947" i="2"/>
  <c r="W1947" i="2" s="1"/>
  <c r="T1947" i="2"/>
  <c r="V1946" i="2"/>
  <c r="W1946" i="2" s="1"/>
  <c r="T1946" i="2"/>
  <c r="V1945" i="2"/>
  <c r="W1945" i="2" s="1"/>
  <c r="T1945" i="2"/>
  <c r="V1944" i="2"/>
  <c r="W1944" i="2" s="1"/>
  <c r="T1944" i="2"/>
  <c r="V1943" i="2"/>
  <c r="W1943" i="2" s="1"/>
  <c r="T1943" i="2"/>
  <c r="T1942" i="2"/>
  <c r="V1941" i="2"/>
  <c r="W1941" i="2" s="1"/>
  <c r="T1941" i="2"/>
  <c r="V1940" i="2"/>
  <c r="W1940" i="2" s="1"/>
  <c r="T1940" i="2"/>
  <c r="V1939" i="2"/>
  <c r="W1939" i="2" s="1"/>
  <c r="T1939" i="2"/>
  <c r="V1938" i="2"/>
  <c r="W1938" i="2" s="1"/>
  <c r="T1938" i="2"/>
  <c r="V1937" i="2"/>
  <c r="W1937" i="2" s="1"/>
  <c r="T1937" i="2"/>
  <c r="V1936" i="2"/>
  <c r="W1936" i="2" s="1"/>
  <c r="T1936" i="2"/>
  <c r="V1935" i="2"/>
  <c r="W1935" i="2" s="1"/>
  <c r="T1935" i="2"/>
  <c r="V1934" i="2"/>
  <c r="W1934" i="2" s="1"/>
  <c r="T1934" i="2"/>
  <c r="V1933" i="2"/>
  <c r="W1933" i="2" s="1"/>
  <c r="T1933" i="2"/>
  <c r="V1932" i="2"/>
  <c r="W1932" i="2" s="1"/>
  <c r="T1932" i="2"/>
  <c r="V1931" i="2"/>
  <c r="W1931" i="2" s="1"/>
  <c r="T1931" i="2"/>
  <c r="V1930" i="2"/>
  <c r="W1930" i="2" s="1"/>
  <c r="T1930" i="2"/>
  <c r="V1929" i="2"/>
  <c r="W1929" i="2" s="1"/>
  <c r="T1929" i="2"/>
  <c r="V1928" i="2"/>
  <c r="W1928" i="2" s="1"/>
  <c r="T1928" i="2"/>
  <c r="V1927" i="2"/>
  <c r="W1927" i="2" s="1"/>
  <c r="T1927" i="2"/>
  <c r="V1926" i="2"/>
  <c r="W1926" i="2" s="1"/>
  <c r="T1926" i="2"/>
  <c r="V1925" i="2"/>
  <c r="W1925" i="2" s="1"/>
  <c r="T1925" i="2"/>
  <c r="V1924" i="2"/>
  <c r="W1924" i="2" s="1"/>
  <c r="T1924" i="2"/>
  <c r="V1923" i="2"/>
  <c r="W1923" i="2" s="1"/>
  <c r="T1923" i="2"/>
  <c r="V1922" i="2"/>
  <c r="W1922" i="2" s="1"/>
  <c r="T1922" i="2"/>
  <c r="V1921" i="2"/>
  <c r="W1921" i="2" s="1"/>
  <c r="T1921" i="2"/>
  <c r="V1920" i="2"/>
  <c r="W1920" i="2" s="1"/>
  <c r="T1920" i="2"/>
  <c r="V1919" i="2"/>
  <c r="W1919" i="2" s="1"/>
  <c r="T1919" i="2"/>
  <c r="V1918" i="2"/>
  <c r="W1918" i="2" s="1"/>
  <c r="T1918" i="2"/>
  <c r="V1917" i="2"/>
  <c r="W1917" i="2" s="1"/>
  <c r="T1917" i="2"/>
  <c r="V1916" i="2"/>
  <c r="W1916" i="2" s="1"/>
  <c r="T1916" i="2"/>
  <c r="V1915" i="2"/>
  <c r="W1915" i="2" s="1"/>
  <c r="T1915" i="2"/>
  <c r="V1914" i="2"/>
  <c r="W1914" i="2" s="1"/>
  <c r="T1914" i="2"/>
  <c r="V1913" i="2"/>
  <c r="W1913" i="2" s="1"/>
  <c r="T1913" i="2"/>
  <c r="V1912" i="2"/>
  <c r="W1912" i="2" s="1"/>
  <c r="T1912" i="2"/>
  <c r="V1911" i="2"/>
  <c r="W1911" i="2" s="1"/>
  <c r="T1911" i="2"/>
  <c r="V1910" i="2"/>
  <c r="W1910" i="2" s="1"/>
  <c r="T1910" i="2"/>
  <c r="V1909" i="2"/>
  <c r="W1909" i="2" s="1"/>
  <c r="T1909" i="2"/>
  <c r="V1908" i="2"/>
  <c r="W1908" i="2" s="1"/>
  <c r="T1908" i="2"/>
  <c r="V1907" i="2"/>
  <c r="W1907" i="2" s="1"/>
  <c r="T1907" i="2"/>
  <c r="V1906" i="2"/>
  <c r="W1906" i="2" s="1"/>
  <c r="T1906" i="2"/>
  <c r="V1905" i="2"/>
  <c r="W1905" i="2" s="1"/>
  <c r="T1905" i="2"/>
  <c r="V1904" i="2"/>
  <c r="W1904" i="2" s="1"/>
  <c r="T1904" i="2"/>
  <c r="V1903" i="2"/>
  <c r="W1903" i="2" s="1"/>
  <c r="T1903" i="2"/>
  <c r="V1902" i="2"/>
  <c r="W1902" i="2" s="1"/>
  <c r="T1902" i="2"/>
  <c r="V1901" i="2"/>
  <c r="W1901" i="2" s="1"/>
  <c r="T1901" i="2"/>
  <c r="V1900" i="2"/>
  <c r="W1900" i="2" s="1"/>
  <c r="T1900" i="2"/>
  <c r="V1899" i="2"/>
  <c r="W1899" i="2" s="1"/>
  <c r="T1899" i="2"/>
  <c r="V1898" i="2"/>
  <c r="W1898" i="2" s="1"/>
  <c r="T1898" i="2"/>
  <c r="V1897" i="2"/>
  <c r="W1897" i="2" s="1"/>
  <c r="T1897" i="2"/>
  <c r="V1896" i="2"/>
  <c r="W1896" i="2" s="1"/>
  <c r="T1896" i="2"/>
  <c r="V1895" i="2"/>
  <c r="W1895" i="2" s="1"/>
  <c r="T1895" i="2"/>
  <c r="V1894" i="2"/>
  <c r="W1894" i="2" s="1"/>
  <c r="T1894" i="2"/>
  <c r="V1893" i="2"/>
  <c r="W1893" i="2" s="1"/>
  <c r="T1893" i="2"/>
  <c r="V1892" i="2"/>
  <c r="W1892" i="2" s="1"/>
  <c r="T1892" i="2"/>
  <c r="V1891" i="2"/>
  <c r="W1891" i="2" s="1"/>
  <c r="T1891" i="2"/>
  <c r="V1890" i="2"/>
  <c r="W1890" i="2" s="1"/>
  <c r="T1890" i="2"/>
  <c r="V1889" i="2"/>
  <c r="W1889" i="2" s="1"/>
  <c r="T1889" i="2"/>
  <c r="V1888" i="2"/>
  <c r="W1888" i="2" s="1"/>
  <c r="T1888" i="2"/>
  <c r="V1887" i="2"/>
  <c r="W1887" i="2" s="1"/>
  <c r="T1887" i="2"/>
  <c r="V1886" i="2"/>
  <c r="W1886" i="2" s="1"/>
  <c r="T1886" i="2"/>
  <c r="V1885" i="2"/>
  <c r="W1885" i="2" s="1"/>
  <c r="T1885" i="2"/>
  <c r="V1884" i="2"/>
  <c r="W1884" i="2" s="1"/>
  <c r="T1884" i="2"/>
  <c r="V1883" i="2"/>
  <c r="W1883" i="2" s="1"/>
  <c r="T1883" i="2"/>
  <c r="V1882" i="2"/>
  <c r="W1882" i="2" s="1"/>
  <c r="T1882" i="2"/>
  <c r="V1881" i="2"/>
  <c r="W1881" i="2" s="1"/>
  <c r="T1881" i="2"/>
  <c r="V1880" i="2"/>
  <c r="W1880" i="2" s="1"/>
  <c r="T1880" i="2"/>
  <c r="V1879" i="2"/>
  <c r="W1879" i="2" s="1"/>
  <c r="T1879" i="2"/>
  <c r="V1878" i="2"/>
  <c r="W1878" i="2" s="1"/>
  <c r="T1878" i="2"/>
  <c r="V1877" i="2"/>
  <c r="W1877" i="2" s="1"/>
  <c r="T1877" i="2"/>
  <c r="V1876" i="2"/>
  <c r="W1876" i="2" s="1"/>
  <c r="T1876" i="2"/>
  <c r="V1875" i="2"/>
  <c r="W1875" i="2" s="1"/>
  <c r="T1875" i="2"/>
  <c r="V1874" i="2"/>
  <c r="W1874" i="2" s="1"/>
  <c r="T1874" i="2"/>
  <c r="V1873" i="2"/>
  <c r="W1873" i="2" s="1"/>
  <c r="T1873" i="2"/>
  <c r="V1872" i="2"/>
  <c r="W1872" i="2" s="1"/>
  <c r="T1872" i="2"/>
  <c r="V1871" i="2"/>
  <c r="W1871" i="2" s="1"/>
  <c r="T1871" i="2"/>
  <c r="V1870" i="2"/>
  <c r="W1870" i="2" s="1"/>
  <c r="T1870" i="2"/>
  <c r="V1869" i="2"/>
  <c r="W1869" i="2" s="1"/>
  <c r="T1869" i="2"/>
  <c r="V1868" i="2"/>
  <c r="W1868" i="2" s="1"/>
  <c r="T1868" i="2"/>
  <c r="V1867" i="2"/>
  <c r="W1867" i="2" s="1"/>
  <c r="T1867" i="2"/>
  <c r="V1866" i="2"/>
  <c r="W1866" i="2" s="1"/>
  <c r="T1866" i="2"/>
  <c r="V1865" i="2"/>
  <c r="W1865" i="2" s="1"/>
  <c r="T1865" i="2"/>
  <c r="V1864" i="2"/>
  <c r="W1864" i="2" s="1"/>
  <c r="T1864" i="2"/>
  <c r="V1863" i="2"/>
  <c r="W1863" i="2" s="1"/>
  <c r="T1863" i="2"/>
  <c r="V1862" i="2"/>
  <c r="W1862" i="2" s="1"/>
  <c r="T1862" i="2"/>
  <c r="V1861" i="2"/>
  <c r="W1861" i="2" s="1"/>
  <c r="T1861" i="2"/>
  <c r="V1860" i="2"/>
  <c r="W1860" i="2" s="1"/>
  <c r="T1860" i="2"/>
  <c r="V1859" i="2"/>
  <c r="W1859" i="2" s="1"/>
  <c r="T1859" i="2"/>
  <c r="V1858" i="2"/>
  <c r="W1858" i="2" s="1"/>
  <c r="T1858" i="2"/>
  <c r="V1857" i="2"/>
  <c r="W1857" i="2" s="1"/>
  <c r="T1857" i="2"/>
  <c r="V1856" i="2"/>
  <c r="W1856" i="2" s="1"/>
  <c r="T1856" i="2"/>
  <c r="V1855" i="2"/>
  <c r="W1855" i="2" s="1"/>
  <c r="T1855" i="2"/>
  <c r="V1854" i="2"/>
  <c r="W1854" i="2" s="1"/>
  <c r="T1854" i="2"/>
  <c r="V1853" i="2"/>
  <c r="W1853" i="2" s="1"/>
  <c r="T1853" i="2"/>
  <c r="V1852" i="2"/>
  <c r="W1852" i="2" s="1"/>
  <c r="T1852" i="2"/>
  <c r="V1851" i="2"/>
  <c r="W1851" i="2" s="1"/>
  <c r="T1851" i="2"/>
  <c r="V1850" i="2"/>
  <c r="W1850" i="2" s="1"/>
  <c r="T1850" i="2"/>
  <c r="V1849" i="2"/>
  <c r="W1849" i="2" s="1"/>
  <c r="T1849" i="2"/>
  <c r="V1848" i="2"/>
  <c r="W1848" i="2" s="1"/>
  <c r="T1848" i="2"/>
  <c r="V1847" i="2"/>
  <c r="W1847" i="2" s="1"/>
  <c r="T1847" i="2"/>
  <c r="V1846" i="2"/>
  <c r="W1846" i="2" s="1"/>
  <c r="T1846" i="2"/>
  <c r="V1845" i="2"/>
  <c r="W1845" i="2" s="1"/>
  <c r="T1845" i="2"/>
  <c r="V1844" i="2"/>
  <c r="W1844" i="2" s="1"/>
  <c r="T1844" i="2"/>
  <c r="V1843" i="2"/>
  <c r="W1843" i="2" s="1"/>
  <c r="T1843" i="2"/>
  <c r="V1842" i="2"/>
  <c r="W1842" i="2" s="1"/>
  <c r="T1842" i="2"/>
  <c r="V1841" i="2"/>
  <c r="W1841" i="2" s="1"/>
  <c r="T1841" i="2"/>
  <c r="V1840" i="2"/>
  <c r="W1840" i="2" s="1"/>
  <c r="T1840" i="2"/>
  <c r="V1839" i="2"/>
  <c r="W1839" i="2" s="1"/>
  <c r="T1839" i="2"/>
  <c r="V1838" i="2"/>
  <c r="W1838" i="2" s="1"/>
  <c r="T1838" i="2"/>
  <c r="V1837" i="2"/>
  <c r="W1837" i="2" s="1"/>
  <c r="T1837" i="2"/>
  <c r="V1836" i="2"/>
  <c r="W1836" i="2" s="1"/>
  <c r="T1836" i="2"/>
  <c r="V1835" i="2"/>
  <c r="W1835" i="2" s="1"/>
  <c r="T1835" i="2"/>
  <c r="V1834" i="2"/>
  <c r="W1834" i="2" s="1"/>
  <c r="T1834" i="2"/>
  <c r="V1833" i="2"/>
  <c r="W1833" i="2" s="1"/>
  <c r="T1833" i="2"/>
  <c r="V1832" i="2"/>
  <c r="W1832" i="2" s="1"/>
  <c r="T1832" i="2"/>
  <c r="V1831" i="2"/>
  <c r="W1831" i="2" s="1"/>
  <c r="T1831" i="2"/>
  <c r="V1830" i="2"/>
  <c r="W1830" i="2" s="1"/>
  <c r="T1830" i="2"/>
  <c r="V1829" i="2"/>
  <c r="W1829" i="2" s="1"/>
  <c r="T1829" i="2"/>
  <c r="V1828" i="2"/>
  <c r="W1828" i="2" s="1"/>
  <c r="T1828" i="2"/>
  <c r="V1827" i="2"/>
  <c r="W1827" i="2" s="1"/>
  <c r="T1827" i="2"/>
  <c r="V1826" i="2"/>
  <c r="W1826" i="2" s="1"/>
  <c r="T1826" i="2"/>
  <c r="V1825" i="2"/>
  <c r="W1825" i="2" s="1"/>
  <c r="T1825" i="2"/>
  <c r="V1824" i="2"/>
  <c r="W1824" i="2" s="1"/>
  <c r="T1824" i="2"/>
  <c r="V1823" i="2"/>
  <c r="W1823" i="2" s="1"/>
  <c r="T1823" i="2"/>
  <c r="V1822" i="2"/>
  <c r="W1822" i="2" s="1"/>
  <c r="T1822" i="2"/>
  <c r="V1821" i="2"/>
  <c r="W1821" i="2" s="1"/>
  <c r="T1821" i="2"/>
  <c r="V1820" i="2"/>
  <c r="W1820" i="2" s="1"/>
  <c r="T1820" i="2"/>
  <c r="V1819" i="2"/>
  <c r="W1819" i="2" s="1"/>
  <c r="T1819" i="2"/>
  <c r="V1818" i="2"/>
  <c r="W1818" i="2" s="1"/>
  <c r="T1818" i="2"/>
  <c r="V1817" i="2"/>
  <c r="W1817" i="2" s="1"/>
  <c r="T1817" i="2"/>
  <c r="V1816" i="2"/>
  <c r="W1816" i="2" s="1"/>
  <c r="T1816" i="2"/>
  <c r="V1815" i="2"/>
  <c r="W1815" i="2" s="1"/>
  <c r="T1815" i="2"/>
  <c r="V1814" i="2"/>
  <c r="W1814" i="2" s="1"/>
  <c r="T1814" i="2"/>
  <c r="V1813" i="2"/>
  <c r="W1813" i="2" s="1"/>
  <c r="T1813" i="2"/>
  <c r="V1812" i="2"/>
  <c r="W1812" i="2" s="1"/>
  <c r="T1812" i="2"/>
  <c r="V1811" i="2"/>
  <c r="W1811" i="2" s="1"/>
  <c r="T1811" i="2"/>
  <c r="V1810" i="2"/>
  <c r="W1810" i="2" s="1"/>
  <c r="T1810" i="2"/>
  <c r="V1809" i="2"/>
  <c r="W1809" i="2" s="1"/>
  <c r="T1809" i="2"/>
  <c r="V1808" i="2"/>
  <c r="W1808" i="2" s="1"/>
  <c r="T1808" i="2"/>
  <c r="V1807" i="2"/>
  <c r="W1807" i="2" s="1"/>
  <c r="T1807" i="2"/>
  <c r="V1806" i="2"/>
  <c r="W1806" i="2" s="1"/>
  <c r="T1806" i="2"/>
  <c r="V1805" i="2"/>
  <c r="W1805" i="2" s="1"/>
  <c r="T1805" i="2"/>
  <c r="V1804" i="2"/>
  <c r="W1804" i="2" s="1"/>
  <c r="T1804" i="2"/>
  <c r="V1803" i="2"/>
  <c r="W1803" i="2" s="1"/>
  <c r="T1803" i="2"/>
  <c r="V1802" i="2"/>
  <c r="W1802" i="2" s="1"/>
  <c r="T1802" i="2"/>
  <c r="V1801" i="2"/>
  <c r="W1801" i="2" s="1"/>
  <c r="T1801" i="2"/>
  <c r="V1800" i="2"/>
  <c r="W1800" i="2" s="1"/>
  <c r="T1800" i="2"/>
  <c r="V1799" i="2"/>
  <c r="W1799" i="2" s="1"/>
  <c r="T1799" i="2"/>
  <c r="V1798" i="2"/>
  <c r="W1798" i="2" s="1"/>
  <c r="T1798" i="2"/>
  <c r="V1797" i="2"/>
  <c r="W1797" i="2" s="1"/>
  <c r="T1797" i="2"/>
  <c r="V1796" i="2"/>
  <c r="W1796" i="2" s="1"/>
  <c r="T1796" i="2"/>
  <c r="V1795" i="2"/>
  <c r="W1795" i="2" s="1"/>
  <c r="T1795" i="2"/>
  <c r="V1794" i="2"/>
  <c r="W1794" i="2" s="1"/>
  <c r="T1794" i="2"/>
  <c r="V1793" i="2"/>
  <c r="W1793" i="2" s="1"/>
  <c r="T1793" i="2"/>
  <c r="V1792" i="2"/>
  <c r="W1792" i="2" s="1"/>
  <c r="T1792" i="2"/>
  <c r="V1791" i="2"/>
  <c r="W1791" i="2" s="1"/>
  <c r="T1791" i="2"/>
  <c r="V1790" i="2"/>
  <c r="W1790" i="2" s="1"/>
  <c r="T1790" i="2"/>
  <c r="V1789" i="2"/>
  <c r="W1789" i="2" s="1"/>
  <c r="T1789" i="2"/>
  <c r="V1788" i="2"/>
  <c r="W1788" i="2" s="1"/>
  <c r="T1788" i="2"/>
  <c r="V1787" i="2"/>
  <c r="W1787" i="2" s="1"/>
  <c r="T1787" i="2"/>
  <c r="V1786" i="2"/>
  <c r="W1786" i="2" s="1"/>
  <c r="T1786" i="2"/>
  <c r="V1785" i="2"/>
  <c r="W1785" i="2" s="1"/>
  <c r="T1785" i="2"/>
  <c r="V1784" i="2"/>
  <c r="W1784" i="2" s="1"/>
  <c r="T1784" i="2"/>
  <c r="V1783" i="2"/>
  <c r="W1783" i="2" s="1"/>
  <c r="T1783" i="2"/>
  <c r="V1782" i="2"/>
  <c r="W1782" i="2" s="1"/>
  <c r="T1782" i="2"/>
  <c r="V1781" i="2"/>
  <c r="W1781" i="2" s="1"/>
  <c r="T1781" i="2"/>
  <c r="V1780" i="2"/>
  <c r="W1780" i="2" s="1"/>
  <c r="T1780" i="2"/>
  <c r="V1779" i="2"/>
  <c r="W1779" i="2" s="1"/>
  <c r="T1779" i="2"/>
  <c r="V1778" i="2"/>
  <c r="W1778" i="2" s="1"/>
  <c r="T1778" i="2"/>
  <c r="V1777" i="2"/>
  <c r="W1777" i="2" s="1"/>
  <c r="T1777" i="2"/>
  <c r="V1776" i="2"/>
  <c r="W1776" i="2" s="1"/>
  <c r="T1776" i="2"/>
  <c r="V1775" i="2"/>
  <c r="W1775" i="2" s="1"/>
  <c r="T1775" i="2"/>
  <c r="V1774" i="2"/>
  <c r="W1774" i="2" s="1"/>
  <c r="T1774" i="2"/>
  <c r="V1773" i="2"/>
  <c r="W1773" i="2" s="1"/>
  <c r="T1773" i="2"/>
  <c r="V1772" i="2"/>
  <c r="W1772" i="2" s="1"/>
  <c r="T1772" i="2"/>
  <c r="V1771" i="2"/>
  <c r="W1771" i="2" s="1"/>
  <c r="T1771" i="2"/>
  <c r="V1770" i="2"/>
  <c r="W1770" i="2" s="1"/>
  <c r="T1770" i="2"/>
  <c r="V1769" i="2"/>
  <c r="W1769" i="2" s="1"/>
  <c r="T1769" i="2"/>
  <c r="V1768" i="2"/>
  <c r="W1768" i="2" s="1"/>
  <c r="T1768" i="2"/>
  <c r="V1767" i="2"/>
  <c r="W1767" i="2" s="1"/>
  <c r="T1767" i="2"/>
  <c r="V1766" i="2"/>
  <c r="W1766" i="2" s="1"/>
  <c r="T1766" i="2"/>
  <c r="V1765" i="2"/>
  <c r="W1765" i="2" s="1"/>
  <c r="T1765" i="2"/>
  <c r="V1764" i="2"/>
  <c r="W1764" i="2" s="1"/>
  <c r="T1764" i="2"/>
  <c r="V1763" i="2"/>
  <c r="W1763" i="2" s="1"/>
  <c r="T1763" i="2"/>
  <c r="V1762" i="2"/>
  <c r="W1762" i="2" s="1"/>
  <c r="T1762" i="2"/>
  <c r="V1761" i="2"/>
  <c r="W1761" i="2" s="1"/>
  <c r="T1761" i="2"/>
  <c r="V1760" i="2"/>
  <c r="W1760" i="2" s="1"/>
  <c r="T1760" i="2"/>
  <c r="V1759" i="2"/>
  <c r="W1759" i="2" s="1"/>
  <c r="T1759" i="2"/>
  <c r="V1758" i="2"/>
  <c r="W1758" i="2" s="1"/>
  <c r="T1758" i="2"/>
  <c r="V1757" i="2"/>
  <c r="W1757" i="2" s="1"/>
  <c r="T1757" i="2"/>
  <c r="V1756" i="2"/>
  <c r="W1756" i="2" s="1"/>
  <c r="T1756" i="2"/>
  <c r="V1755" i="2"/>
  <c r="W1755" i="2" s="1"/>
  <c r="T1755" i="2"/>
  <c r="V1754" i="2"/>
  <c r="W1754" i="2" s="1"/>
  <c r="T1754" i="2"/>
  <c r="V1753" i="2"/>
  <c r="W1753" i="2" s="1"/>
  <c r="T1753" i="2"/>
  <c r="V1752" i="2"/>
  <c r="W1752" i="2" s="1"/>
  <c r="T1752" i="2"/>
  <c r="V1751" i="2"/>
  <c r="W1751" i="2" s="1"/>
  <c r="T1751" i="2"/>
  <c r="V1750" i="2"/>
  <c r="W1750" i="2" s="1"/>
  <c r="T1750" i="2"/>
  <c r="V1749" i="2"/>
  <c r="W1749" i="2" s="1"/>
  <c r="T1749" i="2"/>
  <c r="V1748" i="2"/>
  <c r="W1748" i="2" s="1"/>
  <c r="T1748" i="2"/>
  <c r="V1747" i="2"/>
  <c r="W1747" i="2" s="1"/>
  <c r="T1747" i="2"/>
  <c r="V1746" i="2"/>
  <c r="W1746" i="2" s="1"/>
  <c r="T1746" i="2"/>
  <c r="V1745" i="2"/>
  <c r="W1745" i="2" s="1"/>
  <c r="T1745" i="2"/>
  <c r="V1744" i="2"/>
  <c r="W1744" i="2" s="1"/>
  <c r="T1744" i="2"/>
  <c r="V1743" i="2"/>
  <c r="W1743" i="2" s="1"/>
  <c r="T1743" i="2"/>
  <c r="V1742" i="2"/>
  <c r="W1742" i="2" s="1"/>
  <c r="T1742" i="2"/>
  <c r="V1741" i="2"/>
  <c r="W1741" i="2" s="1"/>
  <c r="T1741" i="2"/>
  <c r="V1740" i="2"/>
  <c r="W1740" i="2" s="1"/>
  <c r="T1740" i="2"/>
  <c r="V1739" i="2"/>
  <c r="W1739" i="2" s="1"/>
  <c r="T1739" i="2"/>
  <c r="V1738" i="2"/>
  <c r="W1738" i="2" s="1"/>
  <c r="T1738" i="2"/>
  <c r="V1737" i="2"/>
  <c r="W1737" i="2" s="1"/>
  <c r="T1737" i="2"/>
  <c r="V1736" i="2"/>
  <c r="W1736" i="2" s="1"/>
  <c r="T1736" i="2"/>
  <c r="V1735" i="2"/>
  <c r="W1735" i="2" s="1"/>
  <c r="T1735" i="2"/>
  <c r="V1734" i="2"/>
  <c r="W1734" i="2" s="1"/>
  <c r="T1734" i="2"/>
  <c r="V1733" i="2"/>
  <c r="W1733" i="2" s="1"/>
  <c r="T1733" i="2"/>
  <c r="V1732" i="2"/>
  <c r="W1732" i="2" s="1"/>
  <c r="T1732" i="2"/>
  <c r="V1731" i="2"/>
  <c r="W1731" i="2" s="1"/>
  <c r="T1731" i="2"/>
  <c r="V1730" i="2"/>
  <c r="W1730" i="2" s="1"/>
  <c r="T1730" i="2"/>
  <c r="V1729" i="2"/>
  <c r="W1729" i="2" s="1"/>
  <c r="T1729" i="2"/>
  <c r="V1728" i="2"/>
  <c r="W1728" i="2" s="1"/>
  <c r="T1728" i="2"/>
  <c r="V1727" i="2"/>
  <c r="W1727" i="2" s="1"/>
  <c r="T1727" i="2"/>
  <c r="V1726" i="2"/>
  <c r="W1726" i="2" s="1"/>
  <c r="T1726" i="2"/>
  <c r="V1725" i="2"/>
  <c r="W1725" i="2" s="1"/>
  <c r="T1725" i="2"/>
  <c r="V1724" i="2"/>
  <c r="W1724" i="2" s="1"/>
  <c r="T1724" i="2"/>
  <c r="V1723" i="2"/>
  <c r="W1723" i="2" s="1"/>
  <c r="T1723" i="2"/>
  <c r="V1722" i="2"/>
  <c r="W1722" i="2" s="1"/>
  <c r="T1722" i="2"/>
  <c r="V1721" i="2"/>
  <c r="W1721" i="2" s="1"/>
  <c r="T1721" i="2"/>
  <c r="V1720" i="2"/>
  <c r="W1720" i="2" s="1"/>
  <c r="T1720" i="2"/>
  <c r="V1719" i="2"/>
  <c r="W1719" i="2" s="1"/>
  <c r="T1719" i="2"/>
  <c r="V1718" i="2"/>
  <c r="W1718" i="2" s="1"/>
  <c r="T1718" i="2"/>
  <c r="V1717" i="2"/>
  <c r="W1717" i="2" s="1"/>
  <c r="T1717" i="2"/>
  <c r="V1716" i="2"/>
  <c r="W1716" i="2" s="1"/>
  <c r="T1716" i="2"/>
  <c r="V1715" i="2"/>
  <c r="W1715" i="2" s="1"/>
  <c r="T1715" i="2"/>
  <c r="V1714" i="2"/>
  <c r="W1714" i="2" s="1"/>
  <c r="T1714" i="2"/>
  <c r="V1713" i="2"/>
  <c r="W1713" i="2" s="1"/>
  <c r="T1713" i="2"/>
  <c r="V1712" i="2"/>
  <c r="W1712" i="2" s="1"/>
  <c r="T1712" i="2"/>
  <c r="V1711" i="2"/>
  <c r="W1711" i="2" s="1"/>
  <c r="T1711" i="2"/>
  <c r="V1710" i="2"/>
  <c r="W1710" i="2" s="1"/>
  <c r="T1710" i="2"/>
  <c r="V1709" i="2"/>
  <c r="W1709" i="2" s="1"/>
  <c r="T1709" i="2"/>
  <c r="V1708" i="2"/>
  <c r="W1708" i="2" s="1"/>
  <c r="T1708" i="2"/>
  <c r="V1707" i="2"/>
  <c r="W1707" i="2" s="1"/>
  <c r="T1707" i="2"/>
  <c r="V1706" i="2"/>
  <c r="W1706" i="2" s="1"/>
  <c r="T1706" i="2"/>
  <c r="V1705" i="2"/>
  <c r="W1705" i="2" s="1"/>
  <c r="T1705" i="2"/>
  <c r="V1704" i="2"/>
  <c r="W1704" i="2" s="1"/>
  <c r="T1704" i="2"/>
  <c r="V1703" i="2"/>
  <c r="W1703" i="2" s="1"/>
  <c r="T1703" i="2"/>
  <c r="V1702" i="2"/>
  <c r="W1702" i="2" s="1"/>
  <c r="T1702" i="2"/>
  <c r="V1701" i="2"/>
  <c r="W1701" i="2" s="1"/>
  <c r="T1701" i="2"/>
  <c r="V1700" i="2"/>
  <c r="W1700" i="2" s="1"/>
  <c r="T1700" i="2"/>
  <c r="V1699" i="2"/>
  <c r="W1699" i="2" s="1"/>
  <c r="T1699" i="2"/>
  <c r="V1698" i="2"/>
  <c r="W1698" i="2" s="1"/>
  <c r="T1698" i="2"/>
  <c r="V1697" i="2"/>
  <c r="W1697" i="2" s="1"/>
  <c r="T1697" i="2"/>
  <c r="V1696" i="2"/>
  <c r="W1696" i="2" s="1"/>
  <c r="T1696" i="2"/>
  <c r="V1695" i="2"/>
  <c r="W1695" i="2" s="1"/>
  <c r="T1695" i="2"/>
  <c r="V1694" i="2"/>
  <c r="W1694" i="2" s="1"/>
  <c r="T1694" i="2"/>
  <c r="V1693" i="2"/>
  <c r="W1693" i="2" s="1"/>
  <c r="T1693" i="2"/>
  <c r="V1692" i="2"/>
  <c r="W1692" i="2" s="1"/>
  <c r="T1692" i="2"/>
  <c r="V1691" i="2"/>
  <c r="W1691" i="2" s="1"/>
  <c r="T1691" i="2"/>
  <c r="V1690" i="2"/>
  <c r="W1690" i="2" s="1"/>
  <c r="T1690" i="2"/>
  <c r="V1689" i="2"/>
  <c r="W1689" i="2" s="1"/>
  <c r="T1689" i="2"/>
  <c r="V1688" i="2"/>
  <c r="W1688" i="2" s="1"/>
  <c r="T1688" i="2"/>
  <c r="V1687" i="2"/>
  <c r="W1687" i="2" s="1"/>
  <c r="T1687" i="2"/>
  <c r="V1686" i="2"/>
  <c r="W1686" i="2" s="1"/>
  <c r="T1686" i="2"/>
  <c r="V1685" i="2"/>
  <c r="W1685" i="2" s="1"/>
  <c r="T1685" i="2"/>
  <c r="V1684" i="2"/>
  <c r="W1684" i="2" s="1"/>
  <c r="T1684" i="2"/>
  <c r="V1683" i="2"/>
  <c r="W1683" i="2" s="1"/>
  <c r="T1683" i="2"/>
  <c r="V1682" i="2"/>
  <c r="W1682" i="2" s="1"/>
  <c r="T1682" i="2"/>
  <c r="V1681" i="2"/>
  <c r="W1681" i="2" s="1"/>
  <c r="T1681" i="2"/>
  <c r="V1680" i="2"/>
  <c r="W1680" i="2" s="1"/>
  <c r="T1680" i="2"/>
  <c r="V1679" i="2"/>
  <c r="W1679" i="2" s="1"/>
  <c r="T1679" i="2"/>
  <c r="V1678" i="2"/>
  <c r="W1678" i="2" s="1"/>
  <c r="T1678" i="2"/>
  <c r="V1677" i="2"/>
  <c r="W1677" i="2" s="1"/>
  <c r="T1677" i="2"/>
  <c r="V1676" i="2"/>
  <c r="W1676" i="2" s="1"/>
  <c r="T1676" i="2"/>
  <c r="V1675" i="2"/>
  <c r="W1675" i="2" s="1"/>
  <c r="T1675" i="2"/>
  <c r="V1674" i="2"/>
  <c r="W1674" i="2" s="1"/>
  <c r="T1674" i="2"/>
  <c r="V1673" i="2"/>
  <c r="W1673" i="2" s="1"/>
  <c r="T1673" i="2"/>
  <c r="V1672" i="2"/>
  <c r="W1672" i="2" s="1"/>
  <c r="T1672" i="2"/>
  <c r="V1671" i="2"/>
  <c r="W1671" i="2" s="1"/>
  <c r="T1671" i="2"/>
  <c r="V1670" i="2"/>
  <c r="W1670" i="2" s="1"/>
  <c r="T1670" i="2"/>
  <c r="V1669" i="2"/>
  <c r="W1669" i="2" s="1"/>
  <c r="T1669" i="2"/>
  <c r="V1668" i="2"/>
  <c r="W1668" i="2" s="1"/>
  <c r="T1668" i="2"/>
  <c r="V1667" i="2"/>
  <c r="W1667" i="2" s="1"/>
  <c r="T1667" i="2"/>
  <c r="V1666" i="2"/>
  <c r="W1666" i="2" s="1"/>
  <c r="T1666" i="2"/>
  <c r="V1665" i="2"/>
  <c r="W1665" i="2" s="1"/>
  <c r="T1665" i="2"/>
  <c r="V1664" i="2"/>
  <c r="W1664" i="2" s="1"/>
  <c r="T1664" i="2"/>
  <c r="V1663" i="2"/>
  <c r="W1663" i="2" s="1"/>
  <c r="T1663" i="2"/>
  <c r="V1662" i="2"/>
  <c r="W1662" i="2" s="1"/>
  <c r="T1662" i="2"/>
  <c r="V1661" i="2"/>
  <c r="W1661" i="2" s="1"/>
  <c r="T1661" i="2"/>
  <c r="V1660" i="2"/>
  <c r="W1660" i="2" s="1"/>
  <c r="T1660" i="2"/>
  <c r="V1659" i="2"/>
  <c r="W1659" i="2" s="1"/>
  <c r="T1659" i="2"/>
  <c r="V1658" i="2"/>
  <c r="W1658" i="2" s="1"/>
  <c r="T1658" i="2"/>
  <c r="V1657" i="2"/>
  <c r="W1657" i="2" s="1"/>
  <c r="T1657" i="2"/>
  <c r="V1656" i="2"/>
  <c r="W1656" i="2" s="1"/>
  <c r="T1656" i="2"/>
  <c r="V1655" i="2"/>
  <c r="W1655" i="2" s="1"/>
  <c r="T1655" i="2"/>
  <c r="V1654" i="2"/>
  <c r="W1654" i="2" s="1"/>
  <c r="T1654" i="2"/>
  <c r="V1653" i="2"/>
  <c r="W1653" i="2" s="1"/>
  <c r="T1653" i="2"/>
  <c r="V1652" i="2"/>
  <c r="W1652" i="2" s="1"/>
  <c r="T1652" i="2"/>
  <c r="V1651" i="2"/>
  <c r="W1651" i="2" s="1"/>
  <c r="T1651" i="2"/>
  <c r="V1650" i="2"/>
  <c r="W1650" i="2" s="1"/>
  <c r="T1650" i="2"/>
  <c r="V1649" i="2"/>
  <c r="W1649" i="2" s="1"/>
  <c r="T1649" i="2"/>
  <c r="V1648" i="2"/>
  <c r="W1648" i="2" s="1"/>
  <c r="T1648" i="2"/>
  <c r="V1647" i="2"/>
  <c r="W1647" i="2" s="1"/>
  <c r="T1647" i="2"/>
  <c r="V1646" i="2"/>
  <c r="W1646" i="2" s="1"/>
  <c r="T1646" i="2"/>
  <c r="V1645" i="2"/>
  <c r="W1645" i="2" s="1"/>
  <c r="T1645" i="2"/>
  <c r="V1644" i="2"/>
  <c r="W1644" i="2" s="1"/>
  <c r="T1644" i="2"/>
  <c r="V1643" i="2"/>
  <c r="W1643" i="2" s="1"/>
  <c r="T1643" i="2"/>
  <c r="V1642" i="2"/>
  <c r="W1642" i="2" s="1"/>
  <c r="T1642" i="2"/>
  <c r="V1641" i="2"/>
  <c r="W1641" i="2" s="1"/>
  <c r="T1641" i="2"/>
  <c r="V1640" i="2"/>
  <c r="W1640" i="2" s="1"/>
  <c r="T1640" i="2"/>
  <c r="V1639" i="2"/>
  <c r="W1639" i="2" s="1"/>
  <c r="T1639" i="2"/>
  <c r="V1638" i="2"/>
  <c r="W1638" i="2" s="1"/>
  <c r="T1638" i="2"/>
  <c r="V1637" i="2"/>
  <c r="W1637" i="2" s="1"/>
  <c r="T1637" i="2"/>
  <c r="V1636" i="2"/>
  <c r="W1636" i="2" s="1"/>
  <c r="T1636" i="2"/>
  <c r="V1635" i="2"/>
  <c r="W1635" i="2" s="1"/>
  <c r="T1635" i="2"/>
  <c r="V1634" i="2"/>
  <c r="W1634" i="2" s="1"/>
  <c r="T1634" i="2"/>
  <c r="V1633" i="2"/>
  <c r="W1633" i="2" s="1"/>
  <c r="T1633" i="2"/>
  <c r="V1632" i="2"/>
  <c r="W1632" i="2" s="1"/>
  <c r="T1632" i="2"/>
  <c r="V1631" i="2"/>
  <c r="W1631" i="2" s="1"/>
  <c r="T1631" i="2"/>
  <c r="V1630" i="2"/>
  <c r="W1630" i="2" s="1"/>
  <c r="T1630" i="2"/>
  <c r="V1629" i="2"/>
  <c r="W1629" i="2" s="1"/>
  <c r="T1629" i="2"/>
  <c r="V1628" i="2"/>
  <c r="W1628" i="2" s="1"/>
  <c r="T1628" i="2"/>
  <c r="V1627" i="2"/>
  <c r="W1627" i="2" s="1"/>
  <c r="T1627" i="2"/>
  <c r="V1626" i="2"/>
  <c r="W1626" i="2" s="1"/>
  <c r="T1626" i="2"/>
  <c r="V1625" i="2"/>
  <c r="W1625" i="2" s="1"/>
  <c r="T1625" i="2"/>
  <c r="V1624" i="2"/>
  <c r="W1624" i="2" s="1"/>
  <c r="T1624" i="2"/>
  <c r="V1623" i="2"/>
  <c r="W1623" i="2" s="1"/>
  <c r="T1623" i="2"/>
  <c r="V1622" i="2"/>
  <c r="W1622" i="2" s="1"/>
  <c r="T1622" i="2"/>
  <c r="V1621" i="2"/>
  <c r="W1621" i="2" s="1"/>
  <c r="T1621" i="2"/>
  <c r="V1620" i="2"/>
  <c r="W1620" i="2" s="1"/>
  <c r="T1620" i="2"/>
  <c r="V1619" i="2"/>
  <c r="W1619" i="2" s="1"/>
  <c r="T1619" i="2"/>
  <c r="V1618" i="2"/>
  <c r="W1618" i="2" s="1"/>
  <c r="T1618" i="2"/>
  <c r="V1617" i="2"/>
  <c r="W1617" i="2" s="1"/>
  <c r="T1617" i="2"/>
  <c r="V1616" i="2"/>
  <c r="W1616" i="2" s="1"/>
  <c r="T1616" i="2"/>
  <c r="V1615" i="2"/>
  <c r="W1615" i="2" s="1"/>
  <c r="T1615" i="2"/>
  <c r="V1614" i="2"/>
  <c r="W1614" i="2" s="1"/>
  <c r="T1614" i="2"/>
  <c r="V1613" i="2"/>
  <c r="W1613" i="2" s="1"/>
  <c r="T1613" i="2"/>
  <c r="V1612" i="2"/>
  <c r="W1612" i="2" s="1"/>
  <c r="T1612" i="2"/>
  <c r="V1611" i="2"/>
  <c r="W1611" i="2" s="1"/>
  <c r="T1611" i="2"/>
  <c r="V1610" i="2"/>
  <c r="W1610" i="2" s="1"/>
  <c r="T1610" i="2"/>
  <c r="V1609" i="2"/>
  <c r="W1609" i="2" s="1"/>
  <c r="T1609" i="2"/>
  <c r="V1608" i="2"/>
  <c r="W1608" i="2" s="1"/>
  <c r="T1608" i="2"/>
  <c r="V1607" i="2"/>
  <c r="W1607" i="2" s="1"/>
  <c r="T1607" i="2"/>
  <c r="V1606" i="2"/>
  <c r="W1606" i="2" s="1"/>
  <c r="T1606" i="2"/>
  <c r="V1605" i="2"/>
  <c r="W1605" i="2" s="1"/>
  <c r="T1605" i="2"/>
  <c r="V1604" i="2"/>
  <c r="W1604" i="2" s="1"/>
  <c r="T1604" i="2"/>
  <c r="V1603" i="2"/>
  <c r="W1603" i="2" s="1"/>
  <c r="T1603" i="2"/>
  <c r="V1602" i="2"/>
  <c r="W1602" i="2" s="1"/>
  <c r="T1602" i="2"/>
  <c r="V1601" i="2"/>
  <c r="W1601" i="2" s="1"/>
  <c r="T1601" i="2"/>
  <c r="V1600" i="2"/>
  <c r="W1600" i="2" s="1"/>
  <c r="T1600" i="2"/>
  <c r="V1599" i="2"/>
  <c r="W1599" i="2" s="1"/>
  <c r="T1599" i="2"/>
  <c r="V1598" i="2"/>
  <c r="W1598" i="2" s="1"/>
  <c r="T1598" i="2"/>
  <c r="V1597" i="2"/>
  <c r="W1597" i="2" s="1"/>
  <c r="T1597" i="2"/>
  <c r="V1596" i="2"/>
  <c r="W1596" i="2" s="1"/>
  <c r="T1596" i="2"/>
  <c r="V1595" i="2"/>
  <c r="W1595" i="2" s="1"/>
  <c r="T1595" i="2"/>
  <c r="V1594" i="2"/>
  <c r="W1594" i="2" s="1"/>
  <c r="T1594" i="2"/>
  <c r="V1593" i="2"/>
  <c r="W1593" i="2" s="1"/>
  <c r="T1593" i="2"/>
  <c r="V1592" i="2"/>
  <c r="W1592" i="2" s="1"/>
  <c r="T1592" i="2"/>
  <c r="V1591" i="2"/>
  <c r="W1591" i="2" s="1"/>
  <c r="T1591" i="2"/>
  <c r="V1590" i="2"/>
  <c r="W1590" i="2" s="1"/>
  <c r="T1590" i="2"/>
  <c r="V1589" i="2"/>
  <c r="W1589" i="2" s="1"/>
  <c r="T1589" i="2"/>
  <c r="V1588" i="2"/>
  <c r="W1588" i="2" s="1"/>
  <c r="T1588" i="2"/>
  <c r="V1587" i="2"/>
  <c r="W1587" i="2" s="1"/>
  <c r="T1587" i="2"/>
  <c r="V1586" i="2"/>
  <c r="W1586" i="2" s="1"/>
  <c r="T1586" i="2"/>
  <c r="V1585" i="2"/>
  <c r="W1585" i="2" s="1"/>
  <c r="T1585" i="2"/>
  <c r="V1584" i="2"/>
  <c r="W1584" i="2" s="1"/>
  <c r="T1584" i="2"/>
  <c r="V1583" i="2"/>
  <c r="W1583" i="2" s="1"/>
  <c r="T1583" i="2"/>
  <c r="V1582" i="2"/>
  <c r="W1582" i="2" s="1"/>
  <c r="T1582" i="2"/>
  <c r="V1581" i="2"/>
  <c r="W1581" i="2" s="1"/>
  <c r="T1581" i="2"/>
  <c r="V1580" i="2"/>
  <c r="W1580" i="2" s="1"/>
  <c r="T1580" i="2"/>
  <c r="V1579" i="2"/>
  <c r="W1579" i="2" s="1"/>
  <c r="T1579" i="2"/>
  <c r="V1578" i="2"/>
  <c r="W1578" i="2" s="1"/>
  <c r="T1578" i="2"/>
  <c r="V1577" i="2"/>
  <c r="W1577" i="2" s="1"/>
  <c r="T1577" i="2"/>
  <c r="V1576" i="2"/>
  <c r="W1576" i="2" s="1"/>
  <c r="T1576" i="2"/>
  <c r="V1575" i="2"/>
  <c r="W1575" i="2" s="1"/>
  <c r="T1575" i="2"/>
  <c r="V1574" i="2"/>
  <c r="W1574" i="2" s="1"/>
  <c r="T1574" i="2"/>
  <c r="V1573" i="2"/>
  <c r="W1573" i="2" s="1"/>
  <c r="T1573" i="2"/>
  <c r="V1572" i="2"/>
  <c r="W1572" i="2" s="1"/>
  <c r="T1572" i="2"/>
  <c r="V1571" i="2"/>
  <c r="W1571" i="2" s="1"/>
  <c r="T1571" i="2"/>
  <c r="V1570" i="2"/>
  <c r="W1570" i="2" s="1"/>
  <c r="T1570" i="2"/>
  <c r="V1569" i="2"/>
  <c r="W1569" i="2" s="1"/>
  <c r="T1569" i="2"/>
  <c r="V1568" i="2"/>
  <c r="W1568" i="2" s="1"/>
  <c r="T1568" i="2"/>
  <c r="V1567" i="2"/>
  <c r="W1567" i="2" s="1"/>
  <c r="T1567" i="2"/>
  <c r="V1566" i="2"/>
  <c r="W1566" i="2" s="1"/>
  <c r="T1566" i="2"/>
  <c r="V1565" i="2"/>
  <c r="W1565" i="2" s="1"/>
  <c r="T1565" i="2"/>
  <c r="V1564" i="2"/>
  <c r="W1564" i="2" s="1"/>
  <c r="T1564" i="2"/>
  <c r="V1563" i="2"/>
  <c r="W1563" i="2" s="1"/>
  <c r="T1563" i="2"/>
  <c r="V1562" i="2"/>
  <c r="W1562" i="2" s="1"/>
  <c r="T1562" i="2"/>
  <c r="V1561" i="2"/>
  <c r="W1561" i="2" s="1"/>
  <c r="T1561" i="2"/>
  <c r="V1560" i="2"/>
  <c r="W1560" i="2" s="1"/>
  <c r="T1560" i="2"/>
  <c r="V1559" i="2"/>
  <c r="W1559" i="2" s="1"/>
  <c r="T1559" i="2"/>
  <c r="V1558" i="2"/>
  <c r="W1558" i="2" s="1"/>
  <c r="T1558" i="2"/>
  <c r="V1557" i="2"/>
  <c r="W1557" i="2" s="1"/>
  <c r="T1557" i="2"/>
  <c r="V1556" i="2"/>
  <c r="W1556" i="2" s="1"/>
  <c r="T1556" i="2"/>
  <c r="V1555" i="2"/>
  <c r="W1555" i="2" s="1"/>
  <c r="T1555" i="2"/>
  <c r="V1554" i="2"/>
  <c r="W1554" i="2" s="1"/>
  <c r="T1554" i="2"/>
  <c r="V1553" i="2"/>
  <c r="W1553" i="2" s="1"/>
  <c r="T1553" i="2"/>
  <c r="V1552" i="2"/>
  <c r="W1552" i="2" s="1"/>
  <c r="T1552" i="2"/>
  <c r="V1551" i="2"/>
  <c r="W1551" i="2" s="1"/>
  <c r="T1551" i="2"/>
  <c r="V1550" i="2"/>
  <c r="W1550" i="2" s="1"/>
  <c r="T1550" i="2"/>
  <c r="V1549" i="2"/>
  <c r="W1549" i="2" s="1"/>
  <c r="T1549" i="2"/>
  <c r="V1548" i="2"/>
  <c r="W1548" i="2" s="1"/>
  <c r="T1548" i="2"/>
  <c r="V1547" i="2"/>
  <c r="W1547" i="2" s="1"/>
  <c r="T1547" i="2"/>
  <c r="V1546" i="2"/>
  <c r="W1546" i="2" s="1"/>
  <c r="T1546" i="2"/>
  <c r="V1545" i="2"/>
  <c r="W1545" i="2" s="1"/>
  <c r="T1545" i="2"/>
  <c r="V1544" i="2"/>
  <c r="W1544" i="2" s="1"/>
  <c r="T1544" i="2"/>
  <c r="V1543" i="2"/>
  <c r="W1543" i="2" s="1"/>
  <c r="T1543" i="2"/>
  <c r="V1542" i="2"/>
  <c r="W1542" i="2" s="1"/>
  <c r="T1542" i="2"/>
  <c r="V1541" i="2"/>
  <c r="W1541" i="2" s="1"/>
  <c r="T1541" i="2"/>
  <c r="V1540" i="2"/>
  <c r="W1540" i="2" s="1"/>
  <c r="T1540" i="2"/>
  <c r="V1539" i="2"/>
  <c r="W1539" i="2" s="1"/>
  <c r="T1539" i="2"/>
  <c r="V1538" i="2"/>
  <c r="W1538" i="2" s="1"/>
  <c r="T1538" i="2"/>
  <c r="V1537" i="2"/>
  <c r="W1537" i="2" s="1"/>
  <c r="T1537" i="2"/>
  <c r="V1536" i="2"/>
  <c r="W1536" i="2" s="1"/>
  <c r="T1536" i="2"/>
  <c r="V1535" i="2"/>
  <c r="W1535" i="2" s="1"/>
  <c r="T1535" i="2"/>
  <c r="V1534" i="2"/>
  <c r="W1534" i="2" s="1"/>
  <c r="T1534" i="2"/>
  <c r="V1533" i="2"/>
  <c r="W1533" i="2" s="1"/>
  <c r="T1533" i="2"/>
  <c r="V1532" i="2"/>
  <c r="W1532" i="2" s="1"/>
  <c r="T1532" i="2"/>
  <c r="V1531" i="2"/>
  <c r="W1531" i="2" s="1"/>
  <c r="T1531" i="2"/>
  <c r="V1530" i="2"/>
  <c r="W1530" i="2" s="1"/>
  <c r="T1530" i="2"/>
  <c r="V1529" i="2"/>
  <c r="W1529" i="2" s="1"/>
  <c r="T1529" i="2"/>
  <c r="V1528" i="2"/>
  <c r="W1528" i="2" s="1"/>
  <c r="T1528" i="2"/>
  <c r="V1527" i="2"/>
  <c r="W1527" i="2" s="1"/>
  <c r="T1527" i="2"/>
  <c r="V1526" i="2"/>
  <c r="W1526" i="2" s="1"/>
  <c r="T1526" i="2"/>
  <c r="V1525" i="2"/>
  <c r="W1525" i="2" s="1"/>
  <c r="T1525" i="2"/>
  <c r="V1524" i="2"/>
  <c r="W1524" i="2" s="1"/>
  <c r="T1524" i="2"/>
  <c r="V1523" i="2"/>
  <c r="W1523" i="2" s="1"/>
  <c r="T1523" i="2"/>
  <c r="V1522" i="2"/>
  <c r="W1522" i="2" s="1"/>
  <c r="T1522" i="2"/>
  <c r="V1521" i="2"/>
  <c r="W1521" i="2" s="1"/>
  <c r="T1521" i="2"/>
  <c r="V1520" i="2"/>
  <c r="W1520" i="2" s="1"/>
  <c r="T1520" i="2"/>
  <c r="V1519" i="2"/>
  <c r="W1519" i="2" s="1"/>
  <c r="T1519" i="2"/>
  <c r="V1518" i="2"/>
  <c r="W1518" i="2" s="1"/>
  <c r="T1518" i="2"/>
  <c r="V1517" i="2"/>
  <c r="W1517" i="2" s="1"/>
  <c r="T1517" i="2"/>
  <c r="V1516" i="2"/>
  <c r="W1516" i="2" s="1"/>
  <c r="T1516" i="2"/>
  <c r="V1515" i="2"/>
  <c r="W1515" i="2" s="1"/>
  <c r="T1515" i="2"/>
  <c r="V1514" i="2"/>
  <c r="W1514" i="2" s="1"/>
  <c r="T1514" i="2"/>
  <c r="A1295" i="2" l="1"/>
  <c r="A1296" i="2" s="1"/>
  <c r="A1297" i="2" s="1"/>
  <c r="A1298" i="2" s="1"/>
  <c r="A1299" i="2" s="1"/>
  <c r="A1301" i="2"/>
  <c r="A1302" i="2" s="1"/>
  <c r="A1303" i="2" s="1"/>
  <c r="A1304" i="2" s="1"/>
  <c r="A1306" i="2"/>
  <c r="A1307" i="2" s="1"/>
  <c r="A1309" i="2"/>
  <c r="A1310" i="2" s="1"/>
  <c r="A1311" i="2" s="1"/>
  <c r="A1313" i="2"/>
  <c r="A1314" i="2" s="1"/>
  <c r="A1316" i="2"/>
  <c r="A1317" i="2" s="1"/>
  <c r="A1318" i="2" s="1"/>
  <c r="A1319" i="2" s="1"/>
  <c r="A1321" i="2"/>
  <c r="A1322" i="2" s="1"/>
  <c r="A1323" i="2" s="1"/>
  <c r="A1324" i="2" s="1"/>
  <c r="A1325" i="2" s="1"/>
  <c r="A1327" i="2"/>
  <c r="A1328" i="2" s="1"/>
  <c r="A1329" i="2" s="1"/>
  <c r="A1331" i="2"/>
  <c r="A1332" i="2" s="1"/>
  <c r="A1333" i="2" s="1"/>
  <c r="A1334" i="2" s="1"/>
  <c r="A1335" i="2" s="1"/>
  <c r="A1336" i="2" s="1"/>
  <c r="A1337" i="2" s="1"/>
  <c r="A1339" i="2"/>
  <c r="A1340" i="2" s="1"/>
  <c r="A1341" i="2" s="1"/>
  <c r="A1342" i="2" s="1"/>
  <c r="A1344" i="2"/>
  <c r="A1345" i="2" s="1"/>
  <c r="A1346" i="2" s="1"/>
  <c r="A1347" i="2" s="1"/>
  <c r="A1348" i="2" s="1"/>
  <c r="A1350" i="2"/>
  <c r="A1351" i="2" s="1"/>
  <c r="A1352" i="2" s="1"/>
  <c r="A1353" i="2" s="1"/>
  <c r="A1354" i="2" s="1"/>
  <c r="A1356" i="2"/>
  <c r="A1357" i="2" s="1"/>
  <c r="A1358" i="2" s="1"/>
  <c r="A1359" i="2" s="1"/>
  <c r="A1360" i="2" s="1"/>
  <c r="D1295" i="2"/>
  <c r="D1296" i="2" s="1"/>
  <c r="D1297" i="2" s="1"/>
  <c r="D1298" i="2" s="1"/>
  <c r="D1299" i="2" s="1"/>
  <c r="D1301" i="2"/>
  <c r="D1302" i="2" s="1"/>
  <c r="D1303" i="2" s="1"/>
  <c r="D1304" i="2" s="1"/>
  <c r="D1306" i="2"/>
  <c r="D1307" i="2" s="1"/>
  <c r="D1309" i="2"/>
  <c r="D1310" i="2" s="1"/>
  <c r="D1311" i="2" s="1"/>
  <c r="D1313" i="2"/>
  <c r="D1314" i="2" s="1"/>
  <c r="D1316" i="2"/>
  <c r="D1317" i="2" s="1"/>
  <c r="D1318" i="2" s="1"/>
  <c r="D1319" i="2" s="1"/>
  <c r="D1321" i="2"/>
  <c r="D1322" i="2" s="1"/>
  <c r="D1323" i="2" s="1"/>
  <c r="D1324" i="2" s="1"/>
  <c r="D1325" i="2" s="1"/>
  <c r="D1327" i="2"/>
  <c r="D1328" i="2" s="1"/>
  <c r="D1329" i="2" s="1"/>
  <c r="D1331" i="2"/>
  <c r="D1332" i="2" s="1"/>
  <c r="D1333" i="2" s="1"/>
  <c r="D1334" i="2" s="1"/>
  <c r="D1335" i="2" s="1"/>
  <c r="D1336" i="2" s="1"/>
  <c r="D1337" i="2" s="1"/>
  <c r="D1339" i="2"/>
  <c r="D1340" i="2" s="1"/>
  <c r="D1341" i="2" s="1"/>
  <c r="D1342" i="2" s="1"/>
  <c r="D1344" i="2"/>
  <c r="D1345" i="2" s="1"/>
  <c r="D1346" i="2" s="1"/>
  <c r="D1347" i="2" s="1"/>
  <c r="D1348" i="2" s="1"/>
  <c r="D1350" i="2"/>
  <c r="D1351" i="2" s="1"/>
  <c r="D1352" i="2" s="1"/>
  <c r="D1353" i="2" s="1"/>
  <c r="D1354" i="2" s="1"/>
  <c r="D1356" i="2"/>
  <c r="D1357" i="2" s="1"/>
  <c r="D1358" i="2" s="1"/>
  <c r="D1359" i="2" s="1"/>
  <c r="D1360" i="2" s="1"/>
  <c r="A1109" i="2" l="1"/>
  <c r="A1129" i="2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3" i="2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1" i="2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5" i="2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1" i="2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3" i="2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4" i="2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2" i="2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4" i="2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6" i="2"/>
  <c r="A1287" i="2" s="1"/>
  <c r="A1288" i="2" s="1"/>
  <c r="A1289" i="2" s="1"/>
  <c r="A1290" i="2" s="1"/>
  <c r="A1291" i="2" s="1"/>
  <c r="A1292" i="2" s="1"/>
  <c r="A1293" i="2" s="1"/>
  <c r="D1109" i="2"/>
  <c r="D1110" i="2" s="1"/>
  <c r="D1111" i="2" s="1"/>
  <c r="D1112" i="2" s="1"/>
  <c r="D1113" i="2" s="1"/>
  <c r="D1114" i="2" s="1"/>
  <c r="D1115" i="2" s="1"/>
  <c r="D1116" i="2" s="1"/>
  <c r="D1117" i="2" s="1"/>
  <c r="D1118" i="2" s="1"/>
  <c r="D1119" i="2" s="1"/>
  <c r="D1120" i="2" s="1"/>
  <c r="D1121" i="2" s="1"/>
  <c r="D1122" i="2" s="1"/>
  <c r="D1123" i="2" s="1"/>
  <c r="D1124" i="2" s="1"/>
  <c r="D1125" i="2" s="1"/>
  <c r="D1126" i="2" s="1"/>
  <c r="D1127" i="2" s="1"/>
  <c r="D1129" i="2"/>
  <c r="D1130" i="2" s="1"/>
  <c r="D1131" i="2" s="1"/>
  <c r="D1132" i="2" s="1"/>
  <c r="D1133" i="2" s="1"/>
  <c r="D1134" i="2" s="1"/>
  <c r="D1135" i="2" s="1"/>
  <c r="D1136" i="2" s="1"/>
  <c r="D1137" i="2" s="1"/>
  <c r="D1138" i="2" s="1"/>
  <c r="D1139" i="2" s="1"/>
  <c r="D1140" i="2" s="1"/>
  <c r="D1141" i="2" s="1"/>
  <c r="D1142" i="2" s="1"/>
  <c r="D1143" i="2" s="1"/>
  <c r="D1144" i="2" s="1"/>
  <c r="D1145" i="2" s="1"/>
  <c r="D1146" i="2" s="1"/>
  <c r="D1147" i="2" s="1"/>
  <c r="D1148" i="2" s="1"/>
  <c r="D1149" i="2" s="1"/>
  <c r="D1150" i="2" s="1"/>
  <c r="D1151" i="2" s="1"/>
  <c r="D1153" i="2"/>
  <c r="D1154" i="2" s="1"/>
  <c r="D1155" i="2" s="1"/>
  <c r="D1156" i="2" s="1"/>
  <c r="D1157" i="2" s="1"/>
  <c r="D1158" i="2" s="1"/>
  <c r="D1159" i="2" s="1"/>
  <c r="D1160" i="2" s="1"/>
  <c r="D1161" i="2" s="1"/>
  <c r="D1162" i="2" s="1"/>
  <c r="D1163" i="2" s="1"/>
  <c r="D1164" i="2" s="1"/>
  <c r="D1165" i="2" s="1"/>
  <c r="D1166" i="2" s="1"/>
  <c r="D1167" i="2" s="1"/>
  <c r="D1168" i="2" s="1"/>
  <c r="D1169" i="2" s="1"/>
  <c r="D1171" i="2"/>
  <c r="D1172" i="2" s="1"/>
  <c r="D1173" i="2" s="1"/>
  <c r="D1174" i="2" s="1"/>
  <c r="D1175" i="2" s="1"/>
  <c r="D1176" i="2" s="1"/>
  <c r="D1177" i="2" s="1"/>
  <c r="D1178" i="2" s="1"/>
  <c r="D1179" i="2" s="1"/>
  <c r="D1180" i="2" s="1"/>
  <c r="D1181" i="2" s="1"/>
  <c r="D1182" i="2" s="1"/>
  <c r="D1183" i="2" s="1"/>
  <c r="D1184" i="2" s="1"/>
  <c r="D1185" i="2" s="1"/>
  <c r="D1186" i="2" s="1"/>
  <c r="D1187" i="2" s="1"/>
  <c r="D1188" i="2" s="1"/>
  <c r="D1189" i="2" s="1"/>
  <c r="D1190" i="2" s="1"/>
  <c r="D1191" i="2" s="1"/>
  <c r="D1192" i="2" s="1"/>
  <c r="D1193" i="2" s="1"/>
  <c r="D1195" i="2"/>
  <c r="D1196" i="2" s="1"/>
  <c r="D1197" i="2" s="1"/>
  <c r="D1198" i="2" s="1"/>
  <c r="D1199" i="2" s="1"/>
  <c r="D1200" i="2" s="1"/>
  <c r="D1201" i="2" s="1"/>
  <c r="D1202" i="2" s="1"/>
  <c r="D1203" i="2" s="1"/>
  <c r="D1204" i="2" s="1"/>
  <c r="D1205" i="2" s="1"/>
  <c r="D1206" i="2" s="1"/>
  <c r="D1207" i="2" s="1"/>
  <c r="D1208" i="2" s="1"/>
  <c r="D1209" i="2" s="1"/>
  <c r="D1211" i="2"/>
  <c r="D1212" i="2" s="1"/>
  <c r="D1213" i="2" s="1"/>
  <c r="D1214" i="2" s="1"/>
  <c r="D1215" i="2" s="1"/>
  <c r="D1216" i="2" s="1"/>
  <c r="D1217" i="2" s="1"/>
  <c r="D1218" i="2" s="1"/>
  <c r="D1219" i="2" s="1"/>
  <c r="D1220" i="2" s="1"/>
  <c r="D1221" i="2" s="1"/>
  <c r="D1223" i="2"/>
  <c r="D1224" i="2" s="1"/>
  <c r="D1225" i="2" s="1"/>
  <c r="D1226" i="2" s="1"/>
  <c r="D1227" i="2" s="1"/>
  <c r="D1228" i="2" s="1"/>
  <c r="D1229" i="2" s="1"/>
  <c r="D1230" i="2" s="1"/>
  <c r="D1231" i="2" s="1"/>
  <c r="D1232" i="2" s="1"/>
  <c r="D1233" i="2" s="1"/>
  <c r="D1234" i="2" s="1"/>
  <c r="D1235" i="2" s="1"/>
  <c r="D1236" i="2" s="1"/>
  <c r="D1237" i="2" s="1"/>
  <c r="D1238" i="2" s="1"/>
  <c r="D1239" i="2" s="1"/>
  <c r="D1240" i="2" s="1"/>
  <c r="D1241" i="2" s="1"/>
  <c r="D1242" i="2" s="1"/>
  <c r="D1244" i="2"/>
  <c r="D1245" i="2" s="1"/>
  <c r="D1246" i="2" s="1"/>
  <c r="D1247" i="2" s="1"/>
  <c r="D1248" i="2" s="1"/>
  <c r="D1249" i="2" s="1"/>
  <c r="D1250" i="2" s="1"/>
  <c r="D1251" i="2" s="1"/>
  <c r="D1252" i="2" s="1"/>
  <c r="D1253" i="2" s="1"/>
  <c r="D1254" i="2" s="1"/>
  <c r="D1255" i="2" s="1"/>
  <c r="D1256" i="2" s="1"/>
  <c r="D1257" i="2" s="1"/>
  <c r="D1258" i="2" s="1"/>
  <c r="D1259" i="2" s="1"/>
  <c r="D1260" i="2" s="1"/>
  <c r="D1262" i="2"/>
  <c r="D1263" i="2" s="1"/>
  <c r="D1264" i="2" s="1"/>
  <c r="D1265" i="2" s="1"/>
  <c r="D1266" i="2" s="1"/>
  <c r="D1267" i="2" s="1"/>
  <c r="D1268" i="2" s="1"/>
  <c r="D1269" i="2" s="1"/>
  <c r="D1270" i="2" s="1"/>
  <c r="D1271" i="2" s="1"/>
  <c r="D1272" i="2" s="1"/>
  <c r="D1274" i="2"/>
  <c r="D1275" i="2" s="1"/>
  <c r="D1276" i="2" s="1"/>
  <c r="D1277" i="2" s="1"/>
  <c r="D1278" i="2" s="1"/>
  <c r="D1279" i="2" s="1"/>
  <c r="D1280" i="2" s="1"/>
  <c r="D1281" i="2" s="1"/>
  <c r="D1282" i="2" s="1"/>
  <c r="D1283" i="2" s="1"/>
  <c r="D1284" i="2" s="1"/>
  <c r="A1110" i="2" l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D928" i="2"/>
  <c r="D929" i="2" s="1"/>
  <c r="D930" i="2" s="1"/>
  <c r="D931" i="2" s="1"/>
  <c r="D932" i="2" s="1"/>
  <c r="D933" i="2" s="1"/>
  <c r="D934" i="2" s="1"/>
  <c r="D935" i="2" s="1"/>
  <c r="D936" i="2" s="1"/>
  <c r="D937" i="2" s="1"/>
  <c r="D938" i="2" s="1"/>
  <c r="D939" i="2" s="1"/>
  <c r="D940" i="2" s="1"/>
  <c r="D941" i="2" s="1"/>
  <c r="D942" i="2" s="1"/>
  <c r="D943" i="2" s="1"/>
  <c r="D944" i="2" s="1"/>
  <c r="D945" i="2" s="1"/>
  <c r="D947" i="2"/>
  <c r="D948" i="2" s="1"/>
  <c r="D949" i="2" s="1"/>
  <c r="D950" i="2" s="1"/>
  <c r="D951" i="2" s="1"/>
  <c r="D952" i="2" s="1"/>
  <c r="D953" i="2" s="1"/>
  <c r="D954" i="2" s="1"/>
  <c r="D955" i="2" s="1"/>
  <c r="D956" i="2" s="1"/>
  <c r="D957" i="2" s="1"/>
  <c r="D958" i="2" s="1"/>
  <c r="D959" i="2" s="1"/>
  <c r="D961" i="2"/>
  <c r="D962" i="2" s="1"/>
  <c r="D963" i="2" s="1"/>
  <c r="D964" i="2" s="1"/>
  <c r="D965" i="2" s="1"/>
  <c r="D966" i="2" s="1"/>
  <c r="D967" i="2" s="1"/>
  <c r="D968" i="2" s="1"/>
  <c r="D969" i="2" s="1"/>
  <c r="D970" i="2" s="1"/>
  <c r="D971" i="2" s="1"/>
  <c r="D972" i="2" s="1"/>
  <c r="D973" i="2" s="1"/>
  <c r="D974" i="2" s="1"/>
  <c r="D975" i="2" s="1"/>
  <c r="D976" i="2" s="1"/>
  <c r="D977" i="2" s="1"/>
  <c r="D979" i="2"/>
  <c r="D980" i="2" s="1"/>
  <c r="D981" i="2" s="1"/>
  <c r="D982" i="2" s="1"/>
  <c r="D983" i="2" s="1"/>
  <c r="D984" i="2" s="1"/>
  <c r="D985" i="2" s="1"/>
  <c r="D986" i="2" s="1"/>
  <c r="D987" i="2" s="1"/>
  <c r="D988" i="2" s="1"/>
  <c r="D989" i="2" s="1"/>
  <c r="D990" i="2" s="1"/>
  <c r="D991" i="2" s="1"/>
  <c r="D992" i="2" s="1"/>
  <c r="D993" i="2" s="1"/>
  <c r="D994" i="2" s="1"/>
  <c r="D995" i="2" s="1"/>
  <c r="D996" i="2" s="1"/>
  <c r="D997" i="2" s="1"/>
  <c r="D998" i="2" s="1"/>
  <c r="D999" i="2" s="1"/>
  <c r="D1000" i="2" s="1"/>
  <c r="D1002" i="2"/>
  <c r="D1003" i="2" s="1"/>
  <c r="D1004" i="2" s="1"/>
  <c r="D1005" i="2" s="1"/>
  <c r="D1006" i="2" s="1"/>
  <c r="D1007" i="2" s="1"/>
  <c r="D1008" i="2" s="1"/>
  <c r="D1009" i="2" s="1"/>
  <c r="D1010" i="2" s="1"/>
  <c r="D1011" i="2" s="1"/>
  <c r="D1012" i="2" s="1"/>
  <c r="D1013" i="2" s="1"/>
  <c r="D1014" i="2" s="1"/>
  <c r="D1016" i="2"/>
  <c r="D1017" i="2" s="1"/>
  <c r="D1018" i="2" s="1"/>
  <c r="D1019" i="2" s="1"/>
  <c r="D1020" i="2" s="1"/>
  <c r="D1021" i="2" s="1"/>
  <c r="D1022" i="2" s="1"/>
  <c r="D1023" i="2" s="1"/>
  <c r="D1024" i="2" s="1"/>
  <c r="D1026" i="2"/>
  <c r="D1027" i="2" s="1"/>
  <c r="D1028" i="2" s="1"/>
  <c r="D1029" i="2" s="1"/>
  <c r="D1030" i="2" s="1"/>
  <c r="D1031" i="2" s="1"/>
  <c r="D1032" i="2" s="1"/>
  <c r="D1034" i="2"/>
  <c r="D1035" i="2" s="1"/>
  <c r="D1036" i="2" s="1"/>
  <c r="D1037" i="2" s="1"/>
  <c r="D1038" i="2" s="1"/>
  <c r="D1039" i="2" s="1"/>
  <c r="D1040" i="2" s="1"/>
  <c r="D1041" i="2" s="1"/>
  <c r="D1042" i="2" s="1"/>
  <c r="D1043" i="2" s="1"/>
  <c r="D1044" i="2" s="1"/>
  <c r="D1045" i="2" s="1"/>
  <c r="D1046" i="2" s="1"/>
  <c r="D1047" i="2" s="1"/>
  <c r="D1048" i="2" s="1"/>
  <c r="D1049" i="2" s="1"/>
  <c r="D1050" i="2" s="1"/>
  <c r="D1051" i="2" s="1"/>
  <c r="D1052" i="2" s="1"/>
  <c r="D1053" i="2" s="1"/>
  <c r="D1055" i="2"/>
  <c r="D1056" i="2" s="1"/>
  <c r="D1057" i="2" s="1"/>
  <c r="D1058" i="2" s="1"/>
  <c r="D1059" i="2" s="1"/>
  <c r="D1060" i="2" s="1"/>
  <c r="D1061" i="2" s="1"/>
  <c r="D1062" i="2" s="1"/>
  <c r="D1063" i="2" s="1"/>
  <c r="D1064" i="2" s="1"/>
  <c r="D1065" i="2" s="1"/>
  <c r="D1066" i="2" s="1"/>
  <c r="D1067" i="2" s="1"/>
  <c r="D1068" i="2" s="1"/>
  <c r="D1069" i="2" s="1"/>
  <c r="D1071" i="2"/>
  <c r="D1072" i="2" s="1"/>
  <c r="D1073" i="2" s="1"/>
  <c r="D1074" i="2" s="1"/>
  <c r="D1075" i="2" s="1"/>
  <c r="D1076" i="2" s="1"/>
  <c r="D1077" i="2" s="1"/>
  <c r="D1078" i="2" s="1"/>
  <c r="D1079" i="2" s="1"/>
  <c r="D1080" i="2" s="1"/>
  <c r="D1081" i="2" s="1"/>
  <c r="D1082" i="2" s="1"/>
  <c r="D1083" i="2" s="1"/>
  <c r="D1084" i="2" s="1"/>
  <c r="D1085" i="2" s="1"/>
  <c r="D1086" i="2" s="1"/>
  <c r="D1087" i="2" s="1"/>
  <c r="D1088" i="2" s="1"/>
  <c r="D1090" i="2"/>
  <c r="D1091" i="2" s="1"/>
  <c r="D1092" i="2" s="1"/>
  <c r="D1093" i="2" s="1"/>
  <c r="D1094" i="2" s="1"/>
  <c r="D1095" i="2" s="1"/>
  <c r="D1096" i="2" s="1"/>
  <c r="D1097" i="2" s="1"/>
  <c r="D1098" i="2" s="1"/>
  <c r="D1099" i="2" s="1"/>
  <c r="D1100" i="2" s="1"/>
  <c r="D1101" i="2" s="1"/>
  <c r="D1102" i="2" s="1"/>
  <c r="D1103" i="2" s="1"/>
  <c r="D1104" i="2" s="1"/>
  <c r="D1105" i="2" s="1"/>
  <c r="D1106" i="2" s="1"/>
  <c r="D1107" i="2" s="1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K1197" i="2"/>
  <c r="K1196" i="2"/>
  <c r="K1195" i="2"/>
  <c r="K1194" i="2"/>
  <c r="K1193" i="2"/>
  <c r="K1192" i="2"/>
  <c r="K1191" i="2"/>
  <c r="K1190" i="2"/>
  <c r="K1189" i="2"/>
  <c r="K1188" i="2"/>
  <c r="K1187" i="2"/>
  <c r="K1186" i="2"/>
  <c r="K1185" i="2"/>
  <c r="K1184" i="2"/>
  <c r="K1183" i="2"/>
  <c r="K1182" i="2"/>
  <c r="K1181" i="2"/>
  <c r="K1180" i="2"/>
  <c r="K1179" i="2"/>
  <c r="K1178" i="2"/>
  <c r="K1177" i="2"/>
  <c r="K1176" i="2"/>
  <c r="K1175" i="2"/>
  <c r="K1174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K1132" i="2"/>
  <c r="K1131" i="2"/>
  <c r="K1130" i="2"/>
  <c r="K1129" i="2"/>
  <c r="K1128" i="2"/>
  <c r="K1127" i="2"/>
  <c r="K1126" i="2"/>
  <c r="K1125" i="2"/>
  <c r="K1124" i="2"/>
  <c r="K1123" i="2"/>
  <c r="K1122" i="2"/>
  <c r="K1121" i="2"/>
  <c r="K1120" i="2"/>
  <c r="K1119" i="2"/>
  <c r="K1118" i="2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V1513" i="2"/>
  <c r="W1513" i="2" s="1"/>
  <c r="T1513" i="2"/>
  <c r="V1512" i="2"/>
  <c r="W1512" i="2" s="1"/>
  <c r="T1512" i="2"/>
  <c r="V1511" i="2"/>
  <c r="W1511" i="2" s="1"/>
  <c r="T1511" i="2"/>
  <c r="V1510" i="2"/>
  <c r="W1510" i="2" s="1"/>
  <c r="T1510" i="2"/>
  <c r="V1509" i="2"/>
  <c r="W1509" i="2" s="1"/>
  <c r="T1509" i="2"/>
  <c r="V1508" i="2"/>
  <c r="W1508" i="2" s="1"/>
  <c r="T1508" i="2"/>
  <c r="V1507" i="2"/>
  <c r="W1507" i="2" s="1"/>
  <c r="T1507" i="2"/>
  <c r="V1506" i="2"/>
  <c r="W1506" i="2" s="1"/>
  <c r="T1506" i="2"/>
  <c r="V1505" i="2"/>
  <c r="W1505" i="2" s="1"/>
  <c r="T1505" i="2"/>
  <c r="V1504" i="2"/>
  <c r="W1504" i="2" s="1"/>
  <c r="T1504" i="2"/>
  <c r="V1503" i="2"/>
  <c r="W1503" i="2" s="1"/>
  <c r="T1503" i="2"/>
  <c r="V1502" i="2"/>
  <c r="W1502" i="2" s="1"/>
  <c r="T1502" i="2"/>
  <c r="V1501" i="2"/>
  <c r="W1501" i="2" s="1"/>
  <c r="T1501" i="2"/>
  <c r="V1500" i="2"/>
  <c r="W1500" i="2" s="1"/>
  <c r="T1500" i="2"/>
  <c r="V1499" i="2"/>
  <c r="W1499" i="2" s="1"/>
  <c r="T1499" i="2"/>
  <c r="V1498" i="2"/>
  <c r="W1498" i="2" s="1"/>
  <c r="T1498" i="2"/>
  <c r="V1497" i="2"/>
  <c r="W1497" i="2" s="1"/>
  <c r="T1497" i="2"/>
  <c r="V1496" i="2"/>
  <c r="W1496" i="2" s="1"/>
  <c r="T1496" i="2"/>
  <c r="V1495" i="2"/>
  <c r="W1495" i="2" s="1"/>
  <c r="T1495" i="2"/>
  <c r="V1494" i="2"/>
  <c r="W1494" i="2" s="1"/>
  <c r="T1494" i="2"/>
  <c r="V1493" i="2"/>
  <c r="W1493" i="2" s="1"/>
  <c r="T1493" i="2"/>
  <c r="V1492" i="2"/>
  <c r="W1492" i="2" s="1"/>
  <c r="T1492" i="2"/>
  <c r="V1491" i="2"/>
  <c r="W1491" i="2" s="1"/>
  <c r="T1491" i="2"/>
  <c r="V1490" i="2"/>
  <c r="W1490" i="2" s="1"/>
  <c r="T1490" i="2"/>
  <c r="V1489" i="2"/>
  <c r="W1489" i="2" s="1"/>
  <c r="T1489" i="2"/>
  <c r="V1488" i="2"/>
  <c r="W1488" i="2" s="1"/>
  <c r="T1488" i="2"/>
  <c r="V1487" i="2"/>
  <c r="W1487" i="2" s="1"/>
  <c r="T1487" i="2"/>
  <c r="V1486" i="2"/>
  <c r="W1486" i="2" s="1"/>
  <c r="T1486" i="2"/>
  <c r="V1485" i="2"/>
  <c r="W1485" i="2" s="1"/>
  <c r="T1485" i="2"/>
  <c r="V1484" i="2"/>
  <c r="W1484" i="2" s="1"/>
  <c r="T1484" i="2"/>
  <c r="V1483" i="2"/>
  <c r="W1483" i="2" s="1"/>
  <c r="T1483" i="2"/>
  <c r="V1482" i="2"/>
  <c r="W1482" i="2" s="1"/>
  <c r="T1482" i="2"/>
  <c r="V1481" i="2"/>
  <c r="W1481" i="2" s="1"/>
  <c r="T1481" i="2"/>
  <c r="V1480" i="2"/>
  <c r="W1480" i="2" s="1"/>
  <c r="T1480" i="2"/>
  <c r="V1479" i="2"/>
  <c r="W1479" i="2" s="1"/>
  <c r="T1479" i="2"/>
  <c r="V1478" i="2"/>
  <c r="W1478" i="2" s="1"/>
  <c r="T1478" i="2"/>
  <c r="V1477" i="2"/>
  <c r="W1477" i="2" s="1"/>
  <c r="T1477" i="2"/>
  <c r="V1476" i="2"/>
  <c r="W1476" i="2" s="1"/>
  <c r="T1476" i="2"/>
  <c r="V1475" i="2"/>
  <c r="W1475" i="2" s="1"/>
  <c r="T1475" i="2"/>
  <c r="V1474" i="2"/>
  <c r="W1474" i="2" s="1"/>
  <c r="T1474" i="2"/>
  <c r="V1473" i="2"/>
  <c r="W1473" i="2" s="1"/>
  <c r="T1473" i="2"/>
  <c r="V1472" i="2"/>
  <c r="W1472" i="2" s="1"/>
  <c r="T1472" i="2"/>
  <c r="V1471" i="2"/>
  <c r="W1471" i="2" s="1"/>
  <c r="T1471" i="2"/>
  <c r="V1470" i="2"/>
  <c r="W1470" i="2" s="1"/>
  <c r="T1470" i="2"/>
  <c r="V1469" i="2"/>
  <c r="W1469" i="2" s="1"/>
  <c r="T1469" i="2"/>
  <c r="V1468" i="2"/>
  <c r="W1468" i="2" s="1"/>
  <c r="T1468" i="2"/>
  <c r="V1467" i="2"/>
  <c r="W1467" i="2" s="1"/>
  <c r="T1467" i="2"/>
  <c r="V1466" i="2"/>
  <c r="W1466" i="2" s="1"/>
  <c r="T1466" i="2"/>
  <c r="V1465" i="2"/>
  <c r="W1465" i="2" s="1"/>
  <c r="T1465" i="2"/>
  <c r="V1464" i="2"/>
  <c r="W1464" i="2" s="1"/>
  <c r="T1464" i="2"/>
  <c r="V1463" i="2"/>
  <c r="W1463" i="2" s="1"/>
  <c r="T1463" i="2"/>
  <c r="V1462" i="2"/>
  <c r="W1462" i="2" s="1"/>
  <c r="T1462" i="2"/>
  <c r="V1461" i="2"/>
  <c r="W1461" i="2" s="1"/>
  <c r="T1461" i="2"/>
  <c r="V1460" i="2"/>
  <c r="W1460" i="2" s="1"/>
  <c r="T1460" i="2"/>
  <c r="V1459" i="2"/>
  <c r="W1459" i="2" s="1"/>
  <c r="T1459" i="2"/>
  <c r="V1458" i="2"/>
  <c r="W1458" i="2" s="1"/>
  <c r="T1458" i="2"/>
  <c r="V1457" i="2"/>
  <c r="W1457" i="2" s="1"/>
  <c r="T1457" i="2"/>
  <c r="V1456" i="2"/>
  <c r="W1456" i="2" s="1"/>
  <c r="T1456" i="2"/>
  <c r="V1455" i="2"/>
  <c r="W1455" i="2" s="1"/>
  <c r="T1455" i="2"/>
  <c r="V1454" i="2"/>
  <c r="W1454" i="2" s="1"/>
  <c r="T1454" i="2"/>
  <c r="V1453" i="2"/>
  <c r="W1453" i="2" s="1"/>
  <c r="T1453" i="2"/>
  <c r="V1452" i="2"/>
  <c r="W1452" i="2" s="1"/>
  <c r="T1452" i="2"/>
  <c r="V1451" i="2"/>
  <c r="W1451" i="2" s="1"/>
  <c r="T1451" i="2"/>
  <c r="V1450" i="2"/>
  <c r="W1450" i="2" s="1"/>
  <c r="T1450" i="2"/>
  <c r="V1449" i="2"/>
  <c r="W1449" i="2" s="1"/>
  <c r="T1449" i="2"/>
  <c r="V1448" i="2"/>
  <c r="W1448" i="2" s="1"/>
  <c r="T1448" i="2"/>
  <c r="V1447" i="2"/>
  <c r="W1447" i="2" s="1"/>
  <c r="T1447" i="2"/>
  <c r="V1446" i="2"/>
  <c r="W1446" i="2" s="1"/>
  <c r="T1446" i="2"/>
  <c r="V1445" i="2"/>
  <c r="W1445" i="2" s="1"/>
  <c r="T1445" i="2"/>
  <c r="V1444" i="2"/>
  <c r="W1444" i="2" s="1"/>
  <c r="T1444" i="2"/>
  <c r="V1443" i="2"/>
  <c r="W1443" i="2" s="1"/>
  <c r="T1443" i="2"/>
  <c r="V1442" i="2"/>
  <c r="W1442" i="2" s="1"/>
  <c r="T1442" i="2"/>
  <c r="V1441" i="2"/>
  <c r="W1441" i="2" s="1"/>
  <c r="T1441" i="2"/>
  <c r="V1440" i="2"/>
  <c r="W1440" i="2" s="1"/>
  <c r="T1440" i="2"/>
  <c r="V1439" i="2"/>
  <c r="W1439" i="2" s="1"/>
  <c r="T1439" i="2"/>
  <c r="V1438" i="2"/>
  <c r="W1438" i="2" s="1"/>
  <c r="T1438" i="2"/>
  <c r="V1437" i="2"/>
  <c r="W1437" i="2" s="1"/>
  <c r="T1437" i="2"/>
  <c r="V1436" i="2"/>
  <c r="W1436" i="2" s="1"/>
  <c r="T1436" i="2"/>
  <c r="V1435" i="2"/>
  <c r="W1435" i="2" s="1"/>
  <c r="T1435" i="2"/>
  <c r="V1434" i="2"/>
  <c r="W1434" i="2" s="1"/>
  <c r="T1434" i="2"/>
  <c r="V1433" i="2"/>
  <c r="W1433" i="2" s="1"/>
  <c r="T1433" i="2"/>
  <c r="V1432" i="2"/>
  <c r="W1432" i="2" s="1"/>
  <c r="T1432" i="2"/>
  <c r="V1431" i="2"/>
  <c r="W1431" i="2" s="1"/>
  <c r="T1431" i="2"/>
  <c r="V1430" i="2"/>
  <c r="W1430" i="2" s="1"/>
  <c r="T1430" i="2"/>
  <c r="V1429" i="2"/>
  <c r="W1429" i="2" s="1"/>
  <c r="T1429" i="2"/>
  <c r="V1428" i="2"/>
  <c r="W1428" i="2" s="1"/>
  <c r="T1428" i="2"/>
  <c r="V1427" i="2"/>
  <c r="W1427" i="2" s="1"/>
  <c r="T1427" i="2"/>
  <c r="V1426" i="2"/>
  <c r="W1426" i="2" s="1"/>
  <c r="T1426" i="2"/>
  <c r="V1425" i="2"/>
  <c r="W1425" i="2" s="1"/>
  <c r="T1425" i="2"/>
  <c r="V1424" i="2"/>
  <c r="W1424" i="2" s="1"/>
  <c r="T1424" i="2"/>
  <c r="V1423" i="2"/>
  <c r="W1423" i="2" s="1"/>
  <c r="T1423" i="2"/>
  <c r="V1422" i="2"/>
  <c r="W1422" i="2" s="1"/>
  <c r="T1422" i="2"/>
  <c r="V1421" i="2"/>
  <c r="W1421" i="2" s="1"/>
  <c r="T1421" i="2"/>
  <c r="V1420" i="2"/>
  <c r="W1420" i="2" s="1"/>
  <c r="T1420" i="2"/>
  <c r="V1419" i="2"/>
  <c r="W1419" i="2" s="1"/>
  <c r="T1419" i="2"/>
  <c r="V1418" i="2"/>
  <c r="W1418" i="2" s="1"/>
  <c r="T1418" i="2"/>
  <c r="V1417" i="2"/>
  <c r="W1417" i="2" s="1"/>
  <c r="T1417" i="2"/>
  <c r="V1416" i="2"/>
  <c r="W1416" i="2" s="1"/>
  <c r="T1416" i="2"/>
  <c r="V1415" i="2"/>
  <c r="W1415" i="2" s="1"/>
  <c r="T1415" i="2"/>
  <c r="V1414" i="2"/>
  <c r="W1414" i="2" s="1"/>
  <c r="T1414" i="2"/>
  <c r="V1413" i="2"/>
  <c r="W1413" i="2" s="1"/>
  <c r="T1413" i="2"/>
  <c r="V1412" i="2"/>
  <c r="W1412" i="2" s="1"/>
  <c r="T1412" i="2"/>
  <c r="V1411" i="2"/>
  <c r="W1411" i="2" s="1"/>
  <c r="T1411" i="2"/>
  <c r="V1410" i="2"/>
  <c r="W1410" i="2" s="1"/>
  <c r="T1410" i="2"/>
  <c r="V1409" i="2"/>
  <c r="W1409" i="2" s="1"/>
  <c r="T1409" i="2"/>
  <c r="V1408" i="2"/>
  <c r="W1408" i="2" s="1"/>
  <c r="T1408" i="2"/>
  <c r="V1407" i="2"/>
  <c r="W1407" i="2" s="1"/>
  <c r="T1407" i="2"/>
  <c r="V1406" i="2"/>
  <c r="W1406" i="2" s="1"/>
  <c r="T1406" i="2"/>
  <c r="V1405" i="2"/>
  <c r="W1405" i="2" s="1"/>
  <c r="T1405" i="2"/>
  <c r="V1404" i="2"/>
  <c r="W1404" i="2" s="1"/>
  <c r="T1404" i="2"/>
  <c r="V1403" i="2"/>
  <c r="W1403" i="2" s="1"/>
  <c r="T1403" i="2"/>
  <c r="V1402" i="2"/>
  <c r="W1402" i="2" s="1"/>
  <c r="T1402" i="2"/>
  <c r="V1401" i="2"/>
  <c r="W1401" i="2" s="1"/>
  <c r="T1401" i="2"/>
  <c r="V1400" i="2"/>
  <c r="W1400" i="2" s="1"/>
  <c r="T1400" i="2"/>
  <c r="V1399" i="2"/>
  <c r="W1399" i="2" s="1"/>
  <c r="T1399" i="2"/>
  <c r="V1398" i="2"/>
  <c r="W1398" i="2" s="1"/>
  <c r="T1398" i="2"/>
  <c r="V1397" i="2"/>
  <c r="W1397" i="2" s="1"/>
  <c r="T1397" i="2"/>
  <c r="V1396" i="2"/>
  <c r="W1396" i="2" s="1"/>
  <c r="T1396" i="2"/>
  <c r="V1395" i="2"/>
  <c r="W1395" i="2" s="1"/>
  <c r="T1395" i="2"/>
  <c r="V1394" i="2"/>
  <c r="W1394" i="2" s="1"/>
  <c r="T1394" i="2"/>
  <c r="V1393" i="2"/>
  <c r="W1393" i="2" s="1"/>
  <c r="T1393" i="2"/>
  <c r="V1392" i="2"/>
  <c r="W1392" i="2" s="1"/>
  <c r="T1392" i="2"/>
  <c r="V1391" i="2"/>
  <c r="W1391" i="2" s="1"/>
  <c r="T1391" i="2"/>
  <c r="V1390" i="2"/>
  <c r="W1390" i="2" s="1"/>
  <c r="T1390" i="2"/>
  <c r="V1389" i="2"/>
  <c r="W1389" i="2" s="1"/>
  <c r="T1389" i="2"/>
  <c r="V1388" i="2"/>
  <c r="W1388" i="2" s="1"/>
  <c r="T1388" i="2"/>
  <c r="V1387" i="2"/>
  <c r="W1387" i="2" s="1"/>
  <c r="T1387" i="2"/>
  <c r="V1386" i="2"/>
  <c r="W1386" i="2" s="1"/>
  <c r="T1386" i="2"/>
  <c r="V1385" i="2"/>
  <c r="W1385" i="2" s="1"/>
  <c r="T1385" i="2"/>
  <c r="V1384" i="2"/>
  <c r="W1384" i="2" s="1"/>
  <c r="T1384" i="2"/>
  <c r="V1383" i="2"/>
  <c r="W1383" i="2" s="1"/>
  <c r="T1383" i="2"/>
  <c r="V1382" i="2"/>
  <c r="W1382" i="2" s="1"/>
  <c r="T1382" i="2"/>
  <c r="V1381" i="2"/>
  <c r="W1381" i="2" s="1"/>
  <c r="T1381" i="2"/>
  <c r="V1380" i="2"/>
  <c r="W1380" i="2" s="1"/>
  <c r="T1380" i="2"/>
  <c r="V1379" i="2"/>
  <c r="W1379" i="2" s="1"/>
  <c r="T1379" i="2"/>
  <c r="V1378" i="2"/>
  <c r="W1378" i="2" s="1"/>
  <c r="T1378" i="2"/>
  <c r="V1377" i="2"/>
  <c r="W1377" i="2" s="1"/>
  <c r="T1377" i="2"/>
  <c r="V1376" i="2"/>
  <c r="W1376" i="2" s="1"/>
  <c r="T1376" i="2"/>
  <c r="V1375" i="2"/>
  <c r="W1375" i="2" s="1"/>
  <c r="T1375" i="2"/>
  <c r="V1374" i="2"/>
  <c r="W1374" i="2" s="1"/>
  <c r="T1374" i="2"/>
  <c r="V1373" i="2"/>
  <c r="W1373" i="2" s="1"/>
  <c r="T1373" i="2"/>
  <c r="V1372" i="2"/>
  <c r="W1372" i="2" s="1"/>
  <c r="T1372" i="2"/>
  <c r="V1371" i="2"/>
  <c r="W1371" i="2" s="1"/>
  <c r="T1371" i="2"/>
  <c r="V1370" i="2"/>
  <c r="W1370" i="2" s="1"/>
  <c r="T1370" i="2"/>
  <c r="V1369" i="2"/>
  <c r="W1369" i="2" s="1"/>
  <c r="T1369" i="2"/>
  <c r="V1368" i="2"/>
  <c r="W1368" i="2" s="1"/>
  <c r="T1368" i="2"/>
  <c r="V1367" i="2"/>
  <c r="W1367" i="2" s="1"/>
  <c r="T1367" i="2"/>
  <c r="V1366" i="2"/>
  <c r="W1366" i="2" s="1"/>
  <c r="T1366" i="2"/>
  <c r="V1365" i="2"/>
  <c r="W1365" i="2" s="1"/>
  <c r="T1365" i="2"/>
  <c r="V1364" i="2"/>
  <c r="W1364" i="2" s="1"/>
  <c r="T1364" i="2"/>
  <c r="V1363" i="2"/>
  <c r="W1363" i="2" s="1"/>
  <c r="T1363" i="2"/>
  <c r="V1362" i="2"/>
  <c r="W1362" i="2" s="1"/>
  <c r="T1362" i="2"/>
  <c r="V1361" i="2"/>
  <c r="W1361" i="2" s="1"/>
  <c r="T1361" i="2"/>
  <c r="V1360" i="2"/>
  <c r="W1360" i="2" s="1"/>
  <c r="T1360" i="2"/>
  <c r="V1359" i="2"/>
  <c r="W1359" i="2" s="1"/>
  <c r="T1359" i="2"/>
  <c r="V1358" i="2"/>
  <c r="W1358" i="2" s="1"/>
  <c r="T1358" i="2"/>
  <c r="V1357" i="2"/>
  <c r="W1357" i="2" s="1"/>
  <c r="T1357" i="2"/>
  <c r="V1356" i="2"/>
  <c r="W1356" i="2" s="1"/>
  <c r="T1356" i="2"/>
  <c r="V1355" i="2"/>
  <c r="W1355" i="2" s="1"/>
  <c r="T1355" i="2"/>
  <c r="V1354" i="2"/>
  <c r="W1354" i="2" s="1"/>
  <c r="T1354" i="2"/>
  <c r="V1353" i="2"/>
  <c r="W1353" i="2" s="1"/>
  <c r="T1353" i="2"/>
  <c r="V1352" i="2"/>
  <c r="W1352" i="2" s="1"/>
  <c r="T1352" i="2"/>
  <c r="V1351" i="2"/>
  <c r="W1351" i="2" s="1"/>
  <c r="T1351" i="2"/>
  <c r="V1350" i="2"/>
  <c r="W1350" i="2" s="1"/>
  <c r="T1350" i="2"/>
  <c r="V1349" i="2"/>
  <c r="W1349" i="2" s="1"/>
  <c r="T1349" i="2"/>
  <c r="V1348" i="2"/>
  <c r="W1348" i="2" s="1"/>
  <c r="T1348" i="2"/>
  <c r="V1347" i="2"/>
  <c r="W1347" i="2" s="1"/>
  <c r="T1347" i="2"/>
  <c r="V1346" i="2"/>
  <c r="W1346" i="2" s="1"/>
  <c r="T1346" i="2"/>
  <c r="V1345" i="2"/>
  <c r="W1345" i="2" s="1"/>
  <c r="T1345" i="2"/>
  <c r="V1344" i="2"/>
  <c r="W1344" i="2" s="1"/>
  <c r="T1344" i="2"/>
  <c r="V1343" i="2"/>
  <c r="W1343" i="2" s="1"/>
  <c r="T1343" i="2"/>
  <c r="V1342" i="2"/>
  <c r="W1342" i="2" s="1"/>
  <c r="T1342" i="2"/>
  <c r="V1341" i="2"/>
  <c r="W1341" i="2" s="1"/>
  <c r="T1341" i="2"/>
  <c r="V1340" i="2"/>
  <c r="W1340" i="2" s="1"/>
  <c r="T1340" i="2"/>
  <c r="V1339" i="2"/>
  <c r="W1339" i="2" s="1"/>
  <c r="T1339" i="2"/>
  <c r="V1338" i="2"/>
  <c r="W1338" i="2" s="1"/>
  <c r="T1338" i="2"/>
  <c r="V1337" i="2"/>
  <c r="W1337" i="2" s="1"/>
  <c r="T1337" i="2"/>
  <c r="V1336" i="2"/>
  <c r="W1336" i="2" s="1"/>
  <c r="T1336" i="2"/>
  <c r="V1335" i="2"/>
  <c r="W1335" i="2" s="1"/>
  <c r="T1335" i="2"/>
  <c r="V1334" i="2"/>
  <c r="W1334" i="2" s="1"/>
  <c r="T1334" i="2"/>
  <c r="V1333" i="2"/>
  <c r="W1333" i="2" s="1"/>
  <c r="T1333" i="2"/>
  <c r="V1332" i="2"/>
  <c r="W1332" i="2" s="1"/>
  <c r="T1332" i="2"/>
  <c r="V1331" i="2"/>
  <c r="W1331" i="2" s="1"/>
  <c r="T1331" i="2"/>
  <c r="V1330" i="2"/>
  <c r="W1330" i="2" s="1"/>
  <c r="T1330" i="2"/>
  <c r="V1329" i="2"/>
  <c r="W1329" i="2" s="1"/>
  <c r="T1329" i="2"/>
  <c r="V1328" i="2"/>
  <c r="W1328" i="2" s="1"/>
  <c r="T1328" i="2"/>
  <c r="V1327" i="2"/>
  <c r="W1327" i="2" s="1"/>
  <c r="T1327" i="2"/>
  <c r="V1326" i="2"/>
  <c r="W1326" i="2" s="1"/>
  <c r="T1326" i="2"/>
  <c r="V1325" i="2"/>
  <c r="W1325" i="2" s="1"/>
  <c r="T1325" i="2"/>
  <c r="V1324" i="2"/>
  <c r="W1324" i="2" s="1"/>
  <c r="T1324" i="2"/>
  <c r="V1323" i="2"/>
  <c r="W1323" i="2" s="1"/>
  <c r="T1323" i="2"/>
  <c r="V1322" i="2"/>
  <c r="W1322" i="2" s="1"/>
  <c r="T1322" i="2"/>
  <c r="V1321" i="2"/>
  <c r="W1321" i="2" s="1"/>
  <c r="T1321" i="2"/>
  <c r="V1320" i="2"/>
  <c r="W1320" i="2" s="1"/>
  <c r="T1320" i="2"/>
  <c r="V1319" i="2"/>
  <c r="W1319" i="2" s="1"/>
  <c r="T1319" i="2"/>
  <c r="V1318" i="2"/>
  <c r="W1318" i="2" s="1"/>
  <c r="T1318" i="2"/>
  <c r="V1317" i="2"/>
  <c r="W1317" i="2" s="1"/>
  <c r="T1317" i="2"/>
  <c r="V1316" i="2"/>
  <c r="W1316" i="2" s="1"/>
  <c r="T1316" i="2"/>
  <c r="V1315" i="2"/>
  <c r="W1315" i="2" s="1"/>
  <c r="T1315" i="2"/>
  <c r="V1314" i="2"/>
  <c r="W1314" i="2" s="1"/>
  <c r="T1314" i="2"/>
  <c r="V1313" i="2"/>
  <c r="W1313" i="2" s="1"/>
  <c r="T1313" i="2"/>
  <c r="V1312" i="2"/>
  <c r="W1312" i="2" s="1"/>
  <c r="T1312" i="2"/>
  <c r="V1311" i="2"/>
  <c r="W1311" i="2" s="1"/>
  <c r="T1311" i="2"/>
  <c r="V1310" i="2"/>
  <c r="W1310" i="2" s="1"/>
  <c r="T1310" i="2"/>
  <c r="V1309" i="2"/>
  <c r="W1309" i="2" s="1"/>
  <c r="T1309" i="2"/>
  <c r="V1308" i="2"/>
  <c r="W1308" i="2" s="1"/>
  <c r="T1308" i="2"/>
  <c r="V1307" i="2"/>
  <c r="W1307" i="2" s="1"/>
  <c r="T1307" i="2"/>
  <c r="V1306" i="2"/>
  <c r="W1306" i="2" s="1"/>
  <c r="T1306" i="2"/>
  <c r="V1305" i="2"/>
  <c r="W1305" i="2" s="1"/>
  <c r="T1305" i="2"/>
  <c r="V1304" i="2"/>
  <c r="W1304" i="2" s="1"/>
  <c r="T1304" i="2"/>
  <c r="V1303" i="2"/>
  <c r="W1303" i="2" s="1"/>
  <c r="T1303" i="2"/>
  <c r="V1302" i="2"/>
  <c r="W1302" i="2" s="1"/>
  <c r="T1302" i="2"/>
  <c r="V1301" i="2"/>
  <c r="W1301" i="2" s="1"/>
  <c r="T1301" i="2"/>
  <c r="V1300" i="2"/>
  <c r="W1300" i="2" s="1"/>
  <c r="T1300" i="2"/>
  <c r="V1299" i="2"/>
  <c r="W1299" i="2" s="1"/>
  <c r="T1299" i="2"/>
  <c r="V1298" i="2"/>
  <c r="W1298" i="2" s="1"/>
  <c r="T1298" i="2"/>
  <c r="V1297" i="2"/>
  <c r="W1297" i="2" s="1"/>
  <c r="T1297" i="2"/>
  <c r="V1296" i="2"/>
  <c r="W1296" i="2" s="1"/>
  <c r="T1296" i="2"/>
  <c r="V1295" i="2"/>
  <c r="W1295" i="2" s="1"/>
  <c r="T1295" i="2"/>
  <c r="V1294" i="2"/>
  <c r="W1294" i="2" s="1"/>
  <c r="T1294" i="2"/>
  <c r="V1293" i="2"/>
  <c r="W1293" i="2" s="1"/>
  <c r="T1293" i="2"/>
  <c r="V1292" i="2"/>
  <c r="W1292" i="2" s="1"/>
  <c r="T1292" i="2"/>
  <c r="V1291" i="2"/>
  <c r="W1291" i="2" s="1"/>
  <c r="T1291" i="2"/>
  <c r="V1290" i="2"/>
  <c r="W1290" i="2" s="1"/>
  <c r="T1290" i="2"/>
  <c r="V1289" i="2"/>
  <c r="W1289" i="2" s="1"/>
  <c r="T1289" i="2"/>
  <c r="V1288" i="2"/>
  <c r="W1288" i="2" s="1"/>
  <c r="T1288" i="2"/>
  <c r="V1287" i="2"/>
  <c r="W1287" i="2" s="1"/>
  <c r="T1287" i="2"/>
  <c r="V1286" i="2"/>
  <c r="W1286" i="2" s="1"/>
  <c r="T1286" i="2"/>
  <c r="V1285" i="2"/>
  <c r="W1285" i="2" s="1"/>
  <c r="T1285" i="2"/>
  <c r="V1284" i="2"/>
  <c r="W1284" i="2" s="1"/>
  <c r="T1284" i="2"/>
  <c r="V1283" i="2"/>
  <c r="W1283" i="2" s="1"/>
  <c r="T1283" i="2"/>
  <c r="V1282" i="2"/>
  <c r="W1282" i="2" s="1"/>
  <c r="T1282" i="2"/>
  <c r="V1281" i="2"/>
  <c r="W1281" i="2" s="1"/>
  <c r="T1281" i="2"/>
  <c r="V1280" i="2"/>
  <c r="W1280" i="2" s="1"/>
  <c r="T1280" i="2"/>
  <c r="V1279" i="2"/>
  <c r="W1279" i="2" s="1"/>
  <c r="T1279" i="2"/>
  <c r="V1278" i="2"/>
  <c r="W1278" i="2" s="1"/>
  <c r="T1278" i="2"/>
  <c r="V1277" i="2"/>
  <c r="W1277" i="2" s="1"/>
  <c r="T1277" i="2"/>
  <c r="V1276" i="2"/>
  <c r="W1276" i="2" s="1"/>
  <c r="T1276" i="2"/>
  <c r="V1275" i="2"/>
  <c r="W1275" i="2" s="1"/>
  <c r="T1275" i="2"/>
  <c r="V1274" i="2"/>
  <c r="W1274" i="2" s="1"/>
  <c r="T1274" i="2"/>
  <c r="V1273" i="2"/>
  <c r="W1273" i="2" s="1"/>
  <c r="T1273" i="2"/>
  <c r="V1272" i="2"/>
  <c r="W1272" i="2" s="1"/>
  <c r="T1272" i="2"/>
  <c r="V1271" i="2"/>
  <c r="W1271" i="2" s="1"/>
  <c r="T1271" i="2"/>
  <c r="V1270" i="2"/>
  <c r="W1270" i="2" s="1"/>
  <c r="T1270" i="2"/>
  <c r="V1269" i="2"/>
  <c r="W1269" i="2" s="1"/>
  <c r="T1269" i="2"/>
  <c r="V1268" i="2"/>
  <c r="W1268" i="2" s="1"/>
  <c r="T1268" i="2"/>
  <c r="V1267" i="2"/>
  <c r="W1267" i="2" s="1"/>
  <c r="T1267" i="2"/>
  <c r="V1266" i="2"/>
  <c r="W1266" i="2" s="1"/>
  <c r="T1266" i="2"/>
  <c r="V1265" i="2"/>
  <c r="W1265" i="2" s="1"/>
  <c r="T1265" i="2"/>
  <c r="V1264" i="2"/>
  <c r="W1264" i="2" s="1"/>
  <c r="T1264" i="2"/>
  <c r="V1263" i="2"/>
  <c r="W1263" i="2" s="1"/>
  <c r="T1263" i="2"/>
  <c r="V1262" i="2"/>
  <c r="W1262" i="2" s="1"/>
  <c r="T1262" i="2"/>
  <c r="V1261" i="2"/>
  <c r="W1261" i="2" s="1"/>
  <c r="T1261" i="2"/>
  <c r="V1260" i="2"/>
  <c r="W1260" i="2" s="1"/>
  <c r="T1260" i="2"/>
  <c r="V1259" i="2"/>
  <c r="W1259" i="2" s="1"/>
  <c r="T1259" i="2"/>
  <c r="V1258" i="2"/>
  <c r="W1258" i="2" s="1"/>
  <c r="T1258" i="2"/>
  <c r="V1257" i="2"/>
  <c r="W1257" i="2" s="1"/>
  <c r="T1257" i="2"/>
  <c r="V1256" i="2"/>
  <c r="W1256" i="2" s="1"/>
  <c r="T1256" i="2"/>
  <c r="V1255" i="2"/>
  <c r="W1255" i="2" s="1"/>
  <c r="T1255" i="2"/>
  <c r="V1254" i="2"/>
  <c r="W1254" i="2" s="1"/>
  <c r="T1254" i="2"/>
  <c r="V1253" i="2"/>
  <c r="W1253" i="2" s="1"/>
  <c r="T1253" i="2"/>
  <c r="V1252" i="2"/>
  <c r="W1252" i="2" s="1"/>
  <c r="T1252" i="2"/>
  <c r="V1251" i="2"/>
  <c r="W1251" i="2" s="1"/>
  <c r="T1251" i="2"/>
  <c r="V1250" i="2"/>
  <c r="W1250" i="2" s="1"/>
  <c r="T1250" i="2"/>
  <c r="V1249" i="2"/>
  <c r="W1249" i="2" s="1"/>
  <c r="T1249" i="2"/>
  <c r="V1248" i="2"/>
  <c r="W1248" i="2" s="1"/>
  <c r="T1248" i="2"/>
  <c r="V1247" i="2"/>
  <c r="W1247" i="2" s="1"/>
  <c r="T1247" i="2"/>
  <c r="V1246" i="2"/>
  <c r="W1246" i="2" s="1"/>
  <c r="T1246" i="2"/>
  <c r="V1245" i="2"/>
  <c r="W1245" i="2" s="1"/>
  <c r="T1245" i="2"/>
  <c r="V1244" i="2"/>
  <c r="W1244" i="2" s="1"/>
  <c r="T1244" i="2"/>
  <c r="V1243" i="2"/>
  <c r="W1243" i="2" s="1"/>
  <c r="T1243" i="2"/>
  <c r="V1242" i="2"/>
  <c r="W1242" i="2" s="1"/>
  <c r="T1242" i="2"/>
  <c r="V1241" i="2"/>
  <c r="W1241" i="2" s="1"/>
  <c r="T1241" i="2"/>
  <c r="V1240" i="2"/>
  <c r="W1240" i="2" s="1"/>
  <c r="T1240" i="2"/>
  <c r="V1239" i="2"/>
  <c r="W1239" i="2" s="1"/>
  <c r="T1239" i="2"/>
  <c r="V1238" i="2"/>
  <c r="W1238" i="2" s="1"/>
  <c r="T1238" i="2"/>
  <c r="V1237" i="2"/>
  <c r="W1237" i="2" s="1"/>
  <c r="T1237" i="2"/>
  <c r="V1236" i="2"/>
  <c r="W1236" i="2" s="1"/>
  <c r="T1236" i="2"/>
  <c r="V1235" i="2"/>
  <c r="W1235" i="2" s="1"/>
  <c r="T1235" i="2"/>
  <c r="V1234" i="2"/>
  <c r="W1234" i="2" s="1"/>
  <c r="T1234" i="2"/>
  <c r="V1233" i="2"/>
  <c r="W1233" i="2" s="1"/>
  <c r="T1233" i="2"/>
  <c r="V1232" i="2"/>
  <c r="W1232" i="2" s="1"/>
  <c r="T1232" i="2"/>
  <c r="V1231" i="2"/>
  <c r="W1231" i="2" s="1"/>
  <c r="T1231" i="2"/>
  <c r="V1230" i="2"/>
  <c r="W1230" i="2" s="1"/>
  <c r="T1230" i="2"/>
  <c r="V1229" i="2"/>
  <c r="W1229" i="2" s="1"/>
  <c r="T1229" i="2"/>
  <c r="V1228" i="2"/>
  <c r="W1228" i="2" s="1"/>
  <c r="T1228" i="2"/>
  <c r="V1227" i="2"/>
  <c r="W1227" i="2" s="1"/>
  <c r="T1227" i="2"/>
  <c r="V1226" i="2"/>
  <c r="W1226" i="2" s="1"/>
  <c r="T1226" i="2"/>
  <c r="V1225" i="2"/>
  <c r="W1225" i="2" s="1"/>
  <c r="T1225" i="2"/>
  <c r="V1224" i="2"/>
  <c r="W1224" i="2" s="1"/>
  <c r="T1224" i="2"/>
  <c r="V1223" i="2"/>
  <c r="W1223" i="2" s="1"/>
  <c r="T1223" i="2"/>
  <c r="V1222" i="2"/>
  <c r="W1222" i="2" s="1"/>
  <c r="T1222" i="2"/>
  <c r="V1221" i="2"/>
  <c r="W1221" i="2" s="1"/>
  <c r="T1221" i="2"/>
  <c r="V1220" i="2"/>
  <c r="W1220" i="2" s="1"/>
  <c r="T1220" i="2"/>
  <c r="V1219" i="2"/>
  <c r="W1219" i="2" s="1"/>
  <c r="T1219" i="2"/>
  <c r="V1218" i="2"/>
  <c r="W1218" i="2" s="1"/>
  <c r="T1218" i="2"/>
  <c r="V1217" i="2"/>
  <c r="W1217" i="2" s="1"/>
  <c r="T1217" i="2"/>
  <c r="V1216" i="2"/>
  <c r="W1216" i="2" s="1"/>
  <c r="T1216" i="2"/>
  <c r="V1215" i="2"/>
  <c r="W1215" i="2" s="1"/>
  <c r="T1215" i="2"/>
  <c r="V1214" i="2"/>
  <c r="W1214" i="2" s="1"/>
  <c r="T1214" i="2"/>
  <c r="V1213" i="2"/>
  <c r="W1213" i="2" s="1"/>
  <c r="T1213" i="2"/>
  <c r="V1212" i="2"/>
  <c r="W1212" i="2" s="1"/>
  <c r="T1212" i="2"/>
  <c r="V1211" i="2"/>
  <c r="W1211" i="2" s="1"/>
  <c r="T1211" i="2"/>
  <c r="V1210" i="2"/>
  <c r="W1210" i="2" s="1"/>
  <c r="T1210" i="2"/>
  <c r="V1209" i="2"/>
  <c r="W1209" i="2" s="1"/>
  <c r="T1209" i="2"/>
  <c r="V1208" i="2"/>
  <c r="W1208" i="2" s="1"/>
  <c r="T1208" i="2"/>
  <c r="V1207" i="2"/>
  <c r="W1207" i="2" s="1"/>
  <c r="T1207" i="2"/>
  <c r="V1206" i="2"/>
  <c r="W1206" i="2" s="1"/>
  <c r="T1206" i="2"/>
  <c r="V1205" i="2"/>
  <c r="W1205" i="2" s="1"/>
  <c r="T1205" i="2"/>
  <c r="V1204" i="2"/>
  <c r="W1204" i="2" s="1"/>
  <c r="T1204" i="2"/>
  <c r="V1203" i="2"/>
  <c r="W1203" i="2" s="1"/>
  <c r="T1203" i="2"/>
  <c r="V1202" i="2"/>
  <c r="W1202" i="2" s="1"/>
  <c r="T1202" i="2"/>
  <c r="V1201" i="2"/>
  <c r="W1201" i="2" s="1"/>
  <c r="T1201" i="2"/>
  <c r="V1200" i="2"/>
  <c r="W1200" i="2" s="1"/>
  <c r="T1200" i="2"/>
  <c r="V1199" i="2"/>
  <c r="W1199" i="2" s="1"/>
  <c r="T1199" i="2"/>
  <c r="V1198" i="2"/>
  <c r="W1198" i="2" s="1"/>
  <c r="T1198" i="2"/>
  <c r="V1197" i="2"/>
  <c r="W1197" i="2" s="1"/>
  <c r="T1197" i="2"/>
  <c r="V1196" i="2"/>
  <c r="W1196" i="2" s="1"/>
  <c r="T1196" i="2"/>
  <c r="V1195" i="2"/>
  <c r="W1195" i="2" s="1"/>
  <c r="T1195" i="2"/>
  <c r="V1194" i="2"/>
  <c r="W1194" i="2" s="1"/>
  <c r="T1194" i="2"/>
  <c r="V1193" i="2"/>
  <c r="W1193" i="2" s="1"/>
  <c r="T1193" i="2"/>
  <c r="V1192" i="2"/>
  <c r="W1192" i="2" s="1"/>
  <c r="T1192" i="2"/>
  <c r="V1191" i="2"/>
  <c r="W1191" i="2" s="1"/>
  <c r="T1191" i="2"/>
  <c r="V1190" i="2"/>
  <c r="W1190" i="2" s="1"/>
  <c r="T1190" i="2"/>
  <c r="V1189" i="2"/>
  <c r="W1189" i="2" s="1"/>
  <c r="T1189" i="2"/>
  <c r="V1188" i="2"/>
  <c r="W1188" i="2" s="1"/>
  <c r="T1188" i="2"/>
  <c r="V1187" i="2"/>
  <c r="W1187" i="2" s="1"/>
  <c r="T1187" i="2"/>
  <c r="V1186" i="2"/>
  <c r="W1186" i="2" s="1"/>
  <c r="T1186" i="2"/>
  <c r="V1185" i="2"/>
  <c r="W1185" i="2" s="1"/>
  <c r="T1185" i="2"/>
  <c r="V1184" i="2"/>
  <c r="W1184" i="2" s="1"/>
  <c r="T1184" i="2"/>
  <c r="V1183" i="2"/>
  <c r="W1183" i="2" s="1"/>
  <c r="T1183" i="2"/>
  <c r="V1182" i="2"/>
  <c r="W1182" i="2" s="1"/>
  <c r="T1182" i="2"/>
  <c r="V1181" i="2"/>
  <c r="W1181" i="2" s="1"/>
  <c r="T1181" i="2"/>
  <c r="V1180" i="2"/>
  <c r="W1180" i="2" s="1"/>
  <c r="T1180" i="2"/>
  <c r="V1179" i="2"/>
  <c r="W1179" i="2" s="1"/>
  <c r="T1179" i="2"/>
  <c r="V1178" i="2"/>
  <c r="W1178" i="2" s="1"/>
  <c r="T1178" i="2"/>
  <c r="V1177" i="2"/>
  <c r="W1177" i="2" s="1"/>
  <c r="T1177" i="2"/>
  <c r="V1176" i="2"/>
  <c r="W1176" i="2" s="1"/>
  <c r="T1176" i="2"/>
  <c r="V1175" i="2"/>
  <c r="W1175" i="2" s="1"/>
  <c r="T1175" i="2"/>
  <c r="V1174" i="2"/>
  <c r="W1174" i="2" s="1"/>
  <c r="T1174" i="2"/>
  <c r="V1173" i="2"/>
  <c r="W1173" i="2" s="1"/>
  <c r="T1173" i="2"/>
  <c r="V1172" i="2"/>
  <c r="W1172" i="2" s="1"/>
  <c r="T1172" i="2"/>
  <c r="V1171" i="2"/>
  <c r="W1171" i="2" s="1"/>
  <c r="T1171" i="2"/>
  <c r="V1170" i="2"/>
  <c r="W1170" i="2" s="1"/>
  <c r="T1170" i="2"/>
  <c r="V1169" i="2"/>
  <c r="W1169" i="2" s="1"/>
  <c r="T1169" i="2"/>
  <c r="V1168" i="2"/>
  <c r="W1168" i="2" s="1"/>
  <c r="T1168" i="2"/>
  <c r="V1167" i="2"/>
  <c r="W1167" i="2" s="1"/>
  <c r="T1167" i="2"/>
  <c r="V1166" i="2"/>
  <c r="W1166" i="2" s="1"/>
  <c r="T1166" i="2"/>
  <c r="V1165" i="2"/>
  <c r="W1165" i="2" s="1"/>
  <c r="T1165" i="2"/>
  <c r="V1164" i="2"/>
  <c r="W1164" i="2" s="1"/>
  <c r="T1164" i="2"/>
  <c r="V1163" i="2"/>
  <c r="W1163" i="2" s="1"/>
  <c r="T1163" i="2"/>
  <c r="V1162" i="2"/>
  <c r="W1162" i="2" s="1"/>
  <c r="T1162" i="2"/>
  <c r="V1161" i="2"/>
  <c r="W1161" i="2" s="1"/>
  <c r="T1161" i="2"/>
  <c r="V1160" i="2"/>
  <c r="W1160" i="2" s="1"/>
  <c r="T1160" i="2"/>
  <c r="V1159" i="2"/>
  <c r="W1159" i="2" s="1"/>
  <c r="T1159" i="2"/>
  <c r="V1158" i="2"/>
  <c r="W1158" i="2" s="1"/>
  <c r="T1158" i="2"/>
  <c r="V1157" i="2"/>
  <c r="W1157" i="2" s="1"/>
  <c r="T1157" i="2"/>
  <c r="V1156" i="2"/>
  <c r="W1156" i="2" s="1"/>
  <c r="T1156" i="2"/>
  <c r="V1155" i="2"/>
  <c r="W1155" i="2" s="1"/>
  <c r="T1155" i="2"/>
  <c r="V1154" i="2"/>
  <c r="W1154" i="2" s="1"/>
  <c r="T1154" i="2"/>
  <c r="V1153" i="2"/>
  <c r="W1153" i="2" s="1"/>
  <c r="T1153" i="2"/>
  <c r="V1152" i="2"/>
  <c r="W1152" i="2" s="1"/>
  <c r="T1152" i="2"/>
  <c r="V1151" i="2"/>
  <c r="W1151" i="2" s="1"/>
  <c r="T1151" i="2"/>
  <c r="V1150" i="2"/>
  <c r="W1150" i="2" s="1"/>
  <c r="T1150" i="2"/>
  <c r="V1149" i="2"/>
  <c r="W1149" i="2" s="1"/>
  <c r="T1149" i="2"/>
  <c r="V1148" i="2"/>
  <c r="W1148" i="2" s="1"/>
  <c r="T1148" i="2"/>
  <c r="V1147" i="2"/>
  <c r="W1147" i="2" s="1"/>
  <c r="T1147" i="2"/>
  <c r="V1146" i="2"/>
  <c r="W1146" i="2" s="1"/>
  <c r="T1146" i="2"/>
  <c r="V1145" i="2"/>
  <c r="W1145" i="2" s="1"/>
  <c r="T1145" i="2"/>
  <c r="V1144" i="2"/>
  <c r="W1144" i="2" s="1"/>
  <c r="T1144" i="2"/>
  <c r="V1143" i="2"/>
  <c r="W1143" i="2" s="1"/>
  <c r="T1143" i="2"/>
  <c r="V1142" i="2"/>
  <c r="W1142" i="2" s="1"/>
  <c r="T1142" i="2"/>
  <c r="V1141" i="2"/>
  <c r="W1141" i="2" s="1"/>
  <c r="T1141" i="2"/>
  <c r="V1140" i="2"/>
  <c r="W1140" i="2" s="1"/>
  <c r="T1140" i="2"/>
  <c r="V1139" i="2"/>
  <c r="W1139" i="2" s="1"/>
  <c r="T1139" i="2"/>
  <c r="V1138" i="2"/>
  <c r="W1138" i="2" s="1"/>
  <c r="T1138" i="2"/>
  <c r="V1137" i="2"/>
  <c r="W1137" i="2" s="1"/>
  <c r="T1137" i="2"/>
  <c r="V1136" i="2"/>
  <c r="W1136" i="2" s="1"/>
  <c r="T1136" i="2"/>
  <c r="V1135" i="2"/>
  <c r="W1135" i="2" s="1"/>
  <c r="T1135" i="2"/>
  <c r="V1134" i="2"/>
  <c r="W1134" i="2" s="1"/>
  <c r="T1134" i="2"/>
  <c r="V1133" i="2"/>
  <c r="W1133" i="2" s="1"/>
  <c r="T1133" i="2"/>
  <c r="V1132" i="2"/>
  <c r="W1132" i="2" s="1"/>
  <c r="T1132" i="2"/>
  <c r="V1131" i="2"/>
  <c r="W1131" i="2" s="1"/>
  <c r="T1131" i="2"/>
  <c r="V1130" i="2"/>
  <c r="W1130" i="2" s="1"/>
  <c r="T1130" i="2"/>
  <c r="V1129" i="2"/>
  <c r="W1129" i="2" s="1"/>
  <c r="T1129" i="2"/>
  <c r="V1128" i="2"/>
  <c r="W1128" i="2" s="1"/>
  <c r="T1128" i="2"/>
  <c r="V1127" i="2"/>
  <c r="W1127" i="2" s="1"/>
  <c r="T1127" i="2"/>
  <c r="V1126" i="2"/>
  <c r="W1126" i="2" s="1"/>
  <c r="T1126" i="2"/>
  <c r="V1125" i="2"/>
  <c r="W1125" i="2" s="1"/>
  <c r="T1125" i="2"/>
  <c r="V1124" i="2"/>
  <c r="W1124" i="2" s="1"/>
  <c r="T1124" i="2"/>
  <c r="V1123" i="2"/>
  <c r="W1123" i="2" s="1"/>
  <c r="T1123" i="2"/>
  <c r="V1122" i="2"/>
  <c r="W1122" i="2" s="1"/>
  <c r="T1122" i="2"/>
  <c r="V1121" i="2"/>
  <c r="W1121" i="2" s="1"/>
  <c r="T1121" i="2"/>
  <c r="T1120" i="2"/>
  <c r="V1119" i="2"/>
  <c r="W1119" i="2" s="1"/>
  <c r="T1119" i="2"/>
  <c r="V1118" i="2"/>
  <c r="W1118" i="2" s="1"/>
  <c r="T1118" i="2"/>
  <c r="V1117" i="2"/>
  <c r="W1117" i="2" s="1"/>
  <c r="T1117" i="2"/>
  <c r="V1116" i="2"/>
  <c r="W1116" i="2" s="1"/>
  <c r="T1116" i="2"/>
  <c r="V1115" i="2"/>
  <c r="W1115" i="2" s="1"/>
  <c r="T1115" i="2"/>
  <c r="V1114" i="2"/>
  <c r="W1114" i="2" s="1"/>
  <c r="T1114" i="2"/>
  <c r="V1113" i="2"/>
  <c r="W1113" i="2" s="1"/>
  <c r="T1113" i="2"/>
  <c r="V1112" i="2"/>
  <c r="W1112" i="2" s="1"/>
  <c r="T1112" i="2"/>
  <c r="V1111" i="2"/>
  <c r="W1111" i="2" s="1"/>
  <c r="T1111" i="2"/>
  <c r="V1110" i="2"/>
  <c r="W1110" i="2" s="1"/>
  <c r="T1110" i="2"/>
  <c r="V1109" i="2"/>
  <c r="W1109" i="2" s="1"/>
  <c r="T1109" i="2"/>
  <c r="V1108" i="2"/>
  <c r="W1108" i="2" s="1"/>
  <c r="T1108" i="2"/>
  <c r="V1107" i="2"/>
  <c r="W1107" i="2" s="1"/>
  <c r="T1107" i="2"/>
  <c r="V1106" i="2"/>
  <c r="W1106" i="2" s="1"/>
  <c r="T1106" i="2"/>
  <c r="V1105" i="2"/>
  <c r="W1105" i="2" s="1"/>
  <c r="T1105" i="2"/>
  <c r="V1104" i="2"/>
  <c r="W1104" i="2" s="1"/>
  <c r="T1104" i="2"/>
  <c r="V1103" i="2"/>
  <c r="W1103" i="2" s="1"/>
  <c r="T1103" i="2"/>
  <c r="V1102" i="2"/>
  <c r="W1102" i="2" s="1"/>
  <c r="T1102" i="2"/>
  <c r="V1101" i="2"/>
  <c r="W1101" i="2" s="1"/>
  <c r="T1101" i="2"/>
  <c r="V1100" i="2"/>
  <c r="W1100" i="2" s="1"/>
  <c r="T1100" i="2"/>
  <c r="V1099" i="2"/>
  <c r="W1099" i="2" s="1"/>
  <c r="T1099" i="2"/>
  <c r="V1098" i="2"/>
  <c r="W1098" i="2" s="1"/>
  <c r="T1098" i="2"/>
  <c r="V1097" i="2"/>
  <c r="W1097" i="2" s="1"/>
  <c r="T1097" i="2"/>
  <c r="V1096" i="2"/>
  <c r="W1096" i="2" s="1"/>
  <c r="T1096" i="2"/>
  <c r="V1095" i="2"/>
  <c r="W1095" i="2" s="1"/>
  <c r="T1095" i="2"/>
  <c r="V1094" i="2"/>
  <c r="W1094" i="2" s="1"/>
  <c r="T1094" i="2"/>
  <c r="V1093" i="2"/>
  <c r="W1093" i="2" s="1"/>
  <c r="T1093" i="2"/>
  <c r="V1092" i="2"/>
  <c r="W1092" i="2" s="1"/>
  <c r="T1092" i="2"/>
  <c r="V1091" i="2"/>
  <c r="W1091" i="2" s="1"/>
  <c r="T1091" i="2"/>
  <c r="V1090" i="2"/>
  <c r="W1090" i="2" s="1"/>
  <c r="T1090" i="2"/>
  <c r="V1089" i="2"/>
  <c r="W1089" i="2" s="1"/>
  <c r="T1089" i="2"/>
  <c r="V1088" i="2"/>
  <c r="W1088" i="2" s="1"/>
  <c r="T1088" i="2"/>
  <c r="V1087" i="2"/>
  <c r="W1087" i="2" s="1"/>
  <c r="T1087" i="2"/>
  <c r="V1086" i="2"/>
  <c r="W1086" i="2" s="1"/>
  <c r="T1086" i="2"/>
  <c r="V1085" i="2"/>
  <c r="W1085" i="2" s="1"/>
  <c r="T1085" i="2"/>
  <c r="V1084" i="2"/>
  <c r="W1084" i="2" s="1"/>
  <c r="T1084" i="2"/>
  <c r="V1083" i="2"/>
  <c r="W1083" i="2" s="1"/>
  <c r="T1083" i="2"/>
  <c r="V1082" i="2"/>
  <c r="W1082" i="2" s="1"/>
  <c r="T1082" i="2"/>
  <c r="V1081" i="2"/>
  <c r="W1081" i="2" s="1"/>
  <c r="T1081" i="2"/>
  <c r="V1080" i="2"/>
  <c r="W1080" i="2" s="1"/>
  <c r="T1080" i="2"/>
  <c r="V1079" i="2"/>
  <c r="W1079" i="2" s="1"/>
  <c r="T1079" i="2"/>
  <c r="V1078" i="2"/>
  <c r="W1078" i="2" s="1"/>
  <c r="T1078" i="2"/>
  <c r="V1077" i="2"/>
  <c r="W1077" i="2" s="1"/>
  <c r="T1077" i="2"/>
  <c r="V1076" i="2"/>
  <c r="W1076" i="2" s="1"/>
  <c r="T1076" i="2"/>
  <c r="V1075" i="2"/>
  <c r="W1075" i="2" s="1"/>
  <c r="T1075" i="2"/>
  <c r="V1074" i="2"/>
  <c r="W1074" i="2" s="1"/>
  <c r="T1074" i="2"/>
  <c r="V1073" i="2"/>
  <c r="W1073" i="2" s="1"/>
  <c r="T1073" i="2"/>
  <c r="V1072" i="2"/>
  <c r="W1072" i="2" s="1"/>
  <c r="T1072" i="2"/>
  <c r="V1071" i="2"/>
  <c r="W1071" i="2" s="1"/>
  <c r="T1071" i="2"/>
  <c r="V1070" i="2"/>
  <c r="W1070" i="2" s="1"/>
  <c r="T1070" i="2"/>
  <c r="V1069" i="2"/>
  <c r="W1069" i="2" s="1"/>
  <c r="T1069" i="2"/>
  <c r="V1068" i="2"/>
  <c r="W1068" i="2" s="1"/>
  <c r="T1068" i="2"/>
  <c r="V1067" i="2"/>
  <c r="W1067" i="2" s="1"/>
  <c r="T1067" i="2"/>
  <c r="V1066" i="2"/>
  <c r="W1066" i="2" s="1"/>
  <c r="T1066" i="2"/>
  <c r="V1065" i="2"/>
  <c r="W1065" i="2" s="1"/>
  <c r="T1065" i="2"/>
  <c r="V1064" i="2"/>
  <c r="W1064" i="2" s="1"/>
  <c r="T1064" i="2"/>
  <c r="V1063" i="2"/>
  <c r="W1063" i="2" s="1"/>
  <c r="T1063" i="2"/>
  <c r="V1062" i="2"/>
  <c r="W1062" i="2" s="1"/>
  <c r="T1062" i="2"/>
  <c r="V1061" i="2"/>
  <c r="W1061" i="2" s="1"/>
  <c r="T1061" i="2"/>
  <c r="V1060" i="2"/>
  <c r="W1060" i="2" s="1"/>
  <c r="T1060" i="2"/>
  <c r="V1059" i="2"/>
  <c r="W1059" i="2" s="1"/>
  <c r="T1059" i="2"/>
  <c r="V1058" i="2"/>
  <c r="W1058" i="2" s="1"/>
  <c r="T1058" i="2"/>
  <c r="V1057" i="2"/>
  <c r="W1057" i="2" s="1"/>
  <c r="T1057" i="2"/>
  <c r="V1056" i="2"/>
  <c r="W1056" i="2" s="1"/>
  <c r="T1056" i="2"/>
  <c r="V1055" i="2"/>
  <c r="W1055" i="2" s="1"/>
  <c r="T1055" i="2"/>
  <c r="V1054" i="2"/>
  <c r="W1054" i="2" s="1"/>
  <c r="T1054" i="2"/>
  <c r="V1053" i="2"/>
  <c r="W1053" i="2" s="1"/>
  <c r="T1053" i="2"/>
  <c r="V1052" i="2"/>
  <c r="W1052" i="2" s="1"/>
  <c r="T1052" i="2"/>
  <c r="V1051" i="2"/>
  <c r="W1051" i="2" s="1"/>
  <c r="T1051" i="2"/>
  <c r="V1050" i="2"/>
  <c r="W1050" i="2" s="1"/>
  <c r="T1050" i="2"/>
  <c r="V1049" i="2"/>
  <c r="W1049" i="2" s="1"/>
  <c r="T1049" i="2"/>
  <c r="V1048" i="2"/>
  <c r="W1048" i="2" s="1"/>
  <c r="T1048" i="2"/>
  <c r="V1047" i="2"/>
  <c r="W1047" i="2" s="1"/>
  <c r="T1047" i="2"/>
  <c r="V1046" i="2"/>
  <c r="W1046" i="2" s="1"/>
  <c r="T1046" i="2"/>
  <c r="V1045" i="2"/>
  <c r="W1045" i="2" s="1"/>
  <c r="T1045" i="2"/>
  <c r="V1044" i="2"/>
  <c r="W1044" i="2" s="1"/>
  <c r="T1044" i="2"/>
  <c r="V1043" i="2"/>
  <c r="W1043" i="2" s="1"/>
  <c r="T1043" i="2"/>
  <c r="V1042" i="2"/>
  <c r="W1042" i="2" s="1"/>
  <c r="T1042" i="2"/>
  <c r="V1041" i="2"/>
  <c r="W1041" i="2" s="1"/>
  <c r="T1041" i="2"/>
  <c r="V1040" i="2"/>
  <c r="W1040" i="2" s="1"/>
  <c r="T1040" i="2"/>
  <c r="V1039" i="2"/>
  <c r="W1039" i="2" s="1"/>
  <c r="T1039" i="2"/>
  <c r="V1038" i="2"/>
  <c r="W1038" i="2" s="1"/>
  <c r="T1038" i="2"/>
  <c r="V1037" i="2"/>
  <c r="W1037" i="2" s="1"/>
  <c r="T1037" i="2"/>
  <c r="V1036" i="2"/>
  <c r="W1036" i="2" s="1"/>
  <c r="T1036" i="2"/>
  <c r="V1035" i="2"/>
  <c r="W1035" i="2" s="1"/>
  <c r="T1035" i="2"/>
  <c r="V1034" i="2"/>
  <c r="W1034" i="2" s="1"/>
  <c r="T1034" i="2"/>
  <c r="V1033" i="2"/>
  <c r="W1033" i="2" s="1"/>
  <c r="T1033" i="2"/>
  <c r="V1032" i="2"/>
  <c r="W1032" i="2" s="1"/>
  <c r="T1032" i="2"/>
  <c r="V1031" i="2"/>
  <c r="W1031" i="2" s="1"/>
  <c r="T1031" i="2"/>
  <c r="V1030" i="2"/>
  <c r="W1030" i="2" s="1"/>
  <c r="T1030" i="2"/>
  <c r="V1029" i="2"/>
  <c r="W1029" i="2" s="1"/>
  <c r="T1029" i="2"/>
  <c r="V1028" i="2"/>
  <c r="W1028" i="2" s="1"/>
  <c r="T1028" i="2"/>
  <c r="V1027" i="2"/>
  <c r="W1027" i="2" s="1"/>
  <c r="T1027" i="2"/>
  <c r="V1026" i="2"/>
  <c r="W1026" i="2" s="1"/>
  <c r="T1026" i="2"/>
  <c r="V1025" i="2"/>
  <c r="W1025" i="2" s="1"/>
  <c r="T1025" i="2"/>
  <c r="V1024" i="2"/>
  <c r="W1024" i="2" s="1"/>
  <c r="T1024" i="2"/>
  <c r="V1023" i="2"/>
  <c r="W1023" i="2" s="1"/>
  <c r="T1023" i="2"/>
  <c r="V1022" i="2"/>
  <c r="W1022" i="2" s="1"/>
  <c r="T1022" i="2"/>
  <c r="V1021" i="2"/>
  <c r="W1021" i="2" s="1"/>
  <c r="T1021" i="2"/>
  <c r="V1020" i="2"/>
  <c r="W1020" i="2" s="1"/>
  <c r="T1020" i="2"/>
  <c r="V1019" i="2"/>
  <c r="W1019" i="2" s="1"/>
  <c r="T1019" i="2"/>
  <c r="V1018" i="2"/>
  <c r="W1018" i="2" s="1"/>
  <c r="T1018" i="2"/>
  <c r="V1017" i="2"/>
  <c r="W1017" i="2" s="1"/>
  <c r="T1017" i="2"/>
  <c r="V1016" i="2"/>
  <c r="W1016" i="2" s="1"/>
  <c r="T1016" i="2"/>
  <c r="V1015" i="2"/>
  <c r="W1015" i="2" s="1"/>
  <c r="T1015" i="2"/>
  <c r="V1014" i="2"/>
  <c r="W1014" i="2" s="1"/>
  <c r="T1014" i="2"/>
  <c r="F169" i="1" l="1"/>
  <c r="H171" i="1"/>
  <c r="I171" i="1" s="1"/>
  <c r="J171" i="1" s="1"/>
  <c r="H167" i="1"/>
  <c r="I167" i="1" s="1"/>
  <c r="H163" i="1"/>
  <c r="F167" i="1"/>
  <c r="H169" i="1"/>
  <c r="I169" i="1" s="1"/>
  <c r="J169" i="1" s="1"/>
  <c r="H165" i="1"/>
  <c r="I165" i="1" s="1"/>
  <c r="J165" i="1" s="1"/>
  <c r="F171" i="1"/>
  <c r="F163" i="1"/>
  <c r="F165" i="1"/>
  <c r="H170" i="1"/>
  <c r="H166" i="1"/>
  <c r="H164" i="1"/>
  <c r="F170" i="1"/>
  <c r="F168" i="1"/>
  <c r="F166" i="1"/>
  <c r="H172" i="1"/>
  <c r="H168" i="1"/>
  <c r="H162" i="1"/>
  <c r="F172" i="1"/>
  <c r="F164" i="1"/>
  <c r="F162" i="1"/>
  <c r="H161" i="1"/>
  <c r="F161" i="1"/>
  <c r="Q165" i="1" l="1"/>
  <c r="R165" i="1"/>
  <c r="S165" i="1"/>
  <c r="T165" i="1"/>
  <c r="S171" i="1"/>
  <c r="T171" i="1"/>
  <c r="Q171" i="1"/>
  <c r="R171" i="1"/>
  <c r="Q169" i="1"/>
  <c r="S169" i="1"/>
  <c r="R169" i="1"/>
  <c r="T169" i="1"/>
  <c r="F173" i="1"/>
  <c r="H173" i="1"/>
  <c r="I163" i="1"/>
  <c r="J163" i="1" s="1"/>
  <c r="J167" i="1"/>
  <c r="I162" i="1"/>
  <c r="J162" i="1" s="1"/>
  <c r="I168" i="1"/>
  <c r="J168" i="1" s="1"/>
  <c r="I166" i="1"/>
  <c r="J166" i="1" s="1"/>
  <c r="I164" i="1"/>
  <c r="J164" i="1" s="1"/>
  <c r="I172" i="1"/>
  <c r="J172" i="1" s="1"/>
  <c r="I170" i="1"/>
  <c r="J170" i="1" s="1"/>
  <c r="I161" i="1"/>
  <c r="D812" i="2"/>
  <c r="D813" i="2" s="1"/>
  <c r="D814" i="2" s="1"/>
  <c r="D815" i="2" s="1"/>
  <c r="D816" i="2" s="1"/>
  <c r="D817" i="2" s="1"/>
  <c r="D818" i="2" s="1"/>
  <c r="D819" i="2" s="1"/>
  <c r="D820" i="2" s="1"/>
  <c r="D821" i="2" s="1"/>
  <c r="D822" i="2" s="1"/>
  <c r="D823" i="2" s="1"/>
  <c r="D824" i="2" s="1"/>
  <c r="D825" i="2" s="1"/>
  <c r="D826" i="2" s="1"/>
  <c r="D827" i="2" s="1"/>
  <c r="D828" i="2" s="1"/>
  <c r="D829" i="2" s="1"/>
  <c r="D831" i="2"/>
  <c r="D832" i="2" s="1"/>
  <c r="D833" i="2" s="1"/>
  <c r="D834" i="2" s="1"/>
  <c r="D835" i="2" s="1"/>
  <c r="D836" i="2" s="1"/>
  <c r="D837" i="2" s="1"/>
  <c r="D838" i="2" s="1"/>
  <c r="D839" i="2" s="1"/>
  <c r="D840" i="2" s="1"/>
  <c r="D841" i="2" s="1"/>
  <c r="D842" i="2" s="1"/>
  <c r="D843" i="2" s="1"/>
  <c r="D844" i="2" s="1"/>
  <c r="D845" i="2" s="1"/>
  <c r="D846" i="2" s="1"/>
  <c r="D847" i="2" s="1"/>
  <c r="D848" i="2" s="1"/>
  <c r="D849" i="2" s="1"/>
  <c r="D851" i="2"/>
  <c r="D852" i="2" s="1"/>
  <c r="D853" i="2" s="1"/>
  <c r="D854" i="2" s="1"/>
  <c r="D855" i="2" s="1"/>
  <c r="D856" i="2" s="1"/>
  <c r="D857" i="2" s="1"/>
  <c r="D858" i="2" s="1"/>
  <c r="D859" i="2" s="1"/>
  <c r="D860" i="2" s="1"/>
  <c r="D861" i="2" s="1"/>
  <c r="D862" i="2" s="1"/>
  <c r="D863" i="2" s="1"/>
  <c r="D864" i="2" s="1"/>
  <c r="D866" i="2"/>
  <c r="D867" i="2" s="1"/>
  <c r="D868" i="2" s="1"/>
  <c r="D869" i="2" s="1"/>
  <c r="D870" i="2" s="1"/>
  <c r="D871" i="2" s="1"/>
  <c r="D872" i="2" s="1"/>
  <c r="D873" i="2" s="1"/>
  <c r="D874" i="2" s="1"/>
  <c r="D875" i="2" s="1"/>
  <c r="D876" i="2" s="1"/>
  <c r="D877" i="2" s="1"/>
  <c r="D878" i="2" s="1"/>
  <c r="D879" i="2" s="1"/>
  <c r="D880" i="2" s="1"/>
  <c r="D881" i="2" s="1"/>
  <c r="D882" i="2" s="1"/>
  <c r="D883" i="2" s="1"/>
  <c r="D885" i="2"/>
  <c r="D886" i="2" s="1"/>
  <c r="D887" i="2" s="1"/>
  <c r="D888" i="2" s="1"/>
  <c r="D889" i="2" s="1"/>
  <c r="D890" i="2" s="1"/>
  <c r="D891" i="2" s="1"/>
  <c r="D892" i="2" s="1"/>
  <c r="D893" i="2" s="1"/>
  <c r="D894" i="2" s="1"/>
  <c r="D895" i="2" s="1"/>
  <c r="D896" i="2" s="1"/>
  <c r="D897" i="2" s="1"/>
  <c r="D898" i="2" s="1"/>
  <c r="D899" i="2" s="1"/>
  <c r="D900" i="2" s="1"/>
  <c r="D901" i="2" s="1"/>
  <c r="D902" i="2" s="1"/>
  <c r="D903" i="2" s="1"/>
  <c r="D904" i="2" s="1"/>
  <c r="D905" i="2" s="1"/>
  <c r="D906" i="2" s="1"/>
  <c r="D909" i="2"/>
  <c r="D910" i="2" s="1"/>
  <c r="D911" i="2" s="1"/>
  <c r="D912" i="2" s="1"/>
  <c r="D913" i="2" s="1"/>
  <c r="D914" i="2" s="1"/>
  <c r="D915" i="2" s="1"/>
  <c r="D916" i="2" s="1"/>
  <c r="D917" i="2" s="1"/>
  <c r="D918" i="2" s="1"/>
  <c r="D919" i="2" s="1"/>
  <c r="D920" i="2" s="1"/>
  <c r="D921" i="2" s="1"/>
  <c r="D922" i="2" s="1"/>
  <c r="D923" i="2" s="1"/>
  <c r="D924" i="2" s="1"/>
  <c r="D925" i="2" s="1"/>
  <c r="D926" i="2" s="1"/>
  <c r="U165" i="1" l="1"/>
  <c r="U169" i="1"/>
  <c r="U171" i="1"/>
  <c r="Q163" i="1"/>
  <c r="R163" i="1"/>
  <c r="S163" i="1"/>
  <c r="T163" i="1"/>
  <c r="S170" i="1"/>
  <c r="T170" i="1"/>
  <c r="Q170" i="1"/>
  <c r="R170" i="1"/>
  <c r="Q172" i="1"/>
  <c r="S172" i="1"/>
  <c r="T172" i="1"/>
  <c r="R172" i="1"/>
  <c r="T164" i="1"/>
  <c r="Q164" i="1"/>
  <c r="R164" i="1"/>
  <c r="S164" i="1"/>
  <c r="Q166" i="1"/>
  <c r="R166" i="1"/>
  <c r="T166" i="1"/>
  <c r="S166" i="1"/>
  <c r="S168" i="1"/>
  <c r="T168" i="1"/>
  <c r="Q168" i="1"/>
  <c r="R168" i="1"/>
  <c r="R162" i="1"/>
  <c r="Q162" i="1"/>
  <c r="S162" i="1"/>
  <c r="T162" i="1"/>
  <c r="Q167" i="1"/>
  <c r="S167" i="1"/>
  <c r="T167" i="1"/>
  <c r="R167" i="1"/>
  <c r="J161" i="1"/>
  <c r="I173" i="1"/>
  <c r="D663" i="2"/>
  <c r="D681" i="2"/>
  <c r="D682" i="2" s="1"/>
  <c r="D683" i="2" s="1"/>
  <c r="D684" i="2" s="1"/>
  <c r="D685" i="2" s="1"/>
  <c r="D686" i="2" s="1"/>
  <c r="D687" i="2" s="1"/>
  <c r="D688" i="2" s="1"/>
  <c r="D689" i="2" s="1"/>
  <c r="D690" i="2" s="1"/>
  <c r="D691" i="2" s="1"/>
  <c r="D692" i="2" s="1"/>
  <c r="D693" i="2" s="1"/>
  <c r="D694" i="2" s="1"/>
  <c r="D695" i="2" s="1"/>
  <c r="D696" i="2" s="1"/>
  <c r="D697" i="2" s="1"/>
  <c r="D698" i="2" s="1"/>
  <c r="D699" i="2" s="1"/>
  <c r="D700" i="2" s="1"/>
  <c r="D701" i="2" s="1"/>
  <c r="D702" i="2" s="1"/>
  <c r="D703" i="2" s="1"/>
  <c r="D704" i="2" s="1"/>
  <c r="D705" i="2" s="1"/>
  <c r="D707" i="2"/>
  <c r="D708" i="2" s="1"/>
  <c r="D709" i="2" s="1"/>
  <c r="D710" i="2" s="1"/>
  <c r="D711" i="2" s="1"/>
  <c r="D712" i="2" s="1"/>
  <c r="D713" i="2" s="1"/>
  <c r="D714" i="2" s="1"/>
  <c r="D715" i="2" s="1"/>
  <c r="D716" i="2" s="1"/>
  <c r="D717" i="2" s="1"/>
  <c r="D719" i="2"/>
  <c r="D720" i="2" s="1"/>
  <c r="D721" i="2" s="1"/>
  <c r="D722" i="2" s="1"/>
  <c r="D723" i="2" s="1"/>
  <c r="D724" i="2" s="1"/>
  <c r="D725" i="2" s="1"/>
  <c r="D726" i="2" s="1"/>
  <c r="D727" i="2" s="1"/>
  <c r="D728" i="2" s="1"/>
  <c r="D729" i="2" s="1"/>
  <c r="D730" i="2" s="1"/>
  <c r="D731" i="2" s="1"/>
  <c r="D732" i="2" s="1"/>
  <c r="D733" i="2" s="1"/>
  <c r="D734" i="2" s="1"/>
  <c r="D735" i="2" s="1"/>
  <c r="D736" i="2" s="1"/>
  <c r="D737" i="2" s="1"/>
  <c r="D738" i="2" s="1"/>
  <c r="D739" i="2" s="1"/>
  <c r="D740" i="2" s="1"/>
  <c r="D742" i="2"/>
  <c r="D743" i="2" s="1"/>
  <c r="D744" i="2" s="1"/>
  <c r="D745" i="2" s="1"/>
  <c r="D746" i="2" s="1"/>
  <c r="D747" i="2" s="1"/>
  <c r="D748" i="2" s="1"/>
  <c r="D749" i="2" s="1"/>
  <c r="D750" i="2" s="1"/>
  <c r="D751" i="2" s="1"/>
  <c r="D752" i="2" s="1"/>
  <c r="D753" i="2" s="1"/>
  <c r="D754" i="2" s="1"/>
  <c r="D755" i="2" s="1"/>
  <c r="D756" i="2" s="1"/>
  <c r="D757" i="2" s="1"/>
  <c r="D758" i="2" s="1"/>
  <c r="D759" i="2" s="1"/>
  <c r="D761" i="2"/>
  <c r="D762" i="2" s="1"/>
  <c r="D763" i="2" s="1"/>
  <c r="D764" i="2" s="1"/>
  <c r="D765" i="2" s="1"/>
  <c r="D766" i="2" s="1"/>
  <c r="D767" i="2" s="1"/>
  <c r="D768" i="2" s="1"/>
  <c r="D769" i="2" s="1"/>
  <c r="D770" i="2" s="1"/>
  <c r="D771" i="2" s="1"/>
  <c r="D772" i="2" s="1"/>
  <c r="D773" i="2" s="1"/>
  <c r="D774" i="2" s="1"/>
  <c r="D775" i="2" s="1"/>
  <c r="D776" i="2" s="1"/>
  <c r="D777" i="2" s="1"/>
  <c r="D779" i="2"/>
  <c r="D780" i="2" s="1"/>
  <c r="D781" i="2" s="1"/>
  <c r="D782" i="2" s="1"/>
  <c r="D783" i="2" s="1"/>
  <c r="D784" i="2" s="1"/>
  <c r="D785" i="2" s="1"/>
  <c r="D786" i="2" s="1"/>
  <c r="D787" i="2" s="1"/>
  <c r="D788" i="2" s="1"/>
  <c r="D789" i="2" s="1"/>
  <c r="D790" i="2" s="1"/>
  <c r="D791" i="2" s="1"/>
  <c r="D792" i="2" s="1"/>
  <c r="D794" i="2"/>
  <c r="D795" i="2" s="1"/>
  <c r="D796" i="2" s="1"/>
  <c r="D797" i="2" s="1"/>
  <c r="D798" i="2" s="1"/>
  <c r="D799" i="2" s="1"/>
  <c r="D800" i="2" s="1"/>
  <c r="D801" i="2" s="1"/>
  <c r="D802" i="2" s="1"/>
  <c r="D803" i="2" s="1"/>
  <c r="D804" i="2" s="1"/>
  <c r="D805" i="2" s="1"/>
  <c r="D806" i="2" s="1"/>
  <c r="D807" i="2" s="1"/>
  <c r="D808" i="2" s="1"/>
  <c r="D809" i="2" s="1"/>
  <c r="D810" i="2" s="1"/>
  <c r="U164" i="1" l="1"/>
  <c r="U162" i="1"/>
  <c r="U172" i="1"/>
  <c r="U168" i="1"/>
  <c r="U170" i="1"/>
  <c r="U166" i="1"/>
  <c r="U163" i="1"/>
  <c r="U167" i="1"/>
  <c r="Q161" i="1"/>
  <c r="Q173" i="1" s="1"/>
  <c r="R161" i="1"/>
  <c r="R173" i="1" s="1"/>
  <c r="S161" i="1"/>
  <c r="S173" i="1" s="1"/>
  <c r="T161" i="1"/>
  <c r="T173" i="1" s="1"/>
  <c r="J173" i="1"/>
  <c r="D664" i="2"/>
  <c r="D665" i="2" s="1"/>
  <c r="D666" i="2" s="1"/>
  <c r="D667" i="2" s="1"/>
  <c r="D668" i="2" s="1"/>
  <c r="D669" i="2" s="1"/>
  <c r="D670" i="2" s="1"/>
  <c r="D671" i="2" s="1"/>
  <c r="D672" i="2" s="1"/>
  <c r="D673" i="2" s="1"/>
  <c r="D674" i="2" s="1"/>
  <c r="D675" i="2" s="1"/>
  <c r="D676" i="2" s="1"/>
  <c r="D677" i="2" s="1"/>
  <c r="D678" i="2" s="1"/>
  <c r="D679" i="2" s="1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U161" i="1" l="1"/>
  <c r="U173" i="1" s="1"/>
  <c r="V1013" i="2"/>
  <c r="W1013" i="2" s="1"/>
  <c r="T1013" i="2"/>
  <c r="V1012" i="2"/>
  <c r="W1012" i="2" s="1"/>
  <c r="T1012" i="2"/>
  <c r="V1011" i="2"/>
  <c r="W1011" i="2" s="1"/>
  <c r="T1011" i="2"/>
  <c r="V1010" i="2"/>
  <c r="W1010" i="2" s="1"/>
  <c r="T1010" i="2"/>
  <c r="V1009" i="2"/>
  <c r="W1009" i="2" s="1"/>
  <c r="T1009" i="2"/>
  <c r="V1008" i="2"/>
  <c r="W1008" i="2" s="1"/>
  <c r="T1008" i="2"/>
  <c r="V1007" i="2"/>
  <c r="W1007" i="2" s="1"/>
  <c r="T1007" i="2"/>
  <c r="V1006" i="2"/>
  <c r="W1006" i="2" s="1"/>
  <c r="T1006" i="2"/>
  <c r="V1005" i="2"/>
  <c r="W1005" i="2" s="1"/>
  <c r="T1005" i="2"/>
  <c r="V1004" i="2"/>
  <c r="W1004" i="2" s="1"/>
  <c r="T1004" i="2"/>
  <c r="V1003" i="2"/>
  <c r="W1003" i="2" s="1"/>
  <c r="T1003" i="2"/>
  <c r="V1002" i="2"/>
  <c r="W1002" i="2" s="1"/>
  <c r="T1002" i="2"/>
  <c r="V1001" i="2"/>
  <c r="W1001" i="2" s="1"/>
  <c r="T1001" i="2"/>
  <c r="V1000" i="2"/>
  <c r="W1000" i="2" s="1"/>
  <c r="T1000" i="2"/>
  <c r="V999" i="2"/>
  <c r="W999" i="2" s="1"/>
  <c r="T999" i="2"/>
  <c r="V998" i="2"/>
  <c r="W998" i="2" s="1"/>
  <c r="T998" i="2"/>
  <c r="V997" i="2"/>
  <c r="W997" i="2" s="1"/>
  <c r="T997" i="2"/>
  <c r="V996" i="2"/>
  <c r="W996" i="2" s="1"/>
  <c r="T996" i="2"/>
  <c r="V995" i="2"/>
  <c r="W995" i="2" s="1"/>
  <c r="T995" i="2"/>
  <c r="V994" i="2"/>
  <c r="W994" i="2" s="1"/>
  <c r="T994" i="2"/>
  <c r="V993" i="2"/>
  <c r="W993" i="2" s="1"/>
  <c r="T993" i="2"/>
  <c r="V992" i="2"/>
  <c r="W992" i="2" s="1"/>
  <c r="T992" i="2"/>
  <c r="V991" i="2"/>
  <c r="W991" i="2" s="1"/>
  <c r="T991" i="2"/>
  <c r="V990" i="2"/>
  <c r="W990" i="2" s="1"/>
  <c r="T990" i="2"/>
  <c r="V989" i="2"/>
  <c r="W989" i="2" s="1"/>
  <c r="T989" i="2"/>
  <c r="V988" i="2"/>
  <c r="W988" i="2" s="1"/>
  <c r="T988" i="2"/>
  <c r="V987" i="2"/>
  <c r="W987" i="2" s="1"/>
  <c r="T987" i="2"/>
  <c r="V986" i="2"/>
  <c r="W986" i="2" s="1"/>
  <c r="T986" i="2"/>
  <c r="V985" i="2"/>
  <c r="W985" i="2" s="1"/>
  <c r="T985" i="2"/>
  <c r="V984" i="2"/>
  <c r="W984" i="2" s="1"/>
  <c r="T984" i="2"/>
  <c r="V983" i="2"/>
  <c r="W983" i="2" s="1"/>
  <c r="T983" i="2"/>
  <c r="V982" i="2"/>
  <c r="W982" i="2" s="1"/>
  <c r="T982" i="2"/>
  <c r="V981" i="2"/>
  <c r="W981" i="2" s="1"/>
  <c r="T981" i="2"/>
  <c r="V980" i="2"/>
  <c r="W980" i="2" s="1"/>
  <c r="T980" i="2"/>
  <c r="V979" i="2"/>
  <c r="W979" i="2" s="1"/>
  <c r="T979" i="2"/>
  <c r="V978" i="2"/>
  <c r="W978" i="2" s="1"/>
  <c r="T978" i="2"/>
  <c r="V977" i="2"/>
  <c r="W977" i="2" s="1"/>
  <c r="T977" i="2"/>
  <c r="V976" i="2"/>
  <c r="W976" i="2" s="1"/>
  <c r="T976" i="2"/>
  <c r="V975" i="2"/>
  <c r="W975" i="2" s="1"/>
  <c r="T975" i="2"/>
  <c r="V974" i="2"/>
  <c r="W974" i="2" s="1"/>
  <c r="T974" i="2"/>
  <c r="V973" i="2"/>
  <c r="W973" i="2" s="1"/>
  <c r="T973" i="2"/>
  <c r="V972" i="2"/>
  <c r="W972" i="2" s="1"/>
  <c r="T972" i="2"/>
  <c r="V971" i="2"/>
  <c r="W971" i="2" s="1"/>
  <c r="T971" i="2"/>
  <c r="V970" i="2"/>
  <c r="W970" i="2" s="1"/>
  <c r="T970" i="2"/>
  <c r="V969" i="2"/>
  <c r="W969" i="2" s="1"/>
  <c r="T969" i="2"/>
  <c r="V968" i="2"/>
  <c r="W968" i="2" s="1"/>
  <c r="T968" i="2"/>
  <c r="V967" i="2"/>
  <c r="W967" i="2" s="1"/>
  <c r="T967" i="2"/>
  <c r="V966" i="2"/>
  <c r="W966" i="2" s="1"/>
  <c r="T966" i="2"/>
  <c r="V965" i="2"/>
  <c r="W965" i="2" s="1"/>
  <c r="T965" i="2"/>
  <c r="V964" i="2"/>
  <c r="W964" i="2" s="1"/>
  <c r="T964" i="2"/>
  <c r="V963" i="2"/>
  <c r="W963" i="2" s="1"/>
  <c r="T963" i="2"/>
  <c r="V962" i="2"/>
  <c r="W962" i="2" s="1"/>
  <c r="T962" i="2"/>
  <c r="V961" i="2"/>
  <c r="W961" i="2" s="1"/>
  <c r="T961" i="2"/>
  <c r="V960" i="2"/>
  <c r="W960" i="2" s="1"/>
  <c r="T960" i="2"/>
  <c r="V959" i="2"/>
  <c r="W959" i="2" s="1"/>
  <c r="T959" i="2"/>
  <c r="V958" i="2"/>
  <c r="W958" i="2" s="1"/>
  <c r="T958" i="2"/>
  <c r="V957" i="2"/>
  <c r="W957" i="2" s="1"/>
  <c r="T957" i="2"/>
  <c r="V956" i="2"/>
  <c r="W956" i="2" s="1"/>
  <c r="T956" i="2"/>
  <c r="V955" i="2"/>
  <c r="W955" i="2" s="1"/>
  <c r="T955" i="2"/>
  <c r="V954" i="2"/>
  <c r="W954" i="2" s="1"/>
  <c r="T954" i="2"/>
  <c r="V953" i="2"/>
  <c r="W953" i="2" s="1"/>
  <c r="T953" i="2"/>
  <c r="V952" i="2"/>
  <c r="W952" i="2" s="1"/>
  <c r="T952" i="2"/>
  <c r="V951" i="2"/>
  <c r="W951" i="2" s="1"/>
  <c r="T951" i="2"/>
  <c r="V950" i="2"/>
  <c r="W950" i="2" s="1"/>
  <c r="T950" i="2"/>
  <c r="V949" i="2"/>
  <c r="W949" i="2" s="1"/>
  <c r="T949" i="2"/>
  <c r="V948" i="2"/>
  <c r="W948" i="2" s="1"/>
  <c r="T948" i="2"/>
  <c r="V947" i="2"/>
  <c r="W947" i="2" s="1"/>
  <c r="T947" i="2"/>
  <c r="V946" i="2"/>
  <c r="W946" i="2" s="1"/>
  <c r="T946" i="2"/>
  <c r="V945" i="2"/>
  <c r="W945" i="2" s="1"/>
  <c r="T945" i="2"/>
  <c r="V944" i="2"/>
  <c r="W944" i="2" s="1"/>
  <c r="T944" i="2"/>
  <c r="V943" i="2"/>
  <c r="W943" i="2" s="1"/>
  <c r="T943" i="2"/>
  <c r="V942" i="2"/>
  <c r="W942" i="2" s="1"/>
  <c r="T942" i="2"/>
  <c r="V941" i="2"/>
  <c r="W941" i="2" s="1"/>
  <c r="T941" i="2"/>
  <c r="V940" i="2"/>
  <c r="W940" i="2" s="1"/>
  <c r="T940" i="2"/>
  <c r="V939" i="2"/>
  <c r="W939" i="2" s="1"/>
  <c r="T939" i="2"/>
  <c r="V938" i="2"/>
  <c r="W938" i="2" s="1"/>
  <c r="T938" i="2"/>
  <c r="V937" i="2"/>
  <c r="W937" i="2" s="1"/>
  <c r="T937" i="2"/>
  <c r="V936" i="2"/>
  <c r="W936" i="2" s="1"/>
  <c r="T936" i="2"/>
  <c r="V935" i="2"/>
  <c r="W935" i="2" s="1"/>
  <c r="T935" i="2"/>
  <c r="V934" i="2"/>
  <c r="W934" i="2" s="1"/>
  <c r="T934" i="2"/>
  <c r="V933" i="2"/>
  <c r="W933" i="2" s="1"/>
  <c r="T933" i="2"/>
  <c r="V932" i="2"/>
  <c r="W932" i="2" s="1"/>
  <c r="T932" i="2"/>
  <c r="V931" i="2"/>
  <c r="W931" i="2" s="1"/>
  <c r="T931" i="2"/>
  <c r="V930" i="2"/>
  <c r="W930" i="2" s="1"/>
  <c r="T930" i="2"/>
  <c r="V929" i="2"/>
  <c r="W929" i="2" s="1"/>
  <c r="T929" i="2"/>
  <c r="V928" i="2"/>
  <c r="W928" i="2" s="1"/>
  <c r="T928" i="2"/>
  <c r="V927" i="2"/>
  <c r="W927" i="2" s="1"/>
  <c r="T927" i="2"/>
  <c r="V926" i="2"/>
  <c r="W926" i="2" s="1"/>
  <c r="T926" i="2"/>
  <c r="V925" i="2"/>
  <c r="W925" i="2" s="1"/>
  <c r="T925" i="2"/>
  <c r="V924" i="2"/>
  <c r="W924" i="2" s="1"/>
  <c r="T924" i="2"/>
  <c r="V923" i="2"/>
  <c r="W923" i="2" s="1"/>
  <c r="T923" i="2"/>
  <c r="V922" i="2"/>
  <c r="W922" i="2" s="1"/>
  <c r="T922" i="2"/>
  <c r="V921" i="2"/>
  <c r="W921" i="2" s="1"/>
  <c r="T921" i="2"/>
  <c r="V920" i="2"/>
  <c r="W920" i="2" s="1"/>
  <c r="T920" i="2"/>
  <c r="V919" i="2"/>
  <c r="W919" i="2" s="1"/>
  <c r="T919" i="2"/>
  <c r="V918" i="2"/>
  <c r="W918" i="2" s="1"/>
  <c r="T918" i="2"/>
  <c r="V917" i="2"/>
  <c r="W917" i="2" s="1"/>
  <c r="T917" i="2"/>
  <c r="V916" i="2"/>
  <c r="W916" i="2" s="1"/>
  <c r="T916" i="2"/>
  <c r="V915" i="2"/>
  <c r="W915" i="2" s="1"/>
  <c r="T915" i="2"/>
  <c r="V914" i="2"/>
  <c r="W914" i="2" s="1"/>
  <c r="T914" i="2"/>
  <c r="V913" i="2"/>
  <c r="W913" i="2" s="1"/>
  <c r="T913" i="2"/>
  <c r="V912" i="2"/>
  <c r="W912" i="2" s="1"/>
  <c r="T912" i="2"/>
  <c r="V911" i="2"/>
  <c r="W911" i="2" s="1"/>
  <c r="T911" i="2"/>
  <c r="V910" i="2"/>
  <c r="W910" i="2" s="1"/>
  <c r="T910" i="2"/>
  <c r="V909" i="2"/>
  <c r="W909" i="2" s="1"/>
  <c r="T909" i="2"/>
  <c r="V908" i="2"/>
  <c r="W908" i="2" s="1"/>
  <c r="T908" i="2"/>
  <c r="V907" i="2"/>
  <c r="W907" i="2" s="1"/>
  <c r="T907" i="2"/>
  <c r="V906" i="2"/>
  <c r="W906" i="2" s="1"/>
  <c r="T906" i="2"/>
  <c r="V905" i="2"/>
  <c r="W905" i="2" s="1"/>
  <c r="T905" i="2"/>
  <c r="V904" i="2"/>
  <c r="W904" i="2" s="1"/>
  <c r="T904" i="2"/>
  <c r="V903" i="2"/>
  <c r="W903" i="2" s="1"/>
  <c r="T903" i="2"/>
  <c r="V902" i="2"/>
  <c r="W902" i="2" s="1"/>
  <c r="T902" i="2"/>
  <c r="V901" i="2"/>
  <c r="W901" i="2" s="1"/>
  <c r="T901" i="2"/>
  <c r="V900" i="2"/>
  <c r="W900" i="2" s="1"/>
  <c r="T900" i="2"/>
  <c r="V899" i="2"/>
  <c r="W899" i="2" s="1"/>
  <c r="T899" i="2"/>
  <c r="V898" i="2"/>
  <c r="W898" i="2" s="1"/>
  <c r="T898" i="2"/>
  <c r="V897" i="2"/>
  <c r="W897" i="2" s="1"/>
  <c r="T897" i="2"/>
  <c r="V896" i="2"/>
  <c r="W896" i="2" s="1"/>
  <c r="T896" i="2"/>
  <c r="V895" i="2"/>
  <c r="W895" i="2" s="1"/>
  <c r="T895" i="2"/>
  <c r="V894" i="2"/>
  <c r="W894" i="2" s="1"/>
  <c r="T894" i="2"/>
  <c r="V893" i="2"/>
  <c r="W893" i="2" s="1"/>
  <c r="T893" i="2"/>
  <c r="V892" i="2"/>
  <c r="W892" i="2" s="1"/>
  <c r="T892" i="2"/>
  <c r="V891" i="2"/>
  <c r="W891" i="2" s="1"/>
  <c r="T891" i="2"/>
  <c r="V890" i="2"/>
  <c r="W890" i="2" s="1"/>
  <c r="T890" i="2"/>
  <c r="V889" i="2"/>
  <c r="W889" i="2" s="1"/>
  <c r="T889" i="2"/>
  <c r="V888" i="2"/>
  <c r="W888" i="2" s="1"/>
  <c r="T888" i="2"/>
  <c r="V887" i="2"/>
  <c r="W887" i="2" s="1"/>
  <c r="T887" i="2"/>
  <c r="V886" i="2"/>
  <c r="W886" i="2" s="1"/>
  <c r="T886" i="2"/>
  <c r="V885" i="2"/>
  <c r="W885" i="2" s="1"/>
  <c r="T885" i="2"/>
  <c r="V884" i="2"/>
  <c r="W884" i="2" s="1"/>
  <c r="T884" i="2"/>
  <c r="V883" i="2"/>
  <c r="W883" i="2" s="1"/>
  <c r="T883" i="2"/>
  <c r="V882" i="2"/>
  <c r="W882" i="2" s="1"/>
  <c r="T882" i="2"/>
  <c r="V881" i="2"/>
  <c r="W881" i="2" s="1"/>
  <c r="T881" i="2"/>
  <c r="V880" i="2"/>
  <c r="W880" i="2" s="1"/>
  <c r="T880" i="2"/>
  <c r="V879" i="2"/>
  <c r="W879" i="2" s="1"/>
  <c r="T879" i="2"/>
  <c r="V878" i="2"/>
  <c r="W878" i="2" s="1"/>
  <c r="T878" i="2"/>
  <c r="V877" i="2"/>
  <c r="W877" i="2" s="1"/>
  <c r="T877" i="2"/>
  <c r="V876" i="2"/>
  <c r="W876" i="2" s="1"/>
  <c r="T876" i="2"/>
  <c r="V875" i="2"/>
  <c r="W875" i="2" s="1"/>
  <c r="T875" i="2"/>
  <c r="V874" i="2"/>
  <c r="W874" i="2" s="1"/>
  <c r="T874" i="2"/>
  <c r="V873" i="2"/>
  <c r="W873" i="2" s="1"/>
  <c r="T873" i="2"/>
  <c r="V872" i="2"/>
  <c r="W872" i="2" s="1"/>
  <c r="T872" i="2"/>
  <c r="V871" i="2"/>
  <c r="W871" i="2" s="1"/>
  <c r="T871" i="2"/>
  <c r="V870" i="2"/>
  <c r="W870" i="2" s="1"/>
  <c r="T870" i="2"/>
  <c r="V869" i="2"/>
  <c r="W869" i="2" s="1"/>
  <c r="T869" i="2"/>
  <c r="V868" i="2"/>
  <c r="W868" i="2" s="1"/>
  <c r="T868" i="2"/>
  <c r="V867" i="2"/>
  <c r="W867" i="2" s="1"/>
  <c r="T867" i="2"/>
  <c r="V866" i="2"/>
  <c r="W866" i="2" s="1"/>
  <c r="T866" i="2"/>
  <c r="V865" i="2"/>
  <c r="W865" i="2" s="1"/>
  <c r="T865" i="2"/>
  <c r="V864" i="2"/>
  <c r="W864" i="2" s="1"/>
  <c r="T864" i="2"/>
  <c r="V863" i="2"/>
  <c r="W863" i="2" s="1"/>
  <c r="T863" i="2"/>
  <c r="V862" i="2"/>
  <c r="W862" i="2" s="1"/>
  <c r="T862" i="2"/>
  <c r="V861" i="2"/>
  <c r="W861" i="2" s="1"/>
  <c r="T861" i="2"/>
  <c r="V860" i="2"/>
  <c r="W860" i="2" s="1"/>
  <c r="T860" i="2"/>
  <c r="V859" i="2"/>
  <c r="W859" i="2" s="1"/>
  <c r="T859" i="2"/>
  <c r="V858" i="2"/>
  <c r="W858" i="2" s="1"/>
  <c r="T858" i="2"/>
  <c r="V857" i="2"/>
  <c r="W857" i="2" s="1"/>
  <c r="T857" i="2"/>
  <c r="V856" i="2"/>
  <c r="W856" i="2" s="1"/>
  <c r="T856" i="2"/>
  <c r="V855" i="2"/>
  <c r="W855" i="2" s="1"/>
  <c r="T855" i="2"/>
  <c r="V854" i="2"/>
  <c r="W854" i="2" s="1"/>
  <c r="T854" i="2"/>
  <c r="V853" i="2"/>
  <c r="W853" i="2" s="1"/>
  <c r="T853" i="2"/>
  <c r="V852" i="2"/>
  <c r="W852" i="2" s="1"/>
  <c r="T852" i="2"/>
  <c r="V851" i="2"/>
  <c r="W851" i="2" s="1"/>
  <c r="T851" i="2"/>
  <c r="V850" i="2"/>
  <c r="W850" i="2" s="1"/>
  <c r="T850" i="2"/>
  <c r="V849" i="2"/>
  <c r="W849" i="2" s="1"/>
  <c r="T849" i="2"/>
  <c r="V848" i="2"/>
  <c r="W848" i="2" s="1"/>
  <c r="T848" i="2"/>
  <c r="V847" i="2"/>
  <c r="W847" i="2" s="1"/>
  <c r="T847" i="2"/>
  <c r="V846" i="2"/>
  <c r="W846" i="2" s="1"/>
  <c r="T846" i="2"/>
  <c r="V845" i="2"/>
  <c r="W845" i="2" s="1"/>
  <c r="T845" i="2"/>
  <c r="V844" i="2"/>
  <c r="W844" i="2" s="1"/>
  <c r="T844" i="2"/>
  <c r="V843" i="2"/>
  <c r="W843" i="2" s="1"/>
  <c r="T843" i="2"/>
  <c r="V842" i="2"/>
  <c r="W842" i="2" s="1"/>
  <c r="T842" i="2"/>
  <c r="V841" i="2"/>
  <c r="W841" i="2" s="1"/>
  <c r="T841" i="2"/>
  <c r="V840" i="2"/>
  <c r="W840" i="2" s="1"/>
  <c r="T840" i="2"/>
  <c r="V839" i="2"/>
  <c r="W839" i="2" s="1"/>
  <c r="T839" i="2"/>
  <c r="V838" i="2"/>
  <c r="W838" i="2" s="1"/>
  <c r="T838" i="2"/>
  <c r="V837" i="2"/>
  <c r="W837" i="2" s="1"/>
  <c r="T837" i="2"/>
  <c r="V836" i="2"/>
  <c r="W836" i="2" s="1"/>
  <c r="T836" i="2"/>
  <c r="V835" i="2"/>
  <c r="W835" i="2" s="1"/>
  <c r="T835" i="2"/>
  <c r="V834" i="2"/>
  <c r="W834" i="2" s="1"/>
  <c r="T834" i="2"/>
  <c r="V833" i="2"/>
  <c r="W833" i="2" s="1"/>
  <c r="T833" i="2"/>
  <c r="V832" i="2"/>
  <c r="W832" i="2" s="1"/>
  <c r="T832" i="2"/>
  <c r="V831" i="2"/>
  <c r="W831" i="2" s="1"/>
  <c r="T831" i="2"/>
  <c r="V830" i="2"/>
  <c r="W830" i="2" s="1"/>
  <c r="T830" i="2"/>
  <c r="V829" i="2"/>
  <c r="W829" i="2" s="1"/>
  <c r="T829" i="2"/>
  <c r="V828" i="2"/>
  <c r="W828" i="2" s="1"/>
  <c r="T828" i="2"/>
  <c r="V827" i="2"/>
  <c r="W827" i="2" s="1"/>
  <c r="T827" i="2"/>
  <c r="V826" i="2"/>
  <c r="W826" i="2" s="1"/>
  <c r="T826" i="2"/>
  <c r="V825" i="2"/>
  <c r="W825" i="2" s="1"/>
  <c r="T825" i="2"/>
  <c r="V824" i="2"/>
  <c r="W824" i="2" s="1"/>
  <c r="T824" i="2"/>
  <c r="V823" i="2"/>
  <c r="W823" i="2" s="1"/>
  <c r="T823" i="2"/>
  <c r="V822" i="2"/>
  <c r="W822" i="2" s="1"/>
  <c r="T822" i="2"/>
  <c r="V821" i="2"/>
  <c r="W821" i="2" s="1"/>
  <c r="T821" i="2"/>
  <c r="V820" i="2"/>
  <c r="W820" i="2" s="1"/>
  <c r="T820" i="2"/>
  <c r="V819" i="2"/>
  <c r="W819" i="2" s="1"/>
  <c r="T819" i="2"/>
  <c r="V818" i="2"/>
  <c r="W818" i="2" s="1"/>
  <c r="T818" i="2"/>
  <c r="V817" i="2"/>
  <c r="W817" i="2" s="1"/>
  <c r="T817" i="2"/>
  <c r="V816" i="2"/>
  <c r="W816" i="2" s="1"/>
  <c r="T816" i="2"/>
  <c r="V815" i="2"/>
  <c r="W815" i="2" s="1"/>
  <c r="T815" i="2"/>
  <c r="V814" i="2"/>
  <c r="W814" i="2" s="1"/>
  <c r="T814" i="2"/>
  <c r="V813" i="2"/>
  <c r="W813" i="2" s="1"/>
  <c r="T813" i="2"/>
  <c r="V812" i="2"/>
  <c r="W812" i="2" s="1"/>
  <c r="T812" i="2"/>
  <c r="V811" i="2"/>
  <c r="W811" i="2" s="1"/>
  <c r="T811" i="2"/>
  <c r="V810" i="2"/>
  <c r="W810" i="2" s="1"/>
  <c r="T810" i="2"/>
  <c r="V809" i="2"/>
  <c r="W809" i="2" s="1"/>
  <c r="T809" i="2"/>
  <c r="V808" i="2"/>
  <c r="W808" i="2" s="1"/>
  <c r="T808" i="2"/>
  <c r="V807" i="2"/>
  <c r="W807" i="2" s="1"/>
  <c r="T807" i="2"/>
  <c r="V806" i="2"/>
  <c r="W806" i="2" s="1"/>
  <c r="T806" i="2"/>
  <c r="V805" i="2"/>
  <c r="W805" i="2" s="1"/>
  <c r="T805" i="2"/>
  <c r="V804" i="2"/>
  <c r="W804" i="2" s="1"/>
  <c r="T804" i="2"/>
  <c r="V803" i="2"/>
  <c r="W803" i="2" s="1"/>
  <c r="T803" i="2"/>
  <c r="V802" i="2"/>
  <c r="W802" i="2" s="1"/>
  <c r="T802" i="2"/>
  <c r="V801" i="2"/>
  <c r="W801" i="2" s="1"/>
  <c r="T801" i="2"/>
  <c r="V800" i="2"/>
  <c r="W800" i="2" s="1"/>
  <c r="T800" i="2"/>
  <c r="V799" i="2"/>
  <c r="W799" i="2" s="1"/>
  <c r="T799" i="2"/>
  <c r="V798" i="2"/>
  <c r="W798" i="2" s="1"/>
  <c r="T798" i="2"/>
  <c r="V797" i="2"/>
  <c r="W797" i="2" s="1"/>
  <c r="T797" i="2"/>
  <c r="V796" i="2"/>
  <c r="W796" i="2" s="1"/>
  <c r="T796" i="2"/>
  <c r="V795" i="2"/>
  <c r="W795" i="2" s="1"/>
  <c r="T795" i="2"/>
  <c r="V794" i="2"/>
  <c r="W794" i="2" s="1"/>
  <c r="T794" i="2"/>
  <c r="V793" i="2"/>
  <c r="W793" i="2" s="1"/>
  <c r="T793" i="2"/>
  <c r="V792" i="2"/>
  <c r="W792" i="2" s="1"/>
  <c r="T792" i="2"/>
  <c r="V791" i="2"/>
  <c r="W791" i="2" s="1"/>
  <c r="T791" i="2"/>
  <c r="V790" i="2"/>
  <c r="W790" i="2" s="1"/>
  <c r="T790" i="2"/>
  <c r="V789" i="2"/>
  <c r="W789" i="2" s="1"/>
  <c r="T789" i="2"/>
  <c r="V788" i="2"/>
  <c r="W788" i="2" s="1"/>
  <c r="T788" i="2"/>
  <c r="V787" i="2"/>
  <c r="W787" i="2" s="1"/>
  <c r="T787" i="2"/>
  <c r="V786" i="2"/>
  <c r="W786" i="2" s="1"/>
  <c r="T786" i="2"/>
  <c r="V785" i="2"/>
  <c r="W785" i="2" s="1"/>
  <c r="T785" i="2"/>
  <c r="V784" i="2"/>
  <c r="W784" i="2" s="1"/>
  <c r="T784" i="2"/>
  <c r="V783" i="2"/>
  <c r="W783" i="2" s="1"/>
  <c r="T783" i="2"/>
  <c r="V782" i="2"/>
  <c r="W782" i="2" s="1"/>
  <c r="T782" i="2"/>
  <c r="V781" i="2"/>
  <c r="W781" i="2" s="1"/>
  <c r="T781" i="2"/>
  <c r="V780" i="2"/>
  <c r="W780" i="2" s="1"/>
  <c r="T780" i="2"/>
  <c r="V779" i="2"/>
  <c r="W779" i="2" s="1"/>
  <c r="T779" i="2"/>
  <c r="V778" i="2"/>
  <c r="W778" i="2" s="1"/>
  <c r="T778" i="2"/>
  <c r="V777" i="2"/>
  <c r="W777" i="2" s="1"/>
  <c r="T777" i="2"/>
  <c r="V776" i="2"/>
  <c r="W776" i="2" s="1"/>
  <c r="T776" i="2"/>
  <c r="V775" i="2"/>
  <c r="W775" i="2" s="1"/>
  <c r="T775" i="2"/>
  <c r="V774" i="2"/>
  <c r="W774" i="2" s="1"/>
  <c r="T774" i="2"/>
  <c r="V773" i="2"/>
  <c r="W773" i="2" s="1"/>
  <c r="T773" i="2"/>
  <c r="V772" i="2"/>
  <c r="W772" i="2" s="1"/>
  <c r="T772" i="2"/>
  <c r="V771" i="2"/>
  <c r="W771" i="2" s="1"/>
  <c r="T771" i="2"/>
  <c r="V770" i="2"/>
  <c r="W770" i="2" s="1"/>
  <c r="T770" i="2"/>
  <c r="V769" i="2"/>
  <c r="W769" i="2" s="1"/>
  <c r="T769" i="2"/>
  <c r="V768" i="2"/>
  <c r="W768" i="2" s="1"/>
  <c r="T768" i="2"/>
  <c r="V767" i="2"/>
  <c r="W767" i="2" s="1"/>
  <c r="T767" i="2"/>
  <c r="V766" i="2"/>
  <c r="W766" i="2" s="1"/>
  <c r="T766" i="2"/>
  <c r="V765" i="2"/>
  <c r="W765" i="2" s="1"/>
  <c r="T765" i="2"/>
  <c r="V764" i="2"/>
  <c r="W764" i="2" s="1"/>
  <c r="T764" i="2"/>
  <c r="V763" i="2"/>
  <c r="W763" i="2" s="1"/>
  <c r="T763" i="2"/>
  <c r="V762" i="2"/>
  <c r="W762" i="2" s="1"/>
  <c r="T762" i="2"/>
  <c r="V761" i="2"/>
  <c r="W761" i="2" s="1"/>
  <c r="T761" i="2"/>
  <c r="V760" i="2"/>
  <c r="W760" i="2" s="1"/>
  <c r="T760" i="2"/>
  <c r="V759" i="2"/>
  <c r="W759" i="2" s="1"/>
  <c r="T759" i="2"/>
  <c r="V758" i="2"/>
  <c r="W758" i="2" s="1"/>
  <c r="T758" i="2"/>
  <c r="V757" i="2"/>
  <c r="W757" i="2" s="1"/>
  <c r="T757" i="2"/>
  <c r="V756" i="2"/>
  <c r="W756" i="2" s="1"/>
  <c r="T756" i="2"/>
  <c r="V755" i="2"/>
  <c r="W755" i="2" s="1"/>
  <c r="T755" i="2"/>
  <c r="V754" i="2"/>
  <c r="W754" i="2" s="1"/>
  <c r="T754" i="2"/>
  <c r="V753" i="2"/>
  <c r="W753" i="2" s="1"/>
  <c r="T753" i="2"/>
  <c r="V752" i="2"/>
  <c r="W752" i="2" s="1"/>
  <c r="T752" i="2"/>
  <c r="V751" i="2"/>
  <c r="W751" i="2" s="1"/>
  <c r="T751" i="2"/>
  <c r="V750" i="2"/>
  <c r="W750" i="2" s="1"/>
  <c r="T750" i="2"/>
  <c r="V749" i="2"/>
  <c r="W749" i="2" s="1"/>
  <c r="T749" i="2"/>
  <c r="V748" i="2"/>
  <c r="W748" i="2" s="1"/>
  <c r="T748" i="2"/>
  <c r="V747" i="2"/>
  <c r="W747" i="2" s="1"/>
  <c r="T747" i="2"/>
  <c r="V746" i="2"/>
  <c r="W746" i="2" s="1"/>
  <c r="T746" i="2"/>
  <c r="V745" i="2"/>
  <c r="W745" i="2" s="1"/>
  <c r="T745" i="2"/>
  <c r="V744" i="2"/>
  <c r="W744" i="2" s="1"/>
  <c r="T744" i="2"/>
  <c r="V743" i="2"/>
  <c r="W743" i="2" s="1"/>
  <c r="T743" i="2"/>
  <c r="V742" i="2"/>
  <c r="W742" i="2" s="1"/>
  <c r="T742" i="2"/>
  <c r="V741" i="2"/>
  <c r="W741" i="2" s="1"/>
  <c r="T741" i="2"/>
  <c r="V740" i="2"/>
  <c r="W740" i="2" s="1"/>
  <c r="T740" i="2"/>
  <c r="V739" i="2"/>
  <c r="W739" i="2" s="1"/>
  <c r="T739" i="2"/>
  <c r="V738" i="2"/>
  <c r="W738" i="2" s="1"/>
  <c r="T738" i="2"/>
  <c r="V737" i="2"/>
  <c r="W737" i="2" s="1"/>
  <c r="T737" i="2"/>
  <c r="V736" i="2"/>
  <c r="W736" i="2" s="1"/>
  <c r="T736" i="2"/>
  <c r="V735" i="2"/>
  <c r="W735" i="2" s="1"/>
  <c r="T735" i="2"/>
  <c r="V734" i="2"/>
  <c r="W734" i="2" s="1"/>
  <c r="T734" i="2"/>
  <c r="V733" i="2"/>
  <c r="W733" i="2" s="1"/>
  <c r="T733" i="2"/>
  <c r="V732" i="2"/>
  <c r="W732" i="2" s="1"/>
  <c r="T732" i="2"/>
  <c r="V731" i="2"/>
  <c r="W731" i="2" s="1"/>
  <c r="T731" i="2"/>
  <c r="V730" i="2"/>
  <c r="W730" i="2" s="1"/>
  <c r="T730" i="2"/>
  <c r="V729" i="2"/>
  <c r="W729" i="2" s="1"/>
  <c r="T729" i="2"/>
  <c r="V728" i="2"/>
  <c r="W728" i="2" s="1"/>
  <c r="T728" i="2"/>
  <c r="V727" i="2"/>
  <c r="W727" i="2" s="1"/>
  <c r="T727" i="2"/>
  <c r="V726" i="2"/>
  <c r="W726" i="2" s="1"/>
  <c r="T726" i="2"/>
  <c r="V725" i="2"/>
  <c r="W725" i="2" s="1"/>
  <c r="T725" i="2"/>
  <c r="V724" i="2"/>
  <c r="W724" i="2" s="1"/>
  <c r="T724" i="2"/>
  <c r="V723" i="2"/>
  <c r="W723" i="2" s="1"/>
  <c r="T723" i="2"/>
  <c r="V722" i="2"/>
  <c r="W722" i="2" s="1"/>
  <c r="T722" i="2"/>
  <c r="V721" i="2"/>
  <c r="W721" i="2" s="1"/>
  <c r="T721" i="2"/>
  <c r="V720" i="2"/>
  <c r="W720" i="2" s="1"/>
  <c r="T720" i="2"/>
  <c r="V719" i="2"/>
  <c r="W719" i="2" s="1"/>
  <c r="T719" i="2"/>
  <c r="V718" i="2"/>
  <c r="W718" i="2" s="1"/>
  <c r="T718" i="2"/>
  <c r="V717" i="2"/>
  <c r="W717" i="2" s="1"/>
  <c r="T717" i="2"/>
  <c r="V716" i="2"/>
  <c r="W716" i="2" s="1"/>
  <c r="T716" i="2"/>
  <c r="V715" i="2"/>
  <c r="W715" i="2" s="1"/>
  <c r="T715" i="2"/>
  <c r="V714" i="2"/>
  <c r="W714" i="2" s="1"/>
  <c r="T714" i="2"/>
  <c r="V713" i="2"/>
  <c r="W713" i="2" s="1"/>
  <c r="T713" i="2"/>
  <c r="V712" i="2"/>
  <c r="W712" i="2" s="1"/>
  <c r="T712" i="2"/>
  <c r="V711" i="2"/>
  <c r="W711" i="2" s="1"/>
  <c r="T711" i="2"/>
  <c r="V710" i="2"/>
  <c r="W710" i="2" s="1"/>
  <c r="T710" i="2"/>
  <c r="V709" i="2"/>
  <c r="W709" i="2" s="1"/>
  <c r="T709" i="2"/>
  <c r="V708" i="2"/>
  <c r="W708" i="2" s="1"/>
  <c r="T708" i="2"/>
  <c r="V707" i="2"/>
  <c r="W707" i="2" s="1"/>
  <c r="T707" i="2"/>
  <c r="V706" i="2"/>
  <c r="W706" i="2" s="1"/>
  <c r="T706" i="2"/>
  <c r="V705" i="2"/>
  <c r="W705" i="2" s="1"/>
  <c r="T705" i="2"/>
  <c r="V704" i="2"/>
  <c r="W704" i="2" s="1"/>
  <c r="T704" i="2"/>
  <c r="V703" i="2"/>
  <c r="W703" i="2" s="1"/>
  <c r="T703" i="2"/>
  <c r="V702" i="2"/>
  <c r="W702" i="2" s="1"/>
  <c r="T702" i="2"/>
  <c r="V701" i="2"/>
  <c r="W701" i="2" s="1"/>
  <c r="T701" i="2"/>
  <c r="V700" i="2"/>
  <c r="W700" i="2" s="1"/>
  <c r="T700" i="2"/>
  <c r="V699" i="2"/>
  <c r="W699" i="2" s="1"/>
  <c r="T699" i="2"/>
  <c r="V698" i="2"/>
  <c r="W698" i="2" s="1"/>
  <c r="T698" i="2"/>
  <c r="V697" i="2"/>
  <c r="W697" i="2" s="1"/>
  <c r="T697" i="2"/>
  <c r="V696" i="2"/>
  <c r="W696" i="2" s="1"/>
  <c r="T696" i="2"/>
  <c r="V695" i="2"/>
  <c r="W695" i="2" s="1"/>
  <c r="T695" i="2"/>
  <c r="V694" i="2"/>
  <c r="W694" i="2" s="1"/>
  <c r="T694" i="2"/>
  <c r="V693" i="2"/>
  <c r="W693" i="2" s="1"/>
  <c r="T693" i="2"/>
  <c r="V692" i="2"/>
  <c r="W692" i="2" s="1"/>
  <c r="T692" i="2"/>
  <c r="V691" i="2"/>
  <c r="W691" i="2" s="1"/>
  <c r="T691" i="2"/>
  <c r="V690" i="2"/>
  <c r="W690" i="2" s="1"/>
  <c r="T690" i="2"/>
  <c r="V689" i="2"/>
  <c r="W689" i="2" s="1"/>
  <c r="T689" i="2"/>
  <c r="V688" i="2"/>
  <c r="W688" i="2" s="1"/>
  <c r="T688" i="2"/>
  <c r="V687" i="2"/>
  <c r="W687" i="2" s="1"/>
  <c r="T687" i="2"/>
  <c r="V686" i="2"/>
  <c r="W686" i="2" s="1"/>
  <c r="T686" i="2"/>
  <c r="V685" i="2"/>
  <c r="W685" i="2" s="1"/>
  <c r="T685" i="2"/>
  <c r="V684" i="2"/>
  <c r="W684" i="2" s="1"/>
  <c r="T684" i="2"/>
  <c r="V683" i="2"/>
  <c r="W683" i="2" s="1"/>
  <c r="T683" i="2"/>
  <c r="V682" i="2"/>
  <c r="W682" i="2" s="1"/>
  <c r="T682" i="2"/>
  <c r="V681" i="2"/>
  <c r="W681" i="2" s="1"/>
  <c r="T681" i="2"/>
  <c r="V680" i="2"/>
  <c r="W680" i="2" s="1"/>
  <c r="T680" i="2"/>
  <c r="V679" i="2"/>
  <c r="W679" i="2" s="1"/>
  <c r="T679" i="2"/>
  <c r="V678" i="2"/>
  <c r="W678" i="2" s="1"/>
  <c r="T678" i="2"/>
  <c r="V677" i="2"/>
  <c r="W677" i="2" s="1"/>
  <c r="T677" i="2"/>
  <c r="V676" i="2"/>
  <c r="W676" i="2" s="1"/>
  <c r="T676" i="2"/>
  <c r="V675" i="2"/>
  <c r="W675" i="2" s="1"/>
  <c r="T675" i="2"/>
  <c r="V674" i="2"/>
  <c r="W674" i="2" s="1"/>
  <c r="T674" i="2"/>
  <c r="V673" i="2"/>
  <c r="W673" i="2" s="1"/>
  <c r="T673" i="2"/>
  <c r="V672" i="2"/>
  <c r="W672" i="2" s="1"/>
  <c r="T672" i="2"/>
  <c r="V671" i="2"/>
  <c r="W671" i="2" s="1"/>
  <c r="T671" i="2"/>
  <c r="V670" i="2"/>
  <c r="W670" i="2" s="1"/>
  <c r="T670" i="2"/>
  <c r="V669" i="2"/>
  <c r="W669" i="2" s="1"/>
  <c r="T669" i="2"/>
  <c r="V668" i="2"/>
  <c r="W668" i="2" s="1"/>
  <c r="T668" i="2"/>
  <c r="V667" i="2"/>
  <c r="W667" i="2" s="1"/>
  <c r="T667" i="2"/>
  <c r="V666" i="2"/>
  <c r="W666" i="2" s="1"/>
  <c r="T666" i="2"/>
  <c r="V665" i="2"/>
  <c r="W665" i="2" s="1"/>
  <c r="T665" i="2"/>
  <c r="V664" i="2"/>
  <c r="W664" i="2" s="1"/>
  <c r="T664" i="2"/>
  <c r="V663" i="2"/>
  <c r="W663" i="2" s="1"/>
  <c r="T663" i="2"/>
  <c r="V662" i="2"/>
  <c r="W662" i="2" s="1"/>
  <c r="T662" i="2"/>
  <c r="V661" i="2"/>
  <c r="W661" i="2" s="1"/>
  <c r="T661" i="2"/>
  <c r="V660" i="2"/>
  <c r="W660" i="2" s="1"/>
  <c r="T660" i="2"/>
  <c r="V659" i="2"/>
  <c r="W659" i="2" s="1"/>
  <c r="T659" i="2"/>
  <c r="V658" i="2"/>
  <c r="W658" i="2" s="1"/>
  <c r="T658" i="2"/>
  <c r="V657" i="2"/>
  <c r="W657" i="2" s="1"/>
  <c r="T657" i="2"/>
  <c r="V656" i="2"/>
  <c r="W656" i="2" s="1"/>
  <c r="T656" i="2"/>
  <c r="V655" i="2"/>
  <c r="W655" i="2" s="1"/>
  <c r="T655" i="2"/>
  <c r="V654" i="2"/>
  <c r="W654" i="2" s="1"/>
  <c r="T654" i="2"/>
  <c r="V653" i="2"/>
  <c r="W653" i="2" s="1"/>
  <c r="T653" i="2"/>
  <c r="V652" i="2"/>
  <c r="W652" i="2" s="1"/>
  <c r="T652" i="2"/>
  <c r="V651" i="2"/>
  <c r="W651" i="2" s="1"/>
  <c r="T651" i="2"/>
  <c r="V650" i="2"/>
  <c r="W650" i="2" s="1"/>
  <c r="T650" i="2"/>
  <c r="V649" i="2"/>
  <c r="W649" i="2" s="1"/>
  <c r="T649" i="2"/>
  <c r="V648" i="2"/>
  <c r="W648" i="2" s="1"/>
  <c r="T648" i="2"/>
  <c r="V647" i="2"/>
  <c r="W647" i="2" s="1"/>
  <c r="T647" i="2"/>
  <c r="V646" i="2"/>
  <c r="W646" i="2" s="1"/>
  <c r="T646" i="2"/>
  <c r="V645" i="2"/>
  <c r="W645" i="2" s="1"/>
  <c r="T645" i="2"/>
  <c r="V644" i="2"/>
  <c r="W644" i="2" s="1"/>
  <c r="T644" i="2"/>
  <c r="V643" i="2"/>
  <c r="W643" i="2" s="1"/>
  <c r="T643" i="2"/>
  <c r="V642" i="2"/>
  <c r="W642" i="2" s="1"/>
  <c r="T642" i="2"/>
  <c r="V641" i="2"/>
  <c r="W641" i="2" s="1"/>
  <c r="T641" i="2"/>
  <c r="V640" i="2"/>
  <c r="W640" i="2" s="1"/>
  <c r="T640" i="2"/>
  <c r="V639" i="2"/>
  <c r="W639" i="2" s="1"/>
  <c r="T639" i="2"/>
  <c r="V638" i="2"/>
  <c r="W638" i="2" s="1"/>
  <c r="T638" i="2"/>
  <c r="V637" i="2"/>
  <c r="W637" i="2" s="1"/>
  <c r="T637" i="2"/>
  <c r="V636" i="2"/>
  <c r="W636" i="2" s="1"/>
  <c r="T636" i="2"/>
  <c r="V635" i="2"/>
  <c r="W635" i="2" s="1"/>
  <c r="T635" i="2"/>
  <c r="V634" i="2"/>
  <c r="W634" i="2" s="1"/>
  <c r="T634" i="2"/>
  <c r="V633" i="2"/>
  <c r="W633" i="2" s="1"/>
  <c r="T633" i="2"/>
  <c r="V632" i="2"/>
  <c r="W632" i="2" s="1"/>
  <c r="T632" i="2"/>
  <c r="V631" i="2"/>
  <c r="W631" i="2" s="1"/>
  <c r="T631" i="2"/>
  <c r="V630" i="2"/>
  <c r="W630" i="2" s="1"/>
  <c r="T630" i="2"/>
  <c r="V629" i="2"/>
  <c r="W629" i="2" s="1"/>
  <c r="T629" i="2"/>
  <c r="V628" i="2"/>
  <c r="W628" i="2" s="1"/>
  <c r="T628" i="2"/>
  <c r="V627" i="2"/>
  <c r="W627" i="2" s="1"/>
  <c r="T627" i="2"/>
  <c r="V626" i="2"/>
  <c r="W626" i="2" s="1"/>
  <c r="T626" i="2"/>
  <c r="V625" i="2"/>
  <c r="W625" i="2" s="1"/>
  <c r="T625" i="2"/>
  <c r="V624" i="2"/>
  <c r="W624" i="2" s="1"/>
  <c r="T624" i="2"/>
  <c r="V623" i="2"/>
  <c r="W623" i="2" s="1"/>
  <c r="T623" i="2"/>
  <c r="V622" i="2"/>
  <c r="W622" i="2" s="1"/>
  <c r="T622" i="2"/>
  <c r="V621" i="2"/>
  <c r="W621" i="2" s="1"/>
  <c r="T621" i="2"/>
  <c r="V620" i="2"/>
  <c r="W620" i="2" s="1"/>
  <c r="T620" i="2"/>
  <c r="V619" i="2"/>
  <c r="W619" i="2" s="1"/>
  <c r="T619" i="2"/>
  <c r="V618" i="2"/>
  <c r="W618" i="2" s="1"/>
  <c r="T618" i="2"/>
  <c r="V617" i="2"/>
  <c r="W617" i="2" s="1"/>
  <c r="T617" i="2"/>
  <c r="V616" i="2"/>
  <c r="W616" i="2" s="1"/>
  <c r="T616" i="2"/>
  <c r="V615" i="2"/>
  <c r="W615" i="2" s="1"/>
  <c r="T615" i="2"/>
  <c r="V614" i="2"/>
  <c r="W614" i="2" s="1"/>
  <c r="T614" i="2"/>
  <c r="V613" i="2"/>
  <c r="W613" i="2" s="1"/>
  <c r="T613" i="2"/>
  <c r="V612" i="2"/>
  <c r="W612" i="2" s="1"/>
  <c r="T612" i="2"/>
  <c r="V611" i="2"/>
  <c r="W611" i="2" s="1"/>
  <c r="T611" i="2"/>
  <c r="V610" i="2"/>
  <c r="W610" i="2" s="1"/>
  <c r="T610" i="2"/>
  <c r="V609" i="2"/>
  <c r="W609" i="2" s="1"/>
  <c r="T609" i="2"/>
  <c r="V608" i="2"/>
  <c r="W608" i="2" s="1"/>
  <c r="T608" i="2"/>
  <c r="V607" i="2"/>
  <c r="W607" i="2" s="1"/>
  <c r="T607" i="2"/>
  <c r="V606" i="2"/>
  <c r="W606" i="2" s="1"/>
  <c r="T606" i="2"/>
  <c r="V605" i="2"/>
  <c r="W605" i="2" s="1"/>
  <c r="T605" i="2"/>
  <c r="V604" i="2"/>
  <c r="W604" i="2" s="1"/>
  <c r="T604" i="2"/>
  <c r="V603" i="2"/>
  <c r="W603" i="2" s="1"/>
  <c r="T603" i="2"/>
  <c r="V602" i="2"/>
  <c r="W602" i="2" s="1"/>
  <c r="T602" i="2"/>
  <c r="V601" i="2"/>
  <c r="W601" i="2" s="1"/>
  <c r="T601" i="2"/>
  <c r="V600" i="2"/>
  <c r="W600" i="2" s="1"/>
  <c r="T600" i="2"/>
  <c r="V599" i="2"/>
  <c r="W599" i="2" s="1"/>
  <c r="T599" i="2"/>
  <c r="V598" i="2"/>
  <c r="W598" i="2" s="1"/>
  <c r="T598" i="2"/>
  <c r="V597" i="2"/>
  <c r="W597" i="2" s="1"/>
  <c r="T597" i="2"/>
  <c r="V596" i="2"/>
  <c r="W596" i="2" s="1"/>
  <c r="T596" i="2"/>
  <c r="V595" i="2"/>
  <c r="W595" i="2" s="1"/>
  <c r="T595" i="2"/>
  <c r="V594" i="2"/>
  <c r="W594" i="2" s="1"/>
  <c r="T594" i="2"/>
  <c r="V593" i="2"/>
  <c r="W593" i="2" s="1"/>
  <c r="T593" i="2"/>
  <c r="V592" i="2"/>
  <c r="W592" i="2" s="1"/>
  <c r="T592" i="2"/>
  <c r="V591" i="2"/>
  <c r="W591" i="2" s="1"/>
  <c r="T591" i="2"/>
  <c r="V590" i="2"/>
  <c r="W590" i="2" s="1"/>
  <c r="T590" i="2"/>
  <c r="V589" i="2"/>
  <c r="W589" i="2" s="1"/>
  <c r="T589" i="2"/>
  <c r="V588" i="2"/>
  <c r="W588" i="2" s="1"/>
  <c r="T588" i="2"/>
  <c r="V587" i="2"/>
  <c r="W587" i="2" s="1"/>
  <c r="T587" i="2"/>
  <c r="V586" i="2"/>
  <c r="W586" i="2" s="1"/>
  <c r="T586" i="2"/>
  <c r="V585" i="2"/>
  <c r="W585" i="2" s="1"/>
  <c r="T585" i="2"/>
  <c r="V584" i="2"/>
  <c r="W584" i="2" s="1"/>
  <c r="T584" i="2"/>
  <c r="V583" i="2"/>
  <c r="W583" i="2" s="1"/>
  <c r="T583" i="2"/>
  <c r="V582" i="2"/>
  <c r="W582" i="2" s="1"/>
  <c r="T582" i="2"/>
  <c r="V581" i="2"/>
  <c r="W581" i="2" s="1"/>
  <c r="T581" i="2"/>
  <c r="V580" i="2"/>
  <c r="W580" i="2" s="1"/>
  <c r="T580" i="2"/>
  <c r="V579" i="2"/>
  <c r="W579" i="2" s="1"/>
  <c r="T579" i="2"/>
  <c r="V578" i="2"/>
  <c r="W578" i="2" s="1"/>
  <c r="T578" i="2"/>
  <c r="V577" i="2"/>
  <c r="W577" i="2" s="1"/>
  <c r="T577" i="2"/>
  <c r="V576" i="2"/>
  <c r="W576" i="2" s="1"/>
  <c r="T576" i="2"/>
  <c r="V575" i="2"/>
  <c r="W575" i="2" s="1"/>
  <c r="T575" i="2"/>
  <c r="V574" i="2"/>
  <c r="W574" i="2" s="1"/>
  <c r="T574" i="2"/>
  <c r="V573" i="2"/>
  <c r="W573" i="2" s="1"/>
  <c r="T573" i="2"/>
  <c r="V572" i="2"/>
  <c r="W572" i="2" s="1"/>
  <c r="T572" i="2"/>
  <c r="V571" i="2"/>
  <c r="W571" i="2" s="1"/>
  <c r="T571" i="2"/>
  <c r="V570" i="2"/>
  <c r="W570" i="2" s="1"/>
  <c r="T570" i="2"/>
  <c r="V569" i="2"/>
  <c r="W569" i="2" s="1"/>
  <c r="T569" i="2"/>
  <c r="V568" i="2"/>
  <c r="W568" i="2" s="1"/>
  <c r="T568" i="2"/>
  <c r="V567" i="2"/>
  <c r="W567" i="2" s="1"/>
  <c r="T567" i="2"/>
  <c r="V566" i="2"/>
  <c r="W566" i="2" s="1"/>
  <c r="T566" i="2"/>
  <c r="V565" i="2"/>
  <c r="W565" i="2" s="1"/>
  <c r="T565" i="2"/>
  <c r="V564" i="2"/>
  <c r="W564" i="2" s="1"/>
  <c r="T564" i="2"/>
  <c r="V563" i="2"/>
  <c r="W563" i="2" s="1"/>
  <c r="T563" i="2"/>
  <c r="V562" i="2"/>
  <c r="W562" i="2" s="1"/>
  <c r="T562" i="2"/>
  <c r="V561" i="2"/>
  <c r="W561" i="2" s="1"/>
  <c r="T561" i="2"/>
  <c r="V560" i="2"/>
  <c r="W560" i="2" s="1"/>
  <c r="T560" i="2"/>
  <c r="V559" i="2"/>
  <c r="W559" i="2" s="1"/>
  <c r="T559" i="2"/>
  <c r="V558" i="2"/>
  <c r="W558" i="2" s="1"/>
  <c r="T558" i="2"/>
  <c r="V557" i="2"/>
  <c r="W557" i="2" s="1"/>
  <c r="T557" i="2"/>
  <c r="V556" i="2"/>
  <c r="W556" i="2" s="1"/>
  <c r="T556" i="2"/>
  <c r="V555" i="2"/>
  <c r="W555" i="2" s="1"/>
  <c r="T555" i="2"/>
  <c r="V554" i="2"/>
  <c r="W554" i="2" s="1"/>
  <c r="T554" i="2"/>
  <c r="V553" i="2"/>
  <c r="W553" i="2" s="1"/>
  <c r="T553" i="2"/>
  <c r="V552" i="2"/>
  <c r="W552" i="2" s="1"/>
  <c r="T552" i="2"/>
  <c r="V551" i="2"/>
  <c r="W551" i="2" s="1"/>
  <c r="T551" i="2"/>
  <c r="V550" i="2"/>
  <c r="W550" i="2" s="1"/>
  <c r="T550" i="2"/>
  <c r="V549" i="2"/>
  <c r="W549" i="2" s="1"/>
  <c r="T549" i="2"/>
  <c r="V548" i="2"/>
  <c r="W548" i="2" s="1"/>
  <c r="T548" i="2"/>
  <c r="V547" i="2"/>
  <c r="W547" i="2" s="1"/>
  <c r="T547" i="2"/>
  <c r="V546" i="2"/>
  <c r="W546" i="2" s="1"/>
  <c r="T546" i="2"/>
  <c r="V545" i="2"/>
  <c r="W545" i="2" s="1"/>
  <c r="T545" i="2"/>
  <c r="V544" i="2"/>
  <c r="W544" i="2" s="1"/>
  <c r="T544" i="2"/>
  <c r="V543" i="2"/>
  <c r="W543" i="2" s="1"/>
  <c r="T543" i="2"/>
  <c r="V542" i="2"/>
  <c r="W542" i="2" s="1"/>
  <c r="T542" i="2"/>
  <c r="V541" i="2"/>
  <c r="W541" i="2" s="1"/>
  <c r="T541" i="2"/>
  <c r="V540" i="2"/>
  <c r="W540" i="2" s="1"/>
  <c r="T540" i="2"/>
  <c r="V539" i="2"/>
  <c r="W539" i="2" s="1"/>
  <c r="T539" i="2"/>
  <c r="V538" i="2"/>
  <c r="W538" i="2" s="1"/>
  <c r="T538" i="2"/>
  <c r="V537" i="2"/>
  <c r="W537" i="2" s="1"/>
  <c r="T537" i="2"/>
  <c r="V536" i="2"/>
  <c r="W536" i="2" s="1"/>
  <c r="T536" i="2"/>
  <c r="V535" i="2"/>
  <c r="W535" i="2" s="1"/>
  <c r="T535" i="2"/>
  <c r="V534" i="2"/>
  <c r="W534" i="2" s="1"/>
  <c r="T534" i="2"/>
  <c r="V533" i="2"/>
  <c r="W533" i="2" s="1"/>
  <c r="T533" i="2"/>
  <c r="V532" i="2"/>
  <c r="W532" i="2" s="1"/>
  <c r="T532" i="2"/>
  <c r="V531" i="2"/>
  <c r="W531" i="2" s="1"/>
  <c r="T531" i="2"/>
  <c r="V530" i="2"/>
  <c r="W530" i="2" s="1"/>
  <c r="T530" i="2"/>
  <c r="V529" i="2"/>
  <c r="W529" i="2" s="1"/>
  <c r="T529" i="2"/>
  <c r="V528" i="2"/>
  <c r="W528" i="2" s="1"/>
  <c r="T528" i="2"/>
  <c r="V527" i="2"/>
  <c r="W527" i="2" s="1"/>
  <c r="T527" i="2"/>
  <c r="V526" i="2"/>
  <c r="W526" i="2" s="1"/>
  <c r="T526" i="2"/>
  <c r="V525" i="2"/>
  <c r="W525" i="2" s="1"/>
  <c r="T525" i="2"/>
  <c r="V524" i="2"/>
  <c r="W524" i="2" s="1"/>
  <c r="T524" i="2"/>
  <c r="V523" i="2"/>
  <c r="W523" i="2" s="1"/>
  <c r="T523" i="2"/>
  <c r="V522" i="2"/>
  <c r="W522" i="2" s="1"/>
  <c r="T522" i="2"/>
  <c r="V521" i="2"/>
  <c r="W521" i="2" s="1"/>
  <c r="T521" i="2"/>
  <c r="V520" i="2"/>
  <c r="W520" i="2" s="1"/>
  <c r="T520" i="2"/>
  <c r="V519" i="2"/>
  <c r="W519" i="2" s="1"/>
  <c r="T519" i="2"/>
  <c r="V518" i="2"/>
  <c r="W518" i="2" s="1"/>
  <c r="T518" i="2"/>
  <c r="V517" i="2"/>
  <c r="W517" i="2" s="1"/>
  <c r="T517" i="2"/>
  <c r="V516" i="2"/>
  <c r="W516" i="2" s="1"/>
  <c r="T516" i="2"/>
  <c r="V515" i="2"/>
  <c r="W515" i="2" s="1"/>
  <c r="T515" i="2"/>
  <c r="V514" i="2"/>
  <c r="W514" i="2" s="1"/>
  <c r="T514" i="2"/>
  <c r="V513" i="2"/>
  <c r="W513" i="2" s="1"/>
  <c r="T513" i="2"/>
  <c r="V512" i="2"/>
  <c r="W512" i="2" s="1"/>
  <c r="T512" i="2"/>
  <c r="V511" i="2"/>
  <c r="W511" i="2" s="1"/>
  <c r="T511" i="2"/>
  <c r="V510" i="2"/>
  <c r="W510" i="2" s="1"/>
  <c r="T510" i="2"/>
  <c r="V509" i="2"/>
  <c r="W509" i="2" s="1"/>
  <c r="T509" i="2"/>
  <c r="V508" i="2"/>
  <c r="W508" i="2" s="1"/>
  <c r="T508" i="2"/>
  <c r="V507" i="2"/>
  <c r="W507" i="2" s="1"/>
  <c r="T507" i="2"/>
  <c r="V506" i="2"/>
  <c r="W506" i="2" s="1"/>
  <c r="T506" i="2"/>
  <c r="V505" i="2"/>
  <c r="W505" i="2" s="1"/>
  <c r="T505" i="2"/>
  <c r="V504" i="2"/>
  <c r="W504" i="2" s="1"/>
  <c r="T504" i="2"/>
  <c r="V503" i="2"/>
  <c r="W503" i="2" s="1"/>
  <c r="T503" i="2"/>
  <c r="V502" i="2"/>
  <c r="W502" i="2" s="1"/>
  <c r="T502" i="2"/>
  <c r="V501" i="2"/>
  <c r="W501" i="2" s="1"/>
  <c r="T501" i="2"/>
  <c r="V500" i="2"/>
  <c r="W500" i="2" s="1"/>
  <c r="T500" i="2"/>
  <c r="V499" i="2"/>
  <c r="W499" i="2" s="1"/>
  <c r="T499" i="2"/>
  <c r="V498" i="2"/>
  <c r="W498" i="2" s="1"/>
  <c r="T498" i="2"/>
  <c r="V497" i="2"/>
  <c r="W497" i="2" s="1"/>
  <c r="T497" i="2"/>
  <c r="V496" i="2"/>
  <c r="W496" i="2" s="1"/>
  <c r="T496" i="2"/>
  <c r="V495" i="2"/>
  <c r="W495" i="2" s="1"/>
  <c r="T495" i="2"/>
  <c r="V494" i="2"/>
  <c r="W494" i="2" s="1"/>
  <c r="T494" i="2"/>
  <c r="V493" i="2"/>
  <c r="W493" i="2" s="1"/>
  <c r="T493" i="2"/>
  <c r="V492" i="2"/>
  <c r="W492" i="2" s="1"/>
  <c r="T492" i="2"/>
  <c r="V491" i="2"/>
  <c r="W491" i="2" s="1"/>
  <c r="T491" i="2"/>
  <c r="V490" i="2"/>
  <c r="W490" i="2" s="1"/>
  <c r="T490" i="2"/>
  <c r="V489" i="2"/>
  <c r="W489" i="2" s="1"/>
  <c r="T489" i="2"/>
  <c r="V488" i="2"/>
  <c r="W488" i="2" s="1"/>
  <c r="T488" i="2"/>
  <c r="V487" i="2"/>
  <c r="W487" i="2" s="1"/>
  <c r="T487" i="2"/>
  <c r="V486" i="2"/>
  <c r="W486" i="2" s="1"/>
  <c r="T486" i="2"/>
  <c r="V485" i="2"/>
  <c r="W485" i="2" s="1"/>
  <c r="T485" i="2"/>
  <c r="V484" i="2"/>
  <c r="W484" i="2" s="1"/>
  <c r="T484" i="2"/>
  <c r="V483" i="2"/>
  <c r="W483" i="2" s="1"/>
  <c r="T483" i="2"/>
  <c r="V482" i="2"/>
  <c r="W482" i="2" s="1"/>
  <c r="T482" i="2"/>
  <c r="V481" i="2"/>
  <c r="W481" i="2" s="1"/>
  <c r="T481" i="2"/>
  <c r="V480" i="2"/>
  <c r="W480" i="2" s="1"/>
  <c r="T480" i="2"/>
  <c r="V479" i="2"/>
  <c r="W479" i="2" s="1"/>
  <c r="T479" i="2"/>
  <c r="V478" i="2"/>
  <c r="W478" i="2" s="1"/>
  <c r="T478" i="2"/>
  <c r="V477" i="2"/>
  <c r="W477" i="2" s="1"/>
  <c r="T477" i="2"/>
  <c r="V476" i="2"/>
  <c r="W476" i="2" s="1"/>
  <c r="T476" i="2"/>
  <c r="V475" i="2"/>
  <c r="W475" i="2" s="1"/>
  <c r="T475" i="2"/>
  <c r="V474" i="2"/>
  <c r="W474" i="2" s="1"/>
  <c r="T474" i="2"/>
  <c r="V473" i="2"/>
  <c r="W473" i="2" s="1"/>
  <c r="T473" i="2"/>
  <c r="V472" i="2"/>
  <c r="W472" i="2" s="1"/>
  <c r="T472" i="2"/>
  <c r="V471" i="2"/>
  <c r="W471" i="2" s="1"/>
  <c r="T471" i="2"/>
  <c r="V470" i="2"/>
  <c r="W470" i="2" s="1"/>
  <c r="T470" i="2"/>
  <c r="V469" i="2"/>
  <c r="W469" i="2" s="1"/>
  <c r="T469" i="2"/>
  <c r="V468" i="2"/>
  <c r="W468" i="2" s="1"/>
  <c r="T468" i="2"/>
  <c r="V467" i="2"/>
  <c r="W467" i="2" s="1"/>
  <c r="T467" i="2"/>
  <c r="V466" i="2"/>
  <c r="W466" i="2" s="1"/>
  <c r="T466" i="2"/>
  <c r="V465" i="2"/>
  <c r="W465" i="2" s="1"/>
  <c r="T465" i="2"/>
  <c r="V464" i="2"/>
  <c r="W464" i="2" s="1"/>
  <c r="T464" i="2"/>
  <c r="V463" i="2"/>
  <c r="W463" i="2" s="1"/>
  <c r="T463" i="2"/>
  <c r="V462" i="2"/>
  <c r="W462" i="2" s="1"/>
  <c r="T462" i="2"/>
  <c r="V461" i="2"/>
  <c r="W461" i="2" s="1"/>
  <c r="T461" i="2"/>
  <c r="V460" i="2"/>
  <c r="W460" i="2" s="1"/>
  <c r="T460" i="2"/>
  <c r="V459" i="2"/>
  <c r="W459" i="2" s="1"/>
  <c r="T459" i="2"/>
  <c r="V458" i="2"/>
  <c r="W458" i="2" s="1"/>
  <c r="T458" i="2"/>
  <c r="V457" i="2"/>
  <c r="W457" i="2" s="1"/>
  <c r="T457" i="2"/>
  <c r="V456" i="2"/>
  <c r="W456" i="2" s="1"/>
  <c r="T456" i="2"/>
  <c r="V455" i="2"/>
  <c r="W455" i="2" s="1"/>
  <c r="T455" i="2"/>
  <c r="V454" i="2"/>
  <c r="W454" i="2" s="1"/>
  <c r="T454" i="2"/>
  <c r="V453" i="2"/>
  <c r="W453" i="2" s="1"/>
  <c r="T453" i="2"/>
  <c r="V452" i="2"/>
  <c r="W452" i="2" s="1"/>
  <c r="T452" i="2"/>
  <c r="V451" i="2"/>
  <c r="W451" i="2" s="1"/>
  <c r="T451" i="2"/>
  <c r="V450" i="2"/>
  <c r="W450" i="2" s="1"/>
  <c r="T450" i="2"/>
  <c r="V449" i="2"/>
  <c r="W449" i="2" s="1"/>
  <c r="T449" i="2"/>
  <c r="V448" i="2"/>
  <c r="W448" i="2" s="1"/>
  <c r="T448" i="2"/>
  <c r="V447" i="2"/>
  <c r="W447" i="2" s="1"/>
  <c r="T447" i="2"/>
  <c r="V446" i="2"/>
  <c r="W446" i="2" s="1"/>
  <c r="T446" i="2"/>
  <c r="V445" i="2"/>
  <c r="W445" i="2" s="1"/>
  <c r="T445" i="2"/>
  <c r="V444" i="2"/>
  <c r="W444" i="2" s="1"/>
  <c r="T444" i="2"/>
  <c r="V443" i="2"/>
  <c r="W443" i="2" s="1"/>
  <c r="T443" i="2"/>
  <c r="V442" i="2"/>
  <c r="W442" i="2" s="1"/>
  <c r="T442" i="2"/>
  <c r="V441" i="2"/>
  <c r="W441" i="2" s="1"/>
  <c r="T441" i="2"/>
  <c r="V440" i="2"/>
  <c r="W440" i="2" s="1"/>
  <c r="T440" i="2"/>
  <c r="V439" i="2"/>
  <c r="W439" i="2" s="1"/>
  <c r="T439" i="2"/>
  <c r="V438" i="2"/>
  <c r="W438" i="2" s="1"/>
  <c r="T438" i="2"/>
  <c r="V437" i="2"/>
  <c r="W437" i="2" s="1"/>
  <c r="T437" i="2"/>
  <c r="V436" i="2"/>
  <c r="W436" i="2" s="1"/>
  <c r="T436" i="2"/>
  <c r="V435" i="2"/>
  <c r="W435" i="2" s="1"/>
  <c r="T435" i="2"/>
  <c r="V434" i="2"/>
  <c r="W434" i="2" s="1"/>
  <c r="T434" i="2"/>
  <c r="V433" i="2"/>
  <c r="W433" i="2" s="1"/>
  <c r="T433" i="2"/>
  <c r="V432" i="2"/>
  <c r="W432" i="2" s="1"/>
  <c r="T432" i="2"/>
  <c r="V431" i="2"/>
  <c r="W431" i="2" s="1"/>
  <c r="T431" i="2"/>
  <c r="V430" i="2"/>
  <c r="W430" i="2" s="1"/>
  <c r="T430" i="2"/>
  <c r="V429" i="2"/>
  <c r="W429" i="2" s="1"/>
  <c r="T429" i="2"/>
  <c r="V428" i="2"/>
  <c r="W428" i="2" s="1"/>
  <c r="T428" i="2"/>
  <c r="V427" i="2"/>
  <c r="W427" i="2" s="1"/>
  <c r="T427" i="2"/>
  <c r="V426" i="2"/>
  <c r="W426" i="2" s="1"/>
  <c r="T426" i="2"/>
  <c r="V425" i="2"/>
  <c r="W425" i="2" s="1"/>
  <c r="T425" i="2"/>
  <c r="V424" i="2"/>
  <c r="W424" i="2" s="1"/>
  <c r="T424" i="2"/>
  <c r="V423" i="2"/>
  <c r="W423" i="2" s="1"/>
  <c r="T423" i="2"/>
  <c r="V422" i="2"/>
  <c r="W422" i="2" s="1"/>
  <c r="T422" i="2"/>
  <c r="V421" i="2"/>
  <c r="W421" i="2" s="1"/>
  <c r="T421" i="2"/>
  <c r="V420" i="2"/>
  <c r="W420" i="2" s="1"/>
  <c r="T420" i="2"/>
  <c r="V419" i="2"/>
  <c r="W419" i="2" s="1"/>
  <c r="T419" i="2"/>
  <c r="V418" i="2"/>
  <c r="W418" i="2" s="1"/>
  <c r="T418" i="2"/>
  <c r="V417" i="2"/>
  <c r="W417" i="2" s="1"/>
  <c r="T417" i="2"/>
  <c r="V416" i="2"/>
  <c r="W416" i="2" s="1"/>
  <c r="T416" i="2"/>
  <c r="V415" i="2"/>
  <c r="W415" i="2" s="1"/>
  <c r="T415" i="2"/>
  <c r="V414" i="2"/>
  <c r="W414" i="2" s="1"/>
  <c r="T414" i="2"/>
  <c r="V413" i="2"/>
  <c r="W413" i="2" s="1"/>
  <c r="T413" i="2"/>
  <c r="V412" i="2"/>
  <c r="W412" i="2" s="1"/>
  <c r="T412" i="2"/>
  <c r="V411" i="2"/>
  <c r="W411" i="2" s="1"/>
  <c r="T411" i="2"/>
  <c r="V410" i="2"/>
  <c r="W410" i="2" s="1"/>
  <c r="T410" i="2"/>
  <c r="V409" i="2"/>
  <c r="W409" i="2" s="1"/>
  <c r="T409" i="2"/>
  <c r="V408" i="2"/>
  <c r="W408" i="2" s="1"/>
  <c r="T408" i="2"/>
  <c r="V407" i="2"/>
  <c r="W407" i="2" s="1"/>
  <c r="T407" i="2"/>
  <c r="V406" i="2"/>
  <c r="W406" i="2" s="1"/>
  <c r="T406" i="2"/>
  <c r="V405" i="2"/>
  <c r="W405" i="2" s="1"/>
  <c r="T405" i="2"/>
  <c r="V404" i="2"/>
  <c r="W404" i="2" s="1"/>
  <c r="T404" i="2"/>
  <c r="V403" i="2"/>
  <c r="W403" i="2" s="1"/>
  <c r="T403" i="2"/>
  <c r="V402" i="2"/>
  <c r="W402" i="2" s="1"/>
  <c r="T402" i="2"/>
  <c r="V401" i="2"/>
  <c r="W401" i="2" s="1"/>
  <c r="T401" i="2"/>
  <c r="V400" i="2"/>
  <c r="W400" i="2" s="1"/>
  <c r="T400" i="2"/>
  <c r="V399" i="2"/>
  <c r="W399" i="2" s="1"/>
  <c r="T399" i="2"/>
  <c r="V398" i="2"/>
  <c r="W398" i="2" s="1"/>
  <c r="T398" i="2"/>
  <c r="V397" i="2"/>
  <c r="W397" i="2" s="1"/>
  <c r="T397" i="2"/>
  <c r="V396" i="2"/>
  <c r="W396" i="2" s="1"/>
  <c r="T396" i="2"/>
  <c r="V395" i="2"/>
  <c r="W395" i="2" s="1"/>
  <c r="T395" i="2"/>
  <c r="V394" i="2"/>
  <c r="W394" i="2" s="1"/>
  <c r="T394" i="2"/>
  <c r="V393" i="2"/>
  <c r="W393" i="2" s="1"/>
  <c r="T393" i="2"/>
  <c r="V392" i="2"/>
  <c r="W392" i="2" s="1"/>
  <c r="T392" i="2"/>
  <c r="V391" i="2"/>
  <c r="W391" i="2" s="1"/>
  <c r="T391" i="2"/>
  <c r="V390" i="2"/>
  <c r="W390" i="2" s="1"/>
  <c r="T390" i="2"/>
  <c r="V389" i="2"/>
  <c r="W389" i="2" s="1"/>
  <c r="T389" i="2"/>
  <c r="V388" i="2"/>
  <c r="W388" i="2" s="1"/>
  <c r="T388" i="2"/>
  <c r="V387" i="2"/>
  <c r="W387" i="2" s="1"/>
  <c r="T387" i="2"/>
  <c r="V386" i="2"/>
  <c r="W386" i="2" s="1"/>
  <c r="T386" i="2"/>
  <c r="V385" i="2"/>
  <c r="W385" i="2" s="1"/>
  <c r="T385" i="2"/>
  <c r="V384" i="2"/>
  <c r="W384" i="2" s="1"/>
  <c r="T384" i="2"/>
  <c r="V383" i="2"/>
  <c r="W383" i="2" s="1"/>
  <c r="T383" i="2"/>
  <c r="V382" i="2"/>
  <c r="W382" i="2" s="1"/>
  <c r="T382" i="2"/>
  <c r="V381" i="2"/>
  <c r="W381" i="2" s="1"/>
  <c r="T381" i="2"/>
  <c r="V380" i="2"/>
  <c r="W380" i="2" s="1"/>
  <c r="T380" i="2"/>
  <c r="V379" i="2"/>
  <c r="W379" i="2" s="1"/>
  <c r="T379" i="2"/>
  <c r="V378" i="2"/>
  <c r="W378" i="2" s="1"/>
  <c r="T378" i="2"/>
  <c r="V377" i="2"/>
  <c r="W377" i="2" s="1"/>
  <c r="T377" i="2"/>
  <c r="V376" i="2"/>
  <c r="W376" i="2" s="1"/>
  <c r="T376" i="2"/>
  <c r="V375" i="2"/>
  <c r="W375" i="2" s="1"/>
  <c r="T375" i="2"/>
  <c r="V374" i="2"/>
  <c r="W374" i="2" s="1"/>
  <c r="T374" i="2"/>
  <c r="V373" i="2"/>
  <c r="W373" i="2" s="1"/>
  <c r="T373" i="2"/>
  <c r="V372" i="2"/>
  <c r="W372" i="2" s="1"/>
  <c r="T372" i="2"/>
  <c r="V371" i="2"/>
  <c r="W371" i="2" s="1"/>
  <c r="T371" i="2"/>
  <c r="V370" i="2"/>
  <c r="W370" i="2" s="1"/>
  <c r="T370" i="2"/>
  <c r="V369" i="2"/>
  <c r="W369" i="2" s="1"/>
  <c r="T369" i="2"/>
  <c r="V368" i="2"/>
  <c r="W368" i="2" s="1"/>
  <c r="T368" i="2"/>
  <c r="V367" i="2"/>
  <c r="W367" i="2" s="1"/>
  <c r="T367" i="2"/>
  <c r="V366" i="2"/>
  <c r="W366" i="2" s="1"/>
  <c r="T366" i="2"/>
  <c r="V365" i="2"/>
  <c r="W365" i="2" s="1"/>
  <c r="T365" i="2"/>
  <c r="V364" i="2"/>
  <c r="W364" i="2" s="1"/>
  <c r="T364" i="2"/>
  <c r="V363" i="2"/>
  <c r="W363" i="2" s="1"/>
  <c r="T363" i="2"/>
  <c r="V362" i="2"/>
  <c r="W362" i="2" s="1"/>
  <c r="T362" i="2"/>
  <c r="V361" i="2"/>
  <c r="W361" i="2" s="1"/>
  <c r="T361" i="2"/>
  <c r="V360" i="2"/>
  <c r="W360" i="2" s="1"/>
  <c r="T360" i="2"/>
  <c r="V359" i="2"/>
  <c r="W359" i="2" s="1"/>
  <c r="T359" i="2"/>
  <c r="V358" i="2"/>
  <c r="W358" i="2" s="1"/>
  <c r="T358" i="2"/>
  <c r="V357" i="2"/>
  <c r="W357" i="2" s="1"/>
  <c r="T357" i="2"/>
  <c r="V356" i="2"/>
  <c r="W356" i="2" s="1"/>
  <c r="T356" i="2"/>
  <c r="V355" i="2"/>
  <c r="W355" i="2" s="1"/>
  <c r="T355" i="2"/>
  <c r="V354" i="2"/>
  <c r="W354" i="2" s="1"/>
  <c r="T354" i="2"/>
  <c r="V353" i="2"/>
  <c r="W353" i="2" s="1"/>
  <c r="T353" i="2"/>
  <c r="V352" i="2"/>
  <c r="W352" i="2" s="1"/>
  <c r="T352" i="2"/>
  <c r="V351" i="2"/>
  <c r="W351" i="2" s="1"/>
  <c r="T351" i="2"/>
  <c r="V350" i="2"/>
  <c r="W350" i="2" s="1"/>
  <c r="T350" i="2"/>
  <c r="V349" i="2"/>
  <c r="W349" i="2" s="1"/>
  <c r="T349" i="2"/>
  <c r="V348" i="2"/>
  <c r="W348" i="2" s="1"/>
  <c r="T348" i="2"/>
  <c r="V347" i="2"/>
  <c r="W347" i="2" s="1"/>
  <c r="T347" i="2"/>
  <c r="V346" i="2"/>
  <c r="W346" i="2" s="1"/>
  <c r="T346" i="2"/>
  <c r="V345" i="2"/>
  <c r="W345" i="2" s="1"/>
  <c r="T345" i="2"/>
  <c r="V344" i="2"/>
  <c r="W344" i="2" s="1"/>
  <c r="T344" i="2"/>
  <c r="V343" i="2"/>
  <c r="W343" i="2" s="1"/>
  <c r="T343" i="2"/>
  <c r="V342" i="2"/>
  <c r="W342" i="2" s="1"/>
  <c r="T342" i="2"/>
  <c r="V341" i="2"/>
  <c r="W341" i="2" s="1"/>
  <c r="T341" i="2"/>
  <c r="V340" i="2"/>
  <c r="W340" i="2" s="1"/>
  <c r="T340" i="2"/>
  <c r="V339" i="2"/>
  <c r="W339" i="2" s="1"/>
  <c r="T339" i="2"/>
  <c r="V338" i="2"/>
  <c r="W338" i="2" s="1"/>
  <c r="T338" i="2"/>
  <c r="V337" i="2"/>
  <c r="W337" i="2" s="1"/>
  <c r="T337" i="2"/>
  <c r="V336" i="2"/>
  <c r="W336" i="2" s="1"/>
  <c r="T336" i="2"/>
  <c r="V335" i="2"/>
  <c r="W335" i="2" s="1"/>
  <c r="T335" i="2"/>
  <c r="V334" i="2"/>
  <c r="W334" i="2" s="1"/>
  <c r="T334" i="2"/>
  <c r="V333" i="2"/>
  <c r="W333" i="2" s="1"/>
  <c r="T333" i="2"/>
  <c r="V332" i="2"/>
  <c r="W332" i="2" s="1"/>
  <c r="T332" i="2"/>
  <c r="V331" i="2"/>
  <c r="W331" i="2" s="1"/>
  <c r="T331" i="2"/>
  <c r="V330" i="2"/>
  <c r="W330" i="2" s="1"/>
  <c r="T330" i="2"/>
  <c r="V329" i="2"/>
  <c r="W329" i="2" s="1"/>
  <c r="T329" i="2"/>
  <c r="V328" i="2"/>
  <c r="W328" i="2" s="1"/>
  <c r="T328" i="2"/>
  <c r="V327" i="2"/>
  <c r="W327" i="2" s="1"/>
  <c r="T327" i="2"/>
  <c r="V326" i="2"/>
  <c r="W326" i="2" s="1"/>
  <c r="T326" i="2"/>
  <c r="V325" i="2"/>
  <c r="W325" i="2" s="1"/>
  <c r="T325" i="2"/>
  <c r="V324" i="2"/>
  <c r="W324" i="2" s="1"/>
  <c r="T324" i="2"/>
  <c r="V323" i="2"/>
  <c r="W323" i="2" s="1"/>
  <c r="T323" i="2"/>
  <c r="V322" i="2"/>
  <c r="W322" i="2" s="1"/>
  <c r="T322" i="2"/>
  <c r="V321" i="2"/>
  <c r="W321" i="2" s="1"/>
  <c r="T321" i="2"/>
  <c r="V320" i="2"/>
  <c r="W320" i="2" s="1"/>
  <c r="T320" i="2"/>
  <c r="V319" i="2"/>
  <c r="W319" i="2" s="1"/>
  <c r="T319" i="2"/>
  <c r="V318" i="2"/>
  <c r="W318" i="2" s="1"/>
  <c r="T318" i="2"/>
  <c r="V317" i="2"/>
  <c r="W317" i="2" s="1"/>
  <c r="T317" i="2"/>
  <c r="V316" i="2"/>
  <c r="W316" i="2" s="1"/>
  <c r="T316" i="2"/>
  <c r="V315" i="2"/>
  <c r="W315" i="2" s="1"/>
  <c r="T315" i="2"/>
  <c r="V314" i="2"/>
  <c r="W314" i="2" s="1"/>
  <c r="T314" i="2"/>
  <c r="V313" i="2"/>
  <c r="W313" i="2" s="1"/>
  <c r="T313" i="2"/>
  <c r="V312" i="2"/>
  <c r="W312" i="2" s="1"/>
  <c r="T312" i="2"/>
  <c r="V311" i="2"/>
  <c r="W311" i="2" s="1"/>
  <c r="T311" i="2"/>
  <c r="V310" i="2"/>
  <c r="W310" i="2" s="1"/>
  <c r="T310" i="2"/>
  <c r="V309" i="2"/>
  <c r="W309" i="2" s="1"/>
  <c r="T309" i="2"/>
  <c r="V308" i="2"/>
  <c r="W308" i="2" s="1"/>
  <c r="T308" i="2"/>
  <c r="V307" i="2"/>
  <c r="W307" i="2" s="1"/>
  <c r="T307" i="2"/>
  <c r="V306" i="2"/>
  <c r="W306" i="2" s="1"/>
  <c r="T306" i="2"/>
  <c r="V305" i="2"/>
  <c r="W305" i="2" s="1"/>
  <c r="T305" i="2"/>
  <c r="V304" i="2"/>
  <c r="W304" i="2" s="1"/>
  <c r="T304" i="2"/>
  <c r="V303" i="2"/>
  <c r="W303" i="2" s="1"/>
  <c r="T303" i="2"/>
  <c r="V302" i="2"/>
  <c r="W302" i="2" s="1"/>
  <c r="T302" i="2"/>
  <c r="V301" i="2"/>
  <c r="W301" i="2" s="1"/>
  <c r="T301" i="2"/>
  <c r="V300" i="2"/>
  <c r="W300" i="2" s="1"/>
  <c r="T300" i="2"/>
  <c r="V299" i="2"/>
  <c r="W299" i="2" s="1"/>
  <c r="T299" i="2"/>
  <c r="V298" i="2"/>
  <c r="W298" i="2" s="1"/>
  <c r="T298" i="2"/>
  <c r="V297" i="2"/>
  <c r="W297" i="2" s="1"/>
  <c r="T297" i="2"/>
  <c r="V296" i="2"/>
  <c r="W296" i="2" s="1"/>
  <c r="T296" i="2"/>
  <c r="V295" i="2"/>
  <c r="W295" i="2" s="1"/>
  <c r="T295" i="2"/>
  <c r="V294" i="2"/>
  <c r="W294" i="2" s="1"/>
  <c r="T294" i="2"/>
  <c r="V293" i="2"/>
  <c r="W293" i="2" s="1"/>
  <c r="T293" i="2"/>
  <c r="V292" i="2"/>
  <c r="W292" i="2" s="1"/>
  <c r="T292" i="2"/>
  <c r="V291" i="2"/>
  <c r="W291" i="2" s="1"/>
  <c r="T291" i="2"/>
  <c r="V290" i="2"/>
  <c r="W290" i="2" s="1"/>
  <c r="T290" i="2"/>
  <c r="V289" i="2"/>
  <c r="W289" i="2" s="1"/>
  <c r="T289" i="2"/>
  <c r="V288" i="2"/>
  <c r="W288" i="2" s="1"/>
  <c r="T288" i="2"/>
  <c r="V287" i="2"/>
  <c r="W287" i="2" s="1"/>
  <c r="T287" i="2"/>
  <c r="V286" i="2"/>
  <c r="W286" i="2" s="1"/>
  <c r="T286" i="2"/>
  <c r="V285" i="2"/>
  <c r="W285" i="2" s="1"/>
  <c r="T285" i="2"/>
  <c r="V284" i="2"/>
  <c r="W284" i="2" s="1"/>
  <c r="T284" i="2"/>
  <c r="V283" i="2"/>
  <c r="W283" i="2" s="1"/>
  <c r="T283" i="2"/>
  <c r="V282" i="2"/>
  <c r="W282" i="2" s="1"/>
  <c r="T282" i="2"/>
  <c r="V281" i="2"/>
  <c r="W281" i="2" s="1"/>
  <c r="T281" i="2"/>
  <c r="V280" i="2"/>
  <c r="W280" i="2" s="1"/>
  <c r="T280" i="2"/>
  <c r="V279" i="2"/>
  <c r="W279" i="2" s="1"/>
  <c r="T279" i="2"/>
  <c r="V278" i="2"/>
  <c r="W278" i="2" s="1"/>
  <c r="T278" i="2"/>
  <c r="V277" i="2"/>
  <c r="W277" i="2" s="1"/>
  <c r="T277" i="2"/>
  <c r="V276" i="2"/>
  <c r="W276" i="2" s="1"/>
  <c r="T276" i="2"/>
  <c r="V275" i="2"/>
  <c r="W275" i="2" s="1"/>
  <c r="T275" i="2"/>
  <c r="V274" i="2"/>
  <c r="W274" i="2" s="1"/>
  <c r="T274" i="2"/>
  <c r="V273" i="2"/>
  <c r="W273" i="2" s="1"/>
  <c r="T273" i="2"/>
  <c r="V272" i="2"/>
  <c r="W272" i="2" s="1"/>
  <c r="T272" i="2"/>
  <c r="V271" i="2"/>
  <c r="W271" i="2" s="1"/>
  <c r="T271" i="2"/>
  <c r="V270" i="2"/>
  <c r="W270" i="2" s="1"/>
  <c r="T270" i="2"/>
  <c r="V269" i="2"/>
  <c r="W269" i="2" s="1"/>
  <c r="T269" i="2"/>
  <c r="V268" i="2"/>
  <c r="W268" i="2" s="1"/>
  <c r="T268" i="2"/>
  <c r="V267" i="2"/>
  <c r="W267" i="2" s="1"/>
  <c r="T267" i="2"/>
  <c r="V266" i="2"/>
  <c r="W266" i="2" s="1"/>
  <c r="T266" i="2"/>
  <c r="V265" i="2"/>
  <c r="W265" i="2" s="1"/>
  <c r="T265" i="2"/>
  <c r="V264" i="2"/>
  <c r="W264" i="2" s="1"/>
  <c r="T264" i="2"/>
  <c r="V263" i="2"/>
  <c r="W263" i="2" s="1"/>
  <c r="T263" i="2"/>
  <c r="V262" i="2"/>
  <c r="W262" i="2" s="1"/>
  <c r="T262" i="2"/>
  <c r="V261" i="2"/>
  <c r="W261" i="2" s="1"/>
  <c r="T261" i="2"/>
  <c r="V260" i="2"/>
  <c r="W260" i="2" s="1"/>
  <c r="T260" i="2"/>
  <c r="V259" i="2"/>
  <c r="W259" i="2" s="1"/>
  <c r="T259" i="2"/>
  <c r="V258" i="2"/>
  <c r="W258" i="2" s="1"/>
  <c r="T258" i="2"/>
  <c r="V257" i="2"/>
  <c r="W257" i="2" s="1"/>
  <c r="T257" i="2"/>
  <c r="V256" i="2"/>
  <c r="W256" i="2" s="1"/>
  <c r="T256" i="2"/>
  <c r="V255" i="2"/>
  <c r="W255" i="2" s="1"/>
  <c r="T255" i="2"/>
  <c r="V254" i="2"/>
  <c r="W254" i="2" s="1"/>
  <c r="T254" i="2"/>
  <c r="V253" i="2"/>
  <c r="W253" i="2" s="1"/>
  <c r="T253" i="2"/>
  <c r="V252" i="2"/>
  <c r="W252" i="2" s="1"/>
  <c r="T252" i="2"/>
  <c r="V251" i="2"/>
  <c r="W251" i="2" s="1"/>
  <c r="T251" i="2"/>
  <c r="V250" i="2"/>
  <c r="W250" i="2" s="1"/>
  <c r="T250" i="2"/>
  <c r="V249" i="2"/>
  <c r="W249" i="2" s="1"/>
  <c r="T249" i="2"/>
  <c r="V248" i="2"/>
  <c r="W248" i="2" s="1"/>
  <c r="T248" i="2"/>
  <c r="V247" i="2"/>
  <c r="W247" i="2" s="1"/>
  <c r="T247" i="2"/>
  <c r="V246" i="2"/>
  <c r="W246" i="2" s="1"/>
  <c r="T246" i="2"/>
  <c r="V245" i="2"/>
  <c r="W245" i="2" s="1"/>
  <c r="T245" i="2"/>
  <c r="V244" i="2"/>
  <c r="W244" i="2" s="1"/>
  <c r="T244" i="2"/>
  <c r="V243" i="2"/>
  <c r="W243" i="2" s="1"/>
  <c r="T243" i="2"/>
  <c r="V242" i="2"/>
  <c r="W242" i="2" s="1"/>
  <c r="T242" i="2"/>
  <c r="V241" i="2"/>
  <c r="W241" i="2" s="1"/>
  <c r="T241" i="2"/>
  <c r="V240" i="2"/>
  <c r="W240" i="2" s="1"/>
  <c r="T240" i="2"/>
  <c r="V239" i="2"/>
  <c r="W239" i="2" s="1"/>
  <c r="T239" i="2"/>
  <c r="V238" i="2"/>
  <c r="W238" i="2" s="1"/>
  <c r="T238" i="2"/>
  <c r="V237" i="2"/>
  <c r="W237" i="2" s="1"/>
  <c r="T237" i="2"/>
  <c r="V236" i="2"/>
  <c r="W236" i="2" s="1"/>
  <c r="T236" i="2"/>
  <c r="V235" i="2"/>
  <c r="W235" i="2" s="1"/>
  <c r="T235" i="2"/>
  <c r="V234" i="2"/>
  <c r="W234" i="2" s="1"/>
  <c r="T234" i="2"/>
  <c r="V233" i="2"/>
  <c r="W233" i="2" s="1"/>
  <c r="T233" i="2"/>
  <c r="V232" i="2"/>
  <c r="W232" i="2" s="1"/>
  <c r="T232" i="2"/>
  <c r="V231" i="2"/>
  <c r="W231" i="2" s="1"/>
  <c r="T231" i="2"/>
  <c r="V230" i="2"/>
  <c r="W230" i="2" s="1"/>
  <c r="T230" i="2"/>
  <c r="V229" i="2"/>
  <c r="W229" i="2" s="1"/>
  <c r="T229" i="2"/>
  <c r="V228" i="2"/>
  <c r="W228" i="2" s="1"/>
  <c r="T228" i="2"/>
  <c r="V227" i="2"/>
  <c r="W227" i="2" s="1"/>
  <c r="T227" i="2"/>
  <c r="V226" i="2"/>
  <c r="W226" i="2" s="1"/>
  <c r="T226" i="2"/>
  <c r="V225" i="2"/>
  <c r="W225" i="2" s="1"/>
  <c r="T225" i="2"/>
  <c r="V224" i="2"/>
  <c r="W224" i="2" s="1"/>
  <c r="T224" i="2"/>
  <c r="V223" i="2"/>
  <c r="W223" i="2" s="1"/>
  <c r="T223" i="2"/>
  <c r="V222" i="2"/>
  <c r="W222" i="2" s="1"/>
  <c r="T222" i="2"/>
  <c r="V221" i="2"/>
  <c r="W221" i="2" s="1"/>
  <c r="T221" i="2"/>
  <c r="V220" i="2"/>
  <c r="W220" i="2" s="1"/>
  <c r="T220" i="2"/>
  <c r="V219" i="2"/>
  <c r="W219" i="2" s="1"/>
  <c r="T219" i="2"/>
  <c r="V218" i="2"/>
  <c r="W218" i="2" s="1"/>
  <c r="T218" i="2"/>
  <c r="V217" i="2"/>
  <c r="W217" i="2" s="1"/>
  <c r="T217" i="2"/>
  <c r="V216" i="2"/>
  <c r="W216" i="2" s="1"/>
  <c r="T216" i="2"/>
  <c r="V215" i="2"/>
  <c r="W215" i="2" s="1"/>
  <c r="T215" i="2"/>
  <c r="V214" i="2"/>
  <c r="W214" i="2" s="1"/>
  <c r="T214" i="2"/>
  <c r="V213" i="2"/>
  <c r="W213" i="2" s="1"/>
  <c r="T213" i="2"/>
  <c r="V212" i="2"/>
  <c r="W212" i="2" s="1"/>
  <c r="T212" i="2"/>
  <c r="V211" i="2"/>
  <c r="W211" i="2" s="1"/>
  <c r="T211" i="2"/>
  <c r="V210" i="2"/>
  <c r="W210" i="2" s="1"/>
  <c r="T210" i="2"/>
  <c r="V209" i="2"/>
  <c r="W209" i="2" s="1"/>
  <c r="T209" i="2"/>
  <c r="V208" i="2"/>
  <c r="W208" i="2" s="1"/>
  <c r="T208" i="2"/>
  <c r="V207" i="2"/>
  <c r="W207" i="2" s="1"/>
  <c r="T207" i="2"/>
  <c r="V206" i="2"/>
  <c r="W206" i="2" s="1"/>
  <c r="T206" i="2"/>
  <c r="V205" i="2"/>
  <c r="W205" i="2" s="1"/>
  <c r="T205" i="2"/>
  <c r="V204" i="2"/>
  <c r="W204" i="2" s="1"/>
  <c r="T204" i="2"/>
  <c r="V203" i="2"/>
  <c r="W203" i="2" s="1"/>
  <c r="T203" i="2"/>
  <c r="V202" i="2"/>
  <c r="W202" i="2" s="1"/>
  <c r="T202" i="2"/>
  <c r="V201" i="2"/>
  <c r="W201" i="2" s="1"/>
  <c r="T201" i="2"/>
  <c r="V200" i="2"/>
  <c r="W200" i="2" s="1"/>
  <c r="T200" i="2"/>
  <c r="V199" i="2"/>
  <c r="W199" i="2" s="1"/>
  <c r="T199" i="2"/>
  <c r="V198" i="2"/>
  <c r="W198" i="2" s="1"/>
  <c r="T198" i="2"/>
  <c r="V197" i="2"/>
  <c r="W197" i="2" s="1"/>
  <c r="T197" i="2"/>
  <c r="V196" i="2"/>
  <c r="W196" i="2" s="1"/>
  <c r="T196" i="2"/>
  <c r="V195" i="2"/>
  <c r="W195" i="2" s="1"/>
  <c r="T195" i="2"/>
  <c r="V194" i="2"/>
  <c r="W194" i="2" s="1"/>
  <c r="T194" i="2"/>
  <c r="V193" i="2"/>
  <c r="W193" i="2" s="1"/>
  <c r="T193" i="2"/>
  <c r="V192" i="2"/>
  <c r="W192" i="2" s="1"/>
  <c r="T192" i="2"/>
  <c r="V191" i="2"/>
  <c r="W191" i="2" s="1"/>
  <c r="T191" i="2"/>
  <c r="V190" i="2"/>
  <c r="W190" i="2" s="1"/>
  <c r="T190" i="2"/>
  <c r="V189" i="2"/>
  <c r="W189" i="2" s="1"/>
  <c r="T189" i="2"/>
  <c r="V188" i="2"/>
  <c r="W188" i="2" s="1"/>
  <c r="T188" i="2"/>
  <c r="V187" i="2"/>
  <c r="W187" i="2" s="1"/>
  <c r="T187" i="2"/>
  <c r="V186" i="2"/>
  <c r="W186" i="2" s="1"/>
  <c r="T186" i="2"/>
  <c r="V185" i="2"/>
  <c r="W185" i="2" s="1"/>
  <c r="T185" i="2"/>
  <c r="V184" i="2"/>
  <c r="W184" i="2" s="1"/>
  <c r="T184" i="2"/>
  <c r="V183" i="2"/>
  <c r="W183" i="2" s="1"/>
  <c r="T183" i="2"/>
  <c r="V182" i="2"/>
  <c r="W182" i="2" s="1"/>
  <c r="T182" i="2"/>
  <c r="V181" i="2"/>
  <c r="W181" i="2" s="1"/>
  <c r="T181" i="2"/>
  <c r="V180" i="2"/>
  <c r="W180" i="2" s="1"/>
  <c r="T180" i="2"/>
  <c r="V179" i="2"/>
  <c r="W179" i="2" s="1"/>
  <c r="T179" i="2"/>
  <c r="V178" i="2"/>
  <c r="W178" i="2" s="1"/>
  <c r="T178" i="2"/>
  <c r="V177" i="2"/>
  <c r="W177" i="2" s="1"/>
  <c r="T177" i="2"/>
  <c r="V176" i="2"/>
  <c r="W176" i="2" s="1"/>
  <c r="T176" i="2"/>
  <c r="V175" i="2"/>
  <c r="W175" i="2" s="1"/>
  <c r="T175" i="2"/>
  <c r="V174" i="2"/>
  <c r="W174" i="2" s="1"/>
  <c r="T174" i="2"/>
  <c r="V173" i="2"/>
  <c r="W173" i="2" s="1"/>
  <c r="T173" i="2"/>
  <c r="V172" i="2"/>
  <c r="W172" i="2" s="1"/>
  <c r="T172" i="2"/>
  <c r="V171" i="2"/>
  <c r="W171" i="2" s="1"/>
  <c r="T171" i="2"/>
  <c r="V170" i="2"/>
  <c r="W170" i="2" s="1"/>
  <c r="T170" i="2"/>
  <c r="V169" i="2"/>
  <c r="W169" i="2" s="1"/>
  <c r="T169" i="2"/>
  <c r="V168" i="2"/>
  <c r="W168" i="2" s="1"/>
  <c r="T168" i="2"/>
  <c r="V167" i="2"/>
  <c r="W167" i="2" s="1"/>
  <c r="T167" i="2"/>
  <c r="V166" i="2"/>
  <c r="W166" i="2" s="1"/>
  <c r="T166" i="2"/>
  <c r="V165" i="2"/>
  <c r="W165" i="2" s="1"/>
  <c r="T165" i="2"/>
  <c r="V164" i="2"/>
  <c r="W164" i="2" s="1"/>
  <c r="T164" i="2"/>
  <c r="V163" i="2"/>
  <c r="W163" i="2" s="1"/>
  <c r="T163" i="2"/>
  <c r="V162" i="2"/>
  <c r="W162" i="2" s="1"/>
  <c r="T162" i="2"/>
  <c r="V161" i="2"/>
  <c r="W161" i="2" s="1"/>
  <c r="T161" i="2"/>
  <c r="V160" i="2"/>
  <c r="W160" i="2" s="1"/>
  <c r="T160" i="2"/>
  <c r="V159" i="2"/>
  <c r="W159" i="2" s="1"/>
  <c r="T159" i="2"/>
  <c r="V158" i="2"/>
  <c r="W158" i="2" s="1"/>
  <c r="T158" i="2"/>
  <c r="V157" i="2"/>
  <c r="W157" i="2" s="1"/>
  <c r="T157" i="2"/>
  <c r="V156" i="2"/>
  <c r="W156" i="2" s="1"/>
  <c r="T156" i="2"/>
  <c r="V155" i="2"/>
  <c r="W155" i="2" s="1"/>
  <c r="T155" i="2"/>
  <c r="V154" i="2"/>
  <c r="W154" i="2" s="1"/>
  <c r="T154" i="2"/>
  <c r="V153" i="2"/>
  <c r="W153" i="2" s="1"/>
  <c r="T153" i="2"/>
  <c r="V152" i="2"/>
  <c r="W152" i="2" s="1"/>
  <c r="T152" i="2"/>
  <c r="V151" i="2"/>
  <c r="W151" i="2" s="1"/>
  <c r="T151" i="2"/>
  <c r="V150" i="2"/>
  <c r="W150" i="2" s="1"/>
  <c r="T150" i="2"/>
  <c r="V149" i="2"/>
  <c r="W149" i="2" s="1"/>
  <c r="T149" i="2"/>
  <c r="V148" i="2"/>
  <c r="W148" i="2" s="1"/>
  <c r="T148" i="2"/>
  <c r="V147" i="2"/>
  <c r="W147" i="2" s="1"/>
  <c r="T147" i="2"/>
  <c r="V146" i="2"/>
  <c r="W146" i="2" s="1"/>
  <c r="T146" i="2"/>
  <c r="V145" i="2"/>
  <c r="W145" i="2" s="1"/>
  <c r="T145" i="2"/>
  <c r="V144" i="2"/>
  <c r="W144" i="2" s="1"/>
  <c r="T144" i="2"/>
  <c r="V143" i="2"/>
  <c r="W143" i="2" s="1"/>
  <c r="T143" i="2"/>
  <c r="V142" i="2"/>
  <c r="W142" i="2" s="1"/>
  <c r="T142" i="2"/>
  <c r="V141" i="2"/>
  <c r="W141" i="2" s="1"/>
  <c r="T141" i="2"/>
  <c r="V140" i="2"/>
  <c r="W140" i="2" s="1"/>
  <c r="T140" i="2"/>
  <c r="V139" i="2"/>
  <c r="W139" i="2" s="1"/>
  <c r="T139" i="2"/>
  <c r="V138" i="2"/>
  <c r="W138" i="2" s="1"/>
  <c r="T138" i="2"/>
  <c r="V137" i="2"/>
  <c r="W137" i="2" s="1"/>
  <c r="T137" i="2"/>
  <c r="V136" i="2"/>
  <c r="W136" i="2" s="1"/>
  <c r="T136" i="2"/>
  <c r="V135" i="2"/>
  <c r="W135" i="2" s="1"/>
  <c r="T135" i="2"/>
  <c r="V134" i="2"/>
  <c r="W134" i="2" s="1"/>
  <c r="T134" i="2"/>
  <c r="V133" i="2"/>
  <c r="W133" i="2" s="1"/>
  <c r="T133" i="2"/>
  <c r="V132" i="2"/>
  <c r="W132" i="2" s="1"/>
  <c r="T132" i="2"/>
  <c r="V131" i="2"/>
  <c r="W131" i="2" s="1"/>
  <c r="T131" i="2"/>
  <c r="V130" i="2"/>
  <c r="W130" i="2" s="1"/>
  <c r="T130" i="2"/>
  <c r="V129" i="2"/>
  <c r="W129" i="2" s="1"/>
  <c r="T129" i="2"/>
  <c r="V128" i="2"/>
  <c r="W128" i="2" s="1"/>
  <c r="T128" i="2"/>
  <c r="V127" i="2"/>
  <c r="W127" i="2" s="1"/>
  <c r="T127" i="2"/>
  <c r="V126" i="2"/>
  <c r="W126" i="2" s="1"/>
  <c r="T126" i="2"/>
  <c r="V125" i="2"/>
  <c r="W125" i="2" s="1"/>
  <c r="T125" i="2"/>
  <c r="V124" i="2"/>
  <c r="W124" i="2" s="1"/>
  <c r="T124" i="2"/>
  <c r="V123" i="2"/>
  <c r="W123" i="2" s="1"/>
  <c r="T123" i="2"/>
  <c r="V122" i="2"/>
  <c r="W122" i="2" s="1"/>
  <c r="T122" i="2"/>
  <c r="V121" i="2"/>
  <c r="W121" i="2" s="1"/>
  <c r="T121" i="2"/>
  <c r="V120" i="2"/>
  <c r="W120" i="2" s="1"/>
  <c r="T120" i="2"/>
  <c r="V119" i="2"/>
  <c r="W119" i="2" s="1"/>
  <c r="T119" i="2"/>
  <c r="V118" i="2"/>
  <c r="W118" i="2" s="1"/>
  <c r="T118" i="2"/>
  <c r="V117" i="2"/>
  <c r="W117" i="2" s="1"/>
  <c r="T117" i="2"/>
  <c r="V116" i="2"/>
  <c r="W116" i="2" s="1"/>
  <c r="T116" i="2"/>
  <c r="V115" i="2"/>
  <c r="W115" i="2" s="1"/>
  <c r="T115" i="2"/>
  <c r="V114" i="2"/>
  <c r="W114" i="2" s="1"/>
  <c r="T114" i="2"/>
  <c r="V113" i="2"/>
  <c r="W113" i="2" s="1"/>
  <c r="T113" i="2"/>
  <c r="V112" i="2"/>
  <c r="W112" i="2" s="1"/>
  <c r="T112" i="2"/>
  <c r="V111" i="2"/>
  <c r="W111" i="2" s="1"/>
  <c r="T111" i="2"/>
  <c r="V110" i="2"/>
  <c r="W110" i="2" s="1"/>
  <c r="T110" i="2"/>
  <c r="V109" i="2"/>
  <c r="W109" i="2" s="1"/>
  <c r="T109" i="2"/>
  <c r="V108" i="2"/>
  <c r="W108" i="2" s="1"/>
  <c r="T108" i="2"/>
  <c r="V107" i="2"/>
  <c r="W107" i="2" s="1"/>
  <c r="T107" i="2"/>
  <c r="V106" i="2"/>
  <c r="W106" i="2" s="1"/>
  <c r="T106" i="2"/>
  <c r="V105" i="2"/>
  <c r="W105" i="2" s="1"/>
  <c r="T105" i="2"/>
  <c r="V104" i="2"/>
  <c r="W104" i="2" s="1"/>
  <c r="T104" i="2"/>
  <c r="V103" i="2"/>
  <c r="W103" i="2" s="1"/>
  <c r="T103" i="2"/>
  <c r="V102" i="2"/>
  <c r="W102" i="2" s="1"/>
  <c r="T102" i="2"/>
  <c r="V101" i="2"/>
  <c r="W101" i="2" s="1"/>
  <c r="T101" i="2"/>
  <c r="V100" i="2"/>
  <c r="W100" i="2" s="1"/>
  <c r="T100" i="2"/>
  <c r="V99" i="2"/>
  <c r="W99" i="2" s="1"/>
  <c r="T99" i="2"/>
  <c r="V98" i="2"/>
  <c r="W98" i="2" s="1"/>
  <c r="T98" i="2"/>
  <c r="V97" i="2"/>
  <c r="W97" i="2" s="1"/>
  <c r="T97" i="2"/>
  <c r="V96" i="2"/>
  <c r="W96" i="2" s="1"/>
  <c r="T96" i="2"/>
  <c r="V95" i="2"/>
  <c r="W95" i="2" s="1"/>
  <c r="T95" i="2"/>
  <c r="V94" i="2"/>
  <c r="W94" i="2" s="1"/>
  <c r="T94" i="2"/>
  <c r="V93" i="2"/>
  <c r="W93" i="2" s="1"/>
  <c r="T93" i="2"/>
  <c r="V92" i="2"/>
  <c r="W92" i="2" s="1"/>
  <c r="T92" i="2"/>
  <c r="V91" i="2"/>
  <c r="W91" i="2" s="1"/>
  <c r="T91" i="2"/>
  <c r="V90" i="2"/>
  <c r="W90" i="2" s="1"/>
  <c r="T90" i="2"/>
  <c r="V89" i="2"/>
  <c r="W89" i="2" s="1"/>
  <c r="T89" i="2"/>
  <c r="V88" i="2"/>
  <c r="W88" i="2" s="1"/>
  <c r="T88" i="2"/>
  <c r="V87" i="2"/>
  <c r="W87" i="2" s="1"/>
  <c r="T87" i="2"/>
  <c r="V86" i="2"/>
  <c r="W86" i="2" s="1"/>
  <c r="T86" i="2"/>
  <c r="V85" i="2"/>
  <c r="W85" i="2" s="1"/>
  <c r="T85" i="2"/>
  <c r="V84" i="2"/>
  <c r="W84" i="2" s="1"/>
  <c r="T84" i="2"/>
  <c r="V83" i="2"/>
  <c r="W83" i="2" s="1"/>
  <c r="T83" i="2"/>
  <c r="V82" i="2"/>
  <c r="W82" i="2" s="1"/>
  <c r="T82" i="2"/>
  <c r="V81" i="2"/>
  <c r="W81" i="2" s="1"/>
  <c r="T81" i="2"/>
  <c r="V80" i="2"/>
  <c r="W80" i="2" s="1"/>
  <c r="T80" i="2"/>
  <c r="V79" i="2"/>
  <c r="W79" i="2" s="1"/>
  <c r="T79" i="2"/>
  <c r="V78" i="2"/>
  <c r="W78" i="2" s="1"/>
  <c r="T78" i="2"/>
  <c r="V77" i="2"/>
  <c r="W77" i="2" s="1"/>
  <c r="T77" i="2"/>
  <c r="V76" i="2"/>
  <c r="W76" i="2" s="1"/>
  <c r="T76" i="2"/>
  <c r="V75" i="2"/>
  <c r="W75" i="2" s="1"/>
  <c r="T75" i="2"/>
  <c r="V74" i="2"/>
  <c r="W74" i="2" s="1"/>
  <c r="T74" i="2"/>
  <c r="V73" i="2"/>
  <c r="W73" i="2" s="1"/>
  <c r="T73" i="2"/>
  <c r="V72" i="2"/>
  <c r="W72" i="2" s="1"/>
  <c r="T72" i="2"/>
  <c r="V71" i="2"/>
  <c r="W71" i="2" s="1"/>
  <c r="T71" i="2"/>
  <c r="V70" i="2"/>
  <c r="W70" i="2" s="1"/>
  <c r="T70" i="2"/>
  <c r="V69" i="2"/>
  <c r="W69" i="2" s="1"/>
  <c r="T69" i="2"/>
  <c r="V68" i="2"/>
  <c r="W68" i="2" s="1"/>
  <c r="T68" i="2"/>
  <c r="V67" i="2"/>
  <c r="W67" i="2" s="1"/>
  <c r="T67" i="2"/>
  <c r="V66" i="2"/>
  <c r="W66" i="2" s="1"/>
  <c r="T66" i="2"/>
  <c r="V65" i="2"/>
  <c r="W65" i="2" s="1"/>
  <c r="T65" i="2"/>
  <c r="V64" i="2"/>
  <c r="W64" i="2" s="1"/>
  <c r="T64" i="2"/>
  <c r="V63" i="2"/>
  <c r="W63" i="2" s="1"/>
  <c r="T63" i="2"/>
  <c r="V62" i="2"/>
  <c r="W62" i="2" s="1"/>
  <c r="T62" i="2"/>
  <c r="V61" i="2"/>
  <c r="W61" i="2" s="1"/>
  <c r="T61" i="2"/>
  <c r="V60" i="2"/>
  <c r="W60" i="2" s="1"/>
  <c r="T60" i="2"/>
  <c r="V59" i="2"/>
  <c r="W59" i="2" s="1"/>
  <c r="T59" i="2"/>
  <c r="V58" i="2"/>
  <c r="W58" i="2" s="1"/>
  <c r="T58" i="2"/>
  <c r="V57" i="2"/>
  <c r="W57" i="2" s="1"/>
  <c r="T57" i="2"/>
  <c r="V56" i="2"/>
  <c r="W56" i="2" s="1"/>
  <c r="T56" i="2"/>
  <c r="V55" i="2"/>
  <c r="W55" i="2" s="1"/>
  <c r="T55" i="2"/>
  <c r="V54" i="2"/>
  <c r="W54" i="2" s="1"/>
  <c r="T54" i="2"/>
  <c r="V53" i="2"/>
  <c r="W53" i="2" s="1"/>
  <c r="T53" i="2"/>
  <c r="V52" i="2"/>
  <c r="W52" i="2" s="1"/>
  <c r="T52" i="2"/>
  <c r="V51" i="2"/>
  <c r="W51" i="2" s="1"/>
  <c r="T51" i="2"/>
  <c r="V50" i="2"/>
  <c r="W50" i="2" s="1"/>
  <c r="T50" i="2"/>
  <c r="V49" i="2"/>
  <c r="W49" i="2" s="1"/>
  <c r="T49" i="2"/>
  <c r="V48" i="2"/>
  <c r="W48" i="2" s="1"/>
  <c r="T48" i="2"/>
  <c r="V47" i="2"/>
  <c r="W47" i="2" s="1"/>
  <c r="T47" i="2"/>
  <c r="V46" i="2"/>
  <c r="W46" i="2" s="1"/>
  <c r="T46" i="2"/>
  <c r="V45" i="2"/>
  <c r="W45" i="2" s="1"/>
  <c r="T45" i="2"/>
  <c r="V44" i="2"/>
  <c r="W44" i="2" s="1"/>
  <c r="T44" i="2"/>
  <c r="V43" i="2"/>
  <c r="W43" i="2" s="1"/>
  <c r="T43" i="2"/>
  <c r="V42" i="2"/>
  <c r="W42" i="2" s="1"/>
  <c r="T42" i="2"/>
  <c r="V41" i="2"/>
  <c r="W41" i="2" s="1"/>
  <c r="T41" i="2"/>
  <c r="V40" i="2"/>
  <c r="W40" i="2" s="1"/>
  <c r="T40" i="2"/>
  <c r="V39" i="2"/>
  <c r="W39" i="2" s="1"/>
  <c r="T39" i="2"/>
  <c r="V38" i="2"/>
  <c r="W38" i="2" s="1"/>
  <c r="T38" i="2"/>
  <c r="V37" i="2"/>
  <c r="W37" i="2" s="1"/>
  <c r="T37" i="2"/>
  <c r="V36" i="2"/>
  <c r="W36" i="2" s="1"/>
  <c r="T36" i="2"/>
  <c r="V35" i="2"/>
  <c r="W35" i="2" s="1"/>
  <c r="T35" i="2"/>
  <c r="V34" i="2"/>
  <c r="W34" i="2" s="1"/>
  <c r="T34" i="2"/>
  <c r="V33" i="2"/>
  <c r="W33" i="2" s="1"/>
  <c r="T33" i="2"/>
  <c r="V32" i="2"/>
  <c r="W32" i="2" s="1"/>
  <c r="T32" i="2"/>
  <c r="V31" i="2"/>
  <c r="W31" i="2" s="1"/>
  <c r="T31" i="2"/>
  <c r="V30" i="2"/>
  <c r="W30" i="2" s="1"/>
  <c r="T30" i="2"/>
  <c r="V29" i="2"/>
  <c r="W29" i="2" s="1"/>
  <c r="T29" i="2"/>
  <c r="V28" i="2"/>
  <c r="W28" i="2" s="1"/>
  <c r="T28" i="2"/>
  <c r="V27" i="2"/>
  <c r="W27" i="2" s="1"/>
  <c r="T27" i="2"/>
  <c r="V26" i="2"/>
  <c r="W26" i="2" s="1"/>
  <c r="T26" i="2"/>
  <c r="V25" i="2"/>
  <c r="W25" i="2" s="1"/>
  <c r="T25" i="2"/>
  <c r="V24" i="2"/>
  <c r="W24" i="2" s="1"/>
  <c r="T24" i="2"/>
  <c r="V23" i="2"/>
  <c r="W23" i="2" s="1"/>
  <c r="T23" i="2"/>
  <c r="V22" i="2"/>
  <c r="W22" i="2" s="1"/>
  <c r="T22" i="2"/>
  <c r="V21" i="2"/>
  <c r="W21" i="2" s="1"/>
  <c r="T21" i="2"/>
  <c r="V20" i="2"/>
  <c r="W20" i="2" s="1"/>
  <c r="T20" i="2"/>
  <c r="V19" i="2"/>
  <c r="W19" i="2" s="1"/>
  <c r="T19" i="2"/>
  <c r="V18" i="2"/>
  <c r="W18" i="2" s="1"/>
  <c r="T18" i="2"/>
  <c r="V17" i="2"/>
  <c r="W17" i="2" s="1"/>
  <c r="T17" i="2"/>
  <c r="V16" i="2"/>
  <c r="W16" i="2" s="1"/>
  <c r="T16" i="2"/>
  <c r="V15" i="2"/>
  <c r="W15" i="2" s="1"/>
  <c r="T15" i="2"/>
  <c r="V14" i="2"/>
  <c r="W14" i="2" s="1"/>
  <c r="T14" i="2"/>
  <c r="V13" i="2"/>
  <c r="W13" i="2" s="1"/>
  <c r="T13" i="2"/>
  <c r="V12" i="2"/>
  <c r="W12" i="2" s="1"/>
  <c r="T12" i="2"/>
  <c r="V11" i="2"/>
  <c r="W11" i="2" s="1"/>
  <c r="T11" i="2"/>
  <c r="V10" i="2"/>
  <c r="W10" i="2" s="1"/>
  <c r="T10" i="2"/>
  <c r="V9" i="2"/>
  <c r="W9" i="2" s="1"/>
  <c r="T9" i="2"/>
  <c r="V8" i="2"/>
  <c r="W8" i="2" s="1"/>
  <c r="T8" i="2"/>
  <c r="V7" i="2"/>
  <c r="W7" i="2" s="1"/>
  <c r="V6" i="2"/>
  <c r="W6" i="2" s="1"/>
  <c r="T6" i="2"/>
  <c r="V5" i="2" l="1"/>
  <c r="T2239" i="2"/>
  <c r="V2239" i="2" l="1"/>
  <c r="W5" i="2"/>
  <c r="W2239" i="2"/>
</calcChain>
</file>

<file path=xl/sharedStrings.xml><?xml version="1.0" encoding="utf-8"?>
<sst xmlns="http://schemas.openxmlformats.org/spreadsheetml/2006/main" count="29105" uniqueCount="2085">
  <si>
    <t>Recipe Name</t>
  </si>
  <si>
    <t>Customer Name</t>
  </si>
  <si>
    <t>Category</t>
  </si>
  <si>
    <t>Packaging Cost</t>
  </si>
  <si>
    <t>Labor Cost</t>
  </si>
  <si>
    <t>Delivery Cost</t>
  </si>
  <si>
    <t>Overheads</t>
  </si>
  <si>
    <t>Other Costs</t>
  </si>
  <si>
    <t>Total Cost</t>
  </si>
  <si>
    <t>RCP-SMC-00001</t>
  </si>
  <si>
    <t>SMC</t>
  </si>
  <si>
    <t>Main Course</t>
  </si>
  <si>
    <t>RCP-SMC-00002</t>
  </si>
  <si>
    <t>Beef Lasagna</t>
  </si>
  <si>
    <t>RCP-SMC-00004</t>
  </si>
  <si>
    <t>RCP-SMC-00005</t>
  </si>
  <si>
    <t>RCP-SMC-00006</t>
  </si>
  <si>
    <t>RCP-SMC-00007</t>
  </si>
  <si>
    <t>RCP-SMC-00008</t>
  </si>
  <si>
    <t>RCP-SMC-00009</t>
  </si>
  <si>
    <t>Chicken Fajita Sandwich</t>
  </si>
  <si>
    <t>Chicken Adobo with Potato and Soft Rice</t>
  </si>
  <si>
    <t>Chicken Kabsa</t>
  </si>
  <si>
    <t>Recipe Ref</t>
  </si>
  <si>
    <t>Brand Name</t>
  </si>
  <si>
    <t>Sub Recipe Ref</t>
  </si>
  <si>
    <t>Ingredient Type</t>
  </si>
  <si>
    <t>Item Code</t>
  </si>
  <si>
    <t>Item / Ingredient</t>
  </si>
  <si>
    <t>UOM</t>
  </si>
  <si>
    <t>St. UOM</t>
  </si>
  <si>
    <t>Qty req per Batch (g/pcs)</t>
  </si>
  <si>
    <t>No. of portions per batch</t>
  </si>
  <si>
    <t>PP St. UOM</t>
  </si>
  <si>
    <t>Food Cost per portion</t>
  </si>
  <si>
    <t>Gourmet360</t>
  </si>
  <si>
    <t>Main Recipe</t>
  </si>
  <si>
    <t>Fresh Carrot Imported</t>
  </si>
  <si>
    <t>Fresh onion Yellow(Imported)</t>
  </si>
  <si>
    <t>Fresh Garlic Peeled</t>
  </si>
  <si>
    <t>Chicken Stock Powder(Packet)</t>
  </si>
  <si>
    <t>Water 200 ml</t>
  </si>
  <si>
    <t>Burgul White (Fine)</t>
  </si>
  <si>
    <t>Rice Egypt</t>
  </si>
  <si>
    <t>Can Tomato Paste (4500 Gram)</t>
  </si>
  <si>
    <t>Spices Cumin Powder</t>
  </si>
  <si>
    <t>Spices Pepper Black Powder(1 Kg)</t>
  </si>
  <si>
    <t>Pasta Lasagna (500 Gram)</t>
  </si>
  <si>
    <t>Each</t>
  </si>
  <si>
    <t>Cheese Mozzarella Grated (KG)</t>
  </si>
  <si>
    <t>Olive Oil (CAN)</t>
  </si>
  <si>
    <t>Dried Oregano</t>
  </si>
  <si>
    <t>Sauce Barbecue</t>
  </si>
  <si>
    <t>Frz Beef Topside</t>
  </si>
  <si>
    <t xml:space="preserve">Fresh Tomato </t>
  </si>
  <si>
    <t>Flour Corn</t>
  </si>
  <si>
    <t>Sugar Fine(50 KG)</t>
  </si>
  <si>
    <t>Butter 82% Fat(Unsalted) 25 kg</t>
  </si>
  <si>
    <t>Flour White</t>
  </si>
  <si>
    <t>Milk Powder</t>
  </si>
  <si>
    <t>Cooking Cream 1 Ltr</t>
  </si>
  <si>
    <t>Spice Pepper White Powder</t>
  </si>
  <si>
    <t>Spices Cinnamon Powder</t>
  </si>
  <si>
    <t>Cheese Parmesan Grated</t>
  </si>
  <si>
    <t>Mashed Potato Flakes</t>
  </si>
  <si>
    <t>Dairy Whipping Cream 38% (Millac Blue)</t>
  </si>
  <si>
    <t>Frz Meat Ball</t>
  </si>
  <si>
    <t>Beef Stock Powder(Packet)</t>
  </si>
  <si>
    <t>Veal Tenderloin Chilled</t>
  </si>
  <si>
    <t>Corn Oil (18 Liter)</t>
  </si>
  <si>
    <t>Fresh Potato</t>
  </si>
  <si>
    <t>Fresh Mushroom</t>
  </si>
  <si>
    <t>Rice Basmati</t>
  </si>
  <si>
    <t>Spice Turmeric Powder (1 Kg)</t>
  </si>
  <si>
    <t>Food Color Yellow(Saffron)</t>
  </si>
  <si>
    <t>Dry Lemon Black(1 Kg)</t>
  </si>
  <si>
    <t>Spices Cloves Seeds</t>
  </si>
  <si>
    <t>Fresh Chicken Whole</t>
  </si>
  <si>
    <t>Fresh Green Chili Spic</t>
  </si>
  <si>
    <t>Fresh Cabbage White</t>
  </si>
  <si>
    <t>Frz Chicken Breast Tender (KG)</t>
  </si>
  <si>
    <t>Fresh Ginger</t>
  </si>
  <si>
    <t xml:space="preserve">Fresh Sweet Pepper Red </t>
  </si>
  <si>
    <t>Sauce Oyster</t>
  </si>
  <si>
    <t>Soya Sauce Kikkoman(Liter)</t>
  </si>
  <si>
    <t>Chinese Noodle(Pancit Canton)</t>
  </si>
  <si>
    <t>Fresh Lemon</t>
  </si>
  <si>
    <t>Lemon Salt (Kg)</t>
  </si>
  <si>
    <t>Vegetable Stock Powder(Packet)</t>
  </si>
  <si>
    <t>Tahina Liquid(10Kg)</t>
  </si>
  <si>
    <t xml:space="preserve">Fresh Coriander </t>
  </si>
  <si>
    <t>Fresh Dill</t>
  </si>
  <si>
    <t>Spice Smoked Sweet Paprika (Kg)</t>
  </si>
  <si>
    <t>Can Tomato Coulis</t>
  </si>
  <si>
    <t>Pasta Vermicelli-Cuts,N:61</t>
  </si>
  <si>
    <t>Spice Biryani Masala (Mahran)</t>
  </si>
  <si>
    <t>Spices Cardamon Seeds</t>
  </si>
  <si>
    <t>Pasta Ditalini Rigate(1 KG)</t>
  </si>
  <si>
    <t>Dry Chick Peas NO.12</t>
  </si>
  <si>
    <t>Spices Coriander Powder</t>
  </si>
  <si>
    <t>Vinegar White (Gallon)</t>
  </si>
  <si>
    <t>Bread Tortilla White,30cm(Fonte)</t>
  </si>
  <si>
    <t>Cheese Cheddar Sliced Red(KG)</t>
  </si>
  <si>
    <t>Avocado Paste</t>
  </si>
  <si>
    <t>Fresh Eggplant</t>
  </si>
  <si>
    <t>Frz Chicken Ball</t>
  </si>
  <si>
    <t>Spice Paprika Sweet (KG)</t>
  </si>
  <si>
    <t>Pasta Penne Rigate (1 Kg)</t>
  </si>
  <si>
    <t>Frz Peas&amp;Carrots(800 Gram)</t>
  </si>
  <si>
    <t>Frz Fish Fillet Pangasus</t>
  </si>
  <si>
    <t>Ketchup Gallon (5 Kg)</t>
  </si>
  <si>
    <t>Juice Orange,180 ML(KDD)</t>
  </si>
  <si>
    <t>Pineapple Sliced (3050Gram)</t>
  </si>
  <si>
    <t>Frz Beef Tendrloin Brazil</t>
  </si>
  <si>
    <t>Sugar In The Raw (Turbinado)</t>
  </si>
  <si>
    <t>Butter Peanuts(794 Gram)</t>
  </si>
  <si>
    <t>Fresh Pumpkin</t>
  </si>
  <si>
    <t>Honey Jar (3 KG)</t>
  </si>
  <si>
    <t>Pasta Spaghetti Regular N:20</t>
  </si>
  <si>
    <t>Fresh Leek (Imported)</t>
  </si>
  <si>
    <t>Can Chopped Tomato</t>
  </si>
  <si>
    <t>Spice Kasuri Mathi (Mahran)</t>
  </si>
  <si>
    <t>Spice Garam Masala(KG)</t>
  </si>
  <si>
    <t>Frz Green Beans Cut(800 Gram)</t>
  </si>
  <si>
    <t>Can Young Baby Corn</t>
  </si>
  <si>
    <t>Yogurt Plain big 10 KG</t>
  </si>
  <si>
    <t>Milk UHT Full Fat(1 Liter)</t>
  </si>
  <si>
    <t>Rice Jasmine(5 Kg)</t>
  </si>
  <si>
    <t>Frz Edamame Beans</t>
  </si>
  <si>
    <t>Frz Okra Zero(400 Gram)</t>
  </si>
  <si>
    <t>Spice Kabsa Mix</t>
  </si>
  <si>
    <t>Spice Curry Powder(Kg)</t>
  </si>
  <si>
    <t>Fresh Cauliflower</t>
  </si>
  <si>
    <t>Frz Green Peas(800 Gram)</t>
  </si>
  <si>
    <t>Coconut Powder (7 Kg)  </t>
  </si>
  <si>
    <t>Sauce Sweet Chili (Pinoy)</t>
  </si>
  <si>
    <t xml:space="preserve">Master Raw Material </t>
  </si>
  <si>
    <t>Items Description</t>
  </si>
  <si>
    <t>Code</t>
  </si>
  <si>
    <t>NameEN</t>
  </si>
  <si>
    <t xml:space="preserve">Unit </t>
  </si>
  <si>
    <t>Price</t>
  </si>
  <si>
    <t>Main category</t>
  </si>
  <si>
    <t>Sub category</t>
  </si>
  <si>
    <t>Bran Bread Brown (Diet)</t>
  </si>
  <si>
    <t>BKR1-1917</t>
  </si>
  <si>
    <t xml:space="preserve">Fresh </t>
  </si>
  <si>
    <t>Bakery</t>
  </si>
  <si>
    <t>Bread Arabic Brown (6 each) 400211</t>
  </si>
  <si>
    <t>BKR1-3695</t>
  </si>
  <si>
    <t>Bread Arabic White(7 Each) 400210</t>
  </si>
  <si>
    <t>BKR1-3694</t>
  </si>
  <si>
    <t>Bread Burger Bun Brown(Each)</t>
  </si>
  <si>
    <t>BKR1-3791</t>
  </si>
  <si>
    <t>Bread Crumb IMP(Packet)</t>
  </si>
  <si>
    <t>BKR1-4011</t>
  </si>
  <si>
    <t xml:space="preserve">Gram </t>
  </si>
  <si>
    <t>Bread Jumbo Sandwich White 400007</t>
  </si>
  <si>
    <t>BKR1-1328</t>
  </si>
  <si>
    <t>Bread Potato Burger Plain</t>
  </si>
  <si>
    <t>BKR1-4332</t>
  </si>
  <si>
    <t>Bread Shawarma</t>
  </si>
  <si>
    <t>BKR1-1575</t>
  </si>
  <si>
    <t>Bread Sliced Brown Med-400001</t>
  </si>
  <si>
    <t>BKR1-1327</t>
  </si>
  <si>
    <t>Slice</t>
  </si>
  <si>
    <t>Bread Sliced White Med-400000</t>
  </si>
  <si>
    <t>BKR1-1326</t>
  </si>
  <si>
    <t>Fresh Bread Baguette Long Brown</t>
  </si>
  <si>
    <t>BKR1-3428</t>
  </si>
  <si>
    <t>Frz Kunafa Dough</t>
  </si>
  <si>
    <t>BKR1-1910</t>
  </si>
  <si>
    <t>Frozen</t>
  </si>
  <si>
    <t>Milk Bread Mini 9Pcs</t>
  </si>
  <si>
    <t>BKR1-2125</t>
  </si>
  <si>
    <t>Qursan</t>
  </si>
  <si>
    <t>BKR1-4717</t>
  </si>
  <si>
    <t>Tart Shell Round Mini 3.7 Cm,Sweet</t>
  </si>
  <si>
    <t>BKR1-4132</t>
  </si>
  <si>
    <t>Bread Tortilla White,20cm(Fonte)</t>
  </si>
  <si>
    <t>BKR2-4274</t>
  </si>
  <si>
    <t>BKR2-4275</t>
  </si>
  <si>
    <t>Frz Bread Baguette French (40080009)</t>
  </si>
  <si>
    <t>BKR2-2058</t>
  </si>
  <si>
    <t>Frz Bread Baguette Multicereal (40080109)</t>
  </si>
  <si>
    <t>BKR2-2059</t>
  </si>
  <si>
    <t>Frz Bread Jumbo Sandwich 400017</t>
  </si>
  <si>
    <t>BKR2-5081</t>
  </si>
  <si>
    <t>Frz Bread Panini (90 Gram)</t>
  </si>
  <si>
    <t>BKR2-4596</t>
  </si>
  <si>
    <t>Frz Bread Tortilla,Keto,8 Inch</t>
  </si>
  <si>
    <t>BKR2-4961</t>
  </si>
  <si>
    <t>Frz Sambusak Leaves (1 kg)</t>
  </si>
  <si>
    <t>BKR2-5137</t>
  </si>
  <si>
    <t>Frz Spring Roll Dough(160 Gram)</t>
  </si>
  <si>
    <t>BKR2-1104</t>
  </si>
  <si>
    <t>Frz.Puff Pastry Sheets(400Gram)</t>
  </si>
  <si>
    <t>BKR2-3658</t>
  </si>
  <si>
    <t>Jam Apricot Portion(100 Each)</t>
  </si>
  <si>
    <t>DRS1-5003</t>
  </si>
  <si>
    <t xml:space="preserve">Dry </t>
  </si>
  <si>
    <t>Canned Item</t>
  </si>
  <si>
    <t>Ajinomoto (MSG) 454 gm</t>
  </si>
  <si>
    <t>DRS1-5155</t>
  </si>
  <si>
    <t>Apple Vinegar</t>
  </si>
  <si>
    <t>DRS1-4227</t>
  </si>
  <si>
    <t>Ml</t>
  </si>
  <si>
    <t>DRS1-3813</t>
  </si>
  <si>
    <t>Biscuit Digestive (150 Gram)</t>
  </si>
  <si>
    <t>DRS1-3696</t>
  </si>
  <si>
    <t>DRS1-4103</t>
  </si>
  <si>
    <t>Can Apple Pie Filling</t>
  </si>
  <si>
    <t>DRS1-3948</t>
  </si>
  <si>
    <t>Can Artichoke Bottoms</t>
  </si>
  <si>
    <t>DRS1-4234</t>
  </si>
  <si>
    <t>Can Baked Beans(420 Gram)</t>
  </si>
  <si>
    <t>DRS1-4772</t>
  </si>
  <si>
    <t>Can Beans Red Kidney (425 Gram)</t>
  </si>
  <si>
    <t>DRS1-1359</t>
  </si>
  <si>
    <t>Can Beetroot Sliced</t>
  </si>
  <si>
    <t>DRS1-3595</t>
  </si>
  <si>
    <t>DRS1-4840</t>
  </si>
  <si>
    <t>Can Condensed Milk</t>
  </si>
  <si>
    <t>DRS1-3865</t>
  </si>
  <si>
    <t>Can Foul Medammes</t>
  </si>
  <si>
    <t>DRS1-444</t>
  </si>
  <si>
    <t>Can Ghee(1600 Gram)</t>
  </si>
  <si>
    <t>DRS1-4765</t>
  </si>
  <si>
    <t>Can Grape Leaves(Stuffed)</t>
  </si>
  <si>
    <t>DRS1-3680</t>
  </si>
  <si>
    <t>Can Mushroom Sliced (2840 Gram)</t>
  </si>
  <si>
    <t>DRS1-455</t>
  </si>
  <si>
    <t>Can Mushroom Whole (2840 Gram)</t>
  </si>
  <si>
    <t>DRS1-456</t>
  </si>
  <si>
    <t>Can Oats(500 Gram)</t>
  </si>
  <si>
    <t>DRS1-824</t>
  </si>
  <si>
    <t>Can Olives Black Sliced</t>
  </si>
  <si>
    <t>DRS1-1768</t>
  </si>
  <si>
    <t>Can Olives Green Sliced</t>
  </si>
  <si>
    <t>DRS1-1140</t>
  </si>
  <si>
    <t>Can Olives Green Whole Pitted</t>
  </si>
  <si>
    <t>DRS1-4815</t>
  </si>
  <si>
    <t>Can Red Kidney Beans (2500 GM)</t>
  </si>
  <si>
    <t>DRS1-1461</t>
  </si>
  <si>
    <t>Can sweet corn (2950gram)</t>
  </si>
  <si>
    <t>DRS1-1463</t>
  </si>
  <si>
    <t>Can Syrup Fruit Cocktail Light(2500 Gram)</t>
  </si>
  <si>
    <t>DRS1-928</t>
  </si>
  <si>
    <t>DRS1-3358</t>
  </si>
  <si>
    <t>DRS1-1747</t>
  </si>
  <si>
    <t>Can Tomato Peeled</t>
  </si>
  <si>
    <t>DRS1-607</t>
  </si>
  <si>
    <t>Can White Kidney Beans(400 gram)</t>
  </si>
  <si>
    <t>DRS1-3886</t>
  </si>
  <si>
    <t>DRS1-2121</t>
  </si>
  <si>
    <t>DRS1-3811</t>
  </si>
  <si>
    <t>Cucumber Pickles (3.2 Kg)</t>
  </si>
  <si>
    <t>DRS1-167</t>
  </si>
  <si>
    <t>Date Portion (Ramadan)</t>
  </si>
  <si>
    <t>DRS1-4979</t>
  </si>
  <si>
    <t>Flower Water(Blossom)</t>
  </si>
  <si>
    <t>DRS1-41</t>
  </si>
  <si>
    <t>DRS1-304</t>
  </si>
  <si>
    <t>Ghee Vegetable(15 KG)</t>
  </si>
  <si>
    <t>DRS1-1599</t>
  </si>
  <si>
    <t>Ginger Pickles(Bottle)</t>
  </si>
  <si>
    <t>DRS1-4213</t>
  </si>
  <si>
    <t>Grape Leaves / Vine Leaves</t>
  </si>
  <si>
    <t>DRS1-96</t>
  </si>
  <si>
    <t>Grape Leaves,Stuffed(1950 Gram)</t>
  </si>
  <si>
    <t>DRS1-3911</t>
  </si>
  <si>
    <t>Green Curry Paste 400 gm</t>
  </si>
  <si>
    <t>DRS1-5164</t>
  </si>
  <si>
    <t>Green Pepper,Vinegar(Bottle)</t>
  </si>
  <si>
    <t>DRS1-4111</t>
  </si>
  <si>
    <t>Hazel Nut Paste</t>
  </si>
  <si>
    <t>DRS-977</t>
  </si>
  <si>
    <t>DRS1-1780</t>
  </si>
  <si>
    <t>Honey Portion</t>
  </si>
  <si>
    <t>DRS1-688</t>
  </si>
  <si>
    <t>Jam Apricot Portion</t>
  </si>
  <si>
    <t>DRS1-1186</t>
  </si>
  <si>
    <t>Jam Strawberry Portion(100 Each)</t>
  </si>
  <si>
    <t>DRS1-4990</t>
  </si>
  <si>
    <t>Jalapeno Pepper 2.8 kg</t>
  </si>
  <si>
    <t>DRS1-4463</t>
  </si>
  <si>
    <t>Lupin Beans in Brine 600 gm</t>
  </si>
  <si>
    <t>DRS1-5395</t>
  </si>
  <si>
    <t>Maggi Chicken Cubes (24 each)</t>
  </si>
  <si>
    <t>DRS1-1805</t>
  </si>
  <si>
    <t>Maple Syrup Amber 375 ml</t>
  </si>
  <si>
    <t>DRS1-5269</t>
  </si>
  <si>
    <t>Mayonnaise Sachet</t>
  </si>
  <si>
    <t>DRS1-1224</t>
  </si>
  <si>
    <t>Mustard Yellow Cream (JAR)</t>
  </si>
  <si>
    <t>DRS1-1549</t>
  </si>
  <si>
    <t>Nacho Cheese Sauce</t>
  </si>
  <si>
    <t>DRS1-4754</t>
  </si>
  <si>
    <t>Oats White Whole(900 Gram)</t>
  </si>
  <si>
    <t>DRS1-4809</t>
  </si>
  <si>
    <t>Pancake Syrup Regular (Freshly)</t>
  </si>
  <si>
    <t>DRS1-1914</t>
  </si>
  <si>
    <t>Pepper Paste (4 KG)</t>
  </si>
  <si>
    <t>DRS1-1787</t>
  </si>
  <si>
    <t>Pesto Basil Sauce 4 kg</t>
  </si>
  <si>
    <t>DRS1-5043</t>
  </si>
  <si>
    <t>DRS1-927</t>
  </si>
  <si>
    <t>Pistachio Filling(5 Kg)</t>
  </si>
  <si>
    <t>DRS1-4460</t>
  </si>
  <si>
    <t>Potato Chips , Forno 43 gm</t>
  </si>
  <si>
    <t>DRS1-5103</t>
  </si>
  <si>
    <t>Ranch Dressing</t>
  </si>
  <si>
    <t>DRS1-4435</t>
  </si>
  <si>
    <t>Salt sachet (1000)</t>
  </si>
  <si>
    <t>DRS1-1507</t>
  </si>
  <si>
    <t>DRS1-446</t>
  </si>
  <si>
    <t>Sauce Demi Glace(1.2Kg)</t>
  </si>
  <si>
    <t>DRS1-3357</t>
  </si>
  <si>
    <t>Sauce Hot Buffalo,Chicken wings(354Ml)</t>
  </si>
  <si>
    <t>DRS1-4933</t>
  </si>
  <si>
    <t>Sea Salt(737 Gram)</t>
  </si>
  <si>
    <t>DRS1-114</t>
  </si>
  <si>
    <t>Sushi Roasted Laver Sheets(NORI)</t>
  </si>
  <si>
    <t>DRS1-4220</t>
  </si>
  <si>
    <t>Tom Yum Paste</t>
  </si>
  <si>
    <t>DRS1-472</t>
  </si>
  <si>
    <t>Tuna Flakes In Oil</t>
  </si>
  <si>
    <t>DRS1-4781</t>
  </si>
  <si>
    <t>DRS1-4417</t>
  </si>
  <si>
    <t>Rice Cakes (Packet)</t>
  </si>
  <si>
    <t>DRS4-3275</t>
  </si>
  <si>
    <t>Cheddar Cheese Sauce 3kg</t>
  </si>
  <si>
    <t>DRS1-5266</t>
  </si>
  <si>
    <t>Dairy</t>
  </si>
  <si>
    <t>Cheese</t>
  </si>
  <si>
    <t>Cheese Cheddar Block,Yellow(KG)</t>
  </si>
  <si>
    <t>DRY1-3385</t>
  </si>
  <si>
    <t xml:space="preserve">Cheese </t>
  </si>
  <si>
    <t>Cheese Cheddar Sliced Low Fat (200 Gram)</t>
  </si>
  <si>
    <t>DRY1-4303</t>
  </si>
  <si>
    <t>DRY1-3344</t>
  </si>
  <si>
    <t>Cheese Cream (1100 Gram)</t>
  </si>
  <si>
    <t>DRY1-3874</t>
  </si>
  <si>
    <t>Cheese Cream Philadelphia (1360 GR)</t>
  </si>
  <si>
    <t>DRY1-1717</t>
  </si>
  <si>
    <t>Cheese Mozzarella  Blocks</t>
  </si>
  <si>
    <t>DRY1-965</t>
  </si>
  <si>
    <t>DRY1-1801</t>
  </si>
  <si>
    <t>Cheese Mozzarella Mini</t>
  </si>
  <si>
    <t>DRY1-1701</t>
  </si>
  <si>
    <t>DRY1-602</t>
  </si>
  <si>
    <t>Cheese Parmesan Padano1 KG (permegano)</t>
  </si>
  <si>
    <t>DRY1-342</t>
  </si>
  <si>
    <t>Cheese Triangles,Al Marai,360 Gm</t>
  </si>
  <si>
    <t>DRY1-5114</t>
  </si>
  <si>
    <t>Frz Paneer (Cottage Cheese) 500 gm</t>
  </si>
  <si>
    <t>DRY1-5345</t>
  </si>
  <si>
    <t>Goat Cheese (KG)</t>
  </si>
  <si>
    <t>DRY1-1794</t>
  </si>
  <si>
    <t>Breakfast Cream Firm,Ashta,5Kg</t>
  </si>
  <si>
    <t>DRY2-1907</t>
  </si>
  <si>
    <t>Coffee Mate Creamer,Single Serve</t>
  </si>
  <si>
    <t>DRS1-3155</t>
  </si>
  <si>
    <t>Coffe &amp; Tea</t>
  </si>
  <si>
    <t>Coffee Powder Regular ,Mastercafe</t>
  </si>
  <si>
    <t>DRS1-5431</t>
  </si>
  <si>
    <t>Delicate Pouch Alegria Nestle</t>
  </si>
  <si>
    <t>DRS1-5126</t>
  </si>
  <si>
    <t>Karak Tea,Cardamom Premix Nestle</t>
  </si>
  <si>
    <t>DRS1-4831</t>
  </si>
  <si>
    <t>Nescafe Classic (3 in 1)</t>
  </si>
  <si>
    <t>DRS1-3713</t>
  </si>
  <si>
    <t>Nescafe Red Mug Stick</t>
  </si>
  <si>
    <t>DRS1-3153</t>
  </si>
  <si>
    <t>Nescafe Regular in Bottle</t>
  </si>
  <si>
    <t>DRS1-1159</t>
  </si>
  <si>
    <t>Nespresso Capsules,Professional,Flavors</t>
  </si>
  <si>
    <t>DRS1-5303</t>
  </si>
  <si>
    <t>Tea Anise Herbal 2G</t>
  </si>
  <si>
    <t>DRS1-5169</t>
  </si>
  <si>
    <t>Tea Lipton Bag</t>
  </si>
  <si>
    <t>DRS1-1042</t>
  </si>
  <si>
    <t>Tea Lipton Cammomile</t>
  </si>
  <si>
    <t>DRS1-5226</t>
  </si>
  <si>
    <t>Tea Lipton Earlgrey</t>
  </si>
  <si>
    <t>DRS1-5228</t>
  </si>
  <si>
    <t>Tea Lipton English Breakfast</t>
  </si>
  <si>
    <t>DRS1-5321</t>
  </si>
  <si>
    <t>Tea Lipton Green &amp; Intense Mint</t>
  </si>
  <si>
    <t>DRS1-5322</t>
  </si>
  <si>
    <t>Cappuccino Caramel Powder,Nestle</t>
  </si>
  <si>
    <t>DRS5-4830</t>
  </si>
  <si>
    <t>Cocoa Powder, Nestle Alegria</t>
  </si>
  <si>
    <t>DRS5-4825</t>
  </si>
  <si>
    <t>Fresh Turkish coffee Powder</t>
  </si>
  <si>
    <t>DRS5-4401</t>
  </si>
  <si>
    <t>Milk Powder,Nestle</t>
  </si>
  <si>
    <t>DRS5-4824</t>
  </si>
  <si>
    <t>American Coffee Powder (Filter Coffee)</t>
  </si>
  <si>
    <t>DRS7-3863</t>
  </si>
  <si>
    <t>Arabic Coffee Instant Sachet</t>
  </si>
  <si>
    <t>DRS7-5300</t>
  </si>
  <si>
    <t>Coffee Beans,Espresso,1 Kg(Nestle)</t>
  </si>
  <si>
    <t>DRS7-4832</t>
  </si>
  <si>
    <t xml:space="preserve"> </t>
  </si>
  <si>
    <t>Butter ,Vegetable Blend 25 kg</t>
  </si>
  <si>
    <t>DRY2-5369</t>
  </si>
  <si>
    <t>DRY2-1008</t>
  </si>
  <si>
    <t>Butter Margarine Vegetable for Pastry</t>
  </si>
  <si>
    <t>DRY2-149</t>
  </si>
  <si>
    <t>Butter portion(almarai 400 each)</t>
  </si>
  <si>
    <t>DRY2-1508</t>
  </si>
  <si>
    <t>Butter Portion(Unsalted) Lurpak</t>
  </si>
  <si>
    <t>DRY2-1510</t>
  </si>
  <si>
    <t>DRY2-1858</t>
  </si>
  <si>
    <t>DRY2-4896</t>
  </si>
  <si>
    <t>Ice Cream Strawberry Cup</t>
  </si>
  <si>
    <t>DRY2-1235</t>
  </si>
  <si>
    <t>Ice Cream Vanilla Cup</t>
  </si>
  <si>
    <t>DRY2-1233</t>
  </si>
  <si>
    <t>Jameed Liquid</t>
  </si>
  <si>
    <t>DRY2-4199</t>
  </si>
  <si>
    <t>Labneh Full Fat(2750 Gram)</t>
  </si>
  <si>
    <t>DRY2-3401</t>
  </si>
  <si>
    <t>Milk Portion Evaporated(15 Gram)</t>
  </si>
  <si>
    <t>DRY2-4304</t>
  </si>
  <si>
    <t>Milk UHT Chocolate Flavoured, 180 ml</t>
  </si>
  <si>
    <t>DRY2-5247</t>
  </si>
  <si>
    <t>DRY2-1388</t>
  </si>
  <si>
    <t>Milk UHT Strawberry Flavoured, 180 ml</t>
  </si>
  <si>
    <t>DRY2-5248</t>
  </si>
  <si>
    <t>DRY2-1160</t>
  </si>
  <si>
    <t>Zabadi FF 170GR (Almarai)</t>
  </si>
  <si>
    <t>DRY2-589</t>
  </si>
  <si>
    <t>Semolina Fine</t>
  </si>
  <si>
    <t>DRS4-820</t>
  </si>
  <si>
    <t>Flours &amp; Powders</t>
  </si>
  <si>
    <t>Semolina Large</t>
  </si>
  <si>
    <t>DRS4-1782</t>
  </si>
  <si>
    <t>Chick Peas Powder(Kg)</t>
  </si>
  <si>
    <t>DRS5-4222</t>
  </si>
  <si>
    <t>Coconut Milk Powder (1 KG)</t>
  </si>
  <si>
    <t>DRS5-2176</t>
  </si>
  <si>
    <t>DRS5-3619</t>
  </si>
  <si>
    <t>Flour Brown</t>
  </si>
  <si>
    <t>DRS5-806</t>
  </si>
  <si>
    <t>Flour Cake Special (all purpose)</t>
  </si>
  <si>
    <t>DRS5-980</t>
  </si>
  <si>
    <t>DRS5-21</t>
  </si>
  <si>
    <t>DRS5-40</t>
  </si>
  <si>
    <t>Icing Sugar Powder(20 Kg)</t>
  </si>
  <si>
    <t>DRS5-979</t>
  </si>
  <si>
    <t>DRS5-3866</t>
  </si>
  <si>
    <t>DRS5-59</t>
  </si>
  <si>
    <t>Rice powder (500 Gram)</t>
  </si>
  <si>
    <t>DRS5-2618</t>
  </si>
  <si>
    <t>Tempura Flour (Batter Mix)</t>
  </si>
  <si>
    <t>DRS5-5262</t>
  </si>
  <si>
    <t>Fresh Juice Assorted Flavours (1 Liter)</t>
  </si>
  <si>
    <t>BVG2-2174</t>
  </si>
  <si>
    <t>Beverage</t>
  </si>
  <si>
    <t>Juice</t>
  </si>
  <si>
    <t>Juice Apple 185 ML (al rabie)</t>
  </si>
  <si>
    <t>BVG2-4822</t>
  </si>
  <si>
    <t>Juice Apple,180 ML(KDD)</t>
  </si>
  <si>
    <t>BVG2-3437</t>
  </si>
  <si>
    <t>Juice Cocktail 185 ML (al rabie)</t>
  </si>
  <si>
    <t>BVG2-4852</t>
  </si>
  <si>
    <t>Juice Cocktail,180 ML(KDD)</t>
  </si>
  <si>
    <t>BVG2-3467</t>
  </si>
  <si>
    <t>Juice Mango 185 ML (al rabie)</t>
  </si>
  <si>
    <t>BVG2-4839</t>
  </si>
  <si>
    <t>Juice Mango,180 ML(KDD)</t>
  </si>
  <si>
    <t>BVG2-3685</t>
  </si>
  <si>
    <t>BVG2-3438</t>
  </si>
  <si>
    <t>Juice Pineapple 185 ML (al rabie)</t>
  </si>
  <si>
    <t>BVG2-4828</t>
  </si>
  <si>
    <t>Juice Pineapple,180 ML(KDD)</t>
  </si>
  <si>
    <t>BVG2-3581</t>
  </si>
  <si>
    <t>Juice,Flavors,300 ML</t>
  </si>
  <si>
    <t>BVG2-4611</t>
  </si>
  <si>
    <t>Juice,Mixed Flavors,200 ML</t>
  </si>
  <si>
    <t>BVG2-1409</t>
  </si>
  <si>
    <t>Glass Water 250 Ml (Nova)</t>
  </si>
  <si>
    <t>BVG3-3724</t>
  </si>
  <si>
    <t>Chick Peas Split (15 KG)</t>
  </si>
  <si>
    <t>DRS4-1272</t>
  </si>
  <si>
    <t>Lentils</t>
  </si>
  <si>
    <t>Dry Beans White Small</t>
  </si>
  <si>
    <t>DRS4-1025</t>
  </si>
  <si>
    <t>DRS4-483</t>
  </si>
  <si>
    <t>Dry Mung Whole Beans (Green)</t>
  </si>
  <si>
    <t>DRS4-1788</t>
  </si>
  <si>
    <t>Dry Red Kidney Beans</t>
  </si>
  <si>
    <t>DRS4-5111</t>
  </si>
  <si>
    <t>Lentil Brown</t>
  </si>
  <si>
    <t>DRS4-490</t>
  </si>
  <si>
    <t>Lentil Peeled (Red)</t>
  </si>
  <si>
    <t>DRS4-50</t>
  </si>
  <si>
    <t>Almond Powder(KG)</t>
  </si>
  <si>
    <t>DRS7-969</t>
  </si>
  <si>
    <t xml:space="preserve">Nuts </t>
  </si>
  <si>
    <t>Almond Sliced Flakes</t>
  </si>
  <si>
    <t>DRS7-971</t>
  </si>
  <si>
    <t>Almond Strips</t>
  </si>
  <si>
    <t>DRS7-3787</t>
  </si>
  <si>
    <t>Almond Whole(KG)</t>
  </si>
  <si>
    <t>DRS7-970</t>
  </si>
  <si>
    <t>Cashew Nuts</t>
  </si>
  <si>
    <t>DRS7-926</t>
  </si>
  <si>
    <t>Hazelnut</t>
  </si>
  <si>
    <t>DRS7-815</t>
  </si>
  <si>
    <t>Pecan Nuts</t>
  </si>
  <si>
    <t>DRS7-3371</t>
  </si>
  <si>
    <t>Pine Nut's</t>
  </si>
  <si>
    <t>DRS7-1000</t>
  </si>
  <si>
    <t>Pistachio Nuts</t>
  </si>
  <si>
    <t>DRS7-560</t>
  </si>
  <si>
    <t>Pistachio Strips/Silvered (kg)</t>
  </si>
  <si>
    <t>DRS7-4356</t>
  </si>
  <si>
    <t>Raw Peanuts (KG)</t>
  </si>
  <si>
    <t>DRS7-3343</t>
  </si>
  <si>
    <t>Walnuts</t>
  </si>
  <si>
    <t>DRS7-569</t>
  </si>
  <si>
    <t>DRS3-1813</t>
  </si>
  <si>
    <t>Oils</t>
  </si>
  <si>
    <t>DRS3-1615</t>
  </si>
  <si>
    <t>Sesame Oil(320 ML)</t>
  </si>
  <si>
    <t>DRS3-1415</t>
  </si>
  <si>
    <t>Sunflower oil 18 Ltr</t>
  </si>
  <si>
    <t>DRS3-5364</t>
  </si>
  <si>
    <t>Truffle Oil White in Bottle</t>
  </si>
  <si>
    <t>DRS3-4207</t>
  </si>
  <si>
    <t>Vegetable Oil (17 Liter)</t>
  </si>
  <si>
    <t>DRS3-71</t>
  </si>
  <si>
    <t>DRS2-508</t>
  </si>
  <si>
    <t xml:space="preserve">Pasta </t>
  </si>
  <si>
    <t>Frz Pasta Ravioli Cheese</t>
  </si>
  <si>
    <t>DRS2-1637</t>
  </si>
  <si>
    <t>Pasta Cannelloni</t>
  </si>
  <si>
    <t>DRS2-1866</t>
  </si>
  <si>
    <t>DRS2-4516</t>
  </si>
  <si>
    <t>Pasta Elbows Small #19</t>
  </si>
  <si>
    <t>DRS2-3804</t>
  </si>
  <si>
    <t>Pasta Farfalle,N:50(500 Gram)</t>
  </si>
  <si>
    <t>DRS2-77</t>
  </si>
  <si>
    <t>Pasta Fettuccine (500 Gram)</t>
  </si>
  <si>
    <t>DRS2-2110</t>
  </si>
  <si>
    <t>Pasta Fusilli N:36</t>
  </si>
  <si>
    <t>DRS2-502</t>
  </si>
  <si>
    <t>DRS2-1367</t>
  </si>
  <si>
    <t>Pasta Lasagna Spinach(500 Gram)</t>
  </si>
  <si>
    <t>DRS2-4416</t>
  </si>
  <si>
    <t>Pasta Linguine</t>
  </si>
  <si>
    <t>DRS2-4956</t>
  </si>
  <si>
    <t>Pasta Orzo #17 (500 Gram)</t>
  </si>
  <si>
    <t>DRS2-3825</t>
  </si>
  <si>
    <t>DRS2-4321</t>
  </si>
  <si>
    <t>Pasta Shell #18</t>
  </si>
  <si>
    <t>DRS2-3284</t>
  </si>
  <si>
    <t>DRS2-81</t>
  </si>
  <si>
    <t>Pasta Spaghettini N:21</t>
  </si>
  <si>
    <t>DRS2-3622</t>
  </si>
  <si>
    <t>DRS2-3628</t>
  </si>
  <si>
    <t>Rice Sticks</t>
  </si>
  <si>
    <t>DRS4-1476</t>
  </si>
  <si>
    <t>Chocolate Dark Compound Backaldarin</t>
  </si>
  <si>
    <t>DRS1-1427</t>
  </si>
  <si>
    <t>Pastry &amp; Bakery</t>
  </si>
  <si>
    <t>Chocolate Milk Compound Backaldarin</t>
  </si>
  <si>
    <t>DRS1-1580</t>
  </si>
  <si>
    <t>Chocolate White Cold 29% Herco/Dolicy</t>
  </si>
  <si>
    <t>DRS1-1657</t>
  </si>
  <si>
    <t>Chocolate White Compound Backaldarin</t>
  </si>
  <si>
    <t>DRS1-3958</t>
  </si>
  <si>
    <t>Dark Chocolate Coins 55%</t>
  </si>
  <si>
    <t>DRS1-4621</t>
  </si>
  <si>
    <t>Dark Chocolate coins,52% Icam</t>
  </si>
  <si>
    <t>DRS1-4309</t>
  </si>
  <si>
    <t>Dark Chocolate Sticks (Croissant),1Kg</t>
  </si>
  <si>
    <t>DRS1-4395</t>
  </si>
  <si>
    <t>Dry Yeast(500 Gram)</t>
  </si>
  <si>
    <t>DRS1-90</t>
  </si>
  <si>
    <t>feuilletine Flakes</t>
  </si>
  <si>
    <t>DRS1-4768</t>
  </si>
  <si>
    <t>Glaze Neutral jelly Hot (7 KG)</t>
  </si>
  <si>
    <t>DRS1-1396</t>
  </si>
  <si>
    <t>Liquid Food Color,Green,For Cake        </t>
  </si>
  <si>
    <t>DRS1-3353</t>
  </si>
  <si>
    <t>Liquid Food Color,Orange,For Cake</t>
  </si>
  <si>
    <t>DRS1-4624</t>
  </si>
  <si>
    <t>Liquid Food Color,Red,For Cake</t>
  </si>
  <si>
    <t>DRS1-3352</t>
  </si>
  <si>
    <t>Liquid Food Color,Yellow,For Cake</t>
  </si>
  <si>
    <t>DRS1-4623</t>
  </si>
  <si>
    <t>Lotus Biscuit Crumble(10 Kg)</t>
  </si>
  <si>
    <t>DRS1-4060</t>
  </si>
  <si>
    <t>Lotus Paste (8 Kg)</t>
  </si>
  <si>
    <t>DRS1-4055</t>
  </si>
  <si>
    <t>Milk Chocolate Coins,33% Icam</t>
  </si>
  <si>
    <t>DRS1-4934</t>
  </si>
  <si>
    <t>Milk Chocolate Drops(Kg)</t>
  </si>
  <si>
    <t>DRS1-4403</t>
  </si>
  <si>
    <t>Nutella(750 Gram)</t>
  </si>
  <si>
    <t>DRS1-3648</t>
  </si>
  <si>
    <t>Raha Sweet</t>
  </si>
  <si>
    <t>DRS1-1912</t>
  </si>
  <si>
    <t>Raspberry Filling In Pail</t>
  </si>
  <si>
    <t>DRS1-3607</t>
  </si>
  <si>
    <t>Strawberry Gel (Cold)</t>
  </si>
  <si>
    <t>DRS1-3636</t>
  </si>
  <si>
    <t>Strawberry Pie Filling(Pail 6kg)</t>
  </si>
  <si>
    <t>DRS1-1468</t>
  </si>
  <si>
    <t>Syrup Chocolate (Hershey's) 680 Gram</t>
  </si>
  <si>
    <t>DRS1-616</t>
  </si>
  <si>
    <t>Tea Biscuits(160 Gram)</t>
  </si>
  <si>
    <t>DRS1-3600</t>
  </si>
  <si>
    <t>Toffee Caramel,Gold(5 Kg)  </t>
  </si>
  <si>
    <t>DRS1-3634</t>
  </si>
  <si>
    <t>Vanilla Essence (Concentrated)</t>
  </si>
  <si>
    <t>DRS1-1823</t>
  </si>
  <si>
    <t>White Chocolate Coins 29% (Icam)</t>
  </si>
  <si>
    <t>DRS1-4358</t>
  </si>
  <si>
    <t>Xanthan Gum</t>
  </si>
  <si>
    <t>DRS1-5140</t>
  </si>
  <si>
    <t>Bread Improver K2</t>
  </si>
  <si>
    <t>DRS5-1325</t>
  </si>
  <si>
    <t>Brownies Mix Powder(10 kg)</t>
  </si>
  <si>
    <t>DRS5-5001</t>
  </si>
  <si>
    <t>Cake Mix Powder,Red Velvet (10 kg)</t>
  </si>
  <si>
    <t>DRS5-5476</t>
  </si>
  <si>
    <t>Cocoa Powder (25 KG)</t>
  </si>
  <si>
    <t>DRS5-1736</t>
  </si>
  <si>
    <t>Cream Caramel Mix Powder 5 kg</t>
  </si>
  <si>
    <t>DRS5-5427</t>
  </si>
  <si>
    <t>Cream patissiere Custard Powder</t>
  </si>
  <si>
    <t>DRS5-4244</t>
  </si>
  <si>
    <t>Custard powder(450 Gram)</t>
  </si>
  <si>
    <t>DRS5-618</t>
  </si>
  <si>
    <t>Easy Muffin Mix Chocolate (10 KG)</t>
  </si>
  <si>
    <t>DRS5-1624</t>
  </si>
  <si>
    <t>Flour Mix,Bakery,Gluten Free(1020 Gram)</t>
  </si>
  <si>
    <t>DRS5-3901</t>
  </si>
  <si>
    <t>Jelly Powder,Strawberry,3Kg</t>
  </si>
  <si>
    <t>DRS5-981</t>
  </si>
  <si>
    <t>Ready Mixed Cake Chocolate(25 Kg)</t>
  </si>
  <si>
    <t>DRS5-3576</t>
  </si>
  <si>
    <t>Ready Mixed Cake Vanilla(25 Kg)  </t>
  </si>
  <si>
    <t>DRS5-3575</t>
  </si>
  <si>
    <t>Burgul Brown (Fine)</t>
  </si>
  <si>
    <t>DRS4-1</t>
  </si>
  <si>
    <t>Rice &amp; Grains</t>
  </si>
  <si>
    <t>Burgul Brown (Large)</t>
  </si>
  <si>
    <t>DRS4-3299</t>
  </si>
  <si>
    <t>Burgul Brown Large (KG)</t>
  </si>
  <si>
    <t>DRS4-4519</t>
  </si>
  <si>
    <t>DRS4-3</t>
  </si>
  <si>
    <t>Burgul White Large</t>
  </si>
  <si>
    <t>DRS4-4473</t>
  </si>
  <si>
    <t>Dry Freekeh (1 KG)</t>
  </si>
  <si>
    <t>DRS4-1668</t>
  </si>
  <si>
    <t>Jarish Seeds</t>
  </si>
  <si>
    <t>DRS4-1654</t>
  </si>
  <si>
    <t>Rice American 10 kg(Meera)</t>
  </si>
  <si>
    <t>DRS4-3662</t>
  </si>
  <si>
    <t>DRS4-498</t>
  </si>
  <si>
    <t>DRS4-1457</t>
  </si>
  <si>
    <t>DRS4-3663</t>
  </si>
  <si>
    <t>Rice,Brown Basmati</t>
  </si>
  <si>
    <t>DRS4-5194</t>
  </si>
  <si>
    <t>Pop Corn Raw(Kg)</t>
  </si>
  <si>
    <t>DRS4-1911</t>
  </si>
  <si>
    <t>Seeds</t>
  </si>
  <si>
    <t>Quinoa Black seeds (1 Kg)</t>
  </si>
  <si>
    <t>DRS4-4394</t>
  </si>
  <si>
    <t>Quinoa Red Seeds (1 KG)</t>
  </si>
  <si>
    <t>DRS4-3157</t>
  </si>
  <si>
    <t>Quinoa White Seeds (1 KG)</t>
  </si>
  <si>
    <t>DRS4-3332</t>
  </si>
  <si>
    <t>Chia seeds (Kg)</t>
  </si>
  <si>
    <t>DRS6-3986</t>
  </si>
  <si>
    <t>Spices Sunflower Seeds</t>
  </si>
  <si>
    <t>DRS6-3287</t>
  </si>
  <si>
    <t>Black Seed</t>
  </si>
  <si>
    <t>DRS7-1283</t>
  </si>
  <si>
    <t>Mustard Seeds</t>
  </si>
  <si>
    <t>DRS7-3802</t>
  </si>
  <si>
    <t>Pumpkin Seeds Peeled</t>
  </si>
  <si>
    <t>DRS7-3884</t>
  </si>
  <si>
    <t>Sesame Seeds ,kg</t>
  </si>
  <si>
    <t>DRS-305</t>
  </si>
  <si>
    <t>Wasabi Powder</t>
  </si>
  <si>
    <t>DRS5-4212</t>
  </si>
  <si>
    <t>Spices</t>
  </si>
  <si>
    <t>Spice Cajun (2 Kg)</t>
  </si>
  <si>
    <t>DRS6-5088</t>
  </si>
  <si>
    <t>Bicarbonate(bi-carbonate powder)</t>
  </si>
  <si>
    <t>DRS6-255</t>
  </si>
  <si>
    <t>Chili Red Powder  </t>
  </si>
  <si>
    <t>DRS6-3844</t>
  </si>
  <si>
    <t>DRS6-1570</t>
  </si>
  <si>
    <t>Dry Parsley Flakes 453 gm</t>
  </si>
  <si>
    <t>DRS6-5265</t>
  </si>
  <si>
    <t>Dry Thyme 500gm</t>
  </si>
  <si>
    <t>DRS6-5376</t>
  </si>
  <si>
    <t>Green Zaatar</t>
  </si>
  <si>
    <t>DRS6-1269</t>
  </si>
  <si>
    <t>Pepper Black Sachet(1000)</t>
  </si>
  <si>
    <t>DRS6-1016</t>
  </si>
  <si>
    <t>Seven Spices Powder 200 gm</t>
  </si>
  <si>
    <t>DRS6-5418</t>
  </si>
  <si>
    <t>DRS6-3850</t>
  </si>
  <si>
    <t>Spice Carawya Powder</t>
  </si>
  <si>
    <t>DRS6-1035</t>
  </si>
  <si>
    <t>DRS6-3608</t>
  </si>
  <si>
    <t>DRS6-4418</t>
  </si>
  <si>
    <t>Spice Garlic Powder(Kg)</t>
  </si>
  <si>
    <t>DRS6-4482</t>
  </si>
  <si>
    <t>Spice hibiscus Leaves(??????)</t>
  </si>
  <si>
    <t>DRS6-4769</t>
  </si>
  <si>
    <t>DRS6-1650</t>
  </si>
  <si>
    <t>Spice Kashmiri Chilli(KG)</t>
  </si>
  <si>
    <t>DRS6-4420</t>
  </si>
  <si>
    <t>DRS6-3848</t>
  </si>
  <si>
    <t>Spice Lemon Pepper Seasoning 2.27 kg</t>
  </si>
  <si>
    <t>DRS6-5264</t>
  </si>
  <si>
    <t>Spice Meat Shawarma</t>
  </si>
  <si>
    <t>DRS6-1557</t>
  </si>
  <si>
    <t>DRS6-1727</t>
  </si>
  <si>
    <t>DRS6-309</t>
  </si>
  <si>
    <t>Spice Red Pepper Crushed,Flakes(500 gm)</t>
  </si>
  <si>
    <t>DRS6-5338</t>
  </si>
  <si>
    <t>Spice Sausage,Sujuk(???)</t>
  </si>
  <si>
    <t>DRS6-4770</t>
  </si>
  <si>
    <t>DRS6-5039</t>
  </si>
  <si>
    <t>Spice tandoori Masala (Mahran)</t>
  </si>
  <si>
    <t>DRS6-3854</t>
  </si>
  <si>
    <t>DRS6-1674</t>
  </si>
  <si>
    <t>Spices Anise Seeds</t>
  </si>
  <si>
    <t>DRS6-3538</t>
  </si>
  <si>
    <t>Spices Cardamon Powder</t>
  </si>
  <si>
    <t>DRS6-258</t>
  </si>
  <si>
    <t>DRS6-539</t>
  </si>
  <si>
    <t>DRS6-260</t>
  </si>
  <si>
    <t>DRS6-1020</t>
  </si>
  <si>
    <t>DRS6-266</t>
  </si>
  <si>
    <t>Spices Coriander Seeds</t>
  </si>
  <si>
    <t>DRS6-267</t>
  </si>
  <si>
    <t>DRS6-733</t>
  </si>
  <si>
    <t>Spices Cumin Seeds</t>
  </si>
  <si>
    <t>DRS6-269</t>
  </si>
  <si>
    <t>Spices Flax Seeds</t>
  </si>
  <si>
    <t>DRS6-3288</t>
  </si>
  <si>
    <t>Spices Ginger Powder(1 Kg)</t>
  </si>
  <si>
    <t>DRS6-549</t>
  </si>
  <si>
    <t>DRS6-537</t>
  </si>
  <si>
    <t>Spices Sumac</t>
  </si>
  <si>
    <t>DRS6-307</t>
  </si>
  <si>
    <t>Spices Sweet Pepper Powder(1 KG)</t>
  </si>
  <si>
    <t>DRS6-298</t>
  </si>
  <si>
    <t>Zaatar Mix(green)</t>
  </si>
  <si>
    <t>DRS6-311</t>
  </si>
  <si>
    <t>DRS1-978</t>
  </si>
  <si>
    <t>Sugar</t>
  </si>
  <si>
    <t>DRS1-1471</t>
  </si>
  <si>
    <t>Sugar Sachet White(1000)</t>
  </si>
  <si>
    <t>DRS1-687</t>
  </si>
  <si>
    <t>Sugar Sachet With Logo</t>
  </si>
  <si>
    <t>DRS1-1556</t>
  </si>
  <si>
    <t>Sugar Sachet,Low Calorie(Tropicana Slim)</t>
  </si>
  <si>
    <t>DRS1-686</t>
  </si>
  <si>
    <t>Sugar Sweetener Powder(Steviana)</t>
  </si>
  <si>
    <t>DRS1-4257</t>
  </si>
  <si>
    <t>Dressing,1000 Island</t>
  </si>
  <si>
    <t>DRS1-4469</t>
  </si>
  <si>
    <t>Vinegar &amp; Sauces</t>
  </si>
  <si>
    <t>DRS1-1039</t>
  </si>
  <si>
    <t>ketchup Sachet</t>
  </si>
  <si>
    <t>DRS1-685</t>
  </si>
  <si>
    <t>Mayonnaise Regular</t>
  </si>
  <si>
    <t>DRS1-58</t>
  </si>
  <si>
    <t>Rice Vinegar 500 ml Mizkan</t>
  </si>
  <si>
    <t>DRS1-5258</t>
  </si>
  <si>
    <t>Rose Water</t>
  </si>
  <si>
    <t>DRS1-115</t>
  </si>
  <si>
    <t>Sauce Hot Small(88 ML)</t>
  </si>
  <si>
    <t>DRS1-1256</t>
  </si>
  <si>
    <t>Sauce Hot(474 ML)</t>
  </si>
  <si>
    <t>DRS1-873</t>
  </si>
  <si>
    <t>DRS1-110</t>
  </si>
  <si>
    <t>DRS1-1753</t>
  </si>
  <si>
    <t>Sauce Teriyaki</t>
  </si>
  <si>
    <t>DRS1-1790</t>
  </si>
  <si>
    <t>Sauce Worcester L&amp;P 3.78 Ltr</t>
  </si>
  <si>
    <t>DRS1-5273</t>
  </si>
  <si>
    <t>DRS1-1142</t>
  </si>
  <si>
    <t>Soya Sauce Sweet (630Ml)</t>
  </si>
  <si>
    <t>DRS1-3667</t>
  </si>
  <si>
    <t>Soya Sauce,Sempio (930 Mliter)</t>
  </si>
  <si>
    <t>DRS1-3912</t>
  </si>
  <si>
    <t>Steak Sauce 295 ml</t>
  </si>
  <si>
    <t>DRS1-5477</t>
  </si>
  <si>
    <t>Syrup Molasses(700 ML)</t>
  </si>
  <si>
    <t>DRS1-1551</t>
  </si>
  <si>
    <t>DRS1-103</t>
  </si>
  <si>
    <t>Tamarind Pulp(400 Gram)</t>
  </si>
  <si>
    <t>DRS1-4268</t>
  </si>
  <si>
    <t>Truffle Sauce 500 gm</t>
  </si>
  <si>
    <t>DRS1-5208</t>
  </si>
  <si>
    <t>Vinegar Balsamic</t>
  </si>
  <si>
    <t>DRS1-95</t>
  </si>
  <si>
    <t>Vinegar White (30 Ltr Gallon)</t>
  </si>
  <si>
    <t>DRS1-5153</t>
  </si>
  <si>
    <t>DRS1-1547</t>
  </si>
  <si>
    <t>Can Kinza Cola 320 ml</t>
  </si>
  <si>
    <t>BVG1-5281</t>
  </si>
  <si>
    <t>Soda &amp; Soft drinks</t>
  </si>
  <si>
    <t>Can Kinza Cola Diet 320 ml</t>
  </si>
  <si>
    <t>BVG1-5282</t>
  </si>
  <si>
    <t>Can Kinza Lemon 320 ml</t>
  </si>
  <si>
    <t>BVG1-5280</t>
  </si>
  <si>
    <t>Can Kinza Lemon Zero 320 ml</t>
  </si>
  <si>
    <t>BVG1-5283</t>
  </si>
  <si>
    <t>Drink 7-Up</t>
  </si>
  <si>
    <t>BVG1-781</t>
  </si>
  <si>
    <t>Drink 7-Up  Light</t>
  </si>
  <si>
    <t>BVG1-782</t>
  </si>
  <si>
    <t>Drink Mirinda Orange</t>
  </si>
  <si>
    <t>BVG1-1168</t>
  </si>
  <si>
    <t>Drink Pepsi</t>
  </si>
  <si>
    <t>BVG1-779</t>
  </si>
  <si>
    <t>Sparkling Water 250 ml</t>
  </si>
  <si>
    <t>BVG3-4744</t>
  </si>
  <si>
    <t>Water</t>
  </si>
  <si>
    <t>BVG3-5312</t>
  </si>
  <si>
    <t>water 200 ML (Nova)</t>
  </si>
  <si>
    <t>BVG3-4131</t>
  </si>
  <si>
    <t>water 330 ML (Nova)</t>
  </si>
  <si>
    <t>Frz Calamari Tube</t>
  </si>
  <si>
    <t>Fish &amp; Seafood</t>
  </si>
  <si>
    <t>Frz Crab Sticks(500 Gram)</t>
  </si>
  <si>
    <t>SFD2-4238</t>
  </si>
  <si>
    <t>SFD2-312</t>
  </si>
  <si>
    <t>Frz Fish Hamour/Nile Perch Fillet</t>
  </si>
  <si>
    <t>SFD2-1101</t>
  </si>
  <si>
    <t>Frz Fish Salmon Filet</t>
  </si>
  <si>
    <t>SFD2-321</t>
  </si>
  <si>
    <t>Frz Lobster Tail 6/8</t>
  </si>
  <si>
    <t>SFD2-1757</t>
  </si>
  <si>
    <t>Frz Shrimp PD (50/60) Without Tail</t>
  </si>
  <si>
    <t>SFD2-4528</t>
  </si>
  <si>
    <t>Frz Shrimps (16/20) Without Tail</t>
  </si>
  <si>
    <t>SFD2-5320</t>
  </si>
  <si>
    <t>Frz Shrimps (11/15) Without Tail</t>
  </si>
  <si>
    <t>Frz Shrimps PD (26/30) Without Tail</t>
  </si>
  <si>
    <t>SFD2-1578</t>
  </si>
  <si>
    <t>Frz Smoked Salmon P / Sliced</t>
  </si>
  <si>
    <t>SFD2-1344</t>
  </si>
  <si>
    <t>Frz Whole Turkey(KG)</t>
  </si>
  <si>
    <t>PLT2-1800</t>
  </si>
  <si>
    <t>Poultry</t>
  </si>
  <si>
    <t>Eggs</t>
  </si>
  <si>
    <t>PLT1-37</t>
  </si>
  <si>
    <t>PLT1-1785</t>
  </si>
  <si>
    <t>Smoked Roast Chicken</t>
  </si>
  <si>
    <t>PLT1-1704</t>
  </si>
  <si>
    <t>Frozen Whole Egg</t>
  </si>
  <si>
    <t>PLT2-5475</t>
  </si>
  <si>
    <t>Frz Boneless Chicken(Shawarma)</t>
  </si>
  <si>
    <t>PLT2-1045</t>
  </si>
  <si>
    <t>PLT2-5309</t>
  </si>
  <si>
    <t>PLT2-3278</t>
  </si>
  <si>
    <t>FRZ Chicken Frank ( Doux Original)</t>
  </si>
  <si>
    <t>PLT2-1573</t>
  </si>
  <si>
    <t>Frz Chicken Leg Quarter</t>
  </si>
  <si>
    <t>PLT2-159</t>
  </si>
  <si>
    <t>Frz Chicken Whole (1200 Gram)</t>
  </si>
  <si>
    <t>PLT2-1844</t>
  </si>
  <si>
    <t>Frz Chicken Whole (1100 Gram)</t>
  </si>
  <si>
    <t>Frz.Chicken Breaded Strips</t>
  </si>
  <si>
    <t>PLT2-1475</t>
  </si>
  <si>
    <t>Chilled Beef Bresola</t>
  </si>
  <si>
    <t>MET1-1864</t>
  </si>
  <si>
    <t>Meat</t>
  </si>
  <si>
    <t>Smoked Roast Beef</t>
  </si>
  <si>
    <t>MET1-1705</t>
  </si>
  <si>
    <t>MET1-5468</t>
  </si>
  <si>
    <t>Frz Beef Brisket</t>
  </si>
  <si>
    <t>MET2-3808</t>
  </si>
  <si>
    <t>Frz Beef Eye round</t>
  </si>
  <si>
    <t>MET2-1053</t>
  </si>
  <si>
    <t>Frz Beef ForeQuarter</t>
  </si>
  <si>
    <t>MET2-4316</t>
  </si>
  <si>
    <t>Frz Beef Hot Dog</t>
  </si>
  <si>
    <t>MET2-4960</t>
  </si>
  <si>
    <t>Frz Beef Sausage(2.5 Kg)</t>
  </si>
  <si>
    <t>MET2-4734</t>
  </si>
  <si>
    <t>MET2-585</t>
  </si>
  <si>
    <t>MET2-1051</t>
  </si>
  <si>
    <t>Frz Beef,Lamb Cubes</t>
  </si>
  <si>
    <t>MET2-4959</t>
  </si>
  <si>
    <t>Frz Kibbeh Mini(Each)</t>
  </si>
  <si>
    <t>MET2-4838</t>
  </si>
  <si>
    <t>Frz Lamb Liver(Kg)</t>
  </si>
  <si>
    <t>MET2-4771</t>
  </si>
  <si>
    <t>Frz Lamb Rack</t>
  </si>
  <si>
    <t>MET2-2075</t>
  </si>
  <si>
    <t>Frz Leg Boneless (Lamb Leg)</t>
  </si>
  <si>
    <t>MET2-3262</t>
  </si>
  <si>
    <t>Frz Leg Boneless (Veal)</t>
  </si>
  <si>
    <t>MET2-3558</t>
  </si>
  <si>
    <t>MET2-4655</t>
  </si>
  <si>
    <t>DRS1-4181</t>
  </si>
  <si>
    <t xml:space="preserve">Frozen </t>
  </si>
  <si>
    <t>Produce</t>
  </si>
  <si>
    <t>Dried Vegetable Chips</t>
  </si>
  <si>
    <t>DRS1-5238</t>
  </si>
  <si>
    <t>Dry Mouloukhia</t>
  </si>
  <si>
    <t>DRS1-457</t>
  </si>
  <si>
    <t>Dry Rosemary Leaves(500 gm)</t>
  </si>
  <si>
    <t>DRS1-5339</t>
  </si>
  <si>
    <t>Corn On The Cob(Whole)</t>
  </si>
  <si>
    <t>PRD2-3914</t>
  </si>
  <si>
    <t>Frozen Avocado,Pulp</t>
  </si>
  <si>
    <t>PRD2-4183</t>
  </si>
  <si>
    <t>Frz Broad Beans (900 Gram)</t>
  </si>
  <si>
    <t>PRD2-3989</t>
  </si>
  <si>
    <t>Frz Broccoli 2.5 kg</t>
  </si>
  <si>
    <t>PRD2-5241</t>
  </si>
  <si>
    <t>Frz Cranberry</t>
  </si>
  <si>
    <t>PRD2-4377</t>
  </si>
  <si>
    <t>PRD2-4987</t>
  </si>
  <si>
    <t>Frz Eggplant Pulp</t>
  </si>
  <si>
    <t>PRD2-3544</t>
  </si>
  <si>
    <t>Frz French Fries</t>
  </si>
  <si>
    <t>PRD2-871</t>
  </si>
  <si>
    <t>PRD2-3566</t>
  </si>
  <si>
    <t>PRD2-3567</t>
  </si>
  <si>
    <t>Frz Mixed Vegetables (2.5 kg)</t>
  </si>
  <si>
    <t>PRD2-5344</t>
  </si>
  <si>
    <t>Frz Moulokhia (400Gram)</t>
  </si>
  <si>
    <t>PRD2-3671</t>
  </si>
  <si>
    <t>Frz Mushroom Whole</t>
  </si>
  <si>
    <t>PRD2-5006</t>
  </si>
  <si>
    <t>PRD2-366</t>
  </si>
  <si>
    <t>PRD2-4092</t>
  </si>
  <si>
    <t>Frz Raspberry</t>
  </si>
  <si>
    <t>PRD2-4713</t>
  </si>
  <si>
    <t>Frz Spinach(400 Gram)</t>
  </si>
  <si>
    <t>PRD2-363</t>
  </si>
  <si>
    <t>Dry Apricots (1KG)</t>
  </si>
  <si>
    <t>PRD3-1632</t>
  </si>
  <si>
    <t>Dry Cranberry(Kg)</t>
  </si>
  <si>
    <t>PRD3-4230</t>
  </si>
  <si>
    <t>PRD3-1675</t>
  </si>
  <si>
    <t>Dry Mint (Kg)</t>
  </si>
  <si>
    <t>PRD3-3878</t>
  </si>
  <si>
    <t>Dry Mix Fruits(1 Kg)</t>
  </si>
  <si>
    <t>PRD3-1661</t>
  </si>
  <si>
    <t>Dry Mushroom Set (Jar)</t>
  </si>
  <si>
    <t>PRD3-1842</t>
  </si>
  <si>
    <t>Dry Prunes Pitted(Barkouk)</t>
  </si>
  <si>
    <t>PRD3-4849</t>
  </si>
  <si>
    <t>Dry Sun Tomatoes In Oil</t>
  </si>
  <si>
    <t>PRD3-1653</t>
  </si>
  <si>
    <t>Fried Onions</t>
  </si>
  <si>
    <t>PRD3-5038</t>
  </si>
  <si>
    <t>Fresh Apple Red</t>
  </si>
  <si>
    <t>PRD1-374</t>
  </si>
  <si>
    <t>Fresh Avocado</t>
  </si>
  <si>
    <t>PRD1-4787</t>
  </si>
  <si>
    <t>Fresh Baby Carrot</t>
  </si>
  <si>
    <t>PRD1-3546</t>
  </si>
  <si>
    <t>Fresh Baby Marrow</t>
  </si>
  <si>
    <t>PRD1-3794</t>
  </si>
  <si>
    <t>Fresh Baby Rocca</t>
  </si>
  <si>
    <t>PRD1-4600</t>
  </si>
  <si>
    <t>Fresh Baby Spinach</t>
  </si>
  <si>
    <t>PRD1-4601</t>
  </si>
  <si>
    <t>Fresh Bananas</t>
  </si>
  <si>
    <t>PRD1-376</t>
  </si>
  <si>
    <t>Fresh Basil</t>
  </si>
  <si>
    <t>PRD1-179</t>
  </si>
  <si>
    <t>Fresh Blackberry</t>
  </si>
  <si>
    <t>PRD1-4389</t>
  </si>
  <si>
    <t xml:space="preserve">Fresh Beetroot </t>
  </si>
  <si>
    <t>PRD1-709</t>
  </si>
  <si>
    <t>Fresh Blueberry(125 Gram)</t>
  </si>
  <si>
    <t>PRD1-4390</t>
  </si>
  <si>
    <t>Fresh Brocoli</t>
  </si>
  <si>
    <t>PRD1-182</t>
  </si>
  <si>
    <t>PRD1-185</t>
  </si>
  <si>
    <t>Fresh Cabbage Red</t>
  </si>
  <si>
    <t>PRD1-189</t>
  </si>
  <si>
    <t>PRD1-187</t>
  </si>
  <si>
    <t>PRD1-186</t>
  </si>
  <si>
    <t>Fresh Celery Branch(Imported)</t>
  </si>
  <si>
    <t>PRD1-191</t>
  </si>
  <si>
    <t>Fresh Cherry Tomato(Local)</t>
  </si>
  <si>
    <t>PRD1-245</t>
  </si>
  <si>
    <t>Fresh Chives (Ciboulettes)</t>
  </si>
  <si>
    <t>PRD1-194</t>
  </si>
  <si>
    <t>PRD1-195</t>
  </si>
  <si>
    <t>Fresh Cucumber</t>
  </si>
  <si>
    <t>PRD1-196</t>
  </si>
  <si>
    <t>Fresh Dragin Fruit</t>
  </si>
  <si>
    <t>PRD1-380</t>
  </si>
  <si>
    <t>PRD1-199</t>
  </si>
  <si>
    <t>PRD1-201</t>
  </si>
  <si>
    <t>PRD1-4327</t>
  </si>
  <si>
    <t>PRD1-204</t>
  </si>
  <si>
    <t>Fresh Grapes Red</t>
  </si>
  <si>
    <t>PRD1-385</t>
  </si>
  <si>
    <t>PRD1-591</t>
  </si>
  <si>
    <t>Fresh Kale</t>
  </si>
  <si>
    <t>PRD1-3374</t>
  </si>
  <si>
    <t>Fresh Kiwi</t>
  </si>
  <si>
    <t>PRD1-390</t>
  </si>
  <si>
    <t>PRD1-4019</t>
  </si>
  <si>
    <t>PRD1-209</t>
  </si>
  <si>
    <t>Fresh Lemon Grass(Imported)</t>
  </si>
  <si>
    <t>PRD1-4179</t>
  </si>
  <si>
    <t>Fresh Lettuce Iceberg (Local)</t>
  </si>
  <si>
    <t>PRD1-213</t>
  </si>
  <si>
    <t>Fresh Lettuce Lollo Rosso(Local)</t>
  </si>
  <si>
    <t>PRD1-3956</t>
  </si>
  <si>
    <t>Fresh Lettuce Romain</t>
  </si>
  <si>
    <t>PRD1-216</t>
  </si>
  <si>
    <t xml:space="preserve">Fresh Mint </t>
  </si>
  <si>
    <t>PRD1-221</t>
  </si>
  <si>
    <t>Fresh mandarin</t>
  </si>
  <si>
    <t>PRD1-1289</t>
  </si>
  <si>
    <t>PRD1-223</t>
  </si>
  <si>
    <t>Fresh Mushroom (Brown)</t>
  </si>
  <si>
    <t>PRD1-3182</t>
  </si>
  <si>
    <t>PRD1-4265</t>
  </si>
  <si>
    <t>Fresh Orange-Table</t>
  </si>
  <si>
    <t>PRD1-395</t>
  </si>
  <si>
    <t>Fresh Parsley</t>
  </si>
  <si>
    <t>PRD1-227</t>
  </si>
  <si>
    <t>Fresh Pineapple</t>
  </si>
  <si>
    <t>PRD1-401</t>
  </si>
  <si>
    <t>PRD1-232</t>
  </si>
  <si>
    <t>Fresh Pomegranate</t>
  </si>
  <si>
    <t>PRD1-403</t>
  </si>
  <si>
    <t>PRD1-230</t>
  </si>
  <si>
    <t>Fresh Potato Sweet</t>
  </si>
  <si>
    <t>PRD1-231</t>
  </si>
  <si>
    <t>Fresh Radish</t>
  </si>
  <si>
    <t>PRD1-234</t>
  </si>
  <si>
    <t>Fresh Raspberry</t>
  </si>
  <si>
    <t>PRD1-4391</t>
  </si>
  <si>
    <t>Fresh Rocket</t>
  </si>
  <si>
    <t>PRD1-235</t>
  </si>
  <si>
    <t>Fresh Rosemary</t>
  </si>
  <si>
    <t>PRD1-564</t>
  </si>
  <si>
    <t>Fresh Sweet Pepper Green</t>
  </si>
  <si>
    <t>PRD1-239</t>
  </si>
  <si>
    <t>PRD1-240</t>
  </si>
  <si>
    <t>Fresh Sweet Pepper Yellow</t>
  </si>
  <si>
    <t>PRD1-241</t>
  </si>
  <si>
    <t>Fresh Spinach</t>
  </si>
  <si>
    <t>PRD1-236</t>
  </si>
  <si>
    <t>Fresh Spring Onion Green</t>
  </si>
  <si>
    <t>PRD1-573</t>
  </si>
  <si>
    <t>Fresh Strawberry(Imported)</t>
  </si>
  <si>
    <t>PRD1-406</t>
  </si>
  <si>
    <t>Fresh Sweet Melon</t>
  </si>
  <si>
    <t>PRD1-1315</t>
  </si>
  <si>
    <t>Fresh Thyme</t>
  </si>
  <si>
    <t>PRD1-243</t>
  </si>
  <si>
    <t>PRD1-572</t>
  </si>
  <si>
    <t>Fresh Watercress</t>
  </si>
  <si>
    <t>PRD1-3929</t>
  </si>
  <si>
    <t>Eco Friendly,Dessert Container 8oz with Lid(1000Pcs)</t>
  </si>
  <si>
    <t>PKG-5221</t>
  </si>
  <si>
    <t xml:space="preserve">Non Food </t>
  </si>
  <si>
    <t xml:space="preserve">Packaging </t>
  </si>
  <si>
    <t>Eco Friendly,Salad Container 12oz with Lid</t>
  </si>
  <si>
    <t>PKG-5222</t>
  </si>
  <si>
    <t>Fabric Bag 36x31x17 CM Laminated with SALUS logo</t>
  </si>
  <si>
    <t>PKG-5183</t>
  </si>
  <si>
    <t>Paper Cup White For Muffin 15 Cm</t>
  </si>
  <si>
    <t>PKG-5010</t>
  </si>
  <si>
    <t>Plastic Bag With Handle and Ziplock 32x26 cm(KG)</t>
  </si>
  <si>
    <t>PKG-5378</t>
  </si>
  <si>
    <t>Aluminum Container 1 Comp 831160 (800pcs)</t>
  </si>
  <si>
    <t>PKG-5148</t>
  </si>
  <si>
    <t>Aluminum Container 2 Comp W/Lid</t>
  </si>
  <si>
    <t>PKG-741</t>
  </si>
  <si>
    <t>Aluminum Container Round 5047 (Kunafa)</t>
  </si>
  <si>
    <t>PKG-743</t>
  </si>
  <si>
    <t>ALuminum Container With Lid 8342</t>
  </si>
  <si>
    <t>PKG-5120</t>
  </si>
  <si>
    <t>Aluminum Paper Sandwich For Beef Burger(500)</t>
  </si>
  <si>
    <t>PKG-1576</t>
  </si>
  <si>
    <t>Aluminum Paper Sandwich For Chicken Burger(500)</t>
  </si>
  <si>
    <t>PKG-1577</t>
  </si>
  <si>
    <t>Bamboo Flag Skewer 9 CM</t>
  </si>
  <si>
    <t>PKG-5144</t>
  </si>
  <si>
    <t>Bamboo Knotted Skewer 15 cm</t>
  </si>
  <si>
    <t>PKG-5145</t>
  </si>
  <si>
    <t>Bamboo Ring Skewer 12 cm</t>
  </si>
  <si>
    <t>PKG-5146</t>
  </si>
  <si>
    <t>Bamboo Skewers(15 Cm)</t>
  </si>
  <si>
    <t>PKG-4090</t>
  </si>
  <si>
    <t>Burger Butter Paper,10cm</t>
  </si>
  <si>
    <t>PKG-4278</t>
  </si>
  <si>
    <t>Burger Butter Paper,13 cm</t>
  </si>
  <si>
    <t>PKG-4277</t>
  </si>
  <si>
    <t>Butter Paper (60*40 )</t>
  </si>
  <si>
    <t>PKG-639</t>
  </si>
  <si>
    <t>Cake Box Medium,Brown,Gourmet,371x370x90</t>
  </si>
  <si>
    <t>PKG-4807</t>
  </si>
  <si>
    <t>Cutlery Set for Salus Logo</t>
  </si>
  <si>
    <t>PKG-4952</t>
  </si>
  <si>
    <t>Cutlery Set for SMC Logo</t>
  </si>
  <si>
    <t>PKG-1258</t>
  </si>
  <si>
    <t>Cutlery Set VIP Black,3 Pcs 250 pcs</t>
  </si>
  <si>
    <t>PKG-5185</t>
  </si>
  <si>
    <t>Cutlery Set,FRSH Logo 250 Set</t>
  </si>
  <si>
    <t>PKG-5292</t>
  </si>
  <si>
    <t>Cutlery Set,Gourmet Logo 250 Set</t>
  </si>
  <si>
    <t>PKG-5104</t>
  </si>
  <si>
    <t>Dolly Paper Tray (48x50)</t>
  </si>
  <si>
    <t>PKG-1613</t>
  </si>
  <si>
    <t>Eco Friendly,Food Cont.Rect. 1000ml With Lid</t>
  </si>
  <si>
    <t>PKG-5209</t>
  </si>
  <si>
    <t>Eco Friendly,Food Plate,Round,10 Inch</t>
  </si>
  <si>
    <t>PKG-4940</t>
  </si>
  <si>
    <t>Eco Friendly,Food Plate,Round,9 Inch</t>
  </si>
  <si>
    <t>PKG-4939</t>
  </si>
  <si>
    <t>Eco Friendly,Soup Container 8oz</t>
  </si>
  <si>
    <t>PKG-5392</t>
  </si>
  <si>
    <t>EXP Stickers Roll</t>
  </si>
  <si>
    <t>PKG-1612</t>
  </si>
  <si>
    <t>Fabric Bag 30x30x17 CM Laminated with FRSH logo</t>
  </si>
  <si>
    <t>PKG-5270</t>
  </si>
  <si>
    <t>Flat Lid For Deli Container 12oz/8oz</t>
  </si>
  <si>
    <t>PKG-5394</t>
  </si>
  <si>
    <t>Gourmet Club Sandwich Box 101x45x104</t>
  </si>
  <si>
    <t>PKG-5195</t>
  </si>
  <si>
    <t>Gourmet Croissant/Sandwich Box 150x110x80</t>
  </si>
  <si>
    <t>PKG-5198</t>
  </si>
  <si>
    <t>Gourmet Jumbo Sandwich Sleeves 175x261</t>
  </si>
  <si>
    <t>PKG-5199</t>
  </si>
  <si>
    <t>Gourmet Panini Sandwich Box 80x55x190</t>
  </si>
  <si>
    <t>PKG-5197</t>
  </si>
  <si>
    <t>Gourmet Sleeves DC200 &amp;16 Oz</t>
  </si>
  <si>
    <t>PKG-5200</t>
  </si>
  <si>
    <t>Gourmet Tortilla Sandwich Box 82x60x120</t>
  </si>
  <si>
    <t>PKG-5196</t>
  </si>
  <si>
    <t>Kraft Soup Container 12oz with PP Lid</t>
  </si>
  <si>
    <t>PKG-5044</t>
  </si>
  <si>
    <t>Kraft Soup Container,16oz</t>
  </si>
  <si>
    <t>PKG-4462</t>
  </si>
  <si>
    <t>Kraft White Container Sqaure 30oz</t>
  </si>
  <si>
    <t>PKG-5098</t>
  </si>
  <si>
    <t>Kraft White Container Sqaure 400 ml</t>
  </si>
  <si>
    <t>PKG-5122</t>
  </si>
  <si>
    <t>Kraft White Container Square 600 ml</t>
  </si>
  <si>
    <t>PKG-5123</t>
  </si>
  <si>
    <t>Kraft White Salad Container,Round,32oz W/Lid</t>
  </si>
  <si>
    <t>PKG-5188</t>
  </si>
  <si>
    <t>Menu Cards FRSH (Various Sizes )</t>
  </si>
  <si>
    <t>PKG-5275</t>
  </si>
  <si>
    <t>Paper Bag Brown W/Gourmet Logo 29x15x30 cm</t>
  </si>
  <si>
    <t>PKG-5075</t>
  </si>
  <si>
    <t>Paper Bag Brown,Sandwich,W/Window 12x30 (1x50) S</t>
  </si>
  <si>
    <t>PKG-5112</t>
  </si>
  <si>
    <t>Paper Bag Brown,Sandwich,W/Window 20x29(1x100)M</t>
  </si>
  <si>
    <t>PKG-5011</t>
  </si>
  <si>
    <t>Paper Bag Brown,Sandwich,W/Window 21x35 L</t>
  </si>
  <si>
    <t>PKG-4757</t>
  </si>
  <si>
    <t>Paper Bag Brown,Sandwich,W/Window 34x15x7.5</t>
  </si>
  <si>
    <t>PKG-5234</t>
  </si>
  <si>
    <t>Paper Bag White W/Gourmet Logo 29x15x30 cm</t>
  </si>
  <si>
    <t>PKG-5076</t>
  </si>
  <si>
    <t>Paper Bag With Golyv Logo 32x16x31</t>
  </si>
  <si>
    <t>PKG-5230</t>
  </si>
  <si>
    <t>Paper Cake Base With Pet Lid 27x27 130pcs</t>
  </si>
  <si>
    <t>PKG-5191</t>
  </si>
  <si>
    <t>Paper Club Sandwich Cont,W/Window(250 Each)</t>
  </si>
  <si>
    <t>PKG-4740</t>
  </si>
  <si>
    <t>Paper Cup Brown for Muffin (11.5cm)</t>
  </si>
  <si>
    <t>PKG-1608</t>
  </si>
  <si>
    <t>Paper Cup White For Muffin (7 Cm)</t>
  </si>
  <si>
    <t>PKG-3178</t>
  </si>
  <si>
    <t>Paper Cup White For Muffin (9.5 Cm)</t>
  </si>
  <si>
    <t>PKG-1923</t>
  </si>
  <si>
    <t>Paper Cup,4oz With SMC Logo (Espresso)</t>
  </si>
  <si>
    <t>PKG-5257</t>
  </si>
  <si>
    <t>Paper Cup,4oz(Nespresso)</t>
  </si>
  <si>
    <t>PKG-4088</t>
  </si>
  <si>
    <t>Paper Cup,VIP,7oz W/Lids</t>
  </si>
  <si>
    <t>PKG-4424</t>
  </si>
  <si>
    <t>Paper Cups</t>
  </si>
  <si>
    <t>PKG-1010</t>
  </si>
  <si>
    <t>Paper Cups 32Oz (Pop Corn)</t>
  </si>
  <si>
    <t>PKG-5285</t>
  </si>
  <si>
    <t>Paper Cups 8oz,Double Wall,Gourmet Logo &amp; Lids(500 Each)</t>
  </si>
  <si>
    <t>PKG-5154</t>
  </si>
  <si>
    <t>Paper Cups 8oz,VIP,Double,Logo&amp;Lids(1000)</t>
  </si>
  <si>
    <t>PKG-4708</t>
  </si>
  <si>
    <t>Paper Cups,VIP, 8oz w/Lids Double Wall (1x500)</t>
  </si>
  <si>
    <t>PKG-5121</t>
  </si>
  <si>
    <t>Paper Cups,VIP,9oz w/Lids</t>
  </si>
  <si>
    <t>PKG-3681</t>
  </si>
  <si>
    <t>Paper Pkt Big Size for French Fries</t>
  </si>
  <si>
    <t>PKG-1155</t>
  </si>
  <si>
    <t>Paper Sandwich Container,Long,5x10.5x20cm,W/Window</t>
  </si>
  <si>
    <t>PKG-4746</t>
  </si>
  <si>
    <t>Paper Sandwich Container,Long,6x27cm,W/Window</t>
  </si>
  <si>
    <t>PKG-4739</t>
  </si>
  <si>
    <t>Paper Sandwich Container,Square,10.55x10.5cm,W/Window</t>
  </si>
  <si>
    <t>PKG-4766</t>
  </si>
  <si>
    <t>Paper Sandwich Container,Tortilla,W/Window</t>
  </si>
  <si>
    <t>PKG-4814</t>
  </si>
  <si>
    <t>Paper Sleeve with Golyv Logo 75x176</t>
  </si>
  <si>
    <t>PKG-5231</t>
  </si>
  <si>
    <t>Paper Sleeves FRSH (Various Sizes)</t>
  </si>
  <si>
    <t>PKG-5274</t>
  </si>
  <si>
    <t>Paper Sleeves with Dietworld Logo</t>
  </si>
  <si>
    <t>PKG-5071</t>
  </si>
  <si>
    <t>Paper Sleeves with Mashwi Kiwi Logo</t>
  </si>
  <si>
    <t>PKG-5202</t>
  </si>
  <si>
    <t>Paper Sleeves,38x7.5,2Colors (Salus)</t>
  </si>
  <si>
    <t>PKG-4858</t>
  </si>
  <si>
    <t>Piping Bag</t>
  </si>
  <si>
    <t>PKG-882</t>
  </si>
  <si>
    <t>Plastic Black Microwave 10 oz Container Lid MCB250BHP</t>
  </si>
  <si>
    <t>PKG-5204</t>
  </si>
  <si>
    <t>Plastic Clear Cont,Square,12oz,W/Lid</t>
  </si>
  <si>
    <t>PKG-4870</t>
  </si>
  <si>
    <t>Plastic Clear Cont,Square,8oz,W/Lid</t>
  </si>
  <si>
    <t>PKG-4929</t>
  </si>
  <si>
    <t>Plastic Clear Dessert Cup With Lid(500 each)</t>
  </si>
  <si>
    <t>PKG-1287</t>
  </si>
  <si>
    <t>Plastic Clear Microwave 10 oz Container</t>
  </si>
  <si>
    <t>PKG-1254</t>
  </si>
  <si>
    <t>Plastic Clear Salad Container Medium OPS (300 Each)</t>
  </si>
  <si>
    <t>PKG-1849</t>
  </si>
  <si>
    <t>Plastic Clear Salad Container Medium OPS(8oz 240 Each)</t>
  </si>
  <si>
    <t>PKG-1293</t>
  </si>
  <si>
    <t>Plastic Club Sandwich Box,Clear</t>
  </si>
  <si>
    <t>PKG-650</t>
  </si>
  <si>
    <t>Plastic Cocktail Fork</t>
  </si>
  <si>
    <t>PKG-5152</t>
  </si>
  <si>
    <t>Plastic Cocktail Spoon</t>
  </si>
  <si>
    <t>PKG-5151</t>
  </si>
  <si>
    <t>Plastic Cont,Rect,Injection, White 24OZ With Lid</t>
  </si>
  <si>
    <t>PKG-5000</t>
  </si>
  <si>
    <t>Plastic Cont,Rect,Injection, White 28OZ With Lid</t>
  </si>
  <si>
    <t>PKG-4998</t>
  </si>
  <si>
    <t>Plastic Cont,Rect,Injection,2Comp.White 32OZ With Lid</t>
  </si>
  <si>
    <t>PKG-4999</t>
  </si>
  <si>
    <t>Plastic Cont,Rect,Injection,Black,48oz,W/Lid BBRE48</t>
  </si>
  <si>
    <t>PKG-5203</t>
  </si>
  <si>
    <t>Plastic Cont,Rect,Injection,Black,58oz,W/Lid BBRE58</t>
  </si>
  <si>
    <t>PKG-5192</t>
  </si>
  <si>
    <t>Plastic Container 20oz Red &amp; Black with Lid 300 pcs</t>
  </si>
  <si>
    <t>PKG-5190</t>
  </si>
  <si>
    <t>Plastic Container 32oz Red &amp; Black with Lid 300 pcs</t>
  </si>
  <si>
    <t>PKG-5189</t>
  </si>
  <si>
    <t>Plastic Container with Lid ,Rect, Medium Sushi( SC02BHP)</t>
  </si>
  <si>
    <t>PKG-5340</t>
  </si>
  <si>
    <t>Plastic Container, Black Base 10" With Clear Lid (Cake )</t>
  </si>
  <si>
    <t>PKG-5304</t>
  </si>
  <si>
    <t>Plastic Container, Black Base With Clear Lid 3.5 (Cake )</t>
  </si>
  <si>
    <t>PKG-5311</t>
  </si>
  <si>
    <t>Plastic Cylindrical Jar,Transparent,230 ML</t>
  </si>
  <si>
    <t>PKG-4374</t>
  </si>
  <si>
    <t>Plastic Dessert Cup w/Lid,DC200 (1000 )</t>
  </si>
  <si>
    <t>PKG-1541</t>
  </si>
  <si>
    <t>Plastic Dessert Cup With 2 Lid,Dome&amp;Flat,Salus</t>
  </si>
  <si>
    <t>PKG-5009</t>
  </si>
  <si>
    <t>Plastic Juice Bottle,250 ML</t>
  </si>
  <si>
    <t>PKG-3876</t>
  </si>
  <si>
    <t>Plastic Pastry Tray with Cover, Golden, Large</t>
  </si>
  <si>
    <t>PKG-5313</t>
  </si>
  <si>
    <t>Plastic Pastry Tray with Cover, Golden, Small</t>
  </si>
  <si>
    <t>PKG-5314</t>
  </si>
  <si>
    <t>Plastic Plate,Disposable,VIP,10.25 inch</t>
  </si>
  <si>
    <t>PKG-4153</t>
  </si>
  <si>
    <t>Plastic Salad Cont,Clear,Round,16oz,W/Lid</t>
  </si>
  <si>
    <t>PKG-4604</t>
  </si>
  <si>
    <t>Plastic Sauce Cup,2oz,Microwavable,W/Lid</t>
  </si>
  <si>
    <t>PKG-4867</t>
  </si>
  <si>
    <t>Plastic Table Fork</t>
  </si>
  <si>
    <t>PKG-1143</t>
  </si>
  <si>
    <t>Plastic Table Fork,VIP(Black)</t>
  </si>
  <si>
    <t>PKG-3432</t>
  </si>
  <si>
    <t>Plastic Table knife</t>
  </si>
  <si>
    <t>PKG-1197</t>
  </si>
  <si>
    <t>Plastic Table Knife,VIP(Black)</t>
  </si>
  <si>
    <t>PKG-3434</t>
  </si>
  <si>
    <t>Plastic Table Spoon</t>
  </si>
  <si>
    <t>PKG-777</t>
  </si>
  <si>
    <t>Plastic Table Spoon,VIP(Black)</t>
  </si>
  <si>
    <t>PKG-3430</t>
  </si>
  <si>
    <t>Plastic tea Spoon</t>
  </si>
  <si>
    <t>PKG-629</t>
  </si>
  <si>
    <t>Plastic Water Cup,White</t>
  </si>
  <si>
    <t>PKG-4904</t>
  </si>
  <si>
    <t>Sandwich Bag,Clear, 10x18 cm</t>
  </si>
  <si>
    <t>PKG-4883</t>
  </si>
  <si>
    <t>Sandwich Bag,Clear, 11x11 cm</t>
  </si>
  <si>
    <t>PKG-4953</t>
  </si>
  <si>
    <t>Sandwich Bag,Clear, 13x30 cm</t>
  </si>
  <si>
    <t>PKG-1814</t>
  </si>
  <si>
    <t>Sandwich Bag,Clear,10x30 CM</t>
  </si>
  <si>
    <t>PKG-881</t>
  </si>
  <si>
    <t>Sandwich Bag,Clear,13x20cm</t>
  </si>
  <si>
    <t>PKG-1371</t>
  </si>
  <si>
    <t>Sandwich Wrapping Paper( Gourmet)</t>
  </si>
  <si>
    <t>PKG-5073</t>
  </si>
  <si>
    <t>Sandwich Wrapping Paper(Salus)</t>
  </si>
  <si>
    <t>PKG-4859</t>
  </si>
  <si>
    <t>Sticker Gourmet Sandwich</t>
  </si>
  <si>
    <t>PKG-4075</t>
  </si>
  <si>
    <t>Sticker Roll 150x100</t>
  </si>
  <si>
    <t>PKG-5419</t>
  </si>
  <si>
    <t>Sticker Roll Plain,Expiry</t>
  </si>
  <si>
    <t>PKG-5310</t>
  </si>
  <si>
    <t>Sticker Roll Plain,Salus</t>
  </si>
  <si>
    <t>PKG-4923</t>
  </si>
  <si>
    <t>Sticker Round ,Golyv Logo 6cm</t>
  </si>
  <si>
    <t>PKG-5236</t>
  </si>
  <si>
    <t>Sticker Round ,Golyv Logo 7cm</t>
  </si>
  <si>
    <t>PKG-5235</t>
  </si>
  <si>
    <t>Sticker Round ,Mashwi Kiwi Logo 7cm</t>
  </si>
  <si>
    <t>PKG-5220</t>
  </si>
  <si>
    <t>Sticker Round,2 Colors,5cm(Salus)</t>
  </si>
  <si>
    <t>PKG-4861</t>
  </si>
  <si>
    <t>Sticker Round,Gourmet Logo,3cm</t>
  </si>
  <si>
    <t>PKG-3509</t>
  </si>
  <si>
    <t>Sticker Security Seal, 9x4 Cm,Sidra</t>
  </si>
  <si>
    <t>PKG-5343</t>
  </si>
  <si>
    <t>Sticker Security Seal,Golyv</t>
  </si>
  <si>
    <t>PKG-5237</t>
  </si>
  <si>
    <t>Sticker,Gourmet Logo,7cm</t>
  </si>
  <si>
    <t>PKG-3940</t>
  </si>
  <si>
    <t>Straw With Paper Wrapped (40x250)</t>
  </si>
  <si>
    <t>PKG-1546</t>
  </si>
  <si>
    <t>Wet Napkins with FRSH Logo</t>
  </si>
  <si>
    <t>PKG-5276</t>
  </si>
  <si>
    <t>Cutlery Set for Diet World Logo 250Set</t>
  </si>
  <si>
    <t>DWS-5291</t>
  </si>
  <si>
    <t>Eco Friendly,Food Cont.Rect,750ML,1Comp,W/Lid</t>
  </si>
  <si>
    <t>DWS-4779</t>
  </si>
  <si>
    <t>Fabric Bag 31x37x17 CM Laminated with Diet World logo</t>
  </si>
  <si>
    <t>DWS-5023</t>
  </si>
  <si>
    <t>Fabric Bag 37x30x7.5 CM Laminated with Diet World logo(Small)</t>
  </si>
  <si>
    <t>DWS-5267</t>
  </si>
  <si>
    <t>Plastic Clear 10oz Container With Lid</t>
  </si>
  <si>
    <t>DWS-1555</t>
  </si>
  <si>
    <t>Plastic Cont,1Comp,05AH08PBK(300 Each)</t>
  </si>
  <si>
    <t>DWS-4649</t>
  </si>
  <si>
    <t>Plastic Cont,1Comp,08oz White, with Lid</t>
  </si>
  <si>
    <t>DWS-5102</t>
  </si>
  <si>
    <t>Plastic Container 1Compartment (05AH24PBK) W/Lid</t>
  </si>
  <si>
    <t>DWS-1543</t>
  </si>
  <si>
    <t>Plastic Container Black (05AH16PBK) W/Lid</t>
  </si>
  <si>
    <t>DWS-3583</t>
  </si>
  <si>
    <t>Plastic Container Clear (05AH16WT) W/Lid</t>
  </si>
  <si>
    <t>DWS-3212</t>
  </si>
  <si>
    <t>Plastic Container Clear,05AH12WT(300 Each)</t>
  </si>
  <si>
    <t>DWS-4127</t>
  </si>
  <si>
    <t>Plastic Container Clear,05AH16T(300 Each)</t>
  </si>
  <si>
    <t>DWS-4129</t>
  </si>
  <si>
    <t>Plastic Container OPS 207(500pcs)</t>
  </si>
  <si>
    <t>DWS-1455</t>
  </si>
  <si>
    <t>Plastic Container White (PP16DEF) W/Lid 1x300</t>
  </si>
  <si>
    <t>DWS-5095</t>
  </si>
  <si>
    <t>Plastic Container White (PP24DEF) W/Lid 1x300</t>
  </si>
  <si>
    <t>DWS-5096</t>
  </si>
  <si>
    <t>Plastic Container,1 Comp,Black(K-8000) W/Lid</t>
  </si>
  <si>
    <t>DWS-4231</t>
  </si>
  <si>
    <t>Plastic Container,1 Comp,White(K-8000)</t>
  </si>
  <si>
    <t>DWS-5100</t>
  </si>
  <si>
    <t>Plastic Container,2 Comp,Black(K-8010) W/Lid</t>
  </si>
  <si>
    <t>DWS-4086</t>
  </si>
  <si>
    <t>Plastic Container,2 Comp,Black(K-9010) W/lid</t>
  </si>
  <si>
    <t>DWS-3698</t>
  </si>
  <si>
    <t>Plastic Container,2 Comp,White(K-8010) W/Lid</t>
  </si>
  <si>
    <t>DWS-5101</t>
  </si>
  <si>
    <t>Plastic Container,2 Comp,White(K-9010) W/lid 1x250</t>
  </si>
  <si>
    <t>DWS-5097</t>
  </si>
  <si>
    <t>Plastic Container,3Comp,Black(K-8020) W/Lid</t>
  </si>
  <si>
    <t>DWS-4437</t>
  </si>
  <si>
    <t>Plastic Medium sauce Cup W/Lid 100ml MC100</t>
  </si>
  <si>
    <t>DWS-3893</t>
  </si>
  <si>
    <t>Plastic Sauce Container 02oz With Lids (2000)</t>
  </si>
  <si>
    <t>DWS-1639</t>
  </si>
  <si>
    <t>Plastic Sauce Container,1 Oz W/Lids(2000)</t>
  </si>
  <si>
    <t>DWS-4236</t>
  </si>
  <si>
    <t>Sticker Diet World Breakfast (New)</t>
  </si>
  <si>
    <t>DWS-1707</t>
  </si>
  <si>
    <t>Sticker Diet World Main Courses (New)</t>
  </si>
  <si>
    <t>DWS-4261</t>
  </si>
  <si>
    <t>Sticker Diet World Soup (New)</t>
  </si>
  <si>
    <t>DWS-1712</t>
  </si>
  <si>
    <t>Tap Water-cooking</t>
  </si>
  <si>
    <t>DRS1-3880</t>
  </si>
  <si>
    <t>DRS6-3593</t>
  </si>
  <si>
    <t>Tap Water-Cooking</t>
  </si>
  <si>
    <t>Spices Cinnamon Sticks</t>
  </si>
  <si>
    <t>Spices Bay Leaves</t>
  </si>
  <si>
    <t>Spice Nutmeg Powder</t>
  </si>
  <si>
    <t>Beef vegetable qursan</t>
  </si>
  <si>
    <t>chicken mandi with dokus sause</t>
  </si>
  <si>
    <t>Vegetable lasagna</t>
  </si>
  <si>
    <t>Russian meat ball with white rice</t>
  </si>
  <si>
    <t>Thai shrimp curry with white rice</t>
  </si>
  <si>
    <t>Jelly</t>
  </si>
  <si>
    <t>Muffin Blueberry</t>
  </si>
  <si>
    <t>Lemon English Cake</t>
  </si>
  <si>
    <t>Mexican Salad</t>
  </si>
  <si>
    <t>English Cake</t>
  </si>
  <si>
    <t>RCP-SMC-000091</t>
  </si>
  <si>
    <t>RCP-SMC-000092</t>
  </si>
  <si>
    <t>RCP-SMC-000093</t>
  </si>
  <si>
    <t>RCP-SMC-000094</t>
  </si>
  <si>
    <t>RCP-SMC-000095</t>
  </si>
  <si>
    <t>crème of corn soup</t>
  </si>
  <si>
    <t>RCP-SMC-000096</t>
  </si>
  <si>
    <t>RCP-SMC-000097</t>
  </si>
  <si>
    <t>RCP-SMC-000098</t>
  </si>
  <si>
    <t>RCP-SMC-000099</t>
  </si>
  <si>
    <t>RCP-SMC-000100</t>
  </si>
  <si>
    <t>RCP-SMC-000101</t>
  </si>
  <si>
    <t>RCP-SMC-000102</t>
  </si>
  <si>
    <t>Sunday</t>
  </si>
  <si>
    <t xml:space="preserve">Salt </t>
  </si>
  <si>
    <t>Fozen</t>
  </si>
  <si>
    <t>TAP-00001</t>
  </si>
  <si>
    <t>DRS6-290</t>
  </si>
  <si>
    <t>Dry Basil</t>
  </si>
  <si>
    <t>DRS6-1781</t>
  </si>
  <si>
    <t>DRS6-261</t>
  </si>
  <si>
    <t>Days</t>
  </si>
  <si>
    <t>kebbeh labnieh with vermicelli rice</t>
  </si>
  <si>
    <t>Beef Picadillo W Soft Rice</t>
  </si>
  <si>
    <t>Low sodium Chicken Breast -Okra</t>
  </si>
  <si>
    <t>ML</t>
  </si>
  <si>
    <t>Chicken Mushroom, Basil alfredo</t>
  </si>
  <si>
    <t>Chicken Biryani</t>
  </si>
  <si>
    <t>RCP-SMC-00003</t>
  </si>
  <si>
    <t>Monday</t>
  </si>
  <si>
    <t>Fish harrah with Saffron Rice</t>
  </si>
  <si>
    <t xml:space="preserve">Spice Osfur </t>
  </si>
  <si>
    <t xml:space="preserve">Fish Stock Powder </t>
  </si>
  <si>
    <t>Halloumi Panini pesto sandwich</t>
  </si>
  <si>
    <t>Cheese Halloumi</t>
  </si>
  <si>
    <t>Low Sodium Chicken Breast - Vegetables</t>
  </si>
  <si>
    <t>Koshari with crispy onion spicy tomato</t>
  </si>
  <si>
    <t>Veal with Red Burgul lebanese Style</t>
  </si>
  <si>
    <t>Kofta with potato,egyplant</t>
  </si>
  <si>
    <t>Chicken Afritada w Soft Rice</t>
  </si>
  <si>
    <t>RCP-SMC-000010</t>
  </si>
  <si>
    <t>RCP-SMC-000011</t>
  </si>
  <si>
    <t>RCP-SMC-000012</t>
  </si>
  <si>
    <t>RCP-SMC-000013</t>
  </si>
  <si>
    <t>RCP-SMC-000014</t>
  </si>
  <si>
    <t>RCP-SMC-000015</t>
  </si>
  <si>
    <t>RCP-SMC-000016</t>
  </si>
  <si>
    <t>RCP-SMC-000017</t>
  </si>
  <si>
    <t>Tuesday</t>
  </si>
  <si>
    <t>RCP-SMC-000018</t>
  </si>
  <si>
    <t>Beef Burger</t>
  </si>
  <si>
    <t xml:space="preserve">Frz Potato Wedges </t>
  </si>
  <si>
    <t>Chicken sweet and sour</t>
  </si>
  <si>
    <t>Fish Sayadiah with Brown Rice &amp; Tahina Sauce</t>
  </si>
  <si>
    <t>chicken shishtawook with sautee</t>
  </si>
  <si>
    <t>Low sodium,vegeterian edam potato,marrow</t>
  </si>
  <si>
    <t>Steak Mushroom Sauce, Gratin Potato &amp; Vegetables</t>
  </si>
  <si>
    <t xml:space="preserve">Vegetables Curry With White Rice </t>
  </si>
  <si>
    <t xml:space="preserve">Stir Fried Beef With Vegetables &amp; Soft Rice </t>
  </si>
  <si>
    <t>RCP-SMC-000019</t>
  </si>
  <si>
    <t>RCP-SMC-000020</t>
  </si>
  <si>
    <t>RCP-SMC-000021</t>
  </si>
  <si>
    <t>RCP-SMC-000022</t>
  </si>
  <si>
    <t>RCP-SMC-000023</t>
  </si>
  <si>
    <t>RCP-SMC-000024</t>
  </si>
  <si>
    <t>RCP-SMC-000025</t>
  </si>
  <si>
    <t>RCP-SMC-000026</t>
  </si>
  <si>
    <t>Wednesday</t>
  </si>
  <si>
    <t>Daoud basha vermicelli rice</t>
  </si>
  <si>
    <t>Veal stew with vegetable</t>
  </si>
  <si>
    <t>Chicken Tinola w Pappaya &amp; Chili LeavesWith Soft Rice</t>
  </si>
  <si>
    <t>Fresh Chili Red</t>
  </si>
  <si>
    <t>Chicken Vegetables Noodles</t>
  </si>
  <si>
    <t>Low sodium,low seasoning Chicken Okra</t>
  </si>
  <si>
    <t xml:space="preserve">Turkey With Cheese Sandwich </t>
  </si>
  <si>
    <t>Herb lemon fish with potato</t>
  </si>
  <si>
    <t>Chicken Stroganoff with mashed potato</t>
  </si>
  <si>
    <t>Mixed Vegetables</t>
  </si>
  <si>
    <t>RCP-SMC-000027</t>
  </si>
  <si>
    <t>RCP-SMC-000028</t>
  </si>
  <si>
    <t>RCP-SMC-000029</t>
  </si>
  <si>
    <t>RCP-SMC-000030</t>
  </si>
  <si>
    <t>RCP-SMC-000031</t>
  </si>
  <si>
    <t>RCP-SMC-000032</t>
  </si>
  <si>
    <t>RCP-SMC-000033</t>
  </si>
  <si>
    <t>RCP-SMC-000034</t>
  </si>
  <si>
    <t>RCP-SMC-000035</t>
  </si>
  <si>
    <t>RCP-SMC-000036</t>
  </si>
  <si>
    <t>Thursday</t>
  </si>
  <si>
    <t>Fish sweet and sour</t>
  </si>
  <si>
    <t>Beef kaldereta with soft rice</t>
  </si>
  <si>
    <t>Meat Mandi with tahina sauce</t>
  </si>
  <si>
    <t>Greek meat moussaka with vermicelli rice</t>
  </si>
  <si>
    <t>Chicken ball with rose sause</t>
  </si>
  <si>
    <t>Koshari  Crispy Onion &amp; Tomato Sauce</t>
  </si>
  <si>
    <t>Chicken supreme with pasta</t>
  </si>
  <si>
    <t>Chicken strangof with mashed potato</t>
  </si>
  <si>
    <t>RCP-SMC-000037</t>
  </si>
  <si>
    <t>RCP-SMC-000038</t>
  </si>
  <si>
    <t>RCP-SMC-000039</t>
  </si>
  <si>
    <t>RCP-SMC-000040</t>
  </si>
  <si>
    <t>RCP-SMC-000041</t>
  </si>
  <si>
    <t>RCP-SMC-000042</t>
  </si>
  <si>
    <t>RCP-SMC-000043</t>
  </si>
  <si>
    <t>RCP-SMC-000044</t>
  </si>
  <si>
    <t>Grilled Chicken Gravy Sauce and white Rice</t>
  </si>
  <si>
    <t>Tex Mex Chicken wrap w potato</t>
  </si>
  <si>
    <t>kabab Halabi</t>
  </si>
  <si>
    <t>Greek Paked Fish,Spinach Rice</t>
  </si>
  <si>
    <t>Beef okra stew with vermicelli rice</t>
  </si>
  <si>
    <t>RCP-SMC-000045</t>
  </si>
  <si>
    <t>RCP-SMC-000046</t>
  </si>
  <si>
    <t>RCP-SMC-000047</t>
  </si>
  <si>
    <t>RCP-SMC-000048</t>
  </si>
  <si>
    <t>RCP-SMC-000049</t>
  </si>
  <si>
    <t>RCP-SMC-000050</t>
  </si>
  <si>
    <t>Friday</t>
  </si>
  <si>
    <t>Saturday</t>
  </si>
  <si>
    <t xml:space="preserve">Minted Meat Ball with Tomato Sause </t>
  </si>
  <si>
    <t xml:space="preserve">gram </t>
  </si>
  <si>
    <t>Beef Spagetti Bolognese</t>
  </si>
  <si>
    <t>Butter Chicken Sause</t>
  </si>
  <si>
    <t xml:space="preserve">Fresh Curry Leaves </t>
  </si>
  <si>
    <t>Chicken Burger with Potato</t>
  </si>
  <si>
    <t>Chicken Pasta with Crème Sauce</t>
  </si>
  <si>
    <t>Mushroom Steak Sandwich with Fries</t>
  </si>
  <si>
    <t>Soya Sauce with BBQ</t>
  </si>
  <si>
    <t>Beef Shawarma Wrap</t>
  </si>
  <si>
    <t>Mixed Vegetables Stew vegeterian with white rice</t>
  </si>
  <si>
    <t>Low Sodium Vegeterian Edam,Cut beans</t>
  </si>
  <si>
    <t>RCP-SMC-000051</t>
  </si>
  <si>
    <t>RCP-SMC-000052</t>
  </si>
  <si>
    <t>RCP-SMC-000053</t>
  </si>
  <si>
    <t>RCP-SMC-000054</t>
  </si>
  <si>
    <t>RCP-SMC-000055</t>
  </si>
  <si>
    <t>RCP-SMC-000056</t>
  </si>
  <si>
    <t>RCP-SMC-000057</t>
  </si>
  <si>
    <t>RCP-SMC-000058</t>
  </si>
  <si>
    <t>RCP-SMC-000059</t>
  </si>
  <si>
    <t>RCP-SMC-000060</t>
  </si>
  <si>
    <t>RCP-SMC-000061</t>
  </si>
  <si>
    <t>Daily Course</t>
  </si>
  <si>
    <t>White Jareesh &amp; Mash Vegetable</t>
  </si>
  <si>
    <t>Chicken Curry</t>
  </si>
  <si>
    <t>Creamy  Chick. Pasta  &amp; Mash vegetable</t>
  </si>
  <si>
    <t>Beef Curry</t>
  </si>
  <si>
    <t>Chicken Saleek with Mashed Potato</t>
  </si>
  <si>
    <t>Chicken &amp; Vegetables puree lunch</t>
  </si>
  <si>
    <t>Puree dinner beef and Veg</t>
  </si>
  <si>
    <t>Boiled Chicken and Vege Soft Rice</t>
  </si>
  <si>
    <t>Low Sodium Grill Vermcelly</t>
  </si>
  <si>
    <t>RCP-SMC-000062</t>
  </si>
  <si>
    <t>RCP-SMC-000063</t>
  </si>
  <si>
    <t>RCP-SMC-000064</t>
  </si>
  <si>
    <t>RCP-SMC-000065</t>
  </si>
  <si>
    <t>RCP-SMC-000066</t>
  </si>
  <si>
    <t>RCP-SMC-000067</t>
  </si>
  <si>
    <t>RCP-SMC-000068</t>
  </si>
  <si>
    <t>RCP-SMC-000069</t>
  </si>
  <si>
    <t>RCP-SMC-000070</t>
  </si>
  <si>
    <t>RCP-SMC-000071</t>
  </si>
  <si>
    <t>RCP-SMC-000072</t>
  </si>
  <si>
    <t>Mouhalabia</t>
  </si>
  <si>
    <t>Diabetic Mouhalabia</t>
  </si>
  <si>
    <t>Sugar Fruit</t>
  </si>
  <si>
    <t>Custard</t>
  </si>
  <si>
    <t>Fruit Slice</t>
  </si>
  <si>
    <t>VIP Fruit Slice</t>
  </si>
  <si>
    <t>Easy Muffin Mix Vanilla(10 KG)</t>
  </si>
  <si>
    <t>Can Blueberry Filling</t>
  </si>
  <si>
    <t>Daily</t>
  </si>
  <si>
    <t>Mon &amp; Fri</t>
  </si>
  <si>
    <t>Carrot Cinnamon Muffin</t>
  </si>
  <si>
    <t>English cake marble</t>
  </si>
  <si>
    <t>Wed &amp; Sat</t>
  </si>
  <si>
    <t>Vanilla Sweet of the day</t>
  </si>
  <si>
    <t>Chocolate  Sweet of the day</t>
  </si>
  <si>
    <t>RCP-SMC-000073</t>
  </si>
  <si>
    <t>RCP-SMC-000074</t>
  </si>
  <si>
    <t>RCP-SMC-000075</t>
  </si>
  <si>
    <t>RCP-SMC-000076</t>
  </si>
  <si>
    <t>RCP-SMC-000077</t>
  </si>
  <si>
    <t>RCP-SMC-000078</t>
  </si>
  <si>
    <t>RCP-SMC-000079</t>
  </si>
  <si>
    <t>RCP-SMC-000080</t>
  </si>
  <si>
    <t>RCP-SMC-000081</t>
  </si>
  <si>
    <t>RCP-SMC-000082</t>
  </si>
  <si>
    <t>RCP-SMC-000083</t>
  </si>
  <si>
    <t>RCP-SMC-000084</t>
  </si>
  <si>
    <t>RCP-SMC-000085</t>
  </si>
  <si>
    <t>Clear Chicken Soup</t>
  </si>
  <si>
    <t>Creme of mushroom(soup)</t>
  </si>
  <si>
    <t>beef oats soup with tomato</t>
  </si>
  <si>
    <t>Beef Oats Soup with Tomato</t>
  </si>
  <si>
    <t>Portion Size</t>
  </si>
  <si>
    <t>200 ML</t>
  </si>
  <si>
    <t>Strained Creme of mushroom(soup)</t>
  </si>
  <si>
    <t>200ML</t>
  </si>
  <si>
    <t>Crème of corn soup</t>
  </si>
  <si>
    <t>Chicken Orzo Pasta Vegetable</t>
  </si>
  <si>
    <t>Strained creme of corn soup</t>
  </si>
  <si>
    <t xml:space="preserve"> crème of potato with Pumkin</t>
  </si>
  <si>
    <t>lentil Soup</t>
  </si>
  <si>
    <t>Chicken Potato white Soup</t>
  </si>
  <si>
    <t>Creamy Green Peas soup</t>
  </si>
  <si>
    <t>Frz Green Peas</t>
  </si>
  <si>
    <t>Rice Chicken lemon soup</t>
  </si>
  <si>
    <t>Tomato Oats soup with vegetable</t>
  </si>
  <si>
    <t>Strained chicken crème soup</t>
  </si>
  <si>
    <t>creme of potato with Pumkin</t>
  </si>
  <si>
    <t>Beef Vermicelli Rice soup</t>
  </si>
  <si>
    <t>lentil vegetable soup</t>
  </si>
  <si>
    <t>Dry Lentil Yellow</t>
  </si>
  <si>
    <t>Strained Crème Mushroom Soup</t>
  </si>
  <si>
    <t>Wed &amp; Thu</t>
  </si>
  <si>
    <t xml:space="preserve">Strained Creme Corn </t>
  </si>
  <si>
    <t>Red Lentil soup</t>
  </si>
  <si>
    <t>Cream of  Vegetables  soup</t>
  </si>
  <si>
    <t>Beef minesterone soup</t>
  </si>
  <si>
    <t>Chicken Minsterone soup</t>
  </si>
  <si>
    <t>Turkish lentil soup</t>
  </si>
  <si>
    <t>Strained Cream Of Chicken soup</t>
  </si>
  <si>
    <t>Creamy Of Chicken soup</t>
  </si>
  <si>
    <t>RCP-SMC-000086</t>
  </si>
  <si>
    <t>RCP-SMC-000087</t>
  </si>
  <si>
    <t>RCP-SMC-000088</t>
  </si>
  <si>
    <t>RCP-SMC-000089</t>
  </si>
  <si>
    <t>RCP-SMC-000090</t>
  </si>
  <si>
    <t>RCP-SMC-000103</t>
  </si>
  <si>
    <t>RCP-SMC-000104</t>
  </si>
  <si>
    <t>RCP-SMC-000105</t>
  </si>
  <si>
    <t>RCP-SMC-000106</t>
  </si>
  <si>
    <t>RCP-SMC-000107</t>
  </si>
  <si>
    <t>RCP-SMC-000108</t>
  </si>
  <si>
    <t>RCP-SMC-000109</t>
  </si>
  <si>
    <t>RCP-SMC-000110</t>
  </si>
  <si>
    <t>RCP-SMC-000111</t>
  </si>
  <si>
    <t>RCP-SMC-000112</t>
  </si>
  <si>
    <t>RCP-SMC-000113</t>
  </si>
  <si>
    <t>RCP-SMC-000114</t>
  </si>
  <si>
    <t>RCP-SMC-000115</t>
  </si>
  <si>
    <t>RCP-SMC-000116</t>
  </si>
  <si>
    <t>RCP-SMC-000117</t>
  </si>
  <si>
    <t>RCP-SMC-000118</t>
  </si>
  <si>
    <t>RCP-SMC-000119</t>
  </si>
  <si>
    <t>RCP-SMC-000120</t>
  </si>
  <si>
    <t>Croissant Cheese</t>
  </si>
  <si>
    <t>Breakfast</t>
  </si>
  <si>
    <t>Feta Cheese</t>
  </si>
  <si>
    <t>foul Medames</t>
  </si>
  <si>
    <t>labnah</t>
  </si>
  <si>
    <t>Boiled egg</t>
  </si>
  <si>
    <t>Oats Fruits pudding</t>
  </si>
  <si>
    <t>Bread Arabic Bag</t>
  </si>
  <si>
    <t>each</t>
  </si>
  <si>
    <t>Brown Arabic Bread For DM &amp; Cardic</t>
  </si>
  <si>
    <t>Sliced Vegetables</t>
  </si>
  <si>
    <t>Sets Tea &amp; Jam &amp; cheese</t>
  </si>
  <si>
    <t>Sets Tea &amp; Jam or honey  &amp; cheese</t>
  </si>
  <si>
    <t>Danish Pastry</t>
  </si>
  <si>
    <t>Sakshouka</t>
  </si>
  <si>
    <t>Oats Pudding - Soft Diet</t>
  </si>
  <si>
    <t>Foul Glaba</t>
  </si>
  <si>
    <t>Halawa Tahinia</t>
  </si>
  <si>
    <t>Halawa Plain</t>
  </si>
  <si>
    <t>Chicken Manakish</t>
  </si>
  <si>
    <t xml:space="preserve">Baked Egg </t>
  </si>
  <si>
    <t xml:space="preserve">Croissant Zaatar </t>
  </si>
  <si>
    <t>Pizza Margeritta</t>
  </si>
  <si>
    <t xml:space="preserve">Oats Porridge With Dried Mixed Fruit </t>
  </si>
  <si>
    <t>Sauce Caesar</t>
  </si>
  <si>
    <t>Herbs Cheese Sauce</t>
  </si>
  <si>
    <t>Lemon Sauce Mustard Dres</t>
  </si>
  <si>
    <t>Molasses Dressing</t>
  </si>
  <si>
    <t>Tabouleh Lemon Sauce</t>
  </si>
  <si>
    <t>Thousand Island Sauce</t>
  </si>
  <si>
    <t>Special Diet Salad For Soft Daily</t>
  </si>
  <si>
    <t>Lemon Mustard Oil</t>
  </si>
  <si>
    <t xml:space="preserve">Cucumber Yoghurt </t>
  </si>
  <si>
    <t>Beetroot Quinoa</t>
  </si>
  <si>
    <t>Fattouch Salad W molasses</t>
  </si>
  <si>
    <t xml:space="preserve">Molasses Dressing </t>
  </si>
  <si>
    <t>Beetroot Green Salad with Lemon Dressing</t>
  </si>
  <si>
    <t>Beetroot Quinoa Salad</t>
  </si>
  <si>
    <t xml:space="preserve">Thousand Island Dressing </t>
  </si>
  <si>
    <t>Chicken Caesar Salad</t>
  </si>
  <si>
    <t xml:space="preserve">Caesar Dressing </t>
  </si>
  <si>
    <t>Greek Salad With Lemon</t>
  </si>
  <si>
    <t>RCP-SMC-000121</t>
  </si>
  <si>
    <t>RCP-SMC-000122</t>
  </si>
  <si>
    <t>RCP-SMC-000123</t>
  </si>
  <si>
    <t>RCP-SMC-000124</t>
  </si>
  <si>
    <t>RCP-SMC-000125</t>
  </si>
  <si>
    <t>RCP-SMC-000126</t>
  </si>
  <si>
    <t>RCP-SMC-000127</t>
  </si>
  <si>
    <t>RCP-SMC-000128</t>
  </si>
  <si>
    <t>RCP-SMC-000129</t>
  </si>
  <si>
    <t>RCP-SMC-000130</t>
  </si>
  <si>
    <t>RCP-SMC-000131</t>
  </si>
  <si>
    <t>RCP-SMC-000132</t>
  </si>
  <si>
    <t>RCP-SMC-000133</t>
  </si>
  <si>
    <t>RCP-SMC-000134</t>
  </si>
  <si>
    <t>RCP-SMC-000135</t>
  </si>
  <si>
    <t>RCP-SMC-000136</t>
  </si>
  <si>
    <t>RCP-SMC-000137</t>
  </si>
  <si>
    <t>RCP-SMC-000138</t>
  </si>
  <si>
    <t>RCP-SMC-000139</t>
  </si>
  <si>
    <t>RCP-SMC-000140</t>
  </si>
  <si>
    <t>RCP-SMC-000141</t>
  </si>
  <si>
    <t>RCP-SMC-000142</t>
  </si>
  <si>
    <t>RCP-SMC-000143</t>
  </si>
  <si>
    <t>RCP-SMC-000144</t>
  </si>
  <si>
    <t>RCP-SMC-000145</t>
  </si>
  <si>
    <t>RCP-SMC-000146</t>
  </si>
  <si>
    <t>RCP-SMC-000147</t>
  </si>
  <si>
    <t>RCP-SMC-000148</t>
  </si>
  <si>
    <t>RCP-SMC-000149</t>
  </si>
  <si>
    <t>RCP-SMC-000150</t>
  </si>
  <si>
    <t>RCP-SMC-000151</t>
  </si>
  <si>
    <t>RCP-SMC-000152</t>
  </si>
  <si>
    <t>RCP-SMC-000153</t>
  </si>
  <si>
    <t>RCP-SMC-000154</t>
  </si>
  <si>
    <t>RCP-SMC-000155</t>
  </si>
  <si>
    <t>RCP-SMC-000156</t>
  </si>
  <si>
    <t>DRS1-3448</t>
  </si>
  <si>
    <t>SUB-00001</t>
  </si>
  <si>
    <t xml:space="preserve">Sub </t>
  </si>
  <si>
    <t>Sub</t>
  </si>
  <si>
    <t>SUB-00004</t>
  </si>
  <si>
    <t>SUB-0005</t>
  </si>
  <si>
    <t>DRS1-2067</t>
  </si>
  <si>
    <t>canned item</t>
  </si>
  <si>
    <t>DRS5-1625</t>
  </si>
  <si>
    <t>DRY1-1846</t>
  </si>
  <si>
    <t>DRY1-353</t>
  </si>
  <si>
    <t>DRS4-4907</t>
  </si>
  <si>
    <t>DRS1-4104</t>
  </si>
  <si>
    <t>PRD1-1358</t>
  </si>
  <si>
    <t>PRD1-1028</t>
  </si>
  <si>
    <t>PRD2-1166</t>
  </si>
  <si>
    <t>SUB-00003</t>
  </si>
  <si>
    <t>DRS1-1288</t>
  </si>
  <si>
    <t>DRS1-3612</t>
  </si>
  <si>
    <t>DRS6-1754</t>
  </si>
  <si>
    <t>DKG-1530</t>
  </si>
  <si>
    <t>Plastic Bag for tea bag</t>
  </si>
  <si>
    <t>Gourmet Sleeves</t>
  </si>
  <si>
    <t>PKG-5072</t>
  </si>
  <si>
    <t>Paper Sleeves with Gourmet Logo</t>
  </si>
  <si>
    <t>Sticker roll expiry</t>
  </si>
  <si>
    <t>As per Order</t>
  </si>
  <si>
    <t>Set Tea &amp; Jam Strawberry &amp;Chees</t>
  </si>
  <si>
    <t xml:space="preserve">Set Tea &amp; Honey &amp; cheese </t>
  </si>
  <si>
    <t>Low Sod. Grilled Fish W Rice</t>
  </si>
  <si>
    <t>Dinner</t>
  </si>
  <si>
    <t>Lunch</t>
  </si>
  <si>
    <t>Sunday &amp; Wed &amp; Thu</t>
  </si>
  <si>
    <t>Thursday &amp; Sunday</t>
  </si>
  <si>
    <t>Sauce</t>
  </si>
  <si>
    <t>Salad</t>
  </si>
  <si>
    <t>Soup</t>
  </si>
  <si>
    <t>Desert</t>
  </si>
  <si>
    <t>Grand Total</t>
  </si>
  <si>
    <t>(blank)</t>
  </si>
  <si>
    <t>RCP-SMC-000157</t>
  </si>
  <si>
    <t>Sum of Qty req per Batch (g/pcs)</t>
  </si>
  <si>
    <t>Sum of Food Cost per portion</t>
  </si>
  <si>
    <t>Max of No. of portions per batch</t>
  </si>
  <si>
    <t>📘 Master – Recipes-SMC</t>
  </si>
  <si>
    <t>▶  CONSOLIDATED INGREDIENT MASTER  —  SMC Recipes  ·  Main + Sub Recipes</t>
  </si>
  <si>
    <t>📘 Master – SMC-Recipes Ingredients</t>
  </si>
  <si>
    <t>Lunch &amp; Dinner</t>
  </si>
  <si>
    <t>Greek Baked Fish,Spinach Rice</t>
  </si>
  <si>
    <t>Order Type</t>
  </si>
  <si>
    <t>Extra</t>
  </si>
  <si>
    <t>With Salad</t>
  </si>
  <si>
    <t>BreakFast</t>
  </si>
  <si>
    <t>Cutlary Set</t>
  </si>
  <si>
    <t>Container main</t>
  </si>
  <si>
    <t>Vegtable container</t>
  </si>
  <si>
    <t>packet set</t>
  </si>
  <si>
    <t>Cup with Logo and lid</t>
  </si>
  <si>
    <t>Container Salad</t>
  </si>
  <si>
    <t>Container Dessert</t>
  </si>
  <si>
    <t>Container soup</t>
  </si>
  <si>
    <t>Container Dessert/Fruit</t>
  </si>
  <si>
    <t>Sleves</t>
  </si>
  <si>
    <t>Breakfast main order</t>
  </si>
  <si>
    <t>Side Vegitable</t>
  </si>
  <si>
    <t>Set Sugar,Tea.or Coffee</t>
  </si>
  <si>
    <t>Cup with lid</t>
  </si>
  <si>
    <t>Milk Cold</t>
  </si>
  <si>
    <t>Cutlaries set</t>
  </si>
  <si>
    <t>Cheese+ Honey or Jam portion</t>
  </si>
  <si>
    <t>Water bottle 330 ML</t>
  </si>
  <si>
    <t>Main course (Ckicken,Beef, Fish) or Pasta</t>
  </si>
  <si>
    <t>Fruit</t>
  </si>
  <si>
    <t>Juice or Laban or Yoghart</t>
  </si>
  <si>
    <t xml:space="preserve">Water </t>
  </si>
  <si>
    <t>Cutlaries</t>
  </si>
  <si>
    <t>Dessert</t>
  </si>
  <si>
    <t>Main course (Ckicken,Beef, Fish) or Sandwich or Vegitable</t>
  </si>
  <si>
    <t>Qty</t>
  </si>
  <si>
    <t>SMC Regular per Patient Serving</t>
  </si>
  <si>
    <t>Snacks</t>
  </si>
  <si>
    <t>English Cake or Muffin</t>
  </si>
  <si>
    <t>Tea Set or Coffee with cup and Lid</t>
  </si>
  <si>
    <t>Set Bread White or Brown for Diet Patient</t>
  </si>
  <si>
    <t>Items</t>
  </si>
  <si>
    <t>Container souce</t>
  </si>
  <si>
    <t>Cost/Each</t>
  </si>
  <si>
    <t>SMC-Packing Cost per Patient</t>
  </si>
  <si>
    <t>Total per Patient</t>
  </si>
  <si>
    <t>Variable Food Cost 10%</t>
  </si>
  <si>
    <t>Total Food Cost</t>
  </si>
  <si>
    <t xml:space="preserve">DIET TYPE </t>
  </si>
  <si>
    <t>BREAKFAST</t>
  </si>
  <si>
    <t xml:space="preserve">category </t>
  </si>
  <si>
    <t xml:space="preserve">Main Course Breakfast </t>
  </si>
  <si>
    <t>RD</t>
  </si>
  <si>
    <t>Croissant Cheese and Foul Meddames</t>
  </si>
  <si>
    <t xml:space="preserve">DM/ CARDIAC </t>
  </si>
  <si>
    <t>Foul and Labneh</t>
  </si>
  <si>
    <t xml:space="preserve">RENAL </t>
  </si>
  <si>
    <t>Labneh and Boiled Egg</t>
  </si>
  <si>
    <t>Boiled Egg 1 Pcs and Foul</t>
  </si>
  <si>
    <t>SD</t>
  </si>
  <si>
    <t xml:space="preserve">(Soft Diet) Fruits Pudding and Boiled egg </t>
  </si>
  <si>
    <t xml:space="preserve">Side Items Breakfast </t>
  </si>
  <si>
    <t xml:space="preserve">RD/ DM / CARDIAC </t>
  </si>
  <si>
    <t>Sliced Vegetables with Olives</t>
  </si>
  <si>
    <t xml:space="preserve">ALL DIETS </t>
  </si>
  <si>
    <t xml:space="preserve">TEA SET PACKET </t>
  </si>
  <si>
    <t xml:space="preserve">RD </t>
  </si>
  <si>
    <t>Danish Pastry and Shaksouka</t>
  </si>
  <si>
    <t>Boiled Egg and Foul</t>
  </si>
  <si>
    <t xml:space="preserve">(Soft Diet) Oats Pudding and Labneh </t>
  </si>
  <si>
    <t>Sliced Vegetabels with Olives</t>
  </si>
  <si>
    <t xml:space="preserve">Category </t>
  </si>
  <si>
    <t xml:space="preserve">Chicken Manakish  and Labneh </t>
  </si>
  <si>
    <t xml:space="preserve">Croissant Zaatar and Baked Egg </t>
  </si>
  <si>
    <t>Pizza Veggie Margherita and Foul Medmas</t>
  </si>
  <si>
    <t>Oats Porridge w/ Dried Mix Fruits  and Boiled Egg</t>
  </si>
  <si>
    <t>LUNCH</t>
  </si>
  <si>
    <t xml:space="preserve">Soup </t>
  </si>
  <si>
    <t xml:space="preserve">REGULAR DIET / DIABETIC DIET </t>
  </si>
  <si>
    <t>Turkish Red Lentil Soup</t>
  </si>
  <si>
    <t xml:space="preserve"> Cream of Chicken Soup </t>
  </si>
  <si>
    <t xml:space="preserve">CLEAR LIQUID DIET </t>
  </si>
  <si>
    <t xml:space="preserve">Clear Soup </t>
  </si>
  <si>
    <t xml:space="preserve">SOFT DIET </t>
  </si>
  <si>
    <t xml:space="preserve">Strained  Cream of Chicken Soup </t>
  </si>
  <si>
    <t xml:space="preserve">GREEK SALAD With Lemon Dressing </t>
  </si>
  <si>
    <t xml:space="preserve">SPECIAL DIET SALAD ( Lettuce, peeled cucumber and Shredded Carrots ) </t>
  </si>
  <si>
    <t>Main Course - Lunch</t>
  </si>
  <si>
    <t>Chicken Butter Sauce With White Rice</t>
  </si>
  <si>
    <t xml:space="preserve">Seafood Sayadeya with Tahina Sauce </t>
  </si>
  <si>
    <t>Beef Spaghetti Bolognese</t>
  </si>
  <si>
    <t>Daily Main Course - Lunch</t>
  </si>
  <si>
    <t>Chicken Curry with White Rice</t>
  </si>
  <si>
    <t xml:space="preserve">ANTI D DIET </t>
  </si>
  <si>
    <t xml:space="preserve"> Boiled Chicken with Soft Rice/ Boiled potato and Boiled Vegetables </t>
  </si>
  <si>
    <t xml:space="preserve">CARDIAC DIET </t>
  </si>
  <si>
    <t xml:space="preserve">low sodium low Seasoning Grilled Chicken Breast with white Rice, Sauteed Mixed Veggies &amp; Vegetarian Edam Cut Beans stew </t>
  </si>
  <si>
    <t xml:space="preserve">RENAL DIET </t>
  </si>
  <si>
    <t xml:space="preserve">low sodium low Seasoning Grilled Fish with White Rice &amp; Vegetable Sauté </t>
  </si>
  <si>
    <t xml:space="preserve">Chicken Kabssa With Dakkous Sauce </t>
  </si>
  <si>
    <t>Chicken Adobo W/ Potato and  Soft Rice</t>
  </si>
  <si>
    <t xml:space="preserve">Cream Chicken Pasta and Mashed Vegetables </t>
  </si>
  <si>
    <t xml:space="preserve">Soft Diet-  beef White Jareesh Healthy Style with Mashed Vegetables </t>
  </si>
  <si>
    <t xml:space="preserve">PUREE DIET </t>
  </si>
  <si>
    <t>Puree Lunch (Chicken and Vegetables)</t>
  </si>
  <si>
    <t>REGULAR DIET</t>
  </si>
  <si>
    <t xml:space="preserve">Seasonal Fresh Sliced Fruits </t>
  </si>
  <si>
    <t xml:space="preserve">Seasonal Fresh VIP Fruits </t>
  </si>
  <si>
    <t>Marble English Cake</t>
  </si>
  <si>
    <t>Sweet of The Day</t>
  </si>
  <si>
    <t>Regular Mohalabeya</t>
  </si>
  <si>
    <t xml:space="preserve">DIABETIC DIET </t>
  </si>
  <si>
    <t>Diabetic Mohalabeya</t>
  </si>
  <si>
    <t>Jello</t>
  </si>
  <si>
    <t>DINNER</t>
  </si>
  <si>
    <t xml:space="preserve">REGULAR DIET / DIABETIC DIET/ SOFT  </t>
  </si>
  <si>
    <t>Crème of Leeks &amp; Potato</t>
  </si>
  <si>
    <t>REGULAR DIET / DIABETIC DIET</t>
  </si>
  <si>
    <t>Chicken Ministrone Soup</t>
  </si>
  <si>
    <t xml:space="preserve">Cucumber Yogurt Salad </t>
  </si>
  <si>
    <t xml:space="preserve">Main Course - Dinner </t>
  </si>
  <si>
    <t>Soya Chicken with Young Corn &amp; BBQ Vegetables w/ white rice</t>
  </si>
  <si>
    <t>Minted Meat Balls with Tomato Sauce &amp; Turmeric Rice</t>
  </si>
  <si>
    <t xml:space="preserve">Chicken Burger with potato Wedges or Fries </t>
  </si>
  <si>
    <t xml:space="preserve">REGULAR DIET / DIABETIC DIET/ VEGETARIAN DIET  </t>
  </si>
  <si>
    <t xml:space="preserve">Mixed Vegetable Stew Vegetarian with White Rice </t>
  </si>
  <si>
    <t>Daily Main Course - Dinner</t>
  </si>
  <si>
    <t>Beef Curry with White Rice</t>
  </si>
  <si>
    <t xml:space="preserve">Boiled Chicken with Soft Rice/ Mashed potato </t>
  </si>
  <si>
    <t xml:space="preserve">low sodium low Seasoning Grilled Chicken Breast with Vermicelli Rice with Vegetable Sauté </t>
  </si>
  <si>
    <t xml:space="preserve">low sodium low Seasoning Grilled Fish with White Rice with Vegetable Sauté </t>
  </si>
  <si>
    <t xml:space="preserve">Soft Diet - Chicken Saleeg Healthy style WITH Mashed potato </t>
  </si>
  <si>
    <t xml:space="preserve">Puree Dinner ( Beef and Vegetable) </t>
  </si>
  <si>
    <t>Crème of Mushroom</t>
  </si>
  <si>
    <t xml:space="preserve">Beef Oats Soup </t>
  </si>
  <si>
    <t>Strained Cream of Mushroom Soup for Soft Diet Patients</t>
  </si>
  <si>
    <t xml:space="preserve">Beetroot Quinoa Salad </t>
  </si>
  <si>
    <t xml:space="preserve"> Chicken Mushroom , Basil Alfredo Sauce , Mashed Potato </t>
  </si>
  <si>
    <t>Thai Shrimp Curry With White Rice</t>
  </si>
  <si>
    <t xml:space="preserve">Kebbeh Labnieh with Vermicelli Rice </t>
  </si>
  <si>
    <t xml:space="preserve">Soft Diet - Boiled Chicken with Soft Rice/ Boiled potato and Boiled Vegetables </t>
  </si>
  <si>
    <t xml:space="preserve">low sodium low Seasoning Grilled Chicken Breast with white Rice with Vegetable Saute &amp; Side Vegetarian Edam Okra Stew </t>
  </si>
  <si>
    <t xml:space="preserve">low sodium low Seasoning Grilled Fish with White Rice with Vegetable Saute </t>
  </si>
  <si>
    <t>Beef Picadillo w/ Soft Rice</t>
  </si>
  <si>
    <t xml:space="preserve">Blueberry Muffins </t>
  </si>
  <si>
    <t>Reguler Mohalabeya</t>
  </si>
  <si>
    <t>Dibetic Mohalabeya</t>
  </si>
  <si>
    <t>Cream of Corn Soup</t>
  </si>
  <si>
    <t>Chicken &amp; Orzo Pasta Vegetable Soup</t>
  </si>
  <si>
    <t>Strained Cream of Corn Soup</t>
  </si>
  <si>
    <t xml:space="preserve">Chicken Biryani </t>
  </si>
  <si>
    <t xml:space="preserve">Russian Meat Ball with White Rice </t>
  </si>
  <si>
    <t xml:space="preserve">Mushroom Steak Sandwich With Fries or Potato Wedges </t>
  </si>
  <si>
    <t xml:space="preserve">(Veggie) Vegetables Lasagna </t>
  </si>
  <si>
    <t xml:space="preserve">low sodium low Seasoning Grilled Chicken Breast with Vermicelli Rice with Vegetable Saute </t>
  </si>
  <si>
    <t xml:space="preserve">REGULAR DIET / DIABETIC DIET / SOFT </t>
  </si>
  <si>
    <t>Crème of Potato with Pumpkin</t>
  </si>
  <si>
    <t>Lentil Soup</t>
  </si>
  <si>
    <t xml:space="preserve">Fattoush Salad  With Pomegranate Sauce </t>
  </si>
  <si>
    <t>Chicken Mandi with Dokus Sauce</t>
  </si>
  <si>
    <t xml:space="preserve">Fish Harrah with Saffron Rice </t>
  </si>
  <si>
    <t xml:space="preserve">Veal with Red Lebanese Style Burgul </t>
  </si>
  <si>
    <t xml:space="preserve">low sodium low Seasoning Grilled Chicken Breast with white Rice with Vegetable Saute &amp;  Vegetarian Edam Molokeya  with Potato </t>
  </si>
  <si>
    <t>Chicken Afritada w/ Soft Rice</t>
  </si>
  <si>
    <t>Vanilla English Cake</t>
  </si>
  <si>
    <t>Creamy Green pees soup</t>
  </si>
  <si>
    <t>Chicken potato white  Soup</t>
  </si>
  <si>
    <t xml:space="preserve">Chicken Maccaroni Bechamel with Tomato Sauce </t>
  </si>
  <si>
    <t>Kofta with Potato, Eggplant with White Rice</t>
  </si>
  <si>
    <t>Halloumi Panini Pesto Sandwich With Potato Chips Lays Al Forno</t>
  </si>
  <si>
    <t xml:space="preserve">( Veggie ) Koshari with Crispy Onion &amp; Tomato Sauce </t>
  </si>
  <si>
    <t>Rice Chicken Lemon Soup</t>
  </si>
  <si>
    <t>Tomato Oats soup with Vegetables</t>
  </si>
  <si>
    <t>Strained Crème of Chicken for Soft Diet Patients</t>
  </si>
  <si>
    <t>Beetroot Green Salad with with Lemon Dressing</t>
  </si>
  <si>
    <t xml:space="preserve"> Beef Lasagna </t>
  </si>
  <si>
    <t xml:space="preserve">Fish Sayadieh with Brown Rice And Tahina Sauce </t>
  </si>
  <si>
    <t>Sweet And Sour Chicken With White Rice</t>
  </si>
  <si>
    <t>low sodium low Seasoning Grilled Chicken Breast with white Rice with Vegetable Sauté &amp;  Vegetarian Edam Potato &amp; Marrow with Pumpkin &amp; Mint</t>
  </si>
  <si>
    <t xml:space="preserve">Stifry beef with vegetables and soft Rice </t>
  </si>
  <si>
    <t>Carrots &amp; Cinnamon Muffins</t>
  </si>
  <si>
    <t xml:space="preserve">Beef Vermicelli Rice soup </t>
  </si>
  <si>
    <t>Cucumber Yogurt</t>
  </si>
  <si>
    <t>Beef steak mushroom sauce and potatoes gratin and Vegetable</t>
  </si>
  <si>
    <t>Chicken Shish Tawook With Sautéed vegetables and White rice</t>
  </si>
  <si>
    <t xml:space="preserve">Beef Burger With Potato Wedges Or Fries </t>
  </si>
  <si>
    <t xml:space="preserve">Vegetable Curry with White Rice </t>
  </si>
  <si>
    <t xml:space="preserve">Lentil Vegetable Soup </t>
  </si>
  <si>
    <t>Strained Crème of Mushroom</t>
  </si>
  <si>
    <t>Daoud Basha Vermicelli Rice</t>
  </si>
  <si>
    <t>Herb Lemon Fish with Potato &amp; White Rice</t>
  </si>
  <si>
    <t xml:space="preserve">Chicken  Stroganoff with Mashed Potato </t>
  </si>
  <si>
    <t xml:space="preserve">low sodium low Seasoning Grilled Chicken Breast with white Rice with Vegetable Saute &amp;  Vegetarian Edam   Okra Stew with Tomato &amp; Coriendar </t>
  </si>
  <si>
    <t>Chicken Tinola w/ Papaya &amp; Chili Leaves Soft Rice</t>
  </si>
  <si>
    <t>Marable Sliced Cake</t>
  </si>
  <si>
    <t xml:space="preserve">Crème of Corn Soup </t>
  </si>
  <si>
    <t>Strained Cream of Corn Soup for Soft Diet Patients</t>
  </si>
  <si>
    <t xml:space="preserve">Veal stew with vegetables and Saffron Rice </t>
  </si>
  <si>
    <t xml:space="preserve">Chicken Noodles Canton </t>
  </si>
  <si>
    <t>Turkey with Cheese Sandwich W/ Potato Chips Lays Al Forno</t>
  </si>
  <si>
    <t xml:space="preserve">Red Lentil Soup </t>
  </si>
  <si>
    <t xml:space="preserve">Mexican Salad with Thousand Island Dressing </t>
  </si>
  <si>
    <t>Chicken Supreme with Pasta</t>
  </si>
  <si>
    <t>Fish Sweet and Sour with white Rice</t>
  </si>
  <si>
    <t xml:space="preserve">Meat Mandi with Tahina Sauce </t>
  </si>
  <si>
    <t xml:space="preserve">low sodium low Seasoning Grilled Chicken Breast with white Rice with Vegetable Saute &amp;  Vegetarian Edam  - Mixed Vegetables Stew with Tomato </t>
  </si>
  <si>
    <t>Beef Kaldereta w/ Soft Rice</t>
  </si>
  <si>
    <t>Lemon Sliced Cake</t>
  </si>
  <si>
    <t xml:space="preserve">Chicken Ball with Rose Sauce and White Rice </t>
  </si>
  <si>
    <t>Greek Meat Moussaka With Vermicelli Rice</t>
  </si>
  <si>
    <t>Chiken Fajita Sandwich W/ French Fries or Potato Wedges</t>
  </si>
  <si>
    <t xml:space="preserve">clear Soup </t>
  </si>
  <si>
    <t xml:space="preserve">Cream Of Vegetable Soup </t>
  </si>
  <si>
    <t>Caesar salad with Caesar dressing</t>
  </si>
  <si>
    <t xml:space="preserve">Greek Baked Fish &amp; Spinach Rice </t>
  </si>
  <si>
    <t xml:space="preserve">kebab halabi with White Rice </t>
  </si>
  <si>
    <t xml:space="preserve">low sodium low Seasoning Grilled Chicken Breast with white Rice with Vegetable Sauté &amp;  Vegetarian Edam Molokeya Puree with Potato </t>
  </si>
  <si>
    <t>Minestrone Soup</t>
  </si>
  <si>
    <t xml:space="preserve">Grilled Chicken gravy with Potato and white Rice </t>
  </si>
  <si>
    <t>Beef Okra Stew with Vermicelli Rice</t>
  </si>
  <si>
    <t>Tex Mex chicken wrap W/ Potato Chips Lays Al Forno</t>
  </si>
  <si>
    <t>BREAKFAST &amp; LUNCH &amp; DINNER INPATIENTS MENU 2026</t>
  </si>
  <si>
    <t>Scope 80 Grm</t>
  </si>
  <si>
    <t>Average cooking Weight per in-Patient</t>
  </si>
  <si>
    <t xml:space="preserve">SMC Meal In-Patient Meals Averages  Cooking Weight </t>
  </si>
  <si>
    <t>Regular IN- Patient  Meal weight in Gram</t>
  </si>
  <si>
    <t xml:space="preserve">Items </t>
  </si>
  <si>
    <t>Mininum Grams</t>
  </si>
  <si>
    <t>Maximum Grams</t>
  </si>
  <si>
    <t>Protein</t>
  </si>
  <si>
    <t>Gravy/Sauce</t>
  </si>
  <si>
    <t>Carb</t>
  </si>
  <si>
    <t xml:space="preserve"> Total Weight </t>
  </si>
  <si>
    <t xml:space="preserve">Catergory Diet  In Patient Meal weight in Gram As Per Dr. Requested </t>
  </si>
  <si>
    <t xml:space="preserve">Carbs &amp; Vegetables </t>
  </si>
  <si>
    <t>Sandwich</t>
  </si>
  <si>
    <t xml:space="preserve"> Averages Gram</t>
  </si>
  <si>
    <t>50 to 60</t>
  </si>
  <si>
    <t xml:space="preserve">Carb (potato French Fries or Wedge) </t>
  </si>
  <si>
    <t xml:space="preserve"> Or 30 Potato Chips Bakes </t>
  </si>
  <si>
    <t>Bread</t>
  </si>
  <si>
    <t>depend Of The Type Of Bread</t>
  </si>
  <si>
    <t xml:space="preserve">Bread </t>
  </si>
  <si>
    <t>Tortilla bread 30 cm-----50 Gram</t>
  </si>
  <si>
    <t>Panini Bread-----90 to 120 Gram</t>
  </si>
  <si>
    <t>Soft Bread----50 Gram</t>
  </si>
  <si>
    <t>Mini Weight ML</t>
  </si>
  <si>
    <t>Max Weight ML</t>
  </si>
  <si>
    <t>Cucumber Yoghurt</t>
  </si>
  <si>
    <t>Foul</t>
  </si>
  <si>
    <t>Gram</t>
  </si>
  <si>
    <t xml:space="preserve">Labaneh </t>
  </si>
  <si>
    <t xml:space="preserve">Scope 80 Gram </t>
  </si>
  <si>
    <t xml:space="preserve">Halawa Tahinia </t>
  </si>
  <si>
    <t xml:space="preserve">Eggs all Types </t>
  </si>
  <si>
    <t>2 Pcs per Patient</t>
  </si>
  <si>
    <t xml:space="preserve">Slice Cheese  or  Cheese Triangle one Kinds </t>
  </si>
  <si>
    <t>Foul Gulaba and Halwa Tahiniah (60 Gram)</t>
  </si>
  <si>
    <t>Minimum</t>
  </si>
  <si>
    <t>Maximum</t>
  </si>
  <si>
    <t>Food Cost</t>
  </si>
  <si>
    <t>Avg.Food Cost</t>
  </si>
  <si>
    <t>Packing</t>
  </si>
  <si>
    <t>Packing Cost</t>
  </si>
  <si>
    <t>Labour Cost</t>
  </si>
  <si>
    <t>Total Cost Per Patient</t>
  </si>
  <si>
    <t>assumed</t>
  </si>
  <si>
    <t>Average Food Cost per patient</t>
  </si>
  <si>
    <t>Recipe Code</t>
  </si>
  <si>
    <t xml:space="preserve">Seafood/Fish Sayadeya with Tahina Sauce </t>
  </si>
  <si>
    <t>Beef Steak Mushroom Sauce, Gratin Potato &amp; Vegetables</t>
  </si>
  <si>
    <t xml:space="preserve">Low Sodium Grill chicken with Vermicelli Rice </t>
  </si>
  <si>
    <t>RCP-SMC-000158</t>
  </si>
  <si>
    <t>RCP-SMC-000159</t>
  </si>
  <si>
    <t>RCP-SMC-000160</t>
  </si>
  <si>
    <t>RCP-SMC-000161</t>
  </si>
  <si>
    <t>RCP-SMC-000162</t>
  </si>
  <si>
    <t>RCP-SMC-000163</t>
  </si>
  <si>
    <t>RCP-SMC-000164</t>
  </si>
  <si>
    <t>RCP-SMC-000165</t>
  </si>
  <si>
    <t>RCP-SMC-000166</t>
  </si>
  <si>
    <t>RCP-SMC-000167</t>
  </si>
  <si>
    <t>RCP-SMC-000168</t>
  </si>
  <si>
    <t>RCP-SMC-000169</t>
  </si>
  <si>
    <t>SMC Inpatient Menu</t>
  </si>
  <si>
    <t>Gross Qty req Batch</t>
  </si>
  <si>
    <t>Yield %</t>
  </si>
  <si>
    <t xml:space="preserve">Labour Cost </t>
  </si>
  <si>
    <t>Other veriables cost</t>
  </si>
  <si>
    <t>LC,PC,DC,OVC % are only Assumed</t>
  </si>
  <si>
    <t>Section</t>
  </si>
  <si>
    <t>Cold Section</t>
  </si>
  <si>
    <t>Buchery Section</t>
  </si>
  <si>
    <t>Hot Section</t>
  </si>
  <si>
    <t>Pastry/Bakery section</t>
  </si>
  <si>
    <t>Butchery Section</t>
  </si>
  <si>
    <t>Meal Order</t>
  </si>
  <si>
    <t>NET Qty req per portion</t>
  </si>
  <si>
    <t>GROSS Qty req per 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</si>
</sst>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000"/>
    <numFmt numFmtId="165" formatCode="_(* #,##0.0000_);_(* \(#,##0.0000\);_(* &quot;-&quot;??_);_(@_)"/>
    <numFmt numFmtId="166" formatCode="_(* #,##0.0_);_(* \(#,##0.0\);_(* &quot;-&quot;??_);_(@_)"/>
    <numFmt numFmtId="167" formatCode="_(* #,##0_);_(* \(#,##0\);_(* &quot;-&quot;??_);_(@_)"/>
    <numFmt numFmtId="168" formatCode="0.0000"/>
    <numFmt numFmtId="169" formatCode="_(* #,##0.000_);_(* \(#,##0.000\);_(* &quot;-&quot;??_);_(@_)"/>
  </numFmts>
  <fonts count="6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9"/>
      <color rgb="FFFFFFFF"/>
      <name val="Calibri"/>
      <family val="2"/>
      <charset val="1"/>
    </font>
    <font>
      <i/>
      <sz val="11"/>
      <color rgb="FF666666"/>
      <name val="Calibri"/>
      <family val="2"/>
    </font>
    <font>
      <b/>
      <sz val="16"/>
      <color rgb="FFFFFFFF"/>
      <name val="Calibri"/>
      <family val="2"/>
    </font>
    <font>
      <sz val="11"/>
      <color theme="1"/>
      <name val="Aptos Light"/>
      <family val="2"/>
    </font>
    <font>
      <b/>
      <sz val="24"/>
      <color rgb="FFC00000"/>
      <name val="Aptos Light"/>
      <family val="2"/>
    </font>
    <font>
      <b/>
      <sz val="11"/>
      <color rgb="FFC00000"/>
      <name val="Aptos Light"/>
      <family val="2"/>
    </font>
    <font>
      <sz val="11"/>
      <name val="Aptos Light"/>
      <family val="2"/>
    </font>
    <font>
      <sz val="11"/>
      <color rgb="FF000000"/>
      <name val="Aptos Light"/>
      <family val="2"/>
    </font>
    <font>
      <b/>
      <sz val="16"/>
      <color theme="0"/>
      <name val="Calibri"/>
      <family val="2"/>
    </font>
    <font>
      <sz val="11"/>
      <color theme="0"/>
      <name val="Calibri"/>
      <family val="2"/>
    </font>
    <font>
      <i/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9"/>
      <color theme="0"/>
      <name val="Calibri"/>
      <family val="2"/>
    </font>
    <font>
      <sz val="11"/>
      <color rgb="FFFF0000"/>
      <name val="Calibri"/>
      <family val="2"/>
      <charset val="1"/>
    </font>
    <font>
      <sz val="9"/>
      <color theme="1"/>
      <name val="Arial"/>
      <family val="2"/>
    </font>
    <font>
      <sz val="9"/>
      <color rgb="FFFF0000"/>
      <name val="Arial"/>
      <family val="2"/>
    </font>
    <font>
      <sz val="8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charset val="1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name val="Calibri"/>
      <family val="2"/>
    </font>
    <font>
      <sz val="8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24"/>
      <color rgb="FF00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000000"/>
      <name val="Calibri"/>
      <family val="2"/>
    </font>
    <font>
      <sz val="14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26"/>
      <name val="Calibri"/>
      <family val="2"/>
      <scheme val="minor"/>
    </font>
    <font>
      <b/>
      <i/>
      <sz val="22"/>
      <name val="Calibri"/>
      <family val="2"/>
      <scheme val="minor"/>
    </font>
    <font>
      <sz val="9"/>
      <color theme="1"/>
      <name val="Calibri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0D2137"/>
        <bgColor rgb="FF333333"/>
      </patternFill>
    </fill>
    <fill>
      <patternFill patternType="solid">
        <fgColor rgb="FF1F4E78"/>
      </patternFill>
    </fill>
    <fill>
      <patternFill patternType="solid">
        <fgColor rgb="FF1B4F8A"/>
        <bgColor rgb="FF1A6E6A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</patternFill>
    </fill>
    <fill>
      <patternFill patternType="solid">
        <fgColor theme="2"/>
        <bgColor rgb="FFFFFF99"/>
      </patternFill>
    </fill>
    <fill>
      <patternFill patternType="solid">
        <fgColor rgb="FF92D050"/>
        <bgColor rgb="FFFAF9B3"/>
      </patternFill>
    </fill>
    <fill>
      <patternFill patternType="solid">
        <fgColor theme="4" tint="0.59999389629810485"/>
        <bgColor rgb="FFFAF9B3"/>
      </patternFill>
    </fill>
    <fill>
      <patternFill patternType="solid">
        <fgColor rgb="FFFFFF00"/>
        <bgColor rgb="FFFAF9B3"/>
      </patternFill>
    </fill>
    <fill>
      <patternFill patternType="solid">
        <fgColor theme="0" tint="-4.9989318521683403E-2"/>
        <bgColor rgb="FFFFFF99"/>
      </patternFill>
    </fill>
    <fill>
      <patternFill patternType="solid">
        <fgColor theme="3" tint="0.59999389629810485"/>
        <bgColor rgb="FFFAF9B3"/>
      </patternFill>
    </fill>
    <fill>
      <patternFill patternType="solid">
        <fgColor rgb="FFD5B8EA"/>
        <bgColor rgb="FFFAF9B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rgb="FFFAF9B3"/>
      </patternFill>
    </fill>
    <fill>
      <patternFill patternType="solid">
        <fgColor theme="7" tint="-0.249977111117893"/>
        <bgColor rgb="FFFFFF99"/>
      </patternFill>
    </fill>
    <fill>
      <patternFill patternType="solid">
        <fgColor rgb="FF00B0F0"/>
        <bgColor rgb="FFC0C0C0"/>
      </patternFill>
    </fill>
    <fill>
      <patternFill patternType="solid">
        <fgColor theme="0"/>
        <bgColor rgb="FFFFFF0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rgb="FFFAF9B3"/>
      </patternFill>
    </fill>
  </fills>
  <borders count="37"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 style="medium">
        <color rgb="FF888888"/>
      </left>
      <right/>
      <top/>
      <bottom style="thin">
        <color rgb="FFBBBBBB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8" fillId="0" borderId="0"/>
    <xf numFmtId="0" fontId="8" fillId="0" borderId="0"/>
    <xf numFmtId="0" fontId="8" fillId="0" borderId="0"/>
    <xf numFmtId="43" fontId="8" fillId="0" borderId="0"/>
    <xf numFmtId="43" fontId="9" fillId="0" borderId="0"/>
    <xf numFmtId="0" fontId="38" fillId="0" borderId="0"/>
    <xf numFmtId="0" fontId="2" fillId="0" borderId="0"/>
    <xf numFmtId="0" fontId="2" fillId="0" borderId="0"/>
    <xf numFmtId="0" fontId="49" fillId="8" borderId="0" applyNumberFormat="0" applyBorder="0" applyAlignment="0" applyProtection="0"/>
  </cellStyleXfs>
  <cellXfs count="327">
    <xf numFmtId="0" fontId="0" fillId="0" borderId="0" xfId="0"/>
    <xf numFmtId="0" fontId="8" fillId="0" borderId="0" xfId="1"/>
    <xf numFmtId="0" fontId="11" fillId="0" borderId="0" xfId="1" applyFont="1"/>
    <xf numFmtId="0" fontId="13" fillId="5" borderId="0" xfId="3" applyFont="1" applyFill="1"/>
    <xf numFmtId="0" fontId="13" fillId="5" borderId="0" xfId="3" applyFont="1" applyFill="1" applyProtection="1">
      <protection locked="0"/>
    </xf>
    <xf numFmtId="0" fontId="15" fillId="5" borderId="5" xfId="3" applyFont="1" applyFill="1" applyBorder="1" applyAlignment="1">
      <alignment wrapText="1"/>
    </xf>
    <xf numFmtId="0" fontId="15" fillId="5" borderId="6" xfId="3" applyFont="1" applyFill="1" applyBorder="1" applyAlignment="1">
      <alignment wrapText="1"/>
    </xf>
    <xf numFmtId="164" fontId="15" fillId="5" borderId="6" xfId="3" applyNumberFormat="1" applyFont="1" applyFill="1" applyBorder="1" applyAlignment="1">
      <alignment wrapText="1"/>
    </xf>
    <xf numFmtId="0" fontId="15" fillId="5" borderId="7" xfId="3" applyFont="1" applyFill="1" applyBorder="1" applyAlignment="1">
      <alignment wrapText="1"/>
    </xf>
    <xf numFmtId="0" fontId="13" fillId="5" borderId="8" xfId="3" applyFont="1" applyFill="1" applyBorder="1" applyAlignment="1">
      <alignment wrapText="1"/>
    </xf>
    <xf numFmtId="0" fontId="13" fillId="5" borderId="9" xfId="3" applyFont="1" applyFill="1" applyBorder="1" applyAlignment="1">
      <alignment wrapText="1"/>
    </xf>
    <xf numFmtId="164" fontId="13" fillId="5" borderId="9" xfId="3" applyNumberFormat="1" applyFont="1" applyFill="1" applyBorder="1" applyAlignment="1">
      <alignment wrapText="1"/>
    </xf>
    <xf numFmtId="0" fontId="13" fillId="5" borderId="10" xfId="3" applyFont="1" applyFill="1" applyBorder="1" applyAlignment="1">
      <alignment wrapText="1"/>
    </xf>
    <xf numFmtId="0" fontId="13" fillId="5" borderId="11" xfId="3" applyFont="1" applyFill="1" applyBorder="1" applyAlignment="1">
      <alignment wrapText="1"/>
    </xf>
    <xf numFmtId="0" fontId="13" fillId="5" borderId="12" xfId="3" applyFont="1" applyFill="1" applyBorder="1" applyAlignment="1">
      <alignment wrapText="1"/>
    </xf>
    <xf numFmtId="164" fontId="13" fillId="5" borderId="12" xfId="3" applyNumberFormat="1" applyFont="1" applyFill="1" applyBorder="1" applyAlignment="1">
      <alignment wrapText="1"/>
    </xf>
    <xf numFmtId="0" fontId="13" fillId="5" borderId="13" xfId="3" applyFont="1" applyFill="1" applyBorder="1" applyAlignment="1">
      <alignment wrapText="1"/>
    </xf>
    <xf numFmtId="165" fontId="16" fillId="5" borderId="12" xfId="4" applyNumberFormat="1" applyFont="1" applyFill="1" applyBorder="1" applyAlignment="1">
      <alignment horizontal="center" vertical="center" wrapText="1"/>
    </xf>
    <xf numFmtId="0" fontId="13" fillId="5" borderId="12" xfId="3" applyFont="1" applyFill="1" applyBorder="1"/>
    <xf numFmtId="0" fontId="13" fillId="5" borderId="13" xfId="3" applyFont="1" applyFill="1" applyBorder="1"/>
    <xf numFmtId="0" fontId="16" fillId="5" borderId="11" xfId="3" applyFont="1" applyFill="1" applyBorder="1"/>
    <xf numFmtId="0" fontId="16" fillId="5" borderId="12" xfId="3" applyFont="1" applyFill="1" applyBorder="1"/>
    <xf numFmtId="0" fontId="17" fillId="5" borderId="11" xfId="3" applyFont="1" applyFill="1" applyBorder="1" applyAlignment="1">
      <alignment wrapText="1"/>
    </xf>
    <xf numFmtId="0" fontId="17" fillId="5" borderId="12" xfId="3" applyFont="1" applyFill="1" applyBorder="1" applyAlignment="1">
      <alignment wrapText="1"/>
    </xf>
    <xf numFmtId="0" fontId="16" fillId="5" borderId="12" xfId="3" applyFont="1" applyFill="1" applyBorder="1" applyAlignment="1">
      <alignment wrapText="1"/>
    </xf>
    <xf numFmtId="0" fontId="13" fillId="5" borderId="14" xfId="3" applyFont="1" applyFill="1" applyBorder="1" applyAlignment="1">
      <alignment wrapText="1"/>
    </xf>
    <xf numFmtId="0" fontId="13" fillId="5" borderId="15" xfId="3" applyFont="1" applyFill="1" applyBorder="1" applyAlignment="1">
      <alignment wrapText="1"/>
    </xf>
    <xf numFmtId="164" fontId="13" fillId="5" borderId="15" xfId="3" applyNumberFormat="1" applyFont="1" applyFill="1" applyBorder="1" applyAlignment="1">
      <alignment wrapText="1"/>
    </xf>
    <xf numFmtId="0" fontId="13" fillId="5" borderId="16" xfId="3" applyFont="1" applyFill="1" applyBorder="1"/>
    <xf numFmtId="0" fontId="13" fillId="5" borderId="0" xfId="3" applyFont="1" applyFill="1" applyAlignment="1">
      <alignment wrapText="1"/>
    </xf>
    <xf numFmtId="164" fontId="13" fillId="5" borderId="0" xfId="3" applyNumberFormat="1" applyFont="1" applyFill="1" applyAlignment="1">
      <alignment wrapText="1"/>
    </xf>
    <xf numFmtId="0" fontId="15" fillId="5" borderId="0" xfId="3" applyFont="1" applyFill="1" applyProtection="1">
      <protection locked="0"/>
    </xf>
    <xf numFmtId="164" fontId="13" fillId="5" borderId="0" xfId="3" applyNumberFormat="1" applyFont="1" applyFill="1" applyProtection="1">
      <protection locked="0"/>
    </xf>
    <xf numFmtId="0" fontId="7" fillId="0" borderId="0" xfId="2" applyFont="1"/>
    <xf numFmtId="0" fontId="12" fillId="3" borderId="0" xfId="1" applyFont="1" applyFill="1"/>
    <xf numFmtId="0" fontId="13" fillId="6" borderId="11" xfId="0" applyFont="1" applyFill="1" applyBorder="1" applyAlignment="1">
      <alignment wrapText="1"/>
    </xf>
    <xf numFmtId="0" fontId="18" fillId="3" borderId="0" xfId="2" applyFont="1" applyFill="1"/>
    <xf numFmtId="0" fontId="19" fillId="0" borderId="0" xfId="2" applyFont="1"/>
    <xf numFmtId="0" fontId="21" fillId="4" borderId="1" xfId="0" applyFont="1" applyFill="1" applyBorder="1" applyAlignment="1">
      <alignment vertical="center"/>
    </xf>
    <xf numFmtId="0" fontId="22" fillId="4" borderId="19" xfId="0" applyFont="1" applyFill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/>
    </xf>
    <xf numFmtId="0" fontId="24" fillId="0" borderId="18" xfId="0" applyFont="1" applyBorder="1" applyAlignment="1">
      <alignment horizontal="left" vertical="center"/>
    </xf>
    <xf numFmtId="0" fontId="13" fillId="5" borderId="11" xfId="0" applyFont="1" applyFill="1" applyBorder="1" applyAlignment="1">
      <alignment wrapText="1"/>
    </xf>
    <xf numFmtId="0" fontId="13" fillId="5" borderId="12" xfId="0" applyFont="1" applyFill="1" applyBorder="1" applyAlignment="1">
      <alignment wrapText="1"/>
    </xf>
    <xf numFmtId="164" fontId="13" fillId="5" borderId="12" xfId="0" applyNumberFormat="1" applyFont="1" applyFill="1" applyBorder="1" applyAlignment="1">
      <alignment wrapText="1"/>
    </xf>
    <xf numFmtId="0" fontId="13" fillId="5" borderId="13" xfId="0" applyFont="1" applyFill="1" applyBorder="1" applyAlignment="1">
      <alignment wrapText="1"/>
    </xf>
    <xf numFmtId="0" fontId="16" fillId="0" borderId="11" xfId="0" applyFont="1" applyBorder="1"/>
    <xf numFmtId="0" fontId="26" fillId="0" borderId="20" xfId="0" applyFont="1" applyBorder="1" applyAlignment="1">
      <alignment vertical="top" wrapText="1"/>
    </xf>
    <xf numFmtId="0" fontId="13" fillId="0" borderId="12" xfId="0" applyFont="1" applyBorder="1" applyAlignment="1">
      <alignment wrapText="1"/>
    </xf>
    <xf numFmtId="0" fontId="16" fillId="0" borderId="12" xfId="0" applyFont="1" applyBorder="1"/>
    <xf numFmtId="0" fontId="13" fillId="5" borderId="13" xfId="0" applyFont="1" applyFill="1" applyBorder="1"/>
    <xf numFmtId="0" fontId="16" fillId="5" borderId="11" xfId="0" applyFont="1" applyFill="1" applyBorder="1"/>
    <xf numFmtId="0" fontId="13" fillId="5" borderId="12" xfId="0" applyFont="1" applyFill="1" applyBorder="1"/>
    <xf numFmtId="0" fontId="18" fillId="3" borderId="0" xfId="2" applyFont="1" applyFill="1" applyAlignment="1">
      <alignment horizontal="left"/>
    </xf>
    <xf numFmtId="0" fontId="19" fillId="0" borderId="0" xfId="2" applyFont="1" applyAlignment="1">
      <alignment horizontal="left"/>
    </xf>
    <xf numFmtId="0" fontId="21" fillId="4" borderId="1" xfId="0" applyFont="1" applyFill="1" applyBorder="1" applyAlignment="1">
      <alignment horizontal="left" vertical="center"/>
    </xf>
    <xf numFmtId="0" fontId="24" fillId="0" borderId="18" xfId="3" applyFont="1" applyBorder="1" applyAlignment="1">
      <alignment horizontal="left" wrapText="1"/>
    </xf>
    <xf numFmtId="0" fontId="24" fillId="0" borderId="18" xfId="3" applyFont="1" applyBorder="1" applyAlignment="1">
      <alignment horizontal="left"/>
    </xf>
    <xf numFmtId="0" fontId="24" fillId="0" borderId="18" xfId="2" applyFont="1" applyBorder="1" applyAlignment="1">
      <alignment horizontal="left"/>
    </xf>
    <xf numFmtId="0" fontId="24" fillId="0" borderId="18" xfId="0" applyFont="1" applyBorder="1" applyAlignment="1" applyProtection="1">
      <alignment horizontal="left"/>
      <protection locked="0"/>
    </xf>
    <xf numFmtId="0" fontId="7" fillId="0" borderId="0" xfId="2" applyFont="1" applyAlignment="1">
      <alignment horizontal="left"/>
    </xf>
    <xf numFmtId="0" fontId="20" fillId="0" borderId="0" xfId="2" applyFont="1" applyAlignment="1">
      <alignment horizontal="left"/>
    </xf>
    <xf numFmtId="0" fontId="21" fillId="4" borderId="2" xfId="0" applyFont="1" applyFill="1" applyBorder="1" applyAlignment="1">
      <alignment horizontal="left" vertical="center"/>
    </xf>
    <xf numFmtId="0" fontId="19" fillId="0" borderId="0" xfId="2" applyFont="1" applyAlignment="1">
      <alignment horizontal="center"/>
    </xf>
    <xf numFmtId="0" fontId="27" fillId="0" borderId="18" xfId="0" applyFont="1" applyBorder="1" applyAlignment="1">
      <alignment horizontal="left" vertical="center"/>
    </xf>
    <xf numFmtId="0" fontId="27" fillId="0" borderId="18" xfId="0" applyFont="1" applyBorder="1" applyAlignment="1">
      <alignment horizontal="center" vertical="center"/>
    </xf>
    <xf numFmtId="0" fontId="29" fillId="0" borderId="0" xfId="2" applyFont="1"/>
    <xf numFmtId="0" fontId="10" fillId="2" borderId="19" xfId="0" applyFont="1" applyFill="1" applyBorder="1" applyAlignment="1">
      <alignment horizontal="center" vertical="center" wrapText="1"/>
    </xf>
    <xf numFmtId="0" fontId="25" fillId="0" borderId="18" xfId="0" applyFont="1" applyBorder="1" applyAlignment="1">
      <alignment horizontal="left" vertical="center"/>
    </xf>
    <xf numFmtId="0" fontId="27" fillId="0" borderId="0" xfId="1" applyFont="1" applyAlignment="1">
      <alignment horizontal="left"/>
    </xf>
    <xf numFmtId="0" fontId="13" fillId="5" borderId="21" xfId="3" applyFont="1" applyFill="1" applyBorder="1" applyAlignment="1">
      <alignment wrapText="1"/>
    </xf>
    <xf numFmtId="0" fontId="13" fillId="5" borderId="22" xfId="3" applyFont="1" applyFill="1" applyBorder="1" applyAlignment="1">
      <alignment wrapText="1"/>
    </xf>
    <xf numFmtId="164" fontId="13" fillId="5" borderId="22" xfId="3" applyNumberFormat="1" applyFont="1" applyFill="1" applyBorder="1" applyAlignment="1">
      <alignment wrapText="1"/>
    </xf>
    <xf numFmtId="0" fontId="13" fillId="5" borderId="23" xfId="3" applyFont="1" applyFill="1" applyBorder="1"/>
    <xf numFmtId="0" fontId="23" fillId="0" borderId="0" xfId="2" applyFont="1"/>
    <xf numFmtId="0" fontId="28" fillId="0" borderId="0" xfId="2" applyFont="1"/>
    <xf numFmtId="0" fontId="7" fillId="0" borderId="18" xfId="2" applyFont="1" applyBorder="1" applyAlignment="1">
      <alignment horizontal="left"/>
    </xf>
    <xf numFmtId="0" fontId="30" fillId="0" borderId="18" xfId="2" applyFont="1" applyBorder="1" applyAlignment="1">
      <alignment horizontal="left"/>
    </xf>
    <xf numFmtId="0" fontId="30" fillId="0" borderId="0" xfId="2" applyFont="1"/>
    <xf numFmtId="0" fontId="24" fillId="0" borderId="0" xfId="2" applyFont="1"/>
    <xf numFmtId="0" fontId="7" fillId="0" borderId="18" xfId="2" applyFont="1" applyBorder="1"/>
    <xf numFmtId="0" fontId="24" fillId="0" borderId="0" xfId="2" applyFont="1" applyAlignment="1">
      <alignment horizontal="left"/>
    </xf>
    <xf numFmtId="0" fontId="13" fillId="6" borderId="11" xfId="3" applyFont="1" applyFill="1" applyBorder="1" applyAlignment="1">
      <alignment wrapText="1"/>
    </xf>
    <xf numFmtId="0" fontId="13" fillId="6" borderId="12" xfId="3" applyFont="1" applyFill="1" applyBorder="1" applyAlignment="1">
      <alignment wrapText="1"/>
    </xf>
    <xf numFmtId="164" fontId="13" fillId="6" borderId="12" xfId="3" applyNumberFormat="1" applyFont="1" applyFill="1" applyBorder="1" applyAlignment="1">
      <alignment wrapText="1"/>
    </xf>
    <xf numFmtId="0" fontId="13" fillId="6" borderId="13" xfId="3" applyFont="1" applyFill="1" applyBorder="1"/>
    <xf numFmtId="0" fontId="13" fillId="6" borderId="0" xfId="3" applyFont="1" applyFill="1" applyProtection="1">
      <protection locked="0"/>
    </xf>
    <xf numFmtId="0" fontId="13" fillId="7" borderId="11" xfId="3" applyFont="1" applyFill="1" applyBorder="1" applyAlignment="1">
      <alignment wrapText="1"/>
    </xf>
    <xf numFmtId="164" fontId="13" fillId="7" borderId="12" xfId="3" applyNumberFormat="1" applyFont="1" applyFill="1" applyBorder="1" applyAlignment="1">
      <alignment wrapText="1"/>
    </xf>
    <xf numFmtId="0" fontId="6" fillId="0" borderId="18" xfId="2" applyFont="1" applyBorder="1" applyAlignment="1">
      <alignment horizontal="left"/>
    </xf>
    <xf numFmtId="0" fontId="29" fillId="0" borderId="18" xfId="2" applyFont="1" applyBorder="1" applyAlignment="1">
      <alignment horizontal="left"/>
    </xf>
    <xf numFmtId="0" fontId="29" fillId="0" borderId="18" xfId="2" applyFont="1" applyBorder="1"/>
    <xf numFmtId="0" fontId="27" fillId="0" borderId="18" xfId="3" applyFont="1" applyBorder="1" applyAlignment="1">
      <alignment horizontal="left" wrapText="1"/>
    </xf>
    <xf numFmtId="0" fontId="24" fillId="0" borderId="18" xfId="2" applyFont="1" applyBorder="1" applyAlignment="1">
      <alignment horizontal="center"/>
    </xf>
    <xf numFmtId="0" fontId="5" fillId="0" borderId="18" xfId="2" applyFont="1" applyBorder="1" applyAlignment="1">
      <alignment horizontal="left"/>
    </xf>
    <xf numFmtId="0" fontId="0" fillId="0" borderId="0" xfId="0" pivotButton="1"/>
    <xf numFmtId="0" fontId="12" fillId="3" borderId="0" xfId="1" applyFont="1" applyFill="1" applyAlignment="1">
      <alignment horizontal="center"/>
    </xf>
    <xf numFmtId="0" fontId="8" fillId="0" borderId="0" xfId="1" applyAlignment="1">
      <alignment horizontal="center"/>
    </xf>
    <xf numFmtId="0" fontId="32" fillId="0" borderId="18" xfId="0" applyFont="1" applyBorder="1" applyAlignment="1">
      <alignment horizontal="left" vertical="center"/>
    </xf>
    <xf numFmtId="0" fontId="32" fillId="0" borderId="18" xfId="0" applyFont="1" applyBorder="1" applyAlignment="1">
      <alignment horizontal="center" vertical="center"/>
    </xf>
    <xf numFmtId="43" fontId="31" fillId="0" borderId="18" xfId="5" applyFont="1" applyBorder="1"/>
    <xf numFmtId="4" fontId="32" fillId="0" borderId="18" xfId="0" applyNumberFormat="1" applyFont="1" applyBorder="1" applyAlignment="1">
      <alignment horizontal="left" vertical="center"/>
    </xf>
    <xf numFmtId="166" fontId="33" fillId="0" borderId="0" xfId="5" applyNumberFormat="1" applyFont="1"/>
    <xf numFmtId="167" fontId="33" fillId="0" borderId="0" xfId="5" applyNumberFormat="1" applyFont="1"/>
    <xf numFmtId="165" fontId="9" fillId="0" borderId="18" xfId="5" applyNumberFormat="1" applyBorder="1"/>
    <xf numFmtId="43" fontId="9" fillId="0" borderId="18" xfId="5" applyBorder="1"/>
    <xf numFmtId="0" fontId="4" fillId="0" borderId="18" xfId="2" applyFont="1" applyBorder="1" applyAlignment="1">
      <alignment horizontal="left"/>
    </xf>
    <xf numFmtId="0" fontId="3" fillId="0" borderId="18" xfId="2" applyFont="1" applyBorder="1" applyAlignment="1">
      <alignment horizontal="left"/>
    </xf>
    <xf numFmtId="0" fontId="25" fillId="0" borderId="18" xfId="2" applyFont="1" applyBorder="1" applyAlignment="1">
      <alignment horizontal="left"/>
    </xf>
    <xf numFmtId="0" fontId="27" fillId="0" borderId="18" xfId="2" applyFont="1" applyBorder="1" applyAlignment="1">
      <alignment horizontal="left"/>
    </xf>
    <xf numFmtId="0" fontId="33" fillId="0" borderId="0" xfId="0" applyFont="1"/>
    <xf numFmtId="0" fontId="34" fillId="0" borderId="0" xfId="0" applyFont="1"/>
    <xf numFmtId="0" fontId="0" fillId="0" borderId="0" xfId="0" applyAlignment="1">
      <alignment horizontal="center"/>
    </xf>
    <xf numFmtId="0" fontId="0" fillId="0" borderId="18" xfId="0" applyBorder="1"/>
    <xf numFmtId="0" fontId="35" fillId="0" borderId="0" xfId="0" applyFont="1"/>
    <xf numFmtId="0" fontId="35" fillId="0" borderId="0" xfId="0" applyFont="1" applyAlignment="1">
      <alignment horizontal="center"/>
    </xf>
    <xf numFmtId="0" fontId="35" fillId="0" borderId="18" xfId="0" applyFont="1" applyBorder="1"/>
    <xf numFmtId="0" fontId="35" fillId="0" borderId="18" xfId="0" applyFont="1" applyBorder="1" applyAlignment="1">
      <alignment horizontal="center"/>
    </xf>
    <xf numFmtId="0" fontId="34" fillId="6" borderId="18" xfId="0" applyFont="1" applyFill="1" applyBorder="1" applyAlignment="1">
      <alignment horizontal="center"/>
    </xf>
    <xf numFmtId="165" fontId="9" fillId="0" borderId="0" xfId="5" applyNumberFormat="1"/>
    <xf numFmtId="0" fontId="36" fillId="0" borderId="0" xfId="0" applyFont="1"/>
    <xf numFmtId="165" fontId="33" fillId="6" borderId="0" xfId="5" applyNumberFormat="1" applyFont="1" applyFill="1"/>
    <xf numFmtId="0" fontId="0" fillId="6" borderId="18" xfId="0" applyFill="1" applyBorder="1" applyAlignment="1">
      <alignment horizontal="center"/>
    </xf>
    <xf numFmtId="0" fontId="33" fillId="6" borderId="18" xfId="0" applyFont="1" applyFill="1" applyBorder="1" applyAlignment="1">
      <alignment horizontal="center"/>
    </xf>
    <xf numFmtId="165" fontId="33" fillId="6" borderId="18" xfId="5" applyNumberFormat="1" applyFont="1" applyFill="1" applyBorder="1" applyAlignment="1">
      <alignment horizontal="center"/>
    </xf>
    <xf numFmtId="0" fontId="38" fillId="0" borderId="0" xfId="6"/>
    <xf numFmtId="0" fontId="43" fillId="18" borderId="18" xfId="6" applyFont="1" applyFill="1" applyBorder="1" applyAlignment="1">
      <alignment horizontal="center" vertical="center"/>
    </xf>
    <xf numFmtId="0" fontId="45" fillId="18" borderId="18" xfId="6" applyFont="1" applyFill="1" applyBorder="1" applyAlignment="1">
      <alignment horizontal="center" vertical="center"/>
    </xf>
    <xf numFmtId="0" fontId="43" fillId="19" borderId="18" xfId="6" applyFont="1" applyFill="1" applyBorder="1" applyAlignment="1">
      <alignment horizontal="center" vertical="center"/>
    </xf>
    <xf numFmtId="0" fontId="42" fillId="18" borderId="18" xfId="6" applyFont="1" applyFill="1" applyBorder="1" applyAlignment="1">
      <alignment horizontal="center" vertical="center"/>
    </xf>
    <xf numFmtId="0" fontId="43" fillId="17" borderId="18" xfId="6" applyFont="1" applyFill="1" applyBorder="1" applyAlignment="1">
      <alignment horizontal="center" vertical="center"/>
    </xf>
    <xf numFmtId="0" fontId="51" fillId="21" borderId="0" xfId="8" applyFont="1" applyFill="1"/>
    <xf numFmtId="0" fontId="52" fillId="21" borderId="0" xfId="8" applyFont="1" applyFill="1"/>
    <xf numFmtId="0" fontId="53" fillId="0" borderId="0" xfId="8" applyFont="1"/>
    <xf numFmtId="0" fontId="54" fillId="7" borderId="0" xfId="8" applyFont="1" applyFill="1"/>
    <xf numFmtId="0" fontId="53" fillId="7" borderId="0" xfId="8" applyFont="1" applyFill="1"/>
    <xf numFmtId="0" fontId="54" fillId="0" borderId="18" xfId="8" applyFont="1" applyBorder="1"/>
    <xf numFmtId="0" fontId="55" fillId="0" borderId="18" xfId="8" applyFont="1" applyBorder="1"/>
    <xf numFmtId="0" fontId="55" fillId="0" borderId="18" xfId="8" applyFont="1" applyBorder="1" applyAlignment="1">
      <alignment horizontal="center"/>
    </xf>
    <xf numFmtId="0" fontId="54" fillId="0" borderId="18" xfId="8" applyFont="1" applyBorder="1" applyAlignment="1">
      <alignment horizontal="center"/>
    </xf>
    <xf numFmtId="0" fontId="44" fillId="7" borderId="0" xfId="8" applyFont="1" applyFill="1"/>
    <xf numFmtId="0" fontId="55" fillId="0" borderId="18" xfId="8" applyFont="1" applyBorder="1" applyAlignment="1">
      <alignment horizontal="center" wrapText="1"/>
    </xf>
    <xf numFmtId="0" fontId="44" fillId="0" borderId="0" xfId="8" applyFont="1"/>
    <xf numFmtId="0" fontId="44" fillId="21" borderId="18" xfId="8" applyFont="1" applyFill="1" applyBorder="1"/>
    <xf numFmtId="0" fontId="44" fillId="0" borderId="18" xfId="8" applyFont="1" applyBorder="1"/>
    <xf numFmtId="0" fontId="53" fillId="0" borderId="18" xfId="8" applyFont="1" applyBorder="1"/>
    <xf numFmtId="0" fontId="53" fillId="21" borderId="18" xfId="8" applyFont="1" applyFill="1" applyBorder="1"/>
    <xf numFmtId="0" fontId="43" fillId="22" borderId="18" xfId="6" applyFont="1" applyFill="1" applyBorder="1" applyAlignment="1">
      <alignment horizontal="center" vertical="center"/>
    </xf>
    <xf numFmtId="0" fontId="45" fillId="0" borderId="0" xfId="6" applyFont="1"/>
    <xf numFmtId="0" fontId="56" fillId="0" borderId="0" xfId="6" applyFont="1"/>
    <xf numFmtId="0" fontId="45" fillId="9" borderId="18" xfId="6" applyFont="1" applyFill="1" applyBorder="1" applyAlignment="1">
      <alignment horizontal="center" vertical="center"/>
    </xf>
    <xf numFmtId="0" fontId="45" fillId="0" borderId="18" xfId="6" applyFont="1" applyBorder="1"/>
    <xf numFmtId="0" fontId="56" fillId="0" borderId="18" xfId="6" applyFont="1" applyBorder="1"/>
    <xf numFmtId="0" fontId="56" fillId="0" borderId="0" xfId="6" applyFont="1" applyAlignment="1">
      <alignment horizontal="left"/>
    </xf>
    <xf numFmtId="0" fontId="43" fillId="9" borderId="18" xfId="6" applyFont="1" applyFill="1" applyBorder="1" applyAlignment="1">
      <alignment horizontal="left" vertical="center"/>
    </xf>
    <xf numFmtId="0" fontId="45" fillId="9" borderId="18" xfId="6" applyFont="1" applyFill="1" applyBorder="1" applyAlignment="1">
      <alignment horizontal="left" vertical="center"/>
    </xf>
    <xf numFmtId="0" fontId="43" fillId="22" borderId="18" xfId="6" applyFont="1" applyFill="1" applyBorder="1" applyAlignment="1">
      <alignment horizontal="left" vertical="center"/>
    </xf>
    <xf numFmtId="0" fontId="45" fillId="5" borderId="18" xfId="6" applyFont="1" applyFill="1" applyBorder="1" applyAlignment="1">
      <alignment horizontal="left" vertical="center"/>
    </xf>
    <xf numFmtId="0" fontId="44" fillId="5" borderId="18" xfId="6" applyFont="1" applyFill="1" applyBorder="1" applyAlignment="1">
      <alignment horizontal="left" vertical="center"/>
    </xf>
    <xf numFmtId="0" fontId="45" fillId="5" borderId="18" xfId="6" applyFont="1" applyFill="1" applyBorder="1" applyAlignment="1">
      <alignment horizontal="left" vertical="center" wrapText="1"/>
    </xf>
    <xf numFmtId="0" fontId="43" fillId="17" borderId="18" xfId="6" applyFont="1" applyFill="1" applyBorder="1" applyAlignment="1">
      <alignment horizontal="left" vertical="center"/>
    </xf>
    <xf numFmtId="0" fontId="43" fillId="18" borderId="18" xfId="6" applyFont="1" applyFill="1" applyBorder="1" applyAlignment="1">
      <alignment horizontal="left" vertical="center"/>
    </xf>
    <xf numFmtId="0" fontId="43" fillId="0" borderId="18" xfId="6" applyFont="1" applyBorder="1" applyAlignment="1">
      <alignment horizontal="left" vertical="center" wrapText="1"/>
    </xf>
    <xf numFmtId="0" fontId="44" fillId="0" borderId="18" xfId="6" applyFont="1" applyBorder="1" applyAlignment="1">
      <alignment horizontal="left" vertical="center"/>
    </xf>
    <xf numFmtId="0" fontId="43" fillId="0" borderId="18" xfId="6" applyFont="1" applyBorder="1" applyAlignment="1">
      <alignment horizontal="left" vertical="center"/>
    </xf>
    <xf numFmtId="0" fontId="44" fillId="5" borderId="18" xfId="6" applyFont="1" applyFill="1" applyBorder="1" applyAlignment="1">
      <alignment horizontal="left" vertical="center" wrapText="1"/>
    </xf>
    <xf numFmtId="0" fontId="45" fillId="18" borderId="18" xfId="6" applyFont="1" applyFill="1" applyBorder="1" applyAlignment="1">
      <alignment horizontal="left" vertical="center"/>
    </xf>
    <xf numFmtId="0" fontId="45" fillId="0" borderId="18" xfId="6" applyFont="1" applyBorder="1" applyAlignment="1">
      <alignment horizontal="left" vertical="center"/>
    </xf>
    <xf numFmtId="0" fontId="45" fillId="0" borderId="18" xfId="6" applyFont="1" applyBorder="1" applyAlignment="1">
      <alignment horizontal="left" vertical="center" wrapText="1"/>
    </xf>
    <xf numFmtId="0" fontId="43" fillId="5" borderId="18" xfId="6" applyFont="1" applyFill="1" applyBorder="1" applyAlignment="1">
      <alignment horizontal="left" vertical="center"/>
    </xf>
    <xf numFmtId="0" fontId="43" fillId="5" borderId="18" xfId="6" applyFont="1" applyFill="1" applyBorder="1" applyAlignment="1">
      <alignment horizontal="left" vertical="center" wrapText="1"/>
    </xf>
    <xf numFmtId="0" fontId="43" fillId="19" borderId="18" xfId="6" applyFont="1" applyFill="1" applyBorder="1" applyAlignment="1">
      <alignment horizontal="left" vertical="center" wrapText="1"/>
    </xf>
    <xf numFmtId="0" fontId="43" fillId="19" borderId="18" xfId="6" applyFont="1" applyFill="1" applyBorder="1" applyAlignment="1">
      <alignment horizontal="left" vertical="center"/>
    </xf>
    <xf numFmtId="0" fontId="45" fillId="0" borderId="18" xfId="6" applyFont="1" applyBorder="1" applyAlignment="1">
      <alignment horizontal="center"/>
    </xf>
    <xf numFmtId="0" fontId="41" fillId="17" borderId="18" xfId="6" applyFont="1" applyFill="1" applyBorder="1" applyAlignment="1">
      <alignment horizontal="left" vertical="center"/>
    </xf>
    <xf numFmtId="0" fontId="41" fillId="19" borderId="18" xfId="6" applyFont="1" applyFill="1" applyBorder="1" applyAlignment="1">
      <alignment horizontal="left" vertical="center"/>
    </xf>
    <xf numFmtId="0" fontId="44" fillId="0" borderId="18" xfId="6" applyFont="1" applyBorder="1" applyAlignment="1">
      <alignment horizontal="left" vertical="center" wrapText="1"/>
    </xf>
    <xf numFmtId="0" fontId="45" fillId="0" borderId="0" xfId="6" applyFont="1" applyAlignment="1">
      <alignment horizontal="left"/>
    </xf>
    <xf numFmtId="0" fontId="45" fillId="6" borderId="26" xfId="6" applyFont="1" applyFill="1" applyBorder="1" applyAlignment="1">
      <alignment horizontal="center" vertical="center"/>
    </xf>
    <xf numFmtId="0" fontId="45" fillId="6" borderId="30" xfId="6" applyFont="1" applyFill="1" applyBorder="1" applyAlignment="1">
      <alignment horizontal="center" vertical="center"/>
    </xf>
    <xf numFmtId="0" fontId="45" fillId="0" borderId="0" xfId="6" applyFont="1" applyAlignment="1">
      <alignment horizontal="center"/>
    </xf>
    <xf numFmtId="0" fontId="47" fillId="0" borderId="0" xfId="6" applyFont="1" applyAlignment="1">
      <alignment horizontal="center"/>
    </xf>
    <xf numFmtId="0" fontId="47" fillId="0" borderId="0" xfId="6" applyFont="1" applyAlignment="1">
      <alignment horizontal="left"/>
    </xf>
    <xf numFmtId="0" fontId="57" fillId="6" borderId="27" xfId="6" applyFont="1" applyFill="1" applyBorder="1" applyAlignment="1">
      <alignment horizontal="left" vertical="center"/>
    </xf>
    <xf numFmtId="0" fontId="57" fillId="6" borderId="28" xfId="6" applyFont="1" applyFill="1" applyBorder="1" applyAlignment="1">
      <alignment horizontal="left" vertical="center"/>
    </xf>
    <xf numFmtId="0" fontId="42" fillId="10" borderId="18" xfId="6" applyFont="1" applyFill="1" applyBorder="1" applyAlignment="1">
      <alignment horizontal="left" vertical="center"/>
    </xf>
    <xf numFmtId="0" fontId="42" fillId="9" borderId="18" xfId="6" applyFont="1" applyFill="1" applyBorder="1" applyAlignment="1">
      <alignment horizontal="left" vertical="center"/>
    </xf>
    <xf numFmtId="0" fontId="46" fillId="9" borderId="18" xfId="6" applyFont="1" applyFill="1" applyBorder="1" applyAlignment="1">
      <alignment horizontal="left" vertical="center"/>
    </xf>
    <xf numFmtId="0" fontId="42" fillId="22" borderId="18" xfId="6" applyFont="1" applyFill="1" applyBorder="1" applyAlignment="1">
      <alignment horizontal="center" vertical="center"/>
    </xf>
    <xf numFmtId="0" fontId="46" fillId="5" borderId="18" xfId="6" applyFont="1" applyFill="1" applyBorder="1" applyAlignment="1">
      <alignment horizontal="left" vertical="center"/>
    </xf>
    <xf numFmtId="0" fontId="54" fillId="5" borderId="18" xfId="6" applyFont="1" applyFill="1" applyBorder="1" applyAlignment="1">
      <alignment horizontal="left" vertical="center"/>
    </xf>
    <xf numFmtId="0" fontId="47" fillId="0" borderId="18" xfId="6" applyFont="1" applyBorder="1" applyAlignment="1">
      <alignment horizontal="center"/>
    </xf>
    <xf numFmtId="0" fontId="46" fillId="5" borderId="18" xfId="6" applyFont="1" applyFill="1" applyBorder="1" applyAlignment="1">
      <alignment horizontal="left" vertical="center" wrapText="1"/>
    </xf>
    <xf numFmtId="0" fontId="46" fillId="0" borderId="18" xfId="6" applyFont="1" applyBorder="1" applyAlignment="1">
      <alignment horizontal="center"/>
    </xf>
    <xf numFmtId="0" fontId="46" fillId="9" borderId="18" xfId="6" applyFont="1" applyFill="1" applyBorder="1" applyAlignment="1">
      <alignment horizontal="center" vertical="center"/>
    </xf>
    <xf numFmtId="0" fontId="42" fillId="17" borderId="18" xfId="6" applyFont="1" applyFill="1" applyBorder="1" applyAlignment="1">
      <alignment horizontal="left" vertical="center"/>
    </xf>
    <xf numFmtId="0" fontId="42" fillId="17" borderId="18" xfId="6" applyFont="1" applyFill="1" applyBorder="1" applyAlignment="1">
      <alignment horizontal="center" vertical="center"/>
    </xf>
    <xf numFmtId="0" fontId="42" fillId="18" borderId="18" xfId="6" applyFont="1" applyFill="1" applyBorder="1" applyAlignment="1">
      <alignment horizontal="left" vertical="center"/>
    </xf>
    <xf numFmtId="0" fontId="42" fillId="0" borderId="18" xfId="6" applyFont="1" applyBorder="1" applyAlignment="1">
      <alignment horizontal="left" vertical="center" wrapText="1"/>
    </xf>
    <xf numFmtId="0" fontId="54" fillId="0" borderId="18" xfId="6" applyFont="1" applyBorder="1" applyAlignment="1">
      <alignment horizontal="left" vertical="center"/>
    </xf>
    <xf numFmtId="0" fontId="42" fillId="0" borderId="18" xfId="6" applyFont="1" applyBorder="1" applyAlignment="1">
      <alignment horizontal="left" vertical="center"/>
    </xf>
    <xf numFmtId="0" fontId="54" fillId="5" borderId="18" xfId="6" applyFont="1" applyFill="1" applyBorder="1" applyAlignment="1">
      <alignment horizontal="left" vertical="center" wrapText="1"/>
    </xf>
    <xf numFmtId="0" fontId="46" fillId="18" borderId="18" xfId="6" applyFont="1" applyFill="1" applyBorder="1" applyAlignment="1">
      <alignment horizontal="left" vertical="center"/>
    </xf>
    <xf numFmtId="0" fontId="46" fillId="18" borderId="18" xfId="6" applyFont="1" applyFill="1" applyBorder="1" applyAlignment="1">
      <alignment horizontal="center" vertical="center"/>
    </xf>
    <xf numFmtId="0" fontId="46" fillId="0" borderId="18" xfId="6" applyFont="1" applyBorder="1" applyAlignment="1">
      <alignment horizontal="left" vertical="center"/>
    </xf>
    <xf numFmtId="0" fontId="46" fillId="0" borderId="18" xfId="6" applyFont="1" applyBorder="1" applyAlignment="1">
      <alignment horizontal="left" vertical="center" wrapText="1"/>
    </xf>
    <xf numFmtId="0" fontId="54" fillId="5" borderId="18" xfId="8" applyFont="1" applyFill="1" applyBorder="1" applyAlignment="1">
      <alignment horizontal="left" vertical="center" wrapText="1"/>
    </xf>
    <xf numFmtId="0" fontId="42" fillId="5" borderId="18" xfId="6" applyFont="1" applyFill="1" applyBorder="1" applyAlignment="1">
      <alignment horizontal="left" vertical="center"/>
    </xf>
    <xf numFmtId="0" fontId="46" fillId="20" borderId="18" xfId="6" applyFont="1" applyFill="1" applyBorder="1" applyAlignment="1">
      <alignment horizontal="left" vertical="center"/>
    </xf>
    <xf numFmtId="0" fontId="42" fillId="5" borderId="18" xfId="6" applyFont="1" applyFill="1" applyBorder="1" applyAlignment="1">
      <alignment horizontal="left" vertical="center" wrapText="1"/>
    </xf>
    <xf numFmtId="0" fontId="42" fillId="19" borderId="18" xfId="6" applyFont="1" applyFill="1" applyBorder="1" applyAlignment="1">
      <alignment horizontal="left" vertical="center" wrapText="1"/>
    </xf>
    <xf numFmtId="0" fontId="42" fillId="19" borderId="18" xfId="6" applyFont="1" applyFill="1" applyBorder="1" applyAlignment="1">
      <alignment horizontal="left" vertical="center"/>
    </xf>
    <xf numFmtId="0" fontId="42" fillId="19" borderId="18" xfId="6" applyFont="1" applyFill="1" applyBorder="1" applyAlignment="1">
      <alignment horizontal="center" vertical="center"/>
    </xf>
    <xf numFmtId="0" fontId="54" fillId="5" borderId="18" xfId="8" applyFont="1" applyFill="1" applyBorder="1" applyAlignment="1">
      <alignment horizontal="left" vertical="center"/>
    </xf>
    <xf numFmtId="0" fontId="38" fillId="0" borderId="18" xfId="6" applyBorder="1"/>
    <xf numFmtId="0" fontId="40" fillId="6" borderId="18" xfId="6" applyFont="1" applyFill="1" applyBorder="1" applyAlignment="1">
      <alignment horizontal="left" vertical="center"/>
    </xf>
    <xf numFmtId="0" fontId="50" fillId="11" borderId="18" xfId="6" applyFont="1" applyFill="1" applyBorder="1" applyAlignment="1">
      <alignment horizontal="left" vertical="center"/>
    </xf>
    <xf numFmtId="0" fontId="58" fillId="0" borderId="0" xfId="6" applyFont="1" applyAlignment="1">
      <alignment horizontal="left"/>
    </xf>
    <xf numFmtId="0" fontId="48" fillId="16" borderId="18" xfId="6" applyFont="1" applyFill="1" applyBorder="1" applyAlignment="1">
      <alignment horizontal="left" vertical="center"/>
    </xf>
    <xf numFmtId="0" fontId="43" fillId="12" borderId="18" xfId="6" applyFont="1" applyFill="1" applyBorder="1" applyAlignment="1">
      <alignment horizontal="left" vertical="center"/>
    </xf>
    <xf numFmtId="0" fontId="43" fillId="13" borderId="18" xfId="6" applyFont="1" applyFill="1" applyBorder="1" applyAlignment="1">
      <alignment horizontal="left" vertical="center"/>
    </xf>
    <xf numFmtId="0" fontId="45" fillId="13" borderId="18" xfId="6" applyFont="1" applyFill="1" applyBorder="1" applyAlignment="1">
      <alignment horizontal="left" vertical="center"/>
    </xf>
    <xf numFmtId="0" fontId="48" fillId="6" borderId="18" xfId="6" applyFont="1" applyFill="1" applyBorder="1" applyAlignment="1">
      <alignment horizontal="left" vertical="center"/>
    </xf>
    <xf numFmtId="0" fontId="43" fillId="14" borderId="18" xfId="6" applyFont="1" applyFill="1" applyBorder="1" applyAlignment="1">
      <alignment horizontal="left" vertical="center"/>
    </xf>
    <xf numFmtId="0" fontId="43" fillId="15" borderId="18" xfId="6" applyFont="1" applyFill="1" applyBorder="1" applyAlignment="1">
      <alignment horizontal="left" vertical="center"/>
    </xf>
    <xf numFmtId="0" fontId="56" fillId="5" borderId="0" xfId="6" applyFont="1" applyFill="1"/>
    <xf numFmtId="0" fontId="45" fillId="0" borderId="0" xfId="6" applyFont="1" applyAlignment="1">
      <alignment horizontal="left" vertical="center"/>
    </xf>
    <xf numFmtId="0" fontId="48" fillId="0" borderId="18" xfId="6" applyFont="1" applyBorder="1" applyAlignment="1">
      <alignment horizontal="left" vertical="center"/>
    </xf>
    <xf numFmtId="0" fontId="39" fillId="0" borderId="0" xfId="6" applyFont="1" applyAlignment="1">
      <alignment horizontal="left" vertical="center"/>
    </xf>
    <xf numFmtId="0" fontId="40" fillId="0" borderId="18" xfId="6" applyFont="1" applyBorder="1" applyAlignment="1">
      <alignment horizontal="left" vertical="center"/>
    </xf>
    <xf numFmtId="0" fontId="46" fillId="0" borderId="0" xfId="6" applyFont="1" applyAlignment="1">
      <alignment horizontal="left" vertical="center"/>
    </xf>
    <xf numFmtId="0" fontId="57" fillId="0" borderId="0" xfId="6" applyFont="1" applyAlignment="1">
      <alignment horizontal="left" vertical="center"/>
    </xf>
    <xf numFmtId="4" fontId="45" fillId="0" borderId="18" xfId="6" applyNumberFormat="1" applyFont="1" applyBorder="1"/>
    <xf numFmtId="0" fontId="46" fillId="0" borderId="0" xfId="6" applyFont="1" applyAlignment="1">
      <alignment horizontal="left"/>
    </xf>
    <xf numFmtId="0" fontId="46" fillId="0" borderId="18" xfId="6" applyFont="1" applyBorder="1" applyAlignment="1">
      <alignment horizontal="left"/>
    </xf>
    <xf numFmtId="4" fontId="46" fillId="0" borderId="18" xfId="6" applyNumberFormat="1" applyFont="1" applyBorder="1" applyAlignment="1">
      <alignment horizontal="left"/>
    </xf>
    <xf numFmtId="0" fontId="46" fillId="7" borderId="0" xfId="6" applyFont="1" applyFill="1" applyAlignment="1">
      <alignment horizontal="center"/>
    </xf>
    <xf numFmtId="0" fontId="45" fillId="7" borderId="0" xfId="6" applyFont="1" applyFill="1" applyAlignment="1">
      <alignment horizontal="center"/>
    </xf>
    <xf numFmtId="0" fontId="59" fillId="0" borderId="0" xfId="6" applyFont="1"/>
    <xf numFmtId="0" fontId="59" fillId="0" borderId="18" xfId="6" applyFont="1" applyBorder="1"/>
    <xf numFmtId="4" fontId="59" fillId="0" borderId="18" xfId="6" applyNumberFormat="1" applyFont="1" applyBorder="1"/>
    <xf numFmtId="0" fontId="45" fillId="5" borderId="18" xfId="6" applyFont="1" applyFill="1" applyBorder="1"/>
    <xf numFmtId="43" fontId="60" fillId="0" borderId="0" xfId="5" applyFont="1"/>
    <xf numFmtId="4" fontId="35" fillId="0" borderId="18" xfId="0" applyNumberFormat="1" applyFont="1" applyBorder="1"/>
    <xf numFmtId="168" fontId="35" fillId="0" borderId="18" xfId="0" applyNumberFormat="1" applyFont="1" applyBorder="1"/>
    <xf numFmtId="168" fontId="35" fillId="7" borderId="18" xfId="0" applyNumberFormat="1" applyFont="1" applyFill="1" applyBorder="1"/>
    <xf numFmtId="0" fontId="35" fillId="7" borderId="18" xfId="0" applyFont="1" applyFill="1" applyBorder="1"/>
    <xf numFmtId="43" fontId="60" fillId="0" borderId="18" xfId="5" applyFont="1" applyBorder="1"/>
    <xf numFmtId="0" fontId="34" fillId="6" borderId="29" xfId="0" applyFont="1" applyFill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4" fillId="0" borderId="18" xfId="0" applyFont="1" applyBorder="1"/>
    <xf numFmtId="4" fontId="34" fillId="0" borderId="18" xfId="0" applyNumberFormat="1" applyFont="1" applyBorder="1"/>
    <xf numFmtId="0" fontId="34" fillId="6" borderId="18" xfId="0" applyFont="1" applyFill="1" applyBorder="1"/>
    <xf numFmtId="4" fontId="34" fillId="0" borderId="35" xfId="0" applyNumberFormat="1" applyFont="1" applyBorder="1"/>
    <xf numFmtId="0" fontId="35" fillId="6" borderId="18" xfId="0" applyFont="1" applyFill="1" applyBorder="1" applyAlignment="1">
      <alignment horizontal="center"/>
    </xf>
    <xf numFmtId="4" fontId="35" fillId="0" borderId="0" xfId="0" applyNumberFormat="1" applyFont="1"/>
    <xf numFmtId="43" fontId="7" fillId="0" borderId="0" xfId="2" applyNumberFormat="1" applyFont="1"/>
    <xf numFmtId="0" fontId="43" fillId="0" borderId="0" xfId="6" applyFont="1"/>
    <xf numFmtId="0" fontId="43" fillId="0" borderId="0" xfId="6" applyFont="1" applyAlignment="1">
      <alignment horizontal="left" vertical="center"/>
    </xf>
    <xf numFmtId="0" fontId="43" fillId="0" borderId="0" xfId="6" applyFont="1" applyAlignment="1">
      <alignment vertical="center"/>
    </xf>
    <xf numFmtId="0" fontId="43" fillId="0" borderId="18" xfId="6" applyFont="1" applyBorder="1"/>
    <xf numFmtId="0" fontId="43" fillId="0" borderId="18" xfId="6" applyFont="1" applyBorder="1" applyAlignment="1">
      <alignment horizontal="left"/>
    </xf>
    <xf numFmtId="0" fontId="43" fillId="0" borderId="0" xfId="6" applyFont="1" applyAlignment="1">
      <alignment horizontal="left"/>
    </xf>
    <xf numFmtId="4" fontId="59" fillId="6" borderId="18" xfId="6" applyNumberFormat="1" applyFont="1" applyFill="1" applyBorder="1"/>
    <xf numFmtId="0" fontId="1" fillId="0" borderId="18" xfId="2" applyFont="1" applyBorder="1" applyAlignment="1">
      <alignment horizontal="left"/>
    </xf>
    <xf numFmtId="0" fontId="48" fillId="0" borderId="18" xfId="6" applyFont="1" applyBorder="1"/>
    <xf numFmtId="0" fontId="62" fillId="0" borderId="0" xfId="6" applyFont="1" applyAlignment="1">
      <alignment horizontal="left"/>
    </xf>
    <xf numFmtId="0" fontId="50" fillId="6" borderId="18" xfId="6" applyFont="1" applyFill="1" applyBorder="1" applyAlignment="1">
      <alignment horizontal="left"/>
    </xf>
    <xf numFmtId="0" fontId="50" fillId="6" borderId="18" xfId="6" applyFont="1" applyFill="1" applyBorder="1" applyAlignment="1">
      <alignment horizontal="center"/>
    </xf>
    <xf numFmtId="0" fontId="50" fillId="6" borderId="18" xfId="6" applyFont="1" applyFill="1" applyBorder="1" applyAlignment="1">
      <alignment horizontal="center" vertical="center"/>
    </xf>
    <xf numFmtId="0" fontId="50" fillId="0" borderId="0" xfId="6" applyFont="1" applyAlignment="1">
      <alignment horizontal="center"/>
    </xf>
    <xf numFmtId="0" fontId="8" fillId="0" borderId="18" xfId="1" applyBorder="1"/>
    <xf numFmtId="43" fontId="9" fillId="0" borderId="0" xfId="5"/>
    <xf numFmtId="166" fontId="9" fillId="0" borderId="0" xfId="5" applyNumberFormat="1"/>
    <xf numFmtId="0" fontId="63" fillId="0" borderId="0" xfId="6" applyFont="1" applyAlignment="1">
      <alignment horizontal="left" vertical="center"/>
    </xf>
    <xf numFmtId="4" fontId="27" fillId="0" borderId="18" xfId="1" applyNumberFormat="1" applyFont="1" applyBorder="1" applyAlignment="1">
      <alignment horizontal="left"/>
    </xf>
    <xf numFmtId="0" fontId="61" fillId="0" borderId="0" xfId="1" applyFont="1"/>
    <xf numFmtId="0" fontId="8" fillId="0" borderId="28" xfId="1" applyBorder="1"/>
    <xf numFmtId="0" fontId="61" fillId="0" borderId="18" xfId="1" applyFont="1" applyBorder="1"/>
    <xf numFmtId="0" fontId="61" fillId="0" borderId="18" xfId="1" applyFont="1" applyBorder="1" applyAlignment="1">
      <alignment horizontal="center"/>
    </xf>
    <xf numFmtId="167" fontId="33" fillId="0" borderId="18" xfId="5" applyNumberFormat="1" applyFont="1" applyBorder="1"/>
    <xf numFmtId="169" fontId="33" fillId="0" borderId="18" xfId="5" applyNumberFormat="1" applyFont="1" applyBorder="1"/>
    <xf numFmtId="0" fontId="25" fillId="6" borderId="0" xfId="1" applyFont="1" applyFill="1" applyAlignment="1">
      <alignment horizontal="left"/>
    </xf>
    <xf numFmtId="169" fontId="64" fillId="0" borderId="18" xfId="5" applyNumberFormat="1" applyFont="1" applyBorder="1"/>
    <xf numFmtId="43" fontId="8" fillId="0" borderId="0" xfId="1" applyNumberFormat="1"/>
    <xf numFmtId="0" fontId="32" fillId="0" borderId="18" xfId="1" applyFont="1" applyBorder="1" applyAlignment="1">
      <alignment horizontal="left"/>
    </xf>
    <xf numFmtId="0" fontId="32" fillId="0" borderId="18" xfId="1" applyFont="1" applyBorder="1" applyAlignment="1">
      <alignment horizontal="center"/>
    </xf>
    <xf numFmtId="0" fontId="31" fillId="0" borderId="18" xfId="1" applyFont="1" applyBorder="1"/>
    <xf numFmtId="0" fontId="31" fillId="0" borderId="18" xfId="1" applyFont="1" applyBorder="1" applyAlignment="1">
      <alignment horizontal="center"/>
    </xf>
    <xf numFmtId="167" fontId="9" fillId="0" borderId="18" xfId="5" applyNumberFormat="1" applyBorder="1"/>
    <xf numFmtId="0" fontId="1" fillId="0" borderId="18" xfId="1" applyFont="1" applyBorder="1"/>
    <xf numFmtId="0" fontId="31" fillId="0" borderId="28" xfId="1" applyFont="1" applyBorder="1"/>
    <xf numFmtId="0" fontId="31" fillId="0" borderId="28" xfId="1" applyFont="1" applyBorder="1" applyAlignment="1">
      <alignment horizontal="center"/>
    </xf>
    <xf numFmtId="0" fontId="1" fillId="0" borderId="28" xfId="1" applyFont="1" applyBorder="1"/>
    <xf numFmtId="167" fontId="9" fillId="0" borderId="28" xfId="5" applyNumberFormat="1" applyBorder="1"/>
    <xf numFmtId="43" fontId="31" fillId="0" borderId="28" xfId="5" applyFont="1" applyBorder="1"/>
    <xf numFmtId="4" fontId="32" fillId="0" borderId="28" xfId="0" applyNumberFormat="1" applyFont="1" applyBorder="1" applyAlignment="1">
      <alignment horizontal="left" vertical="center"/>
    </xf>
    <xf numFmtId="4" fontId="27" fillId="0" borderId="28" xfId="1" applyNumberFormat="1" applyFont="1" applyBorder="1" applyAlignment="1">
      <alignment horizontal="left"/>
    </xf>
    <xf numFmtId="0" fontId="27" fillId="6" borderId="0" xfId="1" applyFont="1" applyFill="1" applyAlignment="1">
      <alignment horizontal="left"/>
    </xf>
    <xf numFmtId="166" fontId="9" fillId="0" borderId="18" xfId="5" applyNumberFormat="1" applyBorder="1"/>
    <xf numFmtId="0" fontId="24" fillId="0" borderId="36" xfId="0" applyFont="1" applyBorder="1" applyAlignment="1">
      <alignment horizontal="center" vertical="center"/>
    </xf>
    <xf numFmtId="0" fontId="27" fillId="0" borderId="36" xfId="0" applyFont="1" applyBorder="1" applyAlignment="1">
      <alignment horizontal="center" vertical="center"/>
    </xf>
    <xf numFmtId="0" fontId="24" fillId="0" borderId="36" xfId="2" applyFont="1" applyBorder="1" applyAlignment="1">
      <alignment horizontal="left"/>
    </xf>
    <xf numFmtId="0" fontId="7" fillId="0" borderId="36" xfId="2" applyFont="1" applyBorder="1"/>
    <xf numFmtId="0" fontId="14" fillId="5" borderId="17" xfId="3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34" fillId="0" borderId="18" xfId="0" applyFont="1" applyBorder="1" applyAlignment="1">
      <alignment horizontal="center" vertical="center"/>
    </xf>
    <xf numFmtId="0" fontId="45" fillId="0" borderId="24" xfId="6" applyFont="1" applyBorder="1" applyAlignment="1">
      <alignment horizontal="left" vertical="center"/>
    </xf>
    <xf numFmtId="0" fontId="45" fillId="0" borderId="25" xfId="6" applyFont="1" applyBorder="1" applyAlignment="1">
      <alignment horizontal="left" vertical="center"/>
    </xf>
    <xf numFmtId="0" fontId="45" fillId="6" borderId="32" xfId="6" applyFont="1" applyFill="1" applyBorder="1" applyAlignment="1">
      <alignment horizontal="center" vertical="center"/>
    </xf>
    <xf numFmtId="0" fontId="45" fillId="6" borderId="31" xfId="6" applyFont="1" applyFill="1" applyBorder="1" applyAlignment="1">
      <alignment horizontal="center" vertical="center"/>
    </xf>
    <xf numFmtId="0" fontId="46" fillId="0" borderId="24" xfId="6" applyFont="1" applyBorder="1" applyAlignment="1">
      <alignment horizontal="left" vertical="center"/>
    </xf>
    <xf numFmtId="0" fontId="46" fillId="0" borderId="25" xfId="6" applyFont="1" applyBorder="1" applyAlignment="1">
      <alignment horizontal="left" vertical="center"/>
    </xf>
    <xf numFmtId="0" fontId="46" fillId="6" borderId="29" xfId="6" applyFont="1" applyFill="1" applyBorder="1" applyAlignment="1">
      <alignment horizontal="center" vertical="center"/>
    </xf>
    <xf numFmtId="0" fontId="46" fillId="6" borderId="32" xfId="6" applyFont="1" applyFill="1" applyBorder="1" applyAlignment="1">
      <alignment horizontal="center" vertical="center"/>
    </xf>
    <xf numFmtId="0" fontId="46" fillId="6" borderId="31" xfId="6" applyFont="1" applyFill="1" applyBorder="1" applyAlignment="1">
      <alignment horizontal="center" vertical="center"/>
    </xf>
    <xf numFmtId="0" fontId="39" fillId="0" borderId="33" xfId="6" applyFont="1" applyBorder="1" applyAlignment="1">
      <alignment horizontal="left" vertical="center"/>
    </xf>
    <xf numFmtId="0" fontId="39" fillId="0" borderId="34" xfId="6" applyFont="1" applyBorder="1" applyAlignment="1">
      <alignment horizontal="left" vertical="center"/>
    </xf>
    <xf numFmtId="0" fontId="45" fillId="0" borderId="33" xfId="6" applyFont="1" applyBorder="1" applyAlignment="1">
      <alignment horizontal="left" vertical="center"/>
    </xf>
    <xf numFmtId="0" fontId="45" fillId="0" borderId="34" xfId="6" applyFont="1" applyBorder="1" applyAlignment="1">
      <alignment horizontal="left" vertical="center"/>
    </xf>
    <xf numFmtId="0" fontId="45" fillId="6" borderId="29" xfId="6" applyFont="1" applyFill="1" applyBorder="1" applyAlignment="1">
      <alignment horizontal="center" vertical="center"/>
    </xf>
    <xf numFmtId="0" fontId="53" fillId="0" borderId="29" xfId="8" applyFont="1" applyBorder="1" applyAlignment="1">
      <alignment horizontal="center"/>
    </xf>
    <xf numFmtId="0" fontId="53" fillId="0" borderId="31" xfId="8" applyFont="1" applyBorder="1" applyAlignment="1">
      <alignment horizontal="center"/>
    </xf>
    <xf numFmtId="0" fontId="44" fillId="0" borderId="29" xfId="8" applyFont="1" applyBorder="1" applyAlignment="1">
      <alignment horizontal="left"/>
    </xf>
    <xf numFmtId="0" fontId="44" fillId="0" borderId="32" xfId="8" applyFont="1" applyBorder="1" applyAlignment="1">
      <alignment horizontal="left"/>
    </xf>
    <xf numFmtId="0" fontId="44" fillId="0" borderId="31" xfId="8" applyFont="1" applyBorder="1" applyAlignment="1">
      <alignment horizontal="left"/>
    </xf>
  </cellXfs>
  <cellStyles count="10">
    <cellStyle name="Comma" xfId="5" builtinId="3"/>
    <cellStyle name="Comma 2" xfId="4" xr:uid="{00000000-0005-0000-0000-000001000000}"/>
    <cellStyle name="Neutral 2" xfId="9" xr:uid="{78FEE1C0-B198-4E73-A90B-65C0074E2835}"/>
    <cellStyle name="Normal" xfId="0" builtinId="0"/>
    <cellStyle name="Normal 2" xfId="1" xr:uid="{00000000-0005-0000-0000-000003000000}"/>
    <cellStyle name="Normal 2 2" xfId="2" xr:uid="{00000000-0005-0000-0000-000004000000}"/>
    <cellStyle name="Normal 2 3" xfId="8" xr:uid="{523DACBB-7DE1-42E8-A1F3-31F25B99928F}"/>
    <cellStyle name="Normal 3" xfId="3" xr:uid="{00000000-0005-0000-0000-000005000000}"/>
    <cellStyle name="Normal 3 2" xfId="7" xr:uid="{29F2D5A0-3FA1-4314-8B38-63B76BC66288}"/>
    <cellStyle name="Normal 4" xfId="6" xr:uid="{EAD85F41-D095-4C7C-9771-4138E8F711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400051</xdr:colOff>
      <xdr:row>0</xdr:row>
      <xdr:rowOff>76200</xdr:rowOff>
    </xdr:from>
    <xdr:to>
      <xdr:col>0</xdr:col>
      <xdr:colOff>1436270</xdr:colOff>
      <xdr:row>0</xdr:row>
      <xdr:rowOff>1076325</xdr:rowOff>
    </xdr:to>
    <xdr:pic>
      <xdr:nvPicPr>
        <xdr:cNvPr id="2" name="صورة 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0051" y="76200"/>
          <a:ext cx="1036219" cy="10001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SMC/Mr.Hadi%20Data/SMC/SMC%20monday.xlsx" TargetMode="External"/><Relationship Id="rId1" Type="http://schemas.openxmlformats.org/officeDocument/2006/relationships/externalLinkPath" Target="/personal/a_ahmed_isfc_com_sa/Documents/Desktop/Working-Recipe/SMC/Mr.Hadi%20Data/SMC/SMC%20monda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SMC/Mr.Hadi%20Data/SMC/Master%20Recipe%20-SMC%20Sunday.xlsx" TargetMode="External"/><Relationship Id="rId1" Type="http://schemas.openxmlformats.org/officeDocument/2006/relationships/externalLinkPath" Target="/personal/a_ahmed_isfc_com_sa/Documents/Desktop/Working-Recipe/SMC/Mr.Hadi%20Data/SMC/Master%20Recipe%20-SMC%20Sunda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02%20SMC%20Mond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w material  (3)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w material  (3)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ipe type "/>
      <sheetName val="Raw material  (3)"/>
      <sheetName val="Fish Harrah with Saffron Rice "/>
      <sheetName val="halloumi panini pesto sandwich"/>
      <sheetName val="Beef vegetable qursan"/>
      <sheetName val="chicken mandi with dokus sause"/>
      <sheetName val="low sodium chicken breast -vege"/>
      <sheetName val="koshari with onion spicy tomato"/>
      <sheetName val="veal with red lebanese style bu"/>
      <sheetName val="kofta with potato,egyplant"/>
      <sheetName val="chicken afritada w soft rice"/>
    </sheetNames>
    <sheetDataSet>
      <sheetData sheetId="0"/>
      <sheetData sheetId="1">
        <row r="653">
          <cell r="H653" t="str">
            <v xml:space="preserve">Packaging </v>
          </cell>
        </row>
        <row r="654">
          <cell r="H654" t="str">
            <v xml:space="preserve">Packaging </v>
          </cell>
        </row>
        <row r="655">
          <cell r="H655" t="str">
            <v xml:space="preserve">Packaging </v>
          </cell>
        </row>
        <row r="656">
          <cell r="H656" t="str">
            <v xml:space="preserve">Packaging </v>
          </cell>
        </row>
        <row r="657">
          <cell r="H657" t="str">
            <v xml:space="preserve">Packaging </v>
          </cell>
        </row>
        <row r="658">
          <cell r="H658" t="str">
            <v xml:space="preserve">Packaging </v>
          </cell>
        </row>
        <row r="659">
          <cell r="H659" t="str">
            <v xml:space="preserve">Packaging </v>
          </cell>
        </row>
        <row r="660">
          <cell r="H660" t="str">
            <v xml:space="preserve">Packaging </v>
          </cell>
        </row>
        <row r="661">
          <cell r="H661" t="str">
            <v xml:space="preserve">Packaging </v>
          </cell>
        </row>
        <row r="662">
          <cell r="H662" t="str">
            <v xml:space="preserve">Packaging </v>
          </cell>
        </row>
        <row r="663">
          <cell r="H663" t="str">
            <v xml:space="preserve">Packaging </v>
          </cell>
        </row>
        <row r="664">
          <cell r="H664" t="str">
            <v xml:space="preserve">Packaging </v>
          </cell>
        </row>
        <row r="665">
          <cell r="H665" t="str">
            <v xml:space="preserve">Packaging </v>
          </cell>
        </row>
        <row r="666">
          <cell r="H666" t="str">
            <v xml:space="preserve">Packaging </v>
          </cell>
        </row>
        <row r="667">
          <cell r="H667" t="str">
            <v xml:space="preserve">Packaging </v>
          </cell>
        </row>
        <row r="668">
          <cell r="H668" t="str">
            <v xml:space="preserve">Packaging </v>
          </cell>
        </row>
        <row r="669">
          <cell r="H669" t="str">
            <v xml:space="preserve">Packaging </v>
          </cell>
        </row>
        <row r="670">
          <cell r="H670" t="str">
            <v xml:space="preserve">Packaging </v>
          </cell>
        </row>
        <row r="671">
          <cell r="H671" t="str">
            <v xml:space="preserve">Packaging </v>
          </cell>
        </row>
        <row r="672">
          <cell r="H672" t="str">
            <v xml:space="preserve">Packaging </v>
          </cell>
        </row>
        <row r="673">
          <cell r="H673" t="str">
            <v xml:space="preserve">Packaging </v>
          </cell>
        </row>
        <row r="674">
          <cell r="H674" t="str">
            <v xml:space="preserve">Packaging </v>
          </cell>
        </row>
        <row r="675">
          <cell r="H675" t="str">
            <v xml:space="preserve">Packaging </v>
          </cell>
        </row>
        <row r="676">
          <cell r="H676" t="str">
            <v xml:space="preserve">Packaging </v>
          </cell>
        </row>
        <row r="677">
          <cell r="H677" t="str">
            <v xml:space="preserve">Packaging </v>
          </cell>
        </row>
        <row r="678">
          <cell r="H678" t="str">
            <v xml:space="preserve">Packaging </v>
          </cell>
        </row>
        <row r="679">
          <cell r="H679" t="str">
            <v xml:space="preserve">Packaging </v>
          </cell>
        </row>
        <row r="680">
          <cell r="H680" t="str">
            <v xml:space="preserve">Packaging </v>
          </cell>
        </row>
        <row r="681">
          <cell r="H681" t="str">
            <v xml:space="preserve">Packaging </v>
          </cell>
        </row>
        <row r="682">
          <cell r="H682" t="str">
            <v xml:space="preserve">Packaging </v>
          </cell>
        </row>
        <row r="683">
          <cell r="H683" t="str">
            <v xml:space="preserve">Packaging </v>
          </cell>
        </row>
        <row r="684">
          <cell r="H684" t="str">
            <v xml:space="preserve">Packaging </v>
          </cell>
        </row>
        <row r="685">
          <cell r="H685" t="str">
            <v xml:space="preserve">Packaging </v>
          </cell>
        </row>
        <row r="686">
          <cell r="H686" t="str">
            <v xml:space="preserve">Packaging </v>
          </cell>
        </row>
        <row r="687">
          <cell r="H687" t="str">
            <v xml:space="preserve">Packaging </v>
          </cell>
        </row>
        <row r="688">
          <cell r="H688" t="str">
            <v xml:space="preserve">Packaging </v>
          </cell>
        </row>
        <row r="689">
          <cell r="H689" t="str">
            <v xml:space="preserve">Packaging </v>
          </cell>
        </row>
        <row r="690">
          <cell r="H690" t="str">
            <v xml:space="preserve">Packaging </v>
          </cell>
        </row>
        <row r="691">
          <cell r="H691" t="str">
            <v xml:space="preserve">Packaging </v>
          </cell>
        </row>
        <row r="692">
          <cell r="H692" t="str">
            <v xml:space="preserve">Packaging </v>
          </cell>
        </row>
        <row r="693">
          <cell r="H693" t="str">
            <v xml:space="preserve">Packaging </v>
          </cell>
        </row>
        <row r="694">
          <cell r="H694" t="str">
            <v xml:space="preserve">Packaging </v>
          </cell>
        </row>
        <row r="695">
          <cell r="H695" t="str">
            <v xml:space="preserve">Packaging </v>
          </cell>
        </row>
        <row r="696">
          <cell r="H696" t="str">
            <v xml:space="preserve">Packaging </v>
          </cell>
        </row>
        <row r="697">
          <cell r="H697" t="str">
            <v xml:space="preserve">Packaging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Khabeer" refreshedDate="46249.850973842593" createdVersion="8" refreshedVersion="8" minRefreshableVersion="3" recordCount="2046" xr:uid="{94CBC93B-13CC-446C-B5BA-FDC2D064279F}">
  <cacheSource type="worksheet">
    <worksheetSource ref="A4:W2238" sheet="Recipe Ingredients"/>
  </cacheSource>
  <cacheFields count="21">
    <cacheField name="Recipe Ref" numFmtId="0">
      <sharedItems containsBlank="1" count="158">
        <s v="RCP-SMC-00001"/>
        <s v="RCP-SMC-00002"/>
        <s v="RCP-SMC-00003"/>
        <s v="RCP-SMC-00004"/>
        <s v="RCP-SMC-00005"/>
        <s v="RCP-SMC-00006"/>
        <s v="RCP-SMC-00007"/>
        <s v="RCP-SMC-00008"/>
        <s v="RCP-SMC-00009"/>
        <s v="RCP-SMC-000010"/>
        <s v="RCP-SMC-000011"/>
        <s v="RCP-SMC-000012"/>
        <s v="RCP-SMC-000013"/>
        <s v="RCP-SMC-000014"/>
        <s v="RCP-SMC-000015"/>
        <s v="RCP-SMC-000016"/>
        <s v="RCP-SMC-000017"/>
        <s v="RCP-SMC-000018"/>
        <s v="RCP-SMC-000019"/>
        <s v="RCP-SMC-000020"/>
        <s v="RCP-SMC-000021"/>
        <s v="RCP-SMC-000022"/>
        <s v="RCP-SMC-000023"/>
        <s v="RCP-SMC-000024"/>
        <s v="RCP-SMC-000025"/>
        <s v="RCP-SMC-000026"/>
        <s v="RCP-SMC-000027"/>
        <s v="RCP-SMC-000028"/>
        <s v="RCP-SMC-000029"/>
        <s v="RCP-SMC-000030"/>
        <s v="RCP-SMC-000031"/>
        <s v="RCP-SMC-000032"/>
        <s v="RCP-SMC-000033"/>
        <s v="RCP-SMC-000034"/>
        <s v="RCP-SMC-000035"/>
        <s v="RCP-SMC-000036"/>
        <s v="RCP-SMC-000037"/>
        <s v="RCP-SMC-000038"/>
        <s v="RCP-SMC-000039"/>
        <s v="RCP-SMC-000040"/>
        <s v="RCP-SMC-000041"/>
        <s v="RCP-SMC-000042"/>
        <s v="RCP-SMC-000043"/>
        <s v="RCP-SMC-000044"/>
        <s v="RCP-SMC-000045"/>
        <s v="RCP-SMC-000046"/>
        <s v="RCP-SMC-000047"/>
        <s v="RCP-SMC-000048"/>
        <s v="RCP-SMC-000049"/>
        <s v="RCP-SMC-000050"/>
        <s v="RCP-SMC-000051"/>
        <s v="RCP-SMC-000052"/>
        <s v="RCP-SMC-000053"/>
        <s v="RCP-SMC-000054"/>
        <s v="RCP-SMC-000055"/>
        <s v="RCP-SMC-000056"/>
        <s v="RCP-SMC-000057"/>
        <s v="RCP-SMC-000058"/>
        <s v="RCP-SMC-000059"/>
        <s v="RCP-SMC-000060"/>
        <s v="RCP-SMC-000061"/>
        <s v="RCP-SMC-000062"/>
        <s v="RCP-SMC-000063"/>
        <s v="RCP-SMC-000064"/>
        <s v="RCP-SMC-000065"/>
        <s v="RCP-SMC-000066"/>
        <s v="RCP-SMC-000067"/>
        <s v="RCP-SMC-000068"/>
        <s v="RCP-SMC-000069"/>
        <s v="RCP-SMC-000070"/>
        <s v="RCP-SMC-000071"/>
        <s v="RCP-SMC-000072"/>
        <s v="RCP-SMC-000073"/>
        <s v="RCP-SMC-000074"/>
        <s v="RCP-SMC-000075"/>
        <s v="RCP-SMC-000076"/>
        <s v="RCP-SMC-000077"/>
        <s v="RCP-SMC-000078"/>
        <s v="RCP-SMC-000079"/>
        <s v="RCP-SMC-000080"/>
        <s v="RCP-SMC-000081"/>
        <s v="RCP-SMC-000082"/>
        <s v="RCP-SMC-000083"/>
        <s v="RCP-SMC-000084"/>
        <s v="RCP-SMC-000085"/>
        <s v="RCP-SMC-000086"/>
        <s v="RCP-SMC-000087"/>
        <s v="RCP-SMC-000088"/>
        <s v="RCP-SMC-000089"/>
        <s v="RCP-SMC-000090"/>
        <s v="RCP-SMC-000091"/>
        <s v="RCP-SMC-000092"/>
        <s v="RCP-SMC-000093"/>
        <s v="RCP-SMC-000094"/>
        <s v="RCP-SMC-000095"/>
        <s v="RCP-SMC-000096"/>
        <s v="RCP-SMC-000097"/>
        <s v="RCP-SMC-000098"/>
        <s v="RCP-SMC-000099"/>
        <s v="RCP-SMC-000100"/>
        <s v="RCP-SMC-000101"/>
        <s v="RCP-SMC-000102"/>
        <s v="RCP-SMC-000103"/>
        <s v="RCP-SMC-000104"/>
        <s v="RCP-SMC-000105"/>
        <s v="RCP-SMC-000106"/>
        <s v="RCP-SMC-000107"/>
        <s v="RCP-SMC-000108"/>
        <s v="RCP-SMC-000109"/>
        <s v="RCP-SMC-000110"/>
        <s v="RCP-SMC-000111"/>
        <s v="RCP-SMC-000112"/>
        <s v="RCP-SMC-000113"/>
        <s v="RCP-SMC-000114"/>
        <s v="RCP-SMC-000115"/>
        <s v="RCP-SMC-000116"/>
        <s v="RCP-SMC-000117"/>
        <s v="RCP-SMC-000118"/>
        <s v="RCP-SMC-000119"/>
        <s v="RCP-SMC-000120"/>
        <s v="RCP-SMC-000121"/>
        <s v="RCP-SMC-000122"/>
        <s v="RCP-SMC-000123"/>
        <s v="RCP-SMC-000124"/>
        <s v="RCP-SMC-000125"/>
        <s v="RCP-SMC-000126"/>
        <s v="RCP-SMC-000127"/>
        <s v="RCP-SMC-000128"/>
        <s v="RCP-SMC-000129"/>
        <s v="RCP-SMC-000130"/>
        <s v="RCP-SMC-000131"/>
        <s v="RCP-SMC-000132"/>
        <s v="RCP-SMC-000133"/>
        <s v="RCP-SMC-000134"/>
        <s v="RCP-SMC-000135"/>
        <s v="RCP-SMC-000136"/>
        <s v="RCP-SMC-000137"/>
        <s v="RCP-SMC-000138"/>
        <s v="RCP-SMC-000139"/>
        <s v="RCP-SMC-000140"/>
        <s v="RCP-SMC-000141"/>
        <s v="RCP-SMC-000142"/>
        <s v="RCP-SMC-000143"/>
        <s v="RCP-SMC-000144"/>
        <s v="RCP-SMC-000145"/>
        <s v="RCP-SMC-000146"/>
        <s v="RCP-SMC-000147"/>
        <s v="RCP-SMC-000148"/>
        <s v="RCP-SMC-000149"/>
        <s v="RCP-SMC-000150"/>
        <s v="RCP-SMC-000151"/>
        <s v="RCP-SMC-000152"/>
        <s v="RCP-SMC-000153"/>
        <s v="RCP-SMC-000154"/>
        <s v="RCP-SMC-000155"/>
        <s v="RCP-SMC-000156"/>
        <s v="RCP-SMC-000157"/>
        <m/>
      </sharedItems>
    </cacheField>
    <cacheField name="Brand Name" numFmtId="0">
      <sharedItems containsBlank="1"/>
    </cacheField>
    <cacheField name="Customer Name" numFmtId="0">
      <sharedItems containsBlank="1" count="2">
        <s v="SMC"/>
        <m/>
      </sharedItems>
    </cacheField>
    <cacheField name="Recipe Name" numFmtId="0">
      <sharedItems containsBlank="1" count="148">
        <s v="Thai shrimp curry with white rice"/>
        <s v="kebbeh labnieh with vermicelli rice"/>
        <s v="Beef Picadillo W Soft Rice"/>
        <s v="Low sodium Chicken Breast -Okra"/>
        <s v="Vegetable lasagna"/>
        <s v="Russian meat ball with white rice"/>
        <s v="Chicken Mushroom, Basil alfredo"/>
        <s v="Chicken Biryani"/>
        <s v="Fish harrah with Saffron Rice"/>
        <s v="Halloumi Panini pesto sandwich"/>
        <s v="Beef vegetable qursan"/>
        <s v="chicken mandi with dokus sause"/>
        <s v="Low Sodium Chicken Breast - Vegetables"/>
        <s v="Koshari with crispy onion spicy tomato"/>
        <s v="Veal with Red Burgul lebanese Style"/>
        <s v="Kofta with potato,egyplant"/>
        <s v="Chicken Afritada w Soft Rice"/>
        <s v="Beef Burger"/>
        <s v="Chicken sweet and sour"/>
        <s v="Fish Sayadiah with Brown Rice &amp; Tahina Sauce"/>
        <s v="Beef Lasagna"/>
        <s v="chicken shishtawook with sautee"/>
        <s v="Low sodium,vegeterian edam potato,marrow"/>
        <s v="Steak Mushroom Sauce, Gratin Potato &amp; Vegetables"/>
        <s v="Vegetables Curry With White Rice "/>
        <s v="Stir Fried Beef With Vegetables &amp; Soft Rice "/>
        <s v="Daoud basha vermicelli rice"/>
        <s v="Veal stew with vegetable"/>
        <s v="Chicken Tinola w Pappaya &amp; Chili LeavesWith Soft Rice"/>
        <s v="Chicken Vegetables Noodles"/>
        <s v="Low sodium,low seasoning Chicken Okra"/>
        <s v="Turkey With Cheese Sandwich "/>
        <s v="Herb lemon fish with potato"/>
        <s v="Chicken Stroganoff with mashed potato"/>
        <s v="Mixed Vegetables"/>
        <s v="Fish sweet and sour"/>
        <s v="Beef kaldereta with soft rice"/>
        <s v="Meat Mandi with tahina sauce"/>
        <s v="Chicken Fajita Sandwich"/>
        <s v="Greek meat moussaka with vermicelli rice"/>
        <s v="Chicken ball with rose sause"/>
        <s v="Koshari  Crispy Onion &amp; Tomato Sauce"/>
        <s v="Chicken supreme with pasta"/>
        <s v="Chicken strangof with mashed potato"/>
        <s v="Beef okra stew with vermicelli rice"/>
        <s v="Grilled Chicken Gravy Sauce and white Rice"/>
        <s v="Tex Mex Chicken wrap w potato"/>
        <s v="kabab Halabi"/>
        <s v="Greek Paked Fish,Spinach Rice"/>
        <s v="Minted Meat Ball with Tomato Sause "/>
        <s v="Chicken Adobo with Potato and Soft Rice"/>
        <s v="Beef Spagetti Bolognese"/>
        <s v="Butter Chicken Sause"/>
        <s v="Chicken Burger with Potato"/>
        <s v="Chicken Pasta with Crème Sauce"/>
        <s v="Mushroom Steak Sandwich with Fries"/>
        <s v="Soya Sauce with BBQ"/>
        <s v="Beef Shawarma Wrap"/>
        <s v="Mixed Vegetables Stew vegeterian with white rice"/>
        <s v="Low Sodium Vegeterian Edam,Cut beans"/>
        <s v="White Jareesh &amp; Mash Vegetable"/>
        <s v="Chicken Curry"/>
        <s v="Creamy  Chick. Pasta  &amp; Mash vegetable"/>
        <s v="Beef Curry"/>
        <s v="Chicken Saleek with Mashed Potato"/>
        <s v="Chicken &amp; Vegetables puree lunch"/>
        <s v="Chicken Kabsa"/>
        <s v="Puree dinner beef and Veg"/>
        <s v="Boiled Chicken and Vege Soft Rice"/>
        <s v="Low Sod. Grilled Fish W Rice"/>
        <s v="Low Sodium Grill Vermcelly"/>
        <s v="Mouhalabia"/>
        <s v="Diabetic Mouhalabia"/>
        <s v="Jelly"/>
        <s v="Custard"/>
        <s v="Fruit Slice"/>
        <s v="VIP Fruit Slice"/>
        <s v="Muffin Blueberry"/>
        <s v="English Cake"/>
        <s v="Carrot Cinnamon Muffin"/>
        <s v="English cake marble"/>
        <s v="Lemon English Cake"/>
        <s v="Vanilla Sweet of the day"/>
        <s v="Chocolate  Sweet of the day"/>
        <s v="Clear Chicken Soup"/>
        <s v="Creme of mushroom(soup)"/>
        <s v="Beef Oats Soup with Tomato"/>
        <s v="Strained Creme of mushroom(soup)"/>
        <s v="Crème of corn soup"/>
        <s v="Chicken Orzo Pasta Vegetable"/>
        <s v="Strained creme of corn soup"/>
        <s v=" crème of potato with Pumkin"/>
        <s v="lentil Soup"/>
        <s v="Chicken Potato white Soup"/>
        <s v="Creamy Green Peas soup"/>
        <s v="Rice Chicken lemon soup"/>
        <s v="Tomato Oats soup with vegetable"/>
        <s v="Strained chicken crème soup"/>
        <s v="creme of potato with Pumkin"/>
        <s v="Beef Vermicelli Rice soup"/>
        <s v="lentil vegetable soup"/>
        <s v="Strained Crème Mushroom Soup"/>
        <s v="Strained Creme Corn "/>
        <s v="Red Lentil soup"/>
        <s v="Cream of  Vegetables  soup"/>
        <s v="Beef minesterone soup"/>
        <s v="Chicken Minsterone soup"/>
        <s v="Turkish lentil soup"/>
        <s v="Strained Cream Of Chicken soup"/>
        <s v="Creamy Of Chicken soup"/>
        <s v="Croissant Cheese"/>
        <s v="foul Medames"/>
        <s v="labnah"/>
        <s v="Boiled egg"/>
        <s v="Oats Fruits pudding"/>
        <s v="Bread Arabic Bag"/>
        <s v="Brown Arabic Bread For DM &amp; Cardic"/>
        <s v="Sliced Vegetables"/>
        <s v="Sets Tea &amp; Jam &amp; cheese"/>
        <s v="Set Tea &amp; Jam Strawberry &amp;Chees"/>
        <s v="Set Tea &amp; Honey &amp; cheese "/>
        <s v="Sets Tea &amp; Jam or honey  &amp; cheese"/>
        <s v="Danish Pastry"/>
        <s v="Sakshouka"/>
        <s v="Oats Pudding - Soft Diet"/>
        <s v="Foul Glaba"/>
        <s v="Halawa Tahinia"/>
        <s v="Chicken Manakish"/>
        <s v="Baked Egg "/>
        <s v="Croissant Zaatar "/>
        <s v="Pizza Margeritta"/>
        <s v="Oats Porridge With Dried Mixed Fruit "/>
        <s v="Sauce Caesar"/>
        <s v="Herbs Cheese Sauce"/>
        <s v="Lemon Sauce Mustard Dres"/>
        <s v="Molasses Dressing"/>
        <s v="Tabouleh Lemon Sauce"/>
        <s v="Thousand Island Sauce"/>
        <s v="Special Diet Salad For Soft Daily"/>
        <s v="Cucumber Yoghurt "/>
        <s v="Beetroot Quinoa"/>
        <s v="Fattouch Salad W molasses"/>
        <s v="Beetroot Green Salad with Lemon Dressing"/>
        <s v="Beetroot Quinoa Salad"/>
        <s v="Mexican Salad"/>
        <s v="Chicken Caesar Salad"/>
        <s v="Greek Salad With Lemon"/>
        <m/>
      </sharedItems>
    </cacheField>
    <cacheField name="Days" numFmtId="0">
      <sharedItems containsBlank="1" count="16">
        <s v="Sunday"/>
        <s v="Monday"/>
        <s v="Tuesday"/>
        <s v="Wednesday"/>
        <s v="Thursday"/>
        <s v="Friday"/>
        <s v="Saturday"/>
        <s v="Daily Course"/>
        <s v="Daily"/>
        <s v="Mon &amp; Fri"/>
        <s v="Wed &amp; Sat"/>
        <s v="As per Order"/>
        <s v="Thursday &amp; Sunday"/>
        <s v="Sunday &amp; Wed &amp; Thu"/>
        <s v="Wed &amp; Thu"/>
        <m/>
      </sharedItems>
    </cacheField>
    <cacheField name="Category" numFmtId="0">
      <sharedItems containsBlank="1" count="7">
        <s v="Main Course"/>
        <s v="Desert"/>
        <s v="Soup"/>
        <s v="Breakfast"/>
        <s v="Sauce"/>
        <s v="Salad"/>
        <m/>
      </sharedItems>
    </cacheField>
    <cacheField name="Meal" numFmtId="0">
      <sharedItems containsBlank="1"/>
    </cacheField>
    <cacheField name="Sub Recipe Ref" numFmtId="0">
      <sharedItems containsNonDate="0" containsString="0" containsBlank="1"/>
    </cacheField>
    <cacheField name="Ingredient Type" numFmtId="0">
      <sharedItems containsBlank="1"/>
    </cacheField>
    <cacheField name="Item Code" numFmtId="0">
      <sharedItems containsBlank="1"/>
    </cacheField>
    <cacheField name="Item / Ingredient" numFmtId="0">
      <sharedItems containsBlank="1"/>
    </cacheField>
    <cacheField name="UOM" numFmtId="0">
      <sharedItems containsBlank="1"/>
    </cacheField>
    <cacheField name="St. UOM" numFmtId="0">
      <sharedItems containsBlank="1"/>
    </cacheField>
    <cacheField name="Qty req per Batch (g/pcs)" numFmtId="0">
      <sharedItems containsString="0" containsBlank="1" containsNumber="1" minValue="0" maxValue="50000"/>
    </cacheField>
    <cacheField name="Yield" numFmtId="0">
      <sharedItems containsString="0" containsBlank="1" containsNumber="1" minValue="0.5" maxValue="86.6"/>
    </cacheField>
    <cacheField name="G.Qty req Batch" numFmtId="0">
      <sharedItems containsString="0" containsBlank="1" containsNumber="1" minValue="5.7736720554272525" maxValue="1400"/>
    </cacheField>
    <cacheField name="No. of portions per batch" numFmtId="0">
      <sharedItems containsString="0" containsBlank="1" containsNumber="1" containsInteger="1" minValue="1" maxValue="900"/>
    </cacheField>
    <cacheField name="Portion Size" numFmtId="0">
      <sharedItems containsBlank="1" count="3">
        <m/>
        <s v="200 ML"/>
        <s v="200ML"/>
      </sharedItems>
    </cacheField>
    <cacheField name="Qty req per portion" numFmtId="0">
      <sharedItems containsString="0" containsBlank="1" containsNumber="1" minValue="0" maxValue="333.33333333333331"/>
    </cacheField>
    <cacheField name="PP St. UOM" numFmtId="0">
      <sharedItems containsString="0" containsBlank="1" containsNumber="1" minValue="8.0000000000000007E-5" maxValue="3.73"/>
    </cacheField>
    <cacheField name="Food Cost per portion" numFmtId="0">
      <sharedItems containsString="0" containsBlank="1" containsNumber="1" minValue="0" maxValue="8.72727272727272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6">
  <r>
    <x v="0"/>
    <s v="Gourmet360"/>
    <x v="0"/>
    <x v="0"/>
    <x v="0"/>
    <x v="0"/>
    <m/>
    <m/>
    <s v="Main Recipe"/>
    <s v="SFD2-5320"/>
    <s v="Frz Shrimps (16/20) Without Tail"/>
    <s v="Gram "/>
    <s v="Gram "/>
    <n v="700"/>
    <n v="0.5"/>
    <n v="1400"/>
    <n v="10"/>
    <x v="0"/>
    <n v="70"/>
    <n v="0.115"/>
    <n v="8.0500000000000007"/>
  </r>
  <r>
    <x v="0"/>
    <s v="Gourmet360"/>
    <x v="0"/>
    <x v="0"/>
    <x v="0"/>
    <x v="0"/>
    <m/>
    <m/>
    <m/>
    <s v="PRD1-4265"/>
    <s v="Fresh onion Yellow(Imported)"/>
    <s v="Gram "/>
    <s v="Gram "/>
    <n v="150"/>
    <m/>
    <m/>
    <n v="10"/>
    <x v="0"/>
    <n v="15"/>
    <n v="3.529411764705882E-3"/>
    <n v="5.2941176470588228E-2"/>
  </r>
  <r>
    <x v="0"/>
    <s v="Gourmet360"/>
    <x v="0"/>
    <x v="0"/>
    <x v="0"/>
    <x v="0"/>
    <m/>
    <m/>
    <m/>
    <s v="DRS3-1813"/>
    <s v="Corn Oil (18 Liter)"/>
    <s v="Ml"/>
    <s v="Ml"/>
    <n v="30"/>
    <m/>
    <m/>
    <n v="10"/>
    <x v="0"/>
    <n v="3"/>
    <n v="8.0555555555555554E-3"/>
    <n v="2.4166666666666666E-2"/>
  </r>
  <r>
    <x v="0"/>
    <s v="Gourmet360"/>
    <x v="0"/>
    <x v="0"/>
    <x v="0"/>
    <x v="0"/>
    <m/>
    <m/>
    <m/>
    <s v="PRD1-4327"/>
    <s v="Fresh Garlic Peeled"/>
    <s v="Gram "/>
    <s v="Gram "/>
    <n v="10"/>
    <m/>
    <m/>
    <n v="10"/>
    <x v="0"/>
    <n v="1"/>
    <n v="1.2999999999999999E-2"/>
    <n v="1.2999999999999999E-2"/>
  </r>
  <r>
    <x v="0"/>
    <s v="Gourmet360"/>
    <x v="0"/>
    <x v="0"/>
    <x v="0"/>
    <x v="0"/>
    <m/>
    <m/>
    <m/>
    <s v="PRD1-204"/>
    <s v="Fresh Ginger"/>
    <s v="Gram "/>
    <s v="Gram "/>
    <n v="10"/>
    <m/>
    <m/>
    <n v="10"/>
    <x v="0"/>
    <n v="1"/>
    <n v="8.4337349397590362E-3"/>
    <n v="8.4337349397590362E-3"/>
  </r>
  <r>
    <x v="0"/>
    <s v="Gourmet360"/>
    <x v="0"/>
    <x v="0"/>
    <x v="0"/>
    <x v="0"/>
    <m/>
    <m/>
    <m/>
    <s v="DRS1-472"/>
    <s v="Tom Yum Paste"/>
    <s v="Gram "/>
    <s v="Gram "/>
    <n v="40"/>
    <m/>
    <m/>
    <n v="10"/>
    <x v="0"/>
    <n v="4"/>
    <n v="8.8105726872246701E-2"/>
    <n v="0.3524229074889868"/>
  </r>
  <r>
    <x v="0"/>
    <s v="Gourmet360"/>
    <x v="0"/>
    <x v="0"/>
    <x v="0"/>
    <x v="0"/>
    <m/>
    <m/>
    <m/>
    <s v="DRS6-3608"/>
    <s v="Spice Curry Powder(Kg)"/>
    <s v="Gram "/>
    <s v="Gram "/>
    <n v="50"/>
    <m/>
    <m/>
    <n v="10"/>
    <x v="0"/>
    <n v="5"/>
    <n v="1.6E-2"/>
    <n v="0.08"/>
  </r>
  <r>
    <x v="0"/>
    <s v="Gourmet360"/>
    <x v="0"/>
    <x v="0"/>
    <x v="0"/>
    <x v="0"/>
    <m/>
    <m/>
    <m/>
    <s v="TAP-00001"/>
    <s v="Tap Water-Cooking"/>
    <s v="Ml"/>
    <s v="Ml"/>
    <n v="1200"/>
    <m/>
    <m/>
    <n v="10"/>
    <x v="0"/>
    <n v="120"/>
    <n v="8.0000000000000007E-5"/>
    <n v="9.6000000000000009E-3"/>
  </r>
  <r>
    <x v="0"/>
    <s v="Gourmet360"/>
    <x v="0"/>
    <x v="0"/>
    <x v="0"/>
    <x v="0"/>
    <m/>
    <m/>
    <m/>
    <s v="DRS1-3811"/>
    <s v="Chicken Stock Powder(Packet)"/>
    <s v="Gram "/>
    <s v="Gram "/>
    <n v="15"/>
    <m/>
    <m/>
    <n v="10"/>
    <x v="0"/>
    <n v="1.5"/>
    <n v="2.8475E-2"/>
    <n v="4.27125E-2"/>
  </r>
  <r>
    <x v="0"/>
    <s v="Gourmet360"/>
    <x v="0"/>
    <x v="0"/>
    <x v="0"/>
    <x v="0"/>
    <m/>
    <m/>
    <m/>
    <s v="PRD1-239"/>
    <s v="Fresh Sweet Pepper Green"/>
    <s v="Gram "/>
    <s v="Gram "/>
    <n v="80"/>
    <m/>
    <m/>
    <n v="10"/>
    <x v="0"/>
    <n v="8"/>
    <n v="6.6864784546805346E-3"/>
    <n v="5.3491827637444277E-2"/>
  </r>
  <r>
    <x v="0"/>
    <s v="Gourmet360"/>
    <x v="0"/>
    <x v="0"/>
    <x v="0"/>
    <x v="0"/>
    <m/>
    <m/>
    <m/>
    <s v="PRD1-240"/>
    <s v="Fresh Sweet Pepper Red "/>
    <s v="Gram "/>
    <s v="Gram "/>
    <n v="80"/>
    <m/>
    <m/>
    <n v="10"/>
    <x v="0"/>
    <n v="8"/>
    <n v="1.3293943870014769E-2"/>
    <n v="0.10635155096011815"/>
  </r>
  <r>
    <x v="0"/>
    <s v="Gourmet360"/>
    <x v="0"/>
    <x v="0"/>
    <x v="0"/>
    <x v="0"/>
    <m/>
    <m/>
    <m/>
    <s v="PRD1-241"/>
    <s v="Fresh Sweet Pepper Yellow"/>
    <s v="Gram "/>
    <s v="Gram "/>
    <n v="80"/>
    <m/>
    <m/>
    <n v="10"/>
    <x v="0"/>
    <n v="8"/>
    <n v="1.3196480938416421E-2"/>
    <n v="0.10557184750733137"/>
  </r>
  <r>
    <x v="0"/>
    <s v="Gourmet360"/>
    <x v="0"/>
    <x v="0"/>
    <x v="0"/>
    <x v="0"/>
    <m/>
    <m/>
    <m/>
    <s v="DRS5-21"/>
    <s v="Flour Corn"/>
    <s v="Gram "/>
    <s v="Gram "/>
    <n v="60"/>
    <m/>
    <m/>
    <n v="10"/>
    <x v="0"/>
    <n v="6"/>
    <n v="2.0799999999999998E-3"/>
    <n v="1.2479999999999998E-2"/>
  </r>
  <r>
    <x v="0"/>
    <s v="Gourmet360"/>
    <x v="0"/>
    <x v="0"/>
    <x v="0"/>
    <x v="0"/>
    <m/>
    <m/>
    <m/>
    <s v="PRD1-230"/>
    <s v="Fresh Potato"/>
    <s v="Gram "/>
    <s v="Gram "/>
    <n v="300"/>
    <m/>
    <m/>
    <n v="10"/>
    <x v="0"/>
    <n v="30"/>
    <n v="3.3738191632928472E-3"/>
    <n v="0.10121457489878542"/>
  </r>
  <r>
    <x v="0"/>
    <s v="Gourmet360"/>
    <x v="0"/>
    <x v="0"/>
    <x v="0"/>
    <x v="0"/>
    <m/>
    <m/>
    <m/>
    <s v="PRD1-186"/>
    <s v="Fresh Carrot Imported"/>
    <s v="Gram "/>
    <s v="Gram "/>
    <n v="300"/>
    <m/>
    <m/>
    <n v="10"/>
    <x v="0"/>
    <n v="30"/>
    <n v="5.8139534883720938E-3"/>
    <n v="0.17441860465116282"/>
  </r>
  <r>
    <x v="0"/>
    <s v="Gourmet360"/>
    <x v="0"/>
    <x v="0"/>
    <x v="0"/>
    <x v="0"/>
    <m/>
    <m/>
    <m/>
    <s v="DRS5-3619"/>
    <s v="Coconut Powder (7 Kg)  "/>
    <s v="Gram "/>
    <s v="Gram "/>
    <n v="150"/>
    <m/>
    <m/>
    <n v="10"/>
    <x v="0"/>
    <n v="15"/>
    <n v="1.2857142857142857E-2"/>
    <n v="0.19285714285714287"/>
  </r>
  <r>
    <x v="0"/>
    <s v="Gourmet360"/>
    <x v="0"/>
    <x v="0"/>
    <x v="0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0"/>
    <s v="Gourmet360"/>
    <x v="0"/>
    <x v="0"/>
    <x v="0"/>
    <x v="0"/>
    <m/>
    <m/>
    <m/>
    <s v="DRS4-498"/>
    <s v="Rice Basmati"/>
    <s v="Gram "/>
    <s v="Gram "/>
    <n v="800"/>
    <m/>
    <m/>
    <n v="10"/>
    <x v="0"/>
    <n v="80"/>
    <n v="5.7499999999999999E-3"/>
    <n v="0.45999999999999996"/>
  </r>
  <r>
    <x v="0"/>
    <s v="Gourmet360"/>
    <x v="0"/>
    <x v="0"/>
    <x v="0"/>
    <x v="0"/>
    <m/>
    <m/>
    <m/>
    <s v="TAP-00001"/>
    <s v="Tap Water-Cooking"/>
    <s v="Ml"/>
    <s v="Ml"/>
    <n v="1600"/>
    <m/>
    <m/>
    <n v="10"/>
    <x v="0"/>
    <n v="160"/>
    <n v="8.0000000000000007E-5"/>
    <n v="1.2800000000000001E-2"/>
  </r>
  <r>
    <x v="0"/>
    <s v="Gourmet360"/>
    <x v="0"/>
    <x v="0"/>
    <x v="0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0"/>
    <s v="Gourmet360"/>
    <x v="0"/>
    <x v="0"/>
    <x v="0"/>
    <x v="0"/>
    <m/>
    <m/>
    <m/>
    <s v="DRS3-1813"/>
    <s v="Corn Oil (18 Liter)"/>
    <s v="Ml"/>
    <s v="Ml"/>
    <n v="50"/>
    <m/>
    <m/>
    <n v="10"/>
    <x v="0"/>
    <n v="5"/>
    <n v="8.0555555555555554E-3"/>
    <n v="4.0277777777777773E-2"/>
  </r>
  <r>
    <x v="1"/>
    <s v="Gourmet360"/>
    <x v="0"/>
    <x v="1"/>
    <x v="0"/>
    <x v="0"/>
    <m/>
    <m/>
    <m/>
    <s v="MET2-585"/>
    <s v="Frz Beef Topside"/>
    <s v="Gram "/>
    <s v="Gram "/>
    <n v="500"/>
    <n v="86.6"/>
    <n v="5.7736720554272525"/>
    <n v="10"/>
    <x v="0"/>
    <n v="50"/>
    <n v="4.2630057803468215E-2"/>
    <n v="2.1315028901734108"/>
  </r>
  <r>
    <x v="1"/>
    <s v="Gourmet360"/>
    <x v="0"/>
    <x v="1"/>
    <x v="0"/>
    <x v="0"/>
    <m/>
    <m/>
    <m/>
    <s v="DRS4-3"/>
    <s v="Burgul White (Fine)"/>
    <s v="Gram "/>
    <s v="Gram "/>
    <n v="300"/>
    <m/>
    <m/>
    <n v="10"/>
    <x v="0"/>
    <n v="30"/>
    <n v="6.0000000000000001E-3"/>
    <n v="0.18"/>
  </r>
  <r>
    <x v="1"/>
    <s v="Gourmet360"/>
    <x v="0"/>
    <x v="1"/>
    <x v="0"/>
    <x v="0"/>
    <m/>
    <m/>
    <m/>
    <s v="DRS6-260"/>
    <s v="Spices Cinnamon Powder"/>
    <s v="Gram "/>
    <s v="Gram "/>
    <n v="5"/>
    <m/>
    <m/>
    <n v="10"/>
    <x v="0"/>
    <n v="0.5"/>
    <n v="0.02"/>
    <n v="0.01"/>
  </r>
  <r>
    <x v="1"/>
    <s v="Gourmet360"/>
    <x v="0"/>
    <x v="1"/>
    <x v="0"/>
    <x v="0"/>
    <m/>
    <m/>
    <m/>
    <s v="DRS6-298"/>
    <s v="Spices Sweet Pepper Powder(1 KG)"/>
    <s v="Gram "/>
    <s v="Gram "/>
    <n v="5"/>
    <m/>
    <m/>
    <n v="10"/>
    <x v="0"/>
    <n v="0.5"/>
    <n v="2.1100000000000001E-2"/>
    <n v="1.055E-2"/>
  </r>
  <r>
    <x v="1"/>
    <s v="Gourmet360"/>
    <x v="0"/>
    <x v="1"/>
    <x v="0"/>
    <x v="0"/>
    <m/>
    <m/>
    <m/>
    <s v="DRS1-3880"/>
    <s v="Salt "/>
    <s v="Gram "/>
    <s v="Gram "/>
    <n v="15"/>
    <m/>
    <m/>
    <n v="10"/>
    <x v="0"/>
    <n v="1.5"/>
    <n v="5.0000000000000001E-4"/>
    <n v="7.5000000000000002E-4"/>
  </r>
  <r>
    <x v="1"/>
    <s v="Gourmet360"/>
    <x v="0"/>
    <x v="1"/>
    <x v="0"/>
    <x v="0"/>
    <m/>
    <m/>
    <m/>
    <s v="DRS6-309"/>
    <s v="Spice Pepper White Powder"/>
    <s v="Gram "/>
    <s v="Gram "/>
    <n v="1"/>
    <m/>
    <m/>
    <n v="10"/>
    <x v="0"/>
    <n v="0.1"/>
    <n v="2.8000000000000001E-2"/>
    <n v="2.8000000000000004E-3"/>
  </r>
  <r>
    <x v="1"/>
    <s v="Gourmet360"/>
    <x v="0"/>
    <x v="1"/>
    <x v="0"/>
    <x v="0"/>
    <m/>
    <m/>
    <m/>
    <s v="DRY2-1160"/>
    <s v="Yogurt Plain big 10 KG"/>
    <s v="Gram "/>
    <s v="Gram "/>
    <n v="1500"/>
    <m/>
    <m/>
    <n v="10"/>
    <x v="0"/>
    <n v="150"/>
    <n v="4.4000000000000003E-3"/>
    <n v="0.66"/>
  </r>
  <r>
    <x v="1"/>
    <s v="Gourmet360"/>
    <x v="0"/>
    <x v="1"/>
    <x v="0"/>
    <x v="0"/>
    <m/>
    <m/>
    <m/>
    <s v="DRS3-1813"/>
    <s v="Corn Oil (18 Liter)"/>
    <s v="Ml"/>
    <s v="Ml"/>
    <n v="30"/>
    <m/>
    <m/>
    <n v="10"/>
    <x v="0"/>
    <n v="3"/>
    <n v="8.0555555555555554E-3"/>
    <n v="2.4166666666666666E-2"/>
  </r>
  <r>
    <x v="1"/>
    <s v="Gourmet360"/>
    <x v="0"/>
    <x v="1"/>
    <x v="0"/>
    <x v="0"/>
    <m/>
    <m/>
    <m/>
    <s v="DRY2-1858"/>
    <s v="Cooking Cream 1 Ltr"/>
    <s v="Ml"/>
    <s v="Ml"/>
    <n v="150"/>
    <m/>
    <m/>
    <n v="10"/>
    <x v="0"/>
    <n v="15"/>
    <n v="9.8800000000000016E-3"/>
    <n v="0.14820000000000003"/>
  </r>
  <r>
    <x v="1"/>
    <s v="Gourmet360"/>
    <x v="0"/>
    <x v="1"/>
    <x v="0"/>
    <x v="0"/>
    <m/>
    <m/>
    <m/>
    <s v="MET2-585"/>
    <s v="Frz Beef Topside"/>
    <s v="Gram "/>
    <s v="Gram "/>
    <n v="500"/>
    <m/>
    <m/>
    <n v="10"/>
    <x v="0"/>
    <n v="50"/>
    <n v="4.2630057803468215E-2"/>
    <n v="2.1315028901734108"/>
  </r>
  <r>
    <x v="1"/>
    <s v="Gourmet360"/>
    <x v="0"/>
    <x v="1"/>
    <x v="0"/>
    <x v="0"/>
    <m/>
    <m/>
    <m/>
    <s v="DRY2-1008"/>
    <s v="Butter 82% Fat(Unsalted) 25 kg"/>
    <s v="Gram "/>
    <s v="Gram "/>
    <n v="50"/>
    <m/>
    <m/>
    <n v="10"/>
    <x v="0"/>
    <n v="5"/>
    <n v="0.03"/>
    <n v="0.15"/>
  </r>
  <r>
    <x v="1"/>
    <s v="Gourmet360"/>
    <x v="0"/>
    <x v="1"/>
    <x v="0"/>
    <x v="0"/>
    <m/>
    <m/>
    <m/>
    <s v="PRD1-4265"/>
    <s v="Fresh onion Yellow(Imported)"/>
    <s v="Gram "/>
    <s v="Gram "/>
    <n v="250"/>
    <m/>
    <m/>
    <n v="10"/>
    <x v="0"/>
    <n v="25"/>
    <n v="3.529411764705882E-3"/>
    <n v="8.8235294117647051E-2"/>
  </r>
  <r>
    <x v="1"/>
    <s v="Gourmet360"/>
    <x v="0"/>
    <x v="1"/>
    <x v="0"/>
    <x v="0"/>
    <m/>
    <m/>
    <m/>
    <s v="DRS6-298"/>
    <s v="Spices Sweet Pepper Powder(1 KG)"/>
    <s v="Gram "/>
    <s v="Gram "/>
    <n v="3"/>
    <m/>
    <m/>
    <n v="10"/>
    <x v="0"/>
    <n v="0.3"/>
    <n v="2.1100000000000001E-2"/>
    <n v="6.3299999999999997E-3"/>
  </r>
  <r>
    <x v="1"/>
    <s v="Gourmet360"/>
    <x v="0"/>
    <x v="1"/>
    <x v="0"/>
    <x v="0"/>
    <m/>
    <m/>
    <m/>
    <s v="DRS6-260"/>
    <s v="Spices Cinnamon Powder"/>
    <s v="Gram "/>
    <s v="Gram "/>
    <n v="3"/>
    <m/>
    <m/>
    <n v="10"/>
    <x v="0"/>
    <n v="0.3"/>
    <n v="0.02"/>
    <n v="6.0000000000000001E-3"/>
  </r>
  <r>
    <x v="1"/>
    <s v="Gourmet360"/>
    <x v="0"/>
    <x v="1"/>
    <x v="0"/>
    <x v="0"/>
    <m/>
    <m/>
    <m/>
    <s v="DRS2-3628"/>
    <s v="Pasta Vermicelli-Cuts,N:61"/>
    <s v="Gram "/>
    <s v="Gram "/>
    <n v="100"/>
    <m/>
    <m/>
    <n v="10"/>
    <x v="0"/>
    <n v="10"/>
    <n v="1.1066666666666667E-2"/>
    <n v="0.11066666666666668"/>
  </r>
  <r>
    <x v="1"/>
    <s v="Gourmet360"/>
    <x v="0"/>
    <x v="1"/>
    <x v="0"/>
    <x v="0"/>
    <m/>
    <m/>
    <m/>
    <s v="DRS4-498"/>
    <s v="Rice Basmati"/>
    <s v="Gram "/>
    <s v="Gram "/>
    <n v="1000"/>
    <m/>
    <m/>
    <n v="10"/>
    <x v="0"/>
    <n v="100"/>
    <n v="5.7499999999999999E-3"/>
    <n v="0.57499999999999996"/>
  </r>
  <r>
    <x v="1"/>
    <s v="Gourmet360"/>
    <x v="0"/>
    <x v="1"/>
    <x v="0"/>
    <x v="0"/>
    <m/>
    <m/>
    <m/>
    <s v="TAP-00001"/>
    <s v="Tap Water-Cooking"/>
    <s v="Ml"/>
    <s v="Ml"/>
    <n v="1800"/>
    <m/>
    <m/>
    <n v="10"/>
    <x v="0"/>
    <n v="180"/>
    <n v="8.0000000000000007E-5"/>
    <n v="1.4400000000000001E-2"/>
  </r>
  <r>
    <x v="1"/>
    <s v="Gourmet360"/>
    <x v="0"/>
    <x v="1"/>
    <x v="0"/>
    <x v="0"/>
    <m/>
    <m/>
    <m/>
    <s v="DRS3-1813"/>
    <s v="Corn Oil (18 Liter)"/>
    <s v="Ml"/>
    <s v="Ml"/>
    <n v="50"/>
    <m/>
    <m/>
    <n v="10"/>
    <x v="0"/>
    <n v="5"/>
    <n v="8.0555555555555554E-3"/>
    <n v="4.0277777777777773E-2"/>
  </r>
  <r>
    <x v="1"/>
    <s v="Gourmet360"/>
    <x v="0"/>
    <x v="1"/>
    <x v="0"/>
    <x v="0"/>
    <m/>
    <m/>
    <m/>
    <s v="DRS1-3880"/>
    <s v="Salt "/>
    <s v="Gram "/>
    <s v="Gram "/>
    <n v="5"/>
    <m/>
    <m/>
    <n v="10"/>
    <x v="0"/>
    <n v="0.5"/>
    <n v="5.0000000000000001E-4"/>
    <n v="2.5000000000000001E-4"/>
  </r>
  <r>
    <x v="2"/>
    <s v="Gourmet360"/>
    <x v="0"/>
    <x v="2"/>
    <x v="0"/>
    <x v="0"/>
    <m/>
    <m/>
    <m/>
    <s v="MET2-585"/>
    <s v="Frz Beef Topside"/>
    <s v="Gram "/>
    <s v="Gram "/>
    <n v="800"/>
    <m/>
    <m/>
    <n v="10"/>
    <x v="0"/>
    <n v="80"/>
    <n v="4.2630057803468215E-2"/>
    <n v="3.4104046242774571"/>
  </r>
  <r>
    <x v="2"/>
    <s v="Gourmet360"/>
    <x v="0"/>
    <x v="2"/>
    <x v="0"/>
    <x v="0"/>
    <m/>
    <m/>
    <m/>
    <s v="DRS3-1813"/>
    <s v="Corn Oil (18 Liter)"/>
    <s v="Ml"/>
    <s v="Ml"/>
    <n v="80"/>
    <m/>
    <m/>
    <n v="10"/>
    <x v="0"/>
    <n v="8"/>
    <n v="8.0555555555555554E-3"/>
    <n v="6.4444444444444443E-2"/>
  </r>
  <r>
    <x v="2"/>
    <s v="Gourmet360"/>
    <x v="0"/>
    <x v="2"/>
    <x v="0"/>
    <x v="0"/>
    <m/>
    <m/>
    <m/>
    <s v="PRD1-4265"/>
    <s v="Fresh onion Yellow(Imported)"/>
    <s v="Gram "/>
    <s v="Gram "/>
    <n v="200"/>
    <m/>
    <m/>
    <n v="10"/>
    <x v="0"/>
    <n v="20"/>
    <n v="3.529411764705882E-3"/>
    <n v="7.0588235294117646E-2"/>
  </r>
  <r>
    <x v="2"/>
    <s v="Gourmet360"/>
    <x v="0"/>
    <x v="2"/>
    <x v="0"/>
    <x v="0"/>
    <m/>
    <m/>
    <m/>
    <s v="PRD1-4327"/>
    <s v="Fresh Garlic Peeled"/>
    <s v="Gram "/>
    <s v="Gram "/>
    <n v="25"/>
    <m/>
    <m/>
    <n v="10"/>
    <x v="0"/>
    <n v="2.5"/>
    <n v="1.2999999999999999E-2"/>
    <n v="3.2500000000000001E-2"/>
  </r>
  <r>
    <x v="2"/>
    <s v="Gourmet360"/>
    <x v="0"/>
    <x v="2"/>
    <x v="0"/>
    <x v="0"/>
    <m/>
    <m/>
    <m/>
    <s v="PRD1-204"/>
    <s v="Fresh Ginger"/>
    <s v="Gram "/>
    <s v="Gram "/>
    <n v="25"/>
    <m/>
    <m/>
    <n v="10"/>
    <x v="0"/>
    <n v="2.5"/>
    <n v="8.4337349397590362E-3"/>
    <n v="2.1084337349397589E-2"/>
  </r>
  <r>
    <x v="2"/>
    <s v="Gourmet360"/>
    <x v="0"/>
    <x v="2"/>
    <x v="0"/>
    <x v="0"/>
    <m/>
    <m/>
    <m/>
    <s v="DRS6-537"/>
    <s v="Spices Pepper Black Powder(1 Kg)"/>
    <s v="Gram "/>
    <s v="Gram "/>
    <n v="3"/>
    <m/>
    <m/>
    <n v="10"/>
    <x v="0"/>
    <n v="0.3"/>
    <n v="3.5000000000000003E-2"/>
    <n v="1.0500000000000001E-2"/>
  </r>
  <r>
    <x v="2"/>
    <s v="Gourmet360"/>
    <x v="0"/>
    <x v="2"/>
    <x v="0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2"/>
    <s v="Gourmet360"/>
    <x v="0"/>
    <x v="2"/>
    <x v="0"/>
    <x v="0"/>
    <m/>
    <m/>
    <m/>
    <s v="DRS1-1747"/>
    <s v="Can Tomato Paste (4500 Gram)"/>
    <s v="Gram "/>
    <s v="Gram "/>
    <n v="15"/>
    <m/>
    <m/>
    <n v="10"/>
    <x v="0"/>
    <n v="1.5"/>
    <n v="5.185185185185185E-3"/>
    <n v="7.7777777777777776E-3"/>
  </r>
  <r>
    <x v="2"/>
    <s v="Gourmet360"/>
    <x v="0"/>
    <x v="2"/>
    <x v="0"/>
    <x v="0"/>
    <m/>
    <m/>
    <m/>
    <s v="DRS1-607"/>
    <s v="Can Tomato Peeled"/>
    <s v="Gram "/>
    <s v="Gram "/>
    <n v="300"/>
    <m/>
    <m/>
    <n v="10"/>
    <x v="0"/>
    <n v="30"/>
    <n v="5.8823529411764705E-3"/>
    <n v="0.1764705882352941"/>
  </r>
  <r>
    <x v="2"/>
    <s v="Gourmet360"/>
    <x v="0"/>
    <x v="2"/>
    <x v="0"/>
    <x v="0"/>
    <m/>
    <m/>
    <m/>
    <s v="PRD2-4092"/>
    <s v="Frz Peas&amp;Carrots(800 Gram)"/>
    <s v="Gram "/>
    <s v="Gram "/>
    <n v="500"/>
    <m/>
    <m/>
    <n v="10"/>
    <x v="0"/>
    <n v="50"/>
    <n v="1.40625E-2"/>
    <n v="0.703125"/>
  </r>
  <r>
    <x v="2"/>
    <s v="Gourmet360"/>
    <x v="0"/>
    <x v="2"/>
    <x v="0"/>
    <x v="0"/>
    <m/>
    <m/>
    <m/>
    <s v="PRD1-230"/>
    <s v="Fresh Potato"/>
    <s v="Gram "/>
    <s v="Gram "/>
    <n v="400"/>
    <m/>
    <m/>
    <n v="10"/>
    <x v="0"/>
    <n v="40"/>
    <n v="3.3738191632928472E-3"/>
    <n v="0.1349527665317139"/>
  </r>
  <r>
    <x v="2"/>
    <s v="Gourmet360"/>
    <x v="0"/>
    <x v="2"/>
    <x v="0"/>
    <x v="0"/>
    <m/>
    <m/>
    <m/>
    <s v="DRS4-1457"/>
    <s v="Rice Egypt"/>
    <s v="Gram "/>
    <s v="Gram "/>
    <n v="1000"/>
    <m/>
    <m/>
    <n v="10"/>
    <x v="0"/>
    <n v="100"/>
    <n v="6.4999999999999997E-3"/>
    <n v="0.65"/>
  </r>
  <r>
    <x v="2"/>
    <s v="Gourmet360"/>
    <x v="0"/>
    <x v="2"/>
    <x v="0"/>
    <x v="0"/>
    <m/>
    <m/>
    <m/>
    <s v="TAP-00001"/>
    <s v="Tap Water-Cooking"/>
    <s v="Ml"/>
    <s v="Ml"/>
    <n v="1800"/>
    <m/>
    <m/>
    <n v="10"/>
    <x v="0"/>
    <n v="180"/>
    <n v="8.0000000000000007E-5"/>
    <n v="1.4400000000000001E-2"/>
  </r>
  <r>
    <x v="2"/>
    <s v="Gourmet360"/>
    <x v="0"/>
    <x v="2"/>
    <x v="0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3"/>
    <s v="Gourmet360"/>
    <x v="0"/>
    <x v="3"/>
    <x v="0"/>
    <x v="0"/>
    <m/>
    <m/>
    <m/>
    <s v="PLT2-3278"/>
    <s v="Frz Chicken Breast Tender (KG)"/>
    <s v="Gram "/>
    <s v="Gram "/>
    <n v="1000"/>
    <m/>
    <m/>
    <n v="10"/>
    <x v="0"/>
    <n v="100"/>
    <n v="3.0357142857142853E-2"/>
    <n v="3.0357142857142851"/>
  </r>
  <r>
    <x v="3"/>
    <s v="Gourmet360"/>
    <x v="0"/>
    <x v="3"/>
    <x v="0"/>
    <x v="0"/>
    <m/>
    <m/>
    <m/>
    <s v="DRS3-1615"/>
    <s v="Olive Oil (CAN)"/>
    <s v="Ml"/>
    <s v="Ml"/>
    <n v="50"/>
    <m/>
    <m/>
    <n v="10"/>
    <x v="0"/>
    <n v="5"/>
    <n v="1.2E-2"/>
    <n v="0.06"/>
  </r>
  <r>
    <x v="3"/>
    <s v="Gourmet360"/>
    <x v="0"/>
    <x v="3"/>
    <x v="0"/>
    <x v="0"/>
    <m/>
    <m/>
    <m/>
    <s v="PRD1-4265"/>
    <s v="Fresh onion Yellow(Imported)"/>
    <s v="Gram "/>
    <s v="Gram "/>
    <n v="150"/>
    <m/>
    <m/>
    <n v="10"/>
    <x v="0"/>
    <n v="15"/>
    <n v="3.529411764705882E-3"/>
    <n v="5.2941176470588228E-2"/>
  </r>
  <r>
    <x v="3"/>
    <s v="Gourmet360"/>
    <x v="0"/>
    <x v="3"/>
    <x v="0"/>
    <x v="0"/>
    <m/>
    <m/>
    <m/>
    <s v="PRD1-4327"/>
    <s v="Fresh Garlic Peeled"/>
    <s v="Gram "/>
    <s v="Gram "/>
    <n v="20"/>
    <m/>
    <m/>
    <n v="10"/>
    <x v="0"/>
    <n v="2"/>
    <n v="1.2999999999999999E-2"/>
    <n v="2.5999999999999999E-2"/>
  </r>
  <r>
    <x v="3"/>
    <s v="Gourmet360"/>
    <x v="0"/>
    <x v="3"/>
    <x v="0"/>
    <x v="0"/>
    <m/>
    <m/>
    <m/>
    <s v="PRD2-366"/>
    <s v="Frz Okra Zero(400 Gram)"/>
    <s v="Gram "/>
    <s v="Gram "/>
    <n v="1000"/>
    <m/>
    <m/>
    <n v="10"/>
    <x v="0"/>
    <n v="100"/>
    <n v="1.3125E-2"/>
    <n v="1.3125"/>
  </r>
  <r>
    <x v="3"/>
    <s v="Gourmet360"/>
    <x v="0"/>
    <x v="3"/>
    <x v="0"/>
    <x v="0"/>
    <m/>
    <m/>
    <m/>
    <s v="DRS1-1747"/>
    <s v="Can Tomato Paste (4500 Gram)"/>
    <s v="Gram "/>
    <s v="Gram "/>
    <n v="80"/>
    <m/>
    <m/>
    <n v="10"/>
    <x v="0"/>
    <n v="8"/>
    <n v="5.185185185185185E-3"/>
    <n v="4.148148148148148E-2"/>
  </r>
  <r>
    <x v="3"/>
    <s v="Gourmet360"/>
    <x v="0"/>
    <x v="3"/>
    <x v="0"/>
    <x v="0"/>
    <m/>
    <m/>
    <m/>
    <s v="TAP-00001"/>
    <s v="Tap Water-Cooking"/>
    <s v="Ml"/>
    <s v="Ml"/>
    <n v="1000"/>
    <m/>
    <m/>
    <n v="10"/>
    <x v="0"/>
    <n v="100"/>
    <n v="8.0000000000000007E-5"/>
    <n v="8.0000000000000002E-3"/>
  </r>
  <r>
    <x v="3"/>
    <s v="Gourmet360"/>
    <x v="0"/>
    <x v="3"/>
    <x v="0"/>
    <x v="0"/>
    <m/>
    <m/>
    <m/>
    <s v="DRS6-537"/>
    <s v="Spices Pepper Black Powder(1 Kg)"/>
    <s v="Gram "/>
    <s v="Gram "/>
    <n v="1"/>
    <m/>
    <m/>
    <n v="10"/>
    <x v="0"/>
    <n v="0.1"/>
    <n v="3.5000000000000003E-2"/>
    <n v="3.5000000000000005E-3"/>
  </r>
  <r>
    <x v="3"/>
    <s v="Gourmet360"/>
    <x v="0"/>
    <x v="3"/>
    <x v="0"/>
    <x v="0"/>
    <m/>
    <m/>
    <m/>
    <s v="DRS6-733"/>
    <s v="Spices Cumin Powder"/>
    <s v="Gram "/>
    <s v="Gram "/>
    <n v="2"/>
    <m/>
    <m/>
    <n v="10"/>
    <x v="0"/>
    <n v="0.2"/>
    <n v="2.8000000000000001E-2"/>
    <n v="5.6000000000000008E-3"/>
  </r>
  <r>
    <x v="3"/>
    <s v="Gourmet360"/>
    <x v="0"/>
    <x v="3"/>
    <x v="0"/>
    <x v="0"/>
    <m/>
    <m/>
    <m/>
    <s v="DRS6-266"/>
    <s v="Spices Coriander Powder"/>
    <s v="Gram "/>
    <s v="Gram "/>
    <n v="2"/>
    <m/>
    <m/>
    <n v="10"/>
    <x v="0"/>
    <n v="0.2"/>
    <n v="1.4E-2"/>
    <n v="2.8000000000000004E-3"/>
  </r>
  <r>
    <x v="3"/>
    <s v="Gourmet360"/>
    <x v="0"/>
    <x v="3"/>
    <x v="0"/>
    <x v="0"/>
    <m/>
    <m/>
    <m/>
    <s v="PRD1-195"/>
    <s v="Fresh Coriander "/>
    <s v="Gram "/>
    <s v="Gram "/>
    <n v="30"/>
    <m/>
    <m/>
    <n v="10"/>
    <x v="0"/>
    <n v="3"/>
    <n v="9.3676814988290415E-3"/>
    <n v="2.8103044496487123E-2"/>
  </r>
  <r>
    <x v="3"/>
    <s v="Gourmet360"/>
    <x v="0"/>
    <x v="3"/>
    <x v="0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3"/>
    <s v="Gourmet360"/>
    <x v="0"/>
    <x v="3"/>
    <x v="0"/>
    <x v="0"/>
    <m/>
    <m/>
    <m/>
    <s v="DRS1-3811"/>
    <s v="Chicken Stock Powder(Packet)"/>
    <s v="Gram "/>
    <s v="Gram "/>
    <n v="30"/>
    <m/>
    <m/>
    <n v="10"/>
    <x v="0"/>
    <n v="3"/>
    <n v="2.8475E-2"/>
    <n v="8.5425000000000001E-2"/>
  </r>
  <r>
    <x v="3"/>
    <s v="Gourmet360"/>
    <x v="0"/>
    <x v="3"/>
    <x v="0"/>
    <x v="0"/>
    <m/>
    <m/>
    <m/>
    <s v="DRS1-607"/>
    <s v="Can Tomato Peeled"/>
    <s v="Gram "/>
    <s v="Gram "/>
    <n v="250"/>
    <m/>
    <m/>
    <n v="10"/>
    <x v="0"/>
    <n v="25"/>
    <n v="5.8823529411764705E-3"/>
    <n v="0.14705882352941177"/>
  </r>
  <r>
    <x v="3"/>
    <s v="Gourmet360"/>
    <x v="0"/>
    <x v="3"/>
    <x v="0"/>
    <x v="0"/>
    <m/>
    <m/>
    <m/>
    <s v="DRS4-498"/>
    <s v="Rice Basmati"/>
    <s v="Gram "/>
    <s v="Gram "/>
    <n v="1000"/>
    <m/>
    <m/>
    <n v="10"/>
    <x v="0"/>
    <n v="100"/>
    <n v="5.7499999999999999E-3"/>
    <n v="0.57499999999999996"/>
  </r>
  <r>
    <x v="3"/>
    <s v="Gourmet360"/>
    <x v="0"/>
    <x v="3"/>
    <x v="0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3"/>
    <s v="Gourmet360"/>
    <x v="0"/>
    <x v="3"/>
    <x v="0"/>
    <x v="0"/>
    <m/>
    <m/>
    <m/>
    <s v="DRS3-1813"/>
    <s v="Corn Oil (18 Liter)"/>
    <s v="Ml"/>
    <s v="Ml"/>
    <n v="50"/>
    <m/>
    <m/>
    <n v="10"/>
    <x v="0"/>
    <n v="5"/>
    <n v="8.0555555555555554E-3"/>
    <n v="4.0277777777777773E-2"/>
  </r>
  <r>
    <x v="3"/>
    <s v="Gourmet360"/>
    <x v="0"/>
    <x v="3"/>
    <x v="0"/>
    <x v="0"/>
    <m/>
    <m/>
    <m/>
    <s v="DRS6-3593"/>
    <s v="Spices Bay Leaves"/>
    <s v="Gram "/>
    <s v="Gram "/>
    <n v="1"/>
    <m/>
    <m/>
    <n v="10"/>
    <x v="0"/>
    <n v="0.1"/>
    <n v="8.0000000000000002E-3"/>
    <n v="8.0000000000000004E-4"/>
  </r>
  <r>
    <x v="3"/>
    <s v="Gourmet360"/>
    <x v="0"/>
    <x v="3"/>
    <x v="0"/>
    <x v="0"/>
    <m/>
    <m/>
    <m/>
    <s v="DRS6-261"/>
    <s v="Spices Cinnamon Sticks"/>
    <s v="Gram "/>
    <s v="Gram "/>
    <n v="2"/>
    <m/>
    <m/>
    <n v="10"/>
    <x v="0"/>
    <n v="0.2"/>
    <n v="1.4E-2"/>
    <n v="2.8000000000000004E-3"/>
  </r>
  <r>
    <x v="3"/>
    <s v="Gourmet360"/>
    <x v="0"/>
    <x v="3"/>
    <x v="0"/>
    <x v="0"/>
    <m/>
    <m/>
    <m/>
    <s v="TAP-00001"/>
    <s v="Tap Water-Cooking"/>
    <s v="Ml"/>
    <s v="Ml"/>
    <n v="1800"/>
    <m/>
    <m/>
    <n v="10"/>
    <x v="0"/>
    <n v="180"/>
    <n v="8.0000000000000007E-5"/>
    <n v="1.4400000000000001E-2"/>
  </r>
  <r>
    <x v="4"/>
    <s v="Gourmet360"/>
    <x v="0"/>
    <x v="4"/>
    <x v="0"/>
    <x v="0"/>
    <m/>
    <m/>
    <m/>
    <s v="PRD1-4265"/>
    <s v="Fresh onion Yellow(Imported)"/>
    <s v="Gram "/>
    <s v="Gram "/>
    <n v="200"/>
    <m/>
    <m/>
    <n v="15"/>
    <x v="0"/>
    <n v="13.333333333333334"/>
    <n v="3.529411764705882E-3"/>
    <n v="4.7058823529411764E-2"/>
  </r>
  <r>
    <x v="4"/>
    <s v="Gourmet360"/>
    <x v="0"/>
    <x v="4"/>
    <x v="0"/>
    <x v="0"/>
    <m/>
    <m/>
    <m/>
    <s v="PRD1-4327"/>
    <s v="Fresh Garlic Peeled"/>
    <s v="Gram "/>
    <s v="Gram "/>
    <n v="20"/>
    <m/>
    <m/>
    <n v="15"/>
    <x v="0"/>
    <n v="1.3333333333333333"/>
    <n v="1.2999999999999999E-2"/>
    <n v="1.7333333333333333E-2"/>
  </r>
  <r>
    <x v="4"/>
    <s v="Gourmet360"/>
    <x v="0"/>
    <x v="4"/>
    <x v="0"/>
    <x v="0"/>
    <m/>
    <m/>
    <m/>
    <s v="DRS3-1813"/>
    <s v="Corn Oil (18 Liter)"/>
    <s v="Ml"/>
    <s v="Ml"/>
    <n v="40"/>
    <m/>
    <m/>
    <n v="15"/>
    <x v="0"/>
    <n v="2.6666666666666665"/>
    <n v="8.0555555555555554E-3"/>
    <n v="2.148148148148148E-2"/>
  </r>
  <r>
    <x v="4"/>
    <s v="Gourmet360"/>
    <x v="0"/>
    <x v="4"/>
    <x v="0"/>
    <x v="0"/>
    <m/>
    <m/>
    <m/>
    <s v="PRD1-186"/>
    <s v="Fresh Carrot Imported"/>
    <s v="Gram "/>
    <s v="Gram "/>
    <n v="800"/>
    <m/>
    <m/>
    <n v="15"/>
    <x v="0"/>
    <n v="53.333333333333336"/>
    <n v="5.8139534883720938E-3"/>
    <n v="0.31007751937984501"/>
  </r>
  <r>
    <x v="4"/>
    <s v="Gourmet360"/>
    <x v="0"/>
    <x v="4"/>
    <x v="0"/>
    <x v="0"/>
    <m/>
    <m/>
    <m/>
    <s v="PRD1-3794"/>
    <s v="Fresh Baby Marrow"/>
    <s v="Gram "/>
    <s v="Gram "/>
    <n v="800"/>
    <m/>
    <m/>
    <n v="15"/>
    <x v="0"/>
    <n v="53.333333333333336"/>
    <n v="4.9382716049382715E-3"/>
    <n v="0.26337448559670784"/>
  </r>
  <r>
    <x v="4"/>
    <s v="Gourmet360"/>
    <x v="0"/>
    <x v="4"/>
    <x v="0"/>
    <x v="0"/>
    <m/>
    <m/>
    <m/>
    <s v="PRD1-240"/>
    <s v="Fresh Sweet Pepper Red "/>
    <s v="Gram "/>
    <s v="Gram "/>
    <n v="400"/>
    <m/>
    <m/>
    <n v="15"/>
    <x v="0"/>
    <n v="26.666666666666668"/>
    <n v="1.3293943870014769E-2"/>
    <n v="0.35450516986706054"/>
  </r>
  <r>
    <x v="4"/>
    <s v="Gourmet360"/>
    <x v="0"/>
    <x v="4"/>
    <x v="0"/>
    <x v="0"/>
    <m/>
    <m/>
    <m/>
    <s v="DRS6-537"/>
    <s v="Spices Pepper Black Powder(1 Kg)"/>
    <s v="Gram "/>
    <s v="Gram "/>
    <n v="4"/>
    <m/>
    <m/>
    <n v="15"/>
    <x v="0"/>
    <n v="0.26666666666666666"/>
    <n v="3.5000000000000003E-2"/>
    <n v="9.3333333333333341E-3"/>
  </r>
  <r>
    <x v="4"/>
    <s v="Gourmet360"/>
    <x v="0"/>
    <x v="4"/>
    <x v="0"/>
    <x v="0"/>
    <m/>
    <m/>
    <m/>
    <s v="DRS1-1747"/>
    <s v="Can Tomato Paste (4500 Gram)"/>
    <s v="Gram "/>
    <s v="Gram "/>
    <n v="1250"/>
    <m/>
    <m/>
    <n v="15"/>
    <x v="0"/>
    <n v="83.333333333333329"/>
    <n v="5.185185185185185E-3"/>
    <n v="0.43209876543209874"/>
  </r>
  <r>
    <x v="4"/>
    <s v="Gourmet360"/>
    <x v="0"/>
    <x v="4"/>
    <x v="0"/>
    <x v="0"/>
    <m/>
    <m/>
    <m/>
    <s v="DRS1-4417"/>
    <s v="Vegetable Stock Powder(Packet)"/>
    <s v="Gram "/>
    <s v="Gram "/>
    <n v="20"/>
    <m/>
    <m/>
    <n v="15"/>
    <x v="0"/>
    <n v="1.3333333333333333"/>
    <n v="3.6754545454545456E-2"/>
    <n v="4.9006060606060609E-2"/>
  </r>
  <r>
    <x v="4"/>
    <s v="Gourmet360"/>
    <x v="0"/>
    <x v="4"/>
    <x v="0"/>
    <x v="0"/>
    <m/>
    <m/>
    <m/>
    <s v="DRS1-3880"/>
    <s v="Salt "/>
    <s v="Gram "/>
    <s v="Gram "/>
    <n v="10"/>
    <m/>
    <m/>
    <n v="15"/>
    <x v="0"/>
    <n v="0.66666666666666663"/>
    <n v="5.0000000000000001E-4"/>
    <n v="3.3333333333333332E-4"/>
  </r>
  <r>
    <x v="4"/>
    <s v="Gourmet360"/>
    <x v="0"/>
    <x v="4"/>
    <x v="0"/>
    <x v="0"/>
    <m/>
    <m/>
    <m/>
    <s v="DRY1-1801"/>
    <s v="Cheese Mozzarella Grated (KG)"/>
    <s v="Gram "/>
    <s v="Gram "/>
    <n v="400"/>
    <m/>
    <m/>
    <n v="15"/>
    <x v="0"/>
    <n v="26.666666666666668"/>
    <n v="2.5000000000000001E-2"/>
    <n v="0.66666666666666674"/>
  </r>
  <r>
    <x v="4"/>
    <s v="Gourmet360"/>
    <x v="0"/>
    <x v="4"/>
    <x v="0"/>
    <x v="0"/>
    <m/>
    <m/>
    <m/>
    <s v="DRY2-1008"/>
    <s v="Butter 82% Fat(Unsalted) 25 kg"/>
    <s v="Gram "/>
    <s v="Gram "/>
    <n v="70"/>
    <m/>
    <m/>
    <n v="15"/>
    <x v="0"/>
    <n v="4.666666666666667"/>
    <n v="0.03"/>
    <n v="0.14000000000000001"/>
  </r>
  <r>
    <x v="4"/>
    <s v="Gourmet360"/>
    <x v="0"/>
    <x v="4"/>
    <x v="0"/>
    <x v="0"/>
    <m/>
    <m/>
    <m/>
    <s v="DRS5-40"/>
    <s v="Flour White"/>
    <s v="Gram "/>
    <s v="Gram "/>
    <n v="70"/>
    <m/>
    <m/>
    <n v="15"/>
    <x v="0"/>
    <n v="4.666666666666667"/>
    <n v="7.7777777777777773E-4"/>
    <n v="3.6296296296296298E-3"/>
  </r>
  <r>
    <x v="4"/>
    <s v="Gourmet360"/>
    <x v="0"/>
    <x v="4"/>
    <x v="0"/>
    <x v="0"/>
    <m/>
    <m/>
    <m/>
    <s v="TAP-00001"/>
    <s v="Tap Water-Cooking"/>
    <s v="Ml"/>
    <s v="Ml"/>
    <n v="1000"/>
    <m/>
    <m/>
    <n v="15"/>
    <x v="0"/>
    <n v="66.666666666666671"/>
    <n v="8.0000000000000007E-5"/>
    <n v="5.333333333333334E-3"/>
  </r>
  <r>
    <x v="4"/>
    <s v="Gourmet360"/>
    <x v="0"/>
    <x v="4"/>
    <x v="0"/>
    <x v="0"/>
    <m/>
    <m/>
    <m/>
    <s v="DRS6-309"/>
    <s v="Spice Pepper White Powder"/>
    <s v="Gram "/>
    <s v="Gram "/>
    <n v="2"/>
    <m/>
    <m/>
    <n v="15"/>
    <x v="0"/>
    <n v="0.13333333333333333"/>
    <n v="2.8000000000000001E-2"/>
    <n v="3.7333333333333333E-3"/>
  </r>
  <r>
    <x v="4"/>
    <s v="Gourmet360"/>
    <x v="0"/>
    <x v="4"/>
    <x v="0"/>
    <x v="0"/>
    <m/>
    <m/>
    <m/>
    <s v="DRY2-1858"/>
    <s v="Cooking Cream 1 Ltr"/>
    <s v="Ml"/>
    <s v="Ml"/>
    <n v="400"/>
    <m/>
    <m/>
    <n v="15"/>
    <x v="0"/>
    <n v="26.666666666666668"/>
    <n v="9.8800000000000016E-3"/>
    <n v="0.26346666666666674"/>
  </r>
  <r>
    <x v="4"/>
    <s v="Gourmet360"/>
    <x v="0"/>
    <x v="4"/>
    <x v="0"/>
    <x v="0"/>
    <m/>
    <m/>
    <m/>
    <s v="DRS5-59"/>
    <s v="Milk Powder"/>
    <s v="Gram "/>
    <s v="Gram "/>
    <n v="50"/>
    <m/>
    <m/>
    <n v="15"/>
    <x v="0"/>
    <n v="3.3333333333333335"/>
    <n v="1.4319999999999999E-2"/>
    <n v="4.7733333333333336E-2"/>
  </r>
  <r>
    <x v="4"/>
    <s v="Gourmet360"/>
    <x v="0"/>
    <x v="4"/>
    <x v="0"/>
    <x v="0"/>
    <m/>
    <m/>
    <m/>
    <s v="DRS1-3880"/>
    <s v="Salt "/>
    <s v="Gram "/>
    <s v="Gram "/>
    <n v="10"/>
    <m/>
    <m/>
    <n v="15"/>
    <x v="0"/>
    <n v="0.66666666666666663"/>
    <n v="5.0000000000000001E-4"/>
    <n v="3.3333333333333332E-4"/>
  </r>
  <r>
    <x v="4"/>
    <s v="Gourmet360"/>
    <x v="0"/>
    <x v="4"/>
    <x v="0"/>
    <x v="0"/>
    <m/>
    <m/>
    <m/>
    <s v="DRS2-1367"/>
    <s v="Pasta Lasagna (500 Gram)"/>
    <s v="Gram "/>
    <s v="Gram "/>
    <n v="500"/>
    <m/>
    <m/>
    <n v="15"/>
    <x v="0"/>
    <n v="33.333333333333336"/>
    <n v="2.666E-2"/>
    <n v="0.88866666666666672"/>
  </r>
  <r>
    <x v="4"/>
    <s v="Gourmet360"/>
    <x v="0"/>
    <x v="4"/>
    <x v="0"/>
    <x v="0"/>
    <m/>
    <m/>
    <m/>
    <s v="DRS6-290"/>
    <s v="Spice Nutmeg Powder"/>
    <s v="Gram "/>
    <s v="Gram "/>
    <n v="1"/>
    <m/>
    <m/>
    <n v="15"/>
    <x v="0"/>
    <n v="6.6666666666666666E-2"/>
    <n v="0.18"/>
    <n v="1.2E-2"/>
  </r>
  <r>
    <x v="5"/>
    <s v="Gourmet360"/>
    <x v="0"/>
    <x v="5"/>
    <x v="0"/>
    <x v="0"/>
    <m/>
    <m/>
    <m/>
    <s v="MET2-4655"/>
    <s v="Frz Meat Ball"/>
    <s v="Gram "/>
    <s v="Gram "/>
    <n v="1000"/>
    <m/>
    <m/>
    <n v="10"/>
    <x v="0"/>
    <n v="100"/>
    <n v="2.3699999999999999E-2"/>
    <n v="2.37"/>
  </r>
  <r>
    <x v="5"/>
    <s v="Gourmet360"/>
    <x v="0"/>
    <x v="5"/>
    <x v="0"/>
    <x v="0"/>
    <m/>
    <m/>
    <m/>
    <s v="DRS1-4103"/>
    <s v="Butter Peanuts(794 Gram)"/>
    <s v="Gram "/>
    <s v="Gram "/>
    <n v="80"/>
    <m/>
    <m/>
    <n v="10"/>
    <x v="0"/>
    <n v="8"/>
    <n v="2.67632241813602E-2"/>
    <n v="0.2141057934508816"/>
  </r>
  <r>
    <x v="5"/>
    <s v="Gourmet360"/>
    <x v="0"/>
    <x v="5"/>
    <x v="0"/>
    <x v="0"/>
    <m/>
    <m/>
    <m/>
    <s v="DRS3-1813"/>
    <s v="Corn Oil (18 Liter)"/>
    <s v="Ml"/>
    <s v="Ml"/>
    <n v="80"/>
    <m/>
    <m/>
    <n v="10"/>
    <x v="0"/>
    <n v="8"/>
    <n v="8.0555555555555554E-3"/>
    <n v="6.4444444444444443E-2"/>
  </r>
  <r>
    <x v="5"/>
    <s v="Gourmet360"/>
    <x v="0"/>
    <x v="5"/>
    <x v="0"/>
    <x v="0"/>
    <m/>
    <m/>
    <m/>
    <s v="PRD1-4327"/>
    <s v="Fresh Garlic Peeled"/>
    <s v="Gram "/>
    <s v="Gram "/>
    <n v="10"/>
    <m/>
    <m/>
    <n v="10"/>
    <x v="0"/>
    <n v="1"/>
    <n v="1.2999999999999999E-2"/>
    <n v="1.2999999999999999E-2"/>
  </r>
  <r>
    <x v="5"/>
    <s v="Gourmet360"/>
    <x v="0"/>
    <x v="5"/>
    <x v="0"/>
    <x v="0"/>
    <m/>
    <m/>
    <m/>
    <s v="PRD1-4265"/>
    <s v="Fresh onion Yellow(Imported)"/>
    <s v="Gram "/>
    <s v="Gram "/>
    <n v="100"/>
    <m/>
    <m/>
    <n v="10"/>
    <x v="0"/>
    <n v="10"/>
    <n v="3.529411764705882E-3"/>
    <n v="3.5294117647058823E-2"/>
  </r>
  <r>
    <x v="5"/>
    <s v="Gourmet360"/>
    <x v="0"/>
    <x v="5"/>
    <x v="0"/>
    <x v="0"/>
    <m/>
    <m/>
    <m/>
    <s v="DRS1-3813"/>
    <s v="Beef Stock Powder(Packet)"/>
    <s v="Gram "/>
    <s v="Gram "/>
    <n v="15"/>
    <m/>
    <m/>
    <n v="10"/>
    <x v="0"/>
    <n v="1.5"/>
    <n v="4.4441666666666664E-2"/>
    <n v="6.66625E-2"/>
  </r>
  <r>
    <x v="5"/>
    <s v="Gourmet360"/>
    <x v="0"/>
    <x v="5"/>
    <x v="0"/>
    <x v="0"/>
    <m/>
    <m/>
    <m/>
    <s v="DRS1-3357"/>
    <s v="Sauce Demi Glace(1.2Kg)"/>
    <s v="Gram "/>
    <s v="Gram "/>
    <n v="40"/>
    <m/>
    <m/>
    <n v="10"/>
    <x v="0"/>
    <n v="4"/>
    <n v="6.8440000000000001E-2"/>
    <n v="0.27376"/>
  </r>
  <r>
    <x v="5"/>
    <s v="Gourmet360"/>
    <x v="0"/>
    <x v="5"/>
    <x v="0"/>
    <x v="0"/>
    <m/>
    <m/>
    <m/>
    <s v="DRS6-537"/>
    <s v="Spices Pepper Black Powder(1 Kg)"/>
    <s v="Gram "/>
    <s v="Gram "/>
    <n v="3"/>
    <m/>
    <m/>
    <n v="10"/>
    <x v="0"/>
    <n v="0.3"/>
    <n v="3.5000000000000003E-2"/>
    <n v="1.0500000000000001E-2"/>
  </r>
  <r>
    <x v="5"/>
    <s v="Gourmet360"/>
    <x v="0"/>
    <x v="5"/>
    <x v="0"/>
    <x v="0"/>
    <m/>
    <m/>
    <m/>
    <s v="DRS1-3880"/>
    <s v="Salt "/>
    <s v="Gram "/>
    <s v="Gram "/>
    <n v="5"/>
    <m/>
    <m/>
    <n v="10"/>
    <x v="0"/>
    <n v="0.5"/>
    <n v="5.0000000000000001E-4"/>
    <n v="2.5000000000000001E-4"/>
  </r>
  <r>
    <x v="5"/>
    <s v="Gourmet360"/>
    <x v="0"/>
    <x v="5"/>
    <x v="0"/>
    <x v="0"/>
    <m/>
    <m/>
    <m/>
    <s v="DRS1-446"/>
    <s v="Sauce Barbecue"/>
    <s v="Gram "/>
    <s v="Gram "/>
    <n v="5"/>
    <m/>
    <m/>
    <n v="10"/>
    <x v="0"/>
    <n v="0.5"/>
    <n v="1.2986807387862797E-2"/>
    <n v="6.4934036939313985E-3"/>
  </r>
  <r>
    <x v="5"/>
    <s v="Gourmet360"/>
    <x v="0"/>
    <x v="5"/>
    <x v="0"/>
    <x v="0"/>
    <m/>
    <m/>
    <m/>
    <s v="DRS5-40"/>
    <s v="Flour White"/>
    <s v="Gram "/>
    <s v="Gram "/>
    <n v="10"/>
    <m/>
    <m/>
    <n v="10"/>
    <x v="0"/>
    <n v="1"/>
    <n v="7.7777777777777773E-4"/>
    <n v="7.7777777777777773E-4"/>
  </r>
  <r>
    <x v="5"/>
    <s v="Gourmet360"/>
    <x v="0"/>
    <x v="5"/>
    <x v="0"/>
    <x v="0"/>
    <m/>
    <m/>
    <m/>
    <s v="TAP-00001"/>
    <s v="Tap Water-Cooking"/>
    <s v="Ml"/>
    <s v="Ml"/>
    <n v="1250"/>
    <m/>
    <m/>
    <n v="10"/>
    <x v="0"/>
    <n v="125"/>
    <n v="8.0000000000000007E-5"/>
    <n v="0.01"/>
  </r>
  <r>
    <x v="5"/>
    <s v="Gourmet360"/>
    <x v="0"/>
    <x v="5"/>
    <x v="0"/>
    <x v="0"/>
    <m/>
    <m/>
    <m/>
    <s v="DRY2-1858"/>
    <s v="Cooking Cream 1 Ltr"/>
    <s v="Ml"/>
    <s v="Ml"/>
    <n v="150"/>
    <m/>
    <m/>
    <n v="10"/>
    <x v="0"/>
    <n v="15"/>
    <n v="9.8800000000000016E-3"/>
    <n v="0.14820000000000003"/>
  </r>
  <r>
    <x v="5"/>
    <s v="Gourmet360"/>
    <x v="0"/>
    <x v="5"/>
    <x v="0"/>
    <x v="0"/>
    <m/>
    <m/>
    <m/>
    <s v="DRS1-1549"/>
    <s v="Mustard Yellow Cream (JAR)"/>
    <s v="Gram "/>
    <s v="Gram "/>
    <n v="20"/>
    <m/>
    <m/>
    <n v="10"/>
    <x v="0"/>
    <n v="2"/>
    <n v="7.5966850828729279E-3"/>
    <n v="1.5193370165745856E-2"/>
  </r>
  <r>
    <x v="5"/>
    <s v="Gourmet360"/>
    <x v="0"/>
    <x v="5"/>
    <x v="0"/>
    <x v="0"/>
    <m/>
    <m/>
    <m/>
    <s v="DRS4-498"/>
    <s v="Rice Basmati"/>
    <s v="Gram "/>
    <s v="Gram "/>
    <n v="1000"/>
    <m/>
    <m/>
    <n v="10"/>
    <x v="0"/>
    <n v="100"/>
    <n v="5.7499999999999999E-3"/>
    <n v="0.57499999999999996"/>
  </r>
  <r>
    <x v="5"/>
    <s v="Gourmet360"/>
    <x v="0"/>
    <x v="5"/>
    <x v="0"/>
    <x v="0"/>
    <m/>
    <m/>
    <m/>
    <s v="TAP-00001"/>
    <s v="Tap Water-Cooking"/>
    <s v="Ml"/>
    <s v="Ml"/>
    <n v="1800"/>
    <m/>
    <m/>
    <n v="10"/>
    <x v="0"/>
    <n v="180"/>
    <n v="8.0000000000000007E-5"/>
    <n v="1.4400000000000001E-2"/>
  </r>
  <r>
    <x v="5"/>
    <s v="Gourmet360"/>
    <x v="0"/>
    <x v="5"/>
    <x v="0"/>
    <x v="0"/>
    <m/>
    <m/>
    <m/>
    <s v="DRS1-3880"/>
    <s v="Salt "/>
    <s v="Gram "/>
    <s v="Gram "/>
    <n v="8"/>
    <m/>
    <m/>
    <n v="10"/>
    <x v="0"/>
    <n v="0.8"/>
    <n v="5.0000000000000001E-4"/>
    <n v="4.0000000000000002E-4"/>
  </r>
  <r>
    <x v="5"/>
    <s v="Gourmet360"/>
    <x v="0"/>
    <x v="5"/>
    <x v="0"/>
    <x v="0"/>
    <m/>
    <m/>
    <m/>
    <s v="DRY2-1008"/>
    <s v="Butter 82% Fat(Unsalted) 25 kg"/>
    <s v="Gram "/>
    <s v="Gram "/>
    <n v="50"/>
    <m/>
    <m/>
    <n v="10"/>
    <x v="0"/>
    <n v="5"/>
    <n v="0.03"/>
    <n v="0.15"/>
  </r>
  <r>
    <x v="6"/>
    <s v="Gourmet360"/>
    <x v="0"/>
    <x v="6"/>
    <x v="0"/>
    <x v="0"/>
    <m/>
    <m/>
    <m/>
    <s v="PLT2-3278"/>
    <s v="Frz Chicken Breast Tender (KG)"/>
    <s v="Gram "/>
    <s v="Gram "/>
    <n v="1200"/>
    <m/>
    <m/>
    <n v="10"/>
    <x v="0"/>
    <n v="120"/>
    <n v="3.0357142857142853E-2"/>
    <n v="3.6428571428571423"/>
  </r>
  <r>
    <x v="6"/>
    <s v="Gourmet360"/>
    <x v="0"/>
    <x v="6"/>
    <x v="0"/>
    <x v="0"/>
    <m/>
    <m/>
    <m/>
    <s v="DRS5-3866"/>
    <s v="Mashed Potato Flakes"/>
    <s v="Gram "/>
    <s v="Gram "/>
    <n v="300"/>
    <m/>
    <m/>
    <n v="10"/>
    <x v="0"/>
    <n v="30"/>
    <n v="0.02"/>
    <n v="0.6"/>
  </r>
  <r>
    <x v="6"/>
    <s v="Gourmet360"/>
    <x v="0"/>
    <x v="6"/>
    <x v="0"/>
    <x v="0"/>
    <m/>
    <m/>
    <m/>
    <s v="DRS5-59"/>
    <s v="Milk Powder"/>
    <s v="Gram "/>
    <s v="Gram "/>
    <n v="80"/>
    <m/>
    <m/>
    <n v="10"/>
    <x v="0"/>
    <n v="8"/>
    <n v="1.4319999999999999E-2"/>
    <n v="0.11456"/>
  </r>
  <r>
    <x v="6"/>
    <s v="Gourmet360"/>
    <x v="0"/>
    <x v="6"/>
    <x v="0"/>
    <x v="0"/>
    <m/>
    <m/>
    <m/>
    <s v="DRS6-309"/>
    <s v="Spice Pepper White Powder"/>
    <s v="Gram "/>
    <s v="Gram "/>
    <n v="2"/>
    <m/>
    <m/>
    <n v="10"/>
    <x v="0"/>
    <n v="0.2"/>
    <n v="2.8000000000000001E-2"/>
    <n v="5.6000000000000008E-3"/>
  </r>
  <r>
    <x v="6"/>
    <s v="Gourmet360"/>
    <x v="0"/>
    <x v="6"/>
    <x v="0"/>
    <x v="0"/>
    <m/>
    <m/>
    <m/>
    <s v="DRY2-1008"/>
    <s v="Butter 82% Fat(Unsalted) 25 kg"/>
    <s v="Gram "/>
    <s v="Gram "/>
    <n v="30"/>
    <m/>
    <m/>
    <n v="10"/>
    <x v="0"/>
    <n v="3"/>
    <n v="0.03"/>
    <n v="0.09"/>
  </r>
  <r>
    <x v="6"/>
    <s v="Gourmet360"/>
    <x v="0"/>
    <x v="6"/>
    <x v="0"/>
    <x v="0"/>
    <m/>
    <m/>
    <m/>
    <s v="DRY2-1858"/>
    <s v="Cooking Cream 1 Ltr"/>
    <s v="Ml"/>
    <s v="Ml"/>
    <n v="30"/>
    <m/>
    <m/>
    <n v="10"/>
    <x v="0"/>
    <n v="3"/>
    <n v="9.8800000000000016E-3"/>
    <n v="2.9640000000000007E-2"/>
  </r>
  <r>
    <x v="6"/>
    <s v="Gourmet360"/>
    <x v="0"/>
    <x v="6"/>
    <x v="0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6"/>
    <s v="Gourmet360"/>
    <x v="0"/>
    <x v="6"/>
    <x v="0"/>
    <x v="0"/>
    <m/>
    <m/>
    <m/>
    <s v="TAP-00001"/>
    <s v="Tap Water-Cooking"/>
    <s v="Ml"/>
    <s v="Ml"/>
    <n v="1200"/>
    <m/>
    <m/>
    <n v="10"/>
    <x v="0"/>
    <n v="120"/>
    <n v="8.0000000000000007E-5"/>
    <n v="9.6000000000000009E-3"/>
  </r>
  <r>
    <x v="6"/>
    <s v="Gourmet360"/>
    <x v="0"/>
    <x v="6"/>
    <x v="0"/>
    <x v="0"/>
    <m/>
    <m/>
    <m/>
    <s v="PRD1-223"/>
    <s v="Fresh Mushroom"/>
    <s v="Gram "/>
    <s v="Gram "/>
    <n v="400"/>
    <m/>
    <m/>
    <n v="10"/>
    <x v="0"/>
    <n v="40"/>
    <n v="2.3231256599788808E-2"/>
    <n v="0.92925026399155231"/>
  </r>
  <r>
    <x v="6"/>
    <s v="Gourmet360"/>
    <x v="0"/>
    <x v="6"/>
    <x v="0"/>
    <x v="0"/>
    <m/>
    <m/>
    <m/>
    <s v="DRY2-1008"/>
    <s v="Butter 82% Fat(Unsalted) 25 kg"/>
    <s v="Gram "/>
    <s v="Gram "/>
    <n v="30"/>
    <m/>
    <m/>
    <n v="10"/>
    <x v="0"/>
    <n v="3"/>
    <n v="0.03"/>
    <n v="0.09"/>
  </r>
  <r>
    <x v="6"/>
    <s v="Gourmet360"/>
    <x v="0"/>
    <x v="6"/>
    <x v="0"/>
    <x v="0"/>
    <m/>
    <m/>
    <m/>
    <s v="DRS3-1813"/>
    <s v="Corn Oil (18 Liter)"/>
    <s v="Ml"/>
    <s v="Ml"/>
    <n v="30"/>
    <m/>
    <m/>
    <n v="10"/>
    <x v="0"/>
    <n v="3"/>
    <n v="8.0555555555555554E-3"/>
    <n v="2.4166666666666666E-2"/>
  </r>
  <r>
    <x v="6"/>
    <s v="Gourmet360"/>
    <x v="0"/>
    <x v="6"/>
    <x v="0"/>
    <x v="0"/>
    <m/>
    <m/>
    <m/>
    <s v="PRD1-4265"/>
    <s v="Fresh onion Yellow(Imported)"/>
    <s v="Gram "/>
    <s v="Gram "/>
    <n v="25"/>
    <m/>
    <m/>
    <n v="10"/>
    <x v="0"/>
    <n v="2.5"/>
    <n v="3.529411764705882E-3"/>
    <n v="8.8235294117647058E-3"/>
  </r>
  <r>
    <x v="6"/>
    <s v="Gourmet360"/>
    <x v="0"/>
    <x v="6"/>
    <x v="0"/>
    <x v="0"/>
    <m/>
    <m/>
    <m/>
    <s v="PRD1-4327"/>
    <s v="Fresh Garlic Peeled"/>
    <s v="Gram "/>
    <s v="Gram "/>
    <n v="3"/>
    <m/>
    <m/>
    <n v="10"/>
    <x v="0"/>
    <n v="0.3"/>
    <n v="1.2999999999999999E-2"/>
    <n v="3.8999999999999998E-3"/>
  </r>
  <r>
    <x v="6"/>
    <s v="Gourmet360"/>
    <x v="0"/>
    <x v="6"/>
    <x v="0"/>
    <x v="0"/>
    <m/>
    <m/>
    <m/>
    <s v="DRS5-40"/>
    <s v="Flour White"/>
    <s v="Gram "/>
    <s v="Gram "/>
    <n v="75"/>
    <m/>
    <m/>
    <n v="10"/>
    <x v="0"/>
    <n v="7.5"/>
    <n v="7.7777777777777773E-4"/>
    <n v="5.8333333333333327E-3"/>
  </r>
  <r>
    <x v="6"/>
    <s v="Gourmet360"/>
    <x v="0"/>
    <x v="6"/>
    <x v="0"/>
    <x v="0"/>
    <m/>
    <m/>
    <m/>
    <s v="DRS5-59"/>
    <s v="Milk Powder"/>
    <s v="Gram "/>
    <s v="Gram "/>
    <n v="75"/>
    <m/>
    <m/>
    <n v="10"/>
    <x v="0"/>
    <n v="7.5"/>
    <n v="1.4319999999999999E-2"/>
    <n v="0.1074"/>
  </r>
  <r>
    <x v="6"/>
    <s v="Gourmet360"/>
    <x v="0"/>
    <x v="6"/>
    <x v="0"/>
    <x v="0"/>
    <m/>
    <m/>
    <m/>
    <s v="DRS1-3811"/>
    <s v="Chicken Stock Powder(Packet)"/>
    <s v="Gram "/>
    <s v="Gram "/>
    <n v="15"/>
    <m/>
    <m/>
    <n v="10"/>
    <x v="0"/>
    <n v="1.5"/>
    <n v="2.8475E-2"/>
    <n v="4.27125E-2"/>
  </r>
  <r>
    <x v="6"/>
    <s v="Gourmet360"/>
    <x v="0"/>
    <x v="6"/>
    <x v="0"/>
    <x v="0"/>
    <m/>
    <m/>
    <m/>
    <s v="DRY2-1858"/>
    <s v="Cooking Cream 1 Ltr"/>
    <s v="Ml"/>
    <s v="Ml"/>
    <n v="300"/>
    <m/>
    <m/>
    <n v="10"/>
    <x v="0"/>
    <n v="30"/>
    <n v="9.8800000000000016E-3"/>
    <n v="0.29640000000000005"/>
  </r>
  <r>
    <x v="6"/>
    <s v="Gourmet360"/>
    <x v="0"/>
    <x v="6"/>
    <x v="0"/>
    <x v="0"/>
    <m/>
    <m/>
    <m/>
    <s v="DRY1-342"/>
    <s v="Cheese Parmesan Padano1 KG (permegano)"/>
    <s v="Gram "/>
    <s v="Gram "/>
    <n v="200"/>
    <m/>
    <m/>
    <n v="10"/>
    <x v="0"/>
    <n v="20"/>
    <n v="5.2999999999999999E-2"/>
    <n v="1.06"/>
  </r>
  <r>
    <x v="6"/>
    <s v="Gourmet360"/>
    <x v="0"/>
    <x v="6"/>
    <x v="0"/>
    <x v="0"/>
    <m/>
    <m/>
    <m/>
    <s v="TAP-00001"/>
    <s v="Tap Water-Cooking"/>
    <s v="Ml"/>
    <s v="Ml"/>
    <n v="1500"/>
    <m/>
    <m/>
    <n v="10"/>
    <x v="0"/>
    <n v="150"/>
    <n v="8.0000000000000007E-5"/>
    <n v="1.2E-2"/>
  </r>
  <r>
    <x v="6"/>
    <s v="Gourmet360"/>
    <x v="0"/>
    <x v="6"/>
    <x v="0"/>
    <x v="0"/>
    <m/>
    <m/>
    <m/>
    <s v="DRS6-309"/>
    <s v="Spice Pepper White Powder"/>
    <s v="Gram "/>
    <s v="Gram "/>
    <n v="2"/>
    <m/>
    <m/>
    <n v="10"/>
    <x v="0"/>
    <n v="0.2"/>
    <n v="2.8000000000000001E-2"/>
    <n v="5.6000000000000008E-3"/>
  </r>
  <r>
    <x v="6"/>
    <s v="Gourmet360"/>
    <x v="0"/>
    <x v="6"/>
    <x v="0"/>
    <x v="0"/>
    <m/>
    <m/>
    <m/>
    <s v="DRS6-1781"/>
    <s v="Dry Basil"/>
    <s v="Gram "/>
    <s v="Gram "/>
    <n v="3"/>
    <m/>
    <m/>
    <n v="10"/>
    <x v="0"/>
    <n v="0.3"/>
    <n v="6.5000000000000002E-2"/>
    <n v="1.95E-2"/>
  </r>
  <r>
    <x v="7"/>
    <s v="Gourmet360"/>
    <x v="0"/>
    <x v="7"/>
    <x v="0"/>
    <x v="0"/>
    <m/>
    <m/>
    <m/>
    <s v="PLT2-3278"/>
    <s v="Frz Chicken Breast Tender (KG)"/>
    <s v="Gram "/>
    <s v="Gram "/>
    <n v="1200"/>
    <m/>
    <m/>
    <n v="10"/>
    <x v="0"/>
    <n v="120"/>
    <n v="3.0357142857142853E-2"/>
    <n v="3.6428571428571423"/>
  </r>
  <r>
    <x v="7"/>
    <s v="Gourmet360"/>
    <x v="0"/>
    <x v="7"/>
    <x v="0"/>
    <x v="0"/>
    <m/>
    <m/>
    <m/>
    <s v="PRD1-4265"/>
    <s v="Fresh onion Yellow(Imported)"/>
    <s v="Gram "/>
    <s v="Gram "/>
    <n v="500"/>
    <m/>
    <m/>
    <n v="10"/>
    <x v="0"/>
    <n v="50"/>
    <n v="3.529411764705882E-3"/>
    <n v="0.1764705882352941"/>
  </r>
  <r>
    <x v="7"/>
    <s v="Gourmet360"/>
    <x v="0"/>
    <x v="7"/>
    <x v="0"/>
    <x v="0"/>
    <m/>
    <m/>
    <m/>
    <s v="DRS6-4482"/>
    <s v="Spice Garlic Powder(Kg)"/>
    <s v="Gram "/>
    <s v="Gram "/>
    <n v="25"/>
    <m/>
    <m/>
    <n v="10"/>
    <x v="0"/>
    <n v="2.5"/>
    <n v="1.04E-2"/>
    <n v="2.5999999999999999E-2"/>
  </r>
  <r>
    <x v="7"/>
    <s v="Gourmet360"/>
    <x v="0"/>
    <x v="7"/>
    <x v="0"/>
    <x v="0"/>
    <m/>
    <m/>
    <m/>
    <s v="DRS1-4840"/>
    <s v="Can Chopped Tomato"/>
    <s v="Gram "/>
    <s v="Gram "/>
    <n v="700"/>
    <m/>
    <m/>
    <n v="10"/>
    <x v="0"/>
    <n v="70"/>
    <n v="6.0000000000000001E-3"/>
    <n v="0.42"/>
  </r>
  <r>
    <x v="7"/>
    <s v="Gourmet360"/>
    <x v="0"/>
    <x v="7"/>
    <x v="0"/>
    <x v="0"/>
    <m/>
    <m/>
    <m/>
    <s v="DRY2-3401"/>
    <s v="Labneh Full Fat(2750 Gram)"/>
    <s v="Gram "/>
    <s v="Gram "/>
    <n v="250"/>
    <m/>
    <m/>
    <n v="10"/>
    <x v="0"/>
    <n v="25"/>
    <n v="1.2272727272727272E-2"/>
    <n v="0.30681818181818182"/>
  </r>
  <r>
    <x v="7"/>
    <s v="Gourmet360"/>
    <x v="0"/>
    <x v="7"/>
    <x v="0"/>
    <x v="0"/>
    <m/>
    <m/>
    <m/>
    <s v="DRY2-1858"/>
    <s v="Cooking Cream 1 Ltr"/>
    <s v="Ml"/>
    <s v="Ml"/>
    <n v="100"/>
    <m/>
    <m/>
    <n v="10"/>
    <x v="0"/>
    <n v="10"/>
    <n v="9.8800000000000016E-3"/>
    <n v="9.8800000000000013E-2"/>
  </r>
  <r>
    <x v="7"/>
    <s v="Gourmet360"/>
    <x v="0"/>
    <x v="7"/>
    <x v="0"/>
    <x v="0"/>
    <m/>
    <m/>
    <m/>
    <s v="PRD1-195"/>
    <s v="Fresh Coriander "/>
    <s v="Gram "/>
    <s v="Gram "/>
    <n v="20"/>
    <m/>
    <m/>
    <n v="10"/>
    <x v="0"/>
    <n v="2"/>
    <n v="9.3676814988290415E-3"/>
    <n v="1.8735362997658083E-2"/>
  </r>
  <r>
    <x v="7"/>
    <s v="Gourmet360"/>
    <x v="0"/>
    <x v="7"/>
    <x v="0"/>
    <x v="0"/>
    <m/>
    <m/>
    <m/>
    <s v="DRS6-1674"/>
    <s v="Spice Turmeric Powder (1 Kg)"/>
    <s v="Gram "/>
    <s v="Gram "/>
    <n v="4"/>
    <m/>
    <m/>
    <n v="10"/>
    <x v="0"/>
    <n v="0.4"/>
    <n v="1.2500000000000001E-2"/>
    <n v="5.000000000000001E-3"/>
  </r>
  <r>
    <x v="7"/>
    <s v="Gourmet360"/>
    <x v="0"/>
    <x v="7"/>
    <x v="0"/>
    <x v="0"/>
    <m/>
    <m/>
    <m/>
    <s v="DRS6-266"/>
    <s v="Spices Coriander Powder"/>
    <s v="Gram "/>
    <s v="Gram "/>
    <n v="5"/>
    <m/>
    <m/>
    <n v="10"/>
    <x v="0"/>
    <n v="0.5"/>
    <n v="1.4E-2"/>
    <n v="7.0000000000000001E-3"/>
  </r>
  <r>
    <x v="7"/>
    <s v="Gourmet360"/>
    <x v="0"/>
    <x v="7"/>
    <x v="0"/>
    <x v="0"/>
    <m/>
    <m/>
    <m/>
    <s v="DRS6-733"/>
    <s v="Spices Cumin Powder"/>
    <s v="Gram "/>
    <s v="Gram "/>
    <n v="4"/>
    <m/>
    <m/>
    <n v="10"/>
    <x v="0"/>
    <n v="0.4"/>
    <n v="2.8000000000000001E-2"/>
    <n v="1.1200000000000002E-2"/>
  </r>
  <r>
    <x v="7"/>
    <s v="Gourmet360"/>
    <x v="0"/>
    <x v="7"/>
    <x v="0"/>
    <x v="0"/>
    <m/>
    <m/>
    <m/>
    <s v="DRS6-3850"/>
    <s v="Spice Biryani Masala (Mahran)"/>
    <s v="Gram "/>
    <s v="Gram "/>
    <n v="5"/>
    <m/>
    <m/>
    <n v="10"/>
    <x v="0"/>
    <n v="0.5"/>
    <n v="7.963636363636363E-2"/>
    <n v="3.9818181818181815E-2"/>
  </r>
  <r>
    <x v="7"/>
    <s v="Gourmet360"/>
    <x v="0"/>
    <x v="7"/>
    <x v="0"/>
    <x v="0"/>
    <m/>
    <m/>
    <m/>
    <s v="TAP-00001"/>
    <s v="Tap Water-Cooking"/>
    <s v="Ml"/>
    <s v="Ml"/>
    <n v="200"/>
    <m/>
    <m/>
    <n v="10"/>
    <x v="0"/>
    <n v="20"/>
    <n v="8.0000000000000007E-5"/>
    <n v="1.6000000000000001E-3"/>
  </r>
  <r>
    <x v="7"/>
    <s v="Gourmet360"/>
    <x v="0"/>
    <x v="7"/>
    <x v="0"/>
    <x v="0"/>
    <m/>
    <m/>
    <m/>
    <s v="DRS1-3811"/>
    <s v="Chicken Stock Powder(Packet)"/>
    <s v="Gram "/>
    <s v="Gram "/>
    <n v="15"/>
    <m/>
    <m/>
    <n v="10"/>
    <x v="0"/>
    <n v="1.5"/>
    <n v="2.8475E-2"/>
    <n v="4.27125E-2"/>
  </r>
  <r>
    <x v="7"/>
    <s v="Gourmet360"/>
    <x v="0"/>
    <x v="7"/>
    <x v="0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7"/>
    <s v="Gourmet360"/>
    <x v="0"/>
    <x v="7"/>
    <x v="0"/>
    <x v="0"/>
    <m/>
    <m/>
    <m/>
    <s v="PRD3-5038"/>
    <s v="Fried Onions"/>
    <s v="Gram "/>
    <s v="Gram "/>
    <n v="100"/>
    <m/>
    <m/>
    <n v="10"/>
    <x v="0"/>
    <n v="10"/>
    <n v="2.5999999999999999E-2"/>
    <n v="0.26"/>
  </r>
  <r>
    <x v="7"/>
    <s v="Gourmet360"/>
    <x v="0"/>
    <x v="7"/>
    <x v="0"/>
    <x v="0"/>
    <m/>
    <m/>
    <m/>
    <s v="DRS7-926"/>
    <s v="Cashew Nuts"/>
    <s v="Gram "/>
    <s v="Gram "/>
    <n v="150"/>
    <m/>
    <m/>
    <n v="10"/>
    <x v="0"/>
    <n v="15"/>
    <n v="4.2000000000000003E-2"/>
    <n v="0.63"/>
  </r>
  <r>
    <x v="7"/>
    <s v="Gourmet360"/>
    <x v="0"/>
    <x v="7"/>
    <x v="0"/>
    <x v="0"/>
    <m/>
    <m/>
    <m/>
    <s v="DRS4-498"/>
    <s v="Rice Basmati"/>
    <s v="Gram "/>
    <s v="Gram "/>
    <n v="1000"/>
    <m/>
    <m/>
    <n v="10"/>
    <x v="0"/>
    <n v="100"/>
    <n v="5.7499999999999999E-3"/>
    <n v="0.57499999999999996"/>
  </r>
  <r>
    <x v="7"/>
    <s v="Gourmet360"/>
    <x v="0"/>
    <x v="7"/>
    <x v="0"/>
    <x v="0"/>
    <m/>
    <m/>
    <m/>
    <s v="TAP-00001"/>
    <s v="Tap Water-Cooking"/>
    <s v="Ml"/>
    <s v="Ml"/>
    <n v="1800"/>
    <m/>
    <m/>
    <n v="10"/>
    <x v="0"/>
    <n v="180"/>
    <n v="8.0000000000000007E-5"/>
    <n v="1.4400000000000001E-2"/>
  </r>
  <r>
    <x v="7"/>
    <s v="Gourmet360"/>
    <x v="0"/>
    <x v="7"/>
    <x v="0"/>
    <x v="0"/>
    <m/>
    <m/>
    <m/>
    <s v="DRY2-1008"/>
    <s v="Butter 82% Fat(Unsalted) 25 kg"/>
    <s v="Gram "/>
    <s v="Gram "/>
    <n v="50"/>
    <m/>
    <m/>
    <n v="10"/>
    <x v="0"/>
    <n v="5"/>
    <n v="0.03"/>
    <n v="0.15"/>
  </r>
  <r>
    <x v="7"/>
    <s v="Gourmet360"/>
    <x v="0"/>
    <x v="7"/>
    <x v="0"/>
    <x v="0"/>
    <m/>
    <m/>
    <m/>
    <s v="DRS1-304"/>
    <s v="Food Color Yellow(Saffron)"/>
    <s v="Gram "/>
    <s v="Gram "/>
    <n v="1"/>
    <m/>
    <m/>
    <n v="10"/>
    <x v="0"/>
    <n v="0.1"/>
    <n v="2.0799999999999999E-2"/>
    <n v="2.0799999999999998E-3"/>
  </r>
  <r>
    <x v="8"/>
    <s v="Gourmet360"/>
    <x v="0"/>
    <x v="8"/>
    <x v="1"/>
    <x v="0"/>
    <m/>
    <m/>
    <m/>
    <s v="SFD2-312"/>
    <s v="Frz Fish Fillet Pangasus"/>
    <s v="Gram "/>
    <s v="Gram "/>
    <n v="1200"/>
    <m/>
    <m/>
    <n v="10"/>
    <x v="0"/>
    <n v="120"/>
    <n v="3.2786885245901641E-2"/>
    <n v="3.9344262295081971"/>
  </r>
  <r>
    <x v="8"/>
    <s v="Gourmet360"/>
    <x v="0"/>
    <x v="8"/>
    <x v="1"/>
    <x v="0"/>
    <m/>
    <m/>
    <m/>
    <s v="DRS3-1615"/>
    <s v="Olive Oil (CAN)"/>
    <s v="Ml"/>
    <s v="Ml"/>
    <n v="40"/>
    <m/>
    <m/>
    <n v="10"/>
    <x v="0"/>
    <n v="4"/>
    <n v="1.2E-2"/>
    <n v="4.8000000000000001E-2"/>
  </r>
  <r>
    <x v="8"/>
    <s v="Gourmet360"/>
    <x v="0"/>
    <x v="8"/>
    <x v="1"/>
    <x v="0"/>
    <m/>
    <m/>
    <m/>
    <s v="PRD1-4327"/>
    <s v="Fresh Garlic Peeled"/>
    <s v="Gram "/>
    <s v="Gram "/>
    <n v="15"/>
    <m/>
    <m/>
    <n v="10"/>
    <x v="0"/>
    <n v="1.5"/>
    <n v="1.2999999999999999E-2"/>
    <n v="1.95E-2"/>
  </r>
  <r>
    <x v="8"/>
    <s v="Gourmet360"/>
    <x v="0"/>
    <x v="8"/>
    <x v="1"/>
    <x v="0"/>
    <m/>
    <m/>
    <m/>
    <s v="PRD1-241"/>
    <s v="Fresh Sweet Pepper Yellow"/>
    <s v="Gram "/>
    <s v="Gram "/>
    <n v="125"/>
    <m/>
    <m/>
    <n v="10"/>
    <x v="0"/>
    <n v="12.5"/>
    <n v="1.3196480938416421E-2"/>
    <n v="0.16495601173020527"/>
  </r>
  <r>
    <x v="8"/>
    <s v="Gourmet360"/>
    <x v="0"/>
    <x v="8"/>
    <x v="1"/>
    <x v="0"/>
    <m/>
    <m/>
    <m/>
    <s v="PRD1-239"/>
    <s v="Fresh Sweet Pepper Green"/>
    <s v="Gram "/>
    <s v="Gram "/>
    <n v="125"/>
    <m/>
    <m/>
    <n v="10"/>
    <x v="0"/>
    <n v="12.5"/>
    <n v="6.6864784546805346E-3"/>
    <n v="8.3580980683506681E-2"/>
  </r>
  <r>
    <x v="8"/>
    <s v="Gourmet360"/>
    <x v="0"/>
    <x v="8"/>
    <x v="1"/>
    <x v="0"/>
    <m/>
    <m/>
    <m/>
    <s v="DRS1-607"/>
    <s v="Can Tomato Peeled"/>
    <s v="Gram "/>
    <s v="Gram "/>
    <n v="1500"/>
    <m/>
    <m/>
    <n v="10"/>
    <x v="0"/>
    <n v="150"/>
    <n v="5.8823529411764705E-3"/>
    <n v="0.88235294117647056"/>
  </r>
  <r>
    <x v="8"/>
    <s v="Gourmet360"/>
    <x v="0"/>
    <x v="8"/>
    <x v="1"/>
    <x v="0"/>
    <m/>
    <m/>
    <m/>
    <s v="DRS1-1747"/>
    <s v="Can Tomato Paste (4500 Gram)"/>
    <s v="Gram "/>
    <s v="Gram "/>
    <n v="50"/>
    <m/>
    <m/>
    <n v="10"/>
    <x v="0"/>
    <n v="5"/>
    <n v="5.185185185185185E-3"/>
    <n v="2.5925925925925925E-2"/>
  </r>
  <r>
    <x v="8"/>
    <s v="Gourmet360"/>
    <x v="0"/>
    <x v="8"/>
    <x v="1"/>
    <x v="0"/>
    <m/>
    <m/>
    <m/>
    <s v="DRS6-537"/>
    <s v="Spices Pepper Black Powder(1 Kg)"/>
    <s v="Gram "/>
    <s v="Gram "/>
    <n v="1"/>
    <m/>
    <m/>
    <n v="10"/>
    <x v="0"/>
    <n v="0.1"/>
    <n v="3.5000000000000003E-2"/>
    <n v="3.5000000000000005E-3"/>
  </r>
  <r>
    <x v="8"/>
    <s v="Gourmet360"/>
    <x v="0"/>
    <x v="8"/>
    <x v="1"/>
    <x v="0"/>
    <m/>
    <m/>
    <m/>
    <s v="DRS1-3880"/>
    <s v="Salt "/>
    <s v="Gram "/>
    <s v="Gram "/>
    <n v="14"/>
    <m/>
    <m/>
    <n v="10"/>
    <x v="0"/>
    <n v="1.4"/>
    <n v="5.0000000000000001E-4"/>
    <n v="6.9999999999999999E-4"/>
  </r>
  <r>
    <x v="8"/>
    <s v="Gourmet360"/>
    <x v="0"/>
    <x v="8"/>
    <x v="1"/>
    <x v="0"/>
    <m/>
    <m/>
    <m/>
    <s v="PRD1-195"/>
    <s v="Fresh Coriander "/>
    <s v="Gram "/>
    <s v="Gram "/>
    <n v="30"/>
    <m/>
    <m/>
    <n v="10"/>
    <x v="0"/>
    <n v="3"/>
    <n v="9.3676814988290415E-3"/>
    <n v="2.8103044496487123E-2"/>
  </r>
  <r>
    <x v="8"/>
    <s v="Gourmet360"/>
    <x v="0"/>
    <x v="8"/>
    <x v="1"/>
    <x v="0"/>
    <m/>
    <m/>
    <m/>
    <s v="DRS5-21"/>
    <s v="Flour Corn"/>
    <s v="Gram "/>
    <s v="Gram "/>
    <n v="15"/>
    <m/>
    <m/>
    <n v="10"/>
    <x v="0"/>
    <n v="1.5"/>
    <n v="2.0799999999999998E-3"/>
    <n v="3.1199999999999995E-3"/>
  </r>
  <r>
    <x v="8"/>
    <s v="Gourmet360"/>
    <x v="0"/>
    <x v="8"/>
    <x v="1"/>
    <x v="0"/>
    <m/>
    <m/>
    <m/>
    <s v="TAP-00001"/>
    <s v="Tap Water-Cooking"/>
    <s v="Ml"/>
    <s v="Ml"/>
    <n v="500"/>
    <m/>
    <m/>
    <n v="10"/>
    <x v="0"/>
    <n v="50"/>
    <n v="8.0000000000000007E-5"/>
    <n v="4.0000000000000001E-3"/>
  </r>
  <r>
    <x v="8"/>
    <s v="Gourmet360"/>
    <x v="0"/>
    <x v="8"/>
    <x v="1"/>
    <x v="0"/>
    <m/>
    <m/>
    <m/>
    <s v="DRS6-266"/>
    <s v="Spices Coriander Powder"/>
    <s v="Gram "/>
    <s v="Gram "/>
    <n v="3"/>
    <m/>
    <m/>
    <n v="10"/>
    <x v="0"/>
    <n v="0.3"/>
    <n v="1.4E-2"/>
    <n v="4.1999999999999997E-3"/>
  </r>
  <r>
    <x v="8"/>
    <s v="Gourmet360"/>
    <x v="0"/>
    <x v="8"/>
    <x v="1"/>
    <x v="0"/>
    <m/>
    <m/>
    <m/>
    <s v="DRS6-733"/>
    <s v="Spices Cumin Powder"/>
    <s v="Gram "/>
    <s v="Gram "/>
    <n v="2"/>
    <m/>
    <m/>
    <n v="10"/>
    <x v="0"/>
    <n v="0.2"/>
    <n v="2.8000000000000001E-2"/>
    <n v="5.6000000000000008E-3"/>
  </r>
  <r>
    <x v="8"/>
    <s v="Gourmet360"/>
    <x v="0"/>
    <x v="8"/>
    <x v="1"/>
    <x v="0"/>
    <m/>
    <m/>
    <m/>
    <s v="DRS4-498"/>
    <s v="Rice Basmati"/>
    <s v="Gram "/>
    <s v="Gram "/>
    <n v="1000"/>
    <m/>
    <m/>
    <n v="10"/>
    <x v="0"/>
    <n v="100"/>
    <n v="5.7499999999999999E-3"/>
    <n v="0.57499999999999996"/>
  </r>
  <r>
    <x v="8"/>
    <s v="Gourmet360"/>
    <x v="0"/>
    <x v="8"/>
    <x v="1"/>
    <x v="0"/>
    <m/>
    <m/>
    <m/>
    <s v="PRD1-4265"/>
    <s v="Fresh onion Yellow(Imported)"/>
    <s v="Gram "/>
    <s v="Gram "/>
    <n v="80"/>
    <m/>
    <m/>
    <n v="10"/>
    <x v="0"/>
    <n v="8"/>
    <n v="3.529411764705882E-3"/>
    <n v="2.8235294117647056E-2"/>
  </r>
  <r>
    <x v="8"/>
    <s v="Gourmet360"/>
    <x v="0"/>
    <x v="8"/>
    <x v="1"/>
    <x v="0"/>
    <m/>
    <m/>
    <m/>
    <s v="DRS1-1507"/>
    <s v="Salt sachet (1000)"/>
    <s v="Gram "/>
    <s v="Gram "/>
    <n v="10"/>
    <m/>
    <m/>
    <n v="10"/>
    <x v="0"/>
    <n v="1"/>
    <n v="3.5000000000000003E-2"/>
    <n v="3.5000000000000003E-2"/>
  </r>
  <r>
    <x v="8"/>
    <s v="Gourmet360"/>
    <x v="0"/>
    <x v="8"/>
    <x v="1"/>
    <x v="0"/>
    <m/>
    <m/>
    <m/>
    <s v="DRS6-309"/>
    <s v="Spice Pepper White Powder"/>
    <s v="Gram "/>
    <s v="Gram "/>
    <n v="2"/>
    <m/>
    <m/>
    <n v="10"/>
    <x v="0"/>
    <n v="0.2"/>
    <n v="2.8000000000000001E-2"/>
    <n v="5.6000000000000008E-3"/>
  </r>
  <r>
    <x v="8"/>
    <s v="Gourmet360"/>
    <x v="0"/>
    <x v="8"/>
    <x v="1"/>
    <x v="0"/>
    <m/>
    <m/>
    <m/>
    <s v="DRS6-1674"/>
    <s v="Spice Turmeric Powder (1 Kg)"/>
    <s v="Gram "/>
    <s v="Gram "/>
    <n v="2"/>
    <m/>
    <m/>
    <n v="10"/>
    <x v="0"/>
    <n v="0.2"/>
    <n v="1.2500000000000001E-2"/>
    <n v="2.5000000000000005E-3"/>
  </r>
  <r>
    <x v="8"/>
    <s v="Gourmet360"/>
    <x v="0"/>
    <x v="8"/>
    <x v="1"/>
    <x v="0"/>
    <m/>
    <m/>
    <m/>
    <s v="DRS1-304"/>
    <s v="Food Color Yellow(Saffron)"/>
    <s v="Gram "/>
    <s v="Gram "/>
    <n v="1"/>
    <m/>
    <m/>
    <n v="10"/>
    <x v="0"/>
    <n v="0.1"/>
    <n v="2.0799999999999999E-2"/>
    <n v="2.0799999999999998E-3"/>
  </r>
  <r>
    <x v="8"/>
    <s v="Gourmet360"/>
    <x v="0"/>
    <x v="8"/>
    <x v="1"/>
    <x v="0"/>
    <m/>
    <m/>
    <m/>
    <s v="DRS3-1813"/>
    <s v="Corn Oil (18 Liter)"/>
    <s v="Ml"/>
    <s v="Ml"/>
    <n v="50"/>
    <m/>
    <m/>
    <n v="10"/>
    <x v="0"/>
    <n v="5"/>
    <n v="8.0555555555555554E-3"/>
    <n v="4.0277777777777773E-2"/>
  </r>
  <r>
    <x v="8"/>
    <s v="Gourmet360"/>
    <x v="0"/>
    <x v="8"/>
    <x v="1"/>
    <x v="0"/>
    <m/>
    <m/>
    <m/>
    <s v="DRS1-3811"/>
    <s v="Chicken Stock Powder(Packet)"/>
    <s v="Gram "/>
    <s v="Gram "/>
    <n v="10"/>
    <m/>
    <m/>
    <n v="10"/>
    <x v="0"/>
    <n v="1"/>
    <n v="2.8475E-2"/>
    <n v="2.8475E-2"/>
  </r>
  <r>
    <x v="8"/>
    <s v="Gourmet360"/>
    <x v="0"/>
    <x v="8"/>
    <x v="1"/>
    <x v="0"/>
    <m/>
    <m/>
    <m/>
    <s v="DRS6-261"/>
    <s v="Spices Cinnamon Sticks"/>
    <s v="Gram "/>
    <s v="Gram "/>
    <n v="2"/>
    <m/>
    <m/>
    <n v="10"/>
    <x v="0"/>
    <n v="0.2"/>
    <n v="1.4E-2"/>
    <n v="2.8000000000000004E-3"/>
  </r>
  <r>
    <x v="8"/>
    <s v="Gourmet360"/>
    <x v="0"/>
    <x v="8"/>
    <x v="1"/>
    <x v="0"/>
    <m/>
    <m/>
    <m/>
    <s v="DRS6-3593"/>
    <s v="Spices Bay Leaves"/>
    <s v="Gram "/>
    <s v="Gram "/>
    <n v="1"/>
    <m/>
    <m/>
    <n v="10"/>
    <x v="0"/>
    <n v="0.1"/>
    <n v="8.0000000000000002E-3"/>
    <n v="8.0000000000000004E-4"/>
  </r>
  <r>
    <x v="8"/>
    <s v="Gourmet360"/>
    <x v="0"/>
    <x v="8"/>
    <x v="1"/>
    <x v="0"/>
    <m/>
    <m/>
    <m/>
    <s v="DRS6-1754"/>
    <s v="Spice Osfur "/>
    <s v="Gram "/>
    <s v="Gram "/>
    <n v="1"/>
    <m/>
    <m/>
    <n v="10"/>
    <x v="0"/>
    <n v="0.1"/>
    <n v="0.125"/>
    <n v="1.2500000000000001E-2"/>
  </r>
  <r>
    <x v="8"/>
    <s v="Gourmet360"/>
    <x v="0"/>
    <x v="8"/>
    <x v="1"/>
    <x v="0"/>
    <m/>
    <m/>
    <m/>
    <s v="DRS1-4104"/>
    <s v="Fish Stock Powder "/>
    <s v="Gram "/>
    <s v="Gram "/>
    <n v="20"/>
    <m/>
    <m/>
    <n v="10"/>
    <x v="0"/>
    <n v="2"/>
    <n v="4.8886666666666669E-2"/>
    <n v="9.7773333333333337E-2"/>
  </r>
  <r>
    <x v="9"/>
    <s v="Gourmet360"/>
    <x v="0"/>
    <x v="9"/>
    <x v="1"/>
    <x v="0"/>
    <m/>
    <m/>
    <m/>
    <s v="DRY1-353"/>
    <s v="Cheese Halloumi"/>
    <s v="Gram "/>
    <s v="Gram "/>
    <n v="250"/>
    <m/>
    <m/>
    <n v="4"/>
    <x v="0"/>
    <n v="62.5"/>
    <n v="2.4500000000000001E-2"/>
    <n v="1.53125"/>
  </r>
  <r>
    <x v="9"/>
    <s v="Gourmet360"/>
    <x v="0"/>
    <x v="9"/>
    <x v="1"/>
    <x v="0"/>
    <m/>
    <m/>
    <m/>
    <s v="PRD1-4600"/>
    <s v="Fresh Baby Rocca"/>
    <s v="Gram "/>
    <s v="Gram "/>
    <n v="40"/>
    <m/>
    <m/>
    <n v="4"/>
    <x v="0"/>
    <n v="10"/>
    <n v="7.717041800643086E-2"/>
    <n v="0.77170418006430863"/>
  </r>
  <r>
    <x v="9"/>
    <s v="Gourmet360"/>
    <x v="0"/>
    <x v="9"/>
    <x v="1"/>
    <x v="0"/>
    <m/>
    <m/>
    <m/>
    <s v="DRS1-5043"/>
    <s v="Pesto Basil Sauce 4 kg"/>
    <s v="Gram "/>
    <s v="Gram "/>
    <n v="60"/>
    <m/>
    <m/>
    <n v="4"/>
    <x v="0"/>
    <n v="15"/>
    <n v="6.8750000000000006E-2"/>
    <n v="1.03125"/>
  </r>
  <r>
    <x v="9"/>
    <s v="Gourmet360"/>
    <x v="0"/>
    <x v="9"/>
    <x v="1"/>
    <x v="0"/>
    <m/>
    <m/>
    <m/>
    <s v="PRD1-572"/>
    <s v="Fresh Tomato "/>
    <s v="Gram "/>
    <s v="Gram "/>
    <n v="60"/>
    <m/>
    <m/>
    <n v="4"/>
    <x v="0"/>
    <n v="15"/>
    <n v="4.5351473922902496E-3"/>
    <n v="6.8027210884353748E-2"/>
  </r>
  <r>
    <x v="9"/>
    <s v="Gourmet360"/>
    <x v="0"/>
    <x v="9"/>
    <x v="1"/>
    <x v="0"/>
    <m/>
    <m/>
    <m/>
    <s v="BKR2-4596"/>
    <s v="Frz Bread Panini (90 Gram)"/>
    <s v="Each"/>
    <s v="Each"/>
    <n v="4"/>
    <m/>
    <m/>
    <n v="4"/>
    <x v="0"/>
    <n v="1"/>
    <n v="0.96"/>
    <n v="0.96"/>
  </r>
  <r>
    <x v="10"/>
    <s v="Gourmet360"/>
    <x v="0"/>
    <x v="10"/>
    <x v="1"/>
    <x v="0"/>
    <m/>
    <m/>
    <m/>
    <s v="MET2-1051"/>
    <s v="Frz Beef Tendrloin Brazil"/>
    <s v="Gram "/>
    <s v="Gram "/>
    <n v="800"/>
    <m/>
    <m/>
    <n v="10"/>
    <x v="0"/>
    <n v="80"/>
    <n v="8.4705882352941173E-2"/>
    <n v="6.776470588235294"/>
  </r>
  <r>
    <x v="10"/>
    <s v="Gourmet360"/>
    <x v="0"/>
    <x v="10"/>
    <x v="1"/>
    <x v="0"/>
    <m/>
    <m/>
    <m/>
    <s v="PRD3-5038"/>
    <s v="Fried Onions"/>
    <s v="Gram "/>
    <s v="Gram "/>
    <n v="200"/>
    <m/>
    <m/>
    <n v="10"/>
    <x v="0"/>
    <n v="20"/>
    <n v="2.5999999999999999E-2"/>
    <n v="0.52"/>
  </r>
  <r>
    <x v="10"/>
    <s v="Gourmet360"/>
    <x v="0"/>
    <x v="10"/>
    <x v="1"/>
    <x v="0"/>
    <m/>
    <m/>
    <m/>
    <s v="PRD1-4327"/>
    <s v="Fresh Garlic Peeled"/>
    <s v="Gram "/>
    <s v="Gram "/>
    <n v="30"/>
    <m/>
    <m/>
    <n v="10"/>
    <x v="0"/>
    <n v="3"/>
    <n v="1.2999999999999999E-2"/>
    <n v="3.9E-2"/>
  </r>
  <r>
    <x v="10"/>
    <s v="Gourmet360"/>
    <x v="0"/>
    <x v="10"/>
    <x v="1"/>
    <x v="0"/>
    <m/>
    <m/>
    <m/>
    <s v="DRS3-1813"/>
    <s v="Corn Oil (18 Liter)"/>
    <s v="Ml"/>
    <s v="Ml"/>
    <n v="50"/>
    <m/>
    <m/>
    <n v="10"/>
    <x v="0"/>
    <n v="5"/>
    <n v="8.0555555555555554E-3"/>
    <n v="4.0277777777777773E-2"/>
  </r>
  <r>
    <x v="10"/>
    <s v="Gourmet360"/>
    <x v="0"/>
    <x v="10"/>
    <x v="1"/>
    <x v="0"/>
    <m/>
    <m/>
    <m/>
    <s v="DRS1-1747"/>
    <s v="Can Tomato Paste (4500 Gram)"/>
    <s v="Gram "/>
    <s v="Gram "/>
    <n v="75"/>
    <m/>
    <m/>
    <n v="10"/>
    <x v="0"/>
    <n v="7.5"/>
    <n v="5.185185185185185E-3"/>
    <n v="3.888888888888889E-2"/>
  </r>
  <r>
    <x v="10"/>
    <s v="Gourmet360"/>
    <x v="0"/>
    <x v="10"/>
    <x v="1"/>
    <x v="0"/>
    <m/>
    <m/>
    <m/>
    <s v="DRS1-607"/>
    <s v="Can Tomato Peeled"/>
    <s v="Gram "/>
    <s v="Gram "/>
    <n v="500"/>
    <m/>
    <m/>
    <n v="10"/>
    <x v="0"/>
    <n v="50"/>
    <n v="5.8823529411764705E-3"/>
    <n v="0.29411764705882354"/>
  </r>
  <r>
    <x v="10"/>
    <s v="Gourmet360"/>
    <x v="0"/>
    <x v="10"/>
    <x v="1"/>
    <x v="0"/>
    <m/>
    <m/>
    <m/>
    <s v="DRS6-733"/>
    <s v="Spices Cumin Powder"/>
    <s v="Gram "/>
    <s v="Gram "/>
    <n v="4"/>
    <m/>
    <m/>
    <n v="10"/>
    <x v="0"/>
    <n v="0.4"/>
    <n v="2.8000000000000001E-2"/>
    <n v="1.1200000000000002E-2"/>
  </r>
  <r>
    <x v="10"/>
    <s v="Gourmet360"/>
    <x v="0"/>
    <x v="10"/>
    <x v="1"/>
    <x v="0"/>
    <m/>
    <m/>
    <m/>
    <s v="PRD1-195"/>
    <s v="Fresh Coriander "/>
    <s v="Gram "/>
    <s v="Gram "/>
    <n v="4"/>
    <m/>
    <m/>
    <n v="10"/>
    <x v="0"/>
    <n v="0.4"/>
    <n v="9.3676814988290415E-3"/>
    <n v="3.7470725995316168E-3"/>
  </r>
  <r>
    <x v="10"/>
    <s v="Gourmet360"/>
    <x v="0"/>
    <x v="10"/>
    <x v="1"/>
    <x v="0"/>
    <m/>
    <m/>
    <m/>
    <s v="DRS6-537"/>
    <s v="Spices Pepper Black Powder(1 Kg)"/>
    <s v="Gram "/>
    <s v="Gram "/>
    <n v="2"/>
    <m/>
    <m/>
    <n v="10"/>
    <x v="0"/>
    <n v="0.2"/>
    <n v="3.5000000000000003E-2"/>
    <n v="7.000000000000001E-3"/>
  </r>
  <r>
    <x v="10"/>
    <s v="Gourmet360"/>
    <x v="0"/>
    <x v="10"/>
    <x v="1"/>
    <x v="0"/>
    <m/>
    <m/>
    <m/>
    <s v="PRD1-231"/>
    <s v="Fresh Potato Sweet"/>
    <s v="Gram "/>
    <s v="Gram "/>
    <n v="400"/>
    <m/>
    <m/>
    <n v="10"/>
    <x v="0"/>
    <n v="40"/>
    <n v="9.6618357487922701E-3"/>
    <n v="0.38647342995169082"/>
  </r>
  <r>
    <x v="10"/>
    <s v="Gourmet360"/>
    <x v="0"/>
    <x v="10"/>
    <x v="1"/>
    <x v="0"/>
    <m/>
    <m/>
    <m/>
    <s v="PRD1-186"/>
    <s v="Fresh Carrot Imported"/>
    <s v="Gram "/>
    <s v="Gram "/>
    <n v="300"/>
    <m/>
    <m/>
    <n v="10"/>
    <x v="0"/>
    <n v="30"/>
    <n v="5.8139534883720938E-3"/>
    <n v="0.17441860465116282"/>
  </r>
  <r>
    <x v="10"/>
    <s v="Gourmet360"/>
    <x v="0"/>
    <x v="10"/>
    <x v="1"/>
    <x v="0"/>
    <m/>
    <m/>
    <m/>
    <s v="PRD1-232"/>
    <s v="Fresh Pumpkin"/>
    <s v="Gram "/>
    <s v="Gram "/>
    <n v="300"/>
    <m/>
    <m/>
    <n v="10"/>
    <x v="0"/>
    <n v="30"/>
    <n v="4.4444444444444444E-3"/>
    <n v="0.13333333333333333"/>
  </r>
  <r>
    <x v="10"/>
    <s v="Gourmet360"/>
    <x v="0"/>
    <x v="10"/>
    <x v="1"/>
    <x v="0"/>
    <m/>
    <m/>
    <m/>
    <s v="PRD1-3794"/>
    <s v="Fresh Baby Marrow"/>
    <s v="Gram "/>
    <s v="Gram "/>
    <n v="300"/>
    <m/>
    <m/>
    <n v="10"/>
    <x v="0"/>
    <n v="30"/>
    <n v="4.9382716049382715E-3"/>
    <n v="0.14814814814814814"/>
  </r>
  <r>
    <x v="10"/>
    <s v="Gourmet360"/>
    <x v="0"/>
    <x v="10"/>
    <x v="1"/>
    <x v="0"/>
    <m/>
    <m/>
    <m/>
    <s v="PRD2-3566"/>
    <s v="Frz Green Beans Cut(800 Gram)"/>
    <s v="Gram "/>
    <s v="Gram "/>
    <n v="200"/>
    <m/>
    <m/>
    <n v="10"/>
    <x v="0"/>
    <n v="20"/>
    <n v="8.2249999999999997E-3"/>
    <n v="0.16449999999999998"/>
  </r>
  <r>
    <x v="10"/>
    <s v="Gourmet360"/>
    <x v="0"/>
    <x v="10"/>
    <x v="1"/>
    <x v="0"/>
    <m/>
    <m/>
    <m/>
    <s v="BKR1-4717"/>
    <s v="Qursan"/>
    <s v="Gram "/>
    <s v="Gram "/>
    <n v="200"/>
    <m/>
    <m/>
    <n v="10"/>
    <x v="0"/>
    <n v="20"/>
    <n v="1.2999999999999999E-2"/>
    <n v="0.26"/>
  </r>
  <r>
    <x v="10"/>
    <s v="Gourmet360"/>
    <x v="0"/>
    <x v="10"/>
    <x v="1"/>
    <x v="0"/>
    <m/>
    <m/>
    <m/>
    <s v="TAP-00001"/>
    <s v="Tap Water-Cooking"/>
    <s v="Ml"/>
    <s v="Ml"/>
    <n v="1500"/>
    <m/>
    <m/>
    <n v="10"/>
    <x v="0"/>
    <n v="150"/>
    <n v="8.0000000000000007E-5"/>
    <n v="1.2E-2"/>
  </r>
  <r>
    <x v="10"/>
    <s v="Gourmet360"/>
    <x v="0"/>
    <x v="10"/>
    <x v="1"/>
    <x v="0"/>
    <m/>
    <m/>
    <m/>
    <s v="DRS1-3813"/>
    <s v="Beef Stock Powder(Packet)"/>
    <s v="Gram "/>
    <s v="Gram "/>
    <n v="20"/>
    <m/>
    <m/>
    <n v="10"/>
    <x v="0"/>
    <n v="2"/>
    <n v="4.4441666666666664E-2"/>
    <n v="8.8883333333333328E-2"/>
  </r>
  <r>
    <x v="11"/>
    <s v="Gourmet360"/>
    <x v="0"/>
    <x v="11"/>
    <x v="1"/>
    <x v="0"/>
    <m/>
    <m/>
    <m/>
    <s v="PLT1-1785"/>
    <s v="Fresh Chicken Whole"/>
    <s v="Gram "/>
    <s v="Gram "/>
    <n v="3000"/>
    <m/>
    <m/>
    <n v="10"/>
    <x v="0"/>
    <n v="300"/>
    <n v="1.3730000000000001E-2"/>
    <n v="4.1190000000000007"/>
  </r>
  <r>
    <x v="11"/>
    <s v="Gourmet360"/>
    <x v="0"/>
    <x v="11"/>
    <x v="1"/>
    <x v="0"/>
    <m/>
    <m/>
    <m/>
    <s v="DRS6-4482"/>
    <s v="Spice Garlic Powder(Kg)"/>
    <s v="Gram "/>
    <s v="Gram "/>
    <n v="2"/>
    <m/>
    <m/>
    <n v="10"/>
    <x v="0"/>
    <n v="0.2"/>
    <n v="1.04E-2"/>
    <n v="2.0799999999999998E-3"/>
  </r>
  <r>
    <x v="11"/>
    <s v="Gourmet360"/>
    <x v="0"/>
    <x v="11"/>
    <x v="1"/>
    <x v="0"/>
    <m/>
    <m/>
    <m/>
    <s v="PRD1-4265"/>
    <s v="Fresh onion Yellow(Imported)"/>
    <s v="Gram "/>
    <s v="Gram "/>
    <n v="15"/>
    <m/>
    <m/>
    <n v="10"/>
    <x v="0"/>
    <n v="1.5"/>
    <n v="3.529411764705882E-3"/>
    <n v="5.2941176470588233E-3"/>
  </r>
  <r>
    <x v="11"/>
    <s v="Gourmet360"/>
    <x v="0"/>
    <x v="11"/>
    <x v="1"/>
    <x v="0"/>
    <m/>
    <m/>
    <m/>
    <s v="PRD1-221"/>
    <s v="Fresh Mint "/>
    <s v="Gram "/>
    <s v="Gram "/>
    <n v="2"/>
    <m/>
    <m/>
    <n v="10"/>
    <x v="0"/>
    <n v="0.2"/>
    <n v="6.8846815834767653E-3"/>
    <n v="1.3769363166953531E-3"/>
  </r>
  <r>
    <x v="11"/>
    <s v="Gourmet360"/>
    <x v="0"/>
    <x v="11"/>
    <x v="1"/>
    <x v="0"/>
    <m/>
    <m/>
    <m/>
    <s v="PRD1-572"/>
    <s v="Fresh Tomato "/>
    <s v="Gram "/>
    <s v="Gram "/>
    <n v="450"/>
    <m/>
    <m/>
    <n v="10"/>
    <x v="0"/>
    <n v="45"/>
    <n v="4.5351473922902496E-3"/>
    <n v="0.20408163265306123"/>
  </r>
  <r>
    <x v="11"/>
    <s v="Gourmet360"/>
    <x v="0"/>
    <x v="11"/>
    <x v="1"/>
    <x v="0"/>
    <m/>
    <m/>
    <m/>
    <s v="PRD1-239"/>
    <s v="Fresh Sweet Pepper Green"/>
    <s v="Gram "/>
    <s v="Gram "/>
    <n v="10"/>
    <m/>
    <m/>
    <n v="10"/>
    <x v="0"/>
    <n v="1"/>
    <n v="6.6864784546805346E-3"/>
    <n v="6.6864784546805346E-3"/>
  </r>
  <r>
    <x v="11"/>
    <s v="Gourmet360"/>
    <x v="0"/>
    <x v="11"/>
    <x v="1"/>
    <x v="0"/>
    <m/>
    <m/>
    <m/>
    <s v="DRS1-3880"/>
    <s v="Salt "/>
    <s v="Gram "/>
    <s v="Gram "/>
    <n v="5"/>
    <m/>
    <m/>
    <n v="10"/>
    <x v="0"/>
    <n v="0.5"/>
    <n v="5.0000000000000001E-4"/>
    <n v="2.5000000000000001E-4"/>
  </r>
  <r>
    <x v="11"/>
    <s v="Gourmet360"/>
    <x v="0"/>
    <x v="11"/>
    <x v="1"/>
    <x v="0"/>
    <m/>
    <m/>
    <m/>
    <s v="DRS4-498"/>
    <s v="Rice Basmati"/>
    <s v="Gram "/>
    <s v="Gram "/>
    <n v="1000"/>
    <m/>
    <m/>
    <n v="10"/>
    <x v="0"/>
    <n v="100"/>
    <n v="5.7499999999999999E-3"/>
    <n v="0.57499999999999996"/>
  </r>
  <r>
    <x v="11"/>
    <s v="Gourmet360"/>
    <x v="0"/>
    <x v="11"/>
    <x v="1"/>
    <x v="0"/>
    <m/>
    <m/>
    <m/>
    <s v="PRD1-573"/>
    <s v="Fresh Spring Onion Green"/>
    <s v="Gram "/>
    <s v="Gram "/>
    <n v="150"/>
    <m/>
    <m/>
    <n v="10"/>
    <x v="0"/>
    <n v="15"/>
    <n v="5.4794520547945206E-3"/>
    <n v="8.2191780821917804E-2"/>
  </r>
  <r>
    <x v="11"/>
    <s v="Gourmet360"/>
    <x v="0"/>
    <x v="11"/>
    <x v="1"/>
    <x v="0"/>
    <m/>
    <m/>
    <m/>
    <s v="PRD1-4327"/>
    <s v="Fresh Garlic Peeled"/>
    <s v="Gram "/>
    <s v="Gram "/>
    <n v="15"/>
    <m/>
    <m/>
    <n v="10"/>
    <x v="0"/>
    <n v="1.5"/>
    <n v="1.2999999999999999E-2"/>
    <n v="1.95E-2"/>
  </r>
  <r>
    <x v="11"/>
    <s v="Gourmet360"/>
    <x v="0"/>
    <x v="11"/>
    <x v="1"/>
    <x v="0"/>
    <m/>
    <m/>
    <m/>
    <s v="DRS3-1813"/>
    <s v="Corn Oil (18 Liter)"/>
    <s v="Ml"/>
    <s v="Ml"/>
    <n v="40"/>
    <m/>
    <m/>
    <n v="10"/>
    <x v="0"/>
    <n v="4"/>
    <n v="8.0555555555555554E-3"/>
    <n v="3.2222222222222222E-2"/>
  </r>
  <r>
    <x v="11"/>
    <s v="Gourmet360"/>
    <x v="0"/>
    <x v="11"/>
    <x v="1"/>
    <x v="0"/>
    <m/>
    <m/>
    <m/>
    <s v="TAP-00001"/>
    <s v="Tap Water-Cooking"/>
    <s v="Ml"/>
    <s v="Ml"/>
    <n v="1800"/>
    <m/>
    <m/>
    <n v="10"/>
    <x v="0"/>
    <n v="180"/>
    <n v="8.0000000000000007E-5"/>
    <n v="1.4400000000000001E-2"/>
  </r>
  <r>
    <x v="11"/>
    <s v="Gourmet360"/>
    <x v="0"/>
    <x v="11"/>
    <x v="1"/>
    <x v="0"/>
    <m/>
    <m/>
    <m/>
    <s v="DRS1-3811"/>
    <s v="Chicken Stock Powder(Packet)"/>
    <s v="Gram "/>
    <s v="Gram "/>
    <n v="20"/>
    <m/>
    <m/>
    <n v="10"/>
    <x v="0"/>
    <n v="2"/>
    <n v="2.8475E-2"/>
    <n v="5.6950000000000001E-2"/>
  </r>
  <r>
    <x v="11"/>
    <s v="Gourmet360"/>
    <x v="0"/>
    <x v="11"/>
    <x v="1"/>
    <x v="0"/>
    <m/>
    <m/>
    <m/>
    <s v="DRS1-3880"/>
    <s v="Salt "/>
    <s v="Gram "/>
    <s v="Gram "/>
    <n v="15"/>
    <m/>
    <m/>
    <n v="10"/>
    <x v="0"/>
    <n v="1.5"/>
    <n v="5.0000000000000001E-4"/>
    <n v="7.5000000000000002E-4"/>
  </r>
  <r>
    <x v="11"/>
    <s v="Gourmet360"/>
    <x v="0"/>
    <x v="11"/>
    <x v="1"/>
    <x v="0"/>
    <m/>
    <m/>
    <m/>
    <s v="DRS6-539"/>
    <s v="Spices Cardamon Seeds"/>
    <s v="Gram "/>
    <s v="Gram "/>
    <n v="1"/>
    <m/>
    <m/>
    <n v="10"/>
    <x v="0"/>
    <n v="0.1"/>
    <n v="0.16"/>
    <n v="1.6E-2"/>
  </r>
  <r>
    <x v="11"/>
    <s v="Gourmet360"/>
    <x v="0"/>
    <x v="11"/>
    <x v="1"/>
    <x v="0"/>
    <m/>
    <m/>
    <m/>
    <s v="DRS6-1020"/>
    <s v="Spices Cloves Seeds"/>
    <s v="Gram "/>
    <s v="Gram "/>
    <n v="1"/>
    <m/>
    <m/>
    <n v="10"/>
    <x v="0"/>
    <n v="0.1"/>
    <n v="5.5E-2"/>
    <n v="5.5000000000000005E-3"/>
  </r>
  <r>
    <x v="11"/>
    <s v="Gourmet360"/>
    <x v="0"/>
    <x v="11"/>
    <x v="1"/>
    <x v="0"/>
    <m/>
    <m/>
    <m/>
    <s v="DRS6-3593"/>
    <s v="Spices Bay Leaves"/>
    <s v="Gram "/>
    <s v="Gram "/>
    <n v="1"/>
    <m/>
    <m/>
    <n v="10"/>
    <x v="0"/>
    <n v="0.1"/>
    <n v="8.0000000000000002E-3"/>
    <n v="8.0000000000000004E-4"/>
  </r>
  <r>
    <x v="11"/>
    <s v="Gourmet360"/>
    <x v="0"/>
    <x v="11"/>
    <x v="1"/>
    <x v="0"/>
    <m/>
    <m/>
    <m/>
    <s v="DRS6-261"/>
    <s v="Spices Cinnamon Sticks"/>
    <s v="Gram "/>
    <s v="Gram "/>
    <n v="1"/>
    <m/>
    <m/>
    <n v="10"/>
    <x v="0"/>
    <n v="0.1"/>
    <n v="1.4E-2"/>
    <n v="1.4000000000000002E-3"/>
  </r>
  <r>
    <x v="12"/>
    <s v="Gourmet360"/>
    <x v="0"/>
    <x v="12"/>
    <x v="1"/>
    <x v="0"/>
    <m/>
    <m/>
    <m/>
    <s v="PLT2-3278"/>
    <s v="Frz Chicken Breast Tender (KG)"/>
    <s v="Gram "/>
    <s v="Gram "/>
    <n v="1200"/>
    <m/>
    <m/>
    <n v="10"/>
    <x v="0"/>
    <n v="120"/>
    <n v="3.0357142857142853E-2"/>
    <n v="3.6428571428571423"/>
  </r>
  <r>
    <x v="12"/>
    <s v="Gourmet360"/>
    <x v="0"/>
    <x v="12"/>
    <x v="1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12"/>
    <s v="Gourmet360"/>
    <x v="0"/>
    <x v="12"/>
    <x v="1"/>
    <x v="0"/>
    <m/>
    <m/>
    <m/>
    <s v="PRD1-4265"/>
    <s v="Fresh onion Yellow(Imported)"/>
    <s v="Gram "/>
    <s v="Gram "/>
    <n v="150"/>
    <m/>
    <m/>
    <n v="10"/>
    <x v="0"/>
    <n v="15"/>
    <n v="3.529411764705882E-3"/>
    <n v="5.2941176470588228E-2"/>
  </r>
  <r>
    <x v="12"/>
    <s v="Gourmet360"/>
    <x v="0"/>
    <x v="12"/>
    <x v="1"/>
    <x v="0"/>
    <m/>
    <m/>
    <m/>
    <s v="DRS6-4482"/>
    <s v="Spice Garlic Powder(Kg)"/>
    <s v="Gram "/>
    <s v="Gram "/>
    <n v="30"/>
    <m/>
    <m/>
    <n v="10"/>
    <x v="0"/>
    <n v="3"/>
    <n v="1.04E-2"/>
    <n v="3.1199999999999999E-2"/>
  </r>
  <r>
    <x v="12"/>
    <s v="Gourmet360"/>
    <x v="0"/>
    <x v="12"/>
    <x v="1"/>
    <x v="0"/>
    <m/>
    <m/>
    <m/>
    <s v="PRD2-3671"/>
    <s v="Frz Moulokhia (400Gram)"/>
    <s v="Gram "/>
    <s v="Gram "/>
    <n v="1600"/>
    <m/>
    <m/>
    <n v="10"/>
    <x v="0"/>
    <n v="160"/>
    <n v="6.2500000000000003E-3"/>
    <n v="1"/>
  </r>
  <r>
    <x v="12"/>
    <s v="Gourmet360"/>
    <x v="0"/>
    <x v="12"/>
    <x v="1"/>
    <x v="0"/>
    <m/>
    <m/>
    <m/>
    <s v="DRS1-3811"/>
    <s v="Chicken Stock Powder(Packet)"/>
    <s v="Gram "/>
    <s v="Gram "/>
    <n v="8"/>
    <m/>
    <m/>
    <n v="10"/>
    <x v="0"/>
    <n v="0.8"/>
    <n v="2.8475E-2"/>
    <n v="2.2780000000000002E-2"/>
  </r>
  <r>
    <x v="12"/>
    <s v="Gourmet360"/>
    <x v="0"/>
    <x v="12"/>
    <x v="1"/>
    <x v="0"/>
    <m/>
    <m/>
    <m/>
    <s v="TAP-00001"/>
    <s v="Tap Water-Cooking"/>
    <s v="Ml"/>
    <s v="Ml"/>
    <n v="500"/>
    <m/>
    <m/>
    <n v="10"/>
    <x v="0"/>
    <n v="50"/>
    <n v="8.0000000000000007E-5"/>
    <n v="4.0000000000000001E-3"/>
  </r>
  <r>
    <x v="12"/>
    <s v="Gourmet360"/>
    <x v="0"/>
    <x v="12"/>
    <x v="1"/>
    <x v="0"/>
    <m/>
    <m/>
    <m/>
    <s v="DRS6-537"/>
    <s v="Spices Pepper Black Powder(1 Kg)"/>
    <s v="Gram "/>
    <s v="Gram "/>
    <n v="1"/>
    <m/>
    <m/>
    <n v="10"/>
    <x v="0"/>
    <n v="0.1"/>
    <n v="3.5000000000000003E-2"/>
    <n v="3.5000000000000005E-3"/>
  </r>
  <r>
    <x v="12"/>
    <s v="Gourmet360"/>
    <x v="0"/>
    <x v="12"/>
    <x v="1"/>
    <x v="0"/>
    <m/>
    <m/>
    <m/>
    <s v="DRS6-733"/>
    <s v="Spices Cumin Powder"/>
    <s v="Gram "/>
    <s v="Gram "/>
    <n v="2"/>
    <m/>
    <m/>
    <n v="10"/>
    <x v="0"/>
    <n v="0.2"/>
    <n v="2.8000000000000001E-2"/>
    <n v="5.6000000000000008E-3"/>
  </r>
  <r>
    <x v="12"/>
    <s v="Gourmet360"/>
    <x v="0"/>
    <x v="12"/>
    <x v="1"/>
    <x v="0"/>
    <m/>
    <m/>
    <m/>
    <s v="DRS6-266"/>
    <s v="Spices Coriander Powder"/>
    <s v="Gram "/>
    <s v="Gram "/>
    <n v="4"/>
    <m/>
    <m/>
    <n v="10"/>
    <x v="0"/>
    <n v="0.4"/>
    <n v="1.4E-2"/>
    <n v="5.6000000000000008E-3"/>
  </r>
  <r>
    <x v="12"/>
    <s v="Gourmet360"/>
    <x v="0"/>
    <x v="12"/>
    <x v="1"/>
    <x v="0"/>
    <m/>
    <m/>
    <m/>
    <s v="PRD1-195"/>
    <s v="Fresh Coriander "/>
    <s v="Gram "/>
    <s v="Gram "/>
    <n v="40"/>
    <m/>
    <m/>
    <n v="10"/>
    <x v="0"/>
    <n v="4"/>
    <n v="9.3676814988290415E-3"/>
    <n v="3.7470725995316166E-2"/>
  </r>
  <r>
    <x v="12"/>
    <s v="Gourmet360"/>
    <x v="0"/>
    <x v="12"/>
    <x v="1"/>
    <x v="0"/>
    <m/>
    <m/>
    <m/>
    <s v="DRS4-498"/>
    <s v="Rice Basmati"/>
    <s v="Gram "/>
    <s v="Gram "/>
    <n v="1000"/>
    <m/>
    <m/>
    <n v="10"/>
    <x v="0"/>
    <n v="100"/>
    <n v="5.7499999999999999E-3"/>
    <n v="0.57499999999999996"/>
  </r>
  <r>
    <x v="12"/>
    <s v="Gourmet360"/>
    <x v="0"/>
    <x v="12"/>
    <x v="1"/>
    <x v="0"/>
    <m/>
    <m/>
    <m/>
    <s v="TAP-00001"/>
    <s v="Tap Water-Cooking"/>
    <s v="Ml"/>
    <s v="Ml"/>
    <n v="1600"/>
    <m/>
    <m/>
    <n v="10"/>
    <x v="0"/>
    <n v="160"/>
    <n v="8.0000000000000007E-5"/>
    <n v="1.2800000000000001E-2"/>
  </r>
  <r>
    <x v="12"/>
    <s v="Gourmet360"/>
    <x v="0"/>
    <x v="12"/>
    <x v="1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12"/>
    <s v="Gourmet360"/>
    <x v="0"/>
    <x v="12"/>
    <x v="1"/>
    <x v="0"/>
    <m/>
    <m/>
    <m/>
    <s v="DRS3-1813"/>
    <s v="Corn Oil (18 Liter)"/>
    <s v="Ml"/>
    <s v="Ml"/>
    <n v="40"/>
    <m/>
    <m/>
    <n v="10"/>
    <x v="0"/>
    <n v="4"/>
    <n v="8.0555555555555554E-3"/>
    <n v="3.2222222222222222E-2"/>
  </r>
  <r>
    <x v="13"/>
    <s v="Gourmet360"/>
    <x v="0"/>
    <x v="13"/>
    <x v="1"/>
    <x v="0"/>
    <m/>
    <m/>
    <m/>
    <s v="DRS2-3804"/>
    <s v="Pasta Elbows Small #19"/>
    <s v="Gram "/>
    <s v="Gram "/>
    <n v="500"/>
    <m/>
    <m/>
    <n v="10"/>
    <x v="0"/>
    <n v="50"/>
    <n v="9.2222222222222237E-3"/>
    <n v="0.46111111111111119"/>
  </r>
  <r>
    <x v="13"/>
    <s v="Gourmet360"/>
    <x v="0"/>
    <x v="13"/>
    <x v="1"/>
    <x v="0"/>
    <m/>
    <m/>
    <m/>
    <s v="DRS4-483"/>
    <s v="Dry Chick Peas NO.12"/>
    <s v="Gram "/>
    <s v="Gram "/>
    <n v="250"/>
    <m/>
    <m/>
    <n v="10"/>
    <x v="0"/>
    <n v="25"/>
    <n v="7.0000000000000001E-3"/>
    <n v="0.17500000000000002"/>
  </r>
  <r>
    <x v="13"/>
    <s v="Gourmet360"/>
    <x v="0"/>
    <x v="13"/>
    <x v="1"/>
    <x v="0"/>
    <m/>
    <m/>
    <m/>
    <s v="DRS4-498"/>
    <s v="Rice Basmati"/>
    <s v="Gram "/>
    <s v="Gram "/>
    <n v="700"/>
    <m/>
    <m/>
    <n v="10"/>
    <x v="0"/>
    <n v="70"/>
    <n v="5.7499999999999999E-3"/>
    <n v="0.40249999999999997"/>
  </r>
  <r>
    <x v="13"/>
    <s v="Gourmet360"/>
    <x v="0"/>
    <x v="13"/>
    <x v="1"/>
    <x v="0"/>
    <m/>
    <m/>
    <m/>
    <s v="DRS2-3628"/>
    <s v="Pasta Vermicelli-Cuts,N:61"/>
    <s v="Gram "/>
    <s v="Gram "/>
    <n v="70"/>
    <m/>
    <m/>
    <n v="10"/>
    <x v="0"/>
    <n v="7"/>
    <n v="1.1066666666666667E-2"/>
    <n v="7.746666666666667E-2"/>
  </r>
  <r>
    <x v="13"/>
    <s v="Gourmet360"/>
    <x v="0"/>
    <x v="13"/>
    <x v="1"/>
    <x v="0"/>
    <m/>
    <m/>
    <m/>
    <s v="DRS3-1813"/>
    <s v="Corn Oil (18 Liter)"/>
    <s v="Ml"/>
    <s v="Ml"/>
    <n v="50"/>
    <m/>
    <m/>
    <n v="10"/>
    <x v="0"/>
    <n v="5"/>
    <n v="8.0555555555555554E-3"/>
    <n v="4.0277777777777773E-2"/>
  </r>
  <r>
    <x v="13"/>
    <s v="Gourmet360"/>
    <x v="0"/>
    <x v="13"/>
    <x v="1"/>
    <x v="0"/>
    <m/>
    <m/>
    <m/>
    <s v="DRS6-733"/>
    <s v="Spices Cumin Powder"/>
    <s v="Gram "/>
    <s v="Gram "/>
    <n v="8"/>
    <m/>
    <m/>
    <n v="10"/>
    <x v="0"/>
    <n v="0.8"/>
    <n v="2.8000000000000001E-2"/>
    <n v="2.2400000000000003E-2"/>
  </r>
  <r>
    <x v="13"/>
    <s v="Gourmet360"/>
    <x v="0"/>
    <x v="13"/>
    <x v="1"/>
    <x v="0"/>
    <m/>
    <m/>
    <m/>
    <s v="PRD2-3914"/>
    <s v="Corn On The Cob(Whole)"/>
    <s v="Each"/>
    <s v="Each"/>
    <n v="2"/>
    <m/>
    <m/>
    <n v="10"/>
    <x v="0"/>
    <n v="0.2"/>
    <n v="3.73"/>
    <n v="0.746"/>
  </r>
  <r>
    <x v="13"/>
    <s v="Gourmet360"/>
    <x v="0"/>
    <x v="13"/>
    <x v="1"/>
    <x v="0"/>
    <m/>
    <m/>
    <m/>
    <s v="PRD1-4327"/>
    <s v="Fresh Garlic Peeled"/>
    <s v="Gram "/>
    <s v="Gram "/>
    <n v="20"/>
    <m/>
    <m/>
    <n v="10"/>
    <x v="0"/>
    <n v="2"/>
    <n v="1.2999999999999999E-2"/>
    <n v="2.5999999999999999E-2"/>
  </r>
  <r>
    <x v="13"/>
    <s v="Gourmet360"/>
    <x v="0"/>
    <x v="13"/>
    <x v="1"/>
    <x v="0"/>
    <m/>
    <m/>
    <m/>
    <s v="DRS3-1615"/>
    <s v="Olive Oil (CAN)"/>
    <s v="Ml"/>
    <s v="Ml"/>
    <n v="80"/>
    <m/>
    <m/>
    <n v="10"/>
    <x v="0"/>
    <n v="8"/>
    <n v="1.2E-2"/>
    <n v="9.6000000000000002E-2"/>
  </r>
  <r>
    <x v="13"/>
    <s v="Gourmet360"/>
    <x v="0"/>
    <x v="13"/>
    <x v="1"/>
    <x v="0"/>
    <m/>
    <m/>
    <m/>
    <s v="DRS6-733"/>
    <s v="Spices Cumin Powder"/>
    <s v="Gram "/>
    <s v="Gram "/>
    <n v="3"/>
    <m/>
    <m/>
    <n v="10"/>
    <x v="0"/>
    <n v="0.3"/>
    <n v="2.8000000000000001E-2"/>
    <n v="8.3999999999999995E-3"/>
  </r>
  <r>
    <x v="13"/>
    <s v="Gourmet360"/>
    <x v="0"/>
    <x v="13"/>
    <x v="1"/>
    <x v="0"/>
    <m/>
    <m/>
    <m/>
    <s v="DRS6-266"/>
    <s v="Spices Coriander Powder"/>
    <s v="Gram "/>
    <s v="Gram "/>
    <n v="3"/>
    <m/>
    <m/>
    <n v="10"/>
    <x v="0"/>
    <n v="0.3"/>
    <n v="1.4E-2"/>
    <n v="4.1999999999999997E-3"/>
  </r>
  <r>
    <x v="13"/>
    <s v="Gourmet360"/>
    <x v="0"/>
    <x v="13"/>
    <x v="1"/>
    <x v="0"/>
    <m/>
    <m/>
    <m/>
    <s v="DRS6-537"/>
    <s v="Spices Pepper Black Powder(1 Kg)"/>
    <s v="Gram "/>
    <s v="Gram "/>
    <n v="2"/>
    <m/>
    <m/>
    <n v="10"/>
    <x v="0"/>
    <n v="0.2"/>
    <n v="3.5000000000000003E-2"/>
    <n v="7.000000000000001E-3"/>
  </r>
  <r>
    <x v="13"/>
    <s v="Gourmet360"/>
    <x v="0"/>
    <x v="13"/>
    <x v="1"/>
    <x v="0"/>
    <m/>
    <m/>
    <m/>
    <s v="PRD1-572"/>
    <s v="Fresh Tomato "/>
    <s v="Gram "/>
    <s v="Gram "/>
    <n v="600"/>
    <m/>
    <m/>
    <n v="10"/>
    <x v="0"/>
    <n v="60"/>
    <n v="4.5351473922902496E-3"/>
    <n v="0.27210884353741499"/>
  </r>
  <r>
    <x v="13"/>
    <s v="Gourmet360"/>
    <x v="0"/>
    <x v="13"/>
    <x v="1"/>
    <x v="0"/>
    <m/>
    <m/>
    <m/>
    <s v="DRS1-5153"/>
    <s v="Vinegar White (30 Ltr Gallon)"/>
    <s v="Ml"/>
    <s v="Ml"/>
    <n v="30"/>
    <m/>
    <m/>
    <n v="10"/>
    <x v="0"/>
    <n v="3"/>
    <n v="1.681E-3"/>
    <n v="5.0429999999999997E-3"/>
  </r>
  <r>
    <x v="13"/>
    <s v="Gourmet360"/>
    <x v="0"/>
    <x v="13"/>
    <x v="1"/>
    <x v="0"/>
    <m/>
    <m/>
    <m/>
    <s v="DRS1-3880"/>
    <s v="Salt "/>
    <s v="Gram "/>
    <s v="Gram "/>
    <n v="8"/>
    <m/>
    <m/>
    <n v="10"/>
    <x v="0"/>
    <n v="0.8"/>
    <n v="5.0000000000000001E-4"/>
    <n v="4.0000000000000002E-4"/>
  </r>
  <r>
    <x v="13"/>
    <s v="Gourmet360"/>
    <x v="0"/>
    <x v="13"/>
    <x v="1"/>
    <x v="0"/>
    <m/>
    <m/>
    <m/>
    <s v="DRS1-978"/>
    <s v="Sugar Fine(50 KG)"/>
    <s v="Gram "/>
    <s v="Gram "/>
    <n v="10"/>
    <m/>
    <m/>
    <n v="10"/>
    <x v="0"/>
    <n v="1"/>
    <n v="2.3999999999999998E-3"/>
    <n v="2.3999999999999998E-3"/>
  </r>
  <r>
    <x v="13"/>
    <s v="Gourmet360"/>
    <x v="0"/>
    <x v="13"/>
    <x v="1"/>
    <x v="0"/>
    <m/>
    <m/>
    <m/>
    <s v="PRD3-5038"/>
    <s v="Fried Onions"/>
    <s v="Gram "/>
    <s v="Gram "/>
    <n v="100"/>
    <m/>
    <m/>
    <n v="10"/>
    <x v="0"/>
    <n v="10"/>
    <n v="2.5999999999999999E-2"/>
    <n v="0.26"/>
  </r>
  <r>
    <x v="13"/>
    <s v="Gourmet360"/>
    <x v="0"/>
    <x v="13"/>
    <x v="1"/>
    <x v="0"/>
    <m/>
    <m/>
    <m/>
    <s v="DRS4-490"/>
    <s v="Lentil Brown"/>
    <s v="Gram "/>
    <s v="Gram "/>
    <n v="300"/>
    <m/>
    <m/>
    <n v="10"/>
    <x v="0"/>
    <n v="30"/>
    <n v="8.3333333333333332E-3"/>
    <n v="0.25"/>
  </r>
  <r>
    <x v="14"/>
    <s v="Gourmet360"/>
    <x v="0"/>
    <x v="14"/>
    <x v="1"/>
    <x v="0"/>
    <m/>
    <m/>
    <m/>
    <s v="MET2-3558"/>
    <s v="Frz Leg Boneless (Veal)"/>
    <s v="Gram "/>
    <s v="Gram "/>
    <n v="1000"/>
    <m/>
    <m/>
    <n v="10"/>
    <x v="0"/>
    <n v="100"/>
    <n v="8.7272727272727266E-2"/>
    <n v="8.7272727272727266"/>
  </r>
  <r>
    <x v="14"/>
    <s v="Gourmet360"/>
    <x v="0"/>
    <x v="14"/>
    <x v="1"/>
    <x v="0"/>
    <m/>
    <m/>
    <m/>
    <s v="DRS4-3299"/>
    <s v="Burgul Brown (Large)"/>
    <s v="Gram "/>
    <s v="Gram "/>
    <n v="1000"/>
    <m/>
    <m/>
    <n v="10"/>
    <x v="0"/>
    <n v="100"/>
    <n v="6.0000000000000001E-3"/>
    <n v="0.6"/>
  </r>
  <r>
    <x v="14"/>
    <s v="Gourmet360"/>
    <x v="0"/>
    <x v="14"/>
    <x v="1"/>
    <x v="0"/>
    <m/>
    <m/>
    <m/>
    <s v="DRS3-1813"/>
    <s v="Corn Oil (18 Liter)"/>
    <s v="Ml"/>
    <s v="Ml"/>
    <n v="30"/>
    <m/>
    <m/>
    <n v="10"/>
    <x v="0"/>
    <n v="3"/>
    <n v="8.0555555555555554E-3"/>
    <n v="2.4166666666666666E-2"/>
  </r>
  <r>
    <x v="14"/>
    <s v="Gourmet360"/>
    <x v="0"/>
    <x v="14"/>
    <x v="1"/>
    <x v="0"/>
    <m/>
    <m/>
    <m/>
    <s v="PRD1-4265"/>
    <s v="Fresh onion Yellow(Imported)"/>
    <s v="Gram "/>
    <s v="Gram "/>
    <n v="60"/>
    <m/>
    <m/>
    <n v="10"/>
    <x v="0"/>
    <n v="6"/>
    <n v="3.529411764705882E-3"/>
    <n v="2.1176470588235293E-2"/>
  </r>
  <r>
    <x v="14"/>
    <s v="Gourmet360"/>
    <x v="0"/>
    <x v="14"/>
    <x v="1"/>
    <x v="0"/>
    <m/>
    <m/>
    <m/>
    <s v="PRD1-4327"/>
    <s v="Fresh Garlic Peeled"/>
    <s v="Gram "/>
    <s v="Gram "/>
    <n v="10"/>
    <m/>
    <m/>
    <n v="10"/>
    <x v="0"/>
    <n v="1"/>
    <n v="1.2999999999999999E-2"/>
    <n v="1.2999999999999999E-2"/>
  </r>
  <r>
    <x v="14"/>
    <s v="Gourmet360"/>
    <x v="0"/>
    <x v="14"/>
    <x v="1"/>
    <x v="0"/>
    <m/>
    <m/>
    <m/>
    <s v="PRD1-232"/>
    <s v="Fresh Pumpkin"/>
    <s v="Gram "/>
    <s v="Gram "/>
    <n v="300"/>
    <m/>
    <m/>
    <n v="10"/>
    <x v="0"/>
    <n v="30"/>
    <n v="4.4444444444444444E-3"/>
    <n v="0.13333333333333333"/>
  </r>
  <r>
    <x v="14"/>
    <s v="Gourmet360"/>
    <x v="0"/>
    <x v="14"/>
    <x v="1"/>
    <x v="0"/>
    <m/>
    <m/>
    <m/>
    <s v="PRD1-3794"/>
    <s v="Fresh Baby Marrow"/>
    <s v="Gram "/>
    <s v="Gram "/>
    <n v="300"/>
    <m/>
    <m/>
    <n v="10"/>
    <x v="0"/>
    <n v="30"/>
    <n v="4.9382716049382715E-3"/>
    <n v="0.14814814814814814"/>
  </r>
  <r>
    <x v="14"/>
    <s v="Gourmet360"/>
    <x v="0"/>
    <x v="14"/>
    <x v="1"/>
    <x v="0"/>
    <m/>
    <m/>
    <m/>
    <s v="PRD1-186"/>
    <s v="Fresh Carrot Imported"/>
    <s v="Gram "/>
    <s v="Gram "/>
    <n v="300"/>
    <m/>
    <m/>
    <n v="10"/>
    <x v="0"/>
    <n v="30"/>
    <n v="5.8139534883720938E-3"/>
    <n v="0.17441860465116282"/>
  </r>
  <r>
    <x v="14"/>
    <s v="Gourmet360"/>
    <x v="0"/>
    <x v="14"/>
    <x v="1"/>
    <x v="0"/>
    <m/>
    <m/>
    <m/>
    <s v="PRD2-3566"/>
    <s v="Frz Green Beans Cut(800 Gram)"/>
    <s v="Gram "/>
    <s v="Gram "/>
    <n v="300"/>
    <m/>
    <m/>
    <n v="10"/>
    <x v="0"/>
    <n v="30"/>
    <n v="8.2249999999999997E-3"/>
    <n v="0.24675"/>
  </r>
  <r>
    <x v="14"/>
    <s v="Gourmet360"/>
    <x v="0"/>
    <x v="14"/>
    <x v="1"/>
    <x v="0"/>
    <m/>
    <m/>
    <m/>
    <s v="PRD1-572"/>
    <s v="Fresh Tomato "/>
    <s v="Gram "/>
    <s v="Gram "/>
    <n v="200"/>
    <m/>
    <m/>
    <n v="10"/>
    <x v="0"/>
    <n v="20"/>
    <n v="4.5351473922902496E-3"/>
    <n v="9.0702947845804988E-2"/>
  </r>
  <r>
    <x v="14"/>
    <s v="Gourmet360"/>
    <x v="0"/>
    <x v="14"/>
    <x v="1"/>
    <x v="0"/>
    <m/>
    <m/>
    <m/>
    <s v="DRS1-1747"/>
    <s v="Can Tomato Paste (4500 Gram)"/>
    <s v="Gram "/>
    <s v="Gram "/>
    <n v="40"/>
    <m/>
    <m/>
    <n v="10"/>
    <x v="0"/>
    <n v="4"/>
    <n v="5.185185185185185E-3"/>
    <n v="2.074074074074074E-2"/>
  </r>
  <r>
    <x v="14"/>
    <s v="Gourmet360"/>
    <x v="0"/>
    <x v="14"/>
    <x v="1"/>
    <x v="0"/>
    <m/>
    <m/>
    <m/>
    <s v="DRS1-3880"/>
    <s v="Salt "/>
    <s v="Gram "/>
    <s v="Gram "/>
    <n v="1"/>
    <m/>
    <m/>
    <n v="10"/>
    <x v="0"/>
    <n v="0.1"/>
    <n v="5.0000000000000001E-4"/>
    <n v="5.0000000000000002E-5"/>
  </r>
  <r>
    <x v="14"/>
    <s v="Gourmet360"/>
    <x v="0"/>
    <x v="14"/>
    <x v="1"/>
    <x v="0"/>
    <m/>
    <m/>
    <m/>
    <s v="DRS6-537"/>
    <s v="Spices Pepper Black Powder(1 Kg)"/>
    <s v="Gram "/>
    <s v="Gram "/>
    <n v="3"/>
    <m/>
    <m/>
    <n v="10"/>
    <x v="0"/>
    <n v="0.3"/>
    <n v="3.5000000000000003E-2"/>
    <n v="1.0500000000000001E-2"/>
  </r>
  <r>
    <x v="14"/>
    <s v="Gourmet360"/>
    <x v="0"/>
    <x v="14"/>
    <x v="1"/>
    <x v="0"/>
    <m/>
    <m/>
    <m/>
    <s v="DRS6-266"/>
    <s v="Spices Coriander Powder"/>
    <s v="Gram "/>
    <s v="Gram "/>
    <n v="2"/>
    <m/>
    <m/>
    <n v="10"/>
    <x v="0"/>
    <n v="0.2"/>
    <n v="1.4E-2"/>
    <n v="2.8000000000000004E-3"/>
  </r>
  <r>
    <x v="14"/>
    <s v="Gourmet360"/>
    <x v="0"/>
    <x v="14"/>
    <x v="1"/>
    <x v="0"/>
    <m/>
    <m/>
    <m/>
    <s v="DRS6-733"/>
    <s v="Spices Cumin Powder"/>
    <s v="Gram "/>
    <s v="Gram "/>
    <n v="2"/>
    <m/>
    <m/>
    <n v="10"/>
    <x v="0"/>
    <n v="0.2"/>
    <n v="2.8000000000000001E-2"/>
    <n v="5.6000000000000008E-3"/>
  </r>
  <r>
    <x v="14"/>
    <s v="Gourmet360"/>
    <x v="0"/>
    <x v="14"/>
    <x v="1"/>
    <x v="0"/>
    <m/>
    <m/>
    <m/>
    <s v="DRS1-3813"/>
    <s v="Beef Stock Powder(Packet)"/>
    <s v="Gram "/>
    <s v="Gram "/>
    <n v="10"/>
    <m/>
    <m/>
    <n v="10"/>
    <x v="0"/>
    <n v="1"/>
    <n v="4.4441666666666664E-2"/>
    <n v="4.4441666666666664E-2"/>
  </r>
  <r>
    <x v="14"/>
    <s v="Gourmet360"/>
    <x v="0"/>
    <x v="14"/>
    <x v="1"/>
    <x v="0"/>
    <m/>
    <m/>
    <m/>
    <s v="TAP-00001"/>
    <s v="Tap Water-Cooking"/>
    <s v="Ml"/>
    <s v="Ml"/>
    <n v="1600"/>
    <m/>
    <m/>
    <n v="10"/>
    <x v="0"/>
    <n v="160"/>
    <n v="8.0000000000000007E-5"/>
    <n v="1.2800000000000001E-2"/>
  </r>
  <r>
    <x v="15"/>
    <s v="Gourmet360"/>
    <x v="0"/>
    <x v="15"/>
    <x v="1"/>
    <x v="0"/>
    <m/>
    <m/>
    <m/>
    <s v="MET2-585"/>
    <s v="Frz Beef Topside"/>
    <s v="Gram "/>
    <s v="Gram "/>
    <n v="1000"/>
    <m/>
    <m/>
    <n v="10"/>
    <x v="0"/>
    <n v="100"/>
    <n v="4.2630057803468215E-2"/>
    <n v="4.2630057803468215"/>
  </r>
  <r>
    <x v="15"/>
    <s v="Gourmet360"/>
    <x v="0"/>
    <x v="15"/>
    <x v="1"/>
    <x v="0"/>
    <m/>
    <m/>
    <m/>
    <s v="PRD1-230"/>
    <s v="Fresh Potato"/>
    <s v="Gram "/>
    <s v="Gram "/>
    <n v="700"/>
    <m/>
    <m/>
    <n v="10"/>
    <x v="0"/>
    <n v="70"/>
    <n v="3.3738191632928472E-3"/>
    <n v="0.23616734143049931"/>
  </r>
  <r>
    <x v="15"/>
    <s v="Gourmet360"/>
    <x v="0"/>
    <x v="15"/>
    <x v="1"/>
    <x v="0"/>
    <m/>
    <m/>
    <m/>
    <s v="PRD1-201"/>
    <s v="Fresh Eggplant"/>
    <s v="Gram "/>
    <s v="Gram "/>
    <n v="600"/>
    <m/>
    <m/>
    <n v="10"/>
    <x v="0"/>
    <n v="60"/>
    <n v="4.2857142857142868E-3"/>
    <n v="0.25714285714285723"/>
  </r>
  <r>
    <x v="15"/>
    <s v="Gourmet360"/>
    <x v="0"/>
    <x v="15"/>
    <x v="1"/>
    <x v="0"/>
    <m/>
    <m/>
    <m/>
    <s v="DRS1-4840"/>
    <s v="Can Chopped Tomato"/>
    <s v="Gram "/>
    <s v="Gram "/>
    <n v="700"/>
    <m/>
    <m/>
    <n v="10"/>
    <x v="0"/>
    <n v="70"/>
    <n v="6.0000000000000001E-3"/>
    <n v="0.42"/>
  </r>
  <r>
    <x v="15"/>
    <s v="Gourmet360"/>
    <x v="0"/>
    <x v="15"/>
    <x v="1"/>
    <x v="0"/>
    <m/>
    <m/>
    <m/>
    <s v="DRS3-1813"/>
    <s v="Corn Oil (18 Liter)"/>
    <s v="Ml"/>
    <s v="Ml"/>
    <n v="25"/>
    <m/>
    <m/>
    <n v="10"/>
    <x v="0"/>
    <n v="2.5"/>
    <n v="8.0555555555555554E-3"/>
    <n v="2.0138888888888887E-2"/>
  </r>
  <r>
    <x v="15"/>
    <s v="Gourmet360"/>
    <x v="0"/>
    <x v="15"/>
    <x v="1"/>
    <x v="0"/>
    <m/>
    <m/>
    <m/>
    <s v="PRD1-4265"/>
    <s v="Fresh onion Yellow(Imported)"/>
    <s v="Gram "/>
    <s v="Gram "/>
    <n v="100"/>
    <m/>
    <m/>
    <n v="10"/>
    <x v="0"/>
    <n v="10"/>
    <n v="3.529411764705882E-3"/>
    <n v="3.5294117647058823E-2"/>
  </r>
  <r>
    <x v="15"/>
    <s v="Gourmet360"/>
    <x v="0"/>
    <x v="15"/>
    <x v="1"/>
    <x v="0"/>
    <m/>
    <m/>
    <m/>
    <s v="PRD1-4327"/>
    <s v="Fresh Garlic Peeled"/>
    <s v="Gram "/>
    <s v="Gram "/>
    <n v="20"/>
    <m/>
    <m/>
    <n v="10"/>
    <x v="0"/>
    <n v="2"/>
    <n v="1.2999999999999999E-2"/>
    <n v="2.5999999999999999E-2"/>
  </r>
  <r>
    <x v="15"/>
    <s v="Gourmet360"/>
    <x v="0"/>
    <x v="15"/>
    <x v="1"/>
    <x v="0"/>
    <m/>
    <m/>
    <m/>
    <s v="DRS1-607"/>
    <s v="Can Tomato Peeled"/>
    <s v="Gram "/>
    <s v="Gram "/>
    <n v="1250"/>
    <m/>
    <m/>
    <n v="10"/>
    <x v="0"/>
    <n v="125"/>
    <n v="5.8823529411764705E-3"/>
    <n v="0.73529411764705876"/>
  </r>
  <r>
    <x v="15"/>
    <s v="Gourmet360"/>
    <x v="0"/>
    <x v="15"/>
    <x v="1"/>
    <x v="0"/>
    <m/>
    <m/>
    <m/>
    <s v="DRS1-1747"/>
    <s v="Can Tomato Paste (4500 Gram)"/>
    <s v="Gram "/>
    <s v="Gram "/>
    <n v="60"/>
    <m/>
    <m/>
    <n v="10"/>
    <x v="0"/>
    <n v="6"/>
    <n v="5.185185185185185E-3"/>
    <n v="3.111111111111111E-2"/>
  </r>
  <r>
    <x v="15"/>
    <s v="Gourmet360"/>
    <x v="0"/>
    <x v="15"/>
    <x v="1"/>
    <x v="0"/>
    <m/>
    <m/>
    <m/>
    <s v="DRS1-978"/>
    <s v="Sugar Fine(50 KG)"/>
    <s v="Gram "/>
    <s v="Gram "/>
    <n v="5"/>
    <m/>
    <m/>
    <n v="10"/>
    <x v="0"/>
    <n v="0.5"/>
    <n v="2.3999999999999998E-3"/>
    <n v="1.1999999999999999E-3"/>
  </r>
  <r>
    <x v="15"/>
    <s v="Gourmet360"/>
    <x v="0"/>
    <x v="15"/>
    <x v="1"/>
    <x v="0"/>
    <m/>
    <m/>
    <m/>
    <s v="DRS1-3880"/>
    <s v="Salt "/>
    <s v="Gram "/>
    <s v="Gram "/>
    <n v="7"/>
    <m/>
    <m/>
    <n v="10"/>
    <x v="0"/>
    <n v="0.7"/>
    <n v="5.0000000000000001E-4"/>
    <n v="3.5E-4"/>
  </r>
  <r>
    <x v="15"/>
    <s v="Gourmet360"/>
    <x v="0"/>
    <x v="15"/>
    <x v="1"/>
    <x v="0"/>
    <m/>
    <m/>
    <m/>
    <s v="DRS1-3813"/>
    <s v="Beef Stock Powder(Packet)"/>
    <s v="Gram "/>
    <s v="Gram "/>
    <n v="5"/>
    <m/>
    <m/>
    <n v="10"/>
    <x v="0"/>
    <n v="0.5"/>
    <n v="4.4441666666666664E-2"/>
    <n v="2.2220833333333332E-2"/>
  </r>
  <r>
    <x v="15"/>
    <s v="Gourmet360"/>
    <x v="0"/>
    <x v="15"/>
    <x v="1"/>
    <x v="0"/>
    <m/>
    <m/>
    <m/>
    <s v="DRS6-537"/>
    <s v="Spices Pepper Black Powder(1 Kg)"/>
    <s v="Gram "/>
    <s v="Gram "/>
    <n v="2"/>
    <m/>
    <m/>
    <n v="10"/>
    <x v="0"/>
    <n v="0.2"/>
    <n v="3.5000000000000003E-2"/>
    <n v="7.000000000000001E-3"/>
  </r>
  <r>
    <x v="15"/>
    <s v="Gourmet360"/>
    <x v="0"/>
    <x v="15"/>
    <x v="1"/>
    <x v="0"/>
    <m/>
    <m/>
    <m/>
    <s v="DRS4-498"/>
    <s v="Rice Basmati"/>
    <s v="Gram "/>
    <s v="Gram "/>
    <n v="1000"/>
    <m/>
    <m/>
    <n v="10"/>
    <x v="0"/>
    <n v="100"/>
    <n v="5.7499999999999999E-3"/>
    <n v="0.57499999999999996"/>
  </r>
  <r>
    <x v="15"/>
    <s v="Gourmet360"/>
    <x v="0"/>
    <x v="15"/>
    <x v="1"/>
    <x v="0"/>
    <m/>
    <m/>
    <m/>
    <s v="DRS3-1813"/>
    <s v="Corn Oil (18 Liter)"/>
    <s v="Ml"/>
    <s v="Ml"/>
    <n v="40"/>
    <m/>
    <m/>
    <n v="10"/>
    <x v="0"/>
    <n v="4"/>
    <n v="8.0555555555555554E-3"/>
    <n v="3.2222222222222222E-2"/>
  </r>
  <r>
    <x v="15"/>
    <s v="Gourmet360"/>
    <x v="0"/>
    <x v="15"/>
    <x v="1"/>
    <x v="0"/>
    <m/>
    <m/>
    <m/>
    <s v="TAP-00001"/>
    <s v="Tap Water-Cooking"/>
    <s v="Ml"/>
    <s v="Ml"/>
    <n v="1800"/>
    <m/>
    <m/>
    <n v="10"/>
    <x v="0"/>
    <n v="180"/>
    <n v="8.0000000000000007E-5"/>
    <n v="1.4400000000000001E-2"/>
  </r>
  <r>
    <x v="15"/>
    <s v="Gourmet360"/>
    <x v="0"/>
    <x v="15"/>
    <x v="1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16"/>
    <s v="Gourmet360"/>
    <x v="0"/>
    <x v="16"/>
    <x v="1"/>
    <x v="0"/>
    <m/>
    <m/>
    <m/>
    <s v="PLT1-1785"/>
    <s v="Fresh Chicken Whole"/>
    <s v="Gram "/>
    <s v="Gram "/>
    <n v="3000"/>
    <m/>
    <m/>
    <n v="10"/>
    <x v="0"/>
    <n v="300"/>
    <n v="1.3730000000000001E-2"/>
    <n v="4.1190000000000007"/>
  </r>
  <r>
    <x v="16"/>
    <s v="Gourmet360"/>
    <x v="0"/>
    <x v="16"/>
    <x v="1"/>
    <x v="0"/>
    <m/>
    <m/>
    <m/>
    <s v="DRS3-1813"/>
    <s v="Corn Oil (18 Liter)"/>
    <s v="Ml"/>
    <s v="Ml"/>
    <n v="50"/>
    <m/>
    <m/>
    <n v="10"/>
    <x v="0"/>
    <n v="5"/>
    <n v="8.0555555555555554E-3"/>
    <n v="4.0277777777777773E-2"/>
  </r>
  <r>
    <x v="16"/>
    <s v="Gourmet360"/>
    <x v="0"/>
    <x v="16"/>
    <x v="1"/>
    <x v="0"/>
    <m/>
    <m/>
    <m/>
    <s v="PRD1-4327"/>
    <s v="Fresh Garlic Peeled"/>
    <s v="Gram "/>
    <s v="Gram "/>
    <n v="50"/>
    <m/>
    <m/>
    <n v="10"/>
    <x v="0"/>
    <n v="5"/>
    <n v="1.2999999999999999E-2"/>
    <n v="6.5000000000000002E-2"/>
  </r>
  <r>
    <x v="16"/>
    <s v="Gourmet360"/>
    <x v="0"/>
    <x v="16"/>
    <x v="1"/>
    <x v="0"/>
    <m/>
    <m/>
    <m/>
    <s v="PRD1-204"/>
    <s v="Fresh Ginger"/>
    <s v="Gram "/>
    <s v="Gram "/>
    <n v="50"/>
    <m/>
    <m/>
    <n v="10"/>
    <x v="0"/>
    <n v="5"/>
    <n v="8.4337349397590362E-3"/>
    <n v="4.2168674698795178E-2"/>
  </r>
  <r>
    <x v="16"/>
    <s v="Gourmet360"/>
    <x v="0"/>
    <x v="16"/>
    <x v="1"/>
    <x v="0"/>
    <m/>
    <m/>
    <m/>
    <s v="DRS1-110"/>
    <s v="Sauce Oyster"/>
    <s v="Ml"/>
    <s v="Ml"/>
    <n v="150"/>
    <m/>
    <m/>
    <n v="10"/>
    <x v="0"/>
    <n v="15"/>
    <n v="1.805E-2"/>
    <n v="0.27074999999999999"/>
  </r>
  <r>
    <x v="16"/>
    <s v="Gourmet360"/>
    <x v="0"/>
    <x v="16"/>
    <x v="1"/>
    <x v="0"/>
    <m/>
    <m/>
    <m/>
    <s v="DRS1-1142"/>
    <s v="Soya Sauce Kikkoman(Liter)"/>
    <s v="Ml"/>
    <s v="Ml"/>
    <n v="50"/>
    <m/>
    <m/>
    <n v="10"/>
    <x v="0"/>
    <n v="5"/>
    <n v="2.3579999999999997E-2"/>
    <n v="0.11789999999999998"/>
  </r>
  <r>
    <x v="16"/>
    <s v="Gourmet360"/>
    <x v="0"/>
    <x v="16"/>
    <x v="1"/>
    <x v="0"/>
    <m/>
    <m/>
    <m/>
    <s v="DRS1-1753"/>
    <s v="Sauce Sweet Chili (Pinoy)"/>
    <s v="Ml"/>
    <s v="Ml"/>
    <n v="150"/>
    <m/>
    <m/>
    <n v="10"/>
    <x v="0"/>
    <n v="15"/>
    <n v="1.4885714285714285E-2"/>
    <n v="0.22328571428571428"/>
  </r>
  <r>
    <x v="16"/>
    <s v="Gourmet360"/>
    <x v="0"/>
    <x v="16"/>
    <x v="1"/>
    <x v="0"/>
    <m/>
    <m/>
    <m/>
    <s v="DRS1-3811"/>
    <s v="Chicken Stock Powder(Packet)"/>
    <s v="Gram "/>
    <s v="Gram "/>
    <n v="20"/>
    <m/>
    <m/>
    <n v="10"/>
    <x v="0"/>
    <n v="2"/>
    <n v="2.8475E-2"/>
    <n v="5.6950000000000001E-2"/>
  </r>
  <r>
    <x v="16"/>
    <s v="Gourmet360"/>
    <x v="0"/>
    <x v="16"/>
    <x v="1"/>
    <x v="0"/>
    <m/>
    <m/>
    <m/>
    <s v="TAP-00001"/>
    <s v="Tap Water-Cooking"/>
    <s v="Ml"/>
    <s v="Ml"/>
    <n v="200"/>
    <m/>
    <m/>
    <n v="10"/>
    <x v="0"/>
    <n v="20"/>
    <n v="8.0000000000000007E-5"/>
    <n v="1.6000000000000001E-3"/>
  </r>
  <r>
    <x v="16"/>
    <s v="Gourmet360"/>
    <x v="0"/>
    <x v="16"/>
    <x v="1"/>
    <x v="0"/>
    <m/>
    <m/>
    <m/>
    <s v="PRD1-186"/>
    <s v="Fresh Carrot Imported"/>
    <s v="Gram "/>
    <s v="Gram "/>
    <n v="350"/>
    <m/>
    <m/>
    <n v="10"/>
    <x v="0"/>
    <n v="35"/>
    <n v="5.8139534883720938E-3"/>
    <n v="0.20348837209302328"/>
  </r>
  <r>
    <x v="16"/>
    <s v="Gourmet360"/>
    <x v="0"/>
    <x v="16"/>
    <x v="1"/>
    <x v="0"/>
    <m/>
    <m/>
    <m/>
    <s v="PRD1-230"/>
    <s v="Fresh Potato"/>
    <s v="Gram "/>
    <s v="Gram "/>
    <n v="350"/>
    <m/>
    <m/>
    <n v="10"/>
    <x v="0"/>
    <n v="35"/>
    <n v="3.3738191632928472E-3"/>
    <n v="0.11808367071524965"/>
  </r>
  <r>
    <x v="16"/>
    <s v="Gourmet360"/>
    <x v="0"/>
    <x v="16"/>
    <x v="1"/>
    <x v="0"/>
    <m/>
    <m/>
    <m/>
    <s v="PRD1-240"/>
    <s v="Fresh Sweet Pepper Red "/>
    <s v="Gram "/>
    <s v="Gram "/>
    <n v="200"/>
    <m/>
    <m/>
    <n v="10"/>
    <x v="0"/>
    <n v="20"/>
    <n v="1.3293943870014769E-2"/>
    <n v="0.26587887740029537"/>
  </r>
  <r>
    <x v="16"/>
    <s v="Gourmet360"/>
    <x v="0"/>
    <x v="16"/>
    <x v="1"/>
    <x v="0"/>
    <m/>
    <m/>
    <m/>
    <s v="DRS1-607"/>
    <s v="Can Tomato Peeled"/>
    <s v="Gram "/>
    <s v="Gram "/>
    <n v="150"/>
    <m/>
    <m/>
    <n v="10"/>
    <x v="0"/>
    <n v="15"/>
    <n v="5.8823529411764705E-3"/>
    <n v="8.8235294117647051E-2"/>
  </r>
  <r>
    <x v="16"/>
    <s v="Gourmet360"/>
    <x v="0"/>
    <x v="16"/>
    <x v="1"/>
    <x v="0"/>
    <m/>
    <m/>
    <m/>
    <s v="DRS1-4103"/>
    <s v="Butter Peanuts(794 Gram)"/>
    <s v="Gram "/>
    <s v="Gram "/>
    <n v="80"/>
    <m/>
    <m/>
    <n v="10"/>
    <x v="0"/>
    <n v="8"/>
    <n v="2.67632241813602E-2"/>
    <n v="0.2141057934508816"/>
  </r>
  <r>
    <x v="16"/>
    <s v="Gourmet360"/>
    <x v="0"/>
    <x v="16"/>
    <x v="1"/>
    <x v="0"/>
    <m/>
    <m/>
    <m/>
    <s v="DRS1-978"/>
    <s v="Sugar Fine(50 KG)"/>
    <s v="Gram "/>
    <s v="Gram "/>
    <n v="30"/>
    <m/>
    <m/>
    <n v="10"/>
    <x v="0"/>
    <n v="3"/>
    <n v="2.3999999999999998E-3"/>
    <n v="7.1999999999999998E-3"/>
  </r>
  <r>
    <x v="16"/>
    <s v="Gourmet360"/>
    <x v="0"/>
    <x v="16"/>
    <x v="1"/>
    <x v="0"/>
    <m/>
    <m/>
    <m/>
    <s v="DRS4-1457"/>
    <s v="Rice Egypt"/>
    <s v="Gram "/>
    <s v="Gram "/>
    <n v="1000"/>
    <m/>
    <m/>
    <n v="10"/>
    <x v="0"/>
    <n v="100"/>
    <n v="6.4999999999999997E-3"/>
    <n v="0.65"/>
  </r>
  <r>
    <x v="16"/>
    <s v="Gourmet360"/>
    <x v="0"/>
    <x v="16"/>
    <x v="1"/>
    <x v="0"/>
    <m/>
    <m/>
    <m/>
    <s v="TAP-00001"/>
    <s v="Tap Water-Cooking"/>
    <s v="Ml"/>
    <s v="Ml"/>
    <n v="1800"/>
    <m/>
    <m/>
    <n v="10"/>
    <x v="0"/>
    <n v="180"/>
    <n v="8.0000000000000007E-5"/>
    <n v="1.4400000000000001E-2"/>
  </r>
  <r>
    <x v="16"/>
    <s v="Gourmet360"/>
    <x v="0"/>
    <x v="16"/>
    <x v="1"/>
    <x v="0"/>
    <m/>
    <m/>
    <m/>
    <s v="PRD1-239"/>
    <s v="Fresh Sweet Pepper Green"/>
    <s v="Gram "/>
    <s v="Gram "/>
    <n v="100"/>
    <m/>
    <m/>
    <n v="10"/>
    <x v="0"/>
    <n v="10"/>
    <n v="6.6864784546805346E-3"/>
    <n v="6.6864784546805348E-2"/>
  </r>
  <r>
    <x v="16"/>
    <s v="Gourmet360"/>
    <x v="0"/>
    <x v="16"/>
    <x v="1"/>
    <x v="0"/>
    <m/>
    <m/>
    <m/>
    <s v="PRD1-241"/>
    <s v="Fresh Sweet Pepper Yellow"/>
    <s v="Gram "/>
    <s v="Gram "/>
    <n v="100"/>
    <m/>
    <m/>
    <n v="10"/>
    <x v="0"/>
    <n v="10"/>
    <n v="1.3196480938416421E-2"/>
    <n v="0.13196480938416422"/>
  </r>
  <r>
    <x v="16"/>
    <s v="Gourmet360"/>
    <x v="0"/>
    <x v="16"/>
    <x v="1"/>
    <x v="0"/>
    <m/>
    <m/>
    <m/>
    <s v="PRD1-4265"/>
    <s v="Fresh onion Yellow(Imported)"/>
    <s v="Gram "/>
    <s v="Gram "/>
    <n v="200"/>
    <m/>
    <m/>
    <n v="10"/>
    <x v="0"/>
    <n v="20"/>
    <n v="3.529411764705882E-3"/>
    <n v="7.0588235294117646E-2"/>
  </r>
  <r>
    <x v="17"/>
    <s v="Gourmet360"/>
    <x v="0"/>
    <x v="17"/>
    <x v="2"/>
    <x v="0"/>
    <m/>
    <m/>
    <m/>
    <s v="MET2-585"/>
    <s v="Frz Beef Topside"/>
    <s v="Gram "/>
    <s v="Gram "/>
    <n v="700"/>
    <m/>
    <m/>
    <n v="10"/>
    <x v="0"/>
    <n v="70"/>
    <n v="4.2630057803468215E-2"/>
    <n v="2.9841040462427748"/>
  </r>
  <r>
    <x v="17"/>
    <s v="Gourmet360"/>
    <x v="0"/>
    <x v="17"/>
    <x v="2"/>
    <x v="0"/>
    <m/>
    <m/>
    <m/>
    <s v="DRS1-58"/>
    <s v="Mayonnaise Regular"/>
    <s v="Gram "/>
    <s v="Gram "/>
    <n v="80"/>
    <m/>
    <m/>
    <n v="10"/>
    <x v="0"/>
    <n v="8"/>
    <n v="6.4814814814814813E-3"/>
    <n v="5.185185185185185E-2"/>
  </r>
  <r>
    <x v="17"/>
    <s v="Gourmet360"/>
    <x v="0"/>
    <x v="17"/>
    <x v="2"/>
    <x v="0"/>
    <m/>
    <m/>
    <m/>
    <s v="PRD1-572"/>
    <s v="Fresh Tomato "/>
    <s v="Gram "/>
    <s v="Gram "/>
    <n v="300"/>
    <m/>
    <m/>
    <n v="10"/>
    <x v="0"/>
    <n v="30"/>
    <n v="4.5351473922902496E-3"/>
    <n v="0.1360544217687075"/>
  </r>
  <r>
    <x v="17"/>
    <s v="Gourmet360"/>
    <x v="0"/>
    <x v="17"/>
    <x v="2"/>
    <x v="0"/>
    <m/>
    <m/>
    <m/>
    <s v="BKR1-4332"/>
    <s v="Bread Potato Burger Plain"/>
    <s v="Each"/>
    <s v="Each"/>
    <n v="10"/>
    <m/>
    <m/>
    <n v="10"/>
    <x v="0"/>
    <n v="1"/>
    <n v="0.55833333333333335"/>
    <n v="0.55833333333333335"/>
  </r>
  <r>
    <x v="17"/>
    <s v="Gourmet360"/>
    <x v="0"/>
    <x v="17"/>
    <x v="2"/>
    <x v="0"/>
    <m/>
    <m/>
    <m/>
    <s v="DRY1-3344"/>
    <s v="Cheese Cheddar Sliced Red(KG)"/>
    <s v="Gram "/>
    <s v="Gram "/>
    <n v="100"/>
    <m/>
    <m/>
    <n v="10"/>
    <x v="0"/>
    <n v="10"/>
    <n v="2.3E-2"/>
    <n v="0.22999999999999998"/>
  </r>
  <r>
    <x v="17"/>
    <s v="Gourmet360"/>
    <x v="0"/>
    <x v="17"/>
    <x v="2"/>
    <x v="0"/>
    <m/>
    <m/>
    <m/>
    <s v="TAP-00001"/>
    <s v="Tap Water-Cooking"/>
    <s v="Ml"/>
    <s v="Ml"/>
    <n v="750"/>
    <m/>
    <m/>
    <n v="10"/>
    <x v="0"/>
    <n v="75"/>
    <n v="8.0000000000000007E-5"/>
    <n v="6.0000000000000001E-3"/>
  </r>
  <r>
    <x v="17"/>
    <s v="Gourmet360"/>
    <x v="0"/>
    <x v="17"/>
    <x v="2"/>
    <x v="0"/>
    <m/>
    <m/>
    <m/>
    <s v="PRD2-1166"/>
    <s v="Frz Potato Wedges "/>
    <s v="Gram "/>
    <s v="Gram "/>
    <n v="300"/>
    <m/>
    <m/>
    <n v="10"/>
    <x v="0"/>
    <n v="30"/>
    <n v="1.0500000000000001E-2"/>
    <n v="0.315"/>
  </r>
  <r>
    <x v="17"/>
    <s v="Gourmet360"/>
    <x v="0"/>
    <x v="17"/>
    <x v="2"/>
    <x v="0"/>
    <m/>
    <m/>
    <m/>
    <s v="MET2-3808"/>
    <s v="Frz Beef Brisket"/>
    <s v="Gram "/>
    <s v="Gram "/>
    <n v="300"/>
    <m/>
    <m/>
    <n v="10"/>
    <x v="0"/>
    <n v="30"/>
    <n v="4.2000000000000003E-2"/>
    <n v="1.26"/>
  </r>
  <r>
    <x v="17"/>
    <s v="Gourmet360"/>
    <x v="0"/>
    <x v="17"/>
    <x v="2"/>
    <x v="0"/>
    <m/>
    <m/>
    <m/>
    <s v="DRS1-3880"/>
    <s v="Salt "/>
    <s v="Gram "/>
    <s v="Gram "/>
    <n v="7"/>
    <m/>
    <m/>
    <n v="10"/>
    <x v="0"/>
    <n v="0.7"/>
    <n v="5.0000000000000001E-4"/>
    <n v="3.5E-4"/>
  </r>
  <r>
    <x v="17"/>
    <s v="Gourmet360"/>
    <x v="0"/>
    <x v="17"/>
    <x v="2"/>
    <x v="0"/>
    <m/>
    <m/>
    <m/>
    <s v="DRS1-446"/>
    <s v="Sauce Barbecue"/>
    <s v="Gram "/>
    <s v="Gram "/>
    <n v="20"/>
    <m/>
    <m/>
    <n v="10"/>
    <x v="0"/>
    <n v="2"/>
    <n v="1.2986807387862797E-2"/>
    <n v="2.5973614775725594E-2"/>
  </r>
  <r>
    <x v="17"/>
    <s v="Gourmet360"/>
    <x v="0"/>
    <x v="17"/>
    <x v="2"/>
    <x v="0"/>
    <m/>
    <m/>
    <m/>
    <s v="PRD1-4265"/>
    <s v="Fresh onion Yellow(Imported)"/>
    <s v="Gram "/>
    <s v="Gram "/>
    <n v="75"/>
    <m/>
    <m/>
    <n v="10"/>
    <x v="0"/>
    <n v="7.5"/>
    <n v="3.529411764705882E-3"/>
    <n v="2.6470588235294114E-2"/>
  </r>
  <r>
    <x v="17"/>
    <s v="Gourmet360"/>
    <x v="0"/>
    <x v="17"/>
    <x v="2"/>
    <x v="0"/>
    <m/>
    <m/>
    <m/>
    <s v="PLT1-37"/>
    <s v="Eggs"/>
    <s v="Each"/>
    <s v="Each"/>
    <n v="0.5"/>
    <m/>
    <m/>
    <n v="10"/>
    <x v="0"/>
    <n v="0.05"/>
    <n v="0.48299999999999998"/>
    <n v="2.4150000000000001E-2"/>
  </r>
  <r>
    <x v="17"/>
    <s v="Gourmet360"/>
    <x v="0"/>
    <x v="17"/>
    <x v="2"/>
    <x v="0"/>
    <m/>
    <m/>
    <m/>
    <s v="DRS1-1549"/>
    <s v="Mustard Yellow Cream (JAR)"/>
    <s v="Gram "/>
    <s v="Gram "/>
    <n v="20"/>
    <m/>
    <m/>
    <n v="10"/>
    <x v="0"/>
    <n v="2"/>
    <n v="7.5966850828729279E-3"/>
    <n v="1.5193370165745856E-2"/>
  </r>
  <r>
    <x v="17"/>
    <s v="Gourmet360"/>
    <x v="0"/>
    <x v="17"/>
    <x v="2"/>
    <x v="0"/>
    <m/>
    <m/>
    <m/>
    <s v="DRS5-40"/>
    <s v="Flour White"/>
    <s v="Gram "/>
    <s v="Gram "/>
    <n v="10"/>
    <m/>
    <m/>
    <n v="10"/>
    <x v="0"/>
    <n v="1"/>
    <n v="7.7777777777777773E-4"/>
    <n v="7.7777777777777773E-4"/>
  </r>
  <r>
    <x v="17"/>
    <s v="Gourmet360"/>
    <x v="0"/>
    <x v="17"/>
    <x v="2"/>
    <x v="0"/>
    <m/>
    <m/>
    <m/>
    <s v="DRS3-1813"/>
    <s v="Corn Oil (18 Liter)"/>
    <s v="Ml"/>
    <s v="Ml"/>
    <n v="300"/>
    <m/>
    <m/>
    <n v="10"/>
    <x v="0"/>
    <n v="30"/>
    <n v="8.0555555555555554E-3"/>
    <n v="0.24166666666666667"/>
  </r>
  <r>
    <x v="18"/>
    <s v="Gourmet360"/>
    <x v="0"/>
    <x v="18"/>
    <x v="2"/>
    <x v="0"/>
    <m/>
    <m/>
    <m/>
    <s v="PLT2-3278"/>
    <s v="Frz Chicken Breast Tender (KG)"/>
    <s v="Gram "/>
    <s v="Gram "/>
    <n v="1000"/>
    <m/>
    <m/>
    <n v="10"/>
    <x v="0"/>
    <n v="100"/>
    <n v="3.0357142857142853E-2"/>
    <n v="3.0357142857142851"/>
  </r>
  <r>
    <x v="18"/>
    <s v="Gourmet360"/>
    <x v="0"/>
    <x v="18"/>
    <x v="2"/>
    <x v="0"/>
    <m/>
    <m/>
    <m/>
    <s v="DRS3-1813"/>
    <s v="Corn Oil (18 Liter)"/>
    <s v="Ml"/>
    <s v="Ml"/>
    <n v="300"/>
    <m/>
    <m/>
    <n v="10"/>
    <x v="0"/>
    <n v="30"/>
    <n v="8.0555555555555554E-3"/>
    <n v="0.24166666666666667"/>
  </r>
  <r>
    <x v="18"/>
    <s v="Gourmet360"/>
    <x v="0"/>
    <x v="18"/>
    <x v="2"/>
    <x v="0"/>
    <m/>
    <m/>
    <m/>
    <s v="PRD1-4265"/>
    <s v="Fresh onion Yellow(Imported)"/>
    <s v="Gram "/>
    <s v="Gram "/>
    <n v="150"/>
    <m/>
    <m/>
    <n v="10"/>
    <x v="0"/>
    <n v="15"/>
    <n v="3.529411764705882E-3"/>
    <n v="5.2941176470588228E-2"/>
  </r>
  <r>
    <x v="18"/>
    <s v="Gourmet360"/>
    <x v="0"/>
    <x v="18"/>
    <x v="2"/>
    <x v="0"/>
    <m/>
    <m/>
    <m/>
    <s v="PRD1-204"/>
    <s v="Fresh Ginger"/>
    <s v="Gram "/>
    <s v="Gram "/>
    <n v="20"/>
    <m/>
    <m/>
    <n v="10"/>
    <x v="0"/>
    <n v="2"/>
    <n v="8.4337349397590362E-3"/>
    <n v="1.6867469879518072E-2"/>
  </r>
  <r>
    <x v="18"/>
    <s v="Gourmet360"/>
    <x v="0"/>
    <x v="18"/>
    <x v="2"/>
    <x v="0"/>
    <m/>
    <m/>
    <m/>
    <s v="PRD1-240"/>
    <s v="Fresh Sweet Pepper Red "/>
    <s v="Gram "/>
    <s v="Gram "/>
    <n v="100"/>
    <m/>
    <m/>
    <n v="10"/>
    <x v="0"/>
    <n v="10"/>
    <n v="1.3293943870014769E-2"/>
    <n v="0.13293943870014768"/>
  </r>
  <r>
    <x v="18"/>
    <s v="Gourmet360"/>
    <x v="0"/>
    <x v="18"/>
    <x v="2"/>
    <x v="0"/>
    <m/>
    <m/>
    <m/>
    <s v="PRD1-186"/>
    <s v="Fresh Carrot Imported"/>
    <s v="Gram "/>
    <s v="Gram "/>
    <n v="150"/>
    <m/>
    <m/>
    <n v="10"/>
    <x v="0"/>
    <n v="15"/>
    <n v="5.8139534883720938E-3"/>
    <n v="8.7209302325581411E-2"/>
  </r>
  <r>
    <x v="18"/>
    <s v="Gourmet360"/>
    <x v="0"/>
    <x v="18"/>
    <x v="2"/>
    <x v="0"/>
    <m/>
    <m/>
    <m/>
    <s v="DRS1-1039"/>
    <s v="Ketchup Gallon (5 Kg)"/>
    <s v="Gram "/>
    <s v="Gram "/>
    <n v="500"/>
    <m/>
    <m/>
    <n v="10"/>
    <x v="0"/>
    <n v="50"/>
    <n v="3.5000000000000001E-3"/>
    <n v="0.17500000000000002"/>
  </r>
  <r>
    <x v="18"/>
    <s v="Gourmet360"/>
    <x v="0"/>
    <x v="18"/>
    <x v="2"/>
    <x v="0"/>
    <m/>
    <m/>
    <m/>
    <s v="DRS1-978"/>
    <s v="Sugar Fine(50 KG)"/>
    <s v="Gram "/>
    <s v="Gram "/>
    <n v="15"/>
    <m/>
    <m/>
    <n v="10"/>
    <x v="0"/>
    <n v="1.5"/>
    <n v="2.3999999999999998E-3"/>
    <n v="3.5999999999999999E-3"/>
  </r>
  <r>
    <x v="18"/>
    <s v="Gourmet360"/>
    <x v="0"/>
    <x v="18"/>
    <x v="2"/>
    <x v="0"/>
    <m/>
    <m/>
    <m/>
    <s v="PRD1-395"/>
    <s v="Fresh Orange-Table"/>
    <s v="Gram "/>
    <s v="Gram "/>
    <n v="200"/>
    <m/>
    <m/>
    <n v="10"/>
    <x v="0"/>
    <n v="20"/>
    <n v="9.3457943925233621E-3"/>
    <n v="0.18691588785046725"/>
  </r>
  <r>
    <x v="18"/>
    <s v="Gourmet360"/>
    <x v="0"/>
    <x v="18"/>
    <x v="2"/>
    <x v="0"/>
    <m/>
    <m/>
    <m/>
    <s v="DRS1-5153"/>
    <s v="Vinegar White (30 Ltr Gallon)"/>
    <s v="Ml"/>
    <s v="Ml"/>
    <n v="14"/>
    <m/>
    <m/>
    <n v="10"/>
    <x v="0"/>
    <n v="1.4"/>
    <n v="1.681E-3"/>
    <n v="2.3533999999999998E-3"/>
  </r>
  <r>
    <x v="18"/>
    <s v="Gourmet360"/>
    <x v="0"/>
    <x v="18"/>
    <x v="2"/>
    <x v="0"/>
    <m/>
    <m/>
    <m/>
    <s v="PRD1-401"/>
    <s v="Fresh Pineapple"/>
    <s v="Gram "/>
    <s v="Gram "/>
    <n v="200"/>
    <m/>
    <m/>
    <n v="10"/>
    <x v="0"/>
    <n v="20"/>
    <n v="1.4981273408239699E-2"/>
    <n v="0.29962546816479396"/>
  </r>
  <r>
    <x v="18"/>
    <s v="Gourmet360"/>
    <x v="0"/>
    <x v="18"/>
    <x v="2"/>
    <x v="0"/>
    <m/>
    <m/>
    <m/>
    <s v="DRS1-1747"/>
    <s v="Can Tomato Paste (4500 Gram)"/>
    <s v="Gram "/>
    <s v="Gram "/>
    <n v="50"/>
    <m/>
    <m/>
    <n v="10"/>
    <x v="0"/>
    <n v="5"/>
    <n v="5.185185185185185E-3"/>
    <n v="2.5925925925925925E-2"/>
  </r>
  <r>
    <x v="18"/>
    <s v="Gourmet360"/>
    <x v="0"/>
    <x v="18"/>
    <x v="2"/>
    <x v="0"/>
    <m/>
    <m/>
    <m/>
    <s v="DRS1-1142"/>
    <s v="Soya Sauce Kikkoman(Liter)"/>
    <s v="Ml"/>
    <s v="Ml"/>
    <n v="20"/>
    <m/>
    <m/>
    <n v="10"/>
    <x v="0"/>
    <n v="2"/>
    <n v="2.3579999999999997E-2"/>
    <n v="4.7159999999999994E-2"/>
  </r>
  <r>
    <x v="18"/>
    <s v="Gourmet360"/>
    <x v="0"/>
    <x v="18"/>
    <x v="2"/>
    <x v="0"/>
    <m/>
    <m/>
    <m/>
    <s v="TAP-00001"/>
    <s v="Tap Water-Cooking"/>
    <s v="Ml"/>
    <s v="Ml"/>
    <n v="500"/>
    <m/>
    <m/>
    <n v="10"/>
    <x v="0"/>
    <n v="50"/>
    <n v="8.0000000000000007E-5"/>
    <n v="4.0000000000000001E-3"/>
  </r>
  <r>
    <x v="18"/>
    <s v="Gourmet360"/>
    <x v="0"/>
    <x v="18"/>
    <x v="2"/>
    <x v="0"/>
    <m/>
    <m/>
    <m/>
    <s v="DRS5-21"/>
    <s v="Flour Corn"/>
    <s v="Gram "/>
    <s v="Gram "/>
    <n v="100"/>
    <m/>
    <m/>
    <n v="10"/>
    <x v="0"/>
    <n v="10"/>
    <n v="2.0799999999999998E-3"/>
    <n v="2.0799999999999999E-2"/>
  </r>
  <r>
    <x v="18"/>
    <s v="Gourmet360"/>
    <x v="0"/>
    <x v="18"/>
    <x v="2"/>
    <x v="0"/>
    <m/>
    <m/>
    <m/>
    <s v="PRD1-239"/>
    <s v="Fresh Sweet Pepper Green"/>
    <s v="Gram "/>
    <s v="Gram "/>
    <n v="100"/>
    <m/>
    <m/>
    <n v="10"/>
    <x v="0"/>
    <n v="10"/>
    <n v="6.6864784546805346E-3"/>
    <n v="6.6864784546805348E-2"/>
  </r>
  <r>
    <x v="18"/>
    <s v="Gourmet360"/>
    <x v="0"/>
    <x v="18"/>
    <x v="2"/>
    <x v="0"/>
    <m/>
    <m/>
    <m/>
    <s v="PRD1-241"/>
    <s v="Fresh Sweet Pepper Yellow"/>
    <s v="Gram "/>
    <s v="Gram "/>
    <n v="100"/>
    <m/>
    <m/>
    <n v="10"/>
    <x v="0"/>
    <n v="10"/>
    <n v="1.3196480938416421E-2"/>
    <n v="0.13196480938416422"/>
  </r>
  <r>
    <x v="18"/>
    <s v="Gourmet360"/>
    <x v="0"/>
    <x v="18"/>
    <x v="2"/>
    <x v="0"/>
    <m/>
    <m/>
    <m/>
    <s v="DRS4-498"/>
    <s v="Rice Basmati"/>
    <s v="Gram "/>
    <s v="Gram "/>
    <n v="800"/>
    <m/>
    <m/>
    <n v="10"/>
    <x v="0"/>
    <n v="80"/>
    <n v="5.7499999999999999E-3"/>
    <n v="0.45999999999999996"/>
  </r>
  <r>
    <x v="18"/>
    <s v="Gourmet360"/>
    <x v="0"/>
    <x v="18"/>
    <x v="2"/>
    <x v="0"/>
    <m/>
    <m/>
    <m/>
    <s v="TAP-00001"/>
    <s v="Tap Water-Cooking"/>
    <s v="Ml"/>
    <s v="Ml"/>
    <n v="1600"/>
    <m/>
    <m/>
    <n v="10"/>
    <x v="0"/>
    <n v="160"/>
    <n v="8.0000000000000007E-5"/>
    <n v="1.2800000000000001E-2"/>
  </r>
  <r>
    <x v="18"/>
    <s v="Gourmet360"/>
    <x v="0"/>
    <x v="18"/>
    <x v="2"/>
    <x v="0"/>
    <m/>
    <m/>
    <m/>
    <s v="DRS3-1813"/>
    <s v="Corn Oil (18 Liter)"/>
    <s v="Ml"/>
    <s v="Ml"/>
    <n v="50"/>
    <m/>
    <m/>
    <n v="10"/>
    <x v="0"/>
    <n v="5"/>
    <n v="8.0555555555555554E-3"/>
    <n v="4.0277777777777773E-2"/>
  </r>
  <r>
    <x v="18"/>
    <s v="Gourmet360"/>
    <x v="0"/>
    <x v="18"/>
    <x v="2"/>
    <x v="0"/>
    <m/>
    <m/>
    <m/>
    <s v="DRS1-3880"/>
    <s v="Salt "/>
    <s v="Gram "/>
    <s v="Gram "/>
    <n v="15"/>
    <m/>
    <m/>
    <n v="10"/>
    <x v="0"/>
    <n v="1.5"/>
    <n v="5.0000000000000001E-4"/>
    <n v="7.5000000000000002E-4"/>
  </r>
  <r>
    <x v="18"/>
    <s v="Gourmet360"/>
    <x v="0"/>
    <x v="18"/>
    <x v="2"/>
    <x v="0"/>
    <m/>
    <m/>
    <m/>
    <s v="DRS6-3593"/>
    <s v="Spices Bay Leaves"/>
    <s v="Gram "/>
    <s v="Gram "/>
    <n v="3"/>
    <m/>
    <m/>
    <n v="10"/>
    <x v="0"/>
    <n v="0.3"/>
    <n v="8.0000000000000002E-3"/>
    <n v="2.3999999999999998E-3"/>
  </r>
  <r>
    <x v="18"/>
    <s v="Gourmet360"/>
    <x v="0"/>
    <x v="18"/>
    <x v="2"/>
    <x v="0"/>
    <m/>
    <m/>
    <m/>
    <s v="DRS6-261"/>
    <s v="Spices Cinnamon Sticks"/>
    <s v="Gram "/>
    <s v="Gram "/>
    <n v="2"/>
    <m/>
    <m/>
    <n v="10"/>
    <x v="0"/>
    <n v="0.2"/>
    <n v="1.4E-2"/>
    <n v="2.8000000000000004E-3"/>
  </r>
  <r>
    <x v="19"/>
    <s v="Gourmet360"/>
    <x v="0"/>
    <x v="19"/>
    <x v="2"/>
    <x v="0"/>
    <m/>
    <m/>
    <m/>
    <s v="SFD2-312"/>
    <s v="Frz Fish Fillet Pangasus"/>
    <s v="Gram "/>
    <s v="Gram "/>
    <n v="1000"/>
    <m/>
    <m/>
    <n v="10"/>
    <x v="0"/>
    <n v="100"/>
    <n v="3.2786885245901641E-2"/>
    <n v="3.278688524590164"/>
  </r>
  <r>
    <x v="19"/>
    <s v="Gourmet360"/>
    <x v="0"/>
    <x v="19"/>
    <x v="2"/>
    <x v="0"/>
    <m/>
    <m/>
    <m/>
    <s v="DRS4-498"/>
    <s v="Rice Basmati"/>
    <s v="Gram "/>
    <s v="Gram "/>
    <n v="1000"/>
    <m/>
    <m/>
    <n v="10"/>
    <x v="0"/>
    <n v="100"/>
    <n v="5.7499999999999999E-3"/>
    <n v="0.57499999999999996"/>
  </r>
  <r>
    <x v="19"/>
    <s v="Gourmet360"/>
    <x v="0"/>
    <x v="19"/>
    <x v="2"/>
    <x v="0"/>
    <m/>
    <m/>
    <m/>
    <s v="DRS3-1813"/>
    <s v="Corn Oil (18 Liter)"/>
    <s v="Ml"/>
    <s v="Ml"/>
    <n v="60"/>
    <m/>
    <m/>
    <n v="10"/>
    <x v="0"/>
    <n v="6"/>
    <n v="8.0555555555555554E-3"/>
    <n v="4.8333333333333332E-2"/>
  </r>
  <r>
    <x v="19"/>
    <s v="Gourmet360"/>
    <x v="0"/>
    <x v="19"/>
    <x v="2"/>
    <x v="0"/>
    <m/>
    <m/>
    <m/>
    <s v="DRS3-1615"/>
    <s v="Olive Oil (CAN)"/>
    <s v="Ml"/>
    <s v="Ml"/>
    <n v="30"/>
    <m/>
    <m/>
    <n v="10"/>
    <x v="0"/>
    <n v="3"/>
    <n v="1.2E-2"/>
    <n v="3.6000000000000004E-2"/>
  </r>
  <r>
    <x v="19"/>
    <s v="Gourmet360"/>
    <x v="0"/>
    <x v="19"/>
    <x v="2"/>
    <x v="0"/>
    <m/>
    <m/>
    <m/>
    <s v="PRD1-4265"/>
    <s v="Fresh onion Yellow(Imported)"/>
    <s v="Gram "/>
    <s v="Gram "/>
    <n v="400"/>
    <m/>
    <m/>
    <n v="10"/>
    <x v="0"/>
    <n v="40"/>
    <n v="3.529411764705882E-3"/>
    <n v="0.14117647058823529"/>
  </r>
  <r>
    <x v="19"/>
    <s v="Gourmet360"/>
    <x v="0"/>
    <x v="19"/>
    <x v="2"/>
    <x v="0"/>
    <m/>
    <m/>
    <m/>
    <s v="TAP-00001"/>
    <s v="Tap Water-Cooking"/>
    <s v="Ml"/>
    <s v="Ml"/>
    <n v="1800"/>
    <m/>
    <m/>
    <n v="10"/>
    <x v="0"/>
    <n v="180"/>
    <n v="8.0000000000000007E-5"/>
    <n v="1.4400000000000001E-2"/>
  </r>
  <r>
    <x v="19"/>
    <s v="Gourmet360"/>
    <x v="0"/>
    <x v="19"/>
    <x v="2"/>
    <x v="0"/>
    <m/>
    <m/>
    <m/>
    <s v="DRS1-3357"/>
    <s v="Sauce Demi Glace(1.2Kg)"/>
    <s v="Gram "/>
    <s v="Gram "/>
    <n v="40"/>
    <m/>
    <m/>
    <n v="10"/>
    <x v="0"/>
    <n v="4"/>
    <n v="6.8440000000000001E-2"/>
    <n v="0.27376"/>
  </r>
  <r>
    <x v="19"/>
    <s v="Gourmet360"/>
    <x v="0"/>
    <x v="19"/>
    <x v="2"/>
    <x v="0"/>
    <m/>
    <m/>
    <m/>
    <s v="DRS1-4104"/>
    <s v="Fish Stock Powder "/>
    <s v="Gram "/>
    <s v="Gram "/>
    <n v="15"/>
    <m/>
    <m/>
    <n v="10"/>
    <x v="0"/>
    <n v="1.5"/>
    <n v="4.8886666666666669E-2"/>
    <n v="7.3330000000000006E-2"/>
  </r>
  <r>
    <x v="19"/>
    <s v="Gourmet360"/>
    <x v="0"/>
    <x v="19"/>
    <x v="2"/>
    <x v="0"/>
    <m/>
    <m/>
    <m/>
    <s v="DRS6-3593"/>
    <s v="Spices Bay Leaves"/>
    <s v="Gram "/>
    <s v="Gram "/>
    <n v="3"/>
    <m/>
    <m/>
    <n v="10"/>
    <x v="0"/>
    <n v="0.3"/>
    <n v="8.0000000000000002E-3"/>
    <n v="2.3999999999999998E-3"/>
  </r>
  <r>
    <x v="19"/>
    <s v="Gourmet360"/>
    <x v="0"/>
    <x v="19"/>
    <x v="2"/>
    <x v="0"/>
    <m/>
    <m/>
    <m/>
    <s v="DRS6-261"/>
    <s v="Spices Cinnamon Sticks"/>
    <s v="Gram "/>
    <s v="Gram "/>
    <n v="5"/>
    <m/>
    <m/>
    <n v="10"/>
    <x v="0"/>
    <n v="0.5"/>
    <n v="1.4E-2"/>
    <n v="7.0000000000000001E-3"/>
  </r>
  <r>
    <x v="19"/>
    <s v="Gourmet360"/>
    <x v="0"/>
    <x v="19"/>
    <x v="2"/>
    <x v="0"/>
    <m/>
    <m/>
    <m/>
    <s v="DRS1-3880"/>
    <s v="Salt "/>
    <s v="Gram "/>
    <s v="Gram "/>
    <n v="15"/>
    <m/>
    <m/>
    <n v="10"/>
    <x v="0"/>
    <n v="1.5"/>
    <n v="5.0000000000000001E-4"/>
    <n v="7.5000000000000002E-4"/>
  </r>
  <r>
    <x v="19"/>
    <s v="Gourmet360"/>
    <x v="0"/>
    <x v="19"/>
    <x v="2"/>
    <x v="0"/>
    <m/>
    <m/>
    <m/>
    <s v="DRS6-733"/>
    <s v="Spices Cumin Powder"/>
    <s v="Gram "/>
    <s v="Gram "/>
    <n v="10"/>
    <m/>
    <m/>
    <n v="10"/>
    <x v="0"/>
    <n v="1"/>
    <n v="2.8000000000000001E-2"/>
    <n v="2.8000000000000001E-2"/>
  </r>
  <r>
    <x v="19"/>
    <s v="Gourmet360"/>
    <x v="0"/>
    <x v="19"/>
    <x v="2"/>
    <x v="0"/>
    <m/>
    <m/>
    <m/>
    <s v="DRS1-103"/>
    <s v="Tahina Liquid(10Kg)"/>
    <s v="Gram "/>
    <s v="Gram "/>
    <n v="150"/>
    <m/>
    <m/>
    <n v="10"/>
    <x v="0"/>
    <n v="15"/>
    <n v="1.0999999999999999E-2"/>
    <n v="0.16499999999999998"/>
  </r>
  <r>
    <x v="19"/>
    <s v="Gourmet360"/>
    <x v="0"/>
    <x v="19"/>
    <x v="2"/>
    <x v="0"/>
    <m/>
    <m/>
    <m/>
    <s v="TAP-00001"/>
    <s v="Tap Water-Cooking"/>
    <s v="Ml"/>
    <s v="Ml"/>
    <n v="125"/>
    <m/>
    <m/>
    <n v="10"/>
    <x v="0"/>
    <n v="12.5"/>
    <n v="8.0000000000000007E-5"/>
    <n v="1E-3"/>
  </r>
  <r>
    <x v="19"/>
    <s v="Gourmet360"/>
    <x v="0"/>
    <x v="19"/>
    <x v="2"/>
    <x v="0"/>
    <m/>
    <m/>
    <m/>
    <s v="DRY2-1160"/>
    <s v="Yogurt Plain big 10 KG"/>
    <s v="Gram "/>
    <s v="Gram "/>
    <n v="30"/>
    <m/>
    <m/>
    <n v="10"/>
    <x v="0"/>
    <n v="3"/>
    <n v="4.4000000000000003E-3"/>
    <n v="1.32E-2"/>
  </r>
  <r>
    <x v="19"/>
    <s v="Gourmet360"/>
    <x v="0"/>
    <x v="19"/>
    <x v="2"/>
    <x v="0"/>
    <m/>
    <m/>
    <m/>
    <s v="DRS1-3880"/>
    <s v="Salt "/>
    <s v="Gram "/>
    <s v="Gram "/>
    <n v="2"/>
    <m/>
    <m/>
    <n v="10"/>
    <x v="0"/>
    <n v="0.2"/>
    <n v="5.0000000000000001E-4"/>
    <n v="1E-4"/>
  </r>
  <r>
    <x v="19"/>
    <s v="Gourmet360"/>
    <x v="0"/>
    <x v="19"/>
    <x v="2"/>
    <x v="0"/>
    <m/>
    <m/>
    <m/>
    <s v="DRS1-3448"/>
    <s v="Lemon Salt (Kg)"/>
    <s v="Gram "/>
    <s v="Gram "/>
    <n v="2"/>
    <m/>
    <m/>
    <n v="10"/>
    <x v="0"/>
    <n v="0.2"/>
    <n v="5.0000000000000001E-3"/>
    <n v="1E-3"/>
  </r>
  <r>
    <x v="19"/>
    <s v="Gourmet360"/>
    <x v="0"/>
    <x v="19"/>
    <x v="2"/>
    <x v="0"/>
    <m/>
    <m/>
    <m/>
    <s v="DRS6-733"/>
    <s v="Spices Cumin Powder"/>
    <s v="Gram "/>
    <s v="Gram "/>
    <n v="1"/>
    <m/>
    <m/>
    <n v="10"/>
    <x v="0"/>
    <n v="0.1"/>
    <n v="2.8000000000000001E-2"/>
    <n v="2.8000000000000004E-3"/>
  </r>
  <r>
    <x v="19"/>
    <s v="Gourmet360"/>
    <x v="0"/>
    <x v="19"/>
    <x v="2"/>
    <x v="0"/>
    <m/>
    <m/>
    <m/>
    <s v="DRS6-1674"/>
    <s v="Spice Turmeric Powder (1 Kg)"/>
    <s v="Gram "/>
    <s v="Gram "/>
    <n v="2"/>
    <m/>
    <m/>
    <n v="10"/>
    <x v="0"/>
    <n v="0.2"/>
    <n v="1.2500000000000001E-2"/>
    <n v="2.5000000000000005E-3"/>
  </r>
  <r>
    <x v="19"/>
    <s v="Gourmet360"/>
    <x v="0"/>
    <x v="19"/>
    <x v="2"/>
    <x v="0"/>
    <m/>
    <m/>
    <m/>
    <s v="DRS1-3448"/>
    <s v="Lemon Salt (Kg)"/>
    <s v="Gram "/>
    <s v="Gram "/>
    <n v="2"/>
    <m/>
    <m/>
    <n v="10"/>
    <x v="0"/>
    <n v="0.2"/>
    <n v="5.0000000000000001E-3"/>
    <n v="1E-3"/>
  </r>
  <r>
    <x v="20"/>
    <s v="Gourmet360"/>
    <x v="0"/>
    <x v="20"/>
    <x v="2"/>
    <x v="0"/>
    <m/>
    <m/>
    <m/>
    <s v="DRS2-1367"/>
    <s v="Pasta Lasagna (500 Gram)"/>
    <s v="Gram "/>
    <s v="Gram "/>
    <n v="500"/>
    <m/>
    <m/>
    <n v="15"/>
    <x v="0"/>
    <n v="33.333333333333336"/>
    <n v="2.666E-2"/>
    <n v="0.88866666666666672"/>
  </r>
  <r>
    <x v="20"/>
    <s v="Gourmet360"/>
    <x v="0"/>
    <x v="20"/>
    <x v="2"/>
    <x v="0"/>
    <m/>
    <m/>
    <m/>
    <s v="DRY1-1801"/>
    <s v="Cheese Mozzarella Grated (KG)"/>
    <s v="Gram "/>
    <s v="Gram "/>
    <n v="400"/>
    <m/>
    <m/>
    <n v="15"/>
    <x v="0"/>
    <n v="26.666666666666668"/>
    <n v="2.5000000000000001E-2"/>
    <n v="0.66666666666666674"/>
  </r>
  <r>
    <x v="20"/>
    <s v="Gourmet360"/>
    <x v="0"/>
    <x v="20"/>
    <x v="2"/>
    <x v="0"/>
    <m/>
    <m/>
    <m/>
    <s v="DRS3-1813"/>
    <s v="Corn Oil (18 Liter)"/>
    <s v="Ml"/>
    <s v="Ml"/>
    <n v="75"/>
    <m/>
    <m/>
    <n v="15"/>
    <x v="0"/>
    <n v="5"/>
    <n v="8.0555555555555554E-3"/>
    <n v="4.0277777777777773E-2"/>
  </r>
  <r>
    <x v="20"/>
    <s v="Gourmet360"/>
    <x v="0"/>
    <x v="20"/>
    <x v="2"/>
    <x v="0"/>
    <m/>
    <m/>
    <m/>
    <s v="PRD1-4265"/>
    <s v="Fresh onion Yellow(Imported)"/>
    <s v="Gram "/>
    <s v="Gram "/>
    <n v="200"/>
    <m/>
    <m/>
    <n v="15"/>
    <x v="0"/>
    <n v="13.333333333333334"/>
    <n v="3.529411764705882E-3"/>
    <n v="4.7058823529411764E-2"/>
  </r>
  <r>
    <x v="20"/>
    <s v="Gourmet360"/>
    <x v="0"/>
    <x v="20"/>
    <x v="2"/>
    <x v="0"/>
    <m/>
    <m/>
    <m/>
    <s v="PRD1-186"/>
    <s v="Fresh Carrot Imported"/>
    <s v="Gram "/>
    <s v="Gram "/>
    <n v="200"/>
    <m/>
    <m/>
    <n v="15"/>
    <x v="0"/>
    <n v="13.333333333333334"/>
    <n v="5.8139534883720938E-3"/>
    <n v="7.7519379844961253E-2"/>
  </r>
  <r>
    <x v="20"/>
    <s v="Gourmet360"/>
    <x v="0"/>
    <x v="20"/>
    <x v="2"/>
    <x v="0"/>
    <m/>
    <m/>
    <m/>
    <s v="PRD1-191"/>
    <s v="Fresh Celery Branch(Imported)"/>
    <s v="Gram "/>
    <s v="Gram "/>
    <n v="50"/>
    <m/>
    <m/>
    <n v="15"/>
    <x v="0"/>
    <n v="3.3333333333333335"/>
    <n v="2.4971623155505111E-2"/>
    <n v="8.32387438516837E-2"/>
  </r>
  <r>
    <x v="20"/>
    <s v="Gourmet360"/>
    <x v="0"/>
    <x v="20"/>
    <x v="2"/>
    <x v="0"/>
    <m/>
    <m/>
    <m/>
    <s v="DRS6-733"/>
    <s v="Spices Cumin Powder"/>
    <s v="Gram "/>
    <s v="Gram "/>
    <n v="2"/>
    <m/>
    <m/>
    <n v="15"/>
    <x v="0"/>
    <n v="0.13333333333333333"/>
    <n v="2.8000000000000001E-2"/>
    <n v="3.7333333333333333E-3"/>
  </r>
  <r>
    <x v="20"/>
    <s v="Gourmet360"/>
    <x v="0"/>
    <x v="20"/>
    <x v="2"/>
    <x v="0"/>
    <m/>
    <m/>
    <m/>
    <s v="DRS6-537"/>
    <s v="Spices Pepper Black Powder(1 Kg)"/>
    <s v="Gram "/>
    <s v="Gram "/>
    <n v="2"/>
    <m/>
    <m/>
    <n v="15"/>
    <x v="0"/>
    <n v="0.13333333333333333"/>
    <n v="3.5000000000000003E-2"/>
    <n v="4.6666666666666671E-3"/>
  </r>
  <r>
    <x v="20"/>
    <s v="Gourmet360"/>
    <x v="0"/>
    <x v="20"/>
    <x v="2"/>
    <x v="0"/>
    <m/>
    <m/>
    <m/>
    <s v="DRS6-1570"/>
    <s v="Dried Oregano"/>
    <s v="Gram "/>
    <s v="Gram "/>
    <n v="2"/>
    <m/>
    <m/>
    <n v="15"/>
    <x v="0"/>
    <n v="0.13333333333333333"/>
    <n v="9.3526666666666654E-3"/>
    <n v="1.2470222222222219E-3"/>
  </r>
  <r>
    <x v="20"/>
    <s v="Gourmet360"/>
    <x v="0"/>
    <x v="20"/>
    <x v="2"/>
    <x v="0"/>
    <m/>
    <m/>
    <m/>
    <s v="DRS1-446"/>
    <s v="Sauce Barbecue"/>
    <s v="Gram "/>
    <s v="Gram "/>
    <n v="50"/>
    <m/>
    <m/>
    <n v="15"/>
    <x v="0"/>
    <n v="3.3333333333333335"/>
    <n v="1.2986807387862797E-2"/>
    <n v="4.3289357959542661E-2"/>
  </r>
  <r>
    <x v="20"/>
    <s v="Gourmet360"/>
    <x v="0"/>
    <x v="20"/>
    <x v="2"/>
    <x v="0"/>
    <m/>
    <m/>
    <m/>
    <s v="MET2-585"/>
    <s v="Frz Beef Topside"/>
    <s v="Gram "/>
    <s v="Gram "/>
    <n v="800"/>
    <m/>
    <m/>
    <n v="15"/>
    <x v="0"/>
    <n v="53.333333333333336"/>
    <n v="4.2630057803468215E-2"/>
    <n v="2.273603082851638"/>
  </r>
  <r>
    <x v="20"/>
    <s v="Gourmet360"/>
    <x v="0"/>
    <x v="20"/>
    <x v="2"/>
    <x v="0"/>
    <m/>
    <m/>
    <m/>
    <s v="DRS1-1747"/>
    <s v="Can Tomato Paste (4500 Gram)"/>
    <s v="Gram "/>
    <s v="Gram "/>
    <n v="100"/>
    <m/>
    <m/>
    <n v="15"/>
    <x v="0"/>
    <n v="6.666666666666667"/>
    <n v="5.185185185185185E-3"/>
    <n v="3.4567901234567905E-2"/>
  </r>
  <r>
    <x v="20"/>
    <s v="Gourmet360"/>
    <x v="0"/>
    <x v="20"/>
    <x v="2"/>
    <x v="0"/>
    <m/>
    <m/>
    <m/>
    <s v="DRS1-607"/>
    <s v="Can Tomato Peeled"/>
    <s v="Gram "/>
    <s v="Gram "/>
    <n v="800"/>
    <m/>
    <m/>
    <n v="15"/>
    <x v="0"/>
    <n v="53.333333333333336"/>
    <n v="5.8823529411764705E-3"/>
    <n v="0.31372549019607843"/>
  </r>
  <r>
    <x v="20"/>
    <s v="Gourmet360"/>
    <x v="0"/>
    <x v="20"/>
    <x v="2"/>
    <x v="0"/>
    <m/>
    <m/>
    <m/>
    <s v="DRS5-21"/>
    <s v="Flour Corn"/>
    <s v="Gram "/>
    <s v="Gram "/>
    <n v="50"/>
    <m/>
    <m/>
    <n v="15"/>
    <x v="0"/>
    <n v="3.3333333333333335"/>
    <n v="2.0799999999999998E-3"/>
    <n v="6.933333333333333E-3"/>
  </r>
  <r>
    <x v="20"/>
    <s v="Gourmet360"/>
    <x v="0"/>
    <x v="20"/>
    <x v="2"/>
    <x v="0"/>
    <m/>
    <m/>
    <m/>
    <s v="DRS1-978"/>
    <s v="Sugar Fine(50 KG)"/>
    <s v="Gram "/>
    <s v="Gram "/>
    <n v="10"/>
    <m/>
    <m/>
    <n v="15"/>
    <x v="0"/>
    <n v="0.66666666666666663"/>
    <n v="2.3999999999999998E-3"/>
    <n v="1.5999999999999999E-3"/>
  </r>
  <r>
    <x v="20"/>
    <s v="Gourmet360"/>
    <x v="0"/>
    <x v="20"/>
    <x v="2"/>
    <x v="0"/>
    <m/>
    <m/>
    <m/>
    <s v="DRY2-1008"/>
    <s v="Butter 82% Fat(Unsalted) 25 kg"/>
    <s v="Gram "/>
    <s v="Gram "/>
    <n v="70"/>
    <m/>
    <m/>
    <n v="15"/>
    <x v="0"/>
    <n v="4.666666666666667"/>
    <n v="0.03"/>
    <n v="0.14000000000000001"/>
  </r>
  <r>
    <x v="20"/>
    <s v="Gourmet360"/>
    <x v="0"/>
    <x v="20"/>
    <x v="2"/>
    <x v="0"/>
    <m/>
    <m/>
    <m/>
    <s v="DRS5-40"/>
    <s v="Flour White"/>
    <s v="Gram "/>
    <s v="Gram "/>
    <n v="70"/>
    <m/>
    <m/>
    <n v="15"/>
    <x v="0"/>
    <n v="4.666666666666667"/>
    <n v="7.7777777777777773E-4"/>
    <n v="3.6296296296296298E-3"/>
  </r>
  <r>
    <x v="20"/>
    <s v="Gourmet360"/>
    <x v="0"/>
    <x v="20"/>
    <x v="2"/>
    <x v="0"/>
    <m/>
    <m/>
    <m/>
    <s v="DRS5-59"/>
    <s v="Milk Powder"/>
    <s v="Gram "/>
    <s v="Gram "/>
    <n v="50"/>
    <m/>
    <m/>
    <n v="15"/>
    <x v="0"/>
    <n v="3.3333333333333335"/>
    <n v="1.4319999999999999E-2"/>
    <n v="4.7733333333333336E-2"/>
  </r>
  <r>
    <x v="20"/>
    <s v="Gourmet360"/>
    <x v="0"/>
    <x v="20"/>
    <x v="2"/>
    <x v="0"/>
    <m/>
    <m/>
    <m/>
    <s v="TAP-00001"/>
    <s v="Tap Water-Cooking"/>
    <s v="Ml"/>
    <s v="Ml"/>
    <n v="1000"/>
    <m/>
    <m/>
    <n v="15"/>
    <x v="0"/>
    <n v="66.666666666666671"/>
    <n v="8.0000000000000007E-5"/>
    <n v="5.333333333333334E-3"/>
  </r>
  <r>
    <x v="20"/>
    <s v="Gourmet360"/>
    <x v="0"/>
    <x v="20"/>
    <x v="2"/>
    <x v="0"/>
    <m/>
    <m/>
    <m/>
    <s v="DRY2-1858"/>
    <s v="Cooking Cream 1 Ltr"/>
    <s v="Ml"/>
    <s v="Ml"/>
    <n v="250"/>
    <m/>
    <m/>
    <n v="15"/>
    <x v="0"/>
    <n v="16.666666666666668"/>
    <n v="9.8800000000000016E-3"/>
    <n v="0.16466666666666671"/>
  </r>
  <r>
    <x v="20"/>
    <s v="Gourmet360"/>
    <x v="0"/>
    <x v="20"/>
    <x v="2"/>
    <x v="0"/>
    <m/>
    <m/>
    <m/>
    <s v="DRS6-309"/>
    <s v="Spice Pepper White Powder"/>
    <s v="Gram "/>
    <s v="Gram "/>
    <n v="1"/>
    <m/>
    <m/>
    <n v="15"/>
    <x v="0"/>
    <n v="6.6666666666666666E-2"/>
    <n v="2.8000000000000001E-2"/>
    <n v="1.8666666666666666E-3"/>
  </r>
  <r>
    <x v="20"/>
    <s v="Gourmet360"/>
    <x v="0"/>
    <x v="20"/>
    <x v="2"/>
    <x v="0"/>
    <m/>
    <m/>
    <m/>
    <s v="DRY1-602"/>
    <s v="Cheese Parmesan Grated"/>
    <s v="Gram "/>
    <s v="Gram "/>
    <n v="40"/>
    <m/>
    <m/>
    <n v="15"/>
    <x v="0"/>
    <n v="2.6666666666666665"/>
    <n v="5.5E-2"/>
    <n v="0.14666666666666667"/>
  </r>
  <r>
    <x v="20"/>
    <s v="Gourmet360"/>
    <x v="0"/>
    <x v="20"/>
    <x v="2"/>
    <x v="0"/>
    <m/>
    <m/>
    <m/>
    <s v="DRS1-3880"/>
    <s v="Salt "/>
    <s v="Gram "/>
    <s v="Gram "/>
    <n v="10"/>
    <m/>
    <m/>
    <n v="15"/>
    <x v="0"/>
    <n v="0.66666666666666663"/>
    <n v="5.0000000000000001E-4"/>
    <n v="3.3333333333333332E-4"/>
  </r>
  <r>
    <x v="21"/>
    <s v="Gourmet360"/>
    <x v="0"/>
    <x v="21"/>
    <x v="2"/>
    <x v="0"/>
    <m/>
    <m/>
    <m/>
    <s v="PLT2-3278"/>
    <s v="Frz Chicken Breast Tender (KG)"/>
    <s v="Gram "/>
    <s v="Gram "/>
    <n v="1000"/>
    <m/>
    <m/>
    <n v="10"/>
    <x v="0"/>
    <n v="100"/>
    <n v="3.0357142857142853E-2"/>
    <n v="3.0357142857142851"/>
  </r>
  <r>
    <x v="21"/>
    <s v="Gourmet360"/>
    <x v="0"/>
    <x v="21"/>
    <x v="2"/>
    <x v="0"/>
    <m/>
    <m/>
    <m/>
    <s v="DRS3-1813"/>
    <s v="Corn Oil (18 Liter)"/>
    <s v="Ml"/>
    <s v="Ml"/>
    <n v="100"/>
    <m/>
    <m/>
    <n v="10"/>
    <x v="0"/>
    <n v="10"/>
    <n v="8.0555555555555554E-3"/>
    <n v="8.0555555555555547E-2"/>
  </r>
  <r>
    <x v="21"/>
    <s v="Gourmet360"/>
    <x v="0"/>
    <x v="21"/>
    <x v="2"/>
    <x v="0"/>
    <m/>
    <m/>
    <m/>
    <s v="PRD1-240"/>
    <s v="Fresh Sweet Pepper Red "/>
    <s v="Gram "/>
    <s v="Gram "/>
    <n v="80"/>
    <m/>
    <m/>
    <n v="10"/>
    <x v="0"/>
    <n v="8"/>
    <n v="1.3293943870014769E-2"/>
    <n v="0.10635155096011815"/>
  </r>
  <r>
    <x v="21"/>
    <s v="Gourmet360"/>
    <x v="0"/>
    <x v="21"/>
    <x v="2"/>
    <x v="0"/>
    <m/>
    <m/>
    <m/>
    <s v="PRD1-4265"/>
    <s v="Fresh onion Yellow(Imported)"/>
    <s v="Gram "/>
    <s v="Gram "/>
    <n v="125"/>
    <m/>
    <m/>
    <n v="10"/>
    <x v="0"/>
    <n v="12.5"/>
    <n v="3.529411764705882E-3"/>
    <n v="4.4117647058823525E-2"/>
  </r>
  <r>
    <x v="21"/>
    <s v="Gourmet360"/>
    <x v="0"/>
    <x v="21"/>
    <x v="2"/>
    <x v="0"/>
    <m/>
    <m/>
    <m/>
    <s v="PRD1-3794"/>
    <s v="Fresh Baby Marrow"/>
    <s v="Gram "/>
    <s v="Gram "/>
    <n v="250"/>
    <m/>
    <m/>
    <n v="10"/>
    <x v="0"/>
    <n v="25"/>
    <n v="4.9382716049382715E-3"/>
    <n v="0.12345679012345678"/>
  </r>
  <r>
    <x v="21"/>
    <s v="Gourmet360"/>
    <x v="0"/>
    <x v="21"/>
    <x v="2"/>
    <x v="0"/>
    <m/>
    <m/>
    <m/>
    <s v="DRS1-3880"/>
    <s v="Salt "/>
    <s v="Gram "/>
    <s v="Gram "/>
    <n v="15"/>
    <m/>
    <m/>
    <n v="10"/>
    <x v="0"/>
    <n v="1.5"/>
    <n v="5.0000000000000001E-4"/>
    <n v="7.5000000000000002E-4"/>
  </r>
  <r>
    <x v="21"/>
    <s v="Gourmet360"/>
    <x v="0"/>
    <x v="21"/>
    <x v="2"/>
    <x v="0"/>
    <m/>
    <m/>
    <m/>
    <s v="DRS6-309"/>
    <s v="Spice Pepper White Powder"/>
    <s v="Gram "/>
    <s v="Gram "/>
    <n v="2"/>
    <m/>
    <m/>
    <n v="10"/>
    <x v="0"/>
    <n v="0.2"/>
    <n v="2.8000000000000001E-2"/>
    <n v="5.6000000000000008E-3"/>
  </r>
  <r>
    <x v="21"/>
    <s v="Gourmet360"/>
    <x v="0"/>
    <x v="21"/>
    <x v="2"/>
    <x v="0"/>
    <m/>
    <m/>
    <m/>
    <s v="DRS6-1570"/>
    <s v="Dried Oregano"/>
    <s v="Gram "/>
    <s v="Gram "/>
    <n v="0.5"/>
    <m/>
    <m/>
    <n v="10"/>
    <x v="0"/>
    <n v="0.05"/>
    <n v="9.3526666666666654E-3"/>
    <n v="4.6763333333333328E-4"/>
  </r>
  <r>
    <x v="21"/>
    <s v="Gourmet360"/>
    <x v="0"/>
    <x v="21"/>
    <x v="2"/>
    <x v="0"/>
    <m/>
    <m/>
    <m/>
    <s v="DRS6-261"/>
    <s v="Spices Cinnamon Sticks"/>
    <s v="Gram "/>
    <s v="Gram "/>
    <n v="1"/>
    <m/>
    <m/>
    <n v="10"/>
    <x v="0"/>
    <n v="0.1"/>
    <n v="1.4E-2"/>
    <n v="1.4000000000000002E-3"/>
  </r>
  <r>
    <x v="21"/>
    <s v="Gourmet360"/>
    <x v="0"/>
    <x v="21"/>
    <x v="2"/>
    <x v="0"/>
    <m/>
    <m/>
    <m/>
    <s v="PRD1-4265"/>
    <s v="Fresh onion Yellow(Imported)"/>
    <s v="Gram "/>
    <s v="Gram "/>
    <n v="150"/>
    <m/>
    <m/>
    <n v="10"/>
    <x v="0"/>
    <n v="15"/>
    <n v="3.529411764705882E-3"/>
    <n v="5.2941176470588228E-2"/>
  </r>
  <r>
    <x v="21"/>
    <s v="Gourmet360"/>
    <x v="0"/>
    <x v="21"/>
    <x v="2"/>
    <x v="0"/>
    <m/>
    <m/>
    <m/>
    <s v="PRD1-4327"/>
    <s v="Fresh Garlic Peeled"/>
    <s v="Gram "/>
    <s v="Gram "/>
    <n v="25"/>
    <m/>
    <m/>
    <n v="10"/>
    <x v="0"/>
    <n v="2.5"/>
    <n v="1.2999999999999999E-2"/>
    <n v="3.2500000000000001E-2"/>
  </r>
  <r>
    <x v="21"/>
    <s v="Gourmet360"/>
    <x v="0"/>
    <x v="21"/>
    <x v="2"/>
    <x v="0"/>
    <m/>
    <m/>
    <m/>
    <s v="DRS1-607"/>
    <s v="Can Tomato Peeled"/>
    <s v="Gram "/>
    <s v="Gram "/>
    <n v="1500"/>
    <m/>
    <m/>
    <n v="10"/>
    <x v="0"/>
    <n v="150"/>
    <n v="5.8823529411764705E-3"/>
    <n v="0.88235294117647056"/>
  </r>
  <r>
    <x v="21"/>
    <s v="Gourmet360"/>
    <x v="0"/>
    <x v="21"/>
    <x v="2"/>
    <x v="0"/>
    <m/>
    <m/>
    <m/>
    <s v="DRS1-1747"/>
    <s v="Can Tomato Paste (4500 Gram)"/>
    <s v="Gram "/>
    <s v="Gram "/>
    <n v="70"/>
    <m/>
    <m/>
    <n v="10"/>
    <x v="0"/>
    <n v="7"/>
    <n v="5.185185185185185E-3"/>
    <n v="3.6296296296296299E-2"/>
  </r>
  <r>
    <x v="21"/>
    <s v="Gourmet360"/>
    <x v="0"/>
    <x v="21"/>
    <x v="2"/>
    <x v="0"/>
    <m/>
    <m/>
    <m/>
    <s v="TAP-00001"/>
    <s v="Tap Water-Cooking"/>
    <s v="Ml"/>
    <s v="Ml"/>
    <n v="2000"/>
    <m/>
    <m/>
    <n v="10"/>
    <x v="0"/>
    <n v="200"/>
    <n v="8.0000000000000007E-5"/>
    <n v="1.6E-2"/>
  </r>
  <r>
    <x v="21"/>
    <s v="Gourmet360"/>
    <x v="0"/>
    <x v="21"/>
    <x v="2"/>
    <x v="0"/>
    <m/>
    <m/>
    <m/>
    <s v="DRS6-537"/>
    <s v="Spices Pepper Black Powder(1 Kg)"/>
    <s v="Gram "/>
    <s v="Gram "/>
    <n v="2"/>
    <m/>
    <m/>
    <n v="10"/>
    <x v="0"/>
    <n v="0.2"/>
    <n v="3.5000000000000003E-2"/>
    <n v="7.000000000000001E-3"/>
  </r>
  <r>
    <x v="21"/>
    <s v="Gourmet360"/>
    <x v="0"/>
    <x v="21"/>
    <x v="2"/>
    <x v="0"/>
    <m/>
    <m/>
    <m/>
    <s v="DRS5-21"/>
    <s v="Flour Corn"/>
    <s v="Gram "/>
    <s v="Gram "/>
    <n v="20"/>
    <m/>
    <m/>
    <n v="10"/>
    <x v="0"/>
    <n v="2"/>
    <n v="2.0799999999999998E-3"/>
    <n v="4.1599999999999996E-3"/>
  </r>
  <r>
    <x v="21"/>
    <s v="Gourmet360"/>
    <x v="0"/>
    <x v="21"/>
    <x v="2"/>
    <x v="0"/>
    <m/>
    <m/>
    <m/>
    <s v="PRD1-239"/>
    <s v="Fresh Sweet Pepper Green"/>
    <s v="Gram "/>
    <s v="Gram "/>
    <n v="80"/>
    <m/>
    <m/>
    <n v="10"/>
    <x v="0"/>
    <n v="8"/>
    <n v="6.6864784546805346E-3"/>
    <n v="5.3491827637444277E-2"/>
  </r>
  <r>
    <x v="21"/>
    <s v="Gourmet360"/>
    <x v="0"/>
    <x v="21"/>
    <x v="2"/>
    <x v="0"/>
    <m/>
    <m/>
    <m/>
    <s v="PRD1-241"/>
    <s v="Fresh Sweet Pepper Yellow"/>
    <s v="Gram "/>
    <s v="Gram "/>
    <n v="80"/>
    <m/>
    <m/>
    <n v="10"/>
    <x v="0"/>
    <n v="8"/>
    <n v="1.3196480938416421E-2"/>
    <n v="0.10557184750733137"/>
  </r>
  <r>
    <x v="21"/>
    <s v="Gourmet360"/>
    <x v="0"/>
    <x v="21"/>
    <x v="2"/>
    <x v="0"/>
    <m/>
    <m/>
    <m/>
    <s v="DRY2-1160"/>
    <s v="Yogurt Plain big 10 KG"/>
    <s v="Gram "/>
    <s v="Gram "/>
    <n v="50"/>
    <m/>
    <m/>
    <n v="10"/>
    <x v="0"/>
    <n v="5"/>
    <n v="4.4000000000000003E-3"/>
    <n v="2.2000000000000002E-2"/>
  </r>
  <r>
    <x v="21"/>
    <s v="Gourmet360"/>
    <x v="0"/>
    <x v="21"/>
    <x v="2"/>
    <x v="0"/>
    <m/>
    <m/>
    <m/>
    <s v="DRS1-1787"/>
    <s v="Pepper Paste (4 KG)"/>
    <s v="Gram "/>
    <s v="Gram "/>
    <n v="40"/>
    <m/>
    <m/>
    <n v="10"/>
    <x v="0"/>
    <n v="4"/>
    <n v="1.125E-2"/>
    <n v="4.4999999999999998E-2"/>
  </r>
  <r>
    <x v="21"/>
    <s v="Gourmet360"/>
    <x v="0"/>
    <x v="21"/>
    <x v="2"/>
    <x v="0"/>
    <m/>
    <m/>
    <m/>
    <s v="PRD1-209"/>
    <s v="Fresh Lemon"/>
    <s v="Gram "/>
    <s v="Gram "/>
    <n v="50"/>
    <m/>
    <m/>
    <n v="10"/>
    <x v="0"/>
    <n v="5"/>
    <n v="1.0088272383354349E-2"/>
    <n v="5.0441361916771746E-2"/>
  </r>
  <r>
    <x v="21"/>
    <s v="Gourmet360"/>
    <x v="0"/>
    <x v="21"/>
    <x v="2"/>
    <x v="0"/>
    <m/>
    <m/>
    <m/>
    <s v="DRS1-1547"/>
    <s v="Vinegar White (Gallon)"/>
    <s v="Ml"/>
    <s v="Ml"/>
    <n v="10"/>
    <m/>
    <m/>
    <n v="10"/>
    <x v="0"/>
    <n v="1"/>
    <n v="2.3026315789473682E-3"/>
    <n v="2.3026315789473682E-3"/>
  </r>
  <r>
    <x v="21"/>
    <s v="Gourmet360"/>
    <x v="0"/>
    <x v="21"/>
    <x v="2"/>
    <x v="0"/>
    <m/>
    <m/>
    <m/>
    <s v="DRS4-498"/>
    <s v="Rice Basmati"/>
    <s v="Gram "/>
    <s v="Gram "/>
    <n v="1000"/>
    <m/>
    <m/>
    <n v="10"/>
    <x v="0"/>
    <n v="100"/>
    <n v="5.7499999999999999E-3"/>
    <n v="0.57499999999999996"/>
  </r>
  <r>
    <x v="21"/>
    <s v="Gourmet360"/>
    <x v="0"/>
    <x v="21"/>
    <x v="2"/>
    <x v="0"/>
    <m/>
    <m/>
    <m/>
    <s v="DRS6-3593"/>
    <s v="Spices Bay Leaves"/>
    <s v="Gram "/>
    <s v="Gram "/>
    <n v="1"/>
    <m/>
    <m/>
    <n v="10"/>
    <x v="0"/>
    <n v="0.1"/>
    <n v="8.0000000000000002E-3"/>
    <n v="8.0000000000000004E-4"/>
  </r>
  <r>
    <x v="22"/>
    <s v="Gourmet360"/>
    <x v="0"/>
    <x v="22"/>
    <x v="2"/>
    <x v="0"/>
    <m/>
    <m/>
    <m/>
    <s v="PLT2-3278"/>
    <s v="Frz Chicken Breast Tender (KG)"/>
    <s v="Gram "/>
    <s v="Gram "/>
    <n v="1000"/>
    <m/>
    <m/>
    <n v="10"/>
    <x v="0"/>
    <n v="100"/>
    <n v="3.0357142857142853E-2"/>
    <n v="3.0357142857142851"/>
  </r>
  <r>
    <x v="22"/>
    <s v="Gourmet360"/>
    <x v="0"/>
    <x v="22"/>
    <x v="2"/>
    <x v="0"/>
    <m/>
    <m/>
    <m/>
    <s v="DRS3-1813"/>
    <s v="Corn Oil (18 Liter)"/>
    <s v="Ml"/>
    <s v="Ml"/>
    <n v="20"/>
    <m/>
    <m/>
    <n v="10"/>
    <x v="0"/>
    <n v="2"/>
    <n v="8.0555555555555554E-3"/>
    <n v="1.6111111111111111E-2"/>
  </r>
  <r>
    <x v="22"/>
    <s v="Gourmet360"/>
    <x v="0"/>
    <x v="22"/>
    <x v="2"/>
    <x v="0"/>
    <m/>
    <m/>
    <m/>
    <s v="PRD1-4265"/>
    <s v="Fresh onion Yellow(Imported)"/>
    <s v="Gram "/>
    <s v="Gram "/>
    <n v="150"/>
    <m/>
    <m/>
    <n v="10"/>
    <x v="0"/>
    <n v="15"/>
    <n v="3.529411764705882E-3"/>
    <n v="5.2941176470588228E-2"/>
  </r>
  <r>
    <x v="22"/>
    <s v="Gourmet360"/>
    <x v="0"/>
    <x v="22"/>
    <x v="2"/>
    <x v="0"/>
    <m/>
    <m/>
    <m/>
    <s v="PRD1-4327"/>
    <s v="Fresh Garlic Peeled"/>
    <s v="Gram "/>
    <s v="Gram "/>
    <n v="15"/>
    <m/>
    <m/>
    <n v="10"/>
    <x v="0"/>
    <n v="1.5"/>
    <n v="1.2999999999999999E-2"/>
    <n v="1.95E-2"/>
  </r>
  <r>
    <x v="22"/>
    <s v="Gourmet360"/>
    <x v="0"/>
    <x v="22"/>
    <x v="2"/>
    <x v="0"/>
    <m/>
    <m/>
    <m/>
    <s v="PRD1-230"/>
    <s v="Fresh Potato"/>
    <s v="Gram "/>
    <s v="Gram "/>
    <n v="750"/>
    <m/>
    <m/>
    <n v="10"/>
    <x v="0"/>
    <n v="75"/>
    <n v="3.3738191632928472E-3"/>
    <n v="0.25303643724696356"/>
  </r>
  <r>
    <x v="22"/>
    <s v="Gourmet360"/>
    <x v="0"/>
    <x v="22"/>
    <x v="2"/>
    <x v="0"/>
    <m/>
    <m/>
    <m/>
    <s v="PRD1-3794"/>
    <s v="Fresh Baby Marrow"/>
    <s v="Gram "/>
    <s v="Gram "/>
    <n v="350"/>
    <m/>
    <m/>
    <n v="10"/>
    <x v="0"/>
    <n v="35"/>
    <n v="4.9382716049382715E-3"/>
    <n v="0.1728395061728395"/>
  </r>
  <r>
    <x v="22"/>
    <s v="Gourmet360"/>
    <x v="0"/>
    <x v="22"/>
    <x v="2"/>
    <x v="0"/>
    <m/>
    <m/>
    <m/>
    <s v="PRD1-186"/>
    <s v="Fresh Carrot Imported"/>
    <s v="Gram "/>
    <s v="Gram "/>
    <n v="350"/>
    <m/>
    <m/>
    <n v="10"/>
    <x v="0"/>
    <n v="35"/>
    <n v="5.8139534883720938E-3"/>
    <n v="0.20348837209302328"/>
  </r>
  <r>
    <x v="22"/>
    <s v="Gourmet360"/>
    <x v="0"/>
    <x v="22"/>
    <x v="2"/>
    <x v="0"/>
    <m/>
    <m/>
    <m/>
    <s v="PRD1-572"/>
    <s v="Fresh Tomato "/>
    <s v="Gram "/>
    <s v="Gram "/>
    <n v="1000"/>
    <m/>
    <m/>
    <n v="10"/>
    <x v="0"/>
    <n v="100"/>
    <n v="4.5351473922902496E-3"/>
    <n v="0.45351473922902497"/>
  </r>
  <r>
    <x v="22"/>
    <s v="Gourmet360"/>
    <x v="0"/>
    <x v="22"/>
    <x v="2"/>
    <x v="0"/>
    <m/>
    <m/>
    <m/>
    <s v="PRD1-4265"/>
    <s v="Fresh onion Yellow(Imported)"/>
    <s v="Gram "/>
    <s v="Gram "/>
    <n v="150"/>
    <m/>
    <m/>
    <n v="10"/>
    <x v="0"/>
    <n v="15"/>
    <n v="3.529411764705882E-3"/>
    <n v="5.2941176470588228E-2"/>
  </r>
  <r>
    <x v="22"/>
    <s v="Gourmet360"/>
    <x v="0"/>
    <x v="22"/>
    <x v="2"/>
    <x v="0"/>
    <m/>
    <m/>
    <m/>
    <s v="PRD1-232"/>
    <s v="Fresh Pumpkin"/>
    <s v="Gram "/>
    <s v="Gram "/>
    <n v="350"/>
    <m/>
    <m/>
    <n v="10"/>
    <x v="0"/>
    <n v="35"/>
    <n v="4.4444444444444444E-3"/>
    <n v="0.15555555555555556"/>
  </r>
  <r>
    <x v="22"/>
    <s v="Gourmet360"/>
    <x v="0"/>
    <x v="22"/>
    <x v="2"/>
    <x v="0"/>
    <m/>
    <m/>
    <m/>
    <s v="DRS6-537"/>
    <s v="Spices Pepper Black Powder(1 Kg)"/>
    <s v="Gram "/>
    <s v="Gram "/>
    <n v="2"/>
    <m/>
    <m/>
    <n v="10"/>
    <x v="0"/>
    <n v="0.2"/>
    <n v="3.5000000000000003E-2"/>
    <n v="7.000000000000001E-3"/>
  </r>
  <r>
    <x v="22"/>
    <s v="Gourmet360"/>
    <x v="0"/>
    <x v="22"/>
    <x v="2"/>
    <x v="0"/>
    <m/>
    <m/>
    <m/>
    <s v="DRS1-3811"/>
    <s v="Chicken Stock Powder(Packet)"/>
    <s v="Gram "/>
    <s v="Gram "/>
    <n v="10"/>
    <m/>
    <m/>
    <n v="10"/>
    <x v="0"/>
    <n v="1"/>
    <n v="2.8475E-2"/>
    <n v="2.8475E-2"/>
  </r>
  <r>
    <x v="22"/>
    <s v="Gourmet360"/>
    <x v="0"/>
    <x v="22"/>
    <x v="2"/>
    <x v="0"/>
    <m/>
    <m/>
    <m/>
    <s v="DRS1-1747"/>
    <s v="Can Tomato Paste (4500 Gram)"/>
    <s v="Gram "/>
    <s v="Gram "/>
    <n v="50"/>
    <m/>
    <m/>
    <n v="10"/>
    <x v="0"/>
    <n v="5"/>
    <n v="5.185185185185185E-3"/>
    <n v="2.5925925925925925E-2"/>
  </r>
  <r>
    <x v="22"/>
    <s v="Gourmet360"/>
    <x v="0"/>
    <x v="22"/>
    <x v="2"/>
    <x v="0"/>
    <m/>
    <m/>
    <m/>
    <s v="TAP-00001"/>
    <s v="Tap Water-Cooking"/>
    <s v="Ml"/>
    <s v="Ml"/>
    <n v="1000"/>
    <m/>
    <m/>
    <n v="10"/>
    <x v="0"/>
    <n v="100"/>
    <n v="8.0000000000000007E-5"/>
    <n v="8.0000000000000002E-3"/>
  </r>
  <r>
    <x v="22"/>
    <s v="Gourmet360"/>
    <x v="0"/>
    <x v="22"/>
    <x v="2"/>
    <x v="0"/>
    <m/>
    <m/>
    <m/>
    <s v="DRS4-498"/>
    <s v="Rice Basmati"/>
    <s v="Gram "/>
    <s v="Gram "/>
    <n v="1000"/>
    <m/>
    <m/>
    <n v="10"/>
    <x v="0"/>
    <n v="100"/>
    <n v="5.7499999999999999E-3"/>
    <n v="0.57499999999999996"/>
  </r>
  <r>
    <x v="22"/>
    <s v="Gourmet360"/>
    <x v="0"/>
    <x v="22"/>
    <x v="2"/>
    <x v="0"/>
    <m/>
    <m/>
    <m/>
    <s v="TAP-00001"/>
    <s v="Tap Water-Cooking"/>
    <s v="Ml"/>
    <s v="Ml"/>
    <n v="1600"/>
    <m/>
    <m/>
    <n v="10"/>
    <x v="0"/>
    <n v="160"/>
    <n v="8.0000000000000007E-5"/>
    <n v="1.2800000000000001E-2"/>
  </r>
  <r>
    <x v="22"/>
    <s v="Gourmet360"/>
    <x v="0"/>
    <x v="22"/>
    <x v="2"/>
    <x v="0"/>
    <m/>
    <m/>
    <m/>
    <s v="DRS3-1813"/>
    <s v="Corn Oil (18 Liter)"/>
    <s v="Ml"/>
    <s v="Ml"/>
    <n v="50"/>
    <m/>
    <m/>
    <n v="10"/>
    <x v="0"/>
    <n v="5"/>
    <n v="8.0555555555555554E-3"/>
    <n v="4.0277777777777773E-2"/>
  </r>
  <r>
    <x v="22"/>
    <s v="Gourmet360"/>
    <x v="0"/>
    <x v="22"/>
    <x v="2"/>
    <x v="0"/>
    <m/>
    <m/>
    <m/>
    <s v="DRS6-3593"/>
    <s v="Spices Bay Leaves"/>
    <s v="Gram "/>
    <s v="Gram "/>
    <n v="1"/>
    <m/>
    <m/>
    <n v="10"/>
    <x v="0"/>
    <n v="0.1"/>
    <n v="8.0000000000000002E-3"/>
    <n v="8.0000000000000004E-4"/>
  </r>
  <r>
    <x v="22"/>
    <s v="Gourmet360"/>
    <x v="0"/>
    <x v="22"/>
    <x v="2"/>
    <x v="0"/>
    <m/>
    <m/>
    <m/>
    <s v="DRS6-539"/>
    <s v="Spices Cardamon Seeds"/>
    <s v="Gram "/>
    <s v="Gram "/>
    <n v="1"/>
    <m/>
    <m/>
    <n v="10"/>
    <x v="0"/>
    <n v="0.1"/>
    <n v="0.16"/>
    <n v="1.6E-2"/>
  </r>
  <r>
    <x v="22"/>
    <s v="Gourmet360"/>
    <x v="0"/>
    <x v="22"/>
    <x v="2"/>
    <x v="0"/>
    <m/>
    <m/>
    <m/>
    <s v="DRS1-3880"/>
    <s v="Salt "/>
    <s v="Gram "/>
    <s v="Gram "/>
    <n v="15"/>
    <m/>
    <m/>
    <n v="10"/>
    <x v="0"/>
    <n v="1.5"/>
    <n v="5.0000000000000001E-4"/>
    <n v="7.5000000000000002E-4"/>
  </r>
  <r>
    <x v="22"/>
    <s v="Gourmet360"/>
    <x v="0"/>
    <x v="22"/>
    <x v="2"/>
    <x v="0"/>
    <m/>
    <m/>
    <m/>
    <s v="DRS6-261"/>
    <s v="Spices Cinnamon Sticks"/>
    <s v="Gram "/>
    <s v="Gram "/>
    <n v="2"/>
    <m/>
    <m/>
    <n v="10"/>
    <x v="0"/>
    <n v="0.2"/>
    <n v="1.4E-2"/>
    <n v="2.8000000000000004E-3"/>
  </r>
  <r>
    <x v="23"/>
    <s v="Gourmet360"/>
    <x v="0"/>
    <x v="23"/>
    <x v="2"/>
    <x v="0"/>
    <m/>
    <m/>
    <m/>
    <s v="MET2-1051"/>
    <s v="Frz Beef Tendrloin Brazil"/>
    <s v="Gram "/>
    <s v="Gram "/>
    <n v="1000"/>
    <m/>
    <m/>
    <n v="10"/>
    <x v="0"/>
    <n v="100"/>
    <n v="8.4705882352941173E-2"/>
    <n v="8.4705882352941178"/>
  </r>
  <r>
    <x v="23"/>
    <s v="Gourmet360"/>
    <x v="0"/>
    <x v="23"/>
    <x v="2"/>
    <x v="0"/>
    <m/>
    <m/>
    <m/>
    <s v="DRY2-1008"/>
    <s v="Butter 82% Fat(Unsalted) 25 kg"/>
    <s v="Gram "/>
    <s v="Gram "/>
    <n v="50"/>
    <m/>
    <m/>
    <n v="10"/>
    <x v="0"/>
    <n v="5"/>
    <n v="0.03"/>
    <n v="0.15"/>
  </r>
  <r>
    <x v="23"/>
    <s v="Gourmet360"/>
    <x v="0"/>
    <x v="23"/>
    <x v="2"/>
    <x v="0"/>
    <m/>
    <m/>
    <m/>
    <s v="PRD1-4265"/>
    <s v="Fresh onion Yellow(Imported)"/>
    <s v="Gram "/>
    <s v="Gram "/>
    <n v="50"/>
    <m/>
    <m/>
    <n v="10"/>
    <x v="0"/>
    <n v="5"/>
    <n v="3.529411764705882E-3"/>
    <n v="1.7647058823529412E-2"/>
  </r>
  <r>
    <x v="23"/>
    <s v="Gourmet360"/>
    <x v="0"/>
    <x v="23"/>
    <x v="2"/>
    <x v="0"/>
    <m/>
    <m/>
    <m/>
    <s v="PRD1-4327"/>
    <s v="Fresh Garlic Peeled"/>
    <s v="Gram "/>
    <s v="Gram "/>
    <n v="5"/>
    <m/>
    <m/>
    <n v="10"/>
    <x v="0"/>
    <n v="0.5"/>
    <n v="1.2999999999999999E-2"/>
    <n v="6.4999999999999997E-3"/>
  </r>
  <r>
    <x v="23"/>
    <s v="Gourmet360"/>
    <x v="0"/>
    <x v="23"/>
    <x v="2"/>
    <x v="0"/>
    <m/>
    <m/>
    <m/>
    <s v="TAP-00001"/>
    <s v="Tap Water-Cooking"/>
    <s v="Ml"/>
    <s v="Ml"/>
    <n v="1200"/>
    <m/>
    <m/>
    <n v="10"/>
    <x v="0"/>
    <n v="120"/>
    <n v="8.0000000000000007E-5"/>
    <n v="9.6000000000000009E-3"/>
  </r>
  <r>
    <x v="23"/>
    <s v="Gourmet360"/>
    <x v="0"/>
    <x v="23"/>
    <x v="2"/>
    <x v="0"/>
    <m/>
    <m/>
    <m/>
    <s v="DRS1-3813"/>
    <s v="Beef Stock Powder(Packet)"/>
    <s v="Gram "/>
    <s v="Gram "/>
    <n v="20"/>
    <m/>
    <m/>
    <n v="10"/>
    <x v="0"/>
    <n v="2"/>
    <n v="4.4441666666666664E-2"/>
    <n v="8.8883333333333328E-2"/>
  </r>
  <r>
    <x v="23"/>
    <s v="Gourmet360"/>
    <x v="0"/>
    <x v="23"/>
    <x v="2"/>
    <x v="0"/>
    <m/>
    <m/>
    <m/>
    <s v="DRS1-3357"/>
    <s v="Sauce Demi Glace(1.2Kg)"/>
    <s v="Gram "/>
    <s v="Gram "/>
    <n v="50"/>
    <m/>
    <m/>
    <n v="10"/>
    <x v="0"/>
    <n v="5"/>
    <n v="6.8440000000000001E-2"/>
    <n v="0.3422"/>
  </r>
  <r>
    <x v="23"/>
    <s v="Gourmet360"/>
    <x v="0"/>
    <x v="23"/>
    <x v="2"/>
    <x v="0"/>
    <m/>
    <m/>
    <m/>
    <s v="DRS6-537"/>
    <s v="Spices Pepper Black Powder(1 Kg)"/>
    <s v="Gram "/>
    <s v="Gram "/>
    <n v="2"/>
    <m/>
    <m/>
    <n v="10"/>
    <x v="0"/>
    <n v="0.2"/>
    <n v="3.5000000000000003E-2"/>
    <n v="7.000000000000001E-3"/>
  </r>
  <r>
    <x v="23"/>
    <s v="Gourmet360"/>
    <x v="0"/>
    <x v="23"/>
    <x v="2"/>
    <x v="0"/>
    <m/>
    <m/>
    <m/>
    <s v="DRS1-3880"/>
    <s v="Salt "/>
    <s v="Gram "/>
    <s v="Gram "/>
    <n v="5"/>
    <m/>
    <m/>
    <n v="10"/>
    <x v="0"/>
    <n v="0.5"/>
    <n v="5.0000000000000001E-4"/>
    <n v="2.5000000000000001E-4"/>
  </r>
  <r>
    <x v="23"/>
    <s v="Gourmet360"/>
    <x v="0"/>
    <x v="23"/>
    <x v="2"/>
    <x v="0"/>
    <m/>
    <m/>
    <m/>
    <s v="DRS1-1747"/>
    <s v="Can Tomato Paste (4500 Gram)"/>
    <s v="Gram "/>
    <s v="Gram "/>
    <n v="35"/>
    <m/>
    <m/>
    <n v="10"/>
    <x v="0"/>
    <n v="3.5"/>
    <n v="5.185185185185185E-3"/>
    <n v="1.8148148148148149E-2"/>
  </r>
  <r>
    <x v="23"/>
    <s v="Gourmet360"/>
    <x v="0"/>
    <x v="23"/>
    <x v="2"/>
    <x v="0"/>
    <m/>
    <m/>
    <m/>
    <s v="DRY2-1858"/>
    <s v="Cooking Cream 1 Ltr"/>
    <s v="Ml"/>
    <s v="Ml"/>
    <n v="125"/>
    <m/>
    <m/>
    <n v="10"/>
    <x v="0"/>
    <n v="12.5"/>
    <n v="9.8800000000000016E-3"/>
    <n v="0.12350000000000003"/>
  </r>
  <r>
    <x v="23"/>
    <s v="Gourmet360"/>
    <x v="0"/>
    <x v="23"/>
    <x v="2"/>
    <x v="0"/>
    <m/>
    <m/>
    <m/>
    <s v="DRS5-40"/>
    <s v="Flour White"/>
    <s v="Gram "/>
    <s v="Gram "/>
    <n v="60"/>
    <m/>
    <m/>
    <n v="10"/>
    <x v="0"/>
    <n v="6"/>
    <n v="7.7777777777777773E-4"/>
    <n v="4.6666666666666662E-3"/>
  </r>
  <r>
    <x v="23"/>
    <s v="Gourmet360"/>
    <x v="0"/>
    <x v="23"/>
    <x v="2"/>
    <x v="0"/>
    <m/>
    <m/>
    <m/>
    <s v="TAP-00001"/>
    <s v="Tap Water-Cooking"/>
    <s v="Ml"/>
    <s v="Ml"/>
    <n v="80"/>
    <m/>
    <m/>
    <n v="10"/>
    <x v="0"/>
    <n v="8"/>
    <n v="8.0000000000000007E-5"/>
    <n v="6.4000000000000005E-4"/>
  </r>
  <r>
    <x v="23"/>
    <s v="Gourmet360"/>
    <x v="0"/>
    <x v="23"/>
    <x v="2"/>
    <x v="0"/>
    <m/>
    <m/>
    <m/>
    <s v="PRD1-223"/>
    <s v="Fresh Mushroom"/>
    <s v="Gram "/>
    <s v="Gram "/>
    <n v="200"/>
    <m/>
    <m/>
    <n v="10"/>
    <x v="0"/>
    <n v="20"/>
    <n v="2.3231256599788808E-2"/>
    <n v="0.46462513199577615"/>
  </r>
  <r>
    <x v="23"/>
    <s v="Gourmet360"/>
    <x v="0"/>
    <x v="23"/>
    <x v="2"/>
    <x v="0"/>
    <m/>
    <m/>
    <m/>
    <s v="DRS1-455"/>
    <s v="Can Mushroom Sliced (2840 Gram)"/>
    <s v="Gram "/>
    <s v="Gram "/>
    <n v="150"/>
    <m/>
    <m/>
    <n v="10"/>
    <x v="0"/>
    <n v="15"/>
    <n v="7.1999999999999998E-3"/>
    <n v="0.108"/>
  </r>
  <r>
    <x v="24"/>
    <s v="Gourmet360"/>
    <x v="0"/>
    <x v="24"/>
    <x v="2"/>
    <x v="0"/>
    <m/>
    <m/>
    <m/>
    <s v="PRD1-3794"/>
    <s v="Fresh Baby Marrow"/>
    <s v="Gram "/>
    <s v="Gram "/>
    <n v="300"/>
    <m/>
    <m/>
    <n v="10"/>
    <x v="0"/>
    <n v="30"/>
    <n v="4.9382716049382715E-3"/>
    <n v="0.14814814814814814"/>
  </r>
  <r>
    <x v="24"/>
    <s v="Gourmet360"/>
    <x v="0"/>
    <x v="24"/>
    <x v="2"/>
    <x v="0"/>
    <m/>
    <m/>
    <m/>
    <s v="DRS3-1813"/>
    <s v="Corn Oil (18 Liter)"/>
    <s v="Ml"/>
    <s v="Ml"/>
    <n v="25"/>
    <m/>
    <m/>
    <n v="10"/>
    <x v="0"/>
    <n v="2.5"/>
    <n v="8.0555555555555554E-3"/>
    <n v="2.0138888888888887E-2"/>
  </r>
  <r>
    <x v="24"/>
    <s v="Gourmet360"/>
    <x v="0"/>
    <x v="24"/>
    <x v="2"/>
    <x v="0"/>
    <m/>
    <m/>
    <m/>
    <s v="PRD1-4265"/>
    <s v="Fresh onion Yellow(Imported)"/>
    <s v="Gram "/>
    <s v="Gram "/>
    <n v="150"/>
    <m/>
    <m/>
    <n v="10"/>
    <x v="0"/>
    <n v="15"/>
    <n v="3.529411764705882E-3"/>
    <n v="5.2941176470588228E-2"/>
  </r>
  <r>
    <x v="24"/>
    <s v="Gourmet360"/>
    <x v="0"/>
    <x v="24"/>
    <x v="2"/>
    <x v="0"/>
    <m/>
    <m/>
    <m/>
    <s v="PRD1-4327"/>
    <s v="Fresh Garlic Peeled"/>
    <s v="Gram "/>
    <s v="Gram "/>
    <n v="15"/>
    <m/>
    <m/>
    <n v="10"/>
    <x v="0"/>
    <n v="1.5"/>
    <n v="1.2999999999999999E-2"/>
    <n v="1.95E-2"/>
  </r>
  <r>
    <x v="24"/>
    <s v="Gourmet360"/>
    <x v="0"/>
    <x v="24"/>
    <x v="2"/>
    <x v="0"/>
    <m/>
    <m/>
    <m/>
    <s v="DRS6-733"/>
    <s v="Spices Cumin Powder"/>
    <s v="Gram "/>
    <s v="Gram "/>
    <n v="15"/>
    <m/>
    <m/>
    <n v="10"/>
    <x v="0"/>
    <n v="1.5"/>
    <n v="2.8000000000000001E-2"/>
    <n v="4.2000000000000003E-2"/>
  </r>
  <r>
    <x v="24"/>
    <s v="Gourmet360"/>
    <x v="0"/>
    <x v="24"/>
    <x v="2"/>
    <x v="0"/>
    <m/>
    <m/>
    <m/>
    <s v="DRS6-266"/>
    <s v="Spices Coriander Powder"/>
    <s v="Gram "/>
    <s v="Gram "/>
    <n v="3"/>
    <m/>
    <m/>
    <n v="10"/>
    <x v="0"/>
    <n v="0.3"/>
    <n v="1.4E-2"/>
    <n v="4.1999999999999997E-3"/>
  </r>
  <r>
    <x v="24"/>
    <s v="Gourmet360"/>
    <x v="0"/>
    <x v="24"/>
    <x v="2"/>
    <x v="0"/>
    <m/>
    <m/>
    <m/>
    <s v="DRS6-3608"/>
    <s v="Spice Curry Powder(Kg)"/>
    <s v="Gram "/>
    <s v="Gram "/>
    <n v="3"/>
    <m/>
    <m/>
    <n v="10"/>
    <x v="0"/>
    <n v="0.3"/>
    <n v="1.6E-2"/>
    <n v="4.7999999999999996E-3"/>
  </r>
  <r>
    <x v="24"/>
    <s v="Gourmet360"/>
    <x v="0"/>
    <x v="24"/>
    <x v="2"/>
    <x v="0"/>
    <m/>
    <m/>
    <m/>
    <s v="PRD1-572"/>
    <s v="Fresh Tomato "/>
    <s v="Gram "/>
    <s v="Gram "/>
    <n v="500"/>
    <m/>
    <m/>
    <n v="10"/>
    <x v="0"/>
    <n v="50"/>
    <n v="4.5351473922902496E-3"/>
    <n v="0.22675736961451248"/>
  </r>
  <r>
    <x v="24"/>
    <s v="Gourmet360"/>
    <x v="0"/>
    <x v="24"/>
    <x v="2"/>
    <x v="0"/>
    <m/>
    <m/>
    <m/>
    <s v="DRS1-1747"/>
    <s v="Can Tomato Paste (4500 Gram)"/>
    <s v="Gram "/>
    <s v="Gram "/>
    <n v="25"/>
    <m/>
    <m/>
    <n v="10"/>
    <x v="0"/>
    <n v="2.5"/>
    <n v="5.185185185185185E-3"/>
    <n v="1.2962962962962963E-2"/>
  </r>
  <r>
    <x v="24"/>
    <s v="Gourmet360"/>
    <x v="0"/>
    <x v="24"/>
    <x v="2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24"/>
    <s v="Gourmet360"/>
    <x v="0"/>
    <x v="24"/>
    <x v="2"/>
    <x v="0"/>
    <m/>
    <m/>
    <m/>
    <s v="PRD1-186"/>
    <s v="Fresh Carrot Imported"/>
    <s v="Gram "/>
    <s v="Gram "/>
    <n v="600"/>
    <m/>
    <m/>
    <n v="10"/>
    <x v="0"/>
    <n v="60"/>
    <n v="5.8139534883720938E-3"/>
    <n v="0.34883720930232565"/>
  </r>
  <r>
    <x v="24"/>
    <s v="Gourmet360"/>
    <x v="0"/>
    <x v="24"/>
    <x v="2"/>
    <x v="0"/>
    <m/>
    <m/>
    <m/>
    <s v="PRD1-230"/>
    <s v="Fresh Potato"/>
    <s v="Gram "/>
    <s v="Gram "/>
    <n v="700"/>
    <m/>
    <m/>
    <n v="10"/>
    <x v="0"/>
    <n v="70"/>
    <n v="3.3738191632928472E-3"/>
    <n v="0.23616734143049931"/>
  </r>
  <r>
    <x v="24"/>
    <s v="Gourmet360"/>
    <x v="0"/>
    <x v="24"/>
    <x v="2"/>
    <x v="0"/>
    <m/>
    <m/>
    <m/>
    <s v="PRD2-3566"/>
    <s v="Frz Green Beans Cut(800 Gram)"/>
    <s v="Gram "/>
    <s v="Gram "/>
    <n v="300"/>
    <m/>
    <m/>
    <n v="10"/>
    <x v="0"/>
    <n v="30"/>
    <n v="8.2249999999999997E-3"/>
    <n v="0.24675"/>
  </r>
  <r>
    <x v="24"/>
    <s v="Gourmet360"/>
    <x v="0"/>
    <x v="24"/>
    <x v="2"/>
    <x v="0"/>
    <m/>
    <m/>
    <m/>
    <s v="DRS6-1674"/>
    <s v="Spice Turmeric Powder (1 Kg)"/>
    <s v="Gram "/>
    <s v="Gram "/>
    <n v="3"/>
    <m/>
    <m/>
    <n v="10"/>
    <x v="0"/>
    <n v="0.3"/>
    <n v="1.2500000000000001E-2"/>
    <n v="3.7499999999999999E-3"/>
  </r>
  <r>
    <x v="24"/>
    <s v="Gourmet360"/>
    <x v="0"/>
    <x v="24"/>
    <x v="2"/>
    <x v="0"/>
    <m/>
    <m/>
    <m/>
    <s v="DRS1-4417"/>
    <s v="Vegetable Stock Powder(Packet)"/>
    <s v="Gram "/>
    <s v="Gram "/>
    <n v="20"/>
    <m/>
    <m/>
    <n v="10"/>
    <x v="0"/>
    <n v="2"/>
    <n v="3.6754545454545456E-2"/>
    <n v="7.3509090909090913E-2"/>
  </r>
  <r>
    <x v="24"/>
    <s v="Gourmet360"/>
    <x v="0"/>
    <x v="24"/>
    <x v="2"/>
    <x v="0"/>
    <m/>
    <m/>
    <m/>
    <s v="DRS5-3619"/>
    <s v="Coconut Powder (7 Kg)  "/>
    <s v="Gram "/>
    <s v="Gram "/>
    <n v="150"/>
    <m/>
    <m/>
    <n v="10"/>
    <x v="0"/>
    <n v="15"/>
    <n v="1.2857142857142857E-2"/>
    <n v="0.19285714285714287"/>
  </r>
  <r>
    <x v="24"/>
    <s v="Gourmet360"/>
    <x v="0"/>
    <x v="24"/>
    <x v="2"/>
    <x v="0"/>
    <m/>
    <m/>
    <m/>
    <s v="PRD1-195"/>
    <s v="Fresh Coriander "/>
    <s v="Gram "/>
    <s v="Gram "/>
    <n v="25"/>
    <m/>
    <m/>
    <n v="10"/>
    <x v="0"/>
    <n v="2.5"/>
    <n v="9.3676814988290415E-3"/>
    <n v="2.3419203747072605E-2"/>
  </r>
  <r>
    <x v="24"/>
    <s v="Gourmet360"/>
    <x v="0"/>
    <x v="24"/>
    <x v="2"/>
    <x v="0"/>
    <m/>
    <m/>
    <m/>
    <s v="TAP-00001"/>
    <s v="Tap Water-Cooking"/>
    <s v="Ml"/>
    <s v="Ml"/>
    <n v="1000"/>
    <m/>
    <m/>
    <n v="10"/>
    <x v="0"/>
    <n v="100"/>
    <n v="8.0000000000000007E-5"/>
    <n v="8.0000000000000002E-3"/>
  </r>
  <r>
    <x v="24"/>
    <s v="Gourmet360"/>
    <x v="0"/>
    <x v="24"/>
    <x v="2"/>
    <x v="0"/>
    <m/>
    <m/>
    <m/>
    <s v="DRS4-498"/>
    <s v="Rice Basmati"/>
    <s v="Gram "/>
    <s v="Gram "/>
    <n v="1000"/>
    <m/>
    <m/>
    <n v="10"/>
    <x v="0"/>
    <n v="100"/>
    <n v="5.7499999999999999E-3"/>
    <n v="0.57499999999999996"/>
  </r>
  <r>
    <x v="24"/>
    <s v="Gourmet360"/>
    <x v="0"/>
    <x v="24"/>
    <x v="2"/>
    <x v="0"/>
    <m/>
    <m/>
    <m/>
    <s v="TAP-00001"/>
    <s v="Tap Water-Cooking"/>
    <s v="Ml"/>
    <s v="Ml"/>
    <n v="1600"/>
    <m/>
    <m/>
    <n v="10"/>
    <x v="0"/>
    <n v="160"/>
    <n v="8.0000000000000007E-5"/>
    <n v="1.2800000000000001E-2"/>
  </r>
  <r>
    <x v="24"/>
    <s v="Gourmet360"/>
    <x v="0"/>
    <x v="24"/>
    <x v="2"/>
    <x v="0"/>
    <m/>
    <m/>
    <m/>
    <s v="DRS1-3880"/>
    <s v="Salt "/>
    <s v="Gram "/>
    <s v="Gram "/>
    <n v="8"/>
    <m/>
    <m/>
    <n v="10"/>
    <x v="0"/>
    <n v="0.8"/>
    <n v="5.0000000000000001E-4"/>
    <n v="4.0000000000000002E-4"/>
  </r>
  <r>
    <x v="24"/>
    <s v="Gourmet360"/>
    <x v="0"/>
    <x v="24"/>
    <x v="2"/>
    <x v="0"/>
    <m/>
    <m/>
    <m/>
    <s v="DRS6-3593"/>
    <s v="Spices Bay Leaves"/>
    <s v="Gram "/>
    <s v="Gram "/>
    <n v="1"/>
    <m/>
    <m/>
    <n v="10"/>
    <x v="0"/>
    <n v="0.1"/>
    <n v="8.0000000000000002E-3"/>
    <n v="8.0000000000000004E-4"/>
  </r>
  <r>
    <x v="24"/>
    <s v="Gourmet360"/>
    <x v="0"/>
    <x v="24"/>
    <x v="2"/>
    <x v="0"/>
    <m/>
    <m/>
    <m/>
    <s v="DRS6-261"/>
    <s v="Spices Cinnamon Sticks"/>
    <s v="Gram "/>
    <s v="Gram "/>
    <n v="1"/>
    <m/>
    <m/>
    <n v="10"/>
    <x v="0"/>
    <n v="0.1"/>
    <n v="1.4E-2"/>
    <n v="1.4000000000000002E-3"/>
  </r>
  <r>
    <x v="24"/>
    <s v="Gourmet360"/>
    <x v="0"/>
    <x v="24"/>
    <x v="2"/>
    <x v="0"/>
    <m/>
    <m/>
    <m/>
    <s v="DRS3-1813"/>
    <s v="Corn Oil (18 Liter)"/>
    <s v="Ml"/>
    <s v="Ml"/>
    <n v="30"/>
    <m/>
    <m/>
    <n v="10"/>
    <x v="0"/>
    <n v="3"/>
    <n v="8.0555555555555554E-3"/>
    <n v="2.4166666666666666E-2"/>
  </r>
  <r>
    <x v="25"/>
    <s v="Gourmet360"/>
    <x v="0"/>
    <x v="25"/>
    <x v="2"/>
    <x v="0"/>
    <m/>
    <m/>
    <m/>
    <s v="MET2-585"/>
    <s v="Frz Beef Topside"/>
    <s v="Gram "/>
    <s v="Gram "/>
    <n v="1000"/>
    <m/>
    <m/>
    <n v="10"/>
    <x v="0"/>
    <n v="100"/>
    <n v="4.2630057803468215E-2"/>
    <n v="4.2630057803468215"/>
  </r>
  <r>
    <x v="25"/>
    <s v="Gourmet360"/>
    <x v="0"/>
    <x v="25"/>
    <x v="2"/>
    <x v="0"/>
    <m/>
    <m/>
    <m/>
    <s v="DRS3-1813"/>
    <s v="Corn Oil (18 Liter)"/>
    <s v="Ml"/>
    <s v="Ml"/>
    <n v="40"/>
    <m/>
    <m/>
    <n v="10"/>
    <x v="0"/>
    <n v="4"/>
    <n v="8.0555555555555554E-3"/>
    <n v="3.2222222222222222E-2"/>
  </r>
  <r>
    <x v="25"/>
    <s v="Gourmet360"/>
    <x v="0"/>
    <x v="25"/>
    <x v="2"/>
    <x v="0"/>
    <m/>
    <m/>
    <m/>
    <s v="PRD1-4265"/>
    <s v="Fresh onion Yellow(Imported)"/>
    <s v="Gram "/>
    <s v="Gram "/>
    <n v="150"/>
    <m/>
    <m/>
    <n v="10"/>
    <x v="0"/>
    <n v="15"/>
    <n v="3.529411764705882E-3"/>
    <n v="5.2941176470588228E-2"/>
  </r>
  <r>
    <x v="25"/>
    <s v="Gourmet360"/>
    <x v="0"/>
    <x v="25"/>
    <x v="2"/>
    <x v="0"/>
    <m/>
    <m/>
    <m/>
    <s v="PRD1-4327"/>
    <s v="Fresh Garlic Peeled"/>
    <s v="Gram "/>
    <s v="Gram "/>
    <n v="20"/>
    <m/>
    <m/>
    <n v="10"/>
    <x v="0"/>
    <n v="2"/>
    <n v="1.2999999999999999E-2"/>
    <n v="2.5999999999999999E-2"/>
  </r>
  <r>
    <x v="25"/>
    <s v="Gourmet360"/>
    <x v="0"/>
    <x v="25"/>
    <x v="2"/>
    <x v="0"/>
    <m/>
    <m/>
    <m/>
    <s v="DRS6-549"/>
    <s v="Spices Ginger Powder(1 Kg)"/>
    <s v="Gram "/>
    <s v="Gram "/>
    <n v="20"/>
    <m/>
    <m/>
    <n v="10"/>
    <x v="0"/>
    <n v="2"/>
    <n v="3.5999999999999997E-2"/>
    <n v="7.1999999999999995E-2"/>
  </r>
  <r>
    <x v="25"/>
    <s v="Gourmet360"/>
    <x v="0"/>
    <x v="25"/>
    <x v="2"/>
    <x v="0"/>
    <m/>
    <m/>
    <m/>
    <s v="PRD1-185"/>
    <s v="Fresh Cabbage White"/>
    <s v="Gram "/>
    <s v="Gram "/>
    <n v="500"/>
    <m/>
    <m/>
    <n v="10"/>
    <x v="0"/>
    <n v="50"/>
    <n v="4.4576523031203555E-3"/>
    <n v="0.22288261515601779"/>
  </r>
  <r>
    <x v="25"/>
    <s v="Gourmet360"/>
    <x v="0"/>
    <x v="25"/>
    <x v="2"/>
    <x v="0"/>
    <m/>
    <m/>
    <m/>
    <s v="PRD1-239"/>
    <s v="Fresh Sweet Pepper Green"/>
    <s v="Gram "/>
    <s v="Gram "/>
    <n v="100"/>
    <m/>
    <m/>
    <n v="10"/>
    <x v="0"/>
    <n v="10"/>
    <n v="6.6864784546805346E-3"/>
    <n v="6.6864784546805348E-2"/>
  </r>
  <r>
    <x v="25"/>
    <s v="Gourmet360"/>
    <x v="0"/>
    <x v="25"/>
    <x v="2"/>
    <x v="0"/>
    <m/>
    <m/>
    <m/>
    <s v="PRD1-240"/>
    <s v="Fresh Sweet Pepper Red "/>
    <s v="Gram "/>
    <s v="Gram "/>
    <n v="100"/>
    <m/>
    <m/>
    <n v="10"/>
    <x v="0"/>
    <n v="10"/>
    <n v="1.3293943870014769E-2"/>
    <n v="0.13293943870014768"/>
  </r>
  <r>
    <x v="25"/>
    <s v="Gourmet360"/>
    <x v="0"/>
    <x v="25"/>
    <x v="2"/>
    <x v="0"/>
    <m/>
    <m/>
    <m/>
    <s v="PRD1-241"/>
    <s v="Fresh Sweet Pepper Yellow"/>
    <s v="Gram "/>
    <s v="Gram "/>
    <n v="100"/>
    <m/>
    <m/>
    <n v="10"/>
    <x v="0"/>
    <n v="10"/>
    <n v="1.3196480938416421E-2"/>
    <n v="0.13196480938416422"/>
  </r>
  <r>
    <x v="25"/>
    <s v="Gourmet360"/>
    <x v="0"/>
    <x v="25"/>
    <x v="2"/>
    <x v="0"/>
    <m/>
    <m/>
    <m/>
    <s v="DRS6-537"/>
    <s v="Spices Pepper Black Powder(1 Kg)"/>
    <s v="Gram "/>
    <s v="Gram "/>
    <n v="3"/>
    <m/>
    <m/>
    <n v="10"/>
    <x v="0"/>
    <n v="0.3"/>
    <n v="3.5000000000000003E-2"/>
    <n v="1.0500000000000001E-2"/>
  </r>
  <r>
    <x v="25"/>
    <s v="Gourmet360"/>
    <x v="0"/>
    <x v="25"/>
    <x v="2"/>
    <x v="0"/>
    <m/>
    <m/>
    <m/>
    <s v="DRS1-3912"/>
    <s v="Soya Sauce,Sempio (930 Mliter)"/>
    <s v="Ml"/>
    <s v="Ml"/>
    <n v="50"/>
    <m/>
    <m/>
    <n v="10"/>
    <x v="0"/>
    <n v="5"/>
    <n v="1.4731707317073172E-2"/>
    <n v="7.3658536585365864E-2"/>
  </r>
  <r>
    <x v="25"/>
    <s v="Gourmet360"/>
    <x v="0"/>
    <x v="25"/>
    <x v="2"/>
    <x v="0"/>
    <m/>
    <m/>
    <m/>
    <s v="DRS1-110"/>
    <s v="Sauce Oyster"/>
    <s v="Ml"/>
    <s v="Ml"/>
    <n v="400"/>
    <m/>
    <m/>
    <n v="10"/>
    <x v="0"/>
    <n v="40"/>
    <n v="1.805E-2"/>
    <n v="0.72199999999999998"/>
  </r>
  <r>
    <x v="25"/>
    <s v="Gourmet360"/>
    <x v="0"/>
    <x v="25"/>
    <x v="2"/>
    <x v="0"/>
    <m/>
    <m/>
    <m/>
    <s v="TAP-00001"/>
    <s v="Tap Water-Cooking"/>
    <s v="Ml"/>
    <s v="Ml"/>
    <n v="500"/>
    <m/>
    <m/>
    <n v="10"/>
    <x v="0"/>
    <n v="50"/>
    <n v="8.0000000000000007E-5"/>
    <n v="4.0000000000000001E-3"/>
  </r>
  <r>
    <x v="25"/>
    <s v="Gourmet360"/>
    <x v="0"/>
    <x v="25"/>
    <x v="2"/>
    <x v="0"/>
    <m/>
    <m/>
    <m/>
    <s v="DRS5-21"/>
    <s v="Flour Corn"/>
    <s v="Gram "/>
    <s v="Gram "/>
    <n v="40"/>
    <m/>
    <m/>
    <n v="10"/>
    <x v="0"/>
    <n v="4"/>
    <n v="2.0799999999999998E-3"/>
    <n v="8.3199999999999993E-3"/>
  </r>
  <r>
    <x v="25"/>
    <s v="Gourmet360"/>
    <x v="0"/>
    <x v="25"/>
    <x v="2"/>
    <x v="0"/>
    <m/>
    <m/>
    <m/>
    <s v="DRS4-1457"/>
    <s v="Rice Egypt"/>
    <s v="Gram "/>
    <s v="Gram "/>
    <n v="800"/>
    <m/>
    <m/>
    <n v="10"/>
    <x v="0"/>
    <n v="80"/>
    <n v="6.4999999999999997E-3"/>
    <n v="0.52"/>
  </r>
  <r>
    <x v="25"/>
    <s v="Gourmet360"/>
    <x v="0"/>
    <x v="25"/>
    <x v="2"/>
    <x v="0"/>
    <m/>
    <m/>
    <m/>
    <s v="TAP-00001"/>
    <s v="Tap Water-Cooking"/>
    <s v="Ml"/>
    <s v="Ml"/>
    <n v="1600"/>
    <m/>
    <m/>
    <n v="10"/>
    <x v="0"/>
    <n v="160"/>
    <n v="8.0000000000000007E-5"/>
    <n v="1.2800000000000001E-2"/>
  </r>
  <r>
    <x v="26"/>
    <s v="Gourmet360"/>
    <x v="0"/>
    <x v="26"/>
    <x v="3"/>
    <x v="0"/>
    <m/>
    <m/>
    <m/>
    <s v="MET2-585"/>
    <s v="Frz Beef Topside"/>
    <s v="Gram "/>
    <s v="Gram "/>
    <n v="800"/>
    <m/>
    <m/>
    <n v="10"/>
    <x v="0"/>
    <n v="80"/>
    <n v="4.2630057803468215E-2"/>
    <n v="3.4104046242774571"/>
  </r>
  <r>
    <x v="26"/>
    <s v="Gourmet360"/>
    <x v="0"/>
    <x v="26"/>
    <x v="3"/>
    <x v="0"/>
    <m/>
    <m/>
    <m/>
    <s v="PRD1-4265"/>
    <s v="Fresh onion Yellow(Imported)"/>
    <s v="Gram "/>
    <s v="Gram "/>
    <n v="200"/>
    <m/>
    <m/>
    <n v="10"/>
    <x v="0"/>
    <n v="20"/>
    <n v="3.529411764705882E-3"/>
    <n v="7.0588235294117646E-2"/>
  </r>
  <r>
    <x v="26"/>
    <s v="Gourmet360"/>
    <x v="0"/>
    <x v="26"/>
    <x v="3"/>
    <x v="0"/>
    <m/>
    <m/>
    <m/>
    <s v="DRS3-1615"/>
    <s v="Olive Oil (CAN)"/>
    <s v="Ml"/>
    <s v="Ml"/>
    <n v="25"/>
    <m/>
    <m/>
    <n v="10"/>
    <x v="0"/>
    <n v="2.5"/>
    <n v="1.2E-2"/>
    <n v="0.03"/>
  </r>
  <r>
    <x v="26"/>
    <s v="Gourmet360"/>
    <x v="0"/>
    <x v="26"/>
    <x v="3"/>
    <x v="0"/>
    <m/>
    <m/>
    <m/>
    <s v="DRS1-978"/>
    <s v="Sugar Fine(50 KG)"/>
    <s v="Gram "/>
    <s v="Gram "/>
    <n v="5"/>
    <m/>
    <m/>
    <n v="10"/>
    <x v="0"/>
    <n v="0.5"/>
    <n v="2.3999999999999998E-3"/>
    <n v="1.1999999999999999E-3"/>
  </r>
  <r>
    <x v="26"/>
    <s v="Gourmet360"/>
    <x v="0"/>
    <x v="26"/>
    <x v="3"/>
    <x v="0"/>
    <m/>
    <m/>
    <m/>
    <s v="DRS1-607"/>
    <s v="Can Tomato Peeled"/>
    <s v="Gram "/>
    <s v="Gram "/>
    <n v="750"/>
    <m/>
    <m/>
    <n v="10"/>
    <x v="0"/>
    <n v="75"/>
    <n v="5.8823529411764705E-3"/>
    <n v="0.44117647058823528"/>
  </r>
  <r>
    <x v="26"/>
    <s v="Gourmet360"/>
    <x v="0"/>
    <x v="26"/>
    <x v="3"/>
    <x v="0"/>
    <m/>
    <m/>
    <m/>
    <s v="TAP-00001"/>
    <s v="Tap Water-Cooking"/>
    <s v="Ml"/>
    <s v="Ml"/>
    <n v="750"/>
    <m/>
    <m/>
    <n v="10"/>
    <x v="0"/>
    <n v="75"/>
    <n v="8.0000000000000007E-5"/>
    <n v="6.0000000000000001E-3"/>
  </r>
  <r>
    <x v="26"/>
    <s v="Gourmet360"/>
    <x v="0"/>
    <x v="26"/>
    <x v="3"/>
    <x v="0"/>
    <m/>
    <m/>
    <m/>
    <s v="DRS1-3813"/>
    <s v="Beef Stock Powder(Packet)"/>
    <s v="Gram "/>
    <s v="Gram "/>
    <n v="25"/>
    <m/>
    <m/>
    <n v="10"/>
    <x v="0"/>
    <n v="2.5"/>
    <n v="4.4441666666666664E-2"/>
    <n v="0.11110416666666666"/>
  </r>
  <r>
    <x v="26"/>
    <s v="Gourmet360"/>
    <x v="0"/>
    <x v="26"/>
    <x v="3"/>
    <x v="0"/>
    <m/>
    <m/>
    <m/>
    <s v="DRS6-537"/>
    <s v="Spices Pepper Black Powder(1 Kg)"/>
    <s v="Gram "/>
    <s v="Gram "/>
    <n v="2"/>
    <m/>
    <m/>
    <n v="10"/>
    <x v="0"/>
    <n v="0.2"/>
    <n v="3.5000000000000003E-2"/>
    <n v="7.000000000000001E-3"/>
  </r>
  <r>
    <x v="26"/>
    <s v="Gourmet360"/>
    <x v="0"/>
    <x v="26"/>
    <x v="3"/>
    <x v="0"/>
    <m/>
    <m/>
    <m/>
    <s v="DRS5-21"/>
    <s v="Flour Corn"/>
    <s v="Gram "/>
    <s v="Gram "/>
    <n v="25"/>
    <m/>
    <m/>
    <n v="10"/>
    <x v="0"/>
    <n v="2.5"/>
    <n v="2.0799999999999998E-3"/>
    <n v="5.1999999999999998E-3"/>
  </r>
  <r>
    <x v="26"/>
    <s v="Gourmet360"/>
    <x v="0"/>
    <x v="26"/>
    <x v="3"/>
    <x v="0"/>
    <m/>
    <m/>
    <m/>
    <s v="DRS1-1747"/>
    <s v="Can Tomato Paste (4500 Gram)"/>
    <s v="Gram "/>
    <s v="Gram "/>
    <n v="50"/>
    <m/>
    <m/>
    <n v="10"/>
    <x v="0"/>
    <n v="5"/>
    <n v="5.185185185185185E-3"/>
    <n v="2.5925925925925925E-2"/>
  </r>
  <r>
    <x v="26"/>
    <s v="Gourmet360"/>
    <x v="0"/>
    <x v="26"/>
    <x v="3"/>
    <x v="0"/>
    <m/>
    <m/>
    <m/>
    <s v="DRS4-498"/>
    <s v="Rice Basmati"/>
    <s v="Gram "/>
    <s v="Gram "/>
    <n v="1000"/>
    <m/>
    <m/>
    <n v="10"/>
    <x v="0"/>
    <n v="100"/>
    <n v="5.7499999999999999E-3"/>
    <n v="0.57499999999999996"/>
  </r>
  <r>
    <x v="26"/>
    <s v="Gourmet360"/>
    <x v="0"/>
    <x v="26"/>
    <x v="3"/>
    <x v="0"/>
    <m/>
    <m/>
    <m/>
    <s v="TAP-00001"/>
    <s v="Tap Water-Cooking"/>
    <s v="Ml"/>
    <s v="Ml"/>
    <n v="1600"/>
    <m/>
    <m/>
    <n v="10"/>
    <x v="0"/>
    <n v="160"/>
    <n v="8.0000000000000007E-5"/>
    <n v="1.2800000000000001E-2"/>
  </r>
  <r>
    <x v="26"/>
    <s v="Gourmet360"/>
    <x v="0"/>
    <x v="26"/>
    <x v="3"/>
    <x v="0"/>
    <m/>
    <m/>
    <m/>
    <s v="DRS3-1813"/>
    <s v="Corn Oil (18 Liter)"/>
    <s v="Ml"/>
    <s v="Ml"/>
    <n v="30"/>
    <m/>
    <m/>
    <n v="10"/>
    <x v="0"/>
    <n v="3"/>
    <n v="8.0555555555555554E-3"/>
    <n v="2.4166666666666666E-2"/>
  </r>
  <r>
    <x v="26"/>
    <s v="Gourmet360"/>
    <x v="0"/>
    <x v="26"/>
    <x v="3"/>
    <x v="0"/>
    <m/>
    <m/>
    <m/>
    <s v="DRS6-3593"/>
    <s v="Spices Bay Leaves"/>
    <s v="Gram "/>
    <s v="Gram "/>
    <n v="0.5"/>
    <m/>
    <m/>
    <n v="10"/>
    <x v="0"/>
    <n v="0.05"/>
    <n v="8.0000000000000002E-3"/>
    <n v="4.0000000000000002E-4"/>
  </r>
  <r>
    <x v="26"/>
    <s v="Gourmet360"/>
    <x v="0"/>
    <x v="26"/>
    <x v="3"/>
    <x v="0"/>
    <m/>
    <m/>
    <m/>
    <s v="DRS6-539"/>
    <s v="Spices Cardamon Seeds"/>
    <s v="Gram "/>
    <s v="Gram "/>
    <n v="1"/>
    <m/>
    <m/>
    <n v="10"/>
    <x v="0"/>
    <n v="0.1"/>
    <n v="0.16"/>
    <n v="1.6E-2"/>
  </r>
  <r>
    <x v="26"/>
    <s v="Gourmet360"/>
    <x v="0"/>
    <x v="26"/>
    <x v="3"/>
    <x v="0"/>
    <m/>
    <m/>
    <m/>
    <s v="DRS1-3880"/>
    <s v="Salt "/>
    <s v="Gram "/>
    <s v="Gram "/>
    <n v="15"/>
    <m/>
    <m/>
    <n v="10"/>
    <x v="0"/>
    <n v="1.5"/>
    <n v="5.0000000000000001E-4"/>
    <n v="7.5000000000000002E-4"/>
  </r>
  <r>
    <x v="26"/>
    <s v="Gourmet360"/>
    <x v="0"/>
    <x v="26"/>
    <x v="3"/>
    <x v="0"/>
    <m/>
    <m/>
    <m/>
    <s v="DRS6-261"/>
    <s v="Spices Cinnamon Sticks"/>
    <s v="Gram "/>
    <s v="Gram "/>
    <n v="2"/>
    <m/>
    <m/>
    <n v="10"/>
    <x v="0"/>
    <n v="0.2"/>
    <n v="1.4E-2"/>
    <n v="2.8000000000000004E-3"/>
  </r>
  <r>
    <x v="27"/>
    <s v="Gourmet360"/>
    <x v="0"/>
    <x v="27"/>
    <x v="3"/>
    <x v="0"/>
    <m/>
    <m/>
    <m/>
    <s v="MET2-3558"/>
    <s v="Frz Leg Boneless (Veal)"/>
    <s v="Gram "/>
    <s v="Gram "/>
    <n v="1000"/>
    <m/>
    <m/>
    <n v="10"/>
    <x v="0"/>
    <n v="100"/>
    <n v="8.7272727272727266E-2"/>
    <n v="8.7272727272727266"/>
  </r>
  <r>
    <x v="27"/>
    <s v="Gourmet360"/>
    <x v="0"/>
    <x v="27"/>
    <x v="3"/>
    <x v="0"/>
    <m/>
    <m/>
    <m/>
    <s v="DRS3-1813"/>
    <s v="Corn Oil (18 Liter)"/>
    <s v="Ml"/>
    <s v="Ml"/>
    <n v="20"/>
    <m/>
    <m/>
    <n v="10"/>
    <x v="0"/>
    <n v="2"/>
    <n v="8.0555555555555554E-3"/>
    <n v="1.6111111111111111E-2"/>
  </r>
  <r>
    <x v="27"/>
    <s v="Gourmet360"/>
    <x v="0"/>
    <x v="27"/>
    <x v="3"/>
    <x v="0"/>
    <m/>
    <m/>
    <m/>
    <s v="PRD1-4265"/>
    <s v="Fresh onion Yellow(Imported)"/>
    <s v="Gram "/>
    <s v="Gram "/>
    <n v="150"/>
    <m/>
    <m/>
    <n v="10"/>
    <x v="0"/>
    <n v="15"/>
    <n v="3.529411764705882E-3"/>
    <n v="5.2941176470588228E-2"/>
  </r>
  <r>
    <x v="27"/>
    <s v="Gourmet360"/>
    <x v="0"/>
    <x v="27"/>
    <x v="3"/>
    <x v="0"/>
    <m/>
    <m/>
    <m/>
    <s v="PRD1-4327"/>
    <s v="Fresh Garlic Peeled"/>
    <s v="Gram "/>
    <s v="Gram "/>
    <n v="15"/>
    <m/>
    <m/>
    <n v="10"/>
    <x v="0"/>
    <n v="1.5"/>
    <n v="1.2999999999999999E-2"/>
    <n v="1.95E-2"/>
  </r>
  <r>
    <x v="27"/>
    <s v="Gourmet360"/>
    <x v="0"/>
    <x v="27"/>
    <x v="3"/>
    <x v="0"/>
    <m/>
    <m/>
    <m/>
    <s v="PRD1-230"/>
    <s v="Fresh Potato"/>
    <s v="Gram "/>
    <s v="Gram "/>
    <n v="750"/>
    <m/>
    <m/>
    <n v="10"/>
    <x v="0"/>
    <n v="75"/>
    <n v="3.3738191632928472E-3"/>
    <n v="0.25303643724696356"/>
  </r>
  <r>
    <x v="27"/>
    <s v="Gourmet360"/>
    <x v="0"/>
    <x v="27"/>
    <x v="3"/>
    <x v="0"/>
    <m/>
    <m/>
    <m/>
    <s v="PRD1-3794"/>
    <s v="Fresh Baby Marrow"/>
    <s v="Gram "/>
    <s v="Gram "/>
    <n v="350"/>
    <m/>
    <m/>
    <n v="10"/>
    <x v="0"/>
    <n v="35"/>
    <n v="4.9382716049382715E-3"/>
    <n v="0.1728395061728395"/>
  </r>
  <r>
    <x v="27"/>
    <s v="Gourmet360"/>
    <x v="0"/>
    <x v="27"/>
    <x v="3"/>
    <x v="0"/>
    <m/>
    <m/>
    <m/>
    <s v="PRD1-186"/>
    <s v="Fresh Carrot Imported"/>
    <s v="Gram "/>
    <s v="Gram "/>
    <n v="350"/>
    <m/>
    <m/>
    <n v="10"/>
    <x v="0"/>
    <n v="35"/>
    <n v="5.8139534883720938E-3"/>
    <n v="0.20348837209302328"/>
  </r>
  <r>
    <x v="27"/>
    <s v="Gourmet360"/>
    <x v="0"/>
    <x v="27"/>
    <x v="3"/>
    <x v="0"/>
    <m/>
    <m/>
    <m/>
    <s v="PRD1-572"/>
    <s v="Fresh Tomato "/>
    <s v="Gram "/>
    <s v="Gram "/>
    <n v="500"/>
    <m/>
    <m/>
    <n v="10"/>
    <x v="0"/>
    <n v="50"/>
    <n v="4.5351473922902496E-3"/>
    <n v="0.22675736961451248"/>
  </r>
  <r>
    <x v="27"/>
    <s v="Gourmet360"/>
    <x v="0"/>
    <x v="27"/>
    <x v="3"/>
    <x v="0"/>
    <m/>
    <m/>
    <m/>
    <s v="DRS1-1747"/>
    <s v="Can Tomato Paste (4500 Gram)"/>
    <s v="Gram "/>
    <s v="Gram "/>
    <n v="50"/>
    <m/>
    <m/>
    <n v="10"/>
    <x v="0"/>
    <n v="5"/>
    <n v="5.185185185185185E-3"/>
    <n v="2.5925925925925925E-2"/>
  </r>
  <r>
    <x v="27"/>
    <s v="Gourmet360"/>
    <x v="0"/>
    <x v="27"/>
    <x v="3"/>
    <x v="0"/>
    <m/>
    <m/>
    <m/>
    <s v="TAP-00001"/>
    <s v="Tap Water-Cooking"/>
    <s v="Ml"/>
    <s v="Ml"/>
    <n v="1000"/>
    <m/>
    <m/>
    <n v="10"/>
    <x v="0"/>
    <n v="100"/>
    <n v="8.0000000000000007E-5"/>
    <n v="8.0000000000000002E-3"/>
  </r>
  <r>
    <x v="27"/>
    <s v="Gourmet360"/>
    <x v="0"/>
    <x v="27"/>
    <x v="3"/>
    <x v="0"/>
    <m/>
    <m/>
    <m/>
    <s v="DRS6-537"/>
    <s v="Spices Pepper Black Powder(1 Kg)"/>
    <s v="Gram "/>
    <s v="Gram "/>
    <n v="1"/>
    <m/>
    <m/>
    <n v="10"/>
    <x v="0"/>
    <n v="0.1"/>
    <n v="3.5000000000000003E-2"/>
    <n v="3.5000000000000005E-3"/>
  </r>
  <r>
    <x v="27"/>
    <s v="Gourmet360"/>
    <x v="0"/>
    <x v="27"/>
    <x v="3"/>
    <x v="0"/>
    <m/>
    <m/>
    <m/>
    <s v="DRS1-3880"/>
    <s v="Salt "/>
    <s v="Gram "/>
    <s v="Gram "/>
    <n v="15"/>
    <m/>
    <m/>
    <n v="10"/>
    <x v="0"/>
    <n v="1.5"/>
    <n v="5.0000000000000001E-4"/>
    <n v="7.5000000000000002E-4"/>
  </r>
  <r>
    <x v="27"/>
    <s v="Gourmet360"/>
    <x v="0"/>
    <x v="27"/>
    <x v="3"/>
    <x v="0"/>
    <m/>
    <m/>
    <m/>
    <s v="DRS1-3813"/>
    <s v="Beef Stock Powder(Packet)"/>
    <s v="Gram "/>
    <s v="Gram "/>
    <n v="10"/>
    <m/>
    <m/>
    <n v="10"/>
    <x v="0"/>
    <n v="1"/>
    <n v="4.4441666666666664E-2"/>
    <n v="4.4441666666666664E-2"/>
  </r>
  <r>
    <x v="27"/>
    <s v="Gourmet360"/>
    <x v="0"/>
    <x v="27"/>
    <x v="3"/>
    <x v="0"/>
    <m/>
    <m/>
    <m/>
    <s v="DRS4-498"/>
    <s v="Rice Basmati"/>
    <s v="Gram "/>
    <s v="Gram "/>
    <n v="1000"/>
    <m/>
    <m/>
    <n v="10"/>
    <x v="0"/>
    <n v="100"/>
    <n v="5.7499999999999999E-3"/>
    <n v="0.57499999999999996"/>
  </r>
  <r>
    <x v="27"/>
    <s v="Gourmet360"/>
    <x v="0"/>
    <x v="27"/>
    <x v="3"/>
    <x v="0"/>
    <m/>
    <m/>
    <m/>
    <s v="PRD1-4265"/>
    <s v="Fresh onion Yellow(Imported)"/>
    <s v="Gram "/>
    <s v="Gram "/>
    <n v="80"/>
    <m/>
    <m/>
    <n v="10"/>
    <x v="0"/>
    <n v="8"/>
    <n v="3.529411764705882E-3"/>
    <n v="2.8235294117647056E-2"/>
  </r>
  <r>
    <x v="27"/>
    <s v="Gourmet360"/>
    <x v="0"/>
    <x v="27"/>
    <x v="3"/>
    <x v="0"/>
    <m/>
    <m/>
    <m/>
    <s v="DRS6-1674"/>
    <s v="Spice Turmeric Powder (1 Kg)"/>
    <s v="Gram "/>
    <s v="Gram "/>
    <n v="1"/>
    <m/>
    <m/>
    <n v="10"/>
    <x v="0"/>
    <n v="0.1"/>
    <n v="1.2500000000000001E-2"/>
    <n v="1.2500000000000002E-3"/>
  </r>
  <r>
    <x v="27"/>
    <s v="Gourmet360"/>
    <x v="0"/>
    <x v="27"/>
    <x v="3"/>
    <x v="0"/>
    <m/>
    <m/>
    <m/>
    <s v="TAP-00001"/>
    <s v="Tap Water-Cooking"/>
    <s v="Ml"/>
    <s v="Ml"/>
    <n v="1600"/>
    <m/>
    <m/>
    <n v="10"/>
    <x v="0"/>
    <n v="160"/>
    <n v="8.0000000000000007E-5"/>
    <n v="1.2800000000000001E-2"/>
  </r>
  <r>
    <x v="27"/>
    <s v="Gourmet360"/>
    <x v="0"/>
    <x v="27"/>
    <x v="3"/>
    <x v="0"/>
    <m/>
    <m/>
    <m/>
    <s v="DRS6-3593"/>
    <s v="Spices Bay Leaves"/>
    <s v="Gram "/>
    <s v="Gram "/>
    <n v="1"/>
    <m/>
    <m/>
    <n v="10"/>
    <x v="0"/>
    <n v="0.1"/>
    <n v="8.0000000000000002E-3"/>
    <n v="8.0000000000000004E-4"/>
  </r>
  <r>
    <x v="27"/>
    <s v="Gourmet360"/>
    <x v="0"/>
    <x v="27"/>
    <x v="3"/>
    <x v="0"/>
    <m/>
    <m/>
    <m/>
    <s v="DRS3-1813"/>
    <s v="Corn Oil (18 Liter)"/>
    <s v="Ml"/>
    <s v="Ml"/>
    <n v="30"/>
    <m/>
    <m/>
    <n v="10"/>
    <x v="0"/>
    <n v="3"/>
    <n v="8.0555555555555554E-3"/>
    <n v="2.4166666666666666E-2"/>
  </r>
  <r>
    <x v="27"/>
    <s v="Gourmet360"/>
    <x v="0"/>
    <x v="27"/>
    <x v="3"/>
    <x v="0"/>
    <m/>
    <m/>
    <m/>
    <s v="DRS1-304"/>
    <s v="Food Color Yellow(Saffron)"/>
    <s v="Gram "/>
    <s v="Gram "/>
    <n v="1"/>
    <m/>
    <m/>
    <n v="10"/>
    <x v="0"/>
    <n v="0.1"/>
    <n v="2.0799999999999999E-2"/>
    <n v="2.0799999999999998E-3"/>
  </r>
  <r>
    <x v="27"/>
    <s v="Gourmet360"/>
    <x v="0"/>
    <x v="27"/>
    <x v="3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27"/>
    <s v="Gourmet360"/>
    <x v="0"/>
    <x v="27"/>
    <x v="3"/>
    <x v="0"/>
    <m/>
    <m/>
    <m/>
    <s v="DRS6-261"/>
    <s v="Spices Cinnamon Sticks"/>
    <s v="Gram "/>
    <s v="Gram "/>
    <n v="2"/>
    <m/>
    <m/>
    <n v="10"/>
    <x v="0"/>
    <n v="0.2"/>
    <n v="1.4E-2"/>
    <n v="2.8000000000000004E-3"/>
  </r>
  <r>
    <x v="28"/>
    <s v="Gourmet360"/>
    <x v="0"/>
    <x v="28"/>
    <x v="3"/>
    <x v="0"/>
    <m/>
    <m/>
    <m/>
    <s v="PLT2-1844"/>
    <s v="Frz Chicken Whole (1200 Gram)"/>
    <s v="Gram "/>
    <s v="Gram "/>
    <n v="2500"/>
    <m/>
    <m/>
    <n v="15"/>
    <x v="0"/>
    <n v="166.66666666666666"/>
    <n v="1.43E-2"/>
    <n v="2.3833333333333333"/>
  </r>
  <r>
    <x v="28"/>
    <s v="Gourmet360"/>
    <x v="0"/>
    <x v="28"/>
    <x v="3"/>
    <x v="0"/>
    <m/>
    <m/>
    <m/>
    <s v="PRD1-4265"/>
    <s v="Fresh onion Yellow(Imported)"/>
    <s v="Gram "/>
    <s v="Gram "/>
    <n v="400"/>
    <m/>
    <m/>
    <n v="15"/>
    <x v="0"/>
    <n v="26.666666666666668"/>
    <n v="3.529411764705882E-3"/>
    <n v="9.4117647058823528E-2"/>
  </r>
  <r>
    <x v="28"/>
    <s v="Gourmet360"/>
    <x v="0"/>
    <x v="28"/>
    <x v="3"/>
    <x v="0"/>
    <m/>
    <m/>
    <m/>
    <s v="PRD1-1358"/>
    <s v="Fresh Chili Red"/>
    <s v="Gram "/>
    <s v="Gram "/>
    <n v="10"/>
    <m/>
    <m/>
    <n v="15"/>
    <x v="0"/>
    <n v="0.66666666666666663"/>
    <n v="7.0000000000000001E-3"/>
    <n v="4.6666666666666662E-3"/>
  </r>
  <r>
    <x v="28"/>
    <s v="Gourmet360"/>
    <x v="0"/>
    <x v="28"/>
    <x v="3"/>
    <x v="0"/>
    <m/>
    <m/>
    <m/>
    <s v="DRS6-537"/>
    <s v="Spices Pepper Black Powder(1 Kg)"/>
    <s v="Gram "/>
    <s v="Gram "/>
    <n v="3"/>
    <m/>
    <m/>
    <n v="15"/>
    <x v="0"/>
    <n v="0.2"/>
    <n v="3.5000000000000003E-2"/>
    <n v="7.000000000000001E-3"/>
  </r>
  <r>
    <x v="28"/>
    <s v="Gourmet360"/>
    <x v="0"/>
    <x v="28"/>
    <x v="3"/>
    <x v="0"/>
    <m/>
    <m/>
    <m/>
    <s v="DRS1-3811"/>
    <s v="Chicken Stock Powder(Packet)"/>
    <s v="Gram "/>
    <s v="Gram "/>
    <n v="15"/>
    <m/>
    <m/>
    <n v="15"/>
    <x v="0"/>
    <n v="1"/>
    <n v="2.8475E-2"/>
    <n v="2.8475E-2"/>
  </r>
  <r>
    <x v="28"/>
    <s v="Gourmet360"/>
    <x v="0"/>
    <x v="28"/>
    <x v="3"/>
    <x v="0"/>
    <m/>
    <m/>
    <m/>
    <s v="TAP-00001"/>
    <s v="Tap Water-Cooking"/>
    <s v="Ml"/>
    <s v="Ml"/>
    <n v="300"/>
    <m/>
    <m/>
    <n v="15"/>
    <x v="0"/>
    <n v="20"/>
    <n v="8.0000000000000007E-5"/>
    <n v="1.6000000000000001E-3"/>
  </r>
  <r>
    <x v="28"/>
    <s v="Gourmet360"/>
    <x v="0"/>
    <x v="28"/>
    <x v="3"/>
    <x v="0"/>
    <m/>
    <m/>
    <m/>
    <s v="PRD1-185"/>
    <s v="Fresh Cabbage White"/>
    <s v="Gram "/>
    <s v="Gram "/>
    <n v="400"/>
    <m/>
    <m/>
    <n v="15"/>
    <x v="0"/>
    <n v="26.666666666666668"/>
    <n v="4.4576523031203555E-3"/>
    <n v="0.11887072808320949"/>
  </r>
  <r>
    <x v="28"/>
    <s v="Gourmet360"/>
    <x v="0"/>
    <x v="28"/>
    <x v="3"/>
    <x v="0"/>
    <m/>
    <m/>
    <m/>
    <s v="DRS4-498"/>
    <s v="Rice Basmati"/>
    <s v="Gram "/>
    <s v="Gram "/>
    <n v="1000"/>
    <m/>
    <m/>
    <n v="15"/>
    <x v="0"/>
    <n v="66.666666666666671"/>
    <n v="5.7499999999999999E-3"/>
    <n v="0.38333333333333336"/>
  </r>
  <r>
    <x v="28"/>
    <s v="Gourmet360"/>
    <x v="0"/>
    <x v="28"/>
    <x v="3"/>
    <x v="0"/>
    <m/>
    <m/>
    <m/>
    <s v="TAP-00001"/>
    <s v="Tap Water-Cooking"/>
    <s v="Ml"/>
    <s v="Ml"/>
    <n v="1600"/>
    <m/>
    <m/>
    <n v="15"/>
    <x v="0"/>
    <n v="106.66666666666667"/>
    <n v="8.0000000000000007E-5"/>
    <n v="8.5333333333333337E-3"/>
  </r>
  <r>
    <x v="29"/>
    <s v="Gourmet360"/>
    <x v="0"/>
    <x v="29"/>
    <x v="3"/>
    <x v="0"/>
    <m/>
    <m/>
    <m/>
    <s v="PLT2-3278"/>
    <s v="Frz Chicken Breast Tender (KG)"/>
    <s v="Gram "/>
    <s v="Gram "/>
    <n v="1200"/>
    <m/>
    <m/>
    <n v="15"/>
    <x v="0"/>
    <n v="80"/>
    <n v="3.0357142857142853E-2"/>
    <n v="2.4285714285714284"/>
  </r>
  <r>
    <x v="29"/>
    <s v="Gourmet360"/>
    <x v="0"/>
    <x v="29"/>
    <x v="3"/>
    <x v="0"/>
    <m/>
    <m/>
    <m/>
    <s v="DRS3-1813"/>
    <s v="Corn Oil (18 Liter)"/>
    <s v="Ml"/>
    <s v="Ml"/>
    <n v="50"/>
    <m/>
    <m/>
    <n v="15"/>
    <x v="0"/>
    <n v="3.3333333333333335"/>
    <n v="8.0555555555555554E-3"/>
    <n v="2.6851851851851852E-2"/>
  </r>
  <r>
    <x v="29"/>
    <s v="Gourmet360"/>
    <x v="0"/>
    <x v="29"/>
    <x v="3"/>
    <x v="0"/>
    <m/>
    <m/>
    <m/>
    <s v="PRD1-204"/>
    <s v="Fresh Ginger"/>
    <s v="Gram "/>
    <s v="Gram "/>
    <n v="20"/>
    <m/>
    <m/>
    <n v="15"/>
    <x v="0"/>
    <n v="1.3333333333333333"/>
    <n v="8.4337349397590362E-3"/>
    <n v="1.1244979919678714E-2"/>
  </r>
  <r>
    <x v="29"/>
    <s v="Gourmet360"/>
    <x v="0"/>
    <x v="29"/>
    <x v="3"/>
    <x v="0"/>
    <m/>
    <m/>
    <m/>
    <s v="PRD1-4265"/>
    <s v="Fresh onion Yellow(Imported)"/>
    <s v="Gram "/>
    <s v="Gram "/>
    <n v="200"/>
    <m/>
    <m/>
    <n v="15"/>
    <x v="0"/>
    <n v="13.333333333333334"/>
    <n v="3.529411764705882E-3"/>
    <n v="4.7058823529411764E-2"/>
  </r>
  <r>
    <x v="29"/>
    <s v="Gourmet360"/>
    <x v="0"/>
    <x v="29"/>
    <x v="3"/>
    <x v="0"/>
    <m/>
    <m/>
    <m/>
    <s v="PRD1-185"/>
    <s v="Fresh Cabbage White"/>
    <s v="Gram "/>
    <s v="Gram "/>
    <n v="400"/>
    <m/>
    <m/>
    <n v="15"/>
    <x v="0"/>
    <n v="26.666666666666668"/>
    <n v="4.4576523031203555E-3"/>
    <n v="0.11887072808320949"/>
  </r>
  <r>
    <x v="29"/>
    <s v="Gourmet360"/>
    <x v="0"/>
    <x v="29"/>
    <x v="3"/>
    <x v="0"/>
    <m/>
    <m/>
    <m/>
    <s v="PRD1-186"/>
    <s v="Fresh Carrot Imported"/>
    <s v="Gram "/>
    <s v="Gram "/>
    <n v="400"/>
    <m/>
    <m/>
    <n v="15"/>
    <x v="0"/>
    <n v="26.666666666666668"/>
    <n v="5.8139534883720938E-3"/>
    <n v="0.15503875968992251"/>
  </r>
  <r>
    <x v="29"/>
    <s v="Gourmet360"/>
    <x v="0"/>
    <x v="29"/>
    <x v="3"/>
    <x v="0"/>
    <m/>
    <m/>
    <m/>
    <s v="PRD1-240"/>
    <s v="Fresh Sweet Pepper Red "/>
    <s v="Gram "/>
    <s v="Gram "/>
    <n v="100"/>
    <m/>
    <m/>
    <n v="15"/>
    <x v="0"/>
    <n v="6.666666666666667"/>
    <n v="1.3293943870014769E-2"/>
    <n v="8.8626292466765136E-2"/>
  </r>
  <r>
    <x v="29"/>
    <s v="Gourmet360"/>
    <x v="0"/>
    <x v="29"/>
    <x v="3"/>
    <x v="0"/>
    <m/>
    <m/>
    <m/>
    <s v="DRS1-110"/>
    <s v="Sauce Oyster"/>
    <s v="Ml"/>
    <s v="Ml"/>
    <n v="400"/>
    <m/>
    <m/>
    <n v="15"/>
    <x v="0"/>
    <n v="26.666666666666668"/>
    <n v="1.805E-2"/>
    <n v="0.48133333333333334"/>
  </r>
  <r>
    <x v="29"/>
    <s v="Gourmet360"/>
    <x v="0"/>
    <x v="29"/>
    <x v="3"/>
    <x v="0"/>
    <m/>
    <m/>
    <m/>
    <s v="DRS1-1142"/>
    <s v="Soya Sauce Kikkoman(Liter)"/>
    <s v="Ml"/>
    <s v="Ml"/>
    <n v="100"/>
    <m/>
    <m/>
    <n v="15"/>
    <x v="0"/>
    <n v="6.666666666666667"/>
    <n v="2.3579999999999997E-2"/>
    <n v="0.15719999999999998"/>
  </r>
  <r>
    <x v="29"/>
    <s v="Gourmet360"/>
    <x v="0"/>
    <x v="29"/>
    <x v="3"/>
    <x v="0"/>
    <m/>
    <m/>
    <m/>
    <s v="TAP-00001"/>
    <s v="Tap Water-Cooking"/>
    <s v="Ml"/>
    <s v="Ml"/>
    <n v="75"/>
    <m/>
    <m/>
    <n v="15"/>
    <x v="0"/>
    <n v="5"/>
    <n v="8.0000000000000007E-5"/>
    <n v="4.0000000000000002E-4"/>
  </r>
  <r>
    <x v="29"/>
    <s v="Gourmet360"/>
    <x v="0"/>
    <x v="29"/>
    <x v="3"/>
    <x v="0"/>
    <m/>
    <m/>
    <m/>
    <s v="DRS6-537"/>
    <s v="Spices Pepper Black Powder(1 Kg)"/>
    <s v="Gram "/>
    <s v="Gram "/>
    <n v="3"/>
    <m/>
    <m/>
    <n v="15"/>
    <x v="0"/>
    <n v="0.2"/>
    <n v="3.5000000000000003E-2"/>
    <n v="7.000000000000001E-3"/>
  </r>
  <r>
    <x v="29"/>
    <s v="Gourmet360"/>
    <x v="0"/>
    <x v="29"/>
    <x v="3"/>
    <x v="0"/>
    <m/>
    <m/>
    <m/>
    <s v="DRS2-4956"/>
    <s v="Pasta Linguine"/>
    <s v="Gram "/>
    <s v="Gram "/>
    <n v="1000"/>
    <m/>
    <m/>
    <n v="15"/>
    <x v="0"/>
    <n v="66.666666666666671"/>
    <n v="1.6E-2"/>
    <n v="1.0666666666666669"/>
  </r>
  <r>
    <x v="29"/>
    <s v="Gourmet360"/>
    <x v="0"/>
    <x v="29"/>
    <x v="3"/>
    <x v="0"/>
    <m/>
    <m/>
    <m/>
    <s v="PRD1-239"/>
    <s v="Fresh Sweet Pepper Green"/>
    <s v="Gram "/>
    <s v="Gram "/>
    <n v="100"/>
    <m/>
    <m/>
    <n v="15"/>
    <x v="0"/>
    <n v="6.666666666666667"/>
    <n v="6.6864784546805346E-3"/>
    <n v="4.4576523031203567E-2"/>
  </r>
  <r>
    <x v="29"/>
    <s v="Gourmet360"/>
    <x v="0"/>
    <x v="29"/>
    <x v="3"/>
    <x v="0"/>
    <m/>
    <m/>
    <m/>
    <s v="PRD1-241"/>
    <s v="Fresh Sweet Pepper Yellow"/>
    <s v="Gram "/>
    <s v="Gram "/>
    <n v="100"/>
    <m/>
    <m/>
    <n v="15"/>
    <x v="0"/>
    <n v="6.666666666666667"/>
    <n v="1.3196480938416421E-2"/>
    <n v="8.7976539589442806E-2"/>
  </r>
  <r>
    <x v="29"/>
    <s v="Gourmet360"/>
    <x v="0"/>
    <x v="29"/>
    <x v="3"/>
    <x v="0"/>
    <m/>
    <m/>
    <m/>
    <s v="DRS6-4482"/>
    <s v="Spice Garlic Powder(Kg)"/>
    <s v="Gram "/>
    <s v="Gram "/>
    <n v="30"/>
    <m/>
    <m/>
    <n v="15"/>
    <x v="0"/>
    <n v="2"/>
    <n v="1.04E-2"/>
    <n v="2.0799999999999999E-2"/>
  </r>
  <r>
    <x v="30"/>
    <s v="Gourmet360"/>
    <x v="0"/>
    <x v="30"/>
    <x v="3"/>
    <x v="0"/>
    <m/>
    <m/>
    <m/>
    <s v="PLT2-3278"/>
    <s v="Frz Chicken Breast Tender (KG)"/>
    <s v="Gram "/>
    <s v="Gram "/>
    <n v="1000"/>
    <m/>
    <m/>
    <n v="10"/>
    <x v="0"/>
    <n v="100"/>
    <n v="3.0357142857142853E-2"/>
    <n v="3.0357142857142851"/>
  </r>
  <r>
    <x v="30"/>
    <s v="Gourmet360"/>
    <x v="0"/>
    <x v="30"/>
    <x v="3"/>
    <x v="0"/>
    <m/>
    <m/>
    <m/>
    <s v="DRS3-1615"/>
    <s v="Olive Oil (CAN)"/>
    <s v="Ml"/>
    <s v="Ml"/>
    <n v="50"/>
    <m/>
    <m/>
    <n v="10"/>
    <x v="0"/>
    <n v="5"/>
    <n v="1.2E-2"/>
    <n v="0.06"/>
  </r>
  <r>
    <x v="30"/>
    <s v="Gourmet360"/>
    <x v="0"/>
    <x v="30"/>
    <x v="3"/>
    <x v="0"/>
    <m/>
    <m/>
    <m/>
    <s v="PRD1-4265"/>
    <s v="Fresh onion Yellow(Imported)"/>
    <s v="Gram "/>
    <s v="Gram "/>
    <n v="150"/>
    <m/>
    <m/>
    <n v="10"/>
    <x v="0"/>
    <n v="15"/>
    <n v="3.529411764705882E-3"/>
    <n v="5.2941176470588228E-2"/>
  </r>
  <r>
    <x v="30"/>
    <s v="Gourmet360"/>
    <x v="0"/>
    <x v="30"/>
    <x v="3"/>
    <x v="0"/>
    <m/>
    <m/>
    <m/>
    <s v="PRD1-4327"/>
    <s v="Fresh Garlic Peeled"/>
    <s v="Gram "/>
    <s v="Gram "/>
    <n v="20"/>
    <m/>
    <m/>
    <n v="10"/>
    <x v="0"/>
    <n v="2"/>
    <n v="1.2999999999999999E-2"/>
    <n v="2.5999999999999999E-2"/>
  </r>
  <r>
    <x v="30"/>
    <s v="Gourmet360"/>
    <x v="0"/>
    <x v="30"/>
    <x v="3"/>
    <x v="0"/>
    <m/>
    <m/>
    <m/>
    <s v="PRD2-366"/>
    <s v="Frz Okra Zero(400 Gram)"/>
    <s v="Gram "/>
    <s v="Gram "/>
    <n v="1000"/>
    <m/>
    <m/>
    <n v="10"/>
    <x v="0"/>
    <n v="100"/>
    <n v="1.3125E-2"/>
    <n v="1.3125"/>
  </r>
  <r>
    <x v="30"/>
    <s v="Gourmet360"/>
    <x v="0"/>
    <x v="30"/>
    <x v="3"/>
    <x v="0"/>
    <m/>
    <m/>
    <m/>
    <s v="DRS1-1747"/>
    <s v="Can Tomato Paste (4500 Gram)"/>
    <s v="Gram "/>
    <s v="Gram "/>
    <n v="80"/>
    <m/>
    <m/>
    <n v="10"/>
    <x v="0"/>
    <n v="8"/>
    <n v="5.185185185185185E-3"/>
    <n v="4.148148148148148E-2"/>
  </r>
  <r>
    <x v="30"/>
    <s v="Gourmet360"/>
    <x v="0"/>
    <x v="30"/>
    <x v="3"/>
    <x v="0"/>
    <m/>
    <m/>
    <m/>
    <s v="DRS1-607"/>
    <s v="Can Tomato Peeled"/>
    <s v="Gram "/>
    <s v="Gram "/>
    <n v="250"/>
    <m/>
    <m/>
    <n v="10"/>
    <x v="0"/>
    <n v="25"/>
    <n v="5.8823529411764705E-3"/>
    <n v="0.14705882352941177"/>
  </r>
  <r>
    <x v="30"/>
    <s v="Gourmet360"/>
    <x v="0"/>
    <x v="30"/>
    <x v="3"/>
    <x v="0"/>
    <m/>
    <m/>
    <m/>
    <s v="TAP-00001"/>
    <s v="Tap Water-Cooking"/>
    <s v="Ml"/>
    <s v="Ml"/>
    <n v="1000"/>
    <m/>
    <m/>
    <n v="10"/>
    <x v="0"/>
    <n v="100"/>
    <n v="8.0000000000000007E-5"/>
    <n v="8.0000000000000002E-3"/>
  </r>
  <r>
    <x v="30"/>
    <s v="Gourmet360"/>
    <x v="0"/>
    <x v="30"/>
    <x v="3"/>
    <x v="0"/>
    <m/>
    <m/>
    <m/>
    <s v="DRS6-537"/>
    <s v="Spices Pepper Black Powder(1 Kg)"/>
    <s v="Gram "/>
    <s v="Gram "/>
    <n v="1"/>
    <m/>
    <m/>
    <n v="10"/>
    <x v="0"/>
    <n v="0.1"/>
    <n v="3.5000000000000003E-2"/>
    <n v="3.5000000000000005E-3"/>
  </r>
  <r>
    <x v="30"/>
    <s v="Gourmet360"/>
    <x v="0"/>
    <x v="30"/>
    <x v="3"/>
    <x v="0"/>
    <m/>
    <m/>
    <m/>
    <s v="DRS6-733"/>
    <s v="Spices Cumin Powder"/>
    <s v="Gram "/>
    <s v="Gram "/>
    <n v="2"/>
    <m/>
    <m/>
    <n v="10"/>
    <x v="0"/>
    <n v="0.2"/>
    <n v="2.8000000000000001E-2"/>
    <n v="5.6000000000000008E-3"/>
  </r>
  <r>
    <x v="30"/>
    <s v="Gourmet360"/>
    <x v="0"/>
    <x v="30"/>
    <x v="3"/>
    <x v="0"/>
    <m/>
    <m/>
    <m/>
    <s v="DRS6-266"/>
    <s v="Spices Coriander Powder"/>
    <s v="Gram "/>
    <s v="Gram "/>
    <n v="2"/>
    <m/>
    <m/>
    <n v="10"/>
    <x v="0"/>
    <n v="0.2"/>
    <n v="1.4E-2"/>
    <n v="2.8000000000000004E-3"/>
  </r>
  <r>
    <x v="30"/>
    <s v="Gourmet360"/>
    <x v="0"/>
    <x v="30"/>
    <x v="3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30"/>
    <s v="Gourmet360"/>
    <x v="0"/>
    <x v="30"/>
    <x v="3"/>
    <x v="0"/>
    <m/>
    <m/>
    <m/>
    <s v="DRS1-3811"/>
    <s v="Chicken Stock Powder(Packet)"/>
    <s v="Gram "/>
    <s v="Gram "/>
    <n v="30"/>
    <m/>
    <m/>
    <n v="10"/>
    <x v="0"/>
    <n v="3"/>
    <n v="2.8475E-2"/>
    <n v="8.5425000000000001E-2"/>
  </r>
  <r>
    <x v="30"/>
    <s v="Gourmet360"/>
    <x v="0"/>
    <x v="30"/>
    <x v="3"/>
    <x v="0"/>
    <m/>
    <m/>
    <m/>
    <s v="TAP-00001"/>
    <s v="Tap Water-Cooking"/>
    <s v="Ml"/>
    <s v="Ml"/>
    <n v="1600"/>
    <m/>
    <m/>
    <n v="10"/>
    <x v="0"/>
    <n v="160"/>
    <n v="8.0000000000000007E-5"/>
    <n v="1.2800000000000001E-2"/>
  </r>
  <r>
    <x v="30"/>
    <s v="Gourmet360"/>
    <x v="0"/>
    <x v="30"/>
    <x v="3"/>
    <x v="0"/>
    <m/>
    <m/>
    <m/>
    <s v="DRS4-498"/>
    <s v="Rice Basmati"/>
    <s v="Gram "/>
    <s v="Gram "/>
    <n v="1000"/>
    <m/>
    <m/>
    <n v="10"/>
    <x v="0"/>
    <n v="100"/>
    <n v="5.7499999999999999E-3"/>
    <n v="0.57499999999999996"/>
  </r>
  <r>
    <x v="30"/>
    <s v="Gourmet360"/>
    <x v="0"/>
    <x v="30"/>
    <x v="3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30"/>
    <s v="Gourmet360"/>
    <x v="0"/>
    <x v="30"/>
    <x v="3"/>
    <x v="0"/>
    <m/>
    <m/>
    <m/>
    <s v="DRS3-1813"/>
    <s v="Corn Oil (18 Liter)"/>
    <s v="Ml"/>
    <s v="Ml"/>
    <n v="50"/>
    <m/>
    <m/>
    <n v="10"/>
    <x v="0"/>
    <n v="5"/>
    <n v="8.0555555555555554E-3"/>
    <n v="4.0277777777777773E-2"/>
  </r>
  <r>
    <x v="30"/>
    <s v="Gourmet360"/>
    <x v="0"/>
    <x v="30"/>
    <x v="3"/>
    <x v="0"/>
    <m/>
    <m/>
    <m/>
    <s v="DRS6-3593"/>
    <s v="Spices Bay Leaves"/>
    <s v="Gram "/>
    <s v="Gram "/>
    <n v="1"/>
    <m/>
    <m/>
    <n v="10"/>
    <x v="0"/>
    <n v="0.1"/>
    <n v="8.0000000000000002E-3"/>
    <n v="8.0000000000000004E-4"/>
  </r>
  <r>
    <x v="30"/>
    <s v="Gourmet360"/>
    <x v="0"/>
    <x v="30"/>
    <x v="3"/>
    <x v="0"/>
    <m/>
    <m/>
    <m/>
    <s v="DRS6-261"/>
    <s v="Spices Cinnamon Sticks"/>
    <s v="Gram "/>
    <s v="Gram "/>
    <n v="2"/>
    <m/>
    <m/>
    <n v="10"/>
    <x v="0"/>
    <n v="0.2"/>
    <n v="1.4E-2"/>
    <n v="2.8000000000000004E-3"/>
  </r>
  <r>
    <x v="30"/>
    <s v="Gourmet360"/>
    <x v="0"/>
    <x v="30"/>
    <x v="3"/>
    <x v="0"/>
    <m/>
    <m/>
    <m/>
    <s v="PRD1-195"/>
    <s v="Fresh Coriander "/>
    <s v="Gram "/>
    <s v="Gram "/>
    <n v="30"/>
    <m/>
    <m/>
    <n v="10"/>
    <x v="0"/>
    <n v="3"/>
    <n v="9.3676814988290415E-3"/>
    <n v="2.8103044496487123E-2"/>
  </r>
  <r>
    <x v="31"/>
    <s v="Gourmet360"/>
    <x v="0"/>
    <x v="31"/>
    <x v="3"/>
    <x v="0"/>
    <m/>
    <m/>
    <m/>
    <s v="BKR2-4596"/>
    <s v="Frz Bread Panini (90 Gram)"/>
    <s v="Each"/>
    <s v="Each"/>
    <n v="10"/>
    <m/>
    <m/>
    <n v="10"/>
    <x v="0"/>
    <n v="1"/>
    <n v="0.96"/>
    <n v="0.96"/>
  </r>
  <r>
    <x v="31"/>
    <s v="Gourmet360"/>
    <x v="0"/>
    <x v="31"/>
    <x v="3"/>
    <x v="0"/>
    <m/>
    <m/>
    <m/>
    <s v="PLT1-1704"/>
    <s v="Smoked Roast Chicken"/>
    <s v="Gram "/>
    <s v="Gram "/>
    <n v="450"/>
    <m/>
    <m/>
    <n v="10"/>
    <x v="0"/>
    <n v="45"/>
    <n v="0.05"/>
    <n v="2.25"/>
  </r>
  <r>
    <x v="31"/>
    <s v="Gourmet360"/>
    <x v="0"/>
    <x v="31"/>
    <x v="3"/>
    <x v="0"/>
    <m/>
    <m/>
    <m/>
    <s v="DRS1-58"/>
    <s v="Mayonnaise Regular"/>
    <s v="Gram "/>
    <s v="Gram "/>
    <n v="100"/>
    <m/>
    <m/>
    <n v="10"/>
    <x v="0"/>
    <n v="10"/>
    <n v="6.4814814814814813E-3"/>
    <n v="6.4814814814814811E-2"/>
  </r>
  <r>
    <x v="31"/>
    <s v="Gourmet360"/>
    <x v="0"/>
    <x v="31"/>
    <x v="3"/>
    <x v="0"/>
    <m/>
    <m/>
    <m/>
    <s v="DRS1-1549"/>
    <s v="Mustard Yellow Cream (JAR)"/>
    <s v="Gram "/>
    <s v="Gram "/>
    <n v="50"/>
    <m/>
    <m/>
    <n v="10"/>
    <x v="0"/>
    <n v="5"/>
    <n v="7.5966850828729279E-3"/>
    <n v="3.7983425414364641E-2"/>
  </r>
  <r>
    <x v="31"/>
    <s v="Gourmet360"/>
    <x v="0"/>
    <x v="31"/>
    <x v="3"/>
    <x v="0"/>
    <m/>
    <m/>
    <m/>
    <s v="PRD1-572"/>
    <s v="Fresh Tomato "/>
    <s v="Gram "/>
    <s v="Gram "/>
    <n v="300"/>
    <m/>
    <m/>
    <n v="10"/>
    <x v="0"/>
    <n v="30"/>
    <n v="4.5351473922902496E-3"/>
    <n v="0.1360544217687075"/>
  </r>
  <r>
    <x v="31"/>
    <s v="Gourmet360"/>
    <x v="0"/>
    <x v="31"/>
    <x v="3"/>
    <x v="0"/>
    <m/>
    <m/>
    <m/>
    <s v="DRY1-3344"/>
    <s v="Cheese Cheddar Sliced Red(KG)"/>
    <s v="Gram "/>
    <s v="Gram "/>
    <n v="180"/>
    <m/>
    <m/>
    <n v="10"/>
    <x v="0"/>
    <n v="18"/>
    <n v="2.3E-2"/>
    <n v="0.41399999999999998"/>
  </r>
  <r>
    <x v="32"/>
    <s v="Gourmet360"/>
    <x v="0"/>
    <x v="32"/>
    <x v="3"/>
    <x v="0"/>
    <m/>
    <m/>
    <m/>
    <s v="DRY2-1008"/>
    <s v="Butter 82% Fat(Unsalted) 25 kg"/>
    <s v="Gram "/>
    <s v="Gram "/>
    <n v="100"/>
    <m/>
    <m/>
    <n v="10"/>
    <x v="0"/>
    <n v="10"/>
    <n v="0.03"/>
    <n v="0.3"/>
  </r>
  <r>
    <x v="32"/>
    <s v="Gourmet360"/>
    <x v="0"/>
    <x v="32"/>
    <x v="3"/>
    <x v="0"/>
    <m/>
    <m/>
    <m/>
    <s v="PRD1-4265"/>
    <s v="Fresh onion Yellow(Imported)"/>
    <s v="Gram "/>
    <s v="Gram "/>
    <n v="50"/>
    <m/>
    <m/>
    <n v="10"/>
    <x v="0"/>
    <n v="5"/>
    <n v="3.529411764705882E-3"/>
    <n v="1.7647058823529412E-2"/>
  </r>
  <r>
    <x v="32"/>
    <s v="Gourmet360"/>
    <x v="0"/>
    <x v="32"/>
    <x v="3"/>
    <x v="0"/>
    <m/>
    <m/>
    <m/>
    <s v="PRD1-4327"/>
    <s v="Fresh Garlic Peeled"/>
    <s v="Gram "/>
    <s v="Gram "/>
    <n v="20"/>
    <m/>
    <m/>
    <n v="10"/>
    <x v="0"/>
    <n v="2"/>
    <n v="1.2999999999999999E-2"/>
    <n v="2.5999999999999999E-2"/>
  </r>
  <r>
    <x v="32"/>
    <s v="Gourmet360"/>
    <x v="0"/>
    <x v="32"/>
    <x v="3"/>
    <x v="0"/>
    <m/>
    <m/>
    <m/>
    <s v="DRS6-733"/>
    <s v="Spices Cumin Powder"/>
    <s v="Gram "/>
    <s v="Gram "/>
    <n v="4"/>
    <m/>
    <m/>
    <n v="10"/>
    <x v="0"/>
    <n v="0.4"/>
    <n v="2.8000000000000001E-2"/>
    <n v="1.1200000000000002E-2"/>
  </r>
  <r>
    <x v="32"/>
    <s v="Gourmet360"/>
    <x v="0"/>
    <x v="32"/>
    <x v="3"/>
    <x v="0"/>
    <m/>
    <m/>
    <m/>
    <s v="DRS6-1674"/>
    <s v="Spice Turmeric Powder (1 Kg)"/>
    <s v="Gram "/>
    <s v="Gram "/>
    <n v="2"/>
    <m/>
    <m/>
    <n v="10"/>
    <x v="0"/>
    <n v="0.2"/>
    <n v="1.2500000000000001E-2"/>
    <n v="2.5000000000000005E-3"/>
  </r>
  <r>
    <x v="32"/>
    <s v="Gourmet360"/>
    <x v="0"/>
    <x v="32"/>
    <x v="3"/>
    <x v="0"/>
    <m/>
    <m/>
    <m/>
    <s v="DRS6-309"/>
    <s v="Spice Pepper White Powder"/>
    <s v="Gram "/>
    <s v="Gram "/>
    <n v="2"/>
    <m/>
    <m/>
    <n v="10"/>
    <x v="0"/>
    <n v="0.2"/>
    <n v="2.8000000000000001E-2"/>
    <n v="5.6000000000000008E-3"/>
  </r>
  <r>
    <x v="32"/>
    <s v="Gourmet360"/>
    <x v="0"/>
    <x v="32"/>
    <x v="3"/>
    <x v="0"/>
    <m/>
    <m/>
    <m/>
    <s v="TAP-00001"/>
    <s v="Tap Water-Cooking"/>
    <s v="Ml"/>
    <s v="Ml"/>
    <n v="1300"/>
    <m/>
    <m/>
    <n v="10"/>
    <x v="0"/>
    <n v="130"/>
    <n v="8.0000000000000007E-5"/>
    <n v="1.0400000000000001E-2"/>
  </r>
  <r>
    <x v="32"/>
    <s v="Gourmet360"/>
    <x v="0"/>
    <x v="32"/>
    <x v="3"/>
    <x v="0"/>
    <m/>
    <m/>
    <m/>
    <s v="PRD1-209"/>
    <s v="Fresh Lemon"/>
    <s v="Gram "/>
    <s v="Gram "/>
    <n v="30"/>
    <m/>
    <m/>
    <n v="10"/>
    <x v="0"/>
    <n v="3"/>
    <n v="1.0088272383354349E-2"/>
    <n v="3.0264817150063045E-2"/>
  </r>
  <r>
    <x v="32"/>
    <s v="Gourmet360"/>
    <x v="0"/>
    <x v="32"/>
    <x v="3"/>
    <x v="0"/>
    <m/>
    <m/>
    <m/>
    <s v="DRS1-3880"/>
    <s v="Salt "/>
    <s v="Gram "/>
    <s v="Gram "/>
    <n v="15"/>
    <m/>
    <m/>
    <n v="10"/>
    <x v="0"/>
    <n v="1.5"/>
    <n v="5.0000000000000001E-4"/>
    <n v="7.5000000000000002E-4"/>
  </r>
  <r>
    <x v="32"/>
    <s v="Gourmet360"/>
    <x v="0"/>
    <x v="32"/>
    <x v="3"/>
    <x v="0"/>
    <m/>
    <m/>
    <m/>
    <s v="DRS1-3448"/>
    <s v="Lemon Salt (Kg)"/>
    <s v="Gram "/>
    <s v="Gram "/>
    <n v="5"/>
    <m/>
    <m/>
    <n v="10"/>
    <x v="0"/>
    <n v="0.5"/>
    <n v="5.0000000000000001E-3"/>
    <n v="2.5000000000000001E-3"/>
  </r>
  <r>
    <x v="32"/>
    <s v="Gourmet360"/>
    <x v="0"/>
    <x v="32"/>
    <x v="3"/>
    <x v="0"/>
    <m/>
    <m/>
    <m/>
    <s v="PRD1-195"/>
    <s v="Fresh Coriander "/>
    <s v="Gram "/>
    <s v="Gram "/>
    <n v="25"/>
    <m/>
    <m/>
    <n v="10"/>
    <x v="0"/>
    <n v="2.5"/>
    <n v="9.3676814988290415E-3"/>
    <n v="2.3419203747072605E-2"/>
  </r>
  <r>
    <x v="32"/>
    <s v="Gourmet360"/>
    <x v="0"/>
    <x v="32"/>
    <x v="3"/>
    <x v="0"/>
    <m/>
    <m/>
    <m/>
    <s v="PRD1-199"/>
    <s v="Fresh Dill"/>
    <s v="Gram "/>
    <s v="Gram "/>
    <n v="25"/>
    <m/>
    <m/>
    <n v="10"/>
    <x v="0"/>
    <n v="2.5"/>
    <n v="1.1428571428571429E-2"/>
    <n v="2.8571428571428571E-2"/>
  </r>
  <r>
    <x v="32"/>
    <s v="Gourmet360"/>
    <x v="0"/>
    <x v="32"/>
    <x v="3"/>
    <x v="0"/>
    <m/>
    <m/>
    <m/>
    <s v="SFD2-312"/>
    <s v="Frz Fish Fillet Pangasus"/>
    <s v="Gram "/>
    <s v="Gram "/>
    <n v="1200"/>
    <m/>
    <m/>
    <n v="10"/>
    <x v="0"/>
    <n v="120"/>
    <n v="3.2786885245901641E-2"/>
    <n v="3.9344262295081971"/>
  </r>
  <r>
    <x v="32"/>
    <s v="Gourmet360"/>
    <x v="0"/>
    <x v="32"/>
    <x v="3"/>
    <x v="0"/>
    <m/>
    <m/>
    <m/>
    <s v="PRD1-230"/>
    <s v="Fresh Potato"/>
    <s v="Gram "/>
    <s v="Gram "/>
    <n v="800"/>
    <m/>
    <m/>
    <n v="10"/>
    <x v="0"/>
    <n v="80"/>
    <n v="3.3738191632928472E-3"/>
    <n v="0.26990553306342779"/>
  </r>
  <r>
    <x v="32"/>
    <s v="Gourmet360"/>
    <x v="0"/>
    <x v="32"/>
    <x v="3"/>
    <x v="0"/>
    <m/>
    <m/>
    <m/>
    <s v="DRS4-498"/>
    <s v="Rice Basmati"/>
    <s v="Gram "/>
    <s v="Gram "/>
    <n v="1000"/>
    <m/>
    <m/>
    <n v="10"/>
    <x v="0"/>
    <n v="100"/>
    <n v="5.7499999999999999E-3"/>
    <n v="0.57499999999999996"/>
  </r>
  <r>
    <x v="32"/>
    <s v="Gourmet360"/>
    <x v="0"/>
    <x v="32"/>
    <x v="3"/>
    <x v="0"/>
    <m/>
    <m/>
    <m/>
    <s v="TAP-00001"/>
    <s v="Tap Water-Cooking"/>
    <s v="Ml"/>
    <s v="Ml"/>
    <n v="1600"/>
    <m/>
    <m/>
    <n v="10"/>
    <x v="0"/>
    <n v="160"/>
    <n v="8.0000000000000007E-5"/>
    <n v="1.2800000000000001E-2"/>
  </r>
  <r>
    <x v="32"/>
    <s v="Gourmet360"/>
    <x v="0"/>
    <x v="32"/>
    <x v="3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32"/>
    <s v="Gourmet360"/>
    <x v="0"/>
    <x v="32"/>
    <x v="3"/>
    <x v="0"/>
    <m/>
    <m/>
    <m/>
    <s v="DRS6-261"/>
    <s v="Spices Cinnamon Sticks"/>
    <s v="Gram "/>
    <s v="Gram "/>
    <n v="2"/>
    <m/>
    <m/>
    <n v="10"/>
    <x v="0"/>
    <n v="0.2"/>
    <n v="1.4E-2"/>
    <n v="2.8000000000000004E-3"/>
  </r>
  <r>
    <x v="32"/>
    <s v="Gourmet360"/>
    <x v="0"/>
    <x v="32"/>
    <x v="3"/>
    <x v="0"/>
    <m/>
    <m/>
    <m/>
    <s v="DRS6-3593"/>
    <s v="Spices Bay Leaves"/>
    <s v="Gram "/>
    <s v="Gram "/>
    <n v="1"/>
    <m/>
    <m/>
    <n v="10"/>
    <x v="0"/>
    <n v="0.1"/>
    <n v="8.0000000000000002E-3"/>
    <n v="8.0000000000000004E-4"/>
  </r>
  <r>
    <x v="32"/>
    <s v="Gourmet360"/>
    <x v="0"/>
    <x v="32"/>
    <x v="3"/>
    <x v="0"/>
    <m/>
    <m/>
    <m/>
    <s v="DRS3-1813"/>
    <s v="Corn Oil (18 Liter)"/>
    <s v="Ml"/>
    <s v="Ml"/>
    <n v="50"/>
    <m/>
    <m/>
    <n v="10"/>
    <x v="0"/>
    <n v="5"/>
    <n v="8.0555555555555554E-3"/>
    <n v="4.0277777777777773E-2"/>
  </r>
  <r>
    <x v="33"/>
    <s v="Gourmet360"/>
    <x v="0"/>
    <x v="33"/>
    <x v="3"/>
    <x v="0"/>
    <m/>
    <m/>
    <m/>
    <s v="PLT2-3278"/>
    <s v="Frz Chicken Breast Tender (KG)"/>
    <s v="Gram "/>
    <s v="Gram "/>
    <n v="1000"/>
    <m/>
    <m/>
    <n v="10"/>
    <x v="0"/>
    <n v="100"/>
    <n v="3.0357142857142853E-2"/>
    <n v="3.0357142857142851"/>
  </r>
  <r>
    <x v="33"/>
    <s v="Gourmet360"/>
    <x v="0"/>
    <x v="33"/>
    <x v="3"/>
    <x v="0"/>
    <m/>
    <m/>
    <m/>
    <s v="DRS3-1813"/>
    <s v="Corn Oil (18 Liter)"/>
    <s v="Ml"/>
    <s v="Ml"/>
    <n v="35"/>
    <m/>
    <m/>
    <n v="10"/>
    <x v="0"/>
    <n v="3.5"/>
    <n v="8.0555555555555554E-3"/>
    <n v="2.8194444444444446E-2"/>
  </r>
  <r>
    <x v="33"/>
    <s v="Gourmet360"/>
    <x v="0"/>
    <x v="33"/>
    <x v="3"/>
    <x v="0"/>
    <m/>
    <m/>
    <m/>
    <s v="PRD1-4265"/>
    <s v="Fresh onion Yellow(Imported)"/>
    <s v="Gram "/>
    <s v="Gram "/>
    <n v="100"/>
    <m/>
    <m/>
    <n v="10"/>
    <x v="0"/>
    <n v="10"/>
    <n v="3.529411764705882E-3"/>
    <n v="3.5294117647058823E-2"/>
  </r>
  <r>
    <x v="33"/>
    <s v="Gourmet360"/>
    <x v="0"/>
    <x v="33"/>
    <x v="3"/>
    <x v="0"/>
    <m/>
    <m/>
    <m/>
    <s v="DRY2-1008"/>
    <s v="Butter 82% Fat(Unsalted) 25 kg"/>
    <s v="Gram "/>
    <s v="Gram "/>
    <n v="40"/>
    <m/>
    <m/>
    <n v="10"/>
    <x v="0"/>
    <n v="4"/>
    <n v="0.03"/>
    <n v="0.12"/>
  </r>
  <r>
    <x v="33"/>
    <s v="Gourmet360"/>
    <x v="0"/>
    <x v="33"/>
    <x v="3"/>
    <x v="0"/>
    <m/>
    <m/>
    <m/>
    <s v="PRD1-4327"/>
    <s v="Fresh Garlic Peeled"/>
    <s v="Gram "/>
    <s v="Gram "/>
    <n v="20"/>
    <m/>
    <m/>
    <n v="10"/>
    <x v="0"/>
    <n v="2"/>
    <n v="1.2999999999999999E-2"/>
    <n v="2.5999999999999999E-2"/>
  </r>
  <r>
    <x v="33"/>
    <s v="Gourmet360"/>
    <x v="0"/>
    <x v="33"/>
    <x v="3"/>
    <x v="0"/>
    <m/>
    <m/>
    <m/>
    <s v="TAP-00001"/>
    <s v="Tap Water-Cooking"/>
    <s v="Ml"/>
    <s v="Ml"/>
    <n v="1400"/>
    <m/>
    <m/>
    <n v="10"/>
    <x v="0"/>
    <n v="140"/>
    <n v="8.0000000000000007E-5"/>
    <n v="1.1200000000000002E-2"/>
  </r>
  <r>
    <x v="33"/>
    <s v="Gourmet360"/>
    <x v="0"/>
    <x v="33"/>
    <x v="3"/>
    <x v="0"/>
    <m/>
    <m/>
    <m/>
    <s v="DRS6-5039"/>
    <s v="Spice Smoked Sweet Paprika (Kg)"/>
    <s v="Gram "/>
    <s v="Gram "/>
    <n v="3"/>
    <m/>
    <m/>
    <n v="10"/>
    <x v="0"/>
    <n v="0.3"/>
    <n v="3.5000000000000003E-2"/>
    <n v="1.0500000000000001E-2"/>
  </r>
  <r>
    <x v="33"/>
    <s v="Gourmet360"/>
    <x v="0"/>
    <x v="33"/>
    <x v="3"/>
    <x v="0"/>
    <m/>
    <m/>
    <m/>
    <s v="DRS5-40"/>
    <s v="Flour White"/>
    <s v="Gram "/>
    <s v="Gram "/>
    <n v="80"/>
    <m/>
    <m/>
    <n v="10"/>
    <x v="0"/>
    <n v="8"/>
    <n v="7.7777777777777773E-4"/>
    <n v="6.2222222222222219E-3"/>
  </r>
  <r>
    <x v="33"/>
    <s v="Gourmet360"/>
    <x v="0"/>
    <x v="33"/>
    <x v="3"/>
    <x v="0"/>
    <m/>
    <m/>
    <m/>
    <s v="PRD1-223"/>
    <s v="Fresh Mushroom"/>
    <s v="Gram "/>
    <s v="Gram "/>
    <n v="350"/>
    <m/>
    <m/>
    <n v="10"/>
    <x v="0"/>
    <n v="35"/>
    <n v="2.3231256599788808E-2"/>
    <n v="0.81309398099260832"/>
  </r>
  <r>
    <x v="33"/>
    <s v="Gourmet360"/>
    <x v="0"/>
    <x v="33"/>
    <x v="3"/>
    <x v="0"/>
    <m/>
    <m/>
    <m/>
    <s v="DRY2-1858"/>
    <s v="Cooking Cream 1 Ltr"/>
    <s v="Ml"/>
    <s v="Ml"/>
    <n v="300"/>
    <m/>
    <m/>
    <n v="10"/>
    <x v="0"/>
    <n v="30"/>
    <n v="9.8800000000000016E-3"/>
    <n v="0.29640000000000005"/>
  </r>
  <r>
    <x v="33"/>
    <s v="Gourmet360"/>
    <x v="0"/>
    <x v="33"/>
    <x v="3"/>
    <x v="0"/>
    <m/>
    <m/>
    <m/>
    <s v="DRS1-3811"/>
    <s v="Chicken Stock Powder(Packet)"/>
    <s v="Gram "/>
    <s v="Gram "/>
    <n v="15"/>
    <m/>
    <m/>
    <n v="10"/>
    <x v="0"/>
    <n v="1.5"/>
    <n v="2.8475E-2"/>
    <n v="4.27125E-2"/>
  </r>
  <r>
    <x v="33"/>
    <s v="Gourmet360"/>
    <x v="0"/>
    <x v="33"/>
    <x v="3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33"/>
    <s v="Gourmet360"/>
    <x v="0"/>
    <x v="33"/>
    <x v="3"/>
    <x v="0"/>
    <m/>
    <m/>
    <m/>
    <s v="DRS5-3866"/>
    <s v="Mashed Potato Flakes"/>
    <s v="Gram "/>
    <s v="Gram "/>
    <n v="300"/>
    <m/>
    <m/>
    <n v="10"/>
    <x v="0"/>
    <n v="30"/>
    <n v="0.02"/>
    <n v="0.6"/>
  </r>
  <r>
    <x v="33"/>
    <s v="Gourmet360"/>
    <x v="0"/>
    <x v="33"/>
    <x v="3"/>
    <x v="0"/>
    <m/>
    <m/>
    <m/>
    <s v="TAP-00001"/>
    <s v="Tap Water-Cooking"/>
    <s v="Ml"/>
    <s v="Ml"/>
    <n v="1200"/>
    <m/>
    <m/>
    <n v="10"/>
    <x v="0"/>
    <n v="120"/>
    <n v="8.0000000000000007E-5"/>
    <n v="9.6000000000000009E-3"/>
  </r>
  <r>
    <x v="33"/>
    <s v="Gourmet360"/>
    <x v="0"/>
    <x v="33"/>
    <x v="3"/>
    <x v="0"/>
    <m/>
    <m/>
    <m/>
    <s v="DRS5-59"/>
    <s v="Milk Powder"/>
    <s v="Gram "/>
    <s v="Gram "/>
    <n v="125"/>
    <m/>
    <m/>
    <n v="10"/>
    <x v="0"/>
    <n v="12.5"/>
    <n v="1.4319999999999999E-2"/>
    <n v="0.17899999999999999"/>
  </r>
  <r>
    <x v="33"/>
    <s v="Gourmet360"/>
    <x v="0"/>
    <x v="33"/>
    <x v="3"/>
    <x v="0"/>
    <m/>
    <m/>
    <m/>
    <s v="DRY2-1008"/>
    <s v="Butter 82% Fat(Unsalted) 25 kg"/>
    <s v="Gram "/>
    <s v="Gram "/>
    <n v="30"/>
    <m/>
    <m/>
    <n v="10"/>
    <x v="0"/>
    <n v="3"/>
    <n v="0.03"/>
    <n v="0.09"/>
  </r>
  <r>
    <x v="33"/>
    <s v="Gourmet360"/>
    <x v="0"/>
    <x v="33"/>
    <x v="3"/>
    <x v="0"/>
    <m/>
    <m/>
    <m/>
    <s v="DRS6-309"/>
    <s v="Spice Pepper White Powder"/>
    <s v="Gram "/>
    <s v="Gram "/>
    <n v="2"/>
    <m/>
    <m/>
    <n v="10"/>
    <x v="0"/>
    <n v="0.2"/>
    <n v="2.8000000000000001E-2"/>
    <n v="5.6000000000000008E-3"/>
  </r>
  <r>
    <x v="33"/>
    <s v="Gourmet360"/>
    <x v="0"/>
    <x v="33"/>
    <x v="3"/>
    <x v="0"/>
    <m/>
    <m/>
    <m/>
    <s v="PRD1-3794"/>
    <s v="Fresh Baby Marrow"/>
    <s v="Gram "/>
    <s v="Gram "/>
    <n v="400"/>
    <m/>
    <m/>
    <n v="10"/>
    <x v="0"/>
    <n v="40"/>
    <n v="4.9382716049382715E-3"/>
    <n v="0.19753086419753085"/>
  </r>
  <r>
    <x v="33"/>
    <s v="Gourmet360"/>
    <x v="0"/>
    <x v="33"/>
    <x v="3"/>
    <x v="0"/>
    <m/>
    <m/>
    <m/>
    <s v="PRD1-186"/>
    <s v="Fresh Carrot Imported"/>
    <s v="Gram "/>
    <s v="Gram "/>
    <n v="400"/>
    <m/>
    <m/>
    <n v="10"/>
    <x v="0"/>
    <n v="40"/>
    <n v="5.8139534883720938E-3"/>
    <n v="0.23255813953488375"/>
  </r>
  <r>
    <x v="33"/>
    <s v="Gourmet360"/>
    <x v="0"/>
    <x v="33"/>
    <x v="3"/>
    <x v="0"/>
    <m/>
    <m/>
    <m/>
    <s v="DRS3-1813"/>
    <s v="Corn Oil (18 Liter)"/>
    <s v="Ml"/>
    <s v="Ml"/>
    <n v="10"/>
    <m/>
    <m/>
    <n v="10"/>
    <x v="0"/>
    <n v="1"/>
    <n v="8.0555555555555554E-3"/>
    <n v="8.0555555555555554E-3"/>
  </r>
  <r>
    <x v="34"/>
    <s v="Gourmet360"/>
    <x v="0"/>
    <x v="34"/>
    <x v="3"/>
    <x v="0"/>
    <m/>
    <m/>
    <m/>
    <s v="PRD1-230"/>
    <s v="Fresh Potato"/>
    <s v="Gram "/>
    <s v="Gram "/>
    <n v="800"/>
    <m/>
    <m/>
    <n v="10"/>
    <x v="0"/>
    <n v="80"/>
    <n v="3.3738191632928472E-3"/>
    <n v="0.26990553306342779"/>
  </r>
  <r>
    <x v="34"/>
    <s v="Gourmet360"/>
    <x v="0"/>
    <x v="34"/>
    <x v="3"/>
    <x v="0"/>
    <m/>
    <m/>
    <m/>
    <s v="DRS3-1813"/>
    <s v="Corn Oil (18 Liter)"/>
    <s v="Ml"/>
    <s v="Ml"/>
    <n v="30"/>
    <m/>
    <m/>
    <n v="10"/>
    <x v="0"/>
    <n v="3"/>
    <n v="8.0555555555555554E-3"/>
    <n v="2.4166666666666666E-2"/>
  </r>
  <r>
    <x v="34"/>
    <s v="Gourmet360"/>
    <x v="0"/>
    <x v="34"/>
    <x v="3"/>
    <x v="0"/>
    <m/>
    <m/>
    <m/>
    <s v="PRD1-4265"/>
    <s v="Fresh onion Yellow(Imported)"/>
    <s v="Gram "/>
    <s v="Gram "/>
    <n v="150"/>
    <m/>
    <m/>
    <n v="10"/>
    <x v="0"/>
    <n v="15"/>
    <n v="3.529411764705882E-3"/>
    <n v="5.2941176470588228E-2"/>
  </r>
  <r>
    <x v="34"/>
    <s v="Gourmet360"/>
    <x v="0"/>
    <x v="34"/>
    <x v="3"/>
    <x v="0"/>
    <m/>
    <m/>
    <m/>
    <s v="PRD1-4327"/>
    <s v="Fresh Garlic Peeled"/>
    <s v="Gram "/>
    <s v="Gram "/>
    <n v="20"/>
    <m/>
    <m/>
    <n v="10"/>
    <x v="0"/>
    <n v="2"/>
    <n v="1.2999999999999999E-2"/>
    <n v="2.5999999999999999E-2"/>
  </r>
  <r>
    <x v="34"/>
    <s v="Gourmet360"/>
    <x v="0"/>
    <x v="34"/>
    <x v="3"/>
    <x v="0"/>
    <m/>
    <m/>
    <m/>
    <s v="PRD1-3794"/>
    <s v="Fresh Baby Marrow"/>
    <s v="Gram "/>
    <s v="Gram "/>
    <n v="400"/>
    <m/>
    <m/>
    <n v="10"/>
    <x v="0"/>
    <n v="40"/>
    <n v="4.9382716049382715E-3"/>
    <n v="0.19753086419753085"/>
  </r>
  <r>
    <x v="34"/>
    <s v="Gourmet360"/>
    <x v="0"/>
    <x v="34"/>
    <x v="3"/>
    <x v="0"/>
    <m/>
    <m/>
    <m/>
    <s v="PRD1-186"/>
    <s v="Fresh Carrot Imported"/>
    <s v="Gram "/>
    <s v="Gram "/>
    <n v="400"/>
    <m/>
    <m/>
    <n v="10"/>
    <x v="0"/>
    <n v="40"/>
    <n v="5.8139534883720938E-3"/>
    <n v="0.23255813953488375"/>
  </r>
  <r>
    <x v="34"/>
    <s v="Gourmet360"/>
    <x v="0"/>
    <x v="34"/>
    <x v="3"/>
    <x v="0"/>
    <m/>
    <m/>
    <m/>
    <s v="PRD2-3567"/>
    <s v="Frz Green Peas(800 Gram)"/>
    <s v="Gram "/>
    <s v="Gram "/>
    <n v="400"/>
    <m/>
    <m/>
    <n v="10"/>
    <x v="0"/>
    <n v="40"/>
    <n v="1.40625E-2"/>
    <n v="0.5625"/>
  </r>
  <r>
    <x v="34"/>
    <s v="Gourmet360"/>
    <x v="0"/>
    <x v="34"/>
    <x v="3"/>
    <x v="0"/>
    <m/>
    <m/>
    <m/>
    <s v="PRD1-572"/>
    <s v="Fresh Tomato "/>
    <s v="Gram "/>
    <s v="Gram "/>
    <n v="600"/>
    <m/>
    <m/>
    <n v="10"/>
    <x v="0"/>
    <n v="60"/>
    <n v="4.5351473922902496E-3"/>
    <n v="0.27210884353741499"/>
  </r>
  <r>
    <x v="34"/>
    <s v="Gourmet360"/>
    <x v="0"/>
    <x v="34"/>
    <x v="3"/>
    <x v="0"/>
    <m/>
    <m/>
    <m/>
    <s v="DRS1-1747"/>
    <s v="Can Tomato Paste (4500 Gram)"/>
    <s v="Gram "/>
    <s v="Gram "/>
    <n v="80"/>
    <m/>
    <m/>
    <n v="10"/>
    <x v="0"/>
    <n v="8"/>
    <n v="5.185185185185185E-3"/>
    <n v="4.148148148148148E-2"/>
  </r>
  <r>
    <x v="34"/>
    <s v="Gourmet360"/>
    <x v="0"/>
    <x v="34"/>
    <x v="3"/>
    <x v="0"/>
    <m/>
    <m/>
    <m/>
    <s v="TAP-00001"/>
    <s v="Tap Water-Cooking"/>
    <s v="Ml"/>
    <s v="Ml"/>
    <n v="1000"/>
    <m/>
    <m/>
    <n v="10"/>
    <x v="0"/>
    <n v="100"/>
    <n v="8.0000000000000007E-5"/>
    <n v="8.0000000000000002E-3"/>
  </r>
  <r>
    <x v="34"/>
    <s v="Gourmet360"/>
    <x v="0"/>
    <x v="34"/>
    <x v="3"/>
    <x v="0"/>
    <m/>
    <m/>
    <m/>
    <s v="DRS6-537"/>
    <s v="Spices Pepper Black Powder(1 Kg)"/>
    <s v="Gram "/>
    <s v="Gram "/>
    <n v="2"/>
    <m/>
    <m/>
    <n v="10"/>
    <x v="0"/>
    <n v="0.2"/>
    <n v="3.5000000000000003E-2"/>
    <n v="7.000000000000001E-3"/>
  </r>
  <r>
    <x v="34"/>
    <s v="Gourmet360"/>
    <x v="0"/>
    <x v="34"/>
    <x v="3"/>
    <x v="0"/>
    <m/>
    <m/>
    <m/>
    <s v="DRS1-3880"/>
    <s v="Salt "/>
    <s v="Gram "/>
    <s v="Gram "/>
    <n v="15"/>
    <m/>
    <m/>
    <n v="10"/>
    <x v="0"/>
    <n v="1.5"/>
    <n v="5.0000000000000001E-4"/>
    <n v="7.5000000000000002E-4"/>
  </r>
  <r>
    <x v="34"/>
    <s v="Gourmet360"/>
    <x v="0"/>
    <x v="34"/>
    <x v="3"/>
    <x v="0"/>
    <m/>
    <m/>
    <m/>
    <s v="DRS1-3813"/>
    <s v="Beef Stock Powder(Packet)"/>
    <s v="Gram "/>
    <s v="Gram "/>
    <n v="10"/>
    <m/>
    <m/>
    <n v="10"/>
    <x v="0"/>
    <n v="1"/>
    <n v="4.4441666666666664E-2"/>
    <n v="4.4441666666666664E-2"/>
  </r>
  <r>
    <x v="34"/>
    <s v="Gourmet360"/>
    <x v="0"/>
    <x v="34"/>
    <x v="3"/>
    <x v="0"/>
    <m/>
    <m/>
    <m/>
    <s v="DRS4-498"/>
    <s v="Rice Basmati"/>
    <s v="Gram "/>
    <s v="Gram "/>
    <n v="1000"/>
    <m/>
    <m/>
    <n v="10"/>
    <x v="0"/>
    <n v="100"/>
    <n v="5.7499999999999999E-3"/>
    <n v="0.57499999999999996"/>
  </r>
  <r>
    <x v="34"/>
    <s v="Gourmet360"/>
    <x v="0"/>
    <x v="34"/>
    <x v="3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34"/>
    <s v="Gourmet360"/>
    <x v="0"/>
    <x v="34"/>
    <x v="3"/>
    <x v="0"/>
    <m/>
    <m/>
    <m/>
    <s v="DRS6-261"/>
    <s v="Spices Cinnamon Sticks"/>
    <s v="Gram "/>
    <s v="Gram "/>
    <n v="2"/>
    <m/>
    <m/>
    <n v="10"/>
    <x v="0"/>
    <n v="0.2"/>
    <n v="1.4E-2"/>
    <n v="2.8000000000000004E-3"/>
  </r>
  <r>
    <x v="34"/>
    <s v="Gourmet360"/>
    <x v="0"/>
    <x v="34"/>
    <x v="3"/>
    <x v="0"/>
    <m/>
    <m/>
    <m/>
    <s v="TAP-00001"/>
    <s v="Tap Water-Cooking"/>
    <s v="Ml"/>
    <s v="Ml"/>
    <n v="1600"/>
    <m/>
    <m/>
    <n v="10"/>
    <x v="0"/>
    <n v="160"/>
    <n v="8.0000000000000007E-5"/>
    <n v="1.2800000000000001E-2"/>
  </r>
  <r>
    <x v="34"/>
    <s v="Gourmet360"/>
    <x v="0"/>
    <x v="34"/>
    <x v="3"/>
    <x v="0"/>
    <m/>
    <m/>
    <m/>
    <s v="DRS6-3593"/>
    <s v="Spices Bay Leaves"/>
    <s v="Gram "/>
    <s v="Gram "/>
    <n v="1"/>
    <m/>
    <m/>
    <n v="10"/>
    <x v="0"/>
    <n v="0.1"/>
    <n v="8.0000000000000002E-3"/>
    <n v="8.0000000000000004E-4"/>
  </r>
  <r>
    <x v="34"/>
    <s v="Gourmet360"/>
    <x v="0"/>
    <x v="34"/>
    <x v="3"/>
    <x v="0"/>
    <m/>
    <m/>
    <m/>
    <s v="DRS3-1813"/>
    <s v="Corn Oil (18 Liter)"/>
    <s v="Ml"/>
    <s v="Ml"/>
    <n v="30"/>
    <m/>
    <m/>
    <n v="10"/>
    <x v="0"/>
    <n v="3"/>
    <n v="8.0555555555555554E-3"/>
    <n v="2.4166666666666666E-2"/>
  </r>
  <r>
    <x v="35"/>
    <s v="Gourmet360"/>
    <x v="0"/>
    <x v="35"/>
    <x v="4"/>
    <x v="0"/>
    <m/>
    <m/>
    <m/>
    <s v="SFD2-312"/>
    <s v="Frz Fish Fillet Pangasus"/>
    <s v="Gram "/>
    <s v="Gram "/>
    <n v="1200"/>
    <m/>
    <m/>
    <n v="10"/>
    <x v="0"/>
    <n v="120"/>
    <n v="3.2786885245901641E-2"/>
    <n v="3.9344262295081971"/>
  </r>
  <r>
    <x v="35"/>
    <s v="Gourmet360"/>
    <x v="0"/>
    <x v="35"/>
    <x v="4"/>
    <x v="0"/>
    <m/>
    <m/>
    <m/>
    <s v="DRS3-1813"/>
    <s v="Corn Oil (18 Liter)"/>
    <s v="Ml"/>
    <s v="Ml"/>
    <n v="40"/>
    <m/>
    <m/>
    <n v="10"/>
    <x v="0"/>
    <n v="4"/>
    <n v="8.0555555555555554E-3"/>
    <n v="3.2222222222222222E-2"/>
  </r>
  <r>
    <x v="35"/>
    <s v="Gourmet360"/>
    <x v="0"/>
    <x v="35"/>
    <x v="4"/>
    <x v="0"/>
    <m/>
    <m/>
    <m/>
    <s v="PRD1-4265"/>
    <s v="Fresh onion Yellow(Imported)"/>
    <s v="Gram "/>
    <s v="Gram "/>
    <n v="150"/>
    <m/>
    <m/>
    <n v="10"/>
    <x v="0"/>
    <n v="15"/>
    <n v="3.529411764705882E-3"/>
    <n v="5.2941176470588228E-2"/>
  </r>
  <r>
    <x v="35"/>
    <s v="Gourmet360"/>
    <x v="0"/>
    <x v="35"/>
    <x v="4"/>
    <x v="0"/>
    <m/>
    <m/>
    <m/>
    <s v="PRD1-204"/>
    <s v="Fresh Ginger"/>
    <s v="Gram "/>
    <s v="Gram "/>
    <n v="25"/>
    <m/>
    <m/>
    <n v="10"/>
    <x v="0"/>
    <n v="2.5"/>
    <n v="8.4337349397590362E-3"/>
    <n v="2.1084337349397589E-2"/>
  </r>
  <r>
    <x v="35"/>
    <s v="Gourmet360"/>
    <x v="0"/>
    <x v="35"/>
    <x v="4"/>
    <x v="0"/>
    <m/>
    <m/>
    <m/>
    <s v="PRD1-240"/>
    <s v="Fresh Sweet Pepper Red "/>
    <s v="Gram "/>
    <s v="Gram "/>
    <n v="100"/>
    <m/>
    <m/>
    <n v="10"/>
    <x v="0"/>
    <n v="10"/>
    <n v="1.3293943870014769E-2"/>
    <n v="0.13293943870014768"/>
  </r>
  <r>
    <x v="35"/>
    <s v="Gourmet360"/>
    <x v="0"/>
    <x v="35"/>
    <x v="4"/>
    <x v="0"/>
    <m/>
    <m/>
    <m/>
    <s v="PRD1-186"/>
    <s v="Fresh Carrot Imported"/>
    <s v="Gram "/>
    <s v="Gram "/>
    <n v="150"/>
    <m/>
    <m/>
    <n v="10"/>
    <x v="0"/>
    <n v="15"/>
    <n v="5.8139534883720938E-3"/>
    <n v="8.7209302325581411E-2"/>
  </r>
  <r>
    <x v="35"/>
    <s v="Gourmet360"/>
    <x v="0"/>
    <x v="35"/>
    <x v="4"/>
    <x v="0"/>
    <m/>
    <m/>
    <m/>
    <s v="DRS6-537"/>
    <s v="Spices Pepper Black Powder(1 Kg)"/>
    <s v="Gram "/>
    <s v="Gram "/>
    <n v="2"/>
    <m/>
    <m/>
    <n v="10"/>
    <x v="0"/>
    <n v="0.2"/>
    <n v="3.5000000000000003E-2"/>
    <n v="7.000000000000001E-3"/>
  </r>
  <r>
    <x v="35"/>
    <s v="Gourmet360"/>
    <x v="0"/>
    <x v="35"/>
    <x v="4"/>
    <x v="0"/>
    <m/>
    <m/>
    <m/>
    <s v="DRS1-1039"/>
    <s v="Ketchup Gallon (5 Kg)"/>
    <s v="Gram "/>
    <s v="Gram "/>
    <n v="500"/>
    <m/>
    <m/>
    <n v="10"/>
    <x v="0"/>
    <n v="50"/>
    <n v="3.5000000000000001E-3"/>
    <n v="0.17500000000000002"/>
  </r>
  <r>
    <x v="35"/>
    <s v="Gourmet360"/>
    <x v="0"/>
    <x v="35"/>
    <x v="4"/>
    <x v="0"/>
    <m/>
    <m/>
    <m/>
    <s v="DRS1-978"/>
    <s v="Sugar Fine(50 KG)"/>
    <s v="Gram "/>
    <s v="Gram "/>
    <n v="15"/>
    <m/>
    <m/>
    <n v="10"/>
    <x v="0"/>
    <n v="1.5"/>
    <n v="2.3999999999999998E-3"/>
    <n v="3.5999999999999999E-3"/>
  </r>
  <r>
    <x v="35"/>
    <s v="Gourmet360"/>
    <x v="0"/>
    <x v="35"/>
    <x v="4"/>
    <x v="0"/>
    <m/>
    <m/>
    <m/>
    <s v="TAP-00001"/>
    <s v="Tap Water-Cooking"/>
    <s v="Ml"/>
    <s v="Ml"/>
    <n v="1000"/>
    <m/>
    <m/>
    <n v="10"/>
    <x v="0"/>
    <n v="100"/>
    <n v="8.0000000000000007E-5"/>
    <n v="8.0000000000000002E-3"/>
  </r>
  <r>
    <x v="35"/>
    <s v="Gourmet360"/>
    <x v="0"/>
    <x v="35"/>
    <x v="4"/>
    <x v="0"/>
    <m/>
    <m/>
    <m/>
    <s v="DRS1-3880"/>
    <s v="Salt "/>
    <s v="Gram "/>
    <s v="Gram "/>
    <n v="5"/>
    <m/>
    <m/>
    <n v="10"/>
    <x v="0"/>
    <n v="0.5"/>
    <n v="5.0000000000000001E-4"/>
    <n v="2.5000000000000001E-4"/>
  </r>
  <r>
    <x v="35"/>
    <s v="Gourmet360"/>
    <x v="0"/>
    <x v="35"/>
    <x v="4"/>
    <x v="0"/>
    <m/>
    <m/>
    <m/>
    <s v="DRS5-21"/>
    <s v="Flour Corn"/>
    <s v="Gram "/>
    <s v="Gram "/>
    <n v="40"/>
    <m/>
    <m/>
    <n v="10"/>
    <x v="0"/>
    <n v="4"/>
    <n v="2.0799999999999998E-3"/>
    <n v="8.3199999999999993E-3"/>
  </r>
  <r>
    <x v="35"/>
    <s v="Gourmet360"/>
    <x v="0"/>
    <x v="35"/>
    <x v="4"/>
    <x v="0"/>
    <m/>
    <m/>
    <m/>
    <s v="PRD1-395"/>
    <s v="Fresh Orange-Table"/>
    <s v="Gram "/>
    <s v="Gram "/>
    <n v="80"/>
    <m/>
    <m/>
    <n v="10"/>
    <x v="0"/>
    <n v="8"/>
    <n v="9.3457943925233621E-3"/>
    <n v="7.4766355140186896E-2"/>
  </r>
  <r>
    <x v="35"/>
    <s v="Gourmet360"/>
    <x v="0"/>
    <x v="35"/>
    <x v="4"/>
    <x v="0"/>
    <m/>
    <m/>
    <m/>
    <s v="DRS1-1547"/>
    <s v="Vinegar White (Gallon)"/>
    <s v="Ml"/>
    <s v="Ml"/>
    <n v="40"/>
    <m/>
    <m/>
    <n v="10"/>
    <x v="0"/>
    <n v="4"/>
    <n v="2.3026315789473682E-3"/>
    <n v="9.2105263157894728E-3"/>
  </r>
  <r>
    <x v="35"/>
    <s v="Gourmet360"/>
    <x v="0"/>
    <x v="35"/>
    <x v="4"/>
    <x v="0"/>
    <m/>
    <m/>
    <m/>
    <s v="DRS1-927"/>
    <s v="Pineapple Sliced (3050Gram)"/>
    <s v="Gram "/>
    <s v="Gram "/>
    <n v="200"/>
    <m/>
    <m/>
    <n v="10"/>
    <x v="0"/>
    <n v="20"/>
    <n v="7.6491803278688521E-3"/>
    <n v="0.15298360655737703"/>
  </r>
  <r>
    <x v="35"/>
    <s v="Gourmet360"/>
    <x v="0"/>
    <x v="35"/>
    <x v="4"/>
    <x v="0"/>
    <m/>
    <m/>
    <m/>
    <s v="PRD1-239"/>
    <s v="Fresh Sweet Pepper Green"/>
    <s v="Gram "/>
    <s v="Gram "/>
    <n v="100"/>
    <m/>
    <m/>
    <n v="10"/>
    <x v="0"/>
    <n v="10"/>
    <n v="6.6864784546805346E-3"/>
    <n v="6.6864784546805348E-2"/>
  </r>
  <r>
    <x v="35"/>
    <s v="Gourmet360"/>
    <x v="0"/>
    <x v="35"/>
    <x v="4"/>
    <x v="0"/>
    <m/>
    <m/>
    <m/>
    <s v="PRD1-241"/>
    <s v="Fresh Sweet Pepper Yellow"/>
    <s v="Gram "/>
    <s v="Gram "/>
    <n v="100"/>
    <m/>
    <m/>
    <n v="10"/>
    <x v="0"/>
    <n v="10"/>
    <n v="1.3196480938416421E-2"/>
    <n v="0.13196480938416422"/>
  </r>
  <r>
    <x v="35"/>
    <s v="Gourmet360"/>
    <x v="0"/>
    <x v="35"/>
    <x v="4"/>
    <x v="0"/>
    <m/>
    <m/>
    <m/>
    <s v="DRS4-498"/>
    <s v="Rice Basmati"/>
    <s v="Gram "/>
    <s v="Gram "/>
    <n v="1000"/>
    <m/>
    <m/>
    <n v="10"/>
    <x v="0"/>
    <n v="100"/>
    <n v="5.7499999999999999E-3"/>
    <n v="0.57499999999999996"/>
  </r>
  <r>
    <x v="35"/>
    <s v="Gourmet360"/>
    <x v="0"/>
    <x v="35"/>
    <x v="4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35"/>
    <s v="Gourmet360"/>
    <x v="0"/>
    <x v="35"/>
    <x v="4"/>
    <x v="0"/>
    <m/>
    <m/>
    <m/>
    <s v="TAP-00001"/>
    <s v="Tap Water-Cooking"/>
    <s v="Ml"/>
    <s v="Ml"/>
    <n v="1600"/>
    <m/>
    <m/>
    <n v="10"/>
    <x v="0"/>
    <n v="160"/>
    <n v="8.0000000000000007E-5"/>
    <n v="1.2800000000000001E-2"/>
  </r>
  <r>
    <x v="35"/>
    <s v="Gourmet360"/>
    <x v="0"/>
    <x v="35"/>
    <x v="4"/>
    <x v="0"/>
    <m/>
    <m/>
    <m/>
    <s v="DRS6-3593"/>
    <s v="Spices Bay Leaves"/>
    <s v="Gram "/>
    <s v="Gram "/>
    <n v="1"/>
    <m/>
    <m/>
    <n v="10"/>
    <x v="0"/>
    <n v="0.1"/>
    <n v="8.0000000000000002E-3"/>
    <n v="8.0000000000000004E-4"/>
  </r>
  <r>
    <x v="35"/>
    <s v="Gourmet360"/>
    <x v="0"/>
    <x v="35"/>
    <x v="4"/>
    <x v="0"/>
    <m/>
    <m/>
    <m/>
    <s v="DRS6-261"/>
    <s v="Spices Cinnamon Sticks"/>
    <s v="Gram "/>
    <s v="Gram "/>
    <n v="2"/>
    <m/>
    <m/>
    <n v="10"/>
    <x v="0"/>
    <n v="0.2"/>
    <n v="1.4E-2"/>
    <n v="2.8000000000000004E-3"/>
  </r>
  <r>
    <x v="36"/>
    <s v="Gourmet360"/>
    <x v="0"/>
    <x v="36"/>
    <x v="4"/>
    <x v="0"/>
    <m/>
    <m/>
    <m/>
    <s v="MET2-1051"/>
    <s v="Frz Beef Tendrloin Brazil"/>
    <s v="Gram "/>
    <s v="Gram "/>
    <n v="1000"/>
    <m/>
    <m/>
    <n v="10"/>
    <x v="0"/>
    <n v="100"/>
    <n v="8.4705882352941173E-2"/>
    <n v="8.4705882352941178"/>
  </r>
  <r>
    <x v="36"/>
    <s v="Gourmet360"/>
    <x v="0"/>
    <x v="36"/>
    <x v="4"/>
    <x v="0"/>
    <m/>
    <m/>
    <m/>
    <s v="DRS3-1813"/>
    <s v="Corn Oil (18 Liter)"/>
    <s v="Ml"/>
    <s v="Ml"/>
    <n v="40"/>
    <m/>
    <m/>
    <n v="10"/>
    <x v="0"/>
    <n v="4"/>
    <n v="8.0555555555555554E-3"/>
    <n v="3.2222222222222222E-2"/>
  </r>
  <r>
    <x v="36"/>
    <s v="Gourmet360"/>
    <x v="0"/>
    <x v="36"/>
    <x v="4"/>
    <x v="0"/>
    <m/>
    <m/>
    <m/>
    <s v="PRD1-4327"/>
    <s v="Fresh Garlic Peeled"/>
    <s v="Gram "/>
    <s v="Gram "/>
    <n v="20"/>
    <m/>
    <m/>
    <n v="10"/>
    <x v="0"/>
    <n v="2"/>
    <n v="1.2999999999999999E-2"/>
    <n v="2.5999999999999999E-2"/>
  </r>
  <r>
    <x v="36"/>
    <s v="Gourmet360"/>
    <x v="0"/>
    <x v="36"/>
    <x v="4"/>
    <x v="0"/>
    <m/>
    <m/>
    <m/>
    <s v="PRD1-204"/>
    <s v="Fresh Ginger"/>
    <s v="Gram "/>
    <s v="Gram "/>
    <n v="25"/>
    <m/>
    <m/>
    <n v="10"/>
    <x v="0"/>
    <n v="2.5"/>
    <n v="8.4337349397590362E-3"/>
    <n v="2.1084337349397589E-2"/>
  </r>
  <r>
    <x v="36"/>
    <s v="Gourmet360"/>
    <x v="0"/>
    <x v="36"/>
    <x v="4"/>
    <x v="0"/>
    <m/>
    <m/>
    <m/>
    <s v="DRS1-3912"/>
    <s v="Soya Sauce,Sempio (930 Mliter)"/>
    <s v="Ml"/>
    <s v="Ml"/>
    <n v="50"/>
    <m/>
    <m/>
    <n v="10"/>
    <x v="0"/>
    <n v="5"/>
    <n v="1.4731707317073172E-2"/>
    <n v="7.3658536585365864E-2"/>
  </r>
  <r>
    <x v="36"/>
    <s v="Gourmet360"/>
    <x v="0"/>
    <x v="36"/>
    <x v="4"/>
    <x v="0"/>
    <m/>
    <m/>
    <m/>
    <s v="DRS6-3593"/>
    <s v="Spices Bay Leaves"/>
    <s v="Gram "/>
    <s v="Gram "/>
    <n v="1"/>
    <m/>
    <m/>
    <n v="10"/>
    <x v="0"/>
    <n v="0.1"/>
    <n v="8.0000000000000002E-3"/>
    <n v="8.0000000000000004E-4"/>
  </r>
  <r>
    <x v="36"/>
    <s v="Gourmet360"/>
    <x v="0"/>
    <x v="36"/>
    <x v="4"/>
    <x v="0"/>
    <m/>
    <m/>
    <m/>
    <s v="DRS1-978"/>
    <s v="Sugar Fine(50 KG)"/>
    <s v="Gram "/>
    <s v="Gram "/>
    <n v="30"/>
    <m/>
    <m/>
    <n v="10"/>
    <x v="0"/>
    <n v="3"/>
    <n v="2.3999999999999998E-3"/>
    <n v="7.1999999999999998E-3"/>
  </r>
  <r>
    <x v="36"/>
    <s v="Gourmet360"/>
    <x v="0"/>
    <x v="36"/>
    <x v="4"/>
    <x v="0"/>
    <m/>
    <m/>
    <m/>
    <s v="DRS1-1747"/>
    <s v="Can Tomato Paste (4500 Gram)"/>
    <s v="Gram "/>
    <s v="Gram "/>
    <n v="100"/>
    <m/>
    <m/>
    <n v="10"/>
    <x v="0"/>
    <n v="10"/>
    <n v="5.185185185185185E-3"/>
    <n v="5.185185185185185E-2"/>
  </r>
  <r>
    <x v="36"/>
    <s v="Gourmet360"/>
    <x v="0"/>
    <x v="36"/>
    <x v="4"/>
    <x v="0"/>
    <m/>
    <m/>
    <m/>
    <s v="TAP-00001"/>
    <s v="Tap Water-Cooking"/>
    <s v="Ml"/>
    <s v="Ml"/>
    <n v="1800"/>
    <m/>
    <m/>
    <n v="10"/>
    <x v="0"/>
    <n v="180"/>
    <n v="8.0000000000000007E-5"/>
    <n v="1.4400000000000001E-2"/>
  </r>
  <r>
    <x v="36"/>
    <s v="Gourmet360"/>
    <x v="0"/>
    <x v="36"/>
    <x v="4"/>
    <x v="0"/>
    <m/>
    <m/>
    <m/>
    <s v="PRD1-240"/>
    <s v="Fresh Sweet Pepper Red "/>
    <s v="Gram "/>
    <s v="Gram "/>
    <n v="100"/>
    <m/>
    <m/>
    <n v="10"/>
    <x v="0"/>
    <n v="10"/>
    <n v="1.3293943870014769E-2"/>
    <n v="0.13293943870014768"/>
  </r>
  <r>
    <x v="36"/>
    <s v="Gourmet360"/>
    <x v="0"/>
    <x v="36"/>
    <x v="4"/>
    <x v="0"/>
    <m/>
    <m/>
    <m/>
    <s v="PRD1-186"/>
    <s v="Fresh Carrot Imported"/>
    <s v="Gram "/>
    <s v="Gram "/>
    <n v="300"/>
    <m/>
    <m/>
    <n v="10"/>
    <x v="0"/>
    <n v="30"/>
    <n v="5.8139534883720938E-3"/>
    <n v="0.17441860465116282"/>
  </r>
  <r>
    <x v="36"/>
    <s v="Gourmet360"/>
    <x v="0"/>
    <x v="36"/>
    <x v="4"/>
    <x v="0"/>
    <m/>
    <m/>
    <m/>
    <s v="PRD1-230"/>
    <s v="Fresh Potato"/>
    <s v="Gram "/>
    <s v="Gram "/>
    <n v="400"/>
    <m/>
    <m/>
    <n v="10"/>
    <x v="0"/>
    <n v="40"/>
    <n v="3.3738191632928472E-3"/>
    <n v="0.1349527665317139"/>
  </r>
  <r>
    <x v="36"/>
    <s v="Gourmet360"/>
    <x v="0"/>
    <x v="36"/>
    <x v="4"/>
    <x v="0"/>
    <m/>
    <m/>
    <m/>
    <s v="DRS1-110"/>
    <s v="Sauce Oyster"/>
    <s v="Ml"/>
    <s v="Ml"/>
    <n v="200"/>
    <m/>
    <m/>
    <n v="10"/>
    <x v="0"/>
    <n v="20"/>
    <n v="1.805E-2"/>
    <n v="0.36099999999999999"/>
  </r>
  <r>
    <x v="36"/>
    <s v="Gourmet360"/>
    <x v="0"/>
    <x v="36"/>
    <x v="4"/>
    <x v="0"/>
    <m/>
    <m/>
    <m/>
    <s v="DRS1-4103"/>
    <s v="Butter Peanuts(794 Gram)"/>
    <s v="Gram "/>
    <s v="Gram "/>
    <n v="100"/>
    <m/>
    <m/>
    <n v="10"/>
    <x v="0"/>
    <n v="10"/>
    <n v="2.67632241813602E-2"/>
    <n v="0.26763224181360201"/>
  </r>
  <r>
    <x v="36"/>
    <s v="Gourmet360"/>
    <x v="0"/>
    <x v="36"/>
    <x v="4"/>
    <x v="0"/>
    <m/>
    <m/>
    <m/>
    <s v="DRS4-1457"/>
    <s v="Rice Egypt"/>
    <s v="Gram "/>
    <s v="Gram "/>
    <n v="1000"/>
    <m/>
    <m/>
    <n v="10"/>
    <x v="0"/>
    <n v="100"/>
    <n v="6.4999999999999997E-3"/>
    <n v="0.65"/>
  </r>
  <r>
    <x v="36"/>
    <s v="Gourmet360"/>
    <x v="0"/>
    <x v="36"/>
    <x v="4"/>
    <x v="0"/>
    <m/>
    <m/>
    <m/>
    <s v="TAP-00001"/>
    <s v="Tap Water-Cooking"/>
    <s v="Ml"/>
    <s v="Ml"/>
    <n v="1600"/>
    <m/>
    <m/>
    <n v="10"/>
    <x v="0"/>
    <n v="160"/>
    <n v="8.0000000000000007E-5"/>
    <n v="1.2800000000000001E-2"/>
  </r>
  <r>
    <x v="36"/>
    <s v="Gourmet360"/>
    <x v="0"/>
    <x v="36"/>
    <x v="4"/>
    <x v="0"/>
    <m/>
    <m/>
    <m/>
    <s v="PRD1-239"/>
    <s v="Fresh Sweet Pepper Green"/>
    <s v="Gram "/>
    <s v="Gram "/>
    <n v="100"/>
    <m/>
    <m/>
    <n v="10"/>
    <x v="0"/>
    <n v="10"/>
    <n v="6.6864784546805346E-3"/>
    <n v="6.6864784546805348E-2"/>
  </r>
  <r>
    <x v="36"/>
    <s v="Gourmet360"/>
    <x v="0"/>
    <x v="36"/>
    <x v="4"/>
    <x v="0"/>
    <m/>
    <m/>
    <m/>
    <s v="PRD1-241"/>
    <s v="Fresh Sweet Pepper Yellow"/>
    <s v="Gram "/>
    <s v="Gram "/>
    <n v="100"/>
    <m/>
    <m/>
    <n v="10"/>
    <x v="0"/>
    <n v="10"/>
    <n v="1.3196480938416421E-2"/>
    <n v="0.13196480938416422"/>
  </r>
  <r>
    <x v="37"/>
    <s v="Gourmet360"/>
    <x v="0"/>
    <x v="37"/>
    <x v="4"/>
    <x v="0"/>
    <m/>
    <m/>
    <m/>
    <s v="DRS3-1813"/>
    <s v="Corn Oil (18 Liter)"/>
    <s v="Ml"/>
    <s v="Ml"/>
    <n v="40"/>
    <m/>
    <m/>
    <n v="10"/>
    <x v="0"/>
    <n v="4"/>
    <n v="8.0555555555555554E-3"/>
    <n v="3.2222222222222222E-2"/>
  </r>
  <r>
    <x v="37"/>
    <s v="Gourmet360"/>
    <x v="0"/>
    <x v="37"/>
    <x v="4"/>
    <x v="0"/>
    <m/>
    <m/>
    <m/>
    <s v="PRD1-4265"/>
    <s v="Fresh onion Yellow(Imported)"/>
    <s v="Gram "/>
    <s v="Gram "/>
    <n v="150"/>
    <m/>
    <m/>
    <n v="10"/>
    <x v="0"/>
    <n v="15"/>
    <n v="3.529411764705882E-3"/>
    <n v="5.2941176470588228E-2"/>
  </r>
  <r>
    <x v="37"/>
    <s v="Gourmet360"/>
    <x v="0"/>
    <x v="37"/>
    <x v="4"/>
    <x v="0"/>
    <m/>
    <m/>
    <m/>
    <s v="PRD1-4327"/>
    <s v="Fresh Garlic Peeled"/>
    <s v="Gram "/>
    <s v="Gram "/>
    <n v="10"/>
    <m/>
    <m/>
    <n v="10"/>
    <x v="0"/>
    <n v="1"/>
    <n v="1.2999999999999999E-2"/>
    <n v="1.2999999999999999E-2"/>
  </r>
  <r>
    <x v="37"/>
    <s v="Gourmet360"/>
    <x v="0"/>
    <x v="37"/>
    <x v="4"/>
    <x v="0"/>
    <m/>
    <m/>
    <m/>
    <s v="DRS1-304"/>
    <s v="Food Color Yellow(Saffron)"/>
    <s v="Gram "/>
    <s v="Gram "/>
    <n v="1"/>
    <m/>
    <m/>
    <n v="10"/>
    <x v="0"/>
    <n v="0.1"/>
    <n v="2.0799999999999999E-2"/>
    <n v="2.0799999999999998E-3"/>
  </r>
  <r>
    <x v="37"/>
    <s v="Gourmet360"/>
    <x v="0"/>
    <x v="37"/>
    <x v="4"/>
    <x v="0"/>
    <m/>
    <m/>
    <m/>
    <s v="TAP-00001"/>
    <s v="Tap Water-Cooking"/>
    <s v="Ml"/>
    <s v="Ml"/>
    <n v="1800"/>
    <m/>
    <m/>
    <n v="10"/>
    <x v="0"/>
    <n v="180"/>
    <n v="8.0000000000000007E-5"/>
    <n v="1.4400000000000001E-2"/>
  </r>
  <r>
    <x v="37"/>
    <s v="Gourmet360"/>
    <x v="0"/>
    <x v="37"/>
    <x v="4"/>
    <x v="0"/>
    <m/>
    <m/>
    <m/>
    <s v="DRS4-498"/>
    <s v="Rice Basmati"/>
    <s v="Gram "/>
    <s v="Gram "/>
    <n v="1000"/>
    <m/>
    <m/>
    <n v="10"/>
    <x v="0"/>
    <n v="100"/>
    <n v="5.7499999999999999E-3"/>
    <n v="0.57499999999999996"/>
  </r>
  <r>
    <x v="37"/>
    <s v="Gourmet360"/>
    <x v="0"/>
    <x v="37"/>
    <x v="4"/>
    <x v="0"/>
    <m/>
    <m/>
    <m/>
    <s v="DRS1-3811"/>
    <s v="Chicken Stock Powder(Packet)"/>
    <s v="Gram "/>
    <s v="Gram "/>
    <n v="20"/>
    <m/>
    <m/>
    <n v="10"/>
    <x v="0"/>
    <n v="2"/>
    <n v="2.8475E-2"/>
    <n v="5.6950000000000001E-2"/>
  </r>
  <r>
    <x v="37"/>
    <s v="Gourmet360"/>
    <x v="0"/>
    <x v="37"/>
    <x v="4"/>
    <x v="0"/>
    <m/>
    <m/>
    <m/>
    <s v="DRY2-1008"/>
    <s v="Butter 82% Fat(Unsalted) 25 kg"/>
    <s v="Gram "/>
    <s v="Gram "/>
    <n v="20"/>
    <m/>
    <m/>
    <n v="10"/>
    <x v="0"/>
    <n v="2"/>
    <n v="0.03"/>
    <n v="0.06"/>
  </r>
  <r>
    <x v="37"/>
    <s v="Gourmet360"/>
    <x v="0"/>
    <x v="37"/>
    <x v="4"/>
    <x v="0"/>
    <m/>
    <m/>
    <m/>
    <s v="DRS6-1020"/>
    <s v="Spices Cloves Seeds"/>
    <s v="Gram "/>
    <s v="Gram "/>
    <n v="1"/>
    <m/>
    <m/>
    <n v="10"/>
    <x v="0"/>
    <n v="0.1"/>
    <n v="5.5E-2"/>
    <n v="5.5000000000000005E-3"/>
  </r>
  <r>
    <x v="37"/>
    <s v="Gourmet360"/>
    <x v="0"/>
    <x v="37"/>
    <x v="4"/>
    <x v="0"/>
    <m/>
    <m/>
    <m/>
    <s v="PRD3-1675"/>
    <s v="Dry Lemon Black(1 Kg)"/>
    <s v="Gram "/>
    <s v="Gram "/>
    <n v="2"/>
    <m/>
    <m/>
    <n v="10"/>
    <x v="0"/>
    <n v="0.2"/>
    <n v="1.2E-2"/>
    <n v="2.4000000000000002E-3"/>
  </r>
  <r>
    <x v="37"/>
    <s v="Gourmet360"/>
    <x v="0"/>
    <x v="37"/>
    <x v="4"/>
    <x v="0"/>
    <m/>
    <m/>
    <m/>
    <s v="DRS6-260"/>
    <s v="Spices Cinnamon Powder"/>
    <s v="Gram "/>
    <s v="Gram "/>
    <n v="2"/>
    <m/>
    <m/>
    <n v="10"/>
    <x v="0"/>
    <n v="0.2"/>
    <n v="0.02"/>
    <n v="4.0000000000000001E-3"/>
  </r>
  <r>
    <x v="37"/>
    <s v="Gourmet360"/>
    <x v="0"/>
    <x v="37"/>
    <x v="4"/>
    <x v="0"/>
    <m/>
    <m/>
    <m/>
    <s v="DRS6-539"/>
    <s v="Spices Cardamon Seeds"/>
    <s v="Gram "/>
    <s v="Gram "/>
    <n v="4"/>
    <m/>
    <m/>
    <n v="10"/>
    <x v="0"/>
    <n v="0.4"/>
    <n v="0.16"/>
    <n v="6.4000000000000001E-2"/>
  </r>
  <r>
    <x v="37"/>
    <s v="Gourmet360"/>
    <x v="0"/>
    <x v="37"/>
    <x v="4"/>
    <x v="0"/>
    <m/>
    <m/>
    <m/>
    <s v="DRS1-103"/>
    <s v="Tahina Liquid(10Kg)"/>
    <s v="Gram "/>
    <s v="Gram "/>
    <n v="150"/>
    <m/>
    <m/>
    <n v="10"/>
    <x v="0"/>
    <n v="15"/>
    <n v="1.0999999999999999E-2"/>
    <n v="0.16499999999999998"/>
  </r>
  <r>
    <x v="37"/>
    <s v="Gourmet360"/>
    <x v="0"/>
    <x v="37"/>
    <x v="4"/>
    <x v="0"/>
    <m/>
    <m/>
    <m/>
    <s v="TAP-00001"/>
    <s v="Tap Water-Cooking"/>
    <s v="Ml"/>
    <s v="Ml"/>
    <n v="200"/>
    <m/>
    <m/>
    <n v="10"/>
    <x v="0"/>
    <n v="20"/>
    <n v="8.0000000000000007E-5"/>
    <n v="1.6000000000000001E-3"/>
  </r>
  <r>
    <x v="37"/>
    <s v="Gourmet360"/>
    <x v="0"/>
    <x v="37"/>
    <x v="4"/>
    <x v="0"/>
    <m/>
    <m/>
    <m/>
    <s v="DRS6-733"/>
    <s v="Spices Cumin Powder"/>
    <s v="Gram "/>
    <s v="Gram "/>
    <n v="1"/>
    <m/>
    <m/>
    <n v="10"/>
    <x v="0"/>
    <n v="0.1"/>
    <n v="2.8000000000000001E-2"/>
    <n v="2.8000000000000004E-3"/>
  </r>
  <r>
    <x v="37"/>
    <s v="Gourmet360"/>
    <x v="0"/>
    <x v="37"/>
    <x v="4"/>
    <x v="0"/>
    <m/>
    <m/>
    <m/>
    <s v="DRS6-309"/>
    <s v="Spice Pepper White Powder"/>
    <s v="Gram "/>
    <s v="Gram "/>
    <n v="1"/>
    <m/>
    <m/>
    <n v="10"/>
    <x v="0"/>
    <n v="0.1"/>
    <n v="2.8000000000000001E-2"/>
    <n v="2.8000000000000004E-3"/>
  </r>
  <r>
    <x v="37"/>
    <s v="Gourmet360"/>
    <x v="0"/>
    <x v="37"/>
    <x v="4"/>
    <x v="0"/>
    <m/>
    <m/>
    <m/>
    <s v="PRD1-209"/>
    <s v="Fresh Lemon"/>
    <s v="Gram "/>
    <s v="Gram "/>
    <n v="40"/>
    <m/>
    <m/>
    <n v="10"/>
    <x v="0"/>
    <n v="4"/>
    <n v="1.0088272383354349E-2"/>
    <n v="4.0353089533417395E-2"/>
  </r>
  <r>
    <x v="37"/>
    <s v="Gourmet360"/>
    <x v="0"/>
    <x v="37"/>
    <x v="4"/>
    <x v="0"/>
    <m/>
    <m/>
    <m/>
    <s v="DRS1-3448"/>
    <s v="Lemon Salt (Kg)"/>
    <s v="Gram "/>
    <s v="Gram "/>
    <n v="2"/>
    <m/>
    <m/>
    <n v="10"/>
    <x v="0"/>
    <n v="0.2"/>
    <n v="5.0000000000000001E-3"/>
    <n v="1E-3"/>
  </r>
  <r>
    <x v="37"/>
    <s v="Gourmet360"/>
    <x v="0"/>
    <x v="37"/>
    <x v="4"/>
    <x v="0"/>
    <m/>
    <m/>
    <m/>
    <s v="DRS1-3880"/>
    <s v="Salt "/>
    <s v="Gram "/>
    <s v="Gram "/>
    <n v="5"/>
    <m/>
    <m/>
    <n v="10"/>
    <x v="0"/>
    <n v="0.5"/>
    <n v="5.0000000000000001E-4"/>
    <n v="2.5000000000000001E-4"/>
  </r>
  <r>
    <x v="37"/>
    <s v="Gourmet360"/>
    <x v="0"/>
    <x v="37"/>
    <x v="4"/>
    <x v="0"/>
    <m/>
    <m/>
    <m/>
    <s v="MET2-3558"/>
    <s v="Frz Leg Boneless (Veal)"/>
    <s v="Gram "/>
    <s v="Gram "/>
    <n v="1000"/>
    <m/>
    <m/>
    <n v="10"/>
    <x v="0"/>
    <n v="100"/>
    <n v="8.7272727272727266E-2"/>
    <n v="8.7272727272727266"/>
  </r>
  <r>
    <x v="37"/>
    <s v="Gourmet360"/>
    <x v="0"/>
    <x v="37"/>
    <x v="4"/>
    <x v="0"/>
    <m/>
    <m/>
    <m/>
    <s v="PRD3-5038"/>
    <s v="Fried Onions"/>
    <s v="Gram "/>
    <s v="Gram "/>
    <n v="100"/>
    <m/>
    <m/>
    <n v="10"/>
    <x v="0"/>
    <n v="10"/>
    <n v="2.5999999999999999E-2"/>
    <n v="0.26"/>
  </r>
  <r>
    <x v="37"/>
    <s v="Gourmet360"/>
    <x v="0"/>
    <x v="37"/>
    <x v="4"/>
    <x v="0"/>
    <m/>
    <m/>
    <m/>
    <s v="PRD1-4327"/>
    <s v="Fresh Garlic Peeled"/>
    <s v="Gram "/>
    <s v="Gram "/>
    <n v="10"/>
    <m/>
    <m/>
    <n v="10"/>
    <x v="0"/>
    <n v="1"/>
    <n v="1.2999999999999999E-2"/>
    <n v="1.2999999999999999E-2"/>
  </r>
  <r>
    <x v="37"/>
    <s v="Gourmet360"/>
    <x v="0"/>
    <x v="37"/>
    <x v="4"/>
    <x v="0"/>
    <m/>
    <m/>
    <m/>
    <s v="DRS1-1747"/>
    <s v="Can Tomato Paste (4500 Gram)"/>
    <s v="Gram "/>
    <s v="Gram "/>
    <n v="50"/>
    <m/>
    <m/>
    <n v="10"/>
    <x v="0"/>
    <n v="5"/>
    <n v="5.185185185185185E-3"/>
    <n v="2.5925925925925925E-2"/>
  </r>
  <r>
    <x v="37"/>
    <s v="Gourmet360"/>
    <x v="0"/>
    <x v="37"/>
    <x v="4"/>
    <x v="0"/>
    <m/>
    <m/>
    <m/>
    <s v="DRS6-1674"/>
    <s v="Spice Turmeric Powder (1 Kg)"/>
    <s v="Gram "/>
    <s v="Gram "/>
    <n v="2"/>
    <m/>
    <m/>
    <n v="10"/>
    <x v="0"/>
    <n v="0.2"/>
    <n v="1.2500000000000001E-2"/>
    <n v="2.5000000000000005E-3"/>
  </r>
  <r>
    <x v="37"/>
    <s v="Gourmet360"/>
    <x v="0"/>
    <x v="37"/>
    <x v="4"/>
    <x v="0"/>
    <m/>
    <m/>
    <m/>
    <s v="DRS6-1020"/>
    <s v="Spices Cloves Seeds"/>
    <s v="Gram "/>
    <s v="Gram "/>
    <n v="2"/>
    <m/>
    <m/>
    <n v="10"/>
    <x v="0"/>
    <n v="0.2"/>
    <n v="5.5E-2"/>
    <n v="1.1000000000000001E-2"/>
  </r>
  <r>
    <x v="37"/>
    <s v="Gourmet360"/>
    <x v="0"/>
    <x v="37"/>
    <x v="4"/>
    <x v="0"/>
    <m/>
    <m/>
    <m/>
    <s v="DRS6-3593"/>
    <s v="Spices Bay Leaves"/>
    <s v="Gram "/>
    <s v="Gram "/>
    <n v="2"/>
    <m/>
    <m/>
    <n v="10"/>
    <x v="0"/>
    <n v="0.2"/>
    <n v="8.0000000000000002E-3"/>
    <n v="1.6000000000000001E-3"/>
  </r>
  <r>
    <x v="38"/>
    <s v="Gourmet360"/>
    <x v="0"/>
    <x v="38"/>
    <x v="4"/>
    <x v="0"/>
    <m/>
    <m/>
    <m/>
    <s v="PLT2-3278"/>
    <s v="Frz Chicken Breast Tender (KG)"/>
    <s v="Gram "/>
    <s v="Gram "/>
    <n v="700"/>
    <m/>
    <m/>
    <n v="10"/>
    <x v="0"/>
    <n v="70"/>
    <n v="3.0357142857142853E-2"/>
    <n v="2.1249999999999996"/>
  </r>
  <r>
    <x v="38"/>
    <s v="Gourmet360"/>
    <x v="0"/>
    <x v="38"/>
    <x v="4"/>
    <x v="0"/>
    <m/>
    <m/>
    <m/>
    <s v="PRD1-4265"/>
    <s v="Fresh onion Yellow(Imported)"/>
    <s v="Gram "/>
    <s v="Gram "/>
    <n v="250"/>
    <m/>
    <m/>
    <n v="10"/>
    <x v="0"/>
    <n v="25"/>
    <n v="3.529411764705882E-3"/>
    <n v="8.8235294117647051E-2"/>
  </r>
  <r>
    <x v="38"/>
    <s v="Gourmet360"/>
    <x v="0"/>
    <x v="38"/>
    <x v="4"/>
    <x v="0"/>
    <m/>
    <m/>
    <m/>
    <s v="PRD1-240"/>
    <s v="Fresh Sweet Pepper Red "/>
    <s v="Gram "/>
    <s v="Gram "/>
    <n v="100"/>
    <m/>
    <m/>
    <n v="10"/>
    <x v="0"/>
    <n v="10"/>
    <n v="1.3293943870014769E-2"/>
    <n v="0.13293943870014768"/>
  </r>
  <r>
    <x v="38"/>
    <s v="Gourmet360"/>
    <x v="0"/>
    <x v="38"/>
    <x v="4"/>
    <x v="0"/>
    <m/>
    <m/>
    <m/>
    <s v="DRS1-1142"/>
    <s v="Soya Sauce Kikkoman(Liter)"/>
    <s v="Ml"/>
    <s v="Ml"/>
    <n v="50"/>
    <m/>
    <m/>
    <n v="10"/>
    <x v="0"/>
    <n v="5"/>
    <n v="2.3579999999999997E-2"/>
    <n v="0.11789999999999998"/>
  </r>
  <r>
    <x v="38"/>
    <s v="Gourmet360"/>
    <x v="0"/>
    <x v="38"/>
    <x v="4"/>
    <x v="0"/>
    <m/>
    <m/>
    <m/>
    <s v="BKR1-1328"/>
    <s v="Bread Jumbo Sandwich White 400007"/>
    <s v="Each"/>
    <s v="Each"/>
    <n v="10"/>
    <m/>
    <m/>
    <n v="10"/>
    <x v="0"/>
    <n v="1"/>
    <n v="1"/>
    <n v="1"/>
  </r>
  <r>
    <x v="38"/>
    <s v="Gourmet360"/>
    <x v="0"/>
    <x v="38"/>
    <x v="4"/>
    <x v="0"/>
    <m/>
    <m/>
    <m/>
    <s v="DRY1-3344"/>
    <s v="Cheese Cheddar Sliced Red(KG)"/>
    <s v="Gram "/>
    <s v="Gram "/>
    <n v="200"/>
    <m/>
    <m/>
    <n v="10"/>
    <x v="0"/>
    <n v="20"/>
    <n v="2.3E-2"/>
    <n v="0.45999999999999996"/>
  </r>
  <r>
    <x v="38"/>
    <s v="Gourmet360"/>
    <x v="0"/>
    <x v="38"/>
    <x v="4"/>
    <x v="0"/>
    <m/>
    <m/>
    <m/>
    <s v="DRS1-4181"/>
    <s v="Avocado Paste"/>
    <s v="Gram "/>
    <s v="Gram "/>
    <n v="200"/>
    <m/>
    <m/>
    <n v="10"/>
    <x v="0"/>
    <n v="20"/>
    <n v="3.2000000000000001E-2"/>
    <n v="0.64"/>
  </r>
  <r>
    <x v="38"/>
    <s v="Gourmet360"/>
    <x v="0"/>
    <x v="38"/>
    <x v="4"/>
    <x v="0"/>
    <m/>
    <m/>
    <m/>
    <s v="PRD1-239"/>
    <s v="Fresh Sweet Pepper Green"/>
    <s v="Gram "/>
    <s v="Gram "/>
    <n v="100"/>
    <m/>
    <m/>
    <n v="10"/>
    <x v="0"/>
    <n v="10"/>
    <n v="6.6864784546805346E-3"/>
    <n v="6.6864784546805348E-2"/>
  </r>
  <r>
    <x v="38"/>
    <s v="Gourmet360"/>
    <x v="0"/>
    <x v="38"/>
    <x v="4"/>
    <x v="0"/>
    <m/>
    <m/>
    <m/>
    <s v="PRD1-241"/>
    <s v="Fresh Sweet Pepper Yellow"/>
    <s v="Gram "/>
    <s v="Gram "/>
    <n v="100"/>
    <m/>
    <m/>
    <n v="10"/>
    <x v="0"/>
    <n v="10"/>
    <n v="1.3196480938416421E-2"/>
    <n v="0.13196480938416422"/>
  </r>
  <r>
    <x v="38"/>
    <s v="Gourmet360"/>
    <x v="0"/>
    <x v="38"/>
    <x v="4"/>
    <x v="0"/>
    <m/>
    <m/>
    <m/>
    <s v="PRD2-1166"/>
    <s v="Frz Potato Wedges "/>
    <s v="Gram "/>
    <s v="Gram "/>
    <n v="700"/>
    <m/>
    <m/>
    <n v="10"/>
    <x v="0"/>
    <n v="70"/>
    <n v="1.0500000000000001E-2"/>
    <n v="0.7350000000000001"/>
  </r>
  <r>
    <x v="38"/>
    <s v="Gourmet360"/>
    <x v="0"/>
    <x v="38"/>
    <x v="4"/>
    <x v="0"/>
    <m/>
    <m/>
    <m/>
    <s v="DRS3-1813"/>
    <s v="Corn Oil (18 Liter)"/>
    <s v="Ml"/>
    <s v="Ml"/>
    <n v="250"/>
    <m/>
    <m/>
    <n v="10"/>
    <x v="0"/>
    <n v="25"/>
    <n v="8.0555555555555554E-3"/>
    <n v="0.2013888888888889"/>
  </r>
  <r>
    <x v="38"/>
    <s v="Gourmet360"/>
    <x v="0"/>
    <x v="38"/>
    <x v="4"/>
    <x v="0"/>
    <m/>
    <m/>
    <m/>
    <s v="DRS1-3880"/>
    <s v="Salt "/>
    <s v="Gram "/>
    <s v="Gram "/>
    <n v="5"/>
    <m/>
    <m/>
    <n v="10"/>
    <x v="0"/>
    <n v="0.5"/>
    <n v="5.0000000000000001E-4"/>
    <n v="2.5000000000000001E-4"/>
  </r>
  <r>
    <x v="39"/>
    <s v="Gourmet360"/>
    <x v="0"/>
    <x v="39"/>
    <x v="4"/>
    <x v="0"/>
    <m/>
    <m/>
    <m/>
    <s v="PRD1-230"/>
    <s v="Fresh Potato"/>
    <s v="Gram "/>
    <s v="Gram "/>
    <n v="1500"/>
    <m/>
    <m/>
    <n v="15"/>
    <x v="0"/>
    <n v="100"/>
    <n v="3.3738191632928472E-3"/>
    <n v="0.33738191632928471"/>
  </r>
  <r>
    <x v="39"/>
    <s v="Gourmet360"/>
    <x v="0"/>
    <x v="39"/>
    <x v="4"/>
    <x v="0"/>
    <m/>
    <m/>
    <m/>
    <s v="PRD1-201"/>
    <s v="Fresh Eggplant"/>
    <s v="Gram "/>
    <s v="Gram "/>
    <n v="2500"/>
    <m/>
    <m/>
    <n v="15"/>
    <x v="0"/>
    <n v="166.66666666666666"/>
    <n v="4.2857142857142868E-3"/>
    <n v="0.71428571428571441"/>
  </r>
  <r>
    <x v="39"/>
    <s v="Gourmet360"/>
    <x v="0"/>
    <x v="39"/>
    <x v="4"/>
    <x v="0"/>
    <m/>
    <m/>
    <m/>
    <s v="MET2-585"/>
    <s v="Frz Beef Topside"/>
    <s v="Gram "/>
    <s v="Gram "/>
    <n v="1000"/>
    <m/>
    <m/>
    <n v="15"/>
    <x v="0"/>
    <n v="66.666666666666671"/>
    <n v="4.2630057803468215E-2"/>
    <n v="2.842003853564548"/>
  </r>
  <r>
    <x v="39"/>
    <s v="Gourmet360"/>
    <x v="0"/>
    <x v="39"/>
    <x v="4"/>
    <x v="0"/>
    <m/>
    <m/>
    <m/>
    <s v="PRD1-4265"/>
    <s v="Fresh onion Yellow(Imported)"/>
    <s v="Gram "/>
    <s v="Gram "/>
    <n v="200"/>
    <m/>
    <m/>
    <n v="15"/>
    <x v="0"/>
    <n v="13.333333333333334"/>
    <n v="3.529411764705882E-3"/>
    <n v="4.7058823529411764E-2"/>
  </r>
  <r>
    <x v="39"/>
    <s v="Gourmet360"/>
    <x v="0"/>
    <x v="39"/>
    <x v="4"/>
    <x v="0"/>
    <m/>
    <m/>
    <m/>
    <s v="PRD1-4327"/>
    <s v="Fresh Garlic Peeled"/>
    <s v="Gram "/>
    <s v="Gram "/>
    <n v="30"/>
    <m/>
    <m/>
    <n v="15"/>
    <x v="0"/>
    <n v="2"/>
    <n v="1.2999999999999999E-2"/>
    <n v="2.5999999999999999E-2"/>
  </r>
  <r>
    <x v="39"/>
    <s v="Gourmet360"/>
    <x v="0"/>
    <x v="39"/>
    <x v="4"/>
    <x v="0"/>
    <m/>
    <m/>
    <m/>
    <s v="DRS6-537"/>
    <s v="Spices Pepper Black Powder(1 Kg)"/>
    <s v="Gram "/>
    <s v="Gram "/>
    <n v="2"/>
    <m/>
    <m/>
    <n v="15"/>
    <x v="0"/>
    <n v="0.13333333333333333"/>
    <n v="3.5000000000000003E-2"/>
    <n v="4.6666666666666671E-3"/>
  </r>
  <r>
    <x v="39"/>
    <s v="Gourmet360"/>
    <x v="0"/>
    <x v="39"/>
    <x v="4"/>
    <x v="0"/>
    <m/>
    <m/>
    <m/>
    <s v="DRS1-3813"/>
    <s v="Beef Stock Powder(Packet)"/>
    <s v="Gram "/>
    <s v="Gram "/>
    <n v="5"/>
    <m/>
    <m/>
    <n v="15"/>
    <x v="0"/>
    <n v="0.33333333333333331"/>
    <n v="4.4441666666666664E-2"/>
    <n v="1.4813888888888887E-2"/>
  </r>
  <r>
    <x v="39"/>
    <s v="Gourmet360"/>
    <x v="0"/>
    <x v="39"/>
    <x v="4"/>
    <x v="0"/>
    <m/>
    <m/>
    <m/>
    <s v="DRS6-1570"/>
    <s v="Dried Oregano"/>
    <s v="Gram "/>
    <s v="Gram "/>
    <n v="0.5"/>
    <m/>
    <m/>
    <n v="15"/>
    <x v="0"/>
    <n v="3.3333333333333333E-2"/>
    <n v="9.3526666666666654E-3"/>
    <n v="3.1175555555555548E-4"/>
  </r>
  <r>
    <x v="39"/>
    <s v="Gourmet360"/>
    <x v="0"/>
    <x v="39"/>
    <x v="4"/>
    <x v="0"/>
    <m/>
    <m/>
    <m/>
    <s v="PRD1-572"/>
    <s v="Fresh Tomato "/>
    <s v="Gram "/>
    <s v="Gram "/>
    <n v="500"/>
    <m/>
    <m/>
    <n v="15"/>
    <x v="0"/>
    <n v="33.333333333333336"/>
    <n v="4.5351473922902496E-3"/>
    <n v="0.15117157974300832"/>
  </r>
  <r>
    <x v="39"/>
    <s v="Gourmet360"/>
    <x v="0"/>
    <x v="39"/>
    <x v="4"/>
    <x v="0"/>
    <m/>
    <m/>
    <m/>
    <s v="DRS1-607"/>
    <s v="Can Tomato Peeled"/>
    <s v="Gram "/>
    <s v="Gram "/>
    <n v="200"/>
    <m/>
    <m/>
    <n v="15"/>
    <x v="0"/>
    <n v="13.333333333333334"/>
    <n v="5.8823529411764705E-3"/>
    <n v="7.8431372549019607E-2"/>
  </r>
  <r>
    <x v="39"/>
    <s v="Gourmet360"/>
    <x v="0"/>
    <x v="39"/>
    <x v="4"/>
    <x v="0"/>
    <m/>
    <m/>
    <m/>
    <s v="DRY1-1801"/>
    <s v="Cheese Mozzarella Grated (KG)"/>
    <s v="Gram "/>
    <s v="Gram "/>
    <n v="400"/>
    <m/>
    <m/>
    <n v="15"/>
    <x v="0"/>
    <n v="26.666666666666668"/>
    <n v="2.5000000000000001E-2"/>
    <n v="0.66666666666666674"/>
  </r>
  <r>
    <x v="39"/>
    <s v="Gourmet360"/>
    <x v="0"/>
    <x v="39"/>
    <x v="4"/>
    <x v="0"/>
    <m/>
    <m/>
    <m/>
    <s v="DRS1-1747"/>
    <s v="Can Tomato Paste (4500 Gram)"/>
    <s v="Gram "/>
    <s v="Gram "/>
    <n v="30"/>
    <m/>
    <m/>
    <n v="15"/>
    <x v="0"/>
    <n v="2"/>
    <n v="5.185185185185185E-3"/>
    <n v="1.037037037037037E-2"/>
  </r>
  <r>
    <x v="39"/>
    <s v="Gourmet360"/>
    <x v="0"/>
    <x v="39"/>
    <x v="4"/>
    <x v="0"/>
    <m/>
    <m/>
    <m/>
    <s v="DRS1-3880"/>
    <s v="Salt "/>
    <s v="Gram "/>
    <s v="Gram "/>
    <n v="5"/>
    <m/>
    <m/>
    <n v="15"/>
    <x v="0"/>
    <n v="0.33333333333333331"/>
    <n v="5.0000000000000001E-4"/>
    <n v="1.6666666666666666E-4"/>
  </r>
  <r>
    <x v="39"/>
    <s v="Gourmet360"/>
    <x v="0"/>
    <x v="39"/>
    <x v="4"/>
    <x v="0"/>
    <m/>
    <m/>
    <m/>
    <s v="DRY2-1008"/>
    <s v="Butter 82% Fat(Unsalted) 25 kg"/>
    <s v="Gram "/>
    <s v="Gram "/>
    <n v="70"/>
    <m/>
    <m/>
    <n v="15"/>
    <x v="0"/>
    <n v="4.666666666666667"/>
    <n v="0.03"/>
    <n v="0.14000000000000001"/>
  </r>
  <r>
    <x v="39"/>
    <s v="Gourmet360"/>
    <x v="0"/>
    <x v="39"/>
    <x v="4"/>
    <x v="0"/>
    <m/>
    <m/>
    <m/>
    <s v="DRS5-980"/>
    <s v="Flour Cake Special (all purpose)"/>
    <s v="Gram "/>
    <s v="Gram "/>
    <n v="70"/>
    <m/>
    <m/>
    <n v="15"/>
    <x v="0"/>
    <n v="4.666666666666667"/>
    <n v="1E-3"/>
    <n v="4.6666666666666671E-3"/>
  </r>
  <r>
    <x v="39"/>
    <s v="Gourmet360"/>
    <x v="0"/>
    <x v="39"/>
    <x v="4"/>
    <x v="0"/>
    <m/>
    <m/>
    <m/>
    <s v="DRS6-309"/>
    <s v="Spice Pepper White Powder"/>
    <s v="Gram "/>
    <s v="Gram "/>
    <n v="1"/>
    <m/>
    <m/>
    <n v="15"/>
    <x v="0"/>
    <n v="6.6666666666666666E-2"/>
    <n v="2.8000000000000001E-2"/>
    <n v="1.8666666666666666E-3"/>
  </r>
  <r>
    <x v="39"/>
    <s v="Gourmet360"/>
    <x v="0"/>
    <x v="39"/>
    <x v="4"/>
    <x v="0"/>
    <m/>
    <m/>
    <m/>
    <s v="TAP-00001"/>
    <s v="Tap Water-Cooking"/>
    <s v="Ml"/>
    <s v="Ml"/>
    <n v="900"/>
    <m/>
    <m/>
    <n v="15"/>
    <x v="0"/>
    <n v="60"/>
    <n v="8.0000000000000007E-5"/>
    <n v="4.8000000000000004E-3"/>
  </r>
  <r>
    <x v="39"/>
    <s v="Gourmet360"/>
    <x v="0"/>
    <x v="39"/>
    <x v="4"/>
    <x v="0"/>
    <m/>
    <m/>
    <m/>
    <s v="DRY2-1858"/>
    <s v="Cooking Cream 1 Ltr"/>
    <s v="Ml"/>
    <s v="Ml"/>
    <n v="200"/>
    <m/>
    <m/>
    <n v="15"/>
    <x v="0"/>
    <n v="13.333333333333334"/>
    <n v="9.8800000000000016E-3"/>
    <n v="0.13173333333333337"/>
  </r>
  <r>
    <x v="39"/>
    <s v="Gourmet360"/>
    <x v="0"/>
    <x v="39"/>
    <x v="4"/>
    <x v="0"/>
    <m/>
    <m/>
    <m/>
    <s v="DRS1-3811"/>
    <s v="Chicken Stock Powder(Packet)"/>
    <s v="Gram "/>
    <s v="Gram "/>
    <n v="6"/>
    <m/>
    <m/>
    <n v="15"/>
    <x v="0"/>
    <n v="0.4"/>
    <n v="2.8475E-2"/>
    <n v="1.1390000000000001E-2"/>
  </r>
  <r>
    <x v="39"/>
    <s v="Gourmet360"/>
    <x v="0"/>
    <x v="39"/>
    <x v="4"/>
    <x v="0"/>
    <m/>
    <m/>
    <m/>
    <s v="DRS4-5194"/>
    <s v="Rice,Brown Basmati"/>
    <s v="Gram "/>
    <s v="Gram "/>
    <n v="800"/>
    <m/>
    <m/>
    <n v="15"/>
    <x v="0"/>
    <n v="53.333333333333336"/>
    <n v="1.239E-2"/>
    <n v="0.66080000000000005"/>
  </r>
  <r>
    <x v="39"/>
    <s v="Gourmet360"/>
    <x v="0"/>
    <x v="39"/>
    <x v="4"/>
    <x v="0"/>
    <m/>
    <m/>
    <m/>
    <s v="DRS2-3628"/>
    <s v="Pasta Vermicelli-Cuts,N:61"/>
    <s v="Gram "/>
    <s v="Gram "/>
    <n v="80"/>
    <m/>
    <m/>
    <n v="15"/>
    <x v="0"/>
    <n v="5.333333333333333"/>
    <n v="1.1066666666666667E-2"/>
    <n v="5.9022222222222226E-2"/>
  </r>
  <r>
    <x v="39"/>
    <s v="Gourmet360"/>
    <x v="0"/>
    <x v="39"/>
    <x v="4"/>
    <x v="0"/>
    <m/>
    <m/>
    <m/>
    <s v="DRS3-1813"/>
    <s v="Corn Oil (18 Liter)"/>
    <s v="Ml"/>
    <s v="Ml"/>
    <n v="40"/>
    <m/>
    <m/>
    <n v="15"/>
    <x v="0"/>
    <n v="2.6666666666666665"/>
    <n v="8.0555555555555554E-3"/>
    <n v="2.148148148148148E-2"/>
  </r>
  <r>
    <x v="39"/>
    <s v="Gourmet360"/>
    <x v="0"/>
    <x v="39"/>
    <x v="4"/>
    <x v="0"/>
    <m/>
    <m/>
    <m/>
    <s v="DRS1-3880"/>
    <s v="Salt "/>
    <s v="Gram "/>
    <s v="Gram "/>
    <n v="15"/>
    <m/>
    <m/>
    <n v="15"/>
    <x v="0"/>
    <n v="1"/>
    <n v="5.0000000000000001E-4"/>
    <n v="5.0000000000000001E-4"/>
  </r>
  <r>
    <x v="40"/>
    <s v="Gourmet360"/>
    <x v="0"/>
    <x v="40"/>
    <x v="4"/>
    <x v="0"/>
    <m/>
    <m/>
    <m/>
    <s v="PLT2-5309"/>
    <s v="Frz Chicken Ball"/>
    <s v="Gram "/>
    <s v="Gram "/>
    <n v="1200"/>
    <m/>
    <m/>
    <n v="10"/>
    <x v="0"/>
    <n v="120"/>
    <n v="1.4166666666666666E-2"/>
    <n v="1.7"/>
  </r>
  <r>
    <x v="40"/>
    <s v="Gourmet360"/>
    <x v="0"/>
    <x v="40"/>
    <x v="4"/>
    <x v="0"/>
    <m/>
    <m/>
    <m/>
    <s v="DRS3-1615"/>
    <s v="Olive Oil (CAN)"/>
    <s v="Ml"/>
    <s v="Ml"/>
    <n v="30"/>
    <m/>
    <m/>
    <n v="10"/>
    <x v="0"/>
    <n v="3"/>
    <n v="1.2E-2"/>
    <n v="3.6000000000000004E-2"/>
  </r>
  <r>
    <x v="40"/>
    <s v="Gourmet360"/>
    <x v="0"/>
    <x v="40"/>
    <x v="4"/>
    <x v="0"/>
    <m/>
    <m/>
    <m/>
    <s v="PRD1-4265"/>
    <s v="Fresh onion Yellow(Imported)"/>
    <s v="Gram "/>
    <s v="Gram "/>
    <n v="100"/>
    <m/>
    <m/>
    <n v="10"/>
    <x v="0"/>
    <n v="10"/>
    <n v="3.529411764705882E-3"/>
    <n v="3.5294117647058823E-2"/>
  </r>
  <r>
    <x v="40"/>
    <s v="Gourmet360"/>
    <x v="0"/>
    <x v="40"/>
    <x v="4"/>
    <x v="0"/>
    <m/>
    <m/>
    <m/>
    <s v="PRD1-4327"/>
    <s v="Fresh Garlic Peeled"/>
    <s v="Gram "/>
    <s v="Gram "/>
    <n v="15"/>
    <m/>
    <m/>
    <n v="10"/>
    <x v="0"/>
    <n v="1.5"/>
    <n v="1.2999999999999999E-2"/>
    <n v="1.95E-2"/>
  </r>
  <r>
    <x v="40"/>
    <s v="Gourmet360"/>
    <x v="0"/>
    <x v="40"/>
    <x v="4"/>
    <x v="0"/>
    <m/>
    <m/>
    <m/>
    <s v="DRS1-1747"/>
    <s v="Can Tomato Paste (4500 Gram)"/>
    <s v="Gram "/>
    <s v="Gram "/>
    <n v="80"/>
    <m/>
    <m/>
    <n v="10"/>
    <x v="0"/>
    <n v="8"/>
    <n v="5.185185185185185E-3"/>
    <n v="4.148148148148148E-2"/>
  </r>
  <r>
    <x v="40"/>
    <s v="Gourmet360"/>
    <x v="0"/>
    <x v="40"/>
    <x v="4"/>
    <x v="0"/>
    <m/>
    <m/>
    <m/>
    <s v="DRS6-537"/>
    <s v="Spices Pepper Black Powder(1 Kg)"/>
    <s v="Gram "/>
    <s v="Gram "/>
    <n v="2"/>
    <m/>
    <m/>
    <n v="10"/>
    <x v="0"/>
    <n v="0.2"/>
    <n v="3.5000000000000003E-2"/>
    <n v="7.000000000000001E-3"/>
  </r>
  <r>
    <x v="40"/>
    <s v="Gourmet360"/>
    <x v="0"/>
    <x v="40"/>
    <x v="4"/>
    <x v="0"/>
    <m/>
    <m/>
    <m/>
    <s v="PRD1-179"/>
    <s v="Fresh Basil"/>
    <s v="Gram "/>
    <s v="Gram "/>
    <n v="2"/>
    <m/>
    <m/>
    <n v="10"/>
    <x v="0"/>
    <n v="0.2"/>
    <n v="8.9999999999999993E-3"/>
    <n v="1.8E-3"/>
  </r>
  <r>
    <x v="40"/>
    <s v="Gourmet360"/>
    <x v="0"/>
    <x v="40"/>
    <x v="4"/>
    <x v="0"/>
    <m/>
    <m/>
    <m/>
    <s v="DRY2-1858"/>
    <s v="Cooking Cream 1 Ltr"/>
    <s v="Ml"/>
    <s v="Ml"/>
    <n v="500"/>
    <m/>
    <m/>
    <n v="10"/>
    <x v="0"/>
    <n v="50"/>
    <n v="9.8800000000000016E-3"/>
    <n v="0.49400000000000011"/>
  </r>
  <r>
    <x v="40"/>
    <s v="Gourmet360"/>
    <x v="0"/>
    <x v="40"/>
    <x v="4"/>
    <x v="0"/>
    <m/>
    <m/>
    <m/>
    <s v="DRS1-607"/>
    <s v="Can Tomato Peeled"/>
    <s v="Gram "/>
    <s v="Gram "/>
    <n v="750"/>
    <m/>
    <m/>
    <n v="10"/>
    <x v="0"/>
    <n v="75"/>
    <n v="5.8823529411764705E-3"/>
    <n v="0.44117647058823528"/>
  </r>
  <r>
    <x v="40"/>
    <s v="Gourmet360"/>
    <x v="0"/>
    <x v="40"/>
    <x v="4"/>
    <x v="0"/>
    <m/>
    <m/>
    <m/>
    <s v="DRS6-1570"/>
    <s v="Dried Oregano"/>
    <s v="Gram "/>
    <s v="Gram "/>
    <n v="1"/>
    <m/>
    <m/>
    <n v="10"/>
    <x v="0"/>
    <n v="0.1"/>
    <n v="9.3526666666666654E-3"/>
    <n v="9.3526666666666656E-4"/>
  </r>
  <r>
    <x v="40"/>
    <s v="Gourmet360"/>
    <x v="0"/>
    <x v="40"/>
    <x v="4"/>
    <x v="0"/>
    <m/>
    <m/>
    <m/>
    <s v="DRY1-602"/>
    <s v="Cheese Parmesan Grated"/>
    <s v="Gram "/>
    <s v="Gram "/>
    <n v="40"/>
    <m/>
    <m/>
    <n v="10"/>
    <x v="0"/>
    <n v="4"/>
    <n v="5.5E-2"/>
    <n v="0.22"/>
  </r>
  <r>
    <x v="40"/>
    <s v="Gourmet360"/>
    <x v="0"/>
    <x v="40"/>
    <x v="4"/>
    <x v="0"/>
    <m/>
    <m/>
    <m/>
    <s v="DRS1-3811"/>
    <s v="Chicken Stock Powder(Packet)"/>
    <s v="Gram "/>
    <s v="Gram "/>
    <n v="20"/>
    <m/>
    <m/>
    <n v="10"/>
    <x v="0"/>
    <n v="2"/>
    <n v="2.8475E-2"/>
    <n v="5.6950000000000001E-2"/>
  </r>
  <r>
    <x v="40"/>
    <s v="Gourmet360"/>
    <x v="0"/>
    <x v="40"/>
    <x v="4"/>
    <x v="0"/>
    <m/>
    <m/>
    <m/>
    <s v="TAP-00001"/>
    <s v="Tap Water-Cooking"/>
    <s v="Ml"/>
    <s v="Ml"/>
    <n v="200"/>
    <m/>
    <m/>
    <n v="10"/>
    <x v="0"/>
    <n v="20"/>
    <n v="8.0000000000000007E-5"/>
    <n v="1.6000000000000001E-3"/>
  </r>
  <r>
    <x v="40"/>
    <s v="Gourmet360"/>
    <x v="0"/>
    <x v="40"/>
    <x v="4"/>
    <x v="0"/>
    <m/>
    <m/>
    <m/>
    <s v="DRS4-498"/>
    <s v="Rice Basmati"/>
    <s v="Gram "/>
    <s v="Gram "/>
    <n v="1000"/>
    <m/>
    <m/>
    <n v="10"/>
    <x v="0"/>
    <n v="100"/>
    <n v="5.7499999999999999E-3"/>
    <n v="0.57499999999999996"/>
  </r>
  <r>
    <x v="40"/>
    <s v="Gourmet360"/>
    <x v="0"/>
    <x v="40"/>
    <x v="4"/>
    <x v="0"/>
    <m/>
    <m/>
    <m/>
    <s v="TAP-00001"/>
    <s v="Tap Water-Cooking"/>
    <s v="Ml"/>
    <s v="Ml"/>
    <n v="1600"/>
    <m/>
    <m/>
    <n v="10"/>
    <x v="0"/>
    <n v="160"/>
    <n v="8.0000000000000007E-5"/>
    <n v="1.2800000000000001E-2"/>
  </r>
  <r>
    <x v="40"/>
    <s v="Gourmet360"/>
    <x v="0"/>
    <x v="40"/>
    <x v="4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40"/>
    <s v="Gourmet360"/>
    <x v="0"/>
    <x v="40"/>
    <x v="4"/>
    <x v="0"/>
    <m/>
    <m/>
    <m/>
    <s v="DRS3-1813"/>
    <s v="Corn Oil (18 Liter)"/>
    <s v="Ml"/>
    <s v="Ml"/>
    <n v="30"/>
    <m/>
    <m/>
    <n v="10"/>
    <x v="0"/>
    <n v="3"/>
    <n v="8.0555555555555554E-3"/>
    <n v="2.4166666666666666E-2"/>
  </r>
  <r>
    <x v="40"/>
    <s v="Gourmet360"/>
    <x v="0"/>
    <x v="40"/>
    <x v="4"/>
    <x v="0"/>
    <m/>
    <m/>
    <m/>
    <s v="DRS6-3593"/>
    <s v="Spices Bay Leaves"/>
    <s v="Gram "/>
    <s v="Gram "/>
    <n v="1"/>
    <m/>
    <m/>
    <n v="10"/>
    <x v="0"/>
    <n v="0.1"/>
    <n v="8.0000000000000002E-3"/>
    <n v="8.0000000000000004E-4"/>
  </r>
  <r>
    <x v="40"/>
    <s v="Gourmet360"/>
    <x v="0"/>
    <x v="40"/>
    <x v="4"/>
    <x v="0"/>
    <m/>
    <m/>
    <m/>
    <s v="DRS6-261"/>
    <s v="Spices Cinnamon Sticks"/>
    <s v="Gram "/>
    <s v="Gram "/>
    <n v="2"/>
    <m/>
    <m/>
    <n v="10"/>
    <x v="0"/>
    <n v="0.2"/>
    <n v="1.4E-2"/>
    <n v="2.8000000000000004E-3"/>
  </r>
  <r>
    <x v="41"/>
    <s v="Gourmet360"/>
    <x v="0"/>
    <x v="41"/>
    <x v="4"/>
    <x v="0"/>
    <m/>
    <m/>
    <m/>
    <s v="DRS4-490"/>
    <s v="Lentil Brown"/>
    <s v="Gram "/>
    <s v="Gram "/>
    <n v="300"/>
    <m/>
    <m/>
    <n v="10"/>
    <x v="0"/>
    <n v="30"/>
    <n v="8.3333333333333332E-3"/>
    <n v="0.25"/>
  </r>
  <r>
    <x v="41"/>
    <s v="Gourmet360"/>
    <x v="0"/>
    <x v="41"/>
    <x v="4"/>
    <x v="0"/>
    <m/>
    <m/>
    <m/>
    <s v="DRS2-3804"/>
    <s v="Pasta Elbows Small #19"/>
    <s v="Gram "/>
    <s v="Gram "/>
    <n v="500"/>
    <m/>
    <m/>
    <n v="10"/>
    <x v="0"/>
    <n v="50"/>
    <n v="9.2222222222222237E-3"/>
    <n v="0.46111111111111119"/>
  </r>
  <r>
    <x v="41"/>
    <s v="Gourmet360"/>
    <x v="0"/>
    <x v="41"/>
    <x v="4"/>
    <x v="0"/>
    <m/>
    <m/>
    <m/>
    <s v="DRS4-498"/>
    <s v="Rice Basmati"/>
    <s v="Gram "/>
    <s v="Gram "/>
    <n v="600"/>
    <m/>
    <m/>
    <n v="10"/>
    <x v="0"/>
    <n v="60"/>
    <n v="5.7499999999999999E-3"/>
    <n v="0.34499999999999997"/>
  </r>
  <r>
    <x v="41"/>
    <s v="Gourmet360"/>
    <x v="0"/>
    <x v="41"/>
    <x v="4"/>
    <x v="0"/>
    <m/>
    <m/>
    <m/>
    <s v="DRS2-3628"/>
    <s v="Pasta Vermicelli-Cuts,N:61"/>
    <s v="Gram "/>
    <s v="Gram "/>
    <n v="70"/>
    <m/>
    <m/>
    <n v="10"/>
    <x v="0"/>
    <n v="7"/>
    <n v="1.1066666666666667E-2"/>
    <n v="7.746666666666667E-2"/>
  </r>
  <r>
    <x v="41"/>
    <s v="Gourmet360"/>
    <x v="0"/>
    <x v="41"/>
    <x v="4"/>
    <x v="0"/>
    <m/>
    <m/>
    <m/>
    <s v="DRS3-1813"/>
    <s v="Corn Oil (18 Liter)"/>
    <s v="Ml"/>
    <s v="Ml"/>
    <n v="50"/>
    <m/>
    <m/>
    <n v="10"/>
    <x v="0"/>
    <n v="5"/>
    <n v="8.0555555555555554E-3"/>
    <n v="4.0277777777777773E-2"/>
  </r>
  <r>
    <x v="41"/>
    <s v="Gourmet360"/>
    <x v="0"/>
    <x v="41"/>
    <x v="4"/>
    <x v="0"/>
    <m/>
    <m/>
    <m/>
    <s v="DRS6-733"/>
    <s v="Spices Cumin Powder"/>
    <s v="Gram "/>
    <s v="Gram "/>
    <n v="8"/>
    <m/>
    <m/>
    <n v="10"/>
    <x v="0"/>
    <n v="0.8"/>
    <n v="2.8000000000000001E-2"/>
    <n v="2.2400000000000003E-2"/>
  </r>
  <r>
    <x v="41"/>
    <s v="Gourmet360"/>
    <x v="0"/>
    <x v="41"/>
    <x v="4"/>
    <x v="0"/>
    <m/>
    <m/>
    <m/>
    <s v="PRD1-4327"/>
    <s v="Fresh Garlic Peeled"/>
    <s v="Gram "/>
    <s v="Gram "/>
    <n v="20"/>
    <m/>
    <m/>
    <n v="10"/>
    <x v="0"/>
    <n v="2"/>
    <n v="1.2999999999999999E-2"/>
    <n v="2.5999999999999999E-2"/>
  </r>
  <r>
    <x v="41"/>
    <s v="Gourmet360"/>
    <x v="0"/>
    <x v="41"/>
    <x v="4"/>
    <x v="0"/>
    <m/>
    <m/>
    <m/>
    <s v="DRS3-1615"/>
    <s v="Olive Oil (CAN)"/>
    <s v="Ml"/>
    <s v="Ml"/>
    <n v="80"/>
    <m/>
    <m/>
    <n v="10"/>
    <x v="0"/>
    <n v="8"/>
    <n v="1.2E-2"/>
    <n v="9.6000000000000002E-2"/>
  </r>
  <r>
    <x v="41"/>
    <s v="Gourmet360"/>
    <x v="0"/>
    <x v="41"/>
    <x v="4"/>
    <x v="0"/>
    <m/>
    <m/>
    <m/>
    <s v="DRS6-266"/>
    <s v="Spices Coriander Powder"/>
    <s v="Gram "/>
    <s v="Gram "/>
    <n v="3"/>
    <m/>
    <m/>
    <n v="10"/>
    <x v="0"/>
    <n v="0.3"/>
    <n v="1.4E-2"/>
    <n v="4.1999999999999997E-3"/>
  </r>
  <r>
    <x v="41"/>
    <s v="Gourmet360"/>
    <x v="0"/>
    <x v="41"/>
    <x v="4"/>
    <x v="0"/>
    <m/>
    <m/>
    <m/>
    <s v="DRS6-537"/>
    <s v="Spices Pepper Black Powder(1 Kg)"/>
    <s v="Gram "/>
    <s v="Gram "/>
    <n v="2"/>
    <m/>
    <m/>
    <n v="10"/>
    <x v="0"/>
    <n v="0.2"/>
    <n v="3.5000000000000003E-2"/>
    <n v="7.000000000000001E-3"/>
  </r>
  <r>
    <x v="41"/>
    <s v="Gourmet360"/>
    <x v="0"/>
    <x v="41"/>
    <x v="4"/>
    <x v="0"/>
    <m/>
    <m/>
    <m/>
    <s v="PRD1-572"/>
    <s v="Fresh Tomato "/>
    <s v="Gram "/>
    <s v="Gram "/>
    <n v="600"/>
    <m/>
    <m/>
    <n v="10"/>
    <x v="0"/>
    <n v="60"/>
    <n v="4.5351473922902496E-3"/>
    <n v="0.27210884353741499"/>
  </r>
  <r>
    <x v="41"/>
    <s v="Gourmet360"/>
    <x v="0"/>
    <x v="41"/>
    <x v="4"/>
    <x v="0"/>
    <m/>
    <m/>
    <m/>
    <s v="DRS1-1547"/>
    <s v="Vinegar White (Gallon)"/>
    <s v="Ml"/>
    <s v="Ml"/>
    <n v="30"/>
    <m/>
    <m/>
    <n v="10"/>
    <x v="0"/>
    <n v="3"/>
    <n v="2.3026315789473682E-3"/>
    <n v="6.9078947368421042E-3"/>
  </r>
  <r>
    <x v="41"/>
    <s v="Gourmet360"/>
    <x v="0"/>
    <x v="41"/>
    <x v="4"/>
    <x v="0"/>
    <m/>
    <m/>
    <m/>
    <s v="DRS1-3880"/>
    <s v="Salt "/>
    <s v="Gram "/>
    <s v="Gram "/>
    <n v="8"/>
    <m/>
    <m/>
    <n v="10"/>
    <x v="0"/>
    <n v="0.8"/>
    <n v="5.0000000000000001E-4"/>
    <n v="4.0000000000000002E-4"/>
  </r>
  <r>
    <x v="41"/>
    <s v="Gourmet360"/>
    <x v="0"/>
    <x v="41"/>
    <x v="4"/>
    <x v="0"/>
    <m/>
    <m/>
    <m/>
    <s v="DRS1-978"/>
    <s v="Sugar Fine(50 KG)"/>
    <s v="Gram "/>
    <s v="Gram "/>
    <n v="10"/>
    <m/>
    <m/>
    <n v="10"/>
    <x v="0"/>
    <n v="1"/>
    <n v="2.3999999999999998E-3"/>
    <n v="2.3999999999999998E-3"/>
  </r>
  <r>
    <x v="41"/>
    <s v="Gourmet360"/>
    <x v="0"/>
    <x v="41"/>
    <x v="4"/>
    <x v="0"/>
    <m/>
    <m/>
    <m/>
    <s v="PRD3-5038"/>
    <s v="Fried Onions"/>
    <s v="Gram "/>
    <s v="Gram "/>
    <n v="100"/>
    <m/>
    <m/>
    <n v="10"/>
    <x v="0"/>
    <n v="10"/>
    <n v="2.5999999999999999E-2"/>
    <n v="0.26"/>
  </r>
  <r>
    <x v="41"/>
    <s v="Gourmet360"/>
    <x v="0"/>
    <x v="41"/>
    <x v="4"/>
    <x v="0"/>
    <m/>
    <m/>
    <m/>
    <s v="DRS4-483"/>
    <s v="Dry Chick Peas NO.12"/>
    <s v="Gram "/>
    <s v="Gram "/>
    <n v="250"/>
    <m/>
    <m/>
    <n v="10"/>
    <x v="0"/>
    <n v="25"/>
    <n v="7.0000000000000001E-3"/>
    <n v="0.17500000000000002"/>
  </r>
  <r>
    <x v="41"/>
    <s v="Gourmet360"/>
    <x v="0"/>
    <x v="41"/>
    <x v="4"/>
    <x v="0"/>
    <m/>
    <m/>
    <m/>
    <s v="PRD1-4265"/>
    <s v="Fresh onion Yellow(Imported)"/>
    <s v="Gram "/>
    <s v="Gram "/>
    <n v="300"/>
    <m/>
    <m/>
    <n v="10"/>
    <x v="0"/>
    <n v="30"/>
    <n v="3.529411764705882E-3"/>
    <n v="0.10588235294117646"/>
  </r>
  <r>
    <x v="41"/>
    <s v="Gourmet360"/>
    <x v="0"/>
    <x v="41"/>
    <x v="4"/>
    <x v="0"/>
    <m/>
    <m/>
    <m/>
    <s v="DRS6-733"/>
    <s v="Spices Cumin Powder"/>
    <s v="Gram "/>
    <s v="Gram "/>
    <n v="3"/>
    <m/>
    <m/>
    <n v="10"/>
    <x v="0"/>
    <n v="0.3"/>
    <n v="2.8000000000000001E-2"/>
    <n v="8.3999999999999995E-3"/>
  </r>
  <r>
    <x v="42"/>
    <s v="Gourmet360"/>
    <x v="0"/>
    <x v="42"/>
    <x v="4"/>
    <x v="0"/>
    <m/>
    <m/>
    <m/>
    <s v="PLT2-3278"/>
    <s v="Frz Chicken Breast Tender (KG)"/>
    <s v="Gram "/>
    <s v="Gram "/>
    <n v="1000"/>
    <m/>
    <m/>
    <n v="10"/>
    <x v="0"/>
    <n v="100"/>
    <n v="3.0357142857142853E-2"/>
    <n v="3.0357142857142851"/>
  </r>
  <r>
    <x v="42"/>
    <s v="Gourmet360"/>
    <x v="0"/>
    <x v="42"/>
    <x v="4"/>
    <x v="0"/>
    <m/>
    <m/>
    <m/>
    <s v="DRS2-2110"/>
    <s v="Pasta Fettuccine (500 Gram)"/>
    <s v="Gram "/>
    <s v="Gram "/>
    <n v="1000"/>
    <m/>
    <m/>
    <n v="10"/>
    <x v="0"/>
    <n v="100"/>
    <n v="2.07E-2"/>
    <n v="2.0699999999999998"/>
  </r>
  <r>
    <x v="42"/>
    <s v="Gourmet360"/>
    <x v="0"/>
    <x v="42"/>
    <x v="4"/>
    <x v="0"/>
    <m/>
    <m/>
    <m/>
    <s v="DRY2-1008"/>
    <s v="Butter 82% Fat(Unsalted) 25 kg"/>
    <s v="Gram "/>
    <s v="Gram "/>
    <n v="75"/>
    <m/>
    <m/>
    <n v="10"/>
    <x v="0"/>
    <n v="7.5"/>
    <n v="0.03"/>
    <n v="0.22499999999999998"/>
  </r>
  <r>
    <x v="42"/>
    <s v="Gourmet360"/>
    <x v="0"/>
    <x v="42"/>
    <x v="4"/>
    <x v="0"/>
    <m/>
    <m/>
    <m/>
    <s v="DRS3-1813"/>
    <s v="Corn Oil (18 Liter)"/>
    <s v="Ml"/>
    <s v="Ml"/>
    <n v="50"/>
    <m/>
    <m/>
    <n v="10"/>
    <x v="0"/>
    <n v="5"/>
    <n v="8.0555555555555554E-3"/>
    <n v="4.0277777777777773E-2"/>
  </r>
  <r>
    <x v="42"/>
    <s v="Gourmet360"/>
    <x v="0"/>
    <x v="42"/>
    <x v="4"/>
    <x v="0"/>
    <m/>
    <m/>
    <m/>
    <s v="PRD1-4265"/>
    <s v="Fresh onion Yellow(Imported)"/>
    <s v="Gram "/>
    <s v="Gram "/>
    <n v="100"/>
    <m/>
    <m/>
    <n v="10"/>
    <x v="0"/>
    <n v="10"/>
    <n v="3.529411764705882E-3"/>
    <n v="3.5294117647058823E-2"/>
  </r>
  <r>
    <x v="42"/>
    <s v="Gourmet360"/>
    <x v="0"/>
    <x v="42"/>
    <x v="4"/>
    <x v="0"/>
    <m/>
    <m/>
    <m/>
    <s v="PRD1-4327"/>
    <s v="Fresh Garlic Peeled"/>
    <s v="Gram "/>
    <s v="Gram "/>
    <n v="10"/>
    <m/>
    <m/>
    <n v="10"/>
    <x v="0"/>
    <n v="1"/>
    <n v="1.2999999999999999E-2"/>
    <n v="1.2999999999999999E-2"/>
  </r>
  <r>
    <x v="42"/>
    <s v="Gourmet360"/>
    <x v="0"/>
    <x v="42"/>
    <x v="4"/>
    <x v="0"/>
    <m/>
    <m/>
    <m/>
    <s v="DRS5-980"/>
    <s v="Flour Cake Special (all purpose)"/>
    <s v="Gram "/>
    <s v="Gram "/>
    <n v="75"/>
    <m/>
    <m/>
    <n v="10"/>
    <x v="0"/>
    <n v="7.5"/>
    <n v="1E-3"/>
    <n v="7.4999999999999997E-3"/>
  </r>
  <r>
    <x v="42"/>
    <s v="Gourmet360"/>
    <x v="0"/>
    <x v="42"/>
    <x v="4"/>
    <x v="0"/>
    <m/>
    <m/>
    <m/>
    <s v="TAP-00001"/>
    <s v="Tap Water-Cooking"/>
    <s v="Ml"/>
    <s v="Ml"/>
    <n v="2800"/>
    <m/>
    <m/>
    <n v="10"/>
    <x v="0"/>
    <n v="280"/>
    <n v="8.0000000000000007E-5"/>
    <n v="2.2400000000000003E-2"/>
  </r>
  <r>
    <x v="42"/>
    <s v="Gourmet360"/>
    <x v="0"/>
    <x v="42"/>
    <x v="4"/>
    <x v="0"/>
    <m/>
    <m/>
    <m/>
    <s v="DRS6-309"/>
    <s v="Spice Pepper White Powder"/>
    <s v="Gram "/>
    <s v="Gram "/>
    <n v="2"/>
    <m/>
    <m/>
    <n v="10"/>
    <x v="0"/>
    <n v="0.2"/>
    <n v="2.8000000000000001E-2"/>
    <n v="5.6000000000000008E-3"/>
  </r>
  <r>
    <x v="42"/>
    <s v="Gourmet360"/>
    <x v="0"/>
    <x v="42"/>
    <x v="4"/>
    <x v="0"/>
    <m/>
    <m/>
    <m/>
    <s v="PRD2-4092"/>
    <s v="Frz Peas&amp;Carrots(800 Gram)"/>
    <s v="Gram "/>
    <s v="Gram "/>
    <n v="400"/>
    <m/>
    <m/>
    <n v="10"/>
    <x v="0"/>
    <n v="40"/>
    <n v="1.40625E-2"/>
    <n v="0.5625"/>
  </r>
  <r>
    <x v="42"/>
    <s v="Gourmet360"/>
    <x v="0"/>
    <x v="42"/>
    <x v="4"/>
    <x v="0"/>
    <m/>
    <m/>
    <m/>
    <s v="DRS1-3811"/>
    <s v="Chicken Stock Powder(Packet)"/>
    <s v="Gram "/>
    <s v="Gram "/>
    <n v="20"/>
    <m/>
    <m/>
    <n v="10"/>
    <x v="0"/>
    <n v="2"/>
    <n v="2.8475E-2"/>
    <n v="5.6950000000000001E-2"/>
  </r>
  <r>
    <x v="42"/>
    <s v="Gourmet360"/>
    <x v="0"/>
    <x v="42"/>
    <x v="4"/>
    <x v="0"/>
    <m/>
    <m/>
    <m/>
    <s v="DRS1-3880"/>
    <s v="Salt "/>
    <s v="Gram "/>
    <s v="Gram "/>
    <n v="15"/>
    <m/>
    <m/>
    <n v="10"/>
    <x v="0"/>
    <n v="1.5"/>
    <n v="5.0000000000000001E-4"/>
    <n v="7.5000000000000002E-4"/>
  </r>
  <r>
    <x v="42"/>
    <s v="Gourmet360"/>
    <x v="0"/>
    <x v="42"/>
    <x v="4"/>
    <x v="0"/>
    <m/>
    <m/>
    <m/>
    <s v="DRY2-1858"/>
    <s v="Cooking Cream 1 Ltr"/>
    <s v="Ml"/>
    <s v="Ml"/>
    <n v="500"/>
    <m/>
    <m/>
    <n v="10"/>
    <x v="0"/>
    <n v="50"/>
    <n v="9.8800000000000016E-3"/>
    <n v="0.49400000000000011"/>
  </r>
  <r>
    <x v="42"/>
    <s v="Gourmet360"/>
    <x v="0"/>
    <x v="42"/>
    <x v="4"/>
    <x v="0"/>
    <m/>
    <m/>
    <m/>
    <s v="DRY1-602"/>
    <s v="Cheese Parmesan Grated"/>
    <s v="Gram "/>
    <s v="Gram "/>
    <n v="40"/>
    <m/>
    <m/>
    <n v="10"/>
    <x v="0"/>
    <n v="4"/>
    <n v="5.5E-2"/>
    <n v="0.22"/>
  </r>
  <r>
    <x v="42"/>
    <s v="Gourmet360"/>
    <x v="0"/>
    <x v="42"/>
    <x v="4"/>
    <x v="0"/>
    <m/>
    <m/>
    <m/>
    <s v="DRY1-1801"/>
    <s v="Cheese Mozzarella Grated (KG)"/>
    <s v="Gram "/>
    <s v="Gram "/>
    <n v="400"/>
    <m/>
    <m/>
    <n v="10"/>
    <x v="0"/>
    <n v="40"/>
    <n v="2.5000000000000001E-2"/>
    <n v="1"/>
  </r>
  <r>
    <x v="43"/>
    <s v="Gourmet360"/>
    <x v="0"/>
    <x v="43"/>
    <x v="4"/>
    <x v="0"/>
    <m/>
    <m/>
    <m/>
    <s v="PLT2-3278"/>
    <s v="Frz Chicken Breast Tender (KG)"/>
    <s v="Gram "/>
    <s v="Gram "/>
    <n v="1200"/>
    <m/>
    <m/>
    <n v="10"/>
    <x v="0"/>
    <n v="120"/>
    <n v="3.0357142857142853E-2"/>
    <n v="3.6428571428571423"/>
  </r>
  <r>
    <x v="43"/>
    <s v="Gourmet360"/>
    <x v="0"/>
    <x v="43"/>
    <x v="4"/>
    <x v="0"/>
    <m/>
    <m/>
    <m/>
    <s v="DRS3-1813"/>
    <s v="Corn Oil (18 Liter)"/>
    <s v="Ml"/>
    <s v="Ml"/>
    <n v="30"/>
    <m/>
    <m/>
    <n v="10"/>
    <x v="0"/>
    <n v="3"/>
    <n v="8.0555555555555554E-3"/>
    <n v="2.4166666666666666E-2"/>
  </r>
  <r>
    <x v="43"/>
    <s v="Gourmet360"/>
    <x v="0"/>
    <x v="43"/>
    <x v="4"/>
    <x v="0"/>
    <m/>
    <m/>
    <m/>
    <s v="PRD1-4265"/>
    <s v="Fresh onion Yellow(Imported)"/>
    <s v="Gram "/>
    <s v="Gram "/>
    <n v="50"/>
    <m/>
    <m/>
    <n v="10"/>
    <x v="0"/>
    <n v="5"/>
    <n v="3.529411764705882E-3"/>
    <n v="1.7647058823529412E-2"/>
  </r>
  <r>
    <x v="43"/>
    <s v="Gourmet360"/>
    <x v="0"/>
    <x v="43"/>
    <x v="4"/>
    <x v="0"/>
    <m/>
    <m/>
    <m/>
    <s v="DRY2-1008"/>
    <s v="Butter 82% Fat(Unsalted) 25 kg"/>
    <s v="Gram "/>
    <s v="Gram "/>
    <n v="30"/>
    <m/>
    <m/>
    <n v="10"/>
    <x v="0"/>
    <n v="3"/>
    <n v="0.03"/>
    <n v="0.09"/>
  </r>
  <r>
    <x v="43"/>
    <s v="Gourmet360"/>
    <x v="0"/>
    <x v="43"/>
    <x v="4"/>
    <x v="0"/>
    <m/>
    <m/>
    <m/>
    <s v="PRD1-4327"/>
    <s v="Fresh Garlic Peeled"/>
    <s v="Gram "/>
    <s v="Gram "/>
    <n v="5"/>
    <m/>
    <m/>
    <n v="10"/>
    <x v="0"/>
    <n v="0.5"/>
    <n v="1.2999999999999999E-2"/>
    <n v="6.4999999999999997E-3"/>
  </r>
  <r>
    <x v="43"/>
    <s v="Gourmet360"/>
    <x v="0"/>
    <x v="43"/>
    <x v="4"/>
    <x v="0"/>
    <m/>
    <m/>
    <m/>
    <s v="TAP-00001"/>
    <s v="Tap Water-Cooking"/>
    <s v="Ml"/>
    <s v="Ml"/>
    <n v="1400"/>
    <m/>
    <m/>
    <n v="10"/>
    <x v="0"/>
    <n v="140"/>
    <n v="8.0000000000000007E-5"/>
    <n v="1.1200000000000002E-2"/>
  </r>
  <r>
    <x v="43"/>
    <s v="Gourmet360"/>
    <x v="0"/>
    <x v="43"/>
    <x v="4"/>
    <x v="0"/>
    <m/>
    <m/>
    <m/>
    <s v="DRS6-5039"/>
    <s v="Spice Smoked Sweet Paprika (Kg)"/>
    <s v="Gram "/>
    <s v="Gram "/>
    <n v="3"/>
    <m/>
    <m/>
    <n v="10"/>
    <x v="0"/>
    <n v="0.3"/>
    <n v="3.5000000000000003E-2"/>
    <n v="1.0500000000000001E-2"/>
  </r>
  <r>
    <x v="43"/>
    <s v="Gourmet360"/>
    <x v="0"/>
    <x v="43"/>
    <x v="4"/>
    <x v="0"/>
    <m/>
    <m/>
    <m/>
    <s v="DRS5-40"/>
    <s v="Flour White"/>
    <s v="Gram "/>
    <s v="Gram "/>
    <n v="75"/>
    <m/>
    <m/>
    <n v="10"/>
    <x v="0"/>
    <n v="7.5"/>
    <n v="7.7777777777777773E-4"/>
    <n v="5.8333333333333327E-3"/>
  </r>
  <r>
    <x v="43"/>
    <s v="Gourmet360"/>
    <x v="0"/>
    <x v="43"/>
    <x v="4"/>
    <x v="0"/>
    <m/>
    <m/>
    <m/>
    <s v="PRD1-223"/>
    <s v="Fresh Mushroom"/>
    <s v="Gram "/>
    <s v="Gram "/>
    <n v="250"/>
    <m/>
    <m/>
    <n v="10"/>
    <x v="0"/>
    <n v="25"/>
    <n v="2.3231256599788808E-2"/>
    <n v="0.58078141499472014"/>
  </r>
  <r>
    <x v="43"/>
    <s v="Gourmet360"/>
    <x v="0"/>
    <x v="43"/>
    <x v="4"/>
    <x v="0"/>
    <m/>
    <m/>
    <m/>
    <s v="DRY2-4896"/>
    <s v="Dairy Whipping Cream 38% (Millac Blue)"/>
    <s v="Ml"/>
    <s v="Ml"/>
    <n v="300"/>
    <m/>
    <m/>
    <n v="10"/>
    <x v="0"/>
    <n v="30"/>
    <n v="2.0829999999999998E-2"/>
    <n v="0.6248999999999999"/>
  </r>
  <r>
    <x v="43"/>
    <s v="Gourmet360"/>
    <x v="0"/>
    <x v="43"/>
    <x v="4"/>
    <x v="0"/>
    <m/>
    <m/>
    <m/>
    <s v="DRS1-3811"/>
    <s v="Chicken Stock Powder(Packet)"/>
    <s v="Gram "/>
    <s v="Gram "/>
    <n v="10"/>
    <m/>
    <m/>
    <n v="10"/>
    <x v="0"/>
    <n v="1"/>
    <n v="2.8475E-2"/>
    <n v="2.8475E-2"/>
  </r>
  <r>
    <x v="43"/>
    <s v="Gourmet360"/>
    <x v="0"/>
    <x v="43"/>
    <x v="4"/>
    <x v="0"/>
    <m/>
    <m/>
    <m/>
    <s v="DRS1-3880"/>
    <s v="Salt "/>
    <s v="Gram "/>
    <s v="Gram "/>
    <n v="5"/>
    <m/>
    <m/>
    <n v="10"/>
    <x v="0"/>
    <n v="0.5"/>
    <n v="5.0000000000000001E-4"/>
    <n v="2.5000000000000001E-4"/>
  </r>
  <r>
    <x v="43"/>
    <s v="Gourmet360"/>
    <x v="0"/>
    <x v="43"/>
    <x v="4"/>
    <x v="0"/>
    <m/>
    <m/>
    <m/>
    <s v="DRS5-3866"/>
    <s v="Mashed Potato Flakes"/>
    <s v="Gram "/>
    <s v="Gram "/>
    <n v="300"/>
    <m/>
    <m/>
    <n v="10"/>
    <x v="0"/>
    <n v="30"/>
    <n v="0.02"/>
    <n v="0.6"/>
  </r>
  <r>
    <x v="43"/>
    <s v="Gourmet360"/>
    <x v="0"/>
    <x v="43"/>
    <x v="4"/>
    <x v="0"/>
    <m/>
    <m/>
    <m/>
    <s v="TAP-00001"/>
    <s v="Tap Water-Cooking"/>
    <s v="Ml"/>
    <s v="Ml"/>
    <n v="1200"/>
    <m/>
    <m/>
    <n v="10"/>
    <x v="0"/>
    <n v="120"/>
    <n v="8.0000000000000007E-5"/>
    <n v="9.6000000000000009E-3"/>
  </r>
  <r>
    <x v="43"/>
    <s v="Gourmet360"/>
    <x v="0"/>
    <x v="43"/>
    <x v="4"/>
    <x v="0"/>
    <m/>
    <m/>
    <m/>
    <s v="DRS5-59"/>
    <s v="Milk Powder"/>
    <s v="Gram "/>
    <s v="Gram "/>
    <n v="20"/>
    <m/>
    <m/>
    <n v="10"/>
    <x v="0"/>
    <n v="2"/>
    <n v="1.4319999999999999E-2"/>
    <n v="2.8639999999999999E-2"/>
  </r>
  <r>
    <x v="43"/>
    <s v="Gourmet360"/>
    <x v="0"/>
    <x v="43"/>
    <x v="4"/>
    <x v="0"/>
    <m/>
    <m/>
    <m/>
    <s v="DRY2-1008"/>
    <s v="Butter 82% Fat(Unsalted) 25 kg"/>
    <s v="Gram "/>
    <s v="Gram "/>
    <n v="20"/>
    <m/>
    <m/>
    <n v="10"/>
    <x v="0"/>
    <n v="2"/>
    <n v="0.03"/>
    <n v="0.06"/>
  </r>
  <r>
    <x v="43"/>
    <s v="Gourmet360"/>
    <x v="0"/>
    <x v="43"/>
    <x v="4"/>
    <x v="0"/>
    <m/>
    <m/>
    <m/>
    <s v="DRS6-309"/>
    <s v="Spice Pepper White Powder"/>
    <s v="Gram "/>
    <s v="Gram "/>
    <n v="2"/>
    <m/>
    <m/>
    <n v="10"/>
    <x v="0"/>
    <n v="0.2"/>
    <n v="2.8000000000000001E-2"/>
    <n v="5.6000000000000008E-3"/>
  </r>
  <r>
    <x v="43"/>
    <s v="Gourmet360"/>
    <x v="0"/>
    <x v="43"/>
    <x v="4"/>
    <x v="0"/>
    <m/>
    <m/>
    <m/>
    <s v="DRS6-1674"/>
    <s v="Spice Turmeric Powder (1 Kg)"/>
    <s v="Gram "/>
    <s v="Gram "/>
    <n v="0.5"/>
    <m/>
    <m/>
    <n v="10"/>
    <x v="0"/>
    <n v="0.05"/>
    <n v="1.2500000000000001E-2"/>
    <n v="6.2500000000000012E-4"/>
  </r>
  <r>
    <x v="44"/>
    <s v="Gourmet360"/>
    <x v="0"/>
    <x v="44"/>
    <x v="5"/>
    <x v="0"/>
    <m/>
    <m/>
    <m/>
    <s v="MET2-3558"/>
    <s v="Frz Leg Boneless (Veal)"/>
    <s v="Gram "/>
    <s v="Gram "/>
    <n v="800"/>
    <m/>
    <m/>
    <n v="10"/>
    <x v="0"/>
    <n v="80"/>
    <n v="8.7272727272727266E-2"/>
    <n v="6.9818181818181815"/>
  </r>
  <r>
    <x v="44"/>
    <s v="Gourmet360"/>
    <x v="0"/>
    <x v="44"/>
    <x v="5"/>
    <x v="0"/>
    <m/>
    <m/>
    <m/>
    <s v="DRS3-1813"/>
    <s v="Corn Oil (18 Liter)"/>
    <s v="Ml"/>
    <s v="Ml"/>
    <n v="50"/>
    <m/>
    <m/>
    <n v="10"/>
    <x v="0"/>
    <n v="5"/>
    <n v="8.0555555555555554E-3"/>
    <n v="4.0277777777777773E-2"/>
  </r>
  <r>
    <x v="44"/>
    <s v="Gourmet360"/>
    <x v="0"/>
    <x v="44"/>
    <x v="5"/>
    <x v="0"/>
    <m/>
    <m/>
    <m/>
    <s v="PRD1-4327"/>
    <s v="Fresh Garlic Peeled"/>
    <s v="Gram "/>
    <s v="Gram "/>
    <n v="15"/>
    <m/>
    <m/>
    <n v="10"/>
    <x v="0"/>
    <n v="1.5"/>
    <n v="1.2999999999999999E-2"/>
    <n v="1.95E-2"/>
  </r>
  <r>
    <x v="44"/>
    <s v="Gourmet360"/>
    <x v="0"/>
    <x v="44"/>
    <x v="5"/>
    <x v="0"/>
    <m/>
    <m/>
    <m/>
    <s v="PRD1-4265"/>
    <s v="Fresh onion Yellow(Imported)"/>
    <s v="Gram "/>
    <s v="Gram "/>
    <n v="150"/>
    <m/>
    <m/>
    <n v="10"/>
    <x v="0"/>
    <n v="15"/>
    <n v="3.529411764705882E-3"/>
    <n v="5.2941176470588228E-2"/>
  </r>
  <r>
    <x v="44"/>
    <s v="Gourmet360"/>
    <x v="0"/>
    <x v="44"/>
    <x v="5"/>
    <x v="0"/>
    <m/>
    <m/>
    <m/>
    <s v="PRD2-366"/>
    <s v="Frz Okra Zero(400 Gram)"/>
    <s v="Gram "/>
    <s v="Gram "/>
    <n v="1000"/>
    <m/>
    <m/>
    <n v="10"/>
    <x v="0"/>
    <n v="100"/>
    <n v="1.3125E-2"/>
    <n v="1.3125"/>
  </r>
  <r>
    <x v="44"/>
    <s v="Gourmet360"/>
    <x v="0"/>
    <x v="44"/>
    <x v="5"/>
    <x v="0"/>
    <m/>
    <m/>
    <m/>
    <s v="DRS1-607"/>
    <s v="Can Tomato Peeled"/>
    <s v="Gram "/>
    <s v="Gram "/>
    <n v="600"/>
    <m/>
    <m/>
    <n v="10"/>
    <x v="0"/>
    <n v="60"/>
    <n v="5.8823529411764705E-3"/>
    <n v="0.3529411764705882"/>
  </r>
  <r>
    <x v="44"/>
    <s v="Gourmet360"/>
    <x v="0"/>
    <x v="44"/>
    <x v="5"/>
    <x v="0"/>
    <m/>
    <m/>
    <m/>
    <s v="TAP-00001"/>
    <s v="Tap Water-Cooking"/>
    <s v="Ml"/>
    <s v="Ml"/>
    <n v="1000"/>
    <m/>
    <m/>
    <n v="10"/>
    <x v="0"/>
    <n v="100"/>
    <n v="8.0000000000000007E-5"/>
    <n v="8.0000000000000002E-3"/>
  </r>
  <r>
    <x v="44"/>
    <s v="Gourmet360"/>
    <x v="0"/>
    <x v="44"/>
    <x v="5"/>
    <x v="0"/>
    <m/>
    <m/>
    <m/>
    <s v="DRS6-537"/>
    <s v="Spices Pepper Black Powder(1 Kg)"/>
    <s v="Gram "/>
    <s v="Gram "/>
    <n v="1"/>
    <m/>
    <m/>
    <n v="10"/>
    <x v="0"/>
    <n v="0.1"/>
    <n v="3.5000000000000003E-2"/>
    <n v="3.5000000000000005E-3"/>
  </r>
  <r>
    <x v="44"/>
    <s v="Gourmet360"/>
    <x v="0"/>
    <x v="44"/>
    <x v="5"/>
    <x v="0"/>
    <m/>
    <m/>
    <m/>
    <s v="DRS6-733"/>
    <s v="Spices Cumin Powder"/>
    <s v="Gram "/>
    <s v="Gram "/>
    <n v="2"/>
    <m/>
    <m/>
    <n v="10"/>
    <x v="0"/>
    <n v="0.2"/>
    <n v="2.8000000000000001E-2"/>
    <n v="5.6000000000000008E-3"/>
  </r>
  <r>
    <x v="44"/>
    <s v="Gourmet360"/>
    <x v="0"/>
    <x v="44"/>
    <x v="5"/>
    <x v="0"/>
    <m/>
    <m/>
    <m/>
    <s v="DRS6-266"/>
    <s v="Spices Coriander Powder"/>
    <s v="Gram "/>
    <s v="Gram "/>
    <n v="2"/>
    <m/>
    <m/>
    <n v="10"/>
    <x v="0"/>
    <n v="0.2"/>
    <n v="1.4E-2"/>
    <n v="2.8000000000000004E-3"/>
  </r>
  <r>
    <x v="44"/>
    <s v="Gourmet360"/>
    <x v="0"/>
    <x v="44"/>
    <x v="5"/>
    <x v="0"/>
    <m/>
    <m/>
    <m/>
    <s v="PRD1-195"/>
    <s v="Fresh Coriander "/>
    <s v="Gram "/>
    <s v="Gram "/>
    <n v="40"/>
    <m/>
    <m/>
    <n v="10"/>
    <x v="0"/>
    <n v="4"/>
    <n v="9.3676814988290415E-3"/>
    <n v="3.7470725995316166E-2"/>
  </r>
  <r>
    <x v="44"/>
    <s v="Gourmet360"/>
    <x v="0"/>
    <x v="44"/>
    <x v="5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44"/>
    <s v="Gourmet360"/>
    <x v="0"/>
    <x v="44"/>
    <x v="5"/>
    <x v="0"/>
    <m/>
    <m/>
    <m/>
    <s v="DRS1-3811"/>
    <s v="Chicken Stock Powder(Packet)"/>
    <s v="Gram "/>
    <s v="Gram "/>
    <n v="10"/>
    <m/>
    <m/>
    <n v="10"/>
    <x v="0"/>
    <n v="1"/>
    <n v="2.8475E-2"/>
    <n v="2.8475E-2"/>
  </r>
  <r>
    <x v="44"/>
    <s v="Gourmet360"/>
    <x v="0"/>
    <x v="44"/>
    <x v="5"/>
    <x v="0"/>
    <m/>
    <m/>
    <m/>
    <s v="DRS1-1747"/>
    <s v="Can Tomato Paste (4500 Gram)"/>
    <s v="Gram "/>
    <s v="Gram "/>
    <n v="70"/>
    <m/>
    <m/>
    <n v="10"/>
    <x v="0"/>
    <n v="7"/>
    <n v="5.185185185185185E-3"/>
    <n v="3.6296296296296299E-2"/>
  </r>
  <r>
    <x v="44"/>
    <s v="Gourmet360"/>
    <x v="0"/>
    <x v="44"/>
    <x v="5"/>
    <x v="0"/>
    <m/>
    <m/>
    <m/>
    <s v="DRS2-3628"/>
    <s v="Pasta Vermicelli-Cuts,N:61"/>
    <s v="Gram "/>
    <s v="Gram "/>
    <n v="80"/>
    <m/>
    <m/>
    <n v="10"/>
    <x v="0"/>
    <n v="8"/>
    <n v="1.1066666666666667E-2"/>
    <n v="8.8533333333333339E-2"/>
  </r>
  <r>
    <x v="44"/>
    <s v="Gourmet360"/>
    <x v="0"/>
    <x v="44"/>
    <x v="5"/>
    <x v="0"/>
    <m/>
    <m/>
    <m/>
    <s v="DRS4-498"/>
    <s v="Rice Basmati"/>
    <s v="Gram "/>
    <s v="Gram "/>
    <n v="1000"/>
    <m/>
    <m/>
    <n v="10"/>
    <x v="0"/>
    <n v="100"/>
    <n v="5.7499999999999999E-3"/>
    <n v="0.57499999999999996"/>
  </r>
  <r>
    <x v="44"/>
    <s v="Gourmet360"/>
    <x v="0"/>
    <x v="44"/>
    <x v="5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44"/>
    <s v="Gourmet360"/>
    <x v="0"/>
    <x v="44"/>
    <x v="5"/>
    <x v="0"/>
    <m/>
    <m/>
    <m/>
    <s v="DRS3-1813"/>
    <s v="Corn Oil (18 Liter)"/>
    <s v="Ml"/>
    <s v="Ml"/>
    <n v="40"/>
    <m/>
    <m/>
    <n v="10"/>
    <x v="0"/>
    <n v="4"/>
    <n v="8.0555555555555554E-3"/>
    <n v="3.2222222222222222E-2"/>
  </r>
  <r>
    <x v="44"/>
    <s v="Gourmet360"/>
    <x v="0"/>
    <x v="44"/>
    <x v="5"/>
    <x v="0"/>
    <m/>
    <m/>
    <m/>
    <s v="TAP-00001"/>
    <s v="Tap Water-Cooking"/>
    <s v="Ml"/>
    <s v="Ml"/>
    <n v="1600"/>
    <m/>
    <m/>
    <n v="10"/>
    <x v="0"/>
    <n v="160"/>
    <n v="8.0000000000000007E-5"/>
    <n v="1.2800000000000001E-2"/>
  </r>
  <r>
    <x v="45"/>
    <s v="Gourmet360"/>
    <x v="0"/>
    <x v="45"/>
    <x v="5"/>
    <x v="0"/>
    <m/>
    <m/>
    <m/>
    <s v="PLT2-3278"/>
    <s v="Frz Chicken Breast Tender (KG)"/>
    <s v="Gram "/>
    <s v="Gram "/>
    <n v="1200"/>
    <m/>
    <m/>
    <n v="10"/>
    <x v="0"/>
    <n v="120"/>
    <n v="3.0357142857142853E-2"/>
    <n v="3.6428571428571423"/>
  </r>
  <r>
    <x v="45"/>
    <s v="Gourmet360"/>
    <x v="0"/>
    <x v="45"/>
    <x v="5"/>
    <x v="0"/>
    <m/>
    <m/>
    <m/>
    <s v="DRY2-1008"/>
    <s v="Butter 82% Fat(Unsalted) 25 kg"/>
    <s v="Gram "/>
    <s v="Gram "/>
    <n v="60"/>
    <m/>
    <m/>
    <n v="10"/>
    <x v="0"/>
    <n v="6"/>
    <n v="0.03"/>
    <n v="0.18"/>
  </r>
  <r>
    <x v="45"/>
    <s v="Gourmet360"/>
    <x v="0"/>
    <x v="45"/>
    <x v="5"/>
    <x v="0"/>
    <m/>
    <m/>
    <m/>
    <s v="PRD1-4265"/>
    <s v="Fresh onion Yellow(Imported)"/>
    <s v="Gram "/>
    <s v="Gram "/>
    <n v="30"/>
    <m/>
    <m/>
    <n v="10"/>
    <x v="0"/>
    <n v="3"/>
    <n v="3.529411764705882E-3"/>
    <n v="1.0588235294117647E-2"/>
  </r>
  <r>
    <x v="45"/>
    <s v="Gourmet360"/>
    <x v="0"/>
    <x v="45"/>
    <x v="5"/>
    <x v="0"/>
    <m/>
    <m/>
    <m/>
    <s v="PRD1-4327"/>
    <s v="Fresh Garlic Peeled"/>
    <s v="Gram "/>
    <s v="Gram "/>
    <n v="5"/>
    <m/>
    <m/>
    <n v="10"/>
    <x v="0"/>
    <n v="0.5"/>
    <n v="1.2999999999999999E-2"/>
    <n v="6.4999999999999997E-3"/>
  </r>
  <r>
    <x v="45"/>
    <s v="Gourmet360"/>
    <x v="0"/>
    <x v="45"/>
    <x v="5"/>
    <x v="0"/>
    <m/>
    <m/>
    <m/>
    <s v="TAP-00001"/>
    <s v="Tap Water-Cooking"/>
    <s v="Ml"/>
    <s v="Ml"/>
    <n v="1000"/>
    <m/>
    <m/>
    <n v="10"/>
    <x v="0"/>
    <n v="100"/>
    <n v="8.0000000000000007E-5"/>
    <n v="8.0000000000000002E-3"/>
  </r>
  <r>
    <x v="45"/>
    <s v="Gourmet360"/>
    <x v="0"/>
    <x v="45"/>
    <x v="5"/>
    <x v="0"/>
    <m/>
    <m/>
    <m/>
    <s v="DRS1-3811"/>
    <s v="Chicken Stock Powder(Packet)"/>
    <s v="Gram "/>
    <s v="Gram "/>
    <n v="10"/>
    <m/>
    <m/>
    <n v="10"/>
    <x v="0"/>
    <n v="1"/>
    <n v="2.8475E-2"/>
    <n v="2.8475E-2"/>
  </r>
  <r>
    <x v="45"/>
    <s v="Gourmet360"/>
    <x v="0"/>
    <x v="45"/>
    <x v="5"/>
    <x v="0"/>
    <m/>
    <m/>
    <m/>
    <s v="DRS1-3357"/>
    <s v="Sauce Demi Glace(1.2Kg)"/>
    <s v="Gram "/>
    <s v="Gram "/>
    <n v="50"/>
    <m/>
    <m/>
    <n v="10"/>
    <x v="0"/>
    <n v="5"/>
    <n v="6.8440000000000001E-2"/>
    <n v="0.3422"/>
  </r>
  <r>
    <x v="45"/>
    <s v="Gourmet360"/>
    <x v="0"/>
    <x v="45"/>
    <x v="5"/>
    <x v="0"/>
    <m/>
    <m/>
    <m/>
    <s v="DRS6-537"/>
    <s v="Spices Pepper Black Powder(1 Kg)"/>
    <s v="Gram "/>
    <s v="Gram "/>
    <n v="2"/>
    <m/>
    <m/>
    <n v="10"/>
    <x v="0"/>
    <n v="0.2"/>
    <n v="3.5000000000000003E-2"/>
    <n v="7.000000000000001E-3"/>
  </r>
  <r>
    <x v="45"/>
    <s v="Gourmet360"/>
    <x v="0"/>
    <x v="45"/>
    <x v="5"/>
    <x v="0"/>
    <m/>
    <m/>
    <m/>
    <s v="DRS1-3880"/>
    <s v="Salt "/>
    <s v="Gram "/>
    <s v="Gram "/>
    <n v="5"/>
    <m/>
    <m/>
    <n v="10"/>
    <x v="0"/>
    <n v="0.5"/>
    <n v="5.0000000000000001E-4"/>
    <n v="2.5000000000000001E-4"/>
  </r>
  <r>
    <x v="45"/>
    <s v="Gourmet360"/>
    <x v="0"/>
    <x v="45"/>
    <x v="5"/>
    <x v="0"/>
    <m/>
    <m/>
    <m/>
    <s v="DRS1-1747"/>
    <s v="Can Tomato Paste (4500 Gram)"/>
    <s v="Gram "/>
    <s v="Gram "/>
    <n v="40"/>
    <m/>
    <m/>
    <n v="10"/>
    <x v="0"/>
    <n v="4"/>
    <n v="5.185185185185185E-3"/>
    <n v="2.074074074074074E-2"/>
  </r>
  <r>
    <x v="45"/>
    <s v="Gourmet360"/>
    <x v="0"/>
    <x v="45"/>
    <x v="5"/>
    <x v="0"/>
    <m/>
    <m/>
    <m/>
    <s v="DRS5-40"/>
    <s v="Flour White"/>
    <s v="Gram "/>
    <s v="Gram "/>
    <n v="40"/>
    <m/>
    <m/>
    <n v="10"/>
    <x v="0"/>
    <n v="4"/>
    <n v="7.7777777777777773E-4"/>
    <n v="3.1111111111111109E-3"/>
  </r>
  <r>
    <x v="45"/>
    <s v="Gourmet360"/>
    <x v="0"/>
    <x v="45"/>
    <x v="5"/>
    <x v="0"/>
    <m/>
    <m/>
    <m/>
    <s v="DRY2-1858"/>
    <s v="Cooking Cream 1 Ltr"/>
    <s v="Ml"/>
    <s v="Ml"/>
    <n v="80"/>
    <m/>
    <m/>
    <n v="10"/>
    <x v="0"/>
    <n v="8"/>
    <n v="9.8800000000000016E-3"/>
    <n v="7.9040000000000013E-2"/>
  </r>
  <r>
    <x v="45"/>
    <s v="Gourmet360"/>
    <x v="0"/>
    <x v="45"/>
    <x v="5"/>
    <x v="0"/>
    <m/>
    <m/>
    <m/>
    <s v="TAP-00001"/>
    <s v="Tap Water-Cooking"/>
    <s v="Ml"/>
    <s v="Ml"/>
    <n v="100"/>
    <m/>
    <m/>
    <n v="10"/>
    <x v="0"/>
    <n v="10"/>
    <n v="8.0000000000000007E-5"/>
    <n v="8.0000000000000004E-4"/>
  </r>
  <r>
    <x v="45"/>
    <s v="Gourmet360"/>
    <x v="0"/>
    <x v="45"/>
    <x v="5"/>
    <x v="0"/>
    <m/>
    <m/>
    <m/>
    <s v="PRD1-230"/>
    <s v="Fresh Potato"/>
    <s v="Gram "/>
    <s v="Gram "/>
    <n v="400"/>
    <m/>
    <m/>
    <n v="10"/>
    <x v="0"/>
    <n v="40"/>
    <n v="3.3738191632928472E-3"/>
    <n v="0.1349527665317139"/>
  </r>
  <r>
    <x v="45"/>
    <s v="Gourmet360"/>
    <x v="0"/>
    <x v="45"/>
    <x v="5"/>
    <x v="0"/>
    <m/>
    <m/>
    <m/>
    <s v="DRS4-498"/>
    <s v="Rice Basmati"/>
    <s v="Gram "/>
    <s v="Gram "/>
    <n v="1000"/>
    <m/>
    <m/>
    <n v="10"/>
    <x v="0"/>
    <n v="100"/>
    <n v="5.7499999999999999E-3"/>
    <n v="0.57499999999999996"/>
  </r>
  <r>
    <x v="45"/>
    <s v="Gourmet360"/>
    <x v="0"/>
    <x v="45"/>
    <x v="5"/>
    <x v="0"/>
    <m/>
    <m/>
    <m/>
    <s v="DRS3-1813"/>
    <s v="Corn Oil (18 Liter)"/>
    <s v="Ml"/>
    <s v="Ml"/>
    <n v="40"/>
    <m/>
    <m/>
    <n v="10"/>
    <x v="0"/>
    <n v="4"/>
    <n v="8.0555555555555554E-3"/>
    <n v="3.2222222222222222E-2"/>
  </r>
  <r>
    <x v="45"/>
    <s v="Gourmet360"/>
    <x v="0"/>
    <x v="45"/>
    <x v="5"/>
    <x v="0"/>
    <m/>
    <m/>
    <m/>
    <s v="TAP-00001"/>
    <s v="Tap Water-Cooking"/>
    <s v="Ml"/>
    <s v="Ml"/>
    <n v="1600"/>
    <m/>
    <m/>
    <n v="10"/>
    <x v="0"/>
    <n v="160"/>
    <n v="8.0000000000000007E-5"/>
    <n v="1.2800000000000001E-2"/>
  </r>
  <r>
    <x v="45"/>
    <s v="Gourmet360"/>
    <x v="0"/>
    <x v="45"/>
    <x v="5"/>
    <x v="0"/>
    <m/>
    <m/>
    <m/>
    <s v="DRS6-3593"/>
    <s v="Spices Bay Leaves"/>
    <s v="Gram "/>
    <s v="Gram "/>
    <n v="1"/>
    <m/>
    <m/>
    <n v="10"/>
    <x v="0"/>
    <n v="0.1"/>
    <n v="8.0000000000000002E-3"/>
    <n v="8.0000000000000004E-4"/>
  </r>
  <r>
    <x v="45"/>
    <s v="Gourmet360"/>
    <x v="0"/>
    <x v="45"/>
    <x v="5"/>
    <x v="0"/>
    <m/>
    <m/>
    <m/>
    <s v="DRS6-261"/>
    <s v="Spices Cinnamon Sticks"/>
    <s v="Gram "/>
    <s v="Gram "/>
    <n v="2"/>
    <m/>
    <m/>
    <n v="10"/>
    <x v="0"/>
    <n v="0.2"/>
    <n v="1.4E-2"/>
    <n v="2.8000000000000004E-3"/>
  </r>
  <r>
    <x v="45"/>
    <s v="Gourmet360"/>
    <x v="0"/>
    <x v="45"/>
    <x v="5"/>
    <x v="0"/>
    <m/>
    <m/>
    <m/>
    <s v="DRS1-1787"/>
    <s v="Pepper Paste (4 KG)"/>
    <s v="Gram "/>
    <s v="Gram "/>
    <n v="10"/>
    <m/>
    <m/>
    <n v="10"/>
    <x v="0"/>
    <n v="1"/>
    <n v="1.125E-2"/>
    <n v="1.125E-2"/>
  </r>
  <r>
    <x v="46"/>
    <s v="Gourmet360"/>
    <x v="0"/>
    <x v="46"/>
    <x v="5"/>
    <x v="0"/>
    <m/>
    <m/>
    <m/>
    <s v="PLT2-3278"/>
    <s v="Frz Chicken Breast Tender (KG)"/>
    <s v="Gram "/>
    <s v="Gram "/>
    <n v="800"/>
    <m/>
    <m/>
    <n v="10"/>
    <x v="0"/>
    <n v="80"/>
    <n v="3.0357142857142853E-2"/>
    <n v="2.4285714285714284"/>
  </r>
  <r>
    <x v="46"/>
    <s v="Gourmet360"/>
    <x v="0"/>
    <x v="46"/>
    <x v="5"/>
    <x v="0"/>
    <m/>
    <m/>
    <m/>
    <s v="DRS1-58"/>
    <s v="Mayonnaise Regular"/>
    <s v="Gram "/>
    <s v="Gram "/>
    <n v="300"/>
    <m/>
    <m/>
    <n v="10"/>
    <x v="0"/>
    <n v="30"/>
    <n v="6.4814814814814813E-3"/>
    <n v="0.19444444444444445"/>
  </r>
  <r>
    <x v="46"/>
    <s v="Gourmet360"/>
    <x v="0"/>
    <x v="46"/>
    <x v="5"/>
    <x v="0"/>
    <m/>
    <m/>
    <m/>
    <s v="DRY1-3344"/>
    <s v="Cheese Cheddar Sliced Red(KG)"/>
    <s v="Gram "/>
    <s v="Gram "/>
    <n v="180"/>
    <m/>
    <m/>
    <n v="10"/>
    <x v="0"/>
    <n v="18"/>
    <n v="2.3E-2"/>
    <n v="0.41399999999999998"/>
  </r>
  <r>
    <x v="46"/>
    <s v="Gourmet360"/>
    <x v="0"/>
    <x v="46"/>
    <x v="5"/>
    <x v="0"/>
    <m/>
    <m/>
    <m/>
    <s v="DRS6-309"/>
    <s v="Spice Pepper White Powder"/>
    <s v="Gram "/>
    <s v="Gram "/>
    <n v="2"/>
    <m/>
    <m/>
    <n v="10"/>
    <x v="0"/>
    <n v="0.2"/>
    <n v="2.8000000000000001E-2"/>
    <n v="5.6000000000000008E-3"/>
  </r>
  <r>
    <x v="46"/>
    <s v="Gourmet360"/>
    <x v="0"/>
    <x v="46"/>
    <x v="5"/>
    <x v="0"/>
    <m/>
    <m/>
    <m/>
    <s v="DRS1-167"/>
    <s v="Cucumber Pickles (3.2 Kg)"/>
    <s v="Gram "/>
    <s v="Gram "/>
    <n v="80"/>
    <m/>
    <m/>
    <n v="10"/>
    <x v="0"/>
    <n v="8"/>
    <n v="1.29E-2"/>
    <n v="0.1032"/>
  </r>
  <r>
    <x v="46"/>
    <s v="Gourmet360"/>
    <x v="0"/>
    <x v="46"/>
    <x v="5"/>
    <x v="0"/>
    <m/>
    <m/>
    <m/>
    <s v="PRD1-195"/>
    <s v="Fresh Coriander "/>
    <s v="Gram "/>
    <s v="Gram "/>
    <n v="30"/>
    <m/>
    <m/>
    <n v="10"/>
    <x v="0"/>
    <n v="3"/>
    <n v="9.3676814988290415E-3"/>
    <n v="2.8103044496487123E-2"/>
  </r>
  <r>
    <x v="46"/>
    <s v="Gourmet360"/>
    <x v="0"/>
    <x v="46"/>
    <x v="5"/>
    <x v="0"/>
    <m/>
    <m/>
    <m/>
    <s v="PRD1-572"/>
    <s v="Fresh Tomato "/>
    <s v="Gram "/>
    <s v="Gram "/>
    <n v="150"/>
    <m/>
    <m/>
    <n v="10"/>
    <x v="0"/>
    <n v="15"/>
    <n v="4.5351473922902496E-3"/>
    <n v="6.8027210884353748E-2"/>
  </r>
  <r>
    <x v="46"/>
    <s v="Gourmet360"/>
    <x v="0"/>
    <x v="46"/>
    <x v="5"/>
    <x v="0"/>
    <m/>
    <m/>
    <m/>
    <s v="BKR2-4275"/>
    <s v="Bread Tortilla White,30cm(Fonte)"/>
    <s v="Each"/>
    <s v="Each"/>
    <n v="10"/>
    <m/>
    <m/>
    <n v="10"/>
    <x v="0"/>
    <n v="1"/>
    <n v="0.83333333333333337"/>
    <n v="0.83333333333333337"/>
  </r>
  <r>
    <x v="46"/>
    <s v="Gourmet360"/>
    <x v="0"/>
    <x v="46"/>
    <x v="5"/>
    <x v="0"/>
    <m/>
    <m/>
    <m/>
    <s v="PRD2-1166"/>
    <s v="Frz Potato Wedges "/>
    <s v="Gram "/>
    <s v="Gram "/>
    <n v="700"/>
    <m/>
    <m/>
    <n v="10"/>
    <x v="0"/>
    <n v="70"/>
    <n v="1.0500000000000001E-2"/>
    <n v="0.7350000000000001"/>
  </r>
  <r>
    <x v="46"/>
    <s v="Gourmet360"/>
    <x v="0"/>
    <x v="46"/>
    <x v="5"/>
    <x v="0"/>
    <m/>
    <m/>
    <m/>
    <s v="PRD1-4265"/>
    <s v="Fresh onion Yellow(Imported)"/>
    <s v="Gram "/>
    <s v="Gram "/>
    <n v="150"/>
    <m/>
    <m/>
    <n v="10"/>
    <x v="0"/>
    <n v="15"/>
    <n v="3.529411764705882E-3"/>
    <n v="5.2941176470588228E-2"/>
  </r>
  <r>
    <x v="46"/>
    <s v="Gourmet360"/>
    <x v="0"/>
    <x v="46"/>
    <x v="5"/>
    <x v="0"/>
    <m/>
    <m/>
    <m/>
    <s v="PRD1-239"/>
    <s v="Fresh Sweet Pepper Green"/>
    <s v="Gram "/>
    <s v="Gram "/>
    <n v="100"/>
    <m/>
    <m/>
    <n v="10"/>
    <x v="0"/>
    <n v="10"/>
    <n v="6.6864784546805346E-3"/>
    <n v="6.6864784546805348E-2"/>
  </r>
  <r>
    <x v="46"/>
    <s v="Gourmet360"/>
    <x v="0"/>
    <x v="46"/>
    <x v="5"/>
    <x v="0"/>
    <m/>
    <m/>
    <m/>
    <s v="PRD1-240"/>
    <s v="Fresh Sweet Pepper Red "/>
    <s v="Gram "/>
    <s v="Gram "/>
    <n v="100"/>
    <m/>
    <m/>
    <n v="10"/>
    <x v="0"/>
    <n v="10"/>
    <n v="1.3293943870014769E-2"/>
    <n v="0.13293943870014768"/>
  </r>
  <r>
    <x v="46"/>
    <s v="Gourmet360"/>
    <x v="0"/>
    <x v="46"/>
    <x v="5"/>
    <x v="0"/>
    <m/>
    <m/>
    <m/>
    <s v="PRD1-241"/>
    <s v="Fresh Sweet Pepper Yellow"/>
    <s v="Gram "/>
    <s v="Gram "/>
    <n v="100"/>
    <m/>
    <m/>
    <n v="10"/>
    <x v="0"/>
    <n v="10"/>
    <n v="1.3196480938416421E-2"/>
    <n v="0.13196480938416422"/>
  </r>
  <r>
    <x v="46"/>
    <s v="Gourmet360"/>
    <x v="0"/>
    <x v="46"/>
    <x v="5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46"/>
    <s v="Gourmet360"/>
    <x v="0"/>
    <x v="46"/>
    <x v="5"/>
    <x v="0"/>
    <m/>
    <m/>
    <m/>
    <s v="DRS3-1813"/>
    <s v="Corn Oil (18 Liter)"/>
    <s v="Ml"/>
    <s v="Ml"/>
    <n v="250"/>
    <m/>
    <m/>
    <n v="10"/>
    <x v="0"/>
    <n v="25"/>
    <n v="8.0555555555555554E-3"/>
    <n v="0.2013888888888889"/>
  </r>
  <r>
    <x v="47"/>
    <s v="Gourmet360"/>
    <x v="0"/>
    <x v="47"/>
    <x v="5"/>
    <x v="0"/>
    <m/>
    <m/>
    <m/>
    <s v="MET2-585"/>
    <s v="Frz Beef Topside"/>
    <s v="Gram "/>
    <s v="Gram "/>
    <n v="600"/>
    <m/>
    <m/>
    <n v="15"/>
    <x v="0"/>
    <n v="40"/>
    <n v="4.2630057803468215E-2"/>
    <n v="1.7052023121387285"/>
  </r>
  <r>
    <x v="47"/>
    <s v="Gourmet360"/>
    <x v="0"/>
    <x v="47"/>
    <x v="5"/>
    <x v="0"/>
    <m/>
    <m/>
    <m/>
    <s v="MET2-3808"/>
    <s v="Frz Beef Brisket"/>
    <s v="Gram "/>
    <s v="Gram "/>
    <n v="300"/>
    <m/>
    <m/>
    <n v="15"/>
    <x v="0"/>
    <n v="20"/>
    <n v="4.2000000000000003E-2"/>
    <n v="0.84000000000000008"/>
  </r>
  <r>
    <x v="47"/>
    <s v="Gourmet360"/>
    <x v="0"/>
    <x v="47"/>
    <x v="5"/>
    <x v="0"/>
    <m/>
    <m/>
    <m/>
    <s v="DRS3-1813"/>
    <s v="Corn Oil (18 Liter)"/>
    <s v="Ml"/>
    <s v="Ml"/>
    <n v="50"/>
    <m/>
    <m/>
    <n v="15"/>
    <x v="0"/>
    <n v="3.3333333333333335"/>
    <n v="8.0555555555555554E-3"/>
    <n v="2.6851851851851852E-2"/>
  </r>
  <r>
    <x v="47"/>
    <s v="Gourmet360"/>
    <x v="0"/>
    <x v="47"/>
    <x v="5"/>
    <x v="0"/>
    <m/>
    <m/>
    <m/>
    <s v="PRD1-4265"/>
    <s v="Fresh onion Yellow(Imported)"/>
    <s v="Gram "/>
    <s v="Gram "/>
    <n v="150"/>
    <m/>
    <m/>
    <n v="15"/>
    <x v="0"/>
    <n v="10"/>
    <n v="3.529411764705882E-3"/>
    <n v="3.5294117647058823E-2"/>
  </r>
  <r>
    <x v="47"/>
    <s v="Gourmet360"/>
    <x v="0"/>
    <x v="47"/>
    <x v="5"/>
    <x v="0"/>
    <m/>
    <m/>
    <m/>
    <s v="PRD1-4327"/>
    <s v="Fresh Garlic Peeled"/>
    <s v="Gram "/>
    <s v="Gram "/>
    <n v="15"/>
    <m/>
    <m/>
    <n v="15"/>
    <x v="0"/>
    <n v="1"/>
    <n v="1.2999999999999999E-2"/>
    <n v="1.2999999999999999E-2"/>
  </r>
  <r>
    <x v="47"/>
    <s v="Gourmet360"/>
    <x v="0"/>
    <x v="47"/>
    <x v="5"/>
    <x v="0"/>
    <m/>
    <m/>
    <m/>
    <s v="PRD1-240"/>
    <s v="Fresh Sweet Pepper Red "/>
    <s v="Gram "/>
    <s v="Gram "/>
    <n v="200"/>
    <m/>
    <m/>
    <n v="15"/>
    <x v="0"/>
    <n v="13.333333333333334"/>
    <n v="1.3293943870014769E-2"/>
    <n v="0.17725258493353027"/>
  </r>
  <r>
    <x v="47"/>
    <s v="Gourmet360"/>
    <x v="0"/>
    <x v="47"/>
    <x v="5"/>
    <x v="0"/>
    <m/>
    <m/>
    <m/>
    <s v="DRS1-607"/>
    <s v="Can Tomato Peeled"/>
    <s v="Gram "/>
    <s v="Gram "/>
    <n v="1000"/>
    <m/>
    <m/>
    <n v="15"/>
    <x v="0"/>
    <n v="66.666666666666671"/>
    <n v="5.8823529411764705E-3"/>
    <n v="0.39215686274509809"/>
  </r>
  <r>
    <x v="47"/>
    <s v="Gourmet360"/>
    <x v="0"/>
    <x v="47"/>
    <x v="5"/>
    <x v="0"/>
    <m/>
    <m/>
    <m/>
    <s v="DRS1-1747"/>
    <s v="Can Tomato Paste (4500 Gram)"/>
    <s v="Gram "/>
    <s v="Gram "/>
    <n v="80"/>
    <m/>
    <m/>
    <n v="15"/>
    <x v="0"/>
    <n v="5.333333333333333"/>
    <n v="5.185185185185185E-3"/>
    <n v="2.7654320987654319E-2"/>
  </r>
  <r>
    <x v="47"/>
    <s v="Gourmet360"/>
    <x v="0"/>
    <x v="47"/>
    <x v="5"/>
    <x v="0"/>
    <m/>
    <m/>
    <m/>
    <s v="TAP-00001"/>
    <s v="Tap Water-Cooking"/>
    <s v="Ml"/>
    <s v="Ml"/>
    <n v="300"/>
    <m/>
    <m/>
    <n v="15"/>
    <x v="0"/>
    <n v="20"/>
    <n v="8.0000000000000007E-5"/>
    <n v="1.6000000000000001E-3"/>
  </r>
  <r>
    <x v="47"/>
    <s v="Gourmet360"/>
    <x v="0"/>
    <x v="47"/>
    <x v="5"/>
    <x v="0"/>
    <m/>
    <m/>
    <m/>
    <s v="DRS6-537"/>
    <s v="Spices Pepper Black Powder(1 Kg)"/>
    <s v="Gram "/>
    <s v="Gram "/>
    <n v="2"/>
    <m/>
    <m/>
    <n v="15"/>
    <x v="0"/>
    <n v="0.13333333333333333"/>
    <n v="3.5000000000000003E-2"/>
    <n v="4.6666666666666671E-3"/>
  </r>
  <r>
    <x v="47"/>
    <s v="Gourmet360"/>
    <x v="0"/>
    <x v="47"/>
    <x v="5"/>
    <x v="0"/>
    <m/>
    <m/>
    <m/>
    <s v="DRS1-978"/>
    <s v="Sugar Fine(50 KG)"/>
    <s v="Gram "/>
    <s v="Gram "/>
    <n v="5"/>
    <m/>
    <m/>
    <n v="15"/>
    <x v="0"/>
    <n v="0.33333333333333331"/>
    <n v="2.3999999999999998E-3"/>
    <n v="7.9999999999999993E-4"/>
  </r>
  <r>
    <x v="47"/>
    <s v="Gourmet360"/>
    <x v="0"/>
    <x v="47"/>
    <x v="5"/>
    <x v="0"/>
    <m/>
    <m/>
    <m/>
    <s v="DRS1-3880"/>
    <s v="Salt "/>
    <s v="Gram "/>
    <s v="Gram "/>
    <n v="5"/>
    <m/>
    <m/>
    <n v="15"/>
    <x v="0"/>
    <n v="0.33333333333333331"/>
    <n v="5.0000000000000001E-4"/>
    <n v="1.6666666666666666E-4"/>
  </r>
  <r>
    <x v="47"/>
    <s v="Gourmet360"/>
    <x v="0"/>
    <x v="47"/>
    <x v="5"/>
    <x v="0"/>
    <m/>
    <m/>
    <m/>
    <s v="DRS1-3813"/>
    <s v="Beef Stock Powder(Packet)"/>
    <s v="Gram "/>
    <s v="Gram "/>
    <n v="15"/>
    <m/>
    <m/>
    <n v="15"/>
    <x v="0"/>
    <n v="1"/>
    <n v="4.4441666666666664E-2"/>
    <n v="4.4441666666666664E-2"/>
  </r>
  <r>
    <x v="47"/>
    <s v="Gourmet360"/>
    <x v="0"/>
    <x v="47"/>
    <x v="5"/>
    <x v="0"/>
    <m/>
    <m/>
    <m/>
    <s v="DRS4-498"/>
    <s v="Rice Basmati"/>
    <s v="Gram "/>
    <s v="Gram "/>
    <n v="1000"/>
    <m/>
    <m/>
    <n v="15"/>
    <x v="0"/>
    <n v="66.666666666666671"/>
    <n v="5.7499999999999999E-3"/>
    <n v="0.38333333333333336"/>
  </r>
  <r>
    <x v="47"/>
    <s v="Gourmet360"/>
    <x v="0"/>
    <x v="47"/>
    <x v="5"/>
    <x v="0"/>
    <m/>
    <m/>
    <m/>
    <s v="DRS1-3880"/>
    <s v="Salt "/>
    <s v="Gram "/>
    <s v="Gram "/>
    <n v="10"/>
    <m/>
    <m/>
    <n v="15"/>
    <x v="0"/>
    <n v="0.66666666666666663"/>
    <n v="5.0000000000000001E-4"/>
    <n v="3.3333333333333332E-4"/>
  </r>
  <r>
    <x v="47"/>
    <s v="Gourmet360"/>
    <x v="0"/>
    <x v="47"/>
    <x v="5"/>
    <x v="0"/>
    <m/>
    <m/>
    <m/>
    <s v="DRS3-1813"/>
    <s v="Corn Oil (18 Liter)"/>
    <s v="Ml"/>
    <s v="Ml"/>
    <n v="40"/>
    <m/>
    <m/>
    <n v="15"/>
    <x v="0"/>
    <n v="2.6666666666666665"/>
    <n v="8.0555555555555554E-3"/>
    <n v="2.148148148148148E-2"/>
  </r>
  <r>
    <x v="47"/>
    <s v="Gourmet360"/>
    <x v="0"/>
    <x v="47"/>
    <x v="5"/>
    <x v="0"/>
    <m/>
    <m/>
    <m/>
    <s v="TAP-00001"/>
    <s v="Tap Water-Cooking"/>
    <s v="Ml"/>
    <s v="Ml"/>
    <n v="1500"/>
    <m/>
    <m/>
    <n v="15"/>
    <x v="0"/>
    <n v="100"/>
    <n v="8.0000000000000007E-5"/>
    <n v="8.0000000000000002E-3"/>
  </r>
  <r>
    <x v="47"/>
    <s v="Gourmet360"/>
    <x v="0"/>
    <x v="47"/>
    <x v="5"/>
    <x v="0"/>
    <m/>
    <m/>
    <m/>
    <s v="DRS6-3593"/>
    <s v="Spices Bay Leaves"/>
    <s v="Gram "/>
    <s v="Gram "/>
    <n v="1"/>
    <m/>
    <m/>
    <n v="15"/>
    <x v="0"/>
    <n v="6.6666666666666666E-2"/>
    <n v="8.0000000000000002E-3"/>
    <n v="5.3333333333333336E-4"/>
  </r>
  <r>
    <x v="47"/>
    <s v="Gourmet360"/>
    <x v="0"/>
    <x v="47"/>
    <x v="5"/>
    <x v="0"/>
    <m/>
    <m/>
    <m/>
    <s v="DRS6-261"/>
    <s v="Spices Cinnamon Sticks"/>
    <s v="Gram "/>
    <s v="Gram "/>
    <n v="2"/>
    <m/>
    <m/>
    <n v="15"/>
    <x v="0"/>
    <n v="0.13333333333333333"/>
    <n v="1.4E-2"/>
    <n v="1.8666666666666666E-3"/>
  </r>
  <r>
    <x v="48"/>
    <s v="Gourmet360"/>
    <x v="0"/>
    <x v="48"/>
    <x v="5"/>
    <x v="0"/>
    <m/>
    <m/>
    <m/>
    <s v="SFD2-312"/>
    <s v="Frz Fish Fillet Pangasus"/>
    <s v="Gram "/>
    <s v="Gram "/>
    <n v="1200"/>
    <m/>
    <m/>
    <n v="10"/>
    <x v="0"/>
    <n v="120"/>
    <n v="3.2786885245901641E-2"/>
    <n v="3.9344262295081971"/>
  </r>
  <r>
    <x v="48"/>
    <s v="Gourmet360"/>
    <x v="0"/>
    <x v="48"/>
    <x v="5"/>
    <x v="0"/>
    <m/>
    <m/>
    <m/>
    <s v="DRS4-498"/>
    <s v="Rice Basmati"/>
    <s v="Gram "/>
    <s v="Gram "/>
    <n v="1000"/>
    <m/>
    <m/>
    <n v="10"/>
    <x v="0"/>
    <n v="100"/>
    <n v="5.7499999999999999E-3"/>
    <n v="0.57499999999999996"/>
  </r>
  <r>
    <x v="48"/>
    <s v="Gourmet360"/>
    <x v="0"/>
    <x v="48"/>
    <x v="5"/>
    <x v="0"/>
    <m/>
    <m/>
    <m/>
    <s v="PRD2-363"/>
    <s v="Frz Spinach(400 Gram)"/>
    <s v="Gram "/>
    <s v="Gram "/>
    <n v="200"/>
    <m/>
    <m/>
    <n v="10"/>
    <x v="0"/>
    <n v="20"/>
    <n v="5.875E-3"/>
    <n v="0.11749999999999999"/>
  </r>
  <r>
    <x v="48"/>
    <s v="Gourmet360"/>
    <x v="0"/>
    <x v="48"/>
    <x v="5"/>
    <x v="0"/>
    <m/>
    <m/>
    <m/>
    <s v="DRS6-309"/>
    <s v="Spice Pepper White Powder"/>
    <s v="Gram "/>
    <s v="Gram "/>
    <n v="2"/>
    <m/>
    <m/>
    <n v="10"/>
    <x v="0"/>
    <n v="0.2"/>
    <n v="2.8000000000000001E-2"/>
    <n v="5.6000000000000008E-3"/>
  </r>
  <r>
    <x v="48"/>
    <s v="Gourmet360"/>
    <x v="0"/>
    <x v="48"/>
    <x v="5"/>
    <x v="0"/>
    <m/>
    <m/>
    <m/>
    <s v="DRS1-4417"/>
    <s v="Vegetable Stock Powder(Packet)"/>
    <s v="Gram "/>
    <s v="Gram "/>
    <n v="10"/>
    <m/>
    <m/>
    <n v="10"/>
    <x v="0"/>
    <n v="1"/>
    <n v="3.6754545454545456E-2"/>
    <n v="3.6754545454545456E-2"/>
  </r>
  <r>
    <x v="48"/>
    <s v="Gourmet360"/>
    <x v="0"/>
    <x v="48"/>
    <x v="5"/>
    <x v="0"/>
    <m/>
    <m/>
    <m/>
    <s v="DRS1-3880"/>
    <s v="Salt "/>
    <s v="Gram "/>
    <s v="Gram "/>
    <n v="20"/>
    <m/>
    <m/>
    <n v="10"/>
    <x v="0"/>
    <n v="2"/>
    <n v="5.0000000000000001E-4"/>
    <n v="1E-3"/>
  </r>
  <r>
    <x v="48"/>
    <s v="Gourmet360"/>
    <x v="0"/>
    <x v="48"/>
    <x v="5"/>
    <x v="0"/>
    <m/>
    <m/>
    <m/>
    <s v="PRD1-4265"/>
    <s v="Fresh onion Yellow(Imported)"/>
    <s v="Gram "/>
    <s v="Gram "/>
    <n v="100"/>
    <m/>
    <m/>
    <n v="10"/>
    <x v="0"/>
    <n v="10"/>
    <n v="3.529411764705882E-3"/>
    <n v="3.5294117647058823E-2"/>
  </r>
  <r>
    <x v="48"/>
    <s v="Gourmet360"/>
    <x v="0"/>
    <x v="48"/>
    <x v="5"/>
    <x v="0"/>
    <m/>
    <m/>
    <m/>
    <s v="PRD1-4327"/>
    <s v="Fresh Garlic Peeled"/>
    <s v="Gram "/>
    <s v="Gram "/>
    <n v="10"/>
    <m/>
    <m/>
    <n v="10"/>
    <x v="0"/>
    <n v="1"/>
    <n v="1.2999999999999999E-2"/>
    <n v="1.2999999999999999E-2"/>
  </r>
  <r>
    <x v="48"/>
    <s v="Gourmet360"/>
    <x v="0"/>
    <x v="48"/>
    <x v="5"/>
    <x v="0"/>
    <m/>
    <m/>
    <m/>
    <s v="DRS3-1813"/>
    <s v="Corn Oil (18 Liter)"/>
    <s v="Ml"/>
    <s v="Ml"/>
    <n v="30"/>
    <m/>
    <m/>
    <n v="10"/>
    <x v="0"/>
    <n v="3"/>
    <n v="8.0555555555555554E-3"/>
    <n v="2.4166666666666666E-2"/>
  </r>
  <r>
    <x v="48"/>
    <s v="Gourmet360"/>
    <x v="0"/>
    <x v="48"/>
    <x v="5"/>
    <x v="0"/>
    <m/>
    <m/>
    <m/>
    <s v="TAP-00001"/>
    <s v="Tap Water-Cooking"/>
    <s v="Ml"/>
    <s v="Ml"/>
    <n v="2000"/>
    <m/>
    <m/>
    <n v="10"/>
    <x v="0"/>
    <n v="200"/>
    <n v="8.0000000000000007E-5"/>
    <n v="1.6E-2"/>
  </r>
  <r>
    <x v="48"/>
    <s v="Gourmet360"/>
    <x v="0"/>
    <x v="48"/>
    <x v="5"/>
    <x v="0"/>
    <m/>
    <m/>
    <m/>
    <s v="DRS6-3593"/>
    <s v="Spices Bay Leaves"/>
    <s v="Gram "/>
    <s v="Gram "/>
    <n v="2"/>
    <m/>
    <m/>
    <n v="10"/>
    <x v="0"/>
    <n v="0.2"/>
    <n v="8.0000000000000002E-3"/>
    <n v="1.6000000000000001E-3"/>
  </r>
  <r>
    <x v="48"/>
    <s v="Gourmet360"/>
    <x v="0"/>
    <x v="48"/>
    <x v="5"/>
    <x v="0"/>
    <m/>
    <m/>
    <m/>
    <s v="DRS3-1813"/>
    <s v="Corn Oil (18 Liter)"/>
    <s v="Ml"/>
    <s v="Ml"/>
    <n v="30"/>
    <m/>
    <m/>
    <n v="10"/>
    <x v="0"/>
    <n v="3"/>
    <n v="8.0555555555555554E-3"/>
    <n v="2.4166666666666666E-2"/>
  </r>
  <r>
    <x v="48"/>
    <s v="Gourmet360"/>
    <x v="0"/>
    <x v="48"/>
    <x v="5"/>
    <x v="0"/>
    <m/>
    <m/>
    <m/>
    <s v="PRD1-4265"/>
    <s v="Fresh onion Yellow(Imported)"/>
    <s v="Gram "/>
    <s v="Gram "/>
    <n v="150"/>
    <m/>
    <m/>
    <n v="10"/>
    <x v="0"/>
    <n v="15"/>
    <n v="3.529411764705882E-3"/>
    <n v="5.2941176470588228E-2"/>
  </r>
  <r>
    <x v="48"/>
    <s v="Gourmet360"/>
    <x v="0"/>
    <x v="48"/>
    <x v="5"/>
    <x v="0"/>
    <m/>
    <m/>
    <m/>
    <s v="PRD1-4327"/>
    <s v="Fresh Garlic Peeled"/>
    <s v="Gram "/>
    <s v="Gram "/>
    <n v="15"/>
    <m/>
    <m/>
    <n v="10"/>
    <x v="0"/>
    <n v="1.5"/>
    <n v="1.2999999999999999E-2"/>
    <n v="1.95E-2"/>
  </r>
  <r>
    <x v="48"/>
    <s v="Gourmet360"/>
    <x v="0"/>
    <x v="48"/>
    <x v="5"/>
    <x v="0"/>
    <m/>
    <m/>
    <m/>
    <s v="DRS1-607"/>
    <s v="Can Tomato Peeled"/>
    <s v="Gram "/>
    <s v="Gram "/>
    <n v="1000"/>
    <m/>
    <m/>
    <n v="10"/>
    <x v="0"/>
    <n v="100"/>
    <n v="5.8823529411764705E-3"/>
    <n v="0.58823529411764708"/>
  </r>
  <r>
    <x v="48"/>
    <s v="Gourmet360"/>
    <x v="0"/>
    <x v="48"/>
    <x v="5"/>
    <x v="0"/>
    <m/>
    <m/>
    <m/>
    <s v="PRD1-240"/>
    <s v="Fresh Sweet Pepper Red "/>
    <s v="Gram "/>
    <s v="Gram "/>
    <n v="100"/>
    <m/>
    <m/>
    <n v="10"/>
    <x v="0"/>
    <n v="10"/>
    <n v="1.3293943870014769E-2"/>
    <n v="0.13293943870014768"/>
  </r>
  <r>
    <x v="48"/>
    <s v="Gourmet360"/>
    <x v="0"/>
    <x v="48"/>
    <x v="5"/>
    <x v="0"/>
    <m/>
    <m/>
    <m/>
    <s v="DRS1-1768"/>
    <s v="Can Olives Black Sliced"/>
    <s v="Gram "/>
    <s v="Gram "/>
    <n v="150"/>
    <m/>
    <m/>
    <n v="10"/>
    <x v="0"/>
    <n v="15"/>
    <n v="1.29E-2"/>
    <n v="0.19350000000000001"/>
  </r>
  <r>
    <x v="48"/>
    <s v="Gourmet360"/>
    <x v="0"/>
    <x v="48"/>
    <x v="5"/>
    <x v="0"/>
    <m/>
    <m/>
    <m/>
    <s v="DRS1-978"/>
    <s v="Sugar Fine(50 KG)"/>
    <s v="Gram "/>
    <s v="Gram "/>
    <n v="5"/>
    <m/>
    <m/>
    <n v="10"/>
    <x v="0"/>
    <n v="0.5"/>
    <n v="2.3999999999999998E-3"/>
    <n v="1.1999999999999999E-3"/>
  </r>
  <r>
    <x v="48"/>
    <s v="Gourmet360"/>
    <x v="0"/>
    <x v="48"/>
    <x v="5"/>
    <x v="0"/>
    <m/>
    <m/>
    <m/>
    <s v="PRD1-239"/>
    <s v="Fresh Sweet Pepper Green"/>
    <s v="Gram "/>
    <s v="Gram "/>
    <n v="100"/>
    <m/>
    <m/>
    <n v="10"/>
    <x v="0"/>
    <n v="10"/>
    <n v="6.6864784546805346E-3"/>
    <n v="6.6864784546805348E-2"/>
  </r>
  <r>
    <x v="48"/>
    <s v="Gourmet360"/>
    <x v="0"/>
    <x v="48"/>
    <x v="5"/>
    <x v="0"/>
    <m/>
    <m/>
    <m/>
    <s v="PRD1-241"/>
    <s v="Fresh Sweet Pepper Yellow"/>
    <s v="Gram "/>
    <s v="Gram "/>
    <n v="100"/>
    <m/>
    <m/>
    <n v="10"/>
    <x v="0"/>
    <n v="10"/>
    <n v="1.3196480938416421E-2"/>
    <n v="0.13196480938416422"/>
  </r>
  <r>
    <x v="48"/>
    <s v="Gourmet360"/>
    <x v="0"/>
    <x v="48"/>
    <x v="5"/>
    <x v="0"/>
    <m/>
    <m/>
    <m/>
    <s v="DRS1-1747"/>
    <s v="Can Tomato Paste (4500 Gram)"/>
    <s v="Gram "/>
    <s v="Gram "/>
    <n v="80"/>
    <m/>
    <m/>
    <n v="10"/>
    <x v="0"/>
    <n v="8"/>
    <n v="5.185185185185185E-3"/>
    <n v="4.148148148148148E-2"/>
  </r>
  <r>
    <x v="48"/>
    <s v="Gourmet360"/>
    <x v="0"/>
    <x v="48"/>
    <x v="5"/>
    <x v="0"/>
    <m/>
    <m/>
    <m/>
    <s v="TAP-00001"/>
    <s v="Tap Water-Cooking"/>
    <s v="Ml"/>
    <s v="Ml"/>
    <n v="150"/>
    <m/>
    <m/>
    <n v="10"/>
    <x v="0"/>
    <n v="15"/>
    <n v="8.0000000000000007E-5"/>
    <n v="1.2000000000000001E-3"/>
  </r>
  <r>
    <x v="48"/>
    <s v="Gourmet360"/>
    <x v="0"/>
    <x v="48"/>
    <x v="5"/>
    <x v="0"/>
    <m/>
    <m/>
    <m/>
    <s v="DRS1-4104"/>
    <s v="Fish Stock Powder "/>
    <s v="Gram "/>
    <s v="Gram "/>
    <n v="20"/>
    <m/>
    <m/>
    <n v="10"/>
    <x v="0"/>
    <n v="2"/>
    <n v="4.8886666666666669E-2"/>
    <n v="9.7773333333333337E-2"/>
  </r>
  <r>
    <x v="49"/>
    <s v="Gourmet360"/>
    <x v="0"/>
    <x v="7"/>
    <x v="5"/>
    <x v="0"/>
    <m/>
    <m/>
    <m/>
    <s v="PLT2-3278"/>
    <s v="Frz Chicken Breast Tender (KG)"/>
    <s v="Gram "/>
    <s v="Gram "/>
    <n v="1200"/>
    <m/>
    <m/>
    <n v="10"/>
    <x v="0"/>
    <n v="120"/>
    <n v="3.0357142857142853E-2"/>
    <n v="3.6428571428571423"/>
  </r>
  <r>
    <x v="49"/>
    <s v="Gourmet360"/>
    <x v="0"/>
    <x v="7"/>
    <x v="5"/>
    <x v="0"/>
    <m/>
    <m/>
    <m/>
    <s v="PRD1-4265"/>
    <s v="Fresh onion Yellow(Imported)"/>
    <s v="Gram "/>
    <s v="Gram "/>
    <n v="500"/>
    <m/>
    <m/>
    <n v="10"/>
    <x v="0"/>
    <n v="50"/>
    <n v="3.529411764705882E-3"/>
    <n v="0.1764705882352941"/>
  </r>
  <r>
    <x v="49"/>
    <s v="Gourmet360"/>
    <x v="0"/>
    <x v="7"/>
    <x v="5"/>
    <x v="0"/>
    <m/>
    <m/>
    <m/>
    <s v="DRS6-4482"/>
    <s v="Spice Garlic Powder(Kg)"/>
    <s v="Gram "/>
    <s v="Gram "/>
    <n v="25"/>
    <m/>
    <m/>
    <n v="10"/>
    <x v="0"/>
    <n v="2.5"/>
    <n v="1.04E-2"/>
    <n v="2.5999999999999999E-2"/>
  </r>
  <r>
    <x v="49"/>
    <s v="Gourmet360"/>
    <x v="0"/>
    <x v="7"/>
    <x v="5"/>
    <x v="0"/>
    <m/>
    <m/>
    <m/>
    <s v="DRS1-4840"/>
    <s v="Can Chopped Tomato"/>
    <s v="Gram "/>
    <s v="Gram "/>
    <n v="700"/>
    <m/>
    <m/>
    <n v="10"/>
    <x v="0"/>
    <n v="70"/>
    <n v="6.0000000000000001E-3"/>
    <n v="0.42"/>
  </r>
  <r>
    <x v="49"/>
    <s v="Gourmet360"/>
    <x v="0"/>
    <x v="7"/>
    <x v="5"/>
    <x v="0"/>
    <m/>
    <m/>
    <m/>
    <s v="DRY2-3401"/>
    <s v="Labneh Full Fat(2750 Gram)"/>
    <s v="Gram "/>
    <s v="Gram "/>
    <n v="250"/>
    <m/>
    <m/>
    <n v="10"/>
    <x v="0"/>
    <n v="25"/>
    <n v="1.2272727272727272E-2"/>
    <n v="0.30681818181818182"/>
  </r>
  <r>
    <x v="49"/>
    <s v="Gourmet360"/>
    <x v="0"/>
    <x v="7"/>
    <x v="5"/>
    <x v="0"/>
    <m/>
    <m/>
    <m/>
    <s v="DRY2-1858"/>
    <s v="Cooking Cream 1 Ltr"/>
    <s v="Ml"/>
    <s v="Ml"/>
    <n v="100"/>
    <m/>
    <m/>
    <n v="10"/>
    <x v="0"/>
    <n v="10"/>
    <n v="9.8800000000000016E-3"/>
    <n v="9.8800000000000013E-2"/>
  </r>
  <r>
    <x v="49"/>
    <s v="Gourmet360"/>
    <x v="0"/>
    <x v="7"/>
    <x v="5"/>
    <x v="0"/>
    <m/>
    <m/>
    <m/>
    <s v="PRD1-195"/>
    <s v="Fresh Coriander "/>
    <s v="Gram "/>
    <s v="Gram "/>
    <n v="20"/>
    <m/>
    <m/>
    <n v="10"/>
    <x v="0"/>
    <n v="2"/>
    <n v="9.3676814988290415E-3"/>
    <n v="1.8735362997658083E-2"/>
  </r>
  <r>
    <x v="49"/>
    <s v="Gourmet360"/>
    <x v="0"/>
    <x v="7"/>
    <x v="5"/>
    <x v="0"/>
    <m/>
    <m/>
    <m/>
    <s v="DRS6-1674"/>
    <s v="Spice Turmeric Powder (1 Kg)"/>
    <s v="Gram "/>
    <s v="Gram "/>
    <n v="4"/>
    <m/>
    <m/>
    <n v="10"/>
    <x v="0"/>
    <n v="0.4"/>
    <n v="1.2500000000000001E-2"/>
    <n v="5.000000000000001E-3"/>
  </r>
  <r>
    <x v="49"/>
    <s v="Gourmet360"/>
    <x v="0"/>
    <x v="7"/>
    <x v="5"/>
    <x v="0"/>
    <m/>
    <m/>
    <m/>
    <s v="DRS6-266"/>
    <s v="Spices Coriander Powder"/>
    <s v="Gram "/>
    <s v="Gram "/>
    <n v="5"/>
    <m/>
    <m/>
    <n v="10"/>
    <x v="0"/>
    <n v="0.5"/>
    <n v="1.4E-2"/>
    <n v="7.0000000000000001E-3"/>
  </r>
  <r>
    <x v="49"/>
    <s v="Gourmet360"/>
    <x v="0"/>
    <x v="7"/>
    <x v="5"/>
    <x v="0"/>
    <m/>
    <m/>
    <m/>
    <s v="DRS6-733"/>
    <s v="Spices Cumin Powder"/>
    <s v="Gram "/>
    <s v="Gram "/>
    <n v="4"/>
    <m/>
    <m/>
    <n v="10"/>
    <x v="0"/>
    <n v="0.4"/>
    <n v="2.8000000000000001E-2"/>
    <n v="1.1200000000000002E-2"/>
  </r>
  <r>
    <x v="49"/>
    <s v="Gourmet360"/>
    <x v="0"/>
    <x v="7"/>
    <x v="5"/>
    <x v="0"/>
    <m/>
    <m/>
    <m/>
    <s v="DRS6-3850"/>
    <s v="Spice Biryani Masala (Mahran)"/>
    <s v="Gram "/>
    <s v="Gram "/>
    <n v="5"/>
    <m/>
    <m/>
    <n v="10"/>
    <x v="0"/>
    <n v="0.5"/>
    <n v="7.963636363636363E-2"/>
    <n v="3.9818181818181815E-2"/>
  </r>
  <r>
    <x v="49"/>
    <s v="Gourmet360"/>
    <x v="0"/>
    <x v="7"/>
    <x v="5"/>
    <x v="0"/>
    <m/>
    <m/>
    <m/>
    <s v="TAP-00001"/>
    <s v="Tap Water-Cooking"/>
    <s v="Ml"/>
    <s v="Ml"/>
    <n v="200"/>
    <m/>
    <m/>
    <n v="10"/>
    <x v="0"/>
    <n v="20"/>
    <n v="8.0000000000000007E-5"/>
    <n v="1.6000000000000001E-3"/>
  </r>
  <r>
    <x v="49"/>
    <s v="Gourmet360"/>
    <x v="0"/>
    <x v="7"/>
    <x v="5"/>
    <x v="0"/>
    <m/>
    <m/>
    <m/>
    <s v="DRS1-3811"/>
    <s v="Chicken Stock Powder(Packet)"/>
    <s v="Gram "/>
    <s v="Gram "/>
    <n v="15"/>
    <m/>
    <m/>
    <n v="10"/>
    <x v="0"/>
    <n v="1.5"/>
    <n v="2.8475E-2"/>
    <n v="4.27125E-2"/>
  </r>
  <r>
    <x v="49"/>
    <s v="Gourmet360"/>
    <x v="0"/>
    <x v="7"/>
    <x v="5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49"/>
    <s v="Gourmet360"/>
    <x v="0"/>
    <x v="7"/>
    <x v="5"/>
    <x v="0"/>
    <m/>
    <m/>
    <m/>
    <s v="PRD3-5038"/>
    <s v="Fried Onions"/>
    <s v="Gram "/>
    <s v="Gram "/>
    <n v="100"/>
    <m/>
    <m/>
    <n v="10"/>
    <x v="0"/>
    <n v="10"/>
    <n v="2.5999999999999999E-2"/>
    <n v="0.26"/>
  </r>
  <r>
    <x v="49"/>
    <s v="Gourmet360"/>
    <x v="0"/>
    <x v="7"/>
    <x v="5"/>
    <x v="0"/>
    <m/>
    <m/>
    <m/>
    <s v="DRS7-926"/>
    <s v="Cashew Nuts"/>
    <s v="Gram "/>
    <s v="Gram "/>
    <n v="150"/>
    <m/>
    <m/>
    <n v="10"/>
    <x v="0"/>
    <n v="15"/>
    <n v="4.2000000000000003E-2"/>
    <n v="0.63"/>
  </r>
  <r>
    <x v="49"/>
    <s v="Gourmet360"/>
    <x v="0"/>
    <x v="7"/>
    <x v="5"/>
    <x v="0"/>
    <m/>
    <m/>
    <m/>
    <s v="DRS4-498"/>
    <s v="Rice Basmati"/>
    <s v="Gram "/>
    <s v="Gram "/>
    <n v="1000"/>
    <m/>
    <m/>
    <n v="10"/>
    <x v="0"/>
    <n v="100"/>
    <n v="5.7499999999999999E-3"/>
    <n v="0.57499999999999996"/>
  </r>
  <r>
    <x v="49"/>
    <s v="Gourmet360"/>
    <x v="0"/>
    <x v="7"/>
    <x v="5"/>
    <x v="0"/>
    <m/>
    <m/>
    <m/>
    <s v="TAP-00001"/>
    <s v="Tap Water-Cooking"/>
    <s v="Ml"/>
    <s v="Ml"/>
    <n v="1600"/>
    <m/>
    <m/>
    <n v="10"/>
    <x v="0"/>
    <n v="160"/>
    <n v="8.0000000000000007E-5"/>
    <n v="1.2800000000000001E-2"/>
  </r>
  <r>
    <x v="49"/>
    <s v="Gourmet360"/>
    <x v="0"/>
    <x v="7"/>
    <x v="5"/>
    <x v="0"/>
    <m/>
    <m/>
    <m/>
    <s v="DRY2-1008"/>
    <s v="Butter 82% Fat(Unsalted) 25 kg"/>
    <s v="Gram "/>
    <s v="Gram "/>
    <n v="50"/>
    <m/>
    <m/>
    <n v="10"/>
    <x v="0"/>
    <n v="5"/>
    <n v="0.03"/>
    <n v="0.15"/>
  </r>
  <r>
    <x v="49"/>
    <s v="Gourmet360"/>
    <x v="0"/>
    <x v="7"/>
    <x v="5"/>
    <x v="0"/>
    <m/>
    <m/>
    <m/>
    <s v="DRS1-304"/>
    <s v="Food Color Yellow(Saffron)"/>
    <s v="Gram "/>
    <s v="Gram "/>
    <n v="1"/>
    <m/>
    <m/>
    <n v="10"/>
    <x v="0"/>
    <n v="0.1"/>
    <n v="2.0799999999999999E-2"/>
    <n v="2.0799999999999998E-3"/>
  </r>
  <r>
    <x v="50"/>
    <s v="Gourmet360"/>
    <x v="0"/>
    <x v="49"/>
    <x v="6"/>
    <x v="0"/>
    <s v="Dinner"/>
    <m/>
    <m/>
    <s v="MET2-4655"/>
    <s v="Frz Meat Ball"/>
    <s v="Gram "/>
    <s v="Gram "/>
    <n v="1000"/>
    <m/>
    <m/>
    <n v="10"/>
    <x v="0"/>
    <n v="100"/>
    <n v="2.3699999999999999E-2"/>
    <n v="2.37"/>
  </r>
  <r>
    <x v="50"/>
    <s v="Gourmet360"/>
    <x v="0"/>
    <x v="49"/>
    <x v="6"/>
    <x v="0"/>
    <s v="Dinner"/>
    <m/>
    <m/>
    <s v="DRS1-607"/>
    <s v="Can Tomato Peeled"/>
    <s v="Gram "/>
    <s v="Gram "/>
    <n v="1200"/>
    <m/>
    <m/>
    <n v="10"/>
    <x v="0"/>
    <n v="120"/>
    <n v="5.8823529411764705E-3"/>
    <n v="0.70588235294117641"/>
  </r>
  <r>
    <x v="50"/>
    <s v="Gourmet360"/>
    <x v="0"/>
    <x v="49"/>
    <x v="6"/>
    <x v="0"/>
    <s v="Dinner"/>
    <m/>
    <m/>
    <s v="PRD1-4265"/>
    <s v="Fresh onion Yellow(Imported)"/>
    <s v="Gram "/>
    <s v="Gram "/>
    <n v="15"/>
    <m/>
    <m/>
    <n v="10"/>
    <x v="0"/>
    <n v="1.5"/>
    <n v="3.529411764705882E-3"/>
    <n v="5.2941176470588233E-3"/>
  </r>
  <r>
    <x v="50"/>
    <s v="Gourmet360"/>
    <x v="0"/>
    <x v="49"/>
    <x v="6"/>
    <x v="0"/>
    <s v="Dinner"/>
    <m/>
    <m/>
    <s v="DRS6-537"/>
    <s v="Spices Pepper Black Powder(1 Kg)"/>
    <s v="Gram "/>
    <s v="Gram "/>
    <n v="1"/>
    <m/>
    <m/>
    <n v="10"/>
    <x v="0"/>
    <n v="0.1"/>
    <n v="3.5000000000000003E-2"/>
    <n v="3.5000000000000005E-3"/>
  </r>
  <r>
    <x v="50"/>
    <s v="Gourmet360"/>
    <x v="0"/>
    <x v="49"/>
    <x v="6"/>
    <x v="0"/>
    <s v="Dinner"/>
    <m/>
    <m/>
    <s v="DRS1-1747"/>
    <s v="Can Tomato Paste (4500 Gram)"/>
    <s v="Gram "/>
    <s v="Gram "/>
    <n v="80"/>
    <m/>
    <m/>
    <n v="10"/>
    <x v="0"/>
    <n v="8"/>
    <n v="5.185185185185185E-3"/>
    <n v="4.148148148148148E-2"/>
  </r>
  <r>
    <x v="50"/>
    <s v="Gourmet360"/>
    <x v="0"/>
    <x v="49"/>
    <x v="6"/>
    <x v="0"/>
    <s v="Dinner"/>
    <m/>
    <m/>
    <s v="TAP-00001"/>
    <s v="Tap Water-Cooking"/>
    <s v="Ml"/>
    <s v="Ml"/>
    <n v="500"/>
    <m/>
    <m/>
    <n v="10"/>
    <x v="0"/>
    <n v="50"/>
    <n v="8.0000000000000007E-5"/>
    <n v="4.0000000000000001E-3"/>
  </r>
  <r>
    <x v="50"/>
    <s v="Gourmet360"/>
    <x v="0"/>
    <x v="49"/>
    <x v="6"/>
    <x v="0"/>
    <s v="Dinner"/>
    <m/>
    <m/>
    <s v="DRS1-3813"/>
    <s v="Beef Stock Powder(Packet)"/>
    <s v="Gram "/>
    <s v="Gram "/>
    <n v="10"/>
    <m/>
    <m/>
    <n v="10"/>
    <x v="0"/>
    <n v="1"/>
    <n v="4.4441666666666664E-2"/>
    <n v="4.4441666666666664E-2"/>
  </r>
  <r>
    <x v="50"/>
    <s v="Gourmet360"/>
    <x v="0"/>
    <x v="49"/>
    <x v="6"/>
    <x v="0"/>
    <s v="Dinner"/>
    <m/>
    <m/>
    <s v="DRS1-3880"/>
    <s v="Salt "/>
    <s v="Gram "/>
    <s v="Gram "/>
    <n v="10"/>
    <m/>
    <m/>
    <n v="10"/>
    <x v="0"/>
    <n v="1"/>
    <n v="5.0000000000000001E-4"/>
    <n v="5.0000000000000001E-4"/>
  </r>
  <r>
    <x v="50"/>
    <s v="Gourmet360"/>
    <x v="0"/>
    <x v="49"/>
    <x v="6"/>
    <x v="0"/>
    <s v="Dinner"/>
    <m/>
    <m/>
    <s v="DRS1-978"/>
    <s v="Sugar Fine(50 KG)"/>
    <s v="Gram "/>
    <s v="Gram "/>
    <n v="5"/>
    <m/>
    <m/>
    <n v="10"/>
    <x v="0"/>
    <n v="0.5"/>
    <n v="2.3999999999999998E-3"/>
    <n v="1.1999999999999999E-3"/>
  </r>
  <r>
    <x v="50"/>
    <s v="Gourmet360"/>
    <x v="0"/>
    <x v="49"/>
    <x v="6"/>
    <x v="0"/>
    <s v="Dinner"/>
    <m/>
    <m/>
    <s v="DRS5-21"/>
    <s v="Flour Corn"/>
    <s v="Gram "/>
    <s v="Gram "/>
    <n v="25"/>
    <m/>
    <m/>
    <n v="10"/>
    <x v="0"/>
    <n v="2.5"/>
    <n v="2.0799999999999998E-3"/>
    <n v="5.1999999999999998E-3"/>
  </r>
  <r>
    <x v="50"/>
    <s v="Gourmet360"/>
    <x v="0"/>
    <x v="49"/>
    <x v="6"/>
    <x v="0"/>
    <s v="Dinner"/>
    <m/>
    <m/>
    <s v="DRS4-498"/>
    <s v="Rice Basmati"/>
    <s v="Gram "/>
    <s v="Gram "/>
    <n v="1000"/>
    <m/>
    <m/>
    <n v="10"/>
    <x v="0"/>
    <n v="100"/>
    <n v="5.7499999999999999E-3"/>
    <n v="0.57499999999999996"/>
  </r>
  <r>
    <x v="50"/>
    <s v="Gourmet360"/>
    <x v="0"/>
    <x v="49"/>
    <x v="6"/>
    <x v="0"/>
    <s v="Dinner"/>
    <m/>
    <m/>
    <s v="DRS3-1813"/>
    <s v="Corn Oil (18 Liter)"/>
    <s v="Ml"/>
    <s v="Ml"/>
    <n v="30"/>
    <m/>
    <m/>
    <n v="10"/>
    <x v="0"/>
    <n v="3"/>
    <n v="8.0555555555555554E-3"/>
    <n v="2.4166666666666666E-2"/>
  </r>
  <r>
    <x v="50"/>
    <s v="Gourmet360"/>
    <x v="0"/>
    <x v="49"/>
    <x v="6"/>
    <x v="0"/>
    <s v="Dinner"/>
    <m/>
    <m/>
    <s v="DRS6-1674"/>
    <s v="Spice Turmeric Powder (1 Kg)"/>
    <s v="Gram "/>
    <s v="Gram "/>
    <n v="3"/>
    <m/>
    <m/>
    <n v="10"/>
    <x v="0"/>
    <n v="0.3"/>
    <n v="1.2500000000000001E-2"/>
    <n v="3.7499999999999999E-3"/>
  </r>
  <r>
    <x v="50"/>
    <s v="Gourmet360"/>
    <x v="0"/>
    <x v="49"/>
    <x v="6"/>
    <x v="0"/>
    <s v="Dinner"/>
    <m/>
    <m/>
    <s v="DRS1-3880"/>
    <s v="Salt "/>
    <s v="Gram "/>
    <s v="Gram "/>
    <n v="10"/>
    <m/>
    <m/>
    <n v="10"/>
    <x v="0"/>
    <n v="1"/>
    <n v="5.0000000000000001E-4"/>
    <n v="5.0000000000000001E-4"/>
  </r>
  <r>
    <x v="50"/>
    <s v="Gourmet360"/>
    <x v="0"/>
    <x v="49"/>
    <x v="6"/>
    <x v="0"/>
    <s v="Dinner"/>
    <m/>
    <m/>
    <s v="DRS6-261"/>
    <s v="Spices Cinnamon Sticks"/>
    <s v="Gram "/>
    <s v="Gram "/>
    <n v="1"/>
    <m/>
    <m/>
    <n v="10"/>
    <x v="0"/>
    <n v="0.1"/>
    <n v="1.4E-2"/>
    <n v="1.4000000000000002E-3"/>
  </r>
  <r>
    <x v="50"/>
    <s v="Gourmet360"/>
    <x v="0"/>
    <x v="49"/>
    <x v="6"/>
    <x v="0"/>
    <s v="Dinner"/>
    <m/>
    <m/>
    <s v="DRS6-3593"/>
    <s v="Spices Bay Leaves"/>
    <s v="Gram "/>
    <s v="Gram "/>
    <n v="2"/>
    <m/>
    <m/>
    <n v="10"/>
    <x v="0"/>
    <n v="0.2"/>
    <n v="8.0000000000000002E-3"/>
    <n v="1.6000000000000001E-3"/>
  </r>
  <r>
    <x v="50"/>
    <s v="Gourmet360"/>
    <x v="0"/>
    <x v="49"/>
    <x v="6"/>
    <x v="0"/>
    <s v="Dinner"/>
    <m/>
    <m/>
    <s v="DRS6-539"/>
    <s v="Spices Cardamon Seeds"/>
    <s v="Gram "/>
    <s v="Gram "/>
    <n v="2"/>
    <m/>
    <m/>
    <n v="10"/>
    <x v="0"/>
    <n v="0.2"/>
    <n v="0.16"/>
    <n v="3.2000000000000001E-2"/>
  </r>
  <r>
    <x v="50"/>
    <s v="Gourmet360"/>
    <x v="0"/>
    <x v="49"/>
    <x v="6"/>
    <x v="0"/>
    <s v="Dinner"/>
    <m/>
    <m/>
    <s v="DRS6-309"/>
    <s v="Spice Pepper White Powder"/>
    <s v="Gram "/>
    <s v="Gram "/>
    <n v="2"/>
    <m/>
    <m/>
    <n v="10"/>
    <x v="0"/>
    <n v="0.2"/>
    <n v="2.8000000000000001E-2"/>
    <n v="5.6000000000000008E-3"/>
  </r>
  <r>
    <x v="50"/>
    <s v="Gourmet360"/>
    <x v="0"/>
    <x v="49"/>
    <x v="6"/>
    <x v="0"/>
    <s v="Dinner"/>
    <m/>
    <m/>
    <s v="TAP-00001"/>
    <s v="Tap Water-Cooking"/>
    <s v="Ml"/>
    <s v="Ml"/>
    <n v="1700"/>
    <m/>
    <m/>
    <n v="10"/>
    <x v="0"/>
    <n v="170"/>
    <n v="8.0000000000000007E-5"/>
    <n v="1.3600000000000001E-2"/>
  </r>
  <r>
    <x v="51"/>
    <s v="Gourmet360"/>
    <x v="0"/>
    <x v="50"/>
    <x v="6"/>
    <x v="0"/>
    <m/>
    <m/>
    <m/>
    <s v="PLT1-1785"/>
    <s v="Fresh Chicken Whole"/>
    <s v="Gram "/>
    <s v="Gram "/>
    <n v="2500"/>
    <m/>
    <m/>
    <n v="10"/>
    <x v="0"/>
    <n v="250"/>
    <n v="1.3730000000000001E-2"/>
    <n v="3.4325000000000001"/>
  </r>
  <r>
    <x v="51"/>
    <s v="Gourmet360"/>
    <x v="0"/>
    <x v="50"/>
    <x v="6"/>
    <x v="0"/>
    <m/>
    <m/>
    <m/>
    <s v="DRS1-1142"/>
    <s v="Soya Sauce Kikkoman(Liter)"/>
    <s v="Ml"/>
    <s v="Ml"/>
    <n v="150"/>
    <m/>
    <m/>
    <n v="10"/>
    <x v="0"/>
    <n v="15"/>
    <n v="2.3579999999999997E-2"/>
    <n v="0.35369999999999996"/>
  </r>
  <r>
    <x v="51"/>
    <s v="Gourmet360"/>
    <x v="0"/>
    <x v="50"/>
    <x v="6"/>
    <x v="0"/>
    <m/>
    <m/>
    <m/>
    <s v="PRD1-204"/>
    <s v="Fresh Ginger"/>
    <s v="Gram "/>
    <s v="Gram "/>
    <n v="60"/>
    <m/>
    <m/>
    <n v="10"/>
    <x v="0"/>
    <n v="6"/>
    <n v="8.4337349397590362E-3"/>
    <n v="5.0602409638554217E-2"/>
  </r>
  <r>
    <x v="51"/>
    <s v="Gourmet360"/>
    <x v="0"/>
    <x v="50"/>
    <x v="6"/>
    <x v="0"/>
    <m/>
    <m/>
    <m/>
    <s v="DRS1-1780"/>
    <s v="Honey Jar (3 KG)"/>
    <s v="Gram "/>
    <s v="Gram "/>
    <n v="120"/>
    <m/>
    <m/>
    <n v="10"/>
    <x v="0"/>
    <n v="12"/>
    <n v="0.04"/>
    <n v="0.48"/>
  </r>
  <r>
    <x v="51"/>
    <s v="Gourmet360"/>
    <x v="0"/>
    <x v="50"/>
    <x v="6"/>
    <x v="0"/>
    <m/>
    <m/>
    <m/>
    <s v="PRD1-4327"/>
    <s v="Fresh Garlic Peeled"/>
    <s v="Gram "/>
    <s v="Gram "/>
    <n v="60"/>
    <m/>
    <m/>
    <n v="10"/>
    <x v="0"/>
    <n v="6"/>
    <n v="1.2999999999999999E-2"/>
    <n v="7.8E-2"/>
  </r>
  <r>
    <x v="51"/>
    <s v="Gourmet360"/>
    <x v="0"/>
    <x v="50"/>
    <x v="6"/>
    <x v="0"/>
    <m/>
    <m/>
    <m/>
    <s v="PRD1-204"/>
    <s v="Fresh Ginger"/>
    <s v="Gram "/>
    <s v="Gram "/>
    <n v="60"/>
    <m/>
    <m/>
    <n v="10"/>
    <x v="0"/>
    <n v="6"/>
    <n v="8.4337349397590362E-3"/>
    <n v="5.0602409638554217E-2"/>
  </r>
  <r>
    <x v="51"/>
    <s v="Gourmet360"/>
    <x v="0"/>
    <x v="50"/>
    <x v="6"/>
    <x v="0"/>
    <m/>
    <m/>
    <m/>
    <s v="DRS6-3593"/>
    <s v="Spices Bay Leaves"/>
    <s v="Gram "/>
    <s v="Gram "/>
    <n v="4"/>
    <m/>
    <m/>
    <n v="10"/>
    <x v="0"/>
    <n v="0.4"/>
    <n v="8.0000000000000002E-3"/>
    <n v="3.2000000000000002E-3"/>
  </r>
  <r>
    <x v="51"/>
    <s v="Gourmet360"/>
    <x v="0"/>
    <x v="50"/>
    <x v="6"/>
    <x v="0"/>
    <m/>
    <m/>
    <m/>
    <s v="PRD1-230"/>
    <s v="Fresh Potato"/>
    <s v="Gram "/>
    <s v="Gram "/>
    <n v="1000"/>
    <m/>
    <m/>
    <n v="10"/>
    <x v="0"/>
    <n v="100"/>
    <n v="3.3738191632928472E-3"/>
    <n v="0.33738191632928471"/>
  </r>
  <r>
    <x v="51"/>
    <s v="Gourmet360"/>
    <x v="0"/>
    <x v="50"/>
    <x v="6"/>
    <x v="0"/>
    <m/>
    <m/>
    <m/>
    <s v="TAP-00001"/>
    <s v="Tap Water-Cooking"/>
    <s v="Ml"/>
    <s v="Ml"/>
    <n v="600"/>
    <m/>
    <m/>
    <n v="10"/>
    <x v="0"/>
    <n v="60"/>
    <n v="8.0000000000000007E-5"/>
    <n v="4.8000000000000004E-3"/>
  </r>
  <r>
    <x v="51"/>
    <s v="Gourmet360"/>
    <x v="0"/>
    <x v="50"/>
    <x v="6"/>
    <x v="0"/>
    <m/>
    <m/>
    <m/>
    <s v="DRS6-537"/>
    <s v="Spices Pepper Black Powder(1 Kg)"/>
    <s v="Gram "/>
    <s v="Gram "/>
    <n v="2"/>
    <m/>
    <m/>
    <n v="10"/>
    <x v="0"/>
    <n v="0.2"/>
    <n v="3.5000000000000003E-2"/>
    <n v="7.000000000000001E-3"/>
  </r>
  <r>
    <x v="51"/>
    <s v="Gourmet360"/>
    <x v="0"/>
    <x v="50"/>
    <x v="6"/>
    <x v="0"/>
    <m/>
    <m/>
    <m/>
    <s v="DRS5-21"/>
    <s v="Flour Corn"/>
    <s v="Gram "/>
    <s v="Gram "/>
    <n v="10"/>
    <m/>
    <m/>
    <n v="10"/>
    <x v="0"/>
    <n v="1"/>
    <n v="2.0799999999999998E-3"/>
    <n v="2.0799999999999998E-3"/>
  </r>
  <r>
    <x v="51"/>
    <s v="Gourmet360"/>
    <x v="0"/>
    <x v="50"/>
    <x v="6"/>
    <x v="0"/>
    <m/>
    <m/>
    <m/>
    <s v="PRD1-4265"/>
    <s v="Fresh onion Yellow(Imported)"/>
    <s v="Gram "/>
    <s v="Gram "/>
    <n v="400"/>
    <m/>
    <m/>
    <n v="10"/>
    <x v="0"/>
    <n v="40"/>
    <n v="3.529411764705882E-3"/>
    <n v="0.14117647058823529"/>
  </r>
  <r>
    <x v="51"/>
    <s v="Gourmet360"/>
    <x v="0"/>
    <x v="50"/>
    <x v="6"/>
    <x v="0"/>
    <m/>
    <m/>
    <m/>
    <s v="DRS4-1457"/>
    <s v="Rice Egypt"/>
    <s v="Gram "/>
    <s v="Gram "/>
    <n v="1000"/>
    <m/>
    <m/>
    <n v="10"/>
    <x v="0"/>
    <n v="100"/>
    <n v="6.4999999999999997E-3"/>
    <n v="0.65"/>
  </r>
  <r>
    <x v="51"/>
    <s v="Gourmet360"/>
    <x v="0"/>
    <x v="50"/>
    <x v="6"/>
    <x v="0"/>
    <m/>
    <m/>
    <m/>
    <s v="TAP-00001"/>
    <s v="Tap Water-Cooking"/>
    <s v="Ml"/>
    <s v="Ml"/>
    <n v="1800"/>
    <m/>
    <m/>
    <n v="10"/>
    <x v="0"/>
    <n v="180"/>
    <n v="8.0000000000000007E-5"/>
    <n v="1.4400000000000001E-2"/>
  </r>
  <r>
    <x v="52"/>
    <s v="Gourmet360"/>
    <x v="0"/>
    <x v="51"/>
    <x v="6"/>
    <x v="0"/>
    <s v="Lunch"/>
    <m/>
    <m/>
    <s v="DRS2-81"/>
    <s v="Pasta Spaghetti Regular N:20"/>
    <s v="Gram "/>
    <s v="Gram "/>
    <n v="1000"/>
    <m/>
    <m/>
    <n v="10"/>
    <x v="0"/>
    <n v="100"/>
    <n v="8.911111111111111E-3"/>
    <n v="0.89111111111111108"/>
  </r>
  <r>
    <x v="52"/>
    <s v="Gourmet360"/>
    <x v="0"/>
    <x v="51"/>
    <x v="6"/>
    <x v="0"/>
    <s v="Lunch"/>
    <m/>
    <m/>
    <s v="DRY1-1801"/>
    <s v="Cheese Mozzarella Grated (KG)"/>
    <s v="Gram "/>
    <s v="Gram "/>
    <n v="400"/>
    <m/>
    <m/>
    <n v="10"/>
    <x v="0"/>
    <n v="40"/>
    <n v="2.5000000000000001E-2"/>
    <n v="1"/>
  </r>
  <r>
    <x v="52"/>
    <s v="Gourmet360"/>
    <x v="0"/>
    <x v="51"/>
    <x v="6"/>
    <x v="0"/>
    <s v="Lunch"/>
    <m/>
    <m/>
    <s v="DRS3-1615"/>
    <s v="Olive Oil (CAN)"/>
    <s v="Ml"/>
    <s v="Ml"/>
    <n v="50"/>
    <m/>
    <m/>
    <n v="10"/>
    <x v="0"/>
    <n v="5"/>
    <n v="1.2E-2"/>
    <n v="0.06"/>
  </r>
  <r>
    <x v="52"/>
    <s v="Gourmet360"/>
    <x v="0"/>
    <x v="51"/>
    <x v="6"/>
    <x v="0"/>
    <s v="Lunch"/>
    <m/>
    <m/>
    <s v="PRD1-4327"/>
    <s v="Fresh Garlic Peeled"/>
    <s v="Gram "/>
    <s v="Gram "/>
    <n v="25"/>
    <m/>
    <m/>
    <n v="10"/>
    <x v="0"/>
    <n v="2.5"/>
    <n v="1.2999999999999999E-2"/>
    <n v="3.2500000000000001E-2"/>
  </r>
  <r>
    <x v="52"/>
    <s v="Gourmet360"/>
    <x v="0"/>
    <x v="51"/>
    <x v="6"/>
    <x v="0"/>
    <s v="Lunch"/>
    <m/>
    <m/>
    <s v="PRD1-4265"/>
    <s v="Fresh onion Yellow(Imported)"/>
    <s v="Gram "/>
    <s v="Gram "/>
    <n v="250"/>
    <m/>
    <m/>
    <n v="10"/>
    <x v="0"/>
    <n v="25"/>
    <n v="3.529411764705882E-3"/>
    <n v="8.8235294117647051E-2"/>
  </r>
  <r>
    <x v="52"/>
    <s v="Gourmet360"/>
    <x v="0"/>
    <x v="51"/>
    <x v="6"/>
    <x v="0"/>
    <s v="Lunch"/>
    <m/>
    <m/>
    <s v="PRD1-186"/>
    <s v="Fresh Carrot Imported"/>
    <s v="Gram "/>
    <s v="Gram "/>
    <n v="100"/>
    <m/>
    <m/>
    <n v="10"/>
    <x v="0"/>
    <n v="10"/>
    <n v="5.8139534883720938E-3"/>
    <n v="5.8139534883720936E-2"/>
  </r>
  <r>
    <x v="52"/>
    <s v="Gourmet360"/>
    <x v="0"/>
    <x v="51"/>
    <x v="6"/>
    <x v="0"/>
    <s v="Lunch"/>
    <m/>
    <m/>
    <s v="PRD1-4019"/>
    <s v="Fresh Leek (Imported)"/>
    <s v="Gram "/>
    <s v="Gram "/>
    <n v="50"/>
    <m/>
    <m/>
    <n v="10"/>
    <x v="0"/>
    <n v="5"/>
    <n v="0.02"/>
    <n v="0.1"/>
  </r>
  <r>
    <x v="52"/>
    <s v="Gourmet360"/>
    <x v="0"/>
    <x v="51"/>
    <x v="6"/>
    <x v="0"/>
    <s v="Lunch"/>
    <m/>
    <m/>
    <s v="DRS6-1570"/>
    <s v="Dried Oregano"/>
    <s v="Gram "/>
    <s v="Gram "/>
    <n v="2"/>
    <m/>
    <m/>
    <n v="10"/>
    <x v="0"/>
    <n v="0.2"/>
    <n v="9.3526666666666654E-3"/>
    <n v="1.8705333333333331E-3"/>
  </r>
  <r>
    <x v="52"/>
    <s v="Gourmet360"/>
    <x v="0"/>
    <x v="51"/>
    <x v="6"/>
    <x v="0"/>
    <s v="Lunch"/>
    <m/>
    <m/>
    <s v="MET2-585"/>
    <s v="Frz Beef Topside"/>
    <s v="Gram "/>
    <s v="Gram "/>
    <n v="800"/>
    <m/>
    <m/>
    <n v="10"/>
    <x v="0"/>
    <n v="80"/>
    <n v="4.2630057803468215E-2"/>
    <n v="3.4104046242774571"/>
  </r>
  <r>
    <x v="52"/>
    <s v="Gourmet360"/>
    <x v="0"/>
    <x v="51"/>
    <x v="6"/>
    <x v="0"/>
    <s v="Lunch"/>
    <m/>
    <m/>
    <s v="DRS6-3593"/>
    <s v="Spices Bay Leaves"/>
    <s v="Gram "/>
    <s v="Gram "/>
    <n v="1"/>
    <m/>
    <m/>
    <n v="10"/>
    <x v="0"/>
    <n v="0.1"/>
    <n v="8.0000000000000002E-3"/>
    <n v="8.0000000000000004E-4"/>
  </r>
  <r>
    <x v="52"/>
    <s v="Gourmet360"/>
    <x v="0"/>
    <x v="51"/>
    <x v="6"/>
    <x v="0"/>
    <s v="Lunch"/>
    <m/>
    <m/>
    <s v="DRS6-261"/>
    <s v="Spices Cinnamon Sticks"/>
    <s v="Gram "/>
    <s v="Gram "/>
    <n v="2"/>
    <m/>
    <m/>
    <n v="10"/>
    <x v="0"/>
    <n v="0.2"/>
    <n v="1.4E-2"/>
    <n v="2.8000000000000004E-3"/>
  </r>
  <r>
    <x v="52"/>
    <s v="Gourmet360"/>
    <x v="0"/>
    <x v="51"/>
    <x v="6"/>
    <x v="0"/>
    <s v="Lunch"/>
    <m/>
    <m/>
    <s v="DRS1-1747"/>
    <s v="Can Tomato Paste (4500 Gram)"/>
    <s v="Gram "/>
    <s v="Gram "/>
    <n v="80"/>
    <m/>
    <m/>
    <n v="10"/>
    <x v="0"/>
    <n v="8"/>
    <n v="5.185185185185185E-3"/>
    <n v="4.148148148148148E-2"/>
  </r>
  <r>
    <x v="52"/>
    <s v="Gourmet360"/>
    <x v="0"/>
    <x v="51"/>
    <x v="6"/>
    <x v="0"/>
    <s v="Lunch"/>
    <m/>
    <m/>
    <s v="DRS1-607"/>
    <s v="Can Tomato Peeled"/>
    <s v="Gram "/>
    <s v="Gram "/>
    <n v="125"/>
    <m/>
    <m/>
    <n v="10"/>
    <x v="0"/>
    <n v="12.5"/>
    <n v="5.8823529411764705E-3"/>
    <n v="7.3529411764705885E-2"/>
  </r>
  <r>
    <x v="52"/>
    <s v="Gourmet360"/>
    <x v="0"/>
    <x v="51"/>
    <x v="6"/>
    <x v="0"/>
    <s v="Lunch"/>
    <m/>
    <m/>
    <s v="DRS1-3880"/>
    <s v="Salt "/>
    <s v="Gram "/>
    <s v="Gram "/>
    <n v="20"/>
    <m/>
    <m/>
    <n v="10"/>
    <x v="0"/>
    <n v="2"/>
    <n v="5.0000000000000001E-4"/>
    <n v="1E-3"/>
  </r>
  <r>
    <x v="52"/>
    <s v="Gourmet360"/>
    <x v="0"/>
    <x v="51"/>
    <x v="6"/>
    <x v="0"/>
    <s v="Lunch"/>
    <m/>
    <m/>
    <s v="DRS1-3813"/>
    <s v="Beef Stock Powder(Packet)"/>
    <s v="Gram "/>
    <s v="Gram "/>
    <n v="15"/>
    <m/>
    <m/>
    <n v="10"/>
    <x v="0"/>
    <n v="1.5"/>
    <n v="4.4441666666666664E-2"/>
    <n v="6.66625E-2"/>
  </r>
  <r>
    <x v="52"/>
    <s v="Gourmet360"/>
    <x v="0"/>
    <x v="51"/>
    <x v="6"/>
    <x v="0"/>
    <s v="Lunch"/>
    <m/>
    <m/>
    <s v="DRS6-537"/>
    <s v="Spices Pepper Black Powder(1 Kg)"/>
    <s v="Gram "/>
    <s v="Gram "/>
    <n v="2"/>
    <m/>
    <m/>
    <n v="10"/>
    <x v="0"/>
    <n v="0.2"/>
    <n v="3.5000000000000003E-2"/>
    <n v="7.000000000000001E-3"/>
  </r>
  <r>
    <x v="52"/>
    <s v="Gourmet360"/>
    <x v="0"/>
    <x v="51"/>
    <x v="6"/>
    <x v="0"/>
    <s v="Lunch"/>
    <m/>
    <m/>
    <s v="TAP-00001"/>
    <s v="Tap Water-Cooking"/>
    <s v="Ml"/>
    <s v="Ml"/>
    <n v="250"/>
    <m/>
    <m/>
    <n v="10"/>
    <x v="0"/>
    <n v="25"/>
    <n v="8.0000000000000007E-5"/>
    <n v="2E-3"/>
  </r>
  <r>
    <x v="52"/>
    <s v="Gourmet360"/>
    <x v="0"/>
    <x v="51"/>
    <x v="6"/>
    <x v="0"/>
    <s v="Lunch"/>
    <m/>
    <m/>
    <s v="DRS5-21"/>
    <s v="Flour Corn"/>
    <s v="Gram "/>
    <s v="Gram "/>
    <n v="30"/>
    <m/>
    <m/>
    <n v="10"/>
    <x v="0"/>
    <n v="3"/>
    <n v="2.0799999999999998E-3"/>
    <n v="6.239999999999999E-3"/>
  </r>
  <r>
    <x v="53"/>
    <s v="Gourmet360"/>
    <x v="0"/>
    <x v="52"/>
    <x v="6"/>
    <x v="0"/>
    <s v="Lunch"/>
    <m/>
    <m/>
    <s v="PLT2-3278"/>
    <s v="Frz Chicken Breast Tender (KG)"/>
    <s v="Gram "/>
    <s v="Gram "/>
    <n v="1000"/>
    <m/>
    <m/>
    <n v="10"/>
    <x v="0"/>
    <n v="100"/>
    <n v="3.0357142857142853E-2"/>
    <n v="3.0357142857142851"/>
  </r>
  <r>
    <x v="53"/>
    <s v="Gourmet360"/>
    <x v="0"/>
    <x v="52"/>
    <x v="6"/>
    <x v="0"/>
    <s v="Lunch"/>
    <m/>
    <m/>
    <s v="DRY2-1008"/>
    <s v="Butter 82% Fat(Unsalted) 25 kg"/>
    <s v="Gram "/>
    <s v="Gram "/>
    <n v="150"/>
    <m/>
    <m/>
    <n v="10"/>
    <x v="0"/>
    <n v="15"/>
    <n v="0.03"/>
    <n v="0.44999999999999996"/>
  </r>
  <r>
    <x v="53"/>
    <s v="Gourmet360"/>
    <x v="0"/>
    <x v="52"/>
    <x v="6"/>
    <x v="0"/>
    <s v="Lunch"/>
    <m/>
    <m/>
    <s v="DRS3-1813"/>
    <s v="Corn Oil (18 Liter)"/>
    <s v="Ml"/>
    <s v="Ml"/>
    <n v="60"/>
    <m/>
    <m/>
    <n v="10"/>
    <x v="0"/>
    <n v="6"/>
    <n v="8.0555555555555554E-3"/>
    <n v="4.8333333333333332E-2"/>
  </r>
  <r>
    <x v="53"/>
    <s v="Gourmet360"/>
    <x v="0"/>
    <x v="52"/>
    <x v="6"/>
    <x v="0"/>
    <s v="Lunch"/>
    <m/>
    <m/>
    <s v="PRD1-4265"/>
    <s v="Fresh onion Yellow(Imported)"/>
    <s v="Gram "/>
    <s v="Gram "/>
    <n v="400"/>
    <m/>
    <m/>
    <n v="10"/>
    <x v="0"/>
    <n v="40"/>
    <n v="3.529411764705882E-3"/>
    <n v="0.14117647058823529"/>
  </r>
  <r>
    <x v="53"/>
    <s v="Gourmet360"/>
    <x v="0"/>
    <x v="52"/>
    <x v="6"/>
    <x v="0"/>
    <s v="Lunch"/>
    <m/>
    <m/>
    <s v="PRD1-4327"/>
    <s v="Fresh Garlic Peeled"/>
    <s v="Gram "/>
    <s v="Gram "/>
    <n v="30"/>
    <m/>
    <m/>
    <n v="10"/>
    <x v="0"/>
    <n v="3"/>
    <n v="1.2999999999999999E-2"/>
    <n v="3.9E-2"/>
  </r>
  <r>
    <x v="53"/>
    <s v="Gourmet360"/>
    <x v="0"/>
    <x v="52"/>
    <x v="6"/>
    <x v="0"/>
    <s v="Lunch"/>
    <m/>
    <m/>
    <s v="DRS1-607"/>
    <s v="Can Tomato Peeled"/>
    <s v="Gram "/>
    <s v="Gram "/>
    <n v="800"/>
    <m/>
    <m/>
    <n v="10"/>
    <x v="0"/>
    <n v="80"/>
    <n v="5.8823529411764705E-3"/>
    <n v="0.47058823529411764"/>
  </r>
  <r>
    <x v="53"/>
    <s v="Gourmet360"/>
    <x v="0"/>
    <x v="52"/>
    <x v="6"/>
    <x v="0"/>
    <s v="Lunch"/>
    <m/>
    <m/>
    <s v="DRS7-926"/>
    <s v="Cashew Nuts"/>
    <s v="Gram "/>
    <s v="Gram "/>
    <n v="150"/>
    <m/>
    <m/>
    <n v="10"/>
    <x v="0"/>
    <n v="15"/>
    <n v="4.2000000000000003E-2"/>
    <n v="0.63"/>
  </r>
  <r>
    <x v="53"/>
    <s v="Gourmet360"/>
    <x v="0"/>
    <x v="52"/>
    <x v="6"/>
    <x v="0"/>
    <s v="Lunch"/>
    <m/>
    <m/>
    <s v="DRS6-5338"/>
    <s v="Spice Red Pepper Crushed,Flakes(500 gm)"/>
    <s v="Gram "/>
    <s v="Gram "/>
    <n v="8"/>
    <m/>
    <m/>
    <n v="10"/>
    <x v="0"/>
    <n v="0.8"/>
    <n v="2.5000000000000001E-2"/>
    <n v="2.0000000000000004E-2"/>
  </r>
  <r>
    <x v="53"/>
    <s v="Gourmet360"/>
    <x v="0"/>
    <x v="52"/>
    <x v="6"/>
    <x v="0"/>
    <s v="Lunch"/>
    <m/>
    <m/>
    <s v="DRS6-266"/>
    <s v="Spices Coriander Powder"/>
    <s v="Gram "/>
    <s v="Gram "/>
    <n v="6"/>
    <m/>
    <m/>
    <n v="10"/>
    <x v="0"/>
    <n v="0.6"/>
    <n v="1.4E-2"/>
    <n v="8.3999999999999995E-3"/>
  </r>
  <r>
    <x v="53"/>
    <s v="Gourmet360"/>
    <x v="0"/>
    <x v="52"/>
    <x v="6"/>
    <x v="0"/>
    <s v="Lunch"/>
    <m/>
    <m/>
    <s v="DRS6-733"/>
    <s v="Spices Cumin Powder"/>
    <s v="Gram "/>
    <s v="Gram "/>
    <n v="5"/>
    <m/>
    <m/>
    <n v="10"/>
    <x v="0"/>
    <n v="0.5"/>
    <n v="2.8000000000000001E-2"/>
    <n v="1.4E-2"/>
  </r>
  <r>
    <x v="53"/>
    <s v="Gourmet360"/>
    <x v="0"/>
    <x v="52"/>
    <x v="6"/>
    <x v="0"/>
    <s v="Lunch"/>
    <m/>
    <m/>
    <s v="DRS1-3880"/>
    <s v="Salt "/>
    <s v="Gram "/>
    <s v="Gram "/>
    <n v="15"/>
    <m/>
    <m/>
    <n v="10"/>
    <x v="0"/>
    <n v="1.5"/>
    <n v="5.0000000000000001E-4"/>
    <n v="7.5000000000000002E-4"/>
  </r>
  <r>
    <x v="53"/>
    <s v="Gourmet360"/>
    <x v="0"/>
    <x v="52"/>
    <x v="6"/>
    <x v="0"/>
    <s v="Lunch"/>
    <m/>
    <m/>
    <s v="DRS1-978"/>
    <s v="Sugar Fine(50 KG)"/>
    <s v="Gram "/>
    <s v="Gram "/>
    <n v="15"/>
    <m/>
    <m/>
    <n v="10"/>
    <x v="0"/>
    <n v="1.5"/>
    <n v="2.3999999999999998E-3"/>
    <n v="3.5999999999999999E-3"/>
  </r>
  <r>
    <x v="53"/>
    <s v="Gourmet360"/>
    <x v="0"/>
    <x v="52"/>
    <x v="6"/>
    <x v="0"/>
    <s v="Lunch"/>
    <m/>
    <m/>
    <s v="DRY2-1858"/>
    <s v="Cooking Cream 1 Ltr"/>
    <s v="Ml"/>
    <s v="Ml"/>
    <n v="300"/>
    <m/>
    <m/>
    <n v="10"/>
    <x v="0"/>
    <n v="30"/>
    <n v="9.8800000000000016E-3"/>
    <n v="0.29640000000000005"/>
  </r>
  <r>
    <x v="53"/>
    <s v="Gourmet360"/>
    <x v="0"/>
    <x v="52"/>
    <x v="6"/>
    <x v="0"/>
    <s v="Lunch"/>
    <m/>
    <m/>
    <s v="TAP-00001"/>
    <s v="Tap Water-Cooking"/>
    <s v="Ml"/>
    <s v="Ml"/>
    <n v="500"/>
    <m/>
    <m/>
    <n v="10"/>
    <x v="0"/>
    <n v="50"/>
    <n v="8.0000000000000007E-5"/>
    <n v="4.0000000000000001E-3"/>
  </r>
  <r>
    <x v="53"/>
    <s v="Gourmet360"/>
    <x v="0"/>
    <x v="52"/>
    <x v="6"/>
    <x v="0"/>
    <s v="Lunch"/>
    <m/>
    <m/>
    <s v="PRD1-195"/>
    <s v="Fresh Coriander "/>
    <s v="Gram "/>
    <s v="Gram "/>
    <n v="40"/>
    <m/>
    <m/>
    <n v="10"/>
    <x v="0"/>
    <n v="4"/>
    <n v="9.3676814988290415E-3"/>
    <n v="3.7470725995316166E-2"/>
  </r>
  <r>
    <x v="53"/>
    <s v="Gourmet360"/>
    <x v="0"/>
    <x v="52"/>
    <x v="6"/>
    <x v="0"/>
    <s v="Lunch"/>
    <m/>
    <m/>
    <s v="PRD1-1028"/>
    <s v="Fresh Curry Leaves "/>
    <s v="Gram "/>
    <s v="Gram "/>
    <n v="5"/>
    <m/>
    <m/>
    <n v="10"/>
    <x v="0"/>
    <n v="0.5"/>
    <n v="0.04"/>
    <n v="0.02"/>
  </r>
  <r>
    <x v="53"/>
    <s v="Gourmet360"/>
    <x v="0"/>
    <x v="52"/>
    <x v="6"/>
    <x v="0"/>
    <s v="Lunch"/>
    <m/>
    <m/>
    <s v="DRS6-4418"/>
    <s v="Spice Garam Masala(KG)"/>
    <s v="Gram "/>
    <s v="Gram "/>
    <n v="10"/>
    <m/>
    <m/>
    <n v="10"/>
    <x v="0"/>
    <n v="1"/>
    <n v="3.2000000000000001E-2"/>
    <n v="3.2000000000000001E-2"/>
  </r>
  <r>
    <x v="53"/>
    <s v="Gourmet360"/>
    <x v="0"/>
    <x v="52"/>
    <x v="6"/>
    <x v="0"/>
    <s v="Lunch"/>
    <m/>
    <m/>
    <s v="PRD1-204"/>
    <s v="Fresh Ginger"/>
    <s v="Gram "/>
    <s v="Gram "/>
    <n v="25"/>
    <m/>
    <m/>
    <n v="10"/>
    <x v="0"/>
    <n v="2.5"/>
    <n v="8.4337349397590362E-3"/>
    <n v="2.1084337349397589E-2"/>
  </r>
  <r>
    <x v="53"/>
    <s v="Gourmet360"/>
    <x v="0"/>
    <x v="52"/>
    <x v="6"/>
    <x v="0"/>
    <s v="Lunch"/>
    <m/>
    <m/>
    <s v="DRS4-498"/>
    <s v="Rice Basmati"/>
    <s v="Gram "/>
    <s v="Gram "/>
    <n v="1000"/>
    <m/>
    <m/>
    <n v="10"/>
    <x v="0"/>
    <n v="100"/>
    <n v="5.7499999999999999E-3"/>
    <n v="0.57499999999999996"/>
  </r>
  <r>
    <x v="53"/>
    <s v="Gourmet360"/>
    <x v="0"/>
    <x v="52"/>
    <x v="6"/>
    <x v="0"/>
    <s v="Lunch"/>
    <m/>
    <m/>
    <s v="DRS3-1813"/>
    <s v="Corn Oil (18 Liter)"/>
    <s v="Ml"/>
    <s v="Ml"/>
    <n v="40"/>
    <m/>
    <m/>
    <n v="10"/>
    <x v="0"/>
    <n v="4"/>
    <n v="8.0555555555555554E-3"/>
    <n v="3.2222222222222222E-2"/>
  </r>
  <r>
    <x v="53"/>
    <s v="Gourmet360"/>
    <x v="0"/>
    <x v="52"/>
    <x v="6"/>
    <x v="0"/>
    <s v="Lunch"/>
    <m/>
    <m/>
    <s v="TAP-00001"/>
    <s v="Tap Water-Cooking"/>
    <s v="Ml"/>
    <s v="Ml"/>
    <n v="1600"/>
    <m/>
    <m/>
    <n v="10"/>
    <x v="0"/>
    <n v="160"/>
    <n v="8.0000000000000007E-5"/>
    <n v="1.2800000000000001E-2"/>
  </r>
  <r>
    <x v="53"/>
    <s v="Gourmet360"/>
    <x v="0"/>
    <x v="52"/>
    <x v="6"/>
    <x v="0"/>
    <s v="Lunch"/>
    <m/>
    <m/>
    <s v="DRS6-3593"/>
    <s v="Spices Bay Leaves"/>
    <s v="Gram "/>
    <s v="Gram "/>
    <n v="1"/>
    <m/>
    <m/>
    <n v="10"/>
    <x v="0"/>
    <n v="0.1"/>
    <n v="8.0000000000000002E-3"/>
    <n v="8.0000000000000004E-4"/>
  </r>
  <r>
    <x v="53"/>
    <s v="Gourmet360"/>
    <x v="0"/>
    <x v="52"/>
    <x v="6"/>
    <x v="0"/>
    <s v="Lunch"/>
    <m/>
    <m/>
    <s v="DRS6-261"/>
    <s v="Spices Cinnamon Sticks"/>
    <s v="Gram "/>
    <s v="Gram "/>
    <n v="2"/>
    <m/>
    <m/>
    <n v="10"/>
    <x v="0"/>
    <n v="0.2"/>
    <n v="1.4E-2"/>
    <n v="2.8000000000000004E-3"/>
  </r>
  <r>
    <x v="54"/>
    <s v="Gourmet360"/>
    <x v="0"/>
    <x v="53"/>
    <x v="6"/>
    <x v="0"/>
    <s v="Dinner"/>
    <m/>
    <m/>
    <s v="BKR1-4332"/>
    <s v="Bread Potato Burger Plain"/>
    <s v="Each"/>
    <s v="Each"/>
    <n v="10"/>
    <m/>
    <m/>
    <n v="10"/>
    <x v="0"/>
    <n v="1"/>
    <n v="0.55833333333333335"/>
    <n v="0.55833333333333335"/>
  </r>
  <r>
    <x v="54"/>
    <s v="Gourmet360"/>
    <x v="0"/>
    <x v="53"/>
    <x v="6"/>
    <x v="0"/>
    <s v="Dinner"/>
    <m/>
    <m/>
    <s v="DRS3-1813"/>
    <s v="Corn Oil (18 Liter)"/>
    <s v="Ml"/>
    <s v="Ml"/>
    <n v="200"/>
    <m/>
    <m/>
    <n v="10"/>
    <x v="0"/>
    <n v="20"/>
    <n v="8.0555555555555554E-3"/>
    <n v="0.16111111111111109"/>
  </r>
  <r>
    <x v="54"/>
    <s v="Gourmet360"/>
    <x v="0"/>
    <x v="53"/>
    <x v="6"/>
    <x v="0"/>
    <s v="Dinner"/>
    <m/>
    <m/>
    <s v="DRS1-58"/>
    <s v="Mayonnaise Regular"/>
    <s v="Gram "/>
    <s v="Gram "/>
    <n v="150"/>
    <m/>
    <m/>
    <n v="10"/>
    <x v="0"/>
    <n v="15"/>
    <n v="6.4814814814814813E-3"/>
    <n v="9.7222222222222224E-2"/>
  </r>
  <r>
    <x v="54"/>
    <s v="Gourmet360"/>
    <x v="0"/>
    <x v="53"/>
    <x v="6"/>
    <x v="0"/>
    <s v="Dinner"/>
    <m/>
    <m/>
    <s v="PRD1-572"/>
    <s v="Fresh Tomato "/>
    <s v="Gram "/>
    <s v="Gram "/>
    <n v="250"/>
    <m/>
    <m/>
    <n v="10"/>
    <x v="0"/>
    <n v="25"/>
    <n v="4.5351473922902496E-3"/>
    <n v="0.11337868480725624"/>
  </r>
  <r>
    <x v="54"/>
    <s v="Gourmet360"/>
    <x v="0"/>
    <x v="53"/>
    <x v="6"/>
    <x v="0"/>
    <s v="Dinner"/>
    <m/>
    <m/>
    <s v="DRY1-3385"/>
    <s v="Cheese Cheddar Block,Yellow(KG)"/>
    <s v="Gram "/>
    <s v="Gram "/>
    <n v="160"/>
    <m/>
    <m/>
    <n v="10"/>
    <x v="0"/>
    <n v="16"/>
    <n v="3.1E-2"/>
    <n v="0.496"/>
  </r>
  <r>
    <x v="54"/>
    <s v="Gourmet360"/>
    <x v="0"/>
    <x v="53"/>
    <x v="6"/>
    <x v="0"/>
    <s v="Dinner"/>
    <m/>
    <m/>
    <s v="PLT2-1045"/>
    <s v="Frz Boneless Chicken(Shawarma)"/>
    <s v="Gram "/>
    <s v="Gram "/>
    <n v="850"/>
    <m/>
    <m/>
    <n v="10"/>
    <x v="0"/>
    <n v="85"/>
    <n v="2.185792349726776E-2"/>
    <n v="1.8579234972677596"/>
  </r>
  <r>
    <x v="54"/>
    <s v="Gourmet360"/>
    <x v="0"/>
    <x v="53"/>
    <x v="6"/>
    <x v="0"/>
    <s v="Dinner"/>
    <m/>
    <m/>
    <s v="PLT2-3278"/>
    <s v="Frz Chicken Breast Tender (KG)"/>
    <s v="Gram "/>
    <s v="Gram "/>
    <n v="160"/>
    <m/>
    <m/>
    <n v="10"/>
    <x v="0"/>
    <n v="16"/>
    <n v="3.0357142857142853E-2"/>
    <n v="0.48571428571428565"/>
  </r>
  <r>
    <x v="54"/>
    <s v="Gourmet360"/>
    <x v="0"/>
    <x v="53"/>
    <x v="6"/>
    <x v="0"/>
    <s v="Dinner"/>
    <m/>
    <m/>
    <s v="DRS1-3880"/>
    <s v="Salt "/>
    <s v="Gram "/>
    <s v="Gram "/>
    <n v="5"/>
    <m/>
    <m/>
    <n v="10"/>
    <x v="0"/>
    <n v="0.5"/>
    <n v="5.0000000000000001E-4"/>
    <n v="2.5000000000000001E-4"/>
  </r>
  <r>
    <x v="54"/>
    <s v="Gourmet360"/>
    <x v="0"/>
    <x v="53"/>
    <x v="6"/>
    <x v="0"/>
    <s v="Dinner"/>
    <m/>
    <m/>
    <s v="PRD1-4265"/>
    <s v="Fresh onion Yellow(Imported)"/>
    <s v="Gram "/>
    <s v="Gram "/>
    <n v="50"/>
    <m/>
    <m/>
    <n v="10"/>
    <x v="0"/>
    <n v="5"/>
    <n v="3.529411764705882E-3"/>
    <n v="1.7647058823529412E-2"/>
  </r>
  <r>
    <x v="54"/>
    <s v="Gourmet360"/>
    <x v="0"/>
    <x v="53"/>
    <x v="6"/>
    <x v="0"/>
    <s v="Dinner"/>
    <m/>
    <m/>
    <s v="DRS6-309"/>
    <s v="Spice Pepper White Powder"/>
    <s v="Gram "/>
    <s v="Gram "/>
    <n v="2"/>
    <m/>
    <m/>
    <n v="10"/>
    <x v="0"/>
    <n v="0.2"/>
    <n v="2.8000000000000001E-2"/>
    <n v="5.6000000000000008E-3"/>
  </r>
  <r>
    <x v="54"/>
    <s v="Gourmet360"/>
    <x v="0"/>
    <x v="53"/>
    <x v="6"/>
    <x v="0"/>
    <s v="Dinner"/>
    <m/>
    <m/>
    <s v="PRD1-204"/>
    <s v="Fresh Ginger"/>
    <s v="Gram "/>
    <s v="Gram "/>
    <n v="10"/>
    <m/>
    <m/>
    <n v="10"/>
    <x v="0"/>
    <n v="1"/>
    <n v="8.4337349397590362E-3"/>
    <n v="8.4337349397590362E-3"/>
  </r>
  <r>
    <x v="54"/>
    <s v="Gourmet360"/>
    <x v="0"/>
    <x v="53"/>
    <x v="6"/>
    <x v="0"/>
    <s v="Dinner"/>
    <m/>
    <m/>
    <s v="DRS1-1549"/>
    <s v="Mustard Yellow Cream (JAR)"/>
    <s v="Gram "/>
    <s v="Gram "/>
    <n v="15"/>
    <m/>
    <m/>
    <n v="10"/>
    <x v="0"/>
    <n v="1.5"/>
    <n v="7.5966850828729279E-3"/>
    <n v="1.1395027624309391E-2"/>
  </r>
  <r>
    <x v="54"/>
    <s v="Gourmet360"/>
    <x v="0"/>
    <x v="53"/>
    <x v="6"/>
    <x v="0"/>
    <s v="Dinner"/>
    <m/>
    <m/>
    <s v="BKR1-4011"/>
    <s v="Bread Crumb IMP(Packet)"/>
    <s v="Gram "/>
    <s v="Gram "/>
    <n v="85"/>
    <m/>
    <m/>
    <n v="10"/>
    <x v="0"/>
    <n v="8.5"/>
    <n v="2.1999999999999999E-2"/>
    <n v="0.187"/>
  </r>
  <r>
    <x v="54"/>
    <s v="Gourmet360"/>
    <x v="0"/>
    <x v="53"/>
    <x v="6"/>
    <x v="0"/>
    <s v="Dinner"/>
    <m/>
    <m/>
    <s v="PRD2-1166"/>
    <s v="Frz Potato Wedges "/>
    <s v="Gram "/>
    <s v="Gram "/>
    <n v="750"/>
    <m/>
    <m/>
    <n v="10"/>
    <x v="0"/>
    <n v="75"/>
    <n v="1.0500000000000001E-2"/>
    <n v="0.78750000000000009"/>
  </r>
  <r>
    <x v="55"/>
    <s v="Gourmet360"/>
    <x v="0"/>
    <x v="54"/>
    <x v="6"/>
    <x v="0"/>
    <m/>
    <m/>
    <m/>
    <s v="DRS2-4321"/>
    <s v="Pasta Penne Rigate (1 Kg)"/>
    <s v="Gram "/>
    <s v="Gram "/>
    <n v="900"/>
    <m/>
    <m/>
    <n v="10"/>
    <x v="0"/>
    <n v="90"/>
    <n v="8.0299999999999989E-3"/>
    <n v="0.7226999999999999"/>
  </r>
  <r>
    <x v="55"/>
    <s v="Gourmet360"/>
    <x v="0"/>
    <x v="54"/>
    <x v="6"/>
    <x v="0"/>
    <m/>
    <m/>
    <m/>
    <s v="PLT2-3278"/>
    <s v="Frz Chicken Breast Tender (KG)"/>
    <s v="Gram "/>
    <s v="Gram "/>
    <n v="1000"/>
    <m/>
    <m/>
    <n v="10"/>
    <x v="0"/>
    <n v="100"/>
    <n v="3.0357142857142853E-2"/>
    <n v="3.0357142857142851"/>
  </r>
  <r>
    <x v="55"/>
    <s v="Gourmet360"/>
    <x v="0"/>
    <x v="54"/>
    <x v="6"/>
    <x v="0"/>
    <m/>
    <m/>
    <m/>
    <s v="DRS5-980"/>
    <s v="Flour Cake Special (all purpose)"/>
    <s v="Gram "/>
    <s v="Gram "/>
    <n v="180"/>
    <m/>
    <m/>
    <n v="10"/>
    <x v="0"/>
    <n v="18"/>
    <n v="1E-3"/>
    <n v="1.8000000000000002E-2"/>
  </r>
  <r>
    <x v="55"/>
    <s v="Gourmet360"/>
    <x v="0"/>
    <x v="54"/>
    <x v="6"/>
    <x v="0"/>
    <m/>
    <m/>
    <m/>
    <s v="DRY2-1008"/>
    <s v="Butter 82% Fat(Unsalted) 25 kg"/>
    <s v="Gram "/>
    <s v="Gram "/>
    <n v="180"/>
    <m/>
    <m/>
    <n v="10"/>
    <x v="0"/>
    <n v="18"/>
    <n v="0.03"/>
    <n v="0.54"/>
  </r>
  <r>
    <x v="55"/>
    <s v="Gourmet360"/>
    <x v="0"/>
    <x v="54"/>
    <x v="6"/>
    <x v="0"/>
    <m/>
    <m/>
    <m/>
    <s v="DRS1-3811"/>
    <s v="Chicken Stock Powder(Packet)"/>
    <s v="Gram "/>
    <s v="Gram "/>
    <n v="3"/>
    <m/>
    <m/>
    <n v="10"/>
    <x v="0"/>
    <n v="0.3"/>
    <n v="2.8475E-2"/>
    <n v="8.5424999999999997E-3"/>
  </r>
  <r>
    <x v="55"/>
    <s v="Gourmet360"/>
    <x v="0"/>
    <x v="54"/>
    <x v="6"/>
    <x v="0"/>
    <m/>
    <m/>
    <m/>
    <s v="DRS6-309"/>
    <s v="Spice Pepper White Powder"/>
    <s v="Gram "/>
    <s v="Gram "/>
    <n v="1.5"/>
    <m/>
    <m/>
    <n v="10"/>
    <x v="0"/>
    <n v="0.15"/>
    <n v="2.8000000000000001E-2"/>
    <n v="4.1999999999999997E-3"/>
  </r>
  <r>
    <x v="55"/>
    <s v="Gourmet360"/>
    <x v="0"/>
    <x v="54"/>
    <x v="6"/>
    <x v="0"/>
    <m/>
    <m/>
    <m/>
    <s v="DRY2-1858"/>
    <s v="Cooking Cream 1 Ltr"/>
    <s v="Ml"/>
    <s v="Ml"/>
    <n v="600"/>
    <m/>
    <m/>
    <n v="10"/>
    <x v="0"/>
    <n v="60"/>
    <n v="9.8800000000000016E-3"/>
    <n v="0.5928000000000001"/>
  </r>
  <r>
    <x v="55"/>
    <s v="Gourmet360"/>
    <x v="0"/>
    <x v="54"/>
    <x v="6"/>
    <x v="0"/>
    <m/>
    <m/>
    <m/>
    <s v="DRY1-602"/>
    <s v="Cheese Parmesan Grated"/>
    <s v="Gram "/>
    <s v="Gram "/>
    <n v="25"/>
    <m/>
    <m/>
    <n v="10"/>
    <x v="0"/>
    <n v="2.5"/>
    <n v="5.5E-2"/>
    <n v="0.13750000000000001"/>
  </r>
  <r>
    <x v="55"/>
    <s v="Gourmet360"/>
    <x v="0"/>
    <x v="54"/>
    <x v="6"/>
    <x v="0"/>
    <m/>
    <m/>
    <m/>
    <s v="PRD1-4265"/>
    <s v="Fresh onion Yellow(Imported)"/>
    <s v="Gram "/>
    <s v="Gram "/>
    <n v="100"/>
    <m/>
    <m/>
    <n v="10"/>
    <x v="0"/>
    <n v="10"/>
    <n v="3.529411764705882E-3"/>
    <n v="3.5294117647058823E-2"/>
  </r>
  <r>
    <x v="55"/>
    <s v="Gourmet360"/>
    <x v="0"/>
    <x v="54"/>
    <x v="6"/>
    <x v="0"/>
    <m/>
    <m/>
    <m/>
    <s v="DRS3-1813"/>
    <s v="Corn Oil (18 Liter)"/>
    <s v="Ml"/>
    <s v="Ml"/>
    <n v="30"/>
    <m/>
    <m/>
    <n v="10"/>
    <x v="0"/>
    <n v="3"/>
    <n v="8.0555555555555554E-3"/>
    <n v="2.4166666666666666E-2"/>
  </r>
  <r>
    <x v="56"/>
    <s v="Gourmet360"/>
    <x v="0"/>
    <x v="55"/>
    <x v="6"/>
    <x v="0"/>
    <m/>
    <m/>
    <m/>
    <s v="MET2-1051"/>
    <s v="Frz Beef Tendrloin Brazil"/>
    <s v="Gram "/>
    <s v="Gram "/>
    <n v="800"/>
    <m/>
    <m/>
    <n v="43"/>
    <x v="0"/>
    <n v="18.604651162790699"/>
    <n v="8.4705882352941173E-2"/>
    <n v="1.5759233926128591"/>
  </r>
  <r>
    <x v="56"/>
    <s v="Gourmet360"/>
    <x v="0"/>
    <x v="55"/>
    <x v="6"/>
    <x v="0"/>
    <m/>
    <m/>
    <m/>
    <s v="PRD1-4265"/>
    <s v="Fresh onion Yellow(Imported)"/>
    <s v="Gram "/>
    <s v="Gram "/>
    <n v="500"/>
    <m/>
    <m/>
    <n v="43"/>
    <x v="0"/>
    <n v="11.627906976744185"/>
    <n v="3.529411764705882E-3"/>
    <n v="4.1039671682626531E-2"/>
  </r>
  <r>
    <x v="56"/>
    <s v="Gourmet360"/>
    <x v="0"/>
    <x v="55"/>
    <x v="6"/>
    <x v="0"/>
    <m/>
    <m/>
    <m/>
    <s v="PRD1-240"/>
    <s v="Fresh Sweet Pepper Red "/>
    <s v="Gram "/>
    <s v="Gram "/>
    <n v="1000"/>
    <m/>
    <m/>
    <n v="43"/>
    <x v="0"/>
    <n v="23.255813953488371"/>
    <n v="1.3293943870014769E-2"/>
    <n v="0.30916148534918064"/>
  </r>
  <r>
    <x v="56"/>
    <s v="Gourmet360"/>
    <x v="0"/>
    <x v="55"/>
    <x v="6"/>
    <x v="0"/>
    <m/>
    <m/>
    <m/>
    <s v="DRS1-446"/>
    <s v="Sauce Barbecue"/>
    <s v="Gram "/>
    <s v="Gram "/>
    <n v="400"/>
    <m/>
    <m/>
    <n v="43"/>
    <x v="0"/>
    <n v="9.3023255813953494"/>
    <n v="1.2986807387862797E-2"/>
    <n v="0.12080751058477021"/>
  </r>
  <r>
    <x v="56"/>
    <s v="Gourmet360"/>
    <x v="0"/>
    <x v="55"/>
    <x v="6"/>
    <x v="0"/>
    <m/>
    <m/>
    <m/>
    <s v="DRS1-110"/>
    <s v="Sauce Oyster"/>
    <s v="Ml"/>
    <s v="Ml"/>
    <n v="200"/>
    <m/>
    <m/>
    <n v="43"/>
    <x v="0"/>
    <n v="4.6511627906976747"/>
    <n v="1.805E-2"/>
    <n v="8.395348837209303E-2"/>
  </r>
  <r>
    <x v="56"/>
    <s v="Gourmet360"/>
    <x v="0"/>
    <x v="55"/>
    <x v="6"/>
    <x v="0"/>
    <m/>
    <m/>
    <m/>
    <s v="DRS1-58"/>
    <s v="Mayonnaise Regular"/>
    <s v="Gram "/>
    <s v="Gram "/>
    <n v="300"/>
    <m/>
    <m/>
    <n v="43"/>
    <x v="0"/>
    <n v="6.9767441860465116"/>
    <n v="6.4814814814814813E-3"/>
    <n v="4.5219638242894059E-2"/>
  </r>
  <r>
    <x v="56"/>
    <s v="Gourmet360"/>
    <x v="0"/>
    <x v="55"/>
    <x v="6"/>
    <x v="0"/>
    <m/>
    <m/>
    <m/>
    <s v="DRY1-3385"/>
    <s v="Cheese Cheddar Block,Yellow(KG)"/>
    <s v="Gram "/>
    <s v="Gram "/>
    <n v="430"/>
    <m/>
    <m/>
    <n v="43"/>
    <x v="0"/>
    <n v="10"/>
    <n v="3.1E-2"/>
    <n v="0.31"/>
  </r>
  <r>
    <x v="56"/>
    <s v="Gourmet360"/>
    <x v="0"/>
    <x v="55"/>
    <x v="6"/>
    <x v="0"/>
    <m/>
    <m/>
    <m/>
    <s v="BKR2-5081"/>
    <s v="Frz Bread Jumbo Sandwich 400017"/>
    <s v="Each"/>
    <s v="Each"/>
    <n v="43"/>
    <m/>
    <m/>
    <n v="43"/>
    <x v="0"/>
    <n v="1"/>
    <n v="0.96666666666666656"/>
    <n v="0.96666666666666656"/>
  </r>
  <r>
    <x v="57"/>
    <s v="Gourmet360"/>
    <x v="0"/>
    <x v="56"/>
    <x v="6"/>
    <x v="0"/>
    <m/>
    <m/>
    <m/>
    <s v="PLT2-3278"/>
    <s v="Frz Chicken Breast Tender (KG)"/>
    <s v="Gram "/>
    <s v="Gram "/>
    <n v="1200"/>
    <m/>
    <m/>
    <n v="10"/>
    <x v="0"/>
    <n v="120"/>
    <n v="3.0357142857142853E-2"/>
    <n v="3.6428571428571423"/>
  </r>
  <r>
    <x v="57"/>
    <s v="Gourmet360"/>
    <x v="0"/>
    <x v="56"/>
    <x v="6"/>
    <x v="0"/>
    <m/>
    <m/>
    <m/>
    <s v="DRS1-1142"/>
    <s v="Soya Sauce Kikkoman(Liter)"/>
    <s v="Ml"/>
    <s v="Ml"/>
    <n v="50"/>
    <m/>
    <m/>
    <n v="10"/>
    <x v="0"/>
    <n v="5"/>
    <n v="2.3579999999999997E-2"/>
    <n v="0.11789999999999998"/>
  </r>
  <r>
    <x v="57"/>
    <s v="Gourmet360"/>
    <x v="0"/>
    <x v="56"/>
    <x v="6"/>
    <x v="0"/>
    <m/>
    <m/>
    <m/>
    <s v="DRS1-110"/>
    <s v="Sauce Oyster"/>
    <s v="Ml"/>
    <s v="Ml"/>
    <n v="100"/>
    <m/>
    <m/>
    <n v="10"/>
    <x v="0"/>
    <n v="10"/>
    <n v="1.805E-2"/>
    <n v="0.18049999999999999"/>
  </r>
  <r>
    <x v="57"/>
    <s v="Gourmet360"/>
    <x v="0"/>
    <x v="56"/>
    <x v="6"/>
    <x v="0"/>
    <m/>
    <m/>
    <m/>
    <s v="PRD1-4265"/>
    <s v="Fresh onion Yellow(Imported)"/>
    <s v="Gram "/>
    <s v="Gram "/>
    <n v="200"/>
    <m/>
    <m/>
    <n v="10"/>
    <x v="0"/>
    <n v="20"/>
    <n v="3.529411764705882E-3"/>
    <n v="7.0588235294117646E-2"/>
  </r>
  <r>
    <x v="57"/>
    <s v="Gourmet360"/>
    <x v="0"/>
    <x v="56"/>
    <x v="6"/>
    <x v="0"/>
    <m/>
    <m/>
    <m/>
    <s v="PRD1-4327"/>
    <s v="Fresh Garlic Peeled"/>
    <s v="Gram "/>
    <s v="Gram "/>
    <n v="15"/>
    <m/>
    <m/>
    <n v="10"/>
    <x v="0"/>
    <n v="1.5"/>
    <n v="1.2999999999999999E-2"/>
    <n v="1.95E-2"/>
  </r>
  <r>
    <x v="57"/>
    <s v="Gourmet360"/>
    <x v="0"/>
    <x v="56"/>
    <x v="6"/>
    <x v="0"/>
    <m/>
    <m/>
    <m/>
    <s v="PRD1-186"/>
    <s v="Fresh Carrot Imported"/>
    <s v="Gram "/>
    <s v="Gram "/>
    <n v="300"/>
    <m/>
    <m/>
    <n v="10"/>
    <x v="0"/>
    <n v="30"/>
    <n v="5.8139534883720938E-3"/>
    <n v="0.17441860465116282"/>
  </r>
  <r>
    <x v="57"/>
    <s v="Gourmet360"/>
    <x v="0"/>
    <x v="56"/>
    <x v="6"/>
    <x v="0"/>
    <m/>
    <m/>
    <m/>
    <s v="PRD1-185"/>
    <s v="Fresh Cabbage White"/>
    <s v="Gram "/>
    <s v="Gram "/>
    <n v="500"/>
    <m/>
    <m/>
    <n v="10"/>
    <x v="0"/>
    <n v="50"/>
    <n v="4.4576523031203555E-3"/>
    <n v="0.22288261515601779"/>
  </r>
  <r>
    <x v="57"/>
    <s v="Gourmet360"/>
    <x v="0"/>
    <x v="56"/>
    <x v="6"/>
    <x v="0"/>
    <m/>
    <m/>
    <m/>
    <s v="PRD1-240"/>
    <s v="Fresh Sweet Pepper Red "/>
    <s v="Gram "/>
    <s v="Gram "/>
    <n v="100"/>
    <m/>
    <m/>
    <n v="10"/>
    <x v="0"/>
    <n v="10"/>
    <n v="1.3293943870014769E-2"/>
    <n v="0.13293943870014768"/>
  </r>
  <r>
    <x v="57"/>
    <s v="Gourmet360"/>
    <x v="0"/>
    <x v="56"/>
    <x v="6"/>
    <x v="0"/>
    <m/>
    <m/>
    <m/>
    <s v="DRS1-2121"/>
    <s v="Can Young Baby Corn"/>
    <s v="Gram "/>
    <s v="Gram "/>
    <n v="150"/>
    <m/>
    <m/>
    <n v="10"/>
    <x v="0"/>
    <n v="15"/>
    <n v="2.0400000000000001E-2"/>
    <n v="0.30600000000000005"/>
  </r>
  <r>
    <x v="57"/>
    <s v="Gourmet360"/>
    <x v="0"/>
    <x v="56"/>
    <x v="6"/>
    <x v="0"/>
    <m/>
    <m/>
    <m/>
    <s v="DRS1-446"/>
    <s v="Sauce Barbecue"/>
    <s v="Gram "/>
    <s v="Gram "/>
    <n v="200"/>
    <m/>
    <m/>
    <n v="10"/>
    <x v="0"/>
    <n v="20"/>
    <n v="1.2986807387862797E-2"/>
    <n v="0.25973614775725595"/>
  </r>
  <r>
    <x v="57"/>
    <s v="Gourmet360"/>
    <x v="0"/>
    <x v="56"/>
    <x v="6"/>
    <x v="0"/>
    <m/>
    <m/>
    <m/>
    <s v="TAP-00001"/>
    <s v="Tap Water-Cooking"/>
    <s v="Ml"/>
    <s v="Ml"/>
    <n v="200"/>
    <m/>
    <m/>
    <n v="10"/>
    <x v="0"/>
    <n v="20"/>
    <n v="8.0000000000000007E-5"/>
    <n v="1.6000000000000001E-3"/>
  </r>
  <r>
    <x v="57"/>
    <s v="Gourmet360"/>
    <x v="0"/>
    <x v="56"/>
    <x v="6"/>
    <x v="0"/>
    <m/>
    <m/>
    <m/>
    <s v="DRS5-21"/>
    <s v="Flour Corn"/>
    <s v="Gram "/>
    <s v="Gram "/>
    <n v="20"/>
    <m/>
    <m/>
    <n v="10"/>
    <x v="0"/>
    <n v="2"/>
    <n v="2.0799999999999998E-3"/>
    <n v="4.1599999999999996E-3"/>
  </r>
  <r>
    <x v="57"/>
    <s v="Gourmet360"/>
    <x v="0"/>
    <x v="56"/>
    <x v="6"/>
    <x v="0"/>
    <m/>
    <m/>
    <m/>
    <s v="PRD1-204"/>
    <s v="Fresh Ginger"/>
    <s v="Gram "/>
    <s v="Gram "/>
    <n v="15"/>
    <m/>
    <m/>
    <n v="10"/>
    <x v="0"/>
    <n v="1.5"/>
    <n v="8.4337349397590362E-3"/>
    <n v="1.2650602409638554E-2"/>
  </r>
  <r>
    <x v="57"/>
    <s v="Gourmet360"/>
    <x v="0"/>
    <x v="56"/>
    <x v="6"/>
    <x v="0"/>
    <m/>
    <m/>
    <m/>
    <s v="PRD1-239"/>
    <s v="Fresh Sweet Pepper Green"/>
    <s v="Gram "/>
    <s v="Gram "/>
    <n v="100"/>
    <m/>
    <m/>
    <n v="10"/>
    <x v="0"/>
    <n v="10"/>
    <n v="6.6864784546805346E-3"/>
    <n v="6.6864784546805348E-2"/>
  </r>
  <r>
    <x v="57"/>
    <s v="Gourmet360"/>
    <x v="0"/>
    <x v="56"/>
    <x v="6"/>
    <x v="0"/>
    <m/>
    <m/>
    <m/>
    <s v="PRD1-241"/>
    <s v="Fresh Sweet Pepper Yellow"/>
    <s v="Gram "/>
    <s v="Gram "/>
    <n v="100"/>
    <m/>
    <m/>
    <n v="10"/>
    <x v="0"/>
    <n v="10"/>
    <n v="1.3196480938416421E-2"/>
    <n v="0.13196480938416422"/>
  </r>
  <r>
    <x v="57"/>
    <s v="Gourmet360"/>
    <x v="0"/>
    <x v="56"/>
    <x v="6"/>
    <x v="0"/>
    <m/>
    <m/>
    <m/>
    <s v="DRS4-498"/>
    <s v="Rice Basmati"/>
    <s v="Gram "/>
    <s v="Gram "/>
    <n v="800"/>
    <m/>
    <m/>
    <n v="10"/>
    <x v="0"/>
    <n v="80"/>
    <n v="5.7499999999999999E-3"/>
    <n v="0.45999999999999996"/>
  </r>
  <r>
    <x v="57"/>
    <s v="Gourmet360"/>
    <x v="0"/>
    <x v="56"/>
    <x v="6"/>
    <x v="0"/>
    <m/>
    <m/>
    <m/>
    <s v="DRS3-1813"/>
    <s v="Corn Oil (18 Liter)"/>
    <s v="Ml"/>
    <s v="Ml"/>
    <n v="50"/>
    <m/>
    <m/>
    <n v="10"/>
    <x v="0"/>
    <n v="5"/>
    <n v="8.0555555555555554E-3"/>
    <n v="4.0277777777777773E-2"/>
  </r>
  <r>
    <x v="57"/>
    <s v="Gourmet360"/>
    <x v="0"/>
    <x v="56"/>
    <x v="6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57"/>
    <s v="Gourmet360"/>
    <x v="0"/>
    <x v="56"/>
    <x v="6"/>
    <x v="0"/>
    <m/>
    <m/>
    <m/>
    <s v="TAP-00001"/>
    <s v="Tap Water-Cooking"/>
    <s v="Ml"/>
    <s v="Ml"/>
    <n v="1600"/>
    <m/>
    <m/>
    <n v="10"/>
    <x v="0"/>
    <n v="160"/>
    <n v="8.0000000000000007E-5"/>
    <n v="1.2800000000000001E-2"/>
  </r>
  <r>
    <x v="57"/>
    <s v="Gourmet360"/>
    <x v="0"/>
    <x v="56"/>
    <x v="6"/>
    <x v="0"/>
    <m/>
    <m/>
    <m/>
    <s v="DRS6-3593"/>
    <s v="Spices Bay Leaves"/>
    <s v="Gram "/>
    <s v="Gram "/>
    <n v="1"/>
    <m/>
    <m/>
    <n v="10"/>
    <x v="0"/>
    <n v="0.1"/>
    <n v="8.0000000000000002E-3"/>
    <n v="8.0000000000000004E-4"/>
  </r>
  <r>
    <x v="57"/>
    <s v="Gourmet360"/>
    <x v="0"/>
    <x v="56"/>
    <x v="6"/>
    <x v="0"/>
    <m/>
    <m/>
    <m/>
    <s v="DRS6-260"/>
    <s v="Spices Cinnamon Powder"/>
    <s v="Gram "/>
    <s v="Gram "/>
    <n v="2"/>
    <m/>
    <m/>
    <n v="10"/>
    <x v="0"/>
    <n v="0.2"/>
    <n v="0.02"/>
    <n v="4.0000000000000001E-3"/>
  </r>
  <r>
    <x v="58"/>
    <s v="Gourmet360"/>
    <x v="0"/>
    <x v="57"/>
    <x v="6"/>
    <x v="0"/>
    <m/>
    <m/>
    <m/>
    <s v="MET2-585"/>
    <s v="Frz Beef Topside"/>
    <s v="Gram "/>
    <s v="Gram "/>
    <n v="800"/>
    <m/>
    <m/>
    <n v="10"/>
    <x v="0"/>
    <n v="80"/>
    <n v="4.2630057803468215E-2"/>
    <n v="3.4104046242774571"/>
  </r>
  <r>
    <x v="58"/>
    <s v="Gourmet360"/>
    <x v="0"/>
    <x v="57"/>
    <x v="6"/>
    <x v="0"/>
    <m/>
    <m/>
    <m/>
    <s v="BKR2-4275"/>
    <s v="Bread Tortilla White,30cm(Fonte)"/>
    <s v="Each"/>
    <s v="Each"/>
    <n v="10"/>
    <m/>
    <m/>
    <n v="10"/>
    <x v="0"/>
    <n v="1"/>
    <n v="0.83333333333333337"/>
    <n v="0.83333333333333337"/>
  </r>
  <r>
    <x v="58"/>
    <s v="Gourmet360"/>
    <x v="0"/>
    <x v="57"/>
    <x v="6"/>
    <x v="0"/>
    <m/>
    <m/>
    <m/>
    <s v="DRS3-1813"/>
    <s v="Corn Oil (18 Liter)"/>
    <s v="Ml"/>
    <s v="Ml"/>
    <n v="50"/>
    <m/>
    <m/>
    <n v="10"/>
    <x v="0"/>
    <n v="5"/>
    <n v="8.0555555555555554E-3"/>
    <n v="4.0277777777777773E-2"/>
  </r>
  <r>
    <x v="58"/>
    <s v="Gourmet360"/>
    <x v="0"/>
    <x v="57"/>
    <x v="6"/>
    <x v="0"/>
    <m/>
    <m/>
    <m/>
    <s v="DRY2-1160"/>
    <s v="Yogurt Plain big 10 KG"/>
    <s v="Gram "/>
    <s v="Gram "/>
    <n v="80"/>
    <m/>
    <m/>
    <n v="10"/>
    <x v="0"/>
    <n v="8"/>
    <n v="4.4000000000000003E-3"/>
    <n v="3.5200000000000002E-2"/>
  </r>
  <r>
    <x v="58"/>
    <s v="Gourmet360"/>
    <x v="0"/>
    <x v="57"/>
    <x v="6"/>
    <x v="0"/>
    <m/>
    <m/>
    <m/>
    <s v="DRS6-733"/>
    <s v="Spices Cumin Powder"/>
    <s v="Gram "/>
    <s v="Gram "/>
    <n v="0.4"/>
    <m/>
    <m/>
    <n v="10"/>
    <x v="0"/>
    <n v="0.04"/>
    <n v="2.8000000000000001E-2"/>
    <n v="1.1200000000000001E-3"/>
  </r>
  <r>
    <x v="58"/>
    <s v="Gourmet360"/>
    <x v="0"/>
    <x v="57"/>
    <x v="6"/>
    <x v="0"/>
    <m/>
    <m/>
    <m/>
    <s v="DRS1-103"/>
    <s v="Tahina Liquid(10Kg)"/>
    <s v="Gram "/>
    <s v="Gram "/>
    <n v="100"/>
    <m/>
    <m/>
    <n v="10"/>
    <x v="0"/>
    <n v="10"/>
    <n v="1.0999999999999999E-2"/>
    <n v="0.10999999999999999"/>
  </r>
  <r>
    <x v="58"/>
    <s v="Gourmet360"/>
    <x v="0"/>
    <x v="57"/>
    <x v="6"/>
    <x v="0"/>
    <m/>
    <m/>
    <m/>
    <s v="DRS1-3448"/>
    <s v="Lemon Salt (Kg)"/>
    <s v="Gram "/>
    <s v="Gram "/>
    <n v="0.05"/>
    <m/>
    <m/>
    <n v="10"/>
    <x v="0"/>
    <n v="5.0000000000000001E-3"/>
    <n v="5.0000000000000001E-3"/>
    <n v="2.5000000000000001E-5"/>
  </r>
  <r>
    <x v="58"/>
    <s v="Gourmet360"/>
    <x v="0"/>
    <x v="57"/>
    <x v="6"/>
    <x v="0"/>
    <m/>
    <m/>
    <m/>
    <s v="PRD1-209"/>
    <s v="Fresh Lemon"/>
    <s v="Gram "/>
    <s v="Gram "/>
    <n v="50"/>
    <m/>
    <m/>
    <n v="10"/>
    <x v="0"/>
    <n v="5"/>
    <n v="1.0088272383354349E-2"/>
    <n v="5.0441361916771746E-2"/>
  </r>
  <r>
    <x v="58"/>
    <s v="Gourmet360"/>
    <x v="0"/>
    <x v="57"/>
    <x v="6"/>
    <x v="0"/>
    <m/>
    <m/>
    <m/>
    <s v="DRS1-3880"/>
    <s v="Salt "/>
    <s v="Gram "/>
    <s v="Gram "/>
    <n v="4"/>
    <m/>
    <m/>
    <n v="10"/>
    <x v="0"/>
    <n v="0.4"/>
    <n v="5.0000000000000001E-4"/>
    <n v="2.0000000000000001E-4"/>
  </r>
  <r>
    <x v="58"/>
    <s v="Gourmet360"/>
    <x v="0"/>
    <x v="57"/>
    <x v="6"/>
    <x v="0"/>
    <m/>
    <m/>
    <m/>
    <s v="TAP-00001"/>
    <s v="Tap Water-Cooking"/>
    <s v="Ml"/>
    <s v="Ml"/>
    <n v="160"/>
    <m/>
    <m/>
    <n v="10"/>
    <x v="0"/>
    <n v="16"/>
    <n v="8.0000000000000007E-5"/>
    <n v="1.2800000000000001E-3"/>
  </r>
  <r>
    <x v="58"/>
    <s v="Gourmet360"/>
    <x v="0"/>
    <x v="57"/>
    <x v="6"/>
    <x v="0"/>
    <m/>
    <m/>
    <m/>
    <s v="DRS1-5153"/>
    <s v="Vinegar White (30 Ltr Gallon)"/>
    <s v="Ml"/>
    <s v="Ml"/>
    <n v="15"/>
    <m/>
    <m/>
    <n v="10"/>
    <x v="0"/>
    <n v="1.5"/>
    <n v="1.681E-3"/>
    <n v="2.5214999999999999E-3"/>
  </r>
  <r>
    <x v="58"/>
    <s v="Gourmet360"/>
    <x v="0"/>
    <x v="57"/>
    <x v="6"/>
    <x v="0"/>
    <m/>
    <m/>
    <m/>
    <s v="PRD1-4265"/>
    <s v="Fresh onion Yellow(Imported)"/>
    <s v="Gram "/>
    <s v="Gram "/>
    <n v="200"/>
    <m/>
    <m/>
    <n v="10"/>
    <x v="0"/>
    <n v="20"/>
    <n v="3.529411764705882E-3"/>
    <n v="7.0588235294117646E-2"/>
  </r>
  <r>
    <x v="58"/>
    <s v="Gourmet360"/>
    <x v="0"/>
    <x v="57"/>
    <x v="6"/>
    <x v="0"/>
    <m/>
    <m/>
    <m/>
    <s v="PRD1-227"/>
    <s v="Fresh Parsley"/>
    <s v="Gram "/>
    <s v="Gram "/>
    <n v="30"/>
    <m/>
    <m/>
    <n v="10"/>
    <x v="0"/>
    <n v="3"/>
    <n v="1.5850144092219021E-2"/>
    <n v="4.7550432276657062E-2"/>
  </r>
  <r>
    <x v="58"/>
    <s v="Gourmet360"/>
    <x v="0"/>
    <x v="57"/>
    <x v="6"/>
    <x v="0"/>
    <m/>
    <m/>
    <m/>
    <s v="DRS6-307"/>
    <s v="Spices Sumac"/>
    <s v="Gram "/>
    <s v="Gram "/>
    <n v="8"/>
    <m/>
    <m/>
    <n v="10"/>
    <x v="0"/>
    <n v="0.8"/>
    <n v="8.0000000000000002E-3"/>
    <n v="6.4000000000000003E-3"/>
  </r>
  <r>
    <x v="58"/>
    <s v="Gourmet360"/>
    <x v="0"/>
    <x v="57"/>
    <x v="6"/>
    <x v="0"/>
    <m/>
    <m/>
    <m/>
    <s v="DRS3-1813"/>
    <s v="Corn Oil (18 Liter)"/>
    <s v="Ml"/>
    <s v="Ml"/>
    <n v="200"/>
    <m/>
    <m/>
    <n v="10"/>
    <x v="0"/>
    <n v="20"/>
    <n v="8.0555555555555554E-3"/>
    <n v="0.16111111111111109"/>
  </r>
  <r>
    <x v="58"/>
    <s v="Gourmet360"/>
    <x v="0"/>
    <x v="57"/>
    <x v="6"/>
    <x v="0"/>
    <m/>
    <m/>
    <m/>
    <s v="PRD2-1166"/>
    <s v="Frz Potato Wedges "/>
    <s v="Gram "/>
    <s v="Gram "/>
    <n v="800"/>
    <m/>
    <m/>
    <n v="10"/>
    <x v="0"/>
    <n v="80"/>
    <n v="1.0500000000000001E-2"/>
    <n v="0.84000000000000008"/>
  </r>
  <r>
    <x v="59"/>
    <s v="Gourmet360"/>
    <x v="0"/>
    <x v="58"/>
    <x v="6"/>
    <x v="0"/>
    <s v="Dinner"/>
    <m/>
    <m/>
    <s v="PRD1-4265"/>
    <s v="Fresh onion Yellow(Imported)"/>
    <s v="Gram "/>
    <s v="Gram "/>
    <n v="200"/>
    <m/>
    <m/>
    <n v="10"/>
    <x v="0"/>
    <n v="20"/>
    <n v="3.529411764705882E-3"/>
    <n v="7.0588235294117646E-2"/>
  </r>
  <r>
    <x v="59"/>
    <s v="Gourmet360"/>
    <x v="0"/>
    <x v="58"/>
    <x v="6"/>
    <x v="0"/>
    <s v="Dinner"/>
    <m/>
    <m/>
    <s v="DRS3-1813"/>
    <s v="Corn Oil (18 Liter)"/>
    <s v="Ml"/>
    <s v="Ml"/>
    <n v="20"/>
    <m/>
    <m/>
    <n v="10"/>
    <x v="0"/>
    <n v="2"/>
    <n v="8.0555555555555554E-3"/>
    <n v="1.6111111111111111E-2"/>
  </r>
  <r>
    <x v="59"/>
    <s v="Gourmet360"/>
    <x v="0"/>
    <x v="58"/>
    <x v="6"/>
    <x v="0"/>
    <s v="Dinner"/>
    <m/>
    <m/>
    <s v="PRD1-4327"/>
    <s v="Fresh Garlic Peeled"/>
    <s v="Gram "/>
    <s v="Gram "/>
    <n v="15"/>
    <m/>
    <m/>
    <n v="10"/>
    <x v="0"/>
    <n v="1.5"/>
    <n v="1.2999999999999999E-2"/>
    <n v="1.95E-2"/>
  </r>
  <r>
    <x v="59"/>
    <s v="Gourmet360"/>
    <x v="0"/>
    <x v="58"/>
    <x v="6"/>
    <x v="0"/>
    <s v="Dinner"/>
    <m/>
    <m/>
    <s v="PRD1-230"/>
    <s v="Fresh Potato"/>
    <s v="Gram "/>
    <s v="Gram "/>
    <n v="800"/>
    <m/>
    <m/>
    <n v="10"/>
    <x v="0"/>
    <n v="80"/>
    <n v="3.3738191632928472E-3"/>
    <n v="0.26990553306342779"/>
  </r>
  <r>
    <x v="59"/>
    <s v="Gourmet360"/>
    <x v="0"/>
    <x v="58"/>
    <x v="6"/>
    <x v="0"/>
    <s v="Dinner"/>
    <m/>
    <m/>
    <s v="PRD1-3546"/>
    <s v="Fresh Baby Carrot"/>
    <s v="Gram "/>
    <s v="Gram "/>
    <n v="250"/>
    <m/>
    <m/>
    <n v="10"/>
    <x v="0"/>
    <n v="25"/>
    <n v="0.04"/>
    <n v="1"/>
  </r>
  <r>
    <x v="59"/>
    <s v="Gourmet360"/>
    <x v="0"/>
    <x v="58"/>
    <x v="6"/>
    <x v="0"/>
    <s v="Dinner"/>
    <m/>
    <m/>
    <s v="PRD1-3794"/>
    <s v="Fresh Baby Marrow"/>
    <s v="Gram "/>
    <s v="Gram "/>
    <n v="250"/>
    <m/>
    <m/>
    <n v="10"/>
    <x v="0"/>
    <n v="25"/>
    <n v="4.9382716049382715E-3"/>
    <n v="0.12345679012345678"/>
  </r>
  <r>
    <x v="59"/>
    <s v="Gourmet360"/>
    <x v="0"/>
    <x v="58"/>
    <x v="6"/>
    <x v="0"/>
    <s v="Dinner"/>
    <m/>
    <m/>
    <s v="PRD2-3567"/>
    <s v="Frz Green Peas(800 Gram)"/>
    <s v="Gram "/>
    <s v="Gram "/>
    <n v="250"/>
    <m/>
    <m/>
    <n v="10"/>
    <x v="0"/>
    <n v="25"/>
    <n v="1.40625E-2"/>
    <n v="0.3515625"/>
  </r>
  <r>
    <x v="59"/>
    <s v="Gourmet360"/>
    <x v="0"/>
    <x v="58"/>
    <x v="6"/>
    <x v="0"/>
    <s v="Dinner"/>
    <m/>
    <m/>
    <s v="DRS1-1747"/>
    <s v="Can Tomato Paste (4500 Gram)"/>
    <s v="Gram "/>
    <s v="Gram "/>
    <n v="60"/>
    <m/>
    <m/>
    <n v="10"/>
    <x v="0"/>
    <n v="6"/>
    <n v="5.185185185185185E-3"/>
    <n v="3.111111111111111E-2"/>
  </r>
  <r>
    <x v="59"/>
    <s v="Gourmet360"/>
    <x v="0"/>
    <x v="58"/>
    <x v="6"/>
    <x v="0"/>
    <s v="Dinner"/>
    <m/>
    <m/>
    <s v="DRS1-4417"/>
    <s v="Vegetable Stock Powder(Packet)"/>
    <s v="Gram "/>
    <s v="Gram "/>
    <n v="10"/>
    <m/>
    <m/>
    <n v="10"/>
    <x v="0"/>
    <n v="1"/>
    <n v="3.6754545454545456E-2"/>
    <n v="3.6754545454545456E-2"/>
  </r>
  <r>
    <x v="59"/>
    <s v="Gourmet360"/>
    <x v="0"/>
    <x v="58"/>
    <x v="6"/>
    <x v="0"/>
    <s v="Dinner"/>
    <m/>
    <m/>
    <s v="DRS1-3880"/>
    <s v="Salt "/>
    <s v="Gram "/>
    <s v="Gram "/>
    <n v="10"/>
    <m/>
    <m/>
    <n v="10"/>
    <x v="0"/>
    <n v="1"/>
    <n v="5.0000000000000001E-4"/>
    <n v="5.0000000000000001E-4"/>
  </r>
  <r>
    <x v="59"/>
    <s v="Gourmet360"/>
    <x v="0"/>
    <x v="58"/>
    <x v="6"/>
    <x v="0"/>
    <s v="Dinner"/>
    <m/>
    <m/>
    <s v="DRS6-537"/>
    <s v="Spices Pepper Black Powder(1 Kg)"/>
    <s v="Gram "/>
    <s v="Gram "/>
    <n v="2"/>
    <m/>
    <m/>
    <n v="10"/>
    <x v="0"/>
    <n v="0.2"/>
    <n v="3.5000000000000003E-2"/>
    <n v="7.000000000000001E-3"/>
  </r>
  <r>
    <x v="59"/>
    <s v="Gourmet360"/>
    <x v="0"/>
    <x v="58"/>
    <x v="6"/>
    <x v="0"/>
    <s v="Dinner"/>
    <m/>
    <m/>
    <s v="DRS1-607"/>
    <s v="Can Tomato Peeled"/>
    <s v="Gram "/>
    <s v="Gram "/>
    <n v="1000"/>
    <m/>
    <m/>
    <n v="10"/>
    <x v="0"/>
    <n v="100"/>
    <n v="5.8823529411764705E-3"/>
    <n v="0.58823529411764708"/>
  </r>
  <r>
    <x v="59"/>
    <s v="Gourmet360"/>
    <x v="0"/>
    <x v="58"/>
    <x v="6"/>
    <x v="0"/>
    <s v="Dinner"/>
    <m/>
    <m/>
    <s v="TAP-00001"/>
    <s v="Tap Water-Cooking"/>
    <s v="Ml"/>
    <s v="Ml"/>
    <n v="1000"/>
    <m/>
    <m/>
    <n v="10"/>
    <x v="0"/>
    <n v="100"/>
    <n v="8.0000000000000007E-5"/>
    <n v="8.0000000000000002E-3"/>
  </r>
  <r>
    <x v="59"/>
    <s v="Gourmet360"/>
    <x v="0"/>
    <x v="58"/>
    <x v="6"/>
    <x v="0"/>
    <s v="Dinner"/>
    <m/>
    <m/>
    <s v="DRS4-498"/>
    <s v="Rice Basmati"/>
    <s v="Gram "/>
    <s v="Gram "/>
    <n v="800"/>
    <m/>
    <m/>
    <n v="10"/>
    <x v="0"/>
    <n v="80"/>
    <n v="5.7499999999999999E-3"/>
    <n v="0.45999999999999996"/>
  </r>
  <r>
    <x v="59"/>
    <s v="Gourmet360"/>
    <x v="0"/>
    <x v="58"/>
    <x v="6"/>
    <x v="0"/>
    <s v="Dinner"/>
    <m/>
    <m/>
    <s v="DRS1-3880"/>
    <s v="Salt "/>
    <s v="Gram "/>
    <s v="Gram "/>
    <n v="10"/>
    <m/>
    <m/>
    <n v="10"/>
    <x v="0"/>
    <n v="1"/>
    <n v="5.0000000000000001E-4"/>
    <n v="5.0000000000000001E-4"/>
  </r>
  <r>
    <x v="59"/>
    <s v="Gourmet360"/>
    <x v="0"/>
    <x v="58"/>
    <x v="6"/>
    <x v="0"/>
    <s v="Dinner"/>
    <m/>
    <m/>
    <s v="DRS3-1813"/>
    <s v="Corn Oil (18 Liter)"/>
    <s v="Ml"/>
    <s v="Ml"/>
    <n v="40"/>
    <m/>
    <m/>
    <n v="10"/>
    <x v="0"/>
    <n v="4"/>
    <n v="8.0555555555555554E-3"/>
    <n v="3.2222222222222222E-2"/>
  </r>
  <r>
    <x v="59"/>
    <s v="Gourmet360"/>
    <x v="0"/>
    <x v="58"/>
    <x v="6"/>
    <x v="0"/>
    <s v="Dinner"/>
    <m/>
    <m/>
    <s v="DRS6-3593"/>
    <s v="Spices Bay Leaves"/>
    <s v="Gram "/>
    <s v="Gram "/>
    <n v="1"/>
    <m/>
    <m/>
    <n v="10"/>
    <x v="0"/>
    <n v="0.1"/>
    <n v="8.0000000000000002E-3"/>
    <n v="8.0000000000000004E-4"/>
  </r>
  <r>
    <x v="59"/>
    <s v="Gourmet360"/>
    <x v="0"/>
    <x v="58"/>
    <x v="6"/>
    <x v="0"/>
    <s v="Dinner"/>
    <m/>
    <m/>
    <s v="DRS6-261"/>
    <s v="Spices Cinnamon Sticks"/>
    <s v="Gram "/>
    <s v="Gram "/>
    <n v="2"/>
    <m/>
    <m/>
    <n v="10"/>
    <x v="0"/>
    <n v="0.2"/>
    <n v="1.4E-2"/>
    <n v="2.8000000000000004E-3"/>
  </r>
  <r>
    <x v="59"/>
    <s v="Gourmet360"/>
    <x v="0"/>
    <x v="58"/>
    <x v="6"/>
    <x v="0"/>
    <s v="Dinner"/>
    <m/>
    <m/>
    <s v="TAP-00001"/>
    <s v="Tap Water-Cooking"/>
    <s v="Ml"/>
    <s v="Ml"/>
    <n v="1600"/>
    <m/>
    <m/>
    <n v="10"/>
    <x v="0"/>
    <n v="160"/>
    <n v="8.0000000000000007E-5"/>
    <n v="1.2800000000000001E-2"/>
  </r>
  <r>
    <x v="60"/>
    <s v="Gourmet360"/>
    <x v="0"/>
    <x v="59"/>
    <x v="6"/>
    <x v="0"/>
    <m/>
    <m/>
    <m/>
    <s v="PLT2-3278"/>
    <s v="Frz Chicken Breast Tender (KG)"/>
    <s v="Gram "/>
    <s v="Gram "/>
    <n v="1000"/>
    <m/>
    <m/>
    <n v="10"/>
    <x v="0"/>
    <n v="100"/>
    <n v="3.0357142857142853E-2"/>
    <n v="3.0357142857142851"/>
  </r>
  <r>
    <x v="60"/>
    <s v="Gourmet360"/>
    <x v="0"/>
    <x v="59"/>
    <x v="6"/>
    <x v="0"/>
    <m/>
    <m/>
    <m/>
    <s v="DRS3-1813"/>
    <s v="Corn Oil (18 Liter)"/>
    <s v="Ml"/>
    <s v="Ml"/>
    <n v="20"/>
    <m/>
    <m/>
    <n v="10"/>
    <x v="0"/>
    <n v="2"/>
    <n v="8.0555555555555554E-3"/>
    <n v="1.6111111111111111E-2"/>
  </r>
  <r>
    <x v="60"/>
    <s v="Gourmet360"/>
    <x v="0"/>
    <x v="59"/>
    <x v="6"/>
    <x v="0"/>
    <m/>
    <m/>
    <m/>
    <s v="PRD1-4327"/>
    <s v="Fresh Garlic Peeled"/>
    <s v="Gram "/>
    <s v="Gram "/>
    <n v="20"/>
    <m/>
    <m/>
    <n v="10"/>
    <x v="0"/>
    <n v="2"/>
    <n v="1.2999999999999999E-2"/>
    <n v="2.5999999999999999E-2"/>
  </r>
  <r>
    <x v="60"/>
    <s v="Gourmet360"/>
    <x v="0"/>
    <x v="59"/>
    <x v="6"/>
    <x v="0"/>
    <m/>
    <m/>
    <m/>
    <s v="PRD1-230"/>
    <s v="Fresh Potato"/>
    <s v="Gram "/>
    <s v="Gram "/>
    <n v="700"/>
    <m/>
    <m/>
    <n v="10"/>
    <x v="0"/>
    <n v="70"/>
    <n v="3.3738191632928472E-3"/>
    <n v="0.23616734143049931"/>
  </r>
  <r>
    <x v="60"/>
    <s v="Gourmet360"/>
    <x v="0"/>
    <x v="59"/>
    <x v="6"/>
    <x v="0"/>
    <m/>
    <m/>
    <m/>
    <s v="PRD1-3546"/>
    <s v="Fresh Baby Carrot"/>
    <s v="Gram "/>
    <s v="Gram "/>
    <n v="250"/>
    <m/>
    <m/>
    <n v="10"/>
    <x v="0"/>
    <n v="25"/>
    <n v="0.04"/>
    <n v="1"/>
  </r>
  <r>
    <x v="60"/>
    <s v="Gourmet360"/>
    <x v="0"/>
    <x v="59"/>
    <x v="6"/>
    <x v="0"/>
    <m/>
    <m/>
    <m/>
    <s v="PRD1-3794"/>
    <s v="Fresh Baby Marrow"/>
    <s v="Gram "/>
    <s v="Gram "/>
    <n v="250"/>
    <m/>
    <m/>
    <n v="10"/>
    <x v="0"/>
    <n v="25"/>
    <n v="4.9382716049382715E-3"/>
    <n v="0.12345679012345678"/>
  </r>
  <r>
    <x v="60"/>
    <s v="Gourmet360"/>
    <x v="0"/>
    <x v="59"/>
    <x v="6"/>
    <x v="0"/>
    <m/>
    <m/>
    <m/>
    <s v="PRD1-4265"/>
    <s v="Fresh onion Yellow(Imported)"/>
    <s v="Gram "/>
    <s v="Gram "/>
    <n v="250"/>
    <m/>
    <m/>
    <n v="10"/>
    <x v="0"/>
    <n v="25"/>
    <n v="3.529411764705882E-3"/>
    <n v="8.8235294117647051E-2"/>
  </r>
  <r>
    <x v="60"/>
    <s v="Gourmet360"/>
    <x v="0"/>
    <x v="59"/>
    <x v="6"/>
    <x v="0"/>
    <m/>
    <m/>
    <m/>
    <s v="DRS1-607"/>
    <s v="Can Tomato Peeled"/>
    <s v="Gram "/>
    <s v="Gram "/>
    <n v="800"/>
    <m/>
    <m/>
    <n v="10"/>
    <x v="0"/>
    <n v="80"/>
    <n v="5.8823529411764705E-3"/>
    <n v="0.47058823529411764"/>
  </r>
  <r>
    <x v="60"/>
    <s v="Gourmet360"/>
    <x v="0"/>
    <x v="59"/>
    <x v="6"/>
    <x v="0"/>
    <m/>
    <m/>
    <m/>
    <s v="DRS1-4417"/>
    <s v="Vegetable Stock Powder(Packet)"/>
    <s v="Gram "/>
    <s v="Gram "/>
    <n v="10"/>
    <m/>
    <m/>
    <n v="10"/>
    <x v="0"/>
    <n v="1"/>
    <n v="3.6754545454545456E-2"/>
    <n v="3.6754545454545456E-2"/>
  </r>
  <r>
    <x v="60"/>
    <s v="Gourmet360"/>
    <x v="0"/>
    <x v="59"/>
    <x v="6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60"/>
    <s v="Gourmet360"/>
    <x v="0"/>
    <x v="59"/>
    <x v="6"/>
    <x v="0"/>
    <m/>
    <m/>
    <m/>
    <s v="DRS6-537"/>
    <s v="Spices Pepper Black Powder(1 Kg)"/>
    <s v="Gram "/>
    <s v="Gram "/>
    <n v="2"/>
    <m/>
    <m/>
    <n v="10"/>
    <x v="0"/>
    <n v="0.2"/>
    <n v="3.5000000000000003E-2"/>
    <n v="7.000000000000001E-3"/>
  </r>
  <r>
    <x v="60"/>
    <s v="Gourmet360"/>
    <x v="0"/>
    <x v="59"/>
    <x v="6"/>
    <x v="0"/>
    <m/>
    <m/>
    <m/>
    <s v="DRS1-1747"/>
    <s v="Can Tomato Paste (4500 Gram)"/>
    <s v="Gram "/>
    <s v="Gram "/>
    <n v="80"/>
    <m/>
    <m/>
    <n v="10"/>
    <x v="0"/>
    <n v="8"/>
    <n v="5.185185185185185E-3"/>
    <n v="4.148148148148148E-2"/>
  </r>
  <r>
    <x v="60"/>
    <s v="Gourmet360"/>
    <x v="0"/>
    <x v="59"/>
    <x v="6"/>
    <x v="0"/>
    <m/>
    <m/>
    <m/>
    <s v="TAP-00001"/>
    <s v="Tap Water-Cooking"/>
    <s v="Ml"/>
    <s v="Ml"/>
    <n v="1000"/>
    <m/>
    <m/>
    <n v="10"/>
    <x v="0"/>
    <n v="100"/>
    <n v="8.0000000000000007E-5"/>
    <n v="8.0000000000000002E-3"/>
  </r>
  <r>
    <x v="60"/>
    <s v="Gourmet360"/>
    <x v="0"/>
    <x v="59"/>
    <x v="6"/>
    <x v="0"/>
    <m/>
    <m/>
    <m/>
    <s v="PRD2-3566"/>
    <s v="Frz Green Beans Cut(800 Gram)"/>
    <s v="Gram "/>
    <s v="Gram "/>
    <n v="250"/>
    <m/>
    <m/>
    <n v="10"/>
    <x v="0"/>
    <n v="25"/>
    <n v="8.2249999999999997E-3"/>
    <n v="0.205625"/>
  </r>
  <r>
    <x v="60"/>
    <s v="Gourmet360"/>
    <x v="0"/>
    <x v="59"/>
    <x v="6"/>
    <x v="0"/>
    <m/>
    <m/>
    <m/>
    <s v="DRS4-498"/>
    <s v="Rice Basmati"/>
    <s v="Gram "/>
    <s v="Gram "/>
    <n v="800"/>
    <m/>
    <m/>
    <n v="10"/>
    <x v="0"/>
    <n v="80"/>
    <n v="5.7499999999999999E-3"/>
    <n v="0.45999999999999996"/>
  </r>
  <r>
    <x v="60"/>
    <s v="Gourmet360"/>
    <x v="0"/>
    <x v="59"/>
    <x v="6"/>
    <x v="0"/>
    <m/>
    <m/>
    <m/>
    <s v="TAP-00001"/>
    <s v="Tap Water-Cooking"/>
    <s v="Ml"/>
    <s v="Ml"/>
    <n v="1600"/>
    <m/>
    <m/>
    <n v="10"/>
    <x v="0"/>
    <n v="160"/>
    <n v="8.0000000000000007E-5"/>
    <n v="1.2800000000000001E-2"/>
  </r>
  <r>
    <x v="60"/>
    <s v="Gourmet360"/>
    <x v="0"/>
    <x v="59"/>
    <x v="6"/>
    <x v="0"/>
    <m/>
    <m/>
    <m/>
    <s v="DRS6-3593"/>
    <s v="Spices Bay Leaves"/>
    <s v="Gram "/>
    <s v="Gram "/>
    <n v="1"/>
    <m/>
    <m/>
    <n v="10"/>
    <x v="0"/>
    <n v="0.1"/>
    <n v="8.0000000000000002E-3"/>
    <n v="8.0000000000000004E-4"/>
  </r>
  <r>
    <x v="60"/>
    <s v="Gourmet360"/>
    <x v="0"/>
    <x v="59"/>
    <x v="6"/>
    <x v="0"/>
    <m/>
    <m/>
    <m/>
    <s v="DRS6-261"/>
    <s v="Spices Cinnamon Sticks"/>
    <s v="Gram "/>
    <s v="Gram "/>
    <n v="2"/>
    <m/>
    <m/>
    <n v="10"/>
    <x v="0"/>
    <n v="0.2"/>
    <n v="1.4E-2"/>
    <n v="2.8000000000000004E-3"/>
  </r>
  <r>
    <x v="60"/>
    <s v="Gourmet360"/>
    <x v="0"/>
    <x v="59"/>
    <x v="6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61"/>
    <s v="Gourmet360"/>
    <x v="0"/>
    <x v="60"/>
    <x v="7"/>
    <x v="0"/>
    <m/>
    <m/>
    <m/>
    <s v="DRS4-1654"/>
    <s v="Jarish Seeds"/>
    <s v="Gram "/>
    <s v="Gram "/>
    <n v="1000"/>
    <m/>
    <m/>
    <n v="10"/>
    <x v="0"/>
    <n v="100"/>
    <n v="3.5999999999999999E-3"/>
    <n v="0.36"/>
  </r>
  <r>
    <x v="61"/>
    <s v="Gourmet360"/>
    <x v="0"/>
    <x v="60"/>
    <x v="7"/>
    <x v="0"/>
    <m/>
    <m/>
    <m/>
    <s v="DRS4-1457"/>
    <s v="Rice Egypt"/>
    <s v="Gram "/>
    <s v="Gram "/>
    <n v="300"/>
    <m/>
    <m/>
    <n v="10"/>
    <x v="0"/>
    <n v="30"/>
    <n v="6.4999999999999997E-3"/>
    <n v="0.19499999999999998"/>
  </r>
  <r>
    <x v="61"/>
    <s v="Gourmet360"/>
    <x v="0"/>
    <x v="60"/>
    <x v="7"/>
    <x v="0"/>
    <m/>
    <m/>
    <m/>
    <s v="TAP-00001"/>
    <s v="Tap Water-Cooking"/>
    <s v="Ml"/>
    <s v="Ml"/>
    <n v="3000"/>
    <m/>
    <m/>
    <n v="10"/>
    <x v="0"/>
    <n v="300"/>
    <n v="8.0000000000000007E-5"/>
    <n v="2.4E-2"/>
  </r>
  <r>
    <x v="61"/>
    <s v="Gourmet360"/>
    <x v="0"/>
    <x v="60"/>
    <x v="7"/>
    <x v="0"/>
    <m/>
    <m/>
    <m/>
    <s v="DRS1-3880"/>
    <s v="Salt "/>
    <s v="Gram "/>
    <s v="Gram "/>
    <n v="20"/>
    <m/>
    <m/>
    <n v="10"/>
    <x v="0"/>
    <n v="2"/>
    <n v="5.0000000000000001E-4"/>
    <n v="1E-3"/>
  </r>
  <r>
    <x v="61"/>
    <s v="Gourmet360"/>
    <x v="0"/>
    <x v="60"/>
    <x v="7"/>
    <x v="0"/>
    <m/>
    <m/>
    <m/>
    <s v="DRS1-3811"/>
    <s v="Chicken Stock Powder(Packet)"/>
    <s v="Gram "/>
    <s v="Gram "/>
    <n v="60"/>
    <m/>
    <m/>
    <n v="10"/>
    <x v="0"/>
    <n v="6"/>
    <n v="2.8475E-2"/>
    <n v="0.17085"/>
  </r>
  <r>
    <x v="61"/>
    <s v="Gourmet360"/>
    <x v="0"/>
    <x v="60"/>
    <x v="7"/>
    <x v="0"/>
    <m/>
    <m/>
    <m/>
    <s v="DRS6-309"/>
    <s v="Spice Pepper White Powder"/>
    <s v="Gram "/>
    <s v="Gram "/>
    <n v="10"/>
    <m/>
    <m/>
    <n v="10"/>
    <x v="0"/>
    <n v="1"/>
    <n v="2.8000000000000001E-2"/>
    <n v="2.8000000000000001E-2"/>
  </r>
  <r>
    <x v="61"/>
    <s v="Gourmet360"/>
    <x v="0"/>
    <x v="60"/>
    <x v="7"/>
    <x v="0"/>
    <m/>
    <m/>
    <m/>
    <s v="DRY2-1160"/>
    <s v="Yogurt Plain big 10 KG"/>
    <s v="Gram "/>
    <s v="Gram "/>
    <n v="1000"/>
    <m/>
    <m/>
    <n v="10"/>
    <x v="0"/>
    <n v="100"/>
    <n v="4.4000000000000003E-3"/>
    <n v="0.44"/>
  </r>
  <r>
    <x v="61"/>
    <s v="Gourmet360"/>
    <x v="0"/>
    <x v="60"/>
    <x v="7"/>
    <x v="0"/>
    <m/>
    <m/>
    <m/>
    <s v="DRS3-1813"/>
    <s v="Corn Oil (18 Liter)"/>
    <s v="Ml"/>
    <s v="Ml"/>
    <n v="50"/>
    <m/>
    <m/>
    <n v="10"/>
    <x v="0"/>
    <n v="5"/>
    <n v="8.0555555555555554E-3"/>
    <n v="4.0277777777777773E-2"/>
  </r>
  <r>
    <x v="61"/>
    <s v="Gourmet360"/>
    <x v="0"/>
    <x v="60"/>
    <x v="7"/>
    <x v="0"/>
    <m/>
    <m/>
    <m/>
    <s v="PRD1-4265"/>
    <s v="Fresh onion Yellow(Imported)"/>
    <s v="Gram "/>
    <s v="Gram "/>
    <n v="80"/>
    <m/>
    <m/>
    <n v="10"/>
    <x v="0"/>
    <n v="8"/>
    <n v="3.529411764705882E-3"/>
    <n v="2.8235294117647056E-2"/>
  </r>
  <r>
    <x v="61"/>
    <s v="Gourmet360"/>
    <x v="0"/>
    <x v="60"/>
    <x v="7"/>
    <x v="0"/>
    <m/>
    <m/>
    <m/>
    <s v="PRD1-4327"/>
    <s v="Fresh Garlic Peeled"/>
    <s v="Gram "/>
    <s v="Gram "/>
    <n v="20"/>
    <m/>
    <m/>
    <n v="10"/>
    <x v="0"/>
    <n v="2"/>
    <n v="1.2999999999999999E-2"/>
    <n v="2.5999999999999999E-2"/>
  </r>
  <r>
    <x v="61"/>
    <s v="Gourmet360"/>
    <x v="0"/>
    <x v="60"/>
    <x v="7"/>
    <x v="0"/>
    <m/>
    <m/>
    <m/>
    <s v="DRS6-733"/>
    <s v="Spices Cumin Powder"/>
    <s v="Gram "/>
    <s v="Gram "/>
    <n v="8"/>
    <m/>
    <m/>
    <n v="10"/>
    <x v="0"/>
    <n v="0.8"/>
    <n v="2.8000000000000001E-2"/>
    <n v="2.2400000000000003E-2"/>
  </r>
  <r>
    <x v="61"/>
    <s v="Gourmet360"/>
    <x v="0"/>
    <x v="60"/>
    <x v="7"/>
    <x v="0"/>
    <m/>
    <m/>
    <m/>
    <s v="TAP-00001"/>
    <s v="Tap Water-Cooking"/>
    <s v="Ml"/>
    <s v="Ml"/>
    <n v="600"/>
    <m/>
    <m/>
    <n v="10"/>
    <x v="0"/>
    <n v="60"/>
    <n v="8.0000000000000007E-5"/>
    <n v="4.8000000000000004E-3"/>
  </r>
  <r>
    <x v="61"/>
    <s v="Gourmet360"/>
    <x v="0"/>
    <x v="60"/>
    <x v="7"/>
    <x v="0"/>
    <m/>
    <m/>
    <m/>
    <s v="DRS5-59"/>
    <s v="Milk Powder"/>
    <s v="Gram "/>
    <s v="Gram "/>
    <n v="75"/>
    <m/>
    <m/>
    <n v="10"/>
    <x v="0"/>
    <n v="7.5"/>
    <n v="1.4319999999999999E-2"/>
    <n v="0.1074"/>
  </r>
  <r>
    <x v="61"/>
    <s v="Gourmet360"/>
    <x v="0"/>
    <x v="60"/>
    <x v="7"/>
    <x v="0"/>
    <m/>
    <m/>
    <m/>
    <s v="DRS6-309"/>
    <s v="Spice Pepper White Powder"/>
    <s v="Gram "/>
    <s v="Gram "/>
    <n v="1"/>
    <m/>
    <m/>
    <n v="10"/>
    <x v="0"/>
    <n v="0.1"/>
    <n v="2.8000000000000001E-2"/>
    <n v="2.8000000000000004E-3"/>
  </r>
  <r>
    <x v="61"/>
    <s v="Gourmet360"/>
    <x v="0"/>
    <x v="60"/>
    <x v="7"/>
    <x v="0"/>
    <m/>
    <m/>
    <m/>
    <s v="DRS1-3880"/>
    <s v="Salt "/>
    <s v="Gram "/>
    <s v="Gram "/>
    <n v="1"/>
    <m/>
    <m/>
    <n v="10"/>
    <x v="0"/>
    <n v="0.1"/>
    <n v="5.0000000000000001E-4"/>
    <n v="5.0000000000000002E-5"/>
  </r>
  <r>
    <x v="61"/>
    <s v="Gourmet360"/>
    <x v="0"/>
    <x v="60"/>
    <x v="7"/>
    <x v="0"/>
    <m/>
    <m/>
    <m/>
    <s v="DRY2-1008"/>
    <s v="Butter 82% Fat(Unsalted) 25 kg"/>
    <s v="Gram "/>
    <s v="Gram "/>
    <n v="25"/>
    <m/>
    <m/>
    <n v="10"/>
    <x v="0"/>
    <n v="2.5"/>
    <n v="0.03"/>
    <n v="7.4999999999999997E-2"/>
  </r>
  <r>
    <x v="61"/>
    <s v="Gourmet360"/>
    <x v="0"/>
    <x v="60"/>
    <x v="7"/>
    <x v="0"/>
    <m/>
    <m/>
    <m/>
    <s v="DRY2-1858"/>
    <s v="Cooking Cream 1 Ltr"/>
    <s v="Ml"/>
    <s v="Ml"/>
    <n v="75"/>
    <m/>
    <m/>
    <n v="10"/>
    <x v="0"/>
    <n v="7.5"/>
    <n v="9.8800000000000016E-3"/>
    <n v="7.4100000000000013E-2"/>
  </r>
  <r>
    <x v="61"/>
    <s v="Gourmet360"/>
    <x v="0"/>
    <x v="60"/>
    <x v="7"/>
    <x v="0"/>
    <m/>
    <m/>
    <m/>
    <s v="DRS5-3866"/>
    <s v="Mashed Potato Flakes"/>
    <s v="Gram "/>
    <s v="Gram "/>
    <n v="150"/>
    <m/>
    <m/>
    <n v="10"/>
    <x v="0"/>
    <n v="15"/>
    <n v="0.02"/>
    <n v="0.3"/>
  </r>
  <r>
    <x v="61"/>
    <s v="Gourmet360"/>
    <x v="0"/>
    <x v="60"/>
    <x v="7"/>
    <x v="0"/>
    <m/>
    <m/>
    <m/>
    <s v="PRD1-232"/>
    <s v="Fresh Pumpkin"/>
    <s v="Gram "/>
    <s v="Gram "/>
    <n v="100"/>
    <m/>
    <m/>
    <n v="10"/>
    <x v="0"/>
    <n v="10"/>
    <n v="4.4444444444444444E-3"/>
    <n v="4.4444444444444446E-2"/>
  </r>
  <r>
    <x v="61"/>
    <s v="Gourmet360"/>
    <x v="0"/>
    <x v="60"/>
    <x v="7"/>
    <x v="0"/>
    <m/>
    <m/>
    <m/>
    <s v="PRD1-186"/>
    <s v="Fresh Carrot Imported"/>
    <s v="Gram "/>
    <s v="Gram "/>
    <n v="100"/>
    <m/>
    <m/>
    <n v="10"/>
    <x v="0"/>
    <n v="10"/>
    <n v="5.8139534883720938E-3"/>
    <n v="5.8139534883720936E-2"/>
  </r>
  <r>
    <x v="62"/>
    <s v="Gourmet360"/>
    <x v="0"/>
    <x v="61"/>
    <x v="7"/>
    <x v="0"/>
    <s v="Lunch"/>
    <m/>
    <m/>
    <s v="PLT2-3278"/>
    <s v="Frz Chicken Breast Tender (KG)"/>
    <s v="Gram "/>
    <s v="Gram "/>
    <n v="1200"/>
    <m/>
    <m/>
    <n v="10"/>
    <x v="0"/>
    <n v="120"/>
    <n v="3.0357142857142853E-2"/>
    <n v="3.6428571428571423"/>
  </r>
  <r>
    <x v="62"/>
    <s v="Gourmet360"/>
    <x v="0"/>
    <x v="61"/>
    <x v="7"/>
    <x v="0"/>
    <s v="Lunch"/>
    <m/>
    <m/>
    <s v="DRS3-1813"/>
    <s v="Corn Oil (18 Liter)"/>
    <s v="Ml"/>
    <s v="Ml"/>
    <n v="20"/>
    <m/>
    <m/>
    <n v="10"/>
    <x v="0"/>
    <n v="2"/>
    <n v="8.0555555555555554E-3"/>
    <n v="1.6111111111111111E-2"/>
  </r>
  <r>
    <x v="62"/>
    <s v="Gourmet360"/>
    <x v="0"/>
    <x v="61"/>
    <x v="7"/>
    <x v="0"/>
    <s v="Lunch"/>
    <m/>
    <m/>
    <s v="PRD1-4265"/>
    <s v="Fresh onion Yellow(Imported)"/>
    <s v="Gram "/>
    <s v="Gram "/>
    <n v="150"/>
    <m/>
    <m/>
    <n v="10"/>
    <x v="0"/>
    <n v="15"/>
    <n v="3.529411764705882E-3"/>
    <n v="5.2941176470588228E-2"/>
  </r>
  <r>
    <x v="62"/>
    <s v="Gourmet360"/>
    <x v="0"/>
    <x v="61"/>
    <x v="7"/>
    <x v="0"/>
    <s v="Lunch"/>
    <m/>
    <m/>
    <s v="PRD1-4327"/>
    <s v="Fresh Garlic Peeled"/>
    <s v="Gram "/>
    <s v="Gram "/>
    <n v="15"/>
    <m/>
    <m/>
    <n v="10"/>
    <x v="0"/>
    <n v="1.5"/>
    <n v="1.2999999999999999E-2"/>
    <n v="1.95E-2"/>
  </r>
  <r>
    <x v="62"/>
    <s v="Gourmet360"/>
    <x v="0"/>
    <x v="61"/>
    <x v="7"/>
    <x v="0"/>
    <s v="Lunch"/>
    <m/>
    <m/>
    <s v="DRS6-733"/>
    <s v="Spices Cumin Powder"/>
    <s v="Gram "/>
    <s v="Gram "/>
    <n v="15"/>
    <m/>
    <m/>
    <n v="10"/>
    <x v="0"/>
    <n v="1.5"/>
    <n v="2.8000000000000001E-2"/>
    <n v="4.2000000000000003E-2"/>
  </r>
  <r>
    <x v="62"/>
    <s v="Gourmet360"/>
    <x v="0"/>
    <x v="61"/>
    <x v="7"/>
    <x v="0"/>
    <s v="Lunch"/>
    <m/>
    <m/>
    <s v="DRS6-266"/>
    <s v="Spices Coriander Powder"/>
    <s v="Gram "/>
    <s v="Gram "/>
    <n v="3"/>
    <m/>
    <m/>
    <n v="10"/>
    <x v="0"/>
    <n v="0.3"/>
    <n v="1.4E-2"/>
    <n v="4.1999999999999997E-3"/>
  </r>
  <r>
    <x v="62"/>
    <s v="Gourmet360"/>
    <x v="0"/>
    <x v="61"/>
    <x v="7"/>
    <x v="0"/>
    <s v="Lunch"/>
    <m/>
    <m/>
    <s v="DRS6-3608"/>
    <s v="Spice Curry Powder(Kg)"/>
    <s v="Gram "/>
    <s v="Gram "/>
    <n v="3"/>
    <m/>
    <m/>
    <n v="10"/>
    <x v="0"/>
    <n v="0.3"/>
    <n v="1.6E-2"/>
    <n v="4.7999999999999996E-3"/>
  </r>
  <r>
    <x v="62"/>
    <s v="Gourmet360"/>
    <x v="0"/>
    <x v="61"/>
    <x v="7"/>
    <x v="0"/>
    <s v="Lunch"/>
    <m/>
    <m/>
    <s v="PRD1-572"/>
    <s v="Fresh Tomato "/>
    <s v="Gram "/>
    <s v="Gram "/>
    <n v="150"/>
    <m/>
    <m/>
    <n v="10"/>
    <x v="0"/>
    <n v="15"/>
    <n v="4.5351473922902496E-3"/>
    <n v="6.8027210884353748E-2"/>
  </r>
  <r>
    <x v="62"/>
    <s v="Gourmet360"/>
    <x v="0"/>
    <x v="61"/>
    <x v="7"/>
    <x v="0"/>
    <s v="Lunch"/>
    <m/>
    <m/>
    <s v="DRS1-1747"/>
    <s v="Can Tomato Paste (4500 Gram)"/>
    <s v="Gram "/>
    <s v="Gram "/>
    <n v="25"/>
    <m/>
    <m/>
    <n v="10"/>
    <x v="0"/>
    <n v="2.5"/>
    <n v="5.185185185185185E-3"/>
    <n v="1.2962962962962963E-2"/>
  </r>
  <r>
    <x v="62"/>
    <s v="Gourmet360"/>
    <x v="0"/>
    <x v="61"/>
    <x v="7"/>
    <x v="0"/>
    <s v="Lunch"/>
    <m/>
    <m/>
    <s v="DRS1-3880"/>
    <s v="Salt "/>
    <s v="Gram "/>
    <s v="Gram "/>
    <n v="10"/>
    <m/>
    <m/>
    <n v="10"/>
    <x v="0"/>
    <n v="1"/>
    <n v="5.0000000000000001E-4"/>
    <n v="5.0000000000000001E-4"/>
  </r>
  <r>
    <x v="62"/>
    <s v="Gourmet360"/>
    <x v="0"/>
    <x v="61"/>
    <x v="7"/>
    <x v="0"/>
    <s v="Lunch"/>
    <m/>
    <m/>
    <s v="PRD1-186"/>
    <s v="Fresh Carrot Imported"/>
    <s v="Gram "/>
    <s v="Gram "/>
    <n v="400"/>
    <m/>
    <m/>
    <n v="10"/>
    <x v="0"/>
    <n v="40"/>
    <n v="5.8139534883720938E-3"/>
    <n v="0.23255813953488375"/>
  </r>
  <r>
    <x v="62"/>
    <s v="Gourmet360"/>
    <x v="0"/>
    <x v="61"/>
    <x v="7"/>
    <x v="0"/>
    <s v="Lunch"/>
    <m/>
    <m/>
    <s v="PRD1-230"/>
    <s v="Fresh Potato"/>
    <s v="Gram "/>
    <s v="Gram "/>
    <n v="500"/>
    <m/>
    <m/>
    <n v="10"/>
    <x v="0"/>
    <n v="50"/>
    <n v="3.3738191632928472E-3"/>
    <n v="0.16869095816464236"/>
  </r>
  <r>
    <x v="62"/>
    <s v="Gourmet360"/>
    <x v="0"/>
    <x v="61"/>
    <x v="7"/>
    <x v="0"/>
    <s v="Lunch"/>
    <m/>
    <m/>
    <s v="PRD2-3566"/>
    <s v="Frz Green Beans Cut(800 Gram)"/>
    <s v="Gram "/>
    <s v="Gram "/>
    <n v="400"/>
    <m/>
    <m/>
    <n v="10"/>
    <x v="0"/>
    <n v="40"/>
    <n v="8.2249999999999997E-3"/>
    <n v="0.32899999999999996"/>
  </r>
  <r>
    <x v="62"/>
    <s v="Gourmet360"/>
    <x v="0"/>
    <x v="61"/>
    <x v="7"/>
    <x v="0"/>
    <s v="Lunch"/>
    <m/>
    <m/>
    <s v="DRS6-1674"/>
    <s v="Spice Turmeric Powder (1 Kg)"/>
    <s v="Gram "/>
    <s v="Gram "/>
    <n v="5"/>
    <m/>
    <m/>
    <n v="10"/>
    <x v="0"/>
    <n v="0.5"/>
    <n v="1.2500000000000001E-2"/>
    <n v="6.2500000000000003E-3"/>
  </r>
  <r>
    <x v="62"/>
    <s v="Gourmet360"/>
    <x v="0"/>
    <x v="61"/>
    <x v="7"/>
    <x v="0"/>
    <s v="Lunch"/>
    <m/>
    <m/>
    <s v="DRS1-4417"/>
    <s v="Vegetable Stock Powder(Packet)"/>
    <s v="Gram "/>
    <s v="Gram "/>
    <n v="10"/>
    <m/>
    <m/>
    <n v="10"/>
    <x v="0"/>
    <n v="1"/>
    <n v="3.6754545454545456E-2"/>
    <n v="3.6754545454545456E-2"/>
  </r>
  <r>
    <x v="62"/>
    <s v="Gourmet360"/>
    <x v="0"/>
    <x v="61"/>
    <x v="7"/>
    <x v="0"/>
    <s v="Lunch"/>
    <m/>
    <m/>
    <s v="DRS5-3619"/>
    <s v="Coconut Powder (7 Kg)  "/>
    <s v="Gram "/>
    <s v="Gram "/>
    <n v="150"/>
    <m/>
    <m/>
    <n v="10"/>
    <x v="0"/>
    <n v="15"/>
    <n v="1.2857142857142857E-2"/>
    <n v="0.19285714285714287"/>
  </r>
  <r>
    <x v="62"/>
    <s v="Gourmet360"/>
    <x v="0"/>
    <x v="61"/>
    <x v="7"/>
    <x v="0"/>
    <s v="Lunch"/>
    <m/>
    <m/>
    <s v="DRS6-266"/>
    <s v="Spices Coriander Powder"/>
    <s v="Gram "/>
    <s v="Gram "/>
    <n v="25"/>
    <m/>
    <m/>
    <n v="10"/>
    <x v="0"/>
    <n v="2.5"/>
    <n v="1.4E-2"/>
    <n v="3.5000000000000003E-2"/>
  </r>
  <r>
    <x v="62"/>
    <s v="Gourmet360"/>
    <x v="0"/>
    <x v="61"/>
    <x v="7"/>
    <x v="0"/>
    <s v="Lunch"/>
    <m/>
    <m/>
    <s v="PRD1-3794"/>
    <s v="Fresh Baby Marrow"/>
    <s v="Gram "/>
    <s v="Gram "/>
    <n v="200"/>
    <m/>
    <m/>
    <n v="10"/>
    <x v="0"/>
    <n v="20"/>
    <n v="4.9382716049382715E-3"/>
    <n v="9.8765432098765427E-2"/>
  </r>
  <r>
    <x v="62"/>
    <s v="Gourmet360"/>
    <x v="0"/>
    <x v="61"/>
    <x v="7"/>
    <x v="0"/>
    <s v="Lunch"/>
    <m/>
    <m/>
    <s v="TAP-00001"/>
    <s v="Tap Water-Cooking"/>
    <s v="Ml"/>
    <s v="Ml"/>
    <n v="1000"/>
    <m/>
    <m/>
    <n v="10"/>
    <x v="0"/>
    <n v="100"/>
    <n v="8.0000000000000007E-5"/>
    <n v="8.0000000000000002E-3"/>
  </r>
  <r>
    <x v="62"/>
    <s v="Gourmet360"/>
    <x v="0"/>
    <x v="61"/>
    <x v="7"/>
    <x v="0"/>
    <s v="Lunch"/>
    <m/>
    <m/>
    <s v="DRS4-498"/>
    <s v="Rice Basmati"/>
    <s v="Gram "/>
    <s v="Gram "/>
    <n v="800"/>
    <m/>
    <m/>
    <n v="10"/>
    <x v="0"/>
    <n v="80"/>
    <n v="5.7499999999999999E-3"/>
    <n v="0.45999999999999996"/>
  </r>
  <r>
    <x v="62"/>
    <s v="Gourmet360"/>
    <x v="0"/>
    <x v="61"/>
    <x v="7"/>
    <x v="0"/>
    <s v="Lunch"/>
    <m/>
    <m/>
    <s v="TAP-00001"/>
    <s v="Tap Water-Cooking"/>
    <s v="Ml"/>
    <s v="Ml"/>
    <n v="1600"/>
    <m/>
    <m/>
    <n v="10"/>
    <x v="0"/>
    <n v="160"/>
    <n v="8.0000000000000007E-5"/>
    <n v="1.2800000000000001E-2"/>
  </r>
  <r>
    <x v="62"/>
    <s v="Gourmet360"/>
    <x v="0"/>
    <x v="61"/>
    <x v="7"/>
    <x v="0"/>
    <s v="Lunch"/>
    <m/>
    <m/>
    <s v="DRS6-3593"/>
    <s v="Spices Bay Leaves"/>
    <s v="Gram "/>
    <s v="Gram "/>
    <n v="1"/>
    <m/>
    <m/>
    <n v="10"/>
    <x v="0"/>
    <n v="0.1"/>
    <n v="8.0000000000000002E-3"/>
    <n v="8.0000000000000004E-4"/>
  </r>
  <r>
    <x v="62"/>
    <s v="Gourmet360"/>
    <x v="0"/>
    <x v="61"/>
    <x v="7"/>
    <x v="0"/>
    <s v="Lunch"/>
    <m/>
    <m/>
    <s v="DRS6-260"/>
    <s v="Spices Cinnamon Powder"/>
    <s v="Gram "/>
    <s v="Gram "/>
    <n v="2"/>
    <m/>
    <m/>
    <n v="10"/>
    <x v="0"/>
    <n v="0.2"/>
    <n v="0.02"/>
    <n v="4.0000000000000001E-3"/>
  </r>
  <r>
    <x v="62"/>
    <s v="Gourmet360"/>
    <x v="0"/>
    <x v="61"/>
    <x v="7"/>
    <x v="0"/>
    <s v="Lunch"/>
    <m/>
    <m/>
    <s v="DRS1-3880"/>
    <s v="Salt "/>
    <s v="Gram "/>
    <s v="Gram "/>
    <n v="10"/>
    <m/>
    <m/>
    <n v="10"/>
    <x v="0"/>
    <n v="1"/>
    <n v="5.0000000000000001E-4"/>
    <n v="5.0000000000000001E-4"/>
  </r>
  <r>
    <x v="63"/>
    <s v="Gourmet360"/>
    <x v="0"/>
    <x v="62"/>
    <x v="7"/>
    <x v="0"/>
    <m/>
    <m/>
    <m/>
    <s v="PLT2-3278"/>
    <s v="Frz Chicken Breast Tender (KG)"/>
    <s v="Gram "/>
    <s v="Gram "/>
    <n v="900"/>
    <m/>
    <m/>
    <n v="10"/>
    <x v="0"/>
    <n v="90"/>
    <n v="3.0357142857142853E-2"/>
    <n v="2.7321428571428568"/>
  </r>
  <r>
    <x v="63"/>
    <s v="Gourmet360"/>
    <x v="0"/>
    <x v="62"/>
    <x v="7"/>
    <x v="0"/>
    <m/>
    <m/>
    <m/>
    <s v="DRS2-3804"/>
    <s v="Pasta Elbows Small #19"/>
    <s v="Gram "/>
    <s v="Gram "/>
    <n v="900"/>
    <m/>
    <m/>
    <n v="10"/>
    <x v="0"/>
    <n v="90"/>
    <n v="9.2222222222222237E-3"/>
    <n v="0.83000000000000018"/>
  </r>
  <r>
    <x v="63"/>
    <s v="Gourmet360"/>
    <x v="0"/>
    <x v="62"/>
    <x v="7"/>
    <x v="0"/>
    <m/>
    <m/>
    <m/>
    <s v="DRS5-806"/>
    <s v="Flour Brown"/>
    <s v="Gram "/>
    <s v="Gram "/>
    <n v="100"/>
    <m/>
    <m/>
    <n v="10"/>
    <x v="0"/>
    <n v="10"/>
    <n v="1E-3"/>
    <n v="0.01"/>
  </r>
  <r>
    <x v="63"/>
    <s v="Gourmet360"/>
    <x v="0"/>
    <x v="62"/>
    <x v="7"/>
    <x v="0"/>
    <m/>
    <m/>
    <m/>
    <s v="DRY2-1008"/>
    <s v="Butter 82% Fat(Unsalted) 25 kg"/>
    <s v="Gram "/>
    <s v="Gram "/>
    <n v="100"/>
    <m/>
    <m/>
    <n v="10"/>
    <x v="0"/>
    <n v="10"/>
    <n v="0.03"/>
    <n v="0.3"/>
  </r>
  <r>
    <x v="63"/>
    <s v="Gourmet360"/>
    <x v="0"/>
    <x v="62"/>
    <x v="7"/>
    <x v="0"/>
    <m/>
    <m/>
    <m/>
    <s v="DRS1-3811"/>
    <s v="Chicken Stock Powder(Packet)"/>
    <s v="Gram "/>
    <s v="Gram "/>
    <n v="15"/>
    <m/>
    <m/>
    <n v="10"/>
    <x v="0"/>
    <n v="1.5"/>
    <n v="2.8475E-2"/>
    <n v="4.27125E-2"/>
  </r>
  <r>
    <x v="63"/>
    <s v="Gourmet360"/>
    <x v="0"/>
    <x v="62"/>
    <x v="7"/>
    <x v="0"/>
    <m/>
    <m/>
    <m/>
    <s v="DRS6-309"/>
    <s v="Spice Pepper White Powder"/>
    <s v="Gram "/>
    <s v="Gram "/>
    <n v="3"/>
    <m/>
    <m/>
    <n v="10"/>
    <x v="0"/>
    <n v="0.3"/>
    <n v="2.8000000000000001E-2"/>
    <n v="8.3999999999999995E-3"/>
  </r>
  <r>
    <x v="63"/>
    <s v="Gourmet360"/>
    <x v="0"/>
    <x v="62"/>
    <x v="7"/>
    <x v="0"/>
    <m/>
    <m/>
    <m/>
    <s v="DRY2-1858"/>
    <s v="Cooking Cream 1 Ltr"/>
    <s v="Ml"/>
    <s v="Ml"/>
    <n v="800"/>
    <m/>
    <m/>
    <n v="10"/>
    <x v="0"/>
    <n v="80"/>
    <n v="9.8800000000000016E-3"/>
    <n v="0.7904000000000001"/>
  </r>
  <r>
    <x v="63"/>
    <s v="Gourmet360"/>
    <x v="0"/>
    <x v="62"/>
    <x v="7"/>
    <x v="0"/>
    <m/>
    <m/>
    <m/>
    <s v="DRS5-59"/>
    <s v="Milk Powder"/>
    <s v="Gram "/>
    <s v="Gram "/>
    <n v="100"/>
    <m/>
    <m/>
    <n v="10"/>
    <x v="0"/>
    <n v="10"/>
    <n v="1.4319999999999999E-2"/>
    <n v="0.14319999999999999"/>
  </r>
  <r>
    <x v="63"/>
    <s v="Gourmet360"/>
    <x v="0"/>
    <x v="62"/>
    <x v="7"/>
    <x v="0"/>
    <m/>
    <m/>
    <m/>
    <s v="DRS1-3880"/>
    <s v="Salt "/>
    <s v="Gram "/>
    <s v="Gram "/>
    <n v="7"/>
    <m/>
    <m/>
    <n v="10"/>
    <x v="0"/>
    <n v="0.7"/>
    <n v="5.0000000000000001E-4"/>
    <n v="3.5E-4"/>
  </r>
  <r>
    <x v="63"/>
    <s v="Gourmet360"/>
    <x v="0"/>
    <x v="62"/>
    <x v="7"/>
    <x v="0"/>
    <m/>
    <m/>
    <m/>
    <s v="TAP-00001"/>
    <s v="Tap Water-Cooking"/>
    <s v="Ml"/>
    <s v="Ml"/>
    <n v="2000"/>
    <m/>
    <m/>
    <n v="10"/>
    <x v="0"/>
    <n v="200"/>
    <n v="8.0000000000000007E-5"/>
    <n v="1.6E-2"/>
  </r>
  <r>
    <x v="63"/>
    <s v="Gourmet360"/>
    <x v="0"/>
    <x v="62"/>
    <x v="7"/>
    <x v="0"/>
    <m/>
    <m/>
    <m/>
    <s v="TAP-00001"/>
    <s v="Tap Water-Cooking"/>
    <s v="Ml"/>
    <s v="Ml"/>
    <n v="600"/>
    <m/>
    <m/>
    <n v="10"/>
    <x v="0"/>
    <n v="60"/>
    <n v="8.0000000000000007E-5"/>
    <n v="4.8000000000000004E-3"/>
  </r>
  <r>
    <x v="63"/>
    <s v="Gourmet360"/>
    <x v="0"/>
    <x v="62"/>
    <x v="7"/>
    <x v="0"/>
    <m/>
    <m/>
    <m/>
    <s v="DRS5-59"/>
    <s v="Milk Powder"/>
    <s v="Gram "/>
    <s v="Gram "/>
    <n v="75"/>
    <m/>
    <m/>
    <n v="10"/>
    <x v="0"/>
    <n v="7.5"/>
    <n v="1.4319999999999999E-2"/>
    <n v="0.1074"/>
  </r>
  <r>
    <x v="63"/>
    <s v="Gourmet360"/>
    <x v="0"/>
    <x v="62"/>
    <x v="7"/>
    <x v="0"/>
    <m/>
    <m/>
    <m/>
    <s v="DRS1-3880"/>
    <s v="Salt "/>
    <s v="Gram "/>
    <s v="Gram "/>
    <n v="6"/>
    <m/>
    <m/>
    <n v="10"/>
    <x v="0"/>
    <n v="0.6"/>
    <n v="5.0000000000000001E-4"/>
    <n v="2.9999999999999997E-4"/>
  </r>
  <r>
    <x v="63"/>
    <s v="Gourmet360"/>
    <x v="0"/>
    <x v="62"/>
    <x v="7"/>
    <x v="0"/>
    <m/>
    <m/>
    <m/>
    <s v="DRY2-1008"/>
    <s v="Butter 82% Fat(Unsalted) 25 kg"/>
    <s v="Gram "/>
    <s v="Gram "/>
    <n v="25"/>
    <m/>
    <m/>
    <n v="10"/>
    <x v="0"/>
    <n v="2.5"/>
    <n v="0.03"/>
    <n v="7.4999999999999997E-2"/>
  </r>
  <r>
    <x v="63"/>
    <s v="Gourmet360"/>
    <x v="0"/>
    <x v="62"/>
    <x v="7"/>
    <x v="0"/>
    <m/>
    <m/>
    <m/>
    <s v="DRY2-1858"/>
    <s v="Cooking Cream 1 Ltr"/>
    <s v="Ml"/>
    <s v="Ml"/>
    <n v="25"/>
    <m/>
    <m/>
    <n v="10"/>
    <x v="0"/>
    <n v="2.5"/>
    <n v="9.8800000000000016E-3"/>
    <n v="2.4700000000000003E-2"/>
  </r>
  <r>
    <x v="63"/>
    <s v="Gourmet360"/>
    <x v="0"/>
    <x v="62"/>
    <x v="7"/>
    <x v="0"/>
    <m/>
    <m/>
    <m/>
    <s v="PRD1-186"/>
    <s v="Fresh Carrot Imported"/>
    <s v="Gram "/>
    <s v="Gram "/>
    <n v="100"/>
    <m/>
    <m/>
    <n v="10"/>
    <x v="0"/>
    <n v="10"/>
    <n v="5.8139534883720938E-3"/>
    <n v="5.8139534883720936E-2"/>
  </r>
  <r>
    <x v="63"/>
    <s v="Gourmet360"/>
    <x v="0"/>
    <x v="62"/>
    <x v="7"/>
    <x v="0"/>
    <m/>
    <m/>
    <m/>
    <s v="PRD1-232"/>
    <s v="Fresh Pumpkin"/>
    <s v="Gram "/>
    <s v="Gram "/>
    <n v="100"/>
    <m/>
    <m/>
    <n v="10"/>
    <x v="0"/>
    <n v="10"/>
    <n v="4.4444444444444444E-3"/>
    <n v="4.4444444444444446E-2"/>
  </r>
  <r>
    <x v="63"/>
    <s v="Gourmet360"/>
    <x v="0"/>
    <x v="62"/>
    <x v="7"/>
    <x v="0"/>
    <m/>
    <m/>
    <m/>
    <s v="DRS5-3866"/>
    <s v="Mashed Potato Flakes"/>
    <s v="Gram "/>
    <s v="Gram "/>
    <n v="150"/>
    <m/>
    <m/>
    <n v="10"/>
    <x v="0"/>
    <n v="15"/>
    <n v="0.02"/>
    <n v="0.3"/>
  </r>
  <r>
    <x v="64"/>
    <s v="Gourmet360"/>
    <x v="0"/>
    <x v="63"/>
    <x v="7"/>
    <x v="0"/>
    <m/>
    <m/>
    <m/>
    <s v="MET2-585"/>
    <s v="Frz Beef Topside"/>
    <s v="Gram "/>
    <s v="Gram "/>
    <n v="1000"/>
    <m/>
    <m/>
    <n v="10"/>
    <x v="0"/>
    <n v="100"/>
    <n v="4.2630057803468215E-2"/>
    <n v="4.2630057803468215"/>
  </r>
  <r>
    <x v="64"/>
    <s v="Gourmet360"/>
    <x v="0"/>
    <x v="63"/>
    <x v="7"/>
    <x v="0"/>
    <m/>
    <m/>
    <m/>
    <s v="DRS3-1813"/>
    <s v="Corn Oil (18 Liter)"/>
    <s v="Ml"/>
    <s v="Ml"/>
    <n v="20"/>
    <m/>
    <m/>
    <n v="10"/>
    <x v="0"/>
    <n v="2"/>
    <n v="8.0555555555555554E-3"/>
    <n v="1.6111111111111111E-2"/>
  </r>
  <r>
    <x v="64"/>
    <s v="Gourmet360"/>
    <x v="0"/>
    <x v="63"/>
    <x v="7"/>
    <x v="0"/>
    <m/>
    <m/>
    <m/>
    <s v="PRD1-4265"/>
    <s v="Fresh onion Yellow(Imported)"/>
    <s v="Gram "/>
    <s v="Gram "/>
    <n v="150"/>
    <m/>
    <m/>
    <n v="10"/>
    <x v="0"/>
    <n v="15"/>
    <n v="3.529411764705882E-3"/>
    <n v="5.2941176470588228E-2"/>
  </r>
  <r>
    <x v="64"/>
    <s v="Gourmet360"/>
    <x v="0"/>
    <x v="63"/>
    <x v="7"/>
    <x v="0"/>
    <m/>
    <m/>
    <m/>
    <s v="PRD1-4327"/>
    <s v="Fresh Garlic Peeled"/>
    <s v="Gram "/>
    <s v="Gram "/>
    <n v="15"/>
    <m/>
    <m/>
    <n v="10"/>
    <x v="0"/>
    <n v="1.5"/>
    <n v="1.2999999999999999E-2"/>
    <n v="1.95E-2"/>
  </r>
  <r>
    <x v="64"/>
    <s v="Gourmet360"/>
    <x v="0"/>
    <x v="63"/>
    <x v="7"/>
    <x v="0"/>
    <m/>
    <m/>
    <m/>
    <s v="DRS6-733"/>
    <s v="Spices Cumin Powder"/>
    <s v="Gram "/>
    <s v="Gram "/>
    <n v="15"/>
    <m/>
    <m/>
    <n v="10"/>
    <x v="0"/>
    <n v="1.5"/>
    <n v="2.8000000000000001E-2"/>
    <n v="4.2000000000000003E-2"/>
  </r>
  <r>
    <x v="64"/>
    <s v="Gourmet360"/>
    <x v="0"/>
    <x v="63"/>
    <x v="7"/>
    <x v="0"/>
    <m/>
    <m/>
    <m/>
    <s v="DRS6-266"/>
    <s v="Spices Coriander Powder"/>
    <s v="Gram "/>
    <s v="Gram "/>
    <n v="3"/>
    <m/>
    <m/>
    <n v="10"/>
    <x v="0"/>
    <n v="0.3"/>
    <n v="1.4E-2"/>
    <n v="4.1999999999999997E-3"/>
  </r>
  <r>
    <x v="64"/>
    <s v="Gourmet360"/>
    <x v="0"/>
    <x v="63"/>
    <x v="7"/>
    <x v="0"/>
    <m/>
    <m/>
    <m/>
    <s v="DRS6-3608"/>
    <s v="Spice Curry Powder(Kg)"/>
    <s v="Gram "/>
    <s v="Gram "/>
    <n v="3"/>
    <m/>
    <m/>
    <n v="10"/>
    <x v="0"/>
    <n v="0.3"/>
    <n v="1.6E-2"/>
    <n v="4.7999999999999996E-3"/>
  </r>
  <r>
    <x v="64"/>
    <s v="Gourmet360"/>
    <x v="0"/>
    <x v="63"/>
    <x v="7"/>
    <x v="0"/>
    <m/>
    <m/>
    <m/>
    <s v="PRD1-572"/>
    <s v="Fresh Tomato "/>
    <s v="Gram "/>
    <s v="Gram "/>
    <n v="150"/>
    <m/>
    <m/>
    <n v="10"/>
    <x v="0"/>
    <n v="15"/>
    <n v="4.5351473922902496E-3"/>
    <n v="6.8027210884353748E-2"/>
  </r>
  <r>
    <x v="64"/>
    <s v="Gourmet360"/>
    <x v="0"/>
    <x v="63"/>
    <x v="7"/>
    <x v="0"/>
    <m/>
    <m/>
    <m/>
    <s v="DRS1-1747"/>
    <s v="Can Tomato Paste (4500 Gram)"/>
    <s v="Gram "/>
    <s v="Gram "/>
    <n v="25"/>
    <m/>
    <m/>
    <n v="10"/>
    <x v="0"/>
    <n v="2.5"/>
    <n v="5.185185185185185E-3"/>
    <n v="1.2962962962962963E-2"/>
  </r>
  <r>
    <x v="64"/>
    <s v="Gourmet360"/>
    <x v="0"/>
    <x v="63"/>
    <x v="7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64"/>
    <s v="Gourmet360"/>
    <x v="0"/>
    <x v="63"/>
    <x v="7"/>
    <x v="0"/>
    <m/>
    <m/>
    <m/>
    <s v="PRD1-186"/>
    <s v="Fresh Carrot Imported"/>
    <s v="Gram "/>
    <s v="Gram "/>
    <n v="500"/>
    <m/>
    <m/>
    <n v="10"/>
    <x v="0"/>
    <n v="50"/>
    <n v="5.8139534883720938E-3"/>
    <n v="0.29069767441860467"/>
  </r>
  <r>
    <x v="64"/>
    <s v="Gourmet360"/>
    <x v="0"/>
    <x v="63"/>
    <x v="7"/>
    <x v="0"/>
    <m/>
    <m/>
    <m/>
    <s v="PRD1-230"/>
    <s v="Fresh Potato"/>
    <s v="Gram "/>
    <s v="Gram "/>
    <n v="500"/>
    <m/>
    <m/>
    <n v="10"/>
    <x v="0"/>
    <n v="50"/>
    <n v="3.3738191632928472E-3"/>
    <n v="0.16869095816464236"/>
  </r>
  <r>
    <x v="64"/>
    <s v="Gourmet360"/>
    <x v="0"/>
    <x v="63"/>
    <x v="7"/>
    <x v="0"/>
    <m/>
    <m/>
    <m/>
    <s v="PRD2-3566"/>
    <s v="Frz Green Beans Cut(800 Gram)"/>
    <s v="Gram "/>
    <s v="Gram "/>
    <n v="400"/>
    <m/>
    <m/>
    <n v="10"/>
    <x v="0"/>
    <n v="40"/>
    <n v="8.2249999999999997E-3"/>
    <n v="0.32899999999999996"/>
  </r>
  <r>
    <x v="64"/>
    <s v="Gourmet360"/>
    <x v="0"/>
    <x v="63"/>
    <x v="7"/>
    <x v="0"/>
    <m/>
    <m/>
    <m/>
    <s v="DRS6-1674"/>
    <s v="Spice Turmeric Powder (1 Kg)"/>
    <s v="Gram "/>
    <s v="Gram "/>
    <n v="5"/>
    <m/>
    <m/>
    <n v="10"/>
    <x v="0"/>
    <n v="0.5"/>
    <n v="1.2500000000000001E-2"/>
    <n v="6.2500000000000003E-3"/>
  </r>
  <r>
    <x v="64"/>
    <s v="Gourmet360"/>
    <x v="0"/>
    <x v="63"/>
    <x v="7"/>
    <x v="0"/>
    <m/>
    <m/>
    <m/>
    <s v="DRS1-4417"/>
    <s v="Vegetable Stock Powder(Packet)"/>
    <s v="Gram "/>
    <s v="Gram "/>
    <n v="10"/>
    <m/>
    <m/>
    <n v="10"/>
    <x v="0"/>
    <n v="1"/>
    <n v="3.6754545454545456E-2"/>
    <n v="3.6754545454545456E-2"/>
  </r>
  <r>
    <x v="64"/>
    <s v="Gourmet360"/>
    <x v="0"/>
    <x v="63"/>
    <x v="7"/>
    <x v="0"/>
    <m/>
    <m/>
    <m/>
    <s v="DRS5-3619"/>
    <s v="Coconut Powder (7 Kg)  "/>
    <s v="Gram "/>
    <s v="Gram "/>
    <n v="150"/>
    <m/>
    <m/>
    <n v="10"/>
    <x v="0"/>
    <n v="15"/>
    <n v="1.2857142857142857E-2"/>
    <n v="0.19285714285714287"/>
  </r>
  <r>
    <x v="64"/>
    <s v="Gourmet360"/>
    <x v="0"/>
    <x v="63"/>
    <x v="7"/>
    <x v="0"/>
    <m/>
    <m/>
    <m/>
    <s v="DRS6-266"/>
    <s v="Spices Coriander Powder"/>
    <s v="Gram "/>
    <s v="Gram "/>
    <n v="25"/>
    <m/>
    <m/>
    <n v="10"/>
    <x v="0"/>
    <n v="2.5"/>
    <n v="1.4E-2"/>
    <n v="3.5000000000000003E-2"/>
  </r>
  <r>
    <x v="64"/>
    <s v="Gourmet360"/>
    <x v="0"/>
    <x v="63"/>
    <x v="7"/>
    <x v="0"/>
    <m/>
    <m/>
    <m/>
    <s v="PRD1-3794"/>
    <s v="Fresh Baby Marrow"/>
    <s v="Gram "/>
    <s v="Gram "/>
    <n v="200"/>
    <m/>
    <m/>
    <n v="10"/>
    <x v="0"/>
    <n v="20"/>
    <n v="4.9382716049382715E-3"/>
    <n v="9.8765432098765427E-2"/>
  </r>
  <r>
    <x v="64"/>
    <s v="Gourmet360"/>
    <x v="0"/>
    <x v="63"/>
    <x v="7"/>
    <x v="0"/>
    <m/>
    <m/>
    <m/>
    <s v="TAP-00001"/>
    <s v="Tap Water-Cooking"/>
    <s v="Ml"/>
    <s v="Ml"/>
    <n v="1000"/>
    <m/>
    <m/>
    <n v="10"/>
    <x v="0"/>
    <n v="100"/>
    <n v="8.0000000000000007E-5"/>
    <n v="8.0000000000000002E-3"/>
  </r>
  <r>
    <x v="64"/>
    <s v="Gourmet360"/>
    <x v="0"/>
    <x v="63"/>
    <x v="7"/>
    <x v="0"/>
    <m/>
    <m/>
    <m/>
    <s v="DRS4-498"/>
    <s v="Rice Basmati"/>
    <s v="Gram "/>
    <s v="Gram "/>
    <n v="800"/>
    <m/>
    <m/>
    <n v="10"/>
    <x v="0"/>
    <n v="80"/>
    <n v="5.7499999999999999E-3"/>
    <n v="0.45999999999999996"/>
  </r>
  <r>
    <x v="64"/>
    <s v="Gourmet360"/>
    <x v="0"/>
    <x v="63"/>
    <x v="7"/>
    <x v="0"/>
    <m/>
    <m/>
    <m/>
    <s v="TAP-00001"/>
    <s v="Tap Water-Cooking"/>
    <s v="Ml"/>
    <s v="Ml"/>
    <n v="1600"/>
    <m/>
    <m/>
    <n v="10"/>
    <x v="0"/>
    <n v="160"/>
    <n v="8.0000000000000007E-5"/>
    <n v="1.2800000000000001E-2"/>
  </r>
  <r>
    <x v="64"/>
    <s v="Gourmet360"/>
    <x v="0"/>
    <x v="63"/>
    <x v="7"/>
    <x v="0"/>
    <m/>
    <m/>
    <m/>
    <s v="DRS6-3593"/>
    <s v="Spices Bay Leaves"/>
    <s v="Gram "/>
    <s v="Gram "/>
    <n v="1"/>
    <m/>
    <m/>
    <n v="10"/>
    <x v="0"/>
    <n v="0.1"/>
    <n v="8.0000000000000002E-3"/>
    <n v="8.0000000000000004E-4"/>
  </r>
  <r>
    <x v="64"/>
    <s v="Gourmet360"/>
    <x v="0"/>
    <x v="63"/>
    <x v="7"/>
    <x v="0"/>
    <m/>
    <m/>
    <m/>
    <s v="DRS6-260"/>
    <s v="Spices Cinnamon Powder"/>
    <s v="Gram "/>
    <s v="Gram "/>
    <n v="2"/>
    <m/>
    <m/>
    <n v="10"/>
    <x v="0"/>
    <n v="0.2"/>
    <n v="0.02"/>
    <n v="4.0000000000000001E-3"/>
  </r>
  <r>
    <x v="64"/>
    <s v="Gourmet360"/>
    <x v="0"/>
    <x v="63"/>
    <x v="7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65"/>
    <s v="Gourmet360"/>
    <x v="0"/>
    <x v="64"/>
    <x v="7"/>
    <x v="0"/>
    <m/>
    <m/>
    <m/>
    <s v="PLT2-1844"/>
    <s v="Frz Chicken Whole (1200 Gram)"/>
    <s v="Gram "/>
    <s v="Gram "/>
    <n v="100"/>
    <m/>
    <m/>
    <n v="10"/>
    <x v="0"/>
    <n v="10"/>
    <n v="1.43E-2"/>
    <n v="0.14300000000000002"/>
  </r>
  <r>
    <x v="65"/>
    <s v="Gourmet360"/>
    <x v="0"/>
    <x v="64"/>
    <x v="7"/>
    <x v="0"/>
    <m/>
    <m/>
    <m/>
    <s v="PRD1-4265"/>
    <s v="Fresh onion Yellow(Imported)"/>
    <s v="Gram "/>
    <s v="Gram "/>
    <n v="100"/>
    <m/>
    <m/>
    <n v="10"/>
    <x v="0"/>
    <n v="10"/>
    <n v="3.529411764705882E-3"/>
    <n v="3.5294117647058823E-2"/>
  </r>
  <r>
    <x v="65"/>
    <s v="Gourmet360"/>
    <x v="0"/>
    <x v="64"/>
    <x v="7"/>
    <x v="0"/>
    <m/>
    <m/>
    <m/>
    <s v="PRD1-4327"/>
    <s v="Fresh Garlic Peeled"/>
    <s v="Gram "/>
    <s v="Gram "/>
    <n v="20"/>
    <m/>
    <m/>
    <n v="10"/>
    <x v="0"/>
    <n v="2"/>
    <n v="1.2999999999999999E-2"/>
    <n v="2.5999999999999999E-2"/>
  </r>
  <r>
    <x v="65"/>
    <s v="Gourmet360"/>
    <x v="0"/>
    <x v="64"/>
    <x v="7"/>
    <x v="0"/>
    <m/>
    <m/>
    <m/>
    <s v="DRS3-1813"/>
    <s v="Corn Oil (18 Liter)"/>
    <s v="Ml"/>
    <s v="Ml"/>
    <n v="50"/>
    <m/>
    <m/>
    <n v="10"/>
    <x v="0"/>
    <n v="5"/>
    <n v="8.0555555555555554E-3"/>
    <n v="4.0277777777777773E-2"/>
  </r>
  <r>
    <x v="65"/>
    <s v="Gourmet360"/>
    <x v="0"/>
    <x v="64"/>
    <x v="7"/>
    <x v="0"/>
    <m/>
    <m/>
    <m/>
    <s v="TAP-00001"/>
    <s v="Tap Water-Cooking"/>
    <s v="Ml"/>
    <s v="Ml"/>
    <n v="2000"/>
    <m/>
    <m/>
    <n v="10"/>
    <x v="0"/>
    <n v="200"/>
    <n v="8.0000000000000007E-5"/>
    <n v="1.6E-2"/>
  </r>
  <r>
    <x v="65"/>
    <s v="Gourmet360"/>
    <x v="0"/>
    <x v="64"/>
    <x v="7"/>
    <x v="0"/>
    <m/>
    <m/>
    <m/>
    <s v="DRY2-1388"/>
    <s v="Milk UHT Full Fat(1 Liter)"/>
    <s v="Ml"/>
    <s v="Ml"/>
    <n v="1"/>
    <m/>
    <m/>
    <n v="10"/>
    <x v="0"/>
    <n v="0.1"/>
    <n v="4.2500000000000003E-3"/>
    <n v="4.2500000000000003E-4"/>
  </r>
  <r>
    <x v="65"/>
    <s v="Gourmet360"/>
    <x v="0"/>
    <x v="64"/>
    <x v="7"/>
    <x v="0"/>
    <m/>
    <m/>
    <m/>
    <s v="DRS4-1457"/>
    <s v="Rice Egypt"/>
    <s v="Gram "/>
    <s v="Gram "/>
    <n v="1000"/>
    <m/>
    <m/>
    <n v="10"/>
    <x v="0"/>
    <n v="100"/>
    <n v="6.4999999999999997E-3"/>
    <n v="0.65"/>
  </r>
  <r>
    <x v="65"/>
    <s v="Gourmet360"/>
    <x v="0"/>
    <x v="64"/>
    <x v="7"/>
    <x v="0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65"/>
    <s v="Gourmet360"/>
    <x v="0"/>
    <x v="64"/>
    <x v="7"/>
    <x v="0"/>
    <m/>
    <m/>
    <m/>
    <s v="DRS6-309"/>
    <s v="Spice Pepper White Powder"/>
    <s v="Gram "/>
    <s v="Gram "/>
    <n v="3"/>
    <m/>
    <m/>
    <n v="10"/>
    <x v="0"/>
    <n v="0.3"/>
    <n v="2.8000000000000001E-2"/>
    <n v="8.3999999999999995E-3"/>
  </r>
  <r>
    <x v="65"/>
    <s v="Gourmet360"/>
    <x v="0"/>
    <x v="64"/>
    <x v="7"/>
    <x v="0"/>
    <m/>
    <m/>
    <m/>
    <s v="DRS1-3811"/>
    <s v="Chicken Stock Powder(Packet)"/>
    <s v="Gram "/>
    <s v="Gram "/>
    <n v="30"/>
    <m/>
    <m/>
    <n v="10"/>
    <x v="0"/>
    <n v="3"/>
    <n v="2.8475E-2"/>
    <n v="8.5425000000000001E-2"/>
  </r>
  <r>
    <x v="65"/>
    <s v="Gourmet360"/>
    <x v="0"/>
    <x v="64"/>
    <x v="7"/>
    <x v="0"/>
    <m/>
    <m/>
    <m/>
    <s v="DRS5-3866"/>
    <s v="Mashed Potato Flakes"/>
    <s v="Gram "/>
    <s v="Gram "/>
    <n v="300"/>
    <m/>
    <m/>
    <n v="10"/>
    <x v="0"/>
    <n v="30"/>
    <n v="0.02"/>
    <n v="0.6"/>
  </r>
  <r>
    <x v="65"/>
    <s v="Gourmet360"/>
    <x v="0"/>
    <x v="64"/>
    <x v="7"/>
    <x v="0"/>
    <m/>
    <m/>
    <m/>
    <s v="PRD1-186"/>
    <s v="Fresh Carrot Imported"/>
    <s v="Gram "/>
    <s v="Gram "/>
    <n v="1000"/>
    <m/>
    <m/>
    <n v="10"/>
    <x v="0"/>
    <n v="100"/>
    <n v="5.8139534883720938E-3"/>
    <n v="0.58139534883720934"/>
  </r>
  <r>
    <x v="65"/>
    <s v="Gourmet360"/>
    <x v="0"/>
    <x v="64"/>
    <x v="7"/>
    <x v="0"/>
    <m/>
    <m/>
    <m/>
    <s v="TAP-00001"/>
    <s v="Tap Water-Cooking"/>
    <s v="Ml"/>
    <s v="Ml"/>
    <n v="3000"/>
    <m/>
    <m/>
    <n v="10"/>
    <x v="0"/>
    <n v="300"/>
    <n v="8.0000000000000007E-5"/>
    <n v="2.4E-2"/>
  </r>
  <r>
    <x v="65"/>
    <s v="Gourmet360"/>
    <x v="0"/>
    <x v="64"/>
    <x v="7"/>
    <x v="0"/>
    <m/>
    <m/>
    <m/>
    <s v="DRS6-309"/>
    <s v="Spice Pepper White Powder"/>
    <s v="Gram "/>
    <s v="Gram "/>
    <n v="3"/>
    <m/>
    <m/>
    <n v="10"/>
    <x v="0"/>
    <n v="0.3"/>
    <n v="2.8000000000000001E-2"/>
    <n v="8.3999999999999995E-3"/>
  </r>
  <r>
    <x v="65"/>
    <s v="Gourmet360"/>
    <x v="0"/>
    <x v="64"/>
    <x v="7"/>
    <x v="0"/>
    <m/>
    <m/>
    <m/>
    <s v="DRS1-3880"/>
    <s v="Salt "/>
    <s v="Gram "/>
    <s v="Gram "/>
    <n v="30"/>
    <m/>
    <m/>
    <n v="10"/>
    <x v="0"/>
    <n v="3"/>
    <n v="5.0000000000000001E-4"/>
    <n v="1.5E-3"/>
  </r>
  <r>
    <x v="65"/>
    <s v="Gourmet360"/>
    <x v="0"/>
    <x v="64"/>
    <x v="7"/>
    <x v="0"/>
    <m/>
    <m/>
    <m/>
    <s v="DRY2-1858"/>
    <s v="Cooking Cream 1 Ltr"/>
    <s v="Ml"/>
    <s v="Ml"/>
    <n v="100"/>
    <m/>
    <m/>
    <n v="10"/>
    <x v="0"/>
    <n v="10"/>
    <n v="9.8800000000000016E-3"/>
    <n v="9.8800000000000013E-2"/>
  </r>
  <r>
    <x v="66"/>
    <s v="Gourmet360"/>
    <x v="0"/>
    <x v="65"/>
    <x v="7"/>
    <x v="0"/>
    <m/>
    <m/>
    <m/>
    <s v="PLT2-3278"/>
    <s v="Frz Chicken Breast Tender (KG)"/>
    <s v="Gram "/>
    <s v="Gram "/>
    <n v="1000"/>
    <m/>
    <m/>
    <n v="15"/>
    <x v="0"/>
    <n v="66.666666666666671"/>
    <n v="3.0357142857142853E-2"/>
    <n v="2.0238095238095237"/>
  </r>
  <r>
    <x v="66"/>
    <s v="Gourmet360"/>
    <x v="0"/>
    <x v="65"/>
    <x v="7"/>
    <x v="0"/>
    <m/>
    <m/>
    <m/>
    <s v="DRS4-1457"/>
    <s v="Rice Egypt"/>
    <s v="Gram "/>
    <s v="Gram "/>
    <n v="1000"/>
    <m/>
    <m/>
    <n v="15"/>
    <x v="0"/>
    <n v="66.666666666666671"/>
    <n v="6.4999999999999997E-3"/>
    <n v="0.43333333333333335"/>
  </r>
  <r>
    <x v="66"/>
    <s v="Gourmet360"/>
    <x v="0"/>
    <x v="65"/>
    <x v="7"/>
    <x v="0"/>
    <m/>
    <m/>
    <m/>
    <s v="TAP-00001"/>
    <s v="Tap Water-Cooking"/>
    <s v="Ml"/>
    <s v="Ml"/>
    <n v="5000"/>
    <m/>
    <m/>
    <n v="15"/>
    <x v="0"/>
    <n v="333.33333333333331"/>
    <n v="8.0000000000000007E-5"/>
    <n v="2.6666666666666668E-2"/>
  </r>
  <r>
    <x v="66"/>
    <s v="Gourmet360"/>
    <x v="0"/>
    <x v="65"/>
    <x v="7"/>
    <x v="0"/>
    <m/>
    <m/>
    <m/>
    <s v="PRD1-186"/>
    <s v="Fresh Carrot Imported"/>
    <s v="Gram "/>
    <s v="Gram "/>
    <n v="100"/>
    <m/>
    <m/>
    <n v="15"/>
    <x v="0"/>
    <n v="6.666666666666667"/>
    <n v="5.8139534883720938E-3"/>
    <n v="3.8759689922480627E-2"/>
  </r>
  <r>
    <x v="66"/>
    <s v="Gourmet360"/>
    <x v="0"/>
    <x v="65"/>
    <x v="7"/>
    <x v="0"/>
    <m/>
    <m/>
    <m/>
    <s v="PRD1-232"/>
    <s v="Fresh Pumpkin"/>
    <s v="Gram "/>
    <s v="Gram "/>
    <n v="100"/>
    <m/>
    <m/>
    <n v="15"/>
    <x v="0"/>
    <n v="6.666666666666667"/>
    <n v="4.4444444444444444E-3"/>
    <n v="2.9629629629629631E-2"/>
  </r>
  <r>
    <x v="66"/>
    <s v="Gourmet360"/>
    <x v="0"/>
    <x v="65"/>
    <x v="7"/>
    <x v="0"/>
    <m/>
    <m/>
    <m/>
    <s v="TAP-00001"/>
    <s v="Tap Water-Cooking"/>
    <s v="Ml"/>
    <s v="Ml"/>
    <n v="600"/>
    <m/>
    <m/>
    <n v="15"/>
    <x v="0"/>
    <n v="40"/>
    <n v="8.0000000000000007E-5"/>
    <n v="3.2000000000000002E-3"/>
  </r>
  <r>
    <x v="66"/>
    <s v="Gourmet360"/>
    <x v="0"/>
    <x v="65"/>
    <x v="7"/>
    <x v="0"/>
    <m/>
    <m/>
    <m/>
    <s v="DRS5-59"/>
    <s v="Milk Powder"/>
    <s v="Gram "/>
    <s v="Gram "/>
    <n v="25"/>
    <m/>
    <m/>
    <n v="15"/>
    <x v="0"/>
    <n v="1.6666666666666667"/>
    <n v="1.4319999999999999E-2"/>
    <n v="2.3866666666666668E-2"/>
  </r>
  <r>
    <x v="66"/>
    <s v="Gourmet360"/>
    <x v="0"/>
    <x v="65"/>
    <x v="7"/>
    <x v="0"/>
    <m/>
    <m/>
    <m/>
    <s v="DRS6-309"/>
    <s v="Spice Pepper White Powder"/>
    <s v="Gram "/>
    <s v="Gram "/>
    <n v="1"/>
    <m/>
    <m/>
    <n v="15"/>
    <x v="0"/>
    <n v="6.6666666666666666E-2"/>
    <n v="2.8000000000000001E-2"/>
    <n v="1.8666666666666666E-3"/>
  </r>
  <r>
    <x v="66"/>
    <s v="Gourmet360"/>
    <x v="0"/>
    <x v="65"/>
    <x v="7"/>
    <x v="0"/>
    <m/>
    <m/>
    <m/>
    <s v="DRS1-3880"/>
    <s v="Salt "/>
    <s v="Gram "/>
    <s v="Gram "/>
    <n v="6"/>
    <m/>
    <m/>
    <n v="15"/>
    <x v="0"/>
    <n v="0.4"/>
    <n v="5.0000000000000001E-4"/>
    <n v="2.0000000000000001E-4"/>
  </r>
  <r>
    <x v="66"/>
    <s v="Gourmet360"/>
    <x v="0"/>
    <x v="65"/>
    <x v="7"/>
    <x v="0"/>
    <m/>
    <m/>
    <m/>
    <s v="DRY2-1008"/>
    <s v="Butter 82% Fat(Unsalted) 25 kg"/>
    <s v="Gram "/>
    <s v="Gram "/>
    <n v="25"/>
    <m/>
    <m/>
    <n v="15"/>
    <x v="0"/>
    <n v="1.6666666666666667"/>
    <n v="0.03"/>
    <n v="0.05"/>
  </r>
  <r>
    <x v="66"/>
    <s v="Gourmet360"/>
    <x v="0"/>
    <x v="65"/>
    <x v="7"/>
    <x v="0"/>
    <m/>
    <m/>
    <m/>
    <s v="DRY2-1858"/>
    <s v="Cooking Cream 1 Ltr"/>
    <s v="Ml"/>
    <s v="Ml"/>
    <n v="25"/>
    <m/>
    <m/>
    <n v="15"/>
    <x v="0"/>
    <n v="1.6666666666666667"/>
    <n v="9.8800000000000016E-3"/>
    <n v="1.6466666666666671E-2"/>
  </r>
  <r>
    <x v="66"/>
    <s v="Gourmet360"/>
    <x v="0"/>
    <x v="65"/>
    <x v="7"/>
    <x v="0"/>
    <m/>
    <m/>
    <m/>
    <s v="DRS5-3866"/>
    <s v="Mashed Potato Flakes"/>
    <s v="Gram "/>
    <s v="Gram "/>
    <n v="150"/>
    <m/>
    <m/>
    <n v="15"/>
    <x v="0"/>
    <n v="10"/>
    <n v="0.02"/>
    <n v="0.2"/>
  </r>
  <r>
    <x v="67"/>
    <s v="Gourmet360"/>
    <x v="0"/>
    <x v="66"/>
    <x v="7"/>
    <x v="0"/>
    <m/>
    <m/>
    <m/>
    <s v="PLT2-1844"/>
    <s v="Frz Chicken Whole (1200 Gram)"/>
    <s v="Gram "/>
    <s v="Gram "/>
    <n v="2750"/>
    <m/>
    <m/>
    <n v="10"/>
    <x v="0"/>
    <n v="275"/>
    <n v="1.43E-2"/>
    <n v="3.9325000000000001"/>
  </r>
  <r>
    <x v="67"/>
    <s v="Gourmet360"/>
    <x v="0"/>
    <x v="66"/>
    <x v="7"/>
    <x v="0"/>
    <m/>
    <m/>
    <m/>
    <s v="DRS4-498"/>
    <s v="Rice Basmati"/>
    <s v="Gram "/>
    <s v="Gram "/>
    <n v="900"/>
    <m/>
    <m/>
    <n v="10"/>
    <x v="0"/>
    <n v="90"/>
    <n v="5.7499999999999999E-3"/>
    <n v="0.51749999999999996"/>
  </r>
  <r>
    <x v="67"/>
    <s v="Gourmet360"/>
    <x v="0"/>
    <x v="66"/>
    <x v="7"/>
    <x v="0"/>
    <m/>
    <m/>
    <m/>
    <s v="PRD1-4265"/>
    <s v="Fresh onion Yellow(Imported)"/>
    <s v="Gram "/>
    <s v="Gram "/>
    <n v="75"/>
    <m/>
    <m/>
    <n v="10"/>
    <x v="0"/>
    <n v="7.5"/>
    <n v="3.529411764705882E-3"/>
    <n v="2.6470588235294114E-2"/>
  </r>
  <r>
    <x v="67"/>
    <s v="Gourmet360"/>
    <x v="0"/>
    <x v="66"/>
    <x v="7"/>
    <x v="0"/>
    <m/>
    <m/>
    <m/>
    <s v="PRD1-4327"/>
    <s v="Fresh Garlic Peeled"/>
    <s v="Gram "/>
    <s v="Gram "/>
    <n v="10"/>
    <m/>
    <m/>
    <n v="10"/>
    <x v="0"/>
    <n v="1"/>
    <n v="1.2999999999999999E-2"/>
    <n v="1.2999999999999999E-2"/>
  </r>
  <r>
    <x v="67"/>
    <s v="Gourmet360"/>
    <x v="0"/>
    <x v="66"/>
    <x v="7"/>
    <x v="0"/>
    <m/>
    <m/>
    <m/>
    <s v="DRS1-3880"/>
    <s v="Salt "/>
    <s v="Gram "/>
    <s v="Gram "/>
    <n v="20"/>
    <m/>
    <m/>
    <n v="10"/>
    <x v="0"/>
    <n v="2"/>
    <n v="5.0000000000000001E-4"/>
    <n v="1E-3"/>
  </r>
  <r>
    <x v="67"/>
    <s v="Gourmet360"/>
    <x v="0"/>
    <x v="66"/>
    <x v="7"/>
    <x v="0"/>
    <m/>
    <m/>
    <m/>
    <s v="DRS1-3811"/>
    <s v="Chicken Stock Powder(Packet)"/>
    <s v="Gram "/>
    <s v="Gram "/>
    <n v="7"/>
    <m/>
    <m/>
    <n v="10"/>
    <x v="0"/>
    <n v="0.7"/>
    <n v="2.8475E-2"/>
    <n v="1.9932499999999999E-2"/>
  </r>
  <r>
    <x v="67"/>
    <s v="Gourmet360"/>
    <x v="0"/>
    <x v="66"/>
    <x v="7"/>
    <x v="0"/>
    <m/>
    <m/>
    <m/>
    <s v="DRS6-1650"/>
    <s v="Spice Kabsa Mix"/>
    <s v="Gram "/>
    <s v="Gram "/>
    <n v="10"/>
    <m/>
    <m/>
    <n v="10"/>
    <x v="0"/>
    <n v="1"/>
    <n v="4.4999999999999998E-2"/>
    <n v="4.4999999999999998E-2"/>
  </r>
  <r>
    <x v="67"/>
    <s v="Gourmet360"/>
    <x v="0"/>
    <x v="66"/>
    <x v="7"/>
    <x v="0"/>
    <m/>
    <m/>
    <m/>
    <s v="DRS1-1747"/>
    <s v="Can Tomato Paste (4500 Gram)"/>
    <s v="Gram "/>
    <s v="Gram "/>
    <n v="60"/>
    <m/>
    <m/>
    <n v="10"/>
    <x v="0"/>
    <n v="6"/>
    <n v="5.185185185185185E-3"/>
    <n v="3.111111111111111E-2"/>
  </r>
  <r>
    <x v="67"/>
    <s v="Gourmet360"/>
    <x v="0"/>
    <x v="66"/>
    <x v="7"/>
    <x v="0"/>
    <m/>
    <m/>
    <m/>
    <s v="PRD1-572"/>
    <s v="Fresh Tomato "/>
    <s v="Gram "/>
    <s v="Gram "/>
    <n v="250"/>
    <m/>
    <m/>
    <n v="10"/>
    <x v="0"/>
    <n v="25"/>
    <n v="4.5351473922902496E-3"/>
    <n v="0.11337868480725624"/>
  </r>
  <r>
    <x v="67"/>
    <s v="Gourmet360"/>
    <x v="0"/>
    <x v="66"/>
    <x v="7"/>
    <x v="0"/>
    <m/>
    <m/>
    <m/>
    <s v="PRD1-3546"/>
    <s v="Fresh Baby Carrot"/>
    <s v="Gram "/>
    <s v="Gram "/>
    <n v="150"/>
    <m/>
    <m/>
    <n v="10"/>
    <x v="0"/>
    <n v="15"/>
    <n v="0.04"/>
    <n v="0.6"/>
  </r>
  <r>
    <x v="67"/>
    <s v="Gourmet360"/>
    <x v="0"/>
    <x v="66"/>
    <x v="7"/>
    <x v="0"/>
    <m/>
    <m/>
    <m/>
    <s v="PRD1-240"/>
    <s v="Fresh Sweet Pepper Red "/>
    <s v="Gram "/>
    <s v="Gram "/>
    <n v="100"/>
    <m/>
    <m/>
    <n v="10"/>
    <x v="0"/>
    <n v="10"/>
    <n v="1.3293943870014769E-2"/>
    <n v="0.13293943870014768"/>
  </r>
  <r>
    <x v="67"/>
    <s v="Gourmet360"/>
    <x v="0"/>
    <x v="66"/>
    <x v="7"/>
    <x v="0"/>
    <m/>
    <m/>
    <m/>
    <s v="TAP-00001"/>
    <s v="Tap Water-Cooking"/>
    <s v="Ml"/>
    <s v="Ml"/>
    <n v="1500"/>
    <m/>
    <m/>
    <n v="10"/>
    <x v="0"/>
    <n v="150"/>
    <n v="8.0000000000000007E-5"/>
    <n v="1.2E-2"/>
  </r>
  <r>
    <x v="67"/>
    <s v="Gourmet360"/>
    <x v="0"/>
    <x v="66"/>
    <x v="7"/>
    <x v="0"/>
    <m/>
    <m/>
    <m/>
    <s v="DRS6-539"/>
    <s v="Spices Cardamon Seeds"/>
    <s v="Gram "/>
    <s v="Gram "/>
    <n v="2"/>
    <m/>
    <m/>
    <n v="10"/>
    <x v="0"/>
    <n v="0.2"/>
    <n v="0.16"/>
    <n v="3.2000000000000001E-2"/>
  </r>
  <r>
    <x v="67"/>
    <s v="Gourmet360"/>
    <x v="0"/>
    <x v="66"/>
    <x v="7"/>
    <x v="0"/>
    <m/>
    <m/>
    <m/>
    <s v="PRD3-1675"/>
    <s v="Dry Lemon Black(1 Kg)"/>
    <s v="Gram "/>
    <s v="Gram "/>
    <n v="2"/>
    <m/>
    <m/>
    <n v="10"/>
    <x v="0"/>
    <n v="0.2"/>
    <n v="1.2E-2"/>
    <n v="2.4000000000000002E-3"/>
  </r>
  <r>
    <x v="67"/>
    <s v="Gourmet360"/>
    <x v="0"/>
    <x v="66"/>
    <x v="7"/>
    <x v="0"/>
    <m/>
    <m/>
    <m/>
    <s v="PRD1-239"/>
    <s v="Fresh Sweet Pepper Green"/>
    <s v="Gram "/>
    <s v="Gram "/>
    <n v="100"/>
    <m/>
    <m/>
    <n v="10"/>
    <x v="0"/>
    <n v="10"/>
    <n v="6.6864784546805346E-3"/>
    <n v="6.6864784546805348E-2"/>
  </r>
  <r>
    <x v="67"/>
    <s v="Gourmet360"/>
    <x v="0"/>
    <x v="66"/>
    <x v="7"/>
    <x v="0"/>
    <m/>
    <m/>
    <m/>
    <s v="PRD1-241"/>
    <s v="Fresh Sweet Pepper Yellow"/>
    <s v="Gram "/>
    <s v="Gram "/>
    <n v="100"/>
    <m/>
    <m/>
    <n v="10"/>
    <x v="0"/>
    <n v="10"/>
    <n v="1.3196480938416421E-2"/>
    <n v="0.13196480938416422"/>
  </r>
  <r>
    <x v="67"/>
    <s v="Gourmet360"/>
    <x v="0"/>
    <x v="66"/>
    <x v="7"/>
    <x v="0"/>
    <m/>
    <m/>
    <m/>
    <s v="PRD1-572"/>
    <s v="Fresh Tomato "/>
    <s v="Gram "/>
    <s v="Gram "/>
    <n v="250"/>
    <m/>
    <m/>
    <n v="10"/>
    <x v="0"/>
    <n v="25"/>
    <n v="4.5351473922902496E-3"/>
    <n v="0.11337868480725624"/>
  </r>
  <r>
    <x v="67"/>
    <s v="Gourmet360"/>
    <x v="0"/>
    <x v="66"/>
    <x v="7"/>
    <x v="0"/>
    <m/>
    <m/>
    <m/>
    <s v="PRD1-195"/>
    <s v="Fresh Coriander "/>
    <s v="Gram "/>
    <s v="Gram "/>
    <n v="10"/>
    <m/>
    <m/>
    <n v="10"/>
    <x v="0"/>
    <n v="1"/>
    <n v="9.3676814988290415E-3"/>
    <n v="9.3676814988290415E-3"/>
  </r>
  <r>
    <x v="67"/>
    <s v="Gourmet360"/>
    <x v="0"/>
    <x v="66"/>
    <x v="7"/>
    <x v="0"/>
    <m/>
    <m/>
    <m/>
    <s v="PRD1-4265"/>
    <s v="Fresh onion Yellow(Imported)"/>
    <s v="Gram "/>
    <s v="Gram "/>
    <n v="100"/>
    <m/>
    <m/>
    <n v="10"/>
    <x v="0"/>
    <n v="10"/>
    <n v="3.529411764705882E-3"/>
    <n v="3.5294117647058823E-2"/>
  </r>
  <r>
    <x v="67"/>
    <s v="Gourmet360"/>
    <x v="0"/>
    <x v="66"/>
    <x v="7"/>
    <x v="0"/>
    <m/>
    <m/>
    <m/>
    <s v="DRS1-3880"/>
    <s v="Salt "/>
    <s v="Gram "/>
    <s v="Gram "/>
    <n v="3"/>
    <m/>
    <m/>
    <n v="10"/>
    <x v="0"/>
    <n v="0.3"/>
    <n v="5.0000000000000001E-4"/>
    <n v="1.4999999999999999E-4"/>
  </r>
  <r>
    <x v="67"/>
    <s v="Gourmet360"/>
    <x v="0"/>
    <x v="66"/>
    <x v="7"/>
    <x v="0"/>
    <m/>
    <m/>
    <m/>
    <s v="PRD1-591"/>
    <s v="Fresh Green Chili Spic"/>
    <s v="Gram "/>
    <s v="Gram "/>
    <n v="20"/>
    <m/>
    <m/>
    <n v="10"/>
    <x v="0"/>
    <n v="2"/>
    <n v="7.0588235294117641E-3"/>
    <n v="1.4117647058823528E-2"/>
  </r>
  <r>
    <x v="68"/>
    <s v="Gourmet360"/>
    <x v="0"/>
    <x v="67"/>
    <x v="7"/>
    <x v="0"/>
    <m/>
    <m/>
    <m/>
    <s v="MET2-585"/>
    <s v="Frz Beef Topside"/>
    <s v="Gram "/>
    <s v="Gram "/>
    <n v="250"/>
    <m/>
    <m/>
    <n v="10"/>
    <x v="0"/>
    <n v="25"/>
    <n v="4.2630057803468215E-2"/>
    <n v="1.0657514450867054"/>
  </r>
  <r>
    <x v="68"/>
    <s v="Gourmet360"/>
    <x v="0"/>
    <x v="67"/>
    <x v="7"/>
    <x v="0"/>
    <m/>
    <m/>
    <m/>
    <s v="PRD1-4265"/>
    <s v="Fresh onion Yellow(Imported)"/>
    <s v="Gram "/>
    <s v="Gram "/>
    <n v="100"/>
    <m/>
    <m/>
    <n v="10"/>
    <x v="0"/>
    <n v="10"/>
    <n v="3.529411764705882E-3"/>
    <n v="3.5294117647058823E-2"/>
  </r>
  <r>
    <x v="68"/>
    <s v="Gourmet360"/>
    <x v="0"/>
    <x v="67"/>
    <x v="7"/>
    <x v="0"/>
    <m/>
    <m/>
    <m/>
    <s v="TAP-00001"/>
    <s v="Tap Water-Cooking"/>
    <s v="Ml"/>
    <s v="Ml"/>
    <n v="1400"/>
    <m/>
    <m/>
    <n v="10"/>
    <x v="0"/>
    <n v="140"/>
    <n v="8.0000000000000007E-5"/>
    <n v="1.1200000000000002E-2"/>
  </r>
  <r>
    <x v="68"/>
    <s v="Gourmet360"/>
    <x v="0"/>
    <x v="67"/>
    <x v="7"/>
    <x v="0"/>
    <m/>
    <m/>
    <m/>
    <s v="DRS1-3813"/>
    <s v="Beef Stock Powder(Packet)"/>
    <s v="Gram "/>
    <s v="Gram "/>
    <n v="10"/>
    <m/>
    <m/>
    <n v="10"/>
    <x v="0"/>
    <n v="1"/>
    <n v="4.4441666666666664E-2"/>
    <n v="4.4441666666666664E-2"/>
  </r>
  <r>
    <x v="68"/>
    <s v="Gourmet360"/>
    <x v="0"/>
    <x v="67"/>
    <x v="7"/>
    <x v="0"/>
    <m/>
    <m/>
    <m/>
    <s v="DRS1-1747"/>
    <s v="Can Tomato Paste (4500 Gram)"/>
    <s v="Gram "/>
    <s v="Gram "/>
    <n v="60"/>
    <m/>
    <m/>
    <n v="10"/>
    <x v="0"/>
    <n v="6"/>
    <n v="5.185185185185185E-3"/>
    <n v="3.111111111111111E-2"/>
  </r>
  <r>
    <x v="68"/>
    <s v="Gourmet360"/>
    <x v="0"/>
    <x v="67"/>
    <x v="7"/>
    <x v="0"/>
    <m/>
    <m/>
    <m/>
    <s v="PRD1-186"/>
    <s v="Fresh Carrot Imported"/>
    <s v="Gram "/>
    <s v="Gram "/>
    <n v="125"/>
    <m/>
    <m/>
    <n v="10"/>
    <x v="0"/>
    <n v="12.5"/>
    <n v="5.8139534883720938E-3"/>
    <n v="7.2674418604651167E-2"/>
  </r>
  <r>
    <x v="68"/>
    <s v="Gourmet360"/>
    <x v="0"/>
    <x v="67"/>
    <x v="7"/>
    <x v="0"/>
    <m/>
    <m/>
    <m/>
    <s v="DRS5-3866"/>
    <s v="Mashed Potato Flakes"/>
    <s v="Gram "/>
    <s v="Gram "/>
    <n v="150"/>
    <m/>
    <m/>
    <n v="10"/>
    <x v="0"/>
    <n v="15"/>
    <n v="0.02"/>
    <n v="0.3"/>
  </r>
  <r>
    <x v="68"/>
    <s v="Gourmet360"/>
    <x v="0"/>
    <x v="67"/>
    <x v="7"/>
    <x v="0"/>
    <m/>
    <m/>
    <m/>
    <s v="PRD1-230"/>
    <s v="Fresh Potato"/>
    <s v="Gram "/>
    <s v="Gram "/>
    <n v="300"/>
    <m/>
    <m/>
    <n v="10"/>
    <x v="0"/>
    <n v="30"/>
    <n v="3.3738191632928472E-3"/>
    <n v="0.10121457489878542"/>
  </r>
  <r>
    <x v="68"/>
    <s v="Gourmet360"/>
    <x v="0"/>
    <x v="67"/>
    <x v="7"/>
    <x v="0"/>
    <m/>
    <m/>
    <m/>
    <s v="PRD1-4265"/>
    <s v="Fresh onion Yellow(Imported)"/>
    <s v="Gram "/>
    <s v="Gram "/>
    <n v="125"/>
    <m/>
    <m/>
    <n v="10"/>
    <x v="0"/>
    <n v="12.5"/>
    <n v="3.529411764705882E-3"/>
    <n v="4.4117647058823525E-2"/>
  </r>
  <r>
    <x v="68"/>
    <s v="Gourmet360"/>
    <x v="0"/>
    <x v="67"/>
    <x v="7"/>
    <x v="0"/>
    <m/>
    <m/>
    <m/>
    <s v="TAP-00001"/>
    <s v="Tap Water-Cooking"/>
    <s v="Ml"/>
    <s v="Ml"/>
    <n v="600"/>
    <m/>
    <m/>
    <n v="10"/>
    <x v="0"/>
    <n v="60"/>
    <n v="8.0000000000000007E-5"/>
    <n v="4.8000000000000004E-3"/>
  </r>
  <r>
    <x v="68"/>
    <s v="Gourmet360"/>
    <x v="0"/>
    <x v="67"/>
    <x v="7"/>
    <x v="0"/>
    <m/>
    <m/>
    <m/>
    <s v="DRS5-59"/>
    <s v="Milk Powder"/>
    <s v="Gram "/>
    <s v="Gram "/>
    <n v="75"/>
    <m/>
    <m/>
    <n v="10"/>
    <x v="0"/>
    <n v="7.5"/>
    <n v="1.4319999999999999E-2"/>
    <n v="0.1074"/>
  </r>
  <r>
    <x v="68"/>
    <s v="Gourmet360"/>
    <x v="0"/>
    <x v="67"/>
    <x v="7"/>
    <x v="0"/>
    <m/>
    <m/>
    <m/>
    <s v="PRD1-232"/>
    <s v="Fresh Pumpkin"/>
    <s v="Gram "/>
    <s v="Gram "/>
    <n v="100"/>
    <m/>
    <m/>
    <n v="10"/>
    <x v="0"/>
    <n v="10"/>
    <n v="4.4444444444444444E-3"/>
    <n v="4.4444444444444446E-2"/>
  </r>
  <r>
    <x v="68"/>
    <s v="Gourmet360"/>
    <x v="0"/>
    <x v="67"/>
    <x v="7"/>
    <x v="0"/>
    <m/>
    <m/>
    <m/>
    <s v="PRD1-186"/>
    <s v="Fresh Carrot Imported"/>
    <s v="Gram "/>
    <s v="Gram "/>
    <n v="100"/>
    <m/>
    <m/>
    <n v="10"/>
    <x v="0"/>
    <n v="10"/>
    <n v="5.8139534883720938E-3"/>
    <n v="5.8139534883720936E-2"/>
  </r>
  <r>
    <x v="68"/>
    <s v="Gourmet360"/>
    <x v="0"/>
    <x v="67"/>
    <x v="7"/>
    <x v="0"/>
    <m/>
    <m/>
    <m/>
    <s v="DRS5-3866"/>
    <s v="Mashed Potato Flakes"/>
    <s v="Gram "/>
    <s v="Gram "/>
    <n v="150"/>
    <m/>
    <m/>
    <n v="10"/>
    <x v="0"/>
    <n v="15"/>
    <n v="0.02"/>
    <n v="0.3"/>
  </r>
  <r>
    <x v="68"/>
    <s v="Gourmet360"/>
    <x v="0"/>
    <x v="67"/>
    <x v="7"/>
    <x v="0"/>
    <m/>
    <m/>
    <m/>
    <s v="TAP-00001"/>
    <s v="Tap Water-Cooking"/>
    <s v="Ml"/>
    <s v="Ml"/>
    <n v="2000"/>
    <m/>
    <m/>
    <n v="10"/>
    <x v="0"/>
    <n v="200"/>
    <n v="8.0000000000000007E-5"/>
    <n v="1.6E-2"/>
  </r>
  <r>
    <x v="68"/>
    <s v="Gourmet360"/>
    <x v="0"/>
    <x v="67"/>
    <x v="7"/>
    <x v="0"/>
    <m/>
    <m/>
    <m/>
    <s v="DRS6-309"/>
    <s v="Spice Pepper White Powder"/>
    <s v="Gram "/>
    <s v="Gram "/>
    <n v="1"/>
    <m/>
    <m/>
    <n v="10"/>
    <x v="0"/>
    <n v="0.1"/>
    <n v="2.8000000000000001E-2"/>
    <n v="2.8000000000000004E-3"/>
  </r>
  <r>
    <x v="68"/>
    <s v="Gourmet360"/>
    <x v="0"/>
    <x v="67"/>
    <x v="7"/>
    <x v="0"/>
    <m/>
    <m/>
    <m/>
    <s v="DRY2-1858"/>
    <s v="Cooking Cream 1 Ltr"/>
    <s v="Ml"/>
    <s v="Ml"/>
    <n v="75"/>
    <m/>
    <m/>
    <n v="10"/>
    <x v="0"/>
    <n v="7.5"/>
    <n v="9.8800000000000016E-3"/>
    <n v="7.4100000000000013E-2"/>
  </r>
  <r>
    <x v="68"/>
    <s v="Gourmet360"/>
    <x v="0"/>
    <x v="67"/>
    <x v="7"/>
    <x v="0"/>
    <m/>
    <m/>
    <m/>
    <s v="DRY2-1008"/>
    <s v="Butter 82% Fat(Unsalted) 25 kg"/>
    <s v="Gram "/>
    <s v="Gram "/>
    <n v="25"/>
    <m/>
    <m/>
    <n v="10"/>
    <x v="0"/>
    <n v="2.5"/>
    <n v="0.03"/>
    <n v="7.4999999999999997E-2"/>
  </r>
  <r>
    <x v="69"/>
    <s v="Gourmet360"/>
    <x v="0"/>
    <x v="68"/>
    <x v="7"/>
    <x v="0"/>
    <m/>
    <m/>
    <m/>
    <s v="PLT2-3278"/>
    <s v="Frz Chicken Breast Tender (KG)"/>
    <s v="Gram "/>
    <s v="Gram "/>
    <n v="1200"/>
    <m/>
    <m/>
    <n v="10"/>
    <x v="0"/>
    <n v="120"/>
    <n v="3.0357142857142853E-2"/>
    <n v="3.6428571428571423"/>
  </r>
  <r>
    <x v="69"/>
    <s v="Gourmet360"/>
    <x v="0"/>
    <x v="68"/>
    <x v="7"/>
    <x v="0"/>
    <m/>
    <m/>
    <m/>
    <s v="DRS4-1457"/>
    <s v="Rice Egypt"/>
    <s v="Gram "/>
    <s v="Gram "/>
    <n v="100"/>
    <m/>
    <m/>
    <n v="10"/>
    <x v="0"/>
    <n v="10"/>
    <n v="6.4999999999999997E-3"/>
    <n v="6.5000000000000002E-2"/>
  </r>
  <r>
    <x v="69"/>
    <s v="Gourmet360"/>
    <x v="0"/>
    <x v="68"/>
    <x v="7"/>
    <x v="0"/>
    <m/>
    <m/>
    <m/>
    <s v="TAP-00001"/>
    <s v="Tap Water-Cooking"/>
    <s v="Ml"/>
    <s v="Ml"/>
    <n v="2500"/>
    <m/>
    <m/>
    <n v="10"/>
    <x v="0"/>
    <n v="250"/>
    <n v="8.0000000000000007E-5"/>
    <n v="0.02"/>
  </r>
  <r>
    <x v="69"/>
    <s v="Gourmet360"/>
    <x v="0"/>
    <x v="68"/>
    <x v="7"/>
    <x v="0"/>
    <m/>
    <m/>
    <m/>
    <s v="TAP-00001"/>
    <s v="Tap Water-Cooking"/>
    <s v="Ml"/>
    <s v="Ml"/>
    <n v="600"/>
    <m/>
    <m/>
    <n v="10"/>
    <x v="0"/>
    <n v="60"/>
    <n v="8.0000000000000007E-5"/>
    <n v="4.8000000000000004E-3"/>
  </r>
  <r>
    <x v="69"/>
    <s v="Gourmet360"/>
    <x v="0"/>
    <x v="68"/>
    <x v="7"/>
    <x v="0"/>
    <m/>
    <m/>
    <m/>
    <s v="DRS5-59"/>
    <s v="Milk Powder"/>
    <s v="Gram "/>
    <s v="Gram "/>
    <n v="72"/>
    <m/>
    <m/>
    <n v="10"/>
    <x v="0"/>
    <n v="7.2"/>
    <n v="1.4319999999999999E-2"/>
    <n v="0.103104"/>
  </r>
  <r>
    <x v="69"/>
    <s v="Gourmet360"/>
    <x v="0"/>
    <x v="68"/>
    <x v="7"/>
    <x v="0"/>
    <m/>
    <m/>
    <m/>
    <s v="DRS6-309"/>
    <s v="Spice Pepper White Powder"/>
    <s v="Gram "/>
    <s v="Gram "/>
    <n v="1"/>
    <m/>
    <m/>
    <n v="10"/>
    <x v="0"/>
    <n v="0.1"/>
    <n v="2.8000000000000001E-2"/>
    <n v="2.8000000000000004E-3"/>
  </r>
  <r>
    <x v="69"/>
    <s v="Gourmet360"/>
    <x v="0"/>
    <x v="68"/>
    <x v="7"/>
    <x v="0"/>
    <m/>
    <m/>
    <m/>
    <s v="DRS1-3880"/>
    <s v="Salt "/>
    <s v="Gram "/>
    <s v="Gram "/>
    <n v="6"/>
    <m/>
    <m/>
    <n v="10"/>
    <x v="0"/>
    <n v="0.6"/>
    <n v="5.0000000000000001E-4"/>
    <n v="2.9999999999999997E-4"/>
  </r>
  <r>
    <x v="69"/>
    <s v="Gourmet360"/>
    <x v="0"/>
    <x v="68"/>
    <x v="7"/>
    <x v="0"/>
    <m/>
    <m/>
    <m/>
    <s v="DRY2-1008"/>
    <s v="Butter 82% Fat(Unsalted) 25 kg"/>
    <s v="Gram "/>
    <s v="Gram "/>
    <n v="25"/>
    <m/>
    <m/>
    <n v="10"/>
    <x v="0"/>
    <n v="2.5"/>
    <n v="0.03"/>
    <n v="7.4999999999999997E-2"/>
  </r>
  <r>
    <x v="69"/>
    <s v="Gourmet360"/>
    <x v="0"/>
    <x v="68"/>
    <x v="7"/>
    <x v="0"/>
    <m/>
    <m/>
    <m/>
    <s v="DRY2-1858"/>
    <s v="Cooking Cream 1 Ltr"/>
    <s v="Ml"/>
    <s v="Ml"/>
    <n v="25"/>
    <m/>
    <m/>
    <n v="10"/>
    <x v="0"/>
    <n v="2.5"/>
    <n v="9.8800000000000016E-3"/>
    <n v="2.4700000000000003E-2"/>
  </r>
  <r>
    <x v="69"/>
    <s v="Gourmet360"/>
    <x v="0"/>
    <x v="68"/>
    <x v="7"/>
    <x v="0"/>
    <m/>
    <m/>
    <m/>
    <s v="DRS5-3866"/>
    <s v="Mashed Potato Flakes"/>
    <s v="Gram "/>
    <s v="Gram "/>
    <n v="300"/>
    <m/>
    <m/>
    <n v="10"/>
    <x v="0"/>
    <n v="30"/>
    <n v="0.02"/>
    <n v="0.6"/>
  </r>
  <r>
    <x v="69"/>
    <s v="Gourmet360"/>
    <x v="0"/>
    <x v="68"/>
    <x v="7"/>
    <x v="0"/>
    <m/>
    <m/>
    <m/>
    <s v="PRD1-186"/>
    <s v="Fresh Carrot Imported"/>
    <s v="Gram "/>
    <s v="Gram "/>
    <n v="100"/>
    <m/>
    <m/>
    <n v="10"/>
    <x v="0"/>
    <n v="10"/>
    <n v="5.8139534883720938E-3"/>
    <n v="5.8139534883720936E-2"/>
  </r>
  <r>
    <x v="69"/>
    <s v="Gourmet360"/>
    <x v="0"/>
    <x v="68"/>
    <x v="7"/>
    <x v="0"/>
    <m/>
    <m/>
    <m/>
    <s v="PRD1-232"/>
    <s v="Fresh Pumpkin"/>
    <s v="Gram "/>
    <s v="Gram "/>
    <n v="100"/>
    <m/>
    <m/>
    <n v="10"/>
    <x v="0"/>
    <n v="10"/>
    <n v="4.4444444444444444E-3"/>
    <n v="4.4444444444444446E-2"/>
  </r>
  <r>
    <x v="70"/>
    <s v="Gourmet360"/>
    <x v="0"/>
    <x v="69"/>
    <x v="7"/>
    <x v="0"/>
    <m/>
    <m/>
    <m/>
    <s v="SFD2-312"/>
    <s v="Frz Fish Fillet Pangasus"/>
    <s v="Gram "/>
    <s v="Gram "/>
    <n v="1200"/>
    <m/>
    <m/>
    <n v="10"/>
    <x v="0"/>
    <n v="120"/>
    <n v="3.2786885245901641E-2"/>
    <n v="3.9344262295081971"/>
  </r>
  <r>
    <x v="70"/>
    <s v="Gourmet360"/>
    <x v="0"/>
    <x v="69"/>
    <x v="7"/>
    <x v="0"/>
    <m/>
    <m/>
    <m/>
    <s v="DRS4-1457"/>
    <s v="Rice Egypt"/>
    <s v="Gram "/>
    <s v="Gram "/>
    <n v="100"/>
    <m/>
    <m/>
    <n v="10"/>
    <x v="0"/>
    <n v="10"/>
    <n v="6.4999999999999997E-3"/>
    <n v="6.5000000000000002E-2"/>
  </r>
  <r>
    <x v="70"/>
    <s v="Gourmet360"/>
    <x v="0"/>
    <x v="69"/>
    <x v="7"/>
    <x v="0"/>
    <m/>
    <m/>
    <m/>
    <s v="TAP-00001"/>
    <s v="Tap Water-Cooking"/>
    <s v="Ml"/>
    <s v="Ml"/>
    <n v="2500"/>
    <m/>
    <m/>
    <n v="10"/>
    <x v="0"/>
    <n v="250"/>
    <n v="8.0000000000000007E-5"/>
    <n v="0.02"/>
  </r>
  <r>
    <x v="70"/>
    <s v="Gourmet360"/>
    <x v="0"/>
    <x v="69"/>
    <x v="7"/>
    <x v="0"/>
    <m/>
    <m/>
    <m/>
    <s v="TAP-00001"/>
    <s v="Tap Water-Cooking"/>
    <s v="Ml"/>
    <s v="Ml"/>
    <n v="600"/>
    <m/>
    <m/>
    <n v="10"/>
    <x v="0"/>
    <n v="60"/>
    <n v="8.0000000000000007E-5"/>
    <n v="4.8000000000000004E-3"/>
  </r>
  <r>
    <x v="70"/>
    <s v="Gourmet360"/>
    <x v="0"/>
    <x v="69"/>
    <x v="7"/>
    <x v="0"/>
    <m/>
    <m/>
    <m/>
    <s v="DRS5-59"/>
    <s v="Milk Powder"/>
    <s v="Gram "/>
    <s v="Gram "/>
    <n v="72"/>
    <m/>
    <m/>
    <n v="10"/>
    <x v="0"/>
    <n v="7.2"/>
    <n v="1.4319999999999999E-2"/>
    <n v="0.103104"/>
  </r>
  <r>
    <x v="70"/>
    <s v="Gourmet360"/>
    <x v="0"/>
    <x v="69"/>
    <x v="7"/>
    <x v="0"/>
    <m/>
    <m/>
    <m/>
    <s v="DRS6-309"/>
    <s v="Spice Pepper White Powder"/>
    <s v="Gram "/>
    <s v="Gram "/>
    <n v="1"/>
    <m/>
    <m/>
    <n v="10"/>
    <x v="0"/>
    <n v="0.1"/>
    <n v="2.8000000000000001E-2"/>
    <n v="2.8000000000000004E-3"/>
  </r>
  <r>
    <x v="70"/>
    <s v="Gourmet360"/>
    <x v="0"/>
    <x v="69"/>
    <x v="7"/>
    <x v="0"/>
    <m/>
    <m/>
    <m/>
    <s v="DRS1-3880"/>
    <s v="Salt "/>
    <s v="Gram "/>
    <s v="Gram "/>
    <n v="6"/>
    <m/>
    <m/>
    <n v="10"/>
    <x v="0"/>
    <n v="0.6"/>
    <n v="5.0000000000000001E-4"/>
    <n v="2.9999999999999997E-4"/>
  </r>
  <r>
    <x v="70"/>
    <s v="Gourmet360"/>
    <x v="0"/>
    <x v="69"/>
    <x v="7"/>
    <x v="0"/>
    <m/>
    <m/>
    <m/>
    <s v="DRY2-1008"/>
    <s v="Butter 82% Fat(Unsalted) 25 kg"/>
    <s v="Gram "/>
    <s v="Gram "/>
    <n v="25"/>
    <m/>
    <m/>
    <n v="10"/>
    <x v="0"/>
    <n v="2.5"/>
    <n v="0.03"/>
    <n v="7.4999999999999997E-2"/>
  </r>
  <r>
    <x v="70"/>
    <s v="Gourmet360"/>
    <x v="0"/>
    <x v="69"/>
    <x v="7"/>
    <x v="0"/>
    <m/>
    <m/>
    <m/>
    <s v="DRY2-1858"/>
    <s v="Cooking Cream 1 Ltr"/>
    <s v="Ml"/>
    <s v="Ml"/>
    <n v="25"/>
    <m/>
    <m/>
    <n v="10"/>
    <x v="0"/>
    <n v="2.5"/>
    <n v="9.8800000000000016E-3"/>
    <n v="2.4700000000000003E-2"/>
  </r>
  <r>
    <x v="70"/>
    <s v="Gourmet360"/>
    <x v="0"/>
    <x v="69"/>
    <x v="7"/>
    <x v="0"/>
    <m/>
    <m/>
    <m/>
    <s v="DRS5-3866"/>
    <s v="Mashed Potato Flakes"/>
    <s v="Gram "/>
    <s v="Gram "/>
    <n v="300"/>
    <m/>
    <m/>
    <n v="10"/>
    <x v="0"/>
    <n v="30"/>
    <n v="0.02"/>
    <n v="0.6"/>
  </r>
  <r>
    <x v="70"/>
    <s v="Gourmet360"/>
    <x v="0"/>
    <x v="69"/>
    <x v="7"/>
    <x v="0"/>
    <m/>
    <m/>
    <m/>
    <s v="PRD1-186"/>
    <s v="Fresh Carrot Imported"/>
    <s v="Gram "/>
    <s v="Gram "/>
    <n v="100"/>
    <m/>
    <m/>
    <n v="10"/>
    <x v="0"/>
    <n v="10"/>
    <n v="5.8139534883720938E-3"/>
    <n v="5.8139534883720936E-2"/>
  </r>
  <r>
    <x v="70"/>
    <s v="Gourmet360"/>
    <x v="0"/>
    <x v="69"/>
    <x v="7"/>
    <x v="0"/>
    <m/>
    <m/>
    <m/>
    <s v="PRD1-232"/>
    <s v="Fresh Pumpkin"/>
    <s v="Gram "/>
    <s v="Gram "/>
    <n v="100"/>
    <m/>
    <m/>
    <n v="10"/>
    <x v="0"/>
    <n v="10"/>
    <n v="4.4444444444444444E-3"/>
    <n v="4.4444444444444446E-2"/>
  </r>
  <r>
    <x v="71"/>
    <s v="Gourmet360"/>
    <x v="0"/>
    <x v="70"/>
    <x v="7"/>
    <x v="0"/>
    <m/>
    <m/>
    <m/>
    <s v="PLT2-3278"/>
    <s v="Frz Chicken Breast Tender (KG)"/>
    <s v="Gram "/>
    <s v="Gram "/>
    <n v="1200"/>
    <m/>
    <m/>
    <n v="10"/>
    <x v="0"/>
    <n v="120"/>
    <n v="3.0357142857142853E-2"/>
    <n v="3.6428571428571423"/>
  </r>
  <r>
    <x v="71"/>
    <s v="Gourmet360"/>
    <x v="0"/>
    <x v="70"/>
    <x v="7"/>
    <x v="0"/>
    <m/>
    <m/>
    <m/>
    <s v="DRS4-498"/>
    <s v="Rice Basmati"/>
    <s v="Gram "/>
    <s v="Gram "/>
    <n v="1000"/>
    <m/>
    <m/>
    <n v="10"/>
    <x v="0"/>
    <n v="100"/>
    <n v="5.7499999999999999E-3"/>
    <n v="0.57499999999999996"/>
  </r>
  <r>
    <x v="71"/>
    <s v="Gourmet360"/>
    <x v="0"/>
    <x v="70"/>
    <x v="7"/>
    <x v="0"/>
    <m/>
    <m/>
    <m/>
    <s v="TAP-00001"/>
    <s v="Tap Water-Cooking"/>
    <s v="Ml"/>
    <s v="Ml"/>
    <n v="1000"/>
    <m/>
    <m/>
    <n v="10"/>
    <x v="0"/>
    <n v="100"/>
    <n v="8.0000000000000007E-5"/>
    <n v="8.0000000000000002E-3"/>
  </r>
  <r>
    <x v="71"/>
    <s v="Gourmet360"/>
    <x v="0"/>
    <x v="70"/>
    <x v="7"/>
    <x v="0"/>
    <m/>
    <m/>
    <m/>
    <s v="DRS6-309"/>
    <s v="Spice Pepper White Powder"/>
    <s v="Gram "/>
    <s v="Gram "/>
    <n v="1"/>
    <m/>
    <m/>
    <n v="10"/>
    <x v="0"/>
    <n v="0.1"/>
    <n v="2.8000000000000001E-2"/>
    <n v="2.8000000000000004E-3"/>
  </r>
  <r>
    <x v="71"/>
    <s v="Gourmet360"/>
    <x v="0"/>
    <x v="70"/>
    <x v="7"/>
    <x v="0"/>
    <m/>
    <m/>
    <m/>
    <s v="DRS1-3880"/>
    <s v="Salt "/>
    <s v="Gram "/>
    <s v="Gram "/>
    <n v="5"/>
    <m/>
    <m/>
    <n v="10"/>
    <x v="0"/>
    <n v="0.5"/>
    <n v="5.0000000000000001E-4"/>
    <n v="2.5000000000000001E-4"/>
  </r>
  <r>
    <x v="71"/>
    <s v="Gourmet360"/>
    <x v="0"/>
    <x v="70"/>
    <x v="7"/>
    <x v="0"/>
    <m/>
    <m/>
    <m/>
    <s v="DRS3-1813"/>
    <s v="Corn Oil (18 Liter)"/>
    <s v="Ml"/>
    <s v="Ml"/>
    <n v="25"/>
    <m/>
    <m/>
    <n v="10"/>
    <x v="0"/>
    <n v="2.5"/>
    <n v="8.0555555555555554E-3"/>
    <n v="2.0138888888888887E-2"/>
  </r>
  <r>
    <x v="71"/>
    <s v="Gourmet360"/>
    <x v="0"/>
    <x v="70"/>
    <x v="7"/>
    <x v="0"/>
    <m/>
    <m/>
    <m/>
    <s v="PRD1-186"/>
    <s v="Fresh Carrot Imported"/>
    <s v="Gram "/>
    <s v="Gram "/>
    <n v="400"/>
    <m/>
    <m/>
    <n v="10"/>
    <x v="0"/>
    <n v="40"/>
    <n v="5.8139534883720938E-3"/>
    <n v="0.23255813953488375"/>
  </r>
  <r>
    <x v="71"/>
    <s v="Gourmet360"/>
    <x v="0"/>
    <x v="70"/>
    <x v="7"/>
    <x v="0"/>
    <m/>
    <m/>
    <m/>
    <s v="PRD1-3794"/>
    <s v="Fresh Baby Marrow"/>
    <s v="Gram "/>
    <s v="Gram "/>
    <n v="400"/>
    <m/>
    <m/>
    <n v="10"/>
    <x v="0"/>
    <n v="40"/>
    <n v="4.9382716049382715E-3"/>
    <n v="0.19753086419753085"/>
  </r>
  <r>
    <x v="71"/>
    <s v="Gourmet360"/>
    <x v="0"/>
    <x v="70"/>
    <x v="7"/>
    <x v="0"/>
    <m/>
    <m/>
    <m/>
    <s v="DRY2-1008"/>
    <s v="Butter 82% Fat(Unsalted) 25 kg"/>
    <s v="Gram "/>
    <s v="Gram "/>
    <n v="25"/>
    <m/>
    <m/>
    <n v="10"/>
    <x v="0"/>
    <n v="2.5"/>
    <n v="0.03"/>
    <n v="7.4999999999999997E-2"/>
  </r>
  <r>
    <x v="72"/>
    <s v="Gourmet360"/>
    <x v="0"/>
    <x v="71"/>
    <x v="8"/>
    <x v="1"/>
    <m/>
    <m/>
    <m/>
    <s v="DRY2-1388"/>
    <s v="Milk UHT Full Fat(1 Liter)"/>
    <s v="Ml"/>
    <s v="Ml"/>
    <n v="1000"/>
    <m/>
    <m/>
    <n v="6"/>
    <x v="0"/>
    <n v="166.66666666666666"/>
    <n v="4.2500000000000003E-3"/>
    <n v="0.70833333333333337"/>
  </r>
  <r>
    <x v="72"/>
    <s v="Gourmet360"/>
    <x v="0"/>
    <x v="71"/>
    <x v="8"/>
    <x v="1"/>
    <m/>
    <m/>
    <m/>
    <s v="DRS1-978"/>
    <s v="Sugar Fine(50 KG)"/>
    <s v="Gram "/>
    <s v="Gram "/>
    <n v="120"/>
    <m/>
    <m/>
    <n v="6"/>
    <x v="0"/>
    <n v="20"/>
    <n v="2.3999999999999998E-3"/>
    <n v="4.7999999999999994E-2"/>
  </r>
  <r>
    <x v="72"/>
    <s v="Gourmet360"/>
    <x v="0"/>
    <x v="71"/>
    <x v="8"/>
    <x v="1"/>
    <m/>
    <m/>
    <m/>
    <s v="DRS1-115"/>
    <s v="Rose Water"/>
    <s v="Ml"/>
    <s v="Ml"/>
    <n v="20"/>
    <m/>
    <m/>
    <n v="6"/>
    <x v="0"/>
    <n v="3.3333333333333335"/>
    <n v="1.9709090909090909E-2"/>
    <n v="6.5696969696969698E-2"/>
  </r>
  <r>
    <x v="72"/>
    <s v="Gourmet360"/>
    <x v="0"/>
    <x v="71"/>
    <x v="8"/>
    <x v="1"/>
    <m/>
    <m/>
    <m/>
    <s v="DRS1-41"/>
    <s v="Flower Water(Blossom)"/>
    <s v="Ml"/>
    <s v="Ml"/>
    <n v="20"/>
    <m/>
    <m/>
    <n v="6"/>
    <x v="0"/>
    <n v="3.3333333333333335"/>
    <n v="1.9709090909090909E-2"/>
    <n v="6.5696969696969698E-2"/>
  </r>
  <r>
    <x v="72"/>
    <s v="Gourmet360"/>
    <x v="0"/>
    <x v="71"/>
    <x v="8"/>
    <x v="1"/>
    <m/>
    <m/>
    <m/>
    <s v="DRS5-21"/>
    <s v="Flour Corn"/>
    <s v="Gram "/>
    <s v="Gram "/>
    <n v="70"/>
    <m/>
    <m/>
    <n v="6"/>
    <x v="0"/>
    <n v="11.666666666666666"/>
    <n v="2.0799999999999998E-3"/>
    <n v="2.4266666666666662E-2"/>
  </r>
  <r>
    <x v="72"/>
    <s v="Gourmet360"/>
    <x v="0"/>
    <x v="71"/>
    <x v="8"/>
    <x v="1"/>
    <m/>
    <m/>
    <m/>
    <s v="TAP-00001"/>
    <s v="Tap Water-Cooking"/>
    <s v="Ml"/>
    <s v="Ml"/>
    <n v="80"/>
    <m/>
    <m/>
    <n v="6"/>
    <x v="0"/>
    <n v="13.333333333333334"/>
    <n v="8.0000000000000007E-5"/>
    <n v="1.0666666666666667E-3"/>
  </r>
  <r>
    <x v="73"/>
    <s v="Gourmet360"/>
    <x v="0"/>
    <x v="72"/>
    <x v="8"/>
    <x v="1"/>
    <m/>
    <m/>
    <m/>
    <s v="DRY2-1388"/>
    <s v="Milk UHT Full Fat(1 Liter)"/>
    <s v="Ml"/>
    <s v="Ml"/>
    <n v="1000"/>
    <m/>
    <m/>
    <n v="6"/>
    <x v="0"/>
    <n v="166.66666666666666"/>
    <n v="4.2500000000000003E-3"/>
    <n v="0.70833333333333337"/>
  </r>
  <r>
    <x v="73"/>
    <s v="Gourmet360"/>
    <x v="0"/>
    <x v="72"/>
    <x v="8"/>
    <x v="1"/>
    <m/>
    <m/>
    <m/>
    <s v="DRS1-1288"/>
    <s v="Sugar Fruit"/>
    <s v="Gram "/>
    <s v="Gram "/>
    <n v="110"/>
    <m/>
    <m/>
    <n v="6"/>
    <x v="0"/>
    <n v="18.333333333333332"/>
    <n v="3.3320000000000002E-2"/>
    <n v="0.61086666666666667"/>
  </r>
  <r>
    <x v="73"/>
    <s v="Gourmet360"/>
    <x v="0"/>
    <x v="72"/>
    <x v="8"/>
    <x v="1"/>
    <m/>
    <m/>
    <m/>
    <s v="TAP-00001"/>
    <s v="Tap Water-Cooking"/>
    <s v="Ml"/>
    <s v="Ml"/>
    <n v="80"/>
    <m/>
    <m/>
    <n v="6"/>
    <x v="0"/>
    <n v="13.333333333333334"/>
    <n v="8.0000000000000007E-5"/>
    <n v="1.0666666666666667E-3"/>
  </r>
  <r>
    <x v="73"/>
    <s v="Gourmet360"/>
    <x v="0"/>
    <x v="72"/>
    <x v="8"/>
    <x v="1"/>
    <m/>
    <m/>
    <m/>
    <s v="DRS1-41"/>
    <s v="Flower Water(Blossom)"/>
    <s v="Ml"/>
    <s v="Ml"/>
    <n v="20"/>
    <m/>
    <m/>
    <n v="6"/>
    <x v="0"/>
    <n v="3.3333333333333335"/>
    <n v="1.9709090909090909E-2"/>
    <n v="6.5696969696969698E-2"/>
  </r>
  <r>
    <x v="73"/>
    <s v="Gourmet360"/>
    <x v="0"/>
    <x v="72"/>
    <x v="8"/>
    <x v="1"/>
    <m/>
    <m/>
    <m/>
    <s v="DRS5-21"/>
    <s v="Flour Corn"/>
    <s v="Gram "/>
    <s v="Gram "/>
    <n v="70"/>
    <m/>
    <m/>
    <n v="6"/>
    <x v="0"/>
    <n v="11.666666666666666"/>
    <n v="2.0799999999999998E-3"/>
    <n v="2.4266666666666662E-2"/>
  </r>
  <r>
    <x v="74"/>
    <s v="Gourmet360"/>
    <x v="0"/>
    <x v="73"/>
    <x v="8"/>
    <x v="1"/>
    <m/>
    <m/>
    <m/>
    <s v="TAP-00001"/>
    <s v="Tap Water-Cooking"/>
    <s v="Ml"/>
    <s v="Ml"/>
    <n v="8000"/>
    <m/>
    <m/>
    <n v="100"/>
    <x v="0"/>
    <n v="80"/>
    <n v="8.0000000000000007E-5"/>
    <n v="6.4000000000000003E-3"/>
  </r>
  <r>
    <x v="74"/>
    <s v="Gourmet360"/>
    <x v="0"/>
    <x v="73"/>
    <x v="8"/>
    <x v="1"/>
    <m/>
    <m/>
    <m/>
    <s v="DRS5-981"/>
    <s v="Jelly Powder,Strawberry,3Kg"/>
    <s v="Gram "/>
    <s v="Gram "/>
    <n v="3000"/>
    <m/>
    <m/>
    <n v="100"/>
    <x v="0"/>
    <n v="30"/>
    <n v="1.2083333333333333E-2"/>
    <n v="0.36249999999999999"/>
  </r>
  <r>
    <x v="74"/>
    <s v="Gourmet360"/>
    <x v="0"/>
    <x v="73"/>
    <x v="8"/>
    <x v="1"/>
    <m/>
    <m/>
    <m/>
    <s v="TAP-00001"/>
    <s v="Tap Water-Cooking"/>
    <s v="Ml"/>
    <s v="Ml"/>
    <n v="5000"/>
    <m/>
    <m/>
    <n v="100"/>
    <x v="0"/>
    <n v="50"/>
    <n v="8.0000000000000007E-5"/>
    <n v="4.0000000000000001E-3"/>
  </r>
  <r>
    <x v="75"/>
    <s v="Gourmet360"/>
    <x v="0"/>
    <x v="74"/>
    <x v="8"/>
    <x v="1"/>
    <m/>
    <m/>
    <m/>
    <s v="DRY2-1388"/>
    <s v="Milk UHT Full Fat(1 Liter)"/>
    <s v="Ml"/>
    <s v="Ml"/>
    <n v="1000"/>
    <m/>
    <m/>
    <n v="6"/>
    <x v="0"/>
    <n v="166.66666666666666"/>
    <n v="4.2500000000000003E-3"/>
    <n v="0.70833333333333337"/>
  </r>
  <r>
    <x v="75"/>
    <s v="Gourmet360"/>
    <x v="0"/>
    <x v="74"/>
    <x v="8"/>
    <x v="1"/>
    <m/>
    <m/>
    <m/>
    <s v="DRS1-978"/>
    <s v="Sugar Fine(50 KG)"/>
    <s v="Gram "/>
    <s v="Gram "/>
    <n v="120"/>
    <m/>
    <m/>
    <n v="6"/>
    <x v="0"/>
    <n v="20"/>
    <n v="2.3999999999999998E-3"/>
    <n v="4.7999999999999994E-2"/>
  </r>
  <r>
    <x v="75"/>
    <s v="Gourmet360"/>
    <x v="0"/>
    <x v="74"/>
    <x v="8"/>
    <x v="1"/>
    <m/>
    <m/>
    <m/>
    <s v="DRS5-618"/>
    <s v="Custard powder(450 Gram)"/>
    <s v="Gram "/>
    <s v="Gram "/>
    <n v="70"/>
    <m/>
    <m/>
    <n v="6"/>
    <x v="0"/>
    <n v="11.666666666666666"/>
    <n v="1.5288888888888888E-2"/>
    <n v="0.17837037037037035"/>
  </r>
  <r>
    <x v="75"/>
    <s v="Gourmet360"/>
    <x v="0"/>
    <x v="74"/>
    <x v="8"/>
    <x v="1"/>
    <m/>
    <m/>
    <m/>
    <s v="TAP-00001"/>
    <s v="Tap Water-Cooking"/>
    <s v="Ml"/>
    <s v="Ml"/>
    <n v="80"/>
    <m/>
    <m/>
    <n v="6"/>
    <x v="0"/>
    <n v="13.333333333333334"/>
    <n v="8.0000000000000007E-5"/>
    <n v="1.0666666666666667E-3"/>
  </r>
  <r>
    <x v="76"/>
    <s v="Gourmet360"/>
    <x v="0"/>
    <x v="75"/>
    <x v="8"/>
    <x v="1"/>
    <m/>
    <m/>
    <m/>
    <s v="PRD1-395"/>
    <s v="Fresh Orange-Table"/>
    <s v="Gram "/>
    <s v="Gram "/>
    <n v="35"/>
    <m/>
    <m/>
    <n v="1"/>
    <x v="0"/>
    <n v="35"/>
    <n v="9.3457943925233621E-3"/>
    <n v="0.32710280373831768"/>
  </r>
  <r>
    <x v="76"/>
    <s v="Gourmet360"/>
    <x v="0"/>
    <x v="75"/>
    <x v="8"/>
    <x v="1"/>
    <m/>
    <m/>
    <m/>
    <s v="PRD1-1315"/>
    <s v="Fresh Sweet Melon"/>
    <s v="Gram "/>
    <s v="Gram "/>
    <n v="50"/>
    <m/>
    <m/>
    <n v="1"/>
    <x v="0"/>
    <n v="50"/>
    <n v="6.4562410329985663E-3"/>
    <n v="0.32281205164992832"/>
  </r>
  <r>
    <x v="76"/>
    <s v="Gourmet360"/>
    <x v="0"/>
    <x v="75"/>
    <x v="8"/>
    <x v="1"/>
    <m/>
    <m/>
    <m/>
    <s v="PRD1-385"/>
    <s v="Fresh Grapes Red"/>
    <s v="Gram "/>
    <s v="Gram "/>
    <n v="20"/>
    <m/>
    <m/>
    <n v="1"/>
    <x v="0"/>
    <n v="20"/>
    <n v="1.2591815320041971E-2"/>
    <n v="0.25183630640083943"/>
  </r>
  <r>
    <x v="77"/>
    <s v="Gourmet360"/>
    <x v="0"/>
    <x v="76"/>
    <x v="8"/>
    <x v="1"/>
    <m/>
    <m/>
    <m/>
    <s v="PRD1-395"/>
    <s v="Fresh Orange-Table"/>
    <s v="Gram "/>
    <s v="Gram "/>
    <n v="35"/>
    <m/>
    <m/>
    <n v="1"/>
    <x v="0"/>
    <n v="35"/>
    <n v="9.3457943925233621E-3"/>
    <n v="0.32710280373831768"/>
  </r>
  <r>
    <x v="77"/>
    <s v="Gourmet360"/>
    <x v="0"/>
    <x v="76"/>
    <x v="8"/>
    <x v="1"/>
    <m/>
    <m/>
    <m/>
    <s v="PRD1-1315"/>
    <s v="Fresh Sweet Melon"/>
    <s v="Gram "/>
    <s v="Gram "/>
    <n v="60"/>
    <m/>
    <m/>
    <n v="1"/>
    <x v="0"/>
    <n v="60"/>
    <n v="6.4562410329985663E-3"/>
    <n v="0.38737446197991399"/>
  </r>
  <r>
    <x v="77"/>
    <s v="Gourmet360"/>
    <x v="0"/>
    <x v="76"/>
    <x v="8"/>
    <x v="1"/>
    <m/>
    <m/>
    <m/>
    <s v="PRD1-385"/>
    <s v="Fresh Grapes Red"/>
    <s v="Gram "/>
    <s v="Gram "/>
    <n v="20"/>
    <m/>
    <m/>
    <n v="1"/>
    <x v="0"/>
    <n v="20"/>
    <n v="1.2591815320041971E-2"/>
    <n v="0.25183630640083943"/>
  </r>
  <r>
    <x v="77"/>
    <s v="Gourmet360"/>
    <x v="0"/>
    <x v="76"/>
    <x v="8"/>
    <x v="1"/>
    <m/>
    <m/>
    <m/>
    <s v="PRD1-401"/>
    <s v="Fresh Pineapple"/>
    <s v="Gram "/>
    <s v="Gram "/>
    <n v="50"/>
    <m/>
    <m/>
    <n v="1"/>
    <x v="0"/>
    <n v="50"/>
    <n v="1.4981273408239699E-2"/>
    <n v="0.74906367041198496"/>
  </r>
  <r>
    <x v="77"/>
    <s v="Gourmet360"/>
    <x v="0"/>
    <x v="76"/>
    <x v="8"/>
    <x v="1"/>
    <m/>
    <m/>
    <m/>
    <s v="PRD1-390"/>
    <s v="Fresh Kiwi"/>
    <s v="Gram "/>
    <s v="Gram "/>
    <n v="25"/>
    <m/>
    <m/>
    <n v="1"/>
    <x v="0"/>
    <n v="25"/>
    <n v="1.6417910447761194E-2"/>
    <n v="0.41044776119402981"/>
  </r>
  <r>
    <x v="78"/>
    <s v="Gourmet360"/>
    <x v="0"/>
    <x v="77"/>
    <x v="0"/>
    <x v="1"/>
    <m/>
    <m/>
    <m/>
    <s v="DRS5-1625"/>
    <s v="Easy Muffin Mix Vanilla(10 KG)"/>
    <s v="Gram "/>
    <s v="Gram "/>
    <n v="5000"/>
    <m/>
    <m/>
    <n v="215"/>
    <x v="0"/>
    <n v="23.255813953488371"/>
    <n v="7.7999999999999996E-3"/>
    <n v="0.18139534883720929"/>
  </r>
  <r>
    <x v="78"/>
    <s v="Gourmet360"/>
    <x v="0"/>
    <x v="77"/>
    <x v="0"/>
    <x v="1"/>
    <m/>
    <m/>
    <m/>
    <s v="PLT1-37"/>
    <s v="Eggs"/>
    <s v="Each"/>
    <s v="Each"/>
    <n v="25"/>
    <m/>
    <m/>
    <n v="215"/>
    <x v="0"/>
    <n v="0.11627906976744186"/>
    <n v="0.48299999999999998"/>
    <n v="5.6162790697674415E-2"/>
  </r>
  <r>
    <x v="78"/>
    <s v="Gourmet360"/>
    <x v="0"/>
    <x v="77"/>
    <x v="0"/>
    <x v="1"/>
    <m/>
    <m/>
    <m/>
    <s v="DRS3-1813"/>
    <s v="Corn Oil (18 Liter)"/>
    <s v="Ml"/>
    <s v="Ml"/>
    <n v="175"/>
    <m/>
    <m/>
    <n v="215"/>
    <x v="0"/>
    <n v="0.81395348837209303"/>
    <n v="8.0555555555555554E-3"/>
    <n v="6.5568475452196379E-3"/>
  </r>
  <r>
    <x v="78"/>
    <s v="Gourmet360"/>
    <x v="0"/>
    <x v="77"/>
    <x v="0"/>
    <x v="1"/>
    <m/>
    <m/>
    <m/>
    <s v="TAP-00001"/>
    <s v="Tap Water-Cooking"/>
    <s v="Ml"/>
    <s v="Ml"/>
    <n v="1500"/>
    <m/>
    <m/>
    <n v="215"/>
    <x v="0"/>
    <n v="6.9767441860465116"/>
    <n v="8.0000000000000007E-5"/>
    <n v="5.58139534883721E-4"/>
  </r>
  <r>
    <x v="78"/>
    <s v="Gourmet360"/>
    <x v="0"/>
    <x v="77"/>
    <x v="0"/>
    <x v="1"/>
    <m/>
    <m/>
    <m/>
    <s v="DRS1-2067"/>
    <s v="Can Blueberry Filling"/>
    <s v="Gram "/>
    <s v="Gram "/>
    <n v="3225"/>
    <m/>
    <m/>
    <n v="215"/>
    <x v="0"/>
    <n v="15"/>
    <n v="2.5999999999999999E-2"/>
    <n v="0.38999999999999996"/>
  </r>
  <r>
    <x v="78"/>
    <s v="Gourmet360"/>
    <x v="0"/>
    <x v="77"/>
    <x v="0"/>
    <x v="1"/>
    <m/>
    <m/>
    <m/>
    <s v="PKG-5010"/>
    <s v="Paper Cup White For Muffin 15 Cm"/>
    <s v="Each"/>
    <s v="Each"/>
    <n v="215"/>
    <m/>
    <m/>
    <n v="215"/>
    <x v="0"/>
    <n v="1"/>
    <n v="5.8000000000000003E-2"/>
    <n v="5.8000000000000003E-2"/>
  </r>
  <r>
    <x v="79"/>
    <s v="Gourmet360"/>
    <x v="0"/>
    <x v="78"/>
    <x v="9"/>
    <x v="1"/>
    <m/>
    <m/>
    <m/>
    <s v="DRS5-1625"/>
    <s v="Easy Muffin Mix Vanilla(10 KG)"/>
    <s v="Gram "/>
    <s v="Gram "/>
    <n v="1000"/>
    <m/>
    <m/>
    <n v="26"/>
    <x v="0"/>
    <n v="38.46153846153846"/>
    <n v="7.7999999999999996E-3"/>
    <n v="0.3"/>
  </r>
  <r>
    <x v="79"/>
    <s v="Gourmet360"/>
    <x v="0"/>
    <x v="78"/>
    <x v="9"/>
    <x v="1"/>
    <m/>
    <m/>
    <m/>
    <s v="PLT1-37"/>
    <s v="Eggs"/>
    <s v="Each"/>
    <s v="Each"/>
    <n v="5"/>
    <m/>
    <m/>
    <n v="26"/>
    <x v="0"/>
    <n v="0.19230769230769232"/>
    <n v="0.48299999999999998"/>
    <n v="9.2884615384615385E-2"/>
  </r>
  <r>
    <x v="79"/>
    <s v="Gourmet360"/>
    <x v="0"/>
    <x v="78"/>
    <x v="9"/>
    <x v="1"/>
    <m/>
    <m/>
    <m/>
    <s v="TAP-00001"/>
    <s v="Tap Water-Cooking"/>
    <s v="Ml"/>
    <s v="Ml"/>
    <n v="300"/>
    <m/>
    <m/>
    <n v="26"/>
    <x v="0"/>
    <n v="11.538461538461538"/>
    <n v="8.0000000000000007E-5"/>
    <n v="9.2307692307692316E-4"/>
  </r>
  <r>
    <x v="79"/>
    <s v="Gourmet360"/>
    <x v="0"/>
    <x v="78"/>
    <x v="9"/>
    <x v="1"/>
    <m/>
    <m/>
    <m/>
    <s v="DRS3-1813"/>
    <s v="Corn Oil (18 Liter)"/>
    <s v="Ml"/>
    <s v="Ml"/>
    <n v="350"/>
    <m/>
    <m/>
    <n v="26"/>
    <x v="0"/>
    <n v="13.461538461538462"/>
    <n v="8.0555555555555554E-3"/>
    <n v="0.10844017094017094"/>
  </r>
  <r>
    <x v="80"/>
    <s v="Gourmet360"/>
    <x v="0"/>
    <x v="79"/>
    <x v="2"/>
    <x v="1"/>
    <m/>
    <m/>
    <m/>
    <s v="DRS5-1625"/>
    <s v="Easy Muffin Mix Vanilla(10 KG)"/>
    <s v="Gram "/>
    <s v="Gram "/>
    <n v="1000"/>
    <m/>
    <m/>
    <n v="51"/>
    <x v="0"/>
    <n v="19.607843137254903"/>
    <n v="7.7999999999999996E-3"/>
    <n v="0.15294117647058825"/>
  </r>
  <r>
    <x v="80"/>
    <s v="Gourmet360"/>
    <x v="0"/>
    <x v="79"/>
    <x v="2"/>
    <x v="1"/>
    <m/>
    <m/>
    <m/>
    <s v="PLT1-37"/>
    <s v="Eggs"/>
    <s v="Each"/>
    <s v="Each"/>
    <n v="9"/>
    <m/>
    <m/>
    <n v="51"/>
    <x v="0"/>
    <n v="0.17647058823529413"/>
    <n v="0.48299999999999998"/>
    <n v="8.5235294117647062E-2"/>
  </r>
  <r>
    <x v="80"/>
    <s v="Gourmet360"/>
    <x v="0"/>
    <x v="79"/>
    <x v="2"/>
    <x v="1"/>
    <m/>
    <m/>
    <m/>
    <s v="TAP-00001"/>
    <s v="Tap Water-Cooking"/>
    <s v="Ml"/>
    <s v="Ml"/>
    <n v="100"/>
    <m/>
    <m/>
    <n v="51"/>
    <x v="0"/>
    <n v="1.9607843137254901"/>
    <n v="8.0000000000000007E-5"/>
    <n v="1.5686274509803922E-4"/>
  </r>
  <r>
    <x v="80"/>
    <s v="Gourmet360"/>
    <x v="0"/>
    <x v="79"/>
    <x v="2"/>
    <x v="1"/>
    <m/>
    <m/>
    <m/>
    <s v="DRS3-1813"/>
    <s v="Corn Oil (18 Liter)"/>
    <s v="Ml"/>
    <s v="Ml"/>
    <n v="450"/>
    <m/>
    <m/>
    <n v="51"/>
    <x v="0"/>
    <n v="8.8235294117647065"/>
    <n v="8.0555555555555554E-3"/>
    <n v="7.1078431372549017E-2"/>
  </r>
  <r>
    <x v="80"/>
    <s v="Gourmet360"/>
    <x v="0"/>
    <x v="79"/>
    <x v="2"/>
    <x v="1"/>
    <m/>
    <m/>
    <m/>
    <s v="PRD1-186"/>
    <s v="Fresh Carrot Imported"/>
    <s v="Gram "/>
    <s v="Gram "/>
    <n v="200"/>
    <m/>
    <m/>
    <n v="51"/>
    <x v="0"/>
    <n v="3.9215686274509802"/>
    <n v="5.8139534883720938E-3"/>
    <n v="2.2799817601459191E-2"/>
  </r>
  <r>
    <x v="80"/>
    <s v="Gourmet360"/>
    <x v="0"/>
    <x v="79"/>
    <x v="2"/>
    <x v="1"/>
    <m/>
    <m/>
    <m/>
    <s v="PRD1-374"/>
    <s v="Fresh Apple Red"/>
    <s v="Gram "/>
    <s v="Gram "/>
    <n v="300"/>
    <m/>
    <m/>
    <n v="51"/>
    <x v="0"/>
    <n v="5.882352941176471"/>
    <n v="7.0000000000000001E-3"/>
    <n v="4.11764705882353E-2"/>
  </r>
  <r>
    <x v="80"/>
    <s v="Gourmet360"/>
    <x v="0"/>
    <x v="79"/>
    <x v="2"/>
    <x v="1"/>
    <m/>
    <m/>
    <m/>
    <s v="DRS6-260"/>
    <s v="Spices Cinnamon Powder"/>
    <s v="Gram "/>
    <s v="Gram "/>
    <n v="20"/>
    <m/>
    <m/>
    <n v="51"/>
    <x v="0"/>
    <n v="0.39215686274509803"/>
    <n v="0.02"/>
    <n v="7.8431372549019607E-3"/>
  </r>
  <r>
    <x v="80"/>
    <s v="Gourmet360"/>
    <x v="0"/>
    <x v="79"/>
    <x v="2"/>
    <x v="1"/>
    <m/>
    <m/>
    <m/>
    <s v="DRS7-3787"/>
    <s v="Almond Strips"/>
    <s v="Gram "/>
    <s v="Gram "/>
    <n v="150"/>
    <m/>
    <m/>
    <n v="51"/>
    <x v="0"/>
    <n v="2.9411764705882355"/>
    <n v="0.04"/>
    <n v="0.11764705882352942"/>
  </r>
  <r>
    <x v="81"/>
    <s v="Gourmet360"/>
    <x v="0"/>
    <x v="80"/>
    <x v="10"/>
    <x v="1"/>
    <m/>
    <m/>
    <m/>
    <s v="DRS5-1625"/>
    <s v="Easy Muffin Mix Vanilla(10 KG)"/>
    <s v="Gram "/>
    <s v="Gram "/>
    <n v="100"/>
    <m/>
    <m/>
    <n v="26"/>
    <x v="0"/>
    <n v="3.8461538461538463"/>
    <n v="7.7999999999999996E-3"/>
    <n v="0.03"/>
  </r>
  <r>
    <x v="81"/>
    <s v="Gourmet360"/>
    <x v="0"/>
    <x v="80"/>
    <x v="10"/>
    <x v="1"/>
    <m/>
    <m/>
    <m/>
    <s v="PLT1-37"/>
    <s v="Eggs"/>
    <s v="Each"/>
    <s v="Each"/>
    <n v="5"/>
    <m/>
    <m/>
    <n v="26"/>
    <x v="0"/>
    <n v="0.19230769230769232"/>
    <n v="0.48299999999999998"/>
    <n v="9.2884615384615385E-2"/>
  </r>
  <r>
    <x v="81"/>
    <s v="Gourmet360"/>
    <x v="0"/>
    <x v="80"/>
    <x v="10"/>
    <x v="1"/>
    <m/>
    <m/>
    <m/>
    <s v="TAP-00001"/>
    <s v="Tap Water-Cooking"/>
    <s v="Ml"/>
    <s v="Ml"/>
    <n v="300"/>
    <m/>
    <m/>
    <n v="26"/>
    <x v="0"/>
    <n v="11.538461538461538"/>
    <n v="8.0000000000000007E-5"/>
    <n v="9.2307692307692316E-4"/>
  </r>
  <r>
    <x v="81"/>
    <s v="Gourmet360"/>
    <x v="0"/>
    <x v="80"/>
    <x v="10"/>
    <x v="1"/>
    <m/>
    <m/>
    <m/>
    <s v="DRS3-1813"/>
    <s v="Corn Oil (18 Liter)"/>
    <s v="Ml"/>
    <s v="Ml"/>
    <n v="350"/>
    <m/>
    <m/>
    <n v="26"/>
    <x v="0"/>
    <n v="13.461538461538462"/>
    <n v="8.0555555555555554E-3"/>
    <n v="0.10844017094017094"/>
  </r>
  <r>
    <x v="81"/>
    <s v="Gourmet360"/>
    <x v="0"/>
    <x v="80"/>
    <x v="10"/>
    <x v="1"/>
    <m/>
    <m/>
    <m/>
    <s v="DRS5-1736"/>
    <s v="Cocoa Powder (25 KG)"/>
    <s v="Gram "/>
    <s v="Gram "/>
    <n v="100"/>
    <m/>
    <m/>
    <n v="26"/>
    <x v="0"/>
    <n v="3.8461538461538463"/>
    <n v="3.7999999999999999E-2"/>
    <n v="0.14615384615384616"/>
  </r>
  <r>
    <x v="82"/>
    <s v="Gourmet360"/>
    <x v="0"/>
    <x v="81"/>
    <x v="4"/>
    <x v="1"/>
    <m/>
    <m/>
    <m/>
    <s v="DRS5-1625"/>
    <s v="Easy Muffin Mix Vanilla(10 KG)"/>
    <s v="Gram "/>
    <s v="Gram "/>
    <n v="100"/>
    <m/>
    <m/>
    <n v="26"/>
    <x v="0"/>
    <n v="3.8461538461538463"/>
    <n v="7.7999999999999996E-3"/>
    <n v="0.03"/>
  </r>
  <r>
    <x v="82"/>
    <s v="Gourmet360"/>
    <x v="0"/>
    <x v="81"/>
    <x v="4"/>
    <x v="1"/>
    <m/>
    <m/>
    <m/>
    <s v="PLT1-37"/>
    <s v="Eggs"/>
    <s v="Each"/>
    <s v="Each"/>
    <n v="5"/>
    <m/>
    <m/>
    <n v="26"/>
    <x v="0"/>
    <n v="0.19230769230769232"/>
    <n v="0.48299999999999998"/>
    <n v="9.2884615384615385E-2"/>
  </r>
  <r>
    <x v="82"/>
    <s v="Gourmet360"/>
    <x v="0"/>
    <x v="81"/>
    <x v="4"/>
    <x v="1"/>
    <m/>
    <m/>
    <m/>
    <s v="TAP-00001"/>
    <s v="Tap Water-Cooking"/>
    <s v="Ml"/>
    <s v="Ml"/>
    <n v="300"/>
    <m/>
    <m/>
    <n v="26"/>
    <x v="0"/>
    <n v="11.538461538461538"/>
    <n v="8.0000000000000007E-5"/>
    <n v="9.2307692307692316E-4"/>
  </r>
  <r>
    <x v="82"/>
    <s v="Gourmet360"/>
    <x v="0"/>
    <x v="81"/>
    <x v="4"/>
    <x v="1"/>
    <m/>
    <m/>
    <m/>
    <s v="DRS3-1813"/>
    <s v="Corn Oil (18 Liter)"/>
    <s v="Ml"/>
    <s v="Ml"/>
    <n v="350"/>
    <m/>
    <m/>
    <n v="26"/>
    <x v="0"/>
    <n v="13.461538461538462"/>
    <n v="8.0555555555555554E-3"/>
    <n v="0.10844017094017094"/>
  </r>
  <r>
    <x v="82"/>
    <s v="Gourmet360"/>
    <x v="0"/>
    <x v="81"/>
    <x v="4"/>
    <x v="1"/>
    <m/>
    <m/>
    <m/>
    <s v="DRS1-304"/>
    <s v="Food Color Yellow(Saffron)"/>
    <s v="Gram "/>
    <s v="Gram "/>
    <n v="10"/>
    <m/>
    <m/>
    <n v="26"/>
    <x v="0"/>
    <n v="0.38461538461538464"/>
    <n v="2.0799999999999999E-2"/>
    <n v="8.0000000000000002E-3"/>
  </r>
  <r>
    <x v="82"/>
    <s v="Gourmet360"/>
    <x v="0"/>
    <x v="81"/>
    <x v="4"/>
    <x v="1"/>
    <m/>
    <m/>
    <m/>
    <s v="PRD1-209"/>
    <s v="Fresh Lemon"/>
    <s v="Gram "/>
    <s v="Gram "/>
    <n v="30"/>
    <m/>
    <m/>
    <n v="26"/>
    <x v="0"/>
    <n v="1.1538461538461537"/>
    <n v="1.0088272383354349E-2"/>
    <n v="1.1640314288485786E-2"/>
  </r>
  <r>
    <x v="83"/>
    <s v="Gourmet360"/>
    <x v="0"/>
    <x v="82"/>
    <x v="8"/>
    <x v="1"/>
    <m/>
    <m/>
    <m/>
    <s v="TAP-00001"/>
    <s v="Tap Water-Cooking"/>
    <s v="Ml"/>
    <s v="Ml"/>
    <n v="2270"/>
    <m/>
    <m/>
    <n v="560"/>
    <x v="0"/>
    <n v="4.0535714285714288"/>
    <n v="8.0000000000000007E-5"/>
    <n v="3.2428571428571435E-4"/>
  </r>
  <r>
    <x v="83"/>
    <s v="Gourmet360"/>
    <x v="0"/>
    <x v="82"/>
    <x v="8"/>
    <x v="1"/>
    <m/>
    <m/>
    <m/>
    <s v="PLT1-37"/>
    <s v="Eggs"/>
    <s v="Each"/>
    <s v="Each"/>
    <n v="52"/>
    <m/>
    <m/>
    <n v="560"/>
    <x v="0"/>
    <n v="9.285714285714286E-2"/>
    <n v="0.48299999999999998"/>
    <n v="4.4850000000000001E-2"/>
  </r>
  <r>
    <x v="83"/>
    <s v="Gourmet360"/>
    <x v="0"/>
    <x v="82"/>
    <x v="8"/>
    <x v="1"/>
    <m/>
    <m/>
    <m/>
    <s v="DRS5-3575"/>
    <s v="Ready Mixed Cake Vanilla(25 Kg)  "/>
    <s v="Gram "/>
    <s v="Gram "/>
    <n v="6500"/>
    <m/>
    <m/>
    <n v="560"/>
    <x v="0"/>
    <n v="11.607142857142858"/>
    <n v="5.8799999999999998E-3"/>
    <n v="6.8250000000000005E-2"/>
  </r>
  <r>
    <x v="83"/>
    <s v="Gourmet360"/>
    <x v="0"/>
    <x v="82"/>
    <x v="8"/>
    <x v="1"/>
    <m/>
    <m/>
    <m/>
    <s v="DRY2-4896"/>
    <s v="Dairy Whipping Cream 38% (Millac Blue)"/>
    <s v="Ml"/>
    <s v="Ml"/>
    <n v="6000"/>
    <m/>
    <m/>
    <n v="560"/>
    <x v="0"/>
    <n v="10.714285714285714"/>
    <n v="2.0829999999999998E-2"/>
    <n v="0.22317857142857139"/>
  </r>
  <r>
    <x v="83"/>
    <s v="Gourmet360"/>
    <x v="0"/>
    <x v="82"/>
    <x v="8"/>
    <x v="1"/>
    <m/>
    <m/>
    <m/>
    <s v="DRS1-978"/>
    <s v="Sugar Fine(50 KG)"/>
    <s v="Gram "/>
    <s v="Gram "/>
    <n v="900"/>
    <m/>
    <m/>
    <n v="560"/>
    <x v="0"/>
    <n v="1.6071428571428572"/>
    <n v="2.3999999999999998E-3"/>
    <n v="3.8571428571428572E-3"/>
  </r>
  <r>
    <x v="83"/>
    <s v="Gourmet360"/>
    <x v="0"/>
    <x v="82"/>
    <x v="8"/>
    <x v="1"/>
    <m/>
    <m/>
    <m/>
    <s v="DRS7-560"/>
    <s v="Pistachio Nuts"/>
    <s v="Gram "/>
    <s v="Gram "/>
    <n v="2000"/>
    <m/>
    <m/>
    <n v="560"/>
    <x v="0"/>
    <n v="3.5714285714285716"/>
    <n v="6.9000000000000006E-2"/>
    <n v="0.24642857142857147"/>
  </r>
  <r>
    <x v="84"/>
    <s v="Gourmet360"/>
    <x v="0"/>
    <x v="83"/>
    <x v="8"/>
    <x v="1"/>
    <m/>
    <m/>
    <m/>
    <s v="TAP-00001"/>
    <s v="Tap Water-Cooking"/>
    <s v="Ml"/>
    <s v="Ml"/>
    <n v="1250"/>
    <m/>
    <m/>
    <n v="480"/>
    <x v="0"/>
    <n v="2.6041666666666665"/>
    <n v="8.0000000000000007E-5"/>
    <n v="2.0833333333333335E-4"/>
  </r>
  <r>
    <x v="84"/>
    <s v="Gourmet360"/>
    <x v="0"/>
    <x v="83"/>
    <x v="8"/>
    <x v="1"/>
    <m/>
    <m/>
    <m/>
    <s v="PLT1-37"/>
    <s v="Eggs"/>
    <s v="Each"/>
    <s v="Each"/>
    <n v="75"/>
    <m/>
    <m/>
    <n v="480"/>
    <x v="0"/>
    <n v="0.15625"/>
    <n v="0.48299999999999998"/>
    <n v="7.5468750000000001E-2"/>
  </r>
  <r>
    <x v="84"/>
    <s v="Gourmet360"/>
    <x v="0"/>
    <x v="83"/>
    <x v="8"/>
    <x v="1"/>
    <m/>
    <m/>
    <m/>
    <s v="DRS5-3576"/>
    <s v="Ready Mixed Cake Chocolate(25 Kg)"/>
    <s v="Gram "/>
    <s v="Gram "/>
    <n v="5000"/>
    <m/>
    <m/>
    <n v="480"/>
    <x v="0"/>
    <n v="10.416666666666666"/>
    <n v="6.8799999999999998E-3"/>
    <n v="7.1666666666666656E-2"/>
  </r>
  <r>
    <x v="84"/>
    <s v="Gourmet360"/>
    <x v="0"/>
    <x v="83"/>
    <x v="8"/>
    <x v="1"/>
    <m/>
    <m/>
    <m/>
    <s v="DRY2-4896"/>
    <s v="Dairy Whipping Cream 38% (Millac Blue)"/>
    <s v="Ml"/>
    <s v="Ml"/>
    <n v="5000"/>
    <m/>
    <m/>
    <n v="480"/>
    <x v="0"/>
    <n v="10.416666666666666"/>
    <n v="2.0829999999999998E-2"/>
    <n v="0.21697916666666664"/>
  </r>
  <r>
    <x v="84"/>
    <s v="Gourmet360"/>
    <x v="0"/>
    <x v="83"/>
    <x v="8"/>
    <x v="1"/>
    <m/>
    <m/>
    <m/>
    <s v="DRS1-1288"/>
    <s v="Sugar Fruit"/>
    <s v="Gram "/>
    <s v="Gram "/>
    <n v="750"/>
    <m/>
    <m/>
    <n v="480"/>
    <x v="0"/>
    <n v="1.5625"/>
    <n v="3.3320000000000002E-2"/>
    <n v="5.2062500000000005E-2"/>
  </r>
  <r>
    <x v="84"/>
    <s v="Gourmet360"/>
    <x v="0"/>
    <x v="83"/>
    <x v="8"/>
    <x v="1"/>
    <m/>
    <m/>
    <m/>
    <s v="DRS7-560"/>
    <s v="Pistachio Nuts"/>
    <s v="Gram "/>
    <s v="Gram "/>
    <n v="2000"/>
    <m/>
    <m/>
    <n v="480"/>
    <x v="0"/>
    <n v="4.166666666666667"/>
    <n v="6.9000000000000006E-2"/>
    <n v="0.28750000000000003"/>
  </r>
  <r>
    <x v="85"/>
    <s v="Gourmet360"/>
    <x v="0"/>
    <x v="84"/>
    <x v="8"/>
    <x v="2"/>
    <s v="Lunch"/>
    <m/>
    <m/>
    <s v="TAP-00001"/>
    <s v="Tap Water-Cooking"/>
    <s v="Ml"/>
    <s v="Ml"/>
    <n v="2000"/>
    <m/>
    <m/>
    <n v="10"/>
    <x v="1"/>
    <n v="200"/>
    <n v="8.0000000000000007E-5"/>
    <n v="1.6E-2"/>
  </r>
  <r>
    <x v="85"/>
    <s v="Gourmet360"/>
    <x v="0"/>
    <x v="84"/>
    <x v="8"/>
    <x v="2"/>
    <s v="Lunch"/>
    <m/>
    <m/>
    <s v="PRD1-4265"/>
    <s v="Fresh onion Yellow(Imported)"/>
    <s v="Gram "/>
    <s v="Gram "/>
    <n v="50"/>
    <m/>
    <m/>
    <n v="10"/>
    <x v="0"/>
    <n v="5"/>
    <n v="3.529411764705882E-3"/>
    <n v="1.7647058823529412E-2"/>
  </r>
  <r>
    <x v="85"/>
    <s v="Gourmet360"/>
    <x v="0"/>
    <x v="84"/>
    <x v="8"/>
    <x v="2"/>
    <s v="Lunch"/>
    <m/>
    <m/>
    <s v="PRD1-4327"/>
    <s v="Fresh Garlic Peeled"/>
    <s v="Gram "/>
    <s v="Gram "/>
    <n v="15"/>
    <m/>
    <m/>
    <n v="10"/>
    <x v="0"/>
    <n v="1.5"/>
    <n v="1.2999999999999999E-2"/>
    <n v="1.95E-2"/>
  </r>
  <r>
    <x v="85"/>
    <s v="Gourmet360"/>
    <x v="0"/>
    <x v="84"/>
    <x v="8"/>
    <x v="2"/>
    <s v="Lunch"/>
    <m/>
    <m/>
    <s v="PLT2-3278"/>
    <s v="Frz Chicken Breast Tender (KG)"/>
    <s v="Gram "/>
    <s v="Gram "/>
    <n v="100"/>
    <m/>
    <m/>
    <n v="10"/>
    <x v="0"/>
    <n v="10"/>
    <n v="3.0357142857142853E-2"/>
    <n v="0.30357142857142855"/>
  </r>
  <r>
    <x v="85"/>
    <s v="Gourmet360"/>
    <x v="0"/>
    <x v="84"/>
    <x v="8"/>
    <x v="2"/>
    <s v="Lunch"/>
    <m/>
    <m/>
    <s v="PRD1-3546"/>
    <s v="Fresh Baby Carrot"/>
    <s v="Gram "/>
    <s v="Gram "/>
    <n v="50"/>
    <m/>
    <m/>
    <n v="10"/>
    <x v="0"/>
    <n v="5"/>
    <n v="0.04"/>
    <n v="0.2"/>
  </r>
  <r>
    <x v="85"/>
    <s v="Gourmet360"/>
    <x v="0"/>
    <x v="84"/>
    <x v="8"/>
    <x v="2"/>
    <s v="Lunch"/>
    <m/>
    <m/>
    <s v="PRD1-191"/>
    <s v="Fresh Celery Branch(Imported)"/>
    <s v="Gram "/>
    <s v="Gram "/>
    <n v="25"/>
    <m/>
    <m/>
    <n v="10"/>
    <x v="0"/>
    <n v="2.5"/>
    <n v="2.4971623155505111E-2"/>
    <n v="6.2429057888762775E-2"/>
  </r>
  <r>
    <x v="85"/>
    <s v="Gourmet360"/>
    <x v="0"/>
    <x v="84"/>
    <x v="8"/>
    <x v="2"/>
    <s v="Lunch"/>
    <m/>
    <m/>
    <s v="DRS1-3811"/>
    <s v="Chicken Stock Powder(Packet)"/>
    <s v="Gram "/>
    <s v="Gram "/>
    <n v="20"/>
    <m/>
    <m/>
    <n v="10"/>
    <x v="0"/>
    <n v="2"/>
    <n v="2.8475E-2"/>
    <n v="5.6950000000000001E-2"/>
  </r>
  <r>
    <x v="86"/>
    <s v="Gourmet360"/>
    <x v="0"/>
    <x v="85"/>
    <x v="0"/>
    <x v="2"/>
    <m/>
    <m/>
    <m/>
    <s v="PRD1-223"/>
    <s v="Fresh Mushroom"/>
    <s v="Gram "/>
    <s v="Gram "/>
    <n v="200"/>
    <m/>
    <m/>
    <n v="14"/>
    <x v="1"/>
    <n v="14.285714285714286"/>
    <n v="2.3231256599788808E-2"/>
    <n v="0.33187509428269729"/>
  </r>
  <r>
    <x v="86"/>
    <s v="Gourmet360"/>
    <x v="0"/>
    <x v="85"/>
    <x v="0"/>
    <x v="2"/>
    <m/>
    <m/>
    <m/>
    <s v="DRY2-1008"/>
    <s v="Butter 82% Fat(Unsalted) 25 kg"/>
    <s v="Gram "/>
    <s v="Gram "/>
    <n v="30"/>
    <m/>
    <m/>
    <n v="14"/>
    <x v="0"/>
    <n v="2.1428571428571428"/>
    <n v="0.03"/>
    <n v="6.4285714285714279E-2"/>
  </r>
  <r>
    <x v="86"/>
    <s v="Gourmet360"/>
    <x v="0"/>
    <x v="85"/>
    <x v="0"/>
    <x v="2"/>
    <m/>
    <m/>
    <m/>
    <s v="PRD1-4265"/>
    <s v="Fresh onion Yellow(Imported)"/>
    <s v="Gram "/>
    <s v="Gram "/>
    <n v="80"/>
    <m/>
    <m/>
    <n v="14"/>
    <x v="0"/>
    <n v="5.7142857142857144"/>
    <n v="3.529411764705882E-3"/>
    <n v="2.0168067226890754E-2"/>
  </r>
  <r>
    <x v="86"/>
    <s v="Gourmet360"/>
    <x v="0"/>
    <x v="85"/>
    <x v="0"/>
    <x v="2"/>
    <m/>
    <m/>
    <m/>
    <s v="PRD1-4327"/>
    <s v="Fresh Garlic Peeled"/>
    <s v="Gram "/>
    <s v="Gram "/>
    <n v="15"/>
    <m/>
    <m/>
    <n v="14"/>
    <x v="0"/>
    <n v="1.0714285714285714"/>
    <n v="1.2999999999999999E-2"/>
    <n v="1.3928571428571427E-2"/>
  </r>
  <r>
    <x v="86"/>
    <s v="Gourmet360"/>
    <x v="0"/>
    <x v="85"/>
    <x v="0"/>
    <x v="2"/>
    <m/>
    <m/>
    <m/>
    <s v="DRS6-1570"/>
    <s v="Dried Oregano"/>
    <s v="Gram "/>
    <s v="Gram "/>
    <n v="1"/>
    <m/>
    <m/>
    <n v="14"/>
    <x v="0"/>
    <n v="7.1428571428571425E-2"/>
    <n v="9.3526666666666654E-3"/>
    <n v="6.6804761904761889E-4"/>
  </r>
  <r>
    <x v="86"/>
    <s v="Gourmet360"/>
    <x v="0"/>
    <x v="85"/>
    <x v="0"/>
    <x v="2"/>
    <m/>
    <m/>
    <m/>
    <s v="DRS5-980"/>
    <s v="Flour Cake Special (all purpose)"/>
    <s v="Gram "/>
    <s v="Gram "/>
    <n v="25"/>
    <m/>
    <m/>
    <n v="14"/>
    <x v="0"/>
    <n v="1.7857142857142858"/>
    <n v="1E-3"/>
    <n v="1.7857142857142859E-3"/>
  </r>
  <r>
    <x v="86"/>
    <s v="Gourmet360"/>
    <x v="0"/>
    <x v="85"/>
    <x v="0"/>
    <x v="2"/>
    <m/>
    <m/>
    <m/>
    <s v="TAP-00001"/>
    <s v="Tap Water-Cooking"/>
    <s v="Ml"/>
    <s v="Ml"/>
    <n v="2300"/>
    <m/>
    <m/>
    <n v="14"/>
    <x v="0"/>
    <n v="164.28571428571428"/>
    <n v="8.0000000000000007E-5"/>
    <n v="1.3142857142857144E-2"/>
  </r>
  <r>
    <x v="86"/>
    <s v="Gourmet360"/>
    <x v="0"/>
    <x v="85"/>
    <x v="0"/>
    <x v="2"/>
    <m/>
    <m/>
    <m/>
    <s v="DRS1-456"/>
    <s v="Can Mushroom Whole (2840 Gram)"/>
    <s v="Gram "/>
    <s v="Gram "/>
    <n v="400"/>
    <m/>
    <m/>
    <n v="14"/>
    <x v="0"/>
    <n v="28.571428571428573"/>
    <n v="1.4999999999999999E-2"/>
    <n v="0.4285714285714286"/>
  </r>
  <r>
    <x v="86"/>
    <s v="Gourmet360"/>
    <x v="0"/>
    <x v="85"/>
    <x v="0"/>
    <x v="2"/>
    <m/>
    <m/>
    <m/>
    <s v="DRS1-3811"/>
    <s v="Chicken Stock Powder(Packet)"/>
    <s v="Gram "/>
    <s v="Gram "/>
    <n v="10"/>
    <m/>
    <m/>
    <n v="14"/>
    <x v="0"/>
    <n v="0.7142857142857143"/>
    <n v="2.8475E-2"/>
    <n v="2.0339285714285716E-2"/>
  </r>
  <r>
    <x v="86"/>
    <s v="Gourmet360"/>
    <x v="0"/>
    <x v="85"/>
    <x v="0"/>
    <x v="2"/>
    <m/>
    <m/>
    <m/>
    <s v="PRD3-1842"/>
    <s v="Dry Mushroom Set (Jar)"/>
    <s v="Gram "/>
    <s v="Gram "/>
    <n v="5"/>
    <m/>
    <m/>
    <n v="14"/>
    <x v="0"/>
    <n v="0.35714285714285715"/>
    <n v="0.3"/>
    <n v="0.10714285714285714"/>
  </r>
  <r>
    <x v="86"/>
    <s v="Gourmet360"/>
    <x v="0"/>
    <x v="85"/>
    <x v="0"/>
    <x v="2"/>
    <m/>
    <m/>
    <m/>
    <s v="DRY2-1858"/>
    <s v="Cooking Cream 1 Ltr"/>
    <s v="Ml"/>
    <s v="Ml"/>
    <n v="200"/>
    <m/>
    <m/>
    <n v="14"/>
    <x v="0"/>
    <n v="14.285714285714286"/>
    <n v="9.8800000000000016E-3"/>
    <n v="0.14114285714285718"/>
  </r>
  <r>
    <x v="86"/>
    <s v="Gourmet360"/>
    <x v="0"/>
    <x v="85"/>
    <x v="0"/>
    <x v="2"/>
    <m/>
    <m/>
    <m/>
    <s v="DRS1-3880"/>
    <s v="Salt "/>
    <s v="Gram "/>
    <s v="Gram "/>
    <n v="10"/>
    <m/>
    <m/>
    <n v="14"/>
    <x v="0"/>
    <n v="0.7142857142857143"/>
    <n v="5.0000000000000001E-4"/>
    <n v="3.5714285714285714E-4"/>
  </r>
  <r>
    <x v="86"/>
    <s v="Gourmet360"/>
    <x v="0"/>
    <x v="85"/>
    <x v="0"/>
    <x v="2"/>
    <m/>
    <m/>
    <m/>
    <s v="DRS1-3357"/>
    <s v="Sauce Demi Glace(1.2Kg)"/>
    <s v="Gram "/>
    <s v="Gram "/>
    <n v="10"/>
    <m/>
    <m/>
    <n v="14"/>
    <x v="0"/>
    <n v="0.7142857142857143"/>
    <n v="6.8440000000000001E-2"/>
    <n v="4.8885714285714289E-2"/>
  </r>
  <r>
    <x v="87"/>
    <s v="Gourmet360"/>
    <x v="0"/>
    <x v="86"/>
    <x v="0"/>
    <x v="2"/>
    <m/>
    <m/>
    <m/>
    <s v="DRS3-1813"/>
    <s v="Corn Oil (18 Liter)"/>
    <s v="Ml"/>
    <s v="Ml"/>
    <n v="20"/>
    <m/>
    <m/>
    <n v="14"/>
    <x v="1"/>
    <n v="1.4285714285714286"/>
    <n v="8.0555555555555554E-3"/>
    <n v="1.1507936507936509E-2"/>
  </r>
  <r>
    <x v="87"/>
    <s v="Gourmet360"/>
    <x v="0"/>
    <x v="86"/>
    <x v="0"/>
    <x v="2"/>
    <m/>
    <m/>
    <m/>
    <s v="PRD1-572"/>
    <s v="Fresh Tomato "/>
    <s v="Gram "/>
    <s v="Gram "/>
    <n v="200"/>
    <m/>
    <m/>
    <n v="14"/>
    <x v="0"/>
    <n v="14.285714285714286"/>
    <n v="4.5351473922902496E-3"/>
    <n v="6.4787819889860709E-2"/>
  </r>
  <r>
    <x v="87"/>
    <s v="Gourmet360"/>
    <x v="0"/>
    <x v="86"/>
    <x v="0"/>
    <x v="2"/>
    <m/>
    <m/>
    <m/>
    <s v="PRD1-4265"/>
    <s v="Fresh onion Yellow(Imported)"/>
    <s v="Gram "/>
    <s v="Gram "/>
    <n v="150"/>
    <m/>
    <m/>
    <n v="14"/>
    <x v="0"/>
    <n v="10.714285714285714"/>
    <n v="3.529411764705882E-3"/>
    <n v="3.7815126050420159E-2"/>
  </r>
  <r>
    <x v="87"/>
    <s v="Gourmet360"/>
    <x v="0"/>
    <x v="86"/>
    <x v="0"/>
    <x v="2"/>
    <m/>
    <m/>
    <m/>
    <s v="PRD1-4327"/>
    <s v="Fresh Garlic Peeled"/>
    <s v="Gram "/>
    <s v="Gram "/>
    <n v="20"/>
    <m/>
    <m/>
    <n v="14"/>
    <x v="0"/>
    <n v="1.4285714285714286"/>
    <n v="1.2999999999999999E-2"/>
    <n v="1.8571428571428572E-2"/>
  </r>
  <r>
    <x v="87"/>
    <s v="Gourmet360"/>
    <x v="0"/>
    <x v="86"/>
    <x v="0"/>
    <x v="2"/>
    <m/>
    <m/>
    <m/>
    <s v="MET2-585"/>
    <s v="Frz Beef Topside"/>
    <s v="Gram "/>
    <s v="Gram "/>
    <n v="300"/>
    <m/>
    <m/>
    <n v="14"/>
    <x v="0"/>
    <n v="21.428571428571427"/>
    <n v="4.2630057803468215E-2"/>
    <n v="0.91350123864574739"/>
  </r>
  <r>
    <x v="87"/>
    <s v="Gourmet360"/>
    <x v="0"/>
    <x v="86"/>
    <x v="0"/>
    <x v="2"/>
    <m/>
    <m/>
    <m/>
    <s v="DRS6-537"/>
    <s v="Spices Pepper Black Powder(1 Kg)"/>
    <s v="Gram "/>
    <s v="Gram "/>
    <n v="1"/>
    <m/>
    <m/>
    <n v="14"/>
    <x v="0"/>
    <n v="7.1428571428571425E-2"/>
    <n v="3.5000000000000003E-2"/>
    <n v="2.5000000000000001E-3"/>
  </r>
  <r>
    <x v="87"/>
    <s v="Gourmet360"/>
    <x v="0"/>
    <x v="86"/>
    <x v="0"/>
    <x v="2"/>
    <m/>
    <m/>
    <m/>
    <s v="DRS6-733"/>
    <s v="Spices Cumin Powder"/>
    <s v="Gram "/>
    <s v="Gram "/>
    <n v="2"/>
    <m/>
    <m/>
    <n v="14"/>
    <x v="0"/>
    <n v="0.14285714285714285"/>
    <n v="2.8000000000000001E-2"/>
    <n v="4.0000000000000001E-3"/>
  </r>
  <r>
    <x v="87"/>
    <s v="Gourmet360"/>
    <x v="0"/>
    <x v="86"/>
    <x v="0"/>
    <x v="2"/>
    <m/>
    <m/>
    <m/>
    <s v="DRS1-1747"/>
    <s v="Can Tomato Paste (4500 Gram)"/>
    <s v="Gram "/>
    <s v="Gram "/>
    <n v="80"/>
    <m/>
    <m/>
    <n v="14"/>
    <x v="0"/>
    <n v="5.7142857142857144"/>
    <n v="5.185185185185185E-3"/>
    <n v="2.9629629629629631E-2"/>
  </r>
  <r>
    <x v="87"/>
    <s v="Gourmet360"/>
    <x v="0"/>
    <x v="86"/>
    <x v="0"/>
    <x v="2"/>
    <m/>
    <m/>
    <m/>
    <s v="TAP-00001"/>
    <s v="Tap Water-Cooking"/>
    <s v="Ml"/>
    <s v="Ml"/>
    <n v="2100"/>
    <m/>
    <m/>
    <n v="14"/>
    <x v="0"/>
    <n v="150"/>
    <n v="8.0000000000000007E-5"/>
    <n v="1.2E-2"/>
  </r>
  <r>
    <x v="87"/>
    <s v="Gourmet360"/>
    <x v="0"/>
    <x v="86"/>
    <x v="0"/>
    <x v="2"/>
    <m/>
    <m/>
    <m/>
    <s v="PRD1-227"/>
    <s v="Fresh Parsley"/>
    <s v="Gram "/>
    <s v="Gram "/>
    <n v="5"/>
    <m/>
    <m/>
    <n v="14"/>
    <x v="0"/>
    <n v="0.35714285714285715"/>
    <n v="1.5850144092219021E-2"/>
    <n v="5.6607657472210792E-3"/>
  </r>
  <r>
    <x v="87"/>
    <s v="Gourmet360"/>
    <x v="0"/>
    <x v="86"/>
    <x v="0"/>
    <x v="2"/>
    <m/>
    <m/>
    <m/>
    <s v="DRS1-4809"/>
    <s v="Oats White Whole(900 Gram)"/>
    <s v="Gram "/>
    <s v="Gram "/>
    <n v="75"/>
    <m/>
    <m/>
    <n v="14"/>
    <x v="0"/>
    <n v="5.3571428571428568"/>
    <n v="1.1577777777777777E-2"/>
    <n v="6.2023809523809516E-2"/>
  </r>
  <r>
    <x v="87"/>
    <s v="Gourmet360"/>
    <x v="0"/>
    <x v="86"/>
    <x v="0"/>
    <x v="2"/>
    <m/>
    <m/>
    <m/>
    <s v="DRS1-3813"/>
    <s v="Beef Stock Powder(Packet)"/>
    <s v="Gram "/>
    <s v="Gram "/>
    <n v="10"/>
    <m/>
    <m/>
    <n v="14"/>
    <x v="0"/>
    <n v="0.7142857142857143"/>
    <n v="4.4441666666666664E-2"/>
    <n v="3.1744047619047616E-2"/>
  </r>
  <r>
    <x v="87"/>
    <s v="Gourmet360"/>
    <x v="0"/>
    <x v="86"/>
    <x v="0"/>
    <x v="2"/>
    <m/>
    <m/>
    <m/>
    <s v="DRS1-3880"/>
    <s v="Salt "/>
    <s v="Gram "/>
    <s v="Gram "/>
    <n v="5"/>
    <m/>
    <m/>
    <n v="14"/>
    <x v="0"/>
    <n v="0.35714285714285715"/>
    <n v="5.0000000000000001E-4"/>
    <n v="1.7857142857142857E-4"/>
  </r>
  <r>
    <x v="88"/>
    <s v="Gourmet360"/>
    <x v="0"/>
    <x v="87"/>
    <x v="11"/>
    <x v="2"/>
    <m/>
    <m/>
    <m/>
    <s v="PRD1-223"/>
    <s v="Fresh Mushroom"/>
    <s v="Gram "/>
    <s v="Gram "/>
    <n v="200"/>
    <m/>
    <m/>
    <n v="14"/>
    <x v="2"/>
    <n v="14.285714285714286"/>
    <n v="2.3231256599788808E-2"/>
    <n v="0.33187509428269729"/>
  </r>
  <r>
    <x v="88"/>
    <s v="Gourmet360"/>
    <x v="0"/>
    <x v="87"/>
    <x v="11"/>
    <x v="2"/>
    <m/>
    <m/>
    <m/>
    <s v="DRY2-1008"/>
    <s v="Butter 82% Fat(Unsalted) 25 kg"/>
    <s v="Gram "/>
    <s v="Gram "/>
    <n v="30"/>
    <m/>
    <m/>
    <n v="14"/>
    <x v="0"/>
    <n v="2.1428571428571428"/>
    <n v="0.03"/>
    <n v="6.4285714285714279E-2"/>
  </r>
  <r>
    <x v="88"/>
    <s v="Gourmet360"/>
    <x v="0"/>
    <x v="87"/>
    <x v="11"/>
    <x v="2"/>
    <m/>
    <m/>
    <m/>
    <s v="PRD1-4265"/>
    <s v="Fresh onion Yellow(Imported)"/>
    <s v="Gram "/>
    <s v="Gram "/>
    <n v="80"/>
    <m/>
    <m/>
    <n v="14"/>
    <x v="0"/>
    <n v="5.7142857142857144"/>
    <n v="3.529411764705882E-3"/>
    <n v="2.0168067226890754E-2"/>
  </r>
  <r>
    <x v="88"/>
    <s v="Gourmet360"/>
    <x v="0"/>
    <x v="87"/>
    <x v="11"/>
    <x v="2"/>
    <m/>
    <m/>
    <m/>
    <s v="PRD1-4327"/>
    <s v="Fresh Garlic Peeled"/>
    <s v="Gram "/>
    <s v="Gram "/>
    <n v="15"/>
    <m/>
    <m/>
    <n v="14"/>
    <x v="0"/>
    <n v="1.0714285714285714"/>
    <n v="1.2999999999999999E-2"/>
    <n v="1.3928571428571427E-2"/>
  </r>
  <r>
    <x v="88"/>
    <s v="Gourmet360"/>
    <x v="0"/>
    <x v="87"/>
    <x v="11"/>
    <x v="2"/>
    <m/>
    <m/>
    <m/>
    <s v="DRS6-1570"/>
    <s v="Dried Oregano"/>
    <s v="Gram "/>
    <s v="Gram "/>
    <n v="1"/>
    <m/>
    <m/>
    <n v="14"/>
    <x v="0"/>
    <n v="7.1428571428571425E-2"/>
    <n v="9.3526666666666654E-3"/>
    <n v="6.6804761904761889E-4"/>
  </r>
  <r>
    <x v="88"/>
    <s v="Gourmet360"/>
    <x v="0"/>
    <x v="87"/>
    <x v="11"/>
    <x v="2"/>
    <m/>
    <m/>
    <m/>
    <s v="DRS5-40"/>
    <s v="Flour White"/>
    <s v="Gram "/>
    <s v="Gram "/>
    <n v="25"/>
    <m/>
    <m/>
    <n v="14"/>
    <x v="0"/>
    <n v="1.7857142857142858"/>
    <n v="7.7777777777777773E-4"/>
    <n v="1.3888888888888889E-3"/>
  </r>
  <r>
    <x v="88"/>
    <s v="Gourmet360"/>
    <x v="0"/>
    <x v="87"/>
    <x v="11"/>
    <x v="2"/>
    <m/>
    <m/>
    <m/>
    <s v="TAP-00001"/>
    <s v="Tap Water-Cooking"/>
    <s v="Ml"/>
    <s v="Ml"/>
    <n v="2300"/>
    <m/>
    <m/>
    <n v="14"/>
    <x v="0"/>
    <n v="164.28571428571428"/>
    <n v="8.0000000000000007E-5"/>
    <n v="1.3142857142857144E-2"/>
  </r>
  <r>
    <x v="88"/>
    <s v="Gourmet360"/>
    <x v="0"/>
    <x v="87"/>
    <x v="11"/>
    <x v="2"/>
    <m/>
    <m/>
    <m/>
    <s v="DRS1-456"/>
    <s v="Can Mushroom Whole (2840 Gram)"/>
    <s v="Gram "/>
    <s v="Gram "/>
    <n v="400"/>
    <m/>
    <m/>
    <n v="14"/>
    <x v="0"/>
    <n v="28.571428571428573"/>
    <n v="1.4999999999999999E-2"/>
    <n v="0.4285714285714286"/>
  </r>
  <r>
    <x v="88"/>
    <s v="Gourmet360"/>
    <x v="0"/>
    <x v="87"/>
    <x v="11"/>
    <x v="2"/>
    <m/>
    <m/>
    <m/>
    <s v="DRS1-3811"/>
    <s v="Chicken Stock Powder(Packet)"/>
    <s v="Gram "/>
    <s v="Gram "/>
    <n v="10"/>
    <m/>
    <m/>
    <n v="14"/>
    <x v="0"/>
    <n v="0.7142857142857143"/>
    <n v="2.8475E-2"/>
    <n v="2.0339285714285716E-2"/>
  </r>
  <r>
    <x v="88"/>
    <s v="Gourmet360"/>
    <x v="0"/>
    <x v="87"/>
    <x v="11"/>
    <x v="2"/>
    <m/>
    <m/>
    <m/>
    <s v="PRD3-1842"/>
    <s v="Dry Mushroom Set (Jar)"/>
    <s v="Gram "/>
    <s v="Gram "/>
    <n v="5"/>
    <m/>
    <m/>
    <n v="14"/>
    <x v="0"/>
    <n v="0.35714285714285715"/>
    <n v="0.3"/>
    <n v="0.10714285714285714"/>
  </r>
  <r>
    <x v="88"/>
    <s v="Gourmet360"/>
    <x v="0"/>
    <x v="87"/>
    <x v="11"/>
    <x v="2"/>
    <m/>
    <m/>
    <m/>
    <s v="DRY2-1858"/>
    <s v="Cooking Cream 1 Ltr"/>
    <s v="Ml"/>
    <s v="Ml"/>
    <n v="200"/>
    <m/>
    <m/>
    <n v="14"/>
    <x v="0"/>
    <n v="14.285714285714286"/>
    <n v="9.8800000000000016E-3"/>
    <n v="0.14114285714285718"/>
  </r>
  <r>
    <x v="88"/>
    <s v="Gourmet360"/>
    <x v="0"/>
    <x v="87"/>
    <x v="11"/>
    <x v="2"/>
    <m/>
    <m/>
    <m/>
    <s v="DRS1-3880"/>
    <s v="Salt "/>
    <s v="Gram "/>
    <s v="Gram "/>
    <n v="5"/>
    <m/>
    <m/>
    <n v="14"/>
    <x v="0"/>
    <n v="0.35714285714285715"/>
    <n v="5.0000000000000001E-4"/>
    <n v="1.7857142857142857E-4"/>
  </r>
  <r>
    <x v="88"/>
    <s v="Gourmet360"/>
    <x v="0"/>
    <x v="87"/>
    <x v="11"/>
    <x v="2"/>
    <m/>
    <m/>
    <m/>
    <s v="DRS1-3357"/>
    <s v="Sauce Demi Glace(1.2Kg)"/>
    <s v="Gram "/>
    <s v="Gram "/>
    <n v="10"/>
    <m/>
    <m/>
    <n v="14"/>
    <x v="0"/>
    <n v="0.7142857142857143"/>
    <n v="6.8440000000000001E-2"/>
    <n v="4.8885714285714289E-2"/>
  </r>
  <r>
    <x v="89"/>
    <s v="Gourmet360"/>
    <x v="0"/>
    <x v="88"/>
    <x v="0"/>
    <x v="2"/>
    <m/>
    <m/>
    <m/>
    <s v="DRY2-1008"/>
    <s v="Butter 82% Fat(Unsalted) 25 kg"/>
    <s v="Gram "/>
    <s v="Gram "/>
    <n v="25"/>
    <m/>
    <m/>
    <n v="14"/>
    <x v="0"/>
    <n v="1.7857142857142858"/>
    <n v="0.03"/>
    <n v="5.3571428571428575E-2"/>
  </r>
  <r>
    <x v="89"/>
    <s v="Gourmet360"/>
    <x v="0"/>
    <x v="88"/>
    <x v="0"/>
    <x v="2"/>
    <m/>
    <m/>
    <m/>
    <s v="PRD1-4265"/>
    <s v="Fresh onion Yellow(Imported)"/>
    <s v="Gram "/>
    <s v="Gram "/>
    <n v="100"/>
    <m/>
    <m/>
    <n v="14"/>
    <x v="0"/>
    <n v="7.1428571428571432"/>
    <n v="3.529411764705882E-3"/>
    <n v="2.5210084033613446E-2"/>
  </r>
  <r>
    <x v="89"/>
    <s v="Gourmet360"/>
    <x v="0"/>
    <x v="88"/>
    <x v="0"/>
    <x v="2"/>
    <m/>
    <m/>
    <m/>
    <s v="PRD1-4327"/>
    <s v="Fresh Garlic Peeled"/>
    <s v="Gram "/>
    <s v="Gram "/>
    <n v="15"/>
    <m/>
    <m/>
    <n v="14"/>
    <x v="0"/>
    <n v="1.0714285714285714"/>
    <n v="1.2999999999999999E-2"/>
    <n v="1.3928571428571427E-2"/>
  </r>
  <r>
    <x v="89"/>
    <s v="Gourmet360"/>
    <x v="0"/>
    <x v="88"/>
    <x v="0"/>
    <x v="2"/>
    <m/>
    <m/>
    <m/>
    <s v="DRS6-309"/>
    <s v="Spice Pepper White Powder"/>
    <s v="Gram "/>
    <s v="Gram "/>
    <n v="2"/>
    <m/>
    <m/>
    <n v="14"/>
    <x v="0"/>
    <n v="0.14285714285714285"/>
    <n v="2.8000000000000001E-2"/>
    <n v="4.0000000000000001E-3"/>
  </r>
  <r>
    <x v="89"/>
    <s v="Gourmet360"/>
    <x v="0"/>
    <x v="88"/>
    <x v="0"/>
    <x v="2"/>
    <m/>
    <m/>
    <m/>
    <s v="DRS1-3811"/>
    <s v="Chicken Stock Powder(Packet)"/>
    <s v="Gram "/>
    <s v="Gram "/>
    <n v="15"/>
    <m/>
    <m/>
    <n v="14"/>
    <x v="0"/>
    <n v="1.0714285714285714"/>
    <n v="2.8475E-2"/>
    <n v="3.0508928571428572E-2"/>
  </r>
  <r>
    <x v="89"/>
    <s v="Gourmet360"/>
    <x v="0"/>
    <x v="88"/>
    <x v="0"/>
    <x v="2"/>
    <m/>
    <m/>
    <m/>
    <s v="DRY2-1858"/>
    <s v="Cooking Cream 1 Ltr"/>
    <s v="Ml"/>
    <s v="Ml"/>
    <n v="200"/>
    <m/>
    <m/>
    <n v="14"/>
    <x v="0"/>
    <n v="14.285714285714286"/>
    <n v="9.8800000000000016E-3"/>
    <n v="0.14114285714285718"/>
  </r>
  <r>
    <x v="89"/>
    <s v="Gourmet360"/>
    <x v="0"/>
    <x v="88"/>
    <x v="0"/>
    <x v="2"/>
    <m/>
    <m/>
    <m/>
    <s v="TAP-00001"/>
    <s v="Tap Water-Cooking"/>
    <s v="Ml"/>
    <s v="Ml"/>
    <n v="2000"/>
    <m/>
    <m/>
    <n v="14"/>
    <x v="0"/>
    <n v="142.85714285714286"/>
    <n v="8.0000000000000007E-5"/>
    <n v="1.142857142857143E-2"/>
  </r>
  <r>
    <x v="89"/>
    <s v="Gourmet360"/>
    <x v="0"/>
    <x v="88"/>
    <x v="0"/>
    <x v="2"/>
    <m/>
    <m/>
    <m/>
    <s v="DRS1-1463"/>
    <s v="Can sweet corn (2950gram)"/>
    <s v="Gram "/>
    <s v="Gram "/>
    <n v="700"/>
    <m/>
    <m/>
    <n v="14"/>
    <x v="0"/>
    <n v="50"/>
    <n v="0.01"/>
    <n v="0.5"/>
  </r>
  <r>
    <x v="89"/>
    <s v="Gourmet360"/>
    <x v="0"/>
    <x v="88"/>
    <x v="0"/>
    <x v="2"/>
    <m/>
    <m/>
    <m/>
    <s v="DRS5-980"/>
    <s v="Flour Cake Special (all purpose)"/>
    <s v="Gram "/>
    <s v="Gram "/>
    <n v="25"/>
    <m/>
    <m/>
    <n v="14"/>
    <x v="0"/>
    <n v="1.7857142857142858"/>
    <n v="1E-3"/>
    <n v="1.7857142857142859E-3"/>
  </r>
  <r>
    <x v="89"/>
    <s v="Gourmet360"/>
    <x v="0"/>
    <x v="88"/>
    <x v="0"/>
    <x v="2"/>
    <m/>
    <m/>
    <m/>
    <s v="DRS1-3880"/>
    <s v="Salt "/>
    <s v="Gram "/>
    <s v="Gram "/>
    <n v="8"/>
    <m/>
    <m/>
    <n v="14"/>
    <x v="0"/>
    <n v="0.5714285714285714"/>
    <n v="5.0000000000000001E-4"/>
    <n v="2.8571428571428568E-4"/>
  </r>
  <r>
    <x v="89"/>
    <s v="Gourmet360"/>
    <x v="0"/>
    <x v="88"/>
    <x v="0"/>
    <x v="2"/>
    <m/>
    <m/>
    <m/>
    <s v="DRS1-304"/>
    <s v="Food Color Yellow(Saffron)"/>
    <s v="Gram "/>
    <s v="Gram "/>
    <n v="1"/>
    <m/>
    <m/>
    <n v="14"/>
    <x v="0"/>
    <n v="7.1428571428571425E-2"/>
    <n v="2.0799999999999999E-2"/>
    <n v="1.4857142857142855E-3"/>
  </r>
  <r>
    <x v="90"/>
    <s v="Gourmet360"/>
    <x v="0"/>
    <x v="89"/>
    <x v="12"/>
    <x v="2"/>
    <m/>
    <m/>
    <m/>
    <s v="DRS3-1813"/>
    <s v="Corn Oil (18 Liter)"/>
    <s v="Ml"/>
    <s v="Ml"/>
    <n v="25"/>
    <m/>
    <m/>
    <n v="14"/>
    <x v="0"/>
    <n v="1.7857142857142858"/>
    <n v="8.0555555555555554E-3"/>
    <n v="1.4384920634920636E-2"/>
  </r>
  <r>
    <x v="90"/>
    <s v="Gourmet360"/>
    <x v="0"/>
    <x v="89"/>
    <x v="12"/>
    <x v="2"/>
    <m/>
    <m/>
    <m/>
    <s v="PRD1-4265"/>
    <s v="Fresh onion Yellow(Imported)"/>
    <s v="Gram "/>
    <s v="Gram "/>
    <n v="150"/>
    <m/>
    <m/>
    <n v="14"/>
    <x v="0"/>
    <n v="10.714285714285714"/>
    <n v="3.529411764705882E-3"/>
    <n v="3.7815126050420159E-2"/>
  </r>
  <r>
    <x v="90"/>
    <s v="Gourmet360"/>
    <x v="0"/>
    <x v="89"/>
    <x v="12"/>
    <x v="2"/>
    <m/>
    <m/>
    <m/>
    <s v="PRD1-4327"/>
    <s v="Fresh Garlic Peeled"/>
    <s v="Gram "/>
    <s v="Gram "/>
    <n v="15"/>
    <m/>
    <m/>
    <n v="14"/>
    <x v="0"/>
    <n v="1.0714285714285714"/>
    <n v="1.2999999999999999E-2"/>
    <n v="1.3928571428571427E-2"/>
  </r>
  <r>
    <x v="90"/>
    <s v="Gourmet360"/>
    <x v="0"/>
    <x v="89"/>
    <x v="12"/>
    <x v="2"/>
    <m/>
    <m/>
    <m/>
    <s v="PLT2-3278"/>
    <s v="Frz Chicken Breast Tender (KG)"/>
    <s v="Gram "/>
    <s v="Gram "/>
    <n v="250"/>
    <m/>
    <m/>
    <n v="14"/>
    <x v="0"/>
    <n v="17.857142857142858"/>
    <n v="3.0357142857142853E-2"/>
    <n v="0.54209183673469385"/>
  </r>
  <r>
    <x v="90"/>
    <s v="Gourmet360"/>
    <x v="0"/>
    <x v="89"/>
    <x v="12"/>
    <x v="2"/>
    <m/>
    <m/>
    <m/>
    <s v="PRD1-3546"/>
    <s v="Fresh Baby Carrot"/>
    <s v="Gram "/>
    <s v="Gram "/>
    <n v="100"/>
    <m/>
    <m/>
    <n v="14"/>
    <x v="0"/>
    <n v="7.1428571428571432"/>
    <n v="0.04"/>
    <n v="0.28571428571428575"/>
  </r>
  <r>
    <x v="90"/>
    <s v="Gourmet360"/>
    <x v="0"/>
    <x v="89"/>
    <x v="12"/>
    <x v="2"/>
    <m/>
    <m/>
    <m/>
    <s v="PRD1-191"/>
    <s v="Fresh Celery Branch(Imported)"/>
    <s v="Gram "/>
    <s v="Gram "/>
    <n v="25"/>
    <m/>
    <m/>
    <n v="14"/>
    <x v="0"/>
    <n v="1.7857142857142858"/>
    <n v="2.4971623155505111E-2"/>
    <n v="4.4592184206259128E-2"/>
  </r>
  <r>
    <x v="90"/>
    <s v="Gourmet360"/>
    <x v="0"/>
    <x v="89"/>
    <x v="12"/>
    <x v="2"/>
    <m/>
    <m/>
    <m/>
    <s v="DRS1-3811"/>
    <s v="Chicken Stock Powder(Packet)"/>
    <s v="Gram "/>
    <s v="Gram "/>
    <n v="10"/>
    <m/>
    <m/>
    <n v="14"/>
    <x v="0"/>
    <n v="0.7142857142857143"/>
    <n v="2.8475E-2"/>
    <n v="2.0339285714285716E-2"/>
  </r>
  <r>
    <x v="90"/>
    <s v="Gourmet360"/>
    <x v="0"/>
    <x v="89"/>
    <x v="12"/>
    <x v="2"/>
    <m/>
    <m/>
    <m/>
    <s v="TAP-00001"/>
    <s v="Tap Water-Cooking"/>
    <s v="Ml"/>
    <s v="Ml"/>
    <n v="2000"/>
    <m/>
    <m/>
    <n v="14"/>
    <x v="0"/>
    <n v="142.85714285714286"/>
    <n v="8.0000000000000007E-5"/>
    <n v="1.142857142857143E-2"/>
  </r>
  <r>
    <x v="90"/>
    <s v="Gourmet360"/>
    <x v="0"/>
    <x v="89"/>
    <x v="12"/>
    <x v="2"/>
    <m/>
    <m/>
    <m/>
    <s v="DRS2-3825"/>
    <s v="Pasta Orzo #17 (500 Gram)"/>
    <s v="Gram "/>
    <s v="Gram "/>
    <n v="80"/>
    <m/>
    <m/>
    <n v="14"/>
    <x v="0"/>
    <n v="5.7142857142857144"/>
    <n v="9.2222222222222237E-3"/>
    <n v="5.269841269841271E-2"/>
  </r>
  <r>
    <x v="90"/>
    <s v="Gourmet360"/>
    <x v="0"/>
    <x v="89"/>
    <x v="12"/>
    <x v="2"/>
    <m/>
    <m/>
    <m/>
    <s v="DRS6-309"/>
    <s v="Spice Pepper White Powder"/>
    <s v="Gram "/>
    <s v="Gram "/>
    <n v="1"/>
    <m/>
    <m/>
    <n v="14"/>
    <x v="0"/>
    <n v="7.1428571428571425E-2"/>
    <n v="2.8000000000000001E-2"/>
    <n v="2E-3"/>
  </r>
  <r>
    <x v="90"/>
    <s v="Gourmet360"/>
    <x v="0"/>
    <x v="89"/>
    <x v="12"/>
    <x v="2"/>
    <m/>
    <m/>
    <m/>
    <s v="PRD1-227"/>
    <s v="Fresh Parsley"/>
    <s v="Gram "/>
    <s v="Gram "/>
    <n v="5"/>
    <m/>
    <m/>
    <n v="14"/>
    <x v="0"/>
    <n v="0.35714285714285715"/>
    <n v="1.5850144092219021E-2"/>
    <n v="5.6607657472210792E-3"/>
  </r>
  <r>
    <x v="90"/>
    <s v="Gourmet360"/>
    <x v="0"/>
    <x v="89"/>
    <x v="12"/>
    <x v="2"/>
    <m/>
    <m/>
    <m/>
    <s v="DRS1-3880"/>
    <s v="Salt "/>
    <s v="Gram "/>
    <s v="Gram "/>
    <n v="10"/>
    <m/>
    <m/>
    <n v="14"/>
    <x v="0"/>
    <n v="0.7142857142857143"/>
    <n v="5.0000000000000001E-4"/>
    <n v="3.5714285714285714E-4"/>
  </r>
  <r>
    <x v="90"/>
    <s v="Gourmet360"/>
    <x v="0"/>
    <x v="89"/>
    <x v="12"/>
    <x v="2"/>
    <m/>
    <m/>
    <m/>
    <s v="DRS5-40"/>
    <s v="Flour White"/>
    <s v="Gram "/>
    <s v="Gram "/>
    <n v="40"/>
    <m/>
    <m/>
    <n v="14"/>
    <x v="0"/>
    <n v="2.8571428571428572"/>
    <n v="7.7777777777777773E-4"/>
    <n v="2.2222222222222222E-3"/>
  </r>
  <r>
    <x v="90"/>
    <s v="Gourmet360"/>
    <x v="0"/>
    <x v="89"/>
    <x v="12"/>
    <x v="2"/>
    <m/>
    <m/>
    <m/>
    <s v="PRD1-572"/>
    <s v="Fresh Tomato "/>
    <s v="Gram "/>
    <s v="Gram "/>
    <n v="400"/>
    <m/>
    <m/>
    <n v="14"/>
    <x v="0"/>
    <n v="28.571428571428573"/>
    <n v="4.5351473922902496E-3"/>
    <n v="0.12957563977972142"/>
  </r>
  <r>
    <x v="90"/>
    <s v="Gourmet360"/>
    <x v="0"/>
    <x v="89"/>
    <x v="12"/>
    <x v="2"/>
    <m/>
    <m/>
    <m/>
    <s v="DRS1-1747"/>
    <s v="Can Tomato Paste (4500 Gram)"/>
    <s v="Gram "/>
    <s v="Gram "/>
    <n v="40"/>
    <m/>
    <m/>
    <n v="14"/>
    <x v="0"/>
    <n v="2.8571428571428572"/>
    <n v="5.185185185185185E-3"/>
    <n v="1.4814814814814815E-2"/>
  </r>
  <r>
    <x v="91"/>
    <s v="Gourmet360"/>
    <x v="0"/>
    <x v="90"/>
    <x v="13"/>
    <x v="2"/>
    <m/>
    <m/>
    <m/>
    <s v="DRY2-1008"/>
    <s v="Butter 82% Fat(Unsalted) 25 kg"/>
    <s v="Gram "/>
    <s v="Gram "/>
    <n v="25"/>
    <m/>
    <m/>
    <n v="14"/>
    <x v="0"/>
    <n v="1.7857142857142858"/>
    <n v="0.03"/>
    <n v="5.3571428571428575E-2"/>
  </r>
  <r>
    <x v="91"/>
    <s v="Gourmet360"/>
    <x v="0"/>
    <x v="90"/>
    <x v="13"/>
    <x v="2"/>
    <m/>
    <m/>
    <m/>
    <s v="PRD1-4265"/>
    <s v="Fresh onion Yellow(Imported)"/>
    <s v="Gram "/>
    <s v="Gram "/>
    <n v="100"/>
    <m/>
    <m/>
    <n v="14"/>
    <x v="0"/>
    <n v="7.1428571428571432"/>
    <n v="3.529411764705882E-3"/>
    <n v="2.5210084033613446E-2"/>
  </r>
  <r>
    <x v="91"/>
    <s v="Gourmet360"/>
    <x v="0"/>
    <x v="90"/>
    <x v="13"/>
    <x v="2"/>
    <m/>
    <m/>
    <m/>
    <s v="PRD1-4327"/>
    <s v="Fresh Garlic Peeled"/>
    <s v="Gram "/>
    <s v="Gram "/>
    <n v="15"/>
    <m/>
    <m/>
    <n v="14"/>
    <x v="0"/>
    <n v="1.0714285714285714"/>
    <n v="1.2999999999999999E-2"/>
    <n v="1.3928571428571427E-2"/>
  </r>
  <r>
    <x v="91"/>
    <s v="Gourmet360"/>
    <x v="0"/>
    <x v="90"/>
    <x v="13"/>
    <x v="2"/>
    <m/>
    <m/>
    <m/>
    <s v="DRS6-309"/>
    <s v="Spice Pepper White Powder"/>
    <s v="Gram "/>
    <s v="Gram "/>
    <n v="2"/>
    <m/>
    <m/>
    <n v="14"/>
    <x v="0"/>
    <n v="0.14285714285714285"/>
    <n v="2.8000000000000001E-2"/>
    <n v="4.0000000000000001E-3"/>
  </r>
  <r>
    <x v="91"/>
    <s v="Gourmet360"/>
    <x v="0"/>
    <x v="90"/>
    <x v="13"/>
    <x v="2"/>
    <m/>
    <m/>
    <m/>
    <s v="DRS1-3811"/>
    <s v="Chicken Stock Powder(Packet)"/>
    <s v="Gram "/>
    <s v="Gram "/>
    <n v="15"/>
    <m/>
    <m/>
    <n v="14"/>
    <x v="0"/>
    <n v="1.0714285714285714"/>
    <n v="2.8475E-2"/>
    <n v="3.0508928571428572E-2"/>
  </r>
  <r>
    <x v="91"/>
    <s v="Gourmet360"/>
    <x v="0"/>
    <x v="90"/>
    <x v="13"/>
    <x v="2"/>
    <m/>
    <m/>
    <m/>
    <s v="DRY2-1858"/>
    <s v="Cooking Cream 1 Ltr"/>
    <s v="Ml"/>
    <s v="Ml"/>
    <n v="200"/>
    <m/>
    <m/>
    <n v="14"/>
    <x v="0"/>
    <n v="14.285714285714286"/>
    <n v="9.8800000000000016E-3"/>
    <n v="0.14114285714285718"/>
  </r>
  <r>
    <x v="91"/>
    <s v="Gourmet360"/>
    <x v="0"/>
    <x v="90"/>
    <x v="13"/>
    <x v="2"/>
    <m/>
    <m/>
    <m/>
    <s v="TAP-00001"/>
    <s v="Tap Water-Cooking"/>
    <s v="Ml"/>
    <s v="Ml"/>
    <n v="2000"/>
    <m/>
    <m/>
    <n v="14"/>
    <x v="0"/>
    <n v="142.85714285714286"/>
    <n v="8.0000000000000007E-5"/>
    <n v="1.142857142857143E-2"/>
  </r>
  <r>
    <x v="91"/>
    <s v="Gourmet360"/>
    <x v="0"/>
    <x v="90"/>
    <x v="13"/>
    <x v="2"/>
    <m/>
    <m/>
    <m/>
    <s v="DRS1-1463"/>
    <s v="Can sweet corn (2950gram)"/>
    <s v="Gram "/>
    <s v="Gram "/>
    <n v="700"/>
    <m/>
    <m/>
    <n v="14"/>
    <x v="0"/>
    <n v="50"/>
    <n v="0.01"/>
    <n v="0.5"/>
  </r>
  <r>
    <x v="91"/>
    <s v="Gourmet360"/>
    <x v="0"/>
    <x v="90"/>
    <x v="13"/>
    <x v="2"/>
    <m/>
    <m/>
    <m/>
    <s v="DRS5-980"/>
    <s v="Flour Cake Special (all purpose)"/>
    <s v="Gram "/>
    <s v="Gram "/>
    <n v="25"/>
    <m/>
    <m/>
    <n v="14"/>
    <x v="0"/>
    <n v="1.7857142857142858"/>
    <n v="1E-3"/>
    <n v="1.7857142857142859E-3"/>
  </r>
  <r>
    <x v="91"/>
    <s v="Gourmet360"/>
    <x v="0"/>
    <x v="90"/>
    <x v="13"/>
    <x v="2"/>
    <m/>
    <m/>
    <m/>
    <s v="DRS1-3880"/>
    <s v="Salt "/>
    <s v="Gram "/>
    <s v="Gram "/>
    <n v="8"/>
    <m/>
    <m/>
    <n v="14"/>
    <x v="0"/>
    <n v="0.5714285714285714"/>
    <n v="5.0000000000000001E-4"/>
    <n v="2.8571428571428568E-4"/>
  </r>
  <r>
    <x v="91"/>
    <s v="Gourmet360"/>
    <x v="0"/>
    <x v="90"/>
    <x v="13"/>
    <x v="2"/>
    <m/>
    <m/>
    <m/>
    <s v="DRS1-304"/>
    <s v="Food Color Yellow(Saffron)"/>
    <s v="Gram "/>
    <s v="Gram "/>
    <n v="1"/>
    <m/>
    <m/>
    <n v="14"/>
    <x v="0"/>
    <n v="7.1428571428571425E-2"/>
    <n v="2.0799999999999999E-2"/>
    <n v="1.4857142857142855E-3"/>
  </r>
  <r>
    <x v="92"/>
    <s v="Gourmet360"/>
    <x v="0"/>
    <x v="91"/>
    <x v="1"/>
    <x v="2"/>
    <m/>
    <m/>
    <m/>
    <s v="DRY2-1008"/>
    <s v="Butter 82% Fat(Unsalted) 25 kg"/>
    <s v="Gram "/>
    <s v="Gram "/>
    <n v="20"/>
    <m/>
    <m/>
    <n v="14"/>
    <x v="0"/>
    <n v="1.4285714285714286"/>
    <n v="0.03"/>
    <n v="4.2857142857142858E-2"/>
  </r>
  <r>
    <x v="92"/>
    <s v="Gourmet360"/>
    <x v="0"/>
    <x v="91"/>
    <x v="1"/>
    <x v="2"/>
    <m/>
    <m/>
    <m/>
    <s v="PRD1-4019"/>
    <s v="Fresh Leek (Imported)"/>
    <s v="Gram "/>
    <s v="Gram "/>
    <n v="50"/>
    <m/>
    <m/>
    <n v="14"/>
    <x v="0"/>
    <n v="3.5714285714285716"/>
    <n v="0.02"/>
    <n v="7.1428571428571438E-2"/>
  </r>
  <r>
    <x v="92"/>
    <s v="Gourmet360"/>
    <x v="0"/>
    <x v="91"/>
    <x v="1"/>
    <x v="2"/>
    <m/>
    <m/>
    <m/>
    <s v="PRD1-4327"/>
    <s v="Fresh Garlic Peeled"/>
    <s v="Gram "/>
    <s v="Gram "/>
    <n v="15"/>
    <m/>
    <m/>
    <n v="14"/>
    <x v="0"/>
    <n v="1.0714285714285714"/>
    <n v="1.2999999999999999E-2"/>
    <n v="1.3928571428571427E-2"/>
  </r>
  <r>
    <x v="92"/>
    <s v="Gourmet360"/>
    <x v="0"/>
    <x v="91"/>
    <x v="1"/>
    <x v="2"/>
    <m/>
    <m/>
    <m/>
    <s v="PRD1-4265"/>
    <s v="Fresh onion Yellow(Imported)"/>
    <s v="Gram "/>
    <s v="Gram "/>
    <n v="150"/>
    <m/>
    <m/>
    <n v="14"/>
    <x v="0"/>
    <n v="10.714285714285714"/>
    <n v="3.529411764705882E-3"/>
    <n v="3.7815126050420159E-2"/>
  </r>
  <r>
    <x v="92"/>
    <s v="Gourmet360"/>
    <x v="0"/>
    <x v="91"/>
    <x v="1"/>
    <x v="2"/>
    <m/>
    <m/>
    <m/>
    <s v="PRD1-232"/>
    <s v="Fresh Pumpkin"/>
    <s v="Gram "/>
    <s v="Gram "/>
    <n v="600"/>
    <m/>
    <m/>
    <n v="14"/>
    <x v="0"/>
    <n v="42.857142857142854"/>
    <n v="4.4444444444444444E-3"/>
    <n v="0.19047619047619047"/>
  </r>
  <r>
    <x v="92"/>
    <s v="Gourmet360"/>
    <x v="0"/>
    <x v="91"/>
    <x v="1"/>
    <x v="2"/>
    <m/>
    <m/>
    <m/>
    <s v="TAP-00001"/>
    <s v="Tap Water-Cooking"/>
    <s v="Ml"/>
    <s v="Ml"/>
    <n v="2000"/>
    <m/>
    <m/>
    <n v="14"/>
    <x v="0"/>
    <n v="142.85714285714286"/>
    <n v="8.0000000000000007E-5"/>
    <n v="1.142857142857143E-2"/>
  </r>
  <r>
    <x v="92"/>
    <s v="Gourmet360"/>
    <x v="0"/>
    <x v="91"/>
    <x v="1"/>
    <x v="2"/>
    <m/>
    <m/>
    <m/>
    <s v="DRS6-309"/>
    <s v="Spice Pepper White Powder"/>
    <s v="Gram "/>
    <s v="Gram "/>
    <n v="2"/>
    <m/>
    <m/>
    <n v="14"/>
    <x v="0"/>
    <n v="0.14285714285714285"/>
    <n v="2.8000000000000001E-2"/>
    <n v="4.0000000000000001E-3"/>
  </r>
  <r>
    <x v="92"/>
    <s v="Gourmet360"/>
    <x v="0"/>
    <x v="91"/>
    <x v="1"/>
    <x v="2"/>
    <m/>
    <m/>
    <m/>
    <s v="DRS1-3880"/>
    <s v="Salt "/>
    <s v="Gram "/>
    <s v="Gram "/>
    <n v="10"/>
    <m/>
    <m/>
    <n v="14"/>
    <x v="0"/>
    <n v="0.7142857142857143"/>
    <n v="5.0000000000000001E-4"/>
    <n v="3.5714285714285714E-4"/>
  </r>
  <r>
    <x v="92"/>
    <s v="Gourmet360"/>
    <x v="0"/>
    <x v="91"/>
    <x v="1"/>
    <x v="2"/>
    <m/>
    <m/>
    <m/>
    <s v="DRS1-4417"/>
    <s v="Vegetable Stock Powder(Packet)"/>
    <s v="Gram "/>
    <s v="Gram "/>
    <n v="10"/>
    <m/>
    <m/>
    <n v="14"/>
    <x v="0"/>
    <n v="0.7142857142857143"/>
    <n v="3.6754545454545456E-2"/>
    <n v="2.6253246753246754E-2"/>
  </r>
  <r>
    <x v="92"/>
    <s v="Gourmet360"/>
    <x v="0"/>
    <x v="91"/>
    <x v="1"/>
    <x v="2"/>
    <m/>
    <m/>
    <m/>
    <s v="DRY2-1858"/>
    <s v="Cooking Cream 1 Ltr"/>
    <s v="Ml"/>
    <s v="Ml"/>
    <n v="300"/>
    <m/>
    <m/>
    <n v="14"/>
    <x v="0"/>
    <n v="21.428571428571427"/>
    <n v="9.8800000000000016E-3"/>
    <n v="0.21171428571428574"/>
  </r>
  <r>
    <x v="93"/>
    <s v="Gourmet360"/>
    <x v="0"/>
    <x v="92"/>
    <x v="1"/>
    <x v="2"/>
    <m/>
    <m/>
    <m/>
    <s v="PRD1-4265"/>
    <s v="Fresh onion Yellow(Imported)"/>
    <s v="Gram "/>
    <s v="Gram "/>
    <n v="150"/>
    <m/>
    <m/>
    <n v="10"/>
    <x v="0"/>
    <n v="15"/>
    <n v="3.529411764705882E-3"/>
    <n v="5.2941176470588228E-2"/>
  </r>
  <r>
    <x v="93"/>
    <s v="Gourmet360"/>
    <x v="0"/>
    <x v="92"/>
    <x v="1"/>
    <x v="2"/>
    <m/>
    <m/>
    <m/>
    <s v="PRD1-4327"/>
    <s v="Fresh Garlic Peeled"/>
    <s v="Gram "/>
    <s v="Gram "/>
    <n v="10"/>
    <m/>
    <m/>
    <n v="10"/>
    <x v="0"/>
    <n v="1"/>
    <n v="1.2999999999999999E-2"/>
    <n v="1.2999999999999999E-2"/>
  </r>
  <r>
    <x v="93"/>
    <s v="Gourmet360"/>
    <x v="0"/>
    <x v="92"/>
    <x v="1"/>
    <x v="2"/>
    <m/>
    <m/>
    <m/>
    <s v="PRD1-186"/>
    <s v="Fresh Carrot Imported"/>
    <s v="Gram "/>
    <s v="Gram "/>
    <n v="75"/>
    <m/>
    <m/>
    <n v="10"/>
    <x v="0"/>
    <n v="7.5"/>
    <n v="5.8139534883720938E-3"/>
    <n v="4.3604651162790706E-2"/>
  </r>
  <r>
    <x v="93"/>
    <s v="Gourmet360"/>
    <x v="0"/>
    <x v="92"/>
    <x v="1"/>
    <x v="2"/>
    <m/>
    <m/>
    <m/>
    <s v="DRS4-50"/>
    <s v="Lentil Peeled (Red)"/>
    <s v="Gram "/>
    <s v="Gram "/>
    <n v="350"/>
    <m/>
    <m/>
    <n v="10"/>
    <x v="0"/>
    <n v="35"/>
    <n v="4.2666666666666669E-3"/>
    <n v="0.14933333333333335"/>
  </r>
  <r>
    <x v="93"/>
    <s v="Gourmet360"/>
    <x v="0"/>
    <x v="92"/>
    <x v="1"/>
    <x v="2"/>
    <m/>
    <m/>
    <m/>
    <s v="PRD1-230"/>
    <s v="Fresh Potato"/>
    <s v="Gram "/>
    <s v="Gram "/>
    <n v="200"/>
    <m/>
    <m/>
    <n v="10"/>
    <x v="0"/>
    <n v="20"/>
    <n v="3.3738191632928472E-3"/>
    <n v="6.7476383265856948E-2"/>
  </r>
  <r>
    <x v="93"/>
    <s v="Gourmet360"/>
    <x v="0"/>
    <x v="92"/>
    <x v="1"/>
    <x v="2"/>
    <m/>
    <m/>
    <m/>
    <s v="PRD1-572"/>
    <s v="Fresh Tomato "/>
    <s v="Gram "/>
    <s v="Gram "/>
    <n v="50"/>
    <m/>
    <m/>
    <n v="10"/>
    <x v="0"/>
    <n v="5"/>
    <n v="4.5351473922902496E-3"/>
    <n v="2.2675736961451247E-2"/>
  </r>
  <r>
    <x v="93"/>
    <s v="Gourmet360"/>
    <x v="0"/>
    <x v="92"/>
    <x v="1"/>
    <x v="2"/>
    <m/>
    <m/>
    <m/>
    <s v="DRS6-1674"/>
    <s v="Spice Turmeric Powder (1 Kg)"/>
    <s v="Gram "/>
    <s v="Gram "/>
    <n v="1"/>
    <m/>
    <m/>
    <n v="10"/>
    <x v="0"/>
    <n v="0.1"/>
    <n v="1.2500000000000001E-2"/>
    <n v="1.2500000000000002E-3"/>
  </r>
  <r>
    <x v="93"/>
    <s v="Gourmet360"/>
    <x v="0"/>
    <x v="92"/>
    <x v="1"/>
    <x v="2"/>
    <m/>
    <m/>
    <m/>
    <s v="DRS6-309"/>
    <s v="Spice Pepper White Powder"/>
    <s v="Gram "/>
    <s v="Gram "/>
    <n v="1"/>
    <m/>
    <m/>
    <n v="10"/>
    <x v="0"/>
    <n v="0.1"/>
    <n v="2.8000000000000001E-2"/>
    <n v="2.8000000000000004E-3"/>
  </r>
  <r>
    <x v="93"/>
    <s v="Gourmet360"/>
    <x v="0"/>
    <x v="92"/>
    <x v="1"/>
    <x v="2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93"/>
    <s v="Gourmet360"/>
    <x v="0"/>
    <x v="92"/>
    <x v="1"/>
    <x v="2"/>
    <m/>
    <m/>
    <m/>
    <s v="DRS6-733"/>
    <s v="Spices Cumin Powder"/>
    <s v="Gram "/>
    <s v="Gram "/>
    <n v="6"/>
    <m/>
    <m/>
    <n v="10"/>
    <x v="0"/>
    <n v="0.6"/>
    <n v="2.8000000000000001E-2"/>
    <n v="1.6799999999999999E-2"/>
  </r>
  <r>
    <x v="93"/>
    <s v="Gourmet360"/>
    <x v="0"/>
    <x v="92"/>
    <x v="1"/>
    <x v="2"/>
    <m/>
    <m/>
    <m/>
    <s v="TAP-00001"/>
    <s v="Tap Water-Cooking"/>
    <s v="Ml"/>
    <s v="Ml"/>
    <n v="2200"/>
    <m/>
    <m/>
    <n v="10"/>
    <x v="0"/>
    <n v="220"/>
    <n v="8.0000000000000007E-5"/>
    <n v="1.7600000000000001E-2"/>
  </r>
  <r>
    <x v="93"/>
    <s v="Gourmet360"/>
    <x v="0"/>
    <x v="92"/>
    <x v="1"/>
    <x v="2"/>
    <m/>
    <m/>
    <m/>
    <s v="DRS3-1813"/>
    <s v="Corn Oil (18 Liter)"/>
    <s v="Ml"/>
    <s v="Ml"/>
    <n v="40"/>
    <m/>
    <m/>
    <n v="10"/>
    <x v="0"/>
    <n v="4"/>
    <n v="8.0555555555555554E-3"/>
    <n v="3.2222222222222222E-2"/>
  </r>
  <r>
    <x v="94"/>
    <s v="Gourmet360"/>
    <x v="0"/>
    <x v="93"/>
    <x v="1"/>
    <x v="2"/>
    <m/>
    <m/>
    <m/>
    <s v="DRS3-1813"/>
    <s v="Corn Oil (18 Liter)"/>
    <s v="Ml"/>
    <s v="Ml"/>
    <n v="20"/>
    <m/>
    <m/>
    <n v="14"/>
    <x v="0"/>
    <n v="1.4285714285714286"/>
    <n v="8.0555555555555554E-3"/>
    <n v="1.1507936507936509E-2"/>
  </r>
  <r>
    <x v="94"/>
    <s v="Gourmet360"/>
    <x v="0"/>
    <x v="93"/>
    <x v="1"/>
    <x v="2"/>
    <m/>
    <m/>
    <m/>
    <s v="PRD1-4265"/>
    <s v="Fresh onion Yellow(Imported)"/>
    <s v="Gram "/>
    <s v="Gram "/>
    <n v="100"/>
    <m/>
    <m/>
    <n v="14"/>
    <x v="0"/>
    <n v="7.1428571428571432"/>
    <n v="3.529411764705882E-3"/>
    <n v="2.5210084033613446E-2"/>
  </r>
  <r>
    <x v="94"/>
    <s v="Gourmet360"/>
    <x v="0"/>
    <x v="93"/>
    <x v="1"/>
    <x v="2"/>
    <m/>
    <m/>
    <m/>
    <s v="PRD1-4327"/>
    <s v="Fresh Garlic Peeled"/>
    <s v="Gram "/>
    <s v="Gram "/>
    <n v="15"/>
    <m/>
    <m/>
    <n v="14"/>
    <x v="0"/>
    <n v="1.0714285714285714"/>
    <n v="1.2999999999999999E-2"/>
    <n v="1.3928571428571427E-2"/>
  </r>
  <r>
    <x v="94"/>
    <s v="Gourmet360"/>
    <x v="0"/>
    <x v="93"/>
    <x v="1"/>
    <x v="2"/>
    <m/>
    <m/>
    <m/>
    <s v="PLT2-3278"/>
    <s v="Frz Chicken Breast Tender (KG)"/>
    <s v="Gram "/>
    <s v="Gram "/>
    <n v="250"/>
    <m/>
    <m/>
    <n v="14"/>
    <x v="0"/>
    <n v="17.857142857142858"/>
    <n v="3.0357142857142853E-2"/>
    <n v="0.54209183673469385"/>
  </r>
  <r>
    <x v="94"/>
    <s v="Gourmet360"/>
    <x v="0"/>
    <x v="93"/>
    <x v="1"/>
    <x v="2"/>
    <m/>
    <m/>
    <m/>
    <s v="DRS6-309"/>
    <s v="Spice Pepper White Powder"/>
    <s v="Gram "/>
    <s v="Gram "/>
    <n v="1"/>
    <m/>
    <m/>
    <n v="14"/>
    <x v="0"/>
    <n v="7.1428571428571425E-2"/>
    <n v="2.8000000000000001E-2"/>
    <n v="2E-3"/>
  </r>
  <r>
    <x v="94"/>
    <s v="Gourmet360"/>
    <x v="0"/>
    <x v="93"/>
    <x v="1"/>
    <x v="2"/>
    <m/>
    <m/>
    <m/>
    <s v="DRS1-3811"/>
    <s v="Chicken Stock Powder(Packet)"/>
    <s v="Gram "/>
    <s v="Gram "/>
    <n v="10"/>
    <m/>
    <m/>
    <n v="14"/>
    <x v="0"/>
    <n v="0.7142857142857143"/>
    <n v="2.8475E-2"/>
    <n v="2.0339285714285716E-2"/>
  </r>
  <r>
    <x v="94"/>
    <s v="Gourmet360"/>
    <x v="0"/>
    <x v="93"/>
    <x v="1"/>
    <x v="2"/>
    <m/>
    <m/>
    <m/>
    <s v="DRS1-3880"/>
    <s v="Salt "/>
    <s v="Gram "/>
    <s v="Gram "/>
    <n v="5"/>
    <m/>
    <m/>
    <n v="14"/>
    <x v="0"/>
    <n v="0.35714285714285715"/>
    <n v="5.0000000000000001E-4"/>
    <n v="1.7857142857142857E-4"/>
  </r>
  <r>
    <x v="94"/>
    <s v="Gourmet360"/>
    <x v="0"/>
    <x v="93"/>
    <x v="1"/>
    <x v="2"/>
    <m/>
    <m/>
    <m/>
    <s v="PRD1-230"/>
    <s v="Fresh Potato"/>
    <s v="Gram "/>
    <s v="Gram "/>
    <n v="600"/>
    <m/>
    <m/>
    <n v="14"/>
    <x v="0"/>
    <n v="42.857142857142854"/>
    <n v="3.3738191632928472E-3"/>
    <n v="0.14459224985540772"/>
  </r>
  <r>
    <x v="94"/>
    <s v="Gourmet360"/>
    <x v="0"/>
    <x v="93"/>
    <x v="1"/>
    <x v="2"/>
    <m/>
    <m/>
    <m/>
    <s v="DRS5-980"/>
    <s v="Flour Cake Special (all purpose)"/>
    <s v="Gram "/>
    <s v="Gram "/>
    <n v="40"/>
    <m/>
    <m/>
    <n v="14"/>
    <x v="0"/>
    <n v="2.8571428571428572"/>
    <n v="1E-3"/>
    <n v="2.8571428571428571E-3"/>
  </r>
  <r>
    <x v="94"/>
    <s v="Gourmet360"/>
    <x v="0"/>
    <x v="93"/>
    <x v="1"/>
    <x v="2"/>
    <m/>
    <m/>
    <m/>
    <s v="TAP-00001"/>
    <s v="Tap Water-Cooking"/>
    <s v="Ml"/>
    <s v="Ml"/>
    <n v="2000"/>
    <m/>
    <m/>
    <n v="14"/>
    <x v="0"/>
    <n v="142.85714285714286"/>
    <n v="8.0000000000000007E-5"/>
    <n v="1.142857142857143E-2"/>
  </r>
  <r>
    <x v="95"/>
    <s v="Gourmet360"/>
    <x v="0"/>
    <x v="94"/>
    <x v="1"/>
    <x v="2"/>
    <m/>
    <m/>
    <m/>
    <s v="DRS3-1813"/>
    <s v="Corn Oil (18 Liter)"/>
    <s v="Ml"/>
    <s v="Ml"/>
    <n v="25"/>
    <m/>
    <m/>
    <n v="10"/>
    <x v="0"/>
    <n v="2.5"/>
    <n v="8.0555555555555554E-3"/>
    <n v="2.0138888888888887E-2"/>
  </r>
  <r>
    <x v="95"/>
    <s v="Gourmet360"/>
    <x v="0"/>
    <x v="94"/>
    <x v="1"/>
    <x v="2"/>
    <m/>
    <m/>
    <m/>
    <s v="PRD1-4265"/>
    <s v="Fresh onion Yellow(Imported)"/>
    <s v="Gram "/>
    <s v="Gram "/>
    <n v="100"/>
    <m/>
    <m/>
    <n v="10"/>
    <x v="0"/>
    <n v="10"/>
    <n v="3.529411764705882E-3"/>
    <n v="3.5294117647058823E-2"/>
  </r>
  <r>
    <x v="95"/>
    <s v="Gourmet360"/>
    <x v="0"/>
    <x v="94"/>
    <x v="1"/>
    <x v="2"/>
    <m/>
    <m/>
    <m/>
    <s v="PRD1-4327"/>
    <s v="Fresh Garlic Peeled"/>
    <s v="Gram "/>
    <s v="Gram "/>
    <n v="15"/>
    <m/>
    <m/>
    <n v="10"/>
    <x v="0"/>
    <n v="1.5"/>
    <n v="1.2999999999999999E-2"/>
    <n v="1.95E-2"/>
  </r>
  <r>
    <x v="95"/>
    <s v="Gourmet360"/>
    <x v="0"/>
    <x v="94"/>
    <x v="1"/>
    <x v="2"/>
    <m/>
    <m/>
    <m/>
    <s v="PRD2-3567"/>
    <s v="Frz Green Peas"/>
    <s v="Gram "/>
    <s v="Gram "/>
    <n v="600"/>
    <m/>
    <m/>
    <n v="10"/>
    <x v="0"/>
    <n v="60"/>
    <n v="4.4999999999999997E-3"/>
    <n v="0.26999999999999996"/>
  </r>
  <r>
    <x v="95"/>
    <s v="Gourmet360"/>
    <x v="0"/>
    <x v="94"/>
    <x v="1"/>
    <x v="2"/>
    <m/>
    <m/>
    <m/>
    <s v="PRD1-231"/>
    <s v="Fresh Potato Sweet"/>
    <s v="Gram "/>
    <s v="Gram "/>
    <n v="250"/>
    <m/>
    <m/>
    <n v="10"/>
    <x v="0"/>
    <n v="25"/>
    <n v="9.6618357487922701E-3"/>
    <n v="0.24154589371980675"/>
  </r>
  <r>
    <x v="95"/>
    <s v="Gourmet360"/>
    <x v="0"/>
    <x v="94"/>
    <x v="1"/>
    <x v="2"/>
    <m/>
    <m/>
    <m/>
    <s v="DRS1-4417"/>
    <s v="Vegetable Stock Powder(Packet)"/>
    <s v="Gram "/>
    <s v="Gram "/>
    <n v="10"/>
    <m/>
    <m/>
    <n v="10"/>
    <x v="0"/>
    <n v="1"/>
    <n v="3.6754545454545456E-2"/>
    <n v="3.6754545454545456E-2"/>
  </r>
  <r>
    <x v="95"/>
    <s v="Gourmet360"/>
    <x v="0"/>
    <x v="94"/>
    <x v="1"/>
    <x v="2"/>
    <m/>
    <m/>
    <m/>
    <s v="DRS6-537"/>
    <s v="Spices Pepper Black Powder(1 Kg)"/>
    <s v="Gram "/>
    <s v="Gram "/>
    <n v="2"/>
    <m/>
    <m/>
    <n v="10"/>
    <x v="0"/>
    <n v="0.2"/>
    <n v="3.5000000000000003E-2"/>
    <n v="7.000000000000001E-3"/>
  </r>
  <r>
    <x v="95"/>
    <s v="Gourmet360"/>
    <x v="0"/>
    <x v="94"/>
    <x v="1"/>
    <x v="2"/>
    <m/>
    <m/>
    <m/>
    <s v="TAP-00001"/>
    <s v="Tap Water-Cooking"/>
    <s v="Ml"/>
    <s v="Ml"/>
    <n v="2000"/>
    <m/>
    <m/>
    <n v="10"/>
    <x v="0"/>
    <n v="200"/>
    <n v="8.0000000000000007E-5"/>
    <n v="1.6E-2"/>
  </r>
  <r>
    <x v="95"/>
    <s v="Gourmet360"/>
    <x v="0"/>
    <x v="94"/>
    <x v="1"/>
    <x v="2"/>
    <m/>
    <m/>
    <m/>
    <s v="DRS1-3880"/>
    <s v="Salt "/>
    <s v="Gram "/>
    <s v="Gram "/>
    <n v="5"/>
    <m/>
    <m/>
    <n v="10"/>
    <x v="0"/>
    <n v="0.5"/>
    <n v="5.0000000000000001E-4"/>
    <n v="2.5000000000000001E-4"/>
  </r>
  <r>
    <x v="95"/>
    <s v="Gourmet360"/>
    <x v="0"/>
    <x v="94"/>
    <x v="1"/>
    <x v="2"/>
    <m/>
    <m/>
    <m/>
    <s v="DRY2-1858"/>
    <s v="Cooking Cream 1 Ltr"/>
    <s v="Ml"/>
    <s v="Ml"/>
    <n v="200"/>
    <m/>
    <m/>
    <n v="10"/>
    <x v="0"/>
    <n v="20"/>
    <n v="9.8800000000000016E-3"/>
    <n v="0.19760000000000003"/>
  </r>
  <r>
    <x v="96"/>
    <s v="Gourmet360"/>
    <x v="0"/>
    <x v="95"/>
    <x v="2"/>
    <x v="2"/>
    <m/>
    <m/>
    <m/>
    <s v="PRD1-4265"/>
    <s v="Fresh onion Yellow(Imported)"/>
    <s v="Gram "/>
    <s v="Gram "/>
    <n v="100"/>
    <m/>
    <m/>
    <n v="12"/>
    <x v="0"/>
    <n v="8.3333333333333339"/>
    <n v="3.529411764705882E-3"/>
    <n v="2.9411764705882353E-2"/>
  </r>
  <r>
    <x v="96"/>
    <s v="Gourmet360"/>
    <x v="0"/>
    <x v="95"/>
    <x v="2"/>
    <x v="2"/>
    <m/>
    <m/>
    <m/>
    <s v="PRD1-4327"/>
    <s v="Fresh Garlic Peeled"/>
    <s v="Gram "/>
    <s v="Gram "/>
    <n v="15"/>
    <m/>
    <m/>
    <n v="12"/>
    <x v="0"/>
    <n v="1.25"/>
    <n v="1.2999999999999999E-2"/>
    <n v="1.6250000000000001E-2"/>
  </r>
  <r>
    <x v="96"/>
    <s v="Gourmet360"/>
    <x v="0"/>
    <x v="95"/>
    <x v="2"/>
    <x v="2"/>
    <m/>
    <m/>
    <m/>
    <s v="DRS4-1457"/>
    <s v="Rice Egypt"/>
    <s v="Gram "/>
    <s v="Gram "/>
    <n v="200"/>
    <m/>
    <m/>
    <n v="12"/>
    <x v="0"/>
    <n v="16.666666666666668"/>
    <n v="6.4999999999999997E-3"/>
    <n v="0.10833333333333334"/>
  </r>
  <r>
    <x v="96"/>
    <s v="Gourmet360"/>
    <x v="0"/>
    <x v="95"/>
    <x v="2"/>
    <x v="2"/>
    <m/>
    <m/>
    <m/>
    <s v="PLT2-3278"/>
    <s v="Frz Chicken Breast Tender (KG)"/>
    <s v="Gram "/>
    <s v="Gram "/>
    <n v="200"/>
    <m/>
    <m/>
    <n v="12"/>
    <x v="0"/>
    <n v="16.666666666666668"/>
    <n v="3.0357142857142853E-2"/>
    <n v="0.50595238095238093"/>
  </r>
  <r>
    <x v="96"/>
    <s v="Gourmet360"/>
    <x v="0"/>
    <x v="95"/>
    <x v="2"/>
    <x v="2"/>
    <m/>
    <m/>
    <m/>
    <s v="DRS1-3811"/>
    <s v="Chicken Stock Powder(Packet)"/>
    <s v="Gram "/>
    <s v="Gram "/>
    <n v="20"/>
    <m/>
    <m/>
    <n v="12"/>
    <x v="0"/>
    <n v="1.6666666666666667"/>
    <n v="2.8475E-2"/>
    <n v="4.7458333333333338E-2"/>
  </r>
  <r>
    <x v="96"/>
    <s v="Gourmet360"/>
    <x v="0"/>
    <x v="95"/>
    <x v="2"/>
    <x v="2"/>
    <m/>
    <m/>
    <m/>
    <s v="DRS1-3880"/>
    <s v="Salt "/>
    <s v="Gram "/>
    <s v="Gram "/>
    <n v="10"/>
    <m/>
    <m/>
    <n v="12"/>
    <x v="0"/>
    <n v="0.83333333333333337"/>
    <n v="5.0000000000000001E-4"/>
    <n v="4.1666666666666669E-4"/>
  </r>
  <r>
    <x v="96"/>
    <s v="Gourmet360"/>
    <x v="0"/>
    <x v="95"/>
    <x v="2"/>
    <x v="2"/>
    <m/>
    <m/>
    <m/>
    <s v="PRD1-209"/>
    <s v="Fresh Lemon"/>
    <s v="Gram "/>
    <s v="Gram "/>
    <n v="100"/>
    <m/>
    <m/>
    <n v="12"/>
    <x v="0"/>
    <n v="8.3333333333333339"/>
    <n v="1.0088272383354349E-2"/>
    <n v="8.4068936527952914E-2"/>
  </r>
  <r>
    <x v="96"/>
    <s v="Gourmet360"/>
    <x v="0"/>
    <x v="95"/>
    <x v="2"/>
    <x v="2"/>
    <m/>
    <m/>
    <m/>
    <s v="DRS6-309"/>
    <s v="Spice Pepper White Powder"/>
    <s v="Gram "/>
    <s v="Gram "/>
    <n v="2"/>
    <m/>
    <m/>
    <n v="12"/>
    <x v="0"/>
    <n v="0.16666666666666666"/>
    <n v="2.8000000000000001E-2"/>
    <n v="4.6666666666666662E-3"/>
  </r>
  <r>
    <x v="96"/>
    <s v="Gourmet360"/>
    <x v="0"/>
    <x v="95"/>
    <x v="2"/>
    <x v="2"/>
    <m/>
    <m/>
    <m/>
    <s v="PRD1-227"/>
    <s v="Fresh Parsley"/>
    <s v="Gram "/>
    <s v="Gram "/>
    <n v="10"/>
    <m/>
    <m/>
    <n v="12"/>
    <x v="0"/>
    <n v="0.83333333333333337"/>
    <n v="1.5850144092219021E-2"/>
    <n v="1.3208453410182518E-2"/>
  </r>
  <r>
    <x v="96"/>
    <s v="Gourmet360"/>
    <x v="0"/>
    <x v="95"/>
    <x v="2"/>
    <x v="2"/>
    <m/>
    <m/>
    <m/>
    <s v="TAP-00001"/>
    <s v="Tap Water-Cooking"/>
    <s v="Ml"/>
    <s v="Ml"/>
    <n v="2000"/>
    <m/>
    <m/>
    <n v="12"/>
    <x v="0"/>
    <n v="166.66666666666666"/>
    <n v="8.0000000000000007E-5"/>
    <n v="1.3333333333333334E-2"/>
  </r>
  <r>
    <x v="97"/>
    <s v="Gourmet360"/>
    <x v="0"/>
    <x v="96"/>
    <x v="2"/>
    <x v="2"/>
    <m/>
    <m/>
    <m/>
    <s v="DRS3-1813"/>
    <s v="Corn Oil (18 Liter)"/>
    <s v="Ml"/>
    <s v="Ml"/>
    <n v="20"/>
    <m/>
    <m/>
    <n v="14"/>
    <x v="0"/>
    <n v="1.4285714285714286"/>
    <n v="8.0555555555555554E-3"/>
    <n v="1.1507936507936509E-2"/>
  </r>
  <r>
    <x v="97"/>
    <s v="Gourmet360"/>
    <x v="0"/>
    <x v="96"/>
    <x v="2"/>
    <x v="2"/>
    <m/>
    <m/>
    <m/>
    <s v="PRD1-4265"/>
    <s v="Fresh onion Yellow(Imported)"/>
    <s v="Gram "/>
    <s v="Gram "/>
    <n v="100"/>
    <m/>
    <m/>
    <n v="14"/>
    <x v="0"/>
    <n v="7.1428571428571432"/>
    <n v="3.529411764705882E-3"/>
    <n v="2.5210084033613446E-2"/>
  </r>
  <r>
    <x v="97"/>
    <s v="Gourmet360"/>
    <x v="0"/>
    <x v="96"/>
    <x v="2"/>
    <x v="2"/>
    <m/>
    <m/>
    <m/>
    <s v="PRD1-4327"/>
    <s v="Fresh Garlic Peeled"/>
    <s v="Gram "/>
    <s v="Gram "/>
    <n v="15"/>
    <m/>
    <m/>
    <n v="14"/>
    <x v="0"/>
    <n v="1.0714285714285714"/>
    <n v="1.2999999999999999E-2"/>
    <n v="1.3928571428571427E-2"/>
  </r>
  <r>
    <x v="97"/>
    <s v="Gourmet360"/>
    <x v="0"/>
    <x v="96"/>
    <x v="2"/>
    <x v="2"/>
    <m/>
    <m/>
    <m/>
    <s v="DRS1-4809"/>
    <s v="Oats White Whole(900 Gram)"/>
    <s v="Gram "/>
    <s v="Gram "/>
    <n v="100"/>
    <m/>
    <m/>
    <n v="14"/>
    <x v="0"/>
    <n v="7.1428571428571432"/>
    <n v="1.1577777777777777E-2"/>
    <n v="8.2698412698412702E-2"/>
  </r>
  <r>
    <x v="97"/>
    <s v="Gourmet360"/>
    <x v="0"/>
    <x v="96"/>
    <x v="2"/>
    <x v="2"/>
    <m/>
    <m/>
    <m/>
    <s v="PRD1-186"/>
    <s v="Fresh Carrot Imported"/>
    <s v="Gram "/>
    <s v="Gram "/>
    <n v="250"/>
    <m/>
    <m/>
    <n v="14"/>
    <x v="0"/>
    <n v="17.857142857142858"/>
    <n v="5.8139534883720938E-3"/>
    <n v="0.10382059800664453"/>
  </r>
  <r>
    <x v="97"/>
    <s v="Gourmet360"/>
    <x v="0"/>
    <x v="96"/>
    <x v="2"/>
    <x v="2"/>
    <m/>
    <m/>
    <m/>
    <s v="PRD1-3794"/>
    <s v="Fresh Baby Marrow"/>
    <s v="Gram "/>
    <s v="Gram "/>
    <n v="250"/>
    <m/>
    <m/>
    <n v="14"/>
    <x v="0"/>
    <n v="17.857142857142858"/>
    <n v="4.9382716049382715E-3"/>
    <n v="8.8183421516754845E-2"/>
  </r>
  <r>
    <x v="97"/>
    <s v="Gourmet360"/>
    <x v="0"/>
    <x v="96"/>
    <x v="2"/>
    <x v="2"/>
    <m/>
    <m/>
    <m/>
    <s v="TAP-00001"/>
    <s v="Tap Water-Cooking"/>
    <s v="Ml"/>
    <s v="Ml"/>
    <n v="2250"/>
    <m/>
    <m/>
    <n v="14"/>
    <x v="0"/>
    <n v="160.71428571428572"/>
    <n v="8.0000000000000007E-5"/>
    <n v="1.2857142857142859E-2"/>
  </r>
  <r>
    <x v="97"/>
    <s v="Gourmet360"/>
    <x v="0"/>
    <x v="96"/>
    <x v="2"/>
    <x v="2"/>
    <m/>
    <m/>
    <m/>
    <s v="DRS1-1747"/>
    <s v="Can Tomato Paste (4500 Gram)"/>
    <s v="Gram "/>
    <s v="Gram "/>
    <n v="80"/>
    <m/>
    <m/>
    <n v="14"/>
    <x v="0"/>
    <n v="5.7142857142857144"/>
    <n v="5.185185185185185E-3"/>
    <n v="2.9629629629629631E-2"/>
  </r>
  <r>
    <x v="97"/>
    <s v="Gourmet360"/>
    <x v="0"/>
    <x v="96"/>
    <x v="2"/>
    <x v="2"/>
    <m/>
    <m/>
    <m/>
    <s v="DRS6-537"/>
    <s v="Spices Pepper Black Powder(1 Kg)"/>
    <s v="Gram "/>
    <s v="Gram "/>
    <n v="1"/>
    <m/>
    <m/>
    <n v="14"/>
    <x v="0"/>
    <n v="7.1428571428571425E-2"/>
    <n v="3.5000000000000003E-2"/>
    <n v="2.5000000000000001E-3"/>
  </r>
  <r>
    <x v="97"/>
    <s v="Gourmet360"/>
    <x v="0"/>
    <x v="96"/>
    <x v="2"/>
    <x v="2"/>
    <m/>
    <m/>
    <m/>
    <s v="DRS6-1727"/>
    <s v="Spice Paprika Sweet (KG)"/>
    <s v="Gram "/>
    <s v="Gram "/>
    <n v="2"/>
    <m/>
    <m/>
    <n v="14"/>
    <x v="0"/>
    <n v="0.14285714285714285"/>
    <n v="2.5000000000000001E-2"/>
    <n v="3.5714285714285713E-3"/>
  </r>
  <r>
    <x v="97"/>
    <s v="Gourmet360"/>
    <x v="0"/>
    <x v="96"/>
    <x v="2"/>
    <x v="2"/>
    <m/>
    <m/>
    <m/>
    <s v="DRS1-4417"/>
    <s v="Vegetable Stock Powder(Packet)"/>
    <s v="Gram "/>
    <s v="Gram "/>
    <n v="10"/>
    <m/>
    <m/>
    <n v="14"/>
    <x v="0"/>
    <n v="0.7142857142857143"/>
    <n v="3.6754545454545456E-2"/>
    <n v="2.6253246753246754E-2"/>
  </r>
  <r>
    <x v="97"/>
    <s v="Gourmet360"/>
    <x v="0"/>
    <x v="96"/>
    <x v="2"/>
    <x v="2"/>
    <m/>
    <m/>
    <m/>
    <s v="DRS1-3880"/>
    <s v="Salt "/>
    <s v="Gram "/>
    <s v="Gram "/>
    <n v="10"/>
    <m/>
    <m/>
    <n v="14"/>
    <x v="0"/>
    <n v="0.7142857142857143"/>
    <n v="5.0000000000000001E-4"/>
    <n v="3.5714285714285714E-4"/>
  </r>
  <r>
    <x v="98"/>
    <s v="Gourmet360"/>
    <x v="0"/>
    <x v="97"/>
    <x v="2"/>
    <x v="2"/>
    <m/>
    <m/>
    <m/>
    <s v="DRY2-1008"/>
    <s v="Butter 82% Fat(Unsalted) 25 kg"/>
    <s v="Gram "/>
    <s v="Gram "/>
    <n v="25"/>
    <m/>
    <m/>
    <n v="14"/>
    <x v="0"/>
    <n v="1.7857142857142858"/>
    <n v="0.03"/>
    <n v="5.3571428571428575E-2"/>
  </r>
  <r>
    <x v="98"/>
    <s v="Gourmet360"/>
    <x v="0"/>
    <x v="97"/>
    <x v="2"/>
    <x v="2"/>
    <m/>
    <m/>
    <m/>
    <s v="PRD1-4265"/>
    <s v="Fresh onion Yellow(Imported)"/>
    <s v="Gram "/>
    <s v="Gram "/>
    <n v="100"/>
    <m/>
    <m/>
    <n v="14"/>
    <x v="0"/>
    <n v="7.1428571428571432"/>
    <n v="3.529411764705882E-3"/>
    <n v="2.5210084033613446E-2"/>
  </r>
  <r>
    <x v="98"/>
    <s v="Gourmet360"/>
    <x v="0"/>
    <x v="97"/>
    <x v="2"/>
    <x v="2"/>
    <m/>
    <m/>
    <m/>
    <s v="PRD1-4327"/>
    <s v="Fresh Garlic Peeled"/>
    <s v="Gram "/>
    <s v="Gram "/>
    <n v="15"/>
    <m/>
    <m/>
    <n v="14"/>
    <x v="0"/>
    <n v="1.0714285714285714"/>
    <n v="1.2999999999999999E-2"/>
    <n v="1.3928571428571427E-2"/>
  </r>
  <r>
    <x v="98"/>
    <s v="Gourmet360"/>
    <x v="0"/>
    <x v="97"/>
    <x v="2"/>
    <x v="2"/>
    <m/>
    <m/>
    <m/>
    <s v="PRD1-186"/>
    <s v="Fresh Carrot Imported"/>
    <s v="Gram "/>
    <s v="Gram "/>
    <n v="150"/>
    <m/>
    <m/>
    <n v="14"/>
    <x v="0"/>
    <n v="10.714285714285714"/>
    <n v="5.8139534883720938E-3"/>
    <n v="6.2292358803986717E-2"/>
  </r>
  <r>
    <x v="98"/>
    <s v="Gourmet360"/>
    <x v="0"/>
    <x v="97"/>
    <x v="2"/>
    <x v="2"/>
    <m/>
    <m/>
    <m/>
    <s v="PLT2-3278"/>
    <s v="Frz Chicken Breast Tender (KG)"/>
    <s v="Gram "/>
    <s v="Gram "/>
    <n v="250"/>
    <m/>
    <m/>
    <n v="14"/>
    <x v="0"/>
    <n v="17.857142857142858"/>
    <n v="3.0357142857142853E-2"/>
    <n v="0.54209183673469385"/>
  </r>
  <r>
    <x v="98"/>
    <s v="Gourmet360"/>
    <x v="0"/>
    <x v="97"/>
    <x v="2"/>
    <x v="2"/>
    <m/>
    <m/>
    <m/>
    <s v="DRS5-980"/>
    <s v="Flour Cake Special (all purpose)"/>
    <s v="Gram "/>
    <s v="Gram "/>
    <n v="60"/>
    <m/>
    <m/>
    <n v="14"/>
    <x v="0"/>
    <n v="4.2857142857142856"/>
    <n v="1E-3"/>
    <n v="4.2857142857142859E-3"/>
  </r>
  <r>
    <x v="98"/>
    <s v="Gourmet360"/>
    <x v="0"/>
    <x v="97"/>
    <x v="2"/>
    <x v="2"/>
    <m/>
    <m/>
    <m/>
    <s v="DRS6-309"/>
    <s v="Spice Pepper White Powder"/>
    <s v="Gram "/>
    <s v="Gram "/>
    <n v="1"/>
    <m/>
    <m/>
    <n v="14"/>
    <x v="0"/>
    <n v="7.1428571428571425E-2"/>
    <n v="2.8000000000000001E-2"/>
    <n v="2E-3"/>
  </r>
  <r>
    <x v="98"/>
    <s v="Gourmet360"/>
    <x v="0"/>
    <x v="97"/>
    <x v="2"/>
    <x v="2"/>
    <m/>
    <m/>
    <m/>
    <s v="TAP-00001"/>
    <s v="Tap Water-Cooking"/>
    <s v="Ml"/>
    <s v="Ml"/>
    <n v="2200"/>
    <m/>
    <m/>
    <n v="14"/>
    <x v="0"/>
    <n v="157.14285714285714"/>
    <n v="8.0000000000000007E-5"/>
    <n v="1.2571428571428572E-2"/>
  </r>
  <r>
    <x v="98"/>
    <s v="Gourmet360"/>
    <x v="0"/>
    <x v="97"/>
    <x v="2"/>
    <x v="2"/>
    <m/>
    <m/>
    <m/>
    <s v="DRY2-1858"/>
    <s v="Cooking Cream 1 Ltr"/>
    <s v="Ml"/>
    <s v="Ml"/>
    <n v="200"/>
    <m/>
    <m/>
    <n v="14"/>
    <x v="0"/>
    <n v="14.285714285714286"/>
    <n v="9.8800000000000016E-3"/>
    <n v="0.14114285714285718"/>
  </r>
  <r>
    <x v="98"/>
    <s v="Gourmet360"/>
    <x v="0"/>
    <x v="97"/>
    <x v="2"/>
    <x v="2"/>
    <m/>
    <m/>
    <m/>
    <s v="DRS1-3811"/>
    <s v="Chicken Stock Powder(Packet)"/>
    <s v="Gram "/>
    <s v="Gram "/>
    <n v="10"/>
    <m/>
    <m/>
    <n v="14"/>
    <x v="0"/>
    <n v="0.7142857142857143"/>
    <n v="2.8475E-2"/>
    <n v="2.0339285714285716E-2"/>
  </r>
  <r>
    <x v="98"/>
    <s v="Gourmet360"/>
    <x v="0"/>
    <x v="97"/>
    <x v="2"/>
    <x v="2"/>
    <m/>
    <m/>
    <m/>
    <s v="DRS1-3880"/>
    <s v="Salt "/>
    <s v="Gram "/>
    <s v="Gram "/>
    <n v="10"/>
    <m/>
    <m/>
    <n v="14"/>
    <x v="0"/>
    <n v="0.7142857142857143"/>
    <n v="5.0000000000000001E-4"/>
    <n v="3.5714285714285714E-4"/>
  </r>
  <r>
    <x v="98"/>
    <s v="Gourmet360"/>
    <x v="0"/>
    <x v="97"/>
    <x v="2"/>
    <x v="2"/>
    <m/>
    <m/>
    <m/>
    <s v="PRD1-4019"/>
    <s v="Fresh Leek (Imported)"/>
    <s v="Gram "/>
    <s v="Gram "/>
    <n v="50"/>
    <m/>
    <m/>
    <n v="14"/>
    <x v="0"/>
    <n v="3.5714285714285716"/>
    <n v="0.02"/>
    <n v="7.1428571428571438E-2"/>
  </r>
  <r>
    <x v="99"/>
    <s v="Gourmet360"/>
    <x v="0"/>
    <x v="98"/>
    <x v="2"/>
    <x v="2"/>
    <m/>
    <m/>
    <m/>
    <s v="DRY2-1008"/>
    <s v="Butter 82% Fat(Unsalted) 25 kg"/>
    <s v="Gram "/>
    <s v="Gram "/>
    <n v="20"/>
    <m/>
    <m/>
    <n v="14"/>
    <x v="0"/>
    <n v="1.4285714285714286"/>
    <n v="0.03"/>
    <n v="4.2857142857142858E-2"/>
  </r>
  <r>
    <x v="99"/>
    <s v="Gourmet360"/>
    <x v="0"/>
    <x v="98"/>
    <x v="2"/>
    <x v="2"/>
    <m/>
    <m/>
    <m/>
    <s v="PRD1-4019"/>
    <s v="Fresh Leek (Imported)"/>
    <s v="Gram "/>
    <s v="Gram "/>
    <n v="50"/>
    <m/>
    <m/>
    <n v="14"/>
    <x v="0"/>
    <n v="3.5714285714285716"/>
    <n v="0.02"/>
    <n v="7.1428571428571438E-2"/>
  </r>
  <r>
    <x v="99"/>
    <s v="Gourmet360"/>
    <x v="0"/>
    <x v="98"/>
    <x v="2"/>
    <x v="2"/>
    <m/>
    <m/>
    <m/>
    <s v="PRD1-4327"/>
    <s v="Fresh Garlic Peeled"/>
    <s v="Gram "/>
    <s v="Gram "/>
    <n v="15"/>
    <m/>
    <m/>
    <n v="14"/>
    <x v="0"/>
    <n v="1.0714285714285714"/>
    <n v="1.2999999999999999E-2"/>
    <n v="1.3928571428571427E-2"/>
  </r>
  <r>
    <x v="99"/>
    <s v="Gourmet360"/>
    <x v="0"/>
    <x v="98"/>
    <x v="2"/>
    <x v="2"/>
    <m/>
    <m/>
    <m/>
    <s v="PRD1-4265"/>
    <s v="Fresh onion Yellow(Imported)"/>
    <s v="Gram "/>
    <s v="Gram "/>
    <n v="100"/>
    <m/>
    <m/>
    <n v="14"/>
    <x v="0"/>
    <n v="7.1428571428571432"/>
    <n v="3.529411764705882E-3"/>
    <n v="2.5210084033613446E-2"/>
  </r>
  <r>
    <x v="99"/>
    <s v="Gourmet360"/>
    <x v="0"/>
    <x v="98"/>
    <x v="2"/>
    <x v="2"/>
    <m/>
    <m/>
    <m/>
    <s v="PRD1-232"/>
    <s v="Fresh Pumpkin"/>
    <s v="Gram "/>
    <s v="Gram "/>
    <n v="500"/>
    <m/>
    <m/>
    <n v="14"/>
    <x v="0"/>
    <n v="35.714285714285715"/>
    <n v="4.4444444444444444E-3"/>
    <n v="0.15873015873015872"/>
  </r>
  <r>
    <x v="99"/>
    <s v="Gourmet360"/>
    <x v="0"/>
    <x v="98"/>
    <x v="2"/>
    <x v="2"/>
    <m/>
    <m/>
    <m/>
    <s v="TAP-00001"/>
    <s v="Tap Water-Cooking"/>
    <s v="Ml"/>
    <s v="Ml"/>
    <n v="2000"/>
    <m/>
    <m/>
    <n v="14"/>
    <x v="0"/>
    <n v="142.85714285714286"/>
    <n v="8.0000000000000007E-5"/>
    <n v="1.142857142857143E-2"/>
  </r>
  <r>
    <x v="99"/>
    <s v="Gourmet360"/>
    <x v="0"/>
    <x v="98"/>
    <x v="2"/>
    <x v="2"/>
    <m/>
    <m/>
    <m/>
    <s v="DRS6-309"/>
    <s v="Spice Pepper White Powder"/>
    <s v="Gram "/>
    <s v="Gram "/>
    <n v="2"/>
    <m/>
    <m/>
    <n v="14"/>
    <x v="0"/>
    <n v="0.14285714285714285"/>
    <n v="2.8000000000000001E-2"/>
    <n v="4.0000000000000001E-3"/>
  </r>
  <r>
    <x v="99"/>
    <s v="Gourmet360"/>
    <x v="0"/>
    <x v="98"/>
    <x v="2"/>
    <x v="2"/>
    <m/>
    <m/>
    <m/>
    <s v="DRS1-3880"/>
    <s v="Salt "/>
    <s v="Gram "/>
    <s v="Gram "/>
    <n v="10"/>
    <m/>
    <m/>
    <n v="14"/>
    <x v="0"/>
    <n v="0.7142857142857143"/>
    <n v="5.0000000000000001E-4"/>
    <n v="3.5714285714285714E-4"/>
  </r>
  <r>
    <x v="99"/>
    <s v="Gourmet360"/>
    <x v="0"/>
    <x v="98"/>
    <x v="2"/>
    <x v="2"/>
    <m/>
    <m/>
    <m/>
    <s v="DRS1-4417"/>
    <s v="Vegetable Stock Powder(Packet)"/>
    <s v="Gram "/>
    <s v="Gram "/>
    <n v="10"/>
    <m/>
    <m/>
    <n v="14"/>
    <x v="0"/>
    <n v="0.7142857142857143"/>
    <n v="3.6754545454545456E-2"/>
    <n v="2.6253246753246754E-2"/>
  </r>
  <r>
    <x v="99"/>
    <s v="Gourmet360"/>
    <x v="0"/>
    <x v="98"/>
    <x v="2"/>
    <x v="2"/>
    <m/>
    <m/>
    <m/>
    <s v="DRY2-1858"/>
    <s v="Cooking Cream 1 Ltr"/>
    <s v="Ml"/>
    <s v="Ml"/>
    <n v="250"/>
    <m/>
    <m/>
    <n v="14"/>
    <x v="0"/>
    <n v="17.857142857142858"/>
    <n v="9.8800000000000016E-3"/>
    <n v="0.17642857142857146"/>
  </r>
  <r>
    <x v="99"/>
    <s v="Gourmet360"/>
    <x v="0"/>
    <x v="98"/>
    <x v="2"/>
    <x v="2"/>
    <m/>
    <m/>
    <m/>
    <s v="PRD1-230"/>
    <s v="Fresh Potato"/>
    <s v="Gram "/>
    <s v="Gram "/>
    <n v="500"/>
    <m/>
    <m/>
    <n v="14"/>
    <x v="0"/>
    <n v="35.714285714285715"/>
    <n v="3.3738191632928472E-3"/>
    <n v="0.12049354154617312"/>
  </r>
  <r>
    <x v="100"/>
    <s v="Gourmet360"/>
    <x v="0"/>
    <x v="99"/>
    <x v="2"/>
    <x v="2"/>
    <m/>
    <m/>
    <m/>
    <s v="DRS3-1813"/>
    <s v="Corn Oil (18 Liter)"/>
    <s v="Ml"/>
    <s v="Ml"/>
    <n v="20"/>
    <m/>
    <m/>
    <n v="14"/>
    <x v="0"/>
    <n v="1.4285714285714286"/>
    <n v="8.0555555555555554E-3"/>
    <n v="1.1507936507936509E-2"/>
  </r>
  <r>
    <x v="100"/>
    <s v="Gourmet360"/>
    <x v="0"/>
    <x v="99"/>
    <x v="2"/>
    <x v="2"/>
    <m/>
    <m/>
    <m/>
    <s v="PRD1-4265"/>
    <s v="Fresh onion Yellow(Imported)"/>
    <s v="Gram "/>
    <s v="Gram "/>
    <n v="150"/>
    <m/>
    <m/>
    <n v="14"/>
    <x v="0"/>
    <n v="10.714285714285714"/>
    <n v="3.529411764705882E-3"/>
    <n v="3.7815126050420159E-2"/>
  </r>
  <r>
    <x v="100"/>
    <s v="Gourmet360"/>
    <x v="0"/>
    <x v="99"/>
    <x v="2"/>
    <x v="2"/>
    <m/>
    <m/>
    <m/>
    <s v="PRD1-4327"/>
    <s v="Fresh Garlic Peeled"/>
    <s v="Gram "/>
    <s v="Gram "/>
    <n v="15"/>
    <m/>
    <m/>
    <n v="14"/>
    <x v="0"/>
    <n v="1.0714285714285714"/>
    <n v="1.2999999999999999E-2"/>
    <n v="1.3928571428571427E-2"/>
  </r>
  <r>
    <x v="100"/>
    <s v="Gourmet360"/>
    <x v="0"/>
    <x v="99"/>
    <x v="2"/>
    <x v="2"/>
    <m/>
    <m/>
    <m/>
    <s v="PRD1-186"/>
    <s v="Fresh Carrot Imported"/>
    <s v="Gram "/>
    <s v="Gram "/>
    <n v="100"/>
    <m/>
    <m/>
    <n v="14"/>
    <x v="0"/>
    <n v="7.1428571428571432"/>
    <n v="5.8139534883720938E-3"/>
    <n v="4.1528239202657816E-2"/>
  </r>
  <r>
    <x v="100"/>
    <s v="Gourmet360"/>
    <x v="0"/>
    <x v="99"/>
    <x v="2"/>
    <x v="2"/>
    <m/>
    <m/>
    <m/>
    <s v="DRS6-260"/>
    <s v="Spices Cinnamon Powder"/>
    <s v="Gram "/>
    <s v="Gram "/>
    <n v="3"/>
    <m/>
    <m/>
    <n v="14"/>
    <x v="0"/>
    <n v="0.21428571428571427"/>
    <n v="0.02"/>
    <n v="4.2857142857142859E-3"/>
  </r>
  <r>
    <x v="100"/>
    <s v="Gourmet360"/>
    <x v="0"/>
    <x v="99"/>
    <x v="2"/>
    <x v="2"/>
    <m/>
    <m/>
    <m/>
    <s v="MET2-585"/>
    <s v="Frz Beef Topside"/>
    <s v="Gram "/>
    <s v="Gram "/>
    <n v="250"/>
    <m/>
    <m/>
    <n v="14"/>
    <x v="0"/>
    <n v="17.857142857142858"/>
    <n v="4.2630057803468215E-2"/>
    <n v="0.76125103220478951"/>
  </r>
  <r>
    <x v="100"/>
    <s v="Gourmet360"/>
    <x v="0"/>
    <x v="99"/>
    <x v="2"/>
    <x v="2"/>
    <m/>
    <m/>
    <m/>
    <s v="DRS1-1747"/>
    <s v="Can Tomato Paste (4500 Gram)"/>
    <s v="Gram "/>
    <s v="Gram "/>
    <n v="80"/>
    <m/>
    <m/>
    <n v="14"/>
    <x v="0"/>
    <n v="5.7142857142857144"/>
    <n v="5.185185185185185E-3"/>
    <n v="2.9629629629629631E-2"/>
  </r>
  <r>
    <x v="100"/>
    <s v="Gourmet360"/>
    <x v="0"/>
    <x v="99"/>
    <x v="2"/>
    <x v="2"/>
    <m/>
    <m/>
    <m/>
    <s v="DRS2-3628"/>
    <s v="Pasta Vermicelli-Cuts,N:61"/>
    <s v="Gram "/>
    <s v="Gram "/>
    <n v="80"/>
    <m/>
    <m/>
    <n v="14"/>
    <x v="0"/>
    <n v="5.7142857142857144"/>
    <n v="1.1066666666666667E-2"/>
    <n v="6.3238095238095246E-2"/>
  </r>
  <r>
    <x v="100"/>
    <s v="Gourmet360"/>
    <x v="0"/>
    <x v="99"/>
    <x v="2"/>
    <x v="2"/>
    <m/>
    <m/>
    <m/>
    <s v="DRS1-3813"/>
    <s v="Beef Stock Powder(Packet)"/>
    <s v="Gram "/>
    <s v="Gram "/>
    <n v="10"/>
    <m/>
    <m/>
    <n v="14"/>
    <x v="0"/>
    <n v="0.7142857142857143"/>
    <n v="4.4441666666666664E-2"/>
    <n v="3.1744047619047616E-2"/>
  </r>
  <r>
    <x v="100"/>
    <s v="Gourmet360"/>
    <x v="0"/>
    <x v="99"/>
    <x v="2"/>
    <x v="2"/>
    <m/>
    <m/>
    <m/>
    <s v="DRS1-3880"/>
    <s v="Salt "/>
    <s v="Gram "/>
    <s v="Gram "/>
    <n v="10"/>
    <m/>
    <m/>
    <n v="14"/>
    <x v="0"/>
    <n v="0.7142857142857143"/>
    <n v="5.0000000000000001E-4"/>
    <n v="3.5714285714285714E-4"/>
  </r>
  <r>
    <x v="100"/>
    <s v="Gourmet360"/>
    <x v="0"/>
    <x v="99"/>
    <x v="2"/>
    <x v="2"/>
    <m/>
    <m/>
    <m/>
    <s v="PRD1-195"/>
    <s v="Fresh Coriander "/>
    <s v="Gram "/>
    <s v="Gram "/>
    <n v="5"/>
    <m/>
    <m/>
    <n v="14"/>
    <x v="0"/>
    <n v="0.35714285714285715"/>
    <n v="9.3676814988290415E-3"/>
    <n v="3.3456005352960863E-3"/>
  </r>
  <r>
    <x v="100"/>
    <s v="Gourmet360"/>
    <x v="0"/>
    <x v="99"/>
    <x v="2"/>
    <x v="2"/>
    <m/>
    <m/>
    <m/>
    <s v="DRS5-40"/>
    <s v="Flour White"/>
    <s v="Gram "/>
    <s v="Gram "/>
    <n v="40"/>
    <m/>
    <m/>
    <n v="14"/>
    <x v="0"/>
    <n v="2.8571428571428572"/>
    <n v="7.7777777777777773E-4"/>
    <n v="2.2222222222222222E-3"/>
  </r>
  <r>
    <x v="100"/>
    <s v="Gourmet360"/>
    <x v="0"/>
    <x v="99"/>
    <x v="2"/>
    <x v="2"/>
    <m/>
    <m/>
    <m/>
    <s v="TAP-00001"/>
    <s v="Tap Water-Cooking"/>
    <s v="Ml"/>
    <s v="Ml"/>
    <n v="2200"/>
    <m/>
    <m/>
    <n v="14"/>
    <x v="0"/>
    <n v="157.14285714285714"/>
    <n v="8.0000000000000007E-5"/>
    <n v="1.2571428571428572E-2"/>
  </r>
  <r>
    <x v="100"/>
    <s v="Gourmet360"/>
    <x v="0"/>
    <x v="99"/>
    <x v="2"/>
    <x v="2"/>
    <m/>
    <m/>
    <m/>
    <s v="PRD1-572"/>
    <s v="Fresh Tomato "/>
    <s v="Gram "/>
    <s v="Gram "/>
    <n v="150"/>
    <m/>
    <m/>
    <n v="14"/>
    <x v="0"/>
    <n v="10.714285714285714"/>
    <n v="4.5351473922902496E-3"/>
    <n v="4.8590864917395525E-2"/>
  </r>
  <r>
    <x v="101"/>
    <s v="Gourmet360"/>
    <x v="0"/>
    <x v="100"/>
    <x v="3"/>
    <x v="2"/>
    <m/>
    <m/>
    <m/>
    <s v="DRS3-1813"/>
    <s v="Corn Oil (18 Liter)"/>
    <s v="Ml"/>
    <s v="Ml"/>
    <n v="25"/>
    <m/>
    <m/>
    <n v="14"/>
    <x v="0"/>
    <n v="1.7857142857142858"/>
    <n v="8.0555555555555554E-3"/>
    <n v="1.4384920634920636E-2"/>
  </r>
  <r>
    <x v="101"/>
    <s v="Gourmet360"/>
    <x v="0"/>
    <x v="100"/>
    <x v="3"/>
    <x v="2"/>
    <m/>
    <m/>
    <m/>
    <s v="PRD1-4265"/>
    <s v="Fresh onion Yellow(Imported)"/>
    <s v="Gram "/>
    <s v="Gram "/>
    <n v="100"/>
    <m/>
    <m/>
    <n v="14"/>
    <x v="0"/>
    <n v="7.1428571428571432"/>
    <n v="3.529411764705882E-3"/>
    <n v="2.5210084033613446E-2"/>
  </r>
  <r>
    <x v="101"/>
    <s v="Gourmet360"/>
    <x v="0"/>
    <x v="100"/>
    <x v="3"/>
    <x v="2"/>
    <m/>
    <m/>
    <m/>
    <s v="PRD1-4327"/>
    <s v="Fresh Garlic Peeled"/>
    <s v="Gram "/>
    <s v="Gram "/>
    <n v="15"/>
    <m/>
    <m/>
    <n v="14"/>
    <x v="0"/>
    <n v="1.0714285714285714"/>
    <n v="1.2999999999999999E-2"/>
    <n v="1.3928571428571427E-2"/>
  </r>
  <r>
    <x v="101"/>
    <s v="Gourmet360"/>
    <x v="0"/>
    <x v="100"/>
    <x v="3"/>
    <x v="2"/>
    <m/>
    <m/>
    <m/>
    <s v="DRS4-4907"/>
    <s v="Dry Lentil Yellow"/>
    <s v="Gram "/>
    <s v="Gram "/>
    <n v="350"/>
    <m/>
    <m/>
    <n v="14"/>
    <x v="0"/>
    <n v="25"/>
    <n v="6.0000000000000001E-3"/>
    <n v="0.15"/>
  </r>
  <r>
    <x v="101"/>
    <s v="Gourmet360"/>
    <x v="0"/>
    <x v="100"/>
    <x v="3"/>
    <x v="2"/>
    <m/>
    <m/>
    <m/>
    <s v="PRD1-186"/>
    <s v="Fresh Carrot Imported"/>
    <s v="Gram "/>
    <s v="Gram "/>
    <n v="150"/>
    <m/>
    <m/>
    <n v="14"/>
    <x v="0"/>
    <n v="10.714285714285714"/>
    <n v="5.8139534883720938E-3"/>
    <n v="6.2292358803986717E-2"/>
  </r>
  <r>
    <x v="101"/>
    <s v="Gourmet360"/>
    <x v="0"/>
    <x v="100"/>
    <x v="3"/>
    <x v="2"/>
    <m/>
    <m/>
    <m/>
    <s v="PRD1-230"/>
    <s v="Fresh Potato"/>
    <s v="Gram "/>
    <s v="Gram "/>
    <n v="250"/>
    <m/>
    <m/>
    <n v="14"/>
    <x v="0"/>
    <n v="17.857142857142858"/>
    <n v="3.3738191632928472E-3"/>
    <n v="6.0246770773086558E-2"/>
  </r>
  <r>
    <x v="101"/>
    <s v="Gourmet360"/>
    <x v="0"/>
    <x v="100"/>
    <x v="3"/>
    <x v="2"/>
    <m/>
    <m/>
    <m/>
    <s v="DRS1-3880"/>
    <s v="Salt "/>
    <s v="Gram "/>
    <s v="Gram "/>
    <n v="5"/>
    <m/>
    <m/>
    <n v="14"/>
    <x v="0"/>
    <n v="0.35714285714285715"/>
    <n v="5.0000000000000001E-4"/>
    <n v="1.7857142857142857E-4"/>
  </r>
  <r>
    <x v="101"/>
    <s v="Gourmet360"/>
    <x v="0"/>
    <x v="100"/>
    <x v="3"/>
    <x v="2"/>
    <m/>
    <m/>
    <m/>
    <s v="DRS6-537"/>
    <s v="Spices Pepper Black Powder(1 Kg)"/>
    <s v="Gram "/>
    <s v="Gram "/>
    <n v="1"/>
    <m/>
    <m/>
    <n v="14"/>
    <x v="0"/>
    <n v="7.1428571428571425E-2"/>
    <n v="3.5000000000000003E-2"/>
    <n v="2.5000000000000001E-3"/>
  </r>
  <r>
    <x v="101"/>
    <s v="Gourmet360"/>
    <x v="0"/>
    <x v="100"/>
    <x v="3"/>
    <x v="2"/>
    <m/>
    <m/>
    <m/>
    <s v="TAP-00001"/>
    <s v="Tap Water-Cooking"/>
    <s v="Ml"/>
    <s v="Ml"/>
    <n v="2300"/>
    <m/>
    <m/>
    <n v="14"/>
    <x v="0"/>
    <n v="164.28571428571428"/>
    <n v="8.0000000000000007E-5"/>
    <n v="1.3142857142857144E-2"/>
  </r>
  <r>
    <x v="101"/>
    <s v="Gourmet360"/>
    <x v="0"/>
    <x v="100"/>
    <x v="3"/>
    <x v="2"/>
    <m/>
    <m/>
    <m/>
    <s v="DRS6-1674"/>
    <s v="Spice Turmeric Powder (1 Kg)"/>
    <s v="Gram "/>
    <s v="Gram "/>
    <n v="2"/>
    <m/>
    <m/>
    <n v="14"/>
    <x v="0"/>
    <n v="0.14285714285714285"/>
    <n v="1.2500000000000001E-2"/>
    <n v="1.7857142857142857E-3"/>
  </r>
  <r>
    <x v="102"/>
    <s v="Gourmet360"/>
    <x v="0"/>
    <x v="85"/>
    <x v="3"/>
    <x v="2"/>
    <m/>
    <m/>
    <m/>
    <s v="PRD1-223"/>
    <s v="Fresh Mushroom"/>
    <s v="Gram "/>
    <s v="Gram "/>
    <n v="200"/>
    <m/>
    <m/>
    <n v="14"/>
    <x v="0"/>
    <n v="14.285714285714286"/>
    <n v="2.3231256599788808E-2"/>
    <n v="0.33187509428269729"/>
  </r>
  <r>
    <x v="102"/>
    <s v="Gourmet360"/>
    <x v="0"/>
    <x v="85"/>
    <x v="3"/>
    <x v="2"/>
    <m/>
    <m/>
    <m/>
    <s v="DRY2-1008"/>
    <s v="Butter 82% Fat(Unsalted) 25 kg"/>
    <s v="Gram "/>
    <s v="Gram "/>
    <n v="30"/>
    <m/>
    <m/>
    <n v="14"/>
    <x v="0"/>
    <n v="2.1428571428571428"/>
    <n v="0.03"/>
    <n v="6.4285714285714279E-2"/>
  </r>
  <r>
    <x v="102"/>
    <s v="Gourmet360"/>
    <x v="0"/>
    <x v="85"/>
    <x v="3"/>
    <x v="2"/>
    <m/>
    <m/>
    <m/>
    <s v="PRD1-4265"/>
    <s v="Fresh onion Yellow(Imported)"/>
    <s v="Gram "/>
    <s v="Gram "/>
    <n v="80"/>
    <m/>
    <m/>
    <n v="14"/>
    <x v="0"/>
    <n v="5.7142857142857144"/>
    <n v="3.529411764705882E-3"/>
    <n v="2.0168067226890754E-2"/>
  </r>
  <r>
    <x v="102"/>
    <s v="Gourmet360"/>
    <x v="0"/>
    <x v="85"/>
    <x v="3"/>
    <x v="2"/>
    <m/>
    <m/>
    <m/>
    <s v="PRD1-4327"/>
    <s v="Fresh Garlic Peeled"/>
    <s v="Gram "/>
    <s v="Gram "/>
    <n v="15"/>
    <m/>
    <m/>
    <n v="14"/>
    <x v="0"/>
    <n v="1.0714285714285714"/>
    <n v="1.2999999999999999E-2"/>
    <n v="1.3928571428571427E-2"/>
  </r>
  <r>
    <x v="102"/>
    <s v="Gourmet360"/>
    <x v="0"/>
    <x v="85"/>
    <x v="3"/>
    <x v="2"/>
    <m/>
    <m/>
    <m/>
    <s v="DRS6-1570"/>
    <s v="Dried Oregano"/>
    <s v="Gram "/>
    <s v="Gram "/>
    <n v="1"/>
    <m/>
    <m/>
    <n v="14"/>
    <x v="0"/>
    <n v="7.1428571428571425E-2"/>
    <n v="9.3526666666666654E-3"/>
    <n v="6.6804761904761889E-4"/>
  </r>
  <r>
    <x v="102"/>
    <s v="Gourmet360"/>
    <x v="0"/>
    <x v="85"/>
    <x v="3"/>
    <x v="2"/>
    <m/>
    <m/>
    <m/>
    <s v="DRS5-40"/>
    <s v="Flour White"/>
    <s v="Gram "/>
    <s v="Gram "/>
    <n v="25"/>
    <m/>
    <m/>
    <n v="14"/>
    <x v="0"/>
    <n v="1.7857142857142858"/>
    <n v="7.7777777777777773E-4"/>
    <n v="1.3888888888888889E-3"/>
  </r>
  <r>
    <x v="102"/>
    <s v="Gourmet360"/>
    <x v="0"/>
    <x v="85"/>
    <x v="3"/>
    <x v="2"/>
    <m/>
    <m/>
    <m/>
    <s v="TAP-00001"/>
    <s v="Tap Water-Cooking"/>
    <s v="Ml"/>
    <s v="Ml"/>
    <n v="2300"/>
    <m/>
    <m/>
    <n v="14"/>
    <x v="0"/>
    <n v="164.28571428571428"/>
    <n v="8.0000000000000007E-5"/>
    <n v="1.3142857142857144E-2"/>
  </r>
  <r>
    <x v="102"/>
    <s v="Gourmet360"/>
    <x v="0"/>
    <x v="85"/>
    <x v="3"/>
    <x v="2"/>
    <m/>
    <m/>
    <m/>
    <s v="DRS1-456"/>
    <s v="Can Mushroom Whole (2840 Gram)"/>
    <s v="Gram "/>
    <s v="Gram "/>
    <n v="400"/>
    <m/>
    <m/>
    <n v="14"/>
    <x v="0"/>
    <n v="28.571428571428573"/>
    <n v="1.4999999999999999E-2"/>
    <n v="0.4285714285714286"/>
  </r>
  <r>
    <x v="102"/>
    <s v="Gourmet360"/>
    <x v="0"/>
    <x v="85"/>
    <x v="3"/>
    <x v="2"/>
    <m/>
    <m/>
    <m/>
    <s v="DRS1-3811"/>
    <s v="Chicken Stock Powder(Packet)"/>
    <s v="Gram "/>
    <s v="Gram "/>
    <n v="10"/>
    <m/>
    <m/>
    <n v="14"/>
    <x v="0"/>
    <n v="0.7142857142857143"/>
    <n v="2.8475E-2"/>
    <n v="2.0339285714285716E-2"/>
  </r>
  <r>
    <x v="102"/>
    <s v="Gourmet360"/>
    <x v="0"/>
    <x v="85"/>
    <x v="3"/>
    <x v="2"/>
    <m/>
    <m/>
    <m/>
    <s v="PRD3-1842"/>
    <s v="Dry Mushroom Set (Jar)"/>
    <s v="Gram "/>
    <s v="Gram "/>
    <n v="5"/>
    <m/>
    <m/>
    <n v="14"/>
    <x v="0"/>
    <n v="0.35714285714285715"/>
    <n v="0.3"/>
    <n v="0.10714285714285714"/>
  </r>
  <r>
    <x v="102"/>
    <s v="Gourmet360"/>
    <x v="0"/>
    <x v="85"/>
    <x v="3"/>
    <x v="2"/>
    <m/>
    <m/>
    <m/>
    <s v="DRY2-1858"/>
    <s v="Cooking Cream 1 Ltr"/>
    <s v="Ml"/>
    <s v="Ml"/>
    <n v="200"/>
    <m/>
    <m/>
    <n v="14"/>
    <x v="0"/>
    <n v="14.285714285714286"/>
    <n v="9.8800000000000016E-3"/>
    <n v="0.14114285714285718"/>
  </r>
  <r>
    <x v="102"/>
    <s v="Gourmet360"/>
    <x v="0"/>
    <x v="85"/>
    <x v="3"/>
    <x v="2"/>
    <m/>
    <m/>
    <m/>
    <s v="DRS1-3880"/>
    <s v="Salt "/>
    <s v="Gram "/>
    <s v="Gram "/>
    <n v="10"/>
    <m/>
    <m/>
    <n v="14"/>
    <x v="0"/>
    <n v="0.7142857142857143"/>
    <n v="5.0000000000000001E-4"/>
    <n v="3.5714285714285714E-4"/>
  </r>
  <r>
    <x v="102"/>
    <s v="Gourmet360"/>
    <x v="0"/>
    <x v="85"/>
    <x v="3"/>
    <x v="2"/>
    <m/>
    <m/>
    <m/>
    <s v="DRS1-3357"/>
    <s v="Sauce Demi Glace(1.2Kg)"/>
    <s v="Gram "/>
    <s v="Gram "/>
    <n v="10"/>
    <m/>
    <m/>
    <n v="14"/>
    <x v="0"/>
    <n v="0.7142857142857143"/>
    <n v="6.8440000000000001E-2"/>
    <n v="4.8885714285714289E-2"/>
  </r>
  <r>
    <x v="103"/>
    <s v="Gourmet360"/>
    <x v="0"/>
    <x v="101"/>
    <x v="3"/>
    <x v="2"/>
    <m/>
    <m/>
    <m/>
    <s v="PRD1-223"/>
    <s v="Fresh Mushroom"/>
    <s v="Gram "/>
    <s v="Gram "/>
    <n v="200"/>
    <m/>
    <m/>
    <n v="14"/>
    <x v="2"/>
    <n v="14.285714285714286"/>
    <n v="2.3231256599788808E-2"/>
    <n v="0.33187509428269729"/>
  </r>
  <r>
    <x v="103"/>
    <s v="Gourmet360"/>
    <x v="0"/>
    <x v="101"/>
    <x v="3"/>
    <x v="2"/>
    <m/>
    <m/>
    <m/>
    <s v="DRY2-1008"/>
    <s v="Butter 82% Fat(Unsalted) 25 kg"/>
    <s v="Gram "/>
    <s v="Gram "/>
    <n v="30"/>
    <m/>
    <m/>
    <n v="14"/>
    <x v="0"/>
    <n v="2.1428571428571428"/>
    <n v="0.03"/>
    <n v="6.4285714285714279E-2"/>
  </r>
  <r>
    <x v="103"/>
    <s v="Gourmet360"/>
    <x v="0"/>
    <x v="101"/>
    <x v="3"/>
    <x v="2"/>
    <m/>
    <m/>
    <m/>
    <s v="PRD1-4265"/>
    <s v="Fresh onion Yellow(Imported)"/>
    <s v="Gram "/>
    <s v="Gram "/>
    <n v="80"/>
    <m/>
    <m/>
    <n v="14"/>
    <x v="0"/>
    <n v="5.7142857142857144"/>
    <n v="3.529411764705882E-3"/>
    <n v="2.0168067226890754E-2"/>
  </r>
  <r>
    <x v="103"/>
    <s v="Gourmet360"/>
    <x v="0"/>
    <x v="101"/>
    <x v="3"/>
    <x v="2"/>
    <m/>
    <m/>
    <m/>
    <s v="PRD1-4327"/>
    <s v="Fresh Garlic Peeled"/>
    <s v="Gram "/>
    <s v="Gram "/>
    <n v="15"/>
    <m/>
    <m/>
    <n v="14"/>
    <x v="0"/>
    <n v="1.0714285714285714"/>
    <n v="1.2999999999999999E-2"/>
    <n v="1.3928571428571427E-2"/>
  </r>
  <r>
    <x v="103"/>
    <s v="Gourmet360"/>
    <x v="0"/>
    <x v="101"/>
    <x v="3"/>
    <x v="2"/>
    <m/>
    <m/>
    <m/>
    <s v="DRS6-1570"/>
    <s v="Dried Oregano"/>
    <s v="Gram "/>
    <s v="Gram "/>
    <n v="1"/>
    <m/>
    <m/>
    <n v="14"/>
    <x v="0"/>
    <n v="7.1428571428571425E-2"/>
    <n v="9.3526666666666654E-3"/>
    <n v="6.6804761904761889E-4"/>
  </r>
  <r>
    <x v="103"/>
    <s v="Gourmet360"/>
    <x v="0"/>
    <x v="101"/>
    <x v="3"/>
    <x v="2"/>
    <m/>
    <m/>
    <m/>
    <s v="DRS5-980"/>
    <s v="Flour Cake Special (all purpose)"/>
    <s v="Gram "/>
    <s v="Gram "/>
    <n v="25"/>
    <m/>
    <m/>
    <n v="14"/>
    <x v="0"/>
    <n v="1.7857142857142858"/>
    <n v="1E-3"/>
    <n v="1.7857142857142859E-3"/>
  </r>
  <r>
    <x v="103"/>
    <s v="Gourmet360"/>
    <x v="0"/>
    <x v="101"/>
    <x v="3"/>
    <x v="2"/>
    <m/>
    <m/>
    <m/>
    <s v="TAP-00001"/>
    <s v="Tap Water-Cooking"/>
    <s v="Ml"/>
    <s v="Ml"/>
    <n v="2300"/>
    <m/>
    <m/>
    <n v="14"/>
    <x v="0"/>
    <n v="164.28571428571428"/>
    <n v="8.0000000000000007E-5"/>
    <n v="1.3142857142857144E-2"/>
  </r>
  <r>
    <x v="103"/>
    <s v="Gourmet360"/>
    <x v="0"/>
    <x v="101"/>
    <x v="3"/>
    <x v="2"/>
    <m/>
    <m/>
    <m/>
    <s v="DRS1-456"/>
    <s v="Can Mushroom Whole (2840 Gram)"/>
    <s v="Gram "/>
    <s v="Gram "/>
    <n v="400"/>
    <m/>
    <m/>
    <n v="14"/>
    <x v="0"/>
    <n v="28.571428571428573"/>
    <n v="1.4999999999999999E-2"/>
    <n v="0.4285714285714286"/>
  </r>
  <r>
    <x v="103"/>
    <s v="Gourmet360"/>
    <x v="0"/>
    <x v="101"/>
    <x v="3"/>
    <x v="2"/>
    <m/>
    <m/>
    <m/>
    <s v="DRS1-3811"/>
    <s v="Chicken Stock Powder(Packet)"/>
    <s v="Gram "/>
    <s v="Gram "/>
    <n v="10"/>
    <m/>
    <m/>
    <n v="14"/>
    <x v="0"/>
    <n v="0.7142857142857143"/>
    <n v="2.8475E-2"/>
    <n v="2.0339285714285716E-2"/>
  </r>
  <r>
    <x v="103"/>
    <s v="Gourmet360"/>
    <x v="0"/>
    <x v="101"/>
    <x v="3"/>
    <x v="2"/>
    <m/>
    <m/>
    <m/>
    <s v="PRD3-1842"/>
    <s v="Dry Mushroom Set (Jar)"/>
    <s v="Gram "/>
    <s v="Gram "/>
    <n v="5"/>
    <m/>
    <m/>
    <n v="14"/>
    <x v="0"/>
    <n v="0.35714285714285715"/>
    <n v="0.3"/>
    <n v="0.10714285714285714"/>
  </r>
  <r>
    <x v="103"/>
    <s v="Gourmet360"/>
    <x v="0"/>
    <x v="101"/>
    <x v="3"/>
    <x v="2"/>
    <m/>
    <m/>
    <m/>
    <s v="DRY2-1858"/>
    <s v="Cooking Cream 1 Ltr"/>
    <s v="Ml"/>
    <s v="Ml"/>
    <n v="200"/>
    <m/>
    <m/>
    <n v="14"/>
    <x v="0"/>
    <n v="14.285714285714286"/>
    <n v="9.8800000000000016E-3"/>
    <n v="0.14114285714285718"/>
  </r>
  <r>
    <x v="103"/>
    <s v="Gourmet360"/>
    <x v="0"/>
    <x v="101"/>
    <x v="3"/>
    <x v="2"/>
    <m/>
    <m/>
    <m/>
    <s v="DRS1-3880"/>
    <s v="Salt "/>
    <s v="Gram "/>
    <s v="Gram "/>
    <n v="10"/>
    <m/>
    <m/>
    <n v="14"/>
    <x v="0"/>
    <n v="0.7142857142857143"/>
    <n v="5.0000000000000001E-4"/>
    <n v="3.5714285714285714E-4"/>
  </r>
  <r>
    <x v="103"/>
    <s v="Gourmet360"/>
    <x v="0"/>
    <x v="101"/>
    <x v="3"/>
    <x v="2"/>
    <m/>
    <m/>
    <m/>
    <s v="DRS1-3357"/>
    <s v="Sauce Demi Glace(1.2Kg)"/>
    <s v="Gram "/>
    <s v="Gram "/>
    <n v="10"/>
    <m/>
    <m/>
    <n v="14"/>
    <x v="0"/>
    <n v="0.7142857142857143"/>
    <n v="6.8440000000000001E-2"/>
    <n v="4.8885714285714289E-2"/>
  </r>
  <r>
    <x v="104"/>
    <s v="Gourmet360"/>
    <x v="0"/>
    <x v="93"/>
    <x v="3"/>
    <x v="2"/>
    <m/>
    <m/>
    <m/>
    <s v="DRS3-1813"/>
    <s v="Corn Oil (18 Liter)"/>
    <s v="Ml"/>
    <s v="Ml"/>
    <n v="20"/>
    <m/>
    <m/>
    <n v="14"/>
    <x v="0"/>
    <n v="1.4285714285714286"/>
    <n v="8.0555555555555554E-3"/>
    <n v="1.1507936507936509E-2"/>
  </r>
  <r>
    <x v="104"/>
    <s v="Gourmet360"/>
    <x v="0"/>
    <x v="93"/>
    <x v="3"/>
    <x v="2"/>
    <m/>
    <m/>
    <m/>
    <s v="PRD1-4265"/>
    <s v="Fresh onion Yellow(Imported)"/>
    <s v="Gram "/>
    <s v="Gram "/>
    <n v="100"/>
    <m/>
    <m/>
    <n v="14"/>
    <x v="0"/>
    <n v="7.1428571428571432"/>
    <n v="3.529411764705882E-3"/>
    <n v="2.5210084033613446E-2"/>
  </r>
  <r>
    <x v="104"/>
    <s v="Gourmet360"/>
    <x v="0"/>
    <x v="93"/>
    <x v="3"/>
    <x v="2"/>
    <m/>
    <m/>
    <m/>
    <s v="PRD1-4327"/>
    <s v="Fresh Garlic Peeled"/>
    <s v="Gram "/>
    <s v="Gram "/>
    <n v="15"/>
    <m/>
    <m/>
    <n v="14"/>
    <x v="0"/>
    <n v="1.0714285714285714"/>
    <n v="1.2999999999999999E-2"/>
    <n v="1.3928571428571427E-2"/>
  </r>
  <r>
    <x v="104"/>
    <s v="Gourmet360"/>
    <x v="0"/>
    <x v="93"/>
    <x v="3"/>
    <x v="2"/>
    <m/>
    <m/>
    <m/>
    <s v="PLT2-3278"/>
    <s v="Frz Chicken Breast Tender (KG)"/>
    <s v="Gram "/>
    <s v="Gram "/>
    <n v="250"/>
    <m/>
    <m/>
    <n v="14"/>
    <x v="0"/>
    <n v="17.857142857142858"/>
    <n v="3.0357142857142853E-2"/>
    <n v="0.54209183673469385"/>
  </r>
  <r>
    <x v="104"/>
    <s v="Gourmet360"/>
    <x v="0"/>
    <x v="93"/>
    <x v="3"/>
    <x v="2"/>
    <m/>
    <m/>
    <m/>
    <s v="DRS6-309"/>
    <s v="Spice Pepper White Powder"/>
    <s v="Gram "/>
    <s v="Gram "/>
    <n v="1"/>
    <m/>
    <m/>
    <n v="14"/>
    <x v="0"/>
    <n v="7.1428571428571425E-2"/>
    <n v="2.8000000000000001E-2"/>
    <n v="2E-3"/>
  </r>
  <r>
    <x v="104"/>
    <s v="Gourmet360"/>
    <x v="0"/>
    <x v="93"/>
    <x v="3"/>
    <x v="2"/>
    <m/>
    <m/>
    <m/>
    <s v="DRS1-3811"/>
    <s v="Chicken Stock Powder(Packet)"/>
    <s v="Gram "/>
    <s v="Gram "/>
    <n v="10"/>
    <m/>
    <m/>
    <n v="14"/>
    <x v="0"/>
    <n v="0.7142857142857143"/>
    <n v="2.8475E-2"/>
    <n v="2.0339285714285716E-2"/>
  </r>
  <r>
    <x v="104"/>
    <s v="Gourmet360"/>
    <x v="0"/>
    <x v="93"/>
    <x v="3"/>
    <x v="2"/>
    <m/>
    <m/>
    <m/>
    <s v="DRS1-3880"/>
    <s v="Salt "/>
    <s v="Gram "/>
    <s v="Gram "/>
    <n v="5"/>
    <m/>
    <m/>
    <n v="14"/>
    <x v="0"/>
    <n v="0.35714285714285715"/>
    <n v="5.0000000000000001E-4"/>
    <n v="1.7857142857142857E-4"/>
  </r>
  <r>
    <x v="104"/>
    <s v="Gourmet360"/>
    <x v="0"/>
    <x v="93"/>
    <x v="3"/>
    <x v="2"/>
    <m/>
    <m/>
    <m/>
    <s v="PRD1-230"/>
    <s v="Fresh Potato"/>
    <s v="Gram "/>
    <s v="Gram "/>
    <n v="600"/>
    <m/>
    <m/>
    <n v="14"/>
    <x v="0"/>
    <n v="42.857142857142854"/>
    <n v="3.3738191632928472E-3"/>
    <n v="0.14459224985540772"/>
  </r>
  <r>
    <x v="104"/>
    <s v="Gourmet360"/>
    <x v="0"/>
    <x v="93"/>
    <x v="3"/>
    <x v="2"/>
    <m/>
    <m/>
    <m/>
    <s v="DRS5-980"/>
    <s v="Flour Cake Special (all purpose)"/>
    <s v="Gram "/>
    <s v="Gram "/>
    <n v="40"/>
    <m/>
    <m/>
    <n v="14"/>
    <x v="0"/>
    <n v="2.8571428571428572"/>
    <n v="1E-3"/>
    <n v="2.8571428571428571E-3"/>
  </r>
  <r>
    <x v="104"/>
    <s v="Gourmet360"/>
    <x v="0"/>
    <x v="93"/>
    <x v="3"/>
    <x v="2"/>
    <m/>
    <m/>
    <m/>
    <s v="TAP-00001"/>
    <s v="Tap Water-Cooking"/>
    <s v="Ml"/>
    <s v="Ml"/>
    <n v="2000"/>
    <m/>
    <m/>
    <n v="14"/>
    <x v="0"/>
    <n v="142.85714285714286"/>
    <n v="8.0000000000000007E-5"/>
    <n v="1.142857142857143E-2"/>
  </r>
  <r>
    <x v="105"/>
    <s v="Gourmet360"/>
    <x v="0"/>
    <x v="88"/>
    <x v="14"/>
    <x v="2"/>
    <m/>
    <m/>
    <m/>
    <s v="DRY2-1008"/>
    <s v="Butter 82% Fat(Unsalted) 25 kg"/>
    <s v="Gram "/>
    <s v="Gram "/>
    <n v="25"/>
    <m/>
    <m/>
    <n v="14"/>
    <x v="0"/>
    <n v="1.7857142857142858"/>
    <n v="0.03"/>
    <n v="5.3571428571428575E-2"/>
  </r>
  <r>
    <x v="105"/>
    <s v="Gourmet360"/>
    <x v="0"/>
    <x v="88"/>
    <x v="14"/>
    <x v="2"/>
    <m/>
    <m/>
    <m/>
    <s v="PRD1-4265"/>
    <s v="Fresh onion Yellow(Imported)"/>
    <s v="Gram "/>
    <s v="Gram "/>
    <n v="100"/>
    <m/>
    <m/>
    <n v="14"/>
    <x v="0"/>
    <n v="7.1428571428571432"/>
    <n v="3.529411764705882E-3"/>
    <n v="2.5210084033613446E-2"/>
  </r>
  <r>
    <x v="105"/>
    <s v="Gourmet360"/>
    <x v="0"/>
    <x v="88"/>
    <x v="14"/>
    <x v="2"/>
    <m/>
    <m/>
    <m/>
    <s v="PRD1-4327"/>
    <s v="Fresh Garlic Peeled"/>
    <s v="Gram "/>
    <s v="Gram "/>
    <n v="15"/>
    <m/>
    <m/>
    <n v="14"/>
    <x v="0"/>
    <n v="1.0714285714285714"/>
    <n v="1.2999999999999999E-2"/>
    <n v="1.3928571428571427E-2"/>
  </r>
  <r>
    <x v="105"/>
    <s v="Gourmet360"/>
    <x v="0"/>
    <x v="88"/>
    <x v="14"/>
    <x v="2"/>
    <m/>
    <m/>
    <m/>
    <s v="DRS6-309"/>
    <s v="Spice Pepper White Powder"/>
    <s v="Gram "/>
    <s v="Gram "/>
    <n v="2"/>
    <m/>
    <m/>
    <n v="14"/>
    <x v="0"/>
    <n v="0.14285714285714285"/>
    <n v="2.8000000000000001E-2"/>
    <n v="4.0000000000000001E-3"/>
  </r>
  <r>
    <x v="105"/>
    <s v="Gourmet360"/>
    <x v="0"/>
    <x v="88"/>
    <x v="14"/>
    <x v="2"/>
    <m/>
    <m/>
    <m/>
    <s v="DRS1-3811"/>
    <s v="Chicken Stock Powder(Packet)"/>
    <s v="Gram "/>
    <s v="Gram "/>
    <n v="15"/>
    <m/>
    <m/>
    <n v="14"/>
    <x v="0"/>
    <n v="1.0714285714285714"/>
    <n v="2.8475E-2"/>
    <n v="3.0508928571428572E-2"/>
  </r>
  <r>
    <x v="105"/>
    <s v="Gourmet360"/>
    <x v="0"/>
    <x v="88"/>
    <x v="14"/>
    <x v="2"/>
    <m/>
    <m/>
    <m/>
    <s v="DRY2-1858"/>
    <s v="Cooking Cream 1 Ltr"/>
    <s v="Ml"/>
    <s v="Ml"/>
    <n v="200"/>
    <m/>
    <m/>
    <n v="14"/>
    <x v="0"/>
    <n v="14.285714285714286"/>
    <n v="9.8800000000000016E-3"/>
    <n v="0.14114285714285718"/>
  </r>
  <r>
    <x v="105"/>
    <s v="Gourmet360"/>
    <x v="0"/>
    <x v="88"/>
    <x v="14"/>
    <x v="2"/>
    <m/>
    <m/>
    <m/>
    <s v="TAP-00001"/>
    <s v="Tap Water-Cooking"/>
    <s v="Ml"/>
    <s v="Ml"/>
    <n v="2000"/>
    <m/>
    <m/>
    <n v="14"/>
    <x v="0"/>
    <n v="142.85714285714286"/>
    <n v="8.0000000000000007E-5"/>
    <n v="1.142857142857143E-2"/>
  </r>
  <r>
    <x v="105"/>
    <s v="Gourmet360"/>
    <x v="0"/>
    <x v="88"/>
    <x v="14"/>
    <x v="2"/>
    <m/>
    <m/>
    <m/>
    <s v="DRS1-1463"/>
    <s v="Can sweet corn (2950gram)"/>
    <s v="Gram "/>
    <s v="Gram "/>
    <n v="700"/>
    <m/>
    <m/>
    <n v="14"/>
    <x v="0"/>
    <n v="50"/>
    <n v="0.01"/>
    <n v="0.5"/>
  </r>
  <r>
    <x v="105"/>
    <s v="Gourmet360"/>
    <x v="0"/>
    <x v="88"/>
    <x v="14"/>
    <x v="2"/>
    <m/>
    <m/>
    <m/>
    <s v="DRS5-980"/>
    <s v="Flour Cake Special (all purpose)"/>
    <s v="Gram "/>
    <s v="Gram "/>
    <n v="25"/>
    <m/>
    <m/>
    <n v="14"/>
    <x v="0"/>
    <n v="1.7857142857142858"/>
    <n v="1E-3"/>
    <n v="1.7857142857142859E-3"/>
  </r>
  <r>
    <x v="105"/>
    <s v="Gourmet360"/>
    <x v="0"/>
    <x v="88"/>
    <x v="14"/>
    <x v="2"/>
    <m/>
    <m/>
    <m/>
    <s v="DRS1-3880"/>
    <s v="Salt "/>
    <s v="Gram "/>
    <s v="Gram "/>
    <n v="8"/>
    <m/>
    <m/>
    <n v="14"/>
    <x v="0"/>
    <n v="0.5714285714285714"/>
    <n v="5.0000000000000001E-4"/>
    <n v="2.8571428571428568E-4"/>
  </r>
  <r>
    <x v="105"/>
    <s v="Gourmet360"/>
    <x v="0"/>
    <x v="88"/>
    <x v="14"/>
    <x v="2"/>
    <m/>
    <m/>
    <m/>
    <s v="DRS1-304"/>
    <s v="Food Color Yellow(Saffron)"/>
    <s v="Gram "/>
    <s v="Gram "/>
    <n v="1"/>
    <m/>
    <m/>
    <n v="14"/>
    <x v="0"/>
    <n v="7.1428571428571425E-2"/>
    <n v="2.0799999999999999E-2"/>
    <n v="1.4857142857142855E-3"/>
  </r>
  <r>
    <x v="106"/>
    <s v="Gourmet360"/>
    <x v="0"/>
    <x v="102"/>
    <x v="14"/>
    <x v="2"/>
    <m/>
    <m/>
    <m/>
    <s v="DRY2-1008"/>
    <s v="Butter 82% Fat(Unsalted) 25 kg"/>
    <s v="Gram "/>
    <s v="Gram "/>
    <n v="25"/>
    <m/>
    <m/>
    <n v="14"/>
    <x v="0"/>
    <n v="1.7857142857142858"/>
    <n v="0.03"/>
    <n v="5.3571428571428575E-2"/>
  </r>
  <r>
    <x v="106"/>
    <s v="Gourmet360"/>
    <x v="0"/>
    <x v="102"/>
    <x v="14"/>
    <x v="2"/>
    <m/>
    <m/>
    <m/>
    <s v="PRD1-4265"/>
    <s v="Fresh onion Yellow(Imported)"/>
    <s v="Gram "/>
    <s v="Gram "/>
    <n v="100"/>
    <m/>
    <m/>
    <n v="14"/>
    <x v="0"/>
    <n v="7.1428571428571432"/>
    <n v="3.529411764705882E-3"/>
    <n v="2.5210084033613446E-2"/>
  </r>
  <r>
    <x v="106"/>
    <s v="Gourmet360"/>
    <x v="0"/>
    <x v="102"/>
    <x v="14"/>
    <x v="2"/>
    <m/>
    <m/>
    <m/>
    <s v="PRD1-4327"/>
    <s v="Fresh Garlic Peeled"/>
    <s v="Gram "/>
    <s v="Gram "/>
    <n v="15"/>
    <m/>
    <m/>
    <n v="14"/>
    <x v="0"/>
    <n v="1.0714285714285714"/>
    <n v="1.2999999999999999E-2"/>
    <n v="1.3928571428571427E-2"/>
  </r>
  <r>
    <x v="106"/>
    <s v="Gourmet360"/>
    <x v="0"/>
    <x v="102"/>
    <x v="14"/>
    <x v="2"/>
    <m/>
    <m/>
    <m/>
    <s v="DRS6-309"/>
    <s v="Spice Pepper White Powder"/>
    <s v="Gram "/>
    <s v="Gram "/>
    <n v="2"/>
    <m/>
    <m/>
    <n v="14"/>
    <x v="0"/>
    <n v="0.14285714285714285"/>
    <n v="2.8000000000000001E-2"/>
    <n v="4.0000000000000001E-3"/>
  </r>
  <r>
    <x v="106"/>
    <s v="Gourmet360"/>
    <x v="0"/>
    <x v="102"/>
    <x v="14"/>
    <x v="2"/>
    <m/>
    <m/>
    <m/>
    <s v="DRS1-3811"/>
    <s v="Chicken Stock Powder(Packet)"/>
    <s v="Gram "/>
    <s v="Gram "/>
    <n v="15"/>
    <m/>
    <m/>
    <n v="14"/>
    <x v="0"/>
    <n v="1.0714285714285714"/>
    <n v="2.8475E-2"/>
    <n v="3.0508928571428572E-2"/>
  </r>
  <r>
    <x v="106"/>
    <s v="Gourmet360"/>
    <x v="0"/>
    <x v="102"/>
    <x v="14"/>
    <x v="2"/>
    <m/>
    <m/>
    <m/>
    <s v="DRY2-1858"/>
    <s v="Cooking Cream 1 Ltr"/>
    <s v="Ml"/>
    <s v="Ml"/>
    <n v="200"/>
    <m/>
    <m/>
    <n v="14"/>
    <x v="0"/>
    <n v="14.285714285714286"/>
    <n v="9.8800000000000016E-3"/>
    <n v="0.14114285714285718"/>
  </r>
  <r>
    <x v="106"/>
    <s v="Gourmet360"/>
    <x v="0"/>
    <x v="102"/>
    <x v="14"/>
    <x v="2"/>
    <m/>
    <m/>
    <m/>
    <s v="TAP-00001"/>
    <s v="Tap Water-Cooking"/>
    <s v="Ml"/>
    <s v="Ml"/>
    <n v="2000"/>
    <m/>
    <m/>
    <n v="14"/>
    <x v="0"/>
    <n v="142.85714285714286"/>
    <n v="8.0000000000000007E-5"/>
    <n v="1.142857142857143E-2"/>
  </r>
  <r>
    <x v="106"/>
    <s v="Gourmet360"/>
    <x v="0"/>
    <x v="102"/>
    <x v="14"/>
    <x v="2"/>
    <m/>
    <m/>
    <m/>
    <s v="DRS1-1463"/>
    <s v="Can sweet corn (2950gram)"/>
    <s v="Gram "/>
    <s v="Gram "/>
    <n v="700"/>
    <m/>
    <m/>
    <n v="14"/>
    <x v="0"/>
    <n v="50"/>
    <n v="0.01"/>
    <n v="0.5"/>
  </r>
  <r>
    <x v="106"/>
    <s v="Gourmet360"/>
    <x v="0"/>
    <x v="102"/>
    <x v="14"/>
    <x v="2"/>
    <m/>
    <m/>
    <m/>
    <s v="DRS5-980"/>
    <s v="Flour Cake Special (all purpose)"/>
    <s v="Gram "/>
    <s v="Gram "/>
    <n v="25"/>
    <m/>
    <m/>
    <n v="14"/>
    <x v="0"/>
    <n v="1.7857142857142858"/>
    <n v="1E-3"/>
    <n v="1.7857142857142859E-3"/>
  </r>
  <r>
    <x v="106"/>
    <s v="Gourmet360"/>
    <x v="0"/>
    <x v="102"/>
    <x v="14"/>
    <x v="2"/>
    <m/>
    <m/>
    <m/>
    <s v="DRS1-3880"/>
    <s v="Salt "/>
    <s v="Gram "/>
    <s v="Gram "/>
    <n v="8"/>
    <m/>
    <m/>
    <n v="14"/>
    <x v="0"/>
    <n v="0.5714285714285714"/>
    <n v="5.0000000000000001E-4"/>
    <n v="2.8571428571428568E-4"/>
  </r>
  <r>
    <x v="106"/>
    <s v="Gourmet360"/>
    <x v="0"/>
    <x v="102"/>
    <x v="14"/>
    <x v="2"/>
    <m/>
    <m/>
    <m/>
    <s v="DRS1-304"/>
    <s v="Food Color Yellow(Saffron)"/>
    <s v="Gram "/>
    <s v="Gram "/>
    <n v="1"/>
    <m/>
    <m/>
    <n v="14"/>
    <x v="0"/>
    <n v="7.1428571428571425E-2"/>
    <n v="2.0799999999999999E-2"/>
    <n v="1.4857142857142855E-3"/>
  </r>
  <r>
    <x v="107"/>
    <s v="Gourmet360"/>
    <x v="0"/>
    <x v="98"/>
    <x v="4"/>
    <x v="2"/>
    <m/>
    <m/>
    <m/>
    <s v="DRY2-1008"/>
    <s v="Butter 82% Fat(Unsalted) 25 kg"/>
    <s v="Gram "/>
    <s v="Gram "/>
    <n v="20"/>
    <m/>
    <m/>
    <n v="14"/>
    <x v="0"/>
    <n v="1.4285714285714286"/>
    <n v="0.03"/>
    <n v="4.2857142857142858E-2"/>
  </r>
  <r>
    <x v="107"/>
    <s v="Gourmet360"/>
    <x v="0"/>
    <x v="98"/>
    <x v="4"/>
    <x v="2"/>
    <m/>
    <m/>
    <m/>
    <s v="PRD1-4019"/>
    <s v="Fresh Leek (Imported)"/>
    <s v="Gram "/>
    <s v="Gram "/>
    <n v="50"/>
    <m/>
    <m/>
    <n v="14"/>
    <x v="0"/>
    <n v="3.5714285714285716"/>
    <n v="0.02"/>
    <n v="7.1428571428571438E-2"/>
  </r>
  <r>
    <x v="107"/>
    <s v="Gourmet360"/>
    <x v="0"/>
    <x v="98"/>
    <x v="4"/>
    <x v="2"/>
    <m/>
    <m/>
    <m/>
    <s v="PRD1-4327"/>
    <s v="Fresh Garlic Peeled"/>
    <s v="Gram "/>
    <s v="Gram "/>
    <n v="15"/>
    <m/>
    <m/>
    <n v="14"/>
    <x v="0"/>
    <n v="1.0714285714285714"/>
    <n v="1.2999999999999999E-2"/>
    <n v="1.3928571428571427E-2"/>
  </r>
  <r>
    <x v="107"/>
    <s v="Gourmet360"/>
    <x v="0"/>
    <x v="98"/>
    <x v="4"/>
    <x v="2"/>
    <m/>
    <m/>
    <m/>
    <s v="PRD1-4265"/>
    <s v="Fresh onion Yellow(Imported)"/>
    <s v="Gram "/>
    <s v="Gram "/>
    <n v="150"/>
    <m/>
    <m/>
    <n v="14"/>
    <x v="0"/>
    <n v="10.714285714285714"/>
    <n v="3.529411764705882E-3"/>
    <n v="3.7815126050420159E-2"/>
  </r>
  <r>
    <x v="107"/>
    <s v="Gourmet360"/>
    <x v="0"/>
    <x v="98"/>
    <x v="4"/>
    <x v="2"/>
    <m/>
    <m/>
    <m/>
    <s v="PRD1-232"/>
    <s v="Fresh Pumpkin"/>
    <s v="Gram "/>
    <s v="Gram "/>
    <n v="600"/>
    <m/>
    <m/>
    <n v="14"/>
    <x v="0"/>
    <n v="42.857142857142854"/>
    <n v="4.4444444444444444E-3"/>
    <n v="0.19047619047619047"/>
  </r>
  <r>
    <x v="107"/>
    <s v="Gourmet360"/>
    <x v="0"/>
    <x v="98"/>
    <x v="4"/>
    <x v="2"/>
    <m/>
    <m/>
    <m/>
    <s v="TAP-00001"/>
    <s v="Tap Water-Cooking"/>
    <s v="Ml"/>
    <s v="Ml"/>
    <n v="2000"/>
    <m/>
    <m/>
    <n v="14"/>
    <x v="0"/>
    <n v="142.85714285714286"/>
    <n v="8.0000000000000007E-5"/>
    <n v="1.142857142857143E-2"/>
  </r>
  <r>
    <x v="107"/>
    <s v="Gourmet360"/>
    <x v="0"/>
    <x v="98"/>
    <x v="4"/>
    <x v="2"/>
    <m/>
    <m/>
    <m/>
    <s v="DRS6-309"/>
    <s v="Spice Pepper White Powder"/>
    <s v="Gram "/>
    <s v="Gram "/>
    <n v="2"/>
    <m/>
    <m/>
    <n v="14"/>
    <x v="0"/>
    <n v="0.14285714285714285"/>
    <n v="2.8000000000000001E-2"/>
    <n v="4.0000000000000001E-3"/>
  </r>
  <r>
    <x v="107"/>
    <s v="Gourmet360"/>
    <x v="0"/>
    <x v="98"/>
    <x v="4"/>
    <x v="2"/>
    <m/>
    <m/>
    <m/>
    <s v="DRS1-3880"/>
    <s v="Salt "/>
    <s v="Gram "/>
    <s v="Gram "/>
    <n v="10"/>
    <m/>
    <m/>
    <n v="14"/>
    <x v="0"/>
    <n v="0.7142857142857143"/>
    <n v="5.0000000000000001E-4"/>
    <n v="3.5714285714285714E-4"/>
  </r>
  <r>
    <x v="107"/>
    <s v="Gourmet360"/>
    <x v="0"/>
    <x v="98"/>
    <x v="4"/>
    <x v="2"/>
    <m/>
    <m/>
    <m/>
    <s v="DRS1-4417"/>
    <s v="Vegetable Stock Powder(Packet)"/>
    <s v="Gram "/>
    <s v="Gram "/>
    <n v="10"/>
    <m/>
    <m/>
    <n v="14"/>
    <x v="0"/>
    <n v="0.7142857142857143"/>
    <n v="3.6754545454545456E-2"/>
    <n v="2.6253246753246754E-2"/>
  </r>
  <r>
    <x v="107"/>
    <s v="Gourmet360"/>
    <x v="0"/>
    <x v="98"/>
    <x v="4"/>
    <x v="2"/>
    <m/>
    <m/>
    <m/>
    <s v="DRY2-1858"/>
    <s v="Cooking Cream 1 Ltr"/>
    <s v="Ml"/>
    <s v="Ml"/>
    <n v="300"/>
    <m/>
    <m/>
    <n v="14"/>
    <x v="0"/>
    <n v="21.428571428571427"/>
    <n v="9.8800000000000016E-3"/>
    <n v="0.21171428571428574"/>
  </r>
  <r>
    <x v="108"/>
    <s v="Gourmet360"/>
    <x v="0"/>
    <x v="103"/>
    <x v="4"/>
    <x v="2"/>
    <m/>
    <m/>
    <m/>
    <s v="PRD1-4265"/>
    <s v="Fresh onion Yellow(Imported)"/>
    <s v="Gram "/>
    <s v="Gram "/>
    <n v="150"/>
    <m/>
    <m/>
    <n v="10"/>
    <x v="0"/>
    <n v="15"/>
    <n v="3.529411764705882E-3"/>
    <n v="5.2941176470588228E-2"/>
  </r>
  <r>
    <x v="108"/>
    <s v="Gourmet360"/>
    <x v="0"/>
    <x v="103"/>
    <x v="4"/>
    <x v="2"/>
    <m/>
    <m/>
    <m/>
    <s v="PRD1-4327"/>
    <s v="Fresh Garlic Peeled"/>
    <s v="Gram "/>
    <s v="Gram "/>
    <n v="10"/>
    <m/>
    <m/>
    <n v="10"/>
    <x v="0"/>
    <n v="1"/>
    <n v="1.2999999999999999E-2"/>
    <n v="1.2999999999999999E-2"/>
  </r>
  <r>
    <x v="108"/>
    <s v="Gourmet360"/>
    <x v="0"/>
    <x v="103"/>
    <x v="4"/>
    <x v="2"/>
    <m/>
    <m/>
    <m/>
    <s v="PRD1-186"/>
    <s v="Fresh Carrot Imported"/>
    <s v="Gram "/>
    <s v="Gram "/>
    <n v="75"/>
    <m/>
    <m/>
    <n v="10"/>
    <x v="0"/>
    <n v="7.5"/>
    <n v="5.8139534883720938E-3"/>
    <n v="4.3604651162790706E-2"/>
  </r>
  <r>
    <x v="108"/>
    <s v="Gourmet360"/>
    <x v="0"/>
    <x v="103"/>
    <x v="4"/>
    <x v="2"/>
    <m/>
    <m/>
    <m/>
    <s v="DRS4-50"/>
    <s v="Lentil Peeled (Red)"/>
    <s v="Gram "/>
    <s v="Gram "/>
    <n v="350"/>
    <m/>
    <m/>
    <n v="10"/>
    <x v="0"/>
    <n v="35"/>
    <n v="4.2666666666666669E-3"/>
    <n v="0.14933333333333335"/>
  </r>
  <r>
    <x v="108"/>
    <s v="Gourmet360"/>
    <x v="0"/>
    <x v="103"/>
    <x v="4"/>
    <x v="2"/>
    <m/>
    <m/>
    <m/>
    <s v="PRD1-230"/>
    <s v="Fresh Potato"/>
    <s v="Gram "/>
    <s v="Gram "/>
    <n v="200"/>
    <m/>
    <m/>
    <n v="10"/>
    <x v="0"/>
    <n v="20"/>
    <n v="3.3738191632928472E-3"/>
    <n v="6.7476383265856948E-2"/>
  </r>
  <r>
    <x v="108"/>
    <s v="Gourmet360"/>
    <x v="0"/>
    <x v="103"/>
    <x v="4"/>
    <x v="2"/>
    <m/>
    <m/>
    <m/>
    <s v="PRD1-572"/>
    <s v="Fresh Tomato "/>
    <s v="Gram "/>
    <s v="Gram "/>
    <n v="50"/>
    <m/>
    <m/>
    <n v="10"/>
    <x v="0"/>
    <n v="5"/>
    <n v="4.5351473922902496E-3"/>
    <n v="2.2675736961451247E-2"/>
  </r>
  <r>
    <x v="108"/>
    <s v="Gourmet360"/>
    <x v="0"/>
    <x v="103"/>
    <x v="4"/>
    <x v="2"/>
    <m/>
    <m/>
    <m/>
    <s v="DRS6-1674"/>
    <s v="Spice Turmeric Powder (1 Kg)"/>
    <s v="Gram "/>
    <s v="Gram "/>
    <n v="1"/>
    <m/>
    <m/>
    <n v="10"/>
    <x v="0"/>
    <n v="0.1"/>
    <n v="1.2500000000000001E-2"/>
    <n v="1.2500000000000002E-3"/>
  </r>
  <r>
    <x v="108"/>
    <s v="Gourmet360"/>
    <x v="0"/>
    <x v="103"/>
    <x v="4"/>
    <x v="2"/>
    <m/>
    <m/>
    <m/>
    <s v="DRS6-309"/>
    <s v="Spice Pepper White Powder"/>
    <s v="Gram "/>
    <s v="Gram "/>
    <n v="1"/>
    <m/>
    <m/>
    <n v="10"/>
    <x v="0"/>
    <n v="0.1"/>
    <n v="2.8000000000000001E-2"/>
    <n v="2.8000000000000004E-3"/>
  </r>
  <r>
    <x v="108"/>
    <s v="Gourmet360"/>
    <x v="0"/>
    <x v="103"/>
    <x v="4"/>
    <x v="2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108"/>
    <s v="Gourmet360"/>
    <x v="0"/>
    <x v="103"/>
    <x v="4"/>
    <x v="2"/>
    <m/>
    <m/>
    <m/>
    <s v="DRS6-733"/>
    <s v="Spices Cumin Powder"/>
    <s v="Gram "/>
    <s v="Gram "/>
    <n v="6"/>
    <m/>
    <m/>
    <n v="10"/>
    <x v="0"/>
    <n v="0.6"/>
    <n v="2.8000000000000001E-2"/>
    <n v="1.6799999999999999E-2"/>
  </r>
  <r>
    <x v="108"/>
    <s v="Gourmet360"/>
    <x v="0"/>
    <x v="103"/>
    <x v="4"/>
    <x v="2"/>
    <m/>
    <m/>
    <m/>
    <s v="TAP-00001"/>
    <s v="Tap Water-Cooking"/>
    <s v="Ml"/>
    <s v="Ml"/>
    <n v="2200"/>
    <m/>
    <m/>
    <n v="10"/>
    <x v="0"/>
    <n v="220"/>
    <n v="8.0000000000000007E-5"/>
    <n v="1.7600000000000001E-2"/>
  </r>
  <r>
    <x v="108"/>
    <s v="Gourmet360"/>
    <x v="0"/>
    <x v="103"/>
    <x v="4"/>
    <x v="2"/>
    <m/>
    <m/>
    <m/>
    <s v="DRS3-1813"/>
    <s v="Corn Oil (18 Liter)"/>
    <s v="Ml"/>
    <s v="Ml"/>
    <n v="40"/>
    <m/>
    <m/>
    <n v="10"/>
    <x v="0"/>
    <n v="4"/>
    <n v="8.0555555555555554E-3"/>
    <n v="3.2222222222222222E-2"/>
  </r>
  <r>
    <x v="109"/>
    <s v="Gourmet360"/>
    <x v="0"/>
    <x v="89"/>
    <x v="4"/>
    <x v="2"/>
    <m/>
    <m/>
    <m/>
    <s v="DRS3-1813"/>
    <s v="Corn Oil (18 Liter)"/>
    <s v="Ml"/>
    <s v="Ml"/>
    <n v="25"/>
    <m/>
    <m/>
    <n v="14"/>
    <x v="0"/>
    <n v="1.7857142857142858"/>
    <n v="8.0555555555555554E-3"/>
    <n v="1.4384920634920636E-2"/>
  </r>
  <r>
    <x v="109"/>
    <s v="Gourmet360"/>
    <x v="0"/>
    <x v="89"/>
    <x v="4"/>
    <x v="2"/>
    <m/>
    <m/>
    <m/>
    <s v="PRD1-4265"/>
    <s v="Fresh onion Yellow(Imported)"/>
    <s v="Gram "/>
    <s v="Gram "/>
    <n v="150"/>
    <m/>
    <m/>
    <n v="14"/>
    <x v="0"/>
    <n v="10.714285714285714"/>
    <n v="3.529411764705882E-3"/>
    <n v="3.7815126050420159E-2"/>
  </r>
  <r>
    <x v="109"/>
    <s v="Gourmet360"/>
    <x v="0"/>
    <x v="89"/>
    <x v="4"/>
    <x v="2"/>
    <m/>
    <m/>
    <m/>
    <s v="PRD1-4327"/>
    <s v="Fresh Garlic Peeled"/>
    <s v="Gram "/>
    <s v="Gram "/>
    <n v="15"/>
    <m/>
    <m/>
    <n v="14"/>
    <x v="0"/>
    <n v="1.0714285714285714"/>
    <n v="1.2999999999999999E-2"/>
    <n v="1.3928571428571427E-2"/>
  </r>
  <r>
    <x v="109"/>
    <s v="Gourmet360"/>
    <x v="0"/>
    <x v="89"/>
    <x v="4"/>
    <x v="2"/>
    <m/>
    <m/>
    <m/>
    <s v="PLT2-3278"/>
    <s v="Frz Chicken Breast Tender (KG)"/>
    <s v="Gram "/>
    <s v="Gram "/>
    <n v="250"/>
    <m/>
    <m/>
    <n v="14"/>
    <x v="0"/>
    <n v="17.857142857142858"/>
    <n v="3.0357142857142853E-2"/>
    <n v="0.54209183673469385"/>
  </r>
  <r>
    <x v="109"/>
    <s v="Gourmet360"/>
    <x v="0"/>
    <x v="89"/>
    <x v="4"/>
    <x v="2"/>
    <m/>
    <m/>
    <m/>
    <s v="PRD1-3546"/>
    <s v="Fresh Baby Carrot"/>
    <s v="Gram "/>
    <s v="Gram "/>
    <n v="100"/>
    <m/>
    <m/>
    <n v="14"/>
    <x v="0"/>
    <n v="7.1428571428571432"/>
    <n v="0.04"/>
    <n v="0.28571428571428575"/>
  </r>
  <r>
    <x v="109"/>
    <s v="Gourmet360"/>
    <x v="0"/>
    <x v="89"/>
    <x v="4"/>
    <x v="2"/>
    <m/>
    <m/>
    <m/>
    <s v="PRD1-191"/>
    <s v="Fresh Celery Branch(Imported)"/>
    <s v="Gram "/>
    <s v="Gram "/>
    <n v="25"/>
    <m/>
    <m/>
    <n v="14"/>
    <x v="0"/>
    <n v="1.7857142857142858"/>
    <n v="2.4971623155505111E-2"/>
    <n v="4.4592184206259128E-2"/>
  </r>
  <r>
    <x v="109"/>
    <s v="Gourmet360"/>
    <x v="0"/>
    <x v="89"/>
    <x v="4"/>
    <x v="2"/>
    <m/>
    <m/>
    <m/>
    <s v="DRS1-3811"/>
    <s v="Chicken Stock Powder(Packet)"/>
    <s v="Gram "/>
    <s v="Gram "/>
    <n v="10"/>
    <m/>
    <m/>
    <n v="14"/>
    <x v="0"/>
    <n v="0.7142857142857143"/>
    <n v="2.8475E-2"/>
    <n v="2.0339285714285716E-2"/>
  </r>
  <r>
    <x v="109"/>
    <s v="Gourmet360"/>
    <x v="0"/>
    <x v="89"/>
    <x v="4"/>
    <x v="2"/>
    <m/>
    <m/>
    <m/>
    <s v="TAP-00001"/>
    <s v="Tap Water-Cooking"/>
    <s v="Ml"/>
    <s v="Ml"/>
    <n v="2000"/>
    <m/>
    <m/>
    <n v="14"/>
    <x v="0"/>
    <n v="142.85714285714286"/>
    <n v="8.0000000000000007E-5"/>
    <n v="1.142857142857143E-2"/>
  </r>
  <r>
    <x v="109"/>
    <s v="Gourmet360"/>
    <x v="0"/>
    <x v="89"/>
    <x v="4"/>
    <x v="2"/>
    <m/>
    <m/>
    <m/>
    <s v="DRS2-3825"/>
    <s v="Pasta Orzo #17 (500 Gram)"/>
    <s v="Gram "/>
    <s v="Gram "/>
    <n v="80"/>
    <m/>
    <m/>
    <n v="14"/>
    <x v="0"/>
    <n v="5.7142857142857144"/>
    <n v="9.2222222222222237E-3"/>
    <n v="5.269841269841271E-2"/>
  </r>
  <r>
    <x v="109"/>
    <s v="Gourmet360"/>
    <x v="0"/>
    <x v="89"/>
    <x v="4"/>
    <x v="2"/>
    <m/>
    <m/>
    <m/>
    <s v="DRS6-309"/>
    <s v="Spice Pepper White Powder"/>
    <s v="Gram "/>
    <s v="Gram "/>
    <n v="1"/>
    <m/>
    <m/>
    <n v="14"/>
    <x v="0"/>
    <n v="7.1428571428571425E-2"/>
    <n v="2.8000000000000001E-2"/>
    <n v="2E-3"/>
  </r>
  <r>
    <x v="109"/>
    <s v="Gourmet360"/>
    <x v="0"/>
    <x v="89"/>
    <x v="4"/>
    <x v="2"/>
    <m/>
    <m/>
    <m/>
    <s v="PRD1-227"/>
    <s v="Fresh Parsley"/>
    <s v="Gram "/>
    <s v="Gram "/>
    <n v="5"/>
    <m/>
    <m/>
    <n v="14"/>
    <x v="0"/>
    <n v="0.35714285714285715"/>
    <n v="1.5850144092219021E-2"/>
    <n v="5.6607657472210792E-3"/>
  </r>
  <r>
    <x v="109"/>
    <s v="Gourmet360"/>
    <x v="0"/>
    <x v="89"/>
    <x v="4"/>
    <x v="2"/>
    <m/>
    <m/>
    <m/>
    <s v="DRS1-3880"/>
    <s v="Salt "/>
    <s v="Gram "/>
    <s v="Gram "/>
    <n v="10"/>
    <m/>
    <m/>
    <n v="14"/>
    <x v="0"/>
    <n v="0.7142857142857143"/>
    <n v="5.0000000000000001E-4"/>
    <n v="3.5714285714285714E-4"/>
  </r>
  <r>
    <x v="109"/>
    <s v="Gourmet360"/>
    <x v="0"/>
    <x v="89"/>
    <x v="4"/>
    <x v="2"/>
    <m/>
    <m/>
    <m/>
    <s v="DRS5-980"/>
    <s v="Flour Cake Special (all purpose)"/>
    <s v="Gram "/>
    <s v="Gram "/>
    <n v="40"/>
    <m/>
    <m/>
    <n v="14"/>
    <x v="0"/>
    <n v="2.8571428571428572"/>
    <n v="1E-3"/>
    <n v="2.8571428571428571E-3"/>
  </r>
  <r>
    <x v="109"/>
    <s v="Gourmet360"/>
    <x v="0"/>
    <x v="89"/>
    <x v="4"/>
    <x v="2"/>
    <m/>
    <m/>
    <m/>
    <s v="PRD1-572"/>
    <s v="Fresh Tomato "/>
    <s v="Gram "/>
    <s v="Gram "/>
    <n v="400"/>
    <m/>
    <m/>
    <n v="14"/>
    <x v="0"/>
    <n v="28.571428571428573"/>
    <n v="4.5351473922902496E-3"/>
    <n v="0.12957563977972142"/>
  </r>
  <r>
    <x v="109"/>
    <s v="Gourmet360"/>
    <x v="0"/>
    <x v="89"/>
    <x v="4"/>
    <x v="2"/>
    <m/>
    <m/>
    <m/>
    <s v="DRS1-1747"/>
    <s v="Can Tomato Paste (4500 Gram)"/>
    <s v="Gram "/>
    <s v="Gram "/>
    <n v="40"/>
    <m/>
    <m/>
    <n v="14"/>
    <x v="0"/>
    <n v="2.8571428571428572"/>
    <n v="5.185185185185185E-3"/>
    <n v="1.4814814814814815E-2"/>
  </r>
  <r>
    <x v="110"/>
    <s v="Gourmet360"/>
    <x v="0"/>
    <x v="100"/>
    <x v="5"/>
    <x v="2"/>
    <m/>
    <m/>
    <m/>
    <s v="DRS3-1813"/>
    <s v="Corn Oil (18 Liter)"/>
    <s v="Ml"/>
    <s v="Ml"/>
    <n v="25"/>
    <m/>
    <m/>
    <n v="14"/>
    <x v="0"/>
    <n v="1.7857142857142858"/>
    <n v="8.0555555555555554E-3"/>
    <n v="1.4384920634920636E-2"/>
  </r>
  <r>
    <x v="110"/>
    <s v="Gourmet360"/>
    <x v="0"/>
    <x v="100"/>
    <x v="5"/>
    <x v="2"/>
    <m/>
    <m/>
    <m/>
    <s v="PRD1-4265"/>
    <s v="Fresh onion Yellow(Imported)"/>
    <s v="Gram "/>
    <s v="Gram "/>
    <n v="100"/>
    <m/>
    <m/>
    <n v="14"/>
    <x v="0"/>
    <n v="7.1428571428571432"/>
    <n v="3.529411764705882E-3"/>
    <n v="2.5210084033613446E-2"/>
  </r>
  <r>
    <x v="110"/>
    <s v="Gourmet360"/>
    <x v="0"/>
    <x v="100"/>
    <x v="5"/>
    <x v="2"/>
    <m/>
    <m/>
    <m/>
    <s v="PRD1-4327"/>
    <s v="Fresh Garlic Peeled"/>
    <s v="Gram "/>
    <s v="Gram "/>
    <n v="15"/>
    <m/>
    <m/>
    <n v="14"/>
    <x v="0"/>
    <n v="1.0714285714285714"/>
    <n v="1.2999999999999999E-2"/>
    <n v="1.3928571428571427E-2"/>
  </r>
  <r>
    <x v="110"/>
    <s v="Gourmet360"/>
    <x v="0"/>
    <x v="100"/>
    <x v="5"/>
    <x v="2"/>
    <m/>
    <m/>
    <m/>
    <s v="DRS4-4907"/>
    <s v="Dry Lentil Yellow"/>
    <s v="Gram "/>
    <s v="Gram "/>
    <n v="350"/>
    <m/>
    <m/>
    <n v="14"/>
    <x v="0"/>
    <n v="25"/>
    <n v="6.0000000000000001E-3"/>
    <n v="0.15"/>
  </r>
  <r>
    <x v="110"/>
    <s v="Gourmet360"/>
    <x v="0"/>
    <x v="100"/>
    <x v="5"/>
    <x v="2"/>
    <m/>
    <m/>
    <m/>
    <s v="PRD1-186"/>
    <s v="Fresh Carrot Imported"/>
    <s v="Gram "/>
    <s v="Gram "/>
    <n v="150"/>
    <m/>
    <m/>
    <n v="14"/>
    <x v="0"/>
    <n v="10.714285714285714"/>
    <n v="5.8139534883720938E-3"/>
    <n v="6.2292358803986717E-2"/>
  </r>
  <r>
    <x v="110"/>
    <s v="Gourmet360"/>
    <x v="0"/>
    <x v="100"/>
    <x v="5"/>
    <x v="2"/>
    <m/>
    <m/>
    <m/>
    <s v="PRD1-230"/>
    <s v="Fresh Potato"/>
    <s v="Gram "/>
    <s v="Gram "/>
    <n v="250"/>
    <m/>
    <m/>
    <n v="14"/>
    <x v="0"/>
    <n v="17.857142857142858"/>
    <n v="3.3738191632928472E-3"/>
    <n v="6.0246770773086558E-2"/>
  </r>
  <r>
    <x v="110"/>
    <s v="Gourmet360"/>
    <x v="0"/>
    <x v="100"/>
    <x v="5"/>
    <x v="2"/>
    <m/>
    <m/>
    <m/>
    <s v="DRS1-3880"/>
    <s v="Salt "/>
    <s v="Gram "/>
    <s v="Gram "/>
    <n v="5"/>
    <m/>
    <m/>
    <n v="14"/>
    <x v="0"/>
    <n v="0.35714285714285715"/>
    <n v="5.0000000000000001E-4"/>
    <n v="1.7857142857142857E-4"/>
  </r>
  <r>
    <x v="110"/>
    <s v="Gourmet360"/>
    <x v="0"/>
    <x v="100"/>
    <x v="5"/>
    <x v="2"/>
    <m/>
    <m/>
    <m/>
    <s v="DRS6-537"/>
    <s v="Spices Pepper Black Powder(1 Kg)"/>
    <s v="Gram "/>
    <s v="Gram "/>
    <n v="1"/>
    <m/>
    <m/>
    <n v="14"/>
    <x v="0"/>
    <n v="7.1428571428571425E-2"/>
    <n v="3.5000000000000003E-2"/>
    <n v="2.5000000000000001E-3"/>
  </r>
  <r>
    <x v="110"/>
    <s v="Gourmet360"/>
    <x v="0"/>
    <x v="100"/>
    <x v="5"/>
    <x v="2"/>
    <m/>
    <m/>
    <m/>
    <s v="TAP-00001"/>
    <s v="Tap Water-Cooking"/>
    <s v="Ml"/>
    <s v="Ml"/>
    <n v="2300"/>
    <m/>
    <m/>
    <n v="14"/>
    <x v="0"/>
    <n v="164.28571428571428"/>
    <n v="8.0000000000000007E-5"/>
    <n v="1.3142857142857144E-2"/>
  </r>
  <r>
    <x v="110"/>
    <s v="Gourmet360"/>
    <x v="0"/>
    <x v="100"/>
    <x v="5"/>
    <x v="2"/>
    <m/>
    <m/>
    <m/>
    <s v="DRS6-1674"/>
    <s v="Spice Turmeric Powder (1 Kg)"/>
    <s v="Gram "/>
    <s v="Gram "/>
    <n v="2"/>
    <m/>
    <m/>
    <n v="14"/>
    <x v="0"/>
    <n v="0.14285714285714285"/>
    <n v="1.2500000000000001E-2"/>
    <n v="1.7857142857142857E-3"/>
  </r>
  <r>
    <x v="111"/>
    <s v="Gourmet360"/>
    <x v="0"/>
    <x v="104"/>
    <x v="5"/>
    <x v="2"/>
    <m/>
    <m/>
    <m/>
    <s v="DRS3-1813"/>
    <s v="Corn Oil (18 Liter)"/>
    <s v="Ml"/>
    <s v="Ml"/>
    <n v="20"/>
    <m/>
    <m/>
    <n v="14"/>
    <x v="0"/>
    <n v="1.4285714285714286"/>
    <n v="8.0555555555555554E-3"/>
    <n v="1.1507936507936509E-2"/>
  </r>
  <r>
    <x v="111"/>
    <s v="Gourmet360"/>
    <x v="0"/>
    <x v="104"/>
    <x v="5"/>
    <x v="2"/>
    <m/>
    <m/>
    <m/>
    <s v="PRD1-4265"/>
    <s v="Fresh onion Yellow(Imported)"/>
    <s v="Gram "/>
    <s v="Gram "/>
    <n v="100"/>
    <m/>
    <m/>
    <n v="14"/>
    <x v="0"/>
    <n v="7.1428571428571432"/>
    <n v="3.529411764705882E-3"/>
    <n v="2.5210084033613446E-2"/>
  </r>
  <r>
    <x v="111"/>
    <s v="Gourmet360"/>
    <x v="0"/>
    <x v="104"/>
    <x v="5"/>
    <x v="2"/>
    <m/>
    <m/>
    <m/>
    <s v="PRD1-4327"/>
    <s v="Fresh Garlic Peeled"/>
    <s v="Gram "/>
    <s v="Gram "/>
    <n v="10"/>
    <m/>
    <m/>
    <n v="14"/>
    <x v="0"/>
    <n v="0.7142857142857143"/>
    <n v="1.2999999999999999E-2"/>
    <n v="9.285714285714286E-3"/>
  </r>
  <r>
    <x v="111"/>
    <s v="Gourmet360"/>
    <x v="0"/>
    <x v="104"/>
    <x v="5"/>
    <x v="2"/>
    <m/>
    <m/>
    <m/>
    <s v="PRD1-3794"/>
    <s v="Fresh Baby Marrow"/>
    <s v="Gram "/>
    <s v="Gram "/>
    <n v="500"/>
    <m/>
    <m/>
    <n v="14"/>
    <x v="0"/>
    <n v="35.714285714285715"/>
    <n v="4.9382716049382715E-3"/>
    <n v="0.17636684303350969"/>
  </r>
  <r>
    <x v="111"/>
    <s v="Gourmet360"/>
    <x v="0"/>
    <x v="104"/>
    <x v="5"/>
    <x v="2"/>
    <m/>
    <m/>
    <m/>
    <s v="PRD1-231"/>
    <s v="Fresh Potato Sweet"/>
    <s v="Gram "/>
    <s v="Gram "/>
    <n v="200"/>
    <m/>
    <m/>
    <n v="14"/>
    <x v="0"/>
    <n v="14.285714285714286"/>
    <n v="9.6618357487922701E-3"/>
    <n v="0.13802622498274672"/>
  </r>
  <r>
    <x v="111"/>
    <s v="Gourmet360"/>
    <x v="0"/>
    <x v="104"/>
    <x v="5"/>
    <x v="2"/>
    <m/>
    <m/>
    <m/>
    <s v="DRS1-4417"/>
    <s v="Vegetable Stock Powder(Packet)"/>
    <s v="Gram "/>
    <s v="Gram "/>
    <n v="10"/>
    <m/>
    <m/>
    <n v="14"/>
    <x v="0"/>
    <n v="0.7142857142857143"/>
    <n v="3.6754545454545456E-2"/>
    <n v="2.6253246753246754E-2"/>
  </r>
  <r>
    <x v="111"/>
    <s v="Gourmet360"/>
    <x v="0"/>
    <x v="104"/>
    <x v="5"/>
    <x v="2"/>
    <m/>
    <m/>
    <m/>
    <s v="DRS6-537"/>
    <s v="Spices Pepper Black Powder(1 Kg)"/>
    <s v="Gram "/>
    <s v="Gram "/>
    <n v="2"/>
    <m/>
    <m/>
    <n v="14"/>
    <x v="0"/>
    <n v="0.14285714285714285"/>
    <n v="3.5000000000000003E-2"/>
    <n v="5.0000000000000001E-3"/>
  </r>
  <r>
    <x v="111"/>
    <s v="Gourmet360"/>
    <x v="0"/>
    <x v="104"/>
    <x v="5"/>
    <x v="2"/>
    <m/>
    <m/>
    <m/>
    <s v="TAP-00001"/>
    <s v="Tap Water-Cooking"/>
    <s v="Ml"/>
    <s v="Ml"/>
    <n v="2000"/>
    <m/>
    <m/>
    <n v="14"/>
    <x v="0"/>
    <n v="142.85714285714286"/>
    <n v="8.0000000000000007E-5"/>
    <n v="1.142857142857143E-2"/>
  </r>
  <r>
    <x v="111"/>
    <s v="Gourmet360"/>
    <x v="0"/>
    <x v="104"/>
    <x v="5"/>
    <x v="2"/>
    <m/>
    <m/>
    <m/>
    <s v="DRS1-3880"/>
    <s v="Salt "/>
    <s v="Gram "/>
    <s v="Gram "/>
    <n v="4"/>
    <m/>
    <m/>
    <n v="14"/>
    <x v="0"/>
    <n v="0.2857142857142857"/>
    <n v="5.0000000000000001E-4"/>
    <n v="1.4285714285714284E-4"/>
  </r>
  <r>
    <x v="111"/>
    <s v="Gourmet360"/>
    <x v="0"/>
    <x v="104"/>
    <x v="5"/>
    <x v="2"/>
    <m/>
    <m/>
    <m/>
    <s v="DRY2-1858"/>
    <s v="Cooking Cream 1 Ltr"/>
    <s v="Ml"/>
    <s v="Ml"/>
    <n v="100"/>
    <m/>
    <m/>
    <n v="14"/>
    <x v="0"/>
    <n v="7.1428571428571432"/>
    <n v="9.8800000000000016E-3"/>
    <n v="7.057142857142859E-2"/>
  </r>
  <r>
    <x v="111"/>
    <s v="Gourmet360"/>
    <x v="0"/>
    <x v="104"/>
    <x v="5"/>
    <x v="2"/>
    <m/>
    <m/>
    <m/>
    <s v="PRD1-186"/>
    <s v="Fresh Carrot Imported"/>
    <s v="Gram "/>
    <s v="Gram "/>
    <n v="200"/>
    <m/>
    <m/>
    <n v="14"/>
    <x v="0"/>
    <n v="14.285714285714286"/>
    <n v="5.8139534883720938E-3"/>
    <n v="8.3056478405315631E-2"/>
  </r>
  <r>
    <x v="112"/>
    <s v="Gourmet360"/>
    <x v="0"/>
    <x v="86"/>
    <x v="5"/>
    <x v="2"/>
    <m/>
    <m/>
    <m/>
    <s v="DRS3-1813"/>
    <s v="Corn Oil (18 Liter)"/>
    <s v="Ml"/>
    <s v="Ml"/>
    <n v="20"/>
    <m/>
    <m/>
    <n v="14"/>
    <x v="2"/>
    <n v="1.4285714285714286"/>
    <n v="8.0555555555555554E-3"/>
    <n v="1.1507936507936509E-2"/>
  </r>
  <r>
    <x v="112"/>
    <s v="Gourmet360"/>
    <x v="0"/>
    <x v="86"/>
    <x v="5"/>
    <x v="2"/>
    <m/>
    <m/>
    <m/>
    <s v="PRD1-572"/>
    <s v="Fresh Tomato "/>
    <s v="Gram "/>
    <s v="Gram "/>
    <n v="200"/>
    <m/>
    <m/>
    <n v="14"/>
    <x v="0"/>
    <n v="14.285714285714286"/>
    <n v="4.5351473922902496E-3"/>
    <n v="6.4787819889860709E-2"/>
  </r>
  <r>
    <x v="112"/>
    <s v="Gourmet360"/>
    <x v="0"/>
    <x v="86"/>
    <x v="5"/>
    <x v="2"/>
    <m/>
    <m/>
    <m/>
    <s v="PRD1-4265"/>
    <s v="Fresh onion Yellow(Imported)"/>
    <s v="Gram "/>
    <s v="Gram "/>
    <n v="150"/>
    <m/>
    <m/>
    <n v="14"/>
    <x v="0"/>
    <n v="10.714285714285714"/>
    <n v="3.529411764705882E-3"/>
    <n v="3.7815126050420159E-2"/>
  </r>
  <r>
    <x v="112"/>
    <s v="Gourmet360"/>
    <x v="0"/>
    <x v="86"/>
    <x v="5"/>
    <x v="2"/>
    <m/>
    <m/>
    <m/>
    <s v="PRD1-4327"/>
    <s v="Fresh Garlic Peeled"/>
    <s v="Gram "/>
    <s v="Gram "/>
    <n v="20"/>
    <m/>
    <m/>
    <n v="14"/>
    <x v="0"/>
    <n v="1.4285714285714286"/>
    <n v="1.2999999999999999E-2"/>
    <n v="1.8571428571428572E-2"/>
  </r>
  <r>
    <x v="112"/>
    <s v="Gourmet360"/>
    <x v="0"/>
    <x v="86"/>
    <x v="5"/>
    <x v="2"/>
    <m/>
    <m/>
    <m/>
    <s v="MET2-585"/>
    <s v="Frz Beef Topside"/>
    <s v="Gram "/>
    <s v="Gram "/>
    <n v="300"/>
    <m/>
    <m/>
    <n v="14"/>
    <x v="0"/>
    <n v="21.428571428571427"/>
    <n v="4.2630057803468215E-2"/>
    <n v="0.91350123864574739"/>
  </r>
  <r>
    <x v="112"/>
    <s v="Gourmet360"/>
    <x v="0"/>
    <x v="86"/>
    <x v="5"/>
    <x v="2"/>
    <m/>
    <m/>
    <m/>
    <s v="DRS6-537"/>
    <s v="Spices Pepper Black Powder(1 Kg)"/>
    <s v="Gram "/>
    <s v="Gram "/>
    <n v="1"/>
    <m/>
    <m/>
    <n v="14"/>
    <x v="0"/>
    <n v="7.1428571428571425E-2"/>
    <n v="3.5000000000000003E-2"/>
    <n v="2.5000000000000001E-3"/>
  </r>
  <r>
    <x v="112"/>
    <s v="Gourmet360"/>
    <x v="0"/>
    <x v="86"/>
    <x v="5"/>
    <x v="2"/>
    <m/>
    <m/>
    <m/>
    <s v="DRS6-733"/>
    <s v="Spices Cumin Powder"/>
    <s v="Gram "/>
    <s v="Gram "/>
    <n v="2"/>
    <m/>
    <m/>
    <n v="14"/>
    <x v="0"/>
    <n v="0.14285714285714285"/>
    <n v="2.8000000000000001E-2"/>
    <n v="4.0000000000000001E-3"/>
  </r>
  <r>
    <x v="112"/>
    <s v="Gourmet360"/>
    <x v="0"/>
    <x v="86"/>
    <x v="5"/>
    <x v="2"/>
    <m/>
    <m/>
    <m/>
    <s v="DRS1-1747"/>
    <s v="Can Tomato Paste (4500 Gram)"/>
    <s v="Gram "/>
    <s v="Gram "/>
    <n v="80"/>
    <m/>
    <m/>
    <n v="14"/>
    <x v="0"/>
    <n v="5.7142857142857144"/>
    <n v="5.185185185185185E-3"/>
    <n v="2.9629629629629631E-2"/>
  </r>
  <r>
    <x v="112"/>
    <s v="Gourmet360"/>
    <x v="0"/>
    <x v="86"/>
    <x v="5"/>
    <x v="2"/>
    <m/>
    <m/>
    <m/>
    <s v="TAP-00001"/>
    <s v="Tap Water-Cooking"/>
    <s v="Ml"/>
    <s v="Ml"/>
    <n v="2100"/>
    <m/>
    <m/>
    <n v="14"/>
    <x v="0"/>
    <n v="150"/>
    <n v="8.0000000000000007E-5"/>
    <n v="1.2E-2"/>
  </r>
  <r>
    <x v="112"/>
    <s v="Gourmet360"/>
    <x v="0"/>
    <x v="86"/>
    <x v="5"/>
    <x v="2"/>
    <m/>
    <m/>
    <m/>
    <s v="PRD1-227"/>
    <s v="Fresh Parsley"/>
    <s v="Gram "/>
    <s v="Gram "/>
    <n v="5"/>
    <m/>
    <m/>
    <n v="14"/>
    <x v="0"/>
    <n v="0.35714285714285715"/>
    <n v="1.5850144092219021E-2"/>
    <n v="5.6607657472210792E-3"/>
  </r>
  <r>
    <x v="112"/>
    <s v="Gourmet360"/>
    <x v="0"/>
    <x v="86"/>
    <x v="5"/>
    <x v="2"/>
    <m/>
    <m/>
    <m/>
    <s v="DRS1-4809"/>
    <s v="Oats White Whole(900 Gram)"/>
    <s v="Gram "/>
    <s v="Gram "/>
    <n v="75"/>
    <m/>
    <m/>
    <n v="14"/>
    <x v="0"/>
    <n v="5.3571428571428568"/>
    <n v="1.1577777777777777E-2"/>
    <n v="6.2023809523809516E-2"/>
  </r>
  <r>
    <x v="112"/>
    <s v="Gourmet360"/>
    <x v="0"/>
    <x v="86"/>
    <x v="5"/>
    <x v="2"/>
    <m/>
    <m/>
    <m/>
    <s v="DRS1-3813"/>
    <s v="Beef Stock Powder(Packet)"/>
    <s v="Gram "/>
    <s v="Gram "/>
    <n v="10"/>
    <m/>
    <m/>
    <n v="14"/>
    <x v="0"/>
    <n v="0.7142857142857143"/>
    <n v="4.4441666666666664E-2"/>
    <n v="3.1744047619047616E-2"/>
  </r>
  <r>
    <x v="112"/>
    <s v="Gourmet360"/>
    <x v="0"/>
    <x v="86"/>
    <x v="5"/>
    <x v="2"/>
    <m/>
    <m/>
    <m/>
    <s v="DRS1-3880"/>
    <s v="Salt "/>
    <s v="Gram "/>
    <s v="Gram "/>
    <n v="5"/>
    <m/>
    <m/>
    <n v="14"/>
    <x v="0"/>
    <n v="0.35714285714285715"/>
    <n v="5.0000000000000001E-4"/>
    <n v="1.7857142857142857E-4"/>
  </r>
  <r>
    <x v="113"/>
    <s v="Gourmet360"/>
    <x v="0"/>
    <x v="94"/>
    <x v="5"/>
    <x v="2"/>
    <m/>
    <m/>
    <m/>
    <s v="DRS3-1813"/>
    <s v="Corn Oil (18 Liter)"/>
    <s v="Ml"/>
    <s v="Ml"/>
    <n v="25"/>
    <m/>
    <m/>
    <n v="10"/>
    <x v="0"/>
    <n v="2.5"/>
    <n v="8.0555555555555554E-3"/>
    <n v="2.0138888888888887E-2"/>
  </r>
  <r>
    <x v="113"/>
    <s v="Gourmet360"/>
    <x v="0"/>
    <x v="94"/>
    <x v="5"/>
    <x v="2"/>
    <m/>
    <m/>
    <m/>
    <s v="PRD1-4265"/>
    <s v="Fresh onion Yellow(Imported)"/>
    <s v="Gram "/>
    <s v="Gram "/>
    <n v="100"/>
    <m/>
    <m/>
    <n v="10"/>
    <x v="0"/>
    <n v="10"/>
    <n v="3.529411764705882E-3"/>
    <n v="3.5294117647058823E-2"/>
  </r>
  <r>
    <x v="113"/>
    <s v="Gourmet360"/>
    <x v="0"/>
    <x v="94"/>
    <x v="5"/>
    <x v="2"/>
    <m/>
    <m/>
    <m/>
    <s v="PRD1-4327"/>
    <s v="Fresh Garlic Peeled"/>
    <s v="Gram "/>
    <s v="Gram "/>
    <n v="15"/>
    <m/>
    <m/>
    <n v="10"/>
    <x v="0"/>
    <n v="1.5"/>
    <n v="1.2999999999999999E-2"/>
    <n v="1.95E-2"/>
  </r>
  <r>
    <x v="113"/>
    <s v="Gourmet360"/>
    <x v="0"/>
    <x v="94"/>
    <x v="5"/>
    <x v="2"/>
    <m/>
    <m/>
    <m/>
    <s v="PRD2-3567"/>
    <s v="Frz Green Peas"/>
    <s v="Gram "/>
    <s v="Gram "/>
    <n v="600"/>
    <m/>
    <m/>
    <n v="10"/>
    <x v="0"/>
    <n v="60"/>
    <n v="4.4999999999999997E-3"/>
    <n v="0.26999999999999996"/>
  </r>
  <r>
    <x v="113"/>
    <s v="Gourmet360"/>
    <x v="0"/>
    <x v="94"/>
    <x v="5"/>
    <x v="2"/>
    <m/>
    <m/>
    <m/>
    <s v="PRD1-231"/>
    <s v="Fresh Potato Sweet"/>
    <s v="Gram "/>
    <s v="Gram "/>
    <n v="250"/>
    <m/>
    <m/>
    <n v="10"/>
    <x v="0"/>
    <n v="25"/>
    <n v="9.6618357487922701E-3"/>
    <n v="0.24154589371980675"/>
  </r>
  <r>
    <x v="113"/>
    <s v="Gourmet360"/>
    <x v="0"/>
    <x v="94"/>
    <x v="5"/>
    <x v="2"/>
    <m/>
    <m/>
    <m/>
    <s v="DRS1-4417"/>
    <s v="Vegetable Stock Powder(Packet)"/>
    <s v="Gram "/>
    <s v="Gram "/>
    <n v="10"/>
    <m/>
    <m/>
    <n v="10"/>
    <x v="0"/>
    <n v="1"/>
    <n v="3.6754545454545456E-2"/>
    <n v="3.6754545454545456E-2"/>
  </r>
  <r>
    <x v="113"/>
    <s v="Gourmet360"/>
    <x v="0"/>
    <x v="94"/>
    <x v="5"/>
    <x v="2"/>
    <m/>
    <m/>
    <m/>
    <s v="DRS6-537"/>
    <s v="Spices Pepper Black Powder(1 Kg)"/>
    <s v="Gram "/>
    <s v="Gram "/>
    <n v="2"/>
    <m/>
    <m/>
    <n v="10"/>
    <x v="0"/>
    <n v="0.2"/>
    <n v="3.5000000000000003E-2"/>
    <n v="7.000000000000001E-3"/>
  </r>
  <r>
    <x v="113"/>
    <s v="Gourmet360"/>
    <x v="0"/>
    <x v="94"/>
    <x v="5"/>
    <x v="2"/>
    <m/>
    <m/>
    <m/>
    <s v="TAP-00001"/>
    <s v="Tap Water-Cooking"/>
    <s v="Ml"/>
    <s v="Ml"/>
    <n v="2000"/>
    <m/>
    <m/>
    <n v="10"/>
    <x v="0"/>
    <n v="200"/>
    <n v="8.0000000000000007E-5"/>
    <n v="1.6E-2"/>
  </r>
  <r>
    <x v="113"/>
    <s v="Gourmet360"/>
    <x v="0"/>
    <x v="94"/>
    <x v="5"/>
    <x v="2"/>
    <m/>
    <m/>
    <m/>
    <s v="DRS1-3880"/>
    <s v="Salt "/>
    <s v="Gram "/>
    <s v="Gram "/>
    <n v="5"/>
    <m/>
    <m/>
    <n v="10"/>
    <x v="0"/>
    <n v="0.5"/>
    <n v="5.0000000000000001E-4"/>
    <n v="2.5000000000000001E-4"/>
  </r>
  <r>
    <x v="113"/>
    <s v="Gourmet360"/>
    <x v="0"/>
    <x v="94"/>
    <x v="5"/>
    <x v="2"/>
    <m/>
    <m/>
    <m/>
    <s v="DRY2-1858"/>
    <s v="Cooking Cream 1 Ltr"/>
    <s v="Ml"/>
    <s v="Ml"/>
    <n v="200"/>
    <m/>
    <m/>
    <n v="10"/>
    <x v="0"/>
    <n v="20"/>
    <n v="9.8800000000000016E-3"/>
    <n v="0.19760000000000003"/>
  </r>
  <r>
    <x v="114"/>
    <s v="Gourmet360"/>
    <x v="0"/>
    <x v="105"/>
    <x v="5"/>
    <x v="2"/>
    <m/>
    <m/>
    <m/>
    <s v="DRS3-1813"/>
    <s v="Corn Oil (18 Liter)"/>
    <s v="Ml"/>
    <s v="Ml"/>
    <n v="25"/>
    <m/>
    <m/>
    <n v="14"/>
    <x v="0"/>
    <n v="1.7857142857142858"/>
    <n v="8.0555555555555554E-3"/>
    <n v="1.4384920634920636E-2"/>
  </r>
  <r>
    <x v="114"/>
    <s v="Gourmet360"/>
    <x v="0"/>
    <x v="105"/>
    <x v="5"/>
    <x v="2"/>
    <m/>
    <m/>
    <m/>
    <s v="PRD1-4265"/>
    <s v="Fresh onion Yellow(Imported)"/>
    <s v="Gram "/>
    <s v="Gram "/>
    <n v="100"/>
    <m/>
    <m/>
    <n v="14"/>
    <x v="0"/>
    <n v="7.1428571428571432"/>
    <n v="3.529411764705882E-3"/>
    <n v="2.5210084033613446E-2"/>
  </r>
  <r>
    <x v="114"/>
    <s v="Gourmet360"/>
    <x v="0"/>
    <x v="105"/>
    <x v="5"/>
    <x v="2"/>
    <m/>
    <m/>
    <m/>
    <s v="PRD1-4327"/>
    <s v="Fresh Garlic Peeled"/>
    <s v="Gram "/>
    <s v="Gram "/>
    <n v="15"/>
    <m/>
    <m/>
    <n v="14"/>
    <x v="0"/>
    <n v="1.0714285714285714"/>
    <n v="1.2999999999999999E-2"/>
    <n v="1.3928571428571427E-2"/>
  </r>
  <r>
    <x v="114"/>
    <s v="Gourmet360"/>
    <x v="0"/>
    <x v="105"/>
    <x v="5"/>
    <x v="2"/>
    <m/>
    <m/>
    <m/>
    <s v="PRD1-572"/>
    <s v="Fresh Tomato "/>
    <s v="Gram "/>
    <s v="Gram "/>
    <n v="400"/>
    <m/>
    <m/>
    <n v="14"/>
    <x v="0"/>
    <n v="28.571428571428573"/>
    <n v="4.5351473922902496E-3"/>
    <n v="0.12957563977972142"/>
  </r>
  <r>
    <x v="114"/>
    <s v="Gourmet360"/>
    <x v="0"/>
    <x v="105"/>
    <x v="5"/>
    <x v="2"/>
    <m/>
    <m/>
    <m/>
    <s v="DRS1-1747"/>
    <s v="Can Tomato Paste (4500 Gram)"/>
    <s v="Gram "/>
    <s v="Gram "/>
    <n v="60"/>
    <m/>
    <m/>
    <n v="14"/>
    <x v="0"/>
    <n v="4.2857142857142856"/>
    <n v="5.185185185185185E-3"/>
    <n v="2.222222222222222E-2"/>
  </r>
  <r>
    <x v="114"/>
    <s v="Gourmet360"/>
    <x v="0"/>
    <x v="105"/>
    <x v="5"/>
    <x v="2"/>
    <m/>
    <m/>
    <m/>
    <s v="MET2-585"/>
    <s v="Frz Beef Topside"/>
    <s v="Gram "/>
    <s v="Gram "/>
    <n v="200"/>
    <m/>
    <m/>
    <n v="14"/>
    <x v="0"/>
    <n v="14.285714285714286"/>
    <n v="4.2630057803468215E-2"/>
    <n v="0.60900082576383163"/>
  </r>
  <r>
    <x v="114"/>
    <s v="Gourmet360"/>
    <x v="0"/>
    <x v="105"/>
    <x v="5"/>
    <x v="2"/>
    <m/>
    <m/>
    <m/>
    <s v="PRD1-3794"/>
    <s v="Fresh Baby Marrow"/>
    <s v="Gram "/>
    <s v="Gram "/>
    <n v="200"/>
    <m/>
    <m/>
    <n v="14"/>
    <x v="0"/>
    <n v="14.285714285714286"/>
    <n v="4.9382716049382715E-3"/>
    <n v="7.0546737213403876E-2"/>
  </r>
  <r>
    <x v="114"/>
    <s v="Gourmet360"/>
    <x v="0"/>
    <x v="105"/>
    <x v="5"/>
    <x v="2"/>
    <m/>
    <m/>
    <m/>
    <s v="PRD1-186"/>
    <s v="Fresh Carrot Imported"/>
    <s v="Gram "/>
    <s v="Gram "/>
    <n v="200"/>
    <m/>
    <m/>
    <n v="14"/>
    <x v="0"/>
    <n v="14.285714285714286"/>
    <n v="5.8139534883720938E-3"/>
    <n v="8.3056478405315631E-2"/>
  </r>
  <r>
    <x v="114"/>
    <s v="Gourmet360"/>
    <x v="0"/>
    <x v="105"/>
    <x v="5"/>
    <x v="2"/>
    <m/>
    <m/>
    <m/>
    <s v="DRS4-1025"/>
    <s v="Dry Beans White Small"/>
    <s v="Gram "/>
    <s v="Gram "/>
    <n v="150"/>
    <m/>
    <m/>
    <n v="14"/>
    <x v="0"/>
    <n v="10.714285714285714"/>
    <n v="1.2E-2"/>
    <n v="0.12857142857142856"/>
  </r>
  <r>
    <x v="114"/>
    <s v="Gourmet360"/>
    <x v="0"/>
    <x v="105"/>
    <x v="5"/>
    <x v="2"/>
    <m/>
    <m/>
    <m/>
    <s v="DRS2-3825"/>
    <s v="Pasta Orzo #17 (500 Gram)"/>
    <s v="Gram "/>
    <s v="Gram "/>
    <n v="70"/>
    <m/>
    <m/>
    <n v="14"/>
    <x v="0"/>
    <n v="5"/>
    <n v="9.2222222222222237E-3"/>
    <n v="4.6111111111111117E-2"/>
  </r>
  <r>
    <x v="114"/>
    <s v="Gourmet360"/>
    <x v="0"/>
    <x v="105"/>
    <x v="5"/>
    <x v="2"/>
    <m/>
    <m/>
    <m/>
    <s v="TAP-00001"/>
    <s v="Tap Water-Cooking"/>
    <s v="Ml"/>
    <s v="Ml"/>
    <n v="1500"/>
    <m/>
    <m/>
    <n v="14"/>
    <x v="0"/>
    <n v="107.14285714285714"/>
    <n v="8.0000000000000007E-5"/>
    <n v="8.5714285714285719E-3"/>
  </r>
  <r>
    <x v="114"/>
    <s v="Gourmet360"/>
    <x v="0"/>
    <x v="105"/>
    <x v="5"/>
    <x v="2"/>
    <m/>
    <m/>
    <m/>
    <s v="DRS1-3813"/>
    <s v="Beef Stock Powder(Packet)"/>
    <s v="Gram "/>
    <s v="Gram "/>
    <n v="10"/>
    <m/>
    <m/>
    <n v="14"/>
    <x v="0"/>
    <n v="0.7142857142857143"/>
    <n v="4.4441666666666664E-2"/>
    <n v="3.1744047619047616E-2"/>
  </r>
  <r>
    <x v="114"/>
    <s v="Gourmet360"/>
    <x v="0"/>
    <x v="105"/>
    <x v="5"/>
    <x v="2"/>
    <m/>
    <m/>
    <m/>
    <s v="DRS1-3880"/>
    <s v="Salt "/>
    <s v="Gram "/>
    <s v="Gram "/>
    <n v="15"/>
    <m/>
    <m/>
    <n v="14"/>
    <x v="0"/>
    <n v="1.0714285714285714"/>
    <n v="5.0000000000000001E-4"/>
    <n v="5.3571428571428574E-4"/>
  </r>
  <r>
    <x v="114"/>
    <s v="Gourmet360"/>
    <x v="0"/>
    <x v="105"/>
    <x v="5"/>
    <x v="2"/>
    <m/>
    <m/>
    <m/>
    <s v="PRD1-240"/>
    <s v="Fresh Sweet Pepper Red "/>
    <s v="Gram "/>
    <s v="Gram "/>
    <n v="100"/>
    <m/>
    <m/>
    <n v="14"/>
    <x v="0"/>
    <n v="7.1428571428571432"/>
    <n v="1.3293943870014769E-2"/>
    <n v="9.4956741928676924E-2"/>
  </r>
  <r>
    <x v="115"/>
    <s v="Gourmet360"/>
    <x v="0"/>
    <x v="106"/>
    <x v="6"/>
    <x v="2"/>
    <m/>
    <m/>
    <m/>
    <s v="DRS3-1813"/>
    <s v="Corn Oil (18 Liter)"/>
    <s v="Ml"/>
    <s v="Ml"/>
    <n v="25"/>
    <m/>
    <m/>
    <n v="14"/>
    <x v="0"/>
    <n v="1.7857142857142858"/>
    <n v="8.0555555555555554E-3"/>
    <n v="1.4384920634920636E-2"/>
  </r>
  <r>
    <x v="115"/>
    <s v="Gourmet360"/>
    <x v="0"/>
    <x v="106"/>
    <x v="6"/>
    <x v="2"/>
    <m/>
    <m/>
    <m/>
    <s v="PRD1-4265"/>
    <s v="Fresh onion Yellow(Imported)"/>
    <s v="Gram "/>
    <s v="Gram "/>
    <n v="100"/>
    <m/>
    <m/>
    <n v="14"/>
    <x v="0"/>
    <n v="7.1428571428571432"/>
    <n v="3.529411764705882E-3"/>
    <n v="2.5210084033613446E-2"/>
  </r>
  <r>
    <x v="115"/>
    <s v="Gourmet360"/>
    <x v="0"/>
    <x v="106"/>
    <x v="6"/>
    <x v="2"/>
    <m/>
    <m/>
    <m/>
    <s v="PRD1-4327"/>
    <s v="Fresh Garlic Peeled"/>
    <s v="Gram "/>
    <s v="Gram "/>
    <n v="15"/>
    <m/>
    <m/>
    <n v="14"/>
    <x v="0"/>
    <n v="1.0714285714285714"/>
    <n v="1.2999999999999999E-2"/>
    <n v="1.3928571428571427E-2"/>
  </r>
  <r>
    <x v="115"/>
    <s v="Gourmet360"/>
    <x v="0"/>
    <x v="106"/>
    <x v="6"/>
    <x v="2"/>
    <m/>
    <m/>
    <m/>
    <s v="PRD1-572"/>
    <s v="Fresh Tomato "/>
    <s v="Gram "/>
    <s v="Gram "/>
    <n v="400"/>
    <m/>
    <m/>
    <n v="14"/>
    <x v="0"/>
    <n v="28.571428571428573"/>
    <n v="4.5351473922902496E-3"/>
    <n v="0.12957563977972142"/>
  </r>
  <r>
    <x v="115"/>
    <s v="Gourmet360"/>
    <x v="0"/>
    <x v="106"/>
    <x v="6"/>
    <x v="2"/>
    <m/>
    <m/>
    <m/>
    <s v="DRS1-1747"/>
    <s v="Can Tomato Paste (4500 Gram)"/>
    <s v="Gram "/>
    <s v="Gram "/>
    <n v="60"/>
    <m/>
    <m/>
    <n v="14"/>
    <x v="0"/>
    <n v="4.2857142857142856"/>
    <n v="5.185185185185185E-3"/>
    <n v="2.222222222222222E-2"/>
  </r>
  <r>
    <x v="115"/>
    <s v="Gourmet360"/>
    <x v="0"/>
    <x v="106"/>
    <x v="6"/>
    <x v="2"/>
    <m/>
    <m/>
    <m/>
    <s v="PLT2-3278"/>
    <s v="Frz Chicken Breast Tender (KG)"/>
    <s v="Gram "/>
    <s v="Gram "/>
    <n v="200"/>
    <m/>
    <m/>
    <n v="14"/>
    <x v="0"/>
    <n v="14.285714285714286"/>
    <n v="3.0357142857142853E-2"/>
    <n v="0.43367346938775508"/>
  </r>
  <r>
    <x v="115"/>
    <s v="Gourmet360"/>
    <x v="0"/>
    <x v="106"/>
    <x v="6"/>
    <x v="2"/>
    <m/>
    <m/>
    <m/>
    <s v="PRD1-3794"/>
    <s v="Fresh Baby Marrow"/>
    <s v="Gram "/>
    <s v="Gram "/>
    <n v="200"/>
    <m/>
    <m/>
    <n v="14"/>
    <x v="0"/>
    <n v="14.285714285714286"/>
    <n v="4.9382716049382715E-3"/>
    <n v="7.0546737213403876E-2"/>
  </r>
  <r>
    <x v="115"/>
    <s v="Gourmet360"/>
    <x v="0"/>
    <x v="106"/>
    <x v="6"/>
    <x v="2"/>
    <m/>
    <m/>
    <m/>
    <s v="PRD1-186"/>
    <s v="Fresh Carrot Imported"/>
    <s v="Gram "/>
    <s v="Gram "/>
    <n v="200"/>
    <m/>
    <m/>
    <n v="14"/>
    <x v="0"/>
    <n v="14.285714285714286"/>
    <n v="5.8139534883720938E-3"/>
    <n v="8.3056478405315631E-2"/>
  </r>
  <r>
    <x v="115"/>
    <s v="Gourmet360"/>
    <x v="0"/>
    <x v="106"/>
    <x v="6"/>
    <x v="2"/>
    <m/>
    <m/>
    <m/>
    <s v="DRS4-1025"/>
    <s v="Dry Beans White Small"/>
    <s v="Gram "/>
    <s v="Gram "/>
    <n v="150"/>
    <m/>
    <m/>
    <n v="14"/>
    <x v="0"/>
    <n v="10.714285714285714"/>
    <n v="1.2E-2"/>
    <n v="0.12857142857142856"/>
  </r>
  <r>
    <x v="115"/>
    <s v="Gourmet360"/>
    <x v="0"/>
    <x v="106"/>
    <x v="6"/>
    <x v="2"/>
    <m/>
    <m/>
    <m/>
    <s v="DRS2-3825"/>
    <s v="Pasta Orzo #17 (500 Gram)"/>
    <s v="Gram "/>
    <s v="Gram "/>
    <n v="70"/>
    <m/>
    <m/>
    <n v="14"/>
    <x v="0"/>
    <n v="5"/>
    <n v="9.2222222222222237E-3"/>
    <n v="4.6111111111111117E-2"/>
  </r>
  <r>
    <x v="115"/>
    <s v="Gourmet360"/>
    <x v="0"/>
    <x v="106"/>
    <x v="6"/>
    <x v="2"/>
    <m/>
    <m/>
    <m/>
    <s v="TAP-00001"/>
    <s v="Tap Water-Cooking"/>
    <s v="Ml"/>
    <s v="Ml"/>
    <n v="1500"/>
    <m/>
    <m/>
    <n v="14"/>
    <x v="0"/>
    <n v="107.14285714285714"/>
    <n v="8.0000000000000007E-5"/>
    <n v="8.5714285714285719E-3"/>
  </r>
  <r>
    <x v="115"/>
    <s v="Gourmet360"/>
    <x v="0"/>
    <x v="106"/>
    <x v="6"/>
    <x v="2"/>
    <m/>
    <m/>
    <m/>
    <s v="DRS1-3813"/>
    <s v="Beef Stock Powder(Packet)"/>
    <s v="Gram "/>
    <s v="Gram "/>
    <n v="10"/>
    <m/>
    <m/>
    <n v="14"/>
    <x v="0"/>
    <n v="0.7142857142857143"/>
    <n v="4.4441666666666664E-2"/>
    <n v="3.1744047619047616E-2"/>
  </r>
  <r>
    <x v="115"/>
    <s v="Gourmet360"/>
    <x v="0"/>
    <x v="106"/>
    <x v="6"/>
    <x v="2"/>
    <m/>
    <m/>
    <m/>
    <s v="DRS1-3880"/>
    <s v="Salt "/>
    <s v="Gram "/>
    <s v="Gram "/>
    <n v="15"/>
    <m/>
    <m/>
    <n v="14"/>
    <x v="0"/>
    <n v="1.0714285714285714"/>
    <n v="5.0000000000000001E-4"/>
    <n v="5.3571428571428574E-4"/>
  </r>
  <r>
    <x v="115"/>
    <s v="Gourmet360"/>
    <x v="0"/>
    <x v="106"/>
    <x v="6"/>
    <x v="2"/>
    <m/>
    <m/>
    <m/>
    <s v="PRD1-240"/>
    <s v="Fresh Sweet Pepper Red "/>
    <s v="Gram "/>
    <s v="Gram "/>
    <n v="100"/>
    <m/>
    <m/>
    <n v="14"/>
    <x v="0"/>
    <n v="7.1428571428571432"/>
    <n v="1.3293943870014769E-2"/>
    <n v="9.4956741928676924E-2"/>
  </r>
  <r>
    <x v="116"/>
    <s v="Gourmet360"/>
    <x v="0"/>
    <x v="98"/>
    <x v="6"/>
    <x v="2"/>
    <m/>
    <m/>
    <m/>
    <s v="DRY2-1008"/>
    <s v="Butter 82% Fat(Unsalted) 25 kg"/>
    <s v="Gram "/>
    <s v="Gram "/>
    <n v="20"/>
    <m/>
    <m/>
    <n v="14"/>
    <x v="0"/>
    <n v="1.4285714285714286"/>
    <n v="0.03"/>
    <n v="4.2857142857142858E-2"/>
  </r>
  <r>
    <x v="116"/>
    <s v="Gourmet360"/>
    <x v="0"/>
    <x v="98"/>
    <x v="6"/>
    <x v="2"/>
    <m/>
    <m/>
    <m/>
    <s v="PRD1-4019"/>
    <s v="Fresh Leek (Imported)"/>
    <s v="Gram "/>
    <s v="Gram "/>
    <n v="100"/>
    <m/>
    <m/>
    <n v="14"/>
    <x v="0"/>
    <n v="7.1428571428571432"/>
    <n v="0.02"/>
    <n v="0.14285714285714288"/>
  </r>
  <r>
    <x v="116"/>
    <s v="Gourmet360"/>
    <x v="0"/>
    <x v="98"/>
    <x v="6"/>
    <x v="2"/>
    <m/>
    <m/>
    <m/>
    <s v="PRD1-4327"/>
    <s v="Fresh Garlic Peeled"/>
    <s v="Gram "/>
    <s v="Gram "/>
    <n v="15"/>
    <m/>
    <m/>
    <n v="14"/>
    <x v="0"/>
    <n v="1.0714285714285714"/>
    <n v="1.2999999999999999E-2"/>
    <n v="1.3928571428571427E-2"/>
  </r>
  <r>
    <x v="116"/>
    <s v="Gourmet360"/>
    <x v="0"/>
    <x v="98"/>
    <x v="6"/>
    <x v="2"/>
    <m/>
    <m/>
    <m/>
    <s v="PRD1-4265"/>
    <s v="Fresh onion Yellow(Imported)"/>
    <s v="Gram "/>
    <s v="Gram "/>
    <n v="100"/>
    <m/>
    <m/>
    <n v="14"/>
    <x v="0"/>
    <n v="7.1428571428571432"/>
    <n v="3.529411764705882E-3"/>
    <n v="2.5210084033613446E-2"/>
  </r>
  <r>
    <x v="116"/>
    <s v="Gourmet360"/>
    <x v="0"/>
    <x v="98"/>
    <x v="6"/>
    <x v="2"/>
    <m/>
    <m/>
    <m/>
    <s v="PRD1-232"/>
    <s v="Fresh Pumpkin"/>
    <s v="Gram "/>
    <s v="Gram "/>
    <n v="500"/>
    <m/>
    <m/>
    <n v="14"/>
    <x v="0"/>
    <n v="35.714285714285715"/>
    <n v="4.4444444444444444E-3"/>
    <n v="0.15873015873015872"/>
  </r>
  <r>
    <x v="116"/>
    <s v="Gourmet360"/>
    <x v="0"/>
    <x v="98"/>
    <x v="6"/>
    <x v="2"/>
    <m/>
    <m/>
    <m/>
    <s v="TAP-00001"/>
    <s v="Tap Water-Cooking"/>
    <s v="Ml"/>
    <s v="Ml"/>
    <n v="2000"/>
    <m/>
    <m/>
    <n v="14"/>
    <x v="0"/>
    <n v="142.85714285714286"/>
    <n v="8.0000000000000007E-5"/>
    <n v="1.142857142857143E-2"/>
  </r>
  <r>
    <x v="116"/>
    <s v="Gourmet360"/>
    <x v="0"/>
    <x v="98"/>
    <x v="6"/>
    <x v="2"/>
    <m/>
    <m/>
    <m/>
    <s v="DRS6-309"/>
    <s v="Spice Pepper White Powder"/>
    <s v="Gram "/>
    <s v="Gram "/>
    <n v="2"/>
    <m/>
    <m/>
    <n v="14"/>
    <x v="0"/>
    <n v="0.14285714285714285"/>
    <n v="2.8000000000000001E-2"/>
    <n v="4.0000000000000001E-3"/>
  </r>
  <r>
    <x v="116"/>
    <s v="Gourmet360"/>
    <x v="0"/>
    <x v="98"/>
    <x v="6"/>
    <x v="2"/>
    <m/>
    <m/>
    <m/>
    <s v="DRS1-3880"/>
    <s v="Salt "/>
    <s v="Gram "/>
    <s v="Gram "/>
    <n v="10"/>
    <m/>
    <m/>
    <n v="14"/>
    <x v="0"/>
    <n v="0.7142857142857143"/>
    <n v="5.0000000000000001E-4"/>
    <n v="3.5714285714285714E-4"/>
  </r>
  <r>
    <x v="116"/>
    <s v="Gourmet360"/>
    <x v="0"/>
    <x v="98"/>
    <x v="6"/>
    <x v="2"/>
    <m/>
    <m/>
    <m/>
    <s v="DRS1-4417"/>
    <s v="Vegetable Stock Powder(Packet)"/>
    <s v="Gram "/>
    <s v="Gram "/>
    <n v="10"/>
    <m/>
    <m/>
    <n v="14"/>
    <x v="0"/>
    <n v="0.7142857142857143"/>
    <n v="3.6754545454545456E-2"/>
    <n v="2.6253246753246754E-2"/>
  </r>
  <r>
    <x v="116"/>
    <s v="Gourmet360"/>
    <x v="0"/>
    <x v="98"/>
    <x v="6"/>
    <x v="2"/>
    <m/>
    <m/>
    <m/>
    <s v="DRY2-1858"/>
    <s v="Cooking Cream 1 Ltr"/>
    <s v="Ml"/>
    <s v="Ml"/>
    <n v="300"/>
    <m/>
    <m/>
    <n v="14"/>
    <x v="0"/>
    <n v="21.428571428571427"/>
    <n v="9.8800000000000016E-3"/>
    <n v="0.21171428571428574"/>
  </r>
  <r>
    <x v="116"/>
    <s v="Gourmet360"/>
    <x v="0"/>
    <x v="98"/>
    <x v="6"/>
    <x v="2"/>
    <m/>
    <m/>
    <m/>
    <s v="PRD1-230"/>
    <s v="Fresh Potato"/>
    <s v="Gram "/>
    <s v="Gram "/>
    <n v="500"/>
    <m/>
    <m/>
    <n v="14"/>
    <x v="0"/>
    <n v="35.714285714285715"/>
    <n v="3.3738191632928472E-3"/>
    <n v="0.12049354154617312"/>
  </r>
  <r>
    <x v="117"/>
    <s v="Gourmet360"/>
    <x v="0"/>
    <x v="107"/>
    <x v="6"/>
    <x v="2"/>
    <m/>
    <m/>
    <m/>
    <s v="PRD1-4265"/>
    <s v="Fresh onion Yellow(Imported)"/>
    <s v="Gram "/>
    <s v="Gram "/>
    <n v="150"/>
    <m/>
    <m/>
    <n v="10"/>
    <x v="0"/>
    <n v="15"/>
    <n v="3.529411764705882E-3"/>
    <n v="5.2941176470588228E-2"/>
  </r>
  <r>
    <x v="117"/>
    <s v="Gourmet360"/>
    <x v="0"/>
    <x v="107"/>
    <x v="6"/>
    <x v="2"/>
    <m/>
    <m/>
    <m/>
    <s v="PRD1-4327"/>
    <s v="Fresh Garlic Peeled"/>
    <s v="Gram "/>
    <s v="Gram "/>
    <n v="10"/>
    <m/>
    <m/>
    <n v="10"/>
    <x v="0"/>
    <n v="1"/>
    <n v="1.2999999999999999E-2"/>
    <n v="1.2999999999999999E-2"/>
  </r>
  <r>
    <x v="117"/>
    <s v="Gourmet360"/>
    <x v="0"/>
    <x v="107"/>
    <x v="6"/>
    <x v="2"/>
    <m/>
    <m/>
    <m/>
    <s v="PRD1-186"/>
    <s v="Fresh Carrot Imported"/>
    <s v="Gram "/>
    <s v="Gram "/>
    <n v="75"/>
    <m/>
    <m/>
    <n v="10"/>
    <x v="0"/>
    <n v="7.5"/>
    <n v="5.8139534883720938E-3"/>
    <n v="4.3604651162790706E-2"/>
  </r>
  <r>
    <x v="117"/>
    <s v="Gourmet360"/>
    <x v="0"/>
    <x v="107"/>
    <x v="6"/>
    <x v="2"/>
    <m/>
    <m/>
    <m/>
    <s v="DRS4-50"/>
    <s v="Lentil Peeled (Red)"/>
    <s v="Gram "/>
    <s v="Gram "/>
    <n v="350"/>
    <m/>
    <m/>
    <n v="10"/>
    <x v="0"/>
    <n v="35"/>
    <n v="4.2666666666666669E-3"/>
    <n v="0.14933333333333335"/>
  </r>
  <r>
    <x v="117"/>
    <s v="Gourmet360"/>
    <x v="0"/>
    <x v="107"/>
    <x v="6"/>
    <x v="2"/>
    <m/>
    <m/>
    <m/>
    <s v="PRD1-230"/>
    <s v="Fresh Potato"/>
    <s v="Gram "/>
    <s v="Gram "/>
    <n v="200"/>
    <m/>
    <m/>
    <n v="10"/>
    <x v="0"/>
    <n v="20"/>
    <n v="3.3738191632928472E-3"/>
    <n v="6.7476383265856948E-2"/>
  </r>
  <r>
    <x v="117"/>
    <s v="Gourmet360"/>
    <x v="0"/>
    <x v="107"/>
    <x v="6"/>
    <x v="2"/>
    <m/>
    <m/>
    <m/>
    <s v="PRD1-572"/>
    <s v="Fresh Tomato "/>
    <s v="Gram "/>
    <s v="Gram "/>
    <n v="200"/>
    <m/>
    <m/>
    <n v="10"/>
    <x v="0"/>
    <n v="20"/>
    <n v="4.5351473922902496E-3"/>
    <n v="9.0702947845804988E-2"/>
  </r>
  <r>
    <x v="117"/>
    <s v="Gourmet360"/>
    <x v="0"/>
    <x v="107"/>
    <x v="6"/>
    <x v="2"/>
    <m/>
    <m/>
    <m/>
    <s v="DRS6-1674"/>
    <s v="Spice Turmeric Powder (1 Kg)"/>
    <s v="Gram "/>
    <s v="Gram "/>
    <n v="1"/>
    <m/>
    <m/>
    <n v="10"/>
    <x v="0"/>
    <n v="0.1"/>
    <n v="1.2500000000000001E-2"/>
    <n v="1.2500000000000002E-3"/>
  </r>
  <r>
    <x v="117"/>
    <s v="Gourmet360"/>
    <x v="0"/>
    <x v="107"/>
    <x v="6"/>
    <x v="2"/>
    <m/>
    <m/>
    <m/>
    <s v="DRS6-309"/>
    <s v="Spice Pepper White Powder"/>
    <s v="Gram "/>
    <s v="Gram "/>
    <n v="1"/>
    <m/>
    <m/>
    <n v="10"/>
    <x v="0"/>
    <n v="0.1"/>
    <n v="2.8000000000000001E-2"/>
    <n v="2.8000000000000004E-3"/>
  </r>
  <r>
    <x v="117"/>
    <s v="Gourmet360"/>
    <x v="0"/>
    <x v="107"/>
    <x v="6"/>
    <x v="2"/>
    <m/>
    <m/>
    <m/>
    <s v="DRS1-3880"/>
    <s v="Salt "/>
    <s v="Gram "/>
    <s v="Gram "/>
    <n v="10"/>
    <m/>
    <m/>
    <n v="10"/>
    <x v="0"/>
    <n v="1"/>
    <n v="5.0000000000000001E-4"/>
    <n v="5.0000000000000001E-4"/>
  </r>
  <r>
    <x v="117"/>
    <s v="Gourmet360"/>
    <x v="0"/>
    <x v="107"/>
    <x v="6"/>
    <x v="2"/>
    <m/>
    <m/>
    <m/>
    <s v="DRS6-733"/>
    <s v="Spices Cumin Powder"/>
    <s v="Gram "/>
    <s v="Gram "/>
    <n v="6"/>
    <m/>
    <m/>
    <n v="10"/>
    <x v="0"/>
    <n v="0.6"/>
    <n v="2.8000000000000001E-2"/>
    <n v="1.6799999999999999E-2"/>
  </r>
  <r>
    <x v="117"/>
    <s v="Gourmet360"/>
    <x v="0"/>
    <x v="107"/>
    <x v="6"/>
    <x v="2"/>
    <m/>
    <m/>
    <m/>
    <s v="TAP-00001"/>
    <s v="Tap Water-Cooking"/>
    <s v="Ml"/>
    <s v="Ml"/>
    <n v="2200"/>
    <m/>
    <m/>
    <n v="10"/>
    <x v="0"/>
    <n v="220"/>
    <n v="8.0000000000000007E-5"/>
    <n v="1.7600000000000001E-2"/>
  </r>
  <r>
    <x v="117"/>
    <s v="Gourmet360"/>
    <x v="0"/>
    <x v="107"/>
    <x v="6"/>
    <x v="2"/>
    <m/>
    <m/>
    <m/>
    <s v="DRS3-1813"/>
    <s v="Corn Oil (18 Liter)"/>
    <s v="Ml"/>
    <s v="Ml"/>
    <n v="40"/>
    <m/>
    <m/>
    <n v="10"/>
    <x v="0"/>
    <n v="4"/>
    <n v="8.0555555555555554E-3"/>
    <n v="3.2222222222222222E-2"/>
  </r>
  <r>
    <x v="117"/>
    <s v="Gourmet360"/>
    <x v="0"/>
    <x v="107"/>
    <x v="6"/>
    <x v="2"/>
    <m/>
    <m/>
    <m/>
    <s v="DRS1-1747"/>
    <s v="Can Tomato Paste (4500 Gram)"/>
    <s v="Gram "/>
    <s v="Gram "/>
    <n v="40"/>
    <m/>
    <m/>
    <n v="10"/>
    <x v="0"/>
    <n v="4"/>
    <n v="5.185185185185185E-3"/>
    <n v="2.074074074074074E-2"/>
  </r>
  <r>
    <x v="118"/>
    <s v="Gourmet360"/>
    <x v="0"/>
    <x v="108"/>
    <x v="6"/>
    <x v="2"/>
    <m/>
    <m/>
    <m/>
    <s v="DRY2-1008"/>
    <s v="Butter 82% Fat(Unsalted) 25 kg"/>
    <s v="Gram "/>
    <s v="Gram "/>
    <n v="25"/>
    <m/>
    <m/>
    <n v="14"/>
    <x v="0"/>
    <n v="1.7857142857142858"/>
    <n v="0.03"/>
    <n v="5.3571428571428575E-2"/>
  </r>
  <r>
    <x v="118"/>
    <s v="Gourmet360"/>
    <x v="0"/>
    <x v="108"/>
    <x v="6"/>
    <x v="2"/>
    <m/>
    <m/>
    <m/>
    <s v="PRD1-4265"/>
    <s v="Fresh onion Yellow(Imported)"/>
    <s v="Gram "/>
    <s v="Gram "/>
    <n v="100"/>
    <m/>
    <m/>
    <n v="14"/>
    <x v="0"/>
    <n v="7.1428571428571432"/>
    <n v="3.529411764705882E-3"/>
    <n v="2.5210084033613446E-2"/>
  </r>
  <r>
    <x v="118"/>
    <s v="Gourmet360"/>
    <x v="0"/>
    <x v="108"/>
    <x v="6"/>
    <x v="2"/>
    <m/>
    <m/>
    <m/>
    <s v="PRD1-4327"/>
    <s v="Fresh Garlic Peeled"/>
    <s v="Gram "/>
    <s v="Gram "/>
    <n v="15"/>
    <m/>
    <m/>
    <n v="14"/>
    <x v="0"/>
    <n v="1.0714285714285714"/>
    <n v="1.2999999999999999E-2"/>
    <n v="1.3928571428571427E-2"/>
  </r>
  <r>
    <x v="118"/>
    <s v="Gourmet360"/>
    <x v="0"/>
    <x v="108"/>
    <x v="6"/>
    <x v="2"/>
    <m/>
    <m/>
    <m/>
    <s v="PRD1-186"/>
    <s v="Fresh Carrot Imported"/>
    <s v="Gram "/>
    <s v="Gram "/>
    <n v="150"/>
    <m/>
    <m/>
    <n v="14"/>
    <x v="0"/>
    <n v="10.714285714285714"/>
    <n v="5.8139534883720938E-3"/>
    <n v="6.2292358803986717E-2"/>
  </r>
  <r>
    <x v="118"/>
    <s v="Gourmet360"/>
    <x v="0"/>
    <x v="108"/>
    <x v="6"/>
    <x v="2"/>
    <m/>
    <m/>
    <m/>
    <s v="PLT2-3278"/>
    <s v="Frz Chicken Breast Tender (KG)"/>
    <s v="Gram "/>
    <s v="Gram "/>
    <n v="250"/>
    <m/>
    <m/>
    <n v="14"/>
    <x v="0"/>
    <n v="17.857142857142858"/>
    <n v="3.0357142857142853E-2"/>
    <n v="0.54209183673469385"/>
  </r>
  <r>
    <x v="118"/>
    <s v="Gourmet360"/>
    <x v="0"/>
    <x v="108"/>
    <x v="6"/>
    <x v="2"/>
    <m/>
    <m/>
    <m/>
    <s v="DRS5-40"/>
    <s v="Flour White"/>
    <s v="Gram "/>
    <s v="Gram "/>
    <n v="60"/>
    <m/>
    <m/>
    <n v="14"/>
    <x v="0"/>
    <n v="4.2857142857142856"/>
    <n v="7.7777777777777773E-4"/>
    <n v="3.3333333333333331E-3"/>
  </r>
  <r>
    <x v="118"/>
    <s v="Gourmet360"/>
    <x v="0"/>
    <x v="108"/>
    <x v="6"/>
    <x v="2"/>
    <m/>
    <m/>
    <m/>
    <s v="DRS6-309"/>
    <s v="Spice Pepper White Powder"/>
    <s v="Gram "/>
    <s v="Gram "/>
    <n v="1"/>
    <m/>
    <m/>
    <n v="14"/>
    <x v="0"/>
    <n v="7.1428571428571425E-2"/>
    <n v="2.8000000000000001E-2"/>
    <n v="2E-3"/>
  </r>
  <r>
    <x v="118"/>
    <s v="Gourmet360"/>
    <x v="0"/>
    <x v="108"/>
    <x v="6"/>
    <x v="2"/>
    <m/>
    <m/>
    <m/>
    <s v="TAP-00001"/>
    <s v="Tap Water-Cooking"/>
    <s v="Ml"/>
    <s v="Ml"/>
    <n v="2200"/>
    <m/>
    <m/>
    <n v="14"/>
    <x v="0"/>
    <n v="157.14285714285714"/>
    <n v="8.0000000000000007E-5"/>
    <n v="1.2571428571428572E-2"/>
  </r>
  <r>
    <x v="118"/>
    <s v="Gourmet360"/>
    <x v="0"/>
    <x v="108"/>
    <x v="6"/>
    <x v="2"/>
    <m/>
    <m/>
    <m/>
    <s v="DRY2-1858"/>
    <s v="Cooking Cream 1 Ltr"/>
    <s v="Ml"/>
    <s v="Ml"/>
    <n v="200"/>
    <m/>
    <m/>
    <n v="14"/>
    <x v="0"/>
    <n v="14.285714285714286"/>
    <n v="9.8800000000000016E-3"/>
    <n v="0.14114285714285718"/>
  </r>
  <r>
    <x v="118"/>
    <s v="Gourmet360"/>
    <x v="0"/>
    <x v="108"/>
    <x v="6"/>
    <x v="2"/>
    <m/>
    <m/>
    <m/>
    <s v="DRS1-3811"/>
    <s v="Chicken Stock Powder(Packet)"/>
    <s v="Gram "/>
    <s v="Gram "/>
    <n v="10"/>
    <m/>
    <m/>
    <n v="14"/>
    <x v="0"/>
    <n v="0.7142857142857143"/>
    <n v="2.8475E-2"/>
    <n v="2.0339285714285716E-2"/>
  </r>
  <r>
    <x v="118"/>
    <s v="Gourmet360"/>
    <x v="0"/>
    <x v="108"/>
    <x v="6"/>
    <x v="2"/>
    <m/>
    <m/>
    <m/>
    <s v="DRS1-3880"/>
    <s v="Salt "/>
    <s v="Gram "/>
    <s v="Gram "/>
    <n v="10"/>
    <m/>
    <m/>
    <n v="14"/>
    <x v="0"/>
    <n v="0.7142857142857143"/>
    <n v="5.0000000000000001E-4"/>
    <n v="3.5714285714285714E-4"/>
  </r>
  <r>
    <x v="118"/>
    <s v="Gourmet360"/>
    <x v="0"/>
    <x v="108"/>
    <x v="6"/>
    <x v="2"/>
    <m/>
    <m/>
    <m/>
    <s v="PRD1-4019"/>
    <s v="Fresh Leek (Imported)"/>
    <s v="Gram "/>
    <s v="Gram "/>
    <n v="50"/>
    <m/>
    <m/>
    <n v="14"/>
    <x v="0"/>
    <n v="3.5714285714285716"/>
    <n v="0.02"/>
    <n v="7.1428571428571438E-2"/>
  </r>
  <r>
    <x v="119"/>
    <s v="Gourmet360"/>
    <x v="0"/>
    <x v="109"/>
    <x v="6"/>
    <x v="2"/>
    <m/>
    <m/>
    <m/>
    <s v="DRY2-1008"/>
    <s v="Butter 82% Fat(Unsalted) 25 kg"/>
    <s v="Gram "/>
    <s v="Gram "/>
    <n v="25"/>
    <m/>
    <m/>
    <n v="14"/>
    <x v="0"/>
    <n v="1.7857142857142858"/>
    <n v="0.03"/>
    <n v="5.3571428571428575E-2"/>
  </r>
  <r>
    <x v="119"/>
    <s v="Gourmet360"/>
    <x v="0"/>
    <x v="109"/>
    <x v="6"/>
    <x v="2"/>
    <m/>
    <m/>
    <m/>
    <s v="PRD1-4265"/>
    <s v="Fresh onion Yellow(Imported)"/>
    <s v="Gram "/>
    <s v="Gram "/>
    <n v="100"/>
    <m/>
    <m/>
    <n v="14"/>
    <x v="0"/>
    <n v="7.1428571428571432"/>
    <n v="3.529411764705882E-3"/>
    <n v="2.5210084033613446E-2"/>
  </r>
  <r>
    <x v="119"/>
    <s v="Gourmet360"/>
    <x v="0"/>
    <x v="109"/>
    <x v="6"/>
    <x v="2"/>
    <m/>
    <m/>
    <m/>
    <s v="PRD1-4327"/>
    <s v="Fresh Garlic Peeled"/>
    <s v="Gram "/>
    <s v="Gram "/>
    <n v="15"/>
    <m/>
    <m/>
    <n v="14"/>
    <x v="0"/>
    <n v="1.0714285714285714"/>
    <n v="1.2999999999999999E-2"/>
    <n v="1.3928571428571427E-2"/>
  </r>
  <r>
    <x v="119"/>
    <s v="Gourmet360"/>
    <x v="0"/>
    <x v="109"/>
    <x v="6"/>
    <x v="2"/>
    <m/>
    <m/>
    <m/>
    <s v="PRD1-186"/>
    <s v="Fresh Carrot Imported"/>
    <s v="Gram "/>
    <s v="Gram "/>
    <n v="150"/>
    <m/>
    <m/>
    <n v="14"/>
    <x v="0"/>
    <n v="10.714285714285714"/>
    <n v="5.8139534883720938E-3"/>
    <n v="6.2292358803986717E-2"/>
  </r>
  <r>
    <x v="119"/>
    <s v="Gourmet360"/>
    <x v="0"/>
    <x v="109"/>
    <x v="6"/>
    <x v="2"/>
    <m/>
    <m/>
    <m/>
    <s v="PLT2-3278"/>
    <s v="Frz Chicken Breast Tender (KG)"/>
    <s v="Gram "/>
    <s v="Gram "/>
    <n v="250"/>
    <m/>
    <m/>
    <n v="14"/>
    <x v="0"/>
    <n v="17.857142857142858"/>
    <n v="3.0357142857142853E-2"/>
    <n v="0.54209183673469385"/>
  </r>
  <r>
    <x v="119"/>
    <s v="Gourmet360"/>
    <x v="0"/>
    <x v="109"/>
    <x v="6"/>
    <x v="2"/>
    <m/>
    <m/>
    <m/>
    <s v="DRS5-40"/>
    <s v="Flour White"/>
    <s v="Gram "/>
    <s v="Gram "/>
    <n v="60"/>
    <m/>
    <m/>
    <n v="14"/>
    <x v="0"/>
    <n v="4.2857142857142856"/>
    <n v="7.7777777777777773E-4"/>
    <n v="3.3333333333333331E-3"/>
  </r>
  <r>
    <x v="119"/>
    <s v="Gourmet360"/>
    <x v="0"/>
    <x v="109"/>
    <x v="6"/>
    <x v="2"/>
    <m/>
    <m/>
    <m/>
    <s v="DRS6-309"/>
    <s v="Spice Pepper White Powder"/>
    <s v="Gram "/>
    <s v="Gram "/>
    <n v="1"/>
    <m/>
    <m/>
    <n v="14"/>
    <x v="0"/>
    <n v="7.1428571428571425E-2"/>
    <n v="2.8000000000000001E-2"/>
    <n v="2E-3"/>
  </r>
  <r>
    <x v="119"/>
    <s v="Gourmet360"/>
    <x v="0"/>
    <x v="109"/>
    <x v="6"/>
    <x v="2"/>
    <m/>
    <m/>
    <m/>
    <s v="TAP-00001"/>
    <s v="Tap Water-Cooking"/>
    <s v="Ml"/>
    <s v="Ml"/>
    <n v="2200"/>
    <m/>
    <m/>
    <n v="14"/>
    <x v="0"/>
    <n v="157.14285714285714"/>
    <n v="8.0000000000000007E-5"/>
    <n v="1.2571428571428572E-2"/>
  </r>
  <r>
    <x v="119"/>
    <s v="Gourmet360"/>
    <x v="0"/>
    <x v="109"/>
    <x v="6"/>
    <x v="2"/>
    <m/>
    <m/>
    <m/>
    <s v="DRY2-1858"/>
    <s v="Cooking Cream 1 Ltr"/>
    <s v="Ml"/>
    <s v="Ml"/>
    <n v="200"/>
    <m/>
    <m/>
    <n v="14"/>
    <x v="0"/>
    <n v="14.285714285714286"/>
    <n v="9.8800000000000016E-3"/>
    <n v="0.14114285714285718"/>
  </r>
  <r>
    <x v="119"/>
    <s v="Gourmet360"/>
    <x v="0"/>
    <x v="109"/>
    <x v="6"/>
    <x v="2"/>
    <m/>
    <m/>
    <m/>
    <s v="DRS1-3811"/>
    <s v="Chicken Stock Powder(Packet)"/>
    <s v="Gram "/>
    <s v="Gram "/>
    <n v="10"/>
    <m/>
    <m/>
    <n v="14"/>
    <x v="0"/>
    <n v="0.7142857142857143"/>
    <n v="2.8475E-2"/>
    <n v="2.0339285714285716E-2"/>
  </r>
  <r>
    <x v="119"/>
    <s v="Gourmet360"/>
    <x v="0"/>
    <x v="109"/>
    <x v="6"/>
    <x v="2"/>
    <m/>
    <m/>
    <m/>
    <s v="DRS1-3880"/>
    <s v="Salt "/>
    <s v="Gram "/>
    <s v="Gram "/>
    <n v="10"/>
    <m/>
    <m/>
    <n v="14"/>
    <x v="0"/>
    <n v="0.7142857142857143"/>
    <n v="5.0000000000000001E-4"/>
    <n v="3.5714285714285714E-4"/>
  </r>
  <r>
    <x v="119"/>
    <s v="Gourmet360"/>
    <x v="0"/>
    <x v="109"/>
    <x v="6"/>
    <x v="2"/>
    <m/>
    <m/>
    <m/>
    <s v="PRD1-4019"/>
    <s v="Fresh Leek (Imported)"/>
    <s v="Gram "/>
    <s v="Gram "/>
    <n v="50"/>
    <m/>
    <m/>
    <n v="14"/>
    <x v="0"/>
    <n v="3.5714285714285716"/>
    <n v="0.02"/>
    <n v="7.1428571428571438E-2"/>
  </r>
  <r>
    <x v="120"/>
    <s v="Gourmet360"/>
    <x v="0"/>
    <x v="110"/>
    <x v="6"/>
    <x v="3"/>
    <m/>
    <m/>
    <m/>
    <s v="DRS5-40"/>
    <s v="Flour White"/>
    <s v="Gram "/>
    <s v="Gram "/>
    <n v="25000"/>
    <m/>
    <m/>
    <n v="600"/>
    <x v="0"/>
    <n v="41.666666666666664"/>
    <n v="7.7777777777777773E-4"/>
    <n v="3.2407407407407406E-2"/>
  </r>
  <r>
    <x v="120"/>
    <s v="Gourmet360"/>
    <x v="0"/>
    <x v="110"/>
    <x v="6"/>
    <x v="3"/>
    <m/>
    <m/>
    <m/>
    <s v="DRS1-90"/>
    <s v="Dry Yeast(500 Gram)"/>
    <s v="Gram "/>
    <s v="Gram "/>
    <n v="500"/>
    <m/>
    <m/>
    <n v="600"/>
    <x v="0"/>
    <n v="0.83333333333333337"/>
    <n v="1.4500000000000001E-2"/>
    <n v="1.2083333333333335E-2"/>
  </r>
  <r>
    <x v="120"/>
    <s v="Gourmet360"/>
    <x v="0"/>
    <x v="110"/>
    <x v="6"/>
    <x v="3"/>
    <m/>
    <m/>
    <m/>
    <s v="DRS1-3880"/>
    <s v="Salt "/>
    <s v="Gram "/>
    <s v="Gram "/>
    <n v="500"/>
    <m/>
    <m/>
    <n v="600"/>
    <x v="0"/>
    <n v="0.83333333333333337"/>
    <n v="5.0000000000000001E-4"/>
    <n v="4.1666666666666669E-4"/>
  </r>
  <r>
    <x v="120"/>
    <s v="Gourmet360"/>
    <x v="0"/>
    <x v="110"/>
    <x v="6"/>
    <x v="3"/>
    <m/>
    <m/>
    <m/>
    <s v="DRS1-978"/>
    <s v="Sugar Fine(50 KG)"/>
    <s v="Gram "/>
    <s v="Gram "/>
    <n v="2500"/>
    <m/>
    <m/>
    <n v="600"/>
    <x v="0"/>
    <n v="4.166666666666667"/>
    <n v="2.3999999999999998E-3"/>
    <n v="0.01"/>
  </r>
  <r>
    <x v="120"/>
    <s v="Gourmet360"/>
    <x v="0"/>
    <x v="110"/>
    <x v="6"/>
    <x v="3"/>
    <m/>
    <m/>
    <m/>
    <s v="DRS5-1325"/>
    <s v="Bread Improver K2"/>
    <s v="Gram "/>
    <s v="Gram "/>
    <n v="100"/>
    <m/>
    <m/>
    <n v="600"/>
    <x v="0"/>
    <n v="0.16666666666666666"/>
    <n v="1.17E-2"/>
    <n v="1.9499999999999999E-3"/>
  </r>
  <r>
    <x v="120"/>
    <s v="Gourmet360"/>
    <x v="0"/>
    <x v="110"/>
    <x v="6"/>
    <x v="3"/>
    <m/>
    <m/>
    <m/>
    <s v="DRY2-149"/>
    <s v="Butter Margarine Vegetable for Pastry"/>
    <s v="Gram "/>
    <s v="Gram "/>
    <n v="18000"/>
    <m/>
    <m/>
    <n v="600"/>
    <x v="0"/>
    <n v="30"/>
    <n v="1.0999999999999999E-2"/>
    <n v="0.32999999999999996"/>
  </r>
  <r>
    <x v="120"/>
    <s v="Gourmet360"/>
    <x v="0"/>
    <x v="110"/>
    <x v="6"/>
    <x v="3"/>
    <m/>
    <m/>
    <m/>
    <s v="DRY2-1388"/>
    <s v="Milk UHT Full Fat(1 Liter)"/>
    <s v="Ml"/>
    <s v="Ml"/>
    <n v="5000"/>
    <m/>
    <m/>
    <n v="600"/>
    <x v="0"/>
    <n v="8.3333333333333339"/>
    <n v="4.2500000000000003E-3"/>
    <n v="3.5416666666666673E-2"/>
  </r>
  <r>
    <x v="120"/>
    <s v="Gourmet360"/>
    <x v="0"/>
    <x v="110"/>
    <x v="6"/>
    <x v="3"/>
    <m/>
    <m/>
    <m/>
    <s v="TAP-00001"/>
    <s v="Tap Water-Cooking"/>
    <s v="Ml"/>
    <s v="Ml"/>
    <n v="7000"/>
    <m/>
    <m/>
    <n v="600"/>
    <x v="0"/>
    <n v="11.666666666666666"/>
    <n v="8.0000000000000007E-5"/>
    <n v="9.3333333333333332E-4"/>
  </r>
  <r>
    <x v="120"/>
    <s v="Gourmet360"/>
    <x v="0"/>
    <x v="110"/>
    <x v="6"/>
    <x v="3"/>
    <m/>
    <m/>
    <m/>
    <s v="PLT1-37"/>
    <s v="Eggs"/>
    <s v="Each"/>
    <s v="Each"/>
    <n v="20"/>
    <m/>
    <m/>
    <n v="600"/>
    <x v="0"/>
    <n v="3.3333333333333333E-2"/>
    <n v="0.48299999999999998"/>
    <n v="1.61E-2"/>
  </r>
  <r>
    <x v="120"/>
    <s v="Gourmet360"/>
    <x v="0"/>
    <x v="110"/>
    <x v="6"/>
    <x v="3"/>
    <m/>
    <m/>
    <m/>
    <s v="DRY2-1388"/>
    <s v="Milk UHT Full Fat(1 Liter)"/>
    <s v="Ml"/>
    <s v="Ml"/>
    <n v="1200"/>
    <m/>
    <m/>
    <n v="600"/>
    <x v="0"/>
    <n v="2"/>
    <n v="4.2500000000000003E-3"/>
    <n v="8.5000000000000006E-3"/>
  </r>
  <r>
    <x v="120"/>
    <s v="Gourmet360"/>
    <x v="0"/>
    <x v="110"/>
    <x v="6"/>
    <x v="3"/>
    <m/>
    <m/>
    <m/>
    <s v="DRY2-1858"/>
    <s v="Cooking Cream 1 Ltr"/>
    <s v="Ml"/>
    <s v="Ml"/>
    <n v="600"/>
    <m/>
    <m/>
    <n v="600"/>
    <x v="0"/>
    <n v="1"/>
    <n v="9.8800000000000016E-3"/>
    <n v="9.8800000000000016E-3"/>
  </r>
  <r>
    <x v="120"/>
    <s v="Gourmet360"/>
    <x v="0"/>
    <x v="110"/>
    <x v="6"/>
    <x v="3"/>
    <m/>
    <m/>
    <m/>
    <s v="DRS1-978"/>
    <s v="Sugar Fine(50 KG)"/>
    <s v="Gram "/>
    <s v="Gram "/>
    <n v="250"/>
    <m/>
    <m/>
    <n v="600"/>
    <x v="0"/>
    <n v="0.41666666666666669"/>
    <n v="2.3999999999999998E-3"/>
    <n v="1E-3"/>
  </r>
  <r>
    <x v="120"/>
    <s v="Gourmet360"/>
    <x v="0"/>
    <x v="110"/>
    <x v="6"/>
    <x v="3"/>
    <m/>
    <m/>
    <m/>
    <s v="DRS1-1823"/>
    <s v="Vanilla Essence (Concentrated)"/>
    <s v="Gram "/>
    <s v="Gram "/>
    <n v="20"/>
    <m/>
    <m/>
    <n v="600"/>
    <x v="0"/>
    <n v="3.3333333333333333E-2"/>
    <n v="4.9000000000000002E-2"/>
    <n v="1.6333333333333334E-3"/>
  </r>
  <r>
    <x v="120"/>
    <s v="Gourmet360"/>
    <x v="0"/>
    <x v="110"/>
    <x v="6"/>
    <x v="3"/>
    <m/>
    <m/>
    <m/>
    <s v="DRY1-1846"/>
    <s v="Feta Cheese"/>
    <s v="Gram "/>
    <s v="Gram "/>
    <n v="6000"/>
    <m/>
    <m/>
    <n v="600"/>
    <x v="0"/>
    <n v="10"/>
    <n v="8.5749999999999993E-3"/>
    <n v="8.5749999999999993E-2"/>
  </r>
  <r>
    <x v="121"/>
    <s v="Gourmet360"/>
    <x v="0"/>
    <x v="111"/>
    <x v="6"/>
    <x v="3"/>
    <m/>
    <m/>
    <m/>
    <s v="DRS1-444"/>
    <s v="Can Foul Medammes"/>
    <s v="Gram "/>
    <s v="Gram "/>
    <n v="2350"/>
    <m/>
    <m/>
    <n v="30"/>
    <x v="0"/>
    <n v="78.333333333333329"/>
    <n v="8.8999999999999999E-3"/>
    <n v="0.6971666666666666"/>
  </r>
  <r>
    <x v="121"/>
    <s v="Gourmet360"/>
    <x v="0"/>
    <x v="111"/>
    <x v="6"/>
    <x v="3"/>
    <m/>
    <m/>
    <m/>
    <s v="PRD1-572"/>
    <s v="Fresh Tomato "/>
    <s v="Gram "/>
    <s v="Gram "/>
    <n v="200"/>
    <m/>
    <m/>
    <n v="30"/>
    <x v="0"/>
    <n v="6.666666666666667"/>
    <n v="4.5351473922902496E-3"/>
    <n v="3.0234315948601664E-2"/>
  </r>
  <r>
    <x v="121"/>
    <s v="Gourmet360"/>
    <x v="0"/>
    <x v="111"/>
    <x v="6"/>
    <x v="3"/>
    <m/>
    <m/>
    <m/>
    <s v="PRD1-4265"/>
    <s v="Fresh onion Yellow(Imported)"/>
    <s v="Gram "/>
    <s v="Gram "/>
    <n v="125"/>
    <m/>
    <m/>
    <n v="30"/>
    <x v="0"/>
    <n v="4.166666666666667"/>
    <n v="3.529411764705882E-3"/>
    <n v="1.4705882352941176E-2"/>
  </r>
  <r>
    <x v="121"/>
    <s v="Gourmet360"/>
    <x v="0"/>
    <x v="111"/>
    <x v="6"/>
    <x v="3"/>
    <m/>
    <m/>
    <m/>
    <s v="PRD1-195"/>
    <s v="Fresh Coriander "/>
    <s v="Gram "/>
    <s v="Gram "/>
    <n v="100"/>
    <m/>
    <m/>
    <n v="30"/>
    <x v="0"/>
    <n v="3.3333333333333335"/>
    <n v="9.3676814988290415E-3"/>
    <n v="3.1225604996096806E-2"/>
  </r>
  <r>
    <x v="121"/>
    <s v="Gourmet360"/>
    <x v="0"/>
    <x v="111"/>
    <x v="6"/>
    <x v="3"/>
    <m/>
    <m/>
    <m/>
    <s v="PRD1-4327"/>
    <s v="Fresh Garlic Peeled"/>
    <s v="Gram "/>
    <s v="Gram "/>
    <n v="15"/>
    <m/>
    <m/>
    <n v="30"/>
    <x v="0"/>
    <n v="0.5"/>
    <n v="1.2999999999999999E-2"/>
    <n v="6.4999999999999997E-3"/>
  </r>
  <r>
    <x v="121"/>
    <s v="Gourmet360"/>
    <x v="0"/>
    <x v="111"/>
    <x v="6"/>
    <x v="3"/>
    <m/>
    <m/>
    <m/>
    <s v="DRS6-733"/>
    <s v="Spices Cumin Powder"/>
    <s v="Gram "/>
    <s v="Gram "/>
    <n v="15"/>
    <m/>
    <m/>
    <n v="30"/>
    <x v="0"/>
    <n v="0.5"/>
    <n v="2.8000000000000001E-2"/>
    <n v="1.4E-2"/>
  </r>
  <r>
    <x v="121"/>
    <s v="Gourmet360"/>
    <x v="0"/>
    <x v="111"/>
    <x v="6"/>
    <x v="3"/>
    <m/>
    <m/>
    <m/>
    <s v="DRS6-266"/>
    <s v="Spices Coriander Powder"/>
    <s v="Gram "/>
    <s v="Gram "/>
    <n v="10"/>
    <m/>
    <m/>
    <n v="30"/>
    <x v="0"/>
    <n v="0.33333333333333331"/>
    <n v="1.4E-2"/>
    <n v="4.6666666666666662E-3"/>
  </r>
  <r>
    <x v="121"/>
    <s v="Gourmet360"/>
    <x v="0"/>
    <x v="111"/>
    <x v="6"/>
    <x v="3"/>
    <m/>
    <m/>
    <m/>
    <s v="DRS6-1727"/>
    <s v="Spice Paprika Sweet (KG)"/>
    <s v="Gram "/>
    <s v="Gram "/>
    <n v="5"/>
    <m/>
    <m/>
    <n v="30"/>
    <x v="0"/>
    <n v="0.16666666666666666"/>
    <n v="2.5000000000000001E-2"/>
    <n v="4.1666666666666666E-3"/>
  </r>
  <r>
    <x v="121"/>
    <s v="Gourmet360"/>
    <x v="0"/>
    <x v="111"/>
    <x v="6"/>
    <x v="3"/>
    <m/>
    <m/>
    <m/>
    <s v="DRS3-1615"/>
    <s v="Olive Oil (CAN)"/>
    <s v="Ml"/>
    <s v="Ml"/>
    <n v="150"/>
    <m/>
    <m/>
    <n v="30"/>
    <x v="0"/>
    <n v="5"/>
    <n v="1.2E-2"/>
    <n v="0.06"/>
  </r>
  <r>
    <x v="122"/>
    <s v="Gourmet360"/>
    <x v="0"/>
    <x v="112"/>
    <x v="6"/>
    <x v="3"/>
    <m/>
    <m/>
    <m/>
    <s v="DRY2-3401"/>
    <s v="Labneh Full Fat(2750 Gram)"/>
    <s v="Gram "/>
    <s v="Gram "/>
    <n v="100"/>
    <m/>
    <m/>
    <n v="1"/>
    <x v="0"/>
    <n v="100"/>
    <n v="1.2272727272727272E-2"/>
    <n v="1.2272727272727273"/>
  </r>
  <r>
    <x v="122"/>
    <s v="Gourmet360"/>
    <x v="0"/>
    <x v="112"/>
    <x v="6"/>
    <x v="3"/>
    <m/>
    <m/>
    <m/>
    <s v="DRS3-1615"/>
    <s v="Olive Oil (CAN)"/>
    <s v="Ml"/>
    <s v="Ml"/>
    <n v="5"/>
    <m/>
    <m/>
    <n v="1"/>
    <x v="0"/>
    <n v="5"/>
    <n v="1.2E-2"/>
    <n v="0.06"/>
  </r>
  <r>
    <x v="122"/>
    <s v="Gourmet360"/>
    <x v="0"/>
    <x v="112"/>
    <x v="6"/>
    <x v="3"/>
    <m/>
    <m/>
    <m/>
    <s v="DRS6-1570"/>
    <s v="Dried Oregano"/>
    <s v="Gram "/>
    <s v="Gram "/>
    <n v="0.25"/>
    <m/>
    <m/>
    <n v="1"/>
    <x v="0"/>
    <n v="0.25"/>
    <n v="9.3526666666666654E-3"/>
    <n v="2.3381666666666663E-3"/>
  </r>
  <r>
    <x v="123"/>
    <s v="Gourmet360"/>
    <x v="0"/>
    <x v="113"/>
    <x v="6"/>
    <x v="3"/>
    <m/>
    <m/>
    <m/>
    <s v="PLT1-37"/>
    <s v="Eggs"/>
    <s v="Each"/>
    <s v="Each"/>
    <n v="1"/>
    <m/>
    <m/>
    <n v="1"/>
    <x v="0"/>
    <n v="1"/>
    <n v="0.48299999999999998"/>
    <n v="0.48299999999999998"/>
  </r>
  <r>
    <x v="123"/>
    <s v="Gourmet360"/>
    <x v="0"/>
    <x v="113"/>
    <x v="6"/>
    <x v="3"/>
    <m/>
    <m/>
    <m/>
    <s v="DRS1-3880"/>
    <s v="Salt "/>
    <s v="Gram "/>
    <s v="Gram "/>
    <n v="10"/>
    <m/>
    <m/>
    <n v="1"/>
    <x v="0"/>
    <n v="10"/>
    <n v="5.0000000000000001E-4"/>
    <n v="5.0000000000000001E-3"/>
  </r>
  <r>
    <x v="123"/>
    <s v="Gourmet360"/>
    <x v="0"/>
    <x v="113"/>
    <x v="6"/>
    <x v="3"/>
    <m/>
    <m/>
    <m/>
    <s v="DRS1-1547"/>
    <s v="Vinegar White (Gallon)"/>
    <s v="Ml"/>
    <s v="Ml"/>
    <n v="20"/>
    <m/>
    <m/>
    <n v="1"/>
    <x v="0"/>
    <n v="20"/>
    <n v="2.3026315789473682E-3"/>
    <n v="4.6052631578947366E-2"/>
  </r>
  <r>
    <x v="123"/>
    <s v="Gourmet360"/>
    <x v="0"/>
    <x v="113"/>
    <x v="6"/>
    <x v="3"/>
    <m/>
    <m/>
    <m/>
    <s v="TAP-00001"/>
    <s v="Tap Water-Cooking"/>
    <s v="Ml"/>
    <s v="Ml"/>
    <n v="200"/>
    <m/>
    <m/>
    <n v="1"/>
    <x v="0"/>
    <n v="200"/>
    <n v="8.0000000000000007E-5"/>
    <n v="1.6E-2"/>
  </r>
  <r>
    <x v="124"/>
    <s v="Gourmet360"/>
    <x v="0"/>
    <x v="114"/>
    <x v="6"/>
    <x v="3"/>
    <m/>
    <m/>
    <m/>
    <s v="DRS1-824"/>
    <s v="Can Oats(500 Gram)"/>
    <s v="Gram "/>
    <s v="Gram "/>
    <n v="200"/>
    <m/>
    <m/>
    <n v="15"/>
    <x v="0"/>
    <n v="13.333333333333334"/>
    <n v="1.2919999999999999E-2"/>
    <n v="0.17226666666666665"/>
  </r>
  <r>
    <x v="124"/>
    <s v="Gourmet360"/>
    <x v="0"/>
    <x v="114"/>
    <x v="6"/>
    <x v="3"/>
    <m/>
    <m/>
    <m/>
    <s v="DRY2-1388"/>
    <s v="Milk UHT Full Fat(1 Liter)"/>
    <s v="Ml"/>
    <s v="Ml"/>
    <n v="3000"/>
    <m/>
    <m/>
    <n v="15"/>
    <x v="0"/>
    <n v="200"/>
    <n v="4.2500000000000003E-3"/>
    <n v="0.85000000000000009"/>
  </r>
  <r>
    <x v="124"/>
    <s v="Gourmet360"/>
    <x v="0"/>
    <x v="114"/>
    <x v="6"/>
    <x v="3"/>
    <m/>
    <m/>
    <m/>
    <s v="DRS1-1823"/>
    <s v="Vanilla Essence (Concentrated)"/>
    <s v="Gram "/>
    <s v="Gram "/>
    <n v="2"/>
    <m/>
    <m/>
    <n v="15"/>
    <x v="0"/>
    <n v="0.13333333333333333"/>
    <n v="4.9000000000000002E-2"/>
    <n v="6.5333333333333337E-3"/>
  </r>
  <r>
    <x v="124"/>
    <s v="Gourmet360"/>
    <x v="0"/>
    <x v="114"/>
    <x v="6"/>
    <x v="3"/>
    <m/>
    <m/>
    <m/>
    <s v="DRS1-978"/>
    <s v="Sugar Fine(50 KG)"/>
    <s v="Gram "/>
    <s v="Gram "/>
    <n v="70"/>
    <m/>
    <m/>
    <n v="15"/>
    <x v="0"/>
    <n v="4.666666666666667"/>
    <n v="2.3999999999999998E-3"/>
    <n v="1.12E-2"/>
  </r>
  <r>
    <x v="124"/>
    <s v="Gourmet360"/>
    <x v="0"/>
    <x v="114"/>
    <x v="6"/>
    <x v="3"/>
    <m/>
    <m/>
    <m/>
    <s v="DRS5-21"/>
    <s v="Flour Corn"/>
    <s v="Gram "/>
    <s v="Gram "/>
    <n v="20"/>
    <m/>
    <m/>
    <n v="15"/>
    <x v="0"/>
    <n v="1.3333333333333333"/>
    <n v="2.0799999999999998E-3"/>
    <n v="2.7733333333333329E-3"/>
  </r>
  <r>
    <x v="124"/>
    <s v="Gourmet360"/>
    <x v="0"/>
    <x v="114"/>
    <x v="6"/>
    <x v="3"/>
    <m/>
    <m/>
    <m/>
    <s v="PRD3-1661"/>
    <s v="Dry Mix Fruits(1 Kg)"/>
    <s v="Gram "/>
    <s v="Gram "/>
    <n v="100"/>
    <m/>
    <m/>
    <n v="15"/>
    <x v="0"/>
    <n v="6.666666666666667"/>
    <n v="3.9E-2"/>
    <n v="0.26"/>
  </r>
  <r>
    <x v="125"/>
    <s v="Gourmet360"/>
    <x v="0"/>
    <x v="115"/>
    <x v="6"/>
    <x v="3"/>
    <m/>
    <m/>
    <m/>
    <s v="BKR1-3694"/>
    <s v="Bread Arabic White(7 Each) 400210"/>
    <s v="Each"/>
    <s v="Each"/>
    <n v="9"/>
    <m/>
    <m/>
    <n v="9"/>
    <x v="0"/>
    <n v="1"/>
    <n v="0.14285714285714285"/>
    <n v="0.14285714285714285"/>
  </r>
  <r>
    <x v="125"/>
    <s v="Gourmet360"/>
    <x v="0"/>
    <x v="115"/>
    <x v="6"/>
    <x v="3"/>
    <m/>
    <m/>
    <m/>
    <s v="BKR1-1326"/>
    <s v="Bread Sliced White Med-400000"/>
    <s v="Slice"/>
    <s v="Slice"/>
    <n v="18"/>
    <m/>
    <m/>
    <n v="9"/>
    <x v="0"/>
    <n v="2"/>
    <n v="0.16666666666666666"/>
    <n v="0.33333333333333331"/>
  </r>
  <r>
    <x v="125"/>
    <s v="Gourmet360"/>
    <x v="0"/>
    <x v="115"/>
    <x v="6"/>
    <x v="3"/>
    <m/>
    <m/>
    <m/>
    <s v="PKG-4883"/>
    <s v="Sandwich Bag,Clear, 10x18 cm"/>
    <s v="Each"/>
    <s v="Each"/>
    <n v="9"/>
    <m/>
    <m/>
    <n v="9"/>
    <x v="0"/>
    <n v="1"/>
    <n v="7.5999999999999998E-2"/>
    <n v="7.5999999999999998E-2"/>
  </r>
  <r>
    <x v="126"/>
    <s v="Gourmet360"/>
    <x v="0"/>
    <x v="116"/>
    <x v="6"/>
    <x v="3"/>
    <m/>
    <m/>
    <m/>
    <s v="BKR1-3695"/>
    <s v="Bread Arabic Brown (6 each) 400211"/>
    <s v="Each"/>
    <s v="Each"/>
    <n v="9"/>
    <m/>
    <m/>
    <n v="9"/>
    <x v="0"/>
    <n v="1"/>
    <n v="0.16666666666666666"/>
    <n v="0.16666666666666666"/>
  </r>
  <r>
    <x v="126"/>
    <s v="Gourmet360"/>
    <x v="0"/>
    <x v="116"/>
    <x v="6"/>
    <x v="3"/>
    <m/>
    <m/>
    <m/>
    <s v="BKR1-1326"/>
    <s v="Bread Sliced White Med-400000"/>
    <s v="Slice"/>
    <s v="Slice"/>
    <n v="18"/>
    <m/>
    <m/>
    <n v="9"/>
    <x v="0"/>
    <n v="2"/>
    <n v="0.16666666666666666"/>
    <n v="0.33333333333333331"/>
  </r>
  <r>
    <x v="126"/>
    <s v="Gourmet360"/>
    <x v="0"/>
    <x v="116"/>
    <x v="6"/>
    <x v="3"/>
    <m/>
    <m/>
    <m/>
    <s v="PKG-4883"/>
    <s v="Sandwich Bag,Clear, 10x18 cm"/>
    <s v="Each"/>
    <s v="Each"/>
    <n v="9"/>
    <m/>
    <m/>
    <n v="9"/>
    <x v="0"/>
    <n v="1"/>
    <n v="7.5999999999999998E-2"/>
    <n v="7.5999999999999998E-2"/>
  </r>
  <r>
    <x v="127"/>
    <s v="Gourmet360"/>
    <x v="0"/>
    <x v="117"/>
    <x v="6"/>
    <x v="3"/>
    <m/>
    <m/>
    <m/>
    <s v="PRD1-196"/>
    <s v="Fresh Cucumber"/>
    <s v="Gram "/>
    <s v="Gram "/>
    <n v="35"/>
    <m/>
    <m/>
    <n v="1"/>
    <x v="0"/>
    <n v="35"/>
    <n v="4.1469194312796203E-3"/>
    <n v="0.14514218009478672"/>
  </r>
  <r>
    <x v="127"/>
    <s v="Gourmet360"/>
    <x v="0"/>
    <x v="117"/>
    <x v="6"/>
    <x v="3"/>
    <m/>
    <m/>
    <m/>
    <s v="PRD1-572"/>
    <s v="Fresh Tomato "/>
    <s v="Gram "/>
    <s v="Gram "/>
    <n v="45"/>
    <m/>
    <m/>
    <n v="1"/>
    <x v="0"/>
    <n v="45"/>
    <n v="4.5351473922902496E-3"/>
    <n v="0.20408163265306123"/>
  </r>
  <r>
    <x v="127"/>
    <s v="Gourmet360"/>
    <x v="0"/>
    <x v="117"/>
    <x v="6"/>
    <x v="3"/>
    <m/>
    <m/>
    <m/>
    <s v="DRS1-1140"/>
    <s v="Can Olives Green Sliced"/>
    <s v="Gram "/>
    <s v="Gram "/>
    <n v="30"/>
    <m/>
    <m/>
    <n v="1"/>
    <x v="0"/>
    <n v="30"/>
    <n v="1.29E-2"/>
    <n v="0.38700000000000001"/>
  </r>
  <r>
    <x v="128"/>
    <s v="Gourmet360"/>
    <x v="0"/>
    <x v="118"/>
    <x v="6"/>
    <x v="3"/>
    <m/>
    <m/>
    <m/>
    <s v="DRS1-1042"/>
    <s v="Tea Lipton Bag"/>
    <s v="Each"/>
    <s v="Each"/>
    <n v="1"/>
    <m/>
    <m/>
    <n v="1"/>
    <x v="0"/>
    <n v="1"/>
    <n v="9.4399999999999998E-2"/>
    <n v="9.4399999999999998E-2"/>
  </r>
  <r>
    <x v="128"/>
    <s v="Gourmet360"/>
    <x v="0"/>
    <x v="118"/>
    <x v="6"/>
    <x v="3"/>
    <m/>
    <m/>
    <m/>
    <s v="DRS1-1556"/>
    <s v="Sugar Sachet With Logo"/>
    <s v="Each"/>
    <s v="Each"/>
    <n v="3"/>
    <m/>
    <m/>
    <n v="1"/>
    <x v="0"/>
    <n v="3"/>
    <n v="3.5000000000000003E-2"/>
    <n v="0.10500000000000001"/>
  </r>
  <r>
    <x v="128"/>
    <s v="Gourmet360"/>
    <x v="0"/>
    <x v="118"/>
    <x v="6"/>
    <x v="3"/>
    <m/>
    <m/>
    <m/>
    <s v="DRS1-686"/>
    <s v="Sugar Sachet,Low Calorie(Tropicana Slim)"/>
    <s v="Each"/>
    <s v="Each"/>
    <n v="1"/>
    <m/>
    <m/>
    <n v="1"/>
    <x v="0"/>
    <n v="1"/>
    <n v="0.20420000000000002"/>
    <n v="0.20420000000000002"/>
  </r>
  <r>
    <x v="128"/>
    <s v="Gourmet360"/>
    <x v="0"/>
    <x v="118"/>
    <x v="6"/>
    <x v="3"/>
    <m/>
    <m/>
    <m/>
    <s v="DRY2-1510"/>
    <s v="Butter Portion(Unsalted) Lurpak"/>
    <s v="Each"/>
    <s v="Each"/>
    <n v="1"/>
    <m/>
    <m/>
    <n v="1"/>
    <x v="0"/>
    <n v="1"/>
    <n v="0.33333333333333331"/>
    <n v="0.33333333333333331"/>
  </r>
  <r>
    <x v="128"/>
    <s v="Gourmet360"/>
    <x v="0"/>
    <x v="118"/>
    <x v="6"/>
    <x v="3"/>
    <m/>
    <m/>
    <m/>
    <s v="DRS1-1186"/>
    <s v="Jam Apricot Portion"/>
    <s v="Gram "/>
    <s v="Gram "/>
    <n v="1"/>
    <m/>
    <m/>
    <n v="1"/>
    <x v="0"/>
    <n v="1"/>
    <n v="0.32500000000000001"/>
    <n v="0.32500000000000001"/>
  </r>
  <r>
    <x v="128"/>
    <s v="Gourmet360"/>
    <x v="0"/>
    <x v="118"/>
    <x v="6"/>
    <x v="3"/>
    <m/>
    <m/>
    <m/>
    <s v="DRY1-5114"/>
    <s v="Cheese Triangles,Al Marai,360 Gm"/>
    <s v="Each"/>
    <s v="Each"/>
    <n v="1"/>
    <m/>
    <m/>
    <n v="1"/>
    <x v="0"/>
    <n v="1"/>
    <n v="0.43342999999999998"/>
    <n v="0.43342999999999998"/>
  </r>
  <r>
    <x v="128"/>
    <s v="Gourmet360"/>
    <x v="0"/>
    <x v="118"/>
    <x v="6"/>
    <x v="3"/>
    <m/>
    <m/>
    <m/>
    <s v="DWS-1455"/>
    <s v="Plastic Container OPS 207(500pcs)"/>
    <s v="Each"/>
    <s v="Each"/>
    <n v="1"/>
    <m/>
    <m/>
    <n v="1"/>
    <x v="0"/>
    <n v="1"/>
    <n v="0.17"/>
    <n v="0.17"/>
  </r>
  <r>
    <x v="128"/>
    <s v="Gourmet360"/>
    <x v="0"/>
    <x v="118"/>
    <x v="6"/>
    <x v="3"/>
    <m/>
    <m/>
    <m/>
    <s v="PKG-629"/>
    <s v="Plastic tea Spoon"/>
    <s v="Each"/>
    <s v="Each"/>
    <n v="1"/>
    <m/>
    <m/>
    <n v="1"/>
    <x v="0"/>
    <n v="1"/>
    <n v="2.3E-2"/>
    <n v="2.3E-2"/>
  </r>
  <r>
    <x v="128"/>
    <s v="Gourmet360"/>
    <x v="0"/>
    <x v="118"/>
    <x v="6"/>
    <x v="3"/>
    <m/>
    <m/>
    <m/>
    <s v="PKG-4708"/>
    <s v="Paper Cups 8oz,VIP,Double,Logo&amp;Lids(1000)"/>
    <s v="Each"/>
    <s v="Each"/>
    <n v="1"/>
    <m/>
    <m/>
    <n v="1"/>
    <x v="0"/>
    <n v="1"/>
    <n v="0.34"/>
    <n v="0.34"/>
  </r>
  <r>
    <x v="129"/>
    <s v="Gourmet360"/>
    <x v="0"/>
    <x v="119"/>
    <x v="6"/>
    <x v="3"/>
    <m/>
    <m/>
    <m/>
    <s v="DRS1-1042"/>
    <s v="Tea Lipton Bag"/>
    <s v="Each"/>
    <s v="Each"/>
    <n v="1"/>
    <m/>
    <m/>
    <n v="1"/>
    <x v="0"/>
    <n v="1"/>
    <n v="9.4399999999999998E-2"/>
    <n v="9.4399999999999998E-2"/>
  </r>
  <r>
    <x v="129"/>
    <s v="Gourmet360"/>
    <x v="0"/>
    <x v="119"/>
    <x v="6"/>
    <x v="3"/>
    <m/>
    <m/>
    <m/>
    <s v="DRS1-1556"/>
    <s v="Sugar Sachet With Logo"/>
    <s v="Each"/>
    <s v="Each"/>
    <n v="3"/>
    <m/>
    <m/>
    <n v="1"/>
    <x v="0"/>
    <n v="3"/>
    <n v="3.5000000000000003E-2"/>
    <n v="0.10500000000000001"/>
  </r>
  <r>
    <x v="129"/>
    <s v="Gourmet360"/>
    <x v="0"/>
    <x v="119"/>
    <x v="6"/>
    <x v="3"/>
    <m/>
    <m/>
    <m/>
    <s v="DRS1-686"/>
    <s v="Sugar Sachet,Low Calorie(Tropicana Slim)"/>
    <s v="Each"/>
    <s v="Each"/>
    <n v="1"/>
    <m/>
    <m/>
    <n v="1"/>
    <x v="0"/>
    <n v="1"/>
    <n v="0.20420000000000002"/>
    <n v="0.20420000000000002"/>
  </r>
  <r>
    <x v="129"/>
    <s v="Gourmet360"/>
    <x v="0"/>
    <x v="119"/>
    <x v="6"/>
    <x v="3"/>
    <m/>
    <m/>
    <m/>
    <s v="DRY2-1510"/>
    <s v="Butter Portion(Unsalted) Lurpak"/>
    <s v="Each"/>
    <s v="Each"/>
    <n v="1"/>
    <m/>
    <m/>
    <n v="1"/>
    <x v="0"/>
    <n v="1"/>
    <n v="0.33333333333333331"/>
    <n v="0.33333333333333331"/>
  </r>
  <r>
    <x v="129"/>
    <s v="Gourmet360"/>
    <x v="0"/>
    <x v="119"/>
    <x v="6"/>
    <x v="3"/>
    <m/>
    <m/>
    <m/>
    <s v="DRS1-4990"/>
    <s v="Jam Strawberry Portion(100 Each)"/>
    <s v="Gram "/>
    <s v="Gram "/>
    <n v="1"/>
    <m/>
    <m/>
    <n v="1"/>
    <x v="0"/>
    <n v="1"/>
    <n v="0.38"/>
    <n v="0.38"/>
  </r>
  <r>
    <x v="129"/>
    <s v="Gourmet360"/>
    <x v="0"/>
    <x v="119"/>
    <x v="6"/>
    <x v="3"/>
    <m/>
    <m/>
    <m/>
    <s v="DRY1-5114"/>
    <s v="Cheese Triangles,Al Marai,360 Gm"/>
    <s v="Each"/>
    <s v="Each"/>
    <n v="1"/>
    <m/>
    <m/>
    <n v="1"/>
    <x v="0"/>
    <n v="1"/>
    <n v="0.43342999999999998"/>
    <n v="0.43342999999999998"/>
  </r>
  <r>
    <x v="129"/>
    <s v="Gourmet360"/>
    <x v="0"/>
    <x v="119"/>
    <x v="6"/>
    <x v="3"/>
    <m/>
    <m/>
    <m/>
    <s v="DWS-1455"/>
    <s v="Plastic Container OPS 207(500pcs)"/>
    <s v="Each"/>
    <s v="Each"/>
    <n v="1"/>
    <m/>
    <m/>
    <n v="1"/>
    <x v="0"/>
    <n v="1"/>
    <n v="0.17"/>
    <n v="0.17"/>
  </r>
  <r>
    <x v="129"/>
    <s v="Gourmet360"/>
    <x v="0"/>
    <x v="119"/>
    <x v="6"/>
    <x v="3"/>
    <m/>
    <m/>
    <m/>
    <s v="PKG-629"/>
    <s v="Plastic tea Spoon"/>
    <s v="Each"/>
    <s v="Each"/>
    <n v="1"/>
    <m/>
    <m/>
    <n v="1"/>
    <x v="0"/>
    <n v="1"/>
    <n v="2.3E-2"/>
    <n v="2.3E-2"/>
  </r>
  <r>
    <x v="129"/>
    <s v="Gourmet360"/>
    <x v="0"/>
    <x v="119"/>
    <x v="6"/>
    <x v="3"/>
    <m/>
    <m/>
    <m/>
    <s v="PKG-4708"/>
    <s v="Paper Cups 8oz,VIP,Double,Logo&amp;Lids(1000)"/>
    <s v="Each"/>
    <s v="Each"/>
    <n v="1"/>
    <m/>
    <m/>
    <n v="1"/>
    <x v="0"/>
    <n v="1"/>
    <n v="0.34"/>
    <n v="0.34"/>
  </r>
  <r>
    <x v="130"/>
    <s v="Gourmet360"/>
    <x v="0"/>
    <x v="120"/>
    <x v="6"/>
    <x v="3"/>
    <m/>
    <m/>
    <m/>
    <s v="DRS1-1042"/>
    <s v="Tea Lipton Bag"/>
    <s v="Each"/>
    <s v="Each"/>
    <n v="1"/>
    <m/>
    <m/>
    <n v="1"/>
    <x v="0"/>
    <n v="1"/>
    <n v="9.4399999999999998E-2"/>
    <n v="9.4399999999999998E-2"/>
  </r>
  <r>
    <x v="130"/>
    <s v="Gourmet360"/>
    <x v="0"/>
    <x v="120"/>
    <x v="6"/>
    <x v="3"/>
    <m/>
    <m/>
    <m/>
    <s v="DRS1-1556"/>
    <s v="Sugar Sachet With Logo"/>
    <s v="Each"/>
    <s v="Each"/>
    <n v="3"/>
    <m/>
    <m/>
    <n v="1"/>
    <x v="0"/>
    <n v="3"/>
    <n v="3.5000000000000003E-2"/>
    <n v="0.10500000000000001"/>
  </r>
  <r>
    <x v="130"/>
    <s v="Gourmet360"/>
    <x v="0"/>
    <x v="120"/>
    <x v="6"/>
    <x v="3"/>
    <m/>
    <m/>
    <m/>
    <s v="DRS1-686"/>
    <s v="Sugar Sachet,Low Calorie(Tropicana Slim)"/>
    <s v="Each"/>
    <s v="Each"/>
    <n v="1"/>
    <m/>
    <m/>
    <n v="1"/>
    <x v="0"/>
    <n v="1"/>
    <n v="0.20420000000000002"/>
    <n v="0.20420000000000002"/>
  </r>
  <r>
    <x v="130"/>
    <s v="Gourmet360"/>
    <x v="0"/>
    <x v="120"/>
    <x v="6"/>
    <x v="3"/>
    <m/>
    <m/>
    <m/>
    <s v="DRY2-1510"/>
    <s v="Butter Portion(Unsalted) Lurpak"/>
    <s v="Each"/>
    <s v="Each"/>
    <n v="1"/>
    <m/>
    <m/>
    <n v="1"/>
    <x v="0"/>
    <n v="1"/>
    <n v="0.33333333333333331"/>
    <n v="0.33333333333333331"/>
  </r>
  <r>
    <x v="130"/>
    <s v="Gourmet360"/>
    <x v="0"/>
    <x v="120"/>
    <x v="6"/>
    <x v="3"/>
    <m/>
    <m/>
    <m/>
    <s v="DRS1-688"/>
    <s v="Honey Portion"/>
    <s v="Gram "/>
    <s v="Gram "/>
    <n v="1"/>
    <m/>
    <m/>
    <n v="1"/>
    <x v="0"/>
    <n v="1"/>
    <n v="0.52"/>
    <n v="0.52"/>
  </r>
  <r>
    <x v="130"/>
    <s v="Gourmet360"/>
    <x v="0"/>
    <x v="120"/>
    <x v="6"/>
    <x v="3"/>
    <m/>
    <m/>
    <m/>
    <s v="DRY1-5114"/>
    <s v="Cheese Triangles,Al Marai,360 Gm"/>
    <s v="Each"/>
    <s v="Each"/>
    <n v="1"/>
    <m/>
    <m/>
    <n v="1"/>
    <x v="0"/>
    <n v="1"/>
    <n v="0.43342999999999998"/>
    <n v="0.43342999999999998"/>
  </r>
  <r>
    <x v="130"/>
    <s v="Gourmet360"/>
    <x v="0"/>
    <x v="120"/>
    <x v="6"/>
    <x v="3"/>
    <m/>
    <m/>
    <m/>
    <s v="DWS-1455"/>
    <s v="Plastic Container OPS 207(500pcs)"/>
    <s v="Each"/>
    <s v="Each"/>
    <n v="1"/>
    <m/>
    <m/>
    <n v="1"/>
    <x v="0"/>
    <n v="1"/>
    <n v="0.17"/>
    <n v="0.17"/>
  </r>
  <r>
    <x v="130"/>
    <s v="Gourmet360"/>
    <x v="0"/>
    <x v="120"/>
    <x v="6"/>
    <x v="3"/>
    <m/>
    <m/>
    <m/>
    <s v="PKG-629"/>
    <s v="Plastic tea Spoon"/>
    <s v="Each"/>
    <s v="Each"/>
    <n v="1"/>
    <m/>
    <m/>
    <n v="1"/>
    <x v="0"/>
    <n v="1"/>
    <n v="2.3E-2"/>
    <n v="2.3E-2"/>
  </r>
  <r>
    <x v="130"/>
    <s v="Gourmet360"/>
    <x v="0"/>
    <x v="120"/>
    <x v="6"/>
    <x v="3"/>
    <m/>
    <m/>
    <m/>
    <s v="PKG-4708"/>
    <s v="Paper Cups 8oz,VIP,Double,Logo&amp;Lids(1000)"/>
    <s v="Each"/>
    <s v="Each"/>
    <n v="1"/>
    <m/>
    <m/>
    <n v="1"/>
    <x v="0"/>
    <n v="1"/>
    <n v="0.34"/>
    <n v="0.34"/>
  </r>
  <r>
    <x v="131"/>
    <s v="Gourmet360"/>
    <x v="0"/>
    <x v="121"/>
    <x v="6"/>
    <x v="3"/>
    <m/>
    <m/>
    <m/>
    <s v="DRS1-3153"/>
    <s v="Nescafe Red Mug Stick"/>
    <s v="Each"/>
    <s v="Each"/>
    <n v="1"/>
    <m/>
    <m/>
    <n v="1"/>
    <x v="0"/>
    <n v="1"/>
    <n v="0.57479999999999998"/>
    <n v="0.57479999999999998"/>
  </r>
  <r>
    <x v="131"/>
    <s v="Gourmet360"/>
    <x v="0"/>
    <x v="121"/>
    <x v="6"/>
    <x v="3"/>
    <m/>
    <m/>
    <m/>
    <s v="DRS1-1556"/>
    <s v="Sugar Sachet With Logo"/>
    <s v="Each"/>
    <s v="Each"/>
    <n v="3"/>
    <m/>
    <m/>
    <n v="1"/>
    <x v="0"/>
    <n v="3"/>
    <n v="3.5000000000000003E-2"/>
    <n v="0.10500000000000001"/>
  </r>
  <r>
    <x v="131"/>
    <s v="Gourmet360"/>
    <x v="0"/>
    <x v="121"/>
    <x v="6"/>
    <x v="3"/>
    <m/>
    <m/>
    <m/>
    <s v="DRS1-686"/>
    <s v="Sugar Sachet,Low Calorie(Tropicana Slim)"/>
    <s v="Each"/>
    <s v="Each"/>
    <n v="1"/>
    <m/>
    <m/>
    <n v="1"/>
    <x v="0"/>
    <n v="1"/>
    <n v="0.20420000000000002"/>
    <n v="0.20420000000000002"/>
  </r>
  <r>
    <x v="131"/>
    <s v="Gourmet360"/>
    <x v="0"/>
    <x v="121"/>
    <x v="6"/>
    <x v="3"/>
    <m/>
    <m/>
    <m/>
    <s v="DRS1-688"/>
    <s v="Honey Portion"/>
    <s v="Gram "/>
    <s v="Gram "/>
    <n v="1"/>
    <m/>
    <m/>
    <n v="1"/>
    <x v="0"/>
    <n v="1"/>
    <n v="0.52"/>
    <n v="0.52"/>
  </r>
  <r>
    <x v="131"/>
    <s v="Gourmet360"/>
    <x v="0"/>
    <x v="121"/>
    <x v="6"/>
    <x v="3"/>
    <m/>
    <m/>
    <m/>
    <s v="DRS1-1186"/>
    <s v="Jam Apricot Portion"/>
    <s v="Gram "/>
    <s v="Gram "/>
    <n v="0"/>
    <m/>
    <m/>
    <n v="1"/>
    <x v="0"/>
    <n v="0"/>
    <n v="0.32500000000000001"/>
    <n v="0"/>
  </r>
  <r>
    <x v="131"/>
    <s v="Gourmet360"/>
    <x v="0"/>
    <x v="121"/>
    <x v="6"/>
    <x v="3"/>
    <m/>
    <m/>
    <m/>
    <s v="DRY1-5114"/>
    <s v="Cheese Triangles,Al Marai,360 Gm"/>
    <s v="Each"/>
    <s v="Each"/>
    <n v="1"/>
    <m/>
    <m/>
    <n v="1"/>
    <x v="0"/>
    <n v="1"/>
    <n v="0.43342999999999998"/>
    <n v="0.43342999999999998"/>
  </r>
  <r>
    <x v="131"/>
    <s v="Gourmet360"/>
    <x v="0"/>
    <x v="121"/>
    <x v="6"/>
    <x v="3"/>
    <m/>
    <m/>
    <m/>
    <s v="DRS1-3155"/>
    <s v="Coffee Mate Creamer,Single Serve"/>
    <s v="Each"/>
    <s v="Each"/>
    <n v="1"/>
    <m/>
    <m/>
    <n v="1"/>
    <x v="0"/>
    <n v="1"/>
    <n v="0.21425"/>
    <n v="0.21425"/>
  </r>
  <r>
    <x v="131"/>
    <s v="Gourmet360"/>
    <x v="0"/>
    <x v="121"/>
    <x v="6"/>
    <x v="3"/>
    <m/>
    <m/>
    <m/>
    <s v="PKG-629"/>
    <s v="Plastic tea Spoon"/>
    <s v="Each"/>
    <s v="Each"/>
    <n v="1"/>
    <m/>
    <m/>
    <n v="1"/>
    <x v="0"/>
    <n v="1"/>
    <n v="2.3E-2"/>
    <n v="2.3E-2"/>
  </r>
  <r>
    <x v="131"/>
    <s v="Gourmet360"/>
    <x v="0"/>
    <x v="121"/>
    <x v="6"/>
    <x v="3"/>
    <m/>
    <m/>
    <m/>
    <s v="PKG-4708"/>
    <s v="Paper Cups 8oz,VIP,Double,Logo&amp;Lids(1000)"/>
    <s v="Each"/>
    <s v="Each"/>
    <n v="1"/>
    <m/>
    <m/>
    <n v="1"/>
    <x v="0"/>
    <n v="1"/>
    <n v="0.34"/>
    <n v="0.34"/>
  </r>
  <r>
    <x v="131"/>
    <s v="Gourmet360"/>
    <x v="0"/>
    <x v="121"/>
    <x v="6"/>
    <x v="3"/>
    <m/>
    <m/>
    <m/>
    <s v="DWS-1455"/>
    <s v="Plastic Container OPS 207(500pcs)"/>
    <s v="Each"/>
    <s v="Each"/>
    <n v="1"/>
    <m/>
    <m/>
    <n v="1"/>
    <x v="0"/>
    <n v="1"/>
    <n v="0.17"/>
    <n v="0.17"/>
  </r>
  <r>
    <x v="132"/>
    <s v="Gourmet360"/>
    <x v="0"/>
    <x v="122"/>
    <x v="0"/>
    <x v="3"/>
    <m/>
    <m/>
    <m/>
    <s v="DRS5-40"/>
    <s v="Flour White"/>
    <s v="Gram "/>
    <s v="Gram "/>
    <n v="25000"/>
    <m/>
    <m/>
    <n v="720"/>
    <x v="0"/>
    <n v="34.722222222222221"/>
    <n v="7.7777777777777773E-4"/>
    <n v="2.7006172839506171E-2"/>
  </r>
  <r>
    <x v="132"/>
    <s v="Gourmet360"/>
    <x v="0"/>
    <x v="122"/>
    <x v="0"/>
    <x v="3"/>
    <m/>
    <m/>
    <m/>
    <s v="DRS1-90"/>
    <s v="Dry Yeast(500 Gram)"/>
    <s v="Gram "/>
    <s v="Gram "/>
    <n v="500"/>
    <m/>
    <m/>
    <n v="720"/>
    <x v="0"/>
    <n v="0.69444444444444442"/>
    <n v="1.4500000000000001E-2"/>
    <n v="1.0069444444444445E-2"/>
  </r>
  <r>
    <x v="132"/>
    <s v="Gourmet360"/>
    <x v="0"/>
    <x v="122"/>
    <x v="0"/>
    <x v="3"/>
    <m/>
    <m/>
    <m/>
    <s v="DRS1-3880"/>
    <s v="Salt "/>
    <s v="Gram "/>
    <s v="Gram "/>
    <n v="500"/>
    <m/>
    <m/>
    <n v="720"/>
    <x v="0"/>
    <n v="0.69444444444444442"/>
    <n v="5.0000000000000001E-4"/>
    <n v="3.4722222222222224E-4"/>
  </r>
  <r>
    <x v="132"/>
    <s v="Gourmet360"/>
    <x v="0"/>
    <x v="122"/>
    <x v="0"/>
    <x v="3"/>
    <m/>
    <m/>
    <m/>
    <s v="DRS1-978"/>
    <s v="Sugar Fine(50 KG)"/>
    <s v="Gram "/>
    <s v="Gram "/>
    <n v="2500"/>
    <m/>
    <m/>
    <n v="720"/>
    <x v="0"/>
    <n v="3.4722222222222223"/>
    <n v="2.3999999999999998E-3"/>
    <n v="8.3333333333333332E-3"/>
  </r>
  <r>
    <x v="132"/>
    <s v="Gourmet360"/>
    <x v="0"/>
    <x v="122"/>
    <x v="0"/>
    <x v="3"/>
    <m/>
    <m/>
    <m/>
    <s v="DRY2-149"/>
    <s v="Butter Margarine Vegetable for Pastry"/>
    <s v="Gram "/>
    <s v="Gram "/>
    <n v="16000"/>
    <m/>
    <m/>
    <n v="720"/>
    <x v="0"/>
    <n v="22.222222222222221"/>
    <n v="1.0999999999999999E-2"/>
    <n v="0.24444444444444441"/>
  </r>
  <r>
    <x v="132"/>
    <s v="Gourmet360"/>
    <x v="0"/>
    <x v="122"/>
    <x v="0"/>
    <x v="3"/>
    <m/>
    <m/>
    <m/>
    <s v="TAP-00001"/>
    <s v="Tap Water-Cooking"/>
    <s v="Ml"/>
    <s v="Ml"/>
    <n v="7000"/>
    <m/>
    <m/>
    <n v="720"/>
    <x v="0"/>
    <n v="9.7222222222222214"/>
    <n v="8.0000000000000007E-5"/>
    <n v="7.7777777777777773E-4"/>
  </r>
  <r>
    <x v="132"/>
    <s v="Gourmet360"/>
    <x v="0"/>
    <x v="122"/>
    <x v="0"/>
    <x v="3"/>
    <m/>
    <m/>
    <m/>
    <s v="DRY2-1388"/>
    <s v="Milk UHT Full Fat(1 Liter)"/>
    <s v="Ml"/>
    <s v="Ml"/>
    <n v="5000"/>
    <m/>
    <m/>
    <n v="720"/>
    <x v="0"/>
    <n v="6.9444444444444446"/>
    <n v="4.2500000000000003E-3"/>
    <n v="2.9513888888888892E-2"/>
  </r>
  <r>
    <x v="132"/>
    <s v="Gourmet360"/>
    <x v="0"/>
    <x v="122"/>
    <x v="0"/>
    <x v="3"/>
    <m/>
    <m/>
    <m/>
    <s v="DRS5-1325"/>
    <s v="Bread Improver K2"/>
    <s v="Gram "/>
    <s v="Gram "/>
    <n v="100"/>
    <m/>
    <m/>
    <n v="720"/>
    <x v="0"/>
    <n v="0.1388888888888889"/>
    <n v="1.17E-2"/>
    <n v="1.6250000000000001E-3"/>
  </r>
  <r>
    <x v="132"/>
    <s v="Gourmet360"/>
    <x v="0"/>
    <x v="122"/>
    <x v="0"/>
    <x v="3"/>
    <m/>
    <m/>
    <m/>
    <s v="DRY2-1388"/>
    <s v="Milk UHT Full Fat(1 Liter)"/>
    <s v="Ml"/>
    <s v="Ml"/>
    <n v="22000"/>
    <m/>
    <m/>
    <n v="720"/>
    <x v="0"/>
    <n v="30.555555555555557"/>
    <n v="4.2500000000000003E-3"/>
    <n v="0.12986111111111112"/>
  </r>
  <r>
    <x v="132"/>
    <s v="Gourmet360"/>
    <x v="0"/>
    <x v="122"/>
    <x v="0"/>
    <x v="3"/>
    <m/>
    <m/>
    <m/>
    <s v="DRS5-618"/>
    <s v="Custard powder(450 Gram)"/>
    <s v="Gram "/>
    <s v="Gram "/>
    <n v="7700"/>
    <m/>
    <m/>
    <n v="720"/>
    <x v="0"/>
    <n v="10.694444444444445"/>
    <n v="1.5288888888888888E-2"/>
    <n v="0.16350617283950616"/>
  </r>
  <r>
    <x v="132"/>
    <s v="Gourmet360"/>
    <x v="0"/>
    <x v="122"/>
    <x v="0"/>
    <x v="3"/>
    <m/>
    <m/>
    <m/>
    <s v="PRD1-4390"/>
    <s v="Fresh Blueberry(125 Gram)"/>
    <s v="Gram "/>
    <s v="Gram "/>
    <n v="7500"/>
    <m/>
    <m/>
    <n v="720"/>
    <x v="0"/>
    <n v="10.416666666666666"/>
    <n v="0.104"/>
    <n v="1.0833333333333333"/>
  </r>
  <r>
    <x v="133"/>
    <s v="Gourmet360"/>
    <x v="0"/>
    <x v="123"/>
    <x v="0"/>
    <x v="3"/>
    <m/>
    <m/>
    <m/>
    <s v="PLT1-37"/>
    <s v="Eggs"/>
    <s v="Each"/>
    <s v="Each"/>
    <n v="110"/>
    <m/>
    <m/>
    <n v="55"/>
    <x v="0"/>
    <n v="2"/>
    <n v="0.48299999999999998"/>
    <n v="0.96599999999999997"/>
  </r>
  <r>
    <x v="133"/>
    <s v="Gourmet360"/>
    <x v="0"/>
    <x v="123"/>
    <x v="0"/>
    <x v="3"/>
    <m/>
    <m/>
    <m/>
    <s v="PRD1-572"/>
    <s v="Fresh Tomato "/>
    <s v="Gram "/>
    <s v="Gram "/>
    <n v="1000"/>
    <m/>
    <m/>
    <n v="55"/>
    <x v="0"/>
    <n v="18.181818181818183"/>
    <n v="4.5351473922902496E-3"/>
    <n v="8.2457225314368179E-2"/>
  </r>
  <r>
    <x v="133"/>
    <s v="Gourmet360"/>
    <x v="0"/>
    <x v="123"/>
    <x v="0"/>
    <x v="3"/>
    <m/>
    <m/>
    <m/>
    <s v="PRD1-4265"/>
    <s v="Fresh onion Yellow(Imported)"/>
    <s v="Gram "/>
    <s v="Gram "/>
    <n v="600"/>
    <m/>
    <m/>
    <n v="55"/>
    <x v="0"/>
    <n v="10.909090909090908"/>
    <n v="3.529411764705882E-3"/>
    <n v="3.850267379679144E-2"/>
  </r>
  <r>
    <x v="133"/>
    <s v="Gourmet360"/>
    <x v="0"/>
    <x v="123"/>
    <x v="0"/>
    <x v="3"/>
    <m/>
    <m/>
    <m/>
    <s v="PRD1-195"/>
    <s v="Fresh Coriander "/>
    <s v="Gram "/>
    <s v="Gram "/>
    <n v="150"/>
    <m/>
    <m/>
    <n v="55"/>
    <x v="0"/>
    <n v="2.7272727272727271"/>
    <n v="9.3676814988290415E-3"/>
    <n v="2.5548222269533748E-2"/>
  </r>
  <r>
    <x v="133"/>
    <s v="Gourmet360"/>
    <x v="0"/>
    <x v="123"/>
    <x v="0"/>
    <x v="3"/>
    <m/>
    <m/>
    <m/>
    <s v="DRS1-3880"/>
    <s v="Salt "/>
    <s v="Gram "/>
    <s v="Gram "/>
    <n v="15"/>
    <m/>
    <m/>
    <n v="55"/>
    <x v="0"/>
    <n v="0.27272727272727271"/>
    <n v="5.0000000000000001E-4"/>
    <n v="1.3636363636363637E-4"/>
  </r>
  <r>
    <x v="133"/>
    <s v="Gourmet360"/>
    <x v="0"/>
    <x v="123"/>
    <x v="0"/>
    <x v="3"/>
    <m/>
    <m/>
    <m/>
    <s v="DRS6-537"/>
    <s v="Spices Pepper Black Powder(1 Kg)"/>
    <s v="Gram "/>
    <s v="Gram "/>
    <n v="5"/>
    <m/>
    <m/>
    <n v="55"/>
    <x v="0"/>
    <n v="9.0909090909090912E-2"/>
    <n v="3.5000000000000003E-2"/>
    <n v="3.1818181818181824E-3"/>
  </r>
  <r>
    <x v="133"/>
    <s v="Gourmet360"/>
    <x v="0"/>
    <x v="123"/>
    <x v="0"/>
    <x v="3"/>
    <m/>
    <m/>
    <m/>
    <s v="DRS6-266"/>
    <s v="Spices Coriander Powder"/>
    <s v="Gram "/>
    <s v="Gram "/>
    <n v="10"/>
    <m/>
    <m/>
    <n v="55"/>
    <x v="0"/>
    <n v="0.18181818181818182"/>
    <n v="1.4E-2"/>
    <n v="2.5454545454545456E-3"/>
  </r>
  <r>
    <x v="133"/>
    <s v="Gourmet360"/>
    <x v="0"/>
    <x v="123"/>
    <x v="0"/>
    <x v="3"/>
    <m/>
    <m/>
    <m/>
    <s v="DRS1-1747"/>
    <s v="Can Tomato Paste (4500 Gram)"/>
    <s v="Gram "/>
    <s v="Gram "/>
    <n v="150"/>
    <m/>
    <m/>
    <n v="55"/>
    <x v="0"/>
    <n v="2.7272727272727271"/>
    <n v="5.185185185185185E-3"/>
    <n v="1.4141414141414141E-2"/>
  </r>
  <r>
    <x v="133"/>
    <s v="Gourmet360"/>
    <x v="0"/>
    <x v="123"/>
    <x v="0"/>
    <x v="3"/>
    <m/>
    <m/>
    <m/>
    <s v="DRS3-1615"/>
    <s v="Olive Oil (CAN)"/>
    <s v="Ml"/>
    <s v="Ml"/>
    <n v="150"/>
    <m/>
    <m/>
    <n v="55"/>
    <x v="0"/>
    <n v="2.7272727272727271"/>
    <n v="1.2E-2"/>
    <n v="3.2727272727272723E-2"/>
  </r>
  <r>
    <x v="134"/>
    <s v="Gourmet360"/>
    <x v="0"/>
    <x v="124"/>
    <x v="0"/>
    <x v="3"/>
    <m/>
    <m/>
    <m/>
    <s v="DRS1-824"/>
    <s v="Can Oats(500 Gram)"/>
    <s v="Gram "/>
    <s v="Gram "/>
    <n v="200"/>
    <m/>
    <m/>
    <n v="15"/>
    <x v="0"/>
    <n v="13.333333333333334"/>
    <n v="1.2919999999999999E-2"/>
    <n v="0.17226666666666665"/>
  </r>
  <r>
    <x v="134"/>
    <s v="Gourmet360"/>
    <x v="0"/>
    <x v="124"/>
    <x v="0"/>
    <x v="3"/>
    <m/>
    <m/>
    <m/>
    <s v="DRY2-1388"/>
    <s v="Milk UHT Full Fat(1 Liter)"/>
    <s v="Ml"/>
    <s v="Ml"/>
    <n v="3000"/>
    <m/>
    <m/>
    <n v="15"/>
    <x v="0"/>
    <n v="200"/>
    <n v="4.2500000000000003E-3"/>
    <n v="0.85000000000000009"/>
  </r>
  <r>
    <x v="134"/>
    <s v="Gourmet360"/>
    <x v="0"/>
    <x v="124"/>
    <x v="0"/>
    <x v="3"/>
    <m/>
    <m/>
    <m/>
    <s v="DRS1-1823"/>
    <s v="Vanilla Essence (Concentrated)"/>
    <s v="Gram "/>
    <s v="Gram "/>
    <n v="2"/>
    <m/>
    <m/>
    <n v="15"/>
    <x v="0"/>
    <n v="0.13333333333333333"/>
    <n v="4.9000000000000002E-2"/>
    <n v="6.5333333333333337E-3"/>
  </r>
  <r>
    <x v="134"/>
    <s v="Gourmet360"/>
    <x v="0"/>
    <x v="124"/>
    <x v="0"/>
    <x v="3"/>
    <m/>
    <m/>
    <m/>
    <s v="DRS1-978"/>
    <s v="Sugar Fine(50 KG)"/>
    <s v="Gram "/>
    <s v="Gram "/>
    <n v="70"/>
    <m/>
    <m/>
    <n v="15"/>
    <x v="0"/>
    <n v="4.666666666666667"/>
    <n v="2.3999999999999998E-3"/>
    <n v="1.12E-2"/>
  </r>
  <r>
    <x v="134"/>
    <s v="Gourmet360"/>
    <x v="0"/>
    <x v="124"/>
    <x v="0"/>
    <x v="3"/>
    <m/>
    <m/>
    <m/>
    <s v="DRS5-21"/>
    <s v="Flour Corn"/>
    <s v="Gram "/>
    <s v="Gram "/>
    <n v="20"/>
    <m/>
    <m/>
    <n v="15"/>
    <x v="0"/>
    <n v="1.3333333333333333"/>
    <n v="2.0799999999999998E-3"/>
    <n v="2.7733333333333329E-3"/>
  </r>
  <r>
    <x v="134"/>
    <s v="Gourmet360"/>
    <x v="0"/>
    <x v="124"/>
    <x v="0"/>
    <x v="3"/>
    <m/>
    <m/>
    <m/>
    <s v="PRD3-1661"/>
    <s v="Dry Mix Fruits(1 Kg)"/>
    <s v="Gram "/>
    <s v="Gram "/>
    <n v="100"/>
    <m/>
    <m/>
    <n v="15"/>
    <x v="0"/>
    <n v="6.666666666666667"/>
    <n v="3.9E-2"/>
    <n v="0.26"/>
  </r>
  <r>
    <x v="135"/>
    <s v="Gourmet360"/>
    <x v="0"/>
    <x v="125"/>
    <x v="1"/>
    <x v="3"/>
    <m/>
    <m/>
    <m/>
    <s v="DRS1-444"/>
    <s v="Can Foul Medammes"/>
    <s v="Gram "/>
    <s v="Gram "/>
    <n v="2350"/>
    <m/>
    <m/>
    <n v="30"/>
    <x v="0"/>
    <n v="78.333333333333329"/>
    <n v="8.8999999999999999E-3"/>
    <n v="0.6971666666666666"/>
  </r>
  <r>
    <x v="135"/>
    <s v="Gourmet360"/>
    <x v="0"/>
    <x v="125"/>
    <x v="1"/>
    <x v="3"/>
    <m/>
    <m/>
    <m/>
    <s v="PRD1-572"/>
    <s v="Fresh Tomato "/>
    <s v="Gram "/>
    <s v="Gram "/>
    <n v="200"/>
    <m/>
    <m/>
    <n v="30"/>
    <x v="0"/>
    <n v="6.666666666666667"/>
    <n v="4.5351473922902496E-3"/>
    <n v="3.0234315948601664E-2"/>
  </r>
  <r>
    <x v="135"/>
    <s v="Gourmet360"/>
    <x v="0"/>
    <x v="125"/>
    <x v="1"/>
    <x v="3"/>
    <m/>
    <m/>
    <m/>
    <s v="PRD1-4265"/>
    <s v="Fresh onion Yellow(Imported)"/>
    <s v="Gram "/>
    <s v="Gram "/>
    <n v="125"/>
    <m/>
    <m/>
    <n v="30"/>
    <x v="0"/>
    <n v="4.166666666666667"/>
    <n v="3.529411764705882E-3"/>
    <n v="1.4705882352941176E-2"/>
  </r>
  <r>
    <x v="135"/>
    <s v="Gourmet360"/>
    <x v="0"/>
    <x v="125"/>
    <x v="1"/>
    <x v="3"/>
    <m/>
    <m/>
    <m/>
    <s v="PRD1-195"/>
    <s v="Fresh Coriander "/>
    <s v="Gram "/>
    <s v="Gram "/>
    <n v="100"/>
    <m/>
    <m/>
    <n v="30"/>
    <x v="0"/>
    <n v="3.3333333333333335"/>
    <n v="9.3676814988290415E-3"/>
    <n v="3.1225604996096806E-2"/>
  </r>
  <r>
    <x v="135"/>
    <s v="Gourmet360"/>
    <x v="0"/>
    <x v="125"/>
    <x v="1"/>
    <x v="3"/>
    <m/>
    <m/>
    <m/>
    <s v="PRD1-4327"/>
    <s v="Fresh Garlic Peeled"/>
    <s v="Gram "/>
    <s v="Gram "/>
    <n v="15"/>
    <m/>
    <m/>
    <n v="30"/>
    <x v="0"/>
    <n v="0.5"/>
    <n v="1.2999999999999999E-2"/>
    <n v="6.4999999999999997E-3"/>
  </r>
  <r>
    <x v="135"/>
    <s v="Gourmet360"/>
    <x v="0"/>
    <x v="125"/>
    <x v="1"/>
    <x v="3"/>
    <m/>
    <m/>
    <m/>
    <s v="DRS6-733"/>
    <s v="Spices Cumin Powder"/>
    <s v="Gram "/>
    <s v="Gram "/>
    <n v="15"/>
    <m/>
    <m/>
    <n v="30"/>
    <x v="0"/>
    <n v="0.5"/>
    <n v="2.8000000000000001E-2"/>
    <n v="1.4E-2"/>
  </r>
  <r>
    <x v="135"/>
    <s v="Gourmet360"/>
    <x v="0"/>
    <x v="125"/>
    <x v="1"/>
    <x v="3"/>
    <m/>
    <m/>
    <m/>
    <s v="DRS6-266"/>
    <s v="Spices Coriander Powder"/>
    <s v="Gram "/>
    <s v="Gram "/>
    <n v="10"/>
    <m/>
    <m/>
    <n v="30"/>
    <x v="0"/>
    <n v="0.33333333333333331"/>
    <n v="1.4E-2"/>
    <n v="4.6666666666666662E-3"/>
  </r>
  <r>
    <x v="135"/>
    <s v="Gourmet360"/>
    <x v="0"/>
    <x v="125"/>
    <x v="1"/>
    <x v="3"/>
    <m/>
    <m/>
    <m/>
    <s v="DRS6-1727"/>
    <s v="Spice Paprika Sweet (KG)"/>
    <s v="Gram "/>
    <s v="Gram "/>
    <n v="5"/>
    <m/>
    <m/>
    <n v="30"/>
    <x v="0"/>
    <n v="0.16666666666666666"/>
    <n v="2.5000000000000001E-2"/>
    <n v="4.1666666666666666E-3"/>
  </r>
  <r>
    <x v="135"/>
    <s v="Gourmet360"/>
    <x v="0"/>
    <x v="125"/>
    <x v="1"/>
    <x v="3"/>
    <m/>
    <m/>
    <m/>
    <s v="DRS3-1615"/>
    <s v="Olive Oil (CAN)"/>
    <s v="Ml"/>
    <s v="Ml"/>
    <n v="10"/>
    <m/>
    <m/>
    <n v="30"/>
    <x v="0"/>
    <n v="0.33333333333333331"/>
    <n v="1.2E-2"/>
    <n v="4.0000000000000001E-3"/>
  </r>
  <r>
    <x v="136"/>
    <s v="Gourmet360"/>
    <x v="0"/>
    <x v="126"/>
    <x v="1"/>
    <x v="3"/>
    <m/>
    <m/>
    <m/>
    <s v="DRS1-3612"/>
    <s v="Halawa Plain"/>
    <s v="Gram "/>
    <s v="Gram "/>
    <n v="60"/>
    <m/>
    <m/>
    <n v="1"/>
    <x v="0"/>
    <n v="60"/>
    <n v="7.4999999999999997E-3"/>
    <n v="0.44999999999999996"/>
  </r>
  <r>
    <x v="137"/>
    <s v="Gourmet360"/>
    <x v="0"/>
    <x v="127"/>
    <x v="2"/>
    <x v="3"/>
    <m/>
    <m/>
    <m/>
    <s v="PLT2-3278"/>
    <s v="Frz Chicken Breast Tender (KG)"/>
    <s v="Gram "/>
    <s v="Gram "/>
    <n v="900"/>
    <m/>
    <m/>
    <n v="45"/>
    <x v="0"/>
    <n v="20"/>
    <n v="3.0357142857142853E-2"/>
    <n v="0.6071428571428571"/>
  </r>
  <r>
    <x v="137"/>
    <s v="Gourmet360"/>
    <x v="0"/>
    <x v="127"/>
    <x v="2"/>
    <x v="3"/>
    <m/>
    <m/>
    <m/>
    <s v="DRY1-1801"/>
    <s v="Cheese Mozzarella Grated (KG)"/>
    <s v="Gram "/>
    <s v="Gram "/>
    <n v="675"/>
    <m/>
    <m/>
    <n v="45"/>
    <x v="0"/>
    <n v="15"/>
    <n v="2.5000000000000001E-2"/>
    <n v="0.375"/>
  </r>
  <r>
    <x v="137"/>
    <s v="Gourmet360"/>
    <x v="0"/>
    <x v="127"/>
    <x v="2"/>
    <x v="3"/>
    <m/>
    <m/>
    <m/>
    <s v="PRD1-240"/>
    <s v="Fresh Sweet Pepper Red "/>
    <s v="Gram "/>
    <s v="Gram "/>
    <n v="100"/>
    <m/>
    <m/>
    <n v="45"/>
    <x v="0"/>
    <n v="2.2222222222222223"/>
    <n v="1.3293943870014769E-2"/>
    <n v="2.9542097488921712E-2"/>
  </r>
  <r>
    <x v="137"/>
    <s v="Gourmet360"/>
    <x v="0"/>
    <x v="127"/>
    <x v="2"/>
    <x v="3"/>
    <m/>
    <m/>
    <m/>
    <s v="PRD1-239"/>
    <s v="Fresh Sweet Pepper Green"/>
    <s v="Gram "/>
    <s v="Gram "/>
    <n v="100"/>
    <m/>
    <m/>
    <n v="45"/>
    <x v="0"/>
    <n v="2.2222222222222223"/>
    <n v="6.6864784546805346E-3"/>
    <n v="1.4858841010401188E-2"/>
  </r>
  <r>
    <x v="137"/>
    <s v="Gourmet360"/>
    <x v="0"/>
    <x v="127"/>
    <x v="2"/>
    <x v="3"/>
    <m/>
    <m/>
    <m/>
    <s v="DRY2-1008"/>
    <s v="Butter 82% Fat(Unsalted) 25 kg"/>
    <s v="Gram "/>
    <s v="Gram "/>
    <n v="50"/>
    <m/>
    <m/>
    <n v="45"/>
    <x v="0"/>
    <n v="1.1111111111111112"/>
    <n v="0.03"/>
    <n v="3.3333333333333333E-2"/>
  </r>
  <r>
    <x v="137"/>
    <s v="Gourmet360"/>
    <x v="0"/>
    <x v="127"/>
    <x v="2"/>
    <x v="3"/>
    <m/>
    <m/>
    <m/>
    <s v="DRS3-1813"/>
    <s v="Corn Oil (18 Liter)"/>
    <s v="Ml"/>
    <s v="Ml"/>
    <n v="50"/>
    <m/>
    <m/>
    <n v="45"/>
    <x v="0"/>
    <n v="1.1111111111111112"/>
    <n v="8.0555555555555554E-3"/>
    <n v="8.9506172839506175E-3"/>
  </r>
  <r>
    <x v="137"/>
    <s v="Gourmet360"/>
    <x v="0"/>
    <x v="127"/>
    <x v="2"/>
    <x v="3"/>
    <m/>
    <m/>
    <m/>
    <s v="PRD1-4265"/>
    <s v="Fresh onion Yellow(Imported)"/>
    <s v="Gram "/>
    <s v="Gram "/>
    <n v="35"/>
    <m/>
    <m/>
    <n v="45"/>
    <x v="0"/>
    <n v="0.77777777777777779"/>
    <n v="3.529411764705882E-3"/>
    <n v="2.7450980392156859E-3"/>
  </r>
  <r>
    <x v="137"/>
    <s v="Gourmet360"/>
    <x v="0"/>
    <x v="127"/>
    <x v="2"/>
    <x v="3"/>
    <m/>
    <m/>
    <m/>
    <s v="PRD1-4327"/>
    <s v="Fresh Garlic Peeled"/>
    <s v="Gram "/>
    <s v="Gram "/>
    <n v="5"/>
    <m/>
    <m/>
    <n v="45"/>
    <x v="0"/>
    <n v="0.1111111111111111"/>
    <n v="1.2999999999999999E-2"/>
    <n v="1.4444444444444444E-3"/>
  </r>
  <r>
    <x v="137"/>
    <s v="Gourmet360"/>
    <x v="0"/>
    <x v="127"/>
    <x v="2"/>
    <x v="3"/>
    <m/>
    <m/>
    <m/>
    <s v="DRS5-980"/>
    <s v="Flour Cake Special (all purpose)"/>
    <s v="Gram "/>
    <s v="Gram "/>
    <n v="1000"/>
    <m/>
    <m/>
    <n v="45"/>
    <x v="0"/>
    <n v="22.222222222222221"/>
    <n v="1E-3"/>
    <n v="2.2222222222222223E-2"/>
  </r>
  <r>
    <x v="137"/>
    <s v="Gourmet360"/>
    <x v="0"/>
    <x v="127"/>
    <x v="2"/>
    <x v="3"/>
    <m/>
    <m/>
    <m/>
    <s v="DRS1-3880"/>
    <s v="Salt "/>
    <s v="Gram "/>
    <s v="Gram "/>
    <n v="10"/>
    <m/>
    <m/>
    <n v="45"/>
    <x v="0"/>
    <n v="0.22222222222222221"/>
    <n v="5.0000000000000001E-4"/>
    <n v="1.111111111111111E-4"/>
  </r>
  <r>
    <x v="137"/>
    <s v="Gourmet360"/>
    <x v="0"/>
    <x v="127"/>
    <x v="2"/>
    <x v="3"/>
    <m/>
    <m/>
    <m/>
    <s v="DRS1-90"/>
    <s v="Dry Yeast(500 Gram)"/>
    <s v="Gram "/>
    <s v="Gram "/>
    <n v="10"/>
    <m/>
    <m/>
    <n v="45"/>
    <x v="0"/>
    <n v="0.22222222222222221"/>
    <n v="1.4500000000000001E-2"/>
    <n v="3.2222222222222222E-3"/>
  </r>
  <r>
    <x v="137"/>
    <s v="Gourmet360"/>
    <x v="0"/>
    <x v="127"/>
    <x v="2"/>
    <x v="3"/>
    <m/>
    <m/>
    <m/>
    <s v="DRS1-978"/>
    <s v="Sugar Fine(50 KG)"/>
    <s v="Gram "/>
    <s v="Gram "/>
    <n v="60"/>
    <m/>
    <m/>
    <n v="45"/>
    <x v="0"/>
    <n v="1.3333333333333333"/>
    <n v="2.3999999999999998E-3"/>
    <n v="3.1999999999999997E-3"/>
  </r>
  <r>
    <x v="137"/>
    <s v="Gourmet360"/>
    <x v="0"/>
    <x v="127"/>
    <x v="2"/>
    <x v="3"/>
    <m/>
    <m/>
    <m/>
    <s v="DRS5-59"/>
    <s v="Milk Powder"/>
    <s v="Gram "/>
    <s v="Gram "/>
    <n v="60"/>
    <m/>
    <m/>
    <n v="45"/>
    <x v="0"/>
    <n v="1.3333333333333333"/>
    <n v="1.4319999999999999E-2"/>
    <n v="1.909333333333333E-2"/>
  </r>
  <r>
    <x v="137"/>
    <s v="Gourmet360"/>
    <x v="0"/>
    <x v="127"/>
    <x v="2"/>
    <x v="3"/>
    <m/>
    <m/>
    <m/>
    <s v="DRS3-1813"/>
    <s v="Corn Oil (18 Liter)"/>
    <s v="Ml"/>
    <s v="Ml"/>
    <n v="30"/>
    <m/>
    <m/>
    <n v="45"/>
    <x v="0"/>
    <n v="0.66666666666666663"/>
    <n v="8.0555555555555554E-3"/>
    <n v="5.37037037037037E-3"/>
  </r>
  <r>
    <x v="137"/>
    <s v="Gourmet360"/>
    <x v="0"/>
    <x v="127"/>
    <x v="2"/>
    <x v="3"/>
    <m/>
    <m/>
    <m/>
    <s v="DRY2-1008"/>
    <s v="Butter 82% Fat(Unsalted) 25 kg"/>
    <s v="Gram "/>
    <s v="Gram "/>
    <n v="30"/>
    <m/>
    <m/>
    <n v="45"/>
    <x v="0"/>
    <n v="0.66666666666666663"/>
    <n v="0.03"/>
    <n v="1.9999999999999997E-2"/>
  </r>
  <r>
    <x v="137"/>
    <s v="Gourmet360"/>
    <x v="0"/>
    <x v="127"/>
    <x v="2"/>
    <x v="3"/>
    <m/>
    <m/>
    <m/>
    <s v="TAP-00001"/>
    <s v="Tap Water-Cooking"/>
    <s v="Ml"/>
    <s v="Ml"/>
    <n v="500"/>
    <m/>
    <m/>
    <n v="45"/>
    <x v="0"/>
    <n v="11.111111111111111"/>
    <n v="8.0000000000000007E-5"/>
    <n v="8.8888888888888893E-4"/>
  </r>
  <r>
    <x v="137"/>
    <s v="Gourmet360"/>
    <x v="0"/>
    <x v="127"/>
    <x v="2"/>
    <x v="3"/>
    <m/>
    <m/>
    <m/>
    <s v="DRY2-1008"/>
    <s v="Butter 82% Fat(Unsalted) 25 kg"/>
    <s v="Gram "/>
    <s v="Gram "/>
    <n v="20"/>
    <m/>
    <m/>
    <n v="45"/>
    <x v="0"/>
    <n v="0.44444444444444442"/>
    <n v="0.03"/>
    <n v="1.3333333333333332E-2"/>
  </r>
  <r>
    <x v="137"/>
    <s v="Gourmet360"/>
    <x v="0"/>
    <x v="127"/>
    <x v="2"/>
    <x v="3"/>
    <m/>
    <m/>
    <m/>
    <s v="DRS3-1813"/>
    <s v="Corn Oil (18 Liter)"/>
    <s v="Ml"/>
    <s v="Ml"/>
    <n v="20"/>
    <m/>
    <m/>
    <n v="45"/>
    <x v="0"/>
    <n v="0.44444444444444442"/>
    <n v="8.0555555555555554E-3"/>
    <n v="3.5802469135802466E-3"/>
  </r>
  <r>
    <x v="137"/>
    <s v="Gourmet360"/>
    <x v="0"/>
    <x v="127"/>
    <x v="2"/>
    <x v="3"/>
    <m/>
    <m/>
    <m/>
    <s v="DRS5-40"/>
    <s v="Flour White"/>
    <s v="Gram "/>
    <s v="Gram "/>
    <n v="40"/>
    <m/>
    <m/>
    <n v="45"/>
    <x v="0"/>
    <n v="0.88888888888888884"/>
    <n v="7.7777777777777773E-4"/>
    <n v="6.91358024691358E-4"/>
  </r>
  <r>
    <x v="137"/>
    <s v="Gourmet360"/>
    <x v="0"/>
    <x v="127"/>
    <x v="2"/>
    <x v="3"/>
    <m/>
    <m/>
    <m/>
    <s v="TAP-00001"/>
    <s v="Tap Water-Cooking"/>
    <s v="Ml"/>
    <s v="Ml"/>
    <n v="450"/>
    <m/>
    <m/>
    <n v="45"/>
    <x v="0"/>
    <n v="10"/>
    <n v="8.0000000000000007E-5"/>
    <n v="8.0000000000000004E-4"/>
  </r>
  <r>
    <x v="137"/>
    <s v="Gourmet360"/>
    <x v="0"/>
    <x v="127"/>
    <x v="2"/>
    <x v="3"/>
    <m/>
    <m/>
    <m/>
    <s v="DRS5-59"/>
    <s v="Milk Powder"/>
    <s v="Gram "/>
    <s v="Gram "/>
    <n v="25"/>
    <m/>
    <m/>
    <n v="45"/>
    <x v="0"/>
    <n v="0.55555555555555558"/>
    <n v="1.4319999999999999E-2"/>
    <n v="7.955555555555556E-3"/>
  </r>
  <r>
    <x v="137"/>
    <s v="Gourmet360"/>
    <x v="0"/>
    <x v="127"/>
    <x v="2"/>
    <x v="3"/>
    <m/>
    <m/>
    <m/>
    <s v="DRS6-309"/>
    <s v="Spice Pepper White Powder"/>
    <s v="Gram "/>
    <s v="Gram "/>
    <n v="1"/>
    <m/>
    <m/>
    <n v="45"/>
    <x v="0"/>
    <n v="2.2222222222222223E-2"/>
    <n v="2.8000000000000001E-2"/>
    <n v="6.2222222222222225E-4"/>
  </r>
  <r>
    <x v="137"/>
    <s v="Gourmet360"/>
    <x v="0"/>
    <x v="127"/>
    <x v="2"/>
    <x v="3"/>
    <m/>
    <m/>
    <m/>
    <s v="DRS1-1507"/>
    <s v="Salt sachet (1000)"/>
    <s v="Gram "/>
    <s v="Gram "/>
    <n v="5"/>
    <m/>
    <m/>
    <n v="45"/>
    <x v="0"/>
    <n v="0.1111111111111111"/>
    <n v="3.5000000000000003E-2"/>
    <n v="3.8888888888888892E-3"/>
  </r>
  <r>
    <x v="137"/>
    <s v="Gourmet360"/>
    <x v="0"/>
    <x v="127"/>
    <x v="2"/>
    <x v="3"/>
    <m/>
    <m/>
    <m/>
    <s v="DRY2-1858"/>
    <s v="Cooking Cream 1 Ltr"/>
    <s v="Ml"/>
    <s v="Ml"/>
    <n v="75"/>
    <m/>
    <m/>
    <n v="45"/>
    <x v="0"/>
    <n v="1.6666666666666667"/>
    <n v="9.8800000000000016E-3"/>
    <n v="1.6466666666666671E-2"/>
  </r>
  <r>
    <x v="138"/>
    <s v="Gourmet360"/>
    <x v="0"/>
    <x v="128"/>
    <x v="3"/>
    <x v="3"/>
    <m/>
    <m/>
    <m/>
    <s v="PLT1-37"/>
    <s v="Eggs"/>
    <s v="Each"/>
    <s v="Each"/>
    <n v="200"/>
    <m/>
    <m/>
    <n v="75"/>
    <x v="0"/>
    <n v="2.6666666666666665"/>
    <n v="0.48299999999999998"/>
    <n v="1.2879999999999998"/>
  </r>
  <r>
    <x v="138"/>
    <s v="Gourmet360"/>
    <x v="0"/>
    <x v="128"/>
    <x v="3"/>
    <x v="3"/>
    <m/>
    <m/>
    <m/>
    <s v="PRD1-240"/>
    <s v="Fresh Sweet Pepper Red "/>
    <s v="Gram "/>
    <s v="Gram "/>
    <n v="250"/>
    <m/>
    <m/>
    <n v="75"/>
    <x v="0"/>
    <n v="3.3333333333333335"/>
    <n v="1.3293943870014769E-2"/>
    <n v="4.4313146233382568E-2"/>
  </r>
  <r>
    <x v="138"/>
    <s v="Gourmet360"/>
    <x v="0"/>
    <x v="128"/>
    <x v="3"/>
    <x v="3"/>
    <m/>
    <m/>
    <m/>
    <s v="PRD1-239"/>
    <s v="Fresh Sweet Pepper Green"/>
    <s v="Gram "/>
    <s v="Gram "/>
    <n v="250"/>
    <m/>
    <m/>
    <n v="75"/>
    <x v="0"/>
    <n v="3.3333333333333335"/>
    <n v="6.6864784546805346E-3"/>
    <n v="2.2288261515601784E-2"/>
  </r>
  <r>
    <x v="138"/>
    <s v="Gourmet360"/>
    <x v="0"/>
    <x v="128"/>
    <x v="3"/>
    <x v="3"/>
    <m/>
    <m/>
    <m/>
    <s v="PRD1-241"/>
    <s v="Fresh Sweet Pepper Yellow"/>
    <s v="Gram "/>
    <s v="Gram "/>
    <n v="250"/>
    <m/>
    <m/>
    <n v="75"/>
    <x v="0"/>
    <n v="3.3333333333333335"/>
    <n v="1.3196480938416421E-2"/>
    <n v="4.3988269794721403E-2"/>
  </r>
  <r>
    <x v="138"/>
    <s v="Gourmet360"/>
    <x v="0"/>
    <x v="128"/>
    <x v="3"/>
    <x v="3"/>
    <m/>
    <m/>
    <m/>
    <s v="DRS1-3880"/>
    <s v="Salt "/>
    <s v="Gram "/>
    <s v="Gram "/>
    <n v="20"/>
    <m/>
    <m/>
    <n v="75"/>
    <x v="0"/>
    <n v="0.26666666666666666"/>
    <n v="5.0000000000000001E-4"/>
    <n v="1.3333333333333334E-4"/>
  </r>
  <r>
    <x v="138"/>
    <s v="Gourmet360"/>
    <x v="0"/>
    <x v="128"/>
    <x v="3"/>
    <x v="3"/>
    <m/>
    <m/>
    <m/>
    <s v="DRS6-537"/>
    <s v="Spices Pepper Black Powder(1 Kg)"/>
    <s v="Gram "/>
    <s v="Gram "/>
    <n v="5"/>
    <m/>
    <m/>
    <n v="75"/>
    <x v="0"/>
    <n v="6.6666666666666666E-2"/>
    <n v="3.5000000000000003E-2"/>
    <n v="2.3333333333333335E-3"/>
  </r>
  <r>
    <x v="138"/>
    <s v="Gourmet360"/>
    <x v="0"/>
    <x v="128"/>
    <x v="3"/>
    <x v="3"/>
    <m/>
    <m/>
    <m/>
    <s v="PRD1-4265"/>
    <s v="Fresh onion Yellow(Imported)"/>
    <s v="Gram "/>
    <s v="Gram "/>
    <n v="125"/>
    <m/>
    <m/>
    <n v="75"/>
    <x v="0"/>
    <n v="1.6666666666666667"/>
    <n v="3.529411764705882E-3"/>
    <n v="5.8823529411764705E-3"/>
  </r>
  <r>
    <x v="138"/>
    <s v="Gourmet360"/>
    <x v="0"/>
    <x v="128"/>
    <x v="3"/>
    <x v="3"/>
    <m/>
    <m/>
    <m/>
    <s v="DRS1-607"/>
    <s v="Can Tomato Peeled"/>
    <s v="Gram "/>
    <s v="Gram "/>
    <n v="150"/>
    <m/>
    <m/>
    <n v="75"/>
    <x v="0"/>
    <n v="2"/>
    <n v="5.8823529411764705E-3"/>
    <n v="1.1764705882352941E-2"/>
  </r>
  <r>
    <x v="138"/>
    <s v="Gourmet360"/>
    <x v="0"/>
    <x v="128"/>
    <x v="3"/>
    <x v="3"/>
    <m/>
    <m/>
    <m/>
    <s v="PRD1-227"/>
    <s v="Fresh Parsley"/>
    <s v="Gram "/>
    <s v="Gram "/>
    <n v="50"/>
    <m/>
    <m/>
    <n v="75"/>
    <x v="0"/>
    <n v="0.66666666666666663"/>
    <n v="1.5850144092219021E-2"/>
    <n v="1.0566762728146013E-2"/>
  </r>
  <r>
    <x v="138"/>
    <s v="Gourmet360"/>
    <x v="0"/>
    <x v="128"/>
    <x v="3"/>
    <x v="3"/>
    <m/>
    <m/>
    <m/>
    <s v="DRS3-1813"/>
    <s v="Corn Oil (18 Liter)"/>
    <s v="Ml"/>
    <s v="Ml"/>
    <n v="100"/>
    <m/>
    <m/>
    <n v="75"/>
    <x v="0"/>
    <n v="1.3333333333333333"/>
    <n v="8.0555555555555554E-3"/>
    <n v="1.074074074074074E-2"/>
  </r>
  <r>
    <x v="139"/>
    <s v="Gourmet360"/>
    <x v="0"/>
    <x v="129"/>
    <x v="3"/>
    <x v="3"/>
    <m/>
    <m/>
    <m/>
    <s v="DRS5-40"/>
    <s v="Flour White"/>
    <s v="Gram "/>
    <s v="Gram "/>
    <n v="25000"/>
    <m/>
    <m/>
    <n v="600"/>
    <x v="0"/>
    <n v="41.666666666666664"/>
    <n v="7.7777777777777773E-4"/>
    <n v="3.2407407407407406E-2"/>
  </r>
  <r>
    <x v="139"/>
    <s v="Gourmet360"/>
    <x v="0"/>
    <x v="129"/>
    <x v="3"/>
    <x v="3"/>
    <m/>
    <m/>
    <m/>
    <s v="DRS1-90"/>
    <s v="Dry Yeast(500 Gram)"/>
    <s v="Gram "/>
    <s v="Gram "/>
    <n v="500"/>
    <m/>
    <m/>
    <n v="600"/>
    <x v="0"/>
    <n v="0.83333333333333337"/>
    <n v="1.4500000000000001E-2"/>
    <n v="1.2083333333333335E-2"/>
  </r>
  <r>
    <x v="139"/>
    <s v="Gourmet360"/>
    <x v="0"/>
    <x v="129"/>
    <x v="3"/>
    <x v="3"/>
    <m/>
    <m/>
    <m/>
    <s v="DRS1-3880"/>
    <s v="Salt "/>
    <s v="Gram "/>
    <s v="Gram "/>
    <n v="500"/>
    <m/>
    <m/>
    <n v="600"/>
    <x v="0"/>
    <n v="0.83333333333333337"/>
    <n v="5.0000000000000001E-4"/>
    <n v="4.1666666666666669E-4"/>
  </r>
  <r>
    <x v="139"/>
    <s v="Gourmet360"/>
    <x v="0"/>
    <x v="129"/>
    <x v="3"/>
    <x v="3"/>
    <m/>
    <m/>
    <m/>
    <s v="DRS1-978"/>
    <s v="Sugar Fine(50 KG)"/>
    <s v="Gram "/>
    <s v="Gram "/>
    <n v="2500"/>
    <m/>
    <m/>
    <n v="600"/>
    <x v="0"/>
    <n v="4.166666666666667"/>
    <n v="2.3999999999999998E-3"/>
    <n v="0.01"/>
  </r>
  <r>
    <x v="139"/>
    <s v="Gourmet360"/>
    <x v="0"/>
    <x v="129"/>
    <x v="3"/>
    <x v="3"/>
    <m/>
    <m/>
    <m/>
    <s v="DRS5-1325"/>
    <s v="Bread Improver K2"/>
    <s v="Gram "/>
    <s v="Gram "/>
    <n v="100"/>
    <m/>
    <m/>
    <n v="600"/>
    <x v="0"/>
    <n v="0.16666666666666666"/>
    <n v="1.17E-2"/>
    <n v="1.9499999999999999E-3"/>
  </r>
  <r>
    <x v="139"/>
    <s v="Gourmet360"/>
    <x v="0"/>
    <x v="129"/>
    <x v="3"/>
    <x v="3"/>
    <m/>
    <m/>
    <m/>
    <s v="DRY2-149"/>
    <s v="Butter Margarine Vegetable for Pastry"/>
    <s v="Gram "/>
    <s v="Gram "/>
    <n v="18000"/>
    <m/>
    <m/>
    <n v="600"/>
    <x v="0"/>
    <n v="30"/>
    <n v="1.0999999999999999E-2"/>
    <n v="0.32999999999999996"/>
  </r>
  <r>
    <x v="139"/>
    <s v="Gourmet360"/>
    <x v="0"/>
    <x v="129"/>
    <x v="3"/>
    <x v="3"/>
    <m/>
    <m/>
    <m/>
    <s v="DRY2-1388"/>
    <s v="Milk UHT Full Fat(1 Liter)"/>
    <s v="Ml"/>
    <s v="Ml"/>
    <n v="5000"/>
    <m/>
    <m/>
    <n v="600"/>
    <x v="0"/>
    <n v="8.3333333333333339"/>
    <n v="4.2500000000000003E-3"/>
    <n v="3.5416666666666673E-2"/>
  </r>
  <r>
    <x v="139"/>
    <s v="Gourmet360"/>
    <x v="0"/>
    <x v="129"/>
    <x v="3"/>
    <x v="3"/>
    <m/>
    <m/>
    <m/>
    <s v="TAP-00001"/>
    <s v="Tap Water-Cooking"/>
    <s v="Ml"/>
    <s v="Ml"/>
    <n v="7000"/>
    <m/>
    <m/>
    <n v="600"/>
    <x v="0"/>
    <n v="11.666666666666666"/>
    <n v="8.0000000000000007E-5"/>
    <n v="9.3333333333333332E-4"/>
  </r>
  <r>
    <x v="139"/>
    <s v="Gourmet360"/>
    <x v="0"/>
    <x v="129"/>
    <x v="3"/>
    <x v="3"/>
    <m/>
    <m/>
    <m/>
    <s v="PLT1-37"/>
    <s v="Eggs"/>
    <s v="Each"/>
    <s v="Each"/>
    <n v="20"/>
    <m/>
    <m/>
    <n v="600"/>
    <x v="0"/>
    <n v="3.3333333333333333E-2"/>
    <n v="0.48299999999999998"/>
    <n v="1.61E-2"/>
  </r>
  <r>
    <x v="139"/>
    <s v="Gourmet360"/>
    <x v="0"/>
    <x v="129"/>
    <x v="3"/>
    <x v="3"/>
    <m/>
    <m/>
    <m/>
    <s v="DRY2-1388"/>
    <s v="Milk UHT Full Fat(1 Liter)"/>
    <s v="Ml"/>
    <s v="Ml"/>
    <n v="1200"/>
    <m/>
    <m/>
    <n v="600"/>
    <x v="0"/>
    <n v="2"/>
    <n v="4.2500000000000003E-3"/>
    <n v="8.5000000000000006E-3"/>
  </r>
  <r>
    <x v="139"/>
    <s v="Gourmet360"/>
    <x v="0"/>
    <x v="129"/>
    <x v="3"/>
    <x v="3"/>
    <m/>
    <m/>
    <m/>
    <s v="DRY2-1858"/>
    <s v="Cooking Cream 1 Ltr"/>
    <s v="Ml"/>
    <s v="Ml"/>
    <n v="600"/>
    <m/>
    <m/>
    <n v="600"/>
    <x v="0"/>
    <n v="1"/>
    <n v="9.8800000000000016E-3"/>
    <n v="9.8800000000000016E-3"/>
  </r>
  <r>
    <x v="139"/>
    <s v="Gourmet360"/>
    <x v="0"/>
    <x v="129"/>
    <x v="3"/>
    <x v="3"/>
    <m/>
    <m/>
    <m/>
    <s v="DRS1-978"/>
    <s v="Sugar Fine(50 KG)"/>
    <s v="Gram "/>
    <s v="Gram "/>
    <n v="250"/>
    <m/>
    <m/>
    <n v="600"/>
    <x v="0"/>
    <n v="0.41666666666666669"/>
    <n v="2.3999999999999998E-3"/>
    <n v="1E-3"/>
  </r>
  <r>
    <x v="139"/>
    <s v="Gourmet360"/>
    <x v="0"/>
    <x v="129"/>
    <x v="3"/>
    <x v="3"/>
    <m/>
    <m/>
    <m/>
    <s v="DRS1-1823"/>
    <s v="Vanilla Essence (Concentrated)"/>
    <s v="Gram "/>
    <s v="Gram "/>
    <n v="20"/>
    <m/>
    <m/>
    <n v="600"/>
    <x v="0"/>
    <n v="3.3333333333333333E-2"/>
    <n v="4.9000000000000002E-2"/>
    <n v="1.6333333333333334E-3"/>
  </r>
  <r>
    <x v="139"/>
    <s v="Gourmet360"/>
    <x v="0"/>
    <x v="129"/>
    <x v="3"/>
    <x v="3"/>
    <m/>
    <m/>
    <m/>
    <s v="DRS6-311"/>
    <s v="Zaatar Mix(green)"/>
    <s v="Gram "/>
    <s v="Gram "/>
    <n v="3000"/>
    <m/>
    <m/>
    <n v="600"/>
    <x v="0"/>
    <n v="5"/>
    <n v="0.03"/>
    <n v="0.15"/>
  </r>
  <r>
    <x v="139"/>
    <s v="Gourmet360"/>
    <x v="0"/>
    <x v="129"/>
    <x v="3"/>
    <x v="3"/>
    <m/>
    <m/>
    <m/>
    <s v="DRS6-1269"/>
    <s v="Green Zaatar"/>
    <s v="Gram "/>
    <s v="Gram "/>
    <n v="1200"/>
    <m/>
    <m/>
    <n v="600"/>
    <x v="0"/>
    <n v="2"/>
    <n v="0.03"/>
    <n v="0.06"/>
  </r>
  <r>
    <x v="139"/>
    <s v="Gourmet360"/>
    <x v="0"/>
    <x v="129"/>
    <x v="3"/>
    <x v="3"/>
    <m/>
    <m/>
    <m/>
    <s v="DRY2-1008"/>
    <s v="Butter 82% Fat(Unsalted) 25 kg"/>
    <s v="Gram "/>
    <s v="Gram "/>
    <n v="500"/>
    <m/>
    <m/>
    <n v="600"/>
    <x v="0"/>
    <n v="0.83333333333333337"/>
    <n v="0.03"/>
    <n v="2.5000000000000001E-2"/>
  </r>
  <r>
    <x v="140"/>
    <s v="Gourmet360"/>
    <x v="0"/>
    <x v="130"/>
    <x v="4"/>
    <x v="3"/>
    <m/>
    <m/>
    <m/>
    <s v="DRS5-980"/>
    <s v="Flour Cake Special (all purpose)"/>
    <s v="Gram "/>
    <s v="Gram "/>
    <n v="1000"/>
    <m/>
    <m/>
    <n v="45"/>
    <x v="0"/>
    <n v="22.222222222222221"/>
    <n v="1E-3"/>
    <n v="2.2222222222222223E-2"/>
  </r>
  <r>
    <x v="140"/>
    <s v="Gourmet360"/>
    <x v="0"/>
    <x v="130"/>
    <x v="4"/>
    <x v="3"/>
    <m/>
    <m/>
    <m/>
    <s v="DRS1-90"/>
    <s v="Dry Yeast(500 Gram)"/>
    <s v="Gram "/>
    <s v="Gram "/>
    <n v="10"/>
    <m/>
    <m/>
    <n v="45"/>
    <x v="0"/>
    <n v="0.22222222222222221"/>
    <n v="1.4500000000000001E-2"/>
    <n v="3.2222222222222222E-3"/>
  </r>
  <r>
    <x v="140"/>
    <s v="Gourmet360"/>
    <x v="0"/>
    <x v="130"/>
    <x v="4"/>
    <x v="3"/>
    <m/>
    <m/>
    <m/>
    <s v="DRS1-3880"/>
    <s v="Salt "/>
    <s v="Gram "/>
    <s v="Gram "/>
    <n v="10"/>
    <m/>
    <m/>
    <n v="45"/>
    <x v="0"/>
    <n v="0.22222222222222221"/>
    <n v="5.0000000000000001E-4"/>
    <n v="1.111111111111111E-4"/>
  </r>
  <r>
    <x v="140"/>
    <s v="Gourmet360"/>
    <x v="0"/>
    <x v="130"/>
    <x v="4"/>
    <x v="3"/>
    <m/>
    <m/>
    <m/>
    <s v="DRS1-978"/>
    <s v="Sugar Fine(50 KG)"/>
    <s v="Gram "/>
    <s v="Gram "/>
    <n v="60"/>
    <m/>
    <m/>
    <n v="45"/>
    <x v="0"/>
    <n v="1.3333333333333333"/>
    <n v="2.3999999999999998E-3"/>
    <n v="3.1999999999999997E-3"/>
  </r>
  <r>
    <x v="140"/>
    <s v="Gourmet360"/>
    <x v="0"/>
    <x v="130"/>
    <x v="4"/>
    <x v="3"/>
    <m/>
    <m/>
    <m/>
    <s v="DRS5-59"/>
    <s v="Milk Powder"/>
    <s v="Gram "/>
    <s v="Gram "/>
    <n v="60"/>
    <m/>
    <m/>
    <n v="45"/>
    <x v="0"/>
    <n v="1.3333333333333333"/>
    <n v="1.4319999999999999E-2"/>
    <n v="1.909333333333333E-2"/>
  </r>
  <r>
    <x v="140"/>
    <s v="Gourmet360"/>
    <x v="0"/>
    <x v="130"/>
    <x v="4"/>
    <x v="3"/>
    <m/>
    <m/>
    <m/>
    <s v="DRS3-1813"/>
    <s v="Corn Oil (18 Liter)"/>
    <s v="Ml"/>
    <s v="Ml"/>
    <n v="30"/>
    <m/>
    <m/>
    <n v="45"/>
    <x v="0"/>
    <n v="0.66666666666666663"/>
    <n v="8.0555555555555554E-3"/>
    <n v="5.37037037037037E-3"/>
  </r>
  <r>
    <x v="140"/>
    <s v="Gourmet360"/>
    <x v="0"/>
    <x v="130"/>
    <x v="4"/>
    <x v="3"/>
    <m/>
    <m/>
    <m/>
    <s v="DRY2-1008"/>
    <s v="Butter 82% Fat(Unsalted) 25 kg"/>
    <s v="Gram "/>
    <s v="Gram "/>
    <n v="30"/>
    <m/>
    <m/>
    <n v="45"/>
    <x v="0"/>
    <n v="0.66666666666666663"/>
    <n v="0.03"/>
    <n v="1.9999999999999997E-2"/>
  </r>
  <r>
    <x v="140"/>
    <s v="Gourmet360"/>
    <x v="0"/>
    <x v="130"/>
    <x v="4"/>
    <x v="3"/>
    <m/>
    <m/>
    <m/>
    <s v="TAP-00001"/>
    <s v="Tap Water-Cooking"/>
    <s v="Ml"/>
    <s v="Ml"/>
    <n v="500"/>
    <m/>
    <m/>
    <n v="45"/>
    <x v="0"/>
    <n v="11.111111111111111"/>
    <n v="8.0000000000000007E-5"/>
    <n v="8.8888888888888893E-4"/>
  </r>
  <r>
    <x v="140"/>
    <s v="Gourmet360"/>
    <x v="0"/>
    <x v="130"/>
    <x v="4"/>
    <x v="3"/>
    <m/>
    <m/>
    <m/>
    <s v="DRS1-3358"/>
    <s v="Can Tomato Coulis"/>
    <s v="Gram "/>
    <s v="Gram "/>
    <n v="675"/>
    <m/>
    <m/>
    <n v="45"/>
    <x v="0"/>
    <n v="15"/>
    <n v="1.2776666666666665E-2"/>
    <n v="0.19164999999999999"/>
  </r>
  <r>
    <x v="140"/>
    <s v="Gourmet360"/>
    <x v="0"/>
    <x v="130"/>
    <x v="4"/>
    <x v="3"/>
    <m/>
    <m/>
    <m/>
    <s v="DRY1-1801"/>
    <s v="Cheese Mozzarella Grated (KG)"/>
    <s v="Gram "/>
    <s v="Gram "/>
    <n v="675"/>
    <m/>
    <m/>
    <n v="45"/>
    <x v="0"/>
    <n v="15"/>
    <n v="2.5000000000000001E-2"/>
    <n v="0.375"/>
  </r>
  <r>
    <x v="140"/>
    <s v="Gourmet360"/>
    <x v="0"/>
    <x v="130"/>
    <x v="4"/>
    <x v="3"/>
    <m/>
    <m/>
    <m/>
    <s v="PRD1-240"/>
    <s v="Fresh Sweet Pepper Red "/>
    <s v="Gram "/>
    <s v="Gram "/>
    <n v="75"/>
    <m/>
    <m/>
    <n v="45"/>
    <x v="0"/>
    <n v="1.6666666666666667"/>
    <n v="1.3293943870014769E-2"/>
    <n v="2.2156573116691284E-2"/>
  </r>
  <r>
    <x v="140"/>
    <s v="Gourmet360"/>
    <x v="0"/>
    <x v="130"/>
    <x v="4"/>
    <x v="3"/>
    <m/>
    <m/>
    <m/>
    <s v="PRD1-241"/>
    <s v="Fresh Sweet Pepper Yellow"/>
    <s v="Gram "/>
    <s v="Gram "/>
    <n v="75"/>
    <m/>
    <m/>
    <n v="45"/>
    <x v="0"/>
    <n v="1.6666666666666667"/>
    <n v="1.3196480938416421E-2"/>
    <n v="2.1994134897360702E-2"/>
  </r>
  <r>
    <x v="141"/>
    <s v="Gourmet360"/>
    <x v="0"/>
    <x v="131"/>
    <x v="5"/>
    <x v="3"/>
    <m/>
    <m/>
    <m/>
    <s v="DRS1-824"/>
    <s v="Can Oats(500 Gram)"/>
    <s v="Gram "/>
    <s v="Gram "/>
    <n v="200"/>
    <m/>
    <m/>
    <n v="15"/>
    <x v="0"/>
    <n v="13.333333333333334"/>
    <n v="1.2919999999999999E-2"/>
    <n v="0.17226666666666665"/>
  </r>
  <r>
    <x v="141"/>
    <s v="Gourmet360"/>
    <x v="0"/>
    <x v="131"/>
    <x v="5"/>
    <x v="3"/>
    <m/>
    <m/>
    <m/>
    <s v="DRY2-1388"/>
    <s v="Milk UHT Full Fat(1 Liter)"/>
    <s v="Ml"/>
    <s v="Ml"/>
    <n v="3000"/>
    <m/>
    <m/>
    <n v="15"/>
    <x v="0"/>
    <n v="200"/>
    <n v="4.2500000000000003E-3"/>
    <n v="0.85000000000000009"/>
  </r>
  <r>
    <x v="141"/>
    <s v="Gourmet360"/>
    <x v="0"/>
    <x v="131"/>
    <x v="5"/>
    <x v="3"/>
    <m/>
    <m/>
    <m/>
    <s v="DRS1-1823"/>
    <s v="Vanilla Essence (Concentrated)"/>
    <s v="Gram "/>
    <s v="Gram "/>
    <n v="2"/>
    <m/>
    <m/>
    <n v="15"/>
    <x v="0"/>
    <n v="0.13333333333333333"/>
    <n v="4.9000000000000002E-2"/>
    <n v="6.5333333333333337E-3"/>
  </r>
  <r>
    <x v="141"/>
    <s v="Gourmet360"/>
    <x v="0"/>
    <x v="131"/>
    <x v="5"/>
    <x v="3"/>
    <m/>
    <m/>
    <m/>
    <s v="DRS1-978"/>
    <s v="Sugar Fine(50 KG)"/>
    <s v="Gram "/>
    <s v="Gram "/>
    <n v="70"/>
    <m/>
    <m/>
    <n v="15"/>
    <x v="0"/>
    <n v="4.666666666666667"/>
    <n v="2.3999999999999998E-3"/>
    <n v="1.12E-2"/>
  </r>
  <r>
    <x v="141"/>
    <s v="Gourmet360"/>
    <x v="0"/>
    <x v="131"/>
    <x v="5"/>
    <x v="3"/>
    <m/>
    <m/>
    <m/>
    <s v="DRS5-21"/>
    <s v="Flour Corn"/>
    <s v="Gram "/>
    <s v="Gram "/>
    <n v="15"/>
    <m/>
    <m/>
    <n v="15"/>
    <x v="0"/>
    <n v="1"/>
    <n v="2.0799999999999998E-3"/>
    <n v="2.0799999999999998E-3"/>
  </r>
  <r>
    <x v="141"/>
    <s v="Gourmet360"/>
    <x v="0"/>
    <x v="131"/>
    <x v="5"/>
    <x v="3"/>
    <m/>
    <m/>
    <m/>
    <s v="PRD3-1661"/>
    <s v="Dry Mix Fruits(1 Kg)"/>
    <s v="Gram "/>
    <s v="Gram "/>
    <n v="100"/>
    <m/>
    <m/>
    <n v="15"/>
    <x v="0"/>
    <n v="6.666666666666667"/>
    <n v="3.9E-2"/>
    <n v="0.26"/>
  </r>
  <r>
    <x v="142"/>
    <s v="Gourmet360"/>
    <x v="0"/>
    <x v="132"/>
    <x v="15"/>
    <x v="4"/>
    <m/>
    <m/>
    <m/>
    <s v="DRS1-58"/>
    <s v="Mayonnaise Regular"/>
    <s v="Gram "/>
    <s v="Gram "/>
    <n v="24750"/>
    <m/>
    <m/>
    <n v="900"/>
    <x v="0"/>
    <n v="27.5"/>
    <n v="6.4814814814814813E-3"/>
    <n v="0.17824074074074073"/>
  </r>
  <r>
    <x v="142"/>
    <s v="Gourmet360"/>
    <x v="0"/>
    <x v="132"/>
    <x v="15"/>
    <x v="4"/>
    <m/>
    <m/>
    <m/>
    <s v="DRY1-342"/>
    <s v="Cheese Parmesan Padano1 KG (permegano)"/>
    <s v="Gram "/>
    <s v="Gram "/>
    <n v="2100"/>
    <m/>
    <m/>
    <n v="900"/>
    <x v="0"/>
    <n v="2.3333333333333335"/>
    <n v="5.2999999999999999E-2"/>
    <n v="0.12366666666666667"/>
  </r>
  <r>
    <x v="142"/>
    <s v="Gourmet360"/>
    <x v="0"/>
    <x v="132"/>
    <x v="15"/>
    <x v="4"/>
    <m/>
    <m/>
    <m/>
    <s v="PRD1-209"/>
    <s v="Fresh Lemon"/>
    <s v="Gram "/>
    <s v="Gram "/>
    <n v="5000"/>
    <m/>
    <m/>
    <n v="900"/>
    <x v="0"/>
    <n v="5.5555555555555554"/>
    <n v="1.0088272383354349E-2"/>
    <n v="5.6045957685301934E-2"/>
  </r>
  <r>
    <x v="142"/>
    <s v="Gourmet360"/>
    <x v="0"/>
    <x v="132"/>
    <x v="15"/>
    <x v="4"/>
    <m/>
    <m/>
    <m/>
    <s v="DRS1-5273"/>
    <s v="Sauce Worcester L&amp;P 3.78 Ltr"/>
    <s v="Ml"/>
    <s v="Ml"/>
    <n v="180"/>
    <m/>
    <m/>
    <n v="900"/>
    <x v="0"/>
    <n v="0.2"/>
    <n v="1.8518518518518517E-2"/>
    <n v="3.7037037037037038E-3"/>
  </r>
  <r>
    <x v="142"/>
    <s v="Gourmet360"/>
    <x v="0"/>
    <x v="132"/>
    <x v="15"/>
    <x v="4"/>
    <m/>
    <m/>
    <m/>
    <s v="DRS3-1615"/>
    <s v="Olive Oil (CAN)"/>
    <s v="Ml"/>
    <s v="Ml"/>
    <n v="2400"/>
    <m/>
    <m/>
    <n v="900"/>
    <x v="0"/>
    <n v="2.6666666666666665"/>
    <n v="1.2E-2"/>
    <n v="3.2000000000000001E-2"/>
  </r>
  <r>
    <x v="142"/>
    <s v="Gourmet360"/>
    <x v="0"/>
    <x v="132"/>
    <x v="15"/>
    <x v="4"/>
    <m/>
    <m/>
    <m/>
    <s v="PRD1-4327"/>
    <s v="Fresh Garlic Peeled"/>
    <s v="Gram "/>
    <s v="Gram "/>
    <n v="120"/>
    <m/>
    <m/>
    <n v="900"/>
    <x v="0"/>
    <n v="0.13333333333333333"/>
    <n v="1.2999999999999999E-2"/>
    <n v="1.7333333333333333E-3"/>
  </r>
  <r>
    <x v="142"/>
    <s v="Gourmet360"/>
    <x v="0"/>
    <x v="132"/>
    <x v="15"/>
    <x v="4"/>
    <m/>
    <m/>
    <m/>
    <s v="DRS6-537"/>
    <s v="Spices Pepper Black Powder(1 Kg)"/>
    <s v="Gram "/>
    <s v="Gram "/>
    <n v="60"/>
    <m/>
    <m/>
    <n v="900"/>
    <x v="0"/>
    <n v="6.6666666666666666E-2"/>
    <n v="3.5000000000000003E-2"/>
    <n v="2.3333333333333335E-3"/>
  </r>
  <r>
    <x v="142"/>
    <s v="Gourmet360"/>
    <x v="0"/>
    <x v="132"/>
    <x v="15"/>
    <x v="4"/>
    <m/>
    <m/>
    <m/>
    <s v="TAP-00001"/>
    <s v="Tap Water-Cooking"/>
    <s v="Ml"/>
    <s v="Ml"/>
    <n v="10"/>
    <m/>
    <m/>
    <n v="900"/>
    <x v="0"/>
    <n v="1.1111111111111112E-2"/>
    <n v="8.0000000000000007E-5"/>
    <n v="8.8888888888888898E-7"/>
  </r>
  <r>
    <x v="142"/>
    <s v="Gourmet360"/>
    <x v="0"/>
    <x v="132"/>
    <x v="15"/>
    <x v="4"/>
    <m/>
    <m/>
    <m/>
    <s v="DRS6-1570"/>
    <s v="Dried Oregano"/>
    <s v="Gram "/>
    <s v="Gram "/>
    <n v="80"/>
    <m/>
    <m/>
    <n v="900"/>
    <x v="0"/>
    <n v="8.8888888888888892E-2"/>
    <n v="9.3526666666666654E-3"/>
    <n v="8.3134814814814803E-4"/>
  </r>
  <r>
    <x v="143"/>
    <s v="Gourmet360"/>
    <x v="0"/>
    <x v="133"/>
    <x v="15"/>
    <x v="4"/>
    <m/>
    <m/>
    <m/>
    <s v="DRY1-1846"/>
    <s v="Feta Cheese"/>
    <s v="Gram "/>
    <s v="Gram "/>
    <n v="9000"/>
    <m/>
    <m/>
    <n v="500"/>
    <x v="0"/>
    <n v="18"/>
    <n v="8.5749999999999993E-3"/>
    <n v="0.15434999999999999"/>
  </r>
  <r>
    <x v="143"/>
    <s v="Gourmet360"/>
    <x v="0"/>
    <x v="133"/>
    <x v="15"/>
    <x v="4"/>
    <m/>
    <m/>
    <m/>
    <s v="DRS6-1570"/>
    <s v="Dried Oregano"/>
    <s v="Gram "/>
    <s v="Gram "/>
    <n v="60"/>
    <m/>
    <m/>
    <n v="500"/>
    <x v="0"/>
    <n v="0.12"/>
    <n v="9.3526666666666654E-3"/>
    <n v="1.1223199999999998E-3"/>
  </r>
  <r>
    <x v="143"/>
    <s v="Gourmet360"/>
    <x v="0"/>
    <x v="133"/>
    <x v="15"/>
    <x v="4"/>
    <m/>
    <m/>
    <m/>
    <s v="DRS6-5376"/>
    <s v="Dry Thyme 500gm"/>
    <s v="Gram "/>
    <s v="Gram "/>
    <n v="60"/>
    <m/>
    <m/>
    <n v="500"/>
    <x v="0"/>
    <n v="0.12"/>
    <n v="2.8000000000000001E-2"/>
    <n v="3.3600000000000001E-3"/>
  </r>
  <r>
    <x v="143"/>
    <s v="Gourmet360"/>
    <x v="0"/>
    <x v="133"/>
    <x v="15"/>
    <x v="4"/>
    <m/>
    <m/>
    <m/>
    <s v="DRY2-1858"/>
    <s v="Cooking Cream 1 Ltr"/>
    <s v="Ml"/>
    <s v="Ml"/>
    <n v="3000"/>
    <m/>
    <m/>
    <n v="500"/>
    <x v="0"/>
    <n v="6"/>
    <n v="9.8800000000000016E-3"/>
    <n v="5.9280000000000013E-2"/>
  </r>
  <r>
    <x v="143"/>
    <s v="Gourmet360"/>
    <x v="0"/>
    <x v="133"/>
    <x v="15"/>
    <x v="4"/>
    <m/>
    <m/>
    <m/>
    <s v="DRY2-3401"/>
    <s v="Labneh Full Fat(2750 Gram)"/>
    <s v="Gram "/>
    <s v="Gram "/>
    <n v="6000"/>
    <m/>
    <m/>
    <n v="500"/>
    <x v="0"/>
    <n v="12"/>
    <n v="1.2272727272727272E-2"/>
    <n v="0.14727272727272728"/>
  </r>
  <r>
    <x v="144"/>
    <s v="Gourmet360"/>
    <x v="0"/>
    <x v="134"/>
    <x v="15"/>
    <x v="4"/>
    <m/>
    <m/>
    <m/>
    <s v="PRD1-209"/>
    <s v="Fresh Lemon"/>
    <s v="Gram "/>
    <s v="Gram "/>
    <n v="1000"/>
    <m/>
    <m/>
    <n v="90"/>
    <x v="0"/>
    <n v="11.111111111111111"/>
    <n v="1.0088272383354349E-2"/>
    <n v="0.11209191537060387"/>
  </r>
  <r>
    <x v="144"/>
    <s v="Gourmet360"/>
    <x v="0"/>
    <x v="134"/>
    <x v="15"/>
    <x v="4"/>
    <m/>
    <m/>
    <m/>
    <s v="TAP-00001"/>
    <s v="Tap Water-Cooking"/>
    <s v="Ml"/>
    <s v="Ml"/>
    <n v="1500"/>
    <m/>
    <m/>
    <n v="90"/>
    <x v="0"/>
    <n v="16.666666666666668"/>
    <n v="8.0000000000000007E-5"/>
    <n v="1.3333333333333335E-3"/>
  </r>
  <r>
    <x v="144"/>
    <s v="Gourmet360"/>
    <x v="0"/>
    <x v="134"/>
    <x v="15"/>
    <x v="4"/>
    <m/>
    <m/>
    <m/>
    <s v="DRS1-3448"/>
    <s v="Lemon Salt (Kg)"/>
    <s v="Gram "/>
    <s v="Gram "/>
    <n v="40"/>
    <m/>
    <m/>
    <n v="90"/>
    <x v="0"/>
    <n v="0.44444444444444442"/>
    <n v="5.0000000000000001E-3"/>
    <n v="2.2222222222222222E-3"/>
  </r>
  <r>
    <x v="144"/>
    <s v="Gourmet360"/>
    <x v="0"/>
    <x v="134"/>
    <x v="15"/>
    <x v="4"/>
    <m/>
    <m/>
    <m/>
    <s v="DRS3-1615"/>
    <s v="Olive Oil (CAN)"/>
    <s v="Ml"/>
    <s v="Ml"/>
    <n v="250"/>
    <m/>
    <m/>
    <n v="90"/>
    <x v="0"/>
    <n v="2.7777777777777777"/>
    <n v="1.2E-2"/>
    <n v="3.3333333333333333E-2"/>
  </r>
  <r>
    <x v="144"/>
    <s v="Gourmet360"/>
    <x v="0"/>
    <x v="134"/>
    <x v="15"/>
    <x v="4"/>
    <m/>
    <m/>
    <m/>
    <s v="DRS3-1813"/>
    <s v="Corn Oil (18 Liter)"/>
    <s v="Ml"/>
    <s v="Ml"/>
    <n v="250"/>
    <m/>
    <m/>
    <n v="90"/>
    <x v="0"/>
    <n v="2.7777777777777777"/>
    <n v="8.0555555555555554E-3"/>
    <n v="2.2376543209876542E-2"/>
  </r>
  <r>
    <x v="144"/>
    <s v="Gourmet360"/>
    <x v="0"/>
    <x v="134"/>
    <x v="15"/>
    <x v="4"/>
    <m/>
    <m/>
    <m/>
    <s v="DRS1-3880"/>
    <s v="Salt "/>
    <s v="Gram "/>
    <s v="Gram "/>
    <n v="30"/>
    <m/>
    <m/>
    <n v="90"/>
    <x v="0"/>
    <n v="0.33333333333333331"/>
    <n v="5.0000000000000001E-4"/>
    <n v="1.6666666666666666E-4"/>
  </r>
  <r>
    <x v="144"/>
    <s v="Gourmet360"/>
    <x v="0"/>
    <x v="134"/>
    <x v="15"/>
    <x v="4"/>
    <m/>
    <m/>
    <m/>
    <s v="DRS6-309"/>
    <s v="Spice Pepper White Powder"/>
    <s v="Gram "/>
    <s v="Gram "/>
    <n v="5"/>
    <m/>
    <m/>
    <n v="90"/>
    <x v="0"/>
    <n v="5.5555555555555552E-2"/>
    <n v="2.8000000000000001E-2"/>
    <n v="1.5555555555555555E-3"/>
  </r>
  <r>
    <x v="144"/>
    <s v="Gourmet360"/>
    <x v="0"/>
    <x v="134"/>
    <x v="15"/>
    <x v="4"/>
    <m/>
    <m/>
    <m/>
    <s v="DRS1-978"/>
    <s v="Sugar Fine(50 KG)"/>
    <s v="Gram "/>
    <s v="Gram "/>
    <n v="40"/>
    <m/>
    <m/>
    <n v="90"/>
    <x v="0"/>
    <n v="0.44444444444444442"/>
    <n v="2.3999999999999998E-3"/>
    <n v="1.0666666666666665E-3"/>
  </r>
  <r>
    <x v="144"/>
    <s v="Gourmet360"/>
    <x v="0"/>
    <x v="134"/>
    <x v="15"/>
    <x v="4"/>
    <m/>
    <m/>
    <m/>
    <s v="DRS1-1549"/>
    <s v="Mustard Yellow Cream (JAR)"/>
    <s v="Gram "/>
    <s v="Gram "/>
    <n v="200"/>
    <m/>
    <m/>
    <n v="90"/>
    <x v="0"/>
    <n v="2.2222222222222223"/>
    <n v="7.5966850828729279E-3"/>
    <n v="1.6881522406384283E-2"/>
  </r>
  <r>
    <x v="145"/>
    <s v="Gourmet360"/>
    <x v="0"/>
    <x v="135"/>
    <x v="15"/>
    <x v="4"/>
    <m/>
    <m/>
    <m/>
    <s v="PRD1-209"/>
    <s v="Fresh Lemon"/>
    <s v="Gram "/>
    <s v="Gram "/>
    <n v="1000"/>
    <m/>
    <m/>
    <n v="110"/>
    <x v="0"/>
    <n v="9.0909090909090917"/>
    <n v="1.0088272383354349E-2"/>
    <n v="9.1711567121403173E-2"/>
  </r>
  <r>
    <x v="145"/>
    <s v="Gourmet360"/>
    <x v="0"/>
    <x v="135"/>
    <x v="15"/>
    <x v="4"/>
    <m/>
    <m/>
    <m/>
    <s v="TAP-00001"/>
    <s v="Tap Water-Cooking"/>
    <s v="Ml"/>
    <s v="Ml"/>
    <n v="1500"/>
    <m/>
    <m/>
    <n v="110"/>
    <x v="0"/>
    <n v="13.636363636363637"/>
    <n v="8.0000000000000007E-5"/>
    <n v="1.090909090909091E-3"/>
  </r>
  <r>
    <x v="145"/>
    <s v="Gourmet360"/>
    <x v="0"/>
    <x v="135"/>
    <x v="15"/>
    <x v="4"/>
    <m/>
    <m/>
    <m/>
    <s v="DRS1-3448"/>
    <s v="Lemon Salt (Kg)"/>
    <s v="Gram "/>
    <s v="Gram "/>
    <n v="40"/>
    <m/>
    <m/>
    <n v="110"/>
    <x v="0"/>
    <n v="0.36363636363636365"/>
    <n v="5.0000000000000001E-3"/>
    <n v="1.8181818181818182E-3"/>
  </r>
  <r>
    <x v="145"/>
    <s v="Gourmet360"/>
    <x v="0"/>
    <x v="135"/>
    <x v="15"/>
    <x v="4"/>
    <m/>
    <m/>
    <m/>
    <s v="DRS3-1615"/>
    <s v="Olive Oil (CAN)"/>
    <s v="Ml"/>
    <s v="Ml"/>
    <n v="250"/>
    <m/>
    <m/>
    <n v="110"/>
    <x v="0"/>
    <n v="2.2727272727272729"/>
    <n v="1.2E-2"/>
    <n v="2.7272727272727275E-2"/>
  </r>
  <r>
    <x v="145"/>
    <s v="Gourmet360"/>
    <x v="0"/>
    <x v="135"/>
    <x v="15"/>
    <x v="4"/>
    <m/>
    <m/>
    <m/>
    <s v="DRS3-1813"/>
    <s v="Corn Oil (18 Liter)"/>
    <s v="Ml"/>
    <s v="Ml"/>
    <n v="250"/>
    <m/>
    <m/>
    <n v="110"/>
    <x v="0"/>
    <n v="2.2727272727272729"/>
    <n v="8.0555555555555554E-3"/>
    <n v="1.8308080808080808E-2"/>
  </r>
  <r>
    <x v="145"/>
    <s v="Gourmet360"/>
    <x v="0"/>
    <x v="135"/>
    <x v="15"/>
    <x v="4"/>
    <m/>
    <m/>
    <m/>
    <s v="DRS1-3880"/>
    <s v="Salt "/>
    <s v="Gram "/>
    <s v="Gram "/>
    <n v="30"/>
    <m/>
    <m/>
    <n v="110"/>
    <x v="0"/>
    <n v="0.27272727272727271"/>
    <n v="5.0000000000000001E-4"/>
    <n v="1.3636363636363637E-4"/>
  </r>
  <r>
    <x v="145"/>
    <s v="Gourmet360"/>
    <x v="0"/>
    <x v="135"/>
    <x v="15"/>
    <x v="4"/>
    <m/>
    <m/>
    <m/>
    <s v="DRS6-309"/>
    <s v="Spice Pepper White Powder"/>
    <s v="Gram "/>
    <s v="Gram "/>
    <n v="5"/>
    <m/>
    <m/>
    <n v="110"/>
    <x v="0"/>
    <n v="4.5454545454545456E-2"/>
    <n v="2.8000000000000001E-2"/>
    <n v="1.2727272727272728E-3"/>
  </r>
  <r>
    <x v="145"/>
    <s v="Gourmet360"/>
    <x v="0"/>
    <x v="135"/>
    <x v="15"/>
    <x v="4"/>
    <m/>
    <m/>
    <m/>
    <s v="DRS1-978"/>
    <s v="Sugar Fine(50 KG)"/>
    <s v="Gram "/>
    <s v="Gram "/>
    <n v="40"/>
    <m/>
    <m/>
    <n v="110"/>
    <x v="0"/>
    <n v="0.36363636363636365"/>
    <n v="2.3999999999999998E-3"/>
    <n v="8.7272727272727263E-4"/>
  </r>
  <r>
    <x v="145"/>
    <s v="Gourmet360"/>
    <x v="0"/>
    <x v="135"/>
    <x v="15"/>
    <x v="4"/>
    <m/>
    <m/>
    <m/>
    <s v="DRS1-1549"/>
    <s v="Mustard Yellow Cream (JAR)"/>
    <s v="Gram "/>
    <s v="Gram "/>
    <n v="200"/>
    <m/>
    <m/>
    <n v="110"/>
    <x v="0"/>
    <n v="1.8181818181818181"/>
    <n v="7.5966850828729279E-3"/>
    <n v="1.3812154696132596E-2"/>
  </r>
  <r>
    <x v="145"/>
    <s v="Gourmet360"/>
    <x v="0"/>
    <x v="135"/>
    <x v="15"/>
    <x v="4"/>
    <m/>
    <m/>
    <m/>
    <s v="DRS1-1551"/>
    <s v="Syrup Molasses(700 ML)"/>
    <s v="Ml"/>
    <s v="Ml"/>
    <n v="700"/>
    <m/>
    <m/>
    <n v="110"/>
    <x v="0"/>
    <n v="6.3636363636363633"/>
    <n v="1.7142857142857144E-2"/>
    <n v="0.10909090909090909"/>
  </r>
  <r>
    <x v="146"/>
    <s v="Gourmet360"/>
    <x v="0"/>
    <x v="136"/>
    <x v="15"/>
    <x v="4"/>
    <m/>
    <m/>
    <m/>
    <s v="PRD1-209"/>
    <s v="Fresh Lemon"/>
    <s v="Gram "/>
    <s v="Gram "/>
    <n v="1000"/>
    <m/>
    <m/>
    <n v="90"/>
    <x v="0"/>
    <n v="11.111111111111111"/>
    <n v="1.0088272383354349E-2"/>
    <n v="0.11209191537060387"/>
  </r>
  <r>
    <x v="146"/>
    <s v="Gourmet360"/>
    <x v="0"/>
    <x v="136"/>
    <x v="15"/>
    <x v="4"/>
    <m/>
    <m/>
    <m/>
    <s v="TAP-00001"/>
    <s v="Tap Water-Cooking"/>
    <s v="Ml"/>
    <s v="Ml"/>
    <n v="1500"/>
    <m/>
    <m/>
    <n v="90"/>
    <x v="0"/>
    <n v="16.666666666666668"/>
    <n v="8.0000000000000007E-5"/>
    <n v="1.3333333333333335E-3"/>
  </r>
  <r>
    <x v="146"/>
    <s v="Gourmet360"/>
    <x v="0"/>
    <x v="136"/>
    <x v="15"/>
    <x v="4"/>
    <m/>
    <m/>
    <m/>
    <s v="DRS1-3448"/>
    <s v="Lemon Salt (Kg)"/>
    <s v="Gram "/>
    <s v="Gram "/>
    <n v="40"/>
    <m/>
    <m/>
    <n v="90"/>
    <x v="0"/>
    <n v="0.44444444444444442"/>
    <n v="5.0000000000000001E-3"/>
    <n v="2.2222222222222222E-3"/>
  </r>
  <r>
    <x v="146"/>
    <s v="Gourmet360"/>
    <x v="0"/>
    <x v="136"/>
    <x v="15"/>
    <x v="4"/>
    <m/>
    <m/>
    <m/>
    <s v="DRS3-1615"/>
    <s v="Olive Oil (CAN)"/>
    <s v="Ml"/>
    <s v="Ml"/>
    <n v="350"/>
    <m/>
    <m/>
    <n v="90"/>
    <x v="0"/>
    <n v="3.8888888888888888"/>
    <n v="1.2E-2"/>
    <n v="4.6666666666666669E-2"/>
  </r>
  <r>
    <x v="146"/>
    <s v="Gourmet360"/>
    <x v="0"/>
    <x v="136"/>
    <x v="15"/>
    <x v="4"/>
    <m/>
    <m/>
    <m/>
    <s v="DRS3-1813"/>
    <s v="Corn Oil (18 Liter)"/>
    <s v="Ml"/>
    <s v="Ml"/>
    <n v="300"/>
    <m/>
    <m/>
    <n v="90"/>
    <x v="0"/>
    <n v="3.3333333333333335"/>
    <n v="8.0555555555555554E-3"/>
    <n v="2.6851851851851852E-2"/>
  </r>
  <r>
    <x v="146"/>
    <s v="Gourmet360"/>
    <x v="0"/>
    <x v="136"/>
    <x v="15"/>
    <x v="4"/>
    <m/>
    <m/>
    <m/>
    <s v="DRS1-3880"/>
    <s v="Salt "/>
    <s v="Gram "/>
    <s v="Gram "/>
    <n v="30"/>
    <m/>
    <m/>
    <n v="90"/>
    <x v="0"/>
    <n v="0.33333333333333331"/>
    <n v="5.0000000000000001E-4"/>
    <n v="1.6666666666666666E-4"/>
  </r>
  <r>
    <x v="146"/>
    <s v="Gourmet360"/>
    <x v="0"/>
    <x v="136"/>
    <x v="15"/>
    <x v="4"/>
    <m/>
    <m/>
    <m/>
    <s v="DRS6-309"/>
    <s v="Spice Pepper White Powder"/>
    <s v="Gram "/>
    <s v="Gram "/>
    <n v="5"/>
    <m/>
    <m/>
    <n v="90"/>
    <x v="0"/>
    <n v="5.5555555555555552E-2"/>
    <n v="2.8000000000000001E-2"/>
    <n v="1.5555555555555555E-3"/>
  </r>
  <r>
    <x v="146"/>
    <s v="Gourmet360"/>
    <x v="0"/>
    <x v="136"/>
    <x v="15"/>
    <x v="4"/>
    <m/>
    <m/>
    <m/>
    <s v="DRS1-978"/>
    <s v="Sugar Fine(50 KG)"/>
    <s v="Gram "/>
    <s v="Gram "/>
    <n v="40"/>
    <m/>
    <m/>
    <n v="90"/>
    <x v="0"/>
    <n v="0.44444444444444442"/>
    <n v="2.3999999999999998E-3"/>
    <n v="1.0666666666666665E-3"/>
  </r>
  <r>
    <x v="147"/>
    <s v="Gourmet360"/>
    <x v="0"/>
    <x v="137"/>
    <x v="15"/>
    <x v="4"/>
    <m/>
    <m/>
    <m/>
    <s v="DRS1-58"/>
    <s v="Mayonnaise Regular"/>
    <s v="Gram "/>
    <s v="Gram "/>
    <n v="3250"/>
    <m/>
    <m/>
    <n v="90"/>
    <x v="0"/>
    <n v="36.111111111111114"/>
    <n v="6.4814814814814813E-3"/>
    <n v="0.23405349794238683"/>
  </r>
  <r>
    <x v="147"/>
    <s v="Gourmet360"/>
    <x v="0"/>
    <x v="137"/>
    <x v="15"/>
    <x v="4"/>
    <m/>
    <m/>
    <m/>
    <s v="DRS1-446"/>
    <s v="Sauce Barbecue"/>
    <s v="Gram "/>
    <s v="Gram "/>
    <n v="200"/>
    <m/>
    <m/>
    <n v="90"/>
    <x v="0"/>
    <n v="2.2222222222222223"/>
    <n v="1.2986807387862797E-2"/>
    <n v="2.885957197302844E-2"/>
  </r>
  <r>
    <x v="147"/>
    <s v="Gourmet360"/>
    <x v="0"/>
    <x v="137"/>
    <x v="15"/>
    <x v="4"/>
    <m/>
    <m/>
    <m/>
    <s v="DRS3-1813"/>
    <s v="Corn Oil (18 Liter)"/>
    <s v="Ml"/>
    <s v="Ml"/>
    <n v="500"/>
    <m/>
    <m/>
    <n v="90"/>
    <x v="0"/>
    <n v="5.5555555555555554"/>
    <n v="8.0555555555555554E-3"/>
    <n v="4.4753086419753084E-2"/>
  </r>
  <r>
    <x v="147"/>
    <s v="Gourmet360"/>
    <x v="0"/>
    <x v="137"/>
    <x v="15"/>
    <x v="4"/>
    <m/>
    <m/>
    <m/>
    <s v="PRD1-209"/>
    <s v="Fresh Lemon"/>
    <s v="Gram "/>
    <s v="Gram "/>
    <n v="100"/>
    <m/>
    <m/>
    <n v="90"/>
    <x v="0"/>
    <n v="1.1111111111111112"/>
    <n v="1.0088272383354349E-2"/>
    <n v="1.1209191537060388E-2"/>
  </r>
  <r>
    <x v="147"/>
    <s v="Gourmet360"/>
    <x v="0"/>
    <x v="137"/>
    <x v="15"/>
    <x v="4"/>
    <m/>
    <m/>
    <m/>
    <s v="DRS1-1039"/>
    <s v="Ketchup Gallon (5 Kg)"/>
    <s v="Gram "/>
    <s v="Gram "/>
    <n v="750"/>
    <m/>
    <m/>
    <n v="90"/>
    <x v="0"/>
    <n v="8.3333333333333339"/>
    <n v="3.5000000000000001E-3"/>
    <n v="2.9166666666666671E-2"/>
  </r>
  <r>
    <x v="147"/>
    <s v="Gourmet360"/>
    <x v="0"/>
    <x v="137"/>
    <x v="15"/>
    <x v="4"/>
    <m/>
    <m/>
    <m/>
    <s v="DRS1-167"/>
    <s v="Cucumber Pickles (3.2 Kg)"/>
    <s v="Gram "/>
    <s v="Gram "/>
    <n v="250"/>
    <m/>
    <m/>
    <n v="90"/>
    <x v="0"/>
    <n v="2.7777777777777777"/>
    <n v="1.29E-2"/>
    <n v="3.5833333333333335E-2"/>
  </r>
  <r>
    <x v="147"/>
    <s v="Gourmet360"/>
    <x v="0"/>
    <x v="137"/>
    <x v="15"/>
    <x v="4"/>
    <m/>
    <m/>
    <m/>
    <s v="DRS1-4227"/>
    <s v="Apple Vinegar"/>
    <s v="Ml"/>
    <s v="Ml"/>
    <n v="100"/>
    <m/>
    <m/>
    <n v="90"/>
    <x v="0"/>
    <n v="1.1111111111111112"/>
    <n v="5.8139534883720929E-3"/>
    <n v="6.4599483204134372E-3"/>
  </r>
  <r>
    <x v="148"/>
    <s v="Gourmet360"/>
    <x v="0"/>
    <x v="138"/>
    <x v="8"/>
    <x v="5"/>
    <m/>
    <m/>
    <m/>
    <s v="PRD1-213"/>
    <s v="Fresh Lettuce Iceberg (Local)"/>
    <s v="Gram "/>
    <s v="Gram "/>
    <n v="60"/>
    <m/>
    <m/>
    <n v="1"/>
    <x v="0"/>
    <n v="60"/>
    <n v="1.2999999999999999E-2"/>
    <n v="0.77999999999999992"/>
  </r>
  <r>
    <x v="148"/>
    <s v="Gourmet360"/>
    <x v="0"/>
    <x v="138"/>
    <x v="8"/>
    <x v="5"/>
    <m/>
    <m/>
    <m/>
    <s v="PRD1-186"/>
    <s v="Fresh Carrot Imported"/>
    <s v="Gram "/>
    <s v="Gram "/>
    <n v="30"/>
    <m/>
    <m/>
    <n v="1"/>
    <x v="0"/>
    <n v="30"/>
    <n v="5.8139534883720938E-3"/>
    <n v="0.17441860465116282"/>
  </r>
  <r>
    <x v="148"/>
    <s v="Gourmet360"/>
    <x v="0"/>
    <x v="138"/>
    <x v="8"/>
    <x v="5"/>
    <m/>
    <m/>
    <m/>
    <s v="PRD1-196"/>
    <s v="Fresh Cucumber"/>
    <s v="Gram "/>
    <s v="Gram "/>
    <n v="30"/>
    <m/>
    <m/>
    <n v="1"/>
    <x v="0"/>
    <n v="30"/>
    <n v="4.1469194312796203E-3"/>
    <n v="0.12440758293838861"/>
  </r>
  <r>
    <x v="148"/>
    <s v="Gourmet360"/>
    <x v="0"/>
    <x v="138"/>
    <x v="8"/>
    <x v="5"/>
    <m/>
    <m/>
    <m/>
    <s v="SUB-00003"/>
    <s v="Lemon Mustard Oil"/>
    <s v="Each"/>
    <s v="Each"/>
    <n v="1"/>
    <m/>
    <m/>
    <n v="1"/>
    <x v="0"/>
    <n v="1"/>
    <n v="0.22"/>
    <n v="0.22"/>
  </r>
  <r>
    <x v="149"/>
    <s v="Gourmet360"/>
    <x v="0"/>
    <x v="139"/>
    <x v="8"/>
    <x v="5"/>
    <m/>
    <m/>
    <m/>
    <s v="DRY2-1160"/>
    <s v="Yogurt Plain big 10 KG"/>
    <s v="Gram "/>
    <s v="Gram "/>
    <n v="50000"/>
    <m/>
    <m/>
    <n v="285"/>
    <x v="0"/>
    <n v="175.43859649122808"/>
    <n v="4.4000000000000003E-3"/>
    <n v="0.77192982456140358"/>
  </r>
  <r>
    <x v="149"/>
    <s v="Gourmet360"/>
    <x v="0"/>
    <x v="139"/>
    <x v="8"/>
    <x v="5"/>
    <m/>
    <m/>
    <m/>
    <s v="PRD1-196"/>
    <s v="Fresh Cucumber"/>
    <s v="Gram "/>
    <s v="Gram "/>
    <n v="8000"/>
    <m/>
    <m/>
    <n v="285"/>
    <x v="0"/>
    <n v="28.07017543859649"/>
    <n v="4.1469194312796203E-3"/>
    <n v="0.11640475596574372"/>
  </r>
  <r>
    <x v="150"/>
    <s v="Gourmet360"/>
    <x v="0"/>
    <x v="140"/>
    <x v="0"/>
    <x v="5"/>
    <m/>
    <m/>
    <m/>
    <s v="PRD1-709"/>
    <s v="Fresh Beetroot "/>
    <s v="Gram "/>
    <s v="Gram "/>
    <n v="41000"/>
    <m/>
    <m/>
    <n v="360"/>
    <x v="0"/>
    <n v="113.88888888888889"/>
    <n v="4.7789725209080054E-3"/>
    <n v="0.54427187043674508"/>
  </r>
  <r>
    <x v="150"/>
    <s v="Gourmet360"/>
    <x v="0"/>
    <x v="140"/>
    <x v="0"/>
    <x v="5"/>
    <m/>
    <m/>
    <m/>
    <s v="DRS4-3332"/>
    <s v="Quinoa White Seeds (1 KG)"/>
    <s v="Gram "/>
    <s v="Gram "/>
    <n v="10500"/>
    <m/>
    <m/>
    <n v="360"/>
    <x v="0"/>
    <n v="29.166666666666668"/>
    <n v="3.5000000000000003E-2"/>
    <n v="1.0208333333333335"/>
  </r>
  <r>
    <x v="150"/>
    <s v="Gourmet360"/>
    <x v="0"/>
    <x v="140"/>
    <x v="0"/>
    <x v="5"/>
    <m/>
    <m/>
    <m/>
    <s v="PRD1-227"/>
    <s v="Fresh Parsley"/>
    <s v="Gram "/>
    <s v="Gram "/>
    <n v="1200"/>
    <m/>
    <m/>
    <n v="360"/>
    <x v="0"/>
    <n v="3.3333333333333335"/>
    <n v="1.5850144092219021E-2"/>
    <n v="5.2833813640730073E-2"/>
  </r>
  <r>
    <x v="150"/>
    <s v="Gourmet360"/>
    <x v="0"/>
    <x v="140"/>
    <x v="0"/>
    <x v="5"/>
    <m/>
    <m/>
    <m/>
    <s v="DRS3-1615"/>
    <s v="Olive Oil (CAN)"/>
    <s v="Ml"/>
    <s v="Ml"/>
    <n v="2000"/>
    <m/>
    <m/>
    <n v="360"/>
    <x v="0"/>
    <n v="5.5555555555555554"/>
    <n v="1.2E-2"/>
    <n v="6.6666666666666666E-2"/>
  </r>
  <r>
    <x v="150"/>
    <s v="Gourmet360"/>
    <x v="0"/>
    <x v="140"/>
    <x v="0"/>
    <x v="5"/>
    <m/>
    <m/>
    <m/>
    <s v="PRD3-4230"/>
    <s v="Dry Cranberry(Kg)"/>
    <s v="Gram "/>
    <s v="Gram "/>
    <n v="1500"/>
    <m/>
    <m/>
    <n v="360"/>
    <x v="0"/>
    <n v="4.166666666666667"/>
    <n v="3.7999999999999999E-2"/>
    <n v="0.15833333333333335"/>
  </r>
  <r>
    <x v="150"/>
    <s v="Gourmet360"/>
    <x v="0"/>
    <x v="140"/>
    <x v="0"/>
    <x v="5"/>
    <m/>
    <m/>
    <m/>
    <s v="PRD1-209"/>
    <s v="Fresh Lemon"/>
    <s v="Gram "/>
    <s v="Gram "/>
    <n v="5000"/>
    <m/>
    <m/>
    <n v="360"/>
    <x v="0"/>
    <n v="13.888888888888889"/>
    <n v="1.0088272383354349E-2"/>
    <n v="0.14011489421325485"/>
  </r>
  <r>
    <x v="151"/>
    <s v="Gourmet360"/>
    <x v="0"/>
    <x v="141"/>
    <x v="1"/>
    <x v="5"/>
    <m/>
    <m/>
    <m/>
    <s v="PRD1-213"/>
    <s v="Fresh Lettuce Iceberg (Local)"/>
    <s v="Gram "/>
    <s v="Gram "/>
    <n v="70"/>
    <m/>
    <m/>
    <n v="1"/>
    <x v="0"/>
    <n v="70"/>
    <n v="1.2999999999999999E-2"/>
    <n v="0.90999999999999992"/>
  </r>
  <r>
    <x v="151"/>
    <s v="Gourmet360"/>
    <x v="0"/>
    <x v="141"/>
    <x v="1"/>
    <x v="5"/>
    <m/>
    <m/>
    <m/>
    <s v="PRD1-240"/>
    <s v="Fresh Sweet Pepper Red "/>
    <s v="Gram "/>
    <s v="Gram "/>
    <n v="20"/>
    <m/>
    <m/>
    <n v="1"/>
    <x v="0"/>
    <n v="20"/>
    <n v="1.3293943870014769E-2"/>
    <n v="0.26587887740029537"/>
  </r>
  <r>
    <x v="151"/>
    <s v="Gourmet360"/>
    <x v="0"/>
    <x v="141"/>
    <x v="1"/>
    <x v="5"/>
    <m/>
    <m/>
    <m/>
    <s v="PRD1-196"/>
    <s v="Fresh Cucumber"/>
    <s v="Gram "/>
    <s v="Gram "/>
    <n v="20"/>
    <m/>
    <m/>
    <n v="1"/>
    <x v="0"/>
    <n v="20"/>
    <n v="4.1469194312796203E-3"/>
    <n v="8.2938388625592413E-2"/>
  </r>
  <r>
    <x v="151"/>
    <s v="Gourmet360"/>
    <x v="0"/>
    <x v="141"/>
    <x v="1"/>
    <x v="5"/>
    <m/>
    <m/>
    <m/>
    <s v="PRD1-234"/>
    <s v="Fresh Radish"/>
    <s v="Gram "/>
    <s v="Gram "/>
    <n v="15"/>
    <m/>
    <m/>
    <n v="1"/>
    <x v="0"/>
    <n v="15"/>
    <n v="5.021520803443329E-3"/>
    <n v="7.5322812051649937E-2"/>
  </r>
  <r>
    <x v="151"/>
    <s v="Gourmet360"/>
    <x v="0"/>
    <x v="141"/>
    <x v="1"/>
    <x v="5"/>
    <m/>
    <m/>
    <m/>
    <s v="PRD1-573"/>
    <s v="Fresh Spring Onion Green"/>
    <s v="Gram "/>
    <s v="Gram "/>
    <n v="3"/>
    <m/>
    <m/>
    <n v="1"/>
    <x v="0"/>
    <n v="3"/>
    <n v="5.4794520547945206E-3"/>
    <n v="1.6438356164383564E-2"/>
  </r>
  <r>
    <x v="151"/>
    <s v="Gourmet360"/>
    <x v="0"/>
    <x v="141"/>
    <x v="1"/>
    <x v="5"/>
    <m/>
    <m/>
    <m/>
    <s v="PRD1-572"/>
    <s v="Fresh Tomato "/>
    <s v="Gram "/>
    <s v="Gram "/>
    <n v="20"/>
    <m/>
    <m/>
    <n v="1"/>
    <x v="0"/>
    <n v="20"/>
    <n v="4.5351473922902496E-3"/>
    <n v="9.0702947845804988E-2"/>
  </r>
  <r>
    <x v="151"/>
    <s v="Gourmet360"/>
    <x v="0"/>
    <x v="141"/>
    <x v="1"/>
    <x v="5"/>
    <m/>
    <m/>
    <m/>
    <s v="SUB-00004"/>
    <s v="Molasses Dressing "/>
    <s v="Each"/>
    <s v="Each"/>
    <n v="1"/>
    <m/>
    <m/>
    <n v="1"/>
    <x v="0"/>
    <n v="1"/>
    <n v="0.3"/>
    <n v="0.3"/>
  </r>
  <r>
    <x v="152"/>
    <s v="Gourmet360"/>
    <x v="0"/>
    <x v="142"/>
    <x v="2"/>
    <x v="5"/>
    <m/>
    <m/>
    <m/>
    <s v="PRD1-709"/>
    <s v="Fresh Beetroot "/>
    <s v="Gram "/>
    <s v="Gram "/>
    <n v="40000"/>
    <m/>
    <m/>
    <n v="284"/>
    <x v="0"/>
    <n v="140.8450704225352"/>
    <n v="4.7789725209080054E-3"/>
    <n v="0.67309472125464864"/>
  </r>
  <r>
    <x v="152"/>
    <s v="Gourmet360"/>
    <x v="0"/>
    <x v="142"/>
    <x v="2"/>
    <x v="5"/>
    <m/>
    <m/>
    <m/>
    <s v="PRD1-186"/>
    <s v="Fresh Carrot Imported"/>
    <s v="Gram "/>
    <s v="Gram "/>
    <n v="11500"/>
    <m/>
    <m/>
    <n v="284"/>
    <x v="0"/>
    <n v="40.492957746478872"/>
    <n v="5.8139534883720938E-3"/>
    <n v="0.23542417294464463"/>
  </r>
  <r>
    <x v="152"/>
    <s v="Gourmet360"/>
    <x v="0"/>
    <x v="142"/>
    <x v="2"/>
    <x v="5"/>
    <m/>
    <m/>
    <m/>
    <s v="DRS3-1615"/>
    <s v="Olive Oil (CAN)"/>
    <s v="Ml"/>
    <s v="Ml"/>
    <n v="1500"/>
    <m/>
    <m/>
    <n v="284"/>
    <x v="0"/>
    <n v="5.28169014084507"/>
    <n v="1.2E-2"/>
    <n v="6.3380281690140844E-2"/>
  </r>
  <r>
    <x v="152"/>
    <s v="Gourmet360"/>
    <x v="0"/>
    <x v="142"/>
    <x v="2"/>
    <x v="5"/>
    <m/>
    <m/>
    <m/>
    <s v="PRD1-227"/>
    <s v="Fresh Parsley"/>
    <s v="Gram "/>
    <s v="Gram "/>
    <n v="1500"/>
    <m/>
    <m/>
    <n v="284"/>
    <x v="0"/>
    <n v="5.28169014084507"/>
    <n v="1.5850144092219021E-2"/>
    <n v="8.371554978284694E-2"/>
  </r>
  <r>
    <x v="152"/>
    <s v="Gourmet360"/>
    <x v="0"/>
    <x v="142"/>
    <x v="2"/>
    <x v="5"/>
    <m/>
    <m/>
    <m/>
    <s v="SUB-00003"/>
    <s v="Lemon Mustard Oil"/>
    <s v="Each"/>
    <s v="Each"/>
    <n v="1"/>
    <m/>
    <m/>
    <n v="284"/>
    <x v="0"/>
    <n v="3.5211267605633804E-3"/>
    <n v="0.22"/>
    <n v="7.7464788732394365E-4"/>
  </r>
  <r>
    <x v="153"/>
    <s v="Gourmet360"/>
    <x v="0"/>
    <x v="143"/>
    <x v="3"/>
    <x v="5"/>
    <m/>
    <m/>
    <m/>
    <s v="PRD1-709"/>
    <s v="Fresh Beetroot "/>
    <s v="Gram "/>
    <s v="Gram "/>
    <n v="41000"/>
    <m/>
    <m/>
    <n v="360"/>
    <x v="0"/>
    <n v="113.88888888888889"/>
    <n v="4.7789725209080054E-3"/>
    <n v="0.54427187043674508"/>
  </r>
  <r>
    <x v="153"/>
    <s v="Gourmet360"/>
    <x v="0"/>
    <x v="143"/>
    <x v="3"/>
    <x v="5"/>
    <m/>
    <m/>
    <m/>
    <s v="DRS4-3332"/>
    <s v="Quinoa White Seeds (1 KG)"/>
    <s v="Gram "/>
    <s v="Gram "/>
    <n v="10500"/>
    <m/>
    <m/>
    <n v="360"/>
    <x v="0"/>
    <n v="29.166666666666668"/>
    <n v="3.5000000000000003E-2"/>
    <n v="1.0208333333333335"/>
  </r>
  <r>
    <x v="153"/>
    <s v="Gourmet360"/>
    <x v="0"/>
    <x v="143"/>
    <x v="3"/>
    <x v="5"/>
    <m/>
    <m/>
    <m/>
    <s v="PRD1-227"/>
    <s v="Fresh Parsley"/>
    <s v="Gram "/>
    <s v="Gram "/>
    <n v="1200"/>
    <m/>
    <m/>
    <n v="360"/>
    <x v="0"/>
    <n v="3.3333333333333335"/>
    <n v="1.5850144092219021E-2"/>
    <n v="5.2833813640730073E-2"/>
  </r>
  <r>
    <x v="153"/>
    <s v="Gourmet360"/>
    <x v="0"/>
    <x v="143"/>
    <x v="3"/>
    <x v="5"/>
    <m/>
    <m/>
    <m/>
    <s v="DRS3-1615"/>
    <s v="Olive Oil (CAN)"/>
    <s v="Ml"/>
    <s v="Ml"/>
    <n v="2000"/>
    <m/>
    <m/>
    <n v="360"/>
    <x v="0"/>
    <n v="5.5555555555555554"/>
    <n v="1.2E-2"/>
    <n v="6.6666666666666666E-2"/>
  </r>
  <r>
    <x v="153"/>
    <s v="Gourmet360"/>
    <x v="0"/>
    <x v="143"/>
    <x v="3"/>
    <x v="5"/>
    <m/>
    <m/>
    <m/>
    <s v="PRD3-4230"/>
    <s v="Dry Cranberry(Kg)"/>
    <s v="Gram "/>
    <s v="Gram "/>
    <n v="1500"/>
    <m/>
    <m/>
    <n v="360"/>
    <x v="0"/>
    <n v="4.166666666666667"/>
    <n v="3.7999999999999999E-2"/>
    <n v="0.15833333333333335"/>
  </r>
  <r>
    <x v="153"/>
    <s v="Gourmet360"/>
    <x v="0"/>
    <x v="143"/>
    <x v="3"/>
    <x v="5"/>
    <m/>
    <m/>
    <m/>
    <s v="PRD1-209"/>
    <s v="Fresh Lemon"/>
    <s v="Gram "/>
    <s v="Gram "/>
    <n v="5000"/>
    <m/>
    <m/>
    <n v="360"/>
    <x v="0"/>
    <n v="13.888888888888889"/>
    <n v="1.0088272383354349E-2"/>
    <n v="0.14011489421325485"/>
  </r>
  <r>
    <x v="154"/>
    <s v="Gourmet360"/>
    <x v="0"/>
    <x v="144"/>
    <x v="4"/>
    <x v="5"/>
    <m/>
    <m/>
    <m/>
    <s v="DRS1-1463"/>
    <s v="Can sweet corn (2950gram)"/>
    <s v="Gram "/>
    <s v="Gram "/>
    <n v="30"/>
    <m/>
    <m/>
    <n v="1"/>
    <x v="0"/>
    <n v="30"/>
    <n v="0.01"/>
    <n v="0.3"/>
  </r>
  <r>
    <x v="154"/>
    <s v="Gourmet360"/>
    <x v="0"/>
    <x v="144"/>
    <x v="4"/>
    <x v="5"/>
    <m/>
    <m/>
    <m/>
    <s v="PRD1-213"/>
    <s v="Fresh Lettuce Iceberg (Local)"/>
    <s v="Gram "/>
    <s v="Gram "/>
    <n v="60"/>
    <m/>
    <m/>
    <n v="1"/>
    <x v="0"/>
    <n v="60"/>
    <n v="1.2999999999999999E-2"/>
    <n v="0.77999999999999992"/>
  </r>
  <r>
    <x v="154"/>
    <s v="Gourmet360"/>
    <x v="0"/>
    <x v="144"/>
    <x v="4"/>
    <x v="5"/>
    <m/>
    <m/>
    <m/>
    <s v="DRS1-1359"/>
    <s v="Can Beans Red Kidney (425 Gram)"/>
    <s v="Gram "/>
    <s v="Gram "/>
    <n v="30"/>
    <m/>
    <m/>
    <n v="1"/>
    <x v="0"/>
    <n v="30"/>
    <n v="1.3899999999999999E-2"/>
    <n v="0.41699999999999998"/>
  </r>
  <r>
    <x v="154"/>
    <s v="Gourmet360"/>
    <x v="0"/>
    <x v="144"/>
    <x v="4"/>
    <x v="5"/>
    <m/>
    <m/>
    <m/>
    <s v="PRD1-240"/>
    <s v="Fresh Sweet Pepper Red "/>
    <s v="Gram "/>
    <s v="Gram "/>
    <n v="35"/>
    <m/>
    <m/>
    <n v="1"/>
    <x v="0"/>
    <n v="35"/>
    <n v="1.3293943870014769E-2"/>
    <n v="0.46528803545051695"/>
  </r>
  <r>
    <x v="154"/>
    <s v="Gourmet360"/>
    <x v="0"/>
    <x v="144"/>
    <x v="4"/>
    <x v="5"/>
    <m/>
    <m/>
    <m/>
    <s v="PRD1-572"/>
    <s v="Fresh Tomato "/>
    <s v="Gram "/>
    <s v="Gram "/>
    <n v="35"/>
    <m/>
    <m/>
    <n v="1"/>
    <x v="0"/>
    <n v="35"/>
    <n v="4.5351473922902496E-3"/>
    <n v="0.15873015873015872"/>
  </r>
  <r>
    <x v="154"/>
    <s v="Gourmet360"/>
    <x v="0"/>
    <x v="144"/>
    <x v="4"/>
    <x v="5"/>
    <m/>
    <m/>
    <m/>
    <s v="SUB-0005"/>
    <s v="Thousand Island Dressing "/>
    <s v="Each"/>
    <s v="Each"/>
    <n v="1"/>
    <m/>
    <m/>
    <n v="1"/>
    <x v="0"/>
    <n v="1"/>
    <n v="0.43"/>
    <n v="0.43"/>
  </r>
  <r>
    <x v="155"/>
    <s v="Gourmet360"/>
    <x v="0"/>
    <x v="145"/>
    <x v="5"/>
    <x v="5"/>
    <m/>
    <m/>
    <m/>
    <s v="DRY1-342"/>
    <s v="Cheese Parmesan Padano1 KG (permegano)"/>
    <s v="Gram "/>
    <s v="Gram "/>
    <n v="20"/>
    <m/>
    <m/>
    <n v="1"/>
    <x v="0"/>
    <n v="20"/>
    <n v="5.2999999999999999E-2"/>
    <n v="1.06"/>
  </r>
  <r>
    <x v="155"/>
    <s v="Gourmet360"/>
    <x v="0"/>
    <x v="145"/>
    <x v="5"/>
    <x v="5"/>
    <m/>
    <m/>
    <m/>
    <s v="PRD1-213"/>
    <s v="Fresh Lettuce Iceberg (Local)"/>
    <s v="Gram "/>
    <s v="Gram "/>
    <n v="70"/>
    <m/>
    <m/>
    <n v="1"/>
    <x v="0"/>
    <n v="70"/>
    <n v="1.2999999999999999E-2"/>
    <n v="0.90999999999999992"/>
  </r>
  <r>
    <x v="155"/>
    <s v="Gourmet360"/>
    <x v="0"/>
    <x v="145"/>
    <x v="5"/>
    <x v="5"/>
    <m/>
    <m/>
    <m/>
    <s v="SUB-00001"/>
    <s v="Caesar Dressing "/>
    <s v="Each"/>
    <s v="Each"/>
    <n v="1"/>
    <m/>
    <m/>
    <n v="1"/>
    <x v="0"/>
    <n v="1"/>
    <n v="0.43841156975012852"/>
    <n v="0.43841156975012852"/>
  </r>
  <r>
    <x v="156"/>
    <s v="Gourmet360"/>
    <x v="0"/>
    <x v="146"/>
    <x v="6"/>
    <x v="5"/>
    <m/>
    <m/>
    <m/>
    <s v="PRD1-213"/>
    <s v="Fresh Lettuce Iceberg (Local)"/>
    <s v="Gram "/>
    <s v="Gram "/>
    <n v="60"/>
    <m/>
    <m/>
    <n v="1"/>
    <x v="0"/>
    <n v="60"/>
    <n v="1.2999999999999999E-2"/>
    <n v="0.77999999999999992"/>
  </r>
  <r>
    <x v="156"/>
    <s v="Gourmet360"/>
    <x v="0"/>
    <x v="146"/>
    <x v="6"/>
    <x v="5"/>
    <m/>
    <m/>
    <m/>
    <s v="DRY1-1846"/>
    <s v="Feta Cheese"/>
    <s v="Gram "/>
    <s v="Gram "/>
    <n v="20"/>
    <m/>
    <m/>
    <n v="1"/>
    <x v="0"/>
    <n v="20"/>
    <n v="8.5749999999999993E-3"/>
    <n v="0.17149999999999999"/>
  </r>
  <r>
    <x v="156"/>
    <s v="Gourmet360"/>
    <x v="0"/>
    <x v="146"/>
    <x v="6"/>
    <x v="5"/>
    <m/>
    <m/>
    <m/>
    <s v="PRD1-196"/>
    <s v="Fresh Cucumber"/>
    <s v="Gram "/>
    <s v="Gram "/>
    <n v="20"/>
    <m/>
    <m/>
    <n v="1"/>
    <x v="0"/>
    <n v="20"/>
    <n v="4.1469194312796203E-3"/>
    <n v="8.2938388625592413E-2"/>
  </r>
  <r>
    <x v="156"/>
    <s v="Gourmet360"/>
    <x v="0"/>
    <x v="146"/>
    <x v="6"/>
    <x v="5"/>
    <m/>
    <m/>
    <m/>
    <s v="PRD1-572"/>
    <s v="Fresh Tomato "/>
    <s v="Gram "/>
    <s v="Gram "/>
    <n v="20"/>
    <m/>
    <m/>
    <n v="1"/>
    <x v="0"/>
    <n v="20"/>
    <n v="4.5351473922902496E-3"/>
    <n v="9.0702947845804988E-2"/>
  </r>
  <r>
    <x v="156"/>
    <s v="Gourmet360"/>
    <x v="0"/>
    <x v="146"/>
    <x v="6"/>
    <x v="5"/>
    <m/>
    <m/>
    <m/>
    <s v="DRS1-1768"/>
    <s v="Can Olives Black Sliced"/>
    <s v="Gram "/>
    <s v="Gram "/>
    <n v="15"/>
    <m/>
    <m/>
    <n v="1"/>
    <x v="0"/>
    <n v="15"/>
    <n v="1.29E-2"/>
    <n v="0.19350000000000001"/>
  </r>
  <r>
    <x v="156"/>
    <s v="Gourmet360"/>
    <x v="0"/>
    <x v="146"/>
    <x v="6"/>
    <x v="5"/>
    <m/>
    <m/>
    <m/>
    <s v="PRD1-240"/>
    <s v="Fresh Sweet Pepper Red "/>
    <s v="Gram "/>
    <s v="Gram "/>
    <n v="20"/>
    <m/>
    <m/>
    <n v="1"/>
    <x v="0"/>
    <n v="20"/>
    <n v="1.3293943870014769E-2"/>
    <n v="0.26587887740029537"/>
  </r>
  <r>
    <x v="156"/>
    <s v="Gourmet360"/>
    <x v="0"/>
    <x v="146"/>
    <x v="6"/>
    <x v="5"/>
    <m/>
    <m/>
    <m/>
    <s v="SUB-00003"/>
    <s v="Lemon Mustard Oil"/>
    <s v="Each"/>
    <s v="Each"/>
    <n v="1"/>
    <m/>
    <m/>
    <n v="1"/>
    <x v="0"/>
    <n v="1"/>
    <n v="0.22"/>
    <n v="0.22"/>
  </r>
  <r>
    <x v="157"/>
    <m/>
    <x v="1"/>
    <x v="147"/>
    <x v="15"/>
    <x v="6"/>
    <m/>
    <m/>
    <m/>
    <m/>
    <m/>
    <m/>
    <m/>
    <m/>
    <m/>
    <m/>
    <m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8623AF-3D85-4B6C-88BA-8FBECF29500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H162" firstHeaderRow="0" firstDataRow="1" firstDataCol="5"/>
  <pivotFields count="21">
    <pivotField axis="axisRow" compact="0" outline="0" showAll="0" defaultSubtotal="0">
      <items count="158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</items>
    </pivotField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148">
        <item x="91"/>
        <item x="128"/>
        <item x="17"/>
        <item x="63"/>
        <item x="36"/>
        <item x="20"/>
        <item x="105"/>
        <item x="86"/>
        <item x="44"/>
        <item x="2"/>
        <item x="57"/>
        <item x="51"/>
        <item x="10"/>
        <item x="99"/>
        <item x="142"/>
        <item x="140"/>
        <item x="143"/>
        <item x="68"/>
        <item x="113"/>
        <item x="115"/>
        <item x="116"/>
        <item x="52"/>
        <item x="79"/>
        <item x="65"/>
        <item x="50"/>
        <item x="16"/>
        <item x="40"/>
        <item x="7"/>
        <item x="53"/>
        <item x="145"/>
        <item x="61"/>
        <item x="38"/>
        <item x="66"/>
        <item x="127"/>
        <item x="11"/>
        <item x="106"/>
        <item x="6"/>
        <item x="89"/>
        <item x="54"/>
        <item x="93"/>
        <item x="64"/>
        <item x="21"/>
        <item x="43"/>
        <item x="33"/>
        <item x="42"/>
        <item x="18"/>
        <item x="28"/>
        <item x="29"/>
        <item x="83"/>
        <item x="84"/>
        <item x="104"/>
        <item x="62"/>
        <item x="94"/>
        <item x="109"/>
        <item x="88"/>
        <item x="85"/>
        <item x="98"/>
        <item x="110"/>
        <item x="129"/>
        <item x="139"/>
        <item x="74"/>
        <item x="122"/>
        <item x="26"/>
        <item x="72"/>
        <item x="78"/>
        <item x="80"/>
        <item x="141"/>
        <item x="8"/>
        <item x="19"/>
        <item x="35"/>
        <item x="125"/>
        <item x="111"/>
        <item x="75"/>
        <item x="39"/>
        <item x="48"/>
        <item x="146"/>
        <item x="45"/>
        <item x="126"/>
        <item x="9"/>
        <item x="32"/>
        <item x="133"/>
        <item x="73"/>
        <item x="47"/>
        <item x="1"/>
        <item x="15"/>
        <item x="41"/>
        <item x="13"/>
        <item x="112"/>
        <item x="81"/>
        <item x="134"/>
        <item x="92"/>
        <item x="100"/>
        <item x="69"/>
        <item x="12"/>
        <item x="3"/>
        <item x="70"/>
        <item x="59"/>
        <item x="30"/>
        <item x="22"/>
        <item x="37"/>
        <item x="144"/>
        <item x="49"/>
        <item x="34"/>
        <item x="58"/>
        <item x="135"/>
        <item x="71"/>
        <item x="77"/>
        <item x="55"/>
        <item x="114"/>
        <item x="131"/>
        <item x="124"/>
        <item x="130"/>
        <item x="67"/>
        <item x="103"/>
        <item x="95"/>
        <item x="5"/>
        <item x="123"/>
        <item x="132"/>
        <item x="120"/>
        <item x="119"/>
        <item x="118"/>
        <item x="121"/>
        <item x="117"/>
        <item x="56"/>
        <item x="138"/>
        <item x="23"/>
        <item x="25"/>
        <item x="97"/>
        <item x="108"/>
        <item x="102"/>
        <item x="101"/>
        <item x="90"/>
        <item x="87"/>
        <item x="136"/>
        <item x="46"/>
        <item x="0"/>
        <item x="137"/>
        <item x="96"/>
        <item x="31"/>
        <item x="107"/>
        <item x="82"/>
        <item x="27"/>
        <item x="14"/>
        <item x="4"/>
        <item x="24"/>
        <item x="76"/>
        <item x="60"/>
        <item x="147"/>
      </items>
    </pivotField>
    <pivotField axis="axisRow" compact="0" outline="0" showAll="0" defaultSubtotal="0">
      <items count="16">
        <item x="0"/>
        <item x="1"/>
        <item x="2"/>
        <item x="3"/>
        <item x="4"/>
        <item x="5"/>
        <item x="6"/>
        <item x="11"/>
        <item x="8"/>
        <item x="7"/>
        <item x="9"/>
        <item x="13"/>
        <item x="12"/>
        <item x="10"/>
        <item x="14"/>
        <item x="15"/>
      </items>
    </pivotField>
    <pivotField axis="axisRow" compact="0" outline="0" showAll="0" defaultSubtotal="0">
      <items count="7">
        <item x="3"/>
        <item x="1"/>
        <item x="0"/>
        <item x="5"/>
        <item x="4"/>
        <item x="2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>
      <items count="3">
        <item x="1"/>
        <item x="2"/>
        <item x="0"/>
      </items>
    </pivotField>
    <pivotField compact="0" outline="0" showAll="0" defaultSubtotal="0"/>
    <pivotField compact="0" outline="0" showAll="0" defaultSubtotal="0"/>
    <pivotField dataField="1" compact="0" outline="0" showAll="0" defaultSubtotal="0"/>
  </pivotFields>
  <rowFields count="5">
    <field x="0"/>
    <field x="2"/>
    <field x="3"/>
    <field x="4"/>
    <field x="5"/>
  </rowFields>
  <rowItems count="159">
    <i>
      <x/>
      <x/>
      <x v="135"/>
      <x/>
      <x v="2"/>
    </i>
    <i>
      <x v="1"/>
      <x/>
      <x v="78"/>
      <x v="1"/>
      <x v="2"/>
    </i>
    <i>
      <x v="2"/>
      <x/>
      <x v="12"/>
      <x v="1"/>
      <x v="2"/>
    </i>
    <i>
      <x v="3"/>
      <x/>
      <x v="34"/>
      <x v="1"/>
      <x v="2"/>
    </i>
    <i>
      <x v="4"/>
      <x/>
      <x v="93"/>
      <x v="1"/>
      <x v="2"/>
    </i>
    <i>
      <x v="5"/>
      <x/>
      <x v="86"/>
      <x v="1"/>
      <x v="2"/>
    </i>
    <i>
      <x v="6"/>
      <x/>
      <x v="142"/>
      <x v="1"/>
      <x v="2"/>
    </i>
    <i>
      <x v="7"/>
      <x/>
      <x v="84"/>
      <x v="1"/>
      <x v="2"/>
    </i>
    <i>
      <x v="8"/>
      <x/>
      <x v="25"/>
      <x v="1"/>
      <x v="2"/>
    </i>
    <i>
      <x v="9"/>
      <x/>
      <x v="2"/>
      <x v="2"/>
      <x v="2"/>
    </i>
    <i>
      <x v="10"/>
      <x/>
      <x v="45"/>
      <x v="2"/>
      <x v="2"/>
    </i>
    <i>
      <x v="11"/>
      <x/>
      <x v="83"/>
      <x/>
      <x v="2"/>
    </i>
    <i>
      <x v="12"/>
      <x/>
      <x v="68"/>
      <x v="2"/>
      <x v="2"/>
    </i>
    <i>
      <x v="13"/>
      <x/>
      <x v="5"/>
      <x v="2"/>
      <x v="2"/>
    </i>
    <i>
      <x v="14"/>
      <x/>
      <x v="41"/>
      <x v="2"/>
      <x v="2"/>
    </i>
    <i>
      <x v="15"/>
      <x/>
      <x v="98"/>
      <x v="2"/>
      <x v="2"/>
    </i>
    <i>
      <x v="16"/>
      <x/>
      <x v="125"/>
      <x v="2"/>
      <x v="2"/>
    </i>
    <i>
      <x v="17"/>
      <x/>
      <x v="144"/>
      <x v="2"/>
      <x v="2"/>
    </i>
    <i>
      <x v="18"/>
      <x/>
      <x v="126"/>
      <x v="2"/>
      <x v="2"/>
    </i>
    <i>
      <x v="19"/>
      <x/>
      <x v="62"/>
      <x v="3"/>
      <x v="2"/>
    </i>
    <i>
      <x v="20"/>
      <x/>
      <x v="141"/>
      <x v="3"/>
      <x v="2"/>
    </i>
    <i>
      <x v="21"/>
      <x/>
      <x v="46"/>
      <x v="3"/>
      <x v="2"/>
    </i>
    <i>
      <x v="22"/>
      <x/>
      <x v="9"/>
      <x/>
      <x v="2"/>
    </i>
    <i>
      <x v="23"/>
      <x/>
      <x v="47"/>
      <x v="3"/>
      <x v="2"/>
    </i>
    <i>
      <x v="24"/>
      <x/>
      <x v="97"/>
      <x v="3"/>
      <x v="2"/>
    </i>
    <i>
      <x v="25"/>
      <x/>
      <x v="138"/>
      <x v="3"/>
      <x v="2"/>
    </i>
    <i>
      <x v="26"/>
      <x/>
      <x v="79"/>
      <x v="3"/>
      <x v="2"/>
    </i>
    <i>
      <x v="27"/>
      <x/>
      <x v="43"/>
      <x v="3"/>
      <x v="2"/>
    </i>
    <i>
      <x v="28"/>
      <x/>
      <x v="102"/>
      <x v="3"/>
      <x v="2"/>
    </i>
    <i>
      <x v="29"/>
      <x/>
      <x v="69"/>
      <x v="4"/>
      <x v="2"/>
    </i>
    <i>
      <x v="30"/>
      <x/>
      <x v="4"/>
      <x v="4"/>
      <x v="2"/>
    </i>
    <i>
      <x v="31"/>
      <x/>
      <x v="99"/>
      <x v="4"/>
      <x v="2"/>
    </i>
    <i>
      <x v="32"/>
      <x/>
      <x v="31"/>
      <x v="4"/>
      <x v="2"/>
    </i>
    <i>
      <x v="33"/>
      <x/>
      <x v="94"/>
      <x/>
      <x v="2"/>
    </i>
    <i>
      <x v="34"/>
      <x/>
      <x v="73"/>
      <x v="4"/>
      <x v="2"/>
    </i>
    <i>
      <x v="35"/>
      <x/>
      <x v="26"/>
      <x v="4"/>
      <x v="2"/>
    </i>
    <i>
      <x v="36"/>
      <x/>
      <x v="85"/>
      <x v="4"/>
      <x v="2"/>
    </i>
    <i>
      <x v="37"/>
      <x/>
      <x v="44"/>
      <x v="4"/>
      <x v="2"/>
    </i>
    <i>
      <x v="38"/>
      <x/>
      <x v="42"/>
      <x v="4"/>
      <x v="2"/>
    </i>
    <i>
      <x v="39"/>
      <x/>
      <x v="8"/>
      <x v="5"/>
      <x v="2"/>
    </i>
    <i>
      <x v="40"/>
      <x/>
      <x v="76"/>
      <x v="5"/>
      <x v="2"/>
    </i>
    <i>
      <x v="41"/>
      <x/>
      <x v="134"/>
      <x v="5"/>
      <x v="2"/>
    </i>
    <i>
      <x v="42"/>
      <x/>
      <x v="82"/>
      <x v="5"/>
      <x v="2"/>
    </i>
    <i>
      <x v="43"/>
      <x/>
      <x v="74"/>
      <x v="5"/>
      <x v="2"/>
    </i>
    <i>
      <x v="44"/>
      <x/>
      <x v="143"/>
      <x/>
      <x v="2"/>
    </i>
    <i>
      <x v="45"/>
      <x/>
      <x v="27"/>
      <x v="5"/>
      <x v="2"/>
    </i>
    <i>
      <x v="46"/>
      <x/>
      <x v="101"/>
      <x v="6"/>
      <x v="2"/>
    </i>
    <i>
      <x v="47"/>
      <x/>
      <x v="24"/>
      <x v="6"/>
      <x v="2"/>
    </i>
    <i>
      <x v="48"/>
      <x/>
      <x v="11"/>
      <x v="6"/>
      <x v="2"/>
    </i>
    <i>
      <x v="49"/>
      <x/>
      <x v="21"/>
      <x v="6"/>
      <x v="2"/>
    </i>
    <i>
      <x v="50"/>
      <x/>
      <x v="28"/>
      <x v="6"/>
      <x v="2"/>
    </i>
    <i>
      <x v="51"/>
      <x/>
      <x v="38"/>
      <x v="6"/>
      <x v="2"/>
    </i>
    <i>
      <x v="52"/>
      <x/>
      <x v="107"/>
      <x v="6"/>
      <x v="2"/>
    </i>
    <i>
      <x v="53"/>
      <x/>
      <x v="123"/>
      <x v="6"/>
      <x v="2"/>
    </i>
    <i>
      <x v="54"/>
      <x/>
      <x v="10"/>
      <x v="6"/>
      <x v="2"/>
    </i>
    <i>
      <x v="55"/>
      <x/>
      <x v="115"/>
      <x/>
      <x v="2"/>
    </i>
    <i>
      <x v="56"/>
      <x/>
      <x v="103"/>
      <x v="6"/>
      <x v="2"/>
    </i>
    <i>
      <x v="57"/>
      <x/>
      <x v="96"/>
      <x v="6"/>
      <x v="2"/>
    </i>
    <i>
      <x v="58"/>
      <x/>
      <x v="146"/>
      <x v="9"/>
      <x v="2"/>
    </i>
    <i>
      <x v="59"/>
      <x/>
      <x v="30"/>
      <x v="9"/>
      <x v="2"/>
    </i>
    <i>
      <x v="60"/>
      <x/>
      <x v="51"/>
      <x v="9"/>
      <x v="2"/>
    </i>
    <i>
      <x v="61"/>
      <x/>
      <x v="3"/>
      <x v="9"/>
      <x v="2"/>
    </i>
    <i>
      <x v="62"/>
      <x/>
      <x v="40"/>
      <x v="9"/>
      <x v="2"/>
    </i>
    <i>
      <x v="63"/>
      <x/>
      <x v="23"/>
      <x v="9"/>
      <x v="2"/>
    </i>
    <i>
      <x v="64"/>
      <x/>
      <x v="32"/>
      <x v="9"/>
      <x v="2"/>
    </i>
    <i>
      <x v="65"/>
      <x/>
      <x v="112"/>
      <x v="9"/>
      <x v="2"/>
    </i>
    <i>
      <x v="66"/>
      <x/>
      <x v="36"/>
      <x/>
      <x v="2"/>
    </i>
    <i>
      <x v="67"/>
      <x/>
      <x v="17"/>
      <x v="9"/>
      <x v="2"/>
    </i>
    <i>
      <x v="68"/>
      <x/>
      <x v="92"/>
      <x v="9"/>
      <x v="2"/>
    </i>
    <i>
      <x v="69"/>
      <x/>
      <x v="95"/>
      <x v="9"/>
      <x v="2"/>
    </i>
    <i>
      <x v="70"/>
      <x/>
      <x v="105"/>
      <x v="8"/>
      <x v="1"/>
    </i>
    <i>
      <x v="71"/>
      <x/>
      <x v="63"/>
      <x v="8"/>
      <x v="1"/>
    </i>
    <i>
      <x v="72"/>
      <x/>
      <x v="81"/>
      <x v="8"/>
      <x v="1"/>
    </i>
    <i>
      <x v="73"/>
      <x/>
      <x v="60"/>
      <x v="8"/>
      <x v="1"/>
    </i>
    <i>
      <x v="74"/>
      <x/>
      <x v="72"/>
      <x v="8"/>
      <x v="1"/>
    </i>
    <i>
      <x v="75"/>
      <x/>
      <x v="145"/>
      <x v="8"/>
      <x v="1"/>
    </i>
    <i>
      <x v="76"/>
      <x/>
      <x v="106"/>
      <x/>
      <x v="1"/>
    </i>
    <i>
      <x v="77"/>
      <x/>
      <x v="27"/>
      <x/>
      <x v="2"/>
    </i>
    <i>
      <x v="78"/>
      <x/>
      <x v="64"/>
      <x v="10"/>
      <x v="1"/>
    </i>
    <i>
      <x v="79"/>
      <x/>
      <x v="22"/>
      <x v="2"/>
      <x v="1"/>
    </i>
    <i>
      <x v="80"/>
      <x/>
      <x v="65"/>
      <x v="13"/>
      <x v="1"/>
    </i>
    <i>
      <x v="81"/>
      <x/>
      <x v="88"/>
      <x v="4"/>
      <x v="1"/>
    </i>
    <i>
      <x v="82"/>
      <x/>
      <x v="140"/>
      <x v="8"/>
      <x v="1"/>
    </i>
    <i>
      <x v="83"/>
      <x/>
      <x v="48"/>
      <x v="8"/>
      <x v="1"/>
    </i>
    <i>
      <x v="84"/>
      <x/>
      <x v="49"/>
      <x v="8"/>
      <x v="5"/>
    </i>
    <i>
      <x v="85"/>
      <x/>
      <x v="55"/>
      <x/>
      <x v="5"/>
    </i>
    <i>
      <x v="86"/>
      <x/>
      <x v="7"/>
      <x/>
      <x v="5"/>
    </i>
    <i>
      <x v="87"/>
      <x/>
      <x v="132"/>
      <x v="7"/>
      <x v="5"/>
    </i>
    <i>
      <x v="88"/>
      <x/>
      <x v="67"/>
      <x v="1"/>
      <x v="2"/>
    </i>
    <i>
      <x v="89"/>
      <x/>
      <x v="54"/>
      <x/>
      <x v="5"/>
    </i>
    <i>
      <x v="90"/>
      <x/>
      <x v="37"/>
      <x v="12"/>
      <x v="5"/>
    </i>
    <i>
      <x v="91"/>
      <x/>
      <x v="131"/>
      <x v="11"/>
      <x v="5"/>
    </i>
    <i>
      <x v="92"/>
      <x/>
      <x/>
      <x v="1"/>
      <x v="5"/>
    </i>
    <i>
      <x v="93"/>
      <x/>
      <x v="90"/>
      <x v="1"/>
      <x v="5"/>
    </i>
    <i>
      <x v="94"/>
      <x/>
      <x v="39"/>
      <x v="1"/>
      <x v="5"/>
    </i>
    <i>
      <x v="95"/>
      <x/>
      <x v="52"/>
      <x v="1"/>
      <x v="5"/>
    </i>
    <i>
      <x v="96"/>
      <x/>
      <x v="114"/>
      <x v="2"/>
      <x v="5"/>
    </i>
    <i>
      <x v="97"/>
      <x/>
      <x v="137"/>
      <x v="2"/>
      <x v="5"/>
    </i>
    <i>
      <x v="98"/>
      <x/>
      <x v="127"/>
      <x v="2"/>
      <x v="5"/>
    </i>
    <i>
      <x v="99"/>
      <x/>
      <x v="56"/>
      <x v="2"/>
      <x v="5"/>
    </i>
    <i>
      <x v="100"/>
      <x/>
      <x v="13"/>
      <x v="2"/>
      <x v="5"/>
    </i>
    <i>
      <x v="101"/>
      <x/>
      <x v="91"/>
      <x v="3"/>
      <x v="5"/>
    </i>
    <i>
      <x v="102"/>
      <x/>
      <x v="55"/>
      <x v="3"/>
      <x v="5"/>
    </i>
    <i>
      <x v="103"/>
      <x/>
      <x v="130"/>
      <x v="3"/>
      <x v="5"/>
    </i>
    <i>
      <x v="104"/>
      <x/>
      <x v="39"/>
      <x v="3"/>
      <x v="5"/>
    </i>
    <i>
      <x v="105"/>
      <x/>
      <x v="54"/>
      <x v="14"/>
      <x v="5"/>
    </i>
    <i>
      <x v="106"/>
      <x/>
      <x v="129"/>
      <x v="14"/>
      <x v="5"/>
    </i>
    <i>
      <x v="107"/>
      <x/>
      <x v="56"/>
      <x v="4"/>
      <x v="5"/>
    </i>
    <i>
      <x v="108"/>
      <x/>
      <x v="113"/>
      <x v="4"/>
      <x v="5"/>
    </i>
    <i>
      <x v="109"/>
      <x/>
      <x v="37"/>
      <x v="4"/>
      <x v="5"/>
    </i>
    <i>
      <x v="110"/>
      <x/>
      <x v="91"/>
      <x v="5"/>
      <x v="5"/>
    </i>
    <i>
      <x v="111"/>
      <x/>
      <x v="50"/>
      <x v="5"/>
      <x v="5"/>
    </i>
    <i>
      <x v="112"/>
      <x/>
      <x v="7"/>
      <x v="5"/>
      <x v="5"/>
    </i>
    <i>
      <x v="113"/>
      <x/>
      <x v="52"/>
      <x v="5"/>
      <x v="5"/>
    </i>
    <i>
      <x v="114"/>
      <x/>
      <x v="6"/>
      <x v="5"/>
      <x v="5"/>
    </i>
    <i>
      <x v="115"/>
      <x/>
      <x v="35"/>
      <x v="6"/>
      <x v="5"/>
    </i>
    <i>
      <x v="116"/>
      <x/>
      <x v="56"/>
      <x v="6"/>
      <x v="5"/>
    </i>
    <i>
      <x v="117"/>
      <x/>
      <x v="139"/>
      <x v="6"/>
      <x v="5"/>
    </i>
    <i>
      <x v="118"/>
      <x/>
      <x v="128"/>
      <x v="6"/>
      <x v="5"/>
    </i>
    <i>
      <x v="119"/>
      <x/>
      <x v="53"/>
      <x v="6"/>
      <x v="5"/>
    </i>
    <i>
      <x v="120"/>
      <x/>
      <x v="57"/>
      <x v="6"/>
      <x/>
    </i>
    <i>
      <x v="121"/>
      <x/>
      <x v="71"/>
      <x v="6"/>
      <x/>
    </i>
    <i>
      <x v="122"/>
      <x/>
      <x v="87"/>
      <x v="6"/>
      <x/>
    </i>
    <i>
      <x v="123"/>
      <x/>
      <x v="18"/>
      <x v="6"/>
      <x/>
    </i>
    <i>
      <x v="124"/>
      <x/>
      <x v="108"/>
      <x v="6"/>
      <x/>
    </i>
    <i>
      <x v="125"/>
      <x/>
      <x v="19"/>
      <x v="6"/>
      <x/>
    </i>
    <i>
      <x v="126"/>
      <x/>
      <x v="20"/>
      <x v="6"/>
      <x/>
    </i>
    <i>
      <x v="127"/>
      <x/>
      <x v="122"/>
      <x v="6"/>
      <x/>
    </i>
    <i>
      <x v="128"/>
      <x/>
      <x v="120"/>
      <x v="6"/>
      <x/>
    </i>
    <i>
      <x v="129"/>
      <x/>
      <x v="119"/>
      <x v="6"/>
      <x/>
    </i>
    <i>
      <x v="130"/>
      <x/>
      <x v="118"/>
      <x v="6"/>
      <x/>
    </i>
    <i>
      <x v="131"/>
      <x/>
      <x v="121"/>
      <x v="6"/>
      <x/>
    </i>
    <i>
      <x v="132"/>
      <x/>
      <x v="61"/>
      <x/>
      <x/>
    </i>
    <i>
      <x v="133"/>
      <x/>
      <x v="116"/>
      <x/>
      <x/>
    </i>
    <i>
      <x v="134"/>
      <x/>
      <x v="110"/>
      <x/>
      <x/>
    </i>
    <i>
      <x v="135"/>
      <x/>
      <x v="70"/>
      <x v="1"/>
      <x/>
    </i>
    <i>
      <x v="136"/>
      <x/>
      <x v="77"/>
      <x v="1"/>
      <x/>
    </i>
    <i>
      <x v="137"/>
      <x/>
      <x v="33"/>
      <x v="2"/>
      <x/>
    </i>
    <i>
      <x v="138"/>
      <x/>
      <x v="1"/>
      <x v="3"/>
      <x/>
    </i>
    <i>
      <x v="139"/>
      <x/>
      <x v="58"/>
      <x v="3"/>
      <x/>
    </i>
    <i>
      <x v="140"/>
      <x/>
      <x v="111"/>
      <x v="4"/>
      <x/>
    </i>
    <i>
      <x v="141"/>
      <x/>
      <x v="109"/>
      <x v="5"/>
      <x/>
    </i>
    <i>
      <x v="142"/>
      <x/>
      <x v="117"/>
      <x v="15"/>
      <x v="4"/>
    </i>
    <i>
      <x v="143"/>
      <x/>
      <x v="80"/>
      <x v="15"/>
      <x v="4"/>
    </i>
    <i>
      <x v="144"/>
      <x/>
      <x v="89"/>
      <x v="15"/>
      <x v="4"/>
    </i>
    <i>
      <x v="145"/>
      <x/>
      <x v="104"/>
      <x v="15"/>
      <x v="4"/>
    </i>
    <i>
      <x v="146"/>
      <x/>
      <x v="133"/>
      <x v="15"/>
      <x v="4"/>
    </i>
    <i>
      <x v="147"/>
      <x/>
      <x v="136"/>
      <x v="15"/>
      <x v="4"/>
    </i>
    <i>
      <x v="148"/>
      <x/>
      <x v="124"/>
      <x v="8"/>
      <x v="3"/>
    </i>
    <i>
      <x v="149"/>
      <x/>
      <x v="59"/>
      <x v="8"/>
      <x v="3"/>
    </i>
    <i>
      <x v="150"/>
      <x/>
      <x v="15"/>
      <x/>
      <x v="3"/>
    </i>
    <i>
      <x v="151"/>
      <x/>
      <x v="66"/>
      <x v="1"/>
      <x v="3"/>
    </i>
    <i>
      <x v="152"/>
      <x/>
      <x v="14"/>
      <x v="2"/>
      <x v="3"/>
    </i>
    <i>
      <x v="153"/>
      <x/>
      <x v="16"/>
      <x v="3"/>
      <x v="3"/>
    </i>
    <i>
      <x v="154"/>
      <x/>
      <x v="100"/>
      <x v="4"/>
      <x v="3"/>
    </i>
    <i>
      <x v="155"/>
      <x/>
      <x v="29"/>
      <x v="5"/>
      <x v="3"/>
    </i>
    <i>
      <x v="156"/>
      <x/>
      <x v="75"/>
      <x v="6"/>
      <x v="3"/>
    </i>
    <i>
      <x v="157"/>
      <x v="1"/>
      <x v="147"/>
      <x v="15"/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ty req per Batch (g/pcs)" fld="13" baseField="0" baseItem="0"/>
    <dataField name="Max of No. of portions per batch" fld="16" subtotal="max" baseField="0" baseItem="0"/>
    <dataField name="Sum of Food Cost per portion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077B5-1C1A-4073-8E2C-A0230B175B20}">
  <sheetPr>
    <pageSetUpPr fitToPage="1"/>
  </sheetPr>
  <dimension ref="A1:F346"/>
  <sheetViews>
    <sheetView view="pageBreakPreview" zoomScale="60" zoomScaleNormal="78" workbookViewId="0">
      <selection activeCell="C17" sqref="C17"/>
    </sheetView>
  </sheetViews>
  <sheetFormatPr defaultRowHeight="20.399999999999999" x14ac:dyDescent="0.75"/>
  <cols>
    <col min="1" max="1" width="19" style="262" customWidth="1"/>
    <col min="2" max="2" width="29.3671875" style="257" customWidth="1"/>
    <col min="3" max="3" width="107" style="262" customWidth="1"/>
    <col min="4" max="4" width="34.734375" style="257" customWidth="1"/>
    <col min="5" max="5" width="24.1015625" style="257" customWidth="1"/>
    <col min="6" max="6" width="64.7890625" style="257" hidden="1" customWidth="1"/>
    <col min="7" max="1002" width="8.68359375" style="257" customWidth="1"/>
    <col min="1003" max="16384" width="8.83984375" style="257"/>
  </cols>
  <sheetData>
    <row r="1" spans="1:6" ht="33.299999999999997" x14ac:dyDescent="1.2">
      <c r="A1" s="266" t="s">
        <v>2070</v>
      </c>
    </row>
    <row r="2" spans="1:6" ht="20.399999999999999" customHeight="1" x14ac:dyDescent="0.75">
      <c r="A2" s="274" t="s">
        <v>2007</v>
      </c>
      <c r="C2" s="259"/>
    </row>
    <row r="3" spans="1:6" ht="20.399999999999999" customHeight="1" x14ac:dyDescent="0.75">
      <c r="A3" s="258"/>
      <c r="C3" s="259"/>
    </row>
    <row r="4" spans="1:6" s="270" customFormat="1" ht="23.1" x14ac:dyDescent="0.85">
      <c r="A4" s="267" t="s">
        <v>1440</v>
      </c>
      <c r="B4" s="268" t="s">
        <v>2054</v>
      </c>
      <c r="C4" s="269" t="s">
        <v>0</v>
      </c>
      <c r="D4" s="268" t="s">
        <v>2</v>
      </c>
      <c r="E4" s="268" t="s">
        <v>2082</v>
      </c>
      <c r="F4" s="269" t="s">
        <v>1834</v>
      </c>
    </row>
    <row r="5" spans="1:6" x14ac:dyDescent="0.75">
      <c r="A5" s="164" t="s">
        <v>1536</v>
      </c>
      <c r="B5" s="260" t="str">
        <f>'Master – Recipes'!A161</f>
        <v>RCP-SMC-000158</v>
      </c>
      <c r="C5" s="164" t="s">
        <v>1839</v>
      </c>
      <c r="D5" s="164" t="s">
        <v>1837</v>
      </c>
      <c r="E5" s="164" t="s">
        <v>1835</v>
      </c>
      <c r="F5" s="260" t="s">
        <v>1838</v>
      </c>
    </row>
    <row r="6" spans="1:6" x14ac:dyDescent="0.75">
      <c r="A6" s="164" t="s">
        <v>1536</v>
      </c>
      <c r="B6" s="260" t="str">
        <f>'Master – Recipes'!A162</f>
        <v>RCP-SMC-000159</v>
      </c>
      <c r="C6" s="164" t="s">
        <v>1841</v>
      </c>
      <c r="D6" s="164" t="s">
        <v>1837</v>
      </c>
      <c r="E6" s="164" t="s">
        <v>1835</v>
      </c>
      <c r="F6" s="260" t="s">
        <v>1840</v>
      </c>
    </row>
    <row r="7" spans="1:6" x14ac:dyDescent="0.75">
      <c r="A7" s="164" t="s">
        <v>1536</v>
      </c>
      <c r="B7" s="260" t="str">
        <f>'Master – Recipes'!A163</f>
        <v>RCP-SMC-000160</v>
      </c>
      <c r="C7" s="164" t="s">
        <v>1843</v>
      </c>
      <c r="D7" s="164" t="s">
        <v>1837</v>
      </c>
      <c r="E7" s="164" t="s">
        <v>1835</v>
      </c>
      <c r="F7" s="260" t="s">
        <v>1842</v>
      </c>
    </row>
    <row r="8" spans="1:6" x14ac:dyDescent="0.75">
      <c r="A8" s="164" t="s">
        <v>1536</v>
      </c>
      <c r="B8" s="260" t="str">
        <f>'Master – Recipes'!A164</f>
        <v>RCP-SMC-000161</v>
      </c>
      <c r="C8" s="164" t="s">
        <v>1844</v>
      </c>
      <c r="D8" s="164" t="s">
        <v>1837</v>
      </c>
      <c r="E8" s="164" t="s">
        <v>1835</v>
      </c>
      <c r="F8" s="260" t="s">
        <v>1840</v>
      </c>
    </row>
    <row r="9" spans="1:6" x14ac:dyDescent="0.75">
      <c r="A9" s="164" t="s">
        <v>1536</v>
      </c>
      <c r="B9" s="260" t="str">
        <f>'Master – Recipes'!A165</f>
        <v>RCP-SMC-000162</v>
      </c>
      <c r="C9" s="164" t="s">
        <v>1846</v>
      </c>
      <c r="D9" s="164" t="s">
        <v>1837</v>
      </c>
      <c r="E9" s="164" t="s">
        <v>1835</v>
      </c>
      <c r="F9" s="260" t="s">
        <v>1845</v>
      </c>
    </row>
    <row r="10" spans="1:6" x14ac:dyDescent="0.75">
      <c r="A10" s="164" t="s">
        <v>1536</v>
      </c>
      <c r="B10" s="260" t="str">
        <f>'Master – Recipes'!A131</f>
        <v>RCP-SMC-000128</v>
      </c>
      <c r="C10" s="164" t="s">
        <v>1849</v>
      </c>
      <c r="D10" s="164" t="s">
        <v>1847</v>
      </c>
      <c r="E10" s="164" t="s">
        <v>1835</v>
      </c>
      <c r="F10" s="260" t="s">
        <v>1848</v>
      </c>
    </row>
    <row r="11" spans="1:6" x14ac:dyDescent="0.75">
      <c r="A11" s="164" t="s">
        <v>1536</v>
      </c>
      <c r="B11" s="265" t="str">
        <f>'Master – Recipes'!A135</f>
        <v>RCP-SMC-000132</v>
      </c>
      <c r="C11" s="164" t="s">
        <v>1851</v>
      </c>
      <c r="D11" s="164" t="s">
        <v>1847</v>
      </c>
      <c r="E11" s="164" t="s">
        <v>1835</v>
      </c>
      <c r="F11" s="260" t="s">
        <v>1850</v>
      </c>
    </row>
    <row r="12" spans="1:6" x14ac:dyDescent="0.75">
      <c r="A12" s="164" t="s">
        <v>1536</v>
      </c>
      <c r="B12" s="260" t="str">
        <f>'Master – Recipes'!A121</f>
        <v>RCP-SMC-000118</v>
      </c>
      <c r="C12" s="164" t="s">
        <v>1865</v>
      </c>
      <c r="D12" s="164" t="s">
        <v>1863</v>
      </c>
      <c r="E12" s="164" t="s">
        <v>1862</v>
      </c>
      <c r="F12" s="260" t="s">
        <v>1864</v>
      </c>
    </row>
    <row r="13" spans="1:6" x14ac:dyDescent="0.75">
      <c r="A13" s="164" t="s">
        <v>1536</v>
      </c>
      <c r="B13" s="260" t="str">
        <f>'Master – Recipes'!A123</f>
        <v>RCP-SMC-000120</v>
      </c>
      <c r="C13" s="164" t="s">
        <v>1866</v>
      </c>
      <c r="D13" s="164" t="s">
        <v>1863</v>
      </c>
      <c r="E13" s="164" t="s">
        <v>1862</v>
      </c>
      <c r="F13" s="260" t="s">
        <v>1864</v>
      </c>
    </row>
    <row r="14" spans="1:6" x14ac:dyDescent="0.75">
      <c r="A14" s="164" t="s">
        <v>1536</v>
      </c>
      <c r="B14" s="260" t="str">
        <f>'Master – Recipes'!A88</f>
        <v>RCP-SMC-000086</v>
      </c>
      <c r="C14" s="162" t="s">
        <v>1868</v>
      </c>
      <c r="D14" s="164" t="s">
        <v>1863</v>
      </c>
      <c r="E14" s="164" t="s">
        <v>1862</v>
      </c>
      <c r="F14" s="260" t="s">
        <v>1867</v>
      </c>
    </row>
    <row r="15" spans="1:6" x14ac:dyDescent="0.75">
      <c r="A15" s="164" t="s">
        <v>1536</v>
      </c>
      <c r="B15" s="260" t="str">
        <f>'Master – Recipes'!A122</f>
        <v>RCP-SMC-000119</v>
      </c>
      <c r="C15" s="164" t="s">
        <v>1870</v>
      </c>
      <c r="D15" s="164" t="s">
        <v>1863</v>
      </c>
      <c r="E15" s="164" t="s">
        <v>1862</v>
      </c>
      <c r="F15" s="260" t="s">
        <v>1869</v>
      </c>
    </row>
    <row r="16" spans="1:6" x14ac:dyDescent="0.75">
      <c r="A16" s="164" t="s">
        <v>1536</v>
      </c>
      <c r="B16" s="260" t="str">
        <f>'Master – Recipes'!A160</f>
        <v>RCP-SMC-000157</v>
      </c>
      <c r="C16" s="164" t="s">
        <v>1871</v>
      </c>
      <c r="D16" s="164" t="s">
        <v>1778</v>
      </c>
      <c r="E16" s="164" t="s">
        <v>1862</v>
      </c>
      <c r="F16" s="260" t="s">
        <v>1864</v>
      </c>
    </row>
    <row r="17" spans="1:6" x14ac:dyDescent="0.75">
      <c r="A17" s="164" t="s">
        <v>1536</v>
      </c>
      <c r="B17" s="260" t="str">
        <f>'Master – Recipes'!A152</f>
        <v>RCP-SMC-000149</v>
      </c>
      <c r="C17" s="164" t="s">
        <v>1872</v>
      </c>
      <c r="D17" s="164" t="s">
        <v>1778</v>
      </c>
      <c r="E17" s="164" t="s">
        <v>1862</v>
      </c>
      <c r="F17" s="260" t="s">
        <v>1869</v>
      </c>
    </row>
    <row r="18" spans="1:6" x14ac:dyDescent="0.75">
      <c r="A18" s="164" t="s">
        <v>1536</v>
      </c>
      <c r="B18" s="260" t="str">
        <f>'Master – Recipes'!A53</f>
        <v>RCP-SMC-000054</v>
      </c>
      <c r="C18" s="164" t="s">
        <v>1874</v>
      </c>
      <c r="D18" s="164" t="s">
        <v>1873</v>
      </c>
      <c r="E18" s="164" t="s">
        <v>1862</v>
      </c>
      <c r="F18" s="260" t="s">
        <v>1864</v>
      </c>
    </row>
    <row r="19" spans="1:6" x14ac:dyDescent="0.75">
      <c r="A19" s="164" t="s">
        <v>1536</v>
      </c>
      <c r="B19" s="260" t="str">
        <f>'Master – Recipes'!A16</f>
        <v>RCP-SMC-000020</v>
      </c>
      <c r="C19" s="164" t="s">
        <v>2055</v>
      </c>
      <c r="D19" s="164" t="s">
        <v>1873</v>
      </c>
      <c r="E19" s="164" t="s">
        <v>1862</v>
      </c>
      <c r="F19" s="260" t="s">
        <v>1864</v>
      </c>
    </row>
    <row r="20" spans="1:6" x14ac:dyDescent="0.75">
      <c r="A20" s="164" t="s">
        <v>1536</v>
      </c>
      <c r="B20" s="260" t="str">
        <f>'Master – Recipes'!A52</f>
        <v>RCP-SMC-000053</v>
      </c>
      <c r="C20" s="164" t="s">
        <v>1876</v>
      </c>
      <c r="D20" s="164" t="s">
        <v>1873</v>
      </c>
      <c r="E20" s="164" t="s">
        <v>1862</v>
      </c>
      <c r="F20" s="260" t="s">
        <v>1864</v>
      </c>
    </row>
    <row r="21" spans="1:6" x14ac:dyDescent="0.75">
      <c r="A21" s="164" t="s">
        <v>1536</v>
      </c>
      <c r="B21" s="260" t="str">
        <f>'Master – Recipes'!A63</f>
        <v>RCP-SMC-000063</v>
      </c>
      <c r="C21" s="162" t="s">
        <v>1878</v>
      </c>
      <c r="D21" s="164" t="s">
        <v>1877</v>
      </c>
      <c r="E21" s="164" t="s">
        <v>1862</v>
      </c>
      <c r="F21" s="260" t="s">
        <v>1864</v>
      </c>
    </row>
    <row r="22" spans="1:6" x14ac:dyDescent="0.75">
      <c r="A22" s="164" t="s">
        <v>1536</v>
      </c>
      <c r="B22" s="260" t="str">
        <f>'Master – Recipes'!A71</f>
        <v>RCP-SMC-000070</v>
      </c>
      <c r="C22" s="162" t="s">
        <v>1880</v>
      </c>
      <c r="D22" s="164" t="s">
        <v>1877</v>
      </c>
      <c r="E22" s="164" t="s">
        <v>1862</v>
      </c>
      <c r="F22" s="260" t="s">
        <v>1879</v>
      </c>
    </row>
    <row r="23" spans="1:6" ht="40.799999999999997" x14ac:dyDescent="0.75">
      <c r="A23" s="164" t="s">
        <v>1536</v>
      </c>
      <c r="B23" s="260" t="str">
        <f>'Master – Recipes'!A61</f>
        <v>RCP-SMC-000061</v>
      </c>
      <c r="C23" s="162" t="s">
        <v>1882</v>
      </c>
      <c r="D23" s="164" t="s">
        <v>1877</v>
      </c>
      <c r="E23" s="164" t="s">
        <v>1862</v>
      </c>
      <c r="F23" s="260" t="s">
        <v>1881</v>
      </c>
    </row>
    <row r="24" spans="1:6" x14ac:dyDescent="0.75">
      <c r="A24" s="164" t="s">
        <v>1536</v>
      </c>
      <c r="B24" s="260" t="str">
        <f>B50</f>
        <v>RCP-SMC-000071</v>
      </c>
      <c r="C24" s="162" t="s">
        <v>1884</v>
      </c>
      <c r="D24" s="164" t="s">
        <v>1877</v>
      </c>
      <c r="E24" s="164" t="s">
        <v>1862</v>
      </c>
      <c r="F24" s="260" t="s">
        <v>1883</v>
      </c>
    </row>
    <row r="25" spans="1:6" x14ac:dyDescent="0.75">
      <c r="A25" s="164" t="s">
        <v>1536</v>
      </c>
      <c r="B25" s="260" t="str">
        <f>B51</f>
        <v>RCP-SMC-000068</v>
      </c>
      <c r="C25" s="162" t="s">
        <v>1885</v>
      </c>
      <c r="D25" s="164" t="s">
        <v>1877</v>
      </c>
      <c r="E25" s="164" t="s">
        <v>1862</v>
      </c>
      <c r="F25" s="260" t="s">
        <v>1864</v>
      </c>
    </row>
    <row r="26" spans="1:6" x14ac:dyDescent="0.75">
      <c r="A26" s="164" t="s">
        <v>1536</v>
      </c>
      <c r="B26" s="260" t="str">
        <f>'Master – Recipes'!A51</f>
        <v>RCP-SMC-000052</v>
      </c>
      <c r="C26" s="162" t="s">
        <v>1886</v>
      </c>
      <c r="D26" s="164" t="s">
        <v>1877</v>
      </c>
      <c r="E26" s="164" t="s">
        <v>1862</v>
      </c>
      <c r="F26" s="260" t="s">
        <v>1864</v>
      </c>
    </row>
    <row r="27" spans="1:6" x14ac:dyDescent="0.75">
      <c r="A27" s="164" t="s">
        <v>1536</v>
      </c>
      <c r="B27" s="260" t="str">
        <f>'Master – Recipes'!A64</f>
        <v>RCP-SMC-000064</v>
      </c>
      <c r="C27" s="162" t="s">
        <v>1887</v>
      </c>
      <c r="D27" s="164" t="s">
        <v>1877</v>
      </c>
      <c r="E27" s="164" t="s">
        <v>1862</v>
      </c>
      <c r="F27" s="260" t="s">
        <v>1869</v>
      </c>
    </row>
    <row r="28" spans="1:6" x14ac:dyDescent="0.75">
      <c r="A28" s="164" t="s">
        <v>1536</v>
      </c>
      <c r="B28" s="260" t="str">
        <f>B77</f>
        <v>RCP-SMC-000062</v>
      </c>
      <c r="C28" s="162" t="s">
        <v>1888</v>
      </c>
      <c r="D28" s="164" t="s">
        <v>1877</v>
      </c>
      <c r="E28" s="164" t="s">
        <v>1862</v>
      </c>
      <c r="F28" s="260" t="s">
        <v>1869</v>
      </c>
    </row>
    <row r="29" spans="1:6" x14ac:dyDescent="0.75">
      <c r="A29" s="164" t="s">
        <v>1536</v>
      </c>
      <c r="B29" s="260" t="str">
        <f>'Master – Recipes'!A67</f>
        <v>RCP-SMC-000067</v>
      </c>
      <c r="C29" s="164" t="s">
        <v>1890</v>
      </c>
      <c r="D29" s="164" t="s">
        <v>1877</v>
      </c>
      <c r="E29" s="164" t="s">
        <v>1862</v>
      </c>
      <c r="F29" s="260" t="s">
        <v>1889</v>
      </c>
    </row>
    <row r="30" spans="1:6" x14ac:dyDescent="0.75">
      <c r="A30" s="164" t="s">
        <v>1536</v>
      </c>
      <c r="B30" s="260" t="str">
        <f>'Master – Recipes'!A78</f>
        <v>RCP-SMC-000077</v>
      </c>
      <c r="C30" s="164" t="s">
        <v>1892</v>
      </c>
      <c r="D30" s="164" t="s">
        <v>1819</v>
      </c>
      <c r="E30" s="164" t="s">
        <v>1862</v>
      </c>
      <c r="F30" s="260" t="s">
        <v>1891</v>
      </c>
    </row>
    <row r="31" spans="1:6" x14ac:dyDescent="0.75">
      <c r="A31" s="164" t="s">
        <v>1536</v>
      </c>
      <c r="B31" s="260" t="str">
        <f>'Master – Recipes'!A79</f>
        <v>RCP-SMC-000078</v>
      </c>
      <c r="C31" s="164" t="s">
        <v>1893</v>
      </c>
      <c r="D31" s="164" t="s">
        <v>1819</v>
      </c>
      <c r="E31" s="164" t="s">
        <v>1862</v>
      </c>
      <c r="F31" s="260" t="s">
        <v>1891</v>
      </c>
    </row>
    <row r="32" spans="1:6" x14ac:dyDescent="0.75">
      <c r="A32" s="164" t="s">
        <v>1536</v>
      </c>
      <c r="B32" s="260" t="str">
        <f>'Master – Recipes'!A84</f>
        <v>RCP-SMC-000082</v>
      </c>
      <c r="C32" s="164" t="s">
        <v>1894</v>
      </c>
      <c r="D32" s="164" t="s">
        <v>1819</v>
      </c>
      <c r="E32" s="164" t="s">
        <v>1862</v>
      </c>
      <c r="F32" s="260" t="s">
        <v>1891</v>
      </c>
    </row>
    <row r="33" spans="1:6" x14ac:dyDescent="0.75">
      <c r="A33" s="164" t="s">
        <v>1536</v>
      </c>
      <c r="B33" s="260" t="str">
        <f>'Master – Recipes'!A86</f>
        <v>RCP-SMC-000084</v>
      </c>
      <c r="C33" s="164" t="s">
        <v>1895</v>
      </c>
      <c r="D33" s="164" t="s">
        <v>1819</v>
      </c>
      <c r="E33" s="164" t="s">
        <v>1862</v>
      </c>
      <c r="F33" s="260" t="s">
        <v>1891</v>
      </c>
    </row>
    <row r="34" spans="1:6" x14ac:dyDescent="0.75">
      <c r="A34" s="164" t="s">
        <v>1536</v>
      </c>
      <c r="B34" s="260" t="str">
        <f>'Master – Recipes'!A74</f>
        <v>RCP-SMC-000073</v>
      </c>
      <c r="C34" s="164" t="s">
        <v>1896</v>
      </c>
      <c r="D34" s="164" t="s">
        <v>1819</v>
      </c>
      <c r="E34" s="164" t="s">
        <v>1862</v>
      </c>
      <c r="F34" s="260" t="s">
        <v>1869</v>
      </c>
    </row>
    <row r="35" spans="1:6" x14ac:dyDescent="0.75">
      <c r="A35" s="164" t="s">
        <v>1536</v>
      </c>
      <c r="B35" s="260" t="str">
        <f>'Master – Recipes'!A75</f>
        <v>RCP-SMC-000074</v>
      </c>
      <c r="C35" s="164" t="s">
        <v>1898</v>
      </c>
      <c r="D35" s="164" t="s">
        <v>1819</v>
      </c>
      <c r="E35" s="164" t="s">
        <v>1862</v>
      </c>
      <c r="F35" s="260" t="s">
        <v>1897</v>
      </c>
    </row>
    <row r="36" spans="1:6" x14ac:dyDescent="0.75">
      <c r="A36" s="164" t="s">
        <v>1536</v>
      </c>
      <c r="B36" s="260" t="str">
        <f>'Master – Recipes'!A76</f>
        <v>RCP-SMC-000075</v>
      </c>
      <c r="C36" s="164" t="s">
        <v>1899</v>
      </c>
      <c r="D36" s="164" t="s">
        <v>1819</v>
      </c>
      <c r="E36" s="164" t="s">
        <v>1862</v>
      </c>
      <c r="F36" s="260" t="s">
        <v>1867</v>
      </c>
    </row>
    <row r="37" spans="1:6" x14ac:dyDescent="0.75">
      <c r="A37" s="164" t="s">
        <v>1536</v>
      </c>
      <c r="B37" s="260" t="str">
        <f>'Master – Recipes'!A77</f>
        <v>RCP-SMC-000076</v>
      </c>
      <c r="C37" s="164" t="s">
        <v>1584</v>
      </c>
      <c r="D37" s="164" t="s">
        <v>1819</v>
      </c>
      <c r="E37" s="164" t="s">
        <v>1862</v>
      </c>
      <c r="F37" s="260" t="s">
        <v>1869</v>
      </c>
    </row>
    <row r="38" spans="1:6" x14ac:dyDescent="0.75">
      <c r="A38" s="164" t="s">
        <v>1536</v>
      </c>
      <c r="B38" s="260" t="str">
        <f>'Master – Recipes'!A120</f>
        <v>RCP-SMC-000117</v>
      </c>
      <c r="C38" s="164" t="s">
        <v>1902</v>
      </c>
      <c r="D38" s="164" t="s">
        <v>1863</v>
      </c>
      <c r="E38" s="164" t="s">
        <v>1900</v>
      </c>
      <c r="F38" s="260" t="s">
        <v>1901</v>
      </c>
    </row>
    <row r="39" spans="1:6" x14ac:dyDescent="0.75">
      <c r="A39" s="164" t="s">
        <v>1536</v>
      </c>
      <c r="B39" s="260" t="str">
        <f>'Master – Recipes'!A119</f>
        <v>RCP-SMC-000116</v>
      </c>
      <c r="C39" s="164" t="s">
        <v>1904</v>
      </c>
      <c r="D39" s="164" t="s">
        <v>1863</v>
      </c>
      <c r="E39" s="164" t="s">
        <v>1900</v>
      </c>
      <c r="F39" s="260" t="s">
        <v>1903</v>
      </c>
    </row>
    <row r="40" spans="1:6" x14ac:dyDescent="0.75">
      <c r="A40" s="164" t="s">
        <v>1536</v>
      </c>
      <c r="B40" s="260" t="str">
        <f>B14</f>
        <v>RCP-SMC-000086</v>
      </c>
      <c r="C40" s="162" t="s">
        <v>1868</v>
      </c>
      <c r="D40" s="164" t="s">
        <v>1863</v>
      </c>
      <c r="E40" s="164" t="s">
        <v>1900</v>
      </c>
      <c r="F40" s="260" t="s">
        <v>1867</v>
      </c>
    </row>
    <row r="41" spans="1:6" x14ac:dyDescent="0.75">
      <c r="A41" s="164" t="s">
        <v>1536</v>
      </c>
      <c r="B41" s="260" t="str">
        <f>'Master – Recipes'!A153</f>
        <v>RCP-SMC-000150</v>
      </c>
      <c r="C41" s="164" t="s">
        <v>1905</v>
      </c>
      <c r="D41" s="164" t="s">
        <v>1778</v>
      </c>
      <c r="E41" s="164" t="s">
        <v>1900</v>
      </c>
      <c r="F41" s="260" t="s">
        <v>1864</v>
      </c>
    </row>
    <row r="42" spans="1:6" x14ac:dyDescent="0.75">
      <c r="A42" s="164" t="s">
        <v>1536</v>
      </c>
      <c r="B42" s="260" t="str">
        <f>B17</f>
        <v>RCP-SMC-000149</v>
      </c>
      <c r="C42" s="164" t="s">
        <v>1872</v>
      </c>
      <c r="D42" s="164" t="s">
        <v>1778</v>
      </c>
      <c r="E42" s="164" t="s">
        <v>1900</v>
      </c>
      <c r="F42" s="260" t="s">
        <v>1869</v>
      </c>
    </row>
    <row r="43" spans="1:6" x14ac:dyDescent="0.75">
      <c r="A43" s="164" t="s">
        <v>1536</v>
      </c>
      <c r="B43" s="260" t="str">
        <f>'Master – Recipes'!A57</f>
        <v>RCP-SMC-000058</v>
      </c>
      <c r="C43" s="162" t="s">
        <v>1907</v>
      </c>
      <c r="D43" s="164" t="s">
        <v>1906</v>
      </c>
      <c r="E43" s="164" t="s">
        <v>1900</v>
      </c>
      <c r="F43" s="260" t="s">
        <v>1864</v>
      </c>
    </row>
    <row r="44" spans="1:6" x14ac:dyDescent="0.75">
      <c r="A44" s="164" t="s">
        <v>1536</v>
      </c>
      <c r="B44" s="260" t="str">
        <f>'Master – Recipes'!A50</f>
        <v>RCP-SMC-000051</v>
      </c>
      <c r="C44" s="162" t="s">
        <v>1908</v>
      </c>
      <c r="D44" s="164" t="s">
        <v>1906</v>
      </c>
      <c r="E44" s="164" t="s">
        <v>1900</v>
      </c>
      <c r="F44" s="260" t="s">
        <v>1864</v>
      </c>
    </row>
    <row r="45" spans="1:6" x14ac:dyDescent="0.75">
      <c r="A45" s="164" t="s">
        <v>1536</v>
      </c>
      <c r="B45" s="260" t="str">
        <f>'Master – Recipes'!A54</f>
        <v>RCP-SMC-000055</v>
      </c>
      <c r="C45" s="164" t="s">
        <v>1909</v>
      </c>
      <c r="D45" s="164" t="s">
        <v>1906</v>
      </c>
      <c r="E45" s="164" t="s">
        <v>1900</v>
      </c>
      <c r="F45" s="260" t="s">
        <v>1864</v>
      </c>
    </row>
    <row r="46" spans="1:6" x14ac:dyDescent="0.75">
      <c r="A46" s="164" t="s">
        <v>1536</v>
      </c>
      <c r="B46" s="260" t="str">
        <f>'Master – Recipes'!A60</f>
        <v>RCP-SMC-000060</v>
      </c>
      <c r="C46" s="164" t="s">
        <v>1911</v>
      </c>
      <c r="D46" s="164" t="s">
        <v>1906</v>
      </c>
      <c r="E46" s="164" t="s">
        <v>1900</v>
      </c>
      <c r="F46" s="260" t="s">
        <v>1910</v>
      </c>
    </row>
    <row r="47" spans="1:6" x14ac:dyDescent="0.75">
      <c r="A47" s="164" t="s">
        <v>1536</v>
      </c>
      <c r="B47" s="260" t="str">
        <f>'Master – Recipes'!A65</f>
        <v>RCP-SMC-000065</v>
      </c>
      <c r="C47" s="162" t="s">
        <v>1913</v>
      </c>
      <c r="D47" s="164" t="s">
        <v>1912</v>
      </c>
      <c r="E47" s="164" t="s">
        <v>1900</v>
      </c>
      <c r="F47" s="260" t="s">
        <v>1864</v>
      </c>
    </row>
    <row r="48" spans="1:6" x14ac:dyDescent="0.75">
      <c r="A48" s="164" t="s">
        <v>1536</v>
      </c>
      <c r="B48" s="260" t="str">
        <f>'Master – Recipes'!A71</f>
        <v>RCP-SMC-000070</v>
      </c>
      <c r="C48" s="162" t="s">
        <v>1914</v>
      </c>
      <c r="D48" s="164" t="s">
        <v>1912</v>
      </c>
      <c r="E48" s="164" t="s">
        <v>1900</v>
      </c>
      <c r="F48" s="260" t="s">
        <v>1879</v>
      </c>
    </row>
    <row r="49" spans="1:6" ht="40.799999999999997" x14ac:dyDescent="0.75">
      <c r="A49" s="164" t="s">
        <v>1536</v>
      </c>
      <c r="B49" s="260" t="str">
        <f>'Master – Recipes'!A73</f>
        <v>RCP-SMC-000072</v>
      </c>
      <c r="C49" s="162" t="s">
        <v>1915</v>
      </c>
      <c r="D49" s="164" t="s">
        <v>1912</v>
      </c>
      <c r="E49" s="164" t="s">
        <v>1900</v>
      </c>
      <c r="F49" s="260" t="s">
        <v>1881</v>
      </c>
    </row>
    <row r="50" spans="1:6" x14ac:dyDescent="0.75">
      <c r="A50" s="164" t="s">
        <v>1536</v>
      </c>
      <c r="B50" s="260" t="str">
        <f>'Master – Recipes'!A72</f>
        <v>RCP-SMC-000071</v>
      </c>
      <c r="C50" s="162" t="s">
        <v>1916</v>
      </c>
      <c r="D50" s="164" t="s">
        <v>1912</v>
      </c>
      <c r="E50" s="164" t="s">
        <v>1900</v>
      </c>
      <c r="F50" s="260" t="s">
        <v>1883</v>
      </c>
    </row>
    <row r="51" spans="1:6" x14ac:dyDescent="0.75">
      <c r="A51" s="164" t="s">
        <v>1536</v>
      </c>
      <c r="B51" s="260" t="str">
        <f>'Master – Recipes'!A68</f>
        <v>RCP-SMC-000068</v>
      </c>
      <c r="C51" s="162" t="s">
        <v>1885</v>
      </c>
      <c r="D51" s="164" t="s">
        <v>1912</v>
      </c>
      <c r="E51" s="164" t="s">
        <v>1900</v>
      </c>
      <c r="F51" s="260" t="s">
        <v>1864</v>
      </c>
    </row>
    <row r="52" spans="1:6" x14ac:dyDescent="0.75">
      <c r="A52" s="164" t="s">
        <v>1536</v>
      </c>
      <c r="B52" s="260" t="str">
        <f>'Master – Recipes'!A66</f>
        <v>RCP-SMC-000066</v>
      </c>
      <c r="C52" s="162" t="s">
        <v>1917</v>
      </c>
      <c r="D52" s="164" t="s">
        <v>1912</v>
      </c>
      <c r="E52" s="164" t="s">
        <v>1900</v>
      </c>
      <c r="F52" s="260" t="s">
        <v>1869</v>
      </c>
    </row>
    <row r="53" spans="1:6" x14ac:dyDescent="0.75">
      <c r="A53" s="164" t="s">
        <v>1536</v>
      </c>
      <c r="B53" s="260" t="str">
        <f>'Master – Recipes'!A69</f>
        <v>RCP-SMC-000069</v>
      </c>
      <c r="C53" s="162" t="s">
        <v>1918</v>
      </c>
      <c r="D53" s="164" t="s">
        <v>1912</v>
      </c>
      <c r="E53" s="164" t="s">
        <v>1900</v>
      </c>
      <c r="F53" s="260" t="s">
        <v>1889</v>
      </c>
    </row>
    <row r="54" spans="1:6" x14ac:dyDescent="0.75">
      <c r="A54" s="261" t="s">
        <v>1432</v>
      </c>
      <c r="B54" s="260" t="str">
        <f>'Master – Recipes'!A166</f>
        <v>RCP-SMC-000163</v>
      </c>
      <c r="C54" s="261" t="s">
        <v>1853</v>
      </c>
      <c r="D54" s="261" t="s">
        <v>1837</v>
      </c>
      <c r="E54" s="261" t="s">
        <v>1835</v>
      </c>
      <c r="F54" s="260" t="s">
        <v>1852</v>
      </c>
    </row>
    <row r="55" spans="1:6" x14ac:dyDescent="0.75">
      <c r="A55" s="261" t="s">
        <v>1432</v>
      </c>
      <c r="B55" s="260" t="str">
        <f>B6</f>
        <v>RCP-SMC-000159</v>
      </c>
      <c r="C55" s="261" t="s">
        <v>1841</v>
      </c>
      <c r="D55" s="261" t="s">
        <v>1837</v>
      </c>
      <c r="E55" s="261" t="s">
        <v>1835</v>
      </c>
      <c r="F55" s="260" t="s">
        <v>1840</v>
      </c>
    </row>
    <row r="56" spans="1:6" x14ac:dyDescent="0.75">
      <c r="A56" s="261" t="s">
        <v>1432</v>
      </c>
      <c r="B56" s="260" t="str">
        <f>B7</f>
        <v>RCP-SMC-000160</v>
      </c>
      <c r="C56" s="261" t="s">
        <v>1843</v>
      </c>
      <c r="D56" s="261" t="s">
        <v>1837</v>
      </c>
      <c r="E56" s="261" t="s">
        <v>1835</v>
      </c>
      <c r="F56" s="260" t="s">
        <v>1842</v>
      </c>
    </row>
    <row r="57" spans="1:6" x14ac:dyDescent="0.75">
      <c r="A57" s="261" t="s">
        <v>1432</v>
      </c>
      <c r="B57" s="260" t="str">
        <f>'Master – Recipes'!A164</f>
        <v>RCP-SMC-000161</v>
      </c>
      <c r="C57" s="261" t="s">
        <v>1854</v>
      </c>
      <c r="D57" s="261" t="s">
        <v>1837</v>
      </c>
      <c r="E57" s="261" t="s">
        <v>1835</v>
      </c>
      <c r="F57" s="260" t="s">
        <v>1840</v>
      </c>
    </row>
    <row r="58" spans="1:6" x14ac:dyDescent="0.75">
      <c r="A58" s="261" t="s">
        <v>1432</v>
      </c>
      <c r="B58" s="260" t="str">
        <f>'Master – Recipes'!A167</f>
        <v>RCP-SMC-000164</v>
      </c>
      <c r="C58" s="261" t="s">
        <v>1855</v>
      </c>
      <c r="D58" s="261" t="s">
        <v>1837</v>
      </c>
      <c r="E58" s="261" t="s">
        <v>1835</v>
      </c>
      <c r="F58" s="260" t="s">
        <v>1845</v>
      </c>
    </row>
    <row r="59" spans="1:6" x14ac:dyDescent="0.75">
      <c r="A59" s="261" t="s">
        <v>1432</v>
      </c>
      <c r="B59" s="260" t="str">
        <f>B10</f>
        <v>RCP-SMC-000128</v>
      </c>
      <c r="C59" s="261" t="s">
        <v>1849</v>
      </c>
      <c r="D59" s="261" t="s">
        <v>1847</v>
      </c>
      <c r="E59" s="261" t="s">
        <v>1835</v>
      </c>
      <c r="F59" s="260" t="s">
        <v>1848</v>
      </c>
    </row>
    <row r="60" spans="1:6" x14ac:dyDescent="0.75">
      <c r="A60" s="261" t="s">
        <v>1432</v>
      </c>
      <c r="B60" s="265" t="str">
        <f>B11</f>
        <v>RCP-SMC-000132</v>
      </c>
      <c r="C60" s="261" t="s">
        <v>1851</v>
      </c>
      <c r="D60" s="261" t="s">
        <v>1847</v>
      </c>
      <c r="E60" s="261" t="s">
        <v>1835</v>
      </c>
      <c r="F60" s="260" t="s">
        <v>1850</v>
      </c>
    </row>
    <row r="61" spans="1:6" x14ac:dyDescent="0.75">
      <c r="A61" s="261" t="s">
        <v>1432</v>
      </c>
      <c r="B61" s="260" t="str">
        <f>'Master – Recipes'!A89</f>
        <v>RCP-SMC-000087</v>
      </c>
      <c r="C61" s="261" t="s">
        <v>1919</v>
      </c>
      <c r="D61" s="261" t="s">
        <v>1863</v>
      </c>
      <c r="E61" s="261" t="s">
        <v>1862</v>
      </c>
      <c r="F61" s="260" t="s">
        <v>1864</v>
      </c>
    </row>
    <row r="62" spans="1:6" x14ac:dyDescent="0.75">
      <c r="A62" s="261" t="s">
        <v>1432</v>
      </c>
      <c r="B62" s="260" t="str">
        <f>'Master – Recipes'!A90</f>
        <v>RCP-SMC-000088</v>
      </c>
      <c r="C62" s="261" t="s">
        <v>1920</v>
      </c>
      <c r="D62" s="261" t="s">
        <v>1863</v>
      </c>
      <c r="E62" s="261" t="s">
        <v>1862</v>
      </c>
      <c r="F62" s="260" t="s">
        <v>1864</v>
      </c>
    </row>
    <row r="63" spans="1:6" x14ac:dyDescent="0.75">
      <c r="A63" s="261" t="s">
        <v>1432</v>
      </c>
      <c r="B63" s="260" t="str">
        <f>B40</f>
        <v>RCP-SMC-000086</v>
      </c>
      <c r="C63" s="261" t="s">
        <v>1868</v>
      </c>
      <c r="D63" s="261" t="s">
        <v>1863</v>
      </c>
      <c r="E63" s="261" t="s">
        <v>1862</v>
      </c>
      <c r="F63" s="260" t="s">
        <v>1867</v>
      </c>
    </row>
    <row r="64" spans="1:6" x14ac:dyDescent="0.75">
      <c r="A64" s="261" t="s">
        <v>1432</v>
      </c>
      <c r="B64" s="260" t="str">
        <f>'Master – Recipes'!A91</f>
        <v>RCP-SMC-000089</v>
      </c>
      <c r="C64" s="261" t="s">
        <v>1921</v>
      </c>
      <c r="D64" s="261" t="s">
        <v>1863</v>
      </c>
      <c r="E64" s="261" t="s">
        <v>1862</v>
      </c>
      <c r="F64" s="260" t="s">
        <v>1869</v>
      </c>
    </row>
    <row r="65" spans="1:6" x14ac:dyDescent="0.75">
      <c r="A65" s="261" t="s">
        <v>1432</v>
      </c>
      <c r="B65" s="260" t="str">
        <f>'Master – Recipes'!A154</f>
        <v>RCP-SMC-000151</v>
      </c>
      <c r="C65" s="261" t="s">
        <v>1922</v>
      </c>
      <c r="D65" s="261" t="s">
        <v>1778</v>
      </c>
      <c r="E65" s="261" t="s">
        <v>1862</v>
      </c>
      <c r="F65" s="260" t="s">
        <v>1864</v>
      </c>
    </row>
    <row r="66" spans="1:6" x14ac:dyDescent="0.75">
      <c r="A66" s="261" t="s">
        <v>1432</v>
      </c>
      <c r="B66" s="260" t="str">
        <f>B17</f>
        <v>RCP-SMC-000149</v>
      </c>
      <c r="C66" s="261" t="s">
        <v>1872</v>
      </c>
      <c r="D66" s="261" t="s">
        <v>1778</v>
      </c>
      <c r="E66" s="261" t="s">
        <v>1862</v>
      </c>
      <c r="F66" s="260" t="s">
        <v>1869</v>
      </c>
    </row>
    <row r="67" spans="1:6" x14ac:dyDescent="0.75">
      <c r="A67" s="261" t="s">
        <v>1432</v>
      </c>
      <c r="B67" s="260" t="str">
        <f>'Master – Recipes'!A70</f>
        <v>RCP-SMC-00007</v>
      </c>
      <c r="C67" s="261" t="s">
        <v>1923</v>
      </c>
      <c r="D67" s="261" t="s">
        <v>1873</v>
      </c>
      <c r="E67" s="261" t="s">
        <v>1862</v>
      </c>
      <c r="F67" s="260" t="s">
        <v>1864</v>
      </c>
    </row>
    <row r="68" spans="1:6" x14ac:dyDescent="0.75">
      <c r="A68" s="261" t="s">
        <v>1432</v>
      </c>
      <c r="B68" s="260" t="str">
        <f>'Master – Recipes'!A4</f>
        <v>RCP-SMC-00001</v>
      </c>
      <c r="C68" s="261" t="s">
        <v>1924</v>
      </c>
      <c r="D68" s="261" t="s">
        <v>1873</v>
      </c>
      <c r="E68" s="261" t="s">
        <v>1862</v>
      </c>
      <c r="F68" s="260" t="s">
        <v>1864</v>
      </c>
    </row>
    <row r="69" spans="1:6" x14ac:dyDescent="0.75">
      <c r="A69" s="261" t="s">
        <v>1432</v>
      </c>
      <c r="B69" s="260" t="str">
        <f>'Master – Recipes'!A15</f>
        <v>RCP-SMC-00002</v>
      </c>
      <c r="C69" s="261" t="s">
        <v>1925</v>
      </c>
      <c r="D69" s="261" t="s">
        <v>1873</v>
      </c>
      <c r="E69" s="261" t="s">
        <v>1862</v>
      </c>
      <c r="F69" s="260" t="s">
        <v>1864</v>
      </c>
    </row>
    <row r="70" spans="1:6" x14ac:dyDescent="0.75">
      <c r="A70" s="261" t="s">
        <v>1432</v>
      </c>
      <c r="B70" s="260" t="str">
        <f>B21</f>
        <v>RCP-SMC-000063</v>
      </c>
      <c r="C70" s="261" t="s">
        <v>1878</v>
      </c>
      <c r="D70" s="261" t="s">
        <v>1877</v>
      </c>
      <c r="E70" s="261" t="s">
        <v>1862</v>
      </c>
      <c r="F70" s="260" t="s">
        <v>1864</v>
      </c>
    </row>
    <row r="71" spans="1:6" x14ac:dyDescent="0.75">
      <c r="A71" s="261" t="s">
        <v>1432</v>
      </c>
      <c r="B71" s="260" t="str">
        <f>B120</f>
        <v>RCP-SMC-000070</v>
      </c>
      <c r="C71" s="261" t="s">
        <v>1926</v>
      </c>
      <c r="D71" s="261" t="s">
        <v>1877</v>
      </c>
      <c r="E71" s="261" t="s">
        <v>1862</v>
      </c>
      <c r="F71" s="260" t="s">
        <v>1879</v>
      </c>
    </row>
    <row r="72" spans="1:6" x14ac:dyDescent="0.75">
      <c r="A72" s="261" t="s">
        <v>1432</v>
      </c>
      <c r="B72" s="260" t="str">
        <f>'Master – Recipes'!A37</f>
        <v>RCP-SMC-00004</v>
      </c>
      <c r="C72" s="261" t="s">
        <v>1927</v>
      </c>
      <c r="D72" s="261" t="s">
        <v>1877</v>
      </c>
      <c r="E72" s="261" t="s">
        <v>1862</v>
      </c>
      <c r="F72" s="260" t="s">
        <v>1881</v>
      </c>
    </row>
    <row r="73" spans="1:6" x14ac:dyDescent="0.75">
      <c r="A73" s="261" t="s">
        <v>1432</v>
      </c>
      <c r="B73" s="260" t="str">
        <f>B50</f>
        <v>RCP-SMC-000071</v>
      </c>
      <c r="C73" s="261" t="s">
        <v>1928</v>
      </c>
      <c r="D73" s="261" t="s">
        <v>1877</v>
      </c>
      <c r="E73" s="261" t="s">
        <v>1862</v>
      </c>
      <c r="F73" s="260" t="s">
        <v>1883</v>
      </c>
    </row>
    <row r="74" spans="1:6" x14ac:dyDescent="0.75">
      <c r="A74" s="261" t="s">
        <v>1432</v>
      </c>
      <c r="B74" s="260" t="str">
        <f>B25</f>
        <v>RCP-SMC-000068</v>
      </c>
      <c r="C74" s="261" t="s">
        <v>1885</v>
      </c>
      <c r="D74" s="261" t="s">
        <v>1877</v>
      </c>
      <c r="E74" s="261" t="s">
        <v>1862</v>
      </c>
      <c r="F74" s="260" t="s">
        <v>1864</v>
      </c>
    </row>
    <row r="75" spans="1:6" x14ac:dyDescent="0.75">
      <c r="A75" s="261" t="s">
        <v>1432</v>
      </c>
      <c r="B75" s="260" t="str">
        <f>'Master – Recipes'!A26</f>
        <v>RCP-SMC-00003</v>
      </c>
      <c r="C75" s="261" t="s">
        <v>1929</v>
      </c>
      <c r="D75" s="261" t="s">
        <v>1877</v>
      </c>
      <c r="E75" s="261" t="s">
        <v>1862</v>
      </c>
      <c r="F75" s="260" t="s">
        <v>1864</v>
      </c>
    </row>
    <row r="76" spans="1:6" x14ac:dyDescent="0.75">
      <c r="A76" s="261" t="s">
        <v>1432</v>
      </c>
      <c r="B76" s="260" t="str">
        <f>B27</f>
        <v>RCP-SMC-000064</v>
      </c>
      <c r="C76" s="261" t="s">
        <v>1887</v>
      </c>
      <c r="D76" s="261" t="s">
        <v>1877</v>
      </c>
      <c r="E76" s="261" t="s">
        <v>1862</v>
      </c>
      <c r="F76" s="260" t="s">
        <v>1869</v>
      </c>
    </row>
    <row r="77" spans="1:6" x14ac:dyDescent="0.75">
      <c r="A77" s="261" t="s">
        <v>1432</v>
      </c>
      <c r="B77" s="260" t="str">
        <f>'Master – Recipes'!A62</f>
        <v>RCP-SMC-000062</v>
      </c>
      <c r="C77" s="261" t="s">
        <v>1888</v>
      </c>
      <c r="D77" s="261" t="s">
        <v>1877</v>
      </c>
      <c r="E77" s="261" t="s">
        <v>1862</v>
      </c>
      <c r="F77" s="260" t="s">
        <v>1869</v>
      </c>
    </row>
    <row r="78" spans="1:6" x14ac:dyDescent="0.75">
      <c r="A78" s="261" t="s">
        <v>1432</v>
      </c>
      <c r="B78" s="260" t="str">
        <f>B29</f>
        <v>RCP-SMC-000067</v>
      </c>
      <c r="C78" s="261" t="s">
        <v>1890</v>
      </c>
      <c r="D78" s="261" t="s">
        <v>1877</v>
      </c>
      <c r="E78" s="261" t="s">
        <v>1862</v>
      </c>
      <c r="F78" s="260" t="s">
        <v>1889</v>
      </c>
    </row>
    <row r="79" spans="1:6" x14ac:dyDescent="0.75">
      <c r="A79" s="261" t="s">
        <v>1432</v>
      </c>
      <c r="B79" s="260" t="str">
        <f>B30</f>
        <v>RCP-SMC-000077</v>
      </c>
      <c r="C79" s="261" t="s">
        <v>1892</v>
      </c>
      <c r="D79" s="261" t="s">
        <v>1819</v>
      </c>
      <c r="E79" s="261" t="s">
        <v>1862</v>
      </c>
      <c r="F79" s="260" t="s">
        <v>1891</v>
      </c>
    </row>
    <row r="80" spans="1:6" x14ac:dyDescent="0.75">
      <c r="A80" s="261" t="s">
        <v>1432</v>
      </c>
      <c r="B80" s="260" t="str">
        <f>B31</f>
        <v>RCP-SMC-000078</v>
      </c>
      <c r="C80" s="261" t="s">
        <v>1893</v>
      </c>
      <c r="D80" s="261" t="s">
        <v>1819</v>
      </c>
      <c r="E80" s="261" t="s">
        <v>1862</v>
      </c>
      <c r="F80" s="260" t="s">
        <v>1891</v>
      </c>
    </row>
    <row r="81" spans="1:6" x14ac:dyDescent="0.75">
      <c r="A81" s="261" t="s">
        <v>1432</v>
      </c>
      <c r="B81" s="260" t="str">
        <f>'Master – Recipes'!A80</f>
        <v>RCP-SMC-000079</v>
      </c>
      <c r="C81" s="261" t="s">
        <v>1930</v>
      </c>
      <c r="D81" s="261" t="s">
        <v>1819</v>
      </c>
      <c r="E81" s="261" t="s">
        <v>1862</v>
      </c>
      <c r="F81" s="260" t="s">
        <v>1891</v>
      </c>
    </row>
    <row r="82" spans="1:6" x14ac:dyDescent="0.75">
      <c r="A82" s="261" t="s">
        <v>1432</v>
      </c>
      <c r="B82" s="260" t="str">
        <f>'Master – Recipes'!A87</f>
        <v>RCP-SMC-000085</v>
      </c>
      <c r="C82" s="261" t="s">
        <v>1895</v>
      </c>
      <c r="D82" s="261" t="s">
        <v>1819</v>
      </c>
      <c r="E82" s="261" t="s">
        <v>1862</v>
      </c>
      <c r="F82" s="260" t="s">
        <v>1891</v>
      </c>
    </row>
    <row r="83" spans="1:6" x14ac:dyDescent="0.75">
      <c r="A83" s="261" t="s">
        <v>1432</v>
      </c>
      <c r="B83" s="260" t="str">
        <f>B34</f>
        <v>RCP-SMC-000073</v>
      </c>
      <c r="C83" s="261" t="s">
        <v>1896</v>
      </c>
      <c r="D83" s="261" t="s">
        <v>1819</v>
      </c>
      <c r="E83" s="261" t="s">
        <v>1862</v>
      </c>
      <c r="F83" s="260" t="s">
        <v>1869</v>
      </c>
    </row>
    <row r="84" spans="1:6" x14ac:dyDescent="0.75">
      <c r="A84" s="261" t="s">
        <v>1432</v>
      </c>
      <c r="B84" s="260" t="str">
        <f>B35</f>
        <v>RCP-SMC-000074</v>
      </c>
      <c r="C84" s="164" t="s">
        <v>1898</v>
      </c>
      <c r="D84" s="261" t="s">
        <v>1819</v>
      </c>
      <c r="E84" s="261" t="s">
        <v>1862</v>
      </c>
      <c r="F84" s="260" t="s">
        <v>1897</v>
      </c>
    </row>
    <row r="85" spans="1:6" x14ac:dyDescent="0.75">
      <c r="A85" s="261" t="s">
        <v>1432</v>
      </c>
      <c r="B85" s="260" t="str">
        <f>B36</f>
        <v>RCP-SMC-000075</v>
      </c>
      <c r="C85" s="261" t="s">
        <v>1899</v>
      </c>
      <c r="D85" s="261" t="s">
        <v>1819</v>
      </c>
      <c r="E85" s="261" t="s">
        <v>1862</v>
      </c>
      <c r="F85" s="260" t="s">
        <v>1867</v>
      </c>
    </row>
    <row r="86" spans="1:6" x14ac:dyDescent="0.75">
      <c r="A86" s="261" t="s">
        <v>1432</v>
      </c>
      <c r="B86" s="260" t="str">
        <f>B37</f>
        <v>RCP-SMC-000076</v>
      </c>
      <c r="C86" s="261" t="s">
        <v>1584</v>
      </c>
      <c r="D86" s="261" t="s">
        <v>1819</v>
      </c>
      <c r="E86" s="261" t="s">
        <v>1862</v>
      </c>
      <c r="F86" s="260" t="s">
        <v>1869</v>
      </c>
    </row>
    <row r="87" spans="1:6" x14ac:dyDescent="0.75">
      <c r="A87" s="261" t="s">
        <v>1432</v>
      </c>
      <c r="B87" s="260" t="str">
        <f>'Master – Recipes'!A93</f>
        <v>RCP-SMC-000090</v>
      </c>
      <c r="C87" s="261" t="s">
        <v>1933</v>
      </c>
      <c r="D87" s="261" t="s">
        <v>1863</v>
      </c>
      <c r="E87" s="261" t="s">
        <v>1900</v>
      </c>
      <c r="F87" s="260" t="s">
        <v>1864</v>
      </c>
    </row>
    <row r="88" spans="1:6" x14ac:dyDescent="0.75">
      <c r="A88" s="261" t="s">
        <v>1432</v>
      </c>
      <c r="B88" s="260" t="str">
        <f>'Master – Recipes'!A94</f>
        <v>RCP-SMC-000091</v>
      </c>
      <c r="C88" s="261" t="s">
        <v>1934</v>
      </c>
      <c r="D88" s="261" t="s">
        <v>1863</v>
      </c>
      <c r="E88" s="261" t="s">
        <v>1900</v>
      </c>
      <c r="F88" s="260" t="s">
        <v>1864</v>
      </c>
    </row>
    <row r="89" spans="1:6" x14ac:dyDescent="0.75">
      <c r="A89" s="261" t="s">
        <v>1432</v>
      </c>
      <c r="B89" s="260" t="str">
        <f>B63</f>
        <v>RCP-SMC-000086</v>
      </c>
      <c r="C89" s="261" t="s">
        <v>1868</v>
      </c>
      <c r="D89" s="261" t="s">
        <v>1863</v>
      </c>
      <c r="E89" s="261" t="s">
        <v>1900</v>
      </c>
      <c r="F89" s="260" t="s">
        <v>1867</v>
      </c>
    </row>
    <row r="90" spans="1:6" x14ac:dyDescent="0.75">
      <c r="A90" s="261" t="s">
        <v>1432</v>
      </c>
      <c r="B90" s="260" t="str">
        <f>'Master – Recipes'!A95</f>
        <v>RCP-SMC-000092</v>
      </c>
      <c r="C90" s="261" t="s">
        <v>1935</v>
      </c>
      <c r="D90" s="261" t="s">
        <v>1863</v>
      </c>
      <c r="E90" s="261" t="s">
        <v>1900</v>
      </c>
      <c r="F90" s="260" t="s">
        <v>1869</v>
      </c>
    </row>
    <row r="91" spans="1:6" x14ac:dyDescent="0.75">
      <c r="A91" s="261" t="s">
        <v>1432</v>
      </c>
      <c r="B91" s="260" t="str">
        <f>B41</f>
        <v>RCP-SMC-000150</v>
      </c>
      <c r="C91" s="261" t="s">
        <v>1905</v>
      </c>
      <c r="D91" s="261" t="s">
        <v>1778</v>
      </c>
      <c r="E91" s="261" t="s">
        <v>1900</v>
      </c>
      <c r="F91" s="260" t="s">
        <v>1864</v>
      </c>
    </row>
    <row r="92" spans="1:6" x14ac:dyDescent="0.75">
      <c r="A92" s="261" t="s">
        <v>1432</v>
      </c>
      <c r="B92" s="260" t="str">
        <f>B17</f>
        <v>RCP-SMC-000149</v>
      </c>
      <c r="C92" s="261" t="s">
        <v>1872</v>
      </c>
      <c r="D92" s="261" t="s">
        <v>1778</v>
      </c>
      <c r="E92" s="261" t="s">
        <v>1900</v>
      </c>
      <c r="F92" s="260" t="s">
        <v>1869</v>
      </c>
    </row>
    <row r="93" spans="1:6" x14ac:dyDescent="0.75">
      <c r="A93" s="261" t="s">
        <v>1432</v>
      </c>
      <c r="B93" s="260" t="str">
        <f>'Master – Recipes'!A81</f>
        <v>RCP-SMC-00008</v>
      </c>
      <c r="C93" s="261" t="s">
        <v>1936</v>
      </c>
      <c r="D93" s="261" t="s">
        <v>1906</v>
      </c>
      <c r="E93" s="261" t="s">
        <v>1900</v>
      </c>
      <c r="F93" s="260" t="s">
        <v>1864</v>
      </c>
    </row>
    <row r="94" spans="1:6" x14ac:dyDescent="0.75">
      <c r="A94" s="261" t="s">
        <v>1432</v>
      </c>
      <c r="B94" s="260" t="str">
        <f>'Master – Recipes'!A59</f>
        <v>RCP-SMC-00006</v>
      </c>
      <c r="C94" s="261" t="s">
        <v>1937</v>
      </c>
      <c r="D94" s="261" t="s">
        <v>1906</v>
      </c>
      <c r="E94" s="261" t="s">
        <v>1900</v>
      </c>
      <c r="F94" s="260" t="s">
        <v>1864</v>
      </c>
    </row>
    <row r="95" spans="1:6" x14ac:dyDescent="0.75">
      <c r="A95" s="261" t="s">
        <v>1432</v>
      </c>
      <c r="B95" s="260" t="str">
        <f>'Master – Recipes'!A56</f>
        <v>RCP-SMC-000057</v>
      </c>
      <c r="C95" s="261" t="s">
        <v>1938</v>
      </c>
      <c r="D95" s="261" t="s">
        <v>1906</v>
      </c>
      <c r="E95" s="261" t="s">
        <v>1900</v>
      </c>
      <c r="F95" s="260" t="s">
        <v>1864</v>
      </c>
    </row>
    <row r="96" spans="1:6" x14ac:dyDescent="0.75">
      <c r="A96" s="261" t="s">
        <v>1432</v>
      </c>
      <c r="B96" s="260" t="str">
        <f>'Master – Recipes'!A48</f>
        <v>RCP-SMC-00005</v>
      </c>
      <c r="C96" s="261" t="s">
        <v>1939</v>
      </c>
      <c r="D96" s="261" t="s">
        <v>1906</v>
      </c>
      <c r="E96" s="261" t="s">
        <v>1900</v>
      </c>
      <c r="F96" s="260" t="s">
        <v>1910</v>
      </c>
    </row>
    <row r="97" spans="1:6" x14ac:dyDescent="0.75">
      <c r="A97" s="261" t="s">
        <v>1432</v>
      </c>
      <c r="B97" s="260" t="str">
        <f t="shared" ref="B97:B103" si="0">B47</f>
        <v>RCP-SMC-000065</v>
      </c>
      <c r="C97" s="261" t="s">
        <v>1913</v>
      </c>
      <c r="D97" s="261" t="s">
        <v>1912</v>
      </c>
      <c r="E97" s="261" t="s">
        <v>1900</v>
      </c>
      <c r="F97" s="260" t="s">
        <v>1864</v>
      </c>
    </row>
    <row r="98" spans="1:6" x14ac:dyDescent="0.75">
      <c r="A98" s="261" t="s">
        <v>1432</v>
      </c>
      <c r="B98" s="260" t="str">
        <f t="shared" si="0"/>
        <v>RCP-SMC-000070</v>
      </c>
      <c r="C98" s="261" t="s">
        <v>1914</v>
      </c>
      <c r="D98" s="261" t="s">
        <v>1912</v>
      </c>
      <c r="E98" s="261" t="s">
        <v>1900</v>
      </c>
      <c r="F98" s="260" t="s">
        <v>1879</v>
      </c>
    </row>
    <row r="99" spans="1:6" x14ac:dyDescent="0.75">
      <c r="A99" s="261" t="s">
        <v>1432</v>
      </c>
      <c r="B99" s="260" t="str">
        <f t="shared" si="0"/>
        <v>RCP-SMC-000072</v>
      </c>
      <c r="C99" s="261" t="s">
        <v>1940</v>
      </c>
      <c r="D99" s="261" t="s">
        <v>1912</v>
      </c>
      <c r="E99" s="261" t="s">
        <v>1900</v>
      </c>
      <c r="F99" s="260" t="s">
        <v>1881</v>
      </c>
    </row>
    <row r="100" spans="1:6" x14ac:dyDescent="0.75">
      <c r="A100" s="261" t="s">
        <v>1432</v>
      </c>
      <c r="B100" s="260" t="str">
        <f t="shared" si="0"/>
        <v>RCP-SMC-000071</v>
      </c>
      <c r="C100" s="261" t="s">
        <v>1916</v>
      </c>
      <c r="D100" s="261" t="s">
        <v>1912</v>
      </c>
      <c r="E100" s="261" t="s">
        <v>1900</v>
      </c>
      <c r="F100" s="260" t="s">
        <v>1883</v>
      </c>
    </row>
    <row r="101" spans="1:6" x14ac:dyDescent="0.75">
      <c r="A101" s="261" t="s">
        <v>1432</v>
      </c>
      <c r="B101" s="260" t="str">
        <f t="shared" si="0"/>
        <v>RCP-SMC-000068</v>
      </c>
      <c r="C101" s="261" t="s">
        <v>1885</v>
      </c>
      <c r="D101" s="261" t="s">
        <v>1912</v>
      </c>
      <c r="E101" s="261" t="s">
        <v>1900</v>
      </c>
      <c r="F101" s="260" t="s">
        <v>1864</v>
      </c>
    </row>
    <row r="102" spans="1:6" x14ac:dyDescent="0.75">
      <c r="A102" s="261" t="s">
        <v>1432</v>
      </c>
      <c r="B102" s="260" t="str">
        <f t="shared" si="0"/>
        <v>RCP-SMC-000066</v>
      </c>
      <c r="C102" s="261" t="s">
        <v>1917</v>
      </c>
      <c r="D102" s="261" t="s">
        <v>1912</v>
      </c>
      <c r="E102" s="261" t="s">
        <v>1900</v>
      </c>
      <c r="F102" s="260" t="s">
        <v>1869</v>
      </c>
    </row>
    <row r="103" spans="1:6" x14ac:dyDescent="0.75">
      <c r="A103" s="261" t="s">
        <v>1432</v>
      </c>
      <c r="B103" s="260" t="str">
        <f t="shared" si="0"/>
        <v>RCP-SMC-000069</v>
      </c>
      <c r="C103" s="261" t="s">
        <v>1918</v>
      </c>
      <c r="D103" s="261" t="s">
        <v>1912</v>
      </c>
      <c r="E103" s="261" t="s">
        <v>1900</v>
      </c>
      <c r="F103" s="260" t="s">
        <v>1889</v>
      </c>
    </row>
    <row r="104" spans="1:6" x14ac:dyDescent="0.75">
      <c r="A104" s="164" t="s">
        <v>1448</v>
      </c>
      <c r="B104" s="260" t="str">
        <f>'Master – Recipes'!A168</f>
        <v>RCP-SMC-000165</v>
      </c>
      <c r="C104" s="164" t="s">
        <v>2043</v>
      </c>
      <c r="D104" s="164" t="s">
        <v>1837</v>
      </c>
      <c r="E104" s="164" t="s">
        <v>1835</v>
      </c>
      <c r="F104" s="260" t="s">
        <v>1838</v>
      </c>
    </row>
    <row r="105" spans="1:6" x14ac:dyDescent="0.75">
      <c r="A105" s="164" t="s">
        <v>1448</v>
      </c>
      <c r="B105" s="260" t="str">
        <f>B55</f>
        <v>RCP-SMC-000159</v>
      </c>
      <c r="C105" s="164" t="s">
        <v>1841</v>
      </c>
      <c r="D105" s="164" t="s">
        <v>1837</v>
      </c>
      <c r="E105" s="164" t="s">
        <v>1835</v>
      </c>
      <c r="F105" s="260" t="s">
        <v>1840</v>
      </c>
    </row>
    <row r="106" spans="1:6" x14ac:dyDescent="0.75">
      <c r="A106" s="164" t="s">
        <v>1448</v>
      </c>
      <c r="B106" s="260" t="str">
        <f>B56</f>
        <v>RCP-SMC-000160</v>
      </c>
      <c r="C106" s="164" t="s">
        <v>1843</v>
      </c>
      <c r="D106" s="164" t="s">
        <v>1837</v>
      </c>
      <c r="E106" s="164" t="s">
        <v>1835</v>
      </c>
      <c r="F106" s="260" t="s">
        <v>1842</v>
      </c>
    </row>
    <row r="107" spans="1:6" x14ac:dyDescent="0.75">
      <c r="A107" s="164" t="s">
        <v>1448</v>
      </c>
      <c r="B107" s="260" t="str">
        <f>B57</f>
        <v>RCP-SMC-000161</v>
      </c>
      <c r="C107" s="164" t="s">
        <v>1854</v>
      </c>
      <c r="D107" s="164" t="s">
        <v>1837</v>
      </c>
      <c r="E107" s="164" t="s">
        <v>1835</v>
      </c>
      <c r="F107" s="260" t="s">
        <v>1840</v>
      </c>
    </row>
    <row r="108" spans="1:6" x14ac:dyDescent="0.75">
      <c r="A108" s="164" t="s">
        <v>1448</v>
      </c>
      <c r="B108" s="260" t="str">
        <f>B9</f>
        <v>RCP-SMC-000162</v>
      </c>
      <c r="C108" s="164" t="s">
        <v>1846</v>
      </c>
      <c r="D108" s="164" t="s">
        <v>1837</v>
      </c>
      <c r="E108" s="164" t="s">
        <v>1835</v>
      </c>
      <c r="F108" s="260" t="s">
        <v>1845</v>
      </c>
    </row>
    <row r="109" spans="1:6" x14ac:dyDescent="0.75">
      <c r="A109" s="164" t="s">
        <v>1448</v>
      </c>
      <c r="B109" s="260" t="str">
        <f>B59</f>
        <v>RCP-SMC-000128</v>
      </c>
      <c r="C109" s="164" t="s">
        <v>1849</v>
      </c>
      <c r="D109" s="164" t="s">
        <v>1847</v>
      </c>
      <c r="E109" s="164" t="s">
        <v>1835</v>
      </c>
      <c r="F109" s="260" t="s">
        <v>1848</v>
      </c>
    </row>
    <row r="110" spans="1:6" x14ac:dyDescent="0.75">
      <c r="A110" s="164" t="s">
        <v>1448</v>
      </c>
      <c r="B110" s="265" t="str">
        <f>B60</f>
        <v>RCP-SMC-000132</v>
      </c>
      <c r="C110" s="164" t="s">
        <v>1851</v>
      </c>
      <c r="D110" s="164" t="s">
        <v>1847</v>
      </c>
      <c r="E110" s="164" t="s">
        <v>1835</v>
      </c>
      <c r="F110" s="260" t="s">
        <v>1850</v>
      </c>
    </row>
    <row r="111" spans="1:6" x14ac:dyDescent="0.75">
      <c r="A111" s="164" t="s">
        <v>1448</v>
      </c>
      <c r="B111" s="260" t="str">
        <f>'Master – Recipes'!A96</f>
        <v>RCP-SMC-000093</v>
      </c>
      <c r="C111" s="164" t="s">
        <v>1942</v>
      </c>
      <c r="D111" s="164" t="s">
        <v>1863</v>
      </c>
      <c r="E111" s="164" t="s">
        <v>1862</v>
      </c>
      <c r="F111" s="260" t="s">
        <v>1941</v>
      </c>
    </row>
    <row r="112" spans="1:6" x14ac:dyDescent="0.75">
      <c r="A112" s="164" t="s">
        <v>1448</v>
      </c>
      <c r="B112" s="260" t="str">
        <f>'Master – Recipes'!A97</f>
        <v>RCP-SMC-000094</v>
      </c>
      <c r="C112" s="164" t="s">
        <v>1943</v>
      </c>
      <c r="D112" s="164" t="s">
        <v>1863</v>
      </c>
      <c r="E112" s="164" t="s">
        <v>1862</v>
      </c>
      <c r="F112" s="260" t="s">
        <v>1864</v>
      </c>
    </row>
    <row r="113" spans="1:6" x14ac:dyDescent="0.75">
      <c r="A113" s="164" t="s">
        <v>1448</v>
      </c>
      <c r="B113" s="260" t="str">
        <f>B63</f>
        <v>RCP-SMC-000086</v>
      </c>
      <c r="C113" s="162" t="s">
        <v>1868</v>
      </c>
      <c r="D113" s="164" t="s">
        <v>1863</v>
      </c>
      <c r="E113" s="164" t="s">
        <v>1862</v>
      </c>
      <c r="F113" s="260" t="s">
        <v>1867</v>
      </c>
    </row>
    <row r="114" spans="1:6" x14ac:dyDescent="0.75">
      <c r="A114" s="164" t="s">
        <v>1448</v>
      </c>
      <c r="B114" s="260" t="str">
        <f>'Master – Recipes'!A155</f>
        <v>RCP-SMC-000152</v>
      </c>
      <c r="C114" s="164" t="s">
        <v>1944</v>
      </c>
      <c r="D114" s="164" t="s">
        <v>1778</v>
      </c>
      <c r="E114" s="164" t="s">
        <v>1862</v>
      </c>
      <c r="F114" s="260" t="s">
        <v>1864</v>
      </c>
    </row>
    <row r="115" spans="1:6" x14ac:dyDescent="0.75">
      <c r="A115" s="164" t="s">
        <v>1448</v>
      </c>
      <c r="B115" s="260" t="str">
        <f>B17</f>
        <v>RCP-SMC-000149</v>
      </c>
      <c r="C115" s="164" t="s">
        <v>1872</v>
      </c>
      <c r="D115" s="164" t="s">
        <v>1778</v>
      </c>
      <c r="E115" s="164" t="s">
        <v>1862</v>
      </c>
      <c r="F115" s="260" t="s">
        <v>1869</v>
      </c>
    </row>
    <row r="116" spans="1:6" x14ac:dyDescent="0.75">
      <c r="A116" s="164" t="s">
        <v>1448</v>
      </c>
      <c r="B116" s="260" t="str">
        <f>'Master – Recipes'!A7</f>
        <v>RCP-SMC-000012</v>
      </c>
      <c r="C116" s="164" t="s">
        <v>1945</v>
      </c>
      <c r="D116" s="164" t="s">
        <v>1873</v>
      </c>
      <c r="E116" s="164" t="s">
        <v>1862</v>
      </c>
      <c r="F116" s="260" t="s">
        <v>1864</v>
      </c>
    </row>
    <row r="117" spans="1:6" x14ac:dyDescent="0.75">
      <c r="A117" s="164" t="s">
        <v>1448</v>
      </c>
      <c r="B117" s="260" t="str">
        <f>'Master – Recipes'!A92</f>
        <v>RCP-SMC-00009</v>
      </c>
      <c r="C117" s="162" t="s">
        <v>1946</v>
      </c>
      <c r="D117" s="164" t="s">
        <v>1873</v>
      </c>
      <c r="E117" s="164" t="s">
        <v>1862</v>
      </c>
      <c r="F117" s="260" t="s">
        <v>1864</v>
      </c>
    </row>
    <row r="118" spans="1:6" x14ac:dyDescent="0.75">
      <c r="A118" s="164" t="s">
        <v>1448</v>
      </c>
      <c r="B118" s="260" t="str">
        <f>'Master – Recipes'!A10</f>
        <v>RCP-SMC-000015</v>
      </c>
      <c r="C118" s="162" t="s">
        <v>1947</v>
      </c>
      <c r="D118" s="164" t="s">
        <v>1873</v>
      </c>
      <c r="E118" s="164" t="s">
        <v>1862</v>
      </c>
      <c r="F118" s="260" t="s">
        <v>1864</v>
      </c>
    </row>
    <row r="119" spans="1:6" x14ac:dyDescent="0.75">
      <c r="A119" s="164" t="s">
        <v>1448</v>
      </c>
      <c r="B119" s="260" t="str">
        <f>B70</f>
        <v>RCP-SMC-000063</v>
      </c>
      <c r="C119" s="162" t="s">
        <v>1878</v>
      </c>
      <c r="D119" s="164" t="s">
        <v>1877</v>
      </c>
      <c r="E119" s="164" t="s">
        <v>1862</v>
      </c>
      <c r="F119" s="260" t="s">
        <v>1864</v>
      </c>
    </row>
    <row r="120" spans="1:6" x14ac:dyDescent="0.75">
      <c r="A120" s="164" t="s">
        <v>1448</v>
      </c>
      <c r="B120" s="260" t="str">
        <f>'Master – Recipes'!A71</f>
        <v>RCP-SMC-000070</v>
      </c>
      <c r="C120" s="162" t="s">
        <v>1926</v>
      </c>
      <c r="D120" s="164" t="s">
        <v>1877</v>
      </c>
      <c r="E120" s="164" t="s">
        <v>1862</v>
      </c>
      <c r="F120" s="260" t="s">
        <v>1879</v>
      </c>
    </row>
    <row r="121" spans="1:6" ht="40.799999999999997" x14ac:dyDescent="0.75">
      <c r="A121" s="164" t="s">
        <v>1448</v>
      </c>
      <c r="B121" s="260" t="str">
        <f>'Master – Recipes'!A8</f>
        <v>RCP-SMC-000013</v>
      </c>
      <c r="C121" s="162" t="s">
        <v>1948</v>
      </c>
      <c r="D121" s="164" t="s">
        <v>1877</v>
      </c>
      <c r="E121" s="164" t="s">
        <v>1862</v>
      </c>
      <c r="F121" s="260" t="s">
        <v>1881</v>
      </c>
    </row>
    <row r="122" spans="1:6" x14ac:dyDescent="0.75">
      <c r="A122" s="164" t="s">
        <v>1448</v>
      </c>
      <c r="B122" s="260" t="str">
        <f>B100</f>
        <v>RCP-SMC-000071</v>
      </c>
      <c r="C122" s="162" t="s">
        <v>1928</v>
      </c>
      <c r="D122" s="164" t="s">
        <v>1877</v>
      </c>
      <c r="E122" s="164" t="s">
        <v>1862</v>
      </c>
      <c r="F122" s="260" t="s">
        <v>1883</v>
      </c>
    </row>
    <row r="123" spans="1:6" x14ac:dyDescent="0.75">
      <c r="A123" s="164" t="s">
        <v>1448</v>
      </c>
      <c r="B123" s="260" t="str">
        <f>B101</f>
        <v>RCP-SMC-000068</v>
      </c>
      <c r="C123" s="162" t="s">
        <v>1885</v>
      </c>
      <c r="D123" s="164" t="s">
        <v>1877</v>
      </c>
      <c r="E123" s="164" t="s">
        <v>1862</v>
      </c>
      <c r="F123" s="260" t="s">
        <v>1864</v>
      </c>
    </row>
    <row r="124" spans="1:6" x14ac:dyDescent="0.75">
      <c r="A124" s="164" t="s">
        <v>1448</v>
      </c>
      <c r="B124" s="260" t="str">
        <f>'Master – Recipes'!A12</f>
        <v>RCP-SMC-000017</v>
      </c>
      <c r="C124" s="162" t="s">
        <v>1949</v>
      </c>
      <c r="D124" s="164" t="s">
        <v>1877</v>
      </c>
      <c r="E124" s="164" t="s">
        <v>1862</v>
      </c>
      <c r="F124" s="260" t="s">
        <v>1864</v>
      </c>
    </row>
    <row r="125" spans="1:6" x14ac:dyDescent="0.75">
      <c r="A125" s="164" t="s">
        <v>1448</v>
      </c>
      <c r="B125" s="260" t="str">
        <f>B27</f>
        <v>RCP-SMC-000064</v>
      </c>
      <c r="C125" s="162" t="s">
        <v>1887</v>
      </c>
      <c r="D125" s="164" t="s">
        <v>1877</v>
      </c>
      <c r="E125" s="164" t="s">
        <v>1862</v>
      </c>
      <c r="F125" s="260" t="s">
        <v>1869</v>
      </c>
    </row>
    <row r="126" spans="1:6" x14ac:dyDescent="0.75">
      <c r="A126" s="164" t="s">
        <v>1448</v>
      </c>
      <c r="B126" s="260" t="str">
        <f>B77</f>
        <v>RCP-SMC-000062</v>
      </c>
      <c r="C126" s="162" t="s">
        <v>1888</v>
      </c>
      <c r="D126" s="164" t="s">
        <v>1877</v>
      </c>
      <c r="E126" s="164" t="s">
        <v>1862</v>
      </c>
      <c r="F126" s="260" t="s">
        <v>1869</v>
      </c>
    </row>
    <row r="127" spans="1:6" x14ac:dyDescent="0.75">
      <c r="A127" s="164" t="s">
        <v>1448</v>
      </c>
      <c r="B127" s="260" t="str">
        <f>B29</f>
        <v>RCP-SMC-000067</v>
      </c>
      <c r="C127" s="164" t="s">
        <v>1890</v>
      </c>
      <c r="D127" s="164" t="s">
        <v>1877</v>
      </c>
      <c r="E127" s="164" t="s">
        <v>1862</v>
      </c>
      <c r="F127" s="260" t="s">
        <v>1889</v>
      </c>
    </row>
    <row r="128" spans="1:6" x14ac:dyDescent="0.75">
      <c r="A128" s="164" t="s">
        <v>1448</v>
      </c>
      <c r="B128" s="260" t="str">
        <f>B30</f>
        <v>RCP-SMC-000077</v>
      </c>
      <c r="C128" s="164" t="s">
        <v>1892</v>
      </c>
      <c r="D128" s="164" t="s">
        <v>1819</v>
      </c>
      <c r="E128" s="164" t="s">
        <v>1862</v>
      </c>
      <c r="F128" s="260" t="s">
        <v>1891</v>
      </c>
    </row>
    <row r="129" spans="1:6" x14ac:dyDescent="0.75">
      <c r="A129" s="164" t="s">
        <v>1448</v>
      </c>
      <c r="B129" s="260" t="str">
        <f>B31</f>
        <v>RCP-SMC-000078</v>
      </c>
      <c r="C129" s="164" t="s">
        <v>1893</v>
      </c>
      <c r="D129" s="164" t="s">
        <v>1819</v>
      </c>
      <c r="E129" s="164" t="s">
        <v>1862</v>
      </c>
      <c r="F129" s="260" t="s">
        <v>1891</v>
      </c>
    </row>
    <row r="130" spans="1:6" x14ac:dyDescent="0.75">
      <c r="A130" s="164" t="s">
        <v>1448</v>
      </c>
      <c r="B130" s="260" t="str">
        <f>'Master – Recipes'!A82</f>
        <v>RCP-SMC-000080</v>
      </c>
      <c r="C130" s="164" t="s">
        <v>1950</v>
      </c>
      <c r="D130" s="164" t="s">
        <v>1819</v>
      </c>
      <c r="E130" s="164" t="s">
        <v>1862</v>
      </c>
      <c r="F130" s="260" t="s">
        <v>1891</v>
      </c>
    </row>
    <row r="131" spans="1:6" x14ac:dyDescent="0.75">
      <c r="A131" s="164" t="s">
        <v>1448</v>
      </c>
      <c r="B131" s="260" t="str">
        <f>'Master – Recipes'!A86</f>
        <v>RCP-SMC-000084</v>
      </c>
      <c r="C131" s="164" t="s">
        <v>1895</v>
      </c>
      <c r="D131" s="164" t="s">
        <v>1819</v>
      </c>
      <c r="E131" s="164" t="s">
        <v>1862</v>
      </c>
      <c r="F131" s="260" t="s">
        <v>1891</v>
      </c>
    </row>
    <row r="132" spans="1:6" x14ac:dyDescent="0.75">
      <c r="A132" s="164" t="s">
        <v>1448</v>
      </c>
      <c r="B132" s="260" t="str">
        <f>B83</f>
        <v>RCP-SMC-000073</v>
      </c>
      <c r="C132" s="164" t="s">
        <v>1896</v>
      </c>
      <c r="D132" s="164" t="s">
        <v>1819</v>
      </c>
      <c r="E132" s="164" t="s">
        <v>1862</v>
      </c>
      <c r="F132" s="260" t="s">
        <v>1869</v>
      </c>
    </row>
    <row r="133" spans="1:6" x14ac:dyDescent="0.75">
      <c r="A133" s="164" t="s">
        <v>1448</v>
      </c>
      <c r="B133" s="260" t="str">
        <f>B84</f>
        <v>RCP-SMC-000074</v>
      </c>
      <c r="C133" s="164" t="s">
        <v>1898</v>
      </c>
      <c r="D133" s="164" t="s">
        <v>1819</v>
      </c>
      <c r="E133" s="164" t="s">
        <v>1862</v>
      </c>
      <c r="F133" s="260" t="s">
        <v>1897</v>
      </c>
    </row>
    <row r="134" spans="1:6" x14ac:dyDescent="0.75">
      <c r="A134" s="164" t="s">
        <v>1448</v>
      </c>
      <c r="B134" s="260" t="str">
        <f>B85</f>
        <v>RCP-SMC-000075</v>
      </c>
      <c r="C134" s="164" t="s">
        <v>1899</v>
      </c>
      <c r="D134" s="164" t="s">
        <v>1819</v>
      </c>
      <c r="E134" s="164" t="s">
        <v>1862</v>
      </c>
      <c r="F134" s="260" t="s">
        <v>1867</v>
      </c>
    </row>
    <row r="135" spans="1:6" x14ac:dyDescent="0.75">
      <c r="A135" s="164" t="s">
        <v>1448</v>
      </c>
      <c r="B135" s="260" t="str">
        <f>B86</f>
        <v>RCP-SMC-000076</v>
      </c>
      <c r="C135" s="164" t="s">
        <v>1584</v>
      </c>
      <c r="D135" s="164" t="s">
        <v>1819</v>
      </c>
      <c r="E135" s="164" t="s">
        <v>1862</v>
      </c>
      <c r="F135" s="260" t="s">
        <v>1869</v>
      </c>
    </row>
    <row r="136" spans="1:6" x14ac:dyDescent="0.75">
      <c r="A136" s="164" t="s">
        <v>1448</v>
      </c>
      <c r="B136" s="260" t="str">
        <f>'Master – Recipes'!A99</f>
        <v>RCP-SMC-000096</v>
      </c>
      <c r="C136" s="164" t="s">
        <v>1951</v>
      </c>
      <c r="D136" s="164" t="s">
        <v>1863</v>
      </c>
      <c r="E136" s="164" t="s">
        <v>1900</v>
      </c>
      <c r="F136" s="260" t="s">
        <v>1864</v>
      </c>
    </row>
    <row r="137" spans="1:6" x14ac:dyDescent="0.75">
      <c r="A137" s="164" t="s">
        <v>1448</v>
      </c>
      <c r="B137" s="260" t="str">
        <f>'Master – Recipes'!A98</f>
        <v>RCP-SMC-000095</v>
      </c>
      <c r="C137" s="164" t="s">
        <v>1952</v>
      </c>
      <c r="D137" s="164" t="s">
        <v>1863</v>
      </c>
      <c r="E137" s="164" t="s">
        <v>1900</v>
      </c>
      <c r="F137" s="260" t="s">
        <v>1864</v>
      </c>
    </row>
    <row r="138" spans="1:6" x14ac:dyDescent="0.75">
      <c r="A138" s="164" t="s">
        <v>1448</v>
      </c>
      <c r="B138" s="260" t="str">
        <f>B113</f>
        <v>RCP-SMC-000086</v>
      </c>
      <c r="C138" s="162" t="s">
        <v>1868</v>
      </c>
      <c r="D138" s="164" t="s">
        <v>1863</v>
      </c>
      <c r="E138" s="164" t="s">
        <v>1900</v>
      </c>
      <c r="F138" s="260" t="s">
        <v>1867</v>
      </c>
    </row>
    <row r="139" spans="1:6" x14ac:dyDescent="0.75">
      <c r="A139" s="164" t="s">
        <v>1448</v>
      </c>
      <c r="B139" s="260" t="str">
        <f>B41</f>
        <v>RCP-SMC-000150</v>
      </c>
      <c r="C139" s="164" t="s">
        <v>1905</v>
      </c>
      <c r="D139" s="164" t="s">
        <v>1778</v>
      </c>
      <c r="E139" s="164" t="s">
        <v>1900</v>
      </c>
      <c r="F139" s="260" t="s">
        <v>1864</v>
      </c>
    </row>
    <row r="140" spans="1:6" x14ac:dyDescent="0.75">
      <c r="A140" s="164" t="s">
        <v>1448</v>
      </c>
      <c r="B140" s="260" t="str">
        <f>B17</f>
        <v>RCP-SMC-000149</v>
      </c>
      <c r="C140" s="164" t="s">
        <v>1872</v>
      </c>
      <c r="D140" s="164" t="s">
        <v>1778</v>
      </c>
      <c r="E140" s="164" t="s">
        <v>1900</v>
      </c>
      <c r="F140" s="260" t="s">
        <v>1869</v>
      </c>
    </row>
    <row r="141" spans="1:6" x14ac:dyDescent="0.75">
      <c r="A141" s="164" t="s">
        <v>1448</v>
      </c>
      <c r="B141" s="260" t="str">
        <f>'Master – Recipes'!A64</f>
        <v>RCP-SMC-000064</v>
      </c>
      <c r="C141" s="162" t="s">
        <v>1953</v>
      </c>
      <c r="D141" s="164" t="s">
        <v>1906</v>
      </c>
      <c r="E141" s="164" t="s">
        <v>1900</v>
      </c>
      <c r="F141" s="260" t="s">
        <v>1864</v>
      </c>
    </row>
    <row r="142" spans="1:6" x14ac:dyDescent="0.75">
      <c r="A142" s="164" t="s">
        <v>1448</v>
      </c>
      <c r="B142" s="260" t="str">
        <f>'Master – Recipes'!A11</f>
        <v>RCP-SMC-000016</v>
      </c>
      <c r="C142" s="164" t="s">
        <v>1954</v>
      </c>
      <c r="D142" s="164" t="s">
        <v>1906</v>
      </c>
      <c r="E142" s="164" t="s">
        <v>1900</v>
      </c>
      <c r="F142" s="260" t="s">
        <v>1864</v>
      </c>
    </row>
    <row r="143" spans="1:6" x14ac:dyDescent="0.75">
      <c r="A143" s="164" t="s">
        <v>1448</v>
      </c>
      <c r="B143" s="260" t="str">
        <f>'Master – Recipes'!A5</f>
        <v>RCP-SMC-000010</v>
      </c>
      <c r="C143" s="164" t="s">
        <v>1955</v>
      </c>
      <c r="D143" s="164" t="s">
        <v>1906</v>
      </c>
      <c r="E143" s="164" t="s">
        <v>1900</v>
      </c>
      <c r="F143" s="260" t="s">
        <v>1864</v>
      </c>
    </row>
    <row r="144" spans="1:6" x14ac:dyDescent="0.75">
      <c r="A144" s="164" t="s">
        <v>1448</v>
      </c>
      <c r="B144" s="260" t="str">
        <f>'Master – Recipes'!A9</f>
        <v>RCP-SMC-000014</v>
      </c>
      <c r="C144" s="162" t="s">
        <v>1956</v>
      </c>
      <c r="D144" s="164" t="s">
        <v>1906</v>
      </c>
      <c r="E144" s="164" t="s">
        <v>1900</v>
      </c>
      <c r="F144" s="260" t="s">
        <v>1910</v>
      </c>
    </row>
    <row r="145" spans="1:6" x14ac:dyDescent="0.75">
      <c r="A145" s="164" t="s">
        <v>1448</v>
      </c>
      <c r="B145" s="260" t="str">
        <f t="shared" ref="B145:B151" si="1">B97</f>
        <v>RCP-SMC-000065</v>
      </c>
      <c r="C145" s="162" t="s">
        <v>1913</v>
      </c>
      <c r="D145" s="164" t="s">
        <v>1912</v>
      </c>
      <c r="E145" s="164" t="s">
        <v>1900</v>
      </c>
      <c r="F145" s="260" t="s">
        <v>1864</v>
      </c>
    </row>
    <row r="146" spans="1:6" x14ac:dyDescent="0.75">
      <c r="A146" s="164" t="s">
        <v>1448</v>
      </c>
      <c r="B146" s="260" t="str">
        <f t="shared" si="1"/>
        <v>RCP-SMC-000070</v>
      </c>
      <c r="C146" s="162" t="s">
        <v>1914</v>
      </c>
      <c r="D146" s="164" t="s">
        <v>1912</v>
      </c>
      <c r="E146" s="164" t="s">
        <v>1900</v>
      </c>
      <c r="F146" s="260" t="s">
        <v>1879</v>
      </c>
    </row>
    <row r="147" spans="1:6" ht="40.799999999999997" x14ac:dyDescent="0.75">
      <c r="A147" s="164" t="s">
        <v>1448</v>
      </c>
      <c r="B147" s="260" t="str">
        <f t="shared" si="1"/>
        <v>RCP-SMC-000072</v>
      </c>
      <c r="C147" s="162" t="s">
        <v>1940</v>
      </c>
      <c r="D147" s="164" t="s">
        <v>1912</v>
      </c>
      <c r="E147" s="164" t="s">
        <v>1900</v>
      </c>
      <c r="F147" s="260" t="s">
        <v>1881</v>
      </c>
    </row>
    <row r="148" spans="1:6" x14ac:dyDescent="0.75">
      <c r="A148" s="164" t="s">
        <v>1448</v>
      </c>
      <c r="B148" s="260" t="str">
        <f t="shared" si="1"/>
        <v>RCP-SMC-000071</v>
      </c>
      <c r="C148" s="162" t="s">
        <v>1916</v>
      </c>
      <c r="D148" s="164" t="s">
        <v>1912</v>
      </c>
      <c r="E148" s="164" t="s">
        <v>1900</v>
      </c>
      <c r="F148" s="260" t="s">
        <v>1883</v>
      </c>
    </row>
    <row r="149" spans="1:6" x14ac:dyDescent="0.75">
      <c r="A149" s="164" t="s">
        <v>1448</v>
      </c>
      <c r="B149" s="260" t="str">
        <f t="shared" si="1"/>
        <v>RCP-SMC-000068</v>
      </c>
      <c r="C149" s="162" t="s">
        <v>1885</v>
      </c>
      <c r="D149" s="164" t="s">
        <v>1912</v>
      </c>
      <c r="E149" s="164" t="s">
        <v>1900</v>
      </c>
      <c r="F149" s="260" t="s">
        <v>1864</v>
      </c>
    </row>
    <row r="150" spans="1:6" x14ac:dyDescent="0.75">
      <c r="A150" s="164" t="s">
        <v>1448</v>
      </c>
      <c r="B150" s="260" t="str">
        <f t="shared" si="1"/>
        <v>RCP-SMC-000066</v>
      </c>
      <c r="C150" s="162" t="s">
        <v>1917</v>
      </c>
      <c r="D150" s="164" t="s">
        <v>1912</v>
      </c>
      <c r="E150" s="164" t="s">
        <v>1900</v>
      </c>
      <c r="F150" s="260" t="s">
        <v>1869</v>
      </c>
    </row>
    <row r="151" spans="1:6" x14ac:dyDescent="0.75">
      <c r="A151" s="164" t="s">
        <v>1448</v>
      </c>
      <c r="B151" s="260" t="str">
        <f t="shared" si="1"/>
        <v>RCP-SMC-000069</v>
      </c>
      <c r="C151" s="162" t="s">
        <v>1918</v>
      </c>
      <c r="D151" s="164" t="s">
        <v>1912</v>
      </c>
      <c r="E151" s="164" t="s">
        <v>1900</v>
      </c>
      <c r="F151" s="260" t="s">
        <v>1889</v>
      </c>
    </row>
    <row r="152" spans="1:6" x14ac:dyDescent="0.75">
      <c r="A152" s="164" t="s">
        <v>1467</v>
      </c>
      <c r="B152" s="260" t="str">
        <f>'Master – Recipes'!A169</f>
        <v>RCP-SMC-000166</v>
      </c>
      <c r="C152" s="164" t="s">
        <v>1858</v>
      </c>
      <c r="D152" s="164" t="s">
        <v>1837</v>
      </c>
      <c r="E152" s="164" t="s">
        <v>1835</v>
      </c>
      <c r="F152" s="260" t="s">
        <v>1838</v>
      </c>
    </row>
    <row r="153" spans="1:6" x14ac:dyDescent="0.75">
      <c r="A153" s="164" t="s">
        <v>1467</v>
      </c>
      <c r="B153" s="260" t="str">
        <f>B105</f>
        <v>RCP-SMC-000159</v>
      </c>
      <c r="C153" s="164" t="s">
        <v>1841</v>
      </c>
      <c r="D153" s="164" t="s">
        <v>1837</v>
      </c>
      <c r="E153" s="164" t="s">
        <v>1835</v>
      </c>
      <c r="F153" s="260" t="s">
        <v>1840</v>
      </c>
    </row>
    <row r="154" spans="1:6" x14ac:dyDescent="0.75">
      <c r="A154" s="164" t="s">
        <v>1467</v>
      </c>
      <c r="B154" s="260" t="str">
        <f>B106</f>
        <v>RCP-SMC-000160</v>
      </c>
      <c r="C154" s="164" t="s">
        <v>1843</v>
      </c>
      <c r="D154" s="164" t="s">
        <v>1837</v>
      </c>
      <c r="E154" s="164" t="s">
        <v>1835</v>
      </c>
      <c r="F154" s="260" t="s">
        <v>1842</v>
      </c>
    </row>
    <row r="155" spans="1:6" x14ac:dyDescent="0.75">
      <c r="A155" s="164" t="s">
        <v>1467</v>
      </c>
      <c r="B155" s="260" t="str">
        <f>B107</f>
        <v>RCP-SMC-000161</v>
      </c>
      <c r="C155" s="164" t="s">
        <v>1854</v>
      </c>
      <c r="D155" s="164" t="s">
        <v>1837</v>
      </c>
      <c r="E155" s="164" t="s">
        <v>1835</v>
      </c>
      <c r="F155" s="260" t="s">
        <v>1840</v>
      </c>
    </row>
    <row r="156" spans="1:6" x14ac:dyDescent="0.75">
      <c r="A156" s="164" t="s">
        <v>1467</v>
      </c>
      <c r="B156" s="260" t="str">
        <f>B58</f>
        <v>RCP-SMC-000164</v>
      </c>
      <c r="C156" s="164" t="s">
        <v>1855</v>
      </c>
      <c r="D156" s="164" t="s">
        <v>1837</v>
      </c>
      <c r="E156" s="164" t="s">
        <v>1835</v>
      </c>
      <c r="F156" s="260" t="s">
        <v>1845</v>
      </c>
    </row>
    <row r="157" spans="1:6" x14ac:dyDescent="0.75">
      <c r="A157" s="164" t="s">
        <v>1467</v>
      </c>
      <c r="B157" s="260" t="str">
        <f>B109</f>
        <v>RCP-SMC-000128</v>
      </c>
      <c r="C157" s="164" t="s">
        <v>1849</v>
      </c>
      <c r="D157" s="164" t="s">
        <v>1847</v>
      </c>
      <c r="E157" s="164" t="s">
        <v>1835</v>
      </c>
      <c r="F157" s="260" t="s">
        <v>1848</v>
      </c>
    </row>
    <row r="158" spans="1:6" x14ac:dyDescent="0.75">
      <c r="A158" s="164" t="s">
        <v>1467</v>
      </c>
      <c r="B158" s="265" t="str">
        <f>B110</f>
        <v>RCP-SMC-000132</v>
      </c>
      <c r="C158" s="164" t="s">
        <v>1851</v>
      </c>
      <c r="D158" s="164" t="s">
        <v>1847</v>
      </c>
      <c r="E158" s="164" t="s">
        <v>1835</v>
      </c>
      <c r="F158" s="260" t="s">
        <v>1850</v>
      </c>
    </row>
    <row r="159" spans="1:6" x14ac:dyDescent="0.75">
      <c r="A159" s="164" t="s">
        <v>1467</v>
      </c>
      <c r="B159" s="260" t="str">
        <f>'Master – Recipes'!A100</f>
        <v>RCP-SMC-000097</v>
      </c>
      <c r="C159" s="164" t="s">
        <v>1957</v>
      </c>
      <c r="D159" s="164" t="s">
        <v>1863</v>
      </c>
      <c r="E159" s="164" t="s">
        <v>1862</v>
      </c>
      <c r="F159" s="260" t="s">
        <v>1864</v>
      </c>
    </row>
    <row r="160" spans="1:6" x14ac:dyDescent="0.75">
      <c r="A160" s="164" t="s">
        <v>1467</v>
      </c>
      <c r="B160" s="260" t="str">
        <f>'Master – Recipes'!A101</f>
        <v>RCP-SMC-000098</v>
      </c>
      <c r="C160" s="164" t="s">
        <v>1958</v>
      </c>
      <c r="D160" s="164" t="s">
        <v>1863</v>
      </c>
      <c r="E160" s="164" t="s">
        <v>1862</v>
      </c>
      <c r="F160" s="260" t="s">
        <v>1864</v>
      </c>
    </row>
    <row r="161" spans="1:6" x14ac:dyDescent="0.75">
      <c r="A161" s="164" t="s">
        <v>1467</v>
      </c>
      <c r="B161" s="260" t="str">
        <f>B138</f>
        <v>RCP-SMC-000086</v>
      </c>
      <c r="C161" s="162" t="s">
        <v>1868</v>
      </c>
      <c r="D161" s="164" t="s">
        <v>1863</v>
      </c>
      <c r="E161" s="164" t="s">
        <v>1862</v>
      </c>
      <c r="F161" s="260" t="s">
        <v>1867</v>
      </c>
    </row>
    <row r="162" spans="1:6" x14ac:dyDescent="0.75">
      <c r="A162" s="164" t="s">
        <v>1467</v>
      </c>
      <c r="B162" s="260" t="str">
        <f>'Master – Recipes'!A102</f>
        <v>RCP-SMC-000099</v>
      </c>
      <c r="C162" s="164" t="s">
        <v>1959</v>
      </c>
      <c r="D162" s="164" t="s">
        <v>1863</v>
      </c>
      <c r="E162" s="164" t="s">
        <v>1862</v>
      </c>
      <c r="F162" s="260" t="s">
        <v>1869</v>
      </c>
    </row>
    <row r="163" spans="1:6" x14ac:dyDescent="0.75">
      <c r="A163" s="164" t="s">
        <v>1467</v>
      </c>
      <c r="B163" s="260" t="str">
        <f>'Master – Recipes'!A156</f>
        <v>RCP-SMC-000153</v>
      </c>
      <c r="C163" s="164" t="s">
        <v>1960</v>
      </c>
      <c r="D163" s="164" t="s">
        <v>1778</v>
      </c>
      <c r="E163" s="164" t="s">
        <v>1862</v>
      </c>
      <c r="F163" s="260" t="s">
        <v>1864</v>
      </c>
    </row>
    <row r="164" spans="1:6" x14ac:dyDescent="0.75">
      <c r="A164" s="164" t="s">
        <v>1467</v>
      </c>
      <c r="B164" s="260" t="str">
        <f>B17</f>
        <v>RCP-SMC-000149</v>
      </c>
      <c r="C164" s="164" t="s">
        <v>1872</v>
      </c>
      <c r="D164" s="164" t="s">
        <v>1778</v>
      </c>
      <c r="E164" s="164" t="s">
        <v>1862</v>
      </c>
      <c r="F164" s="260" t="s">
        <v>1869</v>
      </c>
    </row>
    <row r="165" spans="1:6" x14ac:dyDescent="0.75">
      <c r="A165" s="164" t="s">
        <v>1467</v>
      </c>
      <c r="B165" s="260" t="str">
        <f>'Master – Recipes'!A17</f>
        <v>RCP-SMC-000021</v>
      </c>
      <c r="C165" s="164" t="s">
        <v>1961</v>
      </c>
      <c r="D165" s="164" t="s">
        <v>1873</v>
      </c>
      <c r="E165" s="164" t="s">
        <v>1862</v>
      </c>
      <c r="F165" s="260" t="s">
        <v>1864</v>
      </c>
    </row>
    <row r="166" spans="1:6" x14ac:dyDescent="0.75">
      <c r="A166" s="164" t="s">
        <v>1467</v>
      </c>
      <c r="B166" s="260" t="str">
        <f>'Master – Recipes'!A16</f>
        <v>RCP-SMC-000020</v>
      </c>
      <c r="C166" s="164" t="s">
        <v>1962</v>
      </c>
      <c r="D166" s="164" t="s">
        <v>1873</v>
      </c>
      <c r="E166" s="164" t="s">
        <v>1862</v>
      </c>
      <c r="F166" s="260" t="s">
        <v>1864</v>
      </c>
    </row>
    <row r="167" spans="1:6" x14ac:dyDescent="0.75">
      <c r="A167" s="164" t="s">
        <v>1467</v>
      </c>
      <c r="B167" s="260" t="str">
        <f>'Master – Recipes'!A14</f>
        <v>RCP-SMC-000019</v>
      </c>
      <c r="C167" s="164" t="s">
        <v>1963</v>
      </c>
      <c r="D167" s="164" t="s">
        <v>1873</v>
      </c>
      <c r="E167" s="164" t="s">
        <v>1862</v>
      </c>
      <c r="F167" s="260" t="s">
        <v>1864</v>
      </c>
    </row>
    <row r="168" spans="1:6" x14ac:dyDescent="0.75">
      <c r="A168" s="164" t="s">
        <v>1467</v>
      </c>
      <c r="B168" s="260" t="str">
        <f>B119</f>
        <v>RCP-SMC-000063</v>
      </c>
      <c r="C168" s="162" t="s">
        <v>1878</v>
      </c>
      <c r="D168" s="164" t="s">
        <v>1877</v>
      </c>
      <c r="E168" s="164" t="s">
        <v>1862</v>
      </c>
      <c r="F168" s="260" t="s">
        <v>1864</v>
      </c>
    </row>
    <row r="169" spans="1:6" x14ac:dyDescent="0.75">
      <c r="A169" s="164" t="s">
        <v>1467</v>
      </c>
      <c r="B169" s="260" t="str">
        <f>B120</f>
        <v>RCP-SMC-000070</v>
      </c>
      <c r="C169" s="162" t="s">
        <v>1926</v>
      </c>
      <c r="D169" s="164" t="s">
        <v>1877</v>
      </c>
      <c r="E169" s="164" t="s">
        <v>1862</v>
      </c>
      <c r="F169" s="260" t="s">
        <v>1879</v>
      </c>
    </row>
    <row r="170" spans="1:6" ht="40.799999999999997" x14ac:dyDescent="0.75">
      <c r="A170" s="164" t="s">
        <v>1467</v>
      </c>
      <c r="B170" s="260" t="str">
        <f>'Master – Recipes'!A19</f>
        <v>RCP-SMC-000023</v>
      </c>
      <c r="C170" s="162" t="s">
        <v>1964</v>
      </c>
      <c r="D170" s="164" t="s">
        <v>1877</v>
      </c>
      <c r="E170" s="164" t="s">
        <v>1862</v>
      </c>
      <c r="F170" s="260" t="s">
        <v>1881</v>
      </c>
    </row>
    <row r="171" spans="1:6" x14ac:dyDescent="0.75">
      <c r="A171" s="164" t="s">
        <v>1467</v>
      </c>
      <c r="B171" s="260" t="str">
        <f>B148</f>
        <v>RCP-SMC-000071</v>
      </c>
      <c r="C171" s="162" t="s">
        <v>1916</v>
      </c>
      <c r="D171" s="164" t="s">
        <v>1877</v>
      </c>
      <c r="E171" s="164" t="s">
        <v>1862</v>
      </c>
      <c r="F171" s="260" t="s">
        <v>1883</v>
      </c>
    </row>
    <row r="172" spans="1:6" x14ac:dyDescent="0.75">
      <c r="A172" s="164" t="s">
        <v>1467</v>
      </c>
      <c r="B172" s="260" t="str">
        <f>B123</f>
        <v>RCP-SMC-000068</v>
      </c>
      <c r="C172" s="162" t="s">
        <v>1885</v>
      </c>
      <c r="D172" s="164" t="s">
        <v>1877</v>
      </c>
      <c r="E172" s="164" t="s">
        <v>1862</v>
      </c>
      <c r="F172" s="260" t="s">
        <v>1864</v>
      </c>
    </row>
    <row r="173" spans="1:6" x14ac:dyDescent="0.75">
      <c r="A173" s="164" t="s">
        <v>1467</v>
      </c>
      <c r="B173" s="260" t="str">
        <f>'Master – Recipes'!A22</f>
        <v>RCP-SMC-000026</v>
      </c>
      <c r="C173" s="162" t="s">
        <v>1965</v>
      </c>
      <c r="D173" s="164" t="s">
        <v>1877</v>
      </c>
      <c r="E173" s="164" t="s">
        <v>1862</v>
      </c>
      <c r="F173" s="260" t="s">
        <v>1864</v>
      </c>
    </row>
    <row r="174" spans="1:6" x14ac:dyDescent="0.75">
      <c r="A174" s="164" t="s">
        <v>1467</v>
      </c>
      <c r="B174" s="260" t="str">
        <f>B125</f>
        <v>RCP-SMC-000064</v>
      </c>
      <c r="C174" s="162" t="s">
        <v>1887</v>
      </c>
      <c r="D174" s="164" t="s">
        <v>1877</v>
      </c>
      <c r="E174" s="164" t="s">
        <v>1862</v>
      </c>
      <c r="F174" s="260" t="s">
        <v>1869</v>
      </c>
    </row>
    <row r="175" spans="1:6" x14ac:dyDescent="0.75">
      <c r="A175" s="164" t="s">
        <v>1467</v>
      </c>
      <c r="B175" s="260" t="str">
        <f>B77</f>
        <v>RCP-SMC-000062</v>
      </c>
      <c r="C175" s="162" t="s">
        <v>1888</v>
      </c>
      <c r="D175" s="164" t="s">
        <v>1877</v>
      </c>
      <c r="E175" s="164" t="s">
        <v>1862</v>
      </c>
      <c r="F175" s="260" t="s">
        <v>1869</v>
      </c>
    </row>
    <row r="176" spans="1:6" x14ac:dyDescent="0.75">
      <c r="A176" s="164" t="s">
        <v>1467</v>
      </c>
      <c r="B176" s="260" t="str">
        <f>B127</f>
        <v>RCP-SMC-000067</v>
      </c>
      <c r="C176" s="164" t="s">
        <v>1890</v>
      </c>
      <c r="D176" s="164" t="s">
        <v>1877</v>
      </c>
      <c r="E176" s="164" t="s">
        <v>1862</v>
      </c>
      <c r="F176" s="260" t="s">
        <v>1889</v>
      </c>
    </row>
    <row r="177" spans="1:6" x14ac:dyDescent="0.75">
      <c r="A177" s="164" t="s">
        <v>1467</v>
      </c>
      <c r="B177" s="260" t="str">
        <f>B30</f>
        <v>RCP-SMC-000077</v>
      </c>
      <c r="C177" s="164" t="s">
        <v>1892</v>
      </c>
      <c r="D177" s="164" t="s">
        <v>1819</v>
      </c>
      <c r="E177" s="164" t="s">
        <v>1862</v>
      </c>
      <c r="F177" s="260" t="s">
        <v>1891</v>
      </c>
    </row>
    <row r="178" spans="1:6" x14ac:dyDescent="0.75">
      <c r="A178" s="164" t="s">
        <v>1467</v>
      </c>
      <c r="B178" s="260" t="str">
        <f>B31</f>
        <v>RCP-SMC-000078</v>
      </c>
      <c r="C178" s="164" t="s">
        <v>1893</v>
      </c>
      <c r="D178" s="164" t="s">
        <v>1819</v>
      </c>
      <c r="E178" s="164" t="s">
        <v>1862</v>
      </c>
      <c r="F178" s="260" t="s">
        <v>1891</v>
      </c>
    </row>
    <row r="179" spans="1:6" x14ac:dyDescent="0.75">
      <c r="A179" s="164" t="s">
        <v>1467</v>
      </c>
      <c r="B179" s="260" t="str">
        <f>'Master – Recipes'!A83</f>
        <v>RCP-SMC-000081</v>
      </c>
      <c r="C179" s="164" t="s">
        <v>1966</v>
      </c>
      <c r="D179" s="164" t="s">
        <v>1819</v>
      </c>
      <c r="E179" s="164" t="s">
        <v>1862</v>
      </c>
      <c r="F179" s="260" t="s">
        <v>1891</v>
      </c>
    </row>
    <row r="180" spans="1:6" x14ac:dyDescent="0.75">
      <c r="A180" s="164" t="s">
        <v>1467</v>
      </c>
      <c r="B180" s="260" t="str">
        <f>'Master – Recipes'!A86</f>
        <v>RCP-SMC-000084</v>
      </c>
      <c r="C180" s="164" t="s">
        <v>1895</v>
      </c>
      <c r="D180" s="164" t="s">
        <v>1819</v>
      </c>
      <c r="E180" s="164" t="s">
        <v>1862</v>
      </c>
      <c r="F180" s="260" t="s">
        <v>1891</v>
      </c>
    </row>
    <row r="181" spans="1:6" x14ac:dyDescent="0.75">
      <c r="A181" s="164" t="s">
        <v>1467</v>
      </c>
      <c r="B181" s="260" t="str">
        <f>B132</f>
        <v>RCP-SMC-000073</v>
      </c>
      <c r="C181" s="164" t="s">
        <v>1896</v>
      </c>
      <c r="D181" s="164" t="s">
        <v>1819</v>
      </c>
      <c r="E181" s="164" t="s">
        <v>1862</v>
      </c>
      <c r="F181" s="260" t="s">
        <v>1869</v>
      </c>
    </row>
    <row r="182" spans="1:6" x14ac:dyDescent="0.75">
      <c r="A182" s="164" t="s">
        <v>1467</v>
      </c>
      <c r="B182" s="260" t="str">
        <f>B35</f>
        <v>RCP-SMC-000074</v>
      </c>
      <c r="C182" s="164" t="s">
        <v>1898</v>
      </c>
      <c r="D182" s="164" t="s">
        <v>1819</v>
      </c>
      <c r="E182" s="164" t="s">
        <v>1862</v>
      </c>
      <c r="F182" s="260" t="s">
        <v>1897</v>
      </c>
    </row>
    <row r="183" spans="1:6" x14ac:dyDescent="0.75">
      <c r="A183" s="164" t="s">
        <v>1467</v>
      </c>
      <c r="B183" s="260" t="str">
        <f>B134</f>
        <v>RCP-SMC-000075</v>
      </c>
      <c r="C183" s="164" t="s">
        <v>1899</v>
      </c>
      <c r="D183" s="164" t="s">
        <v>1819</v>
      </c>
      <c r="E183" s="164" t="s">
        <v>1862</v>
      </c>
      <c r="F183" s="260" t="s">
        <v>1867</v>
      </c>
    </row>
    <row r="184" spans="1:6" x14ac:dyDescent="0.75">
      <c r="A184" s="164" t="s">
        <v>1467</v>
      </c>
      <c r="B184" s="260" t="str">
        <f>B135</f>
        <v>RCP-SMC-000076</v>
      </c>
      <c r="C184" s="164" t="s">
        <v>1584</v>
      </c>
      <c r="D184" s="164" t="s">
        <v>1819</v>
      </c>
      <c r="E184" s="164" t="s">
        <v>1862</v>
      </c>
      <c r="F184" s="260" t="s">
        <v>1869</v>
      </c>
    </row>
    <row r="185" spans="1:6" x14ac:dyDescent="0.75">
      <c r="A185" s="164" t="s">
        <v>1467</v>
      </c>
      <c r="B185" s="260" t="str">
        <f>B111</f>
        <v>RCP-SMC-000093</v>
      </c>
      <c r="C185" s="164" t="s">
        <v>1942</v>
      </c>
      <c r="D185" s="164" t="s">
        <v>1863</v>
      </c>
      <c r="E185" s="164" t="s">
        <v>1900</v>
      </c>
      <c r="F185" s="260" t="s">
        <v>1864</v>
      </c>
    </row>
    <row r="186" spans="1:6" x14ac:dyDescent="0.75">
      <c r="A186" s="164" t="s">
        <v>1467</v>
      </c>
      <c r="B186" s="260" t="str">
        <f>'Master – Recipes'!A104</f>
        <v>RCP-SMC-000101</v>
      </c>
      <c r="C186" s="164" t="s">
        <v>1967</v>
      </c>
      <c r="D186" s="164" t="s">
        <v>1863</v>
      </c>
      <c r="E186" s="164" t="s">
        <v>1900</v>
      </c>
      <c r="F186" s="260" t="s">
        <v>1864</v>
      </c>
    </row>
    <row r="187" spans="1:6" x14ac:dyDescent="0.75">
      <c r="A187" s="164" t="s">
        <v>1467</v>
      </c>
      <c r="B187" s="260" t="str">
        <f>B161</f>
        <v>RCP-SMC-000086</v>
      </c>
      <c r="C187" s="162" t="s">
        <v>1868</v>
      </c>
      <c r="D187" s="164" t="s">
        <v>1863</v>
      </c>
      <c r="E187" s="164" t="s">
        <v>1900</v>
      </c>
      <c r="F187" s="260" t="s">
        <v>1867</v>
      </c>
    </row>
    <row r="188" spans="1:6" x14ac:dyDescent="0.75">
      <c r="A188" s="164" t="s">
        <v>1467</v>
      </c>
      <c r="B188" s="260" t="str">
        <f>B41</f>
        <v>RCP-SMC-000150</v>
      </c>
      <c r="C188" s="164" t="s">
        <v>1905</v>
      </c>
      <c r="D188" s="164" t="s">
        <v>1778</v>
      </c>
      <c r="E188" s="164" t="s">
        <v>1900</v>
      </c>
      <c r="F188" s="260" t="s">
        <v>1864</v>
      </c>
    </row>
    <row r="189" spans="1:6" x14ac:dyDescent="0.75">
      <c r="A189" s="164" t="s">
        <v>1467</v>
      </c>
      <c r="B189" s="260" t="str">
        <f>B17</f>
        <v>RCP-SMC-000149</v>
      </c>
      <c r="C189" s="164" t="s">
        <v>1872</v>
      </c>
      <c r="D189" s="164" t="s">
        <v>1778</v>
      </c>
      <c r="E189" s="164" t="s">
        <v>1900</v>
      </c>
      <c r="F189" s="260" t="s">
        <v>1869</v>
      </c>
    </row>
    <row r="190" spans="1:6" x14ac:dyDescent="0.75">
      <c r="A190" s="164" t="s">
        <v>1467</v>
      </c>
      <c r="B190" s="260" t="str">
        <f>'Master – Recipes'!A20</f>
        <v>RCP-SMC-000024</v>
      </c>
      <c r="C190" s="162" t="s">
        <v>1969</v>
      </c>
      <c r="D190" s="164" t="s">
        <v>1906</v>
      </c>
      <c r="E190" s="164" t="s">
        <v>1900</v>
      </c>
      <c r="F190" s="260" t="s">
        <v>1864</v>
      </c>
    </row>
    <row r="191" spans="1:6" x14ac:dyDescent="0.75">
      <c r="A191" s="164" t="s">
        <v>1467</v>
      </c>
      <c r="B191" s="260" t="str">
        <f>'Master – Recipes'!A18</f>
        <v>RCP-SMC-000022</v>
      </c>
      <c r="C191" s="162" t="s">
        <v>1970</v>
      </c>
      <c r="D191" s="164" t="s">
        <v>1906</v>
      </c>
      <c r="E191" s="164" t="s">
        <v>1900</v>
      </c>
      <c r="F191" s="260" t="s">
        <v>1864</v>
      </c>
    </row>
    <row r="192" spans="1:6" x14ac:dyDescent="0.75">
      <c r="A192" s="164" t="s">
        <v>1467</v>
      </c>
      <c r="B192" s="260" t="str">
        <f>'Master – Recipes'!A13</f>
        <v>RCP-SMC-000018</v>
      </c>
      <c r="C192" s="164" t="s">
        <v>1971</v>
      </c>
      <c r="D192" s="164" t="s">
        <v>1906</v>
      </c>
      <c r="E192" s="164" t="s">
        <v>1900</v>
      </c>
      <c r="F192" s="260" t="s">
        <v>1864</v>
      </c>
    </row>
    <row r="193" spans="1:6" x14ac:dyDescent="0.75">
      <c r="A193" s="164" t="s">
        <v>1467</v>
      </c>
      <c r="B193" s="260" t="str">
        <f>'Master – Recipes'!A21</f>
        <v>RCP-SMC-000025</v>
      </c>
      <c r="C193" s="164" t="s">
        <v>1972</v>
      </c>
      <c r="D193" s="164" t="s">
        <v>1906</v>
      </c>
      <c r="E193" s="164" t="s">
        <v>1900</v>
      </c>
      <c r="F193" s="260" t="s">
        <v>1910</v>
      </c>
    </row>
    <row r="194" spans="1:6" x14ac:dyDescent="0.75">
      <c r="A194" s="164" t="s">
        <v>1467</v>
      </c>
      <c r="B194" s="260" t="str">
        <f t="shared" ref="B194:B200" si="2">B145</f>
        <v>RCP-SMC-000065</v>
      </c>
      <c r="C194" s="162" t="s">
        <v>1913</v>
      </c>
      <c r="D194" s="164" t="s">
        <v>1912</v>
      </c>
      <c r="E194" s="164" t="s">
        <v>1900</v>
      </c>
      <c r="F194" s="260" t="s">
        <v>1864</v>
      </c>
    </row>
    <row r="195" spans="1:6" x14ac:dyDescent="0.75">
      <c r="A195" s="164" t="s">
        <v>1467</v>
      </c>
      <c r="B195" s="260" t="str">
        <f t="shared" si="2"/>
        <v>RCP-SMC-000070</v>
      </c>
      <c r="C195" s="162" t="s">
        <v>1914</v>
      </c>
      <c r="D195" s="164" t="s">
        <v>1912</v>
      </c>
      <c r="E195" s="164" t="s">
        <v>1900</v>
      </c>
      <c r="F195" s="260" t="s">
        <v>1879</v>
      </c>
    </row>
    <row r="196" spans="1:6" ht="40.799999999999997" x14ac:dyDescent="0.75">
      <c r="A196" s="164" t="s">
        <v>1467</v>
      </c>
      <c r="B196" s="260" t="str">
        <f t="shared" si="2"/>
        <v>RCP-SMC-000072</v>
      </c>
      <c r="C196" s="162" t="s">
        <v>1915</v>
      </c>
      <c r="D196" s="164" t="s">
        <v>1912</v>
      </c>
      <c r="E196" s="164" t="s">
        <v>1900</v>
      </c>
      <c r="F196" s="260" t="s">
        <v>1881</v>
      </c>
    </row>
    <row r="197" spans="1:6" x14ac:dyDescent="0.75">
      <c r="A197" s="164" t="s">
        <v>1467</v>
      </c>
      <c r="B197" s="260" t="str">
        <f t="shared" si="2"/>
        <v>RCP-SMC-000071</v>
      </c>
      <c r="C197" s="162" t="s">
        <v>1916</v>
      </c>
      <c r="D197" s="164" t="s">
        <v>1912</v>
      </c>
      <c r="E197" s="164" t="s">
        <v>1900</v>
      </c>
      <c r="F197" s="260" t="s">
        <v>1883</v>
      </c>
    </row>
    <row r="198" spans="1:6" x14ac:dyDescent="0.75">
      <c r="A198" s="164" t="s">
        <v>1467</v>
      </c>
      <c r="B198" s="260" t="str">
        <f t="shared" si="2"/>
        <v>RCP-SMC-000068</v>
      </c>
      <c r="C198" s="162" t="s">
        <v>1885</v>
      </c>
      <c r="D198" s="164" t="s">
        <v>1912</v>
      </c>
      <c r="E198" s="164" t="s">
        <v>1900</v>
      </c>
      <c r="F198" s="260" t="s">
        <v>1864</v>
      </c>
    </row>
    <row r="199" spans="1:6" x14ac:dyDescent="0.75">
      <c r="A199" s="164" t="s">
        <v>1467</v>
      </c>
      <c r="B199" s="260" t="str">
        <f t="shared" si="2"/>
        <v>RCP-SMC-000066</v>
      </c>
      <c r="C199" s="162" t="s">
        <v>1917</v>
      </c>
      <c r="D199" s="164" t="s">
        <v>1912</v>
      </c>
      <c r="E199" s="164" t="s">
        <v>1900</v>
      </c>
      <c r="F199" s="260" t="s">
        <v>1869</v>
      </c>
    </row>
    <row r="200" spans="1:6" x14ac:dyDescent="0.75">
      <c r="A200" s="164" t="s">
        <v>1467</v>
      </c>
      <c r="B200" s="260" t="str">
        <f t="shared" si="2"/>
        <v>RCP-SMC-000069</v>
      </c>
      <c r="C200" s="162" t="s">
        <v>1918</v>
      </c>
      <c r="D200" s="164" t="s">
        <v>1912</v>
      </c>
      <c r="E200" s="164" t="s">
        <v>1900</v>
      </c>
      <c r="F200" s="260" t="s">
        <v>1889</v>
      </c>
    </row>
    <row r="201" spans="1:6" x14ac:dyDescent="0.75">
      <c r="A201" s="164" t="s">
        <v>1486</v>
      </c>
      <c r="B201" s="260" t="str">
        <f>'Master – Recipes'!A170</f>
        <v>RCP-SMC-000167</v>
      </c>
      <c r="C201" s="164" t="s">
        <v>1859</v>
      </c>
      <c r="D201" s="164" t="s">
        <v>1837</v>
      </c>
      <c r="E201" s="164" t="s">
        <v>1835</v>
      </c>
      <c r="F201" s="260" t="s">
        <v>1838</v>
      </c>
    </row>
    <row r="202" spans="1:6" x14ac:dyDescent="0.75">
      <c r="A202" s="164" t="s">
        <v>1486</v>
      </c>
      <c r="B202" s="260" t="str">
        <f>B153</f>
        <v>RCP-SMC-000159</v>
      </c>
      <c r="C202" s="164" t="s">
        <v>1841</v>
      </c>
      <c r="D202" s="164" t="s">
        <v>1837</v>
      </c>
      <c r="E202" s="164" t="s">
        <v>1835</v>
      </c>
      <c r="F202" s="260" t="s">
        <v>1840</v>
      </c>
    </row>
    <row r="203" spans="1:6" x14ac:dyDescent="0.75">
      <c r="A203" s="164" t="s">
        <v>1486</v>
      </c>
      <c r="B203" s="260" t="str">
        <f>B154</f>
        <v>RCP-SMC-000160</v>
      </c>
      <c r="C203" s="164" t="s">
        <v>1843</v>
      </c>
      <c r="D203" s="164" t="s">
        <v>1837</v>
      </c>
      <c r="E203" s="164" t="s">
        <v>1835</v>
      </c>
      <c r="F203" s="260" t="s">
        <v>1842</v>
      </c>
    </row>
    <row r="204" spans="1:6" x14ac:dyDescent="0.75">
      <c r="A204" s="164" t="s">
        <v>1486</v>
      </c>
      <c r="B204" s="260" t="str">
        <f>B155</f>
        <v>RCP-SMC-000161</v>
      </c>
      <c r="C204" s="164" t="s">
        <v>1854</v>
      </c>
      <c r="D204" s="164" t="s">
        <v>1837</v>
      </c>
      <c r="E204" s="164" t="s">
        <v>1835</v>
      </c>
      <c r="F204" s="260" t="s">
        <v>1840</v>
      </c>
    </row>
    <row r="205" spans="1:6" x14ac:dyDescent="0.75">
      <c r="A205" s="164" t="s">
        <v>1486</v>
      </c>
      <c r="B205" s="260" t="str">
        <f>B108</f>
        <v>RCP-SMC-000162</v>
      </c>
      <c r="C205" s="164" t="s">
        <v>1846</v>
      </c>
      <c r="D205" s="164" t="s">
        <v>1837</v>
      </c>
      <c r="E205" s="164" t="s">
        <v>1835</v>
      </c>
      <c r="F205" s="260" t="s">
        <v>1845</v>
      </c>
    </row>
    <row r="206" spans="1:6" x14ac:dyDescent="0.75">
      <c r="A206" s="164" t="s">
        <v>1486</v>
      </c>
      <c r="B206" s="260" t="str">
        <f>B157</f>
        <v>RCP-SMC-000128</v>
      </c>
      <c r="C206" s="164" t="s">
        <v>1849</v>
      </c>
      <c r="D206" s="164" t="s">
        <v>1847</v>
      </c>
      <c r="E206" s="164" t="s">
        <v>1835</v>
      </c>
      <c r="F206" s="260" t="s">
        <v>1848</v>
      </c>
    </row>
    <row r="207" spans="1:6" x14ac:dyDescent="0.75">
      <c r="A207" s="164" t="s">
        <v>1486</v>
      </c>
      <c r="B207" s="265" t="str">
        <f>B158</f>
        <v>RCP-SMC-000132</v>
      </c>
      <c r="C207" s="164" t="s">
        <v>1851</v>
      </c>
      <c r="D207" s="164" t="s">
        <v>1847</v>
      </c>
      <c r="E207" s="164" t="s">
        <v>1835</v>
      </c>
      <c r="F207" s="260" t="s">
        <v>1850</v>
      </c>
    </row>
    <row r="208" spans="1:6" x14ac:dyDescent="0.75">
      <c r="A208" s="164" t="s">
        <v>1486</v>
      </c>
      <c r="B208" s="260" t="str">
        <f>'Master – Recipes'!A106</f>
        <v>RCP-SMC-000103</v>
      </c>
      <c r="C208" s="164" t="s">
        <v>1919</v>
      </c>
      <c r="D208" s="164" t="s">
        <v>1863</v>
      </c>
      <c r="E208" s="164" t="s">
        <v>1862</v>
      </c>
      <c r="F208" s="260" t="s">
        <v>1864</v>
      </c>
    </row>
    <row r="209" spans="1:6" x14ac:dyDescent="0.75">
      <c r="A209" s="164" t="s">
        <v>1486</v>
      </c>
      <c r="B209" s="260" t="str">
        <f>'Master – Recipes'!A105</f>
        <v>RCP-SMC-000102</v>
      </c>
      <c r="C209" s="164" t="s">
        <v>1973</v>
      </c>
      <c r="D209" s="164" t="s">
        <v>1863</v>
      </c>
      <c r="E209" s="164" t="s">
        <v>1862</v>
      </c>
      <c r="F209" s="260" t="s">
        <v>1864</v>
      </c>
    </row>
    <row r="210" spans="1:6" x14ac:dyDescent="0.75">
      <c r="A210" s="164" t="s">
        <v>1486</v>
      </c>
      <c r="B210" s="260" t="str">
        <f>B187</f>
        <v>RCP-SMC-000086</v>
      </c>
      <c r="C210" s="162" t="s">
        <v>1868</v>
      </c>
      <c r="D210" s="164" t="s">
        <v>1863</v>
      </c>
      <c r="E210" s="164" t="s">
        <v>1862</v>
      </c>
      <c r="F210" s="260" t="s">
        <v>1867</v>
      </c>
    </row>
    <row r="211" spans="1:6" x14ac:dyDescent="0.75">
      <c r="A211" s="164" t="s">
        <v>1486</v>
      </c>
      <c r="B211" s="260" t="str">
        <f>'Master – Recipes'!A107</f>
        <v>RCP-SMC-000104</v>
      </c>
      <c r="C211" s="164" t="s">
        <v>1974</v>
      </c>
      <c r="D211" s="164" t="s">
        <v>1863</v>
      </c>
      <c r="E211" s="164" t="s">
        <v>1862</v>
      </c>
      <c r="F211" s="260" t="s">
        <v>1869</v>
      </c>
    </row>
    <row r="212" spans="1:6" x14ac:dyDescent="0.75">
      <c r="A212" s="164" t="s">
        <v>1486</v>
      </c>
      <c r="B212" s="260" t="str">
        <f>'Master – Recipes'!A157</f>
        <v>RCP-SMC-000154</v>
      </c>
      <c r="C212" s="164" t="s">
        <v>1922</v>
      </c>
      <c r="D212" s="164" t="s">
        <v>1778</v>
      </c>
      <c r="E212" s="164" t="s">
        <v>1862</v>
      </c>
      <c r="F212" s="260" t="s">
        <v>1864</v>
      </c>
    </row>
    <row r="213" spans="1:6" x14ac:dyDescent="0.75">
      <c r="A213" s="164" t="s">
        <v>1486</v>
      </c>
      <c r="B213" s="260" t="str">
        <f>B17</f>
        <v>RCP-SMC-000149</v>
      </c>
      <c r="C213" s="164" t="s">
        <v>1872</v>
      </c>
      <c r="D213" s="164" t="s">
        <v>1778</v>
      </c>
      <c r="E213" s="164" t="s">
        <v>1862</v>
      </c>
      <c r="F213" s="260" t="s">
        <v>1869</v>
      </c>
    </row>
    <row r="214" spans="1:6" x14ac:dyDescent="0.75">
      <c r="A214" s="164" t="s">
        <v>1486</v>
      </c>
      <c r="B214" s="260" t="str">
        <f>'Master – Recipes'!A23</f>
        <v>RCP-SMC-000027</v>
      </c>
      <c r="C214" s="164" t="s">
        <v>1975</v>
      </c>
      <c r="D214" s="164" t="s">
        <v>1873</v>
      </c>
      <c r="E214" s="164" t="s">
        <v>1862</v>
      </c>
      <c r="F214" s="260" t="s">
        <v>1864</v>
      </c>
    </row>
    <row r="215" spans="1:6" x14ac:dyDescent="0.75">
      <c r="A215" s="164" t="s">
        <v>1486</v>
      </c>
      <c r="B215" s="260" t="str">
        <f>'Master – Recipes'!A30</f>
        <v>RCP-SMC-000033</v>
      </c>
      <c r="C215" s="162" t="s">
        <v>1976</v>
      </c>
      <c r="D215" s="164" t="s">
        <v>1873</v>
      </c>
      <c r="E215" s="164" t="s">
        <v>1862</v>
      </c>
      <c r="F215" s="260" t="s">
        <v>1864</v>
      </c>
    </row>
    <row r="216" spans="1:6" x14ac:dyDescent="0.75">
      <c r="A216" s="164" t="s">
        <v>1486</v>
      </c>
      <c r="B216" s="260" t="str">
        <f>'Master – Recipes'!A31</f>
        <v>RCP-SMC-000034</v>
      </c>
      <c r="C216" s="162" t="s">
        <v>1977</v>
      </c>
      <c r="D216" s="164" t="s">
        <v>1873</v>
      </c>
      <c r="E216" s="164" t="s">
        <v>1862</v>
      </c>
      <c r="F216" s="260" t="s">
        <v>1864</v>
      </c>
    </row>
    <row r="217" spans="1:6" x14ac:dyDescent="0.75">
      <c r="A217" s="164" t="s">
        <v>1486</v>
      </c>
      <c r="B217" s="260" t="str">
        <f>B168</f>
        <v>RCP-SMC-000063</v>
      </c>
      <c r="C217" s="162" t="s">
        <v>1878</v>
      </c>
      <c r="D217" s="164" t="s">
        <v>1877</v>
      </c>
      <c r="E217" s="164" t="s">
        <v>1862</v>
      </c>
      <c r="F217" s="260" t="s">
        <v>1864</v>
      </c>
    </row>
    <row r="218" spans="1:6" x14ac:dyDescent="0.75">
      <c r="A218" s="164" t="s">
        <v>1486</v>
      </c>
      <c r="B218" s="260" t="str">
        <f>B169</f>
        <v>RCP-SMC-000070</v>
      </c>
      <c r="C218" s="162" t="s">
        <v>1926</v>
      </c>
      <c r="D218" s="164" t="s">
        <v>1877</v>
      </c>
      <c r="E218" s="164" t="s">
        <v>1862</v>
      </c>
      <c r="F218" s="260" t="s">
        <v>1879</v>
      </c>
    </row>
    <row r="219" spans="1:6" ht="40.799999999999997" x14ac:dyDescent="0.75">
      <c r="A219" s="164" t="s">
        <v>1486</v>
      </c>
      <c r="B219" s="260" t="str">
        <f>'Master – Recipes'!A28</f>
        <v>RCP-SMC-000031</v>
      </c>
      <c r="C219" s="162" t="s">
        <v>1978</v>
      </c>
      <c r="D219" s="164" t="s">
        <v>1877</v>
      </c>
      <c r="E219" s="164" t="s">
        <v>1862</v>
      </c>
      <c r="F219" s="260" t="s">
        <v>1881</v>
      </c>
    </row>
    <row r="220" spans="1:6" x14ac:dyDescent="0.75">
      <c r="A220" s="164" t="s">
        <v>1486</v>
      </c>
      <c r="B220" s="260" t="str">
        <f>B197</f>
        <v>RCP-SMC-000071</v>
      </c>
      <c r="C220" s="162" t="s">
        <v>1928</v>
      </c>
      <c r="D220" s="164" t="s">
        <v>1877</v>
      </c>
      <c r="E220" s="164" t="s">
        <v>1862</v>
      </c>
      <c r="F220" s="260" t="s">
        <v>1883</v>
      </c>
    </row>
    <row r="221" spans="1:6" x14ac:dyDescent="0.75">
      <c r="A221" s="164" t="s">
        <v>1486</v>
      </c>
      <c r="B221" s="260" t="str">
        <f>B198</f>
        <v>RCP-SMC-000068</v>
      </c>
      <c r="C221" s="162" t="s">
        <v>1885</v>
      </c>
      <c r="D221" s="164" t="s">
        <v>1877</v>
      </c>
      <c r="E221" s="164" t="s">
        <v>1862</v>
      </c>
      <c r="F221" s="260" t="s">
        <v>1864</v>
      </c>
    </row>
    <row r="222" spans="1:6" x14ac:dyDescent="0.75">
      <c r="A222" s="164" t="s">
        <v>1486</v>
      </c>
      <c r="B222" s="260" t="str">
        <f>'Master – Recipes'!A25</f>
        <v>RCP-SMC-000029</v>
      </c>
      <c r="C222" s="162" t="s">
        <v>1979</v>
      </c>
      <c r="D222" s="164" t="s">
        <v>1877</v>
      </c>
      <c r="E222" s="164" t="s">
        <v>1862</v>
      </c>
      <c r="F222" s="260" t="s">
        <v>1864</v>
      </c>
    </row>
    <row r="223" spans="1:6" x14ac:dyDescent="0.75">
      <c r="A223" s="164" t="s">
        <v>1486</v>
      </c>
      <c r="B223" s="260" t="str">
        <f>B174</f>
        <v>RCP-SMC-000064</v>
      </c>
      <c r="C223" s="162" t="s">
        <v>1887</v>
      </c>
      <c r="D223" s="164" t="s">
        <v>1877</v>
      </c>
      <c r="E223" s="164" t="s">
        <v>1862</v>
      </c>
      <c r="F223" s="260" t="s">
        <v>1869</v>
      </c>
    </row>
    <row r="224" spans="1:6" x14ac:dyDescent="0.75">
      <c r="A224" s="164" t="s">
        <v>1486</v>
      </c>
      <c r="B224" s="260" t="str">
        <f>B175</f>
        <v>RCP-SMC-000062</v>
      </c>
      <c r="C224" s="162" t="s">
        <v>1888</v>
      </c>
      <c r="D224" s="164" t="s">
        <v>1877</v>
      </c>
      <c r="E224" s="164" t="s">
        <v>1862</v>
      </c>
      <c r="F224" s="260" t="s">
        <v>1869</v>
      </c>
    </row>
    <row r="225" spans="1:6" x14ac:dyDescent="0.75">
      <c r="A225" s="164" t="s">
        <v>1486</v>
      </c>
      <c r="B225" s="260" t="str">
        <f>B176</f>
        <v>RCP-SMC-000067</v>
      </c>
      <c r="C225" s="164" t="s">
        <v>1890</v>
      </c>
      <c r="D225" s="164" t="s">
        <v>1877</v>
      </c>
      <c r="E225" s="164" t="s">
        <v>1862</v>
      </c>
      <c r="F225" s="260" t="s">
        <v>1889</v>
      </c>
    </row>
    <row r="226" spans="1:6" x14ac:dyDescent="0.75">
      <c r="A226" s="164" t="s">
        <v>1486</v>
      </c>
      <c r="B226" s="260" t="str">
        <f>B30</f>
        <v>RCP-SMC-000077</v>
      </c>
      <c r="C226" s="164" t="s">
        <v>1892</v>
      </c>
      <c r="D226" s="164" t="s">
        <v>1819</v>
      </c>
      <c r="E226" s="164" t="s">
        <v>1862</v>
      </c>
      <c r="F226" s="260" t="s">
        <v>1891</v>
      </c>
    </row>
    <row r="227" spans="1:6" x14ac:dyDescent="0.75">
      <c r="A227" s="164" t="s">
        <v>1486</v>
      </c>
      <c r="B227" s="260" t="str">
        <f>B31</f>
        <v>RCP-SMC-000078</v>
      </c>
      <c r="C227" s="164" t="s">
        <v>1893</v>
      </c>
      <c r="D227" s="164" t="s">
        <v>1819</v>
      </c>
      <c r="E227" s="164" t="s">
        <v>1862</v>
      </c>
      <c r="F227" s="260" t="s">
        <v>1891</v>
      </c>
    </row>
    <row r="228" spans="1:6" x14ac:dyDescent="0.75">
      <c r="A228" s="164" t="s">
        <v>1486</v>
      </c>
      <c r="B228" s="260" t="str">
        <f>'Master – Recipes'!A84</f>
        <v>RCP-SMC-000082</v>
      </c>
      <c r="C228" s="164" t="s">
        <v>1980</v>
      </c>
      <c r="D228" s="164" t="s">
        <v>1819</v>
      </c>
      <c r="E228" s="164" t="s">
        <v>1862</v>
      </c>
      <c r="F228" s="260" t="s">
        <v>1891</v>
      </c>
    </row>
    <row r="229" spans="1:6" x14ac:dyDescent="0.75">
      <c r="A229" s="164" t="s">
        <v>1486</v>
      </c>
      <c r="B229" s="260" t="str">
        <f>'Master – Recipes'!A86</f>
        <v>RCP-SMC-000084</v>
      </c>
      <c r="C229" s="164" t="s">
        <v>1895</v>
      </c>
      <c r="D229" s="164" t="s">
        <v>1819</v>
      </c>
      <c r="E229" s="164" t="s">
        <v>1862</v>
      </c>
      <c r="F229" s="260" t="s">
        <v>1891</v>
      </c>
    </row>
    <row r="230" spans="1:6" x14ac:dyDescent="0.75">
      <c r="A230" s="164" t="s">
        <v>1486</v>
      </c>
      <c r="B230" s="260" t="str">
        <f>B181</f>
        <v>RCP-SMC-000073</v>
      </c>
      <c r="C230" s="164" t="s">
        <v>1896</v>
      </c>
      <c r="D230" s="164" t="s">
        <v>1819</v>
      </c>
      <c r="E230" s="164" t="s">
        <v>1862</v>
      </c>
      <c r="F230" s="260" t="s">
        <v>1869</v>
      </c>
    </row>
    <row r="231" spans="1:6" x14ac:dyDescent="0.75">
      <c r="A231" s="164" t="s">
        <v>1486</v>
      </c>
      <c r="B231" s="260" t="str">
        <f>B182</f>
        <v>RCP-SMC-000074</v>
      </c>
      <c r="C231" s="164" t="s">
        <v>1898</v>
      </c>
      <c r="D231" s="164" t="s">
        <v>1819</v>
      </c>
      <c r="E231" s="164" t="s">
        <v>1862</v>
      </c>
      <c r="F231" s="260" t="s">
        <v>1897</v>
      </c>
    </row>
    <row r="232" spans="1:6" x14ac:dyDescent="0.75">
      <c r="A232" s="164" t="s">
        <v>1486</v>
      </c>
      <c r="B232" s="260" t="str">
        <f>B183</f>
        <v>RCP-SMC-000075</v>
      </c>
      <c r="C232" s="164" t="s">
        <v>1899</v>
      </c>
      <c r="D232" s="164" t="s">
        <v>1819</v>
      </c>
      <c r="E232" s="164" t="s">
        <v>1862</v>
      </c>
      <c r="F232" s="260" t="s">
        <v>1867</v>
      </c>
    </row>
    <row r="233" spans="1:6" x14ac:dyDescent="0.75">
      <c r="A233" s="164" t="s">
        <v>1486</v>
      </c>
      <c r="B233" s="260" t="str">
        <f>B184</f>
        <v>RCP-SMC-000076</v>
      </c>
      <c r="C233" s="164" t="s">
        <v>1584</v>
      </c>
      <c r="D233" s="164" t="s">
        <v>1819</v>
      </c>
      <c r="E233" s="164" t="s">
        <v>1862</v>
      </c>
      <c r="F233" s="260" t="s">
        <v>1869</v>
      </c>
    </row>
    <row r="234" spans="1:6" x14ac:dyDescent="0.75">
      <c r="A234" s="164" t="s">
        <v>1486</v>
      </c>
      <c r="B234" s="260" t="str">
        <f>'Master – Recipes'!A108</f>
        <v>RCP-SMC-000105</v>
      </c>
      <c r="C234" s="164" t="s">
        <v>1952</v>
      </c>
      <c r="D234" s="164" t="s">
        <v>1863</v>
      </c>
      <c r="E234" s="164" t="s">
        <v>1900</v>
      </c>
      <c r="F234" s="260" t="s">
        <v>1864</v>
      </c>
    </row>
    <row r="235" spans="1:6" x14ac:dyDescent="0.75">
      <c r="A235" s="164" t="s">
        <v>1486</v>
      </c>
      <c r="B235" s="260" t="str">
        <f>'Master – Recipes'!A109</f>
        <v>RCP-SMC-000106</v>
      </c>
      <c r="C235" s="164" t="s">
        <v>1981</v>
      </c>
      <c r="D235" s="164" t="s">
        <v>1863</v>
      </c>
      <c r="E235" s="164" t="s">
        <v>1900</v>
      </c>
      <c r="F235" s="260" t="s">
        <v>1864</v>
      </c>
    </row>
    <row r="236" spans="1:6" x14ac:dyDescent="0.75">
      <c r="A236" s="164" t="s">
        <v>1486</v>
      </c>
      <c r="B236" s="260" t="str">
        <f>B210</f>
        <v>RCP-SMC-000086</v>
      </c>
      <c r="C236" s="162" t="s">
        <v>1868</v>
      </c>
      <c r="D236" s="164" t="s">
        <v>1863</v>
      </c>
      <c r="E236" s="164" t="s">
        <v>1900</v>
      </c>
      <c r="F236" s="260" t="s">
        <v>1867</v>
      </c>
    </row>
    <row r="237" spans="1:6" x14ac:dyDescent="0.75">
      <c r="A237" s="164" t="s">
        <v>1486</v>
      </c>
      <c r="B237" s="260" t="str">
        <f>'Master – Recipes'!A110</f>
        <v>RCP-SMC-000107</v>
      </c>
      <c r="C237" s="162" t="s">
        <v>1982</v>
      </c>
      <c r="D237" s="164" t="s">
        <v>1863</v>
      </c>
      <c r="E237" s="164" t="s">
        <v>1900</v>
      </c>
      <c r="F237" s="260" t="s">
        <v>1869</v>
      </c>
    </row>
    <row r="238" spans="1:6" x14ac:dyDescent="0.75">
      <c r="A238" s="164" t="s">
        <v>1486</v>
      </c>
      <c r="B238" s="260" t="str">
        <f>B41</f>
        <v>RCP-SMC-000150</v>
      </c>
      <c r="C238" s="164" t="s">
        <v>1905</v>
      </c>
      <c r="D238" s="164" t="s">
        <v>1778</v>
      </c>
      <c r="E238" s="164" t="s">
        <v>1900</v>
      </c>
      <c r="F238" s="260" t="s">
        <v>1864</v>
      </c>
    </row>
    <row r="239" spans="1:6" x14ac:dyDescent="0.75">
      <c r="A239" s="164" t="s">
        <v>1486</v>
      </c>
      <c r="B239" s="260" t="str">
        <f>B17</f>
        <v>RCP-SMC-000149</v>
      </c>
      <c r="C239" s="164" t="s">
        <v>1872</v>
      </c>
      <c r="D239" s="164" t="s">
        <v>1778</v>
      </c>
      <c r="E239" s="164" t="s">
        <v>1900</v>
      </c>
      <c r="F239" s="260" t="s">
        <v>1869</v>
      </c>
    </row>
    <row r="240" spans="1:6" x14ac:dyDescent="0.75">
      <c r="A240" s="164" t="s">
        <v>1486</v>
      </c>
      <c r="B240" s="260" t="str">
        <f>'Master – Recipes'!A24</f>
        <v>RCP-SMC-000028</v>
      </c>
      <c r="C240" s="162" t="s">
        <v>1983</v>
      </c>
      <c r="D240" s="164" t="s">
        <v>1906</v>
      </c>
      <c r="E240" s="164" t="s">
        <v>1900</v>
      </c>
      <c r="F240" s="260" t="s">
        <v>1864</v>
      </c>
    </row>
    <row r="241" spans="1:6" x14ac:dyDescent="0.75">
      <c r="A241" s="164" t="s">
        <v>1486</v>
      </c>
      <c r="B241" s="260" t="str">
        <f>'Master – Recipes'!A27</f>
        <v>RCP-SMC-000030</v>
      </c>
      <c r="C241" s="162" t="s">
        <v>1984</v>
      </c>
      <c r="D241" s="164" t="s">
        <v>1906</v>
      </c>
      <c r="E241" s="164" t="s">
        <v>1900</v>
      </c>
      <c r="F241" s="260" t="s">
        <v>1864</v>
      </c>
    </row>
    <row r="242" spans="1:6" x14ac:dyDescent="0.75">
      <c r="A242" s="164" t="s">
        <v>1486</v>
      </c>
      <c r="B242" s="260" t="str">
        <f>'Master – Recipes'!A29</f>
        <v>RCP-SMC-000032</v>
      </c>
      <c r="C242" s="164" t="s">
        <v>1985</v>
      </c>
      <c r="D242" s="164" t="s">
        <v>1906</v>
      </c>
      <c r="E242" s="164" t="s">
        <v>1900</v>
      </c>
      <c r="F242" s="260" t="s">
        <v>1864</v>
      </c>
    </row>
    <row r="243" spans="1:6" x14ac:dyDescent="0.75">
      <c r="A243" s="164" t="s">
        <v>1486</v>
      </c>
      <c r="B243" s="260" t="str">
        <f>'Master – Recipes'!A32</f>
        <v>RCP-SMC-000035</v>
      </c>
      <c r="C243" s="164" t="s">
        <v>1911</v>
      </c>
      <c r="D243" s="164" t="s">
        <v>1906</v>
      </c>
      <c r="E243" s="164" t="s">
        <v>1900</v>
      </c>
      <c r="F243" s="260" t="s">
        <v>1910</v>
      </c>
    </row>
    <row r="244" spans="1:6" x14ac:dyDescent="0.75">
      <c r="A244" s="164" t="s">
        <v>1486</v>
      </c>
      <c r="B244" s="260" t="str">
        <f t="shared" ref="B244:B250" si="3">B194</f>
        <v>RCP-SMC-000065</v>
      </c>
      <c r="C244" s="162" t="s">
        <v>1913</v>
      </c>
      <c r="D244" s="164" t="s">
        <v>1912</v>
      </c>
      <c r="E244" s="164" t="s">
        <v>1900</v>
      </c>
      <c r="F244" s="260" t="s">
        <v>1864</v>
      </c>
    </row>
    <row r="245" spans="1:6" x14ac:dyDescent="0.75">
      <c r="A245" s="164" t="s">
        <v>1486</v>
      </c>
      <c r="B245" s="260" t="str">
        <f t="shared" si="3"/>
        <v>RCP-SMC-000070</v>
      </c>
      <c r="C245" s="162" t="s">
        <v>1914</v>
      </c>
      <c r="D245" s="164" t="s">
        <v>1912</v>
      </c>
      <c r="E245" s="164" t="s">
        <v>1900</v>
      </c>
      <c r="F245" s="260" t="s">
        <v>1879</v>
      </c>
    </row>
    <row r="246" spans="1:6" ht="40.799999999999997" x14ac:dyDescent="0.75">
      <c r="A246" s="164" t="s">
        <v>1486</v>
      </c>
      <c r="B246" s="260" t="str">
        <f t="shared" si="3"/>
        <v>RCP-SMC-000072</v>
      </c>
      <c r="C246" s="162" t="s">
        <v>1940</v>
      </c>
      <c r="D246" s="164" t="s">
        <v>1912</v>
      </c>
      <c r="E246" s="164" t="s">
        <v>1900</v>
      </c>
      <c r="F246" s="260" t="s">
        <v>1881</v>
      </c>
    </row>
    <row r="247" spans="1:6" x14ac:dyDescent="0.75">
      <c r="A247" s="164" t="s">
        <v>1486</v>
      </c>
      <c r="B247" s="260" t="str">
        <f t="shared" si="3"/>
        <v>RCP-SMC-000071</v>
      </c>
      <c r="C247" s="162" t="s">
        <v>1916</v>
      </c>
      <c r="D247" s="164" t="s">
        <v>1912</v>
      </c>
      <c r="E247" s="164" t="s">
        <v>1900</v>
      </c>
      <c r="F247" s="260" t="s">
        <v>1883</v>
      </c>
    </row>
    <row r="248" spans="1:6" x14ac:dyDescent="0.75">
      <c r="A248" s="164" t="s">
        <v>1486</v>
      </c>
      <c r="B248" s="260" t="str">
        <f t="shared" si="3"/>
        <v>RCP-SMC-000068</v>
      </c>
      <c r="C248" s="162" t="s">
        <v>1885</v>
      </c>
      <c r="D248" s="164" t="s">
        <v>1912</v>
      </c>
      <c r="E248" s="164" t="s">
        <v>1900</v>
      </c>
      <c r="F248" s="260" t="s">
        <v>1864</v>
      </c>
    </row>
    <row r="249" spans="1:6" x14ac:dyDescent="0.75">
      <c r="A249" s="164" t="s">
        <v>1486</v>
      </c>
      <c r="B249" s="260" t="str">
        <f t="shared" si="3"/>
        <v>RCP-SMC-000066</v>
      </c>
      <c r="C249" s="162" t="s">
        <v>1917</v>
      </c>
      <c r="D249" s="164" t="s">
        <v>1912</v>
      </c>
      <c r="E249" s="164" t="s">
        <v>1900</v>
      </c>
      <c r="F249" s="260" t="s">
        <v>1869</v>
      </c>
    </row>
    <row r="250" spans="1:6" x14ac:dyDescent="0.75">
      <c r="A250" s="164" t="s">
        <v>1486</v>
      </c>
      <c r="B250" s="260" t="str">
        <f t="shared" si="3"/>
        <v>RCP-SMC-000069</v>
      </c>
      <c r="C250" s="162" t="s">
        <v>1918</v>
      </c>
      <c r="D250" s="164" t="s">
        <v>1912</v>
      </c>
      <c r="E250" s="164" t="s">
        <v>1900</v>
      </c>
      <c r="F250" s="260" t="s">
        <v>1889</v>
      </c>
    </row>
    <row r="251" spans="1:6" x14ac:dyDescent="0.75">
      <c r="A251" s="164" t="s">
        <v>1507</v>
      </c>
      <c r="B251" s="260" t="str">
        <f>'Master – Recipes'!A171</f>
        <v>RCP-SMC-000168</v>
      </c>
      <c r="C251" s="164" t="s">
        <v>1860</v>
      </c>
      <c r="D251" s="164" t="s">
        <v>1837</v>
      </c>
      <c r="E251" s="164" t="s">
        <v>1835</v>
      </c>
      <c r="F251" s="260" t="s">
        <v>1838</v>
      </c>
    </row>
    <row r="252" spans="1:6" x14ac:dyDescent="0.75">
      <c r="A252" s="164" t="s">
        <v>1507</v>
      </c>
      <c r="B252" s="260" t="str">
        <f>B202</f>
        <v>RCP-SMC-000159</v>
      </c>
      <c r="C252" s="164" t="s">
        <v>1841</v>
      </c>
      <c r="D252" s="164" t="s">
        <v>1837</v>
      </c>
      <c r="E252" s="164" t="s">
        <v>1835</v>
      </c>
      <c r="F252" s="260" t="s">
        <v>1840</v>
      </c>
    </row>
    <row r="253" spans="1:6" x14ac:dyDescent="0.75">
      <c r="A253" s="164" t="s">
        <v>1507</v>
      </c>
      <c r="B253" s="260" t="str">
        <f>B203</f>
        <v>RCP-SMC-000160</v>
      </c>
      <c r="C253" s="164" t="s">
        <v>1843</v>
      </c>
      <c r="D253" s="164" t="s">
        <v>1837</v>
      </c>
      <c r="E253" s="164" t="s">
        <v>1835</v>
      </c>
      <c r="F253" s="260" t="s">
        <v>1842</v>
      </c>
    </row>
    <row r="254" spans="1:6" x14ac:dyDescent="0.75">
      <c r="A254" s="164" t="s">
        <v>1507</v>
      </c>
      <c r="B254" s="260" t="str">
        <f>B204</f>
        <v>RCP-SMC-000161</v>
      </c>
      <c r="C254" s="164" t="s">
        <v>1854</v>
      </c>
      <c r="D254" s="164" t="s">
        <v>1837</v>
      </c>
      <c r="E254" s="164" t="s">
        <v>1835</v>
      </c>
      <c r="F254" s="260" t="s">
        <v>1840</v>
      </c>
    </row>
    <row r="255" spans="1:6" x14ac:dyDescent="0.75">
      <c r="A255" s="164" t="s">
        <v>1507</v>
      </c>
      <c r="B255" s="260" t="str">
        <f>B156</f>
        <v>RCP-SMC-000164</v>
      </c>
      <c r="C255" s="164" t="s">
        <v>1855</v>
      </c>
      <c r="D255" s="164" t="s">
        <v>1837</v>
      </c>
      <c r="E255" s="164" t="s">
        <v>1835</v>
      </c>
      <c r="F255" s="260" t="s">
        <v>1845</v>
      </c>
    </row>
    <row r="256" spans="1:6" x14ac:dyDescent="0.75">
      <c r="A256" s="164" t="s">
        <v>1507</v>
      </c>
      <c r="B256" s="260" t="str">
        <f>B206</f>
        <v>RCP-SMC-000128</v>
      </c>
      <c r="C256" s="164" t="s">
        <v>1849</v>
      </c>
      <c r="D256" s="164" t="s">
        <v>1847</v>
      </c>
      <c r="E256" s="164" t="s">
        <v>1835</v>
      </c>
      <c r="F256" s="260" t="s">
        <v>1848</v>
      </c>
    </row>
    <row r="257" spans="1:6" x14ac:dyDescent="0.75">
      <c r="A257" s="164" t="s">
        <v>1507</v>
      </c>
      <c r="B257" s="265" t="str">
        <f>B207</f>
        <v>RCP-SMC-000132</v>
      </c>
      <c r="C257" s="164" t="s">
        <v>1851</v>
      </c>
      <c r="D257" s="164" t="s">
        <v>1847</v>
      </c>
      <c r="E257" s="164" t="s">
        <v>1835</v>
      </c>
      <c r="F257" s="260" t="s">
        <v>1850</v>
      </c>
    </row>
    <row r="258" spans="1:6" x14ac:dyDescent="0.75">
      <c r="A258" s="164" t="s">
        <v>1507</v>
      </c>
      <c r="B258" s="260" t="str">
        <f>'Master – Recipes'!A111</f>
        <v>RCP-SMC-000108</v>
      </c>
      <c r="C258" s="164" t="s">
        <v>1942</v>
      </c>
      <c r="D258" s="164" t="s">
        <v>1863</v>
      </c>
      <c r="E258" s="164" t="s">
        <v>1862</v>
      </c>
      <c r="F258" s="260" t="s">
        <v>1864</v>
      </c>
    </row>
    <row r="259" spans="1:6" x14ac:dyDescent="0.75">
      <c r="A259" s="164" t="s">
        <v>1507</v>
      </c>
      <c r="B259" s="260" t="str">
        <f>'Master – Recipes'!A112</f>
        <v>RCP-SMC-000109</v>
      </c>
      <c r="C259" s="164" t="s">
        <v>1986</v>
      </c>
      <c r="D259" s="164" t="s">
        <v>1863</v>
      </c>
      <c r="E259" s="164" t="s">
        <v>1862</v>
      </c>
      <c r="F259" s="260" t="s">
        <v>1864</v>
      </c>
    </row>
    <row r="260" spans="1:6" x14ac:dyDescent="0.75">
      <c r="A260" s="164" t="s">
        <v>1507</v>
      </c>
      <c r="B260" s="260" t="str">
        <f>B236</f>
        <v>RCP-SMC-000086</v>
      </c>
      <c r="C260" s="162" t="s">
        <v>1868</v>
      </c>
      <c r="D260" s="164" t="s">
        <v>1863</v>
      </c>
      <c r="E260" s="164" t="s">
        <v>1862</v>
      </c>
      <c r="F260" s="260" t="s">
        <v>1867</v>
      </c>
    </row>
    <row r="261" spans="1:6" x14ac:dyDescent="0.75">
      <c r="A261" s="164" t="s">
        <v>1507</v>
      </c>
      <c r="B261" s="260" t="str">
        <f>'Master – Recipes'!A158</f>
        <v>RCP-SMC-000155</v>
      </c>
      <c r="C261" s="164" t="s">
        <v>1987</v>
      </c>
      <c r="D261" s="164" t="s">
        <v>1778</v>
      </c>
      <c r="E261" s="164" t="s">
        <v>1862</v>
      </c>
      <c r="F261" s="260" t="s">
        <v>1864</v>
      </c>
    </row>
    <row r="262" spans="1:6" x14ac:dyDescent="0.75">
      <c r="A262" s="164" t="s">
        <v>1507</v>
      </c>
      <c r="B262" s="260" t="str">
        <f>B17</f>
        <v>RCP-SMC-000149</v>
      </c>
      <c r="C262" s="164" t="s">
        <v>1872</v>
      </c>
      <c r="D262" s="164" t="s">
        <v>1778</v>
      </c>
      <c r="E262" s="164" t="s">
        <v>1862</v>
      </c>
      <c r="F262" s="260" t="s">
        <v>1869</v>
      </c>
    </row>
    <row r="263" spans="1:6" x14ac:dyDescent="0.75">
      <c r="A263" s="164" t="s">
        <v>1507</v>
      </c>
      <c r="B263" s="260" t="str">
        <f>'Master – Recipes'!A41</f>
        <v>RCP-SMC-000043</v>
      </c>
      <c r="C263" s="164" t="s">
        <v>1988</v>
      </c>
      <c r="D263" s="164" t="s">
        <v>1873</v>
      </c>
      <c r="E263" s="164" t="s">
        <v>1862</v>
      </c>
      <c r="F263" s="260" t="s">
        <v>1864</v>
      </c>
    </row>
    <row r="264" spans="1:6" x14ac:dyDescent="0.75">
      <c r="A264" s="164" t="s">
        <v>1507</v>
      </c>
      <c r="B264" s="260" t="str">
        <f>'Master – Recipes'!A33</f>
        <v>RCP-SMC-000036</v>
      </c>
      <c r="C264" s="162" t="s">
        <v>1989</v>
      </c>
      <c r="D264" s="164" t="s">
        <v>1873</v>
      </c>
      <c r="E264" s="164" t="s">
        <v>1862</v>
      </c>
      <c r="F264" s="260" t="s">
        <v>1864</v>
      </c>
    </row>
    <row r="265" spans="1:6" x14ac:dyDescent="0.75">
      <c r="A265" s="164" t="s">
        <v>1507</v>
      </c>
      <c r="B265" s="260" t="str">
        <f>'Master – Recipes'!A35</f>
        <v>RCP-SMC-000038</v>
      </c>
      <c r="C265" s="164" t="s">
        <v>1990</v>
      </c>
      <c r="D265" s="164" t="s">
        <v>1873</v>
      </c>
      <c r="E265" s="164" t="s">
        <v>1862</v>
      </c>
      <c r="F265" s="260" t="s">
        <v>1864</v>
      </c>
    </row>
    <row r="266" spans="1:6" x14ac:dyDescent="0.75">
      <c r="A266" s="164" t="s">
        <v>1507</v>
      </c>
      <c r="B266" s="260" t="str">
        <f>B217</f>
        <v>RCP-SMC-000063</v>
      </c>
      <c r="C266" s="162" t="s">
        <v>1878</v>
      </c>
      <c r="D266" s="164" t="s">
        <v>1877</v>
      </c>
      <c r="E266" s="164" t="s">
        <v>1862</v>
      </c>
      <c r="F266" s="260" t="s">
        <v>1864</v>
      </c>
    </row>
    <row r="267" spans="1:6" x14ac:dyDescent="0.75">
      <c r="A267" s="164" t="s">
        <v>1507</v>
      </c>
      <c r="B267" s="260" t="str">
        <f>B218</f>
        <v>RCP-SMC-000070</v>
      </c>
      <c r="C267" s="162" t="s">
        <v>1926</v>
      </c>
      <c r="D267" s="164" t="s">
        <v>1877</v>
      </c>
      <c r="E267" s="164" t="s">
        <v>1862</v>
      </c>
      <c r="F267" s="260" t="s">
        <v>1879</v>
      </c>
    </row>
    <row r="268" spans="1:6" ht="40.799999999999997" x14ac:dyDescent="0.75">
      <c r="A268" s="164" t="s">
        <v>1507</v>
      </c>
      <c r="B268" s="260" t="str">
        <f>'Master – Recipes'!A73</f>
        <v>RCP-SMC-000072</v>
      </c>
      <c r="C268" s="162" t="s">
        <v>1991</v>
      </c>
      <c r="D268" s="164" t="s">
        <v>1877</v>
      </c>
      <c r="E268" s="164" t="s">
        <v>1862</v>
      </c>
      <c r="F268" s="260" t="s">
        <v>1881</v>
      </c>
    </row>
    <row r="269" spans="1:6" x14ac:dyDescent="0.75">
      <c r="A269" s="164" t="s">
        <v>1507</v>
      </c>
      <c r="B269" s="260" t="str">
        <f>B247</f>
        <v>RCP-SMC-000071</v>
      </c>
      <c r="C269" s="162" t="s">
        <v>1928</v>
      </c>
      <c r="D269" s="164" t="s">
        <v>1877</v>
      </c>
      <c r="E269" s="164" t="s">
        <v>1862</v>
      </c>
      <c r="F269" s="260" t="s">
        <v>1883</v>
      </c>
    </row>
    <row r="270" spans="1:6" x14ac:dyDescent="0.75">
      <c r="A270" s="164" t="s">
        <v>1507</v>
      </c>
      <c r="B270" s="260" t="str">
        <f>B221</f>
        <v>RCP-SMC-000068</v>
      </c>
      <c r="C270" s="162" t="s">
        <v>1885</v>
      </c>
      <c r="D270" s="164" t="s">
        <v>1877</v>
      </c>
      <c r="E270" s="164" t="s">
        <v>1862</v>
      </c>
      <c r="F270" s="260" t="s">
        <v>1864</v>
      </c>
    </row>
    <row r="271" spans="1:6" x14ac:dyDescent="0.75">
      <c r="A271" s="164" t="s">
        <v>1507</v>
      </c>
      <c r="B271" s="260" t="str">
        <f>'Master – Recipes'!A34</f>
        <v>RCP-SMC-000037</v>
      </c>
      <c r="C271" s="162" t="s">
        <v>1992</v>
      </c>
      <c r="D271" s="164" t="s">
        <v>1877</v>
      </c>
      <c r="E271" s="164" t="s">
        <v>1862</v>
      </c>
      <c r="F271" s="260" t="s">
        <v>1864</v>
      </c>
    </row>
    <row r="272" spans="1:6" x14ac:dyDescent="0.75">
      <c r="A272" s="164" t="s">
        <v>1507</v>
      </c>
      <c r="B272" s="260" t="str">
        <f>B223</f>
        <v>RCP-SMC-000064</v>
      </c>
      <c r="C272" s="162" t="s">
        <v>1887</v>
      </c>
      <c r="D272" s="164" t="s">
        <v>1877</v>
      </c>
      <c r="E272" s="164" t="s">
        <v>1862</v>
      </c>
      <c r="F272" s="260" t="s">
        <v>1869</v>
      </c>
    </row>
    <row r="273" spans="1:6" x14ac:dyDescent="0.75">
      <c r="A273" s="164" t="s">
        <v>1507</v>
      </c>
      <c r="B273" s="260" t="str">
        <f>B224</f>
        <v>RCP-SMC-000062</v>
      </c>
      <c r="C273" s="162" t="s">
        <v>1888</v>
      </c>
      <c r="D273" s="164" t="s">
        <v>1877</v>
      </c>
      <c r="E273" s="164" t="s">
        <v>1862</v>
      </c>
      <c r="F273" s="260" t="s">
        <v>1869</v>
      </c>
    </row>
    <row r="274" spans="1:6" x14ac:dyDescent="0.75">
      <c r="A274" s="164" t="s">
        <v>1507</v>
      </c>
      <c r="B274" s="260" t="str">
        <f>B225</f>
        <v>RCP-SMC-000067</v>
      </c>
      <c r="C274" s="164" t="s">
        <v>1890</v>
      </c>
      <c r="D274" s="164" t="s">
        <v>1877</v>
      </c>
      <c r="E274" s="164" t="s">
        <v>1862</v>
      </c>
      <c r="F274" s="260" t="s">
        <v>1889</v>
      </c>
    </row>
    <row r="275" spans="1:6" x14ac:dyDescent="0.75">
      <c r="A275" s="164" t="s">
        <v>1507</v>
      </c>
      <c r="B275" s="260" t="str">
        <f>B226</f>
        <v>RCP-SMC-000077</v>
      </c>
      <c r="C275" s="164" t="s">
        <v>1892</v>
      </c>
      <c r="D275" s="164" t="s">
        <v>1819</v>
      </c>
      <c r="E275" s="164" t="s">
        <v>1862</v>
      </c>
      <c r="F275" s="260" t="s">
        <v>1891</v>
      </c>
    </row>
    <row r="276" spans="1:6" x14ac:dyDescent="0.75">
      <c r="A276" s="164" t="s">
        <v>1507</v>
      </c>
      <c r="B276" s="260" t="str">
        <f>B227</f>
        <v>RCP-SMC-000078</v>
      </c>
      <c r="C276" s="164" t="s">
        <v>1893</v>
      </c>
      <c r="D276" s="164" t="s">
        <v>1819</v>
      </c>
      <c r="E276" s="164" t="s">
        <v>1862</v>
      </c>
      <c r="F276" s="260" t="s">
        <v>1891</v>
      </c>
    </row>
    <row r="277" spans="1:6" x14ac:dyDescent="0.75">
      <c r="A277" s="164" t="s">
        <v>1507</v>
      </c>
      <c r="B277" s="260" t="str">
        <f>'Master – Recipes'!A85</f>
        <v>RCP-SMC-000083</v>
      </c>
      <c r="C277" s="164" t="s">
        <v>1993</v>
      </c>
      <c r="D277" s="164" t="s">
        <v>1819</v>
      </c>
      <c r="E277" s="164" t="s">
        <v>1862</v>
      </c>
      <c r="F277" s="260" t="s">
        <v>1891</v>
      </c>
    </row>
    <row r="278" spans="1:6" x14ac:dyDescent="0.75">
      <c r="A278" s="164" t="s">
        <v>1507</v>
      </c>
      <c r="B278" s="260" t="str">
        <f>'Master – Recipes'!A86</f>
        <v>RCP-SMC-000084</v>
      </c>
      <c r="C278" s="164" t="s">
        <v>1895</v>
      </c>
      <c r="D278" s="164" t="s">
        <v>1819</v>
      </c>
      <c r="E278" s="164" t="s">
        <v>1862</v>
      </c>
      <c r="F278" s="260" t="s">
        <v>1891</v>
      </c>
    </row>
    <row r="279" spans="1:6" x14ac:dyDescent="0.75">
      <c r="A279" s="164" t="s">
        <v>1507</v>
      </c>
      <c r="B279" s="260" t="str">
        <f>B230</f>
        <v>RCP-SMC-000073</v>
      </c>
      <c r="C279" s="164" t="s">
        <v>1896</v>
      </c>
      <c r="D279" s="164" t="s">
        <v>1819</v>
      </c>
      <c r="E279" s="164" t="s">
        <v>1862</v>
      </c>
      <c r="F279" s="260" t="s">
        <v>1869</v>
      </c>
    </row>
    <row r="280" spans="1:6" x14ac:dyDescent="0.75">
      <c r="A280" s="164" t="s">
        <v>1507</v>
      </c>
      <c r="B280" s="260" t="str">
        <f>B231</f>
        <v>RCP-SMC-000074</v>
      </c>
      <c r="C280" s="164" t="s">
        <v>1898</v>
      </c>
      <c r="D280" s="164" t="s">
        <v>1819</v>
      </c>
      <c r="E280" s="164" t="s">
        <v>1862</v>
      </c>
      <c r="F280" s="260" t="s">
        <v>1897</v>
      </c>
    </row>
    <row r="281" spans="1:6" x14ac:dyDescent="0.75">
      <c r="A281" s="164" t="s">
        <v>1507</v>
      </c>
      <c r="B281" s="260" t="str">
        <f>B232</f>
        <v>RCP-SMC-000075</v>
      </c>
      <c r="C281" s="164" t="s">
        <v>1899</v>
      </c>
      <c r="D281" s="164" t="s">
        <v>1819</v>
      </c>
      <c r="E281" s="164" t="s">
        <v>1862</v>
      </c>
      <c r="F281" s="260" t="s">
        <v>1867</v>
      </c>
    </row>
    <row r="282" spans="1:6" x14ac:dyDescent="0.75">
      <c r="A282" s="164" t="s">
        <v>1507</v>
      </c>
      <c r="B282" s="260" t="str">
        <f>B233</f>
        <v>RCP-SMC-000076</v>
      </c>
      <c r="C282" s="164" t="s">
        <v>1584</v>
      </c>
      <c r="D282" s="164" t="s">
        <v>1819</v>
      </c>
      <c r="E282" s="164" t="s">
        <v>1862</v>
      </c>
      <c r="F282" s="260" t="s">
        <v>1869</v>
      </c>
    </row>
    <row r="283" spans="1:6" x14ac:dyDescent="0.75">
      <c r="A283" s="164" t="s">
        <v>1507</v>
      </c>
      <c r="B283" s="260" t="str">
        <f>'Master – Recipes'!A113</f>
        <v>RCP-SMC-000110</v>
      </c>
      <c r="C283" s="164" t="s">
        <v>1934</v>
      </c>
      <c r="D283" s="164" t="s">
        <v>1863</v>
      </c>
      <c r="E283" s="164" t="s">
        <v>1900</v>
      </c>
      <c r="F283" s="260" t="s">
        <v>1864</v>
      </c>
    </row>
    <row r="284" spans="1:6" x14ac:dyDescent="0.75">
      <c r="A284" s="164" t="s">
        <v>1507</v>
      </c>
      <c r="B284" s="260" t="str">
        <f>'Master – Recipes'!A109</f>
        <v>RCP-SMC-000106</v>
      </c>
      <c r="C284" s="164" t="s">
        <v>1933</v>
      </c>
      <c r="D284" s="164" t="s">
        <v>1863</v>
      </c>
      <c r="E284" s="164" t="s">
        <v>1900</v>
      </c>
      <c r="F284" s="260" t="s">
        <v>1864</v>
      </c>
    </row>
    <row r="285" spans="1:6" x14ac:dyDescent="0.75">
      <c r="A285" s="164" t="s">
        <v>1507</v>
      </c>
      <c r="B285" s="260" t="str">
        <f>B260</f>
        <v>RCP-SMC-000086</v>
      </c>
      <c r="C285" s="162" t="s">
        <v>1868</v>
      </c>
      <c r="D285" s="164" t="s">
        <v>1863</v>
      </c>
      <c r="E285" s="164" t="s">
        <v>1900</v>
      </c>
      <c r="F285" s="260" t="s">
        <v>1867</v>
      </c>
    </row>
    <row r="286" spans="1:6" x14ac:dyDescent="0.75">
      <c r="A286" s="164" t="s">
        <v>1507</v>
      </c>
      <c r="B286" s="260" t="str">
        <f>B237</f>
        <v>RCP-SMC-000107</v>
      </c>
      <c r="C286" s="164" t="s">
        <v>1935</v>
      </c>
      <c r="D286" s="164" t="s">
        <v>1863</v>
      </c>
      <c r="E286" s="164" t="s">
        <v>1900</v>
      </c>
      <c r="F286" s="260" t="s">
        <v>1869</v>
      </c>
    </row>
    <row r="287" spans="1:6" x14ac:dyDescent="0.75">
      <c r="A287" s="164" t="s">
        <v>1507</v>
      </c>
      <c r="B287" s="260" t="str">
        <f>B41</f>
        <v>RCP-SMC-000150</v>
      </c>
      <c r="C287" s="164" t="s">
        <v>1905</v>
      </c>
      <c r="D287" s="164" t="s">
        <v>1778</v>
      </c>
      <c r="E287" s="164" t="s">
        <v>1900</v>
      </c>
      <c r="F287" s="260" t="s">
        <v>1864</v>
      </c>
    </row>
    <row r="288" spans="1:6" x14ac:dyDescent="0.75">
      <c r="A288" s="164" t="s">
        <v>1507</v>
      </c>
      <c r="B288" s="260" t="str">
        <f>B17</f>
        <v>RCP-SMC-000149</v>
      </c>
      <c r="C288" s="164" t="s">
        <v>1872</v>
      </c>
      <c r="D288" s="164" t="s">
        <v>1778</v>
      </c>
      <c r="E288" s="164" t="s">
        <v>1900</v>
      </c>
      <c r="F288" s="260" t="s">
        <v>1869</v>
      </c>
    </row>
    <row r="289" spans="1:6" x14ac:dyDescent="0.75">
      <c r="A289" s="164" t="s">
        <v>1507</v>
      </c>
      <c r="B289" s="260" t="str">
        <f>'Master – Recipes'!A39</f>
        <v>RCP-SMC-000041</v>
      </c>
      <c r="C289" s="162" t="s">
        <v>1994</v>
      </c>
      <c r="D289" s="164" t="s">
        <v>1906</v>
      </c>
      <c r="E289" s="164" t="s">
        <v>1900</v>
      </c>
      <c r="F289" s="260" t="s">
        <v>1864</v>
      </c>
    </row>
    <row r="290" spans="1:6" x14ac:dyDescent="0.75">
      <c r="A290" s="164" t="s">
        <v>1507</v>
      </c>
      <c r="B290" s="260" t="str">
        <f>'Master – Recipes'!A38</f>
        <v>RCP-SMC-000040</v>
      </c>
      <c r="C290" s="162" t="s">
        <v>1995</v>
      </c>
      <c r="D290" s="164" t="s">
        <v>1906</v>
      </c>
      <c r="E290" s="164" t="s">
        <v>1900</v>
      </c>
      <c r="F290" s="260" t="s">
        <v>1864</v>
      </c>
    </row>
    <row r="291" spans="1:6" x14ac:dyDescent="0.75">
      <c r="A291" s="164" t="s">
        <v>1507</v>
      </c>
      <c r="B291" s="260" t="str">
        <f>'Master – Recipes'!A36</f>
        <v>RCP-SMC-000039</v>
      </c>
      <c r="C291" s="164" t="s">
        <v>1996</v>
      </c>
      <c r="D291" s="164" t="s">
        <v>1906</v>
      </c>
      <c r="E291" s="164" t="s">
        <v>1900</v>
      </c>
      <c r="F291" s="260" t="s">
        <v>1864</v>
      </c>
    </row>
    <row r="292" spans="1:6" x14ac:dyDescent="0.75">
      <c r="A292" s="164" t="s">
        <v>1507</v>
      </c>
      <c r="B292" s="260" t="str">
        <f>'Master – Recipes'!A40</f>
        <v>RCP-SMC-000042</v>
      </c>
      <c r="C292" s="162" t="s">
        <v>1956</v>
      </c>
      <c r="D292" s="164" t="s">
        <v>1906</v>
      </c>
      <c r="E292" s="164" t="s">
        <v>1900</v>
      </c>
      <c r="F292" s="260" t="s">
        <v>1910</v>
      </c>
    </row>
    <row r="293" spans="1:6" x14ac:dyDescent="0.75">
      <c r="A293" s="164" t="s">
        <v>1507</v>
      </c>
      <c r="B293" s="260" t="str">
        <f t="shared" ref="B293:B299" si="4">B244</f>
        <v>RCP-SMC-000065</v>
      </c>
      <c r="C293" s="162" t="s">
        <v>1913</v>
      </c>
      <c r="D293" s="164" t="s">
        <v>1912</v>
      </c>
      <c r="E293" s="164" t="s">
        <v>1900</v>
      </c>
      <c r="F293" s="260" t="s">
        <v>1864</v>
      </c>
    </row>
    <row r="294" spans="1:6" x14ac:dyDescent="0.75">
      <c r="A294" s="164" t="s">
        <v>1507</v>
      </c>
      <c r="B294" s="260" t="str">
        <f t="shared" si="4"/>
        <v>RCP-SMC-000070</v>
      </c>
      <c r="C294" s="162" t="s">
        <v>1914</v>
      </c>
      <c r="D294" s="164" t="s">
        <v>1912</v>
      </c>
      <c r="E294" s="164" t="s">
        <v>1900</v>
      </c>
      <c r="F294" s="260" t="s">
        <v>1879</v>
      </c>
    </row>
    <row r="295" spans="1:6" ht="40.799999999999997" x14ac:dyDescent="0.75">
      <c r="A295" s="164" t="s">
        <v>1507</v>
      </c>
      <c r="B295" s="260" t="str">
        <f t="shared" si="4"/>
        <v>RCP-SMC-000072</v>
      </c>
      <c r="C295" s="162" t="s">
        <v>1940</v>
      </c>
      <c r="D295" s="164" t="s">
        <v>1912</v>
      </c>
      <c r="E295" s="164" t="s">
        <v>1900</v>
      </c>
      <c r="F295" s="260" t="s">
        <v>1881</v>
      </c>
    </row>
    <row r="296" spans="1:6" x14ac:dyDescent="0.75">
      <c r="A296" s="164" t="s">
        <v>1507</v>
      </c>
      <c r="B296" s="260" t="str">
        <f t="shared" si="4"/>
        <v>RCP-SMC-000071</v>
      </c>
      <c r="C296" s="162" t="s">
        <v>1916</v>
      </c>
      <c r="D296" s="164" t="s">
        <v>1912</v>
      </c>
      <c r="E296" s="164" t="s">
        <v>1900</v>
      </c>
      <c r="F296" s="260" t="s">
        <v>1883</v>
      </c>
    </row>
    <row r="297" spans="1:6" x14ac:dyDescent="0.75">
      <c r="A297" s="164" t="s">
        <v>1507</v>
      </c>
      <c r="B297" s="260" t="str">
        <f t="shared" si="4"/>
        <v>RCP-SMC-000068</v>
      </c>
      <c r="C297" s="162" t="s">
        <v>1885</v>
      </c>
      <c r="D297" s="164" t="s">
        <v>1912</v>
      </c>
      <c r="E297" s="164" t="s">
        <v>1900</v>
      </c>
      <c r="F297" s="260" t="s">
        <v>1864</v>
      </c>
    </row>
    <row r="298" spans="1:6" x14ac:dyDescent="0.75">
      <c r="A298" s="164" t="s">
        <v>1507</v>
      </c>
      <c r="B298" s="260" t="str">
        <f t="shared" si="4"/>
        <v>RCP-SMC-000066</v>
      </c>
      <c r="C298" s="162" t="s">
        <v>1917</v>
      </c>
      <c r="D298" s="164" t="s">
        <v>1912</v>
      </c>
      <c r="E298" s="164" t="s">
        <v>1900</v>
      </c>
      <c r="F298" s="260" t="s">
        <v>1869</v>
      </c>
    </row>
    <row r="299" spans="1:6" x14ac:dyDescent="0.75">
      <c r="A299" s="164" t="s">
        <v>1507</v>
      </c>
      <c r="B299" s="260" t="str">
        <f t="shared" si="4"/>
        <v>RCP-SMC-000069</v>
      </c>
      <c r="C299" s="162" t="s">
        <v>1918</v>
      </c>
      <c r="D299" s="164" t="s">
        <v>1912</v>
      </c>
      <c r="E299" s="164" t="s">
        <v>1900</v>
      </c>
      <c r="F299" s="260" t="s">
        <v>1889</v>
      </c>
    </row>
    <row r="300" spans="1:6" x14ac:dyDescent="0.75">
      <c r="A300" s="164" t="s">
        <v>1535</v>
      </c>
      <c r="B300" s="260" t="str">
        <f>'Master – Recipes'!A172</f>
        <v>RCP-SMC-000169</v>
      </c>
      <c r="C300" s="164" t="s">
        <v>1861</v>
      </c>
      <c r="D300" s="164" t="s">
        <v>1837</v>
      </c>
      <c r="E300" s="164" t="s">
        <v>1835</v>
      </c>
      <c r="F300" s="260" t="s">
        <v>1838</v>
      </c>
    </row>
    <row r="301" spans="1:6" x14ac:dyDescent="0.75">
      <c r="A301" s="164" t="s">
        <v>1535</v>
      </c>
      <c r="B301" s="260" t="str">
        <f>B252</f>
        <v>RCP-SMC-000159</v>
      </c>
      <c r="C301" s="164" t="s">
        <v>1841</v>
      </c>
      <c r="D301" s="164" t="s">
        <v>1837</v>
      </c>
      <c r="E301" s="164" t="s">
        <v>1835</v>
      </c>
      <c r="F301" s="260" t="s">
        <v>1840</v>
      </c>
    </row>
    <row r="302" spans="1:6" x14ac:dyDescent="0.75">
      <c r="A302" s="164" t="s">
        <v>1535</v>
      </c>
      <c r="B302" s="260" t="str">
        <f>B253</f>
        <v>RCP-SMC-000160</v>
      </c>
      <c r="C302" s="164" t="s">
        <v>1843</v>
      </c>
      <c r="D302" s="164" t="s">
        <v>1837</v>
      </c>
      <c r="E302" s="164" t="s">
        <v>1835</v>
      </c>
      <c r="F302" s="260" t="s">
        <v>1842</v>
      </c>
    </row>
    <row r="303" spans="1:6" x14ac:dyDescent="0.75">
      <c r="A303" s="164" t="s">
        <v>1535</v>
      </c>
      <c r="B303" s="260" t="str">
        <f>B254</f>
        <v>RCP-SMC-000161</v>
      </c>
      <c r="C303" s="164" t="s">
        <v>1854</v>
      </c>
      <c r="D303" s="164" t="s">
        <v>1837</v>
      </c>
      <c r="E303" s="164" t="s">
        <v>1835</v>
      </c>
      <c r="F303" s="260" t="s">
        <v>1840</v>
      </c>
    </row>
    <row r="304" spans="1:6" x14ac:dyDescent="0.75">
      <c r="A304" s="164" t="s">
        <v>1535</v>
      </c>
      <c r="B304" s="260" t="str">
        <f>B205</f>
        <v>RCP-SMC-000162</v>
      </c>
      <c r="C304" s="164" t="s">
        <v>1846</v>
      </c>
      <c r="D304" s="164" t="s">
        <v>1837</v>
      </c>
      <c r="E304" s="164" t="s">
        <v>1835</v>
      </c>
      <c r="F304" s="260" t="s">
        <v>1845</v>
      </c>
    </row>
    <row r="305" spans="1:6" x14ac:dyDescent="0.75">
      <c r="A305" s="164" t="s">
        <v>1535</v>
      </c>
      <c r="B305" s="260" t="str">
        <f>B256</f>
        <v>RCP-SMC-000128</v>
      </c>
      <c r="C305" s="164" t="s">
        <v>1849</v>
      </c>
      <c r="D305" s="164" t="s">
        <v>1847</v>
      </c>
      <c r="E305" s="164" t="s">
        <v>1835</v>
      </c>
      <c r="F305" s="260" t="s">
        <v>1848</v>
      </c>
    </row>
    <row r="306" spans="1:6" x14ac:dyDescent="0.75">
      <c r="A306" s="164" t="s">
        <v>1535</v>
      </c>
      <c r="B306" s="265" t="str">
        <f>B257</f>
        <v>RCP-SMC-000132</v>
      </c>
      <c r="C306" s="164" t="s">
        <v>1851</v>
      </c>
      <c r="D306" s="164" t="s">
        <v>1847</v>
      </c>
      <c r="E306" s="164" t="s">
        <v>1835</v>
      </c>
      <c r="F306" s="260" t="s">
        <v>1850</v>
      </c>
    </row>
    <row r="307" spans="1:6" x14ac:dyDescent="0.75">
      <c r="A307" s="164" t="s">
        <v>1535</v>
      </c>
      <c r="B307" s="260" t="str">
        <f>'Master – Recipes'!A114</f>
        <v>RCP-SMC-000111</v>
      </c>
      <c r="C307" s="164" t="s">
        <v>1973</v>
      </c>
      <c r="D307" s="164" t="s">
        <v>1863</v>
      </c>
      <c r="E307" s="164" t="s">
        <v>1862</v>
      </c>
      <c r="F307" s="260" t="s">
        <v>1864</v>
      </c>
    </row>
    <row r="308" spans="1:6" x14ac:dyDescent="0.75">
      <c r="A308" s="164" t="s">
        <v>1535</v>
      </c>
      <c r="B308" s="260" t="str">
        <f>'Master – Recipes'!A116</f>
        <v>RCP-SMC-000113</v>
      </c>
      <c r="C308" s="164" t="s">
        <v>1920</v>
      </c>
      <c r="D308" s="164" t="s">
        <v>1863</v>
      </c>
      <c r="E308" s="164" t="s">
        <v>1862</v>
      </c>
      <c r="F308" s="260" t="s">
        <v>1864</v>
      </c>
    </row>
    <row r="309" spans="1:6" x14ac:dyDescent="0.75">
      <c r="A309" s="164" t="s">
        <v>1535</v>
      </c>
      <c r="B309" s="260" t="str">
        <f>B285</f>
        <v>RCP-SMC-000086</v>
      </c>
      <c r="C309" s="162" t="s">
        <v>1997</v>
      </c>
      <c r="D309" s="164" t="s">
        <v>1863</v>
      </c>
      <c r="E309" s="164" t="s">
        <v>1862</v>
      </c>
      <c r="F309" s="260" t="s">
        <v>1867</v>
      </c>
    </row>
    <row r="310" spans="1:6" x14ac:dyDescent="0.75">
      <c r="A310" s="164" t="s">
        <v>1535</v>
      </c>
      <c r="B310" s="260" t="str">
        <f>'Master – Recipes'!A115</f>
        <v>RCP-SMC-000112</v>
      </c>
      <c r="C310" s="162" t="s">
        <v>1998</v>
      </c>
      <c r="D310" s="164" t="s">
        <v>1863</v>
      </c>
      <c r="E310" s="164" t="s">
        <v>1862</v>
      </c>
      <c r="F310" s="260" t="s">
        <v>1869</v>
      </c>
    </row>
    <row r="311" spans="1:6" x14ac:dyDescent="0.75">
      <c r="A311" s="164" t="s">
        <v>1535</v>
      </c>
      <c r="B311" s="260" t="str">
        <f>'Master – Recipes'!A159</f>
        <v>RCP-SMC-000156</v>
      </c>
      <c r="C311" s="164" t="s">
        <v>1999</v>
      </c>
      <c r="D311" s="164" t="s">
        <v>1778</v>
      </c>
      <c r="E311" s="164" t="s">
        <v>1862</v>
      </c>
      <c r="F311" s="260" t="s">
        <v>1864</v>
      </c>
    </row>
    <row r="312" spans="1:6" x14ac:dyDescent="0.75">
      <c r="A312" s="164" t="s">
        <v>1535</v>
      </c>
      <c r="B312" s="260" t="str">
        <f>B17</f>
        <v>RCP-SMC-000149</v>
      </c>
      <c r="C312" s="164" t="s">
        <v>1872</v>
      </c>
      <c r="D312" s="164" t="s">
        <v>1778</v>
      </c>
      <c r="E312" s="164" t="s">
        <v>1862</v>
      </c>
      <c r="F312" s="260" t="s">
        <v>1869</v>
      </c>
    </row>
    <row r="313" spans="1:6" x14ac:dyDescent="0.75">
      <c r="A313" s="164" t="s">
        <v>1535</v>
      </c>
      <c r="B313" s="260" t="str">
        <f>'Master – Recipes'!A49</f>
        <v>RCP-SMC-000050</v>
      </c>
      <c r="C313" s="164" t="s">
        <v>1936</v>
      </c>
      <c r="D313" s="164" t="s">
        <v>1873</v>
      </c>
      <c r="E313" s="164" t="s">
        <v>1862</v>
      </c>
      <c r="F313" s="260" t="s">
        <v>1864</v>
      </c>
    </row>
    <row r="314" spans="1:6" x14ac:dyDescent="0.75">
      <c r="A314" s="164" t="s">
        <v>1535</v>
      </c>
      <c r="B314" s="260" t="str">
        <f>'Master – Recipes'!A47</f>
        <v>RCP-SMC-000049</v>
      </c>
      <c r="C314" s="162" t="s">
        <v>2000</v>
      </c>
      <c r="D314" s="164" t="s">
        <v>1873</v>
      </c>
      <c r="E314" s="164" t="s">
        <v>1862</v>
      </c>
      <c r="F314" s="260" t="s">
        <v>1864</v>
      </c>
    </row>
    <row r="315" spans="1:6" x14ac:dyDescent="0.75">
      <c r="A315" s="164" t="s">
        <v>1535</v>
      </c>
      <c r="B315" s="260" t="str">
        <f>'Master – Recipes'!A46</f>
        <v>RCP-SMC-000048</v>
      </c>
      <c r="C315" s="164" t="s">
        <v>2001</v>
      </c>
      <c r="D315" s="164" t="s">
        <v>1873</v>
      </c>
      <c r="E315" s="164" t="s">
        <v>1862</v>
      </c>
      <c r="F315" s="260" t="s">
        <v>1864</v>
      </c>
    </row>
    <row r="316" spans="1:6" x14ac:dyDescent="0.75">
      <c r="A316" s="164" t="s">
        <v>1535</v>
      </c>
      <c r="B316" s="260" t="str">
        <f>B266</f>
        <v>RCP-SMC-000063</v>
      </c>
      <c r="C316" s="162" t="s">
        <v>1878</v>
      </c>
      <c r="D316" s="164" t="s">
        <v>1877</v>
      </c>
      <c r="E316" s="164" t="s">
        <v>1862</v>
      </c>
      <c r="F316" s="260" t="s">
        <v>1864</v>
      </c>
    </row>
    <row r="317" spans="1:6" x14ac:dyDescent="0.75">
      <c r="A317" s="164" t="s">
        <v>1535</v>
      </c>
      <c r="B317" s="260" t="str">
        <f>B267</f>
        <v>RCP-SMC-000070</v>
      </c>
      <c r="C317" s="162" t="s">
        <v>1926</v>
      </c>
      <c r="D317" s="164" t="s">
        <v>1877</v>
      </c>
      <c r="E317" s="164" t="s">
        <v>1862</v>
      </c>
      <c r="F317" s="260" t="s">
        <v>1879</v>
      </c>
    </row>
    <row r="318" spans="1:6" ht="40.799999999999997" x14ac:dyDescent="0.75">
      <c r="A318" s="164" t="s">
        <v>1535</v>
      </c>
      <c r="B318" s="260" t="str">
        <f>B121</f>
        <v>RCP-SMC-000013</v>
      </c>
      <c r="C318" s="162" t="s">
        <v>2002</v>
      </c>
      <c r="D318" s="164" t="s">
        <v>1877</v>
      </c>
      <c r="E318" s="164" t="s">
        <v>1862</v>
      </c>
      <c r="F318" s="260" t="s">
        <v>1881</v>
      </c>
    </row>
    <row r="319" spans="1:6" x14ac:dyDescent="0.75">
      <c r="A319" s="164" t="s">
        <v>1535</v>
      </c>
      <c r="B319" s="260" t="str">
        <f>B296</f>
        <v>RCP-SMC-000071</v>
      </c>
      <c r="C319" s="162" t="s">
        <v>1916</v>
      </c>
      <c r="D319" s="164" t="s">
        <v>1877</v>
      </c>
      <c r="E319" s="164" t="s">
        <v>1862</v>
      </c>
      <c r="F319" s="260" t="s">
        <v>1883</v>
      </c>
    </row>
    <row r="320" spans="1:6" x14ac:dyDescent="0.75">
      <c r="A320" s="164" t="s">
        <v>1535</v>
      </c>
      <c r="B320" s="260" t="str">
        <f>B270</f>
        <v>RCP-SMC-000068</v>
      </c>
      <c r="C320" s="162" t="s">
        <v>1885</v>
      </c>
      <c r="D320" s="164" t="s">
        <v>1877</v>
      </c>
      <c r="E320" s="164" t="s">
        <v>1862</v>
      </c>
      <c r="F320" s="260" t="s">
        <v>1864</v>
      </c>
    </row>
    <row r="321" spans="1:6" x14ac:dyDescent="0.75">
      <c r="A321" s="164" t="s">
        <v>1535</v>
      </c>
      <c r="B321" s="260" t="str">
        <f>B223</f>
        <v>RCP-SMC-000064</v>
      </c>
      <c r="C321" s="162" t="s">
        <v>1887</v>
      </c>
      <c r="D321" s="164" t="s">
        <v>1877</v>
      </c>
      <c r="E321" s="164" t="s">
        <v>1862</v>
      </c>
      <c r="F321" s="260" t="s">
        <v>1869</v>
      </c>
    </row>
    <row r="322" spans="1:6" x14ac:dyDescent="0.75">
      <c r="A322" s="164" t="s">
        <v>1535</v>
      </c>
      <c r="B322" s="260" t="str">
        <f>B224</f>
        <v>RCP-SMC-000062</v>
      </c>
      <c r="C322" s="162" t="s">
        <v>1888</v>
      </c>
      <c r="D322" s="164" t="s">
        <v>1877</v>
      </c>
      <c r="E322" s="164" t="s">
        <v>1862</v>
      </c>
      <c r="F322" s="260" t="s">
        <v>1869</v>
      </c>
    </row>
    <row r="323" spans="1:6" x14ac:dyDescent="0.75">
      <c r="A323" s="164" t="s">
        <v>1535</v>
      </c>
      <c r="B323" s="260" t="str">
        <f>B274</f>
        <v>RCP-SMC-000067</v>
      </c>
      <c r="C323" s="164" t="s">
        <v>1890</v>
      </c>
      <c r="D323" s="164" t="s">
        <v>1877</v>
      </c>
      <c r="E323" s="164" t="s">
        <v>1862</v>
      </c>
      <c r="F323" s="260" t="s">
        <v>1889</v>
      </c>
    </row>
    <row r="324" spans="1:6" x14ac:dyDescent="0.75">
      <c r="A324" s="164" t="s">
        <v>1535</v>
      </c>
      <c r="B324" s="260" t="str">
        <f>B275</f>
        <v>RCP-SMC-000077</v>
      </c>
      <c r="C324" s="164" t="s">
        <v>1892</v>
      </c>
      <c r="D324" s="164" t="s">
        <v>1819</v>
      </c>
      <c r="E324" s="164" t="s">
        <v>1862</v>
      </c>
      <c r="F324" s="260" t="s">
        <v>1891</v>
      </c>
    </row>
    <row r="325" spans="1:6" x14ac:dyDescent="0.75">
      <c r="A325" s="164" t="s">
        <v>1535</v>
      </c>
      <c r="B325" s="260" t="str">
        <f>B276</f>
        <v>RCP-SMC-000078</v>
      </c>
      <c r="C325" s="164" t="s">
        <v>1893</v>
      </c>
      <c r="D325" s="164" t="s">
        <v>1819</v>
      </c>
      <c r="E325" s="164" t="s">
        <v>1862</v>
      </c>
      <c r="F325" s="260" t="s">
        <v>1891</v>
      </c>
    </row>
    <row r="326" spans="1:6" x14ac:dyDescent="0.75">
      <c r="A326" s="164" t="s">
        <v>1535</v>
      </c>
      <c r="B326" s="260" t="str">
        <f>'Master – Recipes'!A82</f>
        <v>RCP-SMC-000080</v>
      </c>
      <c r="C326" s="164" t="s">
        <v>1950</v>
      </c>
      <c r="D326" s="164" t="s">
        <v>1819</v>
      </c>
      <c r="E326" s="164" t="s">
        <v>1862</v>
      </c>
      <c r="F326" s="260" t="s">
        <v>1891</v>
      </c>
    </row>
    <row r="327" spans="1:6" x14ac:dyDescent="0.75">
      <c r="A327" s="164" t="s">
        <v>1535</v>
      </c>
      <c r="B327" s="260" t="str">
        <f>'Master – Recipes'!A86</f>
        <v>RCP-SMC-000084</v>
      </c>
      <c r="C327" s="164" t="s">
        <v>1895</v>
      </c>
      <c r="D327" s="164" t="s">
        <v>1819</v>
      </c>
      <c r="E327" s="164" t="s">
        <v>1862</v>
      </c>
      <c r="F327" s="260" t="s">
        <v>1891</v>
      </c>
    </row>
    <row r="328" spans="1:6" x14ac:dyDescent="0.75">
      <c r="A328" s="164" t="s">
        <v>1535</v>
      </c>
      <c r="B328" s="260" t="str">
        <f>B279</f>
        <v>RCP-SMC-000073</v>
      </c>
      <c r="C328" s="164" t="s">
        <v>1896</v>
      </c>
      <c r="D328" s="164" t="s">
        <v>1819</v>
      </c>
      <c r="E328" s="164" t="s">
        <v>1862</v>
      </c>
      <c r="F328" s="260" t="s">
        <v>1869</v>
      </c>
    </row>
    <row r="329" spans="1:6" x14ac:dyDescent="0.75">
      <c r="A329" s="164" t="s">
        <v>1535</v>
      </c>
      <c r="B329" s="260" t="str">
        <f>B182</f>
        <v>RCP-SMC-000074</v>
      </c>
      <c r="C329" s="164" t="s">
        <v>1898</v>
      </c>
      <c r="D329" s="164" t="s">
        <v>1819</v>
      </c>
      <c r="E329" s="164" t="s">
        <v>1862</v>
      </c>
      <c r="F329" s="260" t="s">
        <v>1897</v>
      </c>
    </row>
    <row r="330" spans="1:6" x14ac:dyDescent="0.75">
      <c r="A330" s="164" t="s">
        <v>1535</v>
      </c>
      <c r="B330" s="260" t="str">
        <f>B281</f>
        <v>RCP-SMC-000075</v>
      </c>
      <c r="C330" s="164" t="s">
        <v>1899</v>
      </c>
      <c r="D330" s="164" t="s">
        <v>1819</v>
      </c>
      <c r="E330" s="164" t="s">
        <v>1862</v>
      </c>
      <c r="F330" s="260" t="s">
        <v>1867</v>
      </c>
    </row>
    <row r="331" spans="1:6" x14ac:dyDescent="0.75">
      <c r="A331" s="164" t="s">
        <v>1535</v>
      </c>
      <c r="B331" s="260" t="str">
        <f>B282</f>
        <v>RCP-SMC-000076</v>
      </c>
      <c r="C331" s="164" t="s">
        <v>1584</v>
      </c>
      <c r="D331" s="164" t="s">
        <v>1819</v>
      </c>
      <c r="E331" s="164" t="s">
        <v>1862</v>
      </c>
      <c r="F331" s="260" t="s">
        <v>1869</v>
      </c>
    </row>
    <row r="332" spans="1:6" x14ac:dyDescent="0.75">
      <c r="A332" s="164" t="s">
        <v>1535</v>
      </c>
      <c r="B332" s="260" t="str">
        <f>'Master – Recipes'!A117</f>
        <v>RCP-SMC-000114</v>
      </c>
      <c r="C332" s="164" t="s">
        <v>1951</v>
      </c>
      <c r="D332" s="164" t="s">
        <v>1863</v>
      </c>
      <c r="E332" s="164" t="s">
        <v>1900</v>
      </c>
      <c r="F332" s="260" t="s">
        <v>1864</v>
      </c>
    </row>
    <row r="333" spans="1:6" x14ac:dyDescent="0.75">
      <c r="A333" s="164" t="s">
        <v>1535</v>
      </c>
      <c r="B333" s="260" t="str">
        <f>'Master – Recipes'!A118</f>
        <v>RCP-SMC-000115</v>
      </c>
      <c r="C333" s="164" t="s">
        <v>1637</v>
      </c>
      <c r="D333" s="164" t="s">
        <v>1863</v>
      </c>
      <c r="E333" s="164" t="s">
        <v>1900</v>
      </c>
      <c r="F333" s="260" t="s">
        <v>1864</v>
      </c>
    </row>
    <row r="334" spans="1:6" x14ac:dyDescent="0.75">
      <c r="A334" s="164" t="s">
        <v>1535</v>
      </c>
      <c r="B334" s="260" t="str">
        <f>Menu!B309</f>
        <v>RCP-SMC-000086</v>
      </c>
      <c r="C334" s="162" t="s">
        <v>1868</v>
      </c>
      <c r="D334" s="164" t="s">
        <v>1863</v>
      </c>
      <c r="E334" s="164" t="s">
        <v>1900</v>
      </c>
      <c r="F334" s="260" t="s">
        <v>1867</v>
      </c>
    </row>
    <row r="335" spans="1:6" x14ac:dyDescent="0.75">
      <c r="A335" s="164" t="s">
        <v>1535</v>
      </c>
      <c r="B335" s="260" t="str">
        <f>B41</f>
        <v>RCP-SMC-000150</v>
      </c>
      <c r="C335" s="164" t="s">
        <v>1905</v>
      </c>
      <c r="D335" s="164" t="s">
        <v>1778</v>
      </c>
      <c r="E335" s="164" t="s">
        <v>1900</v>
      </c>
      <c r="F335" s="260" t="s">
        <v>1864</v>
      </c>
    </row>
    <row r="336" spans="1:6" x14ac:dyDescent="0.75">
      <c r="A336" s="164" t="s">
        <v>1535</v>
      </c>
      <c r="B336" s="260" t="str">
        <f>B17</f>
        <v>RCP-SMC-000149</v>
      </c>
      <c r="C336" s="164" t="s">
        <v>1872</v>
      </c>
      <c r="D336" s="164" t="s">
        <v>1778</v>
      </c>
      <c r="E336" s="164" t="s">
        <v>1900</v>
      </c>
      <c r="F336" s="260" t="s">
        <v>1869</v>
      </c>
    </row>
    <row r="337" spans="1:6" x14ac:dyDescent="0.75">
      <c r="A337" s="164" t="s">
        <v>1535</v>
      </c>
      <c r="B337" s="260" t="str">
        <f>'Master – Recipes'!A44</f>
        <v>RCP-SMC-000046</v>
      </c>
      <c r="C337" s="162" t="s">
        <v>2004</v>
      </c>
      <c r="D337" s="164" t="s">
        <v>1906</v>
      </c>
      <c r="E337" s="164" t="s">
        <v>1900</v>
      </c>
      <c r="F337" s="260" t="s">
        <v>1864</v>
      </c>
    </row>
    <row r="338" spans="1:6" x14ac:dyDescent="0.75">
      <c r="A338" s="164" t="s">
        <v>1535</v>
      </c>
      <c r="B338" s="260" t="str">
        <f>'Master – Recipes'!A43</f>
        <v>RCP-SMC-000045</v>
      </c>
      <c r="C338" s="162" t="s">
        <v>2005</v>
      </c>
      <c r="D338" s="164" t="s">
        <v>1906</v>
      </c>
      <c r="E338" s="164" t="s">
        <v>1900</v>
      </c>
      <c r="F338" s="260" t="s">
        <v>1864</v>
      </c>
    </row>
    <row r="339" spans="1:6" x14ac:dyDescent="0.75">
      <c r="A339" s="164" t="s">
        <v>1535</v>
      </c>
      <c r="B339" s="260" t="str">
        <f>'Master – Recipes'!A45</f>
        <v>RCP-SMC-000047</v>
      </c>
      <c r="C339" s="164" t="s">
        <v>2006</v>
      </c>
      <c r="D339" s="164" t="s">
        <v>1906</v>
      </c>
      <c r="E339" s="164" t="s">
        <v>1900</v>
      </c>
      <c r="F339" s="260" t="s">
        <v>1864</v>
      </c>
    </row>
    <row r="340" spans="1:6" x14ac:dyDescent="0.75">
      <c r="A340" s="164" t="s">
        <v>1535</v>
      </c>
      <c r="B340" s="260" t="str">
        <f t="shared" ref="B340:B346" si="5">B293</f>
        <v>RCP-SMC-000065</v>
      </c>
      <c r="C340" s="162" t="s">
        <v>1913</v>
      </c>
      <c r="D340" s="164" t="s">
        <v>1912</v>
      </c>
      <c r="E340" s="164" t="s">
        <v>1900</v>
      </c>
      <c r="F340" s="260" t="s">
        <v>1864</v>
      </c>
    </row>
    <row r="341" spans="1:6" x14ac:dyDescent="0.75">
      <c r="A341" s="164" t="s">
        <v>1535</v>
      </c>
      <c r="B341" s="260" t="str">
        <f t="shared" si="5"/>
        <v>RCP-SMC-000070</v>
      </c>
      <c r="C341" s="162" t="s">
        <v>1914</v>
      </c>
      <c r="D341" s="164" t="s">
        <v>1912</v>
      </c>
      <c r="E341" s="164" t="s">
        <v>1900</v>
      </c>
      <c r="F341" s="260" t="s">
        <v>1879</v>
      </c>
    </row>
    <row r="342" spans="1:6" ht="40.799999999999997" x14ac:dyDescent="0.75">
      <c r="A342" s="164" t="s">
        <v>1535</v>
      </c>
      <c r="B342" s="260" t="str">
        <f t="shared" si="5"/>
        <v>RCP-SMC-000072</v>
      </c>
      <c r="C342" s="162" t="s">
        <v>1915</v>
      </c>
      <c r="D342" s="164" t="s">
        <v>1912</v>
      </c>
      <c r="E342" s="164" t="s">
        <v>1900</v>
      </c>
      <c r="F342" s="260" t="s">
        <v>1881</v>
      </c>
    </row>
    <row r="343" spans="1:6" x14ac:dyDescent="0.75">
      <c r="A343" s="164" t="s">
        <v>1535</v>
      </c>
      <c r="B343" s="260" t="str">
        <f t="shared" si="5"/>
        <v>RCP-SMC-000071</v>
      </c>
      <c r="C343" s="162" t="s">
        <v>1916</v>
      </c>
      <c r="D343" s="164" t="s">
        <v>1912</v>
      </c>
      <c r="E343" s="164" t="s">
        <v>1900</v>
      </c>
      <c r="F343" s="260" t="s">
        <v>1883</v>
      </c>
    </row>
    <row r="344" spans="1:6" x14ac:dyDescent="0.75">
      <c r="A344" s="164" t="s">
        <v>1535</v>
      </c>
      <c r="B344" s="260" t="str">
        <f t="shared" si="5"/>
        <v>RCP-SMC-000068</v>
      </c>
      <c r="C344" s="162" t="s">
        <v>1885</v>
      </c>
      <c r="D344" s="164" t="s">
        <v>1912</v>
      </c>
      <c r="E344" s="164" t="s">
        <v>1900</v>
      </c>
      <c r="F344" s="260" t="s">
        <v>1864</v>
      </c>
    </row>
    <row r="345" spans="1:6" x14ac:dyDescent="0.75">
      <c r="A345" s="164" t="s">
        <v>1535</v>
      </c>
      <c r="B345" s="260" t="str">
        <f t="shared" si="5"/>
        <v>RCP-SMC-000066</v>
      </c>
      <c r="C345" s="162" t="s">
        <v>1917</v>
      </c>
      <c r="D345" s="164" t="s">
        <v>1912</v>
      </c>
      <c r="E345" s="164" t="s">
        <v>1900</v>
      </c>
      <c r="F345" s="260" t="s">
        <v>1869</v>
      </c>
    </row>
    <row r="346" spans="1:6" x14ac:dyDescent="0.75">
      <c r="A346" s="164" t="s">
        <v>1535</v>
      </c>
      <c r="B346" s="260" t="str">
        <f t="shared" si="5"/>
        <v>RCP-SMC-000069</v>
      </c>
      <c r="C346" s="162" t="s">
        <v>1918</v>
      </c>
      <c r="D346" s="164" t="s">
        <v>1912</v>
      </c>
      <c r="E346" s="164" t="s">
        <v>1900</v>
      </c>
      <c r="F346" s="260" t="s">
        <v>1889</v>
      </c>
    </row>
  </sheetData>
  <autoFilter ref="A4:F346" xr:uid="{508077B5-1C1A-4073-8E2C-A0230B175B20}"/>
  <pageMargins left="0.17013888888888901" right="0.15972222222222199" top="0.75" bottom="0.75" header="0.51180555555555496" footer="0.51180555555555496"/>
  <pageSetup scale="10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10C62-3D56-46F4-971A-05F736503498}">
  <sheetPr>
    <tabColor rgb="FF5B9BD5"/>
  </sheetPr>
  <dimension ref="A3:H162"/>
  <sheetViews>
    <sheetView topLeftCell="D134" workbookViewId="0">
      <selection activeCell="F158" sqref="F158"/>
    </sheetView>
  </sheetViews>
  <sheetFormatPr defaultRowHeight="14.4" x14ac:dyDescent="0.55000000000000004"/>
  <cols>
    <col min="1" max="1" width="19.9453125" customWidth="1"/>
    <col min="2" max="2" width="9.20703125" customWidth="1"/>
    <col min="3" max="3" width="27.26171875" bestFit="1" customWidth="1"/>
    <col min="4" max="4" width="24.578125" bestFit="1" customWidth="1"/>
    <col min="5" max="5" width="10.62890625" bestFit="1" customWidth="1"/>
    <col min="6" max="6" width="27.3125" bestFit="1" customWidth="1"/>
    <col min="7" max="7" width="27.26171875" bestFit="1" customWidth="1"/>
    <col min="8" max="9" width="24.578125" bestFit="1" customWidth="1"/>
  </cols>
  <sheetData>
    <row r="3" spans="1:8" x14ac:dyDescent="0.55000000000000004">
      <c r="A3" s="95" t="s">
        <v>23</v>
      </c>
      <c r="B3" s="95" t="s">
        <v>1</v>
      </c>
      <c r="C3" s="95" t="s">
        <v>0</v>
      </c>
      <c r="D3" s="95" t="s">
        <v>1440</v>
      </c>
      <c r="E3" s="95" t="s">
        <v>2</v>
      </c>
      <c r="F3" t="s">
        <v>1784</v>
      </c>
      <c r="G3" t="s">
        <v>1786</v>
      </c>
      <c r="H3" t="s">
        <v>1785</v>
      </c>
    </row>
    <row r="4" spans="1:8" x14ac:dyDescent="0.55000000000000004">
      <c r="A4" t="s">
        <v>9</v>
      </c>
      <c r="B4" t="s">
        <v>10</v>
      </c>
      <c r="C4" t="s">
        <v>1413</v>
      </c>
      <c r="D4" t="s">
        <v>1432</v>
      </c>
      <c r="E4" t="s">
        <v>11</v>
      </c>
      <c r="F4">
        <v>5725</v>
      </c>
      <c r="G4">
        <v>10</v>
      </c>
      <c r="H4">
        <v>9.8937403118557654</v>
      </c>
    </row>
    <row r="5" spans="1:8" x14ac:dyDescent="0.55000000000000004">
      <c r="A5" t="s">
        <v>1459</v>
      </c>
      <c r="B5" t="s">
        <v>10</v>
      </c>
      <c r="C5" t="s">
        <v>1452</v>
      </c>
      <c r="D5" t="s">
        <v>1448</v>
      </c>
      <c r="E5" t="s">
        <v>11</v>
      </c>
      <c r="F5">
        <v>414</v>
      </c>
      <c r="G5">
        <v>4</v>
      </c>
      <c r="H5">
        <v>4.3622313909486623</v>
      </c>
    </row>
    <row r="6" spans="1:8" x14ac:dyDescent="0.55000000000000004">
      <c r="A6" t="s">
        <v>1460</v>
      </c>
      <c r="B6" t="s">
        <v>10</v>
      </c>
      <c r="C6" t="s">
        <v>1409</v>
      </c>
      <c r="D6" t="s">
        <v>1448</v>
      </c>
      <c r="E6" t="s">
        <v>11</v>
      </c>
      <c r="F6">
        <v>4885</v>
      </c>
      <c r="G6">
        <v>10</v>
      </c>
      <c r="H6">
        <v>9.0984588239779836</v>
      </c>
    </row>
    <row r="7" spans="1:8" x14ac:dyDescent="0.55000000000000004">
      <c r="A7" t="s">
        <v>1461</v>
      </c>
      <c r="B7" t="s">
        <v>10</v>
      </c>
      <c r="C7" t="s">
        <v>1410</v>
      </c>
      <c r="D7" t="s">
        <v>1448</v>
      </c>
      <c r="E7" t="s">
        <v>11</v>
      </c>
      <c r="F7">
        <v>6528</v>
      </c>
      <c r="G7">
        <v>10</v>
      </c>
      <c r="H7">
        <v>5.1434831681156368</v>
      </c>
    </row>
    <row r="8" spans="1:8" x14ac:dyDescent="0.55000000000000004">
      <c r="A8" t="s">
        <v>1462</v>
      </c>
      <c r="B8" t="s">
        <v>10</v>
      </c>
      <c r="C8" t="s">
        <v>1454</v>
      </c>
      <c r="D8" t="s">
        <v>1448</v>
      </c>
      <c r="E8" t="s">
        <v>11</v>
      </c>
      <c r="F8">
        <v>6195</v>
      </c>
      <c r="G8">
        <v>10</v>
      </c>
      <c r="H8">
        <v>5.4269712675452695</v>
      </c>
    </row>
    <row r="9" spans="1:8" x14ac:dyDescent="0.55000000000000004">
      <c r="A9" t="s">
        <v>1463</v>
      </c>
      <c r="B9" t="s">
        <v>10</v>
      </c>
      <c r="C9" t="s">
        <v>1455</v>
      </c>
      <c r="D9" t="s">
        <v>1448</v>
      </c>
      <c r="E9" t="s">
        <v>11</v>
      </c>
      <c r="F9">
        <v>2736</v>
      </c>
      <c r="G9">
        <v>10</v>
      </c>
      <c r="H9">
        <v>2.8563073990929704</v>
      </c>
    </row>
    <row r="10" spans="1:8" x14ac:dyDescent="0.55000000000000004">
      <c r="A10" t="s">
        <v>1464</v>
      </c>
      <c r="B10" t="s">
        <v>10</v>
      </c>
      <c r="C10" t="s">
        <v>1456</v>
      </c>
      <c r="D10" t="s">
        <v>1448</v>
      </c>
      <c r="E10" t="s">
        <v>11</v>
      </c>
      <c r="F10">
        <v>5158</v>
      </c>
      <c r="G10">
        <v>10</v>
      </c>
      <c r="H10">
        <v>10.275901305913486</v>
      </c>
    </row>
    <row r="11" spans="1:8" x14ac:dyDescent="0.55000000000000004">
      <c r="A11" t="s">
        <v>1465</v>
      </c>
      <c r="B11" t="s">
        <v>10</v>
      </c>
      <c r="C11" t="s">
        <v>1457</v>
      </c>
      <c r="D11" t="s">
        <v>1448</v>
      </c>
      <c r="E11" t="s">
        <v>11</v>
      </c>
      <c r="F11">
        <v>7324</v>
      </c>
      <c r="G11">
        <v>10</v>
      </c>
      <c r="H11">
        <v>6.67704726976985</v>
      </c>
    </row>
    <row r="12" spans="1:8" x14ac:dyDescent="0.55000000000000004">
      <c r="A12" t="s">
        <v>1466</v>
      </c>
      <c r="B12" t="s">
        <v>10</v>
      </c>
      <c r="C12" t="s">
        <v>1458</v>
      </c>
      <c r="D12" t="s">
        <v>1448</v>
      </c>
      <c r="E12" t="s">
        <v>11</v>
      </c>
      <c r="F12">
        <v>8080</v>
      </c>
      <c r="G12">
        <v>10</v>
      </c>
      <c r="H12">
        <v>6.7677420037644707</v>
      </c>
    </row>
    <row r="13" spans="1:8" x14ac:dyDescent="0.55000000000000004">
      <c r="A13" t="s">
        <v>1468</v>
      </c>
      <c r="B13" t="s">
        <v>10</v>
      </c>
      <c r="C13" t="s">
        <v>1469</v>
      </c>
      <c r="D13" t="s">
        <v>1467</v>
      </c>
      <c r="E13" t="s">
        <v>11</v>
      </c>
      <c r="F13">
        <v>2972.5</v>
      </c>
      <c r="G13">
        <v>10</v>
      </c>
      <c r="H13">
        <v>5.8759256708178773</v>
      </c>
    </row>
    <row r="14" spans="1:8" x14ac:dyDescent="0.55000000000000004">
      <c r="A14" t="s">
        <v>1478</v>
      </c>
      <c r="B14" t="s">
        <v>10</v>
      </c>
      <c r="C14" t="s">
        <v>1471</v>
      </c>
      <c r="D14" t="s">
        <v>1467</v>
      </c>
      <c r="E14" t="s">
        <v>11</v>
      </c>
      <c r="F14">
        <v>5989</v>
      </c>
      <c r="G14">
        <v>10</v>
      </c>
      <c r="H14">
        <v>5.0505763934067209</v>
      </c>
    </row>
    <row r="15" spans="1:8" x14ac:dyDescent="0.55000000000000004">
      <c r="A15" t="s">
        <v>12</v>
      </c>
      <c r="B15" t="s">
        <v>10</v>
      </c>
      <c r="C15" t="s">
        <v>1441</v>
      </c>
      <c r="D15" t="s">
        <v>1432</v>
      </c>
      <c r="E15" t="s">
        <v>11</v>
      </c>
      <c r="F15">
        <v>6267</v>
      </c>
      <c r="G15">
        <v>10</v>
      </c>
      <c r="H15">
        <v>6.2906321855755811</v>
      </c>
    </row>
    <row r="16" spans="1:8" x14ac:dyDescent="0.55000000000000004">
      <c r="A16" t="s">
        <v>1479</v>
      </c>
      <c r="B16" t="s">
        <v>10</v>
      </c>
      <c r="C16" t="s">
        <v>1472</v>
      </c>
      <c r="D16" t="s">
        <v>1467</v>
      </c>
      <c r="E16" t="s">
        <v>11</v>
      </c>
      <c r="F16">
        <v>4692</v>
      </c>
      <c r="G16">
        <v>10</v>
      </c>
      <c r="H16">
        <v>4.6654383285117342</v>
      </c>
    </row>
    <row r="17" spans="1:8" x14ac:dyDescent="0.55000000000000004">
      <c r="A17" t="s">
        <v>1480</v>
      </c>
      <c r="B17" t="s">
        <v>10</v>
      </c>
      <c r="C17" t="s">
        <v>13</v>
      </c>
      <c r="D17" t="s">
        <v>1467</v>
      </c>
      <c r="E17" t="s">
        <v>11</v>
      </c>
      <c r="F17">
        <v>4732</v>
      </c>
      <c r="G17">
        <v>15</v>
      </c>
      <c r="H17">
        <v>4.9970238757641789</v>
      </c>
    </row>
    <row r="18" spans="1:8" x14ac:dyDescent="0.55000000000000004">
      <c r="A18" t="s">
        <v>1481</v>
      </c>
      <c r="B18" t="s">
        <v>10</v>
      </c>
      <c r="C18" t="s">
        <v>1473</v>
      </c>
      <c r="D18" t="s">
        <v>1467</v>
      </c>
      <c r="E18" t="s">
        <v>11</v>
      </c>
      <c r="F18">
        <v>6651.5</v>
      </c>
      <c r="G18">
        <v>10</v>
      </c>
      <c r="H18">
        <v>5.2842715453294211</v>
      </c>
    </row>
    <row r="19" spans="1:8" x14ac:dyDescent="0.55000000000000004">
      <c r="A19" t="s">
        <v>1482</v>
      </c>
      <c r="B19" t="s">
        <v>10</v>
      </c>
      <c r="C19" t="s">
        <v>1474</v>
      </c>
      <c r="D19" t="s">
        <v>1467</v>
      </c>
      <c r="E19" t="s">
        <v>11</v>
      </c>
      <c r="F19">
        <v>7866</v>
      </c>
      <c r="G19">
        <v>10</v>
      </c>
      <c r="H19">
        <v>5.1334710637676828</v>
      </c>
    </row>
    <row r="20" spans="1:8" x14ac:dyDescent="0.55000000000000004">
      <c r="A20" t="s">
        <v>1483</v>
      </c>
      <c r="B20" t="s">
        <v>10</v>
      </c>
      <c r="C20" t="s">
        <v>1475</v>
      </c>
      <c r="D20" t="s">
        <v>1467</v>
      </c>
      <c r="E20" t="s">
        <v>11</v>
      </c>
      <c r="F20">
        <v>3032</v>
      </c>
      <c r="G20">
        <v>10</v>
      </c>
      <c r="H20">
        <v>9.8122485742615737</v>
      </c>
    </row>
    <row r="21" spans="1:8" x14ac:dyDescent="0.55000000000000004">
      <c r="A21" t="s">
        <v>1484</v>
      </c>
      <c r="B21" t="s">
        <v>10</v>
      </c>
      <c r="C21" t="s">
        <v>1476</v>
      </c>
      <c r="D21" t="s">
        <v>1467</v>
      </c>
      <c r="E21" t="s">
        <v>11</v>
      </c>
      <c r="F21">
        <v>6484</v>
      </c>
      <c r="G21">
        <v>10</v>
      </c>
      <c r="H21">
        <v>2.279805200997898</v>
      </c>
    </row>
    <row r="22" spans="1:8" x14ac:dyDescent="0.55000000000000004">
      <c r="A22" t="s">
        <v>1485</v>
      </c>
      <c r="B22" t="s">
        <v>10</v>
      </c>
      <c r="C22" t="s">
        <v>1477</v>
      </c>
      <c r="D22" t="s">
        <v>1467</v>
      </c>
      <c r="E22" t="s">
        <v>11</v>
      </c>
      <c r="F22">
        <v>5423</v>
      </c>
      <c r="G22">
        <v>10</v>
      </c>
      <c r="H22">
        <v>6.3520993634121332</v>
      </c>
    </row>
    <row r="23" spans="1:8" x14ac:dyDescent="0.55000000000000004">
      <c r="A23" t="s">
        <v>1497</v>
      </c>
      <c r="B23" t="s">
        <v>10</v>
      </c>
      <c r="C23" t="s">
        <v>1487</v>
      </c>
      <c r="D23" t="s">
        <v>1486</v>
      </c>
      <c r="E23" t="s">
        <v>11</v>
      </c>
      <c r="F23">
        <v>5280.5</v>
      </c>
      <c r="G23">
        <v>10</v>
      </c>
      <c r="H23">
        <v>4.7405160894190699</v>
      </c>
    </row>
    <row r="24" spans="1:8" x14ac:dyDescent="0.55000000000000004">
      <c r="A24" t="s">
        <v>1498</v>
      </c>
      <c r="B24" t="s">
        <v>10</v>
      </c>
      <c r="C24" t="s">
        <v>1488</v>
      </c>
      <c r="D24" t="s">
        <v>1486</v>
      </c>
      <c r="E24" t="s">
        <v>11</v>
      </c>
      <c r="F24">
        <v>6936</v>
      </c>
      <c r="G24">
        <v>10</v>
      </c>
      <c r="H24">
        <v>10.402196253358671</v>
      </c>
    </row>
    <row r="25" spans="1:8" x14ac:dyDescent="0.55000000000000004">
      <c r="A25" t="s">
        <v>1499</v>
      </c>
      <c r="B25" t="s">
        <v>10</v>
      </c>
      <c r="C25" t="s">
        <v>1489</v>
      </c>
      <c r="D25" t="s">
        <v>1486</v>
      </c>
      <c r="E25" t="s">
        <v>11</v>
      </c>
      <c r="F25">
        <v>6228</v>
      </c>
      <c r="G25">
        <v>15</v>
      </c>
      <c r="H25">
        <v>3.0299300418086994</v>
      </c>
    </row>
    <row r="26" spans="1:8" x14ac:dyDescent="0.55000000000000004">
      <c r="A26" t="s">
        <v>1447</v>
      </c>
      <c r="B26" t="s">
        <v>10</v>
      </c>
      <c r="C26" t="s">
        <v>1442</v>
      </c>
      <c r="D26" t="s">
        <v>1432</v>
      </c>
      <c r="E26" t="s">
        <v>11</v>
      </c>
      <c r="F26">
        <v>5168</v>
      </c>
      <c r="G26">
        <v>10</v>
      </c>
      <c r="H26">
        <v>5.2972477739102022</v>
      </c>
    </row>
    <row r="27" spans="1:8" x14ac:dyDescent="0.55000000000000004">
      <c r="A27" t="s">
        <v>1500</v>
      </c>
      <c r="B27" t="s">
        <v>10</v>
      </c>
      <c r="C27" t="s">
        <v>1491</v>
      </c>
      <c r="D27" t="s">
        <v>1486</v>
      </c>
      <c r="E27" t="s">
        <v>11</v>
      </c>
      <c r="F27">
        <v>4178</v>
      </c>
      <c r="G27">
        <v>15</v>
      </c>
      <c r="H27">
        <v>4.7422159267329143</v>
      </c>
    </row>
    <row r="28" spans="1:8" x14ac:dyDescent="0.55000000000000004">
      <c r="A28" t="s">
        <v>1501</v>
      </c>
      <c r="B28" t="s">
        <v>10</v>
      </c>
      <c r="C28" t="s">
        <v>1492</v>
      </c>
      <c r="D28" t="s">
        <v>1486</v>
      </c>
      <c r="E28" t="s">
        <v>11</v>
      </c>
      <c r="F28">
        <v>6288</v>
      </c>
      <c r="G28">
        <v>10</v>
      </c>
      <c r="H28">
        <v>5.4418015894700309</v>
      </c>
    </row>
    <row r="29" spans="1:8" x14ac:dyDescent="0.55000000000000004">
      <c r="A29" t="s">
        <v>1502</v>
      </c>
      <c r="B29" t="s">
        <v>10</v>
      </c>
      <c r="C29" t="s">
        <v>1493</v>
      </c>
      <c r="D29" t="s">
        <v>1486</v>
      </c>
      <c r="E29" t="s">
        <v>11</v>
      </c>
      <c r="F29">
        <v>1090</v>
      </c>
      <c r="G29">
        <v>10</v>
      </c>
      <c r="H29">
        <v>3.8628526619978873</v>
      </c>
    </row>
    <row r="30" spans="1:8" x14ac:dyDescent="0.55000000000000004">
      <c r="A30" t="s">
        <v>1503</v>
      </c>
      <c r="B30" t="s">
        <v>10</v>
      </c>
      <c r="C30" t="s">
        <v>1494</v>
      </c>
      <c r="D30" t="s">
        <v>1486</v>
      </c>
      <c r="E30" t="s">
        <v>11</v>
      </c>
      <c r="F30">
        <v>6241</v>
      </c>
      <c r="G30">
        <v>10</v>
      </c>
      <c r="H30">
        <v>5.2953620486414961</v>
      </c>
    </row>
    <row r="31" spans="1:8" x14ac:dyDescent="0.55000000000000004">
      <c r="A31" t="s">
        <v>1504</v>
      </c>
      <c r="B31" t="s">
        <v>10</v>
      </c>
      <c r="C31" t="s">
        <v>1495</v>
      </c>
      <c r="D31" t="s">
        <v>1486</v>
      </c>
      <c r="E31" t="s">
        <v>11</v>
      </c>
      <c r="F31">
        <v>5820</v>
      </c>
      <c r="G31">
        <v>10</v>
      </c>
      <c r="H31">
        <v>5.7481761103085898</v>
      </c>
    </row>
    <row r="32" spans="1:8" x14ac:dyDescent="0.55000000000000004">
      <c r="A32" t="s">
        <v>1505</v>
      </c>
      <c r="B32" t="s">
        <v>10</v>
      </c>
      <c r="C32" t="s">
        <v>1496</v>
      </c>
      <c r="D32" t="s">
        <v>1486</v>
      </c>
      <c r="E32" t="s">
        <v>11</v>
      </c>
      <c r="F32">
        <v>6550</v>
      </c>
      <c r="G32">
        <v>10</v>
      </c>
      <c r="H32">
        <v>2.3554510382853269</v>
      </c>
    </row>
    <row r="33" spans="1:8" x14ac:dyDescent="0.55000000000000004">
      <c r="A33" t="s">
        <v>1506</v>
      </c>
      <c r="B33" t="s">
        <v>10</v>
      </c>
      <c r="C33" t="s">
        <v>1508</v>
      </c>
      <c r="D33" t="s">
        <v>1507</v>
      </c>
      <c r="E33" t="s">
        <v>11</v>
      </c>
      <c r="F33">
        <v>6360</v>
      </c>
      <c r="G33">
        <v>10</v>
      </c>
      <c r="H33">
        <v>5.4906827885204557</v>
      </c>
    </row>
    <row r="34" spans="1:8" x14ac:dyDescent="0.55000000000000004">
      <c r="A34" t="s">
        <v>1516</v>
      </c>
      <c r="B34" t="s">
        <v>10</v>
      </c>
      <c r="C34" t="s">
        <v>1509</v>
      </c>
      <c r="D34" t="s">
        <v>1507</v>
      </c>
      <c r="E34" t="s">
        <v>11</v>
      </c>
      <c r="F34">
        <v>6966</v>
      </c>
      <c r="G34">
        <v>10</v>
      </c>
      <c r="H34">
        <v>10.630377828930554</v>
      </c>
    </row>
    <row r="35" spans="1:8" x14ac:dyDescent="0.55000000000000004">
      <c r="A35" t="s">
        <v>1517</v>
      </c>
      <c r="B35" t="s">
        <v>10</v>
      </c>
      <c r="C35" t="s">
        <v>1510</v>
      </c>
      <c r="D35" t="s">
        <v>1507</v>
      </c>
      <c r="E35" t="s">
        <v>11</v>
      </c>
      <c r="F35">
        <v>4615</v>
      </c>
      <c r="G35">
        <v>10</v>
      </c>
      <c r="H35">
        <v>10.137595141424878</v>
      </c>
    </row>
    <row r="36" spans="1:8" x14ac:dyDescent="0.55000000000000004">
      <c r="A36" t="s">
        <v>1518</v>
      </c>
      <c r="B36" t="s">
        <v>10</v>
      </c>
      <c r="C36" t="s">
        <v>20</v>
      </c>
      <c r="D36" t="s">
        <v>1507</v>
      </c>
      <c r="E36" t="s">
        <v>11</v>
      </c>
      <c r="F36">
        <v>2665</v>
      </c>
      <c r="G36">
        <v>10</v>
      </c>
      <c r="H36">
        <v>5.6995432156376538</v>
      </c>
    </row>
    <row r="37" spans="1:8" x14ac:dyDescent="0.55000000000000004">
      <c r="A37" t="s">
        <v>14</v>
      </c>
      <c r="B37" t="s">
        <v>10</v>
      </c>
      <c r="C37" t="s">
        <v>1443</v>
      </c>
      <c r="D37" t="s">
        <v>1432</v>
      </c>
      <c r="E37" t="s">
        <v>11</v>
      </c>
      <c r="F37">
        <v>6488</v>
      </c>
      <c r="G37">
        <v>10</v>
      </c>
      <c r="H37">
        <v>5.4434015894700307</v>
      </c>
    </row>
    <row r="38" spans="1:8" x14ac:dyDescent="0.55000000000000004">
      <c r="A38" t="s">
        <v>1519</v>
      </c>
      <c r="B38" t="s">
        <v>10</v>
      </c>
      <c r="C38" t="s">
        <v>1511</v>
      </c>
      <c r="D38" t="s">
        <v>1507</v>
      </c>
      <c r="E38" t="s">
        <v>11</v>
      </c>
      <c r="F38">
        <v>8554.5</v>
      </c>
      <c r="G38">
        <v>15</v>
      </c>
      <c r="H38">
        <v>5.929589645186172</v>
      </c>
    </row>
    <row r="39" spans="1:8" x14ac:dyDescent="0.55000000000000004">
      <c r="A39" t="s">
        <v>1520</v>
      </c>
      <c r="B39" t="s">
        <v>10</v>
      </c>
      <c r="C39" t="s">
        <v>1512</v>
      </c>
      <c r="D39" t="s">
        <v>1507</v>
      </c>
      <c r="E39" t="s">
        <v>11</v>
      </c>
      <c r="F39">
        <v>5583</v>
      </c>
      <c r="G39">
        <v>10</v>
      </c>
      <c r="H39">
        <v>3.6718040030501093</v>
      </c>
    </row>
    <row r="40" spans="1:8" x14ac:dyDescent="0.55000000000000004">
      <c r="A40" t="s">
        <v>1521</v>
      </c>
      <c r="B40" t="s">
        <v>10</v>
      </c>
      <c r="C40" t="s">
        <v>1513</v>
      </c>
      <c r="D40" t="s">
        <v>1507</v>
      </c>
      <c r="E40" t="s">
        <v>11</v>
      </c>
      <c r="F40">
        <v>2934</v>
      </c>
      <c r="G40">
        <v>10</v>
      </c>
      <c r="H40">
        <v>2.1605546467709891</v>
      </c>
    </row>
    <row r="41" spans="1:8" x14ac:dyDescent="0.55000000000000004">
      <c r="A41" t="s">
        <v>1522</v>
      </c>
      <c r="B41" t="s">
        <v>10</v>
      </c>
      <c r="C41" t="s">
        <v>1514</v>
      </c>
      <c r="D41" t="s">
        <v>1507</v>
      </c>
      <c r="E41" t="s">
        <v>11</v>
      </c>
      <c r="F41">
        <v>6487</v>
      </c>
      <c r="G41">
        <v>10</v>
      </c>
      <c r="H41">
        <v>7.788986181139121</v>
      </c>
    </row>
    <row r="42" spans="1:8" x14ac:dyDescent="0.55000000000000004">
      <c r="A42" t="s">
        <v>1523</v>
      </c>
      <c r="B42" t="s">
        <v>10</v>
      </c>
      <c r="C42" t="s">
        <v>1515</v>
      </c>
      <c r="D42" t="s">
        <v>1507</v>
      </c>
      <c r="E42" t="s">
        <v>11</v>
      </c>
      <c r="F42">
        <v>4900.5</v>
      </c>
      <c r="G42">
        <v>10</v>
      </c>
      <c r="H42">
        <v>5.747575616675392</v>
      </c>
    </row>
    <row r="43" spans="1:8" x14ac:dyDescent="0.55000000000000004">
      <c r="A43" t="s">
        <v>1529</v>
      </c>
      <c r="B43" t="s">
        <v>10</v>
      </c>
      <c r="C43" t="s">
        <v>1528</v>
      </c>
      <c r="D43" t="s">
        <v>1535</v>
      </c>
      <c r="E43" t="s">
        <v>11</v>
      </c>
      <c r="F43">
        <v>6480</v>
      </c>
      <c r="G43">
        <v>10</v>
      </c>
      <c r="H43">
        <v>9.5916758903843036</v>
      </c>
    </row>
    <row r="44" spans="1:8" x14ac:dyDescent="0.55000000000000004">
      <c r="A44" t="s">
        <v>1530</v>
      </c>
      <c r="B44" t="s">
        <v>10</v>
      </c>
      <c r="C44" t="s">
        <v>1524</v>
      </c>
      <c r="D44" t="s">
        <v>1535</v>
      </c>
      <c r="E44" t="s">
        <v>11</v>
      </c>
      <c r="F44">
        <v>5675</v>
      </c>
      <c r="G44">
        <v>10</v>
      </c>
      <c r="H44">
        <v>5.0993872187570481</v>
      </c>
    </row>
    <row r="45" spans="1:8" x14ac:dyDescent="0.55000000000000004">
      <c r="A45" t="s">
        <v>1531</v>
      </c>
      <c r="B45" t="s">
        <v>10</v>
      </c>
      <c r="C45" t="s">
        <v>1525</v>
      </c>
      <c r="D45" t="s">
        <v>1535</v>
      </c>
      <c r="E45" t="s">
        <v>11</v>
      </c>
      <c r="F45">
        <v>2962</v>
      </c>
      <c r="G45">
        <v>10</v>
      </c>
      <c r="H45">
        <v>5.3968785597206415</v>
      </c>
    </row>
    <row r="46" spans="1:8" x14ac:dyDescent="0.55000000000000004">
      <c r="A46" t="s">
        <v>1532</v>
      </c>
      <c r="B46" t="s">
        <v>10</v>
      </c>
      <c r="C46" t="s">
        <v>1526</v>
      </c>
      <c r="D46" t="s">
        <v>1535</v>
      </c>
      <c r="E46" t="s">
        <v>11</v>
      </c>
      <c r="F46">
        <v>5275</v>
      </c>
      <c r="G46">
        <v>15</v>
      </c>
      <c r="H46">
        <v>3.6846351984520695</v>
      </c>
    </row>
    <row r="47" spans="1:8" x14ac:dyDescent="0.55000000000000004">
      <c r="A47" t="s">
        <v>1533</v>
      </c>
      <c r="B47" t="s">
        <v>10</v>
      </c>
      <c r="C47" t="s">
        <v>1527</v>
      </c>
      <c r="D47" t="s">
        <v>1535</v>
      </c>
      <c r="E47" t="s">
        <v>11</v>
      </c>
      <c r="F47">
        <v>6474</v>
      </c>
      <c r="G47">
        <v>10</v>
      </c>
      <c r="H47">
        <v>6.1121085439773015</v>
      </c>
    </row>
    <row r="48" spans="1:8" x14ac:dyDescent="0.55000000000000004">
      <c r="A48" t="s">
        <v>15</v>
      </c>
      <c r="B48" t="s">
        <v>10</v>
      </c>
      <c r="C48" t="s">
        <v>1411</v>
      </c>
      <c r="D48" t="s">
        <v>1432</v>
      </c>
      <c r="E48" t="s">
        <v>11</v>
      </c>
      <c r="F48">
        <v>6047</v>
      </c>
      <c r="G48">
        <v>15</v>
      </c>
      <c r="H48">
        <v>3.5361652688556293</v>
      </c>
    </row>
    <row r="49" spans="1:8" x14ac:dyDescent="0.55000000000000004">
      <c r="A49" t="s">
        <v>1534</v>
      </c>
      <c r="B49" t="s">
        <v>10</v>
      </c>
      <c r="C49" t="s">
        <v>1446</v>
      </c>
      <c r="D49" t="s">
        <v>1535</v>
      </c>
      <c r="E49" t="s">
        <v>11</v>
      </c>
      <c r="F49">
        <v>5939</v>
      </c>
      <c r="G49">
        <v>10</v>
      </c>
      <c r="H49">
        <v>6.4273919577264582</v>
      </c>
    </row>
    <row r="50" spans="1:8" x14ac:dyDescent="0.55000000000000004">
      <c r="A50" t="s">
        <v>1549</v>
      </c>
      <c r="B50" t="s">
        <v>10</v>
      </c>
      <c r="C50" t="s">
        <v>1537</v>
      </c>
      <c r="D50" t="s">
        <v>1536</v>
      </c>
      <c r="E50" t="s">
        <v>11</v>
      </c>
      <c r="F50">
        <v>5596</v>
      </c>
      <c r="G50">
        <v>10</v>
      </c>
      <c r="H50">
        <v>3.8391162854030498</v>
      </c>
    </row>
    <row r="51" spans="1:8" x14ac:dyDescent="0.55000000000000004">
      <c r="A51" t="s">
        <v>1550</v>
      </c>
      <c r="B51" t="s">
        <v>10</v>
      </c>
      <c r="C51" t="s">
        <v>21</v>
      </c>
      <c r="D51" t="s">
        <v>1536</v>
      </c>
      <c r="E51" t="s">
        <v>11</v>
      </c>
      <c r="F51">
        <v>7766</v>
      </c>
      <c r="G51">
        <v>10</v>
      </c>
      <c r="H51">
        <v>5.6054432061946295</v>
      </c>
    </row>
    <row r="52" spans="1:8" x14ac:dyDescent="0.55000000000000004">
      <c r="A52" t="s">
        <v>1551</v>
      </c>
      <c r="B52" t="s">
        <v>10</v>
      </c>
      <c r="C52" t="s">
        <v>1539</v>
      </c>
      <c r="D52" t="s">
        <v>1536</v>
      </c>
      <c r="E52" t="s">
        <v>11</v>
      </c>
      <c r="F52">
        <v>3202</v>
      </c>
      <c r="G52">
        <v>10</v>
      </c>
      <c r="H52">
        <v>5.8437744909694551</v>
      </c>
    </row>
    <row r="53" spans="1:8" x14ac:dyDescent="0.55000000000000004">
      <c r="A53" t="s">
        <v>1552</v>
      </c>
      <c r="B53" t="s">
        <v>10</v>
      </c>
      <c r="C53" t="s">
        <v>1540</v>
      </c>
      <c r="D53" t="s">
        <v>1536</v>
      </c>
      <c r="E53" t="s">
        <v>11</v>
      </c>
      <c r="F53">
        <v>6162</v>
      </c>
      <c r="G53">
        <v>10</v>
      </c>
      <c r="H53">
        <v>5.8961396104969053</v>
      </c>
    </row>
    <row r="54" spans="1:8" x14ac:dyDescent="0.55000000000000004">
      <c r="A54" t="s">
        <v>1553</v>
      </c>
      <c r="B54" t="s">
        <v>10</v>
      </c>
      <c r="C54" t="s">
        <v>1542</v>
      </c>
      <c r="D54" t="s">
        <v>1536</v>
      </c>
      <c r="E54" t="s">
        <v>11</v>
      </c>
      <c r="F54">
        <v>2697</v>
      </c>
      <c r="G54">
        <v>10</v>
      </c>
      <c r="H54">
        <v>4.7875089558435651</v>
      </c>
    </row>
    <row r="55" spans="1:8" x14ac:dyDescent="0.55000000000000004">
      <c r="A55" t="s">
        <v>1554</v>
      </c>
      <c r="B55" t="s">
        <v>10</v>
      </c>
      <c r="C55" t="s">
        <v>1543</v>
      </c>
      <c r="D55" t="s">
        <v>1536</v>
      </c>
      <c r="E55" t="s">
        <v>11</v>
      </c>
      <c r="F55">
        <v>3019.5</v>
      </c>
      <c r="G55">
        <v>10</v>
      </c>
      <c r="H55">
        <v>5.1189175700280112</v>
      </c>
    </row>
    <row r="56" spans="1:8" x14ac:dyDescent="0.55000000000000004">
      <c r="A56" t="s">
        <v>1555</v>
      </c>
      <c r="B56" t="s">
        <v>10</v>
      </c>
      <c r="C56" t="s">
        <v>1544</v>
      </c>
      <c r="D56" t="s">
        <v>1536</v>
      </c>
      <c r="E56" t="s">
        <v>11</v>
      </c>
      <c r="F56">
        <v>3673</v>
      </c>
      <c r="G56">
        <v>43</v>
      </c>
      <c r="H56">
        <v>3.4527718535110905</v>
      </c>
    </row>
    <row r="57" spans="1:8" x14ac:dyDescent="0.55000000000000004">
      <c r="A57" t="s">
        <v>1556</v>
      </c>
      <c r="B57" t="s">
        <v>10</v>
      </c>
      <c r="C57" t="s">
        <v>1545</v>
      </c>
      <c r="D57" t="s">
        <v>1536</v>
      </c>
      <c r="E57" t="s">
        <v>11</v>
      </c>
      <c r="F57">
        <v>5713</v>
      </c>
      <c r="G57">
        <v>10</v>
      </c>
      <c r="H57">
        <v>5.8629401585342285</v>
      </c>
    </row>
    <row r="58" spans="1:8" x14ac:dyDescent="0.55000000000000004">
      <c r="A58" t="s">
        <v>1557</v>
      </c>
      <c r="B58" t="s">
        <v>10</v>
      </c>
      <c r="C58" t="s">
        <v>1546</v>
      </c>
      <c r="D58" t="s">
        <v>1536</v>
      </c>
      <c r="E58" t="s">
        <v>11</v>
      </c>
      <c r="F58">
        <v>2507.4499999999998</v>
      </c>
      <c r="G58">
        <v>10</v>
      </c>
      <c r="H58">
        <v>5.6104533759872268</v>
      </c>
    </row>
    <row r="59" spans="1:8" x14ac:dyDescent="0.55000000000000004">
      <c r="A59" t="s">
        <v>16</v>
      </c>
      <c r="B59" t="s">
        <v>10</v>
      </c>
      <c r="C59" t="s">
        <v>1412</v>
      </c>
      <c r="D59" t="s">
        <v>1432</v>
      </c>
      <c r="E59" t="s">
        <v>11</v>
      </c>
      <c r="F59">
        <v>5626</v>
      </c>
      <c r="G59">
        <v>10</v>
      </c>
      <c r="H59">
        <v>3.9684814071798393</v>
      </c>
    </row>
    <row r="60" spans="1:8" x14ac:dyDescent="0.55000000000000004">
      <c r="A60" t="s">
        <v>1558</v>
      </c>
      <c r="B60" t="s">
        <v>10</v>
      </c>
      <c r="C60" t="s">
        <v>1547</v>
      </c>
      <c r="D60" t="s">
        <v>1536</v>
      </c>
      <c r="E60" t="s">
        <v>11</v>
      </c>
      <c r="F60">
        <v>6320</v>
      </c>
      <c r="G60">
        <v>10</v>
      </c>
      <c r="H60">
        <v>3.0318473424976391</v>
      </c>
    </row>
    <row r="61" spans="1:8" x14ac:dyDescent="0.55000000000000004">
      <c r="A61" t="s">
        <v>1559</v>
      </c>
      <c r="B61" t="s">
        <v>10</v>
      </c>
      <c r="C61" t="s">
        <v>1548</v>
      </c>
      <c r="D61" t="s">
        <v>1536</v>
      </c>
      <c r="E61" t="s">
        <v>11</v>
      </c>
      <c r="F61">
        <v>7055</v>
      </c>
      <c r="G61">
        <v>10</v>
      </c>
      <c r="H61">
        <v>5.7725340847271429</v>
      </c>
    </row>
    <row r="62" spans="1:8" x14ac:dyDescent="0.55000000000000004">
      <c r="A62" t="s">
        <v>1570</v>
      </c>
      <c r="B62" t="s">
        <v>10</v>
      </c>
      <c r="C62" t="s">
        <v>1561</v>
      </c>
      <c r="D62" t="s">
        <v>1560</v>
      </c>
      <c r="E62" t="s">
        <v>11</v>
      </c>
      <c r="F62">
        <v>6675</v>
      </c>
      <c r="G62">
        <v>10</v>
      </c>
      <c r="H62">
        <v>2.0024970512235902</v>
      </c>
    </row>
    <row r="63" spans="1:8" x14ac:dyDescent="0.55000000000000004">
      <c r="A63" t="s">
        <v>1571</v>
      </c>
      <c r="B63" t="s">
        <v>10</v>
      </c>
      <c r="C63" t="s">
        <v>1562</v>
      </c>
      <c r="D63" t="s">
        <v>1560</v>
      </c>
      <c r="E63" t="s">
        <v>11</v>
      </c>
      <c r="F63">
        <v>6694</v>
      </c>
      <c r="G63">
        <v>10</v>
      </c>
      <c r="H63">
        <v>5.4498758223961383</v>
      </c>
    </row>
    <row r="64" spans="1:8" x14ac:dyDescent="0.55000000000000004">
      <c r="A64" t="s">
        <v>1572</v>
      </c>
      <c r="B64" t="s">
        <v>10</v>
      </c>
      <c r="C64" t="s">
        <v>1563</v>
      </c>
      <c r="D64" t="s">
        <v>1560</v>
      </c>
      <c r="E64" t="s">
        <v>11</v>
      </c>
      <c r="F64">
        <v>6006</v>
      </c>
      <c r="G64">
        <v>10</v>
      </c>
      <c r="H64">
        <v>5.4879893364710233</v>
      </c>
    </row>
    <row r="65" spans="1:8" x14ac:dyDescent="0.55000000000000004">
      <c r="A65" t="s">
        <v>1573</v>
      </c>
      <c r="B65" t="s">
        <v>10</v>
      </c>
      <c r="C65" t="s">
        <v>1564</v>
      </c>
      <c r="D65" t="s">
        <v>1560</v>
      </c>
      <c r="E65" t="s">
        <v>11</v>
      </c>
      <c r="F65">
        <v>6594</v>
      </c>
      <c r="G65">
        <v>10</v>
      </c>
      <c r="H65">
        <v>6.1281639947695359</v>
      </c>
    </row>
    <row r="66" spans="1:8" x14ac:dyDescent="0.55000000000000004">
      <c r="A66" t="s">
        <v>1574</v>
      </c>
      <c r="B66" t="s">
        <v>10</v>
      </c>
      <c r="C66" t="s">
        <v>1565</v>
      </c>
      <c r="D66" t="s">
        <v>1560</v>
      </c>
      <c r="E66" t="s">
        <v>11</v>
      </c>
      <c r="F66">
        <v>7747</v>
      </c>
      <c r="G66">
        <v>10</v>
      </c>
      <c r="H66">
        <v>2.3194172442620462</v>
      </c>
    </row>
    <row r="67" spans="1:8" x14ac:dyDescent="0.55000000000000004">
      <c r="A67" t="s">
        <v>1575</v>
      </c>
      <c r="B67" t="s">
        <v>10</v>
      </c>
      <c r="C67" t="s">
        <v>1566</v>
      </c>
      <c r="D67" t="s">
        <v>1560</v>
      </c>
      <c r="E67" t="s">
        <v>11</v>
      </c>
      <c r="F67">
        <v>8032</v>
      </c>
      <c r="G67">
        <v>15</v>
      </c>
      <c r="H67">
        <v>2.8477988433616344</v>
      </c>
    </row>
    <row r="68" spans="1:8" x14ac:dyDescent="0.55000000000000004">
      <c r="A68" t="s">
        <v>1576</v>
      </c>
      <c r="B68" t="s">
        <v>10</v>
      </c>
      <c r="C68" t="s">
        <v>22</v>
      </c>
      <c r="D68" t="s">
        <v>1560</v>
      </c>
      <c r="E68" t="s">
        <v>11</v>
      </c>
      <c r="F68">
        <v>6419</v>
      </c>
      <c r="G68">
        <v>10</v>
      </c>
      <c r="H68">
        <v>5.8503700477967451</v>
      </c>
    </row>
    <row r="69" spans="1:8" x14ac:dyDescent="0.55000000000000004">
      <c r="A69" t="s">
        <v>1577</v>
      </c>
      <c r="B69" t="s">
        <v>10</v>
      </c>
      <c r="C69" t="s">
        <v>1567</v>
      </c>
      <c r="D69" t="s">
        <v>1560</v>
      </c>
      <c r="E69" t="s">
        <v>11</v>
      </c>
      <c r="F69">
        <v>5646</v>
      </c>
      <c r="G69">
        <v>10</v>
      </c>
      <c r="H69">
        <v>2.3884889604019679</v>
      </c>
    </row>
    <row r="70" spans="1:8" x14ac:dyDescent="0.55000000000000004">
      <c r="A70" t="s">
        <v>17</v>
      </c>
      <c r="B70" t="s">
        <v>10</v>
      </c>
      <c r="C70" t="s">
        <v>1445</v>
      </c>
      <c r="D70" t="s">
        <v>1432</v>
      </c>
      <c r="E70" t="s">
        <v>11</v>
      </c>
      <c r="F70">
        <v>5510</v>
      </c>
      <c r="G70">
        <v>10</v>
      </c>
      <c r="H70">
        <v>7.0983434362604596</v>
      </c>
    </row>
    <row r="71" spans="1:8" x14ac:dyDescent="0.55000000000000004">
      <c r="A71" t="s">
        <v>1578</v>
      </c>
      <c r="B71" t="s">
        <v>10</v>
      </c>
      <c r="C71" t="s">
        <v>1568</v>
      </c>
      <c r="D71" t="s">
        <v>1560</v>
      </c>
      <c r="E71" t="s">
        <v>11</v>
      </c>
      <c r="F71">
        <v>5029</v>
      </c>
      <c r="G71">
        <v>10</v>
      </c>
      <c r="H71">
        <v>4.6411451221853079</v>
      </c>
    </row>
    <row r="72" spans="1:8" x14ac:dyDescent="0.55000000000000004">
      <c r="A72" t="s">
        <v>1579</v>
      </c>
      <c r="B72" t="s">
        <v>10</v>
      </c>
      <c r="C72" t="s">
        <v>1772</v>
      </c>
      <c r="D72" t="s">
        <v>1560</v>
      </c>
      <c r="E72" t="s">
        <v>11</v>
      </c>
      <c r="F72">
        <v>5029</v>
      </c>
      <c r="G72">
        <v>10</v>
      </c>
      <c r="H72">
        <v>4.9327142088363622</v>
      </c>
    </row>
    <row r="73" spans="1:8" x14ac:dyDescent="0.55000000000000004">
      <c r="A73" t="s">
        <v>1580</v>
      </c>
      <c r="B73" t="s">
        <v>10</v>
      </c>
      <c r="C73" t="s">
        <v>1569</v>
      </c>
      <c r="D73" t="s">
        <v>1560</v>
      </c>
      <c r="E73" t="s">
        <v>11</v>
      </c>
      <c r="F73">
        <v>4056</v>
      </c>
      <c r="G73">
        <v>10</v>
      </c>
      <c r="H73">
        <v>4.7541350354784466</v>
      </c>
    </row>
    <row r="74" spans="1:8" x14ac:dyDescent="0.55000000000000004">
      <c r="A74" t="s">
        <v>1596</v>
      </c>
      <c r="B74" t="s">
        <v>10</v>
      </c>
      <c r="C74" t="s">
        <v>1581</v>
      </c>
      <c r="D74" t="s">
        <v>1589</v>
      </c>
      <c r="E74" t="s">
        <v>1780</v>
      </c>
      <c r="F74">
        <v>1310</v>
      </c>
      <c r="G74">
        <v>6</v>
      </c>
      <c r="H74">
        <v>0.91306060606060613</v>
      </c>
    </row>
    <row r="75" spans="1:8" x14ac:dyDescent="0.55000000000000004">
      <c r="A75" t="s">
        <v>1597</v>
      </c>
      <c r="B75" t="s">
        <v>10</v>
      </c>
      <c r="C75" t="s">
        <v>1582</v>
      </c>
      <c r="D75" t="s">
        <v>1589</v>
      </c>
      <c r="E75" t="s">
        <v>1780</v>
      </c>
      <c r="F75">
        <v>1280</v>
      </c>
      <c r="G75">
        <v>6</v>
      </c>
      <c r="H75">
        <v>1.4102303030303029</v>
      </c>
    </row>
    <row r="76" spans="1:8" x14ac:dyDescent="0.55000000000000004">
      <c r="A76" t="s">
        <v>1598</v>
      </c>
      <c r="B76" t="s">
        <v>10</v>
      </c>
      <c r="C76" t="s">
        <v>1414</v>
      </c>
      <c r="D76" t="s">
        <v>1589</v>
      </c>
      <c r="E76" t="s">
        <v>1780</v>
      </c>
      <c r="F76">
        <v>16000</v>
      </c>
      <c r="G76">
        <v>100</v>
      </c>
      <c r="H76">
        <v>0.37290000000000001</v>
      </c>
    </row>
    <row r="77" spans="1:8" x14ac:dyDescent="0.55000000000000004">
      <c r="A77" t="s">
        <v>1599</v>
      </c>
      <c r="B77" t="s">
        <v>10</v>
      </c>
      <c r="C77" t="s">
        <v>1584</v>
      </c>
      <c r="D77" t="s">
        <v>1589</v>
      </c>
      <c r="E77" t="s">
        <v>1780</v>
      </c>
      <c r="F77">
        <v>1270</v>
      </c>
      <c r="G77">
        <v>6</v>
      </c>
      <c r="H77">
        <v>0.93577037037037047</v>
      </c>
    </row>
    <row r="78" spans="1:8" x14ac:dyDescent="0.55000000000000004">
      <c r="A78" t="s">
        <v>1600</v>
      </c>
      <c r="B78" t="s">
        <v>10</v>
      </c>
      <c r="C78" t="s">
        <v>1585</v>
      </c>
      <c r="D78" t="s">
        <v>1589</v>
      </c>
      <c r="E78" t="s">
        <v>1780</v>
      </c>
      <c r="F78">
        <v>105</v>
      </c>
      <c r="G78">
        <v>1</v>
      </c>
      <c r="H78">
        <v>0.90175116178908543</v>
      </c>
    </row>
    <row r="79" spans="1:8" x14ac:dyDescent="0.55000000000000004">
      <c r="A79" t="s">
        <v>1601</v>
      </c>
      <c r="B79" t="s">
        <v>10</v>
      </c>
      <c r="C79" t="s">
        <v>1586</v>
      </c>
      <c r="D79" t="s">
        <v>1589</v>
      </c>
      <c r="E79" t="s">
        <v>1780</v>
      </c>
      <c r="F79">
        <v>190</v>
      </c>
      <c r="G79">
        <v>1</v>
      </c>
      <c r="H79">
        <v>2.1258250037250859</v>
      </c>
    </row>
    <row r="80" spans="1:8" x14ac:dyDescent="0.55000000000000004">
      <c r="A80" t="s">
        <v>1602</v>
      </c>
      <c r="B80" t="s">
        <v>10</v>
      </c>
      <c r="C80" t="s">
        <v>1415</v>
      </c>
      <c r="D80" t="s">
        <v>1432</v>
      </c>
      <c r="E80" t="s">
        <v>1780</v>
      </c>
      <c r="F80">
        <v>10140</v>
      </c>
      <c r="G80">
        <v>215</v>
      </c>
      <c r="H80">
        <v>0.69267312661498703</v>
      </c>
    </row>
    <row r="81" spans="1:8" x14ac:dyDescent="0.55000000000000004">
      <c r="A81" t="s">
        <v>18</v>
      </c>
      <c r="B81" t="s">
        <v>10</v>
      </c>
      <c r="C81" t="s">
        <v>1446</v>
      </c>
      <c r="D81" t="s">
        <v>1432</v>
      </c>
      <c r="E81" t="s">
        <v>11</v>
      </c>
      <c r="F81">
        <v>6139</v>
      </c>
      <c r="G81">
        <v>10</v>
      </c>
      <c r="H81">
        <v>6.428991957726458</v>
      </c>
    </row>
    <row r="82" spans="1:8" x14ac:dyDescent="0.55000000000000004">
      <c r="A82" t="s">
        <v>1603</v>
      </c>
      <c r="B82" t="s">
        <v>10</v>
      </c>
      <c r="C82" t="s">
        <v>1418</v>
      </c>
      <c r="D82" t="s">
        <v>1590</v>
      </c>
      <c r="E82" t="s">
        <v>1780</v>
      </c>
      <c r="F82">
        <v>1655</v>
      </c>
      <c r="G82">
        <v>26</v>
      </c>
      <c r="H82">
        <v>0.5022478632478633</v>
      </c>
    </row>
    <row r="83" spans="1:8" x14ac:dyDescent="0.55000000000000004">
      <c r="A83" t="s">
        <v>1604</v>
      </c>
      <c r="B83" t="s">
        <v>10</v>
      </c>
      <c r="C83" t="s">
        <v>1591</v>
      </c>
      <c r="D83" t="s">
        <v>1467</v>
      </c>
      <c r="E83" t="s">
        <v>1780</v>
      </c>
      <c r="F83">
        <v>2229</v>
      </c>
      <c r="G83">
        <v>51</v>
      </c>
      <c r="H83">
        <v>0.49887824897400834</v>
      </c>
    </row>
    <row r="84" spans="1:8" x14ac:dyDescent="0.55000000000000004">
      <c r="A84" t="s">
        <v>1605</v>
      </c>
      <c r="B84" t="s">
        <v>10</v>
      </c>
      <c r="C84" t="s">
        <v>1592</v>
      </c>
      <c r="D84" t="s">
        <v>1593</v>
      </c>
      <c r="E84" t="s">
        <v>1780</v>
      </c>
      <c r="F84">
        <v>855</v>
      </c>
      <c r="G84">
        <v>26</v>
      </c>
      <c r="H84">
        <v>0.37840170940170942</v>
      </c>
    </row>
    <row r="85" spans="1:8" x14ac:dyDescent="0.55000000000000004">
      <c r="A85" t="s">
        <v>1606</v>
      </c>
      <c r="B85" t="s">
        <v>10</v>
      </c>
      <c r="C85" t="s">
        <v>1416</v>
      </c>
      <c r="D85" t="s">
        <v>1507</v>
      </c>
      <c r="E85" t="s">
        <v>1780</v>
      </c>
      <c r="F85">
        <v>795</v>
      </c>
      <c r="G85">
        <v>26</v>
      </c>
      <c r="H85">
        <v>0.25188817753634907</v>
      </c>
    </row>
    <row r="86" spans="1:8" x14ac:dyDescent="0.55000000000000004">
      <c r="A86" t="s">
        <v>1607</v>
      </c>
      <c r="B86" t="s">
        <v>10</v>
      </c>
      <c r="C86" t="s">
        <v>1594</v>
      </c>
      <c r="D86" t="s">
        <v>1589</v>
      </c>
      <c r="E86" t="s">
        <v>1780</v>
      </c>
      <c r="F86">
        <v>17722</v>
      </c>
      <c r="G86">
        <v>560</v>
      </c>
      <c r="H86">
        <v>0.58688857142857143</v>
      </c>
    </row>
    <row r="87" spans="1:8" x14ac:dyDescent="0.55000000000000004">
      <c r="A87" t="s">
        <v>1608</v>
      </c>
      <c r="B87" t="s">
        <v>10</v>
      </c>
      <c r="C87" t="s">
        <v>1595</v>
      </c>
      <c r="D87" t="s">
        <v>1589</v>
      </c>
      <c r="E87" t="s">
        <v>1780</v>
      </c>
      <c r="F87">
        <v>14075</v>
      </c>
      <c r="G87">
        <v>480</v>
      </c>
      <c r="H87">
        <v>0.7038854166666666</v>
      </c>
    </row>
    <row r="88" spans="1:8" x14ac:dyDescent="0.55000000000000004">
      <c r="A88" t="s">
        <v>1642</v>
      </c>
      <c r="B88" t="s">
        <v>10</v>
      </c>
      <c r="C88" t="s">
        <v>1609</v>
      </c>
      <c r="D88" t="s">
        <v>1589</v>
      </c>
      <c r="E88" t="s">
        <v>1779</v>
      </c>
      <c r="F88">
        <v>2260</v>
      </c>
      <c r="G88">
        <v>10</v>
      </c>
      <c r="H88">
        <v>0.67609754528372079</v>
      </c>
    </row>
    <row r="89" spans="1:8" x14ac:dyDescent="0.55000000000000004">
      <c r="A89" t="s">
        <v>1643</v>
      </c>
      <c r="B89" t="s">
        <v>10</v>
      </c>
      <c r="C89" t="s">
        <v>1610</v>
      </c>
      <c r="D89" t="s">
        <v>1432</v>
      </c>
      <c r="E89" t="s">
        <v>1779</v>
      </c>
      <c r="F89">
        <v>3286</v>
      </c>
      <c r="G89">
        <v>14</v>
      </c>
      <c r="H89">
        <v>1.1922933519857786</v>
      </c>
    </row>
    <row r="90" spans="1:8" x14ac:dyDescent="0.55000000000000004">
      <c r="A90" t="s">
        <v>1644</v>
      </c>
      <c r="B90" t="s">
        <v>10</v>
      </c>
      <c r="C90" t="s">
        <v>1612</v>
      </c>
      <c r="D90" t="s">
        <v>1432</v>
      </c>
      <c r="E90" t="s">
        <v>1779</v>
      </c>
      <c r="F90">
        <v>2968</v>
      </c>
      <c r="G90">
        <v>14</v>
      </c>
      <c r="H90">
        <v>1.1939203736136725</v>
      </c>
    </row>
    <row r="91" spans="1:8" x14ac:dyDescent="0.55000000000000004">
      <c r="A91" t="s">
        <v>1645</v>
      </c>
      <c r="B91" t="s">
        <v>10</v>
      </c>
      <c r="C91" t="s">
        <v>1615</v>
      </c>
      <c r="D91" t="s">
        <v>1769</v>
      </c>
      <c r="E91" t="s">
        <v>1779</v>
      </c>
      <c r="F91">
        <v>3281</v>
      </c>
      <c r="G91">
        <v>14</v>
      </c>
      <c r="H91">
        <v>1.1917179551603816</v>
      </c>
    </row>
    <row r="92" spans="1:8" x14ac:dyDescent="0.55000000000000004">
      <c r="A92" t="s">
        <v>19</v>
      </c>
      <c r="B92" t="s">
        <v>10</v>
      </c>
      <c r="C92" t="s">
        <v>1449</v>
      </c>
      <c r="D92" t="s">
        <v>1448</v>
      </c>
      <c r="E92" t="s">
        <v>11</v>
      </c>
      <c r="F92">
        <v>4799</v>
      </c>
      <c r="G92">
        <v>10</v>
      </c>
      <c r="H92">
        <v>6.0390065387495522</v>
      </c>
    </row>
    <row r="93" spans="1:8" x14ac:dyDescent="0.55000000000000004">
      <c r="A93" t="s">
        <v>1646</v>
      </c>
      <c r="B93" t="s">
        <v>10</v>
      </c>
      <c r="C93" t="s">
        <v>1617</v>
      </c>
      <c r="D93" t="s">
        <v>1432</v>
      </c>
      <c r="E93" t="s">
        <v>1779</v>
      </c>
      <c r="F93">
        <v>3091</v>
      </c>
      <c r="G93">
        <v>14</v>
      </c>
      <c r="H93">
        <v>0.7833475840336136</v>
      </c>
    </row>
    <row r="94" spans="1:8" x14ac:dyDescent="0.55000000000000004">
      <c r="A94" t="s">
        <v>1419</v>
      </c>
      <c r="B94" t="s">
        <v>10</v>
      </c>
      <c r="C94" t="s">
        <v>1618</v>
      </c>
      <c r="D94" t="s">
        <v>1776</v>
      </c>
      <c r="E94" t="s">
        <v>1779</v>
      </c>
      <c r="F94">
        <v>3151</v>
      </c>
      <c r="G94">
        <v>14</v>
      </c>
      <c r="H94">
        <v>1.1776237800315434</v>
      </c>
    </row>
    <row r="95" spans="1:8" x14ac:dyDescent="0.55000000000000004">
      <c r="A95" t="s">
        <v>1420</v>
      </c>
      <c r="B95" t="s">
        <v>10</v>
      </c>
      <c r="C95" t="s">
        <v>1619</v>
      </c>
      <c r="D95" t="s">
        <v>1775</v>
      </c>
      <c r="E95" t="s">
        <v>1779</v>
      </c>
      <c r="F95">
        <v>3091</v>
      </c>
      <c r="G95">
        <v>14</v>
      </c>
      <c r="H95">
        <v>0.7833475840336136</v>
      </c>
    </row>
    <row r="96" spans="1:8" x14ac:dyDescent="0.55000000000000004">
      <c r="A96" t="s">
        <v>1421</v>
      </c>
      <c r="B96" t="s">
        <v>10</v>
      </c>
      <c r="C96" t="s">
        <v>1620</v>
      </c>
      <c r="D96" t="s">
        <v>1448</v>
      </c>
      <c r="E96" t="s">
        <v>1779</v>
      </c>
      <c r="F96">
        <v>3157</v>
      </c>
      <c r="G96">
        <v>14</v>
      </c>
      <c r="H96">
        <v>0.61025884899414318</v>
      </c>
    </row>
    <row r="97" spans="1:8" x14ac:dyDescent="0.55000000000000004">
      <c r="A97" t="s">
        <v>1422</v>
      </c>
      <c r="B97" t="s">
        <v>10</v>
      </c>
      <c r="C97" t="s">
        <v>1621</v>
      </c>
      <c r="D97" t="s">
        <v>1448</v>
      </c>
      <c r="E97" t="s">
        <v>1779</v>
      </c>
      <c r="F97">
        <v>3093</v>
      </c>
      <c r="G97">
        <v>10</v>
      </c>
      <c r="H97">
        <v>0.42020350341624263</v>
      </c>
    </row>
    <row r="98" spans="1:8" x14ac:dyDescent="0.55000000000000004">
      <c r="A98" t="s">
        <v>1423</v>
      </c>
      <c r="B98" t="s">
        <v>10</v>
      </c>
      <c r="C98" t="s">
        <v>1622</v>
      </c>
      <c r="D98" t="s">
        <v>1448</v>
      </c>
      <c r="E98" t="s">
        <v>1779</v>
      </c>
      <c r="F98">
        <v>3041</v>
      </c>
      <c r="G98">
        <v>14</v>
      </c>
      <c r="H98">
        <v>0.77413424998879443</v>
      </c>
    </row>
    <row r="99" spans="1:8" x14ac:dyDescent="0.55000000000000004">
      <c r="A99" t="s">
        <v>1425</v>
      </c>
      <c r="B99" t="s">
        <v>10</v>
      </c>
      <c r="C99" t="s">
        <v>1623</v>
      </c>
      <c r="D99" t="s">
        <v>1448</v>
      </c>
      <c r="E99" t="s">
        <v>1779</v>
      </c>
      <c r="F99">
        <v>3207</v>
      </c>
      <c r="G99">
        <v>10</v>
      </c>
      <c r="H99">
        <v>0.84408344571029992</v>
      </c>
    </row>
    <row r="100" spans="1:8" x14ac:dyDescent="0.55000000000000004">
      <c r="A100" t="s">
        <v>1426</v>
      </c>
      <c r="B100" t="s">
        <v>10</v>
      </c>
      <c r="C100" t="s">
        <v>1625</v>
      </c>
      <c r="D100" t="s">
        <v>1467</v>
      </c>
      <c r="E100" t="s">
        <v>1779</v>
      </c>
      <c r="F100">
        <v>2657</v>
      </c>
      <c r="G100">
        <v>12</v>
      </c>
      <c r="H100">
        <v>0.82309986892973208</v>
      </c>
    </row>
    <row r="101" spans="1:8" x14ac:dyDescent="0.55000000000000004">
      <c r="A101" t="s">
        <v>1427</v>
      </c>
      <c r="B101" t="s">
        <v>10</v>
      </c>
      <c r="C101" t="s">
        <v>1626</v>
      </c>
      <c r="D101" t="s">
        <v>1467</v>
      </c>
      <c r="E101" t="s">
        <v>1779</v>
      </c>
      <c r="F101">
        <v>3088</v>
      </c>
      <c r="G101">
        <v>14</v>
      </c>
      <c r="H101">
        <v>0.40051761486052406</v>
      </c>
    </row>
    <row r="102" spans="1:8" x14ac:dyDescent="0.55000000000000004">
      <c r="A102" t="s">
        <v>1428</v>
      </c>
      <c r="B102" t="s">
        <v>10</v>
      </c>
      <c r="C102" t="s">
        <v>1627</v>
      </c>
      <c r="D102" t="s">
        <v>1467</v>
      </c>
      <c r="E102" t="s">
        <v>1779</v>
      </c>
      <c r="F102">
        <v>3071</v>
      </c>
      <c r="G102">
        <v>14</v>
      </c>
      <c r="H102">
        <v>0.94921927957229413</v>
      </c>
    </row>
    <row r="103" spans="1:8" x14ac:dyDescent="0.55000000000000004">
      <c r="A103" t="s">
        <v>1429</v>
      </c>
      <c r="B103" t="s">
        <v>10</v>
      </c>
      <c r="C103" t="s">
        <v>1628</v>
      </c>
      <c r="D103" t="s">
        <v>1467</v>
      </c>
      <c r="E103" t="s">
        <v>1779</v>
      </c>
      <c r="F103">
        <v>3457</v>
      </c>
      <c r="G103">
        <v>14</v>
      </c>
      <c r="H103">
        <v>0.65111560249176348</v>
      </c>
    </row>
    <row r="104" spans="1:8" x14ac:dyDescent="0.55000000000000004">
      <c r="A104" t="s">
        <v>1430</v>
      </c>
      <c r="B104" t="s">
        <v>10</v>
      </c>
      <c r="C104" t="s">
        <v>1629</v>
      </c>
      <c r="D104" t="s">
        <v>1467</v>
      </c>
      <c r="E104" t="s">
        <v>1779</v>
      </c>
      <c r="F104">
        <v>3113</v>
      </c>
      <c r="G104">
        <v>14</v>
      </c>
      <c r="H104">
        <v>1.0620156512703476</v>
      </c>
    </row>
    <row r="105" spans="1:8" x14ac:dyDescent="0.55000000000000004">
      <c r="A105" t="s">
        <v>1431</v>
      </c>
      <c r="B105" t="s">
        <v>10</v>
      </c>
      <c r="C105" t="s">
        <v>1630</v>
      </c>
      <c r="D105" t="s">
        <v>1486</v>
      </c>
      <c r="E105" t="s">
        <v>1779</v>
      </c>
      <c r="F105">
        <v>3198</v>
      </c>
      <c r="G105">
        <v>14</v>
      </c>
      <c r="H105">
        <v>0.3436698485313216</v>
      </c>
    </row>
    <row r="106" spans="1:8" x14ac:dyDescent="0.55000000000000004">
      <c r="A106" t="s">
        <v>1647</v>
      </c>
      <c r="B106" t="s">
        <v>10</v>
      </c>
      <c r="C106" t="s">
        <v>1610</v>
      </c>
      <c r="D106" t="s">
        <v>1486</v>
      </c>
      <c r="E106" t="s">
        <v>1779</v>
      </c>
      <c r="F106">
        <v>3286</v>
      </c>
      <c r="G106">
        <v>14</v>
      </c>
      <c r="H106">
        <v>1.1918965265889532</v>
      </c>
    </row>
    <row r="107" spans="1:8" x14ac:dyDescent="0.55000000000000004">
      <c r="A107" t="s">
        <v>1648</v>
      </c>
      <c r="B107" t="s">
        <v>10</v>
      </c>
      <c r="C107" t="s">
        <v>1632</v>
      </c>
      <c r="D107" t="s">
        <v>1486</v>
      </c>
      <c r="E107" t="s">
        <v>1779</v>
      </c>
      <c r="F107">
        <v>3286</v>
      </c>
      <c r="G107">
        <v>14</v>
      </c>
      <c r="H107">
        <v>1.1922933519857786</v>
      </c>
    </row>
    <row r="108" spans="1:8" x14ac:dyDescent="0.55000000000000004">
      <c r="A108" t="s">
        <v>1649</v>
      </c>
      <c r="B108" t="s">
        <v>10</v>
      </c>
      <c r="C108" t="s">
        <v>1622</v>
      </c>
      <c r="D108" t="s">
        <v>1486</v>
      </c>
      <c r="E108" t="s">
        <v>1779</v>
      </c>
      <c r="F108">
        <v>3041</v>
      </c>
      <c r="G108">
        <v>14</v>
      </c>
      <c r="H108">
        <v>0.77413424998879443</v>
      </c>
    </row>
    <row r="109" spans="1:8" x14ac:dyDescent="0.55000000000000004">
      <c r="A109" t="s">
        <v>1650</v>
      </c>
      <c r="B109" t="s">
        <v>10</v>
      </c>
      <c r="C109" t="s">
        <v>1617</v>
      </c>
      <c r="D109" t="s">
        <v>1633</v>
      </c>
      <c r="E109" t="s">
        <v>1779</v>
      </c>
      <c r="F109">
        <v>3091</v>
      </c>
      <c r="G109">
        <v>14</v>
      </c>
      <c r="H109">
        <v>0.7833475840336136</v>
      </c>
    </row>
    <row r="110" spans="1:8" x14ac:dyDescent="0.55000000000000004">
      <c r="A110" t="s">
        <v>1651</v>
      </c>
      <c r="B110" t="s">
        <v>10</v>
      </c>
      <c r="C110" t="s">
        <v>1634</v>
      </c>
      <c r="D110" t="s">
        <v>1633</v>
      </c>
      <c r="E110" t="s">
        <v>1779</v>
      </c>
      <c r="F110">
        <v>3091</v>
      </c>
      <c r="G110">
        <v>14</v>
      </c>
      <c r="H110">
        <v>0.7833475840336136</v>
      </c>
    </row>
    <row r="111" spans="1:8" x14ac:dyDescent="0.55000000000000004">
      <c r="A111" t="s">
        <v>1652</v>
      </c>
      <c r="B111" t="s">
        <v>10</v>
      </c>
      <c r="C111" t="s">
        <v>1628</v>
      </c>
      <c r="D111" t="s">
        <v>1507</v>
      </c>
      <c r="E111" t="s">
        <v>1779</v>
      </c>
      <c r="F111">
        <v>3157</v>
      </c>
      <c r="G111">
        <v>14</v>
      </c>
      <c r="H111">
        <v>0.61025884899414318</v>
      </c>
    </row>
    <row r="112" spans="1:8" x14ac:dyDescent="0.55000000000000004">
      <c r="A112" t="s">
        <v>1653</v>
      </c>
      <c r="B112" t="s">
        <v>10</v>
      </c>
      <c r="C112" t="s">
        <v>1635</v>
      </c>
      <c r="D112" t="s">
        <v>1507</v>
      </c>
      <c r="E112" t="s">
        <v>1779</v>
      </c>
      <c r="F112">
        <v>3093</v>
      </c>
      <c r="G112">
        <v>10</v>
      </c>
      <c r="H112">
        <v>0.42020350341624263</v>
      </c>
    </row>
    <row r="113" spans="1:8" x14ac:dyDescent="0.55000000000000004">
      <c r="A113" t="s">
        <v>1654</v>
      </c>
      <c r="B113" t="s">
        <v>10</v>
      </c>
      <c r="C113" t="s">
        <v>1618</v>
      </c>
      <c r="D113" t="s">
        <v>1507</v>
      </c>
      <c r="E113" t="s">
        <v>1779</v>
      </c>
      <c r="F113">
        <v>3151</v>
      </c>
      <c r="G113">
        <v>14</v>
      </c>
      <c r="H113">
        <v>1.1782587006664642</v>
      </c>
    </row>
    <row r="114" spans="1:8" x14ac:dyDescent="0.55000000000000004">
      <c r="A114" t="s">
        <v>1655</v>
      </c>
      <c r="B114" t="s">
        <v>10</v>
      </c>
      <c r="C114" t="s">
        <v>1630</v>
      </c>
      <c r="D114" t="s">
        <v>1535</v>
      </c>
      <c r="E114" t="s">
        <v>1779</v>
      </c>
      <c r="F114">
        <v>3198</v>
      </c>
      <c r="G114">
        <v>14</v>
      </c>
      <c r="H114">
        <v>0.3436698485313216</v>
      </c>
    </row>
    <row r="115" spans="1:8" x14ac:dyDescent="0.55000000000000004">
      <c r="A115" t="s">
        <v>1656</v>
      </c>
      <c r="B115" t="s">
        <v>10</v>
      </c>
      <c r="C115" t="s">
        <v>1636</v>
      </c>
      <c r="D115" t="s">
        <v>1535</v>
      </c>
      <c r="E115" t="s">
        <v>1779</v>
      </c>
      <c r="F115">
        <v>3146</v>
      </c>
      <c r="G115">
        <v>14</v>
      </c>
      <c r="H115">
        <v>0.5568493851449402</v>
      </c>
    </row>
    <row r="116" spans="1:8" x14ac:dyDescent="0.55000000000000004">
      <c r="A116" t="s">
        <v>1657</v>
      </c>
      <c r="B116" t="s">
        <v>10</v>
      </c>
      <c r="C116" t="s">
        <v>1612</v>
      </c>
      <c r="D116" t="s">
        <v>1535</v>
      </c>
      <c r="E116" t="s">
        <v>1779</v>
      </c>
      <c r="F116">
        <v>2968</v>
      </c>
      <c r="G116">
        <v>14</v>
      </c>
      <c r="H116">
        <v>1.1939203736136725</v>
      </c>
    </row>
    <row r="117" spans="1:8" x14ac:dyDescent="0.55000000000000004">
      <c r="A117" t="s">
        <v>1658</v>
      </c>
      <c r="B117" t="s">
        <v>10</v>
      </c>
      <c r="C117" t="s">
        <v>1623</v>
      </c>
      <c r="D117" t="s">
        <v>1535</v>
      </c>
      <c r="E117" t="s">
        <v>1779</v>
      </c>
      <c r="F117">
        <v>3207</v>
      </c>
      <c r="G117">
        <v>10</v>
      </c>
      <c r="H117">
        <v>0.84408344571029992</v>
      </c>
    </row>
    <row r="118" spans="1:8" x14ac:dyDescent="0.55000000000000004">
      <c r="A118" t="s">
        <v>1659</v>
      </c>
      <c r="B118" t="s">
        <v>10</v>
      </c>
      <c r="C118" t="s">
        <v>1637</v>
      </c>
      <c r="D118" t="s">
        <v>1535</v>
      </c>
      <c r="E118" t="s">
        <v>1779</v>
      </c>
      <c r="F118">
        <v>3045</v>
      </c>
      <c r="G118">
        <v>14</v>
      </c>
      <c r="H118">
        <v>1.2784159515690077</v>
      </c>
    </row>
    <row r="119" spans="1:8" x14ac:dyDescent="0.55000000000000004">
      <c r="A119" t="s">
        <v>1660</v>
      </c>
      <c r="B119" t="s">
        <v>10</v>
      </c>
      <c r="C119" t="s">
        <v>1638</v>
      </c>
      <c r="D119" t="s">
        <v>1536</v>
      </c>
      <c r="E119" t="s">
        <v>1779</v>
      </c>
      <c r="F119">
        <v>3045</v>
      </c>
      <c r="G119">
        <v>14</v>
      </c>
      <c r="H119">
        <v>1.1030885951929308</v>
      </c>
    </row>
    <row r="120" spans="1:8" x14ac:dyDescent="0.55000000000000004">
      <c r="A120" t="s">
        <v>1661</v>
      </c>
      <c r="B120" t="s">
        <v>10</v>
      </c>
      <c r="C120" t="s">
        <v>1628</v>
      </c>
      <c r="D120" t="s">
        <v>1536</v>
      </c>
      <c r="E120" t="s">
        <v>1779</v>
      </c>
      <c r="F120">
        <v>3557</v>
      </c>
      <c r="G120">
        <v>14</v>
      </c>
      <c r="H120">
        <v>0.75782988820604913</v>
      </c>
    </row>
    <row r="121" spans="1:8" x14ac:dyDescent="0.55000000000000004">
      <c r="A121" t="s">
        <v>1662</v>
      </c>
      <c r="B121" t="s">
        <v>10</v>
      </c>
      <c r="C121" t="s">
        <v>1639</v>
      </c>
      <c r="D121" t="s">
        <v>1536</v>
      </c>
      <c r="E121" t="s">
        <v>1779</v>
      </c>
      <c r="F121">
        <v>3283</v>
      </c>
      <c r="G121">
        <v>10</v>
      </c>
      <c r="H121">
        <v>0.50897145504133712</v>
      </c>
    </row>
    <row r="122" spans="1:8" x14ac:dyDescent="0.55000000000000004">
      <c r="A122" t="s">
        <v>1663</v>
      </c>
      <c r="B122" t="s">
        <v>10</v>
      </c>
      <c r="C122" t="s">
        <v>1640</v>
      </c>
      <c r="D122" t="s">
        <v>1536</v>
      </c>
      <c r="E122" t="s">
        <v>1779</v>
      </c>
      <c r="F122">
        <v>3071</v>
      </c>
      <c r="G122">
        <v>14</v>
      </c>
      <c r="H122">
        <v>0.94826689861991309</v>
      </c>
    </row>
    <row r="123" spans="1:8" x14ac:dyDescent="0.55000000000000004">
      <c r="A123" t="s">
        <v>1664</v>
      </c>
      <c r="B123" t="s">
        <v>10</v>
      </c>
      <c r="C123" t="s">
        <v>1641</v>
      </c>
      <c r="D123" t="s">
        <v>1536</v>
      </c>
      <c r="E123" t="s">
        <v>1779</v>
      </c>
      <c r="F123">
        <v>3071</v>
      </c>
      <c r="G123">
        <v>14</v>
      </c>
      <c r="H123">
        <v>0.94826689861991309</v>
      </c>
    </row>
    <row r="124" spans="1:8" x14ac:dyDescent="0.55000000000000004">
      <c r="A124" t="s">
        <v>1707</v>
      </c>
      <c r="B124" t="s">
        <v>10</v>
      </c>
      <c r="C124" t="s">
        <v>1665</v>
      </c>
      <c r="D124" t="s">
        <v>1536</v>
      </c>
      <c r="E124" t="s">
        <v>1666</v>
      </c>
      <c r="F124">
        <v>66690</v>
      </c>
      <c r="G124">
        <v>600</v>
      </c>
      <c r="H124">
        <v>0.54607074074074069</v>
      </c>
    </row>
    <row r="125" spans="1:8" x14ac:dyDescent="0.55000000000000004">
      <c r="A125" t="s">
        <v>1708</v>
      </c>
      <c r="B125" t="s">
        <v>10</v>
      </c>
      <c r="C125" t="s">
        <v>1668</v>
      </c>
      <c r="D125" t="s">
        <v>1536</v>
      </c>
      <c r="E125" t="s">
        <v>1666</v>
      </c>
      <c r="F125">
        <v>2970</v>
      </c>
      <c r="G125">
        <v>30</v>
      </c>
      <c r="H125">
        <v>0.86266580329763953</v>
      </c>
    </row>
    <row r="126" spans="1:8" x14ac:dyDescent="0.55000000000000004">
      <c r="A126" t="s">
        <v>1709</v>
      </c>
      <c r="B126" t="s">
        <v>10</v>
      </c>
      <c r="C126" t="s">
        <v>1669</v>
      </c>
      <c r="D126" t="s">
        <v>1536</v>
      </c>
      <c r="E126" t="s">
        <v>1666</v>
      </c>
      <c r="F126">
        <v>105.25</v>
      </c>
      <c r="G126">
        <v>1</v>
      </c>
      <c r="H126">
        <v>1.289610893939394</v>
      </c>
    </row>
    <row r="127" spans="1:8" x14ac:dyDescent="0.55000000000000004">
      <c r="A127" t="s">
        <v>1710</v>
      </c>
      <c r="B127" t="s">
        <v>10</v>
      </c>
      <c r="C127" t="s">
        <v>1670</v>
      </c>
      <c r="D127" t="s">
        <v>1536</v>
      </c>
      <c r="E127" t="s">
        <v>1666</v>
      </c>
      <c r="F127">
        <v>231</v>
      </c>
      <c r="G127">
        <v>1</v>
      </c>
      <c r="H127">
        <v>0.55005263157894735</v>
      </c>
    </row>
    <row r="128" spans="1:8" x14ac:dyDescent="0.55000000000000004">
      <c r="A128" t="s">
        <v>1711</v>
      </c>
      <c r="B128" t="s">
        <v>10</v>
      </c>
      <c r="C128" t="s">
        <v>1671</v>
      </c>
      <c r="D128" t="s">
        <v>1536</v>
      </c>
      <c r="E128" t="s">
        <v>1666</v>
      </c>
      <c r="F128">
        <v>3392</v>
      </c>
      <c r="G128">
        <v>15</v>
      </c>
      <c r="H128">
        <v>1.3027733333333333</v>
      </c>
    </row>
    <row r="129" spans="1:8" x14ac:dyDescent="0.55000000000000004">
      <c r="A129" t="s">
        <v>1712</v>
      </c>
      <c r="B129" t="s">
        <v>10</v>
      </c>
      <c r="C129" t="s">
        <v>1672</v>
      </c>
      <c r="D129" t="s">
        <v>1536</v>
      </c>
      <c r="E129" t="s">
        <v>1666</v>
      </c>
      <c r="F129">
        <v>36</v>
      </c>
      <c r="G129">
        <v>9</v>
      </c>
      <c r="H129">
        <v>0.55219047619047612</v>
      </c>
    </row>
    <row r="130" spans="1:8" x14ac:dyDescent="0.55000000000000004">
      <c r="A130" t="s">
        <v>1713</v>
      </c>
      <c r="B130" t="s">
        <v>10</v>
      </c>
      <c r="C130" t="s">
        <v>1674</v>
      </c>
      <c r="D130" t="s">
        <v>1536</v>
      </c>
      <c r="E130" t="s">
        <v>1666</v>
      </c>
      <c r="F130">
        <v>36</v>
      </c>
      <c r="G130">
        <v>9</v>
      </c>
      <c r="H130">
        <v>0.57599999999999996</v>
      </c>
    </row>
    <row r="131" spans="1:8" x14ac:dyDescent="0.55000000000000004">
      <c r="A131" t="s">
        <v>1714</v>
      </c>
      <c r="B131" t="s">
        <v>10</v>
      </c>
      <c r="C131" t="s">
        <v>1675</v>
      </c>
      <c r="D131" t="s">
        <v>1536</v>
      </c>
      <c r="E131" t="s">
        <v>1666</v>
      </c>
      <c r="F131">
        <v>110</v>
      </c>
      <c r="G131">
        <v>1</v>
      </c>
      <c r="H131">
        <v>0.73622381274784798</v>
      </c>
    </row>
    <row r="132" spans="1:8" x14ac:dyDescent="0.55000000000000004">
      <c r="A132" t="s">
        <v>1715</v>
      </c>
      <c r="B132" t="s">
        <v>10</v>
      </c>
      <c r="C132" t="s">
        <v>1676</v>
      </c>
      <c r="D132" t="s">
        <v>1536</v>
      </c>
      <c r="E132" t="s">
        <v>1666</v>
      </c>
      <c r="F132">
        <v>11</v>
      </c>
      <c r="G132">
        <v>1</v>
      </c>
      <c r="H132">
        <v>2.0283633333333331</v>
      </c>
    </row>
    <row r="133" spans="1:8" x14ac:dyDescent="0.55000000000000004">
      <c r="A133" t="s">
        <v>1716</v>
      </c>
      <c r="B133" t="s">
        <v>10</v>
      </c>
      <c r="C133" t="s">
        <v>1770</v>
      </c>
      <c r="D133" t="s">
        <v>1536</v>
      </c>
      <c r="E133" t="s">
        <v>1666</v>
      </c>
      <c r="F133">
        <v>11</v>
      </c>
      <c r="G133">
        <v>1</v>
      </c>
      <c r="H133">
        <v>2.0833633333333332</v>
      </c>
    </row>
    <row r="134" spans="1:8" x14ac:dyDescent="0.55000000000000004">
      <c r="A134" t="s">
        <v>1717</v>
      </c>
      <c r="B134" t="s">
        <v>10</v>
      </c>
      <c r="C134" t="s">
        <v>1771</v>
      </c>
      <c r="D134" t="s">
        <v>1536</v>
      </c>
      <c r="E134" t="s">
        <v>1666</v>
      </c>
      <c r="F134">
        <v>11</v>
      </c>
      <c r="G134">
        <v>1</v>
      </c>
      <c r="H134">
        <v>2.2233633333333334</v>
      </c>
    </row>
    <row r="135" spans="1:8" x14ac:dyDescent="0.55000000000000004">
      <c r="A135" t="s">
        <v>1718</v>
      </c>
      <c r="B135" t="s">
        <v>10</v>
      </c>
      <c r="C135" t="s">
        <v>1677</v>
      </c>
      <c r="D135" t="s">
        <v>1536</v>
      </c>
      <c r="E135" t="s">
        <v>1666</v>
      </c>
      <c r="F135">
        <v>11</v>
      </c>
      <c r="G135">
        <v>1</v>
      </c>
      <c r="H135">
        <v>2.5846799999999996</v>
      </c>
    </row>
    <row r="136" spans="1:8" x14ac:dyDescent="0.55000000000000004">
      <c r="A136" t="s">
        <v>1719</v>
      </c>
      <c r="B136" t="s">
        <v>10</v>
      </c>
      <c r="C136" t="s">
        <v>1678</v>
      </c>
      <c r="D136" t="s">
        <v>1432</v>
      </c>
      <c r="E136" t="s">
        <v>1666</v>
      </c>
      <c r="F136">
        <v>93800</v>
      </c>
      <c r="G136">
        <v>720</v>
      </c>
      <c r="H136">
        <v>1.6988179012345679</v>
      </c>
    </row>
    <row r="137" spans="1:8" x14ac:dyDescent="0.55000000000000004">
      <c r="A137" t="s">
        <v>1720</v>
      </c>
      <c r="B137" t="s">
        <v>10</v>
      </c>
      <c r="C137" t="s">
        <v>1679</v>
      </c>
      <c r="D137" t="s">
        <v>1432</v>
      </c>
      <c r="E137" t="s">
        <v>1666</v>
      </c>
      <c r="F137">
        <v>2190</v>
      </c>
      <c r="G137">
        <v>55</v>
      </c>
      <c r="H137">
        <v>1.1652404446130169</v>
      </c>
    </row>
    <row r="138" spans="1:8" x14ac:dyDescent="0.55000000000000004">
      <c r="A138" t="s">
        <v>1721</v>
      </c>
      <c r="B138" t="s">
        <v>10</v>
      </c>
      <c r="C138" t="s">
        <v>1680</v>
      </c>
      <c r="D138" t="s">
        <v>1432</v>
      </c>
      <c r="E138" t="s">
        <v>1666</v>
      </c>
      <c r="F138">
        <v>3392</v>
      </c>
      <c r="G138">
        <v>15</v>
      </c>
      <c r="H138">
        <v>1.3027733333333333</v>
      </c>
    </row>
    <row r="139" spans="1:8" x14ac:dyDescent="0.55000000000000004">
      <c r="A139" t="s">
        <v>1722</v>
      </c>
      <c r="B139" t="s">
        <v>10</v>
      </c>
      <c r="C139" t="s">
        <v>1681</v>
      </c>
      <c r="D139" t="s">
        <v>1448</v>
      </c>
      <c r="E139" t="s">
        <v>1666</v>
      </c>
      <c r="F139">
        <v>2830</v>
      </c>
      <c r="G139">
        <v>30</v>
      </c>
      <c r="H139">
        <v>0.80666580329763959</v>
      </c>
    </row>
    <row r="140" spans="1:8" x14ac:dyDescent="0.55000000000000004">
      <c r="A140" t="s">
        <v>1723</v>
      </c>
      <c r="B140" t="s">
        <v>10</v>
      </c>
      <c r="C140" t="s">
        <v>1682</v>
      </c>
      <c r="D140" t="s">
        <v>1448</v>
      </c>
      <c r="E140" t="s">
        <v>1666</v>
      </c>
      <c r="F140">
        <v>60</v>
      </c>
      <c r="G140">
        <v>1</v>
      </c>
      <c r="H140">
        <v>0.44999999999999996</v>
      </c>
    </row>
    <row r="141" spans="1:8" x14ac:dyDescent="0.55000000000000004">
      <c r="A141" t="s">
        <v>1724</v>
      </c>
      <c r="B141" t="s">
        <v>10</v>
      </c>
      <c r="C141" t="s">
        <v>1684</v>
      </c>
      <c r="D141" t="s">
        <v>1467</v>
      </c>
      <c r="E141" t="s">
        <v>1666</v>
      </c>
      <c r="F141">
        <v>4251</v>
      </c>
      <c r="G141">
        <v>45</v>
      </c>
      <c r="H141">
        <v>1.1944637084962106</v>
      </c>
    </row>
    <row r="142" spans="1:8" x14ac:dyDescent="0.55000000000000004">
      <c r="A142" t="s">
        <v>1725</v>
      </c>
      <c r="B142" t="s">
        <v>10</v>
      </c>
      <c r="C142" t="s">
        <v>1685</v>
      </c>
      <c r="D142" t="s">
        <v>1486</v>
      </c>
      <c r="E142" t="s">
        <v>1666</v>
      </c>
      <c r="F142">
        <v>1400</v>
      </c>
      <c r="G142">
        <v>75</v>
      </c>
      <c r="H142">
        <v>1.4400109065027882</v>
      </c>
    </row>
    <row r="143" spans="1:8" x14ac:dyDescent="0.55000000000000004">
      <c r="A143" t="s">
        <v>1726</v>
      </c>
      <c r="B143" t="s">
        <v>10</v>
      </c>
      <c r="C143" t="s">
        <v>1686</v>
      </c>
      <c r="D143" t="s">
        <v>1486</v>
      </c>
      <c r="E143" t="s">
        <v>1666</v>
      </c>
      <c r="F143">
        <v>65390</v>
      </c>
      <c r="G143">
        <v>600</v>
      </c>
      <c r="H143">
        <v>0.69532074074074079</v>
      </c>
    </row>
    <row r="144" spans="1:8" x14ac:dyDescent="0.55000000000000004">
      <c r="A144" t="s">
        <v>1727</v>
      </c>
      <c r="B144" t="s">
        <v>10</v>
      </c>
      <c r="C144" t="s">
        <v>1687</v>
      </c>
      <c r="D144" t="s">
        <v>1507</v>
      </c>
      <c r="E144" t="s">
        <v>1666</v>
      </c>
      <c r="F144">
        <v>3200</v>
      </c>
      <c r="G144">
        <v>45</v>
      </c>
      <c r="H144">
        <v>0.6849088561622001</v>
      </c>
    </row>
    <row r="145" spans="1:8" x14ac:dyDescent="0.55000000000000004">
      <c r="A145" t="s">
        <v>1728</v>
      </c>
      <c r="B145" t="s">
        <v>10</v>
      </c>
      <c r="C145" t="s">
        <v>1688</v>
      </c>
      <c r="D145" t="s">
        <v>1535</v>
      </c>
      <c r="E145" t="s">
        <v>1666</v>
      </c>
      <c r="F145">
        <v>3387</v>
      </c>
      <c r="G145">
        <v>15</v>
      </c>
      <c r="H145">
        <v>1.3020800000000001</v>
      </c>
    </row>
    <row r="146" spans="1:8" x14ac:dyDescent="0.55000000000000004">
      <c r="A146" t="s">
        <v>1729</v>
      </c>
      <c r="B146" t="s">
        <v>10</v>
      </c>
      <c r="C146" t="s">
        <v>1689</v>
      </c>
      <c r="D146" t="s">
        <v>1782</v>
      </c>
      <c r="E146" t="s">
        <v>1777</v>
      </c>
      <c r="F146">
        <v>34700</v>
      </c>
      <c r="G146">
        <v>900</v>
      </c>
      <c r="H146">
        <v>0.39855597250011676</v>
      </c>
    </row>
    <row r="147" spans="1:8" x14ac:dyDescent="0.55000000000000004">
      <c r="A147" t="s">
        <v>1730</v>
      </c>
      <c r="B147" t="s">
        <v>10</v>
      </c>
      <c r="C147" t="s">
        <v>1690</v>
      </c>
      <c r="D147" t="s">
        <v>1782</v>
      </c>
      <c r="E147" t="s">
        <v>1777</v>
      </c>
      <c r="F147">
        <v>18120</v>
      </c>
      <c r="G147">
        <v>500</v>
      </c>
      <c r="H147">
        <v>0.3653850472727273</v>
      </c>
    </row>
    <row r="148" spans="1:8" x14ac:dyDescent="0.55000000000000004">
      <c r="A148" t="s">
        <v>1731</v>
      </c>
      <c r="B148" t="s">
        <v>10</v>
      </c>
      <c r="C148" t="s">
        <v>1691</v>
      </c>
      <c r="D148" t="s">
        <v>1782</v>
      </c>
      <c r="E148" t="s">
        <v>1777</v>
      </c>
      <c r="F148">
        <v>3315</v>
      </c>
      <c r="G148">
        <v>90</v>
      </c>
      <c r="H148">
        <v>0.19102775876464245</v>
      </c>
    </row>
    <row r="149" spans="1:8" x14ac:dyDescent="0.55000000000000004">
      <c r="A149" t="s">
        <v>1732</v>
      </c>
      <c r="B149" t="s">
        <v>10</v>
      </c>
      <c r="C149" t="s">
        <v>1692</v>
      </c>
      <c r="D149" t="s">
        <v>1782</v>
      </c>
      <c r="E149" t="s">
        <v>1777</v>
      </c>
      <c r="F149">
        <v>4015</v>
      </c>
      <c r="G149">
        <v>110</v>
      </c>
      <c r="H149">
        <v>0.26538634808016204</v>
      </c>
    </row>
    <row r="150" spans="1:8" x14ac:dyDescent="0.55000000000000004">
      <c r="A150" t="s">
        <v>1733</v>
      </c>
      <c r="B150" t="s">
        <v>10</v>
      </c>
      <c r="C150" t="s">
        <v>1693</v>
      </c>
      <c r="D150" t="s">
        <v>1782</v>
      </c>
      <c r="E150" t="s">
        <v>1777</v>
      </c>
      <c r="F150">
        <v>3265</v>
      </c>
      <c r="G150">
        <v>90</v>
      </c>
      <c r="H150">
        <v>0.19195487833356684</v>
      </c>
    </row>
    <row r="151" spans="1:8" x14ac:dyDescent="0.55000000000000004">
      <c r="A151" t="s">
        <v>1734</v>
      </c>
      <c r="B151" t="s">
        <v>10</v>
      </c>
      <c r="C151" t="s">
        <v>1694</v>
      </c>
      <c r="D151" t="s">
        <v>1782</v>
      </c>
      <c r="E151" t="s">
        <v>1777</v>
      </c>
      <c r="F151">
        <v>5150</v>
      </c>
      <c r="G151">
        <v>90</v>
      </c>
      <c r="H151">
        <v>0.39033529619264218</v>
      </c>
    </row>
    <row r="152" spans="1:8" x14ac:dyDescent="0.55000000000000004">
      <c r="A152" t="s">
        <v>1735</v>
      </c>
      <c r="B152" t="s">
        <v>10</v>
      </c>
      <c r="C152" t="s">
        <v>1695</v>
      </c>
      <c r="D152" t="s">
        <v>1589</v>
      </c>
      <c r="E152" t="s">
        <v>1778</v>
      </c>
      <c r="F152">
        <v>121</v>
      </c>
      <c r="G152">
        <v>1</v>
      </c>
      <c r="H152">
        <v>1.2988261875895513</v>
      </c>
    </row>
    <row r="153" spans="1:8" x14ac:dyDescent="0.55000000000000004">
      <c r="A153" t="s">
        <v>1736</v>
      </c>
      <c r="B153" t="s">
        <v>10</v>
      </c>
      <c r="C153" t="s">
        <v>1697</v>
      </c>
      <c r="D153" t="s">
        <v>1589</v>
      </c>
      <c r="E153" t="s">
        <v>1778</v>
      </c>
      <c r="F153">
        <v>58000</v>
      </c>
      <c r="G153">
        <v>285</v>
      </c>
      <c r="H153">
        <v>0.88833458052714731</v>
      </c>
    </row>
    <row r="154" spans="1:8" x14ac:dyDescent="0.55000000000000004">
      <c r="A154" t="s">
        <v>1737</v>
      </c>
      <c r="B154" t="s">
        <v>10</v>
      </c>
      <c r="C154" t="s">
        <v>1698</v>
      </c>
      <c r="D154" t="s">
        <v>1432</v>
      </c>
      <c r="E154" t="s">
        <v>1778</v>
      </c>
      <c r="F154">
        <v>61200</v>
      </c>
      <c r="G154">
        <v>360</v>
      </c>
      <c r="H154">
        <v>1.9830539116240635</v>
      </c>
    </row>
    <row r="155" spans="1:8" x14ac:dyDescent="0.55000000000000004">
      <c r="A155" t="s">
        <v>1738</v>
      </c>
      <c r="B155" t="s">
        <v>10</v>
      </c>
      <c r="C155" t="s">
        <v>1699</v>
      </c>
      <c r="D155" t="s">
        <v>1448</v>
      </c>
      <c r="E155" t="s">
        <v>1778</v>
      </c>
      <c r="F155">
        <v>149</v>
      </c>
      <c r="G155">
        <v>1</v>
      </c>
      <c r="H155">
        <v>1.7412813820877262</v>
      </c>
    </row>
    <row r="156" spans="1:8" x14ac:dyDescent="0.55000000000000004">
      <c r="A156" t="s">
        <v>1739</v>
      </c>
      <c r="B156" t="s">
        <v>10</v>
      </c>
      <c r="C156" t="s">
        <v>1701</v>
      </c>
      <c r="D156" t="s">
        <v>1467</v>
      </c>
      <c r="E156" t="s">
        <v>1778</v>
      </c>
      <c r="F156">
        <v>54501</v>
      </c>
      <c r="G156">
        <v>284</v>
      </c>
      <c r="H156">
        <v>1.0563893735596048</v>
      </c>
    </row>
    <row r="157" spans="1:8" x14ac:dyDescent="0.55000000000000004">
      <c r="A157" t="s">
        <v>1740</v>
      </c>
      <c r="B157" t="s">
        <v>10</v>
      </c>
      <c r="C157" t="s">
        <v>1702</v>
      </c>
      <c r="D157" t="s">
        <v>1486</v>
      </c>
      <c r="E157" t="s">
        <v>1778</v>
      </c>
      <c r="F157">
        <v>61200</v>
      </c>
      <c r="G157">
        <v>360</v>
      </c>
      <c r="H157">
        <v>1.9830539116240635</v>
      </c>
    </row>
    <row r="158" spans="1:8" x14ac:dyDescent="0.55000000000000004">
      <c r="A158" t="s">
        <v>1741</v>
      </c>
      <c r="B158" t="s">
        <v>10</v>
      </c>
      <c r="C158" t="s">
        <v>1417</v>
      </c>
      <c r="D158" t="s">
        <v>1507</v>
      </c>
      <c r="E158" t="s">
        <v>1778</v>
      </c>
      <c r="F158">
        <v>191</v>
      </c>
      <c r="G158">
        <v>1</v>
      </c>
      <c r="H158">
        <v>2.5510181941806755</v>
      </c>
    </row>
    <row r="159" spans="1:8" x14ac:dyDescent="0.55000000000000004">
      <c r="A159" t="s">
        <v>1742</v>
      </c>
      <c r="B159" t="s">
        <v>10</v>
      </c>
      <c r="C159" t="s">
        <v>1704</v>
      </c>
      <c r="D159" t="s">
        <v>1535</v>
      </c>
      <c r="E159" t="s">
        <v>1778</v>
      </c>
      <c r="F159">
        <v>91</v>
      </c>
      <c r="G159">
        <v>1</v>
      </c>
      <c r="H159">
        <v>2.4084115697501285</v>
      </c>
    </row>
    <row r="160" spans="1:8" x14ac:dyDescent="0.55000000000000004">
      <c r="A160" t="s">
        <v>1783</v>
      </c>
      <c r="B160" t="s">
        <v>10</v>
      </c>
      <c r="C160" t="s">
        <v>1706</v>
      </c>
      <c r="D160" t="s">
        <v>1536</v>
      </c>
      <c r="E160" t="s">
        <v>1778</v>
      </c>
      <c r="F160">
        <v>156</v>
      </c>
      <c r="G160">
        <v>1</v>
      </c>
      <c r="H160">
        <v>1.8045202138716927</v>
      </c>
    </row>
    <row r="161" spans="1:8" x14ac:dyDescent="0.55000000000000004">
      <c r="A161" t="s">
        <v>1782</v>
      </c>
      <c r="B161" t="s">
        <v>1782</v>
      </c>
      <c r="C161" t="s">
        <v>1782</v>
      </c>
      <c r="D161" t="s">
        <v>1782</v>
      </c>
      <c r="E161" t="s">
        <v>1782</v>
      </c>
    </row>
    <row r="162" spans="1:8" x14ac:dyDescent="0.55000000000000004">
      <c r="A162" t="s">
        <v>1781</v>
      </c>
      <c r="F162">
        <v>1127361.7</v>
      </c>
      <c r="G162">
        <v>900</v>
      </c>
      <c r="H162">
        <v>478.02768766160733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B9BD5"/>
  </sheetPr>
  <dimension ref="A1:X175"/>
  <sheetViews>
    <sheetView showGridLines="0" zoomScale="115" zoomScaleNormal="115" workbookViewId="0">
      <pane xSplit="2" ySplit="3" topLeftCell="C151" activePane="bottomRight" state="frozen"/>
      <selection pane="topRight" activeCell="C1" sqref="C1"/>
      <selection pane="bottomLeft" activeCell="A4" sqref="A4"/>
      <selection pane="bottomRight" activeCell="C163" sqref="C163"/>
    </sheetView>
  </sheetViews>
  <sheetFormatPr defaultColWidth="8.83984375" defaultRowHeight="14.4" x14ac:dyDescent="0.55000000000000004"/>
  <cols>
    <col min="1" max="1" width="13.47265625" style="1" customWidth="1"/>
    <col min="2" max="2" width="5.5234375" style="97" customWidth="1"/>
    <col min="3" max="3" width="43.15625" style="1" customWidth="1"/>
    <col min="4" max="4" width="12.62890625" style="1" customWidth="1"/>
    <col min="5" max="5" width="10.3671875" style="1" customWidth="1"/>
    <col min="6" max="6" width="16.20703125" style="1" customWidth="1"/>
    <col min="7" max="7" width="11.89453125" style="1" customWidth="1"/>
    <col min="8" max="9" width="8.05078125" style="1" customWidth="1"/>
    <col min="10" max="10" width="8.83984375" style="1" customWidth="1"/>
    <col min="11" max="16" width="0" style="1" hidden="1" customWidth="1"/>
    <col min="17" max="16384" width="8.83984375" style="1"/>
  </cols>
  <sheetData>
    <row r="1" spans="1:24" ht="28.15" customHeight="1" x14ac:dyDescent="0.75">
      <c r="A1" s="34" t="s">
        <v>1787</v>
      </c>
      <c r="B1" s="96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Q1" s="34"/>
      <c r="R1" s="34"/>
      <c r="S1" s="34"/>
      <c r="T1" s="34"/>
      <c r="U1" s="34"/>
    </row>
    <row r="2" spans="1:24" x14ac:dyDescent="0.55000000000000004">
      <c r="A2" s="2"/>
    </row>
    <row r="3" spans="1:24" s="97" customFormat="1" ht="49.2" customHeight="1" x14ac:dyDescent="0.55000000000000004">
      <c r="A3" s="67" t="s">
        <v>23</v>
      </c>
      <c r="B3" s="67" t="s">
        <v>1</v>
      </c>
      <c r="C3" s="67" t="s">
        <v>0</v>
      </c>
      <c r="D3" s="67" t="s">
        <v>1440</v>
      </c>
      <c r="E3" s="67" t="s">
        <v>2</v>
      </c>
      <c r="F3" s="67" t="s">
        <v>1784</v>
      </c>
      <c r="G3" s="67" t="s">
        <v>1786</v>
      </c>
      <c r="H3" s="67" t="s">
        <v>1785</v>
      </c>
      <c r="I3" s="67" t="s">
        <v>1832</v>
      </c>
      <c r="J3" s="67" t="s">
        <v>1833</v>
      </c>
      <c r="K3" s="67" t="s">
        <v>3</v>
      </c>
      <c r="L3" s="67" t="s">
        <v>4</v>
      </c>
      <c r="M3" s="67" t="s">
        <v>5</v>
      </c>
      <c r="N3" s="67" t="s">
        <v>6</v>
      </c>
      <c r="O3" s="67" t="s">
        <v>7</v>
      </c>
      <c r="P3" s="67" t="s">
        <v>8</v>
      </c>
      <c r="Q3" s="67" t="s">
        <v>2073</v>
      </c>
      <c r="R3" s="67" t="s">
        <v>2049</v>
      </c>
      <c r="S3" s="67" t="s">
        <v>5</v>
      </c>
      <c r="T3" s="67" t="s">
        <v>2074</v>
      </c>
      <c r="U3" s="67" t="s">
        <v>8</v>
      </c>
    </row>
    <row r="4" spans="1:24" s="69" customFormat="1" ht="12.9" x14ac:dyDescent="0.5">
      <c r="A4" s="98" t="s">
        <v>9</v>
      </c>
      <c r="B4" s="99" t="s">
        <v>10</v>
      </c>
      <c r="C4" s="98" t="s">
        <v>1413</v>
      </c>
      <c r="D4" s="98" t="s">
        <v>1432</v>
      </c>
      <c r="E4" s="98" t="s">
        <v>11</v>
      </c>
      <c r="F4" s="100">
        <v>5725</v>
      </c>
      <c r="G4" s="100">
        <v>10</v>
      </c>
      <c r="H4" s="100">
        <v>9.8937403118557654</v>
      </c>
      <c r="I4" s="100">
        <f>H4*10%</f>
        <v>0.98937403118557654</v>
      </c>
      <c r="J4" s="101">
        <f>H4+I4</f>
        <v>10.883114343041342</v>
      </c>
      <c r="K4" s="101"/>
      <c r="L4" s="101"/>
      <c r="M4" s="101"/>
      <c r="N4" s="101"/>
      <c r="O4" s="101">
        <f>SUM(H4:N4)</f>
        <v>21.766228686082684</v>
      </c>
      <c r="Q4" s="283">
        <f>J4*5%</f>
        <v>0.54415571715206712</v>
      </c>
      <c r="R4" s="283">
        <f>J4*2%</f>
        <v>0.21766228686082684</v>
      </c>
      <c r="S4" s="283">
        <f>J4*2%</f>
        <v>0.21766228686082684</v>
      </c>
      <c r="T4" s="283">
        <f>J4*1%</f>
        <v>0.10883114343041342</v>
      </c>
      <c r="U4" s="275">
        <f>J4+Q4+R4+S4+T4</f>
        <v>11.971425777345477</v>
      </c>
      <c r="V4" s="282" t="s">
        <v>2075</v>
      </c>
      <c r="W4" s="298"/>
      <c r="X4" s="298"/>
    </row>
    <row r="5" spans="1:24" s="69" customFormat="1" ht="12.9" x14ac:dyDescent="0.5">
      <c r="A5" s="98" t="s">
        <v>1459</v>
      </c>
      <c r="B5" s="99" t="s">
        <v>10</v>
      </c>
      <c r="C5" s="98" t="s">
        <v>1452</v>
      </c>
      <c r="D5" s="98" t="s">
        <v>1448</v>
      </c>
      <c r="E5" s="98" t="s">
        <v>11</v>
      </c>
      <c r="F5" s="100">
        <v>414</v>
      </c>
      <c r="G5" s="100">
        <v>4</v>
      </c>
      <c r="H5" s="100">
        <v>4.3622313909486623</v>
      </c>
      <c r="I5" s="100">
        <f t="shared" ref="I5:I68" si="0">H5*10%</f>
        <v>0.43622313909486626</v>
      </c>
      <c r="J5" s="101">
        <f t="shared" ref="J5:J68" si="1">H5+I5</f>
        <v>4.7984545300435286</v>
      </c>
      <c r="K5" s="101"/>
      <c r="L5" s="101"/>
      <c r="M5" s="101"/>
      <c r="N5" s="101"/>
      <c r="O5" s="101">
        <f t="shared" ref="O5:O68" si="2">SUM(H5:N5)</f>
        <v>9.5969090600870572</v>
      </c>
      <c r="Q5" s="283">
        <f t="shared" ref="Q5:Q68" si="3">J5*5%</f>
        <v>0.23992272650217644</v>
      </c>
      <c r="R5" s="283">
        <f t="shared" ref="R5:R68" si="4">J5*2%</f>
        <v>9.5969090600870569E-2</v>
      </c>
      <c r="S5" s="283">
        <f t="shared" ref="S5:S68" si="5">J5*2%</f>
        <v>9.5969090600870569E-2</v>
      </c>
      <c r="T5" s="283">
        <f t="shared" ref="T5:T68" si="6">J5*1%</f>
        <v>4.7984545300435284E-2</v>
      </c>
      <c r="U5" s="275">
        <f t="shared" ref="U5:U68" si="7">J5+Q5+R5+S5+T5</f>
        <v>5.2782999830478827</v>
      </c>
    </row>
    <row r="6" spans="1:24" s="69" customFormat="1" ht="12.9" x14ac:dyDescent="0.5">
      <c r="A6" s="98" t="s">
        <v>1460</v>
      </c>
      <c r="B6" s="99" t="s">
        <v>10</v>
      </c>
      <c r="C6" s="98" t="s">
        <v>1409</v>
      </c>
      <c r="D6" s="98" t="s">
        <v>1448</v>
      </c>
      <c r="E6" s="98" t="s">
        <v>11</v>
      </c>
      <c r="F6" s="100">
        <v>4885</v>
      </c>
      <c r="G6" s="100">
        <v>10</v>
      </c>
      <c r="H6" s="100">
        <v>9.0984588239779836</v>
      </c>
      <c r="I6" s="100">
        <f t="shared" si="0"/>
        <v>0.9098458823977984</v>
      </c>
      <c r="J6" s="101">
        <f t="shared" si="1"/>
        <v>10.008304706375782</v>
      </c>
      <c r="K6" s="101"/>
      <c r="L6" s="101"/>
      <c r="M6" s="101"/>
      <c r="N6" s="101"/>
      <c r="O6" s="101">
        <f t="shared" si="2"/>
        <v>20.016609412751563</v>
      </c>
      <c r="Q6" s="283">
        <f t="shared" si="3"/>
        <v>0.50041523531878906</v>
      </c>
      <c r="R6" s="283">
        <f t="shared" si="4"/>
        <v>0.20016609412751563</v>
      </c>
      <c r="S6" s="283">
        <f t="shared" si="5"/>
        <v>0.20016609412751563</v>
      </c>
      <c r="T6" s="283">
        <f t="shared" si="6"/>
        <v>0.10008304706375781</v>
      </c>
      <c r="U6" s="275">
        <f t="shared" si="7"/>
        <v>11.009135177013359</v>
      </c>
    </row>
    <row r="7" spans="1:24" s="69" customFormat="1" ht="12.9" x14ac:dyDescent="0.5">
      <c r="A7" s="98" t="s">
        <v>1461</v>
      </c>
      <c r="B7" s="99" t="s">
        <v>10</v>
      </c>
      <c r="C7" s="98" t="s">
        <v>1410</v>
      </c>
      <c r="D7" s="98" t="s">
        <v>1448</v>
      </c>
      <c r="E7" s="98" t="s">
        <v>11</v>
      </c>
      <c r="F7" s="100">
        <v>6528</v>
      </c>
      <c r="G7" s="100">
        <v>10</v>
      </c>
      <c r="H7" s="100">
        <v>5.1434831681156368</v>
      </c>
      <c r="I7" s="100">
        <f t="shared" si="0"/>
        <v>0.51434831681156368</v>
      </c>
      <c r="J7" s="101">
        <f t="shared" si="1"/>
        <v>5.6578314849272004</v>
      </c>
      <c r="K7" s="101"/>
      <c r="L7" s="101"/>
      <c r="M7" s="101"/>
      <c r="N7" s="101"/>
      <c r="O7" s="101">
        <f t="shared" si="2"/>
        <v>11.315662969854401</v>
      </c>
      <c r="Q7" s="283">
        <f t="shared" si="3"/>
        <v>0.28289157424636002</v>
      </c>
      <c r="R7" s="283">
        <f t="shared" si="4"/>
        <v>0.11315662969854401</v>
      </c>
      <c r="S7" s="283">
        <f t="shared" si="5"/>
        <v>0.11315662969854401</v>
      </c>
      <c r="T7" s="283">
        <f t="shared" si="6"/>
        <v>5.6578314849272004E-2</v>
      </c>
      <c r="U7" s="275">
        <f t="shared" si="7"/>
        <v>6.2236146334199205</v>
      </c>
    </row>
    <row r="8" spans="1:24" s="69" customFormat="1" ht="12.9" x14ac:dyDescent="0.5">
      <c r="A8" s="98" t="s">
        <v>1462</v>
      </c>
      <c r="B8" s="99" t="s">
        <v>10</v>
      </c>
      <c r="C8" s="98" t="s">
        <v>1454</v>
      </c>
      <c r="D8" s="98" t="s">
        <v>1448</v>
      </c>
      <c r="E8" s="98" t="s">
        <v>11</v>
      </c>
      <c r="F8" s="100">
        <v>6195</v>
      </c>
      <c r="G8" s="100">
        <v>10</v>
      </c>
      <c r="H8" s="100">
        <v>5.4269712675452695</v>
      </c>
      <c r="I8" s="100">
        <f t="shared" si="0"/>
        <v>0.54269712675452697</v>
      </c>
      <c r="J8" s="101">
        <f t="shared" si="1"/>
        <v>5.9696683942997968</v>
      </c>
      <c r="K8" s="101"/>
      <c r="L8" s="101"/>
      <c r="M8" s="101"/>
      <c r="N8" s="101"/>
      <c r="O8" s="101">
        <f t="shared" si="2"/>
        <v>11.939336788599594</v>
      </c>
      <c r="Q8" s="283">
        <f t="shared" si="3"/>
        <v>0.29848341971498987</v>
      </c>
      <c r="R8" s="283">
        <f t="shared" si="4"/>
        <v>0.11939336788599594</v>
      </c>
      <c r="S8" s="283">
        <f t="shared" si="5"/>
        <v>0.11939336788599594</v>
      </c>
      <c r="T8" s="283">
        <f t="shared" si="6"/>
        <v>5.9696683942997972E-2</v>
      </c>
      <c r="U8" s="275">
        <f t="shared" si="7"/>
        <v>6.5666352337297766</v>
      </c>
    </row>
    <row r="9" spans="1:24" s="69" customFormat="1" ht="12.9" x14ac:dyDescent="0.5">
      <c r="A9" s="98" t="s">
        <v>1463</v>
      </c>
      <c r="B9" s="99" t="s">
        <v>10</v>
      </c>
      <c r="C9" s="98" t="s">
        <v>1455</v>
      </c>
      <c r="D9" s="98" t="s">
        <v>1448</v>
      </c>
      <c r="E9" s="98" t="s">
        <v>11</v>
      </c>
      <c r="F9" s="100">
        <v>2736</v>
      </c>
      <c r="G9" s="100">
        <v>10</v>
      </c>
      <c r="H9" s="100">
        <v>2.8563073990929704</v>
      </c>
      <c r="I9" s="100">
        <f t="shared" si="0"/>
        <v>0.28563073990929705</v>
      </c>
      <c r="J9" s="101">
        <f t="shared" si="1"/>
        <v>3.1419381390022676</v>
      </c>
      <c r="K9" s="101"/>
      <c r="L9" s="101"/>
      <c r="M9" s="101"/>
      <c r="N9" s="101"/>
      <c r="O9" s="101">
        <f t="shared" si="2"/>
        <v>6.2838762780045352</v>
      </c>
      <c r="Q9" s="283">
        <f t="shared" si="3"/>
        <v>0.15709690695011339</v>
      </c>
      <c r="R9" s="283">
        <f t="shared" si="4"/>
        <v>6.2838762780045354E-2</v>
      </c>
      <c r="S9" s="283">
        <f t="shared" si="5"/>
        <v>6.2838762780045354E-2</v>
      </c>
      <c r="T9" s="283">
        <f t="shared" si="6"/>
        <v>3.1419381390022677E-2</v>
      </c>
      <c r="U9" s="275">
        <f t="shared" si="7"/>
        <v>3.4561319529024948</v>
      </c>
    </row>
    <row r="10" spans="1:24" s="69" customFormat="1" ht="12.9" x14ac:dyDescent="0.5">
      <c r="A10" s="98" t="s">
        <v>1464</v>
      </c>
      <c r="B10" s="99" t="s">
        <v>10</v>
      </c>
      <c r="C10" s="98" t="s">
        <v>1456</v>
      </c>
      <c r="D10" s="98" t="s">
        <v>1448</v>
      </c>
      <c r="E10" s="98" t="s">
        <v>11</v>
      </c>
      <c r="F10" s="100">
        <v>5158</v>
      </c>
      <c r="G10" s="100">
        <v>10</v>
      </c>
      <c r="H10" s="100">
        <v>10.275901305913486</v>
      </c>
      <c r="I10" s="100">
        <f t="shared" si="0"/>
        <v>1.0275901305913486</v>
      </c>
      <c r="J10" s="101">
        <f t="shared" si="1"/>
        <v>11.303491436504835</v>
      </c>
      <c r="K10" s="101"/>
      <c r="L10" s="101"/>
      <c r="M10" s="101"/>
      <c r="N10" s="101"/>
      <c r="O10" s="101">
        <f t="shared" si="2"/>
        <v>22.60698287300967</v>
      </c>
      <c r="Q10" s="283">
        <f t="shared" si="3"/>
        <v>0.56517457182524178</v>
      </c>
      <c r="R10" s="283">
        <f t="shared" si="4"/>
        <v>0.22606982873009671</v>
      </c>
      <c r="S10" s="283">
        <f t="shared" si="5"/>
        <v>0.22606982873009671</v>
      </c>
      <c r="T10" s="283">
        <f t="shared" si="6"/>
        <v>0.11303491436504835</v>
      </c>
      <c r="U10" s="275">
        <f t="shared" si="7"/>
        <v>12.433840580155319</v>
      </c>
    </row>
    <row r="11" spans="1:24" s="69" customFormat="1" ht="12.9" x14ac:dyDescent="0.5">
      <c r="A11" s="98" t="s">
        <v>1465</v>
      </c>
      <c r="B11" s="99" t="s">
        <v>10</v>
      </c>
      <c r="C11" s="98" t="s">
        <v>1457</v>
      </c>
      <c r="D11" s="98" t="s">
        <v>1448</v>
      </c>
      <c r="E11" s="98" t="s">
        <v>11</v>
      </c>
      <c r="F11" s="100">
        <v>7324</v>
      </c>
      <c r="G11" s="100">
        <v>10</v>
      </c>
      <c r="H11" s="100">
        <v>6.67704726976985</v>
      </c>
      <c r="I11" s="100">
        <f t="shared" si="0"/>
        <v>0.66770472697698502</v>
      </c>
      <c r="J11" s="101">
        <f t="shared" si="1"/>
        <v>7.3447519967468349</v>
      </c>
      <c r="K11" s="101"/>
      <c r="L11" s="101"/>
      <c r="M11" s="101"/>
      <c r="N11" s="101"/>
      <c r="O11" s="101">
        <f t="shared" si="2"/>
        <v>14.68950399349367</v>
      </c>
      <c r="Q11" s="283">
        <f t="shared" si="3"/>
        <v>0.36723759983734178</v>
      </c>
      <c r="R11" s="283">
        <f t="shared" si="4"/>
        <v>0.14689503993493669</v>
      </c>
      <c r="S11" s="283">
        <f t="shared" si="5"/>
        <v>0.14689503993493669</v>
      </c>
      <c r="T11" s="283">
        <f t="shared" si="6"/>
        <v>7.3447519967468344E-2</v>
      </c>
      <c r="U11" s="275">
        <f t="shared" si="7"/>
        <v>8.0792271964215185</v>
      </c>
    </row>
    <row r="12" spans="1:24" s="69" customFormat="1" ht="12.9" x14ac:dyDescent="0.5">
      <c r="A12" s="98" t="s">
        <v>1466</v>
      </c>
      <c r="B12" s="99" t="s">
        <v>10</v>
      </c>
      <c r="C12" s="98" t="s">
        <v>1458</v>
      </c>
      <c r="D12" s="98" t="s">
        <v>1448</v>
      </c>
      <c r="E12" s="98" t="s">
        <v>11</v>
      </c>
      <c r="F12" s="100">
        <v>8080</v>
      </c>
      <c r="G12" s="100">
        <v>10</v>
      </c>
      <c r="H12" s="100">
        <v>6.7677420037644707</v>
      </c>
      <c r="I12" s="100">
        <f t="shared" si="0"/>
        <v>0.67677420037644709</v>
      </c>
      <c r="J12" s="101">
        <f t="shared" si="1"/>
        <v>7.4445162041409176</v>
      </c>
      <c r="K12" s="101"/>
      <c r="L12" s="101"/>
      <c r="M12" s="101"/>
      <c r="N12" s="101"/>
      <c r="O12" s="101">
        <f t="shared" si="2"/>
        <v>14.889032408281835</v>
      </c>
      <c r="Q12" s="283">
        <f t="shared" si="3"/>
        <v>0.37222581020704593</v>
      </c>
      <c r="R12" s="283">
        <f t="shared" si="4"/>
        <v>0.14889032408281835</v>
      </c>
      <c r="S12" s="283">
        <f t="shared" si="5"/>
        <v>0.14889032408281835</v>
      </c>
      <c r="T12" s="283">
        <f t="shared" si="6"/>
        <v>7.4445162041409177E-2</v>
      </c>
      <c r="U12" s="275">
        <f t="shared" si="7"/>
        <v>8.188967824555009</v>
      </c>
    </row>
    <row r="13" spans="1:24" s="69" customFormat="1" ht="12.9" x14ac:dyDescent="0.5">
      <c r="A13" s="98" t="s">
        <v>1468</v>
      </c>
      <c r="B13" s="99" t="s">
        <v>10</v>
      </c>
      <c r="C13" s="98" t="s">
        <v>1469</v>
      </c>
      <c r="D13" s="98" t="s">
        <v>1467</v>
      </c>
      <c r="E13" s="98" t="s">
        <v>11</v>
      </c>
      <c r="F13" s="100">
        <v>2972.5</v>
      </c>
      <c r="G13" s="100">
        <v>10</v>
      </c>
      <c r="H13" s="100">
        <v>5.8759256708178773</v>
      </c>
      <c r="I13" s="100">
        <f t="shared" si="0"/>
        <v>0.58759256708178775</v>
      </c>
      <c r="J13" s="101">
        <f t="shared" si="1"/>
        <v>6.463518237899665</v>
      </c>
      <c r="K13" s="101"/>
      <c r="L13" s="101"/>
      <c r="M13" s="101"/>
      <c r="N13" s="101"/>
      <c r="O13" s="101">
        <f t="shared" si="2"/>
        <v>12.92703647579933</v>
      </c>
      <c r="Q13" s="283">
        <f t="shared" si="3"/>
        <v>0.32317591189498329</v>
      </c>
      <c r="R13" s="283">
        <f t="shared" si="4"/>
        <v>0.12927036475799331</v>
      </c>
      <c r="S13" s="283">
        <f t="shared" si="5"/>
        <v>0.12927036475799331</v>
      </c>
      <c r="T13" s="283">
        <f t="shared" si="6"/>
        <v>6.4635182378996653E-2</v>
      </c>
      <c r="U13" s="275">
        <f t="shared" si="7"/>
        <v>7.109870061689632</v>
      </c>
    </row>
    <row r="14" spans="1:24" s="69" customFormat="1" ht="12.9" x14ac:dyDescent="0.5">
      <c r="A14" s="98" t="s">
        <v>1478</v>
      </c>
      <c r="B14" s="99" t="s">
        <v>10</v>
      </c>
      <c r="C14" s="98" t="s">
        <v>1471</v>
      </c>
      <c r="D14" s="98" t="s">
        <v>1467</v>
      </c>
      <c r="E14" s="98" t="s">
        <v>11</v>
      </c>
      <c r="F14" s="100">
        <v>5989</v>
      </c>
      <c r="G14" s="100">
        <v>10</v>
      </c>
      <c r="H14" s="100">
        <v>5.0505763934067209</v>
      </c>
      <c r="I14" s="100">
        <f t="shared" si="0"/>
        <v>0.50505763934067216</v>
      </c>
      <c r="J14" s="101">
        <f t="shared" si="1"/>
        <v>5.5556340327473928</v>
      </c>
      <c r="K14" s="101"/>
      <c r="L14" s="101"/>
      <c r="M14" s="101"/>
      <c r="N14" s="101"/>
      <c r="O14" s="101">
        <f t="shared" si="2"/>
        <v>11.111268065494786</v>
      </c>
      <c r="Q14" s="283">
        <f t="shared" si="3"/>
        <v>0.27778170163736965</v>
      </c>
      <c r="R14" s="283">
        <f t="shared" si="4"/>
        <v>0.11111268065494785</v>
      </c>
      <c r="S14" s="283">
        <f t="shared" si="5"/>
        <v>0.11111268065494785</v>
      </c>
      <c r="T14" s="283">
        <f t="shared" si="6"/>
        <v>5.5556340327473926E-2</v>
      </c>
      <c r="U14" s="275">
        <f t="shared" si="7"/>
        <v>6.1111974360221319</v>
      </c>
    </row>
    <row r="15" spans="1:24" s="69" customFormat="1" ht="12.9" x14ac:dyDescent="0.5">
      <c r="A15" s="98" t="s">
        <v>12</v>
      </c>
      <c r="B15" s="99" t="s">
        <v>10</v>
      </c>
      <c r="C15" s="98" t="s">
        <v>1441</v>
      </c>
      <c r="D15" s="98" t="s">
        <v>1432</v>
      </c>
      <c r="E15" s="98" t="s">
        <v>11</v>
      </c>
      <c r="F15" s="100">
        <v>6267</v>
      </c>
      <c r="G15" s="100">
        <v>10</v>
      </c>
      <c r="H15" s="100">
        <v>6.2906321855755811</v>
      </c>
      <c r="I15" s="100">
        <f t="shared" si="0"/>
        <v>0.6290632185575582</v>
      </c>
      <c r="J15" s="101">
        <f t="shared" si="1"/>
        <v>6.9196954041331393</v>
      </c>
      <c r="K15" s="101"/>
      <c r="L15" s="101"/>
      <c r="M15" s="101"/>
      <c r="N15" s="101"/>
      <c r="O15" s="101">
        <f t="shared" si="2"/>
        <v>13.839390808266279</v>
      </c>
      <c r="Q15" s="283">
        <f t="shared" si="3"/>
        <v>0.34598477020665697</v>
      </c>
      <c r="R15" s="283">
        <f t="shared" si="4"/>
        <v>0.1383939080826628</v>
      </c>
      <c r="S15" s="283">
        <f t="shared" si="5"/>
        <v>0.1383939080826628</v>
      </c>
      <c r="T15" s="283">
        <f t="shared" si="6"/>
        <v>6.9196954041331402E-2</v>
      </c>
      <c r="U15" s="275">
        <f t="shared" si="7"/>
        <v>7.6116649445464537</v>
      </c>
    </row>
    <row r="16" spans="1:24" s="69" customFormat="1" ht="12.9" x14ac:dyDescent="0.5">
      <c r="A16" s="98" t="s">
        <v>1479</v>
      </c>
      <c r="B16" s="99" t="s">
        <v>10</v>
      </c>
      <c r="C16" s="98" t="s">
        <v>1472</v>
      </c>
      <c r="D16" s="98" t="s">
        <v>1467</v>
      </c>
      <c r="E16" s="98" t="s">
        <v>11</v>
      </c>
      <c r="F16" s="100">
        <v>4692</v>
      </c>
      <c r="G16" s="100">
        <v>10</v>
      </c>
      <c r="H16" s="100">
        <v>4.6654383285117342</v>
      </c>
      <c r="I16" s="100">
        <f t="shared" si="0"/>
        <v>0.46654383285117346</v>
      </c>
      <c r="J16" s="101">
        <f t="shared" si="1"/>
        <v>5.1319821613629077</v>
      </c>
      <c r="K16" s="101"/>
      <c r="L16" s="101"/>
      <c r="M16" s="101"/>
      <c r="N16" s="101"/>
      <c r="O16" s="101">
        <f t="shared" si="2"/>
        <v>10.263964322725815</v>
      </c>
      <c r="Q16" s="283">
        <f t="shared" si="3"/>
        <v>0.2565991080681454</v>
      </c>
      <c r="R16" s="283">
        <f t="shared" si="4"/>
        <v>0.10263964322725816</v>
      </c>
      <c r="S16" s="283">
        <f t="shared" si="5"/>
        <v>0.10263964322725816</v>
      </c>
      <c r="T16" s="283">
        <f t="shared" si="6"/>
        <v>5.131982161362908E-2</v>
      </c>
      <c r="U16" s="275">
        <f t="shared" si="7"/>
        <v>5.645180377499198</v>
      </c>
    </row>
    <row r="17" spans="1:21" s="69" customFormat="1" ht="12.9" x14ac:dyDescent="0.5">
      <c r="A17" s="98" t="s">
        <v>1480</v>
      </c>
      <c r="B17" s="99" t="s">
        <v>10</v>
      </c>
      <c r="C17" s="98" t="s">
        <v>13</v>
      </c>
      <c r="D17" s="98" t="s">
        <v>1467</v>
      </c>
      <c r="E17" s="98" t="s">
        <v>11</v>
      </c>
      <c r="F17" s="100">
        <v>4732</v>
      </c>
      <c r="G17" s="100">
        <v>15</v>
      </c>
      <c r="H17" s="100">
        <v>4.9970238757641789</v>
      </c>
      <c r="I17" s="100">
        <f t="shared" si="0"/>
        <v>0.49970238757641794</v>
      </c>
      <c r="J17" s="101">
        <f t="shared" si="1"/>
        <v>5.4967262633405971</v>
      </c>
      <c r="K17" s="101"/>
      <c r="L17" s="101"/>
      <c r="M17" s="101"/>
      <c r="N17" s="101"/>
      <c r="O17" s="101">
        <f t="shared" si="2"/>
        <v>10.993452526681194</v>
      </c>
      <c r="Q17" s="283">
        <f t="shared" si="3"/>
        <v>0.27483631316702989</v>
      </c>
      <c r="R17" s="283">
        <f t="shared" si="4"/>
        <v>0.10993452526681194</v>
      </c>
      <c r="S17" s="283">
        <f t="shared" si="5"/>
        <v>0.10993452526681194</v>
      </c>
      <c r="T17" s="283">
        <f t="shared" si="6"/>
        <v>5.4967262633405969E-2</v>
      </c>
      <c r="U17" s="275">
        <f t="shared" si="7"/>
        <v>6.0463988896746574</v>
      </c>
    </row>
    <row r="18" spans="1:21" s="69" customFormat="1" ht="12.9" x14ac:dyDescent="0.5">
      <c r="A18" s="98" t="s">
        <v>1481</v>
      </c>
      <c r="B18" s="99" t="s">
        <v>10</v>
      </c>
      <c r="C18" s="98" t="s">
        <v>1473</v>
      </c>
      <c r="D18" s="98" t="s">
        <v>1467</v>
      </c>
      <c r="E18" s="98" t="s">
        <v>11</v>
      </c>
      <c r="F18" s="100">
        <v>6651.5</v>
      </c>
      <c r="G18" s="100">
        <v>10</v>
      </c>
      <c r="H18" s="100">
        <v>5.2842715453294211</v>
      </c>
      <c r="I18" s="100">
        <f t="shared" si="0"/>
        <v>0.52842715453294209</v>
      </c>
      <c r="J18" s="101">
        <f t="shared" si="1"/>
        <v>5.8126986998623629</v>
      </c>
      <c r="K18" s="101"/>
      <c r="L18" s="101"/>
      <c r="M18" s="101"/>
      <c r="N18" s="101"/>
      <c r="O18" s="101">
        <f t="shared" si="2"/>
        <v>11.625397399724726</v>
      </c>
      <c r="Q18" s="283">
        <f t="shared" si="3"/>
        <v>0.29063493499311815</v>
      </c>
      <c r="R18" s="283">
        <f t="shared" si="4"/>
        <v>0.11625397399724725</v>
      </c>
      <c r="S18" s="283">
        <f t="shared" si="5"/>
        <v>0.11625397399724725</v>
      </c>
      <c r="T18" s="283">
        <f t="shared" si="6"/>
        <v>5.8126986998623627E-2</v>
      </c>
      <c r="U18" s="275">
        <f t="shared" si="7"/>
        <v>6.3939685698486004</v>
      </c>
    </row>
    <row r="19" spans="1:21" s="69" customFormat="1" ht="12.9" x14ac:dyDescent="0.5">
      <c r="A19" s="98" t="s">
        <v>1482</v>
      </c>
      <c r="B19" s="99" t="s">
        <v>10</v>
      </c>
      <c r="C19" s="98" t="s">
        <v>1474</v>
      </c>
      <c r="D19" s="98" t="s">
        <v>1467</v>
      </c>
      <c r="E19" s="98" t="s">
        <v>11</v>
      </c>
      <c r="F19" s="100">
        <v>7866</v>
      </c>
      <c r="G19" s="100">
        <v>10</v>
      </c>
      <c r="H19" s="100">
        <v>5.1334710637676828</v>
      </c>
      <c r="I19" s="100">
        <f t="shared" si="0"/>
        <v>0.51334710637676828</v>
      </c>
      <c r="J19" s="101">
        <f t="shared" si="1"/>
        <v>5.6468181701444511</v>
      </c>
      <c r="K19" s="101"/>
      <c r="L19" s="101"/>
      <c r="M19" s="101"/>
      <c r="N19" s="101"/>
      <c r="O19" s="101">
        <f t="shared" si="2"/>
        <v>11.293636340288902</v>
      </c>
      <c r="Q19" s="283">
        <f t="shared" si="3"/>
        <v>0.28234090850722254</v>
      </c>
      <c r="R19" s="283">
        <f t="shared" si="4"/>
        <v>0.11293636340288903</v>
      </c>
      <c r="S19" s="283">
        <f t="shared" si="5"/>
        <v>0.11293636340288903</v>
      </c>
      <c r="T19" s="283">
        <f t="shared" si="6"/>
        <v>5.6468181701444513E-2</v>
      </c>
      <c r="U19" s="275">
        <f t="shared" si="7"/>
        <v>6.2114999871588958</v>
      </c>
    </row>
    <row r="20" spans="1:21" s="69" customFormat="1" ht="12.9" x14ac:dyDescent="0.5">
      <c r="A20" s="98" t="s">
        <v>1483</v>
      </c>
      <c r="B20" s="99" t="s">
        <v>10</v>
      </c>
      <c r="C20" s="98" t="s">
        <v>2056</v>
      </c>
      <c r="D20" s="98" t="s">
        <v>1467</v>
      </c>
      <c r="E20" s="98" t="s">
        <v>11</v>
      </c>
      <c r="F20" s="100">
        <v>3032</v>
      </c>
      <c r="G20" s="100">
        <v>10</v>
      </c>
      <c r="H20" s="100">
        <v>9.8122485742615737</v>
      </c>
      <c r="I20" s="100">
        <f t="shared" si="0"/>
        <v>0.98122485742615739</v>
      </c>
      <c r="J20" s="101">
        <f t="shared" si="1"/>
        <v>10.793473431687731</v>
      </c>
      <c r="K20" s="101"/>
      <c r="L20" s="101"/>
      <c r="M20" s="101"/>
      <c r="N20" s="101"/>
      <c r="O20" s="101">
        <f t="shared" si="2"/>
        <v>21.586946863375463</v>
      </c>
      <c r="Q20" s="283">
        <f t="shared" si="3"/>
        <v>0.53967367158438662</v>
      </c>
      <c r="R20" s="283">
        <f t="shared" si="4"/>
        <v>0.21586946863375464</v>
      </c>
      <c r="S20" s="283">
        <f t="shared" si="5"/>
        <v>0.21586946863375464</v>
      </c>
      <c r="T20" s="283">
        <f t="shared" si="6"/>
        <v>0.10793473431687732</v>
      </c>
      <c r="U20" s="275">
        <f t="shared" si="7"/>
        <v>11.872820774856507</v>
      </c>
    </row>
    <row r="21" spans="1:21" s="69" customFormat="1" ht="12.9" x14ac:dyDescent="0.5">
      <c r="A21" s="98" t="s">
        <v>1484</v>
      </c>
      <c r="B21" s="99" t="s">
        <v>10</v>
      </c>
      <c r="C21" s="98" t="s">
        <v>1476</v>
      </c>
      <c r="D21" s="98" t="s">
        <v>1467</v>
      </c>
      <c r="E21" s="98" t="s">
        <v>11</v>
      </c>
      <c r="F21" s="100">
        <v>6484</v>
      </c>
      <c r="G21" s="100">
        <v>10</v>
      </c>
      <c r="H21" s="100">
        <v>2.279805200997898</v>
      </c>
      <c r="I21" s="100">
        <f t="shared" si="0"/>
        <v>0.22798052009978981</v>
      </c>
      <c r="J21" s="101">
        <f t="shared" si="1"/>
        <v>2.5077857210976879</v>
      </c>
      <c r="K21" s="101"/>
      <c r="L21" s="101"/>
      <c r="M21" s="101"/>
      <c r="N21" s="101"/>
      <c r="O21" s="101">
        <f t="shared" si="2"/>
        <v>5.0155714421953759</v>
      </c>
      <c r="Q21" s="283">
        <f t="shared" si="3"/>
        <v>0.12538928605488439</v>
      </c>
      <c r="R21" s="283">
        <f t="shared" si="4"/>
        <v>5.0155714421953761E-2</v>
      </c>
      <c r="S21" s="283">
        <f t="shared" si="5"/>
        <v>5.0155714421953761E-2</v>
      </c>
      <c r="T21" s="283">
        <f t="shared" si="6"/>
        <v>2.507785721097688E-2</v>
      </c>
      <c r="U21" s="275">
        <f t="shared" si="7"/>
        <v>2.7585642932074568</v>
      </c>
    </row>
    <row r="22" spans="1:21" s="69" customFormat="1" ht="12.9" x14ac:dyDescent="0.5">
      <c r="A22" s="98" t="s">
        <v>1485</v>
      </c>
      <c r="B22" s="99" t="s">
        <v>10</v>
      </c>
      <c r="C22" s="98" t="s">
        <v>1477</v>
      </c>
      <c r="D22" s="98" t="s">
        <v>1467</v>
      </c>
      <c r="E22" s="98" t="s">
        <v>11</v>
      </c>
      <c r="F22" s="100">
        <v>5423</v>
      </c>
      <c r="G22" s="100">
        <v>10</v>
      </c>
      <c r="H22" s="100">
        <v>6.3520993634121332</v>
      </c>
      <c r="I22" s="100">
        <f t="shared" si="0"/>
        <v>0.63520993634121337</v>
      </c>
      <c r="J22" s="101">
        <f t="shared" si="1"/>
        <v>6.9873092997533464</v>
      </c>
      <c r="K22" s="101"/>
      <c r="L22" s="101"/>
      <c r="M22" s="101"/>
      <c r="N22" s="101"/>
      <c r="O22" s="101">
        <f t="shared" si="2"/>
        <v>13.974618599506693</v>
      </c>
      <c r="Q22" s="283">
        <f t="shared" si="3"/>
        <v>0.34936546498766735</v>
      </c>
      <c r="R22" s="283">
        <f t="shared" si="4"/>
        <v>0.13974618599506694</v>
      </c>
      <c r="S22" s="283">
        <f t="shared" si="5"/>
        <v>0.13974618599506694</v>
      </c>
      <c r="T22" s="283">
        <f t="shared" si="6"/>
        <v>6.987309299753347E-2</v>
      </c>
      <c r="U22" s="275">
        <f t="shared" si="7"/>
        <v>7.6860402297286816</v>
      </c>
    </row>
    <row r="23" spans="1:21" s="69" customFormat="1" ht="12.9" x14ac:dyDescent="0.5">
      <c r="A23" s="98" t="s">
        <v>1497</v>
      </c>
      <c r="B23" s="99" t="s">
        <v>10</v>
      </c>
      <c r="C23" s="98" t="s">
        <v>1487</v>
      </c>
      <c r="D23" s="98" t="s">
        <v>1486</v>
      </c>
      <c r="E23" s="98" t="s">
        <v>11</v>
      </c>
      <c r="F23" s="100">
        <v>5280.5</v>
      </c>
      <c r="G23" s="100">
        <v>10</v>
      </c>
      <c r="H23" s="100">
        <v>4.7405160894190699</v>
      </c>
      <c r="I23" s="100">
        <f t="shared" si="0"/>
        <v>0.47405160894190701</v>
      </c>
      <c r="J23" s="101">
        <f t="shared" si="1"/>
        <v>5.2145676983609768</v>
      </c>
      <c r="K23" s="101"/>
      <c r="L23" s="101"/>
      <c r="M23" s="101"/>
      <c r="N23" s="101"/>
      <c r="O23" s="101">
        <f t="shared" si="2"/>
        <v>10.429135396721954</v>
      </c>
      <c r="Q23" s="283">
        <f t="shared" si="3"/>
        <v>0.26072838491804884</v>
      </c>
      <c r="R23" s="283">
        <f t="shared" si="4"/>
        <v>0.10429135396721954</v>
      </c>
      <c r="S23" s="283">
        <f t="shared" si="5"/>
        <v>0.10429135396721954</v>
      </c>
      <c r="T23" s="283">
        <f t="shared" si="6"/>
        <v>5.2145676983609772E-2</v>
      </c>
      <c r="U23" s="275">
        <f t="shared" si="7"/>
        <v>5.7360244681970753</v>
      </c>
    </row>
    <row r="24" spans="1:21" s="69" customFormat="1" ht="12.9" x14ac:dyDescent="0.5">
      <c r="A24" s="98" t="s">
        <v>1498</v>
      </c>
      <c r="B24" s="99" t="s">
        <v>10</v>
      </c>
      <c r="C24" s="98" t="s">
        <v>1488</v>
      </c>
      <c r="D24" s="98" t="s">
        <v>1486</v>
      </c>
      <c r="E24" s="98" t="s">
        <v>11</v>
      </c>
      <c r="F24" s="100">
        <v>6936</v>
      </c>
      <c r="G24" s="100">
        <v>10</v>
      </c>
      <c r="H24" s="100">
        <v>10.402196253358671</v>
      </c>
      <c r="I24" s="100">
        <f t="shared" si="0"/>
        <v>1.0402196253358671</v>
      </c>
      <c r="J24" s="101">
        <f t="shared" si="1"/>
        <v>11.442415878694538</v>
      </c>
      <c r="K24" s="101"/>
      <c r="L24" s="101"/>
      <c r="M24" s="101"/>
      <c r="N24" s="101"/>
      <c r="O24" s="101">
        <f t="shared" si="2"/>
        <v>22.884831757389076</v>
      </c>
      <c r="Q24" s="283">
        <f t="shared" si="3"/>
        <v>0.57212079393472692</v>
      </c>
      <c r="R24" s="283">
        <f t="shared" si="4"/>
        <v>0.22884831757389076</v>
      </c>
      <c r="S24" s="283">
        <f t="shared" si="5"/>
        <v>0.22884831757389076</v>
      </c>
      <c r="T24" s="283">
        <f t="shared" si="6"/>
        <v>0.11442415878694538</v>
      </c>
      <c r="U24" s="275">
        <f t="shared" si="7"/>
        <v>12.586657466563992</v>
      </c>
    </row>
    <row r="25" spans="1:21" s="69" customFormat="1" ht="12.9" x14ac:dyDescent="0.5">
      <c r="A25" s="98" t="s">
        <v>1499</v>
      </c>
      <c r="B25" s="99" t="s">
        <v>10</v>
      </c>
      <c r="C25" s="98" t="s">
        <v>1489</v>
      </c>
      <c r="D25" s="98" t="s">
        <v>1486</v>
      </c>
      <c r="E25" s="98" t="s">
        <v>11</v>
      </c>
      <c r="F25" s="100">
        <v>6228</v>
      </c>
      <c r="G25" s="100">
        <v>15</v>
      </c>
      <c r="H25" s="100">
        <v>3.0299300418086994</v>
      </c>
      <c r="I25" s="100">
        <f t="shared" si="0"/>
        <v>0.30299300418086994</v>
      </c>
      <c r="J25" s="101">
        <f t="shared" si="1"/>
        <v>3.3329230459895696</v>
      </c>
      <c r="K25" s="101"/>
      <c r="L25" s="101"/>
      <c r="M25" s="101"/>
      <c r="N25" s="101"/>
      <c r="O25" s="101">
        <f t="shared" si="2"/>
        <v>6.6658460919791391</v>
      </c>
      <c r="Q25" s="283">
        <f t="shared" si="3"/>
        <v>0.16664615229947849</v>
      </c>
      <c r="R25" s="283">
        <f t="shared" si="4"/>
        <v>6.6658460919791399E-2</v>
      </c>
      <c r="S25" s="283">
        <f t="shared" si="5"/>
        <v>6.6658460919791399E-2</v>
      </c>
      <c r="T25" s="283">
        <f t="shared" si="6"/>
        <v>3.3329230459895699E-2</v>
      </c>
      <c r="U25" s="275">
        <f t="shared" si="7"/>
        <v>3.6662153505885269</v>
      </c>
    </row>
    <row r="26" spans="1:21" s="69" customFormat="1" ht="12.9" x14ac:dyDescent="0.5">
      <c r="A26" s="98" t="s">
        <v>1447</v>
      </c>
      <c r="B26" s="99" t="s">
        <v>10</v>
      </c>
      <c r="C26" s="98" t="s">
        <v>1442</v>
      </c>
      <c r="D26" s="98" t="s">
        <v>1432</v>
      </c>
      <c r="E26" s="98" t="s">
        <v>11</v>
      </c>
      <c r="F26" s="100">
        <v>5168</v>
      </c>
      <c r="G26" s="100">
        <v>10</v>
      </c>
      <c r="H26" s="100">
        <v>5.2972477739102022</v>
      </c>
      <c r="I26" s="100">
        <f t="shared" si="0"/>
        <v>0.5297247773910202</v>
      </c>
      <c r="J26" s="101">
        <f t="shared" si="1"/>
        <v>5.826972551301222</v>
      </c>
      <c r="K26" s="101"/>
      <c r="L26" s="101"/>
      <c r="M26" s="101"/>
      <c r="N26" s="101"/>
      <c r="O26" s="101">
        <f t="shared" si="2"/>
        <v>11.653945102602444</v>
      </c>
      <c r="Q26" s="283">
        <f t="shared" si="3"/>
        <v>0.29134862756506114</v>
      </c>
      <c r="R26" s="283">
        <f t="shared" si="4"/>
        <v>0.11653945102602445</v>
      </c>
      <c r="S26" s="283">
        <f t="shared" si="5"/>
        <v>0.11653945102602445</v>
      </c>
      <c r="T26" s="283">
        <f t="shared" si="6"/>
        <v>5.8269725513012224E-2</v>
      </c>
      <c r="U26" s="275">
        <f t="shared" si="7"/>
        <v>6.409669806431344</v>
      </c>
    </row>
    <row r="27" spans="1:21" s="69" customFormat="1" ht="12.9" x14ac:dyDescent="0.5">
      <c r="A27" s="98" t="s">
        <v>1500</v>
      </c>
      <c r="B27" s="99" t="s">
        <v>10</v>
      </c>
      <c r="C27" s="98" t="s">
        <v>1491</v>
      </c>
      <c r="D27" s="98" t="s">
        <v>1486</v>
      </c>
      <c r="E27" s="98" t="s">
        <v>11</v>
      </c>
      <c r="F27" s="100">
        <v>4178</v>
      </c>
      <c r="G27" s="100">
        <v>15</v>
      </c>
      <c r="H27" s="100">
        <v>4.7422159267329143</v>
      </c>
      <c r="I27" s="100">
        <f t="shared" si="0"/>
        <v>0.47422159267329145</v>
      </c>
      <c r="J27" s="101">
        <f t="shared" si="1"/>
        <v>5.216437519406206</v>
      </c>
      <c r="K27" s="101"/>
      <c r="L27" s="101"/>
      <c r="M27" s="101"/>
      <c r="N27" s="101"/>
      <c r="O27" s="101">
        <f t="shared" si="2"/>
        <v>10.432875038812412</v>
      </c>
      <c r="Q27" s="283">
        <f t="shared" si="3"/>
        <v>0.26082187597031031</v>
      </c>
      <c r="R27" s="283">
        <f t="shared" si="4"/>
        <v>0.10432875038812413</v>
      </c>
      <c r="S27" s="283">
        <f t="shared" si="5"/>
        <v>0.10432875038812413</v>
      </c>
      <c r="T27" s="283">
        <f t="shared" si="6"/>
        <v>5.2164375194062064E-2</v>
      </c>
      <c r="U27" s="275">
        <f t="shared" si="7"/>
        <v>5.7380812713468261</v>
      </c>
    </row>
    <row r="28" spans="1:21" s="69" customFormat="1" ht="12.9" x14ac:dyDescent="0.5">
      <c r="A28" s="98" t="s">
        <v>1501</v>
      </c>
      <c r="B28" s="99" t="s">
        <v>10</v>
      </c>
      <c r="C28" s="98" t="s">
        <v>1492</v>
      </c>
      <c r="D28" s="98" t="s">
        <v>1486</v>
      </c>
      <c r="E28" s="98" t="s">
        <v>11</v>
      </c>
      <c r="F28" s="100">
        <v>6288</v>
      </c>
      <c r="G28" s="100">
        <v>10</v>
      </c>
      <c r="H28" s="100">
        <v>5.4418015894700309</v>
      </c>
      <c r="I28" s="100">
        <f t="shared" si="0"/>
        <v>0.54418015894700311</v>
      </c>
      <c r="J28" s="101">
        <f t="shared" si="1"/>
        <v>5.9859817484170339</v>
      </c>
      <c r="K28" s="101"/>
      <c r="L28" s="101"/>
      <c r="M28" s="101"/>
      <c r="N28" s="101"/>
      <c r="O28" s="101">
        <f t="shared" si="2"/>
        <v>11.971963496834068</v>
      </c>
      <c r="Q28" s="283">
        <f t="shared" si="3"/>
        <v>0.29929908742085171</v>
      </c>
      <c r="R28" s="283">
        <f t="shared" si="4"/>
        <v>0.11971963496834068</v>
      </c>
      <c r="S28" s="283">
        <f t="shared" si="5"/>
        <v>0.11971963496834068</v>
      </c>
      <c r="T28" s="283">
        <f t="shared" si="6"/>
        <v>5.9859817484170338E-2</v>
      </c>
      <c r="U28" s="275">
        <f t="shared" si="7"/>
        <v>6.5845799232587376</v>
      </c>
    </row>
    <row r="29" spans="1:21" s="69" customFormat="1" ht="12.9" x14ac:dyDescent="0.5">
      <c r="A29" s="98" t="s">
        <v>1502</v>
      </c>
      <c r="B29" s="99" t="s">
        <v>10</v>
      </c>
      <c r="C29" s="98" t="s">
        <v>1493</v>
      </c>
      <c r="D29" s="98" t="s">
        <v>1486</v>
      </c>
      <c r="E29" s="98" t="s">
        <v>11</v>
      </c>
      <c r="F29" s="100">
        <v>1090</v>
      </c>
      <c r="G29" s="100">
        <v>10</v>
      </c>
      <c r="H29" s="100">
        <v>3.8628526619978873</v>
      </c>
      <c r="I29" s="100">
        <f t="shared" si="0"/>
        <v>0.38628526619978876</v>
      </c>
      <c r="J29" s="101">
        <f t="shared" si="1"/>
        <v>4.2491379281976762</v>
      </c>
      <c r="K29" s="101"/>
      <c r="L29" s="101"/>
      <c r="M29" s="101"/>
      <c r="N29" s="101"/>
      <c r="O29" s="101">
        <f t="shared" si="2"/>
        <v>8.4982758563953524</v>
      </c>
      <c r="Q29" s="283">
        <f t="shared" si="3"/>
        <v>0.21245689640988383</v>
      </c>
      <c r="R29" s="283">
        <f t="shared" si="4"/>
        <v>8.4982758563953528E-2</v>
      </c>
      <c r="S29" s="283">
        <f t="shared" si="5"/>
        <v>8.4982758563953528E-2</v>
      </c>
      <c r="T29" s="283">
        <f t="shared" si="6"/>
        <v>4.2491379281976764E-2</v>
      </c>
      <c r="U29" s="275">
        <f t="shared" si="7"/>
        <v>4.6740517210174426</v>
      </c>
    </row>
    <row r="30" spans="1:21" s="69" customFormat="1" ht="12.9" x14ac:dyDescent="0.5">
      <c r="A30" s="98" t="s">
        <v>1503</v>
      </c>
      <c r="B30" s="99" t="s">
        <v>10</v>
      </c>
      <c r="C30" s="98" t="s">
        <v>1494</v>
      </c>
      <c r="D30" s="98" t="s">
        <v>1486</v>
      </c>
      <c r="E30" s="98" t="s">
        <v>11</v>
      </c>
      <c r="F30" s="100">
        <v>6241</v>
      </c>
      <c r="G30" s="100">
        <v>10</v>
      </c>
      <c r="H30" s="100">
        <v>5.2953620486414961</v>
      </c>
      <c r="I30" s="100">
        <f t="shared" si="0"/>
        <v>0.52953620486414965</v>
      </c>
      <c r="J30" s="101">
        <f t="shared" si="1"/>
        <v>5.8248982535056459</v>
      </c>
      <c r="K30" s="101"/>
      <c r="L30" s="101"/>
      <c r="M30" s="101"/>
      <c r="N30" s="101"/>
      <c r="O30" s="101">
        <f t="shared" si="2"/>
        <v>11.649796507011292</v>
      </c>
      <c r="Q30" s="283">
        <f t="shared" si="3"/>
        <v>0.2912449126752823</v>
      </c>
      <c r="R30" s="283">
        <f t="shared" si="4"/>
        <v>0.11649796507011292</v>
      </c>
      <c r="S30" s="283">
        <f t="shared" si="5"/>
        <v>0.11649796507011292</v>
      </c>
      <c r="T30" s="283">
        <f t="shared" si="6"/>
        <v>5.8248982535056462E-2</v>
      </c>
      <c r="U30" s="275">
        <f t="shared" si="7"/>
        <v>6.4073880788562096</v>
      </c>
    </row>
    <row r="31" spans="1:21" s="69" customFormat="1" ht="12.9" x14ac:dyDescent="0.5">
      <c r="A31" s="98" t="s">
        <v>1504</v>
      </c>
      <c r="B31" s="99" t="s">
        <v>10</v>
      </c>
      <c r="C31" s="98" t="s">
        <v>1495</v>
      </c>
      <c r="D31" s="98" t="s">
        <v>1486</v>
      </c>
      <c r="E31" s="98" t="s">
        <v>11</v>
      </c>
      <c r="F31" s="100">
        <v>5820</v>
      </c>
      <c r="G31" s="100">
        <v>10</v>
      </c>
      <c r="H31" s="100">
        <v>5.7481761103085898</v>
      </c>
      <c r="I31" s="100">
        <f t="shared" si="0"/>
        <v>0.57481761103085904</v>
      </c>
      <c r="J31" s="101">
        <f t="shared" si="1"/>
        <v>6.3229937213394489</v>
      </c>
      <c r="K31" s="101"/>
      <c r="L31" s="101"/>
      <c r="M31" s="101"/>
      <c r="N31" s="101"/>
      <c r="O31" s="101">
        <f t="shared" si="2"/>
        <v>12.645987442678898</v>
      </c>
      <c r="Q31" s="283">
        <f t="shared" si="3"/>
        <v>0.31614968606697247</v>
      </c>
      <c r="R31" s="283">
        <f t="shared" si="4"/>
        <v>0.12645987442678899</v>
      </c>
      <c r="S31" s="283">
        <f t="shared" si="5"/>
        <v>0.12645987442678899</v>
      </c>
      <c r="T31" s="283">
        <f t="shared" si="6"/>
        <v>6.3229937213394496E-2</v>
      </c>
      <c r="U31" s="275">
        <f t="shared" si="7"/>
        <v>6.9552930934733945</v>
      </c>
    </row>
    <row r="32" spans="1:21" s="69" customFormat="1" ht="12.9" x14ac:dyDescent="0.5">
      <c r="A32" s="98" t="s">
        <v>1505</v>
      </c>
      <c r="B32" s="99" t="s">
        <v>10</v>
      </c>
      <c r="C32" s="98" t="s">
        <v>1496</v>
      </c>
      <c r="D32" s="98" t="s">
        <v>1486</v>
      </c>
      <c r="E32" s="98" t="s">
        <v>11</v>
      </c>
      <c r="F32" s="100">
        <v>6550</v>
      </c>
      <c r="G32" s="100">
        <v>10</v>
      </c>
      <c r="H32" s="100">
        <v>2.3554510382853269</v>
      </c>
      <c r="I32" s="100">
        <f t="shared" si="0"/>
        <v>0.23554510382853269</v>
      </c>
      <c r="J32" s="101">
        <f t="shared" si="1"/>
        <v>2.5909961421138594</v>
      </c>
      <c r="K32" s="101"/>
      <c r="L32" s="101"/>
      <c r="M32" s="101"/>
      <c r="N32" s="101"/>
      <c r="O32" s="101">
        <f t="shared" si="2"/>
        <v>5.1819922842277188</v>
      </c>
      <c r="Q32" s="283">
        <f t="shared" si="3"/>
        <v>0.12954980710569297</v>
      </c>
      <c r="R32" s="283">
        <f t="shared" si="4"/>
        <v>5.181992284227719E-2</v>
      </c>
      <c r="S32" s="283">
        <f t="shared" si="5"/>
        <v>5.181992284227719E-2</v>
      </c>
      <c r="T32" s="283">
        <f t="shared" si="6"/>
        <v>2.5909961421138595E-2</v>
      </c>
      <c r="U32" s="275">
        <f t="shared" si="7"/>
        <v>2.8500957563252456</v>
      </c>
    </row>
    <row r="33" spans="1:21" s="69" customFormat="1" ht="12.9" x14ac:dyDescent="0.5">
      <c r="A33" s="98" t="s">
        <v>1506</v>
      </c>
      <c r="B33" s="99" t="s">
        <v>10</v>
      </c>
      <c r="C33" s="98" t="s">
        <v>1508</v>
      </c>
      <c r="D33" s="98" t="s">
        <v>1507</v>
      </c>
      <c r="E33" s="98" t="s">
        <v>11</v>
      </c>
      <c r="F33" s="100">
        <v>6360</v>
      </c>
      <c r="G33" s="100">
        <v>10</v>
      </c>
      <c r="H33" s="100">
        <v>5.4906827885204557</v>
      </c>
      <c r="I33" s="100">
        <f t="shared" si="0"/>
        <v>0.54906827885204557</v>
      </c>
      <c r="J33" s="101">
        <f t="shared" si="1"/>
        <v>6.0397510673725012</v>
      </c>
      <c r="K33" s="101"/>
      <c r="L33" s="101"/>
      <c r="M33" s="101"/>
      <c r="N33" s="101"/>
      <c r="O33" s="101">
        <f t="shared" si="2"/>
        <v>12.079502134745002</v>
      </c>
      <c r="Q33" s="283">
        <f t="shared" si="3"/>
        <v>0.30198755336862509</v>
      </c>
      <c r="R33" s="283">
        <f t="shared" si="4"/>
        <v>0.12079502134745003</v>
      </c>
      <c r="S33" s="283">
        <f t="shared" si="5"/>
        <v>0.12079502134745003</v>
      </c>
      <c r="T33" s="283">
        <f t="shared" si="6"/>
        <v>6.0397510673725015E-2</v>
      </c>
      <c r="U33" s="275">
        <f t="shared" si="7"/>
        <v>6.6437261741097515</v>
      </c>
    </row>
    <row r="34" spans="1:21" s="69" customFormat="1" ht="12.9" x14ac:dyDescent="0.5">
      <c r="A34" s="98" t="s">
        <v>1516</v>
      </c>
      <c r="B34" s="99" t="s">
        <v>10</v>
      </c>
      <c r="C34" s="98" t="s">
        <v>1509</v>
      </c>
      <c r="D34" s="98" t="s">
        <v>1507</v>
      </c>
      <c r="E34" s="98" t="s">
        <v>11</v>
      </c>
      <c r="F34" s="100">
        <v>6966</v>
      </c>
      <c r="G34" s="100">
        <v>10</v>
      </c>
      <c r="H34" s="100">
        <v>10.630377828930554</v>
      </c>
      <c r="I34" s="100">
        <f t="shared" si="0"/>
        <v>1.0630377828930555</v>
      </c>
      <c r="J34" s="101">
        <f t="shared" si="1"/>
        <v>11.693415611823609</v>
      </c>
      <c r="K34" s="101"/>
      <c r="L34" s="101"/>
      <c r="M34" s="101"/>
      <c r="N34" s="101"/>
      <c r="O34" s="101">
        <f t="shared" si="2"/>
        <v>23.386831223647217</v>
      </c>
      <c r="Q34" s="283">
        <f t="shared" si="3"/>
        <v>0.58467078059118049</v>
      </c>
      <c r="R34" s="283">
        <f t="shared" si="4"/>
        <v>0.23386831223647217</v>
      </c>
      <c r="S34" s="283">
        <f t="shared" si="5"/>
        <v>0.23386831223647217</v>
      </c>
      <c r="T34" s="283">
        <f t="shared" si="6"/>
        <v>0.11693415611823609</v>
      </c>
      <c r="U34" s="275">
        <f t="shared" si="7"/>
        <v>12.862757173005969</v>
      </c>
    </row>
    <row r="35" spans="1:21" s="69" customFormat="1" ht="12.9" x14ac:dyDescent="0.5">
      <c r="A35" s="98" t="s">
        <v>1517</v>
      </c>
      <c r="B35" s="99" t="s">
        <v>10</v>
      </c>
      <c r="C35" s="98" t="s">
        <v>1510</v>
      </c>
      <c r="D35" s="98" t="s">
        <v>1507</v>
      </c>
      <c r="E35" s="98" t="s">
        <v>11</v>
      </c>
      <c r="F35" s="100">
        <v>4615</v>
      </c>
      <c r="G35" s="100">
        <v>10</v>
      </c>
      <c r="H35" s="100">
        <v>10.137595141424878</v>
      </c>
      <c r="I35" s="100">
        <f t="shared" si="0"/>
        <v>1.0137595141424878</v>
      </c>
      <c r="J35" s="101">
        <f t="shared" si="1"/>
        <v>11.151354655567365</v>
      </c>
      <c r="K35" s="101"/>
      <c r="L35" s="101"/>
      <c r="M35" s="101"/>
      <c r="N35" s="101"/>
      <c r="O35" s="101">
        <f t="shared" si="2"/>
        <v>22.302709311134731</v>
      </c>
      <c r="Q35" s="283">
        <f t="shared" si="3"/>
        <v>0.55756773277836824</v>
      </c>
      <c r="R35" s="283">
        <f t="shared" si="4"/>
        <v>0.2230270931113473</v>
      </c>
      <c r="S35" s="283">
        <f t="shared" si="5"/>
        <v>0.2230270931113473</v>
      </c>
      <c r="T35" s="283">
        <f t="shared" si="6"/>
        <v>0.11151354655567365</v>
      </c>
      <c r="U35" s="275">
        <f t="shared" si="7"/>
        <v>12.266490121124104</v>
      </c>
    </row>
    <row r="36" spans="1:21" s="69" customFormat="1" ht="12.9" x14ac:dyDescent="0.5">
      <c r="A36" s="98" t="s">
        <v>1518</v>
      </c>
      <c r="B36" s="99" t="s">
        <v>10</v>
      </c>
      <c r="C36" s="98" t="s">
        <v>20</v>
      </c>
      <c r="D36" s="98" t="s">
        <v>1507</v>
      </c>
      <c r="E36" s="98" t="s">
        <v>11</v>
      </c>
      <c r="F36" s="100">
        <v>2665</v>
      </c>
      <c r="G36" s="100">
        <v>10</v>
      </c>
      <c r="H36" s="100">
        <v>5.6995432156376538</v>
      </c>
      <c r="I36" s="100">
        <f t="shared" si="0"/>
        <v>0.56995432156376535</v>
      </c>
      <c r="J36" s="101">
        <f t="shared" si="1"/>
        <v>6.2694975372014188</v>
      </c>
      <c r="K36" s="101"/>
      <c r="L36" s="101"/>
      <c r="M36" s="101"/>
      <c r="N36" s="101"/>
      <c r="O36" s="101">
        <f t="shared" si="2"/>
        <v>12.538995074402838</v>
      </c>
      <c r="Q36" s="283">
        <f t="shared" si="3"/>
        <v>0.31347487686007097</v>
      </c>
      <c r="R36" s="283">
        <f t="shared" si="4"/>
        <v>0.12538995074402837</v>
      </c>
      <c r="S36" s="283">
        <f t="shared" si="5"/>
        <v>0.12538995074402837</v>
      </c>
      <c r="T36" s="283">
        <f t="shared" si="6"/>
        <v>6.2694975372014183E-2</v>
      </c>
      <c r="U36" s="275">
        <f t="shared" si="7"/>
        <v>6.8964472909215608</v>
      </c>
    </row>
    <row r="37" spans="1:21" s="69" customFormat="1" ht="12.9" x14ac:dyDescent="0.5">
      <c r="A37" s="98" t="s">
        <v>14</v>
      </c>
      <c r="B37" s="99" t="s">
        <v>10</v>
      </c>
      <c r="C37" s="98" t="s">
        <v>1443</v>
      </c>
      <c r="D37" s="98" t="s">
        <v>1432</v>
      </c>
      <c r="E37" s="98" t="s">
        <v>11</v>
      </c>
      <c r="F37" s="100">
        <v>6488</v>
      </c>
      <c r="G37" s="100">
        <v>10</v>
      </c>
      <c r="H37" s="100">
        <v>5.4434015894700307</v>
      </c>
      <c r="I37" s="100">
        <f t="shared" si="0"/>
        <v>0.54434015894700305</v>
      </c>
      <c r="J37" s="101">
        <f t="shared" si="1"/>
        <v>5.9877417484170339</v>
      </c>
      <c r="K37" s="101"/>
      <c r="L37" s="101"/>
      <c r="M37" s="101"/>
      <c r="N37" s="101"/>
      <c r="O37" s="101">
        <f t="shared" si="2"/>
        <v>11.975483496834068</v>
      </c>
      <c r="Q37" s="283">
        <f t="shared" si="3"/>
        <v>0.29938708742085168</v>
      </c>
      <c r="R37" s="283">
        <f t="shared" si="4"/>
        <v>0.11975483496834068</v>
      </c>
      <c r="S37" s="283">
        <f t="shared" si="5"/>
        <v>0.11975483496834068</v>
      </c>
      <c r="T37" s="283">
        <f t="shared" si="6"/>
        <v>5.9877417484170338E-2</v>
      </c>
      <c r="U37" s="275">
        <f t="shared" si="7"/>
        <v>6.5865159232587374</v>
      </c>
    </row>
    <row r="38" spans="1:21" s="69" customFormat="1" ht="12.9" x14ac:dyDescent="0.5">
      <c r="A38" s="98" t="s">
        <v>1519</v>
      </c>
      <c r="B38" s="99" t="s">
        <v>10</v>
      </c>
      <c r="C38" s="98" t="s">
        <v>1511</v>
      </c>
      <c r="D38" s="98" t="s">
        <v>1507</v>
      </c>
      <c r="E38" s="98" t="s">
        <v>11</v>
      </c>
      <c r="F38" s="100">
        <v>8554.5</v>
      </c>
      <c r="G38" s="100">
        <v>15</v>
      </c>
      <c r="H38" s="100">
        <v>5.929589645186172</v>
      </c>
      <c r="I38" s="100">
        <f t="shared" si="0"/>
        <v>0.59295896451861718</v>
      </c>
      <c r="J38" s="101">
        <f t="shared" si="1"/>
        <v>6.5225486097047893</v>
      </c>
      <c r="K38" s="101"/>
      <c r="L38" s="101"/>
      <c r="M38" s="101"/>
      <c r="N38" s="101"/>
      <c r="O38" s="101">
        <f t="shared" si="2"/>
        <v>13.045097219409579</v>
      </c>
      <c r="Q38" s="283">
        <f t="shared" si="3"/>
        <v>0.32612743048523951</v>
      </c>
      <c r="R38" s="283">
        <f t="shared" si="4"/>
        <v>0.13045097219409579</v>
      </c>
      <c r="S38" s="283">
        <f t="shared" si="5"/>
        <v>0.13045097219409579</v>
      </c>
      <c r="T38" s="283">
        <f t="shared" si="6"/>
        <v>6.5225486097047897E-2</v>
      </c>
      <c r="U38" s="275">
        <f t="shared" si="7"/>
        <v>7.1748034706752675</v>
      </c>
    </row>
    <row r="39" spans="1:21" s="69" customFormat="1" ht="12.9" x14ac:dyDescent="0.5">
      <c r="A39" s="98" t="s">
        <v>1520</v>
      </c>
      <c r="B39" s="99" t="s">
        <v>10</v>
      </c>
      <c r="C39" s="98" t="s">
        <v>1512</v>
      </c>
      <c r="D39" s="98" t="s">
        <v>1507</v>
      </c>
      <c r="E39" s="98" t="s">
        <v>11</v>
      </c>
      <c r="F39" s="100">
        <v>5583</v>
      </c>
      <c r="G39" s="100">
        <v>10</v>
      </c>
      <c r="H39" s="100">
        <v>3.6718040030501093</v>
      </c>
      <c r="I39" s="100">
        <f t="shared" si="0"/>
        <v>0.36718040030501098</v>
      </c>
      <c r="J39" s="101">
        <f t="shared" si="1"/>
        <v>4.0389844033551201</v>
      </c>
      <c r="K39" s="101"/>
      <c r="L39" s="101"/>
      <c r="M39" s="101"/>
      <c r="N39" s="101"/>
      <c r="O39" s="101">
        <f t="shared" si="2"/>
        <v>8.0779688067102402</v>
      </c>
      <c r="Q39" s="283">
        <f t="shared" si="3"/>
        <v>0.20194922016775602</v>
      </c>
      <c r="R39" s="283">
        <f t="shared" si="4"/>
        <v>8.0779688067102409E-2</v>
      </c>
      <c r="S39" s="283">
        <f t="shared" si="5"/>
        <v>8.0779688067102409E-2</v>
      </c>
      <c r="T39" s="283">
        <f t="shared" si="6"/>
        <v>4.0389844033551205E-2</v>
      </c>
      <c r="U39" s="275">
        <f t="shared" si="7"/>
        <v>4.442882843690632</v>
      </c>
    </row>
    <row r="40" spans="1:21" s="69" customFormat="1" ht="12.9" x14ac:dyDescent="0.5">
      <c r="A40" s="98" t="s">
        <v>1521</v>
      </c>
      <c r="B40" s="99" t="s">
        <v>10</v>
      </c>
      <c r="C40" s="98" t="s">
        <v>1513</v>
      </c>
      <c r="D40" s="98" t="s">
        <v>1507</v>
      </c>
      <c r="E40" s="98" t="s">
        <v>11</v>
      </c>
      <c r="F40" s="100">
        <v>2934</v>
      </c>
      <c r="G40" s="100">
        <v>10</v>
      </c>
      <c r="H40" s="100">
        <v>2.1605546467709891</v>
      </c>
      <c r="I40" s="100">
        <f t="shared" si="0"/>
        <v>0.21605546467709891</v>
      </c>
      <c r="J40" s="101">
        <f t="shared" si="1"/>
        <v>2.376610111448088</v>
      </c>
      <c r="K40" s="101"/>
      <c r="L40" s="101"/>
      <c r="M40" s="101"/>
      <c r="N40" s="101"/>
      <c r="O40" s="101">
        <f t="shared" si="2"/>
        <v>4.753220222896176</v>
      </c>
      <c r="Q40" s="283">
        <f t="shared" si="3"/>
        <v>0.1188305055724044</v>
      </c>
      <c r="R40" s="283">
        <f t="shared" si="4"/>
        <v>4.7532202228961762E-2</v>
      </c>
      <c r="S40" s="283">
        <f t="shared" si="5"/>
        <v>4.7532202228961762E-2</v>
      </c>
      <c r="T40" s="283">
        <f t="shared" si="6"/>
        <v>2.3766101114480881E-2</v>
      </c>
      <c r="U40" s="275">
        <f t="shared" si="7"/>
        <v>2.6142711225928972</v>
      </c>
    </row>
    <row r="41" spans="1:21" s="69" customFormat="1" ht="12.9" x14ac:dyDescent="0.5">
      <c r="A41" s="98" t="s">
        <v>1522</v>
      </c>
      <c r="B41" s="99" t="s">
        <v>10</v>
      </c>
      <c r="C41" s="98" t="s">
        <v>1514</v>
      </c>
      <c r="D41" s="98" t="s">
        <v>1507</v>
      </c>
      <c r="E41" s="98" t="s">
        <v>11</v>
      </c>
      <c r="F41" s="100">
        <v>6487</v>
      </c>
      <c r="G41" s="100">
        <v>10</v>
      </c>
      <c r="H41" s="100">
        <v>7.788986181139121</v>
      </c>
      <c r="I41" s="100">
        <f t="shared" si="0"/>
        <v>0.77889861811391214</v>
      </c>
      <c r="J41" s="101">
        <f t="shared" si="1"/>
        <v>8.5678847992530329</v>
      </c>
      <c r="K41" s="101"/>
      <c r="L41" s="101"/>
      <c r="M41" s="101"/>
      <c r="N41" s="101"/>
      <c r="O41" s="101">
        <f t="shared" si="2"/>
        <v>17.135769598506066</v>
      </c>
      <c r="Q41" s="283">
        <f t="shared" si="3"/>
        <v>0.42839423996265169</v>
      </c>
      <c r="R41" s="283">
        <f t="shared" si="4"/>
        <v>0.17135769598506065</v>
      </c>
      <c r="S41" s="283">
        <f t="shared" si="5"/>
        <v>0.17135769598506065</v>
      </c>
      <c r="T41" s="283">
        <f t="shared" si="6"/>
        <v>8.5678847992530324E-2</v>
      </c>
      <c r="U41" s="275">
        <f t="shared" si="7"/>
        <v>9.4246732791783359</v>
      </c>
    </row>
    <row r="42" spans="1:21" s="69" customFormat="1" ht="12.9" x14ac:dyDescent="0.5">
      <c r="A42" s="285" t="s">
        <v>1523</v>
      </c>
      <c r="B42" s="286" t="s">
        <v>10</v>
      </c>
      <c r="C42" s="285" t="s">
        <v>1515</v>
      </c>
      <c r="D42" s="285" t="s">
        <v>1507</v>
      </c>
      <c r="E42" s="285" t="s">
        <v>11</v>
      </c>
      <c r="F42" s="100">
        <v>4900.5</v>
      </c>
      <c r="G42" s="100">
        <v>10</v>
      </c>
      <c r="H42" s="100">
        <v>5.747575616675392</v>
      </c>
      <c r="I42" s="100">
        <f t="shared" si="0"/>
        <v>0.57475756166753922</v>
      </c>
      <c r="J42" s="101">
        <f t="shared" si="1"/>
        <v>6.3223331783429311</v>
      </c>
      <c r="K42" s="285"/>
      <c r="L42" s="285"/>
      <c r="M42" s="285"/>
      <c r="N42" s="285"/>
      <c r="O42" s="101">
        <f t="shared" si="2"/>
        <v>12.644666356685862</v>
      </c>
      <c r="Q42" s="283">
        <f t="shared" si="3"/>
        <v>0.31611665891714658</v>
      </c>
      <c r="R42" s="283">
        <f t="shared" si="4"/>
        <v>0.12644666356685863</v>
      </c>
      <c r="S42" s="283">
        <f t="shared" si="5"/>
        <v>0.12644666356685863</v>
      </c>
      <c r="T42" s="283">
        <f t="shared" si="6"/>
        <v>6.3223331783429315E-2</v>
      </c>
      <c r="U42" s="275">
        <f t="shared" si="7"/>
        <v>6.9545664961772244</v>
      </c>
    </row>
    <row r="43" spans="1:21" s="69" customFormat="1" ht="12.9" x14ac:dyDescent="0.5">
      <c r="A43" s="285" t="s">
        <v>1529</v>
      </c>
      <c r="B43" s="286" t="s">
        <v>10</v>
      </c>
      <c r="C43" s="285" t="s">
        <v>1528</v>
      </c>
      <c r="D43" s="285" t="s">
        <v>1535</v>
      </c>
      <c r="E43" s="285" t="s">
        <v>11</v>
      </c>
      <c r="F43" s="100">
        <v>6480</v>
      </c>
      <c r="G43" s="100">
        <v>10</v>
      </c>
      <c r="H43" s="100">
        <v>9.5916758903843036</v>
      </c>
      <c r="I43" s="100">
        <f t="shared" si="0"/>
        <v>0.95916758903843036</v>
      </c>
      <c r="J43" s="101">
        <f t="shared" si="1"/>
        <v>10.550843479422735</v>
      </c>
      <c r="K43" s="285"/>
      <c r="L43" s="285"/>
      <c r="M43" s="285"/>
      <c r="N43" s="285"/>
      <c r="O43" s="101">
        <f t="shared" si="2"/>
        <v>21.10168695884547</v>
      </c>
      <c r="Q43" s="283">
        <f t="shared" si="3"/>
        <v>0.52754217397113679</v>
      </c>
      <c r="R43" s="283">
        <f t="shared" si="4"/>
        <v>0.2110168695884547</v>
      </c>
      <c r="S43" s="283">
        <f t="shared" si="5"/>
        <v>0.2110168695884547</v>
      </c>
      <c r="T43" s="283">
        <f t="shared" si="6"/>
        <v>0.10550843479422735</v>
      </c>
      <c r="U43" s="275">
        <f t="shared" si="7"/>
        <v>11.60592782736501</v>
      </c>
    </row>
    <row r="44" spans="1:21" s="69" customFormat="1" ht="12.9" x14ac:dyDescent="0.5">
      <c r="A44" s="285" t="s">
        <v>1530</v>
      </c>
      <c r="B44" s="286" t="s">
        <v>10</v>
      </c>
      <c r="C44" s="285" t="s">
        <v>1524</v>
      </c>
      <c r="D44" s="285" t="s">
        <v>1535</v>
      </c>
      <c r="E44" s="285" t="s">
        <v>11</v>
      </c>
      <c r="F44" s="100">
        <v>5675</v>
      </c>
      <c r="G44" s="100">
        <v>10</v>
      </c>
      <c r="H44" s="100">
        <v>5.0993872187570481</v>
      </c>
      <c r="I44" s="100">
        <f t="shared" si="0"/>
        <v>0.50993872187570488</v>
      </c>
      <c r="J44" s="101">
        <f t="shared" si="1"/>
        <v>5.6093259406327531</v>
      </c>
      <c r="K44" s="285"/>
      <c r="L44" s="285"/>
      <c r="M44" s="285"/>
      <c r="N44" s="285"/>
      <c r="O44" s="101">
        <f t="shared" si="2"/>
        <v>11.218651881265506</v>
      </c>
      <c r="Q44" s="283">
        <f t="shared" si="3"/>
        <v>0.28046629703163767</v>
      </c>
      <c r="R44" s="283">
        <f t="shared" si="4"/>
        <v>0.11218651881265507</v>
      </c>
      <c r="S44" s="283">
        <f t="shared" si="5"/>
        <v>0.11218651881265507</v>
      </c>
      <c r="T44" s="283">
        <f t="shared" si="6"/>
        <v>5.6093259406327534E-2</v>
      </c>
      <c r="U44" s="275">
        <f t="shared" si="7"/>
        <v>6.1702585346960293</v>
      </c>
    </row>
    <row r="45" spans="1:21" s="69" customFormat="1" ht="12.9" x14ac:dyDescent="0.5">
      <c r="A45" s="285" t="s">
        <v>1531</v>
      </c>
      <c r="B45" s="286" t="s">
        <v>10</v>
      </c>
      <c r="C45" s="285" t="s">
        <v>1525</v>
      </c>
      <c r="D45" s="285" t="s">
        <v>1535</v>
      </c>
      <c r="E45" s="285" t="s">
        <v>11</v>
      </c>
      <c r="F45" s="100">
        <v>2962</v>
      </c>
      <c r="G45" s="100">
        <v>10</v>
      </c>
      <c r="H45" s="100">
        <v>5.3968785597206415</v>
      </c>
      <c r="I45" s="100">
        <f t="shared" si="0"/>
        <v>0.53968785597206415</v>
      </c>
      <c r="J45" s="101">
        <f t="shared" si="1"/>
        <v>5.936566415692706</v>
      </c>
      <c r="K45" s="285"/>
      <c r="L45" s="285"/>
      <c r="M45" s="285"/>
      <c r="N45" s="285"/>
      <c r="O45" s="101">
        <f t="shared" si="2"/>
        <v>11.873132831385412</v>
      </c>
      <c r="Q45" s="283">
        <f t="shared" si="3"/>
        <v>0.29682832078463534</v>
      </c>
      <c r="R45" s="283">
        <f t="shared" si="4"/>
        <v>0.11873132831385412</v>
      </c>
      <c r="S45" s="283">
        <f t="shared" si="5"/>
        <v>0.11873132831385412</v>
      </c>
      <c r="T45" s="283">
        <f t="shared" si="6"/>
        <v>5.936566415692706E-2</v>
      </c>
      <c r="U45" s="275">
        <f t="shared" si="7"/>
        <v>6.5302230572619759</v>
      </c>
    </row>
    <row r="46" spans="1:21" s="69" customFormat="1" ht="12.9" x14ac:dyDescent="0.5">
      <c r="A46" s="285" t="s">
        <v>1532</v>
      </c>
      <c r="B46" s="286" t="s">
        <v>10</v>
      </c>
      <c r="C46" s="285" t="s">
        <v>1526</v>
      </c>
      <c r="D46" s="285" t="s">
        <v>1535</v>
      </c>
      <c r="E46" s="285" t="s">
        <v>11</v>
      </c>
      <c r="F46" s="100">
        <v>5275</v>
      </c>
      <c r="G46" s="100">
        <v>15</v>
      </c>
      <c r="H46" s="100">
        <v>3.6846351984520695</v>
      </c>
      <c r="I46" s="100">
        <f t="shared" si="0"/>
        <v>0.36846351984520698</v>
      </c>
      <c r="J46" s="101">
        <f t="shared" si="1"/>
        <v>4.0530987182972762</v>
      </c>
      <c r="K46" s="285"/>
      <c r="L46" s="285"/>
      <c r="M46" s="285"/>
      <c r="N46" s="285"/>
      <c r="O46" s="101">
        <f t="shared" si="2"/>
        <v>8.1061974365945524</v>
      </c>
      <c r="Q46" s="283">
        <f t="shared" si="3"/>
        <v>0.20265493591486383</v>
      </c>
      <c r="R46" s="283">
        <f t="shared" si="4"/>
        <v>8.1061974365945519E-2</v>
      </c>
      <c r="S46" s="283">
        <f t="shared" si="5"/>
        <v>8.1061974365945519E-2</v>
      </c>
      <c r="T46" s="283">
        <f t="shared" si="6"/>
        <v>4.0530987182972759E-2</v>
      </c>
      <c r="U46" s="275">
        <f t="shared" si="7"/>
        <v>4.4584085901270036</v>
      </c>
    </row>
    <row r="47" spans="1:21" s="69" customFormat="1" ht="12.9" x14ac:dyDescent="0.5">
      <c r="A47" s="285" t="s">
        <v>1533</v>
      </c>
      <c r="B47" s="286" t="s">
        <v>10</v>
      </c>
      <c r="C47" s="285" t="s">
        <v>1791</v>
      </c>
      <c r="D47" s="285" t="s">
        <v>1535</v>
      </c>
      <c r="E47" s="285" t="s">
        <v>11</v>
      </c>
      <c r="F47" s="100">
        <v>6474</v>
      </c>
      <c r="G47" s="100">
        <v>10</v>
      </c>
      <c r="H47" s="100">
        <v>6.1121085439773015</v>
      </c>
      <c r="I47" s="100">
        <f t="shared" si="0"/>
        <v>0.61121085439773015</v>
      </c>
      <c r="J47" s="101">
        <f t="shared" si="1"/>
        <v>6.7233193983750317</v>
      </c>
      <c r="K47" s="285"/>
      <c r="L47" s="285"/>
      <c r="M47" s="285"/>
      <c r="N47" s="285"/>
      <c r="O47" s="101">
        <f t="shared" si="2"/>
        <v>13.446638796750063</v>
      </c>
      <c r="Q47" s="283">
        <f t="shared" si="3"/>
        <v>0.33616596991875158</v>
      </c>
      <c r="R47" s="283">
        <f t="shared" si="4"/>
        <v>0.13446638796750063</v>
      </c>
      <c r="S47" s="283">
        <f t="shared" si="5"/>
        <v>0.13446638796750063</v>
      </c>
      <c r="T47" s="283">
        <f t="shared" si="6"/>
        <v>6.7233193983750314E-2</v>
      </c>
      <c r="U47" s="275">
        <f t="shared" si="7"/>
        <v>7.3956513382125353</v>
      </c>
    </row>
    <row r="48" spans="1:21" s="69" customFormat="1" ht="12.9" x14ac:dyDescent="0.5">
      <c r="A48" s="285" t="s">
        <v>15</v>
      </c>
      <c r="B48" s="286" t="s">
        <v>10</v>
      </c>
      <c r="C48" s="285" t="s">
        <v>1411</v>
      </c>
      <c r="D48" s="285" t="s">
        <v>1432</v>
      </c>
      <c r="E48" s="285" t="s">
        <v>11</v>
      </c>
      <c r="F48" s="100">
        <v>6047</v>
      </c>
      <c r="G48" s="100">
        <v>15</v>
      </c>
      <c r="H48" s="100">
        <v>3.5361652688556293</v>
      </c>
      <c r="I48" s="100">
        <f t="shared" si="0"/>
        <v>0.35361652688556294</v>
      </c>
      <c r="J48" s="101">
        <f t="shared" si="1"/>
        <v>3.8897817957411922</v>
      </c>
      <c r="K48" s="285"/>
      <c r="L48" s="285"/>
      <c r="M48" s="285"/>
      <c r="N48" s="285"/>
      <c r="O48" s="101">
        <f t="shared" si="2"/>
        <v>7.7795635914823844</v>
      </c>
      <c r="Q48" s="283">
        <f t="shared" si="3"/>
        <v>0.19448908978705962</v>
      </c>
      <c r="R48" s="283">
        <f t="shared" si="4"/>
        <v>7.7795635914823844E-2</v>
      </c>
      <c r="S48" s="283">
        <f t="shared" si="5"/>
        <v>7.7795635914823844E-2</v>
      </c>
      <c r="T48" s="283">
        <f t="shared" si="6"/>
        <v>3.8897817957411922E-2</v>
      </c>
      <c r="U48" s="275">
        <f t="shared" si="7"/>
        <v>4.2787599753153112</v>
      </c>
    </row>
    <row r="49" spans="1:21" s="69" customFormat="1" ht="12.9" x14ac:dyDescent="0.5">
      <c r="A49" s="285" t="s">
        <v>1534</v>
      </c>
      <c r="B49" s="286" t="s">
        <v>10</v>
      </c>
      <c r="C49" s="285" t="s">
        <v>1446</v>
      </c>
      <c r="D49" s="285" t="s">
        <v>1535</v>
      </c>
      <c r="E49" s="285" t="s">
        <v>11</v>
      </c>
      <c r="F49" s="100">
        <v>5939</v>
      </c>
      <c r="G49" s="100">
        <v>10</v>
      </c>
      <c r="H49" s="100">
        <v>6.4273919577264582</v>
      </c>
      <c r="I49" s="100">
        <f t="shared" si="0"/>
        <v>0.64273919577264582</v>
      </c>
      <c r="J49" s="101">
        <f t="shared" si="1"/>
        <v>7.070131153499104</v>
      </c>
      <c r="K49" s="285"/>
      <c r="L49" s="285"/>
      <c r="M49" s="285"/>
      <c r="N49" s="285"/>
      <c r="O49" s="101">
        <f t="shared" si="2"/>
        <v>14.140262306998208</v>
      </c>
      <c r="Q49" s="283">
        <f t="shared" si="3"/>
        <v>0.3535065576749552</v>
      </c>
      <c r="R49" s="283">
        <f t="shared" si="4"/>
        <v>0.14140262306998208</v>
      </c>
      <c r="S49" s="283">
        <f t="shared" si="5"/>
        <v>0.14140262306998208</v>
      </c>
      <c r="T49" s="283">
        <f t="shared" si="6"/>
        <v>7.070131153499104E-2</v>
      </c>
      <c r="U49" s="275">
        <f t="shared" si="7"/>
        <v>7.7771442688490158</v>
      </c>
    </row>
    <row r="50" spans="1:21" s="69" customFormat="1" ht="12.9" x14ac:dyDescent="0.5">
      <c r="A50" s="285" t="s">
        <v>1549</v>
      </c>
      <c r="B50" s="286" t="s">
        <v>10</v>
      </c>
      <c r="C50" s="285" t="s">
        <v>1537</v>
      </c>
      <c r="D50" s="285" t="s">
        <v>1536</v>
      </c>
      <c r="E50" s="285" t="s">
        <v>11</v>
      </c>
      <c r="F50" s="100">
        <v>5596</v>
      </c>
      <c r="G50" s="100">
        <v>10</v>
      </c>
      <c r="H50" s="100">
        <v>3.8391162854030498</v>
      </c>
      <c r="I50" s="100">
        <f t="shared" si="0"/>
        <v>0.38391162854030503</v>
      </c>
      <c r="J50" s="101">
        <f t="shared" si="1"/>
        <v>4.2230279139433549</v>
      </c>
      <c r="K50" s="285"/>
      <c r="L50" s="285"/>
      <c r="M50" s="285"/>
      <c r="N50" s="285"/>
      <c r="O50" s="101">
        <f t="shared" si="2"/>
        <v>8.4460558278867097</v>
      </c>
      <c r="Q50" s="283">
        <f t="shared" si="3"/>
        <v>0.21115139569716776</v>
      </c>
      <c r="R50" s="283">
        <f t="shared" si="4"/>
        <v>8.4460558278867101E-2</v>
      </c>
      <c r="S50" s="283">
        <f t="shared" si="5"/>
        <v>8.4460558278867101E-2</v>
      </c>
      <c r="T50" s="283">
        <f t="shared" si="6"/>
        <v>4.2230279139433551E-2</v>
      </c>
      <c r="U50" s="275">
        <f t="shared" si="7"/>
        <v>4.6453307053376891</v>
      </c>
    </row>
    <row r="51" spans="1:21" s="69" customFormat="1" ht="12.9" x14ac:dyDescent="0.5">
      <c r="A51" s="285" t="s">
        <v>1550</v>
      </c>
      <c r="B51" s="286" t="s">
        <v>10</v>
      </c>
      <c r="C51" s="285" t="s">
        <v>21</v>
      </c>
      <c r="D51" s="285" t="s">
        <v>1536</v>
      </c>
      <c r="E51" s="285" t="s">
        <v>11</v>
      </c>
      <c r="F51" s="100">
        <v>7766</v>
      </c>
      <c r="G51" s="100">
        <v>10</v>
      </c>
      <c r="H51" s="100">
        <v>5.6054432061946295</v>
      </c>
      <c r="I51" s="100">
        <f t="shared" si="0"/>
        <v>0.56054432061946302</v>
      </c>
      <c r="J51" s="101">
        <f t="shared" si="1"/>
        <v>6.1659875268140922</v>
      </c>
      <c r="K51" s="285"/>
      <c r="L51" s="285"/>
      <c r="M51" s="285"/>
      <c r="N51" s="285"/>
      <c r="O51" s="101">
        <f t="shared" si="2"/>
        <v>12.331975053628184</v>
      </c>
      <c r="Q51" s="283">
        <f t="shared" si="3"/>
        <v>0.30829937634070465</v>
      </c>
      <c r="R51" s="283">
        <f t="shared" si="4"/>
        <v>0.12331975053628184</v>
      </c>
      <c r="S51" s="283">
        <f t="shared" si="5"/>
        <v>0.12331975053628184</v>
      </c>
      <c r="T51" s="283">
        <f t="shared" si="6"/>
        <v>6.1659875268140922E-2</v>
      </c>
      <c r="U51" s="275">
        <f t="shared" si="7"/>
        <v>6.7825862794955007</v>
      </c>
    </row>
    <row r="52" spans="1:21" s="69" customFormat="1" ht="12.9" x14ac:dyDescent="0.5">
      <c r="A52" s="285" t="s">
        <v>1551</v>
      </c>
      <c r="B52" s="286" t="s">
        <v>10</v>
      </c>
      <c r="C52" s="285" t="s">
        <v>1539</v>
      </c>
      <c r="D52" s="285" t="s">
        <v>1536</v>
      </c>
      <c r="E52" s="285" t="s">
        <v>11</v>
      </c>
      <c r="F52" s="100">
        <v>3202</v>
      </c>
      <c r="G52" s="100">
        <v>10</v>
      </c>
      <c r="H52" s="100">
        <v>5.8437744909694551</v>
      </c>
      <c r="I52" s="100">
        <f t="shared" si="0"/>
        <v>0.58437744909694556</v>
      </c>
      <c r="J52" s="101">
        <f t="shared" si="1"/>
        <v>6.4281519400664004</v>
      </c>
      <c r="K52" s="285"/>
      <c r="L52" s="285"/>
      <c r="M52" s="285"/>
      <c r="N52" s="285"/>
      <c r="O52" s="101">
        <f t="shared" si="2"/>
        <v>12.856303880132801</v>
      </c>
      <c r="Q52" s="283">
        <f t="shared" si="3"/>
        <v>0.32140759700332006</v>
      </c>
      <c r="R52" s="283">
        <f t="shared" si="4"/>
        <v>0.12856303880132802</v>
      </c>
      <c r="S52" s="283">
        <f t="shared" si="5"/>
        <v>0.12856303880132802</v>
      </c>
      <c r="T52" s="283">
        <f t="shared" si="6"/>
        <v>6.4281519400664011E-2</v>
      </c>
      <c r="U52" s="275">
        <f t="shared" si="7"/>
        <v>7.0709671340730411</v>
      </c>
    </row>
    <row r="53" spans="1:21" s="69" customFormat="1" ht="12.9" x14ac:dyDescent="0.5">
      <c r="A53" s="285" t="s">
        <v>1552</v>
      </c>
      <c r="B53" s="286" t="s">
        <v>10</v>
      </c>
      <c r="C53" s="285" t="s">
        <v>1540</v>
      </c>
      <c r="D53" s="285" t="s">
        <v>1536</v>
      </c>
      <c r="E53" s="285" t="s">
        <v>11</v>
      </c>
      <c r="F53" s="100">
        <v>6162</v>
      </c>
      <c r="G53" s="100">
        <v>10</v>
      </c>
      <c r="H53" s="100">
        <v>5.8961396104969053</v>
      </c>
      <c r="I53" s="100">
        <f t="shared" si="0"/>
        <v>0.58961396104969055</v>
      </c>
      <c r="J53" s="101">
        <f t="shared" si="1"/>
        <v>6.4857535715465957</v>
      </c>
      <c r="K53" s="285"/>
      <c r="L53" s="285"/>
      <c r="M53" s="285"/>
      <c r="N53" s="285"/>
      <c r="O53" s="101">
        <f t="shared" si="2"/>
        <v>12.971507143093191</v>
      </c>
      <c r="Q53" s="283">
        <f t="shared" si="3"/>
        <v>0.32428767857732982</v>
      </c>
      <c r="R53" s="283">
        <f t="shared" si="4"/>
        <v>0.12971507143093192</v>
      </c>
      <c r="S53" s="283">
        <f t="shared" si="5"/>
        <v>0.12971507143093192</v>
      </c>
      <c r="T53" s="283">
        <f t="shared" si="6"/>
        <v>6.4857535715465958E-2</v>
      </c>
      <c r="U53" s="275">
        <f t="shared" si="7"/>
        <v>7.1343289287012555</v>
      </c>
    </row>
    <row r="54" spans="1:21" s="69" customFormat="1" ht="12.9" x14ac:dyDescent="0.5">
      <c r="A54" s="285" t="s">
        <v>1553</v>
      </c>
      <c r="B54" s="286" t="s">
        <v>10</v>
      </c>
      <c r="C54" s="285" t="s">
        <v>1542</v>
      </c>
      <c r="D54" s="285" t="s">
        <v>1536</v>
      </c>
      <c r="E54" s="285" t="s">
        <v>11</v>
      </c>
      <c r="F54" s="100">
        <v>2697</v>
      </c>
      <c r="G54" s="100">
        <v>10</v>
      </c>
      <c r="H54" s="100">
        <v>4.7875089558435651</v>
      </c>
      <c r="I54" s="100">
        <f t="shared" si="0"/>
        <v>0.47875089558435652</v>
      </c>
      <c r="J54" s="101">
        <f t="shared" si="1"/>
        <v>5.2662598514279217</v>
      </c>
      <c r="K54" s="285"/>
      <c r="L54" s="285"/>
      <c r="M54" s="285"/>
      <c r="N54" s="285"/>
      <c r="O54" s="101">
        <f t="shared" si="2"/>
        <v>10.532519702855843</v>
      </c>
      <c r="Q54" s="283">
        <f t="shared" si="3"/>
        <v>0.26331299257139612</v>
      </c>
      <c r="R54" s="283">
        <f t="shared" si="4"/>
        <v>0.10532519702855844</v>
      </c>
      <c r="S54" s="283">
        <f t="shared" si="5"/>
        <v>0.10532519702855844</v>
      </c>
      <c r="T54" s="283">
        <f t="shared" si="6"/>
        <v>5.2662598514279221E-2</v>
      </c>
      <c r="U54" s="275">
        <f t="shared" si="7"/>
        <v>5.7928858365707132</v>
      </c>
    </row>
    <row r="55" spans="1:21" s="69" customFormat="1" ht="12.9" x14ac:dyDescent="0.5">
      <c r="A55" s="285" t="s">
        <v>1554</v>
      </c>
      <c r="B55" s="286" t="s">
        <v>10</v>
      </c>
      <c r="C55" s="285" t="s">
        <v>1543</v>
      </c>
      <c r="D55" s="285" t="s">
        <v>1536</v>
      </c>
      <c r="E55" s="285" t="s">
        <v>11</v>
      </c>
      <c r="F55" s="100">
        <v>3019.5</v>
      </c>
      <c r="G55" s="100">
        <v>10</v>
      </c>
      <c r="H55" s="100">
        <v>5.1189175700280112</v>
      </c>
      <c r="I55" s="100">
        <f t="shared" si="0"/>
        <v>0.5118917570028011</v>
      </c>
      <c r="J55" s="101">
        <f t="shared" si="1"/>
        <v>5.6308093270308124</v>
      </c>
      <c r="K55" s="285"/>
      <c r="L55" s="285"/>
      <c r="M55" s="285"/>
      <c r="N55" s="285"/>
      <c r="O55" s="101">
        <f t="shared" si="2"/>
        <v>11.261618654061625</v>
      </c>
      <c r="Q55" s="283">
        <f t="shared" si="3"/>
        <v>0.28154046635154062</v>
      </c>
      <c r="R55" s="283">
        <f t="shared" si="4"/>
        <v>0.11261618654061625</v>
      </c>
      <c r="S55" s="283">
        <f t="shared" si="5"/>
        <v>0.11261618654061625</v>
      </c>
      <c r="T55" s="283">
        <f t="shared" si="6"/>
        <v>5.6308093270308127E-2</v>
      </c>
      <c r="U55" s="275">
        <f t="shared" si="7"/>
        <v>6.1938902597338927</v>
      </c>
    </row>
    <row r="56" spans="1:21" s="69" customFormat="1" ht="12.9" x14ac:dyDescent="0.5">
      <c r="A56" s="285" t="s">
        <v>1555</v>
      </c>
      <c r="B56" s="286" t="s">
        <v>10</v>
      </c>
      <c r="C56" s="285" t="s">
        <v>1544</v>
      </c>
      <c r="D56" s="285" t="s">
        <v>1536</v>
      </c>
      <c r="E56" s="285" t="s">
        <v>11</v>
      </c>
      <c r="F56" s="100">
        <v>3673</v>
      </c>
      <c r="G56" s="100">
        <v>43</v>
      </c>
      <c r="H56" s="100">
        <v>3.4527718535110905</v>
      </c>
      <c r="I56" s="100">
        <f t="shared" si="0"/>
        <v>0.34527718535110907</v>
      </c>
      <c r="J56" s="101">
        <f t="shared" si="1"/>
        <v>3.7980490388621995</v>
      </c>
      <c r="K56" s="285"/>
      <c r="L56" s="285"/>
      <c r="M56" s="285"/>
      <c r="N56" s="285"/>
      <c r="O56" s="101">
        <f t="shared" si="2"/>
        <v>7.5960980777243989</v>
      </c>
      <c r="Q56" s="283">
        <f t="shared" si="3"/>
        <v>0.18990245194310998</v>
      </c>
      <c r="R56" s="283">
        <f t="shared" si="4"/>
        <v>7.5960980777243989E-2</v>
      </c>
      <c r="S56" s="283">
        <f t="shared" si="5"/>
        <v>7.5960980777243989E-2</v>
      </c>
      <c r="T56" s="283">
        <f t="shared" si="6"/>
        <v>3.7980490388621994E-2</v>
      </c>
      <c r="U56" s="275">
        <f t="shared" si="7"/>
        <v>4.1778539427484196</v>
      </c>
    </row>
    <row r="57" spans="1:21" s="69" customFormat="1" ht="12.9" x14ac:dyDescent="0.5">
      <c r="A57" s="285" t="s">
        <v>1556</v>
      </c>
      <c r="B57" s="286" t="s">
        <v>10</v>
      </c>
      <c r="C57" s="285" t="s">
        <v>1545</v>
      </c>
      <c r="D57" s="285" t="s">
        <v>1536</v>
      </c>
      <c r="E57" s="285" t="s">
        <v>11</v>
      </c>
      <c r="F57" s="100">
        <v>5713</v>
      </c>
      <c r="G57" s="100">
        <v>10</v>
      </c>
      <c r="H57" s="100">
        <v>5.8629401585342285</v>
      </c>
      <c r="I57" s="100">
        <f t="shared" si="0"/>
        <v>0.58629401585342289</v>
      </c>
      <c r="J57" s="101">
        <f t="shared" si="1"/>
        <v>6.4492341743876516</v>
      </c>
      <c r="K57" s="285"/>
      <c r="L57" s="285"/>
      <c r="M57" s="285"/>
      <c r="N57" s="285"/>
      <c r="O57" s="101">
        <f t="shared" si="2"/>
        <v>12.898468348775303</v>
      </c>
      <c r="Q57" s="283">
        <f t="shared" si="3"/>
        <v>0.32246170871938262</v>
      </c>
      <c r="R57" s="283">
        <f t="shared" si="4"/>
        <v>0.12898468348775302</v>
      </c>
      <c r="S57" s="283">
        <f t="shared" si="5"/>
        <v>0.12898468348775302</v>
      </c>
      <c r="T57" s="283">
        <f t="shared" si="6"/>
        <v>6.4492341743876511E-2</v>
      </c>
      <c r="U57" s="275">
        <f t="shared" si="7"/>
        <v>7.0941575918264155</v>
      </c>
    </row>
    <row r="58" spans="1:21" s="69" customFormat="1" ht="12.9" x14ac:dyDescent="0.5">
      <c r="A58" s="285" t="s">
        <v>1557</v>
      </c>
      <c r="B58" s="286" t="s">
        <v>10</v>
      </c>
      <c r="C58" s="285" t="s">
        <v>1546</v>
      </c>
      <c r="D58" s="285" t="s">
        <v>1536</v>
      </c>
      <c r="E58" s="285" t="s">
        <v>11</v>
      </c>
      <c r="F58" s="100">
        <v>2507.4499999999998</v>
      </c>
      <c r="G58" s="100">
        <v>10</v>
      </c>
      <c r="H58" s="100">
        <v>5.6104533759872268</v>
      </c>
      <c r="I58" s="100">
        <f t="shared" si="0"/>
        <v>0.56104533759872266</v>
      </c>
      <c r="J58" s="101">
        <f t="shared" si="1"/>
        <v>6.1714987135859491</v>
      </c>
      <c r="K58" s="285"/>
      <c r="L58" s="285"/>
      <c r="M58" s="285"/>
      <c r="N58" s="285"/>
      <c r="O58" s="101">
        <f t="shared" si="2"/>
        <v>12.342997427171898</v>
      </c>
      <c r="Q58" s="283">
        <f t="shared" si="3"/>
        <v>0.3085749356792975</v>
      </c>
      <c r="R58" s="283">
        <f t="shared" si="4"/>
        <v>0.12342997427171899</v>
      </c>
      <c r="S58" s="283">
        <f t="shared" si="5"/>
        <v>0.12342997427171899</v>
      </c>
      <c r="T58" s="283">
        <f t="shared" si="6"/>
        <v>6.1714987135859496E-2</v>
      </c>
      <c r="U58" s="275">
        <f t="shared" si="7"/>
        <v>6.7886485849445446</v>
      </c>
    </row>
    <row r="59" spans="1:21" s="69" customFormat="1" ht="12.9" x14ac:dyDescent="0.5">
      <c r="A59" s="285" t="s">
        <v>16</v>
      </c>
      <c r="B59" s="286" t="s">
        <v>10</v>
      </c>
      <c r="C59" s="285" t="s">
        <v>1412</v>
      </c>
      <c r="D59" s="285" t="s">
        <v>1432</v>
      </c>
      <c r="E59" s="285" t="s">
        <v>11</v>
      </c>
      <c r="F59" s="100">
        <v>5626</v>
      </c>
      <c r="G59" s="100">
        <v>10</v>
      </c>
      <c r="H59" s="100">
        <v>3.9684814071798393</v>
      </c>
      <c r="I59" s="100">
        <f t="shared" si="0"/>
        <v>0.39684814071798397</v>
      </c>
      <c r="J59" s="101">
        <f t="shared" si="1"/>
        <v>4.3653295478978231</v>
      </c>
      <c r="K59" s="285"/>
      <c r="L59" s="285"/>
      <c r="M59" s="285"/>
      <c r="N59" s="285"/>
      <c r="O59" s="101">
        <f t="shared" si="2"/>
        <v>8.7306590957956463</v>
      </c>
      <c r="Q59" s="283">
        <f t="shared" si="3"/>
        <v>0.21826647739489116</v>
      </c>
      <c r="R59" s="283">
        <f t="shared" si="4"/>
        <v>8.7306590957956468E-2</v>
      </c>
      <c r="S59" s="283">
        <f t="shared" si="5"/>
        <v>8.7306590957956468E-2</v>
      </c>
      <c r="T59" s="283">
        <f t="shared" si="6"/>
        <v>4.3653295478978234E-2</v>
      </c>
      <c r="U59" s="275">
        <f t="shared" si="7"/>
        <v>4.8018625026876052</v>
      </c>
    </row>
    <row r="60" spans="1:21" s="69" customFormat="1" ht="12.9" x14ac:dyDescent="0.5">
      <c r="A60" s="285" t="s">
        <v>1558</v>
      </c>
      <c r="B60" s="286" t="s">
        <v>10</v>
      </c>
      <c r="C60" s="285" t="s">
        <v>1547</v>
      </c>
      <c r="D60" s="285" t="s">
        <v>1536</v>
      </c>
      <c r="E60" s="285" t="s">
        <v>11</v>
      </c>
      <c r="F60" s="100">
        <v>6320</v>
      </c>
      <c r="G60" s="100">
        <v>10</v>
      </c>
      <c r="H60" s="100">
        <v>3.0318473424976391</v>
      </c>
      <c r="I60" s="100">
        <f t="shared" si="0"/>
        <v>0.30318473424976394</v>
      </c>
      <c r="J60" s="101">
        <f t="shared" si="1"/>
        <v>3.3350320767474031</v>
      </c>
      <c r="K60" s="285"/>
      <c r="L60" s="285"/>
      <c r="M60" s="285"/>
      <c r="N60" s="285"/>
      <c r="O60" s="101">
        <f t="shared" si="2"/>
        <v>6.6700641534948062</v>
      </c>
      <c r="Q60" s="283">
        <f t="shared" si="3"/>
        <v>0.16675160383737017</v>
      </c>
      <c r="R60" s="283">
        <f t="shared" si="4"/>
        <v>6.6700641534948063E-2</v>
      </c>
      <c r="S60" s="283">
        <f t="shared" si="5"/>
        <v>6.6700641534948063E-2</v>
      </c>
      <c r="T60" s="283">
        <f t="shared" si="6"/>
        <v>3.3350320767474032E-2</v>
      </c>
      <c r="U60" s="275">
        <f t="shared" si="7"/>
        <v>3.6685352844221435</v>
      </c>
    </row>
    <row r="61" spans="1:21" s="69" customFormat="1" ht="12.9" x14ac:dyDescent="0.5">
      <c r="A61" s="285" t="s">
        <v>1559</v>
      </c>
      <c r="B61" s="286" t="s">
        <v>10</v>
      </c>
      <c r="C61" s="285" t="s">
        <v>1548</v>
      </c>
      <c r="D61" s="285" t="s">
        <v>1536</v>
      </c>
      <c r="E61" s="285" t="s">
        <v>11</v>
      </c>
      <c r="F61" s="100">
        <v>7055</v>
      </c>
      <c r="G61" s="100">
        <v>10</v>
      </c>
      <c r="H61" s="100">
        <v>5.7725340847271429</v>
      </c>
      <c r="I61" s="100">
        <f t="shared" si="0"/>
        <v>0.57725340847271434</v>
      </c>
      <c r="J61" s="101">
        <f t="shared" si="1"/>
        <v>6.349787493199857</v>
      </c>
      <c r="K61" s="285"/>
      <c r="L61" s="285"/>
      <c r="M61" s="285"/>
      <c r="N61" s="285"/>
      <c r="O61" s="101">
        <f t="shared" si="2"/>
        <v>12.699574986399714</v>
      </c>
      <c r="Q61" s="283">
        <f t="shared" si="3"/>
        <v>0.31748937465999288</v>
      </c>
      <c r="R61" s="283">
        <f t="shared" si="4"/>
        <v>0.12699574986399714</v>
      </c>
      <c r="S61" s="283">
        <f t="shared" si="5"/>
        <v>0.12699574986399714</v>
      </c>
      <c r="T61" s="283">
        <f t="shared" si="6"/>
        <v>6.3497874931998571E-2</v>
      </c>
      <c r="U61" s="275">
        <f t="shared" si="7"/>
        <v>6.9847662425198438</v>
      </c>
    </row>
    <row r="62" spans="1:21" s="69" customFormat="1" ht="12.9" x14ac:dyDescent="0.5">
      <c r="A62" s="285" t="s">
        <v>1570</v>
      </c>
      <c r="B62" s="286" t="s">
        <v>10</v>
      </c>
      <c r="C62" s="285" t="s">
        <v>1561</v>
      </c>
      <c r="D62" s="285" t="s">
        <v>1560</v>
      </c>
      <c r="E62" s="285" t="s">
        <v>11</v>
      </c>
      <c r="F62" s="100">
        <v>6675</v>
      </c>
      <c r="G62" s="100">
        <v>10</v>
      </c>
      <c r="H62" s="100">
        <v>2.0024970512235902</v>
      </c>
      <c r="I62" s="100">
        <f t="shared" si="0"/>
        <v>0.20024970512235904</v>
      </c>
      <c r="J62" s="101">
        <f t="shared" si="1"/>
        <v>2.2027467563459493</v>
      </c>
      <c r="K62" s="285"/>
      <c r="L62" s="285"/>
      <c r="M62" s="285"/>
      <c r="N62" s="285"/>
      <c r="O62" s="101">
        <f t="shared" si="2"/>
        <v>4.4054935126918986</v>
      </c>
      <c r="Q62" s="283">
        <f t="shared" si="3"/>
        <v>0.11013733781729747</v>
      </c>
      <c r="R62" s="283">
        <f t="shared" si="4"/>
        <v>4.4054935126918986E-2</v>
      </c>
      <c r="S62" s="283">
        <f t="shared" si="5"/>
        <v>4.4054935126918986E-2</v>
      </c>
      <c r="T62" s="283">
        <f t="shared" si="6"/>
        <v>2.2027467563459493E-2</v>
      </c>
      <c r="U62" s="275">
        <f t="shared" si="7"/>
        <v>2.4230214319805445</v>
      </c>
    </row>
    <row r="63" spans="1:21" s="69" customFormat="1" ht="12.9" x14ac:dyDescent="0.5">
      <c r="A63" s="285" t="s">
        <v>1571</v>
      </c>
      <c r="B63" s="286" t="s">
        <v>10</v>
      </c>
      <c r="C63" s="285" t="s">
        <v>1562</v>
      </c>
      <c r="D63" s="285" t="s">
        <v>1560</v>
      </c>
      <c r="E63" s="285" t="s">
        <v>11</v>
      </c>
      <c r="F63" s="100">
        <v>6694</v>
      </c>
      <c r="G63" s="100">
        <v>10</v>
      </c>
      <c r="H63" s="100">
        <v>5.4498758223961383</v>
      </c>
      <c r="I63" s="100">
        <f t="shared" si="0"/>
        <v>0.54498758223961385</v>
      </c>
      <c r="J63" s="101">
        <f t="shared" si="1"/>
        <v>5.9948634046357521</v>
      </c>
      <c r="K63" s="285"/>
      <c r="L63" s="285"/>
      <c r="M63" s="285"/>
      <c r="N63" s="285"/>
      <c r="O63" s="101">
        <f t="shared" si="2"/>
        <v>11.989726809271504</v>
      </c>
      <c r="Q63" s="283">
        <f t="shared" si="3"/>
        <v>0.29974317023178759</v>
      </c>
      <c r="R63" s="283">
        <f t="shared" si="4"/>
        <v>0.11989726809271505</v>
      </c>
      <c r="S63" s="283">
        <f t="shared" si="5"/>
        <v>0.11989726809271505</v>
      </c>
      <c r="T63" s="283">
        <f t="shared" si="6"/>
        <v>5.9948634046357523E-2</v>
      </c>
      <c r="U63" s="275">
        <f t="shared" si="7"/>
        <v>6.5943497450993265</v>
      </c>
    </row>
    <row r="64" spans="1:21" s="69" customFormat="1" ht="12.9" x14ac:dyDescent="0.5">
      <c r="A64" s="285" t="s">
        <v>1572</v>
      </c>
      <c r="B64" s="286" t="s">
        <v>10</v>
      </c>
      <c r="C64" s="285" t="s">
        <v>1563</v>
      </c>
      <c r="D64" s="285" t="s">
        <v>1560</v>
      </c>
      <c r="E64" s="285" t="s">
        <v>11</v>
      </c>
      <c r="F64" s="100">
        <v>6006</v>
      </c>
      <c r="G64" s="100">
        <v>10</v>
      </c>
      <c r="H64" s="100">
        <v>5.4879893364710233</v>
      </c>
      <c r="I64" s="100">
        <f t="shared" si="0"/>
        <v>0.5487989336471023</v>
      </c>
      <c r="J64" s="101">
        <f t="shared" si="1"/>
        <v>6.0367882701181257</v>
      </c>
      <c r="K64" s="285"/>
      <c r="L64" s="285"/>
      <c r="M64" s="285"/>
      <c r="N64" s="285"/>
      <c r="O64" s="101">
        <f t="shared" si="2"/>
        <v>12.073576540236251</v>
      </c>
      <c r="Q64" s="283">
        <f t="shared" si="3"/>
        <v>0.30183941350590632</v>
      </c>
      <c r="R64" s="283">
        <f t="shared" si="4"/>
        <v>0.12073576540236251</v>
      </c>
      <c r="S64" s="283">
        <f t="shared" si="5"/>
        <v>0.12073576540236251</v>
      </c>
      <c r="T64" s="283">
        <f t="shared" si="6"/>
        <v>6.0367882701181257E-2</v>
      </c>
      <c r="U64" s="275">
        <f t="shared" si="7"/>
        <v>6.640467097129938</v>
      </c>
    </row>
    <row r="65" spans="1:21" s="69" customFormat="1" ht="12.9" x14ac:dyDescent="0.5">
      <c r="A65" s="285" t="s">
        <v>1573</v>
      </c>
      <c r="B65" s="286" t="s">
        <v>10</v>
      </c>
      <c r="C65" s="285" t="s">
        <v>1564</v>
      </c>
      <c r="D65" s="285" t="s">
        <v>1560</v>
      </c>
      <c r="E65" s="285" t="s">
        <v>11</v>
      </c>
      <c r="F65" s="100">
        <v>6594</v>
      </c>
      <c r="G65" s="100">
        <v>10</v>
      </c>
      <c r="H65" s="100">
        <v>6.1281639947695359</v>
      </c>
      <c r="I65" s="100">
        <f t="shared" si="0"/>
        <v>0.61281639947695365</v>
      </c>
      <c r="J65" s="101">
        <f t="shared" si="1"/>
        <v>6.7409803942464892</v>
      </c>
      <c r="K65" s="285"/>
      <c r="L65" s="285"/>
      <c r="M65" s="285"/>
      <c r="N65" s="285"/>
      <c r="O65" s="101">
        <f t="shared" si="2"/>
        <v>13.481960788492978</v>
      </c>
      <c r="Q65" s="283">
        <f t="shared" si="3"/>
        <v>0.33704901971232448</v>
      </c>
      <c r="R65" s="283">
        <f t="shared" si="4"/>
        <v>0.13481960788492978</v>
      </c>
      <c r="S65" s="283">
        <f t="shared" si="5"/>
        <v>0.13481960788492978</v>
      </c>
      <c r="T65" s="283">
        <f t="shared" si="6"/>
        <v>6.7409803942464888E-2</v>
      </c>
      <c r="U65" s="275">
        <f t="shared" si="7"/>
        <v>7.4150784336711393</v>
      </c>
    </row>
    <row r="66" spans="1:21" s="69" customFormat="1" ht="12.9" x14ac:dyDescent="0.5">
      <c r="A66" s="285" t="s">
        <v>1574</v>
      </c>
      <c r="B66" s="286" t="s">
        <v>10</v>
      </c>
      <c r="C66" s="285" t="s">
        <v>1565</v>
      </c>
      <c r="D66" s="285" t="s">
        <v>1560</v>
      </c>
      <c r="E66" s="285" t="s">
        <v>11</v>
      </c>
      <c r="F66" s="100">
        <v>7747</v>
      </c>
      <c r="G66" s="100">
        <v>10</v>
      </c>
      <c r="H66" s="100">
        <v>2.3194172442620462</v>
      </c>
      <c r="I66" s="100">
        <f t="shared" si="0"/>
        <v>0.23194172442620464</v>
      </c>
      <c r="J66" s="101">
        <f t="shared" si="1"/>
        <v>2.551358968688251</v>
      </c>
      <c r="K66" s="285"/>
      <c r="L66" s="285"/>
      <c r="M66" s="285"/>
      <c r="N66" s="285"/>
      <c r="O66" s="101">
        <f t="shared" si="2"/>
        <v>5.1027179373765019</v>
      </c>
      <c r="Q66" s="283">
        <f t="shared" si="3"/>
        <v>0.12756794843441255</v>
      </c>
      <c r="R66" s="283">
        <f t="shared" si="4"/>
        <v>5.1027179373765018E-2</v>
      </c>
      <c r="S66" s="283">
        <f t="shared" si="5"/>
        <v>5.1027179373765018E-2</v>
      </c>
      <c r="T66" s="283">
        <f t="shared" si="6"/>
        <v>2.5513589686882509E-2</v>
      </c>
      <c r="U66" s="275">
        <f t="shared" si="7"/>
        <v>2.8064948655570765</v>
      </c>
    </row>
    <row r="67" spans="1:21" s="69" customFormat="1" ht="12.9" x14ac:dyDescent="0.5">
      <c r="A67" s="285" t="s">
        <v>1575</v>
      </c>
      <c r="B67" s="286" t="s">
        <v>10</v>
      </c>
      <c r="C67" s="285" t="s">
        <v>1566</v>
      </c>
      <c r="D67" s="285" t="s">
        <v>1560</v>
      </c>
      <c r="E67" s="285" t="s">
        <v>11</v>
      </c>
      <c r="F67" s="100">
        <v>8032</v>
      </c>
      <c r="G67" s="100">
        <v>15</v>
      </c>
      <c r="H67" s="100">
        <v>2.8477988433616344</v>
      </c>
      <c r="I67" s="100">
        <f t="shared" si="0"/>
        <v>0.28477988433616347</v>
      </c>
      <c r="J67" s="101">
        <f t="shared" si="1"/>
        <v>3.1325787276977977</v>
      </c>
      <c r="K67" s="285"/>
      <c r="L67" s="285"/>
      <c r="M67" s="285"/>
      <c r="N67" s="285"/>
      <c r="O67" s="101">
        <f t="shared" si="2"/>
        <v>6.2651574553955953</v>
      </c>
      <c r="Q67" s="283">
        <f t="shared" si="3"/>
        <v>0.15662893638488989</v>
      </c>
      <c r="R67" s="283">
        <f t="shared" si="4"/>
        <v>6.2651574553955952E-2</v>
      </c>
      <c r="S67" s="283">
        <f t="shared" si="5"/>
        <v>6.2651574553955952E-2</v>
      </c>
      <c r="T67" s="283">
        <f t="shared" si="6"/>
        <v>3.1325787276977976E-2</v>
      </c>
      <c r="U67" s="275">
        <f t="shared" si="7"/>
        <v>3.4458366004675773</v>
      </c>
    </row>
    <row r="68" spans="1:21" s="69" customFormat="1" ht="12.9" x14ac:dyDescent="0.5">
      <c r="A68" s="285" t="s">
        <v>1576</v>
      </c>
      <c r="B68" s="286" t="s">
        <v>10</v>
      </c>
      <c r="C68" s="285" t="s">
        <v>22</v>
      </c>
      <c r="D68" s="285" t="s">
        <v>1560</v>
      </c>
      <c r="E68" s="285" t="s">
        <v>11</v>
      </c>
      <c r="F68" s="100">
        <v>6419</v>
      </c>
      <c r="G68" s="100">
        <v>10</v>
      </c>
      <c r="H68" s="100">
        <v>5.8503700477967451</v>
      </c>
      <c r="I68" s="100">
        <f t="shared" si="0"/>
        <v>0.58503700477967457</v>
      </c>
      <c r="J68" s="101">
        <f t="shared" si="1"/>
        <v>6.4354070525764193</v>
      </c>
      <c r="K68" s="285"/>
      <c r="L68" s="285"/>
      <c r="M68" s="285"/>
      <c r="N68" s="285"/>
      <c r="O68" s="101">
        <f t="shared" si="2"/>
        <v>12.870814105152839</v>
      </c>
      <c r="Q68" s="283">
        <f t="shared" si="3"/>
        <v>0.32177035262882098</v>
      </c>
      <c r="R68" s="283">
        <f t="shared" si="4"/>
        <v>0.12870814105152839</v>
      </c>
      <c r="S68" s="283">
        <f t="shared" si="5"/>
        <v>0.12870814105152839</v>
      </c>
      <c r="T68" s="283">
        <f t="shared" si="6"/>
        <v>6.4354070525764195E-2</v>
      </c>
      <c r="U68" s="275">
        <f t="shared" si="7"/>
        <v>7.0789477578340616</v>
      </c>
    </row>
    <row r="69" spans="1:21" s="69" customFormat="1" ht="12.9" x14ac:dyDescent="0.5">
      <c r="A69" s="285" t="s">
        <v>1577</v>
      </c>
      <c r="B69" s="286" t="s">
        <v>10</v>
      </c>
      <c r="C69" s="285" t="s">
        <v>1567</v>
      </c>
      <c r="D69" s="285" t="s">
        <v>1560</v>
      </c>
      <c r="E69" s="285" t="s">
        <v>11</v>
      </c>
      <c r="F69" s="100">
        <v>5646</v>
      </c>
      <c r="G69" s="100">
        <v>10</v>
      </c>
      <c r="H69" s="100">
        <v>2.3884889604019679</v>
      </c>
      <c r="I69" s="100">
        <f t="shared" ref="I69:I132" si="8">H69*10%</f>
        <v>0.2388488960401968</v>
      </c>
      <c r="J69" s="101">
        <f t="shared" ref="J69:J132" si="9">H69+I69</f>
        <v>2.6273378564421646</v>
      </c>
      <c r="K69" s="285"/>
      <c r="L69" s="285"/>
      <c r="M69" s="285"/>
      <c r="N69" s="285"/>
      <c r="O69" s="101">
        <f t="shared" ref="O69:O132" si="10">SUM(H69:N69)</f>
        <v>5.2546757128843291</v>
      </c>
      <c r="Q69" s="283">
        <f t="shared" ref="Q69:Q132" si="11">J69*5%</f>
        <v>0.13136689282210823</v>
      </c>
      <c r="R69" s="283">
        <f t="shared" ref="R69:R132" si="12">J69*2%</f>
        <v>5.254675712884329E-2</v>
      </c>
      <c r="S69" s="283">
        <f t="shared" ref="S69:S132" si="13">J69*2%</f>
        <v>5.254675712884329E-2</v>
      </c>
      <c r="T69" s="283">
        <f t="shared" ref="T69:T132" si="14">J69*1%</f>
        <v>2.6273378564421645E-2</v>
      </c>
      <c r="U69" s="275">
        <f t="shared" ref="U69:U132" si="15">J69+Q69+R69+S69+T69</f>
        <v>2.8900716420863808</v>
      </c>
    </row>
    <row r="70" spans="1:21" s="69" customFormat="1" ht="12.9" x14ac:dyDescent="0.5">
      <c r="A70" s="285" t="s">
        <v>17</v>
      </c>
      <c r="B70" s="286" t="s">
        <v>10</v>
      </c>
      <c r="C70" s="285" t="s">
        <v>1445</v>
      </c>
      <c r="D70" s="285" t="s">
        <v>1432</v>
      </c>
      <c r="E70" s="285" t="s">
        <v>11</v>
      </c>
      <c r="F70" s="100">
        <v>5510</v>
      </c>
      <c r="G70" s="100">
        <v>10</v>
      </c>
      <c r="H70" s="100">
        <v>7.0983434362604596</v>
      </c>
      <c r="I70" s="100">
        <f t="shared" si="8"/>
        <v>0.70983434362604603</v>
      </c>
      <c r="J70" s="101">
        <f t="shared" si="9"/>
        <v>7.8081777798865053</v>
      </c>
      <c r="K70" s="285"/>
      <c r="L70" s="285"/>
      <c r="M70" s="285"/>
      <c r="N70" s="285"/>
      <c r="O70" s="101">
        <f t="shared" si="10"/>
        <v>15.616355559773011</v>
      </c>
      <c r="Q70" s="283">
        <f t="shared" si="11"/>
        <v>0.3904088889943253</v>
      </c>
      <c r="R70" s="283">
        <f t="shared" si="12"/>
        <v>0.1561635555977301</v>
      </c>
      <c r="S70" s="283">
        <f t="shared" si="13"/>
        <v>0.1561635555977301</v>
      </c>
      <c r="T70" s="283">
        <f t="shared" si="14"/>
        <v>7.8081777798865049E-2</v>
      </c>
      <c r="U70" s="275">
        <f t="shared" si="15"/>
        <v>8.5889955578751565</v>
      </c>
    </row>
    <row r="71" spans="1:21" s="69" customFormat="1" ht="12.9" x14ac:dyDescent="0.5">
      <c r="A71" s="285" t="s">
        <v>1578</v>
      </c>
      <c r="B71" s="286" t="s">
        <v>10</v>
      </c>
      <c r="C71" s="285" t="s">
        <v>1568</v>
      </c>
      <c r="D71" s="285" t="s">
        <v>1560</v>
      </c>
      <c r="E71" s="285" t="s">
        <v>11</v>
      </c>
      <c r="F71" s="100">
        <v>5029</v>
      </c>
      <c r="G71" s="100">
        <v>10</v>
      </c>
      <c r="H71" s="100">
        <v>4.6411451221853079</v>
      </c>
      <c r="I71" s="100">
        <f t="shared" si="8"/>
        <v>0.46411451221853084</v>
      </c>
      <c r="J71" s="101">
        <f t="shared" si="9"/>
        <v>5.105259634403839</v>
      </c>
      <c r="K71" s="285"/>
      <c r="L71" s="285"/>
      <c r="M71" s="285"/>
      <c r="N71" s="285"/>
      <c r="O71" s="101">
        <f t="shared" si="10"/>
        <v>10.210519268807678</v>
      </c>
      <c r="Q71" s="283">
        <f t="shared" si="11"/>
        <v>0.25526298172019196</v>
      </c>
      <c r="R71" s="283">
        <f t="shared" si="12"/>
        <v>0.10210519268807679</v>
      </c>
      <c r="S71" s="283">
        <f t="shared" si="13"/>
        <v>0.10210519268807679</v>
      </c>
      <c r="T71" s="283">
        <f t="shared" si="14"/>
        <v>5.1052596344038394E-2</v>
      </c>
      <c r="U71" s="275">
        <f t="shared" si="15"/>
        <v>5.6157855978442237</v>
      </c>
    </row>
    <row r="72" spans="1:21" s="69" customFormat="1" ht="12.9" x14ac:dyDescent="0.5">
      <c r="A72" s="285" t="s">
        <v>1579</v>
      </c>
      <c r="B72" s="286" t="s">
        <v>10</v>
      </c>
      <c r="C72" s="285" t="s">
        <v>1772</v>
      </c>
      <c r="D72" s="285" t="s">
        <v>1560</v>
      </c>
      <c r="E72" s="285" t="s">
        <v>11</v>
      </c>
      <c r="F72" s="100">
        <v>5029</v>
      </c>
      <c r="G72" s="100">
        <v>10</v>
      </c>
      <c r="H72" s="100">
        <v>4.9327142088363622</v>
      </c>
      <c r="I72" s="100">
        <f t="shared" si="8"/>
        <v>0.49327142088363624</v>
      </c>
      <c r="J72" s="101">
        <f t="shared" si="9"/>
        <v>5.4259856297199986</v>
      </c>
      <c r="K72" s="285"/>
      <c r="L72" s="285"/>
      <c r="M72" s="285"/>
      <c r="N72" s="285"/>
      <c r="O72" s="101">
        <f t="shared" si="10"/>
        <v>10.851971259439997</v>
      </c>
      <c r="Q72" s="283">
        <f t="shared" si="11"/>
        <v>0.27129928148599997</v>
      </c>
      <c r="R72" s="283">
        <f t="shared" si="12"/>
        <v>0.10851971259439998</v>
      </c>
      <c r="S72" s="283">
        <f t="shared" si="13"/>
        <v>0.10851971259439998</v>
      </c>
      <c r="T72" s="283">
        <f t="shared" si="14"/>
        <v>5.4259856297199989E-2</v>
      </c>
      <c r="U72" s="275">
        <f t="shared" si="15"/>
        <v>5.9685841926919982</v>
      </c>
    </row>
    <row r="73" spans="1:21" s="69" customFormat="1" ht="12.9" x14ac:dyDescent="0.5">
      <c r="A73" s="285" t="s">
        <v>1580</v>
      </c>
      <c r="B73" s="286" t="s">
        <v>10</v>
      </c>
      <c r="C73" s="285" t="s">
        <v>2057</v>
      </c>
      <c r="D73" s="285" t="s">
        <v>1560</v>
      </c>
      <c r="E73" s="285" t="s">
        <v>11</v>
      </c>
      <c r="F73" s="100">
        <v>4056</v>
      </c>
      <c r="G73" s="100">
        <v>10</v>
      </c>
      <c r="H73" s="100">
        <v>4.7541350354784466</v>
      </c>
      <c r="I73" s="100">
        <f t="shared" si="8"/>
        <v>0.47541350354784467</v>
      </c>
      <c r="J73" s="101">
        <f t="shared" si="9"/>
        <v>5.2295485390262915</v>
      </c>
      <c r="K73" s="285"/>
      <c r="L73" s="285"/>
      <c r="M73" s="285"/>
      <c r="N73" s="285"/>
      <c r="O73" s="101">
        <f t="shared" si="10"/>
        <v>10.459097078052583</v>
      </c>
      <c r="Q73" s="283">
        <f t="shared" si="11"/>
        <v>0.2614774269513146</v>
      </c>
      <c r="R73" s="283">
        <f t="shared" si="12"/>
        <v>0.10459097078052583</v>
      </c>
      <c r="S73" s="283">
        <f t="shared" si="13"/>
        <v>0.10459097078052583</v>
      </c>
      <c r="T73" s="283">
        <f t="shared" si="14"/>
        <v>5.2295485390262915E-2</v>
      </c>
      <c r="U73" s="275">
        <f t="shared" si="15"/>
        <v>5.7525033929289213</v>
      </c>
    </row>
    <row r="74" spans="1:21" s="69" customFormat="1" ht="12.9" x14ac:dyDescent="0.5">
      <c r="A74" s="285" t="s">
        <v>1596</v>
      </c>
      <c r="B74" s="286" t="s">
        <v>10</v>
      </c>
      <c r="C74" s="285" t="s">
        <v>1581</v>
      </c>
      <c r="D74" s="285" t="s">
        <v>1589</v>
      </c>
      <c r="E74" s="285" t="s">
        <v>1780</v>
      </c>
      <c r="F74" s="100">
        <v>1310</v>
      </c>
      <c r="G74" s="100">
        <v>6</v>
      </c>
      <c r="H74" s="100">
        <v>0.91306060606060613</v>
      </c>
      <c r="I74" s="100">
        <f t="shared" si="8"/>
        <v>9.1306060606060613E-2</v>
      </c>
      <c r="J74" s="101">
        <f t="shared" si="9"/>
        <v>1.0043666666666669</v>
      </c>
      <c r="K74" s="285"/>
      <c r="L74" s="285"/>
      <c r="M74" s="285"/>
      <c r="N74" s="285"/>
      <c r="O74" s="101">
        <f t="shared" si="10"/>
        <v>2.0087333333333337</v>
      </c>
      <c r="Q74" s="283">
        <f t="shared" si="11"/>
        <v>5.0218333333333344E-2</v>
      </c>
      <c r="R74" s="283">
        <f t="shared" si="12"/>
        <v>2.0087333333333339E-2</v>
      </c>
      <c r="S74" s="283">
        <f t="shared" si="13"/>
        <v>2.0087333333333339E-2</v>
      </c>
      <c r="T74" s="283">
        <f t="shared" si="14"/>
        <v>1.0043666666666669E-2</v>
      </c>
      <c r="U74" s="275">
        <f t="shared" si="15"/>
        <v>1.1048033333333334</v>
      </c>
    </row>
    <row r="75" spans="1:21" s="69" customFormat="1" ht="12.9" x14ac:dyDescent="0.5">
      <c r="A75" s="285" t="s">
        <v>1597</v>
      </c>
      <c r="B75" s="286" t="s">
        <v>10</v>
      </c>
      <c r="C75" s="285" t="s">
        <v>1582</v>
      </c>
      <c r="D75" s="285" t="s">
        <v>1589</v>
      </c>
      <c r="E75" s="285" t="s">
        <v>1780</v>
      </c>
      <c r="F75" s="100">
        <v>1280</v>
      </c>
      <c r="G75" s="100">
        <v>6</v>
      </c>
      <c r="H75" s="100">
        <v>1.4102303030303029</v>
      </c>
      <c r="I75" s="100">
        <f t="shared" si="8"/>
        <v>0.14102303030303029</v>
      </c>
      <c r="J75" s="101">
        <f t="shared" si="9"/>
        <v>1.5512533333333332</v>
      </c>
      <c r="K75" s="285"/>
      <c r="L75" s="285"/>
      <c r="M75" s="285"/>
      <c r="N75" s="285"/>
      <c r="O75" s="101">
        <f t="shared" si="10"/>
        <v>3.1025066666666663</v>
      </c>
      <c r="Q75" s="283">
        <f t="shared" si="11"/>
        <v>7.7562666666666669E-2</v>
      </c>
      <c r="R75" s="283">
        <f t="shared" si="12"/>
        <v>3.1025066666666663E-2</v>
      </c>
      <c r="S75" s="283">
        <f t="shared" si="13"/>
        <v>3.1025066666666663E-2</v>
      </c>
      <c r="T75" s="283">
        <f t="shared" si="14"/>
        <v>1.5512533333333332E-2</v>
      </c>
      <c r="U75" s="275">
        <f t="shared" si="15"/>
        <v>1.7063786666666665</v>
      </c>
    </row>
    <row r="76" spans="1:21" s="69" customFormat="1" ht="12.9" x14ac:dyDescent="0.5">
      <c r="A76" s="285" t="s">
        <v>1598</v>
      </c>
      <c r="B76" s="286" t="s">
        <v>10</v>
      </c>
      <c r="C76" s="285" t="s">
        <v>1414</v>
      </c>
      <c r="D76" s="285" t="s">
        <v>1589</v>
      </c>
      <c r="E76" s="285" t="s">
        <v>1780</v>
      </c>
      <c r="F76" s="100">
        <v>16000</v>
      </c>
      <c r="G76" s="100">
        <v>100</v>
      </c>
      <c r="H76" s="100">
        <v>0.37290000000000001</v>
      </c>
      <c r="I76" s="100">
        <f t="shared" si="8"/>
        <v>3.7290000000000004E-2</v>
      </c>
      <c r="J76" s="101">
        <f t="shared" si="9"/>
        <v>0.41019</v>
      </c>
      <c r="K76" s="285"/>
      <c r="L76" s="285"/>
      <c r="M76" s="285"/>
      <c r="N76" s="285"/>
      <c r="O76" s="101">
        <f t="shared" si="10"/>
        <v>0.82038</v>
      </c>
      <c r="Q76" s="283">
        <f t="shared" si="11"/>
        <v>2.05095E-2</v>
      </c>
      <c r="R76" s="283">
        <f t="shared" si="12"/>
        <v>8.2038000000000007E-3</v>
      </c>
      <c r="S76" s="283">
        <f t="shared" si="13"/>
        <v>8.2038000000000007E-3</v>
      </c>
      <c r="T76" s="283">
        <f t="shared" si="14"/>
        <v>4.1019000000000003E-3</v>
      </c>
      <c r="U76" s="275">
        <f t="shared" si="15"/>
        <v>0.45120899999999997</v>
      </c>
    </row>
    <row r="77" spans="1:21" s="69" customFormat="1" ht="12.9" x14ac:dyDescent="0.5">
      <c r="A77" s="285" t="s">
        <v>1599</v>
      </c>
      <c r="B77" s="286" t="s">
        <v>10</v>
      </c>
      <c r="C77" s="285" t="s">
        <v>1584</v>
      </c>
      <c r="D77" s="285" t="s">
        <v>1589</v>
      </c>
      <c r="E77" s="285" t="s">
        <v>1780</v>
      </c>
      <c r="F77" s="100">
        <v>1270</v>
      </c>
      <c r="G77" s="100">
        <v>6</v>
      </c>
      <c r="H77" s="100">
        <v>0.93577037037037047</v>
      </c>
      <c r="I77" s="100">
        <f t="shared" si="8"/>
        <v>9.3577037037037056E-2</v>
      </c>
      <c r="J77" s="101">
        <f t="shared" si="9"/>
        <v>1.0293474074074076</v>
      </c>
      <c r="K77" s="285"/>
      <c r="L77" s="285"/>
      <c r="M77" s="285"/>
      <c r="N77" s="285"/>
      <c r="O77" s="101">
        <f t="shared" si="10"/>
        <v>2.0586948148148152</v>
      </c>
      <c r="Q77" s="283">
        <f t="shared" si="11"/>
        <v>5.1467370370370386E-2</v>
      </c>
      <c r="R77" s="283">
        <f t="shared" si="12"/>
        <v>2.0586948148148151E-2</v>
      </c>
      <c r="S77" s="283">
        <f t="shared" si="13"/>
        <v>2.0586948148148151E-2</v>
      </c>
      <c r="T77" s="283">
        <f t="shared" si="14"/>
        <v>1.0293474074074075E-2</v>
      </c>
      <c r="U77" s="275">
        <f t="shared" si="15"/>
        <v>1.1322821481481484</v>
      </c>
    </row>
    <row r="78" spans="1:21" s="69" customFormat="1" ht="12.9" x14ac:dyDescent="0.5">
      <c r="A78" s="285" t="s">
        <v>1600</v>
      </c>
      <c r="B78" s="286" t="s">
        <v>10</v>
      </c>
      <c r="C78" s="285" t="s">
        <v>1585</v>
      </c>
      <c r="D78" s="285" t="s">
        <v>1589</v>
      </c>
      <c r="E78" s="285" t="s">
        <v>1780</v>
      </c>
      <c r="F78" s="100">
        <v>105</v>
      </c>
      <c r="G78" s="100">
        <v>1</v>
      </c>
      <c r="H78" s="100">
        <v>0.90175116178908543</v>
      </c>
      <c r="I78" s="100">
        <f t="shared" si="8"/>
        <v>9.0175116178908554E-2</v>
      </c>
      <c r="J78" s="101">
        <f t="shared" si="9"/>
        <v>0.99192627796799404</v>
      </c>
      <c r="K78" s="285"/>
      <c r="L78" s="285"/>
      <c r="M78" s="285"/>
      <c r="N78" s="285"/>
      <c r="O78" s="101">
        <f t="shared" si="10"/>
        <v>1.9838525559359881</v>
      </c>
      <c r="Q78" s="283">
        <f t="shared" si="11"/>
        <v>4.9596313898399705E-2</v>
      </c>
      <c r="R78" s="283">
        <f t="shared" si="12"/>
        <v>1.9838525559359881E-2</v>
      </c>
      <c r="S78" s="283">
        <f t="shared" si="13"/>
        <v>1.9838525559359881E-2</v>
      </c>
      <c r="T78" s="283">
        <f t="shared" si="14"/>
        <v>9.9192627796799403E-3</v>
      </c>
      <c r="U78" s="275">
        <f t="shared" si="15"/>
        <v>1.0911189057647934</v>
      </c>
    </row>
    <row r="79" spans="1:21" s="69" customFormat="1" ht="12.9" x14ac:dyDescent="0.5">
      <c r="A79" s="285" t="s">
        <v>1601</v>
      </c>
      <c r="B79" s="286" t="s">
        <v>10</v>
      </c>
      <c r="C79" s="285" t="s">
        <v>1586</v>
      </c>
      <c r="D79" s="285" t="s">
        <v>1589</v>
      </c>
      <c r="E79" s="285" t="s">
        <v>1780</v>
      </c>
      <c r="F79" s="100">
        <v>190</v>
      </c>
      <c r="G79" s="100">
        <v>1</v>
      </c>
      <c r="H79" s="100">
        <v>2.1258250037250859</v>
      </c>
      <c r="I79" s="100">
        <f t="shared" si="8"/>
        <v>0.21258250037250859</v>
      </c>
      <c r="J79" s="101">
        <f t="shared" si="9"/>
        <v>2.3384075040975945</v>
      </c>
      <c r="K79" s="285"/>
      <c r="L79" s="285"/>
      <c r="M79" s="285"/>
      <c r="N79" s="285"/>
      <c r="O79" s="101">
        <f t="shared" si="10"/>
        <v>4.6768150081951889</v>
      </c>
      <c r="Q79" s="283">
        <f t="shared" si="11"/>
        <v>0.11692037520487973</v>
      </c>
      <c r="R79" s="283">
        <f t="shared" si="12"/>
        <v>4.6768150081951891E-2</v>
      </c>
      <c r="S79" s="283">
        <f t="shared" si="13"/>
        <v>4.6768150081951891E-2</v>
      </c>
      <c r="T79" s="283">
        <f t="shared" si="14"/>
        <v>2.3384075040975946E-2</v>
      </c>
      <c r="U79" s="275">
        <f t="shared" si="15"/>
        <v>2.5722482545073535</v>
      </c>
    </row>
    <row r="80" spans="1:21" s="69" customFormat="1" ht="12.9" x14ac:dyDescent="0.5">
      <c r="A80" s="285" t="s">
        <v>1602</v>
      </c>
      <c r="B80" s="286" t="s">
        <v>10</v>
      </c>
      <c r="C80" s="285" t="s">
        <v>1415</v>
      </c>
      <c r="D80" s="285" t="s">
        <v>1432</v>
      </c>
      <c r="E80" s="285" t="s">
        <v>1780</v>
      </c>
      <c r="F80" s="100">
        <v>10140</v>
      </c>
      <c r="G80" s="100">
        <v>215</v>
      </c>
      <c r="H80" s="100">
        <v>0.69267312661498703</v>
      </c>
      <c r="I80" s="100">
        <f t="shared" si="8"/>
        <v>6.9267312661498701E-2</v>
      </c>
      <c r="J80" s="101">
        <f t="shared" si="9"/>
        <v>0.76194043927648569</v>
      </c>
      <c r="K80" s="285"/>
      <c r="L80" s="285"/>
      <c r="M80" s="285"/>
      <c r="N80" s="285"/>
      <c r="O80" s="101">
        <f t="shared" si="10"/>
        <v>1.5238808785529714</v>
      </c>
      <c r="Q80" s="283">
        <f t="shared" si="11"/>
        <v>3.8097021963824286E-2</v>
      </c>
      <c r="R80" s="283">
        <f t="shared" si="12"/>
        <v>1.5238808785529714E-2</v>
      </c>
      <c r="S80" s="283">
        <f t="shared" si="13"/>
        <v>1.5238808785529714E-2</v>
      </c>
      <c r="T80" s="283">
        <f t="shared" si="14"/>
        <v>7.6194043927648569E-3</v>
      </c>
      <c r="U80" s="275">
        <f t="shared" si="15"/>
        <v>0.83813448320413431</v>
      </c>
    </row>
    <row r="81" spans="1:21" s="69" customFormat="1" ht="12.9" x14ac:dyDescent="0.5">
      <c r="A81" s="285" t="s">
        <v>18</v>
      </c>
      <c r="B81" s="286" t="s">
        <v>10</v>
      </c>
      <c r="C81" s="285" t="s">
        <v>1446</v>
      </c>
      <c r="D81" s="285" t="s">
        <v>1432</v>
      </c>
      <c r="E81" s="285" t="s">
        <v>11</v>
      </c>
      <c r="F81" s="100">
        <v>6139</v>
      </c>
      <c r="G81" s="100">
        <v>10</v>
      </c>
      <c r="H81" s="100">
        <v>6.428991957726458</v>
      </c>
      <c r="I81" s="100">
        <f t="shared" si="8"/>
        <v>0.64289919577264587</v>
      </c>
      <c r="J81" s="101">
        <f t="shared" si="9"/>
        <v>7.071891153499104</v>
      </c>
      <c r="K81" s="285"/>
      <c r="L81" s="285"/>
      <c r="M81" s="285"/>
      <c r="N81" s="285"/>
      <c r="O81" s="101">
        <f t="shared" si="10"/>
        <v>14.143782306998208</v>
      </c>
      <c r="Q81" s="283">
        <f t="shared" si="11"/>
        <v>0.35359455767495523</v>
      </c>
      <c r="R81" s="283">
        <f t="shared" si="12"/>
        <v>0.14143782306998209</v>
      </c>
      <c r="S81" s="283">
        <f t="shared" si="13"/>
        <v>0.14143782306998209</v>
      </c>
      <c r="T81" s="283">
        <f t="shared" si="14"/>
        <v>7.0718911534991047E-2</v>
      </c>
      <c r="U81" s="275">
        <f t="shared" si="15"/>
        <v>7.7790802688490137</v>
      </c>
    </row>
    <row r="82" spans="1:21" s="69" customFormat="1" ht="12.9" x14ac:dyDescent="0.5">
      <c r="A82" s="285" t="s">
        <v>1603</v>
      </c>
      <c r="B82" s="286" t="s">
        <v>10</v>
      </c>
      <c r="C82" s="285" t="s">
        <v>1418</v>
      </c>
      <c r="D82" s="285" t="s">
        <v>1590</v>
      </c>
      <c r="E82" s="285" t="s">
        <v>1780</v>
      </c>
      <c r="F82" s="100">
        <v>1655</v>
      </c>
      <c r="G82" s="100">
        <v>26</v>
      </c>
      <c r="H82" s="100">
        <v>0.5022478632478633</v>
      </c>
      <c r="I82" s="100">
        <f t="shared" si="8"/>
        <v>5.022478632478633E-2</v>
      </c>
      <c r="J82" s="101">
        <f t="shared" si="9"/>
        <v>0.55247264957264963</v>
      </c>
      <c r="K82" s="285"/>
      <c r="L82" s="285"/>
      <c r="M82" s="285"/>
      <c r="N82" s="285"/>
      <c r="O82" s="101">
        <f t="shared" si="10"/>
        <v>1.1049452991452993</v>
      </c>
      <c r="Q82" s="283">
        <f t="shared" si="11"/>
        <v>2.7623632478632483E-2</v>
      </c>
      <c r="R82" s="283">
        <f t="shared" si="12"/>
        <v>1.1049452991452992E-2</v>
      </c>
      <c r="S82" s="283">
        <f t="shared" si="13"/>
        <v>1.1049452991452992E-2</v>
      </c>
      <c r="T82" s="283">
        <f t="shared" si="14"/>
        <v>5.5247264957264961E-3</v>
      </c>
      <c r="U82" s="275">
        <f t="shared" si="15"/>
        <v>0.6077199145299147</v>
      </c>
    </row>
    <row r="83" spans="1:21" s="69" customFormat="1" ht="12.9" x14ac:dyDescent="0.5">
      <c r="A83" s="285" t="s">
        <v>1604</v>
      </c>
      <c r="B83" s="286" t="s">
        <v>10</v>
      </c>
      <c r="C83" s="285" t="s">
        <v>1591</v>
      </c>
      <c r="D83" s="285" t="s">
        <v>1467</v>
      </c>
      <c r="E83" s="285" t="s">
        <v>1780</v>
      </c>
      <c r="F83" s="100">
        <v>2229</v>
      </c>
      <c r="G83" s="100">
        <v>51</v>
      </c>
      <c r="H83" s="100">
        <v>0.49887824897400834</v>
      </c>
      <c r="I83" s="100">
        <f t="shared" si="8"/>
        <v>4.9887824897400838E-2</v>
      </c>
      <c r="J83" s="101">
        <f t="shared" si="9"/>
        <v>0.54876607387140919</v>
      </c>
      <c r="K83" s="285"/>
      <c r="L83" s="285"/>
      <c r="M83" s="285"/>
      <c r="N83" s="285"/>
      <c r="O83" s="101">
        <f t="shared" si="10"/>
        <v>1.0975321477428184</v>
      </c>
      <c r="Q83" s="283">
        <f t="shared" si="11"/>
        <v>2.7438303693570462E-2</v>
      </c>
      <c r="R83" s="283">
        <f t="shared" si="12"/>
        <v>1.0975321477428183E-2</v>
      </c>
      <c r="S83" s="283">
        <f t="shared" si="13"/>
        <v>1.0975321477428183E-2</v>
      </c>
      <c r="T83" s="283">
        <f t="shared" si="14"/>
        <v>5.4876607387140917E-3</v>
      </c>
      <c r="U83" s="275">
        <f t="shared" si="15"/>
        <v>0.60364268125855014</v>
      </c>
    </row>
    <row r="84" spans="1:21" s="69" customFormat="1" ht="12.9" x14ac:dyDescent="0.5">
      <c r="A84" s="285" t="s">
        <v>1605</v>
      </c>
      <c r="B84" s="286" t="s">
        <v>10</v>
      </c>
      <c r="C84" s="285" t="s">
        <v>1592</v>
      </c>
      <c r="D84" s="285" t="s">
        <v>1593</v>
      </c>
      <c r="E84" s="285" t="s">
        <v>1780</v>
      </c>
      <c r="F84" s="100">
        <v>855</v>
      </c>
      <c r="G84" s="100">
        <v>26</v>
      </c>
      <c r="H84" s="100">
        <v>0.37840170940170942</v>
      </c>
      <c r="I84" s="100">
        <f t="shared" si="8"/>
        <v>3.7840170940170947E-2</v>
      </c>
      <c r="J84" s="101">
        <f t="shared" si="9"/>
        <v>0.41624188034188037</v>
      </c>
      <c r="K84" s="285"/>
      <c r="L84" s="285"/>
      <c r="M84" s="285"/>
      <c r="N84" s="285"/>
      <c r="O84" s="101">
        <f t="shared" si="10"/>
        <v>0.83248376068376073</v>
      </c>
      <c r="Q84" s="283">
        <f t="shared" si="11"/>
        <v>2.081209401709402E-2</v>
      </c>
      <c r="R84" s="283">
        <f t="shared" si="12"/>
        <v>8.3248376068376078E-3</v>
      </c>
      <c r="S84" s="283">
        <f t="shared" si="13"/>
        <v>8.3248376068376078E-3</v>
      </c>
      <c r="T84" s="283">
        <f t="shared" si="14"/>
        <v>4.1624188034188039E-3</v>
      </c>
      <c r="U84" s="275">
        <f t="shared" si="15"/>
        <v>0.45786606837606836</v>
      </c>
    </row>
    <row r="85" spans="1:21" s="69" customFormat="1" ht="12.9" x14ac:dyDescent="0.5">
      <c r="A85" s="285" t="s">
        <v>1606</v>
      </c>
      <c r="B85" s="286" t="s">
        <v>10</v>
      </c>
      <c r="C85" s="285" t="s">
        <v>1416</v>
      </c>
      <c r="D85" s="285" t="s">
        <v>1507</v>
      </c>
      <c r="E85" s="285" t="s">
        <v>1780</v>
      </c>
      <c r="F85" s="100">
        <v>795</v>
      </c>
      <c r="G85" s="100">
        <v>26</v>
      </c>
      <c r="H85" s="100">
        <v>0.25188817753634907</v>
      </c>
      <c r="I85" s="100">
        <f t="shared" si="8"/>
        <v>2.5188817753634907E-2</v>
      </c>
      <c r="J85" s="101">
        <f t="shared" si="9"/>
        <v>0.27707699528998397</v>
      </c>
      <c r="K85" s="285"/>
      <c r="L85" s="285"/>
      <c r="M85" s="285"/>
      <c r="N85" s="285"/>
      <c r="O85" s="101">
        <f t="shared" si="10"/>
        <v>0.55415399057996795</v>
      </c>
      <c r="Q85" s="283">
        <f t="shared" si="11"/>
        <v>1.38538497644992E-2</v>
      </c>
      <c r="R85" s="283">
        <f t="shared" si="12"/>
        <v>5.5415399057996799E-3</v>
      </c>
      <c r="S85" s="283">
        <f t="shared" si="13"/>
        <v>5.5415399057996799E-3</v>
      </c>
      <c r="T85" s="283">
        <f t="shared" si="14"/>
        <v>2.7707699528998399E-3</v>
      </c>
      <c r="U85" s="275">
        <f t="shared" si="15"/>
        <v>0.3047846948189824</v>
      </c>
    </row>
    <row r="86" spans="1:21" s="69" customFormat="1" ht="12.9" x14ac:dyDescent="0.5">
      <c r="A86" s="285" t="s">
        <v>1607</v>
      </c>
      <c r="B86" s="286" t="s">
        <v>10</v>
      </c>
      <c r="C86" s="285" t="s">
        <v>1594</v>
      </c>
      <c r="D86" s="285" t="s">
        <v>1589</v>
      </c>
      <c r="E86" s="285" t="s">
        <v>1780</v>
      </c>
      <c r="F86" s="100">
        <v>17722</v>
      </c>
      <c r="G86" s="100">
        <v>560</v>
      </c>
      <c r="H86" s="100">
        <v>0.58688857142857143</v>
      </c>
      <c r="I86" s="100">
        <f t="shared" si="8"/>
        <v>5.8688857142857147E-2</v>
      </c>
      <c r="J86" s="101">
        <f t="shared" si="9"/>
        <v>0.64557742857142852</v>
      </c>
      <c r="K86" s="285"/>
      <c r="L86" s="285"/>
      <c r="M86" s="285"/>
      <c r="N86" s="285"/>
      <c r="O86" s="101">
        <f t="shared" si="10"/>
        <v>1.291154857142857</v>
      </c>
      <c r="Q86" s="283">
        <f t="shared" si="11"/>
        <v>3.2278871428571429E-2</v>
      </c>
      <c r="R86" s="283">
        <f t="shared" si="12"/>
        <v>1.2911548571428571E-2</v>
      </c>
      <c r="S86" s="283">
        <f t="shared" si="13"/>
        <v>1.2911548571428571E-2</v>
      </c>
      <c r="T86" s="283">
        <f t="shared" si="14"/>
        <v>6.4557742857142856E-3</v>
      </c>
      <c r="U86" s="275">
        <f t="shared" si="15"/>
        <v>0.71013517142857152</v>
      </c>
    </row>
    <row r="87" spans="1:21" s="69" customFormat="1" ht="12.9" x14ac:dyDescent="0.5">
      <c r="A87" s="285" t="s">
        <v>1608</v>
      </c>
      <c r="B87" s="286" t="s">
        <v>10</v>
      </c>
      <c r="C87" s="285" t="s">
        <v>1595</v>
      </c>
      <c r="D87" s="285" t="s">
        <v>1589</v>
      </c>
      <c r="E87" s="285" t="s">
        <v>1780</v>
      </c>
      <c r="F87" s="100">
        <v>14075</v>
      </c>
      <c r="G87" s="100">
        <v>480</v>
      </c>
      <c r="H87" s="100">
        <v>0.7038854166666666</v>
      </c>
      <c r="I87" s="100">
        <f t="shared" si="8"/>
        <v>7.0388541666666665E-2</v>
      </c>
      <c r="J87" s="101">
        <f t="shared" si="9"/>
        <v>0.77427395833333323</v>
      </c>
      <c r="K87" s="285"/>
      <c r="L87" s="285"/>
      <c r="M87" s="285"/>
      <c r="N87" s="285"/>
      <c r="O87" s="101">
        <f t="shared" si="10"/>
        <v>1.5485479166666665</v>
      </c>
      <c r="Q87" s="283">
        <f t="shared" si="11"/>
        <v>3.8713697916666664E-2</v>
      </c>
      <c r="R87" s="283">
        <f t="shared" si="12"/>
        <v>1.5485479166666665E-2</v>
      </c>
      <c r="S87" s="283">
        <f t="shared" si="13"/>
        <v>1.5485479166666665E-2</v>
      </c>
      <c r="T87" s="283">
        <f t="shared" si="14"/>
        <v>7.7427395833333324E-3</v>
      </c>
      <c r="U87" s="275">
        <f t="shared" si="15"/>
        <v>0.85170135416666659</v>
      </c>
    </row>
    <row r="88" spans="1:21" s="69" customFormat="1" ht="12.9" x14ac:dyDescent="0.5">
      <c r="A88" s="285" t="s">
        <v>1642</v>
      </c>
      <c r="B88" s="286" t="s">
        <v>10</v>
      </c>
      <c r="C88" s="285" t="s">
        <v>1609</v>
      </c>
      <c r="D88" s="285" t="s">
        <v>1589</v>
      </c>
      <c r="E88" s="285" t="s">
        <v>1779</v>
      </c>
      <c r="F88" s="100">
        <v>2260</v>
      </c>
      <c r="G88" s="100">
        <v>10</v>
      </c>
      <c r="H88" s="100">
        <v>0.67609754528372079</v>
      </c>
      <c r="I88" s="100">
        <f t="shared" si="8"/>
        <v>6.7609754528372076E-2</v>
      </c>
      <c r="J88" s="101">
        <f t="shared" si="9"/>
        <v>0.74370729981209283</v>
      </c>
      <c r="K88" s="285"/>
      <c r="L88" s="285"/>
      <c r="M88" s="285"/>
      <c r="N88" s="285"/>
      <c r="O88" s="101">
        <f t="shared" si="10"/>
        <v>1.4874145996241857</v>
      </c>
      <c r="Q88" s="283">
        <f t="shared" si="11"/>
        <v>3.7185364990604645E-2</v>
      </c>
      <c r="R88" s="283">
        <f t="shared" si="12"/>
        <v>1.4874145996241856E-2</v>
      </c>
      <c r="S88" s="283">
        <f t="shared" si="13"/>
        <v>1.4874145996241856E-2</v>
      </c>
      <c r="T88" s="283">
        <f t="shared" si="14"/>
        <v>7.4370729981209282E-3</v>
      </c>
      <c r="U88" s="275">
        <f t="shared" si="15"/>
        <v>0.81807802979330202</v>
      </c>
    </row>
    <row r="89" spans="1:21" s="69" customFormat="1" ht="12.9" x14ac:dyDescent="0.5">
      <c r="A89" s="285" t="s">
        <v>1643</v>
      </c>
      <c r="B89" s="286" t="s">
        <v>10</v>
      </c>
      <c r="C89" s="285" t="s">
        <v>1610</v>
      </c>
      <c r="D89" s="285" t="s">
        <v>1432</v>
      </c>
      <c r="E89" s="285" t="s">
        <v>1779</v>
      </c>
      <c r="F89" s="100">
        <v>3286</v>
      </c>
      <c r="G89" s="100">
        <v>14</v>
      </c>
      <c r="H89" s="100">
        <v>1.1922933519857786</v>
      </c>
      <c r="I89" s="100">
        <f t="shared" si="8"/>
        <v>0.11922933519857787</v>
      </c>
      <c r="J89" s="101">
        <f t="shared" si="9"/>
        <v>1.3115226871843564</v>
      </c>
      <c r="K89" s="285"/>
      <c r="L89" s="285"/>
      <c r="M89" s="285"/>
      <c r="N89" s="285"/>
      <c r="O89" s="101">
        <f t="shared" si="10"/>
        <v>2.6230453743687128</v>
      </c>
      <c r="Q89" s="283">
        <f t="shared" si="11"/>
        <v>6.5576134359217816E-2</v>
      </c>
      <c r="R89" s="283">
        <f t="shared" si="12"/>
        <v>2.6230453743687127E-2</v>
      </c>
      <c r="S89" s="283">
        <f t="shared" si="13"/>
        <v>2.6230453743687127E-2</v>
      </c>
      <c r="T89" s="283">
        <f t="shared" si="14"/>
        <v>1.3115226871843563E-2</v>
      </c>
      <c r="U89" s="275">
        <f t="shared" si="15"/>
        <v>1.4426749559027918</v>
      </c>
    </row>
    <row r="90" spans="1:21" s="69" customFormat="1" ht="12.9" x14ac:dyDescent="0.5">
      <c r="A90" s="285" t="s">
        <v>1644</v>
      </c>
      <c r="B90" s="286" t="s">
        <v>10</v>
      </c>
      <c r="C90" s="285" t="s">
        <v>1612</v>
      </c>
      <c r="D90" s="285" t="s">
        <v>1432</v>
      </c>
      <c r="E90" s="285" t="s">
        <v>1779</v>
      </c>
      <c r="F90" s="100">
        <v>2968</v>
      </c>
      <c r="G90" s="100">
        <v>14</v>
      </c>
      <c r="H90" s="100">
        <v>1.1939203736136725</v>
      </c>
      <c r="I90" s="100">
        <f t="shared" si="8"/>
        <v>0.11939203736136726</v>
      </c>
      <c r="J90" s="101">
        <f t="shared" si="9"/>
        <v>1.3133124109750398</v>
      </c>
      <c r="K90" s="285"/>
      <c r="L90" s="285"/>
      <c r="M90" s="285"/>
      <c r="N90" s="285"/>
      <c r="O90" s="101">
        <f t="shared" si="10"/>
        <v>2.6266248219500796</v>
      </c>
      <c r="Q90" s="283">
        <f t="shared" si="11"/>
        <v>6.5665620548751996E-2</v>
      </c>
      <c r="R90" s="283">
        <f t="shared" si="12"/>
        <v>2.6266248219500798E-2</v>
      </c>
      <c r="S90" s="283">
        <f t="shared" si="13"/>
        <v>2.6266248219500798E-2</v>
      </c>
      <c r="T90" s="283">
        <f t="shared" si="14"/>
        <v>1.3133124109750399E-2</v>
      </c>
      <c r="U90" s="275">
        <f t="shared" si="15"/>
        <v>1.4446436520725439</v>
      </c>
    </row>
    <row r="91" spans="1:21" s="69" customFormat="1" ht="12.9" x14ac:dyDescent="0.5">
      <c r="A91" s="285" t="s">
        <v>1645</v>
      </c>
      <c r="B91" s="286" t="s">
        <v>10</v>
      </c>
      <c r="C91" s="285" t="s">
        <v>1615</v>
      </c>
      <c r="D91" s="285" t="s">
        <v>1769</v>
      </c>
      <c r="E91" s="285" t="s">
        <v>1779</v>
      </c>
      <c r="F91" s="100">
        <v>3281</v>
      </c>
      <c r="G91" s="100">
        <v>14</v>
      </c>
      <c r="H91" s="100">
        <v>1.1917179551603816</v>
      </c>
      <c r="I91" s="100">
        <f t="shared" si="8"/>
        <v>0.11917179551603817</v>
      </c>
      <c r="J91" s="101">
        <f t="shared" si="9"/>
        <v>1.3108897506764197</v>
      </c>
      <c r="K91" s="285"/>
      <c r="L91" s="285"/>
      <c r="M91" s="285"/>
      <c r="N91" s="285"/>
      <c r="O91" s="101">
        <f t="shared" si="10"/>
        <v>2.6217795013528393</v>
      </c>
      <c r="Q91" s="283">
        <f t="shared" si="11"/>
        <v>6.5544487533820986E-2</v>
      </c>
      <c r="R91" s="283">
        <f t="shared" si="12"/>
        <v>2.6217795013528392E-2</v>
      </c>
      <c r="S91" s="283">
        <f t="shared" si="13"/>
        <v>2.6217795013528392E-2</v>
      </c>
      <c r="T91" s="283">
        <f t="shared" si="14"/>
        <v>1.3108897506764196E-2</v>
      </c>
      <c r="U91" s="275">
        <f t="shared" si="15"/>
        <v>1.4419787257440617</v>
      </c>
    </row>
    <row r="92" spans="1:21" s="69" customFormat="1" ht="12.9" x14ac:dyDescent="0.5">
      <c r="A92" s="285" t="s">
        <v>19</v>
      </c>
      <c r="B92" s="286" t="s">
        <v>10</v>
      </c>
      <c r="C92" s="285" t="s">
        <v>1449</v>
      </c>
      <c r="D92" s="285" t="s">
        <v>1448</v>
      </c>
      <c r="E92" s="285" t="s">
        <v>11</v>
      </c>
      <c r="F92" s="100">
        <v>4799</v>
      </c>
      <c r="G92" s="100">
        <v>10</v>
      </c>
      <c r="H92" s="100">
        <v>6.0390065387495522</v>
      </c>
      <c r="I92" s="100">
        <f t="shared" si="8"/>
        <v>0.60390065387495528</v>
      </c>
      <c r="J92" s="101">
        <f t="shared" si="9"/>
        <v>6.6429071926245076</v>
      </c>
      <c r="K92" s="285"/>
      <c r="L92" s="285"/>
      <c r="M92" s="285"/>
      <c r="N92" s="285"/>
      <c r="O92" s="101">
        <f t="shared" si="10"/>
        <v>13.285814385249015</v>
      </c>
      <c r="Q92" s="283">
        <f t="shared" si="11"/>
        <v>0.33214535963122538</v>
      </c>
      <c r="R92" s="283">
        <f t="shared" si="12"/>
        <v>0.13285814385249015</v>
      </c>
      <c r="S92" s="283">
        <f t="shared" si="13"/>
        <v>0.13285814385249015</v>
      </c>
      <c r="T92" s="283">
        <f t="shared" si="14"/>
        <v>6.6429071926245073E-2</v>
      </c>
      <c r="U92" s="275">
        <f t="shared" si="15"/>
        <v>7.3071979118869583</v>
      </c>
    </row>
    <row r="93" spans="1:21" s="69" customFormat="1" ht="12.9" x14ac:dyDescent="0.5">
      <c r="A93" s="285" t="s">
        <v>1646</v>
      </c>
      <c r="B93" s="286" t="s">
        <v>10</v>
      </c>
      <c r="C93" s="285" t="s">
        <v>1617</v>
      </c>
      <c r="D93" s="285" t="s">
        <v>1432</v>
      </c>
      <c r="E93" s="285" t="s">
        <v>1779</v>
      </c>
      <c r="F93" s="100">
        <v>3091</v>
      </c>
      <c r="G93" s="100">
        <v>14</v>
      </c>
      <c r="H93" s="100">
        <v>0.7833475840336136</v>
      </c>
      <c r="I93" s="100">
        <f t="shared" si="8"/>
        <v>7.8334758403361363E-2</v>
      </c>
      <c r="J93" s="101">
        <f t="shared" si="9"/>
        <v>0.86168234243697495</v>
      </c>
      <c r="K93" s="285"/>
      <c r="L93" s="285"/>
      <c r="M93" s="285"/>
      <c r="N93" s="285"/>
      <c r="O93" s="101">
        <f t="shared" si="10"/>
        <v>1.7233646848739499</v>
      </c>
      <c r="Q93" s="283">
        <f t="shared" si="11"/>
        <v>4.3084117121848751E-2</v>
      </c>
      <c r="R93" s="283">
        <f t="shared" si="12"/>
        <v>1.7233646848739501E-2</v>
      </c>
      <c r="S93" s="283">
        <f t="shared" si="13"/>
        <v>1.7233646848739501E-2</v>
      </c>
      <c r="T93" s="283">
        <f t="shared" si="14"/>
        <v>8.6168234243697503E-3</v>
      </c>
      <c r="U93" s="275">
        <f t="shared" si="15"/>
        <v>0.94785057668067252</v>
      </c>
    </row>
    <row r="94" spans="1:21" x14ac:dyDescent="0.55000000000000004">
      <c r="A94" s="287" t="s">
        <v>1419</v>
      </c>
      <c r="B94" s="288" t="s">
        <v>10</v>
      </c>
      <c r="C94" s="287" t="s">
        <v>1618</v>
      </c>
      <c r="D94" s="287" t="s">
        <v>1776</v>
      </c>
      <c r="E94" s="287" t="s">
        <v>1779</v>
      </c>
      <c r="F94" s="100">
        <v>3151</v>
      </c>
      <c r="G94" s="100">
        <v>14</v>
      </c>
      <c r="H94" s="100">
        <v>1.1776237800315434</v>
      </c>
      <c r="I94" s="100">
        <f t="shared" si="8"/>
        <v>0.11776237800315435</v>
      </c>
      <c r="J94" s="101">
        <f t="shared" si="9"/>
        <v>1.2953861580346977</v>
      </c>
      <c r="K94" s="287"/>
      <c r="L94" s="287"/>
      <c r="M94" s="287"/>
      <c r="N94" s="287"/>
      <c r="O94" s="101">
        <f t="shared" si="10"/>
        <v>2.5907723160693954</v>
      </c>
      <c r="Q94" s="283">
        <f t="shared" si="11"/>
        <v>6.4769307901734893E-2</v>
      </c>
      <c r="R94" s="283">
        <f t="shared" si="12"/>
        <v>2.5907723160693955E-2</v>
      </c>
      <c r="S94" s="283">
        <f t="shared" si="13"/>
        <v>2.5907723160693955E-2</v>
      </c>
      <c r="T94" s="283">
        <f t="shared" si="14"/>
        <v>1.2953861580346978E-2</v>
      </c>
      <c r="U94" s="275">
        <f t="shared" si="15"/>
        <v>1.4249247738381674</v>
      </c>
    </row>
    <row r="95" spans="1:21" x14ac:dyDescent="0.55000000000000004">
      <c r="A95" s="287" t="s">
        <v>1420</v>
      </c>
      <c r="B95" s="288" t="s">
        <v>10</v>
      </c>
      <c r="C95" s="287" t="s">
        <v>1619</v>
      </c>
      <c r="D95" s="287" t="s">
        <v>1775</v>
      </c>
      <c r="E95" s="287" t="s">
        <v>1779</v>
      </c>
      <c r="F95" s="100">
        <v>3091</v>
      </c>
      <c r="G95" s="100">
        <v>14</v>
      </c>
      <c r="H95" s="100">
        <v>0.7833475840336136</v>
      </c>
      <c r="I95" s="100">
        <f t="shared" si="8"/>
        <v>7.8334758403361363E-2</v>
      </c>
      <c r="J95" s="101">
        <f t="shared" si="9"/>
        <v>0.86168234243697495</v>
      </c>
      <c r="K95" s="287"/>
      <c r="L95" s="287"/>
      <c r="M95" s="287"/>
      <c r="N95" s="287"/>
      <c r="O95" s="101">
        <f t="shared" si="10"/>
        <v>1.7233646848739499</v>
      </c>
      <c r="Q95" s="283">
        <f t="shared" si="11"/>
        <v>4.3084117121848751E-2</v>
      </c>
      <c r="R95" s="283">
        <f t="shared" si="12"/>
        <v>1.7233646848739501E-2</v>
      </c>
      <c r="S95" s="283">
        <f t="shared" si="13"/>
        <v>1.7233646848739501E-2</v>
      </c>
      <c r="T95" s="283">
        <f t="shared" si="14"/>
        <v>8.6168234243697503E-3</v>
      </c>
      <c r="U95" s="275">
        <f t="shared" si="15"/>
        <v>0.94785057668067252</v>
      </c>
    </row>
    <row r="96" spans="1:21" x14ac:dyDescent="0.55000000000000004">
      <c r="A96" s="287" t="s">
        <v>1421</v>
      </c>
      <c r="B96" s="288" t="s">
        <v>10</v>
      </c>
      <c r="C96" s="287" t="s">
        <v>1620</v>
      </c>
      <c r="D96" s="287" t="s">
        <v>1448</v>
      </c>
      <c r="E96" s="287" t="s">
        <v>1779</v>
      </c>
      <c r="F96" s="100">
        <v>3157</v>
      </c>
      <c r="G96" s="100">
        <v>14</v>
      </c>
      <c r="H96" s="100">
        <v>0.61025884899414318</v>
      </c>
      <c r="I96" s="100">
        <f t="shared" si="8"/>
        <v>6.1025884899414323E-2</v>
      </c>
      <c r="J96" s="101">
        <f t="shared" si="9"/>
        <v>0.67128473389355747</v>
      </c>
      <c r="K96" s="287"/>
      <c r="L96" s="287"/>
      <c r="M96" s="287"/>
      <c r="N96" s="287"/>
      <c r="O96" s="101">
        <f t="shared" si="10"/>
        <v>1.3425694677871149</v>
      </c>
      <c r="Q96" s="283">
        <f t="shared" si="11"/>
        <v>3.3564236694677875E-2</v>
      </c>
      <c r="R96" s="283">
        <f t="shared" si="12"/>
        <v>1.342569467787115E-2</v>
      </c>
      <c r="S96" s="283">
        <f t="shared" si="13"/>
        <v>1.342569467787115E-2</v>
      </c>
      <c r="T96" s="283">
        <f t="shared" si="14"/>
        <v>6.712847338935575E-3</v>
      </c>
      <c r="U96" s="275">
        <f t="shared" si="15"/>
        <v>0.73841320728291326</v>
      </c>
    </row>
    <row r="97" spans="1:21" x14ac:dyDescent="0.55000000000000004">
      <c r="A97" s="287" t="s">
        <v>1422</v>
      </c>
      <c r="B97" s="288" t="s">
        <v>10</v>
      </c>
      <c r="C97" s="287" t="s">
        <v>1621</v>
      </c>
      <c r="D97" s="287" t="s">
        <v>1448</v>
      </c>
      <c r="E97" s="287" t="s">
        <v>1779</v>
      </c>
      <c r="F97" s="100">
        <v>3093</v>
      </c>
      <c r="G97" s="100">
        <v>10</v>
      </c>
      <c r="H97" s="100">
        <v>0.42020350341624263</v>
      </c>
      <c r="I97" s="100">
        <f t="shared" si="8"/>
        <v>4.2020350341624269E-2</v>
      </c>
      <c r="J97" s="101">
        <f t="shared" si="9"/>
        <v>0.4622238537578669</v>
      </c>
      <c r="K97" s="287"/>
      <c r="L97" s="287"/>
      <c r="M97" s="287"/>
      <c r="N97" s="287"/>
      <c r="O97" s="101">
        <f t="shared" si="10"/>
        <v>0.9244477075157338</v>
      </c>
      <c r="Q97" s="283">
        <f t="shared" si="11"/>
        <v>2.3111192687893346E-2</v>
      </c>
      <c r="R97" s="283">
        <f t="shared" si="12"/>
        <v>9.2444770751573379E-3</v>
      </c>
      <c r="S97" s="283">
        <f t="shared" si="13"/>
        <v>9.2444770751573379E-3</v>
      </c>
      <c r="T97" s="283">
        <f t="shared" si="14"/>
        <v>4.6222385375786689E-3</v>
      </c>
      <c r="U97" s="275">
        <f t="shared" si="15"/>
        <v>0.50844623913365361</v>
      </c>
    </row>
    <row r="98" spans="1:21" x14ac:dyDescent="0.55000000000000004">
      <c r="A98" s="287" t="s">
        <v>1423</v>
      </c>
      <c r="B98" s="288" t="s">
        <v>10</v>
      </c>
      <c r="C98" s="287" t="s">
        <v>1622</v>
      </c>
      <c r="D98" s="287" t="s">
        <v>1448</v>
      </c>
      <c r="E98" s="287" t="s">
        <v>1779</v>
      </c>
      <c r="F98" s="100">
        <v>3041</v>
      </c>
      <c r="G98" s="100">
        <v>14</v>
      </c>
      <c r="H98" s="100">
        <v>0.77413424998879443</v>
      </c>
      <c r="I98" s="100">
        <f t="shared" si="8"/>
        <v>7.7413424998879446E-2</v>
      </c>
      <c r="J98" s="101">
        <f t="shared" si="9"/>
        <v>0.85154767498767392</v>
      </c>
      <c r="K98" s="287"/>
      <c r="L98" s="287"/>
      <c r="M98" s="287"/>
      <c r="N98" s="287"/>
      <c r="O98" s="101">
        <f t="shared" si="10"/>
        <v>1.7030953499753478</v>
      </c>
      <c r="Q98" s="283">
        <f t="shared" si="11"/>
        <v>4.2577383749383697E-2</v>
      </c>
      <c r="R98" s="283">
        <f t="shared" si="12"/>
        <v>1.703095349975348E-2</v>
      </c>
      <c r="S98" s="283">
        <f t="shared" si="13"/>
        <v>1.703095349975348E-2</v>
      </c>
      <c r="T98" s="283">
        <f t="shared" si="14"/>
        <v>8.5154767498767398E-3</v>
      </c>
      <c r="U98" s="275">
        <f t="shared" si="15"/>
        <v>0.9367024424864413</v>
      </c>
    </row>
    <row r="99" spans="1:21" x14ac:dyDescent="0.55000000000000004">
      <c r="A99" s="287" t="s">
        <v>1425</v>
      </c>
      <c r="B99" s="288" t="s">
        <v>10</v>
      </c>
      <c r="C99" s="287" t="s">
        <v>1623</v>
      </c>
      <c r="D99" s="287" t="s">
        <v>1448</v>
      </c>
      <c r="E99" s="287" t="s">
        <v>1779</v>
      </c>
      <c r="F99" s="100">
        <v>3207</v>
      </c>
      <c r="G99" s="100">
        <v>10</v>
      </c>
      <c r="H99" s="100">
        <v>0.84408344571029992</v>
      </c>
      <c r="I99" s="100">
        <f t="shared" si="8"/>
        <v>8.4408344571029997E-2</v>
      </c>
      <c r="J99" s="101">
        <f t="shared" si="9"/>
        <v>0.92849179028132989</v>
      </c>
      <c r="K99" s="287"/>
      <c r="L99" s="287"/>
      <c r="M99" s="287"/>
      <c r="N99" s="287"/>
      <c r="O99" s="101">
        <f t="shared" si="10"/>
        <v>1.8569835805626598</v>
      </c>
      <c r="Q99" s="283">
        <f t="shared" si="11"/>
        <v>4.64245895140665E-2</v>
      </c>
      <c r="R99" s="283">
        <f t="shared" si="12"/>
        <v>1.8569835805626596E-2</v>
      </c>
      <c r="S99" s="283">
        <f t="shared" si="13"/>
        <v>1.8569835805626596E-2</v>
      </c>
      <c r="T99" s="283">
        <f t="shared" si="14"/>
        <v>9.2849179028132982E-3</v>
      </c>
      <c r="U99" s="275">
        <f t="shared" si="15"/>
        <v>1.0213409693094628</v>
      </c>
    </row>
    <row r="100" spans="1:21" x14ac:dyDescent="0.55000000000000004">
      <c r="A100" s="287" t="s">
        <v>1426</v>
      </c>
      <c r="B100" s="288" t="s">
        <v>10</v>
      </c>
      <c r="C100" s="287" t="s">
        <v>1625</v>
      </c>
      <c r="D100" s="287" t="s">
        <v>1467</v>
      </c>
      <c r="E100" s="287" t="s">
        <v>1779</v>
      </c>
      <c r="F100" s="100">
        <v>2657</v>
      </c>
      <c r="G100" s="100">
        <v>12</v>
      </c>
      <c r="H100" s="100">
        <v>0.82309986892973208</v>
      </c>
      <c r="I100" s="100">
        <f t="shared" si="8"/>
        <v>8.2309986892973211E-2</v>
      </c>
      <c r="J100" s="101">
        <f t="shared" si="9"/>
        <v>0.90540985582270528</v>
      </c>
      <c r="K100" s="287"/>
      <c r="L100" s="287"/>
      <c r="M100" s="287"/>
      <c r="N100" s="287"/>
      <c r="O100" s="101">
        <f t="shared" si="10"/>
        <v>1.8108197116454106</v>
      </c>
      <c r="Q100" s="283">
        <f t="shared" si="11"/>
        <v>4.5270492791135264E-2</v>
      </c>
      <c r="R100" s="283">
        <f t="shared" si="12"/>
        <v>1.8108197116454106E-2</v>
      </c>
      <c r="S100" s="283">
        <f t="shared" si="13"/>
        <v>1.8108197116454106E-2</v>
      </c>
      <c r="T100" s="283">
        <f t="shared" si="14"/>
        <v>9.0540985582270531E-3</v>
      </c>
      <c r="U100" s="275">
        <f t="shared" si="15"/>
        <v>0.9959508414049757</v>
      </c>
    </row>
    <row r="101" spans="1:21" x14ac:dyDescent="0.55000000000000004">
      <c r="A101" s="287" t="s">
        <v>1427</v>
      </c>
      <c r="B101" s="288" t="s">
        <v>10</v>
      </c>
      <c r="C101" s="287" t="s">
        <v>1626</v>
      </c>
      <c r="D101" s="287" t="s">
        <v>1467</v>
      </c>
      <c r="E101" s="287" t="s">
        <v>1779</v>
      </c>
      <c r="F101" s="100">
        <v>3088</v>
      </c>
      <c r="G101" s="100">
        <v>14</v>
      </c>
      <c r="H101" s="100">
        <v>0.40051761486052406</v>
      </c>
      <c r="I101" s="100">
        <f t="shared" si="8"/>
        <v>4.0051761486052412E-2</v>
      </c>
      <c r="J101" s="101">
        <f t="shared" si="9"/>
        <v>0.44056937634657645</v>
      </c>
      <c r="K101" s="287"/>
      <c r="L101" s="287"/>
      <c r="M101" s="287"/>
      <c r="N101" s="287"/>
      <c r="O101" s="101">
        <f t="shared" si="10"/>
        <v>0.88113875269315289</v>
      </c>
      <c r="Q101" s="283">
        <f t="shared" si="11"/>
        <v>2.2028468817328825E-2</v>
      </c>
      <c r="R101" s="283">
        <f t="shared" si="12"/>
        <v>8.8113875269315283E-3</v>
      </c>
      <c r="S101" s="283">
        <f t="shared" si="13"/>
        <v>8.8113875269315283E-3</v>
      </c>
      <c r="T101" s="283">
        <f t="shared" si="14"/>
        <v>4.4056937634657642E-3</v>
      </c>
      <c r="U101" s="275">
        <f t="shared" si="15"/>
        <v>0.48462631398123407</v>
      </c>
    </row>
    <row r="102" spans="1:21" x14ac:dyDescent="0.55000000000000004">
      <c r="A102" s="287" t="s">
        <v>1428</v>
      </c>
      <c r="B102" s="288" t="s">
        <v>10</v>
      </c>
      <c r="C102" s="287" t="s">
        <v>1627</v>
      </c>
      <c r="D102" s="287" t="s">
        <v>1467</v>
      </c>
      <c r="E102" s="287" t="s">
        <v>1779</v>
      </c>
      <c r="F102" s="100">
        <v>3071</v>
      </c>
      <c r="G102" s="100">
        <v>14</v>
      </c>
      <c r="H102" s="100">
        <v>0.94921927957229413</v>
      </c>
      <c r="I102" s="100">
        <f t="shared" si="8"/>
        <v>9.4921927957229424E-2</v>
      </c>
      <c r="J102" s="101">
        <f t="shared" si="9"/>
        <v>1.0441412075295236</v>
      </c>
      <c r="K102" s="287"/>
      <c r="L102" s="287"/>
      <c r="M102" s="287"/>
      <c r="N102" s="287"/>
      <c r="O102" s="101">
        <f t="shared" si="10"/>
        <v>2.0882824150590471</v>
      </c>
      <c r="Q102" s="283">
        <f t="shared" si="11"/>
        <v>5.2207060376476183E-2</v>
      </c>
      <c r="R102" s="283">
        <f t="shared" si="12"/>
        <v>2.0882824150590472E-2</v>
      </c>
      <c r="S102" s="283">
        <f t="shared" si="13"/>
        <v>2.0882824150590472E-2</v>
      </c>
      <c r="T102" s="283">
        <f t="shared" si="14"/>
        <v>1.0441412075295236E-2</v>
      </c>
      <c r="U102" s="275">
        <f t="shared" si="15"/>
        <v>1.1485553282824759</v>
      </c>
    </row>
    <row r="103" spans="1:21" x14ac:dyDescent="0.55000000000000004">
      <c r="A103" s="287" t="s">
        <v>1429</v>
      </c>
      <c r="B103" s="288" t="s">
        <v>10</v>
      </c>
      <c r="C103" s="287" t="s">
        <v>1628</v>
      </c>
      <c r="D103" s="287" t="s">
        <v>1467</v>
      </c>
      <c r="E103" s="287" t="s">
        <v>1779</v>
      </c>
      <c r="F103" s="100">
        <v>3457</v>
      </c>
      <c r="G103" s="100">
        <v>14</v>
      </c>
      <c r="H103" s="100">
        <v>0.65111560249176348</v>
      </c>
      <c r="I103" s="100">
        <f t="shared" si="8"/>
        <v>6.5111560249176345E-2</v>
      </c>
      <c r="J103" s="101">
        <f t="shared" si="9"/>
        <v>0.71622716274093978</v>
      </c>
      <c r="K103" s="287"/>
      <c r="L103" s="287"/>
      <c r="M103" s="287"/>
      <c r="N103" s="287"/>
      <c r="O103" s="101">
        <f t="shared" si="10"/>
        <v>1.4324543254818796</v>
      </c>
      <c r="Q103" s="283">
        <f t="shared" si="11"/>
        <v>3.5811358137046993E-2</v>
      </c>
      <c r="R103" s="283">
        <f t="shared" si="12"/>
        <v>1.4324543254818797E-2</v>
      </c>
      <c r="S103" s="283">
        <f t="shared" si="13"/>
        <v>1.4324543254818797E-2</v>
      </c>
      <c r="T103" s="283">
        <f t="shared" si="14"/>
        <v>7.1622716274093983E-3</v>
      </c>
      <c r="U103" s="275">
        <f t="shared" si="15"/>
        <v>0.78784987901503367</v>
      </c>
    </row>
    <row r="104" spans="1:21" x14ac:dyDescent="0.55000000000000004">
      <c r="A104" s="287" t="s">
        <v>1430</v>
      </c>
      <c r="B104" s="288" t="s">
        <v>10</v>
      </c>
      <c r="C104" s="287" t="s">
        <v>1629</v>
      </c>
      <c r="D104" s="287" t="s">
        <v>1467</v>
      </c>
      <c r="E104" s="287" t="s">
        <v>1779</v>
      </c>
      <c r="F104" s="100">
        <v>3113</v>
      </c>
      <c r="G104" s="100">
        <v>14</v>
      </c>
      <c r="H104" s="100">
        <v>1.0620156512703476</v>
      </c>
      <c r="I104" s="100">
        <f t="shared" si="8"/>
        <v>0.10620156512703477</v>
      </c>
      <c r="J104" s="101">
        <f t="shared" si="9"/>
        <v>1.1682172163973823</v>
      </c>
      <c r="K104" s="287"/>
      <c r="L104" s="287"/>
      <c r="M104" s="287"/>
      <c r="N104" s="287"/>
      <c r="O104" s="101">
        <f t="shared" si="10"/>
        <v>2.3364344327947646</v>
      </c>
      <c r="Q104" s="283">
        <f t="shared" si="11"/>
        <v>5.8410860819869119E-2</v>
      </c>
      <c r="R104" s="283">
        <f t="shared" si="12"/>
        <v>2.3364344327947647E-2</v>
      </c>
      <c r="S104" s="283">
        <f t="shared" si="13"/>
        <v>2.3364344327947647E-2</v>
      </c>
      <c r="T104" s="283">
        <f t="shared" si="14"/>
        <v>1.1682172163973823E-2</v>
      </c>
      <c r="U104" s="275">
        <f t="shared" si="15"/>
        <v>1.2850389380371203</v>
      </c>
    </row>
    <row r="105" spans="1:21" x14ac:dyDescent="0.55000000000000004">
      <c r="A105" s="287" t="s">
        <v>1431</v>
      </c>
      <c r="B105" s="288" t="s">
        <v>10</v>
      </c>
      <c r="C105" s="287" t="s">
        <v>1630</v>
      </c>
      <c r="D105" s="287" t="s">
        <v>1486</v>
      </c>
      <c r="E105" s="287" t="s">
        <v>1779</v>
      </c>
      <c r="F105" s="100">
        <v>3198</v>
      </c>
      <c r="G105" s="100">
        <v>14</v>
      </c>
      <c r="H105" s="100">
        <v>0.3436698485313216</v>
      </c>
      <c r="I105" s="100">
        <f t="shared" si="8"/>
        <v>3.4366984853132158E-2</v>
      </c>
      <c r="J105" s="101">
        <f t="shared" si="9"/>
        <v>0.37803683338445376</v>
      </c>
      <c r="K105" s="287"/>
      <c r="L105" s="287"/>
      <c r="M105" s="287"/>
      <c r="N105" s="287"/>
      <c r="O105" s="101">
        <f t="shared" si="10"/>
        <v>0.75607366676890753</v>
      </c>
      <c r="Q105" s="283">
        <f t="shared" si="11"/>
        <v>1.890184166922269E-2</v>
      </c>
      <c r="R105" s="283">
        <f t="shared" si="12"/>
        <v>7.5607366676890752E-3</v>
      </c>
      <c r="S105" s="283">
        <f t="shared" si="13"/>
        <v>7.5607366676890752E-3</v>
      </c>
      <c r="T105" s="283">
        <f t="shared" si="14"/>
        <v>3.7803683338445376E-3</v>
      </c>
      <c r="U105" s="275">
        <f t="shared" si="15"/>
        <v>0.41584051672289918</v>
      </c>
    </row>
    <row r="106" spans="1:21" x14ac:dyDescent="0.55000000000000004">
      <c r="A106" s="287" t="s">
        <v>1647</v>
      </c>
      <c r="B106" s="288" t="s">
        <v>10</v>
      </c>
      <c r="C106" s="287" t="s">
        <v>1610</v>
      </c>
      <c r="D106" s="287" t="s">
        <v>1486</v>
      </c>
      <c r="E106" s="287" t="s">
        <v>1779</v>
      </c>
      <c r="F106" s="100">
        <v>3286</v>
      </c>
      <c r="G106" s="100">
        <v>14</v>
      </c>
      <c r="H106" s="100">
        <v>1.1918965265889532</v>
      </c>
      <c r="I106" s="100">
        <f t="shared" si="8"/>
        <v>0.11918965265889532</v>
      </c>
      <c r="J106" s="101">
        <f t="shared" si="9"/>
        <v>1.3110861792478485</v>
      </c>
      <c r="K106" s="287"/>
      <c r="L106" s="287"/>
      <c r="M106" s="287"/>
      <c r="N106" s="287"/>
      <c r="O106" s="101">
        <f t="shared" si="10"/>
        <v>2.6221723584956971</v>
      </c>
      <c r="Q106" s="283">
        <f t="shared" si="11"/>
        <v>6.5554308962392435E-2</v>
      </c>
      <c r="R106" s="283">
        <f t="shared" si="12"/>
        <v>2.6221723584956971E-2</v>
      </c>
      <c r="S106" s="283">
        <f t="shared" si="13"/>
        <v>2.6221723584956971E-2</v>
      </c>
      <c r="T106" s="283">
        <f t="shared" si="14"/>
        <v>1.3110861792478485E-2</v>
      </c>
      <c r="U106" s="275">
        <f t="shared" si="15"/>
        <v>1.4421947971726332</v>
      </c>
    </row>
    <row r="107" spans="1:21" x14ac:dyDescent="0.55000000000000004">
      <c r="A107" s="287" t="s">
        <v>1648</v>
      </c>
      <c r="B107" s="288" t="s">
        <v>10</v>
      </c>
      <c r="C107" s="287" t="s">
        <v>1632</v>
      </c>
      <c r="D107" s="287" t="s">
        <v>1486</v>
      </c>
      <c r="E107" s="287" t="s">
        <v>1779</v>
      </c>
      <c r="F107" s="100">
        <v>3286</v>
      </c>
      <c r="G107" s="100">
        <v>14</v>
      </c>
      <c r="H107" s="100">
        <v>1.1922933519857786</v>
      </c>
      <c r="I107" s="100">
        <f t="shared" si="8"/>
        <v>0.11922933519857787</v>
      </c>
      <c r="J107" s="101">
        <f t="shared" si="9"/>
        <v>1.3115226871843564</v>
      </c>
      <c r="K107" s="287"/>
      <c r="L107" s="287"/>
      <c r="M107" s="287"/>
      <c r="N107" s="287"/>
      <c r="O107" s="101">
        <f t="shared" si="10"/>
        <v>2.6230453743687128</v>
      </c>
      <c r="Q107" s="283">
        <f t="shared" si="11"/>
        <v>6.5576134359217816E-2</v>
      </c>
      <c r="R107" s="283">
        <f t="shared" si="12"/>
        <v>2.6230453743687127E-2</v>
      </c>
      <c r="S107" s="283">
        <f t="shared" si="13"/>
        <v>2.6230453743687127E-2</v>
      </c>
      <c r="T107" s="283">
        <f t="shared" si="14"/>
        <v>1.3115226871843563E-2</v>
      </c>
      <c r="U107" s="275">
        <f t="shared" si="15"/>
        <v>1.4426749559027918</v>
      </c>
    </row>
    <row r="108" spans="1:21" x14ac:dyDescent="0.55000000000000004">
      <c r="A108" s="287" t="s">
        <v>1649</v>
      </c>
      <c r="B108" s="288" t="s">
        <v>10</v>
      </c>
      <c r="C108" s="287" t="s">
        <v>1622</v>
      </c>
      <c r="D108" s="287" t="s">
        <v>1486</v>
      </c>
      <c r="E108" s="287" t="s">
        <v>1779</v>
      </c>
      <c r="F108" s="100">
        <v>3041</v>
      </c>
      <c r="G108" s="100">
        <v>14</v>
      </c>
      <c r="H108" s="100">
        <v>0.77413424998879443</v>
      </c>
      <c r="I108" s="100">
        <f t="shared" si="8"/>
        <v>7.7413424998879446E-2</v>
      </c>
      <c r="J108" s="101">
        <f t="shared" si="9"/>
        <v>0.85154767498767392</v>
      </c>
      <c r="K108" s="287"/>
      <c r="L108" s="287"/>
      <c r="M108" s="287"/>
      <c r="N108" s="287"/>
      <c r="O108" s="101">
        <f t="shared" si="10"/>
        <v>1.7030953499753478</v>
      </c>
      <c r="Q108" s="283">
        <f t="shared" si="11"/>
        <v>4.2577383749383697E-2</v>
      </c>
      <c r="R108" s="283">
        <f t="shared" si="12"/>
        <v>1.703095349975348E-2</v>
      </c>
      <c r="S108" s="283">
        <f t="shared" si="13"/>
        <v>1.703095349975348E-2</v>
      </c>
      <c r="T108" s="283">
        <f t="shared" si="14"/>
        <v>8.5154767498767398E-3</v>
      </c>
      <c r="U108" s="275">
        <f t="shared" si="15"/>
        <v>0.9367024424864413</v>
      </c>
    </row>
    <row r="109" spans="1:21" x14ac:dyDescent="0.55000000000000004">
      <c r="A109" s="287" t="s">
        <v>1650</v>
      </c>
      <c r="B109" s="288" t="s">
        <v>10</v>
      </c>
      <c r="C109" s="287" t="s">
        <v>1617</v>
      </c>
      <c r="D109" s="287" t="s">
        <v>1633</v>
      </c>
      <c r="E109" s="287" t="s">
        <v>1779</v>
      </c>
      <c r="F109" s="100">
        <v>3091</v>
      </c>
      <c r="G109" s="100">
        <v>14</v>
      </c>
      <c r="H109" s="100">
        <v>0.7833475840336136</v>
      </c>
      <c r="I109" s="100">
        <f t="shared" si="8"/>
        <v>7.8334758403361363E-2</v>
      </c>
      <c r="J109" s="101">
        <f t="shared" si="9"/>
        <v>0.86168234243697495</v>
      </c>
      <c r="K109" s="287"/>
      <c r="L109" s="287"/>
      <c r="M109" s="287"/>
      <c r="N109" s="287"/>
      <c r="O109" s="101">
        <f t="shared" si="10"/>
        <v>1.7233646848739499</v>
      </c>
      <c r="Q109" s="283">
        <f t="shared" si="11"/>
        <v>4.3084117121848751E-2</v>
      </c>
      <c r="R109" s="283">
        <f t="shared" si="12"/>
        <v>1.7233646848739501E-2</v>
      </c>
      <c r="S109" s="283">
        <f t="shared" si="13"/>
        <v>1.7233646848739501E-2</v>
      </c>
      <c r="T109" s="283">
        <f t="shared" si="14"/>
        <v>8.6168234243697503E-3</v>
      </c>
      <c r="U109" s="275">
        <f t="shared" si="15"/>
        <v>0.94785057668067252</v>
      </c>
    </row>
    <row r="110" spans="1:21" x14ac:dyDescent="0.55000000000000004">
      <c r="A110" s="287" t="s">
        <v>1651</v>
      </c>
      <c r="B110" s="288" t="s">
        <v>10</v>
      </c>
      <c r="C110" s="287" t="s">
        <v>1634</v>
      </c>
      <c r="D110" s="287" t="s">
        <v>1633</v>
      </c>
      <c r="E110" s="287" t="s">
        <v>1779</v>
      </c>
      <c r="F110" s="100">
        <v>3091</v>
      </c>
      <c r="G110" s="100">
        <v>14</v>
      </c>
      <c r="H110" s="100">
        <v>0.7833475840336136</v>
      </c>
      <c r="I110" s="100">
        <f t="shared" si="8"/>
        <v>7.8334758403361363E-2</v>
      </c>
      <c r="J110" s="101">
        <f t="shared" si="9"/>
        <v>0.86168234243697495</v>
      </c>
      <c r="K110" s="287"/>
      <c r="L110" s="287"/>
      <c r="M110" s="287"/>
      <c r="N110" s="287"/>
      <c r="O110" s="101">
        <f t="shared" si="10"/>
        <v>1.7233646848739499</v>
      </c>
      <c r="Q110" s="283">
        <f t="shared" si="11"/>
        <v>4.3084117121848751E-2</v>
      </c>
      <c r="R110" s="283">
        <f t="shared" si="12"/>
        <v>1.7233646848739501E-2</v>
      </c>
      <c r="S110" s="283">
        <f t="shared" si="13"/>
        <v>1.7233646848739501E-2</v>
      </c>
      <c r="T110" s="283">
        <f t="shared" si="14"/>
        <v>8.6168234243697503E-3</v>
      </c>
      <c r="U110" s="275">
        <f t="shared" si="15"/>
        <v>0.94785057668067252</v>
      </c>
    </row>
    <row r="111" spans="1:21" x14ac:dyDescent="0.55000000000000004">
      <c r="A111" s="287" t="s">
        <v>1652</v>
      </c>
      <c r="B111" s="288" t="s">
        <v>10</v>
      </c>
      <c r="C111" s="287" t="s">
        <v>1628</v>
      </c>
      <c r="D111" s="287" t="s">
        <v>1507</v>
      </c>
      <c r="E111" s="287" t="s">
        <v>1779</v>
      </c>
      <c r="F111" s="100">
        <v>3157</v>
      </c>
      <c r="G111" s="100">
        <v>14</v>
      </c>
      <c r="H111" s="100">
        <v>0.61025884899414318</v>
      </c>
      <c r="I111" s="100">
        <f t="shared" si="8"/>
        <v>6.1025884899414323E-2</v>
      </c>
      <c r="J111" s="101">
        <f t="shared" si="9"/>
        <v>0.67128473389355747</v>
      </c>
      <c r="K111" s="287"/>
      <c r="L111" s="287"/>
      <c r="M111" s="287"/>
      <c r="N111" s="287"/>
      <c r="O111" s="101">
        <f t="shared" si="10"/>
        <v>1.3425694677871149</v>
      </c>
      <c r="Q111" s="283">
        <f t="shared" si="11"/>
        <v>3.3564236694677875E-2</v>
      </c>
      <c r="R111" s="283">
        <f t="shared" si="12"/>
        <v>1.342569467787115E-2</v>
      </c>
      <c r="S111" s="283">
        <f t="shared" si="13"/>
        <v>1.342569467787115E-2</v>
      </c>
      <c r="T111" s="283">
        <f t="shared" si="14"/>
        <v>6.712847338935575E-3</v>
      </c>
      <c r="U111" s="275">
        <f t="shared" si="15"/>
        <v>0.73841320728291326</v>
      </c>
    </row>
    <row r="112" spans="1:21" x14ac:dyDescent="0.55000000000000004">
      <c r="A112" s="287" t="s">
        <v>1653</v>
      </c>
      <c r="B112" s="288" t="s">
        <v>10</v>
      </c>
      <c r="C112" s="287" t="s">
        <v>1635</v>
      </c>
      <c r="D112" s="287" t="s">
        <v>1507</v>
      </c>
      <c r="E112" s="287" t="s">
        <v>1779</v>
      </c>
      <c r="F112" s="100">
        <v>3093</v>
      </c>
      <c r="G112" s="100">
        <v>10</v>
      </c>
      <c r="H112" s="100">
        <v>0.42020350341624263</v>
      </c>
      <c r="I112" s="100">
        <f t="shared" si="8"/>
        <v>4.2020350341624269E-2</v>
      </c>
      <c r="J112" s="101">
        <f t="shared" si="9"/>
        <v>0.4622238537578669</v>
      </c>
      <c r="K112" s="287"/>
      <c r="L112" s="287"/>
      <c r="M112" s="287"/>
      <c r="N112" s="287"/>
      <c r="O112" s="101">
        <f t="shared" si="10"/>
        <v>0.9244477075157338</v>
      </c>
      <c r="Q112" s="283">
        <f t="shared" si="11"/>
        <v>2.3111192687893346E-2</v>
      </c>
      <c r="R112" s="283">
        <f t="shared" si="12"/>
        <v>9.2444770751573379E-3</v>
      </c>
      <c r="S112" s="283">
        <f t="shared" si="13"/>
        <v>9.2444770751573379E-3</v>
      </c>
      <c r="T112" s="283">
        <f t="shared" si="14"/>
        <v>4.6222385375786689E-3</v>
      </c>
      <c r="U112" s="275">
        <f t="shared" si="15"/>
        <v>0.50844623913365361</v>
      </c>
    </row>
    <row r="113" spans="1:21" x14ac:dyDescent="0.55000000000000004">
      <c r="A113" s="287" t="s">
        <v>1654</v>
      </c>
      <c r="B113" s="288" t="s">
        <v>10</v>
      </c>
      <c r="C113" s="287" t="s">
        <v>1618</v>
      </c>
      <c r="D113" s="287" t="s">
        <v>1507</v>
      </c>
      <c r="E113" s="287" t="s">
        <v>1779</v>
      </c>
      <c r="F113" s="100">
        <v>3151</v>
      </c>
      <c r="G113" s="100">
        <v>14</v>
      </c>
      <c r="H113" s="100">
        <v>1.1782587006664642</v>
      </c>
      <c r="I113" s="100">
        <f t="shared" si="8"/>
        <v>0.11782587006664642</v>
      </c>
      <c r="J113" s="101">
        <f t="shared" si="9"/>
        <v>1.2960845707331106</v>
      </c>
      <c r="K113" s="287"/>
      <c r="L113" s="287"/>
      <c r="M113" s="287"/>
      <c r="N113" s="287"/>
      <c r="O113" s="101">
        <f t="shared" si="10"/>
        <v>2.5921691414662211</v>
      </c>
      <c r="Q113" s="283">
        <f t="shared" si="11"/>
        <v>6.4804228536655531E-2</v>
      </c>
      <c r="R113" s="283">
        <f t="shared" si="12"/>
        <v>2.5921691414662211E-2</v>
      </c>
      <c r="S113" s="283">
        <f t="shared" si="13"/>
        <v>2.5921691414662211E-2</v>
      </c>
      <c r="T113" s="283">
        <f t="shared" si="14"/>
        <v>1.2960845707331105E-2</v>
      </c>
      <c r="U113" s="275">
        <f t="shared" si="15"/>
        <v>1.4256930278064217</v>
      </c>
    </row>
    <row r="114" spans="1:21" x14ac:dyDescent="0.55000000000000004">
      <c r="A114" s="287" t="s">
        <v>1655</v>
      </c>
      <c r="B114" s="288" t="s">
        <v>10</v>
      </c>
      <c r="C114" s="287" t="s">
        <v>1630</v>
      </c>
      <c r="D114" s="287" t="s">
        <v>1535</v>
      </c>
      <c r="E114" s="287" t="s">
        <v>1779</v>
      </c>
      <c r="F114" s="100">
        <v>3198</v>
      </c>
      <c r="G114" s="100">
        <v>14</v>
      </c>
      <c r="H114" s="100">
        <v>0.3436698485313216</v>
      </c>
      <c r="I114" s="100">
        <f t="shared" si="8"/>
        <v>3.4366984853132158E-2</v>
      </c>
      <c r="J114" s="101">
        <f t="shared" si="9"/>
        <v>0.37803683338445376</v>
      </c>
      <c r="K114" s="287"/>
      <c r="L114" s="287"/>
      <c r="M114" s="287"/>
      <c r="N114" s="287"/>
      <c r="O114" s="101">
        <f t="shared" si="10"/>
        <v>0.75607366676890753</v>
      </c>
      <c r="Q114" s="283">
        <f t="shared" si="11"/>
        <v>1.890184166922269E-2</v>
      </c>
      <c r="R114" s="283">
        <f t="shared" si="12"/>
        <v>7.5607366676890752E-3</v>
      </c>
      <c r="S114" s="283">
        <f t="shared" si="13"/>
        <v>7.5607366676890752E-3</v>
      </c>
      <c r="T114" s="283">
        <f t="shared" si="14"/>
        <v>3.7803683338445376E-3</v>
      </c>
      <c r="U114" s="275">
        <f t="shared" si="15"/>
        <v>0.41584051672289918</v>
      </c>
    </row>
    <row r="115" spans="1:21" x14ac:dyDescent="0.55000000000000004">
      <c r="A115" s="287" t="s">
        <v>1656</v>
      </c>
      <c r="B115" s="288" t="s">
        <v>10</v>
      </c>
      <c r="C115" s="287" t="s">
        <v>1636</v>
      </c>
      <c r="D115" s="287" t="s">
        <v>1535</v>
      </c>
      <c r="E115" s="287" t="s">
        <v>1779</v>
      </c>
      <c r="F115" s="100">
        <v>3146</v>
      </c>
      <c r="G115" s="100">
        <v>14</v>
      </c>
      <c r="H115" s="100">
        <v>0.5568493851449402</v>
      </c>
      <c r="I115" s="100">
        <f t="shared" si="8"/>
        <v>5.568493851449402E-2</v>
      </c>
      <c r="J115" s="101">
        <f t="shared" si="9"/>
        <v>0.61253432365943428</v>
      </c>
      <c r="K115" s="287"/>
      <c r="L115" s="287"/>
      <c r="M115" s="287"/>
      <c r="N115" s="287"/>
      <c r="O115" s="101">
        <f t="shared" si="10"/>
        <v>1.2250686473188686</v>
      </c>
      <c r="Q115" s="283">
        <f t="shared" si="11"/>
        <v>3.0626716182971716E-2</v>
      </c>
      <c r="R115" s="283">
        <f t="shared" si="12"/>
        <v>1.2250686473188686E-2</v>
      </c>
      <c r="S115" s="283">
        <f t="shared" si="13"/>
        <v>1.2250686473188686E-2</v>
      </c>
      <c r="T115" s="283">
        <f t="shared" si="14"/>
        <v>6.1253432365943432E-3</v>
      </c>
      <c r="U115" s="275">
        <f t="shared" si="15"/>
        <v>0.67378775602537777</v>
      </c>
    </row>
    <row r="116" spans="1:21" x14ac:dyDescent="0.55000000000000004">
      <c r="A116" s="287" t="s">
        <v>1657</v>
      </c>
      <c r="B116" s="288" t="s">
        <v>10</v>
      </c>
      <c r="C116" s="287" t="s">
        <v>1612</v>
      </c>
      <c r="D116" s="287" t="s">
        <v>1535</v>
      </c>
      <c r="E116" s="287" t="s">
        <v>1779</v>
      </c>
      <c r="F116" s="100">
        <v>2968</v>
      </c>
      <c r="G116" s="100">
        <v>14</v>
      </c>
      <c r="H116" s="100">
        <v>1.1939203736136725</v>
      </c>
      <c r="I116" s="100">
        <f t="shared" si="8"/>
        <v>0.11939203736136726</v>
      </c>
      <c r="J116" s="101">
        <f t="shared" si="9"/>
        <v>1.3133124109750398</v>
      </c>
      <c r="K116" s="287"/>
      <c r="L116" s="287"/>
      <c r="M116" s="287"/>
      <c r="N116" s="287"/>
      <c r="O116" s="101">
        <f t="shared" si="10"/>
        <v>2.6266248219500796</v>
      </c>
      <c r="Q116" s="283">
        <f t="shared" si="11"/>
        <v>6.5665620548751996E-2</v>
      </c>
      <c r="R116" s="283">
        <f t="shared" si="12"/>
        <v>2.6266248219500798E-2</v>
      </c>
      <c r="S116" s="283">
        <f t="shared" si="13"/>
        <v>2.6266248219500798E-2</v>
      </c>
      <c r="T116" s="283">
        <f t="shared" si="14"/>
        <v>1.3133124109750399E-2</v>
      </c>
      <c r="U116" s="275">
        <f t="shared" si="15"/>
        <v>1.4446436520725439</v>
      </c>
    </row>
    <row r="117" spans="1:21" x14ac:dyDescent="0.55000000000000004">
      <c r="A117" s="287" t="s">
        <v>1658</v>
      </c>
      <c r="B117" s="288" t="s">
        <v>10</v>
      </c>
      <c r="C117" s="287" t="s">
        <v>1623</v>
      </c>
      <c r="D117" s="287" t="s">
        <v>1535</v>
      </c>
      <c r="E117" s="287" t="s">
        <v>1779</v>
      </c>
      <c r="F117" s="100">
        <v>3207</v>
      </c>
      <c r="G117" s="100">
        <v>10</v>
      </c>
      <c r="H117" s="100">
        <v>0.84408344571029992</v>
      </c>
      <c r="I117" s="100">
        <f t="shared" si="8"/>
        <v>8.4408344571029997E-2</v>
      </c>
      <c r="J117" s="101">
        <f t="shared" si="9"/>
        <v>0.92849179028132989</v>
      </c>
      <c r="K117" s="287"/>
      <c r="L117" s="287"/>
      <c r="M117" s="287"/>
      <c r="N117" s="287"/>
      <c r="O117" s="101">
        <f t="shared" si="10"/>
        <v>1.8569835805626598</v>
      </c>
      <c r="Q117" s="283">
        <f t="shared" si="11"/>
        <v>4.64245895140665E-2</v>
      </c>
      <c r="R117" s="283">
        <f t="shared" si="12"/>
        <v>1.8569835805626596E-2</v>
      </c>
      <c r="S117" s="283">
        <f t="shared" si="13"/>
        <v>1.8569835805626596E-2</v>
      </c>
      <c r="T117" s="283">
        <f t="shared" si="14"/>
        <v>9.2849179028132982E-3</v>
      </c>
      <c r="U117" s="275">
        <f t="shared" si="15"/>
        <v>1.0213409693094628</v>
      </c>
    </row>
    <row r="118" spans="1:21" x14ac:dyDescent="0.55000000000000004">
      <c r="A118" s="287" t="s">
        <v>1659</v>
      </c>
      <c r="B118" s="288" t="s">
        <v>10</v>
      </c>
      <c r="C118" s="287" t="s">
        <v>1637</v>
      </c>
      <c r="D118" s="287" t="s">
        <v>1535</v>
      </c>
      <c r="E118" s="287" t="s">
        <v>1779</v>
      </c>
      <c r="F118" s="100">
        <v>3045</v>
      </c>
      <c r="G118" s="100">
        <v>14</v>
      </c>
      <c r="H118" s="100">
        <v>1.2784159515690077</v>
      </c>
      <c r="I118" s="100">
        <f t="shared" si="8"/>
        <v>0.12784159515690077</v>
      </c>
      <c r="J118" s="101">
        <f t="shared" si="9"/>
        <v>1.4062575467259084</v>
      </c>
      <c r="K118" s="287"/>
      <c r="L118" s="287"/>
      <c r="M118" s="287"/>
      <c r="N118" s="287"/>
      <c r="O118" s="101">
        <f t="shared" si="10"/>
        <v>2.8125150934518168</v>
      </c>
      <c r="Q118" s="283">
        <f t="shared" si="11"/>
        <v>7.0312877336295418E-2</v>
      </c>
      <c r="R118" s="283">
        <f t="shared" si="12"/>
        <v>2.8125150934518169E-2</v>
      </c>
      <c r="S118" s="283">
        <f t="shared" si="13"/>
        <v>2.8125150934518169E-2</v>
      </c>
      <c r="T118" s="283">
        <f t="shared" si="14"/>
        <v>1.4062575467259085E-2</v>
      </c>
      <c r="U118" s="275">
        <f t="shared" si="15"/>
        <v>1.5468833013984991</v>
      </c>
    </row>
    <row r="119" spans="1:21" x14ac:dyDescent="0.55000000000000004">
      <c r="A119" s="287" t="s">
        <v>1660</v>
      </c>
      <c r="B119" s="288" t="s">
        <v>10</v>
      </c>
      <c r="C119" s="287" t="s">
        <v>1638</v>
      </c>
      <c r="D119" s="287" t="s">
        <v>1536</v>
      </c>
      <c r="E119" s="287" t="s">
        <v>1779</v>
      </c>
      <c r="F119" s="100">
        <v>3045</v>
      </c>
      <c r="G119" s="100">
        <v>14</v>
      </c>
      <c r="H119" s="100">
        <v>1.1030885951929308</v>
      </c>
      <c r="I119" s="100">
        <f t="shared" si="8"/>
        <v>0.11030885951929309</v>
      </c>
      <c r="J119" s="101">
        <f t="shared" si="9"/>
        <v>1.2133974547122239</v>
      </c>
      <c r="K119" s="287"/>
      <c r="L119" s="287"/>
      <c r="M119" s="287"/>
      <c r="N119" s="287"/>
      <c r="O119" s="101">
        <f t="shared" si="10"/>
        <v>2.4267949094244479</v>
      </c>
      <c r="Q119" s="283">
        <f t="shared" si="11"/>
        <v>6.0669872735611197E-2</v>
      </c>
      <c r="R119" s="283">
        <f t="shared" si="12"/>
        <v>2.4267949094244481E-2</v>
      </c>
      <c r="S119" s="283">
        <f t="shared" si="13"/>
        <v>2.4267949094244481E-2</v>
      </c>
      <c r="T119" s="283">
        <f t="shared" si="14"/>
        <v>1.213397454712224E-2</v>
      </c>
      <c r="U119" s="275">
        <f t="shared" si="15"/>
        <v>1.3347372001834465</v>
      </c>
    </row>
    <row r="120" spans="1:21" x14ac:dyDescent="0.55000000000000004">
      <c r="A120" s="287" t="s">
        <v>1661</v>
      </c>
      <c r="B120" s="288" t="s">
        <v>10</v>
      </c>
      <c r="C120" s="287" t="s">
        <v>1628</v>
      </c>
      <c r="D120" s="287" t="s">
        <v>1536</v>
      </c>
      <c r="E120" s="287" t="s">
        <v>1779</v>
      </c>
      <c r="F120" s="100">
        <v>3557</v>
      </c>
      <c r="G120" s="100">
        <v>14</v>
      </c>
      <c r="H120" s="100">
        <v>0.75782988820604913</v>
      </c>
      <c r="I120" s="100">
        <f t="shared" si="8"/>
        <v>7.5782988820604913E-2</v>
      </c>
      <c r="J120" s="101">
        <f t="shared" si="9"/>
        <v>0.83361287702665399</v>
      </c>
      <c r="K120" s="287"/>
      <c r="L120" s="287"/>
      <c r="M120" s="287"/>
      <c r="N120" s="287"/>
      <c r="O120" s="101">
        <f t="shared" si="10"/>
        <v>1.667225754053308</v>
      </c>
      <c r="Q120" s="283">
        <f t="shared" si="11"/>
        <v>4.1680643851332702E-2</v>
      </c>
      <c r="R120" s="283">
        <f t="shared" si="12"/>
        <v>1.6672257540533079E-2</v>
      </c>
      <c r="S120" s="283">
        <f t="shared" si="13"/>
        <v>1.6672257540533079E-2</v>
      </c>
      <c r="T120" s="283">
        <f t="shared" si="14"/>
        <v>8.3361287702665397E-3</v>
      </c>
      <c r="U120" s="275">
        <f t="shared" si="15"/>
        <v>0.91697416472931936</v>
      </c>
    </row>
    <row r="121" spans="1:21" x14ac:dyDescent="0.55000000000000004">
      <c r="A121" s="287" t="s">
        <v>1662</v>
      </c>
      <c r="B121" s="288" t="s">
        <v>10</v>
      </c>
      <c r="C121" s="287" t="s">
        <v>1639</v>
      </c>
      <c r="D121" s="287" t="s">
        <v>1536</v>
      </c>
      <c r="E121" s="287" t="s">
        <v>1779</v>
      </c>
      <c r="F121" s="100">
        <v>3283</v>
      </c>
      <c r="G121" s="100">
        <v>10</v>
      </c>
      <c r="H121" s="100">
        <v>0.50897145504133712</v>
      </c>
      <c r="I121" s="100">
        <f t="shared" si="8"/>
        <v>5.0897145504133712E-2</v>
      </c>
      <c r="J121" s="101">
        <f t="shared" si="9"/>
        <v>0.55986860054547083</v>
      </c>
      <c r="K121" s="287"/>
      <c r="L121" s="287"/>
      <c r="M121" s="287"/>
      <c r="N121" s="287"/>
      <c r="O121" s="101">
        <f t="shared" si="10"/>
        <v>1.1197372010909417</v>
      </c>
      <c r="Q121" s="283">
        <f t="shared" si="11"/>
        <v>2.7993430027273544E-2</v>
      </c>
      <c r="R121" s="283">
        <f t="shared" si="12"/>
        <v>1.1197372010909416E-2</v>
      </c>
      <c r="S121" s="283">
        <f t="shared" si="13"/>
        <v>1.1197372010909416E-2</v>
      </c>
      <c r="T121" s="283">
        <f t="shared" si="14"/>
        <v>5.5986860054547082E-3</v>
      </c>
      <c r="U121" s="275">
        <f t="shared" si="15"/>
        <v>0.61585546060001783</v>
      </c>
    </row>
    <row r="122" spans="1:21" x14ac:dyDescent="0.55000000000000004">
      <c r="A122" s="287" t="s">
        <v>1663</v>
      </c>
      <c r="B122" s="288" t="s">
        <v>10</v>
      </c>
      <c r="C122" s="287" t="s">
        <v>1640</v>
      </c>
      <c r="D122" s="287" t="s">
        <v>1536</v>
      </c>
      <c r="E122" s="287" t="s">
        <v>1779</v>
      </c>
      <c r="F122" s="100">
        <v>3071</v>
      </c>
      <c r="G122" s="100">
        <v>14</v>
      </c>
      <c r="H122" s="100">
        <v>0.94826689861991309</v>
      </c>
      <c r="I122" s="100">
        <f t="shared" si="8"/>
        <v>9.4826689861991317E-2</v>
      </c>
      <c r="J122" s="101">
        <f t="shared" si="9"/>
        <v>1.0430935884819044</v>
      </c>
      <c r="K122" s="287"/>
      <c r="L122" s="287"/>
      <c r="M122" s="287"/>
      <c r="N122" s="287"/>
      <c r="O122" s="101">
        <f t="shared" si="10"/>
        <v>2.0861871769638087</v>
      </c>
      <c r="Q122" s="283">
        <f t="shared" si="11"/>
        <v>5.215467942409522E-2</v>
      </c>
      <c r="R122" s="283">
        <f t="shared" si="12"/>
        <v>2.0861871769638086E-2</v>
      </c>
      <c r="S122" s="283">
        <f t="shared" si="13"/>
        <v>2.0861871769638086E-2</v>
      </c>
      <c r="T122" s="283">
        <f t="shared" si="14"/>
        <v>1.0430935884819043E-2</v>
      </c>
      <c r="U122" s="275">
        <f t="shared" si="15"/>
        <v>1.1474029473300948</v>
      </c>
    </row>
    <row r="123" spans="1:21" x14ac:dyDescent="0.55000000000000004">
      <c r="A123" s="287" t="s">
        <v>1664</v>
      </c>
      <c r="B123" s="288" t="s">
        <v>10</v>
      </c>
      <c r="C123" s="287" t="s">
        <v>1641</v>
      </c>
      <c r="D123" s="287" t="s">
        <v>1536</v>
      </c>
      <c r="E123" s="287" t="s">
        <v>1779</v>
      </c>
      <c r="F123" s="100">
        <v>3071</v>
      </c>
      <c r="G123" s="100">
        <v>14</v>
      </c>
      <c r="H123" s="100">
        <v>0.94826689861991309</v>
      </c>
      <c r="I123" s="100">
        <f t="shared" si="8"/>
        <v>9.4826689861991317E-2</v>
      </c>
      <c r="J123" s="101">
        <f t="shared" si="9"/>
        <v>1.0430935884819044</v>
      </c>
      <c r="K123" s="287"/>
      <c r="L123" s="287"/>
      <c r="M123" s="287"/>
      <c r="N123" s="287"/>
      <c r="O123" s="101">
        <f t="shared" si="10"/>
        <v>2.0861871769638087</v>
      </c>
      <c r="Q123" s="283">
        <f t="shared" si="11"/>
        <v>5.215467942409522E-2</v>
      </c>
      <c r="R123" s="283">
        <f t="shared" si="12"/>
        <v>2.0861871769638086E-2</v>
      </c>
      <c r="S123" s="283">
        <f t="shared" si="13"/>
        <v>2.0861871769638086E-2</v>
      </c>
      <c r="T123" s="283">
        <f t="shared" si="14"/>
        <v>1.0430935884819043E-2</v>
      </c>
      <c r="U123" s="275">
        <f t="shared" si="15"/>
        <v>1.1474029473300948</v>
      </c>
    </row>
    <row r="124" spans="1:21" x14ac:dyDescent="0.55000000000000004">
      <c r="A124" s="287" t="s">
        <v>1707</v>
      </c>
      <c r="B124" s="288" t="s">
        <v>10</v>
      </c>
      <c r="C124" s="287" t="s">
        <v>1665</v>
      </c>
      <c r="D124" s="287" t="s">
        <v>1536</v>
      </c>
      <c r="E124" s="287" t="s">
        <v>1666</v>
      </c>
      <c r="F124" s="100">
        <v>66690</v>
      </c>
      <c r="G124" s="100">
        <v>600</v>
      </c>
      <c r="H124" s="100">
        <v>0.54607074074074069</v>
      </c>
      <c r="I124" s="100">
        <f t="shared" si="8"/>
        <v>5.4607074074074072E-2</v>
      </c>
      <c r="J124" s="101">
        <f t="shared" si="9"/>
        <v>0.60067781481481475</v>
      </c>
      <c r="K124" s="287"/>
      <c r="L124" s="287"/>
      <c r="M124" s="287"/>
      <c r="N124" s="287"/>
      <c r="O124" s="101">
        <f t="shared" si="10"/>
        <v>1.2013556296296295</v>
      </c>
      <c r="Q124" s="283">
        <f t="shared" si="11"/>
        <v>3.003389074074074E-2</v>
      </c>
      <c r="R124" s="283">
        <f t="shared" si="12"/>
        <v>1.2013556296296295E-2</v>
      </c>
      <c r="S124" s="283">
        <f t="shared" si="13"/>
        <v>1.2013556296296295E-2</v>
      </c>
      <c r="T124" s="283">
        <f t="shared" si="14"/>
        <v>6.0067781481481473E-3</v>
      </c>
      <c r="U124" s="275">
        <f t="shared" si="15"/>
        <v>0.66074559629629614</v>
      </c>
    </row>
    <row r="125" spans="1:21" x14ac:dyDescent="0.55000000000000004">
      <c r="A125" s="287" t="s">
        <v>1708</v>
      </c>
      <c r="B125" s="288" t="s">
        <v>10</v>
      </c>
      <c r="C125" s="287" t="s">
        <v>1668</v>
      </c>
      <c r="D125" s="287" t="s">
        <v>1536</v>
      </c>
      <c r="E125" s="287" t="s">
        <v>1666</v>
      </c>
      <c r="F125" s="100">
        <v>2970</v>
      </c>
      <c r="G125" s="100">
        <v>30</v>
      </c>
      <c r="H125" s="100">
        <v>0.86266580329763953</v>
      </c>
      <c r="I125" s="100">
        <f t="shared" si="8"/>
        <v>8.6266580329763962E-2</v>
      </c>
      <c r="J125" s="101">
        <f t="shared" si="9"/>
        <v>0.94893238362740351</v>
      </c>
      <c r="K125" s="287"/>
      <c r="L125" s="287"/>
      <c r="M125" s="287"/>
      <c r="N125" s="287"/>
      <c r="O125" s="101">
        <f t="shared" si="10"/>
        <v>1.897864767254807</v>
      </c>
      <c r="Q125" s="283">
        <f t="shared" si="11"/>
        <v>4.7446619181370178E-2</v>
      </c>
      <c r="R125" s="283">
        <f t="shared" si="12"/>
        <v>1.8978647672548071E-2</v>
      </c>
      <c r="S125" s="283">
        <f t="shared" si="13"/>
        <v>1.8978647672548071E-2</v>
      </c>
      <c r="T125" s="283">
        <f t="shared" si="14"/>
        <v>9.4893238362740353E-3</v>
      </c>
      <c r="U125" s="275">
        <f t="shared" si="15"/>
        <v>1.0438256219901438</v>
      </c>
    </row>
    <row r="126" spans="1:21" x14ac:dyDescent="0.55000000000000004">
      <c r="A126" s="287" t="s">
        <v>1709</v>
      </c>
      <c r="B126" s="288" t="s">
        <v>10</v>
      </c>
      <c r="C126" s="287" t="s">
        <v>1669</v>
      </c>
      <c r="D126" s="287" t="s">
        <v>1536</v>
      </c>
      <c r="E126" s="287" t="s">
        <v>1666</v>
      </c>
      <c r="F126" s="100">
        <v>105.25</v>
      </c>
      <c r="G126" s="100">
        <v>1</v>
      </c>
      <c r="H126" s="100">
        <v>1.289610893939394</v>
      </c>
      <c r="I126" s="100">
        <f t="shared" si="8"/>
        <v>0.12896108939393941</v>
      </c>
      <c r="J126" s="101">
        <f t="shared" si="9"/>
        <v>1.4185719833333335</v>
      </c>
      <c r="K126" s="287"/>
      <c r="L126" s="287"/>
      <c r="M126" s="287"/>
      <c r="N126" s="287"/>
      <c r="O126" s="101">
        <f t="shared" si="10"/>
        <v>2.8371439666666669</v>
      </c>
      <c r="Q126" s="283">
        <f t="shared" si="11"/>
        <v>7.0928599166666675E-2</v>
      </c>
      <c r="R126" s="283">
        <f t="shared" si="12"/>
        <v>2.8371439666666668E-2</v>
      </c>
      <c r="S126" s="283">
        <f t="shared" si="13"/>
        <v>2.8371439666666668E-2</v>
      </c>
      <c r="T126" s="283">
        <f t="shared" si="14"/>
        <v>1.4185719833333334E-2</v>
      </c>
      <c r="U126" s="275">
        <f t="shared" si="15"/>
        <v>1.5604291816666669</v>
      </c>
    </row>
    <row r="127" spans="1:21" x14ac:dyDescent="0.55000000000000004">
      <c r="A127" s="287" t="s">
        <v>1710</v>
      </c>
      <c r="B127" s="288" t="s">
        <v>10</v>
      </c>
      <c r="C127" s="287" t="s">
        <v>1670</v>
      </c>
      <c r="D127" s="287" t="s">
        <v>1536</v>
      </c>
      <c r="E127" s="287" t="s">
        <v>1666</v>
      </c>
      <c r="F127" s="100">
        <v>231</v>
      </c>
      <c r="G127" s="100">
        <v>1</v>
      </c>
      <c r="H127" s="100">
        <v>0.55005263157894735</v>
      </c>
      <c r="I127" s="100">
        <f t="shared" si="8"/>
        <v>5.5005263157894738E-2</v>
      </c>
      <c r="J127" s="101">
        <f t="shared" si="9"/>
        <v>0.60505789473684213</v>
      </c>
      <c r="K127" s="287"/>
      <c r="L127" s="287"/>
      <c r="M127" s="287"/>
      <c r="N127" s="287"/>
      <c r="O127" s="101">
        <f t="shared" si="10"/>
        <v>1.2101157894736843</v>
      </c>
      <c r="Q127" s="283">
        <f t="shared" si="11"/>
        <v>3.0252894736842107E-2</v>
      </c>
      <c r="R127" s="283">
        <f t="shared" si="12"/>
        <v>1.2101157894736843E-2</v>
      </c>
      <c r="S127" s="283">
        <f t="shared" si="13"/>
        <v>1.2101157894736843E-2</v>
      </c>
      <c r="T127" s="283">
        <f t="shared" si="14"/>
        <v>6.0505789473684216E-3</v>
      </c>
      <c r="U127" s="275">
        <f t="shared" si="15"/>
        <v>0.66556368421052636</v>
      </c>
    </row>
    <row r="128" spans="1:21" x14ac:dyDescent="0.55000000000000004">
      <c r="A128" s="287" t="s">
        <v>1711</v>
      </c>
      <c r="B128" s="288" t="s">
        <v>10</v>
      </c>
      <c r="C128" s="287" t="s">
        <v>1671</v>
      </c>
      <c r="D128" s="287" t="s">
        <v>1536</v>
      </c>
      <c r="E128" s="287" t="s">
        <v>1666</v>
      </c>
      <c r="F128" s="100">
        <v>3392</v>
      </c>
      <c r="G128" s="100">
        <v>15</v>
      </c>
      <c r="H128" s="100">
        <v>1.3027733333333333</v>
      </c>
      <c r="I128" s="100">
        <f t="shared" si="8"/>
        <v>0.13027733333333333</v>
      </c>
      <c r="J128" s="101">
        <f t="shared" si="9"/>
        <v>1.4330506666666667</v>
      </c>
      <c r="K128" s="287"/>
      <c r="L128" s="287"/>
      <c r="M128" s="287"/>
      <c r="N128" s="287"/>
      <c r="O128" s="101">
        <f t="shared" si="10"/>
        <v>2.8661013333333334</v>
      </c>
      <c r="Q128" s="283">
        <f t="shared" si="11"/>
        <v>7.1652533333333338E-2</v>
      </c>
      <c r="R128" s="283">
        <f t="shared" si="12"/>
        <v>2.8661013333333336E-2</v>
      </c>
      <c r="S128" s="283">
        <f t="shared" si="13"/>
        <v>2.8661013333333336E-2</v>
      </c>
      <c r="T128" s="283">
        <f t="shared" si="14"/>
        <v>1.4330506666666668E-2</v>
      </c>
      <c r="U128" s="275">
        <f t="shared" si="15"/>
        <v>1.5763557333333333</v>
      </c>
    </row>
    <row r="129" spans="1:21" x14ac:dyDescent="0.55000000000000004">
      <c r="A129" s="287" t="s">
        <v>1712</v>
      </c>
      <c r="B129" s="288" t="s">
        <v>10</v>
      </c>
      <c r="C129" s="287" t="s">
        <v>1672</v>
      </c>
      <c r="D129" s="287" t="s">
        <v>1536</v>
      </c>
      <c r="E129" s="287" t="s">
        <v>1666</v>
      </c>
      <c r="F129" s="100">
        <v>36</v>
      </c>
      <c r="G129" s="100">
        <v>9</v>
      </c>
      <c r="H129" s="100">
        <v>0.55219047619047612</v>
      </c>
      <c r="I129" s="100">
        <f t="shared" si="8"/>
        <v>5.5219047619047612E-2</v>
      </c>
      <c r="J129" s="101">
        <f t="shared" si="9"/>
        <v>0.60740952380952373</v>
      </c>
      <c r="K129" s="287"/>
      <c r="L129" s="287"/>
      <c r="M129" s="287"/>
      <c r="N129" s="287"/>
      <c r="O129" s="101">
        <f t="shared" si="10"/>
        <v>1.2148190476190475</v>
      </c>
      <c r="Q129" s="283">
        <f t="shared" si="11"/>
        <v>3.0370476190476187E-2</v>
      </c>
      <c r="R129" s="283">
        <f t="shared" si="12"/>
        <v>1.2148190476190476E-2</v>
      </c>
      <c r="S129" s="283">
        <f t="shared" si="13"/>
        <v>1.2148190476190476E-2</v>
      </c>
      <c r="T129" s="283">
        <f t="shared" si="14"/>
        <v>6.0740952380952378E-3</v>
      </c>
      <c r="U129" s="275">
        <f t="shared" si="15"/>
        <v>0.66815047619047596</v>
      </c>
    </row>
    <row r="130" spans="1:21" x14ac:dyDescent="0.55000000000000004">
      <c r="A130" s="287" t="s">
        <v>1713</v>
      </c>
      <c r="B130" s="288" t="s">
        <v>10</v>
      </c>
      <c r="C130" s="287" t="s">
        <v>1674</v>
      </c>
      <c r="D130" s="287" t="s">
        <v>1536</v>
      </c>
      <c r="E130" s="287" t="s">
        <v>1666</v>
      </c>
      <c r="F130" s="100">
        <v>36</v>
      </c>
      <c r="G130" s="100">
        <v>9</v>
      </c>
      <c r="H130" s="100">
        <v>0.57599999999999996</v>
      </c>
      <c r="I130" s="100">
        <f t="shared" si="8"/>
        <v>5.7599999999999998E-2</v>
      </c>
      <c r="J130" s="101">
        <f t="shared" si="9"/>
        <v>0.63359999999999994</v>
      </c>
      <c r="K130" s="287"/>
      <c r="L130" s="287"/>
      <c r="M130" s="287"/>
      <c r="N130" s="287"/>
      <c r="O130" s="101">
        <f t="shared" si="10"/>
        <v>1.2671999999999999</v>
      </c>
      <c r="Q130" s="283">
        <f t="shared" si="11"/>
        <v>3.168E-2</v>
      </c>
      <c r="R130" s="283">
        <f t="shared" si="12"/>
        <v>1.2671999999999999E-2</v>
      </c>
      <c r="S130" s="283">
        <f t="shared" si="13"/>
        <v>1.2671999999999999E-2</v>
      </c>
      <c r="T130" s="283">
        <f t="shared" si="14"/>
        <v>6.3359999999999996E-3</v>
      </c>
      <c r="U130" s="275">
        <f t="shared" si="15"/>
        <v>0.69696000000000002</v>
      </c>
    </row>
    <row r="131" spans="1:21" x14ac:dyDescent="0.55000000000000004">
      <c r="A131" s="287" t="s">
        <v>1714</v>
      </c>
      <c r="B131" s="288" t="s">
        <v>10</v>
      </c>
      <c r="C131" s="287" t="s">
        <v>1675</v>
      </c>
      <c r="D131" s="287" t="s">
        <v>1536</v>
      </c>
      <c r="E131" s="287" t="s">
        <v>1666</v>
      </c>
      <c r="F131" s="100">
        <v>110</v>
      </c>
      <c r="G131" s="100">
        <v>1</v>
      </c>
      <c r="H131" s="100">
        <v>0.73622381274784798</v>
      </c>
      <c r="I131" s="100">
        <f t="shared" si="8"/>
        <v>7.3622381274784807E-2</v>
      </c>
      <c r="J131" s="101">
        <f t="shared" si="9"/>
        <v>0.8098461940226328</v>
      </c>
      <c r="K131" s="287"/>
      <c r="L131" s="287"/>
      <c r="M131" s="287"/>
      <c r="N131" s="287"/>
      <c r="O131" s="101">
        <f t="shared" si="10"/>
        <v>1.6196923880452656</v>
      </c>
      <c r="Q131" s="283">
        <f t="shared" si="11"/>
        <v>4.0492309701131643E-2</v>
      </c>
      <c r="R131" s="283">
        <f t="shared" si="12"/>
        <v>1.6196923880452657E-2</v>
      </c>
      <c r="S131" s="283">
        <f t="shared" si="13"/>
        <v>1.6196923880452657E-2</v>
      </c>
      <c r="T131" s="283">
        <f t="shared" si="14"/>
        <v>8.0984619402263286E-3</v>
      </c>
      <c r="U131" s="275">
        <f t="shared" si="15"/>
        <v>0.89083081342489612</v>
      </c>
    </row>
    <row r="132" spans="1:21" x14ac:dyDescent="0.55000000000000004">
      <c r="A132" s="287" t="s">
        <v>1715</v>
      </c>
      <c r="B132" s="288" t="s">
        <v>10</v>
      </c>
      <c r="C132" s="287" t="s">
        <v>1676</v>
      </c>
      <c r="D132" s="287" t="s">
        <v>1536</v>
      </c>
      <c r="E132" s="287" t="s">
        <v>1666</v>
      </c>
      <c r="F132" s="100">
        <v>11</v>
      </c>
      <c r="G132" s="100">
        <v>1</v>
      </c>
      <c r="H132" s="100">
        <v>2.0283633333333331</v>
      </c>
      <c r="I132" s="100">
        <f t="shared" si="8"/>
        <v>0.20283633333333331</v>
      </c>
      <c r="J132" s="101">
        <f t="shared" si="9"/>
        <v>2.2311996666666665</v>
      </c>
      <c r="K132" s="287"/>
      <c r="L132" s="287"/>
      <c r="M132" s="287"/>
      <c r="N132" s="287"/>
      <c r="O132" s="101">
        <f t="shared" si="10"/>
        <v>4.4623993333333329</v>
      </c>
      <c r="Q132" s="283">
        <f t="shared" si="11"/>
        <v>0.11155998333333333</v>
      </c>
      <c r="R132" s="283">
        <f t="shared" si="12"/>
        <v>4.4623993333333327E-2</v>
      </c>
      <c r="S132" s="283">
        <f t="shared" si="13"/>
        <v>4.4623993333333327E-2</v>
      </c>
      <c r="T132" s="283">
        <f t="shared" si="14"/>
        <v>2.2311996666666663E-2</v>
      </c>
      <c r="U132" s="275">
        <f t="shared" si="15"/>
        <v>2.4543196333333333</v>
      </c>
    </row>
    <row r="133" spans="1:21" x14ac:dyDescent="0.55000000000000004">
      <c r="A133" s="287" t="s">
        <v>1716</v>
      </c>
      <c r="B133" s="288" t="s">
        <v>10</v>
      </c>
      <c r="C133" s="287" t="s">
        <v>1770</v>
      </c>
      <c r="D133" s="287" t="s">
        <v>1536</v>
      </c>
      <c r="E133" s="287" t="s">
        <v>1666</v>
      </c>
      <c r="F133" s="100">
        <v>11</v>
      </c>
      <c r="G133" s="100">
        <v>1</v>
      </c>
      <c r="H133" s="100">
        <v>2.0833633333333332</v>
      </c>
      <c r="I133" s="100">
        <f t="shared" ref="I133:I160" si="16">H133*10%</f>
        <v>0.20833633333333335</v>
      </c>
      <c r="J133" s="101">
        <f t="shared" ref="J133:J160" si="17">H133+I133</f>
        <v>2.2916996666666667</v>
      </c>
      <c r="K133" s="287"/>
      <c r="L133" s="287"/>
      <c r="M133" s="287"/>
      <c r="N133" s="287"/>
      <c r="O133" s="101">
        <f t="shared" ref="O133:O160" si="18">SUM(H133:N133)</f>
        <v>4.5833993333333334</v>
      </c>
      <c r="Q133" s="283">
        <f t="shared" ref="Q133:Q172" si="19">J133*5%</f>
        <v>0.11458498333333333</v>
      </c>
      <c r="R133" s="283">
        <f t="shared" ref="R133:R172" si="20">J133*2%</f>
        <v>4.5833993333333337E-2</v>
      </c>
      <c r="S133" s="283">
        <f t="shared" ref="S133:S172" si="21">J133*2%</f>
        <v>4.5833993333333337E-2</v>
      </c>
      <c r="T133" s="283">
        <f t="shared" ref="T133:T172" si="22">J133*1%</f>
        <v>2.2916996666666668E-2</v>
      </c>
      <c r="U133" s="275">
        <f t="shared" ref="U133:U172" si="23">J133+Q133+R133+S133+T133</f>
        <v>2.5208696333333331</v>
      </c>
    </row>
    <row r="134" spans="1:21" x14ac:dyDescent="0.55000000000000004">
      <c r="A134" s="287" t="s">
        <v>1717</v>
      </c>
      <c r="B134" s="288" t="s">
        <v>10</v>
      </c>
      <c r="C134" s="287" t="s">
        <v>1771</v>
      </c>
      <c r="D134" s="287" t="s">
        <v>1536</v>
      </c>
      <c r="E134" s="287" t="s">
        <v>1666</v>
      </c>
      <c r="F134" s="100">
        <v>11</v>
      </c>
      <c r="G134" s="100">
        <v>1</v>
      </c>
      <c r="H134" s="100">
        <v>2.2233633333333334</v>
      </c>
      <c r="I134" s="100">
        <f t="shared" si="16"/>
        <v>0.22233633333333336</v>
      </c>
      <c r="J134" s="101">
        <f t="shared" si="17"/>
        <v>2.4456996666666666</v>
      </c>
      <c r="K134" s="287"/>
      <c r="L134" s="287"/>
      <c r="M134" s="287"/>
      <c r="N134" s="287"/>
      <c r="O134" s="101">
        <f t="shared" si="18"/>
        <v>4.8913993333333332</v>
      </c>
      <c r="Q134" s="283">
        <f t="shared" si="19"/>
        <v>0.12228498333333333</v>
      </c>
      <c r="R134" s="283">
        <f t="shared" si="20"/>
        <v>4.8913993333333336E-2</v>
      </c>
      <c r="S134" s="283">
        <f t="shared" si="21"/>
        <v>4.8913993333333336E-2</v>
      </c>
      <c r="T134" s="283">
        <f t="shared" si="22"/>
        <v>2.4456996666666668E-2</v>
      </c>
      <c r="U134" s="275">
        <f t="shared" si="23"/>
        <v>2.6902696333333331</v>
      </c>
    </row>
    <row r="135" spans="1:21" x14ac:dyDescent="0.55000000000000004">
      <c r="A135" s="287" t="s">
        <v>1718</v>
      </c>
      <c r="B135" s="288" t="s">
        <v>10</v>
      </c>
      <c r="C135" s="287" t="s">
        <v>1677</v>
      </c>
      <c r="D135" s="287" t="s">
        <v>1536</v>
      </c>
      <c r="E135" s="287" t="s">
        <v>1666</v>
      </c>
      <c r="F135" s="100">
        <v>11</v>
      </c>
      <c r="G135" s="100">
        <v>1</v>
      </c>
      <c r="H135" s="100">
        <v>2.5846799999999996</v>
      </c>
      <c r="I135" s="100">
        <f t="shared" si="16"/>
        <v>0.25846799999999998</v>
      </c>
      <c r="J135" s="101">
        <f t="shared" si="17"/>
        <v>2.8431479999999998</v>
      </c>
      <c r="K135" s="287"/>
      <c r="L135" s="287"/>
      <c r="M135" s="287"/>
      <c r="N135" s="287"/>
      <c r="O135" s="101">
        <f t="shared" si="18"/>
        <v>5.6862959999999996</v>
      </c>
      <c r="Q135" s="283">
        <f t="shared" si="19"/>
        <v>0.14215739999999999</v>
      </c>
      <c r="R135" s="283">
        <f t="shared" si="20"/>
        <v>5.6862959999999997E-2</v>
      </c>
      <c r="S135" s="283">
        <f t="shared" si="21"/>
        <v>5.6862959999999997E-2</v>
      </c>
      <c r="T135" s="283">
        <f t="shared" si="22"/>
        <v>2.8431479999999999E-2</v>
      </c>
      <c r="U135" s="275">
        <f t="shared" si="23"/>
        <v>3.1274628</v>
      </c>
    </row>
    <row r="136" spans="1:21" x14ac:dyDescent="0.55000000000000004">
      <c r="A136" s="287" t="s">
        <v>1719</v>
      </c>
      <c r="B136" s="288" t="s">
        <v>10</v>
      </c>
      <c r="C136" s="287" t="s">
        <v>1678</v>
      </c>
      <c r="D136" s="287" t="s">
        <v>1432</v>
      </c>
      <c r="E136" s="287" t="s">
        <v>1666</v>
      </c>
      <c r="F136" s="100">
        <v>93800</v>
      </c>
      <c r="G136" s="100">
        <v>720</v>
      </c>
      <c r="H136" s="100">
        <v>1.6988179012345679</v>
      </c>
      <c r="I136" s="100">
        <f t="shared" si="16"/>
        <v>0.16988179012345681</v>
      </c>
      <c r="J136" s="101">
        <f t="shared" si="17"/>
        <v>1.8686996913580247</v>
      </c>
      <c r="K136" s="287"/>
      <c r="L136" s="287"/>
      <c r="M136" s="287"/>
      <c r="N136" s="287"/>
      <c r="O136" s="101">
        <f t="shared" si="18"/>
        <v>3.7373993827160494</v>
      </c>
      <c r="Q136" s="283">
        <f t="shared" si="19"/>
        <v>9.3434984567901239E-2</v>
      </c>
      <c r="R136" s="283">
        <f t="shared" si="20"/>
        <v>3.7373993827160494E-2</v>
      </c>
      <c r="S136" s="283">
        <f t="shared" si="21"/>
        <v>3.7373993827160494E-2</v>
      </c>
      <c r="T136" s="283">
        <f t="shared" si="22"/>
        <v>1.8686996913580247E-2</v>
      </c>
      <c r="U136" s="275">
        <f t="shared" si="23"/>
        <v>2.0555696604938274</v>
      </c>
    </row>
    <row r="137" spans="1:21" x14ac:dyDescent="0.55000000000000004">
      <c r="A137" s="287" t="s">
        <v>1720</v>
      </c>
      <c r="B137" s="288" t="s">
        <v>10</v>
      </c>
      <c r="C137" s="287" t="s">
        <v>1679</v>
      </c>
      <c r="D137" s="287" t="s">
        <v>1432</v>
      </c>
      <c r="E137" s="287" t="s">
        <v>1666</v>
      </c>
      <c r="F137" s="100">
        <v>2190</v>
      </c>
      <c r="G137" s="100">
        <v>55</v>
      </c>
      <c r="H137" s="100">
        <v>1.1652404446130169</v>
      </c>
      <c r="I137" s="100">
        <f t="shared" si="16"/>
        <v>0.1165240444613017</v>
      </c>
      <c r="J137" s="101">
        <f t="shared" si="17"/>
        <v>1.2817644890743185</v>
      </c>
      <c r="K137" s="287"/>
      <c r="L137" s="287"/>
      <c r="M137" s="287"/>
      <c r="N137" s="287"/>
      <c r="O137" s="101">
        <f t="shared" si="18"/>
        <v>2.563528978148637</v>
      </c>
      <c r="Q137" s="283">
        <f t="shared" si="19"/>
        <v>6.4088224453715925E-2</v>
      </c>
      <c r="R137" s="283">
        <f t="shared" si="20"/>
        <v>2.5635289781486371E-2</v>
      </c>
      <c r="S137" s="283">
        <f t="shared" si="21"/>
        <v>2.5635289781486371E-2</v>
      </c>
      <c r="T137" s="283">
        <f t="shared" si="22"/>
        <v>1.2817644890743185E-2</v>
      </c>
      <c r="U137" s="275">
        <f t="shared" si="23"/>
        <v>1.4099409379817505</v>
      </c>
    </row>
    <row r="138" spans="1:21" x14ac:dyDescent="0.55000000000000004">
      <c r="A138" s="287" t="s">
        <v>1721</v>
      </c>
      <c r="B138" s="288" t="s">
        <v>10</v>
      </c>
      <c r="C138" s="287" t="s">
        <v>1680</v>
      </c>
      <c r="D138" s="287" t="s">
        <v>1432</v>
      </c>
      <c r="E138" s="287" t="s">
        <v>1666</v>
      </c>
      <c r="F138" s="100">
        <v>3392</v>
      </c>
      <c r="G138" s="100">
        <v>15</v>
      </c>
      <c r="H138" s="100">
        <v>1.3027733333333333</v>
      </c>
      <c r="I138" s="100">
        <f t="shared" si="16"/>
        <v>0.13027733333333333</v>
      </c>
      <c r="J138" s="101">
        <f t="shared" si="17"/>
        <v>1.4330506666666667</v>
      </c>
      <c r="K138" s="287"/>
      <c r="L138" s="287"/>
      <c r="M138" s="287"/>
      <c r="N138" s="287"/>
      <c r="O138" s="101">
        <f t="shared" si="18"/>
        <v>2.8661013333333334</v>
      </c>
      <c r="Q138" s="283">
        <f t="shared" si="19"/>
        <v>7.1652533333333338E-2</v>
      </c>
      <c r="R138" s="283">
        <f t="shared" si="20"/>
        <v>2.8661013333333336E-2</v>
      </c>
      <c r="S138" s="283">
        <f t="shared" si="21"/>
        <v>2.8661013333333336E-2</v>
      </c>
      <c r="T138" s="283">
        <f t="shared" si="22"/>
        <v>1.4330506666666668E-2</v>
      </c>
      <c r="U138" s="275">
        <f t="shared" si="23"/>
        <v>1.5763557333333333</v>
      </c>
    </row>
    <row r="139" spans="1:21" x14ac:dyDescent="0.55000000000000004">
      <c r="A139" s="287" t="s">
        <v>1722</v>
      </c>
      <c r="B139" s="288" t="s">
        <v>10</v>
      </c>
      <c r="C139" s="287" t="s">
        <v>1681</v>
      </c>
      <c r="D139" s="287" t="s">
        <v>1448</v>
      </c>
      <c r="E139" s="287" t="s">
        <v>1666</v>
      </c>
      <c r="F139" s="100">
        <v>2830</v>
      </c>
      <c r="G139" s="100">
        <v>30</v>
      </c>
      <c r="H139" s="100">
        <v>0.80666580329763959</v>
      </c>
      <c r="I139" s="100">
        <f t="shared" si="16"/>
        <v>8.0666580329763968E-2</v>
      </c>
      <c r="J139" s="101">
        <f t="shared" si="17"/>
        <v>0.88733238362740352</v>
      </c>
      <c r="K139" s="287"/>
      <c r="L139" s="287"/>
      <c r="M139" s="287"/>
      <c r="N139" s="287"/>
      <c r="O139" s="101">
        <f t="shared" si="18"/>
        <v>1.774664767254807</v>
      </c>
      <c r="Q139" s="283">
        <f t="shared" si="19"/>
        <v>4.4366619181370179E-2</v>
      </c>
      <c r="R139" s="283">
        <f t="shared" si="20"/>
        <v>1.774664767254807E-2</v>
      </c>
      <c r="S139" s="283">
        <f t="shared" si="21"/>
        <v>1.774664767254807E-2</v>
      </c>
      <c r="T139" s="283">
        <f t="shared" si="22"/>
        <v>8.8733238362740351E-3</v>
      </c>
      <c r="U139" s="275">
        <f t="shared" si="23"/>
        <v>0.97606562199014391</v>
      </c>
    </row>
    <row r="140" spans="1:21" x14ac:dyDescent="0.55000000000000004">
      <c r="A140" s="287" t="s">
        <v>1723</v>
      </c>
      <c r="B140" s="288" t="s">
        <v>10</v>
      </c>
      <c r="C140" s="287" t="s">
        <v>1682</v>
      </c>
      <c r="D140" s="287" t="s">
        <v>1448</v>
      </c>
      <c r="E140" s="287" t="s">
        <v>1666</v>
      </c>
      <c r="F140" s="100">
        <v>60</v>
      </c>
      <c r="G140" s="100">
        <v>1</v>
      </c>
      <c r="H140" s="100">
        <v>0.44999999999999996</v>
      </c>
      <c r="I140" s="100">
        <f t="shared" si="16"/>
        <v>4.4999999999999998E-2</v>
      </c>
      <c r="J140" s="101">
        <f t="shared" si="17"/>
        <v>0.49499999999999994</v>
      </c>
      <c r="K140" s="287"/>
      <c r="L140" s="287"/>
      <c r="M140" s="287"/>
      <c r="N140" s="287"/>
      <c r="O140" s="101">
        <f t="shared" si="18"/>
        <v>0.98999999999999988</v>
      </c>
      <c r="Q140" s="283">
        <f t="shared" si="19"/>
        <v>2.4749999999999998E-2</v>
      </c>
      <c r="R140" s="283">
        <f t="shared" si="20"/>
        <v>9.8999999999999991E-3</v>
      </c>
      <c r="S140" s="283">
        <f t="shared" si="21"/>
        <v>9.8999999999999991E-3</v>
      </c>
      <c r="T140" s="283">
        <f t="shared" si="22"/>
        <v>4.9499999999999995E-3</v>
      </c>
      <c r="U140" s="275">
        <f t="shared" si="23"/>
        <v>0.54449999999999998</v>
      </c>
    </row>
    <row r="141" spans="1:21" x14ac:dyDescent="0.55000000000000004">
      <c r="A141" s="287" t="s">
        <v>1724</v>
      </c>
      <c r="B141" s="288" t="s">
        <v>10</v>
      </c>
      <c r="C141" s="287" t="s">
        <v>1684</v>
      </c>
      <c r="D141" s="287" t="s">
        <v>1467</v>
      </c>
      <c r="E141" s="287" t="s">
        <v>1666</v>
      </c>
      <c r="F141" s="100">
        <v>4251</v>
      </c>
      <c r="G141" s="100">
        <v>45</v>
      </c>
      <c r="H141" s="100">
        <v>1.1944637084962106</v>
      </c>
      <c r="I141" s="100">
        <f t="shared" si="16"/>
        <v>0.11944637084962106</v>
      </c>
      <c r="J141" s="101">
        <f t="shared" si="17"/>
        <v>1.3139100793458316</v>
      </c>
      <c r="K141" s="287"/>
      <c r="L141" s="287"/>
      <c r="M141" s="287"/>
      <c r="N141" s="287"/>
      <c r="O141" s="101">
        <f t="shared" si="18"/>
        <v>2.6278201586916632</v>
      </c>
      <c r="Q141" s="283">
        <f t="shared" si="19"/>
        <v>6.5695503967291582E-2</v>
      </c>
      <c r="R141" s="283">
        <f t="shared" si="20"/>
        <v>2.6278201586916631E-2</v>
      </c>
      <c r="S141" s="283">
        <f t="shared" si="21"/>
        <v>2.6278201586916631E-2</v>
      </c>
      <c r="T141" s="283">
        <f t="shared" si="22"/>
        <v>1.3139100793458315E-2</v>
      </c>
      <c r="U141" s="275">
        <f t="shared" si="23"/>
        <v>1.4453010872804148</v>
      </c>
    </row>
    <row r="142" spans="1:21" x14ac:dyDescent="0.55000000000000004">
      <c r="A142" s="287" t="s">
        <v>1725</v>
      </c>
      <c r="B142" s="288" t="s">
        <v>10</v>
      </c>
      <c r="C142" s="287" t="s">
        <v>1685</v>
      </c>
      <c r="D142" s="287" t="s">
        <v>1486</v>
      </c>
      <c r="E142" s="287" t="s">
        <v>1666</v>
      </c>
      <c r="F142" s="100">
        <v>1400</v>
      </c>
      <c r="G142" s="100">
        <v>75</v>
      </c>
      <c r="H142" s="100">
        <v>1.4400109065027882</v>
      </c>
      <c r="I142" s="100">
        <f t="shared" si="16"/>
        <v>0.14400109065027883</v>
      </c>
      <c r="J142" s="101">
        <f t="shared" si="17"/>
        <v>1.5840119971530671</v>
      </c>
      <c r="K142" s="287"/>
      <c r="L142" s="287"/>
      <c r="M142" s="287"/>
      <c r="N142" s="287"/>
      <c r="O142" s="101">
        <f t="shared" si="18"/>
        <v>3.1680239943061341</v>
      </c>
      <c r="Q142" s="283">
        <f t="shared" si="19"/>
        <v>7.9200599857653362E-2</v>
      </c>
      <c r="R142" s="283">
        <f t="shared" si="20"/>
        <v>3.1680239943061343E-2</v>
      </c>
      <c r="S142" s="283">
        <f t="shared" si="21"/>
        <v>3.1680239943061343E-2</v>
      </c>
      <c r="T142" s="283">
        <f t="shared" si="22"/>
        <v>1.5840119971530672E-2</v>
      </c>
      <c r="U142" s="275">
        <f t="shared" si="23"/>
        <v>1.7424131968683736</v>
      </c>
    </row>
    <row r="143" spans="1:21" x14ac:dyDescent="0.55000000000000004">
      <c r="A143" s="287" t="s">
        <v>1726</v>
      </c>
      <c r="B143" s="288" t="s">
        <v>10</v>
      </c>
      <c r="C143" s="287" t="s">
        <v>1686</v>
      </c>
      <c r="D143" s="287" t="s">
        <v>1486</v>
      </c>
      <c r="E143" s="287" t="s">
        <v>1666</v>
      </c>
      <c r="F143" s="100">
        <v>65390</v>
      </c>
      <c r="G143" s="100">
        <v>600</v>
      </c>
      <c r="H143" s="100">
        <v>0.69532074074074079</v>
      </c>
      <c r="I143" s="100">
        <f t="shared" si="16"/>
        <v>6.9532074074074079E-2</v>
      </c>
      <c r="J143" s="101">
        <f t="shared" si="17"/>
        <v>0.76485281481481482</v>
      </c>
      <c r="K143" s="287"/>
      <c r="L143" s="287"/>
      <c r="M143" s="287"/>
      <c r="N143" s="287"/>
      <c r="O143" s="101">
        <f t="shared" si="18"/>
        <v>1.5297056296296296</v>
      </c>
      <c r="Q143" s="283">
        <f t="shared" si="19"/>
        <v>3.8242640740740741E-2</v>
      </c>
      <c r="R143" s="283">
        <f t="shared" si="20"/>
        <v>1.5297056296296296E-2</v>
      </c>
      <c r="S143" s="283">
        <f t="shared" si="21"/>
        <v>1.5297056296296296E-2</v>
      </c>
      <c r="T143" s="283">
        <f t="shared" si="22"/>
        <v>7.6485281481481482E-3</v>
      </c>
      <c r="U143" s="275">
        <f t="shared" si="23"/>
        <v>0.84133809629629641</v>
      </c>
    </row>
    <row r="144" spans="1:21" x14ac:dyDescent="0.55000000000000004">
      <c r="A144" s="287" t="s">
        <v>1727</v>
      </c>
      <c r="B144" s="288" t="s">
        <v>10</v>
      </c>
      <c r="C144" s="287" t="s">
        <v>1687</v>
      </c>
      <c r="D144" s="287" t="s">
        <v>1507</v>
      </c>
      <c r="E144" s="287" t="s">
        <v>1666</v>
      </c>
      <c r="F144" s="100">
        <v>3200</v>
      </c>
      <c r="G144" s="100">
        <v>45</v>
      </c>
      <c r="H144" s="100">
        <v>0.6849088561622001</v>
      </c>
      <c r="I144" s="100">
        <f t="shared" si="16"/>
        <v>6.8490885616220007E-2</v>
      </c>
      <c r="J144" s="101">
        <f t="shared" si="17"/>
        <v>0.75339974177842006</v>
      </c>
      <c r="K144" s="287"/>
      <c r="L144" s="287"/>
      <c r="M144" s="287"/>
      <c r="N144" s="287"/>
      <c r="O144" s="101">
        <f t="shared" si="18"/>
        <v>1.5067994835568401</v>
      </c>
      <c r="Q144" s="283">
        <f t="shared" si="19"/>
        <v>3.7669987088921005E-2</v>
      </c>
      <c r="R144" s="283">
        <f t="shared" si="20"/>
        <v>1.5067994835568402E-2</v>
      </c>
      <c r="S144" s="283">
        <f t="shared" si="21"/>
        <v>1.5067994835568402E-2</v>
      </c>
      <c r="T144" s="283">
        <f t="shared" si="22"/>
        <v>7.5339974177842011E-3</v>
      </c>
      <c r="U144" s="275">
        <f t="shared" si="23"/>
        <v>0.82873971595626206</v>
      </c>
    </row>
    <row r="145" spans="1:21" x14ac:dyDescent="0.55000000000000004">
      <c r="A145" s="287" t="s">
        <v>1728</v>
      </c>
      <c r="B145" s="288" t="s">
        <v>10</v>
      </c>
      <c r="C145" s="287" t="s">
        <v>1688</v>
      </c>
      <c r="D145" s="287" t="s">
        <v>1535</v>
      </c>
      <c r="E145" s="287" t="s">
        <v>1666</v>
      </c>
      <c r="F145" s="100">
        <v>3387</v>
      </c>
      <c r="G145" s="100">
        <v>15</v>
      </c>
      <c r="H145" s="100">
        <v>1.3020800000000001</v>
      </c>
      <c r="I145" s="100">
        <f t="shared" si="16"/>
        <v>0.13020800000000002</v>
      </c>
      <c r="J145" s="101">
        <f t="shared" si="17"/>
        <v>1.4322880000000002</v>
      </c>
      <c r="K145" s="287"/>
      <c r="L145" s="287"/>
      <c r="M145" s="287"/>
      <c r="N145" s="287"/>
      <c r="O145" s="101">
        <f t="shared" si="18"/>
        <v>2.8645760000000005</v>
      </c>
      <c r="Q145" s="283">
        <f t="shared" si="19"/>
        <v>7.1614400000000009E-2</v>
      </c>
      <c r="R145" s="283">
        <f t="shared" si="20"/>
        <v>2.8645760000000006E-2</v>
      </c>
      <c r="S145" s="283">
        <f t="shared" si="21"/>
        <v>2.8645760000000006E-2</v>
      </c>
      <c r="T145" s="283">
        <f t="shared" si="22"/>
        <v>1.4322880000000003E-2</v>
      </c>
      <c r="U145" s="275">
        <f t="shared" si="23"/>
        <v>1.5755168000000004</v>
      </c>
    </row>
    <row r="146" spans="1:21" x14ac:dyDescent="0.55000000000000004">
      <c r="A146" s="287" t="s">
        <v>1742</v>
      </c>
      <c r="B146" s="288" t="s">
        <v>10</v>
      </c>
      <c r="C146" s="287" t="s">
        <v>1689</v>
      </c>
      <c r="D146" s="287" t="s">
        <v>1782</v>
      </c>
      <c r="E146" s="287" t="s">
        <v>1777</v>
      </c>
      <c r="F146" s="100">
        <v>34700</v>
      </c>
      <c r="G146" s="100">
        <v>900</v>
      </c>
      <c r="H146" s="100">
        <v>0.39855597250011676</v>
      </c>
      <c r="I146" s="100">
        <f t="shared" si="16"/>
        <v>3.9855597250011678E-2</v>
      </c>
      <c r="J146" s="101">
        <f t="shared" si="17"/>
        <v>0.43841156975012846</v>
      </c>
      <c r="K146" s="287"/>
      <c r="L146" s="287"/>
      <c r="M146" s="287"/>
      <c r="N146" s="287"/>
      <c r="O146" s="101">
        <f t="shared" si="18"/>
        <v>0.87682313950025692</v>
      </c>
      <c r="Q146" s="283">
        <f t="shared" si="19"/>
        <v>2.1920578487506424E-2</v>
      </c>
      <c r="R146" s="283">
        <f t="shared" si="20"/>
        <v>8.7682313950025702E-3</v>
      </c>
      <c r="S146" s="283">
        <f t="shared" si="21"/>
        <v>8.7682313950025702E-3</v>
      </c>
      <c r="T146" s="283">
        <f t="shared" si="22"/>
        <v>4.3841156975012851E-3</v>
      </c>
      <c r="U146" s="275">
        <f t="shared" si="23"/>
        <v>0.4822527267251413</v>
      </c>
    </row>
    <row r="147" spans="1:21" x14ac:dyDescent="0.55000000000000004">
      <c r="A147" s="287" t="s">
        <v>1730</v>
      </c>
      <c r="B147" s="288" t="s">
        <v>10</v>
      </c>
      <c r="C147" s="287" t="s">
        <v>1690</v>
      </c>
      <c r="D147" s="287" t="s">
        <v>1782</v>
      </c>
      <c r="E147" s="287" t="s">
        <v>1777</v>
      </c>
      <c r="F147" s="100">
        <v>18120</v>
      </c>
      <c r="G147" s="100">
        <v>500</v>
      </c>
      <c r="H147" s="100">
        <v>0.3653850472727273</v>
      </c>
      <c r="I147" s="100">
        <f t="shared" si="16"/>
        <v>3.6538504727272735E-2</v>
      </c>
      <c r="J147" s="101">
        <f t="shared" si="17"/>
        <v>0.40192355200000002</v>
      </c>
      <c r="K147" s="287"/>
      <c r="L147" s="287"/>
      <c r="M147" s="287"/>
      <c r="N147" s="287"/>
      <c r="O147" s="101">
        <f t="shared" si="18"/>
        <v>0.80384710400000003</v>
      </c>
      <c r="Q147" s="283">
        <f t="shared" si="19"/>
        <v>2.0096177600000001E-2</v>
      </c>
      <c r="R147" s="283">
        <f t="shared" si="20"/>
        <v>8.03847104E-3</v>
      </c>
      <c r="S147" s="283">
        <f t="shared" si="21"/>
        <v>8.03847104E-3</v>
      </c>
      <c r="T147" s="283">
        <f t="shared" si="22"/>
        <v>4.01923552E-3</v>
      </c>
      <c r="U147" s="275">
        <f t="shared" si="23"/>
        <v>0.44211590719999999</v>
      </c>
    </row>
    <row r="148" spans="1:21" x14ac:dyDescent="0.55000000000000004">
      <c r="A148" s="287" t="s">
        <v>1731</v>
      </c>
      <c r="B148" s="288" t="s">
        <v>10</v>
      </c>
      <c r="C148" s="287" t="s">
        <v>1691</v>
      </c>
      <c r="D148" s="287" t="s">
        <v>1782</v>
      </c>
      <c r="E148" s="287" t="s">
        <v>1777</v>
      </c>
      <c r="F148" s="100">
        <v>3315</v>
      </c>
      <c r="G148" s="100">
        <v>90</v>
      </c>
      <c r="H148" s="100">
        <v>0.19102775876464245</v>
      </c>
      <c r="I148" s="100">
        <f t="shared" si="16"/>
        <v>1.9102775876464247E-2</v>
      </c>
      <c r="J148" s="101">
        <f t="shared" si="17"/>
        <v>0.2101305346411067</v>
      </c>
      <c r="K148" s="287"/>
      <c r="L148" s="287"/>
      <c r="M148" s="287"/>
      <c r="N148" s="287"/>
      <c r="O148" s="101">
        <f t="shared" si="18"/>
        <v>0.42026106928221341</v>
      </c>
      <c r="Q148" s="283">
        <f t="shared" si="19"/>
        <v>1.0506526732055335E-2</v>
      </c>
      <c r="R148" s="283">
        <f t="shared" si="20"/>
        <v>4.2026106928221346E-3</v>
      </c>
      <c r="S148" s="283">
        <f t="shared" si="21"/>
        <v>4.2026106928221346E-3</v>
      </c>
      <c r="T148" s="283">
        <f t="shared" si="22"/>
        <v>2.1013053464110673E-3</v>
      </c>
      <c r="U148" s="275">
        <f t="shared" si="23"/>
        <v>0.23114358810521735</v>
      </c>
    </row>
    <row r="149" spans="1:21" x14ac:dyDescent="0.55000000000000004">
      <c r="A149" s="287" t="s">
        <v>1732</v>
      </c>
      <c r="B149" s="288" t="s">
        <v>10</v>
      </c>
      <c r="C149" s="287" t="s">
        <v>1692</v>
      </c>
      <c r="D149" s="287" t="s">
        <v>1782</v>
      </c>
      <c r="E149" s="287" t="s">
        <v>1777</v>
      </c>
      <c r="F149" s="100">
        <v>4015</v>
      </c>
      <c r="G149" s="100">
        <v>110</v>
      </c>
      <c r="H149" s="100">
        <v>0.26538634808016204</v>
      </c>
      <c r="I149" s="100">
        <f t="shared" si="16"/>
        <v>2.6538634808016204E-2</v>
      </c>
      <c r="J149" s="101">
        <f t="shared" si="17"/>
        <v>0.29192498288817825</v>
      </c>
      <c r="K149" s="287"/>
      <c r="L149" s="287"/>
      <c r="M149" s="287"/>
      <c r="N149" s="287"/>
      <c r="O149" s="101">
        <f t="shared" si="18"/>
        <v>0.58384996577635651</v>
      </c>
      <c r="Q149" s="283">
        <f t="shared" si="19"/>
        <v>1.4596249144408914E-2</v>
      </c>
      <c r="R149" s="283">
        <f t="shared" si="20"/>
        <v>5.8384996577635654E-3</v>
      </c>
      <c r="S149" s="283">
        <f t="shared" si="21"/>
        <v>5.8384996577635654E-3</v>
      </c>
      <c r="T149" s="283">
        <f t="shared" si="22"/>
        <v>2.9192498288817827E-3</v>
      </c>
      <c r="U149" s="275">
        <f t="shared" si="23"/>
        <v>0.32111748117699612</v>
      </c>
    </row>
    <row r="150" spans="1:21" x14ac:dyDescent="0.55000000000000004">
      <c r="A150" s="287" t="s">
        <v>1733</v>
      </c>
      <c r="B150" s="288" t="s">
        <v>10</v>
      </c>
      <c r="C150" s="287" t="s">
        <v>1693</v>
      </c>
      <c r="D150" s="287" t="s">
        <v>1782</v>
      </c>
      <c r="E150" s="287" t="s">
        <v>1777</v>
      </c>
      <c r="F150" s="100">
        <v>3265</v>
      </c>
      <c r="G150" s="100">
        <v>90</v>
      </c>
      <c r="H150" s="100">
        <v>0.19195487833356684</v>
      </c>
      <c r="I150" s="100">
        <f t="shared" si="16"/>
        <v>1.9195487833356686E-2</v>
      </c>
      <c r="J150" s="101">
        <f t="shared" si="17"/>
        <v>0.21115036616692351</v>
      </c>
      <c r="K150" s="287"/>
      <c r="L150" s="287"/>
      <c r="M150" s="287"/>
      <c r="N150" s="287"/>
      <c r="O150" s="101">
        <f t="shared" si="18"/>
        <v>0.42230073233384702</v>
      </c>
      <c r="Q150" s="283">
        <f t="shared" si="19"/>
        <v>1.0557518308346177E-2</v>
      </c>
      <c r="R150" s="283">
        <f t="shared" si="20"/>
        <v>4.2230073233384706E-3</v>
      </c>
      <c r="S150" s="283">
        <f t="shared" si="21"/>
        <v>4.2230073233384706E-3</v>
      </c>
      <c r="T150" s="283">
        <f t="shared" si="22"/>
        <v>2.1115036616692353E-3</v>
      </c>
      <c r="U150" s="275">
        <f t="shared" si="23"/>
        <v>0.23226540278361585</v>
      </c>
    </row>
    <row r="151" spans="1:21" x14ac:dyDescent="0.55000000000000004">
      <c r="A151" s="287" t="s">
        <v>1741</v>
      </c>
      <c r="B151" s="288" t="s">
        <v>10</v>
      </c>
      <c r="C151" s="287" t="s">
        <v>1694</v>
      </c>
      <c r="D151" s="287" t="s">
        <v>1782</v>
      </c>
      <c r="E151" s="287" t="s">
        <v>1777</v>
      </c>
      <c r="F151" s="100">
        <v>5150</v>
      </c>
      <c r="G151" s="100">
        <v>90</v>
      </c>
      <c r="H151" s="100">
        <v>0.39033529619264218</v>
      </c>
      <c r="I151" s="100">
        <f t="shared" si="16"/>
        <v>3.9033529619264221E-2</v>
      </c>
      <c r="J151" s="101">
        <f t="shared" si="17"/>
        <v>0.42936882581190638</v>
      </c>
      <c r="K151" s="287"/>
      <c r="L151" s="287"/>
      <c r="M151" s="287"/>
      <c r="N151" s="287"/>
      <c r="O151" s="101">
        <f t="shared" si="18"/>
        <v>0.85873765162381277</v>
      </c>
      <c r="Q151" s="283">
        <f t="shared" si="19"/>
        <v>2.146844129059532E-2</v>
      </c>
      <c r="R151" s="283">
        <f t="shared" si="20"/>
        <v>8.5873765162381276E-3</v>
      </c>
      <c r="S151" s="283">
        <f t="shared" si="21"/>
        <v>8.5873765162381276E-3</v>
      </c>
      <c r="T151" s="283">
        <f t="shared" si="22"/>
        <v>4.2936882581190638E-3</v>
      </c>
      <c r="U151" s="275">
        <f t="shared" si="23"/>
        <v>0.47230570839309705</v>
      </c>
    </row>
    <row r="152" spans="1:21" x14ac:dyDescent="0.55000000000000004">
      <c r="A152" s="287" t="s">
        <v>1735</v>
      </c>
      <c r="B152" s="288" t="s">
        <v>10</v>
      </c>
      <c r="C152" s="287" t="s">
        <v>1695</v>
      </c>
      <c r="D152" s="287" t="s">
        <v>1589</v>
      </c>
      <c r="E152" s="287" t="s">
        <v>1778</v>
      </c>
      <c r="F152" s="100">
        <v>121</v>
      </c>
      <c r="G152" s="100">
        <v>1</v>
      </c>
      <c r="H152" s="100">
        <v>1.2988261875895513</v>
      </c>
      <c r="I152" s="100">
        <f t="shared" si="16"/>
        <v>0.12988261875895513</v>
      </c>
      <c r="J152" s="101">
        <f t="shared" si="17"/>
        <v>1.4287088063485065</v>
      </c>
      <c r="K152" s="287"/>
      <c r="L152" s="287"/>
      <c r="M152" s="287"/>
      <c r="N152" s="287"/>
      <c r="O152" s="101">
        <f t="shared" si="18"/>
        <v>2.857417612697013</v>
      </c>
      <c r="Q152" s="283">
        <f t="shared" si="19"/>
        <v>7.1435440317425325E-2</v>
      </c>
      <c r="R152" s="283">
        <f t="shared" si="20"/>
        <v>2.8574176126970132E-2</v>
      </c>
      <c r="S152" s="283">
        <f t="shared" si="21"/>
        <v>2.8574176126970132E-2</v>
      </c>
      <c r="T152" s="283">
        <f t="shared" si="22"/>
        <v>1.4287088063485066E-2</v>
      </c>
      <c r="U152" s="275">
        <f t="shared" si="23"/>
        <v>1.5715796869833574</v>
      </c>
    </row>
    <row r="153" spans="1:21" x14ac:dyDescent="0.55000000000000004">
      <c r="A153" s="287" t="s">
        <v>1736</v>
      </c>
      <c r="B153" s="288" t="s">
        <v>10</v>
      </c>
      <c r="C153" s="287" t="s">
        <v>1697</v>
      </c>
      <c r="D153" s="287" t="s">
        <v>1589</v>
      </c>
      <c r="E153" s="287" t="s">
        <v>1778</v>
      </c>
      <c r="F153" s="100">
        <v>58000</v>
      </c>
      <c r="G153" s="100">
        <v>285</v>
      </c>
      <c r="H153" s="100">
        <v>0.88833458052714731</v>
      </c>
      <c r="I153" s="100">
        <f t="shared" si="16"/>
        <v>8.8833458052714739E-2</v>
      </c>
      <c r="J153" s="101">
        <f t="shared" si="17"/>
        <v>0.97716803857986201</v>
      </c>
      <c r="K153" s="287"/>
      <c r="L153" s="287"/>
      <c r="M153" s="287"/>
      <c r="N153" s="287"/>
      <c r="O153" s="101">
        <f t="shared" si="18"/>
        <v>1.954336077159724</v>
      </c>
      <c r="Q153" s="283">
        <f t="shared" si="19"/>
        <v>4.88584019289931E-2</v>
      </c>
      <c r="R153" s="283">
        <f t="shared" si="20"/>
        <v>1.954336077159724E-2</v>
      </c>
      <c r="S153" s="283">
        <f t="shared" si="21"/>
        <v>1.954336077159724E-2</v>
      </c>
      <c r="T153" s="283">
        <f t="shared" si="22"/>
        <v>9.7716803857986201E-3</v>
      </c>
      <c r="U153" s="275">
        <f t="shared" si="23"/>
        <v>1.0748848424378479</v>
      </c>
    </row>
    <row r="154" spans="1:21" x14ac:dyDescent="0.55000000000000004">
      <c r="A154" s="287" t="s">
        <v>1737</v>
      </c>
      <c r="B154" s="288" t="s">
        <v>10</v>
      </c>
      <c r="C154" s="287" t="s">
        <v>1698</v>
      </c>
      <c r="D154" s="287" t="s">
        <v>1432</v>
      </c>
      <c r="E154" s="287" t="s">
        <v>1778</v>
      </c>
      <c r="F154" s="100">
        <v>61200</v>
      </c>
      <c r="G154" s="100">
        <v>360</v>
      </c>
      <c r="H154" s="100">
        <v>1.9830539116240635</v>
      </c>
      <c r="I154" s="100">
        <f t="shared" si="16"/>
        <v>0.19830539116240636</v>
      </c>
      <c r="J154" s="101">
        <f t="shared" si="17"/>
        <v>2.1813593027864697</v>
      </c>
      <c r="K154" s="287"/>
      <c r="L154" s="287"/>
      <c r="M154" s="287"/>
      <c r="N154" s="287"/>
      <c r="O154" s="101">
        <f t="shared" si="18"/>
        <v>4.3627186055729394</v>
      </c>
      <c r="Q154" s="283">
        <f t="shared" si="19"/>
        <v>0.10906796513932349</v>
      </c>
      <c r="R154" s="283">
        <f t="shared" si="20"/>
        <v>4.3627186055729399E-2</v>
      </c>
      <c r="S154" s="283">
        <f t="shared" si="21"/>
        <v>4.3627186055729399E-2</v>
      </c>
      <c r="T154" s="283">
        <f t="shared" si="22"/>
        <v>2.1813593027864699E-2</v>
      </c>
      <c r="U154" s="275">
        <f t="shared" si="23"/>
        <v>2.3994952330651169</v>
      </c>
    </row>
    <row r="155" spans="1:21" x14ac:dyDescent="0.55000000000000004">
      <c r="A155" s="287" t="s">
        <v>1738</v>
      </c>
      <c r="B155" s="288" t="s">
        <v>10</v>
      </c>
      <c r="C155" s="287" t="s">
        <v>1699</v>
      </c>
      <c r="D155" s="287" t="s">
        <v>1448</v>
      </c>
      <c r="E155" s="287" t="s">
        <v>1778</v>
      </c>
      <c r="F155" s="100">
        <v>149</v>
      </c>
      <c r="G155" s="100">
        <v>1</v>
      </c>
      <c r="H155" s="100">
        <v>1.7412813820877262</v>
      </c>
      <c r="I155" s="100">
        <f t="shared" si="16"/>
        <v>0.17412813820877263</v>
      </c>
      <c r="J155" s="101">
        <f t="shared" si="17"/>
        <v>1.9154095202964989</v>
      </c>
      <c r="K155" s="287"/>
      <c r="L155" s="287"/>
      <c r="M155" s="287"/>
      <c r="N155" s="287"/>
      <c r="O155" s="101">
        <f t="shared" si="18"/>
        <v>3.8308190405929978</v>
      </c>
      <c r="Q155" s="283">
        <f t="shared" si="19"/>
        <v>9.5770476014824954E-2</v>
      </c>
      <c r="R155" s="283">
        <f t="shared" si="20"/>
        <v>3.8308190405929976E-2</v>
      </c>
      <c r="S155" s="283">
        <f t="shared" si="21"/>
        <v>3.8308190405929976E-2</v>
      </c>
      <c r="T155" s="283">
        <f t="shared" si="22"/>
        <v>1.9154095202964988E-2</v>
      </c>
      <c r="U155" s="275">
        <f t="shared" si="23"/>
        <v>2.1069504723261487</v>
      </c>
    </row>
    <row r="156" spans="1:21" x14ac:dyDescent="0.55000000000000004">
      <c r="A156" s="287" t="s">
        <v>1739</v>
      </c>
      <c r="B156" s="288" t="s">
        <v>10</v>
      </c>
      <c r="C156" s="287" t="s">
        <v>1701</v>
      </c>
      <c r="D156" s="287" t="s">
        <v>1467</v>
      </c>
      <c r="E156" s="287" t="s">
        <v>1778</v>
      </c>
      <c r="F156" s="100">
        <v>54501</v>
      </c>
      <c r="G156" s="100">
        <v>284</v>
      </c>
      <c r="H156" s="100">
        <v>1.0563893735596048</v>
      </c>
      <c r="I156" s="100">
        <f t="shared" si="16"/>
        <v>0.10563893735596049</v>
      </c>
      <c r="J156" s="101">
        <f t="shared" si="17"/>
        <v>1.1620283109155654</v>
      </c>
      <c r="K156" s="287"/>
      <c r="L156" s="287"/>
      <c r="M156" s="287"/>
      <c r="N156" s="287"/>
      <c r="O156" s="101">
        <f t="shared" si="18"/>
        <v>2.3240566218311307</v>
      </c>
      <c r="Q156" s="283">
        <f t="shared" si="19"/>
        <v>5.8101415545778273E-2</v>
      </c>
      <c r="R156" s="283">
        <f t="shared" si="20"/>
        <v>2.3240566218311307E-2</v>
      </c>
      <c r="S156" s="283">
        <f t="shared" si="21"/>
        <v>2.3240566218311307E-2</v>
      </c>
      <c r="T156" s="283">
        <f t="shared" si="22"/>
        <v>1.1620283109155654E-2</v>
      </c>
      <c r="U156" s="275">
        <f t="shared" si="23"/>
        <v>1.2782311420071217</v>
      </c>
    </row>
    <row r="157" spans="1:21" x14ac:dyDescent="0.55000000000000004">
      <c r="A157" s="287" t="s">
        <v>1740</v>
      </c>
      <c r="B157" s="288" t="s">
        <v>10</v>
      </c>
      <c r="C157" s="287" t="s">
        <v>1702</v>
      </c>
      <c r="D157" s="287" t="s">
        <v>1486</v>
      </c>
      <c r="E157" s="287" t="s">
        <v>1778</v>
      </c>
      <c r="F157" s="100">
        <v>61200</v>
      </c>
      <c r="G157" s="100">
        <v>360</v>
      </c>
      <c r="H157" s="100">
        <v>1.9830539116240635</v>
      </c>
      <c r="I157" s="100">
        <f t="shared" si="16"/>
        <v>0.19830539116240636</v>
      </c>
      <c r="J157" s="101">
        <f t="shared" si="17"/>
        <v>2.1813593027864697</v>
      </c>
      <c r="K157" s="287"/>
      <c r="L157" s="287"/>
      <c r="M157" s="287"/>
      <c r="N157" s="287"/>
      <c r="O157" s="101">
        <f t="shared" si="18"/>
        <v>4.3627186055729394</v>
      </c>
      <c r="Q157" s="283">
        <f t="shared" si="19"/>
        <v>0.10906796513932349</v>
      </c>
      <c r="R157" s="283">
        <f t="shared" si="20"/>
        <v>4.3627186055729399E-2</v>
      </c>
      <c r="S157" s="283">
        <f t="shared" si="21"/>
        <v>4.3627186055729399E-2</v>
      </c>
      <c r="T157" s="283">
        <f t="shared" si="22"/>
        <v>2.1813593027864699E-2</v>
      </c>
      <c r="U157" s="275">
        <f t="shared" si="23"/>
        <v>2.3994952330651169</v>
      </c>
    </row>
    <row r="158" spans="1:21" x14ac:dyDescent="0.55000000000000004">
      <c r="A158" s="287" t="s">
        <v>1741</v>
      </c>
      <c r="B158" s="288" t="s">
        <v>10</v>
      </c>
      <c r="C158" s="287" t="s">
        <v>1417</v>
      </c>
      <c r="D158" s="287" t="s">
        <v>1507</v>
      </c>
      <c r="E158" s="287" t="s">
        <v>1778</v>
      </c>
      <c r="F158" s="100">
        <v>191</v>
      </c>
      <c r="G158" s="100">
        <v>1</v>
      </c>
      <c r="H158" s="100">
        <v>2.5510181941806755</v>
      </c>
      <c r="I158" s="100">
        <f t="shared" si="16"/>
        <v>0.25510181941806759</v>
      </c>
      <c r="J158" s="101">
        <f t="shared" si="17"/>
        <v>2.806120013598743</v>
      </c>
      <c r="K158" s="287"/>
      <c r="L158" s="287"/>
      <c r="M158" s="287"/>
      <c r="N158" s="287"/>
      <c r="O158" s="101">
        <f t="shared" si="18"/>
        <v>5.6122400271974859</v>
      </c>
      <c r="Q158" s="283">
        <f t="shared" si="19"/>
        <v>0.14030600067993715</v>
      </c>
      <c r="R158" s="283">
        <f t="shared" si="20"/>
        <v>5.6122400271974862E-2</v>
      </c>
      <c r="S158" s="283">
        <f t="shared" si="21"/>
        <v>5.6122400271974862E-2</v>
      </c>
      <c r="T158" s="283">
        <f t="shared" si="22"/>
        <v>2.8061200135987431E-2</v>
      </c>
      <c r="U158" s="275">
        <f t="shared" si="23"/>
        <v>3.0867320149586175</v>
      </c>
    </row>
    <row r="159" spans="1:21" x14ac:dyDescent="0.55000000000000004">
      <c r="A159" s="287" t="s">
        <v>1742</v>
      </c>
      <c r="B159" s="288" t="s">
        <v>10</v>
      </c>
      <c r="C159" s="287" t="s">
        <v>1704</v>
      </c>
      <c r="D159" s="287" t="s">
        <v>1535</v>
      </c>
      <c r="E159" s="287" t="s">
        <v>1778</v>
      </c>
      <c r="F159" s="100">
        <v>91</v>
      </c>
      <c r="G159" s="100">
        <v>1</v>
      </c>
      <c r="H159" s="100">
        <v>2.4084115697501285</v>
      </c>
      <c r="I159" s="100">
        <f t="shared" si="16"/>
        <v>0.24084115697501285</v>
      </c>
      <c r="J159" s="101">
        <f t="shared" si="17"/>
        <v>2.6492527267251411</v>
      </c>
      <c r="K159" s="287"/>
      <c r="L159" s="287"/>
      <c r="M159" s="287"/>
      <c r="N159" s="287"/>
      <c r="O159" s="101">
        <f t="shared" si="18"/>
        <v>5.2985054534502822</v>
      </c>
      <c r="Q159" s="283">
        <f t="shared" si="19"/>
        <v>0.13246263633625707</v>
      </c>
      <c r="R159" s="283">
        <f t="shared" si="20"/>
        <v>5.2985054534502821E-2</v>
      </c>
      <c r="S159" s="283">
        <f t="shared" si="21"/>
        <v>5.2985054534502821E-2</v>
      </c>
      <c r="T159" s="283">
        <f t="shared" si="22"/>
        <v>2.649252726725141E-2</v>
      </c>
      <c r="U159" s="275">
        <f t="shared" si="23"/>
        <v>2.9141779993976549</v>
      </c>
    </row>
    <row r="160" spans="1:21" x14ac:dyDescent="0.55000000000000004">
      <c r="A160" s="287" t="s">
        <v>1783</v>
      </c>
      <c r="B160" s="288" t="s">
        <v>10</v>
      </c>
      <c r="C160" s="287" t="s">
        <v>1706</v>
      </c>
      <c r="D160" s="287" t="s">
        <v>1536</v>
      </c>
      <c r="E160" s="287" t="s">
        <v>1778</v>
      </c>
      <c r="F160" s="100">
        <v>156</v>
      </c>
      <c r="G160" s="100">
        <v>1</v>
      </c>
      <c r="H160" s="100">
        <v>1.8045202138716927</v>
      </c>
      <c r="I160" s="100">
        <f t="shared" si="16"/>
        <v>0.18045202138716929</v>
      </c>
      <c r="J160" s="101">
        <f t="shared" si="17"/>
        <v>1.9849722352588619</v>
      </c>
      <c r="K160" s="287"/>
      <c r="L160" s="287"/>
      <c r="M160" s="287"/>
      <c r="N160" s="287"/>
      <c r="O160" s="101">
        <f t="shared" si="18"/>
        <v>3.9699444705177238</v>
      </c>
      <c r="Q160" s="283">
        <f t="shared" si="19"/>
        <v>9.9248611762943098E-2</v>
      </c>
      <c r="R160" s="283">
        <f t="shared" si="20"/>
        <v>3.9699444705177236E-2</v>
      </c>
      <c r="S160" s="283">
        <f t="shared" si="21"/>
        <v>3.9699444705177236E-2</v>
      </c>
      <c r="T160" s="283">
        <f t="shared" si="22"/>
        <v>1.9849722352588618E-2</v>
      </c>
      <c r="U160" s="275">
        <f t="shared" si="23"/>
        <v>2.1834694587847481</v>
      </c>
    </row>
    <row r="161" spans="1:21" x14ac:dyDescent="0.55000000000000004">
      <c r="A161" s="287" t="s">
        <v>2058</v>
      </c>
      <c r="B161" s="288" t="s">
        <v>10</v>
      </c>
      <c r="C161" s="271" t="s">
        <v>1839</v>
      </c>
      <c r="D161" s="271" t="s">
        <v>1536</v>
      </c>
      <c r="E161" s="271" t="s">
        <v>1666</v>
      </c>
      <c r="F161" s="289">
        <f>SUMIF('Recipe Ingredients'!$A$5:$A$2237,'Master – Recipes'!A161,'Recipe Ingredients'!$O$5:$O$2237)</f>
        <v>69660</v>
      </c>
      <c r="G161" s="271"/>
      <c r="H161" s="271">
        <f>SUMIF('Recipe Ingredients'!$A$5:$A$2237,'Master – Recipes'!A161,'Recipe Ingredients'!$W$5:$W$2238)</f>
        <v>1.4586544353626807</v>
      </c>
      <c r="I161" s="100">
        <f t="shared" ref="I161" si="24">H161*10%</f>
        <v>0.14586544353626807</v>
      </c>
      <c r="J161" s="101">
        <f t="shared" ref="J161" si="25">H161+I161</f>
        <v>1.6045198788989488</v>
      </c>
      <c r="Q161" s="283">
        <f t="shared" si="19"/>
        <v>8.0225993944947449E-2</v>
      </c>
      <c r="R161" s="283">
        <f t="shared" si="20"/>
        <v>3.2090397577978977E-2</v>
      </c>
      <c r="S161" s="283">
        <f t="shared" si="21"/>
        <v>3.2090397577978977E-2</v>
      </c>
      <c r="T161" s="283">
        <f t="shared" si="22"/>
        <v>1.6045198788989488E-2</v>
      </c>
      <c r="U161" s="275">
        <f t="shared" si="23"/>
        <v>1.7649718667888437</v>
      </c>
    </row>
    <row r="162" spans="1:21" x14ac:dyDescent="0.55000000000000004">
      <c r="A162" s="287" t="s">
        <v>2059</v>
      </c>
      <c r="B162" s="288" t="s">
        <v>10</v>
      </c>
      <c r="C162" s="271" t="s">
        <v>1841</v>
      </c>
      <c r="D162" s="271"/>
      <c r="E162" s="271" t="s">
        <v>1666</v>
      </c>
      <c r="F162" s="289">
        <f>SUMIF('Recipe Ingredients'!$A$5:$A$2237,'Master – Recipes'!A162,'Recipe Ingredients'!$O$5:$O$2237)</f>
        <v>3075.25</v>
      </c>
      <c r="G162" s="271"/>
      <c r="H162" s="271">
        <f>SUMIF('Recipe Ingredients'!$A$5:$A$2237,'Master – Recipes'!A162,'Recipe Ingredients'!$W$5:$W$2238)</f>
        <v>2.2021945885613343</v>
      </c>
      <c r="I162" s="100">
        <f t="shared" ref="I162:I172" si="26">H162*10%</f>
        <v>0.22021945885613345</v>
      </c>
      <c r="J162" s="101">
        <f t="shared" ref="J162:J172" si="27">H162+I162</f>
        <v>2.4224140474174676</v>
      </c>
      <c r="Q162" s="283">
        <f t="shared" si="19"/>
        <v>0.12112070237087338</v>
      </c>
      <c r="R162" s="283">
        <f t="shared" si="20"/>
        <v>4.8448280948349354E-2</v>
      </c>
      <c r="S162" s="283">
        <f t="shared" si="21"/>
        <v>4.8448280948349354E-2</v>
      </c>
      <c r="T162" s="283">
        <f t="shared" si="22"/>
        <v>2.4224140474174677E-2</v>
      </c>
      <c r="U162" s="275">
        <f t="shared" si="23"/>
        <v>2.6646554521592147</v>
      </c>
    </row>
    <row r="163" spans="1:21" x14ac:dyDescent="0.55000000000000004">
      <c r="A163" s="287" t="s">
        <v>2060</v>
      </c>
      <c r="B163" s="288" t="s">
        <v>10</v>
      </c>
      <c r="C163" s="271" t="s">
        <v>1843</v>
      </c>
      <c r="D163" s="271"/>
      <c r="E163" s="271" t="s">
        <v>1666</v>
      </c>
      <c r="F163" s="289">
        <f>SUMIF('Recipe Ingredients'!$A$5:$A$2237,'Master – Recipes'!A163,'Recipe Ingredients'!$O$5:$O$2237)</f>
        <v>336.25</v>
      </c>
      <c r="G163" s="271"/>
      <c r="H163" s="271">
        <f>SUMIF('Recipe Ingredients'!$A$5:$A$2237,'Master – Recipes'!A163,'Recipe Ingredients'!$W$5:$W$2238)</f>
        <v>1.8396635255183411</v>
      </c>
      <c r="I163" s="100">
        <f t="shared" si="26"/>
        <v>0.18396635255183413</v>
      </c>
      <c r="J163" s="101">
        <f t="shared" si="27"/>
        <v>2.0236298780701754</v>
      </c>
      <c r="Q163" s="283">
        <f t="shared" si="19"/>
        <v>0.10118149390350878</v>
      </c>
      <c r="R163" s="283">
        <f t="shared" si="20"/>
        <v>4.0472597561403506E-2</v>
      </c>
      <c r="S163" s="283">
        <f t="shared" si="21"/>
        <v>4.0472597561403506E-2</v>
      </c>
      <c r="T163" s="283">
        <f t="shared" si="22"/>
        <v>2.0236298780701753E-2</v>
      </c>
      <c r="U163" s="275">
        <f t="shared" si="23"/>
        <v>2.2259928658771924</v>
      </c>
    </row>
    <row r="164" spans="1:21" x14ac:dyDescent="0.55000000000000004">
      <c r="A164" s="287" t="s">
        <v>2061</v>
      </c>
      <c r="B164" s="288" t="s">
        <v>10</v>
      </c>
      <c r="C164" s="271" t="s">
        <v>1844</v>
      </c>
      <c r="D164" s="271"/>
      <c r="E164" s="271" t="s">
        <v>1666</v>
      </c>
      <c r="F164" s="289">
        <f>SUMIF('Recipe Ingredients'!$A$5:$A$2237,'Master – Recipes'!A164,'Recipe Ingredients'!$O$5:$O$2237)</f>
        <v>3201</v>
      </c>
      <c r="G164" s="271"/>
      <c r="H164" s="271">
        <f>SUMIF('Recipe Ingredients'!$A$5:$A$2237,'Master – Recipes'!A164,'Recipe Ingredients'!$W$5:$W$2238)</f>
        <v>1.4626363262008875</v>
      </c>
      <c r="I164" s="100">
        <f t="shared" si="26"/>
        <v>0.14626363262008876</v>
      </c>
      <c r="J164" s="101">
        <f t="shared" si="27"/>
        <v>1.6088999588209763</v>
      </c>
      <c r="Q164" s="283">
        <f t="shared" si="19"/>
        <v>8.0444997941048813E-2</v>
      </c>
      <c r="R164" s="283">
        <f t="shared" si="20"/>
        <v>3.2177999176419524E-2</v>
      </c>
      <c r="S164" s="283">
        <f t="shared" si="21"/>
        <v>3.2177999176419524E-2</v>
      </c>
      <c r="T164" s="283">
        <f t="shared" si="22"/>
        <v>1.6088999588209762E-2</v>
      </c>
      <c r="U164" s="275">
        <f t="shared" si="23"/>
        <v>1.769789954703074</v>
      </c>
    </row>
    <row r="165" spans="1:21" x14ac:dyDescent="0.55000000000000004">
      <c r="A165" s="287" t="s">
        <v>2062</v>
      </c>
      <c r="B165" s="288" t="s">
        <v>10</v>
      </c>
      <c r="C165" s="271" t="s">
        <v>1846</v>
      </c>
      <c r="D165" s="271"/>
      <c r="E165" s="271" t="s">
        <v>1666</v>
      </c>
      <c r="F165" s="289">
        <f>SUMIF('Recipe Ingredients'!$A$5:$A$2237,'Master – Recipes'!A165,'Recipe Ingredients'!$O$5:$O$2237)</f>
        <v>3623</v>
      </c>
      <c r="G165" s="271"/>
      <c r="H165" s="271">
        <f>SUMIF('Recipe Ingredients'!$A$5:$A$2237,'Master – Recipes'!A165,'Recipe Ingredients'!$W$5:$W$2238)</f>
        <v>1.8528259649122809</v>
      </c>
      <c r="I165" s="100">
        <f t="shared" si="26"/>
        <v>0.18528259649122811</v>
      </c>
      <c r="J165" s="101">
        <f t="shared" si="27"/>
        <v>2.0381085614035088</v>
      </c>
      <c r="Q165" s="283">
        <f t="shared" si="19"/>
        <v>0.10190542807017544</v>
      </c>
      <c r="R165" s="283">
        <f t="shared" si="20"/>
        <v>4.0762171228070181E-2</v>
      </c>
      <c r="S165" s="283">
        <f t="shared" si="21"/>
        <v>4.0762171228070181E-2</v>
      </c>
      <c r="T165" s="283">
        <f t="shared" si="22"/>
        <v>2.038108561403509E-2</v>
      </c>
      <c r="U165" s="275">
        <f t="shared" si="23"/>
        <v>2.2419194175438597</v>
      </c>
    </row>
    <row r="166" spans="1:21" x14ac:dyDescent="0.55000000000000004">
      <c r="A166" s="287" t="s">
        <v>2063</v>
      </c>
      <c r="B166" s="288" t="s">
        <v>10</v>
      </c>
      <c r="C166" s="271" t="s">
        <v>1853</v>
      </c>
      <c r="D166" s="290" t="s">
        <v>1432</v>
      </c>
      <c r="E166" s="271" t="s">
        <v>1666</v>
      </c>
      <c r="F166" s="289">
        <f>SUMIF('Recipe Ingredients'!$A$5:$A$2237,'Master – Recipes'!A166,'Recipe Ingredients'!$O$5:$O$2237)</f>
        <v>95990</v>
      </c>
      <c r="G166" s="271"/>
      <c r="H166" s="271">
        <f>SUMIF('Recipe Ingredients'!$A$5:$A$2237,'Master – Recipes'!A166,'Recipe Ingredients'!$W$5:$W$2238)</f>
        <v>2.9161797324710439</v>
      </c>
      <c r="I166" s="100">
        <f t="shared" si="26"/>
        <v>0.29161797324710442</v>
      </c>
      <c r="J166" s="101">
        <f t="shared" si="27"/>
        <v>3.2077977057181482</v>
      </c>
      <c r="Q166" s="283">
        <f t="shared" si="19"/>
        <v>0.16038988528590742</v>
      </c>
      <c r="R166" s="283">
        <f t="shared" si="20"/>
        <v>6.4155954114362965E-2</v>
      </c>
      <c r="S166" s="283">
        <f t="shared" si="21"/>
        <v>6.4155954114362965E-2</v>
      </c>
      <c r="T166" s="283">
        <f t="shared" si="22"/>
        <v>3.2077977057181482E-2</v>
      </c>
      <c r="U166" s="275">
        <f t="shared" si="23"/>
        <v>3.5285774762899633</v>
      </c>
    </row>
    <row r="167" spans="1:21" x14ac:dyDescent="0.55000000000000004">
      <c r="A167" s="287" t="s">
        <v>2064</v>
      </c>
      <c r="B167" s="288" t="s">
        <v>10</v>
      </c>
      <c r="C167" s="271" t="s">
        <v>1855</v>
      </c>
      <c r="D167" s="271"/>
      <c r="E167" s="271" t="s">
        <v>1666</v>
      </c>
      <c r="F167" s="289">
        <f>SUMIF('Recipe Ingredients'!$A$5:$A$2237,'Master – Recipes'!A167,'Recipe Ingredients'!$O$5:$O$2237)</f>
        <v>3497.25</v>
      </c>
      <c r="G167" s="271"/>
      <c r="H167" s="271">
        <f>SUMIF('Recipe Ingredients'!$A$5:$A$2237,'Master – Recipes'!A167,'Recipe Ingredients'!$W$5:$W$2238)</f>
        <v>2.5923842272727278</v>
      </c>
      <c r="I167" s="100">
        <f t="shared" si="26"/>
        <v>0.25923842272727277</v>
      </c>
      <c r="J167" s="101">
        <f t="shared" si="27"/>
        <v>2.8516226500000004</v>
      </c>
      <c r="Q167" s="283">
        <f t="shared" si="19"/>
        <v>0.14258113250000001</v>
      </c>
      <c r="R167" s="283">
        <f t="shared" si="20"/>
        <v>5.7032453000000011E-2</v>
      </c>
      <c r="S167" s="283">
        <f t="shared" si="21"/>
        <v>5.7032453000000011E-2</v>
      </c>
      <c r="T167" s="283">
        <f t="shared" si="22"/>
        <v>2.8516226500000005E-2</v>
      </c>
      <c r="U167" s="275">
        <f t="shared" si="23"/>
        <v>3.1367849150000007</v>
      </c>
    </row>
    <row r="168" spans="1:21" x14ac:dyDescent="0.55000000000000004">
      <c r="A168" s="287" t="s">
        <v>2065</v>
      </c>
      <c r="B168" s="288" t="s">
        <v>10</v>
      </c>
      <c r="C168" s="271" t="s">
        <v>2043</v>
      </c>
      <c r="D168" s="290" t="s">
        <v>1448</v>
      </c>
      <c r="E168" s="271" t="s">
        <v>1666</v>
      </c>
      <c r="F168" s="289">
        <f>SUMIF('Recipe Ingredients'!$A$5:$A$2237,'Master – Recipes'!A168,'Recipe Ingredients'!$O$5:$O$2237)</f>
        <v>2890</v>
      </c>
      <c r="G168" s="271"/>
      <c r="H168" s="271">
        <f>SUMIF('Recipe Ingredients'!$A$5:$A$2237,'Master – Recipes'!A168,'Recipe Ingredients'!$W$5:$W$2238)</f>
        <v>1.30658369462194</v>
      </c>
      <c r="I168" s="100">
        <f t="shared" si="26"/>
        <v>0.130658369462194</v>
      </c>
      <c r="J168" s="101">
        <f t="shared" si="27"/>
        <v>1.4372420640841339</v>
      </c>
      <c r="Q168" s="283">
        <f t="shared" si="19"/>
        <v>7.1862103204206704E-2</v>
      </c>
      <c r="R168" s="283">
        <f t="shared" si="20"/>
        <v>2.8744841281682677E-2</v>
      </c>
      <c r="S168" s="283">
        <f t="shared" si="21"/>
        <v>2.8744841281682677E-2</v>
      </c>
      <c r="T168" s="283">
        <f t="shared" si="22"/>
        <v>1.4372420640841339E-2</v>
      </c>
      <c r="U168" s="275">
        <f t="shared" si="23"/>
        <v>1.5809662704925471</v>
      </c>
    </row>
    <row r="169" spans="1:21" x14ac:dyDescent="0.55000000000000004">
      <c r="A169" s="287" t="s">
        <v>2066</v>
      </c>
      <c r="B169" s="288" t="s">
        <v>10</v>
      </c>
      <c r="C169" s="271" t="s">
        <v>1858</v>
      </c>
      <c r="D169" s="290" t="s">
        <v>1467</v>
      </c>
      <c r="E169" s="271" t="s">
        <v>1666</v>
      </c>
      <c r="F169" s="289">
        <f>SUMIF('Recipe Ingredients'!$A$5:$A$2237,'Master – Recipes'!A169,'Recipe Ingredients'!$O$5:$O$2237)</f>
        <v>4356.25</v>
      </c>
      <c r="G169" s="271"/>
      <c r="H169" s="271">
        <f>SUMIF('Recipe Ingredients'!$A$5:$A$2237,'Master – Recipes'!A169,'Recipe Ingredients'!$W$5:$W$2238)</f>
        <v>2.6958123468108455</v>
      </c>
      <c r="I169" s="100">
        <f t="shared" si="26"/>
        <v>0.26958123468108458</v>
      </c>
      <c r="J169" s="101">
        <f t="shared" si="27"/>
        <v>2.9653935814919299</v>
      </c>
      <c r="Q169" s="283">
        <f t="shared" si="19"/>
        <v>0.14826967907459651</v>
      </c>
      <c r="R169" s="283">
        <f t="shared" si="20"/>
        <v>5.9307871629838596E-2</v>
      </c>
      <c r="S169" s="283">
        <f t="shared" si="21"/>
        <v>5.9307871629838596E-2</v>
      </c>
      <c r="T169" s="283">
        <f t="shared" si="22"/>
        <v>2.9653935814919298E-2</v>
      </c>
      <c r="U169" s="275">
        <f t="shared" si="23"/>
        <v>3.261932939641123</v>
      </c>
    </row>
    <row r="170" spans="1:21" x14ac:dyDescent="0.55000000000000004">
      <c r="A170" s="287" t="s">
        <v>2067</v>
      </c>
      <c r="B170" s="288" t="s">
        <v>10</v>
      </c>
      <c r="C170" s="271" t="s">
        <v>1859</v>
      </c>
      <c r="D170" s="290" t="s">
        <v>1486</v>
      </c>
      <c r="E170" s="271" t="s">
        <v>1666</v>
      </c>
      <c r="F170" s="289">
        <f>SUMIF('Recipe Ingredients'!$A$5:$A$2237,'Master – Recipes'!A170,'Recipe Ingredients'!$O$5:$O$2237)</f>
        <v>66790</v>
      </c>
      <c r="G170" s="271"/>
      <c r="H170" s="271">
        <f>SUMIF('Recipe Ingredients'!$A$5:$A$2237,'Master – Recipes'!A170,'Recipe Ingredients'!$W$5:$W$2238)</f>
        <v>2.2087505226164827</v>
      </c>
      <c r="I170" s="100">
        <f t="shared" si="26"/>
        <v>0.22087505226164827</v>
      </c>
      <c r="J170" s="101">
        <f t="shared" si="27"/>
        <v>2.429625574878131</v>
      </c>
      <c r="Q170" s="283">
        <f t="shared" si="19"/>
        <v>0.12148127874390656</v>
      </c>
      <c r="R170" s="283">
        <f t="shared" si="20"/>
        <v>4.8592511497562621E-2</v>
      </c>
      <c r="S170" s="283">
        <f t="shared" si="21"/>
        <v>4.8592511497562621E-2</v>
      </c>
      <c r="T170" s="283">
        <f t="shared" si="22"/>
        <v>2.4296255748781311E-2</v>
      </c>
      <c r="U170" s="275">
        <f t="shared" si="23"/>
        <v>2.6725881323659442</v>
      </c>
    </row>
    <row r="171" spans="1:21" x14ac:dyDescent="0.55000000000000004">
      <c r="A171" s="287" t="s">
        <v>2068</v>
      </c>
      <c r="B171" s="288" t="s">
        <v>10</v>
      </c>
      <c r="C171" s="271" t="s">
        <v>1860</v>
      </c>
      <c r="D171" s="290" t="s">
        <v>1507</v>
      </c>
      <c r="E171" s="271" t="s">
        <v>1666</v>
      </c>
      <c r="F171" s="289">
        <f>SUMIF('Recipe Ingredients'!$A$5:$A$2237,'Master – Recipes'!A171,'Recipe Ingredients'!$O$5:$O$2237)</f>
        <v>6170</v>
      </c>
      <c r="G171" s="271"/>
      <c r="H171" s="271">
        <f>SUMIF('Recipe Ingredients'!$A$5:$A$2237,'Master – Recipes'!A171,'Recipe Ingredients'!$W$5:$W$2238)</f>
        <v>1.6183192570407687</v>
      </c>
      <c r="I171" s="100">
        <f t="shared" si="26"/>
        <v>0.1618319257040769</v>
      </c>
      <c r="J171" s="101">
        <f t="shared" si="27"/>
        <v>1.7801511827448455</v>
      </c>
      <c r="Q171" s="283">
        <f t="shared" si="19"/>
        <v>8.9007559137242287E-2</v>
      </c>
      <c r="R171" s="283">
        <f t="shared" si="20"/>
        <v>3.5603023654896912E-2</v>
      </c>
      <c r="S171" s="283">
        <f t="shared" si="21"/>
        <v>3.5603023654896912E-2</v>
      </c>
      <c r="T171" s="283">
        <f t="shared" si="22"/>
        <v>1.7801511827448456E-2</v>
      </c>
      <c r="U171" s="275">
        <f t="shared" si="23"/>
        <v>1.9581663010193302</v>
      </c>
    </row>
    <row r="172" spans="1:21" x14ac:dyDescent="0.55000000000000004">
      <c r="A172" s="291" t="s">
        <v>2069</v>
      </c>
      <c r="B172" s="292" t="s">
        <v>10</v>
      </c>
      <c r="C172" s="277" t="s">
        <v>1861</v>
      </c>
      <c r="D172" s="293" t="s">
        <v>1535</v>
      </c>
      <c r="E172" s="277" t="s">
        <v>1666</v>
      </c>
      <c r="F172" s="294">
        <f>SUMIF('Recipe Ingredients'!$A$5:$A$2237,'Master – Recipes'!A172,'Recipe Ingredients'!$O$5:$O$2237)</f>
        <v>3618</v>
      </c>
      <c r="G172" s="277"/>
      <c r="H172" s="277">
        <f>SUMIF('Recipe Ingredients'!$A$5:$A$2237,'Master – Recipes'!A172,'Recipe Ingredients'!$W$5:$W$2238)</f>
        <v>1.8521326315789477</v>
      </c>
      <c r="I172" s="295">
        <f t="shared" si="26"/>
        <v>0.18521326315789477</v>
      </c>
      <c r="J172" s="296">
        <f t="shared" si="27"/>
        <v>2.0373458947368426</v>
      </c>
      <c r="Q172" s="283">
        <f t="shared" si="19"/>
        <v>0.10186729473684214</v>
      </c>
      <c r="R172" s="283">
        <f t="shared" si="20"/>
        <v>4.0746917894736855E-2</v>
      </c>
      <c r="S172" s="283">
        <f t="shared" si="21"/>
        <v>4.0746917894736855E-2</v>
      </c>
      <c r="T172" s="283">
        <f t="shared" si="22"/>
        <v>2.0373458947368427E-2</v>
      </c>
      <c r="U172" s="297">
        <f t="shared" si="23"/>
        <v>2.241080484210527</v>
      </c>
    </row>
    <row r="173" spans="1:21" s="276" customFormat="1" x14ac:dyDescent="0.55000000000000004">
      <c r="A173" s="278"/>
      <c r="B173" s="279"/>
      <c r="C173" s="278"/>
      <c r="D173" s="278"/>
      <c r="E173" s="278"/>
      <c r="F173" s="280">
        <f t="shared" ref="F173:T173" si="28">SUBTOTAL(109,F4:F172)</f>
        <v>1390568.7</v>
      </c>
      <c r="G173" s="280"/>
      <c r="H173" s="281">
        <f t="shared" si="28"/>
        <v>502.03382491457836</v>
      </c>
      <c r="I173" s="281">
        <f t="shared" si="28"/>
        <v>50.203382491457859</v>
      </c>
      <c r="J173" s="281">
        <f t="shared" si="28"/>
        <v>552.23720740603642</v>
      </c>
      <c r="K173" s="281">
        <f t="shared" si="28"/>
        <v>0</v>
      </c>
      <c r="L173" s="281">
        <f t="shared" si="28"/>
        <v>0</v>
      </c>
      <c r="M173" s="281">
        <f t="shared" si="28"/>
        <v>0</v>
      </c>
      <c r="N173" s="281">
        <f t="shared" si="28"/>
        <v>0</v>
      </c>
      <c r="O173" s="281">
        <f t="shared" si="28"/>
        <v>1051.6609128555426</v>
      </c>
      <c r="P173" s="281">
        <f t="shared" si="28"/>
        <v>0</v>
      </c>
      <c r="Q173" s="281">
        <f t="shared" si="28"/>
        <v>27.611860370301848</v>
      </c>
      <c r="R173" s="281">
        <f t="shared" si="28"/>
        <v>11.04474414812073</v>
      </c>
      <c r="S173" s="281">
        <f t="shared" si="28"/>
        <v>11.04474414812073</v>
      </c>
      <c r="T173" s="281">
        <f t="shared" si="28"/>
        <v>5.5223720740603648</v>
      </c>
      <c r="U173" s="281">
        <f>SUBTOTAL(109,U4:U172)</f>
        <v>607.4609281466403</v>
      </c>
    </row>
    <row r="175" spans="1:21" x14ac:dyDescent="0.55000000000000004">
      <c r="U175" s="284"/>
    </row>
  </sheetData>
  <autoFilter ref="A3:P172" xr:uid="{00000000-0001-0000-0000-000000000000}"/>
  <pageMargins left="0.75" right="0.75" top="1" bottom="1" header="0.5" footer="0.5"/>
  <ignoredErrors>
    <ignoredError sqref="O4 O5:O16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5B9BD5"/>
  </sheetPr>
  <dimension ref="A1:W2245"/>
  <sheetViews>
    <sheetView showGridLines="0" tabSelected="1" zoomScale="90" zoomScaleNormal="90" workbookViewId="0">
      <pane xSplit="9" ySplit="4" topLeftCell="J2003" activePane="bottomRight" state="frozen"/>
      <selection pane="topRight"/>
      <selection pane="bottomLeft" activeCell="A5" sqref="A5"/>
      <selection pane="bottomRight" activeCell="D2029" sqref="D2029"/>
    </sheetView>
  </sheetViews>
  <sheetFormatPr defaultColWidth="8.83984375" defaultRowHeight="14.4" x14ac:dyDescent="0.55000000000000004"/>
  <cols>
    <col min="1" max="1" width="16.41796875" style="60" customWidth="1"/>
    <col min="2" max="2" width="11.578125" style="60" customWidth="1"/>
    <col min="3" max="3" width="8.62890625" style="60" customWidth="1"/>
    <col min="4" max="4" width="41.83984375" style="60" customWidth="1"/>
    <col min="5" max="5" width="17.47265625" style="60" hidden="1" customWidth="1"/>
    <col min="6" max="6" width="16.41796875" style="60" customWidth="1"/>
    <col min="7" max="7" width="11.734375" style="60" customWidth="1"/>
    <col min="8" max="8" width="8.68359375" style="60" hidden="1" customWidth="1"/>
    <col min="9" max="9" width="5.62890625" style="60" hidden="1" customWidth="1"/>
    <col min="10" max="10" width="1.41796875" style="60" hidden="1" customWidth="1"/>
    <col min="11" max="11" width="14.7890625" style="60" customWidth="1"/>
    <col min="12" max="12" width="29.15625" style="60" customWidth="1"/>
    <col min="13" max="13" width="7.578125" style="33" customWidth="1"/>
    <col min="14" max="14" width="6.15625" style="33" customWidth="1"/>
    <col min="15" max="15" width="12.5234375" style="33" customWidth="1"/>
    <col min="16" max="16" width="8.89453125" style="33" customWidth="1"/>
    <col min="17" max="17" width="8.26171875" style="272" customWidth="1"/>
    <col min="18" max="19" width="7.41796875" style="33" customWidth="1"/>
    <col min="20" max="21" width="9.89453125" style="33" customWidth="1"/>
    <col min="22" max="22" width="8.41796875" style="33" customWidth="1"/>
    <col min="23" max="23" width="13.05078125" style="33" customWidth="1"/>
    <col min="24" max="16384" width="8.83984375" style="33"/>
  </cols>
  <sheetData>
    <row r="1" spans="1:23" s="37" customFormat="1" ht="28.15" customHeight="1" x14ac:dyDescent="0.75">
      <c r="A1" s="53" t="s">
        <v>1789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spans="1:23" s="37" customFormat="1" x14ac:dyDescent="0.55000000000000004">
      <c r="A2" s="61"/>
      <c r="B2" s="61"/>
      <c r="C2" s="61"/>
      <c r="D2" s="54"/>
      <c r="E2" s="54"/>
      <c r="F2" s="54"/>
      <c r="G2" s="54"/>
      <c r="H2" s="54"/>
      <c r="I2" s="54"/>
      <c r="J2" s="54"/>
      <c r="K2" s="54"/>
      <c r="L2" s="54"/>
      <c r="Q2" s="272"/>
    </row>
    <row r="3" spans="1:23" s="37" customFormat="1" ht="23.1" customHeight="1" x14ac:dyDescent="0.55000000000000004">
      <c r="A3" s="62" t="s">
        <v>1788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38"/>
      <c r="N3" s="38"/>
      <c r="O3" s="38"/>
      <c r="P3" s="39"/>
      <c r="Q3" s="39"/>
      <c r="R3" s="38"/>
      <c r="S3" s="38"/>
      <c r="T3" s="38"/>
      <c r="U3" s="38"/>
      <c r="V3" s="38"/>
      <c r="W3" s="38"/>
    </row>
    <row r="4" spans="1:23" s="63" customFormat="1" ht="36" customHeight="1" x14ac:dyDescent="0.55000000000000004">
      <c r="A4" s="39" t="s">
        <v>23</v>
      </c>
      <c r="B4" s="39" t="s">
        <v>24</v>
      </c>
      <c r="C4" s="39" t="s">
        <v>1</v>
      </c>
      <c r="D4" s="39" t="s">
        <v>0</v>
      </c>
      <c r="E4" s="39" t="s">
        <v>1440</v>
      </c>
      <c r="F4" s="39" t="s">
        <v>2076</v>
      </c>
      <c r="G4" s="39" t="s">
        <v>2</v>
      </c>
      <c r="H4" s="39" t="s">
        <v>1792</v>
      </c>
      <c r="I4" s="39" t="s">
        <v>25</v>
      </c>
      <c r="J4" s="39" t="s">
        <v>26</v>
      </c>
      <c r="K4" s="39" t="s">
        <v>27</v>
      </c>
      <c r="L4" s="39" t="s">
        <v>28</v>
      </c>
      <c r="M4" s="39" t="s">
        <v>29</v>
      </c>
      <c r="N4" s="39" t="s">
        <v>30</v>
      </c>
      <c r="O4" s="39" t="s">
        <v>31</v>
      </c>
      <c r="P4" s="39" t="s">
        <v>2071</v>
      </c>
      <c r="Q4" s="39" t="s">
        <v>2072</v>
      </c>
      <c r="R4" s="39" t="s">
        <v>32</v>
      </c>
      <c r="S4" s="39" t="s">
        <v>1613</v>
      </c>
      <c r="T4" s="39" t="s">
        <v>2083</v>
      </c>
      <c r="U4" s="39" t="s">
        <v>2084</v>
      </c>
      <c r="V4" s="39" t="s">
        <v>33</v>
      </c>
      <c r="W4" s="39" t="s">
        <v>34</v>
      </c>
    </row>
    <row r="5" spans="1:23" hidden="1" x14ac:dyDescent="0.55000000000000004">
      <c r="A5" s="41" t="s">
        <v>9</v>
      </c>
      <c r="B5" s="41" t="s">
        <v>35</v>
      </c>
      <c r="C5" s="41" t="s">
        <v>10</v>
      </c>
      <c r="D5" s="41" t="s">
        <v>1413</v>
      </c>
      <c r="E5" s="41" t="s">
        <v>1432</v>
      </c>
      <c r="F5" s="41" t="s">
        <v>2081</v>
      </c>
      <c r="G5" s="41" t="s">
        <v>11</v>
      </c>
      <c r="H5" s="41" t="s">
        <v>1774</v>
      </c>
      <c r="I5" s="41"/>
      <c r="J5" s="41" t="s">
        <v>36</v>
      </c>
      <c r="K5" s="41" t="str">
        <f>IFERROR(VLOOKUP(L5,'Raw material list'!$A$3:$C$715,3,0),"")</f>
        <v>SFD2-5320</v>
      </c>
      <c r="L5" s="41" t="s">
        <v>851</v>
      </c>
      <c r="M5" s="40" t="s">
        <v>156</v>
      </c>
      <c r="N5" s="40" t="str">
        <f>VLOOKUP(L5,'Raw material list'!$A$3:$E$715,5,0)</f>
        <v xml:space="preserve">Gram </v>
      </c>
      <c r="O5" s="40">
        <v>700</v>
      </c>
      <c r="P5" s="273">
        <f>O5/Q5*100</f>
        <v>1138.2113821138212</v>
      </c>
      <c r="Q5" s="40">
        <v>61.5</v>
      </c>
      <c r="R5" s="40">
        <v>10</v>
      </c>
      <c r="S5" s="40"/>
      <c r="T5" s="105">
        <f t="shared" ref="T5:T69" si="0">IFERROR(O5/R5,0)</f>
        <v>70</v>
      </c>
      <c r="U5" s="105">
        <f>IFERROR(P5/R5,0)</f>
        <v>113.82113821138212</v>
      </c>
      <c r="V5" s="104">
        <f>IFERROR(VLOOKUP(L5,'Raw material list'!$A$2:$S$3102,6,0),0)</f>
        <v>0.115</v>
      </c>
      <c r="W5" s="104">
        <f>IFERROR(V5*U5,0)</f>
        <v>13.089430894308945</v>
      </c>
    </row>
    <row r="6" spans="1:23" hidden="1" x14ac:dyDescent="0.55000000000000004">
      <c r="A6" s="41" t="s">
        <v>9</v>
      </c>
      <c r="B6" s="41" t="s">
        <v>35</v>
      </c>
      <c r="C6" s="41" t="s">
        <v>10</v>
      </c>
      <c r="D6" s="41" t="s">
        <v>1413</v>
      </c>
      <c r="E6" s="41" t="s">
        <v>1432</v>
      </c>
      <c r="F6" s="41" t="s">
        <v>2079</v>
      </c>
      <c r="G6" s="41" t="s">
        <v>11</v>
      </c>
      <c r="H6" s="41" t="s">
        <v>1774</v>
      </c>
      <c r="I6" s="41"/>
      <c r="J6" s="41"/>
      <c r="K6" s="41" t="str">
        <f>IFERROR(VLOOKUP(L6,'Raw material list'!$A$3:$C$715,3,0),"")</f>
        <v>PRD1-4265</v>
      </c>
      <c r="L6" s="41" t="s">
        <v>38</v>
      </c>
      <c r="M6" s="40" t="s">
        <v>156</v>
      </c>
      <c r="N6" s="40" t="str">
        <f>VLOOKUP(L6,'Raw material list'!$A$3:$E$715,5,0)</f>
        <v xml:space="preserve">Gram </v>
      </c>
      <c r="O6" s="40">
        <v>150</v>
      </c>
      <c r="P6" s="299">
        <f t="shared" ref="P6:P69" si="1">O6/Q6*100</f>
        <v>176.47058823529412</v>
      </c>
      <c r="Q6" s="105">
        <v>85</v>
      </c>
      <c r="R6" s="40">
        <v>10</v>
      </c>
      <c r="S6" s="40"/>
      <c r="T6" s="105">
        <f t="shared" si="0"/>
        <v>15</v>
      </c>
      <c r="U6" s="105">
        <f t="shared" ref="U6:U69" si="2">IFERROR(P6/R6,0)</f>
        <v>17.647058823529413</v>
      </c>
      <c r="V6" s="104">
        <f>IFERROR(VLOOKUP(L6,'Raw material list'!$A$2:$S$3102,6,0),0)</f>
        <v>3.529411764705882E-3</v>
      </c>
      <c r="W6" s="104">
        <f t="shared" ref="W6:W69" si="3">IFERROR(V6*U6,0)</f>
        <v>6.228373702422145E-2</v>
      </c>
    </row>
    <row r="7" spans="1:23" hidden="1" x14ac:dyDescent="0.55000000000000004">
      <c r="A7" s="41" t="s">
        <v>9</v>
      </c>
      <c r="B7" s="41" t="s">
        <v>35</v>
      </c>
      <c r="C7" s="41" t="s">
        <v>10</v>
      </c>
      <c r="D7" s="41" t="s">
        <v>1413</v>
      </c>
      <c r="E7" s="41" t="s">
        <v>1432</v>
      </c>
      <c r="F7" s="41" t="s">
        <v>2079</v>
      </c>
      <c r="G7" s="41" t="s">
        <v>11</v>
      </c>
      <c r="H7" s="41" t="s">
        <v>1774</v>
      </c>
      <c r="I7" s="41"/>
      <c r="J7" s="41"/>
      <c r="K7" s="41" t="str">
        <f>IFERROR(VLOOKUP(L7,'Raw material list'!$A$3:$C$715,3,0),"")</f>
        <v>DRS3-1813</v>
      </c>
      <c r="L7" s="41" t="s">
        <v>69</v>
      </c>
      <c r="M7" s="40" t="s">
        <v>206</v>
      </c>
      <c r="N7" s="40" t="str">
        <f>VLOOKUP(L7,'Raw material list'!$A$3:$E$715,5,0)</f>
        <v>Ml</v>
      </c>
      <c r="O7" s="40">
        <v>30</v>
      </c>
      <c r="P7" s="299">
        <f t="shared" si="1"/>
        <v>30</v>
      </c>
      <c r="Q7" s="300">
        <v>100</v>
      </c>
      <c r="R7" s="40">
        <v>10</v>
      </c>
      <c r="S7" s="40"/>
      <c r="T7" s="105">
        <f>IFERROR(O7/R7,0)</f>
        <v>3</v>
      </c>
      <c r="U7" s="105">
        <f t="shared" si="2"/>
        <v>3</v>
      </c>
      <c r="V7" s="104">
        <f>IFERROR(VLOOKUP(L7,'Raw material list'!$A$2:$S$3102,6,0),0)</f>
        <v>8.0555555555555554E-3</v>
      </c>
      <c r="W7" s="104">
        <f t="shared" si="3"/>
        <v>2.4166666666666666E-2</v>
      </c>
    </row>
    <row r="8" spans="1:23" hidden="1" x14ac:dyDescent="0.55000000000000004">
      <c r="A8" s="41" t="s">
        <v>9</v>
      </c>
      <c r="B8" s="41" t="s">
        <v>35</v>
      </c>
      <c r="C8" s="41" t="s">
        <v>10</v>
      </c>
      <c r="D8" s="41" t="s">
        <v>1413</v>
      </c>
      <c r="E8" s="41" t="s">
        <v>1432</v>
      </c>
      <c r="F8" s="41" t="s">
        <v>2079</v>
      </c>
      <c r="G8" s="41" t="s">
        <v>11</v>
      </c>
      <c r="H8" s="41" t="s">
        <v>1774</v>
      </c>
      <c r="I8" s="41"/>
      <c r="J8" s="41"/>
      <c r="K8" s="41" t="str">
        <f>IFERROR(VLOOKUP(L8,'Raw material list'!$A$3:$C$715,3,0),"")</f>
        <v>PRD1-4327</v>
      </c>
      <c r="L8" s="41" t="s">
        <v>39</v>
      </c>
      <c r="M8" s="40" t="s">
        <v>156</v>
      </c>
      <c r="N8" s="40" t="str">
        <f>VLOOKUP(L8,'Raw material list'!$A$3:$E$715,5,0)</f>
        <v xml:space="preserve">Gram </v>
      </c>
      <c r="O8" s="40">
        <v>10</v>
      </c>
      <c r="P8" s="299">
        <f t="shared" si="1"/>
        <v>12.048192771084338</v>
      </c>
      <c r="Q8" s="105">
        <v>83</v>
      </c>
      <c r="R8" s="40">
        <v>10</v>
      </c>
      <c r="S8" s="40"/>
      <c r="T8" s="105">
        <f t="shared" si="0"/>
        <v>1</v>
      </c>
      <c r="U8" s="105">
        <f t="shared" si="2"/>
        <v>1.2048192771084338</v>
      </c>
      <c r="V8" s="104">
        <f>IFERROR(VLOOKUP(L8,'Raw material list'!$A$2:$S$3102,6,0),0)</f>
        <v>1.2999999999999999E-2</v>
      </c>
      <c r="W8" s="104">
        <f t="shared" si="3"/>
        <v>1.566265060240964E-2</v>
      </c>
    </row>
    <row r="9" spans="1:23" hidden="1" x14ac:dyDescent="0.55000000000000004">
      <c r="A9" s="41" t="s">
        <v>9</v>
      </c>
      <c r="B9" s="41" t="s">
        <v>35</v>
      </c>
      <c r="C9" s="41" t="s">
        <v>10</v>
      </c>
      <c r="D9" s="41" t="s">
        <v>1413</v>
      </c>
      <c r="E9" s="41" t="s">
        <v>1432</v>
      </c>
      <c r="F9" s="41" t="s">
        <v>2079</v>
      </c>
      <c r="G9" s="41" t="s">
        <v>11</v>
      </c>
      <c r="H9" s="41" t="s">
        <v>1774</v>
      </c>
      <c r="I9" s="41"/>
      <c r="J9" s="41"/>
      <c r="K9" s="41" t="str">
        <f>IFERROR(VLOOKUP(L9,'Raw material list'!$A$3:$C$715,3,0),"")</f>
        <v>PRD1-204</v>
      </c>
      <c r="L9" s="41" t="s">
        <v>81</v>
      </c>
      <c r="M9" s="40" t="s">
        <v>156</v>
      </c>
      <c r="N9" s="40" t="str">
        <f>VLOOKUP(L9,'Raw material list'!$A$3:$E$715,5,0)</f>
        <v xml:space="preserve">Gram </v>
      </c>
      <c r="O9" s="40">
        <v>10</v>
      </c>
      <c r="P9" s="299">
        <f t="shared" si="1"/>
        <v>12.048192771084338</v>
      </c>
      <c r="Q9" s="105">
        <v>83</v>
      </c>
      <c r="R9" s="40">
        <v>10</v>
      </c>
      <c r="S9" s="40"/>
      <c r="T9" s="105">
        <f t="shared" si="0"/>
        <v>1</v>
      </c>
      <c r="U9" s="105">
        <f t="shared" si="2"/>
        <v>1.2048192771084338</v>
      </c>
      <c r="V9" s="104">
        <f>IFERROR(VLOOKUP(L9,'Raw material list'!$A$2:$S$3102,6,0),0)</f>
        <v>8.4337349397590362E-3</v>
      </c>
      <c r="W9" s="104">
        <f t="shared" si="3"/>
        <v>1.0161126433444623E-2</v>
      </c>
    </row>
    <row r="10" spans="1:23" hidden="1" x14ac:dyDescent="0.55000000000000004">
      <c r="A10" s="41" t="s">
        <v>9</v>
      </c>
      <c r="B10" s="41" t="s">
        <v>35</v>
      </c>
      <c r="C10" s="41" t="s">
        <v>10</v>
      </c>
      <c r="D10" s="41" t="s">
        <v>1413</v>
      </c>
      <c r="E10" s="41" t="s">
        <v>1432</v>
      </c>
      <c r="F10" s="41" t="s">
        <v>2079</v>
      </c>
      <c r="G10" s="41" t="s">
        <v>11</v>
      </c>
      <c r="H10" s="41" t="s">
        <v>1774</v>
      </c>
      <c r="I10" s="41"/>
      <c r="J10" s="41"/>
      <c r="K10" s="41" t="str">
        <f>IFERROR(VLOOKUP(L10,'Raw material list'!$A$3:$C$715,3,0),"")</f>
        <v>DRS1-472</v>
      </c>
      <c r="L10" s="41" t="s">
        <v>324</v>
      </c>
      <c r="M10" s="40" t="s">
        <v>156</v>
      </c>
      <c r="N10" s="40" t="str">
        <f>VLOOKUP(L10,'Raw material list'!$A$3:$E$715,5,0)</f>
        <v xml:space="preserve">Gram </v>
      </c>
      <c r="O10" s="40">
        <v>40</v>
      </c>
      <c r="P10" s="299">
        <f t="shared" si="1"/>
        <v>40</v>
      </c>
      <c r="Q10" s="300">
        <v>100</v>
      </c>
      <c r="R10" s="40">
        <v>10</v>
      </c>
      <c r="S10" s="40"/>
      <c r="T10" s="105">
        <f t="shared" si="0"/>
        <v>4</v>
      </c>
      <c r="U10" s="105">
        <f t="shared" si="2"/>
        <v>4</v>
      </c>
      <c r="V10" s="104">
        <f>IFERROR(VLOOKUP(L10,'Raw material list'!$A$2:$S$3102,6,0),0)</f>
        <v>8.8105726872246701E-2</v>
      </c>
      <c r="W10" s="104">
        <f t="shared" si="3"/>
        <v>0.3524229074889868</v>
      </c>
    </row>
    <row r="11" spans="1:23" hidden="1" x14ac:dyDescent="0.55000000000000004">
      <c r="A11" s="41" t="s">
        <v>9</v>
      </c>
      <c r="B11" s="41" t="s">
        <v>35</v>
      </c>
      <c r="C11" s="41" t="s">
        <v>10</v>
      </c>
      <c r="D11" s="41" t="s">
        <v>1413</v>
      </c>
      <c r="E11" s="41" t="s">
        <v>1432</v>
      </c>
      <c r="F11" s="41" t="s">
        <v>2079</v>
      </c>
      <c r="G11" s="41" t="s">
        <v>11</v>
      </c>
      <c r="H11" s="41" t="s">
        <v>1774</v>
      </c>
      <c r="I11" s="41"/>
      <c r="J11" s="41"/>
      <c r="K11" s="41" t="str">
        <f>IFERROR(VLOOKUP(L11,'Raw material list'!$A$3:$C$715,3,0),"")</f>
        <v>DRS6-3608</v>
      </c>
      <c r="L11" s="41" t="s">
        <v>131</v>
      </c>
      <c r="M11" s="40" t="s">
        <v>156</v>
      </c>
      <c r="N11" s="40" t="str">
        <f>VLOOKUP(L11,'Raw material list'!$A$3:$E$715,5,0)</f>
        <v xml:space="preserve">Gram </v>
      </c>
      <c r="O11" s="40">
        <v>50</v>
      </c>
      <c r="P11" s="299">
        <f t="shared" si="1"/>
        <v>50</v>
      </c>
      <c r="Q11" s="40">
        <v>100</v>
      </c>
      <c r="R11" s="40">
        <v>10</v>
      </c>
      <c r="S11" s="40"/>
      <c r="T11" s="105">
        <f t="shared" si="0"/>
        <v>5</v>
      </c>
      <c r="U11" s="105">
        <f t="shared" si="2"/>
        <v>5</v>
      </c>
      <c r="V11" s="104">
        <f>IFERROR(VLOOKUP(L11,'Raw material list'!$A$2:$S$3102,6,0),0)</f>
        <v>1.6E-2</v>
      </c>
      <c r="W11" s="104">
        <f t="shared" si="3"/>
        <v>0.08</v>
      </c>
    </row>
    <row r="12" spans="1:23" hidden="1" x14ac:dyDescent="0.55000000000000004">
      <c r="A12" s="41" t="s">
        <v>9</v>
      </c>
      <c r="B12" s="41" t="s">
        <v>35</v>
      </c>
      <c r="C12" s="41" t="s">
        <v>10</v>
      </c>
      <c r="D12" s="41" t="s">
        <v>1413</v>
      </c>
      <c r="E12" s="41" t="s">
        <v>1432</v>
      </c>
      <c r="F12" s="41" t="s">
        <v>2079</v>
      </c>
      <c r="G12" s="41" t="s">
        <v>11</v>
      </c>
      <c r="H12" s="41" t="s">
        <v>1774</v>
      </c>
      <c r="I12" s="41"/>
      <c r="J12" s="41"/>
      <c r="K12" s="41" t="str">
        <f>IFERROR(VLOOKUP(L12,'Raw material list'!$A$3:$C$715,3,0),"")</f>
        <v>TAP-00001</v>
      </c>
      <c r="L12" s="41" t="s">
        <v>1405</v>
      </c>
      <c r="M12" s="40" t="s">
        <v>206</v>
      </c>
      <c r="N12" s="40" t="str">
        <f>VLOOKUP(L12,'Raw material list'!$A$3:$E$715,5,0)</f>
        <v>Ml</v>
      </c>
      <c r="O12" s="40">
        <v>1200</v>
      </c>
      <c r="P12" s="299">
        <f t="shared" si="1"/>
        <v>1200</v>
      </c>
      <c r="Q12" s="40">
        <v>100</v>
      </c>
      <c r="R12" s="40">
        <v>10</v>
      </c>
      <c r="S12" s="40"/>
      <c r="T12" s="105">
        <f t="shared" si="0"/>
        <v>120</v>
      </c>
      <c r="U12" s="105">
        <f t="shared" si="2"/>
        <v>120</v>
      </c>
      <c r="V12" s="104">
        <f>IFERROR(VLOOKUP(L12,'Raw material list'!$A$2:$S$3102,6,0),0)</f>
        <v>8.0000000000000007E-5</v>
      </c>
      <c r="W12" s="104">
        <f t="shared" si="3"/>
        <v>9.6000000000000009E-3</v>
      </c>
    </row>
    <row r="13" spans="1:23" hidden="1" x14ac:dyDescent="0.55000000000000004">
      <c r="A13" s="41" t="s">
        <v>9</v>
      </c>
      <c r="B13" s="41" t="s">
        <v>35</v>
      </c>
      <c r="C13" s="41" t="s">
        <v>10</v>
      </c>
      <c r="D13" s="41" t="s">
        <v>1413</v>
      </c>
      <c r="E13" s="41" t="s">
        <v>1432</v>
      </c>
      <c r="F13" s="41" t="s">
        <v>2079</v>
      </c>
      <c r="G13" s="41" t="s">
        <v>11</v>
      </c>
      <c r="H13" s="41" t="s">
        <v>1774</v>
      </c>
      <c r="I13" s="41"/>
      <c r="J13" s="41"/>
      <c r="K13" s="41" t="str">
        <f>IFERROR(VLOOKUP(L13,'Raw material list'!$A$3:$C$715,3,0),"")</f>
        <v>DRS1-3811</v>
      </c>
      <c r="L13" s="41" t="s">
        <v>40</v>
      </c>
      <c r="M13" s="40" t="s">
        <v>156</v>
      </c>
      <c r="N13" s="40" t="str">
        <f>VLOOKUP(L13,'Raw material list'!$A$3:$E$715,5,0)</f>
        <v xml:space="preserve">Gram </v>
      </c>
      <c r="O13" s="40">
        <v>15</v>
      </c>
      <c r="P13" s="299">
        <f t="shared" si="1"/>
        <v>15</v>
      </c>
      <c r="Q13" s="40">
        <v>100</v>
      </c>
      <c r="R13" s="40">
        <v>10</v>
      </c>
      <c r="S13" s="40"/>
      <c r="T13" s="105">
        <f t="shared" si="0"/>
        <v>1.5</v>
      </c>
      <c r="U13" s="105">
        <f t="shared" si="2"/>
        <v>1.5</v>
      </c>
      <c r="V13" s="104">
        <f>IFERROR(VLOOKUP(L13,'Raw material list'!$A$2:$S$3102,6,0),0)</f>
        <v>2.8475E-2</v>
      </c>
      <c r="W13" s="104">
        <f t="shared" si="3"/>
        <v>4.27125E-2</v>
      </c>
    </row>
    <row r="14" spans="1:23" hidden="1" x14ac:dyDescent="0.55000000000000004">
      <c r="A14" s="41" t="s">
        <v>9</v>
      </c>
      <c r="B14" s="41" t="s">
        <v>35</v>
      </c>
      <c r="C14" s="41" t="s">
        <v>10</v>
      </c>
      <c r="D14" s="41" t="s">
        <v>1413</v>
      </c>
      <c r="E14" s="41" t="s">
        <v>1432</v>
      </c>
      <c r="F14" s="41" t="s">
        <v>2079</v>
      </c>
      <c r="G14" s="41" t="s">
        <v>11</v>
      </c>
      <c r="H14" s="41" t="s">
        <v>1774</v>
      </c>
      <c r="I14" s="41"/>
      <c r="J14" s="41"/>
      <c r="K14" s="41" t="str">
        <f>IFERROR(VLOOKUP(L14,'Raw material list'!$A$3:$C$715,3,0),"")</f>
        <v>PRD1-239</v>
      </c>
      <c r="L14" s="41" t="s">
        <v>1056</v>
      </c>
      <c r="M14" s="40" t="s">
        <v>156</v>
      </c>
      <c r="N14" s="40" t="str">
        <f>VLOOKUP(L14,'Raw material list'!$A$3:$E$715,5,0)</f>
        <v xml:space="preserve">Gram </v>
      </c>
      <c r="O14" s="40">
        <v>80</v>
      </c>
      <c r="P14" s="299">
        <f t="shared" si="1"/>
        <v>118.81188118811883</v>
      </c>
      <c r="Q14" s="105">
        <v>67.333333333333329</v>
      </c>
      <c r="R14" s="40">
        <v>10</v>
      </c>
      <c r="S14" s="40"/>
      <c r="T14" s="105">
        <f t="shared" si="0"/>
        <v>8</v>
      </c>
      <c r="U14" s="105">
        <f t="shared" si="2"/>
        <v>11.881188118811883</v>
      </c>
      <c r="V14" s="104">
        <f>IFERROR(VLOOKUP(L14,'Raw material list'!$A$2:$S$3102,6,0),0)</f>
        <v>6.6864784546805346E-3</v>
      </c>
      <c r="W14" s="104">
        <f t="shared" si="3"/>
        <v>7.9443308372442012E-2</v>
      </c>
    </row>
    <row r="15" spans="1:23" hidden="1" x14ac:dyDescent="0.55000000000000004">
      <c r="A15" s="41" t="s">
        <v>9</v>
      </c>
      <c r="B15" s="41" t="s">
        <v>35</v>
      </c>
      <c r="C15" s="41" t="s">
        <v>10</v>
      </c>
      <c r="D15" s="41" t="s">
        <v>1413</v>
      </c>
      <c r="E15" s="41" t="s">
        <v>1432</v>
      </c>
      <c r="F15" s="41" t="s">
        <v>2079</v>
      </c>
      <c r="G15" s="41" t="s">
        <v>11</v>
      </c>
      <c r="H15" s="41" t="s">
        <v>1774</v>
      </c>
      <c r="I15" s="41"/>
      <c r="J15" s="41"/>
      <c r="K15" s="41" t="str">
        <f>IFERROR(VLOOKUP(L15,'Raw material list'!$A$3:$C$715,3,0),"")</f>
        <v>PRD1-240</v>
      </c>
      <c r="L15" s="41" t="s">
        <v>82</v>
      </c>
      <c r="M15" s="40" t="s">
        <v>156</v>
      </c>
      <c r="N15" s="40" t="str">
        <f>VLOOKUP(L15,'Raw material list'!$A$3:$E$715,5,0)</f>
        <v xml:space="preserve">Gram </v>
      </c>
      <c r="O15" s="40">
        <v>80</v>
      </c>
      <c r="P15" s="299">
        <f t="shared" si="1"/>
        <v>118.22660098522168</v>
      </c>
      <c r="Q15" s="105">
        <v>67.666666666666657</v>
      </c>
      <c r="R15" s="40">
        <v>10</v>
      </c>
      <c r="S15" s="40"/>
      <c r="T15" s="105">
        <f t="shared" si="0"/>
        <v>8</v>
      </c>
      <c r="U15" s="105">
        <f t="shared" si="2"/>
        <v>11.822660098522167</v>
      </c>
      <c r="V15" s="104">
        <f>IFERROR(VLOOKUP(L15,'Raw material list'!$A$2:$S$3102,6,0),0)</f>
        <v>1.3293943870014769E-2</v>
      </c>
      <c r="W15" s="104">
        <f t="shared" si="3"/>
        <v>0.15716977974401697</v>
      </c>
    </row>
    <row r="16" spans="1:23" hidden="1" x14ac:dyDescent="0.55000000000000004">
      <c r="A16" s="41" t="s">
        <v>9</v>
      </c>
      <c r="B16" s="41" t="s">
        <v>35</v>
      </c>
      <c r="C16" s="41" t="s">
        <v>10</v>
      </c>
      <c r="D16" s="41" t="s">
        <v>1413</v>
      </c>
      <c r="E16" s="41" t="s">
        <v>1432</v>
      </c>
      <c r="F16" s="41" t="s">
        <v>2079</v>
      </c>
      <c r="G16" s="41" t="s">
        <v>11</v>
      </c>
      <c r="H16" s="41" t="s">
        <v>1774</v>
      </c>
      <c r="I16" s="41"/>
      <c r="J16" s="41"/>
      <c r="K16" s="41" t="str">
        <f>IFERROR(VLOOKUP(L16,'Raw material list'!$A$3:$C$715,3,0),"")</f>
        <v>PRD1-241</v>
      </c>
      <c r="L16" s="41" t="s">
        <v>1059</v>
      </c>
      <c r="M16" s="40" t="s">
        <v>156</v>
      </c>
      <c r="N16" s="40" t="str">
        <f>VLOOKUP(L16,'Raw material list'!$A$3:$E$715,5,0)</f>
        <v xml:space="preserve">Gram </v>
      </c>
      <c r="O16" s="40">
        <v>80</v>
      </c>
      <c r="P16" s="299">
        <f t="shared" si="1"/>
        <v>117.2447484123107</v>
      </c>
      <c r="Q16" s="105">
        <v>68.233333333333334</v>
      </c>
      <c r="R16" s="40">
        <v>10</v>
      </c>
      <c r="S16" s="40"/>
      <c r="T16" s="105">
        <f t="shared" si="0"/>
        <v>8</v>
      </c>
      <c r="U16" s="105">
        <f t="shared" si="2"/>
        <v>11.72447484123107</v>
      </c>
      <c r="V16" s="104">
        <f>IFERROR(VLOOKUP(L16,'Raw material list'!$A$2:$S$3102,6,0),0)</f>
        <v>1.3196480938416421E-2</v>
      </c>
      <c r="W16" s="104">
        <f t="shared" si="3"/>
        <v>0.15472180875524871</v>
      </c>
    </row>
    <row r="17" spans="1:23" hidden="1" x14ac:dyDescent="0.55000000000000004">
      <c r="A17" s="41" t="s">
        <v>9</v>
      </c>
      <c r="B17" s="41" t="s">
        <v>35</v>
      </c>
      <c r="C17" s="41" t="s">
        <v>10</v>
      </c>
      <c r="D17" s="41" t="s">
        <v>1413</v>
      </c>
      <c r="E17" s="41" t="s">
        <v>1432</v>
      </c>
      <c r="F17" s="41" t="s">
        <v>2079</v>
      </c>
      <c r="G17" s="41" t="s">
        <v>11</v>
      </c>
      <c r="H17" s="41" t="s">
        <v>1774</v>
      </c>
      <c r="I17" s="41"/>
      <c r="J17" s="41"/>
      <c r="K17" s="41" t="str">
        <f>IFERROR(VLOOKUP(L17,'Raw material list'!$A$3:$C$715,3,0),"")</f>
        <v>DRS5-21</v>
      </c>
      <c r="L17" s="41" t="s">
        <v>55</v>
      </c>
      <c r="M17" s="40" t="s">
        <v>156</v>
      </c>
      <c r="N17" s="40" t="str">
        <f>VLOOKUP(L17,'Raw material list'!$A$3:$E$715,5,0)</f>
        <v xml:space="preserve">Gram </v>
      </c>
      <c r="O17" s="40">
        <v>60</v>
      </c>
      <c r="P17" s="299">
        <f t="shared" si="1"/>
        <v>60</v>
      </c>
      <c r="Q17" s="300">
        <v>100</v>
      </c>
      <c r="R17" s="40">
        <v>10</v>
      </c>
      <c r="S17" s="40"/>
      <c r="T17" s="105">
        <f t="shared" si="0"/>
        <v>6</v>
      </c>
      <c r="U17" s="105">
        <f t="shared" si="2"/>
        <v>6</v>
      </c>
      <c r="V17" s="104">
        <f>IFERROR(VLOOKUP(L17,'Raw material list'!$A$2:$S$3102,6,0),0)</f>
        <v>2.0799999999999998E-3</v>
      </c>
      <c r="W17" s="104">
        <f t="shared" si="3"/>
        <v>1.2479999999999998E-2</v>
      </c>
    </row>
    <row r="18" spans="1:23" hidden="1" x14ac:dyDescent="0.55000000000000004">
      <c r="A18" s="41" t="s">
        <v>9</v>
      </c>
      <c r="B18" s="41" t="s">
        <v>35</v>
      </c>
      <c r="C18" s="41" t="s">
        <v>10</v>
      </c>
      <c r="D18" s="41" t="s">
        <v>1413</v>
      </c>
      <c r="E18" s="41" t="s">
        <v>1432</v>
      </c>
      <c r="F18" s="41" t="s">
        <v>2079</v>
      </c>
      <c r="G18" s="41" t="s">
        <v>11</v>
      </c>
      <c r="H18" s="41" t="s">
        <v>1774</v>
      </c>
      <c r="I18" s="41"/>
      <c r="J18" s="41"/>
      <c r="K18" s="41" t="str">
        <f>IFERROR(VLOOKUP(L18,'Raw material list'!$A$3:$C$715,3,0),"")</f>
        <v>PRD1-230</v>
      </c>
      <c r="L18" s="41" t="s">
        <v>70</v>
      </c>
      <c r="M18" s="40" t="s">
        <v>156</v>
      </c>
      <c r="N18" s="40" t="str">
        <f>VLOOKUP(L18,'Raw material list'!$A$3:$E$715,5,0)</f>
        <v xml:space="preserve">Gram </v>
      </c>
      <c r="O18" s="40">
        <v>300</v>
      </c>
      <c r="P18" s="299">
        <f t="shared" si="1"/>
        <v>404.85829959514172</v>
      </c>
      <c r="Q18" s="105">
        <v>74.099999999999994</v>
      </c>
      <c r="R18" s="40">
        <v>10</v>
      </c>
      <c r="S18" s="40"/>
      <c r="T18" s="105">
        <f t="shared" si="0"/>
        <v>30</v>
      </c>
      <c r="U18" s="105">
        <f t="shared" si="2"/>
        <v>40.48582995951417</v>
      </c>
      <c r="V18" s="104">
        <f>IFERROR(VLOOKUP(L18,'Raw material list'!$A$2:$S$3102,6,0),0)</f>
        <v>3.3738191632928472E-3</v>
      </c>
      <c r="W18" s="104">
        <f t="shared" si="3"/>
        <v>0.13659186895922459</v>
      </c>
    </row>
    <row r="19" spans="1:23" hidden="1" x14ac:dyDescent="0.55000000000000004">
      <c r="A19" s="41" t="s">
        <v>9</v>
      </c>
      <c r="B19" s="41" t="s">
        <v>35</v>
      </c>
      <c r="C19" s="41" t="s">
        <v>10</v>
      </c>
      <c r="D19" s="41" t="s">
        <v>1413</v>
      </c>
      <c r="E19" s="41" t="s">
        <v>1432</v>
      </c>
      <c r="F19" s="41" t="s">
        <v>2079</v>
      </c>
      <c r="G19" s="41" t="s">
        <v>11</v>
      </c>
      <c r="H19" s="41" t="s">
        <v>1774</v>
      </c>
      <c r="I19" s="41"/>
      <c r="J19" s="41"/>
      <c r="K19" s="41" t="str">
        <f>IFERROR(VLOOKUP(L19,'Raw material list'!$A$3:$C$715,3,0),"")</f>
        <v>PRD1-186</v>
      </c>
      <c r="L19" s="41" t="s">
        <v>37</v>
      </c>
      <c r="M19" s="40" t="s">
        <v>156</v>
      </c>
      <c r="N19" s="40" t="str">
        <f>VLOOKUP(L19,'Raw material list'!$A$3:$E$715,5,0)</f>
        <v xml:space="preserve">Gram </v>
      </c>
      <c r="O19" s="40">
        <v>300</v>
      </c>
      <c r="P19" s="299">
        <f t="shared" si="1"/>
        <v>367.34693877551018</v>
      </c>
      <c r="Q19" s="105">
        <v>81.666666666666671</v>
      </c>
      <c r="R19" s="40">
        <v>10</v>
      </c>
      <c r="S19" s="40"/>
      <c r="T19" s="105">
        <f t="shared" si="0"/>
        <v>30</v>
      </c>
      <c r="U19" s="105">
        <f t="shared" si="2"/>
        <v>36.734693877551017</v>
      </c>
      <c r="V19" s="104">
        <f>IFERROR(VLOOKUP(L19,'Raw material list'!$A$2:$S$3102,6,0),0)</f>
        <v>5.8139534883720938E-3</v>
      </c>
      <c r="W19" s="104">
        <f t="shared" si="3"/>
        <v>0.21357380161366873</v>
      </c>
    </row>
    <row r="20" spans="1:23" hidden="1" x14ac:dyDescent="0.55000000000000004">
      <c r="A20" s="41" t="s">
        <v>9</v>
      </c>
      <c r="B20" s="41" t="s">
        <v>35</v>
      </c>
      <c r="C20" s="41" t="s">
        <v>10</v>
      </c>
      <c r="D20" s="41" t="s">
        <v>1413</v>
      </c>
      <c r="E20" s="41" t="s">
        <v>1432</v>
      </c>
      <c r="F20" s="41" t="s">
        <v>2079</v>
      </c>
      <c r="G20" s="41" t="s">
        <v>11</v>
      </c>
      <c r="H20" s="41" t="s">
        <v>1774</v>
      </c>
      <c r="I20" s="41"/>
      <c r="J20" s="41"/>
      <c r="K20" s="41" t="str">
        <f>IFERROR(VLOOKUP(L20,'Raw material list'!$A$3:$C$715,3,0),"")</f>
        <v>DRS5-3619</v>
      </c>
      <c r="L20" s="41" t="s">
        <v>134</v>
      </c>
      <c r="M20" s="40" t="s">
        <v>156</v>
      </c>
      <c r="N20" s="40" t="str">
        <f>VLOOKUP(L20,'Raw material list'!$A$3:$E$715,5,0)</f>
        <v xml:space="preserve">Gram </v>
      </c>
      <c r="O20" s="40">
        <v>150</v>
      </c>
      <c r="P20" s="299">
        <f t="shared" si="1"/>
        <v>150</v>
      </c>
      <c r="Q20" s="300">
        <v>100</v>
      </c>
      <c r="R20" s="40">
        <v>10</v>
      </c>
      <c r="S20" s="40"/>
      <c r="T20" s="105">
        <f t="shared" si="0"/>
        <v>15</v>
      </c>
      <c r="U20" s="105">
        <f t="shared" si="2"/>
        <v>15</v>
      </c>
      <c r="V20" s="104">
        <f>IFERROR(VLOOKUP(L20,'Raw material list'!$A$2:$S$3102,6,0),0)</f>
        <v>1.2857142857142857E-2</v>
      </c>
      <c r="W20" s="104">
        <f t="shared" si="3"/>
        <v>0.19285714285714287</v>
      </c>
    </row>
    <row r="21" spans="1:23" hidden="1" x14ac:dyDescent="0.55000000000000004">
      <c r="A21" s="41" t="s">
        <v>9</v>
      </c>
      <c r="B21" s="41" t="s">
        <v>35</v>
      </c>
      <c r="C21" s="41" t="s">
        <v>10</v>
      </c>
      <c r="D21" s="41" t="s">
        <v>1413</v>
      </c>
      <c r="E21" s="41" t="s">
        <v>1432</v>
      </c>
      <c r="F21" s="41" t="s">
        <v>2079</v>
      </c>
      <c r="G21" s="41" t="s">
        <v>11</v>
      </c>
      <c r="H21" s="41" t="s">
        <v>1774</v>
      </c>
      <c r="I21" s="41"/>
      <c r="J21" s="41"/>
      <c r="K21" s="41" t="str">
        <f>IFERROR(VLOOKUP(L21,'Raw material list'!$A$3:$C$715,3,0),"")</f>
        <v>DRS1-3880</v>
      </c>
      <c r="L21" s="41" t="s">
        <v>1433</v>
      </c>
      <c r="M21" s="40" t="s">
        <v>156</v>
      </c>
      <c r="N21" s="40" t="str">
        <f>VLOOKUP(L21,'Raw material list'!$A$3:$E$715,5,0)</f>
        <v xml:space="preserve">Gram </v>
      </c>
      <c r="O21" s="40">
        <v>10</v>
      </c>
      <c r="P21" s="299">
        <f t="shared" si="1"/>
        <v>10</v>
      </c>
      <c r="Q21" s="40">
        <v>100</v>
      </c>
      <c r="R21" s="40">
        <v>10</v>
      </c>
      <c r="S21" s="40"/>
      <c r="T21" s="105">
        <f t="shared" si="0"/>
        <v>1</v>
      </c>
      <c r="U21" s="105">
        <f t="shared" si="2"/>
        <v>1</v>
      </c>
      <c r="V21" s="104">
        <f>IFERROR(VLOOKUP(L21,'Raw material list'!$A$2:$S$3102,6,0),0)</f>
        <v>5.0000000000000001E-4</v>
      </c>
      <c r="W21" s="104">
        <f t="shared" si="3"/>
        <v>5.0000000000000001E-4</v>
      </c>
    </row>
    <row r="22" spans="1:23" hidden="1" x14ac:dyDescent="0.55000000000000004">
      <c r="A22" s="41" t="s">
        <v>9</v>
      </c>
      <c r="B22" s="41" t="s">
        <v>35</v>
      </c>
      <c r="C22" s="41" t="s">
        <v>10</v>
      </c>
      <c r="D22" s="41" t="s">
        <v>1413</v>
      </c>
      <c r="E22" s="41" t="s">
        <v>1432</v>
      </c>
      <c r="F22" s="41" t="s">
        <v>2079</v>
      </c>
      <c r="G22" s="41" t="s">
        <v>11</v>
      </c>
      <c r="H22" s="41" t="s">
        <v>1774</v>
      </c>
      <c r="I22" s="41"/>
      <c r="J22" s="41"/>
      <c r="K22" s="41" t="str">
        <f>IFERROR(VLOOKUP(L22,'Raw material list'!$A$3:$C$715,3,0),"")</f>
        <v>DRS4-498</v>
      </c>
      <c r="L22" s="41" t="s">
        <v>72</v>
      </c>
      <c r="M22" s="40" t="s">
        <v>156</v>
      </c>
      <c r="N22" s="40" t="str">
        <f>VLOOKUP(L22,'Raw material list'!$A$3:$E$715,5,0)</f>
        <v xml:space="preserve">Gram </v>
      </c>
      <c r="O22" s="40">
        <v>800</v>
      </c>
      <c r="P22" s="299">
        <f t="shared" si="1"/>
        <v>800</v>
      </c>
      <c r="Q22" s="40">
        <v>100</v>
      </c>
      <c r="R22" s="40">
        <v>10</v>
      </c>
      <c r="S22" s="40"/>
      <c r="T22" s="105">
        <f t="shared" si="0"/>
        <v>80</v>
      </c>
      <c r="U22" s="105">
        <f t="shared" si="2"/>
        <v>80</v>
      </c>
      <c r="V22" s="104">
        <f>IFERROR(VLOOKUP(L22,'Raw material list'!$A$2:$S$3102,6,0),0)</f>
        <v>5.7499999999999999E-3</v>
      </c>
      <c r="W22" s="104">
        <f t="shared" si="3"/>
        <v>0.45999999999999996</v>
      </c>
    </row>
    <row r="23" spans="1:23" hidden="1" x14ac:dyDescent="0.55000000000000004">
      <c r="A23" s="41" t="s">
        <v>9</v>
      </c>
      <c r="B23" s="41" t="s">
        <v>35</v>
      </c>
      <c r="C23" s="41" t="s">
        <v>10</v>
      </c>
      <c r="D23" s="41" t="s">
        <v>1413</v>
      </c>
      <c r="E23" s="41" t="s">
        <v>1432</v>
      </c>
      <c r="F23" s="41" t="s">
        <v>2079</v>
      </c>
      <c r="G23" s="41" t="s">
        <v>11</v>
      </c>
      <c r="H23" s="41" t="s">
        <v>1774</v>
      </c>
      <c r="I23" s="41"/>
      <c r="J23" s="41"/>
      <c r="K23" s="41" t="str">
        <f>IFERROR(VLOOKUP(L23,'Raw material list'!$A$3:$C$715,3,0),"")</f>
        <v>TAP-00001</v>
      </c>
      <c r="L23" s="41" t="s">
        <v>1405</v>
      </c>
      <c r="M23" s="40" t="s">
        <v>206</v>
      </c>
      <c r="N23" s="40" t="str">
        <f>VLOOKUP(L23,'Raw material list'!$A$3:$E$715,5,0)</f>
        <v>Ml</v>
      </c>
      <c r="O23" s="40">
        <v>1600</v>
      </c>
      <c r="P23" s="299">
        <f t="shared" si="1"/>
        <v>1600</v>
      </c>
      <c r="Q23" s="40">
        <v>100</v>
      </c>
      <c r="R23" s="40">
        <v>10</v>
      </c>
      <c r="S23" s="40"/>
      <c r="T23" s="105">
        <f t="shared" si="0"/>
        <v>160</v>
      </c>
      <c r="U23" s="105">
        <f t="shared" si="2"/>
        <v>160</v>
      </c>
      <c r="V23" s="104">
        <f>IFERROR(VLOOKUP(L23,'Raw material list'!$A$2:$S$3102,6,0),0)</f>
        <v>8.0000000000000007E-5</v>
      </c>
      <c r="W23" s="104">
        <f t="shared" si="3"/>
        <v>1.2800000000000001E-2</v>
      </c>
    </row>
    <row r="24" spans="1:23" hidden="1" x14ac:dyDescent="0.55000000000000004">
      <c r="A24" s="41" t="s">
        <v>9</v>
      </c>
      <c r="B24" s="41" t="s">
        <v>35</v>
      </c>
      <c r="C24" s="41" t="s">
        <v>10</v>
      </c>
      <c r="D24" s="41" t="s">
        <v>1413</v>
      </c>
      <c r="E24" s="41" t="s">
        <v>1432</v>
      </c>
      <c r="F24" s="41" t="s">
        <v>2079</v>
      </c>
      <c r="G24" s="41" t="s">
        <v>11</v>
      </c>
      <c r="H24" s="41" t="s">
        <v>1774</v>
      </c>
      <c r="I24" s="41"/>
      <c r="J24" s="41"/>
      <c r="K24" s="41" t="str">
        <f>IFERROR(VLOOKUP(L24,'Raw material list'!$A$3:$C$715,3,0),"")</f>
        <v>DRS1-3880</v>
      </c>
      <c r="L24" s="41" t="s">
        <v>1433</v>
      </c>
      <c r="M24" s="40" t="s">
        <v>156</v>
      </c>
      <c r="N24" s="40" t="str">
        <f>VLOOKUP(L24,'Raw material list'!$A$3:$E$715,5,0)</f>
        <v xml:space="preserve">Gram </v>
      </c>
      <c r="O24" s="40">
        <v>10</v>
      </c>
      <c r="P24" s="299">
        <f t="shared" si="1"/>
        <v>10</v>
      </c>
      <c r="Q24" s="40">
        <v>100</v>
      </c>
      <c r="R24" s="40">
        <v>10</v>
      </c>
      <c r="S24" s="40"/>
      <c r="T24" s="105">
        <f t="shared" si="0"/>
        <v>1</v>
      </c>
      <c r="U24" s="105">
        <f t="shared" si="2"/>
        <v>1</v>
      </c>
      <c r="V24" s="104">
        <f>IFERROR(VLOOKUP(L24,'Raw material list'!$A$2:$S$3102,6,0),0)</f>
        <v>5.0000000000000001E-4</v>
      </c>
      <c r="W24" s="104">
        <f t="shared" si="3"/>
        <v>5.0000000000000001E-4</v>
      </c>
    </row>
    <row r="25" spans="1:23" hidden="1" x14ac:dyDescent="0.55000000000000004">
      <c r="A25" s="41" t="s">
        <v>9</v>
      </c>
      <c r="B25" s="41" t="s">
        <v>35</v>
      </c>
      <c r="C25" s="41" t="s">
        <v>10</v>
      </c>
      <c r="D25" s="41" t="s">
        <v>1413</v>
      </c>
      <c r="E25" s="41" t="s">
        <v>1432</v>
      </c>
      <c r="F25" s="41" t="s">
        <v>2079</v>
      </c>
      <c r="G25" s="41" t="s">
        <v>11</v>
      </c>
      <c r="H25" s="41" t="s">
        <v>1774</v>
      </c>
      <c r="I25" s="41"/>
      <c r="J25" s="41"/>
      <c r="K25" s="41" t="str">
        <f>IFERROR(VLOOKUP(L25,'Raw material list'!$A$3:$C$715,3,0),"")</f>
        <v>DRS3-1813</v>
      </c>
      <c r="L25" s="41" t="s">
        <v>69</v>
      </c>
      <c r="M25" s="40" t="s">
        <v>206</v>
      </c>
      <c r="N25" s="40" t="str">
        <f>VLOOKUP(L25,'Raw material list'!$A$3:$E$715,5,0)</f>
        <v>Ml</v>
      </c>
      <c r="O25" s="40">
        <v>50</v>
      </c>
      <c r="P25" s="299">
        <f t="shared" si="1"/>
        <v>50</v>
      </c>
      <c r="Q25" s="40">
        <v>100</v>
      </c>
      <c r="R25" s="40">
        <v>10</v>
      </c>
      <c r="S25" s="40"/>
      <c r="T25" s="105">
        <f t="shared" si="0"/>
        <v>5</v>
      </c>
      <c r="U25" s="105">
        <f t="shared" si="2"/>
        <v>5</v>
      </c>
      <c r="V25" s="104">
        <f>IFERROR(VLOOKUP(L25,'Raw material list'!$A$2:$S$3102,6,0),0)</f>
        <v>8.0555555555555554E-3</v>
      </c>
      <c r="W25" s="104">
        <f t="shared" si="3"/>
        <v>4.0277777777777773E-2</v>
      </c>
    </row>
    <row r="26" spans="1:23" hidden="1" x14ac:dyDescent="0.55000000000000004">
      <c r="A26" s="41" t="s">
        <v>12</v>
      </c>
      <c r="B26" s="41" t="s">
        <v>35</v>
      </c>
      <c r="C26" s="41" t="s">
        <v>10</v>
      </c>
      <c r="D26" s="41" t="s">
        <v>1441</v>
      </c>
      <c r="E26" s="41" t="s">
        <v>1432</v>
      </c>
      <c r="F26" s="41" t="s">
        <v>2081</v>
      </c>
      <c r="G26" s="41" t="s">
        <v>11</v>
      </c>
      <c r="H26" s="41" t="s">
        <v>1774</v>
      </c>
      <c r="I26" s="41"/>
      <c r="J26" s="41"/>
      <c r="K26" s="41" t="str">
        <f>IFERROR(VLOOKUP(L26,'Raw material list'!$A$3:$C$715,3,0),"")</f>
        <v>MET2-585</v>
      </c>
      <c r="L26" s="41" t="s">
        <v>53</v>
      </c>
      <c r="M26" s="40" t="s">
        <v>156</v>
      </c>
      <c r="N26" s="40" t="str">
        <f>VLOOKUP(L26,'Raw material list'!$A$3:$E$715,5,0)</f>
        <v xml:space="preserve">Gram </v>
      </c>
      <c r="O26" s="40">
        <v>500</v>
      </c>
      <c r="P26" s="299">
        <f t="shared" si="1"/>
        <v>577.36720554272529</v>
      </c>
      <c r="Q26" s="40">
        <v>86.6</v>
      </c>
      <c r="R26" s="40">
        <v>10</v>
      </c>
      <c r="S26" s="40"/>
      <c r="T26" s="105">
        <f t="shared" si="0"/>
        <v>50</v>
      </c>
      <c r="U26" s="105">
        <f t="shared" si="2"/>
        <v>57.73672055427253</v>
      </c>
      <c r="V26" s="104">
        <f>IFERROR(VLOOKUP(L26,'Raw material list'!$A$2:$S$3102,6,0),0)</f>
        <v>4.2630057803468215E-2</v>
      </c>
      <c r="W26" s="104">
        <f t="shared" si="3"/>
        <v>2.4613197346113291</v>
      </c>
    </row>
    <row r="27" spans="1:23" hidden="1" x14ac:dyDescent="0.55000000000000004">
      <c r="A27" s="41" t="s">
        <v>12</v>
      </c>
      <c r="B27" s="41" t="s">
        <v>35</v>
      </c>
      <c r="C27" s="41" t="s">
        <v>10</v>
      </c>
      <c r="D27" s="41" t="s">
        <v>1441</v>
      </c>
      <c r="E27" s="41" t="s">
        <v>1432</v>
      </c>
      <c r="F27" s="41" t="s">
        <v>2079</v>
      </c>
      <c r="G27" s="41" t="s">
        <v>11</v>
      </c>
      <c r="H27" s="41" t="s">
        <v>1774</v>
      </c>
      <c r="I27" s="41"/>
      <c r="J27" s="41"/>
      <c r="K27" s="41" t="str">
        <f>IFERROR(VLOOKUP(L27,'Raw material list'!$A$3:$C$715,3,0),"")</f>
        <v>DRS4-3</v>
      </c>
      <c r="L27" s="41" t="s">
        <v>42</v>
      </c>
      <c r="M27" s="40" t="s">
        <v>156</v>
      </c>
      <c r="N27" s="40" t="str">
        <f>VLOOKUP(L27,'Raw material list'!$A$3:$E$715,5,0)</f>
        <v xml:space="preserve">Gram </v>
      </c>
      <c r="O27" s="40">
        <v>300</v>
      </c>
      <c r="P27" s="299">
        <f t="shared" si="1"/>
        <v>300</v>
      </c>
      <c r="Q27" s="40">
        <v>100</v>
      </c>
      <c r="R27" s="40">
        <v>10</v>
      </c>
      <c r="S27" s="40"/>
      <c r="T27" s="105">
        <f t="shared" si="0"/>
        <v>30</v>
      </c>
      <c r="U27" s="105">
        <f t="shared" si="2"/>
        <v>30</v>
      </c>
      <c r="V27" s="104">
        <f>IFERROR(VLOOKUP(L27,'Raw material list'!$A$2:$S$3102,6,0),0)</f>
        <v>6.0000000000000001E-3</v>
      </c>
      <c r="W27" s="104">
        <f t="shared" si="3"/>
        <v>0.18</v>
      </c>
    </row>
    <row r="28" spans="1:23" hidden="1" x14ac:dyDescent="0.55000000000000004">
      <c r="A28" s="41" t="s">
        <v>12</v>
      </c>
      <c r="B28" s="41" t="s">
        <v>35</v>
      </c>
      <c r="C28" s="41" t="s">
        <v>10</v>
      </c>
      <c r="D28" s="41" t="s">
        <v>1441</v>
      </c>
      <c r="E28" s="41" t="s">
        <v>1432</v>
      </c>
      <c r="F28" s="41" t="s">
        <v>2079</v>
      </c>
      <c r="G28" s="41" t="s">
        <v>11</v>
      </c>
      <c r="H28" s="41" t="s">
        <v>1774</v>
      </c>
      <c r="I28" s="41"/>
      <c r="J28" s="41"/>
      <c r="K28" s="41" t="str">
        <f>IFERROR(VLOOKUP(L28,'Raw material list'!$A$3:$C$715,3,0),"")</f>
        <v>DRS6-260</v>
      </c>
      <c r="L28" s="41" t="s">
        <v>62</v>
      </c>
      <c r="M28" s="40" t="s">
        <v>156</v>
      </c>
      <c r="N28" s="40" t="str">
        <f>VLOOKUP(L28,'Raw material list'!$A$3:$E$715,5,0)</f>
        <v xml:space="preserve">Gram </v>
      </c>
      <c r="O28" s="40">
        <v>5</v>
      </c>
      <c r="P28" s="299">
        <f t="shared" si="1"/>
        <v>5</v>
      </c>
      <c r="Q28" s="40">
        <v>100</v>
      </c>
      <c r="R28" s="40">
        <v>10</v>
      </c>
      <c r="S28" s="40"/>
      <c r="T28" s="105">
        <f t="shared" si="0"/>
        <v>0.5</v>
      </c>
      <c r="U28" s="105">
        <f t="shared" si="2"/>
        <v>0.5</v>
      </c>
      <c r="V28" s="104">
        <f>IFERROR(VLOOKUP(L28,'Raw material list'!$A$2:$S$3102,6,0),0)</f>
        <v>0.02</v>
      </c>
      <c r="W28" s="104">
        <f t="shared" si="3"/>
        <v>0.01</v>
      </c>
    </row>
    <row r="29" spans="1:23" hidden="1" x14ac:dyDescent="0.55000000000000004">
      <c r="A29" s="41" t="s">
        <v>12</v>
      </c>
      <c r="B29" s="41" t="s">
        <v>35</v>
      </c>
      <c r="C29" s="41" t="s">
        <v>10</v>
      </c>
      <c r="D29" s="41" t="s">
        <v>1441</v>
      </c>
      <c r="E29" s="41" t="s">
        <v>1432</v>
      </c>
      <c r="F29" s="41" t="s">
        <v>2079</v>
      </c>
      <c r="G29" s="41" t="s">
        <v>11</v>
      </c>
      <c r="H29" s="41" t="s">
        <v>1774</v>
      </c>
      <c r="I29" s="41"/>
      <c r="J29" s="41"/>
      <c r="K29" s="41" t="str">
        <f>IFERROR(VLOOKUP(L29,'Raw material list'!$A$3:$C$715,3,0),"")</f>
        <v>DRS6-298</v>
      </c>
      <c r="L29" s="41" t="s">
        <v>758</v>
      </c>
      <c r="M29" s="40" t="s">
        <v>156</v>
      </c>
      <c r="N29" s="40" t="str">
        <f>VLOOKUP(L29,'Raw material list'!$A$3:$E$715,5,0)</f>
        <v xml:space="preserve">Gram </v>
      </c>
      <c r="O29" s="40">
        <v>5</v>
      </c>
      <c r="P29" s="299">
        <f t="shared" si="1"/>
        <v>5</v>
      </c>
      <c r="Q29" s="40">
        <v>100</v>
      </c>
      <c r="R29" s="40">
        <v>10</v>
      </c>
      <c r="S29" s="40"/>
      <c r="T29" s="105">
        <f t="shared" si="0"/>
        <v>0.5</v>
      </c>
      <c r="U29" s="105">
        <f t="shared" si="2"/>
        <v>0.5</v>
      </c>
      <c r="V29" s="104">
        <f>IFERROR(VLOOKUP(L29,'Raw material list'!$A$2:$S$3102,6,0),0)</f>
        <v>2.1100000000000001E-2</v>
      </c>
      <c r="W29" s="104">
        <f t="shared" si="3"/>
        <v>1.055E-2</v>
      </c>
    </row>
    <row r="30" spans="1:23" hidden="1" x14ac:dyDescent="0.55000000000000004">
      <c r="A30" s="41" t="s">
        <v>12</v>
      </c>
      <c r="B30" s="41" t="s">
        <v>35</v>
      </c>
      <c r="C30" s="41" t="s">
        <v>10</v>
      </c>
      <c r="D30" s="41" t="s">
        <v>1441</v>
      </c>
      <c r="E30" s="41" t="s">
        <v>1432</v>
      </c>
      <c r="F30" s="41" t="s">
        <v>2079</v>
      </c>
      <c r="G30" s="41" t="s">
        <v>11</v>
      </c>
      <c r="H30" s="41" t="s">
        <v>1774</v>
      </c>
      <c r="I30" s="41"/>
      <c r="J30" s="41"/>
      <c r="K30" s="41" t="str">
        <f>IFERROR(VLOOKUP(L30,'Raw material list'!$A$3:$C$715,3,0),"")</f>
        <v>DRS1-3880</v>
      </c>
      <c r="L30" s="41" t="s">
        <v>1433</v>
      </c>
      <c r="M30" s="40" t="s">
        <v>156</v>
      </c>
      <c r="N30" s="40" t="str">
        <f>VLOOKUP(L30,'Raw material list'!$A$3:$E$715,5,0)</f>
        <v xml:space="preserve">Gram </v>
      </c>
      <c r="O30" s="40">
        <v>15</v>
      </c>
      <c r="P30" s="299">
        <f t="shared" si="1"/>
        <v>15</v>
      </c>
      <c r="Q30" s="40">
        <v>100</v>
      </c>
      <c r="R30" s="40">
        <v>10</v>
      </c>
      <c r="S30" s="40"/>
      <c r="T30" s="105">
        <f t="shared" si="0"/>
        <v>1.5</v>
      </c>
      <c r="U30" s="105">
        <f t="shared" si="2"/>
        <v>1.5</v>
      </c>
      <c r="V30" s="104">
        <f>IFERROR(VLOOKUP(L30,'Raw material list'!$A$2:$S$3102,6,0),0)</f>
        <v>5.0000000000000001E-4</v>
      </c>
      <c r="W30" s="104">
        <f t="shared" si="3"/>
        <v>7.5000000000000002E-4</v>
      </c>
    </row>
    <row r="31" spans="1:23" hidden="1" x14ac:dyDescent="0.55000000000000004">
      <c r="A31" s="41" t="s">
        <v>12</v>
      </c>
      <c r="B31" s="41" t="s">
        <v>35</v>
      </c>
      <c r="C31" s="41" t="s">
        <v>10</v>
      </c>
      <c r="D31" s="41" t="s">
        <v>1441</v>
      </c>
      <c r="E31" s="41" t="s">
        <v>1432</v>
      </c>
      <c r="F31" s="41" t="s">
        <v>2079</v>
      </c>
      <c r="G31" s="41" t="s">
        <v>11</v>
      </c>
      <c r="H31" s="41" t="s">
        <v>1774</v>
      </c>
      <c r="I31" s="41"/>
      <c r="J31" s="41"/>
      <c r="K31" s="41" t="str">
        <f>IFERROR(VLOOKUP(L31,'Raw material list'!$A$3:$C$715,3,0),"")</f>
        <v>DRS6-309</v>
      </c>
      <c r="L31" s="41" t="s">
        <v>61</v>
      </c>
      <c r="M31" s="40" t="s">
        <v>156</v>
      </c>
      <c r="N31" s="40" t="str">
        <f>VLOOKUP(L31,'Raw material list'!$A$3:$E$715,5,0)</f>
        <v xml:space="preserve">Gram </v>
      </c>
      <c r="O31" s="40">
        <v>1</v>
      </c>
      <c r="P31" s="299">
        <f t="shared" si="1"/>
        <v>1</v>
      </c>
      <c r="Q31" s="40">
        <v>100</v>
      </c>
      <c r="R31" s="40">
        <v>10</v>
      </c>
      <c r="S31" s="40"/>
      <c r="T31" s="105">
        <f t="shared" si="0"/>
        <v>0.1</v>
      </c>
      <c r="U31" s="105">
        <f t="shared" si="2"/>
        <v>0.1</v>
      </c>
      <c r="V31" s="104">
        <f>IFERROR(VLOOKUP(L31,'Raw material list'!$A$2:$S$3102,6,0),0)</f>
        <v>2.8000000000000001E-2</v>
      </c>
      <c r="W31" s="104">
        <f t="shared" si="3"/>
        <v>2.8000000000000004E-3</v>
      </c>
    </row>
    <row r="32" spans="1:23" hidden="1" x14ac:dyDescent="0.55000000000000004">
      <c r="A32" s="41" t="s">
        <v>12</v>
      </c>
      <c r="B32" s="41" t="s">
        <v>35</v>
      </c>
      <c r="C32" s="41" t="s">
        <v>10</v>
      </c>
      <c r="D32" s="41" t="s">
        <v>1441</v>
      </c>
      <c r="E32" s="41" t="s">
        <v>1432</v>
      </c>
      <c r="F32" s="41" t="s">
        <v>2079</v>
      </c>
      <c r="G32" s="41" t="s">
        <v>11</v>
      </c>
      <c r="H32" s="41" t="s">
        <v>1774</v>
      </c>
      <c r="I32" s="41"/>
      <c r="J32" s="41"/>
      <c r="K32" s="41" t="str">
        <f>IFERROR(VLOOKUP(L32,'Raw material list'!$A$3:$C$715,3,0),"")</f>
        <v>DRY2-1160</v>
      </c>
      <c r="L32" s="41" t="s">
        <v>125</v>
      </c>
      <c r="M32" s="40" t="s">
        <v>156</v>
      </c>
      <c r="N32" s="40" t="str">
        <f>VLOOKUP(L32,'Raw material list'!$A$3:$E$715,5,0)</f>
        <v xml:space="preserve">Gram </v>
      </c>
      <c r="O32" s="40">
        <v>1500</v>
      </c>
      <c r="P32" s="299">
        <f t="shared" si="1"/>
        <v>1500</v>
      </c>
      <c r="Q32" s="40">
        <v>100</v>
      </c>
      <c r="R32" s="40">
        <v>10</v>
      </c>
      <c r="S32" s="40"/>
      <c r="T32" s="105">
        <f t="shared" si="0"/>
        <v>150</v>
      </c>
      <c r="U32" s="105">
        <f t="shared" si="2"/>
        <v>150</v>
      </c>
      <c r="V32" s="104">
        <f>IFERROR(VLOOKUP(L32,'Raw material list'!$A$2:$S$3102,6,0),0)</f>
        <v>4.4000000000000003E-3</v>
      </c>
      <c r="W32" s="104">
        <f t="shared" si="3"/>
        <v>0.66</v>
      </c>
    </row>
    <row r="33" spans="1:23" hidden="1" x14ac:dyDescent="0.55000000000000004">
      <c r="A33" s="41" t="s">
        <v>12</v>
      </c>
      <c r="B33" s="41" t="s">
        <v>35</v>
      </c>
      <c r="C33" s="41" t="s">
        <v>10</v>
      </c>
      <c r="D33" s="41" t="s">
        <v>1441</v>
      </c>
      <c r="E33" s="41" t="s">
        <v>1432</v>
      </c>
      <c r="F33" s="41" t="s">
        <v>2079</v>
      </c>
      <c r="G33" s="41" t="s">
        <v>11</v>
      </c>
      <c r="H33" s="41" t="s">
        <v>1774</v>
      </c>
      <c r="I33" s="41"/>
      <c r="J33" s="41"/>
      <c r="K33" s="41" t="str">
        <f>IFERROR(VLOOKUP(L33,'Raw material list'!$A$3:$C$715,3,0),"")</f>
        <v>DRS3-1813</v>
      </c>
      <c r="L33" s="41" t="s">
        <v>69</v>
      </c>
      <c r="M33" s="40" t="s">
        <v>206</v>
      </c>
      <c r="N33" s="40" t="str">
        <f>VLOOKUP(L33,'Raw material list'!$A$3:$E$715,5,0)</f>
        <v>Ml</v>
      </c>
      <c r="O33" s="40">
        <v>30</v>
      </c>
      <c r="P33" s="299">
        <f t="shared" si="1"/>
        <v>30</v>
      </c>
      <c r="Q33" s="40">
        <v>100</v>
      </c>
      <c r="R33" s="40">
        <v>10</v>
      </c>
      <c r="S33" s="40"/>
      <c r="T33" s="105">
        <f t="shared" si="0"/>
        <v>3</v>
      </c>
      <c r="U33" s="105">
        <f t="shared" si="2"/>
        <v>3</v>
      </c>
      <c r="V33" s="104">
        <f>IFERROR(VLOOKUP(L33,'Raw material list'!$A$2:$S$3102,6,0),0)</f>
        <v>8.0555555555555554E-3</v>
      </c>
      <c r="W33" s="104">
        <f t="shared" si="3"/>
        <v>2.4166666666666666E-2</v>
      </c>
    </row>
    <row r="34" spans="1:23" hidden="1" x14ac:dyDescent="0.55000000000000004">
      <c r="A34" s="41" t="s">
        <v>12</v>
      </c>
      <c r="B34" s="41" t="s">
        <v>35</v>
      </c>
      <c r="C34" s="41" t="s">
        <v>10</v>
      </c>
      <c r="D34" s="41" t="s">
        <v>1441</v>
      </c>
      <c r="E34" s="41" t="s">
        <v>1432</v>
      </c>
      <c r="F34" s="41" t="s">
        <v>2079</v>
      </c>
      <c r="G34" s="41" t="s">
        <v>11</v>
      </c>
      <c r="H34" s="41" t="s">
        <v>1774</v>
      </c>
      <c r="I34" s="41"/>
      <c r="J34" s="41"/>
      <c r="K34" s="41" t="str">
        <f>IFERROR(VLOOKUP(L34,'Raw material list'!$A$3:$C$715,3,0),"")</f>
        <v>DRY2-1858</v>
      </c>
      <c r="L34" s="41" t="s">
        <v>60</v>
      </c>
      <c r="M34" s="40" t="s">
        <v>206</v>
      </c>
      <c r="N34" s="40" t="str">
        <f>VLOOKUP(L34,'Raw material list'!$A$3:$E$715,5,0)</f>
        <v>Ml</v>
      </c>
      <c r="O34" s="40">
        <v>150</v>
      </c>
      <c r="P34" s="299">
        <f t="shared" si="1"/>
        <v>150</v>
      </c>
      <c r="Q34" s="40">
        <v>100</v>
      </c>
      <c r="R34" s="40">
        <v>10</v>
      </c>
      <c r="S34" s="40"/>
      <c r="T34" s="105">
        <f t="shared" si="0"/>
        <v>15</v>
      </c>
      <c r="U34" s="105">
        <f t="shared" si="2"/>
        <v>15</v>
      </c>
      <c r="V34" s="104">
        <f>IFERROR(VLOOKUP(L34,'Raw material list'!$A$2:$S$3102,6,0),0)</f>
        <v>9.8800000000000016E-3</v>
      </c>
      <c r="W34" s="104">
        <f t="shared" si="3"/>
        <v>0.14820000000000003</v>
      </c>
    </row>
    <row r="35" spans="1:23" hidden="1" x14ac:dyDescent="0.55000000000000004">
      <c r="A35" s="41" t="s">
        <v>12</v>
      </c>
      <c r="B35" s="41" t="s">
        <v>35</v>
      </c>
      <c r="C35" s="41" t="s">
        <v>10</v>
      </c>
      <c r="D35" s="41" t="s">
        <v>1441</v>
      </c>
      <c r="E35" s="41" t="s">
        <v>1432</v>
      </c>
      <c r="F35" s="41" t="s">
        <v>2081</v>
      </c>
      <c r="G35" s="41" t="s">
        <v>11</v>
      </c>
      <c r="H35" s="41" t="s">
        <v>1774</v>
      </c>
      <c r="I35" s="41"/>
      <c r="J35" s="41"/>
      <c r="K35" s="41" t="str">
        <f>IFERROR(VLOOKUP(L35,'Raw material list'!$A$3:$C$715,3,0),"")</f>
        <v>MET2-585</v>
      </c>
      <c r="L35" s="41" t="s">
        <v>53</v>
      </c>
      <c r="M35" s="40" t="s">
        <v>156</v>
      </c>
      <c r="N35" s="40" t="str">
        <f>VLOOKUP(L35,'Raw material list'!$A$3:$E$715,5,0)</f>
        <v xml:space="preserve">Gram </v>
      </c>
      <c r="O35" s="40">
        <v>500</v>
      </c>
      <c r="P35" s="299">
        <f t="shared" si="1"/>
        <v>577.36720554272529</v>
      </c>
      <c r="Q35" s="40">
        <v>86.6</v>
      </c>
      <c r="R35" s="40">
        <v>10</v>
      </c>
      <c r="S35" s="40"/>
      <c r="T35" s="105">
        <f t="shared" si="0"/>
        <v>50</v>
      </c>
      <c r="U35" s="105">
        <f t="shared" si="2"/>
        <v>57.73672055427253</v>
      </c>
      <c r="V35" s="104">
        <f>IFERROR(VLOOKUP(L35,'Raw material list'!$A$2:$S$3102,6,0),0)</f>
        <v>4.2630057803468215E-2</v>
      </c>
      <c r="W35" s="104">
        <f t="shared" si="3"/>
        <v>2.4613197346113291</v>
      </c>
    </row>
    <row r="36" spans="1:23" hidden="1" x14ac:dyDescent="0.55000000000000004">
      <c r="A36" s="41" t="s">
        <v>12</v>
      </c>
      <c r="B36" s="41" t="s">
        <v>35</v>
      </c>
      <c r="C36" s="41" t="s">
        <v>10</v>
      </c>
      <c r="D36" s="41" t="s">
        <v>1441</v>
      </c>
      <c r="E36" s="41" t="s">
        <v>1432</v>
      </c>
      <c r="F36" s="41" t="s">
        <v>2079</v>
      </c>
      <c r="G36" s="41" t="s">
        <v>11</v>
      </c>
      <c r="H36" s="41" t="s">
        <v>1774</v>
      </c>
      <c r="I36" s="41"/>
      <c r="J36" s="41"/>
      <c r="K36" s="41" t="str">
        <f>IFERROR(VLOOKUP(L36,'Raw material list'!$A$3:$C$715,3,0),"")</f>
        <v>DRY2-1008</v>
      </c>
      <c r="L36" s="41" t="s">
        <v>57</v>
      </c>
      <c r="M36" s="40" t="s">
        <v>156</v>
      </c>
      <c r="N36" s="40" t="str">
        <f>VLOOKUP(L36,'Raw material list'!$A$3:$E$715,5,0)</f>
        <v xml:space="preserve">Gram </v>
      </c>
      <c r="O36" s="40">
        <v>50</v>
      </c>
      <c r="P36" s="299">
        <f t="shared" si="1"/>
        <v>50</v>
      </c>
      <c r="Q36" s="40">
        <v>100</v>
      </c>
      <c r="R36" s="40">
        <v>10</v>
      </c>
      <c r="S36" s="40"/>
      <c r="T36" s="105">
        <f t="shared" si="0"/>
        <v>5</v>
      </c>
      <c r="U36" s="105">
        <f t="shared" si="2"/>
        <v>5</v>
      </c>
      <c r="V36" s="104">
        <f>IFERROR(VLOOKUP(L36,'Raw material list'!$A$2:$S$3102,6,0),0)</f>
        <v>0.03</v>
      </c>
      <c r="W36" s="104">
        <f t="shared" si="3"/>
        <v>0.15</v>
      </c>
    </row>
    <row r="37" spans="1:23" hidden="1" x14ac:dyDescent="0.55000000000000004">
      <c r="A37" s="41" t="s">
        <v>12</v>
      </c>
      <c r="B37" s="41" t="s">
        <v>35</v>
      </c>
      <c r="C37" s="41" t="s">
        <v>10</v>
      </c>
      <c r="D37" s="41" t="s">
        <v>1441</v>
      </c>
      <c r="E37" s="41" t="s">
        <v>1432</v>
      </c>
      <c r="F37" s="41" t="s">
        <v>2079</v>
      </c>
      <c r="G37" s="41" t="s">
        <v>11</v>
      </c>
      <c r="H37" s="41" t="s">
        <v>1774</v>
      </c>
      <c r="I37" s="41"/>
      <c r="J37" s="41"/>
      <c r="K37" s="41" t="str">
        <f>IFERROR(VLOOKUP(L37,'Raw material list'!$A$3:$C$715,3,0),"")</f>
        <v>PRD1-4265</v>
      </c>
      <c r="L37" s="41" t="s">
        <v>38</v>
      </c>
      <c r="M37" s="40" t="s">
        <v>156</v>
      </c>
      <c r="N37" s="40" t="str">
        <f>VLOOKUP(L37,'Raw material list'!$A$3:$E$715,5,0)</f>
        <v xml:space="preserve">Gram </v>
      </c>
      <c r="O37" s="40">
        <v>250</v>
      </c>
      <c r="P37" s="299">
        <f t="shared" si="1"/>
        <v>294.11764705882354</v>
      </c>
      <c r="Q37" s="105">
        <v>85</v>
      </c>
      <c r="R37" s="40">
        <v>10</v>
      </c>
      <c r="S37" s="40"/>
      <c r="T37" s="105">
        <f t="shared" si="0"/>
        <v>25</v>
      </c>
      <c r="U37" s="105">
        <f t="shared" si="2"/>
        <v>29.411764705882355</v>
      </c>
      <c r="V37" s="104">
        <f>IFERROR(VLOOKUP(L37,'Raw material list'!$A$2:$S$3102,6,0),0)</f>
        <v>3.529411764705882E-3</v>
      </c>
      <c r="W37" s="104">
        <f t="shared" si="3"/>
        <v>0.10380622837370242</v>
      </c>
    </row>
    <row r="38" spans="1:23" hidden="1" x14ac:dyDescent="0.55000000000000004">
      <c r="A38" s="41" t="s">
        <v>12</v>
      </c>
      <c r="B38" s="41" t="s">
        <v>35</v>
      </c>
      <c r="C38" s="41" t="s">
        <v>10</v>
      </c>
      <c r="D38" s="41" t="s">
        <v>1441</v>
      </c>
      <c r="E38" s="41" t="s">
        <v>1432</v>
      </c>
      <c r="F38" s="41" t="s">
        <v>2079</v>
      </c>
      <c r="G38" s="41" t="s">
        <v>11</v>
      </c>
      <c r="H38" s="41" t="s">
        <v>1774</v>
      </c>
      <c r="I38" s="41"/>
      <c r="J38" s="41"/>
      <c r="K38" s="41" t="str">
        <f>IFERROR(VLOOKUP(L38,'Raw material list'!$A$3:$C$715,3,0),"")</f>
        <v>DRS6-298</v>
      </c>
      <c r="L38" s="41" t="s">
        <v>758</v>
      </c>
      <c r="M38" s="40" t="s">
        <v>156</v>
      </c>
      <c r="N38" s="40" t="str">
        <f>VLOOKUP(L38,'Raw material list'!$A$3:$E$715,5,0)</f>
        <v xml:space="preserve">Gram </v>
      </c>
      <c r="O38" s="40">
        <v>3</v>
      </c>
      <c r="P38" s="299">
        <f t="shared" si="1"/>
        <v>3</v>
      </c>
      <c r="Q38" s="300">
        <v>100</v>
      </c>
      <c r="R38" s="40">
        <v>10</v>
      </c>
      <c r="S38" s="40"/>
      <c r="T38" s="105">
        <f t="shared" si="0"/>
        <v>0.3</v>
      </c>
      <c r="U38" s="105">
        <f t="shared" si="2"/>
        <v>0.3</v>
      </c>
      <c r="V38" s="104">
        <f>IFERROR(VLOOKUP(L38,'Raw material list'!$A$2:$S$3102,6,0),0)</f>
        <v>2.1100000000000001E-2</v>
      </c>
      <c r="W38" s="104">
        <f t="shared" si="3"/>
        <v>6.3299999999999997E-3</v>
      </c>
    </row>
    <row r="39" spans="1:23" hidden="1" x14ac:dyDescent="0.55000000000000004">
      <c r="A39" s="41" t="s">
        <v>12</v>
      </c>
      <c r="B39" s="41" t="s">
        <v>35</v>
      </c>
      <c r="C39" s="41" t="s">
        <v>10</v>
      </c>
      <c r="D39" s="41" t="s">
        <v>1441</v>
      </c>
      <c r="E39" s="41" t="s">
        <v>1432</v>
      </c>
      <c r="F39" s="41" t="s">
        <v>2079</v>
      </c>
      <c r="G39" s="41" t="s">
        <v>11</v>
      </c>
      <c r="H39" s="41" t="s">
        <v>1774</v>
      </c>
      <c r="I39" s="41"/>
      <c r="J39" s="41"/>
      <c r="K39" s="41" t="str">
        <f>IFERROR(VLOOKUP(L39,'Raw material list'!$A$3:$C$715,3,0),"")</f>
        <v>DRS6-260</v>
      </c>
      <c r="L39" s="41" t="s">
        <v>62</v>
      </c>
      <c r="M39" s="40" t="s">
        <v>156</v>
      </c>
      <c r="N39" s="40" t="str">
        <f>VLOOKUP(L39,'Raw material list'!$A$3:$E$715,5,0)</f>
        <v xml:space="preserve">Gram </v>
      </c>
      <c r="O39" s="40">
        <v>3</v>
      </c>
      <c r="P39" s="299">
        <f t="shared" si="1"/>
        <v>3</v>
      </c>
      <c r="Q39" s="40">
        <v>100</v>
      </c>
      <c r="R39" s="40">
        <v>10</v>
      </c>
      <c r="S39" s="40"/>
      <c r="T39" s="105">
        <f t="shared" si="0"/>
        <v>0.3</v>
      </c>
      <c r="U39" s="105">
        <f t="shared" si="2"/>
        <v>0.3</v>
      </c>
      <c r="V39" s="104">
        <f>IFERROR(VLOOKUP(L39,'Raw material list'!$A$2:$S$3102,6,0),0)</f>
        <v>0.02</v>
      </c>
      <c r="W39" s="104">
        <f t="shared" si="3"/>
        <v>6.0000000000000001E-3</v>
      </c>
    </row>
    <row r="40" spans="1:23" hidden="1" x14ac:dyDescent="0.55000000000000004">
      <c r="A40" s="41" t="s">
        <v>12</v>
      </c>
      <c r="B40" s="41" t="s">
        <v>35</v>
      </c>
      <c r="C40" s="41" t="s">
        <v>10</v>
      </c>
      <c r="D40" s="41" t="s">
        <v>1441</v>
      </c>
      <c r="E40" s="41" t="s">
        <v>1432</v>
      </c>
      <c r="F40" s="41" t="s">
        <v>2079</v>
      </c>
      <c r="G40" s="41" t="s">
        <v>11</v>
      </c>
      <c r="H40" s="41" t="s">
        <v>1774</v>
      </c>
      <c r="I40" s="41"/>
      <c r="J40" s="41"/>
      <c r="K40" s="41" t="str">
        <f>IFERROR(VLOOKUP(L40,'Raw material list'!$A$3:$C$715,3,0),"")</f>
        <v>DRS2-3628</v>
      </c>
      <c r="L40" s="41" t="s">
        <v>94</v>
      </c>
      <c r="M40" s="40" t="s">
        <v>156</v>
      </c>
      <c r="N40" s="40" t="str">
        <f>VLOOKUP(L40,'Raw material list'!$A$3:$E$715,5,0)</f>
        <v xml:space="preserve">Gram </v>
      </c>
      <c r="O40" s="40">
        <v>100</v>
      </c>
      <c r="P40" s="299">
        <f t="shared" si="1"/>
        <v>100</v>
      </c>
      <c r="Q40" s="40">
        <v>100</v>
      </c>
      <c r="R40" s="40">
        <v>10</v>
      </c>
      <c r="S40" s="40"/>
      <c r="T40" s="105">
        <f t="shared" si="0"/>
        <v>10</v>
      </c>
      <c r="U40" s="105">
        <f t="shared" si="2"/>
        <v>10</v>
      </c>
      <c r="V40" s="104">
        <f>IFERROR(VLOOKUP(L40,'Raw material list'!$A$2:$S$3102,6,0),0)</f>
        <v>1.1066666666666667E-2</v>
      </c>
      <c r="W40" s="104">
        <f t="shared" si="3"/>
        <v>0.11066666666666668</v>
      </c>
    </row>
    <row r="41" spans="1:23" hidden="1" x14ac:dyDescent="0.55000000000000004">
      <c r="A41" s="41" t="s">
        <v>12</v>
      </c>
      <c r="B41" s="41" t="s">
        <v>35</v>
      </c>
      <c r="C41" s="41" t="s">
        <v>10</v>
      </c>
      <c r="D41" s="41" t="s">
        <v>1441</v>
      </c>
      <c r="E41" s="41" t="s">
        <v>1432</v>
      </c>
      <c r="F41" s="41" t="s">
        <v>2079</v>
      </c>
      <c r="G41" s="41" t="s">
        <v>11</v>
      </c>
      <c r="H41" s="41" t="s">
        <v>1774</v>
      </c>
      <c r="I41" s="41"/>
      <c r="J41" s="41"/>
      <c r="K41" s="41" t="str">
        <f>IFERROR(VLOOKUP(L41,'Raw material list'!$A$3:$C$715,3,0),"")</f>
        <v>DRS4-498</v>
      </c>
      <c r="L41" s="41" t="s">
        <v>72</v>
      </c>
      <c r="M41" s="40" t="s">
        <v>156</v>
      </c>
      <c r="N41" s="40" t="str">
        <f>VLOOKUP(L41,'Raw material list'!$A$3:$E$715,5,0)</f>
        <v xml:space="preserve">Gram </v>
      </c>
      <c r="O41" s="40">
        <v>1000</v>
      </c>
      <c r="P41" s="299">
        <f t="shared" si="1"/>
        <v>1000</v>
      </c>
      <c r="Q41" s="40">
        <v>100</v>
      </c>
      <c r="R41" s="40">
        <v>10</v>
      </c>
      <c r="S41" s="40"/>
      <c r="T41" s="105">
        <f t="shared" si="0"/>
        <v>100</v>
      </c>
      <c r="U41" s="105">
        <f t="shared" si="2"/>
        <v>100</v>
      </c>
      <c r="V41" s="104">
        <f>IFERROR(VLOOKUP(L41,'Raw material list'!$A$2:$S$3102,6,0),0)</f>
        <v>5.7499999999999999E-3</v>
      </c>
      <c r="W41" s="104">
        <f t="shared" si="3"/>
        <v>0.57499999999999996</v>
      </c>
    </row>
    <row r="42" spans="1:23" hidden="1" x14ac:dyDescent="0.55000000000000004">
      <c r="A42" s="41" t="s">
        <v>12</v>
      </c>
      <c r="B42" s="41" t="s">
        <v>35</v>
      </c>
      <c r="C42" s="41" t="s">
        <v>10</v>
      </c>
      <c r="D42" s="41" t="s">
        <v>1441</v>
      </c>
      <c r="E42" s="41" t="s">
        <v>1432</v>
      </c>
      <c r="F42" s="41" t="s">
        <v>2079</v>
      </c>
      <c r="G42" s="41" t="s">
        <v>11</v>
      </c>
      <c r="H42" s="41" t="s">
        <v>1774</v>
      </c>
      <c r="I42" s="41"/>
      <c r="J42" s="41"/>
      <c r="K42" s="41" t="str">
        <f>IFERROR(VLOOKUP(L42,'Raw material list'!$A$3:$C$715,3,0),"")</f>
        <v>TAP-00001</v>
      </c>
      <c r="L42" s="41" t="s">
        <v>1405</v>
      </c>
      <c r="M42" s="40" t="s">
        <v>206</v>
      </c>
      <c r="N42" s="40" t="str">
        <f>VLOOKUP(L42,'Raw material list'!$A$3:$E$715,5,0)</f>
        <v>Ml</v>
      </c>
      <c r="O42" s="40">
        <v>1800</v>
      </c>
      <c r="P42" s="299">
        <f t="shared" si="1"/>
        <v>1800</v>
      </c>
      <c r="Q42" s="40">
        <v>100</v>
      </c>
      <c r="R42" s="40">
        <v>10</v>
      </c>
      <c r="S42" s="40"/>
      <c r="T42" s="105">
        <f t="shared" si="0"/>
        <v>180</v>
      </c>
      <c r="U42" s="105">
        <f t="shared" si="2"/>
        <v>180</v>
      </c>
      <c r="V42" s="104">
        <f>IFERROR(VLOOKUP(L42,'Raw material list'!$A$2:$S$3102,6,0),0)</f>
        <v>8.0000000000000007E-5</v>
      </c>
      <c r="W42" s="104">
        <f t="shared" si="3"/>
        <v>1.4400000000000001E-2</v>
      </c>
    </row>
    <row r="43" spans="1:23" hidden="1" x14ac:dyDescent="0.55000000000000004">
      <c r="A43" s="41" t="s">
        <v>12</v>
      </c>
      <c r="B43" s="41" t="s">
        <v>35</v>
      </c>
      <c r="C43" s="41" t="s">
        <v>10</v>
      </c>
      <c r="D43" s="41" t="s">
        <v>1441</v>
      </c>
      <c r="E43" s="41" t="s">
        <v>1432</v>
      </c>
      <c r="F43" s="41" t="s">
        <v>2079</v>
      </c>
      <c r="G43" s="41" t="s">
        <v>11</v>
      </c>
      <c r="H43" s="41" t="s">
        <v>1774</v>
      </c>
      <c r="I43" s="41"/>
      <c r="J43" s="41"/>
      <c r="K43" s="41" t="str">
        <f>IFERROR(VLOOKUP(L43,'Raw material list'!$A$3:$C$715,3,0),"")</f>
        <v>DRS3-1813</v>
      </c>
      <c r="L43" s="41" t="s">
        <v>69</v>
      </c>
      <c r="M43" s="40" t="s">
        <v>206</v>
      </c>
      <c r="N43" s="40" t="str">
        <f>VLOOKUP(L43,'Raw material list'!$A$3:$E$715,5,0)</f>
        <v>Ml</v>
      </c>
      <c r="O43" s="40">
        <v>50</v>
      </c>
      <c r="P43" s="299">
        <f t="shared" si="1"/>
        <v>50</v>
      </c>
      <c r="Q43" s="40">
        <v>100</v>
      </c>
      <c r="R43" s="40">
        <v>10</v>
      </c>
      <c r="S43" s="40"/>
      <c r="T43" s="105">
        <f t="shared" si="0"/>
        <v>5</v>
      </c>
      <c r="U43" s="105">
        <f t="shared" si="2"/>
        <v>5</v>
      </c>
      <c r="V43" s="104">
        <f>IFERROR(VLOOKUP(L43,'Raw material list'!$A$2:$S$3102,6,0),0)</f>
        <v>8.0555555555555554E-3</v>
      </c>
      <c r="W43" s="104">
        <f t="shared" si="3"/>
        <v>4.0277777777777773E-2</v>
      </c>
    </row>
    <row r="44" spans="1:23" hidden="1" x14ac:dyDescent="0.55000000000000004">
      <c r="A44" s="41" t="s">
        <v>12</v>
      </c>
      <c r="B44" s="41" t="s">
        <v>35</v>
      </c>
      <c r="C44" s="41" t="s">
        <v>10</v>
      </c>
      <c r="D44" s="41" t="s">
        <v>1441</v>
      </c>
      <c r="E44" s="41" t="s">
        <v>1432</v>
      </c>
      <c r="F44" s="41" t="s">
        <v>2079</v>
      </c>
      <c r="G44" s="41" t="s">
        <v>11</v>
      </c>
      <c r="H44" s="41" t="s">
        <v>1774</v>
      </c>
      <c r="I44" s="41"/>
      <c r="J44" s="41"/>
      <c r="K44" s="41" t="str">
        <f>IFERROR(VLOOKUP(L44,'Raw material list'!$A$3:$C$715,3,0),"")</f>
        <v>DRS1-3880</v>
      </c>
      <c r="L44" s="41" t="s">
        <v>1433</v>
      </c>
      <c r="M44" s="40" t="s">
        <v>156</v>
      </c>
      <c r="N44" s="40" t="str">
        <f>VLOOKUP(L44,'Raw material list'!$A$3:$E$715,5,0)</f>
        <v xml:space="preserve">Gram </v>
      </c>
      <c r="O44" s="40">
        <v>5</v>
      </c>
      <c r="P44" s="299">
        <f t="shared" si="1"/>
        <v>5</v>
      </c>
      <c r="Q44" s="40">
        <v>100</v>
      </c>
      <c r="R44" s="40">
        <v>10</v>
      </c>
      <c r="S44" s="40"/>
      <c r="T44" s="105">
        <f t="shared" si="0"/>
        <v>0.5</v>
      </c>
      <c r="U44" s="105">
        <f t="shared" si="2"/>
        <v>0.5</v>
      </c>
      <c r="V44" s="104">
        <f>IFERROR(VLOOKUP(L44,'Raw material list'!$A$2:$S$3102,6,0),0)</f>
        <v>5.0000000000000001E-4</v>
      </c>
      <c r="W44" s="104">
        <f t="shared" si="3"/>
        <v>2.5000000000000001E-4</v>
      </c>
    </row>
    <row r="45" spans="1:23" hidden="1" x14ac:dyDescent="0.55000000000000004">
      <c r="A45" s="41" t="s">
        <v>1447</v>
      </c>
      <c r="B45" s="41" t="s">
        <v>35</v>
      </c>
      <c r="C45" s="41" t="s">
        <v>10</v>
      </c>
      <c r="D45" s="41" t="s">
        <v>1442</v>
      </c>
      <c r="E45" s="41" t="s">
        <v>1432</v>
      </c>
      <c r="F45" s="41" t="s">
        <v>2081</v>
      </c>
      <c r="G45" s="41" t="s">
        <v>11</v>
      </c>
      <c r="H45" s="41" t="s">
        <v>1774</v>
      </c>
      <c r="I45" s="41"/>
      <c r="J45" s="41"/>
      <c r="K45" s="41" t="str">
        <f>IFERROR(VLOOKUP(L45,'Raw material list'!$A$3:$C$715,3,0),"")</f>
        <v>MET2-585</v>
      </c>
      <c r="L45" s="41" t="s">
        <v>53</v>
      </c>
      <c r="M45" s="40" t="s">
        <v>156</v>
      </c>
      <c r="N45" s="40" t="str">
        <f>VLOOKUP(L45,'Raw material list'!$A$3:$E$715,5,0)</f>
        <v xml:space="preserve">Gram </v>
      </c>
      <c r="O45" s="40">
        <v>800</v>
      </c>
      <c r="P45" s="299">
        <f t="shared" si="1"/>
        <v>923.78752886836037</v>
      </c>
      <c r="Q45" s="40">
        <v>86.6</v>
      </c>
      <c r="R45" s="40">
        <v>10</v>
      </c>
      <c r="S45" s="40"/>
      <c r="T45" s="105">
        <f t="shared" si="0"/>
        <v>80</v>
      </c>
      <c r="U45" s="105">
        <f t="shared" si="2"/>
        <v>92.37875288683604</v>
      </c>
      <c r="V45" s="104">
        <f>IFERROR(VLOOKUP(L45,'Raw material list'!$A$2:$S$3102,6,0),0)</f>
        <v>4.2630057803468215E-2</v>
      </c>
      <c r="W45" s="104">
        <f t="shared" si="3"/>
        <v>3.9381115753781266</v>
      </c>
    </row>
    <row r="46" spans="1:23" hidden="1" x14ac:dyDescent="0.55000000000000004">
      <c r="A46" s="41" t="s">
        <v>1447</v>
      </c>
      <c r="B46" s="41" t="s">
        <v>35</v>
      </c>
      <c r="C46" s="41" t="s">
        <v>10</v>
      </c>
      <c r="D46" s="41" t="s">
        <v>1442</v>
      </c>
      <c r="E46" s="41" t="s">
        <v>1432</v>
      </c>
      <c r="F46" s="41" t="s">
        <v>2079</v>
      </c>
      <c r="G46" s="41" t="s">
        <v>11</v>
      </c>
      <c r="H46" s="41" t="s">
        <v>1774</v>
      </c>
      <c r="I46" s="41"/>
      <c r="J46" s="41"/>
      <c r="K46" s="41" t="str">
        <f>IFERROR(VLOOKUP(L46,'Raw material list'!$A$3:$C$715,3,0),"")</f>
        <v>DRS3-1813</v>
      </c>
      <c r="L46" s="41" t="s">
        <v>69</v>
      </c>
      <c r="M46" s="40" t="s">
        <v>206</v>
      </c>
      <c r="N46" s="40" t="str">
        <f>VLOOKUP(L46,'Raw material list'!$A$3:$E$715,5,0)</f>
        <v>Ml</v>
      </c>
      <c r="O46" s="40">
        <v>80</v>
      </c>
      <c r="P46" s="299">
        <f t="shared" si="1"/>
        <v>80</v>
      </c>
      <c r="Q46" s="40">
        <v>100</v>
      </c>
      <c r="R46" s="40">
        <v>10</v>
      </c>
      <c r="S46" s="40"/>
      <c r="T46" s="105">
        <f t="shared" si="0"/>
        <v>8</v>
      </c>
      <c r="U46" s="105">
        <f t="shared" si="2"/>
        <v>8</v>
      </c>
      <c r="V46" s="104">
        <f>IFERROR(VLOOKUP(L46,'Raw material list'!$A$2:$S$3102,6,0),0)</f>
        <v>8.0555555555555554E-3</v>
      </c>
      <c r="W46" s="104">
        <f t="shared" si="3"/>
        <v>6.4444444444444443E-2</v>
      </c>
    </row>
    <row r="47" spans="1:23" hidden="1" x14ac:dyDescent="0.55000000000000004">
      <c r="A47" s="41" t="s">
        <v>1447</v>
      </c>
      <c r="B47" s="41" t="s">
        <v>35</v>
      </c>
      <c r="C47" s="41" t="s">
        <v>10</v>
      </c>
      <c r="D47" s="41" t="s">
        <v>1442</v>
      </c>
      <c r="E47" s="41" t="s">
        <v>1432</v>
      </c>
      <c r="F47" s="41" t="s">
        <v>2079</v>
      </c>
      <c r="G47" s="41" t="s">
        <v>11</v>
      </c>
      <c r="H47" s="41" t="s">
        <v>1774</v>
      </c>
      <c r="I47" s="41"/>
      <c r="J47" s="41"/>
      <c r="K47" s="41" t="str">
        <f>IFERROR(VLOOKUP(L47,'Raw material list'!$A$3:$C$715,3,0),"")</f>
        <v>PRD1-4265</v>
      </c>
      <c r="L47" s="41" t="s">
        <v>38</v>
      </c>
      <c r="M47" s="40" t="s">
        <v>156</v>
      </c>
      <c r="N47" s="40" t="str">
        <f>VLOOKUP(L47,'Raw material list'!$A$3:$E$715,5,0)</f>
        <v xml:space="preserve">Gram </v>
      </c>
      <c r="O47" s="40">
        <v>200</v>
      </c>
      <c r="P47" s="299">
        <f t="shared" si="1"/>
        <v>235.29411764705884</v>
      </c>
      <c r="Q47" s="105">
        <v>85</v>
      </c>
      <c r="R47" s="40">
        <v>10</v>
      </c>
      <c r="S47" s="40"/>
      <c r="T47" s="105">
        <f t="shared" si="0"/>
        <v>20</v>
      </c>
      <c r="U47" s="105">
        <f t="shared" si="2"/>
        <v>23.529411764705884</v>
      </c>
      <c r="V47" s="104">
        <f>IFERROR(VLOOKUP(L47,'Raw material list'!$A$2:$S$3102,6,0),0)</f>
        <v>3.529411764705882E-3</v>
      </c>
      <c r="W47" s="104">
        <f t="shared" si="3"/>
        <v>8.3044982698961933E-2</v>
      </c>
    </row>
    <row r="48" spans="1:23" hidden="1" x14ac:dyDescent="0.55000000000000004">
      <c r="A48" s="41" t="s">
        <v>1447</v>
      </c>
      <c r="B48" s="41" t="s">
        <v>35</v>
      </c>
      <c r="C48" s="41" t="s">
        <v>10</v>
      </c>
      <c r="D48" s="41" t="s">
        <v>1442</v>
      </c>
      <c r="E48" s="41" t="s">
        <v>1432</v>
      </c>
      <c r="F48" s="41" t="s">
        <v>2079</v>
      </c>
      <c r="G48" s="41" t="s">
        <v>11</v>
      </c>
      <c r="H48" s="41" t="s">
        <v>1774</v>
      </c>
      <c r="I48" s="41"/>
      <c r="J48" s="41"/>
      <c r="K48" s="41" t="str">
        <f>IFERROR(VLOOKUP(L48,'Raw material list'!$A$3:$C$715,3,0),"")</f>
        <v>PRD1-4327</v>
      </c>
      <c r="L48" s="41" t="s">
        <v>39</v>
      </c>
      <c r="M48" s="40" t="s">
        <v>156</v>
      </c>
      <c r="N48" s="40" t="str">
        <f>VLOOKUP(L48,'Raw material list'!$A$3:$E$715,5,0)</f>
        <v xml:space="preserve">Gram </v>
      </c>
      <c r="O48" s="40">
        <v>25</v>
      </c>
      <c r="P48" s="299">
        <f t="shared" si="1"/>
        <v>30.120481927710845</v>
      </c>
      <c r="Q48" s="105">
        <v>83</v>
      </c>
      <c r="R48" s="40">
        <v>10</v>
      </c>
      <c r="S48" s="40"/>
      <c r="T48" s="105">
        <f t="shared" si="0"/>
        <v>2.5</v>
      </c>
      <c r="U48" s="105">
        <f t="shared" si="2"/>
        <v>3.0120481927710845</v>
      </c>
      <c r="V48" s="104">
        <f>IFERROR(VLOOKUP(L48,'Raw material list'!$A$2:$S$3102,6,0),0)</f>
        <v>1.2999999999999999E-2</v>
      </c>
      <c r="W48" s="104">
        <f t="shared" si="3"/>
        <v>3.9156626506024098E-2</v>
      </c>
    </row>
    <row r="49" spans="1:23" hidden="1" x14ac:dyDescent="0.55000000000000004">
      <c r="A49" s="41" t="s">
        <v>1447</v>
      </c>
      <c r="B49" s="41" t="s">
        <v>35</v>
      </c>
      <c r="C49" s="41" t="s">
        <v>10</v>
      </c>
      <c r="D49" s="41" t="s">
        <v>1442</v>
      </c>
      <c r="E49" s="41" t="s">
        <v>1432</v>
      </c>
      <c r="F49" s="41" t="s">
        <v>2079</v>
      </c>
      <c r="G49" s="41" t="s">
        <v>11</v>
      </c>
      <c r="H49" s="41" t="s">
        <v>1774</v>
      </c>
      <c r="I49" s="41"/>
      <c r="J49" s="41"/>
      <c r="K49" s="41" t="str">
        <f>IFERROR(VLOOKUP(L49,'Raw material list'!$A$3:$C$715,3,0),"")</f>
        <v>PRD1-204</v>
      </c>
      <c r="L49" s="41" t="s">
        <v>81</v>
      </c>
      <c r="M49" s="40" t="s">
        <v>156</v>
      </c>
      <c r="N49" s="40" t="str">
        <f>VLOOKUP(L49,'Raw material list'!$A$3:$E$715,5,0)</f>
        <v xml:space="preserve">Gram </v>
      </c>
      <c r="O49" s="40">
        <v>25</v>
      </c>
      <c r="P49" s="299">
        <f t="shared" si="1"/>
        <v>30.120481927710845</v>
      </c>
      <c r="Q49" s="105">
        <v>83</v>
      </c>
      <c r="R49" s="40">
        <v>10</v>
      </c>
      <c r="S49" s="40"/>
      <c r="T49" s="105">
        <f t="shared" si="0"/>
        <v>2.5</v>
      </c>
      <c r="U49" s="105">
        <f t="shared" si="2"/>
        <v>3.0120481927710845</v>
      </c>
      <c r="V49" s="104">
        <f>IFERROR(VLOOKUP(L49,'Raw material list'!$A$2:$S$3102,6,0),0)</f>
        <v>8.4337349397590362E-3</v>
      </c>
      <c r="W49" s="104">
        <f t="shared" si="3"/>
        <v>2.5402816083611557E-2</v>
      </c>
    </row>
    <row r="50" spans="1:23" hidden="1" x14ac:dyDescent="0.55000000000000004">
      <c r="A50" s="41" t="s">
        <v>1447</v>
      </c>
      <c r="B50" s="41" t="s">
        <v>35</v>
      </c>
      <c r="C50" s="41" t="s">
        <v>10</v>
      </c>
      <c r="D50" s="41" t="s">
        <v>1442</v>
      </c>
      <c r="E50" s="41" t="s">
        <v>1432</v>
      </c>
      <c r="F50" s="41" t="s">
        <v>2079</v>
      </c>
      <c r="G50" s="41" t="s">
        <v>11</v>
      </c>
      <c r="H50" s="41" t="s">
        <v>1774</v>
      </c>
      <c r="I50" s="41"/>
      <c r="J50" s="41"/>
      <c r="K50" s="41" t="str">
        <f>IFERROR(VLOOKUP(L50,'Raw material list'!$A$3:$C$715,3,0),"")</f>
        <v>DRS6-537</v>
      </c>
      <c r="L50" s="41" t="s">
        <v>46</v>
      </c>
      <c r="M50" s="40" t="s">
        <v>156</v>
      </c>
      <c r="N50" s="40" t="str">
        <f>VLOOKUP(L50,'Raw material list'!$A$3:$E$715,5,0)</f>
        <v xml:space="preserve">Gram </v>
      </c>
      <c r="O50" s="40">
        <v>3</v>
      </c>
      <c r="P50" s="299">
        <f t="shared" si="1"/>
        <v>3</v>
      </c>
      <c r="Q50" s="300">
        <v>100</v>
      </c>
      <c r="R50" s="40">
        <v>10</v>
      </c>
      <c r="S50" s="40"/>
      <c r="T50" s="105">
        <f t="shared" si="0"/>
        <v>0.3</v>
      </c>
      <c r="U50" s="105">
        <f t="shared" si="2"/>
        <v>0.3</v>
      </c>
      <c r="V50" s="104">
        <f>IFERROR(VLOOKUP(L50,'Raw material list'!$A$2:$S$3102,6,0),0)</f>
        <v>3.5000000000000003E-2</v>
      </c>
      <c r="W50" s="104">
        <f t="shared" si="3"/>
        <v>1.0500000000000001E-2</v>
      </c>
    </row>
    <row r="51" spans="1:23" hidden="1" x14ac:dyDescent="0.55000000000000004">
      <c r="A51" s="41" t="s">
        <v>1447</v>
      </c>
      <c r="B51" s="41" t="s">
        <v>35</v>
      </c>
      <c r="C51" s="41" t="s">
        <v>10</v>
      </c>
      <c r="D51" s="41" t="s">
        <v>1442</v>
      </c>
      <c r="E51" s="41" t="s">
        <v>1432</v>
      </c>
      <c r="F51" s="41" t="s">
        <v>2079</v>
      </c>
      <c r="G51" s="41" t="s">
        <v>11</v>
      </c>
      <c r="H51" s="41" t="s">
        <v>1774</v>
      </c>
      <c r="I51" s="41"/>
      <c r="J51" s="41"/>
      <c r="K51" s="41" t="str">
        <f>IFERROR(VLOOKUP(L51,'Raw material list'!$A$3:$C$715,3,0),"")</f>
        <v>DRS1-3880</v>
      </c>
      <c r="L51" s="41" t="s">
        <v>1433</v>
      </c>
      <c r="M51" s="40" t="s">
        <v>156</v>
      </c>
      <c r="N51" s="40" t="str">
        <f>VLOOKUP(L51,'Raw material list'!$A$3:$E$715,5,0)</f>
        <v xml:space="preserve">Gram </v>
      </c>
      <c r="O51" s="40">
        <v>10</v>
      </c>
      <c r="P51" s="299">
        <f t="shared" si="1"/>
        <v>10</v>
      </c>
      <c r="Q51" s="40">
        <v>100</v>
      </c>
      <c r="R51" s="40">
        <v>10</v>
      </c>
      <c r="S51" s="40"/>
      <c r="T51" s="105">
        <f t="shared" si="0"/>
        <v>1</v>
      </c>
      <c r="U51" s="105">
        <f t="shared" si="2"/>
        <v>1</v>
      </c>
      <c r="V51" s="104">
        <f>IFERROR(VLOOKUP(L51,'Raw material list'!$A$2:$S$3102,6,0),0)</f>
        <v>5.0000000000000001E-4</v>
      </c>
      <c r="W51" s="104">
        <f t="shared" si="3"/>
        <v>5.0000000000000001E-4</v>
      </c>
    </row>
    <row r="52" spans="1:23" hidden="1" x14ac:dyDescent="0.55000000000000004">
      <c r="A52" s="41" t="s">
        <v>1447</v>
      </c>
      <c r="B52" s="41" t="s">
        <v>35</v>
      </c>
      <c r="C52" s="41" t="s">
        <v>10</v>
      </c>
      <c r="D52" s="41" t="s">
        <v>1442</v>
      </c>
      <c r="E52" s="41" t="s">
        <v>1432</v>
      </c>
      <c r="F52" s="41" t="s">
        <v>2079</v>
      </c>
      <c r="G52" s="41" t="s">
        <v>11</v>
      </c>
      <c r="H52" s="41" t="s">
        <v>1774</v>
      </c>
      <c r="I52" s="41"/>
      <c r="J52" s="41"/>
      <c r="K52" s="41" t="str">
        <f>IFERROR(VLOOKUP(L52,'Raw material list'!$A$3:$C$715,3,0),"")</f>
        <v>DRS1-1747</v>
      </c>
      <c r="L52" s="41" t="s">
        <v>44</v>
      </c>
      <c r="M52" s="40" t="s">
        <v>156</v>
      </c>
      <c r="N52" s="40" t="str">
        <f>VLOOKUP(L52,'Raw material list'!$A$3:$E$715,5,0)</f>
        <v xml:space="preserve">Gram </v>
      </c>
      <c r="O52" s="40">
        <v>15</v>
      </c>
      <c r="P52" s="299">
        <f t="shared" si="1"/>
        <v>15</v>
      </c>
      <c r="Q52" s="40">
        <v>100</v>
      </c>
      <c r="R52" s="40">
        <v>10</v>
      </c>
      <c r="S52" s="40"/>
      <c r="T52" s="105">
        <f t="shared" si="0"/>
        <v>1.5</v>
      </c>
      <c r="U52" s="105">
        <f t="shared" si="2"/>
        <v>1.5</v>
      </c>
      <c r="V52" s="104">
        <f>IFERROR(VLOOKUP(L52,'Raw material list'!$A$2:$S$3102,6,0),0)</f>
        <v>5.185185185185185E-3</v>
      </c>
      <c r="W52" s="104">
        <f t="shared" si="3"/>
        <v>7.7777777777777776E-3</v>
      </c>
    </row>
    <row r="53" spans="1:23" hidden="1" x14ac:dyDescent="0.55000000000000004">
      <c r="A53" s="41" t="s">
        <v>1447</v>
      </c>
      <c r="B53" s="41" t="s">
        <v>35</v>
      </c>
      <c r="C53" s="41" t="s">
        <v>10</v>
      </c>
      <c r="D53" s="41" t="s">
        <v>1442</v>
      </c>
      <c r="E53" s="41" t="s">
        <v>1432</v>
      </c>
      <c r="F53" s="41" t="s">
        <v>2079</v>
      </c>
      <c r="G53" s="41" t="s">
        <v>11</v>
      </c>
      <c r="H53" s="41" t="s">
        <v>1774</v>
      </c>
      <c r="I53" s="41"/>
      <c r="J53" s="41"/>
      <c r="K53" s="41" t="str">
        <f>IFERROR(VLOOKUP(L53,'Raw material list'!$A$3:$C$715,3,0),"")</f>
        <v>DRS1-607</v>
      </c>
      <c r="L53" s="41" t="s">
        <v>250</v>
      </c>
      <c r="M53" s="40" t="s">
        <v>156</v>
      </c>
      <c r="N53" s="40" t="str">
        <f>VLOOKUP(L53,'Raw material list'!$A$3:$E$715,5,0)</f>
        <v xml:space="preserve">Gram </v>
      </c>
      <c r="O53" s="40">
        <v>300</v>
      </c>
      <c r="P53" s="299">
        <f t="shared" si="1"/>
        <v>300</v>
      </c>
      <c r="Q53" s="40">
        <v>100</v>
      </c>
      <c r="R53" s="40">
        <v>10</v>
      </c>
      <c r="S53" s="40"/>
      <c r="T53" s="105">
        <f t="shared" si="0"/>
        <v>30</v>
      </c>
      <c r="U53" s="105">
        <f t="shared" si="2"/>
        <v>30</v>
      </c>
      <c r="V53" s="104">
        <f>IFERROR(VLOOKUP(L53,'Raw material list'!$A$2:$S$3102,6,0),0)</f>
        <v>5.8823529411764705E-3</v>
      </c>
      <c r="W53" s="104">
        <f t="shared" si="3"/>
        <v>0.1764705882352941</v>
      </c>
    </row>
    <row r="54" spans="1:23" hidden="1" x14ac:dyDescent="0.55000000000000004">
      <c r="A54" s="41" t="s">
        <v>1447</v>
      </c>
      <c r="B54" s="41" t="s">
        <v>35</v>
      </c>
      <c r="C54" s="41" t="s">
        <v>10</v>
      </c>
      <c r="D54" s="41" t="s">
        <v>1442</v>
      </c>
      <c r="E54" s="41" t="s">
        <v>1432</v>
      </c>
      <c r="F54" s="41" t="s">
        <v>2079</v>
      </c>
      <c r="G54" s="41" t="s">
        <v>11</v>
      </c>
      <c r="H54" s="41" t="s">
        <v>1774</v>
      </c>
      <c r="I54" s="41"/>
      <c r="J54" s="41"/>
      <c r="K54" s="41" t="str">
        <f>IFERROR(VLOOKUP(L54,'Raw material list'!$A$3:$C$715,3,0),"")</f>
        <v>PRD2-4092</v>
      </c>
      <c r="L54" s="41" t="s">
        <v>108</v>
      </c>
      <c r="M54" s="40" t="s">
        <v>156</v>
      </c>
      <c r="N54" s="40" t="str">
        <f>VLOOKUP(L54,'Raw material list'!$A$3:$E$715,5,0)</f>
        <v xml:space="preserve">Gram </v>
      </c>
      <c r="O54" s="40">
        <v>500</v>
      </c>
      <c r="P54" s="299">
        <f t="shared" si="1"/>
        <v>500</v>
      </c>
      <c r="Q54" s="40">
        <v>100</v>
      </c>
      <c r="R54" s="40">
        <v>10</v>
      </c>
      <c r="S54" s="40"/>
      <c r="T54" s="105">
        <f t="shared" si="0"/>
        <v>50</v>
      </c>
      <c r="U54" s="105">
        <f t="shared" si="2"/>
        <v>50</v>
      </c>
      <c r="V54" s="104">
        <f>IFERROR(VLOOKUP(L54,'Raw material list'!$A$2:$S$3102,6,0),0)</f>
        <v>1.40625E-2</v>
      </c>
      <c r="W54" s="104">
        <f t="shared" si="3"/>
        <v>0.703125</v>
      </c>
    </row>
    <row r="55" spans="1:23" hidden="1" x14ac:dyDescent="0.55000000000000004">
      <c r="A55" s="41" t="s">
        <v>1447</v>
      </c>
      <c r="B55" s="41" t="s">
        <v>35</v>
      </c>
      <c r="C55" s="41" t="s">
        <v>10</v>
      </c>
      <c r="D55" s="41" t="s">
        <v>1442</v>
      </c>
      <c r="E55" s="41" t="s">
        <v>1432</v>
      </c>
      <c r="F55" s="41" t="s">
        <v>2079</v>
      </c>
      <c r="G55" s="41" t="s">
        <v>11</v>
      </c>
      <c r="H55" s="41" t="s">
        <v>1774</v>
      </c>
      <c r="I55" s="41"/>
      <c r="J55" s="41"/>
      <c r="K55" s="41" t="str">
        <f>IFERROR(VLOOKUP(L55,'Raw material list'!$A$3:$C$715,3,0),"")</f>
        <v>PRD1-230</v>
      </c>
      <c r="L55" s="41" t="s">
        <v>70</v>
      </c>
      <c r="M55" s="40" t="s">
        <v>156</v>
      </c>
      <c r="N55" s="40" t="str">
        <f>VLOOKUP(L55,'Raw material list'!$A$3:$E$715,5,0)</f>
        <v xml:space="preserve">Gram </v>
      </c>
      <c r="O55" s="40">
        <v>400</v>
      </c>
      <c r="P55" s="299">
        <f t="shared" si="1"/>
        <v>539.81106612685562</v>
      </c>
      <c r="Q55" s="105">
        <v>74.099999999999994</v>
      </c>
      <c r="R55" s="40">
        <v>10</v>
      </c>
      <c r="S55" s="40"/>
      <c r="T55" s="105">
        <f t="shared" si="0"/>
        <v>40</v>
      </c>
      <c r="U55" s="105">
        <f t="shared" si="2"/>
        <v>53.981106612685565</v>
      </c>
      <c r="V55" s="104">
        <f>IFERROR(VLOOKUP(L55,'Raw material list'!$A$2:$S$3102,6,0),0)</f>
        <v>3.3738191632928472E-3</v>
      </c>
      <c r="W55" s="104">
        <f t="shared" si="3"/>
        <v>0.18212249194563279</v>
      </c>
    </row>
    <row r="56" spans="1:23" hidden="1" x14ac:dyDescent="0.55000000000000004">
      <c r="A56" s="41" t="s">
        <v>1447</v>
      </c>
      <c r="B56" s="41" t="s">
        <v>35</v>
      </c>
      <c r="C56" s="41" t="s">
        <v>10</v>
      </c>
      <c r="D56" s="41" t="s">
        <v>1442</v>
      </c>
      <c r="E56" s="41" t="s">
        <v>1432</v>
      </c>
      <c r="F56" s="41" t="s">
        <v>2079</v>
      </c>
      <c r="G56" s="41" t="s">
        <v>11</v>
      </c>
      <c r="H56" s="41" t="s">
        <v>1774</v>
      </c>
      <c r="I56" s="41"/>
      <c r="J56" s="41"/>
      <c r="K56" s="41" t="str">
        <f>IFERROR(VLOOKUP(L56,'Raw material list'!$A$3:$C$715,3,0),"")</f>
        <v>DRS4-1457</v>
      </c>
      <c r="L56" s="41" t="s">
        <v>43</v>
      </c>
      <c r="M56" s="40" t="s">
        <v>156</v>
      </c>
      <c r="N56" s="40" t="str">
        <f>VLOOKUP(L56,'Raw material list'!$A$3:$E$715,5,0)</f>
        <v xml:space="preserve">Gram </v>
      </c>
      <c r="O56" s="40">
        <v>1000</v>
      </c>
      <c r="P56" s="299">
        <f t="shared" si="1"/>
        <v>1000</v>
      </c>
      <c r="Q56" s="300">
        <v>100</v>
      </c>
      <c r="R56" s="40">
        <v>10</v>
      </c>
      <c r="S56" s="40"/>
      <c r="T56" s="105">
        <f t="shared" si="0"/>
        <v>100</v>
      </c>
      <c r="U56" s="105">
        <f t="shared" si="2"/>
        <v>100</v>
      </c>
      <c r="V56" s="104">
        <f>IFERROR(VLOOKUP(L56,'Raw material list'!$A$2:$S$3102,6,0),0)</f>
        <v>6.4999999999999997E-3</v>
      </c>
      <c r="W56" s="104">
        <f t="shared" si="3"/>
        <v>0.65</v>
      </c>
    </row>
    <row r="57" spans="1:23" hidden="1" x14ac:dyDescent="0.55000000000000004">
      <c r="A57" s="41" t="s">
        <v>1447</v>
      </c>
      <c r="B57" s="41" t="s">
        <v>35</v>
      </c>
      <c r="C57" s="41" t="s">
        <v>10</v>
      </c>
      <c r="D57" s="41" t="s">
        <v>1442</v>
      </c>
      <c r="E57" s="41" t="s">
        <v>1432</v>
      </c>
      <c r="F57" s="41" t="s">
        <v>2079</v>
      </c>
      <c r="G57" s="41" t="s">
        <v>11</v>
      </c>
      <c r="H57" s="41" t="s">
        <v>1774</v>
      </c>
      <c r="I57" s="41"/>
      <c r="J57" s="41"/>
      <c r="K57" s="41" t="str">
        <f>IFERROR(VLOOKUP(L57,'Raw material list'!$A$3:$C$715,3,0),"")</f>
        <v>TAP-00001</v>
      </c>
      <c r="L57" s="41" t="s">
        <v>1405</v>
      </c>
      <c r="M57" s="40" t="s">
        <v>206</v>
      </c>
      <c r="N57" s="40" t="str">
        <f>VLOOKUP(L57,'Raw material list'!$A$3:$E$715,5,0)</f>
        <v>Ml</v>
      </c>
      <c r="O57" s="40">
        <v>1800</v>
      </c>
      <c r="P57" s="299">
        <f t="shared" si="1"/>
        <v>1800</v>
      </c>
      <c r="Q57" s="40">
        <v>100</v>
      </c>
      <c r="R57" s="40">
        <v>10</v>
      </c>
      <c r="S57" s="40"/>
      <c r="T57" s="105">
        <f t="shared" si="0"/>
        <v>180</v>
      </c>
      <c r="U57" s="105">
        <f t="shared" si="2"/>
        <v>180</v>
      </c>
      <c r="V57" s="104">
        <f>IFERROR(VLOOKUP(L57,'Raw material list'!$A$2:$S$3102,6,0),0)</f>
        <v>8.0000000000000007E-5</v>
      </c>
      <c r="W57" s="104">
        <f t="shared" si="3"/>
        <v>1.4400000000000001E-2</v>
      </c>
    </row>
    <row r="58" spans="1:23" hidden="1" x14ac:dyDescent="0.55000000000000004">
      <c r="A58" s="41" t="s">
        <v>1447</v>
      </c>
      <c r="B58" s="41" t="s">
        <v>35</v>
      </c>
      <c r="C58" s="41" t="s">
        <v>10</v>
      </c>
      <c r="D58" s="41" t="s">
        <v>1442</v>
      </c>
      <c r="E58" s="41" t="s">
        <v>1432</v>
      </c>
      <c r="F58" s="41" t="s">
        <v>2079</v>
      </c>
      <c r="G58" s="41" t="s">
        <v>11</v>
      </c>
      <c r="H58" s="41" t="s">
        <v>1774</v>
      </c>
      <c r="I58" s="41"/>
      <c r="J58" s="41"/>
      <c r="K58" s="41" t="str">
        <f>IFERROR(VLOOKUP(L58,'Raw material list'!$A$3:$C$715,3,0),"")</f>
        <v>DRS1-3880</v>
      </c>
      <c r="L58" s="41" t="s">
        <v>1433</v>
      </c>
      <c r="M58" s="40" t="s">
        <v>156</v>
      </c>
      <c r="N58" s="40" t="str">
        <f>VLOOKUP(L58,'Raw material list'!$A$3:$E$715,5,0)</f>
        <v xml:space="preserve">Gram </v>
      </c>
      <c r="O58" s="40">
        <v>10</v>
      </c>
      <c r="P58" s="299">
        <f t="shared" si="1"/>
        <v>10</v>
      </c>
      <c r="Q58" s="40">
        <v>100</v>
      </c>
      <c r="R58" s="40">
        <v>10</v>
      </c>
      <c r="S58" s="40"/>
      <c r="T58" s="105">
        <f t="shared" si="0"/>
        <v>1</v>
      </c>
      <c r="U58" s="105">
        <f t="shared" si="2"/>
        <v>1</v>
      </c>
      <c r="V58" s="104">
        <f>IFERROR(VLOOKUP(L58,'Raw material list'!$A$2:$S$3102,6,0),0)</f>
        <v>5.0000000000000001E-4</v>
      </c>
      <c r="W58" s="104">
        <f t="shared" si="3"/>
        <v>5.0000000000000001E-4</v>
      </c>
    </row>
    <row r="59" spans="1:23" hidden="1" x14ac:dyDescent="0.55000000000000004">
      <c r="A59" s="41" t="s">
        <v>14</v>
      </c>
      <c r="B59" s="41" t="s">
        <v>35</v>
      </c>
      <c r="C59" s="41" t="s">
        <v>10</v>
      </c>
      <c r="D59" s="41" t="s">
        <v>1443</v>
      </c>
      <c r="E59" s="41" t="s">
        <v>1432</v>
      </c>
      <c r="F59" s="41" t="s">
        <v>2081</v>
      </c>
      <c r="G59" s="41" t="s">
        <v>11</v>
      </c>
      <c r="H59" s="41" t="s">
        <v>1774</v>
      </c>
      <c r="I59" s="41"/>
      <c r="J59" s="41"/>
      <c r="K59" s="41" t="str">
        <f>IFERROR(VLOOKUP(L59,'Raw material list'!$A$3:$C$715,3,0),"")</f>
        <v>PLT2-3278</v>
      </c>
      <c r="L59" s="41" t="s">
        <v>80</v>
      </c>
      <c r="M59" s="40" t="s">
        <v>156</v>
      </c>
      <c r="N59" s="40" t="str">
        <f>VLOOKUP(L59,'Raw material list'!$A$3:$E$715,5,0)</f>
        <v xml:space="preserve">Gram </v>
      </c>
      <c r="O59" s="40">
        <v>1000</v>
      </c>
      <c r="P59" s="299">
        <f t="shared" si="1"/>
        <v>1312.3359580052493</v>
      </c>
      <c r="Q59" s="40">
        <v>76.2</v>
      </c>
      <c r="R59" s="40">
        <v>10</v>
      </c>
      <c r="S59" s="40"/>
      <c r="T59" s="105">
        <f t="shared" si="0"/>
        <v>100</v>
      </c>
      <c r="U59" s="105">
        <f t="shared" si="2"/>
        <v>131.23359580052494</v>
      </c>
      <c r="V59" s="104">
        <f>IFERROR(VLOOKUP(L59,'Raw material list'!$A$2:$S$3102,6,0),0)</f>
        <v>3.0357142857142853E-2</v>
      </c>
      <c r="W59" s="104">
        <f t="shared" si="3"/>
        <v>3.983877015373078</v>
      </c>
    </row>
    <row r="60" spans="1:23" hidden="1" x14ac:dyDescent="0.55000000000000004">
      <c r="A60" s="41" t="s">
        <v>14</v>
      </c>
      <c r="B60" s="41" t="s">
        <v>35</v>
      </c>
      <c r="C60" s="41" t="s">
        <v>10</v>
      </c>
      <c r="D60" s="41" t="s">
        <v>1443</v>
      </c>
      <c r="E60" s="41" t="s">
        <v>1432</v>
      </c>
      <c r="F60" s="41" t="s">
        <v>2079</v>
      </c>
      <c r="G60" s="41" t="s">
        <v>11</v>
      </c>
      <c r="H60" s="41" t="s">
        <v>1774</v>
      </c>
      <c r="I60" s="41"/>
      <c r="J60" s="41"/>
      <c r="K60" s="41" t="str">
        <f>IFERROR(VLOOKUP(L60,'Raw material list'!$A$3:$C$715,3,0),"")</f>
        <v>DRS3-1615</v>
      </c>
      <c r="L60" s="41" t="s">
        <v>50</v>
      </c>
      <c r="M60" s="40" t="s">
        <v>206</v>
      </c>
      <c r="N60" s="40" t="str">
        <f>VLOOKUP(L60,'Raw material list'!$A$3:$E$715,5,0)</f>
        <v>Ml</v>
      </c>
      <c r="O60" s="40">
        <v>50</v>
      </c>
      <c r="P60" s="299">
        <f t="shared" si="1"/>
        <v>50</v>
      </c>
      <c r="Q60" s="40">
        <v>100</v>
      </c>
      <c r="R60" s="40">
        <v>10</v>
      </c>
      <c r="S60" s="40"/>
      <c r="T60" s="105">
        <f t="shared" si="0"/>
        <v>5</v>
      </c>
      <c r="U60" s="105">
        <f t="shared" si="2"/>
        <v>5</v>
      </c>
      <c r="V60" s="104">
        <f>IFERROR(VLOOKUP(L60,'Raw material list'!$A$2:$S$3102,6,0),0)</f>
        <v>1.2E-2</v>
      </c>
      <c r="W60" s="104">
        <f t="shared" si="3"/>
        <v>0.06</v>
      </c>
    </row>
    <row r="61" spans="1:23" hidden="1" x14ac:dyDescent="0.55000000000000004">
      <c r="A61" s="41" t="s">
        <v>14</v>
      </c>
      <c r="B61" s="41" t="s">
        <v>35</v>
      </c>
      <c r="C61" s="41" t="s">
        <v>10</v>
      </c>
      <c r="D61" s="41" t="s">
        <v>1443</v>
      </c>
      <c r="E61" s="41" t="s">
        <v>1432</v>
      </c>
      <c r="F61" s="41" t="s">
        <v>2079</v>
      </c>
      <c r="G61" s="41" t="s">
        <v>11</v>
      </c>
      <c r="H61" s="41" t="s">
        <v>1774</v>
      </c>
      <c r="I61" s="41"/>
      <c r="J61" s="41"/>
      <c r="K61" s="41" t="str">
        <f>IFERROR(VLOOKUP(L61,'Raw material list'!$A$3:$C$715,3,0),"")</f>
        <v>PRD1-4265</v>
      </c>
      <c r="L61" s="41" t="s">
        <v>38</v>
      </c>
      <c r="M61" s="40" t="s">
        <v>156</v>
      </c>
      <c r="N61" s="40" t="str">
        <f>VLOOKUP(L61,'Raw material list'!$A$3:$E$715,5,0)</f>
        <v xml:space="preserve">Gram </v>
      </c>
      <c r="O61" s="40">
        <v>150</v>
      </c>
      <c r="P61" s="299">
        <f t="shared" si="1"/>
        <v>176.47058823529412</v>
      </c>
      <c r="Q61" s="105">
        <v>85</v>
      </c>
      <c r="R61" s="40">
        <v>10</v>
      </c>
      <c r="S61" s="40"/>
      <c r="T61" s="105">
        <f t="shared" si="0"/>
        <v>15</v>
      </c>
      <c r="U61" s="105">
        <f t="shared" si="2"/>
        <v>17.647058823529413</v>
      </c>
      <c r="V61" s="104">
        <f>IFERROR(VLOOKUP(L61,'Raw material list'!$A$2:$S$3102,6,0),0)</f>
        <v>3.529411764705882E-3</v>
      </c>
      <c r="W61" s="104">
        <f t="shared" si="3"/>
        <v>6.228373702422145E-2</v>
      </c>
    </row>
    <row r="62" spans="1:23" hidden="1" x14ac:dyDescent="0.55000000000000004">
      <c r="A62" s="41" t="s">
        <v>14</v>
      </c>
      <c r="B62" s="41" t="s">
        <v>35</v>
      </c>
      <c r="C62" s="41" t="s">
        <v>10</v>
      </c>
      <c r="D62" s="41" t="s">
        <v>1443</v>
      </c>
      <c r="E62" s="41" t="s">
        <v>1432</v>
      </c>
      <c r="F62" s="41" t="s">
        <v>2079</v>
      </c>
      <c r="G62" s="41" t="s">
        <v>11</v>
      </c>
      <c r="H62" s="41" t="s">
        <v>1774</v>
      </c>
      <c r="I62" s="41"/>
      <c r="J62" s="41"/>
      <c r="K62" s="41" t="str">
        <f>IFERROR(VLOOKUP(L62,'Raw material list'!$A$3:$C$715,3,0),"")</f>
        <v>PRD1-4327</v>
      </c>
      <c r="L62" s="41" t="s">
        <v>39</v>
      </c>
      <c r="M62" s="40" t="s">
        <v>156</v>
      </c>
      <c r="N62" s="40" t="str">
        <f>VLOOKUP(L62,'Raw material list'!$A$3:$E$715,5,0)</f>
        <v xml:space="preserve">Gram </v>
      </c>
      <c r="O62" s="40">
        <v>20</v>
      </c>
      <c r="P62" s="299">
        <f t="shared" si="1"/>
        <v>24.096385542168676</v>
      </c>
      <c r="Q62" s="105">
        <v>83</v>
      </c>
      <c r="R62" s="40">
        <v>10</v>
      </c>
      <c r="S62" s="40"/>
      <c r="T62" s="105">
        <f t="shared" si="0"/>
        <v>2</v>
      </c>
      <c r="U62" s="105">
        <f t="shared" si="2"/>
        <v>2.4096385542168677</v>
      </c>
      <c r="V62" s="104">
        <f>IFERROR(VLOOKUP(L62,'Raw material list'!$A$2:$S$3102,6,0),0)</f>
        <v>1.2999999999999999E-2</v>
      </c>
      <c r="W62" s="104">
        <f t="shared" si="3"/>
        <v>3.1325301204819279E-2</v>
      </c>
    </row>
    <row r="63" spans="1:23" hidden="1" x14ac:dyDescent="0.55000000000000004">
      <c r="A63" s="41" t="s">
        <v>14</v>
      </c>
      <c r="B63" s="41" t="s">
        <v>35</v>
      </c>
      <c r="C63" s="41" t="s">
        <v>10</v>
      </c>
      <c r="D63" s="41" t="s">
        <v>1443</v>
      </c>
      <c r="E63" s="41" t="s">
        <v>1432</v>
      </c>
      <c r="F63" s="41" t="s">
        <v>2079</v>
      </c>
      <c r="G63" s="41" t="s">
        <v>11</v>
      </c>
      <c r="H63" s="41" t="s">
        <v>1774</v>
      </c>
      <c r="I63" s="41"/>
      <c r="J63" s="41"/>
      <c r="K63" s="41" t="str">
        <f>IFERROR(VLOOKUP(L63,'Raw material list'!$A$3:$C$715,3,0),"")</f>
        <v>PRD2-366</v>
      </c>
      <c r="L63" s="41" t="s">
        <v>129</v>
      </c>
      <c r="M63" s="40" t="s">
        <v>156</v>
      </c>
      <c r="N63" s="40" t="str">
        <f>VLOOKUP(L63,'Raw material list'!$A$3:$E$715,5,0)</f>
        <v xml:space="preserve">Gram </v>
      </c>
      <c r="O63" s="40">
        <v>1000</v>
      </c>
      <c r="P63" s="299">
        <f t="shared" si="1"/>
        <v>1000</v>
      </c>
      <c r="Q63" s="300">
        <v>100</v>
      </c>
      <c r="R63" s="40">
        <v>10</v>
      </c>
      <c r="S63" s="40"/>
      <c r="T63" s="105">
        <f t="shared" si="0"/>
        <v>100</v>
      </c>
      <c r="U63" s="105">
        <f t="shared" si="2"/>
        <v>100</v>
      </c>
      <c r="V63" s="104">
        <f>IFERROR(VLOOKUP(L63,'Raw material list'!$A$2:$S$3102,6,0),0)</f>
        <v>1.3125E-2</v>
      </c>
      <c r="W63" s="104">
        <f t="shared" si="3"/>
        <v>1.3125</v>
      </c>
    </row>
    <row r="64" spans="1:23" hidden="1" x14ac:dyDescent="0.55000000000000004">
      <c r="A64" s="41" t="s">
        <v>14</v>
      </c>
      <c r="B64" s="41" t="s">
        <v>35</v>
      </c>
      <c r="C64" s="41" t="s">
        <v>10</v>
      </c>
      <c r="D64" s="41" t="s">
        <v>1443</v>
      </c>
      <c r="E64" s="41" t="s">
        <v>1432</v>
      </c>
      <c r="F64" s="41" t="s">
        <v>2079</v>
      </c>
      <c r="G64" s="41" t="s">
        <v>11</v>
      </c>
      <c r="H64" s="41" t="s">
        <v>1774</v>
      </c>
      <c r="I64" s="41"/>
      <c r="J64" s="41"/>
      <c r="K64" s="41" t="str">
        <f>IFERROR(VLOOKUP(L64,'Raw material list'!$A$3:$C$715,3,0),"")</f>
        <v>DRS1-1747</v>
      </c>
      <c r="L64" s="41" t="s">
        <v>44</v>
      </c>
      <c r="M64" s="40" t="s">
        <v>156</v>
      </c>
      <c r="N64" s="40" t="str">
        <f>VLOOKUP(L64,'Raw material list'!$A$3:$E$715,5,0)</f>
        <v xml:space="preserve">Gram </v>
      </c>
      <c r="O64" s="40">
        <v>80</v>
      </c>
      <c r="P64" s="299">
        <f t="shared" si="1"/>
        <v>80</v>
      </c>
      <c r="Q64" s="40">
        <v>100</v>
      </c>
      <c r="R64" s="40">
        <v>10</v>
      </c>
      <c r="S64" s="40"/>
      <c r="T64" s="105">
        <f t="shared" si="0"/>
        <v>8</v>
      </c>
      <c r="U64" s="105">
        <f t="shared" si="2"/>
        <v>8</v>
      </c>
      <c r="V64" s="104">
        <f>IFERROR(VLOOKUP(L64,'Raw material list'!$A$2:$S$3102,6,0),0)</f>
        <v>5.185185185185185E-3</v>
      </c>
      <c r="W64" s="104">
        <f t="shared" si="3"/>
        <v>4.148148148148148E-2</v>
      </c>
    </row>
    <row r="65" spans="1:23" hidden="1" x14ac:dyDescent="0.55000000000000004">
      <c r="A65" s="41" t="s">
        <v>14</v>
      </c>
      <c r="B65" s="41" t="s">
        <v>35</v>
      </c>
      <c r="C65" s="41" t="s">
        <v>10</v>
      </c>
      <c r="D65" s="41" t="s">
        <v>1443</v>
      </c>
      <c r="E65" s="41" t="s">
        <v>1432</v>
      </c>
      <c r="F65" s="41" t="s">
        <v>2079</v>
      </c>
      <c r="G65" s="41" t="s">
        <v>11</v>
      </c>
      <c r="H65" s="41" t="s">
        <v>1774</v>
      </c>
      <c r="I65" s="41"/>
      <c r="J65" s="41"/>
      <c r="K65" s="41" t="str">
        <f>IFERROR(VLOOKUP(L65,'Raw material list'!$A$3:$C$715,3,0),"")</f>
        <v>TAP-00001</v>
      </c>
      <c r="L65" s="41" t="s">
        <v>1405</v>
      </c>
      <c r="M65" s="40" t="s">
        <v>206</v>
      </c>
      <c r="N65" s="40" t="str">
        <f>VLOOKUP(L65,'Raw material list'!$A$3:$E$715,5,0)</f>
        <v>Ml</v>
      </c>
      <c r="O65" s="40">
        <v>1000</v>
      </c>
      <c r="P65" s="299">
        <f t="shared" si="1"/>
        <v>1000</v>
      </c>
      <c r="Q65" s="40">
        <v>100</v>
      </c>
      <c r="R65" s="40">
        <v>10</v>
      </c>
      <c r="S65" s="40"/>
      <c r="T65" s="105">
        <f t="shared" si="0"/>
        <v>100</v>
      </c>
      <c r="U65" s="105">
        <f t="shared" si="2"/>
        <v>100</v>
      </c>
      <c r="V65" s="104">
        <f>IFERROR(VLOOKUP(L65,'Raw material list'!$A$2:$S$3102,6,0),0)</f>
        <v>8.0000000000000007E-5</v>
      </c>
      <c r="W65" s="104">
        <f t="shared" si="3"/>
        <v>8.0000000000000002E-3</v>
      </c>
    </row>
    <row r="66" spans="1:23" hidden="1" x14ac:dyDescent="0.55000000000000004">
      <c r="A66" s="41" t="s">
        <v>14</v>
      </c>
      <c r="B66" s="41" t="s">
        <v>35</v>
      </c>
      <c r="C66" s="41" t="s">
        <v>10</v>
      </c>
      <c r="D66" s="41" t="s">
        <v>1443</v>
      </c>
      <c r="E66" s="41" t="s">
        <v>1432</v>
      </c>
      <c r="F66" s="41" t="s">
        <v>2079</v>
      </c>
      <c r="G66" s="41" t="s">
        <v>11</v>
      </c>
      <c r="H66" s="41" t="s">
        <v>1774</v>
      </c>
      <c r="I66" s="41"/>
      <c r="J66" s="41"/>
      <c r="K66" s="41" t="str">
        <f>IFERROR(VLOOKUP(L66,'Raw material list'!$A$3:$C$715,3,0),"")</f>
        <v>DRS6-537</v>
      </c>
      <c r="L66" s="41" t="s">
        <v>46</v>
      </c>
      <c r="M66" s="40" t="s">
        <v>156</v>
      </c>
      <c r="N66" s="40" t="str">
        <f>VLOOKUP(L66,'Raw material list'!$A$3:$E$715,5,0)</f>
        <v xml:space="preserve">Gram </v>
      </c>
      <c r="O66" s="40">
        <v>1</v>
      </c>
      <c r="P66" s="299">
        <f t="shared" si="1"/>
        <v>1</v>
      </c>
      <c r="Q66" s="40">
        <v>100</v>
      </c>
      <c r="R66" s="40">
        <v>10</v>
      </c>
      <c r="S66" s="40"/>
      <c r="T66" s="105">
        <f t="shared" si="0"/>
        <v>0.1</v>
      </c>
      <c r="U66" s="105">
        <f t="shared" si="2"/>
        <v>0.1</v>
      </c>
      <c r="V66" s="104">
        <f>IFERROR(VLOOKUP(L66,'Raw material list'!$A$2:$S$3102,6,0),0)</f>
        <v>3.5000000000000003E-2</v>
      </c>
      <c r="W66" s="104">
        <f t="shared" si="3"/>
        <v>3.5000000000000005E-3</v>
      </c>
    </row>
    <row r="67" spans="1:23" hidden="1" x14ac:dyDescent="0.55000000000000004">
      <c r="A67" s="41" t="s">
        <v>14</v>
      </c>
      <c r="B67" s="41" t="s">
        <v>35</v>
      </c>
      <c r="C67" s="41" t="s">
        <v>10</v>
      </c>
      <c r="D67" s="41" t="s">
        <v>1443</v>
      </c>
      <c r="E67" s="41" t="s">
        <v>1432</v>
      </c>
      <c r="F67" s="41" t="s">
        <v>2079</v>
      </c>
      <c r="G67" s="41" t="s">
        <v>11</v>
      </c>
      <c r="H67" s="41" t="s">
        <v>1774</v>
      </c>
      <c r="I67" s="41"/>
      <c r="J67" s="41"/>
      <c r="K67" s="41" t="str">
        <f>IFERROR(VLOOKUP(L67,'Raw material list'!$A$3:$C$715,3,0),"")</f>
        <v>DRS6-733</v>
      </c>
      <c r="L67" s="41" t="s">
        <v>45</v>
      </c>
      <c r="M67" s="40" t="s">
        <v>156</v>
      </c>
      <c r="N67" s="40" t="str">
        <f>VLOOKUP(L67,'Raw material list'!$A$3:$E$715,5,0)</f>
        <v xml:space="preserve">Gram </v>
      </c>
      <c r="O67" s="40">
        <v>2</v>
      </c>
      <c r="P67" s="299">
        <f t="shared" si="1"/>
        <v>2</v>
      </c>
      <c r="Q67" s="40">
        <v>100</v>
      </c>
      <c r="R67" s="40">
        <v>10</v>
      </c>
      <c r="S67" s="40"/>
      <c r="T67" s="105">
        <f t="shared" si="0"/>
        <v>0.2</v>
      </c>
      <c r="U67" s="105">
        <f t="shared" si="2"/>
        <v>0.2</v>
      </c>
      <c r="V67" s="104">
        <f>IFERROR(VLOOKUP(L67,'Raw material list'!$A$2:$S$3102,6,0),0)</f>
        <v>2.8000000000000001E-2</v>
      </c>
      <c r="W67" s="104">
        <f t="shared" si="3"/>
        <v>5.6000000000000008E-3</v>
      </c>
    </row>
    <row r="68" spans="1:23" hidden="1" x14ac:dyDescent="0.55000000000000004">
      <c r="A68" s="41" t="s">
        <v>14</v>
      </c>
      <c r="B68" s="41" t="s">
        <v>35</v>
      </c>
      <c r="C68" s="41" t="s">
        <v>10</v>
      </c>
      <c r="D68" s="41" t="s">
        <v>1443</v>
      </c>
      <c r="E68" s="41" t="s">
        <v>1432</v>
      </c>
      <c r="F68" s="41" t="s">
        <v>2079</v>
      </c>
      <c r="G68" s="41" t="s">
        <v>11</v>
      </c>
      <c r="H68" s="41" t="s">
        <v>1774</v>
      </c>
      <c r="I68" s="41"/>
      <c r="J68" s="41"/>
      <c r="K68" s="41" t="str">
        <f>IFERROR(VLOOKUP(L68,'Raw material list'!$A$3:$C$715,3,0),"")</f>
        <v>DRS6-266</v>
      </c>
      <c r="L68" s="41" t="s">
        <v>99</v>
      </c>
      <c r="M68" s="40" t="s">
        <v>156</v>
      </c>
      <c r="N68" s="40" t="str">
        <f>VLOOKUP(L68,'Raw material list'!$A$3:$E$715,5,0)</f>
        <v xml:space="preserve">Gram </v>
      </c>
      <c r="O68" s="40">
        <v>2</v>
      </c>
      <c r="P68" s="299">
        <f t="shared" si="1"/>
        <v>2</v>
      </c>
      <c r="Q68" s="40">
        <v>100</v>
      </c>
      <c r="R68" s="40">
        <v>10</v>
      </c>
      <c r="S68" s="40"/>
      <c r="T68" s="105">
        <f t="shared" si="0"/>
        <v>0.2</v>
      </c>
      <c r="U68" s="105">
        <f t="shared" si="2"/>
        <v>0.2</v>
      </c>
      <c r="V68" s="104">
        <f>IFERROR(VLOOKUP(L68,'Raw material list'!$A$2:$S$3102,6,0),0)</f>
        <v>1.4E-2</v>
      </c>
      <c r="W68" s="104">
        <f t="shared" si="3"/>
        <v>2.8000000000000004E-3</v>
      </c>
    </row>
    <row r="69" spans="1:23" hidden="1" x14ac:dyDescent="0.55000000000000004">
      <c r="A69" s="41" t="s">
        <v>14</v>
      </c>
      <c r="B69" s="41" t="s">
        <v>35</v>
      </c>
      <c r="C69" s="41" t="s">
        <v>10</v>
      </c>
      <c r="D69" s="41" t="s">
        <v>1443</v>
      </c>
      <c r="E69" s="41" t="s">
        <v>1432</v>
      </c>
      <c r="F69" s="41" t="s">
        <v>2079</v>
      </c>
      <c r="G69" s="41" t="s">
        <v>11</v>
      </c>
      <c r="H69" s="41" t="s">
        <v>1774</v>
      </c>
      <c r="I69" s="41"/>
      <c r="J69" s="41"/>
      <c r="K69" s="41" t="str">
        <f>IFERROR(VLOOKUP(L69,'Raw material list'!$A$3:$C$715,3,0),"")</f>
        <v>PRD1-195</v>
      </c>
      <c r="L69" s="41" t="s">
        <v>90</v>
      </c>
      <c r="M69" s="40" t="s">
        <v>156</v>
      </c>
      <c r="N69" s="40" t="str">
        <f>VLOOKUP(L69,'Raw material list'!$A$3:$E$715,5,0)</f>
        <v xml:space="preserve">Gram </v>
      </c>
      <c r="O69" s="40">
        <v>30</v>
      </c>
      <c r="P69" s="299">
        <f t="shared" si="1"/>
        <v>70.312499999999986</v>
      </c>
      <c r="Q69" s="105">
        <v>42.666666666666671</v>
      </c>
      <c r="R69" s="40">
        <v>10</v>
      </c>
      <c r="S69" s="40"/>
      <c r="T69" s="105">
        <f t="shared" si="0"/>
        <v>3</v>
      </c>
      <c r="U69" s="105">
        <f t="shared" si="2"/>
        <v>7.0312499999999982</v>
      </c>
      <c r="V69" s="104">
        <f>IFERROR(VLOOKUP(L69,'Raw material list'!$A$2:$S$3102,6,0),0)</f>
        <v>9.3676814988290415E-3</v>
      </c>
      <c r="W69" s="104">
        <f t="shared" si="3"/>
        <v>6.5866510538641676E-2</v>
      </c>
    </row>
    <row r="70" spans="1:23" hidden="1" x14ac:dyDescent="0.55000000000000004">
      <c r="A70" s="41" t="s">
        <v>14</v>
      </c>
      <c r="B70" s="41" t="s">
        <v>35</v>
      </c>
      <c r="C70" s="41" t="s">
        <v>10</v>
      </c>
      <c r="D70" s="41" t="s">
        <v>1443</v>
      </c>
      <c r="E70" s="41" t="s">
        <v>1432</v>
      </c>
      <c r="F70" s="41" t="s">
        <v>2079</v>
      </c>
      <c r="G70" s="41" t="s">
        <v>11</v>
      </c>
      <c r="H70" s="41" t="s">
        <v>1774</v>
      </c>
      <c r="I70" s="41"/>
      <c r="J70" s="41"/>
      <c r="K70" s="41" t="str">
        <f>IFERROR(VLOOKUP(L70,'Raw material list'!$A$3:$C$715,3,0),"")</f>
        <v>DRS1-3880</v>
      </c>
      <c r="L70" s="41" t="s">
        <v>1433</v>
      </c>
      <c r="M70" s="40" t="s">
        <v>156</v>
      </c>
      <c r="N70" s="40" t="str">
        <f>VLOOKUP(L70,'Raw material list'!$A$3:$E$715,5,0)</f>
        <v xml:space="preserve">Gram </v>
      </c>
      <c r="O70" s="40">
        <v>10</v>
      </c>
      <c r="P70" s="299">
        <f t="shared" ref="P70:P133" si="4">O70/Q70*100</f>
        <v>10</v>
      </c>
      <c r="Q70" s="300">
        <v>100</v>
      </c>
      <c r="R70" s="40">
        <v>10</v>
      </c>
      <c r="S70" s="40"/>
      <c r="T70" s="105">
        <f t="shared" ref="T70:T133" si="5">IFERROR(O70/R70,0)</f>
        <v>1</v>
      </c>
      <c r="U70" s="105">
        <f t="shared" ref="U70:U133" si="6">IFERROR(P70/R70,0)</f>
        <v>1</v>
      </c>
      <c r="V70" s="104">
        <f>IFERROR(VLOOKUP(L70,'Raw material list'!$A$2:$S$3102,6,0),0)</f>
        <v>5.0000000000000001E-4</v>
      </c>
      <c r="W70" s="104">
        <f t="shared" ref="W70:W133" si="7">IFERROR(V70*U70,0)</f>
        <v>5.0000000000000001E-4</v>
      </c>
    </row>
    <row r="71" spans="1:23" hidden="1" x14ac:dyDescent="0.55000000000000004">
      <c r="A71" s="41" t="s">
        <v>14</v>
      </c>
      <c r="B71" s="41" t="s">
        <v>35</v>
      </c>
      <c r="C71" s="41" t="s">
        <v>10</v>
      </c>
      <c r="D71" s="41" t="s">
        <v>1443</v>
      </c>
      <c r="E71" s="41" t="s">
        <v>1432</v>
      </c>
      <c r="F71" s="41" t="s">
        <v>2079</v>
      </c>
      <c r="G71" s="41" t="s">
        <v>11</v>
      </c>
      <c r="H71" s="41" t="s">
        <v>1774</v>
      </c>
      <c r="I71" s="41"/>
      <c r="J71" s="41"/>
      <c r="K71" s="41" t="str">
        <f>IFERROR(VLOOKUP(L71,'Raw material list'!$A$3:$C$715,3,0),"")</f>
        <v>DRS1-3811</v>
      </c>
      <c r="L71" s="41" t="s">
        <v>40</v>
      </c>
      <c r="M71" s="40" t="s">
        <v>156</v>
      </c>
      <c r="N71" s="40" t="str">
        <f>VLOOKUP(L71,'Raw material list'!$A$3:$E$715,5,0)</f>
        <v xml:space="preserve">Gram </v>
      </c>
      <c r="O71" s="40">
        <v>30</v>
      </c>
      <c r="P71" s="299">
        <f t="shared" si="4"/>
        <v>30</v>
      </c>
      <c r="Q71" s="40">
        <v>100</v>
      </c>
      <c r="R71" s="40">
        <v>10</v>
      </c>
      <c r="S71" s="40"/>
      <c r="T71" s="105">
        <f t="shared" si="5"/>
        <v>3</v>
      </c>
      <c r="U71" s="105">
        <f t="shared" si="6"/>
        <v>3</v>
      </c>
      <c r="V71" s="104">
        <f>IFERROR(VLOOKUP(L71,'Raw material list'!$A$2:$S$3102,6,0),0)</f>
        <v>2.8475E-2</v>
      </c>
      <c r="W71" s="104">
        <f t="shared" si="7"/>
        <v>8.5425000000000001E-2</v>
      </c>
    </row>
    <row r="72" spans="1:23" hidden="1" x14ac:dyDescent="0.55000000000000004">
      <c r="A72" s="41" t="s">
        <v>14</v>
      </c>
      <c r="B72" s="41" t="s">
        <v>35</v>
      </c>
      <c r="C72" s="41" t="s">
        <v>10</v>
      </c>
      <c r="D72" s="41" t="s">
        <v>1443</v>
      </c>
      <c r="E72" s="41" t="s">
        <v>1432</v>
      </c>
      <c r="F72" s="41" t="s">
        <v>2079</v>
      </c>
      <c r="G72" s="41" t="s">
        <v>11</v>
      </c>
      <c r="H72" s="41" t="s">
        <v>1774</v>
      </c>
      <c r="I72" s="41"/>
      <c r="J72" s="41"/>
      <c r="K72" s="41" t="str">
        <f>IFERROR(VLOOKUP(L72,'Raw material list'!$A$3:$C$715,3,0),"")</f>
        <v>DRS1-607</v>
      </c>
      <c r="L72" s="41" t="s">
        <v>250</v>
      </c>
      <c r="M72" s="40" t="s">
        <v>156</v>
      </c>
      <c r="N72" s="40" t="str">
        <f>VLOOKUP(L72,'Raw material list'!$A$3:$E$715,5,0)</f>
        <v xml:space="preserve">Gram </v>
      </c>
      <c r="O72" s="40">
        <v>250</v>
      </c>
      <c r="P72" s="299">
        <f t="shared" si="4"/>
        <v>250</v>
      </c>
      <c r="Q72" s="40">
        <v>100</v>
      </c>
      <c r="R72" s="40">
        <v>10</v>
      </c>
      <c r="S72" s="40"/>
      <c r="T72" s="105">
        <f t="shared" si="5"/>
        <v>25</v>
      </c>
      <c r="U72" s="105">
        <f t="shared" si="6"/>
        <v>25</v>
      </c>
      <c r="V72" s="104">
        <f>IFERROR(VLOOKUP(L72,'Raw material list'!$A$2:$S$3102,6,0),0)</f>
        <v>5.8823529411764705E-3</v>
      </c>
      <c r="W72" s="104">
        <f t="shared" si="7"/>
        <v>0.14705882352941177</v>
      </c>
    </row>
    <row r="73" spans="1:23" hidden="1" x14ac:dyDescent="0.55000000000000004">
      <c r="A73" s="41" t="s">
        <v>14</v>
      </c>
      <c r="B73" s="41" t="s">
        <v>35</v>
      </c>
      <c r="C73" s="41" t="s">
        <v>10</v>
      </c>
      <c r="D73" s="41" t="s">
        <v>1443</v>
      </c>
      <c r="E73" s="41" t="s">
        <v>1432</v>
      </c>
      <c r="F73" s="41" t="s">
        <v>2079</v>
      </c>
      <c r="G73" s="41" t="s">
        <v>11</v>
      </c>
      <c r="H73" s="41" t="s">
        <v>1774</v>
      </c>
      <c r="I73" s="41"/>
      <c r="J73" s="41"/>
      <c r="K73" s="41" t="str">
        <f>IFERROR(VLOOKUP(L73,'Raw material list'!$A$3:$C$715,3,0),"")</f>
        <v>DRS4-498</v>
      </c>
      <c r="L73" s="41" t="s">
        <v>72</v>
      </c>
      <c r="M73" s="40" t="s">
        <v>156</v>
      </c>
      <c r="N73" s="40" t="str">
        <f>VLOOKUP(L73,'Raw material list'!$A$3:$E$715,5,0)</f>
        <v xml:space="preserve">Gram </v>
      </c>
      <c r="O73" s="40">
        <v>1000</v>
      </c>
      <c r="P73" s="299">
        <f t="shared" si="4"/>
        <v>1000</v>
      </c>
      <c r="Q73" s="40">
        <v>100</v>
      </c>
      <c r="R73" s="40">
        <v>10</v>
      </c>
      <c r="S73" s="40"/>
      <c r="T73" s="105">
        <f t="shared" si="5"/>
        <v>100</v>
      </c>
      <c r="U73" s="105">
        <f t="shared" si="6"/>
        <v>100</v>
      </c>
      <c r="V73" s="104">
        <f>IFERROR(VLOOKUP(L73,'Raw material list'!$A$2:$S$3102,6,0),0)</f>
        <v>5.7499999999999999E-3</v>
      </c>
      <c r="W73" s="104">
        <f t="shared" si="7"/>
        <v>0.57499999999999996</v>
      </c>
    </row>
    <row r="74" spans="1:23" s="74" customFormat="1" hidden="1" x14ac:dyDescent="0.55000000000000004">
      <c r="A74" s="41" t="s">
        <v>14</v>
      </c>
      <c r="B74" s="41" t="s">
        <v>35</v>
      </c>
      <c r="C74" s="41" t="s">
        <v>10</v>
      </c>
      <c r="D74" s="41" t="s">
        <v>1443</v>
      </c>
      <c r="E74" s="41" t="s">
        <v>1432</v>
      </c>
      <c r="F74" s="41" t="s">
        <v>2079</v>
      </c>
      <c r="G74" s="41" t="s">
        <v>11</v>
      </c>
      <c r="H74" s="41" t="s">
        <v>1774</v>
      </c>
      <c r="I74" s="68"/>
      <c r="J74" s="68"/>
      <c r="K74" s="41" t="str">
        <f>IFERROR(VLOOKUP(L74,'Raw material list'!$A$3:$C$715,3,0),"")</f>
        <v>DRS1-3880</v>
      </c>
      <c r="L74" s="64" t="s">
        <v>1433</v>
      </c>
      <c r="M74" s="65" t="s">
        <v>156</v>
      </c>
      <c r="N74" s="40" t="str">
        <f>VLOOKUP(L74,'Raw material list'!$A$3:$E$715,5,0)</f>
        <v xml:space="preserve">Gram </v>
      </c>
      <c r="O74" s="40">
        <v>10</v>
      </c>
      <c r="P74" s="299">
        <f t="shared" si="4"/>
        <v>10</v>
      </c>
      <c r="Q74" s="40">
        <v>100</v>
      </c>
      <c r="R74" s="40">
        <v>10</v>
      </c>
      <c r="S74" s="40"/>
      <c r="T74" s="105">
        <f t="shared" si="5"/>
        <v>1</v>
      </c>
      <c r="U74" s="105">
        <f t="shared" si="6"/>
        <v>1</v>
      </c>
      <c r="V74" s="104">
        <f>IFERROR(VLOOKUP(L74,'Raw material list'!$A$2:$S$3102,6,0),0)</f>
        <v>5.0000000000000001E-4</v>
      </c>
      <c r="W74" s="104">
        <f t="shared" si="7"/>
        <v>5.0000000000000001E-4</v>
      </c>
    </row>
    <row r="75" spans="1:23" s="74" customFormat="1" hidden="1" x14ac:dyDescent="0.55000000000000004">
      <c r="A75" s="41" t="s">
        <v>14</v>
      </c>
      <c r="B75" s="41" t="s">
        <v>35</v>
      </c>
      <c r="C75" s="41" t="s">
        <v>10</v>
      </c>
      <c r="D75" s="41" t="s">
        <v>1443</v>
      </c>
      <c r="E75" s="41" t="s">
        <v>1432</v>
      </c>
      <c r="F75" s="41" t="s">
        <v>2079</v>
      </c>
      <c r="G75" s="41" t="s">
        <v>11</v>
      </c>
      <c r="H75" s="41" t="s">
        <v>1774</v>
      </c>
      <c r="I75" s="68"/>
      <c r="J75" s="68"/>
      <c r="K75" s="41" t="str">
        <f>IFERROR(VLOOKUP(L75,'Raw material list'!$A$3:$C$715,3,0),"")</f>
        <v>DRS3-1813</v>
      </c>
      <c r="L75" s="64" t="s">
        <v>69</v>
      </c>
      <c r="M75" s="65" t="s">
        <v>206</v>
      </c>
      <c r="N75" s="40" t="str">
        <f>VLOOKUP(L75,'Raw material list'!$A$3:$E$715,5,0)</f>
        <v>Ml</v>
      </c>
      <c r="O75" s="40">
        <v>50</v>
      </c>
      <c r="P75" s="299">
        <f t="shared" si="4"/>
        <v>50</v>
      </c>
      <c r="Q75" s="40">
        <v>100</v>
      </c>
      <c r="R75" s="40">
        <v>10</v>
      </c>
      <c r="S75" s="40"/>
      <c r="T75" s="105">
        <f t="shared" si="5"/>
        <v>5</v>
      </c>
      <c r="U75" s="105">
        <f t="shared" si="6"/>
        <v>5</v>
      </c>
      <c r="V75" s="104">
        <f>IFERROR(VLOOKUP(L75,'Raw material list'!$A$2:$S$3102,6,0),0)</f>
        <v>8.0555555555555554E-3</v>
      </c>
      <c r="W75" s="104">
        <f t="shared" si="7"/>
        <v>4.0277777777777773E-2</v>
      </c>
    </row>
    <row r="76" spans="1:23" s="74" customFormat="1" hidden="1" x14ac:dyDescent="0.55000000000000004">
      <c r="A76" s="41" t="s">
        <v>14</v>
      </c>
      <c r="B76" s="41" t="s">
        <v>35</v>
      </c>
      <c r="C76" s="41" t="s">
        <v>10</v>
      </c>
      <c r="D76" s="41" t="s">
        <v>1443</v>
      </c>
      <c r="E76" s="41" t="s">
        <v>1432</v>
      </c>
      <c r="F76" s="41" t="s">
        <v>2079</v>
      </c>
      <c r="G76" s="41" t="s">
        <v>11</v>
      </c>
      <c r="H76" s="41" t="s">
        <v>1774</v>
      </c>
      <c r="I76" s="68"/>
      <c r="J76" s="68"/>
      <c r="K76" s="41" t="str">
        <f>IFERROR(VLOOKUP(L76,'Raw material list'!$A$3:$C$715,3,0),"")</f>
        <v>DRS6-3593</v>
      </c>
      <c r="L76" s="64" t="s">
        <v>1407</v>
      </c>
      <c r="M76" s="65" t="s">
        <v>156</v>
      </c>
      <c r="N76" s="40" t="str">
        <f>VLOOKUP(L76,'Raw material list'!$A$3:$E$715,5,0)</f>
        <v xml:space="preserve">Gram </v>
      </c>
      <c r="O76" s="40">
        <v>1</v>
      </c>
      <c r="P76" s="299">
        <f t="shared" si="4"/>
        <v>1</v>
      </c>
      <c r="Q76" s="40">
        <v>100</v>
      </c>
      <c r="R76" s="40">
        <v>10</v>
      </c>
      <c r="S76" s="40"/>
      <c r="T76" s="105">
        <f t="shared" si="5"/>
        <v>0.1</v>
      </c>
      <c r="U76" s="105">
        <f t="shared" si="6"/>
        <v>0.1</v>
      </c>
      <c r="V76" s="104">
        <f>IFERROR(VLOOKUP(L76,'Raw material list'!$A$2:$S$3102,6,0),0)</f>
        <v>8.0000000000000002E-3</v>
      </c>
      <c r="W76" s="104">
        <f t="shared" si="7"/>
        <v>8.0000000000000004E-4</v>
      </c>
    </row>
    <row r="77" spans="1:23" s="74" customFormat="1" hidden="1" x14ac:dyDescent="0.55000000000000004">
      <c r="A77" s="41" t="s">
        <v>14</v>
      </c>
      <c r="B77" s="41" t="s">
        <v>35</v>
      </c>
      <c r="C77" s="41" t="s">
        <v>10</v>
      </c>
      <c r="D77" s="41" t="s">
        <v>1443</v>
      </c>
      <c r="E77" s="41" t="s">
        <v>1432</v>
      </c>
      <c r="F77" s="41" t="s">
        <v>2079</v>
      </c>
      <c r="G77" s="41" t="s">
        <v>11</v>
      </c>
      <c r="H77" s="41" t="s">
        <v>1774</v>
      </c>
      <c r="I77" s="68"/>
      <c r="J77" s="68"/>
      <c r="K77" s="41" t="str">
        <f>IFERROR(VLOOKUP(L77,'Raw material list'!$A$3:$C$715,3,0),"")</f>
        <v>DRS6-261</v>
      </c>
      <c r="L77" s="64" t="s">
        <v>1406</v>
      </c>
      <c r="M77" s="65" t="s">
        <v>156</v>
      </c>
      <c r="N77" s="40" t="str">
        <f>VLOOKUP(L77,'Raw material list'!$A$3:$E$715,5,0)</f>
        <v xml:space="preserve">Gram </v>
      </c>
      <c r="O77" s="40">
        <v>2</v>
      </c>
      <c r="P77" s="299">
        <f t="shared" si="4"/>
        <v>2</v>
      </c>
      <c r="Q77" s="40">
        <v>100</v>
      </c>
      <c r="R77" s="40">
        <v>10</v>
      </c>
      <c r="S77" s="40"/>
      <c r="T77" s="105">
        <f t="shared" si="5"/>
        <v>0.2</v>
      </c>
      <c r="U77" s="105">
        <f t="shared" si="6"/>
        <v>0.2</v>
      </c>
      <c r="V77" s="104">
        <f>IFERROR(VLOOKUP(L77,'Raw material list'!$A$2:$S$3102,6,0),0)</f>
        <v>1.4E-2</v>
      </c>
      <c r="W77" s="104">
        <f t="shared" si="7"/>
        <v>2.8000000000000004E-3</v>
      </c>
    </row>
    <row r="78" spans="1:23" s="74" customFormat="1" hidden="1" x14ac:dyDescent="0.55000000000000004">
      <c r="A78" s="41" t="s">
        <v>14</v>
      </c>
      <c r="B78" s="41" t="s">
        <v>35</v>
      </c>
      <c r="C78" s="41" t="s">
        <v>10</v>
      </c>
      <c r="D78" s="41" t="s">
        <v>1443</v>
      </c>
      <c r="E78" s="41" t="s">
        <v>1432</v>
      </c>
      <c r="F78" s="41" t="s">
        <v>2079</v>
      </c>
      <c r="G78" s="41" t="s">
        <v>11</v>
      </c>
      <c r="H78" s="41" t="s">
        <v>1774</v>
      </c>
      <c r="I78" s="68"/>
      <c r="J78" s="68"/>
      <c r="K78" s="41" t="str">
        <f>IFERROR(VLOOKUP(L78,'Raw material list'!$A$3:$C$715,3,0),"")</f>
        <v>TAP-00001</v>
      </c>
      <c r="L78" s="64" t="s">
        <v>1405</v>
      </c>
      <c r="M78" s="65" t="s">
        <v>206</v>
      </c>
      <c r="N78" s="40" t="str">
        <f>VLOOKUP(L78,'Raw material list'!$A$3:$E$715,5,0)</f>
        <v>Ml</v>
      </c>
      <c r="O78" s="40">
        <v>1800</v>
      </c>
      <c r="P78" s="299">
        <f t="shared" si="4"/>
        <v>1800</v>
      </c>
      <c r="Q78" s="40">
        <v>100</v>
      </c>
      <c r="R78" s="40">
        <v>10</v>
      </c>
      <c r="S78" s="40"/>
      <c r="T78" s="105">
        <f t="shared" si="5"/>
        <v>180</v>
      </c>
      <c r="U78" s="105">
        <f t="shared" si="6"/>
        <v>180</v>
      </c>
      <c r="V78" s="104">
        <f>IFERROR(VLOOKUP(L78,'Raw material list'!$A$2:$S$3102,6,0),0)</f>
        <v>8.0000000000000007E-5</v>
      </c>
      <c r="W78" s="104">
        <f t="shared" si="7"/>
        <v>1.4400000000000001E-2</v>
      </c>
    </row>
    <row r="79" spans="1:23" s="75" customFormat="1" hidden="1" x14ac:dyDescent="0.55000000000000004">
      <c r="A79" s="64" t="s">
        <v>15</v>
      </c>
      <c r="B79" s="64" t="s">
        <v>35</v>
      </c>
      <c r="C79" s="64" t="s">
        <v>10</v>
      </c>
      <c r="D79" s="64" t="s">
        <v>1411</v>
      </c>
      <c r="E79" s="64" t="s">
        <v>1432</v>
      </c>
      <c r="F79" s="64" t="s">
        <v>2079</v>
      </c>
      <c r="G79" s="41" t="s">
        <v>11</v>
      </c>
      <c r="H79" s="64" t="s">
        <v>1773</v>
      </c>
      <c r="I79" s="64"/>
      <c r="J79" s="64"/>
      <c r="K79" s="64" t="str">
        <f>IFERROR(VLOOKUP(L79,'Raw material list'!$A$3:$C$715,3,0),"")</f>
        <v>PRD1-4265</v>
      </c>
      <c r="L79" s="64" t="s">
        <v>38</v>
      </c>
      <c r="M79" s="65" t="s">
        <v>156</v>
      </c>
      <c r="N79" s="40" t="str">
        <f>VLOOKUP(L79,'Raw material list'!$A$3:$E$715,5,0)</f>
        <v xml:space="preserve">Gram </v>
      </c>
      <c r="O79" s="65">
        <v>200</v>
      </c>
      <c r="P79" s="299">
        <f t="shared" si="4"/>
        <v>235.29411764705884</v>
      </c>
      <c r="Q79" s="105">
        <v>85</v>
      </c>
      <c r="R79" s="65">
        <v>15</v>
      </c>
      <c r="S79" s="65"/>
      <c r="T79" s="105">
        <f t="shared" si="5"/>
        <v>13.333333333333334</v>
      </c>
      <c r="U79" s="105">
        <f t="shared" si="6"/>
        <v>15.686274509803923</v>
      </c>
      <c r="V79" s="104">
        <f>IFERROR(VLOOKUP(L79,'Raw material list'!$A$2:$S$3102,6,0),0)</f>
        <v>3.529411764705882E-3</v>
      </c>
      <c r="W79" s="104">
        <f t="shared" si="7"/>
        <v>5.536332179930796E-2</v>
      </c>
    </row>
    <row r="80" spans="1:23" s="75" customFormat="1" hidden="1" x14ac:dyDescent="0.55000000000000004">
      <c r="A80" s="64" t="s">
        <v>15</v>
      </c>
      <c r="B80" s="64" t="s">
        <v>35</v>
      </c>
      <c r="C80" s="64" t="s">
        <v>10</v>
      </c>
      <c r="D80" s="64" t="s">
        <v>1411</v>
      </c>
      <c r="E80" s="64" t="s">
        <v>1432</v>
      </c>
      <c r="F80" s="64" t="s">
        <v>2079</v>
      </c>
      <c r="G80" s="41" t="s">
        <v>11</v>
      </c>
      <c r="H80" s="64" t="s">
        <v>1773</v>
      </c>
      <c r="I80" s="64"/>
      <c r="J80" s="64"/>
      <c r="K80" s="64" t="str">
        <f>IFERROR(VLOOKUP(L80,'Raw material list'!$A$3:$C$715,3,0),"")</f>
        <v>PRD1-4327</v>
      </c>
      <c r="L80" s="64" t="s">
        <v>39</v>
      </c>
      <c r="M80" s="65" t="s">
        <v>156</v>
      </c>
      <c r="N80" s="40" t="str">
        <f>VLOOKUP(L80,'Raw material list'!$A$3:$E$715,5,0)</f>
        <v xml:space="preserve">Gram </v>
      </c>
      <c r="O80" s="65">
        <v>20</v>
      </c>
      <c r="P80" s="299">
        <f t="shared" si="4"/>
        <v>24.096385542168676</v>
      </c>
      <c r="Q80" s="105">
        <v>83</v>
      </c>
      <c r="R80" s="65">
        <v>15</v>
      </c>
      <c r="S80" s="65"/>
      <c r="T80" s="105">
        <f t="shared" si="5"/>
        <v>1.3333333333333333</v>
      </c>
      <c r="U80" s="105">
        <f t="shared" si="6"/>
        <v>1.606425702811245</v>
      </c>
      <c r="V80" s="104">
        <f>IFERROR(VLOOKUP(L80,'Raw material list'!$A$2:$S$3102,6,0),0)</f>
        <v>1.2999999999999999E-2</v>
      </c>
      <c r="W80" s="104">
        <f t="shared" si="7"/>
        <v>2.0883534136546183E-2</v>
      </c>
    </row>
    <row r="81" spans="1:23" s="66" customFormat="1" hidden="1" x14ac:dyDescent="0.55000000000000004">
      <c r="A81" s="64" t="s">
        <v>15</v>
      </c>
      <c r="B81" s="64" t="s">
        <v>35</v>
      </c>
      <c r="C81" s="64" t="s">
        <v>10</v>
      </c>
      <c r="D81" s="64" t="s">
        <v>1411</v>
      </c>
      <c r="E81" s="64" t="s">
        <v>1432</v>
      </c>
      <c r="F81" s="64" t="s">
        <v>2079</v>
      </c>
      <c r="G81" s="41" t="s">
        <v>11</v>
      </c>
      <c r="H81" s="64" t="s">
        <v>1773</v>
      </c>
      <c r="I81" s="64"/>
      <c r="J81" s="64"/>
      <c r="K81" s="64" t="str">
        <f>IFERROR(VLOOKUP(L81,'Raw material list'!$A$3:$C$715,3,0),"")</f>
        <v>DRS3-1813</v>
      </c>
      <c r="L81" s="64" t="s">
        <v>69</v>
      </c>
      <c r="M81" s="65" t="s">
        <v>206</v>
      </c>
      <c r="N81" s="40" t="str">
        <f>VLOOKUP(L81,'Raw material list'!$A$3:$E$715,5,0)</f>
        <v>Ml</v>
      </c>
      <c r="O81" s="65">
        <v>40</v>
      </c>
      <c r="P81" s="299">
        <f t="shared" si="4"/>
        <v>40</v>
      </c>
      <c r="Q81" s="301">
        <v>100</v>
      </c>
      <c r="R81" s="65">
        <v>15</v>
      </c>
      <c r="S81" s="65"/>
      <c r="T81" s="105">
        <f t="shared" si="5"/>
        <v>2.6666666666666665</v>
      </c>
      <c r="U81" s="105">
        <f t="shared" si="6"/>
        <v>2.6666666666666665</v>
      </c>
      <c r="V81" s="104">
        <f>IFERROR(VLOOKUP(L81,'Raw material list'!$A$2:$S$3102,6,0),0)</f>
        <v>8.0555555555555554E-3</v>
      </c>
      <c r="W81" s="104">
        <f t="shared" si="7"/>
        <v>2.148148148148148E-2</v>
      </c>
    </row>
    <row r="82" spans="1:23" s="66" customFormat="1" hidden="1" x14ac:dyDescent="0.55000000000000004">
      <c r="A82" s="64" t="s">
        <v>15</v>
      </c>
      <c r="B82" s="64" t="s">
        <v>35</v>
      </c>
      <c r="C82" s="64" t="s">
        <v>10</v>
      </c>
      <c r="D82" s="64" t="s">
        <v>1411</v>
      </c>
      <c r="E82" s="64" t="s">
        <v>1432</v>
      </c>
      <c r="F82" s="64" t="s">
        <v>2079</v>
      </c>
      <c r="G82" s="41" t="s">
        <v>11</v>
      </c>
      <c r="H82" s="64" t="s">
        <v>1773</v>
      </c>
      <c r="I82" s="64"/>
      <c r="J82" s="64"/>
      <c r="K82" s="64" t="str">
        <f>IFERROR(VLOOKUP(L82,'Raw material list'!$A$3:$C$715,3,0),"")</f>
        <v>PRD1-186</v>
      </c>
      <c r="L82" s="64" t="s">
        <v>37</v>
      </c>
      <c r="M82" s="65" t="s">
        <v>156</v>
      </c>
      <c r="N82" s="40" t="str">
        <f>VLOOKUP(L82,'Raw material list'!$A$3:$E$715,5,0)</f>
        <v xml:space="preserve">Gram </v>
      </c>
      <c r="O82" s="65">
        <v>800</v>
      </c>
      <c r="P82" s="299">
        <f t="shared" si="4"/>
        <v>979.59183673469386</v>
      </c>
      <c r="Q82" s="105">
        <v>81.666666666666671</v>
      </c>
      <c r="R82" s="65">
        <v>15</v>
      </c>
      <c r="S82" s="65"/>
      <c r="T82" s="105">
        <f t="shared" si="5"/>
        <v>53.333333333333336</v>
      </c>
      <c r="U82" s="105">
        <f t="shared" si="6"/>
        <v>65.306122448979593</v>
      </c>
      <c r="V82" s="104">
        <f>IFERROR(VLOOKUP(L82,'Raw material list'!$A$2:$S$3102,6,0),0)</f>
        <v>5.8139534883720938E-3</v>
      </c>
      <c r="W82" s="104">
        <f t="shared" si="7"/>
        <v>0.3796867584243</v>
      </c>
    </row>
    <row r="83" spans="1:23" s="66" customFormat="1" hidden="1" x14ac:dyDescent="0.55000000000000004">
      <c r="A83" s="64" t="s">
        <v>15</v>
      </c>
      <c r="B83" s="64" t="s">
        <v>35</v>
      </c>
      <c r="C83" s="64" t="s">
        <v>10</v>
      </c>
      <c r="D83" s="64" t="s">
        <v>1411</v>
      </c>
      <c r="E83" s="64" t="s">
        <v>1432</v>
      </c>
      <c r="F83" s="64" t="s">
        <v>2079</v>
      </c>
      <c r="G83" s="41" t="s">
        <v>11</v>
      </c>
      <c r="H83" s="64" t="s">
        <v>1773</v>
      </c>
      <c r="I83" s="64"/>
      <c r="J83" s="64"/>
      <c r="K83" s="64" t="str">
        <f>IFERROR(VLOOKUP(L83,'Raw material list'!$A$3:$C$715,3,0),"")</f>
        <v>PRD1-3794</v>
      </c>
      <c r="L83" s="64" t="s">
        <v>973</v>
      </c>
      <c r="M83" s="65" t="s">
        <v>156</v>
      </c>
      <c r="N83" s="40" t="str">
        <f>VLOOKUP(L83,'Raw material list'!$A$3:$E$715,5,0)</f>
        <v xml:space="preserve">Gram </v>
      </c>
      <c r="O83" s="65">
        <v>800</v>
      </c>
      <c r="P83" s="299">
        <f t="shared" si="4"/>
        <v>987.65432098765427</v>
      </c>
      <c r="Q83" s="105">
        <v>81</v>
      </c>
      <c r="R83" s="65">
        <v>15</v>
      </c>
      <c r="S83" s="65"/>
      <c r="T83" s="105">
        <f t="shared" si="5"/>
        <v>53.333333333333336</v>
      </c>
      <c r="U83" s="105">
        <f t="shared" si="6"/>
        <v>65.843621399176953</v>
      </c>
      <c r="V83" s="104">
        <f>IFERROR(VLOOKUP(L83,'Raw material list'!$A$2:$S$3102,6,0),0)</f>
        <v>4.9382716049382715E-3</v>
      </c>
      <c r="W83" s="104">
        <f t="shared" si="7"/>
        <v>0.3251536859218615</v>
      </c>
    </row>
    <row r="84" spans="1:23" s="66" customFormat="1" hidden="1" x14ac:dyDescent="0.55000000000000004">
      <c r="A84" s="64" t="s">
        <v>15</v>
      </c>
      <c r="B84" s="64" t="s">
        <v>35</v>
      </c>
      <c r="C84" s="64" t="s">
        <v>10</v>
      </c>
      <c r="D84" s="64" t="s">
        <v>1411</v>
      </c>
      <c r="E84" s="64" t="s">
        <v>1432</v>
      </c>
      <c r="F84" s="64" t="s">
        <v>2079</v>
      </c>
      <c r="G84" s="41" t="s">
        <v>11</v>
      </c>
      <c r="H84" s="64" t="s">
        <v>1773</v>
      </c>
      <c r="I84" s="64"/>
      <c r="J84" s="64"/>
      <c r="K84" s="64" t="str">
        <f>IFERROR(VLOOKUP(L84,'Raw material list'!$A$3:$C$715,3,0),"")</f>
        <v>PRD1-240</v>
      </c>
      <c r="L84" s="64" t="s">
        <v>82</v>
      </c>
      <c r="M84" s="65" t="s">
        <v>156</v>
      </c>
      <c r="N84" s="40" t="str">
        <f>VLOOKUP(L84,'Raw material list'!$A$3:$E$715,5,0)</f>
        <v xml:space="preserve">Gram </v>
      </c>
      <c r="O84" s="65">
        <v>400</v>
      </c>
      <c r="P84" s="299">
        <f t="shared" si="4"/>
        <v>591.13300492610847</v>
      </c>
      <c r="Q84" s="105">
        <v>67.666666666666657</v>
      </c>
      <c r="R84" s="65">
        <v>15</v>
      </c>
      <c r="S84" s="65"/>
      <c r="T84" s="105">
        <f t="shared" si="5"/>
        <v>26.666666666666668</v>
      </c>
      <c r="U84" s="105">
        <f t="shared" si="6"/>
        <v>39.4088669950739</v>
      </c>
      <c r="V84" s="104">
        <f>IFERROR(VLOOKUP(L84,'Raw material list'!$A$2:$S$3102,6,0),0)</f>
        <v>1.3293943870014769E-2</v>
      </c>
      <c r="W84" s="104">
        <f t="shared" si="7"/>
        <v>0.52389926581339008</v>
      </c>
    </row>
    <row r="85" spans="1:23" s="66" customFormat="1" hidden="1" x14ac:dyDescent="0.55000000000000004">
      <c r="A85" s="64" t="s">
        <v>15</v>
      </c>
      <c r="B85" s="64" t="s">
        <v>35</v>
      </c>
      <c r="C85" s="64" t="s">
        <v>10</v>
      </c>
      <c r="D85" s="64" t="s">
        <v>1411</v>
      </c>
      <c r="E85" s="64" t="s">
        <v>1432</v>
      </c>
      <c r="F85" s="64" t="s">
        <v>2079</v>
      </c>
      <c r="G85" s="41" t="s">
        <v>11</v>
      </c>
      <c r="H85" s="64" t="s">
        <v>1773</v>
      </c>
      <c r="I85" s="64"/>
      <c r="J85" s="64"/>
      <c r="K85" s="64" t="str">
        <f>IFERROR(VLOOKUP(L85,'Raw material list'!$A$3:$C$715,3,0),"")</f>
        <v>DRS6-537</v>
      </c>
      <c r="L85" s="64" t="s">
        <v>46</v>
      </c>
      <c r="M85" s="65" t="s">
        <v>156</v>
      </c>
      <c r="N85" s="40" t="str">
        <f>VLOOKUP(L85,'Raw material list'!$A$3:$E$715,5,0)</f>
        <v xml:space="preserve">Gram </v>
      </c>
      <c r="O85" s="65">
        <v>4</v>
      </c>
      <c r="P85" s="299">
        <f t="shared" si="4"/>
        <v>4</v>
      </c>
      <c r="Q85" s="301">
        <v>100</v>
      </c>
      <c r="R85" s="65">
        <v>15</v>
      </c>
      <c r="S85" s="65"/>
      <c r="T85" s="105">
        <f t="shared" si="5"/>
        <v>0.26666666666666666</v>
      </c>
      <c r="U85" s="105">
        <f t="shared" si="6"/>
        <v>0.26666666666666666</v>
      </c>
      <c r="V85" s="104">
        <f>IFERROR(VLOOKUP(L85,'Raw material list'!$A$2:$S$3102,6,0),0)</f>
        <v>3.5000000000000003E-2</v>
      </c>
      <c r="W85" s="104">
        <f t="shared" si="7"/>
        <v>9.3333333333333341E-3</v>
      </c>
    </row>
    <row r="86" spans="1:23" s="66" customFormat="1" hidden="1" x14ac:dyDescent="0.55000000000000004">
      <c r="A86" s="64" t="s">
        <v>15</v>
      </c>
      <c r="B86" s="64" t="s">
        <v>35</v>
      </c>
      <c r="C86" s="64" t="s">
        <v>10</v>
      </c>
      <c r="D86" s="64" t="s">
        <v>1411</v>
      </c>
      <c r="E86" s="64" t="s">
        <v>1432</v>
      </c>
      <c r="F86" s="64" t="s">
        <v>2079</v>
      </c>
      <c r="G86" s="41" t="s">
        <v>11</v>
      </c>
      <c r="H86" s="64" t="s">
        <v>1773</v>
      </c>
      <c r="I86" s="64"/>
      <c r="J86" s="64"/>
      <c r="K86" s="64" t="str">
        <f>IFERROR(VLOOKUP(L86,'Raw material list'!$A$3:$C$715,3,0),"")</f>
        <v>DRS1-1747</v>
      </c>
      <c r="L86" s="64" t="s">
        <v>44</v>
      </c>
      <c r="M86" s="65" t="s">
        <v>156</v>
      </c>
      <c r="N86" s="40" t="str">
        <f>VLOOKUP(L86,'Raw material list'!$A$3:$E$715,5,0)</f>
        <v xml:space="preserve">Gram </v>
      </c>
      <c r="O86" s="65">
        <v>1250</v>
      </c>
      <c r="P86" s="299">
        <f t="shared" si="4"/>
        <v>1250</v>
      </c>
      <c r="Q86" s="65">
        <v>100</v>
      </c>
      <c r="R86" s="65">
        <v>15</v>
      </c>
      <c r="S86" s="65"/>
      <c r="T86" s="105">
        <f t="shared" si="5"/>
        <v>83.333333333333329</v>
      </c>
      <c r="U86" s="105">
        <f t="shared" si="6"/>
        <v>83.333333333333329</v>
      </c>
      <c r="V86" s="104">
        <f>IFERROR(VLOOKUP(L86,'Raw material list'!$A$2:$S$3102,6,0),0)</f>
        <v>5.185185185185185E-3</v>
      </c>
      <c r="W86" s="104">
        <f t="shared" si="7"/>
        <v>0.43209876543209874</v>
      </c>
    </row>
    <row r="87" spans="1:23" s="66" customFormat="1" hidden="1" x14ac:dyDescent="0.55000000000000004">
      <c r="A87" s="64" t="s">
        <v>15</v>
      </c>
      <c r="B87" s="64" t="s">
        <v>35</v>
      </c>
      <c r="C87" s="64" t="s">
        <v>10</v>
      </c>
      <c r="D87" s="64" t="s">
        <v>1411</v>
      </c>
      <c r="E87" s="64" t="s">
        <v>1432</v>
      </c>
      <c r="F87" s="64" t="s">
        <v>2079</v>
      </c>
      <c r="G87" s="41" t="s">
        <v>11</v>
      </c>
      <c r="H87" s="64" t="s">
        <v>1773</v>
      </c>
      <c r="I87" s="64"/>
      <c r="J87" s="64"/>
      <c r="K87" s="64" t="str">
        <f>IFERROR(VLOOKUP(L87,'Raw material list'!$A$3:$C$715,3,0),"")</f>
        <v>DRS1-4417</v>
      </c>
      <c r="L87" s="64" t="s">
        <v>88</v>
      </c>
      <c r="M87" s="65" t="s">
        <v>156</v>
      </c>
      <c r="N87" s="40" t="str">
        <f>VLOOKUP(L87,'Raw material list'!$A$3:$E$715,5,0)</f>
        <v xml:space="preserve">Gram </v>
      </c>
      <c r="O87" s="65">
        <v>20</v>
      </c>
      <c r="P87" s="299">
        <f t="shared" si="4"/>
        <v>20</v>
      </c>
      <c r="Q87" s="65">
        <v>100</v>
      </c>
      <c r="R87" s="65">
        <v>15</v>
      </c>
      <c r="S87" s="65"/>
      <c r="T87" s="105">
        <f t="shared" si="5"/>
        <v>1.3333333333333333</v>
      </c>
      <c r="U87" s="105">
        <f t="shared" si="6"/>
        <v>1.3333333333333333</v>
      </c>
      <c r="V87" s="104">
        <f>IFERROR(VLOOKUP(L87,'Raw material list'!$A$2:$S$3102,6,0),0)</f>
        <v>3.6754545454545456E-2</v>
      </c>
      <c r="W87" s="104">
        <f t="shared" si="7"/>
        <v>4.9006060606060609E-2</v>
      </c>
    </row>
    <row r="88" spans="1:23" s="66" customFormat="1" hidden="1" x14ac:dyDescent="0.55000000000000004">
      <c r="A88" s="64" t="s">
        <v>15</v>
      </c>
      <c r="B88" s="64" t="s">
        <v>35</v>
      </c>
      <c r="C88" s="64" t="s">
        <v>10</v>
      </c>
      <c r="D88" s="64" t="s">
        <v>1411</v>
      </c>
      <c r="E88" s="64" t="s">
        <v>1432</v>
      </c>
      <c r="F88" s="64" t="s">
        <v>2079</v>
      </c>
      <c r="G88" s="41" t="s">
        <v>11</v>
      </c>
      <c r="H88" s="64" t="s">
        <v>1773</v>
      </c>
      <c r="I88" s="64"/>
      <c r="J88" s="64"/>
      <c r="K88" s="64" t="str">
        <f>IFERROR(VLOOKUP(L88,'Raw material list'!$A$3:$C$715,3,0),"")</f>
        <v>DRS1-3880</v>
      </c>
      <c r="L88" s="64" t="s">
        <v>1433</v>
      </c>
      <c r="M88" s="65" t="s">
        <v>156</v>
      </c>
      <c r="N88" s="40" t="str">
        <f>VLOOKUP(L88,'Raw material list'!$A$3:$E$715,5,0)</f>
        <v xml:space="preserve">Gram </v>
      </c>
      <c r="O88" s="65">
        <v>10</v>
      </c>
      <c r="P88" s="299">
        <f t="shared" si="4"/>
        <v>10</v>
      </c>
      <c r="Q88" s="65">
        <v>100</v>
      </c>
      <c r="R88" s="65">
        <v>15</v>
      </c>
      <c r="S88" s="65"/>
      <c r="T88" s="105">
        <f t="shared" si="5"/>
        <v>0.66666666666666663</v>
      </c>
      <c r="U88" s="105">
        <f t="shared" si="6"/>
        <v>0.66666666666666663</v>
      </c>
      <c r="V88" s="104">
        <f>IFERROR(VLOOKUP(L88,'Raw material list'!$A$2:$S$3102,6,0),0)</f>
        <v>5.0000000000000001E-4</v>
      </c>
      <c r="W88" s="104">
        <f t="shared" si="7"/>
        <v>3.3333333333333332E-4</v>
      </c>
    </row>
    <row r="89" spans="1:23" s="66" customFormat="1" hidden="1" x14ac:dyDescent="0.55000000000000004">
      <c r="A89" s="64" t="s">
        <v>15</v>
      </c>
      <c r="B89" s="64" t="s">
        <v>35</v>
      </c>
      <c r="C89" s="64" t="s">
        <v>10</v>
      </c>
      <c r="D89" s="64" t="s">
        <v>1411</v>
      </c>
      <c r="E89" s="64" t="s">
        <v>1432</v>
      </c>
      <c r="F89" s="64" t="s">
        <v>2079</v>
      </c>
      <c r="G89" s="41" t="s">
        <v>11</v>
      </c>
      <c r="H89" s="64" t="s">
        <v>1773</v>
      </c>
      <c r="I89" s="64"/>
      <c r="J89" s="64"/>
      <c r="K89" s="64" t="str">
        <f>IFERROR(VLOOKUP(L89,'Raw material list'!$A$3:$C$715,3,0),"")</f>
        <v>DRY1-1801</v>
      </c>
      <c r="L89" s="64" t="s">
        <v>49</v>
      </c>
      <c r="M89" s="65" t="s">
        <v>156</v>
      </c>
      <c r="N89" s="40" t="str">
        <f>VLOOKUP(L89,'Raw material list'!$A$3:$E$715,5,0)</f>
        <v xml:space="preserve">Gram </v>
      </c>
      <c r="O89" s="65">
        <v>400</v>
      </c>
      <c r="P89" s="299">
        <f t="shared" si="4"/>
        <v>400</v>
      </c>
      <c r="Q89" s="65">
        <v>100</v>
      </c>
      <c r="R89" s="65">
        <v>15</v>
      </c>
      <c r="S89" s="65"/>
      <c r="T89" s="105">
        <f t="shared" si="5"/>
        <v>26.666666666666668</v>
      </c>
      <c r="U89" s="105">
        <f t="shared" si="6"/>
        <v>26.666666666666668</v>
      </c>
      <c r="V89" s="104">
        <f>IFERROR(VLOOKUP(L89,'Raw material list'!$A$2:$S$3102,6,0),0)</f>
        <v>2.5000000000000001E-2</v>
      </c>
      <c r="W89" s="104">
        <f t="shared" si="7"/>
        <v>0.66666666666666674</v>
      </c>
    </row>
    <row r="90" spans="1:23" s="66" customFormat="1" hidden="1" x14ac:dyDescent="0.55000000000000004">
      <c r="A90" s="64" t="s">
        <v>15</v>
      </c>
      <c r="B90" s="64" t="s">
        <v>35</v>
      </c>
      <c r="C90" s="64" t="s">
        <v>10</v>
      </c>
      <c r="D90" s="64" t="s">
        <v>1411</v>
      </c>
      <c r="E90" s="64" t="s">
        <v>1432</v>
      </c>
      <c r="F90" s="64" t="s">
        <v>2079</v>
      </c>
      <c r="G90" s="41" t="s">
        <v>11</v>
      </c>
      <c r="H90" s="64" t="s">
        <v>1773</v>
      </c>
      <c r="I90" s="64"/>
      <c r="J90" s="64"/>
      <c r="K90" s="64" t="str">
        <f>IFERROR(VLOOKUP(L90,'Raw material list'!$A$3:$C$715,3,0),"")</f>
        <v>DRY2-1008</v>
      </c>
      <c r="L90" s="64" t="s">
        <v>57</v>
      </c>
      <c r="M90" s="65" t="s">
        <v>156</v>
      </c>
      <c r="N90" s="40" t="str">
        <f>VLOOKUP(L90,'Raw material list'!$A$3:$E$715,5,0)</f>
        <v xml:space="preserve">Gram </v>
      </c>
      <c r="O90" s="65">
        <v>70</v>
      </c>
      <c r="P90" s="299">
        <f t="shared" si="4"/>
        <v>70</v>
      </c>
      <c r="Q90" s="65">
        <v>100</v>
      </c>
      <c r="R90" s="65">
        <v>15</v>
      </c>
      <c r="S90" s="65"/>
      <c r="T90" s="105">
        <f t="shared" si="5"/>
        <v>4.666666666666667</v>
      </c>
      <c r="U90" s="105">
        <f t="shared" si="6"/>
        <v>4.666666666666667</v>
      </c>
      <c r="V90" s="104">
        <f>IFERROR(VLOOKUP(L90,'Raw material list'!$A$2:$S$3102,6,0),0)</f>
        <v>0.03</v>
      </c>
      <c r="W90" s="104">
        <f t="shared" si="7"/>
        <v>0.14000000000000001</v>
      </c>
    </row>
    <row r="91" spans="1:23" s="66" customFormat="1" hidden="1" x14ac:dyDescent="0.55000000000000004">
      <c r="A91" s="64" t="s">
        <v>15</v>
      </c>
      <c r="B91" s="64" t="s">
        <v>35</v>
      </c>
      <c r="C91" s="64" t="s">
        <v>10</v>
      </c>
      <c r="D91" s="64" t="s">
        <v>1411</v>
      </c>
      <c r="E91" s="64" t="s">
        <v>1432</v>
      </c>
      <c r="F91" s="64" t="s">
        <v>2079</v>
      </c>
      <c r="G91" s="41" t="s">
        <v>11</v>
      </c>
      <c r="H91" s="64" t="s">
        <v>1773</v>
      </c>
      <c r="I91" s="64"/>
      <c r="J91" s="64"/>
      <c r="K91" s="64" t="str">
        <f>IFERROR(VLOOKUP(L91,'Raw material list'!$A$3:$C$715,3,0),"")</f>
        <v>DRS5-40</v>
      </c>
      <c r="L91" s="64" t="s">
        <v>58</v>
      </c>
      <c r="M91" s="65" t="s">
        <v>156</v>
      </c>
      <c r="N91" s="40" t="str">
        <f>VLOOKUP(L91,'Raw material list'!$A$3:$E$715,5,0)</f>
        <v xml:space="preserve">Gram </v>
      </c>
      <c r="O91" s="65">
        <v>70</v>
      </c>
      <c r="P91" s="299">
        <f t="shared" si="4"/>
        <v>70</v>
      </c>
      <c r="Q91" s="65">
        <v>100</v>
      </c>
      <c r="R91" s="65">
        <v>15</v>
      </c>
      <c r="S91" s="65"/>
      <c r="T91" s="105">
        <f t="shared" si="5"/>
        <v>4.666666666666667</v>
      </c>
      <c r="U91" s="105">
        <f t="shared" si="6"/>
        <v>4.666666666666667</v>
      </c>
      <c r="V91" s="104">
        <f>IFERROR(VLOOKUP(L91,'Raw material list'!$A$2:$S$3102,6,0),0)</f>
        <v>7.7777777777777773E-4</v>
      </c>
      <c r="W91" s="104">
        <f t="shared" si="7"/>
        <v>3.6296296296296298E-3</v>
      </c>
    </row>
    <row r="92" spans="1:23" s="66" customFormat="1" hidden="1" x14ac:dyDescent="0.55000000000000004">
      <c r="A92" s="64" t="s">
        <v>15</v>
      </c>
      <c r="B92" s="64" t="s">
        <v>35</v>
      </c>
      <c r="C92" s="64" t="s">
        <v>10</v>
      </c>
      <c r="D92" s="64" t="s">
        <v>1411</v>
      </c>
      <c r="E92" s="64" t="s">
        <v>1432</v>
      </c>
      <c r="F92" s="64" t="s">
        <v>2079</v>
      </c>
      <c r="G92" s="41" t="s">
        <v>11</v>
      </c>
      <c r="H92" s="64" t="s">
        <v>1773</v>
      </c>
      <c r="I92" s="64"/>
      <c r="J92" s="64"/>
      <c r="K92" s="64" t="str">
        <f>IFERROR(VLOOKUP(L92,'Raw material list'!$A$3:$C$715,3,0),"")</f>
        <v>TAP-00001</v>
      </c>
      <c r="L92" s="64" t="s">
        <v>1405</v>
      </c>
      <c r="M92" s="65" t="s">
        <v>206</v>
      </c>
      <c r="N92" s="40" t="str">
        <f>VLOOKUP(L92,'Raw material list'!$A$3:$E$715,5,0)</f>
        <v>Ml</v>
      </c>
      <c r="O92" s="65">
        <v>1000</v>
      </c>
      <c r="P92" s="299">
        <f t="shared" si="4"/>
        <v>1000</v>
      </c>
      <c r="Q92" s="65">
        <v>100</v>
      </c>
      <c r="R92" s="65">
        <v>15</v>
      </c>
      <c r="S92" s="65"/>
      <c r="T92" s="105">
        <f t="shared" si="5"/>
        <v>66.666666666666671</v>
      </c>
      <c r="U92" s="105">
        <f t="shared" si="6"/>
        <v>66.666666666666671</v>
      </c>
      <c r="V92" s="104">
        <f>IFERROR(VLOOKUP(L92,'Raw material list'!$A$2:$S$3102,6,0),0)</f>
        <v>8.0000000000000007E-5</v>
      </c>
      <c r="W92" s="104">
        <f t="shared" si="7"/>
        <v>5.333333333333334E-3</v>
      </c>
    </row>
    <row r="93" spans="1:23" s="66" customFormat="1" hidden="1" x14ac:dyDescent="0.55000000000000004">
      <c r="A93" s="64" t="s">
        <v>15</v>
      </c>
      <c r="B93" s="64" t="s">
        <v>35</v>
      </c>
      <c r="C93" s="64" t="s">
        <v>10</v>
      </c>
      <c r="D93" s="64" t="s">
        <v>1411</v>
      </c>
      <c r="E93" s="64" t="s">
        <v>1432</v>
      </c>
      <c r="F93" s="64" t="s">
        <v>2079</v>
      </c>
      <c r="G93" s="41" t="s">
        <v>11</v>
      </c>
      <c r="H93" s="64" t="s">
        <v>1773</v>
      </c>
      <c r="I93" s="64"/>
      <c r="J93" s="64"/>
      <c r="K93" s="64" t="str">
        <f>IFERROR(VLOOKUP(L93,'Raw material list'!$A$3:$C$715,3,0),"")</f>
        <v>DRS6-309</v>
      </c>
      <c r="L93" s="64" t="s">
        <v>61</v>
      </c>
      <c r="M93" s="65" t="s">
        <v>156</v>
      </c>
      <c r="N93" s="40" t="str">
        <f>VLOOKUP(L93,'Raw material list'!$A$3:$E$715,5,0)</f>
        <v xml:space="preserve">Gram </v>
      </c>
      <c r="O93" s="65">
        <v>2</v>
      </c>
      <c r="P93" s="299">
        <f t="shared" si="4"/>
        <v>2</v>
      </c>
      <c r="Q93" s="65">
        <v>100</v>
      </c>
      <c r="R93" s="65">
        <v>15</v>
      </c>
      <c r="S93" s="65"/>
      <c r="T93" s="105">
        <f t="shared" si="5"/>
        <v>0.13333333333333333</v>
      </c>
      <c r="U93" s="105">
        <f t="shared" si="6"/>
        <v>0.13333333333333333</v>
      </c>
      <c r="V93" s="104">
        <f>IFERROR(VLOOKUP(L93,'Raw material list'!$A$2:$S$3102,6,0),0)</f>
        <v>2.8000000000000001E-2</v>
      </c>
      <c r="W93" s="104">
        <f t="shared" si="7"/>
        <v>3.7333333333333333E-3</v>
      </c>
    </row>
    <row r="94" spans="1:23" s="66" customFormat="1" hidden="1" x14ac:dyDescent="0.55000000000000004">
      <c r="A94" s="64" t="s">
        <v>15</v>
      </c>
      <c r="B94" s="64" t="s">
        <v>35</v>
      </c>
      <c r="C94" s="64" t="s">
        <v>10</v>
      </c>
      <c r="D94" s="64" t="s">
        <v>1411</v>
      </c>
      <c r="E94" s="64" t="s">
        <v>1432</v>
      </c>
      <c r="F94" s="64" t="s">
        <v>2079</v>
      </c>
      <c r="G94" s="41" t="s">
        <v>11</v>
      </c>
      <c r="H94" s="64" t="s">
        <v>1773</v>
      </c>
      <c r="I94" s="64"/>
      <c r="J94" s="64"/>
      <c r="K94" s="64" t="str">
        <f>IFERROR(VLOOKUP(L94,'Raw material list'!$A$3:$C$715,3,0),"")</f>
        <v>DRY2-1858</v>
      </c>
      <c r="L94" s="64" t="s">
        <v>60</v>
      </c>
      <c r="M94" s="65" t="s">
        <v>206</v>
      </c>
      <c r="N94" s="40" t="str">
        <f>VLOOKUP(L94,'Raw material list'!$A$3:$E$715,5,0)</f>
        <v>Ml</v>
      </c>
      <c r="O94" s="65">
        <v>400</v>
      </c>
      <c r="P94" s="299">
        <f t="shared" si="4"/>
        <v>400</v>
      </c>
      <c r="Q94" s="65">
        <v>100</v>
      </c>
      <c r="R94" s="65">
        <v>15</v>
      </c>
      <c r="S94" s="65"/>
      <c r="T94" s="105">
        <f t="shared" si="5"/>
        <v>26.666666666666668</v>
      </c>
      <c r="U94" s="105">
        <f t="shared" si="6"/>
        <v>26.666666666666668</v>
      </c>
      <c r="V94" s="104">
        <f>IFERROR(VLOOKUP(L94,'Raw material list'!$A$2:$S$3102,6,0),0)</f>
        <v>9.8800000000000016E-3</v>
      </c>
      <c r="W94" s="104">
        <f t="shared" si="7"/>
        <v>0.26346666666666674</v>
      </c>
    </row>
    <row r="95" spans="1:23" s="66" customFormat="1" hidden="1" x14ac:dyDescent="0.55000000000000004">
      <c r="A95" s="64" t="s">
        <v>15</v>
      </c>
      <c r="B95" s="64" t="s">
        <v>35</v>
      </c>
      <c r="C95" s="64" t="s">
        <v>10</v>
      </c>
      <c r="D95" s="64" t="s">
        <v>1411</v>
      </c>
      <c r="E95" s="64" t="s">
        <v>1432</v>
      </c>
      <c r="F95" s="64" t="s">
        <v>2079</v>
      </c>
      <c r="G95" s="41" t="s">
        <v>11</v>
      </c>
      <c r="H95" s="64" t="s">
        <v>1773</v>
      </c>
      <c r="I95" s="64"/>
      <c r="J95" s="64"/>
      <c r="K95" s="64" t="str">
        <f>IFERROR(VLOOKUP(L95,'Raw material list'!$A$3:$C$715,3,0),"")</f>
        <v>DRS5-59</v>
      </c>
      <c r="L95" s="64" t="s">
        <v>59</v>
      </c>
      <c r="M95" s="65" t="s">
        <v>156</v>
      </c>
      <c r="N95" s="40" t="str">
        <f>VLOOKUP(L95,'Raw material list'!$A$3:$E$715,5,0)</f>
        <v xml:space="preserve">Gram </v>
      </c>
      <c r="O95" s="65">
        <v>50</v>
      </c>
      <c r="P95" s="299">
        <f t="shared" si="4"/>
        <v>50</v>
      </c>
      <c r="Q95" s="65">
        <v>100</v>
      </c>
      <c r="R95" s="65">
        <v>15</v>
      </c>
      <c r="S95" s="65"/>
      <c r="T95" s="105">
        <f t="shared" si="5"/>
        <v>3.3333333333333335</v>
      </c>
      <c r="U95" s="105">
        <f t="shared" si="6"/>
        <v>3.3333333333333335</v>
      </c>
      <c r="V95" s="104">
        <f>IFERROR(VLOOKUP(L95,'Raw material list'!$A$2:$S$3102,6,0),0)</f>
        <v>1.4319999999999999E-2</v>
      </c>
      <c r="W95" s="104">
        <f t="shared" si="7"/>
        <v>4.7733333333333336E-2</v>
      </c>
    </row>
    <row r="96" spans="1:23" s="66" customFormat="1" hidden="1" x14ac:dyDescent="0.55000000000000004">
      <c r="A96" s="64" t="s">
        <v>15</v>
      </c>
      <c r="B96" s="64" t="s">
        <v>35</v>
      </c>
      <c r="C96" s="64" t="s">
        <v>10</v>
      </c>
      <c r="D96" s="64" t="s">
        <v>1411</v>
      </c>
      <c r="E96" s="64" t="s">
        <v>1432</v>
      </c>
      <c r="F96" s="64" t="s">
        <v>2079</v>
      </c>
      <c r="G96" s="41" t="s">
        <v>11</v>
      </c>
      <c r="H96" s="64" t="s">
        <v>1773</v>
      </c>
      <c r="I96" s="64"/>
      <c r="J96" s="64"/>
      <c r="K96" s="64" t="str">
        <f>IFERROR(VLOOKUP(L96,'Raw material list'!$A$3:$C$715,3,0),"")</f>
        <v>DRS1-3880</v>
      </c>
      <c r="L96" s="64" t="s">
        <v>1433</v>
      </c>
      <c r="M96" s="65" t="s">
        <v>156</v>
      </c>
      <c r="N96" s="40" t="str">
        <f>VLOOKUP(L96,'Raw material list'!$A$3:$E$715,5,0)</f>
        <v xml:space="preserve">Gram </v>
      </c>
      <c r="O96" s="65">
        <v>10</v>
      </c>
      <c r="P96" s="299">
        <f t="shared" si="4"/>
        <v>10</v>
      </c>
      <c r="Q96" s="65">
        <v>100</v>
      </c>
      <c r="R96" s="65">
        <v>15</v>
      </c>
      <c r="S96" s="65"/>
      <c r="T96" s="105">
        <f t="shared" si="5"/>
        <v>0.66666666666666663</v>
      </c>
      <c r="U96" s="105">
        <f t="shared" si="6"/>
        <v>0.66666666666666663</v>
      </c>
      <c r="V96" s="104">
        <f>IFERROR(VLOOKUP(L96,'Raw material list'!$A$2:$S$3102,6,0),0)</f>
        <v>5.0000000000000001E-4</v>
      </c>
      <c r="W96" s="104">
        <f t="shared" si="7"/>
        <v>3.3333333333333332E-4</v>
      </c>
    </row>
    <row r="97" spans="1:23" s="66" customFormat="1" hidden="1" x14ac:dyDescent="0.55000000000000004">
      <c r="A97" s="64" t="s">
        <v>15</v>
      </c>
      <c r="B97" s="64" t="s">
        <v>35</v>
      </c>
      <c r="C97" s="64" t="s">
        <v>10</v>
      </c>
      <c r="D97" s="64" t="s">
        <v>1411</v>
      </c>
      <c r="E97" s="64" t="s">
        <v>1432</v>
      </c>
      <c r="F97" s="64" t="s">
        <v>2079</v>
      </c>
      <c r="G97" s="41" t="s">
        <v>11</v>
      </c>
      <c r="H97" s="64" t="s">
        <v>1773</v>
      </c>
      <c r="I97" s="64"/>
      <c r="J97" s="64"/>
      <c r="K97" s="64" t="str">
        <f>IFERROR(VLOOKUP(L97,'Raw material list'!$A$3:$C$715,3,0),"")</f>
        <v>DRS2-1367</v>
      </c>
      <c r="L97" s="64" t="s">
        <v>47</v>
      </c>
      <c r="M97" s="65" t="s">
        <v>156</v>
      </c>
      <c r="N97" s="40" t="str">
        <f>VLOOKUP(L97,'Raw material list'!$A$3:$E$715,5,0)</f>
        <v xml:space="preserve">Gram </v>
      </c>
      <c r="O97" s="65">
        <v>500</v>
      </c>
      <c r="P97" s="299">
        <f t="shared" si="4"/>
        <v>500</v>
      </c>
      <c r="Q97" s="65">
        <v>100</v>
      </c>
      <c r="R97" s="65">
        <v>15</v>
      </c>
      <c r="S97" s="65"/>
      <c r="T97" s="105">
        <f t="shared" si="5"/>
        <v>33.333333333333336</v>
      </c>
      <c r="U97" s="105">
        <f t="shared" si="6"/>
        <v>33.333333333333336</v>
      </c>
      <c r="V97" s="104">
        <f>IFERROR(VLOOKUP(L97,'Raw material list'!$A$2:$S$3102,6,0),0)</f>
        <v>2.666E-2</v>
      </c>
      <c r="W97" s="104">
        <f t="shared" si="7"/>
        <v>0.88866666666666672</v>
      </c>
    </row>
    <row r="98" spans="1:23" s="66" customFormat="1" hidden="1" x14ac:dyDescent="0.55000000000000004">
      <c r="A98" s="64" t="s">
        <v>15</v>
      </c>
      <c r="B98" s="64" t="s">
        <v>35</v>
      </c>
      <c r="C98" s="64" t="s">
        <v>10</v>
      </c>
      <c r="D98" s="64" t="s">
        <v>1411</v>
      </c>
      <c r="E98" s="64" t="s">
        <v>1432</v>
      </c>
      <c r="F98" s="64" t="s">
        <v>2079</v>
      </c>
      <c r="G98" s="41" t="s">
        <v>11</v>
      </c>
      <c r="H98" s="64" t="s">
        <v>1773</v>
      </c>
      <c r="I98" s="64"/>
      <c r="J98" s="64"/>
      <c r="K98" s="64" t="str">
        <f>IFERROR(VLOOKUP(L98,'Raw material list'!$A$3:$C$715,3,0),"")</f>
        <v>DRS6-290</v>
      </c>
      <c r="L98" s="64" t="s">
        <v>1408</v>
      </c>
      <c r="M98" s="65" t="s">
        <v>156</v>
      </c>
      <c r="N98" s="40" t="str">
        <f>VLOOKUP(L98,'Raw material list'!$A$3:$E$715,5,0)</f>
        <v xml:space="preserve">Gram </v>
      </c>
      <c r="O98" s="65">
        <v>1</v>
      </c>
      <c r="P98" s="299">
        <f t="shared" si="4"/>
        <v>1</v>
      </c>
      <c r="Q98" s="65">
        <v>100</v>
      </c>
      <c r="R98" s="65">
        <v>15</v>
      </c>
      <c r="S98" s="65"/>
      <c r="T98" s="105">
        <f t="shared" si="5"/>
        <v>6.6666666666666666E-2</v>
      </c>
      <c r="U98" s="105">
        <f t="shared" si="6"/>
        <v>6.6666666666666666E-2</v>
      </c>
      <c r="V98" s="104">
        <f>IFERROR(VLOOKUP(L98,'Raw material list'!$A$2:$S$3102,6,0),0)</f>
        <v>0.18</v>
      </c>
      <c r="W98" s="104">
        <f t="shared" si="7"/>
        <v>1.2E-2</v>
      </c>
    </row>
    <row r="99" spans="1:23" s="66" customFormat="1" hidden="1" x14ac:dyDescent="0.55000000000000004">
      <c r="A99" s="64" t="s">
        <v>16</v>
      </c>
      <c r="B99" s="64" t="s">
        <v>35</v>
      </c>
      <c r="C99" s="64" t="s">
        <v>10</v>
      </c>
      <c r="D99" s="64" t="s">
        <v>1412</v>
      </c>
      <c r="E99" s="64" t="s">
        <v>1432</v>
      </c>
      <c r="F99" s="64" t="s">
        <v>2081</v>
      </c>
      <c r="G99" s="41" t="s">
        <v>11</v>
      </c>
      <c r="H99" s="64" t="s">
        <v>1773</v>
      </c>
      <c r="I99" s="64"/>
      <c r="J99" s="64"/>
      <c r="K99" s="64" t="str">
        <f>IFERROR(VLOOKUP(L99,'Raw material list'!$A$3:$C$715,3,0),"")</f>
        <v>MET2-4655</v>
      </c>
      <c r="L99" s="64" t="s">
        <v>66</v>
      </c>
      <c r="M99" s="65" t="s">
        <v>156</v>
      </c>
      <c r="N99" s="40" t="str">
        <f>VLOOKUP(L99,'Raw material list'!$A$3:$E$715,5,0)</f>
        <v xml:space="preserve">Gram </v>
      </c>
      <c r="O99" s="65">
        <v>1000</v>
      </c>
      <c r="P99" s="299">
        <f t="shared" si="4"/>
        <v>1000</v>
      </c>
      <c r="Q99" s="65">
        <v>100</v>
      </c>
      <c r="R99" s="65">
        <v>10</v>
      </c>
      <c r="S99" s="65"/>
      <c r="T99" s="105">
        <f t="shared" si="5"/>
        <v>100</v>
      </c>
      <c r="U99" s="105">
        <f t="shared" si="6"/>
        <v>100</v>
      </c>
      <c r="V99" s="104">
        <f>IFERROR(VLOOKUP(L99,'Raw material list'!$A$2:$S$3102,6,0),0)</f>
        <v>2.3699999999999999E-2</v>
      </c>
      <c r="W99" s="104">
        <f t="shared" si="7"/>
        <v>2.37</v>
      </c>
    </row>
    <row r="100" spans="1:23" s="66" customFormat="1" hidden="1" x14ac:dyDescent="0.55000000000000004">
      <c r="A100" s="64" t="s">
        <v>16</v>
      </c>
      <c r="B100" s="64" t="s">
        <v>35</v>
      </c>
      <c r="C100" s="64" t="s">
        <v>10</v>
      </c>
      <c r="D100" s="64" t="s">
        <v>1412</v>
      </c>
      <c r="E100" s="64" t="s">
        <v>1432</v>
      </c>
      <c r="F100" s="64" t="s">
        <v>2079</v>
      </c>
      <c r="G100" s="41" t="s">
        <v>11</v>
      </c>
      <c r="H100" s="64" t="s">
        <v>1773</v>
      </c>
      <c r="I100" s="64"/>
      <c r="J100" s="64"/>
      <c r="K100" s="64" t="str">
        <f>IFERROR(VLOOKUP(L100,'Raw material list'!$A$3:$C$715,3,0),"")</f>
        <v>DRS1-4103</v>
      </c>
      <c r="L100" s="64" t="s">
        <v>115</v>
      </c>
      <c r="M100" s="65" t="s">
        <v>156</v>
      </c>
      <c r="N100" s="40" t="str">
        <f>VLOOKUP(L100,'Raw material list'!$A$3:$E$715,5,0)</f>
        <v xml:space="preserve">Gram </v>
      </c>
      <c r="O100" s="65">
        <v>80</v>
      </c>
      <c r="P100" s="299">
        <f t="shared" si="4"/>
        <v>80</v>
      </c>
      <c r="Q100" s="65">
        <v>100</v>
      </c>
      <c r="R100" s="65">
        <v>10</v>
      </c>
      <c r="S100" s="65"/>
      <c r="T100" s="105">
        <f t="shared" si="5"/>
        <v>8</v>
      </c>
      <c r="U100" s="105">
        <f t="shared" si="6"/>
        <v>8</v>
      </c>
      <c r="V100" s="104">
        <f>IFERROR(VLOOKUP(L100,'Raw material list'!$A$2:$S$3102,6,0),0)</f>
        <v>2.67632241813602E-2</v>
      </c>
      <c r="W100" s="104">
        <f t="shared" si="7"/>
        <v>0.2141057934508816</v>
      </c>
    </row>
    <row r="101" spans="1:23" s="66" customFormat="1" hidden="1" x14ac:dyDescent="0.55000000000000004">
      <c r="A101" s="64" t="s">
        <v>16</v>
      </c>
      <c r="B101" s="64" t="s">
        <v>35</v>
      </c>
      <c r="C101" s="64" t="s">
        <v>10</v>
      </c>
      <c r="D101" s="64" t="s">
        <v>1412</v>
      </c>
      <c r="E101" s="64" t="s">
        <v>1432</v>
      </c>
      <c r="F101" s="64" t="s">
        <v>2079</v>
      </c>
      <c r="G101" s="41" t="s">
        <v>11</v>
      </c>
      <c r="H101" s="64" t="s">
        <v>1773</v>
      </c>
      <c r="I101" s="64"/>
      <c r="J101" s="64"/>
      <c r="K101" s="64" t="str">
        <f>IFERROR(VLOOKUP(L101,'Raw material list'!$A$3:$C$715,3,0),"")</f>
        <v>DRS3-1813</v>
      </c>
      <c r="L101" s="64" t="s">
        <v>69</v>
      </c>
      <c r="M101" s="65" t="s">
        <v>206</v>
      </c>
      <c r="N101" s="40" t="str">
        <f>VLOOKUP(L101,'Raw material list'!$A$3:$E$715,5,0)</f>
        <v>Ml</v>
      </c>
      <c r="O101" s="65">
        <v>80</v>
      </c>
      <c r="P101" s="299">
        <f t="shared" si="4"/>
        <v>80</v>
      </c>
      <c r="Q101" s="65">
        <v>100</v>
      </c>
      <c r="R101" s="65">
        <v>10</v>
      </c>
      <c r="S101" s="65"/>
      <c r="T101" s="105">
        <f t="shared" si="5"/>
        <v>8</v>
      </c>
      <c r="U101" s="105">
        <f t="shared" si="6"/>
        <v>8</v>
      </c>
      <c r="V101" s="104">
        <f>IFERROR(VLOOKUP(L101,'Raw material list'!$A$2:$S$3102,6,0),0)</f>
        <v>8.0555555555555554E-3</v>
      </c>
      <c r="W101" s="104">
        <f t="shared" si="7"/>
        <v>6.4444444444444443E-2</v>
      </c>
    </row>
    <row r="102" spans="1:23" s="66" customFormat="1" hidden="1" x14ac:dyDescent="0.55000000000000004">
      <c r="A102" s="64" t="s">
        <v>16</v>
      </c>
      <c r="B102" s="64" t="s">
        <v>35</v>
      </c>
      <c r="C102" s="64" t="s">
        <v>10</v>
      </c>
      <c r="D102" s="64" t="s">
        <v>1412</v>
      </c>
      <c r="E102" s="64" t="s">
        <v>1432</v>
      </c>
      <c r="F102" s="64" t="s">
        <v>2079</v>
      </c>
      <c r="G102" s="41" t="s">
        <v>11</v>
      </c>
      <c r="H102" s="64" t="s">
        <v>1773</v>
      </c>
      <c r="I102" s="64"/>
      <c r="J102" s="64"/>
      <c r="K102" s="64" t="str">
        <f>IFERROR(VLOOKUP(L102,'Raw material list'!$A$3:$C$715,3,0),"")</f>
        <v>PRD1-4327</v>
      </c>
      <c r="L102" s="64" t="s">
        <v>39</v>
      </c>
      <c r="M102" s="65" t="s">
        <v>156</v>
      </c>
      <c r="N102" s="40" t="str">
        <f>VLOOKUP(L102,'Raw material list'!$A$3:$E$715,5,0)</f>
        <v xml:space="preserve">Gram </v>
      </c>
      <c r="O102" s="65">
        <v>10</v>
      </c>
      <c r="P102" s="299">
        <f t="shared" si="4"/>
        <v>12.048192771084338</v>
      </c>
      <c r="Q102" s="105">
        <v>83</v>
      </c>
      <c r="R102" s="65">
        <v>10</v>
      </c>
      <c r="S102" s="65"/>
      <c r="T102" s="105">
        <f t="shared" si="5"/>
        <v>1</v>
      </c>
      <c r="U102" s="105">
        <f t="shared" si="6"/>
        <v>1.2048192771084338</v>
      </c>
      <c r="V102" s="104">
        <f>IFERROR(VLOOKUP(L102,'Raw material list'!$A$2:$S$3102,6,0),0)</f>
        <v>1.2999999999999999E-2</v>
      </c>
      <c r="W102" s="104">
        <f t="shared" si="7"/>
        <v>1.566265060240964E-2</v>
      </c>
    </row>
    <row r="103" spans="1:23" s="66" customFormat="1" hidden="1" x14ac:dyDescent="0.55000000000000004">
      <c r="A103" s="64" t="s">
        <v>16</v>
      </c>
      <c r="B103" s="64" t="s">
        <v>35</v>
      </c>
      <c r="C103" s="64" t="s">
        <v>10</v>
      </c>
      <c r="D103" s="64" t="s">
        <v>1412</v>
      </c>
      <c r="E103" s="64" t="s">
        <v>1432</v>
      </c>
      <c r="F103" s="64" t="s">
        <v>2079</v>
      </c>
      <c r="G103" s="41" t="s">
        <v>11</v>
      </c>
      <c r="H103" s="64" t="s">
        <v>1773</v>
      </c>
      <c r="I103" s="64"/>
      <c r="J103" s="64"/>
      <c r="K103" s="64" t="str">
        <f>IFERROR(VLOOKUP(L103,'Raw material list'!$A$3:$C$715,3,0),"")</f>
        <v>PRD1-4265</v>
      </c>
      <c r="L103" s="64" t="s">
        <v>38</v>
      </c>
      <c r="M103" s="65" t="s">
        <v>156</v>
      </c>
      <c r="N103" s="40" t="str">
        <f>VLOOKUP(L103,'Raw material list'!$A$3:$E$715,5,0)</f>
        <v xml:space="preserve">Gram </v>
      </c>
      <c r="O103" s="65">
        <v>100</v>
      </c>
      <c r="P103" s="299">
        <f t="shared" si="4"/>
        <v>117.64705882352942</v>
      </c>
      <c r="Q103" s="105">
        <v>85</v>
      </c>
      <c r="R103" s="65">
        <v>10</v>
      </c>
      <c r="S103" s="65"/>
      <c r="T103" s="105">
        <f t="shared" si="5"/>
        <v>10</v>
      </c>
      <c r="U103" s="105">
        <f t="shared" si="6"/>
        <v>11.764705882352942</v>
      </c>
      <c r="V103" s="104">
        <f>IFERROR(VLOOKUP(L103,'Raw material list'!$A$2:$S$3102,6,0),0)</f>
        <v>3.529411764705882E-3</v>
      </c>
      <c r="W103" s="104">
        <f t="shared" si="7"/>
        <v>4.1522491349480967E-2</v>
      </c>
    </row>
    <row r="104" spans="1:23" s="66" customFormat="1" hidden="1" x14ac:dyDescent="0.55000000000000004">
      <c r="A104" s="64" t="s">
        <v>16</v>
      </c>
      <c r="B104" s="64" t="s">
        <v>35</v>
      </c>
      <c r="C104" s="64" t="s">
        <v>10</v>
      </c>
      <c r="D104" s="64" t="s">
        <v>1412</v>
      </c>
      <c r="E104" s="64" t="s">
        <v>1432</v>
      </c>
      <c r="F104" s="64" t="s">
        <v>2079</v>
      </c>
      <c r="G104" s="41" t="s">
        <v>11</v>
      </c>
      <c r="H104" s="64" t="s">
        <v>1773</v>
      </c>
      <c r="I104" s="64"/>
      <c r="J104" s="64"/>
      <c r="K104" s="64" t="str">
        <f>IFERROR(VLOOKUP(L104,'Raw material list'!$A$3:$C$715,3,0),"")</f>
        <v>DRS1-3813</v>
      </c>
      <c r="L104" s="64" t="s">
        <v>67</v>
      </c>
      <c r="M104" s="65" t="s">
        <v>156</v>
      </c>
      <c r="N104" s="40" t="str">
        <f>VLOOKUP(L104,'Raw material list'!$A$3:$E$715,5,0)</f>
        <v xml:space="preserve">Gram </v>
      </c>
      <c r="O104" s="65">
        <v>15</v>
      </c>
      <c r="P104" s="299">
        <f t="shared" si="4"/>
        <v>15</v>
      </c>
      <c r="Q104" s="301">
        <v>100</v>
      </c>
      <c r="R104" s="65">
        <v>10</v>
      </c>
      <c r="S104" s="65"/>
      <c r="T104" s="105">
        <f t="shared" si="5"/>
        <v>1.5</v>
      </c>
      <c r="U104" s="105">
        <f t="shared" si="6"/>
        <v>1.5</v>
      </c>
      <c r="V104" s="104">
        <f>IFERROR(VLOOKUP(L104,'Raw material list'!$A$2:$S$3102,6,0),0)</f>
        <v>4.4441666666666664E-2</v>
      </c>
      <c r="W104" s="104">
        <f t="shared" si="7"/>
        <v>6.66625E-2</v>
      </c>
    </row>
    <row r="105" spans="1:23" s="66" customFormat="1" hidden="1" x14ac:dyDescent="0.55000000000000004">
      <c r="A105" s="64" t="s">
        <v>16</v>
      </c>
      <c r="B105" s="64" t="s">
        <v>35</v>
      </c>
      <c r="C105" s="64" t="s">
        <v>10</v>
      </c>
      <c r="D105" s="64" t="s">
        <v>1412</v>
      </c>
      <c r="E105" s="64" t="s">
        <v>1432</v>
      </c>
      <c r="F105" s="64" t="s">
        <v>2079</v>
      </c>
      <c r="G105" s="41" t="s">
        <v>11</v>
      </c>
      <c r="H105" s="64" t="s">
        <v>1773</v>
      </c>
      <c r="I105" s="64"/>
      <c r="J105" s="64"/>
      <c r="K105" s="64" t="str">
        <f>IFERROR(VLOOKUP(L105,'Raw material list'!$A$3:$C$715,3,0),"")</f>
        <v>DRS1-3357</v>
      </c>
      <c r="L105" s="64" t="s">
        <v>316</v>
      </c>
      <c r="M105" s="65" t="s">
        <v>156</v>
      </c>
      <c r="N105" s="40" t="str">
        <f>VLOOKUP(L105,'Raw material list'!$A$3:$E$715,5,0)</f>
        <v xml:space="preserve">Gram </v>
      </c>
      <c r="O105" s="65">
        <v>40</v>
      </c>
      <c r="P105" s="299">
        <f t="shared" si="4"/>
        <v>40</v>
      </c>
      <c r="Q105" s="65">
        <v>100</v>
      </c>
      <c r="R105" s="65">
        <v>10</v>
      </c>
      <c r="S105" s="65"/>
      <c r="T105" s="105">
        <f t="shared" si="5"/>
        <v>4</v>
      </c>
      <c r="U105" s="105">
        <f t="shared" si="6"/>
        <v>4</v>
      </c>
      <c r="V105" s="104">
        <f>IFERROR(VLOOKUP(L105,'Raw material list'!$A$2:$S$3102,6,0),0)</f>
        <v>6.8440000000000001E-2</v>
      </c>
      <c r="W105" s="104">
        <f t="shared" si="7"/>
        <v>0.27376</v>
      </c>
    </row>
    <row r="106" spans="1:23" s="66" customFormat="1" hidden="1" x14ac:dyDescent="0.55000000000000004">
      <c r="A106" s="64" t="s">
        <v>16</v>
      </c>
      <c r="B106" s="64" t="s">
        <v>35</v>
      </c>
      <c r="C106" s="64" t="s">
        <v>10</v>
      </c>
      <c r="D106" s="64" t="s">
        <v>1412</v>
      </c>
      <c r="E106" s="64" t="s">
        <v>1432</v>
      </c>
      <c r="F106" s="64" t="s">
        <v>2079</v>
      </c>
      <c r="G106" s="41" t="s">
        <v>11</v>
      </c>
      <c r="H106" s="64" t="s">
        <v>1773</v>
      </c>
      <c r="I106" s="64"/>
      <c r="J106" s="64"/>
      <c r="K106" s="64" t="str">
        <f>IFERROR(VLOOKUP(L106,'Raw material list'!$A$3:$C$715,3,0),"")</f>
        <v>DRS6-537</v>
      </c>
      <c r="L106" s="64" t="s">
        <v>46</v>
      </c>
      <c r="M106" s="65" t="s">
        <v>156</v>
      </c>
      <c r="N106" s="40" t="str">
        <f>VLOOKUP(L106,'Raw material list'!$A$3:$E$715,5,0)</f>
        <v xml:space="preserve">Gram </v>
      </c>
      <c r="O106" s="65">
        <v>3</v>
      </c>
      <c r="P106" s="299">
        <f t="shared" si="4"/>
        <v>3</v>
      </c>
      <c r="Q106" s="65">
        <v>100</v>
      </c>
      <c r="R106" s="65">
        <v>10</v>
      </c>
      <c r="S106" s="65"/>
      <c r="T106" s="105">
        <f t="shared" si="5"/>
        <v>0.3</v>
      </c>
      <c r="U106" s="105">
        <f t="shared" si="6"/>
        <v>0.3</v>
      </c>
      <c r="V106" s="104">
        <f>IFERROR(VLOOKUP(L106,'Raw material list'!$A$2:$S$3102,6,0),0)</f>
        <v>3.5000000000000003E-2</v>
      </c>
      <c r="W106" s="104">
        <f t="shared" si="7"/>
        <v>1.0500000000000001E-2</v>
      </c>
    </row>
    <row r="107" spans="1:23" s="66" customFormat="1" hidden="1" x14ac:dyDescent="0.55000000000000004">
      <c r="A107" s="64" t="s">
        <v>16</v>
      </c>
      <c r="B107" s="64" t="s">
        <v>35</v>
      </c>
      <c r="C107" s="64" t="s">
        <v>10</v>
      </c>
      <c r="D107" s="64" t="s">
        <v>1412</v>
      </c>
      <c r="E107" s="64" t="s">
        <v>1432</v>
      </c>
      <c r="F107" s="64" t="s">
        <v>2079</v>
      </c>
      <c r="G107" s="41" t="s">
        <v>11</v>
      </c>
      <c r="H107" s="64" t="s">
        <v>1773</v>
      </c>
      <c r="I107" s="64"/>
      <c r="J107" s="64"/>
      <c r="K107" s="64" t="str">
        <f>IFERROR(VLOOKUP(L107,'Raw material list'!$A$3:$C$715,3,0),"")</f>
        <v>DRS1-3880</v>
      </c>
      <c r="L107" s="64" t="s">
        <v>1433</v>
      </c>
      <c r="M107" s="65" t="s">
        <v>156</v>
      </c>
      <c r="N107" s="40" t="str">
        <f>VLOOKUP(L107,'Raw material list'!$A$3:$E$715,5,0)</f>
        <v xml:space="preserve">Gram </v>
      </c>
      <c r="O107" s="65">
        <v>5</v>
      </c>
      <c r="P107" s="299">
        <f t="shared" si="4"/>
        <v>5</v>
      </c>
      <c r="Q107" s="65">
        <v>100</v>
      </c>
      <c r="R107" s="65">
        <v>10</v>
      </c>
      <c r="S107" s="65"/>
      <c r="T107" s="105">
        <f t="shared" si="5"/>
        <v>0.5</v>
      </c>
      <c r="U107" s="105">
        <f t="shared" si="6"/>
        <v>0.5</v>
      </c>
      <c r="V107" s="104">
        <f>IFERROR(VLOOKUP(L107,'Raw material list'!$A$2:$S$3102,6,0),0)</f>
        <v>5.0000000000000001E-4</v>
      </c>
      <c r="W107" s="104">
        <f t="shared" si="7"/>
        <v>2.5000000000000001E-4</v>
      </c>
    </row>
    <row r="108" spans="1:23" s="66" customFormat="1" hidden="1" x14ac:dyDescent="0.55000000000000004">
      <c r="A108" s="64" t="s">
        <v>16</v>
      </c>
      <c r="B108" s="64" t="s">
        <v>35</v>
      </c>
      <c r="C108" s="64" t="s">
        <v>10</v>
      </c>
      <c r="D108" s="64" t="s">
        <v>1412</v>
      </c>
      <c r="E108" s="64" t="s">
        <v>1432</v>
      </c>
      <c r="F108" s="64" t="s">
        <v>2079</v>
      </c>
      <c r="G108" s="41" t="s">
        <v>11</v>
      </c>
      <c r="H108" s="64" t="s">
        <v>1773</v>
      </c>
      <c r="I108" s="64"/>
      <c r="J108" s="64"/>
      <c r="K108" s="64" t="str">
        <f>IFERROR(VLOOKUP(L108,'Raw material list'!$A$3:$C$715,3,0),"")</f>
        <v>DRS1-446</v>
      </c>
      <c r="L108" s="64" t="s">
        <v>52</v>
      </c>
      <c r="M108" s="65" t="s">
        <v>156</v>
      </c>
      <c r="N108" s="40" t="str">
        <f>VLOOKUP(L108,'Raw material list'!$A$3:$E$715,5,0)</f>
        <v xml:space="preserve">Gram </v>
      </c>
      <c r="O108" s="65">
        <v>5</v>
      </c>
      <c r="P108" s="299">
        <f t="shared" si="4"/>
        <v>5</v>
      </c>
      <c r="Q108" s="65">
        <v>100</v>
      </c>
      <c r="R108" s="65">
        <v>10</v>
      </c>
      <c r="S108" s="65"/>
      <c r="T108" s="105">
        <f t="shared" si="5"/>
        <v>0.5</v>
      </c>
      <c r="U108" s="105">
        <f t="shared" si="6"/>
        <v>0.5</v>
      </c>
      <c r="V108" s="104">
        <f>IFERROR(VLOOKUP(L108,'Raw material list'!$A$2:$S$3102,6,0),0)</f>
        <v>1.2986807387862797E-2</v>
      </c>
      <c r="W108" s="104">
        <f t="shared" si="7"/>
        <v>6.4934036939313985E-3</v>
      </c>
    </row>
    <row r="109" spans="1:23" hidden="1" x14ac:dyDescent="0.55000000000000004">
      <c r="A109" s="41" t="s">
        <v>16</v>
      </c>
      <c r="B109" s="41" t="s">
        <v>35</v>
      </c>
      <c r="C109" s="41" t="s">
        <v>10</v>
      </c>
      <c r="D109" s="41" t="s">
        <v>1412</v>
      </c>
      <c r="E109" s="41" t="s">
        <v>1432</v>
      </c>
      <c r="F109" s="41" t="s">
        <v>2079</v>
      </c>
      <c r="G109" s="41" t="s">
        <v>11</v>
      </c>
      <c r="H109" s="64" t="s">
        <v>1773</v>
      </c>
      <c r="I109" s="41"/>
      <c r="J109" s="41"/>
      <c r="K109" s="41" t="str">
        <f>IFERROR(VLOOKUP(L109,'Raw material list'!$A$3:$C$715,3,0),"")</f>
        <v>DRS5-40</v>
      </c>
      <c r="L109" s="41" t="s">
        <v>58</v>
      </c>
      <c r="M109" s="40" t="s">
        <v>156</v>
      </c>
      <c r="N109" s="40" t="str">
        <f>VLOOKUP(L109,'Raw material list'!$A$3:$E$715,5,0)</f>
        <v xml:space="preserve">Gram </v>
      </c>
      <c r="O109" s="40">
        <v>10</v>
      </c>
      <c r="P109" s="299">
        <f t="shared" si="4"/>
        <v>10</v>
      </c>
      <c r="Q109" s="40">
        <v>100</v>
      </c>
      <c r="R109" s="40">
        <v>10</v>
      </c>
      <c r="S109" s="40"/>
      <c r="T109" s="105">
        <f t="shared" si="5"/>
        <v>1</v>
      </c>
      <c r="U109" s="105">
        <f t="shared" si="6"/>
        <v>1</v>
      </c>
      <c r="V109" s="104">
        <f>IFERROR(VLOOKUP(L109,'Raw material list'!$A$2:$S$3102,6,0),0)</f>
        <v>7.7777777777777773E-4</v>
      </c>
      <c r="W109" s="104">
        <f t="shared" si="7"/>
        <v>7.7777777777777773E-4</v>
      </c>
    </row>
    <row r="110" spans="1:23" hidden="1" x14ac:dyDescent="0.55000000000000004">
      <c r="A110" s="41" t="s">
        <v>16</v>
      </c>
      <c r="B110" s="41" t="s">
        <v>35</v>
      </c>
      <c r="C110" s="41" t="s">
        <v>10</v>
      </c>
      <c r="D110" s="41" t="s">
        <v>1412</v>
      </c>
      <c r="E110" s="41" t="s">
        <v>1432</v>
      </c>
      <c r="F110" s="41" t="s">
        <v>2079</v>
      </c>
      <c r="G110" s="41" t="s">
        <v>11</v>
      </c>
      <c r="H110" s="64" t="s">
        <v>1773</v>
      </c>
      <c r="I110" s="41"/>
      <c r="J110" s="41"/>
      <c r="K110" s="41" t="str">
        <f>IFERROR(VLOOKUP(L110,'Raw material list'!$A$3:$C$715,3,0),"")</f>
        <v>TAP-00001</v>
      </c>
      <c r="L110" s="41" t="s">
        <v>1405</v>
      </c>
      <c r="M110" s="40" t="s">
        <v>206</v>
      </c>
      <c r="N110" s="40" t="str">
        <f>VLOOKUP(L110,'Raw material list'!$A$3:$E$715,5,0)</f>
        <v>Ml</v>
      </c>
      <c r="O110" s="40">
        <v>1250</v>
      </c>
      <c r="P110" s="299">
        <f t="shared" si="4"/>
        <v>1250</v>
      </c>
      <c r="Q110" s="40">
        <v>100</v>
      </c>
      <c r="R110" s="40">
        <v>10</v>
      </c>
      <c r="S110" s="40"/>
      <c r="T110" s="105">
        <f t="shared" si="5"/>
        <v>125</v>
      </c>
      <c r="U110" s="105">
        <f t="shared" si="6"/>
        <v>125</v>
      </c>
      <c r="V110" s="104">
        <f>IFERROR(VLOOKUP(L110,'Raw material list'!$A$2:$S$3102,6,0),0)</f>
        <v>8.0000000000000007E-5</v>
      </c>
      <c r="W110" s="104">
        <f t="shared" si="7"/>
        <v>0.01</v>
      </c>
    </row>
    <row r="111" spans="1:23" hidden="1" x14ac:dyDescent="0.55000000000000004">
      <c r="A111" s="41" t="s">
        <v>16</v>
      </c>
      <c r="B111" s="41" t="s">
        <v>35</v>
      </c>
      <c r="C111" s="41" t="s">
        <v>10</v>
      </c>
      <c r="D111" s="41" t="s">
        <v>1412</v>
      </c>
      <c r="E111" s="41" t="s">
        <v>1432</v>
      </c>
      <c r="F111" s="41" t="s">
        <v>2079</v>
      </c>
      <c r="G111" s="41" t="s">
        <v>11</v>
      </c>
      <c r="H111" s="64" t="s">
        <v>1773</v>
      </c>
      <c r="I111" s="41"/>
      <c r="J111" s="41"/>
      <c r="K111" s="41" t="str">
        <f>IFERROR(VLOOKUP(L111,'Raw material list'!$A$3:$C$715,3,0),"")</f>
        <v>DRY2-1858</v>
      </c>
      <c r="L111" s="41" t="s">
        <v>60</v>
      </c>
      <c r="M111" s="40" t="s">
        <v>1444</v>
      </c>
      <c r="N111" s="40" t="str">
        <f>VLOOKUP(L111,'Raw material list'!$A$3:$E$715,5,0)</f>
        <v>Ml</v>
      </c>
      <c r="O111" s="40">
        <v>150</v>
      </c>
      <c r="P111" s="299">
        <f t="shared" si="4"/>
        <v>150</v>
      </c>
      <c r="Q111" s="40">
        <v>100</v>
      </c>
      <c r="R111" s="40">
        <v>10</v>
      </c>
      <c r="S111" s="40"/>
      <c r="T111" s="105">
        <f t="shared" si="5"/>
        <v>15</v>
      </c>
      <c r="U111" s="105">
        <f t="shared" si="6"/>
        <v>15</v>
      </c>
      <c r="V111" s="104">
        <f>IFERROR(VLOOKUP(L111,'Raw material list'!$A$2:$S$3102,6,0),0)</f>
        <v>9.8800000000000016E-3</v>
      </c>
      <c r="W111" s="104">
        <f t="shared" si="7"/>
        <v>0.14820000000000003</v>
      </c>
    </row>
    <row r="112" spans="1:23" hidden="1" x14ac:dyDescent="0.55000000000000004">
      <c r="A112" s="41" t="s">
        <v>16</v>
      </c>
      <c r="B112" s="41" t="s">
        <v>35</v>
      </c>
      <c r="C112" s="41" t="s">
        <v>10</v>
      </c>
      <c r="D112" s="41" t="s">
        <v>1412</v>
      </c>
      <c r="E112" s="41" t="s">
        <v>1432</v>
      </c>
      <c r="F112" s="41" t="s">
        <v>2079</v>
      </c>
      <c r="G112" s="41" t="s">
        <v>11</v>
      </c>
      <c r="H112" s="64" t="s">
        <v>1773</v>
      </c>
      <c r="I112" s="41"/>
      <c r="J112" s="41"/>
      <c r="K112" s="41" t="str">
        <f>IFERROR(VLOOKUP(L112,'Raw material list'!$A$3:$C$715,3,0),"")</f>
        <v>DRS1-1549</v>
      </c>
      <c r="L112" s="41" t="s">
        <v>294</v>
      </c>
      <c r="M112" s="40" t="s">
        <v>156</v>
      </c>
      <c r="N112" s="40" t="str">
        <f>VLOOKUP(L112,'Raw material list'!$A$3:$E$715,5,0)</f>
        <v xml:space="preserve">Gram </v>
      </c>
      <c r="O112" s="40">
        <v>20</v>
      </c>
      <c r="P112" s="299">
        <f t="shared" si="4"/>
        <v>20</v>
      </c>
      <c r="Q112" s="40">
        <v>100</v>
      </c>
      <c r="R112" s="40">
        <v>10</v>
      </c>
      <c r="S112" s="40"/>
      <c r="T112" s="105">
        <f t="shared" si="5"/>
        <v>2</v>
      </c>
      <c r="U112" s="105">
        <f t="shared" si="6"/>
        <v>2</v>
      </c>
      <c r="V112" s="104">
        <f>IFERROR(VLOOKUP(L112,'Raw material list'!$A$2:$S$3102,6,0),0)</f>
        <v>7.5966850828729279E-3</v>
      </c>
      <c r="W112" s="104">
        <f t="shared" si="7"/>
        <v>1.5193370165745856E-2</v>
      </c>
    </row>
    <row r="113" spans="1:23" hidden="1" x14ac:dyDescent="0.55000000000000004">
      <c r="A113" s="41" t="s">
        <v>16</v>
      </c>
      <c r="B113" s="41" t="s">
        <v>35</v>
      </c>
      <c r="C113" s="41" t="s">
        <v>10</v>
      </c>
      <c r="D113" s="41" t="s">
        <v>1412</v>
      </c>
      <c r="E113" s="41" t="s">
        <v>1432</v>
      </c>
      <c r="F113" s="41" t="s">
        <v>2079</v>
      </c>
      <c r="G113" s="41" t="s">
        <v>11</v>
      </c>
      <c r="H113" s="64" t="s">
        <v>1773</v>
      </c>
      <c r="I113" s="41"/>
      <c r="J113" s="41"/>
      <c r="K113" s="41" t="str">
        <f>IFERROR(VLOOKUP(L113,'Raw material list'!$A$3:$C$715,3,0),"")</f>
        <v>DRS4-498</v>
      </c>
      <c r="L113" s="41" t="s">
        <v>72</v>
      </c>
      <c r="M113" s="40" t="s">
        <v>156</v>
      </c>
      <c r="N113" s="40" t="str">
        <f>VLOOKUP(L113,'Raw material list'!$A$3:$E$715,5,0)</f>
        <v xml:space="preserve">Gram </v>
      </c>
      <c r="O113" s="40">
        <v>1000</v>
      </c>
      <c r="P113" s="299">
        <f t="shared" si="4"/>
        <v>1000</v>
      </c>
      <c r="Q113" s="40">
        <v>100</v>
      </c>
      <c r="R113" s="40">
        <v>10</v>
      </c>
      <c r="S113" s="40"/>
      <c r="T113" s="105">
        <f t="shared" si="5"/>
        <v>100</v>
      </c>
      <c r="U113" s="105">
        <f t="shared" si="6"/>
        <v>100</v>
      </c>
      <c r="V113" s="104">
        <f>IFERROR(VLOOKUP(L113,'Raw material list'!$A$2:$S$3102,6,0),0)</f>
        <v>5.7499999999999999E-3</v>
      </c>
      <c r="W113" s="104">
        <f t="shared" si="7"/>
        <v>0.57499999999999996</v>
      </c>
    </row>
    <row r="114" spans="1:23" hidden="1" x14ac:dyDescent="0.55000000000000004">
      <c r="A114" s="41" t="s">
        <v>16</v>
      </c>
      <c r="B114" s="41" t="s">
        <v>35</v>
      </c>
      <c r="C114" s="41" t="s">
        <v>10</v>
      </c>
      <c r="D114" s="41" t="s">
        <v>1412</v>
      </c>
      <c r="E114" s="41" t="s">
        <v>1432</v>
      </c>
      <c r="F114" s="41" t="s">
        <v>2079</v>
      </c>
      <c r="G114" s="41" t="s">
        <v>11</v>
      </c>
      <c r="H114" s="64" t="s">
        <v>1773</v>
      </c>
      <c r="I114" s="41"/>
      <c r="J114" s="41"/>
      <c r="K114" s="41" t="str">
        <f>IFERROR(VLOOKUP(L114,'Raw material list'!$A$3:$C$715,3,0),"")</f>
        <v>TAP-00001</v>
      </c>
      <c r="L114" s="41" t="s">
        <v>1405</v>
      </c>
      <c r="M114" s="40" t="s">
        <v>206</v>
      </c>
      <c r="N114" s="40" t="str">
        <f>VLOOKUP(L114,'Raw material list'!$A$3:$E$715,5,0)</f>
        <v>Ml</v>
      </c>
      <c r="O114" s="40">
        <v>1800</v>
      </c>
      <c r="P114" s="299">
        <f t="shared" si="4"/>
        <v>1800</v>
      </c>
      <c r="Q114" s="40">
        <v>100</v>
      </c>
      <c r="R114" s="40">
        <v>10</v>
      </c>
      <c r="S114" s="40"/>
      <c r="T114" s="105">
        <f t="shared" si="5"/>
        <v>180</v>
      </c>
      <c r="U114" s="105">
        <f t="shared" si="6"/>
        <v>180</v>
      </c>
      <c r="V114" s="104">
        <f>IFERROR(VLOOKUP(L114,'Raw material list'!$A$2:$S$3102,6,0),0)</f>
        <v>8.0000000000000007E-5</v>
      </c>
      <c r="W114" s="104">
        <f t="shared" si="7"/>
        <v>1.4400000000000001E-2</v>
      </c>
    </row>
    <row r="115" spans="1:23" hidden="1" x14ac:dyDescent="0.55000000000000004">
      <c r="A115" s="41" t="s">
        <v>16</v>
      </c>
      <c r="B115" s="41" t="s">
        <v>35</v>
      </c>
      <c r="C115" s="41" t="s">
        <v>10</v>
      </c>
      <c r="D115" s="41" t="s">
        <v>1412</v>
      </c>
      <c r="E115" s="41" t="s">
        <v>1432</v>
      </c>
      <c r="F115" s="41" t="s">
        <v>2079</v>
      </c>
      <c r="G115" s="41" t="s">
        <v>11</v>
      </c>
      <c r="H115" s="64" t="s">
        <v>1773</v>
      </c>
      <c r="I115" s="41"/>
      <c r="J115" s="41"/>
      <c r="K115" s="41" t="str">
        <f>IFERROR(VLOOKUP(L115,'Raw material list'!$A$3:$C$715,3,0),"")</f>
        <v>DRS1-3880</v>
      </c>
      <c r="L115" s="41" t="s">
        <v>1433</v>
      </c>
      <c r="M115" s="40" t="s">
        <v>156</v>
      </c>
      <c r="N115" s="40" t="str">
        <f>VLOOKUP(L115,'Raw material list'!$A$3:$E$715,5,0)</f>
        <v xml:space="preserve">Gram </v>
      </c>
      <c r="O115" s="40">
        <v>8</v>
      </c>
      <c r="P115" s="299">
        <f t="shared" si="4"/>
        <v>8</v>
      </c>
      <c r="Q115" s="40">
        <v>100</v>
      </c>
      <c r="R115" s="40">
        <v>10</v>
      </c>
      <c r="S115" s="40"/>
      <c r="T115" s="105">
        <f t="shared" si="5"/>
        <v>0.8</v>
      </c>
      <c r="U115" s="105">
        <f t="shared" si="6"/>
        <v>0.8</v>
      </c>
      <c r="V115" s="104">
        <f>IFERROR(VLOOKUP(L115,'Raw material list'!$A$2:$S$3102,6,0),0)</f>
        <v>5.0000000000000001E-4</v>
      </c>
      <c r="W115" s="104">
        <f t="shared" si="7"/>
        <v>4.0000000000000002E-4</v>
      </c>
    </row>
    <row r="116" spans="1:23" hidden="1" x14ac:dyDescent="0.55000000000000004">
      <c r="A116" s="41" t="s">
        <v>16</v>
      </c>
      <c r="B116" s="41" t="s">
        <v>35</v>
      </c>
      <c r="C116" s="41" t="s">
        <v>10</v>
      </c>
      <c r="D116" s="41" t="s">
        <v>1412</v>
      </c>
      <c r="E116" s="41" t="s">
        <v>1432</v>
      </c>
      <c r="F116" s="41" t="s">
        <v>2079</v>
      </c>
      <c r="G116" s="41" t="s">
        <v>11</v>
      </c>
      <c r="H116" s="64" t="s">
        <v>1773</v>
      </c>
      <c r="I116" s="41"/>
      <c r="J116" s="41"/>
      <c r="K116" s="41" t="str">
        <f>IFERROR(VLOOKUP(L116,'Raw material list'!$A$3:$C$715,3,0),"")</f>
        <v>DRY2-1008</v>
      </c>
      <c r="L116" s="41" t="s">
        <v>57</v>
      </c>
      <c r="M116" s="40" t="s">
        <v>156</v>
      </c>
      <c r="N116" s="40" t="str">
        <f>VLOOKUP(L116,'Raw material list'!$A$3:$E$715,5,0)</f>
        <v xml:space="preserve">Gram </v>
      </c>
      <c r="O116" s="40">
        <v>50</v>
      </c>
      <c r="P116" s="299">
        <f t="shared" si="4"/>
        <v>50</v>
      </c>
      <c r="Q116" s="40">
        <v>100</v>
      </c>
      <c r="R116" s="40">
        <v>10</v>
      </c>
      <c r="S116" s="40"/>
      <c r="T116" s="105">
        <f t="shared" si="5"/>
        <v>5</v>
      </c>
      <c r="U116" s="105">
        <f t="shared" si="6"/>
        <v>5</v>
      </c>
      <c r="V116" s="104">
        <f>IFERROR(VLOOKUP(L116,'Raw material list'!$A$2:$S$3102,6,0),0)</f>
        <v>0.03</v>
      </c>
      <c r="W116" s="104">
        <f t="shared" si="7"/>
        <v>0.15</v>
      </c>
    </row>
    <row r="117" spans="1:23" hidden="1" x14ac:dyDescent="0.55000000000000004">
      <c r="A117" s="41" t="s">
        <v>17</v>
      </c>
      <c r="B117" s="41" t="s">
        <v>35</v>
      </c>
      <c r="C117" s="41" t="s">
        <v>10</v>
      </c>
      <c r="D117" s="41" t="s">
        <v>1445</v>
      </c>
      <c r="E117" s="41" t="s">
        <v>1432</v>
      </c>
      <c r="F117" s="41" t="s">
        <v>2081</v>
      </c>
      <c r="G117" s="41" t="s">
        <v>11</v>
      </c>
      <c r="H117" s="41" t="s">
        <v>1774</v>
      </c>
      <c r="I117" s="41"/>
      <c r="J117" s="41"/>
      <c r="K117" s="41" t="str">
        <f>IFERROR(VLOOKUP(L117,'Raw material list'!$A$3:$C$715,3,0),"")</f>
        <v>PLT2-3278</v>
      </c>
      <c r="L117" s="41" t="s">
        <v>80</v>
      </c>
      <c r="M117" s="40" t="s">
        <v>156</v>
      </c>
      <c r="N117" s="40" t="str">
        <f>VLOOKUP(L117,'Raw material list'!$A$3:$E$715,5,0)</f>
        <v xml:space="preserve">Gram </v>
      </c>
      <c r="O117" s="40">
        <v>1200</v>
      </c>
      <c r="P117" s="299">
        <f t="shared" si="4"/>
        <v>1574.803149606299</v>
      </c>
      <c r="Q117" s="40">
        <v>76.2</v>
      </c>
      <c r="R117" s="40">
        <v>10</v>
      </c>
      <c r="S117" s="40"/>
      <c r="T117" s="105">
        <f t="shared" si="5"/>
        <v>120</v>
      </c>
      <c r="U117" s="105">
        <f t="shared" si="6"/>
        <v>157.4803149606299</v>
      </c>
      <c r="V117" s="104">
        <f>IFERROR(VLOOKUP(L117,'Raw material list'!$A$2:$S$3102,6,0),0)</f>
        <v>3.0357142857142853E-2</v>
      </c>
      <c r="W117" s="104">
        <f t="shared" si="7"/>
        <v>4.7806524184476924</v>
      </c>
    </row>
    <row r="118" spans="1:23" hidden="1" x14ac:dyDescent="0.55000000000000004">
      <c r="A118" s="41" t="s">
        <v>17</v>
      </c>
      <c r="B118" s="41" t="s">
        <v>35</v>
      </c>
      <c r="C118" s="41" t="s">
        <v>10</v>
      </c>
      <c r="D118" s="41" t="s">
        <v>1445</v>
      </c>
      <c r="E118" s="41" t="s">
        <v>1432</v>
      </c>
      <c r="F118" s="41" t="s">
        <v>2079</v>
      </c>
      <c r="G118" s="41" t="s">
        <v>11</v>
      </c>
      <c r="H118" s="41" t="s">
        <v>1774</v>
      </c>
      <c r="I118" s="41"/>
      <c r="J118" s="41"/>
      <c r="K118" s="41" t="str">
        <f>IFERROR(VLOOKUP(L118,'Raw material list'!$A$3:$C$715,3,0),"")</f>
        <v>DRS5-3866</v>
      </c>
      <c r="L118" s="41" t="s">
        <v>64</v>
      </c>
      <c r="M118" s="40" t="s">
        <v>156</v>
      </c>
      <c r="N118" s="40" t="str">
        <f>VLOOKUP(L118,'Raw material list'!$A$3:$E$715,5,0)</f>
        <v xml:space="preserve">Gram </v>
      </c>
      <c r="O118" s="40">
        <v>300</v>
      </c>
      <c r="P118" s="299">
        <f t="shared" si="4"/>
        <v>300</v>
      </c>
      <c r="Q118" s="40">
        <v>100</v>
      </c>
      <c r="R118" s="40">
        <v>10</v>
      </c>
      <c r="S118" s="40"/>
      <c r="T118" s="105">
        <f t="shared" si="5"/>
        <v>30</v>
      </c>
      <c r="U118" s="105">
        <f t="shared" si="6"/>
        <v>30</v>
      </c>
      <c r="V118" s="104">
        <f>IFERROR(VLOOKUP(L118,'Raw material list'!$A$2:$S$3102,6,0),0)</f>
        <v>0.02</v>
      </c>
      <c r="W118" s="104">
        <f t="shared" si="7"/>
        <v>0.6</v>
      </c>
    </row>
    <row r="119" spans="1:23" hidden="1" x14ac:dyDescent="0.55000000000000004">
      <c r="A119" s="41" t="s">
        <v>17</v>
      </c>
      <c r="B119" s="41" t="s">
        <v>35</v>
      </c>
      <c r="C119" s="41" t="s">
        <v>10</v>
      </c>
      <c r="D119" s="41" t="s">
        <v>1445</v>
      </c>
      <c r="E119" s="41" t="s">
        <v>1432</v>
      </c>
      <c r="F119" s="41" t="s">
        <v>2079</v>
      </c>
      <c r="G119" s="41" t="s">
        <v>11</v>
      </c>
      <c r="H119" s="41" t="s">
        <v>1774</v>
      </c>
      <c r="I119" s="41"/>
      <c r="J119" s="41"/>
      <c r="K119" s="41" t="str">
        <f>IFERROR(VLOOKUP(L119,'Raw material list'!$A$3:$C$715,3,0),"")</f>
        <v>DRS5-59</v>
      </c>
      <c r="L119" s="41" t="s">
        <v>59</v>
      </c>
      <c r="M119" s="40" t="s">
        <v>156</v>
      </c>
      <c r="N119" s="40" t="str">
        <f>VLOOKUP(L119,'Raw material list'!$A$3:$E$715,5,0)</f>
        <v xml:space="preserve">Gram </v>
      </c>
      <c r="O119" s="40">
        <v>80</v>
      </c>
      <c r="P119" s="299">
        <f t="shared" si="4"/>
        <v>80</v>
      </c>
      <c r="Q119" s="40">
        <v>100</v>
      </c>
      <c r="R119" s="40">
        <v>10</v>
      </c>
      <c r="S119" s="40"/>
      <c r="T119" s="105">
        <f t="shared" si="5"/>
        <v>8</v>
      </c>
      <c r="U119" s="105">
        <f t="shared" si="6"/>
        <v>8</v>
      </c>
      <c r="V119" s="104">
        <f>IFERROR(VLOOKUP(L119,'Raw material list'!$A$2:$S$3102,6,0),0)</f>
        <v>1.4319999999999999E-2</v>
      </c>
      <c r="W119" s="104">
        <f t="shared" si="7"/>
        <v>0.11456</v>
      </c>
    </row>
    <row r="120" spans="1:23" hidden="1" x14ac:dyDescent="0.55000000000000004">
      <c r="A120" s="41" t="s">
        <v>17</v>
      </c>
      <c r="B120" s="41" t="s">
        <v>35</v>
      </c>
      <c r="C120" s="41" t="s">
        <v>10</v>
      </c>
      <c r="D120" s="41" t="s">
        <v>1445</v>
      </c>
      <c r="E120" s="41" t="s">
        <v>1432</v>
      </c>
      <c r="F120" s="41" t="s">
        <v>2079</v>
      </c>
      <c r="G120" s="41" t="s">
        <v>11</v>
      </c>
      <c r="H120" s="41" t="s">
        <v>1774</v>
      </c>
      <c r="I120" s="41"/>
      <c r="J120" s="41"/>
      <c r="K120" s="41" t="str">
        <f>IFERROR(VLOOKUP(L120,'Raw material list'!$A$3:$C$715,3,0),"")</f>
        <v>DRS6-309</v>
      </c>
      <c r="L120" s="41" t="s">
        <v>61</v>
      </c>
      <c r="M120" s="40" t="s">
        <v>156</v>
      </c>
      <c r="N120" s="40" t="str">
        <f>VLOOKUP(L120,'Raw material list'!$A$3:$E$715,5,0)</f>
        <v xml:space="preserve">Gram </v>
      </c>
      <c r="O120" s="40">
        <v>2</v>
      </c>
      <c r="P120" s="299">
        <f t="shared" si="4"/>
        <v>2</v>
      </c>
      <c r="Q120" s="40">
        <v>100</v>
      </c>
      <c r="R120" s="40">
        <v>10</v>
      </c>
      <c r="S120" s="40"/>
      <c r="T120" s="105">
        <f t="shared" si="5"/>
        <v>0.2</v>
      </c>
      <c r="U120" s="105">
        <f t="shared" si="6"/>
        <v>0.2</v>
      </c>
      <c r="V120" s="104">
        <f>IFERROR(VLOOKUP(L120,'Raw material list'!$A$2:$S$3102,6,0),0)</f>
        <v>2.8000000000000001E-2</v>
      </c>
      <c r="W120" s="104">
        <f t="shared" si="7"/>
        <v>5.6000000000000008E-3</v>
      </c>
    </row>
    <row r="121" spans="1:23" hidden="1" x14ac:dyDescent="0.55000000000000004">
      <c r="A121" s="41" t="s">
        <v>17</v>
      </c>
      <c r="B121" s="41" t="s">
        <v>35</v>
      </c>
      <c r="C121" s="41" t="s">
        <v>10</v>
      </c>
      <c r="D121" s="41" t="s">
        <v>1445</v>
      </c>
      <c r="E121" s="41" t="s">
        <v>1432</v>
      </c>
      <c r="F121" s="41" t="s">
        <v>2079</v>
      </c>
      <c r="G121" s="41" t="s">
        <v>11</v>
      </c>
      <c r="H121" s="41" t="s">
        <v>1774</v>
      </c>
      <c r="I121" s="41"/>
      <c r="J121" s="41"/>
      <c r="K121" s="41" t="str">
        <f>IFERROR(VLOOKUP(L121,'Raw material list'!$A$3:$C$715,3,0),"")</f>
        <v>DRY2-1008</v>
      </c>
      <c r="L121" s="41" t="s">
        <v>57</v>
      </c>
      <c r="M121" s="40" t="s">
        <v>156</v>
      </c>
      <c r="N121" s="40" t="str">
        <f>VLOOKUP(L121,'Raw material list'!$A$3:$E$715,5,0)</f>
        <v xml:space="preserve">Gram </v>
      </c>
      <c r="O121" s="40">
        <v>30</v>
      </c>
      <c r="P121" s="299">
        <f t="shared" si="4"/>
        <v>30</v>
      </c>
      <c r="Q121" s="40">
        <v>100</v>
      </c>
      <c r="R121" s="40">
        <v>10</v>
      </c>
      <c r="S121" s="40"/>
      <c r="T121" s="105">
        <f t="shared" si="5"/>
        <v>3</v>
      </c>
      <c r="U121" s="105">
        <f t="shared" si="6"/>
        <v>3</v>
      </c>
      <c r="V121" s="104">
        <f>IFERROR(VLOOKUP(L121,'Raw material list'!$A$2:$S$3102,6,0),0)</f>
        <v>0.03</v>
      </c>
      <c r="W121" s="104">
        <f t="shared" si="7"/>
        <v>0.09</v>
      </c>
    </row>
    <row r="122" spans="1:23" hidden="1" x14ac:dyDescent="0.55000000000000004">
      <c r="A122" s="41" t="s">
        <v>17</v>
      </c>
      <c r="B122" s="41" t="s">
        <v>35</v>
      </c>
      <c r="C122" s="41" t="s">
        <v>10</v>
      </c>
      <c r="D122" s="41" t="s">
        <v>1445</v>
      </c>
      <c r="E122" s="41" t="s">
        <v>1432</v>
      </c>
      <c r="F122" s="41" t="s">
        <v>2079</v>
      </c>
      <c r="G122" s="41" t="s">
        <v>11</v>
      </c>
      <c r="H122" s="41" t="s">
        <v>1774</v>
      </c>
      <c r="I122" s="41"/>
      <c r="J122" s="41"/>
      <c r="K122" s="41" t="str">
        <f>IFERROR(VLOOKUP(L122,'Raw material list'!$A$3:$C$715,3,0),"")</f>
        <v>DRY2-1858</v>
      </c>
      <c r="L122" s="41" t="s">
        <v>60</v>
      </c>
      <c r="M122" s="40" t="s">
        <v>206</v>
      </c>
      <c r="N122" s="40" t="str">
        <f>VLOOKUP(L122,'Raw material list'!$A$3:$E$715,5,0)</f>
        <v>Ml</v>
      </c>
      <c r="O122" s="40">
        <v>30</v>
      </c>
      <c r="P122" s="299">
        <f t="shared" si="4"/>
        <v>30</v>
      </c>
      <c r="Q122" s="40">
        <v>100</v>
      </c>
      <c r="R122" s="40">
        <v>10</v>
      </c>
      <c r="S122" s="40"/>
      <c r="T122" s="105">
        <f t="shared" si="5"/>
        <v>3</v>
      </c>
      <c r="U122" s="105">
        <f t="shared" si="6"/>
        <v>3</v>
      </c>
      <c r="V122" s="104">
        <f>IFERROR(VLOOKUP(L122,'Raw material list'!$A$2:$S$3102,6,0),0)</f>
        <v>9.8800000000000016E-3</v>
      </c>
      <c r="W122" s="104">
        <f t="shared" si="7"/>
        <v>2.9640000000000007E-2</v>
      </c>
    </row>
    <row r="123" spans="1:23" hidden="1" x14ac:dyDescent="0.55000000000000004">
      <c r="A123" s="41" t="s">
        <v>17</v>
      </c>
      <c r="B123" s="41" t="s">
        <v>35</v>
      </c>
      <c r="C123" s="41" t="s">
        <v>10</v>
      </c>
      <c r="D123" s="41" t="s">
        <v>1445</v>
      </c>
      <c r="E123" s="41" t="s">
        <v>1432</v>
      </c>
      <c r="F123" s="41" t="s">
        <v>2079</v>
      </c>
      <c r="G123" s="41" t="s">
        <v>11</v>
      </c>
      <c r="H123" s="41" t="s">
        <v>1774</v>
      </c>
      <c r="I123" s="41"/>
      <c r="J123" s="41"/>
      <c r="K123" s="41" t="str">
        <f>IFERROR(VLOOKUP(L123,'Raw material list'!$A$3:$C$715,3,0),"")</f>
        <v>DRS1-3880</v>
      </c>
      <c r="L123" s="41" t="s">
        <v>1433</v>
      </c>
      <c r="M123" s="40" t="s">
        <v>156</v>
      </c>
      <c r="N123" s="40" t="str">
        <f>VLOOKUP(L123,'Raw material list'!$A$3:$E$715,5,0)</f>
        <v xml:space="preserve">Gram </v>
      </c>
      <c r="O123" s="40">
        <v>10</v>
      </c>
      <c r="P123" s="299">
        <f t="shared" si="4"/>
        <v>10</v>
      </c>
      <c r="Q123" s="40">
        <v>100</v>
      </c>
      <c r="R123" s="40">
        <v>10</v>
      </c>
      <c r="S123" s="40"/>
      <c r="T123" s="105">
        <f t="shared" si="5"/>
        <v>1</v>
      </c>
      <c r="U123" s="105">
        <f t="shared" si="6"/>
        <v>1</v>
      </c>
      <c r="V123" s="104">
        <f>IFERROR(VLOOKUP(L123,'Raw material list'!$A$2:$S$3102,6,0),0)</f>
        <v>5.0000000000000001E-4</v>
      </c>
      <c r="W123" s="104">
        <f t="shared" si="7"/>
        <v>5.0000000000000001E-4</v>
      </c>
    </row>
    <row r="124" spans="1:23" hidden="1" x14ac:dyDescent="0.55000000000000004">
      <c r="A124" s="41" t="s">
        <v>17</v>
      </c>
      <c r="B124" s="41" t="s">
        <v>35</v>
      </c>
      <c r="C124" s="41" t="s">
        <v>10</v>
      </c>
      <c r="D124" s="41" t="s">
        <v>1445</v>
      </c>
      <c r="E124" s="41" t="s">
        <v>1432</v>
      </c>
      <c r="F124" s="41" t="s">
        <v>2079</v>
      </c>
      <c r="G124" s="41" t="s">
        <v>11</v>
      </c>
      <c r="H124" s="41" t="s">
        <v>1774</v>
      </c>
      <c r="I124" s="41"/>
      <c r="J124" s="41"/>
      <c r="K124" s="41" t="str">
        <f>IFERROR(VLOOKUP(L124,'Raw material list'!$A$3:$C$715,3,0),"")</f>
        <v>TAP-00001</v>
      </c>
      <c r="L124" s="41" t="s">
        <v>1405</v>
      </c>
      <c r="M124" s="40" t="s">
        <v>206</v>
      </c>
      <c r="N124" s="40" t="str">
        <f>VLOOKUP(L124,'Raw material list'!$A$3:$E$715,5,0)</f>
        <v>Ml</v>
      </c>
      <c r="O124" s="40">
        <v>1200</v>
      </c>
      <c r="P124" s="299">
        <f t="shared" si="4"/>
        <v>1200</v>
      </c>
      <c r="Q124" s="40">
        <v>100</v>
      </c>
      <c r="R124" s="40">
        <v>10</v>
      </c>
      <c r="S124" s="40"/>
      <c r="T124" s="105">
        <f t="shared" si="5"/>
        <v>120</v>
      </c>
      <c r="U124" s="105">
        <f t="shared" si="6"/>
        <v>120</v>
      </c>
      <c r="V124" s="104">
        <f>IFERROR(VLOOKUP(L124,'Raw material list'!$A$2:$S$3102,6,0),0)</f>
        <v>8.0000000000000007E-5</v>
      </c>
      <c r="W124" s="104">
        <f t="shared" si="7"/>
        <v>9.6000000000000009E-3</v>
      </c>
    </row>
    <row r="125" spans="1:23" s="75" customFormat="1" hidden="1" x14ac:dyDescent="0.55000000000000004">
      <c r="A125" s="41" t="s">
        <v>17</v>
      </c>
      <c r="B125" s="41" t="s">
        <v>35</v>
      </c>
      <c r="C125" s="41" t="s">
        <v>10</v>
      </c>
      <c r="D125" s="41" t="s">
        <v>1445</v>
      </c>
      <c r="E125" s="41" t="s">
        <v>1432</v>
      </c>
      <c r="F125" s="41" t="s">
        <v>2079</v>
      </c>
      <c r="G125" s="41" t="s">
        <v>11</v>
      </c>
      <c r="H125" s="41" t="s">
        <v>1774</v>
      </c>
      <c r="I125" s="64"/>
      <c r="J125" s="64"/>
      <c r="K125" s="41" t="str">
        <f>IFERROR(VLOOKUP(L125,'Raw material list'!$A$3:$C$715,3,0),"")</f>
        <v>PRD1-223</v>
      </c>
      <c r="L125" s="64" t="s">
        <v>71</v>
      </c>
      <c r="M125" s="65" t="s">
        <v>156</v>
      </c>
      <c r="N125" s="40" t="str">
        <f>VLOOKUP(L125,'Raw material list'!$A$3:$E$715,5,0)</f>
        <v xml:space="preserve">Gram </v>
      </c>
      <c r="O125" s="40">
        <v>400</v>
      </c>
      <c r="P125" s="299">
        <f t="shared" si="4"/>
        <v>422.53521126760563</v>
      </c>
      <c r="Q125" s="105">
        <v>94.666666666666671</v>
      </c>
      <c r="R125" s="40">
        <v>10</v>
      </c>
      <c r="S125" s="40"/>
      <c r="T125" s="105">
        <f t="shared" si="5"/>
        <v>40</v>
      </c>
      <c r="U125" s="105">
        <f t="shared" si="6"/>
        <v>42.25352112676056</v>
      </c>
      <c r="V125" s="104">
        <f>IFERROR(VLOOKUP(L125,'Raw material list'!$A$2:$S$3102,6,0),0)</f>
        <v>2.3231256599788808E-2</v>
      </c>
      <c r="W125" s="104">
        <f t="shared" si="7"/>
        <v>0.9816023915403721</v>
      </c>
    </row>
    <row r="126" spans="1:23" s="75" customFormat="1" hidden="1" x14ac:dyDescent="0.55000000000000004">
      <c r="A126" s="41" t="s">
        <v>17</v>
      </c>
      <c r="B126" s="41" t="s">
        <v>35</v>
      </c>
      <c r="C126" s="41" t="s">
        <v>10</v>
      </c>
      <c r="D126" s="41" t="s">
        <v>1445</v>
      </c>
      <c r="E126" s="41" t="s">
        <v>1432</v>
      </c>
      <c r="F126" s="41" t="s">
        <v>2079</v>
      </c>
      <c r="G126" s="41" t="s">
        <v>11</v>
      </c>
      <c r="H126" s="41" t="s">
        <v>1774</v>
      </c>
      <c r="I126" s="64"/>
      <c r="J126" s="64"/>
      <c r="K126" s="41" t="str">
        <f>IFERROR(VLOOKUP(L126,'Raw material list'!$A$3:$C$715,3,0),"")</f>
        <v>DRY2-1008</v>
      </c>
      <c r="L126" s="64" t="s">
        <v>57</v>
      </c>
      <c r="M126" s="65" t="s">
        <v>156</v>
      </c>
      <c r="N126" s="40" t="str">
        <f>VLOOKUP(L126,'Raw material list'!$A$3:$E$715,5,0)</f>
        <v xml:space="preserve">Gram </v>
      </c>
      <c r="O126" s="40">
        <v>30</v>
      </c>
      <c r="P126" s="299">
        <f t="shared" si="4"/>
        <v>30</v>
      </c>
      <c r="Q126" s="300">
        <v>100</v>
      </c>
      <c r="R126" s="40">
        <v>10</v>
      </c>
      <c r="S126" s="40"/>
      <c r="T126" s="105">
        <f t="shared" si="5"/>
        <v>3</v>
      </c>
      <c r="U126" s="105">
        <f t="shared" si="6"/>
        <v>3</v>
      </c>
      <c r="V126" s="104">
        <f>IFERROR(VLOOKUP(L126,'Raw material list'!$A$2:$S$3102,6,0),0)</f>
        <v>0.03</v>
      </c>
      <c r="W126" s="104">
        <f t="shared" si="7"/>
        <v>0.09</v>
      </c>
    </row>
    <row r="127" spans="1:23" s="75" customFormat="1" hidden="1" x14ac:dyDescent="0.55000000000000004">
      <c r="A127" s="41" t="s">
        <v>17</v>
      </c>
      <c r="B127" s="41" t="s">
        <v>35</v>
      </c>
      <c r="C127" s="41" t="s">
        <v>10</v>
      </c>
      <c r="D127" s="41" t="s">
        <v>1445</v>
      </c>
      <c r="E127" s="41" t="s">
        <v>1432</v>
      </c>
      <c r="F127" s="41" t="s">
        <v>2079</v>
      </c>
      <c r="G127" s="41" t="s">
        <v>11</v>
      </c>
      <c r="H127" s="41" t="s">
        <v>1774</v>
      </c>
      <c r="I127" s="64"/>
      <c r="J127" s="64"/>
      <c r="K127" s="41" t="str">
        <f>IFERROR(VLOOKUP(L127,'Raw material list'!$A$3:$C$715,3,0),"")</f>
        <v>DRS3-1813</v>
      </c>
      <c r="L127" s="64" t="s">
        <v>69</v>
      </c>
      <c r="M127" s="65" t="s">
        <v>206</v>
      </c>
      <c r="N127" s="40" t="str">
        <f>VLOOKUP(L127,'Raw material list'!$A$3:$E$715,5,0)</f>
        <v>Ml</v>
      </c>
      <c r="O127" s="40">
        <v>30</v>
      </c>
      <c r="P127" s="299">
        <f t="shared" si="4"/>
        <v>30</v>
      </c>
      <c r="Q127" s="40">
        <v>100</v>
      </c>
      <c r="R127" s="40">
        <v>10</v>
      </c>
      <c r="S127" s="40"/>
      <c r="T127" s="105">
        <f t="shared" si="5"/>
        <v>3</v>
      </c>
      <c r="U127" s="105">
        <f t="shared" si="6"/>
        <v>3</v>
      </c>
      <c r="V127" s="104">
        <f>IFERROR(VLOOKUP(L127,'Raw material list'!$A$2:$S$3102,6,0),0)</f>
        <v>8.0555555555555554E-3</v>
      </c>
      <c r="W127" s="104">
        <f t="shared" si="7"/>
        <v>2.4166666666666666E-2</v>
      </c>
    </row>
    <row r="128" spans="1:23" s="75" customFormat="1" hidden="1" x14ac:dyDescent="0.55000000000000004">
      <c r="A128" s="41" t="s">
        <v>17</v>
      </c>
      <c r="B128" s="41" t="s">
        <v>35</v>
      </c>
      <c r="C128" s="41" t="s">
        <v>10</v>
      </c>
      <c r="D128" s="41" t="s">
        <v>1445</v>
      </c>
      <c r="E128" s="41" t="s">
        <v>1432</v>
      </c>
      <c r="F128" s="41" t="s">
        <v>2079</v>
      </c>
      <c r="G128" s="41" t="s">
        <v>11</v>
      </c>
      <c r="H128" s="41" t="s">
        <v>1774</v>
      </c>
      <c r="I128" s="64"/>
      <c r="J128" s="64"/>
      <c r="K128" s="41" t="str">
        <f>IFERROR(VLOOKUP(L128,'Raw material list'!$A$3:$C$715,3,0),"")</f>
        <v>PRD1-4265</v>
      </c>
      <c r="L128" s="64" t="s">
        <v>38</v>
      </c>
      <c r="M128" s="65" t="s">
        <v>156</v>
      </c>
      <c r="N128" s="40" t="str">
        <f>VLOOKUP(L128,'Raw material list'!$A$3:$E$715,5,0)</f>
        <v xml:space="preserve">Gram </v>
      </c>
      <c r="O128" s="40">
        <v>25</v>
      </c>
      <c r="P128" s="299">
        <f t="shared" si="4"/>
        <v>29.411764705882355</v>
      </c>
      <c r="Q128" s="105">
        <v>85</v>
      </c>
      <c r="R128" s="40">
        <v>10</v>
      </c>
      <c r="S128" s="40"/>
      <c r="T128" s="105">
        <f t="shared" si="5"/>
        <v>2.5</v>
      </c>
      <c r="U128" s="105">
        <f t="shared" si="6"/>
        <v>2.9411764705882355</v>
      </c>
      <c r="V128" s="104">
        <f>IFERROR(VLOOKUP(L128,'Raw material list'!$A$2:$S$3102,6,0),0)</f>
        <v>3.529411764705882E-3</v>
      </c>
      <c r="W128" s="104">
        <f t="shared" si="7"/>
        <v>1.0380622837370242E-2</v>
      </c>
    </row>
    <row r="129" spans="1:23" s="75" customFormat="1" hidden="1" x14ac:dyDescent="0.55000000000000004">
      <c r="A129" s="41" t="s">
        <v>17</v>
      </c>
      <c r="B129" s="41" t="s">
        <v>35</v>
      </c>
      <c r="C129" s="41" t="s">
        <v>10</v>
      </c>
      <c r="D129" s="41" t="s">
        <v>1445</v>
      </c>
      <c r="E129" s="41" t="s">
        <v>1432</v>
      </c>
      <c r="F129" s="41" t="s">
        <v>2079</v>
      </c>
      <c r="G129" s="41" t="s">
        <v>11</v>
      </c>
      <c r="H129" s="41" t="s">
        <v>1774</v>
      </c>
      <c r="I129" s="64"/>
      <c r="J129" s="64"/>
      <c r="K129" s="41" t="str">
        <f>IFERROR(VLOOKUP(L129,'Raw material list'!$A$3:$C$715,3,0),"")</f>
        <v>PRD1-4327</v>
      </c>
      <c r="L129" s="64" t="s">
        <v>39</v>
      </c>
      <c r="M129" s="65" t="s">
        <v>156</v>
      </c>
      <c r="N129" s="40" t="str">
        <f>VLOOKUP(L129,'Raw material list'!$A$3:$E$715,5,0)</f>
        <v xml:space="preserve">Gram </v>
      </c>
      <c r="O129" s="40">
        <v>3</v>
      </c>
      <c r="P129" s="299">
        <f t="shared" si="4"/>
        <v>3.6144578313253009</v>
      </c>
      <c r="Q129" s="105">
        <v>83</v>
      </c>
      <c r="R129" s="40">
        <v>10</v>
      </c>
      <c r="S129" s="40"/>
      <c r="T129" s="105">
        <f t="shared" si="5"/>
        <v>0.3</v>
      </c>
      <c r="U129" s="105">
        <f t="shared" si="6"/>
        <v>0.36144578313253006</v>
      </c>
      <c r="V129" s="104">
        <f>IFERROR(VLOOKUP(L129,'Raw material list'!$A$2:$S$3102,6,0),0)</f>
        <v>1.2999999999999999E-2</v>
      </c>
      <c r="W129" s="104">
        <f t="shared" si="7"/>
        <v>4.6987951807228902E-3</v>
      </c>
    </row>
    <row r="130" spans="1:23" s="75" customFormat="1" hidden="1" x14ac:dyDescent="0.55000000000000004">
      <c r="A130" s="41" t="s">
        <v>17</v>
      </c>
      <c r="B130" s="41" t="s">
        <v>35</v>
      </c>
      <c r="C130" s="41" t="s">
        <v>10</v>
      </c>
      <c r="D130" s="41" t="s">
        <v>1445</v>
      </c>
      <c r="E130" s="41" t="s">
        <v>1432</v>
      </c>
      <c r="F130" s="41" t="s">
        <v>2079</v>
      </c>
      <c r="G130" s="41" t="s">
        <v>11</v>
      </c>
      <c r="H130" s="41" t="s">
        <v>1774</v>
      </c>
      <c r="I130" s="64"/>
      <c r="J130" s="64"/>
      <c r="K130" s="41" t="str">
        <f>IFERROR(VLOOKUP(L130,'Raw material list'!$A$3:$C$715,3,0),"")</f>
        <v>DRS5-40</v>
      </c>
      <c r="L130" s="64" t="s">
        <v>58</v>
      </c>
      <c r="M130" s="65" t="s">
        <v>156</v>
      </c>
      <c r="N130" s="40" t="str">
        <f>VLOOKUP(L130,'Raw material list'!$A$3:$E$715,5,0)</f>
        <v xml:space="preserve">Gram </v>
      </c>
      <c r="O130" s="40">
        <v>75</v>
      </c>
      <c r="P130" s="299">
        <f t="shared" si="4"/>
        <v>75</v>
      </c>
      <c r="Q130" s="300">
        <v>100</v>
      </c>
      <c r="R130" s="40">
        <v>10</v>
      </c>
      <c r="S130" s="40"/>
      <c r="T130" s="105">
        <f t="shared" si="5"/>
        <v>7.5</v>
      </c>
      <c r="U130" s="105">
        <f t="shared" si="6"/>
        <v>7.5</v>
      </c>
      <c r="V130" s="104">
        <f>IFERROR(VLOOKUP(L130,'Raw material list'!$A$2:$S$3102,6,0),0)</f>
        <v>7.7777777777777773E-4</v>
      </c>
      <c r="W130" s="104">
        <f t="shared" si="7"/>
        <v>5.8333333333333327E-3</v>
      </c>
    </row>
    <row r="131" spans="1:23" s="75" customFormat="1" hidden="1" x14ac:dyDescent="0.55000000000000004">
      <c r="A131" s="41" t="s">
        <v>17</v>
      </c>
      <c r="B131" s="41" t="s">
        <v>35</v>
      </c>
      <c r="C131" s="41" t="s">
        <v>10</v>
      </c>
      <c r="D131" s="41" t="s">
        <v>1445</v>
      </c>
      <c r="E131" s="41" t="s">
        <v>1432</v>
      </c>
      <c r="F131" s="41" t="s">
        <v>2079</v>
      </c>
      <c r="G131" s="41" t="s">
        <v>11</v>
      </c>
      <c r="H131" s="41" t="s">
        <v>1774</v>
      </c>
      <c r="I131" s="64"/>
      <c r="J131" s="64"/>
      <c r="K131" s="41" t="str">
        <f>IFERROR(VLOOKUP(L131,'Raw material list'!$A$3:$C$715,3,0),"")</f>
        <v>DRS5-59</v>
      </c>
      <c r="L131" s="64" t="s">
        <v>59</v>
      </c>
      <c r="M131" s="65" t="s">
        <v>156</v>
      </c>
      <c r="N131" s="40" t="str">
        <f>VLOOKUP(L131,'Raw material list'!$A$3:$E$715,5,0)</f>
        <v xml:space="preserve">Gram </v>
      </c>
      <c r="O131" s="40">
        <v>75</v>
      </c>
      <c r="P131" s="299">
        <f t="shared" si="4"/>
        <v>75</v>
      </c>
      <c r="Q131" s="40">
        <v>100</v>
      </c>
      <c r="R131" s="40">
        <v>10</v>
      </c>
      <c r="S131" s="40"/>
      <c r="T131" s="105">
        <f t="shared" si="5"/>
        <v>7.5</v>
      </c>
      <c r="U131" s="105">
        <f t="shared" si="6"/>
        <v>7.5</v>
      </c>
      <c r="V131" s="104">
        <f>IFERROR(VLOOKUP(L131,'Raw material list'!$A$2:$S$3102,6,0),0)</f>
        <v>1.4319999999999999E-2</v>
      </c>
      <c r="W131" s="104">
        <f t="shared" si="7"/>
        <v>0.1074</v>
      </c>
    </row>
    <row r="132" spans="1:23" s="75" customFormat="1" hidden="1" x14ac:dyDescent="0.55000000000000004">
      <c r="A132" s="41" t="s">
        <v>17</v>
      </c>
      <c r="B132" s="41" t="s">
        <v>35</v>
      </c>
      <c r="C132" s="41" t="s">
        <v>10</v>
      </c>
      <c r="D132" s="41" t="s">
        <v>1445</v>
      </c>
      <c r="E132" s="41" t="s">
        <v>1432</v>
      </c>
      <c r="F132" s="41" t="s">
        <v>2079</v>
      </c>
      <c r="G132" s="41" t="s">
        <v>11</v>
      </c>
      <c r="H132" s="41" t="s">
        <v>1774</v>
      </c>
      <c r="I132" s="64"/>
      <c r="J132" s="64"/>
      <c r="K132" s="41" t="str">
        <f>IFERROR(VLOOKUP(L132,'Raw material list'!$A$3:$C$715,3,0),"")</f>
        <v>DRS1-3811</v>
      </c>
      <c r="L132" s="64" t="s">
        <v>40</v>
      </c>
      <c r="M132" s="65" t="s">
        <v>156</v>
      </c>
      <c r="N132" s="40" t="str">
        <f>VLOOKUP(L132,'Raw material list'!$A$3:$E$715,5,0)</f>
        <v xml:space="preserve">Gram </v>
      </c>
      <c r="O132" s="40">
        <v>15</v>
      </c>
      <c r="P132" s="299">
        <f t="shared" si="4"/>
        <v>15</v>
      </c>
      <c r="Q132" s="40">
        <v>100</v>
      </c>
      <c r="R132" s="40">
        <v>10</v>
      </c>
      <c r="S132" s="40"/>
      <c r="T132" s="105">
        <f t="shared" si="5"/>
        <v>1.5</v>
      </c>
      <c r="U132" s="105">
        <f t="shared" si="6"/>
        <v>1.5</v>
      </c>
      <c r="V132" s="104">
        <f>IFERROR(VLOOKUP(L132,'Raw material list'!$A$2:$S$3102,6,0),0)</f>
        <v>2.8475E-2</v>
      </c>
      <c r="W132" s="104">
        <f t="shared" si="7"/>
        <v>4.27125E-2</v>
      </c>
    </row>
    <row r="133" spans="1:23" s="75" customFormat="1" hidden="1" x14ac:dyDescent="0.55000000000000004">
      <c r="A133" s="41" t="s">
        <v>17</v>
      </c>
      <c r="B133" s="41" t="s">
        <v>35</v>
      </c>
      <c r="C133" s="41" t="s">
        <v>10</v>
      </c>
      <c r="D133" s="41" t="s">
        <v>1445</v>
      </c>
      <c r="E133" s="41" t="s">
        <v>1432</v>
      </c>
      <c r="F133" s="41" t="s">
        <v>2079</v>
      </c>
      <c r="G133" s="41" t="s">
        <v>11</v>
      </c>
      <c r="H133" s="41" t="s">
        <v>1774</v>
      </c>
      <c r="I133" s="64"/>
      <c r="J133" s="64"/>
      <c r="K133" s="41" t="str">
        <f>IFERROR(VLOOKUP(L133,'Raw material list'!$A$3:$C$715,3,0),"")</f>
        <v>DRY2-1858</v>
      </c>
      <c r="L133" s="64" t="s">
        <v>60</v>
      </c>
      <c r="M133" s="65" t="s">
        <v>206</v>
      </c>
      <c r="N133" s="40" t="str">
        <f>VLOOKUP(L133,'Raw material list'!$A$3:$E$715,5,0)</f>
        <v>Ml</v>
      </c>
      <c r="O133" s="40">
        <v>300</v>
      </c>
      <c r="P133" s="299">
        <f t="shared" si="4"/>
        <v>300</v>
      </c>
      <c r="Q133" s="40">
        <v>100</v>
      </c>
      <c r="R133" s="40">
        <v>10</v>
      </c>
      <c r="S133" s="40"/>
      <c r="T133" s="105">
        <f t="shared" si="5"/>
        <v>30</v>
      </c>
      <c r="U133" s="105">
        <f t="shared" si="6"/>
        <v>30</v>
      </c>
      <c r="V133" s="104">
        <f>IFERROR(VLOOKUP(L133,'Raw material list'!$A$2:$S$3102,6,0),0)</f>
        <v>9.8800000000000016E-3</v>
      </c>
      <c r="W133" s="104">
        <f t="shared" si="7"/>
        <v>0.29640000000000005</v>
      </c>
    </row>
    <row r="134" spans="1:23" s="75" customFormat="1" hidden="1" x14ac:dyDescent="0.55000000000000004">
      <c r="A134" s="41" t="s">
        <v>17</v>
      </c>
      <c r="B134" s="41" t="s">
        <v>35</v>
      </c>
      <c r="C134" s="41" t="s">
        <v>10</v>
      </c>
      <c r="D134" s="41" t="s">
        <v>1445</v>
      </c>
      <c r="E134" s="41" t="s">
        <v>1432</v>
      </c>
      <c r="F134" s="41" t="s">
        <v>2079</v>
      </c>
      <c r="G134" s="41" t="s">
        <v>11</v>
      </c>
      <c r="H134" s="41" t="s">
        <v>1774</v>
      </c>
      <c r="I134" s="64"/>
      <c r="J134" s="64"/>
      <c r="K134" s="41" t="str">
        <f>IFERROR(VLOOKUP(L134,'Raw material list'!$A$3:$C$715,3,0),"")</f>
        <v>DRY1-342</v>
      </c>
      <c r="L134" s="64" t="s">
        <v>351</v>
      </c>
      <c r="M134" s="65" t="s">
        <v>156</v>
      </c>
      <c r="N134" s="40" t="str">
        <f>VLOOKUP(L134,'Raw material list'!$A$3:$E$715,5,0)</f>
        <v xml:space="preserve">Gram </v>
      </c>
      <c r="O134" s="40">
        <v>200</v>
      </c>
      <c r="P134" s="299">
        <f t="shared" ref="P134:P197" si="8">O134/Q134*100</f>
        <v>200</v>
      </c>
      <c r="Q134" s="40">
        <v>100</v>
      </c>
      <c r="R134" s="40">
        <v>10</v>
      </c>
      <c r="S134" s="40"/>
      <c r="T134" s="105">
        <f t="shared" ref="T134:T197" si="9">IFERROR(O134/R134,0)</f>
        <v>20</v>
      </c>
      <c r="U134" s="105">
        <f t="shared" ref="U134:U197" si="10">IFERROR(P134/R134,0)</f>
        <v>20</v>
      </c>
      <c r="V134" s="104">
        <f>IFERROR(VLOOKUP(L134,'Raw material list'!$A$2:$S$3102,6,0),0)</f>
        <v>5.2999999999999999E-2</v>
      </c>
      <c r="W134" s="104">
        <f t="shared" ref="W134:W197" si="11">IFERROR(V134*U134,0)</f>
        <v>1.06</v>
      </c>
    </row>
    <row r="135" spans="1:23" s="75" customFormat="1" hidden="1" x14ac:dyDescent="0.55000000000000004">
      <c r="A135" s="41" t="s">
        <v>17</v>
      </c>
      <c r="B135" s="41" t="s">
        <v>35</v>
      </c>
      <c r="C135" s="41" t="s">
        <v>10</v>
      </c>
      <c r="D135" s="41" t="s">
        <v>1445</v>
      </c>
      <c r="E135" s="41" t="s">
        <v>1432</v>
      </c>
      <c r="F135" s="41" t="s">
        <v>2079</v>
      </c>
      <c r="G135" s="41" t="s">
        <v>11</v>
      </c>
      <c r="H135" s="41" t="s">
        <v>1774</v>
      </c>
      <c r="I135" s="64"/>
      <c r="J135" s="64"/>
      <c r="K135" s="41" t="str">
        <f>IFERROR(VLOOKUP(L135,'Raw material list'!$A$3:$C$715,3,0),"")</f>
        <v>TAP-00001</v>
      </c>
      <c r="L135" s="64" t="s">
        <v>1405</v>
      </c>
      <c r="M135" s="65" t="s">
        <v>206</v>
      </c>
      <c r="N135" s="40" t="str">
        <f>VLOOKUP(L135,'Raw material list'!$A$3:$E$715,5,0)</f>
        <v>Ml</v>
      </c>
      <c r="O135" s="40">
        <v>1500</v>
      </c>
      <c r="P135" s="299">
        <f t="shared" si="8"/>
        <v>1500</v>
      </c>
      <c r="Q135" s="40">
        <v>100</v>
      </c>
      <c r="R135" s="40">
        <v>10</v>
      </c>
      <c r="S135" s="40"/>
      <c r="T135" s="105">
        <f t="shared" si="9"/>
        <v>150</v>
      </c>
      <c r="U135" s="105">
        <f t="shared" si="10"/>
        <v>150</v>
      </c>
      <c r="V135" s="104">
        <f>IFERROR(VLOOKUP(L135,'Raw material list'!$A$2:$S$3102,6,0),0)</f>
        <v>8.0000000000000007E-5</v>
      </c>
      <c r="W135" s="104">
        <f t="shared" si="11"/>
        <v>1.2E-2</v>
      </c>
    </row>
    <row r="136" spans="1:23" s="75" customFormat="1" hidden="1" x14ac:dyDescent="0.55000000000000004">
      <c r="A136" s="41" t="s">
        <v>17</v>
      </c>
      <c r="B136" s="41" t="s">
        <v>35</v>
      </c>
      <c r="C136" s="41" t="s">
        <v>10</v>
      </c>
      <c r="D136" s="41" t="s">
        <v>1445</v>
      </c>
      <c r="E136" s="41" t="s">
        <v>1432</v>
      </c>
      <c r="F136" s="41" t="s">
        <v>2079</v>
      </c>
      <c r="G136" s="41" t="s">
        <v>11</v>
      </c>
      <c r="H136" s="41" t="s">
        <v>1774</v>
      </c>
      <c r="I136" s="64"/>
      <c r="J136" s="64"/>
      <c r="K136" s="41" t="str">
        <f>IFERROR(VLOOKUP(L136,'Raw material list'!$A$3:$C$715,3,0),"")</f>
        <v>DRS6-309</v>
      </c>
      <c r="L136" s="64" t="s">
        <v>61</v>
      </c>
      <c r="M136" s="65" t="s">
        <v>156</v>
      </c>
      <c r="N136" s="40" t="str">
        <f>VLOOKUP(L136,'Raw material list'!$A$3:$E$715,5,0)</f>
        <v xml:space="preserve">Gram </v>
      </c>
      <c r="O136" s="40">
        <v>2</v>
      </c>
      <c r="P136" s="299">
        <f t="shared" si="8"/>
        <v>2</v>
      </c>
      <c r="Q136" s="40">
        <v>100</v>
      </c>
      <c r="R136" s="40">
        <v>10</v>
      </c>
      <c r="S136" s="40"/>
      <c r="T136" s="105">
        <f t="shared" si="9"/>
        <v>0.2</v>
      </c>
      <c r="U136" s="105">
        <f t="shared" si="10"/>
        <v>0.2</v>
      </c>
      <c r="V136" s="104">
        <f>IFERROR(VLOOKUP(L136,'Raw material list'!$A$2:$S$3102,6,0),0)</f>
        <v>2.8000000000000001E-2</v>
      </c>
      <c r="W136" s="104">
        <f t="shared" si="11"/>
        <v>5.6000000000000008E-3</v>
      </c>
    </row>
    <row r="137" spans="1:23" s="75" customFormat="1" hidden="1" x14ac:dyDescent="0.55000000000000004">
      <c r="A137" s="41" t="s">
        <v>17</v>
      </c>
      <c r="B137" s="41" t="s">
        <v>35</v>
      </c>
      <c r="C137" s="41" t="s">
        <v>10</v>
      </c>
      <c r="D137" s="41" t="s">
        <v>1445</v>
      </c>
      <c r="E137" s="41" t="s">
        <v>1432</v>
      </c>
      <c r="F137" s="41" t="s">
        <v>2079</v>
      </c>
      <c r="G137" s="41" t="s">
        <v>11</v>
      </c>
      <c r="H137" s="41" t="s">
        <v>1774</v>
      </c>
      <c r="I137" s="64"/>
      <c r="J137" s="64"/>
      <c r="K137" s="41" t="str">
        <f>IFERROR(VLOOKUP(L137,'Raw material list'!$A$3:$C$715,3,0),"")</f>
        <v>DRS6-1781</v>
      </c>
      <c r="L137" s="64" t="s">
        <v>1437</v>
      </c>
      <c r="M137" s="65" t="s">
        <v>156</v>
      </c>
      <c r="N137" s="40" t="str">
        <f>VLOOKUP(L137,'Raw material list'!$A$3:$E$715,5,0)</f>
        <v xml:space="preserve">Gram </v>
      </c>
      <c r="O137" s="40">
        <v>3</v>
      </c>
      <c r="P137" s="299">
        <f t="shared" si="8"/>
        <v>3</v>
      </c>
      <c r="Q137" s="40">
        <v>100</v>
      </c>
      <c r="R137" s="40">
        <v>10</v>
      </c>
      <c r="S137" s="40"/>
      <c r="T137" s="105">
        <f t="shared" si="9"/>
        <v>0.3</v>
      </c>
      <c r="U137" s="105">
        <f t="shared" si="10"/>
        <v>0.3</v>
      </c>
      <c r="V137" s="104">
        <f>IFERROR(VLOOKUP(L137,'Raw material list'!$A$2:$S$3102,6,0),0)</f>
        <v>6.5000000000000002E-2</v>
      </c>
      <c r="W137" s="104">
        <f t="shared" si="11"/>
        <v>1.95E-2</v>
      </c>
    </row>
    <row r="138" spans="1:23" s="75" customFormat="1" hidden="1" x14ac:dyDescent="0.55000000000000004">
      <c r="A138" s="41" t="s">
        <v>18</v>
      </c>
      <c r="B138" s="41" t="s">
        <v>35</v>
      </c>
      <c r="C138" s="41" t="s">
        <v>10</v>
      </c>
      <c r="D138" s="41" t="s">
        <v>1446</v>
      </c>
      <c r="E138" s="41" t="s">
        <v>1432</v>
      </c>
      <c r="F138" s="41" t="s">
        <v>2081</v>
      </c>
      <c r="G138" s="41" t="s">
        <v>11</v>
      </c>
      <c r="H138" s="41" t="s">
        <v>1773</v>
      </c>
      <c r="I138" s="41"/>
      <c r="J138" s="41"/>
      <c r="K138" s="41" t="str">
        <f>IFERROR(VLOOKUP(L138,'Raw material list'!$A$3:$C$715,3,0),"")</f>
        <v>PLT2-3278</v>
      </c>
      <c r="L138" s="64" t="s">
        <v>80</v>
      </c>
      <c r="M138" s="65" t="s">
        <v>156</v>
      </c>
      <c r="N138" s="40" t="str">
        <f>VLOOKUP(L138,'Raw material list'!$A$3:$E$715,5,0)</f>
        <v xml:space="preserve">Gram </v>
      </c>
      <c r="O138" s="40">
        <v>1200</v>
      </c>
      <c r="P138" s="299">
        <f t="shared" si="8"/>
        <v>1574.803149606299</v>
      </c>
      <c r="Q138" s="40">
        <v>76.2</v>
      </c>
      <c r="R138" s="40">
        <v>10</v>
      </c>
      <c r="S138" s="40"/>
      <c r="T138" s="105">
        <f t="shared" si="9"/>
        <v>120</v>
      </c>
      <c r="U138" s="105">
        <f t="shared" si="10"/>
        <v>157.4803149606299</v>
      </c>
      <c r="V138" s="104">
        <f>IFERROR(VLOOKUP(L138,'Raw material list'!$A$2:$S$3102,6,0),0)</f>
        <v>3.0357142857142853E-2</v>
      </c>
      <c r="W138" s="104">
        <f t="shared" si="11"/>
        <v>4.7806524184476924</v>
      </c>
    </row>
    <row r="139" spans="1:23" s="75" customFormat="1" hidden="1" x14ac:dyDescent="0.55000000000000004">
      <c r="A139" s="41" t="s">
        <v>18</v>
      </c>
      <c r="B139" s="41" t="s">
        <v>35</v>
      </c>
      <c r="C139" s="41" t="s">
        <v>10</v>
      </c>
      <c r="D139" s="41" t="s">
        <v>1446</v>
      </c>
      <c r="E139" s="41" t="s">
        <v>1432</v>
      </c>
      <c r="F139" s="41" t="s">
        <v>2079</v>
      </c>
      <c r="G139" s="41" t="s">
        <v>11</v>
      </c>
      <c r="H139" s="41" t="s">
        <v>1773</v>
      </c>
      <c r="I139" s="41"/>
      <c r="J139" s="41"/>
      <c r="K139" s="41" t="str">
        <f>IFERROR(VLOOKUP(L139,'Raw material list'!$A$3:$C$715,3,0),"")</f>
        <v>PRD1-4265</v>
      </c>
      <c r="L139" s="41" t="s">
        <v>38</v>
      </c>
      <c r="M139" s="65" t="s">
        <v>156</v>
      </c>
      <c r="N139" s="40" t="str">
        <f>VLOOKUP(L139,'Raw material list'!$A$3:$E$715,5,0)</f>
        <v xml:space="preserve">Gram </v>
      </c>
      <c r="O139" s="40">
        <v>500</v>
      </c>
      <c r="P139" s="299">
        <f t="shared" si="8"/>
        <v>588.23529411764707</v>
      </c>
      <c r="Q139" s="105">
        <v>85</v>
      </c>
      <c r="R139" s="40">
        <v>10</v>
      </c>
      <c r="S139" s="40"/>
      <c r="T139" s="105">
        <f t="shared" si="9"/>
        <v>50</v>
      </c>
      <c r="U139" s="105">
        <f t="shared" si="10"/>
        <v>58.82352941176471</v>
      </c>
      <c r="V139" s="104">
        <f>IFERROR(VLOOKUP(L139,'Raw material list'!$A$2:$S$3102,6,0),0)</f>
        <v>3.529411764705882E-3</v>
      </c>
      <c r="W139" s="104">
        <f t="shared" si="11"/>
        <v>0.20761245674740483</v>
      </c>
    </row>
    <row r="140" spans="1:23" s="75" customFormat="1" hidden="1" x14ac:dyDescent="0.55000000000000004">
      <c r="A140" s="41" t="s">
        <v>18</v>
      </c>
      <c r="B140" s="41" t="s">
        <v>35</v>
      </c>
      <c r="C140" s="41" t="s">
        <v>10</v>
      </c>
      <c r="D140" s="41" t="s">
        <v>1446</v>
      </c>
      <c r="E140" s="41" t="s">
        <v>1432</v>
      </c>
      <c r="F140" s="41" t="s">
        <v>2079</v>
      </c>
      <c r="G140" s="41" t="s">
        <v>11</v>
      </c>
      <c r="H140" s="41" t="s">
        <v>1773</v>
      </c>
      <c r="I140" s="41"/>
      <c r="J140" s="41"/>
      <c r="K140" s="41" t="str">
        <f>IFERROR(VLOOKUP(L140,'Raw material list'!$A$3:$C$715,3,0),"")</f>
        <v>DRS6-4482</v>
      </c>
      <c r="L140" s="41" t="s">
        <v>716</v>
      </c>
      <c r="M140" s="65" t="s">
        <v>156</v>
      </c>
      <c r="N140" s="40" t="str">
        <f>VLOOKUP(L140,'Raw material list'!$A$3:$E$715,5,0)</f>
        <v xml:space="preserve">Gram </v>
      </c>
      <c r="O140" s="40">
        <v>25</v>
      </c>
      <c r="P140" s="299">
        <f t="shared" si="8"/>
        <v>25</v>
      </c>
      <c r="Q140" s="300">
        <v>100</v>
      </c>
      <c r="R140" s="40">
        <v>10</v>
      </c>
      <c r="S140" s="40"/>
      <c r="T140" s="105">
        <f t="shared" si="9"/>
        <v>2.5</v>
      </c>
      <c r="U140" s="105">
        <f t="shared" si="10"/>
        <v>2.5</v>
      </c>
      <c r="V140" s="104">
        <f>IFERROR(VLOOKUP(L140,'Raw material list'!$A$2:$S$3102,6,0),0)</f>
        <v>1.04E-2</v>
      </c>
      <c r="W140" s="104">
        <f t="shared" si="11"/>
        <v>2.5999999999999999E-2</v>
      </c>
    </row>
    <row r="141" spans="1:23" s="75" customFormat="1" hidden="1" x14ac:dyDescent="0.55000000000000004">
      <c r="A141" s="41" t="s">
        <v>18</v>
      </c>
      <c r="B141" s="41" t="s">
        <v>35</v>
      </c>
      <c r="C141" s="41" t="s">
        <v>10</v>
      </c>
      <c r="D141" s="41" t="s">
        <v>1446</v>
      </c>
      <c r="E141" s="41" t="s">
        <v>1432</v>
      </c>
      <c r="F141" s="41" t="s">
        <v>2079</v>
      </c>
      <c r="G141" s="41" t="s">
        <v>11</v>
      </c>
      <c r="H141" s="41" t="s">
        <v>1773</v>
      </c>
      <c r="I141" s="41"/>
      <c r="J141" s="41"/>
      <c r="K141" s="41" t="str">
        <f>IFERROR(VLOOKUP(L141,'Raw material list'!$A$3:$C$715,3,0),"")</f>
        <v>DRS1-4840</v>
      </c>
      <c r="L141" s="41" t="s">
        <v>120</v>
      </c>
      <c r="M141" s="65" t="s">
        <v>156</v>
      </c>
      <c r="N141" s="40" t="str">
        <f>VLOOKUP(L141,'Raw material list'!$A$3:$E$715,5,0)</f>
        <v xml:space="preserve">Gram </v>
      </c>
      <c r="O141" s="40">
        <v>700</v>
      </c>
      <c r="P141" s="299">
        <f t="shared" si="8"/>
        <v>700</v>
      </c>
      <c r="Q141" s="40">
        <v>100</v>
      </c>
      <c r="R141" s="40">
        <v>10</v>
      </c>
      <c r="S141" s="40"/>
      <c r="T141" s="105">
        <f t="shared" si="9"/>
        <v>70</v>
      </c>
      <c r="U141" s="105">
        <f t="shared" si="10"/>
        <v>70</v>
      </c>
      <c r="V141" s="104">
        <f>IFERROR(VLOOKUP(L141,'Raw material list'!$A$2:$S$3102,6,0),0)</f>
        <v>6.0000000000000001E-3</v>
      </c>
      <c r="W141" s="104">
        <f t="shared" si="11"/>
        <v>0.42</v>
      </c>
    </row>
    <row r="142" spans="1:23" s="75" customFormat="1" hidden="1" x14ac:dyDescent="0.55000000000000004">
      <c r="A142" s="41" t="s">
        <v>18</v>
      </c>
      <c r="B142" s="41" t="s">
        <v>35</v>
      </c>
      <c r="C142" s="41" t="s">
        <v>10</v>
      </c>
      <c r="D142" s="41" t="s">
        <v>1446</v>
      </c>
      <c r="E142" s="41" t="s">
        <v>1432</v>
      </c>
      <c r="F142" s="41" t="s">
        <v>2079</v>
      </c>
      <c r="G142" s="41" t="s">
        <v>11</v>
      </c>
      <c r="H142" s="41" t="s">
        <v>1773</v>
      </c>
      <c r="I142" s="41"/>
      <c r="J142" s="41"/>
      <c r="K142" s="41" t="str">
        <f>IFERROR(VLOOKUP(L142,'Raw material list'!$A$3:$C$715,3,0),"")</f>
        <v>DRY2-3401</v>
      </c>
      <c r="L142" s="41" t="s">
        <v>422</v>
      </c>
      <c r="M142" s="65" t="s">
        <v>156</v>
      </c>
      <c r="N142" s="40" t="str">
        <f>VLOOKUP(L142,'Raw material list'!$A$3:$E$715,5,0)</f>
        <v xml:space="preserve">Gram </v>
      </c>
      <c r="O142" s="40">
        <v>250</v>
      </c>
      <c r="P142" s="299">
        <f t="shared" si="8"/>
        <v>250</v>
      </c>
      <c r="Q142" s="40">
        <v>100</v>
      </c>
      <c r="R142" s="40">
        <v>10</v>
      </c>
      <c r="S142" s="40"/>
      <c r="T142" s="105">
        <f t="shared" si="9"/>
        <v>25</v>
      </c>
      <c r="U142" s="105">
        <f t="shared" si="10"/>
        <v>25</v>
      </c>
      <c r="V142" s="104">
        <f>IFERROR(VLOOKUP(L142,'Raw material list'!$A$2:$S$3102,6,0),0)</f>
        <v>1.2272727272727272E-2</v>
      </c>
      <c r="W142" s="104">
        <f t="shared" si="11"/>
        <v>0.30681818181818182</v>
      </c>
    </row>
    <row r="143" spans="1:23" s="75" customFormat="1" hidden="1" x14ac:dyDescent="0.55000000000000004">
      <c r="A143" s="41" t="s">
        <v>18</v>
      </c>
      <c r="B143" s="41" t="s">
        <v>35</v>
      </c>
      <c r="C143" s="41" t="s">
        <v>10</v>
      </c>
      <c r="D143" s="41" t="s">
        <v>1446</v>
      </c>
      <c r="E143" s="41" t="s">
        <v>1432</v>
      </c>
      <c r="F143" s="41" t="s">
        <v>2079</v>
      </c>
      <c r="G143" s="41" t="s">
        <v>11</v>
      </c>
      <c r="H143" s="41" t="s">
        <v>1773</v>
      </c>
      <c r="I143" s="41"/>
      <c r="J143" s="41"/>
      <c r="K143" s="41" t="str">
        <f>IFERROR(VLOOKUP(L143,'Raw material list'!$A$3:$C$715,3,0),"")</f>
        <v>DRY2-1858</v>
      </c>
      <c r="L143" s="64" t="s">
        <v>60</v>
      </c>
      <c r="M143" s="65" t="s">
        <v>206</v>
      </c>
      <c r="N143" s="40" t="str">
        <f>VLOOKUP(L143,'Raw material list'!$A$3:$E$715,5,0)</f>
        <v>Ml</v>
      </c>
      <c r="O143" s="40">
        <v>100</v>
      </c>
      <c r="P143" s="299">
        <f t="shared" si="8"/>
        <v>100</v>
      </c>
      <c r="Q143" s="40">
        <v>100</v>
      </c>
      <c r="R143" s="40">
        <v>10</v>
      </c>
      <c r="S143" s="40"/>
      <c r="T143" s="105">
        <f t="shared" si="9"/>
        <v>10</v>
      </c>
      <c r="U143" s="105">
        <f t="shared" si="10"/>
        <v>10</v>
      </c>
      <c r="V143" s="104">
        <f>IFERROR(VLOOKUP(L143,'Raw material list'!$A$2:$S$3102,6,0),0)</f>
        <v>9.8800000000000016E-3</v>
      </c>
      <c r="W143" s="104">
        <f t="shared" si="11"/>
        <v>9.8800000000000013E-2</v>
      </c>
    </row>
    <row r="144" spans="1:23" s="75" customFormat="1" hidden="1" x14ac:dyDescent="0.55000000000000004">
      <c r="A144" s="41" t="s">
        <v>18</v>
      </c>
      <c r="B144" s="41" t="s">
        <v>35</v>
      </c>
      <c r="C144" s="41" t="s">
        <v>10</v>
      </c>
      <c r="D144" s="41" t="s">
        <v>1446</v>
      </c>
      <c r="E144" s="41" t="s">
        <v>1432</v>
      </c>
      <c r="F144" s="41" t="s">
        <v>2079</v>
      </c>
      <c r="G144" s="41" t="s">
        <v>11</v>
      </c>
      <c r="H144" s="41" t="s">
        <v>1773</v>
      </c>
      <c r="I144" s="41"/>
      <c r="J144" s="41"/>
      <c r="K144" s="41" t="str">
        <f>IFERROR(VLOOKUP(L144,'Raw material list'!$A$3:$C$715,3,0),"")</f>
        <v>PRD1-195</v>
      </c>
      <c r="L144" s="41" t="s">
        <v>90</v>
      </c>
      <c r="M144" s="65" t="s">
        <v>156</v>
      </c>
      <c r="N144" s="40" t="str">
        <f>VLOOKUP(L144,'Raw material list'!$A$3:$E$715,5,0)</f>
        <v xml:space="preserve">Gram </v>
      </c>
      <c r="O144" s="40">
        <v>20</v>
      </c>
      <c r="P144" s="299">
        <f t="shared" si="8"/>
        <v>46.874999999999993</v>
      </c>
      <c r="Q144" s="105">
        <v>42.666666666666671</v>
      </c>
      <c r="R144" s="40">
        <v>10</v>
      </c>
      <c r="S144" s="40"/>
      <c r="T144" s="105">
        <f t="shared" si="9"/>
        <v>2</v>
      </c>
      <c r="U144" s="105">
        <f t="shared" si="10"/>
        <v>4.6874999999999991</v>
      </c>
      <c r="V144" s="104">
        <f>IFERROR(VLOOKUP(L144,'Raw material list'!$A$2:$S$3102,6,0),0)</f>
        <v>9.3676814988290415E-3</v>
      </c>
      <c r="W144" s="104">
        <f t="shared" si="11"/>
        <v>4.3911007025761124E-2</v>
      </c>
    </row>
    <row r="145" spans="1:23" s="75" customFormat="1" hidden="1" x14ac:dyDescent="0.55000000000000004">
      <c r="A145" s="41" t="s">
        <v>18</v>
      </c>
      <c r="B145" s="41" t="s">
        <v>35</v>
      </c>
      <c r="C145" s="41" t="s">
        <v>10</v>
      </c>
      <c r="D145" s="41" t="s">
        <v>1446</v>
      </c>
      <c r="E145" s="41" t="s">
        <v>1432</v>
      </c>
      <c r="F145" s="41" t="s">
        <v>2079</v>
      </c>
      <c r="G145" s="41" t="s">
        <v>11</v>
      </c>
      <c r="H145" s="41" t="s">
        <v>1773</v>
      </c>
      <c r="I145" s="41"/>
      <c r="J145" s="41"/>
      <c r="K145" s="41" t="str">
        <f>IFERROR(VLOOKUP(L145,'Raw material list'!$A$3:$C$715,3,0),"")</f>
        <v>DRS6-1674</v>
      </c>
      <c r="L145" s="41" t="s">
        <v>73</v>
      </c>
      <c r="M145" s="65" t="s">
        <v>156</v>
      </c>
      <c r="N145" s="40" t="str">
        <f>VLOOKUP(L145,'Raw material list'!$A$3:$E$715,5,0)</f>
        <v xml:space="preserve">Gram </v>
      </c>
      <c r="O145" s="40">
        <v>4</v>
      </c>
      <c r="P145" s="299">
        <f t="shared" si="8"/>
        <v>4</v>
      </c>
      <c r="Q145" s="300">
        <v>100</v>
      </c>
      <c r="R145" s="40">
        <v>10</v>
      </c>
      <c r="S145" s="40"/>
      <c r="T145" s="105">
        <f t="shared" si="9"/>
        <v>0.4</v>
      </c>
      <c r="U145" s="105">
        <f t="shared" si="10"/>
        <v>0.4</v>
      </c>
      <c r="V145" s="104">
        <f>IFERROR(VLOOKUP(L145,'Raw material list'!$A$2:$S$3102,6,0),0)</f>
        <v>1.2500000000000001E-2</v>
      </c>
      <c r="W145" s="104">
        <f t="shared" si="11"/>
        <v>5.000000000000001E-3</v>
      </c>
    </row>
    <row r="146" spans="1:23" s="75" customFormat="1" hidden="1" x14ac:dyDescent="0.55000000000000004">
      <c r="A146" s="41" t="s">
        <v>18</v>
      </c>
      <c r="B146" s="41" t="s">
        <v>35</v>
      </c>
      <c r="C146" s="41" t="s">
        <v>10</v>
      </c>
      <c r="D146" s="41" t="s">
        <v>1446</v>
      </c>
      <c r="E146" s="41" t="s">
        <v>1432</v>
      </c>
      <c r="F146" s="41" t="s">
        <v>2079</v>
      </c>
      <c r="G146" s="41" t="s">
        <v>11</v>
      </c>
      <c r="H146" s="41" t="s">
        <v>1773</v>
      </c>
      <c r="I146" s="41"/>
      <c r="J146" s="41"/>
      <c r="K146" s="41" t="str">
        <f>IFERROR(VLOOKUP(L146,'Raw material list'!$A$3:$C$715,3,0),"")</f>
        <v>DRS6-266</v>
      </c>
      <c r="L146" s="41" t="s">
        <v>99</v>
      </c>
      <c r="M146" s="65" t="s">
        <v>156</v>
      </c>
      <c r="N146" s="40" t="str">
        <f>VLOOKUP(L146,'Raw material list'!$A$3:$E$715,5,0)</f>
        <v xml:space="preserve">Gram </v>
      </c>
      <c r="O146" s="40">
        <v>5</v>
      </c>
      <c r="P146" s="299">
        <f t="shared" si="8"/>
        <v>5</v>
      </c>
      <c r="Q146" s="40">
        <v>100</v>
      </c>
      <c r="R146" s="40">
        <v>10</v>
      </c>
      <c r="S146" s="40"/>
      <c r="T146" s="105">
        <f t="shared" si="9"/>
        <v>0.5</v>
      </c>
      <c r="U146" s="105">
        <f t="shared" si="10"/>
        <v>0.5</v>
      </c>
      <c r="V146" s="104">
        <f>IFERROR(VLOOKUP(L146,'Raw material list'!$A$2:$S$3102,6,0),0)</f>
        <v>1.4E-2</v>
      </c>
      <c r="W146" s="104">
        <f t="shared" si="11"/>
        <v>7.0000000000000001E-3</v>
      </c>
    </row>
    <row r="147" spans="1:23" hidden="1" x14ac:dyDescent="0.55000000000000004">
      <c r="A147" s="41" t="s">
        <v>18</v>
      </c>
      <c r="B147" s="41" t="s">
        <v>35</v>
      </c>
      <c r="C147" s="41" t="s">
        <v>10</v>
      </c>
      <c r="D147" s="41" t="s">
        <v>1446</v>
      </c>
      <c r="E147" s="41" t="s">
        <v>1432</v>
      </c>
      <c r="F147" s="41" t="s">
        <v>2079</v>
      </c>
      <c r="G147" s="41" t="s">
        <v>11</v>
      </c>
      <c r="H147" s="41" t="s">
        <v>1773</v>
      </c>
      <c r="I147" s="41"/>
      <c r="J147" s="41"/>
      <c r="K147" s="41" t="str">
        <f>IFERROR(VLOOKUP(L147,'Raw material list'!$A$3:$C$715,3,0),"")</f>
        <v>DRS6-733</v>
      </c>
      <c r="L147" s="41" t="s">
        <v>45</v>
      </c>
      <c r="M147" s="40" t="s">
        <v>156</v>
      </c>
      <c r="N147" s="40" t="str">
        <f>VLOOKUP(L147,'Raw material list'!$A$3:$E$715,5,0)</f>
        <v xml:space="preserve">Gram </v>
      </c>
      <c r="O147" s="40">
        <v>4</v>
      </c>
      <c r="P147" s="299">
        <f t="shared" si="8"/>
        <v>4</v>
      </c>
      <c r="Q147" s="40">
        <v>100</v>
      </c>
      <c r="R147" s="40">
        <v>10</v>
      </c>
      <c r="S147" s="40"/>
      <c r="T147" s="105">
        <f t="shared" si="9"/>
        <v>0.4</v>
      </c>
      <c r="U147" s="105">
        <f t="shared" si="10"/>
        <v>0.4</v>
      </c>
      <c r="V147" s="104">
        <f>IFERROR(VLOOKUP(L147,'Raw material list'!$A$2:$S$3102,6,0),0)</f>
        <v>2.8000000000000001E-2</v>
      </c>
      <c r="W147" s="104">
        <f t="shared" si="11"/>
        <v>1.1200000000000002E-2</v>
      </c>
    </row>
    <row r="148" spans="1:23" hidden="1" x14ac:dyDescent="0.55000000000000004">
      <c r="A148" s="41" t="s">
        <v>18</v>
      </c>
      <c r="B148" s="41" t="s">
        <v>35</v>
      </c>
      <c r="C148" s="41" t="s">
        <v>10</v>
      </c>
      <c r="D148" s="41" t="s">
        <v>1446</v>
      </c>
      <c r="E148" s="41" t="s">
        <v>1432</v>
      </c>
      <c r="F148" s="41" t="s">
        <v>2079</v>
      </c>
      <c r="G148" s="41" t="s">
        <v>11</v>
      </c>
      <c r="H148" s="41" t="s">
        <v>1773</v>
      </c>
      <c r="I148" s="41"/>
      <c r="J148" s="41"/>
      <c r="K148" s="41" t="str">
        <f>IFERROR(VLOOKUP(L148,'Raw material list'!$A$3:$C$715,3,0),"")</f>
        <v>DRS6-3850</v>
      </c>
      <c r="L148" s="41" t="s">
        <v>95</v>
      </c>
      <c r="M148" s="40" t="s">
        <v>156</v>
      </c>
      <c r="N148" s="40" t="str">
        <f>VLOOKUP(L148,'Raw material list'!$A$3:$E$715,5,0)</f>
        <v xml:space="preserve">Gram </v>
      </c>
      <c r="O148" s="40">
        <v>5</v>
      </c>
      <c r="P148" s="299">
        <f t="shared" si="8"/>
        <v>5</v>
      </c>
      <c r="Q148" s="40">
        <v>100</v>
      </c>
      <c r="R148" s="40">
        <v>10</v>
      </c>
      <c r="S148" s="40"/>
      <c r="T148" s="105">
        <f t="shared" si="9"/>
        <v>0.5</v>
      </c>
      <c r="U148" s="105">
        <f t="shared" si="10"/>
        <v>0.5</v>
      </c>
      <c r="V148" s="104">
        <f>IFERROR(VLOOKUP(L148,'Raw material list'!$A$2:$S$3102,6,0),0)</f>
        <v>7.963636363636363E-2</v>
      </c>
      <c r="W148" s="104">
        <f t="shared" si="11"/>
        <v>3.9818181818181815E-2</v>
      </c>
    </row>
    <row r="149" spans="1:23" hidden="1" x14ac:dyDescent="0.55000000000000004">
      <c r="A149" s="41" t="s">
        <v>18</v>
      </c>
      <c r="B149" s="41" t="s">
        <v>35</v>
      </c>
      <c r="C149" s="41" t="s">
        <v>10</v>
      </c>
      <c r="D149" s="41" t="s">
        <v>1446</v>
      </c>
      <c r="E149" s="41" t="s">
        <v>1432</v>
      </c>
      <c r="F149" s="41" t="s">
        <v>2079</v>
      </c>
      <c r="G149" s="41" t="s">
        <v>11</v>
      </c>
      <c r="H149" s="41" t="s">
        <v>1773</v>
      </c>
      <c r="I149" s="41"/>
      <c r="J149" s="41"/>
      <c r="K149" s="41" t="str">
        <f>IFERROR(VLOOKUP(L149,'Raw material list'!$A$3:$C$715,3,0),"")</f>
        <v>TAP-00001</v>
      </c>
      <c r="L149" s="41" t="s">
        <v>1405</v>
      </c>
      <c r="M149" s="40" t="s">
        <v>206</v>
      </c>
      <c r="N149" s="40" t="str">
        <f>VLOOKUP(L149,'Raw material list'!$A$3:$E$715,5,0)</f>
        <v>Ml</v>
      </c>
      <c r="O149" s="40">
        <v>200</v>
      </c>
      <c r="P149" s="299">
        <f t="shared" si="8"/>
        <v>200</v>
      </c>
      <c r="Q149" s="40">
        <v>100</v>
      </c>
      <c r="R149" s="40">
        <v>10</v>
      </c>
      <c r="S149" s="40"/>
      <c r="T149" s="105">
        <f t="shared" si="9"/>
        <v>20</v>
      </c>
      <c r="U149" s="105">
        <f t="shared" si="10"/>
        <v>20</v>
      </c>
      <c r="V149" s="104">
        <f>IFERROR(VLOOKUP(L149,'Raw material list'!$A$2:$S$3102,6,0),0)</f>
        <v>8.0000000000000007E-5</v>
      </c>
      <c r="W149" s="104">
        <f t="shared" si="11"/>
        <v>1.6000000000000001E-3</v>
      </c>
    </row>
    <row r="150" spans="1:23" hidden="1" x14ac:dyDescent="0.55000000000000004">
      <c r="A150" s="41" t="s">
        <v>18</v>
      </c>
      <c r="B150" s="41" t="s">
        <v>35</v>
      </c>
      <c r="C150" s="41" t="s">
        <v>10</v>
      </c>
      <c r="D150" s="41" t="s">
        <v>1446</v>
      </c>
      <c r="E150" s="41" t="s">
        <v>1432</v>
      </c>
      <c r="F150" s="41" t="s">
        <v>2079</v>
      </c>
      <c r="G150" s="41" t="s">
        <v>11</v>
      </c>
      <c r="H150" s="41" t="s">
        <v>1773</v>
      </c>
      <c r="I150" s="41"/>
      <c r="J150" s="41"/>
      <c r="K150" s="41" t="str">
        <f>IFERROR(VLOOKUP(L150,'Raw material list'!$A$3:$C$715,3,0),"")</f>
        <v>DRS1-3811</v>
      </c>
      <c r="L150" s="41" t="s">
        <v>40</v>
      </c>
      <c r="M150" s="40" t="s">
        <v>156</v>
      </c>
      <c r="N150" s="40" t="str">
        <f>VLOOKUP(L150,'Raw material list'!$A$3:$E$715,5,0)</f>
        <v xml:space="preserve">Gram </v>
      </c>
      <c r="O150" s="40">
        <v>15</v>
      </c>
      <c r="P150" s="299">
        <f t="shared" si="8"/>
        <v>15</v>
      </c>
      <c r="Q150" s="40">
        <v>100</v>
      </c>
      <c r="R150" s="40">
        <v>10</v>
      </c>
      <c r="S150" s="40"/>
      <c r="T150" s="105">
        <f t="shared" si="9"/>
        <v>1.5</v>
      </c>
      <c r="U150" s="105">
        <f t="shared" si="10"/>
        <v>1.5</v>
      </c>
      <c r="V150" s="104">
        <f>IFERROR(VLOOKUP(L150,'Raw material list'!$A$2:$S$3102,6,0),0)</f>
        <v>2.8475E-2</v>
      </c>
      <c r="W150" s="104">
        <f t="shared" si="11"/>
        <v>4.27125E-2</v>
      </c>
    </row>
    <row r="151" spans="1:23" hidden="1" x14ac:dyDescent="0.55000000000000004">
      <c r="A151" s="41" t="s">
        <v>18</v>
      </c>
      <c r="B151" s="41" t="s">
        <v>35</v>
      </c>
      <c r="C151" s="41" t="s">
        <v>10</v>
      </c>
      <c r="D151" s="41" t="s">
        <v>1446</v>
      </c>
      <c r="E151" s="41" t="s">
        <v>1432</v>
      </c>
      <c r="F151" s="41" t="s">
        <v>2079</v>
      </c>
      <c r="G151" s="41" t="s">
        <v>11</v>
      </c>
      <c r="H151" s="41" t="s">
        <v>1773</v>
      </c>
      <c r="I151" s="41"/>
      <c r="J151" s="41"/>
      <c r="K151" s="41" t="str">
        <f>IFERROR(VLOOKUP(L151,'Raw material list'!$A$3:$C$715,3,0),"")</f>
        <v>DRS1-3880</v>
      </c>
      <c r="L151" s="41" t="s">
        <v>1433</v>
      </c>
      <c r="M151" s="40" t="s">
        <v>156</v>
      </c>
      <c r="N151" s="40" t="str">
        <f>VLOOKUP(L151,'Raw material list'!$A$3:$E$715,5,0)</f>
        <v xml:space="preserve">Gram </v>
      </c>
      <c r="O151" s="40">
        <v>10</v>
      </c>
      <c r="P151" s="299">
        <f t="shared" si="8"/>
        <v>10</v>
      </c>
      <c r="Q151" s="40">
        <v>100</v>
      </c>
      <c r="R151" s="40">
        <v>10</v>
      </c>
      <c r="S151" s="40"/>
      <c r="T151" s="105">
        <f t="shared" si="9"/>
        <v>1</v>
      </c>
      <c r="U151" s="105">
        <f t="shared" si="10"/>
        <v>1</v>
      </c>
      <c r="V151" s="104">
        <f>IFERROR(VLOOKUP(L151,'Raw material list'!$A$2:$S$3102,6,0),0)</f>
        <v>5.0000000000000001E-4</v>
      </c>
      <c r="W151" s="104">
        <f t="shared" si="11"/>
        <v>5.0000000000000001E-4</v>
      </c>
    </row>
    <row r="152" spans="1:23" hidden="1" x14ac:dyDescent="0.55000000000000004">
      <c r="A152" s="41" t="s">
        <v>18</v>
      </c>
      <c r="B152" s="41" t="s">
        <v>35</v>
      </c>
      <c r="C152" s="41" t="s">
        <v>10</v>
      </c>
      <c r="D152" s="41" t="s">
        <v>1446</v>
      </c>
      <c r="E152" s="41" t="s">
        <v>1432</v>
      </c>
      <c r="F152" s="41" t="s">
        <v>2079</v>
      </c>
      <c r="G152" s="41" t="s">
        <v>11</v>
      </c>
      <c r="H152" s="41" t="s">
        <v>1773</v>
      </c>
      <c r="I152" s="41"/>
      <c r="J152" s="41"/>
      <c r="K152" s="41" t="str">
        <f>IFERROR(VLOOKUP(L152,'Raw material list'!$A$3:$C$715,3,0),"")</f>
        <v>PRD3-5038</v>
      </c>
      <c r="L152" s="41" t="s">
        <v>965</v>
      </c>
      <c r="M152" s="40" t="s">
        <v>156</v>
      </c>
      <c r="N152" s="40" t="str">
        <f>VLOOKUP(L152,'Raw material list'!$A$3:$E$715,5,0)</f>
        <v xml:space="preserve">Gram </v>
      </c>
      <c r="O152" s="40">
        <v>100</v>
      </c>
      <c r="P152" s="299">
        <f t="shared" si="8"/>
        <v>100</v>
      </c>
      <c r="Q152" s="40">
        <v>100</v>
      </c>
      <c r="R152" s="40">
        <v>10</v>
      </c>
      <c r="S152" s="40"/>
      <c r="T152" s="105">
        <f t="shared" si="9"/>
        <v>10</v>
      </c>
      <c r="U152" s="105">
        <f t="shared" si="10"/>
        <v>10</v>
      </c>
      <c r="V152" s="104">
        <f>IFERROR(VLOOKUP(L152,'Raw material list'!$A$2:$S$3102,6,0),0)</f>
        <v>2.5999999999999999E-2</v>
      </c>
      <c r="W152" s="104">
        <f t="shared" si="11"/>
        <v>0.26</v>
      </c>
    </row>
    <row r="153" spans="1:23" hidden="1" x14ac:dyDescent="0.55000000000000004">
      <c r="A153" s="41" t="s">
        <v>18</v>
      </c>
      <c r="B153" s="41" t="s">
        <v>35</v>
      </c>
      <c r="C153" s="41" t="s">
        <v>10</v>
      </c>
      <c r="D153" s="41" t="s">
        <v>1446</v>
      </c>
      <c r="E153" s="41" t="s">
        <v>1432</v>
      </c>
      <c r="F153" s="41" t="s">
        <v>2079</v>
      </c>
      <c r="G153" s="41" t="s">
        <v>11</v>
      </c>
      <c r="H153" s="41" t="s">
        <v>1773</v>
      </c>
      <c r="I153" s="41"/>
      <c r="J153" s="41"/>
      <c r="K153" s="41" t="str">
        <f>IFERROR(VLOOKUP(L153,'Raw material list'!$A$3:$C$715,3,0),"")</f>
        <v>DRS7-926</v>
      </c>
      <c r="L153" s="41" t="s">
        <v>508</v>
      </c>
      <c r="M153" s="40" t="s">
        <v>156</v>
      </c>
      <c r="N153" s="40" t="str">
        <f>VLOOKUP(L153,'Raw material list'!$A$3:$E$715,5,0)</f>
        <v xml:space="preserve">Gram </v>
      </c>
      <c r="O153" s="40">
        <v>150</v>
      </c>
      <c r="P153" s="299">
        <f t="shared" si="8"/>
        <v>150</v>
      </c>
      <c r="Q153" s="40">
        <v>100</v>
      </c>
      <c r="R153" s="40">
        <v>10</v>
      </c>
      <c r="S153" s="40"/>
      <c r="T153" s="105">
        <f t="shared" si="9"/>
        <v>15</v>
      </c>
      <c r="U153" s="105">
        <f t="shared" si="10"/>
        <v>15</v>
      </c>
      <c r="V153" s="104">
        <f>IFERROR(VLOOKUP(L153,'Raw material list'!$A$2:$S$3102,6,0),0)</f>
        <v>4.2000000000000003E-2</v>
      </c>
      <c r="W153" s="104">
        <f t="shared" si="11"/>
        <v>0.63</v>
      </c>
    </row>
    <row r="154" spans="1:23" hidden="1" x14ac:dyDescent="0.55000000000000004">
      <c r="A154" s="41" t="s">
        <v>18</v>
      </c>
      <c r="B154" s="41" t="s">
        <v>35</v>
      </c>
      <c r="C154" s="41" t="s">
        <v>10</v>
      </c>
      <c r="D154" s="41" t="s">
        <v>1446</v>
      </c>
      <c r="E154" s="41" t="s">
        <v>1432</v>
      </c>
      <c r="F154" s="41" t="s">
        <v>2079</v>
      </c>
      <c r="G154" s="41" t="s">
        <v>11</v>
      </c>
      <c r="H154" s="41" t="s">
        <v>1773</v>
      </c>
      <c r="I154" s="41"/>
      <c r="J154" s="41"/>
      <c r="K154" s="41" t="str">
        <f>IFERROR(VLOOKUP(L154,'Raw material list'!$A$3:$C$715,3,0),"")</f>
        <v>DRS4-498</v>
      </c>
      <c r="L154" s="41" t="s">
        <v>72</v>
      </c>
      <c r="M154" s="40" t="s">
        <v>156</v>
      </c>
      <c r="N154" s="40" t="str">
        <f>VLOOKUP(L154,'Raw material list'!$A$3:$E$715,5,0)</f>
        <v xml:space="preserve">Gram </v>
      </c>
      <c r="O154" s="40">
        <v>1000</v>
      </c>
      <c r="P154" s="299">
        <f t="shared" si="8"/>
        <v>1000</v>
      </c>
      <c r="Q154" s="40">
        <v>100</v>
      </c>
      <c r="R154" s="40">
        <v>10</v>
      </c>
      <c r="S154" s="40"/>
      <c r="T154" s="105">
        <f t="shared" si="9"/>
        <v>100</v>
      </c>
      <c r="U154" s="105">
        <f t="shared" si="10"/>
        <v>100</v>
      </c>
      <c r="V154" s="104">
        <f>IFERROR(VLOOKUP(L154,'Raw material list'!$A$2:$S$3102,6,0),0)</f>
        <v>5.7499999999999999E-3</v>
      </c>
      <c r="W154" s="104">
        <f t="shared" si="11"/>
        <v>0.57499999999999996</v>
      </c>
    </row>
    <row r="155" spans="1:23" hidden="1" x14ac:dyDescent="0.55000000000000004">
      <c r="A155" s="41" t="s">
        <v>18</v>
      </c>
      <c r="B155" s="41" t="s">
        <v>35</v>
      </c>
      <c r="C155" s="41" t="s">
        <v>10</v>
      </c>
      <c r="D155" s="41" t="s">
        <v>1446</v>
      </c>
      <c r="E155" s="41" t="s">
        <v>1432</v>
      </c>
      <c r="F155" s="41" t="s">
        <v>2079</v>
      </c>
      <c r="G155" s="41" t="s">
        <v>11</v>
      </c>
      <c r="H155" s="41" t="s">
        <v>1773</v>
      </c>
      <c r="I155" s="41"/>
      <c r="J155" s="41"/>
      <c r="K155" s="41" t="str">
        <f>IFERROR(VLOOKUP(L155,'Raw material list'!$A$3:$C$715,3,0),"")</f>
        <v>TAP-00001</v>
      </c>
      <c r="L155" s="41" t="s">
        <v>1405</v>
      </c>
      <c r="M155" s="40" t="s">
        <v>206</v>
      </c>
      <c r="N155" s="40" t="str">
        <f>VLOOKUP(L155,'Raw material list'!$A$3:$E$715,5,0)</f>
        <v>Ml</v>
      </c>
      <c r="O155" s="40">
        <v>1800</v>
      </c>
      <c r="P155" s="299">
        <f t="shared" si="8"/>
        <v>1800</v>
      </c>
      <c r="Q155" s="40">
        <v>100</v>
      </c>
      <c r="R155" s="40">
        <v>10</v>
      </c>
      <c r="S155" s="40"/>
      <c r="T155" s="105">
        <f t="shared" si="9"/>
        <v>180</v>
      </c>
      <c r="U155" s="105">
        <f t="shared" si="10"/>
        <v>180</v>
      </c>
      <c r="V155" s="104">
        <f>IFERROR(VLOOKUP(L155,'Raw material list'!$A$2:$S$3102,6,0),0)</f>
        <v>8.0000000000000007E-5</v>
      </c>
      <c r="W155" s="104">
        <f t="shared" si="11"/>
        <v>1.4400000000000001E-2</v>
      </c>
    </row>
    <row r="156" spans="1:23" hidden="1" x14ac:dyDescent="0.55000000000000004">
      <c r="A156" s="41" t="s">
        <v>18</v>
      </c>
      <c r="B156" s="41" t="s">
        <v>35</v>
      </c>
      <c r="C156" s="41" t="s">
        <v>10</v>
      </c>
      <c r="D156" s="41" t="s">
        <v>1446</v>
      </c>
      <c r="E156" s="41" t="s">
        <v>1432</v>
      </c>
      <c r="F156" s="41" t="s">
        <v>2079</v>
      </c>
      <c r="G156" s="41" t="s">
        <v>11</v>
      </c>
      <c r="H156" s="41" t="s">
        <v>1773</v>
      </c>
      <c r="I156" s="41"/>
      <c r="J156" s="41"/>
      <c r="K156" s="41" t="str">
        <f>IFERROR(VLOOKUP(L156,'Raw material list'!$A$3:$C$715,3,0),"")</f>
        <v>DRY2-1008</v>
      </c>
      <c r="L156" s="41" t="s">
        <v>57</v>
      </c>
      <c r="M156" s="40" t="s">
        <v>156</v>
      </c>
      <c r="N156" s="40" t="str">
        <f>VLOOKUP(L156,'Raw material list'!$A$3:$E$715,5,0)</f>
        <v xml:space="preserve">Gram </v>
      </c>
      <c r="O156" s="40">
        <v>50</v>
      </c>
      <c r="P156" s="299">
        <f t="shared" si="8"/>
        <v>50</v>
      </c>
      <c r="Q156" s="40">
        <v>100</v>
      </c>
      <c r="R156" s="40">
        <v>10</v>
      </c>
      <c r="S156" s="40"/>
      <c r="T156" s="105">
        <f t="shared" si="9"/>
        <v>5</v>
      </c>
      <c r="U156" s="105">
        <f t="shared" si="10"/>
        <v>5</v>
      </c>
      <c r="V156" s="104">
        <f>IFERROR(VLOOKUP(L156,'Raw material list'!$A$2:$S$3102,6,0),0)</f>
        <v>0.03</v>
      </c>
      <c r="W156" s="104">
        <f t="shared" si="11"/>
        <v>0.15</v>
      </c>
    </row>
    <row r="157" spans="1:23" hidden="1" x14ac:dyDescent="0.55000000000000004">
      <c r="A157" s="41" t="s">
        <v>18</v>
      </c>
      <c r="B157" s="41" t="s">
        <v>35</v>
      </c>
      <c r="C157" s="41" t="s">
        <v>10</v>
      </c>
      <c r="D157" s="41" t="s">
        <v>1446</v>
      </c>
      <c r="E157" s="41" t="s">
        <v>1432</v>
      </c>
      <c r="F157" s="41" t="s">
        <v>2079</v>
      </c>
      <c r="G157" s="41" t="s">
        <v>11</v>
      </c>
      <c r="H157" s="41" t="s">
        <v>1773</v>
      </c>
      <c r="I157" s="41"/>
      <c r="J157" s="41"/>
      <c r="K157" s="41" t="str">
        <f>IFERROR(VLOOKUP(L157,'Raw material list'!$A$3:$C$715,3,0),"")</f>
        <v>DRS1-304</v>
      </c>
      <c r="L157" s="41" t="s">
        <v>74</v>
      </c>
      <c r="M157" s="40" t="s">
        <v>156</v>
      </c>
      <c r="N157" s="40" t="str">
        <f>VLOOKUP(L157,'Raw material list'!$A$3:$E$715,5,0)</f>
        <v xml:space="preserve">Gram </v>
      </c>
      <c r="O157" s="40">
        <v>1</v>
      </c>
      <c r="P157" s="299">
        <f t="shared" si="8"/>
        <v>1</v>
      </c>
      <c r="Q157" s="40">
        <v>100</v>
      </c>
      <c r="R157" s="40">
        <v>10</v>
      </c>
      <c r="S157" s="40"/>
      <c r="T157" s="105">
        <f t="shared" si="9"/>
        <v>0.1</v>
      </c>
      <c r="U157" s="105">
        <f t="shared" si="10"/>
        <v>0.1</v>
      </c>
      <c r="V157" s="104">
        <f>IFERROR(VLOOKUP(L157,'Raw material list'!$A$2:$S$3102,6,0),0)</f>
        <v>2.0799999999999999E-2</v>
      </c>
      <c r="W157" s="104">
        <f t="shared" si="11"/>
        <v>2.0799999999999998E-3</v>
      </c>
    </row>
    <row r="158" spans="1:23" hidden="1" x14ac:dyDescent="0.55000000000000004">
      <c r="A158" s="41" t="s">
        <v>19</v>
      </c>
      <c r="B158" s="41" t="s">
        <v>35</v>
      </c>
      <c r="C158" s="41" t="s">
        <v>10</v>
      </c>
      <c r="D158" s="41" t="s">
        <v>1449</v>
      </c>
      <c r="E158" s="41" t="s">
        <v>1448</v>
      </c>
      <c r="F158" s="41" t="s">
        <v>2081</v>
      </c>
      <c r="G158" s="41" t="s">
        <v>11</v>
      </c>
      <c r="H158" s="41" t="s">
        <v>1774</v>
      </c>
      <c r="I158" s="41"/>
      <c r="J158" s="41"/>
      <c r="K158" s="41" t="str">
        <f>IFERROR(VLOOKUP(L158,'Raw material list'!$A$3:$C$715,3,0),"")</f>
        <v>SFD2-312</v>
      </c>
      <c r="L158" s="41" t="s">
        <v>109</v>
      </c>
      <c r="M158" s="40" t="s">
        <v>156</v>
      </c>
      <c r="N158" s="40" t="str">
        <f>VLOOKUP(L158,'Raw material list'!$A$3:$E$715,5,0)</f>
        <v xml:space="preserve">Gram </v>
      </c>
      <c r="O158" s="40">
        <v>1200</v>
      </c>
      <c r="P158" s="299">
        <f t="shared" si="8"/>
        <v>1637.1077762619373</v>
      </c>
      <c r="Q158" s="40">
        <v>73.3</v>
      </c>
      <c r="R158" s="40">
        <v>10</v>
      </c>
      <c r="S158" s="40"/>
      <c r="T158" s="105">
        <f t="shared" si="9"/>
        <v>120</v>
      </c>
      <c r="U158" s="105">
        <f t="shared" si="10"/>
        <v>163.71077762619373</v>
      </c>
      <c r="V158" s="104">
        <f>IFERROR(VLOOKUP(L158,'Raw material list'!$A$2:$S$3102,6,0),0)</f>
        <v>3.2786885245901641E-2</v>
      </c>
      <c r="W158" s="104">
        <f t="shared" si="11"/>
        <v>5.3675664795473361</v>
      </c>
    </row>
    <row r="159" spans="1:23" hidden="1" x14ac:dyDescent="0.55000000000000004">
      <c r="A159" s="41" t="s">
        <v>19</v>
      </c>
      <c r="B159" s="41" t="s">
        <v>35</v>
      </c>
      <c r="C159" s="41" t="s">
        <v>10</v>
      </c>
      <c r="D159" s="41" t="s">
        <v>1449</v>
      </c>
      <c r="E159" s="41" t="s">
        <v>1448</v>
      </c>
      <c r="F159" s="41" t="s">
        <v>2079</v>
      </c>
      <c r="G159" s="41" t="s">
        <v>11</v>
      </c>
      <c r="H159" s="41" t="s">
        <v>1774</v>
      </c>
      <c r="I159" s="41"/>
      <c r="J159" s="41"/>
      <c r="K159" s="41" t="str">
        <f>IFERROR(VLOOKUP(L159,'Raw material list'!$A$3:$C$715,3,0),"")</f>
        <v>DRS3-1615</v>
      </c>
      <c r="L159" s="41" t="s">
        <v>50</v>
      </c>
      <c r="M159" s="40" t="s">
        <v>206</v>
      </c>
      <c r="N159" s="40" t="str">
        <f>VLOOKUP(L159,'Raw material list'!$A$3:$E$715,5,0)</f>
        <v>Ml</v>
      </c>
      <c r="O159" s="40">
        <v>40</v>
      </c>
      <c r="P159" s="299">
        <f t="shared" si="8"/>
        <v>40</v>
      </c>
      <c r="Q159" s="40">
        <v>100</v>
      </c>
      <c r="R159" s="40">
        <v>10</v>
      </c>
      <c r="S159" s="40"/>
      <c r="T159" s="105">
        <f t="shared" si="9"/>
        <v>4</v>
      </c>
      <c r="U159" s="105">
        <f t="shared" si="10"/>
        <v>4</v>
      </c>
      <c r="V159" s="104">
        <f>IFERROR(VLOOKUP(L159,'Raw material list'!$A$2:$S$3102,6,0),0)</f>
        <v>1.2E-2</v>
      </c>
      <c r="W159" s="104">
        <f t="shared" si="11"/>
        <v>4.8000000000000001E-2</v>
      </c>
    </row>
    <row r="160" spans="1:23" hidden="1" x14ac:dyDescent="0.55000000000000004">
      <c r="A160" s="41" t="s">
        <v>19</v>
      </c>
      <c r="B160" s="41" t="s">
        <v>35</v>
      </c>
      <c r="C160" s="41" t="s">
        <v>10</v>
      </c>
      <c r="D160" s="41" t="s">
        <v>1449</v>
      </c>
      <c r="E160" s="41" t="s">
        <v>1448</v>
      </c>
      <c r="F160" s="41" t="s">
        <v>2079</v>
      </c>
      <c r="G160" s="41" t="s">
        <v>11</v>
      </c>
      <c r="H160" s="41" t="s">
        <v>1774</v>
      </c>
      <c r="I160" s="41"/>
      <c r="J160" s="41"/>
      <c r="K160" s="41" t="str">
        <f>IFERROR(VLOOKUP(L160,'Raw material list'!$A$3:$C$715,3,0),"")</f>
        <v>PRD1-4327</v>
      </c>
      <c r="L160" s="41" t="s">
        <v>39</v>
      </c>
      <c r="M160" s="40" t="s">
        <v>156</v>
      </c>
      <c r="N160" s="40" t="str">
        <f>VLOOKUP(L160,'Raw material list'!$A$3:$E$715,5,0)</f>
        <v xml:space="preserve">Gram </v>
      </c>
      <c r="O160" s="40">
        <v>15</v>
      </c>
      <c r="P160" s="299">
        <f t="shared" si="8"/>
        <v>18.072289156626507</v>
      </c>
      <c r="Q160" s="105">
        <v>83</v>
      </c>
      <c r="R160" s="40">
        <v>10</v>
      </c>
      <c r="S160" s="40"/>
      <c r="T160" s="105">
        <f t="shared" si="9"/>
        <v>1.5</v>
      </c>
      <c r="U160" s="105">
        <f t="shared" si="10"/>
        <v>1.8072289156626506</v>
      </c>
      <c r="V160" s="104">
        <f>IFERROR(VLOOKUP(L160,'Raw material list'!$A$2:$S$3102,6,0),0)</f>
        <v>1.2999999999999999E-2</v>
      </c>
      <c r="W160" s="104">
        <f t="shared" si="11"/>
        <v>2.3493975903614458E-2</v>
      </c>
    </row>
    <row r="161" spans="1:23" hidden="1" x14ac:dyDescent="0.55000000000000004">
      <c r="A161" s="41" t="s">
        <v>19</v>
      </c>
      <c r="B161" s="41" t="s">
        <v>35</v>
      </c>
      <c r="C161" s="41" t="s">
        <v>10</v>
      </c>
      <c r="D161" s="41" t="s">
        <v>1449</v>
      </c>
      <c r="E161" s="41" t="s">
        <v>1448</v>
      </c>
      <c r="F161" s="41" t="s">
        <v>2079</v>
      </c>
      <c r="G161" s="41" t="s">
        <v>11</v>
      </c>
      <c r="H161" s="41" t="s">
        <v>1774</v>
      </c>
      <c r="I161" s="41"/>
      <c r="J161" s="41"/>
      <c r="K161" s="41" t="str">
        <f>IFERROR(VLOOKUP(L161,'Raw material list'!$A$3:$C$715,3,0),"")</f>
        <v>PRD1-241</v>
      </c>
      <c r="L161" s="41" t="s">
        <v>1059</v>
      </c>
      <c r="M161" s="40" t="s">
        <v>156</v>
      </c>
      <c r="N161" s="40" t="str">
        <f>VLOOKUP(L161,'Raw material list'!$A$3:$E$715,5,0)</f>
        <v xml:space="preserve">Gram </v>
      </c>
      <c r="O161" s="40">
        <v>125</v>
      </c>
      <c r="P161" s="299">
        <f t="shared" si="8"/>
        <v>183.19491939423546</v>
      </c>
      <c r="Q161" s="105">
        <v>68.233333333333334</v>
      </c>
      <c r="R161" s="40">
        <v>10</v>
      </c>
      <c r="S161" s="40"/>
      <c r="T161" s="105">
        <f t="shared" si="9"/>
        <v>12.5</v>
      </c>
      <c r="U161" s="105">
        <f t="shared" si="10"/>
        <v>18.319491939423546</v>
      </c>
      <c r="V161" s="104">
        <f>IFERROR(VLOOKUP(L161,'Raw material list'!$A$2:$S$3102,6,0),0)</f>
        <v>1.3196480938416421E-2</v>
      </c>
      <c r="W161" s="104">
        <f t="shared" si="11"/>
        <v>0.2417528261800761</v>
      </c>
    </row>
    <row r="162" spans="1:23" hidden="1" x14ac:dyDescent="0.55000000000000004">
      <c r="A162" s="41" t="s">
        <v>19</v>
      </c>
      <c r="B162" s="41" t="s">
        <v>35</v>
      </c>
      <c r="C162" s="41" t="s">
        <v>10</v>
      </c>
      <c r="D162" s="41" t="s">
        <v>1449</v>
      </c>
      <c r="E162" s="41" t="s">
        <v>1448</v>
      </c>
      <c r="F162" s="41" t="s">
        <v>2079</v>
      </c>
      <c r="G162" s="41" t="s">
        <v>11</v>
      </c>
      <c r="H162" s="41" t="s">
        <v>1774</v>
      </c>
      <c r="I162" s="41"/>
      <c r="J162" s="41"/>
      <c r="K162" s="41" t="str">
        <f>IFERROR(VLOOKUP(L162,'Raw material list'!$A$3:$C$715,3,0),"")</f>
        <v>PRD1-239</v>
      </c>
      <c r="L162" s="41" t="s">
        <v>1056</v>
      </c>
      <c r="M162" s="40" t="s">
        <v>156</v>
      </c>
      <c r="N162" s="40" t="str">
        <f>VLOOKUP(L162,'Raw material list'!$A$3:$E$715,5,0)</f>
        <v xml:space="preserve">Gram </v>
      </c>
      <c r="O162" s="40">
        <v>125</v>
      </c>
      <c r="P162" s="299">
        <f t="shared" si="8"/>
        <v>185.64356435643566</v>
      </c>
      <c r="Q162" s="105">
        <v>67.333333333333329</v>
      </c>
      <c r="R162" s="40">
        <v>10</v>
      </c>
      <c r="S162" s="40"/>
      <c r="T162" s="105">
        <f t="shared" si="9"/>
        <v>12.5</v>
      </c>
      <c r="U162" s="105">
        <f t="shared" si="10"/>
        <v>18.564356435643568</v>
      </c>
      <c r="V162" s="104">
        <f>IFERROR(VLOOKUP(L162,'Raw material list'!$A$2:$S$3102,6,0),0)</f>
        <v>6.6864784546805346E-3</v>
      </c>
      <c r="W162" s="104">
        <f t="shared" si="11"/>
        <v>0.12413016933194064</v>
      </c>
    </row>
    <row r="163" spans="1:23" hidden="1" x14ac:dyDescent="0.55000000000000004">
      <c r="A163" s="41" t="s">
        <v>19</v>
      </c>
      <c r="B163" s="41" t="s">
        <v>35</v>
      </c>
      <c r="C163" s="41" t="s">
        <v>10</v>
      </c>
      <c r="D163" s="41" t="s">
        <v>1449</v>
      </c>
      <c r="E163" s="41" t="s">
        <v>1448</v>
      </c>
      <c r="F163" s="41" t="s">
        <v>2079</v>
      </c>
      <c r="G163" s="41" t="s">
        <v>11</v>
      </c>
      <c r="H163" s="41" t="s">
        <v>1774</v>
      </c>
      <c r="I163" s="41"/>
      <c r="J163" s="41"/>
      <c r="K163" s="41" t="str">
        <f>IFERROR(VLOOKUP(L163,'Raw material list'!$A$3:$C$715,3,0),"")</f>
        <v>DRS1-607</v>
      </c>
      <c r="L163" s="41" t="s">
        <v>250</v>
      </c>
      <c r="M163" s="40" t="s">
        <v>156</v>
      </c>
      <c r="N163" s="40" t="str">
        <f>VLOOKUP(L163,'Raw material list'!$A$3:$E$715,5,0)</f>
        <v xml:space="preserve">Gram </v>
      </c>
      <c r="O163" s="40">
        <v>1500</v>
      </c>
      <c r="P163" s="299">
        <f t="shared" si="8"/>
        <v>1500</v>
      </c>
      <c r="Q163" s="300">
        <v>100</v>
      </c>
      <c r="R163" s="40">
        <v>10</v>
      </c>
      <c r="S163" s="40"/>
      <c r="T163" s="105">
        <f t="shared" si="9"/>
        <v>150</v>
      </c>
      <c r="U163" s="105">
        <f t="shared" si="10"/>
        <v>150</v>
      </c>
      <c r="V163" s="104">
        <f>IFERROR(VLOOKUP(L163,'Raw material list'!$A$2:$S$3102,6,0),0)</f>
        <v>5.8823529411764705E-3</v>
      </c>
      <c r="W163" s="104">
        <f t="shared" si="11"/>
        <v>0.88235294117647056</v>
      </c>
    </row>
    <row r="164" spans="1:23" hidden="1" x14ac:dyDescent="0.55000000000000004">
      <c r="A164" s="41" t="s">
        <v>19</v>
      </c>
      <c r="B164" s="41" t="s">
        <v>35</v>
      </c>
      <c r="C164" s="41" t="s">
        <v>10</v>
      </c>
      <c r="D164" s="41" t="s">
        <v>1449</v>
      </c>
      <c r="E164" s="41" t="s">
        <v>1448</v>
      </c>
      <c r="F164" s="41" t="s">
        <v>2079</v>
      </c>
      <c r="G164" s="41" t="s">
        <v>11</v>
      </c>
      <c r="H164" s="41" t="s">
        <v>1774</v>
      </c>
      <c r="I164" s="41"/>
      <c r="J164" s="41"/>
      <c r="K164" s="41" t="str">
        <f>IFERROR(VLOOKUP(L164,'Raw material list'!$A$3:$C$715,3,0),"")</f>
        <v>DRS1-1747</v>
      </c>
      <c r="L164" s="41" t="s">
        <v>44</v>
      </c>
      <c r="M164" s="40" t="s">
        <v>156</v>
      </c>
      <c r="N164" s="40" t="str">
        <f>VLOOKUP(L164,'Raw material list'!$A$3:$E$715,5,0)</f>
        <v xml:space="preserve">Gram </v>
      </c>
      <c r="O164" s="40">
        <v>50</v>
      </c>
      <c r="P164" s="299">
        <f t="shared" si="8"/>
        <v>50</v>
      </c>
      <c r="Q164" s="40">
        <v>100</v>
      </c>
      <c r="R164" s="40">
        <v>10</v>
      </c>
      <c r="S164" s="40"/>
      <c r="T164" s="105">
        <f t="shared" si="9"/>
        <v>5</v>
      </c>
      <c r="U164" s="105">
        <f t="shared" si="10"/>
        <v>5</v>
      </c>
      <c r="V164" s="104">
        <f>IFERROR(VLOOKUP(L164,'Raw material list'!$A$2:$S$3102,6,0),0)</f>
        <v>5.185185185185185E-3</v>
      </c>
      <c r="W164" s="104">
        <f t="shared" si="11"/>
        <v>2.5925925925925925E-2</v>
      </c>
    </row>
    <row r="165" spans="1:23" hidden="1" x14ac:dyDescent="0.55000000000000004">
      <c r="A165" s="41" t="s">
        <v>19</v>
      </c>
      <c r="B165" s="41" t="s">
        <v>35</v>
      </c>
      <c r="C165" s="41" t="s">
        <v>10</v>
      </c>
      <c r="D165" s="41" t="s">
        <v>1449</v>
      </c>
      <c r="E165" s="41" t="s">
        <v>1448</v>
      </c>
      <c r="F165" s="41" t="s">
        <v>2079</v>
      </c>
      <c r="G165" s="41" t="s">
        <v>11</v>
      </c>
      <c r="H165" s="41" t="s">
        <v>1774</v>
      </c>
      <c r="I165" s="41"/>
      <c r="J165" s="41"/>
      <c r="K165" s="41" t="str">
        <f>IFERROR(VLOOKUP(L165,'Raw material list'!$A$3:$C$715,3,0),"")</f>
        <v>DRS6-537</v>
      </c>
      <c r="L165" s="41" t="s">
        <v>46</v>
      </c>
      <c r="M165" s="40" t="s">
        <v>156</v>
      </c>
      <c r="N165" s="40" t="str">
        <f>VLOOKUP(L165,'Raw material list'!$A$3:$E$715,5,0)</f>
        <v xml:space="preserve">Gram </v>
      </c>
      <c r="O165" s="40">
        <v>1</v>
      </c>
      <c r="P165" s="299">
        <f t="shared" si="8"/>
        <v>1</v>
      </c>
      <c r="Q165" s="40">
        <v>100</v>
      </c>
      <c r="R165" s="40">
        <v>10</v>
      </c>
      <c r="S165" s="40"/>
      <c r="T165" s="105">
        <f t="shared" si="9"/>
        <v>0.1</v>
      </c>
      <c r="U165" s="105">
        <f t="shared" si="10"/>
        <v>0.1</v>
      </c>
      <c r="V165" s="104">
        <f>IFERROR(VLOOKUP(L165,'Raw material list'!$A$2:$S$3102,6,0),0)</f>
        <v>3.5000000000000003E-2</v>
      </c>
      <c r="W165" s="104">
        <f t="shared" si="11"/>
        <v>3.5000000000000005E-3</v>
      </c>
    </row>
    <row r="166" spans="1:23" hidden="1" x14ac:dyDescent="0.55000000000000004">
      <c r="A166" s="41" t="s">
        <v>19</v>
      </c>
      <c r="B166" s="41" t="s">
        <v>35</v>
      </c>
      <c r="C166" s="41" t="s">
        <v>10</v>
      </c>
      <c r="D166" s="41" t="s">
        <v>1449</v>
      </c>
      <c r="E166" s="41" t="s">
        <v>1448</v>
      </c>
      <c r="F166" s="41" t="s">
        <v>2079</v>
      </c>
      <c r="G166" s="41" t="s">
        <v>11</v>
      </c>
      <c r="H166" s="41" t="s">
        <v>1774</v>
      </c>
      <c r="I166" s="41"/>
      <c r="J166" s="41"/>
      <c r="K166" s="41" t="str">
        <f>IFERROR(VLOOKUP(L166,'Raw material list'!$A$3:$C$715,3,0),"")</f>
        <v>DRS1-3880</v>
      </c>
      <c r="L166" s="41" t="s">
        <v>1433</v>
      </c>
      <c r="M166" s="40" t="s">
        <v>156</v>
      </c>
      <c r="N166" s="40" t="str">
        <f>VLOOKUP(L166,'Raw material list'!$A$3:$E$715,5,0)</f>
        <v xml:space="preserve">Gram </v>
      </c>
      <c r="O166" s="40">
        <v>14</v>
      </c>
      <c r="P166" s="299">
        <f t="shared" si="8"/>
        <v>14.000000000000002</v>
      </c>
      <c r="Q166" s="40">
        <v>100</v>
      </c>
      <c r="R166" s="40">
        <v>10</v>
      </c>
      <c r="S166" s="40"/>
      <c r="T166" s="105">
        <f t="shared" si="9"/>
        <v>1.4</v>
      </c>
      <c r="U166" s="105">
        <f t="shared" si="10"/>
        <v>1.4000000000000001</v>
      </c>
      <c r="V166" s="104">
        <f>IFERROR(VLOOKUP(L166,'Raw material list'!$A$2:$S$3102,6,0),0)</f>
        <v>5.0000000000000001E-4</v>
      </c>
      <c r="W166" s="104">
        <f t="shared" si="11"/>
        <v>7.000000000000001E-4</v>
      </c>
    </row>
    <row r="167" spans="1:23" hidden="1" x14ac:dyDescent="0.55000000000000004">
      <c r="A167" s="41" t="s">
        <v>19</v>
      </c>
      <c r="B167" s="41" t="s">
        <v>35</v>
      </c>
      <c r="C167" s="41" t="s">
        <v>10</v>
      </c>
      <c r="D167" s="41" t="s">
        <v>1449</v>
      </c>
      <c r="E167" s="41" t="s">
        <v>1448</v>
      </c>
      <c r="F167" s="41" t="s">
        <v>2079</v>
      </c>
      <c r="G167" s="41" t="s">
        <v>11</v>
      </c>
      <c r="H167" s="41" t="s">
        <v>1774</v>
      </c>
      <c r="I167" s="41"/>
      <c r="J167" s="41"/>
      <c r="K167" s="41" t="str">
        <f>IFERROR(VLOOKUP(L167,'Raw material list'!$A$3:$C$715,3,0),"")</f>
        <v>PRD1-195</v>
      </c>
      <c r="L167" s="41" t="s">
        <v>90</v>
      </c>
      <c r="M167" s="40" t="s">
        <v>156</v>
      </c>
      <c r="N167" s="40" t="str">
        <f>VLOOKUP(L167,'Raw material list'!$A$3:$E$715,5,0)</f>
        <v xml:space="preserve">Gram </v>
      </c>
      <c r="O167" s="40">
        <v>30</v>
      </c>
      <c r="P167" s="299">
        <f t="shared" si="8"/>
        <v>70.312499999999986</v>
      </c>
      <c r="Q167" s="105">
        <v>42.666666666666671</v>
      </c>
      <c r="R167" s="40">
        <v>10</v>
      </c>
      <c r="S167" s="40"/>
      <c r="T167" s="105">
        <f t="shared" si="9"/>
        <v>3</v>
      </c>
      <c r="U167" s="105">
        <f t="shared" si="10"/>
        <v>7.0312499999999982</v>
      </c>
      <c r="V167" s="104">
        <f>IFERROR(VLOOKUP(L167,'Raw material list'!$A$2:$S$3102,6,0),0)</f>
        <v>9.3676814988290415E-3</v>
      </c>
      <c r="W167" s="104">
        <f t="shared" si="11"/>
        <v>6.5866510538641676E-2</v>
      </c>
    </row>
    <row r="168" spans="1:23" hidden="1" x14ac:dyDescent="0.55000000000000004">
      <c r="A168" s="41" t="s">
        <v>19</v>
      </c>
      <c r="B168" s="41" t="s">
        <v>35</v>
      </c>
      <c r="C168" s="41" t="s">
        <v>10</v>
      </c>
      <c r="D168" s="41" t="s">
        <v>1449</v>
      </c>
      <c r="E168" s="41" t="s">
        <v>1448</v>
      </c>
      <c r="F168" s="41" t="s">
        <v>2079</v>
      </c>
      <c r="G168" s="41" t="s">
        <v>11</v>
      </c>
      <c r="H168" s="41" t="s">
        <v>1774</v>
      </c>
      <c r="I168" s="41"/>
      <c r="J168" s="41"/>
      <c r="K168" s="41" t="str">
        <f>IFERROR(VLOOKUP(L168,'Raw material list'!$A$3:$C$715,3,0),"")</f>
        <v>DRS5-21</v>
      </c>
      <c r="L168" s="41" t="s">
        <v>55</v>
      </c>
      <c r="M168" s="40" t="s">
        <v>156</v>
      </c>
      <c r="N168" s="40" t="str">
        <f>VLOOKUP(L168,'Raw material list'!$A$3:$E$715,5,0)</f>
        <v xml:space="preserve">Gram </v>
      </c>
      <c r="O168" s="40">
        <v>15</v>
      </c>
      <c r="P168" s="299">
        <f t="shared" si="8"/>
        <v>15</v>
      </c>
      <c r="Q168" s="300">
        <v>100</v>
      </c>
      <c r="R168" s="40">
        <v>10</v>
      </c>
      <c r="S168" s="40"/>
      <c r="T168" s="105">
        <f t="shared" si="9"/>
        <v>1.5</v>
      </c>
      <c r="U168" s="105">
        <f t="shared" si="10"/>
        <v>1.5</v>
      </c>
      <c r="V168" s="104">
        <f>IFERROR(VLOOKUP(L168,'Raw material list'!$A$2:$S$3102,6,0),0)</f>
        <v>2.0799999999999998E-3</v>
      </c>
      <c r="W168" s="104">
        <f t="shared" si="11"/>
        <v>3.1199999999999995E-3</v>
      </c>
    </row>
    <row r="169" spans="1:23" hidden="1" x14ac:dyDescent="0.55000000000000004">
      <c r="A169" s="41" t="s">
        <v>19</v>
      </c>
      <c r="B169" s="41" t="s">
        <v>35</v>
      </c>
      <c r="C169" s="41" t="s">
        <v>10</v>
      </c>
      <c r="D169" s="41" t="s">
        <v>1449</v>
      </c>
      <c r="E169" s="41" t="s">
        <v>1448</v>
      </c>
      <c r="F169" s="41" t="s">
        <v>2079</v>
      </c>
      <c r="G169" s="41" t="s">
        <v>11</v>
      </c>
      <c r="H169" s="41" t="s">
        <v>1774</v>
      </c>
      <c r="I169" s="41"/>
      <c r="J169" s="41"/>
      <c r="K169" s="41" t="str">
        <f>IFERROR(VLOOKUP(L169,'Raw material list'!$A$3:$C$715,3,0),"")</f>
        <v>TAP-00001</v>
      </c>
      <c r="L169" s="41" t="s">
        <v>1405</v>
      </c>
      <c r="M169" s="40" t="s">
        <v>206</v>
      </c>
      <c r="N169" s="40" t="str">
        <f>VLOOKUP(L169,'Raw material list'!$A$3:$E$715,5,0)</f>
        <v>Ml</v>
      </c>
      <c r="O169" s="40">
        <v>500</v>
      </c>
      <c r="P169" s="299">
        <f t="shared" si="8"/>
        <v>500</v>
      </c>
      <c r="Q169" s="40">
        <v>100</v>
      </c>
      <c r="R169" s="40">
        <v>10</v>
      </c>
      <c r="S169" s="40"/>
      <c r="T169" s="105">
        <f t="shared" si="9"/>
        <v>50</v>
      </c>
      <c r="U169" s="105">
        <f t="shared" si="10"/>
        <v>50</v>
      </c>
      <c r="V169" s="104">
        <f>IFERROR(VLOOKUP(L169,'Raw material list'!$A$2:$S$3102,6,0),0)</f>
        <v>8.0000000000000007E-5</v>
      </c>
      <c r="W169" s="104">
        <f t="shared" si="11"/>
        <v>4.0000000000000001E-3</v>
      </c>
    </row>
    <row r="170" spans="1:23" hidden="1" x14ac:dyDescent="0.55000000000000004">
      <c r="A170" s="41" t="s">
        <v>19</v>
      </c>
      <c r="B170" s="41" t="s">
        <v>35</v>
      </c>
      <c r="C170" s="41" t="s">
        <v>10</v>
      </c>
      <c r="D170" s="41" t="s">
        <v>1449</v>
      </c>
      <c r="E170" s="41" t="s">
        <v>1448</v>
      </c>
      <c r="F170" s="41" t="s">
        <v>2079</v>
      </c>
      <c r="G170" s="41" t="s">
        <v>11</v>
      </c>
      <c r="H170" s="41" t="s">
        <v>1774</v>
      </c>
      <c r="I170" s="41"/>
      <c r="J170" s="41"/>
      <c r="K170" s="41" t="str">
        <f>IFERROR(VLOOKUP(L170,'Raw material list'!$A$3:$C$715,3,0),"")</f>
        <v>DRS6-266</v>
      </c>
      <c r="L170" s="41" t="s">
        <v>99</v>
      </c>
      <c r="M170" s="40" t="s">
        <v>156</v>
      </c>
      <c r="N170" s="40" t="str">
        <f>VLOOKUP(L170,'Raw material list'!$A$3:$E$715,5,0)</f>
        <v xml:space="preserve">Gram </v>
      </c>
      <c r="O170" s="40">
        <v>3</v>
      </c>
      <c r="P170" s="299">
        <f t="shared" si="8"/>
        <v>3</v>
      </c>
      <c r="Q170" s="40">
        <v>100</v>
      </c>
      <c r="R170" s="40">
        <v>10</v>
      </c>
      <c r="S170" s="40"/>
      <c r="T170" s="105">
        <f t="shared" si="9"/>
        <v>0.3</v>
      </c>
      <c r="U170" s="105">
        <f t="shared" si="10"/>
        <v>0.3</v>
      </c>
      <c r="V170" s="104">
        <f>IFERROR(VLOOKUP(L170,'Raw material list'!$A$2:$S$3102,6,0),0)</f>
        <v>1.4E-2</v>
      </c>
      <c r="W170" s="104">
        <f t="shared" si="11"/>
        <v>4.1999999999999997E-3</v>
      </c>
    </row>
    <row r="171" spans="1:23" hidden="1" x14ac:dyDescent="0.55000000000000004">
      <c r="A171" s="41" t="s">
        <v>19</v>
      </c>
      <c r="B171" s="41" t="s">
        <v>35</v>
      </c>
      <c r="C171" s="41" t="s">
        <v>10</v>
      </c>
      <c r="D171" s="41" t="s">
        <v>1449</v>
      </c>
      <c r="E171" s="41" t="s">
        <v>1448</v>
      </c>
      <c r="F171" s="41" t="s">
        <v>2079</v>
      </c>
      <c r="G171" s="41" t="s">
        <v>11</v>
      </c>
      <c r="H171" s="41" t="s">
        <v>1774</v>
      </c>
      <c r="I171" s="41"/>
      <c r="J171" s="41"/>
      <c r="K171" s="41" t="str">
        <f>IFERROR(VLOOKUP(L171,'Raw material list'!$A$3:$C$715,3,0),"")</f>
        <v>DRS6-733</v>
      </c>
      <c r="L171" s="41" t="s">
        <v>45</v>
      </c>
      <c r="M171" s="40" t="s">
        <v>156</v>
      </c>
      <c r="N171" s="40" t="str">
        <f>VLOOKUP(L171,'Raw material list'!$A$3:$E$715,5,0)</f>
        <v xml:space="preserve">Gram </v>
      </c>
      <c r="O171" s="40">
        <v>2</v>
      </c>
      <c r="P171" s="299">
        <f t="shared" si="8"/>
        <v>2</v>
      </c>
      <c r="Q171" s="40">
        <v>100</v>
      </c>
      <c r="R171" s="40">
        <v>10</v>
      </c>
      <c r="S171" s="40"/>
      <c r="T171" s="105">
        <f t="shared" si="9"/>
        <v>0.2</v>
      </c>
      <c r="U171" s="105">
        <f t="shared" si="10"/>
        <v>0.2</v>
      </c>
      <c r="V171" s="104">
        <f>IFERROR(VLOOKUP(L171,'Raw material list'!$A$2:$S$3102,6,0),0)</f>
        <v>2.8000000000000001E-2</v>
      </c>
      <c r="W171" s="104">
        <f t="shared" si="11"/>
        <v>5.6000000000000008E-3</v>
      </c>
    </row>
    <row r="172" spans="1:23" hidden="1" x14ac:dyDescent="0.55000000000000004">
      <c r="A172" s="41" t="s">
        <v>19</v>
      </c>
      <c r="B172" s="41" t="s">
        <v>35</v>
      </c>
      <c r="C172" s="41" t="s">
        <v>10</v>
      </c>
      <c r="D172" s="41" t="s">
        <v>1449</v>
      </c>
      <c r="E172" s="41" t="s">
        <v>1448</v>
      </c>
      <c r="F172" s="41" t="s">
        <v>2079</v>
      </c>
      <c r="G172" s="41" t="s">
        <v>11</v>
      </c>
      <c r="H172" s="41" t="s">
        <v>1774</v>
      </c>
      <c r="I172" s="41"/>
      <c r="J172" s="41"/>
      <c r="K172" s="41" t="str">
        <f>IFERROR(VLOOKUP(L172,'Raw material list'!$A$3:$C$715,3,0),"")</f>
        <v>DRS4-498</v>
      </c>
      <c r="L172" s="41" t="s">
        <v>72</v>
      </c>
      <c r="M172" s="40" t="s">
        <v>156</v>
      </c>
      <c r="N172" s="40" t="str">
        <f>VLOOKUP(L172,'Raw material list'!$A$3:$E$715,5,0)</f>
        <v xml:space="preserve">Gram </v>
      </c>
      <c r="O172" s="40">
        <v>1000</v>
      </c>
      <c r="P172" s="299">
        <f t="shared" si="8"/>
        <v>1000</v>
      </c>
      <c r="Q172" s="40">
        <v>100</v>
      </c>
      <c r="R172" s="40">
        <v>10</v>
      </c>
      <c r="S172" s="40"/>
      <c r="T172" s="105">
        <f t="shared" si="9"/>
        <v>100</v>
      </c>
      <c r="U172" s="105">
        <f t="shared" si="10"/>
        <v>100</v>
      </c>
      <c r="V172" s="104">
        <f>IFERROR(VLOOKUP(L172,'Raw material list'!$A$2:$S$3102,6,0),0)</f>
        <v>5.7499999999999999E-3</v>
      </c>
      <c r="W172" s="104">
        <f t="shared" si="11"/>
        <v>0.57499999999999996</v>
      </c>
    </row>
    <row r="173" spans="1:23" hidden="1" x14ac:dyDescent="0.55000000000000004">
      <c r="A173" s="41" t="s">
        <v>19</v>
      </c>
      <c r="B173" s="41" t="s">
        <v>35</v>
      </c>
      <c r="C173" s="41" t="s">
        <v>10</v>
      </c>
      <c r="D173" s="41" t="s">
        <v>1449</v>
      </c>
      <c r="E173" s="41" t="s">
        <v>1448</v>
      </c>
      <c r="F173" s="41" t="s">
        <v>2079</v>
      </c>
      <c r="G173" s="41" t="s">
        <v>11</v>
      </c>
      <c r="H173" s="41" t="s">
        <v>1774</v>
      </c>
      <c r="I173" s="41"/>
      <c r="J173" s="41"/>
      <c r="K173" s="41" t="str">
        <f>IFERROR(VLOOKUP(L173,'Raw material list'!$A$3:$C$715,3,0),"")</f>
        <v>PRD1-4265</v>
      </c>
      <c r="L173" s="41" t="s">
        <v>38</v>
      </c>
      <c r="M173" s="40" t="s">
        <v>156</v>
      </c>
      <c r="N173" s="40" t="str">
        <f>VLOOKUP(L173,'Raw material list'!$A$3:$E$715,5,0)</f>
        <v xml:space="preserve">Gram </v>
      </c>
      <c r="O173" s="40">
        <v>80</v>
      </c>
      <c r="P173" s="299">
        <f t="shared" si="8"/>
        <v>94.117647058823522</v>
      </c>
      <c r="Q173" s="105">
        <v>85</v>
      </c>
      <c r="R173" s="40">
        <v>10</v>
      </c>
      <c r="S173" s="40"/>
      <c r="T173" s="105">
        <f t="shared" si="9"/>
        <v>8</v>
      </c>
      <c r="U173" s="105">
        <f t="shared" si="10"/>
        <v>9.4117647058823515</v>
      </c>
      <c r="V173" s="104">
        <f>IFERROR(VLOOKUP(L173,'Raw material list'!$A$2:$S$3102,6,0),0)</f>
        <v>3.529411764705882E-3</v>
      </c>
      <c r="W173" s="104">
        <f t="shared" si="11"/>
        <v>3.3217993079584764E-2</v>
      </c>
    </row>
    <row r="174" spans="1:23" hidden="1" x14ac:dyDescent="0.55000000000000004">
      <c r="A174" s="41" t="s">
        <v>19</v>
      </c>
      <c r="B174" s="41" t="s">
        <v>35</v>
      </c>
      <c r="C174" s="41" t="s">
        <v>10</v>
      </c>
      <c r="D174" s="41" t="s">
        <v>1449</v>
      </c>
      <c r="E174" s="41" t="s">
        <v>1448</v>
      </c>
      <c r="F174" s="41" t="s">
        <v>2079</v>
      </c>
      <c r="G174" s="41" t="s">
        <v>11</v>
      </c>
      <c r="H174" s="41" t="s">
        <v>1774</v>
      </c>
      <c r="I174" s="41"/>
      <c r="J174" s="41"/>
      <c r="K174" s="41" t="str">
        <f>IFERROR(VLOOKUP(L174,'Raw material list'!$A$3:$C$715,3,0),"")</f>
        <v>DRS1-1507</v>
      </c>
      <c r="L174" s="41" t="s">
        <v>313</v>
      </c>
      <c r="M174" s="40" t="s">
        <v>156</v>
      </c>
      <c r="N174" s="40" t="str">
        <f>VLOOKUP(L174,'Raw material list'!$A$3:$E$715,5,0)</f>
        <v xml:space="preserve">Gram </v>
      </c>
      <c r="O174" s="40">
        <v>10</v>
      </c>
      <c r="P174" s="299">
        <f t="shared" si="8"/>
        <v>10</v>
      </c>
      <c r="Q174" s="300">
        <v>100</v>
      </c>
      <c r="R174" s="40">
        <v>10</v>
      </c>
      <c r="S174" s="40"/>
      <c r="T174" s="105">
        <f t="shared" si="9"/>
        <v>1</v>
      </c>
      <c r="U174" s="105">
        <f t="shared" si="10"/>
        <v>1</v>
      </c>
      <c r="V174" s="104">
        <f>IFERROR(VLOOKUP(L174,'Raw material list'!$A$2:$S$3102,6,0),0)</f>
        <v>3.5000000000000003E-2</v>
      </c>
      <c r="W174" s="104">
        <f t="shared" si="11"/>
        <v>3.5000000000000003E-2</v>
      </c>
    </row>
    <row r="175" spans="1:23" hidden="1" x14ac:dyDescent="0.55000000000000004">
      <c r="A175" s="41" t="s">
        <v>19</v>
      </c>
      <c r="B175" s="41" t="s">
        <v>35</v>
      </c>
      <c r="C175" s="41" t="s">
        <v>10</v>
      </c>
      <c r="D175" s="41" t="s">
        <v>1449</v>
      </c>
      <c r="E175" s="41" t="s">
        <v>1448</v>
      </c>
      <c r="F175" s="41" t="s">
        <v>2079</v>
      </c>
      <c r="G175" s="41" t="s">
        <v>11</v>
      </c>
      <c r="H175" s="41" t="s">
        <v>1774</v>
      </c>
      <c r="I175" s="41"/>
      <c r="J175" s="41"/>
      <c r="K175" s="41" t="str">
        <f>IFERROR(VLOOKUP(L175,'Raw material list'!$A$3:$C$715,3,0),"")</f>
        <v>DRS6-309</v>
      </c>
      <c r="L175" s="41" t="s">
        <v>61</v>
      </c>
      <c r="M175" s="40" t="s">
        <v>156</v>
      </c>
      <c r="N175" s="40" t="str">
        <f>VLOOKUP(L175,'Raw material list'!$A$3:$E$715,5,0)</f>
        <v xml:space="preserve">Gram </v>
      </c>
      <c r="O175" s="40">
        <v>2</v>
      </c>
      <c r="P175" s="299">
        <f t="shared" si="8"/>
        <v>2</v>
      </c>
      <c r="Q175" s="40">
        <v>100</v>
      </c>
      <c r="R175" s="40">
        <v>10</v>
      </c>
      <c r="S175" s="40"/>
      <c r="T175" s="105">
        <f t="shared" si="9"/>
        <v>0.2</v>
      </c>
      <c r="U175" s="105">
        <f t="shared" si="10"/>
        <v>0.2</v>
      </c>
      <c r="V175" s="104">
        <f>IFERROR(VLOOKUP(L175,'Raw material list'!$A$2:$S$3102,6,0),0)</f>
        <v>2.8000000000000001E-2</v>
      </c>
      <c r="W175" s="104">
        <f t="shared" si="11"/>
        <v>5.6000000000000008E-3</v>
      </c>
    </row>
    <row r="176" spans="1:23" hidden="1" x14ac:dyDescent="0.55000000000000004">
      <c r="A176" s="41" t="s">
        <v>19</v>
      </c>
      <c r="B176" s="41" t="s">
        <v>35</v>
      </c>
      <c r="C176" s="41" t="s">
        <v>10</v>
      </c>
      <c r="D176" s="41" t="s">
        <v>1449</v>
      </c>
      <c r="E176" s="41" t="s">
        <v>1448</v>
      </c>
      <c r="F176" s="41" t="s">
        <v>2079</v>
      </c>
      <c r="G176" s="41" t="s">
        <v>11</v>
      </c>
      <c r="H176" s="41" t="s">
        <v>1774</v>
      </c>
      <c r="I176" s="41"/>
      <c r="J176" s="41"/>
      <c r="K176" s="41" t="str">
        <f>IFERROR(VLOOKUP(L176,'Raw material list'!$A$3:$C$715,3,0),"")</f>
        <v>DRS6-1674</v>
      </c>
      <c r="L176" s="41" t="s">
        <v>73</v>
      </c>
      <c r="M176" s="40" t="s">
        <v>156</v>
      </c>
      <c r="N176" s="40" t="str">
        <f>VLOOKUP(L176,'Raw material list'!$A$3:$E$715,5,0)</f>
        <v xml:space="preserve">Gram </v>
      </c>
      <c r="O176" s="40">
        <v>2</v>
      </c>
      <c r="P176" s="299">
        <f t="shared" si="8"/>
        <v>2</v>
      </c>
      <c r="Q176" s="40">
        <v>100</v>
      </c>
      <c r="R176" s="40">
        <v>10</v>
      </c>
      <c r="S176" s="40"/>
      <c r="T176" s="105">
        <f t="shared" si="9"/>
        <v>0.2</v>
      </c>
      <c r="U176" s="105">
        <f t="shared" si="10"/>
        <v>0.2</v>
      </c>
      <c r="V176" s="104">
        <f>IFERROR(VLOOKUP(L176,'Raw material list'!$A$2:$S$3102,6,0),0)</f>
        <v>1.2500000000000001E-2</v>
      </c>
      <c r="W176" s="104">
        <f t="shared" si="11"/>
        <v>2.5000000000000005E-3</v>
      </c>
    </row>
    <row r="177" spans="1:23" hidden="1" x14ac:dyDescent="0.55000000000000004">
      <c r="A177" s="41" t="s">
        <v>19</v>
      </c>
      <c r="B177" s="41" t="s">
        <v>35</v>
      </c>
      <c r="C177" s="41" t="s">
        <v>10</v>
      </c>
      <c r="D177" s="41" t="s">
        <v>1449</v>
      </c>
      <c r="E177" s="41" t="s">
        <v>1448</v>
      </c>
      <c r="F177" s="41" t="s">
        <v>2079</v>
      </c>
      <c r="G177" s="41" t="s">
        <v>11</v>
      </c>
      <c r="H177" s="41" t="s">
        <v>1774</v>
      </c>
      <c r="I177" s="41"/>
      <c r="J177" s="41"/>
      <c r="K177" s="41" t="str">
        <f>IFERROR(VLOOKUP(L177,'Raw material list'!$A$3:$C$715,3,0),"")</f>
        <v>DRS1-304</v>
      </c>
      <c r="L177" s="41" t="s">
        <v>74</v>
      </c>
      <c r="M177" s="40" t="s">
        <v>156</v>
      </c>
      <c r="N177" s="40" t="str">
        <f>VLOOKUP(L177,'Raw material list'!$A$3:$E$715,5,0)</f>
        <v xml:space="preserve">Gram </v>
      </c>
      <c r="O177" s="40">
        <v>1</v>
      </c>
      <c r="P177" s="299">
        <f t="shared" si="8"/>
        <v>1</v>
      </c>
      <c r="Q177" s="40">
        <v>100</v>
      </c>
      <c r="R177" s="40">
        <v>10</v>
      </c>
      <c r="S177" s="40"/>
      <c r="T177" s="105">
        <f t="shared" si="9"/>
        <v>0.1</v>
      </c>
      <c r="U177" s="105">
        <f t="shared" si="10"/>
        <v>0.1</v>
      </c>
      <c r="V177" s="104">
        <f>IFERROR(VLOOKUP(L177,'Raw material list'!$A$2:$S$3102,6,0),0)</f>
        <v>2.0799999999999999E-2</v>
      </c>
      <c r="W177" s="104">
        <f t="shared" si="11"/>
        <v>2.0799999999999998E-3</v>
      </c>
    </row>
    <row r="178" spans="1:23" hidden="1" x14ac:dyDescent="0.55000000000000004">
      <c r="A178" s="41" t="s">
        <v>19</v>
      </c>
      <c r="B178" s="41" t="s">
        <v>35</v>
      </c>
      <c r="C178" s="41" t="s">
        <v>10</v>
      </c>
      <c r="D178" s="41" t="s">
        <v>1449</v>
      </c>
      <c r="E178" s="41" t="s">
        <v>1448</v>
      </c>
      <c r="F178" s="41" t="s">
        <v>2079</v>
      </c>
      <c r="G178" s="41" t="s">
        <v>11</v>
      </c>
      <c r="H178" s="41" t="s">
        <v>1774</v>
      </c>
      <c r="I178" s="41"/>
      <c r="J178" s="41"/>
      <c r="K178" s="41" t="str">
        <f>IFERROR(VLOOKUP(L178,'Raw material list'!$A$3:$C$715,3,0),"")</f>
        <v>DRS3-1813</v>
      </c>
      <c r="L178" s="41" t="s">
        <v>69</v>
      </c>
      <c r="M178" s="40" t="s">
        <v>206</v>
      </c>
      <c r="N178" s="40" t="str">
        <f>VLOOKUP(L178,'Raw material list'!$A$3:$E$715,5,0)</f>
        <v>Ml</v>
      </c>
      <c r="O178" s="40">
        <v>50</v>
      </c>
      <c r="P178" s="299">
        <f t="shared" si="8"/>
        <v>50</v>
      </c>
      <c r="Q178" s="40">
        <v>100</v>
      </c>
      <c r="R178" s="40">
        <v>10</v>
      </c>
      <c r="S178" s="40"/>
      <c r="T178" s="105">
        <f t="shared" si="9"/>
        <v>5</v>
      </c>
      <c r="U178" s="105">
        <f t="shared" si="10"/>
        <v>5</v>
      </c>
      <c r="V178" s="104">
        <f>IFERROR(VLOOKUP(L178,'Raw material list'!$A$2:$S$3102,6,0),0)</f>
        <v>8.0555555555555554E-3</v>
      </c>
      <c r="W178" s="104">
        <f t="shared" si="11"/>
        <v>4.0277777777777773E-2</v>
      </c>
    </row>
    <row r="179" spans="1:23" hidden="1" x14ac:dyDescent="0.55000000000000004">
      <c r="A179" s="41" t="s">
        <v>19</v>
      </c>
      <c r="B179" s="41" t="s">
        <v>35</v>
      </c>
      <c r="C179" s="41" t="s">
        <v>10</v>
      </c>
      <c r="D179" s="41" t="s">
        <v>1449</v>
      </c>
      <c r="E179" s="41" t="s">
        <v>1448</v>
      </c>
      <c r="F179" s="41" t="s">
        <v>2079</v>
      </c>
      <c r="G179" s="41" t="s">
        <v>11</v>
      </c>
      <c r="H179" s="41" t="s">
        <v>1774</v>
      </c>
      <c r="I179" s="41"/>
      <c r="J179" s="41"/>
      <c r="K179" s="41" t="str">
        <f>IFERROR(VLOOKUP(L179,'Raw material list'!$A$3:$C$715,3,0),"")</f>
        <v>DRS1-3811</v>
      </c>
      <c r="L179" s="41" t="s">
        <v>40</v>
      </c>
      <c r="M179" s="40" t="s">
        <v>156</v>
      </c>
      <c r="N179" s="40" t="str">
        <f>VLOOKUP(L179,'Raw material list'!$A$3:$E$715,5,0)</f>
        <v xml:space="preserve">Gram </v>
      </c>
      <c r="O179" s="40">
        <v>10</v>
      </c>
      <c r="P179" s="299">
        <f t="shared" si="8"/>
        <v>10</v>
      </c>
      <c r="Q179" s="40">
        <v>100</v>
      </c>
      <c r="R179" s="40">
        <v>10</v>
      </c>
      <c r="S179" s="40"/>
      <c r="T179" s="105">
        <f t="shared" si="9"/>
        <v>1</v>
      </c>
      <c r="U179" s="105">
        <f t="shared" si="10"/>
        <v>1</v>
      </c>
      <c r="V179" s="104">
        <f>IFERROR(VLOOKUP(L179,'Raw material list'!$A$2:$S$3102,6,0),0)</f>
        <v>2.8475E-2</v>
      </c>
      <c r="W179" s="104">
        <f t="shared" si="11"/>
        <v>2.8475E-2</v>
      </c>
    </row>
    <row r="180" spans="1:23" hidden="1" x14ac:dyDescent="0.55000000000000004">
      <c r="A180" s="41" t="s">
        <v>19</v>
      </c>
      <c r="B180" s="41" t="s">
        <v>35</v>
      </c>
      <c r="C180" s="41" t="s">
        <v>10</v>
      </c>
      <c r="D180" s="41" t="s">
        <v>1449</v>
      </c>
      <c r="E180" s="41" t="s">
        <v>1448</v>
      </c>
      <c r="F180" s="41" t="s">
        <v>2079</v>
      </c>
      <c r="G180" s="41" t="s">
        <v>11</v>
      </c>
      <c r="H180" s="41" t="s">
        <v>1774</v>
      </c>
      <c r="I180" s="41"/>
      <c r="J180" s="41"/>
      <c r="K180" s="41" t="str">
        <f>IFERROR(VLOOKUP(L180,'Raw material list'!$A$3:$C$715,3,0),"")</f>
        <v>DRS6-261</v>
      </c>
      <c r="L180" s="41" t="s">
        <v>1406</v>
      </c>
      <c r="M180" s="40" t="s">
        <v>156</v>
      </c>
      <c r="N180" s="40" t="str">
        <f>VLOOKUP(L180,'Raw material list'!$A$3:$E$715,5,0)</f>
        <v xml:space="preserve">Gram </v>
      </c>
      <c r="O180" s="40">
        <v>2</v>
      </c>
      <c r="P180" s="299">
        <f t="shared" si="8"/>
        <v>2</v>
      </c>
      <c r="Q180" s="40">
        <v>100</v>
      </c>
      <c r="R180" s="40">
        <v>10</v>
      </c>
      <c r="S180" s="40"/>
      <c r="T180" s="105">
        <f t="shared" si="9"/>
        <v>0.2</v>
      </c>
      <c r="U180" s="105">
        <f t="shared" si="10"/>
        <v>0.2</v>
      </c>
      <c r="V180" s="104">
        <f>IFERROR(VLOOKUP(L180,'Raw material list'!$A$2:$S$3102,6,0),0)</f>
        <v>1.4E-2</v>
      </c>
      <c r="W180" s="104">
        <f t="shared" si="11"/>
        <v>2.8000000000000004E-3</v>
      </c>
    </row>
    <row r="181" spans="1:23" hidden="1" x14ac:dyDescent="0.55000000000000004">
      <c r="A181" s="41" t="s">
        <v>19</v>
      </c>
      <c r="B181" s="41" t="s">
        <v>35</v>
      </c>
      <c r="C181" s="41" t="s">
        <v>10</v>
      </c>
      <c r="D181" s="41" t="s">
        <v>1449</v>
      </c>
      <c r="E181" s="41" t="s">
        <v>1448</v>
      </c>
      <c r="F181" s="41" t="s">
        <v>2079</v>
      </c>
      <c r="G181" s="41" t="s">
        <v>11</v>
      </c>
      <c r="H181" s="41" t="s">
        <v>1774</v>
      </c>
      <c r="I181" s="41"/>
      <c r="J181" s="41"/>
      <c r="K181" s="41" t="str">
        <f>IFERROR(VLOOKUP(L181,'Raw material list'!$A$3:$C$715,3,0),"")</f>
        <v>DRS6-3593</v>
      </c>
      <c r="L181" s="41" t="s">
        <v>1407</v>
      </c>
      <c r="M181" s="40" t="s">
        <v>156</v>
      </c>
      <c r="N181" s="40" t="str">
        <f>VLOOKUP(L181,'Raw material list'!$A$3:$E$715,5,0)</f>
        <v xml:space="preserve">Gram </v>
      </c>
      <c r="O181" s="40">
        <v>1</v>
      </c>
      <c r="P181" s="299">
        <f t="shared" si="8"/>
        <v>1</v>
      </c>
      <c r="Q181" s="40">
        <v>100</v>
      </c>
      <c r="R181" s="40">
        <v>10</v>
      </c>
      <c r="S181" s="40"/>
      <c r="T181" s="105">
        <f t="shared" si="9"/>
        <v>0.1</v>
      </c>
      <c r="U181" s="105">
        <f t="shared" si="10"/>
        <v>0.1</v>
      </c>
      <c r="V181" s="104">
        <f>IFERROR(VLOOKUP(L181,'Raw material list'!$A$2:$S$3102,6,0),0)</f>
        <v>8.0000000000000002E-3</v>
      </c>
      <c r="W181" s="104">
        <f t="shared" si="11"/>
        <v>8.0000000000000004E-4</v>
      </c>
    </row>
    <row r="182" spans="1:23" hidden="1" x14ac:dyDescent="0.55000000000000004">
      <c r="A182" s="41" t="s">
        <v>19</v>
      </c>
      <c r="B182" s="41" t="s">
        <v>35</v>
      </c>
      <c r="C182" s="41" t="s">
        <v>10</v>
      </c>
      <c r="D182" s="41" t="s">
        <v>1449</v>
      </c>
      <c r="E182" s="41" t="s">
        <v>1448</v>
      </c>
      <c r="F182" s="41" t="s">
        <v>2079</v>
      </c>
      <c r="G182" s="41" t="s">
        <v>11</v>
      </c>
      <c r="H182" s="41" t="s">
        <v>1774</v>
      </c>
      <c r="I182" s="41"/>
      <c r="J182" s="41"/>
      <c r="K182" s="41" t="str">
        <f>IFERROR(VLOOKUP(L182,'Raw material list'!$A$3:$C$715,3,0),"")</f>
        <v>DRS6-1754</v>
      </c>
      <c r="L182" s="41" t="s">
        <v>1450</v>
      </c>
      <c r="M182" s="40" t="s">
        <v>156</v>
      </c>
      <c r="N182" s="40" t="str">
        <f>VLOOKUP(L182,'Raw material list'!$A$3:$E$715,5,0)</f>
        <v xml:space="preserve">Gram </v>
      </c>
      <c r="O182" s="40">
        <v>1</v>
      </c>
      <c r="P182" s="299">
        <f t="shared" si="8"/>
        <v>1</v>
      </c>
      <c r="Q182" s="40">
        <v>100</v>
      </c>
      <c r="R182" s="40">
        <v>10</v>
      </c>
      <c r="S182" s="40"/>
      <c r="T182" s="105">
        <f t="shared" si="9"/>
        <v>0.1</v>
      </c>
      <c r="U182" s="105">
        <f t="shared" si="10"/>
        <v>0.1</v>
      </c>
      <c r="V182" s="104">
        <f>IFERROR(VLOOKUP(L182,'Raw material list'!$A$2:$S$3102,6,0),0)</f>
        <v>0.125</v>
      </c>
      <c r="W182" s="104">
        <f t="shared" si="11"/>
        <v>1.2500000000000001E-2</v>
      </c>
    </row>
    <row r="183" spans="1:23" hidden="1" x14ac:dyDescent="0.55000000000000004">
      <c r="A183" s="41" t="s">
        <v>19</v>
      </c>
      <c r="B183" s="41" t="s">
        <v>35</v>
      </c>
      <c r="C183" s="41" t="s">
        <v>10</v>
      </c>
      <c r="D183" s="41" t="s">
        <v>1449</v>
      </c>
      <c r="E183" s="41" t="s">
        <v>1448</v>
      </c>
      <c r="F183" s="41" t="s">
        <v>2079</v>
      </c>
      <c r="G183" s="41" t="s">
        <v>11</v>
      </c>
      <c r="H183" s="41" t="s">
        <v>1774</v>
      </c>
      <c r="I183" s="41"/>
      <c r="J183" s="41"/>
      <c r="K183" s="41" t="str">
        <f>IFERROR(VLOOKUP(L183,'Raw material list'!$A$3:$C$715,3,0),"")</f>
        <v>DRS1-4104</v>
      </c>
      <c r="L183" s="41" t="s">
        <v>1451</v>
      </c>
      <c r="M183" s="40" t="s">
        <v>156</v>
      </c>
      <c r="N183" s="40" t="str">
        <f>VLOOKUP(L183,'Raw material list'!$A$3:$E$715,5,0)</f>
        <v xml:space="preserve">Gram </v>
      </c>
      <c r="O183" s="40">
        <v>20</v>
      </c>
      <c r="P183" s="299">
        <f t="shared" si="8"/>
        <v>20</v>
      </c>
      <c r="Q183" s="40">
        <v>100</v>
      </c>
      <c r="R183" s="40">
        <v>10</v>
      </c>
      <c r="S183" s="40"/>
      <c r="T183" s="105">
        <f t="shared" si="9"/>
        <v>2</v>
      </c>
      <c r="U183" s="105">
        <f t="shared" si="10"/>
        <v>2</v>
      </c>
      <c r="V183" s="104">
        <f>IFERROR(VLOOKUP(L183,'Raw material list'!$A$2:$S$3102,6,0),0)</f>
        <v>4.8886666666666669E-2</v>
      </c>
      <c r="W183" s="104">
        <f t="shared" si="11"/>
        <v>9.7773333333333337E-2</v>
      </c>
    </row>
    <row r="184" spans="1:23" hidden="1" x14ac:dyDescent="0.55000000000000004">
      <c r="A184" s="41" t="s">
        <v>1459</v>
      </c>
      <c r="B184" s="41" t="s">
        <v>35</v>
      </c>
      <c r="C184" s="41" t="s">
        <v>10</v>
      </c>
      <c r="D184" s="41" t="s">
        <v>1452</v>
      </c>
      <c r="E184" s="41" t="s">
        <v>1448</v>
      </c>
      <c r="F184" s="41" t="s">
        <v>2079</v>
      </c>
      <c r="G184" s="41" t="s">
        <v>11</v>
      </c>
      <c r="H184" s="41" t="s">
        <v>1773</v>
      </c>
      <c r="I184" s="41"/>
      <c r="J184" s="41"/>
      <c r="K184" s="41" t="str">
        <f>IFERROR(VLOOKUP(L184,'Raw material list'!$A$3:$C$715,3,0),"")</f>
        <v>DRY1-353</v>
      </c>
      <c r="L184" s="41" t="s">
        <v>1453</v>
      </c>
      <c r="M184" s="40" t="s">
        <v>156</v>
      </c>
      <c r="N184" s="40" t="str">
        <f>VLOOKUP(L184,'Raw material list'!$A$3:$E$715,5,0)</f>
        <v xml:space="preserve">Gram </v>
      </c>
      <c r="O184" s="40">
        <v>250</v>
      </c>
      <c r="P184" s="299">
        <f t="shared" si="8"/>
        <v>250</v>
      </c>
      <c r="Q184" s="40">
        <v>100</v>
      </c>
      <c r="R184" s="40">
        <v>4</v>
      </c>
      <c r="S184" s="40"/>
      <c r="T184" s="105">
        <f t="shared" si="9"/>
        <v>62.5</v>
      </c>
      <c r="U184" s="105">
        <f t="shared" si="10"/>
        <v>62.5</v>
      </c>
      <c r="V184" s="104">
        <f>IFERROR(VLOOKUP(L184,'Raw material list'!$A$2:$S$3102,6,0),0)</f>
        <v>2.4500000000000001E-2</v>
      </c>
      <c r="W184" s="104">
        <f t="shared" si="11"/>
        <v>1.53125</v>
      </c>
    </row>
    <row r="185" spans="1:23" hidden="1" x14ac:dyDescent="0.55000000000000004">
      <c r="A185" s="41" t="s">
        <v>1459</v>
      </c>
      <c r="B185" s="41" t="s">
        <v>35</v>
      </c>
      <c r="C185" s="41" t="s">
        <v>10</v>
      </c>
      <c r="D185" s="41" t="s">
        <v>1452</v>
      </c>
      <c r="E185" s="41" t="s">
        <v>1448</v>
      </c>
      <c r="F185" s="41" t="s">
        <v>2079</v>
      </c>
      <c r="G185" s="41" t="s">
        <v>11</v>
      </c>
      <c r="H185" s="41" t="s">
        <v>1773</v>
      </c>
      <c r="I185" s="41"/>
      <c r="J185" s="41"/>
      <c r="K185" s="41" t="str">
        <f>IFERROR(VLOOKUP(L185,'Raw material list'!$A$3:$C$715,3,0),"")</f>
        <v>PRD1-4600</v>
      </c>
      <c r="L185" s="41" t="s">
        <v>975</v>
      </c>
      <c r="M185" s="40" t="s">
        <v>156</v>
      </c>
      <c r="N185" s="40" t="str">
        <f>VLOOKUP(L185,'Raw material list'!$A$3:$E$715,5,0)</f>
        <v xml:space="preserve">Gram </v>
      </c>
      <c r="O185" s="40">
        <v>40</v>
      </c>
      <c r="P185" s="299">
        <f t="shared" si="8"/>
        <v>42.857142857142861</v>
      </c>
      <c r="Q185" s="105">
        <v>93.333333333333329</v>
      </c>
      <c r="R185" s="40">
        <v>4</v>
      </c>
      <c r="S185" s="40"/>
      <c r="T185" s="105">
        <f t="shared" si="9"/>
        <v>10</v>
      </c>
      <c r="U185" s="105">
        <f t="shared" si="10"/>
        <v>10.714285714285715</v>
      </c>
      <c r="V185" s="104">
        <f>IFERROR(VLOOKUP(L185,'Raw material list'!$A$2:$S$3102,6,0),0)</f>
        <v>7.717041800643086E-2</v>
      </c>
      <c r="W185" s="104">
        <f t="shared" si="11"/>
        <v>0.8268259072117593</v>
      </c>
    </row>
    <row r="186" spans="1:23" hidden="1" x14ac:dyDescent="0.55000000000000004">
      <c r="A186" s="41" t="s">
        <v>1459</v>
      </c>
      <c r="B186" s="41" t="s">
        <v>35</v>
      </c>
      <c r="C186" s="41" t="s">
        <v>10</v>
      </c>
      <c r="D186" s="41" t="s">
        <v>1452</v>
      </c>
      <c r="E186" s="41" t="s">
        <v>1448</v>
      </c>
      <c r="F186" s="41" t="s">
        <v>2079</v>
      </c>
      <c r="G186" s="41" t="s">
        <v>11</v>
      </c>
      <c r="H186" s="41" t="s">
        <v>1773</v>
      </c>
      <c r="I186" s="41"/>
      <c r="J186" s="41"/>
      <c r="K186" s="41" t="str">
        <f>IFERROR(VLOOKUP(L186,'Raw material list'!$A$3:$C$715,3,0),"")</f>
        <v>DRS1-5043</v>
      </c>
      <c r="L186" s="41" t="s">
        <v>304</v>
      </c>
      <c r="M186" s="40" t="s">
        <v>156</v>
      </c>
      <c r="N186" s="40" t="str">
        <f>VLOOKUP(L186,'Raw material list'!$A$3:$E$715,5,0)</f>
        <v xml:space="preserve">Gram </v>
      </c>
      <c r="O186" s="40">
        <v>60</v>
      </c>
      <c r="P186" s="299">
        <f t="shared" si="8"/>
        <v>60</v>
      </c>
      <c r="Q186" s="300">
        <v>100</v>
      </c>
      <c r="R186" s="40">
        <v>4</v>
      </c>
      <c r="S186" s="40"/>
      <c r="T186" s="105">
        <f t="shared" si="9"/>
        <v>15</v>
      </c>
      <c r="U186" s="105">
        <f t="shared" si="10"/>
        <v>15</v>
      </c>
      <c r="V186" s="104">
        <f>IFERROR(VLOOKUP(L186,'Raw material list'!$A$2:$S$3102,6,0),0)</f>
        <v>6.8750000000000006E-2</v>
      </c>
      <c r="W186" s="104">
        <f t="shared" si="11"/>
        <v>1.03125</v>
      </c>
    </row>
    <row r="187" spans="1:23" hidden="1" x14ac:dyDescent="0.55000000000000004">
      <c r="A187" s="41" t="s">
        <v>1459</v>
      </c>
      <c r="B187" s="41" t="s">
        <v>35</v>
      </c>
      <c r="C187" s="41" t="s">
        <v>10</v>
      </c>
      <c r="D187" s="41" t="s">
        <v>1452</v>
      </c>
      <c r="E187" s="41" t="s">
        <v>1448</v>
      </c>
      <c r="F187" s="41" t="s">
        <v>2079</v>
      </c>
      <c r="G187" s="41" t="s">
        <v>11</v>
      </c>
      <c r="H187" s="41" t="s">
        <v>1773</v>
      </c>
      <c r="I187" s="41"/>
      <c r="J187" s="41"/>
      <c r="K187" s="41" t="str">
        <f>IFERROR(VLOOKUP(L187,'Raw material list'!$A$3:$C$715,3,0),"")</f>
        <v>PRD1-572</v>
      </c>
      <c r="L187" s="41" t="s">
        <v>54</v>
      </c>
      <c r="M187" s="40" t="s">
        <v>156</v>
      </c>
      <c r="N187" s="40" t="str">
        <f>VLOOKUP(L187,'Raw material list'!$A$3:$E$715,5,0)</f>
        <v xml:space="preserve">Gram </v>
      </c>
      <c r="O187" s="40">
        <v>60</v>
      </c>
      <c r="P187" s="299">
        <f t="shared" si="8"/>
        <v>68.001511144692088</v>
      </c>
      <c r="Q187" s="105">
        <v>88.233333333333348</v>
      </c>
      <c r="R187" s="40">
        <v>4</v>
      </c>
      <c r="S187" s="40"/>
      <c r="T187" s="105">
        <f t="shared" si="9"/>
        <v>15</v>
      </c>
      <c r="U187" s="105">
        <f t="shared" si="10"/>
        <v>17.000377786173022</v>
      </c>
      <c r="V187" s="104">
        <f>IFERROR(VLOOKUP(L187,'Raw material list'!$A$2:$S$3102,6,0),0)</f>
        <v>4.5351473922902496E-3</v>
      </c>
      <c r="W187" s="104">
        <f t="shared" si="11"/>
        <v>7.7099218984911663E-2</v>
      </c>
    </row>
    <row r="188" spans="1:23" hidden="1" x14ac:dyDescent="0.55000000000000004">
      <c r="A188" s="41" t="s">
        <v>1459</v>
      </c>
      <c r="B188" s="41" t="s">
        <v>35</v>
      </c>
      <c r="C188" s="41" t="s">
        <v>10</v>
      </c>
      <c r="D188" s="41" t="s">
        <v>1452</v>
      </c>
      <c r="E188" s="41" t="s">
        <v>1448</v>
      </c>
      <c r="F188" s="41" t="s">
        <v>2079</v>
      </c>
      <c r="G188" s="41" t="s">
        <v>11</v>
      </c>
      <c r="H188" s="41" t="s">
        <v>1773</v>
      </c>
      <c r="I188" s="41"/>
      <c r="J188" s="41"/>
      <c r="K188" s="41" t="str">
        <f>IFERROR(VLOOKUP(L188,'Raw material list'!$A$3:$C$715,3,0),"")</f>
        <v>BKR2-4596</v>
      </c>
      <c r="L188" s="41" t="s">
        <v>188</v>
      </c>
      <c r="M188" s="40" t="s">
        <v>48</v>
      </c>
      <c r="N188" s="40" t="str">
        <f>VLOOKUP(L188,'Raw material list'!$A$3:$E$715,5,0)</f>
        <v>Each</v>
      </c>
      <c r="O188" s="40">
        <v>4</v>
      </c>
      <c r="P188" s="299">
        <f t="shared" si="8"/>
        <v>4</v>
      </c>
      <c r="Q188" s="300">
        <v>100</v>
      </c>
      <c r="R188" s="40">
        <v>4</v>
      </c>
      <c r="S188" s="40"/>
      <c r="T188" s="105">
        <f t="shared" si="9"/>
        <v>1</v>
      </c>
      <c r="U188" s="105">
        <f t="shared" si="10"/>
        <v>1</v>
      </c>
      <c r="V188" s="104">
        <f>IFERROR(VLOOKUP(L188,'Raw material list'!$A$2:$S$3102,6,0),0)</f>
        <v>0.96</v>
      </c>
      <c r="W188" s="104">
        <f t="shared" si="11"/>
        <v>0.96</v>
      </c>
    </row>
    <row r="189" spans="1:23" hidden="1" x14ac:dyDescent="0.55000000000000004">
      <c r="A189" s="41" t="s">
        <v>1460</v>
      </c>
      <c r="B189" s="41" t="s">
        <v>35</v>
      </c>
      <c r="C189" s="41" t="s">
        <v>10</v>
      </c>
      <c r="D189" s="41" t="s">
        <v>1409</v>
      </c>
      <c r="E189" s="41" t="s">
        <v>1448</v>
      </c>
      <c r="F189" s="41" t="s">
        <v>2081</v>
      </c>
      <c r="G189" s="41" t="s">
        <v>11</v>
      </c>
      <c r="H189" s="41" t="s">
        <v>1793</v>
      </c>
      <c r="I189" s="41"/>
      <c r="J189" s="41"/>
      <c r="K189" s="41" t="str">
        <f>IFERROR(VLOOKUP(L189,'Raw material list'!$A$3:$C$715,3,0),"")</f>
        <v>MET2-1051</v>
      </c>
      <c r="L189" s="41" t="s">
        <v>113</v>
      </c>
      <c r="M189" s="40" t="s">
        <v>156</v>
      </c>
      <c r="N189" s="40" t="str">
        <f>VLOOKUP(L189,'Raw material list'!$A$3:$E$715,5,0)</f>
        <v xml:space="preserve">Gram </v>
      </c>
      <c r="O189" s="40">
        <v>800</v>
      </c>
      <c r="P189" s="299">
        <f t="shared" si="8"/>
        <v>1556.4202334630349</v>
      </c>
      <c r="Q189" s="40">
        <v>51.4</v>
      </c>
      <c r="R189" s="40">
        <v>10</v>
      </c>
      <c r="S189" s="40"/>
      <c r="T189" s="105">
        <f t="shared" si="9"/>
        <v>80</v>
      </c>
      <c r="U189" s="105">
        <f t="shared" si="10"/>
        <v>155.64202334630349</v>
      </c>
      <c r="V189" s="104">
        <f>IFERROR(VLOOKUP(L189,'Raw material list'!$A$2:$S$3102,6,0),0)</f>
        <v>8.4705882352941173E-2</v>
      </c>
      <c r="W189" s="104">
        <f t="shared" si="11"/>
        <v>13.183794918745706</v>
      </c>
    </row>
    <row r="190" spans="1:23" hidden="1" x14ac:dyDescent="0.55000000000000004">
      <c r="A190" s="41" t="s">
        <v>1460</v>
      </c>
      <c r="B190" s="41" t="s">
        <v>35</v>
      </c>
      <c r="C190" s="41" t="s">
        <v>10</v>
      </c>
      <c r="D190" s="41" t="s">
        <v>1409</v>
      </c>
      <c r="E190" s="41" t="s">
        <v>1448</v>
      </c>
      <c r="F190" s="41" t="s">
        <v>2079</v>
      </c>
      <c r="G190" s="41" t="s">
        <v>11</v>
      </c>
      <c r="H190" s="41" t="s">
        <v>1793</v>
      </c>
      <c r="I190" s="41"/>
      <c r="J190" s="41"/>
      <c r="K190" s="41" t="str">
        <f>IFERROR(VLOOKUP(L190,'Raw material list'!$A$3:$C$715,3,0),"")</f>
        <v>PRD3-5038</v>
      </c>
      <c r="L190" s="41" t="s">
        <v>965</v>
      </c>
      <c r="M190" s="40" t="s">
        <v>156</v>
      </c>
      <c r="N190" s="40" t="str">
        <f>VLOOKUP(L190,'Raw material list'!$A$3:$E$715,5,0)</f>
        <v xml:space="preserve">Gram </v>
      </c>
      <c r="O190" s="40">
        <v>200</v>
      </c>
      <c r="P190" s="299">
        <f t="shared" si="8"/>
        <v>200</v>
      </c>
      <c r="Q190" s="40">
        <v>100</v>
      </c>
      <c r="R190" s="40">
        <v>10</v>
      </c>
      <c r="S190" s="40"/>
      <c r="T190" s="105">
        <f t="shared" si="9"/>
        <v>20</v>
      </c>
      <c r="U190" s="105">
        <f t="shared" si="10"/>
        <v>20</v>
      </c>
      <c r="V190" s="104">
        <f>IFERROR(VLOOKUP(L190,'Raw material list'!$A$2:$S$3102,6,0),0)</f>
        <v>2.5999999999999999E-2</v>
      </c>
      <c r="W190" s="104">
        <f t="shared" si="11"/>
        <v>0.52</v>
      </c>
    </row>
    <row r="191" spans="1:23" hidden="1" x14ac:dyDescent="0.55000000000000004">
      <c r="A191" s="41" t="s">
        <v>1460</v>
      </c>
      <c r="B191" s="41" t="s">
        <v>35</v>
      </c>
      <c r="C191" s="41" t="s">
        <v>10</v>
      </c>
      <c r="D191" s="41" t="s">
        <v>1409</v>
      </c>
      <c r="E191" s="41" t="s">
        <v>1448</v>
      </c>
      <c r="F191" s="41" t="s">
        <v>2079</v>
      </c>
      <c r="G191" s="41" t="s">
        <v>11</v>
      </c>
      <c r="H191" s="41" t="s">
        <v>1793</v>
      </c>
      <c r="I191" s="41"/>
      <c r="J191" s="41"/>
      <c r="K191" s="41" t="str">
        <f>IFERROR(VLOOKUP(L191,'Raw material list'!$A$3:$C$715,3,0),"")</f>
        <v>PRD1-4327</v>
      </c>
      <c r="L191" s="41" t="s">
        <v>39</v>
      </c>
      <c r="M191" s="40" t="s">
        <v>156</v>
      </c>
      <c r="N191" s="40" t="str">
        <f>VLOOKUP(L191,'Raw material list'!$A$3:$E$715,5,0)</f>
        <v xml:space="preserve">Gram </v>
      </c>
      <c r="O191" s="40">
        <v>30</v>
      </c>
      <c r="P191" s="299">
        <f t="shared" si="8"/>
        <v>36.144578313253014</v>
      </c>
      <c r="Q191" s="105">
        <v>83</v>
      </c>
      <c r="R191" s="40">
        <v>10</v>
      </c>
      <c r="S191" s="40"/>
      <c r="T191" s="105">
        <f t="shared" si="9"/>
        <v>3</v>
      </c>
      <c r="U191" s="105">
        <f t="shared" si="10"/>
        <v>3.6144578313253013</v>
      </c>
      <c r="V191" s="104">
        <f>IFERROR(VLOOKUP(L191,'Raw material list'!$A$2:$S$3102,6,0),0)</f>
        <v>1.2999999999999999E-2</v>
      </c>
      <c r="W191" s="104">
        <f t="shared" si="11"/>
        <v>4.6987951807228916E-2</v>
      </c>
    </row>
    <row r="192" spans="1:23" hidden="1" x14ac:dyDescent="0.55000000000000004">
      <c r="A192" s="41" t="s">
        <v>1460</v>
      </c>
      <c r="B192" s="41" t="s">
        <v>35</v>
      </c>
      <c r="C192" s="41" t="s">
        <v>10</v>
      </c>
      <c r="D192" s="41" t="s">
        <v>1409</v>
      </c>
      <c r="E192" s="41" t="s">
        <v>1448</v>
      </c>
      <c r="F192" s="41" t="s">
        <v>2079</v>
      </c>
      <c r="G192" s="41" t="s">
        <v>11</v>
      </c>
      <c r="H192" s="41" t="s">
        <v>1793</v>
      </c>
      <c r="I192" s="41"/>
      <c r="J192" s="41"/>
      <c r="K192" s="41" t="str">
        <f>IFERROR(VLOOKUP(L192,'Raw material list'!$A$3:$C$715,3,0),"")</f>
        <v>DRS3-1813</v>
      </c>
      <c r="L192" s="41" t="s">
        <v>69</v>
      </c>
      <c r="M192" s="40" t="s">
        <v>206</v>
      </c>
      <c r="N192" s="40" t="str">
        <f>VLOOKUP(L192,'Raw material list'!$A$3:$E$715,5,0)</f>
        <v>Ml</v>
      </c>
      <c r="O192" s="40">
        <v>50</v>
      </c>
      <c r="P192" s="299">
        <f t="shared" si="8"/>
        <v>50</v>
      </c>
      <c r="Q192" s="300">
        <v>100</v>
      </c>
      <c r="R192" s="40">
        <v>10</v>
      </c>
      <c r="S192" s="40"/>
      <c r="T192" s="105">
        <f t="shared" si="9"/>
        <v>5</v>
      </c>
      <c r="U192" s="105">
        <f t="shared" si="10"/>
        <v>5</v>
      </c>
      <c r="V192" s="104">
        <f>IFERROR(VLOOKUP(L192,'Raw material list'!$A$2:$S$3102,6,0),0)</f>
        <v>8.0555555555555554E-3</v>
      </c>
      <c r="W192" s="104">
        <f t="shared" si="11"/>
        <v>4.0277777777777773E-2</v>
      </c>
    </row>
    <row r="193" spans="1:23" hidden="1" x14ac:dyDescent="0.55000000000000004">
      <c r="A193" s="41" t="s">
        <v>1460</v>
      </c>
      <c r="B193" s="41" t="s">
        <v>35</v>
      </c>
      <c r="C193" s="41" t="s">
        <v>10</v>
      </c>
      <c r="D193" s="41" t="s">
        <v>1409</v>
      </c>
      <c r="E193" s="41" t="s">
        <v>1448</v>
      </c>
      <c r="F193" s="41" t="s">
        <v>2079</v>
      </c>
      <c r="G193" s="41" t="s">
        <v>11</v>
      </c>
      <c r="H193" s="41" t="s">
        <v>1793</v>
      </c>
      <c r="I193" s="41"/>
      <c r="J193" s="41"/>
      <c r="K193" s="41" t="str">
        <f>IFERROR(VLOOKUP(L193,'Raw material list'!$A$3:$C$715,3,0),"")</f>
        <v>DRS1-1747</v>
      </c>
      <c r="L193" s="41" t="s">
        <v>44</v>
      </c>
      <c r="M193" s="40" t="s">
        <v>156</v>
      </c>
      <c r="N193" s="40" t="str">
        <f>VLOOKUP(L193,'Raw material list'!$A$3:$E$715,5,0)</f>
        <v xml:space="preserve">Gram </v>
      </c>
      <c r="O193" s="40">
        <v>75</v>
      </c>
      <c r="P193" s="299">
        <f t="shared" si="8"/>
        <v>75</v>
      </c>
      <c r="Q193" s="40">
        <v>100</v>
      </c>
      <c r="R193" s="40">
        <v>10</v>
      </c>
      <c r="S193" s="40"/>
      <c r="T193" s="105">
        <f t="shared" si="9"/>
        <v>7.5</v>
      </c>
      <c r="U193" s="105">
        <f t="shared" si="10"/>
        <v>7.5</v>
      </c>
      <c r="V193" s="104">
        <f>IFERROR(VLOOKUP(L193,'Raw material list'!$A$2:$S$3102,6,0),0)</f>
        <v>5.185185185185185E-3</v>
      </c>
      <c r="W193" s="104">
        <f t="shared" si="11"/>
        <v>3.888888888888889E-2</v>
      </c>
    </row>
    <row r="194" spans="1:23" hidden="1" x14ac:dyDescent="0.55000000000000004">
      <c r="A194" s="41" t="s">
        <v>1460</v>
      </c>
      <c r="B194" s="41" t="s">
        <v>35</v>
      </c>
      <c r="C194" s="41" t="s">
        <v>10</v>
      </c>
      <c r="D194" s="41" t="s">
        <v>1409</v>
      </c>
      <c r="E194" s="41" t="s">
        <v>1448</v>
      </c>
      <c r="F194" s="41" t="s">
        <v>2079</v>
      </c>
      <c r="G194" s="41" t="s">
        <v>11</v>
      </c>
      <c r="H194" s="41" t="s">
        <v>1793</v>
      </c>
      <c r="I194" s="41"/>
      <c r="J194" s="41"/>
      <c r="K194" s="41" t="str">
        <f>IFERROR(VLOOKUP(L194,'Raw material list'!$A$3:$C$715,3,0),"")</f>
        <v>DRS1-607</v>
      </c>
      <c r="L194" s="41" t="s">
        <v>250</v>
      </c>
      <c r="M194" s="40" t="s">
        <v>156</v>
      </c>
      <c r="N194" s="40" t="str">
        <f>VLOOKUP(L194,'Raw material list'!$A$3:$E$715,5,0)</f>
        <v xml:space="preserve">Gram </v>
      </c>
      <c r="O194" s="40">
        <v>500</v>
      </c>
      <c r="P194" s="299">
        <f t="shared" si="8"/>
        <v>500</v>
      </c>
      <c r="Q194" s="40">
        <v>100</v>
      </c>
      <c r="R194" s="40">
        <v>10</v>
      </c>
      <c r="S194" s="40"/>
      <c r="T194" s="105">
        <f t="shared" si="9"/>
        <v>50</v>
      </c>
      <c r="U194" s="105">
        <f t="shared" si="10"/>
        <v>50</v>
      </c>
      <c r="V194" s="104">
        <f>IFERROR(VLOOKUP(L194,'Raw material list'!$A$2:$S$3102,6,0),0)</f>
        <v>5.8823529411764705E-3</v>
      </c>
      <c r="W194" s="104">
        <f t="shared" si="11"/>
        <v>0.29411764705882354</v>
      </c>
    </row>
    <row r="195" spans="1:23" hidden="1" x14ac:dyDescent="0.55000000000000004">
      <c r="A195" s="41" t="s">
        <v>1460</v>
      </c>
      <c r="B195" s="41" t="s">
        <v>35</v>
      </c>
      <c r="C195" s="41" t="s">
        <v>10</v>
      </c>
      <c r="D195" s="41" t="s">
        <v>1409</v>
      </c>
      <c r="E195" s="41" t="s">
        <v>1448</v>
      </c>
      <c r="F195" s="41" t="s">
        <v>2079</v>
      </c>
      <c r="G195" s="41" t="s">
        <v>11</v>
      </c>
      <c r="H195" s="41" t="s">
        <v>1793</v>
      </c>
      <c r="I195" s="41"/>
      <c r="J195" s="41"/>
      <c r="K195" s="41" t="str">
        <f>IFERROR(VLOOKUP(L195,'Raw material list'!$A$3:$C$715,3,0),"")</f>
        <v>DRS6-733</v>
      </c>
      <c r="L195" s="41" t="s">
        <v>45</v>
      </c>
      <c r="M195" s="40" t="s">
        <v>156</v>
      </c>
      <c r="N195" s="40" t="str">
        <f>VLOOKUP(L195,'Raw material list'!$A$3:$E$715,5,0)</f>
        <v xml:space="preserve">Gram </v>
      </c>
      <c r="O195" s="40">
        <v>4</v>
      </c>
      <c r="P195" s="299">
        <f t="shared" si="8"/>
        <v>4</v>
      </c>
      <c r="Q195" s="40">
        <v>100</v>
      </c>
      <c r="R195" s="40">
        <v>10</v>
      </c>
      <c r="S195" s="40"/>
      <c r="T195" s="105">
        <f t="shared" si="9"/>
        <v>0.4</v>
      </c>
      <c r="U195" s="105">
        <f t="shared" si="10"/>
        <v>0.4</v>
      </c>
      <c r="V195" s="104">
        <f>IFERROR(VLOOKUP(L195,'Raw material list'!$A$2:$S$3102,6,0),0)</f>
        <v>2.8000000000000001E-2</v>
      </c>
      <c r="W195" s="104">
        <f t="shared" si="11"/>
        <v>1.1200000000000002E-2</v>
      </c>
    </row>
    <row r="196" spans="1:23" hidden="1" x14ac:dyDescent="0.55000000000000004">
      <c r="A196" s="41" t="s">
        <v>1460</v>
      </c>
      <c r="B196" s="41" t="s">
        <v>35</v>
      </c>
      <c r="C196" s="41" t="s">
        <v>10</v>
      </c>
      <c r="D196" s="41" t="s">
        <v>1409</v>
      </c>
      <c r="E196" s="41" t="s">
        <v>1448</v>
      </c>
      <c r="F196" s="41" t="s">
        <v>2079</v>
      </c>
      <c r="G196" s="41" t="s">
        <v>11</v>
      </c>
      <c r="H196" s="41" t="s">
        <v>1793</v>
      </c>
      <c r="I196" s="41"/>
      <c r="J196" s="41"/>
      <c r="K196" s="41" t="str">
        <f>IFERROR(VLOOKUP(L196,'Raw material list'!$A$3:$C$715,3,0),"")</f>
        <v>PRD1-195</v>
      </c>
      <c r="L196" s="41" t="s">
        <v>90</v>
      </c>
      <c r="M196" s="40" t="s">
        <v>156</v>
      </c>
      <c r="N196" s="40" t="str">
        <f>VLOOKUP(L196,'Raw material list'!$A$3:$E$715,5,0)</f>
        <v xml:space="preserve">Gram </v>
      </c>
      <c r="O196" s="40">
        <v>4</v>
      </c>
      <c r="P196" s="299">
        <f t="shared" si="8"/>
        <v>9.3749999999999982</v>
      </c>
      <c r="Q196" s="105">
        <v>42.666666666666671</v>
      </c>
      <c r="R196" s="40">
        <v>10</v>
      </c>
      <c r="S196" s="40"/>
      <c r="T196" s="105">
        <f t="shared" si="9"/>
        <v>0.4</v>
      </c>
      <c r="U196" s="105">
        <f t="shared" si="10"/>
        <v>0.93749999999999978</v>
      </c>
      <c r="V196" s="104">
        <f>IFERROR(VLOOKUP(L196,'Raw material list'!$A$2:$S$3102,6,0),0)</f>
        <v>9.3676814988290415E-3</v>
      </c>
      <c r="W196" s="104">
        <f t="shared" si="11"/>
        <v>8.7822014051522242E-3</v>
      </c>
    </row>
    <row r="197" spans="1:23" s="66" customFormat="1" hidden="1" x14ac:dyDescent="0.55000000000000004">
      <c r="A197" s="41" t="s">
        <v>1460</v>
      </c>
      <c r="B197" s="41" t="s">
        <v>35</v>
      </c>
      <c r="C197" s="41" t="s">
        <v>10</v>
      </c>
      <c r="D197" s="41" t="s">
        <v>1409</v>
      </c>
      <c r="E197" s="41" t="s">
        <v>1448</v>
      </c>
      <c r="F197" s="41" t="s">
        <v>2079</v>
      </c>
      <c r="G197" s="41" t="s">
        <v>11</v>
      </c>
      <c r="H197" s="41" t="s">
        <v>1793</v>
      </c>
      <c r="I197" s="64"/>
      <c r="J197" s="64"/>
      <c r="K197" s="41" t="str">
        <f>IFERROR(VLOOKUP(L197,'Raw material list'!$A$3:$C$715,3,0),"")</f>
        <v>DRS6-537</v>
      </c>
      <c r="L197" s="64" t="s">
        <v>46</v>
      </c>
      <c r="M197" s="65" t="s">
        <v>156</v>
      </c>
      <c r="N197" s="40" t="str">
        <f>VLOOKUP(L197,'Raw material list'!$A$3:$E$715,5,0)</f>
        <v xml:space="preserve">Gram </v>
      </c>
      <c r="O197" s="40">
        <v>2</v>
      </c>
      <c r="P197" s="299">
        <f t="shared" si="8"/>
        <v>2</v>
      </c>
      <c r="Q197" s="300">
        <v>100</v>
      </c>
      <c r="R197" s="40">
        <v>10</v>
      </c>
      <c r="S197" s="40"/>
      <c r="T197" s="105">
        <f t="shared" si="9"/>
        <v>0.2</v>
      </c>
      <c r="U197" s="105">
        <f t="shared" si="10"/>
        <v>0.2</v>
      </c>
      <c r="V197" s="104">
        <f>IFERROR(VLOOKUP(L197,'Raw material list'!$A$2:$S$3102,6,0),0)</f>
        <v>3.5000000000000003E-2</v>
      </c>
      <c r="W197" s="104">
        <f t="shared" si="11"/>
        <v>7.000000000000001E-3</v>
      </c>
    </row>
    <row r="198" spans="1:23" s="75" customFormat="1" hidden="1" x14ac:dyDescent="0.55000000000000004">
      <c r="A198" s="41" t="s">
        <v>1460</v>
      </c>
      <c r="B198" s="41" t="s">
        <v>35</v>
      </c>
      <c r="C198" s="41" t="s">
        <v>10</v>
      </c>
      <c r="D198" s="41" t="s">
        <v>1409</v>
      </c>
      <c r="E198" s="41" t="s">
        <v>1448</v>
      </c>
      <c r="F198" s="41" t="s">
        <v>2079</v>
      </c>
      <c r="G198" s="41" t="s">
        <v>11</v>
      </c>
      <c r="H198" s="41" t="s">
        <v>1793</v>
      </c>
      <c r="I198" s="64"/>
      <c r="J198" s="64"/>
      <c r="K198" s="41" t="str">
        <f>IFERROR(VLOOKUP(L198,'Raw material list'!$A$3:$C$715,3,0),"")</f>
        <v>PRD1-231</v>
      </c>
      <c r="L198" s="64" t="s">
        <v>1046</v>
      </c>
      <c r="M198" s="65" t="s">
        <v>156</v>
      </c>
      <c r="N198" s="40" t="str">
        <f>VLOOKUP(L198,'Raw material list'!$A$3:$E$715,5,0)</f>
        <v xml:space="preserve">Gram </v>
      </c>
      <c r="O198" s="40">
        <v>400</v>
      </c>
      <c r="P198" s="299">
        <f t="shared" ref="P198:P261" si="12">O198/Q198*100</f>
        <v>483.28634716069274</v>
      </c>
      <c r="Q198" s="105">
        <v>82.766666666666666</v>
      </c>
      <c r="R198" s="40">
        <v>10</v>
      </c>
      <c r="S198" s="40"/>
      <c r="T198" s="105">
        <f t="shared" ref="T198:T261" si="13">IFERROR(O198/R198,0)</f>
        <v>40</v>
      </c>
      <c r="U198" s="105">
        <f t="shared" ref="U198:U261" si="14">IFERROR(P198/R198,0)</f>
        <v>48.328634716069274</v>
      </c>
      <c r="V198" s="104">
        <f>IFERROR(VLOOKUP(L198,'Raw material list'!$A$2:$S$3102,6,0),0)</f>
        <v>9.6618357487922701E-3</v>
      </c>
      <c r="W198" s="104">
        <f t="shared" ref="W198:W261" si="15">IFERROR(V198*U198,0)</f>
        <v>0.46694333059004128</v>
      </c>
    </row>
    <row r="199" spans="1:23" s="75" customFormat="1" hidden="1" x14ac:dyDescent="0.55000000000000004">
      <c r="A199" s="41" t="s">
        <v>1460</v>
      </c>
      <c r="B199" s="41" t="s">
        <v>35</v>
      </c>
      <c r="C199" s="41" t="s">
        <v>10</v>
      </c>
      <c r="D199" s="41" t="s">
        <v>1409</v>
      </c>
      <c r="E199" s="41" t="s">
        <v>1448</v>
      </c>
      <c r="F199" s="41" t="s">
        <v>2079</v>
      </c>
      <c r="G199" s="41" t="s">
        <v>11</v>
      </c>
      <c r="H199" s="41" t="s">
        <v>1793</v>
      </c>
      <c r="I199" s="64"/>
      <c r="J199" s="64"/>
      <c r="K199" s="41" t="str">
        <f>IFERROR(VLOOKUP(L199,'Raw material list'!$A$3:$C$715,3,0),"")</f>
        <v>PRD1-186</v>
      </c>
      <c r="L199" s="64" t="s">
        <v>37</v>
      </c>
      <c r="M199" s="65" t="s">
        <v>156</v>
      </c>
      <c r="N199" s="40" t="str">
        <f>VLOOKUP(L199,'Raw material list'!$A$3:$E$715,5,0)</f>
        <v xml:space="preserve">Gram </v>
      </c>
      <c r="O199" s="40">
        <v>300</v>
      </c>
      <c r="P199" s="299">
        <f t="shared" si="12"/>
        <v>367.34693877551018</v>
      </c>
      <c r="Q199" s="105">
        <v>81.666666666666671</v>
      </c>
      <c r="R199" s="40">
        <v>10</v>
      </c>
      <c r="S199" s="40"/>
      <c r="T199" s="105">
        <f t="shared" si="13"/>
        <v>30</v>
      </c>
      <c r="U199" s="105">
        <f t="shared" si="14"/>
        <v>36.734693877551017</v>
      </c>
      <c r="V199" s="104">
        <f>IFERROR(VLOOKUP(L199,'Raw material list'!$A$2:$S$3102,6,0),0)</f>
        <v>5.8139534883720938E-3</v>
      </c>
      <c r="W199" s="104">
        <f t="shared" si="15"/>
        <v>0.21357380161366873</v>
      </c>
    </row>
    <row r="200" spans="1:23" s="75" customFormat="1" hidden="1" x14ac:dyDescent="0.55000000000000004">
      <c r="A200" s="41" t="s">
        <v>1460</v>
      </c>
      <c r="B200" s="41" t="s">
        <v>35</v>
      </c>
      <c r="C200" s="41" t="s">
        <v>10</v>
      </c>
      <c r="D200" s="41" t="s">
        <v>1409</v>
      </c>
      <c r="E200" s="41" t="s">
        <v>1448</v>
      </c>
      <c r="F200" s="41" t="s">
        <v>2079</v>
      </c>
      <c r="G200" s="41" t="s">
        <v>11</v>
      </c>
      <c r="H200" s="41" t="s">
        <v>1793</v>
      </c>
      <c r="I200" s="64"/>
      <c r="J200" s="64"/>
      <c r="K200" s="41" t="str">
        <f>IFERROR(VLOOKUP(L200,'Raw material list'!$A$3:$C$715,3,0),"")</f>
        <v>PRD1-232</v>
      </c>
      <c r="L200" s="64" t="s">
        <v>116</v>
      </c>
      <c r="M200" s="65" t="s">
        <v>156</v>
      </c>
      <c r="N200" s="40" t="str">
        <f>VLOOKUP(L200,'Raw material list'!$A$3:$E$715,5,0)</f>
        <v xml:space="preserve">Gram </v>
      </c>
      <c r="O200" s="40">
        <v>300</v>
      </c>
      <c r="P200" s="299">
        <f t="shared" si="12"/>
        <v>416.66666666666669</v>
      </c>
      <c r="Q200" s="105">
        <v>72</v>
      </c>
      <c r="R200" s="40">
        <v>10</v>
      </c>
      <c r="S200" s="40"/>
      <c r="T200" s="105">
        <f t="shared" si="13"/>
        <v>30</v>
      </c>
      <c r="U200" s="105">
        <f t="shared" si="14"/>
        <v>41.666666666666671</v>
      </c>
      <c r="V200" s="104">
        <f>IFERROR(VLOOKUP(L200,'Raw material list'!$A$2:$S$3102,6,0),0)</f>
        <v>4.4444444444444444E-3</v>
      </c>
      <c r="W200" s="104">
        <f t="shared" si="15"/>
        <v>0.1851851851851852</v>
      </c>
    </row>
    <row r="201" spans="1:23" s="75" customFormat="1" hidden="1" x14ac:dyDescent="0.55000000000000004">
      <c r="A201" s="41" t="s">
        <v>1460</v>
      </c>
      <c r="B201" s="41" t="s">
        <v>35</v>
      </c>
      <c r="C201" s="41" t="s">
        <v>10</v>
      </c>
      <c r="D201" s="41" t="s">
        <v>1409</v>
      </c>
      <c r="E201" s="41" t="s">
        <v>1448</v>
      </c>
      <c r="F201" s="41" t="s">
        <v>2079</v>
      </c>
      <c r="G201" s="41" t="s">
        <v>11</v>
      </c>
      <c r="H201" s="41" t="s">
        <v>1793</v>
      </c>
      <c r="I201" s="64"/>
      <c r="J201" s="64"/>
      <c r="K201" s="41" t="str">
        <f>IFERROR(VLOOKUP(L201,'Raw material list'!$A$3:$C$715,3,0),"")</f>
        <v>PRD1-3794</v>
      </c>
      <c r="L201" s="64" t="s">
        <v>973</v>
      </c>
      <c r="M201" s="65" t="s">
        <v>156</v>
      </c>
      <c r="N201" s="40" t="str">
        <f>VLOOKUP(L201,'Raw material list'!$A$3:$E$715,5,0)</f>
        <v xml:space="preserve">Gram </v>
      </c>
      <c r="O201" s="40">
        <v>300</v>
      </c>
      <c r="P201" s="299">
        <f t="shared" si="12"/>
        <v>370.37037037037038</v>
      </c>
      <c r="Q201" s="105">
        <v>81</v>
      </c>
      <c r="R201" s="40">
        <v>10</v>
      </c>
      <c r="S201" s="40"/>
      <c r="T201" s="105">
        <f t="shared" si="13"/>
        <v>30</v>
      </c>
      <c r="U201" s="105">
        <f t="shared" si="14"/>
        <v>37.037037037037038</v>
      </c>
      <c r="V201" s="104">
        <f>IFERROR(VLOOKUP(L201,'Raw material list'!$A$2:$S$3102,6,0),0)</f>
        <v>4.9382716049382715E-3</v>
      </c>
      <c r="W201" s="104">
        <f t="shared" si="15"/>
        <v>0.18289894833104708</v>
      </c>
    </row>
    <row r="202" spans="1:23" s="75" customFormat="1" hidden="1" x14ac:dyDescent="0.55000000000000004">
      <c r="A202" s="41" t="s">
        <v>1460</v>
      </c>
      <c r="B202" s="41" t="s">
        <v>35</v>
      </c>
      <c r="C202" s="41" t="s">
        <v>10</v>
      </c>
      <c r="D202" s="41" t="s">
        <v>1409</v>
      </c>
      <c r="E202" s="41" t="s">
        <v>1448</v>
      </c>
      <c r="F202" s="41" t="s">
        <v>2079</v>
      </c>
      <c r="G202" s="41" t="s">
        <v>11</v>
      </c>
      <c r="H202" s="41" t="s">
        <v>1793</v>
      </c>
      <c r="I202" s="64"/>
      <c r="J202" s="64"/>
      <c r="K202" s="41" t="str">
        <f>IFERROR(VLOOKUP(L202,'Raw material list'!$A$3:$C$715,3,0),"")</f>
        <v>PRD2-3566</v>
      </c>
      <c r="L202" s="64" t="s">
        <v>123</v>
      </c>
      <c r="M202" s="65" t="s">
        <v>156</v>
      </c>
      <c r="N202" s="40" t="str">
        <f>VLOOKUP(L202,'Raw material list'!$A$3:$E$715,5,0)</f>
        <v xml:space="preserve">Gram </v>
      </c>
      <c r="O202" s="40">
        <v>200</v>
      </c>
      <c r="P202" s="299">
        <f t="shared" si="12"/>
        <v>200</v>
      </c>
      <c r="Q202" s="300">
        <v>100</v>
      </c>
      <c r="R202" s="40">
        <v>10</v>
      </c>
      <c r="S202" s="40"/>
      <c r="T202" s="105">
        <f t="shared" si="13"/>
        <v>20</v>
      </c>
      <c r="U202" s="105">
        <f t="shared" si="14"/>
        <v>20</v>
      </c>
      <c r="V202" s="104">
        <f>IFERROR(VLOOKUP(L202,'Raw material list'!$A$2:$S$3102,6,0),0)</f>
        <v>8.2249999999999997E-3</v>
      </c>
      <c r="W202" s="104">
        <f t="shared" si="15"/>
        <v>0.16449999999999998</v>
      </c>
    </row>
    <row r="203" spans="1:23" s="75" customFormat="1" hidden="1" x14ac:dyDescent="0.55000000000000004">
      <c r="A203" s="41" t="s">
        <v>1460</v>
      </c>
      <c r="B203" s="41" t="s">
        <v>35</v>
      </c>
      <c r="C203" s="41" t="s">
        <v>10</v>
      </c>
      <c r="D203" s="41" t="s">
        <v>1409</v>
      </c>
      <c r="E203" s="41" t="s">
        <v>1448</v>
      </c>
      <c r="F203" s="41" t="s">
        <v>2079</v>
      </c>
      <c r="G203" s="41" t="s">
        <v>11</v>
      </c>
      <c r="H203" s="41" t="s">
        <v>1793</v>
      </c>
      <c r="I203" s="64"/>
      <c r="J203" s="64"/>
      <c r="K203" s="41" t="str">
        <f>IFERROR(VLOOKUP(L203,'Raw material list'!$A$3:$C$715,3,0),"")</f>
        <v>BKR1-4717</v>
      </c>
      <c r="L203" s="64" t="s">
        <v>175</v>
      </c>
      <c r="M203" s="65" t="s">
        <v>156</v>
      </c>
      <c r="N203" s="40" t="str">
        <f>VLOOKUP(L203,'Raw material list'!$A$3:$E$715,5,0)</f>
        <v xml:space="preserve">Gram </v>
      </c>
      <c r="O203" s="40">
        <v>200</v>
      </c>
      <c r="P203" s="299">
        <f t="shared" si="12"/>
        <v>200</v>
      </c>
      <c r="Q203" s="40">
        <v>100</v>
      </c>
      <c r="R203" s="40">
        <v>10</v>
      </c>
      <c r="S203" s="40"/>
      <c r="T203" s="105">
        <f t="shared" si="13"/>
        <v>20</v>
      </c>
      <c r="U203" s="105">
        <f t="shared" si="14"/>
        <v>20</v>
      </c>
      <c r="V203" s="104">
        <f>IFERROR(VLOOKUP(L203,'Raw material list'!$A$2:$S$3102,6,0),0)</f>
        <v>1.2999999999999999E-2</v>
      </c>
      <c r="W203" s="104">
        <f t="shared" si="15"/>
        <v>0.26</v>
      </c>
    </row>
    <row r="204" spans="1:23" s="75" customFormat="1" hidden="1" x14ac:dyDescent="0.55000000000000004">
      <c r="A204" s="41" t="s">
        <v>1460</v>
      </c>
      <c r="B204" s="41" t="s">
        <v>35</v>
      </c>
      <c r="C204" s="41" t="s">
        <v>10</v>
      </c>
      <c r="D204" s="41" t="s">
        <v>1409</v>
      </c>
      <c r="E204" s="41" t="s">
        <v>1448</v>
      </c>
      <c r="F204" s="41" t="s">
        <v>2079</v>
      </c>
      <c r="G204" s="41" t="s">
        <v>11</v>
      </c>
      <c r="H204" s="41" t="s">
        <v>1793</v>
      </c>
      <c r="I204" s="64"/>
      <c r="J204" s="64"/>
      <c r="K204" s="41" t="str">
        <f>IFERROR(VLOOKUP(L204,'Raw material list'!$A$3:$C$715,3,0),"")</f>
        <v>TAP-00001</v>
      </c>
      <c r="L204" s="64" t="s">
        <v>1405</v>
      </c>
      <c r="M204" s="65" t="s">
        <v>206</v>
      </c>
      <c r="N204" s="40" t="str">
        <f>VLOOKUP(L204,'Raw material list'!$A$3:$E$715,5,0)</f>
        <v>Ml</v>
      </c>
      <c r="O204" s="40">
        <v>1500</v>
      </c>
      <c r="P204" s="299">
        <f t="shared" si="12"/>
        <v>1500</v>
      </c>
      <c r="Q204" s="40">
        <v>100</v>
      </c>
      <c r="R204" s="40">
        <v>10</v>
      </c>
      <c r="S204" s="40"/>
      <c r="T204" s="105">
        <f t="shared" si="13"/>
        <v>150</v>
      </c>
      <c r="U204" s="105">
        <f t="shared" si="14"/>
        <v>150</v>
      </c>
      <c r="V204" s="104">
        <f>IFERROR(VLOOKUP(L204,'Raw material list'!$A$2:$S$3102,6,0),0)</f>
        <v>8.0000000000000007E-5</v>
      </c>
      <c r="W204" s="104">
        <f t="shared" si="15"/>
        <v>1.2E-2</v>
      </c>
    </row>
    <row r="205" spans="1:23" s="75" customFormat="1" hidden="1" x14ac:dyDescent="0.55000000000000004">
      <c r="A205" s="41" t="s">
        <v>1460</v>
      </c>
      <c r="B205" s="41" t="s">
        <v>35</v>
      </c>
      <c r="C205" s="41" t="s">
        <v>10</v>
      </c>
      <c r="D205" s="41" t="s">
        <v>1409</v>
      </c>
      <c r="E205" s="41" t="s">
        <v>1448</v>
      </c>
      <c r="F205" s="41" t="s">
        <v>2079</v>
      </c>
      <c r="G205" s="41" t="s">
        <v>11</v>
      </c>
      <c r="H205" s="41" t="s">
        <v>1793</v>
      </c>
      <c r="I205" s="64"/>
      <c r="J205" s="64"/>
      <c r="K205" s="41" t="str">
        <f>IFERROR(VLOOKUP(L205,'Raw material list'!$A$3:$C$715,3,0),"")</f>
        <v>DRS1-3813</v>
      </c>
      <c r="L205" s="64" t="s">
        <v>67</v>
      </c>
      <c r="M205" s="65" t="s">
        <v>156</v>
      </c>
      <c r="N205" s="40" t="str">
        <f>VLOOKUP(L205,'Raw material list'!$A$3:$E$715,5,0)</f>
        <v xml:space="preserve">Gram </v>
      </c>
      <c r="O205" s="40">
        <v>20</v>
      </c>
      <c r="P205" s="299">
        <f t="shared" si="12"/>
        <v>20</v>
      </c>
      <c r="Q205" s="40">
        <v>100</v>
      </c>
      <c r="R205" s="40">
        <v>10</v>
      </c>
      <c r="S205" s="40"/>
      <c r="T205" s="105">
        <f t="shared" si="13"/>
        <v>2</v>
      </c>
      <c r="U205" s="105">
        <f t="shared" si="14"/>
        <v>2</v>
      </c>
      <c r="V205" s="104">
        <f>IFERROR(VLOOKUP(L205,'Raw material list'!$A$2:$S$3102,6,0),0)</f>
        <v>4.4441666666666664E-2</v>
      </c>
      <c r="W205" s="104">
        <f t="shared" si="15"/>
        <v>8.8883333333333328E-2</v>
      </c>
    </row>
    <row r="206" spans="1:23" s="75" customFormat="1" hidden="1" x14ac:dyDescent="0.55000000000000004">
      <c r="A206" s="41" t="s">
        <v>1461</v>
      </c>
      <c r="B206" s="41" t="s">
        <v>35</v>
      </c>
      <c r="C206" s="41" t="s">
        <v>10</v>
      </c>
      <c r="D206" s="64" t="s">
        <v>1410</v>
      </c>
      <c r="E206" s="41" t="s">
        <v>1448</v>
      </c>
      <c r="F206" s="41" t="s">
        <v>2081</v>
      </c>
      <c r="G206" s="41" t="s">
        <v>11</v>
      </c>
      <c r="H206" s="41" t="s">
        <v>1774</v>
      </c>
      <c r="I206" s="64"/>
      <c r="J206" s="64"/>
      <c r="K206" s="41" t="str">
        <f>IFERROR(VLOOKUP(L206,'Raw material list'!$A$3:$C$715,3,0),"")</f>
        <v>PLT1-1785</v>
      </c>
      <c r="L206" s="64" t="s">
        <v>77</v>
      </c>
      <c r="M206" s="65" t="s">
        <v>156</v>
      </c>
      <c r="N206" s="40" t="str">
        <f>VLOOKUP(L206,'Raw material list'!$A$3:$E$715,5,0)</f>
        <v xml:space="preserve">Gram </v>
      </c>
      <c r="O206" s="40">
        <v>3000</v>
      </c>
      <c r="P206" s="299">
        <f t="shared" si="12"/>
        <v>3662.2950819672133</v>
      </c>
      <c r="Q206" s="40">
        <v>81.915846016114585</v>
      </c>
      <c r="R206" s="40">
        <v>10</v>
      </c>
      <c r="S206" s="40"/>
      <c r="T206" s="105">
        <f t="shared" si="13"/>
        <v>300</v>
      </c>
      <c r="U206" s="105">
        <f t="shared" si="14"/>
        <v>366.22950819672133</v>
      </c>
      <c r="V206" s="104">
        <f>IFERROR(VLOOKUP(L206,'Raw material list'!$A$2:$S$3102,6,0),0)</f>
        <v>1.3730000000000001E-2</v>
      </c>
      <c r="W206" s="104">
        <f t="shared" si="15"/>
        <v>5.0283311475409844</v>
      </c>
    </row>
    <row r="207" spans="1:23" s="75" customFormat="1" hidden="1" x14ac:dyDescent="0.55000000000000004">
      <c r="A207" s="41" t="s">
        <v>1461</v>
      </c>
      <c r="B207" s="41" t="s">
        <v>35</v>
      </c>
      <c r="C207" s="41" t="s">
        <v>10</v>
      </c>
      <c r="D207" s="64" t="s">
        <v>1410</v>
      </c>
      <c r="E207" s="41" t="s">
        <v>1448</v>
      </c>
      <c r="F207" s="41" t="s">
        <v>2079</v>
      </c>
      <c r="G207" s="41" t="s">
        <v>11</v>
      </c>
      <c r="H207" s="41" t="s">
        <v>1774</v>
      </c>
      <c r="I207" s="64"/>
      <c r="J207" s="64"/>
      <c r="K207" s="41" t="str">
        <f>IFERROR(VLOOKUP(L207,'Raw material list'!$A$3:$C$715,3,0),"")</f>
        <v>DRS6-4482</v>
      </c>
      <c r="L207" s="64" t="s">
        <v>716</v>
      </c>
      <c r="M207" s="65" t="s">
        <v>156</v>
      </c>
      <c r="N207" s="40" t="str">
        <f>VLOOKUP(L207,'Raw material list'!$A$3:$E$715,5,0)</f>
        <v xml:space="preserve">Gram </v>
      </c>
      <c r="O207" s="40">
        <v>2</v>
      </c>
      <c r="P207" s="299">
        <f t="shared" si="12"/>
        <v>2</v>
      </c>
      <c r="Q207" s="40">
        <v>100</v>
      </c>
      <c r="R207" s="40">
        <v>10</v>
      </c>
      <c r="S207" s="40"/>
      <c r="T207" s="105">
        <f t="shared" si="13"/>
        <v>0.2</v>
      </c>
      <c r="U207" s="105">
        <f t="shared" si="14"/>
        <v>0.2</v>
      </c>
      <c r="V207" s="104">
        <f>IFERROR(VLOOKUP(L207,'Raw material list'!$A$2:$S$3102,6,0),0)</f>
        <v>1.04E-2</v>
      </c>
      <c r="W207" s="104">
        <f t="shared" si="15"/>
        <v>2.0799999999999998E-3</v>
      </c>
    </row>
    <row r="208" spans="1:23" s="75" customFormat="1" hidden="1" x14ac:dyDescent="0.55000000000000004">
      <c r="A208" s="41" t="s">
        <v>1461</v>
      </c>
      <c r="B208" s="41" t="s">
        <v>35</v>
      </c>
      <c r="C208" s="41" t="s">
        <v>10</v>
      </c>
      <c r="D208" s="64" t="s">
        <v>1410</v>
      </c>
      <c r="E208" s="41" t="s">
        <v>1448</v>
      </c>
      <c r="F208" s="41" t="s">
        <v>2079</v>
      </c>
      <c r="G208" s="41" t="s">
        <v>11</v>
      </c>
      <c r="H208" s="41" t="s">
        <v>1774</v>
      </c>
      <c r="I208" s="64"/>
      <c r="J208" s="64"/>
      <c r="K208" s="41" t="str">
        <f>IFERROR(VLOOKUP(L208,'Raw material list'!$A$3:$C$715,3,0),"")</f>
        <v>PRD1-4265</v>
      </c>
      <c r="L208" s="64" t="s">
        <v>38</v>
      </c>
      <c r="M208" s="65" t="s">
        <v>156</v>
      </c>
      <c r="N208" s="40" t="str">
        <f>VLOOKUP(L208,'Raw material list'!$A$3:$E$715,5,0)</f>
        <v xml:space="preserve">Gram </v>
      </c>
      <c r="O208" s="40">
        <v>15</v>
      </c>
      <c r="P208" s="299">
        <f t="shared" si="12"/>
        <v>17.647058823529413</v>
      </c>
      <c r="Q208" s="105">
        <v>85</v>
      </c>
      <c r="R208" s="40">
        <v>10</v>
      </c>
      <c r="S208" s="40"/>
      <c r="T208" s="105">
        <f t="shared" si="13"/>
        <v>1.5</v>
      </c>
      <c r="U208" s="105">
        <f t="shared" si="14"/>
        <v>1.7647058823529413</v>
      </c>
      <c r="V208" s="104">
        <f>IFERROR(VLOOKUP(L208,'Raw material list'!$A$2:$S$3102,6,0),0)</f>
        <v>3.529411764705882E-3</v>
      </c>
      <c r="W208" s="104">
        <f t="shared" si="15"/>
        <v>6.2283737024221453E-3</v>
      </c>
    </row>
    <row r="209" spans="1:23" s="75" customFormat="1" hidden="1" x14ac:dyDescent="0.55000000000000004">
      <c r="A209" s="41" t="s">
        <v>1461</v>
      </c>
      <c r="B209" s="41" t="s">
        <v>35</v>
      </c>
      <c r="C209" s="41" t="s">
        <v>10</v>
      </c>
      <c r="D209" s="64" t="s">
        <v>1410</v>
      </c>
      <c r="E209" s="41" t="s">
        <v>1448</v>
      </c>
      <c r="F209" s="41" t="s">
        <v>2079</v>
      </c>
      <c r="G209" s="41" t="s">
        <v>11</v>
      </c>
      <c r="H209" s="41" t="s">
        <v>1774</v>
      </c>
      <c r="I209" s="64"/>
      <c r="J209" s="64"/>
      <c r="K209" s="41" t="str">
        <f>IFERROR(VLOOKUP(L209,'Raw material list'!$A$3:$C$715,3,0),"")</f>
        <v>PRD1-221</v>
      </c>
      <c r="L209" s="64" t="s">
        <v>1028</v>
      </c>
      <c r="M209" s="65" t="s">
        <v>156</v>
      </c>
      <c r="N209" s="40" t="str">
        <f>VLOOKUP(L209,'Raw material list'!$A$3:$E$715,5,0)</f>
        <v xml:space="preserve">Gram </v>
      </c>
      <c r="O209" s="40">
        <v>2</v>
      </c>
      <c r="P209" s="299">
        <f t="shared" si="12"/>
        <v>3.4403669724770638</v>
      </c>
      <c r="Q209" s="105">
        <v>58.13333333333334</v>
      </c>
      <c r="R209" s="40">
        <v>10</v>
      </c>
      <c r="S209" s="40"/>
      <c r="T209" s="105">
        <f t="shared" si="13"/>
        <v>0.2</v>
      </c>
      <c r="U209" s="105">
        <f t="shared" si="14"/>
        <v>0.34403669724770636</v>
      </c>
      <c r="V209" s="104">
        <f>IFERROR(VLOOKUP(L209,'Raw material list'!$A$2:$S$3102,6,0),0)</f>
        <v>6.8846815834767653E-3</v>
      </c>
      <c r="W209" s="104">
        <f t="shared" si="15"/>
        <v>2.3685831135814555E-3</v>
      </c>
    </row>
    <row r="210" spans="1:23" s="75" customFormat="1" hidden="1" x14ac:dyDescent="0.55000000000000004">
      <c r="A210" s="41" t="s">
        <v>1461</v>
      </c>
      <c r="B210" s="41" t="s">
        <v>35</v>
      </c>
      <c r="C210" s="41" t="s">
        <v>10</v>
      </c>
      <c r="D210" s="64" t="s">
        <v>1410</v>
      </c>
      <c r="E210" s="41" t="s">
        <v>1448</v>
      </c>
      <c r="F210" s="41" t="s">
        <v>2079</v>
      </c>
      <c r="G210" s="41" t="s">
        <v>11</v>
      </c>
      <c r="H210" s="41" t="s">
        <v>1774</v>
      </c>
      <c r="I210" s="64"/>
      <c r="J210" s="64"/>
      <c r="K210" s="41" t="str">
        <f>IFERROR(VLOOKUP(L210,'Raw material list'!$A$3:$C$715,3,0),"")</f>
        <v>PRD1-572</v>
      </c>
      <c r="L210" s="64" t="s">
        <v>54</v>
      </c>
      <c r="M210" s="65" t="s">
        <v>156</v>
      </c>
      <c r="N210" s="40" t="str">
        <f>VLOOKUP(L210,'Raw material list'!$A$3:$E$715,5,0)</f>
        <v xml:space="preserve">Gram </v>
      </c>
      <c r="O210" s="40">
        <v>450</v>
      </c>
      <c r="P210" s="299">
        <f t="shared" si="12"/>
        <v>510.01133358519064</v>
      </c>
      <c r="Q210" s="105">
        <v>88.233333333333348</v>
      </c>
      <c r="R210" s="40">
        <v>10</v>
      </c>
      <c r="S210" s="40"/>
      <c r="T210" s="105">
        <f t="shared" si="13"/>
        <v>45</v>
      </c>
      <c r="U210" s="105">
        <f t="shared" si="14"/>
        <v>51.001133358519063</v>
      </c>
      <c r="V210" s="104">
        <f>IFERROR(VLOOKUP(L210,'Raw material list'!$A$2:$S$3102,6,0),0)</f>
        <v>4.5351473922902496E-3</v>
      </c>
      <c r="W210" s="104">
        <f t="shared" si="15"/>
        <v>0.23129765695473498</v>
      </c>
    </row>
    <row r="211" spans="1:23" s="75" customFormat="1" hidden="1" x14ac:dyDescent="0.55000000000000004">
      <c r="A211" s="41" t="s">
        <v>1461</v>
      </c>
      <c r="B211" s="41" t="s">
        <v>35</v>
      </c>
      <c r="C211" s="41" t="s">
        <v>10</v>
      </c>
      <c r="D211" s="64" t="s">
        <v>1410</v>
      </c>
      <c r="E211" s="41" t="s">
        <v>1448</v>
      </c>
      <c r="F211" s="41" t="s">
        <v>2079</v>
      </c>
      <c r="G211" s="41" t="s">
        <v>11</v>
      </c>
      <c r="H211" s="41" t="s">
        <v>1774</v>
      </c>
      <c r="I211" s="64"/>
      <c r="J211" s="64"/>
      <c r="K211" s="41" t="str">
        <f>IFERROR(VLOOKUP(L211,'Raw material list'!$A$3:$C$715,3,0),"")</f>
        <v>PRD1-239</v>
      </c>
      <c r="L211" s="64" t="s">
        <v>1056</v>
      </c>
      <c r="M211" s="65" t="s">
        <v>156</v>
      </c>
      <c r="N211" s="40" t="str">
        <f>VLOOKUP(L211,'Raw material list'!$A$3:$E$715,5,0)</f>
        <v xml:space="preserve">Gram </v>
      </c>
      <c r="O211" s="40">
        <v>10</v>
      </c>
      <c r="P211" s="299">
        <f t="shared" si="12"/>
        <v>14.851485148514854</v>
      </c>
      <c r="Q211" s="105">
        <v>67.333333333333329</v>
      </c>
      <c r="R211" s="40">
        <v>10</v>
      </c>
      <c r="S211" s="40"/>
      <c r="T211" s="105">
        <f t="shared" si="13"/>
        <v>1</v>
      </c>
      <c r="U211" s="105">
        <f t="shared" si="14"/>
        <v>1.4851485148514854</v>
      </c>
      <c r="V211" s="104">
        <f>IFERROR(VLOOKUP(L211,'Raw material list'!$A$2:$S$3102,6,0),0)</f>
        <v>6.6864784546805346E-3</v>
      </c>
      <c r="W211" s="104">
        <f t="shared" si="15"/>
        <v>9.9304135465552515E-3</v>
      </c>
    </row>
    <row r="212" spans="1:23" s="75" customFormat="1" hidden="1" x14ac:dyDescent="0.55000000000000004">
      <c r="A212" s="41" t="s">
        <v>1461</v>
      </c>
      <c r="B212" s="41" t="s">
        <v>35</v>
      </c>
      <c r="C212" s="41" t="s">
        <v>10</v>
      </c>
      <c r="D212" s="64" t="s">
        <v>1410</v>
      </c>
      <c r="E212" s="41" t="s">
        <v>1448</v>
      </c>
      <c r="F212" s="41" t="s">
        <v>2079</v>
      </c>
      <c r="G212" s="41" t="s">
        <v>11</v>
      </c>
      <c r="H212" s="41" t="s">
        <v>1774</v>
      </c>
      <c r="I212" s="64"/>
      <c r="J212" s="64"/>
      <c r="K212" s="41" t="str">
        <f>IFERROR(VLOOKUP(L212,'Raw material list'!$A$3:$C$715,3,0),"")</f>
        <v>DRS1-3880</v>
      </c>
      <c r="L212" s="64" t="s">
        <v>1433</v>
      </c>
      <c r="M212" s="65" t="s">
        <v>156</v>
      </c>
      <c r="N212" s="40" t="str">
        <f>VLOOKUP(L212,'Raw material list'!$A$3:$E$715,5,0)</f>
        <v xml:space="preserve">Gram </v>
      </c>
      <c r="O212" s="40">
        <v>5</v>
      </c>
      <c r="P212" s="299">
        <f t="shared" si="12"/>
        <v>5</v>
      </c>
      <c r="Q212" s="300">
        <v>100</v>
      </c>
      <c r="R212" s="40">
        <v>10</v>
      </c>
      <c r="S212" s="40"/>
      <c r="T212" s="105">
        <f t="shared" si="13"/>
        <v>0.5</v>
      </c>
      <c r="U212" s="105">
        <f t="shared" si="14"/>
        <v>0.5</v>
      </c>
      <c r="V212" s="104">
        <f>IFERROR(VLOOKUP(L212,'Raw material list'!$A$2:$S$3102,6,0),0)</f>
        <v>5.0000000000000001E-4</v>
      </c>
      <c r="W212" s="104">
        <f t="shared" si="15"/>
        <v>2.5000000000000001E-4</v>
      </c>
    </row>
    <row r="213" spans="1:23" s="75" customFormat="1" hidden="1" x14ac:dyDescent="0.55000000000000004">
      <c r="A213" s="41" t="s">
        <v>1461</v>
      </c>
      <c r="B213" s="41" t="s">
        <v>35</v>
      </c>
      <c r="C213" s="41" t="s">
        <v>10</v>
      </c>
      <c r="D213" s="64" t="s">
        <v>1410</v>
      </c>
      <c r="E213" s="41" t="s">
        <v>1448</v>
      </c>
      <c r="F213" s="41" t="s">
        <v>2079</v>
      </c>
      <c r="G213" s="41" t="s">
        <v>11</v>
      </c>
      <c r="H213" s="41" t="s">
        <v>1774</v>
      </c>
      <c r="I213" s="64"/>
      <c r="J213" s="64"/>
      <c r="K213" s="41" t="str">
        <f>IFERROR(VLOOKUP(L213,'Raw material list'!$A$3:$C$715,3,0),"")</f>
        <v>DRS4-498</v>
      </c>
      <c r="L213" s="64" t="s">
        <v>72</v>
      </c>
      <c r="M213" s="65" t="s">
        <v>156</v>
      </c>
      <c r="N213" s="40" t="str">
        <f>VLOOKUP(L213,'Raw material list'!$A$3:$E$715,5,0)</f>
        <v xml:space="preserve">Gram </v>
      </c>
      <c r="O213" s="40">
        <v>1000</v>
      </c>
      <c r="P213" s="299">
        <f t="shared" si="12"/>
        <v>1000</v>
      </c>
      <c r="Q213" s="40">
        <v>100</v>
      </c>
      <c r="R213" s="40">
        <v>10</v>
      </c>
      <c r="S213" s="40"/>
      <c r="T213" s="105">
        <f t="shared" si="13"/>
        <v>100</v>
      </c>
      <c r="U213" s="105">
        <f t="shared" si="14"/>
        <v>100</v>
      </c>
      <c r="V213" s="104">
        <f>IFERROR(VLOOKUP(L213,'Raw material list'!$A$2:$S$3102,6,0),0)</f>
        <v>5.7499999999999999E-3</v>
      </c>
      <c r="W213" s="104">
        <f t="shared" si="15"/>
        <v>0.57499999999999996</v>
      </c>
    </row>
    <row r="214" spans="1:23" s="75" customFormat="1" hidden="1" x14ac:dyDescent="0.55000000000000004">
      <c r="A214" s="41" t="s">
        <v>1461</v>
      </c>
      <c r="B214" s="41" t="s">
        <v>35</v>
      </c>
      <c r="C214" s="41" t="s">
        <v>10</v>
      </c>
      <c r="D214" s="64" t="s">
        <v>1410</v>
      </c>
      <c r="E214" s="41" t="s">
        <v>1448</v>
      </c>
      <c r="F214" s="41" t="s">
        <v>2079</v>
      </c>
      <c r="G214" s="41" t="s">
        <v>11</v>
      </c>
      <c r="H214" s="41" t="s">
        <v>1774</v>
      </c>
      <c r="I214" s="64"/>
      <c r="J214" s="64"/>
      <c r="K214" s="41" t="str">
        <f>IFERROR(VLOOKUP(L214,'Raw material list'!$A$3:$C$715,3,0),"")</f>
        <v>PRD1-573</v>
      </c>
      <c r="L214" s="64" t="s">
        <v>1063</v>
      </c>
      <c r="M214" s="65" t="s">
        <v>156</v>
      </c>
      <c r="N214" s="40" t="str">
        <f>VLOOKUP(L214,'Raw material list'!$A$3:$E$715,5,0)</f>
        <v xml:space="preserve">Gram </v>
      </c>
      <c r="O214" s="40">
        <v>150</v>
      </c>
      <c r="P214" s="299">
        <f t="shared" si="12"/>
        <v>205.47945205479454</v>
      </c>
      <c r="Q214" s="105">
        <v>73</v>
      </c>
      <c r="R214" s="40">
        <v>10</v>
      </c>
      <c r="S214" s="40"/>
      <c r="T214" s="105">
        <f t="shared" si="13"/>
        <v>15</v>
      </c>
      <c r="U214" s="105">
        <f t="shared" si="14"/>
        <v>20.547945205479454</v>
      </c>
      <c r="V214" s="104">
        <f>IFERROR(VLOOKUP(L214,'Raw material list'!$A$2:$S$3102,6,0),0)</f>
        <v>5.4794520547945206E-3</v>
      </c>
      <c r="W214" s="104">
        <f t="shared" si="15"/>
        <v>0.11259148057796961</v>
      </c>
    </row>
    <row r="215" spans="1:23" hidden="1" x14ac:dyDescent="0.55000000000000004">
      <c r="A215" s="41" t="s">
        <v>1461</v>
      </c>
      <c r="B215" s="41" t="s">
        <v>35</v>
      </c>
      <c r="C215" s="41" t="s">
        <v>10</v>
      </c>
      <c r="D215" s="64" t="s">
        <v>1410</v>
      </c>
      <c r="E215" s="41" t="s">
        <v>1448</v>
      </c>
      <c r="F215" s="41" t="s">
        <v>2079</v>
      </c>
      <c r="G215" s="41" t="s">
        <v>11</v>
      </c>
      <c r="H215" s="41" t="s">
        <v>1774</v>
      </c>
      <c r="I215" s="41"/>
      <c r="J215" s="41"/>
      <c r="K215" s="41" t="str">
        <f>IFERROR(VLOOKUP(L215,'Raw material list'!$A$3:$C$715,3,0),"")</f>
        <v>PRD1-4327</v>
      </c>
      <c r="L215" s="41" t="s">
        <v>39</v>
      </c>
      <c r="M215" s="40" t="s">
        <v>156</v>
      </c>
      <c r="N215" s="40" t="str">
        <f>VLOOKUP(L215,'Raw material list'!$A$3:$E$715,5,0)</f>
        <v xml:space="preserve">Gram </v>
      </c>
      <c r="O215" s="40">
        <v>15</v>
      </c>
      <c r="P215" s="299">
        <f t="shared" si="12"/>
        <v>18.072289156626507</v>
      </c>
      <c r="Q215" s="105">
        <v>83</v>
      </c>
      <c r="R215" s="40">
        <v>10</v>
      </c>
      <c r="S215" s="40"/>
      <c r="T215" s="105">
        <f t="shared" si="13"/>
        <v>1.5</v>
      </c>
      <c r="U215" s="105">
        <f t="shared" si="14"/>
        <v>1.8072289156626506</v>
      </c>
      <c r="V215" s="104">
        <f>IFERROR(VLOOKUP(L215,'Raw material list'!$A$2:$S$3102,6,0),0)</f>
        <v>1.2999999999999999E-2</v>
      </c>
      <c r="W215" s="104">
        <f t="shared" si="15"/>
        <v>2.3493975903614458E-2</v>
      </c>
    </row>
    <row r="216" spans="1:23" hidden="1" x14ac:dyDescent="0.55000000000000004">
      <c r="A216" s="41" t="s">
        <v>1461</v>
      </c>
      <c r="B216" s="41" t="s">
        <v>35</v>
      </c>
      <c r="C216" s="41" t="s">
        <v>10</v>
      </c>
      <c r="D216" s="64" t="s">
        <v>1410</v>
      </c>
      <c r="E216" s="41" t="s">
        <v>1448</v>
      </c>
      <c r="F216" s="41" t="s">
        <v>2079</v>
      </c>
      <c r="G216" s="41" t="s">
        <v>11</v>
      </c>
      <c r="H216" s="41" t="s">
        <v>1774</v>
      </c>
      <c r="I216" s="41"/>
      <c r="J216" s="41"/>
      <c r="K216" s="41" t="str">
        <f>IFERROR(VLOOKUP(L216,'Raw material list'!$A$3:$C$715,3,0),"")</f>
        <v>DRS3-1813</v>
      </c>
      <c r="L216" s="41" t="s">
        <v>69</v>
      </c>
      <c r="M216" s="40" t="s">
        <v>206</v>
      </c>
      <c r="N216" s="40" t="str">
        <f>VLOOKUP(L216,'Raw material list'!$A$3:$E$715,5,0)</f>
        <v>Ml</v>
      </c>
      <c r="O216" s="40">
        <v>40</v>
      </c>
      <c r="P216" s="299">
        <f t="shared" si="12"/>
        <v>40</v>
      </c>
      <c r="Q216" s="300">
        <v>100</v>
      </c>
      <c r="R216" s="40">
        <v>10</v>
      </c>
      <c r="S216" s="40"/>
      <c r="T216" s="105">
        <f t="shared" si="13"/>
        <v>4</v>
      </c>
      <c r="U216" s="105">
        <f t="shared" si="14"/>
        <v>4</v>
      </c>
      <c r="V216" s="104">
        <f>IFERROR(VLOOKUP(L216,'Raw material list'!$A$2:$S$3102,6,0),0)</f>
        <v>8.0555555555555554E-3</v>
      </c>
      <c r="W216" s="104">
        <f t="shared" si="15"/>
        <v>3.2222222222222222E-2</v>
      </c>
    </row>
    <row r="217" spans="1:23" hidden="1" x14ac:dyDescent="0.55000000000000004">
      <c r="A217" s="41" t="s">
        <v>1461</v>
      </c>
      <c r="B217" s="41" t="s">
        <v>35</v>
      </c>
      <c r="C217" s="41" t="s">
        <v>10</v>
      </c>
      <c r="D217" s="64" t="s">
        <v>1410</v>
      </c>
      <c r="E217" s="41" t="s">
        <v>1448</v>
      </c>
      <c r="F217" s="41" t="s">
        <v>2079</v>
      </c>
      <c r="G217" s="41" t="s">
        <v>11</v>
      </c>
      <c r="H217" s="41" t="s">
        <v>1774</v>
      </c>
      <c r="I217" s="41"/>
      <c r="J217" s="41"/>
      <c r="K217" s="41" t="str">
        <f>IFERROR(VLOOKUP(L217,'Raw material list'!$A$3:$C$715,3,0),"")</f>
        <v>TAP-00001</v>
      </c>
      <c r="L217" s="41" t="s">
        <v>1405</v>
      </c>
      <c r="M217" s="40" t="s">
        <v>206</v>
      </c>
      <c r="N217" s="40" t="str">
        <f>VLOOKUP(L217,'Raw material list'!$A$3:$E$715,5,0)</f>
        <v>Ml</v>
      </c>
      <c r="O217" s="40">
        <v>1800</v>
      </c>
      <c r="P217" s="299">
        <f t="shared" si="12"/>
        <v>1800</v>
      </c>
      <c r="Q217" s="40">
        <v>100</v>
      </c>
      <c r="R217" s="40">
        <v>10</v>
      </c>
      <c r="S217" s="40"/>
      <c r="T217" s="105">
        <f t="shared" si="13"/>
        <v>180</v>
      </c>
      <c r="U217" s="105">
        <f t="shared" si="14"/>
        <v>180</v>
      </c>
      <c r="V217" s="104">
        <f>IFERROR(VLOOKUP(L217,'Raw material list'!$A$2:$S$3102,6,0),0)</f>
        <v>8.0000000000000007E-5</v>
      </c>
      <c r="W217" s="104">
        <f t="shared" si="15"/>
        <v>1.4400000000000001E-2</v>
      </c>
    </row>
    <row r="218" spans="1:23" hidden="1" x14ac:dyDescent="0.55000000000000004">
      <c r="A218" s="41" t="s">
        <v>1461</v>
      </c>
      <c r="B218" s="41" t="s">
        <v>35</v>
      </c>
      <c r="C218" s="41" t="s">
        <v>10</v>
      </c>
      <c r="D218" s="64" t="s">
        <v>1410</v>
      </c>
      <c r="E218" s="41" t="s">
        <v>1448</v>
      </c>
      <c r="F218" s="41" t="s">
        <v>2079</v>
      </c>
      <c r="G218" s="41" t="s">
        <v>11</v>
      </c>
      <c r="H218" s="41" t="s">
        <v>1774</v>
      </c>
      <c r="I218" s="41"/>
      <c r="J218" s="41"/>
      <c r="K218" s="41" t="str">
        <f>IFERROR(VLOOKUP(L218,'Raw material list'!$A$3:$C$715,3,0),"")</f>
        <v>DRS1-3811</v>
      </c>
      <c r="L218" s="41" t="s">
        <v>40</v>
      </c>
      <c r="M218" s="40" t="s">
        <v>156</v>
      </c>
      <c r="N218" s="40" t="str">
        <f>VLOOKUP(L218,'Raw material list'!$A$3:$E$715,5,0)</f>
        <v xml:space="preserve">Gram </v>
      </c>
      <c r="O218" s="40">
        <v>20</v>
      </c>
      <c r="P218" s="299">
        <f t="shared" si="12"/>
        <v>20</v>
      </c>
      <c r="Q218" s="40">
        <v>100</v>
      </c>
      <c r="R218" s="40">
        <v>10</v>
      </c>
      <c r="S218" s="40"/>
      <c r="T218" s="105">
        <f t="shared" si="13"/>
        <v>2</v>
      </c>
      <c r="U218" s="105">
        <f t="shared" si="14"/>
        <v>2</v>
      </c>
      <c r="V218" s="104">
        <f>IFERROR(VLOOKUP(L218,'Raw material list'!$A$2:$S$3102,6,0),0)</f>
        <v>2.8475E-2</v>
      </c>
      <c r="W218" s="104">
        <f t="shared" si="15"/>
        <v>5.6950000000000001E-2</v>
      </c>
    </row>
    <row r="219" spans="1:23" hidden="1" x14ac:dyDescent="0.55000000000000004">
      <c r="A219" s="41" t="s">
        <v>1461</v>
      </c>
      <c r="B219" s="41" t="s">
        <v>35</v>
      </c>
      <c r="C219" s="41" t="s">
        <v>10</v>
      </c>
      <c r="D219" s="64" t="s">
        <v>1410</v>
      </c>
      <c r="E219" s="41" t="s">
        <v>1448</v>
      </c>
      <c r="F219" s="41" t="s">
        <v>2079</v>
      </c>
      <c r="G219" s="41" t="s">
        <v>11</v>
      </c>
      <c r="H219" s="41" t="s">
        <v>1774</v>
      </c>
      <c r="I219" s="41"/>
      <c r="J219" s="41"/>
      <c r="K219" s="41" t="str">
        <f>IFERROR(VLOOKUP(L219,'Raw material list'!$A$3:$C$715,3,0),"")</f>
        <v>DRS1-3880</v>
      </c>
      <c r="L219" s="41" t="s">
        <v>1433</v>
      </c>
      <c r="M219" s="40" t="s">
        <v>156</v>
      </c>
      <c r="N219" s="40" t="str">
        <f>VLOOKUP(L219,'Raw material list'!$A$3:$E$715,5,0)</f>
        <v xml:space="preserve">Gram </v>
      </c>
      <c r="O219" s="40">
        <v>15</v>
      </c>
      <c r="P219" s="299">
        <f t="shared" si="12"/>
        <v>15</v>
      </c>
      <c r="Q219" s="40">
        <v>100</v>
      </c>
      <c r="R219" s="40">
        <v>10</v>
      </c>
      <c r="S219" s="40"/>
      <c r="T219" s="105">
        <f t="shared" si="13"/>
        <v>1.5</v>
      </c>
      <c r="U219" s="105">
        <f t="shared" si="14"/>
        <v>1.5</v>
      </c>
      <c r="V219" s="104">
        <f>IFERROR(VLOOKUP(L219,'Raw material list'!$A$2:$S$3102,6,0),0)</f>
        <v>5.0000000000000001E-4</v>
      </c>
      <c r="W219" s="104">
        <f t="shared" si="15"/>
        <v>7.5000000000000002E-4</v>
      </c>
    </row>
    <row r="220" spans="1:23" hidden="1" x14ac:dyDescent="0.55000000000000004">
      <c r="A220" s="41" t="s">
        <v>1461</v>
      </c>
      <c r="B220" s="41" t="s">
        <v>35</v>
      </c>
      <c r="C220" s="41" t="s">
        <v>10</v>
      </c>
      <c r="D220" s="64" t="s">
        <v>1410</v>
      </c>
      <c r="E220" s="41" t="s">
        <v>1448</v>
      </c>
      <c r="F220" s="41" t="s">
        <v>2079</v>
      </c>
      <c r="G220" s="41" t="s">
        <v>11</v>
      </c>
      <c r="H220" s="41" t="s">
        <v>1774</v>
      </c>
      <c r="I220" s="41"/>
      <c r="J220" s="41"/>
      <c r="K220" s="41" t="str">
        <f>IFERROR(VLOOKUP(L220,'Raw material list'!$A$3:$C$715,3,0),"")</f>
        <v>DRS6-539</v>
      </c>
      <c r="L220" s="41" t="s">
        <v>96</v>
      </c>
      <c r="M220" s="40" t="s">
        <v>156</v>
      </c>
      <c r="N220" s="40" t="str">
        <f>VLOOKUP(L220,'Raw material list'!$A$3:$E$715,5,0)</f>
        <v xml:space="preserve">Gram </v>
      </c>
      <c r="O220" s="40">
        <v>1</v>
      </c>
      <c r="P220" s="299">
        <f t="shared" si="12"/>
        <v>1</v>
      </c>
      <c r="Q220" s="40">
        <v>100</v>
      </c>
      <c r="R220" s="40">
        <v>10</v>
      </c>
      <c r="S220" s="40"/>
      <c r="T220" s="105">
        <f t="shared" si="13"/>
        <v>0.1</v>
      </c>
      <c r="U220" s="105">
        <f t="shared" si="14"/>
        <v>0.1</v>
      </c>
      <c r="V220" s="104">
        <f>IFERROR(VLOOKUP(L220,'Raw material list'!$A$2:$S$3102,6,0),0)</f>
        <v>0.16</v>
      </c>
      <c r="W220" s="104">
        <f t="shared" si="15"/>
        <v>1.6E-2</v>
      </c>
    </row>
    <row r="221" spans="1:23" hidden="1" x14ac:dyDescent="0.55000000000000004">
      <c r="A221" s="41" t="s">
        <v>1461</v>
      </c>
      <c r="B221" s="41" t="s">
        <v>35</v>
      </c>
      <c r="C221" s="41" t="s">
        <v>10</v>
      </c>
      <c r="D221" s="64" t="s">
        <v>1410</v>
      </c>
      <c r="E221" s="41" t="s">
        <v>1448</v>
      </c>
      <c r="F221" s="41" t="s">
        <v>2079</v>
      </c>
      <c r="G221" s="41" t="s">
        <v>11</v>
      </c>
      <c r="H221" s="41" t="s">
        <v>1774</v>
      </c>
      <c r="I221" s="41"/>
      <c r="J221" s="41"/>
      <c r="K221" s="41" t="str">
        <f>IFERROR(VLOOKUP(L221,'Raw material list'!$A$3:$C$715,3,0),"")</f>
        <v>DRS6-1020</v>
      </c>
      <c r="L221" s="41" t="s">
        <v>76</v>
      </c>
      <c r="M221" s="40" t="s">
        <v>156</v>
      </c>
      <c r="N221" s="40" t="str">
        <f>VLOOKUP(L221,'Raw material list'!$A$3:$E$715,5,0)</f>
        <v xml:space="preserve">Gram </v>
      </c>
      <c r="O221" s="40">
        <v>1</v>
      </c>
      <c r="P221" s="299">
        <f t="shared" si="12"/>
        <v>1</v>
      </c>
      <c r="Q221" s="40">
        <v>100</v>
      </c>
      <c r="R221" s="40">
        <v>10</v>
      </c>
      <c r="S221" s="40"/>
      <c r="T221" s="105">
        <f t="shared" si="13"/>
        <v>0.1</v>
      </c>
      <c r="U221" s="105">
        <f t="shared" si="14"/>
        <v>0.1</v>
      </c>
      <c r="V221" s="104">
        <f>IFERROR(VLOOKUP(L221,'Raw material list'!$A$2:$S$3102,6,0),0)</f>
        <v>5.5E-2</v>
      </c>
      <c r="W221" s="104">
        <f t="shared" si="15"/>
        <v>5.5000000000000005E-3</v>
      </c>
    </row>
    <row r="222" spans="1:23" hidden="1" x14ac:dyDescent="0.55000000000000004">
      <c r="A222" s="41" t="s">
        <v>1461</v>
      </c>
      <c r="B222" s="41" t="s">
        <v>35</v>
      </c>
      <c r="C222" s="41" t="s">
        <v>10</v>
      </c>
      <c r="D222" s="64" t="s">
        <v>1410</v>
      </c>
      <c r="E222" s="41" t="s">
        <v>1448</v>
      </c>
      <c r="F222" s="41" t="s">
        <v>2079</v>
      </c>
      <c r="G222" s="41" t="s">
        <v>11</v>
      </c>
      <c r="H222" s="41" t="s">
        <v>1774</v>
      </c>
      <c r="I222" s="41"/>
      <c r="J222" s="41"/>
      <c r="K222" s="41" t="str">
        <f>IFERROR(VLOOKUP(L222,'Raw material list'!$A$3:$C$715,3,0),"")</f>
        <v>DRS6-3593</v>
      </c>
      <c r="L222" s="41" t="s">
        <v>1407</v>
      </c>
      <c r="M222" s="40" t="s">
        <v>156</v>
      </c>
      <c r="N222" s="40" t="str">
        <f>VLOOKUP(L222,'Raw material list'!$A$3:$E$715,5,0)</f>
        <v xml:space="preserve">Gram </v>
      </c>
      <c r="O222" s="40">
        <v>1</v>
      </c>
      <c r="P222" s="299">
        <f t="shared" si="12"/>
        <v>1</v>
      </c>
      <c r="Q222" s="40">
        <v>100</v>
      </c>
      <c r="R222" s="40">
        <v>10</v>
      </c>
      <c r="S222" s="40"/>
      <c r="T222" s="105">
        <f t="shared" si="13"/>
        <v>0.1</v>
      </c>
      <c r="U222" s="105">
        <f t="shared" si="14"/>
        <v>0.1</v>
      </c>
      <c r="V222" s="104">
        <f>IFERROR(VLOOKUP(L222,'Raw material list'!$A$2:$S$3102,6,0),0)</f>
        <v>8.0000000000000002E-3</v>
      </c>
      <c r="W222" s="104">
        <f t="shared" si="15"/>
        <v>8.0000000000000004E-4</v>
      </c>
    </row>
    <row r="223" spans="1:23" hidden="1" x14ac:dyDescent="0.55000000000000004">
      <c r="A223" s="41" t="s">
        <v>1461</v>
      </c>
      <c r="B223" s="41" t="s">
        <v>35</v>
      </c>
      <c r="C223" s="41" t="s">
        <v>10</v>
      </c>
      <c r="D223" s="64" t="s">
        <v>1410</v>
      </c>
      <c r="E223" s="41" t="s">
        <v>1448</v>
      </c>
      <c r="F223" s="41" t="s">
        <v>2079</v>
      </c>
      <c r="G223" s="41" t="s">
        <v>11</v>
      </c>
      <c r="H223" s="41" t="s">
        <v>1774</v>
      </c>
      <c r="I223" s="41"/>
      <c r="J223" s="41"/>
      <c r="K223" s="41" t="str">
        <f>IFERROR(VLOOKUP(L223,'Raw material list'!$A$3:$C$715,3,0),"")</f>
        <v>DRS6-261</v>
      </c>
      <c r="L223" s="41" t="s">
        <v>1406</v>
      </c>
      <c r="M223" s="40" t="s">
        <v>156</v>
      </c>
      <c r="N223" s="40" t="str">
        <f>VLOOKUP(L223,'Raw material list'!$A$3:$E$715,5,0)</f>
        <v xml:space="preserve">Gram </v>
      </c>
      <c r="O223" s="40">
        <v>1</v>
      </c>
      <c r="P223" s="299">
        <f t="shared" si="12"/>
        <v>1</v>
      </c>
      <c r="Q223" s="40">
        <v>100</v>
      </c>
      <c r="R223" s="40">
        <v>10</v>
      </c>
      <c r="S223" s="40"/>
      <c r="T223" s="105">
        <f t="shared" si="13"/>
        <v>0.1</v>
      </c>
      <c r="U223" s="105">
        <f t="shared" si="14"/>
        <v>0.1</v>
      </c>
      <c r="V223" s="104">
        <f>IFERROR(VLOOKUP(L223,'Raw material list'!$A$2:$S$3102,6,0),0)</f>
        <v>1.4E-2</v>
      </c>
      <c r="W223" s="104">
        <f t="shared" si="15"/>
        <v>1.4000000000000002E-3</v>
      </c>
    </row>
    <row r="224" spans="1:23" hidden="1" x14ac:dyDescent="0.55000000000000004">
      <c r="A224" s="41" t="s">
        <v>1462</v>
      </c>
      <c r="B224" s="41" t="s">
        <v>35</v>
      </c>
      <c r="C224" s="41" t="s">
        <v>10</v>
      </c>
      <c r="D224" s="41" t="s">
        <v>1454</v>
      </c>
      <c r="E224" s="41" t="s">
        <v>1448</v>
      </c>
      <c r="F224" s="41" t="s">
        <v>2081</v>
      </c>
      <c r="G224" s="41" t="s">
        <v>11</v>
      </c>
      <c r="H224" s="41" t="s">
        <v>1773</v>
      </c>
      <c r="I224" s="41"/>
      <c r="J224" s="41"/>
      <c r="K224" s="41" t="str">
        <f>IFERROR(VLOOKUP(L224,'Raw material list'!$A$3:$C$715,3,0),"")</f>
        <v>PLT2-3278</v>
      </c>
      <c r="L224" s="41" t="s">
        <v>80</v>
      </c>
      <c r="M224" s="40" t="s">
        <v>156</v>
      </c>
      <c r="N224" s="40" t="str">
        <f>VLOOKUP(L224,'Raw material list'!$A$3:$E$715,5,0)</f>
        <v xml:space="preserve">Gram </v>
      </c>
      <c r="O224" s="40">
        <v>1200</v>
      </c>
      <c r="P224" s="299">
        <f t="shared" si="12"/>
        <v>1574.803149606299</v>
      </c>
      <c r="Q224" s="40">
        <v>76.2</v>
      </c>
      <c r="R224" s="40">
        <v>10</v>
      </c>
      <c r="S224" s="40"/>
      <c r="T224" s="105">
        <f t="shared" si="13"/>
        <v>120</v>
      </c>
      <c r="U224" s="105">
        <f t="shared" si="14"/>
        <v>157.4803149606299</v>
      </c>
      <c r="V224" s="104">
        <f>IFERROR(VLOOKUP(L224,'Raw material list'!$A$2:$S$3102,6,0),0)</f>
        <v>3.0357142857142853E-2</v>
      </c>
      <c r="W224" s="104">
        <f t="shared" si="15"/>
        <v>4.7806524184476924</v>
      </c>
    </row>
    <row r="225" spans="1:23" hidden="1" x14ac:dyDescent="0.55000000000000004">
      <c r="A225" s="41" t="s">
        <v>1462</v>
      </c>
      <c r="B225" s="41" t="s">
        <v>35</v>
      </c>
      <c r="C225" s="41" t="s">
        <v>10</v>
      </c>
      <c r="D225" s="41" t="s">
        <v>1454</v>
      </c>
      <c r="E225" s="41" t="s">
        <v>1448</v>
      </c>
      <c r="F225" s="41" t="s">
        <v>2079</v>
      </c>
      <c r="G225" s="41" t="s">
        <v>11</v>
      </c>
      <c r="H225" s="41" t="s">
        <v>1773</v>
      </c>
      <c r="I225" s="41"/>
      <c r="J225" s="41"/>
      <c r="K225" s="41" t="str">
        <f>IFERROR(VLOOKUP(L225,'Raw material list'!$A$3:$C$715,3,0),"")</f>
        <v>DRS1-3880</v>
      </c>
      <c r="L225" s="41" t="s">
        <v>1433</v>
      </c>
      <c r="M225" s="40" t="s">
        <v>156</v>
      </c>
      <c r="N225" s="40" t="str">
        <f>VLOOKUP(L225,'Raw material list'!$A$3:$E$715,5,0)</f>
        <v xml:space="preserve">Gram </v>
      </c>
      <c r="O225" s="40">
        <v>10</v>
      </c>
      <c r="P225" s="299">
        <f t="shared" si="12"/>
        <v>10</v>
      </c>
      <c r="Q225" s="40">
        <v>100</v>
      </c>
      <c r="R225" s="40">
        <v>10</v>
      </c>
      <c r="S225" s="40"/>
      <c r="T225" s="105">
        <f t="shared" si="13"/>
        <v>1</v>
      </c>
      <c r="U225" s="105">
        <f t="shared" si="14"/>
        <v>1</v>
      </c>
      <c r="V225" s="104">
        <f>IFERROR(VLOOKUP(L225,'Raw material list'!$A$2:$S$3102,6,0),0)</f>
        <v>5.0000000000000001E-4</v>
      </c>
      <c r="W225" s="104">
        <f t="shared" si="15"/>
        <v>5.0000000000000001E-4</v>
      </c>
    </row>
    <row r="226" spans="1:23" hidden="1" x14ac:dyDescent="0.55000000000000004">
      <c r="A226" s="41" t="s">
        <v>1462</v>
      </c>
      <c r="B226" s="41" t="s">
        <v>35</v>
      </c>
      <c r="C226" s="41" t="s">
        <v>10</v>
      </c>
      <c r="D226" s="41" t="s">
        <v>1454</v>
      </c>
      <c r="E226" s="41" t="s">
        <v>1448</v>
      </c>
      <c r="F226" s="41" t="s">
        <v>2079</v>
      </c>
      <c r="G226" s="41" t="s">
        <v>11</v>
      </c>
      <c r="H226" s="41" t="s">
        <v>1773</v>
      </c>
      <c r="I226" s="41"/>
      <c r="J226" s="41"/>
      <c r="K226" s="41" t="str">
        <f>IFERROR(VLOOKUP(L226,'Raw material list'!$A$3:$C$715,3,0),"")</f>
        <v>PRD1-4265</v>
      </c>
      <c r="L226" s="41" t="s">
        <v>38</v>
      </c>
      <c r="M226" s="40" t="s">
        <v>156</v>
      </c>
      <c r="N226" s="40" t="str">
        <f>VLOOKUP(L226,'Raw material list'!$A$3:$E$715,5,0)</f>
        <v xml:space="preserve">Gram </v>
      </c>
      <c r="O226" s="40">
        <v>150</v>
      </c>
      <c r="P226" s="299">
        <f t="shared" si="12"/>
        <v>176.47058823529412</v>
      </c>
      <c r="Q226" s="105">
        <v>85</v>
      </c>
      <c r="R226" s="40">
        <v>10</v>
      </c>
      <c r="S226" s="40"/>
      <c r="T226" s="105">
        <f t="shared" si="13"/>
        <v>15</v>
      </c>
      <c r="U226" s="105">
        <f t="shared" si="14"/>
        <v>17.647058823529413</v>
      </c>
      <c r="V226" s="104">
        <f>IFERROR(VLOOKUP(L226,'Raw material list'!$A$2:$S$3102,6,0),0)</f>
        <v>3.529411764705882E-3</v>
      </c>
      <c r="W226" s="104">
        <f t="shared" si="15"/>
        <v>6.228373702422145E-2</v>
      </c>
    </row>
    <row r="227" spans="1:23" hidden="1" x14ac:dyDescent="0.55000000000000004">
      <c r="A227" s="41" t="s">
        <v>1462</v>
      </c>
      <c r="B227" s="41" t="s">
        <v>35</v>
      </c>
      <c r="C227" s="41" t="s">
        <v>10</v>
      </c>
      <c r="D227" s="41" t="s">
        <v>1454</v>
      </c>
      <c r="E227" s="41" t="s">
        <v>1448</v>
      </c>
      <c r="F227" s="41" t="s">
        <v>2079</v>
      </c>
      <c r="G227" s="41" t="s">
        <v>11</v>
      </c>
      <c r="H227" s="41" t="s">
        <v>1773</v>
      </c>
      <c r="I227" s="41"/>
      <c r="J227" s="41"/>
      <c r="K227" s="41" t="str">
        <f>IFERROR(VLOOKUP(L227,'Raw material list'!$A$3:$C$715,3,0),"")</f>
        <v>DRS6-4482</v>
      </c>
      <c r="L227" s="41" t="s">
        <v>716</v>
      </c>
      <c r="M227" s="40" t="s">
        <v>156</v>
      </c>
      <c r="N227" s="40" t="str">
        <f>VLOOKUP(L227,'Raw material list'!$A$3:$E$715,5,0)</f>
        <v xml:space="preserve">Gram </v>
      </c>
      <c r="O227" s="40">
        <v>30</v>
      </c>
      <c r="P227" s="299">
        <f t="shared" si="12"/>
        <v>30</v>
      </c>
      <c r="Q227" s="300">
        <v>100</v>
      </c>
      <c r="R227" s="40">
        <v>10</v>
      </c>
      <c r="S227" s="40"/>
      <c r="T227" s="105">
        <f t="shared" si="13"/>
        <v>3</v>
      </c>
      <c r="U227" s="105">
        <f t="shared" si="14"/>
        <v>3</v>
      </c>
      <c r="V227" s="104">
        <f>IFERROR(VLOOKUP(L227,'Raw material list'!$A$2:$S$3102,6,0),0)</f>
        <v>1.04E-2</v>
      </c>
      <c r="W227" s="104">
        <f t="shared" si="15"/>
        <v>3.1199999999999999E-2</v>
      </c>
    </row>
    <row r="228" spans="1:23" hidden="1" x14ac:dyDescent="0.55000000000000004">
      <c r="A228" s="41" t="s">
        <v>1462</v>
      </c>
      <c r="B228" s="41" t="s">
        <v>35</v>
      </c>
      <c r="C228" s="41" t="s">
        <v>10</v>
      </c>
      <c r="D228" s="41" t="s">
        <v>1454</v>
      </c>
      <c r="E228" s="41" t="s">
        <v>1448</v>
      </c>
      <c r="F228" s="41" t="s">
        <v>2079</v>
      </c>
      <c r="G228" s="41" t="s">
        <v>11</v>
      </c>
      <c r="H228" s="41" t="s">
        <v>1773</v>
      </c>
      <c r="I228" s="41"/>
      <c r="J228" s="41"/>
      <c r="K228" s="41" t="str">
        <f>IFERROR(VLOOKUP(L228,'Raw material list'!$A$3:$C$715,3,0),"")</f>
        <v>PRD2-3671</v>
      </c>
      <c r="L228" s="41" t="s">
        <v>940</v>
      </c>
      <c r="M228" s="40" t="s">
        <v>156</v>
      </c>
      <c r="N228" s="40" t="str">
        <f>VLOOKUP(L228,'Raw material list'!$A$3:$E$715,5,0)</f>
        <v xml:space="preserve">Gram </v>
      </c>
      <c r="O228" s="40">
        <v>1600</v>
      </c>
      <c r="P228" s="299">
        <f t="shared" si="12"/>
        <v>1600</v>
      </c>
      <c r="Q228" s="40">
        <v>100</v>
      </c>
      <c r="R228" s="40">
        <v>10</v>
      </c>
      <c r="S228" s="40"/>
      <c r="T228" s="105">
        <f t="shared" si="13"/>
        <v>160</v>
      </c>
      <c r="U228" s="105">
        <f t="shared" si="14"/>
        <v>160</v>
      </c>
      <c r="V228" s="104">
        <f>IFERROR(VLOOKUP(L228,'Raw material list'!$A$2:$S$3102,6,0),0)</f>
        <v>6.2500000000000003E-3</v>
      </c>
      <c r="W228" s="104">
        <f t="shared" si="15"/>
        <v>1</v>
      </c>
    </row>
    <row r="229" spans="1:23" hidden="1" x14ac:dyDescent="0.55000000000000004">
      <c r="A229" s="41" t="s">
        <v>1462</v>
      </c>
      <c r="B229" s="41" t="s">
        <v>35</v>
      </c>
      <c r="C229" s="41" t="s">
        <v>10</v>
      </c>
      <c r="D229" s="41" t="s">
        <v>1454</v>
      </c>
      <c r="E229" s="41" t="s">
        <v>1448</v>
      </c>
      <c r="F229" s="41" t="s">
        <v>2079</v>
      </c>
      <c r="G229" s="41" t="s">
        <v>11</v>
      </c>
      <c r="H229" s="41" t="s">
        <v>1773</v>
      </c>
      <c r="I229" s="41"/>
      <c r="J229" s="41"/>
      <c r="K229" s="41" t="str">
        <f>IFERROR(VLOOKUP(L229,'Raw material list'!$A$3:$C$715,3,0),"")</f>
        <v>DRS1-3811</v>
      </c>
      <c r="L229" s="41" t="s">
        <v>40</v>
      </c>
      <c r="M229" s="40" t="s">
        <v>156</v>
      </c>
      <c r="N229" s="40" t="str">
        <f>VLOOKUP(L229,'Raw material list'!$A$3:$E$715,5,0)</f>
        <v xml:space="preserve">Gram </v>
      </c>
      <c r="O229" s="40">
        <v>8</v>
      </c>
      <c r="P229" s="299">
        <f t="shared" si="12"/>
        <v>8</v>
      </c>
      <c r="Q229" s="40">
        <v>100</v>
      </c>
      <c r="R229" s="40">
        <v>10</v>
      </c>
      <c r="S229" s="40"/>
      <c r="T229" s="105">
        <f t="shared" si="13"/>
        <v>0.8</v>
      </c>
      <c r="U229" s="105">
        <f t="shared" si="14"/>
        <v>0.8</v>
      </c>
      <c r="V229" s="104">
        <f>IFERROR(VLOOKUP(L229,'Raw material list'!$A$2:$S$3102,6,0),0)</f>
        <v>2.8475E-2</v>
      </c>
      <c r="W229" s="104">
        <f t="shared" si="15"/>
        <v>2.2780000000000002E-2</v>
      </c>
    </row>
    <row r="230" spans="1:23" hidden="1" x14ac:dyDescent="0.55000000000000004">
      <c r="A230" s="41" t="s">
        <v>1462</v>
      </c>
      <c r="B230" s="41" t="s">
        <v>35</v>
      </c>
      <c r="C230" s="41" t="s">
        <v>10</v>
      </c>
      <c r="D230" s="41" t="s">
        <v>1454</v>
      </c>
      <c r="E230" s="41" t="s">
        <v>1448</v>
      </c>
      <c r="F230" s="41" t="s">
        <v>2079</v>
      </c>
      <c r="G230" s="41" t="s">
        <v>11</v>
      </c>
      <c r="H230" s="41" t="s">
        <v>1773</v>
      </c>
      <c r="I230" s="41"/>
      <c r="J230" s="41"/>
      <c r="K230" s="41" t="str">
        <f>IFERROR(VLOOKUP(L230,'Raw material list'!$A$3:$C$715,3,0),"")</f>
        <v>TAP-00001</v>
      </c>
      <c r="L230" s="41" t="s">
        <v>1405</v>
      </c>
      <c r="M230" s="40" t="s">
        <v>206</v>
      </c>
      <c r="N230" s="40" t="str">
        <f>VLOOKUP(L230,'Raw material list'!$A$3:$E$715,5,0)</f>
        <v>Ml</v>
      </c>
      <c r="O230" s="40">
        <v>500</v>
      </c>
      <c r="P230" s="299">
        <f t="shared" si="12"/>
        <v>500</v>
      </c>
      <c r="Q230" s="40">
        <v>100</v>
      </c>
      <c r="R230" s="40">
        <v>10</v>
      </c>
      <c r="S230" s="40"/>
      <c r="T230" s="105">
        <f t="shared" si="13"/>
        <v>50</v>
      </c>
      <c r="U230" s="105">
        <f t="shared" si="14"/>
        <v>50</v>
      </c>
      <c r="V230" s="104">
        <f>IFERROR(VLOOKUP(L230,'Raw material list'!$A$2:$S$3102,6,0),0)</f>
        <v>8.0000000000000007E-5</v>
      </c>
      <c r="W230" s="104">
        <f t="shared" si="15"/>
        <v>4.0000000000000001E-3</v>
      </c>
    </row>
    <row r="231" spans="1:23" hidden="1" x14ac:dyDescent="0.55000000000000004">
      <c r="A231" s="41" t="s">
        <v>1462</v>
      </c>
      <c r="B231" s="41" t="s">
        <v>35</v>
      </c>
      <c r="C231" s="41" t="s">
        <v>10</v>
      </c>
      <c r="D231" s="41" t="s">
        <v>1454</v>
      </c>
      <c r="E231" s="41" t="s">
        <v>1448</v>
      </c>
      <c r="F231" s="41" t="s">
        <v>2079</v>
      </c>
      <c r="G231" s="41" t="s">
        <v>11</v>
      </c>
      <c r="H231" s="41" t="s">
        <v>1773</v>
      </c>
      <c r="I231" s="41"/>
      <c r="J231" s="41"/>
      <c r="K231" s="41" t="str">
        <f>IFERROR(VLOOKUP(L231,'Raw material list'!$A$3:$C$715,3,0),"")</f>
        <v>DRS6-537</v>
      </c>
      <c r="L231" s="41" t="s">
        <v>46</v>
      </c>
      <c r="M231" s="40" t="s">
        <v>156</v>
      </c>
      <c r="N231" s="40" t="str">
        <f>VLOOKUP(L231,'Raw material list'!$A$3:$E$715,5,0)</f>
        <v xml:space="preserve">Gram </v>
      </c>
      <c r="O231" s="40">
        <v>1</v>
      </c>
      <c r="P231" s="299">
        <f t="shared" si="12"/>
        <v>1</v>
      </c>
      <c r="Q231" s="40">
        <v>100</v>
      </c>
      <c r="R231" s="40">
        <v>10</v>
      </c>
      <c r="S231" s="40"/>
      <c r="T231" s="105">
        <f t="shared" si="13"/>
        <v>0.1</v>
      </c>
      <c r="U231" s="105">
        <f t="shared" si="14"/>
        <v>0.1</v>
      </c>
      <c r="V231" s="104">
        <f>IFERROR(VLOOKUP(L231,'Raw material list'!$A$2:$S$3102,6,0),0)</f>
        <v>3.5000000000000003E-2</v>
      </c>
      <c r="W231" s="104">
        <f t="shared" si="15"/>
        <v>3.5000000000000005E-3</v>
      </c>
    </row>
    <row r="232" spans="1:23" hidden="1" x14ac:dyDescent="0.55000000000000004">
      <c r="A232" s="41" t="s">
        <v>1462</v>
      </c>
      <c r="B232" s="41" t="s">
        <v>35</v>
      </c>
      <c r="C232" s="41" t="s">
        <v>10</v>
      </c>
      <c r="D232" s="41" t="s">
        <v>1454</v>
      </c>
      <c r="E232" s="41" t="s">
        <v>1448</v>
      </c>
      <c r="F232" s="41" t="s">
        <v>2079</v>
      </c>
      <c r="G232" s="41" t="s">
        <v>11</v>
      </c>
      <c r="H232" s="41" t="s">
        <v>1773</v>
      </c>
      <c r="I232" s="41"/>
      <c r="J232" s="41"/>
      <c r="K232" s="41" t="str">
        <f>IFERROR(VLOOKUP(L232,'Raw material list'!$A$3:$C$715,3,0),"")</f>
        <v>DRS6-733</v>
      </c>
      <c r="L232" s="41" t="s">
        <v>45</v>
      </c>
      <c r="M232" s="40" t="s">
        <v>156</v>
      </c>
      <c r="N232" s="40" t="str">
        <f>VLOOKUP(L232,'Raw material list'!$A$3:$E$715,5,0)</f>
        <v xml:space="preserve">Gram </v>
      </c>
      <c r="O232" s="40">
        <v>2</v>
      </c>
      <c r="P232" s="299">
        <f t="shared" si="12"/>
        <v>2</v>
      </c>
      <c r="Q232" s="40">
        <v>100</v>
      </c>
      <c r="R232" s="40">
        <v>10</v>
      </c>
      <c r="S232" s="40"/>
      <c r="T232" s="105">
        <f t="shared" si="13"/>
        <v>0.2</v>
      </c>
      <c r="U232" s="105">
        <f t="shared" si="14"/>
        <v>0.2</v>
      </c>
      <c r="V232" s="104">
        <f>IFERROR(VLOOKUP(L232,'Raw material list'!$A$2:$S$3102,6,0),0)</f>
        <v>2.8000000000000001E-2</v>
      </c>
      <c r="W232" s="104">
        <f t="shared" si="15"/>
        <v>5.6000000000000008E-3</v>
      </c>
    </row>
    <row r="233" spans="1:23" hidden="1" x14ac:dyDescent="0.55000000000000004">
      <c r="A233" s="41" t="s">
        <v>1462</v>
      </c>
      <c r="B233" s="41" t="s">
        <v>35</v>
      </c>
      <c r="C233" s="41" t="s">
        <v>10</v>
      </c>
      <c r="D233" s="41" t="s">
        <v>1454</v>
      </c>
      <c r="E233" s="41" t="s">
        <v>1448</v>
      </c>
      <c r="F233" s="41" t="s">
        <v>2079</v>
      </c>
      <c r="G233" s="41" t="s">
        <v>11</v>
      </c>
      <c r="H233" s="41" t="s">
        <v>1773</v>
      </c>
      <c r="I233" s="41"/>
      <c r="J233" s="41"/>
      <c r="K233" s="41" t="str">
        <f>IFERROR(VLOOKUP(L233,'Raw material list'!$A$3:$C$715,3,0),"")</f>
        <v>DRS6-266</v>
      </c>
      <c r="L233" s="41" t="s">
        <v>99</v>
      </c>
      <c r="M233" s="40" t="s">
        <v>156</v>
      </c>
      <c r="N233" s="40" t="str">
        <f>VLOOKUP(L233,'Raw material list'!$A$3:$E$715,5,0)</f>
        <v xml:space="preserve">Gram </v>
      </c>
      <c r="O233" s="40">
        <v>4</v>
      </c>
      <c r="P233" s="299">
        <f t="shared" si="12"/>
        <v>4</v>
      </c>
      <c r="Q233" s="40">
        <v>100</v>
      </c>
      <c r="R233" s="40">
        <v>10</v>
      </c>
      <c r="S233" s="40"/>
      <c r="T233" s="105">
        <f t="shared" si="13"/>
        <v>0.4</v>
      </c>
      <c r="U233" s="105">
        <f t="shared" si="14"/>
        <v>0.4</v>
      </c>
      <c r="V233" s="104">
        <f>IFERROR(VLOOKUP(L233,'Raw material list'!$A$2:$S$3102,6,0),0)</f>
        <v>1.4E-2</v>
      </c>
      <c r="W233" s="104">
        <f t="shared" si="15"/>
        <v>5.6000000000000008E-3</v>
      </c>
    </row>
    <row r="234" spans="1:23" hidden="1" x14ac:dyDescent="0.55000000000000004">
      <c r="A234" s="41" t="s">
        <v>1462</v>
      </c>
      <c r="B234" s="41" t="s">
        <v>35</v>
      </c>
      <c r="C234" s="41" t="s">
        <v>10</v>
      </c>
      <c r="D234" s="41" t="s">
        <v>1454</v>
      </c>
      <c r="E234" s="41" t="s">
        <v>1448</v>
      </c>
      <c r="F234" s="41" t="s">
        <v>2079</v>
      </c>
      <c r="G234" s="41" t="s">
        <v>11</v>
      </c>
      <c r="H234" s="41" t="s">
        <v>1773</v>
      </c>
      <c r="I234" s="41"/>
      <c r="J234" s="41"/>
      <c r="K234" s="41" t="str">
        <f>IFERROR(VLOOKUP(L234,'Raw material list'!$A$3:$C$715,3,0),"")</f>
        <v>PRD1-195</v>
      </c>
      <c r="L234" s="41" t="s">
        <v>90</v>
      </c>
      <c r="M234" s="40" t="s">
        <v>156</v>
      </c>
      <c r="N234" s="40" t="str">
        <f>VLOOKUP(L234,'Raw material list'!$A$3:$E$715,5,0)</f>
        <v xml:space="preserve">Gram </v>
      </c>
      <c r="O234" s="40">
        <v>40</v>
      </c>
      <c r="P234" s="299">
        <f t="shared" si="12"/>
        <v>93.749999999999986</v>
      </c>
      <c r="Q234" s="105">
        <v>42.666666666666671</v>
      </c>
      <c r="R234" s="40">
        <v>10</v>
      </c>
      <c r="S234" s="40"/>
      <c r="T234" s="105">
        <f t="shared" si="13"/>
        <v>4</v>
      </c>
      <c r="U234" s="105">
        <f t="shared" si="14"/>
        <v>9.3749999999999982</v>
      </c>
      <c r="V234" s="104">
        <f>IFERROR(VLOOKUP(L234,'Raw material list'!$A$2:$S$3102,6,0),0)</f>
        <v>9.3676814988290415E-3</v>
      </c>
      <c r="W234" s="104">
        <f t="shared" si="15"/>
        <v>8.7822014051522249E-2</v>
      </c>
    </row>
    <row r="235" spans="1:23" hidden="1" x14ac:dyDescent="0.55000000000000004">
      <c r="A235" s="41" t="s">
        <v>1462</v>
      </c>
      <c r="B235" s="41" t="s">
        <v>35</v>
      </c>
      <c r="C235" s="41" t="s">
        <v>10</v>
      </c>
      <c r="D235" s="41" t="s">
        <v>1454</v>
      </c>
      <c r="E235" s="41" t="s">
        <v>1448</v>
      </c>
      <c r="F235" s="41" t="s">
        <v>2079</v>
      </c>
      <c r="G235" s="41" t="s">
        <v>11</v>
      </c>
      <c r="H235" s="41" t="s">
        <v>1773</v>
      </c>
      <c r="I235" s="41"/>
      <c r="J235" s="41"/>
      <c r="K235" s="41" t="str">
        <f>IFERROR(VLOOKUP(L235,'Raw material list'!$A$3:$C$715,3,0),"")</f>
        <v>DRS4-498</v>
      </c>
      <c r="L235" s="41" t="s">
        <v>72</v>
      </c>
      <c r="M235" s="40" t="s">
        <v>156</v>
      </c>
      <c r="N235" s="40" t="str">
        <f>VLOOKUP(L235,'Raw material list'!$A$3:$E$715,5,0)</f>
        <v xml:space="preserve">Gram </v>
      </c>
      <c r="O235" s="40">
        <v>1000</v>
      </c>
      <c r="P235" s="299">
        <f t="shared" si="12"/>
        <v>1000</v>
      </c>
      <c r="Q235" s="300">
        <v>100</v>
      </c>
      <c r="R235" s="40">
        <v>10</v>
      </c>
      <c r="S235" s="40"/>
      <c r="T235" s="105">
        <f t="shared" si="13"/>
        <v>100</v>
      </c>
      <c r="U235" s="105">
        <f t="shared" si="14"/>
        <v>100</v>
      </c>
      <c r="V235" s="104">
        <f>IFERROR(VLOOKUP(L235,'Raw material list'!$A$2:$S$3102,6,0),0)</f>
        <v>5.7499999999999999E-3</v>
      </c>
      <c r="W235" s="104">
        <f t="shared" si="15"/>
        <v>0.57499999999999996</v>
      </c>
    </row>
    <row r="236" spans="1:23" hidden="1" x14ac:dyDescent="0.55000000000000004">
      <c r="A236" s="41" t="s">
        <v>1462</v>
      </c>
      <c r="B236" s="41" t="s">
        <v>35</v>
      </c>
      <c r="C236" s="41" t="s">
        <v>10</v>
      </c>
      <c r="D236" s="41" t="s">
        <v>1454</v>
      </c>
      <c r="E236" s="41" t="s">
        <v>1448</v>
      </c>
      <c r="F236" s="41" t="s">
        <v>2079</v>
      </c>
      <c r="G236" s="41" t="s">
        <v>11</v>
      </c>
      <c r="H236" s="41" t="s">
        <v>1773</v>
      </c>
      <c r="I236" s="41"/>
      <c r="J236" s="41"/>
      <c r="K236" s="41" t="str">
        <f>IFERROR(VLOOKUP(L236,'Raw material list'!$A$3:$C$715,3,0),"")</f>
        <v>TAP-00001</v>
      </c>
      <c r="L236" s="41" t="s">
        <v>1405</v>
      </c>
      <c r="M236" s="40" t="s">
        <v>206</v>
      </c>
      <c r="N236" s="40" t="str">
        <f>VLOOKUP(L236,'Raw material list'!$A$3:$E$715,5,0)</f>
        <v>Ml</v>
      </c>
      <c r="O236" s="40">
        <v>1600</v>
      </c>
      <c r="P236" s="299">
        <f t="shared" si="12"/>
        <v>1600</v>
      </c>
      <c r="Q236" s="40">
        <v>100</v>
      </c>
      <c r="R236" s="40">
        <v>10</v>
      </c>
      <c r="S236" s="40"/>
      <c r="T236" s="105">
        <f t="shared" si="13"/>
        <v>160</v>
      </c>
      <c r="U236" s="105">
        <f t="shared" si="14"/>
        <v>160</v>
      </c>
      <c r="V236" s="104">
        <f>IFERROR(VLOOKUP(L236,'Raw material list'!$A$2:$S$3102,6,0),0)</f>
        <v>8.0000000000000007E-5</v>
      </c>
      <c r="W236" s="104">
        <f t="shared" si="15"/>
        <v>1.2800000000000001E-2</v>
      </c>
    </row>
    <row r="237" spans="1:23" hidden="1" x14ac:dyDescent="0.55000000000000004">
      <c r="A237" s="41" t="s">
        <v>1462</v>
      </c>
      <c r="B237" s="41" t="s">
        <v>35</v>
      </c>
      <c r="C237" s="41" t="s">
        <v>10</v>
      </c>
      <c r="D237" s="41" t="s">
        <v>1454</v>
      </c>
      <c r="E237" s="41" t="s">
        <v>1448</v>
      </c>
      <c r="F237" s="41" t="s">
        <v>2079</v>
      </c>
      <c r="G237" s="41" t="s">
        <v>11</v>
      </c>
      <c r="H237" s="41" t="s">
        <v>1773</v>
      </c>
      <c r="I237" s="41"/>
      <c r="J237" s="41"/>
      <c r="K237" s="41" t="str">
        <f>IFERROR(VLOOKUP(L237,'Raw material list'!$A$3:$C$715,3,0),"")</f>
        <v>DRS1-3880</v>
      </c>
      <c r="L237" s="41" t="s">
        <v>1433</v>
      </c>
      <c r="M237" s="40" t="s">
        <v>156</v>
      </c>
      <c r="N237" s="40" t="str">
        <f>VLOOKUP(L237,'Raw material list'!$A$3:$E$715,5,0)</f>
        <v xml:space="preserve">Gram </v>
      </c>
      <c r="O237" s="40">
        <v>10</v>
      </c>
      <c r="P237" s="299">
        <f t="shared" si="12"/>
        <v>10</v>
      </c>
      <c r="Q237" s="40">
        <v>100</v>
      </c>
      <c r="R237" s="40">
        <v>10</v>
      </c>
      <c r="S237" s="40"/>
      <c r="T237" s="105">
        <f t="shared" si="13"/>
        <v>1</v>
      </c>
      <c r="U237" s="105">
        <f t="shared" si="14"/>
        <v>1</v>
      </c>
      <c r="V237" s="104">
        <f>IFERROR(VLOOKUP(L237,'Raw material list'!$A$2:$S$3102,6,0),0)</f>
        <v>5.0000000000000001E-4</v>
      </c>
      <c r="W237" s="104">
        <f t="shared" si="15"/>
        <v>5.0000000000000001E-4</v>
      </c>
    </row>
    <row r="238" spans="1:23" hidden="1" x14ac:dyDescent="0.55000000000000004">
      <c r="A238" s="41" t="s">
        <v>1462</v>
      </c>
      <c r="B238" s="41" t="s">
        <v>35</v>
      </c>
      <c r="C238" s="41" t="s">
        <v>10</v>
      </c>
      <c r="D238" s="41" t="s">
        <v>1454</v>
      </c>
      <c r="E238" s="41" t="s">
        <v>1448</v>
      </c>
      <c r="F238" s="41" t="s">
        <v>2079</v>
      </c>
      <c r="G238" s="41" t="s">
        <v>11</v>
      </c>
      <c r="H238" s="41" t="s">
        <v>1773</v>
      </c>
      <c r="I238" s="41"/>
      <c r="J238" s="41"/>
      <c r="K238" s="41" t="str">
        <f>IFERROR(VLOOKUP(L238,'Raw material list'!$A$3:$C$715,3,0),"")</f>
        <v>DRS3-1813</v>
      </c>
      <c r="L238" s="41" t="s">
        <v>69</v>
      </c>
      <c r="M238" s="40" t="s">
        <v>206</v>
      </c>
      <c r="N238" s="40" t="str">
        <f>VLOOKUP(L238,'Raw material list'!$A$3:$E$715,5,0)</f>
        <v>Ml</v>
      </c>
      <c r="O238" s="40">
        <v>40</v>
      </c>
      <c r="P238" s="299">
        <f t="shared" si="12"/>
        <v>40</v>
      </c>
      <c r="Q238" s="40">
        <v>100</v>
      </c>
      <c r="R238" s="40">
        <v>10</v>
      </c>
      <c r="S238" s="40"/>
      <c r="T238" s="105">
        <f t="shared" si="13"/>
        <v>4</v>
      </c>
      <c r="U238" s="105">
        <f t="shared" si="14"/>
        <v>4</v>
      </c>
      <c r="V238" s="104">
        <f>IFERROR(VLOOKUP(L238,'Raw material list'!$A$2:$S$3102,6,0),0)</f>
        <v>8.0555555555555554E-3</v>
      </c>
      <c r="W238" s="104">
        <f t="shared" si="15"/>
        <v>3.2222222222222222E-2</v>
      </c>
    </row>
    <row r="239" spans="1:23" hidden="1" x14ac:dyDescent="0.55000000000000004">
      <c r="A239" s="41" t="s">
        <v>1463</v>
      </c>
      <c r="B239" s="41" t="s">
        <v>35</v>
      </c>
      <c r="C239" s="41" t="s">
        <v>10</v>
      </c>
      <c r="D239" s="41" t="s">
        <v>1455</v>
      </c>
      <c r="E239" s="41" t="s">
        <v>1448</v>
      </c>
      <c r="F239" s="41" t="s">
        <v>2079</v>
      </c>
      <c r="G239" s="41" t="s">
        <v>11</v>
      </c>
      <c r="H239" s="41" t="s">
        <v>1773</v>
      </c>
      <c r="I239" s="41"/>
      <c r="J239" s="41"/>
      <c r="K239" s="41" t="str">
        <f>IFERROR(VLOOKUP(L239,'Raw material list'!$A$3:$C$715,3,0),"")</f>
        <v>DRS2-3804</v>
      </c>
      <c r="L239" s="41" t="s">
        <v>542</v>
      </c>
      <c r="M239" s="40" t="s">
        <v>156</v>
      </c>
      <c r="N239" s="40" t="str">
        <f>VLOOKUP(L239,'Raw material list'!$A$3:$E$715,5,0)</f>
        <v xml:space="preserve">Gram </v>
      </c>
      <c r="O239" s="40">
        <v>500</v>
      </c>
      <c r="P239" s="299">
        <f t="shared" si="12"/>
        <v>500</v>
      </c>
      <c r="Q239" s="40">
        <v>100</v>
      </c>
      <c r="R239" s="40">
        <v>10</v>
      </c>
      <c r="S239" s="40"/>
      <c r="T239" s="105">
        <f t="shared" si="13"/>
        <v>50</v>
      </c>
      <c r="U239" s="105">
        <f t="shared" si="14"/>
        <v>50</v>
      </c>
      <c r="V239" s="104">
        <f>IFERROR(VLOOKUP(L239,'Raw material list'!$A$2:$S$3102,6,0),0)</f>
        <v>9.2222222222222237E-3</v>
      </c>
      <c r="W239" s="104">
        <f t="shared" si="15"/>
        <v>0.46111111111111119</v>
      </c>
    </row>
    <row r="240" spans="1:23" hidden="1" x14ac:dyDescent="0.55000000000000004">
      <c r="A240" s="41" t="s">
        <v>1463</v>
      </c>
      <c r="B240" s="41" t="s">
        <v>35</v>
      </c>
      <c r="C240" s="41" t="s">
        <v>10</v>
      </c>
      <c r="D240" s="41" t="s">
        <v>1455</v>
      </c>
      <c r="E240" s="41" t="s">
        <v>1448</v>
      </c>
      <c r="F240" s="41" t="s">
        <v>2079</v>
      </c>
      <c r="G240" s="41" t="s">
        <v>11</v>
      </c>
      <c r="H240" s="41" t="s">
        <v>1773</v>
      </c>
      <c r="I240" s="41"/>
      <c r="J240" s="41"/>
      <c r="K240" s="41" t="str">
        <f>IFERROR(VLOOKUP(L240,'Raw material list'!$A$3:$C$715,3,0),"")</f>
        <v>DRS4-483</v>
      </c>
      <c r="L240" s="41" t="s">
        <v>98</v>
      </c>
      <c r="M240" s="40" t="s">
        <v>156</v>
      </c>
      <c r="N240" s="40" t="str">
        <f>VLOOKUP(L240,'Raw material list'!$A$3:$E$715,5,0)</f>
        <v xml:space="preserve">Gram </v>
      </c>
      <c r="O240" s="40">
        <v>250</v>
      </c>
      <c r="P240" s="299">
        <f t="shared" si="12"/>
        <v>250</v>
      </c>
      <c r="Q240" s="40">
        <v>100</v>
      </c>
      <c r="R240" s="40">
        <v>10</v>
      </c>
      <c r="S240" s="40"/>
      <c r="T240" s="105">
        <f t="shared" si="13"/>
        <v>25</v>
      </c>
      <c r="U240" s="105">
        <f t="shared" si="14"/>
        <v>25</v>
      </c>
      <c r="V240" s="104">
        <f>IFERROR(VLOOKUP(L240,'Raw material list'!$A$2:$S$3102,6,0),0)</f>
        <v>7.0000000000000001E-3</v>
      </c>
      <c r="W240" s="104">
        <f t="shared" si="15"/>
        <v>0.17500000000000002</v>
      </c>
    </row>
    <row r="241" spans="1:23" hidden="1" x14ac:dyDescent="0.55000000000000004">
      <c r="A241" s="41" t="s">
        <v>1463</v>
      </c>
      <c r="B241" s="41" t="s">
        <v>35</v>
      </c>
      <c r="C241" s="41" t="s">
        <v>10</v>
      </c>
      <c r="D241" s="41" t="s">
        <v>1455</v>
      </c>
      <c r="E241" s="41" t="s">
        <v>1448</v>
      </c>
      <c r="F241" s="41" t="s">
        <v>2079</v>
      </c>
      <c r="G241" s="41" t="s">
        <v>11</v>
      </c>
      <c r="H241" s="41" t="s">
        <v>1773</v>
      </c>
      <c r="I241" s="41"/>
      <c r="J241" s="41"/>
      <c r="K241" s="41" t="str">
        <f>IFERROR(VLOOKUP(L241,'Raw material list'!$A$3:$C$715,3,0),"")</f>
        <v>DRS4-498</v>
      </c>
      <c r="L241" s="41" t="s">
        <v>72</v>
      </c>
      <c r="M241" s="40" t="s">
        <v>156</v>
      </c>
      <c r="N241" s="40" t="str">
        <f>VLOOKUP(L241,'Raw material list'!$A$3:$E$715,5,0)</f>
        <v xml:space="preserve">Gram </v>
      </c>
      <c r="O241" s="40">
        <v>700</v>
      </c>
      <c r="P241" s="299">
        <f t="shared" si="12"/>
        <v>700</v>
      </c>
      <c r="Q241" s="40">
        <v>100</v>
      </c>
      <c r="R241" s="40">
        <v>10</v>
      </c>
      <c r="S241" s="40"/>
      <c r="T241" s="105">
        <f t="shared" si="13"/>
        <v>70</v>
      </c>
      <c r="U241" s="105">
        <f t="shared" si="14"/>
        <v>70</v>
      </c>
      <c r="V241" s="104">
        <f>IFERROR(VLOOKUP(L241,'Raw material list'!$A$2:$S$3102,6,0),0)</f>
        <v>5.7499999999999999E-3</v>
      </c>
      <c r="W241" s="104">
        <f t="shared" si="15"/>
        <v>0.40249999999999997</v>
      </c>
    </row>
    <row r="242" spans="1:23" hidden="1" x14ac:dyDescent="0.55000000000000004">
      <c r="A242" s="41" t="s">
        <v>1463</v>
      </c>
      <c r="B242" s="41" t="s">
        <v>35</v>
      </c>
      <c r="C242" s="41" t="s">
        <v>10</v>
      </c>
      <c r="D242" s="41" t="s">
        <v>1455</v>
      </c>
      <c r="E242" s="41" t="s">
        <v>1448</v>
      </c>
      <c r="F242" s="41" t="s">
        <v>2079</v>
      </c>
      <c r="G242" s="41" t="s">
        <v>11</v>
      </c>
      <c r="H242" s="41" t="s">
        <v>1773</v>
      </c>
      <c r="I242" s="41"/>
      <c r="J242" s="41"/>
      <c r="K242" s="41" t="str">
        <f>IFERROR(VLOOKUP(L242,'Raw material list'!$A$3:$C$715,3,0),"")</f>
        <v>DRS2-3628</v>
      </c>
      <c r="L242" s="41" t="s">
        <v>94</v>
      </c>
      <c r="M242" s="40" t="s">
        <v>156</v>
      </c>
      <c r="N242" s="40" t="str">
        <f>VLOOKUP(L242,'Raw material list'!$A$3:$E$715,5,0)</f>
        <v xml:space="preserve">Gram </v>
      </c>
      <c r="O242" s="40">
        <v>70</v>
      </c>
      <c r="P242" s="299">
        <f t="shared" si="12"/>
        <v>70</v>
      </c>
      <c r="Q242" s="40">
        <v>100</v>
      </c>
      <c r="R242" s="40">
        <v>10</v>
      </c>
      <c r="S242" s="40"/>
      <c r="T242" s="105">
        <f t="shared" si="13"/>
        <v>7</v>
      </c>
      <c r="U242" s="105">
        <f t="shared" si="14"/>
        <v>7</v>
      </c>
      <c r="V242" s="104">
        <f>IFERROR(VLOOKUP(L242,'Raw material list'!$A$2:$S$3102,6,0),0)</f>
        <v>1.1066666666666667E-2</v>
      </c>
      <c r="W242" s="104">
        <f t="shared" si="15"/>
        <v>7.746666666666667E-2</v>
      </c>
    </row>
    <row r="243" spans="1:23" hidden="1" x14ac:dyDescent="0.55000000000000004">
      <c r="A243" s="41" t="s">
        <v>1463</v>
      </c>
      <c r="B243" s="41" t="s">
        <v>35</v>
      </c>
      <c r="C243" s="41" t="s">
        <v>10</v>
      </c>
      <c r="D243" s="41" t="s">
        <v>1455</v>
      </c>
      <c r="E243" s="41" t="s">
        <v>1448</v>
      </c>
      <c r="F243" s="41" t="s">
        <v>2079</v>
      </c>
      <c r="G243" s="41" t="s">
        <v>11</v>
      </c>
      <c r="H243" s="41" t="s">
        <v>1773</v>
      </c>
      <c r="I243" s="41"/>
      <c r="J243" s="41"/>
      <c r="K243" s="41" t="str">
        <f>IFERROR(VLOOKUP(L243,'Raw material list'!$A$3:$C$715,3,0),"")</f>
        <v>DRS3-1813</v>
      </c>
      <c r="L243" s="41" t="s">
        <v>69</v>
      </c>
      <c r="M243" s="40" t="s">
        <v>206</v>
      </c>
      <c r="N243" s="40" t="str">
        <f>VLOOKUP(L243,'Raw material list'!$A$3:$E$715,5,0)</f>
        <v>Ml</v>
      </c>
      <c r="O243" s="40">
        <v>50</v>
      </c>
      <c r="P243" s="299">
        <f t="shared" si="12"/>
        <v>50</v>
      </c>
      <c r="Q243" s="40">
        <v>100</v>
      </c>
      <c r="R243" s="40">
        <v>10</v>
      </c>
      <c r="S243" s="40"/>
      <c r="T243" s="105">
        <f t="shared" si="13"/>
        <v>5</v>
      </c>
      <c r="U243" s="105">
        <f t="shared" si="14"/>
        <v>5</v>
      </c>
      <c r="V243" s="104">
        <f>IFERROR(VLOOKUP(L243,'Raw material list'!$A$2:$S$3102,6,0),0)</f>
        <v>8.0555555555555554E-3</v>
      </c>
      <c r="W243" s="104">
        <f t="shared" si="15"/>
        <v>4.0277777777777773E-2</v>
      </c>
    </row>
    <row r="244" spans="1:23" hidden="1" x14ac:dyDescent="0.55000000000000004">
      <c r="A244" s="41" t="s">
        <v>1463</v>
      </c>
      <c r="B244" s="41" t="s">
        <v>35</v>
      </c>
      <c r="C244" s="41" t="s">
        <v>10</v>
      </c>
      <c r="D244" s="41" t="s">
        <v>1455</v>
      </c>
      <c r="E244" s="41" t="s">
        <v>1448</v>
      </c>
      <c r="F244" s="41" t="s">
        <v>2079</v>
      </c>
      <c r="G244" s="41" t="s">
        <v>11</v>
      </c>
      <c r="H244" s="41" t="s">
        <v>1773</v>
      </c>
      <c r="I244" s="41"/>
      <c r="J244" s="41"/>
      <c r="K244" s="41" t="str">
        <f>IFERROR(VLOOKUP(L244,'Raw material list'!$A$3:$C$715,3,0),"")</f>
        <v>DRS6-733</v>
      </c>
      <c r="L244" s="41" t="s">
        <v>45</v>
      </c>
      <c r="M244" s="40" t="s">
        <v>156</v>
      </c>
      <c r="N244" s="40" t="str">
        <f>VLOOKUP(L244,'Raw material list'!$A$3:$E$715,5,0)</f>
        <v xml:space="preserve">Gram </v>
      </c>
      <c r="O244" s="40">
        <v>8</v>
      </c>
      <c r="P244" s="299">
        <f t="shared" si="12"/>
        <v>8</v>
      </c>
      <c r="Q244" s="40">
        <v>100</v>
      </c>
      <c r="R244" s="40">
        <v>10</v>
      </c>
      <c r="S244" s="40"/>
      <c r="T244" s="105">
        <f t="shared" si="13"/>
        <v>0.8</v>
      </c>
      <c r="U244" s="105">
        <f t="shared" si="14"/>
        <v>0.8</v>
      </c>
      <c r="V244" s="104">
        <f>IFERROR(VLOOKUP(L244,'Raw material list'!$A$2:$S$3102,6,0),0)</f>
        <v>2.8000000000000001E-2</v>
      </c>
      <c r="W244" s="104">
        <f t="shared" si="15"/>
        <v>2.2400000000000003E-2</v>
      </c>
    </row>
    <row r="245" spans="1:23" hidden="1" x14ac:dyDescent="0.55000000000000004">
      <c r="A245" s="41" t="s">
        <v>1463</v>
      </c>
      <c r="B245" s="41" t="s">
        <v>35</v>
      </c>
      <c r="C245" s="41" t="s">
        <v>10</v>
      </c>
      <c r="D245" s="41" t="s">
        <v>1455</v>
      </c>
      <c r="E245" s="41" t="s">
        <v>1448</v>
      </c>
      <c r="F245" s="41" t="s">
        <v>2079</v>
      </c>
      <c r="G245" s="41" t="s">
        <v>11</v>
      </c>
      <c r="H245" s="41" t="s">
        <v>1773</v>
      </c>
      <c r="I245" s="41"/>
      <c r="J245" s="41"/>
      <c r="K245" s="41" t="str">
        <f>IFERROR(VLOOKUP(L245,'Raw material list'!$A$3:$C$715,3,0),"")</f>
        <v>PRD2-3914</v>
      </c>
      <c r="L245" s="41" t="s">
        <v>921</v>
      </c>
      <c r="M245" s="40" t="s">
        <v>48</v>
      </c>
      <c r="N245" s="40" t="str">
        <f>VLOOKUP(L245,'Raw material list'!$A$3:$E$715,5,0)</f>
        <v>Each</v>
      </c>
      <c r="O245" s="40">
        <v>2</v>
      </c>
      <c r="P245" s="299">
        <f t="shared" si="12"/>
        <v>2</v>
      </c>
      <c r="Q245" s="40">
        <v>100</v>
      </c>
      <c r="R245" s="40">
        <v>10</v>
      </c>
      <c r="S245" s="40"/>
      <c r="T245" s="105">
        <f t="shared" si="13"/>
        <v>0.2</v>
      </c>
      <c r="U245" s="105">
        <f t="shared" si="14"/>
        <v>0.2</v>
      </c>
      <c r="V245" s="104">
        <f>IFERROR(VLOOKUP(L245,'Raw material list'!$A$2:$S$3102,6,0),0)</f>
        <v>3.73</v>
      </c>
      <c r="W245" s="104">
        <f t="shared" si="15"/>
        <v>0.746</v>
      </c>
    </row>
    <row r="246" spans="1:23" hidden="1" x14ac:dyDescent="0.55000000000000004">
      <c r="A246" s="41" t="s">
        <v>1463</v>
      </c>
      <c r="B246" s="41" t="s">
        <v>35</v>
      </c>
      <c r="C246" s="41" t="s">
        <v>10</v>
      </c>
      <c r="D246" s="41" t="s">
        <v>1455</v>
      </c>
      <c r="E246" s="41" t="s">
        <v>1448</v>
      </c>
      <c r="F246" s="41" t="s">
        <v>2079</v>
      </c>
      <c r="G246" s="41" t="s">
        <v>11</v>
      </c>
      <c r="H246" s="41" t="s">
        <v>1773</v>
      </c>
      <c r="I246" s="41"/>
      <c r="J246" s="41"/>
      <c r="K246" s="41" t="str">
        <f>IFERROR(VLOOKUP(L246,'Raw material list'!$A$3:$C$715,3,0),"")</f>
        <v>PRD1-4327</v>
      </c>
      <c r="L246" s="41" t="s">
        <v>39</v>
      </c>
      <c r="M246" s="40" t="s">
        <v>156</v>
      </c>
      <c r="N246" s="40" t="str">
        <f>VLOOKUP(L246,'Raw material list'!$A$3:$E$715,5,0)</f>
        <v xml:space="preserve">Gram </v>
      </c>
      <c r="O246" s="40">
        <v>20</v>
      </c>
      <c r="P246" s="299">
        <f t="shared" si="12"/>
        <v>24.096385542168676</v>
      </c>
      <c r="Q246" s="105">
        <v>83</v>
      </c>
      <c r="R246" s="40">
        <v>10</v>
      </c>
      <c r="S246" s="40"/>
      <c r="T246" s="105">
        <f t="shared" si="13"/>
        <v>2</v>
      </c>
      <c r="U246" s="105">
        <f t="shared" si="14"/>
        <v>2.4096385542168677</v>
      </c>
      <c r="V246" s="104">
        <f>IFERROR(VLOOKUP(L246,'Raw material list'!$A$2:$S$3102,6,0),0)</f>
        <v>1.2999999999999999E-2</v>
      </c>
      <c r="W246" s="104">
        <f t="shared" si="15"/>
        <v>3.1325301204819279E-2</v>
      </c>
    </row>
    <row r="247" spans="1:23" hidden="1" x14ac:dyDescent="0.55000000000000004">
      <c r="A247" s="41" t="s">
        <v>1463</v>
      </c>
      <c r="B247" s="41" t="s">
        <v>35</v>
      </c>
      <c r="C247" s="41" t="s">
        <v>10</v>
      </c>
      <c r="D247" s="41" t="s">
        <v>1455</v>
      </c>
      <c r="E247" s="41" t="s">
        <v>1448</v>
      </c>
      <c r="F247" s="41" t="s">
        <v>2079</v>
      </c>
      <c r="G247" s="41" t="s">
        <v>11</v>
      </c>
      <c r="H247" s="41" t="s">
        <v>1773</v>
      </c>
      <c r="I247" s="41"/>
      <c r="J247" s="41"/>
      <c r="K247" s="41" t="str">
        <f>IFERROR(VLOOKUP(L247,'Raw material list'!$A$3:$C$715,3,0),"")</f>
        <v>DRS3-1615</v>
      </c>
      <c r="L247" s="41" t="s">
        <v>50</v>
      </c>
      <c r="M247" s="40" t="s">
        <v>206</v>
      </c>
      <c r="N247" s="40" t="str">
        <f>VLOOKUP(L247,'Raw material list'!$A$3:$E$715,5,0)</f>
        <v>Ml</v>
      </c>
      <c r="O247" s="40">
        <v>80</v>
      </c>
      <c r="P247" s="299">
        <f t="shared" si="12"/>
        <v>80</v>
      </c>
      <c r="Q247" s="300">
        <v>100</v>
      </c>
      <c r="R247" s="40">
        <v>10</v>
      </c>
      <c r="S247" s="40"/>
      <c r="T247" s="105">
        <f t="shared" si="13"/>
        <v>8</v>
      </c>
      <c r="U247" s="105">
        <f t="shared" si="14"/>
        <v>8</v>
      </c>
      <c r="V247" s="104">
        <f>IFERROR(VLOOKUP(L247,'Raw material list'!$A$2:$S$3102,6,0),0)</f>
        <v>1.2E-2</v>
      </c>
      <c r="W247" s="104">
        <f t="shared" si="15"/>
        <v>9.6000000000000002E-2</v>
      </c>
    </row>
    <row r="248" spans="1:23" hidden="1" x14ac:dyDescent="0.55000000000000004">
      <c r="A248" s="41" t="s">
        <v>1463</v>
      </c>
      <c r="B248" s="41" t="s">
        <v>35</v>
      </c>
      <c r="C248" s="41" t="s">
        <v>10</v>
      </c>
      <c r="D248" s="41" t="s">
        <v>1455</v>
      </c>
      <c r="E248" s="41" t="s">
        <v>1448</v>
      </c>
      <c r="F248" s="41" t="s">
        <v>2079</v>
      </c>
      <c r="G248" s="41" t="s">
        <v>11</v>
      </c>
      <c r="H248" s="41" t="s">
        <v>1773</v>
      </c>
      <c r="I248" s="41"/>
      <c r="J248" s="41"/>
      <c r="K248" s="41" t="str">
        <f>IFERROR(VLOOKUP(L248,'Raw material list'!$A$3:$C$715,3,0),"")</f>
        <v>DRS6-733</v>
      </c>
      <c r="L248" s="41" t="s">
        <v>45</v>
      </c>
      <c r="M248" s="40" t="s">
        <v>156</v>
      </c>
      <c r="N248" s="40" t="str">
        <f>VLOOKUP(L248,'Raw material list'!$A$3:$E$715,5,0)</f>
        <v xml:space="preserve">Gram </v>
      </c>
      <c r="O248" s="40">
        <v>3</v>
      </c>
      <c r="P248" s="299">
        <f t="shared" si="12"/>
        <v>3</v>
      </c>
      <c r="Q248" s="40">
        <v>100</v>
      </c>
      <c r="R248" s="40">
        <v>10</v>
      </c>
      <c r="S248" s="40"/>
      <c r="T248" s="105">
        <f t="shared" si="13"/>
        <v>0.3</v>
      </c>
      <c r="U248" s="105">
        <f t="shared" si="14"/>
        <v>0.3</v>
      </c>
      <c r="V248" s="104">
        <f>IFERROR(VLOOKUP(L248,'Raw material list'!$A$2:$S$3102,6,0),0)</f>
        <v>2.8000000000000001E-2</v>
      </c>
      <c r="W248" s="104">
        <f t="shared" si="15"/>
        <v>8.3999999999999995E-3</v>
      </c>
    </row>
    <row r="249" spans="1:23" hidden="1" x14ac:dyDescent="0.55000000000000004">
      <c r="A249" s="41" t="s">
        <v>1463</v>
      </c>
      <c r="B249" s="41" t="s">
        <v>35</v>
      </c>
      <c r="C249" s="41" t="s">
        <v>10</v>
      </c>
      <c r="D249" s="41" t="s">
        <v>1455</v>
      </c>
      <c r="E249" s="41" t="s">
        <v>1448</v>
      </c>
      <c r="F249" s="41" t="s">
        <v>2079</v>
      </c>
      <c r="G249" s="41" t="s">
        <v>11</v>
      </c>
      <c r="H249" s="41" t="s">
        <v>1773</v>
      </c>
      <c r="I249" s="41"/>
      <c r="J249" s="41"/>
      <c r="K249" s="41" t="str">
        <f>IFERROR(VLOOKUP(L249,'Raw material list'!$A$3:$C$715,3,0),"")</f>
        <v>DRS6-266</v>
      </c>
      <c r="L249" s="41" t="s">
        <v>99</v>
      </c>
      <c r="M249" s="40" t="s">
        <v>156</v>
      </c>
      <c r="N249" s="40" t="str">
        <f>VLOOKUP(L249,'Raw material list'!$A$3:$E$715,5,0)</f>
        <v xml:space="preserve">Gram </v>
      </c>
      <c r="O249" s="40">
        <v>3</v>
      </c>
      <c r="P249" s="299">
        <f t="shared" si="12"/>
        <v>3</v>
      </c>
      <c r="Q249" s="40">
        <v>100</v>
      </c>
      <c r="R249" s="40">
        <v>10</v>
      </c>
      <c r="S249" s="40"/>
      <c r="T249" s="105">
        <f t="shared" si="13"/>
        <v>0.3</v>
      </c>
      <c r="U249" s="105">
        <f t="shared" si="14"/>
        <v>0.3</v>
      </c>
      <c r="V249" s="104">
        <f>IFERROR(VLOOKUP(L249,'Raw material list'!$A$2:$S$3102,6,0),0)</f>
        <v>1.4E-2</v>
      </c>
      <c r="W249" s="104">
        <f t="shared" si="15"/>
        <v>4.1999999999999997E-3</v>
      </c>
    </row>
    <row r="250" spans="1:23" hidden="1" x14ac:dyDescent="0.55000000000000004">
      <c r="A250" s="41" t="s">
        <v>1463</v>
      </c>
      <c r="B250" s="41" t="s">
        <v>35</v>
      </c>
      <c r="C250" s="41" t="s">
        <v>10</v>
      </c>
      <c r="D250" s="41" t="s">
        <v>1455</v>
      </c>
      <c r="E250" s="41" t="s">
        <v>1448</v>
      </c>
      <c r="F250" s="41" t="s">
        <v>2079</v>
      </c>
      <c r="G250" s="41" t="s">
        <v>11</v>
      </c>
      <c r="H250" s="41" t="s">
        <v>1773</v>
      </c>
      <c r="I250" s="41"/>
      <c r="J250" s="41"/>
      <c r="K250" s="41" t="str">
        <f>IFERROR(VLOOKUP(L250,'Raw material list'!$A$3:$C$715,3,0),"")</f>
        <v>DRS6-537</v>
      </c>
      <c r="L250" s="41" t="s">
        <v>46</v>
      </c>
      <c r="M250" s="40" t="s">
        <v>156</v>
      </c>
      <c r="N250" s="40" t="str">
        <f>VLOOKUP(L250,'Raw material list'!$A$3:$E$715,5,0)</f>
        <v xml:space="preserve">Gram </v>
      </c>
      <c r="O250" s="40">
        <v>2</v>
      </c>
      <c r="P250" s="299">
        <f t="shared" si="12"/>
        <v>2</v>
      </c>
      <c r="Q250" s="40">
        <v>100</v>
      </c>
      <c r="R250" s="40">
        <v>10</v>
      </c>
      <c r="S250" s="40"/>
      <c r="T250" s="105">
        <f t="shared" si="13"/>
        <v>0.2</v>
      </c>
      <c r="U250" s="105">
        <f t="shared" si="14"/>
        <v>0.2</v>
      </c>
      <c r="V250" s="104">
        <f>IFERROR(VLOOKUP(L250,'Raw material list'!$A$2:$S$3102,6,0),0)</f>
        <v>3.5000000000000003E-2</v>
      </c>
      <c r="W250" s="104">
        <f t="shared" si="15"/>
        <v>7.000000000000001E-3</v>
      </c>
    </row>
    <row r="251" spans="1:23" hidden="1" x14ac:dyDescent="0.55000000000000004">
      <c r="A251" s="41" t="s">
        <v>1463</v>
      </c>
      <c r="B251" s="41" t="s">
        <v>35</v>
      </c>
      <c r="C251" s="41" t="s">
        <v>10</v>
      </c>
      <c r="D251" s="41" t="s">
        <v>1455</v>
      </c>
      <c r="E251" s="41" t="s">
        <v>1448</v>
      </c>
      <c r="F251" s="41" t="s">
        <v>2079</v>
      </c>
      <c r="G251" s="41" t="s">
        <v>11</v>
      </c>
      <c r="H251" s="41" t="s">
        <v>1773</v>
      </c>
      <c r="I251" s="41"/>
      <c r="J251" s="41"/>
      <c r="K251" s="41" t="str">
        <f>IFERROR(VLOOKUP(L251,'Raw material list'!$A$3:$C$715,3,0),"")</f>
        <v>PRD1-572</v>
      </c>
      <c r="L251" s="41" t="s">
        <v>54</v>
      </c>
      <c r="M251" s="40" t="s">
        <v>156</v>
      </c>
      <c r="N251" s="40" t="str">
        <f>VLOOKUP(L251,'Raw material list'!$A$3:$E$715,5,0)</f>
        <v xml:space="preserve">Gram </v>
      </c>
      <c r="O251" s="40">
        <v>600</v>
      </c>
      <c r="P251" s="299">
        <f t="shared" si="12"/>
        <v>680.01511144692086</v>
      </c>
      <c r="Q251" s="105">
        <v>88.233333333333348</v>
      </c>
      <c r="R251" s="40">
        <v>10</v>
      </c>
      <c r="S251" s="40"/>
      <c r="T251" s="105">
        <f t="shared" si="13"/>
        <v>60</v>
      </c>
      <c r="U251" s="105">
        <f t="shared" si="14"/>
        <v>68.001511144692088</v>
      </c>
      <c r="V251" s="104">
        <f>IFERROR(VLOOKUP(L251,'Raw material list'!$A$2:$S$3102,6,0),0)</f>
        <v>4.5351473922902496E-3</v>
      </c>
      <c r="W251" s="104">
        <f t="shared" si="15"/>
        <v>0.30839687593964665</v>
      </c>
    </row>
    <row r="252" spans="1:23" hidden="1" x14ac:dyDescent="0.55000000000000004">
      <c r="A252" s="41" t="s">
        <v>1463</v>
      </c>
      <c r="B252" s="41" t="s">
        <v>35</v>
      </c>
      <c r="C252" s="41" t="s">
        <v>10</v>
      </c>
      <c r="D252" s="41" t="s">
        <v>1455</v>
      </c>
      <c r="E252" s="41" t="s">
        <v>1448</v>
      </c>
      <c r="F252" s="41" t="s">
        <v>2079</v>
      </c>
      <c r="G252" s="41" t="s">
        <v>11</v>
      </c>
      <c r="H252" s="41" t="s">
        <v>1773</v>
      </c>
      <c r="I252" s="41"/>
      <c r="J252" s="41"/>
      <c r="K252" s="41" t="str">
        <f>IFERROR(VLOOKUP(L252,'Raw material list'!$A$3:$C$715,3,0),"")</f>
        <v>DRS1-5153</v>
      </c>
      <c r="L252" s="41" t="s">
        <v>811</v>
      </c>
      <c r="M252" s="40" t="s">
        <v>206</v>
      </c>
      <c r="N252" s="40" t="str">
        <f>VLOOKUP(L252,'Raw material list'!$A$3:$E$715,5,0)</f>
        <v>Ml</v>
      </c>
      <c r="O252" s="40">
        <v>30</v>
      </c>
      <c r="P252" s="299">
        <f t="shared" si="12"/>
        <v>30</v>
      </c>
      <c r="Q252" s="300">
        <v>100</v>
      </c>
      <c r="R252" s="40">
        <v>10</v>
      </c>
      <c r="S252" s="40"/>
      <c r="T252" s="105">
        <f t="shared" si="13"/>
        <v>3</v>
      </c>
      <c r="U252" s="105">
        <f t="shared" si="14"/>
        <v>3</v>
      </c>
      <c r="V252" s="104">
        <f>IFERROR(VLOOKUP(L252,'Raw material list'!$A$2:$S$3102,6,0),0)</f>
        <v>1.681E-3</v>
      </c>
      <c r="W252" s="104">
        <f t="shared" si="15"/>
        <v>5.0429999999999997E-3</v>
      </c>
    </row>
    <row r="253" spans="1:23" hidden="1" x14ac:dyDescent="0.55000000000000004">
      <c r="A253" s="41" t="s">
        <v>1463</v>
      </c>
      <c r="B253" s="41" t="s">
        <v>35</v>
      </c>
      <c r="C253" s="41" t="s">
        <v>10</v>
      </c>
      <c r="D253" s="41" t="s">
        <v>1455</v>
      </c>
      <c r="E253" s="41" t="s">
        <v>1448</v>
      </c>
      <c r="F253" s="41" t="s">
        <v>2079</v>
      </c>
      <c r="G253" s="41" t="s">
        <v>11</v>
      </c>
      <c r="H253" s="41" t="s">
        <v>1773</v>
      </c>
      <c r="I253" s="41"/>
      <c r="J253" s="41"/>
      <c r="K253" s="41" t="str">
        <f>IFERROR(VLOOKUP(L253,'Raw material list'!$A$3:$C$715,3,0),"")</f>
        <v>DRS1-3880</v>
      </c>
      <c r="L253" s="41" t="s">
        <v>1433</v>
      </c>
      <c r="M253" s="40" t="s">
        <v>156</v>
      </c>
      <c r="N253" s="40" t="str">
        <f>VLOOKUP(L253,'Raw material list'!$A$3:$E$715,5,0)</f>
        <v xml:space="preserve">Gram </v>
      </c>
      <c r="O253" s="40">
        <v>8</v>
      </c>
      <c r="P253" s="299">
        <f t="shared" si="12"/>
        <v>8</v>
      </c>
      <c r="Q253" s="40">
        <v>100</v>
      </c>
      <c r="R253" s="40">
        <v>10</v>
      </c>
      <c r="S253" s="40"/>
      <c r="T253" s="105">
        <f t="shared" si="13"/>
        <v>0.8</v>
      </c>
      <c r="U253" s="105">
        <f t="shared" si="14"/>
        <v>0.8</v>
      </c>
      <c r="V253" s="104">
        <f>IFERROR(VLOOKUP(L253,'Raw material list'!$A$2:$S$3102,6,0),0)</f>
        <v>5.0000000000000001E-4</v>
      </c>
      <c r="W253" s="104">
        <f t="shared" si="15"/>
        <v>4.0000000000000002E-4</v>
      </c>
    </row>
    <row r="254" spans="1:23" hidden="1" x14ac:dyDescent="0.55000000000000004">
      <c r="A254" s="41" t="s">
        <v>1463</v>
      </c>
      <c r="B254" s="41" t="s">
        <v>35</v>
      </c>
      <c r="C254" s="41" t="s">
        <v>10</v>
      </c>
      <c r="D254" s="41" t="s">
        <v>1455</v>
      </c>
      <c r="E254" s="41" t="s">
        <v>1448</v>
      </c>
      <c r="F254" s="41" t="s">
        <v>2079</v>
      </c>
      <c r="G254" s="41" t="s">
        <v>11</v>
      </c>
      <c r="H254" s="41" t="s">
        <v>1773</v>
      </c>
      <c r="I254" s="41"/>
      <c r="J254" s="41"/>
      <c r="K254" s="41" t="str">
        <f>IFERROR(VLOOKUP(L254,'Raw material list'!$A$3:$C$715,3,0),"")</f>
        <v>DRS1-978</v>
      </c>
      <c r="L254" s="41" t="s">
        <v>56</v>
      </c>
      <c r="M254" s="40" t="s">
        <v>156</v>
      </c>
      <c r="N254" s="40" t="str">
        <f>VLOOKUP(L254,'Raw material list'!$A$3:$E$715,5,0)</f>
        <v xml:space="preserve">Gram </v>
      </c>
      <c r="O254" s="40">
        <v>10</v>
      </c>
      <c r="P254" s="299">
        <f t="shared" si="12"/>
        <v>10</v>
      </c>
      <c r="Q254" s="40">
        <v>100</v>
      </c>
      <c r="R254" s="40">
        <v>10</v>
      </c>
      <c r="S254" s="40"/>
      <c r="T254" s="105">
        <f t="shared" si="13"/>
        <v>1</v>
      </c>
      <c r="U254" s="105">
        <f t="shared" si="14"/>
        <v>1</v>
      </c>
      <c r="V254" s="104">
        <f>IFERROR(VLOOKUP(L254,'Raw material list'!$A$2:$S$3102,6,0),0)</f>
        <v>2.3999999999999998E-3</v>
      </c>
      <c r="W254" s="104">
        <f t="shared" si="15"/>
        <v>2.3999999999999998E-3</v>
      </c>
    </row>
    <row r="255" spans="1:23" hidden="1" x14ac:dyDescent="0.55000000000000004">
      <c r="A255" s="41" t="s">
        <v>1463</v>
      </c>
      <c r="B255" s="41" t="s">
        <v>35</v>
      </c>
      <c r="C255" s="41" t="s">
        <v>10</v>
      </c>
      <c r="D255" s="41" t="s">
        <v>1455</v>
      </c>
      <c r="E255" s="41" t="s">
        <v>1448</v>
      </c>
      <c r="F255" s="41" t="s">
        <v>2079</v>
      </c>
      <c r="G255" s="41" t="s">
        <v>11</v>
      </c>
      <c r="H255" s="41" t="s">
        <v>1773</v>
      </c>
      <c r="I255" s="41"/>
      <c r="J255" s="41"/>
      <c r="K255" s="41" t="str">
        <f>IFERROR(VLOOKUP(L255,'Raw material list'!$A$3:$C$715,3,0),"")</f>
        <v>PRD3-5038</v>
      </c>
      <c r="L255" s="41" t="s">
        <v>965</v>
      </c>
      <c r="M255" s="40" t="s">
        <v>156</v>
      </c>
      <c r="N255" s="40" t="str">
        <f>VLOOKUP(L255,'Raw material list'!$A$3:$E$715,5,0)</f>
        <v xml:space="preserve">Gram </v>
      </c>
      <c r="O255" s="40">
        <v>100</v>
      </c>
      <c r="P255" s="299">
        <f t="shared" si="12"/>
        <v>100</v>
      </c>
      <c r="Q255" s="40">
        <v>100</v>
      </c>
      <c r="R255" s="40">
        <v>10</v>
      </c>
      <c r="S255" s="40"/>
      <c r="T255" s="105">
        <f t="shared" si="13"/>
        <v>10</v>
      </c>
      <c r="U255" s="105">
        <f t="shared" si="14"/>
        <v>10</v>
      </c>
      <c r="V255" s="104">
        <f>IFERROR(VLOOKUP(L255,'Raw material list'!$A$2:$S$3102,6,0),0)</f>
        <v>2.5999999999999999E-2</v>
      </c>
      <c r="W255" s="104">
        <f t="shared" si="15"/>
        <v>0.26</v>
      </c>
    </row>
    <row r="256" spans="1:23" hidden="1" x14ac:dyDescent="0.55000000000000004">
      <c r="A256" s="41" t="s">
        <v>1463</v>
      </c>
      <c r="B256" s="41" t="s">
        <v>35</v>
      </c>
      <c r="C256" s="41" t="s">
        <v>10</v>
      </c>
      <c r="D256" s="41" t="s">
        <v>1455</v>
      </c>
      <c r="E256" s="41" t="s">
        <v>1448</v>
      </c>
      <c r="F256" s="41" t="s">
        <v>2079</v>
      </c>
      <c r="G256" s="41" t="s">
        <v>11</v>
      </c>
      <c r="H256" s="41" t="s">
        <v>1773</v>
      </c>
      <c r="I256" s="41"/>
      <c r="J256" s="41"/>
      <c r="K256" s="41" t="str">
        <f>IFERROR(VLOOKUP(L256,'Raw material list'!$A$3:$C$715,3,0),"")</f>
        <v>DRS4-490</v>
      </c>
      <c r="L256" s="41" t="s">
        <v>495</v>
      </c>
      <c r="M256" s="40" t="s">
        <v>156</v>
      </c>
      <c r="N256" s="40" t="str">
        <f>VLOOKUP(L256,'Raw material list'!$A$3:$E$715,5,0)</f>
        <v xml:space="preserve">Gram </v>
      </c>
      <c r="O256" s="40">
        <v>300</v>
      </c>
      <c r="P256" s="299">
        <f t="shared" si="12"/>
        <v>300</v>
      </c>
      <c r="Q256" s="40">
        <v>100</v>
      </c>
      <c r="R256" s="40">
        <v>10</v>
      </c>
      <c r="S256" s="40"/>
      <c r="T256" s="105">
        <f t="shared" si="13"/>
        <v>30</v>
      </c>
      <c r="U256" s="105">
        <f t="shared" si="14"/>
        <v>30</v>
      </c>
      <c r="V256" s="104">
        <f>IFERROR(VLOOKUP(L256,'Raw material list'!$A$2:$S$3102,6,0),0)</f>
        <v>8.3333333333333332E-3</v>
      </c>
      <c r="W256" s="104">
        <f t="shared" si="15"/>
        <v>0.25</v>
      </c>
    </row>
    <row r="257" spans="1:23" hidden="1" x14ac:dyDescent="0.55000000000000004">
      <c r="A257" s="41" t="s">
        <v>1464</v>
      </c>
      <c r="B257" s="41" t="s">
        <v>35</v>
      </c>
      <c r="C257" s="41" t="s">
        <v>10</v>
      </c>
      <c r="D257" s="41" t="s">
        <v>1456</v>
      </c>
      <c r="E257" s="41" t="s">
        <v>1448</v>
      </c>
      <c r="F257" s="41" t="s">
        <v>2081</v>
      </c>
      <c r="G257" s="41" t="s">
        <v>11</v>
      </c>
      <c r="H257" s="41" t="s">
        <v>1774</v>
      </c>
      <c r="I257" s="41"/>
      <c r="J257" s="41"/>
      <c r="K257" s="41" t="str">
        <f>IFERROR(VLOOKUP(L257,'Raw material list'!$A$3:$C$715,3,0),"")</f>
        <v>MET2-3558</v>
      </c>
      <c r="L257" s="41" t="s">
        <v>909</v>
      </c>
      <c r="M257" s="40" t="s">
        <v>156</v>
      </c>
      <c r="N257" s="40" t="str">
        <f>VLOOKUP(L257,'Raw material list'!$A$3:$E$715,5,0)</f>
        <v xml:space="preserve">Gram </v>
      </c>
      <c r="O257" s="40">
        <v>1000</v>
      </c>
      <c r="P257" s="299">
        <f t="shared" si="12"/>
        <v>1117.31843575419</v>
      </c>
      <c r="Q257" s="40">
        <v>89.5</v>
      </c>
      <c r="R257" s="40">
        <v>10</v>
      </c>
      <c r="S257" s="40"/>
      <c r="T257" s="105">
        <f t="shared" si="13"/>
        <v>100</v>
      </c>
      <c r="U257" s="105">
        <f t="shared" si="14"/>
        <v>111.73184357541899</v>
      </c>
      <c r="V257" s="104">
        <f>IFERROR(VLOOKUP(L257,'Raw material list'!$A$2:$S$3102,6,0),0)</f>
        <v>8.7272727272727266E-2</v>
      </c>
      <c r="W257" s="104">
        <f t="shared" si="15"/>
        <v>9.7511427120365664</v>
      </c>
    </row>
    <row r="258" spans="1:23" hidden="1" x14ac:dyDescent="0.55000000000000004">
      <c r="A258" s="41" t="s">
        <v>1464</v>
      </c>
      <c r="B258" s="41" t="s">
        <v>35</v>
      </c>
      <c r="C258" s="41" t="s">
        <v>10</v>
      </c>
      <c r="D258" s="41" t="s">
        <v>1456</v>
      </c>
      <c r="E258" s="41" t="s">
        <v>1448</v>
      </c>
      <c r="F258" s="41" t="s">
        <v>2079</v>
      </c>
      <c r="G258" s="41" t="s">
        <v>11</v>
      </c>
      <c r="H258" s="41" t="s">
        <v>1774</v>
      </c>
      <c r="I258" s="41"/>
      <c r="J258" s="41"/>
      <c r="K258" s="41" t="str">
        <f>IFERROR(VLOOKUP(L258,'Raw material list'!$A$3:$C$715,3,0),"")</f>
        <v>DRS4-3299</v>
      </c>
      <c r="L258" s="41" t="s">
        <v>652</v>
      </c>
      <c r="M258" s="40" t="s">
        <v>156</v>
      </c>
      <c r="N258" s="40" t="str">
        <f>VLOOKUP(L258,'Raw material list'!$A$3:$E$715,5,0)</f>
        <v xml:space="preserve">Gram </v>
      </c>
      <c r="O258" s="40">
        <v>1000</v>
      </c>
      <c r="P258" s="299">
        <f t="shared" si="12"/>
        <v>1000</v>
      </c>
      <c r="Q258" s="40">
        <v>100</v>
      </c>
      <c r="R258" s="40">
        <v>10</v>
      </c>
      <c r="S258" s="40"/>
      <c r="T258" s="105">
        <f t="shared" si="13"/>
        <v>100</v>
      </c>
      <c r="U258" s="105">
        <f t="shared" si="14"/>
        <v>100</v>
      </c>
      <c r="V258" s="104">
        <f>IFERROR(VLOOKUP(L258,'Raw material list'!$A$2:$S$3102,6,0),0)</f>
        <v>6.0000000000000001E-3</v>
      </c>
      <c r="W258" s="104">
        <f t="shared" si="15"/>
        <v>0.6</v>
      </c>
    </row>
    <row r="259" spans="1:23" hidden="1" x14ac:dyDescent="0.55000000000000004">
      <c r="A259" s="41" t="s">
        <v>1464</v>
      </c>
      <c r="B259" s="41" t="s">
        <v>35</v>
      </c>
      <c r="C259" s="41" t="s">
        <v>10</v>
      </c>
      <c r="D259" s="41" t="s">
        <v>1456</v>
      </c>
      <c r="E259" s="41" t="s">
        <v>1448</v>
      </c>
      <c r="F259" s="41" t="s">
        <v>2079</v>
      </c>
      <c r="G259" s="41" t="s">
        <v>11</v>
      </c>
      <c r="H259" s="41" t="s">
        <v>1774</v>
      </c>
      <c r="I259" s="41"/>
      <c r="J259" s="41"/>
      <c r="K259" s="41" t="str">
        <f>IFERROR(VLOOKUP(L259,'Raw material list'!$A$3:$C$715,3,0),"")</f>
        <v>DRS3-1813</v>
      </c>
      <c r="L259" s="41" t="s">
        <v>69</v>
      </c>
      <c r="M259" s="40" t="s">
        <v>206</v>
      </c>
      <c r="N259" s="40" t="str">
        <f>VLOOKUP(L259,'Raw material list'!$A$3:$E$715,5,0)</f>
        <v>Ml</v>
      </c>
      <c r="O259" s="40">
        <v>30</v>
      </c>
      <c r="P259" s="299">
        <f t="shared" si="12"/>
        <v>30</v>
      </c>
      <c r="Q259" s="40">
        <v>100</v>
      </c>
      <c r="R259" s="40">
        <v>10</v>
      </c>
      <c r="S259" s="40"/>
      <c r="T259" s="105">
        <f t="shared" si="13"/>
        <v>3</v>
      </c>
      <c r="U259" s="105">
        <f t="shared" si="14"/>
        <v>3</v>
      </c>
      <c r="V259" s="104">
        <f>IFERROR(VLOOKUP(L259,'Raw material list'!$A$2:$S$3102,6,0),0)</f>
        <v>8.0555555555555554E-3</v>
      </c>
      <c r="W259" s="104">
        <f t="shared" si="15"/>
        <v>2.4166666666666666E-2</v>
      </c>
    </row>
    <row r="260" spans="1:23" hidden="1" x14ac:dyDescent="0.55000000000000004">
      <c r="A260" s="41" t="s">
        <v>1464</v>
      </c>
      <c r="B260" s="41" t="s">
        <v>35</v>
      </c>
      <c r="C260" s="41" t="s">
        <v>10</v>
      </c>
      <c r="D260" s="41" t="s">
        <v>1456</v>
      </c>
      <c r="E260" s="41" t="s">
        <v>1448</v>
      </c>
      <c r="F260" s="41" t="s">
        <v>2079</v>
      </c>
      <c r="G260" s="41" t="s">
        <v>11</v>
      </c>
      <c r="H260" s="41" t="s">
        <v>1774</v>
      </c>
      <c r="I260" s="41"/>
      <c r="J260" s="41"/>
      <c r="K260" s="41" t="str">
        <f>IFERROR(VLOOKUP(L260,'Raw material list'!$A$3:$C$715,3,0),"")</f>
        <v>PRD1-4265</v>
      </c>
      <c r="L260" s="41" t="s">
        <v>38</v>
      </c>
      <c r="M260" s="40" t="s">
        <v>156</v>
      </c>
      <c r="N260" s="40" t="str">
        <f>VLOOKUP(L260,'Raw material list'!$A$3:$E$715,5,0)</f>
        <v xml:space="preserve">Gram </v>
      </c>
      <c r="O260" s="40">
        <v>60</v>
      </c>
      <c r="P260" s="299">
        <f t="shared" si="12"/>
        <v>70.588235294117652</v>
      </c>
      <c r="Q260" s="105">
        <v>85</v>
      </c>
      <c r="R260" s="40">
        <v>10</v>
      </c>
      <c r="S260" s="40"/>
      <c r="T260" s="105">
        <f t="shared" si="13"/>
        <v>6</v>
      </c>
      <c r="U260" s="105">
        <f t="shared" si="14"/>
        <v>7.0588235294117654</v>
      </c>
      <c r="V260" s="104">
        <f>IFERROR(VLOOKUP(L260,'Raw material list'!$A$2:$S$3102,6,0),0)</f>
        <v>3.529411764705882E-3</v>
      </c>
      <c r="W260" s="104">
        <f t="shared" si="15"/>
        <v>2.4913494809688581E-2</v>
      </c>
    </row>
    <row r="261" spans="1:23" hidden="1" x14ac:dyDescent="0.55000000000000004">
      <c r="A261" s="41" t="s">
        <v>1464</v>
      </c>
      <c r="B261" s="41" t="s">
        <v>35</v>
      </c>
      <c r="C261" s="41" t="s">
        <v>10</v>
      </c>
      <c r="D261" s="41" t="s">
        <v>1456</v>
      </c>
      <c r="E261" s="41" t="s">
        <v>1448</v>
      </c>
      <c r="F261" s="41" t="s">
        <v>2079</v>
      </c>
      <c r="G261" s="41" t="s">
        <v>11</v>
      </c>
      <c r="H261" s="41" t="s">
        <v>1774</v>
      </c>
      <c r="I261" s="41"/>
      <c r="J261" s="41"/>
      <c r="K261" s="41" t="str">
        <f>IFERROR(VLOOKUP(L261,'Raw material list'!$A$3:$C$715,3,0),"")</f>
        <v>PRD1-4327</v>
      </c>
      <c r="L261" s="41" t="s">
        <v>39</v>
      </c>
      <c r="M261" s="40" t="s">
        <v>156</v>
      </c>
      <c r="N261" s="40" t="str">
        <f>VLOOKUP(L261,'Raw material list'!$A$3:$E$715,5,0)</f>
        <v xml:space="preserve">Gram </v>
      </c>
      <c r="O261" s="40">
        <v>10</v>
      </c>
      <c r="P261" s="299">
        <f t="shared" si="12"/>
        <v>12.048192771084338</v>
      </c>
      <c r="Q261" s="105">
        <v>83</v>
      </c>
      <c r="R261" s="40">
        <v>10</v>
      </c>
      <c r="S261" s="40"/>
      <c r="T261" s="105">
        <f t="shared" si="13"/>
        <v>1</v>
      </c>
      <c r="U261" s="105">
        <f t="shared" si="14"/>
        <v>1.2048192771084338</v>
      </c>
      <c r="V261" s="104">
        <f>IFERROR(VLOOKUP(L261,'Raw material list'!$A$2:$S$3102,6,0),0)</f>
        <v>1.2999999999999999E-2</v>
      </c>
      <c r="W261" s="104">
        <f t="shared" si="15"/>
        <v>1.566265060240964E-2</v>
      </c>
    </row>
    <row r="262" spans="1:23" hidden="1" x14ac:dyDescent="0.55000000000000004">
      <c r="A262" s="41" t="s">
        <v>1464</v>
      </c>
      <c r="B262" s="41" t="s">
        <v>35</v>
      </c>
      <c r="C262" s="41" t="s">
        <v>10</v>
      </c>
      <c r="D262" s="41" t="s">
        <v>1456</v>
      </c>
      <c r="E262" s="41" t="s">
        <v>1448</v>
      </c>
      <c r="F262" s="41" t="s">
        <v>2079</v>
      </c>
      <c r="G262" s="41" t="s">
        <v>11</v>
      </c>
      <c r="H262" s="41" t="s">
        <v>1774</v>
      </c>
      <c r="I262" s="41"/>
      <c r="J262" s="41"/>
      <c r="K262" s="41" t="str">
        <f>IFERROR(VLOOKUP(L262,'Raw material list'!$A$3:$C$715,3,0),"")</f>
        <v>PRD1-232</v>
      </c>
      <c r="L262" s="41" t="s">
        <v>116</v>
      </c>
      <c r="M262" s="40" t="s">
        <v>156</v>
      </c>
      <c r="N262" s="40" t="str">
        <f>VLOOKUP(L262,'Raw material list'!$A$3:$E$715,5,0)</f>
        <v xml:space="preserve">Gram </v>
      </c>
      <c r="O262" s="40">
        <v>300</v>
      </c>
      <c r="P262" s="299">
        <f t="shared" ref="P262:P325" si="16">O262/Q262*100</f>
        <v>416.66666666666669</v>
      </c>
      <c r="Q262" s="105">
        <v>72</v>
      </c>
      <c r="R262" s="40">
        <v>10</v>
      </c>
      <c r="S262" s="40"/>
      <c r="T262" s="105">
        <f t="shared" ref="T262:T325" si="17">IFERROR(O262/R262,0)</f>
        <v>30</v>
      </c>
      <c r="U262" s="105">
        <f t="shared" ref="U262:U325" si="18">IFERROR(P262/R262,0)</f>
        <v>41.666666666666671</v>
      </c>
      <c r="V262" s="104">
        <f>IFERROR(VLOOKUP(L262,'Raw material list'!$A$2:$S$3102,6,0),0)</f>
        <v>4.4444444444444444E-3</v>
      </c>
      <c r="W262" s="104">
        <f t="shared" ref="W262:W325" si="19">IFERROR(V262*U262,0)</f>
        <v>0.1851851851851852</v>
      </c>
    </row>
    <row r="263" spans="1:23" hidden="1" x14ac:dyDescent="0.55000000000000004">
      <c r="A263" s="41" t="s">
        <v>1464</v>
      </c>
      <c r="B263" s="41" t="s">
        <v>35</v>
      </c>
      <c r="C263" s="41" t="s">
        <v>10</v>
      </c>
      <c r="D263" s="41" t="s">
        <v>1456</v>
      </c>
      <c r="E263" s="41" t="s">
        <v>1448</v>
      </c>
      <c r="F263" s="41" t="s">
        <v>2079</v>
      </c>
      <c r="G263" s="41" t="s">
        <v>11</v>
      </c>
      <c r="H263" s="41" t="s">
        <v>1774</v>
      </c>
      <c r="I263" s="41"/>
      <c r="J263" s="41"/>
      <c r="K263" s="41" t="str">
        <f>IFERROR(VLOOKUP(L263,'Raw material list'!$A$3:$C$715,3,0),"")</f>
        <v>PRD1-3794</v>
      </c>
      <c r="L263" s="41" t="s">
        <v>973</v>
      </c>
      <c r="M263" s="40" t="s">
        <v>156</v>
      </c>
      <c r="N263" s="40" t="str">
        <f>VLOOKUP(L263,'Raw material list'!$A$3:$E$715,5,0)</f>
        <v xml:space="preserve">Gram </v>
      </c>
      <c r="O263" s="40">
        <v>300</v>
      </c>
      <c r="P263" s="299">
        <f t="shared" si="16"/>
        <v>370.37037037037038</v>
      </c>
      <c r="Q263" s="105">
        <v>81</v>
      </c>
      <c r="R263" s="40">
        <v>10</v>
      </c>
      <c r="S263" s="40"/>
      <c r="T263" s="105">
        <f t="shared" si="17"/>
        <v>30</v>
      </c>
      <c r="U263" s="105">
        <f t="shared" si="18"/>
        <v>37.037037037037038</v>
      </c>
      <c r="V263" s="104">
        <f>IFERROR(VLOOKUP(L263,'Raw material list'!$A$2:$S$3102,6,0),0)</f>
        <v>4.9382716049382715E-3</v>
      </c>
      <c r="W263" s="104">
        <f t="shared" si="19"/>
        <v>0.18289894833104708</v>
      </c>
    </row>
    <row r="264" spans="1:23" hidden="1" x14ac:dyDescent="0.55000000000000004">
      <c r="A264" s="41" t="s">
        <v>1464</v>
      </c>
      <c r="B264" s="41" t="s">
        <v>35</v>
      </c>
      <c r="C264" s="41" t="s">
        <v>10</v>
      </c>
      <c r="D264" s="41" t="s">
        <v>1456</v>
      </c>
      <c r="E264" s="41" t="s">
        <v>1448</v>
      </c>
      <c r="F264" s="41" t="s">
        <v>2079</v>
      </c>
      <c r="G264" s="41" t="s">
        <v>11</v>
      </c>
      <c r="H264" s="41" t="s">
        <v>1774</v>
      </c>
      <c r="I264" s="41"/>
      <c r="J264" s="41"/>
      <c r="K264" s="41" t="str">
        <f>IFERROR(VLOOKUP(L264,'Raw material list'!$A$3:$C$715,3,0),"")</f>
        <v>PRD1-186</v>
      </c>
      <c r="L264" s="41" t="s">
        <v>37</v>
      </c>
      <c r="M264" s="40" t="s">
        <v>156</v>
      </c>
      <c r="N264" s="40" t="str">
        <f>VLOOKUP(L264,'Raw material list'!$A$3:$E$715,5,0)</f>
        <v xml:space="preserve">Gram </v>
      </c>
      <c r="O264" s="40">
        <v>300</v>
      </c>
      <c r="P264" s="299">
        <f t="shared" si="16"/>
        <v>367.34693877551018</v>
      </c>
      <c r="Q264" s="105">
        <v>81.666666666666671</v>
      </c>
      <c r="R264" s="40">
        <v>10</v>
      </c>
      <c r="S264" s="40"/>
      <c r="T264" s="105">
        <f t="shared" si="17"/>
        <v>30</v>
      </c>
      <c r="U264" s="105">
        <f t="shared" si="18"/>
        <v>36.734693877551017</v>
      </c>
      <c r="V264" s="104">
        <f>IFERROR(VLOOKUP(L264,'Raw material list'!$A$2:$S$3102,6,0),0)</f>
        <v>5.8139534883720938E-3</v>
      </c>
      <c r="W264" s="104">
        <f t="shared" si="19"/>
        <v>0.21357380161366873</v>
      </c>
    </row>
    <row r="265" spans="1:23" hidden="1" x14ac:dyDescent="0.55000000000000004">
      <c r="A265" s="41" t="s">
        <v>1464</v>
      </c>
      <c r="B265" s="41" t="s">
        <v>35</v>
      </c>
      <c r="C265" s="41" t="s">
        <v>10</v>
      </c>
      <c r="D265" s="41" t="s">
        <v>1456</v>
      </c>
      <c r="E265" s="41" t="s">
        <v>1448</v>
      </c>
      <c r="F265" s="41" t="s">
        <v>2079</v>
      </c>
      <c r="G265" s="41" t="s">
        <v>11</v>
      </c>
      <c r="H265" s="41" t="s">
        <v>1774</v>
      </c>
      <c r="I265" s="41"/>
      <c r="J265" s="41"/>
      <c r="K265" s="41" t="str">
        <f>IFERROR(VLOOKUP(L265,'Raw material list'!$A$3:$C$715,3,0),"")</f>
        <v>PRD2-3566</v>
      </c>
      <c r="L265" s="41" t="s">
        <v>123</v>
      </c>
      <c r="M265" s="40" t="s">
        <v>156</v>
      </c>
      <c r="N265" s="40" t="str">
        <f>VLOOKUP(L265,'Raw material list'!$A$3:$E$715,5,0)</f>
        <v xml:space="preserve">Gram </v>
      </c>
      <c r="O265" s="40">
        <v>300</v>
      </c>
      <c r="P265" s="299">
        <f t="shared" si="16"/>
        <v>300</v>
      </c>
      <c r="Q265" s="300">
        <v>100</v>
      </c>
      <c r="R265" s="40">
        <v>10</v>
      </c>
      <c r="S265" s="40"/>
      <c r="T265" s="105">
        <f t="shared" si="17"/>
        <v>30</v>
      </c>
      <c r="U265" s="105">
        <f t="shared" si="18"/>
        <v>30</v>
      </c>
      <c r="V265" s="104">
        <f>IFERROR(VLOOKUP(L265,'Raw material list'!$A$2:$S$3102,6,0),0)</f>
        <v>8.2249999999999997E-3</v>
      </c>
      <c r="W265" s="104">
        <f t="shared" si="19"/>
        <v>0.24675</v>
      </c>
    </row>
    <row r="266" spans="1:23" hidden="1" x14ac:dyDescent="0.55000000000000004">
      <c r="A266" s="41" t="s">
        <v>1464</v>
      </c>
      <c r="B266" s="41" t="s">
        <v>35</v>
      </c>
      <c r="C266" s="41" t="s">
        <v>10</v>
      </c>
      <c r="D266" s="41" t="s">
        <v>1456</v>
      </c>
      <c r="E266" s="41" t="s">
        <v>1448</v>
      </c>
      <c r="F266" s="41" t="s">
        <v>2079</v>
      </c>
      <c r="G266" s="41" t="s">
        <v>11</v>
      </c>
      <c r="H266" s="41" t="s">
        <v>1774</v>
      </c>
      <c r="I266" s="41"/>
      <c r="J266" s="41"/>
      <c r="K266" s="41" t="str">
        <f>IFERROR(VLOOKUP(L266,'Raw material list'!$A$3:$C$715,3,0),"")</f>
        <v>PRD1-572</v>
      </c>
      <c r="L266" s="41" t="s">
        <v>54</v>
      </c>
      <c r="M266" s="40" t="s">
        <v>156</v>
      </c>
      <c r="N266" s="40" t="str">
        <f>VLOOKUP(L266,'Raw material list'!$A$3:$E$715,5,0)</f>
        <v xml:space="preserve">Gram </v>
      </c>
      <c r="O266" s="40">
        <v>200</v>
      </c>
      <c r="P266" s="299">
        <f t="shared" si="16"/>
        <v>226.67170381564031</v>
      </c>
      <c r="Q266" s="105">
        <v>88.233333333333348</v>
      </c>
      <c r="R266" s="40">
        <v>10</v>
      </c>
      <c r="S266" s="40"/>
      <c r="T266" s="105">
        <f t="shared" si="17"/>
        <v>20</v>
      </c>
      <c r="U266" s="105">
        <f t="shared" si="18"/>
        <v>22.667170381564031</v>
      </c>
      <c r="V266" s="104">
        <f>IFERROR(VLOOKUP(L266,'Raw material list'!$A$2:$S$3102,6,0),0)</f>
        <v>4.5351473922902496E-3</v>
      </c>
      <c r="W266" s="104">
        <f t="shared" si="19"/>
        <v>0.10279895864654889</v>
      </c>
    </row>
    <row r="267" spans="1:23" hidden="1" x14ac:dyDescent="0.55000000000000004">
      <c r="A267" s="41" t="s">
        <v>1464</v>
      </c>
      <c r="B267" s="41" t="s">
        <v>35</v>
      </c>
      <c r="C267" s="41" t="s">
        <v>10</v>
      </c>
      <c r="D267" s="41" t="s">
        <v>1456</v>
      </c>
      <c r="E267" s="41" t="s">
        <v>1448</v>
      </c>
      <c r="F267" s="41" t="s">
        <v>2079</v>
      </c>
      <c r="G267" s="41" t="s">
        <v>11</v>
      </c>
      <c r="H267" s="41" t="s">
        <v>1774</v>
      </c>
      <c r="I267" s="41"/>
      <c r="J267" s="41"/>
      <c r="K267" s="41" t="str">
        <f>IFERROR(VLOOKUP(L267,'Raw material list'!$A$3:$C$715,3,0),"")</f>
        <v>DRS1-1747</v>
      </c>
      <c r="L267" s="41" t="s">
        <v>44</v>
      </c>
      <c r="M267" s="40" t="s">
        <v>156</v>
      </c>
      <c r="N267" s="40" t="str">
        <f>VLOOKUP(L267,'Raw material list'!$A$3:$E$715,5,0)</f>
        <v xml:space="preserve">Gram </v>
      </c>
      <c r="O267" s="40">
        <v>40</v>
      </c>
      <c r="P267" s="299">
        <f t="shared" si="16"/>
        <v>40</v>
      </c>
      <c r="Q267" s="300">
        <v>100</v>
      </c>
      <c r="R267" s="40">
        <v>10</v>
      </c>
      <c r="S267" s="40"/>
      <c r="T267" s="105">
        <f t="shared" si="17"/>
        <v>4</v>
      </c>
      <c r="U267" s="105">
        <f t="shared" si="18"/>
        <v>4</v>
      </c>
      <c r="V267" s="104">
        <f>IFERROR(VLOOKUP(L267,'Raw material list'!$A$2:$S$3102,6,0),0)</f>
        <v>5.185185185185185E-3</v>
      </c>
      <c r="W267" s="104">
        <f t="shared" si="19"/>
        <v>2.074074074074074E-2</v>
      </c>
    </row>
    <row r="268" spans="1:23" hidden="1" x14ac:dyDescent="0.55000000000000004">
      <c r="A268" s="41" t="s">
        <v>1464</v>
      </c>
      <c r="B268" s="41" t="s">
        <v>35</v>
      </c>
      <c r="C268" s="41" t="s">
        <v>10</v>
      </c>
      <c r="D268" s="41" t="s">
        <v>1456</v>
      </c>
      <c r="E268" s="41" t="s">
        <v>1448</v>
      </c>
      <c r="F268" s="41" t="s">
        <v>2079</v>
      </c>
      <c r="G268" s="41" t="s">
        <v>11</v>
      </c>
      <c r="H268" s="41" t="s">
        <v>1774</v>
      </c>
      <c r="I268" s="41"/>
      <c r="J268" s="41"/>
      <c r="K268" s="41" t="str">
        <f>IFERROR(VLOOKUP(L268,'Raw material list'!$A$3:$C$715,3,0),"")</f>
        <v>DRS1-3880</v>
      </c>
      <c r="L268" s="41" t="s">
        <v>1433</v>
      </c>
      <c r="M268" s="40" t="s">
        <v>156</v>
      </c>
      <c r="N268" s="40" t="str">
        <f>VLOOKUP(L268,'Raw material list'!$A$3:$E$715,5,0)</f>
        <v xml:space="preserve">Gram </v>
      </c>
      <c r="O268" s="40">
        <v>1</v>
      </c>
      <c r="P268" s="299">
        <f t="shared" si="16"/>
        <v>1</v>
      </c>
      <c r="Q268" s="40">
        <v>100</v>
      </c>
      <c r="R268" s="40">
        <v>10</v>
      </c>
      <c r="S268" s="40"/>
      <c r="T268" s="105">
        <f t="shared" si="17"/>
        <v>0.1</v>
      </c>
      <c r="U268" s="105">
        <f t="shared" si="18"/>
        <v>0.1</v>
      </c>
      <c r="V268" s="104">
        <f>IFERROR(VLOOKUP(L268,'Raw material list'!$A$2:$S$3102,6,0),0)</f>
        <v>5.0000000000000001E-4</v>
      </c>
      <c r="W268" s="104">
        <f t="shared" si="19"/>
        <v>5.0000000000000002E-5</v>
      </c>
    </row>
    <row r="269" spans="1:23" hidden="1" x14ac:dyDescent="0.55000000000000004">
      <c r="A269" s="41" t="s">
        <v>1464</v>
      </c>
      <c r="B269" s="41" t="s">
        <v>35</v>
      </c>
      <c r="C269" s="41" t="s">
        <v>10</v>
      </c>
      <c r="D269" s="41" t="s">
        <v>1456</v>
      </c>
      <c r="E269" s="41" t="s">
        <v>1448</v>
      </c>
      <c r="F269" s="41" t="s">
        <v>2079</v>
      </c>
      <c r="G269" s="41" t="s">
        <v>11</v>
      </c>
      <c r="H269" s="41" t="s">
        <v>1774</v>
      </c>
      <c r="I269" s="41"/>
      <c r="J269" s="41"/>
      <c r="K269" s="41" t="str">
        <f>IFERROR(VLOOKUP(L269,'Raw material list'!$A$3:$C$715,3,0),"")</f>
        <v>DRS6-537</v>
      </c>
      <c r="L269" s="41" t="s">
        <v>46</v>
      </c>
      <c r="M269" s="40" t="s">
        <v>156</v>
      </c>
      <c r="N269" s="40" t="str">
        <f>VLOOKUP(L269,'Raw material list'!$A$3:$E$715,5,0)</f>
        <v xml:space="preserve">Gram </v>
      </c>
      <c r="O269" s="40">
        <v>3</v>
      </c>
      <c r="P269" s="299">
        <f t="shared" si="16"/>
        <v>3</v>
      </c>
      <c r="Q269" s="40">
        <v>100</v>
      </c>
      <c r="R269" s="40">
        <v>10</v>
      </c>
      <c r="S269" s="40"/>
      <c r="T269" s="105">
        <f t="shared" si="17"/>
        <v>0.3</v>
      </c>
      <c r="U269" s="105">
        <f t="shared" si="18"/>
        <v>0.3</v>
      </c>
      <c r="V269" s="104">
        <f>IFERROR(VLOOKUP(L269,'Raw material list'!$A$2:$S$3102,6,0),0)</f>
        <v>3.5000000000000003E-2</v>
      </c>
      <c r="W269" s="104">
        <f t="shared" si="19"/>
        <v>1.0500000000000001E-2</v>
      </c>
    </row>
    <row r="270" spans="1:23" hidden="1" x14ac:dyDescent="0.55000000000000004">
      <c r="A270" s="41" t="s">
        <v>1464</v>
      </c>
      <c r="B270" s="41" t="s">
        <v>35</v>
      </c>
      <c r="C270" s="41" t="s">
        <v>10</v>
      </c>
      <c r="D270" s="41" t="s">
        <v>1456</v>
      </c>
      <c r="E270" s="41" t="s">
        <v>1448</v>
      </c>
      <c r="F270" s="41" t="s">
        <v>2079</v>
      </c>
      <c r="G270" s="41" t="s">
        <v>11</v>
      </c>
      <c r="H270" s="41" t="s">
        <v>1774</v>
      </c>
      <c r="I270" s="41"/>
      <c r="J270" s="41"/>
      <c r="K270" s="41" t="str">
        <f>IFERROR(VLOOKUP(L270,'Raw material list'!$A$3:$C$715,3,0),"")</f>
        <v>DRS6-266</v>
      </c>
      <c r="L270" s="41" t="s">
        <v>99</v>
      </c>
      <c r="M270" s="40" t="s">
        <v>156</v>
      </c>
      <c r="N270" s="40" t="str">
        <f>VLOOKUP(L270,'Raw material list'!$A$3:$E$715,5,0)</f>
        <v xml:space="preserve">Gram </v>
      </c>
      <c r="O270" s="40">
        <v>2</v>
      </c>
      <c r="P270" s="299">
        <f t="shared" si="16"/>
        <v>2</v>
      </c>
      <c r="Q270" s="40">
        <v>100</v>
      </c>
      <c r="R270" s="40">
        <v>10</v>
      </c>
      <c r="S270" s="40"/>
      <c r="T270" s="105">
        <f t="shared" si="17"/>
        <v>0.2</v>
      </c>
      <c r="U270" s="105">
        <f t="shared" si="18"/>
        <v>0.2</v>
      </c>
      <c r="V270" s="104">
        <f>IFERROR(VLOOKUP(L270,'Raw material list'!$A$2:$S$3102,6,0),0)</f>
        <v>1.4E-2</v>
      </c>
      <c r="W270" s="104">
        <f t="shared" si="19"/>
        <v>2.8000000000000004E-3</v>
      </c>
    </row>
    <row r="271" spans="1:23" hidden="1" x14ac:dyDescent="0.55000000000000004">
      <c r="A271" s="41" t="s">
        <v>1464</v>
      </c>
      <c r="B271" s="41" t="s">
        <v>35</v>
      </c>
      <c r="C271" s="41" t="s">
        <v>10</v>
      </c>
      <c r="D271" s="41" t="s">
        <v>1456</v>
      </c>
      <c r="E271" s="41" t="s">
        <v>1448</v>
      </c>
      <c r="F271" s="41" t="s">
        <v>2079</v>
      </c>
      <c r="G271" s="41" t="s">
        <v>11</v>
      </c>
      <c r="H271" s="41" t="s">
        <v>1774</v>
      </c>
      <c r="I271" s="41"/>
      <c r="J271" s="41"/>
      <c r="K271" s="41" t="str">
        <f>IFERROR(VLOOKUP(L271,'Raw material list'!$A$3:$C$715,3,0),"")</f>
        <v>DRS6-733</v>
      </c>
      <c r="L271" s="41" t="s">
        <v>45</v>
      </c>
      <c r="M271" s="40" t="s">
        <v>156</v>
      </c>
      <c r="N271" s="40" t="str">
        <f>VLOOKUP(L271,'Raw material list'!$A$3:$E$715,5,0)</f>
        <v xml:space="preserve">Gram </v>
      </c>
      <c r="O271" s="40">
        <v>2</v>
      </c>
      <c r="P271" s="299">
        <f t="shared" si="16"/>
        <v>2</v>
      </c>
      <c r="Q271" s="40">
        <v>100</v>
      </c>
      <c r="R271" s="40">
        <v>10</v>
      </c>
      <c r="S271" s="40"/>
      <c r="T271" s="105">
        <f t="shared" si="17"/>
        <v>0.2</v>
      </c>
      <c r="U271" s="105">
        <f t="shared" si="18"/>
        <v>0.2</v>
      </c>
      <c r="V271" s="104">
        <f>IFERROR(VLOOKUP(L271,'Raw material list'!$A$2:$S$3102,6,0),0)</f>
        <v>2.8000000000000001E-2</v>
      </c>
      <c r="W271" s="104">
        <f t="shared" si="19"/>
        <v>5.6000000000000008E-3</v>
      </c>
    </row>
    <row r="272" spans="1:23" hidden="1" x14ac:dyDescent="0.55000000000000004">
      <c r="A272" s="41" t="s">
        <v>1464</v>
      </c>
      <c r="B272" s="41" t="s">
        <v>35</v>
      </c>
      <c r="C272" s="41" t="s">
        <v>10</v>
      </c>
      <c r="D272" s="41" t="s">
        <v>1456</v>
      </c>
      <c r="E272" s="41" t="s">
        <v>1448</v>
      </c>
      <c r="F272" s="41" t="s">
        <v>2079</v>
      </c>
      <c r="G272" s="41" t="s">
        <v>11</v>
      </c>
      <c r="H272" s="41" t="s">
        <v>1774</v>
      </c>
      <c r="I272" s="41"/>
      <c r="J272" s="41"/>
      <c r="K272" s="41" t="str">
        <f>IFERROR(VLOOKUP(L272,'Raw material list'!$A$3:$C$715,3,0),"")</f>
        <v>DRS1-3813</v>
      </c>
      <c r="L272" s="41" t="s">
        <v>67</v>
      </c>
      <c r="M272" s="40" t="s">
        <v>156</v>
      </c>
      <c r="N272" s="40" t="str">
        <f>VLOOKUP(L272,'Raw material list'!$A$3:$E$715,5,0)</f>
        <v xml:space="preserve">Gram </v>
      </c>
      <c r="O272" s="40">
        <v>10</v>
      </c>
      <c r="P272" s="299">
        <f t="shared" si="16"/>
        <v>10</v>
      </c>
      <c r="Q272" s="40">
        <v>100</v>
      </c>
      <c r="R272" s="40">
        <v>10</v>
      </c>
      <c r="S272" s="40"/>
      <c r="T272" s="105">
        <f t="shared" si="17"/>
        <v>1</v>
      </c>
      <c r="U272" s="105">
        <f t="shared" si="18"/>
        <v>1</v>
      </c>
      <c r="V272" s="104">
        <f>IFERROR(VLOOKUP(L272,'Raw material list'!$A$2:$S$3102,6,0),0)</f>
        <v>4.4441666666666664E-2</v>
      </c>
      <c r="W272" s="104">
        <f t="shared" si="19"/>
        <v>4.4441666666666664E-2</v>
      </c>
    </row>
    <row r="273" spans="1:23" hidden="1" x14ac:dyDescent="0.55000000000000004">
      <c r="A273" s="41" t="s">
        <v>1464</v>
      </c>
      <c r="B273" s="41" t="s">
        <v>35</v>
      </c>
      <c r="C273" s="41" t="s">
        <v>10</v>
      </c>
      <c r="D273" s="41" t="s">
        <v>1456</v>
      </c>
      <c r="E273" s="41" t="s">
        <v>1448</v>
      </c>
      <c r="F273" s="41" t="s">
        <v>2079</v>
      </c>
      <c r="G273" s="41" t="s">
        <v>11</v>
      </c>
      <c r="H273" s="41" t="s">
        <v>1774</v>
      </c>
      <c r="I273" s="41"/>
      <c r="J273" s="41"/>
      <c r="K273" s="41" t="str">
        <f>IFERROR(VLOOKUP(L273,'Raw material list'!$A$3:$C$715,3,0),"")</f>
        <v>TAP-00001</v>
      </c>
      <c r="L273" s="41" t="s">
        <v>1405</v>
      </c>
      <c r="M273" s="40" t="s">
        <v>206</v>
      </c>
      <c r="N273" s="40" t="str">
        <f>VLOOKUP(L273,'Raw material list'!$A$3:$E$715,5,0)</f>
        <v>Ml</v>
      </c>
      <c r="O273" s="40">
        <v>1600</v>
      </c>
      <c r="P273" s="299">
        <f t="shared" si="16"/>
        <v>1600</v>
      </c>
      <c r="Q273" s="40">
        <v>100</v>
      </c>
      <c r="R273" s="40">
        <v>10</v>
      </c>
      <c r="S273" s="40"/>
      <c r="T273" s="105">
        <f t="shared" si="17"/>
        <v>160</v>
      </c>
      <c r="U273" s="105">
        <f t="shared" si="18"/>
        <v>160</v>
      </c>
      <c r="V273" s="104">
        <f>IFERROR(VLOOKUP(L273,'Raw material list'!$A$2:$S$3102,6,0),0)</f>
        <v>8.0000000000000007E-5</v>
      </c>
      <c r="W273" s="104">
        <f t="shared" si="19"/>
        <v>1.2800000000000001E-2</v>
      </c>
    </row>
    <row r="274" spans="1:23" hidden="1" x14ac:dyDescent="0.55000000000000004">
      <c r="A274" s="41" t="s">
        <v>1465</v>
      </c>
      <c r="B274" s="41" t="s">
        <v>35</v>
      </c>
      <c r="C274" s="41" t="s">
        <v>10</v>
      </c>
      <c r="D274" s="41" t="s">
        <v>1457</v>
      </c>
      <c r="E274" s="41" t="s">
        <v>1448</v>
      </c>
      <c r="F274" s="41" t="s">
        <v>2081</v>
      </c>
      <c r="G274" s="41" t="s">
        <v>11</v>
      </c>
      <c r="H274" s="41" t="s">
        <v>1773</v>
      </c>
      <c r="I274" s="41"/>
      <c r="J274" s="41"/>
      <c r="K274" s="41" t="str">
        <f>IFERROR(VLOOKUP(L274,'Raw material list'!$A$3:$C$715,3,0),"")</f>
        <v>MET2-585</v>
      </c>
      <c r="L274" s="41" t="s">
        <v>53</v>
      </c>
      <c r="M274" s="40" t="s">
        <v>156</v>
      </c>
      <c r="N274" s="40" t="str">
        <f>VLOOKUP(L274,'Raw material list'!$A$3:$E$715,5,0)</f>
        <v xml:space="preserve">Gram </v>
      </c>
      <c r="O274" s="40">
        <v>1000</v>
      </c>
      <c r="P274" s="299">
        <f t="shared" si="16"/>
        <v>1154.7344110854506</v>
      </c>
      <c r="Q274" s="40">
        <v>86.6</v>
      </c>
      <c r="R274" s="40">
        <v>10</v>
      </c>
      <c r="S274" s="40"/>
      <c r="T274" s="105">
        <f t="shared" si="17"/>
        <v>100</v>
      </c>
      <c r="U274" s="105">
        <f t="shared" si="18"/>
        <v>115.47344110854506</v>
      </c>
      <c r="V274" s="104">
        <f>IFERROR(VLOOKUP(L274,'Raw material list'!$A$2:$S$3102,6,0),0)</f>
        <v>4.2630057803468215E-2</v>
      </c>
      <c r="W274" s="104">
        <f t="shared" si="19"/>
        <v>4.9226394692226583</v>
      </c>
    </row>
    <row r="275" spans="1:23" hidden="1" x14ac:dyDescent="0.55000000000000004">
      <c r="A275" s="41" t="s">
        <v>1465</v>
      </c>
      <c r="B275" s="41" t="s">
        <v>35</v>
      </c>
      <c r="C275" s="41" t="s">
        <v>10</v>
      </c>
      <c r="D275" s="41" t="s">
        <v>1457</v>
      </c>
      <c r="E275" s="41" t="s">
        <v>1448</v>
      </c>
      <c r="F275" s="41" t="s">
        <v>2079</v>
      </c>
      <c r="G275" s="41" t="s">
        <v>11</v>
      </c>
      <c r="H275" s="41" t="s">
        <v>1773</v>
      </c>
      <c r="I275" s="41"/>
      <c r="J275" s="41"/>
      <c r="K275" s="41" t="str">
        <f>IFERROR(VLOOKUP(L275,'Raw material list'!$A$3:$C$715,3,0),"")</f>
        <v>PRD1-230</v>
      </c>
      <c r="L275" s="41" t="s">
        <v>70</v>
      </c>
      <c r="M275" s="40" t="s">
        <v>156</v>
      </c>
      <c r="N275" s="40" t="str">
        <f>VLOOKUP(L275,'Raw material list'!$A$3:$E$715,5,0)</f>
        <v xml:space="preserve">Gram </v>
      </c>
      <c r="O275" s="40">
        <v>700</v>
      </c>
      <c r="P275" s="299">
        <f t="shared" si="16"/>
        <v>944.66936572199745</v>
      </c>
      <c r="Q275" s="105">
        <v>74.099999999999994</v>
      </c>
      <c r="R275" s="40">
        <v>10</v>
      </c>
      <c r="S275" s="40"/>
      <c r="T275" s="105">
        <f t="shared" si="17"/>
        <v>70</v>
      </c>
      <c r="U275" s="105">
        <f t="shared" si="18"/>
        <v>94.466936572199742</v>
      </c>
      <c r="V275" s="104">
        <f>IFERROR(VLOOKUP(L275,'Raw material list'!$A$2:$S$3102,6,0),0)</f>
        <v>3.3738191632928472E-3</v>
      </c>
      <c r="W275" s="104">
        <f t="shared" si="19"/>
        <v>0.31871436090485739</v>
      </c>
    </row>
    <row r="276" spans="1:23" hidden="1" x14ac:dyDescent="0.55000000000000004">
      <c r="A276" s="41" t="s">
        <v>1465</v>
      </c>
      <c r="B276" s="41" t="s">
        <v>35</v>
      </c>
      <c r="C276" s="41" t="s">
        <v>10</v>
      </c>
      <c r="D276" s="41" t="s">
        <v>1457</v>
      </c>
      <c r="E276" s="41" t="s">
        <v>1448</v>
      </c>
      <c r="F276" s="41" t="s">
        <v>2079</v>
      </c>
      <c r="G276" s="41" t="s">
        <v>11</v>
      </c>
      <c r="H276" s="41" t="s">
        <v>1773</v>
      </c>
      <c r="I276" s="41"/>
      <c r="J276" s="41"/>
      <c r="K276" s="41" t="str">
        <f>IFERROR(VLOOKUP(L276,'Raw material list'!$A$3:$C$715,3,0),"")</f>
        <v>PRD1-201</v>
      </c>
      <c r="L276" s="41" t="s">
        <v>104</v>
      </c>
      <c r="M276" s="40" t="s">
        <v>156</v>
      </c>
      <c r="N276" s="40" t="str">
        <f>VLOOKUP(L276,'Raw material list'!$A$3:$E$715,5,0)</f>
        <v xml:space="preserve">Gram </v>
      </c>
      <c r="O276" s="40">
        <v>600</v>
      </c>
      <c r="P276" s="299">
        <f t="shared" si="16"/>
        <v>857.14285714285711</v>
      </c>
      <c r="Q276" s="105">
        <v>70</v>
      </c>
      <c r="R276" s="40">
        <v>10</v>
      </c>
      <c r="S276" s="40"/>
      <c r="T276" s="105">
        <f t="shared" si="17"/>
        <v>60</v>
      </c>
      <c r="U276" s="105">
        <f t="shared" si="18"/>
        <v>85.714285714285708</v>
      </c>
      <c r="V276" s="104">
        <f>IFERROR(VLOOKUP(L276,'Raw material list'!$A$2:$S$3102,6,0),0)</f>
        <v>4.2857142857142868E-3</v>
      </c>
      <c r="W276" s="104">
        <f t="shared" si="19"/>
        <v>0.36734693877551028</v>
      </c>
    </row>
    <row r="277" spans="1:23" hidden="1" x14ac:dyDescent="0.55000000000000004">
      <c r="A277" s="41" t="s">
        <v>1465</v>
      </c>
      <c r="B277" s="41" t="s">
        <v>35</v>
      </c>
      <c r="C277" s="41" t="s">
        <v>10</v>
      </c>
      <c r="D277" s="41" t="s">
        <v>1457</v>
      </c>
      <c r="E277" s="41" t="s">
        <v>1448</v>
      </c>
      <c r="F277" s="41" t="s">
        <v>2079</v>
      </c>
      <c r="G277" s="41" t="s">
        <v>11</v>
      </c>
      <c r="H277" s="41" t="s">
        <v>1773</v>
      </c>
      <c r="I277" s="41"/>
      <c r="J277" s="41"/>
      <c r="K277" s="41" t="str">
        <f>IFERROR(VLOOKUP(L277,'Raw material list'!$A$3:$C$715,3,0),"")</f>
        <v>DRS1-4840</v>
      </c>
      <c r="L277" s="41" t="s">
        <v>120</v>
      </c>
      <c r="M277" s="40" t="s">
        <v>156</v>
      </c>
      <c r="N277" s="40" t="str">
        <f>VLOOKUP(L277,'Raw material list'!$A$3:$E$715,5,0)</f>
        <v xml:space="preserve">Gram </v>
      </c>
      <c r="O277" s="40">
        <v>700</v>
      </c>
      <c r="P277" s="299">
        <f t="shared" si="16"/>
        <v>700</v>
      </c>
      <c r="Q277" s="300">
        <v>100</v>
      </c>
      <c r="R277" s="40">
        <v>10</v>
      </c>
      <c r="S277" s="40"/>
      <c r="T277" s="105">
        <f t="shared" si="17"/>
        <v>70</v>
      </c>
      <c r="U277" s="105">
        <f t="shared" si="18"/>
        <v>70</v>
      </c>
      <c r="V277" s="104">
        <f>IFERROR(VLOOKUP(L277,'Raw material list'!$A$2:$S$3102,6,0),0)</f>
        <v>6.0000000000000001E-3</v>
      </c>
      <c r="W277" s="104">
        <f t="shared" si="19"/>
        <v>0.42</v>
      </c>
    </row>
    <row r="278" spans="1:23" hidden="1" x14ac:dyDescent="0.55000000000000004">
      <c r="A278" s="41" t="s">
        <v>1465</v>
      </c>
      <c r="B278" s="41" t="s">
        <v>35</v>
      </c>
      <c r="C278" s="41" t="s">
        <v>10</v>
      </c>
      <c r="D278" s="41" t="s">
        <v>1457</v>
      </c>
      <c r="E278" s="41" t="s">
        <v>1448</v>
      </c>
      <c r="F278" s="41" t="s">
        <v>2079</v>
      </c>
      <c r="G278" s="41" t="s">
        <v>11</v>
      </c>
      <c r="H278" s="41" t="s">
        <v>1773</v>
      </c>
      <c r="I278" s="41"/>
      <c r="J278" s="41"/>
      <c r="K278" s="41" t="str">
        <f>IFERROR(VLOOKUP(L278,'Raw material list'!$A$3:$C$715,3,0),"")</f>
        <v>DRS3-1813</v>
      </c>
      <c r="L278" s="41" t="s">
        <v>69</v>
      </c>
      <c r="M278" s="40" t="s">
        <v>206</v>
      </c>
      <c r="N278" s="40" t="str">
        <f>VLOOKUP(L278,'Raw material list'!$A$3:$E$715,5,0)</f>
        <v>Ml</v>
      </c>
      <c r="O278" s="40">
        <v>25</v>
      </c>
      <c r="P278" s="299">
        <f t="shared" si="16"/>
        <v>25</v>
      </c>
      <c r="Q278" s="40">
        <v>100</v>
      </c>
      <c r="R278" s="40">
        <v>10</v>
      </c>
      <c r="S278" s="40"/>
      <c r="T278" s="105">
        <f t="shared" si="17"/>
        <v>2.5</v>
      </c>
      <c r="U278" s="105">
        <f t="shared" si="18"/>
        <v>2.5</v>
      </c>
      <c r="V278" s="104">
        <f>IFERROR(VLOOKUP(L278,'Raw material list'!$A$2:$S$3102,6,0),0)</f>
        <v>8.0555555555555554E-3</v>
      </c>
      <c r="W278" s="104">
        <f t="shared" si="19"/>
        <v>2.0138888888888887E-2</v>
      </c>
    </row>
    <row r="279" spans="1:23" hidden="1" x14ac:dyDescent="0.55000000000000004">
      <c r="A279" s="41" t="s">
        <v>1465</v>
      </c>
      <c r="B279" s="41" t="s">
        <v>35</v>
      </c>
      <c r="C279" s="41" t="s">
        <v>10</v>
      </c>
      <c r="D279" s="41" t="s">
        <v>1457</v>
      </c>
      <c r="E279" s="41" t="s">
        <v>1448</v>
      </c>
      <c r="F279" s="41" t="s">
        <v>2079</v>
      </c>
      <c r="G279" s="41" t="s">
        <v>11</v>
      </c>
      <c r="H279" s="41" t="s">
        <v>1773</v>
      </c>
      <c r="I279" s="41"/>
      <c r="J279" s="41"/>
      <c r="K279" s="41" t="str">
        <f>IFERROR(VLOOKUP(L279,'Raw material list'!$A$3:$C$715,3,0),"")</f>
        <v>PRD1-4265</v>
      </c>
      <c r="L279" s="41" t="s">
        <v>38</v>
      </c>
      <c r="M279" s="40" t="s">
        <v>156</v>
      </c>
      <c r="N279" s="40" t="str">
        <f>VLOOKUP(L279,'Raw material list'!$A$3:$E$715,5,0)</f>
        <v xml:space="preserve">Gram </v>
      </c>
      <c r="O279" s="40">
        <v>100</v>
      </c>
      <c r="P279" s="299">
        <f t="shared" si="16"/>
        <v>117.64705882352942</v>
      </c>
      <c r="Q279" s="105">
        <v>85</v>
      </c>
      <c r="R279" s="40">
        <v>10</v>
      </c>
      <c r="S279" s="40"/>
      <c r="T279" s="105">
        <f t="shared" si="17"/>
        <v>10</v>
      </c>
      <c r="U279" s="105">
        <f t="shared" si="18"/>
        <v>11.764705882352942</v>
      </c>
      <c r="V279" s="104">
        <f>IFERROR(VLOOKUP(L279,'Raw material list'!$A$2:$S$3102,6,0),0)</f>
        <v>3.529411764705882E-3</v>
      </c>
      <c r="W279" s="104">
        <f t="shared" si="19"/>
        <v>4.1522491349480967E-2</v>
      </c>
    </row>
    <row r="280" spans="1:23" hidden="1" x14ac:dyDescent="0.55000000000000004">
      <c r="A280" s="41" t="s">
        <v>1465</v>
      </c>
      <c r="B280" s="41" t="s">
        <v>35</v>
      </c>
      <c r="C280" s="41" t="s">
        <v>10</v>
      </c>
      <c r="D280" s="41" t="s">
        <v>1457</v>
      </c>
      <c r="E280" s="41" t="s">
        <v>1448</v>
      </c>
      <c r="F280" s="41" t="s">
        <v>2079</v>
      </c>
      <c r="G280" s="41" t="s">
        <v>11</v>
      </c>
      <c r="H280" s="41" t="s">
        <v>1773</v>
      </c>
      <c r="I280" s="41"/>
      <c r="J280" s="41"/>
      <c r="K280" s="41" t="str">
        <f>IFERROR(VLOOKUP(L280,'Raw material list'!$A$3:$C$715,3,0),"")</f>
        <v>PRD1-4327</v>
      </c>
      <c r="L280" s="41" t="s">
        <v>39</v>
      </c>
      <c r="M280" s="40" t="s">
        <v>156</v>
      </c>
      <c r="N280" s="40" t="str">
        <f>VLOOKUP(L280,'Raw material list'!$A$3:$E$715,5,0)</f>
        <v xml:space="preserve">Gram </v>
      </c>
      <c r="O280" s="40">
        <v>20</v>
      </c>
      <c r="P280" s="299">
        <f t="shared" si="16"/>
        <v>24.096385542168676</v>
      </c>
      <c r="Q280" s="105">
        <v>83</v>
      </c>
      <c r="R280" s="40">
        <v>10</v>
      </c>
      <c r="S280" s="40"/>
      <c r="T280" s="105">
        <f t="shared" si="17"/>
        <v>2</v>
      </c>
      <c r="U280" s="105">
        <f t="shared" si="18"/>
        <v>2.4096385542168677</v>
      </c>
      <c r="V280" s="104">
        <f>IFERROR(VLOOKUP(L280,'Raw material list'!$A$2:$S$3102,6,0),0)</f>
        <v>1.2999999999999999E-2</v>
      </c>
      <c r="W280" s="104">
        <f t="shared" si="19"/>
        <v>3.1325301204819279E-2</v>
      </c>
    </row>
    <row r="281" spans="1:23" hidden="1" x14ac:dyDescent="0.55000000000000004">
      <c r="A281" s="41" t="s">
        <v>1465</v>
      </c>
      <c r="B281" s="41" t="s">
        <v>35</v>
      </c>
      <c r="C281" s="41" t="s">
        <v>10</v>
      </c>
      <c r="D281" s="41" t="s">
        <v>1457</v>
      </c>
      <c r="E281" s="41" t="s">
        <v>1448</v>
      </c>
      <c r="F281" s="41" t="s">
        <v>2079</v>
      </c>
      <c r="G281" s="41" t="s">
        <v>11</v>
      </c>
      <c r="H281" s="41" t="s">
        <v>1773</v>
      </c>
      <c r="I281" s="41"/>
      <c r="J281" s="41"/>
      <c r="K281" s="41" t="str">
        <f>IFERROR(VLOOKUP(L281,'Raw material list'!$A$3:$C$715,3,0),"")</f>
        <v>DRS1-607</v>
      </c>
      <c r="L281" s="41" t="s">
        <v>250</v>
      </c>
      <c r="M281" s="40" t="s">
        <v>156</v>
      </c>
      <c r="N281" s="40" t="str">
        <f>VLOOKUP(L281,'Raw material list'!$A$3:$E$715,5,0)</f>
        <v xml:space="preserve">Gram </v>
      </c>
      <c r="O281" s="40">
        <v>1250</v>
      </c>
      <c r="P281" s="299">
        <f t="shared" si="16"/>
        <v>1250</v>
      </c>
      <c r="Q281" s="300">
        <v>100</v>
      </c>
      <c r="R281" s="40">
        <v>10</v>
      </c>
      <c r="S281" s="40"/>
      <c r="T281" s="105">
        <f t="shared" si="17"/>
        <v>125</v>
      </c>
      <c r="U281" s="105">
        <f t="shared" si="18"/>
        <v>125</v>
      </c>
      <c r="V281" s="104">
        <f>IFERROR(VLOOKUP(L281,'Raw material list'!$A$2:$S$3102,6,0),0)</f>
        <v>5.8823529411764705E-3</v>
      </c>
      <c r="W281" s="104">
        <f t="shared" si="19"/>
        <v>0.73529411764705876</v>
      </c>
    </row>
    <row r="282" spans="1:23" hidden="1" x14ac:dyDescent="0.55000000000000004">
      <c r="A282" s="41" t="s">
        <v>1465</v>
      </c>
      <c r="B282" s="41" t="s">
        <v>35</v>
      </c>
      <c r="C282" s="41" t="s">
        <v>10</v>
      </c>
      <c r="D282" s="41" t="s">
        <v>1457</v>
      </c>
      <c r="E282" s="41" t="s">
        <v>1448</v>
      </c>
      <c r="F282" s="41" t="s">
        <v>2079</v>
      </c>
      <c r="G282" s="41" t="s">
        <v>11</v>
      </c>
      <c r="H282" s="41" t="s">
        <v>1773</v>
      </c>
      <c r="I282" s="41"/>
      <c r="J282" s="41"/>
      <c r="K282" s="41" t="str">
        <f>IFERROR(VLOOKUP(L282,'Raw material list'!$A$3:$C$715,3,0),"")</f>
        <v>DRS1-1747</v>
      </c>
      <c r="L282" s="41" t="s">
        <v>44</v>
      </c>
      <c r="M282" s="40" t="s">
        <v>156</v>
      </c>
      <c r="N282" s="40" t="str">
        <f>VLOOKUP(L282,'Raw material list'!$A$3:$E$715,5,0)</f>
        <v xml:space="preserve">Gram </v>
      </c>
      <c r="O282" s="40">
        <v>60</v>
      </c>
      <c r="P282" s="299">
        <f t="shared" si="16"/>
        <v>60</v>
      </c>
      <c r="Q282" s="40">
        <v>100</v>
      </c>
      <c r="R282" s="40">
        <v>10</v>
      </c>
      <c r="S282" s="40"/>
      <c r="T282" s="105">
        <f t="shared" si="17"/>
        <v>6</v>
      </c>
      <c r="U282" s="105">
        <f t="shared" si="18"/>
        <v>6</v>
      </c>
      <c r="V282" s="104">
        <f>IFERROR(VLOOKUP(L282,'Raw material list'!$A$2:$S$3102,6,0),0)</f>
        <v>5.185185185185185E-3</v>
      </c>
      <c r="W282" s="104">
        <f t="shared" si="19"/>
        <v>3.111111111111111E-2</v>
      </c>
    </row>
    <row r="283" spans="1:23" hidden="1" x14ac:dyDescent="0.55000000000000004">
      <c r="A283" s="41" t="s">
        <v>1465</v>
      </c>
      <c r="B283" s="41" t="s">
        <v>35</v>
      </c>
      <c r="C283" s="41" t="s">
        <v>10</v>
      </c>
      <c r="D283" s="41" t="s">
        <v>1457</v>
      </c>
      <c r="E283" s="41" t="s">
        <v>1448</v>
      </c>
      <c r="F283" s="41" t="s">
        <v>2079</v>
      </c>
      <c r="G283" s="41" t="s">
        <v>11</v>
      </c>
      <c r="H283" s="41" t="s">
        <v>1773</v>
      </c>
      <c r="I283" s="41"/>
      <c r="J283" s="41"/>
      <c r="K283" s="41" t="str">
        <f>IFERROR(VLOOKUP(L283,'Raw material list'!$A$3:$C$715,3,0),"")</f>
        <v>DRS1-978</v>
      </c>
      <c r="L283" s="41" t="s">
        <v>56</v>
      </c>
      <c r="M283" s="40" t="s">
        <v>156</v>
      </c>
      <c r="N283" s="40" t="str">
        <f>VLOOKUP(L283,'Raw material list'!$A$3:$E$715,5,0)</f>
        <v xml:space="preserve">Gram </v>
      </c>
      <c r="O283" s="40">
        <v>5</v>
      </c>
      <c r="P283" s="299">
        <f t="shared" si="16"/>
        <v>5</v>
      </c>
      <c r="Q283" s="40">
        <v>100</v>
      </c>
      <c r="R283" s="40">
        <v>10</v>
      </c>
      <c r="S283" s="40"/>
      <c r="T283" s="105">
        <f t="shared" si="17"/>
        <v>0.5</v>
      </c>
      <c r="U283" s="105">
        <f t="shared" si="18"/>
        <v>0.5</v>
      </c>
      <c r="V283" s="104">
        <f>IFERROR(VLOOKUP(L283,'Raw material list'!$A$2:$S$3102,6,0),0)</f>
        <v>2.3999999999999998E-3</v>
      </c>
      <c r="W283" s="104">
        <f t="shared" si="19"/>
        <v>1.1999999999999999E-3</v>
      </c>
    </row>
    <row r="284" spans="1:23" hidden="1" x14ac:dyDescent="0.55000000000000004">
      <c r="A284" s="41" t="s">
        <v>1465</v>
      </c>
      <c r="B284" s="41" t="s">
        <v>35</v>
      </c>
      <c r="C284" s="41" t="s">
        <v>10</v>
      </c>
      <c r="D284" s="41" t="s">
        <v>1457</v>
      </c>
      <c r="E284" s="41" t="s">
        <v>1448</v>
      </c>
      <c r="F284" s="41" t="s">
        <v>2079</v>
      </c>
      <c r="G284" s="41" t="s">
        <v>11</v>
      </c>
      <c r="H284" s="41" t="s">
        <v>1773</v>
      </c>
      <c r="I284" s="41"/>
      <c r="J284" s="41"/>
      <c r="K284" s="41" t="str">
        <f>IFERROR(VLOOKUP(L284,'Raw material list'!$A$3:$C$715,3,0),"")</f>
        <v>DRS1-3880</v>
      </c>
      <c r="L284" s="41" t="s">
        <v>1433</v>
      </c>
      <c r="M284" s="40" t="s">
        <v>156</v>
      </c>
      <c r="N284" s="40" t="str">
        <f>VLOOKUP(L284,'Raw material list'!$A$3:$E$715,5,0)</f>
        <v xml:space="preserve">Gram </v>
      </c>
      <c r="O284" s="40">
        <v>7</v>
      </c>
      <c r="P284" s="299">
        <f t="shared" si="16"/>
        <v>7.0000000000000009</v>
      </c>
      <c r="Q284" s="40">
        <v>100</v>
      </c>
      <c r="R284" s="40">
        <v>10</v>
      </c>
      <c r="S284" s="40"/>
      <c r="T284" s="105">
        <f t="shared" si="17"/>
        <v>0.7</v>
      </c>
      <c r="U284" s="105">
        <f t="shared" si="18"/>
        <v>0.70000000000000007</v>
      </c>
      <c r="V284" s="104">
        <f>IFERROR(VLOOKUP(L284,'Raw material list'!$A$2:$S$3102,6,0),0)</f>
        <v>5.0000000000000001E-4</v>
      </c>
      <c r="W284" s="104">
        <f t="shared" si="19"/>
        <v>3.5000000000000005E-4</v>
      </c>
    </row>
    <row r="285" spans="1:23" hidden="1" x14ac:dyDescent="0.55000000000000004">
      <c r="A285" s="41" t="s">
        <v>1465</v>
      </c>
      <c r="B285" s="41" t="s">
        <v>35</v>
      </c>
      <c r="C285" s="41" t="s">
        <v>10</v>
      </c>
      <c r="D285" s="41" t="s">
        <v>1457</v>
      </c>
      <c r="E285" s="41" t="s">
        <v>1448</v>
      </c>
      <c r="F285" s="41" t="s">
        <v>2079</v>
      </c>
      <c r="G285" s="41" t="s">
        <v>11</v>
      </c>
      <c r="H285" s="41" t="s">
        <v>1773</v>
      </c>
      <c r="I285" s="41"/>
      <c r="J285" s="41"/>
      <c r="K285" s="41" t="str">
        <f>IFERROR(VLOOKUP(L285,'Raw material list'!$A$3:$C$715,3,0),"")</f>
        <v>DRS1-3813</v>
      </c>
      <c r="L285" s="41" t="s">
        <v>67</v>
      </c>
      <c r="M285" s="40" t="s">
        <v>156</v>
      </c>
      <c r="N285" s="40" t="str">
        <f>VLOOKUP(L285,'Raw material list'!$A$3:$E$715,5,0)</f>
        <v xml:space="preserve">Gram </v>
      </c>
      <c r="O285" s="40">
        <v>5</v>
      </c>
      <c r="P285" s="299">
        <f t="shared" si="16"/>
        <v>5</v>
      </c>
      <c r="Q285" s="40">
        <v>100</v>
      </c>
      <c r="R285" s="40">
        <v>10</v>
      </c>
      <c r="S285" s="40"/>
      <c r="T285" s="105">
        <f t="shared" si="17"/>
        <v>0.5</v>
      </c>
      <c r="U285" s="105">
        <f t="shared" si="18"/>
        <v>0.5</v>
      </c>
      <c r="V285" s="104">
        <f>IFERROR(VLOOKUP(L285,'Raw material list'!$A$2:$S$3102,6,0),0)</f>
        <v>4.4441666666666664E-2</v>
      </c>
      <c r="W285" s="104">
        <f t="shared" si="19"/>
        <v>2.2220833333333332E-2</v>
      </c>
    </row>
    <row r="286" spans="1:23" hidden="1" x14ac:dyDescent="0.55000000000000004">
      <c r="A286" s="41" t="s">
        <v>1465</v>
      </c>
      <c r="B286" s="41" t="s">
        <v>35</v>
      </c>
      <c r="C286" s="41" t="s">
        <v>10</v>
      </c>
      <c r="D286" s="41" t="s">
        <v>1457</v>
      </c>
      <c r="E286" s="41" t="s">
        <v>1448</v>
      </c>
      <c r="F286" s="41" t="s">
        <v>2079</v>
      </c>
      <c r="G286" s="41" t="s">
        <v>11</v>
      </c>
      <c r="H286" s="41" t="s">
        <v>1773</v>
      </c>
      <c r="I286" s="41"/>
      <c r="J286" s="41"/>
      <c r="K286" s="41" t="str">
        <f>IFERROR(VLOOKUP(L286,'Raw material list'!$A$3:$C$715,3,0),"")</f>
        <v>DRS6-537</v>
      </c>
      <c r="L286" s="41" t="s">
        <v>46</v>
      </c>
      <c r="M286" s="40" t="s">
        <v>156</v>
      </c>
      <c r="N286" s="40" t="str">
        <f>VLOOKUP(L286,'Raw material list'!$A$3:$E$715,5,0)</f>
        <v xml:space="preserve">Gram </v>
      </c>
      <c r="O286" s="40">
        <v>2</v>
      </c>
      <c r="P286" s="299">
        <f t="shared" si="16"/>
        <v>2</v>
      </c>
      <c r="Q286" s="40">
        <v>100</v>
      </c>
      <c r="R286" s="40">
        <v>10</v>
      </c>
      <c r="S286" s="40"/>
      <c r="T286" s="105">
        <f t="shared" si="17"/>
        <v>0.2</v>
      </c>
      <c r="U286" s="105">
        <f t="shared" si="18"/>
        <v>0.2</v>
      </c>
      <c r="V286" s="104">
        <f>IFERROR(VLOOKUP(L286,'Raw material list'!$A$2:$S$3102,6,0),0)</f>
        <v>3.5000000000000003E-2</v>
      </c>
      <c r="W286" s="104">
        <f t="shared" si="19"/>
        <v>7.000000000000001E-3</v>
      </c>
    </row>
    <row r="287" spans="1:23" hidden="1" x14ac:dyDescent="0.55000000000000004">
      <c r="A287" s="41" t="s">
        <v>1465</v>
      </c>
      <c r="B287" s="41" t="s">
        <v>35</v>
      </c>
      <c r="C287" s="41" t="s">
        <v>10</v>
      </c>
      <c r="D287" s="41" t="s">
        <v>1457</v>
      </c>
      <c r="E287" s="41" t="s">
        <v>1448</v>
      </c>
      <c r="F287" s="41" t="s">
        <v>2079</v>
      </c>
      <c r="G287" s="41" t="s">
        <v>11</v>
      </c>
      <c r="H287" s="41" t="s">
        <v>1773</v>
      </c>
      <c r="I287" s="41"/>
      <c r="J287" s="41"/>
      <c r="K287" s="41" t="str">
        <f>IFERROR(VLOOKUP(L287,'Raw material list'!$A$3:$C$715,3,0),"")</f>
        <v>DRS4-498</v>
      </c>
      <c r="L287" s="41" t="s">
        <v>72</v>
      </c>
      <c r="M287" s="40" t="s">
        <v>156</v>
      </c>
      <c r="N287" s="40" t="str">
        <f>VLOOKUP(L287,'Raw material list'!$A$3:$E$715,5,0)</f>
        <v xml:space="preserve">Gram </v>
      </c>
      <c r="O287" s="40">
        <v>1000</v>
      </c>
      <c r="P287" s="299">
        <f t="shared" si="16"/>
        <v>1000</v>
      </c>
      <c r="Q287" s="40">
        <v>100</v>
      </c>
      <c r="R287" s="40">
        <v>10</v>
      </c>
      <c r="S287" s="40"/>
      <c r="T287" s="105">
        <f t="shared" si="17"/>
        <v>100</v>
      </c>
      <c r="U287" s="105">
        <f t="shared" si="18"/>
        <v>100</v>
      </c>
      <c r="V287" s="104">
        <f>IFERROR(VLOOKUP(L287,'Raw material list'!$A$2:$S$3102,6,0),0)</f>
        <v>5.7499999999999999E-3</v>
      </c>
      <c r="W287" s="104">
        <f t="shared" si="19"/>
        <v>0.57499999999999996</v>
      </c>
    </row>
    <row r="288" spans="1:23" hidden="1" x14ac:dyDescent="0.55000000000000004">
      <c r="A288" s="41" t="s">
        <v>1465</v>
      </c>
      <c r="B288" s="41" t="s">
        <v>35</v>
      </c>
      <c r="C288" s="41" t="s">
        <v>10</v>
      </c>
      <c r="D288" s="41" t="s">
        <v>1457</v>
      </c>
      <c r="E288" s="41" t="s">
        <v>1448</v>
      </c>
      <c r="F288" s="41" t="s">
        <v>2079</v>
      </c>
      <c r="G288" s="41" t="s">
        <v>11</v>
      </c>
      <c r="H288" s="41" t="s">
        <v>1773</v>
      </c>
      <c r="I288" s="41"/>
      <c r="J288" s="41"/>
      <c r="K288" s="41" t="str">
        <f>IFERROR(VLOOKUP(L288,'Raw material list'!$A$3:$C$715,3,0),"")</f>
        <v>DRS3-1813</v>
      </c>
      <c r="L288" s="41" t="s">
        <v>69</v>
      </c>
      <c r="M288" s="40" t="s">
        <v>206</v>
      </c>
      <c r="N288" s="40" t="str">
        <f>VLOOKUP(L288,'Raw material list'!$A$3:$E$715,5,0)</f>
        <v>Ml</v>
      </c>
      <c r="O288" s="40">
        <v>40</v>
      </c>
      <c r="P288" s="299">
        <f t="shared" si="16"/>
        <v>40</v>
      </c>
      <c r="Q288" s="40">
        <v>100</v>
      </c>
      <c r="R288" s="40">
        <v>10</v>
      </c>
      <c r="S288" s="40"/>
      <c r="T288" s="105">
        <f t="shared" si="17"/>
        <v>4</v>
      </c>
      <c r="U288" s="105">
        <f t="shared" si="18"/>
        <v>4</v>
      </c>
      <c r="V288" s="104">
        <f>IFERROR(VLOOKUP(L288,'Raw material list'!$A$2:$S$3102,6,0),0)</f>
        <v>8.0555555555555554E-3</v>
      </c>
      <c r="W288" s="104">
        <f t="shared" si="19"/>
        <v>3.2222222222222222E-2</v>
      </c>
    </row>
    <row r="289" spans="1:23" hidden="1" x14ac:dyDescent="0.55000000000000004">
      <c r="A289" s="41" t="s">
        <v>1465</v>
      </c>
      <c r="B289" s="41" t="s">
        <v>35</v>
      </c>
      <c r="C289" s="41" t="s">
        <v>10</v>
      </c>
      <c r="D289" s="41" t="s">
        <v>1457</v>
      </c>
      <c r="E289" s="41" t="s">
        <v>1448</v>
      </c>
      <c r="F289" s="41" t="s">
        <v>2079</v>
      </c>
      <c r="G289" s="41" t="s">
        <v>11</v>
      </c>
      <c r="H289" s="41" t="s">
        <v>1773</v>
      </c>
      <c r="I289" s="41"/>
      <c r="J289" s="41"/>
      <c r="K289" s="41" t="str">
        <f>IFERROR(VLOOKUP(L289,'Raw material list'!$A$3:$C$715,3,0),"")</f>
        <v>TAP-00001</v>
      </c>
      <c r="L289" s="41" t="s">
        <v>1405</v>
      </c>
      <c r="M289" s="40" t="s">
        <v>206</v>
      </c>
      <c r="N289" s="40" t="str">
        <f>VLOOKUP(L289,'Raw material list'!$A$3:$E$715,5,0)</f>
        <v>Ml</v>
      </c>
      <c r="O289" s="40">
        <v>1800</v>
      </c>
      <c r="P289" s="299">
        <f t="shared" si="16"/>
        <v>1800</v>
      </c>
      <c r="Q289" s="40">
        <v>100</v>
      </c>
      <c r="R289" s="40">
        <v>10</v>
      </c>
      <c r="S289" s="40"/>
      <c r="T289" s="105">
        <f t="shared" si="17"/>
        <v>180</v>
      </c>
      <c r="U289" s="105">
        <f t="shared" si="18"/>
        <v>180</v>
      </c>
      <c r="V289" s="104">
        <f>IFERROR(VLOOKUP(L289,'Raw material list'!$A$2:$S$3102,6,0),0)</f>
        <v>8.0000000000000007E-5</v>
      </c>
      <c r="W289" s="104">
        <f t="shared" si="19"/>
        <v>1.4400000000000001E-2</v>
      </c>
    </row>
    <row r="290" spans="1:23" hidden="1" x14ac:dyDescent="0.55000000000000004">
      <c r="A290" s="41" t="s">
        <v>1465</v>
      </c>
      <c r="B290" s="41" t="s">
        <v>35</v>
      </c>
      <c r="C290" s="41" t="s">
        <v>10</v>
      </c>
      <c r="D290" s="41" t="s">
        <v>1457</v>
      </c>
      <c r="E290" s="41" t="s">
        <v>1448</v>
      </c>
      <c r="F290" s="41" t="s">
        <v>2079</v>
      </c>
      <c r="G290" s="41" t="s">
        <v>11</v>
      </c>
      <c r="H290" s="41" t="s">
        <v>1773</v>
      </c>
      <c r="I290" s="41"/>
      <c r="J290" s="41"/>
      <c r="K290" s="41" t="str">
        <f>IFERROR(VLOOKUP(L290,'Raw material list'!$A$3:$C$715,3,0),"")</f>
        <v>DRS1-3880</v>
      </c>
      <c r="L290" s="41" t="s">
        <v>1433</v>
      </c>
      <c r="M290" s="40" t="s">
        <v>156</v>
      </c>
      <c r="N290" s="40" t="str">
        <f>VLOOKUP(L290,'Raw material list'!$A$3:$E$715,5,0)</f>
        <v xml:space="preserve">Gram </v>
      </c>
      <c r="O290" s="40">
        <v>10</v>
      </c>
      <c r="P290" s="299">
        <f t="shared" si="16"/>
        <v>10</v>
      </c>
      <c r="Q290" s="40">
        <v>100</v>
      </c>
      <c r="R290" s="40">
        <v>10</v>
      </c>
      <c r="S290" s="40"/>
      <c r="T290" s="105">
        <f t="shared" si="17"/>
        <v>1</v>
      </c>
      <c r="U290" s="105">
        <f t="shared" si="18"/>
        <v>1</v>
      </c>
      <c r="V290" s="104">
        <f>IFERROR(VLOOKUP(L290,'Raw material list'!$A$2:$S$3102,6,0),0)</f>
        <v>5.0000000000000001E-4</v>
      </c>
      <c r="W290" s="104">
        <f t="shared" si="19"/>
        <v>5.0000000000000001E-4</v>
      </c>
    </row>
    <row r="291" spans="1:23" hidden="1" x14ac:dyDescent="0.55000000000000004">
      <c r="A291" s="41" t="s">
        <v>1466</v>
      </c>
      <c r="B291" s="41" t="s">
        <v>35</v>
      </c>
      <c r="C291" s="41" t="s">
        <v>10</v>
      </c>
      <c r="D291" s="41" t="s">
        <v>1458</v>
      </c>
      <c r="E291" s="41" t="s">
        <v>1448</v>
      </c>
      <c r="F291" s="41" t="s">
        <v>2081</v>
      </c>
      <c r="G291" s="41" t="s">
        <v>11</v>
      </c>
      <c r="H291" s="41" t="s">
        <v>1774</v>
      </c>
      <c r="I291" s="41"/>
      <c r="J291" s="41"/>
      <c r="K291" s="41" t="str">
        <f>IFERROR(VLOOKUP(L291,'Raw material list'!$A$3:$C$715,3,0),"")</f>
        <v>PLT1-1785</v>
      </c>
      <c r="L291" s="41" t="s">
        <v>77</v>
      </c>
      <c r="M291" s="40" t="s">
        <v>156</v>
      </c>
      <c r="N291" s="40" t="str">
        <f>VLOOKUP(L291,'Raw material list'!$A$3:$E$715,5,0)</f>
        <v xml:space="preserve">Gram </v>
      </c>
      <c r="O291" s="40">
        <v>3000</v>
      </c>
      <c r="P291" s="299">
        <f t="shared" si="16"/>
        <v>3662.2950819672133</v>
      </c>
      <c r="Q291" s="40">
        <v>81.915846016114585</v>
      </c>
      <c r="R291" s="40">
        <v>10</v>
      </c>
      <c r="S291" s="40"/>
      <c r="T291" s="105">
        <f t="shared" si="17"/>
        <v>300</v>
      </c>
      <c r="U291" s="105">
        <f t="shared" si="18"/>
        <v>366.22950819672133</v>
      </c>
      <c r="V291" s="104">
        <f>IFERROR(VLOOKUP(L291,'Raw material list'!$A$2:$S$3102,6,0),0)</f>
        <v>1.3730000000000001E-2</v>
      </c>
      <c r="W291" s="104">
        <f t="shared" si="19"/>
        <v>5.0283311475409844</v>
      </c>
    </row>
    <row r="292" spans="1:23" hidden="1" x14ac:dyDescent="0.55000000000000004">
      <c r="A292" s="41" t="s">
        <v>1466</v>
      </c>
      <c r="B292" s="41" t="s">
        <v>35</v>
      </c>
      <c r="C292" s="41" t="s">
        <v>10</v>
      </c>
      <c r="D292" s="41" t="s">
        <v>1458</v>
      </c>
      <c r="E292" s="41" t="s">
        <v>1448</v>
      </c>
      <c r="F292" s="41" t="s">
        <v>2079</v>
      </c>
      <c r="G292" s="41" t="s">
        <v>11</v>
      </c>
      <c r="H292" s="41" t="s">
        <v>1774</v>
      </c>
      <c r="I292" s="41"/>
      <c r="J292" s="41"/>
      <c r="K292" s="41" t="str">
        <f>IFERROR(VLOOKUP(L292,'Raw material list'!$A$3:$C$715,3,0),"")</f>
        <v>DRS3-1813</v>
      </c>
      <c r="L292" s="41" t="s">
        <v>69</v>
      </c>
      <c r="M292" s="40" t="s">
        <v>206</v>
      </c>
      <c r="N292" s="40" t="str">
        <f>VLOOKUP(L292,'Raw material list'!$A$3:$E$715,5,0)</f>
        <v>Ml</v>
      </c>
      <c r="O292" s="40">
        <v>50</v>
      </c>
      <c r="P292" s="299">
        <f t="shared" si="16"/>
        <v>50</v>
      </c>
      <c r="Q292" s="40">
        <v>100</v>
      </c>
      <c r="R292" s="40">
        <v>10</v>
      </c>
      <c r="S292" s="40"/>
      <c r="T292" s="105">
        <f t="shared" si="17"/>
        <v>5</v>
      </c>
      <c r="U292" s="105">
        <f t="shared" si="18"/>
        <v>5</v>
      </c>
      <c r="V292" s="104">
        <f>IFERROR(VLOOKUP(L292,'Raw material list'!$A$2:$S$3102,6,0),0)</f>
        <v>8.0555555555555554E-3</v>
      </c>
      <c r="W292" s="104">
        <f t="shared" si="19"/>
        <v>4.0277777777777773E-2</v>
      </c>
    </row>
    <row r="293" spans="1:23" hidden="1" x14ac:dyDescent="0.55000000000000004">
      <c r="A293" s="41" t="s">
        <v>1466</v>
      </c>
      <c r="B293" s="41" t="s">
        <v>35</v>
      </c>
      <c r="C293" s="41" t="s">
        <v>10</v>
      </c>
      <c r="D293" s="41" t="s">
        <v>1458</v>
      </c>
      <c r="E293" s="41" t="s">
        <v>1448</v>
      </c>
      <c r="F293" s="41" t="s">
        <v>2079</v>
      </c>
      <c r="G293" s="41" t="s">
        <v>11</v>
      </c>
      <c r="H293" s="41" t="s">
        <v>1774</v>
      </c>
      <c r="I293" s="41"/>
      <c r="J293" s="41"/>
      <c r="K293" s="41" t="str">
        <f>IFERROR(VLOOKUP(L293,'Raw material list'!$A$3:$C$715,3,0),"")</f>
        <v>PRD1-4327</v>
      </c>
      <c r="L293" s="41" t="s">
        <v>39</v>
      </c>
      <c r="M293" s="40" t="s">
        <v>156</v>
      </c>
      <c r="N293" s="40" t="str">
        <f>VLOOKUP(L293,'Raw material list'!$A$3:$E$715,5,0)</f>
        <v xml:space="preserve">Gram </v>
      </c>
      <c r="O293" s="40">
        <v>50</v>
      </c>
      <c r="P293" s="299">
        <f t="shared" si="16"/>
        <v>60.24096385542169</v>
      </c>
      <c r="Q293" s="105">
        <v>83</v>
      </c>
      <c r="R293" s="40">
        <v>10</v>
      </c>
      <c r="S293" s="40"/>
      <c r="T293" s="105">
        <f t="shared" si="17"/>
        <v>5</v>
      </c>
      <c r="U293" s="105">
        <f t="shared" si="18"/>
        <v>6.024096385542169</v>
      </c>
      <c r="V293" s="104">
        <f>IFERROR(VLOOKUP(L293,'Raw material list'!$A$2:$S$3102,6,0),0)</f>
        <v>1.2999999999999999E-2</v>
      </c>
      <c r="W293" s="104">
        <f t="shared" si="19"/>
        <v>7.8313253012048195E-2</v>
      </c>
    </row>
    <row r="294" spans="1:23" hidden="1" x14ac:dyDescent="0.55000000000000004">
      <c r="A294" s="41" t="s">
        <v>1466</v>
      </c>
      <c r="B294" s="41" t="s">
        <v>35</v>
      </c>
      <c r="C294" s="41" t="s">
        <v>10</v>
      </c>
      <c r="D294" s="41" t="s">
        <v>1458</v>
      </c>
      <c r="E294" s="41" t="s">
        <v>1448</v>
      </c>
      <c r="F294" s="41" t="s">
        <v>2079</v>
      </c>
      <c r="G294" s="41" t="s">
        <v>11</v>
      </c>
      <c r="H294" s="41" t="s">
        <v>1774</v>
      </c>
      <c r="I294" s="41"/>
      <c r="J294" s="41"/>
      <c r="K294" s="41" t="str">
        <f>IFERROR(VLOOKUP(L294,'Raw material list'!$A$3:$C$715,3,0),"")</f>
        <v>PRD1-204</v>
      </c>
      <c r="L294" s="41" t="s">
        <v>81</v>
      </c>
      <c r="M294" s="40" t="s">
        <v>156</v>
      </c>
      <c r="N294" s="40" t="str">
        <f>VLOOKUP(L294,'Raw material list'!$A$3:$E$715,5,0)</f>
        <v xml:space="preserve">Gram </v>
      </c>
      <c r="O294" s="40">
        <v>50</v>
      </c>
      <c r="P294" s="299">
        <f t="shared" si="16"/>
        <v>60.24096385542169</v>
      </c>
      <c r="Q294" s="105">
        <v>83</v>
      </c>
      <c r="R294" s="40">
        <v>10</v>
      </c>
      <c r="S294" s="40"/>
      <c r="T294" s="105">
        <f t="shared" si="17"/>
        <v>5</v>
      </c>
      <c r="U294" s="105">
        <f t="shared" si="18"/>
        <v>6.024096385542169</v>
      </c>
      <c r="V294" s="104">
        <f>IFERROR(VLOOKUP(L294,'Raw material list'!$A$2:$S$3102,6,0),0)</f>
        <v>8.4337349397590362E-3</v>
      </c>
      <c r="W294" s="104">
        <f t="shared" si="19"/>
        <v>5.0805632167223114E-2</v>
      </c>
    </row>
    <row r="295" spans="1:23" hidden="1" x14ac:dyDescent="0.55000000000000004">
      <c r="A295" s="41" t="s">
        <v>1466</v>
      </c>
      <c r="B295" s="41" t="s">
        <v>35</v>
      </c>
      <c r="C295" s="41" t="s">
        <v>10</v>
      </c>
      <c r="D295" s="41" t="s">
        <v>1458</v>
      </c>
      <c r="E295" s="41" t="s">
        <v>1448</v>
      </c>
      <c r="F295" s="41" t="s">
        <v>2079</v>
      </c>
      <c r="G295" s="41" t="s">
        <v>11</v>
      </c>
      <c r="H295" s="41" t="s">
        <v>1774</v>
      </c>
      <c r="I295" s="41"/>
      <c r="J295" s="41"/>
      <c r="K295" s="41" t="str">
        <f>IFERROR(VLOOKUP(L295,'Raw material list'!$A$3:$C$715,3,0),"")</f>
        <v>DRS1-110</v>
      </c>
      <c r="L295" s="41" t="s">
        <v>83</v>
      </c>
      <c r="M295" s="40" t="s">
        <v>206</v>
      </c>
      <c r="N295" s="40" t="str">
        <f>VLOOKUP(L295,'Raw material list'!$A$3:$E$715,5,0)</f>
        <v>Ml</v>
      </c>
      <c r="O295" s="40">
        <v>150</v>
      </c>
      <c r="P295" s="299">
        <f t="shared" si="16"/>
        <v>150</v>
      </c>
      <c r="Q295" s="300">
        <v>100</v>
      </c>
      <c r="R295" s="40">
        <v>10</v>
      </c>
      <c r="S295" s="40"/>
      <c r="T295" s="105">
        <f t="shared" si="17"/>
        <v>15</v>
      </c>
      <c r="U295" s="105">
        <f t="shared" si="18"/>
        <v>15</v>
      </c>
      <c r="V295" s="104">
        <f>IFERROR(VLOOKUP(L295,'Raw material list'!$A$2:$S$3102,6,0),0)</f>
        <v>1.805E-2</v>
      </c>
      <c r="W295" s="104">
        <f t="shared" si="19"/>
        <v>0.27074999999999999</v>
      </c>
    </row>
    <row r="296" spans="1:23" hidden="1" x14ac:dyDescent="0.55000000000000004">
      <c r="A296" s="41" t="s">
        <v>1466</v>
      </c>
      <c r="B296" s="41" t="s">
        <v>35</v>
      </c>
      <c r="C296" s="41" t="s">
        <v>10</v>
      </c>
      <c r="D296" s="41" t="s">
        <v>1458</v>
      </c>
      <c r="E296" s="41" t="s">
        <v>1448</v>
      </c>
      <c r="F296" s="41" t="s">
        <v>2079</v>
      </c>
      <c r="G296" s="41" t="s">
        <v>11</v>
      </c>
      <c r="H296" s="41" t="s">
        <v>1774</v>
      </c>
      <c r="I296" s="41"/>
      <c r="J296" s="41"/>
      <c r="K296" s="41" t="str">
        <f>IFERROR(VLOOKUP(L296,'Raw material list'!$A$3:$C$715,3,0),"")</f>
        <v>DRS1-1142</v>
      </c>
      <c r="L296" s="41" t="s">
        <v>84</v>
      </c>
      <c r="M296" s="40" t="s">
        <v>206</v>
      </c>
      <c r="N296" s="40" t="str">
        <f>VLOOKUP(L296,'Raw material list'!$A$3:$E$715,5,0)</f>
        <v>Ml</v>
      </c>
      <c r="O296" s="40">
        <v>50</v>
      </c>
      <c r="P296" s="299">
        <f t="shared" si="16"/>
        <v>50</v>
      </c>
      <c r="Q296" s="40">
        <v>100</v>
      </c>
      <c r="R296" s="40">
        <v>10</v>
      </c>
      <c r="S296" s="40"/>
      <c r="T296" s="105">
        <f t="shared" si="17"/>
        <v>5</v>
      </c>
      <c r="U296" s="105">
        <f t="shared" si="18"/>
        <v>5</v>
      </c>
      <c r="V296" s="104">
        <f>IFERROR(VLOOKUP(L296,'Raw material list'!$A$2:$S$3102,6,0),0)</f>
        <v>2.3579999999999997E-2</v>
      </c>
      <c r="W296" s="104">
        <f t="shared" si="19"/>
        <v>0.11789999999999998</v>
      </c>
    </row>
    <row r="297" spans="1:23" hidden="1" x14ac:dyDescent="0.55000000000000004">
      <c r="A297" s="41" t="s">
        <v>1466</v>
      </c>
      <c r="B297" s="41" t="s">
        <v>35</v>
      </c>
      <c r="C297" s="41" t="s">
        <v>10</v>
      </c>
      <c r="D297" s="41" t="s">
        <v>1458</v>
      </c>
      <c r="E297" s="41" t="s">
        <v>1448</v>
      </c>
      <c r="F297" s="41" t="s">
        <v>2079</v>
      </c>
      <c r="G297" s="41" t="s">
        <v>11</v>
      </c>
      <c r="H297" s="41" t="s">
        <v>1774</v>
      </c>
      <c r="I297" s="41"/>
      <c r="J297" s="41"/>
      <c r="K297" s="41" t="str">
        <f>IFERROR(VLOOKUP(L297,'Raw material list'!$A$3:$C$715,3,0),"")</f>
        <v>DRS1-1753</v>
      </c>
      <c r="L297" s="41" t="s">
        <v>135</v>
      </c>
      <c r="M297" s="40" t="s">
        <v>206</v>
      </c>
      <c r="N297" s="40" t="str">
        <f>VLOOKUP(L297,'Raw material list'!$A$3:$E$715,5,0)</f>
        <v>Ml</v>
      </c>
      <c r="O297" s="40">
        <v>150</v>
      </c>
      <c r="P297" s="299">
        <f t="shared" si="16"/>
        <v>150</v>
      </c>
      <c r="Q297" s="40">
        <v>100</v>
      </c>
      <c r="R297" s="40">
        <v>10</v>
      </c>
      <c r="S297" s="40"/>
      <c r="T297" s="105">
        <f t="shared" si="17"/>
        <v>15</v>
      </c>
      <c r="U297" s="105">
        <f t="shared" si="18"/>
        <v>15</v>
      </c>
      <c r="V297" s="104">
        <f>IFERROR(VLOOKUP(L297,'Raw material list'!$A$2:$S$3102,6,0),0)</f>
        <v>1.4885714285714285E-2</v>
      </c>
      <c r="W297" s="104">
        <f t="shared" si="19"/>
        <v>0.22328571428571428</v>
      </c>
    </row>
    <row r="298" spans="1:23" hidden="1" x14ac:dyDescent="0.55000000000000004">
      <c r="A298" s="41" t="s">
        <v>1466</v>
      </c>
      <c r="B298" s="41" t="s">
        <v>35</v>
      </c>
      <c r="C298" s="41" t="s">
        <v>10</v>
      </c>
      <c r="D298" s="41" t="s">
        <v>1458</v>
      </c>
      <c r="E298" s="41" t="s">
        <v>1448</v>
      </c>
      <c r="F298" s="41" t="s">
        <v>2079</v>
      </c>
      <c r="G298" s="41" t="s">
        <v>11</v>
      </c>
      <c r="H298" s="41" t="s">
        <v>1774</v>
      </c>
      <c r="I298" s="41"/>
      <c r="J298" s="41"/>
      <c r="K298" s="41" t="str">
        <f>IFERROR(VLOOKUP(L298,'Raw material list'!$A$3:$C$715,3,0),"")</f>
        <v>DRS1-3811</v>
      </c>
      <c r="L298" s="41" t="s">
        <v>40</v>
      </c>
      <c r="M298" s="40" t="s">
        <v>156</v>
      </c>
      <c r="N298" s="40" t="str">
        <f>VLOOKUP(L298,'Raw material list'!$A$3:$E$715,5,0)</f>
        <v xml:space="preserve">Gram </v>
      </c>
      <c r="O298" s="40">
        <v>20</v>
      </c>
      <c r="P298" s="299">
        <f t="shared" si="16"/>
        <v>20</v>
      </c>
      <c r="Q298" s="40">
        <v>100</v>
      </c>
      <c r="R298" s="40">
        <v>10</v>
      </c>
      <c r="S298" s="40"/>
      <c r="T298" s="105">
        <f t="shared" si="17"/>
        <v>2</v>
      </c>
      <c r="U298" s="105">
        <f t="shared" si="18"/>
        <v>2</v>
      </c>
      <c r="V298" s="104">
        <f>IFERROR(VLOOKUP(L298,'Raw material list'!$A$2:$S$3102,6,0),0)</f>
        <v>2.8475E-2</v>
      </c>
      <c r="W298" s="104">
        <f t="shared" si="19"/>
        <v>5.6950000000000001E-2</v>
      </c>
    </row>
    <row r="299" spans="1:23" hidden="1" x14ac:dyDescent="0.55000000000000004">
      <c r="A299" s="41" t="s">
        <v>1466</v>
      </c>
      <c r="B299" s="41" t="s">
        <v>35</v>
      </c>
      <c r="C299" s="41" t="s">
        <v>10</v>
      </c>
      <c r="D299" s="41" t="s">
        <v>1458</v>
      </c>
      <c r="E299" s="41" t="s">
        <v>1448</v>
      </c>
      <c r="F299" s="41" t="s">
        <v>2079</v>
      </c>
      <c r="G299" s="41" t="s">
        <v>11</v>
      </c>
      <c r="H299" s="41" t="s">
        <v>1774</v>
      </c>
      <c r="I299" s="41"/>
      <c r="J299" s="41"/>
      <c r="K299" s="41" t="str">
        <f>IFERROR(VLOOKUP(L299,'Raw material list'!$A$3:$C$715,3,0),"")</f>
        <v>TAP-00001</v>
      </c>
      <c r="L299" s="41" t="s">
        <v>1402</v>
      </c>
      <c r="M299" s="40" t="s">
        <v>206</v>
      </c>
      <c r="N299" s="40" t="str">
        <f>VLOOKUP(L299,'Raw material list'!$A$3:$E$715,5,0)</f>
        <v>Ml</v>
      </c>
      <c r="O299" s="40">
        <v>200</v>
      </c>
      <c r="P299" s="299">
        <f t="shared" si="16"/>
        <v>200</v>
      </c>
      <c r="Q299" s="40">
        <v>100</v>
      </c>
      <c r="R299" s="40">
        <v>10</v>
      </c>
      <c r="S299" s="40"/>
      <c r="T299" s="105">
        <f t="shared" si="17"/>
        <v>20</v>
      </c>
      <c r="U299" s="105">
        <f t="shared" si="18"/>
        <v>20</v>
      </c>
      <c r="V299" s="104">
        <f>IFERROR(VLOOKUP(L299,'Raw material list'!$A$2:$S$3102,6,0),0)</f>
        <v>8.0000000000000007E-5</v>
      </c>
      <c r="W299" s="104">
        <f t="shared" si="19"/>
        <v>1.6000000000000001E-3</v>
      </c>
    </row>
    <row r="300" spans="1:23" s="75" customFormat="1" hidden="1" x14ac:dyDescent="0.55000000000000004">
      <c r="A300" s="41" t="s">
        <v>1466</v>
      </c>
      <c r="B300" s="41" t="s">
        <v>35</v>
      </c>
      <c r="C300" s="41" t="s">
        <v>10</v>
      </c>
      <c r="D300" s="41" t="s">
        <v>1458</v>
      </c>
      <c r="E300" s="41" t="s">
        <v>1448</v>
      </c>
      <c r="F300" s="41" t="s">
        <v>2079</v>
      </c>
      <c r="G300" s="41" t="s">
        <v>11</v>
      </c>
      <c r="H300" s="41" t="s">
        <v>1774</v>
      </c>
      <c r="I300" s="64"/>
      <c r="J300" s="64"/>
      <c r="K300" s="41" t="str">
        <f>IFERROR(VLOOKUP(L300,'Raw material list'!$A$3:$C$715,3,0),"")</f>
        <v>PRD1-186</v>
      </c>
      <c r="L300" s="64" t="s">
        <v>37</v>
      </c>
      <c r="M300" s="65" t="s">
        <v>156</v>
      </c>
      <c r="N300" s="40" t="str">
        <f>VLOOKUP(L300,'Raw material list'!$A$3:$E$715,5,0)</f>
        <v xml:space="preserve">Gram </v>
      </c>
      <c r="O300" s="40">
        <v>350</v>
      </c>
      <c r="P300" s="299">
        <f t="shared" si="16"/>
        <v>428.57142857142856</v>
      </c>
      <c r="Q300" s="105">
        <v>81.666666666666671</v>
      </c>
      <c r="R300" s="40">
        <v>10</v>
      </c>
      <c r="S300" s="40"/>
      <c r="T300" s="105">
        <f t="shared" si="17"/>
        <v>35</v>
      </c>
      <c r="U300" s="105">
        <f t="shared" si="18"/>
        <v>42.857142857142854</v>
      </c>
      <c r="V300" s="104">
        <f>IFERROR(VLOOKUP(L300,'Raw material list'!$A$2:$S$3102,6,0),0)</f>
        <v>5.8139534883720938E-3</v>
      </c>
      <c r="W300" s="104">
        <f t="shared" si="19"/>
        <v>0.24916943521594687</v>
      </c>
    </row>
    <row r="301" spans="1:23" s="75" customFormat="1" hidden="1" x14ac:dyDescent="0.55000000000000004">
      <c r="A301" s="41" t="s">
        <v>1466</v>
      </c>
      <c r="B301" s="41" t="s">
        <v>35</v>
      </c>
      <c r="C301" s="41" t="s">
        <v>10</v>
      </c>
      <c r="D301" s="41" t="s">
        <v>1458</v>
      </c>
      <c r="E301" s="41" t="s">
        <v>1448</v>
      </c>
      <c r="F301" s="41" t="s">
        <v>2079</v>
      </c>
      <c r="G301" s="41" t="s">
        <v>11</v>
      </c>
      <c r="H301" s="41" t="s">
        <v>1774</v>
      </c>
      <c r="I301" s="64"/>
      <c r="J301" s="64"/>
      <c r="K301" s="41" t="str">
        <f>IFERROR(VLOOKUP(L301,'Raw material list'!$A$3:$C$715,3,0),"")</f>
        <v>PRD1-230</v>
      </c>
      <c r="L301" s="64" t="s">
        <v>70</v>
      </c>
      <c r="M301" s="65" t="s">
        <v>156</v>
      </c>
      <c r="N301" s="40" t="str">
        <f>VLOOKUP(L301,'Raw material list'!$A$3:$E$715,5,0)</f>
        <v xml:space="preserve">Gram </v>
      </c>
      <c r="O301" s="40">
        <v>350</v>
      </c>
      <c r="P301" s="299">
        <f t="shared" si="16"/>
        <v>472.33468286099873</v>
      </c>
      <c r="Q301" s="105">
        <v>74.099999999999994</v>
      </c>
      <c r="R301" s="40">
        <v>10</v>
      </c>
      <c r="S301" s="40"/>
      <c r="T301" s="105">
        <f t="shared" si="17"/>
        <v>35</v>
      </c>
      <c r="U301" s="105">
        <f t="shared" si="18"/>
        <v>47.233468286099871</v>
      </c>
      <c r="V301" s="104">
        <f>IFERROR(VLOOKUP(L301,'Raw material list'!$A$2:$S$3102,6,0),0)</f>
        <v>3.3738191632928472E-3</v>
      </c>
      <c r="W301" s="104">
        <f t="shared" si="19"/>
        <v>0.15935718045242869</v>
      </c>
    </row>
    <row r="302" spans="1:23" s="75" customFormat="1" hidden="1" x14ac:dyDescent="0.55000000000000004">
      <c r="A302" s="41" t="s">
        <v>1466</v>
      </c>
      <c r="B302" s="41" t="s">
        <v>35</v>
      </c>
      <c r="C302" s="41" t="s">
        <v>10</v>
      </c>
      <c r="D302" s="41" t="s">
        <v>1458</v>
      </c>
      <c r="E302" s="41" t="s">
        <v>1448</v>
      </c>
      <c r="F302" s="41" t="s">
        <v>2079</v>
      </c>
      <c r="G302" s="41" t="s">
        <v>11</v>
      </c>
      <c r="H302" s="41" t="s">
        <v>1774</v>
      </c>
      <c r="I302" s="64"/>
      <c r="J302" s="64"/>
      <c r="K302" s="41" t="str">
        <f>IFERROR(VLOOKUP(L302,'Raw material list'!$A$3:$C$715,3,0),"")</f>
        <v>PRD1-240</v>
      </c>
      <c r="L302" s="64" t="s">
        <v>82</v>
      </c>
      <c r="M302" s="65" t="s">
        <v>156</v>
      </c>
      <c r="N302" s="40" t="str">
        <f>VLOOKUP(L302,'Raw material list'!$A$3:$E$715,5,0)</f>
        <v xml:space="preserve">Gram </v>
      </c>
      <c r="O302" s="40">
        <v>200</v>
      </c>
      <c r="P302" s="299">
        <f t="shared" si="16"/>
        <v>295.56650246305423</v>
      </c>
      <c r="Q302" s="105">
        <v>67.666666666666657</v>
      </c>
      <c r="R302" s="40">
        <v>10</v>
      </c>
      <c r="S302" s="40"/>
      <c r="T302" s="105">
        <f t="shared" si="17"/>
        <v>20</v>
      </c>
      <c r="U302" s="105">
        <f t="shared" si="18"/>
        <v>29.556650246305423</v>
      </c>
      <c r="V302" s="104">
        <f>IFERROR(VLOOKUP(L302,'Raw material list'!$A$2:$S$3102,6,0),0)</f>
        <v>1.3293943870014769E-2</v>
      </c>
      <c r="W302" s="104">
        <f t="shared" si="19"/>
        <v>0.3929244493600425</v>
      </c>
    </row>
    <row r="303" spans="1:23" s="75" customFormat="1" hidden="1" x14ac:dyDescent="0.55000000000000004">
      <c r="A303" s="41" t="s">
        <v>1466</v>
      </c>
      <c r="B303" s="41" t="s">
        <v>35</v>
      </c>
      <c r="C303" s="41" t="s">
        <v>10</v>
      </c>
      <c r="D303" s="41" t="s">
        <v>1458</v>
      </c>
      <c r="E303" s="41" t="s">
        <v>1448</v>
      </c>
      <c r="F303" s="41" t="s">
        <v>2079</v>
      </c>
      <c r="G303" s="41" t="s">
        <v>11</v>
      </c>
      <c r="H303" s="41" t="s">
        <v>1774</v>
      </c>
      <c r="I303" s="64"/>
      <c r="J303" s="64"/>
      <c r="K303" s="41" t="str">
        <f>IFERROR(VLOOKUP(L303,'Raw material list'!$A$3:$C$715,3,0),"")</f>
        <v>DRS1-607</v>
      </c>
      <c r="L303" s="64" t="s">
        <v>250</v>
      </c>
      <c r="M303" s="65" t="s">
        <v>156</v>
      </c>
      <c r="N303" s="40" t="str">
        <f>VLOOKUP(L303,'Raw material list'!$A$3:$E$715,5,0)</f>
        <v xml:space="preserve">Gram </v>
      </c>
      <c r="O303" s="40">
        <v>150</v>
      </c>
      <c r="P303" s="299">
        <f t="shared" si="16"/>
        <v>150</v>
      </c>
      <c r="Q303" s="300">
        <v>100</v>
      </c>
      <c r="R303" s="40">
        <v>10</v>
      </c>
      <c r="S303" s="40"/>
      <c r="T303" s="105">
        <f t="shared" si="17"/>
        <v>15</v>
      </c>
      <c r="U303" s="105">
        <f t="shared" si="18"/>
        <v>15</v>
      </c>
      <c r="V303" s="104">
        <f>IFERROR(VLOOKUP(L303,'Raw material list'!$A$2:$S$3102,6,0),0)</f>
        <v>5.8823529411764705E-3</v>
      </c>
      <c r="W303" s="104">
        <f t="shared" si="19"/>
        <v>8.8235294117647051E-2</v>
      </c>
    </row>
    <row r="304" spans="1:23" s="75" customFormat="1" hidden="1" x14ac:dyDescent="0.55000000000000004">
      <c r="A304" s="41" t="s">
        <v>1466</v>
      </c>
      <c r="B304" s="41" t="s">
        <v>35</v>
      </c>
      <c r="C304" s="41" t="s">
        <v>10</v>
      </c>
      <c r="D304" s="41" t="s">
        <v>1458</v>
      </c>
      <c r="E304" s="41" t="s">
        <v>1448</v>
      </c>
      <c r="F304" s="41" t="s">
        <v>2079</v>
      </c>
      <c r="G304" s="41" t="s">
        <v>11</v>
      </c>
      <c r="H304" s="41" t="s">
        <v>1774</v>
      </c>
      <c r="I304" s="64"/>
      <c r="J304" s="64"/>
      <c r="K304" s="41" t="str">
        <f>IFERROR(VLOOKUP(L304,'Raw material list'!$A$3:$C$715,3,0),"")</f>
        <v>DRS1-4103</v>
      </c>
      <c r="L304" s="64" t="s">
        <v>115</v>
      </c>
      <c r="M304" s="65" t="s">
        <v>156</v>
      </c>
      <c r="N304" s="40" t="str">
        <f>VLOOKUP(L304,'Raw material list'!$A$3:$E$715,5,0)</f>
        <v xml:space="preserve">Gram </v>
      </c>
      <c r="O304" s="40">
        <v>80</v>
      </c>
      <c r="P304" s="299">
        <f t="shared" si="16"/>
        <v>80</v>
      </c>
      <c r="Q304" s="40">
        <v>100</v>
      </c>
      <c r="R304" s="40">
        <v>10</v>
      </c>
      <c r="S304" s="40"/>
      <c r="T304" s="105">
        <f t="shared" si="17"/>
        <v>8</v>
      </c>
      <c r="U304" s="105">
        <f t="shared" si="18"/>
        <v>8</v>
      </c>
      <c r="V304" s="104">
        <f>IFERROR(VLOOKUP(L304,'Raw material list'!$A$2:$S$3102,6,0),0)</f>
        <v>2.67632241813602E-2</v>
      </c>
      <c r="W304" s="104">
        <f t="shared" si="19"/>
        <v>0.2141057934508816</v>
      </c>
    </row>
    <row r="305" spans="1:23" s="75" customFormat="1" hidden="1" x14ac:dyDescent="0.55000000000000004">
      <c r="A305" s="41" t="s">
        <v>1466</v>
      </c>
      <c r="B305" s="41" t="s">
        <v>35</v>
      </c>
      <c r="C305" s="41" t="s">
        <v>10</v>
      </c>
      <c r="D305" s="41" t="s">
        <v>1458</v>
      </c>
      <c r="E305" s="41" t="s">
        <v>1448</v>
      </c>
      <c r="F305" s="41" t="s">
        <v>2079</v>
      </c>
      <c r="G305" s="41" t="s">
        <v>11</v>
      </c>
      <c r="H305" s="41" t="s">
        <v>1774</v>
      </c>
      <c r="I305" s="64"/>
      <c r="J305" s="64"/>
      <c r="K305" s="41" t="str">
        <f>IFERROR(VLOOKUP(L305,'Raw material list'!$A$3:$C$715,3,0),"")</f>
        <v>DRS1-978</v>
      </c>
      <c r="L305" s="64" t="s">
        <v>56</v>
      </c>
      <c r="M305" s="65" t="s">
        <v>156</v>
      </c>
      <c r="N305" s="40" t="str">
        <f>VLOOKUP(L305,'Raw material list'!$A$3:$E$715,5,0)</f>
        <v xml:space="preserve">Gram </v>
      </c>
      <c r="O305" s="40">
        <v>30</v>
      </c>
      <c r="P305" s="299">
        <f t="shared" si="16"/>
        <v>30</v>
      </c>
      <c r="Q305" s="40">
        <v>100</v>
      </c>
      <c r="R305" s="40">
        <v>10</v>
      </c>
      <c r="S305" s="40"/>
      <c r="T305" s="105">
        <f t="shared" si="17"/>
        <v>3</v>
      </c>
      <c r="U305" s="105">
        <f t="shared" si="18"/>
        <v>3</v>
      </c>
      <c r="V305" s="104">
        <f>IFERROR(VLOOKUP(L305,'Raw material list'!$A$2:$S$3102,6,0),0)</f>
        <v>2.3999999999999998E-3</v>
      </c>
      <c r="W305" s="104">
        <f t="shared" si="19"/>
        <v>7.1999999999999998E-3</v>
      </c>
    </row>
    <row r="306" spans="1:23" s="75" customFormat="1" hidden="1" x14ac:dyDescent="0.55000000000000004">
      <c r="A306" s="41" t="s">
        <v>1466</v>
      </c>
      <c r="B306" s="41" t="s">
        <v>35</v>
      </c>
      <c r="C306" s="41" t="s">
        <v>10</v>
      </c>
      <c r="D306" s="41" t="s">
        <v>1458</v>
      </c>
      <c r="E306" s="41" t="s">
        <v>1448</v>
      </c>
      <c r="F306" s="41" t="s">
        <v>2079</v>
      </c>
      <c r="G306" s="41" t="s">
        <v>11</v>
      </c>
      <c r="H306" s="41" t="s">
        <v>1774</v>
      </c>
      <c r="I306" s="64"/>
      <c r="J306" s="64"/>
      <c r="K306" s="41" t="str">
        <f>IFERROR(VLOOKUP(L306,'Raw material list'!$A$3:$C$715,3,0),"")</f>
        <v>DRS4-1457</v>
      </c>
      <c r="L306" s="64" t="s">
        <v>43</v>
      </c>
      <c r="M306" s="65" t="s">
        <v>156</v>
      </c>
      <c r="N306" s="40" t="str">
        <f>VLOOKUP(L306,'Raw material list'!$A$3:$E$715,5,0)</f>
        <v xml:space="preserve">Gram </v>
      </c>
      <c r="O306" s="40">
        <v>1000</v>
      </c>
      <c r="P306" s="299">
        <f t="shared" si="16"/>
        <v>1000</v>
      </c>
      <c r="Q306" s="40">
        <v>100</v>
      </c>
      <c r="R306" s="40">
        <v>10</v>
      </c>
      <c r="S306" s="40"/>
      <c r="T306" s="105">
        <f t="shared" si="17"/>
        <v>100</v>
      </c>
      <c r="U306" s="105">
        <f t="shared" si="18"/>
        <v>100</v>
      </c>
      <c r="V306" s="104">
        <f>IFERROR(VLOOKUP(L306,'Raw material list'!$A$2:$S$3102,6,0),0)</f>
        <v>6.4999999999999997E-3</v>
      </c>
      <c r="W306" s="104">
        <f t="shared" si="19"/>
        <v>0.65</v>
      </c>
    </row>
    <row r="307" spans="1:23" s="75" customFormat="1" hidden="1" x14ac:dyDescent="0.55000000000000004">
      <c r="A307" s="41" t="s">
        <v>1466</v>
      </c>
      <c r="B307" s="41" t="s">
        <v>35</v>
      </c>
      <c r="C307" s="41" t="s">
        <v>10</v>
      </c>
      <c r="D307" s="41" t="s">
        <v>1458</v>
      </c>
      <c r="E307" s="41" t="s">
        <v>1448</v>
      </c>
      <c r="F307" s="41" t="s">
        <v>2079</v>
      </c>
      <c r="G307" s="41" t="s">
        <v>11</v>
      </c>
      <c r="H307" s="41" t="s">
        <v>1774</v>
      </c>
      <c r="I307" s="64"/>
      <c r="J307" s="64"/>
      <c r="K307" s="41" t="str">
        <f>IFERROR(VLOOKUP(L307,'Raw material list'!$A$3:$C$715,3,0),"")</f>
        <v>TAP-00001</v>
      </c>
      <c r="L307" s="64" t="s">
        <v>1405</v>
      </c>
      <c r="M307" s="65" t="s">
        <v>206</v>
      </c>
      <c r="N307" s="40" t="str">
        <f>VLOOKUP(L307,'Raw material list'!$A$3:$E$715,5,0)</f>
        <v>Ml</v>
      </c>
      <c r="O307" s="40">
        <v>1800</v>
      </c>
      <c r="P307" s="299">
        <f t="shared" si="16"/>
        <v>1800</v>
      </c>
      <c r="Q307" s="40">
        <v>100</v>
      </c>
      <c r="R307" s="40">
        <v>10</v>
      </c>
      <c r="S307" s="40"/>
      <c r="T307" s="105">
        <f t="shared" si="17"/>
        <v>180</v>
      </c>
      <c r="U307" s="105">
        <f t="shared" si="18"/>
        <v>180</v>
      </c>
      <c r="V307" s="104">
        <f>IFERROR(VLOOKUP(L307,'Raw material list'!$A$2:$S$3102,6,0),0)</f>
        <v>8.0000000000000007E-5</v>
      </c>
      <c r="W307" s="104">
        <f t="shared" si="19"/>
        <v>1.4400000000000001E-2</v>
      </c>
    </row>
    <row r="308" spans="1:23" hidden="1" x14ac:dyDescent="0.55000000000000004">
      <c r="A308" s="41" t="s">
        <v>1466</v>
      </c>
      <c r="B308" s="41" t="s">
        <v>35</v>
      </c>
      <c r="C308" s="41" t="s">
        <v>10</v>
      </c>
      <c r="D308" s="41" t="s">
        <v>1458</v>
      </c>
      <c r="E308" s="41" t="s">
        <v>1448</v>
      </c>
      <c r="F308" s="41" t="s">
        <v>2079</v>
      </c>
      <c r="G308" s="41" t="s">
        <v>11</v>
      </c>
      <c r="H308" s="41" t="s">
        <v>1774</v>
      </c>
      <c r="I308" s="41"/>
      <c r="J308" s="41"/>
      <c r="K308" s="41" t="str">
        <f>IFERROR(VLOOKUP(L308,'Raw material list'!$A$3:$C$715,3,0),"")</f>
        <v>PRD1-239</v>
      </c>
      <c r="L308" s="41" t="s">
        <v>1056</v>
      </c>
      <c r="M308" s="40" t="s">
        <v>156</v>
      </c>
      <c r="N308" s="40" t="str">
        <f>VLOOKUP(L308,'Raw material list'!$A$3:$E$715,5,0)</f>
        <v xml:space="preserve">Gram </v>
      </c>
      <c r="O308" s="40">
        <v>100</v>
      </c>
      <c r="P308" s="299">
        <f t="shared" si="16"/>
        <v>148.51485148514854</v>
      </c>
      <c r="Q308" s="105">
        <v>67.333333333333329</v>
      </c>
      <c r="R308" s="40">
        <v>10</v>
      </c>
      <c r="S308" s="40"/>
      <c r="T308" s="105">
        <f t="shared" si="17"/>
        <v>10</v>
      </c>
      <c r="U308" s="105">
        <f t="shared" si="18"/>
        <v>14.851485148514854</v>
      </c>
      <c r="V308" s="104">
        <f>IFERROR(VLOOKUP(L308,'Raw material list'!$A$2:$S$3102,6,0),0)</f>
        <v>6.6864784546805346E-3</v>
      </c>
      <c r="W308" s="104">
        <f t="shared" si="19"/>
        <v>9.9304135465552515E-2</v>
      </c>
    </row>
    <row r="309" spans="1:23" hidden="1" x14ac:dyDescent="0.55000000000000004">
      <c r="A309" s="41" t="s">
        <v>1466</v>
      </c>
      <c r="B309" s="41" t="s">
        <v>35</v>
      </c>
      <c r="C309" s="41" t="s">
        <v>10</v>
      </c>
      <c r="D309" s="41" t="s">
        <v>1458</v>
      </c>
      <c r="E309" s="41" t="s">
        <v>1448</v>
      </c>
      <c r="F309" s="41" t="s">
        <v>2079</v>
      </c>
      <c r="G309" s="41" t="s">
        <v>11</v>
      </c>
      <c r="H309" s="41" t="s">
        <v>1774</v>
      </c>
      <c r="I309" s="41"/>
      <c r="J309" s="41"/>
      <c r="K309" s="41" t="str">
        <f>IFERROR(VLOOKUP(L309,'Raw material list'!$A$3:$C$715,3,0),"")</f>
        <v>PRD1-241</v>
      </c>
      <c r="L309" s="41" t="s">
        <v>1059</v>
      </c>
      <c r="M309" s="40" t="s">
        <v>156</v>
      </c>
      <c r="N309" s="40" t="str">
        <f>VLOOKUP(L309,'Raw material list'!$A$3:$E$715,5,0)</f>
        <v xml:space="preserve">Gram </v>
      </c>
      <c r="O309" s="40">
        <v>100</v>
      </c>
      <c r="P309" s="299">
        <f t="shared" si="16"/>
        <v>146.55593551538837</v>
      </c>
      <c r="Q309" s="105">
        <v>68.233333333333334</v>
      </c>
      <c r="R309" s="40">
        <v>10</v>
      </c>
      <c r="S309" s="40"/>
      <c r="T309" s="105">
        <f t="shared" si="17"/>
        <v>10</v>
      </c>
      <c r="U309" s="105">
        <f t="shared" si="18"/>
        <v>14.655593551538837</v>
      </c>
      <c r="V309" s="104">
        <f>IFERROR(VLOOKUP(L309,'Raw material list'!$A$2:$S$3102,6,0),0)</f>
        <v>1.3196480938416421E-2</v>
      </c>
      <c r="W309" s="104">
        <f t="shared" si="19"/>
        <v>0.19340226094406088</v>
      </c>
    </row>
    <row r="310" spans="1:23" hidden="1" x14ac:dyDescent="0.55000000000000004">
      <c r="A310" s="41" t="s">
        <v>1466</v>
      </c>
      <c r="B310" s="41" t="s">
        <v>35</v>
      </c>
      <c r="C310" s="41" t="s">
        <v>10</v>
      </c>
      <c r="D310" s="41" t="s">
        <v>1458</v>
      </c>
      <c r="E310" s="41" t="s">
        <v>1448</v>
      </c>
      <c r="F310" s="41" t="s">
        <v>2079</v>
      </c>
      <c r="G310" s="41" t="s">
        <v>11</v>
      </c>
      <c r="H310" s="41" t="s">
        <v>1774</v>
      </c>
      <c r="I310" s="41"/>
      <c r="J310" s="41"/>
      <c r="K310" s="41" t="str">
        <f>IFERROR(VLOOKUP(L310,'Raw material list'!$A$3:$C$715,3,0),"")</f>
        <v>PRD1-4265</v>
      </c>
      <c r="L310" s="41" t="s">
        <v>38</v>
      </c>
      <c r="M310" s="40" t="s">
        <v>156</v>
      </c>
      <c r="N310" s="40" t="str">
        <f>VLOOKUP(L310,'Raw material list'!$A$3:$E$715,5,0)</f>
        <v xml:space="preserve">Gram </v>
      </c>
      <c r="O310" s="40">
        <v>200</v>
      </c>
      <c r="P310" s="299">
        <f t="shared" si="16"/>
        <v>235.29411764705884</v>
      </c>
      <c r="Q310" s="105">
        <v>85</v>
      </c>
      <c r="R310" s="40">
        <v>10</v>
      </c>
      <c r="S310" s="40"/>
      <c r="T310" s="105">
        <f t="shared" si="17"/>
        <v>20</v>
      </c>
      <c r="U310" s="105">
        <f t="shared" si="18"/>
        <v>23.529411764705884</v>
      </c>
      <c r="V310" s="104">
        <f>IFERROR(VLOOKUP(L310,'Raw material list'!$A$2:$S$3102,6,0),0)</f>
        <v>3.529411764705882E-3</v>
      </c>
      <c r="W310" s="104">
        <f t="shared" si="19"/>
        <v>8.3044982698961933E-2</v>
      </c>
    </row>
    <row r="311" spans="1:23" hidden="1" x14ac:dyDescent="0.55000000000000004">
      <c r="A311" s="41" t="s">
        <v>1468</v>
      </c>
      <c r="B311" s="41" t="s">
        <v>35</v>
      </c>
      <c r="C311" s="41" t="s">
        <v>10</v>
      </c>
      <c r="D311" s="41" t="s">
        <v>1469</v>
      </c>
      <c r="E311" s="41" t="s">
        <v>1467</v>
      </c>
      <c r="F311" s="41" t="s">
        <v>2081</v>
      </c>
      <c r="G311" s="41" t="s">
        <v>11</v>
      </c>
      <c r="H311" s="41" t="s">
        <v>1773</v>
      </c>
      <c r="I311" s="41"/>
      <c r="J311" s="41"/>
      <c r="K311" s="41" t="str">
        <f>IFERROR(VLOOKUP(L311,'Raw material list'!$A$3:$C$715,3,0),"")</f>
        <v>MET2-585</v>
      </c>
      <c r="L311" s="41" t="s">
        <v>53</v>
      </c>
      <c r="M311" s="40" t="s">
        <v>156</v>
      </c>
      <c r="N311" s="40" t="str">
        <f>VLOOKUP(L311,'Raw material list'!$A$3:$E$715,5,0)</f>
        <v xml:space="preserve">Gram </v>
      </c>
      <c r="O311" s="40">
        <v>700</v>
      </c>
      <c r="P311" s="299">
        <f t="shared" si="16"/>
        <v>808.31408775981527</v>
      </c>
      <c r="Q311" s="300">
        <v>86.6</v>
      </c>
      <c r="R311" s="40">
        <v>10</v>
      </c>
      <c r="S311" s="40"/>
      <c r="T311" s="105">
        <f t="shared" si="17"/>
        <v>70</v>
      </c>
      <c r="U311" s="105">
        <f t="shared" si="18"/>
        <v>80.831408775981529</v>
      </c>
      <c r="V311" s="104">
        <f>IFERROR(VLOOKUP(L311,'Raw material list'!$A$2:$S$3102,6,0),0)</f>
        <v>4.2630057803468215E-2</v>
      </c>
      <c r="W311" s="104">
        <f t="shared" si="19"/>
        <v>3.4458476284558603</v>
      </c>
    </row>
    <row r="312" spans="1:23" hidden="1" x14ac:dyDescent="0.55000000000000004">
      <c r="A312" s="41" t="s">
        <v>1468</v>
      </c>
      <c r="B312" s="41" t="s">
        <v>35</v>
      </c>
      <c r="C312" s="41" t="s">
        <v>10</v>
      </c>
      <c r="D312" s="41" t="s">
        <v>1469</v>
      </c>
      <c r="E312" s="41" t="s">
        <v>1467</v>
      </c>
      <c r="F312" s="41" t="s">
        <v>2079</v>
      </c>
      <c r="G312" s="41" t="s">
        <v>11</v>
      </c>
      <c r="H312" s="41" t="s">
        <v>1773</v>
      </c>
      <c r="I312" s="41"/>
      <c r="J312" s="41"/>
      <c r="K312" s="41" t="str">
        <f>IFERROR(VLOOKUP(L312,'Raw material list'!$A$3:$C$715,3,0),"")</f>
        <v>DRS1-58</v>
      </c>
      <c r="L312" s="41" t="s">
        <v>779</v>
      </c>
      <c r="M312" s="40" t="s">
        <v>156</v>
      </c>
      <c r="N312" s="40" t="str">
        <f>VLOOKUP(L312,'Raw material list'!$A$3:$E$715,5,0)</f>
        <v xml:space="preserve">Gram </v>
      </c>
      <c r="O312" s="40">
        <v>80</v>
      </c>
      <c r="P312" s="299">
        <f t="shared" si="16"/>
        <v>80</v>
      </c>
      <c r="Q312" s="40">
        <v>100</v>
      </c>
      <c r="R312" s="40">
        <v>10</v>
      </c>
      <c r="S312" s="40"/>
      <c r="T312" s="105">
        <f t="shared" si="17"/>
        <v>8</v>
      </c>
      <c r="U312" s="105">
        <f t="shared" si="18"/>
        <v>8</v>
      </c>
      <c r="V312" s="104">
        <f>IFERROR(VLOOKUP(L312,'Raw material list'!$A$2:$S$3102,6,0),0)</f>
        <v>6.4814814814814813E-3</v>
      </c>
      <c r="W312" s="104">
        <f t="shared" si="19"/>
        <v>5.185185185185185E-2</v>
      </c>
    </row>
    <row r="313" spans="1:23" hidden="1" x14ac:dyDescent="0.55000000000000004">
      <c r="A313" s="41" t="s">
        <v>1468</v>
      </c>
      <c r="B313" s="41" t="s">
        <v>35</v>
      </c>
      <c r="C313" s="41" t="s">
        <v>10</v>
      </c>
      <c r="D313" s="41" t="s">
        <v>1469</v>
      </c>
      <c r="E313" s="41" t="s">
        <v>1467</v>
      </c>
      <c r="F313" s="41" t="s">
        <v>2079</v>
      </c>
      <c r="G313" s="41" t="s">
        <v>11</v>
      </c>
      <c r="H313" s="41" t="s">
        <v>1773</v>
      </c>
      <c r="I313" s="41"/>
      <c r="J313" s="41"/>
      <c r="K313" s="41" t="str">
        <f>IFERROR(VLOOKUP(L313,'Raw material list'!$A$3:$C$715,3,0),"")</f>
        <v>PRD1-572</v>
      </c>
      <c r="L313" s="41" t="s">
        <v>54</v>
      </c>
      <c r="M313" s="40" t="s">
        <v>156</v>
      </c>
      <c r="N313" s="40" t="str">
        <f>VLOOKUP(L313,'Raw material list'!$A$3:$E$715,5,0)</f>
        <v xml:space="preserve">Gram </v>
      </c>
      <c r="O313" s="40">
        <v>300</v>
      </c>
      <c r="P313" s="299">
        <f t="shared" si="16"/>
        <v>340.00755572346043</v>
      </c>
      <c r="Q313" s="105">
        <v>88.233333333333348</v>
      </c>
      <c r="R313" s="40">
        <v>10</v>
      </c>
      <c r="S313" s="40"/>
      <c r="T313" s="105">
        <f t="shared" si="17"/>
        <v>30</v>
      </c>
      <c r="U313" s="105">
        <f t="shared" si="18"/>
        <v>34.000755572346044</v>
      </c>
      <c r="V313" s="104">
        <f>IFERROR(VLOOKUP(L313,'Raw material list'!$A$2:$S$3102,6,0),0)</f>
        <v>4.5351473922902496E-3</v>
      </c>
      <c r="W313" s="104">
        <f t="shared" si="19"/>
        <v>0.15419843796982333</v>
      </c>
    </row>
    <row r="314" spans="1:23" hidden="1" x14ac:dyDescent="0.55000000000000004">
      <c r="A314" s="41" t="s">
        <v>1468</v>
      </c>
      <c r="B314" s="41" t="s">
        <v>35</v>
      </c>
      <c r="C314" s="41" t="s">
        <v>10</v>
      </c>
      <c r="D314" s="41" t="s">
        <v>1469</v>
      </c>
      <c r="E314" s="41" t="s">
        <v>1467</v>
      </c>
      <c r="F314" s="41" t="s">
        <v>2079</v>
      </c>
      <c r="G314" s="41" t="s">
        <v>11</v>
      </c>
      <c r="H314" s="41" t="s">
        <v>1773</v>
      </c>
      <c r="I314" s="41"/>
      <c r="J314" s="41"/>
      <c r="K314" s="41" t="str">
        <f>IFERROR(VLOOKUP(L314,'Raw material list'!$A$3:$C$715,3,0),"")</f>
        <v>BKR1-4332</v>
      </c>
      <c r="L314" s="41" t="s">
        <v>159</v>
      </c>
      <c r="M314" s="40" t="s">
        <v>48</v>
      </c>
      <c r="N314" s="40" t="str">
        <f>VLOOKUP(L314,'Raw material list'!$A$3:$E$715,5,0)</f>
        <v>Each</v>
      </c>
      <c r="O314" s="40">
        <v>10</v>
      </c>
      <c r="P314" s="299">
        <f t="shared" si="16"/>
        <v>10</v>
      </c>
      <c r="Q314" s="300">
        <v>100</v>
      </c>
      <c r="R314" s="40">
        <v>10</v>
      </c>
      <c r="S314" s="40"/>
      <c r="T314" s="105">
        <f t="shared" si="17"/>
        <v>1</v>
      </c>
      <c r="U314" s="105">
        <f t="shared" si="18"/>
        <v>1</v>
      </c>
      <c r="V314" s="104">
        <f>IFERROR(VLOOKUP(L314,'Raw material list'!$A$2:$S$3102,6,0),0)</f>
        <v>0.55833333333333335</v>
      </c>
      <c r="W314" s="104">
        <f t="shared" si="19"/>
        <v>0.55833333333333335</v>
      </c>
    </row>
    <row r="315" spans="1:23" hidden="1" x14ac:dyDescent="0.55000000000000004">
      <c r="A315" s="41" t="s">
        <v>1468</v>
      </c>
      <c r="B315" s="41" t="s">
        <v>35</v>
      </c>
      <c r="C315" s="41" t="s">
        <v>10</v>
      </c>
      <c r="D315" s="41" t="s">
        <v>1469</v>
      </c>
      <c r="E315" s="41" t="s">
        <v>1467</v>
      </c>
      <c r="F315" s="41" t="s">
        <v>2079</v>
      </c>
      <c r="G315" s="41" t="s">
        <v>11</v>
      </c>
      <c r="H315" s="41" t="s">
        <v>1773</v>
      </c>
      <c r="I315" s="41"/>
      <c r="J315" s="41"/>
      <c r="K315" s="41" t="str">
        <f>IFERROR(VLOOKUP(L315,'Raw material list'!$A$3:$C$715,3,0),"")</f>
        <v>DRY1-3344</v>
      </c>
      <c r="L315" s="41" t="s">
        <v>102</v>
      </c>
      <c r="M315" s="40" t="s">
        <v>156</v>
      </c>
      <c r="N315" s="40" t="str">
        <f>VLOOKUP(L315,'Raw material list'!$A$3:$E$715,5,0)</f>
        <v xml:space="preserve">Gram </v>
      </c>
      <c r="O315" s="40">
        <v>100</v>
      </c>
      <c r="P315" s="299">
        <f t="shared" si="16"/>
        <v>100</v>
      </c>
      <c r="Q315" s="40">
        <v>100</v>
      </c>
      <c r="R315" s="40">
        <v>10</v>
      </c>
      <c r="S315" s="40"/>
      <c r="T315" s="105">
        <f t="shared" si="17"/>
        <v>10</v>
      </c>
      <c r="U315" s="105">
        <f t="shared" si="18"/>
        <v>10</v>
      </c>
      <c r="V315" s="104">
        <f>IFERROR(VLOOKUP(L315,'Raw material list'!$A$2:$S$3102,6,0),0)</f>
        <v>2.3E-2</v>
      </c>
      <c r="W315" s="104">
        <f t="shared" si="19"/>
        <v>0.22999999999999998</v>
      </c>
    </row>
    <row r="316" spans="1:23" hidden="1" x14ac:dyDescent="0.55000000000000004">
      <c r="A316" s="41" t="s">
        <v>1468</v>
      </c>
      <c r="B316" s="41" t="s">
        <v>35</v>
      </c>
      <c r="C316" s="41" t="s">
        <v>10</v>
      </c>
      <c r="D316" s="41" t="s">
        <v>1469</v>
      </c>
      <c r="E316" s="41" t="s">
        <v>1467</v>
      </c>
      <c r="F316" s="41" t="s">
        <v>2079</v>
      </c>
      <c r="G316" s="41" t="s">
        <v>11</v>
      </c>
      <c r="H316" s="41" t="s">
        <v>1773</v>
      </c>
      <c r="I316" s="41"/>
      <c r="J316" s="41"/>
      <c r="K316" s="41" t="str">
        <f>IFERROR(VLOOKUP(L316,'Raw material list'!$A$3:$C$715,3,0),"")</f>
        <v>TAP-00001</v>
      </c>
      <c r="L316" s="41" t="s">
        <v>1405</v>
      </c>
      <c r="M316" s="40" t="s">
        <v>206</v>
      </c>
      <c r="N316" s="40" t="str">
        <f>VLOOKUP(L316,'Raw material list'!$A$3:$E$715,5,0)</f>
        <v>Ml</v>
      </c>
      <c r="O316" s="40">
        <v>750</v>
      </c>
      <c r="P316" s="299">
        <f t="shared" si="16"/>
        <v>750</v>
      </c>
      <c r="Q316" s="40">
        <v>100</v>
      </c>
      <c r="R316" s="40">
        <v>10</v>
      </c>
      <c r="S316" s="40"/>
      <c r="T316" s="105">
        <f t="shared" si="17"/>
        <v>75</v>
      </c>
      <c r="U316" s="105">
        <f t="shared" si="18"/>
        <v>75</v>
      </c>
      <c r="V316" s="104">
        <f>IFERROR(VLOOKUP(L316,'Raw material list'!$A$2:$S$3102,6,0),0)</f>
        <v>8.0000000000000007E-5</v>
      </c>
      <c r="W316" s="104">
        <f t="shared" si="19"/>
        <v>6.0000000000000001E-3</v>
      </c>
    </row>
    <row r="317" spans="1:23" hidden="1" x14ac:dyDescent="0.55000000000000004">
      <c r="A317" s="41" t="s">
        <v>1468</v>
      </c>
      <c r="B317" s="41" t="s">
        <v>35</v>
      </c>
      <c r="C317" s="41" t="s">
        <v>10</v>
      </c>
      <c r="D317" s="41" t="s">
        <v>1469</v>
      </c>
      <c r="E317" s="41" t="s">
        <v>1467</v>
      </c>
      <c r="F317" s="41" t="s">
        <v>2079</v>
      </c>
      <c r="G317" s="41" t="s">
        <v>11</v>
      </c>
      <c r="H317" s="41" t="s">
        <v>1773</v>
      </c>
      <c r="I317" s="41"/>
      <c r="J317" s="41"/>
      <c r="K317" s="41" t="str">
        <f>IFERROR(VLOOKUP(L317,'Raw material list'!$A$3:$C$715,3,0),"")</f>
        <v>PRD2-1166</v>
      </c>
      <c r="L317" s="41" t="s">
        <v>1470</v>
      </c>
      <c r="M317" s="40" t="s">
        <v>156</v>
      </c>
      <c r="N317" s="40" t="str">
        <f>VLOOKUP(L317,'Raw material list'!$A$3:$E$715,5,0)</f>
        <v xml:space="preserve">Gram </v>
      </c>
      <c r="O317" s="40">
        <v>300</v>
      </c>
      <c r="P317" s="299">
        <f t="shared" si="16"/>
        <v>300</v>
      </c>
      <c r="Q317" s="40">
        <v>100</v>
      </c>
      <c r="R317" s="40">
        <v>10</v>
      </c>
      <c r="S317" s="40"/>
      <c r="T317" s="105">
        <f t="shared" si="17"/>
        <v>30</v>
      </c>
      <c r="U317" s="105">
        <f t="shared" si="18"/>
        <v>30</v>
      </c>
      <c r="V317" s="104">
        <f>IFERROR(VLOOKUP(L317,'Raw material list'!$A$2:$S$3102,6,0),0)</f>
        <v>1.0500000000000001E-2</v>
      </c>
      <c r="W317" s="104">
        <f t="shared" si="19"/>
        <v>0.315</v>
      </c>
    </row>
    <row r="318" spans="1:23" hidden="1" x14ac:dyDescent="0.55000000000000004">
      <c r="A318" s="41" t="s">
        <v>1468</v>
      </c>
      <c r="B318" s="41" t="s">
        <v>35</v>
      </c>
      <c r="C318" s="41" t="s">
        <v>10</v>
      </c>
      <c r="D318" s="41" t="s">
        <v>1469</v>
      </c>
      <c r="E318" s="41" t="s">
        <v>1467</v>
      </c>
      <c r="F318" s="41" t="s">
        <v>2081</v>
      </c>
      <c r="G318" s="41" t="s">
        <v>11</v>
      </c>
      <c r="H318" s="41" t="s">
        <v>1773</v>
      </c>
      <c r="I318" s="41"/>
      <c r="J318" s="41"/>
      <c r="K318" s="41" t="str">
        <f>IFERROR(VLOOKUP(L318,'Raw material list'!$A$3:$C$715,3,0),"")</f>
        <v>MET2-3808</v>
      </c>
      <c r="L318" s="41" t="s">
        <v>887</v>
      </c>
      <c r="M318" s="40" t="s">
        <v>156</v>
      </c>
      <c r="N318" s="40" t="str">
        <f>VLOOKUP(L318,'Raw material list'!$A$3:$E$715,5,0)</f>
        <v xml:space="preserve">Gram </v>
      </c>
      <c r="O318" s="40">
        <v>300</v>
      </c>
      <c r="P318" s="299">
        <f t="shared" si="16"/>
        <v>300</v>
      </c>
      <c r="Q318" s="40">
        <v>100</v>
      </c>
      <c r="R318" s="40">
        <v>10</v>
      </c>
      <c r="S318" s="40"/>
      <c r="T318" s="105">
        <f t="shared" si="17"/>
        <v>30</v>
      </c>
      <c r="U318" s="105">
        <f t="shared" si="18"/>
        <v>30</v>
      </c>
      <c r="V318" s="104">
        <f>IFERROR(VLOOKUP(L318,'Raw material list'!$A$2:$S$3102,6,0),0)</f>
        <v>4.2000000000000003E-2</v>
      </c>
      <c r="W318" s="104">
        <f t="shared" si="19"/>
        <v>1.26</v>
      </c>
    </row>
    <row r="319" spans="1:23" hidden="1" x14ac:dyDescent="0.55000000000000004">
      <c r="A319" s="41" t="s">
        <v>1468</v>
      </c>
      <c r="B319" s="41" t="s">
        <v>35</v>
      </c>
      <c r="C319" s="41" t="s">
        <v>10</v>
      </c>
      <c r="D319" s="41" t="s">
        <v>1469</v>
      </c>
      <c r="E319" s="41" t="s">
        <v>1467</v>
      </c>
      <c r="F319" s="41" t="s">
        <v>2079</v>
      </c>
      <c r="G319" s="41" t="s">
        <v>11</v>
      </c>
      <c r="H319" s="41" t="s">
        <v>1773</v>
      </c>
      <c r="I319" s="41"/>
      <c r="J319" s="41"/>
      <c r="K319" s="41" t="str">
        <f>IFERROR(VLOOKUP(L319,'Raw material list'!$A$3:$C$715,3,0),"")</f>
        <v>DRS1-3880</v>
      </c>
      <c r="L319" s="41" t="s">
        <v>1433</v>
      </c>
      <c r="M319" s="40" t="s">
        <v>156</v>
      </c>
      <c r="N319" s="40" t="str">
        <f>VLOOKUP(L319,'Raw material list'!$A$3:$E$715,5,0)</f>
        <v xml:space="preserve">Gram </v>
      </c>
      <c r="O319" s="40">
        <v>7</v>
      </c>
      <c r="P319" s="299">
        <f t="shared" si="16"/>
        <v>7.0000000000000009</v>
      </c>
      <c r="Q319" s="40">
        <v>100</v>
      </c>
      <c r="R319" s="40">
        <v>10</v>
      </c>
      <c r="S319" s="40"/>
      <c r="T319" s="105">
        <f t="shared" si="17"/>
        <v>0.7</v>
      </c>
      <c r="U319" s="105">
        <f t="shared" si="18"/>
        <v>0.70000000000000007</v>
      </c>
      <c r="V319" s="104">
        <f>IFERROR(VLOOKUP(L319,'Raw material list'!$A$2:$S$3102,6,0),0)</f>
        <v>5.0000000000000001E-4</v>
      </c>
      <c r="W319" s="104">
        <f t="shared" si="19"/>
        <v>3.5000000000000005E-4</v>
      </c>
    </row>
    <row r="320" spans="1:23" hidden="1" x14ac:dyDescent="0.55000000000000004">
      <c r="A320" s="41" t="s">
        <v>1468</v>
      </c>
      <c r="B320" s="41" t="s">
        <v>35</v>
      </c>
      <c r="C320" s="41" t="s">
        <v>10</v>
      </c>
      <c r="D320" s="41" t="s">
        <v>1469</v>
      </c>
      <c r="E320" s="41" t="s">
        <v>1467</v>
      </c>
      <c r="F320" s="41" t="s">
        <v>2079</v>
      </c>
      <c r="G320" s="41" t="s">
        <v>11</v>
      </c>
      <c r="H320" s="41" t="s">
        <v>1773</v>
      </c>
      <c r="I320" s="41"/>
      <c r="J320" s="41"/>
      <c r="K320" s="41" t="str">
        <f>IFERROR(VLOOKUP(L320,'Raw material list'!$A$3:$C$715,3,0),"")</f>
        <v>DRS1-446</v>
      </c>
      <c r="L320" s="41" t="s">
        <v>52</v>
      </c>
      <c r="M320" s="40" t="s">
        <v>156</v>
      </c>
      <c r="N320" s="40" t="str">
        <f>VLOOKUP(L320,'Raw material list'!$A$3:$E$715,5,0)</f>
        <v xml:space="preserve">Gram </v>
      </c>
      <c r="O320" s="40">
        <v>20</v>
      </c>
      <c r="P320" s="299">
        <f t="shared" si="16"/>
        <v>20</v>
      </c>
      <c r="Q320" s="40">
        <v>100</v>
      </c>
      <c r="R320" s="40">
        <v>10</v>
      </c>
      <c r="S320" s="40"/>
      <c r="T320" s="105">
        <f t="shared" si="17"/>
        <v>2</v>
      </c>
      <c r="U320" s="105">
        <f t="shared" si="18"/>
        <v>2</v>
      </c>
      <c r="V320" s="104">
        <f>IFERROR(VLOOKUP(L320,'Raw material list'!$A$2:$S$3102,6,0),0)</f>
        <v>1.2986807387862797E-2</v>
      </c>
      <c r="W320" s="104">
        <f t="shared" si="19"/>
        <v>2.5973614775725594E-2</v>
      </c>
    </row>
    <row r="321" spans="1:23" hidden="1" x14ac:dyDescent="0.55000000000000004">
      <c r="A321" s="41" t="s">
        <v>1468</v>
      </c>
      <c r="B321" s="41" t="s">
        <v>35</v>
      </c>
      <c r="C321" s="41" t="s">
        <v>10</v>
      </c>
      <c r="D321" s="41" t="s">
        <v>1469</v>
      </c>
      <c r="E321" s="41" t="s">
        <v>1467</v>
      </c>
      <c r="F321" s="41" t="s">
        <v>2079</v>
      </c>
      <c r="G321" s="41" t="s">
        <v>11</v>
      </c>
      <c r="H321" s="41" t="s">
        <v>1773</v>
      </c>
      <c r="I321" s="41"/>
      <c r="J321" s="41"/>
      <c r="K321" s="41" t="str">
        <f>IFERROR(VLOOKUP(L321,'Raw material list'!$A$3:$C$715,3,0),"")</f>
        <v>PRD1-4265</v>
      </c>
      <c r="L321" s="41" t="s">
        <v>38</v>
      </c>
      <c r="M321" s="40" t="s">
        <v>156</v>
      </c>
      <c r="N321" s="40" t="str">
        <f>VLOOKUP(L321,'Raw material list'!$A$3:$E$715,5,0)</f>
        <v xml:space="preserve">Gram </v>
      </c>
      <c r="O321" s="40">
        <v>75</v>
      </c>
      <c r="P321" s="299">
        <f t="shared" si="16"/>
        <v>88.235294117647058</v>
      </c>
      <c r="Q321" s="105">
        <v>85</v>
      </c>
      <c r="R321" s="40">
        <v>10</v>
      </c>
      <c r="S321" s="40"/>
      <c r="T321" s="105">
        <f t="shared" si="17"/>
        <v>7.5</v>
      </c>
      <c r="U321" s="105">
        <f t="shared" si="18"/>
        <v>8.8235294117647065</v>
      </c>
      <c r="V321" s="104">
        <f>IFERROR(VLOOKUP(L321,'Raw material list'!$A$2:$S$3102,6,0),0)</f>
        <v>3.529411764705882E-3</v>
      </c>
      <c r="W321" s="104">
        <f t="shared" si="19"/>
        <v>3.1141868512110725E-2</v>
      </c>
    </row>
    <row r="322" spans="1:23" hidden="1" x14ac:dyDescent="0.55000000000000004">
      <c r="A322" s="41" t="s">
        <v>1468</v>
      </c>
      <c r="B322" s="41" t="s">
        <v>35</v>
      </c>
      <c r="C322" s="41" t="s">
        <v>10</v>
      </c>
      <c r="D322" s="41" t="s">
        <v>1469</v>
      </c>
      <c r="E322" s="41" t="s">
        <v>1467</v>
      </c>
      <c r="F322" s="41" t="s">
        <v>2079</v>
      </c>
      <c r="G322" s="41" t="s">
        <v>11</v>
      </c>
      <c r="H322" s="41" t="s">
        <v>1773</v>
      </c>
      <c r="I322" s="41"/>
      <c r="J322" s="41"/>
      <c r="K322" s="41" t="str">
        <f>IFERROR(VLOOKUP(L322,'Raw material list'!$A$3:$C$715,3,0),"")</f>
        <v>PLT1-37</v>
      </c>
      <c r="L322" s="41" t="s">
        <v>861</v>
      </c>
      <c r="M322" s="40" t="s">
        <v>48</v>
      </c>
      <c r="N322" s="40" t="str">
        <f>VLOOKUP(L322,'Raw material list'!$A$3:$E$715,5,0)</f>
        <v>Each</v>
      </c>
      <c r="O322" s="40">
        <v>0.5</v>
      </c>
      <c r="P322" s="299">
        <f t="shared" si="16"/>
        <v>0.5</v>
      </c>
      <c r="Q322" s="300">
        <v>100</v>
      </c>
      <c r="R322" s="40">
        <v>10</v>
      </c>
      <c r="S322" s="40"/>
      <c r="T322" s="105">
        <f t="shared" si="17"/>
        <v>0.05</v>
      </c>
      <c r="U322" s="105">
        <f t="shared" si="18"/>
        <v>0.05</v>
      </c>
      <c r="V322" s="104">
        <f>IFERROR(VLOOKUP(L322,'Raw material list'!$A$2:$S$3102,6,0),0)</f>
        <v>0.48299999999999998</v>
      </c>
      <c r="W322" s="104">
        <f t="shared" si="19"/>
        <v>2.4150000000000001E-2</v>
      </c>
    </row>
    <row r="323" spans="1:23" hidden="1" x14ac:dyDescent="0.55000000000000004">
      <c r="A323" s="41" t="s">
        <v>1468</v>
      </c>
      <c r="B323" s="41" t="s">
        <v>35</v>
      </c>
      <c r="C323" s="41" t="s">
        <v>10</v>
      </c>
      <c r="D323" s="41" t="s">
        <v>1469</v>
      </c>
      <c r="E323" s="41" t="s">
        <v>1467</v>
      </c>
      <c r="F323" s="41" t="s">
        <v>2079</v>
      </c>
      <c r="G323" s="41" t="s">
        <v>11</v>
      </c>
      <c r="H323" s="41" t="s">
        <v>1773</v>
      </c>
      <c r="I323" s="41"/>
      <c r="J323" s="41"/>
      <c r="K323" s="41" t="str">
        <f>IFERROR(VLOOKUP(L323,'Raw material list'!$A$3:$C$715,3,0),"")</f>
        <v>DRS1-1549</v>
      </c>
      <c r="L323" s="41" t="s">
        <v>294</v>
      </c>
      <c r="M323" s="40" t="s">
        <v>156</v>
      </c>
      <c r="N323" s="40" t="str">
        <f>VLOOKUP(L323,'Raw material list'!$A$3:$E$715,5,0)</f>
        <v xml:space="preserve">Gram </v>
      </c>
      <c r="O323" s="40">
        <v>20</v>
      </c>
      <c r="P323" s="299">
        <f t="shared" si="16"/>
        <v>20</v>
      </c>
      <c r="Q323" s="40">
        <v>100</v>
      </c>
      <c r="R323" s="40">
        <v>10</v>
      </c>
      <c r="S323" s="40"/>
      <c r="T323" s="105">
        <f t="shared" si="17"/>
        <v>2</v>
      </c>
      <c r="U323" s="105">
        <f t="shared" si="18"/>
        <v>2</v>
      </c>
      <c r="V323" s="104">
        <f>IFERROR(VLOOKUP(L323,'Raw material list'!$A$2:$S$3102,6,0),0)</f>
        <v>7.5966850828729279E-3</v>
      </c>
      <c r="W323" s="104">
        <f t="shared" si="19"/>
        <v>1.5193370165745856E-2</v>
      </c>
    </row>
    <row r="324" spans="1:23" hidden="1" x14ac:dyDescent="0.55000000000000004">
      <c r="A324" s="41" t="s">
        <v>1468</v>
      </c>
      <c r="B324" s="41" t="s">
        <v>35</v>
      </c>
      <c r="C324" s="41" t="s">
        <v>10</v>
      </c>
      <c r="D324" s="41" t="s">
        <v>1469</v>
      </c>
      <c r="E324" s="41" t="s">
        <v>1467</v>
      </c>
      <c r="F324" s="41" t="s">
        <v>2079</v>
      </c>
      <c r="G324" s="41" t="s">
        <v>11</v>
      </c>
      <c r="H324" s="41" t="s">
        <v>1773</v>
      </c>
      <c r="I324" s="41"/>
      <c r="J324" s="41"/>
      <c r="K324" s="41" t="str">
        <f>IFERROR(VLOOKUP(L324,'Raw material list'!$A$3:$C$715,3,0),"")</f>
        <v>DRS5-40</v>
      </c>
      <c r="L324" s="41" t="s">
        <v>58</v>
      </c>
      <c r="M324" s="40" t="s">
        <v>156</v>
      </c>
      <c r="N324" s="40" t="str">
        <f>VLOOKUP(L324,'Raw material list'!$A$3:$E$715,5,0)</f>
        <v xml:space="preserve">Gram </v>
      </c>
      <c r="O324" s="40">
        <v>10</v>
      </c>
      <c r="P324" s="299">
        <f t="shared" si="16"/>
        <v>10</v>
      </c>
      <c r="Q324" s="40">
        <v>100</v>
      </c>
      <c r="R324" s="40">
        <v>10</v>
      </c>
      <c r="S324" s="40"/>
      <c r="T324" s="105">
        <f t="shared" si="17"/>
        <v>1</v>
      </c>
      <c r="U324" s="105">
        <f t="shared" si="18"/>
        <v>1</v>
      </c>
      <c r="V324" s="104">
        <f>IFERROR(VLOOKUP(L324,'Raw material list'!$A$2:$S$3102,6,0),0)</f>
        <v>7.7777777777777773E-4</v>
      </c>
      <c r="W324" s="104">
        <f t="shared" si="19"/>
        <v>7.7777777777777773E-4</v>
      </c>
    </row>
    <row r="325" spans="1:23" hidden="1" x14ac:dyDescent="0.55000000000000004">
      <c r="A325" s="41" t="s">
        <v>1468</v>
      </c>
      <c r="B325" s="41" t="s">
        <v>35</v>
      </c>
      <c r="C325" s="41" t="s">
        <v>10</v>
      </c>
      <c r="D325" s="41" t="s">
        <v>1469</v>
      </c>
      <c r="E325" s="41" t="s">
        <v>1467</v>
      </c>
      <c r="F325" s="41" t="s">
        <v>2079</v>
      </c>
      <c r="G325" s="41" t="s">
        <v>11</v>
      </c>
      <c r="H325" s="41" t="s">
        <v>1773</v>
      </c>
      <c r="I325" s="41"/>
      <c r="J325" s="41"/>
      <c r="K325" s="41" t="str">
        <f>IFERROR(VLOOKUP(L325,'Raw material list'!$A$3:$C$715,3,0),"")</f>
        <v>DRS3-1813</v>
      </c>
      <c r="L325" s="41" t="s">
        <v>69</v>
      </c>
      <c r="M325" s="40" t="s">
        <v>206</v>
      </c>
      <c r="N325" s="40" t="str">
        <f>VLOOKUP(L325,'Raw material list'!$A$3:$E$715,5,0)</f>
        <v>Ml</v>
      </c>
      <c r="O325" s="40">
        <v>300</v>
      </c>
      <c r="P325" s="299">
        <f t="shared" si="16"/>
        <v>300</v>
      </c>
      <c r="Q325" s="40">
        <v>100</v>
      </c>
      <c r="R325" s="40">
        <v>10</v>
      </c>
      <c r="S325" s="40"/>
      <c r="T325" s="105">
        <f t="shared" si="17"/>
        <v>30</v>
      </c>
      <c r="U325" s="105">
        <f t="shared" si="18"/>
        <v>30</v>
      </c>
      <c r="V325" s="104">
        <f>IFERROR(VLOOKUP(L325,'Raw material list'!$A$2:$S$3102,6,0),0)</f>
        <v>8.0555555555555554E-3</v>
      </c>
      <c r="W325" s="104">
        <f t="shared" si="19"/>
        <v>0.24166666666666667</v>
      </c>
    </row>
    <row r="326" spans="1:23" hidden="1" x14ac:dyDescent="0.55000000000000004">
      <c r="A326" s="41" t="s">
        <v>1478</v>
      </c>
      <c r="B326" s="41" t="s">
        <v>35</v>
      </c>
      <c r="C326" s="41" t="s">
        <v>10</v>
      </c>
      <c r="D326" s="41" t="s">
        <v>1471</v>
      </c>
      <c r="E326" s="41" t="s">
        <v>1467</v>
      </c>
      <c r="F326" s="41" t="s">
        <v>2081</v>
      </c>
      <c r="G326" s="41" t="s">
        <v>11</v>
      </c>
      <c r="H326" s="41" t="s">
        <v>1774</v>
      </c>
      <c r="I326" s="41"/>
      <c r="J326" s="41"/>
      <c r="K326" s="41" t="str">
        <f>IFERROR(VLOOKUP(L326,'Raw material list'!$A$3:$C$715,3,0),"")</f>
        <v>PLT2-3278</v>
      </c>
      <c r="L326" s="41" t="s">
        <v>80</v>
      </c>
      <c r="M326" s="40" t="s">
        <v>156</v>
      </c>
      <c r="N326" s="40" t="str">
        <f>VLOOKUP(L326,'Raw material list'!$A$3:$E$715,5,0)</f>
        <v xml:space="preserve">Gram </v>
      </c>
      <c r="O326" s="40">
        <v>1000</v>
      </c>
      <c r="P326" s="299">
        <f t="shared" ref="P326:P389" si="20">O326/Q326*100</f>
        <v>1312.3359580052493</v>
      </c>
      <c r="Q326" s="40">
        <v>76.2</v>
      </c>
      <c r="R326" s="40">
        <v>10</v>
      </c>
      <c r="S326" s="40"/>
      <c r="T326" s="105">
        <f t="shared" ref="T326:T389" si="21">IFERROR(O326/R326,0)</f>
        <v>100</v>
      </c>
      <c r="U326" s="105">
        <f t="shared" ref="U326:U389" si="22">IFERROR(P326/R326,0)</f>
        <v>131.23359580052494</v>
      </c>
      <c r="V326" s="104">
        <f>IFERROR(VLOOKUP(L326,'Raw material list'!$A$2:$S$3102,6,0),0)</f>
        <v>3.0357142857142853E-2</v>
      </c>
      <c r="W326" s="104">
        <f t="shared" ref="W326:W389" si="23">IFERROR(V326*U326,0)</f>
        <v>3.983877015373078</v>
      </c>
    </row>
    <row r="327" spans="1:23" hidden="1" x14ac:dyDescent="0.55000000000000004">
      <c r="A327" s="41" t="s">
        <v>1478</v>
      </c>
      <c r="B327" s="41" t="s">
        <v>35</v>
      </c>
      <c r="C327" s="41" t="s">
        <v>10</v>
      </c>
      <c r="D327" s="41" t="s">
        <v>1471</v>
      </c>
      <c r="E327" s="41" t="s">
        <v>1467</v>
      </c>
      <c r="F327" s="41" t="s">
        <v>2079</v>
      </c>
      <c r="G327" s="41" t="s">
        <v>11</v>
      </c>
      <c r="H327" s="41" t="s">
        <v>1774</v>
      </c>
      <c r="I327" s="41"/>
      <c r="J327" s="41"/>
      <c r="K327" s="41" t="str">
        <f>IFERROR(VLOOKUP(L327,'Raw material list'!$A$3:$C$715,3,0),"")</f>
        <v>DRS3-1813</v>
      </c>
      <c r="L327" s="41" t="s">
        <v>69</v>
      </c>
      <c r="M327" s="40" t="s">
        <v>206</v>
      </c>
      <c r="N327" s="40" t="str">
        <f>VLOOKUP(L327,'Raw material list'!$A$3:$E$715,5,0)</f>
        <v>Ml</v>
      </c>
      <c r="O327" s="40">
        <v>300</v>
      </c>
      <c r="P327" s="299">
        <f t="shared" si="20"/>
        <v>300</v>
      </c>
      <c r="Q327" s="40">
        <v>100</v>
      </c>
      <c r="R327" s="40">
        <v>10</v>
      </c>
      <c r="S327" s="40"/>
      <c r="T327" s="105">
        <f t="shared" si="21"/>
        <v>30</v>
      </c>
      <c r="U327" s="105">
        <f t="shared" si="22"/>
        <v>30</v>
      </c>
      <c r="V327" s="104">
        <f>IFERROR(VLOOKUP(L327,'Raw material list'!$A$2:$S$3102,6,0),0)</f>
        <v>8.0555555555555554E-3</v>
      </c>
      <c r="W327" s="104">
        <f t="shared" si="23"/>
        <v>0.24166666666666667</v>
      </c>
    </row>
    <row r="328" spans="1:23" hidden="1" x14ac:dyDescent="0.55000000000000004">
      <c r="A328" s="41" t="s">
        <v>1478</v>
      </c>
      <c r="B328" s="41" t="s">
        <v>35</v>
      </c>
      <c r="C328" s="41" t="s">
        <v>10</v>
      </c>
      <c r="D328" s="41" t="s">
        <v>1471</v>
      </c>
      <c r="E328" s="41" t="s">
        <v>1467</v>
      </c>
      <c r="F328" s="41" t="s">
        <v>2079</v>
      </c>
      <c r="G328" s="41" t="s">
        <v>11</v>
      </c>
      <c r="H328" s="41" t="s">
        <v>1774</v>
      </c>
      <c r="I328" s="41"/>
      <c r="J328" s="41"/>
      <c r="K328" s="41" t="str">
        <f>IFERROR(VLOOKUP(L328,'Raw material list'!$A$3:$C$715,3,0),"")</f>
        <v>PRD1-4265</v>
      </c>
      <c r="L328" s="41" t="s">
        <v>38</v>
      </c>
      <c r="M328" s="40" t="s">
        <v>156</v>
      </c>
      <c r="N328" s="40" t="str">
        <f>VLOOKUP(L328,'Raw material list'!$A$3:$E$715,5,0)</f>
        <v xml:space="preserve">Gram </v>
      </c>
      <c r="O328" s="40">
        <v>150</v>
      </c>
      <c r="P328" s="299">
        <f t="shared" si="20"/>
        <v>176.47058823529412</v>
      </c>
      <c r="Q328" s="105">
        <v>85</v>
      </c>
      <c r="R328" s="40">
        <v>10</v>
      </c>
      <c r="S328" s="40"/>
      <c r="T328" s="105">
        <f t="shared" si="21"/>
        <v>15</v>
      </c>
      <c r="U328" s="105">
        <f t="shared" si="22"/>
        <v>17.647058823529413</v>
      </c>
      <c r="V328" s="104">
        <f>IFERROR(VLOOKUP(L328,'Raw material list'!$A$2:$S$3102,6,0),0)</f>
        <v>3.529411764705882E-3</v>
      </c>
      <c r="W328" s="104">
        <f t="shared" si="23"/>
        <v>6.228373702422145E-2</v>
      </c>
    </row>
    <row r="329" spans="1:23" hidden="1" x14ac:dyDescent="0.55000000000000004">
      <c r="A329" s="41" t="s">
        <v>1478</v>
      </c>
      <c r="B329" s="41" t="s">
        <v>35</v>
      </c>
      <c r="C329" s="41" t="s">
        <v>10</v>
      </c>
      <c r="D329" s="41" t="s">
        <v>1471</v>
      </c>
      <c r="E329" s="41" t="s">
        <v>1467</v>
      </c>
      <c r="F329" s="41" t="s">
        <v>2079</v>
      </c>
      <c r="G329" s="41" t="s">
        <v>11</v>
      </c>
      <c r="H329" s="41" t="s">
        <v>1774</v>
      </c>
      <c r="I329" s="41"/>
      <c r="J329" s="41"/>
      <c r="K329" s="41" t="str">
        <f>IFERROR(VLOOKUP(L329,'Raw material list'!$A$3:$C$715,3,0),"")</f>
        <v>PRD1-204</v>
      </c>
      <c r="L329" s="41" t="s">
        <v>81</v>
      </c>
      <c r="M329" s="40" t="s">
        <v>156</v>
      </c>
      <c r="N329" s="40" t="str">
        <f>VLOOKUP(L329,'Raw material list'!$A$3:$E$715,5,0)</f>
        <v xml:space="preserve">Gram </v>
      </c>
      <c r="O329" s="40">
        <v>20</v>
      </c>
      <c r="P329" s="299">
        <f t="shared" si="20"/>
        <v>24.096385542168676</v>
      </c>
      <c r="Q329" s="105">
        <v>83</v>
      </c>
      <c r="R329" s="40">
        <v>10</v>
      </c>
      <c r="S329" s="40"/>
      <c r="T329" s="105">
        <f t="shared" si="21"/>
        <v>2</v>
      </c>
      <c r="U329" s="105">
        <f t="shared" si="22"/>
        <v>2.4096385542168677</v>
      </c>
      <c r="V329" s="104">
        <f>IFERROR(VLOOKUP(L329,'Raw material list'!$A$2:$S$3102,6,0),0)</f>
        <v>8.4337349397590362E-3</v>
      </c>
      <c r="W329" s="104">
        <f t="shared" si="23"/>
        <v>2.0322252866889247E-2</v>
      </c>
    </row>
    <row r="330" spans="1:23" hidden="1" x14ac:dyDescent="0.55000000000000004">
      <c r="A330" s="41" t="s">
        <v>1478</v>
      </c>
      <c r="B330" s="41" t="s">
        <v>35</v>
      </c>
      <c r="C330" s="41" t="s">
        <v>10</v>
      </c>
      <c r="D330" s="41" t="s">
        <v>1471</v>
      </c>
      <c r="E330" s="41" t="s">
        <v>1467</v>
      </c>
      <c r="F330" s="41" t="s">
        <v>2079</v>
      </c>
      <c r="G330" s="41" t="s">
        <v>11</v>
      </c>
      <c r="H330" s="41" t="s">
        <v>1774</v>
      </c>
      <c r="I330" s="41"/>
      <c r="J330" s="41"/>
      <c r="K330" s="41" t="str">
        <f>IFERROR(VLOOKUP(L330,'Raw material list'!$A$3:$C$715,3,0),"")</f>
        <v>PRD1-240</v>
      </c>
      <c r="L330" s="41" t="s">
        <v>82</v>
      </c>
      <c r="M330" s="40" t="s">
        <v>156</v>
      </c>
      <c r="N330" s="40" t="str">
        <f>VLOOKUP(L330,'Raw material list'!$A$3:$E$715,5,0)</f>
        <v xml:space="preserve">Gram </v>
      </c>
      <c r="O330" s="40">
        <v>100</v>
      </c>
      <c r="P330" s="299">
        <f t="shared" si="20"/>
        <v>147.78325123152712</v>
      </c>
      <c r="Q330" s="105">
        <v>67.666666666666657</v>
      </c>
      <c r="R330" s="40">
        <v>10</v>
      </c>
      <c r="S330" s="40"/>
      <c r="T330" s="105">
        <f t="shared" si="21"/>
        <v>10</v>
      </c>
      <c r="U330" s="105">
        <f t="shared" si="22"/>
        <v>14.778325123152712</v>
      </c>
      <c r="V330" s="104">
        <f>IFERROR(VLOOKUP(L330,'Raw material list'!$A$2:$S$3102,6,0),0)</f>
        <v>1.3293943870014769E-2</v>
      </c>
      <c r="W330" s="104">
        <f t="shared" si="23"/>
        <v>0.19646222468002125</v>
      </c>
    </row>
    <row r="331" spans="1:23" hidden="1" x14ac:dyDescent="0.55000000000000004">
      <c r="A331" s="41" t="s">
        <v>1478</v>
      </c>
      <c r="B331" s="41" t="s">
        <v>35</v>
      </c>
      <c r="C331" s="41" t="s">
        <v>10</v>
      </c>
      <c r="D331" s="41" t="s">
        <v>1471</v>
      </c>
      <c r="E331" s="41" t="s">
        <v>1467</v>
      </c>
      <c r="F331" s="41" t="s">
        <v>2079</v>
      </c>
      <c r="G331" s="41" t="s">
        <v>11</v>
      </c>
      <c r="H331" s="41" t="s">
        <v>1774</v>
      </c>
      <c r="I331" s="41"/>
      <c r="J331" s="41"/>
      <c r="K331" s="41" t="str">
        <f>IFERROR(VLOOKUP(L331,'Raw material list'!$A$3:$C$715,3,0),"")</f>
        <v>PRD1-186</v>
      </c>
      <c r="L331" s="41" t="s">
        <v>37</v>
      </c>
      <c r="M331" s="40" t="s">
        <v>156</v>
      </c>
      <c r="N331" s="40" t="str">
        <f>VLOOKUP(L331,'Raw material list'!$A$3:$E$715,5,0)</f>
        <v xml:space="preserve">Gram </v>
      </c>
      <c r="O331" s="40">
        <v>150</v>
      </c>
      <c r="P331" s="299">
        <f t="shared" si="20"/>
        <v>183.67346938775509</v>
      </c>
      <c r="Q331" s="105">
        <v>81.666666666666671</v>
      </c>
      <c r="R331" s="40">
        <v>10</v>
      </c>
      <c r="S331" s="40"/>
      <c r="T331" s="105">
        <f t="shared" si="21"/>
        <v>15</v>
      </c>
      <c r="U331" s="105">
        <f t="shared" si="22"/>
        <v>18.367346938775508</v>
      </c>
      <c r="V331" s="104">
        <f>IFERROR(VLOOKUP(L331,'Raw material list'!$A$2:$S$3102,6,0),0)</f>
        <v>5.8139534883720938E-3</v>
      </c>
      <c r="W331" s="104">
        <f t="shared" si="23"/>
        <v>0.10678690080683437</v>
      </c>
    </row>
    <row r="332" spans="1:23" hidden="1" x14ac:dyDescent="0.55000000000000004">
      <c r="A332" s="41" t="s">
        <v>1478</v>
      </c>
      <c r="B332" s="41" t="s">
        <v>35</v>
      </c>
      <c r="C332" s="41" t="s">
        <v>10</v>
      </c>
      <c r="D332" s="41" t="s">
        <v>1471</v>
      </c>
      <c r="E332" s="41" t="s">
        <v>1467</v>
      </c>
      <c r="F332" s="41" t="s">
        <v>2079</v>
      </c>
      <c r="G332" s="41" t="s">
        <v>11</v>
      </c>
      <c r="H332" s="41" t="s">
        <v>1774</v>
      </c>
      <c r="I332" s="41"/>
      <c r="J332" s="41"/>
      <c r="K332" s="41" t="str">
        <f>IFERROR(VLOOKUP(L332,'Raw material list'!$A$3:$C$715,3,0),"")</f>
        <v>DRS1-1039</v>
      </c>
      <c r="L332" s="41" t="s">
        <v>110</v>
      </c>
      <c r="M332" s="40" t="s">
        <v>156</v>
      </c>
      <c r="N332" s="40" t="str">
        <f>VLOOKUP(L332,'Raw material list'!$A$3:$E$715,5,0)</f>
        <v xml:space="preserve">Gram </v>
      </c>
      <c r="O332" s="40">
        <v>500</v>
      </c>
      <c r="P332" s="299">
        <f t="shared" si="20"/>
        <v>500</v>
      </c>
      <c r="Q332" s="300">
        <v>100</v>
      </c>
      <c r="R332" s="40">
        <v>10</v>
      </c>
      <c r="S332" s="40"/>
      <c r="T332" s="105">
        <f t="shared" si="21"/>
        <v>50</v>
      </c>
      <c r="U332" s="105">
        <f t="shared" si="22"/>
        <v>50</v>
      </c>
      <c r="V332" s="104">
        <f>IFERROR(VLOOKUP(L332,'Raw material list'!$A$2:$S$3102,6,0),0)</f>
        <v>3.5000000000000001E-3</v>
      </c>
      <c r="W332" s="104">
        <f t="shared" si="23"/>
        <v>0.17500000000000002</v>
      </c>
    </row>
    <row r="333" spans="1:23" hidden="1" x14ac:dyDescent="0.55000000000000004">
      <c r="A333" s="41" t="s">
        <v>1478</v>
      </c>
      <c r="B333" s="41" t="s">
        <v>35</v>
      </c>
      <c r="C333" s="41" t="s">
        <v>10</v>
      </c>
      <c r="D333" s="41" t="s">
        <v>1471</v>
      </c>
      <c r="E333" s="41" t="s">
        <v>1467</v>
      </c>
      <c r="F333" s="41" t="s">
        <v>2079</v>
      </c>
      <c r="G333" s="41" t="s">
        <v>11</v>
      </c>
      <c r="H333" s="41" t="s">
        <v>1774</v>
      </c>
      <c r="I333" s="41"/>
      <c r="J333" s="41"/>
      <c r="K333" s="41" t="str">
        <f>IFERROR(VLOOKUP(L333,'Raw material list'!$A$3:$C$715,3,0),"")</f>
        <v>DRS1-978</v>
      </c>
      <c r="L333" s="41" t="s">
        <v>56</v>
      </c>
      <c r="M333" s="40" t="s">
        <v>156</v>
      </c>
      <c r="N333" s="40" t="str">
        <f>VLOOKUP(L333,'Raw material list'!$A$3:$E$715,5,0)</f>
        <v xml:space="preserve">Gram </v>
      </c>
      <c r="O333" s="40">
        <v>15</v>
      </c>
      <c r="P333" s="299">
        <f t="shared" si="20"/>
        <v>15</v>
      </c>
      <c r="Q333" s="40">
        <v>100</v>
      </c>
      <c r="R333" s="40">
        <v>10</v>
      </c>
      <c r="S333" s="40"/>
      <c r="T333" s="105">
        <f t="shared" si="21"/>
        <v>1.5</v>
      </c>
      <c r="U333" s="105">
        <f t="shared" si="22"/>
        <v>1.5</v>
      </c>
      <c r="V333" s="104">
        <f>IFERROR(VLOOKUP(L333,'Raw material list'!$A$2:$S$3102,6,0),0)</f>
        <v>2.3999999999999998E-3</v>
      </c>
      <c r="W333" s="104">
        <f t="shared" si="23"/>
        <v>3.5999999999999999E-3</v>
      </c>
    </row>
    <row r="334" spans="1:23" hidden="1" x14ac:dyDescent="0.55000000000000004">
      <c r="A334" s="41" t="s">
        <v>1478</v>
      </c>
      <c r="B334" s="41" t="s">
        <v>35</v>
      </c>
      <c r="C334" s="41" t="s">
        <v>10</v>
      </c>
      <c r="D334" s="41" t="s">
        <v>1471</v>
      </c>
      <c r="E334" s="41" t="s">
        <v>1467</v>
      </c>
      <c r="F334" s="41" t="s">
        <v>2079</v>
      </c>
      <c r="G334" s="41" t="s">
        <v>11</v>
      </c>
      <c r="H334" s="41" t="s">
        <v>1774</v>
      </c>
      <c r="I334" s="41"/>
      <c r="J334" s="41"/>
      <c r="K334" s="41" t="str">
        <f>IFERROR(VLOOKUP(L334,'Raw material list'!$A$3:$C$715,3,0),"")</f>
        <v>PRD1-395</v>
      </c>
      <c r="L334" s="41" t="s">
        <v>1036</v>
      </c>
      <c r="M334" s="40" t="s">
        <v>156</v>
      </c>
      <c r="N334" s="40" t="str">
        <f>VLOOKUP(L334,'Raw material list'!$A$3:$E$715,5,0)</f>
        <v xml:space="preserve">Gram </v>
      </c>
      <c r="O334" s="40">
        <v>200</v>
      </c>
      <c r="P334" s="299">
        <f t="shared" si="20"/>
        <v>373.8317757009346</v>
      </c>
      <c r="Q334" s="105">
        <v>53.5</v>
      </c>
      <c r="R334" s="40">
        <v>10</v>
      </c>
      <c r="S334" s="40"/>
      <c r="T334" s="105">
        <f t="shared" si="21"/>
        <v>20</v>
      </c>
      <c r="U334" s="105">
        <f t="shared" si="22"/>
        <v>37.383177570093459</v>
      </c>
      <c r="V334" s="104">
        <f>IFERROR(VLOOKUP(L334,'Raw material list'!$A$2:$S$3102,6,0),0)</f>
        <v>9.3457943925233621E-3</v>
      </c>
      <c r="W334" s="104">
        <f t="shared" si="23"/>
        <v>0.34937549130928458</v>
      </c>
    </row>
    <row r="335" spans="1:23" hidden="1" x14ac:dyDescent="0.55000000000000004">
      <c r="A335" s="41" t="s">
        <v>1478</v>
      </c>
      <c r="B335" s="41" t="s">
        <v>35</v>
      </c>
      <c r="C335" s="41" t="s">
        <v>10</v>
      </c>
      <c r="D335" s="41" t="s">
        <v>1471</v>
      </c>
      <c r="E335" s="41" t="s">
        <v>1467</v>
      </c>
      <c r="F335" s="41" t="s">
        <v>2079</v>
      </c>
      <c r="G335" s="41" t="s">
        <v>11</v>
      </c>
      <c r="H335" s="41" t="s">
        <v>1774</v>
      </c>
      <c r="I335" s="41"/>
      <c r="J335" s="41"/>
      <c r="K335" s="41" t="str">
        <f>IFERROR(VLOOKUP(L335,'Raw material list'!$A$3:$C$715,3,0),"")</f>
        <v>DRS1-5153</v>
      </c>
      <c r="L335" s="41" t="s">
        <v>811</v>
      </c>
      <c r="M335" s="40" t="s">
        <v>206</v>
      </c>
      <c r="N335" s="40" t="str">
        <f>VLOOKUP(L335,'Raw material list'!$A$3:$E$715,5,0)</f>
        <v>Ml</v>
      </c>
      <c r="O335" s="40">
        <v>14</v>
      </c>
      <c r="P335" s="299">
        <f t="shared" si="20"/>
        <v>14.000000000000002</v>
      </c>
      <c r="Q335" s="300">
        <v>100</v>
      </c>
      <c r="R335" s="40">
        <v>10</v>
      </c>
      <c r="S335" s="40"/>
      <c r="T335" s="105">
        <f t="shared" si="21"/>
        <v>1.4</v>
      </c>
      <c r="U335" s="105">
        <f t="shared" si="22"/>
        <v>1.4000000000000001</v>
      </c>
      <c r="V335" s="104">
        <f>IFERROR(VLOOKUP(L335,'Raw material list'!$A$2:$S$3102,6,0),0)</f>
        <v>1.681E-3</v>
      </c>
      <c r="W335" s="104">
        <f t="shared" si="23"/>
        <v>2.3534000000000003E-3</v>
      </c>
    </row>
    <row r="336" spans="1:23" hidden="1" x14ac:dyDescent="0.55000000000000004">
      <c r="A336" s="41" t="s">
        <v>1478</v>
      </c>
      <c r="B336" s="41" t="s">
        <v>35</v>
      </c>
      <c r="C336" s="41" t="s">
        <v>10</v>
      </c>
      <c r="D336" s="41" t="s">
        <v>1471</v>
      </c>
      <c r="E336" s="41" t="s">
        <v>1467</v>
      </c>
      <c r="F336" s="41" t="s">
        <v>2079</v>
      </c>
      <c r="G336" s="41" t="s">
        <v>11</v>
      </c>
      <c r="H336" s="41" t="s">
        <v>1774</v>
      </c>
      <c r="I336" s="41"/>
      <c r="J336" s="41"/>
      <c r="K336" s="41" t="str">
        <f>IFERROR(VLOOKUP(L336,'Raw material list'!$A$3:$C$715,3,0),"")</f>
        <v>PRD1-401</v>
      </c>
      <c r="L336" s="41" t="s">
        <v>1040</v>
      </c>
      <c r="M336" s="40" t="s">
        <v>156</v>
      </c>
      <c r="N336" s="40" t="str">
        <f>VLOOKUP(L336,'Raw material list'!$A$3:$E$715,5,0)</f>
        <v xml:space="preserve">Gram </v>
      </c>
      <c r="O336" s="40">
        <v>200</v>
      </c>
      <c r="P336" s="299">
        <f t="shared" si="20"/>
        <v>374.29819089207734</v>
      </c>
      <c r="Q336" s="105">
        <v>53.43333333333333</v>
      </c>
      <c r="R336" s="40">
        <v>10</v>
      </c>
      <c r="S336" s="40"/>
      <c r="T336" s="105">
        <f t="shared" si="21"/>
        <v>20</v>
      </c>
      <c r="U336" s="105">
        <f t="shared" si="22"/>
        <v>37.429819089207733</v>
      </c>
      <c r="V336" s="104">
        <f>IFERROR(VLOOKUP(L336,'Raw material list'!$A$2:$S$3102,6,0),0)</f>
        <v>1.4981273408239699E-2</v>
      </c>
      <c r="W336" s="104">
        <f t="shared" si="23"/>
        <v>0.56074635339637047</v>
      </c>
    </row>
    <row r="337" spans="1:23" hidden="1" x14ac:dyDescent="0.55000000000000004">
      <c r="A337" s="41" t="s">
        <v>1478</v>
      </c>
      <c r="B337" s="41" t="s">
        <v>35</v>
      </c>
      <c r="C337" s="41" t="s">
        <v>10</v>
      </c>
      <c r="D337" s="41" t="s">
        <v>1471</v>
      </c>
      <c r="E337" s="41" t="s">
        <v>1467</v>
      </c>
      <c r="F337" s="41" t="s">
        <v>2079</v>
      </c>
      <c r="G337" s="41" t="s">
        <v>11</v>
      </c>
      <c r="H337" s="41" t="s">
        <v>1774</v>
      </c>
      <c r="I337" s="41"/>
      <c r="J337" s="41"/>
      <c r="K337" s="41" t="str">
        <f>IFERROR(VLOOKUP(L337,'Raw material list'!$A$3:$C$715,3,0),"")</f>
        <v>DRS1-1747</v>
      </c>
      <c r="L337" s="41" t="s">
        <v>44</v>
      </c>
      <c r="M337" s="40" t="s">
        <v>156</v>
      </c>
      <c r="N337" s="40" t="str">
        <f>VLOOKUP(L337,'Raw material list'!$A$3:$E$715,5,0)</f>
        <v xml:space="preserve">Gram </v>
      </c>
      <c r="O337" s="40">
        <v>50</v>
      </c>
      <c r="P337" s="299">
        <f t="shared" si="20"/>
        <v>50</v>
      </c>
      <c r="Q337" s="300">
        <v>100</v>
      </c>
      <c r="R337" s="40">
        <v>10</v>
      </c>
      <c r="S337" s="40"/>
      <c r="T337" s="105">
        <f t="shared" si="21"/>
        <v>5</v>
      </c>
      <c r="U337" s="105">
        <f t="shared" si="22"/>
        <v>5</v>
      </c>
      <c r="V337" s="104">
        <f>IFERROR(VLOOKUP(L337,'Raw material list'!$A$2:$S$3102,6,0),0)</f>
        <v>5.185185185185185E-3</v>
      </c>
      <c r="W337" s="104">
        <f t="shared" si="23"/>
        <v>2.5925925925925925E-2</v>
      </c>
    </row>
    <row r="338" spans="1:23" hidden="1" x14ac:dyDescent="0.55000000000000004">
      <c r="A338" s="41" t="s">
        <v>1478</v>
      </c>
      <c r="B338" s="41" t="s">
        <v>35</v>
      </c>
      <c r="C338" s="41" t="s">
        <v>10</v>
      </c>
      <c r="D338" s="41" t="s">
        <v>1471</v>
      </c>
      <c r="E338" s="41" t="s">
        <v>1467</v>
      </c>
      <c r="F338" s="41" t="s">
        <v>2079</v>
      </c>
      <c r="G338" s="41" t="s">
        <v>11</v>
      </c>
      <c r="H338" s="41" t="s">
        <v>1774</v>
      </c>
      <c r="I338" s="41"/>
      <c r="J338" s="41"/>
      <c r="K338" s="41" t="str">
        <f>IFERROR(VLOOKUP(L338,'Raw material list'!$A$3:$C$715,3,0),"")</f>
        <v>DRS1-1142</v>
      </c>
      <c r="L338" s="41" t="s">
        <v>84</v>
      </c>
      <c r="M338" s="40" t="s">
        <v>206</v>
      </c>
      <c r="N338" s="40" t="str">
        <f>VLOOKUP(L338,'Raw material list'!$A$3:$E$715,5,0)</f>
        <v>Ml</v>
      </c>
      <c r="O338" s="40">
        <v>20</v>
      </c>
      <c r="P338" s="299">
        <f t="shared" si="20"/>
        <v>20</v>
      </c>
      <c r="Q338" s="40">
        <v>100</v>
      </c>
      <c r="R338" s="40">
        <v>10</v>
      </c>
      <c r="S338" s="40"/>
      <c r="T338" s="105">
        <f t="shared" si="21"/>
        <v>2</v>
      </c>
      <c r="U338" s="105">
        <f t="shared" si="22"/>
        <v>2</v>
      </c>
      <c r="V338" s="104">
        <f>IFERROR(VLOOKUP(L338,'Raw material list'!$A$2:$S$3102,6,0),0)</f>
        <v>2.3579999999999997E-2</v>
      </c>
      <c r="W338" s="104">
        <f t="shared" si="23"/>
        <v>4.7159999999999994E-2</v>
      </c>
    </row>
    <row r="339" spans="1:23" hidden="1" x14ac:dyDescent="0.55000000000000004">
      <c r="A339" s="41" t="s">
        <v>1478</v>
      </c>
      <c r="B339" s="41" t="s">
        <v>35</v>
      </c>
      <c r="C339" s="41" t="s">
        <v>10</v>
      </c>
      <c r="D339" s="41" t="s">
        <v>1471</v>
      </c>
      <c r="E339" s="41" t="s">
        <v>1467</v>
      </c>
      <c r="F339" s="41" t="s">
        <v>2079</v>
      </c>
      <c r="G339" s="41" t="s">
        <v>11</v>
      </c>
      <c r="H339" s="41" t="s">
        <v>1774</v>
      </c>
      <c r="I339" s="41"/>
      <c r="J339" s="41"/>
      <c r="K339" s="41" t="str">
        <f>IFERROR(VLOOKUP(L339,'Raw material list'!$A$3:$C$715,3,0),"")</f>
        <v>TAP-00001</v>
      </c>
      <c r="L339" s="41" t="s">
        <v>1405</v>
      </c>
      <c r="M339" s="40" t="s">
        <v>206</v>
      </c>
      <c r="N339" s="40" t="str">
        <f>VLOOKUP(L339,'Raw material list'!$A$3:$E$715,5,0)</f>
        <v>Ml</v>
      </c>
      <c r="O339" s="40">
        <v>500</v>
      </c>
      <c r="P339" s="299">
        <f t="shared" si="20"/>
        <v>500</v>
      </c>
      <c r="Q339" s="40">
        <v>100</v>
      </c>
      <c r="R339" s="40">
        <v>10</v>
      </c>
      <c r="S339" s="40"/>
      <c r="T339" s="105">
        <f t="shared" si="21"/>
        <v>50</v>
      </c>
      <c r="U339" s="105">
        <f t="shared" si="22"/>
        <v>50</v>
      </c>
      <c r="V339" s="104">
        <f>IFERROR(VLOOKUP(L339,'Raw material list'!$A$2:$S$3102,6,0),0)</f>
        <v>8.0000000000000007E-5</v>
      </c>
      <c r="W339" s="104">
        <f t="shared" si="23"/>
        <v>4.0000000000000001E-3</v>
      </c>
    </row>
    <row r="340" spans="1:23" hidden="1" x14ac:dyDescent="0.55000000000000004">
      <c r="A340" s="41" t="s">
        <v>1478</v>
      </c>
      <c r="B340" s="41" t="s">
        <v>35</v>
      </c>
      <c r="C340" s="41" t="s">
        <v>10</v>
      </c>
      <c r="D340" s="41" t="s">
        <v>1471</v>
      </c>
      <c r="E340" s="41" t="s">
        <v>1467</v>
      </c>
      <c r="F340" s="41" t="s">
        <v>2079</v>
      </c>
      <c r="G340" s="41" t="s">
        <v>11</v>
      </c>
      <c r="H340" s="41" t="s">
        <v>1774</v>
      </c>
      <c r="I340" s="41"/>
      <c r="J340" s="41"/>
      <c r="K340" s="41" t="str">
        <f>IFERROR(VLOOKUP(L340,'Raw material list'!$A$3:$C$715,3,0),"")</f>
        <v>DRS5-21</v>
      </c>
      <c r="L340" s="41" t="s">
        <v>55</v>
      </c>
      <c r="M340" s="40" t="s">
        <v>156</v>
      </c>
      <c r="N340" s="40" t="str">
        <f>VLOOKUP(L340,'Raw material list'!$A$3:$E$715,5,0)</f>
        <v xml:space="preserve">Gram </v>
      </c>
      <c r="O340" s="40">
        <v>100</v>
      </c>
      <c r="P340" s="299">
        <f t="shared" si="20"/>
        <v>100</v>
      </c>
      <c r="Q340" s="40">
        <v>100</v>
      </c>
      <c r="R340" s="40">
        <v>10</v>
      </c>
      <c r="S340" s="40"/>
      <c r="T340" s="105">
        <f t="shared" si="21"/>
        <v>10</v>
      </c>
      <c r="U340" s="105">
        <f t="shared" si="22"/>
        <v>10</v>
      </c>
      <c r="V340" s="104">
        <f>IFERROR(VLOOKUP(L340,'Raw material list'!$A$2:$S$3102,6,0),0)</f>
        <v>2.0799999999999998E-3</v>
      </c>
      <c r="W340" s="104">
        <f t="shared" si="23"/>
        <v>2.0799999999999999E-2</v>
      </c>
    </row>
    <row r="341" spans="1:23" hidden="1" x14ac:dyDescent="0.55000000000000004">
      <c r="A341" s="41" t="s">
        <v>1478</v>
      </c>
      <c r="B341" s="41" t="s">
        <v>35</v>
      </c>
      <c r="C341" s="41" t="s">
        <v>10</v>
      </c>
      <c r="D341" s="41" t="s">
        <v>1471</v>
      </c>
      <c r="E341" s="41" t="s">
        <v>1467</v>
      </c>
      <c r="F341" s="41" t="s">
        <v>2079</v>
      </c>
      <c r="G341" s="41" t="s">
        <v>11</v>
      </c>
      <c r="H341" s="41" t="s">
        <v>1774</v>
      </c>
      <c r="I341" s="41"/>
      <c r="J341" s="41"/>
      <c r="K341" s="41" t="str">
        <f>IFERROR(VLOOKUP(L341,'Raw material list'!$A$3:$C$715,3,0),"")</f>
        <v>PRD1-239</v>
      </c>
      <c r="L341" s="41" t="s">
        <v>1056</v>
      </c>
      <c r="M341" s="40" t="s">
        <v>156</v>
      </c>
      <c r="N341" s="40" t="str">
        <f>VLOOKUP(L341,'Raw material list'!$A$3:$E$715,5,0)</f>
        <v xml:space="preserve">Gram </v>
      </c>
      <c r="O341" s="40">
        <v>100</v>
      </c>
      <c r="P341" s="299">
        <f t="shared" si="20"/>
        <v>148.51485148514854</v>
      </c>
      <c r="Q341" s="105">
        <v>67.333333333333329</v>
      </c>
      <c r="R341" s="40">
        <v>10</v>
      </c>
      <c r="S341" s="40"/>
      <c r="T341" s="105">
        <f t="shared" si="21"/>
        <v>10</v>
      </c>
      <c r="U341" s="105">
        <f t="shared" si="22"/>
        <v>14.851485148514854</v>
      </c>
      <c r="V341" s="104">
        <f>IFERROR(VLOOKUP(L341,'Raw material list'!$A$2:$S$3102,6,0),0)</f>
        <v>6.6864784546805346E-3</v>
      </c>
      <c r="W341" s="104">
        <f t="shared" si="23"/>
        <v>9.9304135465552515E-2</v>
      </c>
    </row>
    <row r="342" spans="1:23" hidden="1" x14ac:dyDescent="0.55000000000000004">
      <c r="A342" s="41" t="s">
        <v>1478</v>
      </c>
      <c r="B342" s="41" t="s">
        <v>35</v>
      </c>
      <c r="C342" s="41" t="s">
        <v>10</v>
      </c>
      <c r="D342" s="41" t="s">
        <v>1471</v>
      </c>
      <c r="E342" s="41" t="s">
        <v>1467</v>
      </c>
      <c r="F342" s="41" t="s">
        <v>2079</v>
      </c>
      <c r="G342" s="41" t="s">
        <v>11</v>
      </c>
      <c r="H342" s="41" t="s">
        <v>1774</v>
      </c>
      <c r="I342" s="41"/>
      <c r="J342" s="41"/>
      <c r="K342" s="41" t="str">
        <f>IFERROR(VLOOKUP(L342,'Raw material list'!$A$3:$C$715,3,0),"")</f>
        <v>PRD1-241</v>
      </c>
      <c r="L342" s="41" t="s">
        <v>1059</v>
      </c>
      <c r="M342" s="40" t="s">
        <v>156</v>
      </c>
      <c r="N342" s="40" t="str">
        <f>VLOOKUP(L342,'Raw material list'!$A$3:$E$715,5,0)</f>
        <v xml:space="preserve">Gram </v>
      </c>
      <c r="O342" s="40">
        <v>100</v>
      </c>
      <c r="P342" s="299">
        <f t="shared" si="20"/>
        <v>146.55593551538837</v>
      </c>
      <c r="Q342" s="105">
        <v>68.233333333333334</v>
      </c>
      <c r="R342" s="40">
        <v>10</v>
      </c>
      <c r="S342" s="40"/>
      <c r="T342" s="105">
        <f t="shared" si="21"/>
        <v>10</v>
      </c>
      <c r="U342" s="105">
        <f t="shared" si="22"/>
        <v>14.655593551538837</v>
      </c>
      <c r="V342" s="104">
        <f>IFERROR(VLOOKUP(L342,'Raw material list'!$A$2:$S$3102,6,0),0)</f>
        <v>1.3196480938416421E-2</v>
      </c>
      <c r="W342" s="104">
        <f t="shared" si="23"/>
        <v>0.19340226094406088</v>
      </c>
    </row>
    <row r="343" spans="1:23" hidden="1" x14ac:dyDescent="0.55000000000000004">
      <c r="A343" s="41" t="s">
        <v>1478</v>
      </c>
      <c r="B343" s="41" t="s">
        <v>35</v>
      </c>
      <c r="C343" s="41" t="s">
        <v>10</v>
      </c>
      <c r="D343" s="41" t="s">
        <v>1471</v>
      </c>
      <c r="E343" s="41" t="s">
        <v>1467</v>
      </c>
      <c r="F343" s="41" t="s">
        <v>2079</v>
      </c>
      <c r="G343" s="41" t="s">
        <v>11</v>
      </c>
      <c r="H343" s="41" t="s">
        <v>1774</v>
      </c>
      <c r="I343" s="41"/>
      <c r="J343" s="41"/>
      <c r="K343" s="41" t="str">
        <f>IFERROR(VLOOKUP(L343,'Raw material list'!$A$3:$C$715,3,0),"")</f>
        <v>DRS4-498</v>
      </c>
      <c r="L343" s="41" t="s">
        <v>72</v>
      </c>
      <c r="M343" s="40" t="s">
        <v>156</v>
      </c>
      <c r="N343" s="40" t="str">
        <f>VLOOKUP(L343,'Raw material list'!$A$3:$E$715,5,0)</f>
        <v xml:space="preserve">Gram </v>
      </c>
      <c r="O343" s="40">
        <v>800</v>
      </c>
      <c r="P343" s="299">
        <f t="shared" si="20"/>
        <v>800</v>
      </c>
      <c r="Q343" s="300">
        <v>100</v>
      </c>
      <c r="R343" s="40">
        <v>10</v>
      </c>
      <c r="S343" s="40"/>
      <c r="T343" s="105">
        <f t="shared" si="21"/>
        <v>80</v>
      </c>
      <c r="U343" s="105">
        <f t="shared" si="22"/>
        <v>80</v>
      </c>
      <c r="V343" s="104">
        <f>IFERROR(VLOOKUP(L343,'Raw material list'!$A$2:$S$3102,6,0),0)</f>
        <v>5.7499999999999999E-3</v>
      </c>
      <c r="W343" s="104">
        <f t="shared" si="23"/>
        <v>0.45999999999999996</v>
      </c>
    </row>
    <row r="344" spans="1:23" hidden="1" x14ac:dyDescent="0.55000000000000004">
      <c r="A344" s="41" t="s">
        <v>1478</v>
      </c>
      <c r="B344" s="41" t="s">
        <v>35</v>
      </c>
      <c r="C344" s="41" t="s">
        <v>10</v>
      </c>
      <c r="D344" s="41" t="s">
        <v>1471</v>
      </c>
      <c r="E344" s="41" t="s">
        <v>1467</v>
      </c>
      <c r="F344" s="41" t="s">
        <v>2079</v>
      </c>
      <c r="G344" s="41" t="s">
        <v>11</v>
      </c>
      <c r="H344" s="41" t="s">
        <v>1774</v>
      </c>
      <c r="I344" s="41"/>
      <c r="J344" s="41"/>
      <c r="K344" s="41" t="str">
        <f>IFERROR(VLOOKUP(L344,'Raw material list'!$A$3:$C$715,3,0),"")</f>
        <v>TAP-00001</v>
      </c>
      <c r="L344" s="41" t="s">
        <v>1405</v>
      </c>
      <c r="M344" s="40" t="s">
        <v>206</v>
      </c>
      <c r="N344" s="40" t="str">
        <f>VLOOKUP(L344,'Raw material list'!$A$3:$E$715,5,0)</f>
        <v>Ml</v>
      </c>
      <c r="O344" s="40">
        <v>1600</v>
      </c>
      <c r="P344" s="299">
        <f t="shared" si="20"/>
        <v>1600</v>
      </c>
      <c r="Q344" s="40">
        <v>100</v>
      </c>
      <c r="R344" s="40">
        <v>10</v>
      </c>
      <c r="S344" s="40"/>
      <c r="T344" s="105">
        <f t="shared" si="21"/>
        <v>160</v>
      </c>
      <c r="U344" s="105">
        <f t="shared" si="22"/>
        <v>160</v>
      </c>
      <c r="V344" s="104">
        <f>IFERROR(VLOOKUP(L344,'Raw material list'!$A$2:$S$3102,6,0),0)</f>
        <v>8.0000000000000007E-5</v>
      </c>
      <c r="W344" s="104">
        <f t="shared" si="23"/>
        <v>1.2800000000000001E-2</v>
      </c>
    </row>
    <row r="345" spans="1:23" hidden="1" x14ac:dyDescent="0.55000000000000004">
      <c r="A345" s="41" t="s">
        <v>1478</v>
      </c>
      <c r="B345" s="41" t="s">
        <v>35</v>
      </c>
      <c r="C345" s="41" t="s">
        <v>10</v>
      </c>
      <c r="D345" s="41" t="s">
        <v>1471</v>
      </c>
      <c r="E345" s="41" t="s">
        <v>1467</v>
      </c>
      <c r="F345" s="41" t="s">
        <v>2079</v>
      </c>
      <c r="G345" s="41" t="s">
        <v>11</v>
      </c>
      <c r="H345" s="41" t="s">
        <v>1774</v>
      </c>
      <c r="I345" s="41"/>
      <c r="J345" s="41"/>
      <c r="K345" s="41" t="str">
        <f>IFERROR(VLOOKUP(L345,'Raw material list'!$A$3:$C$715,3,0),"")</f>
        <v>DRS3-1813</v>
      </c>
      <c r="L345" s="41" t="s">
        <v>69</v>
      </c>
      <c r="M345" s="40" t="s">
        <v>206</v>
      </c>
      <c r="N345" s="40" t="str">
        <f>VLOOKUP(L345,'Raw material list'!$A$3:$E$715,5,0)</f>
        <v>Ml</v>
      </c>
      <c r="O345" s="40">
        <v>50</v>
      </c>
      <c r="P345" s="299">
        <f t="shared" si="20"/>
        <v>50</v>
      </c>
      <c r="Q345" s="40">
        <v>100</v>
      </c>
      <c r="R345" s="40">
        <v>10</v>
      </c>
      <c r="S345" s="40"/>
      <c r="T345" s="105">
        <f t="shared" si="21"/>
        <v>5</v>
      </c>
      <c r="U345" s="105">
        <f t="shared" si="22"/>
        <v>5</v>
      </c>
      <c r="V345" s="104">
        <f>IFERROR(VLOOKUP(L345,'Raw material list'!$A$2:$S$3102,6,0),0)</f>
        <v>8.0555555555555554E-3</v>
      </c>
      <c r="W345" s="104">
        <f t="shared" si="23"/>
        <v>4.0277777777777773E-2</v>
      </c>
    </row>
    <row r="346" spans="1:23" hidden="1" x14ac:dyDescent="0.55000000000000004">
      <c r="A346" s="41" t="s">
        <v>1478</v>
      </c>
      <c r="B346" s="41" t="s">
        <v>35</v>
      </c>
      <c r="C346" s="41" t="s">
        <v>10</v>
      </c>
      <c r="D346" s="41" t="s">
        <v>1471</v>
      </c>
      <c r="E346" s="41" t="s">
        <v>1467</v>
      </c>
      <c r="F346" s="41" t="s">
        <v>2079</v>
      </c>
      <c r="G346" s="41" t="s">
        <v>11</v>
      </c>
      <c r="H346" s="41" t="s">
        <v>1774</v>
      </c>
      <c r="I346" s="41"/>
      <c r="J346" s="41"/>
      <c r="K346" s="41" t="str">
        <f>IFERROR(VLOOKUP(L346,'Raw material list'!$A$3:$C$715,3,0),"")</f>
        <v>DRS1-3880</v>
      </c>
      <c r="L346" s="41" t="s">
        <v>1433</v>
      </c>
      <c r="M346" s="40" t="s">
        <v>156</v>
      </c>
      <c r="N346" s="40" t="str">
        <f>VLOOKUP(L346,'Raw material list'!$A$3:$E$715,5,0)</f>
        <v xml:space="preserve">Gram </v>
      </c>
      <c r="O346" s="40">
        <v>15</v>
      </c>
      <c r="P346" s="299">
        <f t="shared" si="20"/>
        <v>15</v>
      </c>
      <c r="Q346" s="40">
        <v>100</v>
      </c>
      <c r="R346" s="40">
        <v>10</v>
      </c>
      <c r="S346" s="40"/>
      <c r="T346" s="105">
        <f t="shared" si="21"/>
        <v>1.5</v>
      </c>
      <c r="U346" s="105">
        <f t="shared" si="22"/>
        <v>1.5</v>
      </c>
      <c r="V346" s="104">
        <f>IFERROR(VLOOKUP(L346,'Raw material list'!$A$2:$S$3102,6,0),0)</f>
        <v>5.0000000000000001E-4</v>
      </c>
      <c r="W346" s="104">
        <f t="shared" si="23"/>
        <v>7.5000000000000002E-4</v>
      </c>
    </row>
    <row r="347" spans="1:23" hidden="1" x14ac:dyDescent="0.55000000000000004">
      <c r="A347" s="41" t="s">
        <v>1478</v>
      </c>
      <c r="B347" s="41" t="s">
        <v>35</v>
      </c>
      <c r="C347" s="41" t="s">
        <v>10</v>
      </c>
      <c r="D347" s="41" t="s">
        <v>1471</v>
      </c>
      <c r="E347" s="41" t="s">
        <v>1467</v>
      </c>
      <c r="F347" s="41" t="s">
        <v>2079</v>
      </c>
      <c r="G347" s="41" t="s">
        <v>11</v>
      </c>
      <c r="H347" s="41" t="s">
        <v>1774</v>
      </c>
      <c r="I347" s="41"/>
      <c r="J347" s="41"/>
      <c r="K347" s="41" t="str">
        <f>IFERROR(VLOOKUP(L347,'Raw material list'!$A$3:$C$715,3,0),"")</f>
        <v>DRS6-3593</v>
      </c>
      <c r="L347" s="41" t="s">
        <v>1407</v>
      </c>
      <c r="M347" s="40" t="s">
        <v>156</v>
      </c>
      <c r="N347" s="40" t="str">
        <f>VLOOKUP(L347,'Raw material list'!$A$3:$E$715,5,0)</f>
        <v xml:space="preserve">Gram </v>
      </c>
      <c r="O347" s="40">
        <v>3</v>
      </c>
      <c r="P347" s="299">
        <f t="shared" si="20"/>
        <v>3</v>
      </c>
      <c r="Q347" s="40">
        <v>100</v>
      </c>
      <c r="R347" s="40">
        <v>10</v>
      </c>
      <c r="S347" s="40"/>
      <c r="T347" s="105">
        <f t="shared" si="21"/>
        <v>0.3</v>
      </c>
      <c r="U347" s="105">
        <f t="shared" si="22"/>
        <v>0.3</v>
      </c>
      <c r="V347" s="104">
        <f>IFERROR(VLOOKUP(L347,'Raw material list'!$A$2:$S$3102,6,0),0)</f>
        <v>8.0000000000000002E-3</v>
      </c>
      <c r="W347" s="104">
        <f t="shared" si="23"/>
        <v>2.3999999999999998E-3</v>
      </c>
    </row>
    <row r="348" spans="1:23" hidden="1" x14ac:dyDescent="0.55000000000000004">
      <c r="A348" s="41" t="s">
        <v>1478</v>
      </c>
      <c r="B348" s="41" t="s">
        <v>35</v>
      </c>
      <c r="C348" s="41" t="s">
        <v>10</v>
      </c>
      <c r="D348" s="41" t="s">
        <v>1471</v>
      </c>
      <c r="E348" s="41" t="s">
        <v>1467</v>
      </c>
      <c r="F348" s="41" t="s">
        <v>2079</v>
      </c>
      <c r="G348" s="41" t="s">
        <v>11</v>
      </c>
      <c r="H348" s="41" t="s">
        <v>1774</v>
      </c>
      <c r="I348" s="41"/>
      <c r="J348" s="41"/>
      <c r="K348" s="41" t="str">
        <f>IFERROR(VLOOKUP(L348,'Raw material list'!$A$3:$C$715,3,0),"")</f>
        <v>DRS6-261</v>
      </c>
      <c r="L348" s="41" t="s">
        <v>1406</v>
      </c>
      <c r="M348" s="40" t="s">
        <v>156</v>
      </c>
      <c r="N348" s="40" t="str">
        <f>VLOOKUP(L348,'Raw material list'!$A$3:$E$715,5,0)</f>
        <v xml:space="preserve">Gram </v>
      </c>
      <c r="O348" s="40">
        <v>2</v>
      </c>
      <c r="P348" s="299">
        <f t="shared" si="20"/>
        <v>2</v>
      </c>
      <c r="Q348" s="40">
        <v>100</v>
      </c>
      <c r="R348" s="40">
        <v>10</v>
      </c>
      <c r="S348" s="40"/>
      <c r="T348" s="105">
        <f t="shared" si="21"/>
        <v>0.2</v>
      </c>
      <c r="U348" s="105">
        <f t="shared" si="22"/>
        <v>0.2</v>
      </c>
      <c r="V348" s="104">
        <f>IFERROR(VLOOKUP(L348,'Raw material list'!$A$2:$S$3102,6,0),0)</f>
        <v>1.4E-2</v>
      </c>
      <c r="W348" s="104">
        <f t="shared" si="23"/>
        <v>2.8000000000000004E-3</v>
      </c>
    </row>
    <row r="349" spans="1:23" hidden="1" x14ac:dyDescent="0.55000000000000004">
      <c r="A349" s="41" t="s">
        <v>1479</v>
      </c>
      <c r="B349" s="41" t="s">
        <v>35</v>
      </c>
      <c r="C349" s="41" t="s">
        <v>10</v>
      </c>
      <c r="D349" s="41" t="s">
        <v>1472</v>
      </c>
      <c r="E349" s="41" t="s">
        <v>1467</v>
      </c>
      <c r="F349" s="41" t="s">
        <v>2081</v>
      </c>
      <c r="G349" s="41" t="s">
        <v>11</v>
      </c>
      <c r="H349" s="41" t="s">
        <v>1774</v>
      </c>
      <c r="I349" s="41"/>
      <c r="J349" s="41"/>
      <c r="K349" s="41" t="str">
        <f>IFERROR(VLOOKUP(L349,'Raw material list'!$A$3:$C$715,3,0),"")</f>
        <v>SFD2-312</v>
      </c>
      <c r="L349" s="41" t="s">
        <v>109</v>
      </c>
      <c r="M349" s="40" t="s">
        <v>156</v>
      </c>
      <c r="N349" s="40" t="str">
        <f>VLOOKUP(L349,'Raw material list'!$A$3:$E$715,5,0)</f>
        <v xml:space="preserve">Gram </v>
      </c>
      <c r="O349" s="40">
        <v>1000</v>
      </c>
      <c r="P349" s="299">
        <f t="shared" si="20"/>
        <v>1364.256480218281</v>
      </c>
      <c r="Q349" s="40">
        <v>73.3</v>
      </c>
      <c r="R349" s="40">
        <v>10</v>
      </c>
      <c r="S349" s="40"/>
      <c r="T349" s="105">
        <f t="shared" si="21"/>
        <v>100</v>
      </c>
      <c r="U349" s="105">
        <f t="shared" si="22"/>
        <v>136.4256480218281</v>
      </c>
      <c r="V349" s="104">
        <f>IFERROR(VLOOKUP(L349,'Raw material list'!$A$2:$S$3102,6,0),0)</f>
        <v>3.2786885245901641E-2</v>
      </c>
      <c r="W349" s="104">
        <f t="shared" si="23"/>
        <v>4.4729720662894463</v>
      </c>
    </row>
    <row r="350" spans="1:23" hidden="1" x14ac:dyDescent="0.55000000000000004">
      <c r="A350" s="41" t="s">
        <v>1479</v>
      </c>
      <c r="B350" s="41" t="s">
        <v>35</v>
      </c>
      <c r="C350" s="41" t="s">
        <v>10</v>
      </c>
      <c r="D350" s="41" t="s">
        <v>1472</v>
      </c>
      <c r="E350" s="41" t="s">
        <v>1467</v>
      </c>
      <c r="F350" s="41" t="s">
        <v>2079</v>
      </c>
      <c r="G350" s="41" t="s">
        <v>11</v>
      </c>
      <c r="H350" s="41" t="s">
        <v>1774</v>
      </c>
      <c r="I350" s="41"/>
      <c r="J350" s="41"/>
      <c r="K350" s="41" t="str">
        <f>IFERROR(VLOOKUP(L350,'Raw material list'!$A$3:$C$715,3,0),"")</f>
        <v>DRS4-498</v>
      </c>
      <c r="L350" s="41" t="s">
        <v>72</v>
      </c>
      <c r="M350" s="40" t="s">
        <v>156</v>
      </c>
      <c r="N350" s="40" t="str">
        <f>VLOOKUP(L350,'Raw material list'!$A$3:$E$715,5,0)</f>
        <v xml:space="preserve">Gram </v>
      </c>
      <c r="O350" s="40">
        <v>1000</v>
      </c>
      <c r="P350" s="299">
        <f t="shared" si="20"/>
        <v>1000</v>
      </c>
      <c r="Q350" s="40">
        <v>100</v>
      </c>
      <c r="R350" s="40">
        <v>10</v>
      </c>
      <c r="S350" s="40"/>
      <c r="T350" s="105">
        <f t="shared" si="21"/>
        <v>100</v>
      </c>
      <c r="U350" s="105">
        <f t="shared" si="22"/>
        <v>100</v>
      </c>
      <c r="V350" s="104">
        <f>IFERROR(VLOOKUP(L350,'Raw material list'!$A$2:$S$3102,6,0),0)</f>
        <v>5.7499999999999999E-3</v>
      </c>
      <c r="W350" s="104">
        <f t="shared" si="23"/>
        <v>0.57499999999999996</v>
      </c>
    </row>
    <row r="351" spans="1:23" hidden="1" x14ac:dyDescent="0.55000000000000004">
      <c r="A351" s="41" t="s">
        <v>1479</v>
      </c>
      <c r="B351" s="41" t="s">
        <v>35</v>
      </c>
      <c r="C351" s="41" t="s">
        <v>10</v>
      </c>
      <c r="D351" s="41" t="s">
        <v>1472</v>
      </c>
      <c r="E351" s="41" t="s">
        <v>1467</v>
      </c>
      <c r="F351" s="41" t="s">
        <v>2079</v>
      </c>
      <c r="G351" s="41" t="s">
        <v>11</v>
      </c>
      <c r="H351" s="41" t="s">
        <v>1774</v>
      </c>
      <c r="I351" s="41"/>
      <c r="J351" s="41"/>
      <c r="K351" s="41" t="str">
        <f>IFERROR(VLOOKUP(L351,'Raw material list'!$A$3:$C$715,3,0),"")</f>
        <v>DRS3-1813</v>
      </c>
      <c r="L351" s="41" t="s">
        <v>69</v>
      </c>
      <c r="M351" s="40" t="s">
        <v>206</v>
      </c>
      <c r="N351" s="40" t="str">
        <f>VLOOKUP(L351,'Raw material list'!$A$3:$E$715,5,0)</f>
        <v>Ml</v>
      </c>
      <c r="O351" s="40">
        <v>60</v>
      </c>
      <c r="P351" s="299">
        <f t="shared" si="20"/>
        <v>60</v>
      </c>
      <c r="Q351" s="40">
        <v>100</v>
      </c>
      <c r="R351" s="40">
        <v>10</v>
      </c>
      <c r="S351" s="40"/>
      <c r="T351" s="105">
        <f t="shared" si="21"/>
        <v>6</v>
      </c>
      <c r="U351" s="105">
        <f t="shared" si="22"/>
        <v>6</v>
      </c>
      <c r="V351" s="104">
        <f>IFERROR(VLOOKUP(L351,'Raw material list'!$A$2:$S$3102,6,0),0)</f>
        <v>8.0555555555555554E-3</v>
      </c>
      <c r="W351" s="104">
        <f t="shared" si="23"/>
        <v>4.8333333333333332E-2</v>
      </c>
    </row>
    <row r="352" spans="1:23" hidden="1" x14ac:dyDescent="0.55000000000000004">
      <c r="A352" s="41" t="s">
        <v>1479</v>
      </c>
      <c r="B352" s="41" t="s">
        <v>35</v>
      </c>
      <c r="C352" s="41" t="s">
        <v>10</v>
      </c>
      <c r="D352" s="41" t="s">
        <v>1472</v>
      </c>
      <c r="E352" s="41" t="s">
        <v>1467</v>
      </c>
      <c r="F352" s="41" t="s">
        <v>2079</v>
      </c>
      <c r="G352" s="41" t="s">
        <v>11</v>
      </c>
      <c r="H352" s="41" t="s">
        <v>1774</v>
      </c>
      <c r="I352" s="41"/>
      <c r="J352" s="41"/>
      <c r="K352" s="41" t="str">
        <f>IFERROR(VLOOKUP(L352,'Raw material list'!$A$3:$C$715,3,0),"")</f>
        <v>DRS3-1615</v>
      </c>
      <c r="L352" s="41" t="s">
        <v>50</v>
      </c>
      <c r="M352" s="40" t="s">
        <v>206</v>
      </c>
      <c r="N352" s="40" t="str">
        <f>VLOOKUP(L352,'Raw material list'!$A$3:$E$715,5,0)</f>
        <v>Ml</v>
      </c>
      <c r="O352" s="40">
        <v>30</v>
      </c>
      <c r="P352" s="299">
        <f t="shared" si="20"/>
        <v>30</v>
      </c>
      <c r="Q352" s="40">
        <v>100</v>
      </c>
      <c r="R352" s="40">
        <v>10</v>
      </c>
      <c r="S352" s="40"/>
      <c r="T352" s="105">
        <f t="shared" si="21"/>
        <v>3</v>
      </c>
      <c r="U352" s="105">
        <f t="shared" si="22"/>
        <v>3</v>
      </c>
      <c r="V352" s="104">
        <f>IFERROR(VLOOKUP(L352,'Raw material list'!$A$2:$S$3102,6,0),0)</f>
        <v>1.2E-2</v>
      </c>
      <c r="W352" s="104">
        <f t="shared" si="23"/>
        <v>3.6000000000000004E-2</v>
      </c>
    </row>
    <row r="353" spans="1:23" hidden="1" x14ac:dyDescent="0.55000000000000004">
      <c r="A353" s="41" t="s">
        <v>1479</v>
      </c>
      <c r="B353" s="41" t="s">
        <v>35</v>
      </c>
      <c r="C353" s="41" t="s">
        <v>10</v>
      </c>
      <c r="D353" s="41" t="s">
        <v>1472</v>
      </c>
      <c r="E353" s="41" t="s">
        <v>1467</v>
      </c>
      <c r="F353" s="41" t="s">
        <v>2079</v>
      </c>
      <c r="G353" s="41" t="s">
        <v>11</v>
      </c>
      <c r="H353" s="41" t="s">
        <v>1774</v>
      </c>
      <c r="I353" s="41"/>
      <c r="J353" s="41"/>
      <c r="K353" s="41" t="str">
        <f>IFERROR(VLOOKUP(L353,'Raw material list'!$A$3:$C$715,3,0),"")</f>
        <v>PRD1-4265</v>
      </c>
      <c r="L353" s="41" t="s">
        <v>38</v>
      </c>
      <c r="M353" s="40" t="s">
        <v>156</v>
      </c>
      <c r="N353" s="40" t="str">
        <f>VLOOKUP(L353,'Raw material list'!$A$3:$E$715,5,0)</f>
        <v xml:space="preserve">Gram </v>
      </c>
      <c r="O353" s="40">
        <v>400</v>
      </c>
      <c r="P353" s="299">
        <f t="shared" si="20"/>
        <v>470.58823529411768</v>
      </c>
      <c r="Q353" s="105">
        <v>85</v>
      </c>
      <c r="R353" s="40">
        <v>10</v>
      </c>
      <c r="S353" s="40"/>
      <c r="T353" s="105">
        <f t="shared" si="21"/>
        <v>40</v>
      </c>
      <c r="U353" s="105">
        <f t="shared" si="22"/>
        <v>47.058823529411768</v>
      </c>
      <c r="V353" s="104">
        <f>IFERROR(VLOOKUP(L353,'Raw material list'!$A$2:$S$3102,6,0),0)</f>
        <v>3.529411764705882E-3</v>
      </c>
      <c r="W353" s="104">
        <f t="shared" si="23"/>
        <v>0.16608996539792387</v>
      </c>
    </row>
    <row r="354" spans="1:23" hidden="1" x14ac:dyDescent="0.55000000000000004">
      <c r="A354" s="41" t="s">
        <v>1479</v>
      </c>
      <c r="B354" s="41" t="s">
        <v>35</v>
      </c>
      <c r="C354" s="41" t="s">
        <v>10</v>
      </c>
      <c r="D354" s="41" t="s">
        <v>1472</v>
      </c>
      <c r="E354" s="41" t="s">
        <v>1467</v>
      </c>
      <c r="F354" s="41" t="s">
        <v>2079</v>
      </c>
      <c r="G354" s="41" t="s">
        <v>11</v>
      </c>
      <c r="H354" s="41" t="s">
        <v>1774</v>
      </c>
      <c r="I354" s="41"/>
      <c r="J354" s="41"/>
      <c r="K354" s="41" t="str">
        <f>IFERROR(VLOOKUP(L354,'Raw material list'!$A$3:$C$715,3,0),"")</f>
        <v>TAP-00001</v>
      </c>
      <c r="L354" s="41" t="s">
        <v>1405</v>
      </c>
      <c r="M354" s="40" t="s">
        <v>206</v>
      </c>
      <c r="N354" s="40" t="str">
        <f>VLOOKUP(L354,'Raw material list'!$A$3:$E$715,5,0)</f>
        <v>Ml</v>
      </c>
      <c r="O354" s="40">
        <v>1800</v>
      </c>
      <c r="P354" s="299">
        <f t="shared" si="20"/>
        <v>1800</v>
      </c>
      <c r="Q354" s="300">
        <v>100</v>
      </c>
      <c r="R354" s="40">
        <v>10</v>
      </c>
      <c r="S354" s="40"/>
      <c r="T354" s="105">
        <f t="shared" si="21"/>
        <v>180</v>
      </c>
      <c r="U354" s="105">
        <f t="shared" si="22"/>
        <v>180</v>
      </c>
      <c r="V354" s="104">
        <f>IFERROR(VLOOKUP(L354,'Raw material list'!$A$2:$S$3102,6,0),0)</f>
        <v>8.0000000000000007E-5</v>
      </c>
      <c r="W354" s="104">
        <f t="shared" si="23"/>
        <v>1.4400000000000001E-2</v>
      </c>
    </row>
    <row r="355" spans="1:23" hidden="1" x14ac:dyDescent="0.55000000000000004">
      <c r="A355" s="41" t="s">
        <v>1479</v>
      </c>
      <c r="B355" s="41" t="s">
        <v>35</v>
      </c>
      <c r="C355" s="41" t="s">
        <v>10</v>
      </c>
      <c r="D355" s="41" t="s">
        <v>1472</v>
      </c>
      <c r="E355" s="41" t="s">
        <v>1467</v>
      </c>
      <c r="F355" s="41" t="s">
        <v>2079</v>
      </c>
      <c r="G355" s="41" t="s">
        <v>11</v>
      </c>
      <c r="H355" s="41" t="s">
        <v>1774</v>
      </c>
      <c r="I355" s="41"/>
      <c r="J355" s="41"/>
      <c r="K355" s="41" t="str">
        <f>IFERROR(VLOOKUP(L355,'Raw material list'!$A$3:$C$715,3,0),"")</f>
        <v>DRS1-3357</v>
      </c>
      <c r="L355" s="41" t="s">
        <v>316</v>
      </c>
      <c r="M355" s="40" t="s">
        <v>156</v>
      </c>
      <c r="N355" s="40" t="str">
        <f>VLOOKUP(L355,'Raw material list'!$A$3:$E$715,5,0)</f>
        <v xml:space="preserve">Gram </v>
      </c>
      <c r="O355" s="40">
        <v>40</v>
      </c>
      <c r="P355" s="299">
        <f t="shared" si="20"/>
        <v>40</v>
      </c>
      <c r="Q355" s="40">
        <v>100</v>
      </c>
      <c r="R355" s="40">
        <v>10</v>
      </c>
      <c r="S355" s="40"/>
      <c r="T355" s="105">
        <f t="shared" si="21"/>
        <v>4</v>
      </c>
      <c r="U355" s="105">
        <f t="shared" si="22"/>
        <v>4</v>
      </c>
      <c r="V355" s="104">
        <f>IFERROR(VLOOKUP(L355,'Raw material list'!$A$2:$S$3102,6,0),0)</f>
        <v>6.8440000000000001E-2</v>
      </c>
      <c r="W355" s="104">
        <f t="shared" si="23"/>
        <v>0.27376</v>
      </c>
    </row>
    <row r="356" spans="1:23" hidden="1" x14ac:dyDescent="0.55000000000000004">
      <c r="A356" s="41" t="s">
        <v>1479</v>
      </c>
      <c r="B356" s="41" t="s">
        <v>35</v>
      </c>
      <c r="C356" s="41" t="s">
        <v>10</v>
      </c>
      <c r="D356" s="41" t="s">
        <v>1472</v>
      </c>
      <c r="E356" s="41" t="s">
        <v>1467</v>
      </c>
      <c r="F356" s="41" t="s">
        <v>2079</v>
      </c>
      <c r="G356" s="41" t="s">
        <v>11</v>
      </c>
      <c r="H356" s="41" t="s">
        <v>1774</v>
      </c>
      <c r="I356" s="41"/>
      <c r="J356" s="41"/>
      <c r="K356" s="41" t="str">
        <f>IFERROR(VLOOKUP(L356,'Raw material list'!$A$3:$C$715,3,0),"")</f>
        <v>DRS1-4104</v>
      </c>
      <c r="L356" s="41" t="s">
        <v>1451</v>
      </c>
      <c r="M356" s="40" t="s">
        <v>156</v>
      </c>
      <c r="N356" s="40" t="str">
        <f>VLOOKUP(L356,'Raw material list'!$A$3:$E$715,5,0)</f>
        <v xml:space="preserve">Gram </v>
      </c>
      <c r="O356" s="40">
        <v>15</v>
      </c>
      <c r="P356" s="299">
        <f t="shared" si="20"/>
        <v>15</v>
      </c>
      <c r="Q356" s="40">
        <v>100</v>
      </c>
      <c r="R356" s="40">
        <v>10</v>
      </c>
      <c r="S356" s="40"/>
      <c r="T356" s="105">
        <f t="shared" si="21"/>
        <v>1.5</v>
      </c>
      <c r="U356" s="105">
        <f t="shared" si="22"/>
        <v>1.5</v>
      </c>
      <c r="V356" s="104">
        <f>IFERROR(VLOOKUP(L356,'Raw material list'!$A$2:$S$3102,6,0),0)</f>
        <v>4.8886666666666669E-2</v>
      </c>
      <c r="W356" s="104">
        <f t="shared" si="23"/>
        <v>7.3330000000000006E-2</v>
      </c>
    </row>
    <row r="357" spans="1:23" hidden="1" x14ac:dyDescent="0.55000000000000004">
      <c r="A357" s="41" t="s">
        <v>1479</v>
      </c>
      <c r="B357" s="41" t="s">
        <v>35</v>
      </c>
      <c r="C357" s="41" t="s">
        <v>10</v>
      </c>
      <c r="D357" s="41" t="s">
        <v>1472</v>
      </c>
      <c r="E357" s="41" t="s">
        <v>1467</v>
      </c>
      <c r="F357" s="41" t="s">
        <v>2079</v>
      </c>
      <c r="G357" s="41" t="s">
        <v>11</v>
      </c>
      <c r="H357" s="41" t="s">
        <v>1774</v>
      </c>
      <c r="I357" s="41"/>
      <c r="J357" s="41"/>
      <c r="K357" s="41" t="str">
        <f>IFERROR(VLOOKUP(L357,'Raw material list'!$A$3:$C$715,3,0),"")</f>
        <v>DRS6-3593</v>
      </c>
      <c r="L357" s="41" t="s">
        <v>1407</v>
      </c>
      <c r="M357" s="40" t="s">
        <v>156</v>
      </c>
      <c r="N357" s="40" t="str">
        <f>VLOOKUP(L357,'Raw material list'!$A$3:$E$715,5,0)</f>
        <v xml:space="preserve">Gram </v>
      </c>
      <c r="O357" s="40">
        <v>3</v>
      </c>
      <c r="P357" s="299">
        <f t="shared" si="20"/>
        <v>3</v>
      </c>
      <c r="Q357" s="40">
        <v>100</v>
      </c>
      <c r="R357" s="40">
        <v>10</v>
      </c>
      <c r="S357" s="40"/>
      <c r="T357" s="105">
        <f t="shared" si="21"/>
        <v>0.3</v>
      </c>
      <c r="U357" s="105">
        <f t="shared" si="22"/>
        <v>0.3</v>
      </c>
      <c r="V357" s="104">
        <f>IFERROR(VLOOKUP(L357,'Raw material list'!$A$2:$S$3102,6,0),0)</f>
        <v>8.0000000000000002E-3</v>
      </c>
      <c r="W357" s="104">
        <f t="shared" si="23"/>
        <v>2.3999999999999998E-3</v>
      </c>
    </row>
    <row r="358" spans="1:23" hidden="1" x14ac:dyDescent="0.55000000000000004">
      <c r="A358" s="41" t="s">
        <v>1479</v>
      </c>
      <c r="B358" s="41" t="s">
        <v>35</v>
      </c>
      <c r="C358" s="41" t="s">
        <v>10</v>
      </c>
      <c r="D358" s="41" t="s">
        <v>1472</v>
      </c>
      <c r="E358" s="41" t="s">
        <v>1467</v>
      </c>
      <c r="F358" s="41" t="s">
        <v>2079</v>
      </c>
      <c r="G358" s="41" t="s">
        <v>11</v>
      </c>
      <c r="H358" s="41" t="s">
        <v>1774</v>
      </c>
      <c r="I358" s="41"/>
      <c r="J358" s="41"/>
      <c r="K358" s="41" t="str">
        <f>IFERROR(VLOOKUP(L358,'Raw material list'!$A$3:$C$715,3,0),"")</f>
        <v>DRS6-261</v>
      </c>
      <c r="L358" s="41" t="s">
        <v>1406</v>
      </c>
      <c r="M358" s="40" t="s">
        <v>156</v>
      </c>
      <c r="N358" s="40" t="str">
        <f>VLOOKUP(L358,'Raw material list'!$A$3:$E$715,5,0)</f>
        <v xml:space="preserve">Gram </v>
      </c>
      <c r="O358" s="40">
        <v>5</v>
      </c>
      <c r="P358" s="299">
        <f t="shared" si="20"/>
        <v>5</v>
      </c>
      <c r="Q358" s="40">
        <v>100</v>
      </c>
      <c r="R358" s="40">
        <v>10</v>
      </c>
      <c r="S358" s="40"/>
      <c r="T358" s="105">
        <f t="shared" si="21"/>
        <v>0.5</v>
      </c>
      <c r="U358" s="105">
        <f t="shared" si="22"/>
        <v>0.5</v>
      </c>
      <c r="V358" s="104">
        <f>IFERROR(VLOOKUP(L358,'Raw material list'!$A$2:$S$3102,6,0),0)</f>
        <v>1.4E-2</v>
      </c>
      <c r="W358" s="104">
        <f t="shared" si="23"/>
        <v>7.0000000000000001E-3</v>
      </c>
    </row>
    <row r="359" spans="1:23" hidden="1" x14ac:dyDescent="0.55000000000000004">
      <c r="A359" s="41" t="s">
        <v>1479</v>
      </c>
      <c r="B359" s="41" t="s">
        <v>35</v>
      </c>
      <c r="C359" s="41" t="s">
        <v>10</v>
      </c>
      <c r="D359" s="41" t="s">
        <v>1472</v>
      </c>
      <c r="E359" s="41" t="s">
        <v>1467</v>
      </c>
      <c r="F359" s="41" t="s">
        <v>2079</v>
      </c>
      <c r="G359" s="41" t="s">
        <v>11</v>
      </c>
      <c r="H359" s="41" t="s">
        <v>1774</v>
      </c>
      <c r="I359" s="41"/>
      <c r="J359" s="41"/>
      <c r="K359" s="41" t="str">
        <f>IFERROR(VLOOKUP(L359,'Raw material list'!$A$3:$C$715,3,0),"")</f>
        <v>DRS1-3880</v>
      </c>
      <c r="L359" s="41" t="s">
        <v>1433</v>
      </c>
      <c r="M359" s="40" t="s">
        <v>156</v>
      </c>
      <c r="N359" s="40" t="str">
        <f>VLOOKUP(L359,'Raw material list'!$A$3:$E$715,5,0)</f>
        <v xml:space="preserve">Gram </v>
      </c>
      <c r="O359" s="40">
        <v>15</v>
      </c>
      <c r="P359" s="299">
        <f t="shared" si="20"/>
        <v>15</v>
      </c>
      <c r="Q359" s="40">
        <v>100</v>
      </c>
      <c r="R359" s="40">
        <v>10</v>
      </c>
      <c r="S359" s="40"/>
      <c r="T359" s="105">
        <f t="shared" si="21"/>
        <v>1.5</v>
      </c>
      <c r="U359" s="105">
        <f t="shared" si="22"/>
        <v>1.5</v>
      </c>
      <c r="V359" s="104">
        <f>IFERROR(VLOOKUP(L359,'Raw material list'!$A$2:$S$3102,6,0),0)</f>
        <v>5.0000000000000001E-4</v>
      </c>
      <c r="W359" s="104">
        <f t="shared" si="23"/>
        <v>7.5000000000000002E-4</v>
      </c>
    </row>
    <row r="360" spans="1:23" hidden="1" x14ac:dyDescent="0.55000000000000004">
      <c r="A360" s="41" t="s">
        <v>1479</v>
      </c>
      <c r="B360" s="41" t="s">
        <v>35</v>
      </c>
      <c r="C360" s="41" t="s">
        <v>10</v>
      </c>
      <c r="D360" s="41" t="s">
        <v>1472</v>
      </c>
      <c r="E360" s="41" t="s">
        <v>1467</v>
      </c>
      <c r="F360" s="41" t="s">
        <v>2079</v>
      </c>
      <c r="G360" s="41" t="s">
        <v>11</v>
      </c>
      <c r="H360" s="41" t="s">
        <v>1774</v>
      </c>
      <c r="I360" s="41"/>
      <c r="J360" s="41"/>
      <c r="K360" s="41" t="str">
        <f>IFERROR(VLOOKUP(L360,'Raw material list'!$A$3:$C$715,3,0),"")</f>
        <v>DRS6-733</v>
      </c>
      <c r="L360" s="41" t="s">
        <v>45</v>
      </c>
      <c r="M360" s="40" t="s">
        <v>156</v>
      </c>
      <c r="N360" s="40" t="str">
        <f>VLOOKUP(L360,'Raw material list'!$A$3:$E$715,5,0)</f>
        <v xml:space="preserve">Gram </v>
      </c>
      <c r="O360" s="40">
        <v>10</v>
      </c>
      <c r="P360" s="299">
        <f t="shared" si="20"/>
        <v>10</v>
      </c>
      <c r="Q360" s="40">
        <v>100</v>
      </c>
      <c r="R360" s="40">
        <v>10</v>
      </c>
      <c r="S360" s="40"/>
      <c r="T360" s="105">
        <f t="shared" si="21"/>
        <v>1</v>
      </c>
      <c r="U360" s="105">
        <f t="shared" si="22"/>
        <v>1</v>
      </c>
      <c r="V360" s="104">
        <f>IFERROR(VLOOKUP(L360,'Raw material list'!$A$2:$S$3102,6,0),0)</f>
        <v>2.8000000000000001E-2</v>
      </c>
      <c r="W360" s="104">
        <f t="shared" si="23"/>
        <v>2.8000000000000001E-2</v>
      </c>
    </row>
    <row r="361" spans="1:23" hidden="1" x14ac:dyDescent="0.55000000000000004">
      <c r="A361" s="41" t="s">
        <v>1479</v>
      </c>
      <c r="B361" s="41" t="s">
        <v>35</v>
      </c>
      <c r="C361" s="41" t="s">
        <v>10</v>
      </c>
      <c r="D361" s="41" t="s">
        <v>1472</v>
      </c>
      <c r="E361" s="41" t="s">
        <v>1467</v>
      </c>
      <c r="F361" s="41" t="s">
        <v>2079</v>
      </c>
      <c r="G361" s="41" t="s">
        <v>11</v>
      </c>
      <c r="H361" s="41" t="s">
        <v>1774</v>
      </c>
      <c r="I361" s="41"/>
      <c r="J361" s="41"/>
      <c r="K361" s="41" t="str">
        <f>IFERROR(VLOOKUP(L361,'Raw material list'!$A$3:$C$715,3,0),"")</f>
        <v>DRS1-103</v>
      </c>
      <c r="L361" s="41" t="s">
        <v>89</v>
      </c>
      <c r="M361" s="40" t="s">
        <v>156</v>
      </c>
      <c r="N361" s="40" t="str">
        <f>VLOOKUP(L361,'Raw material list'!$A$3:$E$715,5,0)</f>
        <v xml:space="preserve">Gram </v>
      </c>
      <c r="O361" s="40">
        <v>150</v>
      </c>
      <c r="P361" s="299">
        <f t="shared" si="20"/>
        <v>150</v>
      </c>
      <c r="Q361" s="40">
        <v>100</v>
      </c>
      <c r="R361" s="40">
        <v>10</v>
      </c>
      <c r="S361" s="40"/>
      <c r="T361" s="105">
        <f t="shared" si="21"/>
        <v>15</v>
      </c>
      <c r="U361" s="105">
        <f t="shared" si="22"/>
        <v>15</v>
      </c>
      <c r="V361" s="104">
        <f>IFERROR(VLOOKUP(L361,'Raw material list'!$A$2:$S$3102,6,0),0)</f>
        <v>1.0999999999999999E-2</v>
      </c>
      <c r="W361" s="104">
        <f t="shared" si="23"/>
        <v>0.16499999999999998</v>
      </c>
    </row>
    <row r="362" spans="1:23" hidden="1" x14ac:dyDescent="0.55000000000000004">
      <c r="A362" s="41" t="s">
        <v>1479</v>
      </c>
      <c r="B362" s="41" t="s">
        <v>35</v>
      </c>
      <c r="C362" s="41" t="s">
        <v>10</v>
      </c>
      <c r="D362" s="41" t="s">
        <v>1472</v>
      </c>
      <c r="E362" s="41" t="s">
        <v>1467</v>
      </c>
      <c r="F362" s="41" t="s">
        <v>2079</v>
      </c>
      <c r="G362" s="41" t="s">
        <v>11</v>
      </c>
      <c r="H362" s="41" t="s">
        <v>1774</v>
      </c>
      <c r="I362" s="41"/>
      <c r="J362" s="41"/>
      <c r="K362" s="41" t="str">
        <f>IFERROR(VLOOKUP(L362,'Raw material list'!$A$3:$C$715,3,0),"")</f>
        <v>TAP-00001</v>
      </c>
      <c r="L362" s="41" t="s">
        <v>1405</v>
      </c>
      <c r="M362" s="40" t="s">
        <v>206</v>
      </c>
      <c r="N362" s="40" t="str">
        <f>VLOOKUP(L362,'Raw material list'!$A$3:$E$715,5,0)</f>
        <v>Ml</v>
      </c>
      <c r="O362" s="40">
        <v>125</v>
      </c>
      <c r="P362" s="299">
        <f t="shared" si="20"/>
        <v>125</v>
      </c>
      <c r="Q362" s="40">
        <v>100</v>
      </c>
      <c r="R362" s="40">
        <v>10</v>
      </c>
      <c r="S362" s="40"/>
      <c r="T362" s="105">
        <f t="shared" si="21"/>
        <v>12.5</v>
      </c>
      <c r="U362" s="105">
        <f t="shared" si="22"/>
        <v>12.5</v>
      </c>
      <c r="V362" s="104">
        <f>IFERROR(VLOOKUP(L362,'Raw material list'!$A$2:$S$3102,6,0),0)</f>
        <v>8.0000000000000007E-5</v>
      </c>
      <c r="W362" s="104">
        <f t="shared" si="23"/>
        <v>1E-3</v>
      </c>
    </row>
    <row r="363" spans="1:23" hidden="1" x14ac:dyDescent="0.55000000000000004">
      <c r="A363" s="41" t="s">
        <v>1479</v>
      </c>
      <c r="B363" s="41" t="s">
        <v>35</v>
      </c>
      <c r="C363" s="41" t="s">
        <v>10</v>
      </c>
      <c r="D363" s="41" t="s">
        <v>1472</v>
      </c>
      <c r="E363" s="41" t="s">
        <v>1467</v>
      </c>
      <c r="F363" s="41" t="s">
        <v>2079</v>
      </c>
      <c r="G363" s="41" t="s">
        <v>11</v>
      </c>
      <c r="H363" s="41" t="s">
        <v>1774</v>
      </c>
      <c r="I363" s="41"/>
      <c r="J363" s="41"/>
      <c r="K363" s="41" t="str">
        <f>IFERROR(VLOOKUP(L363,'Raw material list'!$A$3:$C$715,3,0),"")</f>
        <v>DRY2-1160</v>
      </c>
      <c r="L363" s="41" t="s">
        <v>125</v>
      </c>
      <c r="M363" s="40" t="s">
        <v>156</v>
      </c>
      <c r="N363" s="40" t="str">
        <f>VLOOKUP(L363,'Raw material list'!$A$3:$E$715,5,0)</f>
        <v xml:space="preserve">Gram </v>
      </c>
      <c r="O363" s="40">
        <v>30</v>
      </c>
      <c r="P363" s="299">
        <f t="shared" si="20"/>
        <v>30</v>
      </c>
      <c r="Q363" s="40">
        <v>100</v>
      </c>
      <c r="R363" s="40">
        <v>10</v>
      </c>
      <c r="S363" s="40"/>
      <c r="T363" s="105">
        <f t="shared" si="21"/>
        <v>3</v>
      </c>
      <c r="U363" s="105">
        <f t="shared" si="22"/>
        <v>3</v>
      </c>
      <c r="V363" s="104">
        <f>IFERROR(VLOOKUP(L363,'Raw material list'!$A$2:$S$3102,6,0),0)</f>
        <v>4.4000000000000003E-3</v>
      </c>
      <c r="W363" s="104">
        <f t="shared" si="23"/>
        <v>1.32E-2</v>
      </c>
    </row>
    <row r="364" spans="1:23" hidden="1" x14ac:dyDescent="0.55000000000000004">
      <c r="A364" s="41" t="s">
        <v>1479</v>
      </c>
      <c r="B364" s="41" t="s">
        <v>35</v>
      </c>
      <c r="C364" s="41" t="s">
        <v>10</v>
      </c>
      <c r="D364" s="41" t="s">
        <v>1472</v>
      </c>
      <c r="E364" s="41" t="s">
        <v>1467</v>
      </c>
      <c r="F364" s="41" t="s">
        <v>2079</v>
      </c>
      <c r="G364" s="41" t="s">
        <v>11</v>
      </c>
      <c r="H364" s="41" t="s">
        <v>1774</v>
      </c>
      <c r="I364" s="41"/>
      <c r="J364" s="41"/>
      <c r="K364" s="41" t="str">
        <f>IFERROR(VLOOKUP(L364,'Raw material list'!$A$3:$C$715,3,0),"")</f>
        <v>DRS1-3880</v>
      </c>
      <c r="L364" s="41" t="s">
        <v>1433</v>
      </c>
      <c r="M364" s="40" t="s">
        <v>156</v>
      </c>
      <c r="N364" s="40" t="str">
        <f>VLOOKUP(L364,'Raw material list'!$A$3:$E$715,5,0)</f>
        <v xml:space="preserve">Gram </v>
      </c>
      <c r="O364" s="40">
        <v>2</v>
      </c>
      <c r="P364" s="299">
        <f t="shared" si="20"/>
        <v>2</v>
      </c>
      <c r="Q364" s="40">
        <v>100</v>
      </c>
      <c r="R364" s="40">
        <v>10</v>
      </c>
      <c r="S364" s="40"/>
      <c r="T364" s="105">
        <f t="shared" si="21"/>
        <v>0.2</v>
      </c>
      <c r="U364" s="105">
        <f t="shared" si="22"/>
        <v>0.2</v>
      </c>
      <c r="V364" s="104">
        <f>IFERROR(VLOOKUP(L364,'Raw material list'!$A$2:$S$3102,6,0),0)</f>
        <v>5.0000000000000001E-4</v>
      </c>
      <c r="W364" s="104">
        <f t="shared" si="23"/>
        <v>1E-4</v>
      </c>
    </row>
    <row r="365" spans="1:23" hidden="1" x14ac:dyDescent="0.55000000000000004">
      <c r="A365" s="41" t="s">
        <v>1479</v>
      </c>
      <c r="B365" s="41" t="s">
        <v>35</v>
      </c>
      <c r="C365" s="41" t="s">
        <v>10</v>
      </c>
      <c r="D365" s="41" t="s">
        <v>1472</v>
      </c>
      <c r="E365" s="41" t="s">
        <v>1467</v>
      </c>
      <c r="F365" s="41" t="s">
        <v>2079</v>
      </c>
      <c r="G365" s="41" t="s">
        <v>11</v>
      </c>
      <c r="H365" s="41" t="s">
        <v>1774</v>
      </c>
      <c r="I365" s="41"/>
      <c r="J365" s="41"/>
      <c r="K365" s="41" t="str">
        <f>IFERROR(VLOOKUP(L365,'Raw material list'!$A$3:$C$715,3,0),"")</f>
        <v>DRS1-3448</v>
      </c>
      <c r="L365" s="41" t="s">
        <v>87</v>
      </c>
      <c r="M365" s="40" t="s">
        <v>156</v>
      </c>
      <c r="N365" s="40" t="str">
        <f>VLOOKUP(L365,'Raw material list'!$A$3:$E$715,5,0)</f>
        <v xml:space="preserve">Gram </v>
      </c>
      <c r="O365" s="40">
        <v>2</v>
      </c>
      <c r="P365" s="299">
        <f t="shared" si="20"/>
        <v>2</v>
      </c>
      <c r="Q365" s="40">
        <v>100</v>
      </c>
      <c r="R365" s="40">
        <v>10</v>
      </c>
      <c r="S365" s="40"/>
      <c r="T365" s="105">
        <f t="shared" si="21"/>
        <v>0.2</v>
      </c>
      <c r="U365" s="105">
        <f t="shared" si="22"/>
        <v>0.2</v>
      </c>
      <c r="V365" s="104">
        <f>IFERROR(VLOOKUP(L365,'Raw material list'!$A$2:$S$3102,6,0),0)</f>
        <v>5.0000000000000001E-3</v>
      </c>
      <c r="W365" s="104">
        <f t="shared" si="23"/>
        <v>1E-3</v>
      </c>
    </row>
    <row r="366" spans="1:23" hidden="1" x14ac:dyDescent="0.55000000000000004">
      <c r="A366" s="41" t="s">
        <v>1479</v>
      </c>
      <c r="B366" s="41" t="s">
        <v>35</v>
      </c>
      <c r="C366" s="41" t="s">
        <v>10</v>
      </c>
      <c r="D366" s="41" t="s">
        <v>1472</v>
      </c>
      <c r="E366" s="41" t="s">
        <v>1467</v>
      </c>
      <c r="F366" s="41" t="s">
        <v>2079</v>
      </c>
      <c r="G366" s="41" t="s">
        <v>11</v>
      </c>
      <c r="H366" s="41" t="s">
        <v>1774</v>
      </c>
      <c r="I366" s="41"/>
      <c r="J366" s="41"/>
      <c r="K366" s="41" t="str">
        <f>IFERROR(VLOOKUP(L366,'Raw material list'!$A$3:$C$715,3,0),"")</f>
        <v>DRS6-733</v>
      </c>
      <c r="L366" s="41" t="s">
        <v>45</v>
      </c>
      <c r="M366" s="40" t="s">
        <v>156</v>
      </c>
      <c r="N366" s="40" t="str">
        <f>VLOOKUP(L366,'Raw material list'!$A$3:$E$715,5,0)</f>
        <v xml:space="preserve">Gram </v>
      </c>
      <c r="O366" s="40">
        <v>1</v>
      </c>
      <c r="P366" s="299">
        <f t="shared" si="20"/>
        <v>1</v>
      </c>
      <c r="Q366" s="40">
        <v>100</v>
      </c>
      <c r="R366" s="40">
        <v>10</v>
      </c>
      <c r="S366" s="40"/>
      <c r="T366" s="105">
        <f t="shared" si="21"/>
        <v>0.1</v>
      </c>
      <c r="U366" s="105">
        <f t="shared" si="22"/>
        <v>0.1</v>
      </c>
      <c r="V366" s="104">
        <f>IFERROR(VLOOKUP(L366,'Raw material list'!$A$2:$S$3102,6,0),0)</f>
        <v>2.8000000000000001E-2</v>
      </c>
      <c r="W366" s="104">
        <f t="shared" si="23"/>
        <v>2.8000000000000004E-3</v>
      </c>
    </row>
    <row r="367" spans="1:23" hidden="1" x14ac:dyDescent="0.55000000000000004">
      <c r="A367" s="41" t="s">
        <v>1479</v>
      </c>
      <c r="B367" s="41" t="s">
        <v>35</v>
      </c>
      <c r="C367" s="41" t="s">
        <v>10</v>
      </c>
      <c r="D367" s="41" t="s">
        <v>1472</v>
      </c>
      <c r="E367" s="41" t="s">
        <v>1467</v>
      </c>
      <c r="F367" s="41" t="s">
        <v>2079</v>
      </c>
      <c r="G367" s="41" t="s">
        <v>11</v>
      </c>
      <c r="H367" s="41" t="s">
        <v>1774</v>
      </c>
      <c r="I367" s="41"/>
      <c r="J367" s="41"/>
      <c r="K367" s="41" t="str">
        <f>IFERROR(VLOOKUP(L367,'Raw material list'!$A$3:$C$715,3,0),"")</f>
        <v>DRS6-1674</v>
      </c>
      <c r="L367" s="41" t="s">
        <v>73</v>
      </c>
      <c r="M367" s="40" t="s">
        <v>156</v>
      </c>
      <c r="N367" s="40" t="str">
        <f>VLOOKUP(L367,'Raw material list'!$A$3:$E$715,5,0)</f>
        <v xml:space="preserve">Gram </v>
      </c>
      <c r="O367" s="40">
        <v>2</v>
      </c>
      <c r="P367" s="299">
        <f t="shared" si="20"/>
        <v>2</v>
      </c>
      <c r="Q367" s="40">
        <v>100</v>
      </c>
      <c r="R367" s="40">
        <v>10</v>
      </c>
      <c r="S367" s="40"/>
      <c r="T367" s="105">
        <f t="shared" si="21"/>
        <v>0.2</v>
      </c>
      <c r="U367" s="105">
        <f t="shared" si="22"/>
        <v>0.2</v>
      </c>
      <c r="V367" s="104">
        <f>IFERROR(VLOOKUP(L367,'Raw material list'!$A$2:$S$3102,6,0),0)</f>
        <v>1.2500000000000001E-2</v>
      </c>
      <c r="W367" s="104">
        <f t="shared" si="23"/>
        <v>2.5000000000000005E-3</v>
      </c>
    </row>
    <row r="368" spans="1:23" hidden="1" x14ac:dyDescent="0.55000000000000004">
      <c r="A368" s="41" t="s">
        <v>1479</v>
      </c>
      <c r="B368" s="41" t="s">
        <v>35</v>
      </c>
      <c r="C368" s="41" t="s">
        <v>10</v>
      </c>
      <c r="D368" s="41" t="s">
        <v>1472</v>
      </c>
      <c r="E368" s="41" t="s">
        <v>1467</v>
      </c>
      <c r="F368" s="41" t="s">
        <v>2079</v>
      </c>
      <c r="G368" s="41" t="s">
        <v>11</v>
      </c>
      <c r="H368" s="41" t="s">
        <v>1774</v>
      </c>
      <c r="I368" s="41"/>
      <c r="J368" s="41"/>
      <c r="K368" s="41" t="str">
        <f>IFERROR(VLOOKUP(L368,'Raw material list'!$A$3:$C$715,3,0),"")</f>
        <v>DRS1-3448</v>
      </c>
      <c r="L368" s="41" t="s">
        <v>87</v>
      </c>
      <c r="M368" s="40" t="s">
        <v>156</v>
      </c>
      <c r="N368" s="40" t="str">
        <f>VLOOKUP(L368,'Raw material list'!$A$3:$E$715,5,0)</f>
        <v xml:space="preserve">Gram </v>
      </c>
      <c r="O368" s="40">
        <v>2</v>
      </c>
      <c r="P368" s="299">
        <f t="shared" si="20"/>
        <v>2</v>
      </c>
      <c r="Q368" s="40">
        <v>100</v>
      </c>
      <c r="R368" s="40">
        <v>10</v>
      </c>
      <c r="S368" s="40"/>
      <c r="T368" s="105">
        <f t="shared" si="21"/>
        <v>0.2</v>
      </c>
      <c r="U368" s="105">
        <f t="shared" si="22"/>
        <v>0.2</v>
      </c>
      <c r="V368" s="104">
        <f>IFERROR(VLOOKUP(L368,'Raw material list'!$A$2:$S$3102,6,0),0)</f>
        <v>5.0000000000000001E-3</v>
      </c>
      <c r="W368" s="104">
        <f t="shared" si="23"/>
        <v>1E-3</v>
      </c>
    </row>
    <row r="369" spans="1:23" s="66" customFormat="1" hidden="1" x14ac:dyDescent="0.55000000000000004">
      <c r="A369" s="64" t="s">
        <v>1480</v>
      </c>
      <c r="B369" s="64" t="s">
        <v>35</v>
      </c>
      <c r="C369" s="64" t="s">
        <v>10</v>
      </c>
      <c r="D369" s="64" t="s">
        <v>13</v>
      </c>
      <c r="E369" s="64" t="s">
        <v>1467</v>
      </c>
      <c r="F369" s="64" t="s">
        <v>2079</v>
      </c>
      <c r="G369" s="41" t="s">
        <v>11</v>
      </c>
      <c r="H369" s="41" t="s">
        <v>1774</v>
      </c>
      <c r="I369" s="64"/>
      <c r="J369" s="64"/>
      <c r="K369" s="64" t="str">
        <f>IFERROR(VLOOKUP(L369,'Raw material list'!$A$3:$C$715,3,0),"")</f>
        <v>DRS2-1367</v>
      </c>
      <c r="L369" s="64" t="s">
        <v>47</v>
      </c>
      <c r="M369" s="65" t="s">
        <v>156</v>
      </c>
      <c r="N369" s="40" t="str">
        <f>VLOOKUP(L369,'Raw material list'!$A$3:$E$715,5,0)</f>
        <v xml:space="preserve">Gram </v>
      </c>
      <c r="O369" s="65">
        <v>500</v>
      </c>
      <c r="P369" s="299">
        <f t="shared" si="20"/>
        <v>500</v>
      </c>
      <c r="Q369" s="65">
        <v>100</v>
      </c>
      <c r="R369" s="65">
        <v>15</v>
      </c>
      <c r="S369" s="65"/>
      <c r="T369" s="105">
        <f t="shared" si="21"/>
        <v>33.333333333333336</v>
      </c>
      <c r="U369" s="105">
        <f t="shared" si="22"/>
        <v>33.333333333333336</v>
      </c>
      <c r="V369" s="104">
        <f>IFERROR(VLOOKUP(L369,'Raw material list'!$A$2:$S$3102,6,0),0)</f>
        <v>2.666E-2</v>
      </c>
      <c r="W369" s="104">
        <f t="shared" si="23"/>
        <v>0.88866666666666672</v>
      </c>
    </row>
    <row r="370" spans="1:23" s="66" customFormat="1" hidden="1" x14ac:dyDescent="0.55000000000000004">
      <c r="A370" s="64" t="s">
        <v>1480</v>
      </c>
      <c r="B370" s="64" t="s">
        <v>35</v>
      </c>
      <c r="C370" s="64" t="s">
        <v>10</v>
      </c>
      <c r="D370" s="64" t="s">
        <v>13</v>
      </c>
      <c r="E370" s="64" t="s">
        <v>1467</v>
      </c>
      <c r="F370" s="64" t="s">
        <v>2079</v>
      </c>
      <c r="G370" s="41" t="s">
        <v>11</v>
      </c>
      <c r="H370" s="41" t="s">
        <v>1774</v>
      </c>
      <c r="I370" s="64"/>
      <c r="J370" s="64"/>
      <c r="K370" s="64" t="str">
        <f>IFERROR(VLOOKUP(L370,'Raw material list'!$A$3:$C$715,3,0),"")</f>
        <v>DRY1-1801</v>
      </c>
      <c r="L370" s="64" t="s">
        <v>49</v>
      </c>
      <c r="M370" s="65" t="s">
        <v>156</v>
      </c>
      <c r="N370" s="40" t="str">
        <f>VLOOKUP(L370,'Raw material list'!$A$3:$E$715,5,0)</f>
        <v xml:space="preserve">Gram </v>
      </c>
      <c r="O370" s="65">
        <v>400</v>
      </c>
      <c r="P370" s="299">
        <f t="shared" si="20"/>
        <v>400</v>
      </c>
      <c r="Q370" s="65">
        <v>100</v>
      </c>
      <c r="R370" s="65">
        <v>15</v>
      </c>
      <c r="S370" s="65"/>
      <c r="T370" s="105">
        <f t="shared" si="21"/>
        <v>26.666666666666668</v>
      </c>
      <c r="U370" s="105">
        <f t="shared" si="22"/>
        <v>26.666666666666668</v>
      </c>
      <c r="V370" s="104">
        <f>IFERROR(VLOOKUP(L370,'Raw material list'!$A$2:$S$3102,6,0),0)</f>
        <v>2.5000000000000001E-2</v>
      </c>
      <c r="W370" s="104">
        <f t="shared" si="23"/>
        <v>0.66666666666666674</v>
      </c>
    </row>
    <row r="371" spans="1:23" s="66" customFormat="1" hidden="1" x14ac:dyDescent="0.55000000000000004">
      <c r="A371" s="64" t="s">
        <v>1480</v>
      </c>
      <c r="B371" s="64" t="s">
        <v>35</v>
      </c>
      <c r="C371" s="64" t="s">
        <v>10</v>
      </c>
      <c r="D371" s="64" t="s">
        <v>13</v>
      </c>
      <c r="E371" s="64" t="s">
        <v>1467</v>
      </c>
      <c r="F371" s="64" t="s">
        <v>2079</v>
      </c>
      <c r="G371" s="41" t="s">
        <v>11</v>
      </c>
      <c r="H371" s="41" t="s">
        <v>1774</v>
      </c>
      <c r="I371" s="64"/>
      <c r="J371" s="64"/>
      <c r="K371" s="64" t="str">
        <f>IFERROR(VLOOKUP(L371,'Raw material list'!$A$3:$C$715,3,0),"")</f>
        <v>DRS3-1813</v>
      </c>
      <c r="L371" s="64" t="s">
        <v>69</v>
      </c>
      <c r="M371" s="65" t="s">
        <v>206</v>
      </c>
      <c r="N371" s="40" t="str">
        <f>VLOOKUP(L371,'Raw material list'!$A$3:$E$715,5,0)</f>
        <v>Ml</v>
      </c>
      <c r="O371" s="65">
        <v>75</v>
      </c>
      <c r="P371" s="299">
        <f t="shared" si="20"/>
        <v>75</v>
      </c>
      <c r="Q371" s="65">
        <v>100</v>
      </c>
      <c r="R371" s="65">
        <v>15</v>
      </c>
      <c r="S371" s="65"/>
      <c r="T371" s="105">
        <f t="shared" si="21"/>
        <v>5</v>
      </c>
      <c r="U371" s="105">
        <f t="shared" si="22"/>
        <v>5</v>
      </c>
      <c r="V371" s="104">
        <f>IFERROR(VLOOKUP(L371,'Raw material list'!$A$2:$S$3102,6,0),0)</f>
        <v>8.0555555555555554E-3</v>
      </c>
      <c r="W371" s="104">
        <f t="shared" si="23"/>
        <v>4.0277777777777773E-2</v>
      </c>
    </row>
    <row r="372" spans="1:23" s="66" customFormat="1" hidden="1" x14ac:dyDescent="0.55000000000000004">
      <c r="A372" s="64" t="s">
        <v>1480</v>
      </c>
      <c r="B372" s="64" t="s">
        <v>35</v>
      </c>
      <c r="C372" s="64" t="s">
        <v>10</v>
      </c>
      <c r="D372" s="64" t="s">
        <v>13</v>
      </c>
      <c r="E372" s="64" t="s">
        <v>1467</v>
      </c>
      <c r="F372" s="64" t="s">
        <v>2079</v>
      </c>
      <c r="G372" s="41" t="s">
        <v>11</v>
      </c>
      <c r="H372" s="41" t="s">
        <v>1774</v>
      </c>
      <c r="I372" s="64"/>
      <c r="J372" s="64"/>
      <c r="K372" s="64" t="str">
        <f>IFERROR(VLOOKUP(L372,'Raw material list'!$A$3:$C$715,3,0),"")</f>
        <v>PRD1-4265</v>
      </c>
      <c r="L372" s="64" t="s">
        <v>38</v>
      </c>
      <c r="M372" s="65" t="s">
        <v>156</v>
      </c>
      <c r="N372" s="40" t="str">
        <f>VLOOKUP(L372,'Raw material list'!$A$3:$E$715,5,0)</f>
        <v xml:space="preserve">Gram </v>
      </c>
      <c r="O372" s="65">
        <v>200</v>
      </c>
      <c r="P372" s="299">
        <f t="shared" si="20"/>
        <v>235.29411764705884</v>
      </c>
      <c r="Q372" s="105">
        <v>85</v>
      </c>
      <c r="R372" s="65">
        <v>15</v>
      </c>
      <c r="S372" s="65"/>
      <c r="T372" s="105">
        <f t="shared" si="21"/>
        <v>13.333333333333334</v>
      </c>
      <c r="U372" s="105">
        <f t="shared" si="22"/>
        <v>15.686274509803923</v>
      </c>
      <c r="V372" s="104">
        <f>IFERROR(VLOOKUP(L372,'Raw material list'!$A$2:$S$3102,6,0),0)</f>
        <v>3.529411764705882E-3</v>
      </c>
      <c r="W372" s="104">
        <f t="shared" si="23"/>
        <v>5.536332179930796E-2</v>
      </c>
    </row>
    <row r="373" spans="1:23" s="66" customFormat="1" hidden="1" x14ac:dyDescent="0.55000000000000004">
      <c r="A373" s="64" t="s">
        <v>1480</v>
      </c>
      <c r="B373" s="64" t="s">
        <v>35</v>
      </c>
      <c r="C373" s="64" t="s">
        <v>10</v>
      </c>
      <c r="D373" s="64" t="s">
        <v>13</v>
      </c>
      <c r="E373" s="64" t="s">
        <v>1467</v>
      </c>
      <c r="F373" s="64" t="s">
        <v>2079</v>
      </c>
      <c r="G373" s="41" t="s">
        <v>11</v>
      </c>
      <c r="H373" s="41" t="s">
        <v>1774</v>
      </c>
      <c r="I373" s="64"/>
      <c r="J373" s="64"/>
      <c r="K373" s="64" t="str">
        <f>IFERROR(VLOOKUP(L373,'Raw material list'!$A$3:$C$715,3,0),"")</f>
        <v>PRD1-186</v>
      </c>
      <c r="L373" s="64" t="s">
        <v>37</v>
      </c>
      <c r="M373" s="65" t="s">
        <v>156</v>
      </c>
      <c r="N373" s="40" t="str">
        <f>VLOOKUP(L373,'Raw material list'!$A$3:$E$715,5,0)</f>
        <v xml:space="preserve">Gram </v>
      </c>
      <c r="O373" s="65">
        <v>200</v>
      </c>
      <c r="P373" s="299">
        <f t="shared" si="20"/>
        <v>244.89795918367346</v>
      </c>
      <c r="Q373" s="105">
        <v>81.666666666666671</v>
      </c>
      <c r="R373" s="65">
        <v>15</v>
      </c>
      <c r="S373" s="65"/>
      <c r="T373" s="105">
        <f t="shared" si="21"/>
        <v>13.333333333333334</v>
      </c>
      <c r="U373" s="105">
        <f t="shared" si="22"/>
        <v>16.326530612244898</v>
      </c>
      <c r="V373" s="104">
        <f>IFERROR(VLOOKUP(L373,'Raw material list'!$A$2:$S$3102,6,0),0)</f>
        <v>5.8139534883720938E-3</v>
      </c>
      <c r="W373" s="104">
        <f t="shared" si="23"/>
        <v>9.4921689606074999E-2</v>
      </c>
    </row>
    <row r="374" spans="1:23" s="66" customFormat="1" hidden="1" x14ac:dyDescent="0.55000000000000004">
      <c r="A374" s="64" t="s">
        <v>1480</v>
      </c>
      <c r="B374" s="64" t="s">
        <v>35</v>
      </c>
      <c r="C374" s="64" t="s">
        <v>10</v>
      </c>
      <c r="D374" s="64" t="s">
        <v>13</v>
      </c>
      <c r="E374" s="64" t="s">
        <v>1467</v>
      </c>
      <c r="F374" s="64" t="s">
        <v>2079</v>
      </c>
      <c r="G374" s="41" t="s">
        <v>11</v>
      </c>
      <c r="H374" s="41" t="s">
        <v>1774</v>
      </c>
      <c r="I374" s="64"/>
      <c r="J374" s="64"/>
      <c r="K374" s="64" t="str">
        <f>IFERROR(VLOOKUP(L374,'Raw material list'!$A$3:$C$715,3,0),"")</f>
        <v>PRD1-191</v>
      </c>
      <c r="L374" s="64" t="s">
        <v>996</v>
      </c>
      <c r="M374" s="65" t="s">
        <v>156</v>
      </c>
      <c r="N374" s="40" t="str">
        <f>VLOOKUP(L374,'Raw material list'!$A$3:$E$715,5,0)</f>
        <v xml:space="preserve">Gram </v>
      </c>
      <c r="O374" s="65">
        <v>50</v>
      </c>
      <c r="P374" s="299">
        <f t="shared" si="20"/>
        <v>56.753688989784337</v>
      </c>
      <c r="Q374" s="105">
        <v>88.1</v>
      </c>
      <c r="R374" s="65">
        <v>15</v>
      </c>
      <c r="S374" s="65"/>
      <c r="T374" s="105">
        <f t="shared" si="21"/>
        <v>3.3333333333333335</v>
      </c>
      <c r="U374" s="105">
        <f t="shared" si="22"/>
        <v>3.7835792659856224</v>
      </c>
      <c r="V374" s="104">
        <f>IFERROR(VLOOKUP(L374,'Raw material list'!$A$2:$S$3102,6,0),0)</f>
        <v>2.4971623155505111E-2</v>
      </c>
      <c r="W374" s="104">
        <f t="shared" si="23"/>
        <v>9.4482115609175604E-2</v>
      </c>
    </row>
    <row r="375" spans="1:23" s="75" customFormat="1" hidden="1" x14ac:dyDescent="0.55000000000000004">
      <c r="A375" s="64" t="s">
        <v>1480</v>
      </c>
      <c r="B375" s="64" t="s">
        <v>35</v>
      </c>
      <c r="C375" s="64" t="s">
        <v>10</v>
      </c>
      <c r="D375" s="64" t="s">
        <v>13</v>
      </c>
      <c r="E375" s="64" t="s">
        <v>1467</v>
      </c>
      <c r="F375" s="64" t="s">
        <v>2079</v>
      </c>
      <c r="G375" s="41" t="s">
        <v>11</v>
      </c>
      <c r="H375" s="41" t="s">
        <v>1774</v>
      </c>
      <c r="I375" s="64"/>
      <c r="J375" s="64"/>
      <c r="K375" s="64" t="str">
        <f>IFERROR(VLOOKUP(L375,'Raw material list'!$A$3:$C$715,3,0),"")</f>
        <v>DRS6-733</v>
      </c>
      <c r="L375" s="64" t="s">
        <v>45</v>
      </c>
      <c r="M375" s="65" t="s">
        <v>156</v>
      </c>
      <c r="N375" s="40" t="str">
        <f>VLOOKUP(L375,'Raw material list'!$A$3:$E$715,5,0)</f>
        <v xml:space="preserve">Gram </v>
      </c>
      <c r="O375" s="65">
        <v>2</v>
      </c>
      <c r="P375" s="299">
        <f t="shared" si="20"/>
        <v>2</v>
      </c>
      <c r="Q375" s="301">
        <v>100</v>
      </c>
      <c r="R375" s="65">
        <v>15</v>
      </c>
      <c r="S375" s="65"/>
      <c r="T375" s="105">
        <f t="shared" si="21"/>
        <v>0.13333333333333333</v>
      </c>
      <c r="U375" s="105">
        <f t="shared" si="22"/>
        <v>0.13333333333333333</v>
      </c>
      <c r="V375" s="104">
        <f>IFERROR(VLOOKUP(L375,'Raw material list'!$A$2:$S$3102,6,0),0)</f>
        <v>2.8000000000000001E-2</v>
      </c>
      <c r="W375" s="104">
        <f t="shared" si="23"/>
        <v>3.7333333333333333E-3</v>
      </c>
    </row>
    <row r="376" spans="1:23" s="75" customFormat="1" hidden="1" x14ac:dyDescent="0.55000000000000004">
      <c r="A376" s="64" t="s">
        <v>1480</v>
      </c>
      <c r="B376" s="64" t="s">
        <v>35</v>
      </c>
      <c r="C376" s="64" t="s">
        <v>10</v>
      </c>
      <c r="D376" s="64" t="s">
        <v>13</v>
      </c>
      <c r="E376" s="64" t="s">
        <v>1467</v>
      </c>
      <c r="F376" s="64" t="s">
        <v>2079</v>
      </c>
      <c r="G376" s="41" t="s">
        <v>11</v>
      </c>
      <c r="H376" s="41" t="s">
        <v>1774</v>
      </c>
      <c r="I376" s="64"/>
      <c r="J376" s="64"/>
      <c r="K376" s="64" t="str">
        <f>IFERROR(VLOOKUP(L376,'Raw material list'!$A$3:$C$715,3,0),"")</f>
        <v>DRS6-537</v>
      </c>
      <c r="L376" s="64" t="s">
        <v>46</v>
      </c>
      <c r="M376" s="65" t="s">
        <v>156</v>
      </c>
      <c r="N376" s="40" t="str">
        <f>VLOOKUP(L376,'Raw material list'!$A$3:$E$715,5,0)</f>
        <v xml:space="preserve">Gram </v>
      </c>
      <c r="O376" s="65">
        <v>2</v>
      </c>
      <c r="P376" s="299">
        <f t="shared" si="20"/>
        <v>2</v>
      </c>
      <c r="Q376" s="65">
        <v>100</v>
      </c>
      <c r="R376" s="65">
        <v>15</v>
      </c>
      <c r="S376" s="65"/>
      <c r="T376" s="105">
        <f t="shared" si="21"/>
        <v>0.13333333333333333</v>
      </c>
      <c r="U376" s="105">
        <f t="shared" si="22"/>
        <v>0.13333333333333333</v>
      </c>
      <c r="V376" s="104">
        <f>IFERROR(VLOOKUP(L376,'Raw material list'!$A$2:$S$3102,6,0),0)</f>
        <v>3.5000000000000003E-2</v>
      </c>
      <c r="W376" s="104">
        <f t="shared" si="23"/>
        <v>4.6666666666666671E-3</v>
      </c>
    </row>
    <row r="377" spans="1:23" s="75" customFormat="1" hidden="1" x14ac:dyDescent="0.55000000000000004">
      <c r="A377" s="64" t="s">
        <v>1480</v>
      </c>
      <c r="B377" s="64" t="s">
        <v>35</v>
      </c>
      <c r="C377" s="64" t="s">
        <v>10</v>
      </c>
      <c r="D377" s="64" t="s">
        <v>13</v>
      </c>
      <c r="E377" s="64" t="s">
        <v>1467</v>
      </c>
      <c r="F377" s="64" t="s">
        <v>2079</v>
      </c>
      <c r="G377" s="41" t="s">
        <v>11</v>
      </c>
      <c r="H377" s="41" t="s">
        <v>1774</v>
      </c>
      <c r="I377" s="64"/>
      <c r="J377" s="64"/>
      <c r="K377" s="64" t="str">
        <f>IFERROR(VLOOKUP(L377,'Raw material list'!$A$3:$C$715,3,0),"")</f>
        <v>DRS6-1570</v>
      </c>
      <c r="L377" s="64" t="s">
        <v>51</v>
      </c>
      <c r="M377" s="65" t="s">
        <v>156</v>
      </c>
      <c r="N377" s="40" t="str">
        <f>VLOOKUP(L377,'Raw material list'!$A$3:$E$715,5,0)</f>
        <v xml:space="preserve">Gram </v>
      </c>
      <c r="O377" s="65">
        <v>2</v>
      </c>
      <c r="P377" s="299">
        <f t="shared" si="20"/>
        <v>2</v>
      </c>
      <c r="Q377" s="65">
        <v>100</v>
      </c>
      <c r="R377" s="65">
        <v>15</v>
      </c>
      <c r="S377" s="65"/>
      <c r="T377" s="105">
        <f t="shared" si="21"/>
        <v>0.13333333333333333</v>
      </c>
      <c r="U377" s="105">
        <f t="shared" si="22"/>
        <v>0.13333333333333333</v>
      </c>
      <c r="V377" s="104">
        <f>IFERROR(VLOOKUP(L377,'Raw material list'!$A$2:$S$3102,6,0),0)</f>
        <v>9.3526666666666654E-3</v>
      </c>
      <c r="W377" s="104">
        <f t="shared" si="23"/>
        <v>1.2470222222222219E-3</v>
      </c>
    </row>
    <row r="378" spans="1:23" s="75" customFormat="1" hidden="1" x14ac:dyDescent="0.55000000000000004">
      <c r="A378" s="64" t="s">
        <v>1480</v>
      </c>
      <c r="B378" s="64" t="s">
        <v>35</v>
      </c>
      <c r="C378" s="64" t="s">
        <v>10</v>
      </c>
      <c r="D378" s="64" t="s">
        <v>13</v>
      </c>
      <c r="E378" s="64" t="s">
        <v>1467</v>
      </c>
      <c r="F378" s="64" t="s">
        <v>2079</v>
      </c>
      <c r="G378" s="41" t="s">
        <v>11</v>
      </c>
      <c r="H378" s="41" t="s">
        <v>1774</v>
      </c>
      <c r="I378" s="64"/>
      <c r="J378" s="64"/>
      <c r="K378" s="64" t="str">
        <f>IFERROR(VLOOKUP(L378,'Raw material list'!$A$3:$C$715,3,0),"")</f>
        <v>DRS1-446</v>
      </c>
      <c r="L378" s="64" t="s">
        <v>52</v>
      </c>
      <c r="M378" s="65" t="s">
        <v>156</v>
      </c>
      <c r="N378" s="40" t="str">
        <f>VLOOKUP(L378,'Raw material list'!$A$3:$E$715,5,0)</f>
        <v xml:space="preserve">Gram </v>
      </c>
      <c r="O378" s="65">
        <v>50</v>
      </c>
      <c r="P378" s="299">
        <f t="shared" si="20"/>
        <v>50</v>
      </c>
      <c r="Q378" s="65">
        <v>100</v>
      </c>
      <c r="R378" s="65">
        <v>15</v>
      </c>
      <c r="S378" s="65"/>
      <c r="T378" s="105">
        <f t="shared" si="21"/>
        <v>3.3333333333333335</v>
      </c>
      <c r="U378" s="105">
        <f t="shared" si="22"/>
        <v>3.3333333333333335</v>
      </c>
      <c r="V378" s="104">
        <f>IFERROR(VLOOKUP(L378,'Raw material list'!$A$2:$S$3102,6,0),0)</f>
        <v>1.2986807387862797E-2</v>
      </c>
      <c r="W378" s="104">
        <f t="shared" si="23"/>
        <v>4.3289357959542661E-2</v>
      </c>
    </row>
    <row r="379" spans="1:23" s="75" customFormat="1" hidden="1" x14ac:dyDescent="0.55000000000000004">
      <c r="A379" s="64" t="s">
        <v>1480</v>
      </c>
      <c r="B379" s="64" t="s">
        <v>35</v>
      </c>
      <c r="C379" s="64" t="s">
        <v>10</v>
      </c>
      <c r="D379" s="64" t="s">
        <v>13</v>
      </c>
      <c r="E379" s="64" t="s">
        <v>1467</v>
      </c>
      <c r="F379" s="64" t="s">
        <v>2081</v>
      </c>
      <c r="G379" s="41" t="s">
        <v>11</v>
      </c>
      <c r="H379" s="41" t="s">
        <v>1774</v>
      </c>
      <c r="I379" s="64"/>
      <c r="J379" s="64"/>
      <c r="K379" s="64" t="str">
        <f>IFERROR(VLOOKUP(L379,'Raw material list'!$A$3:$C$715,3,0),"")</f>
        <v>MET2-585</v>
      </c>
      <c r="L379" s="64" t="s">
        <v>53</v>
      </c>
      <c r="M379" s="65" t="s">
        <v>156</v>
      </c>
      <c r="N379" s="40" t="str">
        <f>VLOOKUP(L379,'Raw material list'!$A$3:$E$715,5,0)</f>
        <v xml:space="preserve">Gram </v>
      </c>
      <c r="O379" s="65">
        <v>800</v>
      </c>
      <c r="P379" s="299">
        <f t="shared" si="20"/>
        <v>923.78752886836037</v>
      </c>
      <c r="Q379" s="65">
        <v>86.6</v>
      </c>
      <c r="R379" s="65">
        <v>15</v>
      </c>
      <c r="S379" s="65"/>
      <c r="T379" s="105">
        <f t="shared" si="21"/>
        <v>53.333333333333336</v>
      </c>
      <c r="U379" s="105">
        <f t="shared" si="22"/>
        <v>61.585835257890693</v>
      </c>
      <c r="V379" s="104">
        <f>IFERROR(VLOOKUP(L379,'Raw material list'!$A$2:$S$3102,6,0),0)</f>
        <v>4.2630057803468215E-2</v>
      </c>
      <c r="W379" s="104">
        <f t="shared" si="23"/>
        <v>2.6254077169187511</v>
      </c>
    </row>
    <row r="380" spans="1:23" s="75" customFormat="1" hidden="1" x14ac:dyDescent="0.55000000000000004">
      <c r="A380" s="64" t="s">
        <v>1480</v>
      </c>
      <c r="B380" s="64" t="s">
        <v>35</v>
      </c>
      <c r="C380" s="64" t="s">
        <v>10</v>
      </c>
      <c r="D380" s="64" t="s">
        <v>13</v>
      </c>
      <c r="E380" s="64" t="s">
        <v>1467</v>
      </c>
      <c r="F380" s="64" t="s">
        <v>2079</v>
      </c>
      <c r="G380" s="41" t="s">
        <v>11</v>
      </c>
      <c r="H380" s="41" t="s">
        <v>1774</v>
      </c>
      <c r="I380" s="64"/>
      <c r="J380" s="64"/>
      <c r="K380" s="64" t="str">
        <f>IFERROR(VLOOKUP(L380,'Raw material list'!$A$3:$C$715,3,0),"")</f>
        <v>DRS1-1747</v>
      </c>
      <c r="L380" s="64" t="s">
        <v>44</v>
      </c>
      <c r="M380" s="65" t="s">
        <v>156</v>
      </c>
      <c r="N380" s="40" t="str">
        <f>VLOOKUP(L380,'Raw material list'!$A$3:$E$715,5,0)</f>
        <v xml:space="preserve">Gram </v>
      </c>
      <c r="O380" s="65">
        <v>100</v>
      </c>
      <c r="P380" s="299">
        <f t="shared" si="20"/>
        <v>100</v>
      </c>
      <c r="Q380" s="65">
        <v>100</v>
      </c>
      <c r="R380" s="65">
        <v>15</v>
      </c>
      <c r="S380" s="65"/>
      <c r="T380" s="105">
        <f t="shared" si="21"/>
        <v>6.666666666666667</v>
      </c>
      <c r="U380" s="105">
        <f t="shared" si="22"/>
        <v>6.666666666666667</v>
      </c>
      <c r="V380" s="104">
        <f>IFERROR(VLOOKUP(L380,'Raw material list'!$A$2:$S$3102,6,0),0)</f>
        <v>5.185185185185185E-3</v>
      </c>
      <c r="W380" s="104">
        <f t="shared" si="23"/>
        <v>3.4567901234567905E-2</v>
      </c>
    </row>
    <row r="381" spans="1:23" s="75" customFormat="1" hidden="1" x14ac:dyDescent="0.55000000000000004">
      <c r="A381" s="64" t="s">
        <v>1480</v>
      </c>
      <c r="B381" s="64" t="s">
        <v>35</v>
      </c>
      <c r="C381" s="64" t="s">
        <v>10</v>
      </c>
      <c r="D381" s="64" t="s">
        <v>13</v>
      </c>
      <c r="E381" s="64" t="s">
        <v>1467</v>
      </c>
      <c r="F381" s="64" t="s">
        <v>2079</v>
      </c>
      <c r="G381" s="41" t="s">
        <v>11</v>
      </c>
      <c r="H381" s="41" t="s">
        <v>1774</v>
      </c>
      <c r="I381" s="64"/>
      <c r="J381" s="64"/>
      <c r="K381" s="64" t="str">
        <f>IFERROR(VLOOKUP(L381,'Raw material list'!$A$3:$C$715,3,0),"")</f>
        <v>DRS1-607</v>
      </c>
      <c r="L381" s="64" t="s">
        <v>250</v>
      </c>
      <c r="M381" s="65" t="s">
        <v>156</v>
      </c>
      <c r="N381" s="40" t="str">
        <f>VLOOKUP(L381,'Raw material list'!$A$3:$E$715,5,0)</f>
        <v xml:space="preserve">Gram </v>
      </c>
      <c r="O381" s="65">
        <v>800</v>
      </c>
      <c r="P381" s="299">
        <f t="shared" si="20"/>
        <v>800</v>
      </c>
      <c r="Q381" s="65">
        <v>100</v>
      </c>
      <c r="R381" s="65">
        <v>15</v>
      </c>
      <c r="S381" s="65"/>
      <c r="T381" s="105">
        <f t="shared" si="21"/>
        <v>53.333333333333336</v>
      </c>
      <c r="U381" s="105">
        <f t="shared" si="22"/>
        <v>53.333333333333336</v>
      </c>
      <c r="V381" s="104">
        <f>IFERROR(VLOOKUP(L381,'Raw material list'!$A$2:$S$3102,6,0),0)</f>
        <v>5.8823529411764705E-3</v>
      </c>
      <c r="W381" s="104">
        <f t="shared" si="23"/>
        <v>0.31372549019607843</v>
      </c>
    </row>
    <row r="382" spans="1:23" s="75" customFormat="1" hidden="1" x14ac:dyDescent="0.55000000000000004">
      <c r="A382" s="64" t="s">
        <v>1480</v>
      </c>
      <c r="B382" s="64" t="s">
        <v>35</v>
      </c>
      <c r="C382" s="64" t="s">
        <v>10</v>
      </c>
      <c r="D382" s="64" t="s">
        <v>13</v>
      </c>
      <c r="E382" s="64" t="s">
        <v>1467</v>
      </c>
      <c r="F382" s="64" t="s">
        <v>2079</v>
      </c>
      <c r="G382" s="41" t="s">
        <v>11</v>
      </c>
      <c r="H382" s="41" t="s">
        <v>1774</v>
      </c>
      <c r="I382" s="64"/>
      <c r="J382" s="64"/>
      <c r="K382" s="64" t="str">
        <f>IFERROR(VLOOKUP(L382,'Raw material list'!$A$3:$C$715,3,0),"")</f>
        <v>DRS5-21</v>
      </c>
      <c r="L382" s="64" t="s">
        <v>55</v>
      </c>
      <c r="M382" s="65" t="s">
        <v>156</v>
      </c>
      <c r="N382" s="40" t="str">
        <f>VLOOKUP(L382,'Raw material list'!$A$3:$E$715,5,0)</f>
        <v xml:space="preserve">Gram </v>
      </c>
      <c r="O382" s="65">
        <v>50</v>
      </c>
      <c r="P382" s="299">
        <f t="shared" si="20"/>
        <v>50</v>
      </c>
      <c r="Q382" s="65">
        <v>100</v>
      </c>
      <c r="R382" s="65">
        <v>15</v>
      </c>
      <c r="S382" s="65"/>
      <c r="T382" s="105">
        <f t="shared" si="21"/>
        <v>3.3333333333333335</v>
      </c>
      <c r="U382" s="105">
        <f t="shared" si="22"/>
        <v>3.3333333333333335</v>
      </c>
      <c r="V382" s="104">
        <f>IFERROR(VLOOKUP(L382,'Raw material list'!$A$2:$S$3102,6,0),0)</f>
        <v>2.0799999999999998E-3</v>
      </c>
      <c r="W382" s="104">
        <f t="shared" si="23"/>
        <v>6.933333333333333E-3</v>
      </c>
    </row>
    <row r="383" spans="1:23" s="75" customFormat="1" hidden="1" x14ac:dyDescent="0.55000000000000004">
      <c r="A383" s="64" t="s">
        <v>1480</v>
      </c>
      <c r="B383" s="64" t="s">
        <v>35</v>
      </c>
      <c r="C383" s="64" t="s">
        <v>10</v>
      </c>
      <c r="D383" s="64" t="s">
        <v>13</v>
      </c>
      <c r="E383" s="64" t="s">
        <v>1467</v>
      </c>
      <c r="F383" s="64" t="s">
        <v>2079</v>
      </c>
      <c r="G383" s="41" t="s">
        <v>11</v>
      </c>
      <c r="H383" s="41" t="s">
        <v>1774</v>
      </c>
      <c r="I383" s="64"/>
      <c r="J383" s="64"/>
      <c r="K383" s="64" t="str">
        <f>IFERROR(VLOOKUP(L383,'Raw material list'!$A$3:$C$715,3,0),"")</f>
        <v>DRS1-978</v>
      </c>
      <c r="L383" s="64" t="s">
        <v>56</v>
      </c>
      <c r="M383" s="65" t="s">
        <v>156</v>
      </c>
      <c r="N383" s="40" t="str">
        <f>VLOOKUP(L383,'Raw material list'!$A$3:$E$715,5,0)</f>
        <v xml:space="preserve">Gram </v>
      </c>
      <c r="O383" s="65">
        <v>10</v>
      </c>
      <c r="P383" s="299">
        <f t="shared" si="20"/>
        <v>10</v>
      </c>
      <c r="Q383" s="65">
        <v>100</v>
      </c>
      <c r="R383" s="65">
        <v>15</v>
      </c>
      <c r="S383" s="65"/>
      <c r="T383" s="105">
        <f t="shared" si="21"/>
        <v>0.66666666666666663</v>
      </c>
      <c r="U383" s="105">
        <f t="shared" si="22"/>
        <v>0.66666666666666663</v>
      </c>
      <c r="V383" s="104">
        <f>IFERROR(VLOOKUP(L383,'Raw material list'!$A$2:$S$3102,6,0),0)</f>
        <v>2.3999999999999998E-3</v>
      </c>
      <c r="W383" s="104">
        <f t="shared" si="23"/>
        <v>1.5999999999999999E-3</v>
      </c>
    </row>
    <row r="384" spans="1:23" s="75" customFormat="1" hidden="1" x14ac:dyDescent="0.55000000000000004">
      <c r="A384" s="64" t="s">
        <v>1480</v>
      </c>
      <c r="B384" s="64" t="s">
        <v>35</v>
      </c>
      <c r="C384" s="64" t="s">
        <v>10</v>
      </c>
      <c r="D384" s="64" t="s">
        <v>13</v>
      </c>
      <c r="E384" s="64" t="s">
        <v>1467</v>
      </c>
      <c r="F384" s="64" t="s">
        <v>2079</v>
      </c>
      <c r="G384" s="41" t="s">
        <v>11</v>
      </c>
      <c r="H384" s="41" t="s">
        <v>1774</v>
      </c>
      <c r="I384" s="64"/>
      <c r="J384" s="64"/>
      <c r="K384" s="64" t="str">
        <f>IFERROR(VLOOKUP(L384,'Raw material list'!$A$3:$C$715,3,0),"")</f>
        <v>DRY2-1008</v>
      </c>
      <c r="L384" s="64" t="s">
        <v>57</v>
      </c>
      <c r="M384" s="65" t="s">
        <v>156</v>
      </c>
      <c r="N384" s="40" t="str">
        <f>VLOOKUP(L384,'Raw material list'!$A$3:$E$715,5,0)</f>
        <v xml:space="preserve">Gram </v>
      </c>
      <c r="O384" s="65">
        <v>70</v>
      </c>
      <c r="P384" s="299">
        <f t="shared" si="20"/>
        <v>70</v>
      </c>
      <c r="Q384" s="65">
        <v>100</v>
      </c>
      <c r="R384" s="65">
        <v>15</v>
      </c>
      <c r="S384" s="65"/>
      <c r="T384" s="105">
        <f t="shared" si="21"/>
        <v>4.666666666666667</v>
      </c>
      <c r="U384" s="105">
        <f t="shared" si="22"/>
        <v>4.666666666666667</v>
      </c>
      <c r="V384" s="104">
        <f>IFERROR(VLOOKUP(L384,'Raw material list'!$A$2:$S$3102,6,0),0)</f>
        <v>0.03</v>
      </c>
      <c r="W384" s="104">
        <f t="shared" si="23"/>
        <v>0.14000000000000001</v>
      </c>
    </row>
    <row r="385" spans="1:23" s="75" customFormat="1" hidden="1" x14ac:dyDescent="0.55000000000000004">
      <c r="A385" s="64" t="s">
        <v>1480</v>
      </c>
      <c r="B385" s="64" t="s">
        <v>35</v>
      </c>
      <c r="C385" s="64" t="s">
        <v>10</v>
      </c>
      <c r="D385" s="64" t="s">
        <v>13</v>
      </c>
      <c r="E385" s="64" t="s">
        <v>1467</v>
      </c>
      <c r="F385" s="64" t="s">
        <v>2079</v>
      </c>
      <c r="G385" s="41" t="s">
        <v>11</v>
      </c>
      <c r="H385" s="41" t="s">
        <v>1774</v>
      </c>
      <c r="I385" s="64"/>
      <c r="J385" s="64"/>
      <c r="K385" s="64" t="str">
        <f>IFERROR(VLOOKUP(L385,'Raw material list'!$A$3:$C$715,3,0),"")</f>
        <v>DRS5-40</v>
      </c>
      <c r="L385" s="64" t="s">
        <v>58</v>
      </c>
      <c r="M385" s="65" t="s">
        <v>156</v>
      </c>
      <c r="N385" s="40" t="str">
        <f>VLOOKUP(L385,'Raw material list'!$A$3:$E$715,5,0)</f>
        <v xml:space="preserve">Gram </v>
      </c>
      <c r="O385" s="65">
        <v>70</v>
      </c>
      <c r="P385" s="299">
        <f t="shared" si="20"/>
        <v>70</v>
      </c>
      <c r="Q385" s="65">
        <v>100</v>
      </c>
      <c r="R385" s="65">
        <v>15</v>
      </c>
      <c r="S385" s="65"/>
      <c r="T385" s="105">
        <f t="shared" si="21"/>
        <v>4.666666666666667</v>
      </c>
      <c r="U385" s="105">
        <f t="shared" si="22"/>
        <v>4.666666666666667</v>
      </c>
      <c r="V385" s="104">
        <f>IFERROR(VLOOKUP(L385,'Raw material list'!$A$2:$S$3102,6,0),0)</f>
        <v>7.7777777777777773E-4</v>
      </c>
      <c r="W385" s="104">
        <f t="shared" si="23"/>
        <v>3.6296296296296298E-3</v>
      </c>
    </row>
    <row r="386" spans="1:23" s="75" customFormat="1" hidden="1" x14ac:dyDescent="0.55000000000000004">
      <c r="A386" s="64" t="s">
        <v>1480</v>
      </c>
      <c r="B386" s="64" t="s">
        <v>35</v>
      </c>
      <c r="C386" s="64" t="s">
        <v>10</v>
      </c>
      <c r="D386" s="64" t="s">
        <v>13</v>
      </c>
      <c r="E386" s="64" t="s">
        <v>1467</v>
      </c>
      <c r="F386" s="64" t="s">
        <v>2079</v>
      </c>
      <c r="G386" s="41" t="s">
        <v>11</v>
      </c>
      <c r="H386" s="41" t="s">
        <v>1774</v>
      </c>
      <c r="I386" s="64"/>
      <c r="J386" s="64"/>
      <c r="K386" s="64" t="str">
        <f>IFERROR(VLOOKUP(L386,'Raw material list'!$A$3:$C$715,3,0),"")</f>
        <v>DRS5-59</v>
      </c>
      <c r="L386" s="64" t="s">
        <v>59</v>
      </c>
      <c r="M386" s="65" t="s">
        <v>156</v>
      </c>
      <c r="N386" s="40" t="str">
        <f>VLOOKUP(L386,'Raw material list'!$A$3:$E$715,5,0)</f>
        <v xml:space="preserve">Gram </v>
      </c>
      <c r="O386" s="65">
        <v>50</v>
      </c>
      <c r="P386" s="299">
        <f t="shared" si="20"/>
        <v>50</v>
      </c>
      <c r="Q386" s="65">
        <v>100</v>
      </c>
      <c r="R386" s="65">
        <v>15</v>
      </c>
      <c r="S386" s="65"/>
      <c r="T386" s="105">
        <f t="shared" si="21"/>
        <v>3.3333333333333335</v>
      </c>
      <c r="U386" s="105">
        <f t="shared" si="22"/>
        <v>3.3333333333333335</v>
      </c>
      <c r="V386" s="104">
        <f>IFERROR(VLOOKUP(L386,'Raw material list'!$A$2:$S$3102,6,0),0)</f>
        <v>1.4319999999999999E-2</v>
      </c>
      <c r="W386" s="104">
        <f t="shared" si="23"/>
        <v>4.7733333333333336E-2</v>
      </c>
    </row>
    <row r="387" spans="1:23" s="66" customFormat="1" hidden="1" x14ac:dyDescent="0.55000000000000004">
      <c r="A387" s="64" t="s">
        <v>1480</v>
      </c>
      <c r="B387" s="64" t="s">
        <v>35</v>
      </c>
      <c r="C387" s="64" t="s">
        <v>10</v>
      </c>
      <c r="D387" s="64" t="s">
        <v>13</v>
      </c>
      <c r="E387" s="64" t="s">
        <v>1467</v>
      </c>
      <c r="F387" s="64" t="s">
        <v>2079</v>
      </c>
      <c r="G387" s="41" t="s">
        <v>11</v>
      </c>
      <c r="H387" s="41" t="s">
        <v>1774</v>
      </c>
      <c r="I387" s="64"/>
      <c r="J387" s="64"/>
      <c r="K387" s="64" t="str">
        <f>IFERROR(VLOOKUP(L387,'Raw material list'!$A$3:$C$715,3,0),"")</f>
        <v>TAP-00001</v>
      </c>
      <c r="L387" s="64" t="s">
        <v>1405</v>
      </c>
      <c r="M387" s="65" t="s">
        <v>206</v>
      </c>
      <c r="N387" s="40" t="str">
        <f>VLOOKUP(L387,'Raw material list'!$A$3:$E$715,5,0)</f>
        <v>Ml</v>
      </c>
      <c r="O387" s="65">
        <v>1000</v>
      </c>
      <c r="P387" s="299">
        <f t="shared" si="20"/>
        <v>1000</v>
      </c>
      <c r="Q387" s="65">
        <v>100</v>
      </c>
      <c r="R387" s="65">
        <v>15</v>
      </c>
      <c r="S387" s="65"/>
      <c r="T387" s="105">
        <f t="shared" si="21"/>
        <v>66.666666666666671</v>
      </c>
      <c r="U387" s="105">
        <f t="shared" si="22"/>
        <v>66.666666666666671</v>
      </c>
      <c r="V387" s="104">
        <f>IFERROR(VLOOKUP(L387,'Raw material list'!$A$2:$S$3102,6,0),0)</f>
        <v>8.0000000000000007E-5</v>
      </c>
      <c r="W387" s="104">
        <f t="shared" si="23"/>
        <v>5.333333333333334E-3</v>
      </c>
    </row>
    <row r="388" spans="1:23" s="66" customFormat="1" hidden="1" x14ac:dyDescent="0.55000000000000004">
      <c r="A388" s="64" t="s">
        <v>1480</v>
      </c>
      <c r="B388" s="64" t="s">
        <v>35</v>
      </c>
      <c r="C388" s="64" t="s">
        <v>10</v>
      </c>
      <c r="D388" s="64" t="s">
        <v>13</v>
      </c>
      <c r="E388" s="64" t="s">
        <v>1467</v>
      </c>
      <c r="F388" s="64" t="s">
        <v>2079</v>
      </c>
      <c r="G388" s="41" t="s">
        <v>11</v>
      </c>
      <c r="H388" s="41" t="s">
        <v>1774</v>
      </c>
      <c r="I388" s="64"/>
      <c r="J388" s="64"/>
      <c r="K388" s="64" t="str">
        <f>IFERROR(VLOOKUP(L388,'Raw material list'!$A$3:$C$715,3,0),"")</f>
        <v>DRY2-1858</v>
      </c>
      <c r="L388" s="64" t="s">
        <v>60</v>
      </c>
      <c r="M388" s="65" t="s">
        <v>206</v>
      </c>
      <c r="N388" s="40" t="str">
        <f>VLOOKUP(L388,'Raw material list'!$A$3:$E$715,5,0)</f>
        <v>Ml</v>
      </c>
      <c r="O388" s="65">
        <v>250</v>
      </c>
      <c r="P388" s="299">
        <f t="shared" si="20"/>
        <v>250</v>
      </c>
      <c r="Q388" s="65">
        <v>100</v>
      </c>
      <c r="R388" s="65">
        <v>15</v>
      </c>
      <c r="S388" s="65"/>
      <c r="T388" s="105">
        <f t="shared" si="21"/>
        <v>16.666666666666668</v>
      </c>
      <c r="U388" s="105">
        <f t="shared" si="22"/>
        <v>16.666666666666668</v>
      </c>
      <c r="V388" s="104">
        <f>IFERROR(VLOOKUP(L388,'Raw material list'!$A$2:$S$3102,6,0),0)</f>
        <v>9.8800000000000016E-3</v>
      </c>
      <c r="W388" s="104">
        <f t="shared" si="23"/>
        <v>0.16466666666666671</v>
      </c>
    </row>
    <row r="389" spans="1:23" s="66" customFormat="1" hidden="1" x14ac:dyDescent="0.55000000000000004">
      <c r="A389" s="64" t="s">
        <v>1480</v>
      </c>
      <c r="B389" s="64" t="s">
        <v>35</v>
      </c>
      <c r="C389" s="64" t="s">
        <v>10</v>
      </c>
      <c r="D389" s="64" t="s">
        <v>13</v>
      </c>
      <c r="E389" s="64" t="s">
        <v>1467</v>
      </c>
      <c r="F389" s="64" t="s">
        <v>2079</v>
      </c>
      <c r="G389" s="41" t="s">
        <v>11</v>
      </c>
      <c r="H389" s="41" t="s">
        <v>1774</v>
      </c>
      <c r="I389" s="64"/>
      <c r="J389" s="64"/>
      <c r="K389" s="64" t="str">
        <f>IFERROR(VLOOKUP(L389,'Raw material list'!$A$3:$C$715,3,0),"")</f>
        <v>DRS6-309</v>
      </c>
      <c r="L389" s="64" t="s">
        <v>61</v>
      </c>
      <c r="M389" s="65" t="s">
        <v>156</v>
      </c>
      <c r="N389" s="40" t="str">
        <f>VLOOKUP(L389,'Raw material list'!$A$3:$E$715,5,0)</f>
        <v xml:space="preserve">Gram </v>
      </c>
      <c r="O389" s="65">
        <v>1</v>
      </c>
      <c r="P389" s="299">
        <f t="shared" si="20"/>
        <v>1</v>
      </c>
      <c r="Q389" s="65">
        <v>100</v>
      </c>
      <c r="R389" s="65">
        <v>15</v>
      </c>
      <c r="S389" s="65"/>
      <c r="T389" s="105">
        <f t="shared" si="21"/>
        <v>6.6666666666666666E-2</v>
      </c>
      <c r="U389" s="105">
        <f t="shared" si="22"/>
        <v>6.6666666666666666E-2</v>
      </c>
      <c r="V389" s="104">
        <f>IFERROR(VLOOKUP(L389,'Raw material list'!$A$2:$S$3102,6,0),0)</f>
        <v>2.8000000000000001E-2</v>
      </c>
      <c r="W389" s="104">
        <f t="shared" si="23"/>
        <v>1.8666666666666666E-3</v>
      </c>
    </row>
    <row r="390" spans="1:23" hidden="1" x14ac:dyDescent="0.55000000000000004">
      <c r="A390" s="41" t="s">
        <v>1480</v>
      </c>
      <c r="B390" s="41" t="s">
        <v>35</v>
      </c>
      <c r="C390" s="41" t="s">
        <v>10</v>
      </c>
      <c r="D390" s="41" t="s">
        <v>13</v>
      </c>
      <c r="E390" s="41" t="s">
        <v>1467</v>
      </c>
      <c r="F390" s="41" t="s">
        <v>2079</v>
      </c>
      <c r="G390" s="41" t="s">
        <v>11</v>
      </c>
      <c r="H390" s="41" t="s">
        <v>1774</v>
      </c>
      <c r="I390" s="41"/>
      <c r="J390" s="41"/>
      <c r="K390" s="41" t="str">
        <f>IFERROR(VLOOKUP(L390,'Raw material list'!$A$3:$C$715,3,0),"")</f>
        <v>DRY1-602</v>
      </c>
      <c r="L390" s="41" t="s">
        <v>63</v>
      </c>
      <c r="M390" s="40" t="s">
        <v>156</v>
      </c>
      <c r="N390" s="40" t="str">
        <f>VLOOKUP(L390,'Raw material list'!$A$3:$E$715,5,0)</f>
        <v xml:space="preserve">Gram </v>
      </c>
      <c r="O390" s="40">
        <v>40</v>
      </c>
      <c r="P390" s="299">
        <f t="shared" ref="P390:P453" si="24">O390/Q390*100</f>
        <v>40</v>
      </c>
      <c r="Q390" s="40">
        <v>100</v>
      </c>
      <c r="R390" s="40">
        <v>15</v>
      </c>
      <c r="S390" s="40"/>
      <c r="T390" s="105">
        <f t="shared" ref="T390:T452" si="25">IFERROR(O390/R390,0)</f>
        <v>2.6666666666666665</v>
      </c>
      <c r="U390" s="105">
        <f t="shared" ref="U390:U453" si="26">IFERROR(P390/R390,0)</f>
        <v>2.6666666666666665</v>
      </c>
      <c r="V390" s="104">
        <f>IFERROR(VLOOKUP(L390,'Raw material list'!$A$2:$S$3102,6,0),0)</f>
        <v>5.5E-2</v>
      </c>
      <c r="W390" s="104">
        <f t="shared" ref="W390:W453" si="27">IFERROR(V390*U390,0)</f>
        <v>0.14666666666666667</v>
      </c>
    </row>
    <row r="391" spans="1:23" hidden="1" x14ac:dyDescent="0.55000000000000004">
      <c r="A391" s="41" t="s">
        <v>1480</v>
      </c>
      <c r="B391" s="41" t="s">
        <v>35</v>
      </c>
      <c r="C391" s="41" t="s">
        <v>10</v>
      </c>
      <c r="D391" s="41" t="s">
        <v>13</v>
      </c>
      <c r="E391" s="41" t="s">
        <v>1467</v>
      </c>
      <c r="F391" s="41" t="s">
        <v>2079</v>
      </c>
      <c r="G391" s="41" t="s">
        <v>11</v>
      </c>
      <c r="H391" s="41" t="s">
        <v>1774</v>
      </c>
      <c r="I391" s="41"/>
      <c r="J391" s="41"/>
      <c r="K391" s="41" t="str">
        <f>IFERROR(VLOOKUP(L391,'Raw material list'!$A$3:$C$715,3,0),"")</f>
        <v>DRS1-3880</v>
      </c>
      <c r="L391" s="41" t="s">
        <v>1433</v>
      </c>
      <c r="M391" s="40" t="s">
        <v>156</v>
      </c>
      <c r="N391" s="40" t="str">
        <f>VLOOKUP(L391,'Raw material list'!$A$3:$E$715,5,0)</f>
        <v xml:space="preserve">Gram </v>
      </c>
      <c r="O391" s="40">
        <v>10</v>
      </c>
      <c r="P391" s="299">
        <f t="shared" si="24"/>
        <v>10</v>
      </c>
      <c r="Q391" s="40">
        <v>100</v>
      </c>
      <c r="R391" s="40">
        <v>15</v>
      </c>
      <c r="S391" s="40"/>
      <c r="T391" s="105">
        <f t="shared" si="25"/>
        <v>0.66666666666666663</v>
      </c>
      <c r="U391" s="105">
        <f t="shared" si="26"/>
        <v>0.66666666666666663</v>
      </c>
      <c r="V391" s="104">
        <f>IFERROR(VLOOKUP(L391,'Raw material list'!$A$2:$S$3102,6,0),0)</f>
        <v>5.0000000000000001E-4</v>
      </c>
      <c r="W391" s="104">
        <f t="shared" si="27"/>
        <v>3.3333333333333332E-4</v>
      </c>
    </row>
    <row r="392" spans="1:23" hidden="1" x14ac:dyDescent="0.55000000000000004">
      <c r="A392" s="41" t="s">
        <v>1481</v>
      </c>
      <c r="B392" s="41" t="s">
        <v>35</v>
      </c>
      <c r="C392" s="41" t="s">
        <v>10</v>
      </c>
      <c r="D392" s="41" t="s">
        <v>1473</v>
      </c>
      <c r="E392" s="41" t="s">
        <v>1467</v>
      </c>
      <c r="F392" s="41" t="s">
        <v>2081</v>
      </c>
      <c r="G392" s="41" t="s">
        <v>11</v>
      </c>
      <c r="H392" s="41" t="s">
        <v>1773</v>
      </c>
      <c r="I392" s="41"/>
      <c r="J392" s="41"/>
      <c r="K392" s="41" t="str">
        <f>IFERROR(VLOOKUP(L392,'Raw material list'!$A$3:$C$715,3,0),"")</f>
        <v>PLT2-3278</v>
      </c>
      <c r="L392" s="41" t="s">
        <v>80</v>
      </c>
      <c r="M392" s="40" t="s">
        <v>156</v>
      </c>
      <c r="N392" s="40" t="str">
        <f>VLOOKUP(L392,'Raw material list'!$A$3:$E$715,5,0)</f>
        <v xml:space="preserve">Gram </v>
      </c>
      <c r="O392" s="40">
        <v>1000</v>
      </c>
      <c r="P392" s="299">
        <f t="shared" si="24"/>
        <v>1312.3359580052493</v>
      </c>
      <c r="Q392" s="40">
        <v>76.2</v>
      </c>
      <c r="R392" s="40">
        <v>10</v>
      </c>
      <c r="S392" s="40"/>
      <c r="T392" s="105">
        <f t="shared" si="25"/>
        <v>100</v>
      </c>
      <c r="U392" s="105">
        <f t="shared" si="26"/>
        <v>131.23359580052494</v>
      </c>
      <c r="V392" s="104">
        <f>IFERROR(VLOOKUP(L392,'Raw material list'!$A$2:$S$3102,6,0),0)</f>
        <v>3.0357142857142853E-2</v>
      </c>
      <c r="W392" s="104">
        <f t="shared" si="27"/>
        <v>3.983877015373078</v>
      </c>
    </row>
    <row r="393" spans="1:23" hidden="1" x14ac:dyDescent="0.55000000000000004">
      <c r="A393" s="41" t="s">
        <v>1481</v>
      </c>
      <c r="B393" s="41" t="s">
        <v>35</v>
      </c>
      <c r="C393" s="41" t="s">
        <v>10</v>
      </c>
      <c r="D393" s="41" t="s">
        <v>1473</v>
      </c>
      <c r="E393" s="41" t="s">
        <v>1467</v>
      </c>
      <c r="F393" s="41" t="s">
        <v>2079</v>
      </c>
      <c r="G393" s="41" t="s">
        <v>11</v>
      </c>
      <c r="H393" s="41" t="s">
        <v>1773</v>
      </c>
      <c r="I393" s="41"/>
      <c r="J393" s="41"/>
      <c r="K393" s="41" t="str">
        <f>IFERROR(VLOOKUP(L393,'Raw material list'!$A$3:$C$715,3,0),"")</f>
        <v>DRS3-1813</v>
      </c>
      <c r="L393" s="41" t="s">
        <v>69</v>
      </c>
      <c r="M393" s="40" t="s">
        <v>206</v>
      </c>
      <c r="N393" s="40" t="str">
        <f>VLOOKUP(L393,'Raw material list'!$A$3:$E$715,5,0)</f>
        <v>Ml</v>
      </c>
      <c r="O393" s="40">
        <v>100</v>
      </c>
      <c r="P393" s="299">
        <f t="shared" si="24"/>
        <v>100</v>
      </c>
      <c r="Q393" s="40">
        <v>100</v>
      </c>
      <c r="R393" s="40">
        <v>10</v>
      </c>
      <c r="S393" s="40"/>
      <c r="T393" s="105">
        <f t="shared" si="25"/>
        <v>10</v>
      </c>
      <c r="U393" s="105">
        <f t="shared" si="26"/>
        <v>10</v>
      </c>
      <c r="V393" s="104">
        <f>IFERROR(VLOOKUP(L393,'Raw material list'!$A$2:$S$3102,6,0),0)</f>
        <v>8.0555555555555554E-3</v>
      </c>
      <c r="W393" s="104">
        <f t="shared" si="27"/>
        <v>8.0555555555555547E-2</v>
      </c>
    </row>
    <row r="394" spans="1:23" hidden="1" x14ac:dyDescent="0.55000000000000004">
      <c r="A394" s="41" t="s">
        <v>1481</v>
      </c>
      <c r="B394" s="41" t="s">
        <v>35</v>
      </c>
      <c r="C394" s="41" t="s">
        <v>10</v>
      </c>
      <c r="D394" s="41" t="s">
        <v>1473</v>
      </c>
      <c r="E394" s="41" t="s">
        <v>1467</v>
      </c>
      <c r="F394" s="41" t="s">
        <v>2079</v>
      </c>
      <c r="G394" s="41" t="s">
        <v>11</v>
      </c>
      <c r="H394" s="41" t="s">
        <v>1773</v>
      </c>
      <c r="I394" s="41"/>
      <c r="J394" s="41"/>
      <c r="K394" s="41" t="str">
        <f>IFERROR(VLOOKUP(L394,'Raw material list'!$A$3:$C$715,3,0),"")</f>
        <v>PRD1-240</v>
      </c>
      <c r="L394" s="41" t="s">
        <v>82</v>
      </c>
      <c r="M394" s="40" t="s">
        <v>156</v>
      </c>
      <c r="N394" s="40" t="str">
        <f>VLOOKUP(L394,'Raw material list'!$A$3:$E$715,5,0)</f>
        <v xml:space="preserve">Gram </v>
      </c>
      <c r="O394" s="40">
        <v>80</v>
      </c>
      <c r="P394" s="299">
        <f t="shared" si="24"/>
        <v>118.22660098522168</v>
      </c>
      <c r="Q394" s="105">
        <v>67.666666666666657</v>
      </c>
      <c r="R394" s="40">
        <v>10</v>
      </c>
      <c r="S394" s="40"/>
      <c r="T394" s="105">
        <f t="shared" si="25"/>
        <v>8</v>
      </c>
      <c r="U394" s="105">
        <f t="shared" si="26"/>
        <v>11.822660098522167</v>
      </c>
      <c r="V394" s="104">
        <f>IFERROR(VLOOKUP(L394,'Raw material list'!$A$2:$S$3102,6,0),0)</f>
        <v>1.3293943870014769E-2</v>
      </c>
      <c r="W394" s="104">
        <f t="shared" si="27"/>
        <v>0.15716977974401697</v>
      </c>
    </row>
    <row r="395" spans="1:23" hidden="1" x14ac:dyDescent="0.55000000000000004">
      <c r="A395" s="41" t="s">
        <v>1481</v>
      </c>
      <c r="B395" s="41" t="s">
        <v>35</v>
      </c>
      <c r="C395" s="41" t="s">
        <v>10</v>
      </c>
      <c r="D395" s="41" t="s">
        <v>1473</v>
      </c>
      <c r="E395" s="41" t="s">
        <v>1467</v>
      </c>
      <c r="F395" s="41" t="s">
        <v>2079</v>
      </c>
      <c r="G395" s="41" t="s">
        <v>11</v>
      </c>
      <c r="H395" s="41" t="s">
        <v>1773</v>
      </c>
      <c r="I395" s="41"/>
      <c r="J395" s="41"/>
      <c r="K395" s="41" t="str">
        <f>IFERROR(VLOOKUP(L395,'Raw material list'!$A$3:$C$715,3,0),"")</f>
        <v>PRD1-4265</v>
      </c>
      <c r="L395" s="41" t="s">
        <v>38</v>
      </c>
      <c r="M395" s="40" t="s">
        <v>156</v>
      </c>
      <c r="N395" s="40" t="str">
        <f>VLOOKUP(L395,'Raw material list'!$A$3:$E$715,5,0)</f>
        <v xml:space="preserve">Gram </v>
      </c>
      <c r="O395" s="40">
        <v>125</v>
      </c>
      <c r="P395" s="299">
        <f t="shared" si="24"/>
        <v>147.05882352941177</v>
      </c>
      <c r="Q395" s="105">
        <v>85</v>
      </c>
      <c r="R395" s="40">
        <v>10</v>
      </c>
      <c r="S395" s="40"/>
      <c r="T395" s="105">
        <f t="shared" si="25"/>
        <v>12.5</v>
      </c>
      <c r="U395" s="105">
        <f t="shared" si="26"/>
        <v>14.705882352941178</v>
      </c>
      <c r="V395" s="104">
        <f>IFERROR(VLOOKUP(L395,'Raw material list'!$A$2:$S$3102,6,0),0)</f>
        <v>3.529411764705882E-3</v>
      </c>
      <c r="W395" s="104">
        <f t="shared" si="27"/>
        <v>5.1903114186851208E-2</v>
      </c>
    </row>
    <row r="396" spans="1:23" hidden="1" x14ac:dyDescent="0.55000000000000004">
      <c r="A396" s="41" t="s">
        <v>1481</v>
      </c>
      <c r="B396" s="41" t="s">
        <v>35</v>
      </c>
      <c r="C396" s="41" t="s">
        <v>10</v>
      </c>
      <c r="D396" s="41" t="s">
        <v>1473</v>
      </c>
      <c r="E396" s="41" t="s">
        <v>1467</v>
      </c>
      <c r="F396" s="41" t="s">
        <v>2079</v>
      </c>
      <c r="G396" s="41" t="s">
        <v>11</v>
      </c>
      <c r="H396" s="41" t="s">
        <v>1773</v>
      </c>
      <c r="I396" s="41"/>
      <c r="J396" s="41"/>
      <c r="K396" s="41" t="str">
        <f>IFERROR(VLOOKUP(L396,'Raw material list'!$A$3:$C$715,3,0),"")</f>
        <v>PRD1-3794</v>
      </c>
      <c r="L396" s="41" t="s">
        <v>973</v>
      </c>
      <c r="M396" s="40" t="s">
        <v>156</v>
      </c>
      <c r="N396" s="40" t="str">
        <f>VLOOKUP(L396,'Raw material list'!$A$3:$E$715,5,0)</f>
        <v xml:space="preserve">Gram </v>
      </c>
      <c r="O396" s="40">
        <v>250</v>
      </c>
      <c r="P396" s="299">
        <f t="shared" si="24"/>
        <v>308.64197530864197</v>
      </c>
      <c r="Q396" s="105">
        <v>81</v>
      </c>
      <c r="R396" s="40">
        <v>10</v>
      </c>
      <c r="S396" s="40"/>
      <c r="T396" s="105">
        <f t="shared" si="25"/>
        <v>25</v>
      </c>
      <c r="U396" s="105">
        <f t="shared" si="26"/>
        <v>30.864197530864196</v>
      </c>
      <c r="V396" s="104">
        <f>IFERROR(VLOOKUP(L396,'Raw material list'!$A$2:$S$3102,6,0),0)</f>
        <v>4.9382716049382715E-3</v>
      </c>
      <c r="W396" s="104">
        <f t="shared" si="27"/>
        <v>0.15241579027587257</v>
      </c>
    </row>
    <row r="397" spans="1:23" hidden="1" x14ac:dyDescent="0.55000000000000004">
      <c r="A397" s="41" t="s">
        <v>1481</v>
      </c>
      <c r="B397" s="41" t="s">
        <v>35</v>
      </c>
      <c r="C397" s="41" t="s">
        <v>10</v>
      </c>
      <c r="D397" s="41" t="s">
        <v>1473</v>
      </c>
      <c r="E397" s="41" t="s">
        <v>1467</v>
      </c>
      <c r="F397" s="41" t="s">
        <v>2079</v>
      </c>
      <c r="G397" s="41" t="s">
        <v>11</v>
      </c>
      <c r="H397" s="41" t="s">
        <v>1773</v>
      </c>
      <c r="I397" s="41"/>
      <c r="J397" s="41"/>
      <c r="K397" s="41" t="str">
        <f>IFERROR(VLOOKUP(L397,'Raw material list'!$A$3:$C$715,3,0),"")</f>
        <v>DRS1-3880</v>
      </c>
      <c r="L397" s="41" t="s">
        <v>1433</v>
      </c>
      <c r="M397" s="40" t="s">
        <v>156</v>
      </c>
      <c r="N397" s="40" t="str">
        <f>VLOOKUP(L397,'Raw material list'!$A$3:$E$715,5,0)</f>
        <v xml:space="preserve">Gram </v>
      </c>
      <c r="O397" s="40">
        <v>15</v>
      </c>
      <c r="P397" s="299">
        <f t="shared" si="24"/>
        <v>15</v>
      </c>
      <c r="Q397" s="300">
        <v>100</v>
      </c>
      <c r="R397" s="40">
        <v>10</v>
      </c>
      <c r="S397" s="40"/>
      <c r="T397" s="105">
        <f t="shared" si="25"/>
        <v>1.5</v>
      </c>
      <c r="U397" s="105">
        <f t="shared" si="26"/>
        <v>1.5</v>
      </c>
      <c r="V397" s="104">
        <f>IFERROR(VLOOKUP(L397,'Raw material list'!$A$2:$S$3102,6,0),0)</f>
        <v>5.0000000000000001E-4</v>
      </c>
      <c r="W397" s="104">
        <f t="shared" si="27"/>
        <v>7.5000000000000002E-4</v>
      </c>
    </row>
    <row r="398" spans="1:23" s="66" customFormat="1" hidden="1" x14ac:dyDescent="0.55000000000000004">
      <c r="A398" s="64" t="s">
        <v>1481</v>
      </c>
      <c r="B398" s="64" t="s">
        <v>35</v>
      </c>
      <c r="C398" s="64" t="s">
        <v>10</v>
      </c>
      <c r="D398" s="64" t="s">
        <v>1473</v>
      </c>
      <c r="E398" s="64" t="s">
        <v>1467</v>
      </c>
      <c r="F398" s="64" t="s">
        <v>2079</v>
      </c>
      <c r="G398" s="41" t="s">
        <v>11</v>
      </c>
      <c r="H398" s="41" t="s">
        <v>1773</v>
      </c>
      <c r="I398" s="64"/>
      <c r="J398" s="64"/>
      <c r="K398" s="64" t="str">
        <f>IFERROR(VLOOKUP(L398,'Raw material list'!$A$3:$C$715,3,0),"")</f>
        <v>DRS6-309</v>
      </c>
      <c r="L398" s="64" t="s">
        <v>61</v>
      </c>
      <c r="M398" s="65" t="s">
        <v>156</v>
      </c>
      <c r="N398" s="40" t="str">
        <f>VLOOKUP(L398,'Raw material list'!$A$3:$E$715,5,0)</f>
        <v xml:space="preserve">Gram </v>
      </c>
      <c r="O398" s="65">
        <v>2</v>
      </c>
      <c r="P398" s="299">
        <f t="shared" si="24"/>
        <v>2</v>
      </c>
      <c r="Q398" s="65">
        <v>100</v>
      </c>
      <c r="R398" s="65">
        <v>10</v>
      </c>
      <c r="S398" s="65"/>
      <c r="T398" s="105">
        <f t="shared" si="25"/>
        <v>0.2</v>
      </c>
      <c r="U398" s="105">
        <f t="shared" si="26"/>
        <v>0.2</v>
      </c>
      <c r="V398" s="104">
        <f>IFERROR(VLOOKUP(L398,'Raw material list'!$A$2:$S$3102,6,0),0)</f>
        <v>2.8000000000000001E-2</v>
      </c>
      <c r="W398" s="104">
        <f t="shared" si="27"/>
        <v>5.6000000000000008E-3</v>
      </c>
    </row>
    <row r="399" spans="1:23" s="66" customFormat="1" hidden="1" x14ac:dyDescent="0.55000000000000004">
      <c r="A399" s="64" t="s">
        <v>1481</v>
      </c>
      <c r="B399" s="64" t="s">
        <v>35</v>
      </c>
      <c r="C399" s="64" t="s">
        <v>10</v>
      </c>
      <c r="D399" s="64" t="s">
        <v>1473</v>
      </c>
      <c r="E399" s="64" t="s">
        <v>1467</v>
      </c>
      <c r="F399" s="64" t="s">
        <v>2079</v>
      </c>
      <c r="G399" s="41" t="s">
        <v>11</v>
      </c>
      <c r="H399" s="41" t="s">
        <v>1773</v>
      </c>
      <c r="I399" s="64"/>
      <c r="J399" s="64"/>
      <c r="K399" s="64" t="str">
        <f>IFERROR(VLOOKUP(L399,'Raw material list'!$A$3:$C$715,3,0),"")</f>
        <v>DRS6-1570</v>
      </c>
      <c r="L399" s="64" t="s">
        <v>51</v>
      </c>
      <c r="M399" s="65" t="s">
        <v>156</v>
      </c>
      <c r="N399" s="40" t="str">
        <f>VLOOKUP(L399,'Raw material list'!$A$3:$E$715,5,0)</f>
        <v xml:space="preserve">Gram </v>
      </c>
      <c r="O399" s="65">
        <v>0.5</v>
      </c>
      <c r="P399" s="299">
        <f t="shared" si="24"/>
        <v>0.5</v>
      </c>
      <c r="Q399" s="65">
        <v>100</v>
      </c>
      <c r="R399" s="65">
        <v>10</v>
      </c>
      <c r="S399" s="65"/>
      <c r="T399" s="105">
        <f t="shared" si="25"/>
        <v>0.05</v>
      </c>
      <c r="U399" s="105">
        <f t="shared" si="26"/>
        <v>0.05</v>
      </c>
      <c r="V399" s="104">
        <f>IFERROR(VLOOKUP(L399,'Raw material list'!$A$2:$S$3102,6,0),0)</f>
        <v>9.3526666666666654E-3</v>
      </c>
      <c r="W399" s="104">
        <f t="shared" si="27"/>
        <v>4.6763333333333328E-4</v>
      </c>
    </row>
    <row r="400" spans="1:23" s="66" customFormat="1" hidden="1" x14ac:dyDescent="0.55000000000000004">
      <c r="A400" s="64" t="s">
        <v>1481</v>
      </c>
      <c r="B400" s="64" t="s">
        <v>35</v>
      </c>
      <c r="C400" s="64" t="s">
        <v>10</v>
      </c>
      <c r="D400" s="64" t="s">
        <v>1473</v>
      </c>
      <c r="E400" s="64" t="s">
        <v>1467</v>
      </c>
      <c r="F400" s="64" t="s">
        <v>2079</v>
      </c>
      <c r="G400" s="41" t="s">
        <v>11</v>
      </c>
      <c r="H400" s="41" t="s">
        <v>1773</v>
      </c>
      <c r="I400" s="64"/>
      <c r="J400" s="64"/>
      <c r="K400" s="64" t="str">
        <f>IFERROR(VLOOKUP(L400,'Raw material list'!$A$3:$C$715,3,0),"")</f>
        <v>DRS6-261</v>
      </c>
      <c r="L400" s="64" t="s">
        <v>1406</v>
      </c>
      <c r="M400" s="65" t="s">
        <v>156</v>
      </c>
      <c r="N400" s="40" t="str">
        <f>VLOOKUP(L400,'Raw material list'!$A$3:$E$715,5,0)</f>
        <v xml:space="preserve">Gram </v>
      </c>
      <c r="O400" s="65">
        <v>1</v>
      </c>
      <c r="P400" s="299">
        <f t="shared" si="24"/>
        <v>1</v>
      </c>
      <c r="Q400" s="65">
        <v>100</v>
      </c>
      <c r="R400" s="65">
        <v>10</v>
      </c>
      <c r="S400" s="65"/>
      <c r="T400" s="105">
        <f t="shared" si="25"/>
        <v>0.1</v>
      </c>
      <c r="U400" s="105">
        <f t="shared" si="26"/>
        <v>0.1</v>
      </c>
      <c r="V400" s="104">
        <f>IFERROR(VLOOKUP(L400,'Raw material list'!$A$2:$S$3102,6,0),0)</f>
        <v>1.4E-2</v>
      </c>
      <c r="W400" s="104">
        <f t="shared" si="27"/>
        <v>1.4000000000000002E-3</v>
      </c>
    </row>
    <row r="401" spans="1:23" s="66" customFormat="1" hidden="1" x14ac:dyDescent="0.55000000000000004">
      <c r="A401" s="64" t="s">
        <v>1481</v>
      </c>
      <c r="B401" s="64" t="s">
        <v>35</v>
      </c>
      <c r="C401" s="64" t="s">
        <v>10</v>
      </c>
      <c r="D401" s="64" t="s">
        <v>1473</v>
      </c>
      <c r="E401" s="64" t="s">
        <v>1467</v>
      </c>
      <c r="F401" s="64" t="s">
        <v>2079</v>
      </c>
      <c r="G401" s="41" t="s">
        <v>11</v>
      </c>
      <c r="H401" s="41" t="s">
        <v>1773</v>
      </c>
      <c r="I401" s="64"/>
      <c r="J401" s="64"/>
      <c r="K401" s="64" t="str">
        <f>IFERROR(VLOOKUP(L401,'Raw material list'!$A$3:$C$715,3,0),"")</f>
        <v>PRD1-4265</v>
      </c>
      <c r="L401" s="64" t="s">
        <v>38</v>
      </c>
      <c r="M401" s="65" t="s">
        <v>156</v>
      </c>
      <c r="N401" s="40" t="str">
        <f>VLOOKUP(L401,'Raw material list'!$A$3:$E$715,5,0)</f>
        <v xml:space="preserve">Gram </v>
      </c>
      <c r="O401" s="65">
        <v>150</v>
      </c>
      <c r="P401" s="299">
        <f t="shared" si="24"/>
        <v>176.47058823529412</v>
      </c>
      <c r="Q401" s="105">
        <v>85</v>
      </c>
      <c r="R401" s="65">
        <v>10</v>
      </c>
      <c r="S401" s="65"/>
      <c r="T401" s="105">
        <f t="shared" si="25"/>
        <v>15</v>
      </c>
      <c r="U401" s="105">
        <f t="shared" si="26"/>
        <v>17.647058823529413</v>
      </c>
      <c r="V401" s="104">
        <f>IFERROR(VLOOKUP(L401,'Raw material list'!$A$2:$S$3102,6,0),0)</f>
        <v>3.529411764705882E-3</v>
      </c>
      <c r="W401" s="104">
        <f t="shared" si="27"/>
        <v>6.228373702422145E-2</v>
      </c>
    </row>
    <row r="402" spans="1:23" s="66" customFormat="1" hidden="1" x14ac:dyDescent="0.55000000000000004">
      <c r="A402" s="64" t="s">
        <v>1481</v>
      </c>
      <c r="B402" s="64" t="s">
        <v>35</v>
      </c>
      <c r="C402" s="64" t="s">
        <v>10</v>
      </c>
      <c r="D402" s="64" t="s">
        <v>1473</v>
      </c>
      <c r="E402" s="64" t="s">
        <v>1467</v>
      </c>
      <c r="F402" s="64" t="s">
        <v>2079</v>
      </c>
      <c r="G402" s="41" t="s">
        <v>11</v>
      </c>
      <c r="H402" s="41" t="s">
        <v>1773</v>
      </c>
      <c r="I402" s="64"/>
      <c r="J402" s="64"/>
      <c r="K402" s="64" t="str">
        <f>IFERROR(VLOOKUP(L402,'Raw material list'!$A$3:$C$715,3,0),"")</f>
        <v>PRD1-4327</v>
      </c>
      <c r="L402" s="64" t="s">
        <v>39</v>
      </c>
      <c r="M402" s="65" t="s">
        <v>156</v>
      </c>
      <c r="N402" s="40" t="str">
        <f>VLOOKUP(L402,'Raw material list'!$A$3:$E$715,5,0)</f>
        <v xml:space="preserve">Gram </v>
      </c>
      <c r="O402" s="65">
        <v>25</v>
      </c>
      <c r="P402" s="299">
        <f t="shared" si="24"/>
        <v>30.120481927710845</v>
      </c>
      <c r="Q402" s="105">
        <v>83</v>
      </c>
      <c r="R402" s="65">
        <v>10</v>
      </c>
      <c r="S402" s="65"/>
      <c r="T402" s="105">
        <f t="shared" si="25"/>
        <v>2.5</v>
      </c>
      <c r="U402" s="105">
        <f t="shared" si="26"/>
        <v>3.0120481927710845</v>
      </c>
      <c r="V402" s="104">
        <f>IFERROR(VLOOKUP(L402,'Raw material list'!$A$2:$S$3102,6,0),0)</f>
        <v>1.2999999999999999E-2</v>
      </c>
      <c r="W402" s="104">
        <f t="shared" si="27"/>
        <v>3.9156626506024098E-2</v>
      </c>
    </row>
    <row r="403" spans="1:23" s="66" customFormat="1" hidden="1" x14ac:dyDescent="0.55000000000000004">
      <c r="A403" s="64" t="s">
        <v>1481</v>
      </c>
      <c r="B403" s="64" t="s">
        <v>35</v>
      </c>
      <c r="C403" s="64" t="s">
        <v>10</v>
      </c>
      <c r="D403" s="64" t="s">
        <v>1473</v>
      </c>
      <c r="E403" s="64" t="s">
        <v>1467</v>
      </c>
      <c r="F403" s="64" t="s">
        <v>2079</v>
      </c>
      <c r="G403" s="41" t="s">
        <v>11</v>
      </c>
      <c r="H403" s="41" t="s">
        <v>1773</v>
      </c>
      <c r="I403" s="64"/>
      <c r="J403" s="64"/>
      <c r="K403" s="64" t="str">
        <f>IFERROR(VLOOKUP(L403,'Raw material list'!$A$3:$C$715,3,0),"")</f>
        <v>DRS1-607</v>
      </c>
      <c r="L403" s="64" t="s">
        <v>250</v>
      </c>
      <c r="M403" s="65" t="s">
        <v>156</v>
      </c>
      <c r="N403" s="40" t="str">
        <f>VLOOKUP(L403,'Raw material list'!$A$3:$E$715,5,0)</f>
        <v xml:space="preserve">Gram </v>
      </c>
      <c r="O403" s="65">
        <v>1500</v>
      </c>
      <c r="P403" s="299">
        <f t="shared" si="24"/>
        <v>1500</v>
      </c>
      <c r="Q403" s="301">
        <v>100</v>
      </c>
      <c r="R403" s="65">
        <v>10</v>
      </c>
      <c r="S403" s="65"/>
      <c r="T403" s="105">
        <f t="shared" si="25"/>
        <v>150</v>
      </c>
      <c r="U403" s="105">
        <f t="shared" si="26"/>
        <v>150</v>
      </c>
      <c r="V403" s="104">
        <f>IFERROR(VLOOKUP(L403,'Raw material list'!$A$2:$S$3102,6,0),0)</f>
        <v>5.8823529411764705E-3</v>
      </c>
      <c r="W403" s="104">
        <f t="shared" si="27"/>
        <v>0.88235294117647056</v>
      </c>
    </row>
    <row r="404" spans="1:23" s="66" customFormat="1" hidden="1" x14ac:dyDescent="0.55000000000000004">
      <c r="A404" s="64" t="s">
        <v>1481</v>
      </c>
      <c r="B404" s="64" t="s">
        <v>35</v>
      </c>
      <c r="C404" s="64" t="s">
        <v>10</v>
      </c>
      <c r="D404" s="64" t="s">
        <v>1473</v>
      </c>
      <c r="E404" s="64" t="s">
        <v>1467</v>
      </c>
      <c r="F404" s="64" t="s">
        <v>2079</v>
      </c>
      <c r="G404" s="41" t="s">
        <v>11</v>
      </c>
      <c r="H404" s="41" t="s">
        <v>1773</v>
      </c>
      <c r="I404" s="64"/>
      <c r="J404" s="64"/>
      <c r="K404" s="64" t="str">
        <f>IFERROR(VLOOKUP(L404,'Raw material list'!$A$3:$C$715,3,0),"")</f>
        <v>DRS1-1747</v>
      </c>
      <c r="L404" s="64" t="s">
        <v>44</v>
      </c>
      <c r="M404" s="65" t="s">
        <v>156</v>
      </c>
      <c r="N404" s="40" t="str">
        <f>VLOOKUP(L404,'Raw material list'!$A$3:$E$715,5,0)</f>
        <v xml:space="preserve">Gram </v>
      </c>
      <c r="O404" s="65">
        <v>70</v>
      </c>
      <c r="P404" s="299">
        <f t="shared" si="24"/>
        <v>70</v>
      </c>
      <c r="Q404" s="65">
        <v>100</v>
      </c>
      <c r="R404" s="65">
        <v>10</v>
      </c>
      <c r="S404" s="65"/>
      <c r="T404" s="105">
        <f t="shared" si="25"/>
        <v>7</v>
      </c>
      <c r="U404" s="105">
        <f t="shared" si="26"/>
        <v>7</v>
      </c>
      <c r="V404" s="104">
        <f>IFERROR(VLOOKUP(L404,'Raw material list'!$A$2:$S$3102,6,0),0)</f>
        <v>5.185185185185185E-3</v>
      </c>
      <c r="W404" s="104">
        <f t="shared" si="27"/>
        <v>3.6296296296296299E-2</v>
      </c>
    </row>
    <row r="405" spans="1:23" s="66" customFormat="1" hidden="1" x14ac:dyDescent="0.55000000000000004">
      <c r="A405" s="64" t="s">
        <v>1481</v>
      </c>
      <c r="B405" s="64" t="s">
        <v>35</v>
      </c>
      <c r="C405" s="64" t="s">
        <v>10</v>
      </c>
      <c r="D405" s="64" t="s">
        <v>1473</v>
      </c>
      <c r="E405" s="64" t="s">
        <v>1467</v>
      </c>
      <c r="F405" s="64" t="s">
        <v>2079</v>
      </c>
      <c r="G405" s="41" t="s">
        <v>11</v>
      </c>
      <c r="H405" s="41" t="s">
        <v>1773</v>
      </c>
      <c r="I405" s="64"/>
      <c r="J405" s="64"/>
      <c r="K405" s="64" t="str">
        <f>IFERROR(VLOOKUP(L405,'Raw material list'!$A$3:$C$715,3,0),"")</f>
        <v>TAP-00001</v>
      </c>
      <c r="L405" s="64" t="s">
        <v>1405</v>
      </c>
      <c r="M405" s="65" t="s">
        <v>206</v>
      </c>
      <c r="N405" s="40" t="str">
        <f>VLOOKUP(L405,'Raw material list'!$A$3:$E$715,5,0)</f>
        <v>Ml</v>
      </c>
      <c r="O405" s="65">
        <v>2000</v>
      </c>
      <c r="P405" s="299">
        <f t="shared" si="24"/>
        <v>2000</v>
      </c>
      <c r="Q405" s="65">
        <v>100</v>
      </c>
      <c r="R405" s="65">
        <v>10</v>
      </c>
      <c r="S405" s="65"/>
      <c r="T405" s="105">
        <f t="shared" si="25"/>
        <v>200</v>
      </c>
      <c r="U405" s="105">
        <f t="shared" si="26"/>
        <v>200</v>
      </c>
      <c r="V405" s="104">
        <f>IFERROR(VLOOKUP(L405,'Raw material list'!$A$2:$S$3102,6,0),0)</f>
        <v>8.0000000000000007E-5</v>
      </c>
      <c r="W405" s="104">
        <f t="shared" si="27"/>
        <v>1.6E-2</v>
      </c>
    </row>
    <row r="406" spans="1:23" s="66" customFormat="1" hidden="1" x14ac:dyDescent="0.55000000000000004">
      <c r="A406" s="64" t="s">
        <v>1481</v>
      </c>
      <c r="B406" s="64" t="s">
        <v>35</v>
      </c>
      <c r="C406" s="64" t="s">
        <v>10</v>
      </c>
      <c r="D406" s="64" t="s">
        <v>1473</v>
      </c>
      <c r="E406" s="64" t="s">
        <v>1467</v>
      </c>
      <c r="F406" s="64" t="s">
        <v>2079</v>
      </c>
      <c r="G406" s="41" t="s">
        <v>11</v>
      </c>
      <c r="H406" s="41" t="s">
        <v>1773</v>
      </c>
      <c r="I406" s="64"/>
      <c r="J406" s="64"/>
      <c r="K406" s="64" t="str">
        <f>IFERROR(VLOOKUP(L406,'Raw material list'!$A$3:$C$715,3,0),"")</f>
        <v>DRS6-537</v>
      </c>
      <c r="L406" s="64" t="s">
        <v>46</v>
      </c>
      <c r="M406" s="65" t="s">
        <v>156</v>
      </c>
      <c r="N406" s="40" t="str">
        <f>VLOOKUP(L406,'Raw material list'!$A$3:$E$715,5,0)</f>
        <v xml:space="preserve">Gram </v>
      </c>
      <c r="O406" s="65">
        <v>2</v>
      </c>
      <c r="P406" s="299">
        <f t="shared" si="24"/>
        <v>2</v>
      </c>
      <c r="Q406" s="65">
        <v>100</v>
      </c>
      <c r="R406" s="65">
        <v>10</v>
      </c>
      <c r="S406" s="65"/>
      <c r="T406" s="105">
        <f t="shared" si="25"/>
        <v>0.2</v>
      </c>
      <c r="U406" s="105">
        <f t="shared" si="26"/>
        <v>0.2</v>
      </c>
      <c r="V406" s="104">
        <f>IFERROR(VLOOKUP(L406,'Raw material list'!$A$2:$S$3102,6,0),0)</f>
        <v>3.5000000000000003E-2</v>
      </c>
      <c r="W406" s="104">
        <f t="shared" si="27"/>
        <v>7.000000000000001E-3</v>
      </c>
    </row>
    <row r="407" spans="1:23" s="66" customFormat="1" hidden="1" x14ac:dyDescent="0.55000000000000004">
      <c r="A407" s="64" t="s">
        <v>1481</v>
      </c>
      <c r="B407" s="64" t="s">
        <v>35</v>
      </c>
      <c r="C407" s="64" t="s">
        <v>10</v>
      </c>
      <c r="D407" s="64" t="s">
        <v>1473</v>
      </c>
      <c r="E407" s="64" t="s">
        <v>1467</v>
      </c>
      <c r="F407" s="64" t="s">
        <v>2079</v>
      </c>
      <c r="G407" s="41" t="s">
        <v>11</v>
      </c>
      <c r="H407" s="41" t="s">
        <v>1773</v>
      </c>
      <c r="I407" s="64"/>
      <c r="J407" s="64"/>
      <c r="K407" s="64" t="str">
        <f>IFERROR(VLOOKUP(L407,'Raw material list'!$A$3:$C$715,3,0),"")</f>
        <v>DRS5-21</v>
      </c>
      <c r="L407" s="64" t="s">
        <v>55</v>
      </c>
      <c r="M407" s="65" t="s">
        <v>156</v>
      </c>
      <c r="N407" s="40" t="str">
        <f>VLOOKUP(L407,'Raw material list'!$A$3:$E$715,5,0)</f>
        <v xml:space="preserve">Gram </v>
      </c>
      <c r="O407" s="65">
        <v>20</v>
      </c>
      <c r="P407" s="299">
        <f t="shared" si="24"/>
        <v>20</v>
      </c>
      <c r="Q407" s="65">
        <v>100</v>
      </c>
      <c r="R407" s="65">
        <v>10</v>
      </c>
      <c r="S407" s="65"/>
      <c r="T407" s="105">
        <f t="shared" si="25"/>
        <v>2</v>
      </c>
      <c r="U407" s="105">
        <f t="shared" si="26"/>
        <v>2</v>
      </c>
      <c r="V407" s="104">
        <f>IFERROR(VLOOKUP(L407,'Raw material list'!$A$2:$S$3102,6,0),0)</f>
        <v>2.0799999999999998E-3</v>
      </c>
      <c r="W407" s="104">
        <f t="shared" si="27"/>
        <v>4.1599999999999996E-3</v>
      </c>
    </row>
    <row r="408" spans="1:23" s="66" customFormat="1" hidden="1" x14ac:dyDescent="0.55000000000000004">
      <c r="A408" s="64" t="s">
        <v>1481</v>
      </c>
      <c r="B408" s="64" t="s">
        <v>35</v>
      </c>
      <c r="C408" s="64" t="s">
        <v>10</v>
      </c>
      <c r="D408" s="64" t="s">
        <v>1473</v>
      </c>
      <c r="E408" s="64" t="s">
        <v>1467</v>
      </c>
      <c r="F408" s="64" t="s">
        <v>2079</v>
      </c>
      <c r="G408" s="41" t="s">
        <v>11</v>
      </c>
      <c r="H408" s="41" t="s">
        <v>1773</v>
      </c>
      <c r="I408" s="64"/>
      <c r="J408" s="64"/>
      <c r="K408" s="64" t="str">
        <f>IFERROR(VLOOKUP(L408,'Raw material list'!$A$3:$C$715,3,0),"")</f>
        <v>PRD1-239</v>
      </c>
      <c r="L408" s="64" t="s">
        <v>1056</v>
      </c>
      <c r="M408" s="65" t="s">
        <v>156</v>
      </c>
      <c r="N408" s="40" t="str">
        <f>VLOOKUP(L408,'Raw material list'!$A$3:$E$715,5,0)</f>
        <v xml:space="preserve">Gram </v>
      </c>
      <c r="O408" s="65">
        <v>80</v>
      </c>
      <c r="P408" s="299">
        <f t="shared" si="24"/>
        <v>118.81188118811883</v>
      </c>
      <c r="Q408" s="105">
        <v>67.333333333333329</v>
      </c>
      <c r="R408" s="65">
        <v>10</v>
      </c>
      <c r="S408" s="65"/>
      <c r="T408" s="105">
        <f t="shared" si="25"/>
        <v>8</v>
      </c>
      <c r="U408" s="105">
        <f t="shared" si="26"/>
        <v>11.881188118811883</v>
      </c>
      <c r="V408" s="104">
        <f>IFERROR(VLOOKUP(L408,'Raw material list'!$A$2:$S$3102,6,0),0)</f>
        <v>6.6864784546805346E-3</v>
      </c>
      <c r="W408" s="104">
        <f t="shared" si="27"/>
        <v>7.9443308372442012E-2</v>
      </c>
    </row>
    <row r="409" spans="1:23" s="66" customFormat="1" hidden="1" x14ac:dyDescent="0.55000000000000004">
      <c r="A409" s="64" t="s">
        <v>1481</v>
      </c>
      <c r="B409" s="64" t="s">
        <v>35</v>
      </c>
      <c r="C409" s="64" t="s">
        <v>10</v>
      </c>
      <c r="D409" s="64" t="s">
        <v>1473</v>
      </c>
      <c r="E409" s="64" t="s">
        <v>1467</v>
      </c>
      <c r="F409" s="64" t="s">
        <v>2079</v>
      </c>
      <c r="G409" s="41" t="s">
        <v>11</v>
      </c>
      <c r="H409" s="41" t="s">
        <v>1773</v>
      </c>
      <c r="I409" s="64"/>
      <c r="J409" s="64"/>
      <c r="K409" s="64" t="str">
        <f>IFERROR(VLOOKUP(L409,'Raw material list'!$A$3:$C$715,3,0),"")</f>
        <v>PRD1-241</v>
      </c>
      <c r="L409" s="64" t="s">
        <v>1059</v>
      </c>
      <c r="M409" s="65" t="s">
        <v>156</v>
      </c>
      <c r="N409" s="40" t="str">
        <f>VLOOKUP(L409,'Raw material list'!$A$3:$E$715,5,0)</f>
        <v xml:space="preserve">Gram </v>
      </c>
      <c r="O409" s="65">
        <v>80</v>
      </c>
      <c r="P409" s="299">
        <f t="shared" si="24"/>
        <v>117.2447484123107</v>
      </c>
      <c r="Q409" s="105">
        <v>68.233333333333334</v>
      </c>
      <c r="R409" s="65">
        <v>10</v>
      </c>
      <c r="S409" s="65"/>
      <c r="T409" s="105">
        <f t="shared" si="25"/>
        <v>8</v>
      </c>
      <c r="U409" s="105">
        <f t="shared" si="26"/>
        <v>11.72447484123107</v>
      </c>
      <c r="V409" s="104">
        <f>IFERROR(VLOOKUP(L409,'Raw material list'!$A$2:$S$3102,6,0),0)</f>
        <v>1.3196480938416421E-2</v>
      </c>
      <c r="W409" s="104">
        <f t="shared" si="27"/>
        <v>0.15472180875524871</v>
      </c>
    </row>
    <row r="410" spans="1:23" s="66" customFormat="1" hidden="1" x14ac:dyDescent="0.55000000000000004">
      <c r="A410" s="64" t="s">
        <v>1481</v>
      </c>
      <c r="B410" s="64" t="s">
        <v>35</v>
      </c>
      <c r="C410" s="64" t="s">
        <v>10</v>
      </c>
      <c r="D410" s="64" t="s">
        <v>1473</v>
      </c>
      <c r="E410" s="64" t="s">
        <v>1467</v>
      </c>
      <c r="F410" s="64" t="s">
        <v>2079</v>
      </c>
      <c r="G410" s="41" t="s">
        <v>11</v>
      </c>
      <c r="H410" s="41" t="s">
        <v>1773</v>
      </c>
      <c r="I410" s="64"/>
      <c r="J410" s="64"/>
      <c r="K410" s="64" t="str">
        <f>IFERROR(VLOOKUP(L410,'Raw material list'!$A$3:$C$715,3,0),"")</f>
        <v>DRY2-1160</v>
      </c>
      <c r="L410" s="64" t="s">
        <v>125</v>
      </c>
      <c r="M410" s="65" t="s">
        <v>156</v>
      </c>
      <c r="N410" s="40" t="str">
        <f>VLOOKUP(L410,'Raw material list'!$A$3:$E$715,5,0)</f>
        <v xml:space="preserve">Gram </v>
      </c>
      <c r="O410" s="65">
        <v>50</v>
      </c>
      <c r="P410" s="299">
        <f t="shared" si="24"/>
        <v>50</v>
      </c>
      <c r="Q410" s="301">
        <v>100</v>
      </c>
      <c r="R410" s="65">
        <v>10</v>
      </c>
      <c r="S410" s="65"/>
      <c r="T410" s="105">
        <f t="shared" si="25"/>
        <v>5</v>
      </c>
      <c r="U410" s="105">
        <f t="shared" si="26"/>
        <v>5</v>
      </c>
      <c r="V410" s="104">
        <f>IFERROR(VLOOKUP(L410,'Raw material list'!$A$2:$S$3102,6,0),0)</f>
        <v>4.4000000000000003E-3</v>
      </c>
      <c r="W410" s="104">
        <f t="shared" si="27"/>
        <v>2.2000000000000002E-2</v>
      </c>
    </row>
    <row r="411" spans="1:23" s="75" customFormat="1" hidden="1" x14ac:dyDescent="0.55000000000000004">
      <c r="A411" s="64" t="s">
        <v>1481</v>
      </c>
      <c r="B411" s="64" t="s">
        <v>35</v>
      </c>
      <c r="C411" s="64" t="s">
        <v>10</v>
      </c>
      <c r="D411" s="64" t="s">
        <v>1473</v>
      </c>
      <c r="E411" s="64" t="s">
        <v>1467</v>
      </c>
      <c r="F411" s="64" t="s">
        <v>2079</v>
      </c>
      <c r="G411" s="41" t="s">
        <v>11</v>
      </c>
      <c r="H411" s="41" t="s">
        <v>1773</v>
      </c>
      <c r="I411" s="64"/>
      <c r="J411" s="64"/>
      <c r="K411" s="64" t="str">
        <f>IFERROR(VLOOKUP(L411,'Raw material list'!$A$3:$C$715,3,0),"")</f>
        <v>DRS1-1787</v>
      </c>
      <c r="L411" s="64" t="s">
        <v>302</v>
      </c>
      <c r="M411" s="65" t="s">
        <v>156</v>
      </c>
      <c r="N411" s="40" t="str">
        <f>VLOOKUP(L411,'Raw material list'!$A$3:$E$715,5,0)</f>
        <v xml:space="preserve">Gram </v>
      </c>
      <c r="O411" s="65">
        <v>40</v>
      </c>
      <c r="P411" s="299">
        <f t="shared" si="24"/>
        <v>40</v>
      </c>
      <c r="Q411" s="65">
        <v>100</v>
      </c>
      <c r="R411" s="65">
        <v>10</v>
      </c>
      <c r="S411" s="65"/>
      <c r="T411" s="105">
        <f t="shared" si="25"/>
        <v>4</v>
      </c>
      <c r="U411" s="105">
        <f t="shared" si="26"/>
        <v>4</v>
      </c>
      <c r="V411" s="104">
        <f>IFERROR(VLOOKUP(L411,'Raw material list'!$A$2:$S$3102,6,0),0)</f>
        <v>1.125E-2</v>
      </c>
      <c r="W411" s="104">
        <f t="shared" si="27"/>
        <v>4.4999999999999998E-2</v>
      </c>
    </row>
    <row r="412" spans="1:23" s="75" customFormat="1" hidden="1" x14ac:dyDescent="0.55000000000000004">
      <c r="A412" s="64" t="s">
        <v>1481</v>
      </c>
      <c r="B412" s="64" t="s">
        <v>35</v>
      </c>
      <c r="C412" s="64" t="s">
        <v>10</v>
      </c>
      <c r="D412" s="64" t="s">
        <v>1473</v>
      </c>
      <c r="E412" s="64" t="s">
        <v>1467</v>
      </c>
      <c r="F412" s="64" t="s">
        <v>2079</v>
      </c>
      <c r="G412" s="41" t="s">
        <v>11</v>
      </c>
      <c r="H412" s="41" t="s">
        <v>1773</v>
      </c>
      <c r="I412" s="64"/>
      <c r="J412" s="64"/>
      <c r="K412" s="64" t="str">
        <f>IFERROR(VLOOKUP(L412,'Raw material list'!$A$3:$C$715,3,0),"")</f>
        <v>PRD1-209</v>
      </c>
      <c r="L412" s="64" t="s">
        <v>86</v>
      </c>
      <c r="M412" s="65" t="s">
        <v>156</v>
      </c>
      <c r="N412" s="40" t="str">
        <f>VLOOKUP(L412,'Raw material list'!$A$3:$E$715,5,0)</f>
        <v xml:space="preserve">Gram </v>
      </c>
      <c r="O412" s="65">
        <v>50</v>
      </c>
      <c r="P412" s="299">
        <f t="shared" si="24"/>
        <v>63.025210084033624</v>
      </c>
      <c r="Q412" s="105">
        <v>79.333333333333329</v>
      </c>
      <c r="R412" s="65">
        <v>10</v>
      </c>
      <c r="S412" s="65"/>
      <c r="T412" s="105">
        <f t="shared" si="25"/>
        <v>5</v>
      </c>
      <c r="U412" s="105">
        <f t="shared" si="26"/>
        <v>6.302521008403362</v>
      </c>
      <c r="V412" s="104">
        <f>IFERROR(VLOOKUP(L412,'Raw material list'!$A$2:$S$3102,6,0),0)</f>
        <v>1.0088272383354349E-2</v>
      </c>
      <c r="W412" s="104">
        <f t="shared" si="27"/>
        <v>6.3581548634586232E-2</v>
      </c>
    </row>
    <row r="413" spans="1:23" s="75" customFormat="1" hidden="1" x14ac:dyDescent="0.55000000000000004">
      <c r="A413" s="64" t="s">
        <v>1481</v>
      </c>
      <c r="B413" s="64" t="s">
        <v>35</v>
      </c>
      <c r="C413" s="64" t="s">
        <v>10</v>
      </c>
      <c r="D413" s="64" t="s">
        <v>1473</v>
      </c>
      <c r="E413" s="64" t="s">
        <v>1467</v>
      </c>
      <c r="F413" s="64" t="s">
        <v>2079</v>
      </c>
      <c r="G413" s="41" t="s">
        <v>11</v>
      </c>
      <c r="H413" s="41" t="s">
        <v>1773</v>
      </c>
      <c r="I413" s="64"/>
      <c r="J413" s="64"/>
      <c r="K413" s="64" t="str">
        <f>IFERROR(VLOOKUP(L413,'Raw material list'!$A$3:$C$715,3,0),"")</f>
        <v>DRS1-1547</v>
      </c>
      <c r="L413" s="64" t="s">
        <v>100</v>
      </c>
      <c r="M413" s="65" t="s">
        <v>206</v>
      </c>
      <c r="N413" s="40" t="str">
        <f>VLOOKUP(L413,'Raw material list'!$A$3:$E$715,5,0)</f>
        <v>Ml</v>
      </c>
      <c r="O413" s="65">
        <v>10</v>
      </c>
      <c r="P413" s="299">
        <f t="shared" si="24"/>
        <v>10</v>
      </c>
      <c r="Q413" s="301">
        <v>100</v>
      </c>
      <c r="R413" s="65">
        <v>10</v>
      </c>
      <c r="S413" s="65"/>
      <c r="T413" s="105">
        <f t="shared" si="25"/>
        <v>1</v>
      </c>
      <c r="U413" s="105">
        <f t="shared" si="26"/>
        <v>1</v>
      </c>
      <c r="V413" s="104">
        <f>IFERROR(VLOOKUP(L413,'Raw material list'!$A$2:$S$3102,6,0),0)</f>
        <v>2.3026315789473682E-3</v>
      </c>
      <c r="W413" s="104">
        <f t="shared" si="27"/>
        <v>2.3026315789473682E-3</v>
      </c>
    </row>
    <row r="414" spans="1:23" s="75" customFormat="1" hidden="1" x14ac:dyDescent="0.55000000000000004">
      <c r="A414" s="64" t="s">
        <v>1481</v>
      </c>
      <c r="B414" s="64" t="s">
        <v>35</v>
      </c>
      <c r="C414" s="64" t="s">
        <v>10</v>
      </c>
      <c r="D414" s="64" t="s">
        <v>1473</v>
      </c>
      <c r="E414" s="64" t="s">
        <v>1467</v>
      </c>
      <c r="F414" s="64" t="s">
        <v>2079</v>
      </c>
      <c r="G414" s="41" t="s">
        <v>11</v>
      </c>
      <c r="H414" s="41" t="s">
        <v>1773</v>
      </c>
      <c r="I414" s="64"/>
      <c r="J414" s="64"/>
      <c r="K414" s="64" t="str">
        <f>IFERROR(VLOOKUP(L414,'Raw material list'!$A$3:$C$715,3,0),"")</f>
        <v>DRS4-498</v>
      </c>
      <c r="L414" s="64" t="s">
        <v>72</v>
      </c>
      <c r="M414" s="65" t="s">
        <v>156</v>
      </c>
      <c r="N414" s="40" t="str">
        <f>VLOOKUP(L414,'Raw material list'!$A$3:$E$715,5,0)</f>
        <v xml:space="preserve">Gram </v>
      </c>
      <c r="O414" s="65">
        <v>1000</v>
      </c>
      <c r="P414" s="299">
        <f t="shared" si="24"/>
        <v>1000</v>
      </c>
      <c r="Q414" s="65">
        <v>100</v>
      </c>
      <c r="R414" s="65">
        <v>10</v>
      </c>
      <c r="S414" s="65"/>
      <c r="T414" s="105">
        <f t="shared" si="25"/>
        <v>100</v>
      </c>
      <c r="U414" s="105">
        <f t="shared" si="26"/>
        <v>100</v>
      </c>
      <c r="V414" s="104">
        <f>IFERROR(VLOOKUP(L414,'Raw material list'!$A$2:$S$3102,6,0),0)</f>
        <v>5.7499999999999999E-3</v>
      </c>
      <c r="W414" s="104">
        <f t="shared" si="27"/>
        <v>0.57499999999999996</v>
      </c>
    </row>
    <row r="415" spans="1:23" s="75" customFormat="1" hidden="1" x14ac:dyDescent="0.55000000000000004">
      <c r="A415" s="64" t="s">
        <v>1481</v>
      </c>
      <c r="B415" s="64" t="s">
        <v>35</v>
      </c>
      <c r="C415" s="64" t="s">
        <v>10</v>
      </c>
      <c r="D415" s="64" t="s">
        <v>1473</v>
      </c>
      <c r="E415" s="64" t="s">
        <v>1467</v>
      </c>
      <c r="F415" s="64" t="s">
        <v>2079</v>
      </c>
      <c r="G415" s="41" t="s">
        <v>11</v>
      </c>
      <c r="H415" s="41" t="s">
        <v>1773</v>
      </c>
      <c r="I415" s="64"/>
      <c r="J415" s="64"/>
      <c r="K415" s="64" t="str">
        <f>IFERROR(VLOOKUP(L415,'Raw material list'!$A$3:$C$715,3,0),"")</f>
        <v>DRS6-3593</v>
      </c>
      <c r="L415" s="64" t="s">
        <v>1407</v>
      </c>
      <c r="M415" s="65" t="s">
        <v>156</v>
      </c>
      <c r="N415" s="40" t="str">
        <f>VLOOKUP(L415,'Raw material list'!$A$3:$E$715,5,0)</f>
        <v xml:space="preserve">Gram </v>
      </c>
      <c r="O415" s="65">
        <v>1</v>
      </c>
      <c r="P415" s="299">
        <f t="shared" si="24"/>
        <v>1</v>
      </c>
      <c r="Q415" s="65">
        <v>100</v>
      </c>
      <c r="R415" s="65">
        <v>10</v>
      </c>
      <c r="S415" s="65"/>
      <c r="T415" s="105">
        <f t="shared" si="25"/>
        <v>0.1</v>
      </c>
      <c r="U415" s="105">
        <f t="shared" si="26"/>
        <v>0.1</v>
      </c>
      <c r="V415" s="104">
        <f>IFERROR(VLOOKUP(L415,'Raw material list'!$A$2:$S$3102,6,0),0)</f>
        <v>8.0000000000000002E-3</v>
      </c>
      <c r="W415" s="104">
        <f t="shared" si="27"/>
        <v>8.0000000000000004E-4</v>
      </c>
    </row>
    <row r="416" spans="1:23" s="75" customFormat="1" hidden="1" x14ac:dyDescent="0.55000000000000004">
      <c r="A416" s="64" t="s">
        <v>1482</v>
      </c>
      <c r="B416" s="64" t="s">
        <v>35</v>
      </c>
      <c r="C416" s="64" t="s">
        <v>10</v>
      </c>
      <c r="D416" s="64" t="s">
        <v>1474</v>
      </c>
      <c r="E416" s="64" t="s">
        <v>1467</v>
      </c>
      <c r="F416" s="64" t="s">
        <v>2081</v>
      </c>
      <c r="G416" s="41" t="s">
        <v>11</v>
      </c>
      <c r="H416" s="64" t="s">
        <v>1774</v>
      </c>
      <c r="I416" s="64"/>
      <c r="J416" s="64"/>
      <c r="K416" s="64" t="str">
        <f>IFERROR(VLOOKUP(L416,'Raw material list'!$A$3:$C$715,3,0),"")</f>
        <v>PLT2-3278</v>
      </c>
      <c r="L416" s="64" t="s">
        <v>80</v>
      </c>
      <c r="M416" s="65" t="s">
        <v>156</v>
      </c>
      <c r="N416" s="40" t="str">
        <f>VLOOKUP(L416,'Raw material list'!$A$3:$E$715,5,0)</f>
        <v xml:space="preserve">Gram </v>
      </c>
      <c r="O416" s="65">
        <v>1000</v>
      </c>
      <c r="P416" s="299">
        <f t="shared" si="24"/>
        <v>1312.3359580052493</v>
      </c>
      <c r="Q416" s="65">
        <v>76.2</v>
      </c>
      <c r="R416" s="65">
        <v>10</v>
      </c>
      <c r="S416" s="65"/>
      <c r="T416" s="105">
        <f t="shared" si="25"/>
        <v>100</v>
      </c>
      <c r="U416" s="105">
        <f t="shared" si="26"/>
        <v>131.23359580052494</v>
      </c>
      <c r="V416" s="104">
        <f>IFERROR(VLOOKUP(L416,'Raw material list'!$A$2:$S$3102,6,0),0)</f>
        <v>3.0357142857142853E-2</v>
      </c>
      <c r="W416" s="104">
        <f t="shared" si="27"/>
        <v>3.983877015373078</v>
      </c>
    </row>
    <row r="417" spans="1:23" s="75" customFormat="1" hidden="1" x14ac:dyDescent="0.55000000000000004">
      <c r="A417" s="64" t="s">
        <v>1482</v>
      </c>
      <c r="B417" s="64" t="s">
        <v>35</v>
      </c>
      <c r="C417" s="64" t="s">
        <v>10</v>
      </c>
      <c r="D417" s="64" t="s">
        <v>1474</v>
      </c>
      <c r="E417" s="64" t="s">
        <v>1467</v>
      </c>
      <c r="F417" s="64" t="s">
        <v>2079</v>
      </c>
      <c r="G417" s="41" t="s">
        <v>11</v>
      </c>
      <c r="H417" s="64" t="s">
        <v>1774</v>
      </c>
      <c r="I417" s="64"/>
      <c r="J417" s="64"/>
      <c r="K417" s="64" t="str">
        <f>IFERROR(VLOOKUP(L417,'Raw material list'!$A$3:$C$715,3,0),"")</f>
        <v>DRS3-1813</v>
      </c>
      <c r="L417" s="64" t="s">
        <v>69</v>
      </c>
      <c r="M417" s="65" t="s">
        <v>206</v>
      </c>
      <c r="N417" s="40" t="str">
        <f>VLOOKUP(L417,'Raw material list'!$A$3:$E$715,5,0)</f>
        <v>Ml</v>
      </c>
      <c r="O417" s="65">
        <v>20</v>
      </c>
      <c r="P417" s="299">
        <f t="shared" si="24"/>
        <v>20</v>
      </c>
      <c r="Q417" s="65">
        <v>100</v>
      </c>
      <c r="R417" s="65">
        <v>10</v>
      </c>
      <c r="S417" s="65"/>
      <c r="T417" s="105">
        <f t="shared" si="25"/>
        <v>2</v>
      </c>
      <c r="U417" s="105">
        <f t="shared" si="26"/>
        <v>2</v>
      </c>
      <c r="V417" s="104">
        <f>IFERROR(VLOOKUP(L417,'Raw material list'!$A$2:$S$3102,6,0),0)</f>
        <v>8.0555555555555554E-3</v>
      </c>
      <c r="W417" s="104">
        <f t="shared" si="27"/>
        <v>1.6111111111111111E-2</v>
      </c>
    </row>
    <row r="418" spans="1:23" s="75" customFormat="1" hidden="1" x14ac:dyDescent="0.55000000000000004">
      <c r="A418" s="64" t="s">
        <v>1482</v>
      </c>
      <c r="B418" s="64" t="s">
        <v>35</v>
      </c>
      <c r="C418" s="64" t="s">
        <v>10</v>
      </c>
      <c r="D418" s="64" t="s">
        <v>1474</v>
      </c>
      <c r="E418" s="64" t="s">
        <v>1467</v>
      </c>
      <c r="F418" s="64" t="s">
        <v>2079</v>
      </c>
      <c r="G418" s="41" t="s">
        <v>11</v>
      </c>
      <c r="H418" s="64" t="s">
        <v>1774</v>
      </c>
      <c r="I418" s="64"/>
      <c r="J418" s="64"/>
      <c r="K418" s="64" t="str">
        <f>IFERROR(VLOOKUP(L418,'Raw material list'!$A$3:$C$715,3,0),"")</f>
        <v>PRD1-4265</v>
      </c>
      <c r="L418" s="64" t="s">
        <v>38</v>
      </c>
      <c r="M418" s="65" t="s">
        <v>156</v>
      </c>
      <c r="N418" s="40" t="str">
        <f>VLOOKUP(L418,'Raw material list'!$A$3:$E$715,5,0)</f>
        <v xml:space="preserve">Gram </v>
      </c>
      <c r="O418" s="65">
        <v>150</v>
      </c>
      <c r="P418" s="299">
        <f t="shared" si="24"/>
        <v>176.47058823529412</v>
      </c>
      <c r="Q418" s="105">
        <v>85</v>
      </c>
      <c r="R418" s="65">
        <v>10</v>
      </c>
      <c r="S418" s="65"/>
      <c r="T418" s="105">
        <f t="shared" si="25"/>
        <v>15</v>
      </c>
      <c r="U418" s="105">
        <f t="shared" si="26"/>
        <v>17.647058823529413</v>
      </c>
      <c r="V418" s="104">
        <f>IFERROR(VLOOKUP(L418,'Raw material list'!$A$2:$S$3102,6,0),0)</f>
        <v>3.529411764705882E-3</v>
      </c>
      <c r="W418" s="104">
        <f t="shared" si="27"/>
        <v>6.228373702422145E-2</v>
      </c>
    </row>
    <row r="419" spans="1:23" s="75" customFormat="1" hidden="1" x14ac:dyDescent="0.55000000000000004">
      <c r="A419" s="64" t="s">
        <v>1482</v>
      </c>
      <c r="B419" s="64" t="s">
        <v>35</v>
      </c>
      <c r="C419" s="64" t="s">
        <v>10</v>
      </c>
      <c r="D419" s="64" t="s">
        <v>1474</v>
      </c>
      <c r="E419" s="64" t="s">
        <v>1467</v>
      </c>
      <c r="F419" s="64" t="s">
        <v>2079</v>
      </c>
      <c r="G419" s="41" t="s">
        <v>11</v>
      </c>
      <c r="H419" s="64" t="s">
        <v>1774</v>
      </c>
      <c r="I419" s="64"/>
      <c r="J419" s="64"/>
      <c r="K419" s="64" t="str">
        <f>IFERROR(VLOOKUP(L419,'Raw material list'!$A$3:$C$715,3,0),"")</f>
        <v>PRD1-4327</v>
      </c>
      <c r="L419" s="64" t="s">
        <v>39</v>
      </c>
      <c r="M419" s="65" t="s">
        <v>156</v>
      </c>
      <c r="N419" s="40" t="str">
        <f>VLOOKUP(L419,'Raw material list'!$A$3:$E$715,5,0)</f>
        <v xml:space="preserve">Gram </v>
      </c>
      <c r="O419" s="65">
        <v>15</v>
      </c>
      <c r="P419" s="299">
        <f t="shared" si="24"/>
        <v>18.072289156626507</v>
      </c>
      <c r="Q419" s="105">
        <v>83</v>
      </c>
      <c r="R419" s="65">
        <v>10</v>
      </c>
      <c r="S419" s="65"/>
      <c r="T419" s="105">
        <f t="shared" si="25"/>
        <v>1.5</v>
      </c>
      <c r="U419" s="105">
        <f t="shared" si="26"/>
        <v>1.8072289156626506</v>
      </c>
      <c r="V419" s="104">
        <f>IFERROR(VLOOKUP(L419,'Raw material list'!$A$2:$S$3102,6,0),0)</f>
        <v>1.2999999999999999E-2</v>
      </c>
      <c r="W419" s="104">
        <f t="shared" si="27"/>
        <v>2.3493975903614458E-2</v>
      </c>
    </row>
    <row r="420" spans="1:23" s="66" customFormat="1" hidden="1" x14ac:dyDescent="0.55000000000000004">
      <c r="A420" s="64" t="s">
        <v>1482</v>
      </c>
      <c r="B420" s="64" t="s">
        <v>35</v>
      </c>
      <c r="C420" s="64" t="s">
        <v>10</v>
      </c>
      <c r="D420" s="64" t="s">
        <v>1474</v>
      </c>
      <c r="E420" s="64" t="s">
        <v>1467</v>
      </c>
      <c r="F420" s="64" t="s">
        <v>2079</v>
      </c>
      <c r="G420" s="41" t="s">
        <v>11</v>
      </c>
      <c r="H420" s="64" t="s">
        <v>1774</v>
      </c>
      <c r="I420" s="64"/>
      <c r="J420" s="64"/>
      <c r="K420" s="64" t="str">
        <f>IFERROR(VLOOKUP(L420,'Raw material list'!$A$3:$C$715,3,0),"")</f>
        <v>PRD1-230</v>
      </c>
      <c r="L420" s="64" t="s">
        <v>70</v>
      </c>
      <c r="M420" s="65" t="s">
        <v>156</v>
      </c>
      <c r="N420" s="40" t="str">
        <f>VLOOKUP(L420,'Raw material list'!$A$3:$E$715,5,0)</f>
        <v xml:space="preserve">Gram </v>
      </c>
      <c r="O420" s="65">
        <v>750</v>
      </c>
      <c r="P420" s="299">
        <f t="shared" si="24"/>
        <v>1012.1457489878543</v>
      </c>
      <c r="Q420" s="105">
        <v>74.099999999999994</v>
      </c>
      <c r="R420" s="65">
        <v>10</v>
      </c>
      <c r="S420" s="65"/>
      <c r="T420" s="105">
        <f t="shared" si="25"/>
        <v>75</v>
      </c>
      <c r="U420" s="105">
        <f t="shared" si="26"/>
        <v>101.21457489878543</v>
      </c>
      <c r="V420" s="104">
        <f>IFERROR(VLOOKUP(L420,'Raw material list'!$A$2:$S$3102,6,0),0)</f>
        <v>3.3738191632928472E-3</v>
      </c>
      <c r="W420" s="104">
        <f t="shared" si="27"/>
        <v>0.34147967239806148</v>
      </c>
    </row>
    <row r="421" spans="1:23" s="66" customFormat="1" hidden="1" x14ac:dyDescent="0.55000000000000004">
      <c r="A421" s="64" t="s">
        <v>1482</v>
      </c>
      <c r="B421" s="64" t="s">
        <v>35</v>
      </c>
      <c r="C421" s="64" t="s">
        <v>10</v>
      </c>
      <c r="D421" s="64" t="s">
        <v>1474</v>
      </c>
      <c r="E421" s="64" t="s">
        <v>1467</v>
      </c>
      <c r="F421" s="64" t="s">
        <v>2079</v>
      </c>
      <c r="G421" s="41" t="s">
        <v>11</v>
      </c>
      <c r="H421" s="64" t="s">
        <v>1774</v>
      </c>
      <c r="I421" s="64"/>
      <c r="J421" s="64"/>
      <c r="K421" s="64" t="str">
        <f>IFERROR(VLOOKUP(L421,'Raw material list'!$A$3:$C$715,3,0),"")</f>
        <v>PRD1-3794</v>
      </c>
      <c r="L421" s="64" t="s">
        <v>973</v>
      </c>
      <c r="M421" s="65" t="s">
        <v>156</v>
      </c>
      <c r="N421" s="40" t="str">
        <f>VLOOKUP(L421,'Raw material list'!$A$3:$E$715,5,0)</f>
        <v xml:space="preserve">Gram </v>
      </c>
      <c r="O421" s="65">
        <v>350</v>
      </c>
      <c r="P421" s="299">
        <f t="shared" si="24"/>
        <v>432.09876543209873</v>
      </c>
      <c r="Q421" s="105">
        <v>81</v>
      </c>
      <c r="R421" s="65">
        <v>10</v>
      </c>
      <c r="S421" s="65"/>
      <c r="T421" s="105">
        <f t="shared" si="25"/>
        <v>35</v>
      </c>
      <c r="U421" s="105">
        <f t="shared" si="26"/>
        <v>43.209876543209873</v>
      </c>
      <c r="V421" s="104">
        <f>IFERROR(VLOOKUP(L421,'Raw material list'!$A$2:$S$3102,6,0),0)</f>
        <v>4.9382716049382715E-3</v>
      </c>
      <c r="W421" s="104">
        <f t="shared" si="27"/>
        <v>0.2133821063862216</v>
      </c>
    </row>
    <row r="422" spans="1:23" s="66" customFormat="1" hidden="1" x14ac:dyDescent="0.55000000000000004">
      <c r="A422" s="64" t="s">
        <v>1482</v>
      </c>
      <c r="B422" s="64" t="s">
        <v>35</v>
      </c>
      <c r="C422" s="64" t="s">
        <v>10</v>
      </c>
      <c r="D422" s="64" t="s">
        <v>1474</v>
      </c>
      <c r="E422" s="64" t="s">
        <v>1467</v>
      </c>
      <c r="F422" s="64" t="s">
        <v>2079</v>
      </c>
      <c r="G422" s="41" t="s">
        <v>11</v>
      </c>
      <c r="H422" s="64" t="s">
        <v>1774</v>
      </c>
      <c r="I422" s="64"/>
      <c r="J422" s="64"/>
      <c r="K422" s="64" t="str">
        <f>IFERROR(VLOOKUP(L422,'Raw material list'!$A$3:$C$715,3,0),"")</f>
        <v>PRD1-186</v>
      </c>
      <c r="L422" s="64" t="s">
        <v>37</v>
      </c>
      <c r="M422" s="65" t="s">
        <v>156</v>
      </c>
      <c r="N422" s="40" t="str">
        <f>VLOOKUP(L422,'Raw material list'!$A$3:$E$715,5,0)</f>
        <v xml:space="preserve">Gram </v>
      </c>
      <c r="O422" s="65">
        <v>350</v>
      </c>
      <c r="P422" s="299">
        <f t="shared" si="24"/>
        <v>428.57142857142856</v>
      </c>
      <c r="Q422" s="105">
        <v>81.666666666666671</v>
      </c>
      <c r="R422" s="65">
        <v>10</v>
      </c>
      <c r="S422" s="65"/>
      <c r="T422" s="105">
        <f t="shared" si="25"/>
        <v>35</v>
      </c>
      <c r="U422" s="105">
        <f t="shared" si="26"/>
        <v>42.857142857142854</v>
      </c>
      <c r="V422" s="104">
        <f>IFERROR(VLOOKUP(L422,'Raw material list'!$A$2:$S$3102,6,0),0)</f>
        <v>5.8139534883720938E-3</v>
      </c>
      <c r="W422" s="104">
        <f t="shared" si="27"/>
        <v>0.24916943521594687</v>
      </c>
    </row>
    <row r="423" spans="1:23" s="66" customFormat="1" hidden="1" x14ac:dyDescent="0.55000000000000004">
      <c r="A423" s="64" t="s">
        <v>1482</v>
      </c>
      <c r="B423" s="64" t="s">
        <v>35</v>
      </c>
      <c r="C423" s="64" t="s">
        <v>10</v>
      </c>
      <c r="D423" s="64" t="s">
        <v>1474</v>
      </c>
      <c r="E423" s="64" t="s">
        <v>1467</v>
      </c>
      <c r="F423" s="64" t="s">
        <v>2079</v>
      </c>
      <c r="G423" s="41" t="s">
        <v>11</v>
      </c>
      <c r="H423" s="64" t="s">
        <v>1774</v>
      </c>
      <c r="I423" s="64"/>
      <c r="J423" s="64"/>
      <c r="K423" s="64" t="str">
        <f>IFERROR(VLOOKUP(L423,'Raw material list'!$A$3:$C$715,3,0),"")</f>
        <v>PRD1-572</v>
      </c>
      <c r="L423" s="64" t="s">
        <v>54</v>
      </c>
      <c r="M423" s="65" t="s">
        <v>156</v>
      </c>
      <c r="N423" s="40" t="str">
        <f>VLOOKUP(L423,'Raw material list'!$A$3:$E$715,5,0)</f>
        <v xml:space="preserve">Gram </v>
      </c>
      <c r="O423" s="65">
        <v>1000</v>
      </c>
      <c r="P423" s="299">
        <f t="shared" si="24"/>
        <v>1133.3585190782014</v>
      </c>
      <c r="Q423" s="105">
        <v>88.233333333333348</v>
      </c>
      <c r="R423" s="65">
        <v>10</v>
      </c>
      <c r="S423" s="65"/>
      <c r="T423" s="105">
        <f t="shared" si="25"/>
        <v>100</v>
      </c>
      <c r="U423" s="105">
        <f t="shared" si="26"/>
        <v>113.33585190782014</v>
      </c>
      <c r="V423" s="104">
        <f>IFERROR(VLOOKUP(L423,'Raw material list'!$A$2:$S$3102,6,0),0)</f>
        <v>4.5351473922902496E-3</v>
      </c>
      <c r="W423" s="104">
        <f t="shared" si="27"/>
        <v>0.51399479323274444</v>
      </c>
    </row>
    <row r="424" spans="1:23" s="66" customFormat="1" hidden="1" x14ac:dyDescent="0.55000000000000004">
      <c r="A424" s="64" t="s">
        <v>1482</v>
      </c>
      <c r="B424" s="64" t="s">
        <v>35</v>
      </c>
      <c r="C424" s="64" t="s">
        <v>10</v>
      </c>
      <c r="D424" s="64" t="s">
        <v>1474</v>
      </c>
      <c r="E424" s="64" t="s">
        <v>1467</v>
      </c>
      <c r="F424" s="64" t="s">
        <v>2079</v>
      </c>
      <c r="G424" s="41" t="s">
        <v>11</v>
      </c>
      <c r="H424" s="64" t="s">
        <v>1774</v>
      </c>
      <c r="I424" s="64"/>
      <c r="J424" s="64"/>
      <c r="K424" s="64" t="str">
        <f>IFERROR(VLOOKUP(L424,'Raw material list'!$A$3:$C$715,3,0),"")</f>
        <v>PRD1-4265</v>
      </c>
      <c r="L424" s="92" t="s">
        <v>38</v>
      </c>
      <c r="M424" s="65" t="s">
        <v>156</v>
      </c>
      <c r="N424" s="40" t="str">
        <f>VLOOKUP(L424,'Raw material list'!$A$3:$E$715,5,0)</f>
        <v xml:space="preserve">Gram </v>
      </c>
      <c r="O424" s="65">
        <v>150</v>
      </c>
      <c r="P424" s="299">
        <f t="shared" si="24"/>
        <v>176.47058823529412</v>
      </c>
      <c r="Q424" s="105">
        <v>85</v>
      </c>
      <c r="R424" s="65">
        <v>10</v>
      </c>
      <c r="S424" s="65"/>
      <c r="T424" s="105">
        <f t="shared" si="25"/>
        <v>15</v>
      </c>
      <c r="U424" s="105">
        <f t="shared" si="26"/>
        <v>17.647058823529413</v>
      </c>
      <c r="V424" s="104">
        <f>IFERROR(VLOOKUP(L424,'Raw material list'!$A$2:$S$3102,6,0),0)</f>
        <v>3.529411764705882E-3</v>
      </c>
      <c r="W424" s="104">
        <f t="shared" si="27"/>
        <v>6.228373702422145E-2</v>
      </c>
    </row>
    <row r="425" spans="1:23" s="66" customFormat="1" hidden="1" x14ac:dyDescent="0.55000000000000004">
      <c r="A425" s="64" t="s">
        <v>1482</v>
      </c>
      <c r="B425" s="64" t="s">
        <v>35</v>
      </c>
      <c r="C425" s="64" t="s">
        <v>10</v>
      </c>
      <c r="D425" s="64" t="s">
        <v>1474</v>
      </c>
      <c r="E425" s="64" t="s">
        <v>1467</v>
      </c>
      <c r="F425" s="64" t="s">
        <v>2079</v>
      </c>
      <c r="G425" s="41" t="s">
        <v>11</v>
      </c>
      <c r="H425" s="64" t="s">
        <v>1774</v>
      </c>
      <c r="I425" s="64"/>
      <c r="J425" s="64"/>
      <c r="K425" s="64" t="str">
        <f>IFERROR(VLOOKUP(L425,'Raw material list'!$A$3:$C$715,3,0),"")</f>
        <v>PRD1-232</v>
      </c>
      <c r="L425" s="64" t="s">
        <v>116</v>
      </c>
      <c r="M425" s="65" t="s">
        <v>156</v>
      </c>
      <c r="N425" s="40" t="str">
        <f>VLOOKUP(L425,'Raw material list'!$A$3:$E$715,5,0)</f>
        <v xml:space="preserve">Gram </v>
      </c>
      <c r="O425" s="65">
        <v>350</v>
      </c>
      <c r="P425" s="299">
        <f t="shared" si="24"/>
        <v>486.11111111111109</v>
      </c>
      <c r="Q425" s="105">
        <v>72</v>
      </c>
      <c r="R425" s="65">
        <v>10</v>
      </c>
      <c r="S425" s="65"/>
      <c r="T425" s="105">
        <f t="shared" si="25"/>
        <v>35</v>
      </c>
      <c r="U425" s="105">
        <f t="shared" si="26"/>
        <v>48.611111111111107</v>
      </c>
      <c r="V425" s="104">
        <f>IFERROR(VLOOKUP(L425,'Raw material list'!$A$2:$S$3102,6,0),0)</f>
        <v>4.4444444444444444E-3</v>
      </c>
      <c r="W425" s="104">
        <f t="shared" si="27"/>
        <v>0.21604938271604937</v>
      </c>
    </row>
    <row r="426" spans="1:23" s="66" customFormat="1" hidden="1" x14ac:dyDescent="0.55000000000000004">
      <c r="A426" s="64" t="s">
        <v>1482</v>
      </c>
      <c r="B426" s="64" t="s">
        <v>35</v>
      </c>
      <c r="C426" s="64" t="s">
        <v>10</v>
      </c>
      <c r="D426" s="64" t="s">
        <v>1474</v>
      </c>
      <c r="E426" s="64" t="s">
        <v>1467</v>
      </c>
      <c r="F426" s="64" t="s">
        <v>2079</v>
      </c>
      <c r="G426" s="41" t="s">
        <v>11</v>
      </c>
      <c r="H426" s="64" t="s">
        <v>1774</v>
      </c>
      <c r="I426" s="64"/>
      <c r="J426" s="64"/>
      <c r="K426" s="64" t="str">
        <f>IFERROR(VLOOKUP(L426,'Raw material list'!$A$3:$C$715,3,0),"")</f>
        <v>DRS6-537</v>
      </c>
      <c r="L426" s="64" t="s">
        <v>46</v>
      </c>
      <c r="M426" s="65" t="s">
        <v>156</v>
      </c>
      <c r="N426" s="40" t="str">
        <f>VLOOKUP(L426,'Raw material list'!$A$3:$E$715,5,0)</f>
        <v xml:space="preserve">Gram </v>
      </c>
      <c r="O426" s="65">
        <v>2</v>
      </c>
      <c r="P426" s="299">
        <f t="shared" si="24"/>
        <v>2</v>
      </c>
      <c r="Q426" s="301">
        <v>100</v>
      </c>
      <c r="R426" s="65">
        <v>10</v>
      </c>
      <c r="S426" s="65"/>
      <c r="T426" s="105">
        <f t="shared" si="25"/>
        <v>0.2</v>
      </c>
      <c r="U426" s="105">
        <f t="shared" si="26"/>
        <v>0.2</v>
      </c>
      <c r="V426" s="104">
        <f>IFERROR(VLOOKUP(L426,'Raw material list'!$A$2:$S$3102,6,0),0)</f>
        <v>3.5000000000000003E-2</v>
      </c>
      <c r="W426" s="104">
        <f t="shared" si="27"/>
        <v>7.000000000000001E-3</v>
      </c>
    </row>
    <row r="427" spans="1:23" s="66" customFormat="1" hidden="1" x14ac:dyDescent="0.55000000000000004">
      <c r="A427" s="64" t="s">
        <v>1482</v>
      </c>
      <c r="B427" s="64" t="s">
        <v>35</v>
      </c>
      <c r="C427" s="64" t="s">
        <v>10</v>
      </c>
      <c r="D427" s="64" t="s">
        <v>1474</v>
      </c>
      <c r="E427" s="64" t="s">
        <v>1467</v>
      </c>
      <c r="F427" s="64" t="s">
        <v>2079</v>
      </c>
      <c r="G427" s="41" t="s">
        <v>11</v>
      </c>
      <c r="H427" s="64" t="s">
        <v>1774</v>
      </c>
      <c r="I427" s="64"/>
      <c r="J427" s="64"/>
      <c r="K427" s="64" t="str">
        <f>IFERROR(VLOOKUP(L427,'Raw material list'!$A$3:$C$715,3,0),"")</f>
        <v>DRS1-3811</v>
      </c>
      <c r="L427" s="64" t="s">
        <v>40</v>
      </c>
      <c r="M427" s="65" t="s">
        <v>156</v>
      </c>
      <c r="N427" s="40" t="str">
        <f>VLOOKUP(L427,'Raw material list'!$A$3:$E$715,5,0)</f>
        <v xml:space="preserve">Gram </v>
      </c>
      <c r="O427" s="65">
        <v>10</v>
      </c>
      <c r="P427" s="299">
        <f t="shared" si="24"/>
        <v>10</v>
      </c>
      <c r="Q427" s="65">
        <v>100</v>
      </c>
      <c r="R427" s="65">
        <v>10</v>
      </c>
      <c r="S427" s="65"/>
      <c r="T427" s="105">
        <f t="shared" si="25"/>
        <v>1</v>
      </c>
      <c r="U427" s="105">
        <f t="shared" si="26"/>
        <v>1</v>
      </c>
      <c r="V427" s="104">
        <f>IFERROR(VLOOKUP(L427,'Raw material list'!$A$2:$S$3102,6,0),0)</f>
        <v>2.8475E-2</v>
      </c>
      <c r="W427" s="104">
        <f t="shared" si="27"/>
        <v>2.8475E-2</v>
      </c>
    </row>
    <row r="428" spans="1:23" s="66" customFormat="1" hidden="1" x14ac:dyDescent="0.55000000000000004">
      <c r="A428" s="64" t="s">
        <v>1482</v>
      </c>
      <c r="B428" s="64" t="s">
        <v>35</v>
      </c>
      <c r="C428" s="64" t="s">
        <v>10</v>
      </c>
      <c r="D428" s="64" t="s">
        <v>1474</v>
      </c>
      <c r="E428" s="64" t="s">
        <v>1467</v>
      </c>
      <c r="F428" s="64" t="s">
        <v>2079</v>
      </c>
      <c r="G428" s="41" t="s">
        <v>11</v>
      </c>
      <c r="H428" s="64" t="s">
        <v>1774</v>
      </c>
      <c r="I428" s="64"/>
      <c r="J428" s="64"/>
      <c r="K428" s="64" t="str">
        <f>IFERROR(VLOOKUP(L428,'Raw material list'!$A$3:$C$715,3,0),"")</f>
        <v>DRS1-1747</v>
      </c>
      <c r="L428" s="64" t="s">
        <v>44</v>
      </c>
      <c r="M428" s="65" t="s">
        <v>156</v>
      </c>
      <c r="N428" s="40" t="str">
        <f>VLOOKUP(L428,'Raw material list'!$A$3:$E$715,5,0)</f>
        <v xml:space="preserve">Gram </v>
      </c>
      <c r="O428" s="65">
        <v>50</v>
      </c>
      <c r="P428" s="299">
        <f t="shared" si="24"/>
        <v>50</v>
      </c>
      <c r="Q428" s="65">
        <v>100</v>
      </c>
      <c r="R428" s="65">
        <v>10</v>
      </c>
      <c r="S428" s="65"/>
      <c r="T428" s="105">
        <f t="shared" si="25"/>
        <v>5</v>
      </c>
      <c r="U428" s="105">
        <f t="shared" si="26"/>
        <v>5</v>
      </c>
      <c r="V428" s="104">
        <f>IFERROR(VLOOKUP(L428,'Raw material list'!$A$2:$S$3102,6,0),0)</f>
        <v>5.185185185185185E-3</v>
      </c>
      <c r="W428" s="104">
        <f t="shared" si="27"/>
        <v>2.5925925925925925E-2</v>
      </c>
    </row>
    <row r="429" spans="1:23" s="66" customFormat="1" hidden="1" x14ac:dyDescent="0.55000000000000004">
      <c r="A429" s="64" t="s">
        <v>1482</v>
      </c>
      <c r="B429" s="64" t="s">
        <v>35</v>
      </c>
      <c r="C429" s="64" t="s">
        <v>10</v>
      </c>
      <c r="D429" s="64" t="s">
        <v>1474</v>
      </c>
      <c r="E429" s="64" t="s">
        <v>1467</v>
      </c>
      <c r="F429" s="64" t="s">
        <v>2079</v>
      </c>
      <c r="G429" s="41" t="s">
        <v>11</v>
      </c>
      <c r="H429" s="64" t="s">
        <v>1774</v>
      </c>
      <c r="I429" s="64"/>
      <c r="J429" s="64"/>
      <c r="K429" s="64" t="str">
        <f>IFERROR(VLOOKUP(L429,'Raw material list'!$A$3:$C$715,3,0),"")</f>
        <v>TAP-00001</v>
      </c>
      <c r="L429" s="64" t="s">
        <v>1405</v>
      </c>
      <c r="M429" s="65" t="s">
        <v>206</v>
      </c>
      <c r="N429" s="40" t="str">
        <f>VLOOKUP(L429,'Raw material list'!$A$3:$E$715,5,0)</f>
        <v>Ml</v>
      </c>
      <c r="O429" s="65">
        <v>1000</v>
      </c>
      <c r="P429" s="299">
        <f t="shared" si="24"/>
        <v>1000</v>
      </c>
      <c r="Q429" s="65">
        <v>100</v>
      </c>
      <c r="R429" s="65">
        <v>10</v>
      </c>
      <c r="S429" s="65"/>
      <c r="T429" s="105">
        <f t="shared" si="25"/>
        <v>100</v>
      </c>
      <c r="U429" s="105">
        <f t="shared" si="26"/>
        <v>100</v>
      </c>
      <c r="V429" s="104">
        <f>IFERROR(VLOOKUP(L429,'Raw material list'!$A$2:$S$3102,6,0),0)</f>
        <v>8.0000000000000007E-5</v>
      </c>
      <c r="W429" s="104">
        <f t="shared" si="27"/>
        <v>8.0000000000000002E-3</v>
      </c>
    </row>
    <row r="430" spans="1:23" s="66" customFormat="1" hidden="1" x14ac:dyDescent="0.55000000000000004">
      <c r="A430" s="64" t="s">
        <v>1482</v>
      </c>
      <c r="B430" s="64" t="s">
        <v>35</v>
      </c>
      <c r="C430" s="64" t="s">
        <v>10</v>
      </c>
      <c r="D430" s="64" t="s">
        <v>1474</v>
      </c>
      <c r="E430" s="64" t="s">
        <v>1467</v>
      </c>
      <c r="F430" s="64" t="s">
        <v>2079</v>
      </c>
      <c r="G430" s="41" t="s">
        <v>11</v>
      </c>
      <c r="H430" s="64" t="s">
        <v>1774</v>
      </c>
      <c r="I430" s="64"/>
      <c r="J430" s="64"/>
      <c r="K430" s="64" t="str">
        <f>IFERROR(VLOOKUP(L430,'Raw material list'!$A$3:$C$715,3,0),"")</f>
        <v>DRS4-498</v>
      </c>
      <c r="L430" s="64" t="s">
        <v>72</v>
      </c>
      <c r="M430" s="65" t="s">
        <v>156</v>
      </c>
      <c r="N430" s="40" t="str">
        <f>VLOOKUP(L430,'Raw material list'!$A$3:$E$715,5,0)</f>
        <v xml:space="preserve">Gram </v>
      </c>
      <c r="O430" s="65">
        <v>1000</v>
      </c>
      <c r="P430" s="299">
        <f t="shared" si="24"/>
        <v>1000</v>
      </c>
      <c r="Q430" s="65">
        <v>100</v>
      </c>
      <c r="R430" s="65">
        <v>10</v>
      </c>
      <c r="S430" s="65"/>
      <c r="T430" s="105">
        <f t="shared" si="25"/>
        <v>100</v>
      </c>
      <c r="U430" s="105">
        <f t="shared" si="26"/>
        <v>100</v>
      </c>
      <c r="V430" s="104">
        <f>IFERROR(VLOOKUP(L430,'Raw material list'!$A$2:$S$3102,6,0),0)</f>
        <v>5.7499999999999999E-3</v>
      </c>
      <c r="W430" s="104">
        <f t="shared" si="27"/>
        <v>0.57499999999999996</v>
      </c>
    </row>
    <row r="431" spans="1:23" s="66" customFormat="1" hidden="1" x14ac:dyDescent="0.55000000000000004">
      <c r="A431" s="64" t="s">
        <v>1482</v>
      </c>
      <c r="B431" s="64" t="s">
        <v>35</v>
      </c>
      <c r="C431" s="64" t="s">
        <v>10</v>
      </c>
      <c r="D431" s="64" t="s">
        <v>1474</v>
      </c>
      <c r="E431" s="64" t="s">
        <v>1467</v>
      </c>
      <c r="F431" s="64" t="s">
        <v>2079</v>
      </c>
      <c r="G431" s="41" t="s">
        <v>11</v>
      </c>
      <c r="H431" s="64" t="s">
        <v>1774</v>
      </c>
      <c r="I431" s="64"/>
      <c r="J431" s="64"/>
      <c r="K431" s="64" t="str">
        <f>IFERROR(VLOOKUP(L431,'Raw material list'!$A$3:$C$715,3,0),"")</f>
        <v>TAP-00001</v>
      </c>
      <c r="L431" s="64" t="s">
        <v>1405</v>
      </c>
      <c r="M431" s="65" t="s">
        <v>206</v>
      </c>
      <c r="N431" s="40" t="str">
        <f>VLOOKUP(L431,'Raw material list'!$A$3:$E$715,5,0)</f>
        <v>Ml</v>
      </c>
      <c r="O431" s="65">
        <v>1600</v>
      </c>
      <c r="P431" s="299">
        <f t="shared" si="24"/>
        <v>1600</v>
      </c>
      <c r="Q431" s="65">
        <v>100</v>
      </c>
      <c r="R431" s="65">
        <v>10</v>
      </c>
      <c r="S431" s="65"/>
      <c r="T431" s="105">
        <f t="shared" si="25"/>
        <v>160</v>
      </c>
      <c r="U431" s="105">
        <f t="shared" si="26"/>
        <v>160</v>
      </c>
      <c r="V431" s="104">
        <f>IFERROR(VLOOKUP(L431,'Raw material list'!$A$2:$S$3102,6,0),0)</f>
        <v>8.0000000000000007E-5</v>
      </c>
      <c r="W431" s="104">
        <f t="shared" si="27"/>
        <v>1.2800000000000001E-2</v>
      </c>
    </row>
    <row r="432" spans="1:23" s="66" customFormat="1" hidden="1" x14ac:dyDescent="0.55000000000000004">
      <c r="A432" s="64" t="s">
        <v>1482</v>
      </c>
      <c r="B432" s="64" t="s">
        <v>35</v>
      </c>
      <c r="C432" s="64" t="s">
        <v>10</v>
      </c>
      <c r="D432" s="64" t="s">
        <v>1474</v>
      </c>
      <c r="E432" s="64" t="s">
        <v>1467</v>
      </c>
      <c r="F432" s="64" t="s">
        <v>2079</v>
      </c>
      <c r="G432" s="41" t="s">
        <v>11</v>
      </c>
      <c r="H432" s="64" t="s">
        <v>1774</v>
      </c>
      <c r="I432" s="64"/>
      <c r="J432" s="64"/>
      <c r="K432" s="64" t="str">
        <f>IFERROR(VLOOKUP(L432,'Raw material list'!$A$3:$C$715,3,0),"")</f>
        <v>DRS3-1813</v>
      </c>
      <c r="L432" s="64" t="s">
        <v>69</v>
      </c>
      <c r="M432" s="65" t="s">
        <v>206</v>
      </c>
      <c r="N432" s="40" t="str">
        <f>VLOOKUP(L432,'Raw material list'!$A$3:$E$715,5,0)</f>
        <v>Ml</v>
      </c>
      <c r="O432" s="65">
        <v>50</v>
      </c>
      <c r="P432" s="299">
        <f t="shared" si="24"/>
        <v>50</v>
      </c>
      <c r="Q432" s="65">
        <v>100</v>
      </c>
      <c r="R432" s="65">
        <v>10</v>
      </c>
      <c r="S432" s="65"/>
      <c r="T432" s="105">
        <f t="shared" si="25"/>
        <v>5</v>
      </c>
      <c r="U432" s="105">
        <f t="shared" si="26"/>
        <v>5</v>
      </c>
      <c r="V432" s="104">
        <f>IFERROR(VLOOKUP(L432,'Raw material list'!$A$2:$S$3102,6,0),0)</f>
        <v>8.0555555555555554E-3</v>
      </c>
      <c r="W432" s="104">
        <f t="shared" si="27"/>
        <v>4.0277777777777773E-2</v>
      </c>
    </row>
    <row r="433" spans="1:23" s="66" customFormat="1" hidden="1" x14ac:dyDescent="0.55000000000000004">
      <c r="A433" s="64" t="s">
        <v>1482</v>
      </c>
      <c r="B433" s="64" t="s">
        <v>35</v>
      </c>
      <c r="C433" s="64" t="s">
        <v>10</v>
      </c>
      <c r="D433" s="64" t="s">
        <v>1474</v>
      </c>
      <c r="E433" s="64" t="s">
        <v>1467</v>
      </c>
      <c r="F433" s="64" t="s">
        <v>2079</v>
      </c>
      <c r="G433" s="41" t="s">
        <v>11</v>
      </c>
      <c r="H433" s="64" t="s">
        <v>1774</v>
      </c>
      <c r="I433" s="64"/>
      <c r="J433" s="64"/>
      <c r="K433" s="64" t="str">
        <f>IFERROR(VLOOKUP(L433,'Raw material list'!$A$3:$C$715,3,0),"")</f>
        <v>DRS6-3593</v>
      </c>
      <c r="L433" s="64" t="s">
        <v>1407</v>
      </c>
      <c r="M433" s="65" t="s">
        <v>156</v>
      </c>
      <c r="N433" s="40" t="str">
        <f>VLOOKUP(L433,'Raw material list'!$A$3:$E$715,5,0)</f>
        <v xml:space="preserve">Gram </v>
      </c>
      <c r="O433" s="65">
        <v>1</v>
      </c>
      <c r="P433" s="299">
        <f t="shared" si="24"/>
        <v>1</v>
      </c>
      <c r="Q433" s="65">
        <v>100</v>
      </c>
      <c r="R433" s="65">
        <v>10</v>
      </c>
      <c r="S433" s="65"/>
      <c r="T433" s="105">
        <f t="shared" si="25"/>
        <v>0.1</v>
      </c>
      <c r="U433" s="105">
        <f t="shared" si="26"/>
        <v>0.1</v>
      </c>
      <c r="V433" s="104">
        <f>IFERROR(VLOOKUP(L433,'Raw material list'!$A$2:$S$3102,6,0),0)</f>
        <v>8.0000000000000002E-3</v>
      </c>
      <c r="W433" s="104">
        <f t="shared" si="27"/>
        <v>8.0000000000000004E-4</v>
      </c>
    </row>
    <row r="434" spans="1:23" s="66" customFormat="1" hidden="1" x14ac:dyDescent="0.55000000000000004">
      <c r="A434" s="64" t="s">
        <v>1482</v>
      </c>
      <c r="B434" s="64" t="s">
        <v>35</v>
      </c>
      <c r="C434" s="64" t="s">
        <v>10</v>
      </c>
      <c r="D434" s="64" t="s">
        <v>1474</v>
      </c>
      <c r="E434" s="64" t="s">
        <v>1467</v>
      </c>
      <c r="F434" s="64" t="s">
        <v>2079</v>
      </c>
      <c r="G434" s="41" t="s">
        <v>11</v>
      </c>
      <c r="H434" s="64" t="s">
        <v>1774</v>
      </c>
      <c r="I434" s="64"/>
      <c r="J434" s="64"/>
      <c r="K434" s="64" t="str">
        <f>IFERROR(VLOOKUP(L434,'Raw material list'!$A$3:$C$715,3,0),"")</f>
        <v>DRS6-539</v>
      </c>
      <c r="L434" s="64" t="s">
        <v>96</v>
      </c>
      <c r="M434" s="65" t="s">
        <v>156</v>
      </c>
      <c r="N434" s="40" t="str">
        <f>VLOOKUP(L434,'Raw material list'!$A$3:$E$715,5,0)</f>
        <v xml:space="preserve">Gram </v>
      </c>
      <c r="O434" s="65">
        <v>1</v>
      </c>
      <c r="P434" s="299">
        <f t="shared" si="24"/>
        <v>1</v>
      </c>
      <c r="Q434" s="65">
        <v>100</v>
      </c>
      <c r="R434" s="65">
        <v>10</v>
      </c>
      <c r="S434" s="65"/>
      <c r="T434" s="105">
        <f t="shared" si="25"/>
        <v>0.1</v>
      </c>
      <c r="U434" s="105">
        <f t="shared" si="26"/>
        <v>0.1</v>
      </c>
      <c r="V434" s="104">
        <f>IFERROR(VLOOKUP(L434,'Raw material list'!$A$2:$S$3102,6,0),0)</f>
        <v>0.16</v>
      </c>
      <c r="W434" s="104">
        <f t="shared" si="27"/>
        <v>1.6E-2</v>
      </c>
    </row>
    <row r="435" spans="1:23" s="66" customFormat="1" hidden="1" x14ac:dyDescent="0.55000000000000004">
      <c r="A435" s="64" t="s">
        <v>1482</v>
      </c>
      <c r="B435" s="64" t="s">
        <v>35</v>
      </c>
      <c r="C435" s="64" t="s">
        <v>10</v>
      </c>
      <c r="D435" s="64" t="s">
        <v>1474</v>
      </c>
      <c r="E435" s="64" t="s">
        <v>1467</v>
      </c>
      <c r="F435" s="64" t="s">
        <v>2079</v>
      </c>
      <c r="G435" s="41" t="s">
        <v>11</v>
      </c>
      <c r="H435" s="64" t="s">
        <v>1774</v>
      </c>
      <c r="I435" s="64"/>
      <c r="J435" s="64"/>
      <c r="K435" s="64" t="str">
        <f>IFERROR(VLOOKUP(L435,'Raw material list'!$A$3:$C$715,3,0),"")</f>
        <v>DRS1-3880</v>
      </c>
      <c r="L435" s="64" t="s">
        <v>1433</v>
      </c>
      <c r="M435" s="65" t="s">
        <v>156</v>
      </c>
      <c r="N435" s="40" t="str">
        <f>VLOOKUP(L435,'Raw material list'!$A$3:$E$715,5,0)</f>
        <v xml:space="preserve">Gram </v>
      </c>
      <c r="O435" s="65">
        <v>15</v>
      </c>
      <c r="P435" s="299">
        <f t="shared" si="24"/>
        <v>15</v>
      </c>
      <c r="Q435" s="65">
        <v>100</v>
      </c>
      <c r="R435" s="65">
        <v>10</v>
      </c>
      <c r="S435" s="65"/>
      <c r="T435" s="105">
        <f t="shared" si="25"/>
        <v>1.5</v>
      </c>
      <c r="U435" s="105">
        <f t="shared" si="26"/>
        <v>1.5</v>
      </c>
      <c r="V435" s="104">
        <f>IFERROR(VLOOKUP(L435,'Raw material list'!$A$2:$S$3102,6,0),0)</f>
        <v>5.0000000000000001E-4</v>
      </c>
      <c r="W435" s="104">
        <f t="shared" si="27"/>
        <v>7.5000000000000002E-4</v>
      </c>
    </row>
    <row r="436" spans="1:23" s="66" customFormat="1" hidden="1" x14ac:dyDescent="0.55000000000000004">
      <c r="A436" s="64" t="s">
        <v>1482</v>
      </c>
      <c r="B436" s="64" t="s">
        <v>35</v>
      </c>
      <c r="C436" s="64" t="s">
        <v>10</v>
      </c>
      <c r="D436" s="64" t="s">
        <v>1474</v>
      </c>
      <c r="E436" s="64" t="s">
        <v>1467</v>
      </c>
      <c r="F436" s="64" t="s">
        <v>2079</v>
      </c>
      <c r="G436" s="41" t="s">
        <v>11</v>
      </c>
      <c r="H436" s="64" t="s">
        <v>1774</v>
      </c>
      <c r="I436" s="64"/>
      <c r="J436" s="64"/>
      <c r="K436" s="64" t="str">
        <f>IFERROR(VLOOKUP(L436,'Raw material list'!$A$3:$C$715,3,0),"")</f>
        <v>DRS6-261</v>
      </c>
      <c r="L436" s="64" t="s">
        <v>1406</v>
      </c>
      <c r="M436" s="65" t="s">
        <v>156</v>
      </c>
      <c r="N436" s="40" t="str">
        <f>VLOOKUP(L436,'Raw material list'!$A$3:$E$715,5,0)</f>
        <v xml:space="preserve">Gram </v>
      </c>
      <c r="O436" s="65">
        <v>2</v>
      </c>
      <c r="P436" s="299">
        <f t="shared" si="24"/>
        <v>2</v>
      </c>
      <c r="Q436" s="65">
        <v>100</v>
      </c>
      <c r="R436" s="65">
        <v>10</v>
      </c>
      <c r="S436" s="65"/>
      <c r="T436" s="105">
        <f t="shared" si="25"/>
        <v>0.2</v>
      </c>
      <c r="U436" s="105">
        <f t="shared" si="26"/>
        <v>0.2</v>
      </c>
      <c r="V436" s="104">
        <f>IFERROR(VLOOKUP(L436,'Raw material list'!$A$2:$S$3102,6,0),0)</f>
        <v>1.4E-2</v>
      </c>
      <c r="W436" s="104">
        <f t="shared" si="27"/>
        <v>2.8000000000000004E-3</v>
      </c>
    </row>
    <row r="437" spans="1:23" hidden="1" x14ac:dyDescent="0.55000000000000004">
      <c r="A437" s="41" t="s">
        <v>1483</v>
      </c>
      <c r="B437" s="41" t="s">
        <v>35</v>
      </c>
      <c r="C437" s="41" t="s">
        <v>10</v>
      </c>
      <c r="D437" s="41" t="s">
        <v>2056</v>
      </c>
      <c r="E437" s="41" t="s">
        <v>1467</v>
      </c>
      <c r="F437" s="41" t="s">
        <v>2081</v>
      </c>
      <c r="G437" s="41" t="s">
        <v>11</v>
      </c>
      <c r="H437" s="41" t="s">
        <v>1773</v>
      </c>
      <c r="I437" s="41"/>
      <c r="J437" s="41"/>
      <c r="K437" s="41" t="str">
        <f>IFERROR(VLOOKUP(L437,'Raw material list'!$A$3:$C$715,3,0),"")</f>
        <v>MET2-1051</v>
      </c>
      <c r="L437" s="41" t="s">
        <v>113</v>
      </c>
      <c r="M437" s="40" t="s">
        <v>156</v>
      </c>
      <c r="N437" s="40" t="str">
        <f>VLOOKUP(L437,'Raw material list'!$A$3:$E$715,5,0)</f>
        <v xml:space="preserve">Gram </v>
      </c>
      <c r="O437" s="40">
        <v>1000</v>
      </c>
      <c r="P437" s="299">
        <f t="shared" si="24"/>
        <v>1945.525291828794</v>
      </c>
      <c r="Q437" s="40">
        <v>51.4</v>
      </c>
      <c r="R437" s="40">
        <v>10</v>
      </c>
      <c r="S437" s="40"/>
      <c r="T437" s="105">
        <f t="shared" si="25"/>
        <v>100</v>
      </c>
      <c r="U437" s="105">
        <f t="shared" si="26"/>
        <v>194.5525291828794</v>
      </c>
      <c r="V437" s="104">
        <f>IFERROR(VLOOKUP(L437,'Raw material list'!$A$2:$S$3102,6,0),0)</f>
        <v>8.4705882352941173E-2</v>
      </c>
      <c r="W437" s="104">
        <f t="shared" si="27"/>
        <v>16.479743648432137</v>
      </c>
    </row>
    <row r="438" spans="1:23" hidden="1" x14ac:dyDescent="0.55000000000000004">
      <c r="A438" s="41" t="s">
        <v>1483</v>
      </c>
      <c r="B438" s="41" t="s">
        <v>35</v>
      </c>
      <c r="C438" s="41" t="s">
        <v>10</v>
      </c>
      <c r="D438" s="41" t="s">
        <v>2056</v>
      </c>
      <c r="E438" s="41" t="s">
        <v>1467</v>
      </c>
      <c r="F438" s="41" t="s">
        <v>2079</v>
      </c>
      <c r="G438" s="41" t="s">
        <v>11</v>
      </c>
      <c r="H438" s="41" t="s">
        <v>1773</v>
      </c>
      <c r="I438" s="41"/>
      <c r="J438" s="41"/>
      <c r="K438" s="41" t="str">
        <f>IFERROR(VLOOKUP(L438,'Raw material list'!$A$3:$C$715,3,0),"")</f>
        <v>DRY2-1008</v>
      </c>
      <c r="L438" s="41" t="s">
        <v>57</v>
      </c>
      <c r="M438" s="40" t="s">
        <v>156</v>
      </c>
      <c r="N438" s="40" t="str">
        <f>VLOOKUP(L438,'Raw material list'!$A$3:$E$715,5,0)</f>
        <v xml:space="preserve">Gram </v>
      </c>
      <c r="O438" s="40">
        <v>50</v>
      </c>
      <c r="P438" s="299">
        <f t="shared" si="24"/>
        <v>50</v>
      </c>
      <c r="Q438" s="40">
        <v>100</v>
      </c>
      <c r="R438" s="40">
        <v>10</v>
      </c>
      <c r="S438" s="40"/>
      <c r="T438" s="105">
        <f t="shared" si="25"/>
        <v>5</v>
      </c>
      <c r="U438" s="105">
        <f t="shared" si="26"/>
        <v>5</v>
      </c>
      <c r="V438" s="104">
        <f>IFERROR(VLOOKUP(L438,'Raw material list'!$A$2:$S$3102,6,0),0)</f>
        <v>0.03</v>
      </c>
      <c r="W438" s="104">
        <f t="shared" si="27"/>
        <v>0.15</v>
      </c>
    </row>
    <row r="439" spans="1:23" hidden="1" x14ac:dyDescent="0.55000000000000004">
      <c r="A439" s="41" t="s">
        <v>1483</v>
      </c>
      <c r="B439" s="41" t="s">
        <v>35</v>
      </c>
      <c r="C439" s="41" t="s">
        <v>10</v>
      </c>
      <c r="D439" s="41" t="s">
        <v>2056</v>
      </c>
      <c r="E439" s="41" t="s">
        <v>1467</v>
      </c>
      <c r="F439" s="41" t="s">
        <v>2079</v>
      </c>
      <c r="G439" s="41" t="s">
        <v>11</v>
      </c>
      <c r="H439" s="41" t="s">
        <v>1773</v>
      </c>
      <c r="I439" s="41"/>
      <c r="J439" s="41"/>
      <c r="K439" s="41" t="str">
        <f>IFERROR(VLOOKUP(L439,'Raw material list'!$A$3:$C$715,3,0),"")</f>
        <v>PRD1-4265</v>
      </c>
      <c r="L439" s="41" t="s">
        <v>38</v>
      </c>
      <c r="M439" s="40" t="s">
        <v>156</v>
      </c>
      <c r="N439" s="40" t="str">
        <f>VLOOKUP(L439,'Raw material list'!$A$3:$E$715,5,0)</f>
        <v xml:space="preserve">Gram </v>
      </c>
      <c r="O439" s="40">
        <v>50</v>
      </c>
      <c r="P439" s="299">
        <f t="shared" si="24"/>
        <v>58.82352941176471</v>
      </c>
      <c r="Q439" s="105">
        <v>85</v>
      </c>
      <c r="R439" s="40">
        <v>10</v>
      </c>
      <c r="S439" s="40"/>
      <c r="T439" s="105">
        <f t="shared" si="25"/>
        <v>5</v>
      </c>
      <c r="U439" s="105">
        <f t="shared" si="26"/>
        <v>5.882352941176471</v>
      </c>
      <c r="V439" s="104">
        <f>IFERROR(VLOOKUP(L439,'Raw material list'!$A$2:$S$3102,6,0),0)</f>
        <v>3.529411764705882E-3</v>
      </c>
      <c r="W439" s="104">
        <f t="shared" si="27"/>
        <v>2.0761245674740483E-2</v>
      </c>
    </row>
    <row r="440" spans="1:23" hidden="1" x14ac:dyDescent="0.55000000000000004">
      <c r="A440" s="41" t="s">
        <v>1483</v>
      </c>
      <c r="B440" s="41" t="s">
        <v>35</v>
      </c>
      <c r="C440" s="41" t="s">
        <v>10</v>
      </c>
      <c r="D440" s="41" t="s">
        <v>2056</v>
      </c>
      <c r="E440" s="41" t="s">
        <v>1467</v>
      </c>
      <c r="F440" s="41" t="s">
        <v>2079</v>
      </c>
      <c r="G440" s="41" t="s">
        <v>11</v>
      </c>
      <c r="H440" s="41" t="s">
        <v>1773</v>
      </c>
      <c r="I440" s="41"/>
      <c r="J440" s="41"/>
      <c r="K440" s="41" t="str">
        <f>IFERROR(VLOOKUP(L440,'Raw material list'!$A$3:$C$715,3,0),"")</f>
        <v>PRD1-4327</v>
      </c>
      <c r="L440" s="41" t="s">
        <v>39</v>
      </c>
      <c r="M440" s="40" t="s">
        <v>156</v>
      </c>
      <c r="N440" s="40" t="str">
        <f>VLOOKUP(L440,'Raw material list'!$A$3:$E$715,5,0)</f>
        <v xml:space="preserve">Gram </v>
      </c>
      <c r="O440" s="40">
        <v>5</v>
      </c>
      <c r="P440" s="299">
        <f t="shared" si="24"/>
        <v>6.024096385542169</v>
      </c>
      <c r="Q440" s="105">
        <v>83</v>
      </c>
      <c r="R440" s="40">
        <v>10</v>
      </c>
      <c r="S440" s="40"/>
      <c r="T440" s="105">
        <f t="shared" si="25"/>
        <v>0.5</v>
      </c>
      <c r="U440" s="105">
        <f t="shared" si="26"/>
        <v>0.60240963855421692</v>
      </c>
      <c r="V440" s="104">
        <f>IFERROR(VLOOKUP(L440,'Raw material list'!$A$2:$S$3102,6,0),0)</f>
        <v>1.2999999999999999E-2</v>
      </c>
      <c r="W440" s="104">
        <f t="shared" si="27"/>
        <v>7.8313253012048199E-3</v>
      </c>
    </row>
    <row r="441" spans="1:23" s="66" customFormat="1" hidden="1" x14ac:dyDescent="0.55000000000000004">
      <c r="A441" s="41" t="s">
        <v>1483</v>
      </c>
      <c r="B441" s="41" t="s">
        <v>35</v>
      </c>
      <c r="C441" s="41" t="s">
        <v>10</v>
      </c>
      <c r="D441" s="41" t="s">
        <v>2056</v>
      </c>
      <c r="E441" s="41" t="s">
        <v>1467</v>
      </c>
      <c r="F441" s="41" t="s">
        <v>2079</v>
      </c>
      <c r="G441" s="41" t="s">
        <v>11</v>
      </c>
      <c r="H441" s="41" t="s">
        <v>1773</v>
      </c>
      <c r="I441" s="64"/>
      <c r="J441" s="64"/>
      <c r="K441" s="41" t="str">
        <f>IFERROR(VLOOKUP(L441,'Raw material list'!$A$3:$C$715,3,0),"")</f>
        <v>TAP-00001</v>
      </c>
      <c r="L441" s="64" t="s">
        <v>1405</v>
      </c>
      <c r="M441" s="40" t="s">
        <v>206</v>
      </c>
      <c r="N441" s="40" t="str">
        <f>VLOOKUP(L441,'Raw material list'!$A$3:$E$715,5,0)</f>
        <v>Ml</v>
      </c>
      <c r="O441" s="40">
        <v>1200</v>
      </c>
      <c r="P441" s="299">
        <f t="shared" si="24"/>
        <v>1200</v>
      </c>
      <c r="Q441" s="300">
        <v>100</v>
      </c>
      <c r="R441" s="40">
        <v>10</v>
      </c>
      <c r="S441" s="40"/>
      <c r="T441" s="105">
        <f t="shared" si="25"/>
        <v>120</v>
      </c>
      <c r="U441" s="105">
        <f t="shared" si="26"/>
        <v>120</v>
      </c>
      <c r="V441" s="104">
        <f>IFERROR(VLOOKUP(L441,'Raw material list'!$A$2:$S$3102,6,0),0)</f>
        <v>8.0000000000000007E-5</v>
      </c>
      <c r="W441" s="104">
        <f t="shared" si="27"/>
        <v>9.6000000000000009E-3</v>
      </c>
    </row>
    <row r="442" spans="1:23" s="66" customFormat="1" hidden="1" x14ac:dyDescent="0.55000000000000004">
      <c r="A442" s="41" t="s">
        <v>1483</v>
      </c>
      <c r="B442" s="41" t="s">
        <v>35</v>
      </c>
      <c r="C442" s="41" t="s">
        <v>10</v>
      </c>
      <c r="D442" s="41" t="s">
        <v>2056</v>
      </c>
      <c r="E442" s="41" t="s">
        <v>1467</v>
      </c>
      <c r="F442" s="41" t="s">
        <v>2079</v>
      </c>
      <c r="G442" s="41" t="s">
        <v>11</v>
      </c>
      <c r="H442" s="41" t="s">
        <v>1773</v>
      </c>
      <c r="I442" s="64"/>
      <c r="J442" s="64"/>
      <c r="K442" s="41" t="str">
        <f>IFERROR(VLOOKUP(L442,'Raw material list'!$A$3:$C$715,3,0),"")</f>
        <v>DRS1-3813</v>
      </c>
      <c r="L442" s="64" t="s">
        <v>67</v>
      </c>
      <c r="M442" s="40" t="s">
        <v>156</v>
      </c>
      <c r="N442" s="40" t="str">
        <f>VLOOKUP(L442,'Raw material list'!$A$3:$E$715,5,0)</f>
        <v xml:space="preserve">Gram </v>
      </c>
      <c r="O442" s="40">
        <v>20</v>
      </c>
      <c r="P442" s="299">
        <f t="shared" si="24"/>
        <v>20</v>
      </c>
      <c r="Q442" s="40">
        <v>100</v>
      </c>
      <c r="R442" s="40">
        <v>10</v>
      </c>
      <c r="S442" s="40"/>
      <c r="T442" s="105">
        <f t="shared" si="25"/>
        <v>2</v>
      </c>
      <c r="U442" s="105">
        <f t="shared" si="26"/>
        <v>2</v>
      </c>
      <c r="V442" s="104">
        <f>IFERROR(VLOOKUP(L442,'Raw material list'!$A$2:$S$3102,6,0),0)</f>
        <v>4.4441666666666664E-2</v>
      </c>
      <c r="W442" s="104">
        <f t="shared" si="27"/>
        <v>8.8883333333333328E-2</v>
      </c>
    </row>
    <row r="443" spans="1:23" s="66" customFormat="1" hidden="1" x14ac:dyDescent="0.55000000000000004">
      <c r="A443" s="41" t="s">
        <v>1483</v>
      </c>
      <c r="B443" s="41" t="s">
        <v>35</v>
      </c>
      <c r="C443" s="41" t="s">
        <v>10</v>
      </c>
      <c r="D443" s="41" t="s">
        <v>2056</v>
      </c>
      <c r="E443" s="41" t="s">
        <v>1467</v>
      </c>
      <c r="F443" s="41" t="s">
        <v>2079</v>
      </c>
      <c r="G443" s="41" t="s">
        <v>11</v>
      </c>
      <c r="H443" s="41" t="s">
        <v>1773</v>
      </c>
      <c r="I443" s="64"/>
      <c r="J443" s="64"/>
      <c r="K443" s="41" t="str">
        <f>IFERROR(VLOOKUP(L443,'Raw material list'!$A$3:$C$715,3,0),"")</f>
        <v>DRS1-3357</v>
      </c>
      <c r="L443" s="64" t="s">
        <v>316</v>
      </c>
      <c r="M443" s="40" t="s">
        <v>156</v>
      </c>
      <c r="N443" s="40" t="str">
        <f>VLOOKUP(L443,'Raw material list'!$A$3:$E$715,5,0)</f>
        <v xml:space="preserve">Gram </v>
      </c>
      <c r="O443" s="40">
        <v>50</v>
      </c>
      <c r="P443" s="299">
        <f t="shared" si="24"/>
        <v>50</v>
      </c>
      <c r="Q443" s="40">
        <v>100</v>
      </c>
      <c r="R443" s="40">
        <v>10</v>
      </c>
      <c r="S443" s="40"/>
      <c r="T443" s="105">
        <f t="shared" si="25"/>
        <v>5</v>
      </c>
      <c r="U443" s="105">
        <f t="shared" si="26"/>
        <v>5</v>
      </c>
      <c r="V443" s="104">
        <f>IFERROR(VLOOKUP(L443,'Raw material list'!$A$2:$S$3102,6,0),0)</f>
        <v>6.8440000000000001E-2</v>
      </c>
      <c r="W443" s="104">
        <f t="shared" si="27"/>
        <v>0.3422</v>
      </c>
    </row>
    <row r="444" spans="1:23" s="66" customFormat="1" hidden="1" x14ac:dyDescent="0.55000000000000004">
      <c r="A444" s="41" t="s">
        <v>1483</v>
      </c>
      <c r="B444" s="41" t="s">
        <v>35</v>
      </c>
      <c r="C444" s="41" t="s">
        <v>10</v>
      </c>
      <c r="D444" s="41" t="s">
        <v>2056</v>
      </c>
      <c r="E444" s="41" t="s">
        <v>1467</v>
      </c>
      <c r="F444" s="41" t="s">
        <v>2079</v>
      </c>
      <c r="G444" s="41" t="s">
        <v>11</v>
      </c>
      <c r="H444" s="41" t="s">
        <v>1773</v>
      </c>
      <c r="I444" s="64"/>
      <c r="J444" s="64"/>
      <c r="K444" s="41" t="str">
        <f>IFERROR(VLOOKUP(L444,'Raw material list'!$A$3:$C$715,3,0),"")</f>
        <v>DRS6-537</v>
      </c>
      <c r="L444" s="64" t="s">
        <v>46</v>
      </c>
      <c r="M444" s="40" t="s">
        <v>156</v>
      </c>
      <c r="N444" s="40" t="str">
        <f>VLOOKUP(L444,'Raw material list'!$A$3:$E$715,5,0)</f>
        <v xml:space="preserve">Gram </v>
      </c>
      <c r="O444" s="40">
        <v>2</v>
      </c>
      <c r="P444" s="299">
        <f t="shared" si="24"/>
        <v>2</v>
      </c>
      <c r="Q444" s="40">
        <v>100</v>
      </c>
      <c r="R444" s="40">
        <v>10</v>
      </c>
      <c r="S444" s="40"/>
      <c r="T444" s="105">
        <f t="shared" si="25"/>
        <v>0.2</v>
      </c>
      <c r="U444" s="105">
        <f t="shared" si="26"/>
        <v>0.2</v>
      </c>
      <c r="V444" s="104">
        <f>IFERROR(VLOOKUP(L444,'Raw material list'!$A$2:$S$3102,6,0),0)</f>
        <v>3.5000000000000003E-2</v>
      </c>
      <c r="W444" s="104">
        <f t="shared" si="27"/>
        <v>7.000000000000001E-3</v>
      </c>
    </row>
    <row r="445" spans="1:23" s="66" customFormat="1" hidden="1" x14ac:dyDescent="0.55000000000000004">
      <c r="A445" s="41" t="s">
        <v>1483</v>
      </c>
      <c r="B445" s="41" t="s">
        <v>35</v>
      </c>
      <c r="C445" s="41" t="s">
        <v>10</v>
      </c>
      <c r="D445" s="41" t="s">
        <v>2056</v>
      </c>
      <c r="E445" s="41" t="s">
        <v>1467</v>
      </c>
      <c r="F445" s="41" t="s">
        <v>2079</v>
      </c>
      <c r="G445" s="41" t="s">
        <v>11</v>
      </c>
      <c r="H445" s="41" t="s">
        <v>1773</v>
      </c>
      <c r="I445" s="64"/>
      <c r="J445" s="64"/>
      <c r="K445" s="41" t="str">
        <f>IFERROR(VLOOKUP(L445,'Raw material list'!$A$3:$C$715,3,0),"")</f>
        <v>DRS1-3880</v>
      </c>
      <c r="L445" s="64" t="s">
        <v>1433</v>
      </c>
      <c r="M445" s="40" t="s">
        <v>156</v>
      </c>
      <c r="N445" s="40" t="str">
        <f>VLOOKUP(L445,'Raw material list'!$A$3:$E$715,5,0)</f>
        <v xml:space="preserve">Gram </v>
      </c>
      <c r="O445" s="40">
        <v>5</v>
      </c>
      <c r="P445" s="299">
        <f t="shared" si="24"/>
        <v>5</v>
      </c>
      <c r="Q445" s="40">
        <v>100</v>
      </c>
      <c r="R445" s="40">
        <v>10</v>
      </c>
      <c r="S445" s="40"/>
      <c r="T445" s="105">
        <f t="shared" si="25"/>
        <v>0.5</v>
      </c>
      <c r="U445" s="105">
        <f t="shared" si="26"/>
        <v>0.5</v>
      </c>
      <c r="V445" s="104">
        <f>IFERROR(VLOOKUP(L445,'Raw material list'!$A$2:$S$3102,6,0),0)</f>
        <v>5.0000000000000001E-4</v>
      </c>
      <c r="W445" s="104">
        <f t="shared" si="27"/>
        <v>2.5000000000000001E-4</v>
      </c>
    </row>
    <row r="446" spans="1:23" s="66" customFormat="1" hidden="1" x14ac:dyDescent="0.55000000000000004">
      <c r="A446" s="41" t="s">
        <v>1483</v>
      </c>
      <c r="B446" s="41" t="s">
        <v>35</v>
      </c>
      <c r="C446" s="41" t="s">
        <v>10</v>
      </c>
      <c r="D446" s="41" t="s">
        <v>2056</v>
      </c>
      <c r="E446" s="41" t="s">
        <v>1467</v>
      </c>
      <c r="F446" s="41" t="s">
        <v>2079</v>
      </c>
      <c r="G446" s="41" t="s">
        <v>11</v>
      </c>
      <c r="H446" s="41" t="s">
        <v>1773</v>
      </c>
      <c r="I446" s="64"/>
      <c r="J446" s="64"/>
      <c r="K446" s="41" t="str">
        <f>IFERROR(VLOOKUP(L446,'Raw material list'!$A$3:$C$715,3,0),"")</f>
        <v>DRS1-1747</v>
      </c>
      <c r="L446" s="64" t="s">
        <v>44</v>
      </c>
      <c r="M446" s="40" t="s">
        <v>156</v>
      </c>
      <c r="N446" s="40" t="str">
        <f>VLOOKUP(L446,'Raw material list'!$A$3:$E$715,5,0)</f>
        <v xml:space="preserve">Gram </v>
      </c>
      <c r="O446" s="40">
        <v>35</v>
      </c>
      <c r="P446" s="299">
        <f t="shared" si="24"/>
        <v>35</v>
      </c>
      <c r="Q446" s="40">
        <v>100</v>
      </c>
      <c r="R446" s="40">
        <v>10</v>
      </c>
      <c r="S446" s="40"/>
      <c r="T446" s="105">
        <f t="shared" si="25"/>
        <v>3.5</v>
      </c>
      <c r="U446" s="105">
        <f t="shared" si="26"/>
        <v>3.5</v>
      </c>
      <c r="V446" s="104">
        <f>IFERROR(VLOOKUP(L446,'Raw material list'!$A$2:$S$3102,6,0),0)</f>
        <v>5.185185185185185E-3</v>
      </c>
      <c r="W446" s="104">
        <f t="shared" si="27"/>
        <v>1.8148148148148149E-2</v>
      </c>
    </row>
    <row r="447" spans="1:23" s="66" customFormat="1" hidden="1" x14ac:dyDescent="0.55000000000000004">
      <c r="A447" s="41" t="s">
        <v>1483</v>
      </c>
      <c r="B447" s="41" t="s">
        <v>35</v>
      </c>
      <c r="C447" s="41" t="s">
        <v>10</v>
      </c>
      <c r="D447" s="41" t="s">
        <v>2056</v>
      </c>
      <c r="E447" s="41" t="s">
        <v>1467</v>
      </c>
      <c r="F447" s="41" t="s">
        <v>2079</v>
      </c>
      <c r="G447" s="41" t="s">
        <v>11</v>
      </c>
      <c r="H447" s="41" t="s">
        <v>1773</v>
      </c>
      <c r="I447" s="64"/>
      <c r="J447" s="64"/>
      <c r="K447" s="41" t="str">
        <f>IFERROR(VLOOKUP(L447,'Raw material list'!$A$3:$C$715,3,0),"")</f>
        <v>DRY2-1858</v>
      </c>
      <c r="L447" s="64" t="s">
        <v>60</v>
      </c>
      <c r="M447" s="40" t="s">
        <v>206</v>
      </c>
      <c r="N447" s="40" t="str">
        <f>VLOOKUP(L447,'Raw material list'!$A$3:$E$715,5,0)</f>
        <v>Ml</v>
      </c>
      <c r="O447" s="40">
        <v>125</v>
      </c>
      <c r="P447" s="299">
        <f t="shared" si="24"/>
        <v>125</v>
      </c>
      <c r="Q447" s="40">
        <v>100</v>
      </c>
      <c r="R447" s="40">
        <v>10</v>
      </c>
      <c r="S447" s="40"/>
      <c r="T447" s="105">
        <f t="shared" si="25"/>
        <v>12.5</v>
      </c>
      <c r="U447" s="105">
        <f t="shared" si="26"/>
        <v>12.5</v>
      </c>
      <c r="V447" s="104">
        <f>IFERROR(VLOOKUP(L447,'Raw material list'!$A$2:$S$3102,6,0),0)</f>
        <v>9.8800000000000016E-3</v>
      </c>
      <c r="W447" s="104">
        <f t="shared" si="27"/>
        <v>0.12350000000000003</v>
      </c>
    </row>
    <row r="448" spans="1:23" s="66" customFormat="1" hidden="1" x14ac:dyDescent="0.55000000000000004">
      <c r="A448" s="41" t="s">
        <v>1483</v>
      </c>
      <c r="B448" s="41" t="s">
        <v>35</v>
      </c>
      <c r="C448" s="41" t="s">
        <v>10</v>
      </c>
      <c r="D448" s="41" t="s">
        <v>2056</v>
      </c>
      <c r="E448" s="41" t="s">
        <v>1467</v>
      </c>
      <c r="F448" s="41" t="s">
        <v>2079</v>
      </c>
      <c r="G448" s="41" t="s">
        <v>11</v>
      </c>
      <c r="H448" s="41" t="s">
        <v>1773</v>
      </c>
      <c r="I448" s="64"/>
      <c r="J448" s="64"/>
      <c r="K448" s="41" t="str">
        <f>IFERROR(VLOOKUP(L448,'Raw material list'!$A$3:$C$715,3,0),"")</f>
        <v>DRS5-40</v>
      </c>
      <c r="L448" s="64" t="s">
        <v>58</v>
      </c>
      <c r="M448" s="40" t="s">
        <v>156</v>
      </c>
      <c r="N448" s="40" t="str">
        <f>VLOOKUP(L448,'Raw material list'!$A$3:$E$715,5,0)</f>
        <v xml:space="preserve">Gram </v>
      </c>
      <c r="O448" s="40">
        <v>60</v>
      </c>
      <c r="P448" s="299">
        <f t="shared" si="24"/>
        <v>60</v>
      </c>
      <c r="Q448" s="40">
        <v>100</v>
      </c>
      <c r="R448" s="40">
        <v>10</v>
      </c>
      <c r="S448" s="40"/>
      <c r="T448" s="105">
        <f t="shared" si="25"/>
        <v>6</v>
      </c>
      <c r="U448" s="105">
        <f t="shared" si="26"/>
        <v>6</v>
      </c>
      <c r="V448" s="104">
        <f>IFERROR(VLOOKUP(L448,'Raw material list'!$A$2:$S$3102,6,0),0)</f>
        <v>7.7777777777777773E-4</v>
      </c>
      <c r="W448" s="104">
        <f t="shared" si="27"/>
        <v>4.6666666666666662E-3</v>
      </c>
    </row>
    <row r="449" spans="1:23" s="66" customFormat="1" hidden="1" x14ac:dyDescent="0.55000000000000004">
      <c r="A449" s="41" t="s">
        <v>1483</v>
      </c>
      <c r="B449" s="41" t="s">
        <v>35</v>
      </c>
      <c r="C449" s="41" t="s">
        <v>10</v>
      </c>
      <c r="D449" s="41" t="s">
        <v>2056</v>
      </c>
      <c r="E449" s="41" t="s">
        <v>1467</v>
      </c>
      <c r="F449" s="41" t="s">
        <v>2079</v>
      </c>
      <c r="G449" s="41" t="s">
        <v>11</v>
      </c>
      <c r="H449" s="41" t="s">
        <v>1773</v>
      </c>
      <c r="I449" s="64"/>
      <c r="J449" s="64"/>
      <c r="K449" s="41" t="str">
        <f>IFERROR(VLOOKUP(L449,'Raw material list'!$A$3:$C$715,3,0),"")</f>
        <v>TAP-00001</v>
      </c>
      <c r="L449" s="64" t="s">
        <v>1405</v>
      </c>
      <c r="M449" s="40" t="s">
        <v>206</v>
      </c>
      <c r="N449" s="40" t="str">
        <f>VLOOKUP(L449,'Raw material list'!$A$3:$E$715,5,0)</f>
        <v>Ml</v>
      </c>
      <c r="O449" s="40">
        <v>80</v>
      </c>
      <c r="P449" s="299">
        <f t="shared" si="24"/>
        <v>80</v>
      </c>
      <c r="Q449" s="40">
        <v>100</v>
      </c>
      <c r="R449" s="40">
        <v>10</v>
      </c>
      <c r="S449" s="40"/>
      <c r="T449" s="105">
        <f t="shared" si="25"/>
        <v>8</v>
      </c>
      <c r="U449" s="105">
        <f t="shared" si="26"/>
        <v>8</v>
      </c>
      <c r="V449" s="104">
        <f>IFERROR(VLOOKUP(L449,'Raw material list'!$A$2:$S$3102,6,0),0)</f>
        <v>8.0000000000000007E-5</v>
      </c>
      <c r="W449" s="104">
        <f t="shared" si="27"/>
        <v>6.4000000000000005E-4</v>
      </c>
    </row>
    <row r="450" spans="1:23" s="66" customFormat="1" hidden="1" x14ac:dyDescent="0.55000000000000004">
      <c r="A450" s="41" t="s">
        <v>1483</v>
      </c>
      <c r="B450" s="41" t="s">
        <v>35</v>
      </c>
      <c r="C450" s="41" t="s">
        <v>10</v>
      </c>
      <c r="D450" s="41" t="s">
        <v>2056</v>
      </c>
      <c r="E450" s="41" t="s">
        <v>1467</v>
      </c>
      <c r="F450" s="41" t="s">
        <v>2079</v>
      </c>
      <c r="G450" s="41" t="s">
        <v>11</v>
      </c>
      <c r="H450" s="41" t="s">
        <v>1773</v>
      </c>
      <c r="I450" s="64"/>
      <c r="J450" s="64"/>
      <c r="K450" s="41" t="str">
        <f>IFERROR(VLOOKUP(L450,'Raw material list'!$A$3:$C$715,3,0),"")</f>
        <v>PRD1-223</v>
      </c>
      <c r="L450" s="64" t="s">
        <v>71</v>
      </c>
      <c r="M450" s="40" t="s">
        <v>156</v>
      </c>
      <c r="N450" s="40" t="str">
        <f>VLOOKUP(L450,'Raw material list'!$A$3:$E$715,5,0)</f>
        <v xml:space="preserve">Gram </v>
      </c>
      <c r="O450" s="40">
        <v>200</v>
      </c>
      <c r="P450" s="299">
        <f t="shared" si="24"/>
        <v>211.26760563380282</v>
      </c>
      <c r="Q450" s="105">
        <v>94.666666666666671</v>
      </c>
      <c r="R450" s="40">
        <v>10</v>
      </c>
      <c r="S450" s="40"/>
      <c r="T450" s="105">
        <f t="shared" si="25"/>
        <v>20</v>
      </c>
      <c r="U450" s="105">
        <f t="shared" si="26"/>
        <v>21.12676056338028</v>
      </c>
      <c r="V450" s="104">
        <f>IFERROR(VLOOKUP(L450,'Raw material list'!$A$2:$S$3102,6,0),0)</f>
        <v>2.3231256599788808E-2</v>
      </c>
      <c r="W450" s="104">
        <f t="shared" si="27"/>
        <v>0.49080119577018605</v>
      </c>
    </row>
    <row r="451" spans="1:23" s="66" customFormat="1" hidden="1" x14ac:dyDescent="0.55000000000000004">
      <c r="A451" s="41" t="s">
        <v>1483</v>
      </c>
      <c r="B451" s="41" t="s">
        <v>35</v>
      </c>
      <c r="C451" s="41" t="s">
        <v>10</v>
      </c>
      <c r="D451" s="41" t="s">
        <v>2056</v>
      </c>
      <c r="E451" s="41" t="s">
        <v>1467</v>
      </c>
      <c r="F451" s="41" t="s">
        <v>2079</v>
      </c>
      <c r="G451" s="41" t="s">
        <v>11</v>
      </c>
      <c r="H451" s="41" t="s">
        <v>1773</v>
      </c>
      <c r="I451" s="64"/>
      <c r="J451" s="64"/>
      <c r="K451" s="41" t="str">
        <f>IFERROR(VLOOKUP(L451,'Raw material list'!$A$3:$C$715,3,0),"")</f>
        <v>DRS1-455</v>
      </c>
      <c r="L451" s="64" t="s">
        <v>230</v>
      </c>
      <c r="M451" s="40" t="s">
        <v>156</v>
      </c>
      <c r="N451" s="40" t="str">
        <f>VLOOKUP(L451,'Raw material list'!$A$3:$E$715,5,0)</f>
        <v xml:space="preserve">Gram </v>
      </c>
      <c r="O451" s="40">
        <v>150</v>
      </c>
      <c r="P451" s="299">
        <f t="shared" si="24"/>
        <v>150</v>
      </c>
      <c r="Q451" s="300">
        <v>100</v>
      </c>
      <c r="R451" s="40">
        <v>10</v>
      </c>
      <c r="S451" s="40"/>
      <c r="T451" s="105">
        <f t="shared" si="25"/>
        <v>15</v>
      </c>
      <c r="U451" s="105">
        <f t="shared" si="26"/>
        <v>15</v>
      </c>
      <c r="V451" s="104">
        <f>IFERROR(VLOOKUP(L451,'Raw material list'!$A$2:$S$3102,6,0),0)</f>
        <v>7.1999999999999998E-3</v>
      </c>
      <c r="W451" s="104">
        <f t="shared" si="27"/>
        <v>0.108</v>
      </c>
    </row>
    <row r="452" spans="1:23" s="66" customFormat="1" hidden="1" x14ac:dyDescent="0.55000000000000004">
      <c r="A452" s="41" t="s">
        <v>1484</v>
      </c>
      <c r="B452" s="41" t="s">
        <v>35</v>
      </c>
      <c r="C452" s="41" t="s">
        <v>10</v>
      </c>
      <c r="D452" s="64" t="s">
        <v>1476</v>
      </c>
      <c r="E452" s="41" t="s">
        <v>1467</v>
      </c>
      <c r="F452" s="41" t="s">
        <v>2079</v>
      </c>
      <c r="G452" s="41" t="s">
        <v>11</v>
      </c>
      <c r="H452" s="41" t="s">
        <v>1773</v>
      </c>
      <c r="I452" s="64"/>
      <c r="J452" s="64"/>
      <c r="K452" s="41" t="str">
        <f>IFERROR(VLOOKUP(L452,'Raw material list'!$A$3:$C$715,3,0),"")</f>
        <v>PRD1-3794</v>
      </c>
      <c r="L452" s="64" t="s">
        <v>973</v>
      </c>
      <c r="M452" s="40" t="s">
        <v>156</v>
      </c>
      <c r="N452" s="40" t="str">
        <f>VLOOKUP(L452,'Raw material list'!$A$3:$E$715,5,0)</f>
        <v xml:space="preserve">Gram </v>
      </c>
      <c r="O452" s="40">
        <v>300</v>
      </c>
      <c r="P452" s="299">
        <f t="shared" si="24"/>
        <v>370.37037037037038</v>
      </c>
      <c r="Q452" s="105">
        <v>81</v>
      </c>
      <c r="R452" s="40">
        <v>10</v>
      </c>
      <c r="S452" s="40"/>
      <c r="T452" s="105">
        <f t="shared" si="25"/>
        <v>30</v>
      </c>
      <c r="U452" s="105">
        <f t="shared" si="26"/>
        <v>37.037037037037038</v>
      </c>
      <c r="V452" s="104">
        <f>IFERROR(VLOOKUP(L452,'Raw material list'!$A$2:$S$3102,6,0),0)</f>
        <v>4.9382716049382715E-3</v>
      </c>
      <c r="W452" s="104">
        <f t="shared" si="27"/>
        <v>0.18289894833104708</v>
      </c>
    </row>
    <row r="453" spans="1:23" s="66" customFormat="1" hidden="1" x14ac:dyDescent="0.55000000000000004">
      <c r="A453" s="41" t="s">
        <v>1484</v>
      </c>
      <c r="B453" s="41" t="s">
        <v>35</v>
      </c>
      <c r="C453" s="41" t="s">
        <v>10</v>
      </c>
      <c r="D453" s="64" t="s">
        <v>1476</v>
      </c>
      <c r="E453" s="41" t="s">
        <v>1467</v>
      </c>
      <c r="F453" s="41" t="s">
        <v>2079</v>
      </c>
      <c r="G453" s="41" t="s">
        <v>11</v>
      </c>
      <c r="H453" s="41" t="s">
        <v>1773</v>
      </c>
      <c r="I453" s="64"/>
      <c r="J453" s="64"/>
      <c r="K453" s="41" t="str">
        <f>IFERROR(VLOOKUP(L453,'Raw material list'!$A$3:$C$715,3,0),"")</f>
        <v>DRS3-1813</v>
      </c>
      <c r="L453" s="64" t="s">
        <v>69</v>
      </c>
      <c r="M453" s="40" t="s">
        <v>206</v>
      </c>
      <c r="N453" s="40" t="str">
        <f>VLOOKUP(L453,'Raw material list'!$A$3:$E$715,5,0)</f>
        <v>Ml</v>
      </c>
      <c r="O453" s="40">
        <v>25</v>
      </c>
      <c r="P453" s="299">
        <f t="shared" si="24"/>
        <v>25</v>
      </c>
      <c r="Q453" s="300">
        <v>100</v>
      </c>
      <c r="R453" s="40">
        <v>10</v>
      </c>
      <c r="S453" s="40"/>
      <c r="T453" s="105">
        <f t="shared" ref="T453:T516" si="28">IFERROR(O453/R453,0)</f>
        <v>2.5</v>
      </c>
      <c r="U453" s="105">
        <f t="shared" si="26"/>
        <v>2.5</v>
      </c>
      <c r="V453" s="104">
        <f>IFERROR(VLOOKUP(L453,'Raw material list'!$A$2:$S$3102,6,0),0)</f>
        <v>8.0555555555555554E-3</v>
      </c>
      <c r="W453" s="104">
        <f t="shared" si="27"/>
        <v>2.0138888888888887E-2</v>
      </c>
    </row>
    <row r="454" spans="1:23" hidden="1" x14ac:dyDescent="0.55000000000000004">
      <c r="A454" s="41" t="s">
        <v>1484</v>
      </c>
      <c r="B454" s="41" t="s">
        <v>35</v>
      </c>
      <c r="C454" s="41" t="s">
        <v>10</v>
      </c>
      <c r="D454" s="64" t="s">
        <v>1476</v>
      </c>
      <c r="E454" s="41" t="s">
        <v>1467</v>
      </c>
      <c r="F454" s="41" t="s">
        <v>2079</v>
      </c>
      <c r="G454" s="41" t="s">
        <v>11</v>
      </c>
      <c r="H454" s="41" t="s">
        <v>1773</v>
      </c>
      <c r="I454" s="41"/>
      <c r="J454" s="41"/>
      <c r="K454" s="41" t="str">
        <f>IFERROR(VLOOKUP(L454,'Raw material list'!$A$3:$C$715,3,0),"")</f>
        <v>PRD1-4265</v>
      </c>
      <c r="L454" s="41" t="s">
        <v>38</v>
      </c>
      <c r="M454" s="40" t="s">
        <v>156</v>
      </c>
      <c r="N454" s="40" t="str">
        <f>VLOOKUP(L454,'Raw material list'!$A$3:$E$715,5,0)</f>
        <v xml:space="preserve">Gram </v>
      </c>
      <c r="O454" s="40">
        <v>150</v>
      </c>
      <c r="P454" s="299">
        <f t="shared" ref="P454:P517" si="29">O454/Q454*100</f>
        <v>176.47058823529412</v>
      </c>
      <c r="Q454" s="105">
        <v>85</v>
      </c>
      <c r="R454" s="40">
        <v>10</v>
      </c>
      <c r="S454" s="40"/>
      <c r="T454" s="105">
        <f t="shared" si="28"/>
        <v>15</v>
      </c>
      <c r="U454" s="105">
        <f t="shared" ref="U454:U517" si="30">IFERROR(P454/R454,0)</f>
        <v>17.647058823529413</v>
      </c>
      <c r="V454" s="104">
        <f>IFERROR(VLOOKUP(L454,'Raw material list'!$A$2:$S$3102,6,0),0)</f>
        <v>3.529411764705882E-3</v>
      </c>
      <c r="W454" s="104">
        <f t="shared" ref="W454:W517" si="31">IFERROR(V454*U454,0)</f>
        <v>6.228373702422145E-2</v>
      </c>
    </row>
    <row r="455" spans="1:23" hidden="1" x14ac:dyDescent="0.55000000000000004">
      <c r="A455" s="41" t="s">
        <v>1484</v>
      </c>
      <c r="B455" s="41" t="s">
        <v>35</v>
      </c>
      <c r="C455" s="41" t="s">
        <v>10</v>
      </c>
      <c r="D455" s="64" t="s">
        <v>1476</v>
      </c>
      <c r="E455" s="41" t="s">
        <v>1467</v>
      </c>
      <c r="F455" s="41" t="s">
        <v>2079</v>
      </c>
      <c r="G455" s="41" t="s">
        <v>11</v>
      </c>
      <c r="H455" s="41" t="s">
        <v>1773</v>
      </c>
      <c r="I455" s="41"/>
      <c r="J455" s="41"/>
      <c r="K455" s="41" t="str">
        <f>IFERROR(VLOOKUP(L455,'Raw material list'!$A$3:$C$715,3,0),"")</f>
        <v>PRD1-4327</v>
      </c>
      <c r="L455" s="41" t="s">
        <v>39</v>
      </c>
      <c r="M455" s="40" t="s">
        <v>156</v>
      </c>
      <c r="N455" s="40" t="str">
        <f>VLOOKUP(L455,'Raw material list'!$A$3:$E$715,5,0)</f>
        <v xml:space="preserve">Gram </v>
      </c>
      <c r="O455" s="40">
        <v>15</v>
      </c>
      <c r="P455" s="299">
        <f t="shared" si="29"/>
        <v>18.072289156626507</v>
      </c>
      <c r="Q455" s="105">
        <v>83</v>
      </c>
      <c r="R455" s="40">
        <v>10</v>
      </c>
      <c r="S455" s="40"/>
      <c r="T455" s="105">
        <f t="shared" si="28"/>
        <v>1.5</v>
      </c>
      <c r="U455" s="105">
        <f t="shared" si="30"/>
        <v>1.8072289156626506</v>
      </c>
      <c r="V455" s="104">
        <f>IFERROR(VLOOKUP(L455,'Raw material list'!$A$2:$S$3102,6,0),0)</f>
        <v>1.2999999999999999E-2</v>
      </c>
      <c r="W455" s="104">
        <f t="shared" si="31"/>
        <v>2.3493975903614458E-2</v>
      </c>
    </row>
    <row r="456" spans="1:23" hidden="1" x14ac:dyDescent="0.55000000000000004">
      <c r="A456" s="41" t="s">
        <v>1484</v>
      </c>
      <c r="B456" s="41" t="s">
        <v>35</v>
      </c>
      <c r="C456" s="41" t="s">
        <v>10</v>
      </c>
      <c r="D456" s="64" t="s">
        <v>1476</v>
      </c>
      <c r="E456" s="41" t="s">
        <v>1467</v>
      </c>
      <c r="F456" s="41" t="s">
        <v>2079</v>
      </c>
      <c r="G456" s="41" t="s">
        <v>11</v>
      </c>
      <c r="H456" s="41" t="s">
        <v>1773</v>
      </c>
      <c r="I456" s="41"/>
      <c r="J456" s="41"/>
      <c r="K456" s="41" t="str">
        <f>IFERROR(VLOOKUP(L456,'Raw material list'!$A$3:$C$715,3,0),"")</f>
        <v>DRS6-733</v>
      </c>
      <c r="L456" s="41" t="s">
        <v>45</v>
      </c>
      <c r="M456" s="40" t="s">
        <v>156</v>
      </c>
      <c r="N456" s="40" t="str">
        <f>VLOOKUP(L456,'Raw material list'!$A$3:$E$715,5,0)</f>
        <v xml:space="preserve">Gram </v>
      </c>
      <c r="O456" s="40">
        <v>15</v>
      </c>
      <c r="P456" s="299">
        <f t="shared" si="29"/>
        <v>15</v>
      </c>
      <c r="Q456" s="300">
        <v>100</v>
      </c>
      <c r="R456" s="40">
        <v>10</v>
      </c>
      <c r="S456" s="40"/>
      <c r="T456" s="105">
        <f t="shared" si="28"/>
        <v>1.5</v>
      </c>
      <c r="U456" s="105">
        <f t="shared" si="30"/>
        <v>1.5</v>
      </c>
      <c r="V456" s="104">
        <f>IFERROR(VLOOKUP(L456,'Raw material list'!$A$2:$S$3102,6,0),0)</f>
        <v>2.8000000000000001E-2</v>
      </c>
      <c r="W456" s="104">
        <f t="shared" si="31"/>
        <v>4.2000000000000003E-2</v>
      </c>
    </row>
    <row r="457" spans="1:23" hidden="1" x14ac:dyDescent="0.55000000000000004">
      <c r="A457" s="41" t="s">
        <v>1484</v>
      </c>
      <c r="B457" s="41" t="s">
        <v>35</v>
      </c>
      <c r="C457" s="41" t="s">
        <v>10</v>
      </c>
      <c r="D457" s="64" t="s">
        <v>1476</v>
      </c>
      <c r="E457" s="41" t="s">
        <v>1467</v>
      </c>
      <c r="F457" s="41" t="s">
        <v>2079</v>
      </c>
      <c r="G457" s="41" t="s">
        <v>11</v>
      </c>
      <c r="H457" s="41" t="s">
        <v>1773</v>
      </c>
      <c r="I457" s="41"/>
      <c r="J457" s="41"/>
      <c r="K457" s="41" t="str">
        <f>IFERROR(VLOOKUP(L457,'Raw material list'!$A$3:$C$715,3,0),"")</f>
        <v>DRS6-266</v>
      </c>
      <c r="L457" s="41" t="s">
        <v>99</v>
      </c>
      <c r="M457" s="40" t="s">
        <v>156</v>
      </c>
      <c r="N457" s="40" t="str">
        <f>VLOOKUP(L457,'Raw material list'!$A$3:$E$715,5,0)</f>
        <v xml:space="preserve">Gram </v>
      </c>
      <c r="O457" s="40">
        <v>3</v>
      </c>
      <c r="P457" s="299">
        <f t="shared" si="29"/>
        <v>3</v>
      </c>
      <c r="Q457" s="40">
        <v>100</v>
      </c>
      <c r="R457" s="40">
        <v>10</v>
      </c>
      <c r="S457" s="40"/>
      <c r="T457" s="105">
        <f t="shared" si="28"/>
        <v>0.3</v>
      </c>
      <c r="U457" s="105">
        <f t="shared" si="30"/>
        <v>0.3</v>
      </c>
      <c r="V457" s="104">
        <f>IFERROR(VLOOKUP(L457,'Raw material list'!$A$2:$S$3102,6,0),0)</f>
        <v>1.4E-2</v>
      </c>
      <c r="W457" s="104">
        <f t="shared" si="31"/>
        <v>4.1999999999999997E-3</v>
      </c>
    </row>
    <row r="458" spans="1:23" hidden="1" x14ac:dyDescent="0.55000000000000004">
      <c r="A458" s="41" t="s">
        <v>1484</v>
      </c>
      <c r="B458" s="41" t="s">
        <v>35</v>
      </c>
      <c r="C458" s="41" t="s">
        <v>10</v>
      </c>
      <c r="D458" s="64" t="s">
        <v>1476</v>
      </c>
      <c r="E458" s="41" t="s">
        <v>1467</v>
      </c>
      <c r="F458" s="41" t="s">
        <v>2079</v>
      </c>
      <c r="G458" s="41" t="s">
        <v>11</v>
      </c>
      <c r="H458" s="41" t="s">
        <v>1773</v>
      </c>
      <c r="I458" s="41"/>
      <c r="J458" s="41"/>
      <c r="K458" s="41" t="str">
        <f>IFERROR(VLOOKUP(L458,'Raw material list'!$A$3:$C$715,3,0),"")</f>
        <v>DRS6-3608</v>
      </c>
      <c r="L458" s="41" t="s">
        <v>131</v>
      </c>
      <c r="M458" s="40" t="s">
        <v>156</v>
      </c>
      <c r="N458" s="40" t="str">
        <f>VLOOKUP(L458,'Raw material list'!$A$3:$E$715,5,0)</f>
        <v xml:space="preserve">Gram </v>
      </c>
      <c r="O458" s="40">
        <v>3</v>
      </c>
      <c r="P458" s="299">
        <f t="shared" si="29"/>
        <v>3</v>
      </c>
      <c r="Q458" s="40">
        <v>100</v>
      </c>
      <c r="R458" s="40">
        <v>10</v>
      </c>
      <c r="S458" s="40"/>
      <c r="T458" s="105">
        <f t="shared" si="28"/>
        <v>0.3</v>
      </c>
      <c r="U458" s="105">
        <f t="shared" si="30"/>
        <v>0.3</v>
      </c>
      <c r="V458" s="104">
        <f>IFERROR(VLOOKUP(L458,'Raw material list'!$A$2:$S$3102,6,0),0)</f>
        <v>1.6E-2</v>
      </c>
      <c r="W458" s="104">
        <f t="shared" si="31"/>
        <v>4.7999999999999996E-3</v>
      </c>
    </row>
    <row r="459" spans="1:23" hidden="1" x14ac:dyDescent="0.55000000000000004">
      <c r="A459" s="41" t="s">
        <v>1484</v>
      </c>
      <c r="B459" s="41" t="s">
        <v>35</v>
      </c>
      <c r="C459" s="41" t="s">
        <v>10</v>
      </c>
      <c r="D459" s="64" t="s">
        <v>1476</v>
      </c>
      <c r="E459" s="41" t="s">
        <v>1467</v>
      </c>
      <c r="F459" s="41" t="s">
        <v>2079</v>
      </c>
      <c r="G459" s="41" t="s">
        <v>11</v>
      </c>
      <c r="H459" s="41" t="s">
        <v>1773</v>
      </c>
      <c r="I459" s="41"/>
      <c r="J459" s="41"/>
      <c r="K459" s="41" t="str">
        <f>IFERROR(VLOOKUP(L459,'Raw material list'!$A$3:$C$715,3,0),"")</f>
        <v>PRD1-572</v>
      </c>
      <c r="L459" s="41" t="s">
        <v>54</v>
      </c>
      <c r="M459" s="40" t="s">
        <v>156</v>
      </c>
      <c r="N459" s="40" t="str">
        <f>VLOOKUP(L459,'Raw material list'!$A$3:$E$715,5,0)</f>
        <v xml:space="preserve">Gram </v>
      </c>
      <c r="O459" s="40">
        <v>500</v>
      </c>
      <c r="P459" s="299">
        <f t="shared" si="29"/>
        <v>566.67925953910071</v>
      </c>
      <c r="Q459" s="105">
        <v>88.233333333333348</v>
      </c>
      <c r="R459" s="40">
        <v>10</v>
      </c>
      <c r="S459" s="40"/>
      <c r="T459" s="105">
        <f t="shared" si="28"/>
        <v>50</v>
      </c>
      <c r="U459" s="105">
        <f t="shared" si="30"/>
        <v>56.667925953910071</v>
      </c>
      <c r="V459" s="104">
        <f>IFERROR(VLOOKUP(L459,'Raw material list'!$A$2:$S$3102,6,0),0)</f>
        <v>4.5351473922902496E-3</v>
      </c>
      <c r="W459" s="104">
        <f t="shared" si="31"/>
        <v>0.25699739661637222</v>
      </c>
    </row>
    <row r="460" spans="1:23" hidden="1" x14ac:dyDescent="0.55000000000000004">
      <c r="A460" s="41" t="s">
        <v>1484</v>
      </c>
      <c r="B460" s="41" t="s">
        <v>35</v>
      </c>
      <c r="C460" s="41" t="s">
        <v>10</v>
      </c>
      <c r="D460" s="64" t="s">
        <v>1476</v>
      </c>
      <c r="E460" s="41" t="s">
        <v>1467</v>
      </c>
      <c r="F460" s="41" t="s">
        <v>2079</v>
      </c>
      <c r="G460" s="41" t="s">
        <v>11</v>
      </c>
      <c r="H460" s="41" t="s">
        <v>1773</v>
      </c>
      <c r="I460" s="41"/>
      <c r="J460" s="41"/>
      <c r="K460" s="41" t="str">
        <f>IFERROR(VLOOKUP(L460,'Raw material list'!$A$3:$C$715,3,0),"")</f>
        <v>DRS1-1747</v>
      </c>
      <c r="L460" s="41" t="s">
        <v>44</v>
      </c>
      <c r="M460" s="40" t="s">
        <v>156</v>
      </c>
      <c r="N460" s="40" t="str">
        <f>VLOOKUP(L460,'Raw material list'!$A$3:$E$715,5,0)</f>
        <v xml:space="preserve">Gram </v>
      </c>
      <c r="O460" s="40">
        <v>25</v>
      </c>
      <c r="P460" s="299">
        <f t="shared" si="29"/>
        <v>25</v>
      </c>
      <c r="Q460" s="300">
        <v>100</v>
      </c>
      <c r="R460" s="40">
        <v>10</v>
      </c>
      <c r="S460" s="40"/>
      <c r="T460" s="105">
        <f t="shared" si="28"/>
        <v>2.5</v>
      </c>
      <c r="U460" s="105">
        <f t="shared" si="30"/>
        <v>2.5</v>
      </c>
      <c r="V460" s="104">
        <f>IFERROR(VLOOKUP(L460,'Raw material list'!$A$2:$S$3102,6,0),0)</f>
        <v>5.185185185185185E-3</v>
      </c>
      <c r="W460" s="104">
        <f t="shared" si="31"/>
        <v>1.2962962962962963E-2</v>
      </c>
    </row>
    <row r="461" spans="1:23" hidden="1" x14ac:dyDescent="0.55000000000000004">
      <c r="A461" s="41" t="s">
        <v>1484</v>
      </c>
      <c r="B461" s="41" t="s">
        <v>35</v>
      </c>
      <c r="C461" s="41" t="s">
        <v>10</v>
      </c>
      <c r="D461" s="64" t="s">
        <v>1476</v>
      </c>
      <c r="E461" s="41" t="s">
        <v>1467</v>
      </c>
      <c r="F461" s="41" t="s">
        <v>2079</v>
      </c>
      <c r="G461" s="41" t="s">
        <v>11</v>
      </c>
      <c r="H461" s="41" t="s">
        <v>1773</v>
      </c>
      <c r="I461" s="41"/>
      <c r="J461" s="41"/>
      <c r="K461" s="41" t="str">
        <f>IFERROR(VLOOKUP(L461,'Raw material list'!$A$3:$C$715,3,0),"")</f>
        <v>DRS1-3880</v>
      </c>
      <c r="L461" s="41" t="s">
        <v>1433</v>
      </c>
      <c r="M461" s="40" t="s">
        <v>156</v>
      </c>
      <c r="N461" s="40" t="str">
        <f>VLOOKUP(L461,'Raw material list'!$A$3:$E$715,5,0)</f>
        <v xml:space="preserve">Gram </v>
      </c>
      <c r="O461" s="40">
        <v>10</v>
      </c>
      <c r="P461" s="299">
        <f t="shared" si="29"/>
        <v>10</v>
      </c>
      <c r="Q461" s="40">
        <v>100</v>
      </c>
      <c r="R461" s="40">
        <v>10</v>
      </c>
      <c r="S461" s="40"/>
      <c r="T461" s="105">
        <f t="shared" si="28"/>
        <v>1</v>
      </c>
      <c r="U461" s="105">
        <f t="shared" si="30"/>
        <v>1</v>
      </c>
      <c r="V461" s="104">
        <f>IFERROR(VLOOKUP(L461,'Raw material list'!$A$2:$S$3102,6,0),0)</f>
        <v>5.0000000000000001E-4</v>
      </c>
      <c r="W461" s="104">
        <f t="shared" si="31"/>
        <v>5.0000000000000001E-4</v>
      </c>
    </row>
    <row r="462" spans="1:23" hidden="1" x14ac:dyDescent="0.55000000000000004">
      <c r="A462" s="41" t="s">
        <v>1484</v>
      </c>
      <c r="B462" s="41" t="s">
        <v>35</v>
      </c>
      <c r="C462" s="41" t="s">
        <v>10</v>
      </c>
      <c r="D462" s="64" t="s">
        <v>1476</v>
      </c>
      <c r="E462" s="41" t="s">
        <v>1467</v>
      </c>
      <c r="F462" s="41" t="s">
        <v>2079</v>
      </c>
      <c r="G462" s="41" t="s">
        <v>11</v>
      </c>
      <c r="H462" s="41" t="s">
        <v>1773</v>
      </c>
      <c r="I462" s="41"/>
      <c r="J462" s="41"/>
      <c r="K462" s="41" t="str">
        <f>IFERROR(VLOOKUP(L462,'Raw material list'!$A$3:$C$715,3,0),"")</f>
        <v>PRD1-186</v>
      </c>
      <c r="L462" s="41" t="s">
        <v>37</v>
      </c>
      <c r="M462" s="40" t="s">
        <v>156</v>
      </c>
      <c r="N462" s="40" t="str">
        <f>VLOOKUP(L462,'Raw material list'!$A$3:$E$715,5,0)</f>
        <v xml:space="preserve">Gram </v>
      </c>
      <c r="O462" s="40">
        <v>600</v>
      </c>
      <c r="P462" s="299">
        <f t="shared" si="29"/>
        <v>734.69387755102036</v>
      </c>
      <c r="Q462" s="105">
        <v>81.666666666666671</v>
      </c>
      <c r="R462" s="40">
        <v>10</v>
      </c>
      <c r="S462" s="40"/>
      <c r="T462" s="105">
        <f t="shared" si="28"/>
        <v>60</v>
      </c>
      <c r="U462" s="105">
        <f t="shared" si="30"/>
        <v>73.469387755102034</v>
      </c>
      <c r="V462" s="104">
        <f>IFERROR(VLOOKUP(L462,'Raw material list'!$A$2:$S$3102,6,0),0)</f>
        <v>5.8139534883720938E-3</v>
      </c>
      <c r="W462" s="104">
        <f t="shared" si="31"/>
        <v>0.42714760322733747</v>
      </c>
    </row>
    <row r="463" spans="1:23" hidden="1" x14ac:dyDescent="0.55000000000000004">
      <c r="A463" s="41" t="s">
        <v>1484</v>
      </c>
      <c r="B463" s="41" t="s">
        <v>35</v>
      </c>
      <c r="C463" s="41" t="s">
        <v>10</v>
      </c>
      <c r="D463" s="64" t="s">
        <v>1476</v>
      </c>
      <c r="E463" s="41" t="s">
        <v>1467</v>
      </c>
      <c r="F463" s="41" t="s">
        <v>2079</v>
      </c>
      <c r="G463" s="41" t="s">
        <v>11</v>
      </c>
      <c r="H463" s="41" t="s">
        <v>1773</v>
      </c>
      <c r="I463" s="41"/>
      <c r="J463" s="41"/>
      <c r="K463" s="41" t="str">
        <f>IFERROR(VLOOKUP(L463,'Raw material list'!$A$3:$C$715,3,0),"")</f>
        <v>PRD1-230</v>
      </c>
      <c r="L463" s="41" t="s">
        <v>70</v>
      </c>
      <c r="M463" s="40" t="s">
        <v>156</v>
      </c>
      <c r="N463" s="40" t="str">
        <f>VLOOKUP(L463,'Raw material list'!$A$3:$E$715,5,0)</f>
        <v xml:space="preserve">Gram </v>
      </c>
      <c r="O463" s="40">
        <v>700</v>
      </c>
      <c r="P463" s="299">
        <f t="shared" si="29"/>
        <v>944.66936572199745</v>
      </c>
      <c r="Q463" s="105">
        <v>74.099999999999994</v>
      </c>
      <c r="R463" s="40">
        <v>10</v>
      </c>
      <c r="S463" s="40"/>
      <c r="T463" s="105">
        <f t="shared" si="28"/>
        <v>70</v>
      </c>
      <c r="U463" s="105">
        <f t="shared" si="30"/>
        <v>94.466936572199742</v>
      </c>
      <c r="V463" s="104">
        <f>IFERROR(VLOOKUP(L463,'Raw material list'!$A$2:$S$3102,6,0),0)</f>
        <v>3.3738191632928472E-3</v>
      </c>
      <c r="W463" s="104">
        <f t="shared" si="31"/>
        <v>0.31871436090485739</v>
      </c>
    </row>
    <row r="464" spans="1:23" hidden="1" x14ac:dyDescent="0.55000000000000004">
      <c r="A464" s="41" t="s">
        <v>1484</v>
      </c>
      <c r="B464" s="41" t="s">
        <v>35</v>
      </c>
      <c r="C464" s="41" t="s">
        <v>10</v>
      </c>
      <c r="D464" s="64" t="s">
        <v>1476</v>
      </c>
      <c r="E464" s="41" t="s">
        <v>1467</v>
      </c>
      <c r="F464" s="41" t="s">
        <v>2079</v>
      </c>
      <c r="G464" s="41" t="s">
        <v>11</v>
      </c>
      <c r="H464" s="41" t="s">
        <v>1773</v>
      </c>
      <c r="I464" s="41"/>
      <c r="J464" s="41"/>
      <c r="K464" s="41" t="str">
        <f>IFERROR(VLOOKUP(L464,'Raw material list'!$A$3:$C$715,3,0),"")</f>
        <v>PRD2-3566</v>
      </c>
      <c r="L464" s="41" t="s">
        <v>123</v>
      </c>
      <c r="M464" s="40" t="s">
        <v>156</v>
      </c>
      <c r="N464" s="40" t="str">
        <f>VLOOKUP(L464,'Raw material list'!$A$3:$E$715,5,0)</f>
        <v xml:space="preserve">Gram </v>
      </c>
      <c r="O464" s="40">
        <v>300</v>
      </c>
      <c r="P464" s="299">
        <f t="shared" si="29"/>
        <v>300</v>
      </c>
      <c r="Q464" s="300">
        <v>100</v>
      </c>
      <c r="R464" s="40">
        <v>10</v>
      </c>
      <c r="S464" s="40"/>
      <c r="T464" s="105">
        <f t="shared" si="28"/>
        <v>30</v>
      </c>
      <c r="U464" s="105">
        <f t="shared" si="30"/>
        <v>30</v>
      </c>
      <c r="V464" s="104">
        <f>IFERROR(VLOOKUP(L464,'Raw material list'!$A$2:$S$3102,6,0),0)</f>
        <v>8.2249999999999997E-3</v>
      </c>
      <c r="W464" s="104">
        <f t="shared" si="31"/>
        <v>0.24675</v>
      </c>
    </row>
    <row r="465" spans="1:23" hidden="1" x14ac:dyDescent="0.55000000000000004">
      <c r="A465" s="41" t="s">
        <v>1484</v>
      </c>
      <c r="B465" s="41" t="s">
        <v>35</v>
      </c>
      <c r="C465" s="41" t="s">
        <v>10</v>
      </c>
      <c r="D465" s="64" t="s">
        <v>1476</v>
      </c>
      <c r="E465" s="41" t="s">
        <v>1467</v>
      </c>
      <c r="F465" s="41" t="s">
        <v>2079</v>
      </c>
      <c r="G465" s="41" t="s">
        <v>11</v>
      </c>
      <c r="H465" s="41" t="s">
        <v>1773</v>
      </c>
      <c r="I465" s="41"/>
      <c r="J465" s="41"/>
      <c r="K465" s="41" t="str">
        <f>IFERROR(VLOOKUP(L465,'Raw material list'!$A$3:$C$715,3,0),"")</f>
        <v>DRS6-1674</v>
      </c>
      <c r="L465" s="41" t="s">
        <v>73</v>
      </c>
      <c r="M465" s="40" t="s">
        <v>156</v>
      </c>
      <c r="N465" s="40" t="str">
        <f>VLOOKUP(L465,'Raw material list'!$A$3:$E$715,5,0)</f>
        <v xml:space="preserve">Gram </v>
      </c>
      <c r="O465" s="40">
        <v>3</v>
      </c>
      <c r="P465" s="299">
        <f t="shared" si="29"/>
        <v>3</v>
      </c>
      <c r="Q465" s="40">
        <v>100</v>
      </c>
      <c r="R465" s="40">
        <v>10</v>
      </c>
      <c r="S465" s="40"/>
      <c r="T465" s="105">
        <f t="shared" si="28"/>
        <v>0.3</v>
      </c>
      <c r="U465" s="105">
        <f t="shared" si="30"/>
        <v>0.3</v>
      </c>
      <c r="V465" s="104">
        <f>IFERROR(VLOOKUP(L465,'Raw material list'!$A$2:$S$3102,6,0),0)</f>
        <v>1.2500000000000001E-2</v>
      </c>
      <c r="W465" s="104">
        <f t="shared" si="31"/>
        <v>3.7499999999999999E-3</v>
      </c>
    </row>
    <row r="466" spans="1:23" hidden="1" x14ac:dyDescent="0.55000000000000004">
      <c r="A466" s="41" t="s">
        <v>1484</v>
      </c>
      <c r="B466" s="41" t="s">
        <v>35</v>
      </c>
      <c r="C466" s="41" t="s">
        <v>10</v>
      </c>
      <c r="D466" s="64" t="s">
        <v>1476</v>
      </c>
      <c r="E466" s="41" t="s">
        <v>1467</v>
      </c>
      <c r="F466" s="41" t="s">
        <v>2079</v>
      </c>
      <c r="G466" s="41" t="s">
        <v>11</v>
      </c>
      <c r="H466" s="41" t="s">
        <v>1773</v>
      </c>
      <c r="I466" s="41"/>
      <c r="J466" s="41"/>
      <c r="K466" s="41" t="str">
        <f>IFERROR(VLOOKUP(L466,'Raw material list'!$A$3:$C$715,3,0),"")</f>
        <v>DRS1-4417</v>
      </c>
      <c r="L466" s="41" t="s">
        <v>88</v>
      </c>
      <c r="M466" s="40" t="s">
        <v>156</v>
      </c>
      <c r="N466" s="40" t="str">
        <f>VLOOKUP(L466,'Raw material list'!$A$3:$E$715,5,0)</f>
        <v xml:space="preserve">Gram </v>
      </c>
      <c r="O466" s="40">
        <v>20</v>
      </c>
      <c r="P466" s="299">
        <f t="shared" si="29"/>
        <v>20</v>
      </c>
      <c r="Q466" s="40">
        <v>100</v>
      </c>
      <c r="R466" s="40">
        <v>10</v>
      </c>
      <c r="S466" s="40"/>
      <c r="T466" s="105">
        <f t="shared" si="28"/>
        <v>2</v>
      </c>
      <c r="U466" s="105">
        <f t="shared" si="30"/>
        <v>2</v>
      </c>
      <c r="V466" s="104">
        <f>IFERROR(VLOOKUP(L466,'Raw material list'!$A$2:$S$3102,6,0),0)</f>
        <v>3.6754545454545456E-2</v>
      </c>
      <c r="W466" s="104">
        <f t="shared" si="31"/>
        <v>7.3509090909090913E-2</v>
      </c>
    </row>
    <row r="467" spans="1:23" hidden="1" x14ac:dyDescent="0.55000000000000004">
      <c r="A467" s="41" t="s">
        <v>1484</v>
      </c>
      <c r="B467" s="41" t="s">
        <v>35</v>
      </c>
      <c r="C467" s="41" t="s">
        <v>10</v>
      </c>
      <c r="D467" s="64" t="s">
        <v>1476</v>
      </c>
      <c r="E467" s="41" t="s">
        <v>1467</v>
      </c>
      <c r="F467" s="41" t="s">
        <v>2079</v>
      </c>
      <c r="G467" s="41" t="s">
        <v>11</v>
      </c>
      <c r="H467" s="41" t="s">
        <v>1773</v>
      </c>
      <c r="I467" s="41"/>
      <c r="J467" s="41"/>
      <c r="K467" s="41" t="str">
        <f>IFERROR(VLOOKUP(L467,'Raw material list'!$A$3:$C$715,3,0),"")</f>
        <v>DRS5-3619</v>
      </c>
      <c r="L467" s="41" t="s">
        <v>134</v>
      </c>
      <c r="M467" s="40" t="s">
        <v>156</v>
      </c>
      <c r="N467" s="40" t="str">
        <f>VLOOKUP(L467,'Raw material list'!$A$3:$E$715,5,0)</f>
        <v xml:space="preserve">Gram </v>
      </c>
      <c r="O467" s="40">
        <v>150</v>
      </c>
      <c r="P467" s="299">
        <f t="shared" si="29"/>
        <v>150</v>
      </c>
      <c r="Q467" s="40">
        <v>100</v>
      </c>
      <c r="R467" s="40">
        <v>10</v>
      </c>
      <c r="S467" s="40"/>
      <c r="T467" s="105">
        <f t="shared" si="28"/>
        <v>15</v>
      </c>
      <c r="U467" s="105">
        <f t="shared" si="30"/>
        <v>15</v>
      </c>
      <c r="V467" s="104">
        <f>IFERROR(VLOOKUP(L467,'Raw material list'!$A$2:$S$3102,6,0),0)</f>
        <v>1.2857142857142857E-2</v>
      </c>
      <c r="W467" s="104">
        <f t="shared" si="31"/>
        <v>0.19285714285714287</v>
      </c>
    </row>
    <row r="468" spans="1:23" hidden="1" x14ac:dyDescent="0.55000000000000004">
      <c r="A468" s="41" t="s">
        <v>1484</v>
      </c>
      <c r="B468" s="41" t="s">
        <v>35</v>
      </c>
      <c r="C468" s="41" t="s">
        <v>10</v>
      </c>
      <c r="D468" s="64" t="s">
        <v>1476</v>
      </c>
      <c r="E468" s="41" t="s">
        <v>1467</v>
      </c>
      <c r="F468" s="41" t="s">
        <v>2079</v>
      </c>
      <c r="G468" s="41" t="s">
        <v>11</v>
      </c>
      <c r="H468" s="41" t="s">
        <v>1773</v>
      </c>
      <c r="I468" s="41"/>
      <c r="J468" s="41"/>
      <c r="K468" s="41" t="str">
        <f>IFERROR(VLOOKUP(L468,'Raw material list'!$A$3:$C$715,3,0),"")</f>
        <v>PRD1-195</v>
      </c>
      <c r="L468" s="41" t="s">
        <v>90</v>
      </c>
      <c r="M468" s="40" t="s">
        <v>156</v>
      </c>
      <c r="N468" s="40" t="str">
        <f>VLOOKUP(L468,'Raw material list'!$A$3:$E$715,5,0)</f>
        <v xml:space="preserve">Gram </v>
      </c>
      <c r="O468" s="40">
        <v>25</v>
      </c>
      <c r="P468" s="299">
        <f t="shared" si="29"/>
        <v>58.593749999999986</v>
      </c>
      <c r="Q468" s="105">
        <v>42.666666666666671</v>
      </c>
      <c r="R468" s="40">
        <v>10</v>
      </c>
      <c r="S468" s="40"/>
      <c r="T468" s="105">
        <f t="shared" si="28"/>
        <v>2.5</v>
      </c>
      <c r="U468" s="105">
        <f t="shared" si="30"/>
        <v>5.8593749999999982</v>
      </c>
      <c r="V468" s="104">
        <f>IFERROR(VLOOKUP(L468,'Raw material list'!$A$2:$S$3102,6,0),0)</f>
        <v>9.3676814988290415E-3</v>
      </c>
      <c r="W468" s="104">
        <f t="shared" si="31"/>
        <v>5.4888758782201397E-2</v>
      </c>
    </row>
    <row r="469" spans="1:23" hidden="1" x14ac:dyDescent="0.55000000000000004">
      <c r="A469" s="41" t="s">
        <v>1484</v>
      </c>
      <c r="B469" s="41" t="s">
        <v>35</v>
      </c>
      <c r="C469" s="41" t="s">
        <v>10</v>
      </c>
      <c r="D469" s="64" t="s">
        <v>1476</v>
      </c>
      <c r="E469" s="41" t="s">
        <v>1467</v>
      </c>
      <c r="F469" s="41" t="s">
        <v>2079</v>
      </c>
      <c r="G469" s="41" t="s">
        <v>11</v>
      </c>
      <c r="H469" s="41" t="s">
        <v>1773</v>
      </c>
      <c r="I469" s="41"/>
      <c r="J469" s="41"/>
      <c r="K469" s="41" t="str">
        <f>IFERROR(VLOOKUP(L469,'Raw material list'!$A$3:$C$715,3,0),"")</f>
        <v>TAP-00001</v>
      </c>
      <c r="L469" s="41" t="s">
        <v>1405</v>
      </c>
      <c r="M469" s="40" t="s">
        <v>206</v>
      </c>
      <c r="N469" s="40" t="str">
        <f>VLOOKUP(L469,'Raw material list'!$A$3:$E$715,5,0)</f>
        <v>Ml</v>
      </c>
      <c r="O469" s="40">
        <v>1000</v>
      </c>
      <c r="P469" s="299">
        <f t="shared" si="29"/>
        <v>1000</v>
      </c>
      <c r="Q469" s="300">
        <v>100</v>
      </c>
      <c r="R469" s="40">
        <v>10</v>
      </c>
      <c r="S469" s="40"/>
      <c r="T469" s="105">
        <f t="shared" si="28"/>
        <v>100</v>
      </c>
      <c r="U469" s="105">
        <f t="shared" si="30"/>
        <v>100</v>
      </c>
      <c r="V469" s="104">
        <f>IFERROR(VLOOKUP(L469,'Raw material list'!$A$2:$S$3102,6,0),0)</f>
        <v>8.0000000000000007E-5</v>
      </c>
      <c r="W469" s="104">
        <f t="shared" si="31"/>
        <v>8.0000000000000002E-3</v>
      </c>
    </row>
    <row r="470" spans="1:23" hidden="1" x14ac:dyDescent="0.55000000000000004">
      <c r="A470" s="41" t="s">
        <v>1484</v>
      </c>
      <c r="B470" s="41" t="s">
        <v>35</v>
      </c>
      <c r="C470" s="41" t="s">
        <v>10</v>
      </c>
      <c r="D470" s="64" t="s">
        <v>1476</v>
      </c>
      <c r="E470" s="41" t="s">
        <v>1467</v>
      </c>
      <c r="F470" s="41" t="s">
        <v>2079</v>
      </c>
      <c r="G470" s="41" t="s">
        <v>11</v>
      </c>
      <c r="H470" s="41" t="s">
        <v>1773</v>
      </c>
      <c r="I470" s="41"/>
      <c r="J470" s="41"/>
      <c r="K470" s="41" t="str">
        <f>IFERROR(VLOOKUP(L470,'Raw material list'!$A$3:$C$715,3,0),"")</f>
        <v>DRS4-498</v>
      </c>
      <c r="L470" s="41" t="s">
        <v>72</v>
      </c>
      <c r="M470" s="40" t="s">
        <v>156</v>
      </c>
      <c r="N470" s="40" t="str">
        <f>VLOOKUP(L470,'Raw material list'!$A$3:$E$715,5,0)</f>
        <v xml:space="preserve">Gram </v>
      </c>
      <c r="O470" s="40">
        <v>1000</v>
      </c>
      <c r="P470" s="299">
        <f t="shared" si="29"/>
        <v>1000</v>
      </c>
      <c r="Q470" s="40">
        <v>100</v>
      </c>
      <c r="R470" s="40">
        <v>10</v>
      </c>
      <c r="S470" s="40"/>
      <c r="T470" s="105">
        <f t="shared" si="28"/>
        <v>100</v>
      </c>
      <c r="U470" s="105">
        <f t="shared" si="30"/>
        <v>100</v>
      </c>
      <c r="V470" s="104">
        <f>IFERROR(VLOOKUP(L470,'Raw material list'!$A$2:$S$3102,6,0),0)</f>
        <v>5.7499999999999999E-3</v>
      </c>
      <c r="W470" s="104">
        <f t="shared" si="31"/>
        <v>0.57499999999999996</v>
      </c>
    </row>
    <row r="471" spans="1:23" hidden="1" x14ac:dyDescent="0.55000000000000004">
      <c r="A471" s="41" t="s">
        <v>1484</v>
      </c>
      <c r="B471" s="41" t="s">
        <v>35</v>
      </c>
      <c r="C471" s="41" t="s">
        <v>10</v>
      </c>
      <c r="D471" s="64" t="s">
        <v>1476</v>
      </c>
      <c r="E471" s="41" t="s">
        <v>1467</v>
      </c>
      <c r="F471" s="41" t="s">
        <v>2079</v>
      </c>
      <c r="G471" s="41" t="s">
        <v>11</v>
      </c>
      <c r="H471" s="41" t="s">
        <v>1773</v>
      </c>
      <c r="I471" s="41"/>
      <c r="J471" s="41"/>
      <c r="K471" s="41" t="str">
        <f>IFERROR(VLOOKUP(L471,'Raw material list'!$A$3:$C$715,3,0),"")</f>
        <v>TAP-00001</v>
      </c>
      <c r="L471" s="41" t="s">
        <v>1405</v>
      </c>
      <c r="M471" s="40" t="s">
        <v>206</v>
      </c>
      <c r="N471" s="40" t="str">
        <f>VLOOKUP(L471,'Raw material list'!$A$3:$E$715,5,0)</f>
        <v>Ml</v>
      </c>
      <c r="O471" s="40">
        <v>1600</v>
      </c>
      <c r="P471" s="299">
        <f t="shared" si="29"/>
        <v>1600</v>
      </c>
      <c r="Q471" s="40">
        <v>100</v>
      </c>
      <c r="R471" s="40">
        <v>10</v>
      </c>
      <c r="S471" s="40"/>
      <c r="T471" s="105">
        <f t="shared" si="28"/>
        <v>160</v>
      </c>
      <c r="U471" s="105">
        <f t="shared" si="30"/>
        <v>160</v>
      </c>
      <c r="V471" s="104">
        <f>IFERROR(VLOOKUP(L471,'Raw material list'!$A$2:$S$3102,6,0),0)</f>
        <v>8.0000000000000007E-5</v>
      </c>
      <c r="W471" s="104">
        <f t="shared" si="31"/>
        <v>1.2800000000000001E-2</v>
      </c>
    </row>
    <row r="472" spans="1:23" hidden="1" x14ac:dyDescent="0.55000000000000004">
      <c r="A472" s="41" t="s">
        <v>1484</v>
      </c>
      <c r="B472" s="41" t="s">
        <v>35</v>
      </c>
      <c r="C472" s="41" t="s">
        <v>10</v>
      </c>
      <c r="D472" s="64" t="s">
        <v>1476</v>
      </c>
      <c r="E472" s="41" t="s">
        <v>1467</v>
      </c>
      <c r="F472" s="41" t="s">
        <v>2079</v>
      </c>
      <c r="G472" s="41" t="s">
        <v>11</v>
      </c>
      <c r="H472" s="41" t="s">
        <v>1773</v>
      </c>
      <c r="I472" s="41"/>
      <c r="J472" s="41"/>
      <c r="K472" s="41" t="str">
        <f>IFERROR(VLOOKUP(L472,'Raw material list'!$A$3:$C$715,3,0),"")</f>
        <v>DRS1-3880</v>
      </c>
      <c r="L472" s="41" t="s">
        <v>1433</v>
      </c>
      <c r="M472" s="40" t="s">
        <v>156</v>
      </c>
      <c r="N472" s="40" t="str">
        <f>VLOOKUP(L472,'Raw material list'!$A$3:$E$715,5,0)</f>
        <v xml:space="preserve">Gram </v>
      </c>
      <c r="O472" s="40">
        <v>8</v>
      </c>
      <c r="P472" s="299">
        <f t="shared" si="29"/>
        <v>8</v>
      </c>
      <c r="Q472" s="40">
        <v>100</v>
      </c>
      <c r="R472" s="40">
        <v>10</v>
      </c>
      <c r="S472" s="40"/>
      <c r="T472" s="105">
        <f t="shared" si="28"/>
        <v>0.8</v>
      </c>
      <c r="U472" s="105">
        <f t="shared" si="30"/>
        <v>0.8</v>
      </c>
      <c r="V472" s="104">
        <f>IFERROR(VLOOKUP(L472,'Raw material list'!$A$2:$S$3102,6,0),0)</f>
        <v>5.0000000000000001E-4</v>
      </c>
      <c r="W472" s="104">
        <f t="shared" si="31"/>
        <v>4.0000000000000002E-4</v>
      </c>
    </row>
    <row r="473" spans="1:23" hidden="1" x14ac:dyDescent="0.55000000000000004">
      <c r="A473" s="41" t="s">
        <v>1484</v>
      </c>
      <c r="B473" s="41" t="s">
        <v>35</v>
      </c>
      <c r="C473" s="41" t="s">
        <v>10</v>
      </c>
      <c r="D473" s="64" t="s">
        <v>1476</v>
      </c>
      <c r="E473" s="41" t="s">
        <v>1467</v>
      </c>
      <c r="F473" s="41" t="s">
        <v>2079</v>
      </c>
      <c r="G473" s="41" t="s">
        <v>11</v>
      </c>
      <c r="H473" s="41" t="s">
        <v>1773</v>
      </c>
      <c r="I473" s="41"/>
      <c r="J473" s="41"/>
      <c r="K473" s="41" t="str">
        <f>IFERROR(VLOOKUP(L473,'Raw material list'!$A$3:$C$715,3,0),"")</f>
        <v>DRS6-3593</v>
      </c>
      <c r="L473" s="41" t="s">
        <v>1407</v>
      </c>
      <c r="M473" s="40" t="s">
        <v>156</v>
      </c>
      <c r="N473" s="40" t="str">
        <f>VLOOKUP(L473,'Raw material list'!$A$3:$E$715,5,0)</f>
        <v xml:space="preserve">Gram </v>
      </c>
      <c r="O473" s="40">
        <v>1</v>
      </c>
      <c r="P473" s="299">
        <f t="shared" si="29"/>
        <v>1</v>
      </c>
      <c r="Q473" s="40">
        <v>100</v>
      </c>
      <c r="R473" s="40">
        <v>10</v>
      </c>
      <c r="S473" s="40"/>
      <c r="T473" s="105">
        <f t="shared" si="28"/>
        <v>0.1</v>
      </c>
      <c r="U473" s="105">
        <f t="shared" si="30"/>
        <v>0.1</v>
      </c>
      <c r="V473" s="104">
        <f>IFERROR(VLOOKUP(L473,'Raw material list'!$A$2:$S$3102,6,0),0)</f>
        <v>8.0000000000000002E-3</v>
      </c>
      <c r="W473" s="104">
        <f t="shared" si="31"/>
        <v>8.0000000000000004E-4</v>
      </c>
    </row>
    <row r="474" spans="1:23" hidden="1" x14ac:dyDescent="0.55000000000000004">
      <c r="A474" s="41" t="s">
        <v>1484</v>
      </c>
      <c r="B474" s="41" t="s">
        <v>35</v>
      </c>
      <c r="C474" s="41" t="s">
        <v>10</v>
      </c>
      <c r="D474" s="64" t="s">
        <v>1476</v>
      </c>
      <c r="E474" s="41" t="s">
        <v>1467</v>
      </c>
      <c r="F474" s="41" t="s">
        <v>2079</v>
      </c>
      <c r="G474" s="41" t="s">
        <v>11</v>
      </c>
      <c r="H474" s="41" t="s">
        <v>1773</v>
      </c>
      <c r="I474" s="41"/>
      <c r="J474" s="41"/>
      <c r="K474" s="41" t="str">
        <f>IFERROR(VLOOKUP(L474,'Raw material list'!$A$3:$C$715,3,0),"")</f>
        <v>DRS6-261</v>
      </c>
      <c r="L474" s="56" t="s">
        <v>1406</v>
      </c>
      <c r="M474" s="40" t="s">
        <v>156</v>
      </c>
      <c r="N474" s="40" t="str">
        <f>VLOOKUP(L474,'Raw material list'!$A$3:$E$715,5,0)</f>
        <v xml:space="preserve">Gram </v>
      </c>
      <c r="O474" s="40">
        <v>1</v>
      </c>
      <c r="P474" s="299">
        <f t="shared" si="29"/>
        <v>1</v>
      </c>
      <c r="Q474" s="40">
        <v>100</v>
      </c>
      <c r="R474" s="40">
        <v>10</v>
      </c>
      <c r="S474" s="40"/>
      <c r="T474" s="105">
        <f t="shared" si="28"/>
        <v>0.1</v>
      </c>
      <c r="U474" s="105">
        <f t="shared" si="30"/>
        <v>0.1</v>
      </c>
      <c r="V474" s="104">
        <f>IFERROR(VLOOKUP(L474,'Raw material list'!$A$2:$S$3102,6,0),0)</f>
        <v>1.4E-2</v>
      </c>
      <c r="W474" s="104">
        <f t="shared" si="31"/>
        <v>1.4000000000000002E-3</v>
      </c>
    </row>
    <row r="475" spans="1:23" hidden="1" x14ac:dyDescent="0.55000000000000004">
      <c r="A475" s="41" t="s">
        <v>1484</v>
      </c>
      <c r="B475" s="41" t="s">
        <v>35</v>
      </c>
      <c r="C475" s="41" t="s">
        <v>10</v>
      </c>
      <c r="D475" s="64" t="s">
        <v>1476</v>
      </c>
      <c r="E475" s="41" t="s">
        <v>1467</v>
      </c>
      <c r="F475" s="41" t="s">
        <v>2079</v>
      </c>
      <c r="G475" s="41" t="s">
        <v>11</v>
      </c>
      <c r="H475" s="41" t="s">
        <v>1773</v>
      </c>
      <c r="I475" s="41"/>
      <c r="J475" s="41"/>
      <c r="K475" s="41" t="str">
        <f>IFERROR(VLOOKUP(L475,'Raw material list'!$A$3:$C$715,3,0),"")</f>
        <v>DRS3-1813</v>
      </c>
      <c r="L475" s="41" t="s">
        <v>69</v>
      </c>
      <c r="M475" s="40" t="s">
        <v>206</v>
      </c>
      <c r="N475" s="40" t="str">
        <f>VLOOKUP(L475,'Raw material list'!$A$3:$E$715,5,0)</f>
        <v>Ml</v>
      </c>
      <c r="O475" s="40">
        <v>30</v>
      </c>
      <c r="P475" s="299">
        <f t="shared" si="29"/>
        <v>30</v>
      </c>
      <c r="Q475" s="40">
        <v>100</v>
      </c>
      <c r="R475" s="40">
        <v>10</v>
      </c>
      <c r="S475" s="40"/>
      <c r="T475" s="105">
        <f t="shared" si="28"/>
        <v>3</v>
      </c>
      <c r="U475" s="105">
        <f t="shared" si="30"/>
        <v>3</v>
      </c>
      <c r="V475" s="104">
        <f>IFERROR(VLOOKUP(L475,'Raw material list'!$A$2:$S$3102,6,0),0)</f>
        <v>8.0555555555555554E-3</v>
      </c>
      <c r="W475" s="104">
        <f t="shared" si="31"/>
        <v>2.4166666666666666E-2</v>
      </c>
    </row>
    <row r="476" spans="1:23" hidden="1" x14ac:dyDescent="0.55000000000000004">
      <c r="A476" s="41" t="s">
        <v>1485</v>
      </c>
      <c r="B476" s="41" t="s">
        <v>35</v>
      </c>
      <c r="C476" s="41" t="s">
        <v>10</v>
      </c>
      <c r="D476" s="41" t="s">
        <v>1477</v>
      </c>
      <c r="E476" s="41" t="s">
        <v>1467</v>
      </c>
      <c r="F476" s="41" t="s">
        <v>2081</v>
      </c>
      <c r="G476" s="41" t="s">
        <v>11</v>
      </c>
      <c r="H476" s="41" t="s">
        <v>1774</v>
      </c>
      <c r="I476" s="41"/>
      <c r="J476" s="41"/>
      <c r="K476" s="41" t="str">
        <f>IFERROR(VLOOKUP(L476,'Raw material list'!$A$3:$C$715,3,0),"")</f>
        <v>MET2-585</v>
      </c>
      <c r="L476" s="41" t="s">
        <v>53</v>
      </c>
      <c r="M476" s="40" t="s">
        <v>156</v>
      </c>
      <c r="N476" s="40" t="str">
        <f>VLOOKUP(L476,'Raw material list'!$A$3:$E$715,5,0)</f>
        <v xml:space="preserve">Gram </v>
      </c>
      <c r="O476" s="40">
        <v>1000</v>
      </c>
      <c r="P476" s="299">
        <f t="shared" si="29"/>
        <v>1154.7344110854506</v>
      </c>
      <c r="Q476" s="40">
        <v>86.6</v>
      </c>
      <c r="R476" s="40">
        <v>10</v>
      </c>
      <c r="S476" s="40"/>
      <c r="T476" s="105">
        <f t="shared" si="28"/>
        <v>100</v>
      </c>
      <c r="U476" s="105">
        <f t="shared" si="30"/>
        <v>115.47344110854506</v>
      </c>
      <c r="V476" s="104">
        <f>IFERROR(VLOOKUP(L476,'Raw material list'!$A$2:$S$3102,6,0),0)</f>
        <v>4.2630057803468215E-2</v>
      </c>
      <c r="W476" s="104">
        <f t="shared" si="31"/>
        <v>4.9226394692226583</v>
      </c>
    </row>
    <row r="477" spans="1:23" hidden="1" x14ac:dyDescent="0.55000000000000004">
      <c r="A477" s="41" t="s">
        <v>1485</v>
      </c>
      <c r="B477" s="41" t="s">
        <v>35</v>
      </c>
      <c r="C477" s="41" t="s">
        <v>10</v>
      </c>
      <c r="D477" s="41" t="s">
        <v>1477</v>
      </c>
      <c r="E477" s="41" t="s">
        <v>1467</v>
      </c>
      <c r="F477" s="41" t="s">
        <v>2079</v>
      </c>
      <c r="G477" s="41" t="s">
        <v>11</v>
      </c>
      <c r="H477" s="41" t="s">
        <v>1774</v>
      </c>
      <c r="I477" s="41"/>
      <c r="J477" s="41"/>
      <c r="K477" s="41" t="str">
        <f>IFERROR(VLOOKUP(L477,'Raw material list'!$A$3:$C$715,3,0),"")</f>
        <v>DRS3-1813</v>
      </c>
      <c r="L477" s="41" t="s">
        <v>69</v>
      </c>
      <c r="M477" s="40" t="s">
        <v>206</v>
      </c>
      <c r="N477" s="40" t="str">
        <f>VLOOKUP(L477,'Raw material list'!$A$3:$E$715,5,0)</f>
        <v>Ml</v>
      </c>
      <c r="O477" s="40">
        <v>40</v>
      </c>
      <c r="P477" s="299">
        <f t="shared" si="29"/>
        <v>40</v>
      </c>
      <c r="Q477" s="40">
        <v>100</v>
      </c>
      <c r="R477" s="40">
        <v>10</v>
      </c>
      <c r="S477" s="40"/>
      <c r="T477" s="105">
        <f t="shared" si="28"/>
        <v>4</v>
      </c>
      <c r="U477" s="105">
        <f t="shared" si="30"/>
        <v>4</v>
      </c>
      <c r="V477" s="104">
        <f>IFERROR(VLOOKUP(L477,'Raw material list'!$A$2:$S$3102,6,0),0)</f>
        <v>8.0555555555555554E-3</v>
      </c>
      <c r="W477" s="104">
        <f t="shared" si="31"/>
        <v>3.2222222222222222E-2</v>
      </c>
    </row>
    <row r="478" spans="1:23" hidden="1" x14ac:dyDescent="0.55000000000000004">
      <c r="A478" s="41" t="s">
        <v>1485</v>
      </c>
      <c r="B478" s="41" t="s">
        <v>35</v>
      </c>
      <c r="C478" s="41" t="s">
        <v>10</v>
      </c>
      <c r="D478" s="41" t="s">
        <v>1477</v>
      </c>
      <c r="E478" s="41" t="s">
        <v>1467</v>
      </c>
      <c r="F478" s="41" t="s">
        <v>2079</v>
      </c>
      <c r="G478" s="41" t="s">
        <v>11</v>
      </c>
      <c r="H478" s="41" t="s">
        <v>1774</v>
      </c>
      <c r="I478" s="41"/>
      <c r="J478" s="41"/>
      <c r="K478" s="41" t="str">
        <f>IFERROR(VLOOKUP(L478,'Raw material list'!$A$3:$C$715,3,0),"")</f>
        <v>PRD1-4265</v>
      </c>
      <c r="L478" s="41" t="s">
        <v>38</v>
      </c>
      <c r="M478" s="40" t="s">
        <v>156</v>
      </c>
      <c r="N478" s="40" t="str">
        <f>VLOOKUP(L478,'Raw material list'!$A$3:$E$715,5,0)</f>
        <v xml:space="preserve">Gram </v>
      </c>
      <c r="O478" s="40">
        <v>150</v>
      </c>
      <c r="P478" s="299">
        <f t="shared" si="29"/>
        <v>176.47058823529412</v>
      </c>
      <c r="Q478" s="105">
        <v>85</v>
      </c>
      <c r="R478" s="40">
        <v>10</v>
      </c>
      <c r="S478" s="40"/>
      <c r="T478" s="105">
        <f t="shared" si="28"/>
        <v>15</v>
      </c>
      <c r="U478" s="105">
        <f t="shared" si="30"/>
        <v>17.647058823529413</v>
      </c>
      <c r="V478" s="104">
        <f>IFERROR(VLOOKUP(L478,'Raw material list'!$A$2:$S$3102,6,0),0)</f>
        <v>3.529411764705882E-3</v>
      </c>
      <c r="W478" s="104">
        <f t="shared" si="31"/>
        <v>6.228373702422145E-2</v>
      </c>
    </row>
    <row r="479" spans="1:23" hidden="1" x14ac:dyDescent="0.55000000000000004">
      <c r="A479" s="41" t="s">
        <v>1485</v>
      </c>
      <c r="B479" s="41" t="s">
        <v>35</v>
      </c>
      <c r="C479" s="41" t="s">
        <v>10</v>
      </c>
      <c r="D479" s="41" t="s">
        <v>1477</v>
      </c>
      <c r="E479" s="41" t="s">
        <v>1467</v>
      </c>
      <c r="F479" s="41" t="s">
        <v>2079</v>
      </c>
      <c r="G479" s="41" t="s">
        <v>11</v>
      </c>
      <c r="H479" s="41" t="s">
        <v>1774</v>
      </c>
      <c r="I479" s="41"/>
      <c r="J479" s="41"/>
      <c r="K479" s="41" t="str">
        <f>IFERROR(VLOOKUP(L479,'Raw material list'!$A$3:$C$715,3,0),"")</f>
        <v>PRD1-4327</v>
      </c>
      <c r="L479" s="41" t="s">
        <v>39</v>
      </c>
      <c r="M479" s="40" t="s">
        <v>156</v>
      </c>
      <c r="N479" s="40" t="str">
        <f>VLOOKUP(L479,'Raw material list'!$A$3:$E$715,5,0)</f>
        <v xml:space="preserve">Gram </v>
      </c>
      <c r="O479" s="40">
        <v>20</v>
      </c>
      <c r="P479" s="299">
        <f t="shared" si="29"/>
        <v>24.096385542168676</v>
      </c>
      <c r="Q479" s="105">
        <v>83</v>
      </c>
      <c r="R479" s="40">
        <v>10</v>
      </c>
      <c r="S479" s="40"/>
      <c r="T479" s="105">
        <f t="shared" si="28"/>
        <v>2</v>
      </c>
      <c r="U479" s="105">
        <f t="shared" si="30"/>
        <v>2.4096385542168677</v>
      </c>
      <c r="V479" s="104">
        <f>IFERROR(VLOOKUP(L479,'Raw material list'!$A$2:$S$3102,6,0),0)</f>
        <v>1.2999999999999999E-2</v>
      </c>
      <c r="W479" s="104">
        <f t="shared" si="31"/>
        <v>3.1325301204819279E-2</v>
      </c>
    </row>
    <row r="480" spans="1:23" hidden="1" x14ac:dyDescent="0.55000000000000004">
      <c r="A480" s="41" t="s">
        <v>1485</v>
      </c>
      <c r="B480" s="41" t="s">
        <v>35</v>
      </c>
      <c r="C480" s="41" t="s">
        <v>10</v>
      </c>
      <c r="D480" s="41" t="s">
        <v>1477</v>
      </c>
      <c r="E480" s="41" t="s">
        <v>1467</v>
      </c>
      <c r="F480" s="41" t="s">
        <v>2079</v>
      </c>
      <c r="G480" s="41" t="s">
        <v>11</v>
      </c>
      <c r="H480" s="41" t="s">
        <v>1774</v>
      </c>
      <c r="I480" s="41"/>
      <c r="J480" s="41"/>
      <c r="K480" s="41" t="str">
        <f>IFERROR(VLOOKUP(L480,'Raw material list'!$A$3:$C$715,3,0),"")</f>
        <v>DRS6-549</v>
      </c>
      <c r="L480" s="41" t="s">
        <v>753</v>
      </c>
      <c r="M480" s="40" t="s">
        <v>156</v>
      </c>
      <c r="N480" s="40" t="str">
        <f>VLOOKUP(L480,'Raw material list'!$A$3:$E$715,5,0)</f>
        <v xml:space="preserve">Gram </v>
      </c>
      <c r="O480" s="40">
        <v>20</v>
      </c>
      <c r="P480" s="299">
        <f t="shared" si="29"/>
        <v>20</v>
      </c>
      <c r="Q480" s="300">
        <v>100</v>
      </c>
      <c r="R480" s="40">
        <v>10</v>
      </c>
      <c r="S480" s="40"/>
      <c r="T480" s="105">
        <f t="shared" si="28"/>
        <v>2</v>
      </c>
      <c r="U480" s="105">
        <f t="shared" si="30"/>
        <v>2</v>
      </c>
      <c r="V480" s="104">
        <f>IFERROR(VLOOKUP(L480,'Raw material list'!$A$2:$S$3102,6,0),0)</f>
        <v>3.5999999999999997E-2</v>
      </c>
      <c r="W480" s="104">
        <f t="shared" si="31"/>
        <v>7.1999999999999995E-2</v>
      </c>
    </row>
    <row r="481" spans="1:23" hidden="1" x14ac:dyDescent="0.55000000000000004">
      <c r="A481" s="41" t="s">
        <v>1485</v>
      </c>
      <c r="B481" s="41" t="s">
        <v>35</v>
      </c>
      <c r="C481" s="41" t="s">
        <v>10</v>
      </c>
      <c r="D481" s="41" t="s">
        <v>1477</v>
      </c>
      <c r="E481" s="41" t="s">
        <v>1467</v>
      </c>
      <c r="F481" s="41" t="s">
        <v>2079</v>
      </c>
      <c r="G481" s="41" t="s">
        <v>11</v>
      </c>
      <c r="H481" s="41" t="s">
        <v>1774</v>
      </c>
      <c r="I481" s="41"/>
      <c r="J481" s="41"/>
      <c r="K481" s="41" t="str">
        <f>IFERROR(VLOOKUP(L481,'Raw material list'!$A$3:$C$715,3,0),"")</f>
        <v>PRD1-185</v>
      </c>
      <c r="L481" s="41" t="s">
        <v>79</v>
      </c>
      <c r="M481" s="40" t="s">
        <v>156</v>
      </c>
      <c r="N481" s="40" t="str">
        <f>VLOOKUP(L481,'Raw material list'!$A$3:$E$715,5,0)</f>
        <v xml:space="preserve">Gram </v>
      </c>
      <c r="O481" s="40">
        <v>500</v>
      </c>
      <c r="P481" s="299">
        <f t="shared" si="29"/>
        <v>742.57425742574264</v>
      </c>
      <c r="Q481" s="105">
        <v>67.333333333333329</v>
      </c>
      <c r="R481" s="40">
        <v>10</v>
      </c>
      <c r="S481" s="40"/>
      <c r="T481" s="105">
        <f t="shared" si="28"/>
        <v>50</v>
      </c>
      <c r="U481" s="105">
        <f t="shared" si="30"/>
        <v>74.25742574257427</v>
      </c>
      <c r="V481" s="104">
        <f>IFERROR(VLOOKUP(L481,'Raw material list'!$A$2:$S$3102,6,0),0)</f>
        <v>4.4576523031203555E-3</v>
      </c>
      <c r="W481" s="104">
        <f t="shared" si="31"/>
        <v>0.33101378488517497</v>
      </c>
    </row>
    <row r="482" spans="1:23" hidden="1" x14ac:dyDescent="0.55000000000000004">
      <c r="A482" s="41" t="s">
        <v>1485</v>
      </c>
      <c r="B482" s="41" t="s">
        <v>35</v>
      </c>
      <c r="C482" s="41" t="s">
        <v>10</v>
      </c>
      <c r="D482" s="41" t="s">
        <v>1477</v>
      </c>
      <c r="E482" s="41" t="s">
        <v>1467</v>
      </c>
      <c r="F482" s="41" t="s">
        <v>2079</v>
      </c>
      <c r="G482" s="41" t="s">
        <v>11</v>
      </c>
      <c r="H482" s="41" t="s">
        <v>1774</v>
      </c>
      <c r="I482" s="41"/>
      <c r="J482" s="41"/>
      <c r="K482" s="41" t="str">
        <f>IFERROR(VLOOKUP(L482,'Raw material list'!$A$3:$C$715,3,0),"")</f>
        <v>PRD1-239</v>
      </c>
      <c r="L482" s="41" t="s">
        <v>1056</v>
      </c>
      <c r="M482" s="40" t="s">
        <v>156</v>
      </c>
      <c r="N482" s="40" t="str">
        <f>VLOOKUP(L482,'Raw material list'!$A$3:$E$715,5,0)</f>
        <v xml:space="preserve">Gram </v>
      </c>
      <c r="O482" s="40">
        <v>100</v>
      </c>
      <c r="P482" s="299">
        <f t="shared" si="29"/>
        <v>148.51485148514854</v>
      </c>
      <c r="Q482" s="105">
        <v>67.333333333333329</v>
      </c>
      <c r="R482" s="40">
        <v>10</v>
      </c>
      <c r="S482" s="40"/>
      <c r="T482" s="105">
        <f t="shared" si="28"/>
        <v>10</v>
      </c>
      <c r="U482" s="105">
        <f t="shared" si="30"/>
        <v>14.851485148514854</v>
      </c>
      <c r="V482" s="104">
        <f>IFERROR(VLOOKUP(L482,'Raw material list'!$A$2:$S$3102,6,0),0)</f>
        <v>6.6864784546805346E-3</v>
      </c>
      <c r="W482" s="104">
        <f t="shared" si="31"/>
        <v>9.9304135465552515E-2</v>
      </c>
    </row>
    <row r="483" spans="1:23" hidden="1" x14ac:dyDescent="0.55000000000000004">
      <c r="A483" s="41" t="s">
        <v>1485</v>
      </c>
      <c r="B483" s="41" t="s">
        <v>35</v>
      </c>
      <c r="C483" s="41" t="s">
        <v>10</v>
      </c>
      <c r="D483" s="41" t="s">
        <v>1477</v>
      </c>
      <c r="E483" s="41" t="s">
        <v>1467</v>
      </c>
      <c r="F483" s="41" t="s">
        <v>2079</v>
      </c>
      <c r="G483" s="41" t="s">
        <v>11</v>
      </c>
      <c r="H483" s="41" t="s">
        <v>1774</v>
      </c>
      <c r="I483" s="41"/>
      <c r="J483" s="41"/>
      <c r="K483" s="41" t="str">
        <f>IFERROR(VLOOKUP(L483,'Raw material list'!$A$3:$C$715,3,0),"")</f>
        <v>PRD1-240</v>
      </c>
      <c r="L483" s="41" t="s">
        <v>82</v>
      </c>
      <c r="M483" s="40" t="s">
        <v>156</v>
      </c>
      <c r="N483" s="40" t="str">
        <f>VLOOKUP(L483,'Raw material list'!$A$3:$E$715,5,0)</f>
        <v xml:space="preserve">Gram </v>
      </c>
      <c r="O483" s="40">
        <v>100</v>
      </c>
      <c r="P483" s="299">
        <f t="shared" si="29"/>
        <v>147.78325123152712</v>
      </c>
      <c r="Q483" s="105">
        <v>67.666666666666657</v>
      </c>
      <c r="R483" s="40">
        <v>10</v>
      </c>
      <c r="S483" s="40"/>
      <c r="T483" s="105">
        <f t="shared" si="28"/>
        <v>10</v>
      </c>
      <c r="U483" s="105">
        <f t="shared" si="30"/>
        <v>14.778325123152712</v>
      </c>
      <c r="V483" s="104">
        <f>IFERROR(VLOOKUP(L483,'Raw material list'!$A$2:$S$3102,6,0),0)</f>
        <v>1.3293943870014769E-2</v>
      </c>
      <c r="W483" s="104">
        <f t="shared" si="31"/>
        <v>0.19646222468002125</v>
      </c>
    </row>
    <row r="484" spans="1:23" hidden="1" x14ac:dyDescent="0.55000000000000004">
      <c r="A484" s="41" t="s">
        <v>1485</v>
      </c>
      <c r="B484" s="41" t="s">
        <v>35</v>
      </c>
      <c r="C484" s="41" t="s">
        <v>10</v>
      </c>
      <c r="D484" s="41" t="s">
        <v>1477</v>
      </c>
      <c r="E484" s="41" t="s">
        <v>1467</v>
      </c>
      <c r="F484" s="41" t="s">
        <v>2079</v>
      </c>
      <c r="G484" s="41" t="s">
        <v>11</v>
      </c>
      <c r="H484" s="41" t="s">
        <v>1774</v>
      </c>
      <c r="I484" s="41"/>
      <c r="J484" s="41"/>
      <c r="K484" s="41" t="str">
        <f>IFERROR(VLOOKUP(L484,'Raw material list'!$A$3:$C$715,3,0),"")</f>
        <v>PRD1-241</v>
      </c>
      <c r="L484" s="41" t="s">
        <v>1059</v>
      </c>
      <c r="M484" s="40" t="s">
        <v>156</v>
      </c>
      <c r="N484" s="40" t="str">
        <f>VLOOKUP(L484,'Raw material list'!$A$3:$E$715,5,0)</f>
        <v xml:space="preserve">Gram </v>
      </c>
      <c r="O484" s="40">
        <v>100</v>
      </c>
      <c r="P484" s="299">
        <f t="shared" si="29"/>
        <v>146.55593551538837</v>
      </c>
      <c r="Q484" s="105">
        <v>68.233333333333334</v>
      </c>
      <c r="R484" s="40">
        <v>10</v>
      </c>
      <c r="S484" s="40"/>
      <c r="T484" s="105">
        <f t="shared" si="28"/>
        <v>10</v>
      </c>
      <c r="U484" s="105">
        <f t="shared" si="30"/>
        <v>14.655593551538837</v>
      </c>
      <c r="V484" s="104">
        <f>IFERROR(VLOOKUP(L484,'Raw material list'!$A$2:$S$3102,6,0),0)</f>
        <v>1.3196480938416421E-2</v>
      </c>
      <c r="W484" s="104">
        <f t="shared" si="31"/>
        <v>0.19340226094406088</v>
      </c>
    </row>
    <row r="485" spans="1:23" hidden="1" x14ac:dyDescent="0.55000000000000004">
      <c r="A485" s="41" t="s">
        <v>1485</v>
      </c>
      <c r="B485" s="41" t="s">
        <v>35</v>
      </c>
      <c r="C485" s="41" t="s">
        <v>10</v>
      </c>
      <c r="D485" s="41" t="s">
        <v>1477</v>
      </c>
      <c r="E485" s="41" t="s">
        <v>1467</v>
      </c>
      <c r="F485" s="41" t="s">
        <v>2079</v>
      </c>
      <c r="G485" s="41" t="s">
        <v>11</v>
      </c>
      <c r="H485" s="41" t="s">
        <v>1774</v>
      </c>
      <c r="I485" s="41"/>
      <c r="J485" s="41"/>
      <c r="K485" s="41" t="str">
        <f>IFERROR(VLOOKUP(L485,'Raw material list'!$A$3:$C$715,3,0),"")</f>
        <v>DRS6-537</v>
      </c>
      <c r="L485" s="41" t="s">
        <v>46</v>
      </c>
      <c r="M485" s="40" t="s">
        <v>156</v>
      </c>
      <c r="N485" s="40" t="str">
        <f>VLOOKUP(L485,'Raw material list'!$A$3:$E$715,5,0)</f>
        <v xml:space="preserve">Gram </v>
      </c>
      <c r="O485" s="40">
        <v>3</v>
      </c>
      <c r="P485" s="299">
        <f t="shared" si="29"/>
        <v>3</v>
      </c>
      <c r="Q485" s="300">
        <v>100</v>
      </c>
      <c r="R485" s="40">
        <v>10</v>
      </c>
      <c r="S485" s="40"/>
      <c r="T485" s="105">
        <f t="shared" si="28"/>
        <v>0.3</v>
      </c>
      <c r="U485" s="105">
        <f t="shared" si="30"/>
        <v>0.3</v>
      </c>
      <c r="V485" s="104">
        <f>IFERROR(VLOOKUP(L485,'Raw material list'!$A$2:$S$3102,6,0),0)</f>
        <v>3.5000000000000003E-2</v>
      </c>
      <c r="W485" s="104">
        <f t="shared" si="31"/>
        <v>1.0500000000000001E-2</v>
      </c>
    </row>
    <row r="486" spans="1:23" hidden="1" x14ac:dyDescent="0.55000000000000004">
      <c r="A486" s="41" t="s">
        <v>1485</v>
      </c>
      <c r="B486" s="41" t="s">
        <v>35</v>
      </c>
      <c r="C486" s="41" t="s">
        <v>10</v>
      </c>
      <c r="D486" s="41" t="s">
        <v>1477</v>
      </c>
      <c r="E486" s="41" t="s">
        <v>1467</v>
      </c>
      <c r="F486" s="41" t="s">
        <v>2079</v>
      </c>
      <c r="G486" s="41" t="s">
        <v>11</v>
      </c>
      <c r="H486" s="41" t="s">
        <v>1774</v>
      </c>
      <c r="I486" s="41"/>
      <c r="J486" s="41"/>
      <c r="K486" s="41" t="str">
        <f>IFERROR(VLOOKUP(L486,'Raw material list'!$A$3:$C$715,3,0),"")</f>
        <v>DRS1-3912</v>
      </c>
      <c r="L486" s="41" t="s">
        <v>798</v>
      </c>
      <c r="M486" s="40" t="s">
        <v>206</v>
      </c>
      <c r="N486" s="40" t="str">
        <f>VLOOKUP(L486,'Raw material list'!$A$3:$E$715,5,0)</f>
        <v>Ml</v>
      </c>
      <c r="O486" s="40">
        <v>50</v>
      </c>
      <c r="P486" s="299">
        <f t="shared" si="29"/>
        <v>50</v>
      </c>
      <c r="Q486" s="40">
        <v>100</v>
      </c>
      <c r="R486" s="40">
        <v>10</v>
      </c>
      <c r="S486" s="40"/>
      <c r="T486" s="105">
        <f t="shared" si="28"/>
        <v>5</v>
      </c>
      <c r="U486" s="105">
        <f t="shared" si="30"/>
        <v>5</v>
      </c>
      <c r="V486" s="104">
        <f>IFERROR(VLOOKUP(L486,'Raw material list'!$A$2:$S$3102,6,0),0)</f>
        <v>1.4731707317073172E-2</v>
      </c>
      <c r="W486" s="104">
        <f t="shared" si="31"/>
        <v>7.3658536585365864E-2</v>
      </c>
    </row>
    <row r="487" spans="1:23" hidden="1" x14ac:dyDescent="0.55000000000000004">
      <c r="A487" s="41" t="s">
        <v>1485</v>
      </c>
      <c r="B487" s="41" t="s">
        <v>35</v>
      </c>
      <c r="C487" s="41" t="s">
        <v>10</v>
      </c>
      <c r="D487" s="41" t="s">
        <v>1477</v>
      </c>
      <c r="E487" s="41" t="s">
        <v>1467</v>
      </c>
      <c r="F487" s="41" t="s">
        <v>2079</v>
      </c>
      <c r="G487" s="41" t="s">
        <v>11</v>
      </c>
      <c r="H487" s="41" t="s">
        <v>1774</v>
      </c>
      <c r="I487" s="41"/>
      <c r="J487" s="41"/>
      <c r="K487" s="41" t="str">
        <f>IFERROR(VLOOKUP(L487,'Raw material list'!$A$3:$C$715,3,0),"")</f>
        <v>DRS1-110</v>
      </c>
      <c r="L487" s="41" t="s">
        <v>83</v>
      </c>
      <c r="M487" s="40" t="s">
        <v>206</v>
      </c>
      <c r="N487" s="40" t="str">
        <f>VLOOKUP(L487,'Raw material list'!$A$3:$E$715,5,0)</f>
        <v>Ml</v>
      </c>
      <c r="O487" s="40">
        <v>400</v>
      </c>
      <c r="P487" s="299">
        <f t="shared" si="29"/>
        <v>400</v>
      </c>
      <c r="Q487" s="40">
        <v>100</v>
      </c>
      <c r="R487" s="40">
        <v>10</v>
      </c>
      <c r="S487" s="40"/>
      <c r="T487" s="105">
        <f t="shared" si="28"/>
        <v>40</v>
      </c>
      <c r="U487" s="105">
        <f t="shared" si="30"/>
        <v>40</v>
      </c>
      <c r="V487" s="104">
        <f>IFERROR(VLOOKUP(L487,'Raw material list'!$A$2:$S$3102,6,0),0)</f>
        <v>1.805E-2</v>
      </c>
      <c r="W487" s="104">
        <f t="shared" si="31"/>
        <v>0.72199999999999998</v>
      </c>
    </row>
    <row r="488" spans="1:23" hidden="1" x14ac:dyDescent="0.55000000000000004">
      <c r="A488" s="41" t="s">
        <v>1485</v>
      </c>
      <c r="B488" s="41" t="s">
        <v>35</v>
      </c>
      <c r="C488" s="41" t="s">
        <v>10</v>
      </c>
      <c r="D488" s="41" t="s">
        <v>1477</v>
      </c>
      <c r="E488" s="41" t="s">
        <v>1467</v>
      </c>
      <c r="F488" s="41" t="s">
        <v>2079</v>
      </c>
      <c r="G488" s="41" t="s">
        <v>11</v>
      </c>
      <c r="H488" s="41" t="s">
        <v>1774</v>
      </c>
      <c r="I488" s="41"/>
      <c r="J488" s="41"/>
      <c r="K488" s="41" t="str">
        <f>IFERROR(VLOOKUP(L488,'Raw material list'!$A$3:$C$715,3,0),"")</f>
        <v>TAP-00001</v>
      </c>
      <c r="L488" s="41" t="s">
        <v>1405</v>
      </c>
      <c r="M488" s="40" t="s">
        <v>206</v>
      </c>
      <c r="N488" s="40" t="str">
        <f>VLOOKUP(L488,'Raw material list'!$A$3:$E$715,5,0)</f>
        <v>Ml</v>
      </c>
      <c r="O488" s="40">
        <v>500</v>
      </c>
      <c r="P488" s="299">
        <f t="shared" si="29"/>
        <v>500</v>
      </c>
      <c r="Q488" s="40">
        <v>100</v>
      </c>
      <c r="R488" s="40">
        <v>10</v>
      </c>
      <c r="S488" s="40"/>
      <c r="T488" s="105">
        <f t="shared" si="28"/>
        <v>50</v>
      </c>
      <c r="U488" s="105">
        <f t="shared" si="30"/>
        <v>50</v>
      </c>
      <c r="V488" s="104">
        <f>IFERROR(VLOOKUP(L488,'Raw material list'!$A$2:$S$3102,6,0),0)</f>
        <v>8.0000000000000007E-5</v>
      </c>
      <c r="W488" s="104">
        <f t="shared" si="31"/>
        <v>4.0000000000000001E-3</v>
      </c>
    </row>
    <row r="489" spans="1:23" hidden="1" x14ac:dyDescent="0.55000000000000004">
      <c r="A489" s="41" t="s">
        <v>1485</v>
      </c>
      <c r="B489" s="41" t="s">
        <v>35</v>
      </c>
      <c r="C489" s="41" t="s">
        <v>10</v>
      </c>
      <c r="D489" s="41" t="s">
        <v>1477</v>
      </c>
      <c r="E489" s="41" t="s">
        <v>1467</v>
      </c>
      <c r="F489" s="41" t="s">
        <v>2079</v>
      </c>
      <c r="G489" s="41" t="s">
        <v>11</v>
      </c>
      <c r="H489" s="41" t="s">
        <v>1774</v>
      </c>
      <c r="I489" s="41"/>
      <c r="J489" s="41"/>
      <c r="K489" s="41" t="str">
        <f>IFERROR(VLOOKUP(L489,'Raw material list'!$A$3:$C$715,3,0),"")</f>
        <v>DRS5-21</v>
      </c>
      <c r="L489" s="41" t="s">
        <v>55</v>
      </c>
      <c r="M489" s="40" t="s">
        <v>156</v>
      </c>
      <c r="N489" s="40" t="str">
        <f>VLOOKUP(L489,'Raw material list'!$A$3:$E$715,5,0)</f>
        <v xml:space="preserve">Gram </v>
      </c>
      <c r="O489" s="40">
        <v>40</v>
      </c>
      <c r="P489" s="299">
        <f t="shared" si="29"/>
        <v>40</v>
      </c>
      <c r="Q489" s="40">
        <v>100</v>
      </c>
      <c r="R489" s="40">
        <v>10</v>
      </c>
      <c r="S489" s="40"/>
      <c r="T489" s="105">
        <f t="shared" si="28"/>
        <v>4</v>
      </c>
      <c r="U489" s="105">
        <f t="shared" si="30"/>
        <v>4</v>
      </c>
      <c r="V489" s="104">
        <f>IFERROR(VLOOKUP(L489,'Raw material list'!$A$2:$S$3102,6,0),0)</f>
        <v>2.0799999999999998E-3</v>
      </c>
      <c r="W489" s="104">
        <f t="shared" si="31"/>
        <v>8.3199999999999993E-3</v>
      </c>
    </row>
    <row r="490" spans="1:23" hidden="1" x14ac:dyDescent="0.55000000000000004">
      <c r="A490" s="41" t="s">
        <v>1485</v>
      </c>
      <c r="B490" s="41" t="s">
        <v>35</v>
      </c>
      <c r="C490" s="41" t="s">
        <v>10</v>
      </c>
      <c r="D490" s="41" t="s">
        <v>1477</v>
      </c>
      <c r="E490" s="41" t="s">
        <v>1467</v>
      </c>
      <c r="F490" s="41" t="s">
        <v>2079</v>
      </c>
      <c r="G490" s="41" t="s">
        <v>11</v>
      </c>
      <c r="H490" s="41" t="s">
        <v>1774</v>
      </c>
      <c r="I490" s="41"/>
      <c r="J490" s="41"/>
      <c r="K490" s="41" t="str">
        <f>IFERROR(VLOOKUP(L490,'Raw material list'!$A$3:$C$715,3,0),"")</f>
        <v>DRS4-1457</v>
      </c>
      <c r="L490" s="41" t="s">
        <v>43</v>
      </c>
      <c r="M490" s="40" t="s">
        <v>156</v>
      </c>
      <c r="N490" s="40" t="str">
        <f>VLOOKUP(L490,'Raw material list'!$A$3:$E$715,5,0)</f>
        <v xml:space="preserve">Gram </v>
      </c>
      <c r="O490" s="40">
        <v>800</v>
      </c>
      <c r="P490" s="299">
        <f t="shared" si="29"/>
        <v>800</v>
      </c>
      <c r="Q490" s="40">
        <v>100</v>
      </c>
      <c r="R490" s="40">
        <v>10</v>
      </c>
      <c r="S490" s="40"/>
      <c r="T490" s="105">
        <f t="shared" si="28"/>
        <v>80</v>
      </c>
      <c r="U490" s="105">
        <f t="shared" si="30"/>
        <v>80</v>
      </c>
      <c r="V490" s="104">
        <f>IFERROR(VLOOKUP(L490,'Raw material list'!$A$2:$S$3102,6,0),0)</f>
        <v>6.4999999999999997E-3</v>
      </c>
      <c r="W490" s="104">
        <f t="shared" si="31"/>
        <v>0.52</v>
      </c>
    </row>
    <row r="491" spans="1:23" hidden="1" x14ac:dyDescent="0.55000000000000004">
      <c r="A491" s="41" t="s">
        <v>1485</v>
      </c>
      <c r="B491" s="41" t="s">
        <v>35</v>
      </c>
      <c r="C491" s="41" t="s">
        <v>10</v>
      </c>
      <c r="D491" s="41" t="s">
        <v>1477</v>
      </c>
      <c r="E491" s="41" t="s">
        <v>1467</v>
      </c>
      <c r="F491" s="41" t="s">
        <v>2079</v>
      </c>
      <c r="G491" s="41" t="s">
        <v>11</v>
      </c>
      <c r="H491" s="41" t="s">
        <v>1774</v>
      </c>
      <c r="I491" s="41"/>
      <c r="J491" s="41"/>
      <c r="K491" s="41" t="str">
        <f>IFERROR(VLOOKUP(L491,'Raw material list'!$A$3:$C$715,3,0),"")</f>
        <v>TAP-00001</v>
      </c>
      <c r="L491" s="41" t="s">
        <v>1405</v>
      </c>
      <c r="M491" s="40" t="s">
        <v>206</v>
      </c>
      <c r="N491" s="40" t="str">
        <f>VLOOKUP(L491,'Raw material list'!$A$3:$E$715,5,0)</f>
        <v>Ml</v>
      </c>
      <c r="O491" s="40">
        <v>1600</v>
      </c>
      <c r="P491" s="299">
        <f t="shared" si="29"/>
        <v>1600</v>
      </c>
      <c r="Q491" s="40">
        <v>100</v>
      </c>
      <c r="R491" s="40">
        <v>10</v>
      </c>
      <c r="S491" s="40"/>
      <c r="T491" s="105">
        <f t="shared" si="28"/>
        <v>160</v>
      </c>
      <c r="U491" s="105">
        <f t="shared" si="30"/>
        <v>160</v>
      </c>
      <c r="V491" s="104">
        <f>IFERROR(VLOOKUP(L491,'Raw material list'!$A$2:$S$3102,6,0),0)</f>
        <v>8.0000000000000007E-5</v>
      </c>
      <c r="W491" s="104">
        <f t="shared" si="31"/>
        <v>1.2800000000000001E-2</v>
      </c>
    </row>
    <row r="492" spans="1:23" hidden="1" x14ac:dyDescent="0.55000000000000004">
      <c r="A492" s="41" t="s">
        <v>1497</v>
      </c>
      <c r="B492" s="41" t="s">
        <v>35</v>
      </c>
      <c r="C492" s="41" t="s">
        <v>10</v>
      </c>
      <c r="D492" s="41" t="s">
        <v>1487</v>
      </c>
      <c r="E492" s="41" t="s">
        <v>1486</v>
      </c>
      <c r="F492" s="41" t="s">
        <v>2081</v>
      </c>
      <c r="G492" s="41" t="s">
        <v>11</v>
      </c>
      <c r="H492" s="41" t="s">
        <v>1774</v>
      </c>
      <c r="I492" s="41"/>
      <c r="J492" s="41"/>
      <c r="K492" s="41" t="str">
        <f>IFERROR(VLOOKUP(L492,'Raw material list'!$A$3:$C$715,3,0),"")</f>
        <v>MET2-585</v>
      </c>
      <c r="L492" s="41" t="s">
        <v>53</v>
      </c>
      <c r="M492" s="40" t="s">
        <v>156</v>
      </c>
      <c r="N492" s="40" t="str">
        <f>VLOOKUP(L492,'Raw material list'!$A$3:$E$715,5,0)</f>
        <v xml:space="preserve">Gram </v>
      </c>
      <c r="O492" s="40">
        <v>800</v>
      </c>
      <c r="P492" s="299">
        <f t="shared" si="29"/>
        <v>923.78752886836037</v>
      </c>
      <c r="Q492" s="40">
        <v>86.6</v>
      </c>
      <c r="R492" s="40">
        <v>10</v>
      </c>
      <c r="S492" s="40"/>
      <c r="T492" s="105">
        <f t="shared" si="28"/>
        <v>80</v>
      </c>
      <c r="U492" s="105">
        <f t="shared" si="30"/>
        <v>92.37875288683604</v>
      </c>
      <c r="V492" s="104">
        <f>IFERROR(VLOOKUP(L492,'Raw material list'!$A$2:$S$3102,6,0),0)</f>
        <v>4.2630057803468215E-2</v>
      </c>
      <c r="W492" s="104">
        <f t="shared" si="31"/>
        <v>3.9381115753781266</v>
      </c>
    </row>
    <row r="493" spans="1:23" hidden="1" x14ac:dyDescent="0.55000000000000004">
      <c r="A493" s="41" t="s">
        <v>1497</v>
      </c>
      <c r="B493" s="41" t="s">
        <v>35</v>
      </c>
      <c r="C493" s="41" t="s">
        <v>10</v>
      </c>
      <c r="D493" s="41" t="s">
        <v>1487</v>
      </c>
      <c r="E493" s="41" t="s">
        <v>1486</v>
      </c>
      <c r="F493" s="41" t="s">
        <v>2079</v>
      </c>
      <c r="G493" s="41" t="s">
        <v>11</v>
      </c>
      <c r="H493" s="41" t="s">
        <v>1774</v>
      </c>
      <c r="I493" s="41"/>
      <c r="J493" s="41"/>
      <c r="K493" s="41" t="str">
        <f>IFERROR(VLOOKUP(L493,'Raw material list'!$A$3:$C$715,3,0),"")</f>
        <v>PRD1-4265</v>
      </c>
      <c r="L493" s="41" t="s">
        <v>38</v>
      </c>
      <c r="M493" s="40" t="s">
        <v>156</v>
      </c>
      <c r="N493" s="40" t="str">
        <f>VLOOKUP(L493,'Raw material list'!$A$3:$E$715,5,0)</f>
        <v xml:space="preserve">Gram </v>
      </c>
      <c r="O493" s="40">
        <v>200</v>
      </c>
      <c r="P493" s="299">
        <f t="shared" si="29"/>
        <v>235.29411764705884</v>
      </c>
      <c r="Q493" s="105">
        <v>85</v>
      </c>
      <c r="R493" s="40">
        <v>10</v>
      </c>
      <c r="S493" s="40"/>
      <c r="T493" s="105">
        <f t="shared" si="28"/>
        <v>20</v>
      </c>
      <c r="U493" s="105">
        <f t="shared" si="30"/>
        <v>23.529411764705884</v>
      </c>
      <c r="V493" s="104">
        <f>IFERROR(VLOOKUP(L493,'Raw material list'!$A$2:$S$3102,6,0),0)</f>
        <v>3.529411764705882E-3</v>
      </c>
      <c r="W493" s="104">
        <f t="shared" si="31"/>
        <v>8.3044982698961933E-2</v>
      </c>
    </row>
    <row r="494" spans="1:23" hidden="1" x14ac:dyDescent="0.55000000000000004">
      <c r="A494" s="41" t="s">
        <v>1497</v>
      </c>
      <c r="B494" s="41" t="s">
        <v>35</v>
      </c>
      <c r="C494" s="41" t="s">
        <v>10</v>
      </c>
      <c r="D494" s="41" t="s">
        <v>1487</v>
      </c>
      <c r="E494" s="41" t="s">
        <v>1486</v>
      </c>
      <c r="F494" s="41" t="s">
        <v>2079</v>
      </c>
      <c r="G494" s="41" t="s">
        <v>11</v>
      </c>
      <c r="H494" s="41" t="s">
        <v>1774</v>
      </c>
      <c r="I494" s="41"/>
      <c r="J494" s="41"/>
      <c r="K494" s="41" t="str">
        <f>IFERROR(VLOOKUP(L494,'Raw material list'!$A$3:$C$715,3,0),"")</f>
        <v>DRS3-1615</v>
      </c>
      <c r="L494" s="41" t="s">
        <v>50</v>
      </c>
      <c r="M494" s="40" t="s">
        <v>206</v>
      </c>
      <c r="N494" s="40" t="str">
        <f>VLOOKUP(L494,'Raw material list'!$A$3:$E$715,5,0)</f>
        <v>Ml</v>
      </c>
      <c r="O494" s="40">
        <v>25</v>
      </c>
      <c r="P494" s="299">
        <f t="shared" si="29"/>
        <v>25</v>
      </c>
      <c r="Q494" s="300">
        <v>100</v>
      </c>
      <c r="R494" s="40">
        <v>10</v>
      </c>
      <c r="S494" s="40"/>
      <c r="T494" s="105">
        <f t="shared" si="28"/>
        <v>2.5</v>
      </c>
      <c r="U494" s="105">
        <f t="shared" si="30"/>
        <v>2.5</v>
      </c>
      <c r="V494" s="104">
        <f>IFERROR(VLOOKUP(L494,'Raw material list'!$A$2:$S$3102,6,0),0)</f>
        <v>1.2E-2</v>
      </c>
      <c r="W494" s="104">
        <f t="shared" si="31"/>
        <v>0.03</v>
      </c>
    </row>
    <row r="495" spans="1:23" hidden="1" x14ac:dyDescent="0.55000000000000004">
      <c r="A495" s="41" t="s">
        <v>1497</v>
      </c>
      <c r="B495" s="41" t="s">
        <v>35</v>
      </c>
      <c r="C495" s="41" t="s">
        <v>10</v>
      </c>
      <c r="D495" s="41" t="s">
        <v>1487</v>
      </c>
      <c r="E495" s="41" t="s">
        <v>1486</v>
      </c>
      <c r="F495" s="41" t="s">
        <v>2079</v>
      </c>
      <c r="G495" s="41" t="s">
        <v>11</v>
      </c>
      <c r="H495" s="41" t="s">
        <v>1774</v>
      </c>
      <c r="I495" s="41"/>
      <c r="J495" s="41"/>
      <c r="K495" s="41" t="str">
        <f>IFERROR(VLOOKUP(L495,'Raw material list'!$A$3:$C$715,3,0),"")</f>
        <v>DRS1-978</v>
      </c>
      <c r="L495" s="41" t="s">
        <v>56</v>
      </c>
      <c r="M495" s="40" t="s">
        <v>156</v>
      </c>
      <c r="N495" s="40" t="str">
        <f>VLOOKUP(L495,'Raw material list'!$A$3:$E$715,5,0)</f>
        <v xml:space="preserve">Gram </v>
      </c>
      <c r="O495" s="40">
        <v>5</v>
      </c>
      <c r="P495" s="299">
        <f t="shared" si="29"/>
        <v>5</v>
      </c>
      <c r="Q495" s="40">
        <v>100</v>
      </c>
      <c r="R495" s="40">
        <v>10</v>
      </c>
      <c r="S495" s="40"/>
      <c r="T495" s="105">
        <f t="shared" si="28"/>
        <v>0.5</v>
      </c>
      <c r="U495" s="105">
        <f t="shared" si="30"/>
        <v>0.5</v>
      </c>
      <c r="V495" s="104">
        <f>IFERROR(VLOOKUP(L495,'Raw material list'!$A$2:$S$3102,6,0),0)</f>
        <v>2.3999999999999998E-3</v>
      </c>
      <c r="W495" s="104">
        <f t="shared" si="31"/>
        <v>1.1999999999999999E-3</v>
      </c>
    </row>
    <row r="496" spans="1:23" hidden="1" x14ac:dyDescent="0.55000000000000004">
      <c r="A496" s="41" t="s">
        <v>1497</v>
      </c>
      <c r="B496" s="41" t="s">
        <v>35</v>
      </c>
      <c r="C496" s="41" t="s">
        <v>10</v>
      </c>
      <c r="D496" s="41" t="s">
        <v>1487</v>
      </c>
      <c r="E496" s="41" t="s">
        <v>1486</v>
      </c>
      <c r="F496" s="41" t="s">
        <v>2079</v>
      </c>
      <c r="G496" s="41" t="s">
        <v>11</v>
      </c>
      <c r="H496" s="41" t="s">
        <v>1774</v>
      </c>
      <c r="I496" s="41"/>
      <c r="J496" s="41"/>
      <c r="K496" s="41" t="str">
        <f>IFERROR(VLOOKUP(L496,'Raw material list'!$A$3:$C$715,3,0),"")</f>
        <v>DRS1-607</v>
      </c>
      <c r="L496" s="41" t="s">
        <v>250</v>
      </c>
      <c r="M496" s="40" t="s">
        <v>156</v>
      </c>
      <c r="N496" s="40" t="str">
        <f>VLOOKUP(L496,'Raw material list'!$A$3:$E$715,5,0)</f>
        <v xml:space="preserve">Gram </v>
      </c>
      <c r="O496" s="40">
        <v>750</v>
      </c>
      <c r="P496" s="299">
        <f t="shared" si="29"/>
        <v>750</v>
      </c>
      <c r="Q496" s="40">
        <v>100</v>
      </c>
      <c r="R496" s="40">
        <v>10</v>
      </c>
      <c r="S496" s="40"/>
      <c r="T496" s="105">
        <f t="shared" si="28"/>
        <v>75</v>
      </c>
      <c r="U496" s="105">
        <f t="shared" si="30"/>
        <v>75</v>
      </c>
      <c r="V496" s="104">
        <f>IFERROR(VLOOKUP(L496,'Raw material list'!$A$2:$S$3102,6,0),0)</f>
        <v>5.8823529411764705E-3</v>
      </c>
      <c r="W496" s="104">
        <f t="shared" si="31"/>
        <v>0.44117647058823528</v>
      </c>
    </row>
    <row r="497" spans="1:23" hidden="1" x14ac:dyDescent="0.55000000000000004">
      <c r="A497" s="41" t="s">
        <v>1497</v>
      </c>
      <c r="B497" s="41" t="s">
        <v>35</v>
      </c>
      <c r="C497" s="41" t="s">
        <v>10</v>
      </c>
      <c r="D497" s="41" t="s">
        <v>1487</v>
      </c>
      <c r="E497" s="41" t="s">
        <v>1486</v>
      </c>
      <c r="F497" s="41" t="s">
        <v>2079</v>
      </c>
      <c r="G497" s="41" t="s">
        <v>11</v>
      </c>
      <c r="H497" s="41" t="s">
        <v>1774</v>
      </c>
      <c r="I497" s="41"/>
      <c r="J497" s="41"/>
      <c r="K497" s="41" t="str">
        <f>IFERROR(VLOOKUP(L497,'Raw material list'!$A$3:$C$715,3,0),"")</f>
        <v>TAP-00001</v>
      </c>
      <c r="L497" s="41" t="s">
        <v>1405</v>
      </c>
      <c r="M497" s="40" t="s">
        <v>206</v>
      </c>
      <c r="N497" s="40" t="str">
        <f>VLOOKUP(L497,'Raw material list'!$A$3:$E$715,5,0)</f>
        <v>Ml</v>
      </c>
      <c r="O497" s="40">
        <v>750</v>
      </c>
      <c r="P497" s="299">
        <f t="shared" si="29"/>
        <v>750</v>
      </c>
      <c r="Q497" s="40">
        <v>100</v>
      </c>
      <c r="R497" s="40">
        <v>10</v>
      </c>
      <c r="S497" s="40"/>
      <c r="T497" s="105">
        <f t="shared" si="28"/>
        <v>75</v>
      </c>
      <c r="U497" s="105">
        <f t="shared" si="30"/>
        <v>75</v>
      </c>
      <c r="V497" s="104">
        <f>IFERROR(VLOOKUP(L497,'Raw material list'!$A$2:$S$3102,6,0),0)</f>
        <v>8.0000000000000007E-5</v>
      </c>
      <c r="W497" s="104">
        <f t="shared" si="31"/>
        <v>6.0000000000000001E-3</v>
      </c>
    </row>
    <row r="498" spans="1:23" hidden="1" x14ac:dyDescent="0.55000000000000004">
      <c r="A498" s="41" t="s">
        <v>1497</v>
      </c>
      <c r="B498" s="41" t="s">
        <v>35</v>
      </c>
      <c r="C498" s="41" t="s">
        <v>10</v>
      </c>
      <c r="D498" s="41" t="s">
        <v>1487</v>
      </c>
      <c r="E498" s="41" t="s">
        <v>1486</v>
      </c>
      <c r="F498" s="41" t="s">
        <v>2079</v>
      </c>
      <c r="G498" s="41" t="s">
        <v>11</v>
      </c>
      <c r="H498" s="41" t="s">
        <v>1774</v>
      </c>
      <c r="I498" s="41"/>
      <c r="J498" s="41"/>
      <c r="K498" s="41" t="str">
        <f>IFERROR(VLOOKUP(L498,'Raw material list'!$A$3:$C$715,3,0),"")</f>
        <v>DRS1-3813</v>
      </c>
      <c r="L498" s="41" t="s">
        <v>67</v>
      </c>
      <c r="M498" s="40" t="s">
        <v>156</v>
      </c>
      <c r="N498" s="40" t="str">
        <f>VLOOKUP(L498,'Raw material list'!$A$3:$E$715,5,0)</f>
        <v xml:space="preserve">Gram </v>
      </c>
      <c r="O498" s="40">
        <v>25</v>
      </c>
      <c r="P498" s="299">
        <f t="shared" si="29"/>
        <v>25</v>
      </c>
      <c r="Q498" s="40">
        <v>100</v>
      </c>
      <c r="R498" s="40">
        <v>10</v>
      </c>
      <c r="S498" s="40"/>
      <c r="T498" s="105">
        <f t="shared" si="28"/>
        <v>2.5</v>
      </c>
      <c r="U498" s="105">
        <f t="shared" si="30"/>
        <v>2.5</v>
      </c>
      <c r="V498" s="104">
        <f>IFERROR(VLOOKUP(L498,'Raw material list'!$A$2:$S$3102,6,0),0)</f>
        <v>4.4441666666666664E-2</v>
      </c>
      <c r="W498" s="104">
        <f t="shared" si="31"/>
        <v>0.11110416666666666</v>
      </c>
    </row>
    <row r="499" spans="1:23" hidden="1" x14ac:dyDescent="0.55000000000000004">
      <c r="A499" s="41" t="s">
        <v>1497</v>
      </c>
      <c r="B499" s="41" t="s">
        <v>35</v>
      </c>
      <c r="C499" s="41" t="s">
        <v>10</v>
      </c>
      <c r="D499" s="41" t="s">
        <v>1487</v>
      </c>
      <c r="E499" s="41" t="s">
        <v>1486</v>
      </c>
      <c r="F499" s="41" t="s">
        <v>2079</v>
      </c>
      <c r="G499" s="41" t="s">
        <v>11</v>
      </c>
      <c r="H499" s="41" t="s">
        <v>1774</v>
      </c>
      <c r="I499" s="41"/>
      <c r="J499" s="41"/>
      <c r="K499" s="41" t="str">
        <f>IFERROR(VLOOKUP(L499,'Raw material list'!$A$3:$C$715,3,0),"")</f>
        <v>DRS6-537</v>
      </c>
      <c r="L499" s="41" t="s">
        <v>46</v>
      </c>
      <c r="M499" s="40" t="s">
        <v>156</v>
      </c>
      <c r="N499" s="40" t="str">
        <f>VLOOKUP(L499,'Raw material list'!$A$3:$E$715,5,0)</f>
        <v xml:space="preserve">Gram </v>
      </c>
      <c r="O499" s="40">
        <v>2</v>
      </c>
      <c r="P499" s="299">
        <f t="shared" si="29"/>
        <v>2</v>
      </c>
      <c r="Q499" s="40">
        <v>100</v>
      </c>
      <c r="R499" s="40">
        <v>10</v>
      </c>
      <c r="S499" s="40"/>
      <c r="T499" s="105">
        <f t="shared" si="28"/>
        <v>0.2</v>
      </c>
      <c r="U499" s="105">
        <f t="shared" si="30"/>
        <v>0.2</v>
      </c>
      <c r="V499" s="104">
        <f>IFERROR(VLOOKUP(L499,'Raw material list'!$A$2:$S$3102,6,0),0)</f>
        <v>3.5000000000000003E-2</v>
      </c>
      <c r="W499" s="104">
        <f t="shared" si="31"/>
        <v>7.000000000000001E-3</v>
      </c>
    </row>
    <row r="500" spans="1:23" hidden="1" x14ac:dyDescent="0.55000000000000004">
      <c r="A500" s="41" t="s">
        <v>1497</v>
      </c>
      <c r="B500" s="41" t="s">
        <v>35</v>
      </c>
      <c r="C500" s="41" t="s">
        <v>10</v>
      </c>
      <c r="D500" s="41" t="s">
        <v>1487</v>
      </c>
      <c r="E500" s="41" t="s">
        <v>1486</v>
      </c>
      <c r="F500" s="41" t="s">
        <v>2079</v>
      </c>
      <c r="G500" s="41" t="s">
        <v>11</v>
      </c>
      <c r="H500" s="41" t="s">
        <v>1774</v>
      </c>
      <c r="I500" s="41"/>
      <c r="J500" s="41"/>
      <c r="K500" s="41" t="str">
        <f>IFERROR(VLOOKUP(L500,'Raw material list'!$A$3:$C$715,3,0),"")</f>
        <v>DRS5-21</v>
      </c>
      <c r="L500" s="57" t="s">
        <v>55</v>
      </c>
      <c r="M500" s="40" t="s">
        <v>156</v>
      </c>
      <c r="N500" s="40" t="str">
        <f>VLOOKUP(L500,'Raw material list'!$A$3:$E$715,5,0)</f>
        <v xml:space="preserve">Gram </v>
      </c>
      <c r="O500" s="40">
        <v>25</v>
      </c>
      <c r="P500" s="299">
        <f t="shared" si="29"/>
        <v>25</v>
      </c>
      <c r="Q500" s="40">
        <v>100</v>
      </c>
      <c r="R500" s="40">
        <v>10</v>
      </c>
      <c r="S500" s="40"/>
      <c r="T500" s="105">
        <f t="shared" si="28"/>
        <v>2.5</v>
      </c>
      <c r="U500" s="105">
        <f t="shared" si="30"/>
        <v>2.5</v>
      </c>
      <c r="V500" s="104">
        <f>IFERROR(VLOOKUP(L500,'Raw material list'!$A$2:$S$3102,6,0),0)</f>
        <v>2.0799999999999998E-3</v>
      </c>
      <c r="W500" s="104">
        <f t="shared" si="31"/>
        <v>5.1999999999999998E-3</v>
      </c>
    </row>
    <row r="501" spans="1:23" hidden="1" x14ac:dyDescent="0.55000000000000004">
      <c r="A501" s="41" t="s">
        <v>1497</v>
      </c>
      <c r="B501" s="41" t="s">
        <v>35</v>
      </c>
      <c r="C501" s="41" t="s">
        <v>10</v>
      </c>
      <c r="D501" s="41" t="s">
        <v>1487</v>
      </c>
      <c r="E501" s="41" t="s">
        <v>1486</v>
      </c>
      <c r="F501" s="41" t="s">
        <v>2079</v>
      </c>
      <c r="G501" s="41" t="s">
        <v>11</v>
      </c>
      <c r="H501" s="41" t="s">
        <v>1774</v>
      </c>
      <c r="I501" s="41"/>
      <c r="J501" s="41"/>
      <c r="K501" s="41" t="str">
        <f>IFERROR(VLOOKUP(L501,'Raw material list'!$A$3:$C$715,3,0),"")</f>
        <v>DRS1-1747</v>
      </c>
      <c r="L501" s="41" t="s">
        <v>44</v>
      </c>
      <c r="M501" s="40" t="s">
        <v>156</v>
      </c>
      <c r="N501" s="40" t="str">
        <f>VLOOKUP(L501,'Raw material list'!$A$3:$E$715,5,0)</f>
        <v xml:space="preserve">Gram </v>
      </c>
      <c r="O501" s="40">
        <v>50</v>
      </c>
      <c r="P501" s="299">
        <f t="shared" si="29"/>
        <v>50</v>
      </c>
      <c r="Q501" s="40">
        <v>100</v>
      </c>
      <c r="R501" s="40">
        <v>10</v>
      </c>
      <c r="S501" s="40"/>
      <c r="T501" s="105">
        <f t="shared" si="28"/>
        <v>5</v>
      </c>
      <c r="U501" s="105">
        <f t="shared" si="30"/>
        <v>5</v>
      </c>
      <c r="V501" s="104">
        <f>IFERROR(VLOOKUP(L501,'Raw material list'!$A$2:$S$3102,6,0),0)</f>
        <v>5.185185185185185E-3</v>
      </c>
      <c r="W501" s="104">
        <f t="shared" si="31"/>
        <v>2.5925925925925925E-2</v>
      </c>
    </row>
    <row r="502" spans="1:23" hidden="1" x14ac:dyDescent="0.55000000000000004">
      <c r="A502" s="41" t="s">
        <v>1497</v>
      </c>
      <c r="B502" s="41" t="s">
        <v>35</v>
      </c>
      <c r="C502" s="41" t="s">
        <v>10</v>
      </c>
      <c r="D502" s="41" t="s">
        <v>1487</v>
      </c>
      <c r="E502" s="41" t="s">
        <v>1486</v>
      </c>
      <c r="F502" s="41" t="s">
        <v>2079</v>
      </c>
      <c r="G502" s="41" t="s">
        <v>11</v>
      </c>
      <c r="H502" s="41" t="s">
        <v>1774</v>
      </c>
      <c r="I502" s="41"/>
      <c r="J502" s="41"/>
      <c r="K502" s="41" t="str">
        <f>IFERROR(VLOOKUP(L502,'Raw material list'!$A$3:$C$715,3,0),"")</f>
        <v>DRS4-498</v>
      </c>
      <c r="L502" s="41" t="s">
        <v>72</v>
      </c>
      <c r="M502" s="40" t="s">
        <v>156</v>
      </c>
      <c r="N502" s="40" t="str">
        <f>VLOOKUP(L502,'Raw material list'!$A$3:$E$715,5,0)</f>
        <v xml:space="preserve">Gram </v>
      </c>
      <c r="O502" s="40">
        <v>1000</v>
      </c>
      <c r="P502" s="299">
        <f t="shared" si="29"/>
        <v>1000</v>
      </c>
      <c r="Q502" s="40">
        <v>100</v>
      </c>
      <c r="R502" s="40">
        <v>10</v>
      </c>
      <c r="S502" s="40"/>
      <c r="T502" s="105">
        <f t="shared" si="28"/>
        <v>100</v>
      </c>
      <c r="U502" s="105">
        <f t="shared" si="30"/>
        <v>100</v>
      </c>
      <c r="V502" s="104">
        <f>IFERROR(VLOOKUP(L502,'Raw material list'!$A$2:$S$3102,6,0),0)</f>
        <v>5.7499999999999999E-3</v>
      </c>
      <c r="W502" s="104">
        <f t="shared" si="31"/>
        <v>0.57499999999999996</v>
      </c>
    </row>
    <row r="503" spans="1:23" hidden="1" x14ac:dyDescent="0.55000000000000004">
      <c r="A503" s="41" t="s">
        <v>1497</v>
      </c>
      <c r="B503" s="41" t="s">
        <v>35</v>
      </c>
      <c r="C503" s="41" t="s">
        <v>10</v>
      </c>
      <c r="D503" s="41" t="s">
        <v>1487</v>
      </c>
      <c r="E503" s="41" t="s">
        <v>1486</v>
      </c>
      <c r="F503" s="41" t="s">
        <v>2079</v>
      </c>
      <c r="G503" s="41" t="s">
        <v>11</v>
      </c>
      <c r="H503" s="41" t="s">
        <v>1774</v>
      </c>
      <c r="I503" s="41"/>
      <c r="J503" s="41"/>
      <c r="K503" s="41" t="str">
        <f>IFERROR(VLOOKUP(L503,'Raw material list'!$A$3:$C$715,3,0),"")</f>
        <v>TAP-00001</v>
      </c>
      <c r="L503" s="41" t="s">
        <v>1405</v>
      </c>
      <c r="M503" s="40" t="s">
        <v>206</v>
      </c>
      <c r="N503" s="40" t="str">
        <f>VLOOKUP(L503,'Raw material list'!$A$3:$E$715,5,0)</f>
        <v>Ml</v>
      </c>
      <c r="O503" s="40">
        <v>1600</v>
      </c>
      <c r="P503" s="299">
        <f t="shared" si="29"/>
        <v>1600</v>
      </c>
      <c r="Q503" s="40">
        <v>100</v>
      </c>
      <c r="R503" s="40">
        <v>10</v>
      </c>
      <c r="S503" s="40"/>
      <c r="T503" s="105">
        <f t="shared" si="28"/>
        <v>160</v>
      </c>
      <c r="U503" s="105">
        <f t="shared" si="30"/>
        <v>160</v>
      </c>
      <c r="V503" s="104">
        <f>IFERROR(VLOOKUP(L503,'Raw material list'!$A$2:$S$3102,6,0),0)</f>
        <v>8.0000000000000007E-5</v>
      </c>
      <c r="W503" s="104">
        <f t="shared" si="31"/>
        <v>1.2800000000000001E-2</v>
      </c>
    </row>
    <row r="504" spans="1:23" hidden="1" x14ac:dyDescent="0.55000000000000004">
      <c r="A504" s="41" t="s">
        <v>1497</v>
      </c>
      <c r="B504" s="41" t="s">
        <v>35</v>
      </c>
      <c r="C504" s="41" t="s">
        <v>10</v>
      </c>
      <c r="D504" s="41" t="s">
        <v>1487</v>
      </c>
      <c r="E504" s="41" t="s">
        <v>1486</v>
      </c>
      <c r="F504" s="41" t="s">
        <v>2079</v>
      </c>
      <c r="G504" s="41" t="s">
        <v>11</v>
      </c>
      <c r="H504" s="41" t="s">
        <v>1774</v>
      </c>
      <c r="I504" s="41"/>
      <c r="J504" s="41"/>
      <c r="K504" s="41" t="str">
        <f>IFERROR(VLOOKUP(L504,'Raw material list'!$A$3:$C$715,3,0),"")</f>
        <v>DRS3-1813</v>
      </c>
      <c r="L504" s="41" t="s">
        <v>69</v>
      </c>
      <c r="M504" s="40" t="s">
        <v>206</v>
      </c>
      <c r="N504" s="40" t="str">
        <f>VLOOKUP(L504,'Raw material list'!$A$3:$E$715,5,0)</f>
        <v>Ml</v>
      </c>
      <c r="O504" s="40">
        <v>30</v>
      </c>
      <c r="P504" s="299">
        <f t="shared" si="29"/>
        <v>30</v>
      </c>
      <c r="Q504" s="40">
        <v>100</v>
      </c>
      <c r="R504" s="40">
        <v>10</v>
      </c>
      <c r="S504" s="40"/>
      <c r="T504" s="105">
        <f t="shared" si="28"/>
        <v>3</v>
      </c>
      <c r="U504" s="105">
        <f t="shared" si="30"/>
        <v>3</v>
      </c>
      <c r="V504" s="104">
        <f>IFERROR(VLOOKUP(L504,'Raw material list'!$A$2:$S$3102,6,0),0)</f>
        <v>8.0555555555555554E-3</v>
      </c>
      <c r="W504" s="104">
        <f t="shared" si="31"/>
        <v>2.4166666666666666E-2</v>
      </c>
    </row>
    <row r="505" spans="1:23" hidden="1" x14ac:dyDescent="0.55000000000000004">
      <c r="A505" s="41" t="s">
        <v>1497</v>
      </c>
      <c r="B505" s="41" t="s">
        <v>35</v>
      </c>
      <c r="C505" s="41" t="s">
        <v>10</v>
      </c>
      <c r="D505" s="41" t="s">
        <v>1487</v>
      </c>
      <c r="E505" s="41" t="s">
        <v>1486</v>
      </c>
      <c r="F505" s="41" t="s">
        <v>2079</v>
      </c>
      <c r="G505" s="41" t="s">
        <v>11</v>
      </c>
      <c r="H505" s="41" t="s">
        <v>1774</v>
      </c>
      <c r="I505" s="41"/>
      <c r="J505" s="41"/>
      <c r="K505" s="41" t="str">
        <f>IFERROR(VLOOKUP(L505,'Raw material list'!$A$3:$C$715,3,0),"")</f>
        <v>DRS6-3593</v>
      </c>
      <c r="L505" s="41" t="s">
        <v>1407</v>
      </c>
      <c r="M505" s="40" t="s">
        <v>156</v>
      </c>
      <c r="N505" s="40" t="str">
        <f>VLOOKUP(L505,'Raw material list'!$A$3:$E$715,5,0)</f>
        <v xml:space="preserve">Gram </v>
      </c>
      <c r="O505" s="40">
        <v>0.5</v>
      </c>
      <c r="P505" s="299">
        <f t="shared" si="29"/>
        <v>0.5</v>
      </c>
      <c r="Q505" s="40">
        <v>100</v>
      </c>
      <c r="R505" s="40">
        <v>10</v>
      </c>
      <c r="S505" s="40"/>
      <c r="T505" s="105">
        <f t="shared" si="28"/>
        <v>0.05</v>
      </c>
      <c r="U505" s="105">
        <f t="shared" si="30"/>
        <v>0.05</v>
      </c>
      <c r="V505" s="104">
        <f>IFERROR(VLOOKUP(L505,'Raw material list'!$A$2:$S$3102,6,0),0)</f>
        <v>8.0000000000000002E-3</v>
      </c>
      <c r="W505" s="104">
        <f t="shared" si="31"/>
        <v>4.0000000000000002E-4</v>
      </c>
    </row>
    <row r="506" spans="1:23" hidden="1" x14ac:dyDescent="0.55000000000000004">
      <c r="A506" s="41" t="s">
        <v>1497</v>
      </c>
      <c r="B506" s="41" t="s">
        <v>35</v>
      </c>
      <c r="C506" s="41" t="s">
        <v>10</v>
      </c>
      <c r="D506" s="41" t="s">
        <v>1487</v>
      </c>
      <c r="E506" s="41" t="s">
        <v>1486</v>
      </c>
      <c r="F506" s="41" t="s">
        <v>2079</v>
      </c>
      <c r="G506" s="41" t="s">
        <v>11</v>
      </c>
      <c r="H506" s="41" t="s">
        <v>1774</v>
      </c>
      <c r="I506" s="41"/>
      <c r="J506" s="41"/>
      <c r="K506" s="41" t="str">
        <f>IFERROR(VLOOKUP(L506,'Raw material list'!$A$3:$C$715,3,0),"")</f>
        <v>DRS6-539</v>
      </c>
      <c r="L506" s="41" t="s">
        <v>96</v>
      </c>
      <c r="M506" s="40" t="s">
        <v>156</v>
      </c>
      <c r="N506" s="40" t="str">
        <f>VLOOKUP(L506,'Raw material list'!$A$3:$E$715,5,0)</f>
        <v xml:space="preserve">Gram </v>
      </c>
      <c r="O506" s="40">
        <v>1</v>
      </c>
      <c r="P506" s="299">
        <f t="shared" si="29"/>
        <v>1</v>
      </c>
      <c r="Q506" s="40">
        <v>100</v>
      </c>
      <c r="R506" s="40">
        <v>10</v>
      </c>
      <c r="S506" s="40"/>
      <c r="T506" s="105">
        <f t="shared" si="28"/>
        <v>0.1</v>
      </c>
      <c r="U506" s="105">
        <f t="shared" si="30"/>
        <v>0.1</v>
      </c>
      <c r="V506" s="104">
        <f>IFERROR(VLOOKUP(L506,'Raw material list'!$A$2:$S$3102,6,0),0)</f>
        <v>0.16</v>
      </c>
      <c r="W506" s="104">
        <f t="shared" si="31"/>
        <v>1.6E-2</v>
      </c>
    </row>
    <row r="507" spans="1:23" hidden="1" x14ac:dyDescent="0.55000000000000004">
      <c r="A507" s="41" t="s">
        <v>1497</v>
      </c>
      <c r="B507" s="41" t="s">
        <v>35</v>
      </c>
      <c r="C507" s="41" t="s">
        <v>10</v>
      </c>
      <c r="D507" s="41" t="s">
        <v>1487</v>
      </c>
      <c r="E507" s="41" t="s">
        <v>1486</v>
      </c>
      <c r="F507" s="41" t="s">
        <v>2079</v>
      </c>
      <c r="G507" s="41" t="s">
        <v>11</v>
      </c>
      <c r="H507" s="41" t="s">
        <v>1774</v>
      </c>
      <c r="I507" s="41"/>
      <c r="J507" s="41"/>
      <c r="K507" s="41" t="str">
        <f>IFERROR(VLOOKUP(L507,'Raw material list'!$A$3:$C$715,3,0),"")</f>
        <v>DRS1-3880</v>
      </c>
      <c r="L507" s="41" t="s">
        <v>1433</v>
      </c>
      <c r="M507" s="40" t="s">
        <v>156</v>
      </c>
      <c r="N507" s="40" t="str">
        <f>VLOOKUP(L507,'Raw material list'!$A$3:$E$715,5,0)</f>
        <v xml:space="preserve">Gram </v>
      </c>
      <c r="O507" s="40">
        <v>15</v>
      </c>
      <c r="P507" s="299">
        <f t="shared" si="29"/>
        <v>15</v>
      </c>
      <c r="Q507" s="40">
        <v>100</v>
      </c>
      <c r="R507" s="40">
        <v>10</v>
      </c>
      <c r="S507" s="40"/>
      <c r="T507" s="105">
        <f t="shared" si="28"/>
        <v>1.5</v>
      </c>
      <c r="U507" s="105">
        <f t="shared" si="30"/>
        <v>1.5</v>
      </c>
      <c r="V507" s="104">
        <f>IFERROR(VLOOKUP(L507,'Raw material list'!$A$2:$S$3102,6,0),0)</f>
        <v>5.0000000000000001E-4</v>
      </c>
      <c r="W507" s="104">
        <f t="shared" si="31"/>
        <v>7.5000000000000002E-4</v>
      </c>
    </row>
    <row r="508" spans="1:23" hidden="1" x14ac:dyDescent="0.55000000000000004">
      <c r="A508" s="41" t="s">
        <v>1497</v>
      </c>
      <c r="B508" s="41" t="s">
        <v>35</v>
      </c>
      <c r="C508" s="41" t="s">
        <v>10</v>
      </c>
      <c r="D508" s="41" t="s">
        <v>1487</v>
      </c>
      <c r="E508" s="41" t="s">
        <v>1486</v>
      </c>
      <c r="F508" s="41" t="s">
        <v>2079</v>
      </c>
      <c r="G508" s="41" t="s">
        <v>11</v>
      </c>
      <c r="H508" s="41" t="s">
        <v>1774</v>
      </c>
      <c r="I508" s="41"/>
      <c r="J508" s="41"/>
      <c r="K508" s="41" t="str">
        <f>IFERROR(VLOOKUP(L508,'Raw material list'!$A$3:$C$715,3,0),"")</f>
        <v>DRS6-261</v>
      </c>
      <c r="L508" s="41" t="s">
        <v>1406</v>
      </c>
      <c r="M508" s="40" t="s">
        <v>156</v>
      </c>
      <c r="N508" s="40" t="str">
        <f>VLOOKUP(L508,'Raw material list'!$A$3:$E$715,5,0)</f>
        <v xml:space="preserve">Gram </v>
      </c>
      <c r="O508" s="40">
        <v>2</v>
      </c>
      <c r="P508" s="299">
        <f t="shared" si="29"/>
        <v>2</v>
      </c>
      <c r="Q508" s="40">
        <v>100</v>
      </c>
      <c r="R508" s="40">
        <v>10</v>
      </c>
      <c r="S508" s="40"/>
      <c r="T508" s="105">
        <f t="shared" si="28"/>
        <v>0.2</v>
      </c>
      <c r="U508" s="105">
        <f t="shared" si="30"/>
        <v>0.2</v>
      </c>
      <c r="V508" s="104">
        <f>IFERROR(VLOOKUP(L508,'Raw material list'!$A$2:$S$3102,6,0),0)</f>
        <v>1.4E-2</v>
      </c>
      <c r="W508" s="104">
        <f t="shared" si="31"/>
        <v>2.8000000000000004E-3</v>
      </c>
    </row>
    <row r="509" spans="1:23" hidden="1" x14ac:dyDescent="0.55000000000000004">
      <c r="A509" s="41" t="s">
        <v>1498</v>
      </c>
      <c r="B509" s="41" t="s">
        <v>35</v>
      </c>
      <c r="C509" s="41" t="s">
        <v>10</v>
      </c>
      <c r="D509" s="41" t="s">
        <v>1488</v>
      </c>
      <c r="E509" s="41" t="s">
        <v>1486</v>
      </c>
      <c r="F509" s="41" t="s">
        <v>2081</v>
      </c>
      <c r="G509" s="41" t="s">
        <v>11</v>
      </c>
      <c r="H509" s="41" t="s">
        <v>1773</v>
      </c>
      <c r="I509" s="41"/>
      <c r="J509" s="41"/>
      <c r="K509" s="41" t="str">
        <f>IFERROR(VLOOKUP(L509,'Raw material list'!$A$3:$C$715,3,0),"")</f>
        <v>MET2-3558</v>
      </c>
      <c r="L509" s="57" t="s">
        <v>909</v>
      </c>
      <c r="M509" s="40" t="s">
        <v>156</v>
      </c>
      <c r="N509" s="40" t="str">
        <f>VLOOKUP(L509,'Raw material list'!$A$3:$E$715,5,0)</f>
        <v xml:space="preserve">Gram </v>
      </c>
      <c r="O509" s="40">
        <v>1000</v>
      </c>
      <c r="P509" s="299">
        <f t="shared" si="29"/>
        <v>1117.31843575419</v>
      </c>
      <c r="Q509" s="40">
        <v>89.5</v>
      </c>
      <c r="R509" s="40">
        <v>10</v>
      </c>
      <c r="S509" s="40"/>
      <c r="T509" s="105">
        <f t="shared" si="28"/>
        <v>100</v>
      </c>
      <c r="U509" s="105">
        <f t="shared" si="30"/>
        <v>111.73184357541899</v>
      </c>
      <c r="V509" s="104">
        <f>IFERROR(VLOOKUP(L509,'Raw material list'!$A$2:$S$3102,6,0),0)</f>
        <v>8.7272727272727266E-2</v>
      </c>
      <c r="W509" s="104">
        <f t="shared" si="31"/>
        <v>9.7511427120365664</v>
      </c>
    </row>
    <row r="510" spans="1:23" hidden="1" x14ac:dyDescent="0.55000000000000004">
      <c r="A510" s="41" t="s">
        <v>1498</v>
      </c>
      <c r="B510" s="41" t="s">
        <v>35</v>
      </c>
      <c r="C510" s="41" t="s">
        <v>10</v>
      </c>
      <c r="D510" s="41" t="s">
        <v>1488</v>
      </c>
      <c r="E510" s="41" t="s">
        <v>1486</v>
      </c>
      <c r="F510" s="41" t="s">
        <v>2079</v>
      </c>
      <c r="G510" s="41" t="s">
        <v>11</v>
      </c>
      <c r="H510" s="41" t="s">
        <v>1773</v>
      </c>
      <c r="I510" s="41"/>
      <c r="J510" s="41"/>
      <c r="K510" s="41" t="str">
        <f>IFERROR(VLOOKUP(L510,'Raw material list'!$A$3:$C$715,3,0),"")</f>
        <v>DRS3-1813</v>
      </c>
      <c r="L510" s="56" t="s">
        <v>69</v>
      </c>
      <c r="M510" s="40" t="s">
        <v>206</v>
      </c>
      <c r="N510" s="40" t="str">
        <f>VLOOKUP(L510,'Raw material list'!$A$3:$E$715,5,0)</f>
        <v>Ml</v>
      </c>
      <c r="O510" s="40">
        <v>20</v>
      </c>
      <c r="P510" s="299">
        <f t="shared" si="29"/>
        <v>20</v>
      </c>
      <c r="Q510" s="40">
        <v>100</v>
      </c>
      <c r="R510" s="40">
        <v>10</v>
      </c>
      <c r="S510" s="40"/>
      <c r="T510" s="105">
        <f t="shared" si="28"/>
        <v>2</v>
      </c>
      <c r="U510" s="105">
        <f t="shared" si="30"/>
        <v>2</v>
      </c>
      <c r="V510" s="104">
        <f>IFERROR(VLOOKUP(L510,'Raw material list'!$A$2:$S$3102,6,0),0)</f>
        <v>8.0555555555555554E-3</v>
      </c>
      <c r="W510" s="104">
        <f t="shared" si="31"/>
        <v>1.6111111111111111E-2</v>
      </c>
    </row>
    <row r="511" spans="1:23" hidden="1" x14ac:dyDescent="0.55000000000000004">
      <c r="A511" s="41" t="s">
        <v>1498</v>
      </c>
      <c r="B511" s="41" t="s">
        <v>35</v>
      </c>
      <c r="C511" s="41" t="s">
        <v>10</v>
      </c>
      <c r="D511" s="41" t="s">
        <v>1488</v>
      </c>
      <c r="E511" s="41" t="s">
        <v>1486</v>
      </c>
      <c r="F511" s="41" t="s">
        <v>2079</v>
      </c>
      <c r="G511" s="41" t="s">
        <v>11</v>
      </c>
      <c r="H511" s="41" t="s">
        <v>1773</v>
      </c>
      <c r="I511" s="41"/>
      <c r="J511" s="41"/>
      <c r="K511" s="41" t="str">
        <f>IFERROR(VLOOKUP(L511,'Raw material list'!$A$3:$C$715,3,0),"")</f>
        <v>PRD1-4265</v>
      </c>
      <c r="L511" s="41" t="s">
        <v>38</v>
      </c>
      <c r="M511" s="40" t="s">
        <v>156</v>
      </c>
      <c r="N511" s="40" t="str">
        <f>VLOOKUP(L511,'Raw material list'!$A$3:$E$715,5,0)</f>
        <v xml:space="preserve">Gram </v>
      </c>
      <c r="O511" s="40">
        <v>150</v>
      </c>
      <c r="P511" s="299">
        <f t="shared" si="29"/>
        <v>176.47058823529412</v>
      </c>
      <c r="Q511" s="105">
        <v>85</v>
      </c>
      <c r="R511" s="40">
        <v>10</v>
      </c>
      <c r="S511" s="40"/>
      <c r="T511" s="105">
        <f t="shared" si="28"/>
        <v>15</v>
      </c>
      <c r="U511" s="105">
        <f t="shared" si="30"/>
        <v>17.647058823529413</v>
      </c>
      <c r="V511" s="104">
        <f>IFERROR(VLOOKUP(L511,'Raw material list'!$A$2:$S$3102,6,0),0)</f>
        <v>3.529411764705882E-3</v>
      </c>
      <c r="W511" s="104">
        <f t="shared" si="31"/>
        <v>6.228373702422145E-2</v>
      </c>
    </row>
    <row r="512" spans="1:23" hidden="1" x14ac:dyDescent="0.55000000000000004">
      <c r="A512" s="41" t="s">
        <v>1498</v>
      </c>
      <c r="B512" s="41" t="s">
        <v>35</v>
      </c>
      <c r="C512" s="41" t="s">
        <v>10</v>
      </c>
      <c r="D512" s="41" t="s">
        <v>1488</v>
      </c>
      <c r="E512" s="41" t="s">
        <v>1486</v>
      </c>
      <c r="F512" s="41" t="s">
        <v>2079</v>
      </c>
      <c r="G512" s="41" t="s">
        <v>11</v>
      </c>
      <c r="H512" s="41" t="s">
        <v>1773</v>
      </c>
      <c r="I512" s="41"/>
      <c r="J512" s="41"/>
      <c r="K512" s="41" t="str">
        <f>IFERROR(VLOOKUP(L512,'Raw material list'!$A$3:$C$715,3,0),"")</f>
        <v>PRD1-4327</v>
      </c>
      <c r="L512" s="41" t="s">
        <v>39</v>
      </c>
      <c r="M512" s="40" t="s">
        <v>156</v>
      </c>
      <c r="N512" s="40" t="str">
        <f>VLOOKUP(L512,'Raw material list'!$A$3:$E$715,5,0)</f>
        <v xml:space="preserve">Gram </v>
      </c>
      <c r="O512" s="40">
        <v>15</v>
      </c>
      <c r="P512" s="299">
        <f t="shared" si="29"/>
        <v>18.072289156626507</v>
      </c>
      <c r="Q512" s="105">
        <v>83</v>
      </c>
      <c r="R512" s="40">
        <v>10</v>
      </c>
      <c r="S512" s="40"/>
      <c r="T512" s="105">
        <f t="shared" si="28"/>
        <v>1.5</v>
      </c>
      <c r="U512" s="105">
        <f t="shared" si="30"/>
        <v>1.8072289156626506</v>
      </c>
      <c r="V512" s="104">
        <f>IFERROR(VLOOKUP(L512,'Raw material list'!$A$2:$S$3102,6,0),0)</f>
        <v>1.2999999999999999E-2</v>
      </c>
      <c r="W512" s="104">
        <f t="shared" si="31"/>
        <v>2.3493975903614458E-2</v>
      </c>
    </row>
    <row r="513" spans="1:23" hidden="1" x14ac:dyDescent="0.55000000000000004">
      <c r="A513" s="41" t="s">
        <v>1498</v>
      </c>
      <c r="B513" s="41" t="s">
        <v>35</v>
      </c>
      <c r="C513" s="41" t="s">
        <v>10</v>
      </c>
      <c r="D513" s="41" t="s">
        <v>1488</v>
      </c>
      <c r="E513" s="41" t="s">
        <v>1486</v>
      </c>
      <c r="F513" s="41" t="s">
        <v>2079</v>
      </c>
      <c r="G513" s="41" t="s">
        <v>11</v>
      </c>
      <c r="H513" s="41" t="s">
        <v>1773</v>
      </c>
      <c r="I513" s="41"/>
      <c r="J513" s="41"/>
      <c r="K513" s="41" t="str">
        <f>IFERROR(VLOOKUP(L513,'Raw material list'!$A$3:$C$715,3,0),"")</f>
        <v>PRD1-230</v>
      </c>
      <c r="L513" s="41" t="s">
        <v>70</v>
      </c>
      <c r="M513" s="40" t="s">
        <v>156</v>
      </c>
      <c r="N513" s="40" t="str">
        <f>VLOOKUP(L513,'Raw material list'!$A$3:$E$715,5,0)</f>
        <v xml:space="preserve">Gram </v>
      </c>
      <c r="O513" s="40">
        <v>750</v>
      </c>
      <c r="P513" s="299">
        <f t="shared" si="29"/>
        <v>1012.1457489878543</v>
      </c>
      <c r="Q513" s="105">
        <v>74.099999999999994</v>
      </c>
      <c r="R513" s="40">
        <v>10</v>
      </c>
      <c r="S513" s="40"/>
      <c r="T513" s="105">
        <f t="shared" si="28"/>
        <v>75</v>
      </c>
      <c r="U513" s="105">
        <f t="shared" si="30"/>
        <v>101.21457489878543</v>
      </c>
      <c r="V513" s="104">
        <f>IFERROR(VLOOKUP(L513,'Raw material list'!$A$2:$S$3102,6,0),0)</f>
        <v>3.3738191632928472E-3</v>
      </c>
      <c r="W513" s="104">
        <f t="shared" si="31"/>
        <v>0.34147967239806148</v>
      </c>
    </row>
    <row r="514" spans="1:23" hidden="1" x14ac:dyDescent="0.55000000000000004">
      <c r="A514" s="41" t="s">
        <v>1498</v>
      </c>
      <c r="B514" s="41" t="s">
        <v>35</v>
      </c>
      <c r="C514" s="41" t="s">
        <v>10</v>
      </c>
      <c r="D514" s="41" t="s">
        <v>1488</v>
      </c>
      <c r="E514" s="41" t="s">
        <v>1486</v>
      </c>
      <c r="F514" s="41" t="s">
        <v>2079</v>
      </c>
      <c r="G514" s="41" t="s">
        <v>11</v>
      </c>
      <c r="H514" s="41" t="s">
        <v>1773</v>
      </c>
      <c r="I514" s="41"/>
      <c r="J514" s="41"/>
      <c r="K514" s="41" t="str">
        <f>IFERROR(VLOOKUP(L514,'Raw material list'!$A$3:$C$715,3,0),"")</f>
        <v>PRD1-3794</v>
      </c>
      <c r="L514" s="41" t="s">
        <v>973</v>
      </c>
      <c r="M514" s="40" t="s">
        <v>156</v>
      </c>
      <c r="N514" s="40" t="str">
        <f>VLOOKUP(L514,'Raw material list'!$A$3:$E$715,5,0)</f>
        <v xml:space="preserve">Gram </v>
      </c>
      <c r="O514" s="40">
        <v>350</v>
      </c>
      <c r="P514" s="299">
        <f t="shared" si="29"/>
        <v>432.09876543209873</v>
      </c>
      <c r="Q514" s="105">
        <v>81</v>
      </c>
      <c r="R514" s="40">
        <v>10</v>
      </c>
      <c r="S514" s="40"/>
      <c r="T514" s="105">
        <f t="shared" si="28"/>
        <v>35</v>
      </c>
      <c r="U514" s="105">
        <f t="shared" si="30"/>
        <v>43.209876543209873</v>
      </c>
      <c r="V514" s="104">
        <f>IFERROR(VLOOKUP(L514,'Raw material list'!$A$2:$S$3102,6,0),0)</f>
        <v>4.9382716049382715E-3</v>
      </c>
      <c r="W514" s="104">
        <f t="shared" si="31"/>
        <v>0.2133821063862216</v>
      </c>
    </row>
    <row r="515" spans="1:23" hidden="1" x14ac:dyDescent="0.55000000000000004">
      <c r="A515" s="41" t="s">
        <v>1498</v>
      </c>
      <c r="B515" s="41" t="s">
        <v>35</v>
      </c>
      <c r="C515" s="41" t="s">
        <v>10</v>
      </c>
      <c r="D515" s="41" t="s">
        <v>1488</v>
      </c>
      <c r="E515" s="41" t="s">
        <v>1486</v>
      </c>
      <c r="F515" s="41" t="s">
        <v>2079</v>
      </c>
      <c r="G515" s="41" t="s">
        <v>11</v>
      </c>
      <c r="H515" s="41" t="s">
        <v>1773</v>
      </c>
      <c r="I515" s="41"/>
      <c r="J515" s="41"/>
      <c r="K515" s="41" t="str">
        <f>IFERROR(VLOOKUP(L515,'Raw material list'!$A$3:$C$715,3,0),"")</f>
        <v>PRD1-186</v>
      </c>
      <c r="L515" s="41" t="s">
        <v>37</v>
      </c>
      <c r="M515" s="40" t="s">
        <v>156</v>
      </c>
      <c r="N515" s="40" t="str">
        <f>VLOOKUP(L515,'Raw material list'!$A$3:$E$715,5,0)</f>
        <v xml:space="preserve">Gram </v>
      </c>
      <c r="O515" s="40">
        <v>350</v>
      </c>
      <c r="P515" s="299">
        <f t="shared" si="29"/>
        <v>428.57142857142856</v>
      </c>
      <c r="Q515" s="105">
        <v>81.666666666666671</v>
      </c>
      <c r="R515" s="40">
        <v>10</v>
      </c>
      <c r="S515" s="40"/>
      <c r="T515" s="105">
        <f t="shared" si="28"/>
        <v>35</v>
      </c>
      <c r="U515" s="105">
        <f t="shared" si="30"/>
        <v>42.857142857142854</v>
      </c>
      <c r="V515" s="104">
        <f>IFERROR(VLOOKUP(L515,'Raw material list'!$A$2:$S$3102,6,0),0)</f>
        <v>5.8139534883720938E-3</v>
      </c>
      <c r="W515" s="104">
        <f t="shared" si="31"/>
        <v>0.24916943521594687</v>
      </c>
    </row>
    <row r="516" spans="1:23" hidden="1" x14ac:dyDescent="0.55000000000000004">
      <c r="A516" s="41" t="s">
        <v>1498</v>
      </c>
      <c r="B516" s="41" t="s">
        <v>35</v>
      </c>
      <c r="C516" s="41" t="s">
        <v>10</v>
      </c>
      <c r="D516" s="41" t="s">
        <v>1488</v>
      </c>
      <c r="E516" s="41" t="s">
        <v>1486</v>
      </c>
      <c r="F516" s="41" t="s">
        <v>2079</v>
      </c>
      <c r="G516" s="41" t="s">
        <v>11</v>
      </c>
      <c r="H516" s="41" t="s">
        <v>1773</v>
      </c>
      <c r="I516" s="41"/>
      <c r="J516" s="41"/>
      <c r="K516" s="41" t="str">
        <f>IFERROR(VLOOKUP(L516,'Raw material list'!$A$3:$C$715,3,0),"")</f>
        <v>PRD1-572</v>
      </c>
      <c r="L516" s="41" t="s">
        <v>54</v>
      </c>
      <c r="M516" s="40" t="s">
        <v>156</v>
      </c>
      <c r="N516" s="40" t="str">
        <f>VLOOKUP(L516,'Raw material list'!$A$3:$E$715,5,0)</f>
        <v xml:space="preserve">Gram </v>
      </c>
      <c r="O516" s="40">
        <v>500</v>
      </c>
      <c r="P516" s="299">
        <f t="shared" si="29"/>
        <v>566.67925953910071</v>
      </c>
      <c r="Q516" s="105">
        <v>88.233333333333348</v>
      </c>
      <c r="R516" s="40">
        <v>10</v>
      </c>
      <c r="S516" s="40"/>
      <c r="T516" s="105">
        <f t="shared" si="28"/>
        <v>50</v>
      </c>
      <c r="U516" s="105">
        <f t="shared" si="30"/>
        <v>56.667925953910071</v>
      </c>
      <c r="V516" s="104">
        <f>IFERROR(VLOOKUP(L516,'Raw material list'!$A$2:$S$3102,6,0),0)</f>
        <v>4.5351473922902496E-3</v>
      </c>
      <c r="W516" s="104">
        <f t="shared" si="31"/>
        <v>0.25699739661637222</v>
      </c>
    </row>
    <row r="517" spans="1:23" hidden="1" x14ac:dyDescent="0.55000000000000004">
      <c r="A517" s="41" t="s">
        <v>1498</v>
      </c>
      <c r="B517" s="41" t="s">
        <v>35</v>
      </c>
      <c r="C517" s="41" t="s">
        <v>10</v>
      </c>
      <c r="D517" s="41" t="s">
        <v>1488</v>
      </c>
      <c r="E517" s="41" t="s">
        <v>1486</v>
      </c>
      <c r="F517" s="41" t="s">
        <v>2079</v>
      </c>
      <c r="G517" s="41" t="s">
        <v>11</v>
      </c>
      <c r="H517" s="41" t="s">
        <v>1773</v>
      </c>
      <c r="I517" s="41"/>
      <c r="J517" s="41"/>
      <c r="K517" s="41" t="str">
        <f>IFERROR(VLOOKUP(L517,'Raw material list'!$A$3:$C$715,3,0),"")</f>
        <v>DRS1-1747</v>
      </c>
      <c r="L517" s="41" t="s">
        <v>44</v>
      </c>
      <c r="M517" s="40" t="s">
        <v>156</v>
      </c>
      <c r="N517" s="40" t="str">
        <f>VLOOKUP(L517,'Raw material list'!$A$3:$E$715,5,0)</f>
        <v xml:space="preserve">Gram </v>
      </c>
      <c r="O517" s="40">
        <v>50</v>
      </c>
      <c r="P517" s="299">
        <f t="shared" si="29"/>
        <v>50</v>
      </c>
      <c r="Q517" s="300">
        <v>100</v>
      </c>
      <c r="R517" s="40">
        <v>10</v>
      </c>
      <c r="S517" s="40"/>
      <c r="T517" s="105">
        <f t="shared" ref="T517:T580" si="32">IFERROR(O517/R517,0)</f>
        <v>5</v>
      </c>
      <c r="U517" s="105">
        <f t="shared" si="30"/>
        <v>5</v>
      </c>
      <c r="V517" s="104">
        <f>IFERROR(VLOOKUP(L517,'Raw material list'!$A$2:$S$3102,6,0),0)</f>
        <v>5.185185185185185E-3</v>
      </c>
      <c r="W517" s="104">
        <f t="shared" si="31"/>
        <v>2.5925925925925925E-2</v>
      </c>
    </row>
    <row r="518" spans="1:23" hidden="1" x14ac:dyDescent="0.55000000000000004">
      <c r="A518" s="41" t="s">
        <v>1498</v>
      </c>
      <c r="B518" s="41" t="s">
        <v>35</v>
      </c>
      <c r="C518" s="41" t="s">
        <v>10</v>
      </c>
      <c r="D518" s="41" t="s">
        <v>1488</v>
      </c>
      <c r="E518" s="41" t="s">
        <v>1486</v>
      </c>
      <c r="F518" s="41" t="s">
        <v>2079</v>
      </c>
      <c r="G518" s="41" t="s">
        <v>11</v>
      </c>
      <c r="H518" s="41" t="s">
        <v>1773</v>
      </c>
      <c r="I518" s="41"/>
      <c r="J518" s="41"/>
      <c r="K518" s="41" t="str">
        <f>IFERROR(VLOOKUP(L518,'Raw material list'!$A$3:$C$715,3,0),"")</f>
        <v>TAP-00001</v>
      </c>
      <c r="L518" s="41" t="s">
        <v>1405</v>
      </c>
      <c r="M518" s="40" t="s">
        <v>206</v>
      </c>
      <c r="N518" s="40" t="str">
        <f>VLOOKUP(L518,'Raw material list'!$A$3:$E$715,5,0)</f>
        <v>Ml</v>
      </c>
      <c r="O518" s="40">
        <v>1000</v>
      </c>
      <c r="P518" s="299">
        <f t="shared" ref="P518:P581" si="33">O518/Q518*100</f>
        <v>1000</v>
      </c>
      <c r="Q518" s="40">
        <v>100</v>
      </c>
      <c r="R518" s="40">
        <v>10</v>
      </c>
      <c r="S518" s="40"/>
      <c r="T518" s="105">
        <f t="shared" si="32"/>
        <v>100</v>
      </c>
      <c r="U518" s="105">
        <f t="shared" ref="U518:U581" si="34">IFERROR(P518/R518,0)</f>
        <v>100</v>
      </c>
      <c r="V518" s="104">
        <f>IFERROR(VLOOKUP(L518,'Raw material list'!$A$2:$S$3102,6,0),0)</f>
        <v>8.0000000000000007E-5</v>
      </c>
      <c r="W518" s="104">
        <f t="shared" ref="W518:W581" si="35">IFERROR(V518*U518,0)</f>
        <v>8.0000000000000002E-3</v>
      </c>
    </row>
    <row r="519" spans="1:23" hidden="1" x14ac:dyDescent="0.55000000000000004">
      <c r="A519" s="41" t="s">
        <v>1498</v>
      </c>
      <c r="B519" s="41" t="s">
        <v>35</v>
      </c>
      <c r="C519" s="41" t="s">
        <v>10</v>
      </c>
      <c r="D519" s="41" t="s">
        <v>1488</v>
      </c>
      <c r="E519" s="41" t="s">
        <v>1486</v>
      </c>
      <c r="F519" s="41" t="s">
        <v>2079</v>
      </c>
      <c r="G519" s="41" t="s">
        <v>11</v>
      </c>
      <c r="H519" s="41" t="s">
        <v>1773</v>
      </c>
      <c r="I519" s="41"/>
      <c r="J519" s="41"/>
      <c r="K519" s="41" t="str">
        <f>IFERROR(VLOOKUP(L519,'Raw material list'!$A$3:$C$715,3,0),"")</f>
        <v>DRS6-537</v>
      </c>
      <c r="L519" s="41" t="s">
        <v>46</v>
      </c>
      <c r="M519" s="40" t="s">
        <v>156</v>
      </c>
      <c r="N519" s="40" t="str">
        <f>VLOOKUP(L519,'Raw material list'!$A$3:$E$715,5,0)</f>
        <v xml:space="preserve">Gram </v>
      </c>
      <c r="O519" s="40">
        <v>1</v>
      </c>
      <c r="P519" s="299">
        <f t="shared" si="33"/>
        <v>1</v>
      </c>
      <c r="Q519" s="40">
        <v>100</v>
      </c>
      <c r="R519" s="40">
        <v>10</v>
      </c>
      <c r="S519" s="40"/>
      <c r="T519" s="105">
        <f t="shared" si="32"/>
        <v>0.1</v>
      </c>
      <c r="U519" s="105">
        <f t="shared" si="34"/>
        <v>0.1</v>
      </c>
      <c r="V519" s="104">
        <f>IFERROR(VLOOKUP(L519,'Raw material list'!$A$2:$S$3102,6,0),0)</f>
        <v>3.5000000000000003E-2</v>
      </c>
      <c r="W519" s="104">
        <f t="shared" si="35"/>
        <v>3.5000000000000005E-3</v>
      </c>
    </row>
    <row r="520" spans="1:23" hidden="1" x14ac:dyDescent="0.55000000000000004">
      <c r="A520" s="41" t="s">
        <v>1498</v>
      </c>
      <c r="B520" s="41" t="s">
        <v>35</v>
      </c>
      <c r="C520" s="41" t="s">
        <v>10</v>
      </c>
      <c r="D520" s="41" t="s">
        <v>1488</v>
      </c>
      <c r="E520" s="41" t="s">
        <v>1486</v>
      </c>
      <c r="F520" s="41" t="s">
        <v>2079</v>
      </c>
      <c r="G520" s="41" t="s">
        <v>11</v>
      </c>
      <c r="H520" s="41" t="s">
        <v>1773</v>
      </c>
      <c r="I520" s="41"/>
      <c r="J520" s="41"/>
      <c r="K520" s="41" t="str">
        <f>IFERROR(VLOOKUP(L520,'Raw material list'!$A$3:$C$715,3,0),"")</f>
        <v>DRS1-3880</v>
      </c>
      <c r="L520" s="41" t="s">
        <v>1433</v>
      </c>
      <c r="M520" s="40" t="s">
        <v>156</v>
      </c>
      <c r="N520" s="40" t="str">
        <f>VLOOKUP(L520,'Raw material list'!$A$3:$E$715,5,0)</f>
        <v xml:space="preserve">Gram </v>
      </c>
      <c r="O520" s="40">
        <v>15</v>
      </c>
      <c r="P520" s="299">
        <f t="shared" si="33"/>
        <v>15</v>
      </c>
      <c r="Q520" s="40">
        <v>100</v>
      </c>
      <c r="R520" s="40">
        <v>10</v>
      </c>
      <c r="S520" s="40"/>
      <c r="T520" s="105">
        <f t="shared" si="32"/>
        <v>1.5</v>
      </c>
      <c r="U520" s="105">
        <f t="shared" si="34"/>
        <v>1.5</v>
      </c>
      <c r="V520" s="104">
        <f>IFERROR(VLOOKUP(L520,'Raw material list'!$A$2:$S$3102,6,0),0)</f>
        <v>5.0000000000000001E-4</v>
      </c>
      <c r="W520" s="104">
        <f t="shared" si="35"/>
        <v>7.5000000000000002E-4</v>
      </c>
    </row>
    <row r="521" spans="1:23" hidden="1" x14ac:dyDescent="0.55000000000000004">
      <c r="A521" s="41" t="s">
        <v>1498</v>
      </c>
      <c r="B521" s="41" t="s">
        <v>35</v>
      </c>
      <c r="C521" s="41" t="s">
        <v>10</v>
      </c>
      <c r="D521" s="41" t="s">
        <v>1488</v>
      </c>
      <c r="E521" s="41" t="s">
        <v>1486</v>
      </c>
      <c r="F521" s="41" t="s">
        <v>2079</v>
      </c>
      <c r="G521" s="41" t="s">
        <v>11</v>
      </c>
      <c r="H521" s="41" t="s">
        <v>1773</v>
      </c>
      <c r="I521" s="41"/>
      <c r="J521" s="41"/>
      <c r="K521" s="41" t="str">
        <f>IFERROR(VLOOKUP(L521,'Raw material list'!$A$3:$C$715,3,0),"")</f>
        <v>DRS1-3813</v>
      </c>
      <c r="L521" s="41" t="s">
        <v>67</v>
      </c>
      <c r="M521" s="40" t="s">
        <v>156</v>
      </c>
      <c r="N521" s="40" t="str">
        <f>VLOOKUP(L521,'Raw material list'!$A$3:$E$715,5,0)</f>
        <v xml:space="preserve">Gram </v>
      </c>
      <c r="O521" s="40">
        <v>10</v>
      </c>
      <c r="P521" s="299">
        <f t="shared" si="33"/>
        <v>10</v>
      </c>
      <c r="Q521" s="40">
        <v>100</v>
      </c>
      <c r="R521" s="40">
        <v>10</v>
      </c>
      <c r="S521" s="40"/>
      <c r="T521" s="105">
        <f t="shared" si="32"/>
        <v>1</v>
      </c>
      <c r="U521" s="105">
        <f t="shared" si="34"/>
        <v>1</v>
      </c>
      <c r="V521" s="104">
        <f>IFERROR(VLOOKUP(L521,'Raw material list'!$A$2:$S$3102,6,0),0)</f>
        <v>4.4441666666666664E-2</v>
      </c>
      <c r="W521" s="104">
        <f t="shared" si="35"/>
        <v>4.4441666666666664E-2</v>
      </c>
    </row>
    <row r="522" spans="1:23" hidden="1" x14ac:dyDescent="0.55000000000000004">
      <c r="A522" s="41" t="s">
        <v>1498</v>
      </c>
      <c r="B522" s="41" t="s">
        <v>35</v>
      </c>
      <c r="C522" s="41" t="s">
        <v>10</v>
      </c>
      <c r="D522" s="41" t="s">
        <v>1488</v>
      </c>
      <c r="E522" s="41" t="s">
        <v>1486</v>
      </c>
      <c r="F522" s="41" t="s">
        <v>2079</v>
      </c>
      <c r="G522" s="41" t="s">
        <v>11</v>
      </c>
      <c r="H522" s="41" t="s">
        <v>1773</v>
      </c>
      <c r="I522" s="41"/>
      <c r="J522" s="41"/>
      <c r="K522" s="41" t="str">
        <f>IFERROR(VLOOKUP(L522,'Raw material list'!$A$3:$C$715,3,0),"")</f>
        <v>DRS4-498</v>
      </c>
      <c r="L522" s="41" t="s">
        <v>72</v>
      </c>
      <c r="M522" s="40" t="s">
        <v>156</v>
      </c>
      <c r="N522" s="40" t="str">
        <f>VLOOKUP(L522,'Raw material list'!$A$3:$E$715,5,0)</f>
        <v xml:space="preserve">Gram </v>
      </c>
      <c r="O522" s="40">
        <v>1000</v>
      </c>
      <c r="P522" s="299">
        <f t="shared" si="33"/>
        <v>1000</v>
      </c>
      <c r="Q522" s="40">
        <v>100</v>
      </c>
      <c r="R522" s="40">
        <v>10</v>
      </c>
      <c r="S522" s="40"/>
      <c r="T522" s="105">
        <f t="shared" si="32"/>
        <v>100</v>
      </c>
      <c r="U522" s="105">
        <f t="shared" si="34"/>
        <v>100</v>
      </c>
      <c r="V522" s="104">
        <f>IFERROR(VLOOKUP(L522,'Raw material list'!$A$2:$S$3102,6,0),0)</f>
        <v>5.7499999999999999E-3</v>
      </c>
      <c r="W522" s="104">
        <f t="shared" si="35"/>
        <v>0.57499999999999996</v>
      </c>
    </row>
    <row r="523" spans="1:23" hidden="1" x14ac:dyDescent="0.55000000000000004">
      <c r="A523" s="41" t="s">
        <v>1498</v>
      </c>
      <c r="B523" s="41" t="s">
        <v>35</v>
      </c>
      <c r="C523" s="41" t="s">
        <v>10</v>
      </c>
      <c r="D523" s="41" t="s">
        <v>1488</v>
      </c>
      <c r="E523" s="41" t="s">
        <v>1486</v>
      </c>
      <c r="F523" s="41" t="s">
        <v>2079</v>
      </c>
      <c r="G523" s="41" t="s">
        <v>11</v>
      </c>
      <c r="H523" s="41" t="s">
        <v>1773</v>
      </c>
      <c r="I523" s="41"/>
      <c r="J523" s="41"/>
      <c r="K523" s="41" t="str">
        <f>IFERROR(VLOOKUP(L523,'Raw material list'!$A$3:$C$715,3,0),"")</f>
        <v>PRD1-4265</v>
      </c>
      <c r="L523" s="41" t="s">
        <v>38</v>
      </c>
      <c r="M523" s="40" t="s">
        <v>156</v>
      </c>
      <c r="N523" s="40" t="str">
        <f>VLOOKUP(L523,'Raw material list'!$A$3:$E$715,5,0)</f>
        <v xml:space="preserve">Gram </v>
      </c>
      <c r="O523" s="40">
        <v>80</v>
      </c>
      <c r="P523" s="299">
        <f t="shared" si="33"/>
        <v>94.117647058823522</v>
      </c>
      <c r="Q523" s="105">
        <v>85</v>
      </c>
      <c r="R523" s="40">
        <v>10</v>
      </c>
      <c r="S523" s="40"/>
      <c r="T523" s="105">
        <f t="shared" si="32"/>
        <v>8</v>
      </c>
      <c r="U523" s="105">
        <f t="shared" si="34"/>
        <v>9.4117647058823515</v>
      </c>
      <c r="V523" s="104">
        <f>IFERROR(VLOOKUP(L523,'Raw material list'!$A$2:$S$3102,6,0),0)</f>
        <v>3.529411764705882E-3</v>
      </c>
      <c r="W523" s="104">
        <f t="shared" si="35"/>
        <v>3.3217993079584764E-2</v>
      </c>
    </row>
    <row r="524" spans="1:23" hidden="1" x14ac:dyDescent="0.55000000000000004">
      <c r="A524" s="41" t="s">
        <v>1498</v>
      </c>
      <c r="B524" s="41" t="s">
        <v>35</v>
      </c>
      <c r="C524" s="41" t="s">
        <v>10</v>
      </c>
      <c r="D524" s="41" t="s">
        <v>1488</v>
      </c>
      <c r="E524" s="41" t="s">
        <v>1486</v>
      </c>
      <c r="F524" s="41" t="s">
        <v>2079</v>
      </c>
      <c r="G524" s="41" t="s">
        <v>11</v>
      </c>
      <c r="H524" s="41" t="s">
        <v>1773</v>
      </c>
      <c r="I524" s="41"/>
      <c r="J524" s="41"/>
      <c r="K524" s="41" t="str">
        <f>IFERROR(VLOOKUP(L524,'Raw material list'!$A$3:$C$715,3,0),"")</f>
        <v>DRS6-1674</v>
      </c>
      <c r="L524" s="41" t="s">
        <v>73</v>
      </c>
      <c r="M524" s="40" t="s">
        <v>156</v>
      </c>
      <c r="N524" s="40" t="str">
        <f>VLOOKUP(L524,'Raw material list'!$A$3:$E$715,5,0)</f>
        <v xml:space="preserve">Gram </v>
      </c>
      <c r="O524" s="40">
        <v>1</v>
      </c>
      <c r="P524" s="299">
        <f t="shared" si="33"/>
        <v>1</v>
      </c>
      <c r="Q524" s="300">
        <v>100</v>
      </c>
      <c r="R524" s="40">
        <v>10</v>
      </c>
      <c r="S524" s="40"/>
      <c r="T524" s="105">
        <f t="shared" si="32"/>
        <v>0.1</v>
      </c>
      <c r="U524" s="105">
        <f t="shared" si="34"/>
        <v>0.1</v>
      </c>
      <c r="V524" s="104">
        <f>IFERROR(VLOOKUP(L524,'Raw material list'!$A$2:$S$3102,6,0),0)</f>
        <v>1.2500000000000001E-2</v>
      </c>
      <c r="W524" s="104">
        <f t="shared" si="35"/>
        <v>1.2500000000000002E-3</v>
      </c>
    </row>
    <row r="525" spans="1:23" hidden="1" x14ac:dyDescent="0.55000000000000004">
      <c r="A525" s="41" t="s">
        <v>1498</v>
      </c>
      <c r="B525" s="41" t="s">
        <v>35</v>
      </c>
      <c r="C525" s="41" t="s">
        <v>10</v>
      </c>
      <c r="D525" s="41" t="s">
        <v>1488</v>
      </c>
      <c r="E525" s="41" t="s">
        <v>1486</v>
      </c>
      <c r="F525" s="41" t="s">
        <v>2079</v>
      </c>
      <c r="G525" s="41" t="s">
        <v>11</v>
      </c>
      <c r="H525" s="41" t="s">
        <v>1773</v>
      </c>
      <c r="I525" s="41"/>
      <c r="J525" s="41"/>
      <c r="K525" s="41" t="str">
        <f>IFERROR(VLOOKUP(L525,'Raw material list'!$A$3:$C$715,3,0),"")</f>
        <v>TAP-00001</v>
      </c>
      <c r="L525" s="41" t="s">
        <v>1405</v>
      </c>
      <c r="M525" s="40" t="s">
        <v>206</v>
      </c>
      <c r="N525" s="40" t="str">
        <f>VLOOKUP(L525,'Raw material list'!$A$3:$E$715,5,0)</f>
        <v>Ml</v>
      </c>
      <c r="O525" s="40">
        <v>1600</v>
      </c>
      <c r="P525" s="299">
        <f t="shared" si="33"/>
        <v>1600</v>
      </c>
      <c r="Q525" s="40">
        <v>100</v>
      </c>
      <c r="R525" s="40">
        <v>10</v>
      </c>
      <c r="S525" s="40"/>
      <c r="T525" s="105">
        <f t="shared" si="32"/>
        <v>160</v>
      </c>
      <c r="U525" s="105">
        <f t="shared" si="34"/>
        <v>160</v>
      </c>
      <c r="V525" s="104">
        <f>IFERROR(VLOOKUP(L525,'Raw material list'!$A$2:$S$3102,6,0),0)</f>
        <v>8.0000000000000007E-5</v>
      </c>
      <c r="W525" s="104">
        <f t="shared" si="35"/>
        <v>1.2800000000000001E-2</v>
      </c>
    </row>
    <row r="526" spans="1:23" hidden="1" x14ac:dyDescent="0.55000000000000004">
      <c r="A526" s="41" t="s">
        <v>1498</v>
      </c>
      <c r="B526" s="41" t="s">
        <v>35</v>
      </c>
      <c r="C526" s="41" t="s">
        <v>10</v>
      </c>
      <c r="D526" s="41" t="s">
        <v>1488</v>
      </c>
      <c r="E526" s="41" t="s">
        <v>1486</v>
      </c>
      <c r="F526" s="41" t="s">
        <v>2079</v>
      </c>
      <c r="G526" s="41" t="s">
        <v>11</v>
      </c>
      <c r="H526" s="41" t="s">
        <v>1773</v>
      </c>
      <c r="I526" s="41"/>
      <c r="J526" s="41"/>
      <c r="K526" s="41" t="str">
        <f>IFERROR(VLOOKUP(L526,'Raw material list'!$A$3:$C$715,3,0),"")</f>
        <v>DRS6-3593</v>
      </c>
      <c r="L526" s="41" t="s">
        <v>1407</v>
      </c>
      <c r="M526" s="40" t="s">
        <v>156</v>
      </c>
      <c r="N526" s="40" t="str">
        <f>VLOOKUP(L526,'Raw material list'!$A$3:$E$715,5,0)</f>
        <v xml:space="preserve">Gram </v>
      </c>
      <c r="O526" s="40">
        <v>1</v>
      </c>
      <c r="P526" s="299">
        <f t="shared" si="33"/>
        <v>1</v>
      </c>
      <c r="Q526" s="40">
        <v>100</v>
      </c>
      <c r="R526" s="40">
        <v>10</v>
      </c>
      <c r="S526" s="40"/>
      <c r="T526" s="105">
        <f t="shared" si="32"/>
        <v>0.1</v>
      </c>
      <c r="U526" s="105">
        <f t="shared" si="34"/>
        <v>0.1</v>
      </c>
      <c r="V526" s="104">
        <f>IFERROR(VLOOKUP(L526,'Raw material list'!$A$2:$S$3102,6,0),0)</f>
        <v>8.0000000000000002E-3</v>
      </c>
      <c r="W526" s="104">
        <f t="shared" si="35"/>
        <v>8.0000000000000004E-4</v>
      </c>
    </row>
    <row r="527" spans="1:23" hidden="1" x14ac:dyDescent="0.55000000000000004">
      <c r="A527" s="41" t="s">
        <v>1498</v>
      </c>
      <c r="B527" s="41" t="s">
        <v>35</v>
      </c>
      <c r="C527" s="41" t="s">
        <v>10</v>
      </c>
      <c r="D527" s="41" t="s">
        <v>1488</v>
      </c>
      <c r="E527" s="41" t="s">
        <v>1486</v>
      </c>
      <c r="F527" s="41" t="s">
        <v>2079</v>
      </c>
      <c r="G527" s="41" t="s">
        <v>11</v>
      </c>
      <c r="H527" s="41" t="s">
        <v>1773</v>
      </c>
      <c r="I527" s="41"/>
      <c r="J527" s="41"/>
      <c r="K527" s="41" t="str">
        <f>IFERROR(VLOOKUP(L527,'Raw material list'!$A$3:$C$715,3,0),"")</f>
        <v>DRS3-1813</v>
      </c>
      <c r="L527" s="41" t="s">
        <v>69</v>
      </c>
      <c r="M527" s="40" t="s">
        <v>206</v>
      </c>
      <c r="N527" s="40" t="str">
        <f>VLOOKUP(L527,'Raw material list'!$A$3:$E$715,5,0)</f>
        <v>Ml</v>
      </c>
      <c r="O527" s="40">
        <v>30</v>
      </c>
      <c r="P527" s="299">
        <f t="shared" si="33"/>
        <v>30</v>
      </c>
      <c r="Q527" s="40">
        <v>100</v>
      </c>
      <c r="R527" s="40">
        <v>10</v>
      </c>
      <c r="S527" s="40"/>
      <c r="T527" s="105">
        <f t="shared" si="32"/>
        <v>3</v>
      </c>
      <c r="U527" s="105">
        <f t="shared" si="34"/>
        <v>3</v>
      </c>
      <c r="V527" s="104">
        <f>IFERROR(VLOOKUP(L527,'Raw material list'!$A$2:$S$3102,6,0),0)</f>
        <v>8.0555555555555554E-3</v>
      </c>
      <c r="W527" s="104">
        <f t="shared" si="35"/>
        <v>2.4166666666666666E-2</v>
      </c>
    </row>
    <row r="528" spans="1:23" hidden="1" x14ac:dyDescent="0.55000000000000004">
      <c r="A528" s="41" t="s">
        <v>1498</v>
      </c>
      <c r="B528" s="41" t="s">
        <v>35</v>
      </c>
      <c r="C528" s="41" t="s">
        <v>10</v>
      </c>
      <c r="D528" s="41" t="s">
        <v>1488</v>
      </c>
      <c r="E528" s="41" t="s">
        <v>1486</v>
      </c>
      <c r="F528" s="41" t="s">
        <v>2079</v>
      </c>
      <c r="G528" s="41" t="s">
        <v>11</v>
      </c>
      <c r="H528" s="41" t="s">
        <v>1773</v>
      </c>
      <c r="I528" s="41"/>
      <c r="J528" s="41"/>
      <c r="K528" s="41" t="str">
        <f>IFERROR(VLOOKUP(L528,'Raw material list'!$A$3:$C$715,3,0),"")</f>
        <v>DRS1-304</v>
      </c>
      <c r="L528" s="41" t="s">
        <v>74</v>
      </c>
      <c r="M528" s="40" t="s">
        <v>156</v>
      </c>
      <c r="N528" s="40" t="str">
        <f>VLOOKUP(L528,'Raw material list'!$A$3:$E$715,5,0)</f>
        <v xml:space="preserve">Gram </v>
      </c>
      <c r="O528" s="40">
        <v>1</v>
      </c>
      <c r="P528" s="299">
        <f t="shared" si="33"/>
        <v>1</v>
      </c>
      <c r="Q528" s="40">
        <v>100</v>
      </c>
      <c r="R528" s="40">
        <v>10</v>
      </c>
      <c r="S528" s="40"/>
      <c r="T528" s="105">
        <f t="shared" si="32"/>
        <v>0.1</v>
      </c>
      <c r="U528" s="105">
        <f t="shared" si="34"/>
        <v>0.1</v>
      </c>
      <c r="V528" s="104">
        <f>IFERROR(VLOOKUP(L528,'Raw material list'!$A$2:$S$3102,6,0),0)</f>
        <v>2.0799999999999999E-2</v>
      </c>
      <c r="W528" s="104">
        <f t="shared" si="35"/>
        <v>2.0799999999999998E-3</v>
      </c>
    </row>
    <row r="529" spans="1:23" hidden="1" x14ac:dyDescent="0.55000000000000004">
      <c r="A529" s="41" t="s">
        <v>1498</v>
      </c>
      <c r="B529" s="41" t="s">
        <v>35</v>
      </c>
      <c r="C529" s="41" t="s">
        <v>10</v>
      </c>
      <c r="D529" s="41" t="s">
        <v>1488</v>
      </c>
      <c r="E529" s="41" t="s">
        <v>1486</v>
      </c>
      <c r="F529" s="41" t="s">
        <v>2079</v>
      </c>
      <c r="G529" s="41" t="s">
        <v>11</v>
      </c>
      <c r="H529" s="41" t="s">
        <v>1773</v>
      </c>
      <c r="I529" s="41"/>
      <c r="J529" s="41"/>
      <c r="K529" s="41" t="str">
        <f>IFERROR(VLOOKUP(L529,'Raw material list'!$A$3:$C$715,3,0),"")</f>
        <v>DRS1-3880</v>
      </c>
      <c r="L529" s="41" t="s">
        <v>1433</v>
      </c>
      <c r="M529" s="40" t="s">
        <v>156</v>
      </c>
      <c r="N529" s="40" t="str">
        <f>VLOOKUP(L529,'Raw material list'!$A$3:$E$715,5,0)</f>
        <v xml:space="preserve">Gram </v>
      </c>
      <c r="O529" s="40">
        <v>10</v>
      </c>
      <c r="P529" s="299">
        <f t="shared" si="33"/>
        <v>10</v>
      </c>
      <c r="Q529" s="40">
        <v>100</v>
      </c>
      <c r="R529" s="40">
        <v>10</v>
      </c>
      <c r="S529" s="40"/>
      <c r="T529" s="105">
        <f t="shared" si="32"/>
        <v>1</v>
      </c>
      <c r="U529" s="105">
        <f t="shared" si="34"/>
        <v>1</v>
      </c>
      <c r="V529" s="104">
        <f>IFERROR(VLOOKUP(L529,'Raw material list'!$A$2:$S$3102,6,0),0)</f>
        <v>5.0000000000000001E-4</v>
      </c>
      <c r="W529" s="104">
        <f t="shared" si="35"/>
        <v>5.0000000000000001E-4</v>
      </c>
    </row>
    <row r="530" spans="1:23" hidden="1" x14ac:dyDescent="0.55000000000000004">
      <c r="A530" s="41" t="s">
        <v>1498</v>
      </c>
      <c r="B530" s="41" t="s">
        <v>35</v>
      </c>
      <c r="C530" s="41" t="s">
        <v>10</v>
      </c>
      <c r="D530" s="41" t="s">
        <v>1488</v>
      </c>
      <c r="E530" s="41" t="s">
        <v>1486</v>
      </c>
      <c r="F530" s="41" t="s">
        <v>2079</v>
      </c>
      <c r="G530" s="41" t="s">
        <v>11</v>
      </c>
      <c r="H530" s="41" t="s">
        <v>1773</v>
      </c>
      <c r="I530" s="41"/>
      <c r="J530" s="41"/>
      <c r="K530" s="41" t="str">
        <f>IFERROR(VLOOKUP(L530,'Raw material list'!$A$3:$C$715,3,0),"")</f>
        <v>DRS6-261</v>
      </c>
      <c r="L530" s="57" t="s">
        <v>1406</v>
      </c>
      <c r="M530" s="40" t="s">
        <v>156</v>
      </c>
      <c r="N530" s="40" t="str">
        <f>VLOOKUP(L530,'Raw material list'!$A$3:$E$715,5,0)</f>
        <v xml:space="preserve">Gram </v>
      </c>
      <c r="O530" s="40">
        <v>2</v>
      </c>
      <c r="P530" s="299">
        <f t="shared" si="33"/>
        <v>2</v>
      </c>
      <c r="Q530" s="40">
        <v>100</v>
      </c>
      <c r="R530" s="40">
        <v>10</v>
      </c>
      <c r="S530" s="40"/>
      <c r="T530" s="105">
        <f t="shared" si="32"/>
        <v>0.2</v>
      </c>
      <c r="U530" s="105">
        <f t="shared" si="34"/>
        <v>0.2</v>
      </c>
      <c r="V530" s="104">
        <f>IFERROR(VLOOKUP(L530,'Raw material list'!$A$2:$S$3102,6,0),0)</f>
        <v>1.4E-2</v>
      </c>
      <c r="W530" s="104">
        <f t="shared" si="35"/>
        <v>2.8000000000000004E-3</v>
      </c>
    </row>
    <row r="531" spans="1:23" hidden="1" x14ac:dyDescent="0.55000000000000004">
      <c r="A531" s="41" t="s">
        <v>1499</v>
      </c>
      <c r="B531" s="41" t="s">
        <v>35</v>
      </c>
      <c r="C531" s="41" t="s">
        <v>10</v>
      </c>
      <c r="D531" s="41" t="s">
        <v>1489</v>
      </c>
      <c r="E531" s="41" t="s">
        <v>1486</v>
      </c>
      <c r="F531" s="41" t="s">
        <v>2081</v>
      </c>
      <c r="G531" s="41" t="s">
        <v>11</v>
      </c>
      <c r="H531" s="41" t="s">
        <v>1774</v>
      </c>
      <c r="I531" s="41"/>
      <c r="J531" s="41"/>
      <c r="K531" s="41" t="str">
        <f>IFERROR(VLOOKUP(L531,'Raw material list'!$A$3:$C$715,3,0),"")</f>
        <v>PLT2-1844</v>
      </c>
      <c r="L531" s="41" t="s">
        <v>876</v>
      </c>
      <c r="M531" s="40" t="s">
        <v>156</v>
      </c>
      <c r="N531" s="40" t="str">
        <f>VLOOKUP(L531,'Raw material list'!$A$3:$E$715,5,0)</f>
        <v xml:space="preserve">Gram </v>
      </c>
      <c r="O531" s="40">
        <v>2500</v>
      </c>
      <c r="P531" s="299">
        <f t="shared" si="33"/>
        <v>3051.9125683060111</v>
      </c>
      <c r="Q531" s="40">
        <v>81.915846016114585</v>
      </c>
      <c r="R531" s="40">
        <v>15</v>
      </c>
      <c r="S531" s="40"/>
      <c r="T531" s="105">
        <f t="shared" si="32"/>
        <v>166.66666666666666</v>
      </c>
      <c r="U531" s="105">
        <f t="shared" si="34"/>
        <v>203.46083788706741</v>
      </c>
      <c r="V531" s="104">
        <f>IFERROR(VLOOKUP(L531,'Raw material list'!$A$2:$S$3102,6,0),0)</f>
        <v>1.43E-2</v>
      </c>
      <c r="W531" s="104">
        <f t="shared" si="35"/>
        <v>2.9094899817850641</v>
      </c>
    </row>
    <row r="532" spans="1:23" hidden="1" x14ac:dyDescent="0.55000000000000004">
      <c r="A532" s="41" t="s">
        <v>1499</v>
      </c>
      <c r="B532" s="41" t="s">
        <v>35</v>
      </c>
      <c r="C532" s="41" t="s">
        <v>10</v>
      </c>
      <c r="D532" s="41" t="s">
        <v>1489</v>
      </c>
      <c r="E532" s="41" t="s">
        <v>1486</v>
      </c>
      <c r="F532" s="41" t="s">
        <v>2079</v>
      </c>
      <c r="G532" s="41" t="s">
        <v>11</v>
      </c>
      <c r="H532" s="41" t="s">
        <v>1774</v>
      </c>
      <c r="I532" s="41"/>
      <c r="J532" s="41"/>
      <c r="K532" s="41" t="str">
        <f>IFERROR(VLOOKUP(L532,'Raw material list'!$A$3:$C$715,3,0),"")</f>
        <v>PRD1-4265</v>
      </c>
      <c r="L532" s="41" t="s">
        <v>38</v>
      </c>
      <c r="M532" s="40" t="s">
        <v>156</v>
      </c>
      <c r="N532" s="40" t="str">
        <f>VLOOKUP(L532,'Raw material list'!$A$3:$E$715,5,0)</f>
        <v xml:space="preserve">Gram </v>
      </c>
      <c r="O532" s="40">
        <v>400</v>
      </c>
      <c r="P532" s="299">
        <f t="shared" si="33"/>
        <v>470.58823529411768</v>
      </c>
      <c r="Q532" s="105">
        <v>85</v>
      </c>
      <c r="R532" s="40">
        <v>15</v>
      </c>
      <c r="S532" s="40"/>
      <c r="T532" s="105">
        <f t="shared" si="32"/>
        <v>26.666666666666668</v>
      </c>
      <c r="U532" s="105">
        <f t="shared" si="34"/>
        <v>31.372549019607845</v>
      </c>
      <c r="V532" s="104">
        <f>IFERROR(VLOOKUP(L532,'Raw material list'!$A$2:$S$3102,6,0),0)</f>
        <v>3.529411764705882E-3</v>
      </c>
      <c r="W532" s="104">
        <f t="shared" si="35"/>
        <v>0.11072664359861592</v>
      </c>
    </row>
    <row r="533" spans="1:23" hidden="1" x14ac:dyDescent="0.55000000000000004">
      <c r="A533" s="41" t="s">
        <v>1499</v>
      </c>
      <c r="B533" s="41" t="s">
        <v>35</v>
      </c>
      <c r="C533" s="41" t="s">
        <v>10</v>
      </c>
      <c r="D533" s="41" t="s">
        <v>1489</v>
      </c>
      <c r="E533" s="41" t="s">
        <v>1486</v>
      </c>
      <c r="F533" s="41" t="s">
        <v>2079</v>
      </c>
      <c r="G533" s="41" t="s">
        <v>11</v>
      </c>
      <c r="H533" s="41" t="s">
        <v>1774</v>
      </c>
      <c r="I533" s="41"/>
      <c r="J533" s="41"/>
      <c r="K533" s="41" t="str">
        <f>IFERROR(VLOOKUP(L533,'Raw material list'!$A$3:$C$715,3,0),"")</f>
        <v>PRD1-1358</v>
      </c>
      <c r="L533" s="41" t="s">
        <v>1490</v>
      </c>
      <c r="M533" s="40" t="s">
        <v>156</v>
      </c>
      <c r="N533" s="40" t="str">
        <f>VLOOKUP(L533,'Raw material list'!$A$3:$E$715,5,0)</f>
        <v xml:space="preserve">Gram </v>
      </c>
      <c r="O533" s="40">
        <v>10</v>
      </c>
      <c r="P533" s="299">
        <f t="shared" si="33"/>
        <v>11.76470588235294</v>
      </c>
      <c r="Q533" s="105">
        <v>85</v>
      </c>
      <c r="R533" s="40">
        <v>15</v>
      </c>
      <c r="S533" s="40"/>
      <c r="T533" s="105">
        <f t="shared" si="32"/>
        <v>0.66666666666666663</v>
      </c>
      <c r="U533" s="105">
        <f t="shared" si="34"/>
        <v>0.78431372549019607</v>
      </c>
      <c r="V533" s="104">
        <f>IFERROR(VLOOKUP(L533,'Raw material list'!$A$2:$S$3102,6,0),0)</f>
        <v>7.0000000000000001E-3</v>
      </c>
      <c r="W533" s="104">
        <f t="shared" si="35"/>
        <v>5.4901960784313726E-3</v>
      </c>
    </row>
    <row r="534" spans="1:23" hidden="1" x14ac:dyDescent="0.55000000000000004">
      <c r="A534" s="41" t="s">
        <v>1499</v>
      </c>
      <c r="B534" s="41" t="s">
        <v>35</v>
      </c>
      <c r="C534" s="41" t="s">
        <v>10</v>
      </c>
      <c r="D534" s="41" t="s">
        <v>1489</v>
      </c>
      <c r="E534" s="41" t="s">
        <v>1486</v>
      </c>
      <c r="F534" s="41" t="s">
        <v>2079</v>
      </c>
      <c r="G534" s="41" t="s">
        <v>11</v>
      </c>
      <c r="H534" s="41" t="s">
        <v>1774</v>
      </c>
      <c r="I534" s="41"/>
      <c r="J534" s="41"/>
      <c r="K534" s="41" t="str">
        <f>IFERROR(VLOOKUP(L534,'Raw material list'!$A$3:$C$715,3,0),"")</f>
        <v>DRS6-537</v>
      </c>
      <c r="L534" s="41" t="s">
        <v>46</v>
      </c>
      <c r="M534" s="40" t="s">
        <v>156</v>
      </c>
      <c r="N534" s="40" t="str">
        <f>VLOOKUP(L534,'Raw material list'!$A$3:$E$715,5,0)</f>
        <v xml:space="preserve">Gram </v>
      </c>
      <c r="O534" s="40">
        <v>3</v>
      </c>
      <c r="P534" s="299">
        <f t="shared" si="33"/>
        <v>3</v>
      </c>
      <c r="Q534" s="300">
        <v>100</v>
      </c>
      <c r="R534" s="40">
        <v>15</v>
      </c>
      <c r="S534" s="40"/>
      <c r="T534" s="105">
        <f t="shared" si="32"/>
        <v>0.2</v>
      </c>
      <c r="U534" s="105">
        <f t="shared" si="34"/>
        <v>0.2</v>
      </c>
      <c r="V534" s="104">
        <f>IFERROR(VLOOKUP(L534,'Raw material list'!$A$2:$S$3102,6,0),0)</f>
        <v>3.5000000000000003E-2</v>
      </c>
      <c r="W534" s="104">
        <f t="shared" si="35"/>
        <v>7.000000000000001E-3</v>
      </c>
    </row>
    <row r="535" spans="1:23" hidden="1" x14ac:dyDescent="0.55000000000000004">
      <c r="A535" s="41" t="s">
        <v>1499</v>
      </c>
      <c r="B535" s="41" t="s">
        <v>35</v>
      </c>
      <c r="C535" s="41" t="s">
        <v>10</v>
      </c>
      <c r="D535" s="41" t="s">
        <v>1489</v>
      </c>
      <c r="E535" s="41" t="s">
        <v>1486</v>
      </c>
      <c r="F535" s="41" t="s">
        <v>2079</v>
      </c>
      <c r="G535" s="41" t="s">
        <v>11</v>
      </c>
      <c r="H535" s="41" t="s">
        <v>1774</v>
      </c>
      <c r="I535" s="41"/>
      <c r="J535" s="41"/>
      <c r="K535" s="41" t="str">
        <f>IFERROR(VLOOKUP(L535,'Raw material list'!$A$3:$C$715,3,0),"")</f>
        <v>DRS1-3811</v>
      </c>
      <c r="L535" s="56" t="s">
        <v>40</v>
      </c>
      <c r="M535" s="40" t="s">
        <v>156</v>
      </c>
      <c r="N535" s="40" t="str">
        <f>VLOOKUP(L535,'Raw material list'!$A$3:$E$715,5,0)</f>
        <v xml:space="preserve">Gram </v>
      </c>
      <c r="O535" s="40">
        <v>15</v>
      </c>
      <c r="P535" s="299">
        <f t="shared" si="33"/>
        <v>15</v>
      </c>
      <c r="Q535" s="40">
        <v>100</v>
      </c>
      <c r="R535" s="40">
        <v>15</v>
      </c>
      <c r="S535" s="40"/>
      <c r="T535" s="105">
        <f t="shared" si="32"/>
        <v>1</v>
      </c>
      <c r="U535" s="105">
        <f t="shared" si="34"/>
        <v>1</v>
      </c>
      <c r="V535" s="104">
        <f>IFERROR(VLOOKUP(L535,'Raw material list'!$A$2:$S$3102,6,0),0)</f>
        <v>2.8475E-2</v>
      </c>
      <c r="W535" s="104">
        <f t="shared" si="35"/>
        <v>2.8475E-2</v>
      </c>
    </row>
    <row r="536" spans="1:23" hidden="1" x14ac:dyDescent="0.55000000000000004">
      <c r="A536" s="41" t="s">
        <v>1499</v>
      </c>
      <c r="B536" s="41" t="s">
        <v>35</v>
      </c>
      <c r="C536" s="41" t="s">
        <v>10</v>
      </c>
      <c r="D536" s="41" t="s">
        <v>1489</v>
      </c>
      <c r="E536" s="41" t="s">
        <v>1486</v>
      </c>
      <c r="F536" s="41" t="s">
        <v>2079</v>
      </c>
      <c r="G536" s="41" t="s">
        <v>11</v>
      </c>
      <c r="H536" s="41" t="s">
        <v>1774</v>
      </c>
      <c r="I536" s="41"/>
      <c r="J536" s="41"/>
      <c r="K536" s="41" t="str">
        <f>IFERROR(VLOOKUP(L536,'Raw material list'!$A$3:$C$715,3,0),"")</f>
        <v>TAP-00001</v>
      </c>
      <c r="L536" s="41" t="s">
        <v>1405</v>
      </c>
      <c r="M536" s="40" t="s">
        <v>206</v>
      </c>
      <c r="N536" s="40" t="str">
        <f>VLOOKUP(L536,'Raw material list'!$A$3:$E$715,5,0)</f>
        <v>Ml</v>
      </c>
      <c r="O536" s="40">
        <v>300</v>
      </c>
      <c r="P536" s="299">
        <f t="shared" si="33"/>
        <v>300</v>
      </c>
      <c r="Q536" s="40">
        <v>100</v>
      </c>
      <c r="R536" s="40">
        <v>15</v>
      </c>
      <c r="S536" s="40"/>
      <c r="T536" s="105">
        <f t="shared" si="32"/>
        <v>20</v>
      </c>
      <c r="U536" s="105">
        <f t="shared" si="34"/>
        <v>20</v>
      </c>
      <c r="V536" s="104">
        <f>IFERROR(VLOOKUP(L536,'Raw material list'!$A$2:$S$3102,6,0),0)</f>
        <v>8.0000000000000007E-5</v>
      </c>
      <c r="W536" s="104">
        <f t="shared" si="35"/>
        <v>1.6000000000000001E-3</v>
      </c>
    </row>
    <row r="537" spans="1:23" hidden="1" x14ac:dyDescent="0.55000000000000004">
      <c r="A537" s="41" t="s">
        <v>1499</v>
      </c>
      <c r="B537" s="41" t="s">
        <v>35</v>
      </c>
      <c r="C537" s="41" t="s">
        <v>10</v>
      </c>
      <c r="D537" s="41" t="s">
        <v>1489</v>
      </c>
      <c r="E537" s="41" t="s">
        <v>1486</v>
      </c>
      <c r="F537" s="41" t="s">
        <v>2079</v>
      </c>
      <c r="G537" s="41" t="s">
        <v>11</v>
      </c>
      <c r="H537" s="41" t="s">
        <v>1774</v>
      </c>
      <c r="I537" s="41"/>
      <c r="J537" s="41"/>
      <c r="K537" s="41" t="str">
        <f>IFERROR(VLOOKUP(L537,'Raw material list'!$A$3:$C$715,3,0),"")</f>
        <v>PRD1-185</v>
      </c>
      <c r="L537" s="41" t="s">
        <v>79</v>
      </c>
      <c r="M537" s="40" t="s">
        <v>156</v>
      </c>
      <c r="N537" s="40" t="str">
        <f>VLOOKUP(L537,'Raw material list'!$A$3:$E$715,5,0)</f>
        <v xml:space="preserve">Gram </v>
      </c>
      <c r="O537" s="40">
        <v>400</v>
      </c>
      <c r="P537" s="299">
        <f t="shared" si="33"/>
        <v>594.05940594059416</v>
      </c>
      <c r="Q537" s="105">
        <v>67.333333333333329</v>
      </c>
      <c r="R537" s="40">
        <v>15</v>
      </c>
      <c r="S537" s="40"/>
      <c r="T537" s="105">
        <f t="shared" si="32"/>
        <v>26.666666666666668</v>
      </c>
      <c r="U537" s="105">
        <f t="shared" si="34"/>
        <v>39.603960396039611</v>
      </c>
      <c r="V537" s="104">
        <f>IFERROR(VLOOKUP(L537,'Raw material list'!$A$2:$S$3102,6,0),0)</f>
        <v>4.4576523031203555E-3</v>
      </c>
      <c r="W537" s="104">
        <f t="shared" si="35"/>
        <v>0.17654068527209332</v>
      </c>
    </row>
    <row r="538" spans="1:23" hidden="1" x14ac:dyDescent="0.55000000000000004">
      <c r="A538" s="41" t="s">
        <v>1499</v>
      </c>
      <c r="B538" s="41" t="s">
        <v>35</v>
      </c>
      <c r="C538" s="41" t="s">
        <v>10</v>
      </c>
      <c r="D538" s="41" t="s">
        <v>1489</v>
      </c>
      <c r="E538" s="41" t="s">
        <v>1486</v>
      </c>
      <c r="F538" s="41" t="s">
        <v>2079</v>
      </c>
      <c r="G538" s="41" t="s">
        <v>11</v>
      </c>
      <c r="H538" s="41" t="s">
        <v>1774</v>
      </c>
      <c r="I538" s="41"/>
      <c r="J538" s="41"/>
      <c r="K538" s="41" t="str">
        <f>IFERROR(VLOOKUP(L538,'Raw material list'!$A$3:$C$715,3,0),"")</f>
        <v>DRS4-498</v>
      </c>
      <c r="L538" s="41" t="s">
        <v>72</v>
      </c>
      <c r="M538" s="40" t="s">
        <v>156</v>
      </c>
      <c r="N538" s="40" t="str">
        <f>VLOOKUP(L538,'Raw material list'!$A$3:$E$715,5,0)</f>
        <v xml:space="preserve">Gram </v>
      </c>
      <c r="O538" s="40">
        <v>1000</v>
      </c>
      <c r="P538" s="299">
        <f t="shared" si="33"/>
        <v>1000</v>
      </c>
      <c r="Q538" s="300">
        <v>100</v>
      </c>
      <c r="R538" s="40">
        <v>15</v>
      </c>
      <c r="S538" s="40"/>
      <c r="T538" s="105">
        <f t="shared" si="32"/>
        <v>66.666666666666671</v>
      </c>
      <c r="U538" s="105">
        <f t="shared" si="34"/>
        <v>66.666666666666671</v>
      </c>
      <c r="V538" s="104">
        <f>IFERROR(VLOOKUP(L538,'Raw material list'!$A$2:$S$3102,6,0),0)</f>
        <v>5.7499999999999999E-3</v>
      </c>
      <c r="W538" s="104">
        <f t="shared" si="35"/>
        <v>0.38333333333333336</v>
      </c>
    </row>
    <row r="539" spans="1:23" hidden="1" x14ac:dyDescent="0.55000000000000004">
      <c r="A539" s="41" t="s">
        <v>1499</v>
      </c>
      <c r="B539" s="41" t="s">
        <v>35</v>
      </c>
      <c r="C539" s="41" t="s">
        <v>10</v>
      </c>
      <c r="D539" s="41" t="s">
        <v>1489</v>
      </c>
      <c r="E539" s="41" t="s">
        <v>1486</v>
      </c>
      <c r="F539" s="41" t="s">
        <v>2079</v>
      </c>
      <c r="G539" s="41" t="s">
        <v>11</v>
      </c>
      <c r="H539" s="41" t="s">
        <v>1774</v>
      </c>
      <c r="I539" s="41"/>
      <c r="J539" s="41"/>
      <c r="K539" s="41" t="str">
        <f>IFERROR(VLOOKUP(L539,'Raw material list'!$A$3:$C$715,3,0),"")</f>
        <v>TAP-00001</v>
      </c>
      <c r="L539" s="41" t="s">
        <v>1405</v>
      </c>
      <c r="M539" s="40" t="s">
        <v>206</v>
      </c>
      <c r="N539" s="40" t="str">
        <f>VLOOKUP(L539,'Raw material list'!$A$3:$E$715,5,0)</f>
        <v>Ml</v>
      </c>
      <c r="O539" s="40">
        <v>1600</v>
      </c>
      <c r="P539" s="299">
        <f t="shared" si="33"/>
        <v>1600</v>
      </c>
      <c r="Q539" s="40">
        <v>100</v>
      </c>
      <c r="R539" s="40">
        <v>15</v>
      </c>
      <c r="S539" s="40"/>
      <c r="T539" s="105">
        <f t="shared" si="32"/>
        <v>106.66666666666667</v>
      </c>
      <c r="U539" s="105">
        <f t="shared" si="34"/>
        <v>106.66666666666667</v>
      </c>
      <c r="V539" s="104">
        <f>IFERROR(VLOOKUP(L539,'Raw material list'!$A$2:$S$3102,6,0),0)</f>
        <v>8.0000000000000007E-5</v>
      </c>
      <c r="W539" s="104">
        <f t="shared" si="35"/>
        <v>8.5333333333333337E-3</v>
      </c>
    </row>
    <row r="540" spans="1:23" hidden="1" x14ac:dyDescent="0.55000000000000004">
      <c r="A540" s="41" t="s">
        <v>1500</v>
      </c>
      <c r="B540" s="41" t="s">
        <v>35</v>
      </c>
      <c r="C540" s="41" t="s">
        <v>10</v>
      </c>
      <c r="D540" s="41" t="s">
        <v>1491</v>
      </c>
      <c r="E540" s="41" t="s">
        <v>1486</v>
      </c>
      <c r="F540" s="41" t="s">
        <v>2081</v>
      </c>
      <c r="G540" s="41" t="s">
        <v>11</v>
      </c>
      <c r="H540" s="41" t="s">
        <v>1773</v>
      </c>
      <c r="I540" s="41"/>
      <c r="J540" s="41"/>
      <c r="K540" s="41" t="str">
        <f>IFERROR(VLOOKUP(L540,'Raw material list'!$A$3:$C$715,3,0),"")</f>
        <v>PLT2-3278</v>
      </c>
      <c r="L540" s="41" t="s">
        <v>80</v>
      </c>
      <c r="M540" s="40" t="s">
        <v>156</v>
      </c>
      <c r="N540" s="40" t="str">
        <f>VLOOKUP(L540,'Raw material list'!$A$3:$E$715,5,0)</f>
        <v xml:space="preserve">Gram </v>
      </c>
      <c r="O540" s="40">
        <v>1200</v>
      </c>
      <c r="P540" s="299">
        <f t="shared" si="33"/>
        <v>1574.803149606299</v>
      </c>
      <c r="Q540" s="40">
        <v>76.2</v>
      </c>
      <c r="R540" s="40">
        <v>15</v>
      </c>
      <c r="S540" s="40"/>
      <c r="T540" s="105">
        <f t="shared" si="32"/>
        <v>80</v>
      </c>
      <c r="U540" s="105">
        <f t="shared" si="34"/>
        <v>104.98687664041994</v>
      </c>
      <c r="V540" s="104">
        <f>IFERROR(VLOOKUP(L540,'Raw material list'!$A$2:$S$3102,6,0),0)</f>
        <v>3.0357142857142853E-2</v>
      </c>
      <c r="W540" s="104">
        <f t="shared" si="35"/>
        <v>3.1871016122984619</v>
      </c>
    </row>
    <row r="541" spans="1:23" hidden="1" x14ac:dyDescent="0.55000000000000004">
      <c r="A541" s="41" t="s">
        <v>1500</v>
      </c>
      <c r="B541" s="41" t="s">
        <v>35</v>
      </c>
      <c r="C541" s="41" t="s">
        <v>10</v>
      </c>
      <c r="D541" s="41" t="s">
        <v>1491</v>
      </c>
      <c r="E541" s="41" t="s">
        <v>1486</v>
      </c>
      <c r="F541" s="41" t="s">
        <v>2079</v>
      </c>
      <c r="G541" s="41" t="s">
        <v>11</v>
      </c>
      <c r="H541" s="41" t="s">
        <v>1773</v>
      </c>
      <c r="I541" s="41"/>
      <c r="J541" s="41"/>
      <c r="K541" s="41" t="str">
        <f>IFERROR(VLOOKUP(L541,'Raw material list'!$A$3:$C$715,3,0),"")</f>
        <v>DRS3-1813</v>
      </c>
      <c r="L541" s="41" t="s">
        <v>69</v>
      </c>
      <c r="M541" s="40" t="s">
        <v>206</v>
      </c>
      <c r="N541" s="40" t="str">
        <f>VLOOKUP(L541,'Raw material list'!$A$3:$E$715,5,0)</f>
        <v>Ml</v>
      </c>
      <c r="O541" s="40">
        <v>50</v>
      </c>
      <c r="P541" s="299">
        <f t="shared" si="33"/>
        <v>50</v>
      </c>
      <c r="Q541" s="40">
        <v>100</v>
      </c>
      <c r="R541" s="40">
        <v>15</v>
      </c>
      <c r="S541" s="40"/>
      <c r="T541" s="105">
        <f t="shared" si="32"/>
        <v>3.3333333333333335</v>
      </c>
      <c r="U541" s="105">
        <f t="shared" si="34"/>
        <v>3.3333333333333335</v>
      </c>
      <c r="V541" s="104">
        <f>IFERROR(VLOOKUP(L541,'Raw material list'!$A$2:$S$3102,6,0),0)</f>
        <v>8.0555555555555554E-3</v>
      </c>
      <c r="W541" s="104">
        <f t="shared" si="35"/>
        <v>2.6851851851851852E-2</v>
      </c>
    </row>
    <row r="542" spans="1:23" hidden="1" x14ac:dyDescent="0.55000000000000004">
      <c r="A542" s="41" t="s">
        <v>1500</v>
      </c>
      <c r="B542" s="41" t="s">
        <v>35</v>
      </c>
      <c r="C542" s="41" t="s">
        <v>10</v>
      </c>
      <c r="D542" s="41" t="s">
        <v>1491</v>
      </c>
      <c r="E542" s="41" t="s">
        <v>1486</v>
      </c>
      <c r="F542" s="41" t="s">
        <v>2079</v>
      </c>
      <c r="G542" s="41" t="s">
        <v>11</v>
      </c>
      <c r="H542" s="41" t="s">
        <v>1773</v>
      </c>
      <c r="I542" s="41"/>
      <c r="J542" s="41"/>
      <c r="K542" s="41" t="str">
        <f>IFERROR(VLOOKUP(L542,'Raw material list'!$A$3:$C$715,3,0),"")</f>
        <v>PRD1-204</v>
      </c>
      <c r="L542" s="41" t="s">
        <v>81</v>
      </c>
      <c r="M542" s="40" t="s">
        <v>156</v>
      </c>
      <c r="N542" s="40" t="str">
        <f>VLOOKUP(L542,'Raw material list'!$A$3:$E$715,5,0)</f>
        <v xml:space="preserve">Gram </v>
      </c>
      <c r="O542" s="40">
        <v>20</v>
      </c>
      <c r="P542" s="299">
        <f t="shared" si="33"/>
        <v>24.096385542168676</v>
      </c>
      <c r="Q542" s="105">
        <v>83</v>
      </c>
      <c r="R542" s="40">
        <v>15</v>
      </c>
      <c r="S542" s="40"/>
      <c r="T542" s="105">
        <f t="shared" si="32"/>
        <v>1.3333333333333333</v>
      </c>
      <c r="U542" s="105">
        <f t="shared" si="34"/>
        <v>1.606425702811245</v>
      </c>
      <c r="V542" s="104">
        <f>IFERROR(VLOOKUP(L542,'Raw material list'!$A$2:$S$3102,6,0),0)</f>
        <v>8.4337349397590362E-3</v>
      </c>
      <c r="W542" s="104">
        <f t="shared" si="35"/>
        <v>1.3548168577926163E-2</v>
      </c>
    </row>
    <row r="543" spans="1:23" hidden="1" x14ac:dyDescent="0.55000000000000004">
      <c r="A543" s="41" t="s">
        <v>1500</v>
      </c>
      <c r="B543" s="41" t="s">
        <v>35</v>
      </c>
      <c r="C543" s="41" t="s">
        <v>10</v>
      </c>
      <c r="D543" s="41" t="s">
        <v>1491</v>
      </c>
      <c r="E543" s="41" t="s">
        <v>1486</v>
      </c>
      <c r="F543" s="41" t="s">
        <v>2079</v>
      </c>
      <c r="G543" s="41" t="s">
        <v>11</v>
      </c>
      <c r="H543" s="41" t="s">
        <v>1773</v>
      </c>
      <c r="I543" s="41"/>
      <c r="J543" s="41"/>
      <c r="K543" s="41" t="str">
        <f>IFERROR(VLOOKUP(L543,'Raw material list'!$A$3:$C$715,3,0),"")</f>
        <v>PRD1-4265</v>
      </c>
      <c r="L543" s="41" t="s">
        <v>38</v>
      </c>
      <c r="M543" s="40" t="s">
        <v>156</v>
      </c>
      <c r="N543" s="40" t="str">
        <f>VLOOKUP(L543,'Raw material list'!$A$3:$E$715,5,0)</f>
        <v xml:space="preserve">Gram </v>
      </c>
      <c r="O543" s="40">
        <v>200</v>
      </c>
      <c r="P543" s="299">
        <f t="shared" si="33"/>
        <v>235.29411764705884</v>
      </c>
      <c r="Q543" s="105">
        <v>85</v>
      </c>
      <c r="R543" s="40">
        <v>15</v>
      </c>
      <c r="S543" s="40"/>
      <c r="T543" s="105">
        <f t="shared" si="32"/>
        <v>13.333333333333334</v>
      </c>
      <c r="U543" s="105">
        <f t="shared" si="34"/>
        <v>15.686274509803923</v>
      </c>
      <c r="V543" s="104">
        <f>IFERROR(VLOOKUP(L543,'Raw material list'!$A$2:$S$3102,6,0),0)</f>
        <v>3.529411764705882E-3</v>
      </c>
      <c r="W543" s="104">
        <f t="shared" si="35"/>
        <v>5.536332179930796E-2</v>
      </c>
    </row>
    <row r="544" spans="1:23" hidden="1" x14ac:dyDescent="0.55000000000000004">
      <c r="A544" s="41" t="s">
        <v>1500</v>
      </c>
      <c r="B544" s="41" t="s">
        <v>35</v>
      </c>
      <c r="C544" s="41" t="s">
        <v>10</v>
      </c>
      <c r="D544" s="41" t="s">
        <v>1491</v>
      </c>
      <c r="E544" s="41" t="s">
        <v>1486</v>
      </c>
      <c r="F544" s="41" t="s">
        <v>2079</v>
      </c>
      <c r="G544" s="41" t="s">
        <v>11</v>
      </c>
      <c r="H544" s="41" t="s">
        <v>1773</v>
      </c>
      <c r="I544" s="41"/>
      <c r="J544" s="41"/>
      <c r="K544" s="41" t="str">
        <f>IFERROR(VLOOKUP(L544,'Raw material list'!$A$3:$C$715,3,0),"")</f>
        <v>PRD1-185</v>
      </c>
      <c r="L544" s="41" t="s">
        <v>79</v>
      </c>
      <c r="M544" s="40" t="s">
        <v>156</v>
      </c>
      <c r="N544" s="40" t="str">
        <f>VLOOKUP(L544,'Raw material list'!$A$3:$E$715,5,0)</f>
        <v xml:space="preserve">Gram </v>
      </c>
      <c r="O544" s="40">
        <v>400</v>
      </c>
      <c r="P544" s="299">
        <f t="shared" si="33"/>
        <v>594.05940594059416</v>
      </c>
      <c r="Q544" s="105">
        <v>67.333333333333329</v>
      </c>
      <c r="R544" s="40">
        <v>15</v>
      </c>
      <c r="S544" s="40"/>
      <c r="T544" s="105">
        <f t="shared" si="32"/>
        <v>26.666666666666668</v>
      </c>
      <c r="U544" s="105">
        <f t="shared" si="34"/>
        <v>39.603960396039611</v>
      </c>
      <c r="V544" s="104">
        <f>IFERROR(VLOOKUP(L544,'Raw material list'!$A$2:$S$3102,6,0),0)</f>
        <v>4.4576523031203555E-3</v>
      </c>
      <c r="W544" s="104">
        <f t="shared" si="35"/>
        <v>0.17654068527209332</v>
      </c>
    </row>
    <row r="545" spans="1:23" hidden="1" x14ac:dyDescent="0.55000000000000004">
      <c r="A545" s="41" t="s">
        <v>1500</v>
      </c>
      <c r="B545" s="41" t="s">
        <v>35</v>
      </c>
      <c r="C545" s="41" t="s">
        <v>10</v>
      </c>
      <c r="D545" s="41" t="s">
        <v>1491</v>
      </c>
      <c r="E545" s="41" t="s">
        <v>1486</v>
      </c>
      <c r="F545" s="41" t="s">
        <v>2079</v>
      </c>
      <c r="G545" s="41" t="s">
        <v>11</v>
      </c>
      <c r="H545" s="41" t="s">
        <v>1773</v>
      </c>
      <c r="I545" s="41"/>
      <c r="J545" s="41"/>
      <c r="K545" s="41" t="str">
        <f>IFERROR(VLOOKUP(L545,'Raw material list'!$A$3:$C$715,3,0),"")</f>
        <v>PRD1-186</v>
      </c>
      <c r="L545" s="41" t="s">
        <v>37</v>
      </c>
      <c r="M545" s="40" t="s">
        <v>156</v>
      </c>
      <c r="N545" s="40" t="str">
        <f>VLOOKUP(L545,'Raw material list'!$A$3:$E$715,5,0)</f>
        <v xml:space="preserve">Gram </v>
      </c>
      <c r="O545" s="40">
        <v>400</v>
      </c>
      <c r="P545" s="299">
        <f t="shared" si="33"/>
        <v>489.79591836734693</v>
      </c>
      <c r="Q545" s="105">
        <v>81.666666666666671</v>
      </c>
      <c r="R545" s="40">
        <v>15</v>
      </c>
      <c r="S545" s="40"/>
      <c r="T545" s="105">
        <f t="shared" si="32"/>
        <v>26.666666666666668</v>
      </c>
      <c r="U545" s="105">
        <f t="shared" si="34"/>
        <v>32.653061224489797</v>
      </c>
      <c r="V545" s="104">
        <f>IFERROR(VLOOKUP(L545,'Raw material list'!$A$2:$S$3102,6,0),0)</f>
        <v>5.8139534883720938E-3</v>
      </c>
      <c r="W545" s="104">
        <f t="shared" si="35"/>
        <v>0.18984337921215</v>
      </c>
    </row>
    <row r="546" spans="1:23" hidden="1" x14ac:dyDescent="0.55000000000000004">
      <c r="A546" s="41" t="s">
        <v>1500</v>
      </c>
      <c r="B546" s="41" t="s">
        <v>35</v>
      </c>
      <c r="C546" s="41" t="s">
        <v>10</v>
      </c>
      <c r="D546" s="41" t="s">
        <v>1491</v>
      </c>
      <c r="E546" s="41" t="s">
        <v>1486</v>
      </c>
      <c r="F546" s="41" t="s">
        <v>2079</v>
      </c>
      <c r="G546" s="41" t="s">
        <v>11</v>
      </c>
      <c r="H546" s="41" t="s">
        <v>1773</v>
      </c>
      <c r="I546" s="41"/>
      <c r="J546" s="41"/>
      <c r="K546" s="41" t="str">
        <f>IFERROR(VLOOKUP(L546,'Raw material list'!$A$3:$C$715,3,0),"")</f>
        <v>PRD1-240</v>
      </c>
      <c r="L546" s="56" t="s">
        <v>82</v>
      </c>
      <c r="M546" s="40" t="s">
        <v>156</v>
      </c>
      <c r="N546" s="40" t="str">
        <f>VLOOKUP(L546,'Raw material list'!$A$3:$E$715,5,0)</f>
        <v xml:space="preserve">Gram </v>
      </c>
      <c r="O546" s="40">
        <v>100</v>
      </c>
      <c r="P546" s="299">
        <f t="shared" si="33"/>
        <v>147.78325123152712</v>
      </c>
      <c r="Q546" s="105">
        <v>67.666666666666657</v>
      </c>
      <c r="R546" s="40">
        <v>15</v>
      </c>
      <c r="S546" s="40"/>
      <c r="T546" s="105">
        <f t="shared" si="32"/>
        <v>6.666666666666667</v>
      </c>
      <c r="U546" s="105">
        <f t="shared" si="34"/>
        <v>9.8522167487684751</v>
      </c>
      <c r="V546" s="104">
        <f>IFERROR(VLOOKUP(L546,'Raw material list'!$A$2:$S$3102,6,0),0)</f>
        <v>1.3293943870014769E-2</v>
      </c>
      <c r="W546" s="104">
        <f t="shared" si="35"/>
        <v>0.13097481645334752</v>
      </c>
    </row>
    <row r="547" spans="1:23" hidden="1" x14ac:dyDescent="0.55000000000000004">
      <c r="A547" s="41" t="s">
        <v>1500</v>
      </c>
      <c r="B547" s="41" t="s">
        <v>35</v>
      </c>
      <c r="C547" s="41" t="s">
        <v>10</v>
      </c>
      <c r="D547" s="41" t="s">
        <v>1491</v>
      </c>
      <c r="E547" s="41" t="s">
        <v>1486</v>
      </c>
      <c r="F547" s="41" t="s">
        <v>2079</v>
      </c>
      <c r="G547" s="41" t="s">
        <v>11</v>
      </c>
      <c r="H547" s="41" t="s">
        <v>1773</v>
      </c>
      <c r="I547" s="41"/>
      <c r="J547" s="41"/>
      <c r="K547" s="41" t="str">
        <f>IFERROR(VLOOKUP(L547,'Raw material list'!$A$3:$C$715,3,0),"")</f>
        <v>DRS1-110</v>
      </c>
      <c r="L547" s="41" t="s">
        <v>83</v>
      </c>
      <c r="M547" s="40" t="s">
        <v>206</v>
      </c>
      <c r="N547" s="40" t="str">
        <f>VLOOKUP(L547,'Raw material list'!$A$3:$E$715,5,0)</f>
        <v>Ml</v>
      </c>
      <c r="O547" s="40">
        <v>400</v>
      </c>
      <c r="P547" s="299">
        <f t="shared" si="33"/>
        <v>400</v>
      </c>
      <c r="Q547" s="300">
        <v>100</v>
      </c>
      <c r="R547" s="40">
        <v>15</v>
      </c>
      <c r="S547" s="40"/>
      <c r="T547" s="105">
        <f t="shared" si="32"/>
        <v>26.666666666666668</v>
      </c>
      <c r="U547" s="105">
        <f t="shared" si="34"/>
        <v>26.666666666666668</v>
      </c>
      <c r="V547" s="104">
        <f>IFERROR(VLOOKUP(L547,'Raw material list'!$A$2:$S$3102,6,0),0)</f>
        <v>1.805E-2</v>
      </c>
      <c r="W547" s="104">
        <f t="shared" si="35"/>
        <v>0.48133333333333334</v>
      </c>
    </row>
    <row r="548" spans="1:23" hidden="1" x14ac:dyDescent="0.55000000000000004">
      <c r="A548" s="41" t="s">
        <v>1500</v>
      </c>
      <c r="B548" s="41" t="s">
        <v>35</v>
      </c>
      <c r="C548" s="41" t="s">
        <v>10</v>
      </c>
      <c r="D548" s="41" t="s">
        <v>1491</v>
      </c>
      <c r="E548" s="41" t="s">
        <v>1486</v>
      </c>
      <c r="F548" s="41" t="s">
        <v>2079</v>
      </c>
      <c r="G548" s="41" t="s">
        <v>11</v>
      </c>
      <c r="H548" s="41" t="s">
        <v>1773</v>
      </c>
      <c r="I548" s="41"/>
      <c r="J548" s="41"/>
      <c r="K548" s="41" t="str">
        <f>IFERROR(VLOOKUP(L548,'Raw material list'!$A$3:$C$715,3,0),"")</f>
        <v>DRS1-1142</v>
      </c>
      <c r="L548" s="41" t="s">
        <v>84</v>
      </c>
      <c r="M548" s="40" t="s">
        <v>206</v>
      </c>
      <c r="N548" s="40" t="str">
        <f>VLOOKUP(L548,'Raw material list'!$A$3:$E$715,5,0)</f>
        <v>Ml</v>
      </c>
      <c r="O548" s="40">
        <v>100</v>
      </c>
      <c r="P548" s="299">
        <f t="shared" si="33"/>
        <v>100</v>
      </c>
      <c r="Q548" s="40">
        <v>100</v>
      </c>
      <c r="R548" s="40">
        <v>15</v>
      </c>
      <c r="S548" s="40"/>
      <c r="T548" s="105">
        <f t="shared" si="32"/>
        <v>6.666666666666667</v>
      </c>
      <c r="U548" s="105">
        <f t="shared" si="34"/>
        <v>6.666666666666667</v>
      </c>
      <c r="V548" s="104">
        <f>IFERROR(VLOOKUP(L548,'Raw material list'!$A$2:$S$3102,6,0),0)</f>
        <v>2.3579999999999997E-2</v>
      </c>
      <c r="W548" s="104">
        <f t="shared" si="35"/>
        <v>0.15719999999999998</v>
      </c>
    </row>
    <row r="549" spans="1:23" hidden="1" x14ac:dyDescent="0.55000000000000004">
      <c r="A549" s="41" t="s">
        <v>1500</v>
      </c>
      <c r="B549" s="41" t="s">
        <v>35</v>
      </c>
      <c r="C549" s="41" t="s">
        <v>10</v>
      </c>
      <c r="D549" s="41" t="s">
        <v>1491</v>
      </c>
      <c r="E549" s="41" t="s">
        <v>1486</v>
      </c>
      <c r="F549" s="41" t="s">
        <v>2079</v>
      </c>
      <c r="G549" s="41" t="s">
        <v>11</v>
      </c>
      <c r="H549" s="41" t="s">
        <v>1773</v>
      </c>
      <c r="I549" s="41"/>
      <c r="J549" s="41"/>
      <c r="K549" s="41" t="str">
        <f>IFERROR(VLOOKUP(L549,'Raw material list'!$A$3:$C$715,3,0),"")</f>
        <v>TAP-00001</v>
      </c>
      <c r="L549" s="41" t="s">
        <v>1405</v>
      </c>
      <c r="M549" s="40" t="s">
        <v>206</v>
      </c>
      <c r="N549" s="40" t="str">
        <f>VLOOKUP(L549,'Raw material list'!$A$3:$E$715,5,0)</f>
        <v>Ml</v>
      </c>
      <c r="O549" s="40">
        <v>75</v>
      </c>
      <c r="P549" s="299">
        <f t="shared" si="33"/>
        <v>75</v>
      </c>
      <c r="Q549" s="40">
        <v>100</v>
      </c>
      <c r="R549" s="40">
        <v>15</v>
      </c>
      <c r="S549" s="40"/>
      <c r="T549" s="105">
        <f t="shared" si="32"/>
        <v>5</v>
      </c>
      <c r="U549" s="105">
        <f t="shared" si="34"/>
        <v>5</v>
      </c>
      <c r="V549" s="104">
        <f>IFERROR(VLOOKUP(L549,'Raw material list'!$A$2:$S$3102,6,0),0)</f>
        <v>8.0000000000000007E-5</v>
      </c>
      <c r="W549" s="104">
        <f t="shared" si="35"/>
        <v>4.0000000000000002E-4</v>
      </c>
    </row>
    <row r="550" spans="1:23" hidden="1" x14ac:dyDescent="0.55000000000000004">
      <c r="A550" s="41" t="s">
        <v>1500</v>
      </c>
      <c r="B550" s="41" t="s">
        <v>35</v>
      </c>
      <c r="C550" s="41" t="s">
        <v>10</v>
      </c>
      <c r="D550" s="41" t="s">
        <v>1491</v>
      </c>
      <c r="E550" s="41" t="s">
        <v>1486</v>
      </c>
      <c r="F550" s="41" t="s">
        <v>2079</v>
      </c>
      <c r="G550" s="41" t="s">
        <v>11</v>
      </c>
      <c r="H550" s="41" t="s">
        <v>1773</v>
      </c>
      <c r="I550" s="41"/>
      <c r="J550" s="41"/>
      <c r="K550" s="41" t="str">
        <f>IFERROR(VLOOKUP(L550,'Raw material list'!$A$3:$C$715,3,0),"")</f>
        <v>DRS6-537</v>
      </c>
      <c r="L550" s="41" t="s">
        <v>46</v>
      </c>
      <c r="M550" s="40" t="s">
        <v>156</v>
      </c>
      <c r="N550" s="40" t="str">
        <f>VLOOKUP(L550,'Raw material list'!$A$3:$E$715,5,0)</f>
        <v xml:space="preserve">Gram </v>
      </c>
      <c r="O550" s="40">
        <v>3</v>
      </c>
      <c r="P550" s="299">
        <f t="shared" si="33"/>
        <v>3</v>
      </c>
      <c r="Q550" s="40">
        <v>100</v>
      </c>
      <c r="R550" s="40">
        <v>15</v>
      </c>
      <c r="S550" s="40"/>
      <c r="T550" s="105">
        <f t="shared" si="32"/>
        <v>0.2</v>
      </c>
      <c r="U550" s="105">
        <f t="shared" si="34"/>
        <v>0.2</v>
      </c>
      <c r="V550" s="104">
        <f>IFERROR(VLOOKUP(L550,'Raw material list'!$A$2:$S$3102,6,0),0)</f>
        <v>3.5000000000000003E-2</v>
      </c>
      <c r="W550" s="104">
        <f t="shared" si="35"/>
        <v>7.000000000000001E-3</v>
      </c>
    </row>
    <row r="551" spans="1:23" hidden="1" x14ac:dyDescent="0.55000000000000004">
      <c r="A551" s="41" t="s">
        <v>1500</v>
      </c>
      <c r="B551" s="41" t="s">
        <v>35</v>
      </c>
      <c r="C551" s="41" t="s">
        <v>10</v>
      </c>
      <c r="D551" s="41" t="s">
        <v>1491</v>
      </c>
      <c r="E551" s="41" t="s">
        <v>1486</v>
      </c>
      <c r="F551" s="41" t="s">
        <v>2079</v>
      </c>
      <c r="G551" s="41" t="s">
        <v>11</v>
      </c>
      <c r="H551" s="41" t="s">
        <v>1773</v>
      </c>
      <c r="I551" s="41"/>
      <c r="J551" s="41"/>
      <c r="K551" s="41" t="str">
        <f>IFERROR(VLOOKUP(L551,'Raw material list'!$A$3:$C$715,3,0),"")</f>
        <v>DRS2-4956</v>
      </c>
      <c r="L551" s="41" t="s">
        <v>553</v>
      </c>
      <c r="M551" s="40" t="s">
        <v>156</v>
      </c>
      <c r="N551" s="40" t="str">
        <f>VLOOKUP(L551,'Raw material list'!$A$3:$E$715,5,0)</f>
        <v xml:space="preserve">Gram </v>
      </c>
      <c r="O551" s="40">
        <v>1000</v>
      </c>
      <c r="P551" s="299">
        <f t="shared" si="33"/>
        <v>1000</v>
      </c>
      <c r="Q551" s="40">
        <v>100</v>
      </c>
      <c r="R551" s="40">
        <v>15</v>
      </c>
      <c r="S551" s="40"/>
      <c r="T551" s="105">
        <f t="shared" si="32"/>
        <v>66.666666666666671</v>
      </c>
      <c r="U551" s="105">
        <f t="shared" si="34"/>
        <v>66.666666666666671</v>
      </c>
      <c r="V551" s="104">
        <f>IFERROR(VLOOKUP(L551,'Raw material list'!$A$2:$S$3102,6,0),0)</f>
        <v>1.6E-2</v>
      </c>
      <c r="W551" s="104">
        <f t="shared" si="35"/>
        <v>1.0666666666666669</v>
      </c>
    </row>
    <row r="552" spans="1:23" hidden="1" x14ac:dyDescent="0.55000000000000004">
      <c r="A552" s="41" t="s">
        <v>1500</v>
      </c>
      <c r="B552" s="41" t="s">
        <v>35</v>
      </c>
      <c r="C552" s="41" t="s">
        <v>10</v>
      </c>
      <c r="D552" s="41" t="s">
        <v>1491</v>
      </c>
      <c r="E552" s="41" t="s">
        <v>1486</v>
      </c>
      <c r="F552" s="41" t="s">
        <v>2079</v>
      </c>
      <c r="G552" s="41" t="s">
        <v>11</v>
      </c>
      <c r="H552" s="41" t="s">
        <v>1773</v>
      </c>
      <c r="I552" s="41"/>
      <c r="J552" s="41"/>
      <c r="K552" s="41" t="str">
        <f>IFERROR(VLOOKUP(L552,'Raw material list'!$A$3:$C$715,3,0),"")</f>
        <v>PRD1-239</v>
      </c>
      <c r="L552" s="41" t="s">
        <v>1056</v>
      </c>
      <c r="M552" s="40" t="s">
        <v>156</v>
      </c>
      <c r="N552" s="40" t="str">
        <f>VLOOKUP(L552,'Raw material list'!$A$3:$E$715,5,0)</f>
        <v xml:space="preserve">Gram </v>
      </c>
      <c r="O552" s="40">
        <v>100</v>
      </c>
      <c r="P552" s="299">
        <f t="shared" si="33"/>
        <v>148.51485148514854</v>
      </c>
      <c r="Q552" s="105">
        <v>67.333333333333329</v>
      </c>
      <c r="R552" s="40">
        <v>15</v>
      </c>
      <c r="S552" s="40"/>
      <c r="T552" s="105">
        <f t="shared" si="32"/>
        <v>6.666666666666667</v>
      </c>
      <c r="U552" s="105">
        <f t="shared" si="34"/>
        <v>9.9009900990099027</v>
      </c>
      <c r="V552" s="104">
        <f>IFERROR(VLOOKUP(L552,'Raw material list'!$A$2:$S$3102,6,0),0)</f>
        <v>6.6864784546805346E-3</v>
      </c>
      <c r="W552" s="104">
        <f t="shared" si="35"/>
        <v>6.620275697703501E-2</v>
      </c>
    </row>
    <row r="553" spans="1:23" hidden="1" x14ac:dyDescent="0.55000000000000004">
      <c r="A553" s="41" t="s">
        <v>1500</v>
      </c>
      <c r="B553" s="41" t="s">
        <v>35</v>
      </c>
      <c r="C553" s="41" t="s">
        <v>10</v>
      </c>
      <c r="D553" s="41" t="s">
        <v>1491</v>
      </c>
      <c r="E553" s="41" t="s">
        <v>1486</v>
      </c>
      <c r="F553" s="41" t="s">
        <v>2079</v>
      </c>
      <c r="G553" s="41" t="s">
        <v>11</v>
      </c>
      <c r="H553" s="41" t="s">
        <v>1773</v>
      </c>
      <c r="I553" s="41"/>
      <c r="J553" s="41"/>
      <c r="K553" s="41" t="str">
        <f>IFERROR(VLOOKUP(L553,'Raw material list'!$A$3:$C$715,3,0),"")</f>
        <v>PRD1-241</v>
      </c>
      <c r="L553" s="41" t="s">
        <v>1059</v>
      </c>
      <c r="M553" s="40" t="s">
        <v>156</v>
      </c>
      <c r="N553" s="40" t="str">
        <f>VLOOKUP(L553,'Raw material list'!$A$3:$E$715,5,0)</f>
        <v xml:space="preserve">Gram </v>
      </c>
      <c r="O553" s="40">
        <v>100</v>
      </c>
      <c r="P553" s="299">
        <f t="shared" si="33"/>
        <v>146.55593551538837</v>
      </c>
      <c r="Q553" s="105">
        <v>68.233333333333334</v>
      </c>
      <c r="R553" s="40">
        <v>15</v>
      </c>
      <c r="S553" s="40"/>
      <c r="T553" s="105">
        <f t="shared" si="32"/>
        <v>6.666666666666667</v>
      </c>
      <c r="U553" s="105">
        <f t="shared" si="34"/>
        <v>9.7703957010258922</v>
      </c>
      <c r="V553" s="104">
        <f>IFERROR(VLOOKUP(L553,'Raw material list'!$A$2:$S$3102,6,0),0)</f>
        <v>1.3196480938416421E-2</v>
      </c>
      <c r="W553" s="104">
        <f t="shared" si="35"/>
        <v>0.12893484062937394</v>
      </c>
    </row>
    <row r="554" spans="1:23" hidden="1" x14ac:dyDescent="0.55000000000000004">
      <c r="A554" s="41" t="s">
        <v>1500</v>
      </c>
      <c r="B554" s="41" t="s">
        <v>35</v>
      </c>
      <c r="C554" s="41" t="s">
        <v>10</v>
      </c>
      <c r="D554" s="41" t="s">
        <v>1491</v>
      </c>
      <c r="E554" s="41" t="s">
        <v>1486</v>
      </c>
      <c r="F554" s="41" t="s">
        <v>2079</v>
      </c>
      <c r="G554" s="41" t="s">
        <v>11</v>
      </c>
      <c r="H554" s="41" t="s">
        <v>1773</v>
      </c>
      <c r="I554" s="58"/>
      <c r="J554" s="41"/>
      <c r="K554" s="41" t="str">
        <f>IFERROR(VLOOKUP(L554,'Raw material list'!$A$3:$C$715,3,0),"")</f>
        <v>DRS6-4482</v>
      </c>
      <c r="L554" s="41" t="s">
        <v>716</v>
      </c>
      <c r="M554" s="40" t="s">
        <v>156</v>
      </c>
      <c r="N554" s="40" t="str">
        <f>VLOOKUP(L554,'Raw material list'!$A$3:$E$715,5,0)</f>
        <v xml:space="preserve">Gram </v>
      </c>
      <c r="O554" s="40">
        <v>30</v>
      </c>
      <c r="P554" s="299">
        <f t="shared" si="33"/>
        <v>30</v>
      </c>
      <c r="Q554" s="300">
        <v>100</v>
      </c>
      <c r="R554" s="40">
        <v>15</v>
      </c>
      <c r="S554" s="40"/>
      <c r="T554" s="105">
        <f t="shared" si="32"/>
        <v>2</v>
      </c>
      <c r="U554" s="105">
        <f t="shared" si="34"/>
        <v>2</v>
      </c>
      <c r="V554" s="104">
        <f>IFERROR(VLOOKUP(L554,'Raw material list'!$A$2:$S$3102,6,0),0)</f>
        <v>1.04E-2</v>
      </c>
      <c r="W554" s="104">
        <f t="shared" si="35"/>
        <v>2.0799999999999999E-2</v>
      </c>
    </row>
    <row r="555" spans="1:23" hidden="1" x14ac:dyDescent="0.55000000000000004">
      <c r="A555" s="41" t="s">
        <v>1501</v>
      </c>
      <c r="B555" s="41" t="s">
        <v>35</v>
      </c>
      <c r="C555" s="41" t="s">
        <v>10</v>
      </c>
      <c r="D555" s="58" t="s">
        <v>1492</v>
      </c>
      <c r="E555" s="41" t="s">
        <v>1486</v>
      </c>
      <c r="F555" s="41" t="s">
        <v>2081</v>
      </c>
      <c r="G555" s="41" t="s">
        <v>11</v>
      </c>
      <c r="H555" s="41" t="s">
        <v>1774</v>
      </c>
      <c r="I555" s="58"/>
      <c r="J555" s="41"/>
      <c r="K555" s="41" t="str">
        <f>IFERROR(VLOOKUP(L555,'Raw material list'!$A$3:$C$715,3,0),"")</f>
        <v>PLT2-3278</v>
      </c>
      <c r="L555" s="58" t="s">
        <v>80</v>
      </c>
      <c r="M555" s="40" t="s">
        <v>156</v>
      </c>
      <c r="N555" s="40" t="str">
        <f>VLOOKUP(L555,'Raw material list'!$A$3:$E$715,5,0)</f>
        <v xml:space="preserve">Gram </v>
      </c>
      <c r="O555" s="40">
        <v>1000</v>
      </c>
      <c r="P555" s="299">
        <f t="shared" si="33"/>
        <v>1312.3359580052493</v>
      </c>
      <c r="Q555" s="40">
        <v>76.2</v>
      </c>
      <c r="R555" s="40">
        <v>10</v>
      </c>
      <c r="S555" s="40"/>
      <c r="T555" s="105">
        <f t="shared" si="32"/>
        <v>100</v>
      </c>
      <c r="U555" s="105">
        <f t="shared" si="34"/>
        <v>131.23359580052494</v>
      </c>
      <c r="V555" s="104">
        <f>IFERROR(VLOOKUP(L555,'Raw material list'!$A$2:$S$3102,6,0),0)</f>
        <v>3.0357142857142853E-2</v>
      </c>
      <c r="W555" s="104">
        <f t="shared" si="35"/>
        <v>3.983877015373078</v>
      </c>
    </row>
    <row r="556" spans="1:23" hidden="1" x14ac:dyDescent="0.55000000000000004">
      <c r="A556" s="41" t="s">
        <v>1501</v>
      </c>
      <c r="B556" s="41" t="s">
        <v>35</v>
      </c>
      <c r="C556" s="41" t="s">
        <v>10</v>
      </c>
      <c r="D556" s="58" t="s">
        <v>1492</v>
      </c>
      <c r="E556" s="41" t="s">
        <v>1486</v>
      </c>
      <c r="F556" s="41" t="s">
        <v>2079</v>
      </c>
      <c r="G556" s="41" t="s">
        <v>11</v>
      </c>
      <c r="H556" s="41" t="s">
        <v>1774</v>
      </c>
      <c r="I556" s="58"/>
      <c r="J556" s="58"/>
      <c r="K556" s="41" t="str">
        <f>IFERROR(VLOOKUP(L556,'Raw material list'!$A$3:$C$715,3,0),"")</f>
        <v>DRS3-1615</v>
      </c>
      <c r="L556" s="58" t="s">
        <v>50</v>
      </c>
      <c r="M556" s="40" t="s">
        <v>1444</v>
      </c>
      <c r="N556" s="40" t="str">
        <f>VLOOKUP(L556,'Raw material list'!$A$3:$E$715,5,0)</f>
        <v>Ml</v>
      </c>
      <c r="O556" s="40">
        <v>50</v>
      </c>
      <c r="P556" s="299">
        <f t="shared" si="33"/>
        <v>50</v>
      </c>
      <c r="Q556" s="40">
        <v>100</v>
      </c>
      <c r="R556" s="40">
        <v>10</v>
      </c>
      <c r="S556" s="40"/>
      <c r="T556" s="105">
        <f t="shared" si="32"/>
        <v>5</v>
      </c>
      <c r="U556" s="105">
        <f t="shared" si="34"/>
        <v>5</v>
      </c>
      <c r="V556" s="104">
        <f>IFERROR(VLOOKUP(L556,'Raw material list'!$A$2:$S$3102,6,0),0)</f>
        <v>1.2E-2</v>
      </c>
      <c r="W556" s="104">
        <f t="shared" si="35"/>
        <v>0.06</v>
      </c>
    </row>
    <row r="557" spans="1:23" hidden="1" x14ac:dyDescent="0.55000000000000004">
      <c r="A557" s="41" t="s">
        <v>1501</v>
      </c>
      <c r="B557" s="41" t="s">
        <v>35</v>
      </c>
      <c r="C557" s="41" t="s">
        <v>10</v>
      </c>
      <c r="D557" s="58" t="s">
        <v>1492</v>
      </c>
      <c r="E557" s="41" t="s">
        <v>1486</v>
      </c>
      <c r="F557" s="41" t="s">
        <v>2079</v>
      </c>
      <c r="G557" s="41" t="s">
        <v>11</v>
      </c>
      <c r="H557" s="41" t="s">
        <v>1774</v>
      </c>
      <c r="I557" s="58"/>
      <c r="J557" s="58"/>
      <c r="K557" s="41" t="str">
        <f>IFERROR(VLOOKUP(L557,'Raw material list'!$A$3:$C$715,3,0),"")</f>
        <v>PRD1-4265</v>
      </c>
      <c r="L557" s="58" t="s">
        <v>38</v>
      </c>
      <c r="M557" s="40" t="s">
        <v>156</v>
      </c>
      <c r="N557" s="40" t="str">
        <f>VLOOKUP(L557,'Raw material list'!$A$3:$E$715,5,0)</f>
        <v xml:space="preserve">Gram </v>
      </c>
      <c r="O557" s="40">
        <v>150</v>
      </c>
      <c r="P557" s="299">
        <f t="shared" si="33"/>
        <v>176.47058823529412</v>
      </c>
      <c r="Q557" s="105">
        <v>85</v>
      </c>
      <c r="R557" s="40">
        <v>10</v>
      </c>
      <c r="S557" s="40"/>
      <c r="T557" s="105">
        <f t="shared" si="32"/>
        <v>15</v>
      </c>
      <c r="U557" s="105">
        <f t="shared" si="34"/>
        <v>17.647058823529413</v>
      </c>
      <c r="V557" s="104">
        <f>IFERROR(VLOOKUP(L557,'Raw material list'!$A$2:$S$3102,6,0),0)</f>
        <v>3.529411764705882E-3</v>
      </c>
      <c r="W557" s="104">
        <f t="shared" si="35"/>
        <v>6.228373702422145E-2</v>
      </c>
    </row>
    <row r="558" spans="1:23" hidden="1" x14ac:dyDescent="0.55000000000000004">
      <c r="A558" s="41" t="s">
        <v>1501</v>
      </c>
      <c r="B558" s="41" t="s">
        <v>35</v>
      </c>
      <c r="C558" s="41" t="s">
        <v>10</v>
      </c>
      <c r="D558" s="58" t="s">
        <v>1492</v>
      </c>
      <c r="E558" s="41" t="s">
        <v>1486</v>
      </c>
      <c r="F558" s="41" t="s">
        <v>2079</v>
      </c>
      <c r="G558" s="41" t="s">
        <v>11</v>
      </c>
      <c r="H558" s="41" t="s">
        <v>1774</v>
      </c>
      <c r="I558" s="58"/>
      <c r="J558" s="58"/>
      <c r="K558" s="41" t="str">
        <f>IFERROR(VLOOKUP(L558,'Raw material list'!$A$3:$C$715,3,0),"")</f>
        <v>PRD1-4327</v>
      </c>
      <c r="L558" s="58" t="s">
        <v>39</v>
      </c>
      <c r="M558" s="40" t="s">
        <v>156</v>
      </c>
      <c r="N558" s="40" t="str">
        <f>VLOOKUP(L558,'Raw material list'!$A$3:$E$715,5,0)</f>
        <v xml:space="preserve">Gram </v>
      </c>
      <c r="O558" s="40">
        <v>20</v>
      </c>
      <c r="P558" s="299">
        <f t="shared" si="33"/>
        <v>24.096385542168676</v>
      </c>
      <c r="Q558" s="105">
        <v>83</v>
      </c>
      <c r="R558" s="40">
        <v>10</v>
      </c>
      <c r="S558" s="40"/>
      <c r="T558" s="105">
        <f t="shared" si="32"/>
        <v>2</v>
      </c>
      <c r="U558" s="105">
        <f t="shared" si="34"/>
        <v>2.4096385542168677</v>
      </c>
      <c r="V558" s="104">
        <f>IFERROR(VLOOKUP(L558,'Raw material list'!$A$2:$S$3102,6,0),0)</f>
        <v>1.2999999999999999E-2</v>
      </c>
      <c r="W558" s="104">
        <f t="shared" si="35"/>
        <v>3.1325301204819279E-2</v>
      </c>
    </row>
    <row r="559" spans="1:23" hidden="1" x14ac:dyDescent="0.55000000000000004">
      <c r="A559" s="41" t="s">
        <v>1501</v>
      </c>
      <c r="B559" s="41" t="s">
        <v>35</v>
      </c>
      <c r="C559" s="41" t="s">
        <v>10</v>
      </c>
      <c r="D559" s="58" t="s">
        <v>1492</v>
      </c>
      <c r="E559" s="41" t="s">
        <v>1486</v>
      </c>
      <c r="F559" s="41" t="s">
        <v>2079</v>
      </c>
      <c r="G559" s="41" t="s">
        <v>11</v>
      </c>
      <c r="H559" s="41" t="s">
        <v>1774</v>
      </c>
      <c r="I559" s="58"/>
      <c r="J559" s="58"/>
      <c r="K559" s="41" t="str">
        <f>IFERROR(VLOOKUP(L559,'Raw material list'!$A$3:$C$715,3,0),"")</f>
        <v>PRD2-366</v>
      </c>
      <c r="L559" s="58" t="s">
        <v>129</v>
      </c>
      <c r="M559" s="40" t="s">
        <v>156</v>
      </c>
      <c r="N559" s="40" t="str">
        <f>VLOOKUP(L559,'Raw material list'!$A$3:$E$715,5,0)</f>
        <v xml:space="preserve">Gram </v>
      </c>
      <c r="O559" s="40">
        <v>1000</v>
      </c>
      <c r="P559" s="299">
        <f t="shared" si="33"/>
        <v>1000</v>
      </c>
      <c r="Q559" s="300">
        <v>100</v>
      </c>
      <c r="R559" s="40">
        <v>10</v>
      </c>
      <c r="S559" s="40"/>
      <c r="T559" s="105">
        <f t="shared" si="32"/>
        <v>100</v>
      </c>
      <c r="U559" s="105">
        <f t="shared" si="34"/>
        <v>100</v>
      </c>
      <c r="V559" s="104">
        <f>IFERROR(VLOOKUP(L559,'Raw material list'!$A$2:$S$3102,6,0),0)</f>
        <v>1.3125E-2</v>
      </c>
      <c r="W559" s="104">
        <f t="shared" si="35"/>
        <v>1.3125</v>
      </c>
    </row>
    <row r="560" spans="1:23" hidden="1" x14ac:dyDescent="0.55000000000000004">
      <c r="A560" s="41" t="s">
        <v>1501</v>
      </c>
      <c r="B560" s="41" t="s">
        <v>35</v>
      </c>
      <c r="C560" s="41" t="s">
        <v>10</v>
      </c>
      <c r="D560" s="58" t="s">
        <v>1492</v>
      </c>
      <c r="E560" s="41" t="s">
        <v>1486</v>
      </c>
      <c r="F560" s="41" t="s">
        <v>2079</v>
      </c>
      <c r="G560" s="41" t="s">
        <v>11</v>
      </c>
      <c r="H560" s="41" t="s">
        <v>1774</v>
      </c>
      <c r="I560" s="58"/>
      <c r="J560" s="58"/>
      <c r="K560" s="41" t="str">
        <f>IFERROR(VLOOKUP(L560,'Raw material list'!$A$3:$C$715,3,0),"")</f>
        <v>DRS1-1747</v>
      </c>
      <c r="L560" s="58" t="s">
        <v>44</v>
      </c>
      <c r="M560" s="40" t="s">
        <v>156</v>
      </c>
      <c r="N560" s="40" t="str">
        <f>VLOOKUP(L560,'Raw material list'!$A$3:$E$715,5,0)</f>
        <v xml:space="preserve">Gram </v>
      </c>
      <c r="O560" s="40">
        <v>80</v>
      </c>
      <c r="P560" s="299">
        <f t="shared" si="33"/>
        <v>80</v>
      </c>
      <c r="Q560" s="40">
        <v>100</v>
      </c>
      <c r="R560" s="40">
        <v>10</v>
      </c>
      <c r="S560" s="40"/>
      <c r="T560" s="105">
        <f t="shared" si="32"/>
        <v>8</v>
      </c>
      <c r="U560" s="105">
        <f t="shared" si="34"/>
        <v>8</v>
      </c>
      <c r="V560" s="104">
        <f>IFERROR(VLOOKUP(L560,'Raw material list'!$A$2:$S$3102,6,0),0)</f>
        <v>5.185185185185185E-3</v>
      </c>
      <c r="W560" s="104">
        <f t="shared" si="35"/>
        <v>4.148148148148148E-2</v>
      </c>
    </row>
    <row r="561" spans="1:23" hidden="1" x14ac:dyDescent="0.55000000000000004">
      <c r="A561" s="41" t="s">
        <v>1501</v>
      </c>
      <c r="B561" s="41" t="s">
        <v>35</v>
      </c>
      <c r="C561" s="41" t="s">
        <v>10</v>
      </c>
      <c r="D561" s="58" t="s">
        <v>1492</v>
      </c>
      <c r="E561" s="41" t="s">
        <v>1486</v>
      </c>
      <c r="F561" s="41" t="s">
        <v>2079</v>
      </c>
      <c r="G561" s="41" t="s">
        <v>11</v>
      </c>
      <c r="H561" s="41" t="s">
        <v>1774</v>
      </c>
      <c r="I561" s="58"/>
      <c r="J561" s="58"/>
      <c r="K561" s="41" t="str">
        <f>IFERROR(VLOOKUP(L561,'Raw material list'!$A$3:$C$715,3,0),"")</f>
        <v>DRS1-607</v>
      </c>
      <c r="L561" s="58" t="s">
        <v>250</v>
      </c>
      <c r="M561" s="40" t="s">
        <v>156</v>
      </c>
      <c r="N561" s="40" t="str">
        <f>VLOOKUP(L561,'Raw material list'!$A$3:$E$715,5,0)</f>
        <v xml:space="preserve">Gram </v>
      </c>
      <c r="O561" s="40">
        <v>250</v>
      </c>
      <c r="P561" s="299">
        <f t="shared" si="33"/>
        <v>250</v>
      </c>
      <c r="Q561" s="40">
        <v>100</v>
      </c>
      <c r="R561" s="40">
        <v>10</v>
      </c>
      <c r="S561" s="40"/>
      <c r="T561" s="105">
        <f t="shared" si="32"/>
        <v>25</v>
      </c>
      <c r="U561" s="105">
        <f t="shared" si="34"/>
        <v>25</v>
      </c>
      <c r="V561" s="104">
        <f>IFERROR(VLOOKUP(L561,'Raw material list'!$A$2:$S$3102,6,0),0)</f>
        <v>5.8823529411764705E-3</v>
      </c>
      <c r="W561" s="104">
        <f t="shared" si="35"/>
        <v>0.14705882352941177</v>
      </c>
    </row>
    <row r="562" spans="1:23" hidden="1" x14ac:dyDescent="0.55000000000000004">
      <c r="A562" s="41" t="s">
        <v>1501</v>
      </c>
      <c r="B562" s="41" t="s">
        <v>35</v>
      </c>
      <c r="C562" s="41" t="s">
        <v>10</v>
      </c>
      <c r="D562" s="58" t="s">
        <v>1492</v>
      </c>
      <c r="E562" s="41" t="s">
        <v>1486</v>
      </c>
      <c r="F562" s="41" t="s">
        <v>2079</v>
      </c>
      <c r="G562" s="41" t="s">
        <v>11</v>
      </c>
      <c r="H562" s="41" t="s">
        <v>1774</v>
      </c>
      <c r="I562" s="58"/>
      <c r="J562" s="41"/>
      <c r="K562" s="41" t="str">
        <f>IFERROR(VLOOKUP(L562,'Raw material list'!$A$3:$C$715,3,0),"")</f>
        <v>TAP-00001</v>
      </c>
      <c r="L562" s="58" t="s">
        <v>1405</v>
      </c>
      <c r="M562" s="40" t="s">
        <v>206</v>
      </c>
      <c r="N562" s="40" t="str">
        <f>VLOOKUP(L562,'Raw material list'!$A$3:$E$715,5,0)</f>
        <v>Ml</v>
      </c>
      <c r="O562" s="40">
        <v>1000</v>
      </c>
      <c r="P562" s="299">
        <f t="shared" si="33"/>
        <v>1000</v>
      </c>
      <c r="Q562" s="40">
        <v>100</v>
      </c>
      <c r="R562" s="40">
        <v>10</v>
      </c>
      <c r="S562" s="40"/>
      <c r="T562" s="105">
        <f t="shared" si="32"/>
        <v>100</v>
      </c>
      <c r="U562" s="105">
        <f t="shared" si="34"/>
        <v>100</v>
      </c>
      <c r="V562" s="104">
        <f>IFERROR(VLOOKUP(L562,'Raw material list'!$A$2:$S$3102,6,0),0)</f>
        <v>8.0000000000000007E-5</v>
      </c>
      <c r="W562" s="104">
        <f t="shared" si="35"/>
        <v>8.0000000000000002E-3</v>
      </c>
    </row>
    <row r="563" spans="1:23" hidden="1" x14ac:dyDescent="0.55000000000000004">
      <c r="A563" s="41" t="s">
        <v>1501</v>
      </c>
      <c r="B563" s="41" t="s">
        <v>35</v>
      </c>
      <c r="C563" s="41" t="s">
        <v>10</v>
      </c>
      <c r="D563" s="58" t="s">
        <v>1492</v>
      </c>
      <c r="E563" s="41" t="s">
        <v>1486</v>
      </c>
      <c r="F563" s="41" t="s">
        <v>2079</v>
      </c>
      <c r="G563" s="41" t="s">
        <v>11</v>
      </c>
      <c r="H563" s="41" t="s">
        <v>1774</v>
      </c>
      <c r="I563" s="58"/>
      <c r="J563" s="41"/>
      <c r="K563" s="41" t="str">
        <f>IFERROR(VLOOKUP(L563,'Raw material list'!$A$3:$C$715,3,0),"")</f>
        <v>DRS6-537</v>
      </c>
      <c r="L563" s="58" t="s">
        <v>46</v>
      </c>
      <c r="M563" s="40" t="s">
        <v>156</v>
      </c>
      <c r="N563" s="40" t="str">
        <f>VLOOKUP(L563,'Raw material list'!$A$3:$E$715,5,0)</f>
        <v xml:space="preserve">Gram </v>
      </c>
      <c r="O563" s="40">
        <v>1</v>
      </c>
      <c r="P563" s="299">
        <f t="shared" si="33"/>
        <v>1</v>
      </c>
      <c r="Q563" s="40">
        <v>100</v>
      </c>
      <c r="R563" s="40">
        <v>10</v>
      </c>
      <c r="S563" s="40"/>
      <c r="T563" s="105">
        <f t="shared" si="32"/>
        <v>0.1</v>
      </c>
      <c r="U563" s="105">
        <f t="shared" si="34"/>
        <v>0.1</v>
      </c>
      <c r="V563" s="104">
        <f>IFERROR(VLOOKUP(L563,'Raw material list'!$A$2:$S$3102,6,0),0)</f>
        <v>3.5000000000000003E-2</v>
      </c>
      <c r="W563" s="104">
        <f t="shared" si="35"/>
        <v>3.5000000000000005E-3</v>
      </c>
    </row>
    <row r="564" spans="1:23" hidden="1" x14ac:dyDescent="0.55000000000000004">
      <c r="A564" s="41" t="s">
        <v>1501</v>
      </c>
      <c r="B564" s="41" t="s">
        <v>35</v>
      </c>
      <c r="C564" s="41" t="s">
        <v>10</v>
      </c>
      <c r="D564" s="58" t="s">
        <v>1492</v>
      </c>
      <c r="E564" s="41" t="s">
        <v>1486</v>
      </c>
      <c r="F564" s="41" t="s">
        <v>2079</v>
      </c>
      <c r="G564" s="41" t="s">
        <v>11</v>
      </c>
      <c r="H564" s="41" t="s">
        <v>1774</v>
      </c>
      <c r="I564" s="58"/>
      <c r="J564" s="58"/>
      <c r="K564" s="41" t="str">
        <f>IFERROR(VLOOKUP(L564,'Raw material list'!$A$3:$C$715,3,0),"")</f>
        <v>DRS6-733</v>
      </c>
      <c r="L564" s="58" t="s">
        <v>45</v>
      </c>
      <c r="M564" s="40" t="s">
        <v>156</v>
      </c>
      <c r="N564" s="40" t="str">
        <f>VLOOKUP(L564,'Raw material list'!$A$3:$E$715,5,0)</f>
        <v xml:space="preserve">Gram </v>
      </c>
      <c r="O564" s="40">
        <v>2</v>
      </c>
      <c r="P564" s="299">
        <f t="shared" si="33"/>
        <v>2</v>
      </c>
      <c r="Q564" s="40">
        <v>100</v>
      </c>
      <c r="R564" s="40">
        <v>10</v>
      </c>
      <c r="S564" s="40"/>
      <c r="T564" s="105">
        <f t="shared" si="32"/>
        <v>0.2</v>
      </c>
      <c r="U564" s="105">
        <f t="shared" si="34"/>
        <v>0.2</v>
      </c>
      <c r="V564" s="104">
        <f>IFERROR(VLOOKUP(L564,'Raw material list'!$A$2:$S$3102,6,0),0)</f>
        <v>2.8000000000000001E-2</v>
      </c>
      <c r="W564" s="104">
        <f t="shared" si="35"/>
        <v>5.6000000000000008E-3</v>
      </c>
    </row>
    <row r="565" spans="1:23" hidden="1" x14ac:dyDescent="0.55000000000000004">
      <c r="A565" s="41" t="s">
        <v>1501</v>
      </c>
      <c r="B565" s="41" t="s">
        <v>35</v>
      </c>
      <c r="C565" s="41" t="s">
        <v>10</v>
      </c>
      <c r="D565" s="58" t="s">
        <v>1492</v>
      </c>
      <c r="E565" s="41" t="s">
        <v>1486</v>
      </c>
      <c r="F565" s="41" t="s">
        <v>2079</v>
      </c>
      <c r="G565" s="41" t="s">
        <v>11</v>
      </c>
      <c r="H565" s="41" t="s">
        <v>1774</v>
      </c>
      <c r="I565" s="58"/>
      <c r="J565" s="58"/>
      <c r="K565" s="41" t="str">
        <f>IFERROR(VLOOKUP(L565,'Raw material list'!$A$3:$C$715,3,0),"")</f>
        <v>DRS6-266</v>
      </c>
      <c r="L565" s="58" t="s">
        <v>99</v>
      </c>
      <c r="M565" s="40" t="s">
        <v>156</v>
      </c>
      <c r="N565" s="40" t="str">
        <f>VLOOKUP(L565,'Raw material list'!$A$3:$E$715,5,0)</f>
        <v xml:space="preserve">Gram </v>
      </c>
      <c r="O565" s="40">
        <v>2</v>
      </c>
      <c r="P565" s="299">
        <f t="shared" si="33"/>
        <v>2</v>
      </c>
      <c r="Q565" s="40">
        <v>100</v>
      </c>
      <c r="R565" s="40">
        <v>10</v>
      </c>
      <c r="S565" s="40"/>
      <c r="T565" s="105">
        <f t="shared" si="32"/>
        <v>0.2</v>
      </c>
      <c r="U565" s="105">
        <f t="shared" si="34"/>
        <v>0.2</v>
      </c>
      <c r="V565" s="104">
        <f>IFERROR(VLOOKUP(L565,'Raw material list'!$A$2:$S$3102,6,0),0)</f>
        <v>1.4E-2</v>
      </c>
      <c r="W565" s="104">
        <f t="shared" si="35"/>
        <v>2.8000000000000004E-3</v>
      </c>
    </row>
    <row r="566" spans="1:23" hidden="1" x14ac:dyDescent="0.55000000000000004">
      <c r="A566" s="41" t="s">
        <v>1501</v>
      </c>
      <c r="B566" s="41" t="s">
        <v>35</v>
      </c>
      <c r="C566" s="41" t="s">
        <v>10</v>
      </c>
      <c r="D566" s="58" t="s">
        <v>1492</v>
      </c>
      <c r="E566" s="41" t="s">
        <v>1486</v>
      </c>
      <c r="F566" s="41" t="s">
        <v>2079</v>
      </c>
      <c r="G566" s="41" t="s">
        <v>11</v>
      </c>
      <c r="H566" s="41" t="s">
        <v>1774</v>
      </c>
      <c r="I566" s="58"/>
      <c r="J566" s="58"/>
      <c r="K566" s="41" t="str">
        <f>IFERROR(VLOOKUP(L566,'Raw material list'!$A$3:$C$715,3,0),"")</f>
        <v>DRS1-3880</v>
      </c>
      <c r="L566" s="58" t="s">
        <v>1433</v>
      </c>
      <c r="M566" s="40" t="s">
        <v>156</v>
      </c>
      <c r="N566" s="40" t="str">
        <f>VLOOKUP(L566,'Raw material list'!$A$3:$E$715,5,0)</f>
        <v xml:space="preserve">Gram </v>
      </c>
      <c r="O566" s="40">
        <v>10</v>
      </c>
      <c r="P566" s="299">
        <f t="shared" si="33"/>
        <v>10</v>
      </c>
      <c r="Q566" s="40">
        <v>100</v>
      </c>
      <c r="R566" s="40">
        <v>10</v>
      </c>
      <c r="S566" s="40"/>
      <c r="T566" s="105">
        <f t="shared" si="32"/>
        <v>1</v>
      </c>
      <c r="U566" s="105">
        <f t="shared" si="34"/>
        <v>1</v>
      </c>
      <c r="V566" s="104">
        <f>IFERROR(VLOOKUP(L566,'Raw material list'!$A$2:$S$3102,6,0),0)</f>
        <v>5.0000000000000001E-4</v>
      </c>
      <c r="W566" s="104">
        <f t="shared" si="35"/>
        <v>5.0000000000000001E-4</v>
      </c>
    </row>
    <row r="567" spans="1:23" hidden="1" x14ac:dyDescent="0.55000000000000004">
      <c r="A567" s="41" t="s">
        <v>1501</v>
      </c>
      <c r="B567" s="41" t="s">
        <v>35</v>
      </c>
      <c r="C567" s="41" t="s">
        <v>10</v>
      </c>
      <c r="D567" s="58" t="s">
        <v>1492</v>
      </c>
      <c r="E567" s="41" t="s">
        <v>1486</v>
      </c>
      <c r="F567" s="41" t="s">
        <v>2079</v>
      </c>
      <c r="G567" s="41" t="s">
        <v>11</v>
      </c>
      <c r="H567" s="41" t="s">
        <v>1774</v>
      </c>
      <c r="I567" s="58"/>
      <c r="J567" s="58"/>
      <c r="K567" s="41" t="str">
        <f>IFERROR(VLOOKUP(L567,'Raw material list'!$A$3:$C$715,3,0),"")</f>
        <v>DRS1-3811</v>
      </c>
      <c r="L567" s="58" t="s">
        <v>40</v>
      </c>
      <c r="M567" s="40" t="s">
        <v>156</v>
      </c>
      <c r="N567" s="40" t="str">
        <f>VLOOKUP(L567,'Raw material list'!$A$3:$E$715,5,0)</f>
        <v xml:space="preserve">Gram </v>
      </c>
      <c r="O567" s="40">
        <v>30</v>
      </c>
      <c r="P567" s="299">
        <f t="shared" si="33"/>
        <v>30</v>
      </c>
      <c r="Q567" s="40">
        <v>100</v>
      </c>
      <c r="R567" s="40">
        <v>10</v>
      </c>
      <c r="S567" s="40"/>
      <c r="T567" s="105">
        <f t="shared" si="32"/>
        <v>3</v>
      </c>
      <c r="U567" s="105">
        <f t="shared" si="34"/>
        <v>3</v>
      </c>
      <c r="V567" s="104">
        <f>IFERROR(VLOOKUP(L567,'Raw material list'!$A$2:$S$3102,6,0),0)</f>
        <v>2.8475E-2</v>
      </c>
      <c r="W567" s="104">
        <f t="shared" si="35"/>
        <v>8.5425000000000001E-2</v>
      </c>
    </row>
    <row r="568" spans="1:23" hidden="1" x14ac:dyDescent="0.55000000000000004">
      <c r="A568" s="41" t="s">
        <v>1501</v>
      </c>
      <c r="B568" s="41" t="s">
        <v>35</v>
      </c>
      <c r="C568" s="41" t="s">
        <v>10</v>
      </c>
      <c r="D568" s="58" t="s">
        <v>1492</v>
      </c>
      <c r="E568" s="41" t="s">
        <v>1486</v>
      </c>
      <c r="F568" s="41" t="s">
        <v>2079</v>
      </c>
      <c r="G568" s="41" t="s">
        <v>11</v>
      </c>
      <c r="H568" s="41" t="s">
        <v>1774</v>
      </c>
      <c r="I568" s="58"/>
      <c r="J568" s="58"/>
      <c r="K568" s="41" t="str">
        <f>IFERROR(VLOOKUP(L568,'Raw material list'!$A$3:$C$715,3,0),"")</f>
        <v>TAP-00001</v>
      </c>
      <c r="L568" s="58" t="s">
        <v>1405</v>
      </c>
      <c r="M568" s="40" t="s">
        <v>206</v>
      </c>
      <c r="N568" s="40" t="str">
        <f>VLOOKUP(L568,'Raw material list'!$A$3:$E$715,5,0)</f>
        <v>Ml</v>
      </c>
      <c r="O568" s="40">
        <v>1600</v>
      </c>
      <c r="P568" s="299">
        <f t="shared" si="33"/>
        <v>1600</v>
      </c>
      <c r="Q568" s="40">
        <v>100</v>
      </c>
      <c r="R568" s="40">
        <v>10</v>
      </c>
      <c r="S568" s="40"/>
      <c r="T568" s="105">
        <f t="shared" si="32"/>
        <v>160</v>
      </c>
      <c r="U568" s="105">
        <f t="shared" si="34"/>
        <v>160</v>
      </c>
      <c r="V568" s="104">
        <f>IFERROR(VLOOKUP(L568,'Raw material list'!$A$2:$S$3102,6,0),0)</f>
        <v>8.0000000000000007E-5</v>
      </c>
      <c r="W568" s="104">
        <f t="shared" si="35"/>
        <v>1.2800000000000001E-2</v>
      </c>
    </row>
    <row r="569" spans="1:23" hidden="1" x14ac:dyDescent="0.55000000000000004">
      <c r="A569" s="41" t="s">
        <v>1501</v>
      </c>
      <c r="B569" s="41" t="s">
        <v>35</v>
      </c>
      <c r="C569" s="41" t="s">
        <v>10</v>
      </c>
      <c r="D569" s="58" t="s">
        <v>1492</v>
      </c>
      <c r="E569" s="41" t="s">
        <v>1486</v>
      </c>
      <c r="F569" s="41" t="s">
        <v>2079</v>
      </c>
      <c r="G569" s="41" t="s">
        <v>11</v>
      </c>
      <c r="H569" s="41" t="s">
        <v>1774</v>
      </c>
      <c r="I569" s="58"/>
      <c r="J569" s="58"/>
      <c r="K569" s="41" t="str">
        <f>IFERROR(VLOOKUP(L569,'Raw material list'!$A$3:$C$715,3,0),"")</f>
        <v>DRS4-498</v>
      </c>
      <c r="L569" s="58" t="s">
        <v>72</v>
      </c>
      <c r="M569" s="40" t="s">
        <v>156</v>
      </c>
      <c r="N569" s="40" t="str">
        <f>VLOOKUP(L569,'Raw material list'!$A$3:$E$715,5,0)</f>
        <v xml:space="preserve">Gram </v>
      </c>
      <c r="O569" s="40">
        <v>1000</v>
      </c>
      <c r="P569" s="299">
        <f t="shared" si="33"/>
        <v>1000</v>
      </c>
      <c r="Q569" s="40">
        <v>100</v>
      </c>
      <c r="R569" s="40">
        <v>10</v>
      </c>
      <c r="S569" s="40"/>
      <c r="T569" s="105">
        <f t="shared" si="32"/>
        <v>100</v>
      </c>
      <c r="U569" s="105">
        <f t="shared" si="34"/>
        <v>100</v>
      </c>
      <c r="V569" s="104">
        <f>IFERROR(VLOOKUP(L569,'Raw material list'!$A$2:$S$3102,6,0),0)</f>
        <v>5.7499999999999999E-3</v>
      </c>
      <c r="W569" s="104">
        <f t="shared" si="35"/>
        <v>0.57499999999999996</v>
      </c>
    </row>
    <row r="570" spans="1:23" hidden="1" x14ac:dyDescent="0.55000000000000004">
      <c r="A570" s="41" t="s">
        <v>1501</v>
      </c>
      <c r="B570" s="41" t="s">
        <v>35</v>
      </c>
      <c r="C570" s="41" t="s">
        <v>10</v>
      </c>
      <c r="D570" s="58" t="s">
        <v>1492</v>
      </c>
      <c r="E570" s="41" t="s">
        <v>1486</v>
      </c>
      <c r="F570" s="41" t="s">
        <v>2079</v>
      </c>
      <c r="G570" s="41" t="s">
        <v>11</v>
      </c>
      <c r="H570" s="41" t="s">
        <v>1774</v>
      </c>
      <c r="I570" s="58"/>
      <c r="J570" s="58"/>
      <c r="K570" s="41" t="str">
        <f>IFERROR(VLOOKUP(L570,'Raw material list'!$A$3:$C$715,3,0),"")</f>
        <v>DRS1-3880</v>
      </c>
      <c r="L570" s="58" t="s">
        <v>1433</v>
      </c>
      <c r="M570" s="40" t="s">
        <v>156</v>
      </c>
      <c r="N570" s="40" t="str">
        <f>VLOOKUP(L570,'Raw material list'!$A$3:$E$715,5,0)</f>
        <v xml:space="preserve">Gram </v>
      </c>
      <c r="O570" s="40">
        <v>10</v>
      </c>
      <c r="P570" s="299">
        <f t="shared" si="33"/>
        <v>10</v>
      </c>
      <c r="Q570" s="40">
        <v>100</v>
      </c>
      <c r="R570" s="40">
        <v>10</v>
      </c>
      <c r="S570" s="40"/>
      <c r="T570" s="105">
        <f t="shared" si="32"/>
        <v>1</v>
      </c>
      <c r="U570" s="105">
        <f t="shared" si="34"/>
        <v>1</v>
      </c>
      <c r="V570" s="104">
        <f>IFERROR(VLOOKUP(L570,'Raw material list'!$A$2:$S$3102,6,0),0)</f>
        <v>5.0000000000000001E-4</v>
      </c>
      <c r="W570" s="104">
        <f t="shared" si="35"/>
        <v>5.0000000000000001E-4</v>
      </c>
    </row>
    <row r="571" spans="1:23" hidden="1" x14ac:dyDescent="0.55000000000000004">
      <c r="A571" s="41" t="s">
        <v>1501</v>
      </c>
      <c r="B571" s="41" t="s">
        <v>35</v>
      </c>
      <c r="C571" s="41" t="s">
        <v>10</v>
      </c>
      <c r="D571" s="58" t="s">
        <v>1492</v>
      </c>
      <c r="E571" s="41" t="s">
        <v>1486</v>
      </c>
      <c r="F571" s="41" t="s">
        <v>2079</v>
      </c>
      <c r="G571" s="41" t="s">
        <v>11</v>
      </c>
      <c r="H571" s="41" t="s">
        <v>1774</v>
      </c>
      <c r="I571" s="58"/>
      <c r="J571" s="58"/>
      <c r="K571" s="41" t="str">
        <f>IFERROR(VLOOKUP(L571,'Raw material list'!$A$3:$C$715,3,0),"")</f>
        <v>DRS3-1813</v>
      </c>
      <c r="L571" s="58" t="s">
        <v>69</v>
      </c>
      <c r="M571" s="40" t="s">
        <v>206</v>
      </c>
      <c r="N571" s="40" t="str">
        <f>VLOOKUP(L571,'Raw material list'!$A$3:$E$715,5,0)</f>
        <v>Ml</v>
      </c>
      <c r="O571" s="40">
        <v>50</v>
      </c>
      <c r="P571" s="299">
        <f t="shared" si="33"/>
        <v>50</v>
      </c>
      <c r="Q571" s="40">
        <v>100</v>
      </c>
      <c r="R571" s="40">
        <v>10</v>
      </c>
      <c r="S571" s="40"/>
      <c r="T571" s="105">
        <f t="shared" si="32"/>
        <v>5</v>
      </c>
      <c r="U571" s="105">
        <f t="shared" si="34"/>
        <v>5</v>
      </c>
      <c r="V571" s="104">
        <f>IFERROR(VLOOKUP(L571,'Raw material list'!$A$2:$S$3102,6,0),0)</f>
        <v>8.0555555555555554E-3</v>
      </c>
      <c r="W571" s="104">
        <f t="shared" si="35"/>
        <v>4.0277777777777773E-2</v>
      </c>
    </row>
    <row r="572" spans="1:23" hidden="1" x14ac:dyDescent="0.55000000000000004">
      <c r="A572" s="41" t="s">
        <v>1501</v>
      </c>
      <c r="B572" s="41" t="s">
        <v>35</v>
      </c>
      <c r="C572" s="41" t="s">
        <v>10</v>
      </c>
      <c r="D572" s="58" t="s">
        <v>1492</v>
      </c>
      <c r="E572" s="41" t="s">
        <v>1486</v>
      </c>
      <c r="F572" s="41" t="s">
        <v>2079</v>
      </c>
      <c r="G572" s="41" t="s">
        <v>11</v>
      </c>
      <c r="H572" s="41" t="s">
        <v>1774</v>
      </c>
      <c r="I572" s="58"/>
      <c r="J572" s="58"/>
      <c r="K572" s="41" t="str">
        <f>IFERROR(VLOOKUP(L572,'Raw material list'!$A$3:$C$715,3,0),"")</f>
        <v>DRS6-3593</v>
      </c>
      <c r="L572" s="58" t="s">
        <v>1407</v>
      </c>
      <c r="M572" s="40" t="s">
        <v>156</v>
      </c>
      <c r="N572" s="40" t="str">
        <f>VLOOKUP(L572,'Raw material list'!$A$3:$E$715,5,0)</f>
        <v xml:space="preserve">Gram </v>
      </c>
      <c r="O572" s="40">
        <v>1</v>
      </c>
      <c r="P572" s="299">
        <f t="shared" si="33"/>
        <v>1</v>
      </c>
      <c r="Q572" s="40">
        <v>100</v>
      </c>
      <c r="R572" s="40">
        <v>10</v>
      </c>
      <c r="S572" s="40"/>
      <c r="T572" s="105">
        <f t="shared" si="32"/>
        <v>0.1</v>
      </c>
      <c r="U572" s="105">
        <f t="shared" si="34"/>
        <v>0.1</v>
      </c>
      <c r="V572" s="104">
        <f>IFERROR(VLOOKUP(L572,'Raw material list'!$A$2:$S$3102,6,0),0)</f>
        <v>8.0000000000000002E-3</v>
      </c>
      <c r="W572" s="104">
        <f t="shared" si="35"/>
        <v>8.0000000000000004E-4</v>
      </c>
    </row>
    <row r="573" spans="1:23" hidden="1" x14ac:dyDescent="0.55000000000000004">
      <c r="A573" s="41" t="s">
        <v>1501</v>
      </c>
      <c r="B573" s="41" t="s">
        <v>35</v>
      </c>
      <c r="C573" s="41" t="s">
        <v>10</v>
      </c>
      <c r="D573" s="58" t="s">
        <v>1492</v>
      </c>
      <c r="E573" s="41" t="s">
        <v>1486</v>
      </c>
      <c r="F573" s="41" t="s">
        <v>2079</v>
      </c>
      <c r="G573" s="41" t="s">
        <v>11</v>
      </c>
      <c r="H573" s="41" t="s">
        <v>1774</v>
      </c>
      <c r="I573" s="58"/>
      <c r="J573" s="58"/>
      <c r="K573" s="41" t="str">
        <f>IFERROR(VLOOKUP(L573,'Raw material list'!$A$3:$C$715,3,0),"")</f>
        <v>DRS6-261</v>
      </c>
      <c r="L573" s="58" t="s">
        <v>1406</v>
      </c>
      <c r="M573" s="40" t="s">
        <v>156</v>
      </c>
      <c r="N573" s="40" t="str">
        <f>VLOOKUP(L573,'Raw material list'!$A$3:$E$715,5,0)</f>
        <v xml:space="preserve">Gram </v>
      </c>
      <c r="O573" s="40">
        <v>2</v>
      </c>
      <c r="P573" s="299">
        <f t="shared" si="33"/>
        <v>2</v>
      </c>
      <c r="Q573" s="40">
        <v>100</v>
      </c>
      <c r="R573" s="40">
        <v>10</v>
      </c>
      <c r="S573" s="40"/>
      <c r="T573" s="105">
        <f t="shared" si="32"/>
        <v>0.2</v>
      </c>
      <c r="U573" s="105">
        <f t="shared" si="34"/>
        <v>0.2</v>
      </c>
      <c r="V573" s="104">
        <f>IFERROR(VLOOKUP(L573,'Raw material list'!$A$2:$S$3102,6,0),0)</f>
        <v>1.4E-2</v>
      </c>
      <c r="W573" s="104">
        <f t="shared" si="35"/>
        <v>2.8000000000000004E-3</v>
      </c>
    </row>
    <row r="574" spans="1:23" hidden="1" x14ac:dyDescent="0.55000000000000004">
      <c r="A574" s="41" t="s">
        <v>1501</v>
      </c>
      <c r="B574" s="41" t="s">
        <v>35</v>
      </c>
      <c r="C574" s="41" t="s">
        <v>10</v>
      </c>
      <c r="D574" s="58" t="s">
        <v>1492</v>
      </c>
      <c r="E574" s="41" t="s">
        <v>1486</v>
      </c>
      <c r="F574" s="41" t="s">
        <v>2079</v>
      </c>
      <c r="G574" s="41" t="s">
        <v>11</v>
      </c>
      <c r="H574" s="41" t="s">
        <v>1774</v>
      </c>
      <c r="I574" s="58"/>
      <c r="J574" s="58"/>
      <c r="K574" s="41" t="str">
        <f>IFERROR(VLOOKUP(L574,'Raw material list'!$A$3:$C$715,3,0),"")</f>
        <v>PRD1-195</v>
      </c>
      <c r="L574" s="58" t="s">
        <v>90</v>
      </c>
      <c r="M574" s="40" t="s">
        <v>156</v>
      </c>
      <c r="N574" s="40" t="str">
        <f>VLOOKUP(L574,'Raw material list'!$A$3:$E$715,5,0)</f>
        <v xml:space="preserve">Gram </v>
      </c>
      <c r="O574" s="40">
        <v>30</v>
      </c>
      <c r="P574" s="299">
        <f t="shared" si="33"/>
        <v>70.312499999999986</v>
      </c>
      <c r="Q574" s="105">
        <v>42.666666666666671</v>
      </c>
      <c r="R574" s="40">
        <v>10</v>
      </c>
      <c r="S574" s="40"/>
      <c r="T574" s="105">
        <f t="shared" si="32"/>
        <v>3</v>
      </c>
      <c r="U574" s="105">
        <f t="shared" si="34"/>
        <v>7.0312499999999982</v>
      </c>
      <c r="V574" s="104">
        <f>IFERROR(VLOOKUP(L574,'Raw material list'!$A$2:$S$3102,6,0),0)</f>
        <v>9.3676814988290415E-3</v>
      </c>
      <c r="W574" s="104">
        <f t="shared" si="35"/>
        <v>6.5866510538641676E-2</v>
      </c>
    </row>
    <row r="575" spans="1:23" hidden="1" x14ac:dyDescent="0.55000000000000004">
      <c r="A575" s="41" t="s">
        <v>1502</v>
      </c>
      <c r="B575" s="41" t="s">
        <v>35</v>
      </c>
      <c r="C575" s="41" t="s">
        <v>10</v>
      </c>
      <c r="D575" s="58" t="s">
        <v>1493</v>
      </c>
      <c r="E575" s="41" t="s">
        <v>1486</v>
      </c>
      <c r="F575" s="41" t="s">
        <v>2079</v>
      </c>
      <c r="G575" s="41" t="s">
        <v>11</v>
      </c>
      <c r="H575" s="41" t="s">
        <v>1773</v>
      </c>
      <c r="I575" s="58"/>
      <c r="J575" s="58"/>
      <c r="K575" s="41" t="str">
        <f>IFERROR(VLOOKUP(L575,'Raw material list'!$A$3:$C$715,3,0),"")</f>
        <v>BKR2-4596</v>
      </c>
      <c r="L575" s="58" t="s">
        <v>188</v>
      </c>
      <c r="M575" s="40" t="s">
        <v>48</v>
      </c>
      <c r="N575" s="40" t="str">
        <f>VLOOKUP(L575,'Raw material list'!$A$3:$E$715,5,0)</f>
        <v>Each</v>
      </c>
      <c r="O575" s="40">
        <v>10</v>
      </c>
      <c r="P575" s="299">
        <f t="shared" si="33"/>
        <v>10</v>
      </c>
      <c r="Q575" s="300">
        <v>100</v>
      </c>
      <c r="R575" s="40">
        <v>10</v>
      </c>
      <c r="S575" s="40"/>
      <c r="T575" s="105">
        <f t="shared" si="32"/>
        <v>1</v>
      </c>
      <c r="U575" s="105">
        <f t="shared" si="34"/>
        <v>1</v>
      </c>
      <c r="V575" s="104">
        <f>IFERROR(VLOOKUP(L575,'Raw material list'!$A$2:$S$3102,6,0),0)</f>
        <v>0.96</v>
      </c>
      <c r="W575" s="104">
        <f t="shared" si="35"/>
        <v>0.96</v>
      </c>
    </row>
    <row r="576" spans="1:23" hidden="1" x14ac:dyDescent="0.55000000000000004">
      <c r="A576" s="41" t="s">
        <v>1502</v>
      </c>
      <c r="B576" s="41" t="s">
        <v>35</v>
      </c>
      <c r="C576" s="41" t="s">
        <v>10</v>
      </c>
      <c r="D576" s="58" t="s">
        <v>1493</v>
      </c>
      <c r="E576" s="41" t="s">
        <v>1486</v>
      </c>
      <c r="F576" s="41" t="s">
        <v>2081</v>
      </c>
      <c r="G576" s="41" t="s">
        <v>11</v>
      </c>
      <c r="H576" s="41" t="s">
        <v>1773</v>
      </c>
      <c r="I576" s="58"/>
      <c r="J576" s="58"/>
      <c r="K576" s="41" t="str">
        <f>IFERROR(VLOOKUP(L576,'Raw material list'!$A$3:$C$715,3,0),"")</f>
        <v>PLT1-1704</v>
      </c>
      <c r="L576" s="58" t="s">
        <v>864</v>
      </c>
      <c r="M576" s="40" t="s">
        <v>156</v>
      </c>
      <c r="N576" s="40" t="str">
        <f>VLOOKUP(L576,'Raw material list'!$A$3:$E$715,5,0)</f>
        <v xml:space="preserve">Gram </v>
      </c>
      <c r="O576" s="40">
        <v>450</v>
      </c>
      <c r="P576" s="299">
        <f t="shared" si="33"/>
        <v>459.18367346938783</v>
      </c>
      <c r="Q576" s="40">
        <v>98</v>
      </c>
      <c r="R576" s="40">
        <v>10</v>
      </c>
      <c r="S576" s="40"/>
      <c r="T576" s="105">
        <f t="shared" si="32"/>
        <v>45</v>
      </c>
      <c r="U576" s="105">
        <f t="shared" si="34"/>
        <v>45.91836734693878</v>
      </c>
      <c r="V576" s="104">
        <f>IFERROR(VLOOKUP(L576,'Raw material list'!$A$2:$S$3102,6,0),0)</f>
        <v>0.05</v>
      </c>
      <c r="W576" s="104">
        <f t="shared" si="35"/>
        <v>2.295918367346939</v>
      </c>
    </row>
    <row r="577" spans="1:23" hidden="1" x14ac:dyDescent="0.55000000000000004">
      <c r="A577" s="41" t="s">
        <v>1502</v>
      </c>
      <c r="B577" s="41" t="s">
        <v>35</v>
      </c>
      <c r="C577" s="41" t="s">
        <v>10</v>
      </c>
      <c r="D577" s="58" t="s">
        <v>1493</v>
      </c>
      <c r="E577" s="41" t="s">
        <v>1486</v>
      </c>
      <c r="F577" s="41" t="s">
        <v>2079</v>
      </c>
      <c r="G577" s="41" t="s">
        <v>11</v>
      </c>
      <c r="H577" s="41" t="s">
        <v>1773</v>
      </c>
      <c r="I577" s="58"/>
      <c r="J577" s="58"/>
      <c r="K577" s="41" t="str">
        <f>IFERROR(VLOOKUP(L577,'Raw material list'!$A$3:$C$715,3,0),"")</f>
        <v>DRS1-58</v>
      </c>
      <c r="L577" s="58" t="s">
        <v>779</v>
      </c>
      <c r="M577" s="40" t="s">
        <v>156</v>
      </c>
      <c r="N577" s="40" t="str">
        <f>VLOOKUP(L577,'Raw material list'!$A$3:$E$715,5,0)</f>
        <v xml:space="preserve">Gram </v>
      </c>
      <c r="O577" s="40">
        <v>100</v>
      </c>
      <c r="P577" s="299">
        <f t="shared" si="33"/>
        <v>100</v>
      </c>
      <c r="Q577" s="40">
        <v>100</v>
      </c>
      <c r="R577" s="40">
        <v>10</v>
      </c>
      <c r="S577" s="40"/>
      <c r="T577" s="105">
        <f t="shared" si="32"/>
        <v>10</v>
      </c>
      <c r="U577" s="105">
        <f t="shared" si="34"/>
        <v>10</v>
      </c>
      <c r="V577" s="104">
        <f>IFERROR(VLOOKUP(L577,'Raw material list'!$A$2:$S$3102,6,0),0)</f>
        <v>6.4814814814814813E-3</v>
      </c>
      <c r="W577" s="104">
        <f t="shared" si="35"/>
        <v>6.4814814814814811E-2</v>
      </c>
    </row>
    <row r="578" spans="1:23" hidden="1" x14ac:dyDescent="0.55000000000000004">
      <c r="A578" s="41" t="s">
        <v>1502</v>
      </c>
      <c r="B578" s="41" t="s">
        <v>35</v>
      </c>
      <c r="C578" s="41" t="s">
        <v>10</v>
      </c>
      <c r="D578" s="58" t="s">
        <v>1493</v>
      </c>
      <c r="E578" s="41" t="s">
        <v>1486</v>
      </c>
      <c r="F578" s="41" t="s">
        <v>2079</v>
      </c>
      <c r="G578" s="41" t="s">
        <v>11</v>
      </c>
      <c r="H578" s="41" t="s">
        <v>1773</v>
      </c>
      <c r="I578" s="58"/>
      <c r="J578" s="58"/>
      <c r="K578" s="41" t="str">
        <f>IFERROR(VLOOKUP(L578,'Raw material list'!$A$3:$C$715,3,0),"")</f>
        <v>DRS1-1549</v>
      </c>
      <c r="L578" s="58" t="s">
        <v>294</v>
      </c>
      <c r="M578" s="40" t="s">
        <v>156</v>
      </c>
      <c r="N578" s="40" t="str">
        <f>VLOOKUP(L578,'Raw material list'!$A$3:$E$715,5,0)</f>
        <v xml:space="preserve">Gram </v>
      </c>
      <c r="O578" s="40">
        <v>50</v>
      </c>
      <c r="P578" s="299">
        <f t="shared" si="33"/>
        <v>50</v>
      </c>
      <c r="Q578" s="40">
        <v>100</v>
      </c>
      <c r="R578" s="40">
        <v>10</v>
      </c>
      <c r="S578" s="40"/>
      <c r="T578" s="105">
        <f t="shared" si="32"/>
        <v>5</v>
      </c>
      <c r="U578" s="105">
        <f t="shared" si="34"/>
        <v>5</v>
      </c>
      <c r="V578" s="104">
        <f>IFERROR(VLOOKUP(L578,'Raw material list'!$A$2:$S$3102,6,0),0)</f>
        <v>7.5966850828729279E-3</v>
      </c>
      <c r="W578" s="104">
        <f t="shared" si="35"/>
        <v>3.7983425414364641E-2</v>
      </c>
    </row>
    <row r="579" spans="1:23" hidden="1" x14ac:dyDescent="0.55000000000000004">
      <c r="A579" s="41" t="s">
        <v>1502</v>
      </c>
      <c r="B579" s="41" t="s">
        <v>35</v>
      </c>
      <c r="C579" s="41" t="s">
        <v>10</v>
      </c>
      <c r="D579" s="58" t="s">
        <v>1493</v>
      </c>
      <c r="E579" s="41" t="s">
        <v>1486</v>
      </c>
      <c r="F579" s="41" t="s">
        <v>2079</v>
      </c>
      <c r="G579" s="41" t="s">
        <v>11</v>
      </c>
      <c r="H579" s="41" t="s">
        <v>1773</v>
      </c>
      <c r="I579" s="58"/>
      <c r="J579" s="58"/>
      <c r="K579" s="41" t="str">
        <f>IFERROR(VLOOKUP(L579,'Raw material list'!$A$3:$C$715,3,0),"")</f>
        <v>PRD1-572</v>
      </c>
      <c r="L579" s="58" t="s">
        <v>54</v>
      </c>
      <c r="M579" s="40" t="s">
        <v>156</v>
      </c>
      <c r="N579" s="40" t="str">
        <f>VLOOKUP(L579,'Raw material list'!$A$3:$E$715,5,0)</f>
        <v xml:space="preserve">Gram </v>
      </c>
      <c r="O579" s="40">
        <v>300</v>
      </c>
      <c r="P579" s="299">
        <f t="shared" si="33"/>
        <v>340.00755572346043</v>
      </c>
      <c r="Q579" s="105">
        <v>88.233333333333348</v>
      </c>
      <c r="R579" s="40">
        <v>10</v>
      </c>
      <c r="S579" s="40"/>
      <c r="T579" s="105">
        <f t="shared" si="32"/>
        <v>30</v>
      </c>
      <c r="U579" s="105">
        <f t="shared" si="34"/>
        <v>34.000755572346044</v>
      </c>
      <c r="V579" s="104">
        <f>IFERROR(VLOOKUP(L579,'Raw material list'!$A$2:$S$3102,6,0),0)</f>
        <v>4.5351473922902496E-3</v>
      </c>
      <c r="W579" s="104">
        <f t="shared" si="35"/>
        <v>0.15419843796982333</v>
      </c>
    </row>
    <row r="580" spans="1:23" hidden="1" x14ac:dyDescent="0.55000000000000004">
      <c r="A580" s="41" t="s">
        <v>1502</v>
      </c>
      <c r="B580" s="41" t="s">
        <v>35</v>
      </c>
      <c r="C580" s="41" t="s">
        <v>10</v>
      </c>
      <c r="D580" s="58" t="s">
        <v>1493</v>
      </c>
      <c r="E580" s="41" t="s">
        <v>1486</v>
      </c>
      <c r="F580" s="41" t="s">
        <v>2079</v>
      </c>
      <c r="G580" s="41" t="s">
        <v>11</v>
      </c>
      <c r="H580" s="41" t="s">
        <v>1773</v>
      </c>
      <c r="I580" s="58"/>
      <c r="J580" s="58"/>
      <c r="K580" s="41" t="str">
        <f>IFERROR(VLOOKUP(L580,'Raw material list'!$A$3:$C$715,3,0),"")</f>
        <v>DRY1-3344</v>
      </c>
      <c r="L580" s="58" t="s">
        <v>102</v>
      </c>
      <c r="M580" s="40" t="s">
        <v>156</v>
      </c>
      <c r="N580" s="40" t="str">
        <f>VLOOKUP(L580,'Raw material list'!$A$3:$E$715,5,0)</f>
        <v xml:space="preserve">Gram </v>
      </c>
      <c r="O580" s="40">
        <v>180</v>
      </c>
      <c r="P580" s="299">
        <f t="shared" si="33"/>
        <v>180</v>
      </c>
      <c r="Q580" s="300">
        <v>100</v>
      </c>
      <c r="R580" s="40">
        <v>10</v>
      </c>
      <c r="S580" s="40"/>
      <c r="T580" s="105">
        <f t="shared" si="32"/>
        <v>18</v>
      </c>
      <c r="U580" s="105">
        <f t="shared" si="34"/>
        <v>18</v>
      </c>
      <c r="V580" s="104">
        <f>IFERROR(VLOOKUP(L580,'Raw material list'!$A$2:$S$3102,6,0),0)</f>
        <v>2.3E-2</v>
      </c>
      <c r="W580" s="104">
        <f t="shared" si="35"/>
        <v>0.41399999999999998</v>
      </c>
    </row>
    <row r="581" spans="1:23" hidden="1" x14ac:dyDescent="0.55000000000000004">
      <c r="A581" s="41" t="s">
        <v>1503</v>
      </c>
      <c r="B581" s="41" t="s">
        <v>35</v>
      </c>
      <c r="C581" s="41" t="s">
        <v>10</v>
      </c>
      <c r="D581" s="58" t="s">
        <v>1494</v>
      </c>
      <c r="E581" s="41" t="s">
        <v>1486</v>
      </c>
      <c r="F581" s="41" t="s">
        <v>2079</v>
      </c>
      <c r="G581" s="41" t="s">
        <v>11</v>
      </c>
      <c r="H581" s="41" t="s">
        <v>1774</v>
      </c>
      <c r="I581" s="58"/>
      <c r="J581" s="58"/>
      <c r="K581" s="41" t="str">
        <f>IFERROR(VLOOKUP(L581,'Raw material list'!$A$3:$C$715,3,0),"")</f>
        <v>DRY2-1008</v>
      </c>
      <c r="L581" s="58" t="s">
        <v>57</v>
      </c>
      <c r="M581" s="40" t="s">
        <v>156</v>
      </c>
      <c r="N581" s="40" t="str">
        <f>VLOOKUP(L581,'Raw material list'!$A$3:$E$715,5,0)</f>
        <v xml:space="preserve">Gram </v>
      </c>
      <c r="O581" s="40">
        <v>100</v>
      </c>
      <c r="P581" s="299">
        <f t="shared" si="33"/>
        <v>100</v>
      </c>
      <c r="Q581" s="40">
        <v>100</v>
      </c>
      <c r="R581" s="40">
        <v>10</v>
      </c>
      <c r="S581" s="40"/>
      <c r="T581" s="105">
        <f t="shared" ref="T581:T644" si="36">IFERROR(O581/R581,0)</f>
        <v>10</v>
      </c>
      <c r="U581" s="105">
        <f t="shared" si="34"/>
        <v>10</v>
      </c>
      <c r="V581" s="104">
        <f>IFERROR(VLOOKUP(L581,'Raw material list'!$A$2:$S$3102,6,0),0)</f>
        <v>0.03</v>
      </c>
      <c r="W581" s="104">
        <f t="shared" si="35"/>
        <v>0.3</v>
      </c>
    </row>
    <row r="582" spans="1:23" hidden="1" x14ac:dyDescent="0.55000000000000004">
      <c r="A582" s="41" t="s">
        <v>1503</v>
      </c>
      <c r="B582" s="41" t="s">
        <v>35</v>
      </c>
      <c r="C582" s="41" t="s">
        <v>10</v>
      </c>
      <c r="D582" s="58" t="s">
        <v>1494</v>
      </c>
      <c r="E582" s="41" t="s">
        <v>1486</v>
      </c>
      <c r="F582" s="41" t="s">
        <v>2079</v>
      </c>
      <c r="G582" s="41" t="s">
        <v>11</v>
      </c>
      <c r="H582" s="41" t="s">
        <v>1774</v>
      </c>
      <c r="I582" s="58"/>
      <c r="J582" s="58"/>
      <c r="K582" s="41" t="str">
        <f>IFERROR(VLOOKUP(L582,'Raw material list'!$A$3:$C$715,3,0),"")</f>
        <v>PRD1-4265</v>
      </c>
      <c r="L582" s="58" t="s">
        <v>38</v>
      </c>
      <c r="M582" s="40" t="s">
        <v>156</v>
      </c>
      <c r="N582" s="40" t="str">
        <f>VLOOKUP(L582,'Raw material list'!$A$3:$E$715,5,0)</f>
        <v xml:space="preserve">Gram </v>
      </c>
      <c r="O582" s="40">
        <v>50</v>
      </c>
      <c r="P582" s="299">
        <f t="shared" ref="P582:P645" si="37">O582/Q582*100</f>
        <v>58.82352941176471</v>
      </c>
      <c r="Q582" s="105">
        <v>85</v>
      </c>
      <c r="R582" s="40">
        <v>10</v>
      </c>
      <c r="S582" s="40"/>
      <c r="T582" s="105">
        <f t="shared" si="36"/>
        <v>5</v>
      </c>
      <c r="U582" s="105">
        <f t="shared" ref="U582:U645" si="38">IFERROR(P582/R582,0)</f>
        <v>5.882352941176471</v>
      </c>
      <c r="V582" s="104">
        <f>IFERROR(VLOOKUP(L582,'Raw material list'!$A$2:$S$3102,6,0),0)</f>
        <v>3.529411764705882E-3</v>
      </c>
      <c r="W582" s="104">
        <f t="shared" ref="W582:W645" si="39">IFERROR(V582*U582,0)</f>
        <v>2.0761245674740483E-2</v>
      </c>
    </row>
    <row r="583" spans="1:23" hidden="1" x14ac:dyDescent="0.55000000000000004">
      <c r="A583" s="41" t="s">
        <v>1503</v>
      </c>
      <c r="B583" s="41" t="s">
        <v>35</v>
      </c>
      <c r="C583" s="41" t="s">
        <v>10</v>
      </c>
      <c r="D583" s="58" t="s">
        <v>1494</v>
      </c>
      <c r="E583" s="41" t="s">
        <v>1486</v>
      </c>
      <c r="F583" s="41" t="s">
        <v>2079</v>
      </c>
      <c r="G583" s="41" t="s">
        <v>11</v>
      </c>
      <c r="H583" s="41" t="s">
        <v>1774</v>
      </c>
      <c r="I583" s="58"/>
      <c r="J583" s="58"/>
      <c r="K583" s="41" t="str">
        <f>IFERROR(VLOOKUP(L583,'Raw material list'!$A$3:$C$715,3,0),"")</f>
        <v>PRD1-4327</v>
      </c>
      <c r="L583" s="58" t="s">
        <v>39</v>
      </c>
      <c r="M583" s="40" t="s">
        <v>156</v>
      </c>
      <c r="N583" s="40" t="str">
        <f>VLOOKUP(L583,'Raw material list'!$A$3:$E$715,5,0)</f>
        <v xml:space="preserve">Gram </v>
      </c>
      <c r="O583" s="40">
        <v>20</v>
      </c>
      <c r="P583" s="299">
        <f t="shared" si="37"/>
        <v>24.096385542168676</v>
      </c>
      <c r="Q583" s="105">
        <v>83</v>
      </c>
      <c r="R583" s="40">
        <v>10</v>
      </c>
      <c r="S583" s="40"/>
      <c r="T583" s="105">
        <f t="shared" si="36"/>
        <v>2</v>
      </c>
      <c r="U583" s="105">
        <f t="shared" si="38"/>
        <v>2.4096385542168677</v>
      </c>
      <c r="V583" s="104">
        <f>IFERROR(VLOOKUP(L583,'Raw material list'!$A$2:$S$3102,6,0),0)</f>
        <v>1.2999999999999999E-2</v>
      </c>
      <c r="W583" s="104">
        <f t="shared" si="39"/>
        <v>3.1325301204819279E-2</v>
      </c>
    </row>
    <row r="584" spans="1:23" hidden="1" x14ac:dyDescent="0.55000000000000004">
      <c r="A584" s="41" t="s">
        <v>1503</v>
      </c>
      <c r="B584" s="41" t="s">
        <v>35</v>
      </c>
      <c r="C584" s="41" t="s">
        <v>10</v>
      </c>
      <c r="D584" s="58" t="s">
        <v>1494</v>
      </c>
      <c r="E584" s="41" t="s">
        <v>1486</v>
      </c>
      <c r="F584" s="41" t="s">
        <v>2079</v>
      </c>
      <c r="G584" s="41" t="s">
        <v>11</v>
      </c>
      <c r="H584" s="41" t="s">
        <v>1774</v>
      </c>
      <c r="I584" s="58"/>
      <c r="J584" s="58"/>
      <c r="K584" s="41" t="str">
        <f>IFERROR(VLOOKUP(L584,'Raw material list'!$A$3:$C$715,3,0),"")</f>
        <v>DRS6-733</v>
      </c>
      <c r="L584" s="58" t="s">
        <v>45</v>
      </c>
      <c r="M584" s="40" t="s">
        <v>156</v>
      </c>
      <c r="N584" s="40" t="str">
        <f>VLOOKUP(L584,'Raw material list'!$A$3:$E$715,5,0)</f>
        <v xml:space="preserve">Gram </v>
      </c>
      <c r="O584" s="40">
        <v>4</v>
      </c>
      <c r="P584" s="299">
        <f t="shared" si="37"/>
        <v>4</v>
      </c>
      <c r="Q584" s="300">
        <v>100</v>
      </c>
      <c r="R584" s="40">
        <v>10</v>
      </c>
      <c r="S584" s="40"/>
      <c r="T584" s="105">
        <f t="shared" si="36"/>
        <v>0.4</v>
      </c>
      <c r="U584" s="105">
        <f t="shared" si="38"/>
        <v>0.4</v>
      </c>
      <c r="V584" s="104">
        <f>IFERROR(VLOOKUP(L584,'Raw material list'!$A$2:$S$3102,6,0),0)</f>
        <v>2.8000000000000001E-2</v>
      </c>
      <c r="W584" s="104">
        <f t="shared" si="39"/>
        <v>1.1200000000000002E-2</v>
      </c>
    </row>
    <row r="585" spans="1:23" hidden="1" x14ac:dyDescent="0.55000000000000004">
      <c r="A585" s="41" t="s">
        <v>1503</v>
      </c>
      <c r="B585" s="41" t="s">
        <v>35</v>
      </c>
      <c r="C585" s="41" t="s">
        <v>10</v>
      </c>
      <c r="D585" s="58" t="s">
        <v>1494</v>
      </c>
      <c r="E585" s="41" t="s">
        <v>1486</v>
      </c>
      <c r="F585" s="41" t="s">
        <v>2079</v>
      </c>
      <c r="G585" s="41" t="s">
        <v>11</v>
      </c>
      <c r="H585" s="41" t="s">
        <v>1774</v>
      </c>
      <c r="I585" s="58"/>
      <c r="J585" s="58"/>
      <c r="K585" s="41" t="str">
        <f>IFERROR(VLOOKUP(L585,'Raw material list'!$A$3:$C$715,3,0),"")</f>
        <v>DRS6-1674</v>
      </c>
      <c r="L585" s="58" t="s">
        <v>73</v>
      </c>
      <c r="M585" s="40" t="s">
        <v>156</v>
      </c>
      <c r="N585" s="40" t="str">
        <f>VLOOKUP(L585,'Raw material list'!$A$3:$E$715,5,0)</f>
        <v xml:space="preserve">Gram </v>
      </c>
      <c r="O585" s="40">
        <v>2</v>
      </c>
      <c r="P585" s="299">
        <f t="shared" si="37"/>
        <v>2</v>
      </c>
      <c r="Q585" s="40">
        <v>100</v>
      </c>
      <c r="R585" s="40">
        <v>10</v>
      </c>
      <c r="S585" s="40"/>
      <c r="T585" s="105">
        <f t="shared" si="36"/>
        <v>0.2</v>
      </c>
      <c r="U585" s="105">
        <f t="shared" si="38"/>
        <v>0.2</v>
      </c>
      <c r="V585" s="104">
        <f>IFERROR(VLOOKUP(L585,'Raw material list'!$A$2:$S$3102,6,0),0)</f>
        <v>1.2500000000000001E-2</v>
      </c>
      <c r="W585" s="104">
        <f t="shared" si="39"/>
        <v>2.5000000000000005E-3</v>
      </c>
    </row>
    <row r="586" spans="1:23" hidden="1" x14ac:dyDescent="0.55000000000000004">
      <c r="A586" s="41" t="s">
        <v>1503</v>
      </c>
      <c r="B586" s="41" t="s">
        <v>35</v>
      </c>
      <c r="C586" s="41" t="s">
        <v>10</v>
      </c>
      <c r="D586" s="58" t="s">
        <v>1494</v>
      </c>
      <c r="E586" s="41" t="s">
        <v>1486</v>
      </c>
      <c r="F586" s="41" t="s">
        <v>2079</v>
      </c>
      <c r="G586" s="41" t="s">
        <v>11</v>
      </c>
      <c r="H586" s="41" t="s">
        <v>1774</v>
      </c>
      <c r="I586" s="58"/>
      <c r="J586" s="58"/>
      <c r="K586" s="41" t="str">
        <f>IFERROR(VLOOKUP(L586,'Raw material list'!$A$3:$C$715,3,0),"")</f>
        <v>DRS6-309</v>
      </c>
      <c r="L586" s="58" t="s">
        <v>61</v>
      </c>
      <c r="M586" s="40" t="s">
        <v>156</v>
      </c>
      <c r="N586" s="40" t="str">
        <f>VLOOKUP(L586,'Raw material list'!$A$3:$E$715,5,0)</f>
        <v xml:space="preserve">Gram </v>
      </c>
      <c r="O586" s="40">
        <v>2</v>
      </c>
      <c r="P586" s="299">
        <f t="shared" si="37"/>
        <v>2</v>
      </c>
      <c r="Q586" s="40">
        <v>100</v>
      </c>
      <c r="R586" s="40">
        <v>10</v>
      </c>
      <c r="S586" s="40"/>
      <c r="T586" s="105">
        <f t="shared" si="36"/>
        <v>0.2</v>
      </c>
      <c r="U586" s="105">
        <f t="shared" si="38"/>
        <v>0.2</v>
      </c>
      <c r="V586" s="104">
        <f>IFERROR(VLOOKUP(L586,'Raw material list'!$A$2:$S$3102,6,0),0)</f>
        <v>2.8000000000000001E-2</v>
      </c>
      <c r="W586" s="104">
        <f t="shared" si="39"/>
        <v>5.6000000000000008E-3</v>
      </c>
    </row>
    <row r="587" spans="1:23" hidden="1" x14ac:dyDescent="0.55000000000000004">
      <c r="A587" s="41" t="s">
        <v>1503</v>
      </c>
      <c r="B587" s="41" t="s">
        <v>35</v>
      </c>
      <c r="C587" s="41" t="s">
        <v>10</v>
      </c>
      <c r="D587" s="58" t="s">
        <v>1494</v>
      </c>
      <c r="E587" s="41" t="s">
        <v>1486</v>
      </c>
      <c r="F587" s="41" t="s">
        <v>2079</v>
      </c>
      <c r="G587" s="41" t="s">
        <v>11</v>
      </c>
      <c r="H587" s="41" t="s">
        <v>1774</v>
      </c>
      <c r="I587" s="58"/>
      <c r="J587" s="58"/>
      <c r="K587" s="41" t="str">
        <f>IFERROR(VLOOKUP(L587,'Raw material list'!$A$3:$C$715,3,0),"")</f>
        <v>TAP-00001</v>
      </c>
      <c r="L587" s="58" t="s">
        <v>1405</v>
      </c>
      <c r="M587" s="40" t="s">
        <v>206</v>
      </c>
      <c r="N587" s="40" t="str">
        <f>VLOOKUP(L587,'Raw material list'!$A$3:$E$715,5,0)</f>
        <v>Ml</v>
      </c>
      <c r="O587" s="40">
        <v>1300</v>
      </c>
      <c r="P587" s="299">
        <f t="shared" si="37"/>
        <v>1300</v>
      </c>
      <c r="Q587" s="40">
        <v>100</v>
      </c>
      <c r="R587" s="40">
        <v>10</v>
      </c>
      <c r="S587" s="40"/>
      <c r="T587" s="105">
        <f t="shared" si="36"/>
        <v>130</v>
      </c>
      <c r="U587" s="105">
        <f t="shared" si="38"/>
        <v>130</v>
      </c>
      <c r="V587" s="104">
        <f>IFERROR(VLOOKUP(L587,'Raw material list'!$A$2:$S$3102,6,0),0)</f>
        <v>8.0000000000000007E-5</v>
      </c>
      <c r="W587" s="104">
        <f t="shared" si="39"/>
        <v>1.0400000000000001E-2</v>
      </c>
    </row>
    <row r="588" spans="1:23" hidden="1" x14ac:dyDescent="0.55000000000000004">
      <c r="A588" s="41" t="s">
        <v>1503</v>
      </c>
      <c r="B588" s="41" t="s">
        <v>35</v>
      </c>
      <c r="C588" s="41" t="s">
        <v>10</v>
      </c>
      <c r="D588" s="58" t="s">
        <v>1494</v>
      </c>
      <c r="E588" s="41" t="s">
        <v>1486</v>
      </c>
      <c r="F588" s="41" t="s">
        <v>2079</v>
      </c>
      <c r="G588" s="41" t="s">
        <v>11</v>
      </c>
      <c r="H588" s="41" t="s">
        <v>1774</v>
      </c>
      <c r="I588" s="58"/>
      <c r="J588" s="58"/>
      <c r="K588" s="41" t="str">
        <f>IFERROR(VLOOKUP(L588,'Raw material list'!$A$3:$C$715,3,0),"")</f>
        <v>PRD1-209</v>
      </c>
      <c r="L588" s="58" t="s">
        <v>86</v>
      </c>
      <c r="M588" s="40" t="s">
        <v>156</v>
      </c>
      <c r="N588" s="40" t="str">
        <f>VLOOKUP(L588,'Raw material list'!$A$3:$E$715,5,0)</f>
        <v xml:space="preserve">Gram </v>
      </c>
      <c r="O588" s="40">
        <v>30</v>
      </c>
      <c r="P588" s="299">
        <f t="shared" si="37"/>
        <v>37.815126050420176</v>
      </c>
      <c r="Q588" s="105">
        <v>79.333333333333329</v>
      </c>
      <c r="R588" s="40">
        <v>10</v>
      </c>
      <c r="S588" s="40"/>
      <c r="T588" s="105">
        <f t="shared" si="36"/>
        <v>3</v>
      </c>
      <c r="U588" s="105">
        <f t="shared" si="38"/>
        <v>3.7815126050420176</v>
      </c>
      <c r="V588" s="104">
        <f>IFERROR(VLOOKUP(L588,'Raw material list'!$A$2:$S$3102,6,0),0)</f>
        <v>1.0088272383354349E-2</v>
      </c>
      <c r="W588" s="104">
        <f t="shared" si="39"/>
        <v>3.8148929180751745E-2</v>
      </c>
    </row>
    <row r="589" spans="1:23" hidden="1" x14ac:dyDescent="0.55000000000000004">
      <c r="A589" s="41" t="s">
        <v>1503</v>
      </c>
      <c r="B589" s="41" t="s">
        <v>35</v>
      </c>
      <c r="C589" s="41" t="s">
        <v>10</v>
      </c>
      <c r="D589" s="58" t="s">
        <v>1494</v>
      </c>
      <c r="E589" s="41" t="s">
        <v>1486</v>
      </c>
      <c r="F589" s="41" t="s">
        <v>2079</v>
      </c>
      <c r="G589" s="41" t="s">
        <v>11</v>
      </c>
      <c r="H589" s="41" t="s">
        <v>1774</v>
      </c>
      <c r="I589" s="58"/>
      <c r="J589" s="58"/>
      <c r="K589" s="41" t="str">
        <f>IFERROR(VLOOKUP(L589,'Raw material list'!$A$3:$C$715,3,0),"")</f>
        <v>DRS1-3880</v>
      </c>
      <c r="L589" s="58" t="s">
        <v>1433</v>
      </c>
      <c r="M589" s="40" t="s">
        <v>156</v>
      </c>
      <c r="N589" s="40" t="str">
        <f>VLOOKUP(L589,'Raw material list'!$A$3:$E$715,5,0)</f>
        <v xml:space="preserve">Gram </v>
      </c>
      <c r="O589" s="40">
        <v>15</v>
      </c>
      <c r="P589" s="299">
        <f t="shared" si="37"/>
        <v>15</v>
      </c>
      <c r="Q589" s="300">
        <v>100</v>
      </c>
      <c r="R589" s="40">
        <v>10</v>
      </c>
      <c r="S589" s="40"/>
      <c r="T589" s="105">
        <f t="shared" si="36"/>
        <v>1.5</v>
      </c>
      <c r="U589" s="105">
        <f t="shared" si="38"/>
        <v>1.5</v>
      </c>
      <c r="V589" s="104">
        <f>IFERROR(VLOOKUP(L589,'Raw material list'!$A$2:$S$3102,6,0),0)</f>
        <v>5.0000000000000001E-4</v>
      </c>
      <c r="W589" s="104">
        <f t="shared" si="39"/>
        <v>7.5000000000000002E-4</v>
      </c>
    </row>
    <row r="590" spans="1:23" hidden="1" x14ac:dyDescent="0.55000000000000004">
      <c r="A590" s="41" t="s">
        <v>1503</v>
      </c>
      <c r="B590" s="41" t="s">
        <v>35</v>
      </c>
      <c r="C590" s="41" t="s">
        <v>10</v>
      </c>
      <c r="D590" s="58" t="s">
        <v>1494</v>
      </c>
      <c r="E590" s="41" t="s">
        <v>1486</v>
      </c>
      <c r="F590" s="41" t="s">
        <v>2079</v>
      </c>
      <c r="G590" s="41" t="s">
        <v>11</v>
      </c>
      <c r="H590" s="41" t="s">
        <v>1774</v>
      </c>
      <c r="I590" s="58"/>
      <c r="J590" s="58"/>
      <c r="K590" s="41" t="str">
        <f>IFERROR(VLOOKUP(L590,'Raw material list'!$A$3:$C$715,3,0),"")</f>
        <v>DRS1-3448</v>
      </c>
      <c r="L590" s="58" t="s">
        <v>87</v>
      </c>
      <c r="M590" s="40" t="s">
        <v>156</v>
      </c>
      <c r="N590" s="40" t="str">
        <f>VLOOKUP(L590,'Raw material list'!$A$3:$E$715,5,0)</f>
        <v xml:space="preserve">Gram </v>
      </c>
      <c r="O590" s="40">
        <v>5</v>
      </c>
      <c r="P590" s="299">
        <f t="shared" si="37"/>
        <v>5</v>
      </c>
      <c r="Q590" s="40">
        <v>100</v>
      </c>
      <c r="R590" s="40">
        <v>10</v>
      </c>
      <c r="S590" s="40"/>
      <c r="T590" s="105">
        <f t="shared" si="36"/>
        <v>0.5</v>
      </c>
      <c r="U590" s="105">
        <f t="shared" si="38"/>
        <v>0.5</v>
      </c>
      <c r="V590" s="104">
        <f>IFERROR(VLOOKUP(L590,'Raw material list'!$A$2:$S$3102,6,0),0)</f>
        <v>5.0000000000000001E-3</v>
      </c>
      <c r="W590" s="104">
        <f t="shared" si="39"/>
        <v>2.5000000000000001E-3</v>
      </c>
    </row>
    <row r="591" spans="1:23" hidden="1" x14ac:dyDescent="0.55000000000000004">
      <c r="A591" s="41" t="s">
        <v>1503</v>
      </c>
      <c r="B591" s="41" t="s">
        <v>35</v>
      </c>
      <c r="C591" s="41" t="s">
        <v>10</v>
      </c>
      <c r="D591" s="58" t="s">
        <v>1494</v>
      </c>
      <c r="E591" s="41" t="s">
        <v>1486</v>
      </c>
      <c r="F591" s="41" t="s">
        <v>2079</v>
      </c>
      <c r="G591" s="41" t="s">
        <v>11</v>
      </c>
      <c r="H591" s="41" t="s">
        <v>1774</v>
      </c>
      <c r="I591" s="58"/>
      <c r="J591" s="58"/>
      <c r="K591" s="41" t="str">
        <f>IFERROR(VLOOKUP(L591,'Raw material list'!$A$3:$C$715,3,0),"")</f>
        <v>PRD1-195</v>
      </c>
      <c r="L591" s="58" t="s">
        <v>90</v>
      </c>
      <c r="M591" s="40" t="s">
        <v>156</v>
      </c>
      <c r="N591" s="40" t="str">
        <f>VLOOKUP(L591,'Raw material list'!$A$3:$E$715,5,0)</f>
        <v xml:space="preserve">Gram </v>
      </c>
      <c r="O591" s="40">
        <v>25</v>
      </c>
      <c r="P591" s="299">
        <f t="shared" si="37"/>
        <v>58.593749999999986</v>
      </c>
      <c r="Q591" s="105">
        <v>42.666666666666671</v>
      </c>
      <c r="R591" s="40">
        <v>10</v>
      </c>
      <c r="S591" s="40"/>
      <c r="T591" s="105">
        <f t="shared" si="36"/>
        <v>2.5</v>
      </c>
      <c r="U591" s="105">
        <f t="shared" si="38"/>
        <v>5.8593749999999982</v>
      </c>
      <c r="V591" s="104">
        <f>IFERROR(VLOOKUP(L591,'Raw material list'!$A$2:$S$3102,6,0),0)</f>
        <v>9.3676814988290415E-3</v>
      </c>
      <c r="W591" s="104">
        <f t="shared" si="39"/>
        <v>5.4888758782201397E-2</v>
      </c>
    </row>
    <row r="592" spans="1:23" hidden="1" x14ac:dyDescent="0.55000000000000004">
      <c r="A592" s="41" t="s">
        <v>1503</v>
      </c>
      <c r="B592" s="41" t="s">
        <v>35</v>
      </c>
      <c r="C592" s="41" t="s">
        <v>10</v>
      </c>
      <c r="D592" s="58" t="s">
        <v>1494</v>
      </c>
      <c r="E592" s="41" t="s">
        <v>1486</v>
      </c>
      <c r="F592" s="41" t="s">
        <v>2079</v>
      </c>
      <c r="G592" s="41" t="s">
        <v>11</v>
      </c>
      <c r="H592" s="41" t="s">
        <v>1774</v>
      </c>
      <c r="I592" s="58"/>
      <c r="J592" s="58"/>
      <c r="K592" s="41" t="str">
        <f>IFERROR(VLOOKUP(L592,'Raw material list'!$A$3:$C$715,3,0),"")</f>
        <v>PRD1-199</v>
      </c>
      <c r="L592" s="58" t="s">
        <v>91</v>
      </c>
      <c r="M592" s="40" t="s">
        <v>156</v>
      </c>
      <c r="N592" s="40" t="str">
        <f>VLOOKUP(L592,'Raw material list'!$A$3:$E$715,5,0)</f>
        <v xml:space="preserve">Gram </v>
      </c>
      <c r="O592" s="40">
        <v>25</v>
      </c>
      <c r="P592" s="299">
        <f t="shared" si="37"/>
        <v>71.428571428571431</v>
      </c>
      <c r="Q592" s="105">
        <v>35</v>
      </c>
      <c r="R592" s="40">
        <v>10</v>
      </c>
      <c r="S592" s="40"/>
      <c r="T592" s="105">
        <f t="shared" si="36"/>
        <v>2.5</v>
      </c>
      <c r="U592" s="105">
        <f t="shared" si="38"/>
        <v>7.1428571428571432</v>
      </c>
      <c r="V592" s="104">
        <f>IFERROR(VLOOKUP(L592,'Raw material list'!$A$2:$S$3102,6,0),0)</f>
        <v>1.1428571428571429E-2</v>
      </c>
      <c r="W592" s="104">
        <f t="shared" si="39"/>
        <v>8.1632653061224497E-2</v>
      </c>
    </row>
    <row r="593" spans="1:23" hidden="1" x14ac:dyDescent="0.55000000000000004">
      <c r="A593" s="41" t="s">
        <v>1503</v>
      </c>
      <c r="B593" s="41" t="s">
        <v>35</v>
      </c>
      <c r="C593" s="41" t="s">
        <v>10</v>
      </c>
      <c r="D593" s="58" t="s">
        <v>1494</v>
      </c>
      <c r="E593" s="41" t="s">
        <v>1486</v>
      </c>
      <c r="F593" s="41" t="s">
        <v>2081</v>
      </c>
      <c r="G593" s="41" t="s">
        <v>11</v>
      </c>
      <c r="H593" s="41" t="s">
        <v>1774</v>
      </c>
      <c r="I593" s="58"/>
      <c r="J593" s="58"/>
      <c r="K593" s="41" t="str">
        <f>IFERROR(VLOOKUP(L593,'Raw material list'!$A$3:$C$715,3,0),"")</f>
        <v>SFD2-312</v>
      </c>
      <c r="L593" s="58" t="s">
        <v>109</v>
      </c>
      <c r="M593" s="40" t="s">
        <v>156</v>
      </c>
      <c r="N593" s="40" t="str">
        <f>VLOOKUP(L593,'Raw material list'!$A$3:$E$715,5,0)</f>
        <v xml:space="preserve">Gram </v>
      </c>
      <c r="O593" s="40">
        <v>1200</v>
      </c>
      <c r="P593" s="299">
        <f t="shared" si="37"/>
        <v>1637.1077762619373</v>
      </c>
      <c r="Q593" s="300">
        <v>73.3</v>
      </c>
      <c r="R593" s="40">
        <v>10</v>
      </c>
      <c r="S593" s="40"/>
      <c r="T593" s="105">
        <f t="shared" si="36"/>
        <v>120</v>
      </c>
      <c r="U593" s="105">
        <f t="shared" si="38"/>
        <v>163.71077762619373</v>
      </c>
      <c r="V593" s="104">
        <f>IFERROR(VLOOKUP(L593,'Raw material list'!$A$2:$S$3102,6,0),0)</f>
        <v>3.2786885245901641E-2</v>
      </c>
      <c r="W593" s="104">
        <f t="shared" si="39"/>
        <v>5.3675664795473361</v>
      </c>
    </row>
    <row r="594" spans="1:23" hidden="1" x14ac:dyDescent="0.55000000000000004">
      <c r="A594" s="41" t="s">
        <v>1503</v>
      </c>
      <c r="B594" s="41" t="s">
        <v>35</v>
      </c>
      <c r="C594" s="41" t="s">
        <v>10</v>
      </c>
      <c r="D594" s="58" t="s">
        <v>1494</v>
      </c>
      <c r="E594" s="41" t="s">
        <v>1486</v>
      </c>
      <c r="F594" s="41" t="s">
        <v>2079</v>
      </c>
      <c r="G594" s="41" t="s">
        <v>11</v>
      </c>
      <c r="H594" s="41" t="s">
        <v>1774</v>
      </c>
      <c r="I594" s="58"/>
      <c r="J594" s="58"/>
      <c r="K594" s="41" t="str">
        <f>IFERROR(VLOOKUP(L594,'Raw material list'!$A$3:$C$715,3,0),"")</f>
        <v>PRD1-230</v>
      </c>
      <c r="L594" s="58" t="s">
        <v>70</v>
      </c>
      <c r="M594" s="40" t="s">
        <v>156</v>
      </c>
      <c r="N594" s="40" t="str">
        <f>VLOOKUP(L594,'Raw material list'!$A$3:$E$715,5,0)</f>
        <v xml:space="preserve">Gram </v>
      </c>
      <c r="O594" s="40">
        <v>800</v>
      </c>
      <c r="P594" s="299">
        <f t="shared" si="37"/>
        <v>1079.6221322537112</v>
      </c>
      <c r="Q594" s="105">
        <v>74.099999999999994</v>
      </c>
      <c r="R594" s="40">
        <v>10</v>
      </c>
      <c r="S594" s="40"/>
      <c r="T594" s="105">
        <f t="shared" si="36"/>
        <v>80</v>
      </c>
      <c r="U594" s="105">
        <f t="shared" si="38"/>
        <v>107.96221322537113</v>
      </c>
      <c r="V594" s="104">
        <f>IFERROR(VLOOKUP(L594,'Raw material list'!$A$2:$S$3102,6,0),0)</f>
        <v>3.3738191632928472E-3</v>
      </c>
      <c r="W594" s="104">
        <f t="shared" si="39"/>
        <v>0.36424498389126558</v>
      </c>
    </row>
    <row r="595" spans="1:23" hidden="1" x14ac:dyDescent="0.55000000000000004">
      <c r="A595" s="41" t="s">
        <v>1503</v>
      </c>
      <c r="B595" s="41" t="s">
        <v>35</v>
      </c>
      <c r="C595" s="41" t="s">
        <v>10</v>
      </c>
      <c r="D595" s="58" t="s">
        <v>1494</v>
      </c>
      <c r="E595" s="41" t="s">
        <v>1486</v>
      </c>
      <c r="F595" s="41" t="s">
        <v>2079</v>
      </c>
      <c r="G595" s="41" t="s">
        <v>11</v>
      </c>
      <c r="H595" s="41" t="s">
        <v>1774</v>
      </c>
      <c r="I595" s="58"/>
      <c r="J595" s="58"/>
      <c r="K595" s="41" t="str">
        <f>IFERROR(VLOOKUP(L595,'Raw material list'!$A$3:$C$715,3,0),"")</f>
        <v>DRS4-498</v>
      </c>
      <c r="L595" s="58" t="s">
        <v>72</v>
      </c>
      <c r="M595" s="40" t="s">
        <v>156</v>
      </c>
      <c r="N595" s="40" t="str">
        <f>VLOOKUP(L595,'Raw material list'!$A$3:$E$715,5,0)</f>
        <v xml:space="preserve">Gram </v>
      </c>
      <c r="O595" s="40">
        <v>1000</v>
      </c>
      <c r="P595" s="299">
        <f t="shared" si="37"/>
        <v>1000</v>
      </c>
      <c r="Q595" s="300">
        <v>100</v>
      </c>
      <c r="R595" s="40">
        <v>10</v>
      </c>
      <c r="S595" s="40"/>
      <c r="T595" s="105">
        <f t="shared" si="36"/>
        <v>100</v>
      </c>
      <c r="U595" s="105">
        <f t="shared" si="38"/>
        <v>100</v>
      </c>
      <c r="V595" s="104">
        <f>IFERROR(VLOOKUP(L595,'Raw material list'!$A$2:$S$3102,6,0),0)</f>
        <v>5.7499999999999999E-3</v>
      </c>
      <c r="W595" s="104">
        <f t="shared" si="39"/>
        <v>0.57499999999999996</v>
      </c>
    </row>
    <row r="596" spans="1:23" hidden="1" x14ac:dyDescent="0.55000000000000004">
      <c r="A596" s="41" t="s">
        <v>1503</v>
      </c>
      <c r="B596" s="41" t="s">
        <v>35</v>
      </c>
      <c r="C596" s="41" t="s">
        <v>10</v>
      </c>
      <c r="D596" s="58" t="s">
        <v>1494</v>
      </c>
      <c r="E596" s="41" t="s">
        <v>1486</v>
      </c>
      <c r="F596" s="41" t="s">
        <v>2079</v>
      </c>
      <c r="G596" s="41" t="s">
        <v>11</v>
      </c>
      <c r="H596" s="41" t="s">
        <v>1774</v>
      </c>
      <c r="I596" s="58"/>
      <c r="J596" s="58"/>
      <c r="K596" s="41" t="str">
        <f>IFERROR(VLOOKUP(L596,'Raw material list'!$A$3:$C$715,3,0),"")</f>
        <v>TAP-00001</v>
      </c>
      <c r="L596" s="58" t="s">
        <v>1405</v>
      </c>
      <c r="M596" s="40" t="s">
        <v>206</v>
      </c>
      <c r="N596" s="40" t="str">
        <f>VLOOKUP(L596,'Raw material list'!$A$3:$E$715,5,0)</f>
        <v>Ml</v>
      </c>
      <c r="O596" s="40">
        <v>1600</v>
      </c>
      <c r="P596" s="299">
        <f t="shared" si="37"/>
        <v>1600</v>
      </c>
      <c r="Q596" s="40">
        <v>100</v>
      </c>
      <c r="R596" s="40">
        <v>10</v>
      </c>
      <c r="S596" s="40"/>
      <c r="T596" s="105">
        <f t="shared" si="36"/>
        <v>160</v>
      </c>
      <c r="U596" s="105">
        <f t="shared" si="38"/>
        <v>160</v>
      </c>
      <c r="V596" s="104">
        <f>IFERROR(VLOOKUP(L596,'Raw material list'!$A$2:$S$3102,6,0),0)</f>
        <v>8.0000000000000007E-5</v>
      </c>
      <c r="W596" s="104">
        <f t="shared" si="39"/>
        <v>1.2800000000000001E-2</v>
      </c>
    </row>
    <row r="597" spans="1:23" hidden="1" x14ac:dyDescent="0.55000000000000004">
      <c r="A597" s="41" t="s">
        <v>1503</v>
      </c>
      <c r="B597" s="41" t="s">
        <v>35</v>
      </c>
      <c r="C597" s="41" t="s">
        <v>10</v>
      </c>
      <c r="D597" s="58" t="s">
        <v>1494</v>
      </c>
      <c r="E597" s="41" t="s">
        <v>1486</v>
      </c>
      <c r="F597" s="41" t="s">
        <v>2079</v>
      </c>
      <c r="G597" s="41" t="s">
        <v>11</v>
      </c>
      <c r="H597" s="41" t="s">
        <v>1774</v>
      </c>
      <c r="I597" s="58"/>
      <c r="J597" s="58"/>
      <c r="K597" s="41" t="str">
        <f>IFERROR(VLOOKUP(L597,'Raw material list'!$A$3:$C$715,3,0),"")</f>
        <v>DRS1-3880</v>
      </c>
      <c r="L597" s="58" t="s">
        <v>1433</v>
      </c>
      <c r="M597" s="40" t="s">
        <v>156</v>
      </c>
      <c r="N597" s="40" t="str">
        <f>VLOOKUP(L597,'Raw material list'!$A$3:$E$715,5,0)</f>
        <v xml:space="preserve">Gram </v>
      </c>
      <c r="O597" s="40">
        <v>10</v>
      </c>
      <c r="P597" s="299">
        <f t="shared" si="37"/>
        <v>10</v>
      </c>
      <c r="Q597" s="40">
        <v>100</v>
      </c>
      <c r="R597" s="40">
        <v>10</v>
      </c>
      <c r="S597" s="40"/>
      <c r="T597" s="105">
        <f t="shared" si="36"/>
        <v>1</v>
      </c>
      <c r="U597" s="105">
        <f t="shared" si="38"/>
        <v>1</v>
      </c>
      <c r="V597" s="104">
        <f>IFERROR(VLOOKUP(L597,'Raw material list'!$A$2:$S$3102,6,0),0)</f>
        <v>5.0000000000000001E-4</v>
      </c>
      <c r="W597" s="104">
        <f t="shared" si="39"/>
        <v>5.0000000000000001E-4</v>
      </c>
    </row>
    <row r="598" spans="1:23" hidden="1" x14ac:dyDescent="0.55000000000000004">
      <c r="A598" s="41" t="s">
        <v>1503</v>
      </c>
      <c r="B598" s="41" t="s">
        <v>35</v>
      </c>
      <c r="C598" s="41" t="s">
        <v>10</v>
      </c>
      <c r="D598" s="58" t="s">
        <v>1494</v>
      </c>
      <c r="E598" s="41" t="s">
        <v>1486</v>
      </c>
      <c r="F598" s="41" t="s">
        <v>2079</v>
      </c>
      <c r="G598" s="41" t="s">
        <v>11</v>
      </c>
      <c r="H598" s="41" t="s">
        <v>1774</v>
      </c>
      <c r="I598" s="58"/>
      <c r="J598" s="58"/>
      <c r="K598" s="41" t="str">
        <f>IFERROR(VLOOKUP(L598,'Raw material list'!$A$3:$C$715,3,0),"")</f>
        <v>DRS6-261</v>
      </c>
      <c r="L598" s="58" t="s">
        <v>1406</v>
      </c>
      <c r="M598" s="40" t="s">
        <v>156</v>
      </c>
      <c r="N598" s="40" t="str">
        <f>VLOOKUP(L598,'Raw material list'!$A$3:$E$715,5,0)</f>
        <v xml:space="preserve">Gram </v>
      </c>
      <c r="O598" s="40">
        <v>2</v>
      </c>
      <c r="P598" s="299">
        <f t="shared" si="37"/>
        <v>2</v>
      </c>
      <c r="Q598" s="40">
        <v>100</v>
      </c>
      <c r="R598" s="40">
        <v>10</v>
      </c>
      <c r="S598" s="40"/>
      <c r="T598" s="105">
        <f t="shared" si="36"/>
        <v>0.2</v>
      </c>
      <c r="U598" s="105">
        <f t="shared" si="38"/>
        <v>0.2</v>
      </c>
      <c r="V598" s="104">
        <f>IFERROR(VLOOKUP(L598,'Raw material list'!$A$2:$S$3102,6,0),0)</f>
        <v>1.4E-2</v>
      </c>
      <c r="W598" s="104">
        <f t="shared" si="39"/>
        <v>2.8000000000000004E-3</v>
      </c>
    </row>
    <row r="599" spans="1:23" hidden="1" x14ac:dyDescent="0.55000000000000004">
      <c r="A599" s="41" t="s">
        <v>1503</v>
      </c>
      <c r="B599" s="41" t="s">
        <v>35</v>
      </c>
      <c r="C599" s="41" t="s">
        <v>10</v>
      </c>
      <c r="D599" s="58" t="s">
        <v>1494</v>
      </c>
      <c r="E599" s="41" t="s">
        <v>1486</v>
      </c>
      <c r="F599" s="41" t="s">
        <v>2079</v>
      </c>
      <c r="G599" s="41" t="s">
        <v>11</v>
      </c>
      <c r="H599" s="41" t="s">
        <v>1774</v>
      </c>
      <c r="I599" s="58"/>
      <c r="J599" s="58"/>
      <c r="K599" s="41" t="str">
        <f>IFERROR(VLOOKUP(L599,'Raw material list'!$A$3:$C$715,3,0),"")</f>
        <v>DRS6-3593</v>
      </c>
      <c r="L599" s="58" t="s">
        <v>1407</v>
      </c>
      <c r="M599" s="40" t="s">
        <v>156</v>
      </c>
      <c r="N599" s="40" t="str">
        <f>VLOOKUP(L599,'Raw material list'!$A$3:$E$715,5,0)</f>
        <v xml:space="preserve">Gram </v>
      </c>
      <c r="O599" s="40">
        <v>1</v>
      </c>
      <c r="P599" s="299">
        <f t="shared" si="37"/>
        <v>1</v>
      </c>
      <c r="Q599" s="40">
        <v>100</v>
      </c>
      <c r="R599" s="40">
        <v>10</v>
      </c>
      <c r="S599" s="40"/>
      <c r="T599" s="105">
        <f t="shared" si="36"/>
        <v>0.1</v>
      </c>
      <c r="U599" s="105">
        <f t="shared" si="38"/>
        <v>0.1</v>
      </c>
      <c r="V599" s="104">
        <f>IFERROR(VLOOKUP(L599,'Raw material list'!$A$2:$S$3102,6,0),0)</f>
        <v>8.0000000000000002E-3</v>
      </c>
      <c r="W599" s="104">
        <f t="shared" si="39"/>
        <v>8.0000000000000004E-4</v>
      </c>
    </row>
    <row r="600" spans="1:23" hidden="1" x14ac:dyDescent="0.55000000000000004">
      <c r="A600" s="41" t="s">
        <v>1503</v>
      </c>
      <c r="B600" s="41" t="s">
        <v>35</v>
      </c>
      <c r="C600" s="41" t="s">
        <v>10</v>
      </c>
      <c r="D600" s="58" t="s">
        <v>1494</v>
      </c>
      <c r="E600" s="41" t="s">
        <v>1486</v>
      </c>
      <c r="F600" s="41" t="s">
        <v>2079</v>
      </c>
      <c r="G600" s="41" t="s">
        <v>11</v>
      </c>
      <c r="H600" s="41" t="s">
        <v>1774</v>
      </c>
      <c r="I600" s="58"/>
      <c r="J600" s="58"/>
      <c r="K600" s="41" t="str">
        <f>IFERROR(VLOOKUP(L600,'Raw material list'!$A$3:$C$715,3,0),"")</f>
        <v>DRS3-1813</v>
      </c>
      <c r="L600" s="58" t="s">
        <v>69</v>
      </c>
      <c r="M600" s="40" t="s">
        <v>206</v>
      </c>
      <c r="N600" s="40" t="str">
        <f>VLOOKUP(L600,'Raw material list'!$A$3:$E$715,5,0)</f>
        <v>Ml</v>
      </c>
      <c r="O600" s="40">
        <v>50</v>
      </c>
      <c r="P600" s="299">
        <f t="shared" si="37"/>
        <v>50</v>
      </c>
      <c r="Q600" s="40">
        <v>100</v>
      </c>
      <c r="R600" s="40">
        <v>10</v>
      </c>
      <c r="S600" s="40"/>
      <c r="T600" s="105">
        <f t="shared" si="36"/>
        <v>5</v>
      </c>
      <c r="U600" s="105">
        <f t="shared" si="38"/>
        <v>5</v>
      </c>
      <c r="V600" s="104">
        <f>IFERROR(VLOOKUP(L600,'Raw material list'!$A$2:$S$3102,6,0),0)</f>
        <v>8.0555555555555554E-3</v>
      </c>
      <c r="W600" s="104">
        <f t="shared" si="39"/>
        <v>4.0277777777777773E-2</v>
      </c>
    </row>
    <row r="601" spans="1:23" hidden="1" x14ac:dyDescent="0.55000000000000004">
      <c r="A601" s="41" t="s">
        <v>1504</v>
      </c>
      <c r="B601" s="41" t="s">
        <v>35</v>
      </c>
      <c r="C601" s="41" t="s">
        <v>10</v>
      </c>
      <c r="D601" s="58" t="s">
        <v>1495</v>
      </c>
      <c r="E601" s="41" t="s">
        <v>1486</v>
      </c>
      <c r="F601" s="41" t="s">
        <v>2081</v>
      </c>
      <c r="G601" s="41" t="s">
        <v>11</v>
      </c>
      <c r="H601" s="41" t="s">
        <v>1774</v>
      </c>
      <c r="I601" s="58"/>
      <c r="J601" s="58"/>
      <c r="K601" s="41" t="str">
        <f>IFERROR(VLOOKUP(L601,'Raw material list'!$A$3:$C$715,3,0),"")</f>
        <v>PLT2-3278</v>
      </c>
      <c r="L601" s="58" t="s">
        <v>80</v>
      </c>
      <c r="M601" s="40" t="s">
        <v>156</v>
      </c>
      <c r="N601" s="40" t="str">
        <f>VLOOKUP(L601,'Raw material list'!$A$3:$E$715,5,0)</f>
        <v xml:space="preserve">Gram </v>
      </c>
      <c r="O601" s="40">
        <v>1000</v>
      </c>
      <c r="P601" s="299">
        <f t="shared" si="37"/>
        <v>1312.3359580052493</v>
      </c>
      <c r="Q601" s="40">
        <v>76.2</v>
      </c>
      <c r="R601" s="40">
        <v>10</v>
      </c>
      <c r="S601" s="40"/>
      <c r="T601" s="105">
        <f t="shared" si="36"/>
        <v>100</v>
      </c>
      <c r="U601" s="105">
        <f t="shared" si="38"/>
        <v>131.23359580052494</v>
      </c>
      <c r="V601" s="104">
        <f>IFERROR(VLOOKUP(L601,'Raw material list'!$A$2:$S$3102,6,0),0)</f>
        <v>3.0357142857142853E-2</v>
      </c>
      <c r="W601" s="104">
        <f t="shared" si="39"/>
        <v>3.983877015373078</v>
      </c>
    </row>
    <row r="602" spans="1:23" hidden="1" x14ac:dyDescent="0.55000000000000004">
      <c r="A602" s="41" t="s">
        <v>1504</v>
      </c>
      <c r="B602" s="41" t="s">
        <v>35</v>
      </c>
      <c r="C602" s="41" t="s">
        <v>10</v>
      </c>
      <c r="D602" s="58" t="s">
        <v>1495</v>
      </c>
      <c r="E602" s="41" t="s">
        <v>1486</v>
      </c>
      <c r="F602" s="41" t="s">
        <v>2079</v>
      </c>
      <c r="G602" s="41" t="s">
        <v>11</v>
      </c>
      <c r="H602" s="41" t="s">
        <v>1774</v>
      </c>
      <c r="I602" s="58"/>
      <c r="J602" s="58"/>
      <c r="K602" s="41" t="str">
        <f>IFERROR(VLOOKUP(L602,'Raw material list'!$A$3:$C$715,3,0),"")</f>
        <v>DRS3-1813</v>
      </c>
      <c r="L602" s="58" t="s">
        <v>69</v>
      </c>
      <c r="M602" s="40" t="s">
        <v>206</v>
      </c>
      <c r="N602" s="40" t="str">
        <f>VLOOKUP(L602,'Raw material list'!$A$3:$E$715,5,0)</f>
        <v>Ml</v>
      </c>
      <c r="O602" s="40">
        <v>35</v>
      </c>
      <c r="P602" s="299">
        <f t="shared" si="37"/>
        <v>35</v>
      </c>
      <c r="Q602" s="40">
        <v>100</v>
      </c>
      <c r="R602" s="40">
        <v>10</v>
      </c>
      <c r="S602" s="40"/>
      <c r="T602" s="105">
        <f t="shared" si="36"/>
        <v>3.5</v>
      </c>
      <c r="U602" s="105">
        <f t="shared" si="38"/>
        <v>3.5</v>
      </c>
      <c r="V602" s="104">
        <f>IFERROR(VLOOKUP(L602,'Raw material list'!$A$2:$S$3102,6,0),0)</f>
        <v>8.0555555555555554E-3</v>
      </c>
      <c r="W602" s="104">
        <f t="shared" si="39"/>
        <v>2.8194444444444446E-2</v>
      </c>
    </row>
    <row r="603" spans="1:23" hidden="1" x14ac:dyDescent="0.55000000000000004">
      <c r="A603" s="41" t="s">
        <v>1504</v>
      </c>
      <c r="B603" s="41" t="s">
        <v>35</v>
      </c>
      <c r="C603" s="41" t="s">
        <v>10</v>
      </c>
      <c r="D603" s="58" t="s">
        <v>1495</v>
      </c>
      <c r="E603" s="41" t="s">
        <v>1486</v>
      </c>
      <c r="F603" s="41" t="s">
        <v>2079</v>
      </c>
      <c r="G603" s="41" t="s">
        <v>11</v>
      </c>
      <c r="H603" s="41" t="s">
        <v>1774</v>
      </c>
      <c r="I603" s="58"/>
      <c r="J603" s="58"/>
      <c r="K603" s="41" t="str">
        <f>IFERROR(VLOOKUP(L603,'Raw material list'!$A$3:$C$715,3,0),"")</f>
        <v>PRD1-4265</v>
      </c>
      <c r="L603" s="58" t="s">
        <v>38</v>
      </c>
      <c r="M603" s="40" t="s">
        <v>156</v>
      </c>
      <c r="N603" s="40" t="str">
        <f>VLOOKUP(L603,'Raw material list'!$A$3:$E$715,5,0)</f>
        <v xml:space="preserve">Gram </v>
      </c>
      <c r="O603" s="40">
        <v>100</v>
      </c>
      <c r="P603" s="299">
        <f t="shared" si="37"/>
        <v>117.64705882352942</v>
      </c>
      <c r="Q603" s="105">
        <v>85</v>
      </c>
      <c r="R603" s="40">
        <v>10</v>
      </c>
      <c r="S603" s="40"/>
      <c r="T603" s="105">
        <f t="shared" si="36"/>
        <v>10</v>
      </c>
      <c r="U603" s="105">
        <f t="shared" si="38"/>
        <v>11.764705882352942</v>
      </c>
      <c r="V603" s="104">
        <f>IFERROR(VLOOKUP(L603,'Raw material list'!$A$2:$S$3102,6,0),0)</f>
        <v>3.529411764705882E-3</v>
      </c>
      <c r="W603" s="104">
        <f t="shared" si="39"/>
        <v>4.1522491349480967E-2</v>
      </c>
    </row>
    <row r="604" spans="1:23" hidden="1" x14ac:dyDescent="0.55000000000000004">
      <c r="A604" s="41" t="s">
        <v>1504</v>
      </c>
      <c r="B604" s="41" t="s">
        <v>35</v>
      </c>
      <c r="C604" s="41" t="s">
        <v>10</v>
      </c>
      <c r="D604" s="58" t="s">
        <v>1495</v>
      </c>
      <c r="E604" s="41" t="s">
        <v>1486</v>
      </c>
      <c r="F604" s="41" t="s">
        <v>2079</v>
      </c>
      <c r="G604" s="41" t="s">
        <v>11</v>
      </c>
      <c r="H604" s="41" t="s">
        <v>1774</v>
      </c>
      <c r="I604" s="58"/>
      <c r="J604" s="58"/>
      <c r="K604" s="41" t="str">
        <f>IFERROR(VLOOKUP(L604,'Raw material list'!$A$3:$C$715,3,0),"")</f>
        <v>DRY2-1008</v>
      </c>
      <c r="L604" s="58" t="s">
        <v>57</v>
      </c>
      <c r="M604" s="40" t="s">
        <v>156</v>
      </c>
      <c r="N604" s="40" t="str">
        <f>VLOOKUP(L604,'Raw material list'!$A$3:$E$715,5,0)</f>
        <v xml:space="preserve">Gram </v>
      </c>
      <c r="O604" s="40">
        <v>40</v>
      </c>
      <c r="P604" s="299">
        <f t="shared" si="37"/>
        <v>40</v>
      </c>
      <c r="Q604" s="300">
        <v>100</v>
      </c>
      <c r="R604" s="40">
        <v>10</v>
      </c>
      <c r="S604" s="40"/>
      <c r="T604" s="105">
        <f t="shared" si="36"/>
        <v>4</v>
      </c>
      <c r="U604" s="105">
        <f t="shared" si="38"/>
        <v>4</v>
      </c>
      <c r="V604" s="104">
        <f>IFERROR(VLOOKUP(L604,'Raw material list'!$A$2:$S$3102,6,0),0)</f>
        <v>0.03</v>
      </c>
      <c r="W604" s="104">
        <f t="shared" si="39"/>
        <v>0.12</v>
      </c>
    </row>
    <row r="605" spans="1:23" hidden="1" x14ac:dyDescent="0.55000000000000004">
      <c r="A605" s="41" t="s">
        <v>1504</v>
      </c>
      <c r="B605" s="41" t="s">
        <v>35</v>
      </c>
      <c r="C605" s="41" t="s">
        <v>10</v>
      </c>
      <c r="D605" s="58" t="s">
        <v>1495</v>
      </c>
      <c r="E605" s="41" t="s">
        <v>1486</v>
      </c>
      <c r="F605" s="41" t="s">
        <v>2079</v>
      </c>
      <c r="G605" s="41" t="s">
        <v>11</v>
      </c>
      <c r="H605" s="41" t="s">
        <v>1774</v>
      </c>
      <c r="I605" s="58"/>
      <c r="J605" s="58"/>
      <c r="K605" s="41" t="str">
        <f>IFERROR(VLOOKUP(L605,'Raw material list'!$A$3:$C$715,3,0),"")</f>
        <v>PRD1-4327</v>
      </c>
      <c r="L605" s="58" t="s">
        <v>39</v>
      </c>
      <c r="M605" s="40" t="s">
        <v>156</v>
      </c>
      <c r="N605" s="40" t="str">
        <f>VLOOKUP(L605,'Raw material list'!$A$3:$E$715,5,0)</f>
        <v xml:space="preserve">Gram </v>
      </c>
      <c r="O605" s="40">
        <v>20</v>
      </c>
      <c r="P605" s="299">
        <f t="shared" si="37"/>
        <v>24.096385542168676</v>
      </c>
      <c r="Q605" s="105">
        <v>83</v>
      </c>
      <c r="R605" s="40">
        <v>10</v>
      </c>
      <c r="S605" s="40"/>
      <c r="T605" s="105">
        <f t="shared" si="36"/>
        <v>2</v>
      </c>
      <c r="U605" s="105">
        <f t="shared" si="38"/>
        <v>2.4096385542168677</v>
      </c>
      <c r="V605" s="104">
        <f>IFERROR(VLOOKUP(L605,'Raw material list'!$A$2:$S$3102,6,0),0)</f>
        <v>1.2999999999999999E-2</v>
      </c>
      <c r="W605" s="104">
        <f t="shared" si="39"/>
        <v>3.1325301204819279E-2</v>
      </c>
    </row>
    <row r="606" spans="1:23" hidden="1" x14ac:dyDescent="0.55000000000000004">
      <c r="A606" s="41" t="s">
        <v>1504</v>
      </c>
      <c r="B606" s="41" t="s">
        <v>35</v>
      </c>
      <c r="C606" s="41" t="s">
        <v>10</v>
      </c>
      <c r="D606" s="58" t="s">
        <v>1495</v>
      </c>
      <c r="E606" s="41" t="s">
        <v>1486</v>
      </c>
      <c r="F606" s="41" t="s">
        <v>2079</v>
      </c>
      <c r="G606" s="41" t="s">
        <v>11</v>
      </c>
      <c r="H606" s="41" t="s">
        <v>1774</v>
      </c>
      <c r="I606" s="58"/>
      <c r="J606" s="58"/>
      <c r="K606" s="41" t="str">
        <f>IFERROR(VLOOKUP(L606,'Raw material list'!$A$3:$C$715,3,0),"")</f>
        <v>TAP-00001</v>
      </c>
      <c r="L606" s="58" t="s">
        <v>1405</v>
      </c>
      <c r="M606" s="40" t="s">
        <v>206</v>
      </c>
      <c r="N606" s="40" t="str">
        <f>VLOOKUP(L606,'Raw material list'!$A$3:$E$715,5,0)</f>
        <v>Ml</v>
      </c>
      <c r="O606" s="40">
        <v>1400</v>
      </c>
      <c r="P606" s="299">
        <f t="shared" si="37"/>
        <v>1400</v>
      </c>
      <c r="Q606" s="300">
        <v>100</v>
      </c>
      <c r="R606" s="40">
        <v>10</v>
      </c>
      <c r="S606" s="40"/>
      <c r="T606" s="105">
        <f t="shared" si="36"/>
        <v>140</v>
      </c>
      <c r="U606" s="105">
        <f t="shared" si="38"/>
        <v>140</v>
      </c>
      <c r="V606" s="104">
        <f>IFERROR(VLOOKUP(L606,'Raw material list'!$A$2:$S$3102,6,0),0)</f>
        <v>8.0000000000000007E-5</v>
      </c>
      <c r="W606" s="104">
        <f t="shared" si="39"/>
        <v>1.1200000000000002E-2</v>
      </c>
    </row>
    <row r="607" spans="1:23" hidden="1" x14ac:dyDescent="0.55000000000000004">
      <c r="A607" s="41" t="s">
        <v>1504</v>
      </c>
      <c r="B607" s="41" t="s">
        <v>35</v>
      </c>
      <c r="C607" s="41" t="s">
        <v>10</v>
      </c>
      <c r="D607" s="58" t="s">
        <v>1495</v>
      </c>
      <c r="E607" s="41" t="s">
        <v>1486</v>
      </c>
      <c r="F607" s="41" t="s">
        <v>2079</v>
      </c>
      <c r="G607" s="41" t="s">
        <v>11</v>
      </c>
      <c r="H607" s="41" t="s">
        <v>1774</v>
      </c>
      <c r="I607" s="58"/>
      <c r="J607" s="58"/>
      <c r="K607" s="41" t="str">
        <f>IFERROR(VLOOKUP(L607,'Raw material list'!$A$3:$C$715,3,0),"")</f>
        <v>DRS6-5039</v>
      </c>
      <c r="L607" s="58" t="s">
        <v>92</v>
      </c>
      <c r="M607" s="40" t="s">
        <v>156</v>
      </c>
      <c r="N607" s="40" t="str">
        <f>VLOOKUP(L607,'Raw material list'!$A$3:$E$715,5,0)</f>
        <v xml:space="preserve">Gram </v>
      </c>
      <c r="O607" s="40">
        <v>3</v>
      </c>
      <c r="P607" s="299">
        <f t="shared" si="37"/>
        <v>3</v>
      </c>
      <c r="Q607" s="40">
        <v>100</v>
      </c>
      <c r="R607" s="40">
        <v>10</v>
      </c>
      <c r="S607" s="40"/>
      <c r="T607" s="105">
        <f t="shared" si="36"/>
        <v>0.3</v>
      </c>
      <c r="U607" s="105">
        <f t="shared" si="38"/>
        <v>0.3</v>
      </c>
      <c r="V607" s="104">
        <f>IFERROR(VLOOKUP(L607,'Raw material list'!$A$2:$S$3102,6,0),0)</f>
        <v>3.5000000000000003E-2</v>
      </c>
      <c r="W607" s="104">
        <f t="shared" si="39"/>
        <v>1.0500000000000001E-2</v>
      </c>
    </row>
    <row r="608" spans="1:23" hidden="1" x14ac:dyDescent="0.55000000000000004">
      <c r="A608" s="41" t="s">
        <v>1504</v>
      </c>
      <c r="B608" s="41" t="s">
        <v>35</v>
      </c>
      <c r="C608" s="41" t="s">
        <v>10</v>
      </c>
      <c r="D608" s="58" t="s">
        <v>1495</v>
      </c>
      <c r="E608" s="41" t="s">
        <v>1486</v>
      </c>
      <c r="F608" s="41" t="s">
        <v>2079</v>
      </c>
      <c r="G608" s="41" t="s">
        <v>11</v>
      </c>
      <c r="H608" s="41" t="s">
        <v>1774</v>
      </c>
      <c r="I608" s="58"/>
      <c r="J608" s="58"/>
      <c r="K608" s="41" t="str">
        <f>IFERROR(VLOOKUP(L608,'Raw material list'!$A$3:$C$715,3,0),"")</f>
        <v>DRS5-40</v>
      </c>
      <c r="L608" s="58" t="s">
        <v>58</v>
      </c>
      <c r="M608" s="40" t="s">
        <v>156</v>
      </c>
      <c r="N608" s="40" t="str">
        <f>VLOOKUP(L608,'Raw material list'!$A$3:$E$715,5,0)</f>
        <v xml:space="preserve">Gram </v>
      </c>
      <c r="O608" s="40">
        <v>80</v>
      </c>
      <c r="P608" s="299">
        <f t="shared" si="37"/>
        <v>80</v>
      </c>
      <c r="Q608" s="40">
        <v>100</v>
      </c>
      <c r="R608" s="40">
        <v>10</v>
      </c>
      <c r="S608" s="40"/>
      <c r="T608" s="105">
        <f t="shared" si="36"/>
        <v>8</v>
      </c>
      <c r="U608" s="105">
        <f t="shared" si="38"/>
        <v>8</v>
      </c>
      <c r="V608" s="104">
        <f>IFERROR(VLOOKUP(L608,'Raw material list'!$A$2:$S$3102,6,0),0)</f>
        <v>7.7777777777777773E-4</v>
      </c>
      <c r="W608" s="104">
        <f t="shared" si="39"/>
        <v>6.2222222222222219E-3</v>
      </c>
    </row>
    <row r="609" spans="1:23" hidden="1" x14ac:dyDescent="0.55000000000000004">
      <c r="A609" s="41" t="s">
        <v>1504</v>
      </c>
      <c r="B609" s="41" t="s">
        <v>35</v>
      </c>
      <c r="C609" s="41" t="s">
        <v>10</v>
      </c>
      <c r="D609" s="58" t="s">
        <v>1495</v>
      </c>
      <c r="E609" s="41" t="s">
        <v>1486</v>
      </c>
      <c r="F609" s="41" t="s">
        <v>2079</v>
      </c>
      <c r="G609" s="41" t="s">
        <v>11</v>
      </c>
      <c r="H609" s="41" t="s">
        <v>1774</v>
      </c>
      <c r="I609" s="58"/>
      <c r="J609" s="58"/>
      <c r="K609" s="41" t="str">
        <f>IFERROR(VLOOKUP(L609,'Raw material list'!$A$3:$C$715,3,0),"")</f>
        <v>PRD1-223</v>
      </c>
      <c r="L609" s="58" t="s">
        <v>71</v>
      </c>
      <c r="M609" s="40" t="s">
        <v>156</v>
      </c>
      <c r="N609" s="40" t="str">
        <f>VLOOKUP(L609,'Raw material list'!$A$3:$E$715,5,0)</f>
        <v xml:space="preserve">Gram </v>
      </c>
      <c r="O609" s="40">
        <v>350</v>
      </c>
      <c r="P609" s="299">
        <f t="shared" si="37"/>
        <v>369.71830985915489</v>
      </c>
      <c r="Q609" s="105">
        <v>94.666666666666671</v>
      </c>
      <c r="R609" s="40">
        <v>10</v>
      </c>
      <c r="S609" s="40"/>
      <c r="T609" s="105">
        <f t="shared" si="36"/>
        <v>35</v>
      </c>
      <c r="U609" s="105">
        <f t="shared" si="38"/>
        <v>36.971830985915489</v>
      </c>
      <c r="V609" s="104">
        <f>IFERROR(VLOOKUP(L609,'Raw material list'!$A$2:$S$3102,6,0),0)</f>
        <v>2.3231256599788808E-2</v>
      </c>
      <c r="W609" s="104">
        <f t="shared" si="39"/>
        <v>0.85890209259782557</v>
      </c>
    </row>
    <row r="610" spans="1:23" hidden="1" x14ac:dyDescent="0.55000000000000004">
      <c r="A610" s="41" t="s">
        <v>1504</v>
      </c>
      <c r="B610" s="41" t="s">
        <v>35</v>
      </c>
      <c r="C610" s="41" t="s">
        <v>10</v>
      </c>
      <c r="D610" s="58" t="s">
        <v>1495</v>
      </c>
      <c r="E610" s="41" t="s">
        <v>1486</v>
      </c>
      <c r="F610" s="41" t="s">
        <v>2079</v>
      </c>
      <c r="G610" s="41" t="s">
        <v>11</v>
      </c>
      <c r="H610" s="41" t="s">
        <v>1774</v>
      </c>
      <c r="I610" s="58"/>
      <c r="J610" s="58"/>
      <c r="K610" s="41" t="str">
        <f>IFERROR(VLOOKUP(L610,'Raw material list'!$A$3:$C$715,3,0),"")</f>
        <v>DRY2-1858</v>
      </c>
      <c r="L610" s="58" t="s">
        <v>60</v>
      </c>
      <c r="M610" s="40" t="s">
        <v>206</v>
      </c>
      <c r="N610" s="40" t="str">
        <f>VLOOKUP(L610,'Raw material list'!$A$3:$E$715,5,0)</f>
        <v>Ml</v>
      </c>
      <c r="O610" s="40">
        <v>300</v>
      </c>
      <c r="P610" s="299">
        <f t="shared" si="37"/>
        <v>300</v>
      </c>
      <c r="Q610" s="300">
        <v>100</v>
      </c>
      <c r="R610" s="40">
        <v>10</v>
      </c>
      <c r="S610" s="40"/>
      <c r="T610" s="105">
        <f t="shared" si="36"/>
        <v>30</v>
      </c>
      <c r="U610" s="105">
        <f t="shared" si="38"/>
        <v>30</v>
      </c>
      <c r="V610" s="104">
        <f>IFERROR(VLOOKUP(L610,'Raw material list'!$A$2:$S$3102,6,0),0)</f>
        <v>9.8800000000000016E-3</v>
      </c>
      <c r="W610" s="104">
        <f t="shared" si="39"/>
        <v>0.29640000000000005</v>
      </c>
    </row>
    <row r="611" spans="1:23" hidden="1" x14ac:dyDescent="0.55000000000000004">
      <c r="A611" s="41" t="s">
        <v>1504</v>
      </c>
      <c r="B611" s="41" t="s">
        <v>35</v>
      </c>
      <c r="C611" s="41" t="s">
        <v>10</v>
      </c>
      <c r="D611" s="58" t="s">
        <v>1495</v>
      </c>
      <c r="E611" s="41" t="s">
        <v>1486</v>
      </c>
      <c r="F611" s="41" t="s">
        <v>2079</v>
      </c>
      <c r="G611" s="41" t="s">
        <v>11</v>
      </c>
      <c r="H611" s="41" t="s">
        <v>1774</v>
      </c>
      <c r="I611" s="58"/>
      <c r="J611" s="58"/>
      <c r="K611" s="41" t="str">
        <f>IFERROR(VLOOKUP(L611,'Raw material list'!$A$3:$C$715,3,0),"")</f>
        <v>DRS1-3811</v>
      </c>
      <c r="L611" s="58" t="s">
        <v>40</v>
      </c>
      <c r="M611" s="40" t="s">
        <v>156</v>
      </c>
      <c r="N611" s="40" t="str">
        <f>VLOOKUP(L611,'Raw material list'!$A$3:$E$715,5,0)</f>
        <v xml:space="preserve">Gram </v>
      </c>
      <c r="O611" s="40">
        <v>15</v>
      </c>
      <c r="P611" s="299">
        <f t="shared" si="37"/>
        <v>15</v>
      </c>
      <c r="Q611" s="40">
        <v>100</v>
      </c>
      <c r="R611" s="40">
        <v>10</v>
      </c>
      <c r="S611" s="40"/>
      <c r="T611" s="105">
        <f t="shared" si="36"/>
        <v>1.5</v>
      </c>
      <c r="U611" s="105">
        <f t="shared" si="38"/>
        <v>1.5</v>
      </c>
      <c r="V611" s="104">
        <f>IFERROR(VLOOKUP(L611,'Raw material list'!$A$2:$S$3102,6,0),0)</f>
        <v>2.8475E-2</v>
      </c>
      <c r="W611" s="104">
        <f t="shared" si="39"/>
        <v>4.27125E-2</v>
      </c>
    </row>
    <row r="612" spans="1:23" hidden="1" x14ac:dyDescent="0.55000000000000004">
      <c r="A612" s="41" t="s">
        <v>1504</v>
      </c>
      <c r="B612" s="41" t="s">
        <v>35</v>
      </c>
      <c r="C612" s="41" t="s">
        <v>10</v>
      </c>
      <c r="D612" s="58" t="s">
        <v>1495</v>
      </c>
      <c r="E612" s="41" t="s">
        <v>1486</v>
      </c>
      <c r="F612" s="41" t="s">
        <v>2079</v>
      </c>
      <c r="G612" s="41" t="s">
        <v>11</v>
      </c>
      <c r="H612" s="41" t="s">
        <v>1774</v>
      </c>
      <c r="I612" s="58"/>
      <c r="J612" s="58"/>
      <c r="K612" s="41" t="str">
        <f>IFERROR(VLOOKUP(L612,'Raw material list'!$A$3:$C$715,3,0),"")</f>
        <v>DRS1-3880</v>
      </c>
      <c r="L612" s="58" t="s">
        <v>1433</v>
      </c>
      <c r="M612" s="40" t="s">
        <v>156</v>
      </c>
      <c r="N612" s="40" t="str">
        <f>VLOOKUP(L612,'Raw material list'!$A$3:$E$715,5,0)</f>
        <v xml:space="preserve">Gram </v>
      </c>
      <c r="O612" s="40">
        <v>10</v>
      </c>
      <c r="P612" s="299">
        <f t="shared" si="37"/>
        <v>10</v>
      </c>
      <c r="Q612" s="40">
        <v>100</v>
      </c>
      <c r="R612" s="40">
        <v>10</v>
      </c>
      <c r="S612" s="40"/>
      <c r="T612" s="105">
        <f t="shared" si="36"/>
        <v>1</v>
      </c>
      <c r="U612" s="105">
        <f t="shared" si="38"/>
        <v>1</v>
      </c>
      <c r="V612" s="104">
        <f>IFERROR(VLOOKUP(L612,'Raw material list'!$A$2:$S$3102,6,0),0)</f>
        <v>5.0000000000000001E-4</v>
      </c>
      <c r="W612" s="104">
        <f t="shared" si="39"/>
        <v>5.0000000000000001E-4</v>
      </c>
    </row>
    <row r="613" spans="1:23" hidden="1" x14ac:dyDescent="0.55000000000000004">
      <c r="A613" s="41" t="s">
        <v>1504</v>
      </c>
      <c r="B613" s="41" t="s">
        <v>35</v>
      </c>
      <c r="C613" s="41" t="s">
        <v>10</v>
      </c>
      <c r="D613" s="58" t="s">
        <v>1495</v>
      </c>
      <c r="E613" s="41" t="s">
        <v>1486</v>
      </c>
      <c r="F613" s="41" t="s">
        <v>2079</v>
      </c>
      <c r="G613" s="41" t="s">
        <v>11</v>
      </c>
      <c r="H613" s="41" t="s">
        <v>1774</v>
      </c>
      <c r="I613" s="58"/>
      <c r="J613" s="58"/>
      <c r="K613" s="41" t="str">
        <f>IFERROR(VLOOKUP(L613,'Raw material list'!$A$3:$C$715,3,0),"")</f>
        <v>DRS5-3866</v>
      </c>
      <c r="L613" s="58" t="s">
        <v>64</v>
      </c>
      <c r="M613" s="40" t="s">
        <v>156</v>
      </c>
      <c r="N613" s="40" t="str">
        <f>VLOOKUP(L613,'Raw material list'!$A$3:$E$715,5,0)</f>
        <v xml:space="preserve">Gram </v>
      </c>
      <c r="O613" s="40">
        <v>300</v>
      </c>
      <c r="P613" s="299">
        <f t="shared" si="37"/>
        <v>300</v>
      </c>
      <c r="Q613" s="40">
        <v>100</v>
      </c>
      <c r="R613" s="40">
        <v>10</v>
      </c>
      <c r="S613" s="40"/>
      <c r="T613" s="105">
        <f t="shared" si="36"/>
        <v>30</v>
      </c>
      <c r="U613" s="105">
        <f t="shared" si="38"/>
        <v>30</v>
      </c>
      <c r="V613" s="104">
        <f>IFERROR(VLOOKUP(L613,'Raw material list'!$A$2:$S$3102,6,0),0)</f>
        <v>0.02</v>
      </c>
      <c r="W613" s="104">
        <f t="shared" si="39"/>
        <v>0.6</v>
      </c>
    </row>
    <row r="614" spans="1:23" hidden="1" x14ac:dyDescent="0.55000000000000004">
      <c r="A614" s="41" t="s">
        <v>1504</v>
      </c>
      <c r="B614" s="41" t="s">
        <v>35</v>
      </c>
      <c r="C614" s="41" t="s">
        <v>10</v>
      </c>
      <c r="D614" s="58" t="s">
        <v>1495</v>
      </c>
      <c r="E614" s="41" t="s">
        <v>1486</v>
      </c>
      <c r="F614" s="41" t="s">
        <v>2079</v>
      </c>
      <c r="G614" s="41" t="s">
        <v>11</v>
      </c>
      <c r="H614" s="41" t="s">
        <v>1774</v>
      </c>
      <c r="I614" s="58"/>
      <c r="J614" s="58"/>
      <c r="K614" s="41" t="str">
        <f>IFERROR(VLOOKUP(L614,'Raw material list'!$A$3:$C$715,3,0),"")</f>
        <v>TAP-00001</v>
      </c>
      <c r="L614" s="58" t="s">
        <v>1405</v>
      </c>
      <c r="M614" s="40" t="s">
        <v>206</v>
      </c>
      <c r="N614" s="40" t="str">
        <f>VLOOKUP(L614,'Raw material list'!$A$3:$E$715,5,0)</f>
        <v>Ml</v>
      </c>
      <c r="O614" s="40">
        <v>1200</v>
      </c>
      <c r="P614" s="299">
        <f t="shared" si="37"/>
        <v>1200</v>
      </c>
      <c r="Q614" s="40">
        <v>100</v>
      </c>
      <c r="R614" s="40">
        <v>10</v>
      </c>
      <c r="S614" s="40"/>
      <c r="T614" s="105">
        <f t="shared" si="36"/>
        <v>120</v>
      </c>
      <c r="U614" s="105">
        <f t="shared" si="38"/>
        <v>120</v>
      </c>
      <c r="V614" s="104">
        <f>IFERROR(VLOOKUP(L614,'Raw material list'!$A$2:$S$3102,6,0),0)</f>
        <v>8.0000000000000007E-5</v>
      </c>
      <c r="W614" s="104">
        <f t="shared" si="39"/>
        <v>9.6000000000000009E-3</v>
      </c>
    </row>
    <row r="615" spans="1:23" hidden="1" x14ac:dyDescent="0.55000000000000004">
      <c r="A615" s="41" t="s">
        <v>1504</v>
      </c>
      <c r="B615" s="41" t="s">
        <v>35</v>
      </c>
      <c r="C615" s="41" t="s">
        <v>10</v>
      </c>
      <c r="D615" s="58" t="s">
        <v>1495</v>
      </c>
      <c r="E615" s="41" t="s">
        <v>1486</v>
      </c>
      <c r="F615" s="41" t="s">
        <v>2079</v>
      </c>
      <c r="G615" s="41" t="s">
        <v>11</v>
      </c>
      <c r="H615" s="41" t="s">
        <v>1774</v>
      </c>
      <c r="I615" s="58"/>
      <c r="J615" s="58"/>
      <c r="K615" s="41" t="str">
        <f>IFERROR(VLOOKUP(L615,'Raw material list'!$A$3:$C$715,3,0),"")</f>
        <v>DRS5-59</v>
      </c>
      <c r="L615" s="58" t="s">
        <v>59</v>
      </c>
      <c r="M615" s="40" t="s">
        <v>156</v>
      </c>
      <c r="N615" s="40" t="str">
        <f>VLOOKUP(L615,'Raw material list'!$A$3:$E$715,5,0)</f>
        <v xml:space="preserve">Gram </v>
      </c>
      <c r="O615" s="40">
        <v>125</v>
      </c>
      <c r="P615" s="299">
        <f t="shared" si="37"/>
        <v>125</v>
      </c>
      <c r="Q615" s="40">
        <v>100</v>
      </c>
      <c r="R615" s="40">
        <v>10</v>
      </c>
      <c r="S615" s="40"/>
      <c r="T615" s="105">
        <f t="shared" si="36"/>
        <v>12.5</v>
      </c>
      <c r="U615" s="105">
        <f t="shared" si="38"/>
        <v>12.5</v>
      </c>
      <c r="V615" s="104">
        <f>IFERROR(VLOOKUP(L615,'Raw material list'!$A$2:$S$3102,6,0),0)</f>
        <v>1.4319999999999999E-2</v>
      </c>
      <c r="W615" s="104">
        <f t="shared" si="39"/>
        <v>0.17899999999999999</v>
      </c>
    </row>
    <row r="616" spans="1:23" hidden="1" x14ac:dyDescent="0.55000000000000004">
      <c r="A616" s="41" t="s">
        <v>1504</v>
      </c>
      <c r="B616" s="41" t="s">
        <v>35</v>
      </c>
      <c r="C616" s="41" t="s">
        <v>10</v>
      </c>
      <c r="D616" s="58" t="s">
        <v>1495</v>
      </c>
      <c r="E616" s="41" t="s">
        <v>1486</v>
      </c>
      <c r="F616" s="41" t="s">
        <v>2079</v>
      </c>
      <c r="G616" s="41" t="s">
        <v>11</v>
      </c>
      <c r="H616" s="41" t="s">
        <v>1774</v>
      </c>
      <c r="I616" s="58"/>
      <c r="J616" s="58"/>
      <c r="K616" s="41" t="str">
        <f>IFERROR(VLOOKUP(L616,'Raw material list'!$A$3:$C$715,3,0),"")</f>
        <v>DRY2-1008</v>
      </c>
      <c r="L616" s="58" t="s">
        <v>57</v>
      </c>
      <c r="M616" s="40" t="s">
        <v>156</v>
      </c>
      <c r="N616" s="40" t="str">
        <f>VLOOKUP(L616,'Raw material list'!$A$3:$E$715,5,0)</f>
        <v xml:space="preserve">Gram </v>
      </c>
      <c r="O616" s="40">
        <v>30</v>
      </c>
      <c r="P616" s="299">
        <f t="shared" si="37"/>
        <v>30</v>
      </c>
      <c r="Q616" s="40">
        <v>100</v>
      </c>
      <c r="R616" s="40">
        <v>10</v>
      </c>
      <c r="S616" s="40"/>
      <c r="T616" s="105">
        <f t="shared" si="36"/>
        <v>3</v>
      </c>
      <c r="U616" s="105">
        <f t="shared" si="38"/>
        <v>3</v>
      </c>
      <c r="V616" s="104">
        <f>IFERROR(VLOOKUP(L616,'Raw material list'!$A$2:$S$3102,6,0),0)</f>
        <v>0.03</v>
      </c>
      <c r="W616" s="104">
        <f t="shared" si="39"/>
        <v>0.09</v>
      </c>
    </row>
    <row r="617" spans="1:23" hidden="1" x14ac:dyDescent="0.55000000000000004">
      <c r="A617" s="41" t="s">
        <v>1504</v>
      </c>
      <c r="B617" s="41" t="s">
        <v>35</v>
      </c>
      <c r="C617" s="41" t="s">
        <v>10</v>
      </c>
      <c r="D617" s="58" t="s">
        <v>1495</v>
      </c>
      <c r="E617" s="41" t="s">
        <v>1486</v>
      </c>
      <c r="F617" s="41" t="s">
        <v>2079</v>
      </c>
      <c r="G617" s="41" t="s">
        <v>11</v>
      </c>
      <c r="H617" s="41" t="s">
        <v>1774</v>
      </c>
      <c r="I617" s="58"/>
      <c r="J617" s="58"/>
      <c r="K617" s="41" t="str">
        <f>IFERROR(VLOOKUP(L617,'Raw material list'!$A$3:$C$715,3,0),"")</f>
        <v>DRS6-309</v>
      </c>
      <c r="L617" s="58" t="s">
        <v>61</v>
      </c>
      <c r="M617" s="40" t="s">
        <v>156</v>
      </c>
      <c r="N617" s="40" t="str">
        <f>VLOOKUP(L617,'Raw material list'!$A$3:$E$715,5,0)</f>
        <v xml:space="preserve">Gram </v>
      </c>
      <c r="O617" s="40">
        <v>2</v>
      </c>
      <c r="P617" s="299">
        <f t="shared" si="37"/>
        <v>2</v>
      </c>
      <c r="Q617" s="40">
        <v>100</v>
      </c>
      <c r="R617" s="40">
        <v>10</v>
      </c>
      <c r="S617" s="40"/>
      <c r="T617" s="105">
        <f t="shared" si="36"/>
        <v>0.2</v>
      </c>
      <c r="U617" s="105">
        <f t="shared" si="38"/>
        <v>0.2</v>
      </c>
      <c r="V617" s="104">
        <f>IFERROR(VLOOKUP(L617,'Raw material list'!$A$2:$S$3102,6,0),0)</f>
        <v>2.8000000000000001E-2</v>
      </c>
      <c r="W617" s="104">
        <f t="shared" si="39"/>
        <v>5.6000000000000008E-3</v>
      </c>
    </row>
    <row r="618" spans="1:23" hidden="1" x14ac:dyDescent="0.55000000000000004">
      <c r="A618" s="41" t="s">
        <v>1504</v>
      </c>
      <c r="B618" s="41" t="s">
        <v>35</v>
      </c>
      <c r="C618" s="41" t="s">
        <v>10</v>
      </c>
      <c r="D618" s="58" t="s">
        <v>1495</v>
      </c>
      <c r="E618" s="41" t="s">
        <v>1486</v>
      </c>
      <c r="F618" s="41" t="s">
        <v>2079</v>
      </c>
      <c r="G618" s="41" t="s">
        <v>11</v>
      </c>
      <c r="H618" s="41" t="s">
        <v>1774</v>
      </c>
      <c r="I618" s="58"/>
      <c r="J618" s="58"/>
      <c r="K618" s="41" t="str">
        <f>IFERROR(VLOOKUP(L618,'Raw material list'!$A$3:$C$715,3,0),"")</f>
        <v>PRD1-3794</v>
      </c>
      <c r="L618" s="58" t="s">
        <v>973</v>
      </c>
      <c r="M618" s="40" t="s">
        <v>156</v>
      </c>
      <c r="N618" s="40" t="str">
        <f>VLOOKUP(L618,'Raw material list'!$A$3:$E$715,5,0)</f>
        <v xml:space="preserve">Gram </v>
      </c>
      <c r="O618" s="40">
        <v>400</v>
      </c>
      <c r="P618" s="299">
        <f t="shared" si="37"/>
        <v>493.82716049382714</v>
      </c>
      <c r="Q618" s="105">
        <v>81</v>
      </c>
      <c r="R618" s="40">
        <v>10</v>
      </c>
      <c r="S618" s="40"/>
      <c r="T618" s="105">
        <f t="shared" si="36"/>
        <v>40</v>
      </c>
      <c r="U618" s="105">
        <f t="shared" si="38"/>
        <v>49.382716049382715</v>
      </c>
      <c r="V618" s="104">
        <f>IFERROR(VLOOKUP(L618,'Raw material list'!$A$2:$S$3102,6,0),0)</f>
        <v>4.9382716049382715E-3</v>
      </c>
      <c r="W618" s="104">
        <f t="shared" si="39"/>
        <v>0.24386526444139611</v>
      </c>
    </row>
    <row r="619" spans="1:23" hidden="1" x14ac:dyDescent="0.55000000000000004">
      <c r="A619" s="41" t="s">
        <v>1504</v>
      </c>
      <c r="B619" s="41" t="s">
        <v>35</v>
      </c>
      <c r="C619" s="41" t="s">
        <v>10</v>
      </c>
      <c r="D619" s="58" t="s">
        <v>1495</v>
      </c>
      <c r="E619" s="41" t="s">
        <v>1486</v>
      </c>
      <c r="F619" s="41" t="s">
        <v>2079</v>
      </c>
      <c r="G619" s="41" t="s">
        <v>11</v>
      </c>
      <c r="H619" s="41" t="s">
        <v>1774</v>
      </c>
      <c r="I619" s="58"/>
      <c r="J619" s="58"/>
      <c r="K619" s="41" t="str">
        <f>IFERROR(VLOOKUP(L619,'Raw material list'!$A$3:$C$715,3,0),"")</f>
        <v>PRD1-186</v>
      </c>
      <c r="L619" s="58" t="s">
        <v>37</v>
      </c>
      <c r="M619" s="40" t="s">
        <v>156</v>
      </c>
      <c r="N619" s="40" t="str">
        <f>VLOOKUP(L619,'Raw material list'!$A$3:$E$715,5,0)</f>
        <v xml:space="preserve">Gram </v>
      </c>
      <c r="O619" s="40">
        <v>400</v>
      </c>
      <c r="P619" s="299">
        <f t="shared" si="37"/>
        <v>489.79591836734693</v>
      </c>
      <c r="Q619" s="105">
        <v>81.666666666666671</v>
      </c>
      <c r="R619" s="40">
        <v>10</v>
      </c>
      <c r="S619" s="40"/>
      <c r="T619" s="105">
        <f t="shared" si="36"/>
        <v>40</v>
      </c>
      <c r="U619" s="105">
        <f t="shared" si="38"/>
        <v>48.979591836734691</v>
      </c>
      <c r="V619" s="104">
        <f>IFERROR(VLOOKUP(L619,'Raw material list'!$A$2:$S$3102,6,0),0)</f>
        <v>5.8139534883720938E-3</v>
      </c>
      <c r="W619" s="104">
        <f t="shared" si="39"/>
        <v>0.284765068818225</v>
      </c>
    </row>
    <row r="620" spans="1:23" hidden="1" x14ac:dyDescent="0.55000000000000004">
      <c r="A620" s="41" t="s">
        <v>1504</v>
      </c>
      <c r="B620" s="41" t="s">
        <v>35</v>
      </c>
      <c r="C620" s="41" t="s">
        <v>10</v>
      </c>
      <c r="D620" s="58" t="s">
        <v>1495</v>
      </c>
      <c r="E620" s="41" t="s">
        <v>1486</v>
      </c>
      <c r="F620" s="41" t="s">
        <v>2079</v>
      </c>
      <c r="G620" s="41" t="s">
        <v>11</v>
      </c>
      <c r="H620" s="41" t="s">
        <v>1774</v>
      </c>
      <c r="I620" s="58"/>
      <c r="J620" s="58"/>
      <c r="K620" s="41" t="str">
        <f>IFERROR(VLOOKUP(L620,'Raw material list'!$A$3:$C$715,3,0),"")</f>
        <v>DRS3-1813</v>
      </c>
      <c r="L620" s="58" t="s">
        <v>69</v>
      </c>
      <c r="M620" s="40" t="s">
        <v>206</v>
      </c>
      <c r="N620" s="40" t="str">
        <f>VLOOKUP(L620,'Raw material list'!$A$3:$E$715,5,0)</f>
        <v>Ml</v>
      </c>
      <c r="O620" s="40">
        <v>10</v>
      </c>
      <c r="P620" s="299">
        <f t="shared" si="37"/>
        <v>10</v>
      </c>
      <c r="Q620" s="300">
        <v>100</v>
      </c>
      <c r="R620" s="40">
        <v>10</v>
      </c>
      <c r="S620" s="40"/>
      <c r="T620" s="105">
        <f t="shared" si="36"/>
        <v>1</v>
      </c>
      <c r="U620" s="105">
        <f t="shared" si="38"/>
        <v>1</v>
      </c>
      <c r="V620" s="104">
        <f>IFERROR(VLOOKUP(L620,'Raw material list'!$A$2:$S$3102,6,0),0)</f>
        <v>8.0555555555555554E-3</v>
      </c>
      <c r="W620" s="104">
        <f t="shared" si="39"/>
        <v>8.0555555555555554E-3</v>
      </c>
    </row>
    <row r="621" spans="1:23" hidden="1" x14ac:dyDescent="0.55000000000000004">
      <c r="A621" s="41" t="s">
        <v>1505</v>
      </c>
      <c r="B621" s="41" t="s">
        <v>35</v>
      </c>
      <c r="C621" s="41" t="s">
        <v>10</v>
      </c>
      <c r="D621" s="58" t="s">
        <v>1496</v>
      </c>
      <c r="E621" s="41" t="s">
        <v>1486</v>
      </c>
      <c r="F621" s="41" t="s">
        <v>2079</v>
      </c>
      <c r="G621" s="41" t="s">
        <v>11</v>
      </c>
      <c r="H621" s="41" t="s">
        <v>1773</v>
      </c>
      <c r="I621" s="58"/>
      <c r="J621" s="58"/>
      <c r="K621" s="41" t="str">
        <f>IFERROR(VLOOKUP(L621,'Raw material list'!$A$3:$C$715,3,0),"")</f>
        <v>PRD1-230</v>
      </c>
      <c r="L621" s="58" t="s">
        <v>70</v>
      </c>
      <c r="M621" s="40" t="s">
        <v>156</v>
      </c>
      <c r="N621" s="40" t="str">
        <f>VLOOKUP(L621,'Raw material list'!$A$3:$E$715,5,0)</f>
        <v xml:space="preserve">Gram </v>
      </c>
      <c r="O621" s="40">
        <v>800</v>
      </c>
      <c r="P621" s="299">
        <f t="shared" si="37"/>
        <v>1079.6221322537112</v>
      </c>
      <c r="Q621" s="105">
        <v>74.099999999999994</v>
      </c>
      <c r="R621" s="40">
        <v>10</v>
      </c>
      <c r="S621" s="40"/>
      <c r="T621" s="105">
        <f t="shared" si="36"/>
        <v>80</v>
      </c>
      <c r="U621" s="105">
        <f t="shared" si="38"/>
        <v>107.96221322537113</v>
      </c>
      <c r="V621" s="104">
        <f>IFERROR(VLOOKUP(L621,'Raw material list'!$A$2:$S$3102,6,0),0)</f>
        <v>3.3738191632928472E-3</v>
      </c>
      <c r="W621" s="104">
        <f t="shared" si="39"/>
        <v>0.36424498389126558</v>
      </c>
    </row>
    <row r="622" spans="1:23" hidden="1" x14ac:dyDescent="0.55000000000000004">
      <c r="A622" s="41" t="s">
        <v>1505</v>
      </c>
      <c r="B622" s="41" t="s">
        <v>35</v>
      </c>
      <c r="C622" s="41" t="s">
        <v>10</v>
      </c>
      <c r="D622" s="58" t="s">
        <v>1496</v>
      </c>
      <c r="E622" s="41" t="s">
        <v>1486</v>
      </c>
      <c r="F622" s="41" t="s">
        <v>2079</v>
      </c>
      <c r="G622" s="41" t="s">
        <v>11</v>
      </c>
      <c r="H622" s="41" t="s">
        <v>1773</v>
      </c>
      <c r="I622" s="58"/>
      <c r="J622" s="58"/>
      <c r="K622" s="41" t="str">
        <f>IFERROR(VLOOKUP(L622,'Raw material list'!$A$3:$C$715,3,0),"")</f>
        <v>DRS3-1813</v>
      </c>
      <c r="L622" s="58" t="s">
        <v>69</v>
      </c>
      <c r="M622" s="40" t="s">
        <v>206</v>
      </c>
      <c r="N622" s="40" t="str">
        <f>VLOOKUP(L622,'Raw material list'!$A$3:$E$715,5,0)</f>
        <v>Ml</v>
      </c>
      <c r="O622" s="40">
        <v>30</v>
      </c>
      <c r="P622" s="299">
        <f t="shared" si="37"/>
        <v>30</v>
      </c>
      <c r="Q622" s="300">
        <v>100</v>
      </c>
      <c r="R622" s="40">
        <v>10</v>
      </c>
      <c r="S622" s="40"/>
      <c r="T622" s="105">
        <f t="shared" si="36"/>
        <v>3</v>
      </c>
      <c r="U622" s="105">
        <f t="shared" si="38"/>
        <v>3</v>
      </c>
      <c r="V622" s="104">
        <f>IFERROR(VLOOKUP(L622,'Raw material list'!$A$2:$S$3102,6,0),0)</f>
        <v>8.0555555555555554E-3</v>
      </c>
      <c r="W622" s="104">
        <f t="shared" si="39"/>
        <v>2.4166666666666666E-2</v>
      </c>
    </row>
    <row r="623" spans="1:23" hidden="1" x14ac:dyDescent="0.55000000000000004">
      <c r="A623" s="41" t="s">
        <v>1505</v>
      </c>
      <c r="B623" s="41" t="s">
        <v>35</v>
      </c>
      <c r="C623" s="41" t="s">
        <v>10</v>
      </c>
      <c r="D623" s="58" t="s">
        <v>1496</v>
      </c>
      <c r="E623" s="41" t="s">
        <v>1486</v>
      </c>
      <c r="F623" s="41" t="s">
        <v>2079</v>
      </c>
      <c r="G623" s="41" t="s">
        <v>11</v>
      </c>
      <c r="H623" s="41" t="s">
        <v>1773</v>
      </c>
      <c r="I623" s="58"/>
      <c r="J623" s="58"/>
      <c r="K623" s="41" t="str">
        <f>IFERROR(VLOOKUP(L623,'Raw material list'!$A$3:$C$715,3,0),"")</f>
        <v>PRD1-4265</v>
      </c>
      <c r="L623" s="58" t="s">
        <v>38</v>
      </c>
      <c r="M623" s="40" t="s">
        <v>156</v>
      </c>
      <c r="N623" s="40" t="str">
        <f>VLOOKUP(L623,'Raw material list'!$A$3:$E$715,5,0)</f>
        <v xml:space="preserve">Gram </v>
      </c>
      <c r="O623" s="40">
        <v>150</v>
      </c>
      <c r="P623" s="299">
        <f t="shared" si="37"/>
        <v>176.47058823529412</v>
      </c>
      <c r="Q623" s="105">
        <v>85</v>
      </c>
      <c r="R623" s="40">
        <v>10</v>
      </c>
      <c r="S623" s="40"/>
      <c r="T623" s="105">
        <f t="shared" si="36"/>
        <v>15</v>
      </c>
      <c r="U623" s="105">
        <f t="shared" si="38"/>
        <v>17.647058823529413</v>
      </c>
      <c r="V623" s="104">
        <f>IFERROR(VLOOKUP(L623,'Raw material list'!$A$2:$S$3102,6,0),0)</f>
        <v>3.529411764705882E-3</v>
      </c>
      <c r="W623" s="104">
        <f t="shared" si="39"/>
        <v>6.228373702422145E-2</v>
      </c>
    </row>
    <row r="624" spans="1:23" hidden="1" x14ac:dyDescent="0.55000000000000004">
      <c r="A624" s="41" t="s">
        <v>1505</v>
      </c>
      <c r="B624" s="41" t="s">
        <v>35</v>
      </c>
      <c r="C624" s="41" t="s">
        <v>10</v>
      </c>
      <c r="D624" s="58" t="s">
        <v>1496</v>
      </c>
      <c r="E624" s="41" t="s">
        <v>1486</v>
      </c>
      <c r="F624" s="41" t="s">
        <v>2079</v>
      </c>
      <c r="G624" s="41" t="s">
        <v>11</v>
      </c>
      <c r="H624" s="41" t="s">
        <v>1773</v>
      </c>
      <c r="I624" s="58"/>
      <c r="J624" s="58"/>
      <c r="K624" s="41" t="str">
        <f>IFERROR(VLOOKUP(L624,'Raw material list'!$A$3:$C$715,3,0),"")</f>
        <v>PRD1-4327</v>
      </c>
      <c r="L624" s="58" t="s">
        <v>39</v>
      </c>
      <c r="M624" s="40" t="s">
        <v>156</v>
      </c>
      <c r="N624" s="40" t="str">
        <f>VLOOKUP(L624,'Raw material list'!$A$3:$E$715,5,0)</f>
        <v xml:space="preserve">Gram </v>
      </c>
      <c r="O624" s="40">
        <v>20</v>
      </c>
      <c r="P624" s="299">
        <f t="shared" si="37"/>
        <v>24.096385542168676</v>
      </c>
      <c r="Q624" s="105">
        <v>83</v>
      </c>
      <c r="R624" s="40">
        <v>10</v>
      </c>
      <c r="S624" s="40"/>
      <c r="T624" s="105">
        <f t="shared" si="36"/>
        <v>2</v>
      </c>
      <c r="U624" s="105">
        <f t="shared" si="38"/>
        <v>2.4096385542168677</v>
      </c>
      <c r="V624" s="104">
        <f>IFERROR(VLOOKUP(L624,'Raw material list'!$A$2:$S$3102,6,0),0)</f>
        <v>1.2999999999999999E-2</v>
      </c>
      <c r="W624" s="104">
        <f t="shared" si="39"/>
        <v>3.1325301204819279E-2</v>
      </c>
    </row>
    <row r="625" spans="1:23" hidden="1" x14ac:dyDescent="0.55000000000000004">
      <c r="A625" s="41" t="s">
        <v>1505</v>
      </c>
      <c r="B625" s="41" t="s">
        <v>35</v>
      </c>
      <c r="C625" s="41" t="s">
        <v>10</v>
      </c>
      <c r="D625" s="58" t="s">
        <v>1496</v>
      </c>
      <c r="E625" s="41" t="s">
        <v>1486</v>
      </c>
      <c r="F625" s="41" t="s">
        <v>2079</v>
      </c>
      <c r="G625" s="41" t="s">
        <v>11</v>
      </c>
      <c r="H625" s="41" t="s">
        <v>1773</v>
      </c>
      <c r="I625" s="58"/>
      <c r="J625" s="58"/>
      <c r="K625" s="41" t="str">
        <f>IFERROR(VLOOKUP(L625,'Raw material list'!$A$3:$C$715,3,0),"")</f>
        <v>PRD1-3794</v>
      </c>
      <c r="L625" s="58" t="s">
        <v>973</v>
      </c>
      <c r="M625" s="40" t="s">
        <v>156</v>
      </c>
      <c r="N625" s="40" t="str">
        <f>VLOOKUP(L625,'Raw material list'!$A$3:$E$715,5,0)</f>
        <v xml:space="preserve">Gram </v>
      </c>
      <c r="O625" s="40">
        <v>400</v>
      </c>
      <c r="P625" s="299">
        <f t="shared" si="37"/>
        <v>493.82716049382714</v>
      </c>
      <c r="Q625" s="105">
        <v>81</v>
      </c>
      <c r="R625" s="40">
        <v>10</v>
      </c>
      <c r="S625" s="40"/>
      <c r="T625" s="105">
        <f t="shared" si="36"/>
        <v>40</v>
      </c>
      <c r="U625" s="105">
        <f t="shared" si="38"/>
        <v>49.382716049382715</v>
      </c>
      <c r="V625" s="104">
        <f>IFERROR(VLOOKUP(L625,'Raw material list'!$A$2:$S$3102,6,0),0)</f>
        <v>4.9382716049382715E-3</v>
      </c>
      <c r="W625" s="104">
        <f t="shared" si="39"/>
        <v>0.24386526444139611</v>
      </c>
    </row>
    <row r="626" spans="1:23" hidden="1" x14ac:dyDescent="0.55000000000000004">
      <c r="A626" s="41" t="s">
        <v>1505</v>
      </c>
      <c r="B626" s="41" t="s">
        <v>35</v>
      </c>
      <c r="C626" s="41" t="s">
        <v>10</v>
      </c>
      <c r="D626" s="58" t="s">
        <v>1496</v>
      </c>
      <c r="E626" s="41" t="s">
        <v>1486</v>
      </c>
      <c r="F626" s="41" t="s">
        <v>2079</v>
      </c>
      <c r="G626" s="41" t="s">
        <v>11</v>
      </c>
      <c r="H626" s="41" t="s">
        <v>1773</v>
      </c>
      <c r="I626" s="58"/>
      <c r="J626" s="58"/>
      <c r="K626" s="41" t="str">
        <f>IFERROR(VLOOKUP(L626,'Raw material list'!$A$3:$C$715,3,0),"")</f>
        <v>PRD1-186</v>
      </c>
      <c r="L626" s="58" t="s">
        <v>37</v>
      </c>
      <c r="M626" s="40" t="s">
        <v>156</v>
      </c>
      <c r="N626" s="40" t="str">
        <f>VLOOKUP(L626,'Raw material list'!$A$3:$E$715,5,0)</f>
        <v xml:space="preserve">Gram </v>
      </c>
      <c r="O626" s="40">
        <v>400</v>
      </c>
      <c r="P626" s="299">
        <f t="shared" si="37"/>
        <v>489.79591836734693</v>
      </c>
      <c r="Q626" s="105">
        <v>81.666666666666671</v>
      </c>
      <c r="R626" s="40">
        <v>10</v>
      </c>
      <c r="S626" s="40"/>
      <c r="T626" s="105">
        <f t="shared" si="36"/>
        <v>40</v>
      </c>
      <c r="U626" s="105">
        <f t="shared" si="38"/>
        <v>48.979591836734691</v>
      </c>
      <c r="V626" s="104">
        <f>IFERROR(VLOOKUP(L626,'Raw material list'!$A$2:$S$3102,6,0),0)</f>
        <v>5.8139534883720938E-3</v>
      </c>
      <c r="W626" s="104">
        <f t="shared" si="39"/>
        <v>0.284765068818225</v>
      </c>
    </row>
    <row r="627" spans="1:23" hidden="1" x14ac:dyDescent="0.55000000000000004">
      <c r="A627" s="41" t="s">
        <v>1505</v>
      </c>
      <c r="B627" s="41" t="s">
        <v>35</v>
      </c>
      <c r="C627" s="41" t="s">
        <v>10</v>
      </c>
      <c r="D627" s="58" t="s">
        <v>1496</v>
      </c>
      <c r="E627" s="41" t="s">
        <v>1486</v>
      </c>
      <c r="F627" s="41" t="s">
        <v>2079</v>
      </c>
      <c r="G627" s="41" t="s">
        <v>11</v>
      </c>
      <c r="H627" s="41" t="s">
        <v>1773</v>
      </c>
      <c r="I627" s="58"/>
      <c r="J627" s="58"/>
      <c r="K627" s="41" t="str">
        <f>IFERROR(VLOOKUP(L627,'Raw material list'!$A$3:$C$715,3,0),"")</f>
        <v>PRD2-3567</v>
      </c>
      <c r="L627" s="58" t="s">
        <v>133</v>
      </c>
      <c r="M627" s="40" t="s">
        <v>156</v>
      </c>
      <c r="N627" s="40" t="str">
        <f>VLOOKUP(L627,'Raw material list'!$A$3:$E$715,5,0)</f>
        <v xml:space="preserve">Gram </v>
      </c>
      <c r="O627" s="40">
        <v>400</v>
      </c>
      <c r="P627" s="299">
        <f t="shared" si="37"/>
        <v>400</v>
      </c>
      <c r="Q627" s="300">
        <v>100</v>
      </c>
      <c r="R627" s="40">
        <v>10</v>
      </c>
      <c r="S627" s="40"/>
      <c r="T627" s="105">
        <f t="shared" si="36"/>
        <v>40</v>
      </c>
      <c r="U627" s="105">
        <f t="shared" si="38"/>
        <v>40</v>
      </c>
      <c r="V627" s="104">
        <f>IFERROR(VLOOKUP(L627,'Raw material list'!$A$2:$S$3102,6,0),0)</f>
        <v>1.40625E-2</v>
      </c>
      <c r="W627" s="104">
        <f t="shared" si="39"/>
        <v>0.5625</v>
      </c>
    </row>
    <row r="628" spans="1:23" hidden="1" x14ac:dyDescent="0.55000000000000004">
      <c r="A628" s="41" t="s">
        <v>1505</v>
      </c>
      <c r="B628" s="41" t="s">
        <v>35</v>
      </c>
      <c r="C628" s="41" t="s">
        <v>10</v>
      </c>
      <c r="D628" s="58" t="s">
        <v>1496</v>
      </c>
      <c r="E628" s="41" t="s">
        <v>1486</v>
      </c>
      <c r="F628" s="41" t="s">
        <v>2079</v>
      </c>
      <c r="G628" s="41" t="s">
        <v>11</v>
      </c>
      <c r="H628" s="41" t="s">
        <v>1773</v>
      </c>
      <c r="I628" s="58"/>
      <c r="J628" s="58"/>
      <c r="K628" s="41" t="str">
        <f>IFERROR(VLOOKUP(L628,'Raw material list'!$A$3:$C$715,3,0),"")</f>
        <v>PRD1-572</v>
      </c>
      <c r="L628" s="58" t="s">
        <v>54</v>
      </c>
      <c r="M628" s="40" t="s">
        <v>156</v>
      </c>
      <c r="N628" s="40" t="str">
        <f>VLOOKUP(L628,'Raw material list'!$A$3:$E$715,5,0)</f>
        <v xml:space="preserve">Gram </v>
      </c>
      <c r="O628" s="40">
        <v>600</v>
      </c>
      <c r="P628" s="299">
        <f t="shared" si="37"/>
        <v>680.01511144692086</v>
      </c>
      <c r="Q628" s="105">
        <v>88.233333333333348</v>
      </c>
      <c r="R628" s="40">
        <v>10</v>
      </c>
      <c r="S628" s="40"/>
      <c r="T628" s="105">
        <f t="shared" si="36"/>
        <v>60</v>
      </c>
      <c r="U628" s="105">
        <f t="shared" si="38"/>
        <v>68.001511144692088</v>
      </c>
      <c r="V628" s="104">
        <f>IFERROR(VLOOKUP(L628,'Raw material list'!$A$2:$S$3102,6,0),0)</f>
        <v>4.5351473922902496E-3</v>
      </c>
      <c r="W628" s="104">
        <f t="shared" si="39"/>
        <v>0.30839687593964665</v>
      </c>
    </row>
    <row r="629" spans="1:23" hidden="1" x14ac:dyDescent="0.55000000000000004">
      <c r="A629" s="41" t="s">
        <v>1505</v>
      </c>
      <c r="B629" s="41" t="s">
        <v>35</v>
      </c>
      <c r="C629" s="41" t="s">
        <v>10</v>
      </c>
      <c r="D629" s="58" t="s">
        <v>1496</v>
      </c>
      <c r="E629" s="41" t="s">
        <v>1486</v>
      </c>
      <c r="F629" s="41" t="s">
        <v>2079</v>
      </c>
      <c r="G629" s="41" t="s">
        <v>11</v>
      </c>
      <c r="H629" s="41" t="s">
        <v>1773</v>
      </c>
      <c r="I629" s="58"/>
      <c r="J629" s="58"/>
      <c r="K629" s="41" t="str">
        <f>IFERROR(VLOOKUP(L629,'Raw material list'!$A$3:$C$715,3,0),"")</f>
        <v>DRS1-1747</v>
      </c>
      <c r="L629" s="58" t="s">
        <v>44</v>
      </c>
      <c r="M629" s="40" t="s">
        <v>156</v>
      </c>
      <c r="N629" s="40" t="str">
        <f>VLOOKUP(L629,'Raw material list'!$A$3:$E$715,5,0)</f>
        <v xml:space="preserve">Gram </v>
      </c>
      <c r="O629" s="40">
        <v>80</v>
      </c>
      <c r="P629" s="299">
        <f t="shared" si="37"/>
        <v>80</v>
      </c>
      <c r="Q629" s="300">
        <v>100</v>
      </c>
      <c r="R629" s="40">
        <v>10</v>
      </c>
      <c r="S629" s="40"/>
      <c r="T629" s="105">
        <f t="shared" si="36"/>
        <v>8</v>
      </c>
      <c r="U629" s="105">
        <f t="shared" si="38"/>
        <v>8</v>
      </c>
      <c r="V629" s="104">
        <f>IFERROR(VLOOKUP(L629,'Raw material list'!$A$2:$S$3102,6,0),0)</f>
        <v>5.185185185185185E-3</v>
      </c>
      <c r="W629" s="104">
        <f t="shared" si="39"/>
        <v>4.148148148148148E-2</v>
      </c>
    </row>
    <row r="630" spans="1:23" hidden="1" x14ac:dyDescent="0.55000000000000004">
      <c r="A630" s="41" t="s">
        <v>1505</v>
      </c>
      <c r="B630" s="41" t="s">
        <v>35</v>
      </c>
      <c r="C630" s="41" t="s">
        <v>10</v>
      </c>
      <c r="D630" s="58" t="s">
        <v>1496</v>
      </c>
      <c r="E630" s="41" t="s">
        <v>1486</v>
      </c>
      <c r="F630" s="41" t="s">
        <v>2079</v>
      </c>
      <c r="G630" s="41" t="s">
        <v>11</v>
      </c>
      <c r="H630" s="41" t="s">
        <v>1773</v>
      </c>
      <c r="I630" s="58"/>
      <c r="J630" s="58"/>
      <c r="K630" s="41" t="str">
        <f>IFERROR(VLOOKUP(L630,'Raw material list'!$A$3:$C$715,3,0),"")</f>
        <v>TAP-00001</v>
      </c>
      <c r="L630" s="58" t="s">
        <v>1405</v>
      </c>
      <c r="M630" s="40" t="s">
        <v>206</v>
      </c>
      <c r="N630" s="40" t="str">
        <f>VLOOKUP(L630,'Raw material list'!$A$3:$E$715,5,0)</f>
        <v>Ml</v>
      </c>
      <c r="O630" s="40">
        <v>1000</v>
      </c>
      <c r="P630" s="299">
        <f t="shared" si="37"/>
        <v>1000</v>
      </c>
      <c r="Q630" s="40">
        <v>100</v>
      </c>
      <c r="R630" s="40">
        <v>10</v>
      </c>
      <c r="S630" s="40"/>
      <c r="T630" s="105">
        <f t="shared" si="36"/>
        <v>100</v>
      </c>
      <c r="U630" s="105">
        <f t="shared" si="38"/>
        <v>100</v>
      </c>
      <c r="V630" s="104">
        <f>IFERROR(VLOOKUP(L630,'Raw material list'!$A$2:$S$3102,6,0),0)</f>
        <v>8.0000000000000007E-5</v>
      </c>
      <c r="W630" s="104">
        <f t="shared" si="39"/>
        <v>8.0000000000000002E-3</v>
      </c>
    </row>
    <row r="631" spans="1:23" hidden="1" x14ac:dyDescent="0.55000000000000004">
      <c r="A631" s="41" t="s">
        <v>1505</v>
      </c>
      <c r="B631" s="41" t="s">
        <v>35</v>
      </c>
      <c r="C631" s="41" t="s">
        <v>10</v>
      </c>
      <c r="D631" s="58" t="s">
        <v>1496</v>
      </c>
      <c r="E631" s="41" t="s">
        <v>1486</v>
      </c>
      <c r="F631" s="41" t="s">
        <v>2079</v>
      </c>
      <c r="G631" s="41" t="s">
        <v>11</v>
      </c>
      <c r="H631" s="41" t="s">
        <v>1773</v>
      </c>
      <c r="I631" s="58"/>
      <c r="J631" s="58"/>
      <c r="K631" s="41" t="str">
        <f>IFERROR(VLOOKUP(L631,'Raw material list'!$A$3:$C$715,3,0),"")</f>
        <v>DRS6-537</v>
      </c>
      <c r="L631" s="58" t="s">
        <v>46</v>
      </c>
      <c r="M631" s="40" t="s">
        <v>156</v>
      </c>
      <c r="N631" s="40" t="str">
        <f>VLOOKUP(L631,'Raw material list'!$A$3:$E$715,5,0)</f>
        <v xml:space="preserve">Gram </v>
      </c>
      <c r="O631" s="40">
        <v>2</v>
      </c>
      <c r="P631" s="299">
        <f t="shared" si="37"/>
        <v>2</v>
      </c>
      <c r="Q631" s="40">
        <v>100</v>
      </c>
      <c r="R631" s="40">
        <v>10</v>
      </c>
      <c r="S631" s="40"/>
      <c r="T631" s="105">
        <f t="shared" si="36"/>
        <v>0.2</v>
      </c>
      <c r="U631" s="105">
        <f t="shared" si="38"/>
        <v>0.2</v>
      </c>
      <c r="V631" s="104">
        <f>IFERROR(VLOOKUP(L631,'Raw material list'!$A$2:$S$3102,6,0),0)</f>
        <v>3.5000000000000003E-2</v>
      </c>
      <c r="W631" s="104">
        <f t="shared" si="39"/>
        <v>7.000000000000001E-3</v>
      </c>
    </row>
    <row r="632" spans="1:23" hidden="1" x14ac:dyDescent="0.55000000000000004">
      <c r="A632" s="41" t="s">
        <v>1505</v>
      </c>
      <c r="B632" s="41" t="s">
        <v>35</v>
      </c>
      <c r="C632" s="41" t="s">
        <v>10</v>
      </c>
      <c r="D632" s="58" t="s">
        <v>1496</v>
      </c>
      <c r="E632" s="41" t="s">
        <v>1486</v>
      </c>
      <c r="F632" s="41" t="s">
        <v>2079</v>
      </c>
      <c r="G632" s="41" t="s">
        <v>11</v>
      </c>
      <c r="H632" s="41" t="s">
        <v>1773</v>
      </c>
      <c r="I632" s="58"/>
      <c r="J632" s="58"/>
      <c r="K632" s="41" t="str">
        <f>IFERROR(VLOOKUP(L632,'Raw material list'!$A$3:$C$715,3,0),"")</f>
        <v>DRS1-3880</v>
      </c>
      <c r="L632" s="58" t="s">
        <v>1433</v>
      </c>
      <c r="M632" s="40" t="s">
        <v>156</v>
      </c>
      <c r="N632" s="40" t="str">
        <f>VLOOKUP(L632,'Raw material list'!$A$3:$E$715,5,0)</f>
        <v xml:space="preserve">Gram </v>
      </c>
      <c r="O632" s="40">
        <v>15</v>
      </c>
      <c r="P632" s="299">
        <f t="shared" si="37"/>
        <v>15</v>
      </c>
      <c r="Q632" s="40">
        <v>100</v>
      </c>
      <c r="R632" s="40">
        <v>10</v>
      </c>
      <c r="S632" s="40"/>
      <c r="T632" s="105">
        <f t="shared" si="36"/>
        <v>1.5</v>
      </c>
      <c r="U632" s="105">
        <f t="shared" si="38"/>
        <v>1.5</v>
      </c>
      <c r="V632" s="104">
        <f>IFERROR(VLOOKUP(L632,'Raw material list'!$A$2:$S$3102,6,0),0)</f>
        <v>5.0000000000000001E-4</v>
      </c>
      <c r="W632" s="104">
        <f t="shared" si="39"/>
        <v>7.5000000000000002E-4</v>
      </c>
    </row>
    <row r="633" spans="1:23" hidden="1" x14ac:dyDescent="0.55000000000000004">
      <c r="A633" s="41" t="s">
        <v>1505</v>
      </c>
      <c r="B633" s="41" t="s">
        <v>35</v>
      </c>
      <c r="C633" s="41" t="s">
        <v>10</v>
      </c>
      <c r="D633" s="58" t="s">
        <v>1496</v>
      </c>
      <c r="E633" s="41" t="s">
        <v>1486</v>
      </c>
      <c r="F633" s="41" t="s">
        <v>2079</v>
      </c>
      <c r="G633" s="41" t="s">
        <v>11</v>
      </c>
      <c r="H633" s="41" t="s">
        <v>1773</v>
      </c>
      <c r="I633" s="58"/>
      <c r="J633" s="58"/>
      <c r="K633" s="41" t="str">
        <f>IFERROR(VLOOKUP(L633,'Raw material list'!$A$3:$C$715,3,0),"")</f>
        <v>DRS1-3813</v>
      </c>
      <c r="L633" s="58" t="s">
        <v>67</v>
      </c>
      <c r="M633" s="40" t="s">
        <v>156</v>
      </c>
      <c r="N633" s="40" t="str">
        <f>VLOOKUP(L633,'Raw material list'!$A$3:$E$715,5,0)</f>
        <v xml:space="preserve">Gram </v>
      </c>
      <c r="O633" s="40">
        <v>10</v>
      </c>
      <c r="P633" s="299">
        <f t="shared" si="37"/>
        <v>10</v>
      </c>
      <c r="Q633" s="40">
        <v>100</v>
      </c>
      <c r="R633" s="40">
        <v>10</v>
      </c>
      <c r="S633" s="40"/>
      <c r="T633" s="105">
        <f t="shared" si="36"/>
        <v>1</v>
      </c>
      <c r="U633" s="105">
        <f t="shared" si="38"/>
        <v>1</v>
      </c>
      <c r="V633" s="104">
        <f>IFERROR(VLOOKUP(L633,'Raw material list'!$A$2:$S$3102,6,0),0)</f>
        <v>4.4441666666666664E-2</v>
      </c>
      <c r="W633" s="104">
        <f t="shared" si="39"/>
        <v>4.4441666666666664E-2</v>
      </c>
    </row>
    <row r="634" spans="1:23" hidden="1" x14ac:dyDescent="0.55000000000000004">
      <c r="A634" s="41" t="s">
        <v>1505</v>
      </c>
      <c r="B634" s="41" t="s">
        <v>35</v>
      </c>
      <c r="C634" s="41" t="s">
        <v>10</v>
      </c>
      <c r="D634" s="58" t="s">
        <v>1496</v>
      </c>
      <c r="E634" s="41" t="s">
        <v>1486</v>
      </c>
      <c r="F634" s="41" t="s">
        <v>2079</v>
      </c>
      <c r="G634" s="41" t="s">
        <v>11</v>
      </c>
      <c r="H634" s="41" t="s">
        <v>1773</v>
      </c>
      <c r="I634" s="58"/>
      <c r="J634" s="58"/>
      <c r="K634" s="41" t="str">
        <f>IFERROR(VLOOKUP(L634,'Raw material list'!$A$3:$C$715,3,0),"")</f>
        <v>DRS4-498</v>
      </c>
      <c r="L634" s="58" t="s">
        <v>72</v>
      </c>
      <c r="M634" s="40" t="s">
        <v>156</v>
      </c>
      <c r="N634" s="40" t="str">
        <f>VLOOKUP(L634,'Raw material list'!$A$3:$E$715,5,0)</f>
        <v xml:space="preserve">Gram </v>
      </c>
      <c r="O634" s="40">
        <v>1000</v>
      </c>
      <c r="P634" s="299">
        <f t="shared" si="37"/>
        <v>1000</v>
      </c>
      <c r="Q634" s="40">
        <v>100</v>
      </c>
      <c r="R634" s="40">
        <v>10</v>
      </c>
      <c r="S634" s="40"/>
      <c r="T634" s="105">
        <f t="shared" si="36"/>
        <v>100</v>
      </c>
      <c r="U634" s="105">
        <f t="shared" si="38"/>
        <v>100</v>
      </c>
      <c r="V634" s="104">
        <f>IFERROR(VLOOKUP(L634,'Raw material list'!$A$2:$S$3102,6,0),0)</f>
        <v>5.7499999999999999E-3</v>
      </c>
      <c r="W634" s="104">
        <f t="shared" si="39"/>
        <v>0.57499999999999996</v>
      </c>
    </row>
    <row r="635" spans="1:23" hidden="1" x14ac:dyDescent="0.55000000000000004">
      <c r="A635" s="41" t="s">
        <v>1505</v>
      </c>
      <c r="B635" s="41" t="s">
        <v>35</v>
      </c>
      <c r="C635" s="41" t="s">
        <v>10</v>
      </c>
      <c r="D635" s="58" t="s">
        <v>1496</v>
      </c>
      <c r="E635" s="41" t="s">
        <v>1486</v>
      </c>
      <c r="F635" s="41" t="s">
        <v>2079</v>
      </c>
      <c r="G635" s="41" t="s">
        <v>11</v>
      </c>
      <c r="H635" s="41" t="s">
        <v>1773</v>
      </c>
      <c r="I635" s="58"/>
      <c r="J635" s="58"/>
      <c r="K635" s="41" t="str">
        <f>IFERROR(VLOOKUP(L635,'Raw material list'!$A$3:$C$715,3,0),"")</f>
        <v>DRS1-3880</v>
      </c>
      <c r="L635" s="58" t="s">
        <v>1433</v>
      </c>
      <c r="M635" s="40" t="s">
        <v>156</v>
      </c>
      <c r="N635" s="40" t="str">
        <f>VLOOKUP(L635,'Raw material list'!$A$3:$E$715,5,0)</f>
        <v xml:space="preserve">Gram </v>
      </c>
      <c r="O635" s="40">
        <v>10</v>
      </c>
      <c r="P635" s="299">
        <f t="shared" si="37"/>
        <v>10</v>
      </c>
      <c r="Q635" s="40">
        <v>100</v>
      </c>
      <c r="R635" s="40">
        <v>10</v>
      </c>
      <c r="S635" s="40"/>
      <c r="T635" s="105">
        <f t="shared" si="36"/>
        <v>1</v>
      </c>
      <c r="U635" s="105">
        <f t="shared" si="38"/>
        <v>1</v>
      </c>
      <c r="V635" s="104">
        <f>IFERROR(VLOOKUP(L635,'Raw material list'!$A$2:$S$3102,6,0),0)</f>
        <v>5.0000000000000001E-4</v>
      </c>
      <c r="W635" s="104">
        <f t="shared" si="39"/>
        <v>5.0000000000000001E-4</v>
      </c>
    </row>
    <row r="636" spans="1:23" hidden="1" x14ac:dyDescent="0.55000000000000004">
      <c r="A636" s="41" t="s">
        <v>1505</v>
      </c>
      <c r="B636" s="41" t="s">
        <v>35</v>
      </c>
      <c r="C636" s="41" t="s">
        <v>10</v>
      </c>
      <c r="D636" s="58" t="s">
        <v>1496</v>
      </c>
      <c r="E636" s="41" t="s">
        <v>1486</v>
      </c>
      <c r="F636" s="41" t="s">
        <v>2079</v>
      </c>
      <c r="G636" s="41" t="s">
        <v>11</v>
      </c>
      <c r="H636" s="41" t="s">
        <v>1773</v>
      </c>
      <c r="I636" s="58"/>
      <c r="J636" s="58"/>
      <c r="K636" s="41" t="str">
        <f>IFERROR(VLOOKUP(L636,'Raw material list'!$A$3:$C$715,3,0),"")</f>
        <v>DRS6-261</v>
      </c>
      <c r="L636" s="58" t="s">
        <v>1406</v>
      </c>
      <c r="M636" s="40" t="s">
        <v>156</v>
      </c>
      <c r="N636" s="40" t="str">
        <f>VLOOKUP(L636,'Raw material list'!$A$3:$E$715,5,0)</f>
        <v xml:space="preserve">Gram </v>
      </c>
      <c r="O636" s="40">
        <v>2</v>
      </c>
      <c r="P636" s="299">
        <f t="shared" si="37"/>
        <v>2</v>
      </c>
      <c r="Q636" s="40">
        <v>100</v>
      </c>
      <c r="R636" s="40">
        <v>10</v>
      </c>
      <c r="S636" s="40"/>
      <c r="T636" s="105">
        <f t="shared" si="36"/>
        <v>0.2</v>
      </c>
      <c r="U636" s="105">
        <f t="shared" si="38"/>
        <v>0.2</v>
      </c>
      <c r="V636" s="104">
        <f>IFERROR(VLOOKUP(L636,'Raw material list'!$A$2:$S$3102,6,0),0)</f>
        <v>1.4E-2</v>
      </c>
      <c r="W636" s="104">
        <f t="shared" si="39"/>
        <v>2.8000000000000004E-3</v>
      </c>
    </row>
    <row r="637" spans="1:23" hidden="1" x14ac:dyDescent="0.55000000000000004">
      <c r="A637" s="41" t="s">
        <v>1505</v>
      </c>
      <c r="B637" s="41" t="s">
        <v>35</v>
      </c>
      <c r="C637" s="41" t="s">
        <v>10</v>
      </c>
      <c r="D637" s="58" t="s">
        <v>1496</v>
      </c>
      <c r="E637" s="41" t="s">
        <v>1486</v>
      </c>
      <c r="F637" s="41" t="s">
        <v>2079</v>
      </c>
      <c r="G637" s="41" t="s">
        <v>11</v>
      </c>
      <c r="H637" s="41" t="s">
        <v>1773</v>
      </c>
      <c r="I637" s="58"/>
      <c r="J637" s="58"/>
      <c r="K637" s="41" t="str">
        <f>IFERROR(VLOOKUP(L637,'Raw material list'!$A$3:$C$715,3,0),"")</f>
        <v>TAP-00001</v>
      </c>
      <c r="L637" s="58" t="s">
        <v>1405</v>
      </c>
      <c r="M637" s="40" t="s">
        <v>206</v>
      </c>
      <c r="N637" s="40" t="str">
        <f>VLOOKUP(L637,'Raw material list'!$A$3:$E$715,5,0)</f>
        <v>Ml</v>
      </c>
      <c r="O637" s="40">
        <v>1600</v>
      </c>
      <c r="P637" s="299">
        <f t="shared" si="37"/>
        <v>1600</v>
      </c>
      <c r="Q637" s="40">
        <v>100</v>
      </c>
      <c r="R637" s="40">
        <v>10</v>
      </c>
      <c r="S637" s="40"/>
      <c r="T637" s="105">
        <f t="shared" si="36"/>
        <v>160</v>
      </c>
      <c r="U637" s="105">
        <f t="shared" si="38"/>
        <v>160</v>
      </c>
      <c r="V637" s="104">
        <f>IFERROR(VLOOKUP(L637,'Raw material list'!$A$2:$S$3102,6,0),0)</f>
        <v>8.0000000000000007E-5</v>
      </c>
      <c r="W637" s="104">
        <f t="shared" si="39"/>
        <v>1.2800000000000001E-2</v>
      </c>
    </row>
    <row r="638" spans="1:23" hidden="1" x14ac:dyDescent="0.55000000000000004">
      <c r="A638" s="41" t="s">
        <v>1505</v>
      </c>
      <c r="B638" s="41" t="s">
        <v>35</v>
      </c>
      <c r="C638" s="41" t="s">
        <v>10</v>
      </c>
      <c r="D638" s="58" t="s">
        <v>1496</v>
      </c>
      <c r="E638" s="41" t="s">
        <v>1486</v>
      </c>
      <c r="F638" s="41" t="s">
        <v>2079</v>
      </c>
      <c r="G638" s="41" t="s">
        <v>11</v>
      </c>
      <c r="H638" s="41" t="s">
        <v>1773</v>
      </c>
      <c r="I638" s="58"/>
      <c r="J638" s="58"/>
      <c r="K638" s="41" t="str">
        <f>IFERROR(VLOOKUP(L638,'Raw material list'!$A$3:$C$715,3,0),"")</f>
        <v>DRS6-3593</v>
      </c>
      <c r="L638" s="58" t="s">
        <v>1407</v>
      </c>
      <c r="M638" s="40" t="s">
        <v>156</v>
      </c>
      <c r="N638" s="40" t="str">
        <f>VLOOKUP(L638,'Raw material list'!$A$3:$E$715,5,0)</f>
        <v xml:space="preserve">Gram </v>
      </c>
      <c r="O638" s="40">
        <v>1</v>
      </c>
      <c r="P638" s="299">
        <f t="shared" si="37"/>
        <v>1</v>
      </c>
      <c r="Q638" s="40">
        <v>100</v>
      </c>
      <c r="R638" s="40">
        <v>10</v>
      </c>
      <c r="S638" s="40"/>
      <c r="T638" s="105">
        <f t="shared" si="36"/>
        <v>0.1</v>
      </c>
      <c r="U638" s="105">
        <f t="shared" si="38"/>
        <v>0.1</v>
      </c>
      <c r="V638" s="104">
        <f>IFERROR(VLOOKUP(L638,'Raw material list'!$A$2:$S$3102,6,0),0)</f>
        <v>8.0000000000000002E-3</v>
      </c>
      <c r="W638" s="104">
        <f t="shared" si="39"/>
        <v>8.0000000000000004E-4</v>
      </c>
    </row>
    <row r="639" spans="1:23" hidden="1" x14ac:dyDescent="0.55000000000000004">
      <c r="A639" s="41" t="s">
        <v>1505</v>
      </c>
      <c r="B639" s="41" t="s">
        <v>35</v>
      </c>
      <c r="C639" s="41" t="s">
        <v>10</v>
      </c>
      <c r="D639" s="58" t="s">
        <v>1496</v>
      </c>
      <c r="E639" s="41" t="s">
        <v>1486</v>
      </c>
      <c r="F639" s="41" t="s">
        <v>2079</v>
      </c>
      <c r="G639" s="41" t="s">
        <v>11</v>
      </c>
      <c r="H639" s="41" t="s">
        <v>1773</v>
      </c>
      <c r="I639" s="58"/>
      <c r="J639" s="58"/>
      <c r="K639" s="41" t="str">
        <f>IFERROR(VLOOKUP(L639,'Raw material list'!$A$3:$C$715,3,0),"")</f>
        <v>DRS3-1813</v>
      </c>
      <c r="L639" s="58" t="s">
        <v>69</v>
      </c>
      <c r="M639" s="40" t="s">
        <v>206</v>
      </c>
      <c r="N639" s="40" t="str">
        <f>VLOOKUP(L639,'Raw material list'!$A$3:$E$715,5,0)</f>
        <v>Ml</v>
      </c>
      <c r="O639" s="40">
        <v>30</v>
      </c>
      <c r="P639" s="299">
        <f t="shared" si="37"/>
        <v>30</v>
      </c>
      <c r="Q639" s="40">
        <v>100</v>
      </c>
      <c r="R639" s="40">
        <v>10</v>
      </c>
      <c r="S639" s="40"/>
      <c r="T639" s="105">
        <f t="shared" si="36"/>
        <v>3</v>
      </c>
      <c r="U639" s="105">
        <f t="shared" si="38"/>
        <v>3</v>
      </c>
      <c r="V639" s="104">
        <f>IFERROR(VLOOKUP(L639,'Raw material list'!$A$2:$S$3102,6,0),0)</f>
        <v>8.0555555555555554E-3</v>
      </c>
      <c r="W639" s="104">
        <f t="shared" si="39"/>
        <v>2.4166666666666666E-2</v>
      </c>
    </row>
    <row r="640" spans="1:23" hidden="1" x14ac:dyDescent="0.55000000000000004">
      <c r="A640" s="41" t="s">
        <v>1506</v>
      </c>
      <c r="B640" s="41" t="s">
        <v>35</v>
      </c>
      <c r="C640" s="41" t="s">
        <v>10</v>
      </c>
      <c r="D640" s="58" t="s">
        <v>1508</v>
      </c>
      <c r="E640" s="41" t="s">
        <v>1507</v>
      </c>
      <c r="F640" s="41" t="s">
        <v>2081</v>
      </c>
      <c r="G640" s="41" t="s">
        <v>11</v>
      </c>
      <c r="H640" s="41" t="s">
        <v>1774</v>
      </c>
      <c r="I640" s="58"/>
      <c r="J640" s="58"/>
      <c r="K640" s="41" t="str">
        <f>IFERROR(VLOOKUP(L640,'Raw material list'!$A$3:$C$715,3,0),"")</f>
        <v>SFD2-312</v>
      </c>
      <c r="L640" s="58" t="s">
        <v>109</v>
      </c>
      <c r="M640" s="40" t="s">
        <v>156</v>
      </c>
      <c r="N640" s="40" t="str">
        <f>VLOOKUP(L640,'Raw material list'!$A$3:$E$715,5,0)</f>
        <v xml:space="preserve">Gram </v>
      </c>
      <c r="O640" s="40">
        <v>1200</v>
      </c>
      <c r="P640" s="299">
        <f t="shared" si="37"/>
        <v>1637.1077762619373</v>
      </c>
      <c r="Q640" s="40">
        <v>73.3</v>
      </c>
      <c r="R640" s="40">
        <v>10</v>
      </c>
      <c r="S640" s="40"/>
      <c r="T640" s="105">
        <f t="shared" si="36"/>
        <v>120</v>
      </c>
      <c r="U640" s="105">
        <f t="shared" si="38"/>
        <v>163.71077762619373</v>
      </c>
      <c r="V640" s="104">
        <f>IFERROR(VLOOKUP(L640,'Raw material list'!$A$2:$S$3102,6,0),0)</f>
        <v>3.2786885245901641E-2</v>
      </c>
      <c r="W640" s="104">
        <f t="shared" si="39"/>
        <v>5.3675664795473361</v>
      </c>
    </row>
    <row r="641" spans="1:23" hidden="1" x14ac:dyDescent="0.55000000000000004">
      <c r="A641" s="41" t="s">
        <v>1506</v>
      </c>
      <c r="B641" s="41" t="s">
        <v>35</v>
      </c>
      <c r="C641" s="41" t="s">
        <v>10</v>
      </c>
      <c r="D641" s="58" t="s">
        <v>1508</v>
      </c>
      <c r="E641" s="58" t="s">
        <v>1507</v>
      </c>
      <c r="F641" s="58" t="s">
        <v>2079</v>
      </c>
      <c r="G641" s="41" t="s">
        <v>11</v>
      </c>
      <c r="H641" s="41" t="s">
        <v>1774</v>
      </c>
      <c r="I641" s="58"/>
      <c r="J641" s="58"/>
      <c r="K641" s="41" t="str">
        <f>IFERROR(VLOOKUP(L641,'Raw material list'!$A$3:$C$715,3,0),"")</f>
        <v>DRS3-1813</v>
      </c>
      <c r="L641" s="58" t="s">
        <v>69</v>
      </c>
      <c r="M641" s="40" t="s">
        <v>206</v>
      </c>
      <c r="N641" s="40" t="str">
        <f>VLOOKUP(L641,'Raw material list'!$A$3:$E$715,5,0)</f>
        <v>Ml</v>
      </c>
      <c r="O641" s="40">
        <v>40</v>
      </c>
      <c r="P641" s="299">
        <f t="shared" si="37"/>
        <v>40</v>
      </c>
      <c r="Q641" s="40">
        <v>100</v>
      </c>
      <c r="R641" s="40">
        <v>10</v>
      </c>
      <c r="S641" s="40"/>
      <c r="T641" s="105">
        <f t="shared" si="36"/>
        <v>4</v>
      </c>
      <c r="U641" s="105">
        <f t="shared" si="38"/>
        <v>4</v>
      </c>
      <c r="V641" s="104">
        <f>IFERROR(VLOOKUP(L641,'Raw material list'!$A$2:$S$3102,6,0),0)</f>
        <v>8.0555555555555554E-3</v>
      </c>
      <c r="W641" s="104">
        <f t="shared" si="39"/>
        <v>3.2222222222222222E-2</v>
      </c>
    </row>
    <row r="642" spans="1:23" hidden="1" x14ac:dyDescent="0.55000000000000004">
      <c r="A642" s="41" t="s">
        <v>1506</v>
      </c>
      <c r="B642" s="41" t="s">
        <v>35</v>
      </c>
      <c r="C642" s="41" t="s">
        <v>10</v>
      </c>
      <c r="D642" s="58" t="s">
        <v>1508</v>
      </c>
      <c r="E642" s="58" t="s">
        <v>1507</v>
      </c>
      <c r="F642" s="58" t="s">
        <v>2079</v>
      </c>
      <c r="G642" s="41" t="s">
        <v>11</v>
      </c>
      <c r="H642" s="41" t="s">
        <v>1774</v>
      </c>
      <c r="I642" s="58"/>
      <c r="J642" s="58"/>
      <c r="K642" s="41" t="str">
        <f>IFERROR(VLOOKUP(L642,'Raw material list'!$A$3:$C$715,3,0),"")</f>
        <v>PRD1-4265</v>
      </c>
      <c r="L642" s="58" t="s">
        <v>38</v>
      </c>
      <c r="M642" s="40" t="s">
        <v>156</v>
      </c>
      <c r="N642" s="40" t="str">
        <f>VLOOKUP(L642,'Raw material list'!$A$3:$E$715,5,0)</f>
        <v xml:space="preserve">Gram </v>
      </c>
      <c r="O642" s="40">
        <v>150</v>
      </c>
      <c r="P642" s="299">
        <f t="shared" si="37"/>
        <v>176.47058823529412</v>
      </c>
      <c r="Q642" s="105">
        <v>85</v>
      </c>
      <c r="R642" s="40">
        <v>10</v>
      </c>
      <c r="S642" s="40"/>
      <c r="T642" s="105">
        <f t="shared" si="36"/>
        <v>15</v>
      </c>
      <c r="U642" s="105">
        <f t="shared" si="38"/>
        <v>17.647058823529413</v>
      </c>
      <c r="V642" s="104">
        <f>IFERROR(VLOOKUP(L642,'Raw material list'!$A$2:$S$3102,6,0),0)</f>
        <v>3.529411764705882E-3</v>
      </c>
      <c r="W642" s="104">
        <f t="shared" si="39"/>
        <v>6.228373702422145E-2</v>
      </c>
    </row>
    <row r="643" spans="1:23" hidden="1" x14ac:dyDescent="0.55000000000000004">
      <c r="A643" s="41" t="s">
        <v>1506</v>
      </c>
      <c r="B643" s="41" t="s">
        <v>35</v>
      </c>
      <c r="C643" s="41" t="s">
        <v>10</v>
      </c>
      <c r="D643" s="58" t="s">
        <v>1508</v>
      </c>
      <c r="E643" s="58" t="s">
        <v>1507</v>
      </c>
      <c r="F643" s="58" t="s">
        <v>2079</v>
      </c>
      <c r="G643" s="41" t="s">
        <v>11</v>
      </c>
      <c r="H643" s="41" t="s">
        <v>1774</v>
      </c>
      <c r="I643" s="58"/>
      <c r="J643" s="58"/>
      <c r="K643" s="41" t="str">
        <f>IFERROR(VLOOKUP(L643,'Raw material list'!$A$3:$C$715,3,0),"")</f>
        <v>PRD1-204</v>
      </c>
      <c r="L643" s="58" t="s">
        <v>81</v>
      </c>
      <c r="M643" s="40" t="s">
        <v>156</v>
      </c>
      <c r="N643" s="40" t="str">
        <f>VLOOKUP(L643,'Raw material list'!$A$3:$E$715,5,0)</f>
        <v xml:space="preserve">Gram </v>
      </c>
      <c r="O643" s="40">
        <v>25</v>
      </c>
      <c r="P643" s="299">
        <f t="shared" si="37"/>
        <v>30.120481927710845</v>
      </c>
      <c r="Q643" s="105">
        <v>83</v>
      </c>
      <c r="R643" s="40">
        <v>10</v>
      </c>
      <c r="S643" s="40"/>
      <c r="T643" s="105">
        <f t="shared" si="36"/>
        <v>2.5</v>
      </c>
      <c r="U643" s="105">
        <f t="shared" si="38"/>
        <v>3.0120481927710845</v>
      </c>
      <c r="V643" s="104">
        <f>IFERROR(VLOOKUP(L643,'Raw material list'!$A$2:$S$3102,6,0),0)</f>
        <v>8.4337349397590362E-3</v>
      </c>
      <c r="W643" s="104">
        <f t="shared" si="39"/>
        <v>2.5402816083611557E-2</v>
      </c>
    </row>
    <row r="644" spans="1:23" hidden="1" x14ac:dyDescent="0.55000000000000004">
      <c r="A644" s="41" t="s">
        <v>1506</v>
      </c>
      <c r="B644" s="41" t="s">
        <v>35</v>
      </c>
      <c r="C644" s="41" t="s">
        <v>10</v>
      </c>
      <c r="D644" s="58" t="s">
        <v>1508</v>
      </c>
      <c r="E644" s="58" t="s">
        <v>1507</v>
      </c>
      <c r="F644" s="58" t="s">
        <v>2079</v>
      </c>
      <c r="G644" s="41" t="s">
        <v>11</v>
      </c>
      <c r="H644" s="41" t="s">
        <v>1774</v>
      </c>
      <c r="I644" s="58"/>
      <c r="J644" s="58"/>
      <c r="K644" s="41" t="str">
        <f>IFERROR(VLOOKUP(L644,'Raw material list'!$A$3:$C$715,3,0),"")</f>
        <v>PRD1-240</v>
      </c>
      <c r="L644" s="58" t="s">
        <v>82</v>
      </c>
      <c r="M644" s="40" t="s">
        <v>156</v>
      </c>
      <c r="N644" s="40" t="str">
        <f>VLOOKUP(L644,'Raw material list'!$A$3:$E$715,5,0)</f>
        <v xml:space="preserve">Gram </v>
      </c>
      <c r="O644" s="40">
        <v>100</v>
      </c>
      <c r="P644" s="299">
        <f t="shared" si="37"/>
        <v>147.78325123152712</v>
      </c>
      <c r="Q644" s="105">
        <v>67.666666666666657</v>
      </c>
      <c r="R644" s="40">
        <v>10</v>
      </c>
      <c r="S644" s="40"/>
      <c r="T644" s="105">
        <f t="shared" si="36"/>
        <v>10</v>
      </c>
      <c r="U644" s="105">
        <f t="shared" si="38"/>
        <v>14.778325123152712</v>
      </c>
      <c r="V644" s="104">
        <f>IFERROR(VLOOKUP(L644,'Raw material list'!$A$2:$S$3102,6,0),0)</f>
        <v>1.3293943870014769E-2</v>
      </c>
      <c r="W644" s="104">
        <f t="shared" si="39"/>
        <v>0.19646222468002125</v>
      </c>
    </row>
    <row r="645" spans="1:23" hidden="1" x14ac:dyDescent="0.55000000000000004">
      <c r="A645" s="41" t="s">
        <v>1506</v>
      </c>
      <c r="B645" s="41" t="s">
        <v>35</v>
      </c>
      <c r="C645" s="41" t="s">
        <v>10</v>
      </c>
      <c r="D645" s="58" t="s">
        <v>1508</v>
      </c>
      <c r="E645" s="58" t="s">
        <v>1507</v>
      </c>
      <c r="F645" s="58" t="s">
        <v>2079</v>
      </c>
      <c r="G645" s="41" t="s">
        <v>11</v>
      </c>
      <c r="H645" s="41" t="s">
        <v>1774</v>
      </c>
      <c r="I645" s="58"/>
      <c r="J645" s="58"/>
      <c r="K645" s="41" t="str">
        <f>IFERROR(VLOOKUP(L645,'Raw material list'!$A$3:$C$715,3,0),"")</f>
        <v>PRD1-186</v>
      </c>
      <c r="L645" s="58" t="s">
        <v>37</v>
      </c>
      <c r="M645" s="40" t="s">
        <v>156</v>
      </c>
      <c r="N645" s="40" t="str">
        <f>VLOOKUP(L645,'Raw material list'!$A$3:$E$715,5,0)</f>
        <v xml:space="preserve">Gram </v>
      </c>
      <c r="O645" s="40">
        <v>150</v>
      </c>
      <c r="P645" s="299">
        <f t="shared" si="37"/>
        <v>183.67346938775509</v>
      </c>
      <c r="Q645" s="105">
        <v>81.666666666666671</v>
      </c>
      <c r="R645" s="40">
        <v>10</v>
      </c>
      <c r="S645" s="40"/>
      <c r="T645" s="105">
        <f t="shared" ref="T645:T708" si="40">IFERROR(O645/R645,0)</f>
        <v>15</v>
      </c>
      <c r="U645" s="105">
        <f t="shared" si="38"/>
        <v>18.367346938775508</v>
      </c>
      <c r="V645" s="104">
        <f>IFERROR(VLOOKUP(L645,'Raw material list'!$A$2:$S$3102,6,0),0)</f>
        <v>5.8139534883720938E-3</v>
      </c>
      <c r="W645" s="104">
        <f t="shared" si="39"/>
        <v>0.10678690080683437</v>
      </c>
    </row>
    <row r="646" spans="1:23" hidden="1" x14ac:dyDescent="0.55000000000000004">
      <c r="A646" s="41" t="s">
        <v>1506</v>
      </c>
      <c r="B646" s="41" t="s">
        <v>35</v>
      </c>
      <c r="C646" s="41" t="s">
        <v>10</v>
      </c>
      <c r="D646" s="58" t="s">
        <v>1508</v>
      </c>
      <c r="E646" s="58" t="s">
        <v>1507</v>
      </c>
      <c r="F646" s="58" t="s">
        <v>2079</v>
      </c>
      <c r="G646" s="41" t="s">
        <v>11</v>
      </c>
      <c r="H646" s="41" t="s">
        <v>1774</v>
      </c>
      <c r="I646" s="58"/>
      <c r="J646" s="58"/>
      <c r="K646" s="41" t="str">
        <f>IFERROR(VLOOKUP(L646,'Raw material list'!$A$3:$C$715,3,0),"")</f>
        <v>DRS6-537</v>
      </c>
      <c r="L646" s="58" t="s">
        <v>46</v>
      </c>
      <c r="M646" s="40" t="s">
        <v>156</v>
      </c>
      <c r="N646" s="40" t="str">
        <f>VLOOKUP(L646,'Raw material list'!$A$3:$E$715,5,0)</f>
        <v xml:space="preserve">Gram </v>
      </c>
      <c r="O646" s="40">
        <v>2</v>
      </c>
      <c r="P646" s="299">
        <f t="shared" ref="P646:P709" si="41">O646/Q646*100</f>
        <v>2</v>
      </c>
      <c r="Q646" s="300">
        <v>100</v>
      </c>
      <c r="R646" s="40">
        <v>10</v>
      </c>
      <c r="S646" s="40"/>
      <c r="T646" s="105">
        <f t="shared" si="40"/>
        <v>0.2</v>
      </c>
      <c r="U646" s="105">
        <f t="shared" ref="U646:U709" si="42">IFERROR(P646/R646,0)</f>
        <v>0.2</v>
      </c>
      <c r="V646" s="104">
        <f>IFERROR(VLOOKUP(L646,'Raw material list'!$A$2:$S$3102,6,0),0)</f>
        <v>3.5000000000000003E-2</v>
      </c>
      <c r="W646" s="104">
        <f t="shared" ref="W646:W709" si="43">IFERROR(V646*U646,0)</f>
        <v>7.000000000000001E-3</v>
      </c>
    </row>
    <row r="647" spans="1:23" hidden="1" x14ac:dyDescent="0.55000000000000004">
      <c r="A647" s="41" t="s">
        <v>1506</v>
      </c>
      <c r="B647" s="41" t="s">
        <v>35</v>
      </c>
      <c r="C647" s="41" t="s">
        <v>10</v>
      </c>
      <c r="D647" s="58" t="s">
        <v>1508</v>
      </c>
      <c r="E647" s="58" t="s">
        <v>1507</v>
      </c>
      <c r="F647" s="58" t="s">
        <v>2079</v>
      </c>
      <c r="G647" s="41" t="s">
        <v>11</v>
      </c>
      <c r="H647" s="41" t="s">
        <v>1774</v>
      </c>
      <c r="I647" s="58"/>
      <c r="J647" s="58"/>
      <c r="K647" s="41" t="str">
        <f>IFERROR(VLOOKUP(L647,'Raw material list'!$A$3:$C$715,3,0),"")</f>
        <v>DRS1-1039</v>
      </c>
      <c r="L647" s="58" t="s">
        <v>110</v>
      </c>
      <c r="M647" s="40" t="s">
        <v>156</v>
      </c>
      <c r="N647" s="40" t="str">
        <f>VLOOKUP(L647,'Raw material list'!$A$3:$E$715,5,0)</f>
        <v xml:space="preserve">Gram </v>
      </c>
      <c r="O647" s="40">
        <v>500</v>
      </c>
      <c r="P647" s="299">
        <f t="shared" si="41"/>
        <v>500</v>
      </c>
      <c r="Q647" s="40">
        <v>100</v>
      </c>
      <c r="R647" s="40">
        <v>10</v>
      </c>
      <c r="S647" s="40"/>
      <c r="T647" s="105">
        <f t="shared" si="40"/>
        <v>50</v>
      </c>
      <c r="U647" s="105">
        <f t="shared" si="42"/>
        <v>50</v>
      </c>
      <c r="V647" s="104">
        <f>IFERROR(VLOOKUP(L647,'Raw material list'!$A$2:$S$3102,6,0),0)</f>
        <v>3.5000000000000001E-3</v>
      </c>
      <c r="W647" s="104">
        <f t="shared" si="43"/>
        <v>0.17500000000000002</v>
      </c>
    </row>
    <row r="648" spans="1:23" hidden="1" x14ac:dyDescent="0.55000000000000004">
      <c r="A648" s="41" t="s">
        <v>1506</v>
      </c>
      <c r="B648" s="41" t="s">
        <v>35</v>
      </c>
      <c r="C648" s="41" t="s">
        <v>10</v>
      </c>
      <c r="D648" s="58" t="s">
        <v>1508</v>
      </c>
      <c r="E648" s="58" t="s">
        <v>1507</v>
      </c>
      <c r="F648" s="58" t="s">
        <v>2079</v>
      </c>
      <c r="G648" s="41" t="s">
        <v>11</v>
      </c>
      <c r="H648" s="41" t="s">
        <v>1774</v>
      </c>
      <c r="I648" s="58"/>
      <c r="J648" s="58"/>
      <c r="K648" s="41" t="str">
        <f>IFERROR(VLOOKUP(L648,'Raw material list'!$A$3:$C$715,3,0),"")</f>
        <v>DRS1-978</v>
      </c>
      <c r="L648" s="58" t="s">
        <v>56</v>
      </c>
      <c r="M648" s="40" t="s">
        <v>156</v>
      </c>
      <c r="N648" s="40" t="str">
        <f>VLOOKUP(L648,'Raw material list'!$A$3:$E$715,5,0)</f>
        <v xml:space="preserve">Gram </v>
      </c>
      <c r="O648" s="40">
        <v>15</v>
      </c>
      <c r="P648" s="299">
        <f t="shared" si="41"/>
        <v>15</v>
      </c>
      <c r="Q648" s="40">
        <v>100</v>
      </c>
      <c r="R648" s="40">
        <v>10</v>
      </c>
      <c r="S648" s="40"/>
      <c r="T648" s="105">
        <f t="shared" si="40"/>
        <v>1.5</v>
      </c>
      <c r="U648" s="105">
        <f t="shared" si="42"/>
        <v>1.5</v>
      </c>
      <c r="V648" s="104">
        <f>IFERROR(VLOOKUP(L648,'Raw material list'!$A$2:$S$3102,6,0),0)</f>
        <v>2.3999999999999998E-3</v>
      </c>
      <c r="W648" s="104">
        <f t="shared" si="43"/>
        <v>3.5999999999999999E-3</v>
      </c>
    </row>
    <row r="649" spans="1:23" hidden="1" x14ac:dyDescent="0.55000000000000004">
      <c r="A649" s="41" t="s">
        <v>1506</v>
      </c>
      <c r="B649" s="41" t="s">
        <v>35</v>
      </c>
      <c r="C649" s="41" t="s">
        <v>10</v>
      </c>
      <c r="D649" s="58" t="s">
        <v>1508</v>
      </c>
      <c r="E649" s="58" t="s">
        <v>1507</v>
      </c>
      <c r="F649" s="58" t="s">
        <v>2079</v>
      </c>
      <c r="G649" s="41" t="s">
        <v>11</v>
      </c>
      <c r="H649" s="41" t="s">
        <v>1774</v>
      </c>
      <c r="I649" s="58"/>
      <c r="J649" s="58"/>
      <c r="K649" s="41" t="str">
        <f>IFERROR(VLOOKUP(L649,'Raw material list'!$A$3:$C$715,3,0),"")</f>
        <v>TAP-00001</v>
      </c>
      <c r="L649" s="58" t="s">
        <v>1405</v>
      </c>
      <c r="M649" s="40" t="s">
        <v>206</v>
      </c>
      <c r="N649" s="40" t="str">
        <f>VLOOKUP(L649,'Raw material list'!$A$3:$E$715,5,0)</f>
        <v>Ml</v>
      </c>
      <c r="O649" s="40">
        <v>1000</v>
      </c>
      <c r="P649" s="299">
        <f t="shared" si="41"/>
        <v>1000</v>
      </c>
      <c r="Q649" s="40">
        <v>100</v>
      </c>
      <c r="R649" s="40">
        <v>10</v>
      </c>
      <c r="S649" s="40"/>
      <c r="T649" s="105">
        <f t="shared" si="40"/>
        <v>100</v>
      </c>
      <c r="U649" s="105">
        <f t="shared" si="42"/>
        <v>100</v>
      </c>
      <c r="V649" s="104">
        <f>IFERROR(VLOOKUP(L649,'Raw material list'!$A$2:$S$3102,6,0),0)</f>
        <v>8.0000000000000007E-5</v>
      </c>
      <c r="W649" s="104">
        <f t="shared" si="43"/>
        <v>8.0000000000000002E-3</v>
      </c>
    </row>
    <row r="650" spans="1:23" hidden="1" x14ac:dyDescent="0.55000000000000004">
      <c r="A650" s="41" t="s">
        <v>1506</v>
      </c>
      <c r="B650" s="41" t="s">
        <v>35</v>
      </c>
      <c r="C650" s="41" t="s">
        <v>10</v>
      </c>
      <c r="D650" s="58" t="s">
        <v>1508</v>
      </c>
      <c r="E650" s="58" t="s">
        <v>1507</v>
      </c>
      <c r="F650" s="58" t="s">
        <v>2079</v>
      </c>
      <c r="G650" s="41" t="s">
        <v>11</v>
      </c>
      <c r="H650" s="41" t="s">
        <v>1774</v>
      </c>
      <c r="I650" s="58"/>
      <c r="J650" s="58"/>
      <c r="K650" s="41" t="str">
        <f>IFERROR(VLOOKUP(L650,'Raw material list'!$A$3:$C$715,3,0),"")</f>
        <v>DRS1-3880</v>
      </c>
      <c r="L650" s="58" t="s">
        <v>1433</v>
      </c>
      <c r="M650" s="40" t="s">
        <v>156</v>
      </c>
      <c r="N650" s="40" t="str">
        <f>VLOOKUP(L650,'Raw material list'!$A$3:$E$715,5,0)</f>
        <v xml:space="preserve">Gram </v>
      </c>
      <c r="O650" s="40">
        <v>5</v>
      </c>
      <c r="P650" s="299">
        <f t="shared" si="41"/>
        <v>5</v>
      </c>
      <c r="Q650" s="40">
        <v>100</v>
      </c>
      <c r="R650" s="40">
        <v>10</v>
      </c>
      <c r="S650" s="40"/>
      <c r="T650" s="105">
        <f t="shared" si="40"/>
        <v>0.5</v>
      </c>
      <c r="U650" s="105">
        <f t="shared" si="42"/>
        <v>0.5</v>
      </c>
      <c r="V650" s="104">
        <f>IFERROR(VLOOKUP(L650,'Raw material list'!$A$2:$S$3102,6,0),0)</f>
        <v>5.0000000000000001E-4</v>
      </c>
      <c r="W650" s="104">
        <f t="shared" si="43"/>
        <v>2.5000000000000001E-4</v>
      </c>
    </row>
    <row r="651" spans="1:23" hidden="1" x14ac:dyDescent="0.55000000000000004">
      <c r="A651" s="41" t="s">
        <v>1506</v>
      </c>
      <c r="B651" s="41" t="s">
        <v>35</v>
      </c>
      <c r="C651" s="41" t="s">
        <v>10</v>
      </c>
      <c r="D651" s="58" t="s">
        <v>1508</v>
      </c>
      <c r="E651" s="58" t="s">
        <v>1507</v>
      </c>
      <c r="F651" s="58" t="s">
        <v>2079</v>
      </c>
      <c r="G651" s="41" t="s">
        <v>11</v>
      </c>
      <c r="H651" s="41" t="s">
        <v>1774</v>
      </c>
      <c r="I651" s="58"/>
      <c r="J651" s="58"/>
      <c r="K651" s="41" t="str">
        <f>IFERROR(VLOOKUP(L651,'Raw material list'!$A$3:$C$715,3,0),"")</f>
        <v>DRS5-21</v>
      </c>
      <c r="L651" s="58" t="s">
        <v>55</v>
      </c>
      <c r="M651" s="40" t="s">
        <v>156</v>
      </c>
      <c r="N651" s="40" t="str">
        <f>VLOOKUP(L651,'Raw material list'!$A$3:$E$715,5,0)</f>
        <v xml:space="preserve">Gram </v>
      </c>
      <c r="O651" s="40">
        <v>40</v>
      </c>
      <c r="P651" s="299">
        <f t="shared" si="41"/>
        <v>40</v>
      </c>
      <c r="Q651" s="40">
        <v>100</v>
      </c>
      <c r="R651" s="40">
        <v>10</v>
      </c>
      <c r="S651" s="40"/>
      <c r="T651" s="105">
        <f t="shared" si="40"/>
        <v>4</v>
      </c>
      <c r="U651" s="105">
        <f t="shared" si="42"/>
        <v>4</v>
      </c>
      <c r="V651" s="104">
        <f>IFERROR(VLOOKUP(L651,'Raw material list'!$A$2:$S$3102,6,0),0)</f>
        <v>2.0799999999999998E-3</v>
      </c>
      <c r="W651" s="104">
        <f t="shared" si="43"/>
        <v>8.3199999999999993E-3</v>
      </c>
    </row>
    <row r="652" spans="1:23" hidden="1" x14ac:dyDescent="0.55000000000000004">
      <c r="A652" s="41" t="s">
        <v>1506</v>
      </c>
      <c r="B652" s="41" t="s">
        <v>35</v>
      </c>
      <c r="C652" s="41" t="s">
        <v>10</v>
      </c>
      <c r="D652" s="58" t="s">
        <v>1508</v>
      </c>
      <c r="E652" s="58" t="s">
        <v>1507</v>
      </c>
      <c r="F652" s="58" t="s">
        <v>2079</v>
      </c>
      <c r="G652" s="41" t="s">
        <v>11</v>
      </c>
      <c r="H652" s="41" t="s">
        <v>1774</v>
      </c>
      <c r="I652" s="58"/>
      <c r="J652" s="58"/>
      <c r="K652" s="41" t="str">
        <f>IFERROR(VLOOKUP(L652,'Raw material list'!$A$3:$C$715,3,0),"")</f>
        <v>PRD1-395</v>
      </c>
      <c r="L652" s="58" t="s">
        <v>1036</v>
      </c>
      <c r="M652" s="40" t="s">
        <v>156</v>
      </c>
      <c r="N652" s="40" t="str">
        <f>VLOOKUP(L652,'Raw material list'!$A$3:$E$715,5,0)</f>
        <v xml:space="preserve">Gram </v>
      </c>
      <c r="O652" s="40">
        <v>80</v>
      </c>
      <c r="P652" s="299">
        <f t="shared" si="41"/>
        <v>149.53271028037383</v>
      </c>
      <c r="Q652" s="105">
        <v>53.5</v>
      </c>
      <c r="R652" s="40">
        <v>10</v>
      </c>
      <c r="S652" s="40"/>
      <c r="T652" s="105">
        <f t="shared" si="40"/>
        <v>8</v>
      </c>
      <c r="U652" s="105">
        <f t="shared" si="42"/>
        <v>14.953271028037383</v>
      </c>
      <c r="V652" s="104">
        <f>IFERROR(VLOOKUP(L652,'Raw material list'!$A$2:$S$3102,6,0),0)</f>
        <v>9.3457943925233621E-3</v>
      </c>
      <c r="W652" s="104">
        <f t="shared" si="43"/>
        <v>0.13975019652371382</v>
      </c>
    </row>
    <row r="653" spans="1:23" hidden="1" x14ac:dyDescent="0.55000000000000004">
      <c r="A653" s="41" t="s">
        <v>1506</v>
      </c>
      <c r="B653" s="41" t="s">
        <v>35</v>
      </c>
      <c r="C653" s="41" t="s">
        <v>10</v>
      </c>
      <c r="D653" s="58" t="s">
        <v>1508</v>
      </c>
      <c r="E653" s="58" t="s">
        <v>1507</v>
      </c>
      <c r="F653" s="58" t="s">
        <v>2079</v>
      </c>
      <c r="G653" s="41" t="s">
        <v>11</v>
      </c>
      <c r="H653" s="41" t="s">
        <v>1774</v>
      </c>
      <c r="I653" s="58"/>
      <c r="J653" s="58"/>
      <c r="K653" s="41" t="str">
        <f>IFERROR(VLOOKUP(L653,'Raw material list'!$A$3:$C$715,3,0),"")</f>
        <v>DRS1-1547</v>
      </c>
      <c r="L653" s="58" t="s">
        <v>100</v>
      </c>
      <c r="M653" s="40" t="s">
        <v>206</v>
      </c>
      <c r="N653" s="40" t="str">
        <f>VLOOKUP(L653,'Raw material list'!$A$3:$E$715,5,0)</f>
        <v>Ml</v>
      </c>
      <c r="O653" s="40">
        <v>40</v>
      </c>
      <c r="P653" s="299">
        <f t="shared" si="41"/>
        <v>40</v>
      </c>
      <c r="Q653" s="300">
        <v>100</v>
      </c>
      <c r="R653" s="40">
        <v>10</v>
      </c>
      <c r="S653" s="40"/>
      <c r="T653" s="105">
        <f t="shared" si="40"/>
        <v>4</v>
      </c>
      <c r="U653" s="105">
        <f t="shared" si="42"/>
        <v>4</v>
      </c>
      <c r="V653" s="104">
        <f>IFERROR(VLOOKUP(L653,'Raw material list'!$A$2:$S$3102,6,0),0)</f>
        <v>2.3026315789473682E-3</v>
      </c>
      <c r="W653" s="104">
        <f t="shared" si="43"/>
        <v>9.2105263157894728E-3</v>
      </c>
    </row>
    <row r="654" spans="1:23" hidden="1" x14ac:dyDescent="0.55000000000000004">
      <c r="A654" s="41" t="s">
        <v>1506</v>
      </c>
      <c r="B654" s="41" t="s">
        <v>35</v>
      </c>
      <c r="C654" s="41" t="s">
        <v>10</v>
      </c>
      <c r="D654" s="58" t="s">
        <v>1508</v>
      </c>
      <c r="E654" s="58" t="s">
        <v>1507</v>
      </c>
      <c r="F654" s="58" t="s">
        <v>2079</v>
      </c>
      <c r="G654" s="41" t="s">
        <v>11</v>
      </c>
      <c r="H654" s="41" t="s">
        <v>1774</v>
      </c>
      <c r="I654" s="58"/>
      <c r="J654" s="58"/>
      <c r="K654" s="41" t="str">
        <f>IFERROR(VLOOKUP(L654,'Raw material list'!$A$3:$C$715,3,0),"")</f>
        <v>DRS1-927</v>
      </c>
      <c r="L654" s="58" t="s">
        <v>112</v>
      </c>
      <c r="M654" s="40" t="s">
        <v>156</v>
      </c>
      <c r="N654" s="40" t="str">
        <f>VLOOKUP(L654,'Raw material list'!$A$3:$E$715,5,0)</f>
        <v xml:space="preserve">Gram </v>
      </c>
      <c r="O654" s="40">
        <v>200</v>
      </c>
      <c r="P654" s="299">
        <f t="shared" si="41"/>
        <v>200</v>
      </c>
      <c r="Q654" s="40">
        <v>100</v>
      </c>
      <c r="R654" s="40">
        <v>10</v>
      </c>
      <c r="S654" s="40"/>
      <c r="T654" s="105">
        <f t="shared" si="40"/>
        <v>20</v>
      </c>
      <c r="U654" s="105">
        <f t="shared" si="42"/>
        <v>20</v>
      </c>
      <c r="V654" s="104">
        <f>IFERROR(VLOOKUP(L654,'Raw material list'!$A$2:$S$3102,6,0),0)</f>
        <v>7.6491803278688521E-3</v>
      </c>
      <c r="W654" s="104">
        <f t="shared" si="43"/>
        <v>0.15298360655737703</v>
      </c>
    </row>
    <row r="655" spans="1:23" hidden="1" x14ac:dyDescent="0.55000000000000004">
      <c r="A655" s="41" t="s">
        <v>1506</v>
      </c>
      <c r="B655" s="41" t="s">
        <v>35</v>
      </c>
      <c r="C655" s="41" t="s">
        <v>10</v>
      </c>
      <c r="D655" s="58" t="s">
        <v>1508</v>
      </c>
      <c r="E655" s="58" t="s">
        <v>1507</v>
      </c>
      <c r="F655" s="58" t="s">
        <v>2079</v>
      </c>
      <c r="G655" s="41" t="s">
        <v>11</v>
      </c>
      <c r="H655" s="41" t="s">
        <v>1774</v>
      </c>
      <c r="I655" s="58"/>
      <c r="J655" s="58"/>
      <c r="K655" s="41" t="str">
        <f>IFERROR(VLOOKUP(L655,'Raw material list'!$A$3:$C$715,3,0),"")</f>
        <v>PRD1-239</v>
      </c>
      <c r="L655" s="58" t="s">
        <v>1056</v>
      </c>
      <c r="M655" s="40" t="s">
        <v>156</v>
      </c>
      <c r="N655" s="40" t="str">
        <f>VLOOKUP(L655,'Raw material list'!$A$3:$E$715,5,0)</f>
        <v xml:space="preserve">Gram </v>
      </c>
      <c r="O655" s="40">
        <v>100</v>
      </c>
      <c r="P655" s="299">
        <f t="shared" si="41"/>
        <v>148.51485148514854</v>
      </c>
      <c r="Q655" s="105">
        <v>67.333333333333329</v>
      </c>
      <c r="R655" s="40">
        <v>10</v>
      </c>
      <c r="S655" s="40"/>
      <c r="T655" s="105">
        <f t="shared" si="40"/>
        <v>10</v>
      </c>
      <c r="U655" s="105">
        <f t="shared" si="42"/>
        <v>14.851485148514854</v>
      </c>
      <c r="V655" s="104">
        <f>IFERROR(VLOOKUP(L655,'Raw material list'!$A$2:$S$3102,6,0),0)</f>
        <v>6.6864784546805346E-3</v>
      </c>
      <c r="W655" s="104">
        <f t="shared" si="43"/>
        <v>9.9304135465552515E-2</v>
      </c>
    </row>
    <row r="656" spans="1:23" hidden="1" x14ac:dyDescent="0.55000000000000004">
      <c r="A656" s="41" t="s">
        <v>1506</v>
      </c>
      <c r="B656" s="41" t="s">
        <v>35</v>
      </c>
      <c r="C656" s="41" t="s">
        <v>10</v>
      </c>
      <c r="D656" s="58" t="s">
        <v>1508</v>
      </c>
      <c r="E656" s="58" t="s">
        <v>1507</v>
      </c>
      <c r="F656" s="58" t="s">
        <v>2079</v>
      </c>
      <c r="G656" s="41" t="s">
        <v>11</v>
      </c>
      <c r="H656" s="41" t="s">
        <v>1774</v>
      </c>
      <c r="I656" s="58"/>
      <c r="J656" s="58"/>
      <c r="K656" s="41" t="str">
        <f>IFERROR(VLOOKUP(L656,'Raw material list'!$A$3:$C$715,3,0),"")</f>
        <v>PRD1-241</v>
      </c>
      <c r="L656" s="58" t="s">
        <v>1059</v>
      </c>
      <c r="M656" s="40" t="s">
        <v>156</v>
      </c>
      <c r="N656" s="40" t="str">
        <f>VLOOKUP(L656,'Raw material list'!$A$3:$E$715,5,0)</f>
        <v xml:space="preserve">Gram </v>
      </c>
      <c r="O656" s="40">
        <v>100</v>
      </c>
      <c r="P656" s="299">
        <f t="shared" si="41"/>
        <v>146.55593551538837</v>
      </c>
      <c r="Q656" s="105">
        <v>68.233333333333334</v>
      </c>
      <c r="R656" s="40">
        <v>10</v>
      </c>
      <c r="S656" s="40"/>
      <c r="T656" s="105">
        <f t="shared" si="40"/>
        <v>10</v>
      </c>
      <c r="U656" s="105">
        <f t="shared" si="42"/>
        <v>14.655593551538837</v>
      </c>
      <c r="V656" s="104">
        <f>IFERROR(VLOOKUP(L656,'Raw material list'!$A$2:$S$3102,6,0),0)</f>
        <v>1.3196480938416421E-2</v>
      </c>
      <c r="W656" s="104">
        <f t="shared" si="43"/>
        <v>0.19340226094406088</v>
      </c>
    </row>
    <row r="657" spans="1:23" hidden="1" x14ac:dyDescent="0.55000000000000004">
      <c r="A657" s="41" t="s">
        <v>1506</v>
      </c>
      <c r="B657" s="41" t="s">
        <v>35</v>
      </c>
      <c r="C657" s="41" t="s">
        <v>10</v>
      </c>
      <c r="D657" s="58" t="s">
        <v>1508</v>
      </c>
      <c r="E657" s="58" t="s">
        <v>1507</v>
      </c>
      <c r="F657" s="58" t="s">
        <v>2079</v>
      </c>
      <c r="G657" s="41" t="s">
        <v>11</v>
      </c>
      <c r="H657" s="41" t="s">
        <v>1774</v>
      </c>
      <c r="I657" s="58"/>
      <c r="J657" s="58"/>
      <c r="K657" s="41" t="str">
        <f>IFERROR(VLOOKUP(L657,'Raw material list'!$A$3:$C$715,3,0),"")</f>
        <v>DRS4-498</v>
      </c>
      <c r="L657" s="58" t="s">
        <v>72</v>
      </c>
      <c r="M657" s="40" t="s">
        <v>156</v>
      </c>
      <c r="N657" s="40" t="str">
        <f>VLOOKUP(L657,'Raw material list'!$A$3:$E$715,5,0)</f>
        <v xml:space="preserve">Gram </v>
      </c>
      <c r="O657" s="40">
        <v>1000</v>
      </c>
      <c r="P657" s="299">
        <f t="shared" si="41"/>
        <v>1000</v>
      </c>
      <c r="Q657" s="300">
        <v>100</v>
      </c>
      <c r="R657" s="40">
        <v>10</v>
      </c>
      <c r="S657" s="40"/>
      <c r="T657" s="105">
        <f t="shared" si="40"/>
        <v>100</v>
      </c>
      <c r="U657" s="105">
        <f t="shared" si="42"/>
        <v>100</v>
      </c>
      <c r="V657" s="104">
        <f>IFERROR(VLOOKUP(L657,'Raw material list'!$A$2:$S$3102,6,0),0)</f>
        <v>5.7499999999999999E-3</v>
      </c>
      <c r="W657" s="104">
        <f t="shared" si="43"/>
        <v>0.57499999999999996</v>
      </c>
    </row>
    <row r="658" spans="1:23" hidden="1" x14ac:dyDescent="0.55000000000000004">
      <c r="A658" s="41" t="s">
        <v>1506</v>
      </c>
      <c r="B658" s="41" t="s">
        <v>35</v>
      </c>
      <c r="C658" s="41" t="s">
        <v>10</v>
      </c>
      <c r="D658" s="58" t="s">
        <v>1508</v>
      </c>
      <c r="E658" s="58" t="s">
        <v>1507</v>
      </c>
      <c r="F658" s="58" t="s">
        <v>2079</v>
      </c>
      <c r="G658" s="41" t="s">
        <v>11</v>
      </c>
      <c r="H658" s="41" t="s">
        <v>1774</v>
      </c>
      <c r="I658" s="58"/>
      <c r="J658" s="58"/>
      <c r="K658" s="41" t="str">
        <f>IFERROR(VLOOKUP(L658,'Raw material list'!$A$3:$C$715,3,0),"")</f>
        <v>DRS1-3880</v>
      </c>
      <c r="L658" s="58" t="s">
        <v>1433</v>
      </c>
      <c r="M658" s="40" t="s">
        <v>156</v>
      </c>
      <c r="N658" s="40" t="str">
        <f>VLOOKUP(L658,'Raw material list'!$A$3:$E$715,5,0)</f>
        <v xml:space="preserve">Gram </v>
      </c>
      <c r="O658" s="40">
        <v>10</v>
      </c>
      <c r="P658" s="299">
        <f t="shared" si="41"/>
        <v>10</v>
      </c>
      <c r="Q658" s="40">
        <v>100</v>
      </c>
      <c r="R658" s="40">
        <v>10</v>
      </c>
      <c r="S658" s="40"/>
      <c r="T658" s="105">
        <f t="shared" si="40"/>
        <v>1</v>
      </c>
      <c r="U658" s="105">
        <f t="shared" si="42"/>
        <v>1</v>
      </c>
      <c r="V658" s="104">
        <f>IFERROR(VLOOKUP(L658,'Raw material list'!$A$2:$S$3102,6,0),0)</f>
        <v>5.0000000000000001E-4</v>
      </c>
      <c r="W658" s="104">
        <f t="shared" si="43"/>
        <v>5.0000000000000001E-4</v>
      </c>
    </row>
    <row r="659" spans="1:23" hidden="1" x14ac:dyDescent="0.55000000000000004">
      <c r="A659" s="41" t="s">
        <v>1506</v>
      </c>
      <c r="B659" s="41" t="s">
        <v>35</v>
      </c>
      <c r="C659" s="41" t="s">
        <v>10</v>
      </c>
      <c r="D659" s="58" t="s">
        <v>1508</v>
      </c>
      <c r="E659" s="58" t="s">
        <v>1507</v>
      </c>
      <c r="F659" s="58" t="s">
        <v>2079</v>
      </c>
      <c r="G659" s="41" t="s">
        <v>11</v>
      </c>
      <c r="H659" s="41" t="s">
        <v>1774</v>
      </c>
      <c r="I659" s="58"/>
      <c r="J659" s="58"/>
      <c r="K659" s="41" t="str">
        <f>IFERROR(VLOOKUP(L659,'Raw material list'!$A$3:$C$715,3,0),"")</f>
        <v>TAP-00001</v>
      </c>
      <c r="L659" s="58" t="s">
        <v>1405</v>
      </c>
      <c r="M659" s="40" t="s">
        <v>206</v>
      </c>
      <c r="N659" s="40" t="str">
        <f>VLOOKUP(L659,'Raw material list'!$A$3:$E$715,5,0)</f>
        <v>Ml</v>
      </c>
      <c r="O659" s="40">
        <v>1600</v>
      </c>
      <c r="P659" s="299">
        <f t="shared" si="41"/>
        <v>1600</v>
      </c>
      <c r="Q659" s="40">
        <v>100</v>
      </c>
      <c r="R659" s="40">
        <v>10</v>
      </c>
      <c r="S659" s="40"/>
      <c r="T659" s="105">
        <f t="shared" si="40"/>
        <v>160</v>
      </c>
      <c r="U659" s="105">
        <f t="shared" si="42"/>
        <v>160</v>
      </c>
      <c r="V659" s="104">
        <f>IFERROR(VLOOKUP(L659,'Raw material list'!$A$2:$S$3102,6,0),0)</f>
        <v>8.0000000000000007E-5</v>
      </c>
      <c r="W659" s="104">
        <f t="shared" si="43"/>
        <v>1.2800000000000001E-2</v>
      </c>
    </row>
    <row r="660" spans="1:23" hidden="1" x14ac:dyDescent="0.55000000000000004">
      <c r="A660" s="41" t="s">
        <v>1506</v>
      </c>
      <c r="B660" s="41" t="s">
        <v>35</v>
      </c>
      <c r="C660" s="41" t="s">
        <v>10</v>
      </c>
      <c r="D660" s="58" t="s">
        <v>1508</v>
      </c>
      <c r="E660" s="58" t="s">
        <v>1507</v>
      </c>
      <c r="F660" s="58" t="s">
        <v>2079</v>
      </c>
      <c r="G660" s="41" t="s">
        <v>11</v>
      </c>
      <c r="H660" s="41" t="s">
        <v>1774</v>
      </c>
      <c r="I660" s="58"/>
      <c r="J660" s="58"/>
      <c r="K660" s="41" t="str">
        <f>IFERROR(VLOOKUP(L660,'Raw material list'!$A$3:$C$715,3,0),"")</f>
        <v>DRS6-3593</v>
      </c>
      <c r="L660" s="58" t="s">
        <v>1407</v>
      </c>
      <c r="M660" s="40" t="s">
        <v>156</v>
      </c>
      <c r="N660" s="40" t="str">
        <f>VLOOKUP(L660,'Raw material list'!$A$3:$E$715,5,0)</f>
        <v xml:space="preserve">Gram </v>
      </c>
      <c r="O660" s="40">
        <v>1</v>
      </c>
      <c r="P660" s="299">
        <f t="shared" si="41"/>
        <v>1</v>
      </c>
      <c r="Q660" s="40">
        <v>100</v>
      </c>
      <c r="R660" s="40">
        <v>10</v>
      </c>
      <c r="S660" s="40"/>
      <c r="T660" s="105">
        <f t="shared" si="40"/>
        <v>0.1</v>
      </c>
      <c r="U660" s="105">
        <f t="shared" si="42"/>
        <v>0.1</v>
      </c>
      <c r="V660" s="104">
        <f>IFERROR(VLOOKUP(L660,'Raw material list'!$A$2:$S$3102,6,0),0)</f>
        <v>8.0000000000000002E-3</v>
      </c>
      <c r="W660" s="104">
        <f t="shared" si="43"/>
        <v>8.0000000000000004E-4</v>
      </c>
    </row>
    <row r="661" spans="1:23" hidden="1" x14ac:dyDescent="0.55000000000000004">
      <c r="A661" s="41" t="s">
        <v>1506</v>
      </c>
      <c r="B661" s="41" t="s">
        <v>35</v>
      </c>
      <c r="C661" s="41" t="s">
        <v>10</v>
      </c>
      <c r="D661" s="58" t="s">
        <v>1508</v>
      </c>
      <c r="E661" s="58" t="s">
        <v>1507</v>
      </c>
      <c r="F661" s="58" t="s">
        <v>2079</v>
      </c>
      <c r="G661" s="41" t="s">
        <v>11</v>
      </c>
      <c r="H661" s="41" t="s">
        <v>1774</v>
      </c>
      <c r="I661" s="58"/>
      <c r="J661" s="58"/>
      <c r="K661" s="41" t="str">
        <f>IFERROR(VLOOKUP(L661,'Raw material list'!$A$3:$C$715,3,0),"")</f>
        <v>DRS6-261</v>
      </c>
      <c r="L661" s="58" t="s">
        <v>1406</v>
      </c>
      <c r="M661" s="40" t="s">
        <v>156</v>
      </c>
      <c r="N661" s="40" t="str">
        <f>VLOOKUP(L661,'Raw material list'!$A$3:$E$715,5,0)</f>
        <v xml:space="preserve">Gram </v>
      </c>
      <c r="O661" s="40">
        <v>2</v>
      </c>
      <c r="P661" s="299">
        <f t="shared" si="41"/>
        <v>2</v>
      </c>
      <c r="Q661" s="40">
        <v>100</v>
      </c>
      <c r="R661" s="40">
        <v>10</v>
      </c>
      <c r="S661" s="40"/>
      <c r="T661" s="105">
        <f t="shared" si="40"/>
        <v>0.2</v>
      </c>
      <c r="U661" s="105">
        <f t="shared" si="42"/>
        <v>0.2</v>
      </c>
      <c r="V661" s="104">
        <f>IFERROR(VLOOKUP(L661,'Raw material list'!$A$2:$S$3102,6,0),0)</f>
        <v>1.4E-2</v>
      </c>
      <c r="W661" s="104">
        <f t="shared" si="43"/>
        <v>2.8000000000000004E-3</v>
      </c>
    </row>
    <row r="662" spans="1:23" hidden="1" x14ac:dyDescent="0.55000000000000004">
      <c r="A662" s="41" t="s">
        <v>1516</v>
      </c>
      <c r="B662" s="41" t="s">
        <v>35</v>
      </c>
      <c r="C662" s="41" t="s">
        <v>10</v>
      </c>
      <c r="D662" s="58" t="s">
        <v>1509</v>
      </c>
      <c r="E662" s="58" t="s">
        <v>1507</v>
      </c>
      <c r="F662" s="58" t="s">
        <v>2081</v>
      </c>
      <c r="G662" s="41" t="s">
        <v>11</v>
      </c>
      <c r="H662" s="41" t="s">
        <v>1774</v>
      </c>
      <c r="I662" s="58"/>
      <c r="J662" s="58"/>
      <c r="K662" s="41" t="str">
        <f>IFERROR(VLOOKUP(L662,'Raw material list'!$A$3:$C$715,3,0),"")</f>
        <v>MET2-1051</v>
      </c>
      <c r="L662" s="58" t="s">
        <v>113</v>
      </c>
      <c r="M662" s="40" t="s">
        <v>156</v>
      </c>
      <c r="N662" s="40" t="str">
        <f>VLOOKUP(L662,'Raw material list'!$A$3:$E$715,5,0)</f>
        <v xml:space="preserve">Gram </v>
      </c>
      <c r="O662" s="40">
        <v>1000</v>
      </c>
      <c r="P662" s="299">
        <f t="shared" si="41"/>
        <v>1945.525291828794</v>
      </c>
      <c r="Q662" s="40">
        <v>51.4</v>
      </c>
      <c r="R662" s="40">
        <v>10</v>
      </c>
      <c r="S662" s="40"/>
      <c r="T662" s="105">
        <f t="shared" si="40"/>
        <v>100</v>
      </c>
      <c r="U662" s="105">
        <f t="shared" si="42"/>
        <v>194.5525291828794</v>
      </c>
      <c r="V662" s="104">
        <f>IFERROR(VLOOKUP(L662,'Raw material list'!$A$2:$S$3102,6,0),0)</f>
        <v>8.4705882352941173E-2</v>
      </c>
      <c r="W662" s="104">
        <f t="shared" si="43"/>
        <v>16.479743648432137</v>
      </c>
    </row>
    <row r="663" spans="1:23" hidden="1" x14ac:dyDescent="0.55000000000000004">
      <c r="A663" s="41" t="s">
        <v>1516</v>
      </c>
      <c r="B663" s="41" t="s">
        <v>35</v>
      </c>
      <c r="C663" s="41" t="s">
        <v>10</v>
      </c>
      <c r="D663" s="58" t="str">
        <f t="shared" ref="D663:D679" si="44">D662</f>
        <v>Beef kaldereta with soft rice</v>
      </c>
      <c r="E663" s="58" t="s">
        <v>1507</v>
      </c>
      <c r="F663" s="58" t="s">
        <v>2079</v>
      </c>
      <c r="G663" s="41" t="s">
        <v>11</v>
      </c>
      <c r="H663" s="41" t="s">
        <v>1774</v>
      </c>
      <c r="I663" s="58"/>
      <c r="J663" s="58"/>
      <c r="K663" s="41" t="str">
        <f>IFERROR(VLOOKUP(L663,'Raw material list'!$A$3:$C$715,3,0),"")</f>
        <v>DRS3-1813</v>
      </c>
      <c r="L663" s="58" t="s">
        <v>69</v>
      </c>
      <c r="M663" s="40" t="s">
        <v>206</v>
      </c>
      <c r="N663" s="40" t="str">
        <f>VLOOKUP(L663,'Raw material list'!$A$3:$E$715,5,0)</f>
        <v>Ml</v>
      </c>
      <c r="O663" s="40">
        <v>40</v>
      </c>
      <c r="P663" s="299">
        <f t="shared" si="41"/>
        <v>40</v>
      </c>
      <c r="Q663" s="40">
        <v>100</v>
      </c>
      <c r="R663" s="40">
        <v>10</v>
      </c>
      <c r="S663" s="40"/>
      <c r="T663" s="105">
        <f t="shared" si="40"/>
        <v>4</v>
      </c>
      <c r="U663" s="105">
        <f t="shared" si="42"/>
        <v>4</v>
      </c>
      <c r="V663" s="104">
        <f>IFERROR(VLOOKUP(L663,'Raw material list'!$A$2:$S$3102,6,0),0)</f>
        <v>8.0555555555555554E-3</v>
      </c>
      <c r="W663" s="104">
        <f t="shared" si="43"/>
        <v>3.2222222222222222E-2</v>
      </c>
    </row>
    <row r="664" spans="1:23" hidden="1" x14ac:dyDescent="0.55000000000000004">
      <c r="A664" s="41" t="s">
        <v>1516</v>
      </c>
      <c r="B664" s="41" t="s">
        <v>35</v>
      </c>
      <c r="C664" s="41" t="s">
        <v>10</v>
      </c>
      <c r="D664" s="58" t="str">
        <f t="shared" si="44"/>
        <v>Beef kaldereta with soft rice</v>
      </c>
      <c r="E664" s="58" t="s">
        <v>1507</v>
      </c>
      <c r="F664" s="58" t="s">
        <v>2079</v>
      </c>
      <c r="G664" s="41" t="s">
        <v>11</v>
      </c>
      <c r="H664" s="41" t="s">
        <v>1774</v>
      </c>
      <c r="I664" s="58"/>
      <c r="J664" s="58"/>
      <c r="K664" s="41" t="str">
        <f>IFERROR(VLOOKUP(L664,'Raw material list'!$A$3:$C$715,3,0),"")</f>
        <v>PRD1-4327</v>
      </c>
      <c r="L664" s="58" t="s">
        <v>39</v>
      </c>
      <c r="M664" s="40" t="s">
        <v>156</v>
      </c>
      <c r="N664" s="40" t="str">
        <f>VLOOKUP(L664,'Raw material list'!$A$3:$E$715,5,0)</f>
        <v xml:space="preserve">Gram </v>
      </c>
      <c r="O664" s="40">
        <v>20</v>
      </c>
      <c r="P664" s="299">
        <f t="shared" si="41"/>
        <v>24.096385542168676</v>
      </c>
      <c r="Q664" s="105">
        <v>83</v>
      </c>
      <c r="R664" s="40">
        <v>10</v>
      </c>
      <c r="S664" s="40"/>
      <c r="T664" s="105">
        <f t="shared" si="40"/>
        <v>2</v>
      </c>
      <c r="U664" s="105">
        <f t="shared" si="42"/>
        <v>2.4096385542168677</v>
      </c>
      <c r="V664" s="104">
        <f>IFERROR(VLOOKUP(L664,'Raw material list'!$A$2:$S$3102,6,0),0)</f>
        <v>1.2999999999999999E-2</v>
      </c>
      <c r="W664" s="104">
        <f t="shared" si="43"/>
        <v>3.1325301204819279E-2</v>
      </c>
    </row>
    <row r="665" spans="1:23" hidden="1" x14ac:dyDescent="0.55000000000000004">
      <c r="A665" s="41" t="s">
        <v>1516</v>
      </c>
      <c r="B665" s="41" t="s">
        <v>35</v>
      </c>
      <c r="C665" s="41" t="s">
        <v>10</v>
      </c>
      <c r="D665" s="58" t="str">
        <f t="shared" si="44"/>
        <v>Beef kaldereta with soft rice</v>
      </c>
      <c r="E665" s="58" t="s">
        <v>1507</v>
      </c>
      <c r="F665" s="58" t="s">
        <v>2079</v>
      </c>
      <c r="G665" s="41" t="s">
        <v>11</v>
      </c>
      <c r="H665" s="41" t="s">
        <v>1774</v>
      </c>
      <c r="I665" s="58"/>
      <c r="J665" s="58"/>
      <c r="K665" s="41" t="str">
        <f>IFERROR(VLOOKUP(L665,'Raw material list'!$A$3:$C$715,3,0),"")</f>
        <v>PRD1-204</v>
      </c>
      <c r="L665" s="58" t="s">
        <v>81</v>
      </c>
      <c r="M665" s="40" t="s">
        <v>156</v>
      </c>
      <c r="N665" s="40" t="str">
        <f>VLOOKUP(L665,'Raw material list'!$A$3:$E$715,5,0)</f>
        <v xml:space="preserve">Gram </v>
      </c>
      <c r="O665" s="40">
        <v>25</v>
      </c>
      <c r="P665" s="299">
        <f t="shared" si="41"/>
        <v>30.120481927710845</v>
      </c>
      <c r="Q665" s="105">
        <v>83</v>
      </c>
      <c r="R665" s="40">
        <v>10</v>
      </c>
      <c r="S665" s="40"/>
      <c r="T665" s="105">
        <f t="shared" si="40"/>
        <v>2.5</v>
      </c>
      <c r="U665" s="105">
        <f t="shared" si="42"/>
        <v>3.0120481927710845</v>
      </c>
      <c r="V665" s="104">
        <f>IFERROR(VLOOKUP(L665,'Raw material list'!$A$2:$S$3102,6,0),0)</f>
        <v>8.4337349397590362E-3</v>
      </c>
      <c r="W665" s="104">
        <f t="shared" si="43"/>
        <v>2.5402816083611557E-2</v>
      </c>
    </row>
    <row r="666" spans="1:23" hidden="1" x14ac:dyDescent="0.55000000000000004">
      <c r="A666" s="41" t="s">
        <v>1516</v>
      </c>
      <c r="B666" s="41" t="s">
        <v>35</v>
      </c>
      <c r="C666" s="41" t="s">
        <v>10</v>
      </c>
      <c r="D666" s="58" t="str">
        <f t="shared" si="44"/>
        <v>Beef kaldereta with soft rice</v>
      </c>
      <c r="E666" s="58" t="s">
        <v>1507</v>
      </c>
      <c r="F666" s="58" t="s">
        <v>2079</v>
      </c>
      <c r="G666" s="41" t="s">
        <v>11</v>
      </c>
      <c r="H666" s="41" t="s">
        <v>1774</v>
      </c>
      <c r="I666" s="58"/>
      <c r="J666" s="58"/>
      <c r="K666" s="41" t="str">
        <f>IFERROR(VLOOKUP(L666,'Raw material list'!$A$3:$C$715,3,0),"")</f>
        <v>DRS1-3912</v>
      </c>
      <c r="L666" s="58" t="s">
        <v>798</v>
      </c>
      <c r="M666" s="40" t="s">
        <v>206</v>
      </c>
      <c r="N666" s="40" t="str">
        <f>VLOOKUP(L666,'Raw material list'!$A$3:$E$715,5,0)</f>
        <v>Ml</v>
      </c>
      <c r="O666" s="40">
        <v>50</v>
      </c>
      <c r="P666" s="299">
        <f t="shared" si="41"/>
        <v>50</v>
      </c>
      <c r="Q666" s="300">
        <v>100</v>
      </c>
      <c r="R666" s="40">
        <v>10</v>
      </c>
      <c r="S666" s="40"/>
      <c r="T666" s="105">
        <f t="shared" si="40"/>
        <v>5</v>
      </c>
      <c r="U666" s="105">
        <f t="shared" si="42"/>
        <v>5</v>
      </c>
      <c r="V666" s="104">
        <f>IFERROR(VLOOKUP(L666,'Raw material list'!$A$2:$S$3102,6,0),0)</f>
        <v>1.4731707317073172E-2</v>
      </c>
      <c r="W666" s="104">
        <f t="shared" si="43"/>
        <v>7.3658536585365864E-2</v>
      </c>
    </row>
    <row r="667" spans="1:23" hidden="1" x14ac:dyDescent="0.55000000000000004">
      <c r="A667" s="41" t="s">
        <v>1516</v>
      </c>
      <c r="B667" s="41" t="s">
        <v>35</v>
      </c>
      <c r="C667" s="41" t="s">
        <v>10</v>
      </c>
      <c r="D667" s="58" t="str">
        <f t="shared" si="44"/>
        <v>Beef kaldereta with soft rice</v>
      </c>
      <c r="E667" s="58" t="s">
        <v>1507</v>
      </c>
      <c r="F667" s="58" t="s">
        <v>2079</v>
      </c>
      <c r="G667" s="41" t="s">
        <v>11</v>
      </c>
      <c r="H667" s="41" t="s">
        <v>1774</v>
      </c>
      <c r="I667" s="58"/>
      <c r="J667" s="58"/>
      <c r="K667" s="41" t="str">
        <f>IFERROR(VLOOKUP(L667,'Raw material list'!$A$3:$C$715,3,0),"")</f>
        <v>DRS6-3593</v>
      </c>
      <c r="L667" s="58" t="s">
        <v>1407</v>
      </c>
      <c r="M667" s="40" t="s">
        <v>156</v>
      </c>
      <c r="N667" s="40" t="str">
        <f>VLOOKUP(L667,'Raw material list'!$A$3:$E$715,5,0)</f>
        <v xml:space="preserve">Gram </v>
      </c>
      <c r="O667" s="40">
        <v>1</v>
      </c>
      <c r="P667" s="299">
        <f t="shared" si="41"/>
        <v>1</v>
      </c>
      <c r="Q667" s="40">
        <v>100</v>
      </c>
      <c r="R667" s="40">
        <v>10</v>
      </c>
      <c r="S667" s="40"/>
      <c r="T667" s="105">
        <f t="shared" si="40"/>
        <v>0.1</v>
      </c>
      <c r="U667" s="105">
        <f t="shared" si="42"/>
        <v>0.1</v>
      </c>
      <c r="V667" s="104">
        <f>IFERROR(VLOOKUP(L667,'Raw material list'!$A$2:$S$3102,6,0),0)</f>
        <v>8.0000000000000002E-3</v>
      </c>
      <c r="W667" s="104">
        <f t="shared" si="43"/>
        <v>8.0000000000000004E-4</v>
      </c>
    </row>
    <row r="668" spans="1:23" hidden="1" x14ac:dyDescent="0.55000000000000004">
      <c r="A668" s="41" t="s">
        <v>1516</v>
      </c>
      <c r="B668" s="41" t="s">
        <v>35</v>
      </c>
      <c r="C668" s="41" t="s">
        <v>10</v>
      </c>
      <c r="D668" s="58" t="str">
        <f t="shared" si="44"/>
        <v>Beef kaldereta with soft rice</v>
      </c>
      <c r="E668" s="58" t="s">
        <v>1507</v>
      </c>
      <c r="F668" s="58" t="s">
        <v>2079</v>
      </c>
      <c r="G668" s="41" t="s">
        <v>11</v>
      </c>
      <c r="H668" s="41" t="s">
        <v>1774</v>
      </c>
      <c r="I668" s="58"/>
      <c r="J668" s="58"/>
      <c r="K668" s="41" t="str">
        <f>IFERROR(VLOOKUP(L668,'Raw material list'!$A$3:$C$715,3,0),"")</f>
        <v>DRS1-978</v>
      </c>
      <c r="L668" s="58" t="s">
        <v>56</v>
      </c>
      <c r="M668" s="40" t="s">
        <v>156</v>
      </c>
      <c r="N668" s="40" t="str">
        <f>VLOOKUP(L668,'Raw material list'!$A$3:$E$715,5,0)</f>
        <v xml:space="preserve">Gram </v>
      </c>
      <c r="O668" s="40">
        <v>30</v>
      </c>
      <c r="P668" s="299">
        <f t="shared" si="41"/>
        <v>30</v>
      </c>
      <c r="Q668" s="40">
        <v>100</v>
      </c>
      <c r="R668" s="40">
        <v>10</v>
      </c>
      <c r="S668" s="40"/>
      <c r="T668" s="105">
        <f t="shared" si="40"/>
        <v>3</v>
      </c>
      <c r="U668" s="105">
        <f t="shared" si="42"/>
        <v>3</v>
      </c>
      <c r="V668" s="104">
        <f>IFERROR(VLOOKUP(L668,'Raw material list'!$A$2:$S$3102,6,0),0)</f>
        <v>2.3999999999999998E-3</v>
      </c>
      <c r="W668" s="104">
        <f t="shared" si="43"/>
        <v>7.1999999999999998E-3</v>
      </c>
    </row>
    <row r="669" spans="1:23" hidden="1" x14ac:dyDescent="0.55000000000000004">
      <c r="A669" s="41" t="s">
        <v>1516</v>
      </c>
      <c r="B669" s="41" t="s">
        <v>35</v>
      </c>
      <c r="C669" s="41" t="s">
        <v>10</v>
      </c>
      <c r="D669" s="58" t="str">
        <f t="shared" si="44"/>
        <v>Beef kaldereta with soft rice</v>
      </c>
      <c r="E669" s="58" t="s">
        <v>1507</v>
      </c>
      <c r="F669" s="58" t="s">
        <v>2079</v>
      </c>
      <c r="G669" s="41" t="s">
        <v>11</v>
      </c>
      <c r="H669" s="41" t="s">
        <v>1774</v>
      </c>
      <c r="I669" s="58"/>
      <c r="J669" s="58"/>
      <c r="K669" s="41" t="str">
        <f>IFERROR(VLOOKUP(L669,'Raw material list'!$A$3:$C$715,3,0),"")</f>
        <v>DRS1-1747</v>
      </c>
      <c r="L669" s="58" t="s">
        <v>44</v>
      </c>
      <c r="M669" s="40" t="s">
        <v>156</v>
      </c>
      <c r="N669" s="40" t="str">
        <f>VLOOKUP(L669,'Raw material list'!$A$3:$E$715,5,0)</f>
        <v xml:space="preserve">Gram </v>
      </c>
      <c r="O669" s="40">
        <v>100</v>
      </c>
      <c r="P669" s="299">
        <f t="shared" si="41"/>
        <v>100</v>
      </c>
      <c r="Q669" s="40">
        <v>100</v>
      </c>
      <c r="R669" s="40">
        <v>10</v>
      </c>
      <c r="S669" s="40"/>
      <c r="T669" s="105">
        <f t="shared" si="40"/>
        <v>10</v>
      </c>
      <c r="U669" s="105">
        <f t="shared" si="42"/>
        <v>10</v>
      </c>
      <c r="V669" s="104">
        <f>IFERROR(VLOOKUP(L669,'Raw material list'!$A$2:$S$3102,6,0),0)</f>
        <v>5.185185185185185E-3</v>
      </c>
      <c r="W669" s="104">
        <f t="shared" si="43"/>
        <v>5.185185185185185E-2</v>
      </c>
    </row>
    <row r="670" spans="1:23" hidden="1" x14ac:dyDescent="0.55000000000000004">
      <c r="A670" s="41" t="s">
        <v>1516</v>
      </c>
      <c r="B670" s="41" t="s">
        <v>35</v>
      </c>
      <c r="C670" s="41" t="s">
        <v>10</v>
      </c>
      <c r="D670" s="58" t="str">
        <f t="shared" si="44"/>
        <v>Beef kaldereta with soft rice</v>
      </c>
      <c r="E670" s="58" t="s">
        <v>1507</v>
      </c>
      <c r="F670" s="58" t="s">
        <v>2079</v>
      </c>
      <c r="G670" s="41" t="s">
        <v>11</v>
      </c>
      <c r="H670" s="41" t="s">
        <v>1774</v>
      </c>
      <c r="I670" s="58"/>
      <c r="J670" s="58"/>
      <c r="K670" s="41" t="str">
        <f>IFERROR(VLOOKUP(L670,'Raw material list'!$A$3:$C$715,3,0),"")</f>
        <v>TAP-00001</v>
      </c>
      <c r="L670" s="58" t="s">
        <v>1405</v>
      </c>
      <c r="M670" s="40" t="s">
        <v>206</v>
      </c>
      <c r="N670" s="40" t="str">
        <f>VLOOKUP(L670,'Raw material list'!$A$3:$E$715,5,0)</f>
        <v>Ml</v>
      </c>
      <c r="O670" s="40">
        <v>1800</v>
      </c>
      <c r="P670" s="299">
        <f t="shared" si="41"/>
        <v>1800</v>
      </c>
      <c r="Q670" s="40">
        <v>100</v>
      </c>
      <c r="R670" s="40">
        <v>10</v>
      </c>
      <c r="S670" s="40"/>
      <c r="T670" s="105">
        <f t="shared" si="40"/>
        <v>180</v>
      </c>
      <c r="U670" s="105">
        <f t="shared" si="42"/>
        <v>180</v>
      </c>
      <c r="V670" s="104">
        <f>IFERROR(VLOOKUP(L670,'Raw material list'!$A$2:$S$3102,6,0),0)</f>
        <v>8.0000000000000007E-5</v>
      </c>
      <c r="W670" s="104">
        <f t="shared" si="43"/>
        <v>1.4400000000000001E-2</v>
      </c>
    </row>
    <row r="671" spans="1:23" hidden="1" x14ac:dyDescent="0.55000000000000004">
      <c r="A671" s="41" t="s">
        <v>1516</v>
      </c>
      <c r="B671" s="41" t="s">
        <v>35</v>
      </c>
      <c r="C671" s="41" t="s">
        <v>10</v>
      </c>
      <c r="D671" s="58" t="str">
        <f t="shared" si="44"/>
        <v>Beef kaldereta with soft rice</v>
      </c>
      <c r="E671" s="58" t="s">
        <v>1507</v>
      </c>
      <c r="F671" s="58" t="s">
        <v>2079</v>
      </c>
      <c r="G671" s="41" t="s">
        <v>11</v>
      </c>
      <c r="H671" s="41" t="s">
        <v>1774</v>
      </c>
      <c r="I671" s="58"/>
      <c r="J671" s="58"/>
      <c r="K671" s="41" t="str">
        <f>IFERROR(VLOOKUP(L671,'Raw material list'!$A$3:$C$715,3,0),"")</f>
        <v>PRD1-240</v>
      </c>
      <c r="L671" s="58" t="s">
        <v>82</v>
      </c>
      <c r="M671" s="40" t="s">
        <v>156</v>
      </c>
      <c r="N671" s="40" t="str">
        <f>VLOOKUP(L671,'Raw material list'!$A$3:$E$715,5,0)</f>
        <v xml:space="preserve">Gram </v>
      </c>
      <c r="O671" s="40">
        <v>100</v>
      </c>
      <c r="P671" s="299">
        <f t="shared" si="41"/>
        <v>147.78325123152712</v>
      </c>
      <c r="Q671" s="105">
        <v>67.666666666666657</v>
      </c>
      <c r="R671" s="40">
        <v>10</v>
      </c>
      <c r="S671" s="40"/>
      <c r="T671" s="105">
        <f t="shared" si="40"/>
        <v>10</v>
      </c>
      <c r="U671" s="105">
        <f t="shared" si="42"/>
        <v>14.778325123152712</v>
      </c>
      <c r="V671" s="104">
        <f>IFERROR(VLOOKUP(L671,'Raw material list'!$A$2:$S$3102,6,0),0)</f>
        <v>1.3293943870014769E-2</v>
      </c>
      <c r="W671" s="104">
        <f t="shared" si="43"/>
        <v>0.19646222468002125</v>
      </c>
    </row>
    <row r="672" spans="1:23" hidden="1" x14ac:dyDescent="0.55000000000000004">
      <c r="A672" s="41" t="s">
        <v>1516</v>
      </c>
      <c r="B672" s="41" t="s">
        <v>35</v>
      </c>
      <c r="C672" s="41" t="s">
        <v>10</v>
      </c>
      <c r="D672" s="58" t="str">
        <f t="shared" si="44"/>
        <v>Beef kaldereta with soft rice</v>
      </c>
      <c r="E672" s="58" t="s">
        <v>1507</v>
      </c>
      <c r="F672" s="58" t="s">
        <v>2079</v>
      </c>
      <c r="G672" s="41" t="s">
        <v>11</v>
      </c>
      <c r="H672" s="41" t="s">
        <v>1774</v>
      </c>
      <c r="I672" s="58"/>
      <c r="J672" s="58"/>
      <c r="K672" s="41" t="str">
        <f>IFERROR(VLOOKUP(L672,'Raw material list'!$A$3:$C$715,3,0),"")</f>
        <v>PRD1-186</v>
      </c>
      <c r="L672" s="58" t="s">
        <v>37</v>
      </c>
      <c r="M672" s="40" t="s">
        <v>156</v>
      </c>
      <c r="N672" s="40" t="str">
        <f>VLOOKUP(L672,'Raw material list'!$A$3:$E$715,5,0)</f>
        <v xml:space="preserve">Gram </v>
      </c>
      <c r="O672" s="40">
        <v>300</v>
      </c>
      <c r="P672" s="299">
        <f t="shared" si="41"/>
        <v>367.34693877551018</v>
      </c>
      <c r="Q672" s="105">
        <v>81.666666666666671</v>
      </c>
      <c r="R672" s="40">
        <v>10</v>
      </c>
      <c r="S672" s="40"/>
      <c r="T672" s="105">
        <f t="shared" si="40"/>
        <v>30</v>
      </c>
      <c r="U672" s="105">
        <f t="shared" si="42"/>
        <v>36.734693877551017</v>
      </c>
      <c r="V672" s="104">
        <f>IFERROR(VLOOKUP(L672,'Raw material list'!$A$2:$S$3102,6,0),0)</f>
        <v>5.8139534883720938E-3</v>
      </c>
      <c r="W672" s="104">
        <f t="shared" si="43"/>
        <v>0.21357380161366873</v>
      </c>
    </row>
    <row r="673" spans="1:23" hidden="1" x14ac:dyDescent="0.55000000000000004">
      <c r="A673" s="41" t="s">
        <v>1516</v>
      </c>
      <c r="B673" s="41" t="s">
        <v>35</v>
      </c>
      <c r="C673" s="41" t="s">
        <v>10</v>
      </c>
      <c r="D673" s="58" t="str">
        <f t="shared" si="44"/>
        <v>Beef kaldereta with soft rice</v>
      </c>
      <c r="E673" s="58" t="s">
        <v>1507</v>
      </c>
      <c r="F673" s="58" t="s">
        <v>2079</v>
      </c>
      <c r="G673" s="41" t="s">
        <v>11</v>
      </c>
      <c r="H673" s="41" t="s">
        <v>1774</v>
      </c>
      <c r="I673" s="58"/>
      <c r="J673" s="58"/>
      <c r="K673" s="41" t="str">
        <f>IFERROR(VLOOKUP(L673,'Raw material list'!$A$3:$C$715,3,0),"")</f>
        <v>PRD1-230</v>
      </c>
      <c r="L673" s="58" t="s">
        <v>70</v>
      </c>
      <c r="M673" s="40" t="s">
        <v>156</v>
      </c>
      <c r="N673" s="40" t="str">
        <f>VLOOKUP(L673,'Raw material list'!$A$3:$E$715,5,0)</f>
        <v xml:space="preserve">Gram </v>
      </c>
      <c r="O673" s="40">
        <v>400</v>
      </c>
      <c r="P673" s="299">
        <f t="shared" si="41"/>
        <v>539.81106612685562</v>
      </c>
      <c r="Q673" s="105">
        <v>74.099999999999994</v>
      </c>
      <c r="R673" s="40">
        <v>10</v>
      </c>
      <c r="S673" s="40"/>
      <c r="T673" s="105">
        <f t="shared" si="40"/>
        <v>40</v>
      </c>
      <c r="U673" s="105">
        <f t="shared" si="42"/>
        <v>53.981106612685565</v>
      </c>
      <c r="V673" s="104">
        <f>IFERROR(VLOOKUP(L673,'Raw material list'!$A$2:$S$3102,6,0),0)</f>
        <v>3.3738191632928472E-3</v>
      </c>
      <c r="W673" s="104">
        <f t="shared" si="43"/>
        <v>0.18212249194563279</v>
      </c>
    </row>
    <row r="674" spans="1:23" hidden="1" x14ac:dyDescent="0.55000000000000004">
      <c r="A674" s="41" t="s">
        <v>1516</v>
      </c>
      <c r="B674" s="41" t="s">
        <v>35</v>
      </c>
      <c r="C674" s="41" t="s">
        <v>10</v>
      </c>
      <c r="D674" s="58" t="str">
        <f t="shared" si="44"/>
        <v>Beef kaldereta with soft rice</v>
      </c>
      <c r="E674" s="58" t="s">
        <v>1507</v>
      </c>
      <c r="F674" s="58" t="s">
        <v>2079</v>
      </c>
      <c r="G674" s="41" t="s">
        <v>11</v>
      </c>
      <c r="H674" s="41" t="s">
        <v>1774</v>
      </c>
      <c r="I674" s="58"/>
      <c r="J674" s="58"/>
      <c r="K674" s="41" t="str">
        <f>IFERROR(VLOOKUP(L674,'Raw material list'!$A$3:$C$715,3,0),"")</f>
        <v>DRS1-110</v>
      </c>
      <c r="L674" s="58" t="s">
        <v>83</v>
      </c>
      <c r="M674" s="40" t="s">
        <v>206</v>
      </c>
      <c r="N674" s="40" t="str">
        <f>VLOOKUP(L674,'Raw material list'!$A$3:$E$715,5,0)</f>
        <v>Ml</v>
      </c>
      <c r="O674" s="40">
        <v>200</v>
      </c>
      <c r="P674" s="299">
        <f t="shared" si="41"/>
        <v>200</v>
      </c>
      <c r="Q674" s="300">
        <v>100</v>
      </c>
      <c r="R674" s="40">
        <v>10</v>
      </c>
      <c r="S674" s="40"/>
      <c r="T674" s="105">
        <f t="shared" si="40"/>
        <v>20</v>
      </c>
      <c r="U674" s="105">
        <f t="shared" si="42"/>
        <v>20</v>
      </c>
      <c r="V674" s="104">
        <f>IFERROR(VLOOKUP(L674,'Raw material list'!$A$2:$S$3102,6,0),0)</f>
        <v>1.805E-2</v>
      </c>
      <c r="W674" s="104">
        <f t="shared" si="43"/>
        <v>0.36099999999999999</v>
      </c>
    </row>
    <row r="675" spans="1:23" hidden="1" x14ac:dyDescent="0.55000000000000004">
      <c r="A675" s="41" t="s">
        <v>1516</v>
      </c>
      <c r="B675" s="41" t="s">
        <v>35</v>
      </c>
      <c r="C675" s="41" t="s">
        <v>10</v>
      </c>
      <c r="D675" s="58" t="str">
        <f t="shared" si="44"/>
        <v>Beef kaldereta with soft rice</v>
      </c>
      <c r="E675" s="58" t="s">
        <v>1507</v>
      </c>
      <c r="F675" s="58" t="s">
        <v>2079</v>
      </c>
      <c r="G675" s="41" t="s">
        <v>11</v>
      </c>
      <c r="H675" s="41" t="s">
        <v>1774</v>
      </c>
      <c r="I675" s="58"/>
      <c r="J675" s="58"/>
      <c r="K675" s="41" t="str">
        <f>IFERROR(VLOOKUP(L675,'Raw material list'!$A$3:$C$715,3,0),"")</f>
        <v>DRS1-4103</v>
      </c>
      <c r="L675" s="58" t="s">
        <v>115</v>
      </c>
      <c r="M675" s="40" t="s">
        <v>156</v>
      </c>
      <c r="N675" s="40" t="str">
        <f>VLOOKUP(L675,'Raw material list'!$A$3:$E$715,5,0)</f>
        <v xml:space="preserve">Gram </v>
      </c>
      <c r="O675" s="40">
        <v>100</v>
      </c>
      <c r="P675" s="299">
        <f t="shared" si="41"/>
        <v>100</v>
      </c>
      <c r="Q675" s="40">
        <v>100</v>
      </c>
      <c r="R675" s="40">
        <v>10</v>
      </c>
      <c r="S675" s="40"/>
      <c r="T675" s="105">
        <f t="shared" si="40"/>
        <v>10</v>
      </c>
      <c r="U675" s="105">
        <f t="shared" si="42"/>
        <v>10</v>
      </c>
      <c r="V675" s="104">
        <f>IFERROR(VLOOKUP(L675,'Raw material list'!$A$2:$S$3102,6,0),0)</f>
        <v>2.67632241813602E-2</v>
      </c>
      <c r="W675" s="104">
        <f t="shared" si="43"/>
        <v>0.26763224181360201</v>
      </c>
    </row>
    <row r="676" spans="1:23" hidden="1" x14ac:dyDescent="0.55000000000000004">
      <c r="A676" s="41" t="s">
        <v>1516</v>
      </c>
      <c r="B676" s="41" t="s">
        <v>35</v>
      </c>
      <c r="C676" s="41" t="s">
        <v>10</v>
      </c>
      <c r="D676" s="58" t="str">
        <f t="shared" si="44"/>
        <v>Beef kaldereta with soft rice</v>
      </c>
      <c r="E676" s="58" t="s">
        <v>1507</v>
      </c>
      <c r="F676" s="58" t="s">
        <v>2079</v>
      </c>
      <c r="G676" s="41" t="s">
        <v>11</v>
      </c>
      <c r="H676" s="41" t="s">
        <v>1774</v>
      </c>
      <c r="I676" s="58"/>
      <c r="J676" s="58"/>
      <c r="K676" s="41" t="str">
        <f>IFERROR(VLOOKUP(L676,'Raw material list'!$A$3:$C$715,3,0),"")</f>
        <v>DRS4-1457</v>
      </c>
      <c r="L676" s="58" t="s">
        <v>43</v>
      </c>
      <c r="M676" s="40" t="s">
        <v>156</v>
      </c>
      <c r="N676" s="40" t="str">
        <f>VLOOKUP(L676,'Raw material list'!$A$3:$E$715,5,0)</f>
        <v xml:space="preserve">Gram </v>
      </c>
      <c r="O676" s="40">
        <v>1000</v>
      </c>
      <c r="P676" s="299">
        <f t="shared" si="41"/>
        <v>1000</v>
      </c>
      <c r="Q676" s="40">
        <v>100</v>
      </c>
      <c r="R676" s="40">
        <v>10</v>
      </c>
      <c r="S676" s="40"/>
      <c r="T676" s="105">
        <f t="shared" si="40"/>
        <v>100</v>
      </c>
      <c r="U676" s="105">
        <f t="shared" si="42"/>
        <v>100</v>
      </c>
      <c r="V676" s="104">
        <f>IFERROR(VLOOKUP(L676,'Raw material list'!$A$2:$S$3102,6,0),0)</f>
        <v>6.4999999999999997E-3</v>
      </c>
      <c r="W676" s="104">
        <f t="shared" si="43"/>
        <v>0.65</v>
      </c>
    </row>
    <row r="677" spans="1:23" hidden="1" x14ac:dyDescent="0.55000000000000004">
      <c r="A677" s="41" t="s">
        <v>1516</v>
      </c>
      <c r="B677" s="41" t="s">
        <v>35</v>
      </c>
      <c r="C677" s="41" t="s">
        <v>10</v>
      </c>
      <c r="D677" s="58" t="str">
        <f t="shared" si="44"/>
        <v>Beef kaldereta with soft rice</v>
      </c>
      <c r="E677" s="58" t="s">
        <v>1507</v>
      </c>
      <c r="F677" s="58" t="s">
        <v>2079</v>
      </c>
      <c r="G677" s="41" t="s">
        <v>11</v>
      </c>
      <c r="H677" s="41" t="s">
        <v>1774</v>
      </c>
      <c r="I677" s="58"/>
      <c r="J677" s="58"/>
      <c r="K677" s="41" t="str">
        <f>IFERROR(VLOOKUP(L677,'Raw material list'!$A$3:$C$715,3,0),"")</f>
        <v>TAP-00001</v>
      </c>
      <c r="L677" s="58" t="s">
        <v>1405</v>
      </c>
      <c r="M677" s="40" t="s">
        <v>206</v>
      </c>
      <c r="N677" s="40" t="str">
        <f>VLOOKUP(L677,'Raw material list'!$A$3:$E$715,5,0)</f>
        <v>Ml</v>
      </c>
      <c r="O677" s="40">
        <v>1600</v>
      </c>
      <c r="P677" s="299">
        <f t="shared" si="41"/>
        <v>1600</v>
      </c>
      <c r="Q677" s="40">
        <v>100</v>
      </c>
      <c r="R677" s="40">
        <v>10</v>
      </c>
      <c r="S677" s="40"/>
      <c r="T677" s="105">
        <f t="shared" si="40"/>
        <v>160</v>
      </c>
      <c r="U677" s="105">
        <f t="shared" si="42"/>
        <v>160</v>
      </c>
      <c r="V677" s="104">
        <f>IFERROR(VLOOKUP(L677,'Raw material list'!$A$2:$S$3102,6,0),0)</f>
        <v>8.0000000000000007E-5</v>
      </c>
      <c r="W677" s="104">
        <f t="shared" si="43"/>
        <v>1.2800000000000001E-2</v>
      </c>
    </row>
    <row r="678" spans="1:23" hidden="1" x14ac:dyDescent="0.55000000000000004">
      <c r="A678" s="41" t="s">
        <v>1516</v>
      </c>
      <c r="B678" s="41" t="s">
        <v>35</v>
      </c>
      <c r="C678" s="41" t="s">
        <v>10</v>
      </c>
      <c r="D678" s="58" t="str">
        <f t="shared" si="44"/>
        <v>Beef kaldereta with soft rice</v>
      </c>
      <c r="E678" s="58" t="s">
        <v>1507</v>
      </c>
      <c r="F678" s="58" t="s">
        <v>2079</v>
      </c>
      <c r="G678" s="41" t="s">
        <v>11</v>
      </c>
      <c r="H678" s="41" t="s">
        <v>1774</v>
      </c>
      <c r="I678" s="58"/>
      <c r="J678" s="58"/>
      <c r="K678" s="41" t="str">
        <f>IFERROR(VLOOKUP(L678,'Raw material list'!$A$3:$C$715,3,0),"")</f>
        <v>PRD1-239</v>
      </c>
      <c r="L678" s="58" t="s">
        <v>1056</v>
      </c>
      <c r="M678" s="40" t="s">
        <v>156</v>
      </c>
      <c r="N678" s="40" t="str">
        <f>VLOOKUP(L678,'Raw material list'!$A$3:$E$715,5,0)</f>
        <v xml:space="preserve">Gram </v>
      </c>
      <c r="O678" s="40">
        <v>100</v>
      </c>
      <c r="P678" s="299">
        <f t="shared" si="41"/>
        <v>148.51485148514854</v>
      </c>
      <c r="Q678" s="105">
        <v>67.333333333333329</v>
      </c>
      <c r="R678" s="40">
        <v>10</v>
      </c>
      <c r="S678" s="40"/>
      <c r="T678" s="105">
        <f t="shared" si="40"/>
        <v>10</v>
      </c>
      <c r="U678" s="105">
        <f t="shared" si="42"/>
        <v>14.851485148514854</v>
      </c>
      <c r="V678" s="104">
        <f>IFERROR(VLOOKUP(L678,'Raw material list'!$A$2:$S$3102,6,0),0)</f>
        <v>6.6864784546805346E-3</v>
      </c>
      <c r="W678" s="104">
        <f t="shared" si="43"/>
        <v>9.9304135465552515E-2</v>
      </c>
    </row>
    <row r="679" spans="1:23" hidden="1" x14ac:dyDescent="0.55000000000000004">
      <c r="A679" s="41" t="s">
        <v>1516</v>
      </c>
      <c r="B679" s="41" t="s">
        <v>35</v>
      </c>
      <c r="C679" s="41" t="s">
        <v>10</v>
      </c>
      <c r="D679" s="58" t="str">
        <f t="shared" si="44"/>
        <v>Beef kaldereta with soft rice</v>
      </c>
      <c r="E679" s="58" t="s">
        <v>1507</v>
      </c>
      <c r="F679" s="58" t="s">
        <v>2079</v>
      </c>
      <c r="G679" s="41" t="s">
        <v>11</v>
      </c>
      <c r="H679" s="41" t="s">
        <v>1774</v>
      </c>
      <c r="I679" s="58"/>
      <c r="J679" s="58"/>
      <c r="K679" s="41" t="str">
        <f>IFERROR(VLOOKUP(L679,'Raw material list'!$A$3:$C$715,3,0),"")</f>
        <v>PRD1-241</v>
      </c>
      <c r="L679" s="58" t="s">
        <v>1059</v>
      </c>
      <c r="M679" s="40" t="s">
        <v>156</v>
      </c>
      <c r="N679" s="40" t="str">
        <f>VLOOKUP(L679,'Raw material list'!$A$3:$E$715,5,0)</f>
        <v xml:space="preserve">Gram </v>
      </c>
      <c r="O679" s="40">
        <v>100</v>
      </c>
      <c r="P679" s="299">
        <f t="shared" si="41"/>
        <v>146.55593551538837</v>
      </c>
      <c r="Q679" s="105">
        <v>68.233333333333334</v>
      </c>
      <c r="R679" s="40">
        <v>10</v>
      </c>
      <c r="S679" s="40"/>
      <c r="T679" s="105">
        <f t="shared" si="40"/>
        <v>10</v>
      </c>
      <c r="U679" s="105">
        <f t="shared" si="42"/>
        <v>14.655593551538837</v>
      </c>
      <c r="V679" s="104">
        <f>IFERROR(VLOOKUP(L679,'Raw material list'!$A$2:$S$3102,6,0),0)</f>
        <v>1.3196480938416421E-2</v>
      </c>
      <c r="W679" s="104">
        <f t="shared" si="43"/>
        <v>0.19340226094406088</v>
      </c>
    </row>
    <row r="680" spans="1:23" hidden="1" x14ac:dyDescent="0.55000000000000004">
      <c r="A680" s="41" t="s">
        <v>1517</v>
      </c>
      <c r="B680" s="41" t="s">
        <v>35</v>
      </c>
      <c r="C680" s="41" t="s">
        <v>10</v>
      </c>
      <c r="D680" s="58" t="s">
        <v>1510</v>
      </c>
      <c r="E680" s="58" t="s">
        <v>1507</v>
      </c>
      <c r="F680" s="58" t="s">
        <v>2079</v>
      </c>
      <c r="G680" s="41" t="s">
        <v>11</v>
      </c>
      <c r="H680" s="41" t="s">
        <v>1774</v>
      </c>
      <c r="I680" s="58"/>
      <c r="J680" s="58"/>
      <c r="K680" s="41" t="str">
        <f>IFERROR(VLOOKUP(L680,'Raw material list'!$A$3:$C$715,3,0),"")</f>
        <v>DRS3-1813</v>
      </c>
      <c r="L680" s="58" t="s">
        <v>69</v>
      </c>
      <c r="M680" s="40" t="s">
        <v>206</v>
      </c>
      <c r="N680" s="40" t="str">
        <f>VLOOKUP(L680,'Raw material list'!$A$3:$E$715,5,0)</f>
        <v>Ml</v>
      </c>
      <c r="O680" s="40">
        <v>40</v>
      </c>
      <c r="P680" s="299">
        <f t="shared" si="41"/>
        <v>40</v>
      </c>
      <c r="Q680" s="300">
        <v>100</v>
      </c>
      <c r="R680" s="40">
        <v>10</v>
      </c>
      <c r="S680" s="40"/>
      <c r="T680" s="105">
        <f t="shared" si="40"/>
        <v>4</v>
      </c>
      <c r="U680" s="105">
        <f t="shared" si="42"/>
        <v>4</v>
      </c>
      <c r="V680" s="104">
        <f>IFERROR(VLOOKUP(L680,'Raw material list'!$A$2:$S$3102,6,0),0)</f>
        <v>8.0555555555555554E-3</v>
      </c>
      <c r="W680" s="104">
        <f t="shared" si="43"/>
        <v>3.2222222222222222E-2</v>
      </c>
    </row>
    <row r="681" spans="1:23" hidden="1" x14ac:dyDescent="0.55000000000000004">
      <c r="A681" s="41" t="s">
        <v>1517</v>
      </c>
      <c r="B681" s="41" t="s">
        <v>35</v>
      </c>
      <c r="C681" s="41" t="s">
        <v>10</v>
      </c>
      <c r="D681" s="58" t="str">
        <f t="shared" ref="D681:D705" si="45">D680</f>
        <v>Meat Mandi with tahina sauce</v>
      </c>
      <c r="E681" s="58" t="s">
        <v>1507</v>
      </c>
      <c r="F681" s="58" t="s">
        <v>2079</v>
      </c>
      <c r="G681" s="41" t="s">
        <v>11</v>
      </c>
      <c r="H681" s="41" t="s">
        <v>1774</v>
      </c>
      <c r="I681" s="58"/>
      <c r="J681" s="58"/>
      <c r="K681" s="41" t="str">
        <f>IFERROR(VLOOKUP(L681,'Raw material list'!$A$3:$C$715,3,0),"")</f>
        <v>PRD1-4265</v>
      </c>
      <c r="L681" s="58" t="s">
        <v>38</v>
      </c>
      <c r="M681" s="40" t="s">
        <v>156</v>
      </c>
      <c r="N681" s="40" t="str">
        <f>VLOOKUP(L681,'Raw material list'!$A$3:$E$715,5,0)</f>
        <v xml:space="preserve">Gram </v>
      </c>
      <c r="O681" s="40">
        <v>150</v>
      </c>
      <c r="P681" s="299">
        <f t="shared" si="41"/>
        <v>176.47058823529412</v>
      </c>
      <c r="Q681" s="105">
        <v>85</v>
      </c>
      <c r="R681" s="40">
        <v>10</v>
      </c>
      <c r="S681" s="40"/>
      <c r="T681" s="105">
        <f t="shared" si="40"/>
        <v>15</v>
      </c>
      <c r="U681" s="105">
        <f t="shared" si="42"/>
        <v>17.647058823529413</v>
      </c>
      <c r="V681" s="104">
        <f>IFERROR(VLOOKUP(L681,'Raw material list'!$A$2:$S$3102,6,0),0)</f>
        <v>3.529411764705882E-3</v>
      </c>
      <c r="W681" s="104">
        <f t="shared" si="43"/>
        <v>6.228373702422145E-2</v>
      </c>
    </row>
    <row r="682" spans="1:23" hidden="1" x14ac:dyDescent="0.55000000000000004">
      <c r="A682" s="41" t="s">
        <v>1517</v>
      </c>
      <c r="B682" s="41" t="s">
        <v>35</v>
      </c>
      <c r="C682" s="41" t="s">
        <v>10</v>
      </c>
      <c r="D682" s="58" t="str">
        <f t="shared" si="45"/>
        <v>Meat Mandi with tahina sauce</v>
      </c>
      <c r="E682" s="58" t="s">
        <v>1507</v>
      </c>
      <c r="F682" s="58" t="s">
        <v>2079</v>
      </c>
      <c r="G682" s="41" t="s">
        <v>11</v>
      </c>
      <c r="H682" s="41" t="s">
        <v>1774</v>
      </c>
      <c r="I682" s="58"/>
      <c r="J682" s="58"/>
      <c r="K682" s="41" t="str">
        <f>IFERROR(VLOOKUP(L682,'Raw material list'!$A$3:$C$715,3,0),"")</f>
        <v>PRD1-4327</v>
      </c>
      <c r="L682" s="58" t="s">
        <v>39</v>
      </c>
      <c r="M682" s="40" t="s">
        <v>156</v>
      </c>
      <c r="N682" s="40" t="str">
        <f>VLOOKUP(L682,'Raw material list'!$A$3:$E$715,5,0)</f>
        <v xml:space="preserve">Gram </v>
      </c>
      <c r="O682" s="40">
        <v>10</v>
      </c>
      <c r="P682" s="299">
        <f t="shared" si="41"/>
        <v>12.048192771084338</v>
      </c>
      <c r="Q682" s="105">
        <v>83</v>
      </c>
      <c r="R682" s="40">
        <v>10</v>
      </c>
      <c r="S682" s="40"/>
      <c r="T682" s="105">
        <f t="shared" si="40"/>
        <v>1</v>
      </c>
      <c r="U682" s="105">
        <f t="shared" si="42"/>
        <v>1.2048192771084338</v>
      </c>
      <c r="V682" s="104">
        <f>IFERROR(VLOOKUP(L682,'Raw material list'!$A$2:$S$3102,6,0),0)</f>
        <v>1.2999999999999999E-2</v>
      </c>
      <c r="W682" s="104">
        <f t="shared" si="43"/>
        <v>1.566265060240964E-2</v>
      </c>
    </row>
    <row r="683" spans="1:23" hidden="1" x14ac:dyDescent="0.55000000000000004">
      <c r="A683" s="41" t="s">
        <v>1517</v>
      </c>
      <c r="B683" s="41" t="s">
        <v>35</v>
      </c>
      <c r="C683" s="41" t="s">
        <v>10</v>
      </c>
      <c r="D683" s="58" t="str">
        <f t="shared" si="45"/>
        <v>Meat Mandi with tahina sauce</v>
      </c>
      <c r="E683" s="58" t="s">
        <v>1507</v>
      </c>
      <c r="F683" s="58" t="s">
        <v>2079</v>
      </c>
      <c r="G683" s="41" t="s">
        <v>11</v>
      </c>
      <c r="H683" s="41" t="s">
        <v>1774</v>
      </c>
      <c r="I683" s="58"/>
      <c r="J683" s="58"/>
      <c r="K683" s="41" t="str">
        <f>IFERROR(VLOOKUP(L683,'Raw material list'!$A$3:$C$715,3,0),"")</f>
        <v>DRS1-304</v>
      </c>
      <c r="L683" s="58" t="s">
        <v>74</v>
      </c>
      <c r="M683" s="40" t="s">
        <v>156</v>
      </c>
      <c r="N683" s="40" t="str">
        <f>VLOOKUP(L683,'Raw material list'!$A$3:$E$715,5,0)</f>
        <v xml:space="preserve">Gram </v>
      </c>
      <c r="O683" s="40">
        <v>1</v>
      </c>
      <c r="P683" s="299">
        <f t="shared" si="41"/>
        <v>1</v>
      </c>
      <c r="Q683" s="300">
        <v>100</v>
      </c>
      <c r="R683" s="40">
        <v>10</v>
      </c>
      <c r="S683" s="40"/>
      <c r="T683" s="105">
        <f t="shared" si="40"/>
        <v>0.1</v>
      </c>
      <c r="U683" s="105">
        <f t="shared" si="42"/>
        <v>0.1</v>
      </c>
      <c r="V683" s="104">
        <f>IFERROR(VLOOKUP(L683,'Raw material list'!$A$2:$S$3102,6,0),0)</f>
        <v>2.0799999999999999E-2</v>
      </c>
      <c r="W683" s="104">
        <f t="shared" si="43"/>
        <v>2.0799999999999998E-3</v>
      </c>
    </row>
    <row r="684" spans="1:23" hidden="1" x14ac:dyDescent="0.55000000000000004">
      <c r="A684" s="41" t="s">
        <v>1517</v>
      </c>
      <c r="B684" s="41" t="s">
        <v>35</v>
      </c>
      <c r="C684" s="41" t="s">
        <v>10</v>
      </c>
      <c r="D684" s="58" t="str">
        <f t="shared" si="45"/>
        <v>Meat Mandi with tahina sauce</v>
      </c>
      <c r="E684" s="58" t="s">
        <v>1507</v>
      </c>
      <c r="F684" s="58" t="s">
        <v>2079</v>
      </c>
      <c r="G684" s="41" t="s">
        <v>11</v>
      </c>
      <c r="H684" s="41" t="s">
        <v>1774</v>
      </c>
      <c r="I684" s="58"/>
      <c r="J684" s="58"/>
      <c r="K684" s="41" t="str">
        <f>IFERROR(VLOOKUP(L684,'Raw material list'!$A$3:$C$715,3,0),"")</f>
        <v>TAP-00001</v>
      </c>
      <c r="L684" s="58" t="s">
        <v>1405</v>
      </c>
      <c r="M684" s="40" t="s">
        <v>206</v>
      </c>
      <c r="N684" s="40" t="str">
        <f>VLOOKUP(L684,'Raw material list'!$A$3:$E$715,5,0)</f>
        <v>Ml</v>
      </c>
      <c r="O684" s="40">
        <v>1800</v>
      </c>
      <c r="P684" s="299">
        <f t="shared" si="41"/>
        <v>1800</v>
      </c>
      <c r="Q684" s="40">
        <v>100</v>
      </c>
      <c r="R684" s="40">
        <v>10</v>
      </c>
      <c r="S684" s="40"/>
      <c r="T684" s="105">
        <f t="shared" si="40"/>
        <v>180</v>
      </c>
      <c r="U684" s="105">
        <f t="shared" si="42"/>
        <v>180</v>
      </c>
      <c r="V684" s="104">
        <f>IFERROR(VLOOKUP(L684,'Raw material list'!$A$2:$S$3102,6,0),0)</f>
        <v>8.0000000000000007E-5</v>
      </c>
      <c r="W684" s="104">
        <f t="shared" si="43"/>
        <v>1.4400000000000001E-2</v>
      </c>
    </row>
    <row r="685" spans="1:23" hidden="1" x14ac:dyDescent="0.55000000000000004">
      <c r="A685" s="41" t="s">
        <v>1517</v>
      </c>
      <c r="B685" s="41" t="s">
        <v>35</v>
      </c>
      <c r="C685" s="41" t="s">
        <v>10</v>
      </c>
      <c r="D685" s="58" t="str">
        <f t="shared" si="45"/>
        <v>Meat Mandi with tahina sauce</v>
      </c>
      <c r="E685" s="58" t="s">
        <v>1507</v>
      </c>
      <c r="F685" s="58" t="s">
        <v>2079</v>
      </c>
      <c r="G685" s="41" t="s">
        <v>11</v>
      </c>
      <c r="H685" s="41" t="s">
        <v>1774</v>
      </c>
      <c r="I685" s="58"/>
      <c r="J685" s="58"/>
      <c r="K685" s="41" t="str">
        <f>IFERROR(VLOOKUP(L685,'Raw material list'!$A$3:$C$715,3,0),"")</f>
        <v>DRS4-498</v>
      </c>
      <c r="L685" s="58" t="s">
        <v>72</v>
      </c>
      <c r="M685" s="40" t="s">
        <v>156</v>
      </c>
      <c r="N685" s="40" t="str">
        <f>VLOOKUP(L685,'Raw material list'!$A$3:$E$715,5,0)</f>
        <v xml:space="preserve">Gram </v>
      </c>
      <c r="O685" s="40">
        <v>1000</v>
      </c>
      <c r="P685" s="299">
        <f t="shared" si="41"/>
        <v>1000</v>
      </c>
      <c r="Q685" s="40">
        <v>100</v>
      </c>
      <c r="R685" s="40">
        <v>10</v>
      </c>
      <c r="S685" s="40"/>
      <c r="T685" s="105">
        <f t="shared" si="40"/>
        <v>100</v>
      </c>
      <c r="U685" s="105">
        <f t="shared" si="42"/>
        <v>100</v>
      </c>
      <c r="V685" s="104">
        <f>IFERROR(VLOOKUP(L685,'Raw material list'!$A$2:$S$3102,6,0),0)</f>
        <v>5.7499999999999999E-3</v>
      </c>
      <c r="W685" s="104">
        <f t="shared" si="43"/>
        <v>0.57499999999999996</v>
      </c>
    </row>
    <row r="686" spans="1:23" hidden="1" x14ac:dyDescent="0.55000000000000004">
      <c r="A686" s="41" t="s">
        <v>1517</v>
      </c>
      <c r="B686" s="41" t="s">
        <v>35</v>
      </c>
      <c r="C686" s="41" t="s">
        <v>10</v>
      </c>
      <c r="D686" s="58" t="str">
        <f t="shared" si="45"/>
        <v>Meat Mandi with tahina sauce</v>
      </c>
      <c r="E686" s="58" t="s">
        <v>1507</v>
      </c>
      <c r="F686" s="58" t="s">
        <v>2079</v>
      </c>
      <c r="G686" s="41" t="s">
        <v>11</v>
      </c>
      <c r="H686" s="41" t="s">
        <v>1774</v>
      </c>
      <c r="I686" s="58"/>
      <c r="J686" s="58"/>
      <c r="K686" s="41" t="str">
        <f>IFERROR(VLOOKUP(L686,'Raw material list'!$A$3:$C$715,3,0),"")</f>
        <v>DRS1-3811</v>
      </c>
      <c r="L686" s="58" t="s">
        <v>40</v>
      </c>
      <c r="M686" s="40" t="s">
        <v>156</v>
      </c>
      <c r="N686" s="40" t="str">
        <f>VLOOKUP(L686,'Raw material list'!$A$3:$E$715,5,0)</f>
        <v xml:space="preserve">Gram </v>
      </c>
      <c r="O686" s="40">
        <v>20</v>
      </c>
      <c r="P686" s="299">
        <f t="shared" si="41"/>
        <v>20</v>
      </c>
      <c r="Q686" s="40">
        <v>100</v>
      </c>
      <c r="R686" s="40">
        <v>10</v>
      </c>
      <c r="S686" s="40"/>
      <c r="T686" s="105">
        <f t="shared" si="40"/>
        <v>2</v>
      </c>
      <c r="U686" s="105">
        <f t="shared" si="42"/>
        <v>2</v>
      </c>
      <c r="V686" s="104">
        <f>IFERROR(VLOOKUP(L686,'Raw material list'!$A$2:$S$3102,6,0),0)</f>
        <v>2.8475E-2</v>
      </c>
      <c r="W686" s="104">
        <f t="shared" si="43"/>
        <v>5.6950000000000001E-2</v>
      </c>
    </row>
    <row r="687" spans="1:23" hidden="1" x14ac:dyDescent="0.55000000000000004">
      <c r="A687" s="41" t="s">
        <v>1517</v>
      </c>
      <c r="B687" s="41" t="s">
        <v>35</v>
      </c>
      <c r="C687" s="41" t="s">
        <v>10</v>
      </c>
      <c r="D687" s="58" t="str">
        <f t="shared" si="45"/>
        <v>Meat Mandi with tahina sauce</v>
      </c>
      <c r="E687" s="58" t="s">
        <v>1507</v>
      </c>
      <c r="F687" s="58" t="s">
        <v>2079</v>
      </c>
      <c r="G687" s="41" t="s">
        <v>11</v>
      </c>
      <c r="H687" s="41" t="s">
        <v>1774</v>
      </c>
      <c r="I687" s="58"/>
      <c r="J687" s="58"/>
      <c r="K687" s="41" t="str">
        <f>IFERROR(VLOOKUP(L687,'Raw material list'!$A$3:$C$715,3,0),"")</f>
        <v>DRY2-1008</v>
      </c>
      <c r="L687" s="58" t="s">
        <v>57</v>
      </c>
      <c r="M687" s="40" t="s">
        <v>156</v>
      </c>
      <c r="N687" s="40" t="str">
        <f>VLOOKUP(L687,'Raw material list'!$A$3:$E$715,5,0)</f>
        <v xml:space="preserve">Gram </v>
      </c>
      <c r="O687" s="40">
        <v>20</v>
      </c>
      <c r="P687" s="299">
        <f t="shared" si="41"/>
        <v>20</v>
      </c>
      <c r="Q687" s="40">
        <v>100</v>
      </c>
      <c r="R687" s="40">
        <v>10</v>
      </c>
      <c r="S687" s="40"/>
      <c r="T687" s="105">
        <f t="shared" si="40"/>
        <v>2</v>
      </c>
      <c r="U687" s="105">
        <f t="shared" si="42"/>
        <v>2</v>
      </c>
      <c r="V687" s="104">
        <f>IFERROR(VLOOKUP(L687,'Raw material list'!$A$2:$S$3102,6,0),0)</f>
        <v>0.03</v>
      </c>
      <c r="W687" s="104">
        <f t="shared" si="43"/>
        <v>0.06</v>
      </c>
    </row>
    <row r="688" spans="1:23" hidden="1" x14ac:dyDescent="0.55000000000000004">
      <c r="A688" s="41" t="s">
        <v>1517</v>
      </c>
      <c r="B688" s="41" t="s">
        <v>35</v>
      </c>
      <c r="C688" s="41" t="s">
        <v>10</v>
      </c>
      <c r="D688" s="58" t="str">
        <f t="shared" si="45"/>
        <v>Meat Mandi with tahina sauce</v>
      </c>
      <c r="E688" s="58" t="s">
        <v>1507</v>
      </c>
      <c r="F688" s="58" t="s">
        <v>2079</v>
      </c>
      <c r="G688" s="41" t="s">
        <v>11</v>
      </c>
      <c r="H688" s="41" t="s">
        <v>1774</v>
      </c>
      <c r="I688" s="58"/>
      <c r="J688" s="58"/>
      <c r="K688" s="41" t="str">
        <f>IFERROR(VLOOKUP(L688,'Raw material list'!$A$3:$C$715,3,0),"")</f>
        <v>DRS6-1020</v>
      </c>
      <c r="L688" s="58" t="s">
        <v>76</v>
      </c>
      <c r="M688" s="40" t="s">
        <v>156</v>
      </c>
      <c r="N688" s="40" t="str">
        <f>VLOOKUP(L688,'Raw material list'!$A$3:$E$715,5,0)</f>
        <v xml:space="preserve">Gram </v>
      </c>
      <c r="O688" s="40">
        <v>1</v>
      </c>
      <c r="P688" s="299">
        <f t="shared" si="41"/>
        <v>1</v>
      </c>
      <c r="Q688" s="40">
        <v>100</v>
      </c>
      <c r="R688" s="40">
        <v>10</v>
      </c>
      <c r="S688" s="40"/>
      <c r="T688" s="105">
        <f t="shared" si="40"/>
        <v>0.1</v>
      </c>
      <c r="U688" s="105">
        <f t="shared" si="42"/>
        <v>0.1</v>
      </c>
      <c r="V688" s="104">
        <f>IFERROR(VLOOKUP(L688,'Raw material list'!$A$2:$S$3102,6,0),0)</f>
        <v>5.5E-2</v>
      </c>
      <c r="W688" s="104">
        <f t="shared" si="43"/>
        <v>5.5000000000000005E-3</v>
      </c>
    </row>
    <row r="689" spans="1:23" hidden="1" x14ac:dyDescent="0.55000000000000004">
      <c r="A689" s="41" t="s">
        <v>1517</v>
      </c>
      <c r="B689" s="41" t="s">
        <v>35</v>
      </c>
      <c r="C689" s="41" t="s">
        <v>10</v>
      </c>
      <c r="D689" s="58" t="str">
        <f t="shared" si="45"/>
        <v>Meat Mandi with tahina sauce</v>
      </c>
      <c r="E689" s="58" t="s">
        <v>1507</v>
      </c>
      <c r="F689" s="58" t="s">
        <v>2079</v>
      </c>
      <c r="G689" s="41" t="s">
        <v>11</v>
      </c>
      <c r="H689" s="41" t="s">
        <v>1774</v>
      </c>
      <c r="I689" s="58"/>
      <c r="J689" s="58"/>
      <c r="K689" s="41" t="str">
        <f>IFERROR(VLOOKUP(L689,'Raw material list'!$A$3:$C$715,3,0),"")</f>
        <v>PRD3-1675</v>
      </c>
      <c r="L689" s="58" t="s">
        <v>75</v>
      </c>
      <c r="M689" s="40" t="s">
        <v>156</v>
      </c>
      <c r="N689" s="40" t="str">
        <f>VLOOKUP(L689,'Raw material list'!$A$3:$E$715,5,0)</f>
        <v xml:space="preserve">Gram </v>
      </c>
      <c r="O689" s="40">
        <v>2</v>
      </c>
      <c r="P689" s="299">
        <f t="shared" si="41"/>
        <v>2</v>
      </c>
      <c r="Q689" s="40">
        <v>100</v>
      </c>
      <c r="R689" s="40">
        <v>10</v>
      </c>
      <c r="S689" s="40"/>
      <c r="T689" s="105">
        <f t="shared" si="40"/>
        <v>0.2</v>
      </c>
      <c r="U689" s="105">
        <f t="shared" si="42"/>
        <v>0.2</v>
      </c>
      <c r="V689" s="104">
        <f>IFERROR(VLOOKUP(L689,'Raw material list'!$A$2:$S$3102,6,0),0)</f>
        <v>1.2E-2</v>
      </c>
      <c r="W689" s="104">
        <f t="shared" si="43"/>
        <v>2.4000000000000002E-3</v>
      </c>
    </row>
    <row r="690" spans="1:23" hidden="1" x14ac:dyDescent="0.55000000000000004">
      <c r="A690" s="41" t="s">
        <v>1517</v>
      </c>
      <c r="B690" s="41" t="s">
        <v>35</v>
      </c>
      <c r="C690" s="41" t="s">
        <v>10</v>
      </c>
      <c r="D690" s="58" t="str">
        <f t="shared" si="45"/>
        <v>Meat Mandi with tahina sauce</v>
      </c>
      <c r="E690" s="58" t="s">
        <v>1507</v>
      </c>
      <c r="F690" s="58" t="s">
        <v>2079</v>
      </c>
      <c r="G690" s="41" t="s">
        <v>11</v>
      </c>
      <c r="H690" s="41" t="s">
        <v>1774</v>
      </c>
      <c r="I690" s="58"/>
      <c r="J690" s="58"/>
      <c r="K690" s="41" t="str">
        <f>IFERROR(VLOOKUP(L690,'Raw material list'!$A$3:$C$715,3,0),"")</f>
        <v>DRS6-260</v>
      </c>
      <c r="L690" s="58" t="s">
        <v>62</v>
      </c>
      <c r="M690" s="40" t="s">
        <v>156</v>
      </c>
      <c r="N690" s="40" t="str">
        <f>VLOOKUP(L690,'Raw material list'!$A$3:$E$715,5,0)</f>
        <v xml:space="preserve">Gram </v>
      </c>
      <c r="O690" s="40">
        <v>2</v>
      </c>
      <c r="P690" s="299">
        <f t="shared" si="41"/>
        <v>2</v>
      </c>
      <c r="Q690" s="40">
        <v>100</v>
      </c>
      <c r="R690" s="40">
        <v>10</v>
      </c>
      <c r="S690" s="40"/>
      <c r="T690" s="105">
        <f t="shared" si="40"/>
        <v>0.2</v>
      </c>
      <c r="U690" s="105">
        <f t="shared" si="42"/>
        <v>0.2</v>
      </c>
      <c r="V690" s="104">
        <f>IFERROR(VLOOKUP(L690,'Raw material list'!$A$2:$S$3102,6,0),0)</f>
        <v>0.02</v>
      </c>
      <c r="W690" s="104">
        <f t="shared" si="43"/>
        <v>4.0000000000000001E-3</v>
      </c>
    </row>
    <row r="691" spans="1:23" hidden="1" x14ac:dyDescent="0.55000000000000004">
      <c r="A691" s="41" t="s">
        <v>1517</v>
      </c>
      <c r="B691" s="41" t="s">
        <v>35</v>
      </c>
      <c r="C691" s="41" t="s">
        <v>10</v>
      </c>
      <c r="D691" s="58" t="str">
        <f t="shared" si="45"/>
        <v>Meat Mandi with tahina sauce</v>
      </c>
      <c r="E691" s="58" t="s">
        <v>1507</v>
      </c>
      <c r="F691" s="58" t="s">
        <v>2079</v>
      </c>
      <c r="G691" s="41" t="s">
        <v>11</v>
      </c>
      <c r="H691" s="41" t="s">
        <v>1774</v>
      </c>
      <c r="I691" s="58"/>
      <c r="J691" s="58"/>
      <c r="K691" s="41" t="str">
        <f>IFERROR(VLOOKUP(L691,'Raw material list'!$A$3:$C$715,3,0),"")</f>
        <v>DRS6-539</v>
      </c>
      <c r="L691" s="58" t="s">
        <v>96</v>
      </c>
      <c r="M691" s="40" t="s">
        <v>156</v>
      </c>
      <c r="N691" s="40" t="str">
        <f>VLOOKUP(L691,'Raw material list'!$A$3:$E$715,5,0)</f>
        <v xml:space="preserve">Gram </v>
      </c>
      <c r="O691" s="40">
        <v>4</v>
      </c>
      <c r="P691" s="299">
        <f t="shared" si="41"/>
        <v>4</v>
      </c>
      <c r="Q691" s="40">
        <v>100</v>
      </c>
      <c r="R691" s="40">
        <v>10</v>
      </c>
      <c r="S691" s="40"/>
      <c r="T691" s="105">
        <f t="shared" si="40"/>
        <v>0.4</v>
      </c>
      <c r="U691" s="105">
        <f t="shared" si="42"/>
        <v>0.4</v>
      </c>
      <c r="V691" s="104">
        <f>IFERROR(VLOOKUP(L691,'Raw material list'!$A$2:$S$3102,6,0),0)</f>
        <v>0.16</v>
      </c>
      <c r="W691" s="104">
        <f t="shared" si="43"/>
        <v>6.4000000000000001E-2</v>
      </c>
    </row>
    <row r="692" spans="1:23" hidden="1" x14ac:dyDescent="0.55000000000000004">
      <c r="A692" s="41" t="s">
        <v>1517</v>
      </c>
      <c r="B692" s="41" t="s">
        <v>35</v>
      </c>
      <c r="C692" s="41" t="s">
        <v>10</v>
      </c>
      <c r="D692" s="58" t="str">
        <f t="shared" si="45"/>
        <v>Meat Mandi with tahina sauce</v>
      </c>
      <c r="E692" s="58" t="s">
        <v>1507</v>
      </c>
      <c r="F692" s="58" t="s">
        <v>2079</v>
      </c>
      <c r="G692" s="41" t="s">
        <v>11</v>
      </c>
      <c r="H692" s="41" t="s">
        <v>1774</v>
      </c>
      <c r="I692" s="58"/>
      <c r="J692" s="58"/>
      <c r="K692" s="41" t="str">
        <f>IFERROR(VLOOKUP(L692,'Raw material list'!$A$3:$C$715,3,0),"")</f>
        <v>DRS1-103</v>
      </c>
      <c r="L692" s="58" t="s">
        <v>89</v>
      </c>
      <c r="M692" s="40" t="s">
        <v>156</v>
      </c>
      <c r="N692" s="40" t="str">
        <f>VLOOKUP(L692,'Raw material list'!$A$3:$E$715,5,0)</f>
        <v xml:space="preserve">Gram </v>
      </c>
      <c r="O692" s="40">
        <v>150</v>
      </c>
      <c r="P692" s="299">
        <f t="shared" si="41"/>
        <v>150</v>
      </c>
      <c r="Q692" s="40">
        <v>100</v>
      </c>
      <c r="R692" s="40">
        <v>10</v>
      </c>
      <c r="S692" s="40"/>
      <c r="T692" s="105">
        <f t="shared" si="40"/>
        <v>15</v>
      </c>
      <c r="U692" s="105">
        <f t="shared" si="42"/>
        <v>15</v>
      </c>
      <c r="V692" s="104">
        <f>IFERROR(VLOOKUP(L692,'Raw material list'!$A$2:$S$3102,6,0),0)</f>
        <v>1.0999999999999999E-2</v>
      </c>
      <c r="W692" s="104">
        <f t="shared" si="43"/>
        <v>0.16499999999999998</v>
      </c>
    </row>
    <row r="693" spans="1:23" hidden="1" x14ac:dyDescent="0.55000000000000004">
      <c r="A693" s="41" t="s">
        <v>1517</v>
      </c>
      <c r="B693" s="41" t="s">
        <v>35</v>
      </c>
      <c r="C693" s="41" t="s">
        <v>10</v>
      </c>
      <c r="D693" s="58" t="str">
        <f t="shared" si="45"/>
        <v>Meat Mandi with tahina sauce</v>
      </c>
      <c r="E693" s="58" t="s">
        <v>1507</v>
      </c>
      <c r="F693" s="58" t="s">
        <v>2079</v>
      </c>
      <c r="G693" s="41" t="s">
        <v>11</v>
      </c>
      <c r="H693" s="41" t="s">
        <v>1774</v>
      </c>
      <c r="I693" s="58"/>
      <c r="J693" s="58"/>
      <c r="K693" s="41" t="str">
        <f>IFERROR(VLOOKUP(L693,'Raw material list'!$A$3:$C$715,3,0),"")</f>
        <v>TAP-00001</v>
      </c>
      <c r="L693" s="58" t="s">
        <v>1405</v>
      </c>
      <c r="M693" s="40" t="s">
        <v>206</v>
      </c>
      <c r="N693" s="40" t="str">
        <f>VLOOKUP(L693,'Raw material list'!$A$3:$E$715,5,0)</f>
        <v>Ml</v>
      </c>
      <c r="O693" s="40">
        <v>200</v>
      </c>
      <c r="P693" s="299">
        <f t="shared" si="41"/>
        <v>200</v>
      </c>
      <c r="Q693" s="40">
        <v>100</v>
      </c>
      <c r="R693" s="40">
        <v>10</v>
      </c>
      <c r="S693" s="40"/>
      <c r="T693" s="105">
        <f t="shared" si="40"/>
        <v>20</v>
      </c>
      <c r="U693" s="105">
        <f t="shared" si="42"/>
        <v>20</v>
      </c>
      <c r="V693" s="104">
        <f>IFERROR(VLOOKUP(L693,'Raw material list'!$A$2:$S$3102,6,0),0)</f>
        <v>8.0000000000000007E-5</v>
      </c>
      <c r="W693" s="104">
        <f t="shared" si="43"/>
        <v>1.6000000000000001E-3</v>
      </c>
    </row>
    <row r="694" spans="1:23" hidden="1" x14ac:dyDescent="0.55000000000000004">
      <c r="A694" s="41" t="s">
        <v>1517</v>
      </c>
      <c r="B694" s="41" t="s">
        <v>35</v>
      </c>
      <c r="C694" s="41" t="s">
        <v>10</v>
      </c>
      <c r="D694" s="58" t="str">
        <f t="shared" si="45"/>
        <v>Meat Mandi with tahina sauce</v>
      </c>
      <c r="E694" s="58" t="s">
        <v>1507</v>
      </c>
      <c r="F694" s="58" t="s">
        <v>2079</v>
      </c>
      <c r="G694" s="41" t="s">
        <v>11</v>
      </c>
      <c r="H694" s="41" t="s">
        <v>1774</v>
      </c>
      <c r="I694" s="58"/>
      <c r="J694" s="58"/>
      <c r="K694" s="41" t="str">
        <f>IFERROR(VLOOKUP(L694,'Raw material list'!$A$3:$C$715,3,0),"")</f>
        <v>DRS6-733</v>
      </c>
      <c r="L694" s="58" t="s">
        <v>45</v>
      </c>
      <c r="M694" s="40" t="s">
        <v>156</v>
      </c>
      <c r="N694" s="40" t="str">
        <f>VLOOKUP(L694,'Raw material list'!$A$3:$E$715,5,0)</f>
        <v xml:space="preserve">Gram </v>
      </c>
      <c r="O694" s="40">
        <v>1</v>
      </c>
      <c r="P694" s="299">
        <f t="shared" si="41"/>
        <v>1</v>
      </c>
      <c r="Q694" s="40">
        <v>100</v>
      </c>
      <c r="R694" s="40">
        <v>10</v>
      </c>
      <c r="S694" s="40"/>
      <c r="T694" s="105">
        <f t="shared" si="40"/>
        <v>0.1</v>
      </c>
      <c r="U694" s="105">
        <f t="shared" si="42"/>
        <v>0.1</v>
      </c>
      <c r="V694" s="104">
        <f>IFERROR(VLOOKUP(L694,'Raw material list'!$A$2:$S$3102,6,0),0)</f>
        <v>2.8000000000000001E-2</v>
      </c>
      <c r="W694" s="104">
        <f t="shared" si="43"/>
        <v>2.8000000000000004E-3</v>
      </c>
    </row>
    <row r="695" spans="1:23" hidden="1" x14ac:dyDescent="0.55000000000000004">
      <c r="A695" s="41" t="s">
        <v>1517</v>
      </c>
      <c r="B695" s="41" t="s">
        <v>35</v>
      </c>
      <c r="C695" s="41" t="s">
        <v>10</v>
      </c>
      <c r="D695" s="58" t="str">
        <f t="shared" si="45"/>
        <v>Meat Mandi with tahina sauce</v>
      </c>
      <c r="E695" s="58" t="s">
        <v>1507</v>
      </c>
      <c r="F695" s="58" t="s">
        <v>2079</v>
      </c>
      <c r="G695" s="41" t="s">
        <v>11</v>
      </c>
      <c r="H695" s="41" t="s">
        <v>1774</v>
      </c>
      <c r="I695" s="58"/>
      <c r="J695" s="58"/>
      <c r="K695" s="41" t="str">
        <f>IFERROR(VLOOKUP(L695,'Raw material list'!$A$3:$C$715,3,0),"")</f>
        <v>DRS6-309</v>
      </c>
      <c r="L695" s="58" t="s">
        <v>61</v>
      </c>
      <c r="M695" s="40" t="s">
        <v>156</v>
      </c>
      <c r="N695" s="40" t="str">
        <f>VLOOKUP(L695,'Raw material list'!$A$3:$E$715,5,0)</f>
        <v xml:space="preserve">Gram </v>
      </c>
      <c r="O695" s="40">
        <v>1</v>
      </c>
      <c r="P695" s="299">
        <f t="shared" si="41"/>
        <v>1</v>
      </c>
      <c r="Q695" s="40">
        <v>100</v>
      </c>
      <c r="R695" s="40">
        <v>10</v>
      </c>
      <c r="S695" s="40"/>
      <c r="T695" s="105">
        <f t="shared" si="40"/>
        <v>0.1</v>
      </c>
      <c r="U695" s="105">
        <f t="shared" si="42"/>
        <v>0.1</v>
      </c>
      <c r="V695" s="104">
        <f>IFERROR(VLOOKUP(L695,'Raw material list'!$A$2:$S$3102,6,0),0)</f>
        <v>2.8000000000000001E-2</v>
      </c>
      <c r="W695" s="104">
        <f t="shared" si="43"/>
        <v>2.8000000000000004E-3</v>
      </c>
    </row>
    <row r="696" spans="1:23" hidden="1" x14ac:dyDescent="0.55000000000000004">
      <c r="A696" s="41" t="s">
        <v>1517</v>
      </c>
      <c r="B696" s="41" t="s">
        <v>35</v>
      </c>
      <c r="C696" s="41" t="s">
        <v>10</v>
      </c>
      <c r="D696" s="58" t="str">
        <f t="shared" si="45"/>
        <v>Meat Mandi with tahina sauce</v>
      </c>
      <c r="E696" s="58" t="s">
        <v>1507</v>
      </c>
      <c r="F696" s="58" t="s">
        <v>2079</v>
      </c>
      <c r="G696" s="41" t="s">
        <v>11</v>
      </c>
      <c r="H696" s="41" t="s">
        <v>1774</v>
      </c>
      <c r="I696" s="58"/>
      <c r="J696" s="58"/>
      <c r="K696" s="41" t="str">
        <f>IFERROR(VLOOKUP(L696,'Raw material list'!$A$3:$C$715,3,0),"")</f>
        <v>PRD1-209</v>
      </c>
      <c r="L696" s="58" t="s">
        <v>86</v>
      </c>
      <c r="M696" s="40" t="s">
        <v>156</v>
      </c>
      <c r="N696" s="40" t="str">
        <f>VLOOKUP(L696,'Raw material list'!$A$3:$E$715,5,0)</f>
        <v xml:space="preserve">Gram </v>
      </c>
      <c r="O696" s="40">
        <v>40</v>
      </c>
      <c r="P696" s="299">
        <f t="shared" si="41"/>
        <v>50.420168067226889</v>
      </c>
      <c r="Q696" s="105">
        <v>79.333333333333329</v>
      </c>
      <c r="R696" s="40">
        <v>10</v>
      </c>
      <c r="S696" s="40"/>
      <c r="T696" s="105">
        <f t="shared" si="40"/>
        <v>4</v>
      </c>
      <c r="U696" s="105">
        <f t="shared" si="42"/>
        <v>5.0420168067226889</v>
      </c>
      <c r="V696" s="104">
        <f>IFERROR(VLOOKUP(L696,'Raw material list'!$A$2:$S$3102,6,0),0)</f>
        <v>1.0088272383354349E-2</v>
      </c>
      <c r="W696" s="104">
        <f t="shared" si="43"/>
        <v>5.0865238907668982E-2</v>
      </c>
    </row>
    <row r="697" spans="1:23" hidden="1" x14ac:dyDescent="0.55000000000000004">
      <c r="A697" s="41" t="s">
        <v>1517</v>
      </c>
      <c r="B697" s="41" t="s">
        <v>35</v>
      </c>
      <c r="C697" s="41" t="s">
        <v>10</v>
      </c>
      <c r="D697" s="58" t="str">
        <f t="shared" si="45"/>
        <v>Meat Mandi with tahina sauce</v>
      </c>
      <c r="E697" s="58" t="s">
        <v>1507</v>
      </c>
      <c r="F697" s="58" t="s">
        <v>2079</v>
      </c>
      <c r="G697" s="41" t="s">
        <v>11</v>
      </c>
      <c r="H697" s="41" t="s">
        <v>1774</v>
      </c>
      <c r="I697" s="58"/>
      <c r="J697" s="58"/>
      <c r="K697" s="41" t="str">
        <f>IFERROR(VLOOKUP(L697,'Raw material list'!$A$3:$C$715,3,0),"")</f>
        <v>DRS1-3448</v>
      </c>
      <c r="L697" s="58" t="s">
        <v>87</v>
      </c>
      <c r="M697" s="40" t="s">
        <v>156</v>
      </c>
      <c r="N697" s="40" t="str">
        <f>VLOOKUP(L697,'Raw material list'!$A$3:$E$715,5,0)</f>
        <v xml:space="preserve">Gram </v>
      </c>
      <c r="O697" s="40">
        <v>2</v>
      </c>
      <c r="P697" s="299">
        <f t="shared" si="41"/>
        <v>2</v>
      </c>
      <c r="Q697" s="300">
        <v>100</v>
      </c>
      <c r="R697" s="40">
        <v>10</v>
      </c>
      <c r="S697" s="40"/>
      <c r="T697" s="105">
        <f t="shared" si="40"/>
        <v>0.2</v>
      </c>
      <c r="U697" s="105">
        <f t="shared" si="42"/>
        <v>0.2</v>
      </c>
      <c r="V697" s="104">
        <f>IFERROR(VLOOKUP(L697,'Raw material list'!$A$2:$S$3102,6,0),0)</f>
        <v>5.0000000000000001E-3</v>
      </c>
      <c r="W697" s="104">
        <f t="shared" si="43"/>
        <v>1E-3</v>
      </c>
    </row>
    <row r="698" spans="1:23" hidden="1" x14ac:dyDescent="0.55000000000000004">
      <c r="A698" s="41" t="s">
        <v>1517</v>
      </c>
      <c r="B698" s="41" t="s">
        <v>35</v>
      </c>
      <c r="C698" s="41" t="s">
        <v>10</v>
      </c>
      <c r="D698" s="58" t="str">
        <f t="shared" si="45"/>
        <v>Meat Mandi with tahina sauce</v>
      </c>
      <c r="E698" s="58" t="s">
        <v>1507</v>
      </c>
      <c r="F698" s="58" t="s">
        <v>2079</v>
      </c>
      <c r="G698" s="41" t="s">
        <v>11</v>
      </c>
      <c r="H698" s="41" t="s">
        <v>1774</v>
      </c>
      <c r="I698" s="58"/>
      <c r="J698" s="58"/>
      <c r="K698" s="41" t="str">
        <f>IFERROR(VLOOKUP(L698,'Raw material list'!$A$3:$C$715,3,0),"")</f>
        <v>DRS1-3880</v>
      </c>
      <c r="L698" s="59" t="s">
        <v>1433</v>
      </c>
      <c r="M698" s="40" t="s">
        <v>156</v>
      </c>
      <c r="N698" s="40" t="str">
        <f>VLOOKUP(L698,'Raw material list'!$A$3:$E$715,5,0)</f>
        <v xml:space="preserve">Gram </v>
      </c>
      <c r="O698" s="40">
        <v>5</v>
      </c>
      <c r="P698" s="299">
        <f t="shared" si="41"/>
        <v>5</v>
      </c>
      <c r="Q698" s="40">
        <v>100</v>
      </c>
      <c r="R698" s="40">
        <v>10</v>
      </c>
      <c r="S698" s="40"/>
      <c r="T698" s="105">
        <f t="shared" si="40"/>
        <v>0.5</v>
      </c>
      <c r="U698" s="105">
        <f t="shared" si="42"/>
        <v>0.5</v>
      </c>
      <c r="V698" s="104">
        <f>IFERROR(VLOOKUP(L698,'Raw material list'!$A$2:$S$3102,6,0),0)</f>
        <v>5.0000000000000001E-4</v>
      </c>
      <c r="W698" s="104">
        <f t="shared" si="43"/>
        <v>2.5000000000000001E-4</v>
      </c>
    </row>
    <row r="699" spans="1:23" hidden="1" x14ac:dyDescent="0.55000000000000004">
      <c r="A699" s="41" t="s">
        <v>1517</v>
      </c>
      <c r="B699" s="41" t="s">
        <v>35</v>
      </c>
      <c r="C699" s="41" t="s">
        <v>10</v>
      </c>
      <c r="D699" s="58" t="str">
        <f t="shared" si="45"/>
        <v>Meat Mandi with tahina sauce</v>
      </c>
      <c r="E699" s="58" t="s">
        <v>1507</v>
      </c>
      <c r="F699" s="58" t="s">
        <v>2081</v>
      </c>
      <c r="G699" s="41" t="s">
        <v>11</v>
      </c>
      <c r="H699" s="41" t="s">
        <v>1774</v>
      </c>
      <c r="I699" s="58"/>
      <c r="J699" s="58"/>
      <c r="K699" s="41" t="str">
        <f>IFERROR(VLOOKUP(L699,'Raw material list'!$A$3:$C$715,3,0),"")</f>
        <v>MET2-3558</v>
      </c>
      <c r="L699" s="59" t="s">
        <v>909</v>
      </c>
      <c r="M699" s="40" t="s">
        <v>156</v>
      </c>
      <c r="N699" s="40" t="str">
        <f>VLOOKUP(L699,'Raw material list'!$A$3:$E$715,5,0)</f>
        <v xml:space="preserve">Gram </v>
      </c>
      <c r="O699" s="40">
        <v>1000</v>
      </c>
      <c r="P699" s="299">
        <f t="shared" si="41"/>
        <v>1117.31843575419</v>
      </c>
      <c r="Q699" s="40">
        <v>89.5</v>
      </c>
      <c r="R699" s="40">
        <v>10</v>
      </c>
      <c r="S699" s="40"/>
      <c r="T699" s="105">
        <f t="shared" si="40"/>
        <v>100</v>
      </c>
      <c r="U699" s="105">
        <f t="shared" si="42"/>
        <v>111.73184357541899</v>
      </c>
      <c r="V699" s="104">
        <f>IFERROR(VLOOKUP(L699,'Raw material list'!$A$2:$S$3102,6,0),0)</f>
        <v>8.7272727272727266E-2</v>
      </c>
      <c r="W699" s="104">
        <f t="shared" si="43"/>
        <v>9.7511427120365664</v>
      </c>
    </row>
    <row r="700" spans="1:23" hidden="1" x14ac:dyDescent="0.55000000000000004">
      <c r="A700" s="41" t="s">
        <v>1517</v>
      </c>
      <c r="B700" s="41" t="s">
        <v>35</v>
      </c>
      <c r="C700" s="41" t="s">
        <v>10</v>
      </c>
      <c r="D700" s="58" t="str">
        <f t="shared" si="45"/>
        <v>Meat Mandi with tahina sauce</v>
      </c>
      <c r="E700" s="58" t="s">
        <v>1507</v>
      </c>
      <c r="F700" s="58" t="s">
        <v>2079</v>
      </c>
      <c r="G700" s="41" t="s">
        <v>11</v>
      </c>
      <c r="H700" s="41" t="s">
        <v>1774</v>
      </c>
      <c r="I700" s="58"/>
      <c r="J700" s="58"/>
      <c r="K700" s="41" t="str">
        <f>IFERROR(VLOOKUP(L700,'Raw material list'!$A$3:$C$715,3,0),"")</f>
        <v>PRD3-5038</v>
      </c>
      <c r="L700" s="59" t="s">
        <v>965</v>
      </c>
      <c r="M700" s="40" t="s">
        <v>156</v>
      </c>
      <c r="N700" s="40" t="str">
        <f>VLOOKUP(L700,'Raw material list'!$A$3:$E$715,5,0)</f>
        <v xml:space="preserve">Gram </v>
      </c>
      <c r="O700" s="40">
        <v>100</v>
      </c>
      <c r="P700" s="299">
        <f t="shared" si="41"/>
        <v>100</v>
      </c>
      <c r="Q700" s="40">
        <v>100</v>
      </c>
      <c r="R700" s="40">
        <v>10</v>
      </c>
      <c r="S700" s="40"/>
      <c r="T700" s="105">
        <f t="shared" si="40"/>
        <v>10</v>
      </c>
      <c r="U700" s="105">
        <f t="shared" si="42"/>
        <v>10</v>
      </c>
      <c r="V700" s="104">
        <f>IFERROR(VLOOKUP(L700,'Raw material list'!$A$2:$S$3102,6,0),0)</f>
        <v>2.5999999999999999E-2</v>
      </c>
      <c r="W700" s="104">
        <f t="shared" si="43"/>
        <v>0.26</v>
      </c>
    </row>
    <row r="701" spans="1:23" hidden="1" x14ac:dyDescent="0.55000000000000004">
      <c r="A701" s="41" t="s">
        <v>1517</v>
      </c>
      <c r="B701" s="41" t="s">
        <v>35</v>
      </c>
      <c r="C701" s="41" t="s">
        <v>10</v>
      </c>
      <c r="D701" s="58" t="str">
        <f t="shared" si="45"/>
        <v>Meat Mandi with tahina sauce</v>
      </c>
      <c r="E701" s="58" t="s">
        <v>1507</v>
      </c>
      <c r="F701" s="58" t="s">
        <v>2079</v>
      </c>
      <c r="G701" s="41" t="s">
        <v>11</v>
      </c>
      <c r="H701" s="41" t="s">
        <v>1774</v>
      </c>
      <c r="I701" s="58"/>
      <c r="J701" s="58"/>
      <c r="K701" s="41" t="str">
        <f>IFERROR(VLOOKUP(L701,'Raw material list'!$A$3:$C$715,3,0),"")</f>
        <v>PRD1-4327</v>
      </c>
      <c r="L701" s="59" t="s">
        <v>39</v>
      </c>
      <c r="M701" s="40" t="s">
        <v>156</v>
      </c>
      <c r="N701" s="40" t="str">
        <f>VLOOKUP(L701,'Raw material list'!$A$3:$E$715,5,0)</f>
        <v xml:space="preserve">Gram </v>
      </c>
      <c r="O701" s="40">
        <v>10</v>
      </c>
      <c r="P701" s="299">
        <f t="shared" si="41"/>
        <v>12.048192771084338</v>
      </c>
      <c r="Q701" s="105">
        <v>83</v>
      </c>
      <c r="R701" s="40">
        <v>10</v>
      </c>
      <c r="S701" s="40"/>
      <c r="T701" s="105">
        <f t="shared" si="40"/>
        <v>1</v>
      </c>
      <c r="U701" s="105">
        <f t="shared" si="42"/>
        <v>1.2048192771084338</v>
      </c>
      <c r="V701" s="104">
        <f>IFERROR(VLOOKUP(L701,'Raw material list'!$A$2:$S$3102,6,0),0)</f>
        <v>1.2999999999999999E-2</v>
      </c>
      <c r="W701" s="104">
        <f t="shared" si="43"/>
        <v>1.566265060240964E-2</v>
      </c>
    </row>
    <row r="702" spans="1:23" hidden="1" x14ac:dyDescent="0.55000000000000004">
      <c r="A702" s="41" t="s">
        <v>1517</v>
      </c>
      <c r="B702" s="41" t="s">
        <v>35</v>
      </c>
      <c r="C702" s="41" t="s">
        <v>10</v>
      </c>
      <c r="D702" s="58" t="str">
        <f t="shared" si="45"/>
        <v>Meat Mandi with tahina sauce</v>
      </c>
      <c r="E702" s="58" t="s">
        <v>1507</v>
      </c>
      <c r="F702" s="58" t="s">
        <v>2079</v>
      </c>
      <c r="G702" s="41" t="s">
        <v>11</v>
      </c>
      <c r="H702" s="41" t="s">
        <v>1774</v>
      </c>
      <c r="I702" s="58"/>
      <c r="J702" s="58"/>
      <c r="K702" s="41" t="str">
        <f>IFERROR(VLOOKUP(L702,'Raw material list'!$A$3:$C$715,3,0),"")</f>
        <v>DRS1-1747</v>
      </c>
      <c r="L702" s="59" t="s">
        <v>44</v>
      </c>
      <c r="M702" s="40" t="s">
        <v>156</v>
      </c>
      <c r="N702" s="40" t="str">
        <f>VLOOKUP(L702,'Raw material list'!$A$3:$E$715,5,0)</f>
        <v xml:space="preserve">Gram </v>
      </c>
      <c r="O702" s="40">
        <v>50</v>
      </c>
      <c r="P702" s="299">
        <f t="shared" si="41"/>
        <v>50</v>
      </c>
      <c r="Q702" s="300">
        <v>100</v>
      </c>
      <c r="R702" s="40">
        <v>10</v>
      </c>
      <c r="S702" s="40"/>
      <c r="T702" s="105">
        <f t="shared" si="40"/>
        <v>5</v>
      </c>
      <c r="U702" s="105">
        <f t="shared" si="42"/>
        <v>5</v>
      </c>
      <c r="V702" s="104">
        <f>IFERROR(VLOOKUP(L702,'Raw material list'!$A$2:$S$3102,6,0),0)</f>
        <v>5.185185185185185E-3</v>
      </c>
      <c r="W702" s="104">
        <f t="shared" si="43"/>
        <v>2.5925925925925925E-2</v>
      </c>
    </row>
    <row r="703" spans="1:23" hidden="1" x14ac:dyDescent="0.55000000000000004">
      <c r="A703" s="41" t="s">
        <v>1517</v>
      </c>
      <c r="B703" s="41" t="s">
        <v>35</v>
      </c>
      <c r="C703" s="41" t="s">
        <v>10</v>
      </c>
      <c r="D703" s="58" t="str">
        <f t="shared" si="45"/>
        <v>Meat Mandi with tahina sauce</v>
      </c>
      <c r="E703" s="58" t="s">
        <v>1507</v>
      </c>
      <c r="F703" s="58" t="s">
        <v>2079</v>
      </c>
      <c r="G703" s="41" t="s">
        <v>11</v>
      </c>
      <c r="H703" s="41" t="s">
        <v>1774</v>
      </c>
      <c r="I703" s="58"/>
      <c r="J703" s="58"/>
      <c r="K703" s="41" t="str">
        <f>IFERROR(VLOOKUP(L703,'Raw material list'!$A$3:$C$715,3,0),"")</f>
        <v>DRS6-1674</v>
      </c>
      <c r="L703" s="59" t="s">
        <v>73</v>
      </c>
      <c r="M703" s="40" t="s">
        <v>156</v>
      </c>
      <c r="N703" s="40" t="str">
        <f>VLOOKUP(L703,'Raw material list'!$A$3:$E$715,5,0)</f>
        <v xml:space="preserve">Gram </v>
      </c>
      <c r="O703" s="40">
        <v>2</v>
      </c>
      <c r="P703" s="299">
        <f t="shared" si="41"/>
        <v>2</v>
      </c>
      <c r="Q703" s="40">
        <v>100</v>
      </c>
      <c r="R703" s="40">
        <v>10</v>
      </c>
      <c r="S703" s="40"/>
      <c r="T703" s="105">
        <f t="shared" si="40"/>
        <v>0.2</v>
      </c>
      <c r="U703" s="105">
        <f t="shared" si="42"/>
        <v>0.2</v>
      </c>
      <c r="V703" s="104">
        <f>IFERROR(VLOOKUP(L703,'Raw material list'!$A$2:$S$3102,6,0),0)</f>
        <v>1.2500000000000001E-2</v>
      </c>
      <c r="W703" s="104">
        <f t="shared" si="43"/>
        <v>2.5000000000000005E-3</v>
      </c>
    </row>
    <row r="704" spans="1:23" hidden="1" x14ac:dyDescent="0.55000000000000004">
      <c r="A704" s="41" t="s">
        <v>1517</v>
      </c>
      <c r="B704" s="41" t="s">
        <v>35</v>
      </c>
      <c r="C704" s="41" t="s">
        <v>10</v>
      </c>
      <c r="D704" s="58" t="str">
        <f t="shared" si="45"/>
        <v>Meat Mandi with tahina sauce</v>
      </c>
      <c r="E704" s="58" t="s">
        <v>1507</v>
      </c>
      <c r="F704" s="58" t="s">
        <v>2079</v>
      </c>
      <c r="G704" s="41" t="s">
        <v>11</v>
      </c>
      <c r="H704" s="41" t="s">
        <v>1774</v>
      </c>
      <c r="I704" s="58"/>
      <c r="J704" s="58"/>
      <c r="K704" s="41" t="str">
        <f>IFERROR(VLOOKUP(L704,'Raw material list'!$A$3:$C$715,3,0),"")</f>
        <v>DRS6-1020</v>
      </c>
      <c r="L704" s="59" t="s">
        <v>76</v>
      </c>
      <c r="M704" s="40" t="s">
        <v>156</v>
      </c>
      <c r="N704" s="40" t="str">
        <f>VLOOKUP(L704,'Raw material list'!$A$3:$E$715,5,0)</f>
        <v xml:space="preserve">Gram </v>
      </c>
      <c r="O704" s="40">
        <v>2</v>
      </c>
      <c r="P704" s="299">
        <f t="shared" si="41"/>
        <v>2</v>
      </c>
      <c r="Q704" s="40">
        <v>100</v>
      </c>
      <c r="R704" s="40">
        <v>10</v>
      </c>
      <c r="S704" s="40"/>
      <c r="T704" s="105">
        <f t="shared" si="40"/>
        <v>0.2</v>
      </c>
      <c r="U704" s="105">
        <f t="shared" si="42"/>
        <v>0.2</v>
      </c>
      <c r="V704" s="104">
        <f>IFERROR(VLOOKUP(L704,'Raw material list'!$A$2:$S$3102,6,0),0)</f>
        <v>5.5E-2</v>
      </c>
      <c r="W704" s="104">
        <f t="shared" si="43"/>
        <v>1.1000000000000001E-2</v>
      </c>
    </row>
    <row r="705" spans="1:23" hidden="1" x14ac:dyDescent="0.55000000000000004">
      <c r="A705" s="41" t="s">
        <v>1517</v>
      </c>
      <c r="B705" s="41" t="s">
        <v>35</v>
      </c>
      <c r="C705" s="41" t="s">
        <v>10</v>
      </c>
      <c r="D705" s="58" t="str">
        <f t="shared" si="45"/>
        <v>Meat Mandi with tahina sauce</v>
      </c>
      <c r="E705" s="58" t="s">
        <v>1507</v>
      </c>
      <c r="F705" s="58" t="s">
        <v>2079</v>
      </c>
      <c r="G705" s="41" t="s">
        <v>11</v>
      </c>
      <c r="H705" s="41" t="s">
        <v>1774</v>
      </c>
      <c r="I705" s="58"/>
      <c r="J705" s="58"/>
      <c r="K705" s="41" t="str">
        <f>IFERROR(VLOOKUP(L705,'Raw material list'!$A$3:$C$715,3,0),"")</f>
        <v>DRS6-3593</v>
      </c>
      <c r="L705" s="59" t="s">
        <v>1407</v>
      </c>
      <c r="M705" s="40" t="s">
        <v>156</v>
      </c>
      <c r="N705" s="40" t="str">
        <f>VLOOKUP(L705,'Raw material list'!$A$3:$E$715,5,0)</f>
        <v xml:space="preserve">Gram </v>
      </c>
      <c r="O705" s="40">
        <v>2</v>
      </c>
      <c r="P705" s="299">
        <f t="shared" si="41"/>
        <v>2</v>
      </c>
      <c r="Q705" s="40">
        <v>100</v>
      </c>
      <c r="R705" s="40">
        <v>10</v>
      </c>
      <c r="S705" s="40"/>
      <c r="T705" s="105">
        <f t="shared" si="40"/>
        <v>0.2</v>
      </c>
      <c r="U705" s="105">
        <f t="shared" si="42"/>
        <v>0.2</v>
      </c>
      <c r="V705" s="104">
        <f>IFERROR(VLOOKUP(L705,'Raw material list'!$A$2:$S$3102,6,0),0)</f>
        <v>8.0000000000000002E-3</v>
      </c>
      <c r="W705" s="104">
        <f t="shared" si="43"/>
        <v>1.6000000000000001E-3</v>
      </c>
    </row>
    <row r="706" spans="1:23" hidden="1" x14ac:dyDescent="0.55000000000000004">
      <c r="A706" s="41" t="s">
        <v>1518</v>
      </c>
      <c r="B706" s="41" t="s">
        <v>35</v>
      </c>
      <c r="C706" s="41" t="s">
        <v>10</v>
      </c>
      <c r="D706" s="58" t="s">
        <v>20</v>
      </c>
      <c r="E706" s="58" t="s">
        <v>1507</v>
      </c>
      <c r="F706" s="58" t="s">
        <v>2081</v>
      </c>
      <c r="G706" s="41" t="s">
        <v>11</v>
      </c>
      <c r="H706" s="58" t="s">
        <v>1773</v>
      </c>
      <c r="I706" s="58"/>
      <c r="J706" s="58"/>
      <c r="K706" s="41" t="str">
        <f>IFERROR(VLOOKUP(L706,'Raw material list'!$A$3:$C$715,3,0),"")</f>
        <v>PLT2-3278</v>
      </c>
      <c r="L706" s="59" t="s">
        <v>80</v>
      </c>
      <c r="M706" s="40" t="s">
        <v>156</v>
      </c>
      <c r="N706" s="40" t="str">
        <f>VLOOKUP(L706,'Raw material list'!$A$3:$E$715,5,0)</f>
        <v xml:space="preserve">Gram </v>
      </c>
      <c r="O706" s="40">
        <v>700</v>
      </c>
      <c r="P706" s="299">
        <f t="shared" si="41"/>
        <v>918.63517060367462</v>
      </c>
      <c r="Q706" s="40">
        <v>76.2</v>
      </c>
      <c r="R706" s="40">
        <v>10</v>
      </c>
      <c r="S706" s="40"/>
      <c r="T706" s="105">
        <f t="shared" si="40"/>
        <v>70</v>
      </c>
      <c r="U706" s="105">
        <f t="shared" si="42"/>
        <v>91.863517060367457</v>
      </c>
      <c r="V706" s="104">
        <f>IFERROR(VLOOKUP(L706,'Raw material list'!$A$2:$S$3102,6,0),0)</f>
        <v>3.0357142857142853E-2</v>
      </c>
      <c r="W706" s="104">
        <f t="shared" si="43"/>
        <v>2.7887139107611545</v>
      </c>
    </row>
    <row r="707" spans="1:23" hidden="1" x14ac:dyDescent="0.55000000000000004">
      <c r="A707" s="41" t="s">
        <v>1518</v>
      </c>
      <c r="B707" s="41" t="s">
        <v>35</v>
      </c>
      <c r="C707" s="41" t="s">
        <v>10</v>
      </c>
      <c r="D707" s="58" t="str">
        <f t="shared" ref="D707:D717" si="46">D706</f>
        <v>Chicken Fajita Sandwich</v>
      </c>
      <c r="E707" s="58" t="s">
        <v>1507</v>
      </c>
      <c r="F707" s="58" t="s">
        <v>2079</v>
      </c>
      <c r="G707" s="41" t="s">
        <v>11</v>
      </c>
      <c r="H707" s="58" t="s">
        <v>1773</v>
      </c>
      <c r="I707" s="58"/>
      <c r="J707" s="58"/>
      <c r="K707" s="41" t="str">
        <f>IFERROR(VLOOKUP(L707,'Raw material list'!$A$3:$C$715,3,0),"")</f>
        <v>PRD1-4265</v>
      </c>
      <c r="L707" s="59" t="s">
        <v>38</v>
      </c>
      <c r="M707" s="40" t="s">
        <v>156</v>
      </c>
      <c r="N707" s="40" t="str">
        <f>VLOOKUP(L707,'Raw material list'!$A$3:$E$715,5,0)</f>
        <v xml:space="preserve">Gram </v>
      </c>
      <c r="O707" s="40">
        <v>250</v>
      </c>
      <c r="P707" s="299">
        <f t="shared" si="41"/>
        <v>294.11764705882354</v>
      </c>
      <c r="Q707" s="105">
        <v>85</v>
      </c>
      <c r="R707" s="40">
        <v>10</v>
      </c>
      <c r="S707" s="40"/>
      <c r="T707" s="105">
        <f t="shared" si="40"/>
        <v>25</v>
      </c>
      <c r="U707" s="105">
        <f t="shared" si="42"/>
        <v>29.411764705882355</v>
      </c>
      <c r="V707" s="104">
        <f>IFERROR(VLOOKUP(L707,'Raw material list'!$A$2:$S$3102,6,0),0)</f>
        <v>3.529411764705882E-3</v>
      </c>
      <c r="W707" s="104">
        <f t="shared" si="43"/>
        <v>0.10380622837370242</v>
      </c>
    </row>
    <row r="708" spans="1:23" hidden="1" x14ac:dyDescent="0.55000000000000004">
      <c r="A708" s="41" t="s">
        <v>1518</v>
      </c>
      <c r="B708" s="41" t="s">
        <v>35</v>
      </c>
      <c r="C708" s="41" t="s">
        <v>10</v>
      </c>
      <c r="D708" s="58" t="str">
        <f t="shared" si="46"/>
        <v>Chicken Fajita Sandwich</v>
      </c>
      <c r="E708" s="58" t="s">
        <v>1507</v>
      </c>
      <c r="F708" s="58" t="s">
        <v>2079</v>
      </c>
      <c r="G708" s="41" t="s">
        <v>11</v>
      </c>
      <c r="H708" s="58" t="s">
        <v>1773</v>
      </c>
      <c r="I708" s="58"/>
      <c r="J708" s="58"/>
      <c r="K708" s="41" t="str">
        <f>IFERROR(VLOOKUP(L708,'Raw material list'!$A$3:$C$715,3,0),"")</f>
        <v>PRD1-240</v>
      </c>
      <c r="L708" s="59" t="s">
        <v>82</v>
      </c>
      <c r="M708" s="40" t="s">
        <v>156</v>
      </c>
      <c r="N708" s="40" t="str">
        <f>VLOOKUP(L708,'Raw material list'!$A$3:$E$715,5,0)</f>
        <v xml:space="preserve">Gram </v>
      </c>
      <c r="O708" s="40">
        <v>100</v>
      </c>
      <c r="P708" s="299">
        <f t="shared" si="41"/>
        <v>147.78325123152712</v>
      </c>
      <c r="Q708" s="105">
        <v>67.666666666666657</v>
      </c>
      <c r="R708" s="40">
        <v>10</v>
      </c>
      <c r="S708" s="40"/>
      <c r="T708" s="105">
        <f t="shared" si="40"/>
        <v>10</v>
      </c>
      <c r="U708" s="105">
        <f t="shared" si="42"/>
        <v>14.778325123152712</v>
      </c>
      <c r="V708" s="104">
        <f>IFERROR(VLOOKUP(L708,'Raw material list'!$A$2:$S$3102,6,0),0)</f>
        <v>1.3293943870014769E-2</v>
      </c>
      <c r="W708" s="104">
        <f t="shared" si="43"/>
        <v>0.19646222468002125</v>
      </c>
    </row>
    <row r="709" spans="1:23" hidden="1" x14ac:dyDescent="0.55000000000000004">
      <c r="A709" s="41" t="s">
        <v>1518</v>
      </c>
      <c r="B709" s="41" t="s">
        <v>35</v>
      </c>
      <c r="C709" s="41" t="s">
        <v>10</v>
      </c>
      <c r="D709" s="58" t="str">
        <f t="shared" si="46"/>
        <v>Chicken Fajita Sandwich</v>
      </c>
      <c r="E709" s="58" t="s">
        <v>1507</v>
      </c>
      <c r="F709" s="58" t="s">
        <v>2079</v>
      </c>
      <c r="G709" s="41" t="s">
        <v>11</v>
      </c>
      <c r="H709" s="58" t="s">
        <v>1773</v>
      </c>
      <c r="I709" s="58"/>
      <c r="J709" s="58"/>
      <c r="K709" s="41" t="str">
        <f>IFERROR(VLOOKUP(L709,'Raw material list'!$A$3:$C$715,3,0),"")</f>
        <v>DRS1-1142</v>
      </c>
      <c r="L709" s="59" t="s">
        <v>84</v>
      </c>
      <c r="M709" s="40" t="s">
        <v>206</v>
      </c>
      <c r="N709" s="40" t="str">
        <f>VLOOKUP(L709,'Raw material list'!$A$3:$E$715,5,0)</f>
        <v>Ml</v>
      </c>
      <c r="O709" s="40">
        <v>50</v>
      </c>
      <c r="P709" s="299">
        <f t="shared" si="41"/>
        <v>50</v>
      </c>
      <c r="Q709" s="300">
        <v>100</v>
      </c>
      <c r="R709" s="40">
        <v>10</v>
      </c>
      <c r="S709" s="40"/>
      <c r="T709" s="105">
        <f t="shared" ref="T709:T772" si="47">IFERROR(O709/R709,0)</f>
        <v>5</v>
      </c>
      <c r="U709" s="105">
        <f t="shared" si="42"/>
        <v>5</v>
      </c>
      <c r="V709" s="104">
        <f>IFERROR(VLOOKUP(L709,'Raw material list'!$A$2:$S$3102,6,0),0)</f>
        <v>2.3579999999999997E-2</v>
      </c>
      <c r="W709" s="104">
        <f t="shared" si="43"/>
        <v>0.11789999999999998</v>
      </c>
    </row>
    <row r="710" spans="1:23" hidden="1" x14ac:dyDescent="0.55000000000000004">
      <c r="A710" s="41" t="s">
        <v>1518</v>
      </c>
      <c r="B710" s="41" t="s">
        <v>35</v>
      </c>
      <c r="C710" s="41" t="s">
        <v>10</v>
      </c>
      <c r="D710" s="58" t="str">
        <f t="shared" si="46"/>
        <v>Chicken Fajita Sandwich</v>
      </c>
      <c r="E710" s="58" t="s">
        <v>1507</v>
      </c>
      <c r="F710" s="58" t="s">
        <v>2079</v>
      </c>
      <c r="G710" s="41" t="s">
        <v>11</v>
      </c>
      <c r="H710" s="58" t="s">
        <v>1773</v>
      </c>
      <c r="I710" s="58"/>
      <c r="J710" s="58"/>
      <c r="K710" s="41" t="str">
        <f>IFERROR(VLOOKUP(L710,'Raw material list'!$A$3:$C$715,3,0),"")</f>
        <v>BKR1-1328</v>
      </c>
      <c r="L710" s="59" t="s">
        <v>157</v>
      </c>
      <c r="M710" s="40" t="s">
        <v>48</v>
      </c>
      <c r="N710" s="40" t="str">
        <f>VLOOKUP(L710,'Raw material list'!$A$3:$E$715,5,0)</f>
        <v>Each</v>
      </c>
      <c r="O710" s="40">
        <v>10</v>
      </c>
      <c r="P710" s="299">
        <f t="shared" ref="P710:P773" si="48">O710/Q710*100</f>
        <v>10</v>
      </c>
      <c r="Q710" s="40">
        <v>100</v>
      </c>
      <c r="R710" s="40">
        <v>10</v>
      </c>
      <c r="S710" s="40"/>
      <c r="T710" s="105">
        <f t="shared" si="47"/>
        <v>1</v>
      </c>
      <c r="U710" s="105">
        <f t="shared" ref="U710:U773" si="49">IFERROR(P710/R710,0)</f>
        <v>1</v>
      </c>
      <c r="V710" s="104">
        <f>IFERROR(VLOOKUP(L710,'Raw material list'!$A$2:$S$3102,6,0),0)</f>
        <v>1</v>
      </c>
      <c r="W710" s="104">
        <f t="shared" ref="W710:W773" si="50">IFERROR(V710*U710,0)</f>
        <v>1</v>
      </c>
    </row>
    <row r="711" spans="1:23" hidden="1" x14ac:dyDescent="0.55000000000000004">
      <c r="A711" s="41" t="s">
        <v>1518</v>
      </c>
      <c r="B711" s="41" t="s">
        <v>35</v>
      </c>
      <c r="C711" s="41" t="s">
        <v>10</v>
      </c>
      <c r="D711" s="58" t="str">
        <f t="shared" si="46"/>
        <v>Chicken Fajita Sandwich</v>
      </c>
      <c r="E711" s="58" t="s">
        <v>1507</v>
      </c>
      <c r="F711" s="58" t="s">
        <v>2079</v>
      </c>
      <c r="G711" s="41" t="s">
        <v>11</v>
      </c>
      <c r="H711" s="58" t="s">
        <v>1773</v>
      </c>
      <c r="I711" s="58"/>
      <c r="J711" s="58"/>
      <c r="K711" s="41" t="str">
        <f>IFERROR(VLOOKUP(L711,'Raw material list'!$A$3:$C$715,3,0),"")</f>
        <v>DRY1-3344</v>
      </c>
      <c r="L711" s="59" t="s">
        <v>102</v>
      </c>
      <c r="M711" s="40" t="s">
        <v>156</v>
      </c>
      <c r="N711" s="40" t="str">
        <f>VLOOKUP(L711,'Raw material list'!$A$3:$E$715,5,0)</f>
        <v xml:space="preserve">Gram </v>
      </c>
      <c r="O711" s="40">
        <v>200</v>
      </c>
      <c r="P711" s="299">
        <f t="shared" si="48"/>
        <v>200</v>
      </c>
      <c r="Q711" s="40">
        <v>100</v>
      </c>
      <c r="R711" s="40">
        <v>10</v>
      </c>
      <c r="S711" s="40"/>
      <c r="T711" s="105">
        <f t="shared" si="47"/>
        <v>20</v>
      </c>
      <c r="U711" s="105">
        <f t="shared" si="49"/>
        <v>20</v>
      </c>
      <c r="V711" s="104">
        <f>IFERROR(VLOOKUP(L711,'Raw material list'!$A$2:$S$3102,6,0),0)</f>
        <v>2.3E-2</v>
      </c>
      <c r="W711" s="104">
        <f t="shared" si="50"/>
        <v>0.45999999999999996</v>
      </c>
    </row>
    <row r="712" spans="1:23" hidden="1" x14ac:dyDescent="0.55000000000000004">
      <c r="A712" s="41" t="s">
        <v>1518</v>
      </c>
      <c r="B712" s="41" t="s">
        <v>35</v>
      </c>
      <c r="C712" s="41" t="s">
        <v>10</v>
      </c>
      <c r="D712" s="58" t="str">
        <f t="shared" si="46"/>
        <v>Chicken Fajita Sandwich</v>
      </c>
      <c r="E712" s="58" t="s">
        <v>1507</v>
      </c>
      <c r="F712" s="58" t="s">
        <v>2079</v>
      </c>
      <c r="G712" s="41" t="s">
        <v>11</v>
      </c>
      <c r="H712" s="58" t="s">
        <v>1773</v>
      </c>
      <c r="I712" s="58"/>
      <c r="J712" s="58"/>
      <c r="K712" s="41" t="str">
        <f>IFERROR(VLOOKUP(L712,'Raw material list'!$A$3:$C$715,3,0),"")</f>
        <v>DRS1-4181</v>
      </c>
      <c r="L712" s="59" t="s">
        <v>103</v>
      </c>
      <c r="M712" s="40" t="s">
        <v>156</v>
      </c>
      <c r="N712" s="40" t="str">
        <f>VLOOKUP(L712,'Raw material list'!$A$3:$E$715,5,0)</f>
        <v xml:space="preserve">Gram </v>
      </c>
      <c r="O712" s="40">
        <v>200</v>
      </c>
      <c r="P712" s="299">
        <f t="shared" si="48"/>
        <v>200</v>
      </c>
      <c r="Q712" s="40">
        <v>100</v>
      </c>
      <c r="R712" s="40">
        <v>10</v>
      </c>
      <c r="S712" s="40"/>
      <c r="T712" s="105">
        <f t="shared" si="47"/>
        <v>20</v>
      </c>
      <c r="U712" s="105">
        <f t="shared" si="49"/>
        <v>20</v>
      </c>
      <c r="V712" s="104">
        <f>IFERROR(VLOOKUP(L712,'Raw material list'!$A$2:$S$3102,6,0),0)</f>
        <v>3.2000000000000001E-2</v>
      </c>
      <c r="W712" s="104">
        <f t="shared" si="50"/>
        <v>0.64</v>
      </c>
    </row>
    <row r="713" spans="1:23" hidden="1" x14ac:dyDescent="0.55000000000000004">
      <c r="A713" s="41" t="s">
        <v>1518</v>
      </c>
      <c r="B713" s="41" t="s">
        <v>35</v>
      </c>
      <c r="C713" s="41" t="s">
        <v>10</v>
      </c>
      <c r="D713" s="58" t="str">
        <f t="shared" si="46"/>
        <v>Chicken Fajita Sandwich</v>
      </c>
      <c r="E713" s="58" t="s">
        <v>1507</v>
      </c>
      <c r="F713" s="58" t="s">
        <v>2079</v>
      </c>
      <c r="G713" s="41" t="s">
        <v>11</v>
      </c>
      <c r="H713" s="58" t="s">
        <v>1773</v>
      </c>
      <c r="I713" s="58"/>
      <c r="J713" s="58"/>
      <c r="K713" s="41" t="str">
        <f>IFERROR(VLOOKUP(L713,'Raw material list'!$A$3:$C$715,3,0),"")</f>
        <v>PRD1-239</v>
      </c>
      <c r="L713" s="59" t="s">
        <v>1056</v>
      </c>
      <c r="M713" s="40" t="s">
        <v>156</v>
      </c>
      <c r="N713" s="40" t="str">
        <f>VLOOKUP(L713,'Raw material list'!$A$3:$E$715,5,0)</f>
        <v xml:space="preserve">Gram </v>
      </c>
      <c r="O713" s="40">
        <v>100</v>
      </c>
      <c r="P713" s="299">
        <f t="shared" si="48"/>
        <v>148.51485148514854</v>
      </c>
      <c r="Q713" s="105">
        <v>67.333333333333329</v>
      </c>
      <c r="R713" s="40">
        <v>10</v>
      </c>
      <c r="S713" s="40"/>
      <c r="T713" s="105">
        <f t="shared" si="47"/>
        <v>10</v>
      </c>
      <c r="U713" s="105">
        <f t="shared" si="49"/>
        <v>14.851485148514854</v>
      </c>
      <c r="V713" s="104">
        <f>IFERROR(VLOOKUP(L713,'Raw material list'!$A$2:$S$3102,6,0),0)</f>
        <v>6.6864784546805346E-3</v>
      </c>
      <c r="W713" s="104">
        <f t="shared" si="50"/>
        <v>9.9304135465552515E-2</v>
      </c>
    </row>
    <row r="714" spans="1:23" hidden="1" x14ac:dyDescent="0.55000000000000004">
      <c r="A714" s="41" t="s">
        <v>1518</v>
      </c>
      <c r="B714" s="41" t="s">
        <v>35</v>
      </c>
      <c r="C714" s="41" t="s">
        <v>10</v>
      </c>
      <c r="D714" s="58" t="str">
        <f t="shared" si="46"/>
        <v>Chicken Fajita Sandwich</v>
      </c>
      <c r="E714" s="58" t="s">
        <v>1507</v>
      </c>
      <c r="F714" s="58" t="s">
        <v>2079</v>
      </c>
      <c r="G714" s="41" t="s">
        <v>11</v>
      </c>
      <c r="H714" s="58" t="s">
        <v>1773</v>
      </c>
      <c r="I714" s="58"/>
      <c r="J714" s="58"/>
      <c r="K714" s="41" t="str">
        <f>IFERROR(VLOOKUP(L714,'Raw material list'!$A$3:$C$715,3,0),"")</f>
        <v>PRD1-241</v>
      </c>
      <c r="L714" s="59" t="s">
        <v>1059</v>
      </c>
      <c r="M714" s="40" t="s">
        <v>156</v>
      </c>
      <c r="N714" s="40" t="str">
        <f>VLOOKUP(L714,'Raw material list'!$A$3:$E$715,5,0)</f>
        <v xml:space="preserve">Gram </v>
      </c>
      <c r="O714" s="40">
        <v>100</v>
      </c>
      <c r="P714" s="299">
        <f t="shared" si="48"/>
        <v>146.55593551538837</v>
      </c>
      <c r="Q714" s="105">
        <v>68.233333333333334</v>
      </c>
      <c r="R714" s="40">
        <v>10</v>
      </c>
      <c r="S714" s="40"/>
      <c r="T714" s="105">
        <f t="shared" si="47"/>
        <v>10</v>
      </c>
      <c r="U714" s="105">
        <f t="shared" si="49"/>
        <v>14.655593551538837</v>
      </c>
      <c r="V714" s="104">
        <f>IFERROR(VLOOKUP(L714,'Raw material list'!$A$2:$S$3102,6,0),0)</f>
        <v>1.3196480938416421E-2</v>
      </c>
      <c r="W714" s="104">
        <f t="shared" si="50"/>
        <v>0.19340226094406088</v>
      </c>
    </row>
    <row r="715" spans="1:23" hidden="1" x14ac:dyDescent="0.55000000000000004">
      <c r="A715" s="41" t="s">
        <v>1518</v>
      </c>
      <c r="B715" s="41" t="s">
        <v>35</v>
      </c>
      <c r="C715" s="41" t="s">
        <v>10</v>
      </c>
      <c r="D715" s="58" t="str">
        <f t="shared" si="46"/>
        <v>Chicken Fajita Sandwich</v>
      </c>
      <c r="E715" s="58" t="s">
        <v>1507</v>
      </c>
      <c r="F715" s="58" t="s">
        <v>2079</v>
      </c>
      <c r="G715" s="41" t="s">
        <v>11</v>
      </c>
      <c r="H715" s="58" t="s">
        <v>1773</v>
      </c>
      <c r="I715" s="58"/>
      <c r="J715" s="58"/>
      <c r="K715" s="41" t="str">
        <f>IFERROR(VLOOKUP(L715,'Raw material list'!$A$3:$C$715,3,0),"")</f>
        <v>PRD2-1166</v>
      </c>
      <c r="L715" s="59" t="s">
        <v>1470</v>
      </c>
      <c r="M715" s="40" t="s">
        <v>156</v>
      </c>
      <c r="N715" s="40" t="str">
        <f>VLOOKUP(L715,'Raw material list'!$A$3:$E$715,5,0)</f>
        <v xml:space="preserve">Gram </v>
      </c>
      <c r="O715" s="40">
        <v>700</v>
      </c>
      <c r="P715" s="299">
        <f t="shared" si="48"/>
        <v>700</v>
      </c>
      <c r="Q715" s="300">
        <v>100</v>
      </c>
      <c r="R715" s="40">
        <v>10</v>
      </c>
      <c r="S715" s="40"/>
      <c r="T715" s="105">
        <f t="shared" si="47"/>
        <v>70</v>
      </c>
      <c r="U715" s="105">
        <f t="shared" si="49"/>
        <v>70</v>
      </c>
      <c r="V715" s="104">
        <f>IFERROR(VLOOKUP(L715,'Raw material list'!$A$2:$S$3102,6,0),0)</f>
        <v>1.0500000000000001E-2</v>
      </c>
      <c r="W715" s="104">
        <f t="shared" si="50"/>
        <v>0.7350000000000001</v>
      </c>
    </row>
    <row r="716" spans="1:23" hidden="1" x14ac:dyDescent="0.55000000000000004">
      <c r="A716" s="41" t="s">
        <v>1518</v>
      </c>
      <c r="B716" s="41" t="s">
        <v>35</v>
      </c>
      <c r="C716" s="41" t="s">
        <v>10</v>
      </c>
      <c r="D716" s="58" t="str">
        <f t="shared" si="46"/>
        <v>Chicken Fajita Sandwich</v>
      </c>
      <c r="E716" s="58" t="s">
        <v>1507</v>
      </c>
      <c r="F716" s="58" t="s">
        <v>2079</v>
      </c>
      <c r="G716" s="41" t="s">
        <v>11</v>
      </c>
      <c r="H716" s="58" t="s">
        <v>1773</v>
      </c>
      <c r="I716" s="58"/>
      <c r="J716" s="58"/>
      <c r="K716" s="41" t="str">
        <f>IFERROR(VLOOKUP(L716,'Raw material list'!$A$3:$C$715,3,0),"")</f>
        <v>DRS3-1813</v>
      </c>
      <c r="L716" s="59" t="s">
        <v>69</v>
      </c>
      <c r="M716" s="40" t="s">
        <v>206</v>
      </c>
      <c r="N716" s="40" t="str">
        <f>VLOOKUP(L716,'Raw material list'!$A$3:$E$715,5,0)</f>
        <v>Ml</v>
      </c>
      <c r="O716" s="40">
        <v>250</v>
      </c>
      <c r="P716" s="299">
        <f t="shared" si="48"/>
        <v>250</v>
      </c>
      <c r="Q716" s="40">
        <v>100</v>
      </c>
      <c r="R716" s="40">
        <v>10</v>
      </c>
      <c r="S716" s="40"/>
      <c r="T716" s="105">
        <f t="shared" si="47"/>
        <v>25</v>
      </c>
      <c r="U716" s="105">
        <f t="shared" si="49"/>
        <v>25</v>
      </c>
      <c r="V716" s="104">
        <f>IFERROR(VLOOKUP(L716,'Raw material list'!$A$2:$S$3102,6,0),0)</f>
        <v>8.0555555555555554E-3</v>
      </c>
      <c r="W716" s="104">
        <f t="shared" si="50"/>
        <v>0.2013888888888889</v>
      </c>
    </row>
    <row r="717" spans="1:23" hidden="1" x14ac:dyDescent="0.55000000000000004">
      <c r="A717" s="41" t="s">
        <v>1518</v>
      </c>
      <c r="B717" s="41" t="s">
        <v>35</v>
      </c>
      <c r="C717" s="41" t="s">
        <v>10</v>
      </c>
      <c r="D717" s="58" t="str">
        <f t="shared" si="46"/>
        <v>Chicken Fajita Sandwich</v>
      </c>
      <c r="E717" s="58" t="s">
        <v>1507</v>
      </c>
      <c r="F717" s="58" t="s">
        <v>2079</v>
      </c>
      <c r="G717" s="41" t="s">
        <v>11</v>
      </c>
      <c r="H717" s="58" t="s">
        <v>1773</v>
      </c>
      <c r="I717" s="58"/>
      <c r="J717" s="58"/>
      <c r="K717" s="41" t="str">
        <f>IFERROR(VLOOKUP(L717,'Raw material list'!$A$3:$C$715,3,0),"")</f>
        <v>DRS1-3880</v>
      </c>
      <c r="L717" s="59" t="s">
        <v>1433</v>
      </c>
      <c r="M717" s="40" t="s">
        <v>156</v>
      </c>
      <c r="N717" s="40" t="str">
        <f>VLOOKUP(L717,'Raw material list'!$A$3:$E$715,5,0)</f>
        <v xml:space="preserve">Gram </v>
      </c>
      <c r="O717" s="40">
        <v>5</v>
      </c>
      <c r="P717" s="299">
        <f t="shared" si="48"/>
        <v>5</v>
      </c>
      <c r="Q717" s="40">
        <v>100</v>
      </c>
      <c r="R717" s="40">
        <v>10</v>
      </c>
      <c r="S717" s="40"/>
      <c r="T717" s="105">
        <f t="shared" si="47"/>
        <v>0.5</v>
      </c>
      <c r="U717" s="105">
        <f t="shared" si="49"/>
        <v>0.5</v>
      </c>
      <c r="V717" s="104">
        <f>IFERROR(VLOOKUP(L717,'Raw material list'!$A$2:$S$3102,6,0),0)</f>
        <v>5.0000000000000001E-4</v>
      </c>
      <c r="W717" s="104">
        <f t="shared" si="50"/>
        <v>2.5000000000000001E-4</v>
      </c>
    </row>
    <row r="718" spans="1:23" hidden="1" x14ac:dyDescent="0.55000000000000004">
      <c r="A718" s="41" t="s">
        <v>1519</v>
      </c>
      <c r="B718" s="41" t="s">
        <v>35</v>
      </c>
      <c r="C718" s="41" t="s">
        <v>10</v>
      </c>
      <c r="D718" s="58" t="s">
        <v>1511</v>
      </c>
      <c r="E718" s="58" t="s">
        <v>1507</v>
      </c>
      <c r="F718" s="58" t="s">
        <v>2079</v>
      </c>
      <c r="G718" s="41" t="s">
        <v>11</v>
      </c>
      <c r="H718" s="58" t="s">
        <v>1773</v>
      </c>
      <c r="I718" s="58"/>
      <c r="J718" s="58"/>
      <c r="K718" s="41" t="str">
        <f>IFERROR(VLOOKUP(L718,'Raw material list'!$A$3:$C$715,3,0),"")</f>
        <v>PRD1-230</v>
      </c>
      <c r="L718" s="59" t="s">
        <v>70</v>
      </c>
      <c r="M718" s="40" t="s">
        <v>156</v>
      </c>
      <c r="N718" s="40" t="str">
        <f>VLOOKUP(L718,'Raw material list'!$A$3:$E$715,5,0)</f>
        <v xml:space="preserve">Gram </v>
      </c>
      <c r="O718" s="40">
        <v>1500</v>
      </c>
      <c r="P718" s="299">
        <f t="shared" si="48"/>
        <v>2024.2914979757086</v>
      </c>
      <c r="Q718" s="105">
        <v>74.099999999999994</v>
      </c>
      <c r="R718" s="40">
        <v>15</v>
      </c>
      <c r="S718" s="40"/>
      <c r="T718" s="105">
        <f t="shared" si="47"/>
        <v>100</v>
      </c>
      <c r="U718" s="105">
        <f t="shared" si="49"/>
        <v>134.95276653171391</v>
      </c>
      <c r="V718" s="104">
        <f>IFERROR(VLOOKUP(L718,'Raw material list'!$A$2:$S$3102,6,0),0)</f>
        <v>3.3738191632928472E-3</v>
      </c>
      <c r="W718" s="104">
        <f t="shared" si="50"/>
        <v>0.45530622986408198</v>
      </c>
    </row>
    <row r="719" spans="1:23" hidden="1" x14ac:dyDescent="0.55000000000000004">
      <c r="A719" s="41" t="s">
        <v>1519</v>
      </c>
      <c r="B719" s="41" t="s">
        <v>35</v>
      </c>
      <c r="C719" s="41" t="s">
        <v>10</v>
      </c>
      <c r="D719" s="58" t="str">
        <f t="shared" ref="D719:D740" si="51">D718</f>
        <v>Greek meat moussaka with vermicelli rice</v>
      </c>
      <c r="E719" s="58" t="s">
        <v>1507</v>
      </c>
      <c r="F719" s="58" t="s">
        <v>2079</v>
      </c>
      <c r="G719" s="41" t="s">
        <v>11</v>
      </c>
      <c r="H719" s="58" t="s">
        <v>1773</v>
      </c>
      <c r="I719" s="58"/>
      <c r="J719" s="58"/>
      <c r="K719" s="41" t="str">
        <f>IFERROR(VLOOKUP(L719,'Raw material list'!$A$3:$C$715,3,0),"")</f>
        <v>PRD1-201</v>
      </c>
      <c r="L719" s="59" t="s">
        <v>104</v>
      </c>
      <c r="M719" s="40" t="s">
        <v>156</v>
      </c>
      <c r="N719" s="40" t="str">
        <f>VLOOKUP(L719,'Raw material list'!$A$3:$E$715,5,0)</f>
        <v xml:space="preserve">Gram </v>
      </c>
      <c r="O719" s="40">
        <v>2500</v>
      </c>
      <c r="P719" s="299">
        <f t="shared" si="48"/>
        <v>3571.4285714285716</v>
      </c>
      <c r="Q719" s="105">
        <v>70</v>
      </c>
      <c r="R719" s="40">
        <v>15</v>
      </c>
      <c r="S719" s="40"/>
      <c r="T719" s="105">
        <f t="shared" si="47"/>
        <v>166.66666666666666</v>
      </c>
      <c r="U719" s="105">
        <f t="shared" si="49"/>
        <v>238.0952380952381</v>
      </c>
      <c r="V719" s="104">
        <f>IFERROR(VLOOKUP(L719,'Raw material list'!$A$2:$S$3102,6,0),0)</f>
        <v>4.2857142857142868E-3</v>
      </c>
      <c r="W719" s="104">
        <f t="shared" si="50"/>
        <v>1.0204081632653064</v>
      </c>
    </row>
    <row r="720" spans="1:23" hidden="1" x14ac:dyDescent="0.55000000000000004">
      <c r="A720" s="41" t="s">
        <v>1519</v>
      </c>
      <c r="B720" s="41" t="s">
        <v>35</v>
      </c>
      <c r="C720" s="41" t="s">
        <v>10</v>
      </c>
      <c r="D720" s="58" t="str">
        <f t="shared" si="51"/>
        <v>Greek meat moussaka with vermicelli rice</v>
      </c>
      <c r="E720" s="58" t="s">
        <v>1507</v>
      </c>
      <c r="F720" s="58" t="s">
        <v>2081</v>
      </c>
      <c r="G720" s="41" t="s">
        <v>11</v>
      </c>
      <c r="H720" s="58" t="s">
        <v>1773</v>
      </c>
      <c r="I720" s="58"/>
      <c r="J720" s="58"/>
      <c r="K720" s="41" t="str">
        <f>IFERROR(VLOOKUP(L720,'Raw material list'!$A$3:$C$715,3,0),"")</f>
        <v>MET2-585</v>
      </c>
      <c r="L720" s="59" t="s">
        <v>53</v>
      </c>
      <c r="M720" s="40" t="s">
        <v>156</v>
      </c>
      <c r="N720" s="40" t="str">
        <f>VLOOKUP(L720,'Raw material list'!$A$3:$E$715,5,0)</f>
        <v xml:space="preserve">Gram </v>
      </c>
      <c r="O720" s="40">
        <v>1000</v>
      </c>
      <c r="P720" s="299">
        <f t="shared" si="48"/>
        <v>1154.7344110854506</v>
      </c>
      <c r="Q720" s="300">
        <v>86.6</v>
      </c>
      <c r="R720" s="40">
        <v>15</v>
      </c>
      <c r="S720" s="40"/>
      <c r="T720" s="105">
        <f t="shared" si="47"/>
        <v>66.666666666666671</v>
      </c>
      <c r="U720" s="105">
        <f t="shared" si="49"/>
        <v>76.982294072363374</v>
      </c>
      <c r="V720" s="104">
        <f>IFERROR(VLOOKUP(L720,'Raw material list'!$A$2:$S$3102,6,0),0)</f>
        <v>4.2630057803468215E-2</v>
      </c>
      <c r="W720" s="104">
        <f t="shared" si="50"/>
        <v>3.2817596461484393</v>
      </c>
    </row>
    <row r="721" spans="1:23" hidden="1" x14ac:dyDescent="0.55000000000000004">
      <c r="A721" s="41" t="s">
        <v>1519</v>
      </c>
      <c r="B721" s="41" t="s">
        <v>35</v>
      </c>
      <c r="C721" s="41" t="s">
        <v>10</v>
      </c>
      <c r="D721" s="58" t="str">
        <f t="shared" si="51"/>
        <v>Greek meat moussaka with vermicelli rice</v>
      </c>
      <c r="E721" s="58" t="s">
        <v>1507</v>
      </c>
      <c r="F721" s="58" t="s">
        <v>2079</v>
      </c>
      <c r="G721" s="41" t="s">
        <v>11</v>
      </c>
      <c r="H721" s="58" t="s">
        <v>1773</v>
      </c>
      <c r="I721" s="58"/>
      <c r="J721" s="58"/>
      <c r="K721" s="41" t="str">
        <f>IFERROR(VLOOKUP(L721,'Raw material list'!$A$3:$C$715,3,0),"")</f>
        <v>PRD1-4265</v>
      </c>
      <c r="L721" s="59" t="s">
        <v>38</v>
      </c>
      <c r="M721" s="40" t="s">
        <v>156</v>
      </c>
      <c r="N721" s="40" t="str">
        <f>VLOOKUP(L721,'Raw material list'!$A$3:$E$715,5,0)</f>
        <v xml:space="preserve">Gram </v>
      </c>
      <c r="O721" s="40">
        <v>200</v>
      </c>
      <c r="P721" s="299">
        <f t="shared" si="48"/>
        <v>235.29411764705884</v>
      </c>
      <c r="Q721" s="105">
        <v>85</v>
      </c>
      <c r="R721" s="40">
        <v>15</v>
      </c>
      <c r="S721" s="40"/>
      <c r="T721" s="105">
        <f t="shared" si="47"/>
        <v>13.333333333333334</v>
      </c>
      <c r="U721" s="105">
        <f t="shared" si="49"/>
        <v>15.686274509803923</v>
      </c>
      <c r="V721" s="104">
        <f>IFERROR(VLOOKUP(L721,'Raw material list'!$A$2:$S$3102,6,0),0)</f>
        <v>3.529411764705882E-3</v>
      </c>
      <c r="W721" s="104">
        <f t="shared" si="50"/>
        <v>5.536332179930796E-2</v>
      </c>
    </row>
    <row r="722" spans="1:23" hidden="1" x14ac:dyDescent="0.55000000000000004">
      <c r="A722" s="41" t="s">
        <v>1519</v>
      </c>
      <c r="B722" s="41" t="s">
        <v>35</v>
      </c>
      <c r="C722" s="41" t="s">
        <v>10</v>
      </c>
      <c r="D722" s="58" t="str">
        <f t="shared" si="51"/>
        <v>Greek meat moussaka with vermicelli rice</v>
      </c>
      <c r="E722" s="58" t="s">
        <v>1507</v>
      </c>
      <c r="F722" s="58" t="s">
        <v>2079</v>
      </c>
      <c r="G722" s="41" t="s">
        <v>11</v>
      </c>
      <c r="H722" s="58" t="s">
        <v>1773</v>
      </c>
      <c r="I722" s="58"/>
      <c r="J722" s="58"/>
      <c r="K722" s="41" t="str">
        <f>IFERROR(VLOOKUP(L722,'Raw material list'!$A$3:$C$715,3,0),"")</f>
        <v>PRD1-4327</v>
      </c>
      <c r="L722" s="59" t="s">
        <v>39</v>
      </c>
      <c r="M722" s="40" t="s">
        <v>156</v>
      </c>
      <c r="N722" s="40" t="str">
        <f>VLOOKUP(L722,'Raw material list'!$A$3:$E$715,5,0)</f>
        <v xml:space="preserve">Gram </v>
      </c>
      <c r="O722" s="40">
        <v>30</v>
      </c>
      <c r="P722" s="299">
        <f t="shared" si="48"/>
        <v>36.144578313253014</v>
      </c>
      <c r="Q722" s="105">
        <v>83</v>
      </c>
      <c r="R722" s="40">
        <v>15</v>
      </c>
      <c r="S722" s="40"/>
      <c r="T722" s="105">
        <f t="shared" si="47"/>
        <v>2</v>
      </c>
      <c r="U722" s="105">
        <f t="shared" si="49"/>
        <v>2.4096385542168677</v>
      </c>
      <c r="V722" s="104">
        <f>IFERROR(VLOOKUP(L722,'Raw material list'!$A$2:$S$3102,6,0),0)</f>
        <v>1.2999999999999999E-2</v>
      </c>
      <c r="W722" s="104">
        <f t="shared" si="50"/>
        <v>3.1325301204819279E-2</v>
      </c>
    </row>
    <row r="723" spans="1:23" hidden="1" x14ac:dyDescent="0.55000000000000004">
      <c r="A723" s="41" t="s">
        <v>1519</v>
      </c>
      <c r="B723" s="41" t="s">
        <v>35</v>
      </c>
      <c r="C723" s="41" t="s">
        <v>10</v>
      </c>
      <c r="D723" s="58" t="str">
        <f t="shared" si="51"/>
        <v>Greek meat moussaka with vermicelli rice</v>
      </c>
      <c r="E723" s="58" t="s">
        <v>1507</v>
      </c>
      <c r="F723" s="58" t="s">
        <v>2079</v>
      </c>
      <c r="G723" s="41" t="s">
        <v>11</v>
      </c>
      <c r="H723" s="58" t="s">
        <v>1773</v>
      </c>
      <c r="I723" s="58"/>
      <c r="J723" s="58"/>
      <c r="K723" s="41" t="str">
        <f>IFERROR(VLOOKUP(L723,'Raw material list'!$A$3:$C$715,3,0),"")</f>
        <v>DRS6-537</v>
      </c>
      <c r="L723" s="59" t="s">
        <v>46</v>
      </c>
      <c r="M723" s="40" t="s">
        <v>156</v>
      </c>
      <c r="N723" s="40" t="str">
        <f>VLOOKUP(L723,'Raw material list'!$A$3:$E$715,5,0)</f>
        <v xml:space="preserve">Gram </v>
      </c>
      <c r="O723" s="40">
        <v>2</v>
      </c>
      <c r="P723" s="299">
        <f t="shared" si="48"/>
        <v>2</v>
      </c>
      <c r="Q723" s="300">
        <v>100</v>
      </c>
      <c r="R723" s="40">
        <v>15</v>
      </c>
      <c r="S723" s="40"/>
      <c r="T723" s="105">
        <f t="shared" si="47"/>
        <v>0.13333333333333333</v>
      </c>
      <c r="U723" s="105">
        <f t="shared" si="49"/>
        <v>0.13333333333333333</v>
      </c>
      <c r="V723" s="104">
        <f>IFERROR(VLOOKUP(L723,'Raw material list'!$A$2:$S$3102,6,0),0)</f>
        <v>3.5000000000000003E-2</v>
      </c>
      <c r="W723" s="104">
        <f t="shared" si="50"/>
        <v>4.6666666666666671E-3</v>
      </c>
    </row>
    <row r="724" spans="1:23" hidden="1" x14ac:dyDescent="0.55000000000000004">
      <c r="A724" s="41" t="s">
        <v>1519</v>
      </c>
      <c r="B724" s="41" t="s">
        <v>35</v>
      </c>
      <c r="C724" s="41" t="s">
        <v>10</v>
      </c>
      <c r="D724" s="58" t="str">
        <f t="shared" si="51"/>
        <v>Greek meat moussaka with vermicelli rice</v>
      </c>
      <c r="E724" s="58" t="s">
        <v>1507</v>
      </c>
      <c r="F724" s="58" t="s">
        <v>2079</v>
      </c>
      <c r="G724" s="41" t="s">
        <v>11</v>
      </c>
      <c r="H724" s="58" t="s">
        <v>1773</v>
      </c>
      <c r="I724" s="58"/>
      <c r="J724" s="58"/>
      <c r="K724" s="41" t="str">
        <f>IFERROR(VLOOKUP(L724,'Raw material list'!$A$3:$C$715,3,0),"")</f>
        <v>DRS1-3813</v>
      </c>
      <c r="L724" s="59" t="s">
        <v>67</v>
      </c>
      <c r="M724" s="40" t="s">
        <v>156</v>
      </c>
      <c r="N724" s="40" t="str">
        <f>VLOOKUP(L724,'Raw material list'!$A$3:$E$715,5,0)</f>
        <v xml:space="preserve">Gram </v>
      </c>
      <c r="O724" s="40">
        <v>5</v>
      </c>
      <c r="P724" s="299">
        <f t="shared" si="48"/>
        <v>5</v>
      </c>
      <c r="Q724" s="40">
        <v>100</v>
      </c>
      <c r="R724" s="40">
        <v>15</v>
      </c>
      <c r="S724" s="40"/>
      <c r="T724" s="105">
        <f t="shared" si="47"/>
        <v>0.33333333333333331</v>
      </c>
      <c r="U724" s="105">
        <f t="shared" si="49"/>
        <v>0.33333333333333331</v>
      </c>
      <c r="V724" s="104">
        <f>IFERROR(VLOOKUP(L724,'Raw material list'!$A$2:$S$3102,6,0),0)</f>
        <v>4.4441666666666664E-2</v>
      </c>
      <c r="W724" s="104">
        <f t="shared" si="50"/>
        <v>1.4813888888888887E-2</v>
      </c>
    </row>
    <row r="725" spans="1:23" hidden="1" x14ac:dyDescent="0.55000000000000004">
      <c r="A725" s="41" t="s">
        <v>1519</v>
      </c>
      <c r="B725" s="41" t="s">
        <v>35</v>
      </c>
      <c r="C725" s="41" t="s">
        <v>10</v>
      </c>
      <c r="D725" s="58" t="str">
        <f t="shared" si="51"/>
        <v>Greek meat moussaka with vermicelli rice</v>
      </c>
      <c r="E725" s="58" t="s">
        <v>1507</v>
      </c>
      <c r="F725" s="58" t="s">
        <v>2079</v>
      </c>
      <c r="G725" s="41" t="s">
        <v>11</v>
      </c>
      <c r="H725" s="58" t="s">
        <v>1773</v>
      </c>
      <c r="I725" s="58"/>
      <c r="J725" s="58"/>
      <c r="K725" s="41" t="str">
        <f>IFERROR(VLOOKUP(L725,'Raw material list'!$A$3:$C$715,3,0),"")</f>
        <v>DRS6-1570</v>
      </c>
      <c r="L725" s="59" t="s">
        <v>51</v>
      </c>
      <c r="M725" s="40" t="s">
        <v>156</v>
      </c>
      <c r="N725" s="40" t="str">
        <f>VLOOKUP(L725,'Raw material list'!$A$3:$E$715,5,0)</f>
        <v xml:space="preserve">Gram </v>
      </c>
      <c r="O725" s="40">
        <v>0.5</v>
      </c>
      <c r="P725" s="299">
        <f t="shared" si="48"/>
        <v>0.5</v>
      </c>
      <c r="Q725" s="40">
        <v>100</v>
      </c>
      <c r="R725" s="40">
        <v>15</v>
      </c>
      <c r="S725" s="40"/>
      <c r="T725" s="105">
        <f t="shared" si="47"/>
        <v>3.3333333333333333E-2</v>
      </c>
      <c r="U725" s="105">
        <f t="shared" si="49"/>
        <v>3.3333333333333333E-2</v>
      </c>
      <c r="V725" s="104">
        <f>IFERROR(VLOOKUP(L725,'Raw material list'!$A$2:$S$3102,6,0),0)</f>
        <v>9.3526666666666654E-3</v>
      </c>
      <c r="W725" s="104">
        <f t="shared" si="50"/>
        <v>3.1175555555555548E-4</v>
      </c>
    </row>
    <row r="726" spans="1:23" hidden="1" x14ac:dyDescent="0.55000000000000004">
      <c r="A726" s="41" t="s">
        <v>1519</v>
      </c>
      <c r="B726" s="41" t="s">
        <v>35</v>
      </c>
      <c r="C726" s="41" t="s">
        <v>10</v>
      </c>
      <c r="D726" s="58" t="str">
        <f t="shared" si="51"/>
        <v>Greek meat moussaka with vermicelli rice</v>
      </c>
      <c r="E726" s="58" t="s">
        <v>1507</v>
      </c>
      <c r="F726" s="58" t="s">
        <v>2079</v>
      </c>
      <c r="G726" s="41" t="s">
        <v>11</v>
      </c>
      <c r="H726" s="58" t="s">
        <v>1773</v>
      </c>
      <c r="I726" s="58"/>
      <c r="J726" s="58"/>
      <c r="K726" s="41" t="str">
        <f>IFERROR(VLOOKUP(L726,'Raw material list'!$A$3:$C$715,3,0),"")</f>
        <v>PRD1-572</v>
      </c>
      <c r="L726" s="59" t="s">
        <v>54</v>
      </c>
      <c r="M726" s="40" t="s">
        <v>156</v>
      </c>
      <c r="N726" s="40" t="str">
        <f>VLOOKUP(L726,'Raw material list'!$A$3:$E$715,5,0)</f>
        <v xml:space="preserve">Gram </v>
      </c>
      <c r="O726" s="40">
        <v>500</v>
      </c>
      <c r="P726" s="299">
        <f t="shared" si="48"/>
        <v>566.67925953910071</v>
      </c>
      <c r="Q726" s="105">
        <v>88.233333333333348</v>
      </c>
      <c r="R726" s="40">
        <v>15</v>
      </c>
      <c r="S726" s="40"/>
      <c r="T726" s="105">
        <f t="shared" si="47"/>
        <v>33.333333333333336</v>
      </c>
      <c r="U726" s="105">
        <f t="shared" si="49"/>
        <v>37.778617302606712</v>
      </c>
      <c r="V726" s="104">
        <f>IFERROR(VLOOKUP(L726,'Raw material list'!$A$2:$S$3102,6,0),0)</f>
        <v>4.5351473922902496E-3</v>
      </c>
      <c r="W726" s="104">
        <f t="shared" si="50"/>
        <v>0.17133159774424814</v>
      </c>
    </row>
    <row r="727" spans="1:23" hidden="1" x14ac:dyDescent="0.55000000000000004">
      <c r="A727" s="41" t="s">
        <v>1519</v>
      </c>
      <c r="B727" s="41" t="s">
        <v>35</v>
      </c>
      <c r="C727" s="41" t="s">
        <v>10</v>
      </c>
      <c r="D727" s="58" t="str">
        <f t="shared" si="51"/>
        <v>Greek meat moussaka with vermicelli rice</v>
      </c>
      <c r="E727" s="58" t="s">
        <v>1507</v>
      </c>
      <c r="F727" s="58" t="s">
        <v>2079</v>
      </c>
      <c r="G727" s="41" t="s">
        <v>11</v>
      </c>
      <c r="H727" s="58" t="s">
        <v>1773</v>
      </c>
      <c r="I727" s="58"/>
      <c r="J727" s="58"/>
      <c r="K727" s="41" t="str">
        <f>IFERROR(VLOOKUP(L727,'Raw material list'!$A$3:$C$715,3,0),"")</f>
        <v>DRS1-607</v>
      </c>
      <c r="L727" s="59" t="s">
        <v>250</v>
      </c>
      <c r="M727" s="40" t="s">
        <v>156</v>
      </c>
      <c r="N727" s="40" t="str">
        <f>VLOOKUP(L727,'Raw material list'!$A$3:$E$715,5,0)</f>
        <v xml:space="preserve">Gram </v>
      </c>
      <c r="O727" s="40">
        <v>200</v>
      </c>
      <c r="P727" s="299">
        <f t="shared" si="48"/>
        <v>200</v>
      </c>
      <c r="Q727" s="300">
        <v>100</v>
      </c>
      <c r="R727" s="40">
        <v>15</v>
      </c>
      <c r="S727" s="40"/>
      <c r="T727" s="105">
        <f t="shared" si="47"/>
        <v>13.333333333333334</v>
      </c>
      <c r="U727" s="105">
        <f t="shared" si="49"/>
        <v>13.333333333333334</v>
      </c>
      <c r="V727" s="104">
        <f>IFERROR(VLOOKUP(L727,'Raw material list'!$A$2:$S$3102,6,0),0)</f>
        <v>5.8823529411764705E-3</v>
      </c>
      <c r="W727" s="104">
        <f t="shared" si="50"/>
        <v>7.8431372549019607E-2</v>
      </c>
    </row>
    <row r="728" spans="1:23" hidden="1" x14ac:dyDescent="0.55000000000000004">
      <c r="A728" s="41" t="s">
        <v>1519</v>
      </c>
      <c r="B728" s="41" t="s">
        <v>35</v>
      </c>
      <c r="C728" s="41" t="s">
        <v>10</v>
      </c>
      <c r="D728" s="58" t="str">
        <f t="shared" si="51"/>
        <v>Greek meat moussaka with vermicelli rice</v>
      </c>
      <c r="E728" s="58" t="s">
        <v>1507</v>
      </c>
      <c r="F728" s="58" t="s">
        <v>2079</v>
      </c>
      <c r="G728" s="41" t="s">
        <v>11</v>
      </c>
      <c r="H728" s="58" t="s">
        <v>1773</v>
      </c>
      <c r="I728" s="58"/>
      <c r="J728" s="58"/>
      <c r="K728" s="41" t="str">
        <f>IFERROR(VLOOKUP(L728,'Raw material list'!$A$3:$C$715,3,0),"")</f>
        <v>DRY1-1801</v>
      </c>
      <c r="L728" s="59" t="s">
        <v>49</v>
      </c>
      <c r="M728" s="40" t="s">
        <v>156</v>
      </c>
      <c r="N728" s="40" t="str">
        <f>VLOOKUP(L728,'Raw material list'!$A$3:$E$715,5,0)</f>
        <v xml:space="preserve">Gram </v>
      </c>
      <c r="O728" s="40">
        <v>400</v>
      </c>
      <c r="P728" s="299">
        <f t="shared" si="48"/>
        <v>400</v>
      </c>
      <c r="Q728" s="40">
        <v>100</v>
      </c>
      <c r="R728" s="40">
        <v>15</v>
      </c>
      <c r="S728" s="40"/>
      <c r="T728" s="105">
        <f t="shared" si="47"/>
        <v>26.666666666666668</v>
      </c>
      <c r="U728" s="105">
        <f t="shared" si="49"/>
        <v>26.666666666666668</v>
      </c>
      <c r="V728" s="104">
        <f>IFERROR(VLOOKUP(L728,'Raw material list'!$A$2:$S$3102,6,0),0)</f>
        <v>2.5000000000000001E-2</v>
      </c>
      <c r="W728" s="104">
        <f t="shared" si="50"/>
        <v>0.66666666666666674</v>
      </c>
    </row>
    <row r="729" spans="1:23" hidden="1" x14ac:dyDescent="0.55000000000000004">
      <c r="A729" s="41" t="s">
        <v>1519</v>
      </c>
      <c r="B729" s="41" t="s">
        <v>35</v>
      </c>
      <c r="C729" s="41" t="s">
        <v>10</v>
      </c>
      <c r="D729" s="58" t="str">
        <f t="shared" si="51"/>
        <v>Greek meat moussaka with vermicelli rice</v>
      </c>
      <c r="E729" s="58" t="s">
        <v>1507</v>
      </c>
      <c r="F729" s="58" t="s">
        <v>2079</v>
      </c>
      <c r="G729" s="41" t="s">
        <v>11</v>
      </c>
      <c r="H729" s="58" t="s">
        <v>1773</v>
      </c>
      <c r="I729" s="58"/>
      <c r="J729" s="58"/>
      <c r="K729" s="41" t="str">
        <f>IFERROR(VLOOKUP(L729,'Raw material list'!$A$3:$C$715,3,0),"")</f>
        <v>DRS1-1747</v>
      </c>
      <c r="L729" s="59" t="s">
        <v>44</v>
      </c>
      <c r="M729" s="40" t="s">
        <v>156</v>
      </c>
      <c r="N729" s="40" t="str">
        <f>VLOOKUP(L729,'Raw material list'!$A$3:$E$715,5,0)</f>
        <v xml:space="preserve">Gram </v>
      </c>
      <c r="O729" s="40">
        <v>30</v>
      </c>
      <c r="P729" s="299">
        <f t="shared" si="48"/>
        <v>30</v>
      </c>
      <c r="Q729" s="40">
        <v>100</v>
      </c>
      <c r="R729" s="40">
        <v>15</v>
      </c>
      <c r="S729" s="40"/>
      <c r="T729" s="105">
        <f t="shared" si="47"/>
        <v>2</v>
      </c>
      <c r="U729" s="105">
        <f t="shared" si="49"/>
        <v>2</v>
      </c>
      <c r="V729" s="104">
        <f>IFERROR(VLOOKUP(L729,'Raw material list'!$A$2:$S$3102,6,0),0)</f>
        <v>5.185185185185185E-3</v>
      </c>
      <c r="W729" s="104">
        <f t="shared" si="50"/>
        <v>1.037037037037037E-2</v>
      </c>
    </row>
    <row r="730" spans="1:23" hidden="1" x14ac:dyDescent="0.55000000000000004">
      <c r="A730" s="41" t="s">
        <v>1519</v>
      </c>
      <c r="B730" s="41" t="s">
        <v>35</v>
      </c>
      <c r="C730" s="41" t="s">
        <v>10</v>
      </c>
      <c r="D730" s="58" t="str">
        <f t="shared" si="51"/>
        <v>Greek meat moussaka with vermicelli rice</v>
      </c>
      <c r="E730" s="58" t="s">
        <v>1507</v>
      </c>
      <c r="F730" s="58" t="s">
        <v>2079</v>
      </c>
      <c r="G730" s="41" t="s">
        <v>11</v>
      </c>
      <c r="H730" s="58" t="s">
        <v>1773</v>
      </c>
      <c r="I730" s="58"/>
      <c r="J730" s="58"/>
      <c r="K730" s="41" t="str">
        <f>IFERROR(VLOOKUP(L730,'Raw material list'!$A$3:$C$715,3,0),"")</f>
        <v>DRS1-3880</v>
      </c>
      <c r="L730" s="59" t="s">
        <v>1433</v>
      </c>
      <c r="M730" s="40" t="s">
        <v>156</v>
      </c>
      <c r="N730" s="40" t="str">
        <f>VLOOKUP(L730,'Raw material list'!$A$3:$E$715,5,0)</f>
        <v xml:space="preserve">Gram </v>
      </c>
      <c r="O730" s="40">
        <v>5</v>
      </c>
      <c r="P730" s="299">
        <f t="shared" si="48"/>
        <v>5</v>
      </c>
      <c r="Q730" s="40">
        <v>100</v>
      </c>
      <c r="R730" s="40">
        <v>15</v>
      </c>
      <c r="S730" s="40"/>
      <c r="T730" s="105">
        <f t="shared" si="47"/>
        <v>0.33333333333333331</v>
      </c>
      <c r="U730" s="105">
        <f t="shared" si="49"/>
        <v>0.33333333333333331</v>
      </c>
      <c r="V730" s="104">
        <f>IFERROR(VLOOKUP(L730,'Raw material list'!$A$2:$S$3102,6,0),0)</f>
        <v>5.0000000000000001E-4</v>
      </c>
      <c r="W730" s="104">
        <f t="shared" si="50"/>
        <v>1.6666666666666666E-4</v>
      </c>
    </row>
    <row r="731" spans="1:23" hidden="1" x14ac:dyDescent="0.55000000000000004">
      <c r="A731" s="41" t="s">
        <v>1519</v>
      </c>
      <c r="B731" s="41" t="s">
        <v>35</v>
      </c>
      <c r="C731" s="41" t="s">
        <v>10</v>
      </c>
      <c r="D731" s="58" t="str">
        <f t="shared" si="51"/>
        <v>Greek meat moussaka with vermicelli rice</v>
      </c>
      <c r="E731" s="58" t="s">
        <v>1507</v>
      </c>
      <c r="F731" s="58" t="s">
        <v>2079</v>
      </c>
      <c r="G731" s="41" t="s">
        <v>11</v>
      </c>
      <c r="H731" s="58" t="s">
        <v>1773</v>
      </c>
      <c r="I731" s="58"/>
      <c r="J731" s="58"/>
      <c r="K731" s="41" t="str">
        <f>IFERROR(VLOOKUP(L731,'Raw material list'!$A$3:$C$715,3,0),"")</f>
        <v>DRY2-1008</v>
      </c>
      <c r="L731" s="59" t="s">
        <v>57</v>
      </c>
      <c r="M731" s="40" t="s">
        <v>156</v>
      </c>
      <c r="N731" s="40" t="str">
        <f>VLOOKUP(L731,'Raw material list'!$A$3:$E$715,5,0)</f>
        <v xml:space="preserve">Gram </v>
      </c>
      <c r="O731" s="40">
        <v>70</v>
      </c>
      <c r="P731" s="299">
        <f t="shared" si="48"/>
        <v>70</v>
      </c>
      <c r="Q731" s="40">
        <v>100</v>
      </c>
      <c r="R731" s="40">
        <v>15</v>
      </c>
      <c r="S731" s="40"/>
      <c r="T731" s="105">
        <f t="shared" si="47"/>
        <v>4.666666666666667</v>
      </c>
      <c r="U731" s="105">
        <f t="shared" si="49"/>
        <v>4.666666666666667</v>
      </c>
      <c r="V731" s="104">
        <f>IFERROR(VLOOKUP(L731,'Raw material list'!$A$2:$S$3102,6,0),0)</f>
        <v>0.03</v>
      </c>
      <c r="W731" s="104">
        <f t="shared" si="50"/>
        <v>0.14000000000000001</v>
      </c>
    </row>
    <row r="732" spans="1:23" hidden="1" x14ac:dyDescent="0.55000000000000004">
      <c r="A732" s="41" t="s">
        <v>1519</v>
      </c>
      <c r="B732" s="41" t="s">
        <v>35</v>
      </c>
      <c r="C732" s="41" t="s">
        <v>10</v>
      </c>
      <c r="D732" s="58" t="str">
        <f t="shared" si="51"/>
        <v>Greek meat moussaka with vermicelli rice</v>
      </c>
      <c r="E732" s="58" t="s">
        <v>1507</v>
      </c>
      <c r="F732" s="58" t="s">
        <v>2079</v>
      </c>
      <c r="G732" s="41" t="s">
        <v>11</v>
      </c>
      <c r="H732" s="58" t="s">
        <v>1773</v>
      </c>
      <c r="I732" s="58"/>
      <c r="J732" s="58"/>
      <c r="K732" s="41" t="str">
        <f>IFERROR(VLOOKUP(L732,'Raw material list'!$A$3:$C$715,3,0),"")</f>
        <v>DRS5-980</v>
      </c>
      <c r="L732" s="59" t="s">
        <v>446</v>
      </c>
      <c r="M732" s="40" t="s">
        <v>156</v>
      </c>
      <c r="N732" s="40" t="str">
        <f>VLOOKUP(L732,'Raw material list'!$A$3:$E$715,5,0)</f>
        <v xml:space="preserve">Gram </v>
      </c>
      <c r="O732" s="40">
        <v>70</v>
      </c>
      <c r="P732" s="299">
        <f t="shared" si="48"/>
        <v>70</v>
      </c>
      <c r="Q732" s="40">
        <v>100</v>
      </c>
      <c r="R732" s="40">
        <v>15</v>
      </c>
      <c r="S732" s="40"/>
      <c r="T732" s="105">
        <f t="shared" si="47"/>
        <v>4.666666666666667</v>
      </c>
      <c r="U732" s="105">
        <f t="shared" si="49"/>
        <v>4.666666666666667</v>
      </c>
      <c r="V732" s="104">
        <f>IFERROR(VLOOKUP(L732,'Raw material list'!$A$2:$S$3102,6,0),0)</f>
        <v>1E-3</v>
      </c>
      <c r="W732" s="104">
        <f t="shared" si="50"/>
        <v>4.6666666666666671E-3</v>
      </c>
    </row>
    <row r="733" spans="1:23" hidden="1" x14ac:dyDescent="0.55000000000000004">
      <c r="A733" s="41" t="s">
        <v>1519</v>
      </c>
      <c r="B733" s="41" t="s">
        <v>35</v>
      </c>
      <c r="C733" s="41" t="s">
        <v>10</v>
      </c>
      <c r="D733" s="58" t="str">
        <f t="shared" si="51"/>
        <v>Greek meat moussaka with vermicelli rice</v>
      </c>
      <c r="E733" s="58" t="s">
        <v>1507</v>
      </c>
      <c r="F733" s="58" t="s">
        <v>2079</v>
      </c>
      <c r="G733" s="41" t="s">
        <v>11</v>
      </c>
      <c r="H733" s="58" t="s">
        <v>1773</v>
      </c>
      <c r="I733" s="58"/>
      <c r="J733" s="58"/>
      <c r="K733" s="41" t="str">
        <f>IFERROR(VLOOKUP(L733,'Raw material list'!$A$3:$C$715,3,0),"")</f>
        <v>DRS6-309</v>
      </c>
      <c r="L733" s="59" t="s">
        <v>61</v>
      </c>
      <c r="M733" s="40" t="s">
        <v>156</v>
      </c>
      <c r="N733" s="40" t="str">
        <f>VLOOKUP(L733,'Raw material list'!$A$3:$E$715,5,0)</f>
        <v xml:space="preserve">Gram </v>
      </c>
      <c r="O733" s="40">
        <v>1</v>
      </c>
      <c r="P733" s="299">
        <f t="shared" si="48"/>
        <v>1</v>
      </c>
      <c r="Q733" s="40">
        <v>100</v>
      </c>
      <c r="R733" s="40">
        <v>15</v>
      </c>
      <c r="S733" s="40"/>
      <c r="T733" s="105">
        <f t="shared" si="47"/>
        <v>6.6666666666666666E-2</v>
      </c>
      <c r="U733" s="105">
        <f t="shared" si="49"/>
        <v>6.6666666666666666E-2</v>
      </c>
      <c r="V733" s="104">
        <f>IFERROR(VLOOKUP(L733,'Raw material list'!$A$2:$S$3102,6,0),0)</f>
        <v>2.8000000000000001E-2</v>
      </c>
      <c r="W733" s="104">
        <f t="shared" si="50"/>
        <v>1.8666666666666666E-3</v>
      </c>
    </row>
    <row r="734" spans="1:23" hidden="1" x14ac:dyDescent="0.55000000000000004">
      <c r="A734" s="41" t="s">
        <v>1519</v>
      </c>
      <c r="B734" s="41" t="s">
        <v>35</v>
      </c>
      <c r="C734" s="41" t="s">
        <v>10</v>
      </c>
      <c r="D734" s="58" t="str">
        <f t="shared" si="51"/>
        <v>Greek meat moussaka with vermicelli rice</v>
      </c>
      <c r="E734" s="58" t="s">
        <v>1507</v>
      </c>
      <c r="F734" s="58" t="s">
        <v>2079</v>
      </c>
      <c r="G734" s="41" t="s">
        <v>11</v>
      </c>
      <c r="H734" s="58" t="s">
        <v>1773</v>
      </c>
      <c r="I734" s="58"/>
      <c r="J734" s="58"/>
      <c r="K734" s="41" t="str">
        <f>IFERROR(VLOOKUP(L734,'Raw material list'!$A$3:$C$715,3,0),"")</f>
        <v>TAP-00001</v>
      </c>
      <c r="L734" s="59" t="s">
        <v>1405</v>
      </c>
      <c r="M734" s="40" t="s">
        <v>206</v>
      </c>
      <c r="N734" s="40" t="str">
        <f>VLOOKUP(L734,'Raw material list'!$A$3:$E$715,5,0)</f>
        <v>Ml</v>
      </c>
      <c r="O734" s="40">
        <v>900</v>
      </c>
      <c r="P734" s="299">
        <f t="shared" si="48"/>
        <v>900</v>
      </c>
      <c r="Q734" s="40">
        <v>100</v>
      </c>
      <c r="R734" s="40">
        <v>15</v>
      </c>
      <c r="S734" s="40"/>
      <c r="T734" s="105">
        <f t="shared" si="47"/>
        <v>60</v>
      </c>
      <c r="U734" s="105">
        <f t="shared" si="49"/>
        <v>60</v>
      </c>
      <c r="V734" s="104">
        <f>IFERROR(VLOOKUP(L734,'Raw material list'!$A$2:$S$3102,6,0),0)</f>
        <v>8.0000000000000007E-5</v>
      </c>
      <c r="W734" s="104">
        <f t="shared" si="50"/>
        <v>4.8000000000000004E-3</v>
      </c>
    </row>
    <row r="735" spans="1:23" hidden="1" x14ac:dyDescent="0.55000000000000004">
      <c r="A735" s="41" t="s">
        <v>1519</v>
      </c>
      <c r="B735" s="41" t="s">
        <v>35</v>
      </c>
      <c r="C735" s="41" t="s">
        <v>10</v>
      </c>
      <c r="D735" s="58" t="str">
        <f t="shared" si="51"/>
        <v>Greek meat moussaka with vermicelli rice</v>
      </c>
      <c r="E735" s="58" t="s">
        <v>1507</v>
      </c>
      <c r="F735" s="58" t="s">
        <v>2079</v>
      </c>
      <c r="G735" s="41" t="s">
        <v>11</v>
      </c>
      <c r="H735" s="58" t="s">
        <v>1773</v>
      </c>
      <c r="I735" s="58"/>
      <c r="J735" s="58"/>
      <c r="K735" s="41" t="str">
        <f>IFERROR(VLOOKUP(L735,'Raw material list'!$A$3:$C$715,3,0),"")</f>
        <v>DRY2-1858</v>
      </c>
      <c r="L735" s="59" t="s">
        <v>60</v>
      </c>
      <c r="M735" s="40" t="s">
        <v>206</v>
      </c>
      <c r="N735" s="40" t="str">
        <f>VLOOKUP(L735,'Raw material list'!$A$3:$E$715,5,0)</f>
        <v>Ml</v>
      </c>
      <c r="O735" s="40">
        <v>200</v>
      </c>
      <c r="P735" s="299">
        <f t="shared" si="48"/>
        <v>200</v>
      </c>
      <c r="Q735" s="40">
        <v>100</v>
      </c>
      <c r="R735" s="40">
        <v>15</v>
      </c>
      <c r="S735" s="40"/>
      <c r="T735" s="105">
        <f t="shared" si="47"/>
        <v>13.333333333333334</v>
      </c>
      <c r="U735" s="105">
        <f t="shared" si="49"/>
        <v>13.333333333333334</v>
      </c>
      <c r="V735" s="104">
        <f>IFERROR(VLOOKUP(L735,'Raw material list'!$A$2:$S$3102,6,0),0)</f>
        <v>9.8800000000000016E-3</v>
      </c>
      <c r="W735" s="104">
        <f t="shared" si="50"/>
        <v>0.13173333333333337</v>
      </c>
    </row>
    <row r="736" spans="1:23" hidden="1" x14ac:dyDescent="0.55000000000000004">
      <c r="A736" s="41" t="s">
        <v>1519</v>
      </c>
      <c r="B736" s="41" t="s">
        <v>35</v>
      </c>
      <c r="C736" s="41" t="s">
        <v>10</v>
      </c>
      <c r="D736" s="58" t="str">
        <f t="shared" si="51"/>
        <v>Greek meat moussaka with vermicelli rice</v>
      </c>
      <c r="E736" s="58" t="s">
        <v>1507</v>
      </c>
      <c r="F736" s="58" t="s">
        <v>2079</v>
      </c>
      <c r="G736" s="41" t="s">
        <v>11</v>
      </c>
      <c r="H736" s="58" t="s">
        <v>1773</v>
      </c>
      <c r="I736" s="58"/>
      <c r="J736" s="58"/>
      <c r="K736" s="41" t="str">
        <f>IFERROR(VLOOKUP(L736,'Raw material list'!$A$3:$C$715,3,0),"")</f>
        <v>DRS1-3811</v>
      </c>
      <c r="L736" s="59" t="s">
        <v>40</v>
      </c>
      <c r="M736" s="40" t="s">
        <v>156</v>
      </c>
      <c r="N736" s="40" t="str">
        <f>VLOOKUP(L736,'Raw material list'!$A$3:$E$715,5,0)</f>
        <v xml:space="preserve">Gram </v>
      </c>
      <c r="O736" s="40">
        <v>6</v>
      </c>
      <c r="P736" s="299">
        <f t="shared" si="48"/>
        <v>6</v>
      </c>
      <c r="Q736" s="40">
        <v>100</v>
      </c>
      <c r="R736" s="40">
        <v>15</v>
      </c>
      <c r="S736" s="40"/>
      <c r="T736" s="105">
        <f t="shared" si="47"/>
        <v>0.4</v>
      </c>
      <c r="U736" s="105">
        <f t="shared" si="49"/>
        <v>0.4</v>
      </c>
      <c r="V736" s="104">
        <f>IFERROR(VLOOKUP(L736,'Raw material list'!$A$2:$S$3102,6,0),0)</f>
        <v>2.8475E-2</v>
      </c>
      <c r="W736" s="104">
        <f t="shared" si="50"/>
        <v>1.1390000000000001E-2</v>
      </c>
    </row>
    <row r="737" spans="1:23" hidden="1" x14ac:dyDescent="0.55000000000000004">
      <c r="A737" s="41" t="s">
        <v>1519</v>
      </c>
      <c r="B737" s="41" t="s">
        <v>35</v>
      </c>
      <c r="C737" s="41" t="s">
        <v>10</v>
      </c>
      <c r="D737" s="58" t="str">
        <f t="shared" si="51"/>
        <v>Greek meat moussaka with vermicelli rice</v>
      </c>
      <c r="E737" s="58" t="s">
        <v>1507</v>
      </c>
      <c r="F737" s="58" t="s">
        <v>2079</v>
      </c>
      <c r="G737" s="41" t="s">
        <v>11</v>
      </c>
      <c r="H737" s="58" t="s">
        <v>1773</v>
      </c>
      <c r="I737" s="58"/>
      <c r="J737" s="58"/>
      <c r="K737" s="41" t="str">
        <f>IFERROR(VLOOKUP(L737,'Raw material list'!$A$3:$C$715,3,0),"")</f>
        <v>DRS4-5194</v>
      </c>
      <c r="L737" s="59" t="s">
        <v>668</v>
      </c>
      <c r="M737" s="40" t="s">
        <v>156</v>
      </c>
      <c r="N737" s="40" t="str">
        <f>VLOOKUP(L737,'Raw material list'!$A$3:$E$715,5,0)</f>
        <v xml:space="preserve">Gram </v>
      </c>
      <c r="O737" s="40">
        <v>800</v>
      </c>
      <c r="P737" s="299">
        <f t="shared" si="48"/>
        <v>800</v>
      </c>
      <c r="Q737" s="40">
        <v>100</v>
      </c>
      <c r="R737" s="40">
        <v>15</v>
      </c>
      <c r="S737" s="40"/>
      <c r="T737" s="105">
        <f t="shared" si="47"/>
        <v>53.333333333333336</v>
      </c>
      <c r="U737" s="105">
        <f t="shared" si="49"/>
        <v>53.333333333333336</v>
      </c>
      <c r="V737" s="104">
        <f>IFERROR(VLOOKUP(L737,'Raw material list'!$A$2:$S$3102,6,0),0)</f>
        <v>1.239E-2</v>
      </c>
      <c r="W737" s="104">
        <f t="shared" si="50"/>
        <v>0.66080000000000005</v>
      </c>
    </row>
    <row r="738" spans="1:23" hidden="1" x14ac:dyDescent="0.55000000000000004">
      <c r="A738" s="41" t="s">
        <v>1519</v>
      </c>
      <c r="B738" s="41" t="s">
        <v>35</v>
      </c>
      <c r="C738" s="41" t="s">
        <v>10</v>
      </c>
      <c r="D738" s="58" t="str">
        <f t="shared" si="51"/>
        <v>Greek meat moussaka with vermicelli rice</v>
      </c>
      <c r="E738" s="58" t="s">
        <v>1507</v>
      </c>
      <c r="F738" s="58" t="s">
        <v>2079</v>
      </c>
      <c r="G738" s="41" t="s">
        <v>11</v>
      </c>
      <c r="H738" s="58" t="s">
        <v>1773</v>
      </c>
      <c r="I738" s="58"/>
      <c r="J738" s="58"/>
      <c r="K738" s="41" t="str">
        <f>IFERROR(VLOOKUP(L738,'Raw material list'!$A$3:$C$715,3,0),"")</f>
        <v>DRS2-3628</v>
      </c>
      <c r="L738" s="59" t="s">
        <v>94</v>
      </c>
      <c r="M738" s="40" t="s">
        <v>156</v>
      </c>
      <c r="N738" s="40" t="str">
        <f>VLOOKUP(L738,'Raw material list'!$A$3:$E$715,5,0)</f>
        <v xml:space="preserve">Gram </v>
      </c>
      <c r="O738" s="40">
        <v>80</v>
      </c>
      <c r="P738" s="299">
        <f t="shared" si="48"/>
        <v>80</v>
      </c>
      <c r="Q738" s="40">
        <v>100</v>
      </c>
      <c r="R738" s="40">
        <v>15</v>
      </c>
      <c r="S738" s="40"/>
      <c r="T738" s="105">
        <f t="shared" si="47"/>
        <v>5.333333333333333</v>
      </c>
      <c r="U738" s="105">
        <f t="shared" si="49"/>
        <v>5.333333333333333</v>
      </c>
      <c r="V738" s="104">
        <f>IFERROR(VLOOKUP(L738,'Raw material list'!$A$2:$S$3102,6,0),0)</f>
        <v>1.1066666666666667E-2</v>
      </c>
      <c r="W738" s="104">
        <f t="shared" si="50"/>
        <v>5.9022222222222226E-2</v>
      </c>
    </row>
    <row r="739" spans="1:23" hidden="1" x14ac:dyDescent="0.55000000000000004">
      <c r="A739" s="41" t="s">
        <v>1519</v>
      </c>
      <c r="B739" s="41" t="s">
        <v>35</v>
      </c>
      <c r="C739" s="41" t="s">
        <v>10</v>
      </c>
      <c r="D739" s="58" t="str">
        <f t="shared" si="51"/>
        <v>Greek meat moussaka with vermicelli rice</v>
      </c>
      <c r="E739" s="58" t="s">
        <v>1507</v>
      </c>
      <c r="F739" s="58" t="s">
        <v>2079</v>
      </c>
      <c r="G739" s="41" t="s">
        <v>11</v>
      </c>
      <c r="H739" s="58" t="s">
        <v>1773</v>
      </c>
      <c r="I739" s="58"/>
      <c r="J739" s="58"/>
      <c r="K739" s="41" t="str">
        <f>IFERROR(VLOOKUP(L739,'Raw material list'!$A$3:$C$715,3,0),"")</f>
        <v>DRS3-1813</v>
      </c>
      <c r="L739" s="59" t="s">
        <v>69</v>
      </c>
      <c r="M739" s="40" t="s">
        <v>206</v>
      </c>
      <c r="N739" s="40" t="str">
        <f>VLOOKUP(L739,'Raw material list'!$A$3:$E$715,5,0)</f>
        <v>Ml</v>
      </c>
      <c r="O739" s="40">
        <v>40</v>
      </c>
      <c r="P739" s="299">
        <f t="shared" si="48"/>
        <v>40</v>
      </c>
      <c r="Q739" s="40">
        <v>100</v>
      </c>
      <c r="R739" s="40">
        <v>15</v>
      </c>
      <c r="S739" s="40"/>
      <c r="T739" s="105">
        <f t="shared" si="47"/>
        <v>2.6666666666666665</v>
      </c>
      <c r="U739" s="105">
        <f t="shared" si="49"/>
        <v>2.6666666666666665</v>
      </c>
      <c r="V739" s="104">
        <f>IFERROR(VLOOKUP(L739,'Raw material list'!$A$2:$S$3102,6,0),0)</f>
        <v>8.0555555555555554E-3</v>
      </c>
      <c r="W739" s="104">
        <f t="shared" si="50"/>
        <v>2.148148148148148E-2</v>
      </c>
    </row>
    <row r="740" spans="1:23" hidden="1" x14ac:dyDescent="0.55000000000000004">
      <c r="A740" s="41" t="s">
        <v>1519</v>
      </c>
      <c r="B740" s="41" t="s">
        <v>35</v>
      </c>
      <c r="C740" s="41" t="s">
        <v>10</v>
      </c>
      <c r="D740" s="58" t="str">
        <f t="shared" si="51"/>
        <v>Greek meat moussaka with vermicelli rice</v>
      </c>
      <c r="E740" s="58" t="s">
        <v>1507</v>
      </c>
      <c r="F740" s="58" t="s">
        <v>2079</v>
      </c>
      <c r="G740" s="41" t="s">
        <v>11</v>
      </c>
      <c r="H740" s="58" t="s">
        <v>1773</v>
      </c>
      <c r="I740" s="58"/>
      <c r="J740" s="58"/>
      <c r="K740" s="41" t="str">
        <f>IFERROR(VLOOKUP(L740,'Raw material list'!$A$3:$C$715,3,0),"")</f>
        <v>DRS1-3880</v>
      </c>
      <c r="L740" s="59" t="s">
        <v>1433</v>
      </c>
      <c r="M740" s="40" t="s">
        <v>156</v>
      </c>
      <c r="N740" s="40" t="str">
        <f>VLOOKUP(L740,'Raw material list'!$A$3:$E$715,5,0)</f>
        <v xml:space="preserve">Gram </v>
      </c>
      <c r="O740" s="40">
        <v>15</v>
      </c>
      <c r="P740" s="299">
        <f t="shared" si="48"/>
        <v>15</v>
      </c>
      <c r="Q740" s="40">
        <v>100</v>
      </c>
      <c r="R740" s="40">
        <v>15</v>
      </c>
      <c r="S740" s="40"/>
      <c r="T740" s="105">
        <f t="shared" si="47"/>
        <v>1</v>
      </c>
      <c r="U740" s="105">
        <f t="shared" si="49"/>
        <v>1</v>
      </c>
      <c r="V740" s="104">
        <f>IFERROR(VLOOKUP(L740,'Raw material list'!$A$2:$S$3102,6,0),0)</f>
        <v>5.0000000000000001E-4</v>
      </c>
      <c r="W740" s="104">
        <f t="shared" si="50"/>
        <v>5.0000000000000001E-4</v>
      </c>
    </row>
    <row r="741" spans="1:23" hidden="1" x14ac:dyDescent="0.55000000000000004">
      <c r="A741" s="41" t="s">
        <v>1520</v>
      </c>
      <c r="B741" s="41" t="s">
        <v>35</v>
      </c>
      <c r="C741" s="41" t="s">
        <v>10</v>
      </c>
      <c r="D741" s="58" t="s">
        <v>1512</v>
      </c>
      <c r="E741" s="58" t="s">
        <v>1507</v>
      </c>
      <c r="F741" s="58" t="s">
        <v>2081</v>
      </c>
      <c r="G741" s="41" t="s">
        <v>11</v>
      </c>
      <c r="H741" s="58" t="s">
        <v>1773</v>
      </c>
      <c r="I741" s="58"/>
      <c r="J741" s="58"/>
      <c r="K741" s="41" t="str">
        <f>IFERROR(VLOOKUP(L741,'Raw material list'!$A$3:$C$715,3,0),"")</f>
        <v>PLT2-5309</v>
      </c>
      <c r="L741" s="59" t="s">
        <v>105</v>
      </c>
      <c r="M741" s="40" t="s">
        <v>156</v>
      </c>
      <c r="N741" s="40" t="str">
        <f>VLOOKUP(L741,'Raw material list'!$A$3:$E$715,5,0)</f>
        <v xml:space="preserve">Gram </v>
      </c>
      <c r="O741" s="40">
        <v>1200</v>
      </c>
      <c r="P741" s="299">
        <f t="shared" si="48"/>
        <v>1574.803149606299</v>
      </c>
      <c r="Q741" s="40">
        <v>76.2</v>
      </c>
      <c r="R741" s="40">
        <v>10</v>
      </c>
      <c r="S741" s="40"/>
      <c r="T741" s="105">
        <f t="shared" si="47"/>
        <v>120</v>
      </c>
      <c r="U741" s="105">
        <f t="shared" si="49"/>
        <v>157.4803149606299</v>
      </c>
      <c r="V741" s="104">
        <f>IFERROR(VLOOKUP(L741,'Raw material list'!$A$2:$S$3102,6,0),0)</f>
        <v>1.4166666666666666E-2</v>
      </c>
      <c r="W741" s="104">
        <f t="shared" si="50"/>
        <v>2.2309711286089233</v>
      </c>
    </row>
    <row r="742" spans="1:23" hidden="1" x14ac:dyDescent="0.55000000000000004">
      <c r="A742" s="41" t="s">
        <v>1520</v>
      </c>
      <c r="B742" s="41" t="s">
        <v>35</v>
      </c>
      <c r="C742" s="41" t="s">
        <v>10</v>
      </c>
      <c r="D742" s="58" t="str">
        <f t="shared" ref="D742:D759" si="52">D741</f>
        <v>Chicken ball with rose sause</v>
      </c>
      <c r="E742" s="58" t="s">
        <v>1507</v>
      </c>
      <c r="F742" s="58" t="s">
        <v>2079</v>
      </c>
      <c r="G742" s="41" t="s">
        <v>11</v>
      </c>
      <c r="H742" s="58" t="s">
        <v>1773</v>
      </c>
      <c r="I742" s="58"/>
      <c r="J742" s="58"/>
      <c r="K742" s="41" t="str">
        <f>IFERROR(VLOOKUP(L742,'Raw material list'!$A$3:$C$715,3,0),"")</f>
        <v>DRS3-1615</v>
      </c>
      <c r="L742" s="59" t="s">
        <v>50</v>
      </c>
      <c r="M742" s="40" t="s">
        <v>206</v>
      </c>
      <c r="N742" s="40" t="str">
        <f>VLOOKUP(L742,'Raw material list'!$A$3:$E$715,5,0)</f>
        <v>Ml</v>
      </c>
      <c r="O742" s="40">
        <v>30</v>
      </c>
      <c r="P742" s="299">
        <f t="shared" si="48"/>
        <v>30</v>
      </c>
      <c r="Q742" s="40">
        <v>100</v>
      </c>
      <c r="R742" s="40">
        <v>10</v>
      </c>
      <c r="S742" s="40"/>
      <c r="T742" s="105">
        <f t="shared" si="47"/>
        <v>3</v>
      </c>
      <c r="U742" s="105">
        <f t="shared" si="49"/>
        <v>3</v>
      </c>
      <c r="V742" s="104">
        <f>IFERROR(VLOOKUP(L742,'Raw material list'!$A$2:$S$3102,6,0),0)</f>
        <v>1.2E-2</v>
      </c>
      <c r="W742" s="104">
        <f t="shared" si="50"/>
        <v>3.6000000000000004E-2</v>
      </c>
    </row>
    <row r="743" spans="1:23" hidden="1" x14ac:dyDescent="0.55000000000000004">
      <c r="A743" s="41" t="s">
        <v>1520</v>
      </c>
      <c r="B743" s="41" t="s">
        <v>35</v>
      </c>
      <c r="C743" s="41" t="s">
        <v>10</v>
      </c>
      <c r="D743" s="58" t="str">
        <f t="shared" si="52"/>
        <v>Chicken ball with rose sause</v>
      </c>
      <c r="E743" s="58" t="s">
        <v>1507</v>
      </c>
      <c r="F743" s="58" t="s">
        <v>2079</v>
      </c>
      <c r="G743" s="41" t="s">
        <v>11</v>
      </c>
      <c r="H743" s="58" t="s">
        <v>1773</v>
      </c>
      <c r="I743" s="58"/>
      <c r="J743" s="58"/>
      <c r="K743" s="41" t="str">
        <f>IFERROR(VLOOKUP(L743,'Raw material list'!$A$3:$C$715,3,0),"")</f>
        <v>PRD1-4265</v>
      </c>
      <c r="L743" s="59" t="s">
        <v>38</v>
      </c>
      <c r="M743" s="40" t="s">
        <v>156</v>
      </c>
      <c r="N743" s="40" t="str">
        <f>VLOOKUP(L743,'Raw material list'!$A$3:$E$715,5,0)</f>
        <v xml:space="preserve">Gram </v>
      </c>
      <c r="O743" s="40">
        <v>100</v>
      </c>
      <c r="P743" s="299">
        <f t="shared" si="48"/>
        <v>117.64705882352942</v>
      </c>
      <c r="Q743" s="105">
        <v>85</v>
      </c>
      <c r="R743" s="40">
        <v>10</v>
      </c>
      <c r="S743" s="40"/>
      <c r="T743" s="105">
        <f t="shared" si="47"/>
        <v>10</v>
      </c>
      <c r="U743" s="105">
        <f t="shared" si="49"/>
        <v>11.764705882352942</v>
      </c>
      <c r="V743" s="104">
        <f>IFERROR(VLOOKUP(L743,'Raw material list'!$A$2:$S$3102,6,0),0)</f>
        <v>3.529411764705882E-3</v>
      </c>
      <c r="W743" s="104">
        <f t="shared" si="50"/>
        <v>4.1522491349480967E-2</v>
      </c>
    </row>
    <row r="744" spans="1:23" hidden="1" x14ac:dyDescent="0.55000000000000004">
      <c r="A744" s="41" t="s">
        <v>1520</v>
      </c>
      <c r="B744" s="41" t="s">
        <v>35</v>
      </c>
      <c r="C744" s="41" t="s">
        <v>10</v>
      </c>
      <c r="D744" s="58" t="str">
        <f t="shared" si="52"/>
        <v>Chicken ball with rose sause</v>
      </c>
      <c r="E744" s="58" t="s">
        <v>1507</v>
      </c>
      <c r="F744" s="58" t="s">
        <v>2079</v>
      </c>
      <c r="G744" s="41" t="s">
        <v>11</v>
      </c>
      <c r="H744" s="58" t="s">
        <v>1773</v>
      </c>
      <c r="I744" s="58"/>
      <c r="J744" s="58"/>
      <c r="K744" s="41" t="str">
        <f>IFERROR(VLOOKUP(L744,'Raw material list'!$A$3:$C$715,3,0),"")</f>
        <v>PRD1-4327</v>
      </c>
      <c r="L744" s="59" t="s">
        <v>39</v>
      </c>
      <c r="M744" s="40" t="s">
        <v>156</v>
      </c>
      <c r="N744" s="40" t="str">
        <f>VLOOKUP(L744,'Raw material list'!$A$3:$E$715,5,0)</f>
        <v xml:space="preserve">Gram </v>
      </c>
      <c r="O744" s="40">
        <v>15</v>
      </c>
      <c r="P744" s="299">
        <f t="shared" si="48"/>
        <v>18.072289156626507</v>
      </c>
      <c r="Q744" s="105">
        <v>83</v>
      </c>
      <c r="R744" s="40">
        <v>10</v>
      </c>
      <c r="S744" s="40"/>
      <c r="T744" s="105">
        <f t="shared" si="47"/>
        <v>1.5</v>
      </c>
      <c r="U744" s="105">
        <f t="shared" si="49"/>
        <v>1.8072289156626506</v>
      </c>
      <c r="V744" s="104">
        <f>IFERROR(VLOOKUP(L744,'Raw material list'!$A$2:$S$3102,6,0),0)</f>
        <v>1.2999999999999999E-2</v>
      </c>
      <c r="W744" s="104">
        <f t="shared" si="50"/>
        <v>2.3493975903614458E-2</v>
      </c>
    </row>
    <row r="745" spans="1:23" hidden="1" x14ac:dyDescent="0.55000000000000004">
      <c r="A745" s="41" t="s">
        <v>1520</v>
      </c>
      <c r="B745" s="41" t="s">
        <v>35</v>
      </c>
      <c r="C745" s="41" t="s">
        <v>10</v>
      </c>
      <c r="D745" s="58" t="str">
        <f t="shared" si="52"/>
        <v>Chicken ball with rose sause</v>
      </c>
      <c r="E745" s="58" t="s">
        <v>1507</v>
      </c>
      <c r="F745" s="58" t="s">
        <v>2079</v>
      </c>
      <c r="G745" s="41" t="s">
        <v>11</v>
      </c>
      <c r="H745" s="58" t="s">
        <v>1773</v>
      </c>
      <c r="I745" s="58"/>
      <c r="J745" s="58"/>
      <c r="K745" s="41" t="str">
        <f>IFERROR(VLOOKUP(L745,'Raw material list'!$A$3:$C$715,3,0),"")</f>
        <v>DRS1-1747</v>
      </c>
      <c r="L745" s="59" t="s">
        <v>44</v>
      </c>
      <c r="M745" s="40" t="s">
        <v>156</v>
      </c>
      <c r="N745" s="40" t="str">
        <f>VLOOKUP(L745,'Raw material list'!$A$3:$E$715,5,0)</f>
        <v xml:space="preserve">Gram </v>
      </c>
      <c r="O745" s="40">
        <v>80</v>
      </c>
      <c r="P745" s="299">
        <f t="shared" si="48"/>
        <v>80</v>
      </c>
      <c r="Q745" s="300">
        <v>100</v>
      </c>
      <c r="R745" s="40">
        <v>10</v>
      </c>
      <c r="S745" s="40"/>
      <c r="T745" s="105">
        <f t="shared" si="47"/>
        <v>8</v>
      </c>
      <c r="U745" s="105">
        <f t="shared" si="49"/>
        <v>8</v>
      </c>
      <c r="V745" s="104">
        <f>IFERROR(VLOOKUP(L745,'Raw material list'!$A$2:$S$3102,6,0),0)</f>
        <v>5.185185185185185E-3</v>
      </c>
      <c r="W745" s="104">
        <f t="shared" si="50"/>
        <v>4.148148148148148E-2</v>
      </c>
    </row>
    <row r="746" spans="1:23" hidden="1" x14ac:dyDescent="0.55000000000000004">
      <c r="A746" s="41" t="s">
        <v>1520</v>
      </c>
      <c r="B746" s="41" t="s">
        <v>35</v>
      </c>
      <c r="C746" s="41" t="s">
        <v>10</v>
      </c>
      <c r="D746" s="58" t="str">
        <f t="shared" si="52"/>
        <v>Chicken ball with rose sause</v>
      </c>
      <c r="E746" s="58" t="s">
        <v>1507</v>
      </c>
      <c r="F746" s="58" t="s">
        <v>2079</v>
      </c>
      <c r="G746" s="41" t="s">
        <v>11</v>
      </c>
      <c r="H746" s="58" t="s">
        <v>1773</v>
      </c>
      <c r="I746" s="58"/>
      <c r="J746" s="58"/>
      <c r="K746" s="41" t="str">
        <f>IFERROR(VLOOKUP(L746,'Raw material list'!$A$3:$C$715,3,0),"")</f>
        <v>DRS6-537</v>
      </c>
      <c r="L746" s="59" t="s">
        <v>46</v>
      </c>
      <c r="M746" s="40" t="s">
        <v>156</v>
      </c>
      <c r="N746" s="40" t="str">
        <f>VLOOKUP(L746,'Raw material list'!$A$3:$E$715,5,0)</f>
        <v xml:space="preserve">Gram </v>
      </c>
      <c r="O746" s="40">
        <v>2</v>
      </c>
      <c r="P746" s="299">
        <f t="shared" si="48"/>
        <v>2</v>
      </c>
      <c r="Q746" s="40">
        <v>100</v>
      </c>
      <c r="R746" s="40">
        <v>10</v>
      </c>
      <c r="S746" s="40"/>
      <c r="T746" s="105">
        <f t="shared" si="47"/>
        <v>0.2</v>
      </c>
      <c r="U746" s="105">
        <f t="shared" si="49"/>
        <v>0.2</v>
      </c>
      <c r="V746" s="104">
        <f>IFERROR(VLOOKUP(L746,'Raw material list'!$A$2:$S$3102,6,0),0)</f>
        <v>3.5000000000000003E-2</v>
      </c>
      <c r="W746" s="104">
        <f t="shared" si="50"/>
        <v>7.000000000000001E-3</v>
      </c>
    </row>
    <row r="747" spans="1:23" hidden="1" x14ac:dyDescent="0.55000000000000004">
      <c r="A747" s="41" t="s">
        <v>1520</v>
      </c>
      <c r="B747" s="41" t="s">
        <v>35</v>
      </c>
      <c r="C747" s="41" t="s">
        <v>10</v>
      </c>
      <c r="D747" s="58" t="str">
        <f t="shared" si="52"/>
        <v>Chicken ball with rose sause</v>
      </c>
      <c r="E747" s="58" t="s">
        <v>1507</v>
      </c>
      <c r="F747" s="58" t="s">
        <v>2079</v>
      </c>
      <c r="G747" s="41" t="s">
        <v>11</v>
      </c>
      <c r="H747" s="58" t="s">
        <v>1773</v>
      </c>
      <c r="I747" s="58"/>
      <c r="J747" s="58"/>
      <c r="K747" s="41" t="str">
        <f>IFERROR(VLOOKUP(L747,'Raw material list'!$A$3:$C$715,3,0),"")</f>
        <v>PRD1-179</v>
      </c>
      <c r="L747" s="59" t="s">
        <v>981</v>
      </c>
      <c r="M747" s="40" t="s">
        <v>156</v>
      </c>
      <c r="N747" s="40" t="str">
        <f>VLOOKUP(L747,'Raw material list'!$A$3:$E$715,5,0)</f>
        <v xml:space="preserve">Gram </v>
      </c>
      <c r="O747" s="40">
        <v>2</v>
      </c>
      <c r="P747" s="299">
        <f t="shared" si="48"/>
        <v>2</v>
      </c>
      <c r="Q747" s="105">
        <v>100</v>
      </c>
      <c r="R747" s="40">
        <v>10</v>
      </c>
      <c r="S747" s="40"/>
      <c r="T747" s="105">
        <f t="shared" si="47"/>
        <v>0.2</v>
      </c>
      <c r="U747" s="105">
        <f t="shared" si="49"/>
        <v>0.2</v>
      </c>
      <c r="V747" s="104">
        <f>IFERROR(VLOOKUP(L747,'Raw material list'!$A$2:$S$3102,6,0),0)</f>
        <v>8.9999999999999993E-3</v>
      </c>
      <c r="W747" s="104">
        <f t="shared" si="50"/>
        <v>1.8E-3</v>
      </c>
    </row>
    <row r="748" spans="1:23" hidden="1" x14ac:dyDescent="0.55000000000000004">
      <c r="A748" s="41" t="s">
        <v>1520</v>
      </c>
      <c r="B748" s="41" t="s">
        <v>35</v>
      </c>
      <c r="C748" s="41" t="s">
        <v>10</v>
      </c>
      <c r="D748" s="58" t="str">
        <f t="shared" si="52"/>
        <v>Chicken ball with rose sause</v>
      </c>
      <c r="E748" s="58" t="s">
        <v>1507</v>
      </c>
      <c r="F748" s="58" t="s">
        <v>2079</v>
      </c>
      <c r="G748" s="41" t="s">
        <v>11</v>
      </c>
      <c r="H748" s="58" t="s">
        <v>1773</v>
      </c>
      <c r="I748" s="58"/>
      <c r="J748" s="58"/>
      <c r="K748" s="41" t="str">
        <f>IFERROR(VLOOKUP(L748,'Raw material list'!$A$3:$C$715,3,0),"")</f>
        <v>DRY2-1858</v>
      </c>
      <c r="L748" s="59" t="s">
        <v>60</v>
      </c>
      <c r="M748" s="40" t="s">
        <v>206</v>
      </c>
      <c r="N748" s="40" t="str">
        <f>VLOOKUP(L748,'Raw material list'!$A$3:$E$715,5,0)</f>
        <v>Ml</v>
      </c>
      <c r="O748" s="40">
        <v>500</v>
      </c>
      <c r="P748" s="299">
        <f t="shared" si="48"/>
        <v>500</v>
      </c>
      <c r="Q748" s="300">
        <v>100</v>
      </c>
      <c r="R748" s="40">
        <v>10</v>
      </c>
      <c r="S748" s="40"/>
      <c r="T748" s="105">
        <f t="shared" si="47"/>
        <v>50</v>
      </c>
      <c r="U748" s="105">
        <f t="shared" si="49"/>
        <v>50</v>
      </c>
      <c r="V748" s="104">
        <f>IFERROR(VLOOKUP(L748,'Raw material list'!$A$2:$S$3102,6,0),0)</f>
        <v>9.8800000000000016E-3</v>
      </c>
      <c r="W748" s="104">
        <f t="shared" si="50"/>
        <v>0.49400000000000011</v>
      </c>
    </row>
    <row r="749" spans="1:23" hidden="1" x14ac:dyDescent="0.55000000000000004">
      <c r="A749" s="41" t="s">
        <v>1520</v>
      </c>
      <c r="B749" s="41" t="s">
        <v>35</v>
      </c>
      <c r="C749" s="41" t="s">
        <v>10</v>
      </c>
      <c r="D749" s="58" t="str">
        <f t="shared" si="52"/>
        <v>Chicken ball with rose sause</v>
      </c>
      <c r="E749" s="58" t="s">
        <v>1507</v>
      </c>
      <c r="F749" s="58" t="s">
        <v>2079</v>
      </c>
      <c r="G749" s="41" t="s">
        <v>11</v>
      </c>
      <c r="H749" s="58" t="s">
        <v>1773</v>
      </c>
      <c r="I749" s="58"/>
      <c r="J749" s="58"/>
      <c r="K749" s="41" t="str">
        <f>IFERROR(VLOOKUP(L749,'Raw material list'!$A$3:$C$715,3,0),"")</f>
        <v>DRS1-607</v>
      </c>
      <c r="L749" s="59" t="s">
        <v>250</v>
      </c>
      <c r="M749" s="40" t="s">
        <v>156</v>
      </c>
      <c r="N749" s="40" t="str">
        <f>VLOOKUP(L749,'Raw material list'!$A$3:$E$715,5,0)</f>
        <v xml:space="preserve">Gram </v>
      </c>
      <c r="O749" s="40">
        <v>750</v>
      </c>
      <c r="P749" s="299">
        <f t="shared" si="48"/>
        <v>750</v>
      </c>
      <c r="Q749" s="40">
        <v>100</v>
      </c>
      <c r="R749" s="40">
        <v>10</v>
      </c>
      <c r="S749" s="40"/>
      <c r="T749" s="105">
        <f t="shared" si="47"/>
        <v>75</v>
      </c>
      <c r="U749" s="105">
        <f t="shared" si="49"/>
        <v>75</v>
      </c>
      <c r="V749" s="104">
        <f>IFERROR(VLOOKUP(L749,'Raw material list'!$A$2:$S$3102,6,0),0)</f>
        <v>5.8823529411764705E-3</v>
      </c>
      <c r="W749" s="104">
        <f t="shared" si="50"/>
        <v>0.44117647058823528</v>
      </c>
    </row>
    <row r="750" spans="1:23" hidden="1" x14ac:dyDescent="0.55000000000000004">
      <c r="A750" s="41" t="s">
        <v>1520</v>
      </c>
      <c r="B750" s="41" t="s">
        <v>35</v>
      </c>
      <c r="C750" s="41" t="s">
        <v>10</v>
      </c>
      <c r="D750" s="58" t="str">
        <f t="shared" si="52"/>
        <v>Chicken ball with rose sause</v>
      </c>
      <c r="E750" s="58" t="s">
        <v>1507</v>
      </c>
      <c r="F750" s="58" t="s">
        <v>2079</v>
      </c>
      <c r="G750" s="41" t="s">
        <v>11</v>
      </c>
      <c r="H750" s="58" t="s">
        <v>1773</v>
      </c>
      <c r="I750" s="58"/>
      <c r="J750" s="58"/>
      <c r="K750" s="41" t="str">
        <f>IFERROR(VLOOKUP(L750,'Raw material list'!$A$3:$C$715,3,0),"")</f>
        <v>DRS6-1570</v>
      </c>
      <c r="L750" s="59" t="s">
        <v>51</v>
      </c>
      <c r="M750" s="40" t="s">
        <v>156</v>
      </c>
      <c r="N750" s="40" t="str">
        <f>VLOOKUP(L750,'Raw material list'!$A$3:$E$715,5,0)</f>
        <v xml:space="preserve">Gram </v>
      </c>
      <c r="O750" s="40">
        <v>1</v>
      </c>
      <c r="P750" s="299">
        <f t="shared" si="48"/>
        <v>1</v>
      </c>
      <c r="Q750" s="40">
        <v>100</v>
      </c>
      <c r="R750" s="40">
        <v>10</v>
      </c>
      <c r="S750" s="40"/>
      <c r="T750" s="105">
        <f t="shared" si="47"/>
        <v>0.1</v>
      </c>
      <c r="U750" s="105">
        <f t="shared" si="49"/>
        <v>0.1</v>
      </c>
      <c r="V750" s="104">
        <f>IFERROR(VLOOKUP(L750,'Raw material list'!$A$2:$S$3102,6,0),0)</f>
        <v>9.3526666666666654E-3</v>
      </c>
      <c r="W750" s="104">
        <f t="shared" si="50"/>
        <v>9.3526666666666656E-4</v>
      </c>
    </row>
    <row r="751" spans="1:23" hidden="1" x14ac:dyDescent="0.55000000000000004">
      <c r="A751" s="41" t="s">
        <v>1520</v>
      </c>
      <c r="B751" s="41" t="s">
        <v>35</v>
      </c>
      <c r="C751" s="41" t="s">
        <v>10</v>
      </c>
      <c r="D751" s="58" t="str">
        <f t="shared" si="52"/>
        <v>Chicken ball with rose sause</v>
      </c>
      <c r="E751" s="58" t="s">
        <v>1507</v>
      </c>
      <c r="F751" s="58" t="s">
        <v>2079</v>
      </c>
      <c r="G751" s="41" t="s">
        <v>11</v>
      </c>
      <c r="H751" s="58" t="s">
        <v>1773</v>
      </c>
      <c r="I751" s="58"/>
      <c r="J751" s="58"/>
      <c r="K751" s="41" t="str">
        <f>IFERROR(VLOOKUP(L751,'Raw material list'!$A$3:$C$715,3,0),"")</f>
        <v>DRY1-602</v>
      </c>
      <c r="L751" s="59" t="s">
        <v>63</v>
      </c>
      <c r="M751" s="40" t="s">
        <v>156</v>
      </c>
      <c r="N751" s="40" t="str">
        <f>VLOOKUP(L751,'Raw material list'!$A$3:$E$715,5,0)</f>
        <v xml:space="preserve">Gram </v>
      </c>
      <c r="O751" s="40">
        <v>40</v>
      </c>
      <c r="P751" s="299">
        <f t="shared" si="48"/>
        <v>40</v>
      </c>
      <c r="Q751" s="40">
        <v>100</v>
      </c>
      <c r="R751" s="40">
        <v>10</v>
      </c>
      <c r="S751" s="40"/>
      <c r="T751" s="105">
        <f t="shared" si="47"/>
        <v>4</v>
      </c>
      <c r="U751" s="105">
        <f t="shared" si="49"/>
        <v>4</v>
      </c>
      <c r="V751" s="104">
        <f>IFERROR(VLOOKUP(L751,'Raw material list'!$A$2:$S$3102,6,0),0)</f>
        <v>5.5E-2</v>
      </c>
      <c r="W751" s="104">
        <f t="shared" si="50"/>
        <v>0.22</v>
      </c>
    </row>
    <row r="752" spans="1:23" hidden="1" x14ac:dyDescent="0.55000000000000004">
      <c r="A752" s="41" t="s">
        <v>1520</v>
      </c>
      <c r="B752" s="41" t="s">
        <v>35</v>
      </c>
      <c r="C752" s="41" t="s">
        <v>10</v>
      </c>
      <c r="D752" s="58" t="str">
        <f t="shared" si="52"/>
        <v>Chicken ball with rose sause</v>
      </c>
      <c r="E752" s="58" t="s">
        <v>1507</v>
      </c>
      <c r="F752" s="58" t="s">
        <v>2079</v>
      </c>
      <c r="G752" s="41" t="s">
        <v>11</v>
      </c>
      <c r="H752" s="58" t="s">
        <v>1773</v>
      </c>
      <c r="I752" s="58"/>
      <c r="J752" s="58"/>
      <c r="K752" s="41" t="str">
        <f>IFERROR(VLOOKUP(L752,'Raw material list'!$A$3:$C$715,3,0),"")</f>
        <v>DRS1-3811</v>
      </c>
      <c r="L752" s="59" t="s">
        <v>40</v>
      </c>
      <c r="M752" s="40" t="s">
        <v>156</v>
      </c>
      <c r="N752" s="40" t="str">
        <f>VLOOKUP(L752,'Raw material list'!$A$3:$E$715,5,0)</f>
        <v xml:space="preserve">Gram </v>
      </c>
      <c r="O752" s="40">
        <v>20</v>
      </c>
      <c r="P752" s="299">
        <f t="shared" si="48"/>
        <v>20</v>
      </c>
      <c r="Q752" s="40">
        <v>100</v>
      </c>
      <c r="R752" s="40">
        <v>10</v>
      </c>
      <c r="S752" s="40"/>
      <c r="T752" s="105">
        <f t="shared" si="47"/>
        <v>2</v>
      </c>
      <c r="U752" s="105">
        <f t="shared" si="49"/>
        <v>2</v>
      </c>
      <c r="V752" s="104">
        <f>IFERROR(VLOOKUP(L752,'Raw material list'!$A$2:$S$3102,6,0),0)</f>
        <v>2.8475E-2</v>
      </c>
      <c r="W752" s="104">
        <f t="shared" si="50"/>
        <v>5.6950000000000001E-2</v>
      </c>
    </row>
    <row r="753" spans="1:23" hidden="1" x14ac:dyDescent="0.55000000000000004">
      <c r="A753" s="41" t="s">
        <v>1520</v>
      </c>
      <c r="B753" s="41" t="s">
        <v>35</v>
      </c>
      <c r="C753" s="41" t="s">
        <v>10</v>
      </c>
      <c r="D753" s="58" t="str">
        <f t="shared" si="52"/>
        <v>Chicken ball with rose sause</v>
      </c>
      <c r="E753" s="58" t="s">
        <v>1507</v>
      </c>
      <c r="F753" s="58" t="s">
        <v>2079</v>
      </c>
      <c r="G753" s="41" t="s">
        <v>11</v>
      </c>
      <c r="H753" s="58" t="s">
        <v>1773</v>
      </c>
      <c r="I753" s="58"/>
      <c r="J753" s="58"/>
      <c r="K753" s="41" t="str">
        <f>IFERROR(VLOOKUP(L753,'Raw material list'!$A$3:$C$715,3,0),"")</f>
        <v>TAP-00001</v>
      </c>
      <c r="L753" s="59" t="s">
        <v>1405</v>
      </c>
      <c r="M753" s="40" t="s">
        <v>206</v>
      </c>
      <c r="N753" s="40" t="str">
        <f>VLOOKUP(L753,'Raw material list'!$A$3:$E$715,5,0)</f>
        <v>Ml</v>
      </c>
      <c r="O753" s="40">
        <v>200</v>
      </c>
      <c r="P753" s="299">
        <f t="shared" si="48"/>
        <v>200</v>
      </c>
      <c r="Q753" s="40">
        <v>100</v>
      </c>
      <c r="R753" s="40">
        <v>10</v>
      </c>
      <c r="S753" s="40"/>
      <c r="T753" s="105">
        <f t="shared" si="47"/>
        <v>20</v>
      </c>
      <c r="U753" s="105">
        <f t="shared" si="49"/>
        <v>20</v>
      </c>
      <c r="V753" s="104">
        <f>IFERROR(VLOOKUP(L753,'Raw material list'!$A$2:$S$3102,6,0),0)</f>
        <v>8.0000000000000007E-5</v>
      </c>
      <c r="W753" s="104">
        <f t="shared" si="50"/>
        <v>1.6000000000000001E-3</v>
      </c>
    </row>
    <row r="754" spans="1:23" hidden="1" x14ac:dyDescent="0.55000000000000004">
      <c r="A754" s="41" t="s">
        <v>1520</v>
      </c>
      <c r="B754" s="41" t="s">
        <v>35</v>
      </c>
      <c r="C754" s="41" t="s">
        <v>10</v>
      </c>
      <c r="D754" s="58" t="str">
        <f t="shared" si="52"/>
        <v>Chicken ball with rose sause</v>
      </c>
      <c r="E754" s="58" t="s">
        <v>1507</v>
      </c>
      <c r="F754" s="58" t="s">
        <v>2079</v>
      </c>
      <c r="G754" s="41" t="s">
        <v>11</v>
      </c>
      <c r="H754" s="58" t="s">
        <v>1773</v>
      </c>
      <c r="I754" s="58"/>
      <c r="J754" s="58"/>
      <c r="K754" s="41" t="str">
        <f>IFERROR(VLOOKUP(L754,'Raw material list'!$A$3:$C$715,3,0),"")</f>
        <v>DRS4-498</v>
      </c>
      <c r="L754" s="59" t="s">
        <v>72</v>
      </c>
      <c r="M754" s="40" t="s">
        <v>156</v>
      </c>
      <c r="N754" s="40" t="str">
        <f>VLOOKUP(L754,'Raw material list'!$A$3:$E$715,5,0)</f>
        <v xml:space="preserve">Gram </v>
      </c>
      <c r="O754" s="40">
        <v>1000</v>
      </c>
      <c r="P754" s="299">
        <f t="shared" si="48"/>
        <v>1000</v>
      </c>
      <c r="Q754" s="40">
        <v>100</v>
      </c>
      <c r="R754" s="40">
        <v>10</v>
      </c>
      <c r="S754" s="40"/>
      <c r="T754" s="105">
        <f t="shared" si="47"/>
        <v>100</v>
      </c>
      <c r="U754" s="105">
        <f t="shared" si="49"/>
        <v>100</v>
      </c>
      <c r="V754" s="104">
        <f>IFERROR(VLOOKUP(L754,'Raw material list'!$A$2:$S$3102,6,0),0)</f>
        <v>5.7499999999999999E-3</v>
      </c>
      <c r="W754" s="104">
        <f t="shared" si="50"/>
        <v>0.57499999999999996</v>
      </c>
    </row>
    <row r="755" spans="1:23" hidden="1" x14ac:dyDescent="0.55000000000000004">
      <c r="A755" s="41" t="s">
        <v>1520</v>
      </c>
      <c r="B755" s="41" t="s">
        <v>35</v>
      </c>
      <c r="C755" s="41" t="s">
        <v>10</v>
      </c>
      <c r="D755" s="58" t="str">
        <f t="shared" si="52"/>
        <v>Chicken ball with rose sause</v>
      </c>
      <c r="E755" s="58" t="s">
        <v>1507</v>
      </c>
      <c r="F755" s="58" t="s">
        <v>2079</v>
      </c>
      <c r="G755" s="41" t="s">
        <v>11</v>
      </c>
      <c r="H755" s="58" t="s">
        <v>1773</v>
      </c>
      <c r="I755" s="58"/>
      <c r="J755" s="58"/>
      <c r="K755" s="41" t="str">
        <f>IFERROR(VLOOKUP(L755,'Raw material list'!$A$3:$C$715,3,0),"")</f>
        <v>TAP-00001</v>
      </c>
      <c r="L755" s="59" t="s">
        <v>1405</v>
      </c>
      <c r="M755" s="40" t="s">
        <v>206</v>
      </c>
      <c r="N755" s="40" t="str">
        <f>VLOOKUP(L755,'Raw material list'!$A$3:$E$715,5,0)</f>
        <v>Ml</v>
      </c>
      <c r="O755" s="40">
        <v>1600</v>
      </c>
      <c r="P755" s="299">
        <f t="shared" si="48"/>
        <v>1600</v>
      </c>
      <c r="Q755" s="40">
        <v>100</v>
      </c>
      <c r="R755" s="40">
        <v>10</v>
      </c>
      <c r="S755" s="40"/>
      <c r="T755" s="105">
        <f t="shared" si="47"/>
        <v>160</v>
      </c>
      <c r="U755" s="105">
        <f t="shared" si="49"/>
        <v>160</v>
      </c>
      <c r="V755" s="104">
        <f>IFERROR(VLOOKUP(L755,'Raw material list'!$A$2:$S$3102,6,0),0)</f>
        <v>8.0000000000000007E-5</v>
      </c>
      <c r="W755" s="104">
        <f t="shared" si="50"/>
        <v>1.2800000000000001E-2</v>
      </c>
    </row>
    <row r="756" spans="1:23" hidden="1" x14ac:dyDescent="0.55000000000000004">
      <c r="A756" s="41" t="s">
        <v>1520</v>
      </c>
      <c r="B756" s="41" t="s">
        <v>35</v>
      </c>
      <c r="C756" s="41" t="s">
        <v>10</v>
      </c>
      <c r="D756" s="58" t="str">
        <f t="shared" si="52"/>
        <v>Chicken ball with rose sause</v>
      </c>
      <c r="E756" s="58" t="s">
        <v>1507</v>
      </c>
      <c r="F756" s="58" t="s">
        <v>2079</v>
      </c>
      <c r="G756" s="41" t="s">
        <v>11</v>
      </c>
      <c r="H756" s="58" t="s">
        <v>1773</v>
      </c>
      <c r="I756" s="58"/>
      <c r="J756" s="58"/>
      <c r="K756" s="41" t="str">
        <f>IFERROR(VLOOKUP(L756,'Raw material list'!$A$3:$C$715,3,0),"")</f>
        <v>DRS1-3880</v>
      </c>
      <c r="L756" s="59" t="s">
        <v>1433</v>
      </c>
      <c r="M756" s="40" t="s">
        <v>156</v>
      </c>
      <c r="N756" s="40" t="str">
        <f>VLOOKUP(L756,'Raw material list'!$A$3:$E$715,5,0)</f>
        <v xml:space="preserve">Gram </v>
      </c>
      <c r="O756" s="40">
        <v>10</v>
      </c>
      <c r="P756" s="299">
        <f t="shared" si="48"/>
        <v>10</v>
      </c>
      <c r="Q756" s="40">
        <v>100</v>
      </c>
      <c r="R756" s="40">
        <v>10</v>
      </c>
      <c r="S756" s="40"/>
      <c r="T756" s="105">
        <f t="shared" si="47"/>
        <v>1</v>
      </c>
      <c r="U756" s="105">
        <f t="shared" si="49"/>
        <v>1</v>
      </c>
      <c r="V756" s="104">
        <f>IFERROR(VLOOKUP(L756,'Raw material list'!$A$2:$S$3102,6,0),0)</f>
        <v>5.0000000000000001E-4</v>
      </c>
      <c r="W756" s="104">
        <f t="shared" si="50"/>
        <v>5.0000000000000001E-4</v>
      </c>
    </row>
    <row r="757" spans="1:23" hidden="1" x14ac:dyDescent="0.55000000000000004">
      <c r="A757" s="41" t="s">
        <v>1520</v>
      </c>
      <c r="B757" s="41" t="s">
        <v>35</v>
      </c>
      <c r="C757" s="41" t="s">
        <v>10</v>
      </c>
      <c r="D757" s="41" t="str">
        <f t="shared" si="52"/>
        <v>Chicken ball with rose sause</v>
      </c>
      <c r="E757" s="58" t="s">
        <v>1507</v>
      </c>
      <c r="F757" s="58" t="s">
        <v>2079</v>
      </c>
      <c r="G757" s="41" t="s">
        <v>11</v>
      </c>
      <c r="H757" s="58" t="s">
        <v>1773</v>
      </c>
      <c r="I757" s="41"/>
      <c r="J757" s="41"/>
      <c r="K757" s="41" t="str">
        <f>IFERROR(VLOOKUP(L757,'Raw material list'!$A$3:$C$715,3,0),"")</f>
        <v>DRS3-1813</v>
      </c>
      <c r="L757" s="41" t="s">
        <v>69</v>
      </c>
      <c r="M757" s="40" t="s">
        <v>206</v>
      </c>
      <c r="N757" s="40" t="str">
        <f>VLOOKUP(L757,'Raw material list'!$A$3:$E$715,5,0)</f>
        <v>Ml</v>
      </c>
      <c r="O757" s="40">
        <v>30</v>
      </c>
      <c r="P757" s="299">
        <f t="shared" si="48"/>
        <v>30</v>
      </c>
      <c r="Q757" s="40">
        <v>100</v>
      </c>
      <c r="R757" s="40">
        <v>10</v>
      </c>
      <c r="S757" s="40"/>
      <c r="T757" s="105">
        <f t="shared" si="47"/>
        <v>3</v>
      </c>
      <c r="U757" s="105">
        <f t="shared" si="49"/>
        <v>3</v>
      </c>
      <c r="V757" s="104">
        <f>IFERROR(VLOOKUP(L757,'Raw material list'!$A$2:$S$3102,6,0),0)</f>
        <v>8.0555555555555554E-3</v>
      </c>
      <c r="W757" s="104">
        <f t="shared" si="50"/>
        <v>2.4166666666666666E-2</v>
      </c>
    </row>
    <row r="758" spans="1:23" hidden="1" x14ac:dyDescent="0.55000000000000004">
      <c r="A758" s="41" t="s">
        <v>1520</v>
      </c>
      <c r="B758" s="41" t="s">
        <v>35</v>
      </c>
      <c r="C758" s="41" t="s">
        <v>10</v>
      </c>
      <c r="D758" s="41" t="str">
        <f t="shared" si="52"/>
        <v>Chicken ball with rose sause</v>
      </c>
      <c r="E758" s="58" t="s">
        <v>1507</v>
      </c>
      <c r="F758" s="58" t="s">
        <v>2079</v>
      </c>
      <c r="G758" s="41" t="s">
        <v>11</v>
      </c>
      <c r="H758" s="58" t="s">
        <v>1773</v>
      </c>
      <c r="I758" s="41"/>
      <c r="J758" s="41"/>
      <c r="K758" s="41" t="str">
        <f>IFERROR(VLOOKUP(L758,'Raw material list'!$A$3:$C$715,3,0),"")</f>
        <v>DRS6-3593</v>
      </c>
      <c r="L758" s="41" t="s">
        <v>1407</v>
      </c>
      <c r="M758" s="40" t="s">
        <v>156</v>
      </c>
      <c r="N758" s="40" t="str">
        <f>VLOOKUP(L758,'Raw material list'!$A$3:$E$715,5,0)</f>
        <v xml:space="preserve">Gram </v>
      </c>
      <c r="O758" s="40">
        <v>1</v>
      </c>
      <c r="P758" s="299">
        <f t="shared" si="48"/>
        <v>1</v>
      </c>
      <c r="Q758" s="40">
        <v>100</v>
      </c>
      <c r="R758" s="40">
        <v>10</v>
      </c>
      <c r="S758" s="40"/>
      <c r="T758" s="105">
        <f t="shared" si="47"/>
        <v>0.1</v>
      </c>
      <c r="U758" s="105">
        <f t="shared" si="49"/>
        <v>0.1</v>
      </c>
      <c r="V758" s="104">
        <f>IFERROR(VLOOKUP(L758,'Raw material list'!$A$2:$S$3102,6,0),0)</f>
        <v>8.0000000000000002E-3</v>
      </c>
      <c r="W758" s="104">
        <f t="shared" si="50"/>
        <v>8.0000000000000004E-4</v>
      </c>
    </row>
    <row r="759" spans="1:23" hidden="1" x14ac:dyDescent="0.55000000000000004">
      <c r="A759" s="41" t="s">
        <v>1520</v>
      </c>
      <c r="B759" s="41" t="s">
        <v>35</v>
      </c>
      <c r="C759" s="41" t="s">
        <v>10</v>
      </c>
      <c r="D759" s="41" t="str">
        <f t="shared" si="52"/>
        <v>Chicken ball with rose sause</v>
      </c>
      <c r="E759" s="58" t="s">
        <v>1507</v>
      </c>
      <c r="F759" s="58" t="s">
        <v>2079</v>
      </c>
      <c r="G759" s="41" t="s">
        <v>11</v>
      </c>
      <c r="H759" s="58" t="s">
        <v>1773</v>
      </c>
      <c r="I759" s="41"/>
      <c r="J759" s="41"/>
      <c r="K759" s="41" t="str">
        <f>IFERROR(VLOOKUP(L759,'Raw material list'!$A$3:$C$715,3,0),"")</f>
        <v>DRS6-261</v>
      </c>
      <c r="L759" s="41" t="s">
        <v>1406</v>
      </c>
      <c r="M759" s="40" t="s">
        <v>156</v>
      </c>
      <c r="N759" s="40" t="str">
        <f>VLOOKUP(L759,'Raw material list'!$A$3:$E$715,5,0)</f>
        <v xml:space="preserve">Gram </v>
      </c>
      <c r="O759" s="40">
        <v>2</v>
      </c>
      <c r="P759" s="299">
        <f t="shared" si="48"/>
        <v>2</v>
      </c>
      <c r="Q759" s="40">
        <v>100</v>
      </c>
      <c r="R759" s="40">
        <v>10</v>
      </c>
      <c r="S759" s="40"/>
      <c r="T759" s="105">
        <f t="shared" si="47"/>
        <v>0.2</v>
      </c>
      <c r="U759" s="105">
        <f t="shared" si="49"/>
        <v>0.2</v>
      </c>
      <c r="V759" s="104">
        <f>IFERROR(VLOOKUP(L759,'Raw material list'!$A$2:$S$3102,6,0),0)</f>
        <v>1.4E-2</v>
      </c>
      <c r="W759" s="104">
        <f t="shared" si="50"/>
        <v>2.8000000000000004E-3</v>
      </c>
    </row>
    <row r="760" spans="1:23" hidden="1" x14ac:dyDescent="0.55000000000000004">
      <c r="A760" s="41" t="s">
        <v>1521</v>
      </c>
      <c r="B760" s="41" t="s">
        <v>35</v>
      </c>
      <c r="C760" s="41" t="s">
        <v>10</v>
      </c>
      <c r="D760" s="41" t="s">
        <v>1513</v>
      </c>
      <c r="E760" s="58" t="s">
        <v>1507</v>
      </c>
      <c r="F760" s="58" t="s">
        <v>2079</v>
      </c>
      <c r="G760" s="41" t="s">
        <v>11</v>
      </c>
      <c r="H760" s="58" t="s">
        <v>1773</v>
      </c>
      <c r="I760" s="41"/>
      <c r="J760" s="41"/>
      <c r="K760" s="41" t="str">
        <f>IFERROR(VLOOKUP(L760,'Raw material list'!$A$3:$C$715,3,0),"")</f>
        <v>DRS4-490</v>
      </c>
      <c r="L760" s="41" t="s">
        <v>495</v>
      </c>
      <c r="M760" s="40" t="s">
        <v>156</v>
      </c>
      <c r="N760" s="40" t="str">
        <f>VLOOKUP(L760,'Raw material list'!$A$3:$E$715,5,0)</f>
        <v xml:space="preserve">Gram </v>
      </c>
      <c r="O760" s="40">
        <v>300</v>
      </c>
      <c r="P760" s="299">
        <f t="shared" si="48"/>
        <v>300</v>
      </c>
      <c r="Q760" s="40">
        <v>100</v>
      </c>
      <c r="R760" s="40">
        <v>10</v>
      </c>
      <c r="S760" s="40"/>
      <c r="T760" s="105">
        <f t="shared" si="47"/>
        <v>30</v>
      </c>
      <c r="U760" s="105">
        <f t="shared" si="49"/>
        <v>30</v>
      </c>
      <c r="V760" s="104">
        <f>IFERROR(VLOOKUP(L760,'Raw material list'!$A$2:$S$3102,6,0),0)</f>
        <v>8.3333333333333332E-3</v>
      </c>
      <c r="W760" s="104">
        <f t="shared" si="50"/>
        <v>0.25</v>
      </c>
    </row>
    <row r="761" spans="1:23" hidden="1" x14ac:dyDescent="0.55000000000000004">
      <c r="A761" s="41" t="s">
        <v>1521</v>
      </c>
      <c r="B761" s="41" t="s">
        <v>35</v>
      </c>
      <c r="C761" s="41" t="s">
        <v>10</v>
      </c>
      <c r="D761" s="41" t="str">
        <f t="shared" ref="D761:D777" si="53">D760</f>
        <v>Koshari  Crispy Onion &amp; Tomato Sauce</v>
      </c>
      <c r="E761" s="58" t="s">
        <v>1507</v>
      </c>
      <c r="F761" s="58" t="s">
        <v>2079</v>
      </c>
      <c r="G761" s="41" t="s">
        <v>11</v>
      </c>
      <c r="H761" s="58" t="s">
        <v>1773</v>
      </c>
      <c r="I761" s="41"/>
      <c r="J761" s="41"/>
      <c r="K761" s="41" t="str">
        <f>IFERROR(VLOOKUP(L761,'Raw material list'!$A$3:$C$715,3,0),"")</f>
        <v>DRS2-3804</v>
      </c>
      <c r="L761" s="41" t="s">
        <v>542</v>
      </c>
      <c r="M761" s="40" t="s">
        <v>156</v>
      </c>
      <c r="N761" s="40" t="str">
        <f>VLOOKUP(L761,'Raw material list'!$A$3:$E$715,5,0)</f>
        <v xml:space="preserve">Gram </v>
      </c>
      <c r="O761" s="40">
        <v>500</v>
      </c>
      <c r="P761" s="299">
        <f t="shared" si="48"/>
        <v>500</v>
      </c>
      <c r="Q761" s="40">
        <v>100</v>
      </c>
      <c r="R761" s="40">
        <v>10</v>
      </c>
      <c r="S761" s="40"/>
      <c r="T761" s="105">
        <f t="shared" si="47"/>
        <v>50</v>
      </c>
      <c r="U761" s="105">
        <f t="shared" si="49"/>
        <v>50</v>
      </c>
      <c r="V761" s="104">
        <f>IFERROR(VLOOKUP(L761,'Raw material list'!$A$2:$S$3102,6,0),0)</f>
        <v>9.2222222222222237E-3</v>
      </c>
      <c r="W761" s="104">
        <f t="shared" si="50"/>
        <v>0.46111111111111119</v>
      </c>
    </row>
    <row r="762" spans="1:23" hidden="1" x14ac:dyDescent="0.55000000000000004">
      <c r="A762" s="41" t="s">
        <v>1521</v>
      </c>
      <c r="B762" s="41" t="s">
        <v>35</v>
      </c>
      <c r="C762" s="41" t="s">
        <v>10</v>
      </c>
      <c r="D762" s="41" t="str">
        <f t="shared" si="53"/>
        <v>Koshari  Crispy Onion &amp; Tomato Sauce</v>
      </c>
      <c r="E762" s="58" t="s">
        <v>1507</v>
      </c>
      <c r="F762" s="58" t="s">
        <v>2079</v>
      </c>
      <c r="G762" s="41" t="s">
        <v>11</v>
      </c>
      <c r="H762" s="58" t="s">
        <v>1773</v>
      </c>
      <c r="I762" s="41"/>
      <c r="J762" s="41"/>
      <c r="K762" s="41" t="str">
        <f>IFERROR(VLOOKUP(L762,'Raw material list'!$A$3:$C$715,3,0),"")</f>
        <v>DRS4-498</v>
      </c>
      <c r="L762" s="41" t="s">
        <v>72</v>
      </c>
      <c r="M762" s="40" t="s">
        <v>156</v>
      </c>
      <c r="N762" s="40" t="str">
        <f>VLOOKUP(L762,'Raw material list'!$A$3:$E$715,5,0)</f>
        <v xml:space="preserve">Gram </v>
      </c>
      <c r="O762" s="40">
        <v>600</v>
      </c>
      <c r="P762" s="299">
        <f t="shared" si="48"/>
        <v>600</v>
      </c>
      <c r="Q762" s="40">
        <v>100</v>
      </c>
      <c r="R762" s="40">
        <v>10</v>
      </c>
      <c r="S762" s="40"/>
      <c r="T762" s="105">
        <f t="shared" si="47"/>
        <v>60</v>
      </c>
      <c r="U762" s="105">
        <f t="shared" si="49"/>
        <v>60</v>
      </c>
      <c r="V762" s="104">
        <f>IFERROR(VLOOKUP(L762,'Raw material list'!$A$2:$S$3102,6,0),0)</f>
        <v>5.7499999999999999E-3</v>
      </c>
      <c r="W762" s="104">
        <f t="shared" si="50"/>
        <v>0.34499999999999997</v>
      </c>
    </row>
    <row r="763" spans="1:23" hidden="1" x14ac:dyDescent="0.55000000000000004">
      <c r="A763" s="41" t="s">
        <v>1521</v>
      </c>
      <c r="B763" s="41" t="s">
        <v>35</v>
      </c>
      <c r="C763" s="41" t="s">
        <v>10</v>
      </c>
      <c r="D763" s="41" t="str">
        <f t="shared" si="53"/>
        <v>Koshari  Crispy Onion &amp; Tomato Sauce</v>
      </c>
      <c r="E763" s="58" t="s">
        <v>1507</v>
      </c>
      <c r="F763" s="58" t="s">
        <v>2079</v>
      </c>
      <c r="G763" s="41" t="s">
        <v>11</v>
      </c>
      <c r="H763" s="58" t="s">
        <v>1773</v>
      </c>
      <c r="I763" s="41"/>
      <c r="J763" s="41"/>
      <c r="K763" s="41" t="str">
        <f>IFERROR(VLOOKUP(L763,'Raw material list'!$A$3:$C$715,3,0),"")</f>
        <v>DRS2-3628</v>
      </c>
      <c r="L763" s="41" t="s">
        <v>94</v>
      </c>
      <c r="M763" s="40" t="s">
        <v>156</v>
      </c>
      <c r="N763" s="40" t="str">
        <f>VLOOKUP(L763,'Raw material list'!$A$3:$E$715,5,0)</f>
        <v xml:space="preserve">Gram </v>
      </c>
      <c r="O763" s="40">
        <v>70</v>
      </c>
      <c r="P763" s="299">
        <f t="shared" si="48"/>
        <v>70</v>
      </c>
      <c r="Q763" s="40">
        <v>100</v>
      </c>
      <c r="R763" s="40">
        <v>10</v>
      </c>
      <c r="S763" s="40"/>
      <c r="T763" s="105">
        <f t="shared" si="47"/>
        <v>7</v>
      </c>
      <c r="U763" s="105">
        <f t="shared" si="49"/>
        <v>7</v>
      </c>
      <c r="V763" s="104">
        <f>IFERROR(VLOOKUP(L763,'Raw material list'!$A$2:$S$3102,6,0),0)</f>
        <v>1.1066666666666667E-2</v>
      </c>
      <c r="W763" s="104">
        <f t="shared" si="50"/>
        <v>7.746666666666667E-2</v>
      </c>
    </row>
    <row r="764" spans="1:23" hidden="1" x14ac:dyDescent="0.55000000000000004">
      <c r="A764" s="41" t="s">
        <v>1521</v>
      </c>
      <c r="B764" s="41" t="s">
        <v>35</v>
      </c>
      <c r="C764" s="41" t="s">
        <v>10</v>
      </c>
      <c r="D764" s="41" t="str">
        <f t="shared" si="53"/>
        <v>Koshari  Crispy Onion &amp; Tomato Sauce</v>
      </c>
      <c r="E764" s="58" t="s">
        <v>1507</v>
      </c>
      <c r="F764" s="58" t="s">
        <v>2079</v>
      </c>
      <c r="G764" s="41" t="s">
        <v>11</v>
      </c>
      <c r="H764" s="58" t="s">
        <v>1773</v>
      </c>
      <c r="I764" s="41"/>
      <c r="J764" s="41"/>
      <c r="K764" s="41" t="str">
        <f>IFERROR(VLOOKUP(L764,'Raw material list'!$A$3:$C$715,3,0),"")</f>
        <v>DRS3-1813</v>
      </c>
      <c r="L764" s="41" t="s">
        <v>69</v>
      </c>
      <c r="M764" s="40" t="s">
        <v>206</v>
      </c>
      <c r="N764" s="40" t="str">
        <f>VLOOKUP(L764,'Raw material list'!$A$3:$E$715,5,0)</f>
        <v>Ml</v>
      </c>
      <c r="O764" s="40">
        <v>50</v>
      </c>
      <c r="P764" s="299">
        <f t="shared" si="48"/>
        <v>50</v>
      </c>
      <c r="Q764" s="40">
        <v>100</v>
      </c>
      <c r="R764" s="40">
        <v>10</v>
      </c>
      <c r="S764" s="40"/>
      <c r="T764" s="105">
        <f t="shared" si="47"/>
        <v>5</v>
      </c>
      <c r="U764" s="105">
        <f t="shared" si="49"/>
        <v>5</v>
      </c>
      <c r="V764" s="104">
        <f>IFERROR(VLOOKUP(L764,'Raw material list'!$A$2:$S$3102,6,0),0)</f>
        <v>8.0555555555555554E-3</v>
      </c>
      <c r="W764" s="104">
        <f t="shared" si="50"/>
        <v>4.0277777777777773E-2</v>
      </c>
    </row>
    <row r="765" spans="1:23" hidden="1" x14ac:dyDescent="0.55000000000000004">
      <c r="A765" s="41" t="s">
        <v>1521</v>
      </c>
      <c r="B765" s="41" t="s">
        <v>35</v>
      </c>
      <c r="C765" s="41" t="s">
        <v>10</v>
      </c>
      <c r="D765" s="41" t="str">
        <f t="shared" si="53"/>
        <v>Koshari  Crispy Onion &amp; Tomato Sauce</v>
      </c>
      <c r="E765" s="58" t="s">
        <v>1507</v>
      </c>
      <c r="F765" s="58" t="s">
        <v>2079</v>
      </c>
      <c r="G765" s="41" t="s">
        <v>11</v>
      </c>
      <c r="H765" s="58" t="s">
        <v>1773</v>
      </c>
      <c r="I765" s="41"/>
      <c r="J765" s="41"/>
      <c r="K765" s="41" t="str">
        <f>IFERROR(VLOOKUP(L765,'Raw material list'!$A$3:$C$715,3,0),"")</f>
        <v>DRS6-733</v>
      </c>
      <c r="L765" s="41" t="s">
        <v>45</v>
      </c>
      <c r="M765" s="40" t="s">
        <v>156</v>
      </c>
      <c r="N765" s="40" t="str">
        <f>VLOOKUP(L765,'Raw material list'!$A$3:$E$715,5,0)</f>
        <v xml:space="preserve">Gram </v>
      </c>
      <c r="O765" s="40">
        <v>8</v>
      </c>
      <c r="P765" s="299">
        <f t="shared" si="48"/>
        <v>8</v>
      </c>
      <c r="Q765" s="40">
        <v>100</v>
      </c>
      <c r="R765" s="40">
        <v>10</v>
      </c>
      <c r="S765" s="40"/>
      <c r="T765" s="105">
        <f t="shared" si="47"/>
        <v>0.8</v>
      </c>
      <c r="U765" s="105">
        <f t="shared" si="49"/>
        <v>0.8</v>
      </c>
      <c r="V765" s="104">
        <f>IFERROR(VLOOKUP(L765,'Raw material list'!$A$2:$S$3102,6,0),0)</f>
        <v>2.8000000000000001E-2</v>
      </c>
      <c r="W765" s="104">
        <f t="shared" si="50"/>
        <v>2.2400000000000003E-2</v>
      </c>
    </row>
    <row r="766" spans="1:23" hidden="1" x14ac:dyDescent="0.55000000000000004">
      <c r="A766" s="41" t="s">
        <v>1521</v>
      </c>
      <c r="B766" s="41" t="s">
        <v>35</v>
      </c>
      <c r="C766" s="41" t="s">
        <v>10</v>
      </c>
      <c r="D766" s="41" t="str">
        <f t="shared" si="53"/>
        <v>Koshari  Crispy Onion &amp; Tomato Sauce</v>
      </c>
      <c r="E766" s="58" t="s">
        <v>1507</v>
      </c>
      <c r="F766" s="58" t="s">
        <v>2079</v>
      </c>
      <c r="G766" s="41" t="s">
        <v>11</v>
      </c>
      <c r="H766" s="58" t="s">
        <v>1773</v>
      </c>
      <c r="I766" s="41"/>
      <c r="J766" s="41"/>
      <c r="K766" s="41" t="str">
        <f>IFERROR(VLOOKUP(L766,'Raw material list'!$A$3:$C$715,3,0),"")</f>
        <v>PRD1-4327</v>
      </c>
      <c r="L766" s="41" t="s">
        <v>39</v>
      </c>
      <c r="M766" s="40" t="s">
        <v>156</v>
      </c>
      <c r="N766" s="40" t="str">
        <f>VLOOKUP(L766,'Raw material list'!$A$3:$E$715,5,0)</f>
        <v xml:space="preserve">Gram </v>
      </c>
      <c r="O766" s="40">
        <v>20</v>
      </c>
      <c r="P766" s="299">
        <f t="shared" si="48"/>
        <v>24.096385542168676</v>
      </c>
      <c r="Q766" s="105">
        <v>83</v>
      </c>
      <c r="R766" s="40">
        <v>10</v>
      </c>
      <c r="S766" s="40"/>
      <c r="T766" s="105">
        <f t="shared" si="47"/>
        <v>2</v>
      </c>
      <c r="U766" s="105">
        <f t="shared" si="49"/>
        <v>2.4096385542168677</v>
      </c>
      <c r="V766" s="104">
        <f>IFERROR(VLOOKUP(L766,'Raw material list'!$A$2:$S$3102,6,0),0)</f>
        <v>1.2999999999999999E-2</v>
      </c>
      <c r="W766" s="104">
        <f t="shared" si="50"/>
        <v>3.1325301204819279E-2</v>
      </c>
    </row>
    <row r="767" spans="1:23" hidden="1" x14ac:dyDescent="0.55000000000000004">
      <c r="A767" s="41" t="s">
        <v>1521</v>
      </c>
      <c r="B767" s="41" t="s">
        <v>35</v>
      </c>
      <c r="C767" s="41" t="s">
        <v>10</v>
      </c>
      <c r="D767" s="41" t="str">
        <f t="shared" si="53"/>
        <v>Koshari  Crispy Onion &amp; Tomato Sauce</v>
      </c>
      <c r="E767" s="58" t="s">
        <v>1507</v>
      </c>
      <c r="F767" s="58" t="s">
        <v>2079</v>
      </c>
      <c r="G767" s="41" t="s">
        <v>11</v>
      </c>
      <c r="H767" s="58" t="s">
        <v>1773</v>
      </c>
      <c r="I767" s="41"/>
      <c r="J767" s="41"/>
      <c r="K767" s="41" t="str">
        <f>IFERROR(VLOOKUP(L767,'Raw material list'!$A$3:$C$715,3,0),"")</f>
        <v>DRS3-1615</v>
      </c>
      <c r="L767" s="41" t="s">
        <v>50</v>
      </c>
      <c r="M767" s="40" t="s">
        <v>206</v>
      </c>
      <c r="N767" s="40" t="str">
        <f>VLOOKUP(L767,'Raw material list'!$A$3:$E$715,5,0)</f>
        <v>Ml</v>
      </c>
      <c r="O767" s="40">
        <v>80</v>
      </c>
      <c r="P767" s="299">
        <f t="shared" si="48"/>
        <v>80</v>
      </c>
      <c r="Q767" s="300">
        <v>100</v>
      </c>
      <c r="R767" s="40">
        <v>10</v>
      </c>
      <c r="S767" s="40"/>
      <c r="T767" s="105">
        <f t="shared" si="47"/>
        <v>8</v>
      </c>
      <c r="U767" s="105">
        <f t="shared" si="49"/>
        <v>8</v>
      </c>
      <c r="V767" s="104">
        <f>IFERROR(VLOOKUP(L767,'Raw material list'!$A$2:$S$3102,6,0),0)</f>
        <v>1.2E-2</v>
      </c>
      <c r="W767" s="104">
        <f t="shared" si="50"/>
        <v>9.6000000000000002E-2</v>
      </c>
    </row>
    <row r="768" spans="1:23" hidden="1" x14ac:dyDescent="0.55000000000000004">
      <c r="A768" s="41" t="s">
        <v>1521</v>
      </c>
      <c r="B768" s="41" t="s">
        <v>35</v>
      </c>
      <c r="C768" s="41" t="s">
        <v>10</v>
      </c>
      <c r="D768" s="41" t="str">
        <f t="shared" si="53"/>
        <v>Koshari  Crispy Onion &amp; Tomato Sauce</v>
      </c>
      <c r="E768" s="58" t="s">
        <v>1507</v>
      </c>
      <c r="F768" s="58" t="s">
        <v>2079</v>
      </c>
      <c r="G768" s="41" t="s">
        <v>11</v>
      </c>
      <c r="H768" s="58" t="s">
        <v>1773</v>
      </c>
      <c r="I768" s="41"/>
      <c r="J768" s="41"/>
      <c r="K768" s="41" t="str">
        <f>IFERROR(VLOOKUP(L768,'Raw material list'!$A$3:$C$715,3,0),"")</f>
        <v>DRS6-266</v>
      </c>
      <c r="L768" s="41" t="s">
        <v>99</v>
      </c>
      <c r="M768" s="40" t="s">
        <v>156</v>
      </c>
      <c r="N768" s="40" t="str">
        <f>VLOOKUP(L768,'Raw material list'!$A$3:$E$715,5,0)</f>
        <v xml:space="preserve">Gram </v>
      </c>
      <c r="O768" s="40">
        <v>3</v>
      </c>
      <c r="P768" s="299">
        <f t="shared" si="48"/>
        <v>3</v>
      </c>
      <c r="Q768" s="40">
        <v>100</v>
      </c>
      <c r="R768" s="40">
        <v>10</v>
      </c>
      <c r="S768" s="40"/>
      <c r="T768" s="105">
        <f t="shared" si="47"/>
        <v>0.3</v>
      </c>
      <c r="U768" s="105">
        <f t="shared" si="49"/>
        <v>0.3</v>
      </c>
      <c r="V768" s="104">
        <f>IFERROR(VLOOKUP(L768,'Raw material list'!$A$2:$S$3102,6,0),0)</f>
        <v>1.4E-2</v>
      </c>
      <c r="W768" s="104">
        <f t="shared" si="50"/>
        <v>4.1999999999999997E-3</v>
      </c>
    </row>
    <row r="769" spans="1:23" hidden="1" x14ac:dyDescent="0.55000000000000004">
      <c r="A769" s="41" t="s">
        <v>1521</v>
      </c>
      <c r="B769" s="41" t="s">
        <v>35</v>
      </c>
      <c r="C769" s="41" t="s">
        <v>10</v>
      </c>
      <c r="D769" s="41" t="str">
        <f t="shared" si="53"/>
        <v>Koshari  Crispy Onion &amp; Tomato Sauce</v>
      </c>
      <c r="E769" s="58" t="s">
        <v>1507</v>
      </c>
      <c r="F769" s="58" t="s">
        <v>2079</v>
      </c>
      <c r="G769" s="41" t="s">
        <v>11</v>
      </c>
      <c r="H769" s="58" t="s">
        <v>1773</v>
      </c>
      <c r="I769" s="41"/>
      <c r="J769" s="41"/>
      <c r="K769" s="41" t="str">
        <f>IFERROR(VLOOKUP(L769,'Raw material list'!$A$3:$C$715,3,0),"")</f>
        <v>DRS6-537</v>
      </c>
      <c r="L769" s="41" t="s">
        <v>46</v>
      </c>
      <c r="M769" s="40" t="s">
        <v>156</v>
      </c>
      <c r="N769" s="40" t="str">
        <f>VLOOKUP(L769,'Raw material list'!$A$3:$E$715,5,0)</f>
        <v xml:space="preserve">Gram </v>
      </c>
      <c r="O769" s="40">
        <v>2</v>
      </c>
      <c r="P769" s="299">
        <f t="shared" si="48"/>
        <v>2</v>
      </c>
      <c r="Q769" s="40">
        <v>100</v>
      </c>
      <c r="R769" s="40">
        <v>10</v>
      </c>
      <c r="S769" s="40"/>
      <c r="T769" s="105">
        <f t="shared" si="47"/>
        <v>0.2</v>
      </c>
      <c r="U769" s="105">
        <f t="shared" si="49"/>
        <v>0.2</v>
      </c>
      <c r="V769" s="104">
        <f>IFERROR(VLOOKUP(L769,'Raw material list'!$A$2:$S$3102,6,0),0)</f>
        <v>3.5000000000000003E-2</v>
      </c>
      <c r="W769" s="104">
        <f t="shared" si="50"/>
        <v>7.000000000000001E-3</v>
      </c>
    </row>
    <row r="770" spans="1:23" hidden="1" x14ac:dyDescent="0.55000000000000004">
      <c r="A770" s="41" t="s">
        <v>1521</v>
      </c>
      <c r="B770" s="41" t="s">
        <v>35</v>
      </c>
      <c r="C770" s="41" t="s">
        <v>10</v>
      </c>
      <c r="D770" s="41" t="str">
        <f t="shared" si="53"/>
        <v>Koshari  Crispy Onion &amp; Tomato Sauce</v>
      </c>
      <c r="E770" s="58" t="s">
        <v>1507</v>
      </c>
      <c r="F770" s="58" t="s">
        <v>2079</v>
      </c>
      <c r="G770" s="41" t="s">
        <v>11</v>
      </c>
      <c r="H770" s="58" t="s">
        <v>1773</v>
      </c>
      <c r="I770" s="41"/>
      <c r="J770" s="41"/>
      <c r="K770" s="41" t="str">
        <f>IFERROR(VLOOKUP(L770,'Raw material list'!$A$3:$C$715,3,0),"")</f>
        <v>PRD1-572</v>
      </c>
      <c r="L770" s="41" t="s">
        <v>54</v>
      </c>
      <c r="M770" s="40" t="s">
        <v>156</v>
      </c>
      <c r="N770" s="40" t="str">
        <f>VLOOKUP(L770,'Raw material list'!$A$3:$E$715,5,0)</f>
        <v xml:space="preserve">Gram </v>
      </c>
      <c r="O770" s="40">
        <v>600</v>
      </c>
      <c r="P770" s="299">
        <f t="shared" si="48"/>
        <v>680.01511144692086</v>
      </c>
      <c r="Q770" s="105">
        <v>88.233333333333348</v>
      </c>
      <c r="R770" s="40">
        <v>10</v>
      </c>
      <c r="S770" s="40"/>
      <c r="T770" s="105">
        <f t="shared" si="47"/>
        <v>60</v>
      </c>
      <c r="U770" s="105">
        <f t="shared" si="49"/>
        <v>68.001511144692088</v>
      </c>
      <c r="V770" s="104">
        <f>IFERROR(VLOOKUP(L770,'Raw material list'!$A$2:$S$3102,6,0),0)</f>
        <v>4.5351473922902496E-3</v>
      </c>
      <c r="W770" s="104">
        <f t="shared" si="50"/>
        <v>0.30839687593964665</v>
      </c>
    </row>
    <row r="771" spans="1:23" hidden="1" x14ac:dyDescent="0.55000000000000004">
      <c r="A771" s="41" t="s">
        <v>1521</v>
      </c>
      <c r="B771" s="41" t="s">
        <v>35</v>
      </c>
      <c r="C771" s="41" t="s">
        <v>10</v>
      </c>
      <c r="D771" s="41" t="str">
        <f t="shared" si="53"/>
        <v>Koshari  Crispy Onion &amp; Tomato Sauce</v>
      </c>
      <c r="E771" s="58" t="s">
        <v>1507</v>
      </c>
      <c r="F771" s="58" t="s">
        <v>2079</v>
      </c>
      <c r="G771" s="41" t="s">
        <v>11</v>
      </c>
      <c r="H771" s="58" t="s">
        <v>1773</v>
      </c>
      <c r="I771" s="41"/>
      <c r="J771" s="41"/>
      <c r="K771" s="41" t="str">
        <f>IFERROR(VLOOKUP(L771,'Raw material list'!$A$3:$C$715,3,0),"")</f>
        <v>DRS1-1547</v>
      </c>
      <c r="L771" s="41" t="s">
        <v>100</v>
      </c>
      <c r="M771" s="40" t="s">
        <v>206</v>
      </c>
      <c r="N771" s="40" t="str">
        <f>VLOOKUP(L771,'Raw material list'!$A$3:$E$715,5,0)</f>
        <v>Ml</v>
      </c>
      <c r="O771" s="40">
        <v>30</v>
      </c>
      <c r="P771" s="299">
        <f t="shared" si="48"/>
        <v>30</v>
      </c>
      <c r="Q771" s="300">
        <v>100</v>
      </c>
      <c r="R771" s="40">
        <v>10</v>
      </c>
      <c r="S771" s="40"/>
      <c r="T771" s="105">
        <f t="shared" si="47"/>
        <v>3</v>
      </c>
      <c r="U771" s="105">
        <f t="shared" si="49"/>
        <v>3</v>
      </c>
      <c r="V771" s="104">
        <f>IFERROR(VLOOKUP(L771,'Raw material list'!$A$2:$S$3102,6,0),0)</f>
        <v>2.3026315789473682E-3</v>
      </c>
      <c r="W771" s="104">
        <f t="shared" si="50"/>
        <v>6.9078947368421042E-3</v>
      </c>
    </row>
    <row r="772" spans="1:23" hidden="1" x14ac:dyDescent="0.55000000000000004">
      <c r="A772" s="41" t="s">
        <v>1521</v>
      </c>
      <c r="B772" s="41" t="s">
        <v>35</v>
      </c>
      <c r="C772" s="41" t="s">
        <v>10</v>
      </c>
      <c r="D772" s="41" t="str">
        <f t="shared" si="53"/>
        <v>Koshari  Crispy Onion &amp; Tomato Sauce</v>
      </c>
      <c r="E772" s="58" t="s">
        <v>1507</v>
      </c>
      <c r="F772" s="58" t="s">
        <v>2079</v>
      </c>
      <c r="G772" s="41" t="s">
        <v>11</v>
      </c>
      <c r="H772" s="58" t="s">
        <v>1773</v>
      </c>
      <c r="I772" s="41"/>
      <c r="J772" s="41"/>
      <c r="K772" s="41" t="str">
        <f>IFERROR(VLOOKUP(L772,'Raw material list'!$A$3:$C$715,3,0),"")</f>
        <v>DRS1-3880</v>
      </c>
      <c r="L772" s="41" t="s">
        <v>1433</v>
      </c>
      <c r="M772" s="40" t="s">
        <v>156</v>
      </c>
      <c r="N772" s="40" t="str">
        <f>VLOOKUP(L772,'Raw material list'!$A$3:$E$715,5,0)</f>
        <v xml:space="preserve">Gram </v>
      </c>
      <c r="O772" s="40">
        <v>8</v>
      </c>
      <c r="P772" s="299">
        <f t="shared" si="48"/>
        <v>8</v>
      </c>
      <c r="Q772" s="40">
        <v>100</v>
      </c>
      <c r="R772" s="40">
        <v>10</v>
      </c>
      <c r="S772" s="40"/>
      <c r="T772" s="105">
        <f t="shared" si="47"/>
        <v>0.8</v>
      </c>
      <c r="U772" s="105">
        <f t="shared" si="49"/>
        <v>0.8</v>
      </c>
      <c r="V772" s="104">
        <f>IFERROR(VLOOKUP(L772,'Raw material list'!$A$2:$S$3102,6,0),0)</f>
        <v>5.0000000000000001E-4</v>
      </c>
      <c r="W772" s="104">
        <f t="shared" si="50"/>
        <v>4.0000000000000002E-4</v>
      </c>
    </row>
    <row r="773" spans="1:23" hidden="1" x14ac:dyDescent="0.55000000000000004">
      <c r="A773" s="41" t="s">
        <v>1521</v>
      </c>
      <c r="B773" s="41" t="s">
        <v>35</v>
      </c>
      <c r="C773" s="41" t="s">
        <v>10</v>
      </c>
      <c r="D773" s="41" t="str">
        <f t="shared" si="53"/>
        <v>Koshari  Crispy Onion &amp; Tomato Sauce</v>
      </c>
      <c r="E773" s="58" t="s">
        <v>1507</v>
      </c>
      <c r="F773" s="58" t="s">
        <v>2079</v>
      </c>
      <c r="G773" s="41" t="s">
        <v>11</v>
      </c>
      <c r="H773" s="58" t="s">
        <v>1773</v>
      </c>
      <c r="I773" s="41"/>
      <c r="J773" s="41"/>
      <c r="K773" s="41" t="str">
        <f>IFERROR(VLOOKUP(L773,'Raw material list'!$A$3:$C$715,3,0),"")</f>
        <v>DRS1-978</v>
      </c>
      <c r="L773" s="41" t="s">
        <v>56</v>
      </c>
      <c r="M773" s="40" t="s">
        <v>156</v>
      </c>
      <c r="N773" s="40" t="str">
        <f>VLOOKUP(L773,'Raw material list'!$A$3:$E$715,5,0)</f>
        <v xml:space="preserve">Gram </v>
      </c>
      <c r="O773" s="40">
        <v>10</v>
      </c>
      <c r="P773" s="299">
        <f t="shared" si="48"/>
        <v>10</v>
      </c>
      <c r="Q773" s="40">
        <v>100</v>
      </c>
      <c r="R773" s="40">
        <v>10</v>
      </c>
      <c r="S773" s="40"/>
      <c r="T773" s="105">
        <f t="shared" ref="T773:T836" si="54">IFERROR(O773/R773,0)</f>
        <v>1</v>
      </c>
      <c r="U773" s="105">
        <f t="shared" si="49"/>
        <v>1</v>
      </c>
      <c r="V773" s="104">
        <f>IFERROR(VLOOKUP(L773,'Raw material list'!$A$2:$S$3102,6,0),0)</f>
        <v>2.3999999999999998E-3</v>
      </c>
      <c r="W773" s="104">
        <f t="shared" si="50"/>
        <v>2.3999999999999998E-3</v>
      </c>
    </row>
    <row r="774" spans="1:23" hidden="1" x14ac:dyDescent="0.55000000000000004">
      <c r="A774" s="41" t="s">
        <v>1521</v>
      </c>
      <c r="B774" s="41" t="s">
        <v>35</v>
      </c>
      <c r="C774" s="41" t="s">
        <v>10</v>
      </c>
      <c r="D774" s="41" t="str">
        <f t="shared" si="53"/>
        <v>Koshari  Crispy Onion &amp; Tomato Sauce</v>
      </c>
      <c r="E774" s="58" t="s">
        <v>1507</v>
      </c>
      <c r="F774" s="58" t="s">
        <v>2079</v>
      </c>
      <c r="G774" s="41" t="s">
        <v>11</v>
      </c>
      <c r="H774" s="58" t="s">
        <v>1773</v>
      </c>
      <c r="I774" s="41"/>
      <c r="J774" s="41"/>
      <c r="K774" s="41" t="str">
        <f>IFERROR(VLOOKUP(L774,'Raw material list'!$A$3:$C$715,3,0),"")</f>
        <v>PRD3-5038</v>
      </c>
      <c r="L774" s="41" t="s">
        <v>965</v>
      </c>
      <c r="M774" s="40" t="s">
        <v>156</v>
      </c>
      <c r="N774" s="40" t="str">
        <f>VLOOKUP(L774,'Raw material list'!$A$3:$E$715,5,0)</f>
        <v xml:space="preserve">Gram </v>
      </c>
      <c r="O774" s="40">
        <v>100</v>
      </c>
      <c r="P774" s="299">
        <f t="shared" ref="P774:P837" si="55">O774/Q774*100</f>
        <v>100</v>
      </c>
      <c r="Q774" s="40">
        <v>100</v>
      </c>
      <c r="R774" s="40">
        <v>10</v>
      </c>
      <c r="S774" s="40"/>
      <c r="T774" s="105">
        <f t="shared" si="54"/>
        <v>10</v>
      </c>
      <c r="U774" s="105">
        <f t="shared" ref="U774:U837" si="56">IFERROR(P774/R774,0)</f>
        <v>10</v>
      </c>
      <c r="V774" s="104">
        <f>IFERROR(VLOOKUP(L774,'Raw material list'!$A$2:$S$3102,6,0),0)</f>
        <v>2.5999999999999999E-2</v>
      </c>
      <c r="W774" s="104">
        <f t="shared" ref="W774:W837" si="57">IFERROR(V774*U774,0)</f>
        <v>0.26</v>
      </c>
    </row>
    <row r="775" spans="1:23" hidden="1" x14ac:dyDescent="0.55000000000000004">
      <c r="A775" s="41" t="s">
        <v>1521</v>
      </c>
      <c r="B775" s="41" t="s">
        <v>35</v>
      </c>
      <c r="C775" s="41" t="s">
        <v>10</v>
      </c>
      <c r="D775" s="41" t="str">
        <f t="shared" si="53"/>
        <v>Koshari  Crispy Onion &amp; Tomato Sauce</v>
      </c>
      <c r="E775" s="58" t="s">
        <v>1507</v>
      </c>
      <c r="F775" s="58" t="s">
        <v>2079</v>
      </c>
      <c r="G775" s="41" t="s">
        <v>11</v>
      </c>
      <c r="H775" s="58" t="s">
        <v>1773</v>
      </c>
      <c r="I775" s="41"/>
      <c r="J775" s="41"/>
      <c r="K775" s="41" t="str">
        <f>IFERROR(VLOOKUP(L775,'Raw material list'!$A$3:$C$715,3,0),"")</f>
        <v>DRS4-483</v>
      </c>
      <c r="L775" s="41" t="s">
        <v>98</v>
      </c>
      <c r="M775" s="40" t="s">
        <v>156</v>
      </c>
      <c r="N775" s="40" t="str">
        <f>VLOOKUP(L775,'Raw material list'!$A$3:$E$715,5,0)</f>
        <v xml:space="preserve">Gram </v>
      </c>
      <c r="O775" s="40">
        <v>250</v>
      </c>
      <c r="P775" s="299">
        <f t="shared" si="55"/>
        <v>250</v>
      </c>
      <c r="Q775" s="40">
        <v>100</v>
      </c>
      <c r="R775" s="40">
        <v>10</v>
      </c>
      <c r="S775" s="40"/>
      <c r="T775" s="105">
        <f t="shared" si="54"/>
        <v>25</v>
      </c>
      <c r="U775" s="105">
        <f t="shared" si="56"/>
        <v>25</v>
      </c>
      <c r="V775" s="104">
        <f>IFERROR(VLOOKUP(L775,'Raw material list'!$A$2:$S$3102,6,0),0)</f>
        <v>7.0000000000000001E-3</v>
      </c>
      <c r="W775" s="104">
        <f t="shared" si="57"/>
        <v>0.17500000000000002</v>
      </c>
    </row>
    <row r="776" spans="1:23" hidden="1" x14ac:dyDescent="0.55000000000000004">
      <c r="A776" s="41" t="s">
        <v>1521</v>
      </c>
      <c r="B776" s="41" t="s">
        <v>35</v>
      </c>
      <c r="C776" s="41" t="s">
        <v>10</v>
      </c>
      <c r="D776" s="41" t="str">
        <f t="shared" si="53"/>
        <v>Koshari  Crispy Onion &amp; Tomato Sauce</v>
      </c>
      <c r="E776" s="58" t="s">
        <v>1507</v>
      </c>
      <c r="F776" s="58" t="s">
        <v>2079</v>
      </c>
      <c r="G776" s="41" t="s">
        <v>11</v>
      </c>
      <c r="H776" s="58" t="s">
        <v>1773</v>
      </c>
      <c r="I776" s="41"/>
      <c r="J776" s="41"/>
      <c r="K776" s="41" t="str">
        <f>IFERROR(VLOOKUP(L776,'Raw material list'!$A$3:$C$715,3,0),"")</f>
        <v>PRD1-4265</v>
      </c>
      <c r="L776" s="41" t="s">
        <v>38</v>
      </c>
      <c r="M776" s="40" t="s">
        <v>156</v>
      </c>
      <c r="N776" s="40" t="str">
        <f>VLOOKUP(L776,'Raw material list'!$A$3:$E$715,5,0)</f>
        <v xml:space="preserve">Gram </v>
      </c>
      <c r="O776" s="40">
        <v>300</v>
      </c>
      <c r="P776" s="299">
        <f t="shared" si="55"/>
        <v>352.94117647058823</v>
      </c>
      <c r="Q776" s="105">
        <v>85</v>
      </c>
      <c r="R776" s="40">
        <v>10</v>
      </c>
      <c r="S776" s="40"/>
      <c r="T776" s="105">
        <f t="shared" si="54"/>
        <v>30</v>
      </c>
      <c r="U776" s="105">
        <f t="shared" si="56"/>
        <v>35.294117647058826</v>
      </c>
      <c r="V776" s="104">
        <f>IFERROR(VLOOKUP(L776,'Raw material list'!$A$2:$S$3102,6,0),0)</f>
        <v>3.529411764705882E-3</v>
      </c>
      <c r="W776" s="104">
        <f t="shared" si="57"/>
        <v>0.1245674740484429</v>
      </c>
    </row>
    <row r="777" spans="1:23" hidden="1" x14ac:dyDescent="0.55000000000000004">
      <c r="A777" s="41" t="s">
        <v>1521</v>
      </c>
      <c r="B777" s="41" t="s">
        <v>35</v>
      </c>
      <c r="C777" s="41" t="s">
        <v>10</v>
      </c>
      <c r="D777" s="41" t="str">
        <f t="shared" si="53"/>
        <v>Koshari  Crispy Onion &amp; Tomato Sauce</v>
      </c>
      <c r="E777" s="58" t="s">
        <v>1507</v>
      </c>
      <c r="F777" s="58" t="s">
        <v>2079</v>
      </c>
      <c r="G777" s="41" t="s">
        <v>11</v>
      </c>
      <c r="H777" s="58" t="s">
        <v>1773</v>
      </c>
      <c r="I777" s="41"/>
      <c r="J777" s="41"/>
      <c r="K777" s="41" t="str">
        <f>IFERROR(VLOOKUP(L777,'Raw material list'!$A$3:$C$715,3,0),"")</f>
        <v>DRS6-733</v>
      </c>
      <c r="L777" s="41" t="s">
        <v>45</v>
      </c>
      <c r="M777" s="40" t="s">
        <v>156</v>
      </c>
      <c r="N777" s="40" t="str">
        <f>VLOOKUP(L777,'Raw material list'!$A$3:$E$715,5,0)</f>
        <v xml:space="preserve">Gram </v>
      </c>
      <c r="O777" s="40">
        <v>3</v>
      </c>
      <c r="P777" s="299">
        <f t="shared" si="55"/>
        <v>3</v>
      </c>
      <c r="Q777" s="300">
        <v>100</v>
      </c>
      <c r="R777" s="40">
        <v>10</v>
      </c>
      <c r="S777" s="40"/>
      <c r="T777" s="105">
        <f t="shared" si="54"/>
        <v>0.3</v>
      </c>
      <c r="U777" s="105">
        <f t="shared" si="56"/>
        <v>0.3</v>
      </c>
      <c r="V777" s="104">
        <f>IFERROR(VLOOKUP(L777,'Raw material list'!$A$2:$S$3102,6,0),0)</f>
        <v>2.8000000000000001E-2</v>
      </c>
      <c r="W777" s="104">
        <f t="shared" si="57"/>
        <v>8.3999999999999995E-3</v>
      </c>
    </row>
    <row r="778" spans="1:23" hidden="1" x14ac:dyDescent="0.55000000000000004">
      <c r="A778" s="41" t="s">
        <v>1522</v>
      </c>
      <c r="B778" s="41" t="s">
        <v>35</v>
      </c>
      <c r="C778" s="41" t="s">
        <v>10</v>
      </c>
      <c r="D778" s="41" t="s">
        <v>1514</v>
      </c>
      <c r="E778" s="58" t="s">
        <v>1507</v>
      </c>
      <c r="F778" s="58" t="s">
        <v>2081</v>
      </c>
      <c r="G778" s="41" t="s">
        <v>11</v>
      </c>
      <c r="H778" s="58" t="s">
        <v>1774</v>
      </c>
      <c r="I778" s="41"/>
      <c r="J778" s="41"/>
      <c r="K778" s="41" t="str">
        <f>IFERROR(VLOOKUP(L778,'Raw material list'!$A$3:$C$715,3,0),"")</f>
        <v>PLT2-3278</v>
      </c>
      <c r="L778" s="41" t="s">
        <v>80</v>
      </c>
      <c r="M778" s="40" t="s">
        <v>156</v>
      </c>
      <c r="N778" s="40" t="str">
        <f>VLOOKUP(L778,'Raw material list'!$A$3:$E$715,5,0)</f>
        <v xml:space="preserve">Gram </v>
      </c>
      <c r="O778" s="40">
        <v>1000</v>
      </c>
      <c r="P778" s="299">
        <f t="shared" si="55"/>
        <v>1312.3359580052493</v>
      </c>
      <c r="Q778" s="40">
        <v>76.2</v>
      </c>
      <c r="R778" s="40">
        <v>10</v>
      </c>
      <c r="S778" s="40"/>
      <c r="T778" s="105">
        <f t="shared" si="54"/>
        <v>100</v>
      </c>
      <c r="U778" s="105">
        <f t="shared" si="56"/>
        <v>131.23359580052494</v>
      </c>
      <c r="V778" s="104">
        <f>IFERROR(VLOOKUP(L778,'Raw material list'!$A$2:$S$3102,6,0),0)</f>
        <v>3.0357142857142853E-2</v>
      </c>
      <c r="W778" s="104">
        <f t="shared" si="57"/>
        <v>3.983877015373078</v>
      </c>
    </row>
    <row r="779" spans="1:23" hidden="1" x14ac:dyDescent="0.55000000000000004">
      <c r="A779" s="41" t="s">
        <v>1522</v>
      </c>
      <c r="B779" s="41" t="s">
        <v>35</v>
      </c>
      <c r="C779" s="41" t="s">
        <v>10</v>
      </c>
      <c r="D779" s="41" t="str">
        <f t="shared" ref="D779:D792" si="58">D778</f>
        <v>Chicken supreme with pasta</v>
      </c>
      <c r="E779" s="58" t="s">
        <v>1507</v>
      </c>
      <c r="F779" s="58" t="s">
        <v>2079</v>
      </c>
      <c r="G779" s="41" t="s">
        <v>11</v>
      </c>
      <c r="H779" s="58" t="s">
        <v>1774</v>
      </c>
      <c r="I779" s="41"/>
      <c r="J779" s="41"/>
      <c r="K779" s="41" t="str">
        <f>IFERROR(VLOOKUP(L779,'Raw material list'!$A$3:$C$715,3,0),"")</f>
        <v>DRS2-2110</v>
      </c>
      <c r="L779" s="41" t="s">
        <v>546</v>
      </c>
      <c r="M779" s="40" t="s">
        <v>156</v>
      </c>
      <c r="N779" s="40" t="str">
        <f>VLOOKUP(L779,'Raw material list'!$A$3:$E$715,5,0)</f>
        <v xml:space="preserve">Gram </v>
      </c>
      <c r="O779" s="40">
        <v>1000</v>
      </c>
      <c r="P779" s="299">
        <f t="shared" si="55"/>
        <v>1000</v>
      </c>
      <c r="Q779" s="40">
        <v>100</v>
      </c>
      <c r="R779" s="40">
        <v>10</v>
      </c>
      <c r="S779" s="40"/>
      <c r="T779" s="105">
        <f t="shared" si="54"/>
        <v>100</v>
      </c>
      <c r="U779" s="105">
        <f t="shared" si="56"/>
        <v>100</v>
      </c>
      <c r="V779" s="104">
        <f>IFERROR(VLOOKUP(L779,'Raw material list'!$A$2:$S$3102,6,0),0)</f>
        <v>2.07E-2</v>
      </c>
      <c r="W779" s="104">
        <f t="shared" si="57"/>
        <v>2.0699999999999998</v>
      </c>
    </row>
    <row r="780" spans="1:23" hidden="1" x14ac:dyDescent="0.55000000000000004">
      <c r="A780" s="41" t="s">
        <v>1522</v>
      </c>
      <c r="B780" s="41" t="s">
        <v>35</v>
      </c>
      <c r="C780" s="41" t="s">
        <v>10</v>
      </c>
      <c r="D780" s="41" t="str">
        <f t="shared" si="58"/>
        <v>Chicken supreme with pasta</v>
      </c>
      <c r="E780" s="58" t="s">
        <v>1507</v>
      </c>
      <c r="F780" s="58" t="s">
        <v>2079</v>
      </c>
      <c r="G780" s="41" t="s">
        <v>11</v>
      </c>
      <c r="H780" s="58" t="s">
        <v>1774</v>
      </c>
      <c r="I780" s="41"/>
      <c r="J780" s="41"/>
      <c r="K780" s="41" t="str">
        <f>IFERROR(VLOOKUP(L780,'Raw material list'!$A$3:$C$715,3,0),"")</f>
        <v>DRY2-1008</v>
      </c>
      <c r="L780" s="41" t="s">
        <v>57</v>
      </c>
      <c r="M780" s="40" t="s">
        <v>156</v>
      </c>
      <c r="N780" s="40" t="str">
        <f>VLOOKUP(L780,'Raw material list'!$A$3:$E$715,5,0)</f>
        <v xml:space="preserve">Gram </v>
      </c>
      <c r="O780" s="40">
        <v>75</v>
      </c>
      <c r="P780" s="299">
        <f t="shared" si="55"/>
        <v>75</v>
      </c>
      <c r="Q780" s="40">
        <v>100</v>
      </c>
      <c r="R780" s="40">
        <v>10</v>
      </c>
      <c r="S780" s="40"/>
      <c r="T780" s="105">
        <f t="shared" si="54"/>
        <v>7.5</v>
      </c>
      <c r="U780" s="105">
        <f t="shared" si="56"/>
        <v>7.5</v>
      </c>
      <c r="V780" s="104">
        <f>IFERROR(VLOOKUP(L780,'Raw material list'!$A$2:$S$3102,6,0),0)</f>
        <v>0.03</v>
      </c>
      <c r="W780" s="104">
        <f t="shared" si="57"/>
        <v>0.22499999999999998</v>
      </c>
    </row>
    <row r="781" spans="1:23" hidden="1" x14ac:dyDescent="0.55000000000000004">
      <c r="A781" s="41" t="s">
        <v>1522</v>
      </c>
      <c r="B781" s="41" t="s">
        <v>35</v>
      </c>
      <c r="C781" s="41" t="s">
        <v>10</v>
      </c>
      <c r="D781" s="41" t="str">
        <f t="shared" si="58"/>
        <v>Chicken supreme with pasta</v>
      </c>
      <c r="E781" s="58" t="s">
        <v>1507</v>
      </c>
      <c r="F781" s="58" t="s">
        <v>2079</v>
      </c>
      <c r="G781" s="41" t="s">
        <v>11</v>
      </c>
      <c r="H781" s="58" t="s">
        <v>1774</v>
      </c>
      <c r="I781" s="41"/>
      <c r="J781" s="41"/>
      <c r="K781" s="41" t="str">
        <f>IFERROR(VLOOKUP(L781,'Raw material list'!$A$3:$C$715,3,0),"")</f>
        <v>DRS3-1813</v>
      </c>
      <c r="L781" s="41" t="s">
        <v>69</v>
      </c>
      <c r="M781" s="40" t="s">
        <v>206</v>
      </c>
      <c r="N781" s="40" t="str">
        <f>VLOOKUP(L781,'Raw material list'!$A$3:$E$715,5,0)</f>
        <v>Ml</v>
      </c>
      <c r="O781" s="40">
        <v>50</v>
      </c>
      <c r="P781" s="299">
        <f t="shared" si="55"/>
        <v>50</v>
      </c>
      <c r="Q781" s="40">
        <v>100</v>
      </c>
      <c r="R781" s="40">
        <v>10</v>
      </c>
      <c r="S781" s="40"/>
      <c r="T781" s="105">
        <f t="shared" si="54"/>
        <v>5</v>
      </c>
      <c r="U781" s="105">
        <f t="shared" si="56"/>
        <v>5</v>
      </c>
      <c r="V781" s="104">
        <f>IFERROR(VLOOKUP(L781,'Raw material list'!$A$2:$S$3102,6,0),0)</f>
        <v>8.0555555555555554E-3</v>
      </c>
      <c r="W781" s="104">
        <f t="shared" si="57"/>
        <v>4.0277777777777773E-2</v>
      </c>
    </row>
    <row r="782" spans="1:23" hidden="1" x14ac:dyDescent="0.55000000000000004">
      <c r="A782" s="41" t="s">
        <v>1522</v>
      </c>
      <c r="B782" s="41" t="s">
        <v>35</v>
      </c>
      <c r="C782" s="41" t="s">
        <v>10</v>
      </c>
      <c r="D782" s="41" t="str">
        <f t="shared" si="58"/>
        <v>Chicken supreme with pasta</v>
      </c>
      <c r="E782" s="58" t="s">
        <v>1507</v>
      </c>
      <c r="F782" s="58" t="s">
        <v>2079</v>
      </c>
      <c r="G782" s="41" t="s">
        <v>11</v>
      </c>
      <c r="H782" s="58" t="s">
        <v>1774</v>
      </c>
      <c r="I782" s="41"/>
      <c r="J782" s="41"/>
      <c r="K782" s="41" t="str">
        <f>IFERROR(VLOOKUP(L782,'Raw material list'!$A$3:$C$715,3,0),"")</f>
        <v>PRD1-4265</v>
      </c>
      <c r="L782" s="41" t="s">
        <v>38</v>
      </c>
      <c r="M782" s="40" t="s">
        <v>156</v>
      </c>
      <c r="N782" s="40" t="str">
        <f>VLOOKUP(L782,'Raw material list'!$A$3:$E$715,5,0)</f>
        <v xml:space="preserve">Gram </v>
      </c>
      <c r="O782" s="40">
        <v>100</v>
      </c>
      <c r="P782" s="299">
        <f t="shared" si="55"/>
        <v>117.64705882352942</v>
      </c>
      <c r="Q782" s="105">
        <v>85</v>
      </c>
      <c r="R782" s="40">
        <v>10</v>
      </c>
      <c r="S782" s="40"/>
      <c r="T782" s="105">
        <f t="shared" si="54"/>
        <v>10</v>
      </c>
      <c r="U782" s="105">
        <f t="shared" si="56"/>
        <v>11.764705882352942</v>
      </c>
      <c r="V782" s="104">
        <f>IFERROR(VLOOKUP(L782,'Raw material list'!$A$2:$S$3102,6,0),0)</f>
        <v>3.529411764705882E-3</v>
      </c>
      <c r="W782" s="104">
        <f t="shared" si="57"/>
        <v>4.1522491349480967E-2</v>
      </c>
    </row>
    <row r="783" spans="1:23" hidden="1" x14ac:dyDescent="0.55000000000000004">
      <c r="A783" s="41" t="s">
        <v>1522</v>
      </c>
      <c r="B783" s="41" t="s">
        <v>35</v>
      </c>
      <c r="C783" s="41" t="s">
        <v>10</v>
      </c>
      <c r="D783" s="41" t="str">
        <f t="shared" si="58"/>
        <v>Chicken supreme with pasta</v>
      </c>
      <c r="E783" s="58" t="s">
        <v>1507</v>
      </c>
      <c r="F783" s="58" t="s">
        <v>2079</v>
      </c>
      <c r="G783" s="41" t="s">
        <v>11</v>
      </c>
      <c r="H783" s="58" t="s">
        <v>1774</v>
      </c>
      <c r="I783" s="41"/>
      <c r="J783" s="41"/>
      <c r="K783" s="41" t="str">
        <f>IFERROR(VLOOKUP(L783,'Raw material list'!$A$3:$C$715,3,0),"")</f>
        <v>PRD1-4327</v>
      </c>
      <c r="L783" s="41" t="s">
        <v>39</v>
      </c>
      <c r="M783" s="40" t="s">
        <v>156</v>
      </c>
      <c r="N783" s="40" t="str">
        <f>VLOOKUP(L783,'Raw material list'!$A$3:$E$715,5,0)</f>
        <v xml:space="preserve">Gram </v>
      </c>
      <c r="O783" s="40">
        <v>10</v>
      </c>
      <c r="P783" s="299">
        <f t="shared" si="55"/>
        <v>12.048192771084338</v>
      </c>
      <c r="Q783" s="105">
        <v>83</v>
      </c>
      <c r="R783" s="40">
        <v>10</v>
      </c>
      <c r="S783" s="40"/>
      <c r="T783" s="105">
        <f t="shared" si="54"/>
        <v>1</v>
      </c>
      <c r="U783" s="105">
        <f t="shared" si="56"/>
        <v>1.2048192771084338</v>
      </c>
      <c r="V783" s="104">
        <f>IFERROR(VLOOKUP(L783,'Raw material list'!$A$2:$S$3102,6,0),0)</f>
        <v>1.2999999999999999E-2</v>
      </c>
      <c r="W783" s="104">
        <f t="shared" si="57"/>
        <v>1.566265060240964E-2</v>
      </c>
    </row>
    <row r="784" spans="1:23" hidden="1" x14ac:dyDescent="0.55000000000000004">
      <c r="A784" s="41" t="s">
        <v>1522</v>
      </c>
      <c r="B784" s="41" t="s">
        <v>35</v>
      </c>
      <c r="C784" s="41" t="s">
        <v>10</v>
      </c>
      <c r="D784" s="41" t="str">
        <f t="shared" si="58"/>
        <v>Chicken supreme with pasta</v>
      </c>
      <c r="E784" s="58" t="s">
        <v>1507</v>
      </c>
      <c r="F784" s="58" t="s">
        <v>2079</v>
      </c>
      <c r="G784" s="41" t="s">
        <v>11</v>
      </c>
      <c r="H784" s="58" t="s">
        <v>1774</v>
      </c>
      <c r="I784" s="41"/>
      <c r="J784" s="41"/>
      <c r="K784" s="41" t="str">
        <f>IFERROR(VLOOKUP(L784,'Raw material list'!$A$3:$C$715,3,0),"")</f>
        <v>DRS5-980</v>
      </c>
      <c r="L784" s="41" t="s">
        <v>446</v>
      </c>
      <c r="M784" s="40" t="s">
        <v>156</v>
      </c>
      <c r="N784" s="40" t="str">
        <f>VLOOKUP(L784,'Raw material list'!$A$3:$E$715,5,0)</f>
        <v xml:space="preserve">Gram </v>
      </c>
      <c r="O784" s="40">
        <v>75</v>
      </c>
      <c r="P784" s="299">
        <f t="shared" si="55"/>
        <v>75</v>
      </c>
      <c r="Q784" s="300">
        <v>100</v>
      </c>
      <c r="R784" s="40">
        <v>10</v>
      </c>
      <c r="S784" s="40"/>
      <c r="T784" s="105">
        <f t="shared" si="54"/>
        <v>7.5</v>
      </c>
      <c r="U784" s="105">
        <f t="shared" si="56"/>
        <v>7.5</v>
      </c>
      <c r="V784" s="104">
        <f>IFERROR(VLOOKUP(L784,'Raw material list'!$A$2:$S$3102,6,0),0)</f>
        <v>1E-3</v>
      </c>
      <c r="W784" s="104">
        <f t="shared" si="57"/>
        <v>7.4999999999999997E-3</v>
      </c>
    </row>
    <row r="785" spans="1:23" hidden="1" x14ac:dyDescent="0.55000000000000004">
      <c r="A785" s="41" t="s">
        <v>1522</v>
      </c>
      <c r="B785" s="41" t="s">
        <v>35</v>
      </c>
      <c r="C785" s="41" t="s">
        <v>10</v>
      </c>
      <c r="D785" s="41" t="str">
        <f t="shared" si="58"/>
        <v>Chicken supreme with pasta</v>
      </c>
      <c r="E785" s="58" t="s">
        <v>1507</v>
      </c>
      <c r="F785" s="58" t="s">
        <v>2079</v>
      </c>
      <c r="G785" s="41" t="s">
        <v>11</v>
      </c>
      <c r="H785" s="58" t="s">
        <v>1774</v>
      </c>
      <c r="I785" s="41"/>
      <c r="J785" s="41"/>
      <c r="K785" s="41" t="str">
        <f>IFERROR(VLOOKUP(L785,'Raw material list'!$A$3:$C$715,3,0),"")</f>
        <v>TAP-00001</v>
      </c>
      <c r="L785" s="41" t="s">
        <v>1405</v>
      </c>
      <c r="M785" s="40" t="s">
        <v>206</v>
      </c>
      <c r="N785" s="40" t="str">
        <f>VLOOKUP(L785,'Raw material list'!$A$3:$E$715,5,0)</f>
        <v>Ml</v>
      </c>
      <c r="O785" s="40">
        <v>2800</v>
      </c>
      <c r="P785" s="299">
        <f t="shared" si="55"/>
        <v>2800</v>
      </c>
      <c r="Q785" s="40">
        <v>100</v>
      </c>
      <c r="R785" s="40">
        <v>10</v>
      </c>
      <c r="S785" s="40"/>
      <c r="T785" s="105">
        <f t="shared" si="54"/>
        <v>280</v>
      </c>
      <c r="U785" s="105">
        <f t="shared" si="56"/>
        <v>280</v>
      </c>
      <c r="V785" s="104">
        <f>IFERROR(VLOOKUP(L785,'Raw material list'!$A$2:$S$3102,6,0),0)</f>
        <v>8.0000000000000007E-5</v>
      </c>
      <c r="W785" s="104">
        <f t="shared" si="57"/>
        <v>2.2400000000000003E-2</v>
      </c>
    </row>
    <row r="786" spans="1:23" hidden="1" x14ac:dyDescent="0.55000000000000004">
      <c r="A786" s="41" t="s">
        <v>1522</v>
      </c>
      <c r="B786" s="41" t="s">
        <v>35</v>
      </c>
      <c r="C786" s="41" t="s">
        <v>10</v>
      </c>
      <c r="D786" s="41" t="str">
        <f t="shared" si="58"/>
        <v>Chicken supreme with pasta</v>
      </c>
      <c r="E786" s="58" t="s">
        <v>1507</v>
      </c>
      <c r="F786" s="58" t="s">
        <v>2079</v>
      </c>
      <c r="G786" s="41" t="s">
        <v>11</v>
      </c>
      <c r="H786" s="58" t="s">
        <v>1774</v>
      </c>
      <c r="I786" s="41"/>
      <c r="J786" s="41"/>
      <c r="K786" s="41" t="str">
        <f>IFERROR(VLOOKUP(L786,'Raw material list'!$A$3:$C$715,3,0),"")</f>
        <v>DRS6-309</v>
      </c>
      <c r="L786" s="41" t="s">
        <v>61</v>
      </c>
      <c r="M786" s="40" t="s">
        <v>156</v>
      </c>
      <c r="N786" s="40" t="str">
        <f>VLOOKUP(L786,'Raw material list'!$A$3:$E$715,5,0)</f>
        <v xml:space="preserve">Gram </v>
      </c>
      <c r="O786" s="40">
        <v>2</v>
      </c>
      <c r="P786" s="299">
        <f t="shared" si="55"/>
        <v>2</v>
      </c>
      <c r="Q786" s="40">
        <v>100</v>
      </c>
      <c r="R786" s="40">
        <v>10</v>
      </c>
      <c r="S786" s="40"/>
      <c r="T786" s="105">
        <f t="shared" si="54"/>
        <v>0.2</v>
      </c>
      <c r="U786" s="105">
        <f t="shared" si="56"/>
        <v>0.2</v>
      </c>
      <c r="V786" s="104">
        <f>IFERROR(VLOOKUP(L786,'Raw material list'!$A$2:$S$3102,6,0),0)</f>
        <v>2.8000000000000001E-2</v>
      </c>
      <c r="W786" s="104">
        <f t="shared" si="57"/>
        <v>5.6000000000000008E-3</v>
      </c>
    </row>
    <row r="787" spans="1:23" hidden="1" x14ac:dyDescent="0.55000000000000004">
      <c r="A787" s="41" t="s">
        <v>1522</v>
      </c>
      <c r="B787" s="41" t="s">
        <v>35</v>
      </c>
      <c r="C787" s="41" t="s">
        <v>10</v>
      </c>
      <c r="D787" s="41" t="str">
        <f t="shared" si="58"/>
        <v>Chicken supreme with pasta</v>
      </c>
      <c r="E787" s="58" t="s">
        <v>1507</v>
      </c>
      <c r="F787" s="58" t="s">
        <v>2079</v>
      </c>
      <c r="G787" s="41" t="s">
        <v>11</v>
      </c>
      <c r="H787" s="58" t="s">
        <v>1774</v>
      </c>
      <c r="I787" s="41"/>
      <c r="J787" s="41"/>
      <c r="K787" s="41" t="str">
        <f>IFERROR(VLOOKUP(L787,'Raw material list'!$A$3:$C$715,3,0),"")</f>
        <v>PRD2-4092</v>
      </c>
      <c r="L787" s="41" t="s">
        <v>108</v>
      </c>
      <c r="M787" s="40" t="s">
        <v>156</v>
      </c>
      <c r="N787" s="40" t="str">
        <f>VLOOKUP(L787,'Raw material list'!$A$3:$E$715,5,0)</f>
        <v xml:space="preserve">Gram </v>
      </c>
      <c r="O787" s="40">
        <v>400</v>
      </c>
      <c r="P787" s="299">
        <f t="shared" si="55"/>
        <v>400</v>
      </c>
      <c r="Q787" s="40">
        <v>100</v>
      </c>
      <c r="R787" s="40">
        <v>10</v>
      </c>
      <c r="S787" s="40"/>
      <c r="T787" s="105">
        <f t="shared" si="54"/>
        <v>40</v>
      </c>
      <c r="U787" s="105">
        <f t="shared" si="56"/>
        <v>40</v>
      </c>
      <c r="V787" s="104">
        <f>IFERROR(VLOOKUP(L787,'Raw material list'!$A$2:$S$3102,6,0),0)</f>
        <v>1.40625E-2</v>
      </c>
      <c r="W787" s="104">
        <f t="shared" si="57"/>
        <v>0.5625</v>
      </c>
    </row>
    <row r="788" spans="1:23" hidden="1" x14ac:dyDescent="0.55000000000000004">
      <c r="A788" s="41" t="s">
        <v>1522</v>
      </c>
      <c r="B788" s="41" t="s">
        <v>35</v>
      </c>
      <c r="C788" s="41" t="s">
        <v>10</v>
      </c>
      <c r="D788" s="41" t="str">
        <f t="shared" si="58"/>
        <v>Chicken supreme with pasta</v>
      </c>
      <c r="E788" s="58" t="s">
        <v>1507</v>
      </c>
      <c r="F788" s="58" t="s">
        <v>2079</v>
      </c>
      <c r="G788" s="41" t="s">
        <v>11</v>
      </c>
      <c r="H788" s="58" t="s">
        <v>1774</v>
      </c>
      <c r="I788" s="41"/>
      <c r="J788" s="41"/>
      <c r="K788" s="41" t="str">
        <f>IFERROR(VLOOKUP(L788,'Raw material list'!$A$3:$C$715,3,0),"")</f>
        <v>DRS1-3811</v>
      </c>
      <c r="L788" s="41" t="s">
        <v>40</v>
      </c>
      <c r="M788" s="40" t="s">
        <v>156</v>
      </c>
      <c r="N788" s="40" t="str">
        <f>VLOOKUP(L788,'Raw material list'!$A$3:$E$715,5,0)</f>
        <v xml:space="preserve">Gram </v>
      </c>
      <c r="O788" s="40">
        <v>20</v>
      </c>
      <c r="P788" s="299">
        <f t="shared" si="55"/>
        <v>20</v>
      </c>
      <c r="Q788" s="40">
        <v>100</v>
      </c>
      <c r="R788" s="40">
        <v>10</v>
      </c>
      <c r="S788" s="40"/>
      <c r="T788" s="105">
        <f t="shared" si="54"/>
        <v>2</v>
      </c>
      <c r="U788" s="105">
        <f t="shared" si="56"/>
        <v>2</v>
      </c>
      <c r="V788" s="104">
        <f>IFERROR(VLOOKUP(L788,'Raw material list'!$A$2:$S$3102,6,0),0)</f>
        <v>2.8475E-2</v>
      </c>
      <c r="W788" s="104">
        <f t="shared" si="57"/>
        <v>5.6950000000000001E-2</v>
      </c>
    </row>
    <row r="789" spans="1:23" hidden="1" x14ac:dyDescent="0.55000000000000004">
      <c r="A789" s="41" t="s">
        <v>1522</v>
      </c>
      <c r="B789" s="41" t="s">
        <v>35</v>
      </c>
      <c r="C789" s="41" t="s">
        <v>10</v>
      </c>
      <c r="D789" s="41" t="str">
        <f t="shared" si="58"/>
        <v>Chicken supreme with pasta</v>
      </c>
      <c r="E789" s="58" t="s">
        <v>1507</v>
      </c>
      <c r="F789" s="58" t="s">
        <v>2079</v>
      </c>
      <c r="G789" s="41" t="s">
        <v>11</v>
      </c>
      <c r="H789" s="58" t="s">
        <v>1774</v>
      </c>
      <c r="I789" s="41"/>
      <c r="J789" s="41"/>
      <c r="K789" s="41" t="str">
        <f>IFERROR(VLOOKUP(L789,'Raw material list'!$A$3:$C$715,3,0),"")</f>
        <v>DRS1-3880</v>
      </c>
      <c r="L789" s="41" t="s">
        <v>1433</v>
      </c>
      <c r="M789" s="40" t="s">
        <v>156</v>
      </c>
      <c r="N789" s="40" t="str">
        <f>VLOOKUP(L789,'Raw material list'!$A$3:$E$715,5,0)</f>
        <v xml:space="preserve">Gram </v>
      </c>
      <c r="O789" s="40">
        <v>15</v>
      </c>
      <c r="P789" s="299">
        <f t="shared" si="55"/>
        <v>15</v>
      </c>
      <c r="Q789" s="40">
        <v>100</v>
      </c>
      <c r="R789" s="40">
        <v>10</v>
      </c>
      <c r="S789" s="40"/>
      <c r="T789" s="105">
        <f t="shared" si="54"/>
        <v>1.5</v>
      </c>
      <c r="U789" s="105">
        <f t="shared" si="56"/>
        <v>1.5</v>
      </c>
      <c r="V789" s="104">
        <f>IFERROR(VLOOKUP(L789,'Raw material list'!$A$2:$S$3102,6,0),0)</f>
        <v>5.0000000000000001E-4</v>
      </c>
      <c r="W789" s="104">
        <f t="shared" si="57"/>
        <v>7.5000000000000002E-4</v>
      </c>
    </row>
    <row r="790" spans="1:23" hidden="1" x14ac:dyDescent="0.55000000000000004">
      <c r="A790" s="41" t="s">
        <v>1522</v>
      </c>
      <c r="B790" s="41" t="s">
        <v>35</v>
      </c>
      <c r="C790" s="41" t="s">
        <v>10</v>
      </c>
      <c r="D790" s="41" t="str">
        <f t="shared" si="58"/>
        <v>Chicken supreme with pasta</v>
      </c>
      <c r="E790" s="58" t="s">
        <v>1507</v>
      </c>
      <c r="F790" s="58" t="s">
        <v>2079</v>
      </c>
      <c r="G790" s="41" t="s">
        <v>11</v>
      </c>
      <c r="H790" s="58" t="s">
        <v>1774</v>
      </c>
      <c r="I790" s="41"/>
      <c r="J790" s="41"/>
      <c r="K790" s="41" t="str">
        <f>IFERROR(VLOOKUP(L790,'Raw material list'!$A$3:$C$715,3,0),"")</f>
        <v>DRY2-1858</v>
      </c>
      <c r="L790" s="41" t="s">
        <v>60</v>
      </c>
      <c r="M790" s="40" t="s">
        <v>206</v>
      </c>
      <c r="N790" s="40" t="str">
        <f>VLOOKUP(L790,'Raw material list'!$A$3:$E$715,5,0)</f>
        <v>Ml</v>
      </c>
      <c r="O790" s="40">
        <v>500</v>
      </c>
      <c r="P790" s="299">
        <f t="shared" si="55"/>
        <v>500</v>
      </c>
      <c r="Q790" s="40">
        <v>100</v>
      </c>
      <c r="R790" s="40">
        <v>10</v>
      </c>
      <c r="S790" s="40"/>
      <c r="T790" s="105">
        <f t="shared" si="54"/>
        <v>50</v>
      </c>
      <c r="U790" s="105">
        <f t="shared" si="56"/>
        <v>50</v>
      </c>
      <c r="V790" s="104">
        <f>IFERROR(VLOOKUP(L790,'Raw material list'!$A$2:$S$3102,6,0),0)</f>
        <v>9.8800000000000016E-3</v>
      </c>
      <c r="W790" s="104">
        <f t="shared" si="57"/>
        <v>0.49400000000000011</v>
      </c>
    </row>
    <row r="791" spans="1:23" hidden="1" x14ac:dyDescent="0.55000000000000004">
      <c r="A791" s="41" t="s">
        <v>1522</v>
      </c>
      <c r="B791" s="41" t="s">
        <v>35</v>
      </c>
      <c r="C791" s="41" t="s">
        <v>10</v>
      </c>
      <c r="D791" s="41" t="str">
        <f t="shared" si="58"/>
        <v>Chicken supreme with pasta</v>
      </c>
      <c r="E791" s="58" t="s">
        <v>1507</v>
      </c>
      <c r="F791" s="58" t="s">
        <v>2079</v>
      </c>
      <c r="G791" s="41" t="s">
        <v>11</v>
      </c>
      <c r="H791" s="58" t="s">
        <v>1774</v>
      </c>
      <c r="I791" s="41"/>
      <c r="J791" s="41"/>
      <c r="K791" s="41" t="str">
        <f>IFERROR(VLOOKUP(L791,'Raw material list'!$A$3:$C$715,3,0),"")</f>
        <v>DRY1-602</v>
      </c>
      <c r="L791" s="41" t="s">
        <v>63</v>
      </c>
      <c r="M791" s="40" t="s">
        <v>156</v>
      </c>
      <c r="N791" s="40" t="str">
        <f>VLOOKUP(L791,'Raw material list'!$A$3:$E$715,5,0)</f>
        <v xml:space="preserve">Gram </v>
      </c>
      <c r="O791" s="40">
        <v>40</v>
      </c>
      <c r="P791" s="299">
        <f t="shared" si="55"/>
        <v>40</v>
      </c>
      <c r="Q791" s="40">
        <v>100</v>
      </c>
      <c r="R791" s="40">
        <v>10</v>
      </c>
      <c r="S791" s="40"/>
      <c r="T791" s="105">
        <f t="shared" si="54"/>
        <v>4</v>
      </c>
      <c r="U791" s="105">
        <f t="shared" si="56"/>
        <v>4</v>
      </c>
      <c r="V791" s="104">
        <f>IFERROR(VLOOKUP(L791,'Raw material list'!$A$2:$S$3102,6,0),0)</f>
        <v>5.5E-2</v>
      </c>
      <c r="W791" s="104">
        <f t="shared" si="57"/>
        <v>0.22</v>
      </c>
    </row>
    <row r="792" spans="1:23" hidden="1" x14ac:dyDescent="0.55000000000000004">
      <c r="A792" s="41" t="s">
        <v>1522</v>
      </c>
      <c r="B792" s="41" t="s">
        <v>35</v>
      </c>
      <c r="C792" s="41" t="s">
        <v>10</v>
      </c>
      <c r="D792" s="41" t="str">
        <f t="shared" si="58"/>
        <v>Chicken supreme with pasta</v>
      </c>
      <c r="E792" s="58" t="s">
        <v>1507</v>
      </c>
      <c r="F792" s="58" t="s">
        <v>2079</v>
      </c>
      <c r="G792" s="41" t="s">
        <v>11</v>
      </c>
      <c r="H792" s="58" t="s">
        <v>1774</v>
      </c>
      <c r="I792" s="41"/>
      <c r="J792" s="41"/>
      <c r="K792" s="41" t="str">
        <f>IFERROR(VLOOKUP(L792,'Raw material list'!$A$3:$C$715,3,0),"")</f>
        <v>DRY1-1801</v>
      </c>
      <c r="L792" s="41" t="s">
        <v>49</v>
      </c>
      <c r="M792" s="40" t="s">
        <v>156</v>
      </c>
      <c r="N792" s="40" t="str">
        <f>VLOOKUP(L792,'Raw material list'!$A$3:$E$715,5,0)</f>
        <v xml:space="preserve">Gram </v>
      </c>
      <c r="O792" s="40">
        <v>400</v>
      </c>
      <c r="P792" s="299">
        <f t="shared" si="55"/>
        <v>400</v>
      </c>
      <c r="Q792" s="40">
        <v>100</v>
      </c>
      <c r="R792" s="40">
        <v>10</v>
      </c>
      <c r="S792" s="40"/>
      <c r="T792" s="105">
        <f t="shared" si="54"/>
        <v>40</v>
      </c>
      <c r="U792" s="105">
        <f t="shared" si="56"/>
        <v>40</v>
      </c>
      <c r="V792" s="104">
        <f>IFERROR(VLOOKUP(L792,'Raw material list'!$A$2:$S$3102,6,0),0)</f>
        <v>2.5000000000000001E-2</v>
      </c>
      <c r="W792" s="104">
        <f t="shared" si="57"/>
        <v>1</v>
      </c>
    </row>
    <row r="793" spans="1:23" hidden="1" x14ac:dyDescent="0.55000000000000004">
      <c r="A793" s="41" t="s">
        <v>1523</v>
      </c>
      <c r="B793" s="41" t="s">
        <v>35</v>
      </c>
      <c r="C793" s="41" t="s">
        <v>10</v>
      </c>
      <c r="D793" s="41" t="s">
        <v>1515</v>
      </c>
      <c r="E793" s="108" t="s">
        <v>1507</v>
      </c>
      <c r="F793" s="109" t="s">
        <v>2081</v>
      </c>
      <c r="G793" s="41" t="s">
        <v>11</v>
      </c>
      <c r="H793" s="41" t="s">
        <v>1774</v>
      </c>
      <c r="I793" s="41"/>
      <c r="J793" s="41"/>
      <c r="K793" s="41" t="str">
        <f>IFERROR(VLOOKUP(L793,'Raw material list'!$A$3:$C$715,3,0),"")</f>
        <v>PLT2-3278</v>
      </c>
      <c r="L793" s="41" t="s">
        <v>80</v>
      </c>
      <c r="M793" s="40" t="s">
        <v>156</v>
      </c>
      <c r="N793" s="40" t="str">
        <f>VLOOKUP(L793,'Raw material list'!$A$3:$E$715,5,0)</f>
        <v xml:space="preserve">Gram </v>
      </c>
      <c r="O793" s="40">
        <v>1200</v>
      </c>
      <c r="P793" s="299">
        <f t="shared" si="55"/>
        <v>1574.803149606299</v>
      </c>
      <c r="Q793" s="40">
        <v>76.2</v>
      </c>
      <c r="R793" s="40">
        <v>10</v>
      </c>
      <c r="S793" s="40"/>
      <c r="T793" s="105">
        <f t="shared" si="54"/>
        <v>120</v>
      </c>
      <c r="U793" s="105">
        <f t="shared" si="56"/>
        <v>157.4803149606299</v>
      </c>
      <c r="V793" s="104">
        <f>IFERROR(VLOOKUP(L793,'Raw material list'!$A$2:$S$3102,6,0),0)</f>
        <v>3.0357142857142853E-2</v>
      </c>
      <c r="W793" s="104">
        <f t="shared" si="57"/>
        <v>4.7806524184476924</v>
      </c>
    </row>
    <row r="794" spans="1:23" hidden="1" x14ac:dyDescent="0.55000000000000004">
      <c r="A794" s="41" t="s">
        <v>1523</v>
      </c>
      <c r="B794" s="41" t="s">
        <v>35</v>
      </c>
      <c r="C794" s="41" t="s">
        <v>10</v>
      </c>
      <c r="D794" s="41" t="str">
        <f t="shared" ref="D794:D810" si="59">D793</f>
        <v>Chicken strangof with mashed potato</v>
      </c>
      <c r="E794" s="109" t="s">
        <v>1507</v>
      </c>
      <c r="F794" s="109" t="s">
        <v>2079</v>
      </c>
      <c r="G794" s="41" t="s">
        <v>11</v>
      </c>
      <c r="H794" s="41" t="s">
        <v>1774</v>
      </c>
      <c r="I794" s="41"/>
      <c r="J794" s="41"/>
      <c r="K794" s="41" t="str">
        <f>IFERROR(VLOOKUP(L794,'Raw material list'!$A$3:$C$715,3,0),"")</f>
        <v>DRS3-1813</v>
      </c>
      <c r="L794" s="41" t="s">
        <v>69</v>
      </c>
      <c r="M794" s="40" t="s">
        <v>206</v>
      </c>
      <c r="N794" s="40" t="str">
        <f>VLOOKUP(L794,'Raw material list'!$A$3:$E$715,5,0)</f>
        <v>Ml</v>
      </c>
      <c r="O794" s="40">
        <v>30</v>
      </c>
      <c r="P794" s="299">
        <f t="shared" si="55"/>
        <v>30</v>
      </c>
      <c r="Q794" s="40">
        <v>100</v>
      </c>
      <c r="R794" s="40">
        <v>10</v>
      </c>
      <c r="S794" s="40"/>
      <c r="T794" s="105">
        <f t="shared" si="54"/>
        <v>3</v>
      </c>
      <c r="U794" s="105">
        <f t="shared" si="56"/>
        <v>3</v>
      </c>
      <c r="V794" s="104">
        <f>IFERROR(VLOOKUP(L794,'Raw material list'!$A$2:$S$3102,6,0),0)</f>
        <v>8.0555555555555554E-3</v>
      </c>
      <c r="W794" s="104">
        <f t="shared" si="57"/>
        <v>2.4166666666666666E-2</v>
      </c>
    </row>
    <row r="795" spans="1:23" hidden="1" x14ac:dyDescent="0.55000000000000004">
      <c r="A795" s="41" t="s">
        <v>1523</v>
      </c>
      <c r="B795" s="41" t="s">
        <v>35</v>
      </c>
      <c r="C795" s="41" t="s">
        <v>10</v>
      </c>
      <c r="D795" s="41" t="str">
        <f t="shared" si="59"/>
        <v>Chicken strangof with mashed potato</v>
      </c>
      <c r="E795" s="109" t="s">
        <v>1507</v>
      </c>
      <c r="F795" s="109" t="s">
        <v>2079</v>
      </c>
      <c r="G795" s="41" t="s">
        <v>11</v>
      </c>
      <c r="H795" s="41" t="s">
        <v>1774</v>
      </c>
      <c r="I795" s="41"/>
      <c r="J795" s="41"/>
      <c r="K795" s="41" t="str">
        <f>IFERROR(VLOOKUP(L795,'Raw material list'!$A$3:$C$715,3,0),"")</f>
        <v>PRD1-4265</v>
      </c>
      <c r="L795" s="41" t="s">
        <v>38</v>
      </c>
      <c r="M795" s="40" t="s">
        <v>156</v>
      </c>
      <c r="N795" s="40" t="str">
        <f>VLOOKUP(L795,'Raw material list'!$A$3:$E$715,5,0)</f>
        <v xml:space="preserve">Gram </v>
      </c>
      <c r="O795" s="40">
        <v>50</v>
      </c>
      <c r="P795" s="299">
        <f t="shared" si="55"/>
        <v>58.82352941176471</v>
      </c>
      <c r="Q795" s="105">
        <v>85</v>
      </c>
      <c r="R795" s="40">
        <v>10</v>
      </c>
      <c r="S795" s="40"/>
      <c r="T795" s="105">
        <f t="shared" si="54"/>
        <v>5</v>
      </c>
      <c r="U795" s="105">
        <f t="shared" si="56"/>
        <v>5.882352941176471</v>
      </c>
      <c r="V795" s="104">
        <f>IFERROR(VLOOKUP(L795,'Raw material list'!$A$2:$S$3102,6,0),0)</f>
        <v>3.529411764705882E-3</v>
      </c>
      <c r="W795" s="104">
        <f t="shared" si="57"/>
        <v>2.0761245674740483E-2</v>
      </c>
    </row>
    <row r="796" spans="1:23" hidden="1" x14ac:dyDescent="0.55000000000000004">
      <c r="A796" s="41" t="s">
        <v>1523</v>
      </c>
      <c r="B796" s="41" t="s">
        <v>35</v>
      </c>
      <c r="C796" s="41" t="s">
        <v>10</v>
      </c>
      <c r="D796" s="41" t="str">
        <f t="shared" si="59"/>
        <v>Chicken strangof with mashed potato</v>
      </c>
      <c r="E796" s="109" t="s">
        <v>1507</v>
      </c>
      <c r="F796" s="109" t="s">
        <v>2079</v>
      </c>
      <c r="G796" s="41" t="s">
        <v>11</v>
      </c>
      <c r="H796" s="41" t="s">
        <v>1774</v>
      </c>
      <c r="I796" s="41"/>
      <c r="J796" s="41"/>
      <c r="K796" s="41" t="str">
        <f>IFERROR(VLOOKUP(L796,'Raw material list'!$A$3:$C$715,3,0),"")</f>
        <v>DRY2-1008</v>
      </c>
      <c r="L796" s="41" t="s">
        <v>57</v>
      </c>
      <c r="M796" s="40" t="s">
        <v>156</v>
      </c>
      <c r="N796" s="40" t="str">
        <f>VLOOKUP(L796,'Raw material list'!$A$3:$E$715,5,0)</f>
        <v xml:space="preserve">Gram </v>
      </c>
      <c r="O796" s="40">
        <v>30</v>
      </c>
      <c r="P796" s="299">
        <f t="shared" si="55"/>
        <v>30</v>
      </c>
      <c r="Q796" s="300">
        <v>100</v>
      </c>
      <c r="R796" s="40">
        <v>10</v>
      </c>
      <c r="S796" s="40"/>
      <c r="T796" s="105">
        <f t="shared" si="54"/>
        <v>3</v>
      </c>
      <c r="U796" s="105">
        <f t="shared" si="56"/>
        <v>3</v>
      </c>
      <c r="V796" s="104">
        <f>IFERROR(VLOOKUP(L796,'Raw material list'!$A$2:$S$3102,6,0),0)</f>
        <v>0.03</v>
      </c>
      <c r="W796" s="104">
        <f t="shared" si="57"/>
        <v>0.09</v>
      </c>
    </row>
    <row r="797" spans="1:23" hidden="1" x14ac:dyDescent="0.55000000000000004">
      <c r="A797" s="41" t="s">
        <v>1523</v>
      </c>
      <c r="B797" s="41" t="s">
        <v>35</v>
      </c>
      <c r="C797" s="41" t="s">
        <v>10</v>
      </c>
      <c r="D797" s="41" t="str">
        <f t="shared" si="59"/>
        <v>Chicken strangof with mashed potato</v>
      </c>
      <c r="E797" s="109" t="s">
        <v>1507</v>
      </c>
      <c r="F797" s="109" t="s">
        <v>2079</v>
      </c>
      <c r="G797" s="41" t="s">
        <v>11</v>
      </c>
      <c r="H797" s="41" t="s">
        <v>1774</v>
      </c>
      <c r="I797" s="41"/>
      <c r="J797" s="41"/>
      <c r="K797" s="41" t="str">
        <f>IFERROR(VLOOKUP(L797,'Raw material list'!$A$3:$C$715,3,0),"")</f>
        <v>PRD1-4327</v>
      </c>
      <c r="L797" s="41" t="s">
        <v>39</v>
      </c>
      <c r="M797" s="40" t="s">
        <v>156</v>
      </c>
      <c r="N797" s="40" t="str">
        <f>VLOOKUP(L797,'Raw material list'!$A$3:$E$715,5,0)</f>
        <v xml:space="preserve">Gram </v>
      </c>
      <c r="O797" s="40">
        <v>5</v>
      </c>
      <c r="P797" s="299">
        <f t="shared" si="55"/>
        <v>6.024096385542169</v>
      </c>
      <c r="Q797" s="105">
        <v>83</v>
      </c>
      <c r="R797" s="40">
        <v>10</v>
      </c>
      <c r="S797" s="40"/>
      <c r="T797" s="105">
        <f t="shared" si="54"/>
        <v>0.5</v>
      </c>
      <c r="U797" s="105">
        <f t="shared" si="56"/>
        <v>0.60240963855421692</v>
      </c>
      <c r="V797" s="104">
        <f>IFERROR(VLOOKUP(L797,'Raw material list'!$A$2:$S$3102,6,0),0)</f>
        <v>1.2999999999999999E-2</v>
      </c>
      <c r="W797" s="104">
        <f t="shared" si="57"/>
        <v>7.8313253012048199E-3</v>
      </c>
    </row>
    <row r="798" spans="1:23" hidden="1" x14ac:dyDescent="0.55000000000000004">
      <c r="A798" s="41" t="s">
        <v>1523</v>
      </c>
      <c r="B798" s="41" t="s">
        <v>35</v>
      </c>
      <c r="C798" s="41" t="s">
        <v>10</v>
      </c>
      <c r="D798" s="41" t="str">
        <f t="shared" si="59"/>
        <v>Chicken strangof with mashed potato</v>
      </c>
      <c r="E798" s="109" t="s">
        <v>1507</v>
      </c>
      <c r="F798" s="109" t="s">
        <v>2079</v>
      </c>
      <c r="G798" s="41" t="s">
        <v>11</v>
      </c>
      <c r="H798" s="41" t="s">
        <v>1774</v>
      </c>
      <c r="I798" s="41"/>
      <c r="J798" s="41"/>
      <c r="K798" s="41" t="str">
        <f>IFERROR(VLOOKUP(L798,'Raw material list'!$A$3:$C$715,3,0),"")</f>
        <v>TAP-00001</v>
      </c>
      <c r="L798" s="41" t="s">
        <v>1405</v>
      </c>
      <c r="M798" s="40" t="s">
        <v>206</v>
      </c>
      <c r="N798" s="40" t="str">
        <f>VLOOKUP(L798,'Raw material list'!$A$3:$E$715,5,0)</f>
        <v>Ml</v>
      </c>
      <c r="O798" s="40">
        <v>1400</v>
      </c>
      <c r="P798" s="299">
        <f t="shared" si="55"/>
        <v>1400</v>
      </c>
      <c r="Q798" s="300">
        <v>100</v>
      </c>
      <c r="R798" s="40">
        <v>10</v>
      </c>
      <c r="S798" s="40"/>
      <c r="T798" s="105">
        <f t="shared" si="54"/>
        <v>140</v>
      </c>
      <c r="U798" s="105">
        <f t="shared" si="56"/>
        <v>140</v>
      </c>
      <c r="V798" s="104">
        <f>IFERROR(VLOOKUP(L798,'Raw material list'!$A$2:$S$3102,6,0),0)</f>
        <v>8.0000000000000007E-5</v>
      </c>
      <c r="W798" s="104">
        <f t="shared" si="57"/>
        <v>1.1200000000000002E-2</v>
      </c>
    </row>
    <row r="799" spans="1:23" hidden="1" x14ac:dyDescent="0.55000000000000004">
      <c r="A799" s="41" t="s">
        <v>1523</v>
      </c>
      <c r="B799" s="41" t="s">
        <v>35</v>
      </c>
      <c r="C799" s="41" t="s">
        <v>10</v>
      </c>
      <c r="D799" s="41" t="str">
        <f t="shared" si="59"/>
        <v>Chicken strangof with mashed potato</v>
      </c>
      <c r="E799" s="109" t="s">
        <v>1507</v>
      </c>
      <c r="F799" s="109" t="s">
        <v>2079</v>
      </c>
      <c r="G799" s="41" t="s">
        <v>11</v>
      </c>
      <c r="H799" s="41" t="s">
        <v>1774</v>
      </c>
      <c r="I799" s="41"/>
      <c r="J799" s="41"/>
      <c r="K799" s="41" t="str">
        <f>IFERROR(VLOOKUP(L799,'Raw material list'!$A$3:$C$715,3,0),"")</f>
        <v>DRS6-5039</v>
      </c>
      <c r="L799" s="41" t="s">
        <v>92</v>
      </c>
      <c r="M799" s="40" t="s">
        <v>156</v>
      </c>
      <c r="N799" s="40" t="str">
        <f>VLOOKUP(L799,'Raw material list'!$A$3:$E$715,5,0)</f>
        <v xml:space="preserve">Gram </v>
      </c>
      <c r="O799" s="40">
        <v>3</v>
      </c>
      <c r="P799" s="299">
        <f t="shared" si="55"/>
        <v>3</v>
      </c>
      <c r="Q799" s="40">
        <v>100</v>
      </c>
      <c r="R799" s="40">
        <v>10</v>
      </c>
      <c r="S799" s="40"/>
      <c r="T799" s="105">
        <f t="shared" si="54"/>
        <v>0.3</v>
      </c>
      <c r="U799" s="105">
        <f t="shared" si="56"/>
        <v>0.3</v>
      </c>
      <c r="V799" s="104">
        <f>IFERROR(VLOOKUP(L799,'Raw material list'!$A$2:$S$3102,6,0),0)</f>
        <v>3.5000000000000003E-2</v>
      </c>
      <c r="W799" s="104">
        <f t="shared" si="57"/>
        <v>1.0500000000000001E-2</v>
      </c>
    </row>
    <row r="800" spans="1:23" hidden="1" x14ac:dyDescent="0.55000000000000004">
      <c r="A800" s="41" t="s">
        <v>1523</v>
      </c>
      <c r="B800" s="41" t="s">
        <v>35</v>
      </c>
      <c r="C800" s="41" t="s">
        <v>10</v>
      </c>
      <c r="D800" s="41" t="str">
        <f t="shared" si="59"/>
        <v>Chicken strangof with mashed potato</v>
      </c>
      <c r="E800" s="109" t="s">
        <v>1507</v>
      </c>
      <c r="F800" s="109" t="s">
        <v>2079</v>
      </c>
      <c r="G800" s="41" t="s">
        <v>11</v>
      </c>
      <c r="H800" s="41" t="s">
        <v>1774</v>
      </c>
      <c r="I800" s="41"/>
      <c r="J800" s="41"/>
      <c r="K800" s="41" t="str">
        <f>IFERROR(VLOOKUP(L800,'Raw material list'!$A$3:$C$715,3,0),"")</f>
        <v>DRS5-40</v>
      </c>
      <c r="L800" s="41" t="s">
        <v>58</v>
      </c>
      <c r="M800" s="40" t="s">
        <v>156</v>
      </c>
      <c r="N800" s="40" t="str">
        <f>VLOOKUP(L800,'Raw material list'!$A$3:$E$715,5,0)</f>
        <v xml:space="preserve">Gram </v>
      </c>
      <c r="O800" s="40">
        <v>75</v>
      </c>
      <c r="P800" s="299">
        <f t="shared" si="55"/>
        <v>75</v>
      </c>
      <c r="Q800" s="40">
        <v>100</v>
      </c>
      <c r="R800" s="40">
        <v>10</v>
      </c>
      <c r="S800" s="40"/>
      <c r="T800" s="105">
        <f t="shared" si="54"/>
        <v>7.5</v>
      </c>
      <c r="U800" s="105">
        <f t="shared" si="56"/>
        <v>7.5</v>
      </c>
      <c r="V800" s="104">
        <f>IFERROR(VLOOKUP(L800,'Raw material list'!$A$2:$S$3102,6,0),0)</f>
        <v>7.7777777777777773E-4</v>
      </c>
      <c r="W800" s="104">
        <f t="shared" si="57"/>
        <v>5.8333333333333327E-3</v>
      </c>
    </row>
    <row r="801" spans="1:23" hidden="1" x14ac:dyDescent="0.55000000000000004">
      <c r="A801" s="41" t="s">
        <v>1523</v>
      </c>
      <c r="B801" s="41" t="s">
        <v>35</v>
      </c>
      <c r="C801" s="41" t="s">
        <v>10</v>
      </c>
      <c r="D801" s="41" t="str">
        <f t="shared" si="59"/>
        <v>Chicken strangof with mashed potato</v>
      </c>
      <c r="E801" s="109" t="s">
        <v>1507</v>
      </c>
      <c r="F801" s="109" t="s">
        <v>2079</v>
      </c>
      <c r="G801" s="41" t="s">
        <v>11</v>
      </c>
      <c r="H801" s="41" t="s">
        <v>1774</v>
      </c>
      <c r="I801" s="41"/>
      <c r="J801" s="41"/>
      <c r="K801" s="41" t="str">
        <f>IFERROR(VLOOKUP(L801,'Raw material list'!$A$3:$C$715,3,0),"")</f>
        <v>PRD1-223</v>
      </c>
      <c r="L801" s="41" t="s">
        <v>71</v>
      </c>
      <c r="M801" s="40" t="s">
        <v>156</v>
      </c>
      <c r="N801" s="40" t="str">
        <f>VLOOKUP(L801,'Raw material list'!$A$3:$E$715,5,0)</f>
        <v xml:space="preserve">Gram </v>
      </c>
      <c r="O801" s="40">
        <v>250</v>
      </c>
      <c r="P801" s="299">
        <f t="shared" si="55"/>
        <v>264.08450704225351</v>
      </c>
      <c r="Q801" s="105">
        <v>94.666666666666671</v>
      </c>
      <c r="R801" s="40">
        <v>10</v>
      </c>
      <c r="S801" s="40"/>
      <c r="T801" s="105">
        <f t="shared" si="54"/>
        <v>25</v>
      </c>
      <c r="U801" s="105">
        <f t="shared" si="56"/>
        <v>26.408450704225352</v>
      </c>
      <c r="V801" s="104">
        <f>IFERROR(VLOOKUP(L801,'Raw material list'!$A$2:$S$3102,6,0),0)</f>
        <v>2.3231256599788808E-2</v>
      </c>
      <c r="W801" s="104">
        <f t="shared" si="57"/>
        <v>0.61350149471273263</v>
      </c>
    </row>
    <row r="802" spans="1:23" hidden="1" x14ac:dyDescent="0.55000000000000004">
      <c r="A802" s="41" t="s">
        <v>1523</v>
      </c>
      <c r="B802" s="41" t="s">
        <v>35</v>
      </c>
      <c r="C802" s="41" t="s">
        <v>10</v>
      </c>
      <c r="D802" s="41" t="str">
        <f t="shared" si="59"/>
        <v>Chicken strangof with mashed potato</v>
      </c>
      <c r="E802" s="109" t="s">
        <v>1507</v>
      </c>
      <c r="F802" s="109" t="s">
        <v>2079</v>
      </c>
      <c r="G802" s="41" t="s">
        <v>11</v>
      </c>
      <c r="H802" s="41" t="s">
        <v>1774</v>
      </c>
      <c r="I802" s="41"/>
      <c r="J802" s="41"/>
      <c r="K802" s="41" t="str">
        <f>IFERROR(VLOOKUP(L802,'Raw material list'!$A$3:$C$715,3,0),"")</f>
        <v>DRY2-4896</v>
      </c>
      <c r="L802" s="41" t="s">
        <v>65</v>
      </c>
      <c r="M802" s="40" t="s">
        <v>206</v>
      </c>
      <c r="N802" s="40" t="str">
        <f>VLOOKUP(L802,'Raw material list'!$A$3:$E$715,5,0)</f>
        <v>Ml</v>
      </c>
      <c r="O802" s="40">
        <v>300</v>
      </c>
      <c r="P802" s="299">
        <f t="shared" si="55"/>
        <v>300</v>
      </c>
      <c r="Q802" s="300">
        <v>100</v>
      </c>
      <c r="R802" s="40">
        <v>10</v>
      </c>
      <c r="S802" s="40"/>
      <c r="T802" s="105">
        <f t="shared" si="54"/>
        <v>30</v>
      </c>
      <c r="U802" s="105">
        <f t="shared" si="56"/>
        <v>30</v>
      </c>
      <c r="V802" s="104">
        <f>IFERROR(VLOOKUP(L802,'Raw material list'!$A$2:$S$3102,6,0),0)</f>
        <v>2.0829999999999998E-2</v>
      </c>
      <c r="W802" s="104">
        <f t="shared" si="57"/>
        <v>0.6248999999999999</v>
      </c>
    </row>
    <row r="803" spans="1:23" hidden="1" x14ac:dyDescent="0.55000000000000004">
      <c r="A803" s="41" t="s">
        <v>1523</v>
      </c>
      <c r="B803" s="41" t="s">
        <v>35</v>
      </c>
      <c r="C803" s="41" t="s">
        <v>10</v>
      </c>
      <c r="D803" s="41" t="str">
        <f t="shared" si="59"/>
        <v>Chicken strangof with mashed potato</v>
      </c>
      <c r="E803" s="109" t="s">
        <v>1507</v>
      </c>
      <c r="F803" s="109" t="s">
        <v>2079</v>
      </c>
      <c r="G803" s="41" t="s">
        <v>11</v>
      </c>
      <c r="H803" s="41" t="s">
        <v>1774</v>
      </c>
      <c r="I803" s="41"/>
      <c r="J803" s="41"/>
      <c r="K803" s="41" t="str">
        <f>IFERROR(VLOOKUP(L803,'Raw material list'!$A$3:$C$715,3,0),"")</f>
        <v>DRS1-3811</v>
      </c>
      <c r="L803" s="41" t="s">
        <v>40</v>
      </c>
      <c r="M803" s="40" t="s">
        <v>156</v>
      </c>
      <c r="N803" s="40" t="str">
        <f>VLOOKUP(L803,'Raw material list'!$A$3:$E$715,5,0)</f>
        <v xml:space="preserve">Gram </v>
      </c>
      <c r="O803" s="40">
        <v>10</v>
      </c>
      <c r="P803" s="299">
        <f t="shared" si="55"/>
        <v>10</v>
      </c>
      <c r="Q803" s="40">
        <v>100</v>
      </c>
      <c r="R803" s="40">
        <v>10</v>
      </c>
      <c r="S803" s="40"/>
      <c r="T803" s="105">
        <f t="shared" si="54"/>
        <v>1</v>
      </c>
      <c r="U803" s="105">
        <f t="shared" si="56"/>
        <v>1</v>
      </c>
      <c r="V803" s="104">
        <f>IFERROR(VLOOKUP(L803,'Raw material list'!$A$2:$S$3102,6,0),0)</f>
        <v>2.8475E-2</v>
      </c>
      <c r="W803" s="104">
        <f t="shared" si="57"/>
        <v>2.8475E-2</v>
      </c>
    </row>
    <row r="804" spans="1:23" hidden="1" x14ac:dyDescent="0.55000000000000004">
      <c r="A804" s="41" t="s">
        <v>1523</v>
      </c>
      <c r="B804" s="41" t="s">
        <v>35</v>
      </c>
      <c r="C804" s="41" t="s">
        <v>10</v>
      </c>
      <c r="D804" s="41" t="str">
        <f t="shared" si="59"/>
        <v>Chicken strangof with mashed potato</v>
      </c>
      <c r="E804" s="109" t="s">
        <v>1507</v>
      </c>
      <c r="F804" s="109" t="s">
        <v>2079</v>
      </c>
      <c r="G804" s="41" t="s">
        <v>11</v>
      </c>
      <c r="H804" s="41" t="s">
        <v>1774</v>
      </c>
      <c r="I804" s="41"/>
      <c r="J804" s="41"/>
      <c r="K804" s="41" t="str">
        <f>IFERROR(VLOOKUP(L804,'Raw material list'!$A$3:$C$715,3,0),"")</f>
        <v>DRS1-3880</v>
      </c>
      <c r="L804" s="41" t="s">
        <v>1433</v>
      </c>
      <c r="M804" s="40" t="s">
        <v>156</v>
      </c>
      <c r="N804" s="40" t="str">
        <f>VLOOKUP(L804,'Raw material list'!$A$3:$E$715,5,0)</f>
        <v xml:space="preserve">Gram </v>
      </c>
      <c r="O804" s="40">
        <v>5</v>
      </c>
      <c r="P804" s="299">
        <f t="shared" si="55"/>
        <v>5</v>
      </c>
      <c r="Q804" s="40">
        <v>100</v>
      </c>
      <c r="R804" s="40">
        <v>10</v>
      </c>
      <c r="S804" s="40"/>
      <c r="T804" s="105">
        <f t="shared" si="54"/>
        <v>0.5</v>
      </c>
      <c r="U804" s="105">
        <f t="shared" si="56"/>
        <v>0.5</v>
      </c>
      <c r="V804" s="104">
        <f>IFERROR(VLOOKUP(L804,'Raw material list'!$A$2:$S$3102,6,0),0)</f>
        <v>5.0000000000000001E-4</v>
      </c>
      <c r="W804" s="104">
        <f t="shared" si="57"/>
        <v>2.5000000000000001E-4</v>
      </c>
    </row>
    <row r="805" spans="1:23" hidden="1" x14ac:dyDescent="0.55000000000000004">
      <c r="A805" s="41" t="s">
        <v>1523</v>
      </c>
      <c r="B805" s="41" t="s">
        <v>35</v>
      </c>
      <c r="C805" s="41" t="s">
        <v>10</v>
      </c>
      <c r="D805" s="41" t="str">
        <f t="shared" si="59"/>
        <v>Chicken strangof with mashed potato</v>
      </c>
      <c r="E805" s="109" t="s">
        <v>1507</v>
      </c>
      <c r="F805" s="109" t="s">
        <v>2079</v>
      </c>
      <c r="G805" s="41" t="s">
        <v>11</v>
      </c>
      <c r="H805" s="41" t="s">
        <v>1774</v>
      </c>
      <c r="I805" s="41"/>
      <c r="J805" s="41"/>
      <c r="K805" s="41" t="str">
        <f>IFERROR(VLOOKUP(L805,'Raw material list'!$A$3:$C$715,3,0),"")</f>
        <v>DRS5-3866</v>
      </c>
      <c r="L805" s="41" t="s">
        <v>64</v>
      </c>
      <c r="M805" s="40" t="s">
        <v>156</v>
      </c>
      <c r="N805" s="40" t="str">
        <f>VLOOKUP(L805,'Raw material list'!$A$3:$E$715,5,0)</f>
        <v xml:space="preserve">Gram </v>
      </c>
      <c r="O805" s="40">
        <v>300</v>
      </c>
      <c r="P805" s="299">
        <f t="shared" si="55"/>
        <v>300</v>
      </c>
      <c r="Q805" s="40">
        <v>100</v>
      </c>
      <c r="R805" s="40">
        <v>10</v>
      </c>
      <c r="S805" s="40"/>
      <c r="T805" s="105">
        <f t="shared" si="54"/>
        <v>30</v>
      </c>
      <c r="U805" s="105">
        <f t="shared" si="56"/>
        <v>30</v>
      </c>
      <c r="V805" s="104">
        <f>IFERROR(VLOOKUP(L805,'Raw material list'!$A$2:$S$3102,6,0),0)</f>
        <v>0.02</v>
      </c>
      <c r="W805" s="104">
        <f t="shared" si="57"/>
        <v>0.6</v>
      </c>
    </row>
    <row r="806" spans="1:23" hidden="1" x14ac:dyDescent="0.55000000000000004">
      <c r="A806" s="41" t="s">
        <v>1523</v>
      </c>
      <c r="B806" s="41" t="s">
        <v>35</v>
      </c>
      <c r="C806" s="41" t="s">
        <v>10</v>
      </c>
      <c r="D806" s="41" t="str">
        <f t="shared" si="59"/>
        <v>Chicken strangof with mashed potato</v>
      </c>
      <c r="E806" s="109" t="s">
        <v>1507</v>
      </c>
      <c r="F806" s="109" t="s">
        <v>2079</v>
      </c>
      <c r="G806" s="41" t="s">
        <v>11</v>
      </c>
      <c r="H806" s="41" t="s">
        <v>1774</v>
      </c>
      <c r="I806" s="41"/>
      <c r="J806" s="41"/>
      <c r="K806" s="41" t="str">
        <f>IFERROR(VLOOKUP(L806,'Raw material list'!$A$3:$C$715,3,0),"")</f>
        <v>TAP-00001</v>
      </c>
      <c r="L806" s="41" t="s">
        <v>1405</v>
      </c>
      <c r="M806" s="40" t="s">
        <v>206</v>
      </c>
      <c r="N806" s="40" t="str">
        <f>VLOOKUP(L806,'Raw material list'!$A$3:$E$715,5,0)</f>
        <v>Ml</v>
      </c>
      <c r="O806" s="40">
        <v>1200</v>
      </c>
      <c r="P806" s="299">
        <f t="shared" si="55"/>
        <v>1200</v>
      </c>
      <c r="Q806" s="40">
        <v>100</v>
      </c>
      <c r="R806" s="40">
        <v>10</v>
      </c>
      <c r="S806" s="40"/>
      <c r="T806" s="105">
        <f t="shared" si="54"/>
        <v>120</v>
      </c>
      <c r="U806" s="105">
        <f t="shared" si="56"/>
        <v>120</v>
      </c>
      <c r="V806" s="104">
        <f>IFERROR(VLOOKUP(L806,'Raw material list'!$A$2:$S$3102,6,0),0)</f>
        <v>8.0000000000000007E-5</v>
      </c>
      <c r="W806" s="104">
        <f t="shared" si="57"/>
        <v>9.6000000000000009E-3</v>
      </c>
    </row>
    <row r="807" spans="1:23" hidden="1" x14ac:dyDescent="0.55000000000000004">
      <c r="A807" s="41" t="s">
        <v>1523</v>
      </c>
      <c r="B807" s="41" t="s">
        <v>35</v>
      </c>
      <c r="C807" s="41" t="s">
        <v>10</v>
      </c>
      <c r="D807" s="41" t="str">
        <f t="shared" si="59"/>
        <v>Chicken strangof with mashed potato</v>
      </c>
      <c r="E807" s="109" t="s">
        <v>1507</v>
      </c>
      <c r="F807" s="109" t="s">
        <v>2079</v>
      </c>
      <c r="G807" s="41" t="s">
        <v>11</v>
      </c>
      <c r="H807" s="41" t="s">
        <v>1774</v>
      </c>
      <c r="I807" s="41"/>
      <c r="J807" s="41"/>
      <c r="K807" s="41" t="str">
        <f>IFERROR(VLOOKUP(L807,'Raw material list'!$A$3:$C$715,3,0),"")</f>
        <v>DRS5-59</v>
      </c>
      <c r="L807" s="41" t="s">
        <v>59</v>
      </c>
      <c r="M807" s="40" t="s">
        <v>156</v>
      </c>
      <c r="N807" s="40" t="str">
        <f>VLOOKUP(L807,'Raw material list'!$A$3:$E$715,5,0)</f>
        <v xml:space="preserve">Gram </v>
      </c>
      <c r="O807" s="40">
        <v>20</v>
      </c>
      <c r="P807" s="299">
        <f t="shared" si="55"/>
        <v>20</v>
      </c>
      <c r="Q807" s="40">
        <v>100</v>
      </c>
      <c r="R807" s="40">
        <v>10</v>
      </c>
      <c r="S807" s="40"/>
      <c r="T807" s="105">
        <f t="shared" si="54"/>
        <v>2</v>
      </c>
      <c r="U807" s="105">
        <f t="shared" si="56"/>
        <v>2</v>
      </c>
      <c r="V807" s="104">
        <f>IFERROR(VLOOKUP(L807,'Raw material list'!$A$2:$S$3102,6,0),0)</f>
        <v>1.4319999999999999E-2</v>
      </c>
      <c r="W807" s="104">
        <f t="shared" si="57"/>
        <v>2.8639999999999999E-2</v>
      </c>
    </row>
    <row r="808" spans="1:23" hidden="1" x14ac:dyDescent="0.55000000000000004">
      <c r="A808" s="41" t="s">
        <v>1523</v>
      </c>
      <c r="B808" s="41" t="s">
        <v>35</v>
      </c>
      <c r="C808" s="41" t="s">
        <v>10</v>
      </c>
      <c r="D808" s="41" t="str">
        <f t="shared" si="59"/>
        <v>Chicken strangof with mashed potato</v>
      </c>
      <c r="E808" s="109" t="s">
        <v>1507</v>
      </c>
      <c r="F808" s="109" t="s">
        <v>2079</v>
      </c>
      <c r="G808" s="41" t="s">
        <v>11</v>
      </c>
      <c r="H808" s="41" t="s">
        <v>1774</v>
      </c>
      <c r="I808" s="41"/>
      <c r="J808" s="41"/>
      <c r="K808" s="41" t="str">
        <f>IFERROR(VLOOKUP(L808,'Raw material list'!$A$3:$C$715,3,0),"")</f>
        <v>DRY2-1008</v>
      </c>
      <c r="L808" s="41" t="s">
        <v>57</v>
      </c>
      <c r="M808" s="40" t="s">
        <v>156</v>
      </c>
      <c r="N808" s="40" t="str">
        <f>VLOOKUP(L808,'Raw material list'!$A$3:$E$715,5,0)</f>
        <v xml:space="preserve">Gram </v>
      </c>
      <c r="O808" s="40">
        <v>20</v>
      </c>
      <c r="P808" s="299">
        <f t="shared" si="55"/>
        <v>20</v>
      </c>
      <c r="Q808" s="40">
        <v>100</v>
      </c>
      <c r="R808" s="40">
        <v>10</v>
      </c>
      <c r="S808" s="40"/>
      <c r="T808" s="105">
        <f t="shared" si="54"/>
        <v>2</v>
      </c>
      <c r="U808" s="105">
        <f t="shared" si="56"/>
        <v>2</v>
      </c>
      <c r="V808" s="104">
        <f>IFERROR(VLOOKUP(L808,'Raw material list'!$A$2:$S$3102,6,0),0)</f>
        <v>0.03</v>
      </c>
      <c r="W808" s="104">
        <f t="shared" si="57"/>
        <v>0.06</v>
      </c>
    </row>
    <row r="809" spans="1:23" hidden="1" x14ac:dyDescent="0.55000000000000004">
      <c r="A809" s="41" t="s">
        <v>1523</v>
      </c>
      <c r="B809" s="41" t="s">
        <v>35</v>
      </c>
      <c r="C809" s="41" t="s">
        <v>10</v>
      </c>
      <c r="D809" s="41" t="str">
        <f t="shared" si="59"/>
        <v>Chicken strangof with mashed potato</v>
      </c>
      <c r="E809" s="109" t="s">
        <v>1507</v>
      </c>
      <c r="F809" s="109" t="s">
        <v>2079</v>
      </c>
      <c r="G809" s="41" t="s">
        <v>11</v>
      </c>
      <c r="H809" s="41" t="s">
        <v>1774</v>
      </c>
      <c r="I809" s="41"/>
      <c r="J809" s="41"/>
      <c r="K809" s="41" t="str">
        <f>IFERROR(VLOOKUP(L809,'Raw material list'!$A$3:$C$715,3,0),"")</f>
        <v>DRS6-309</v>
      </c>
      <c r="L809" s="41" t="s">
        <v>61</v>
      </c>
      <c r="M809" s="40" t="s">
        <v>156</v>
      </c>
      <c r="N809" s="40" t="str">
        <f>VLOOKUP(L809,'Raw material list'!$A$3:$E$715,5,0)</f>
        <v xml:space="preserve">Gram </v>
      </c>
      <c r="O809" s="40">
        <v>2</v>
      </c>
      <c r="P809" s="299">
        <f t="shared" si="55"/>
        <v>2</v>
      </c>
      <c r="Q809" s="40">
        <v>100</v>
      </c>
      <c r="R809" s="40">
        <v>10</v>
      </c>
      <c r="S809" s="40"/>
      <c r="T809" s="105">
        <f t="shared" si="54"/>
        <v>0.2</v>
      </c>
      <c r="U809" s="105">
        <f t="shared" si="56"/>
        <v>0.2</v>
      </c>
      <c r="V809" s="104">
        <f>IFERROR(VLOOKUP(L809,'Raw material list'!$A$2:$S$3102,6,0),0)</f>
        <v>2.8000000000000001E-2</v>
      </c>
      <c r="W809" s="104">
        <f t="shared" si="57"/>
        <v>5.6000000000000008E-3</v>
      </c>
    </row>
    <row r="810" spans="1:23" hidden="1" x14ac:dyDescent="0.55000000000000004">
      <c r="A810" s="41" t="s">
        <v>1523</v>
      </c>
      <c r="B810" s="41" t="s">
        <v>35</v>
      </c>
      <c r="C810" s="41" t="s">
        <v>10</v>
      </c>
      <c r="D810" s="41" t="str">
        <f t="shared" si="59"/>
        <v>Chicken strangof with mashed potato</v>
      </c>
      <c r="E810" s="109" t="s">
        <v>1507</v>
      </c>
      <c r="F810" s="109" t="s">
        <v>2079</v>
      </c>
      <c r="G810" s="41" t="s">
        <v>11</v>
      </c>
      <c r="H810" s="41" t="s">
        <v>1774</v>
      </c>
      <c r="I810" s="41"/>
      <c r="J810" s="41"/>
      <c r="K810" s="41" t="str">
        <f>IFERROR(VLOOKUP(L810,'Raw material list'!$A$3:$C$715,3,0),"")</f>
        <v>DRS6-1674</v>
      </c>
      <c r="L810" s="41" t="s">
        <v>73</v>
      </c>
      <c r="M810" s="40" t="s">
        <v>156</v>
      </c>
      <c r="N810" s="40" t="str">
        <f>VLOOKUP(L810,'Raw material list'!$A$3:$E$715,5,0)</f>
        <v xml:space="preserve">Gram </v>
      </c>
      <c r="O810" s="40">
        <v>0.5</v>
      </c>
      <c r="P810" s="299">
        <f t="shared" si="55"/>
        <v>0.5</v>
      </c>
      <c r="Q810" s="40">
        <v>100</v>
      </c>
      <c r="R810" s="40">
        <v>10</v>
      </c>
      <c r="S810" s="40"/>
      <c r="T810" s="105">
        <f t="shared" si="54"/>
        <v>0.05</v>
      </c>
      <c r="U810" s="105">
        <f t="shared" si="56"/>
        <v>0.05</v>
      </c>
      <c r="V810" s="104">
        <f>IFERROR(VLOOKUP(L810,'Raw material list'!$A$2:$S$3102,6,0),0)</f>
        <v>1.2500000000000001E-2</v>
      </c>
      <c r="W810" s="104">
        <f t="shared" si="57"/>
        <v>6.2500000000000012E-4</v>
      </c>
    </row>
    <row r="811" spans="1:23" hidden="1" x14ac:dyDescent="0.55000000000000004">
      <c r="A811" s="41" t="s">
        <v>1529</v>
      </c>
      <c r="B811" s="41" t="s">
        <v>35</v>
      </c>
      <c r="C811" s="41" t="s">
        <v>10</v>
      </c>
      <c r="D811" s="41" t="s">
        <v>1528</v>
      </c>
      <c r="E811" s="58" t="s">
        <v>1535</v>
      </c>
      <c r="F811" s="58" t="s">
        <v>2081</v>
      </c>
      <c r="G811" s="41" t="s">
        <v>11</v>
      </c>
      <c r="H811" s="58" t="s">
        <v>1773</v>
      </c>
      <c r="I811" s="41"/>
      <c r="J811" s="41"/>
      <c r="K811" s="41" t="str">
        <f>IFERROR(VLOOKUP(L811,'Raw material list'!$A$3:$C$715,3,0),"")</f>
        <v>MET2-3558</v>
      </c>
      <c r="L811" s="41" t="s">
        <v>909</v>
      </c>
      <c r="M811" s="40" t="s">
        <v>156</v>
      </c>
      <c r="N811" s="40" t="str">
        <f>VLOOKUP(L811,'Raw material list'!$A$3:$E$715,5,0)</f>
        <v xml:space="preserve">Gram </v>
      </c>
      <c r="O811" s="40">
        <v>800</v>
      </c>
      <c r="P811" s="299">
        <f t="shared" si="55"/>
        <v>893.85474860335194</v>
      </c>
      <c r="Q811" s="40">
        <v>89.5</v>
      </c>
      <c r="R811" s="40">
        <v>10</v>
      </c>
      <c r="S811" s="40"/>
      <c r="T811" s="105">
        <f t="shared" si="54"/>
        <v>80</v>
      </c>
      <c r="U811" s="105">
        <f t="shared" si="56"/>
        <v>89.385474860335194</v>
      </c>
      <c r="V811" s="104">
        <f>IFERROR(VLOOKUP(L811,'Raw material list'!$A$2:$S$3102,6,0),0)</f>
        <v>8.7272727272727266E-2</v>
      </c>
      <c r="W811" s="104">
        <f t="shared" si="57"/>
        <v>7.8009141696292525</v>
      </c>
    </row>
    <row r="812" spans="1:23" hidden="1" x14ac:dyDescent="0.55000000000000004">
      <c r="A812" s="41" t="s">
        <v>1529</v>
      </c>
      <c r="B812" s="41" t="s">
        <v>35</v>
      </c>
      <c r="C812" s="41" t="s">
        <v>10</v>
      </c>
      <c r="D812" s="41" t="str">
        <f t="shared" ref="D812:D829" si="60">D811</f>
        <v>Beef okra stew with vermicelli rice</v>
      </c>
      <c r="E812" s="58" t="s">
        <v>1535</v>
      </c>
      <c r="F812" s="58" t="s">
        <v>2079</v>
      </c>
      <c r="G812" s="41" t="s">
        <v>11</v>
      </c>
      <c r="H812" s="58" t="s">
        <v>1773</v>
      </c>
      <c r="I812" s="41"/>
      <c r="J812" s="41"/>
      <c r="K812" s="41" t="str">
        <f>IFERROR(VLOOKUP(L812,'Raw material list'!$A$3:$C$715,3,0),"")</f>
        <v>DRS3-1813</v>
      </c>
      <c r="L812" s="41" t="s">
        <v>69</v>
      </c>
      <c r="M812" s="40" t="s">
        <v>206</v>
      </c>
      <c r="N812" s="40" t="str">
        <f>VLOOKUP(L812,'Raw material list'!$A$3:$E$715,5,0)</f>
        <v>Ml</v>
      </c>
      <c r="O812" s="40">
        <v>50</v>
      </c>
      <c r="P812" s="299">
        <f t="shared" si="55"/>
        <v>50</v>
      </c>
      <c r="Q812" s="40">
        <v>100</v>
      </c>
      <c r="R812" s="40">
        <v>10</v>
      </c>
      <c r="S812" s="40"/>
      <c r="T812" s="105">
        <f t="shared" si="54"/>
        <v>5</v>
      </c>
      <c r="U812" s="105">
        <f t="shared" si="56"/>
        <v>5</v>
      </c>
      <c r="V812" s="104">
        <f>IFERROR(VLOOKUP(L812,'Raw material list'!$A$2:$S$3102,6,0),0)</f>
        <v>8.0555555555555554E-3</v>
      </c>
      <c r="W812" s="104">
        <f t="shared" si="57"/>
        <v>4.0277777777777773E-2</v>
      </c>
    </row>
    <row r="813" spans="1:23" hidden="1" x14ac:dyDescent="0.55000000000000004">
      <c r="A813" s="41" t="s">
        <v>1529</v>
      </c>
      <c r="B813" s="41" t="s">
        <v>35</v>
      </c>
      <c r="C813" s="41" t="s">
        <v>10</v>
      </c>
      <c r="D813" s="41" t="str">
        <f t="shared" si="60"/>
        <v>Beef okra stew with vermicelli rice</v>
      </c>
      <c r="E813" s="58" t="s">
        <v>1535</v>
      </c>
      <c r="F813" s="58" t="s">
        <v>2079</v>
      </c>
      <c r="G813" s="41" t="s">
        <v>11</v>
      </c>
      <c r="H813" s="58" t="s">
        <v>1773</v>
      </c>
      <c r="I813" s="41"/>
      <c r="J813" s="41"/>
      <c r="K813" s="41" t="str">
        <f>IFERROR(VLOOKUP(L813,'Raw material list'!$A$3:$C$715,3,0),"")</f>
        <v>PRD1-4327</v>
      </c>
      <c r="L813" s="41" t="s">
        <v>39</v>
      </c>
      <c r="M813" s="40" t="s">
        <v>156</v>
      </c>
      <c r="N813" s="40" t="str">
        <f>VLOOKUP(L813,'Raw material list'!$A$3:$E$715,5,0)</f>
        <v xml:space="preserve">Gram </v>
      </c>
      <c r="O813" s="40">
        <v>15</v>
      </c>
      <c r="P813" s="299">
        <f t="shared" si="55"/>
        <v>18.072289156626507</v>
      </c>
      <c r="Q813" s="105">
        <v>83</v>
      </c>
      <c r="R813" s="40">
        <v>10</v>
      </c>
      <c r="S813" s="40"/>
      <c r="T813" s="105">
        <f t="shared" si="54"/>
        <v>1.5</v>
      </c>
      <c r="U813" s="105">
        <f t="shared" si="56"/>
        <v>1.8072289156626506</v>
      </c>
      <c r="V813" s="104">
        <f>IFERROR(VLOOKUP(L813,'Raw material list'!$A$2:$S$3102,6,0),0)</f>
        <v>1.2999999999999999E-2</v>
      </c>
      <c r="W813" s="104">
        <f t="shared" si="57"/>
        <v>2.3493975903614458E-2</v>
      </c>
    </row>
    <row r="814" spans="1:23" hidden="1" x14ac:dyDescent="0.55000000000000004">
      <c r="A814" s="41" t="s">
        <v>1529</v>
      </c>
      <c r="B814" s="41" t="s">
        <v>35</v>
      </c>
      <c r="C814" s="41" t="s">
        <v>10</v>
      </c>
      <c r="D814" s="41" t="str">
        <f t="shared" si="60"/>
        <v>Beef okra stew with vermicelli rice</v>
      </c>
      <c r="E814" s="58" t="s">
        <v>1535</v>
      </c>
      <c r="F814" s="58" t="s">
        <v>2079</v>
      </c>
      <c r="G814" s="41" t="s">
        <v>11</v>
      </c>
      <c r="H814" s="58" t="s">
        <v>1773</v>
      </c>
      <c r="I814" s="41"/>
      <c r="J814" s="41"/>
      <c r="K814" s="41" t="str">
        <f>IFERROR(VLOOKUP(L814,'Raw material list'!$A$3:$C$715,3,0),"")</f>
        <v>PRD1-4265</v>
      </c>
      <c r="L814" s="41" t="s">
        <v>38</v>
      </c>
      <c r="M814" s="40" t="s">
        <v>156</v>
      </c>
      <c r="N814" s="40" t="str">
        <f>VLOOKUP(L814,'Raw material list'!$A$3:$E$715,5,0)</f>
        <v xml:space="preserve">Gram </v>
      </c>
      <c r="O814" s="40">
        <v>150</v>
      </c>
      <c r="P814" s="299">
        <f t="shared" si="55"/>
        <v>176.47058823529412</v>
      </c>
      <c r="Q814" s="105">
        <v>85</v>
      </c>
      <c r="R814" s="40">
        <v>10</v>
      </c>
      <c r="S814" s="40"/>
      <c r="T814" s="105">
        <f t="shared" si="54"/>
        <v>15</v>
      </c>
      <c r="U814" s="105">
        <f t="shared" si="56"/>
        <v>17.647058823529413</v>
      </c>
      <c r="V814" s="104">
        <f>IFERROR(VLOOKUP(L814,'Raw material list'!$A$2:$S$3102,6,0),0)</f>
        <v>3.529411764705882E-3</v>
      </c>
      <c r="W814" s="104">
        <f t="shared" si="57"/>
        <v>6.228373702422145E-2</v>
      </c>
    </row>
    <row r="815" spans="1:23" hidden="1" x14ac:dyDescent="0.55000000000000004">
      <c r="A815" s="41" t="s">
        <v>1529</v>
      </c>
      <c r="B815" s="41" t="s">
        <v>35</v>
      </c>
      <c r="C815" s="41" t="s">
        <v>10</v>
      </c>
      <c r="D815" s="41" t="str">
        <f t="shared" si="60"/>
        <v>Beef okra stew with vermicelli rice</v>
      </c>
      <c r="E815" s="58" t="s">
        <v>1535</v>
      </c>
      <c r="F815" s="58" t="s">
        <v>2079</v>
      </c>
      <c r="G815" s="41" t="s">
        <v>11</v>
      </c>
      <c r="H815" s="58" t="s">
        <v>1773</v>
      </c>
      <c r="I815" s="41"/>
      <c r="J815" s="41"/>
      <c r="K815" s="41" t="str">
        <f>IFERROR(VLOOKUP(L815,'Raw material list'!$A$3:$C$715,3,0),"")</f>
        <v>PRD2-366</v>
      </c>
      <c r="L815" s="41" t="s">
        <v>129</v>
      </c>
      <c r="M815" s="40" t="s">
        <v>156</v>
      </c>
      <c r="N815" s="40" t="str">
        <f>VLOOKUP(L815,'Raw material list'!$A$3:$E$715,5,0)</f>
        <v xml:space="preserve">Gram </v>
      </c>
      <c r="O815" s="40">
        <v>1000</v>
      </c>
      <c r="P815" s="299">
        <f t="shared" si="55"/>
        <v>1000</v>
      </c>
      <c r="Q815" s="300">
        <v>100</v>
      </c>
      <c r="R815" s="40">
        <v>10</v>
      </c>
      <c r="S815" s="40"/>
      <c r="T815" s="105">
        <f t="shared" si="54"/>
        <v>100</v>
      </c>
      <c r="U815" s="105">
        <f t="shared" si="56"/>
        <v>100</v>
      </c>
      <c r="V815" s="104">
        <f>IFERROR(VLOOKUP(L815,'Raw material list'!$A$2:$S$3102,6,0),0)</f>
        <v>1.3125E-2</v>
      </c>
      <c r="W815" s="104">
        <f t="shared" si="57"/>
        <v>1.3125</v>
      </c>
    </row>
    <row r="816" spans="1:23" hidden="1" x14ac:dyDescent="0.55000000000000004">
      <c r="A816" s="41" t="s">
        <v>1529</v>
      </c>
      <c r="B816" s="41" t="s">
        <v>35</v>
      </c>
      <c r="C816" s="41" t="s">
        <v>10</v>
      </c>
      <c r="D816" s="41" t="str">
        <f t="shared" si="60"/>
        <v>Beef okra stew with vermicelli rice</v>
      </c>
      <c r="E816" s="58" t="s">
        <v>1535</v>
      </c>
      <c r="F816" s="58" t="s">
        <v>2079</v>
      </c>
      <c r="G816" s="41" t="s">
        <v>11</v>
      </c>
      <c r="H816" s="58" t="s">
        <v>1773</v>
      </c>
      <c r="I816" s="41"/>
      <c r="J816" s="41"/>
      <c r="K816" s="41" t="str">
        <f>IFERROR(VLOOKUP(L816,'Raw material list'!$A$3:$C$715,3,0),"")</f>
        <v>DRS1-607</v>
      </c>
      <c r="L816" s="41" t="s">
        <v>250</v>
      </c>
      <c r="M816" s="40" t="s">
        <v>156</v>
      </c>
      <c r="N816" s="40" t="str">
        <f>VLOOKUP(L816,'Raw material list'!$A$3:$E$715,5,0)</f>
        <v xml:space="preserve">Gram </v>
      </c>
      <c r="O816" s="40">
        <v>600</v>
      </c>
      <c r="P816" s="299">
        <f t="shared" si="55"/>
        <v>600</v>
      </c>
      <c r="Q816" s="40">
        <v>100</v>
      </c>
      <c r="R816" s="40">
        <v>10</v>
      </c>
      <c r="S816" s="40"/>
      <c r="T816" s="105">
        <f t="shared" si="54"/>
        <v>60</v>
      </c>
      <c r="U816" s="105">
        <f t="shared" si="56"/>
        <v>60</v>
      </c>
      <c r="V816" s="104">
        <f>IFERROR(VLOOKUP(L816,'Raw material list'!$A$2:$S$3102,6,0),0)</f>
        <v>5.8823529411764705E-3</v>
      </c>
      <c r="W816" s="104">
        <f t="shared" si="57"/>
        <v>0.3529411764705882</v>
      </c>
    </row>
    <row r="817" spans="1:23" hidden="1" x14ac:dyDescent="0.55000000000000004">
      <c r="A817" s="41" t="s">
        <v>1529</v>
      </c>
      <c r="B817" s="41" t="s">
        <v>35</v>
      </c>
      <c r="C817" s="41" t="s">
        <v>10</v>
      </c>
      <c r="D817" s="41" t="str">
        <f t="shared" si="60"/>
        <v>Beef okra stew with vermicelli rice</v>
      </c>
      <c r="E817" s="58" t="s">
        <v>1535</v>
      </c>
      <c r="F817" s="58" t="s">
        <v>2079</v>
      </c>
      <c r="G817" s="41" t="s">
        <v>11</v>
      </c>
      <c r="H817" s="58" t="s">
        <v>1773</v>
      </c>
      <c r="I817" s="41"/>
      <c r="J817" s="41"/>
      <c r="K817" s="41" t="str">
        <f>IFERROR(VLOOKUP(L817,'Raw material list'!$A$3:$C$715,3,0),"")</f>
        <v>TAP-00001</v>
      </c>
      <c r="L817" s="41" t="s">
        <v>1405</v>
      </c>
      <c r="M817" s="40" t="s">
        <v>206</v>
      </c>
      <c r="N817" s="40" t="str">
        <f>VLOOKUP(L817,'Raw material list'!$A$3:$E$715,5,0)</f>
        <v>Ml</v>
      </c>
      <c r="O817" s="40">
        <v>1000</v>
      </c>
      <c r="P817" s="299">
        <f t="shared" si="55"/>
        <v>1000</v>
      </c>
      <c r="Q817" s="40">
        <v>100</v>
      </c>
      <c r="R817" s="40">
        <v>10</v>
      </c>
      <c r="S817" s="40"/>
      <c r="T817" s="105">
        <f t="shared" si="54"/>
        <v>100</v>
      </c>
      <c r="U817" s="105">
        <f t="shared" si="56"/>
        <v>100</v>
      </c>
      <c r="V817" s="104">
        <f>IFERROR(VLOOKUP(L817,'Raw material list'!$A$2:$S$3102,6,0),0)</f>
        <v>8.0000000000000007E-5</v>
      </c>
      <c r="W817" s="104">
        <f t="shared" si="57"/>
        <v>8.0000000000000002E-3</v>
      </c>
    </row>
    <row r="818" spans="1:23" hidden="1" x14ac:dyDescent="0.55000000000000004">
      <c r="A818" s="41" t="s">
        <v>1529</v>
      </c>
      <c r="B818" s="41" t="s">
        <v>35</v>
      </c>
      <c r="C818" s="41" t="s">
        <v>10</v>
      </c>
      <c r="D818" s="41" t="str">
        <f t="shared" si="60"/>
        <v>Beef okra stew with vermicelli rice</v>
      </c>
      <c r="E818" s="58" t="s">
        <v>1535</v>
      </c>
      <c r="F818" s="58" t="s">
        <v>2079</v>
      </c>
      <c r="G818" s="41" t="s">
        <v>11</v>
      </c>
      <c r="H818" s="58" t="s">
        <v>1773</v>
      </c>
      <c r="I818" s="41"/>
      <c r="J818" s="41"/>
      <c r="K818" s="41" t="str">
        <f>IFERROR(VLOOKUP(L818,'Raw material list'!$A$3:$C$715,3,0),"")</f>
        <v>DRS6-537</v>
      </c>
      <c r="L818" s="41" t="s">
        <v>46</v>
      </c>
      <c r="M818" s="40" t="s">
        <v>156</v>
      </c>
      <c r="N818" s="40" t="str">
        <f>VLOOKUP(L818,'Raw material list'!$A$3:$E$715,5,0)</f>
        <v xml:space="preserve">Gram </v>
      </c>
      <c r="O818" s="40">
        <v>1</v>
      </c>
      <c r="P818" s="299">
        <f t="shared" si="55"/>
        <v>1</v>
      </c>
      <c r="Q818" s="40">
        <v>100</v>
      </c>
      <c r="R818" s="40">
        <v>10</v>
      </c>
      <c r="S818" s="40"/>
      <c r="T818" s="105">
        <f t="shared" si="54"/>
        <v>0.1</v>
      </c>
      <c r="U818" s="105">
        <f t="shared" si="56"/>
        <v>0.1</v>
      </c>
      <c r="V818" s="104">
        <f>IFERROR(VLOOKUP(L818,'Raw material list'!$A$2:$S$3102,6,0),0)</f>
        <v>3.5000000000000003E-2</v>
      </c>
      <c r="W818" s="104">
        <f t="shared" si="57"/>
        <v>3.5000000000000005E-3</v>
      </c>
    </row>
    <row r="819" spans="1:23" hidden="1" x14ac:dyDescent="0.55000000000000004">
      <c r="A819" s="41" t="s">
        <v>1529</v>
      </c>
      <c r="B819" s="41" t="s">
        <v>35</v>
      </c>
      <c r="C819" s="41" t="s">
        <v>10</v>
      </c>
      <c r="D819" s="41" t="str">
        <f t="shared" si="60"/>
        <v>Beef okra stew with vermicelli rice</v>
      </c>
      <c r="E819" s="58" t="s">
        <v>1535</v>
      </c>
      <c r="F819" s="58" t="s">
        <v>2079</v>
      </c>
      <c r="G819" s="41" t="s">
        <v>11</v>
      </c>
      <c r="H819" s="58" t="s">
        <v>1773</v>
      </c>
      <c r="I819" s="41"/>
      <c r="J819" s="41"/>
      <c r="K819" s="41" t="str">
        <f>IFERROR(VLOOKUP(L819,'Raw material list'!$A$3:$C$715,3,0),"")</f>
        <v>DRS6-733</v>
      </c>
      <c r="L819" s="41" t="s">
        <v>45</v>
      </c>
      <c r="M819" s="40" t="s">
        <v>156</v>
      </c>
      <c r="N819" s="40" t="str">
        <f>VLOOKUP(L819,'Raw material list'!$A$3:$E$715,5,0)</f>
        <v xml:space="preserve">Gram </v>
      </c>
      <c r="O819" s="40">
        <v>2</v>
      </c>
      <c r="P819" s="299">
        <f t="shared" si="55"/>
        <v>2</v>
      </c>
      <c r="Q819" s="40">
        <v>100</v>
      </c>
      <c r="R819" s="40">
        <v>10</v>
      </c>
      <c r="S819" s="40"/>
      <c r="T819" s="105">
        <f t="shared" si="54"/>
        <v>0.2</v>
      </c>
      <c r="U819" s="105">
        <f t="shared" si="56"/>
        <v>0.2</v>
      </c>
      <c r="V819" s="104">
        <f>IFERROR(VLOOKUP(L819,'Raw material list'!$A$2:$S$3102,6,0),0)</f>
        <v>2.8000000000000001E-2</v>
      </c>
      <c r="W819" s="104">
        <f t="shared" si="57"/>
        <v>5.6000000000000008E-3</v>
      </c>
    </row>
    <row r="820" spans="1:23" hidden="1" x14ac:dyDescent="0.55000000000000004">
      <c r="A820" s="41" t="s">
        <v>1529</v>
      </c>
      <c r="B820" s="41" t="s">
        <v>35</v>
      </c>
      <c r="C820" s="41" t="s">
        <v>10</v>
      </c>
      <c r="D820" s="41" t="str">
        <f t="shared" si="60"/>
        <v>Beef okra stew with vermicelli rice</v>
      </c>
      <c r="E820" s="58" t="s">
        <v>1535</v>
      </c>
      <c r="F820" s="58" t="s">
        <v>2079</v>
      </c>
      <c r="G820" s="41" t="s">
        <v>11</v>
      </c>
      <c r="H820" s="58" t="s">
        <v>1773</v>
      </c>
      <c r="I820" s="41"/>
      <c r="J820" s="41"/>
      <c r="K820" s="41" t="str">
        <f>IFERROR(VLOOKUP(L820,'Raw material list'!$A$3:$C$715,3,0),"")</f>
        <v>DRS6-266</v>
      </c>
      <c r="L820" s="41" t="s">
        <v>99</v>
      </c>
      <c r="M820" s="40" t="s">
        <v>156</v>
      </c>
      <c r="N820" s="40" t="str">
        <f>VLOOKUP(L820,'Raw material list'!$A$3:$E$715,5,0)</f>
        <v xml:space="preserve">Gram </v>
      </c>
      <c r="O820" s="40">
        <v>2</v>
      </c>
      <c r="P820" s="299">
        <f t="shared" si="55"/>
        <v>2</v>
      </c>
      <c r="Q820" s="40">
        <v>100</v>
      </c>
      <c r="R820" s="40">
        <v>10</v>
      </c>
      <c r="S820" s="40"/>
      <c r="T820" s="105">
        <f t="shared" si="54"/>
        <v>0.2</v>
      </c>
      <c r="U820" s="105">
        <f t="shared" si="56"/>
        <v>0.2</v>
      </c>
      <c r="V820" s="104">
        <f>IFERROR(VLOOKUP(L820,'Raw material list'!$A$2:$S$3102,6,0),0)</f>
        <v>1.4E-2</v>
      </c>
      <c r="W820" s="104">
        <f t="shared" si="57"/>
        <v>2.8000000000000004E-3</v>
      </c>
    </row>
    <row r="821" spans="1:23" hidden="1" x14ac:dyDescent="0.55000000000000004">
      <c r="A821" s="41" t="s">
        <v>1529</v>
      </c>
      <c r="B821" s="41" t="s">
        <v>35</v>
      </c>
      <c r="C821" s="41" t="s">
        <v>10</v>
      </c>
      <c r="D821" s="41" t="str">
        <f t="shared" si="60"/>
        <v>Beef okra stew with vermicelli rice</v>
      </c>
      <c r="E821" s="58" t="s">
        <v>1535</v>
      </c>
      <c r="F821" s="58" t="s">
        <v>2079</v>
      </c>
      <c r="G821" s="41" t="s">
        <v>11</v>
      </c>
      <c r="H821" s="58" t="s">
        <v>1773</v>
      </c>
      <c r="I821" s="41"/>
      <c r="J821" s="41"/>
      <c r="K821" s="41" t="str">
        <f>IFERROR(VLOOKUP(L821,'Raw material list'!$A$3:$C$715,3,0),"")</f>
        <v>PRD1-195</v>
      </c>
      <c r="L821" s="41" t="s">
        <v>90</v>
      </c>
      <c r="M821" s="40" t="s">
        <v>156</v>
      </c>
      <c r="N821" s="40" t="str">
        <f>VLOOKUP(L821,'Raw material list'!$A$3:$E$715,5,0)</f>
        <v xml:space="preserve">Gram </v>
      </c>
      <c r="O821" s="40">
        <v>40</v>
      </c>
      <c r="P821" s="299">
        <f t="shared" si="55"/>
        <v>93.749999999999986</v>
      </c>
      <c r="Q821" s="105">
        <v>42.666666666666671</v>
      </c>
      <c r="R821" s="40">
        <v>10</v>
      </c>
      <c r="S821" s="40"/>
      <c r="T821" s="105">
        <f t="shared" si="54"/>
        <v>4</v>
      </c>
      <c r="U821" s="105">
        <f t="shared" si="56"/>
        <v>9.3749999999999982</v>
      </c>
      <c r="V821" s="104">
        <f>IFERROR(VLOOKUP(L821,'Raw material list'!$A$2:$S$3102,6,0),0)</f>
        <v>9.3676814988290415E-3</v>
      </c>
      <c r="W821" s="104">
        <f t="shared" si="57"/>
        <v>8.7822014051522249E-2</v>
      </c>
    </row>
    <row r="822" spans="1:23" hidden="1" x14ac:dyDescent="0.55000000000000004">
      <c r="A822" s="41" t="s">
        <v>1529</v>
      </c>
      <c r="B822" s="41" t="s">
        <v>35</v>
      </c>
      <c r="C822" s="41" t="s">
        <v>10</v>
      </c>
      <c r="D822" s="41" t="str">
        <f t="shared" si="60"/>
        <v>Beef okra stew with vermicelli rice</v>
      </c>
      <c r="E822" s="58" t="s">
        <v>1535</v>
      </c>
      <c r="F822" s="58" t="s">
        <v>2079</v>
      </c>
      <c r="G822" s="41" t="s">
        <v>11</v>
      </c>
      <c r="H822" s="58" t="s">
        <v>1773</v>
      </c>
      <c r="I822" s="41"/>
      <c r="J822" s="41"/>
      <c r="K822" s="41" t="str">
        <f>IFERROR(VLOOKUP(L822,'Raw material list'!$A$3:$C$715,3,0),"")</f>
        <v>DRS1-3880</v>
      </c>
      <c r="L822" s="41" t="s">
        <v>1433</v>
      </c>
      <c r="M822" s="40" t="s">
        <v>156</v>
      </c>
      <c r="N822" s="40" t="str">
        <f>VLOOKUP(L822,'Raw material list'!$A$3:$E$715,5,0)</f>
        <v xml:space="preserve">Gram </v>
      </c>
      <c r="O822" s="40">
        <v>10</v>
      </c>
      <c r="P822" s="299">
        <f t="shared" si="55"/>
        <v>10</v>
      </c>
      <c r="Q822" s="300">
        <v>100</v>
      </c>
      <c r="R822" s="40">
        <v>10</v>
      </c>
      <c r="S822" s="40"/>
      <c r="T822" s="105">
        <f t="shared" si="54"/>
        <v>1</v>
      </c>
      <c r="U822" s="105">
        <f t="shared" si="56"/>
        <v>1</v>
      </c>
      <c r="V822" s="104">
        <f>IFERROR(VLOOKUP(L822,'Raw material list'!$A$2:$S$3102,6,0),0)</f>
        <v>5.0000000000000001E-4</v>
      </c>
      <c r="W822" s="104">
        <f t="shared" si="57"/>
        <v>5.0000000000000001E-4</v>
      </c>
    </row>
    <row r="823" spans="1:23" hidden="1" x14ac:dyDescent="0.55000000000000004">
      <c r="A823" s="41" t="s">
        <v>1529</v>
      </c>
      <c r="B823" s="41" t="s">
        <v>35</v>
      </c>
      <c r="C823" s="41" t="s">
        <v>10</v>
      </c>
      <c r="D823" s="41" t="str">
        <f t="shared" si="60"/>
        <v>Beef okra stew with vermicelli rice</v>
      </c>
      <c r="E823" s="58" t="s">
        <v>1535</v>
      </c>
      <c r="F823" s="58" t="s">
        <v>2079</v>
      </c>
      <c r="G823" s="41" t="s">
        <v>11</v>
      </c>
      <c r="H823" s="58" t="s">
        <v>1773</v>
      </c>
      <c r="I823" s="41"/>
      <c r="J823" s="41"/>
      <c r="K823" s="41" t="str">
        <f>IFERROR(VLOOKUP(L823,'Raw material list'!$A$3:$C$715,3,0),"")</f>
        <v>DRS1-3811</v>
      </c>
      <c r="L823" s="41" t="s">
        <v>40</v>
      </c>
      <c r="M823" s="40" t="s">
        <v>156</v>
      </c>
      <c r="N823" s="40" t="str">
        <f>VLOOKUP(L823,'Raw material list'!$A$3:$E$715,5,0)</f>
        <v xml:space="preserve">Gram </v>
      </c>
      <c r="O823" s="40">
        <v>10</v>
      </c>
      <c r="P823" s="299">
        <f t="shared" si="55"/>
        <v>10</v>
      </c>
      <c r="Q823" s="40">
        <v>100</v>
      </c>
      <c r="R823" s="40">
        <v>10</v>
      </c>
      <c r="S823" s="40"/>
      <c r="T823" s="105">
        <f t="shared" si="54"/>
        <v>1</v>
      </c>
      <c r="U823" s="105">
        <f t="shared" si="56"/>
        <v>1</v>
      </c>
      <c r="V823" s="104">
        <f>IFERROR(VLOOKUP(L823,'Raw material list'!$A$2:$S$3102,6,0),0)</f>
        <v>2.8475E-2</v>
      </c>
      <c r="W823" s="104">
        <f t="shared" si="57"/>
        <v>2.8475E-2</v>
      </c>
    </row>
    <row r="824" spans="1:23" hidden="1" x14ac:dyDescent="0.55000000000000004">
      <c r="A824" s="41" t="s">
        <v>1529</v>
      </c>
      <c r="B824" s="41" t="s">
        <v>35</v>
      </c>
      <c r="C824" s="41" t="s">
        <v>10</v>
      </c>
      <c r="D824" s="41" t="str">
        <f t="shared" si="60"/>
        <v>Beef okra stew with vermicelli rice</v>
      </c>
      <c r="E824" s="58" t="s">
        <v>1535</v>
      </c>
      <c r="F824" s="58" t="s">
        <v>2079</v>
      </c>
      <c r="G824" s="41" t="s">
        <v>11</v>
      </c>
      <c r="H824" s="58" t="s">
        <v>1773</v>
      </c>
      <c r="I824" s="41"/>
      <c r="J824" s="41"/>
      <c r="K824" s="41" t="str">
        <f>IFERROR(VLOOKUP(L824,'Raw material list'!$A$3:$C$715,3,0),"")</f>
        <v>DRS1-1747</v>
      </c>
      <c r="L824" s="41" t="s">
        <v>44</v>
      </c>
      <c r="M824" s="40" t="s">
        <v>156</v>
      </c>
      <c r="N824" s="40" t="str">
        <f>VLOOKUP(L824,'Raw material list'!$A$3:$E$715,5,0)</f>
        <v xml:space="preserve">Gram </v>
      </c>
      <c r="O824" s="40">
        <v>70</v>
      </c>
      <c r="P824" s="299">
        <f t="shared" si="55"/>
        <v>70</v>
      </c>
      <c r="Q824" s="40">
        <v>100</v>
      </c>
      <c r="R824" s="40">
        <v>10</v>
      </c>
      <c r="S824" s="40"/>
      <c r="T824" s="105">
        <f t="shared" si="54"/>
        <v>7</v>
      </c>
      <c r="U824" s="105">
        <f t="shared" si="56"/>
        <v>7</v>
      </c>
      <c r="V824" s="104">
        <f>IFERROR(VLOOKUP(L824,'Raw material list'!$A$2:$S$3102,6,0),0)</f>
        <v>5.185185185185185E-3</v>
      </c>
      <c r="W824" s="104">
        <f t="shared" si="57"/>
        <v>3.6296296296296299E-2</v>
      </c>
    </row>
    <row r="825" spans="1:23" hidden="1" x14ac:dyDescent="0.55000000000000004">
      <c r="A825" s="41" t="s">
        <v>1529</v>
      </c>
      <c r="B825" s="41" t="s">
        <v>35</v>
      </c>
      <c r="C825" s="41" t="s">
        <v>10</v>
      </c>
      <c r="D825" s="41" t="str">
        <f t="shared" si="60"/>
        <v>Beef okra stew with vermicelli rice</v>
      </c>
      <c r="E825" s="58" t="s">
        <v>1535</v>
      </c>
      <c r="F825" s="58" t="s">
        <v>2079</v>
      </c>
      <c r="G825" s="41" t="s">
        <v>11</v>
      </c>
      <c r="H825" s="58" t="s">
        <v>1773</v>
      </c>
      <c r="I825" s="41"/>
      <c r="J825" s="41"/>
      <c r="K825" s="41" t="str">
        <f>IFERROR(VLOOKUP(L825,'Raw material list'!$A$3:$C$715,3,0),"")</f>
        <v>DRS2-3628</v>
      </c>
      <c r="L825" s="41" t="s">
        <v>94</v>
      </c>
      <c r="M825" s="40" t="s">
        <v>156</v>
      </c>
      <c r="N825" s="40" t="str">
        <f>VLOOKUP(L825,'Raw material list'!$A$3:$E$715,5,0)</f>
        <v xml:space="preserve">Gram </v>
      </c>
      <c r="O825" s="40">
        <v>80</v>
      </c>
      <c r="P825" s="299">
        <f t="shared" si="55"/>
        <v>80</v>
      </c>
      <c r="Q825" s="40">
        <v>100</v>
      </c>
      <c r="R825" s="40">
        <v>10</v>
      </c>
      <c r="S825" s="40"/>
      <c r="T825" s="105">
        <f t="shared" si="54"/>
        <v>8</v>
      </c>
      <c r="U825" s="105">
        <f t="shared" si="56"/>
        <v>8</v>
      </c>
      <c r="V825" s="104">
        <f>IFERROR(VLOOKUP(L825,'Raw material list'!$A$2:$S$3102,6,0),0)</f>
        <v>1.1066666666666667E-2</v>
      </c>
      <c r="W825" s="104">
        <f t="shared" si="57"/>
        <v>8.8533333333333339E-2</v>
      </c>
    </row>
    <row r="826" spans="1:23" hidden="1" x14ac:dyDescent="0.55000000000000004">
      <c r="A826" s="41" t="s">
        <v>1529</v>
      </c>
      <c r="B826" s="41" t="s">
        <v>35</v>
      </c>
      <c r="C826" s="41" t="s">
        <v>10</v>
      </c>
      <c r="D826" s="41" t="str">
        <f t="shared" si="60"/>
        <v>Beef okra stew with vermicelli rice</v>
      </c>
      <c r="E826" s="58" t="s">
        <v>1535</v>
      </c>
      <c r="F826" s="58" t="s">
        <v>2079</v>
      </c>
      <c r="G826" s="41" t="s">
        <v>11</v>
      </c>
      <c r="H826" s="58" t="s">
        <v>1773</v>
      </c>
      <c r="I826" s="41"/>
      <c r="J826" s="41"/>
      <c r="K826" s="41" t="str">
        <f>IFERROR(VLOOKUP(L826,'Raw material list'!$A$3:$C$715,3,0),"")</f>
        <v>DRS4-498</v>
      </c>
      <c r="L826" s="41" t="s">
        <v>72</v>
      </c>
      <c r="M826" s="40" t="s">
        <v>156</v>
      </c>
      <c r="N826" s="40" t="str">
        <f>VLOOKUP(L826,'Raw material list'!$A$3:$E$715,5,0)</f>
        <v xml:space="preserve">Gram </v>
      </c>
      <c r="O826" s="40">
        <v>1000</v>
      </c>
      <c r="P826" s="299">
        <f t="shared" si="55"/>
        <v>1000</v>
      </c>
      <c r="Q826" s="40">
        <v>100</v>
      </c>
      <c r="R826" s="40">
        <v>10</v>
      </c>
      <c r="S826" s="40"/>
      <c r="T826" s="105">
        <f t="shared" si="54"/>
        <v>100</v>
      </c>
      <c r="U826" s="105">
        <f t="shared" si="56"/>
        <v>100</v>
      </c>
      <c r="V826" s="104">
        <f>IFERROR(VLOOKUP(L826,'Raw material list'!$A$2:$S$3102,6,0),0)</f>
        <v>5.7499999999999999E-3</v>
      </c>
      <c r="W826" s="104">
        <f t="shared" si="57"/>
        <v>0.57499999999999996</v>
      </c>
    </row>
    <row r="827" spans="1:23" hidden="1" x14ac:dyDescent="0.55000000000000004">
      <c r="A827" s="41" t="s">
        <v>1529</v>
      </c>
      <c r="B827" s="41" t="s">
        <v>35</v>
      </c>
      <c r="C827" s="41" t="s">
        <v>10</v>
      </c>
      <c r="D827" s="41" t="str">
        <f t="shared" si="60"/>
        <v>Beef okra stew with vermicelli rice</v>
      </c>
      <c r="E827" s="58" t="s">
        <v>1535</v>
      </c>
      <c r="F827" s="58" t="s">
        <v>2079</v>
      </c>
      <c r="G827" s="41" t="s">
        <v>11</v>
      </c>
      <c r="H827" s="58" t="s">
        <v>1773</v>
      </c>
      <c r="I827" s="41"/>
      <c r="J827" s="41"/>
      <c r="K827" s="41" t="str">
        <f>IFERROR(VLOOKUP(L827,'Raw material list'!$A$3:$C$715,3,0),"")</f>
        <v>DRS1-3880</v>
      </c>
      <c r="L827" s="41" t="s">
        <v>1433</v>
      </c>
      <c r="M827" s="40" t="s">
        <v>156</v>
      </c>
      <c r="N827" s="40" t="str">
        <f>VLOOKUP(L827,'Raw material list'!$A$3:$E$715,5,0)</f>
        <v xml:space="preserve">Gram </v>
      </c>
      <c r="O827" s="40">
        <v>10</v>
      </c>
      <c r="P827" s="299">
        <f t="shared" si="55"/>
        <v>10</v>
      </c>
      <c r="Q827" s="40">
        <v>100</v>
      </c>
      <c r="R827" s="40">
        <v>10</v>
      </c>
      <c r="S827" s="40"/>
      <c r="T827" s="105">
        <f t="shared" si="54"/>
        <v>1</v>
      </c>
      <c r="U827" s="105">
        <f t="shared" si="56"/>
        <v>1</v>
      </c>
      <c r="V827" s="104">
        <f>IFERROR(VLOOKUP(L827,'Raw material list'!$A$2:$S$3102,6,0),0)</f>
        <v>5.0000000000000001E-4</v>
      </c>
      <c r="W827" s="104">
        <f t="shared" si="57"/>
        <v>5.0000000000000001E-4</v>
      </c>
    </row>
    <row r="828" spans="1:23" hidden="1" x14ac:dyDescent="0.55000000000000004">
      <c r="A828" s="41" t="s">
        <v>1529</v>
      </c>
      <c r="B828" s="41" t="s">
        <v>35</v>
      </c>
      <c r="C828" s="41" t="s">
        <v>10</v>
      </c>
      <c r="D828" s="41" t="str">
        <f t="shared" si="60"/>
        <v>Beef okra stew with vermicelli rice</v>
      </c>
      <c r="E828" s="58" t="s">
        <v>1535</v>
      </c>
      <c r="F828" s="58" t="s">
        <v>2079</v>
      </c>
      <c r="G828" s="41" t="s">
        <v>11</v>
      </c>
      <c r="H828" s="58" t="s">
        <v>1773</v>
      </c>
      <c r="I828" s="41"/>
      <c r="J828" s="41"/>
      <c r="K828" s="41" t="str">
        <f>IFERROR(VLOOKUP(L828,'Raw material list'!$A$3:$C$715,3,0),"")</f>
        <v>DRS3-1813</v>
      </c>
      <c r="L828" s="41" t="s">
        <v>69</v>
      </c>
      <c r="M828" s="40" t="s">
        <v>206</v>
      </c>
      <c r="N828" s="40" t="str">
        <f>VLOOKUP(L828,'Raw material list'!$A$3:$E$715,5,0)</f>
        <v>Ml</v>
      </c>
      <c r="O828" s="40">
        <v>40</v>
      </c>
      <c r="P828" s="299">
        <f t="shared" si="55"/>
        <v>40</v>
      </c>
      <c r="Q828" s="40">
        <v>100</v>
      </c>
      <c r="R828" s="40">
        <v>10</v>
      </c>
      <c r="S828" s="40"/>
      <c r="T828" s="105">
        <f t="shared" si="54"/>
        <v>4</v>
      </c>
      <c r="U828" s="105">
        <f t="shared" si="56"/>
        <v>4</v>
      </c>
      <c r="V828" s="104">
        <f>IFERROR(VLOOKUP(L828,'Raw material list'!$A$2:$S$3102,6,0),0)</f>
        <v>8.0555555555555554E-3</v>
      </c>
      <c r="W828" s="104">
        <f t="shared" si="57"/>
        <v>3.2222222222222222E-2</v>
      </c>
    </row>
    <row r="829" spans="1:23" hidden="1" x14ac:dyDescent="0.55000000000000004">
      <c r="A829" s="41" t="s">
        <v>1529</v>
      </c>
      <c r="B829" s="41" t="s">
        <v>35</v>
      </c>
      <c r="C829" s="41" t="s">
        <v>10</v>
      </c>
      <c r="D829" s="41" t="str">
        <f t="shared" si="60"/>
        <v>Beef okra stew with vermicelli rice</v>
      </c>
      <c r="E829" s="58" t="s">
        <v>1535</v>
      </c>
      <c r="F829" s="58" t="s">
        <v>2079</v>
      </c>
      <c r="G829" s="41" t="s">
        <v>11</v>
      </c>
      <c r="H829" s="58" t="s">
        <v>1773</v>
      </c>
      <c r="I829" s="41"/>
      <c r="J829" s="41"/>
      <c r="K829" s="41" t="str">
        <f>IFERROR(VLOOKUP(L829,'Raw material list'!$A$3:$C$715,3,0),"")</f>
        <v>TAP-00001</v>
      </c>
      <c r="L829" s="41" t="s">
        <v>1405</v>
      </c>
      <c r="M829" s="40" t="s">
        <v>206</v>
      </c>
      <c r="N829" s="40" t="str">
        <f>VLOOKUP(L829,'Raw material list'!$A$3:$E$715,5,0)</f>
        <v>Ml</v>
      </c>
      <c r="O829" s="40">
        <v>1600</v>
      </c>
      <c r="P829" s="299">
        <f t="shared" si="55"/>
        <v>1600</v>
      </c>
      <c r="Q829" s="40">
        <v>100</v>
      </c>
      <c r="R829" s="40">
        <v>10</v>
      </c>
      <c r="S829" s="40"/>
      <c r="T829" s="105">
        <f t="shared" si="54"/>
        <v>160</v>
      </c>
      <c r="U829" s="105">
        <f t="shared" si="56"/>
        <v>160</v>
      </c>
      <c r="V829" s="104">
        <f>IFERROR(VLOOKUP(L829,'Raw material list'!$A$2:$S$3102,6,0),0)</f>
        <v>8.0000000000000007E-5</v>
      </c>
      <c r="W829" s="104">
        <f t="shared" si="57"/>
        <v>1.2800000000000001E-2</v>
      </c>
    </row>
    <row r="830" spans="1:23" hidden="1" x14ac:dyDescent="0.55000000000000004">
      <c r="A830" s="41" t="s">
        <v>1530</v>
      </c>
      <c r="B830" s="41" t="s">
        <v>35</v>
      </c>
      <c r="C830" s="41" t="s">
        <v>10</v>
      </c>
      <c r="D830" s="41" t="s">
        <v>1524</v>
      </c>
      <c r="E830" s="58" t="s">
        <v>1535</v>
      </c>
      <c r="F830" s="58" t="s">
        <v>2081</v>
      </c>
      <c r="G830" s="41" t="s">
        <v>11</v>
      </c>
      <c r="H830" s="58" t="s">
        <v>1773</v>
      </c>
      <c r="I830" s="41"/>
      <c r="J830" s="41"/>
      <c r="K830" s="41" t="str">
        <f>IFERROR(VLOOKUP(L830,'Raw material list'!$A$3:$C$715,3,0),"")</f>
        <v>PLT2-3278</v>
      </c>
      <c r="L830" s="41" t="s">
        <v>80</v>
      </c>
      <c r="M830" s="40" t="s">
        <v>156</v>
      </c>
      <c r="N830" s="40" t="str">
        <f>VLOOKUP(L830,'Raw material list'!$A$3:$E$715,5,0)</f>
        <v xml:space="preserve">Gram </v>
      </c>
      <c r="O830" s="40">
        <v>1200</v>
      </c>
      <c r="P830" s="299">
        <f t="shared" si="55"/>
        <v>1574.803149606299</v>
      </c>
      <c r="Q830" s="40">
        <v>76.2</v>
      </c>
      <c r="R830" s="40">
        <v>10</v>
      </c>
      <c r="S830" s="40"/>
      <c r="T830" s="105">
        <f t="shared" si="54"/>
        <v>120</v>
      </c>
      <c r="U830" s="105">
        <f t="shared" si="56"/>
        <v>157.4803149606299</v>
      </c>
      <c r="V830" s="104">
        <f>IFERROR(VLOOKUP(L830,'Raw material list'!$A$2:$S$3102,6,0),0)</f>
        <v>3.0357142857142853E-2</v>
      </c>
      <c r="W830" s="104">
        <f t="shared" si="57"/>
        <v>4.7806524184476924</v>
      </c>
    </row>
    <row r="831" spans="1:23" hidden="1" x14ac:dyDescent="0.55000000000000004">
      <c r="A831" s="41" t="s">
        <v>1530</v>
      </c>
      <c r="B831" s="41" t="s">
        <v>35</v>
      </c>
      <c r="C831" s="41" t="s">
        <v>10</v>
      </c>
      <c r="D831" s="41" t="str">
        <f t="shared" ref="D831:D849" si="61">D830</f>
        <v>Grilled Chicken Gravy Sauce and white Rice</v>
      </c>
      <c r="E831" s="58" t="s">
        <v>1535</v>
      </c>
      <c r="F831" s="58" t="s">
        <v>2079</v>
      </c>
      <c r="G831" s="41" t="s">
        <v>11</v>
      </c>
      <c r="H831" s="58" t="s">
        <v>1773</v>
      </c>
      <c r="I831" s="41"/>
      <c r="J831" s="41"/>
      <c r="K831" s="41" t="str">
        <f>IFERROR(VLOOKUP(L831,'Raw material list'!$A$3:$C$715,3,0),"")</f>
        <v>DRY2-1008</v>
      </c>
      <c r="L831" s="41" t="s">
        <v>57</v>
      </c>
      <c r="M831" s="40" t="s">
        <v>156</v>
      </c>
      <c r="N831" s="40" t="str">
        <f>VLOOKUP(L831,'Raw material list'!$A$3:$E$715,5,0)</f>
        <v xml:space="preserve">Gram </v>
      </c>
      <c r="O831" s="40">
        <v>60</v>
      </c>
      <c r="P831" s="299">
        <f t="shared" si="55"/>
        <v>60</v>
      </c>
      <c r="Q831" s="40">
        <v>100</v>
      </c>
      <c r="R831" s="40">
        <v>10</v>
      </c>
      <c r="S831" s="40"/>
      <c r="T831" s="105">
        <f t="shared" si="54"/>
        <v>6</v>
      </c>
      <c r="U831" s="105">
        <f t="shared" si="56"/>
        <v>6</v>
      </c>
      <c r="V831" s="104">
        <f>IFERROR(VLOOKUP(L831,'Raw material list'!$A$2:$S$3102,6,0),0)</f>
        <v>0.03</v>
      </c>
      <c r="W831" s="104">
        <f t="shared" si="57"/>
        <v>0.18</v>
      </c>
    </row>
    <row r="832" spans="1:23" hidden="1" x14ac:dyDescent="0.55000000000000004">
      <c r="A832" s="41" t="s">
        <v>1530</v>
      </c>
      <c r="B832" s="41" t="s">
        <v>35</v>
      </c>
      <c r="C832" s="41" t="s">
        <v>10</v>
      </c>
      <c r="D832" s="41" t="str">
        <f t="shared" si="61"/>
        <v>Grilled Chicken Gravy Sauce and white Rice</v>
      </c>
      <c r="E832" s="58" t="s">
        <v>1535</v>
      </c>
      <c r="F832" s="58" t="s">
        <v>2079</v>
      </c>
      <c r="G832" s="41" t="s">
        <v>11</v>
      </c>
      <c r="H832" s="58" t="s">
        <v>1773</v>
      </c>
      <c r="I832" s="41"/>
      <c r="J832" s="41"/>
      <c r="K832" s="41" t="str">
        <f>IFERROR(VLOOKUP(L832,'Raw material list'!$A$3:$C$715,3,0),"")</f>
        <v>PRD1-4265</v>
      </c>
      <c r="L832" s="41" t="s">
        <v>38</v>
      </c>
      <c r="M832" s="40" t="s">
        <v>156</v>
      </c>
      <c r="N832" s="40" t="str">
        <f>VLOOKUP(L832,'Raw material list'!$A$3:$E$715,5,0)</f>
        <v xml:space="preserve">Gram </v>
      </c>
      <c r="O832" s="40">
        <v>30</v>
      </c>
      <c r="P832" s="299">
        <f t="shared" si="55"/>
        <v>35.294117647058826</v>
      </c>
      <c r="Q832" s="105">
        <v>85</v>
      </c>
      <c r="R832" s="40">
        <v>10</v>
      </c>
      <c r="S832" s="40"/>
      <c r="T832" s="105">
        <f t="shared" si="54"/>
        <v>3</v>
      </c>
      <c r="U832" s="105">
        <f t="shared" si="56"/>
        <v>3.5294117647058827</v>
      </c>
      <c r="V832" s="104">
        <f>IFERROR(VLOOKUP(L832,'Raw material list'!$A$2:$S$3102,6,0),0)</f>
        <v>3.529411764705882E-3</v>
      </c>
      <c r="W832" s="104">
        <f t="shared" si="57"/>
        <v>1.2456747404844291E-2</v>
      </c>
    </row>
    <row r="833" spans="1:23" hidden="1" x14ac:dyDescent="0.55000000000000004">
      <c r="A833" s="41" t="s">
        <v>1530</v>
      </c>
      <c r="B833" s="41" t="s">
        <v>35</v>
      </c>
      <c r="C833" s="41" t="s">
        <v>10</v>
      </c>
      <c r="D833" s="41" t="str">
        <f t="shared" si="61"/>
        <v>Grilled Chicken Gravy Sauce and white Rice</v>
      </c>
      <c r="E833" s="58" t="s">
        <v>1535</v>
      </c>
      <c r="F833" s="58" t="s">
        <v>2079</v>
      </c>
      <c r="G833" s="41" t="s">
        <v>11</v>
      </c>
      <c r="H833" s="58" t="s">
        <v>1773</v>
      </c>
      <c r="I833" s="41"/>
      <c r="J833" s="41"/>
      <c r="K833" s="41" t="str">
        <f>IFERROR(VLOOKUP(L833,'Raw material list'!$A$3:$C$715,3,0),"")</f>
        <v>PRD1-4327</v>
      </c>
      <c r="L833" s="41" t="s">
        <v>39</v>
      </c>
      <c r="M833" s="40" t="s">
        <v>156</v>
      </c>
      <c r="N833" s="40" t="str">
        <f>VLOOKUP(L833,'Raw material list'!$A$3:$E$715,5,0)</f>
        <v xml:space="preserve">Gram </v>
      </c>
      <c r="O833" s="40">
        <v>5</v>
      </c>
      <c r="P833" s="299">
        <f t="shared" si="55"/>
        <v>6.024096385542169</v>
      </c>
      <c r="Q833" s="105">
        <v>83</v>
      </c>
      <c r="R833" s="40">
        <v>10</v>
      </c>
      <c r="S833" s="40"/>
      <c r="T833" s="105">
        <f t="shared" si="54"/>
        <v>0.5</v>
      </c>
      <c r="U833" s="105">
        <f t="shared" si="56"/>
        <v>0.60240963855421692</v>
      </c>
      <c r="V833" s="104">
        <f>IFERROR(VLOOKUP(L833,'Raw material list'!$A$2:$S$3102,6,0),0)</f>
        <v>1.2999999999999999E-2</v>
      </c>
      <c r="W833" s="104">
        <f t="shared" si="57"/>
        <v>7.8313253012048199E-3</v>
      </c>
    </row>
    <row r="834" spans="1:23" hidden="1" x14ac:dyDescent="0.55000000000000004">
      <c r="A834" s="41" t="s">
        <v>1530</v>
      </c>
      <c r="B834" s="41" t="s">
        <v>35</v>
      </c>
      <c r="C834" s="41" t="s">
        <v>10</v>
      </c>
      <c r="D834" s="41" t="str">
        <f t="shared" si="61"/>
        <v>Grilled Chicken Gravy Sauce and white Rice</v>
      </c>
      <c r="E834" s="58" t="s">
        <v>1535</v>
      </c>
      <c r="F834" s="58" t="s">
        <v>2079</v>
      </c>
      <c r="G834" s="41" t="s">
        <v>11</v>
      </c>
      <c r="H834" s="58" t="s">
        <v>1773</v>
      </c>
      <c r="I834" s="41"/>
      <c r="J834" s="41"/>
      <c r="K834" s="41" t="str">
        <f>IFERROR(VLOOKUP(L834,'Raw material list'!$A$3:$C$715,3,0),"")</f>
        <v>TAP-00001</v>
      </c>
      <c r="L834" s="41" t="s">
        <v>1405</v>
      </c>
      <c r="M834" s="40" t="s">
        <v>206</v>
      </c>
      <c r="N834" s="40" t="str">
        <f>VLOOKUP(L834,'Raw material list'!$A$3:$E$715,5,0)</f>
        <v>Ml</v>
      </c>
      <c r="O834" s="40">
        <v>1000</v>
      </c>
      <c r="P834" s="299">
        <f t="shared" si="55"/>
        <v>1000</v>
      </c>
      <c r="Q834" s="300">
        <v>100</v>
      </c>
      <c r="R834" s="40">
        <v>10</v>
      </c>
      <c r="S834" s="40"/>
      <c r="T834" s="105">
        <f t="shared" si="54"/>
        <v>100</v>
      </c>
      <c r="U834" s="105">
        <f t="shared" si="56"/>
        <v>100</v>
      </c>
      <c r="V834" s="104">
        <f>IFERROR(VLOOKUP(L834,'Raw material list'!$A$2:$S$3102,6,0),0)</f>
        <v>8.0000000000000007E-5</v>
      </c>
      <c r="W834" s="104">
        <f t="shared" si="57"/>
        <v>8.0000000000000002E-3</v>
      </c>
    </row>
    <row r="835" spans="1:23" hidden="1" x14ac:dyDescent="0.55000000000000004">
      <c r="A835" s="41" t="s">
        <v>1530</v>
      </c>
      <c r="B835" s="41" t="s">
        <v>35</v>
      </c>
      <c r="C835" s="41" t="s">
        <v>10</v>
      </c>
      <c r="D835" s="41" t="str">
        <f t="shared" si="61"/>
        <v>Grilled Chicken Gravy Sauce and white Rice</v>
      </c>
      <c r="E835" s="58" t="s">
        <v>1535</v>
      </c>
      <c r="F835" s="58" t="s">
        <v>2079</v>
      </c>
      <c r="G835" s="41" t="s">
        <v>11</v>
      </c>
      <c r="H835" s="58" t="s">
        <v>1773</v>
      </c>
      <c r="I835" s="41"/>
      <c r="J835" s="41"/>
      <c r="K835" s="41" t="str">
        <f>IFERROR(VLOOKUP(L835,'Raw material list'!$A$3:$C$715,3,0),"")</f>
        <v>DRS1-3811</v>
      </c>
      <c r="L835" s="41" t="s">
        <v>40</v>
      </c>
      <c r="M835" s="40" t="s">
        <v>156</v>
      </c>
      <c r="N835" s="40" t="str">
        <f>VLOOKUP(L835,'Raw material list'!$A$3:$E$715,5,0)</f>
        <v xml:space="preserve">Gram </v>
      </c>
      <c r="O835" s="40">
        <v>10</v>
      </c>
      <c r="P835" s="299">
        <f t="shared" si="55"/>
        <v>10</v>
      </c>
      <c r="Q835" s="40">
        <v>100</v>
      </c>
      <c r="R835" s="40">
        <v>10</v>
      </c>
      <c r="S835" s="40"/>
      <c r="T835" s="105">
        <f t="shared" si="54"/>
        <v>1</v>
      </c>
      <c r="U835" s="105">
        <f t="shared" si="56"/>
        <v>1</v>
      </c>
      <c r="V835" s="104">
        <f>IFERROR(VLOOKUP(L835,'Raw material list'!$A$2:$S$3102,6,0),0)</f>
        <v>2.8475E-2</v>
      </c>
      <c r="W835" s="104">
        <f t="shared" si="57"/>
        <v>2.8475E-2</v>
      </c>
    </row>
    <row r="836" spans="1:23" hidden="1" x14ac:dyDescent="0.55000000000000004">
      <c r="A836" s="41" t="s">
        <v>1530</v>
      </c>
      <c r="B836" s="41" t="s">
        <v>35</v>
      </c>
      <c r="C836" s="41" t="s">
        <v>10</v>
      </c>
      <c r="D836" s="41" t="str">
        <f t="shared" si="61"/>
        <v>Grilled Chicken Gravy Sauce and white Rice</v>
      </c>
      <c r="E836" s="58" t="s">
        <v>1535</v>
      </c>
      <c r="F836" s="58" t="s">
        <v>2079</v>
      </c>
      <c r="G836" s="41" t="s">
        <v>11</v>
      </c>
      <c r="H836" s="58" t="s">
        <v>1773</v>
      </c>
      <c r="I836" s="41"/>
      <c r="J836" s="41"/>
      <c r="K836" s="41" t="str">
        <f>IFERROR(VLOOKUP(L836,'Raw material list'!$A$3:$C$715,3,0),"")</f>
        <v>DRS1-3357</v>
      </c>
      <c r="L836" s="41" t="s">
        <v>316</v>
      </c>
      <c r="M836" s="40" t="s">
        <v>156</v>
      </c>
      <c r="N836" s="40" t="str">
        <f>VLOOKUP(L836,'Raw material list'!$A$3:$E$715,5,0)</f>
        <v xml:space="preserve">Gram </v>
      </c>
      <c r="O836" s="40">
        <v>50</v>
      </c>
      <c r="P836" s="299">
        <f t="shared" si="55"/>
        <v>50</v>
      </c>
      <c r="Q836" s="40">
        <v>100</v>
      </c>
      <c r="R836" s="40">
        <v>10</v>
      </c>
      <c r="S836" s="40"/>
      <c r="T836" s="105">
        <f t="shared" si="54"/>
        <v>5</v>
      </c>
      <c r="U836" s="105">
        <f t="shared" si="56"/>
        <v>5</v>
      </c>
      <c r="V836" s="104">
        <f>IFERROR(VLOOKUP(L836,'Raw material list'!$A$2:$S$3102,6,0),0)</f>
        <v>6.8440000000000001E-2</v>
      </c>
      <c r="W836" s="104">
        <f t="shared" si="57"/>
        <v>0.3422</v>
      </c>
    </row>
    <row r="837" spans="1:23" hidden="1" x14ac:dyDescent="0.55000000000000004">
      <c r="A837" s="41" t="s">
        <v>1530</v>
      </c>
      <c r="B837" s="41" t="s">
        <v>35</v>
      </c>
      <c r="C837" s="41" t="s">
        <v>10</v>
      </c>
      <c r="D837" s="41" t="str">
        <f t="shared" si="61"/>
        <v>Grilled Chicken Gravy Sauce and white Rice</v>
      </c>
      <c r="E837" s="58" t="s">
        <v>1535</v>
      </c>
      <c r="F837" s="58" t="s">
        <v>2079</v>
      </c>
      <c r="G837" s="41" t="s">
        <v>11</v>
      </c>
      <c r="H837" s="58" t="s">
        <v>1773</v>
      </c>
      <c r="I837" s="41"/>
      <c r="J837" s="41"/>
      <c r="K837" s="41" t="str">
        <f>IFERROR(VLOOKUP(L837,'Raw material list'!$A$3:$C$715,3,0),"")</f>
        <v>DRS6-537</v>
      </c>
      <c r="L837" s="41" t="s">
        <v>46</v>
      </c>
      <c r="M837" s="40" t="s">
        <v>156</v>
      </c>
      <c r="N837" s="40" t="str">
        <f>VLOOKUP(L837,'Raw material list'!$A$3:$E$715,5,0)</f>
        <v xml:space="preserve">Gram </v>
      </c>
      <c r="O837" s="40">
        <v>2</v>
      </c>
      <c r="P837" s="299">
        <f t="shared" si="55"/>
        <v>2</v>
      </c>
      <c r="Q837" s="40">
        <v>100</v>
      </c>
      <c r="R837" s="40">
        <v>10</v>
      </c>
      <c r="S837" s="40"/>
      <c r="T837" s="105">
        <f t="shared" ref="T837:T900" si="62">IFERROR(O837/R837,0)</f>
        <v>0.2</v>
      </c>
      <c r="U837" s="105">
        <f t="shared" si="56"/>
        <v>0.2</v>
      </c>
      <c r="V837" s="104">
        <f>IFERROR(VLOOKUP(L837,'Raw material list'!$A$2:$S$3102,6,0),0)</f>
        <v>3.5000000000000003E-2</v>
      </c>
      <c r="W837" s="104">
        <f t="shared" si="57"/>
        <v>7.000000000000001E-3</v>
      </c>
    </row>
    <row r="838" spans="1:23" hidden="1" x14ac:dyDescent="0.55000000000000004">
      <c r="A838" s="41" t="s">
        <v>1530</v>
      </c>
      <c r="B838" s="41" t="s">
        <v>35</v>
      </c>
      <c r="C838" s="41" t="s">
        <v>10</v>
      </c>
      <c r="D838" s="41" t="str">
        <f t="shared" si="61"/>
        <v>Grilled Chicken Gravy Sauce and white Rice</v>
      </c>
      <c r="E838" s="58" t="s">
        <v>1535</v>
      </c>
      <c r="F838" s="58" t="s">
        <v>2079</v>
      </c>
      <c r="G838" s="41" t="s">
        <v>11</v>
      </c>
      <c r="H838" s="58" t="s">
        <v>1773</v>
      </c>
      <c r="I838" s="41"/>
      <c r="J838" s="41"/>
      <c r="K838" s="41" t="str">
        <f>IFERROR(VLOOKUP(L838,'Raw material list'!$A$3:$C$715,3,0),"")</f>
        <v>DRS1-3880</v>
      </c>
      <c r="L838" s="41" t="s">
        <v>1433</v>
      </c>
      <c r="M838" s="40" t="s">
        <v>156</v>
      </c>
      <c r="N838" s="40" t="str">
        <f>VLOOKUP(L838,'Raw material list'!$A$3:$E$715,5,0)</f>
        <v xml:space="preserve">Gram </v>
      </c>
      <c r="O838" s="40">
        <v>5</v>
      </c>
      <c r="P838" s="299">
        <f t="shared" ref="P838:P901" si="63">O838/Q838*100</f>
        <v>5</v>
      </c>
      <c r="Q838" s="40">
        <v>100</v>
      </c>
      <c r="R838" s="40">
        <v>10</v>
      </c>
      <c r="S838" s="40"/>
      <c r="T838" s="105">
        <f t="shared" si="62"/>
        <v>0.5</v>
      </c>
      <c r="U838" s="105">
        <f t="shared" ref="U838:U901" si="64">IFERROR(P838/R838,0)</f>
        <v>0.5</v>
      </c>
      <c r="V838" s="104">
        <f>IFERROR(VLOOKUP(L838,'Raw material list'!$A$2:$S$3102,6,0),0)</f>
        <v>5.0000000000000001E-4</v>
      </c>
      <c r="W838" s="104">
        <f t="shared" ref="W838:W901" si="65">IFERROR(V838*U838,0)</f>
        <v>2.5000000000000001E-4</v>
      </c>
    </row>
    <row r="839" spans="1:23" hidden="1" x14ac:dyDescent="0.55000000000000004">
      <c r="A839" s="41" t="s">
        <v>1530</v>
      </c>
      <c r="B839" s="41" t="s">
        <v>35</v>
      </c>
      <c r="C839" s="41" t="s">
        <v>10</v>
      </c>
      <c r="D839" s="41" t="str">
        <f t="shared" si="61"/>
        <v>Grilled Chicken Gravy Sauce and white Rice</v>
      </c>
      <c r="E839" s="58" t="s">
        <v>1535</v>
      </c>
      <c r="F839" s="58" t="s">
        <v>2079</v>
      </c>
      <c r="G839" s="41" t="s">
        <v>11</v>
      </c>
      <c r="H839" s="58" t="s">
        <v>1773</v>
      </c>
      <c r="I839" s="41"/>
      <c r="J839" s="41"/>
      <c r="K839" s="41" t="str">
        <f>IFERROR(VLOOKUP(L839,'Raw material list'!$A$3:$C$715,3,0),"")</f>
        <v>DRS1-1747</v>
      </c>
      <c r="L839" s="41" t="s">
        <v>44</v>
      </c>
      <c r="M839" s="40" t="s">
        <v>156</v>
      </c>
      <c r="N839" s="40" t="str">
        <f>VLOOKUP(L839,'Raw material list'!$A$3:$E$715,5,0)</f>
        <v xml:space="preserve">Gram </v>
      </c>
      <c r="O839" s="40">
        <v>40</v>
      </c>
      <c r="P839" s="299">
        <f t="shared" si="63"/>
        <v>40</v>
      </c>
      <c r="Q839" s="40">
        <v>100</v>
      </c>
      <c r="R839" s="40">
        <v>10</v>
      </c>
      <c r="S839" s="40"/>
      <c r="T839" s="105">
        <f t="shared" si="62"/>
        <v>4</v>
      </c>
      <c r="U839" s="105">
        <f t="shared" si="64"/>
        <v>4</v>
      </c>
      <c r="V839" s="104">
        <f>IFERROR(VLOOKUP(L839,'Raw material list'!$A$2:$S$3102,6,0),0)</f>
        <v>5.185185185185185E-3</v>
      </c>
      <c r="W839" s="104">
        <f t="shared" si="65"/>
        <v>2.074074074074074E-2</v>
      </c>
    </row>
    <row r="840" spans="1:23" hidden="1" x14ac:dyDescent="0.55000000000000004">
      <c r="A840" s="41" t="s">
        <v>1530</v>
      </c>
      <c r="B840" s="41" t="s">
        <v>35</v>
      </c>
      <c r="C840" s="41" t="s">
        <v>10</v>
      </c>
      <c r="D840" s="41" t="str">
        <f t="shared" si="61"/>
        <v>Grilled Chicken Gravy Sauce and white Rice</v>
      </c>
      <c r="E840" s="58" t="s">
        <v>1535</v>
      </c>
      <c r="F840" s="58" t="s">
        <v>2079</v>
      </c>
      <c r="G840" s="41" t="s">
        <v>11</v>
      </c>
      <c r="H840" s="58" t="s">
        <v>1773</v>
      </c>
      <c r="I840" s="41"/>
      <c r="J840" s="41"/>
      <c r="K840" s="41" t="str">
        <f>IFERROR(VLOOKUP(L840,'Raw material list'!$A$3:$C$715,3,0),"")</f>
        <v>DRS5-40</v>
      </c>
      <c r="L840" s="41" t="s">
        <v>58</v>
      </c>
      <c r="M840" s="40" t="s">
        <v>156</v>
      </c>
      <c r="N840" s="40" t="str">
        <f>VLOOKUP(L840,'Raw material list'!$A$3:$E$715,5,0)</f>
        <v xml:space="preserve">Gram </v>
      </c>
      <c r="O840" s="40">
        <v>40</v>
      </c>
      <c r="P840" s="299">
        <f t="shared" si="63"/>
        <v>40</v>
      </c>
      <c r="Q840" s="40">
        <v>100</v>
      </c>
      <c r="R840" s="40">
        <v>10</v>
      </c>
      <c r="S840" s="40"/>
      <c r="T840" s="105">
        <f t="shared" si="62"/>
        <v>4</v>
      </c>
      <c r="U840" s="105">
        <f t="shared" si="64"/>
        <v>4</v>
      </c>
      <c r="V840" s="104">
        <f>IFERROR(VLOOKUP(L840,'Raw material list'!$A$2:$S$3102,6,0),0)</f>
        <v>7.7777777777777773E-4</v>
      </c>
      <c r="W840" s="104">
        <f t="shared" si="65"/>
        <v>3.1111111111111109E-3</v>
      </c>
    </row>
    <row r="841" spans="1:23" hidden="1" x14ac:dyDescent="0.55000000000000004">
      <c r="A841" s="41" t="s">
        <v>1530</v>
      </c>
      <c r="B841" s="41" t="s">
        <v>35</v>
      </c>
      <c r="C841" s="41" t="s">
        <v>10</v>
      </c>
      <c r="D841" s="41" t="str">
        <f t="shared" si="61"/>
        <v>Grilled Chicken Gravy Sauce and white Rice</v>
      </c>
      <c r="E841" s="58" t="s">
        <v>1535</v>
      </c>
      <c r="F841" s="58" t="s">
        <v>2079</v>
      </c>
      <c r="G841" s="41" t="s">
        <v>11</v>
      </c>
      <c r="H841" s="58" t="s">
        <v>1773</v>
      </c>
      <c r="I841" s="41"/>
      <c r="J841" s="41"/>
      <c r="K841" s="41" t="str">
        <f>IFERROR(VLOOKUP(L841,'Raw material list'!$A$3:$C$715,3,0),"")</f>
        <v>DRY2-1858</v>
      </c>
      <c r="L841" s="41" t="s">
        <v>60</v>
      </c>
      <c r="M841" s="40" t="s">
        <v>206</v>
      </c>
      <c r="N841" s="40" t="str">
        <f>VLOOKUP(L841,'Raw material list'!$A$3:$E$715,5,0)</f>
        <v>Ml</v>
      </c>
      <c r="O841" s="40">
        <v>80</v>
      </c>
      <c r="P841" s="299">
        <f t="shared" si="63"/>
        <v>80</v>
      </c>
      <c r="Q841" s="40">
        <v>100</v>
      </c>
      <c r="R841" s="40">
        <v>10</v>
      </c>
      <c r="S841" s="40"/>
      <c r="T841" s="105">
        <f t="shared" si="62"/>
        <v>8</v>
      </c>
      <c r="U841" s="105">
        <f t="shared" si="64"/>
        <v>8</v>
      </c>
      <c r="V841" s="104">
        <f>IFERROR(VLOOKUP(L841,'Raw material list'!$A$2:$S$3102,6,0),0)</f>
        <v>9.8800000000000016E-3</v>
      </c>
      <c r="W841" s="104">
        <f t="shared" si="65"/>
        <v>7.9040000000000013E-2</v>
      </c>
    </row>
    <row r="842" spans="1:23" hidden="1" x14ac:dyDescent="0.55000000000000004">
      <c r="A842" s="41" t="s">
        <v>1530</v>
      </c>
      <c r="B842" s="41" t="s">
        <v>35</v>
      </c>
      <c r="C842" s="41" t="s">
        <v>10</v>
      </c>
      <c r="D842" s="41" t="str">
        <f t="shared" si="61"/>
        <v>Grilled Chicken Gravy Sauce and white Rice</v>
      </c>
      <c r="E842" s="58" t="s">
        <v>1535</v>
      </c>
      <c r="F842" s="58" t="s">
        <v>2079</v>
      </c>
      <c r="G842" s="41" t="s">
        <v>11</v>
      </c>
      <c r="H842" s="58" t="s">
        <v>1773</v>
      </c>
      <c r="I842" s="41"/>
      <c r="J842" s="41"/>
      <c r="K842" s="41" t="str">
        <f>IFERROR(VLOOKUP(L842,'Raw material list'!$A$3:$C$715,3,0),"")</f>
        <v>TAP-00001</v>
      </c>
      <c r="L842" s="41" t="s">
        <v>1405</v>
      </c>
      <c r="M842" s="40" t="s">
        <v>206</v>
      </c>
      <c r="N842" s="40" t="str">
        <f>VLOOKUP(L842,'Raw material list'!$A$3:$E$715,5,0)</f>
        <v>Ml</v>
      </c>
      <c r="O842" s="40">
        <v>100</v>
      </c>
      <c r="P842" s="299">
        <f t="shared" si="63"/>
        <v>100</v>
      </c>
      <c r="Q842" s="40">
        <v>100</v>
      </c>
      <c r="R842" s="40">
        <v>10</v>
      </c>
      <c r="S842" s="40"/>
      <c r="T842" s="105">
        <f t="shared" si="62"/>
        <v>10</v>
      </c>
      <c r="U842" s="105">
        <f t="shared" si="64"/>
        <v>10</v>
      </c>
      <c r="V842" s="104">
        <f>IFERROR(VLOOKUP(L842,'Raw material list'!$A$2:$S$3102,6,0),0)</f>
        <v>8.0000000000000007E-5</v>
      </c>
      <c r="W842" s="104">
        <f t="shared" si="65"/>
        <v>8.0000000000000004E-4</v>
      </c>
    </row>
    <row r="843" spans="1:23" hidden="1" x14ac:dyDescent="0.55000000000000004">
      <c r="A843" s="41" t="s">
        <v>1530</v>
      </c>
      <c r="B843" s="41" t="s">
        <v>35</v>
      </c>
      <c r="C843" s="41" t="s">
        <v>10</v>
      </c>
      <c r="D843" s="41" t="str">
        <f t="shared" si="61"/>
        <v>Grilled Chicken Gravy Sauce and white Rice</v>
      </c>
      <c r="E843" s="58" t="s">
        <v>1535</v>
      </c>
      <c r="F843" s="58" t="s">
        <v>2079</v>
      </c>
      <c r="G843" s="41" t="s">
        <v>11</v>
      </c>
      <c r="H843" s="58" t="s">
        <v>1773</v>
      </c>
      <c r="I843" s="41"/>
      <c r="J843" s="41"/>
      <c r="K843" s="41" t="str">
        <f>IFERROR(VLOOKUP(L843,'Raw material list'!$A$3:$C$715,3,0),"")</f>
        <v>PRD1-230</v>
      </c>
      <c r="L843" s="41" t="s">
        <v>70</v>
      </c>
      <c r="M843" s="40" t="s">
        <v>156</v>
      </c>
      <c r="N843" s="40" t="str">
        <f>VLOOKUP(L843,'Raw material list'!$A$3:$E$715,5,0)</f>
        <v xml:space="preserve">Gram </v>
      </c>
      <c r="O843" s="40">
        <v>400</v>
      </c>
      <c r="P843" s="299">
        <f t="shared" si="63"/>
        <v>539.81106612685562</v>
      </c>
      <c r="Q843" s="105">
        <v>74.099999999999994</v>
      </c>
      <c r="R843" s="40">
        <v>10</v>
      </c>
      <c r="S843" s="40"/>
      <c r="T843" s="105">
        <f t="shared" si="62"/>
        <v>40</v>
      </c>
      <c r="U843" s="105">
        <f t="shared" si="64"/>
        <v>53.981106612685565</v>
      </c>
      <c r="V843" s="104">
        <f>IFERROR(VLOOKUP(L843,'Raw material list'!$A$2:$S$3102,6,0),0)</f>
        <v>3.3738191632928472E-3</v>
      </c>
      <c r="W843" s="104">
        <f t="shared" si="65"/>
        <v>0.18212249194563279</v>
      </c>
    </row>
    <row r="844" spans="1:23" hidden="1" x14ac:dyDescent="0.55000000000000004">
      <c r="A844" s="41" t="s">
        <v>1530</v>
      </c>
      <c r="B844" s="41" t="s">
        <v>35</v>
      </c>
      <c r="C844" s="41" t="s">
        <v>10</v>
      </c>
      <c r="D844" s="41" t="str">
        <f t="shared" si="61"/>
        <v>Grilled Chicken Gravy Sauce and white Rice</v>
      </c>
      <c r="E844" s="58" t="s">
        <v>1535</v>
      </c>
      <c r="F844" s="58" t="s">
        <v>2079</v>
      </c>
      <c r="G844" s="41" t="s">
        <v>11</v>
      </c>
      <c r="H844" s="58" t="s">
        <v>1773</v>
      </c>
      <c r="I844" s="41"/>
      <c r="J844" s="41"/>
      <c r="K844" s="41" t="str">
        <f>IFERROR(VLOOKUP(L844,'Raw material list'!$A$3:$C$715,3,0),"")</f>
        <v>DRS4-498</v>
      </c>
      <c r="L844" s="41" t="s">
        <v>72</v>
      </c>
      <c r="M844" s="40" t="s">
        <v>156</v>
      </c>
      <c r="N844" s="40" t="str">
        <f>VLOOKUP(L844,'Raw material list'!$A$3:$E$715,5,0)</f>
        <v xml:space="preserve">Gram </v>
      </c>
      <c r="O844" s="40">
        <v>1000</v>
      </c>
      <c r="P844" s="299">
        <f t="shared" si="63"/>
        <v>1000</v>
      </c>
      <c r="Q844" s="300">
        <v>100</v>
      </c>
      <c r="R844" s="40">
        <v>10</v>
      </c>
      <c r="S844" s="40"/>
      <c r="T844" s="105">
        <f t="shared" si="62"/>
        <v>100</v>
      </c>
      <c r="U844" s="105">
        <f t="shared" si="64"/>
        <v>100</v>
      </c>
      <c r="V844" s="104">
        <f>IFERROR(VLOOKUP(L844,'Raw material list'!$A$2:$S$3102,6,0),0)</f>
        <v>5.7499999999999999E-3</v>
      </c>
      <c r="W844" s="104">
        <f t="shared" si="65"/>
        <v>0.57499999999999996</v>
      </c>
    </row>
    <row r="845" spans="1:23" hidden="1" x14ac:dyDescent="0.55000000000000004">
      <c r="A845" s="41" t="s">
        <v>1530</v>
      </c>
      <c r="B845" s="41" t="s">
        <v>35</v>
      </c>
      <c r="C845" s="41" t="s">
        <v>10</v>
      </c>
      <c r="D845" s="41" t="str">
        <f t="shared" si="61"/>
        <v>Grilled Chicken Gravy Sauce and white Rice</v>
      </c>
      <c r="E845" s="58" t="s">
        <v>1535</v>
      </c>
      <c r="F845" s="58" t="s">
        <v>2079</v>
      </c>
      <c r="G845" s="41" t="s">
        <v>11</v>
      </c>
      <c r="H845" s="58" t="s">
        <v>1773</v>
      </c>
      <c r="I845" s="41"/>
      <c r="J845" s="41"/>
      <c r="K845" s="41" t="str">
        <f>IFERROR(VLOOKUP(L845,'Raw material list'!$A$3:$C$715,3,0),"")</f>
        <v>DRS3-1813</v>
      </c>
      <c r="L845" s="41" t="s">
        <v>69</v>
      </c>
      <c r="M845" s="40" t="s">
        <v>206</v>
      </c>
      <c r="N845" s="40" t="str">
        <f>VLOOKUP(L845,'Raw material list'!$A$3:$E$715,5,0)</f>
        <v>Ml</v>
      </c>
      <c r="O845" s="40">
        <v>40</v>
      </c>
      <c r="P845" s="299">
        <f t="shared" si="63"/>
        <v>40</v>
      </c>
      <c r="Q845" s="40">
        <v>100</v>
      </c>
      <c r="R845" s="40">
        <v>10</v>
      </c>
      <c r="S845" s="40"/>
      <c r="T845" s="105">
        <f t="shared" si="62"/>
        <v>4</v>
      </c>
      <c r="U845" s="105">
        <f t="shared" si="64"/>
        <v>4</v>
      </c>
      <c r="V845" s="104">
        <f>IFERROR(VLOOKUP(L845,'Raw material list'!$A$2:$S$3102,6,0),0)</f>
        <v>8.0555555555555554E-3</v>
      </c>
      <c r="W845" s="104">
        <f t="shared" si="65"/>
        <v>3.2222222222222222E-2</v>
      </c>
    </row>
    <row r="846" spans="1:23" hidden="1" x14ac:dyDescent="0.55000000000000004">
      <c r="A846" s="41" t="s">
        <v>1530</v>
      </c>
      <c r="B846" s="41" t="s">
        <v>35</v>
      </c>
      <c r="C846" s="41" t="s">
        <v>10</v>
      </c>
      <c r="D846" s="41" t="str">
        <f t="shared" si="61"/>
        <v>Grilled Chicken Gravy Sauce and white Rice</v>
      </c>
      <c r="E846" s="58" t="s">
        <v>1535</v>
      </c>
      <c r="F846" s="58" t="s">
        <v>2079</v>
      </c>
      <c r="G846" s="41" t="s">
        <v>11</v>
      </c>
      <c r="H846" s="58" t="s">
        <v>1773</v>
      </c>
      <c r="I846" s="41"/>
      <c r="J846" s="41"/>
      <c r="K846" s="41" t="str">
        <f>IFERROR(VLOOKUP(L846,'Raw material list'!$A$3:$C$715,3,0),"")</f>
        <v>TAP-00001</v>
      </c>
      <c r="L846" s="41" t="s">
        <v>1405</v>
      </c>
      <c r="M846" s="40" t="s">
        <v>206</v>
      </c>
      <c r="N846" s="40" t="str">
        <f>VLOOKUP(L846,'Raw material list'!$A$3:$E$715,5,0)</f>
        <v>Ml</v>
      </c>
      <c r="O846" s="40">
        <v>1600</v>
      </c>
      <c r="P846" s="299">
        <f t="shared" si="63"/>
        <v>1600</v>
      </c>
      <c r="Q846" s="40">
        <v>100</v>
      </c>
      <c r="R846" s="40">
        <v>10</v>
      </c>
      <c r="S846" s="40"/>
      <c r="T846" s="105">
        <f t="shared" si="62"/>
        <v>160</v>
      </c>
      <c r="U846" s="105">
        <f t="shared" si="64"/>
        <v>160</v>
      </c>
      <c r="V846" s="104">
        <f>IFERROR(VLOOKUP(L846,'Raw material list'!$A$2:$S$3102,6,0),0)</f>
        <v>8.0000000000000007E-5</v>
      </c>
      <c r="W846" s="104">
        <f t="shared" si="65"/>
        <v>1.2800000000000001E-2</v>
      </c>
    </row>
    <row r="847" spans="1:23" hidden="1" x14ac:dyDescent="0.55000000000000004">
      <c r="A847" s="41" t="s">
        <v>1530</v>
      </c>
      <c r="B847" s="41" t="s">
        <v>35</v>
      </c>
      <c r="C847" s="41" t="s">
        <v>10</v>
      </c>
      <c r="D847" s="41" t="str">
        <f t="shared" si="61"/>
        <v>Grilled Chicken Gravy Sauce and white Rice</v>
      </c>
      <c r="E847" s="58" t="s">
        <v>1535</v>
      </c>
      <c r="F847" s="58" t="s">
        <v>2079</v>
      </c>
      <c r="G847" s="41" t="s">
        <v>11</v>
      </c>
      <c r="H847" s="58" t="s">
        <v>1773</v>
      </c>
      <c r="I847" s="41"/>
      <c r="J847" s="41"/>
      <c r="K847" s="41" t="str">
        <f>IFERROR(VLOOKUP(L847,'Raw material list'!$A$3:$C$715,3,0),"")</f>
        <v>DRS6-3593</v>
      </c>
      <c r="L847" s="41" t="s">
        <v>1407</v>
      </c>
      <c r="M847" s="40" t="s">
        <v>156</v>
      </c>
      <c r="N847" s="40" t="str">
        <f>VLOOKUP(L847,'Raw material list'!$A$3:$E$715,5,0)</f>
        <v xml:space="preserve">Gram </v>
      </c>
      <c r="O847" s="40">
        <v>1</v>
      </c>
      <c r="P847" s="299">
        <f t="shared" si="63"/>
        <v>1</v>
      </c>
      <c r="Q847" s="40">
        <v>100</v>
      </c>
      <c r="R847" s="40">
        <v>10</v>
      </c>
      <c r="S847" s="40"/>
      <c r="T847" s="105">
        <f t="shared" si="62"/>
        <v>0.1</v>
      </c>
      <c r="U847" s="105">
        <f t="shared" si="64"/>
        <v>0.1</v>
      </c>
      <c r="V847" s="104">
        <f>IFERROR(VLOOKUP(L847,'Raw material list'!$A$2:$S$3102,6,0),0)</f>
        <v>8.0000000000000002E-3</v>
      </c>
      <c r="W847" s="104">
        <f t="shared" si="65"/>
        <v>8.0000000000000004E-4</v>
      </c>
    </row>
    <row r="848" spans="1:23" hidden="1" x14ac:dyDescent="0.55000000000000004">
      <c r="A848" s="41" t="s">
        <v>1530</v>
      </c>
      <c r="B848" s="41" t="s">
        <v>35</v>
      </c>
      <c r="C848" s="41" t="s">
        <v>10</v>
      </c>
      <c r="D848" s="41" t="str">
        <f t="shared" si="61"/>
        <v>Grilled Chicken Gravy Sauce and white Rice</v>
      </c>
      <c r="E848" s="58" t="s">
        <v>1535</v>
      </c>
      <c r="F848" s="58" t="s">
        <v>2079</v>
      </c>
      <c r="G848" s="41" t="s">
        <v>11</v>
      </c>
      <c r="H848" s="58" t="s">
        <v>1773</v>
      </c>
      <c r="I848" s="41"/>
      <c r="J848" s="41"/>
      <c r="K848" s="41" t="str">
        <f>IFERROR(VLOOKUP(L848,'Raw material list'!$A$3:$C$715,3,0),"")</f>
        <v>DRS6-261</v>
      </c>
      <c r="L848" s="41" t="s">
        <v>1406</v>
      </c>
      <c r="M848" s="40" t="s">
        <v>156</v>
      </c>
      <c r="N848" s="40" t="str">
        <f>VLOOKUP(L848,'Raw material list'!$A$3:$E$715,5,0)</f>
        <v xml:space="preserve">Gram </v>
      </c>
      <c r="O848" s="40">
        <v>2</v>
      </c>
      <c r="P848" s="299">
        <f t="shared" si="63"/>
        <v>2</v>
      </c>
      <c r="Q848" s="40">
        <v>100</v>
      </c>
      <c r="R848" s="40">
        <v>10</v>
      </c>
      <c r="S848" s="40"/>
      <c r="T848" s="105">
        <f t="shared" si="62"/>
        <v>0.2</v>
      </c>
      <c r="U848" s="105">
        <f t="shared" si="64"/>
        <v>0.2</v>
      </c>
      <c r="V848" s="104">
        <f>IFERROR(VLOOKUP(L848,'Raw material list'!$A$2:$S$3102,6,0),0)</f>
        <v>1.4E-2</v>
      </c>
      <c r="W848" s="104">
        <f t="shared" si="65"/>
        <v>2.8000000000000004E-3</v>
      </c>
    </row>
    <row r="849" spans="1:23" hidden="1" x14ac:dyDescent="0.55000000000000004">
      <c r="A849" s="41" t="s">
        <v>1530</v>
      </c>
      <c r="B849" s="41" t="s">
        <v>35</v>
      </c>
      <c r="C849" s="41" t="s">
        <v>10</v>
      </c>
      <c r="D849" s="41" t="str">
        <f t="shared" si="61"/>
        <v>Grilled Chicken Gravy Sauce and white Rice</v>
      </c>
      <c r="E849" s="58" t="s">
        <v>1535</v>
      </c>
      <c r="F849" s="58" t="s">
        <v>2079</v>
      </c>
      <c r="G849" s="41" t="s">
        <v>11</v>
      </c>
      <c r="H849" s="58" t="s">
        <v>1773</v>
      </c>
      <c r="I849" s="41"/>
      <c r="J849" s="41"/>
      <c r="K849" s="41" t="str">
        <f>IFERROR(VLOOKUP(L849,'Raw material list'!$A$3:$C$715,3,0),"")</f>
        <v>DRS1-1787</v>
      </c>
      <c r="L849" s="41" t="s">
        <v>302</v>
      </c>
      <c r="M849" s="40" t="s">
        <v>156</v>
      </c>
      <c r="N849" s="40" t="str">
        <f>VLOOKUP(L849,'Raw material list'!$A$3:$E$715,5,0)</f>
        <v xml:space="preserve">Gram </v>
      </c>
      <c r="O849" s="40">
        <v>10</v>
      </c>
      <c r="P849" s="299">
        <f t="shared" si="63"/>
        <v>10</v>
      </c>
      <c r="Q849" s="40">
        <v>100</v>
      </c>
      <c r="R849" s="40">
        <v>10</v>
      </c>
      <c r="S849" s="40"/>
      <c r="T849" s="105">
        <f t="shared" si="62"/>
        <v>1</v>
      </c>
      <c r="U849" s="105">
        <f t="shared" si="64"/>
        <v>1</v>
      </c>
      <c r="V849" s="104">
        <f>IFERROR(VLOOKUP(L849,'Raw material list'!$A$2:$S$3102,6,0),0)</f>
        <v>1.125E-2</v>
      </c>
      <c r="W849" s="104">
        <f t="shared" si="65"/>
        <v>1.125E-2</v>
      </c>
    </row>
    <row r="850" spans="1:23" hidden="1" x14ac:dyDescent="0.55000000000000004">
      <c r="A850" s="41" t="s">
        <v>1531</v>
      </c>
      <c r="B850" s="41" t="s">
        <v>35</v>
      </c>
      <c r="C850" s="41" t="s">
        <v>10</v>
      </c>
      <c r="D850" s="41" t="s">
        <v>1525</v>
      </c>
      <c r="E850" s="58" t="s">
        <v>1535</v>
      </c>
      <c r="F850" s="58" t="s">
        <v>2081</v>
      </c>
      <c r="G850" s="41" t="s">
        <v>11</v>
      </c>
      <c r="H850" s="58" t="s">
        <v>1773</v>
      </c>
      <c r="I850" s="41"/>
      <c r="J850" s="41"/>
      <c r="K850" s="41" t="str">
        <f>IFERROR(VLOOKUP(L850,'Raw material list'!$A$3:$C$715,3,0),"")</f>
        <v>PLT2-3278</v>
      </c>
      <c r="L850" s="41" t="s">
        <v>80</v>
      </c>
      <c r="M850" s="40" t="s">
        <v>156</v>
      </c>
      <c r="N850" s="40" t="str">
        <f>VLOOKUP(L850,'Raw material list'!$A$3:$E$715,5,0)</f>
        <v xml:space="preserve">Gram </v>
      </c>
      <c r="O850" s="40">
        <v>800</v>
      </c>
      <c r="P850" s="299">
        <f t="shared" si="63"/>
        <v>1049.8687664041995</v>
      </c>
      <c r="Q850" s="40">
        <v>76.2</v>
      </c>
      <c r="R850" s="40">
        <v>10</v>
      </c>
      <c r="S850" s="40"/>
      <c r="T850" s="105">
        <f t="shared" si="62"/>
        <v>80</v>
      </c>
      <c r="U850" s="105">
        <f t="shared" si="64"/>
        <v>104.98687664041995</v>
      </c>
      <c r="V850" s="104">
        <f>IFERROR(VLOOKUP(L850,'Raw material list'!$A$2:$S$3102,6,0),0)</f>
        <v>3.0357142857142853E-2</v>
      </c>
      <c r="W850" s="104">
        <f t="shared" si="65"/>
        <v>3.1871016122984623</v>
      </c>
    </row>
    <row r="851" spans="1:23" hidden="1" x14ac:dyDescent="0.55000000000000004">
      <c r="A851" s="41" t="s">
        <v>1531</v>
      </c>
      <c r="B851" s="41" t="s">
        <v>35</v>
      </c>
      <c r="C851" s="41" t="s">
        <v>10</v>
      </c>
      <c r="D851" s="41" t="str">
        <f t="shared" ref="D851:D864" si="66">D850</f>
        <v>Tex Mex Chicken wrap w potato</v>
      </c>
      <c r="E851" s="58" t="s">
        <v>1535</v>
      </c>
      <c r="F851" s="58" t="s">
        <v>2079</v>
      </c>
      <c r="G851" s="41" t="s">
        <v>11</v>
      </c>
      <c r="H851" s="58" t="s">
        <v>1773</v>
      </c>
      <c r="I851" s="41"/>
      <c r="J851" s="41"/>
      <c r="K851" s="41" t="str">
        <f>IFERROR(VLOOKUP(L851,'Raw material list'!$A$3:$C$715,3,0),"")</f>
        <v>DRS1-58</v>
      </c>
      <c r="L851" s="41" t="s">
        <v>779</v>
      </c>
      <c r="M851" s="40" t="s">
        <v>156</v>
      </c>
      <c r="N851" s="40" t="str">
        <f>VLOOKUP(L851,'Raw material list'!$A$3:$E$715,5,0)</f>
        <v xml:space="preserve">Gram </v>
      </c>
      <c r="O851" s="40">
        <v>300</v>
      </c>
      <c r="P851" s="299">
        <f t="shared" si="63"/>
        <v>300</v>
      </c>
      <c r="Q851" s="40">
        <v>100</v>
      </c>
      <c r="R851" s="40">
        <v>10</v>
      </c>
      <c r="S851" s="40"/>
      <c r="T851" s="105">
        <f t="shared" si="62"/>
        <v>30</v>
      </c>
      <c r="U851" s="105">
        <f t="shared" si="64"/>
        <v>30</v>
      </c>
      <c r="V851" s="104">
        <f>IFERROR(VLOOKUP(L851,'Raw material list'!$A$2:$S$3102,6,0),0)</f>
        <v>6.4814814814814813E-3</v>
      </c>
      <c r="W851" s="104">
        <f t="shared" si="65"/>
        <v>0.19444444444444445</v>
      </c>
    </row>
    <row r="852" spans="1:23" hidden="1" x14ac:dyDescent="0.55000000000000004">
      <c r="A852" s="41" t="s">
        <v>1531</v>
      </c>
      <c r="B852" s="41" t="s">
        <v>35</v>
      </c>
      <c r="C852" s="41" t="s">
        <v>10</v>
      </c>
      <c r="D852" s="41" t="str">
        <f t="shared" si="66"/>
        <v>Tex Mex Chicken wrap w potato</v>
      </c>
      <c r="E852" s="58" t="s">
        <v>1535</v>
      </c>
      <c r="F852" s="58" t="s">
        <v>2079</v>
      </c>
      <c r="G852" s="41" t="s">
        <v>11</v>
      </c>
      <c r="H852" s="58" t="s">
        <v>1773</v>
      </c>
      <c r="I852" s="41"/>
      <c r="J852" s="41"/>
      <c r="K852" s="41" t="str">
        <f>IFERROR(VLOOKUP(L852,'Raw material list'!$A$3:$C$715,3,0),"")</f>
        <v>DRY1-3344</v>
      </c>
      <c r="L852" s="41" t="s">
        <v>102</v>
      </c>
      <c r="M852" s="40" t="s">
        <v>156</v>
      </c>
      <c r="N852" s="40" t="str">
        <f>VLOOKUP(L852,'Raw material list'!$A$3:$E$715,5,0)</f>
        <v xml:space="preserve">Gram </v>
      </c>
      <c r="O852" s="40">
        <v>180</v>
      </c>
      <c r="P852" s="299">
        <f t="shared" si="63"/>
        <v>180</v>
      </c>
      <c r="Q852" s="40">
        <v>100</v>
      </c>
      <c r="R852" s="40">
        <v>10</v>
      </c>
      <c r="S852" s="40"/>
      <c r="T852" s="105">
        <f t="shared" si="62"/>
        <v>18</v>
      </c>
      <c r="U852" s="105">
        <f t="shared" si="64"/>
        <v>18</v>
      </c>
      <c r="V852" s="104">
        <f>IFERROR(VLOOKUP(L852,'Raw material list'!$A$2:$S$3102,6,0),0)</f>
        <v>2.3E-2</v>
      </c>
      <c r="W852" s="104">
        <f t="shared" si="65"/>
        <v>0.41399999999999998</v>
      </c>
    </row>
    <row r="853" spans="1:23" hidden="1" x14ac:dyDescent="0.55000000000000004">
      <c r="A853" s="41" t="s">
        <v>1531</v>
      </c>
      <c r="B853" s="41" t="s">
        <v>35</v>
      </c>
      <c r="C853" s="41" t="s">
        <v>10</v>
      </c>
      <c r="D853" s="41" t="str">
        <f t="shared" si="66"/>
        <v>Tex Mex Chicken wrap w potato</v>
      </c>
      <c r="E853" s="58" t="s">
        <v>1535</v>
      </c>
      <c r="F853" s="58" t="s">
        <v>2079</v>
      </c>
      <c r="G853" s="41" t="s">
        <v>11</v>
      </c>
      <c r="H853" s="58" t="s">
        <v>1773</v>
      </c>
      <c r="I853" s="41"/>
      <c r="J853" s="41"/>
      <c r="K853" s="41" t="str">
        <f>IFERROR(VLOOKUP(L853,'Raw material list'!$A$3:$C$715,3,0),"")</f>
        <v>DRS6-309</v>
      </c>
      <c r="L853" s="41" t="s">
        <v>61</v>
      </c>
      <c r="M853" s="40" t="s">
        <v>156</v>
      </c>
      <c r="N853" s="40" t="str">
        <f>VLOOKUP(L853,'Raw material list'!$A$3:$E$715,5,0)</f>
        <v xml:space="preserve">Gram </v>
      </c>
      <c r="O853" s="40">
        <v>2</v>
      </c>
      <c r="P853" s="299">
        <f t="shared" si="63"/>
        <v>2</v>
      </c>
      <c r="Q853" s="40">
        <v>100</v>
      </c>
      <c r="R853" s="40">
        <v>10</v>
      </c>
      <c r="S853" s="40"/>
      <c r="T853" s="105">
        <f t="shared" si="62"/>
        <v>0.2</v>
      </c>
      <c r="U853" s="105">
        <f t="shared" si="64"/>
        <v>0.2</v>
      </c>
      <c r="V853" s="104">
        <f>IFERROR(VLOOKUP(L853,'Raw material list'!$A$2:$S$3102,6,0),0)</f>
        <v>2.8000000000000001E-2</v>
      </c>
      <c r="W853" s="104">
        <f t="shared" si="65"/>
        <v>5.6000000000000008E-3</v>
      </c>
    </row>
    <row r="854" spans="1:23" hidden="1" x14ac:dyDescent="0.55000000000000004">
      <c r="A854" s="41" t="s">
        <v>1531</v>
      </c>
      <c r="B854" s="41" t="s">
        <v>35</v>
      </c>
      <c r="C854" s="41" t="s">
        <v>10</v>
      </c>
      <c r="D854" s="41" t="str">
        <f t="shared" si="66"/>
        <v>Tex Mex Chicken wrap w potato</v>
      </c>
      <c r="E854" s="58" t="s">
        <v>1535</v>
      </c>
      <c r="F854" s="58" t="s">
        <v>2079</v>
      </c>
      <c r="G854" s="41" t="s">
        <v>11</v>
      </c>
      <c r="H854" s="58" t="s">
        <v>1773</v>
      </c>
      <c r="I854" s="41"/>
      <c r="J854" s="41"/>
      <c r="K854" s="41" t="str">
        <f>IFERROR(VLOOKUP(L854,'Raw material list'!$A$3:$C$715,3,0),"")</f>
        <v>DRS1-167</v>
      </c>
      <c r="L854" s="41" t="s">
        <v>256</v>
      </c>
      <c r="M854" s="40" t="s">
        <v>156</v>
      </c>
      <c r="N854" s="40" t="str">
        <f>VLOOKUP(L854,'Raw material list'!$A$3:$E$715,5,0)</f>
        <v xml:space="preserve">Gram </v>
      </c>
      <c r="O854" s="40">
        <v>80</v>
      </c>
      <c r="P854" s="299">
        <f t="shared" si="63"/>
        <v>80</v>
      </c>
      <c r="Q854" s="40">
        <v>100</v>
      </c>
      <c r="R854" s="40">
        <v>10</v>
      </c>
      <c r="S854" s="40"/>
      <c r="T854" s="105">
        <f t="shared" si="62"/>
        <v>8</v>
      </c>
      <c r="U854" s="105">
        <f t="shared" si="64"/>
        <v>8</v>
      </c>
      <c r="V854" s="104">
        <f>IFERROR(VLOOKUP(L854,'Raw material list'!$A$2:$S$3102,6,0),0)</f>
        <v>1.29E-2</v>
      </c>
      <c r="W854" s="104">
        <f t="shared" si="65"/>
        <v>0.1032</v>
      </c>
    </row>
    <row r="855" spans="1:23" hidden="1" x14ac:dyDescent="0.55000000000000004">
      <c r="A855" s="41" t="s">
        <v>1531</v>
      </c>
      <c r="B855" s="41" t="s">
        <v>35</v>
      </c>
      <c r="C855" s="41" t="s">
        <v>10</v>
      </c>
      <c r="D855" s="41" t="str">
        <f t="shared" si="66"/>
        <v>Tex Mex Chicken wrap w potato</v>
      </c>
      <c r="E855" s="58" t="s">
        <v>1535</v>
      </c>
      <c r="F855" s="58" t="s">
        <v>2079</v>
      </c>
      <c r="G855" s="41" t="s">
        <v>11</v>
      </c>
      <c r="H855" s="58" t="s">
        <v>1773</v>
      </c>
      <c r="I855" s="41"/>
      <c r="J855" s="41"/>
      <c r="K855" s="41" t="str">
        <f>IFERROR(VLOOKUP(L855,'Raw material list'!$A$3:$C$715,3,0),"")</f>
        <v>PRD1-195</v>
      </c>
      <c r="L855" s="41" t="s">
        <v>90</v>
      </c>
      <c r="M855" s="40" t="s">
        <v>156</v>
      </c>
      <c r="N855" s="40" t="str">
        <f>VLOOKUP(L855,'Raw material list'!$A$3:$E$715,5,0)</f>
        <v xml:space="preserve">Gram </v>
      </c>
      <c r="O855" s="40">
        <v>30</v>
      </c>
      <c r="P855" s="299">
        <f t="shared" si="63"/>
        <v>70.312499999999986</v>
      </c>
      <c r="Q855" s="105">
        <v>42.666666666666671</v>
      </c>
      <c r="R855" s="40">
        <v>10</v>
      </c>
      <c r="S855" s="40"/>
      <c r="T855" s="105">
        <f t="shared" si="62"/>
        <v>3</v>
      </c>
      <c r="U855" s="105">
        <f t="shared" si="64"/>
        <v>7.0312499999999982</v>
      </c>
      <c r="V855" s="104">
        <f>IFERROR(VLOOKUP(L855,'Raw material list'!$A$2:$S$3102,6,0),0)</f>
        <v>9.3676814988290415E-3</v>
      </c>
      <c r="W855" s="104">
        <f t="shared" si="65"/>
        <v>6.5866510538641676E-2</v>
      </c>
    </row>
    <row r="856" spans="1:23" hidden="1" x14ac:dyDescent="0.55000000000000004">
      <c r="A856" s="41" t="s">
        <v>1531</v>
      </c>
      <c r="B856" s="41" t="s">
        <v>35</v>
      </c>
      <c r="C856" s="41" t="s">
        <v>10</v>
      </c>
      <c r="D856" s="41" t="str">
        <f t="shared" si="66"/>
        <v>Tex Mex Chicken wrap w potato</v>
      </c>
      <c r="E856" s="58" t="s">
        <v>1535</v>
      </c>
      <c r="F856" s="58" t="s">
        <v>2079</v>
      </c>
      <c r="G856" s="41" t="s">
        <v>11</v>
      </c>
      <c r="H856" s="58" t="s">
        <v>1773</v>
      </c>
      <c r="I856" s="41"/>
      <c r="J856" s="41"/>
      <c r="K856" s="41" t="str">
        <f>IFERROR(VLOOKUP(L856,'Raw material list'!$A$3:$C$715,3,0),"")</f>
        <v>PRD1-572</v>
      </c>
      <c r="L856" s="41" t="s">
        <v>54</v>
      </c>
      <c r="M856" s="40" t="s">
        <v>156</v>
      </c>
      <c r="N856" s="40" t="str">
        <f>VLOOKUP(L856,'Raw material list'!$A$3:$E$715,5,0)</f>
        <v xml:space="preserve">Gram </v>
      </c>
      <c r="O856" s="40">
        <v>150</v>
      </c>
      <c r="P856" s="299">
        <f t="shared" si="63"/>
        <v>170.00377786173021</v>
      </c>
      <c r="Q856" s="105">
        <v>88.233333333333348</v>
      </c>
      <c r="R856" s="40">
        <v>10</v>
      </c>
      <c r="S856" s="40"/>
      <c r="T856" s="105">
        <f t="shared" si="62"/>
        <v>15</v>
      </c>
      <c r="U856" s="105">
        <f t="shared" si="64"/>
        <v>17.000377786173022</v>
      </c>
      <c r="V856" s="104">
        <f>IFERROR(VLOOKUP(L856,'Raw material list'!$A$2:$S$3102,6,0),0)</f>
        <v>4.5351473922902496E-3</v>
      </c>
      <c r="W856" s="104">
        <f t="shared" si="65"/>
        <v>7.7099218984911663E-2</v>
      </c>
    </row>
    <row r="857" spans="1:23" hidden="1" x14ac:dyDescent="0.55000000000000004">
      <c r="A857" s="41" t="s">
        <v>1531</v>
      </c>
      <c r="B857" s="41" t="s">
        <v>35</v>
      </c>
      <c r="C857" s="41" t="s">
        <v>10</v>
      </c>
      <c r="D857" s="41" t="str">
        <f t="shared" si="66"/>
        <v>Tex Mex Chicken wrap w potato</v>
      </c>
      <c r="E857" s="58" t="s">
        <v>1535</v>
      </c>
      <c r="F857" s="58" t="s">
        <v>2079</v>
      </c>
      <c r="G857" s="41" t="s">
        <v>11</v>
      </c>
      <c r="H857" s="58" t="s">
        <v>1773</v>
      </c>
      <c r="I857" s="41"/>
      <c r="J857" s="41"/>
      <c r="K857" s="41" t="str">
        <f>IFERROR(VLOOKUP(L857,'Raw material list'!$A$3:$C$715,3,0),"")</f>
        <v>BKR2-4275</v>
      </c>
      <c r="L857" s="41" t="s">
        <v>101</v>
      </c>
      <c r="M857" s="40" t="s">
        <v>48</v>
      </c>
      <c r="N857" s="40" t="str">
        <f>VLOOKUP(L857,'Raw material list'!$A$3:$E$715,5,0)</f>
        <v>Each</v>
      </c>
      <c r="O857" s="40">
        <v>10</v>
      </c>
      <c r="P857" s="299">
        <f t="shared" si="63"/>
        <v>10</v>
      </c>
      <c r="Q857" s="300">
        <v>100</v>
      </c>
      <c r="R857" s="40">
        <v>10</v>
      </c>
      <c r="S857" s="40"/>
      <c r="T857" s="105">
        <f t="shared" si="62"/>
        <v>1</v>
      </c>
      <c r="U857" s="105">
        <f t="shared" si="64"/>
        <v>1</v>
      </c>
      <c r="V857" s="104">
        <f>IFERROR(VLOOKUP(L857,'Raw material list'!$A$2:$S$3102,6,0),0)</f>
        <v>0.83333333333333337</v>
      </c>
      <c r="W857" s="104">
        <f t="shared" si="65"/>
        <v>0.83333333333333337</v>
      </c>
    </row>
    <row r="858" spans="1:23" hidden="1" x14ac:dyDescent="0.55000000000000004">
      <c r="A858" s="41" t="s">
        <v>1531</v>
      </c>
      <c r="B858" s="41" t="s">
        <v>35</v>
      </c>
      <c r="C858" s="41" t="s">
        <v>10</v>
      </c>
      <c r="D858" s="41" t="str">
        <f t="shared" si="66"/>
        <v>Tex Mex Chicken wrap w potato</v>
      </c>
      <c r="E858" s="58" t="s">
        <v>1535</v>
      </c>
      <c r="F858" s="58" t="s">
        <v>2079</v>
      </c>
      <c r="G858" s="41" t="s">
        <v>11</v>
      </c>
      <c r="H858" s="58" t="s">
        <v>1773</v>
      </c>
      <c r="I858" s="41"/>
      <c r="J858" s="41"/>
      <c r="K858" s="41" t="str">
        <f>IFERROR(VLOOKUP(L858,'Raw material list'!$A$3:$C$715,3,0),"")</f>
        <v>PRD2-1166</v>
      </c>
      <c r="L858" s="41" t="s">
        <v>1470</v>
      </c>
      <c r="M858" s="40" t="s">
        <v>156</v>
      </c>
      <c r="N858" s="40" t="str">
        <f>VLOOKUP(L858,'Raw material list'!$A$3:$E$715,5,0)</f>
        <v xml:space="preserve">Gram </v>
      </c>
      <c r="O858" s="40">
        <v>700</v>
      </c>
      <c r="P858" s="299">
        <f t="shared" si="63"/>
        <v>700</v>
      </c>
      <c r="Q858" s="40">
        <v>100</v>
      </c>
      <c r="R858" s="40">
        <v>10</v>
      </c>
      <c r="S858" s="40"/>
      <c r="T858" s="105">
        <f t="shared" si="62"/>
        <v>70</v>
      </c>
      <c r="U858" s="105">
        <f t="shared" si="64"/>
        <v>70</v>
      </c>
      <c r="V858" s="104">
        <f>IFERROR(VLOOKUP(L858,'Raw material list'!$A$2:$S$3102,6,0),0)</f>
        <v>1.0500000000000001E-2</v>
      </c>
      <c r="W858" s="104">
        <f t="shared" si="65"/>
        <v>0.7350000000000001</v>
      </c>
    </row>
    <row r="859" spans="1:23" hidden="1" x14ac:dyDescent="0.55000000000000004">
      <c r="A859" s="41" t="s">
        <v>1531</v>
      </c>
      <c r="B859" s="41" t="s">
        <v>35</v>
      </c>
      <c r="C859" s="41" t="s">
        <v>10</v>
      </c>
      <c r="D859" s="41" t="str">
        <f t="shared" si="66"/>
        <v>Tex Mex Chicken wrap w potato</v>
      </c>
      <c r="E859" s="58" t="s">
        <v>1535</v>
      </c>
      <c r="F859" s="58" t="s">
        <v>2079</v>
      </c>
      <c r="G859" s="41" t="s">
        <v>11</v>
      </c>
      <c r="H859" s="58" t="s">
        <v>1773</v>
      </c>
      <c r="I859" s="76"/>
      <c r="J859" s="41"/>
      <c r="K859" s="41" t="str">
        <f>IFERROR(VLOOKUP(L859,'Raw material list'!$A$3:$C$715,3,0),"")</f>
        <v>PRD1-4265</v>
      </c>
      <c r="L859" s="76" t="s">
        <v>38</v>
      </c>
      <c r="M859" s="40" t="s">
        <v>156</v>
      </c>
      <c r="N859" s="40" t="str">
        <f>VLOOKUP(L859,'Raw material list'!$A$3:$E$715,5,0)</f>
        <v xml:space="preserve">Gram </v>
      </c>
      <c r="O859" s="40">
        <v>150</v>
      </c>
      <c r="P859" s="299">
        <f t="shared" si="63"/>
        <v>176.47058823529412</v>
      </c>
      <c r="Q859" s="105">
        <v>85</v>
      </c>
      <c r="R859" s="40">
        <v>10</v>
      </c>
      <c r="S859" s="40"/>
      <c r="T859" s="105">
        <f t="shared" si="62"/>
        <v>15</v>
      </c>
      <c r="U859" s="105">
        <f t="shared" si="64"/>
        <v>17.647058823529413</v>
      </c>
      <c r="V859" s="104">
        <f>IFERROR(VLOOKUP(L859,'Raw material list'!$A$2:$S$3102,6,0),0)</f>
        <v>3.529411764705882E-3</v>
      </c>
      <c r="W859" s="104">
        <f t="shared" si="65"/>
        <v>6.228373702422145E-2</v>
      </c>
    </row>
    <row r="860" spans="1:23" hidden="1" x14ac:dyDescent="0.55000000000000004">
      <c r="A860" s="41" t="s">
        <v>1531</v>
      </c>
      <c r="B860" s="41" t="s">
        <v>35</v>
      </c>
      <c r="C860" s="41" t="s">
        <v>10</v>
      </c>
      <c r="D860" s="41" t="str">
        <f t="shared" si="66"/>
        <v>Tex Mex Chicken wrap w potato</v>
      </c>
      <c r="E860" s="58" t="s">
        <v>1535</v>
      </c>
      <c r="F860" s="58" t="s">
        <v>2079</v>
      </c>
      <c r="G860" s="41" t="s">
        <v>11</v>
      </c>
      <c r="H860" s="58" t="s">
        <v>1773</v>
      </c>
      <c r="I860" s="76"/>
      <c r="J860" s="41"/>
      <c r="K860" s="41" t="str">
        <f>IFERROR(VLOOKUP(L860,'Raw material list'!$A$3:$C$715,3,0),"")</f>
        <v>PRD1-239</v>
      </c>
      <c r="L860" s="59" t="s">
        <v>1056</v>
      </c>
      <c r="M860" s="40" t="s">
        <v>156</v>
      </c>
      <c r="N860" s="40" t="str">
        <f>VLOOKUP(L860,'Raw material list'!$A$3:$E$715,5,0)</f>
        <v xml:space="preserve">Gram </v>
      </c>
      <c r="O860" s="40">
        <v>100</v>
      </c>
      <c r="P860" s="299">
        <f t="shared" si="63"/>
        <v>148.51485148514854</v>
      </c>
      <c r="Q860" s="105">
        <v>67.333333333333329</v>
      </c>
      <c r="R860" s="40">
        <v>10</v>
      </c>
      <c r="S860" s="40"/>
      <c r="T860" s="105">
        <f t="shared" si="62"/>
        <v>10</v>
      </c>
      <c r="U860" s="105">
        <f t="shared" si="64"/>
        <v>14.851485148514854</v>
      </c>
      <c r="V860" s="104">
        <f>IFERROR(VLOOKUP(L860,'Raw material list'!$A$2:$S$3102,6,0),0)</f>
        <v>6.6864784546805346E-3</v>
      </c>
      <c r="W860" s="104">
        <f t="shared" si="65"/>
        <v>9.9304135465552515E-2</v>
      </c>
    </row>
    <row r="861" spans="1:23" hidden="1" x14ac:dyDescent="0.55000000000000004">
      <c r="A861" s="41" t="s">
        <v>1531</v>
      </c>
      <c r="B861" s="41" t="s">
        <v>35</v>
      </c>
      <c r="C861" s="41" t="s">
        <v>10</v>
      </c>
      <c r="D861" s="41" t="str">
        <f t="shared" si="66"/>
        <v>Tex Mex Chicken wrap w potato</v>
      </c>
      <c r="E861" s="58" t="s">
        <v>1535</v>
      </c>
      <c r="F861" s="58" t="s">
        <v>2079</v>
      </c>
      <c r="G861" s="41" t="s">
        <v>11</v>
      </c>
      <c r="H861" s="58" t="s">
        <v>1773</v>
      </c>
      <c r="I861" s="76"/>
      <c r="J861" s="41"/>
      <c r="K861" s="41" t="str">
        <f>IFERROR(VLOOKUP(L861,'Raw material list'!$A$3:$C$715,3,0),"")</f>
        <v>PRD1-240</v>
      </c>
      <c r="L861" s="76" t="s">
        <v>82</v>
      </c>
      <c r="M861" s="40" t="s">
        <v>156</v>
      </c>
      <c r="N861" s="40" t="str">
        <f>VLOOKUP(L861,'Raw material list'!$A$3:$E$715,5,0)</f>
        <v xml:space="preserve">Gram </v>
      </c>
      <c r="O861" s="40">
        <v>100</v>
      </c>
      <c r="P861" s="299">
        <f t="shared" si="63"/>
        <v>147.78325123152712</v>
      </c>
      <c r="Q861" s="105">
        <v>67.666666666666657</v>
      </c>
      <c r="R861" s="40">
        <v>10</v>
      </c>
      <c r="S861" s="40"/>
      <c r="T861" s="105">
        <f t="shared" si="62"/>
        <v>10</v>
      </c>
      <c r="U861" s="105">
        <f t="shared" si="64"/>
        <v>14.778325123152712</v>
      </c>
      <c r="V861" s="104">
        <f>IFERROR(VLOOKUP(L861,'Raw material list'!$A$2:$S$3102,6,0),0)</f>
        <v>1.3293943870014769E-2</v>
      </c>
      <c r="W861" s="104">
        <f t="shared" si="65"/>
        <v>0.19646222468002125</v>
      </c>
    </row>
    <row r="862" spans="1:23" hidden="1" x14ac:dyDescent="0.55000000000000004">
      <c r="A862" s="41" t="s">
        <v>1531</v>
      </c>
      <c r="B862" s="41" t="s">
        <v>35</v>
      </c>
      <c r="C862" s="41" t="s">
        <v>10</v>
      </c>
      <c r="D862" s="41" t="str">
        <f t="shared" si="66"/>
        <v>Tex Mex Chicken wrap w potato</v>
      </c>
      <c r="E862" s="58" t="s">
        <v>1535</v>
      </c>
      <c r="F862" s="58" t="s">
        <v>2079</v>
      </c>
      <c r="G862" s="41" t="s">
        <v>11</v>
      </c>
      <c r="H862" s="58" t="s">
        <v>1773</v>
      </c>
      <c r="I862" s="76"/>
      <c r="J862" s="41"/>
      <c r="K862" s="41" t="str">
        <f>IFERROR(VLOOKUP(L862,'Raw material list'!$A$3:$C$715,3,0),"")</f>
        <v>PRD1-241</v>
      </c>
      <c r="L862" s="76" t="s">
        <v>1059</v>
      </c>
      <c r="M862" s="40" t="s">
        <v>156</v>
      </c>
      <c r="N862" s="40" t="str">
        <f>VLOOKUP(L862,'Raw material list'!$A$3:$E$715,5,0)</f>
        <v xml:space="preserve">Gram </v>
      </c>
      <c r="O862" s="40">
        <v>100</v>
      </c>
      <c r="P862" s="299">
        <f t="shared" si="63"/>
        <v>146.55593551538837</v>
      </c>
      <c r="Q862" s="105">
        <v>68.233333333333334</v>
      </c>
      <c r="R862" s="40">
        <v>10</v>
      </c>
      <c r="S862" s="40"/>
      <c r="T862" s="105">
        <f t="shared" si="62"/>
        <v>10</v>
      </c>
      <c r="U862" s="105">
        <f t="shared" si="64"/>
        <v>14.655593551538837</v>
      </c>
      <c r="V862" s="104">
        <f>IFERROR(VLOOKUP(L862,'Raw material list'!$A$2:$S$3102,6,0),0)</f>
        <v>1.3196480938416421E-2</v>
      </c>
      <c r="W862" s="104">
        <f t="shared" si="65"/>
        <v>0.19340226094406088</v>
      </c>
    </row>
    <row r="863" spans="1:23" hidden="1" x14ac:dyDescent="0.55000000000000004">
      <c r="A863" s="41" t="s">
        <v>1531</v>
      </c>
      <c r="B863" s="41" t="s">
        <v>35</v>
      </c>
      <c r="C863" s="41" t="s">
        <v>10</v>
      </c>
      <c r="D863" s="41" t="str">
        <f t="shared" si="66"/>
        <v>Tex Mex Chicken wrap w potato</v>
      </c>
      <c r="E863" s="58" t="s">
        <v>1535</v>
      </c>
      <c r="F863" s="58" t="s">
        <v>2079</v>
      </c>
      <c r="G863" s="41" t="s">
        <v>11</v>
      </c>
      <c r="H863" s="58" t="s">
        <v>1773</v>
      </c>
      <c r="I863" s="76"/>
      <c r="J863" s="41"/>
      <c r="K863" s="41" t="str">
        <f>IFERROR(VLOOKUP(L863,'Raw material list'!$A$3:$C$715,3,0),"")</f>
        <v>DRS1-3880</v>
      </c>
      <c r="L863" s="76" t="s">
        <v>1433</v>
      </c>
      <c r="M863" s="40" t="s">
        <v>156</v>
      </c>
      <c r="N863" s="40" t="str">
        <f>VLOOKUP(L863,'Raw material list'!$A$3:$E$715,5,0)</f>
        <v xml:space="preserve">Gram </v>
      </c>
      <c r="O863" s="40">
        <v>10</v>
      </c>
      <c r="P863" s="299">
        <f t="shared" si="63"/>
        <v>10</v>
      </c>
      <c r="Q863" s="300">
        <v>100</v>
      </c>
      <c r="R863" s="40">
        <v>10</v>
      </c>
      <c r="S863" s="40"/>
      <c r="T863" s="105">
        <f t="shared" si="62"/>
        <v>1</v>
      </c>
      <c r="U863" s="105">
        <f t="shared" si="64"/>
        <v>1</v>
      </c>
      <c r="V863" s="104">
        <f>IFERROR(VLOOKUP(L863,'Raw material list'!$A$2:$S$3102,6,0),0)</f>
        <v>5.0000000000000001E-4</v>
      </c>
      <c r="W863" s="104">
        <f t="shared" si="65"/>
        <v>5.0000000000000001E-4</v>
      </c>
    </row>
    <row r="864" spans="1:23" hidden="1" x14ac:dyDescent="0.55000000000000004">
      <c r="A864" s="41" t="s">
        <v>1531</v>
      </c>
      <c r="B864" s="41" t="s">
        <v>35</v>
      </c>
      <c r="C864" s="41" t="s">
        <v>10</v>
      </c>
      <c r="D864" s="41" t="str">
        <f t="shared" si="66"/>
        <v>Tex Mex Chicken wrap w potato</v>
      </c>
      <c r="E864" s="58" t="s">
        <v>1535</v>
      </c>
      <c r="F864" s="58" t="s">
        <v>2079</v>
      </c>
      <c r="G864" s="41" t="s">
        <v>11</v>
      </c>
      <c r="H864" s="58" t="s">
        <v>1773</v>
      </c>
      <c r="I864" s="76"/>
      <c r="J864" s="41"/>
      <c r="K864" s="41" t="str">
        <f>IFERROR(VLOOKUP(L864,'Raw material list'!$A$3:$C$715,3,0),"")</f>
        <v>DRS3-1813</v>
      </c>
      <c r="L864" s="76" t="s">
        <v>69</v>
      </c>
      <c r="M864" s="40" t="s">
        <v>206</v>
      </c>
      <c r="N864" s="40" t="str">
        <f>VLOOKUP(L864,'Raw material list'!$A$3:$E$715,5,0)</f>
        <v>Ml</v>
      </c>
      <c r="O864" s="40">
        <v>250</v>
      </c>
      <c r="P864" s="299">
        <f t="shared" si="63"/>
        <v>250</v>
      </c>
      <c r="Q864" s="40">
        <v>100</v>
      </c>
      <c r="R864" s="40">
        <v>10</v>
      </c>
      <c r="S864" s="40"/>
      <c r="T864" s="105">
        <f t="shared" si="62"/>
        <v>25</v>
      </c>
      <c r="U864" s="105">
        <f t="shared" si="64"/>
        <v>25</v>
      </c>
      <c r="V864" s="104">
        <f>IFERROR(VLOOKUP(L864,'Raw material list'!$A$2:$S$3102,6,0),0)</f>
        <v>8.0555555555555554E-3</v>
      </c>
      <c r="W864" s="104">
        <f t="shared" si="65"/>
        <v>0.2013888888888889</v>
      </c>
    </row>
    <row r="865" spans="1:23" hidden="1" x14ac:dyDescent="0.55000000000000004">
      <c r="A865" s="41" t="s">
        <v>1532</v>
      </c>
      <c r="B865" s="41" t="s">
        <v>35</v>
      </c>
      <c r="C865" s="41" t="s">
        <v>10</v>
      </c>
      <c r="D865" s="41" t="s">
        <v>1526</v>
      </c>
      <c r="E865" s="58" t="s">
        <v>1535</v>
      </c>
      <c r="F865" s="58" t="s">
        <v>2081</v>
      </c>
      <c r="G865" s="41" t="s">
        <v>11</v>
      </c>
      <c r="H865" s="58" t="s">
        <v>1774</v>
      </c>
      <c r="I865" s="76"/>
      <c r="J865" s="41"/>
      <c r="K865" s="41" t="str">
        <f>IFERROR(VLOOKUP(L865,'Raw material list'!$A$3:$C$715,3,0),"")</f>
        <v>MET2-585</v>
      </c>
      <c r="L865" s="76" t="s">
        <v>53</v>
      </c>
      <c r="M865" s="40" t="s">
        <v>156</v>
      </c>
      <c r="N865" s="40" t="str">
        <f>VLOOKUP(L865,'Raw material list'!$A$3:$E$715,5,0)</f>
        <v xml:space="preserve">Gram </v>
      </c>
      <c r="O865" s="40">
        <v>600</v>
      </c>
      <c r="P865" s="299">
        <f t="shared" si="63"/>
        <v>692.84064665127028</v>
      </c>
      <c r="Q865" s="40">
        <v>86.6</v>
      </c>
      <c r="R865" s="40">
        <v>15</v>
      </c>
      <c r="S865" s="40"/>
      <c r="T865" s="105">
        <f t="shared" si="62"/>
        <v>40</v>
      </c>
      <c r="U865" s="105">
        <f t="shared" si="64"/>
        <v>46.18937644341802</v>
      </c>
      <c r="V865" s="104">
        <f>IFERROR(VLOOKUP(L865,'Raw material list'!$A$2:$S$3102,6,0),0)</f>
        <v>4.2630057803468215E-2</v>
      </c>
      <c r="W865" s="104">
        <f t="shared" si="65"/>
        <v>1.9690557876890633</v>
      </c>
    </row>
    <row r="866" spans="1:23" hidden="1" x14ac:dyDescent="0.55000000000000004">
      <c r="A866" s="41" t="s">
        <v>1532</v>
      </c>
      <c r="B866" s="41" t="s">
        <v>35</v>
      </c>
      <c r="C866" s="41" t="s">
        <v>10</v>
      </c>
      <c r="D866" s="41" t="str">
        <f t="shared" ref="D866:D883" si="67">D865</f>
        <v>kabab Halabi</v>
      </c>
      <c r="E866" s="58" t="s">
        <v>1535</v>
      </c>
      <c r="F866" s="58" t="s">
        <v>2081</v>
      </c>
      <c r="G866" s="41" t="s">
        <v>11</v>
      </c>
      <c r="H866" s="58" t="s">
        <v>1774</v>
      </c>
      <c r="I866" s="76"/>
      <c r="J866" s="41"/>
      <c r="K866" s="41" t="str">
        <f>IFERROR(VLOOKUP(L866,'Raw material list'!$A$3:$C$715,3,0),"")</f>
        <v>MET2-3808</v>
      </c>
      <c r="L866" s="76" t="s">
        <v>887</v>
      </c>
      <c r="M866" s="40" t="s">
        <v>156</v>
      </c>
      <c r="N866" s="40" t="str">
        <f>VLOOKUP(L866,'Raw material list'!$A$3:$E$715,5,0)</f>
        <v xml:space="preserve">Gram </v>
      </c>
      <c r="O866" s="40">
        <v>300</v>
      </c>
      <c r="P866" s="299">
        <f t="shared" si="63"/>
        <v>300</v>
      </c>
      <c r="Q866" s="40">
        <v>100</v>
      </c>
      <c r="R866" s="40">
        <v>15</v>
      </c>
      <c r="S866" s="40"/>
      <c r="T866" s="105">
        <f t="shared" si="62"/>
        <v>20</v>
      </c>
      <c r="U866" s="105">
        <f t="shared" si="64"/>
        <v>20</v>
      </c>
      <c r="V866" s="104">
        <f>IFERROR(VLOOKUP(L866,'Raw material list'!$A$2:$S$3102,6,0),0)</f>
        <v>4.2000000000000003E-2</v>
      </c>
      <c r="W866" s="104">
        <f t="shared" si="65"/>
        <v>0.84000000000000008</v>
      </c>
    </row>
    <row r="867" spans="1:23" hidden="1" x14ac:dyDescent="0.55000000000000004">
      <c r="A867" s="41" t="s">
        <v>1532</v>
      </c>
      <c r="B867" s="41" t="s">
        <v>35</v>
      </c>
      <c r="C867" s="41" t="s">
        <v>10</v>
      </c>
      <c r="D867" s="41" t="str">
        <f t="shared" si="67"/>
        <v>kabab Halabi</v>
      </c>
      <c r="E867" s="58" t="s">
        <v>1535</v>
      </c>
      <c r="F867" s="58" t="s">
        <v>2079</v>
      </c>
      <c r="G867" s="41" t="s">
        <v>11</v>
      </c>
      <c r="H867" s="58" t="s">
        <v>1774</v>
      </c>
      <c r="I867" s="76"/>
      <c r="J867" s="41"/>
      <c r="K867" s="41" t="str">
        <f>IFERROR(VLOOKUP(L867,'Raw material list'!$A$3:$C$715,3,0),"")</f>
        <v>DRS3-1813</v>
      </c>
      <c r="L867" s="76" t="s">
        <v>69</v>
      </c>
      <c r="M867" s="40" t="s">
        <v>206</v>
      </c>
      <c r="N867" s="40" t="str">
        <f>VLOOKUP(L867,'Raw material list'!$A$3:$E$715,5,0)</f>
        <v>Ml</v>
      </c>
      <c r="O867" s="40">
        <v>50</v>
      </c>
      <c r="P867" s="299">
        <f t="shared" si="63"/>
        <v>50</v>
      </c>
      <c r="Q867" s="40">
        <v>100</v>
      </c>
      <c r="R867" s="40">
        <v>15</v>
      </c>
      <c r="S867" s="40"/>
      <c r="T867" s="105">
        <f t="shared" si="62"/>
        <v>3.3333333333333335</v>
      </c>
      <c r="U867" s="105">
        <f t="shared" si="64"/>
        <v>3.3333333333333335</v>
      </c>
      <c r="V867" s="104">
        <f>IFERROR(VLOOKUP(L867,'Raw material list'!$A$2:$S$3102,6,0),0)</f>
        <v>8.0555555555555554E-3</v>
      </c>
      <c r="W867" s="104">
        <f t="shared" si="65"/>
        <v>2.6851851851851852E-2</v>
      </c>
    </row>
    <row r="868" spans="1:23" hidden="1" x14ac:dyDescent="0.55000000000000004">
      <c r="A868" s="41" t="s">
        <v>1532</v>
      </c>
      <c r="B868" s="41" t="s">
        <v>35</v>
      </c>
      <c r="C868" s="41" t="s">
        <v>10</v>
      </c>
      <c r="D868" s="41" t="str">
        <f t="shared" si="67"/>
        <v>kabab Halabi</v>
      </c>
      <c r="E868" s="58" t="s">
        <v>1535</v>
      </c>
      <c r="F868" s="58" t="s">
        <v>2079</v>
      </c>
      <c r="G868" s="41" t="s">
        <v>11</v>
      </c>
      <c r="H868" s="58" t="s">
        <v>1774</v>
      </c>
      <c r="I868" s="76"/>
      <c r="J868" s="41"/>
      <c r="K868" s="41" t="str">
        <f>IFERROR(VLOOKUP(L868,'Raw material list'!$A$3:$C$715,3,0),"")</f>
        <v>PRD1-4265</v>
      </c>
      <c r="L868" s="76" t="s">
        <v>38</v>
      </c>
      <c r="M868" s="40" t="s">
        <v>156</v>
      </c>
      <c r="N868" s="40" t="str">
        <f>VLOOKUP(L868,'Raw material list'!$A$3:$E$715,5,0)</f>
        <v xml:space="preserve">Gram </v>
      </c>
      <c r="O868" s="40">
        <v>150</v>
      </c>
      <c r="P868" s="299">
        <f t="shared" si="63"/>
        <v>176.47058823529412</v>
      </c>
      <c r="Q868" s="105">
        <v>85</v>
      </c>
      <c r="R868" s="40">
        <v>15</v>
      </c>
      <c r="S868" s="40"/>
      <c r="T868" s="105">
        <f t="shared" si="62"/>
        <v>10</v>
      </c>
      <c r="U868" s="105">
        <f t="shared" si="64"/>
        <v>11.76470588235294</v>
      </c>
      <c r="V868" s="104">
        <f>IFERROR(VLOOKUP(L868,'Raw material list'!$A$2:$S$3102,6,0),0)</f>
        <v>3.529411764705882E-3</v>
      </c>
      <c r="W868" s="104">
        <f t="shared" si="65"/>
        <v>4.152249134948096E-2</v>
      </c>
    </row>
    <row r="869" spans="1:23" hidden="1" x14ac:dyDescent="0.55000000000000004">
      <c r="A869" s="41" t="s">
        <v>1532</v>
      </c>
      <c r="B869" s="41" t="s">
        <v>35</v>
      </c>
      <c r="C869" s="41" t="s">
        <v>10</v>
      </c>
      <c r="D869" s="41" t="str">
        <f t="shared" si="67"/>
        <v>kabab Halabi</v>
      </c>
      <c r="E869" s="58" t="s">
        <v>1535</v>
      </c>
      <c r="F869" s="58" t="s">
        <v>2079</v>
      </c>
      <c r="G869" s="41" t="s">
        <v>11</v>
      </c>
      <c r="H869" s="58" t="s">
        <v>1774</v>
      </c>
      <c r="I869" s="76"/>
      <c r="J869" s="41"/>
      <c r="K869" s="41" t="str">
        <f>IFERROR(VLOOKUP(L869,'Raw material list'!$A$3:$C$715,3,0),"")</f>
        <v>PRD1-4327</v>
      </c>
      <c r="L869" s="76" t="s">
        <v>39</v>
      </c>
      <c r="M869" s="40" t="s">
        <v>156</v>
      </c>
      <c r="N869" s="40" t="str">
        <f>VLOOKUP(L869,'Raw material list'!$A$3:$E$715,5,0)</f>
        <v xml:space="preserve">Gram </v>
      </c>
      <c r="O869" s="40">
        <v>15</v>
      </c>
      <c r="P869" s="299">
        <f t="shared" si="63"/>
        <v>18.072289156626507</v>
      </c>
      <c r="Q869" s="105">
        <v>83</v>
      </c>
      <c r="R869" s="40">
        <v>15</v>
      </c>
      <c r="S869" s="40"/>
      <c r="T869" s="105">
        <f t="shared" si="62"/>
        <v>1</v>
      </c>
      <c r="U869" s="105">
        <f t="shared" si="64"/>
        <v>1.2048192771084338</v>
      </c>
      <c r="V869" s="104">
        <f>IFERROR(VLOOKUP(L869,'Raw material list'!$A$2:$S$3102,6,0),0)</f>
        <v>1.2999999999999999E-2</v>
      </c>
      <c r="W869" s="104">
        <f t="shared" si="65"/>
        <v>1.566265060240964E-2</v>
      </c>
    </row>
    <row r="870" spans="1:23" hidden="1" x14ac:dyDescent="0.55000000000000004">
      <c r="A870" s="41" t="s">
        <v>1532</v>
      </c>
      <c r="B870" s="41" t="s">
        <v>35</v>
      </c>
      <c r="C870" s="41" t="s">
        <v>10</v>
      </c>
      <c r="D870" s="41" t="str">
        <f t="shared" si="67"/>
        <v>kabab Halabi</v>
      </c>
      <c r="E870" s="58" t="s">
        <v>1535</v>
      </c>
      <c r="F870" s="58" t="s">
        <v>2079</v>
      </c>
      <c r="G870" s="41" t="s">
        <v>11</v>
      </c>
      <c r="H870" s="58" t="s">
        <v>1774</v>
      </c>
      <c r="I870" s="76"/>
      <c r="J870" s="41"/>
      <c r="K870" s="41" t="str">
        <f>IFERROR(VLOOKUP(L870,'Raw material list'!$A$3:$C$715,3,0),"")</f>
        <v>PRD1-240</v>
      </c>
      <c r="L870" s="58" t="s">
        <v>82</v>
      </c>
      <c r="M870" s="40" t="s">
        <v>156</v>
      </c>
      <c r="N870" s="40" t="str">
        <f>VLOOKUP(L870,'Raw material list'!$A$3:$E$715,5,0)</f>
        <v xml:space="preserve">Gram </v>
      </c>
      <c r="O870" s="40">
        <v>200</v>
      </c>
      <c r="P870" s="299">
        <f t="shared" si="63"/>
        <v>295.56650246305423</v>
      </c>
      <c r="Q870" s="105">
        <v>67.666666666666657</v>
      </c>
      <c r="R870" s="40">
        <v>15</v>
      </c>
      <c r="S870" s="40"/>
      <c r="T870" s="105">
        <f t="shared" si="62"/>
        <v>13.333333333333334</v>
      </c>
      <c r="U870" s="105">
        <f t="shared" si="64"/>
        <v>19.70443349753695</v>
      </c>
      <c r="V870" s="104">
        <f>IFERROR(VLOOKUP(L870,'Raw material list'!$A$2:$S$3102,6,0),0)</f>
        <v>1.3293943870014769E-2</v>
      </c>
      <c r="W870" s="104">
        <f t="shared" si="65"/>
        <v>0.26194963290669504</v>
      </c>
    </row>
    <row r="871" spans="1:23" hidden="1" x14ac:dyDescent="0.55000000000000004">
      <c r="A871" s="41" t="s">
        <v>1532</v>
      </c>
      <c r="B871" s="41" t="s">
        <v>35</v>
      </c>
      <c r="C871" s="41" t="s">
        <v>10</v>
      </c>
      <c r="D871" s="41" t="str">
        <f t="shared" si="67"/>
        <v>kabab Halabi</v>
      </c>
      <c r="E871" s="58" t="s">
        <v>1535</v>
      </c>
      <c r="F871" s="58" t="s">
        <v>2079</v>
      </c>
      <c r="G871" s="41" t="s">
        <v>11</v>
      </c>
      <c r="H871" s="58" t="s">
        <v>1774</v>
      </c>
      <c r="I871" s="76"/>
      <c r="J871" s="41"/>
      <c r="K871" s="41" t="str">
        <f>IFERROR(VLOOKUP(L871,'Raw material list'!$A$3:$C$715,3,0),"")</f>
        <v>DRS1-607</v>
      </c>
      <c r="L871" s="58" t="s">
        <v>250</v>
      </c>
      <c r="M871" s="40" t="s">
        <v>156</v>
      </c>
      <c r="N871" s="40" t="str">
        <f>VLOOKUP(L871,'Raw material list'!$A$3:$E$715,5,0)</f>
        <v xml:space="preserve">Gram </v>
      </c>
      <c r="O871" s="40">
        <v>1000</v>
      </c>
      <c r="P871" s="299">
        <f t="shared" si="63"/>
        <v>1000</v>
      </c>
      <c r="Q871" s="300">
        <v>100</v>
      </c>
      <c r="R871" s="40">
        <v>15</v>
      </c>
      <c r="S871" s="40"/>
      <c r="T871" s="105">
        <f t="shared" si="62"/>
        <v>66.666666666666671</v>
      </c>
      <c r="U871" s="105">
        <f t="shared" si="64"/>
        <v>66.666666666666671</v>
      </c>
      <c r="V871" s="104">
        <f>IFERROR(VLOOKUP(L871,'Raw material list'!$A$2:$S$3102,6,0),0)</f>
        <v>5.8823529411764705E-3</v>
      </c>
      <c r="W871" s="104">
        <f t="shared" si="65"/>
        <v>0.39215686274509809</v>
      </c>
    </row>
    <row r="872" spans="1:23" hidden="1" x14ac:dyDescent="0.55000000000000004">
      <c r="A872" s="41" t="s">
        <v>1532</v>
      </c>
      <c r="B872" s="41" t="s">
        <v>35</v>
      </c>
      <c r="C872" s="41" t="s">
        <v>10</v>
      </c>
      <c r="D872" s="41" t="str">
        <f t="shared" si="67"/>
        <v>kabab Halabi</v>
      </c>
      <c r="E872" s="58" t="s">
        <v>1535</v>
      </c>
      <c r="F872" s="58" t="s">
        <v>2079</v>
      </c>
      <c r="G872" s="41" t="s">
        <v>11</v>
      </c>
      <c r="H872" s="58" t="s">
        <v>1774</v>
      </c>
      <c r="I872" s="76"/>
      <c r="J872" s="41"/>
      <c r="K872" s="41" t="str">
        <f>IFERROR(VLOOKUP(L872,'Raw material list'!$A$3:$C$715,3,0),"")</f>
        <v>DRS1-1747</v>
      </c>
      <c r="L872" s="58" t="s">
        <v>44</v>
      </c>
      <c r="M872" s="40" t="s">
        <v>156</v>
      </c>
      <c r="N872" s="40" t="str">
        <f>VLOOKUP(L872,'Raw material list'!$A$3:$E$715,5,0)</f>
        <v xml:space="preserve">Gram </v>
      </c>
      <c r="O872" s="40">
        <v>80</v>
      </c>
      <c r="P872" s="299">
        <f t="shared" si="63"/>
        <v>80</v>
      </c>
      <c r="Q872" s="40">
        <v>100</v>
      </c>
      <c r="R872" s="40">
        <v>15</v>
      </c>
      <c r="S872" s="40"/>
      <c r="T872" s="105">
        <f t="shared" si="62"/>
        <v>5.333333333333333</v>
      </c>
      <c r="U872" s="105">
        <f t="shared" si="64"/>
        <v>5.333333333333333</v>
      </c>
      <c r="V872" s="104">
        <f>IFERROR(VLOOKUP(L872,'Raw material list'!$A$2:$S$3102,6,0),0)</f>
        <v>5.185185185185185E-3</v>
      </c>
      <c r="W872" s="104">
        <f t="shared" si="65"/>
        <v>2.7654320987654319E-2</v>
      </c>
    </row>
    <row r="873" spans="1:23" hidden="1" x14ac:dyDescent="0.55000000000000004">
      <c r="A873" s="41" t="s">
        <v>1532</v>
      </c>
      <c r="B873" s="41" t="s">
        <v>35</v>
      </c>
      <c r="C873" s="41" t="s">
        <v>10</v>
      </c>
      <c r="D873" s="41" t="str">
        <f t="shared" si="67"/>
        <v>kabab Halabi</v>
      </c>
      <c r="E873" s="58" t="s">
        <v>1535</v>
      </c>
      <c r="F873" s="58" t="s">
        <v>2079</v>
      </c>
      <c r="G873" s="41" t="s">
        <v>11</v>
      </c>
      <c r="H873" s="58" t="s">
        <v>1774</v>
      </c>
      <c r="I873" s="76"/>
      <c r="J873" s="41"/>
      <c r="K873" s="41" t="str">
        <f>IFERROR(VLOOKUP(L873,'Raw material list'!$A$3:$C$715,3,0),"")</f>
        <v>TAP-00001</v>
      </c>
      <c r="L873" s="58" t="s">
        <v>1405</v>
      </c>
      <c r="M873" s="40" t="s">
        <v>206</v>
      </c>
      <c r="N873" s="40" t="str">
        <f>VLOOKUP(L873,'Raw material list'!$A$3:$E$715,5,0)</f>
        <v>Ml</v>
      </c>
      <c r="O873" s="40">
        <v>300</v>
      </c>
      <c r="P873" s="299">
        <f t="shared" si="63"/>
        <v>300</v>
      </c>
      <c r="Q873" s="40">
        <v>100</v>
      </c>
      <c r="R873" s="40">
        <v>15</v>
      </c>
      <c r="S873" s="40"/>
      <c r="T873" s="105">
        <f t="shared" si="62"/>
        <v>20</v>
      </c>
      <c r="U873" s="105">
        <f t="shared" si="64"/>
        <v>20</v>
      </c>
      <c r="V873" s="104">
        <f>IFERROR(VLOOKUP(L873,'Raw material list'!$A$2:$S$3102,6,0),0)</f>
        <v>8.0000000000000007E-5</v>
      </c>
      <c r="W873" s="104">
        <f t="shared" si="65"/>
        <v>1.6000000000000001E-3</v>
      </c>
    </row>
    <row r="874" spans="1:23" s="78" customFormat="1" hidden="1" x14ac:dyDescent="0.55000000000000004">
      <c r="A874" s="41" t="s">
        <v>1532</v>
      </c>
      <c r="B874" s="41" t="s">
        <v>35</v>
      </c>
      <c r="C874" s="41" t="s">
        <v>10</v>
      </c>
      <c r="D874" s="41" t="str">
        <f t="shared" si="67"/>
        <v>kabab Halabi</v>
      </c>
      <c r="E874" s="58" t="s">
        <v>1535</v>
      </c>
      <c r="F874" s="58" t="s">
        <v>2079</v>
      </c>
      <c r="G874" s="41" t="s">
        <v>11</v>
      </c>
      <c r="H874" s="58" t="s">
        <v>1774</v>
      </c>
      <c r="I874" s="77"/>
      <c r="J874" s="41"/>
      <c r="K874" s="41" t="str">
        <f>IFERROR(VLOOKUP(L874,'Raw material list'!$A$3:$C$715,3,0),"")</f>
        <v>DRS6-537</v>
      </c>
      <c r="L874" s="58" t="s">
        <v>46</v>
      </c>
      <c r="M874" s="40" t="s">
        <v>156</v>
      </c>
      <c r="N874" s="40" t="str">
        <f>VLOOKUP(L874,'Raw material list'!$A$3:$E$715,5,0)</f>
        <v xml:space="preserve">Gram </v>
      </c>
      <c r="O874" s="40">
        <v>2</v>
      </c>
      <c r="P874" s="299">
        <f t="shared" si="63"/>
        <v>2</v>
      </c>
      <c r="Q874" s="40">
        <v>100</v>
      </c>
      <c r="R874" s="40">
        <v>15</v>
      </c>
      <c r="S874" s="40"/>
      <c r="T874" s="105">
        <f t="shared" si="62"/>
        <v>0.13333333333333333</v>
      </c>
      <c r="U874" s="105">
        <f t="shared" si="64"/>
        <v>0.13333333333333333</v>
      </c>
      <c r="V874" s="104">
        <f>IFERROR(VLOOKUP(L874,'Raw material list'!$A$2:$S$3102,6,0),0)</f>
        <v>3.5000000000000003E-2</v>
      </c>
      <c r="W874" s="104">
        <f t="shared" si="65"/>
        <v>4.6666666666666671E-3</v>
      </c>
    </row>
    <row r="875" spans="1:23" s="79" customFormat="1" hidden="1" x14ac:dyDescent="0.55000000000000004">
      <c r="A875" s="41" t="s">
        <v>1532</v>
      </c>
      <c r="B875" s="41" t="s">
        <v>35</v>
      </c>
      <c r="C875" s="41" t="s">
        <v>10</v>
      </c>
      <c r="D875" s="58" t="str">
        <f t="shared" si="67"/>
        <v>kabab Halabi</v>
      </c>
      <c r="E875" s="58" t="s">
        <v>1535</v>
      </c>
      <c r="F875" s="58" t="s">
        <v>2079</v>
      </c>
      <c r="G875" s="41" t="s">
        <v>11</v>
      </c>
      <c r="H875" s="58" t="s">
        <v>1774</v>
      </c>
      <c r="I875" s="58"/>
      <c r="J875" s="41"/>
      <c r="K875" s="41" t="str">
        <f>IFERROR(VLOOKUP(L875,'Raw material list'!$A$3:$C$715,3,0),"")</f>
        <v>DRS1-978</v>
      </c>
      <c r="L875" s="58" t="s">
        <v>56</v>
      </c>
      <c r="M875" s="40" t="s">
        <v>156</v>
      </c>
      <c r="N875" s="40" t="str">
        <f>VLOOKUP(L875,'Raw material list'!$A$3:$E$715,5,0)</f>
        <v xml:space="preserve">Gram </v>
      </c>
      <c r="O875" s="40">
        <v>5</v>
      </c>
      <c r="P875" s="299">
        <f t="shared" si="63"/>
        <v>5</v>
      </c>
      <c r="Q875" s="40">
        <v>100</v>
      </c>
      <c r="R875" s="40">
        <v>15</v>
      </c>
      <c r="S875" s="40"/>
      <c r="T875" s="105">
        <f t="shared" si="62"/>
        <v>0.33333333333333331</v>
      </c>
      <c r="U875" s="105">
        <f t="shared" si="64"/>
        <v>0.33333333333333331</v>
      </c>
      <c r="V875" s="104">
        <f>IFERROR(VLOOKUP(L875,'Raw material list'!$A$2:$S$3102,6,0),0)</f>
        <v>2.3999999999999998E-3</v>
      </c>
      <c r="W875" s="104">
        <f t="shared" si="65"/>
        <v>7.9999999999999993E-4</v>
      </c>
    </row>
    <row r="876" spans="1:23" s="79" customFormat="1" hidden="1" x14ac:dyDescent="0.55000000000000004">
      <c r="A876" s="41" t="s">
        <v>1532</v>
      </c>
      <c r="B876" s="41" t="s">
        <v>35</v>
      </c>
      <c r="C876" s="41" t="s">
        <v>10</v>
      </c>
      <c r="D876" s="58" t="str">
        <f t="shared" si="67"/>
        <v>kabab Halabi</v>
      </c>
      <c r="E876" s="58" t="s">
        <v>1535</v>
      </c>
      <c r="F876" s="58" t="s">
        <v>2079</v>
      </c>
      <c r="G876" s="41" t="s">
        <v>11</v>
      </c>
      <c r="H876" s="58" t="s">
        <v>1774</v>
      </c>
      <c r="I876" s="58"/>
      <c r="J876" s="41"/>
      <c r="K876" s="41" t="str">
        <f>IFERROR(VLOOKUP(L876,'Raw material list'!$A$3:$C$715,3,0),"")</f>
        <v>DRS1-3880</v>
      </c>
      <c r="L876" s="58" t="s">
        <v>1433</v>
      </c>
      <c r="M876" s="40" t="s">
        <v>156</v>
      </c>
      <c r="N876" s="40" t="str">
        <f>VLOOKUP(L876,'Raw material list'!$A$3:$E$715,5,0)</f>
        <v xml:space="preserve">Gram </v>
      </c>
      <c r="O876" s="40">
        <v>5</v>
      </c>
      <c r="P876" s="299">
        <f t="shared" si="63"/>
        <v>5</v>
      </c>
      <c r="Q876" s="40">
        <v>100</v>
      </c>
      <c r="R876" s="40">
        <v>15</v>
      </c>
      <c r="S876" s="40"/>
      <c r="T876" s="105">
        <f t="shared" si="62"/>
        <v>0.33333333333333331</v>
      </c>
      <c r="U876" s="105">
        <f t="shared" si="64"/>
        <v>0.33333333333333331</v>
      </c>
      <c r="V876" s="104">
        <f>IFERROR(VLOOKUP(L876,'Raw material list'!$A$2:$S$3102,6,0),0)</f>
        <v>5.0000000000000001E-4</v>
      </c>
      <c r="W876" s="104">
        <f t="shared" si="65"/>
        <v>1.6666666666666666E-4</v>
      </c>
    </row>
    <row r="877" spans="1:23" s="79" customFormat="1" hidden="1" x14ac:dyDescent="0.55000000000000004">
      <c r="A877" s="41" t="s">
        <v>1532</v>
      </c>
      <c r="B877" s="41" t="s">
        <v>35</v>
      </c>
      <c r="C877" s="41" t="s">
        <v>10</v>
      </c>
      <c r="D877" s="58" t="str">
        <f t="shared" si="67"/>
        <v>kabab Halabi</v>
      </c>
      <c r="E877" s="58" t="s">
        <v>1535</v>
      </c>
      <c r="F877" s="58" t="s">
        <v>2079</v>
      </c>
      <c r="G877" s="41" t="s">
        <v>11</v>
      </c>
      <c r="H877" s="58" t="s">
        <v>1774</v>
      </c>
      <c r="I877" s="58"/>
      <c r="J877" s="41"/>
      <c r="K877" s="41" t="str">
        <f>IFERROR(VLOOKUP(L877,'Raw material list'!$A$3:$C$715,3,0),"")</f>
        <v>DRS1-3813</v>
      </c>
      <c r="L877" s="58" t="s">
        <v>67</v>
      </c>
      <c r="M877" s="40" t="s">
        <v>156</v>
      </c>
      <c r="N877" s="40" t="str">
        <f>VLOOKUP(L877,'Raw material list'!$A$3:$E$715,5,0)</f>
        <v xml:space="preserve">Gram </v>
      </c>
      <c r="O877" s="40">
        <v>15</v>
      </c>
      <c r="P877" s="299">
        <f t="shared" si="63"/>
        <v>15</v>
      </c>
      <c r="Q877" s="40">
        <v>100</v>
      </c>
      <c r="R877" s="40">
        <v>15</v>
      </c>
      <c r="S877" s="40"/>
      <c r="T877" s="105">
        <f t="shared" si="62"/>
        <v>1</v>
      </c>
      <c r="U877" s="105">
        <f t="shared" si="64"/>
        <v>1</v>
      </c>
      <c r="V877" s="104">
        <f>IFERROR(VLOOKUP(L877,'Raw material list'!$A$2:$S$3102,6,0),0)</f>
        <v>4.4441666666666664E-2</v>
      </c>
      <c r="W877" s="104">
        <f t="shared" si="65"/>
        <v>4.4441666666666664E-2</v>
      </c>
    </row>
    <row r="878" spans="1:23" s="79" customFormat="1" hidden="1" x14ac:dyDescent="0.55000000000000004">
      <c r="A878" s="41" t="s">
        <v>1532</v>
      </c>
      <c r="B878" s="41" t="s">
        <v>35</v>
      </c>
      <c r="C878" s="41" t="s">
        <v>10</v>
      </c>
      <c r="D878" s="58" t="str">
        <f t="shared" si="67"/>
        <v>kabab Halabi</v>
      </c>
      <c r="E878" s="58" t="s">
        <v>1535</v>
      </c>
      <c r="F878" s="58" t="s">
        <v>2079</v>
      </c>
      <c r="G878" s="41" t="s">
        <v>11</v>
      </c>
      <c r="H878" s="58" t="s">
        <v>1774</v>
      </c>
      <c r="I878" s="58"/>
      <c r="J878" s="41"/>
      <c r="K878" s="41" t="str">
        <f>IFERROR(VLOOKUP(L878,'Raw material list'!$A$3:$C$715,3,0),"")</f>
        <v>DRS4-498</v>
      </c>
      <c r="L878" s="58" t="s">
        <v>72</v>
      </c>
      <c r="M878" s="40" t="s">
        <v>156</v>
      </c>
      <c r="N878" s="40" t="str">
        <f>VLOOKUP(L878,'Raw material list'!$A$3:$E$715,5,0)</f>
        <v xml:space="preserve">Gram </v>
      </c>
      <c r="O878" s="40">
        <v>1000</v>
      </c>
      <c r="P878" s="299">
        <f t="shared" si="63"/>
        <v>1000</v>
      </c>
      <c r="Q878" s="40">
        <v>100</v>
      </c>
      <c r="R878" s="40">
        <v>15</v>
      </c>
      <c r="S878" s="40"/>
      <c r="T878" s="105">
        <f t="shared" si="62"/>
        <v>66.666666666666671</v>
      </c>
      <c r="U878" s="105">
        <f t="shared" si="64"/>
        <v>66.666666666666671</v>
      </c>
      <c r="V878" s="104">
        <f>IFERROR(VLOOKUP(L878,'Raw material list'!$A$2:$S$3102,6,0),0)</f>
        <v>5.7499999999999999E-3</v>
      </c>
      <c r="W878" s="104">
        <f t="shared" si="65"/>
        <v>0.38333333333333336</v>
      </c>
    </row>
    <row r="879" spans="1:23" s="79" customFormat="1" hidden="1" x14ac:dyDescent="0.55000000000000004">
      <c r="A879" s="41" t="s">
        <v>1532</v>
      </c>
      <c r="B879" s="41" t="s">
        <v>35</v>
      </c>
      <c r="C879" s="41" t="s">
        <v>10</v>
      </c>
      <c r="D879" s="58" t="str">
        <f t="shared" si="67"/>
        <v>kabab Halabi</v>
      </c>
      <c r="E879" s="58" t="s">
        <v>1535</v>
      </c>
      <c r="F879" s="58" t="s">
        <v>2079</v>
      </c>
      <c r="G879" s="41" t="s">
        <v>11</v>
      </c>
      <c r="H879" s="58" t="s">
        <v>1774</v>
      </c>
      <c r="I879" s="58"/>
      <c r="J879" s="41"/>
      <c r="K879" s="41" t="str">
        <f>IFERROR(VLOOKUP(L879,'Raw material list'!$A$3:$C$715,3,0),"")</f>
        <v>DRS1-3880</v>
      </c>
      <c r="L879" s="58" t="s">
        <v>1433</v>
      </c>
      <c r="M879" s="40" t="s">
        <v>156</v>
      </c>
      <c r="N879" s="40" t="str">
        <f>VLOOKUP(L879,'Raw material list'!$A$3:$E$715,5,0)</f>
        <v xml:space="preserve">Gram </v>
      </c>
      <c r="O879" s="40">
        <v>10</v>
      </c>
      <c r="P879" s="299">
        <f t="shared" si="63"/>
        <v>10</v>
      </c>
      <c r="Q879" s="40">
        <v>100</v>
      </c>
      <c r="R879" s="40">
        <v>15</v>
      </c>
      <c r="S879" s="40"/>
      <c r="T879" s="105">
        <f t="shared" si="62"/>
        <v>0.66666666666666663</v>
      </c>
      <c r="U879" s="105">
        <f t="shared" si="64"/>
        <v>0.66666666666666663</v>
      </c>
      <c r="V879" s="104">
        <f>IFERROR(VLOOKUP(L879,'Raw material list'!$A$2:$S$3102,6,0),0)</f>
        <v>5.0000000000000001E-4</v>
      </c>
      <c r="W879" s="104">
        <f t="shared" si="65"/>
        <v>3.3333333333333332E-4</v>
      </c>
    </row>
    <row r="880" spans="1:23" s="79" customFormat="1" hidden="1" x14ac:dyDescent="0.55000000000000004">
      <c r="A880" s="41" t="s">
        <v>1532</v>
      </c>
      <c r="B880" s="41" t="s">
        <v>35</v>
      </c>
      <c r="C880" s="41" t="s">
        <v>10</v>
      </c>
      <c r="D880" s="58" t="str">
        <f t="shared" si="67"/>
        <v>kabab Halabi</v>
      </c>
      <c r="E880" s="58" t="s">
        <v>1535</v>
      </c>
      <c r="F880" s="58" t="s">
        <v>2079</v>
      </c>
      <c r="G880" s="41" t="s">
        <v>11</v>
      </c>
      <c r="H880" s="58" t="s">
        <v>1774</v>
      </c>
      <c r="I880" s="58"/>
      <c r="J880" s="41"/>
      <c r="K880" s="41" t="str">
        <f>IFERROR(VLOOKUP(L880,'Raw material list'!$A$3:$C$715,3,0),"")</f>
        <v>DRS3-1813</v>
      </c>
      <c r="L880" s="58" t="s">
        <v>69</v>
      </c>
      <c r="M880" s="40" t="s">
        <v>206</v>
      </c>
      <c r="N880" s="40" t="str">
        <f>VLOOKUP(L880,'Raw material list'!$A$3:$E$715,5,0)</f>
        <v>Ml</v>
      </c>
      <c r="O880" s="40">
        <v>40</v>
      </c>
      <c r="P880" s="299">
        <f t="shared" si="63"/>
        <v>40</v>
      </c>
      <c r="Q880" s="40">
        <v>100</v>
      </c>
      <c r="R880" s="40">
        <v>15</v>
      </c>
      <c r="S880" s="40"/>
      <c r="T880" s="105">
        <f t="shared" si="62"/>
        <v>2.6666666666666665</v>
      </c>
      <c r="U880" s="105">
        <f t="shared" si="64"/>
        <v>2.6666666666666665</v>
      </c>
      <c r="V880" s="104">
        <f>IFERROR(VLOOKUP(L880,'Raw material list'!$A$2:$S$3102,6,0),0)</f>
        <v>8.0555555555555554E-3</v>
      </c>
      <c r="W880" s="104">
        <f t="shared" si="65"/>
        <v>2.148148148148148E-2</v>
      </c>
    </row>
    <row r="881" spans="1:23" s="79" customFormat="1" hidden="1" x14ac:dyDescent="0.55000000000000004">
      <c r="A881" s="41" t="s">
        <v>1532</v>
      </c>
      <c r="B881" s="41" t="s">
        <v>35</v>
      </c>
      <c r="C881" s="41" t="s">
        <v>10</v>
      </c>
      <c r="D881" s="58" t="str">
        <f t="shared" si="67"/>
        <v>kabab Halabi</v>
      </c>
      <c r="E881" s="58" t="s">
        <v>1535</v>
      </c>
      <c r="F881" s="58" t="s">
        <v>2079</v>
      </c>
      <c r="G881" s="41" t="s">
        <v>11</v>
      </c>
      <c r="H881" s="58" t="s">
        <v>1774</v>
      </c>
      <c r="I881" s="58"/>
      <c r="J881" s="41"/>
      <c r="K881" s="41" t="str">
        <f>IFERROR(VLOOKUP(L881,'Raw material list'!$A$3:$C$715,3,0),"")</f>
        <v>TAP-00001</v>
      </c>
      <c r="L881" s="58" t="s">
        <v>1405</v>
      </c>
      <c r="M881" s="40" t="s">
        <v>206</v>
      </c>
      <c r="N881" s="40" t="str">
        <f>VLOOKUP(L881,'Raw material list'!$A$3:$E$715,5,0)</f>
        <v>Ml</v>
      </c>
      <c r="O881" s="40">
        <v>1500</v>
      </c>
      <c r="P881" s="299">
        <f t="shared" si="63"/>
        <v>1500</v>
      </c>
      <c r="Q881" s="40">
        <v>100</v>
      </c>
      <c r="R881" s="40">
        <v>15</v>
      </c>
      <c r="S881" s="40"/>
      <c r="T881" s="105">
        <f t="shared" si="62"/>
        <v>100</v>
      </c>
      <c r="U881" s="105">
        <f t="shared" si="64"/>
        <v>100</v>
      </c>
      <c r="V881" s="104">
        <f>IFERROR(VLOOKUP(L881,'Raw material list'!$A$2:$S$3102,6,0),0)</f>
        <v>8.0000000000000007E-5</v>
      </c>
      <c r="W881" s="104">
        <f t="shared" si="65"/>
        <v>8.0000000000000002E-3</v>
      </c>
    </row>
    <row r="882" spans="1:23" s="79" customFormat="1" hidden="1" x14ac:dyDescent="0.55000000000000004">
      <c r="A882" s="41" t="s">
        <v>1532</v>
      </c>
      <c r="B882" s="41" t="s">
        <v>35</v>
      </c>
      <c r="C882" s="41" t="s">
        <v>10</v>
      </c>
      <c r="D882" s="58" t="str">
        <f t="shared" si="67"/>
        <v>kabab Halabi</v>
      </c>
      <c r="E882" s="58" t="s">
        <v>1535</v>
      </c>
      <c r="F882" s="58" t="s">
        <v>2079</v>
      </c>
      <c r="G882" s="41" t="s">
        <v>11</v>
      </c>
      <c r="H882" s="58" t="s">
        <v>1774</v>
      </c>
      <c r="I882" s="58"/>
      <c r="J882" s="41"/>
      <c r="K882" s="41" t="str">
        <f>IFERROR(VLOOKUP(L882,'Raw material list'!$A$3:$C$715,3,0),"")</f>
        <v>DRS6-3593</v>
      </c>
      <c r="L882" s="58" t="s">
        <v>1407</v>
      </c>
      <c r="M882" s="40" t="s">
        <v>156</v>
      </c>
      <c r="N882" s="40" t="str">
        <f>VLOOKUP(L882,'Raw material list'!$A$3:$E$715,5,0)</f>
        <v xml:space="preserve">Gram </v>
      </c>
      <c r="O882" s="40">
        <v>1</v>
      </c>
      <c r="P882" s="299">
        <f t="shared" si="63"/>
        <v>1</v>
      </c>
      <c r="Q882" s="40">
        <v>100</v>
      </c>
      <c r="R882" s="40">
        <v>15</v>
      </c>
      <c r="S882" s="40"/>
      <c r="T882" s="105">
        <f t="shared" si="62"/>
        <v>6.6666666666666666E-2</v>
      </c>
      <c r="U882" s="105">
        <f t="shared" si="64"/>
        <v>6.6666666666666666E-2</v>
      </c>
      <c r="V882" s="104">
        <f>IFERROR(VLOOKUP(L882,'Raw material list'!$A$2:$S$3102,6,0),0)</f>
        <v>8.0000000000000002E-3</v>
      </c>
      <c r="W882" s="104">
        <f t="shared" si="65"/>
        <v>5.3333333333333336E-4</v>
      </c>
    </row>
    <row r="883" spans="1:23" s="79" customFormat="1" hidden="1" x14ac:dyDescent="0.55000000000000004">
      <c r="A883" s="41" t="s">
        <v>1532</v>
      </c>
      <c r="B883" s="41" t="s">
        <v>35</v>
      </c>
      <c r="C883" s="41" t="s">
        <v>10</v>
      </c>
      <c r="D883" s="58" t="str">
        <f t="shared" si="67"/>
        <v>kabab Halabi</v>
      </c>
      <c r="E883" s="58" t="s">
        <v>1535</v>
      </c>
      <c r="F883" s="58" t="s">
        <v>2079</v>
      </c>
      <c r="G883" s="41" t="s">
        <v>11</v>
      </c>
      <c r="H883" s="58" t="s">
        <v>1774</v>
      </c>
      <c r="I883" s="58"/>
      <c r="J883" s="41"/>
      <c r="K883" s="41" t="str">
        <f>IFERROR(VLOOKUP(L883,'Raw material list'!$A$3:$C$715,3,0),"")</f>
        <v>DRS6-261</v>
      </c>
      <c r="L883" s="58" t="s">
        <v>1406</v>
      </c>
      <c r="M883" s="40" t="s">
        <v>156</v>
      </c>
      <c r="N883" s="40" t="str">
        <f>VLOOKUP(L883,'Raw material list'!$A$3:$E$715,5,0)</f>
        <v xml:space="preserve">Gram </v>
      </c>
      <c r="O883" s="40">
        <v>2</v>
      </c>
      <c r="P883" s="299">
        <f t="shared" si="63"/>
        <v>2</v>
      </c>
      <c r="Q883" s="40">
        <v>100</v>
      </c>
      <c r="R883" s="40">
        <v>15</v>
      </c>
      <c r="S883" s="40"/>
      <c r="T883" s="105">
        <f t="shared" si="62"/>
        <v>0.13333333333333333</v>
      </c>
      <c r="U883" s="105">
        <f t="shared" si="64"/>
        <v>0.13333333333333333</v>
      </c>
      <c r="V883" s="104">
        <f>IFERROR(VLOOKUP(L883,'Raw material list'!$A$2:$S$3102,6,0),0)</f>
        <v>1.4E-2</v>
      </c>
      <c r="W883" s="104">
        <f t="shared" si="65"/>
        <v>1.8666666666666666E-3</v>
      </c>
    </row>
    <row r="884" spans="1:23" s="79" customFormat="1" hidden="1" x14ac:dyDescent="0.55000000000000004">
      <c r="A884" s="41" t="s">
        <v>1533</v>
      </c>
      <c r="B884" s="41" t="s">
        <v>35</v>
      </c>
      <c r="C884" s="41" t="s">
        <v>10</v>
      </c>
      <c r="D884" s="58" t="s">
        <v>1791</v>
      </c>
      <c r="E884" s="58" t="s">
        <v>1535</v>
      </c>
      <c r="F884" s="58" t="s">
        <v>2081</v>
      </c>
      <c r="G884" s="41" t="s">
        <v>11</v>
      </c>
      <c r="H884" s="58" t="s">
        <v>1774</v>
      </c>
      <c r="I884" s="58"/>
      <c r="J884" s="41"/>
      <c r="K884" s="41" t="str">
        <f>IFERROR(VLOOKUP(L884,'Raw material list'!$A$3:$C$715,3,0),"")</f>
        <v>SFD2-312</v>
      </c>
      <c r="L884" s="58" t="s">
        <v>109</v>
      </c>
      <c r="M884" s="40" t="s">
        <v>156</v>
      </c>
      <c r="N884" s="40" t="str">
        <f>VLOOKUP(L884,'Raw material list'!$A$3:$E$715,5,0)</f>
        <v xml:space="preserve">Gram </v>
      </c>
      <c r="O884" s="40">
        <v>1200</v>
      </c>
      <c r="P884" s="299">
        <f t="shared" si="63"/>
        <v>1637.1077762619373</v>
      </c>
      <c r="Q884" s="40">
        <v>73.3</v>
      </c>
      <c r="R884" s="40">
        <v>10</v>
      </c>
      <c r="S884" s="40"/>
      <c r="T884" s="105">
        <f t="shared" si="62"/>
        <v>120</v>
      </c>
      <c r="U884" s="105">
        <f t="shared" si="64"/>
        <v>163.71077762619373</v>
      </c>
      <c r="V884" s="104">
        <f>IFERROR(VLOOKUP(L884,'Raw material list'!$A$2:$S$3102,6,0),0)</f>
        <v>3.2786885245901641E-2</v>
      </c>
      <c r="W884" s="104">
        <f t="shared" si="65"/>
        <v>5.3675664795473361</v>
      </c>
    </row>
    <row r="885" spans="1:23" s="79" customFormat="1" hidden="1" x14ac:dyDescent="0.55000000000000004">
      <c r="A885" s="41" t="s">
        <v>1533</v>
      </c>
      <c r="B885" s="41" t="s">
        <v>35</v>
      </c>
      <c r="C885" s="41" t="s">
        <v>10</v>
      </c>
      <c r="D885" s="58" t="str">
        <f t="shared" ref="D885:D906" si="68">D884</f>
        <v>Greek Baked Fish,Spinach Rice</v>
      </c>
      <c r="E885" s="58" t="s">
        <v>1535</v>
      </c>
      <c r="F885" s="58" t="s">
        <v>2079</v>
      </c>
      <c r="G885" s="41" t="s">
        <v>11</v>
      </c>
      <c r="H885" s="58" t="s">
        <v>1774</v>
      </c>
      <c r="I885" s="58"/>
      <c r="J885" s="41"/>
      <c r="K885" s="41" t="str">
        <f>IFERROR(VLOOKUP(L885,'Raw material list'!$A$3:$C$715,3,0),"")</f>
        <v>DRS4-498</v>
      </c>
      <c r="L885" s="58" t="s">
        <v>72</v>
      </c>
      <c r="M885" s="40" t="s">
        <v>156</v>
      </c>
      <c r="N885" s="40" t="str">
        <f>VLOOKUP(L885,'Raw material list'!$A$3:$E$715,5,0)</f>
        <v xml:space="preserve">Gram </v>
      </c>
      <c r="O885" s="40">
        <v>1000</v>
      </c>
      <c r="P885" s="299">
        <f t="shared" si="63"/>
        <v>1000</v>
      </c>
      <c r="Q885" s="40">
        <v>100</v>
      </c>
      <c r="R885" s="40">
        <v>10</v>
      </c>
      <c r="S885" s="40"/>
      <c r="T885" s="105">
        <f t="shared" si="62"/>
        <v>100</v>
      </c>
      <c r="U885" s="105">
        <f t="shared" si="64"/>
        <v>100</v>
      </c>
      <c r="V885" s="104">
        <f>IFERROR(VLOOKUP(L885,'Raw material list'!$A$2:$S$3102,6,0),0)</f>
        <v>5.7499999999999999E-3</v>
      </c>
      <c r="W885" s="104">
        <f t="shared" si="65"/>
        <v>0.57499999999999996</v>
      </c>
    </row>
    <row r="886" spans="1:23" s="79" customFormat="1" hidden="1" x14ac:dyDescent="0.55000000000000004">
      <c r="A886" s="41" t="s">
        <v>1533</v>
      </c>
      <c r="B886" s="41" t="s">
        <v>35</v>
      </c>
      <c r="C886" s="41" t="s">
        <v>10</v>
      </c>
      <c r="D886" s="58" t="str">
        <f t="shared" si="68"/>
        <v>Greek Baked Fish,Spinach Rice</v>
      </c>
      <c r="E886" s="58" t="s">
        <v>1535</v>
      </c>
      <c r="F886" s="58" t="s">
        <v>2079</v>
      </c>
      <c r="G886" s="41" t="s">
        <v>11</v>
      </c>
      <c r="H886" s="58" t="s">
        <v>1774</v>
      </c>
      <c r="I886" s="58"/>
      <c r="J886" s="41"/>
      <c r="K886" s="41" t="str">
        <f>IFERROR(VLOOKUP(L886,'Raw material list'!$A$3:$C$715,3,0),"")</f>
        <v>PRD2-363</v>
      </c>
      <c r="L886" s="58" t="s">
        <v>948</v>
      </c>
      <c r="M886" s="40" t="s">
        <v>156</v>
      </c>
      <c r="N886" s="40" t="str">
        <f>VLOOKUP(L886,'Raw material list'!$A$3:$E$715,5,0)</f>
        <v xml:space="preserve">Gram </v>
      </c>
      <c r="O886" s="40">
        <v>200</v>
      </c>
      <c r="P886" s="299">
        <f t="shared" si="63"/>
        <v>200</v>
      </c>
      <c r="Q886" s="40">
        <v>100</v>
      </c>
      <c r="R886" s="40">
        <v>10</v>
      </c>
      <c r="S886" s="40"/>
      <c r="T886" s="105">
        <f t="shared" si="62"/>
        <v>20</v>
      </c>
      <c r="U886" s="105">
        <f t="shared" si="64"/>
        <v>20</v>
      </c>
      <c r="V886" s="104">
        <f>IFERROR(VLOOKUP(L886,'Raw material list'!$A$2:$S$3102,6,0),0)</f>
        <v>5.875E-3</v>
      </c>
      <c r="W886" s="104">
        <f t="shared" si="65"/>
        <v>0.11749999999999999</v>
      </c>
    </row>
    <row r="887" spans="1:23" s="79" customFormat="1" hidden="1" x14ac:dyDescent="0.55000000000000004">
      <c r="A887" s="41" t="s">
        <v>1533</v>
      </c>
      <c r="B887" s="41" t="s">
        <v>35</v>
      </c>
      <c r="C887" s="41" t="s">
        <v>10</v>
      </c>
      <c r="D887" s="58" t="str">
        <f t="shared" si="68"/>
        <v>Greek Baked Fish,Spinach Rice</v>
      </c>
      <c r="E887" s="58" t="s">
        <v>1535</v>
      </c>
      <c r="F887" s="58" t="s">
        <v>2079</v>
      </c>
      <c r="G887" s="41" t="s">
        <v>11</v>
      </c>
      <c r="H887" s="58" t="s">
        <v>1774</v>
      </c>
      <c r="I887" s="58"/>
      <c r="J887" s="41"/>
      <c r="K887" s="41" t="str">
        <f>IFERROR(VLOOKUP(L887,'Raw material list'!$A$3:$C$715,3,0),"")</f>
        <v>DRS6-309</v>
      </c>
      <c r="L887" s="58" t="s">
        <v>61</v>
      </c>
      <c r="M887" s="40" t="s">
        <v>156</v>
      </c>
      <c r="N887" s="40" t="str">
        <f>VLOOKUP(L887,'Raw material list'!$A$3:$E$715,5,0)</f>
        <v xml:space="preserve">Gram </v>
      </c>
      <c r="O887" s="40">
        <v>2</v>
      </c>
      <c r="P887" s="299">
        <f t="shared" si="63"/>
        <v>2</v>
      </c>
      <c r="Q887" s="40">
        <v>100</v>
      </c>
      <c r="R887" s="40">
        <v>10</v>
      </c>
      <c r="S887" s="40"/>
      <c r="T887" s="105">
        <f t="shared" si="62"/>
        <v>0.2</v>
      </c>
      <c r="U887" s="105">
        <f t="shared" si="64"/>
        <v>0.2</v>
      </c>
      <c r="V887" s="104">
        <f>IFERROR(VLOOKUP(L887,'Raw material list'!$A$2:$S$3102,6,0),0)</f>
        <v>2.8000000000000001E-2</v>
      </c>
      <c r="W887" s="104">
        <f t="shared" si="65"/>
        <v>5.6000000000000008E-3</v>
      </c>
    </row>
    <row r="888" spans="1:23" s="79" customFormat="1" hidden="1" x14ac:dyDescent="0.55000000000000004">
      <c r="A888" s="41" t="s">
        <v>1533</v>
      </c>
      <c r="B888" s="41" t="s">
        <v>35</v>
      </c>
      <c r="C888" s="41" t="s">
        <v>10</v>
      </c>
      <c r="D888" s="58" t="str">
        <f t="shared" si="68"/>
        <v>Greek Baked Fish,Spinach Rice</v>
      </c>
      <c r="E888" s="58" t="s">
        <v>1535</v>
      </c>
      <c r="F888" s="58" t="s">
        <v>2079</v>
      </c>
      <c r="G888" s="41" t="s">
        <v>11</v>
      </c>
      <c r="H888" s="58" t="s">
        <v>1774</v>
      </c>
      <c r="I888" s="58"/>
      <c r="J888" s="41"/>
      <c r="K888" s="41" t="str">
        <f>IFERROR(VLOOKUP(L888,'Raw material list'!$A$3:$C$715,3,0),"")</f>
        <v>DRS1-4417</v>
      </c>
      <c r="L888" s="58" t="s">
        <v>88</v>
      </c>
      <c r="M888" s="40" t="s">
        <v>156</v>
      </c>
      <c r="N888" s="40" t="str">
        <f>VLOOKUP(L888,'Raw material list'!$A$3:$E$715,5,0)</f>
        <v xml:space="preserve">Gram </v>
      </c>
      <c r="O888" s="40">
        <v>10</v>
      </c>
      <c r="P888" s="299">
        <f t="shared" si="63"/>
        <v>10</v>
      </c>
      <c r="Q888" s="40">
        <v>100</v>
      </c>
      <c r="R888" s="40">
        <v>10</v>
      </c>
      <c r="S888" s="40"/>
      <c r="T888" s="105">
        <f t="shared" si="62"/>
        <v>1</v>
      </c>
      <c r="U888" s="105">
        <f t="shared" si="64"/>
        <v>1</v>
      </c>
      <c r="V888" s="104">
        <f>IFERROR(VLOOKUP(L888,'Raw material list'!$A$2:$S$3102,6,0),0)</f>
        <v>3.6754545454545456E-2</v>
      </c>
      <c r="W888" s="104">
        <f t="shared" si="65"/>
        <v>3.6754545454545456E-2</v>
      </c>
    </row>
    <row r="889" spans="1:23" s="79" customFormat="1" hidden="1" x14ac:dyDescent="0.55000000000000004">
      <c r="A889" s="41" t="s">
        <v>1533</v>
      </c>
      <c r="B889" s="41" t="s">
        <v>35</v>
      </c>
      <c r="C889" s="41" t="s">
        <v>10</v>
      </c>
      <c r="D889" s="58" t="str">
        <f t="shared" si="68"/>
        <v>Greek Baked Fish,Spinach Rice</v>
      </c>
      <c r="E889" s="58" t="s">
        <v>1535</v>
      </c>
      <c r="F889" s="58" t="s">
        <v>2079</v>
      </c>
      <c r="G889" s="41" t="s">
        <v>11</v>
      </c>
      <c r="H889" s="58" t="s">
        <v>1774</v>
      </c>
      <c r="I889" s="58"/>
      <c r="J889" s="41"/>
      <c r="K889" s="41" t="str">
        <f>IFERROR(VLOOKUP(L889,'Raw material list'!$A$3:$C$715,3,0),"")</f>
        <v>DRS1-3880</v>
      </c>
      <c r="L889" s="58" t="s">
        <v>1433</v>
      </c>
      <c r="M889" s="40" t="s">
        <v>156</v>
      </c>
      <c r="N889" s="40" t="str">
        <f>VLOOKUP(L889,'Raw material list'!$A$3:$E$715,5,0)</f>
        <v xml:space="preserve">Gram </v>
      </c>
      <c r="O889" s="40">
        <v>20</v>
      </c>
      <c r="P889" s="299">
        <f t="shared" si="63"/>
        <v>20</v>
      </c>
      <c r="Q889" s="40">
        <v>100</v>
      </c>
      <c r="R889" s="40">
        <v>10</v>
      </c>
      <c r="S889" s="40"/>
      <c r="T889" s="105">
        <f t="shared" si="62"/>
        <v>2</v>
      </c>
      <c r="U889" s="105">
        <f t="shared" si="64"/>
        <v>2</v>
      </c>
      <c r="V889" s="104">
        <f>IFERROR(VLOOKUP(L889,'Raw material list'!$A$2:$S$3102,6,0),0)</f>
        <v>5.0000000000000001E-4</v>
      </c>
      <c r="W889" s="104">
        <f t="shared" si="65"/>
        <v>1E-3</v>
      </c>
    </row>
    <row r="890" spans="1:23" s="79" customFormat="1" hidden="1" x14ac:dyDescent="0.55000000000000004">
      <c r="A890" s="41" t="s">
        <v>1533</v>
      </c>
      <c r="B890" s="41" t="s">
        <v>35</v>
      </c>
      <c r="C890" s="41" t="s">
        <v>10</v>
      </c>
      <c r="D890" s="58" t="str">
        <f t="shared" si="68"/>
        <v>Greek Baked Fish,Spinach Rice</v>
      </c>
      <c r="E890" s="58" t="s">
        <v>1535</v>
      </c>
      <c r="F890" s="58" t="s">
        <v>2079</v>
      </c>
      <c r="G890" s="41" t="s">
        <v>11</v>
      </c>
      <c r="H890" s="58" t="s">
        <v>1774</v>
      </c>
      <c r="I890" s="58"/>
      <c r="J890" s="41"/>
      <c r="K890" s="41" t="str">
        <f>IFERROR(VLOOKUP(L890,'Raw material list'!$A$3:$C$715,3,0),"")</f>
        <v>PRD1-4265</v>
      </c>
      <c r="L890" s="58" t="s">
        <v>38</v>
      </c>
      <c r="M890" s="40" t="s">
        <v>156</v>
      </c>
      <c r="N890" s="40" t="str">
        <f>VLOOKUP(L890,'Raw material list'!$A$3:$E$715,5,0)</f>
        <v xml:space="preserve">Gram </v>
      </c>
      <c r="O890" s="40">
        <v>100</v>
      </c>
      <c r="P890" s="299">
        <f t="shared" si="63"/>
        <v>117.64705882352942</v>
      </c>
      <c r="Q890" s="105">
        <v>85</v>
      </c>
      <c r="R890" s="40">
        <v>10</v>
      </c>
      <c r="S890" s="40"/>
      <c r="T890" s="105">
        <f t="shared" si="62"/>
        <v>10</v>
      </c>
      <c r="U890" s="105">
        <f t="shared" si="64"/>
        <v>11.764705882352942</v>
      </c>
      <c r="V890" s="104">
        <f>IFERROR(VLOOKUP(L890,'Raw material list'!$A$2:$S$3102,6,0),0)</f>
        <v>3.529411764705882E-3</v>
      </c>
      <c r="W890" s="104">
        <f t="shared" si="65"/>
        <v>4.1522491349480967E-2</v>
      </c>
    </row>
    <row r="891" spans="1:23" s="79" customFormat="1" hidden="1" x14ac:dyDescent="0.55000000000000004">
      <c r="A891" s="41" t="s">
        <v>1533</v>
      </c>
      <c r="B891" s="41" t="s">
        <v>35</v>
      </c>
      <c r="C891" s="41" t="s">
        <v>10</v>
      </c>
      <c r="D891" s="58" t="str">
        <f t="shared" si="68"/>
        <v>Greek Baked Fish,Spinach Rice</v>
      </c>
      <c r="E891" s="58" t="s">
        <v>1535</v>
      </c>
      <c r="F891" s="58" t="s">
        <v>2079</v>
      </c>
      <c r="G891" s="41" t="s">
        <v>11</v>
      </c>
      <c r="H891" s="58" t="s">
        <v>1774</v>
      </c>
      <c r="I891" s="58"/>
      <c r="J891" s="41"/>
      <c r="K891" s="41" t="str">
        <f>IFERROR(VLOOKUP(L891,'Raw material list'!$A$3:$C$715,3,0),"")</f>
        <v>PRD1-4327</v>
      </c>
      <c r="L891" s="58" t="s">
        <v>39</v>
      </c>
      <c r="M891" s="40" t="s">
        <v>156</v>
      </c>
      <c r="N891" s="40" t="str">
        <f>VLOOKUP(L891,'Raw material list'!$A$3:$E$715,5,0)</f>
        <v xml:space="preserve">Gram </v>
      </c>
      <c r="O891" s="40">
        <v>10</v>
      </c>
      <c r="P891" s="299">
        <f t="shared" si="63"/>
        <v>12.048192771084338</v>
      </c>
      <c r="Q891" s="105">
        <v>83</v>
      </c>
      <c r="R891" s="40">
        <v>10</v>
      </c>
      <c r="S891" s="40"/>
      <c r="T891" s="105">
        <f t="shared" si="62"/>
        <v>1</v>
      </c>
      <c r="U891" s="105">
        <f t="shared" si="64"/>
        <v>1.2048192771084338</v>
      </c>
      <c r="V891" s="104">
        <f>IFERROR(VLOOKUP(L891,'Raw material list'!$A$2:$S$3102,6,0),0)</f>
        <v>1.2999999999999999E-2</v>
      </c>
      <c r="W891" s="104">
        <f t="shared" si="65"/>
        <v>1.566265060240964E-2</v>
      </c>
    </row>
    <row r="892" spans="1:23" s="79" customFormat="1" hidden="1" x14ac:dyDescent="0.55000000000000004">
      <c r="A892" s="41" t="s">
        <v>1533</v>
      </c>
      <c r="B892" s="41" t="s">
        <v>35</v>
      </c>
      <c r="C892" s="41" t="s">
        <v>10</v>
      </c>
      <c r="D892" s="58" t="str">
        <f t="shared" si="68"/>
        <v>Greek Baked Fish,Spinach Rice</v>
      </c>
      <c r="E892" s="58" t="s">
        <v>1535</v>
      </c>
      <c r="F892" s="58" t="s">
        <v>2079</v>
      </c>
      <c r="G892" s="41" t="s">
        <v>11</v>
      </c>
      <c r="H892" s="58" t="s">
        <v>1774</v>
      </c>
      <c r="I892" s="58"/>
      <c r="J892" s="41"/>
      <c r="K892" s="41" t="str">
        <f>IFERROR(VLOOKUP(L892,'Raw material list'!$A$3:$C$715,3,0),"")</f>
        <v>DRS3-1813</v>
      </c>
      <c r="L892" s="58" t="s">
        <v>69</v>
      </c>
      <c r="M892" s="40" t="s">
        <v>206</v>
      </c>
      <c r="N892" s="40" t="str">
        <f>VLOOKUP(L892,'Raw material list'!$A$3:$E$715,5,0)</f>
        <v>Ml</v>
      </c>
      <c r="O892" s="40">
        <v>30</v>
      </c>
      <c r="P892" s="299">
        <f t="shared" si="63"/>
        <v>30</v>
      </c>
      <c r="Q892" s="300">
        <v>100</v>
      </c>
      <c r="R892" s="40">
        <v>10</v>
      </c>
      <c r="S892" s="40"/>
      <c r="T892" s="105">
        <f t="shared" si="62"/>
        <v>3</v>
      </c>
      <c r="U892" s="105">
        <f t="shared" si="64"/>
        <v>3</v>
      </c>
      <c r="V892" s="104">
        <f>IFERROR(VLOOKUP(L892,'Raw material list'!$A$2:$S$3102,6,0),0)</f>
        <v>8.0555555555555554E-3</v>
      </c>
      <c r="W892" s="104">
        <f t="shared" si="65"/>
        <v>2.4166666666666666E-2</v>
      </c>
    </row>
    <row r="893" spans="1:23" s="79" customFormat="1" hidden="1" x14ac:dyDescent="0.55000000000000004">
      <c r="A893" s="41" t="s">
        <v>1533</v>
      </c>
      <c r="B893" s="41" t="s">
        <v>35</v>
      </c>
      <c r="C893" s="41" t="s">
        <v>10</v>
      </c>
      <c r="D893" s="58" t="str">
        <f t="shared" si="68"/>
        <v>Greek Baked Fish,Spinach Rice</v>
      </c>
      <c r="E893" s="58" t="s">
        <v>1535</v>
      </c>
      <c r="F893" s="58" t="s">
        <v>2079</v>
      </c>
      <c r="G893" s="41" t="s">
        <v>11</v>
      </c>
      <c r="H893" s="58" t="s">
        <v>1774</v>
      </c>
      <c r="I893" s="58"/>
      <c r="J893" s="41"/>
      <c r="K893" s="41" t="str">
        <f>IFERROR(VLOOKUP(L893,'Raw material list'!$A$3:$C$715,3,0),"")</f>
        <v>TAP-00001</v>
      </c>
      <c r="L893" s="58" t="s">
        <v>1405</v>
      </c>
      <c r="M893" s="40" t="s">
        <v>206</v>
      </c>
      <c r="N893" s="40" t="str">
        <f>VLOOKUP(L893,'Raw material list'!$A$3:$E$715,5,0)</f>
        <v>Ml</v>
      </c>
      <c r="O893" s="40">
        <v>2000</v>
      </c>
      <c r="P893" s="299">
        <f t="shared" si="63"/>
        <v>2000</v>
      </c>
      <c r="Q893" s="40">
        <v>100</v>
      </c>
      <c r="R893" s="40">
        <v>10</v>
      </c>
      <c r="S893" s="40"/>
      <c r="T893" s="105">
        <f t="shared" si="62"/>
        <v>200</v>
      </c>
      <c r="U893" s="105">
        <f t="shared" si="64"/>
        <v>200</v>
      </c>
      <c r="V893" s="104">
        <f>IFERROR(VLOOKUP(L893,'Raw material list'!$A$2:$S$3102,6,0),0)</f>
        <v>8.0000000000000007E-5</v>
      </c>
      <c r="W893" s="104">
        <f t="shared" si="65"/>
        <v>1.6E-2</v>
      </c>
    </row>
    <row r="894" spans="1:23" s="79" customFormat="1" hidden="1" x14ac:dyDescent="0.55000000000000004">
      <c r="A894" s="41" t="s">
        <v>1533</v>
      </c>
      <c r="B894" s="41" t="s">
        <v>35</v>
      </c>
      <c r="C894" s="41" t="s">
        <v>10</v>
      </c>
      <c r="D894" s="58" t="str">
        <f t="shared" si="68"/>
        <v>Greek Baked Fish,Spinach Rice</v>
      </c>
      <c r="E894" s="58" t="s">
        <v>1535</v>
      </c>
      <c r="F894" s="58" t="s">
        <v>2079</v>
      </c>
      <c r="G894" s="41" t="s">
        <v>11</v>
      </c>
      <c r="H894" s="58" t="s">
        <v>1774</v>
      </c>
      <c r="I894" s="58"/>
      <c r="J894" s="41"/>
      <c r="K894" s="41" t="str">
        <f>IFERROR(VLOOKUP(L894,'Raw material list'!$A$3:$C$715,3,0),"")</f>
        <v>DRS6-3593</v>
      </c>
      <c r="L894" s="58" t="s">
        <v>1407</v>
      </c>
      <c r="M894" s="40" t="s">
        <v>156</v>
      </c>
      <c r="N894" s="40" t="str">
        <f>VLOOKUP(L894,'Raw material list'!$A$3:$E$715,5,0)</f>
        <v xml:space="preserve">Gram </v>
      </c>
      <c r="O894" s="40">
        <v>2</v>
      </c>
      <c r="P894" s="299">
        <f t="shared" si="63"/>
        <v>2</v>
      </c>
      <c r="Q894" s="40">
        <v>100</v>
      </c>
      <c r="R894" s="40">
        <v>10</v>
      </c>
      <c r="S894" s="40"/>
      <c r="T894" s="105">
        <f t="shared" si="62"/>
        <v>0.2</v>
      </c>
      <c r="U894" s="105">
        <f t="shared" si="64"/>
        <v>0.2</v>
      </c>
      <c r="V894" s="104">
        <f>IFERROR(VLOOKUP(L894,'Raw material list'!$A$2:$S$3102,6,0),0)</f>
        <v>8.0000000000000002E-3</v>
      </c>
      <c r="W894" s="104">
        <f t="shared" si="65"/>
        <v>1.6000000000000001E-3</v>
      </c>
    </row>
    <row r="895" spans="1:23" s="79" customFormat="1" hidden="1" x14ac:dyDescent="0.55000000000000004">
      <c r="A895" s="41" t="s">
        <v>1533</v>
      </c>
      <c r="B895" s="41" t="s">
        <v>35</v>
      </c>
      <c r="C895" s="41" t="s">
        <v>10</v>
      </c>
      <c r="D895" s="58" t="str">
        <f t="shared" si="68"/>
        <v>Greek Baked Fish,Spinach Rice</v>
      </c>
      <c r="E895" s="58" t="s">
        <v>1535</v>
      </c>
      <c r="F895" s="58" t="s">
        <v>2079</v>
      </c>
      <c r="G895" s="41" t="s">
        <v>11</v>
      </c>
      <c r="H895" s="58" t="s">
        <v>1774</v>
      </c>
      <c r="I895" s="58"/>
      <c r="J895" s="41"/>
      <c r="K895" s="41" t="str">
        <f>IFERROR(VLOOKUP(L895,'Raw material list'!$A$3:$C$715,3,0),"")</f>
        <v>DRS3-1813</v>
      </c>
      <c r="L895" s="58" t="s">
        <v>69</v>
      </c>
      <c r="M895" s="40" t="s">
        <v>206</v>
      </c>
      <c r="N895" s="40" t="str">
        <f>VLOOKUP(L895,'Raw material list'!$A$3:$E$715,5,0)</f>
        <v>Ml</v>
      </c>
      <c r="O895" s="40">
        <v>30</v>
      </c>
      <c r="P895" s="299">
        <f t="shared" si="63"/>
        <v>30</v>
      </c>
      <c r="Q895" s="40">
        <v>100</v>
      </c>
      <c r="R895" s="40">
        <v>10</v>
      </c>
      <c r="S895" s="40"/>
      <c r="T895" s="105">
        <f t="shared" si="62"/>
        <v>3</v>
      </c>
      <c r="U895" s="105">
        <f t="shared" si="64"/>
        <v>3</v>
      </c>
      <c r="V895" s="104">
        <f>IFERROR(VLOOKUP(L895,'Raw material list'!$A$2:$S$3102,6,0),0)</f>
        <v>8.0555555555555554E-3</v>
      </c>
      <c r="W895" s="104">
        <f t="shared" si="65"/>
        <v>2.4166666666666666E-2</v>
      </c>
    </row>
    <row r="896" spans="1:23" s="79" customFormat="1" hidden="1" x14ac:dyDescent="0.55000000000000004">
      <c r="A896" s="41" t="s">
        <v>1533</v>
      </c>
      <c r="B896" s="41" t="s">
        <v>35</v>
      </c>
      <c r="C896" s="41" t="s">
        <v>10</v>
      </c>
      <c r="D896" s="58" t="str">
        <f t="shared" si="68"/>
        <v>Greek Baked Fish,Spinach Rice</v>
      </c>
      <c r="E896" s="58" t="s">
        <v>1535</v>
      </c>
      <c r="F896" s="58" t="s">
        <v>2079</v>
      </c>
      <c r="G896" s="41" t="s">
        <v>11</v>
      </c>
      <c r="H896" s="58" t="s">
        <v>1774</v>
      </c>
      <c r="I896" s="58"/>
      <c r="J896" s="41"/>
      <c r="K896" s="41" t="str">
        <f>IFERROR(VLOOKUP(L896,'Raw material list'!$A$3:$C$715,3,0),"")</f>
        <v>PRD1-4265</v>
      </c>
      <c r="L896" s="58" t="s">
        <v>38</v>
      </c>
      <c r="M896" s="40" t="s">
        <v>156</v>
      </c>
      <c r="N896" s="40" t="str">
        <f>VLOOKUP(L896,'Raw material list'!$A$3:$E$715,5,0)</f>
        <v xml:space="preserve">Gram </v>
      </c>
      <c r="O896" s="40">
        <v>150</v>
      </c>
      <c r="P896" s="299">
        <f t="shared" si="63"/>
        <v>176.47058823529412</v>
      </c>
      <c r="Q896" s="105">
        <v>85</v>
      </c>
      <c r="R896" s="40">
        <v>10</v>
      </c>
      <c r="S896" s="40"/>
      <c r="T896" s="105">
        <f t="shared" si="62"/>
        <v>15</v>
      </c>
      <c r="U896" s="105">
        <f t="shared" si="64"/>
        <v>17.647058823529413</v>
      </c>
      <c r="V896" s="104">
        <f>IFERROR(VLOOKUP(L896,'Raw material list'!$A$2:$S$3102,6,0),0)</f>
        <v>3.529411764705882E-3</v>
      </c>
      <c r="W896" s="104">
        <f t="shared" si="65"/>
        <v>6.228373702422145E-2</v>
      </c>
    </row>
    <row r="897" spans="1:23" s="79" customFormat="1" hidden="1" x14ac:dyDescent="0.55000000000000004">
      <c r="A897" s="41" t="s">
        <v>1533</v>
      </c>
      <c r="B897" s="41" t="s">
        <v>35</v>
      </c>
      <c r="C897" s="41" t="s">
        <v>10</v>
      </c>
      <c r="D897" s="58" t="str">
        <f t="shared" si="68"/>
        <v>Greek Baked Fish,Spinach Rice</v>
      </c>
      <c r="E897" s="58" t="s">
        <v>1535</v>
      </c>
      <c r="F897" s="58" t="s">
        <v>2079</v>
      </c>
      <c r="G897" s="41" t="s">
        <v>11</v>
      </c>
      <c r="H897" s="58" t="s">
        <v>1774</v>
      </c>
      <c r="I897" s="58"/>
      <c r="J897" s="41"/>
      <c r="K897" s="41" t="str">
        <f>IFERROR(VLOOKUP(L897,'Raw material list'!$A$3:$C$715,3,0),"")</f>
        <v>PRD1-4327</v>
      </c>
      <c r="L897" s="58" t="s">
        <v>39</v>
      </c>
      <c r="M897" s="40" t="s">
        <v>156</v>
      </c>
      <c r="N897" s="40" t="str">
        <f>VLOOKUP(L897,'Raw material list'!$A$3:$E$715,5,0)</f>
        <v xml:space="preserve">Gram </v>
      </c>
      <c r="O897" s="40">
        <v>15</v>
      </c>
      <c r="P897" s="299">
        <f t="shared" si="63"/>
        <v>18.072289156626507</v>
      </c>
      <c r="Q897" s="105">
        <v>83</v>
      </c>
      <c r="R897" s="40">
        <v>10</v>
      </c>
      <c r="S897" s="40"/>
      <c r="T897" s="105">
        <f t="shared" si="62"/>
        <v>1.5</v>
      </c>
      <c r="U897" s="105">
        <f t="shared" si="64"/>
        <v>1.8072289156626506</v>
      </c>
      <c r="V897" s="104">
        <f>IFERROR(VLOOKUP(L897,'Raw material list'!$A$2:$S$3102,6,0),0)</f>
        <v>1.2999999999999999E-2</v>
      </c>
      <c r="W897" s="104">
        <f t="shared" si="65"/>
        <v>2.3493975903614458E-2</v>
      </c>
    </row>
    <row r="898" spans="1:23" s="79" customFormat="1" hidden="1" x14ac:dyDescent="0.55000000000000004">
      <c r="A898" s="41" t="s">
        <v>1533</v>
      </c>
      <c r="B898" s="41" t="s">
        <v>35</v>
      </c>
      <c r="C898" s="41" t="s">
        <v>10</v>
      </c>
      <c r="D898" s="58" t="str">
        <f t="shared" si="68"/>
        <v>Greek Baked Fish,Spinach Rice</v>
      </c>
      <c r="E898" s="58" t="s">
        <v>1535</v>
      </c>
      <c r="F898" s="58" t="s">
        <v>2079</v>
      </c>
      <c r="G898" s="41" t="s">
        <v>11</v>
      </c>
      <c r="H898" s="58" t="s">
        <v>1774</v>
      </c>
      <c r="I898" s="58"/>
      <c r="J898" s="41"/>
      <c r="K898" s="41" t="str">
        <f>IFERROR(VLOOKUP(L898,'Raw material list'!$A$3:$C$715,3,0),"")</f>
        <v>DRS1-607</v>
      </c>
      <c r="L898" s="58" t="s">
        <v>250</v>
      </c>
      <c r="M898" s="40" t="s">
        <v>156</v>
      </c>
      <c r="N898" s="40" t="str">
        <f>VLOOKUP(L898,'Raw material list'!$A$3:$E$715,5,0)</f>
        <v xml:space="preserve">Gram </v>
      </c>
      <c r="O898" s="40">
        <v>1000</v>
      </c>
      <c r="P898" s="299">
        <f t="shared" si="63"/>
        <v>1000</v>
      </c>
      <c r="Q898" s="300">
        <v>100</v>
      </c>
      <c r="R898" s="40">
        <v>10</v>
      </c>
      <c r="S898" s="40"/>
      <c r="T898" s="105">
        <f t="shared" si="62"/>
        <v>100</v>
      </c>
      <c r="U898" s="105">
        <f t="shared" si="64"/>
        <v>100</v>
      </c>
      <c r="V898" s="104">
        <f>IFERROR(VLOOKUP(L898,'Raw material list'!$A$2:$S$3102,6,0),0)</f>
        <v>5.8823529411764705E-3</v>
      </c>
      <c r="W898" s="104">
        <f t="shared" si="65"/>
        <v>0.58823529411764708</v>
      </c>
    </row>
    <row r="899" spans="1:23" s="79" customFormat="1" hidden="1" x14ac:dyDescent="0.55000000000000004">
      <c r="A899" s="41" t="s">
        <v>1533</v>
      </c>
      <c r="B899" s="41" t="s">
        <v>35</v>
      </c>
      <c r="C899" s="41" t="s">
        <v>10</v>
      </c>
      <c r="D899" s="58" t="str">
        <f t="shared" si="68"/>
        <v>Greek Baked Fish,Spinach Rice</v>
      </c>
      <c r="E899" s="58" t="s">
        <v>1535</v>
      </c>
      <c r="F899" s="58" t="s">
        <v>2079</v>
      </c>
      <c r="G899" s="41" t="s">
        <v>11</v>
      </c>
      <c r="H899" s="58" t="s">
        <v>1774</v>
      </c>
      <c r="I899" s="58"/>
      <c r="J899" s="41"/>
      <c r="K899" s="41" t="str">
        <f>IFERROR(VLOOKUP(L899,'Raw material list'!$A$3:$C$715,3,0),"")</f>
        <v>PRD1-240</v>
      </c>
      <c r="L899" s="58" t="s">
        <v>82</v>
      </c>
      <c r="M899" s="40" t="s">
        <v>156</v>
      </c>
      <c r="N899" s="40" t="str">
        <f>VLOOKUP(L899,'Raw material list'!$A$3:$E$715,5,0)</f>
        <v xml:space="preserve">Gram </v>
      </c>
      <c r="O899" s="40">
        <v>100</v>
      </c>
      <c r="P899" s="299">
        <f t="shared" si="63"/>
        <v>147.78325123152712</v>
      </c>
      <c r="Q899" s="105">
        <v>67.666666666666657</v>
      </c>
      <c r="R899" s="40">
        <v>10</v>
      </c>
      <c r="S899" s="40"/>
      <c r="T899" s="105">
        <f t="shared" si="62"/>
        <v>10</v>
      </c>
      <c r="U899" s="105">
        <f t="shared" si="64"/>
        <v>14.778325123152712</v>
      </c>
      <c r="V899" s="104">
        <f>IFERROR(VLOOKUP(L899,'Raw material list'!$A$2:$S$3102,6,0),0)</f>
        <v>1.3293943870014769E-2</v>
      </c>
      <c r="W899" s="104">
        <f t="shared" si="65"/>
        <v>0.19646222468002125</v>
      </c>
    </row>
    <row r="900" spans="1:23" s="79" customFormat="1" hidden="1" x14ac:dyDescent="0.55000000000000004">
      <c r="A900" s="41" t="s">
        <v>1533</v>
      </c>
      <c r="B900" s="41" t="s">
        <v>35</v>
      </c>
      <c r="C900" s="41" t="s">
        <v>10</v>
      </c>
      <c r="D900" s="58" t="str">
        <f t="shared" si="68"/>
        <v>Greek Baked Fish,Spinach Rice</v>
      </c>
      <c r="E900" s="58" t="s">
        <v>1535</v>
      </c>
      <c r="F900" s="58" t="s">
        <v>2079</v>
      </c>
      <c r="G900" s="41" t="s">
        <v>11</v>
      </c>
      <c r="H900" s="58" t="s">
        <v>1774</v>
      </c>
      <c r="I900" s="58"/>
      <c r="J900" s="41"/>
      <c r="K900" s="41" t="str">
        <f>IFERROR(VLOOKUP(L900,'Raw material list'!$A$3:$C$715,3,0),"")</f>
        <v>DRS1-1768</v>
      </c>
      <c r="L900" s="58" t="s">
        <v>236</v>
      </c>
      <c r="M900" s="40" t="s">
        <v>156</v>
      </c>
      <c r="N900" s="40" t="str">
        <f>VLOOKUP(L900,'Raw material list'!$A$3:$E$715,5,0)</f>
        <v xml:space="preserve">Gram </v>
      </c>
      <c r="O900" s="40">
        <v>150</v>
      </c>
      <c r="P900" s="299">
        <f t="shared" si="63"/>
        <v>150</v>
      </c>
      <c r="Q900" s="300">
        <v>100</v>
      </c>
      <c r="R900" s="40">
        <v>10</v>
      </c>
      <c r="S900" s="40"/>
      <c r="T900" s="105">
        <f t="shared" si="62"/>
        <v>15</v>
      </c>
      <c r="U900" s="105">
        <f t="shared" si="64"/>
        <v>15</v>
      </c>
      <c r="V900" s="104">
        <f>IFERROR(VLOOKUP(L900,'Raw material list'!$A$2:$S$3102,6,0),0)</f>
        <v>1.29E-2</v>
      </c>
      <c r="W900" s="104">
        <f t="shared" si="65"/>
        <v>0.19350000000000001</v>
      </c>
    </row>
    <row r="901" spans="1:23" s="79" customFormat="1" hidden="1" x14ac:dyDescent="0.55000000000000004">
      <c r="A901" s="41" t="s">
        <v>1533</v>
      </c>
      <c r="B901" s="41" t="s">
        <v>35</v>
      </c>
      <c r="C901" s="41" t="s">
        <v>10</v>
      </c>
      <c r="D901" s="58" t="str">
        <f t="shared" si="68"/>
        <v>Greek Baked Fish,Spinach Rice</v>
      </c>
      <c r="E901" s="58" t="s">
        <v>1535</v>
      </c>
      <c r="F901" s="58" t="s">
        <v>2079</v>
      </c>
      <c r="G901" s="41" t="s">
        <v>11</v>
      </c>
      <c r="H901" s="58" t="s">
        <v>1774</v>
      </c>
      <c r="I901" s="58"/>
      <c r="J901" s="41"/>
      <c r="K901" s="41" t="str">
        <f>IFERROR(VLOOKUP(L901,'Raw material list'!$A$3:$C$715,3,0),"")</f>
        <v>DRS1-978</v>
      </c>
      <c r="L901" s="58" t="s">
        <v>56</v>
      </c>
      <c r="M901" s="40" t="s">
        <v>156</v>
      </c>
      <c r="N901" s="40" t="str">
        <f>VLOOKUP(L901,'Raw material list'!$A$3:$E$715,5,0)</f>
        <v xml:space="preserve">Gram </v>
      </c>
      <c r="O901" s="40">
        <v>5</v>
      </c>
      <c r="P901" s="299">
        <f t="shared" si="63"/>
        <v>5</v>
      </c>
      <c r="Q901" s="40">
        <v>100</v>
      </c>
      <c r="R901" s="40">
        <v>10</v>
      </c>
      <c r="S901" s="40"/>
      <c r="T901" s="105">
        <f t="shared" ref="T901:T964" si="69">IFERROR(O901/R901,0)</f>
        <v>0.5</v>
      </c>
      <c r="U901" s="105">
        <f t="shared" si="64"/>
        <v>0.5</v>
      </c>
      <c r="V901" s="104">
        <f>IFERROR(VLOOKUP(L901,'Raw material list'!$A$2:$S$3102,6,0),0)</f>
        <v>2.3999999999999998E-3</v>
      </c>
      <c r="W901" s="104">
        <f t="shared" si="65"/>
        <v>1.1999999999999999E-3</v>
      </c>
    </row>
    <row r="902" spans="1:23" s="79" customFormat="1" hidden="1" x14ac:dyDescent="0.55000000000000004">
      <c r="A902" s="41" t="s">
        <v>1533</v>
      </c>
      <c r="B902" s="41" t="s">
        <v>35</v>
      </c>
      <c r="C902" s="41" t="s">
        <v>10</v>
      </c>
      <c r="D902" s="58" t="str">
        <f t="shared" si="68"/>
        <v>Greek Baked Fish,Spinach Rice</v>
      </c>
      <c r="E902" s="58" t="s">
        <v>1535</v>
      </c>
      <c r="F902" s="58" t="s">
        <v>2079</v>
      </c>
      <c r="G902" s="41" t="s">
        <v>11</v>
      </c>
      <c r="H902" s="58" t="s">
        <v>1774</v>
      </c>
      <c r="I902" s="58"/>
      <c r="J902" s="41"/>
      <c r="K902" s="41" t="str">
        <f>IFERROR(VLOOKUP(L902,'Raw material list'!$A$3:$C$715,3,0),"")</f>
        <v>PRD1-239</v>
      </c>
      <c r="L902" s="58" t="s">
        <v>1056</v>
      </c>
      <c r="M902" s="40" t="s">
        <v>156</v>
      </c>
      <c r="N902" s="40" t="str">
        <f>VLOOKUP(L902,'Raw material list'!$A$3:$E$715,5,0)</f>
        <v xml:space="preserve">Gram </v>
      </c>
      <c r="O902" s="40">
        <v>100</v>
      </c>
      <c r="P902" s="299">
        <f t="shared" ref="P902:P965" si="70">O902/Q902*100</f>
        <v>148.51485148514854</v>
      </c>
      <c r="Q902" s="105">
        <v>67.333333333333329</v>
      </c>
      <c r="R902" s="40">
        <v>10</v>
      </c>
      <c r="S902" s="40"/>
      <c r="T902" s="105">
        <f t="shared" si="69"/>
        <v>10</v>
      </c>
      <c r="U902" s="105">
        <f t="shared" ref="U902:U965" si="71">IFERROR(P902/R902,0)</f>
        <v>14.851485148514854</v>
      </c>
      <c r="V902" s="104">
        <f>IFERROR(VLOOKUP(L902,'Raw material list'!$A$2:$S$3102,6,0),0)</f>
        <v>6.6864784546805346E-3</v>
      </c>
      <c r="W902" s="104">
        <f t="shared" ref="W902:W965" si="72">IFERROR(V902*U902,0)</f>
        <v>9.9304135465552515E-2</v>
      </c>
    </row>
    <row r="903" spans="1:23" s="79" customFormat="1" hidden="1" x14ac:dyDescent="0.55000000000000004">
      <c r="A903" s="41" t="s">
        <v>1533</v>
      </c>
      <c r="B903" s="41" t="s">
        <v>35</v>
      </c>
      <c r="C903" s="41" t="s">
        <v>10</v>
      </c>
      <c r="D903" s="58" t="str">
        <f t="shared" si="68"/>
        <v>Greek Baked Fish,Spinach Rice</v>
      </c>
      <c r="E903" s="58" t="s">
        <v>1535</v>
      </c>
      <c r="F903" s="58" t="s">
        <v>2079</v>
      </c>
      <c r="G903" s="41" t="s">
        <v>11</v>
      </c>
      <c r="H903" s="58" t="s">
        <v>1774</v>
      </c>
      <c r="I903" s="58"/>
      <c r="J903" s="41"/>
      <c r="K903" s="41" t="str">
        <f>IFERROR(VLOOKUP(L903,'Raw material list'!$A$3:$C$715,3,0),"")</f>
        <v>PRD1-241</v>
      </c>
      <c r="L903" s="58" t="s">
        <v>1059</v>
      </c>
      <c r="M903" s="40" t="s">
        <v>156</v>
      </c>
      <c r="N903" s="40" t="str">
        <f>VLOOKUP(L903,'Raw material list'!$A$3:$E$715,5,0)</f>
        <v xml:space="preserve">Gram </v>
      </c>
      <c r="O903" s="40">
        <v>100</v>
      </c>
      <c r="P903" s="299">
        <f t="shared" si="70"/>
        <v>146.55593551538837</v>
      </c>
      <c r="Q903" s="105">
        <v>68.233333333333334</v>
      </c>
      <c r="R903" s="40">
        <v>10</v>
      </c>
      <c r="S903" s="40"/>
      <c r="T903" s="105">
        <f t="shared" si="69"/>
        <v>10</v>
      </c>
      <c r="U903" s="105">
        <f t="shared" si="71"/>
        <v>14.655593551538837</v>
      </c>
      <c r="V903" s="104">
        <f>IFERROR(VLOOKUP(L903,'Raw material list'!$A$2:$S$3102,6,0),0)</f>
        <v>1.3196480938416421E-2</v>
      </c>
      <c r="W903" s="104">
        <f t="shared" si="72"/>
        <v>0.19340226094406088</v>
      </c>
    </row>
    <row r="904" spans="1:23" s="79" customFormat="1" hidden="1" x14ac:dyDescent="0.55000000000000004">
      <c r="A904" s="41" t="s">
        <v>1533</v>
      </c>
      <c r="B904" s="41" t="s">
        <v>35</v>
      </c>
      <c r="C904" s="41" t="s">
        <v>10</v>
      </c>
      <c r="D904" s="58" t="str">
        <f t="shared" si="68"/>
        <v>Greek Baked Fish,Spinach Rice</v>
      </c>
      <c r="E904" s="58" t="s">
        <v>1535</v>
      </c>
      <c r="F904" s="58" t="s">
        <v>2079</v>
      </c>
      <c r="G904" s="41" t="s">
        <v>11</v>
      </c>
      <c r="H904" s="58" t="s">
        <v>1774</v>
      </c>
      <c r="I904" s="58"/>
      <c r="J904" s="41"/>
      <c r="K904" s="41" t="str">
        <f>IFERROR(VLOOKUP(L904,'Raw material list'!$A$3:$C$715,3,0),"")</f>
        <v>DRS1-1747</v>
      </c>
      <c r="L904" s="58" t="s">
        <v>44</v>
      </c>
      <c r="M904" s="40" t="s">
        <v>156</v>
      </c>
      <c r="N904" s="40" t="str">
        <f>VLOOKUP(L904,'Raw material list'!$A$3:$E$715,5,0)</f>
        <v xml:space="preserve">Gram </v>
      </c>
      <c r="O904" s="40">
        <v>80</v>
      </c>
      <c r="P904" s="299">
        <f t="shared" si="70"/>
        <v>80</v>
      </c>
      <c r="Q904" s="300">
        <v>100</v>
      </c>
      <c r="R904" s="40">
        <v>10</v>
      </c>
      <c r="S904" s="40"/>
      <c r="T904" s="105">
        <f t="shared" si="69"/>
        <v>8</v>
      </c>
      <c r="U904" s="105">
        <f t="shared" si="71"/>
        <v>8</v>
      </c>
      <c r="V904" s="104">
        <f>IFERROR(VLOOKUP(L904,'Raw material list'!$A$2:$S$3102,6,0),0)</f>
        <v>5.185185185185185E-3</v>
      </c>
      <c r="W904" s="104">
        <f t="shared" si="72"/>
        <v>4.148148148148148E-2</v>
      </c>
    </row>
    <row r="905" spans="1:23" s="79" customFormat="1" hidden="1" x14ac:dyDescent="0.55000000000000004">
      <c r="A905" s="41" t="s">
        <v>1533</v>
      </c>
      <c r="B905" s="41" t="s">
        <v>35</v>
      </c>
      <c r="C905" s="41" t="s">
        <v>10</v>
      </c>
      <c r="D905" s="58" t="str">
        <f t="shared" si="68"/>
        <v>Greek Baked Fish,Spinach Rice</v>
      </c>
      <c r="E905" s="58" t="s">
        <v>1535</v>
      </c>
      <c r="F905" s="58" t="s">
        <v>2079</v>
      </c>
      <c r="G905" s="41" t="s">
        <v>11</v>
      </c>
      <c r="H905" s="58" t="s">
        <v>1774</v>
      </c>
      <c r="I905" s="58"/>
      <c r="J905" s="41"/>
      <c r="K905" s="41" t="str">
        <f>IFERROR(VLOOKUP(L905,'Raw material list'!$A$3:$C$715,3,0),"")</f>
        <v>TAP-00001</v>
      </c>
      <c r="L905" s="58" t="s">
        <v>1405</v>
      </c>
      <c r="M905" s="40" t="s">
        <v>206</v>
      </c>
      <c r="N905" s="40" t="str">
        <f>VLOOKUP(L905,'Raw material list'!$A$3:$E$715,5,0)</f>
        <v>Ml</v>
      </c>
      <c r="O905" s="40">
        <v>150</v>
      </c>
      <c r="P905" s="299">
        <f t="shared" si="70"/>
        <v>150</v>
      </c>
      <c r="Q905" s="40">
        <v>100</v>
      </c>
      <c r="R905" s="40">
        <v>10</v>
      </c>
      <c r="S905" s="40"/>
      <c r="T905" s="105">
        <f t="shared" si="69"/>
        <v>15</v>
      </c>
      <c r="U905" s="105">
        <f t="shared" si="71"/>
        <v>15</v>
      </c>
      <c r="V905" s="104">
        <f>IFERROR(VLOOKUP(L905,'Raw material list'!$A$2:$S$3102,6,0),0)</f>
        <v>8.0000000000000007E-5</v>
      </c>
      <c r="W905" s="104">
        <f t="shared" si="72"/>
        <v>1.2000000000000001E-3</v>
      </c>
    </row>
    <row r="906" spans="1:23" s="79" customFormat="1" hidden="1" x14ac:dyDescent="0.55000000000000004">
      <c r="A906" s="41" t="s">
        <v>1533</v>
      </c>
      <c r="B906" s="41" t="s">
        <v>35</v>
      </c>
      <c r="C906" s="41" t="s">
        <v>10</v>
      </c>
      <c r="D906" s="58" t="str">
        <f t="shared" si="68"/>
        <v>Greek Baked Fish,Spinach Rice</v>
      </c>
      <c r="E906" s="58" t="s">
        <v>1535</v>
      </c>
      <c r="F906" s="58" t="s">
        <v>2079</v>
      </c>
      <c r="G906" s="41" t="s">
        <v>11</v>
      </c>
      <c r="H906" s="58" t="s">
        <v>1774</v>
      </c>
      <c r="I906" s="58"/>
      <c r="J906" s="41"/>
      <c r="K906" s="41" t="str">
        <f>IFERROR(VLOOKUP(L906,'Raw material list'!$A$3:$C$715,3,0),"")</f>
        <v>DRS1-4104</v>
      </c>
      <c r="L906" s="58" t="s">
        <v>1451</v>
      </c>
      <c r="M906" s="40" t="s">
        <v>156</v>
      </c>
      <c r="N906" s="40" t="str">
        <f>VLOOKUP(L906,'Raw material list'!$A$3:$E$715,5,0)</f>
        <v xml:space="preserve">Gram </v>
      </c>
      <c r="O906" s="40">
        <v>20</v>
      </c>
      <c r="P906" s="299">
        <f t="shared" si="70"/>
        <v>20</v>
      </c>
      <c r="Q906" s="40">
        <v>100</v>
      </c>
      <c r="R906" s="40">
        <v>10</v>
      </c>
      <c r="S906" s="40"/>
      <c r="T906" s="105">
        <f t="shared" si="69"/>
        <v>2</v>
      </c>
      <c r="U906" s="105">
        <f t="shared" si="71"/>
        <v>2</v>
      </c>
      <c r="V906" s="104">
        <f>IFERROR(VLOOKUP(L906,'Raw material list'!$A$2:$S$3102,6,0),0)</f>
        <v>4.8886666666666669E-2</v>
      </c>
      <c r="W906" s="104">
        <f t="shared" si="72"/>
        <v>9.7773333333333337E-2</v>
      </c>
    </row>
    <row r="907" spans="1:23" s="79" customFormat="1" hidden="1" x14ac:dyDescent="0.55000000000000004">
      <c r="A907" s="41" t="s">
        <v>1534</v>
      </c>
      <c r="B907" s="41" t="s">
        <v>35</v>
      </c>
      <c r="C907" s="41" t="s">
        <v>10</v>
      </c>
      <c r="D907" s="58" t="s">
        <v>1446</v>
      </c>
      <c r="E907" s="58" t="s">
        <v>1535</v>
      </c>
      <c r="F907" s="58" t="s">
        <v>2081</v>
      </c>
      <c r="G907" s="41" t="s">
        <v>11</v>
      </c>
      <c r="H907" s="58" t="s">
        <v>1774</v>
      </c>
      <c r="I907" s="58"/>
      <c r="J907" s="41"/>
      <c r="K907" s="41" t="str">
        <f>IFERROR(VLOOKUP(L907,'Raw material list'!$A$3:$C$715,3,0),"")</f>
        <v>PLT2-3278</v>
      </c>
      <c r="L907" s="58" t="s">
        <v>80</v>
      </c>
      <c r="M907" s="40" t="s">
        <v>156</v>
      </c>
      <c r="N907" s="40" t="str">
        <f>VLOOKUP(L907,'Raw material list'!$A$3:$E$715,5,0)</f>
        <v xml:space="preserve">Gram </v>
      </c>
      <c r="O907" s="40">
        <v>1200</v>
      </c>
      <c r="P907" s="299">
        <f t="shared" si="70"/>
        <v>1574.803149606299</v>
      </c>
      <c r="Q907" s="40">
        <v>76.2</v>
      </c>
      <c r="R907" s="40">
        <v>10</v>
      </c>
      <c r="S907" s="40"/>
      <c r="T907" s="105">
        <f t="shared" si="69"/>
        <v>120</v>
      </c>
      <c r="U907" s="105">
        <f t="shared" si="71"/>
        <v>157.4803149606299</v>
      </c>
      <c r="V907" s="104">
        <f>IFERROR(VLOOKUP(L907,'Raw material list'!$A$2:$S$3102,6,0),0)</f>
        <v>3.0357142857142853E-2</v>
      </c>
      <c r="W907" s="104">
        <f t="shared" si="72"/>
        <v>4.7806524184476924</v>
      </c>
    </row>
    <row r="908" spans="1:23" s="79" customFormat="1" hidden="1" x14ac:dyDescent="0.55000000000000004">
      <c r="A908" s="41" t="s">
        <v>1534</v>
      </c>
      <c r="B908" s="41" t="s">
        <v>35</v>
      </c>
      <c r="C908" s="41" t="s">
        <v>10</v>
      </c>
      <c r="D908" s="58" t="str">
        <f t="shared" ref="D908:D926" si="73">D907</f>
        <v>Chicken Biryani</v>
      </c>
      <c r="E908" s="58" t="s">
        <v>1535</v>
      </c>
      <c r="F908" s="58" t="s">
        <v>2079</v>
      </c>
      <c r="G908" s="41" t="s">
        <v>11</v>
      </c>
      <c r="H908" s="58" t="s">
        <v>1774</v>
      </c>
      <c r="I908" s="58"/>
      <c r="J908" s="41"/>
      <c r="K908" s="41" t="str">
        <f>IFERROR(VLOOKUP(L908,'Raw material list'!$A$3:$C$715,3,0),"")</f>
        <v>PRD1-4265</v>
      </c>
      <c r="L908" s="58" t="s">
        <v>38</v>
      </c>
      <c r="M908" s="40" t="s">
        <v>156</v>
      </c>
      <c r="N908" s="40" t="str">
        <f>VLOOKUP(L908,'Raw material list'!$A$3:$E$715,5,0)</f>
        <v xml:space="preserve">Gram </v>
      </c>
      <c r="O908" s="40">
        <v>500</v>
      </c>
      <c r="P908" s="299">
        <f t="shared" si="70"/>
        <v>588.23529411764707</v>
      </c>
      <c r="Q908" s="105">
        <v>85</v>
      </c>
      <c r="R908" s="40">
        <v>10</v>
      </c>
      <c r="S908" s="40"/>
      <c r="T908" s="105">
        <f t="shared" si="69"/>
        <v>50</v>
      </c>
      <c r="U908" s="105">
        <f t="shared" si="71"/>
        <v>58.82352941176471</v>
      </c>
      <c r="V908" s="104">
        <f>IFERROR(VLOOKUP(L908,'Raw material list'!$A$2:$S$3102,6,0),0)</f>
        <v>3.529411764705882E-3</v>
      </c>
      <c r="W908" s="104">
        <f t="shared" si="72"/>
        <v>0.20761245674740483</v>
      </c>
    </row>
    <row r="909" spans="1:23" s="79" customFormat="1" hidden="1" x14ac:dyDescent="0.55000000000000004">
      <c r="A909" s="41" t="s">
        <v>1534</v>
      </c>
      <c r="B909" s="41" t="s">
        <v>35</v>
      </c>
      <c r="C909" s="41" t="s">
        <v>10</v>
      </c>
      <c r="D909" s="58" t="str">
        <f t="shared" si="73"/>
        <v>Chicken Biryani</v>
      </c>
      <c r="E909" s="58" t="s">
        <v>1535</v>
      </c>
      <c r="F909" s="58" t="s">
        <v>2079</v>
      </c>
      <c r="G909" s="41" t="s">
        <v>11</v>
      </c>
      <c r="H909" s="58" t="s">
        <v>1774</v>
      </c>
      <c r="I909" s="58"/>
      <c r="J909" s="41"/>
      <c r="K909" s="41" t="str">
        <f>IFERROR(VLOOKUP(L909,'Raw material list'!$A$3:$C$715,3,0),"")</f>
        <v>DRS6-4482</v>
      </c>
      <c r="L909" s="58" t="s">
        <v>716</v>
      </c>
      <c r="M909" s="40" t="s">
        <v>156</v>
      </c>
      <c r="N909" s="40" t="str">
        <f>VLOOKUP(L909,'Raw material list'!$A$3:$E$715,5,0)</f>
        <v xml:space="preserve">Gram </v>
      </c>
      <c r="O909" s="40">
        <v>25</v>
      </c>
      <c r="P909" s="299">
        <f t="shared" si="70"/>
        <v>25</v>
      </c>
      <c r="Q909" s="300">
        <v>100</v>
      </c>
      <c r="R909" s="40">
        <v>10</v>
      </c>
      <c r="S909" s="40"/>
      <c r="T909" s="105">
        <f t="shared" si="69"/>
        <v>2.5</v>
      </c>
      <c r="U909" s="105">
        <f t="shared" si="71"/>
        <v>2.5</v>
      </c>
      <c r="V909" s="104">
        <f>IFERROR(VLOOKUP(L909,'Raw material list'!$A$2:$S$3102,6,0),0)</f>
        <v>1.04E-2</v>
      </c>
      <c r="W909" s="104">
        <f t="shared" si="72"/>
        <v>2.5999999999999999E-2</v>
      </c>
    </row>
    <row r="910" spans="1:23" s="79" customFormat="1" hidden="1" x14ac:dyDescent="0.55000000000000004">
      <c r="A910" s="41" t="s">
        <v>1534</v>
      </c>
      <c r="B910" s="41" t="s">
        <v>35</v>
      </c>
      <c r="C910" s="41" t="s">
        <v>10</v>
      </c>
      <c r="D910" s="58" t="str">
        <f t="shared" si="73"/>
        <v>Chicken Biryani</v>
      </c>
      <c r="E910" s="58" t="s">
        <v>1535</v>
      </c>
      <c r="F910" s="58" t="s">
        <v>2079</v>
      </c>
      <c r="G910" s="41" t="s">
        <v>11</v>
      </c>
      <c r="H910" s="58" t="s">
        <v>1774</v>
      </c>
      <c r="I910" s="58"/>
      <c r="J910" s="41"/>
      <c r="K910" s="41" t="str">
        <f>IFERROR(VLOOKUP(L910,'Raw material list'!$A$3:$C$715,3,0),"")</f>
        <v>DRS1-4840</v>
      </c>
      <c r="L910" s="58" t="s">
        <v>120</v>
      </c>
      <c r="M910" s="40" t="s">
        <v>156</v>
      </c>
      <c r="N910" s="40" t="str">
        <f>VLOOKUP(L910,'Raw material list'!$A$3:$E$715,5,0)</f>
        <v xml:space="preserve">Gram </v>
      </c>
      <c r="O910" s="40">
        <v>700</v>
      </c>
      <c r="P910" s="299">
        <f t="shared" si="70"/>
        <v>700</v>
      </c>
      <c r="Q910" s="40">
        <v>100</v>
      </c>
      <c r="R910" s="40">
        <v>10</v>
      </c>
      <c r="S910" s="40"/>
      <c r="T910" s="105">
        <f t="shared" si="69"/>
        <v>70</v>
      </c>
      <c r="U910" s="105">
        <f t="shared" si="71"/>
        <v>70</v>
      </c>
      <c r="V910" s="104">
        <f>IFERROR(VLOOKUP(L910,'Raw material list'!$A$2:$S$3102,6,0),0)</f>
        <v>6.0000000000000001E-3</v>
      </c>
      <c r="W910" s="104">
        <f t="shared" si="72"/>
        <v>0.42</v>
      </c>
    </row>
    <row r="911" spans="1:23" s="79" customFormat="1" hidden="1" x14ac:dyDescent="0.55000000000000004">
      <c r="A911" s="41" t="s">
        <v>1534</v>
      </c>
      <c r="B911" s="41" t="s">
        <v>35</v>
      </c>
      <c r="C911" s="41" t="s">
        <v>10</v>
      </c>
      <c r="D911" s="58" t="str">
        <f t="shared" si="73"/>
        <v>Chicken Biryani</v>
      </c>
      <c r="E911" s="58" t="s">
        <v>1535</v>
      </c>
      <c r="F911" s="58" t="s">
        <v>2079</v>
      </c>
      <c r="G911" s="41" t="s">
        <v>11</v>
      </c>
      <c r="H911" s="58" t="s">
        <v>1774</v>
      </c>
      <c r="I911" s="58"/>
      <c r="J911" s="41"/>
      <c r="K911" s="41" t="str">
        <f>IFERROR(VLOOKUP(L911,'Raw material list'!$A$3:$C$715,3,0),"")</f>
        <v>DRY2-3401</v>
      </c>
      <c r="L911" s="58" t="s">
        <v>422</v>
      </c>
      <c r="M911" s="40" t="s">
        <v>156</v>
      </c>
      <c r="N911" s="40" t="str">
        <f>VLOOKUP(L911,'Raw material list'!$A$3:$E$715,5,0)</f>
        <v xml:space="preserve">Gram </v>
      </c>
      <c r="O911" s="40">
        <v>250</v>
      </c>
      <c r="P911" s="299">
        <f t="shared" si="70"/>
        <v>250</v>
      </c>
      <c r="Q911" s="40">
        <v>100</v>
      </c>
      <c r="R911" s="40">
        <v>10</v>
      </c>
      <c r="S911" s="40"/>
      <c r="T911" s="105">
        <f t="shared" si="69"/>
        <v>25</v>
      </c>
      <c r="U911" s="105">
        <f t="shared" si="71"/>
        <v>25</v>
      </c>
      <c r="V911" s="104">
        <f>IFERROR(VLOOKUP(L911,'Raw material list'!$A$2:$S$3102,6,0),0)</f>
        <v>1.2272727272727272E-2</v>
      </c>
      <c r="W911" s="104">
        <f t="shared" si="72"/>
        <v>0.30681818181818182</v>
      </c>
    </row>
    <row r="912" spans="1:23" s="79" customFormat="1" hidden="1" x14ac:dyDescent="0.55000000000000004">
      <c r="A912" s="41" t="s">
        <v>1534</v>
      </c>
      <c r="B912" s="41" t="s">
        <v>35</v>
      </c>
      <c r="C912" s="41" t="s">
        <v>10</v>
      </c>
      <c r="D912" s="58" t="str">
        <f t="shared" si="73"/>
        <v>Chicken Biryani</v>
      </c>
      <c r="E912" s="58" t="s">
        <v>1535</v>
      </c>
      <c r="F912" s="58" t="s">
        <v>2079</v>
      </c>
      <c r="G912" s="41" t="s">
        <v>11</v>
      </c>
      <c r="H912" s="58" t="s">
        <v>1774</v>
      </c>
      <c r="I912" s="58"/>
      <c r="J912" s="41"/>
      <c r="K912" s="41" t="str">
        <f>IFERROR(VLOOKUP(L912,'Raw material list'!$A$3:$C$715,3,0),"")</f>
        <v>DRY2-1858</v>
      </c>
      <c r="L912" s="58" t="s">
        <v>60</v>
      </c>
      <c r="M912" s="40" t="s">
        <v>206</v>
      </c>
      <c r="N912" s="40" t="str">
        <f>VLOOKUP(L912,'Raw material list'!$A$3:$E$715,5,0)</f>
        <v>Ml</v>
      </c>
      <c r="O912" s="40">
        <v>100</v>
      </c>
      <c r="P912" s="299">
        <f t="shared" si="70"/>
        <v>100</v>
      </c>
      <c r="Q912" s="40">
        <v>100</v>
      </c>
      <c r="R912" s="40">
        <v>10</v>
      </c>
      <c r="S912" s="40"/>
      <c r="T912" s="105">
        <f t="shared" si="69"/>
        <v>10</v>
      </c>
      <c r="U912" s="105">
        <f t="shared" si="71"/>
        <v>10</v>
      </c>
      <c r="V912" s="104">
        <f>IFERROR(VLOOKUP(L912,'Raw material list'!$A$2:$S$3102,6,0),0)</f>
        <v>9.8800000000000016E-3</v>
      </c>
      <c r="W912" s="104">
        <f t="shared" si="72"/>
        <v>9.8800000000000013E-2</v>
      </c>
    </row>
    <row r="913" spans="1:23" s="79" customFormat="1" hidden="1" x14ac:dyDescent="0.55000000000000004">
      <c r="A913" s="41" t="s">
        <v>1534</v>
      </c>
      <c r="B913" s="41" t="s">
        <v>35</v>
      </c>
      <c r="C913" s="41" t="s">
        <v>10</v>
      </c>
      <c r="D913" s="58" t="str">
        <f t="shared" si="73"/>
        <v>Chicken Biryani</v>
      </c>
      <c r="E913" s="58" t="s">
        <v>1535</v>
      </c>
      <c r="F913" s="58" t="s">
        <v>2079</v>
      </c>
      <c r="G913" s="41" t="s">
        <v>11</v>
      </c>
      <c r="H913" s="58" t="s">
        <v>1774</v>
      </c>
      <c r="I913" s="58"/>
      <c r="J913" s="41"/>
      <c r="K913" s="41" t="str">
        <f>IFERROR(VLOOKUP(L913,'Raw material list'!$A$3:$C$715,3,0),"")</f>
        <v>PRD1-195</v>
      </c>
      <c r="L913" s="58" t="s">
        <v>90</v>
      </c>
      <c r="M913" s="40" t="s">
        <v>156</v>
      </c>
      <c r="N913" s="40" t="str">
        <f>VLOOKUP(L913,'Raw material list'!$A$3:$E$715,5,0)</f>
        <v xml:space="preserve">Gram </v>
      </c>
      <c r="O913" s="40">
        <v>20</v>
      </c>
      <c r="P913" s="299">
        <f t="shared" si="70"/>
        <v>46.874999999999993</v>
      </c>
      <c r="Q913" s="105">
        <v>42.666666666666671</v>
      </c>
      <c r="R913" s="40">
        <v>10</v>
      </c>
      <c r="S913" s="40"/>
      <c r="T913" s="105">
        <f t="shared" si="69"/>
        <v>2</v>
      </c>
      <c r="U913" s="105">
        <f t="shared" si="71"/>
        <v>4.6874999999999991</v>
      </c>
      <c r="V913" s="104">
        <f>IFERROR(VLOOKUP(L913,'Raw material list'!$A$2:$S$3102,6,0),0)</f>
        <v>9.3676814988290415E-3</v>
      </c>
      <c r="W913" s="104">
        <f t="shared" si="72"/>
        <v>4.3911007025761124E-2</v>
      </c>
    </row>
    <row r="914" spans="1:23" s="79" customFormat="1" hidden="1" x14ac:dyDescent="0.55000000000000004">
      <c r="A914" s="41" t="s">
        <v>1534</v>
      </c>
      <c r="B914" s="41" t="s">
        <v>35</v>
      </c>
      <c r="C914" s="41" t="s">
        <v>10</v>
      </c>
      <c r="D914" s="58" t="str">
        <f t="shared" si="73"/>
        <v>Chicken Biryani</v>
      </c>
      <c r="E914" s="58" t="s">
        <v>1535</v>
      </c>
      <c r="F914" s="58" t="s">
        <v>2079</v>
      </c>
      <c r="G914" s="41" t="s">
        <v>11</v>
      </c>
      <c r="H914" s="58" t="s">
        <v>1774</v>
      </c>
      <c r="I914" s="58"/>
      <c r="J914" s="41"/>
      <c r="K914" s="41" t="str">
        <f>IFERROR(VLOOKUP(L914,'Raw material list'!$A$3:$C$715,3,0),"")</f>
        <v>DRS6-1674</v>
      </c>
      <c r="L914" s="58" t="s">
        <v>73</v>
      </c>
      <c r="M914" s="40" t="s">
        <v>156</v>
      </c>
      <c r="N914" s="40" t="str">
        <f>VLOOKUP(L914,'Raw material list'!$A$3:$E$715,5,0)</f>
        <v xml:space="preserve">Gram </v>
      </c>
      <c r="O914" s="40">
        <v>4</v>
      </c>
      <c r="P914" s="299">
        <f t="shared" si="70"/>
        <v>4</v>
      </c>
      <c r="Q914" s="300">
        <v>100</v>
      </c>
      <c r="R914" s="40">
        <v>10</v>
      </c>
      <c r="S914" s="40"/>
      <c r="T914" s="105">
        <f t="shared" si="69"/>
        <v>0.4</v>
      </c>
      <c r="U914" s="105">
        <f t="shared" si="71"/>
        <v>0.4</v>
      </c>
      <c r="V914" s="104">
        <f>IFERROR(VLOOKUP(L914,'Raw material list'!$A$2:$S$3102,6,0),0)</f>
        <v>1.2500000000000001E-2</v>
      </c>
      <c r="W914" s="104">
        <f t="shared" si="72"/>
        <v>5.000000000000001E-3</v>
      </c>
    </row>
    <row r="915" spans="1:23" s="79" customFormat="1" hidden="1" x14ac:dyDescent="0.55000000000000004">
      <c r="A915" s="41" t="s">
        <v>1534</v>
      </c>
      <c r="B915" s="41" t="s">
        <v>35</v>
      </c>
      <c r="C915" s="41" t="s">
        <v>10</v>
      </c>
      <c r="D915" s="58" t="str">
        <f t="shared" si="73"/>
        <v>Chicken Biryani</v>
      </c>
      <c r="E915" s="58" t="s">
        <v>1535</v>
      </c>
      <c r="F915" s="58" t="s">
        <v>2079</v>
      </c>
      <c r="G915" s="41" t="s">
        <v>11</v>
      </c>
      <c r="H915" s="58" t="s">
        <v>1774</v>
      </c>
      <c r="I915" s="58"/>
      <c r="J915" s="41"/>
      <c r="K915" s="41" t="str">
        <f>IFERROR(VLOOKUP(L915,'Raw material list'!$A$3:$C$715,3,0),"")</f>
        <v>DRS6-266</v>
      </c>
      <c r="L915" s="58" t="s">
        <v>99</v>
      </c>
      <c r="M915" s="40" t="s">
        <v>156</v>
      </c>
      <c r="N915" s="40" t="str">
        <f>VLOOKUP(L915,'Raw material list'!$A$3:$E$715,5,0)</f>
        <v xml:space="preserve">Gram </v>
      </c>
      <c r="O915" s="40">
        <v>5</v>
      </c>
      <c r="P915" s="299">
        <f t="shared" si="70"/>
        <v>5</v>
      </c>
      <c r="Q915" s="40">
        <v>100</v>
      </c>
      <c r="R915" s="40">
        <v>10</v>
      </c>
      <c r="S915" s="40"/>
      <c r="T915" s="105">
        <f t="shared" si="69"/>
        <v>0.5</v>
      </c>
      <c r="U915" s="105">
        <f t="shared" si="71"/>
        <v>0.5</v>
      </c>
      <c r="V915" s="104">
        <f>IFERROR(VLOOKUP(L915,'Raw material list'!$A$2:$S$3102,6,0),0)</f>
        <v>1.4E-2</v>
      </c>
      <c r="W915" s="104">
        <f t="shared" si="72"/>
        <v>7.0000000000000001E-3</v>
      </c>
    </row>
    <row r="916" spans="1:23" s="79" customFormat="1" hidden="1" x14ac:dyDescent="0.55000000000000004">
      <c r="A916" s="41" t="s">
        <v>1534</v>
      </c>
      <c r="B916" s="41" t="s">
        <v>35</v>
      </c>
      <c r="C916" s="41" t="s">
        <v>10</v>
      </c>
      <c r="D916" s="58" t="str">
        <f t="shared" si="73"/>
        <v>Chicken Biryani</v>
      </c>
      <c r="E916" s="58" t="s">
        <v>1535</v>
      </c>
      <c r="F916" s="58" t="s">
        <v>2079</v>
      </c>
      <c r="G916" s="41" t="s">
        <v>11</v>
      </c>
      <c r="H916" s="58" t="s">
        <v>1774</v>
      </c>
      <c r="I916" s="58"/>
      <c r="J916" s="41"/>
      <c r="K916" s="41" t="str">
        <f>IFERROR(VLOOKUP(L916,'Raw material list'!$A$3:$C$715,3,0),"")</f>
        <v>DRS6-733</v>
      </c>
      <c r="L916" s="58" t="s">
        <v>45</v>
      </c>
      <c r="M916" s="40" t="s">
        <v>156</v>
      </c>
      <c r="N916" s="40" t="str">
        <f>VLOOKUP(L916,'Raw material list'!$A$3:$E$715,5,0)</f>
        <v xml:space="preserve">Gram </v>
      </c>
      <c r="O916" s="40">
        <v>4</v>
      </c>
      <c r="P916" s="299">
        <f t="shared" si="70"/>
        <v>4</v>
      </c>
      <c r="Q916" s="40">
        <v>100</v>
      </c>
      <c r="R916" s="40">
        <v>10</v>
      </c>
      <c r="S916" s="40"/>
      <c r="T916" s="105">
        <f t="shared" si="69"/>
        <v>0.4</v>
      </c>
      <c r="U916" s="105">
        <f t="shared" si="71"/>
        <v>0.4</v>
      </c>
      <c r="V916" s="104">
        <f>IFERROR(VLOOKUP(L916,'Raw material list'!$A$2:$S$3102,6,0),0)</f>
        <v>2.8000000000000001E-2</v>
      </c>
      <c r="W916" s="104">
        <f t="shared" si="72"/>
        <v>1.1200000000000002E-2</v>
      </c>
    </row>
    <row r="917" spans="1:23" s="79" customFormat="1" hidden="1" x14ac:dyDescent="0.55000000000000004">
      <c r="A917" s="41" t="s">
        <v>1534</v>
      </c>
      <c r="B917" s="41" t="s">
        <v>35</v>
      </c>
      <c r="C917" s="41" t="s">
        <v>10</v>
      </c>
      <c r="D917" s="58" t="str">
        <f t="shared" si="73"/>
        <v>Chicken Biryani</v>
      </c>
      <c r="E917" s="58" t="s">
        <v>1535</v>
      </c>
      <c r="F917" s="58" t="s">
        <v>2079</v>
      </c>
      <c r="G917" s="41" t="s">
        <v>11</v>
      </c>
      <c r="H917" s="58" t="s">
        <v>1774</v>
      </c>
      <c r="I917" s="58"/>
      <c r="J917" s="41"/>
      <c r="K917" s="41" t="str">
        <f>IFERROR(VLOOKUP(L917,'Raw material list'!$A$3:$C$715,3,0),"")</f>
        <v>DRS6-3850</v>
      </c>
      <c r="L917" s="58" t="s">
        <v>95</v>
      </c>
      <c r="M917" s="40" t="s">
        <v>156</v>
      </c>
      <c r="N917" s="40" t="str">
        <f>VLOOKUP(L917,'Raw material list'!$A$3:$E$715,5,0)</f>
        <v xml:space="preserve">Gram </v>
      </c>
      <c r="O917" s="40">
        <v>5</v>
      </c>
      <c r="P917" s="299">
        <f t="shared" si="70"/>
        <v>5</v>
      </c>
      <c r="Q917" s="40">
        <v>100</v>
      </c>
      <c r="R917" s="40">
        <v>10</v>
      </c>
      <c r="S917" s="40"/>
      <c r="T917" s="105">
        <f t="shared" si="69"/>
        <v>0.5</v>
      </c>
      <c r="U917" s="105">
        <f t="shared" si="71"/>
        <v>0.5</v>
      </c>
      <c r="V917" s="104">
        <f>IFERROR(VLOOKUP(L917,'Raw material list'!$A$2:$S$3102,6,0),0)</f>
        <v>7.963636363636363E-2</v>
      </c>
      <c r="W917" s="104">
        <f t="shared" si="72"/>
        <v>3.9818181818181815E-2</v>
      </c>
    </row>
    <row r="918" spans="1:23" s="79" customFormat="1" hidden="1" x14ac:dyDescent="0.55000000000000004">
      <c r="A918" s="41" t="s">
        <v>1534</v>
      </c>
      <c r="B918" s="41" t="s">
        <v>35</v>
      </c>
      <c r="C918" s="41" t="s">
        <v>10</v>
      </c>
      <c r="D918" s="58" t="str">
        <f t="shared" si="73"/>
        <v>Chicken Biryani</v>
      </c>
      <c r="E918" s="58" t="s">
        <v>1535</v>
      </c>
      <c r="F918" s="58" t="s">
        <v>2079</v>
      </c>
      <c r="G918" s="41" t="s">
        <v>11</v>
      </c>
      <c r="H918" s="58" t="s">
        <v>1774</v>
      </c>
      <c r="I918" s="58"/>
      <c r="J918" s="41"/>
      <c r="K918" s="41" t="str">
        <f>IFERROR(VLOOKUP(L918,'Raw material list'!$A$3:$C$715,3,0),"")</f>
        <v>TAP-00001</v>
      </c>
      <c r="L918" s="58" t="s">
        <v>1405</v>
      </c>
      <c r="M918" s="40" t="s">
        <v>206</v>
      </c>
      <c r="N918" s="40" t="str">
        <f>VLOOKUP(L918,'Raw material list'!$A$3:$E$715,5,0)</f>
        <v>Ml</v>
      </c>
      <c r="O918" s="40">
        <v>200</v>
      </c>
      <c r="P918" s="299">
        <f t="shared" si="70"/>
        <v>200</v>
      </c>
      <c r="Q918" s="40">
        <v>100</v>
      </c>
      <c r="R918" s="40">
        <v>10</v>
      </c>
      <c r="S918" s="40"/>
      <c r="T918" s="105">
        <f t="shared" si="69"/>
        <v>20</v>
      </c>
      <c r="U918" s="105">
        <f t="shared" si="71"/>
        <v>20</v>
      </c>
      <c r="V918" s="104">
        <f>IFERROR(VLOOKUP(L918,'Raw material list'!$A$2:$S$3102,6,0),0)</f>
        <v>8.0000000000000007E-5</v>
      </c>
      <c r="W918" s="104">
        <f t="shared" si="72"/>
        <v>1.6000000000000001E-3</v>
      </c>
    </row>
    <row r="919" spans="1:23" s="79" customFormat="1" hidden="1" x14ac:dyDescent="0.55000000000000004">
      <c r="A919" s="41" t="s">
        <v>1534</v>
      </c>
      <c r="B919" s="41" t="s">
        <v>35</v>
      </c>
      <c r="C919" s="41" t="s">
        <v>10</v>
      </c>
      <c r="D919" s="58" t="str">
        <f t="shared" si="73"/>
        <v>Chicken Biryani</v>
      </c>
      <c r="E919" s="58" t="s">
        <v>1535</v>
      </c>
      <c r="F919" s="58" t="s">
        <v>2079</v>
      </c>
      <c r="G919" s="41" t="s">
        <v>11</v>
      </c>
      <c r="H919" s="58" t="s">
        <v>1774</v>
      </c>
      <c r="I919" s="58"/>
      <c r="J919" s="41"/>
      <c r="K919" s="41" t="str">
        <f>IFERROR(VLOOKUP(L919,'Raw material list'!$A$3:$C$715,3,0),"")</f>
        <v>DRS1-3811</v>
      </c>
      <c r="L919" s="58" t="s">
        <v>40</v>
      </c>
      <c r="M919" s="40" t="s">
        <v>156</v>
      </c>
      <c r="N919" s="40" t="str">
        <f>VLOOKUP(L919,'Raw material list'!$A$3:$E$715,5,0)</f>
        <v xml:space="preserve">Gram </v>
      </c>
      <c r="O919" s="40">
        <v>15</v>
      </c>
      <c r="P919" s="299">
        <f t="shared" si="70"/>
        <v>15</v>
      </c>
      <c r="Q919" s="40">
        <v>100</v>
      </c>
      <c r="R919" s="40">
        <v>10</v>
      </c>
      <c r="S919" s="40"/>
      <c r="T919" s="105">
        <f t="shared" si="69"/>
        <v>1.5</v>
      </c>
      <c r="U919" s="105">
        <f t="shared" si="71"/>
        <v>1.5</v>
      </c>
      <c r="V919" s="104">
        <f>IFERROR(VLOOKUP(L919,'Raw material list'!$A$2:$S$3102,6,0),0)</f>
        <v>2.8475E-2</v>
      </c>
      <c r="W919" s="104">
        <f t="shared" si="72"/>
        <v>4.27125E-2</v>
      </c>
    </row>
    <row r="920" spans="1:23" s="79" customFormat="1" hidden="1" x14ac:dyDescent="0.55000000000000004">
      <c r="A920" s="41" t="s">
        <v>1534</v>
      </c>
      <c r="B920" s="41" t="s">
        <v>35</v>
      </c>
      <c r="C920" s="41" t="s">
        <v>10</v>
      </c>
      <c r="D920" s="58" t="str">
        <f t="shared" si="73"/>
        <v>Chicken Biryani</v>
      </c>
      <c r="E920" s="58" t="s">
        <v>1535</v>
      </c>
      <c r="F920" s="58" t="s">
        <v>2079</v>
      </c>
      <c r="G920" s="41" t="s">
        <v>11</v>
      </c>
      <c r="H920" s="58" t="s">
        <v>1774</v>
      </c>
      <c r="I920" s="58"/>
      <c r="J920" s="41"/>
      <c r="K920" s="41" t="str">
        <f>IFERROR(VLOOKUP(L920,'Raw material list'!$A$3:$C$715,3,0),"")</f>
        <v>DRS1-3880</v>
      </c>
      <c r="L920" s="58" t="s">
        <v>1433</v>
      </c>
      <c r="M920" s="40" t="s">
        <v>156</v>
      </c>
      <c r="N920" s="40" t="str">
        <f>VLOOKUP(L920,'Raw material list'!$A$3:$E$715,5,0)</f>
        <v xml:space="preserve">Gram </v>
      </c>
      <c r="O920" s="40">
        <v>10</v>
      </c>
      <c r="P920" s="299">
        <f t="shared" si="70"/>
        <v>10</v>
      </c>
      <c r="Q920" s="40">
        <v>100</v>
      </c>
      <c r="R920" s="40">
        <v>10</v>
      </c>
      <c r="S920" s="40"/>
      <c r="T920" s="105">
        <f t="shared" si="69"/>
        <v>1</v>
      </c>
      <c r="U920" s="105">
        <f t="shared" si="71"/>
        <v>1</v>
      </c>
      <c r="V920" s="104">
        <f>IFERROR(VLOOKUP(L920,'Raw material list'!$A$2:$S$3102,6,0),0)</f>
        <v>5.0000000000000001E-4</v>
      </c>
      <c r="W920" s="104">
        <f t="shared" si="72"/>
        <v>5.0000000000000001E-4</v>
      </c>
    </row>
    <row r="921" spans="1:23" s="79" customFormat="1" hidden="1" x14ac:dyDescent="0.55000000000000004">
      <c r="A921" s="41" t="s">
        <v>1534</v>
      </c>
      <c r="B921" s="41" t="s">
        <v>35</v>
      </c>
      <c r="C921" s="41" t="s">
        <v>10</v>
      </c>
      <c r="D921" s="58" t="str">
        <f t="shared" si="73"/>
        <v>Chicken Biryani</v>
      </c>
      <c r="E921" s="58" t="s">
        <v>1535</v>
      </c>
      <c r="F921" s="58" t="s">
        <v>2079</v>
      </c>
      <c r="G921" s="41" t="s">
        <v>11</v>
      </c>
      <c r="H921" s="58" t="s">
        <v>1774</v>
      </c>
      <c r="I921" s="58"/>
      <c r="J921" s="41"/>
      <c r="K921" s="41" t="str">
        <f>IFERROR(VLOOKUP(L921,'Raw material list'!$A$3:$C$715,3,0),"")</f>
        <v>PRD3-5038</v>
      </c>
      <c r="L921" s="58" t="s">
        <v>965</v>
      </c>
      <c r="M921" s="40" t="s">
        <v>156</v>
      </c>
      <c r="N921" s="40" t="str">
        <f>VLOOKUP(L921,'Raw material list'!$A$3:$E$715,5,0)</f>
        <v xml:space="preserve">Gram </v>
      </c>
      <c r="O921" s="40">
        <v>100</v>
      </c>
      <c r="P921" s="299">
        <f t="shared" si="70"/>
        <v>100</v>
      </c>
      <c r="Q921" s="40">
        <v>100</v>
      </c>
      <c r="R921" s="40">
        <v>10</v>
      </c>
      <c r="S921" s="40"/>
      <c r="T921" s="105">
        <f t="shared" si="69"/>
        <v>10</v>
      </c>
      <c r="U921" s="105">
        <f t="shared" si="71"/>
        <v>10</v>
      </c>
      <c r="V921" s="104">
        <f>IFERROR(VLOOKUP(L921,'Raw material list'!$A$2:$S$3102,6,0),0)</f>
        <v>2.5999999999999999E-2</v>
      </c>
      <c r="W921" s="104">
        <f t="shared" si="72"/>
        <v>0.26</v>
      </c>
    </row>
    <row r="922" spans="1:23" s="79" customFormat="1" hidden="1" x14ac:dyDescent="0.55000000000000004">
      <c r="A922" s="41" t="s">
        <v>1534</v>
      </c>
      <c r="B922" s="41" t="s">
        <v>35</v>
      </c>
      <c r="C922" s="41" t="s">
        <v>10</v>
      </c>
      <c r="D922" s="58" t="str">
        <f t="shared" si="73"/>
        <v>Chicken Biryani</v>
      </c>
      <c r="E922" s="58" t="s">
        <v>1535</v>
      </c>
      <c r="F922" s="58" t="s">
        <v>2079</v>
      </c>
      <c r="G922" s="41" t="s">
        <v>11</v>
      </c>
      <c r="H922" s="58" t="s">
        <v>1774</v>
      </c>
      <c r="I922" s="58"/>
      <c r="J922" s="41"/>
      <c r="K922" s="41" t="str">
        <f>IFERROR(VLOOKUP(L922,'Raw material list'!$A$3:$C$715,3,0),"")</f>
        <v>DRS7-926</v>
      </c>
      <c r="L922" s="58" t="s">
        <v>508</v>
      </c>
      <c r="M922" s="40" t="s">
        <v>156</v>
      </c>
      <c r="N922" s="40" t="str">
        <f>VLOOKUP(L922,'Raw material list'!$A$3:$E$715,5,0)</f>
        <v xml:space="preserve">Gram </v>
      </c>
      <c r="O922" s="40">
        <v>150</v>
      </c>
      <c r="P922" s="299">
        <f t="shared" si="70"/>
        <v>150</v>
      </c>
      <c r="Q922" s="40">
        <v>100</v>
      </c>
      <c r="R922" s="40">
        <v>10</v>
      </c>
      <c r="S922" s="40"/>
      <c r="T922" s="105">
        <f t="shared" si="69"/>
        <v>15</v>
      </c>
      <c r="U922" s="105">
        <f t="shared" si="71"/>
        <v>15</v>
      </c>
      <c r="V922" s="104">
        <f>IFERROR(VLOOKUP(L922,'Raw material list'!$A$2:$S$3102,6,0),0)</f>
        <v>4.2000000000000003E-2</v>
      </c>
      <c r="W922" s="104">
        <f t="shared" si="72"/>
        <v>0.63</v>
      </c>
    </row>
    <row r="923" spans="1:23" s="79" customFormat="1" hidden="1" x14ac:dyDescent="0.55000000000000004">
      <c r="A923" s="41" t="s">
        <v>1534</v>
      </c>
      <c r="B923" s="41" t="s">
        <v>35</v>
      </c>
      <c r="C923" s="41" t="s">
        <v>10</v>
      </c>
      <c r="D923" s="58" t="str">
        <f t="shared" si="73"/>
        <v>Chicken Biryani</v>
      </c>
      <c r="E923" s="58" t="s">
        <v>1535</v>
      </c>
      <c r="F923" s="58" t="s">
        <v>2079</v>
      </c>
      <c r="G923" s="41" t="s">
        <v>11</v>
      </c>
      <c r="H923" s="58" t="s">
        <v>1774</v>
      </c>
      <c r="I923" s="58"/>
      <c r="J923" s="41"/>
      <c r="K923" s="41" t="str">
        <f>IFERROR(VLOOKUP(L923,'Raw material list'!$A$3:$C$715,3,0),"")</f>
        <v>DRS4-498</v>
      </c>
      <c r="L923" s="58" t="s">
        <v>72</v>
      </c>
      <c r="M923" s="40" t="s">
        <v>156</v>
      </c>
      <c r="N923" s="40" t="str">
        <f>VLOOKUP(L923,'Raw material list'!$A$3:$E$715,5,0)</f>
        <v xml:space="preserve">Gram </v>
      </c>
      <c r="O923" s="40">
        <v>1000</v>
      </c>
      <c r="P923" s="299">
        <f t="shared" si="70"/>
        <v>1000</v>
      </c>
      <c r="Q923" s="40">
        <v>100</v>
      </c>
      <c r="R923" s="40">
        <v>10</v>
      </c>
      <c r="S923" s="40"/>
      <c r="T923" s="105">
        <f t="shared" si="69"/>
        <v>100</v>
      </c>
      <c r="U923" s="105">
        <f t="shared" si="71"/>
        <v>100</v>
      </c>
      <c r="V923" s="104">
        <f>IFERROR(VLOOKUP(L923,'Raw material list'!$A$2:$S$3102,6,0),0)</f>
        <v>5.7499999999999999E-3</v>
      </c>
      <c r="W923" s="104">
        <f t="shared" si="72"/>
        <v>0.57499999999999996</v>
      </c>
    </row>
    <row r="924" spans="1:23" s="79" customFormat="1" hidden="1" x14ac:dyDescent="0.55000000000000004">
      <c r="A924" s="41" t="s">
        <v>1534</v>
      </c>
      <c r="B924" s="41" t="s">
        <v>35</v>
      </c>
      <c r="C924" s="41" t="s">
        <v>10</v>
      </c>
      <c r="D924" s="58" t="str">
        <f t="shared" si="73"/>
        <v>Chicken Biryani</v>
      </c>
      <c r="E924" s="58" t="s">
        <v>1535</v>
      </c>
      <c r="F924" s="58" t="s">
        <v>2079</v>
      </c>
      <c r="G924" s="41" t="s">
        <v>11</v>
      </c>
      <c r="H924" s="58" t="s">
        <v>1774</v>
      </c>
      <c r="I924" s="58"/>
      <c r="J924" s="41"/>
      <c r="K924" s="41" t="str">
        <f>IFERROR(VLOOKUP(L924,'Raw material list'!$A$3:$C$715,3,0),"")</f>
        <v>TAP-00001</v>
      </c>
      <c r="L924" s="58" t="s">
        <v>1405</v>
      </c>
      <c r="M924" s="40" t="s">
        <v>206</v>
      </c>
      <c r="N924" s="40" t="str">
        <f>VLOOKUP(L924,'Raw material list'!$A$3:$E$715,5,0)</f>
        <v>Ml</v>
      </c>
      <c r="O924" s="40">
        <v>1600</v>
      </c>
      <c r="P924" s="299">
        <f t="shared" si="70"/>
        <v>1600</v>
      </c>
      <c r="Q924" s="40">
        <v>100</v>
      </c>
      <c r="R924" s="40">
        <v>10</v>
      </c>
      <c r="S924" s="40"/>
      <c r="T924" s="105">
        <f t="shared" si="69"/>
        <v>160</v>
      </c>
      <c r="U924" s="105">
        <f t="shared" si="71"/>
        <v>160</v>
      </c>
      <c r="V924" s="104">
        <f>IFERROR(VLOOKUP(L924,'Raw material list'!$A$2:$S$3102,6,0),0)</f>
        <v>8.0000000000000007E-5</v>
      </c>
      <c r="W924" s="104">
        <f t="shared" si="72"/>
        <v>1.2800000000000001E-2</v>
      </c>
    </row>
    <row r="925" spans="1:23" s="79" customFormat="1" hidden="1" x14ac:dyDescent="0.55000000000000004">
      <c r="A925" s="41" t="s">
        <v>1534</v>
      </c>
      <c r="B925" s="41" t="s">
        <v>35</v>
      </c>
      <c r="C925" s="41" t="s">
        <v>10</v>
      </c>
      <c r="D925" s="58" t="str">
        <f t="shared" si="73"/>
        <v>Chicken Biryani</v>
      </c>
      <c r="E925" s="58" t="s">
        <v>1535</v>
      </c>
      <c r="F925" s="58" t="s">
        <v>2079</v>
      </c>
      <c r="G925" s="41" t="s">
        <v>11</v>
      </c>
      <c r="H925" s="58" t="s">
        <v>1774</v>
      </c>
      <c r="I925" s="58"/>
      <c r="J925" s="41"/>
      <c r="K925" s="41" t="str">
        <f>IFERROR(VLOOKUP(L925,'Raw material list'!$A$3:$C$715,3,0),"")</f>
        <v>DRY2-1008</v>
      </c>
      <c r="L925" s="58" t="s">
        <v>57</v>
      </c>
      <c r="M925" s="40" t="s">
        <v>156</v>
      </c>
      <c r="N925" s="40" t="str">
        <f>VLOOKUP(L925,'Raw material list'!$A$3:$E$715,5,0)</f>
        <v xml:space="preserve">Gram </v>
      </c>
      <c r="O925" s="40">
        <v>50</v>
      </c>
      <c r="P925" s="299">
        <f t="shared" si="70"/>
        <v>50</v>
      </c>
      <c r="Q925" s="40">
        <v>100</v>
      </c>
      <c r="R925" s="40">
        <v>10</v>
      </c>
      <c r="S925" s="40"/>
      <c r="T925" s="105">
        <f t="shared" si="69"/>
        <v>5</v>
      </c>
      <c r="U925" s="105">
        <f t="shared" si="71"/>
        <v>5</v>
      </c>
      <c r="V925" s="104">
        <f>IFERROR(VLOOKUP(L925,'Raw material list'!$A$2:$S$3102,6,0),0)</f>
        <v>0.03</v>
      </c>
      <c r="W925" s="104">
        <f t="shared" si="72"/>
        <v>0.15</v>
      </c>
    </row>
    <row r="926" spans="1:23" s="79" customFormat="1" hidden="1" x14ac:dyDescent="0.55000000000000004">
      <c r="A926" s="41" t="s">
        <v>1534</v>
      </c>
      <c r="B926" s="41" t="s">
        <v>35</v>
      </c>
      <c r="C926" s="41" t="s">
        <v>10</v>
      </c>
      <c r="D926" s="58" t="str">
        <f t="shared" si="73"/>
        <v>Chicken Biryani</v>
      </c>
      <c r="E926" s="58" t="s">
        <v>1535</v>
      </c>
      <c r="F926" s="58" t="s">
        <v>2079</v>
      </c>
      <c r="G926" s="41" t="s">
        <v>11</v>
      </c>
      <c r="H926" s="58" t="s">
        <v>1774</v>
      </c>
      <c r="I926" s="58"/>
      <c r="J926" s="41"/>
      <c r="K926" s="41" t="str">
        <f>IFERROR(VLOOKUP(L926,'Raw material list'!$A$3:$C$715,3,0),"")</f>
        <v>DRS1-304</v>
      </c>
      <c r="L926" s="58" t="s">
        <v>74</v>
      </c>
      <c r="M926" s="40" t="s">
        <v>156</v>
      </c>
      <c r="N926" s="40" t="str">
        <f>VLOOKUP(L926,'Raw material list'!$A$3:$E$715,5,0)</f>
        <v xml:space="preserve">Gram </v>
      </c>
      <c r="O926" s="40">
        <v>1</v>
      </c>
      <c r="P926" s="299">
        <f t="shared" si="70"/>
        <v>1</v>
      </c>
      <c r="Q926" s="40">
        <v>100</v>
      </c>
      <c r="R926" s="40">
        <v>10</v>
      </c>
      <c r="S926" s="40"/>
      <c r="T926" s="105">
        <f t="shared" si="69"/>
        <v>0.1</v>
      </c>
      <c r="U926" s="105">
        <f t="shared" si="71"/>
        <v>0.1</v>
      </c>
      <c r="V926" s="104">
        <f>IFERROR(VLOOKUP(L926,'Raw material list'!$A$2:$S$3102,6,0),0)</f>
        <v>2.0799999999999999E-2</v>
      </c>
      <c r="W926" s="104">
        <f t="shared" si="72"/>
        <v>2.0799999999999998E-3</v>
      </c>
    </row>
    <row r="927" spans="1:23" s="79" customFormat="1" hidden="1" x14ac:dyDescent="0.55000000000000004">
      <c r="A927" s="41" t="s">
        <v>1549</v>
      </c>
      <c r="B927" s="41" t="s">
        <v>35</v>
      </c>
      <c r="C927" s="41" t="s">
        <v>10</v>
      </c>
      <c r="D927" s="58" t="s">
        <v>1537</v>
      </c>
      <c r="E927" s="58" t="s">
        <v>1536</v>
      </c>
      <c r="F927" s="58" t="s">
        <v>2081</v>
      </c>
      <c r="G927" s="41" t="s">
        <v>11</v>
      </c>
      <c r="H927" s="58" t="s">
        <v>1773</v>
      </c>
      <c r="I927" s="58"/>
      <c r="J927" s="41"/>
      <c r="K927" s="41" t="str">
        <f>IFERROR(VLOOKUP(L927,'Raw material list'!$A$3:$C$715,3,0),"")</f>
        <v>MET2-4655</v>
      </c>
      <c r="L927" s="58" t="s">
        <v>66</v>
      </c>
      <c r="M927" s="40" t="s">
        <v>156</v>
      </c>
      <c r="N927" s="40" t="str">
        <f>VLOOKUP(L927,'Raw material list'!$A$3:$E$715,5,0)</f>
        <v xml:space="preserve">Gram </v>
      </c>
      <c r="O927" s="40">
        <v>1000</v>
      </c>
      <c r="P927" s="299">
        <f t="shared" si="70"/>
        <v>1000</v>
      </c>
      <c r="Q927" s="40">
        <v>100</v>
      </c>
      <c r="R927" s="40">
        <v>10</v>
      </c>
      <c r="S927" s="40"/>
      <c r="T927" s="105">
        <f t="shared" si="69"/>
        <v>100</v>
      </c>
      <c r="U927" s="105">
        <f t="shared" si="71"/>
        <v>100</v>
      </c>
      <c r="V927" s="104">
        <f>IFERROR(VLOOKUP(L927,'Raw material list'!$A$2:$S$3102,6,0),0)</f>
        <v>2.3699999999999999E-2</v>
      </c>
      <c r="W927" s="104">
        <f t="shared" si="72"/>
        <v>2.37</v>
      </c>
    </row>
    <row r="928" spans="1:23" s="79" customFormat="1" hidden="1" x14ac:dyDescent="0.55000000000000004">
      <c r="A928" s="41" t="s">
        <v>1549</v>
      </c>
      <c r="B928" s="41" t="s">
        <v>35</v>
      </c>
      <c r="C928" s="41" t="s">
        <v>10</v>
      </c>
      <c r="D928" s="58" t="str">
        <f t="shared" ref="D928:D945" si="74">D927</f>
        <v xml:space="preserve">Minted Meat Ball with Tomato Sause </v>
      </c>
      <c r="E928" s="58" t="s">
        <v>1536</v>
      </c>
      <c r="F928" s="58" t="s">
        <v>2079</v>
      </c>
      <c r="G928" s="41" t="s">
        <v>11</v>
      </c>
      <c r="H928" s="58" t="s">
        <v>1773</v>
      </c>
      <c r="I928" s="58"/>
      <c r="J928" s="41"/>
      <c r="K928" s="41" t="str">
        <f>IFERROR(VLOOKUP(L928,'Raw material list'!$A$3:$C$715,3,0),"")</f>
        <v>DRS1-607</v>
      </c>
      <c r="L928" s="58" t="s">
        <v>250</v>
      </c>
      <c r="M928" s="40" t="s">
        <v>156</v>
      </c>
      <c r="N928" s="40" t="str">
        <f>VLOOKUP(L928,'Raw material list'!$A$3:$E$715,5,0)</f>
        <v xml:space="preserve">Gram </v>
      </c>
      <c r="O928" s="40">
        <v>1200</v>
      </c>
      <c r="P928" s="299">
        <f t="shared" si="70"/>
        <v>1200</v>
      </c>
      <c r="Q928" s="40">
        <v>100</v>
      </c>
      <c r="R928" s="40">
        <v>10</v>
      </c>
      <c r="S928" s="40"/>
      <c r="T928" s="105">
        <f t="shared" si="69"/>
        <v>120</v>
      </c>
      <c r="U928" s="105">
        <f t="shared" si="71"/>
        <v>120</v>
      </c>
      <c r="V928" s="104">
        <f>IFERROR(VLOOKUP(L928,'Raw material list'!$A$2:$S$3102,6,0),0)</f>
        <v>5.8823529411764705E-3</v>
      </c>
      <c r="W928" s="104">
        <f t="shared" si="72"/>
        <v>0.70588235294117641</v>
      </c>
    </row>
    <row r="929" spans="1:23" s="79" customFormat="1" hidden="1" x14ac:dyDescent="0.55000000000000004">
      <c r="A929" s="41" t="s">
        <v>1549</v>
      </c>
      <c r="B929" s="41" t="s">
        <v>35</v>
      </c>
      <c r="C929" s="41" t="s">
        <v>10</v>
      </c>
      <c r="D929" s="58" t="str">
        <f t="shared" si="74"/>
        <v xml:space="preserve">Minted Meat Ball with Tomato Sause </v>
      </c>
      <c r="E929" s="58" t="s">
        <v>1536</v>
      </c>
      <c r="F929" s="58" t="s">
        <v>2079</v>
      </c>
      <c r="G929" s="41" t="s">
        <v>11</v>
      </c>
      <c r="H929" s="58" t="s">
        <v>1773</v>
      </c>
      <c r="I929" s="58"/>
      <c r="J929" s="41"/>
      <c r="K929" s="41" t="str">
        <f>IFERROR(VLOOKUP(L929,'Raw material list'!$A$3:$C$715,3,0),"")</f>
        <v>PRD1-4265</v>
      </c>
      <c r="L929" s="58" t="s">
        <v>38</v>
      </c>
      <c r="M929" s="40" t="s">
        <v>156</v>
      </c>
      <c r="N929" s="40" t="str">
        <f>VLOOKUP(L929,'Raw material list'!$A$3:$E$715,5,0)</f>
        <v xml:space="preserve">Gram </v>
      </c>
      <c r="O929" s="40">
        <v>15</v>
      </c>
      <c r="P929" s="299">
        <f t="shared" si="70"/>
        <v>17.647058823529413</v>
      </c>
      <c r="Q929" s="105">
        <v>85</v>
      </c>
      <c r="R929" s="40">
        <v>10</v>
      </c>
      <c r="S929" s="40"/>
      <c r="T929" s="105">
        <f t="shared" si="69"/>
        <v>1.5</v>
      </c>
      <c r="U929" s="105">
        <f t="shared" si="71"/>
        <v>1.7647058823529413</v>
      </c>
      <c r="V929" s="104">
        <f>IFERROR(VLOOKUP(L929,'Raw material list'!$A$2:$S$3102,6,0),0)</f>
        <v>3.529411764705882E-3</v>
      </c>
      <c r="W929" s="104">
        <f t="shared" si="72"/>
        <v>6.2283737024221453E-3</v>
      </c>
    </row>
    <row r="930" spans="1:23" s="79" customFormat="1" hidden="1" x14ac:dyDescent="0.55000000000000004">
      <c r="A930" s="41" t="s">
        <v>1549</v>
      </c>
      <c r="B930" s="41" t="s">
        <v>35</v>
      </c>
      <c r="C930" s="41" t="s">
        <v>10</v>
      </c>
      <c r="D930" s="58" t="str">
        <f t="shared" si="74"/>
        <v xml:space="preserve">Minted Meat Ball with Tomato Sause </v>
      </c>
      <c r="E930" s="58" t="s">
        <v>1536</v>
      </c>
      <c r="F930" s="58" t="s">
        <v>2079</v>
      </c>
      <c r="G930" s="41" t="s">
        <v>11</v>
      </c>
      <c r="H930" s="58" t="s">
        <v>1773</v>
      </c>
      <c r="I930" s="58"/>
      <c r="J930" s="41"/>
      <c r="K930" s="41" t="str">
        <f>IFERROR(VLOOKUP(L930,'Raw material list'!$A$3:$C$715,3,0),"")</f>
        <v>DRS6-537</v>
      </c>
      <c r="L930" s="58" t="s">
        <v>46</v>
      </c>
      <c r="M930" s="40" t="s">
        <v>156</v>
      </c>
      <c r="N930" s="40" t="str">
        <f>VLOOKUP(L930,'Raw material list'!$A$3:$E$715,5,0)</f>
        <v xml:space="preserve">Gram </v>
      </c>
      <c r="O930" s="40">
        <v>1</v>
      </c>
      <c r="P930" s="299">
        <f t="shared" si="70"/>
        <v>1</v>
      </c>
      <c r="Q930" s="300">
        <v>100</v>
      </c>
      <c r="R930" s="40">
        <v>10</v>
      </c>
      <c r="S930" s="40"/>
      <c r="T930" s="105">
        <f t="shared" si="69"/>
        <v>0.1</v>
      </c>
      <c r="U930" s="105">
        <f t="shared" si="71"/>
        <v>0.1</v>
      </c>
      <c r="V930" s="104">
        <f>IFERROR(VLOOKUP(L930,'Raw material list'!$A$2:$S$3102,6,0),0)</f>
        <v>3.5000000000000003E-2</v>
      </c>
      <c r="W930" s="104">
        <f t="shared" si="72"/>
        <v>3.5000000000000005E-3</v>
      </c>
    </row>
    <row r="931" spans="1:23" s="79" customFormat="1" hidden="1" x14ac:dyDescent="0.55000000000000004">
      <c r="A931" s="41" t="s">
        <v>1549</v>
      </c>
      <c r="B931" s="41" t="s">
        <v>35</v>
      </c>
      <c r="C931" s="41" t="s">
        <v>10</v>
      </c>
      <c r="D931" s="58" t="str">
        <f t="shared" si="74"/>
        <v xml:space="preserve">Minted Meat Ball with Tomato Sause </v>
      </c>
      <c r="E931" s="58" t="s">
        <v>1536</v>
      </c>
      <c r="F931" s="58" t="s">
        <v>2079</v>
      </c>
      <c r="G931" s="41" t="s">
        <v>11</v>
      </c>
      <c r="H931" s="58" t="s">
        <v>1773</v>
      </c>
      <c r="I931" s="58"/>
      <c r="J931" s="41"/>
      <c r="K931" s="41" t="str">
        <f>IFERROR(VLOOKUP(L931,'Raw material list'!$A$3:$C$715,3,0),"")</f>
        <v>DRS1-1747</v>
      </c>
      <c r="L931" s="58" t="s">
        <v>44</v>
      </c>
      <c r="M931" s="40" t="s">
        <v>156</v>
      </c>
      <c r="N931" s="40" t="str">
        <f>VLOOKUP(L931,'Raw material list'!$A$3:$E$715,5,0)</f>
        <v xml:space="preserve">Gram </v>
      </c>
      <c r="O931" s="40">
        <v>80</v>
      </c>
      <c r="P931" s="299">
        <f t="shared" si="70"/>
        <v>80</v>
      </c>
      <c r="Q931" s="40">
        <v>100</v>
      </c>
      <c r="R931" s="40">
        <v>10</v>
      </c>
      <c r="S931" s="40"/>
      <c r="T931" s="105">
        <f t="shared" si="69"/>
        <v>8</v>
      </c>
      <c r="U931" s="105">
        <f t="shared" si="71"/>
        <v>8</v>
      </c>
      <c r="V931" s="104">
        <f>IFERROR(VLOOKUP(L931,'Raw material list'!$A$2:$S$3102,6,0),0)</f>
        <v>5.185185185185185E-3</v>
      </c>
      <c r="W931" s="104">
        <f t="shared" si="72"/>
        <v>4.148148148148148E-2</v>
      </c>
    </row>
    <row r="932" spans="1:23" s="79" customFormat="1" hidden="1" x14ac:dyDescent="0.55000000000000004">
      <c r="A932" s="41" t="s">
        <v>1549</v>
      </c>
      <c r="B932" s="41" t="s">
        <v>35</v>
      </c>
      <c r="C932" s="41" t="s">
        <v>10</v>
      </c>
      <c r="D932" s="58" t="str">
        <f t="shared" si="74"/>
        <v xml:space="preserve">Minted Meat Ball with Tomato Sause </v>
      </c>
      <c r="E932" s="58" t="s">
        <v>1536</v>
      </c>
      <c r="F932" s="58" t="s">
        <v>2079</v>
      </c>
      <c r="G932" s="41" t="s">
        <v>11</v>
      </c>
      <c r="H932" s="58" t="s">
        <v>1773</v>
      </c>
      <c r="I932" s="58"/>
      <c r="J932" s="41"/>
      <c r="K932" s="41" t="str">
        <f>IFERROR(VLOOKUP(L932,'Raw material list'!$A$3:$C$715,3,0),"")</f>
        <v>TAP-00001</v>
      </c>
      <c r="L932" s="58" t="s">
        <v>1405</v>
      </c>
      <c r="M932" s="40" t="s">
        <v>206</v>
      </c>
      <c r="N932" s="40" t="str">
        <f>VLOOKUP(L932,'Raw material list'!$A$3:$E$715,5,0)</f>
        <v>Ml</v>
      </c>
      <c r="O932" s="40">
        <v>500</v>
      </c>
      <c r="P932" s="299">
        <f t="shared" si="70"/>
        <v>500</v>
      </c>
      <c r="Q932" s="40">
        <v>100</v>
      </c>
      <c r="R932" s="40">
        <v>10</v>
      </c>
      <c r="S932" s="40"/>
      <c r="T932" s="105">
        <f t="shared" si="69"/>
        <v>50</v>
      </c>
      <c r="U932" s="105">
        <f t="shared" si="71"/>
        <v>50</v>
      </c>
      <c r="V932" s="104">
        <f>IFERROR(VLOOKUP(L932,'Raw material list'!$A$2:$S$3102,6,0),0)</f>
        <v>8.0000000000000007E-5</v>
      </c>
      <c r="W932" s="104">
        <f t="shared" si="72"/>
        <v>4.0000000000000001E-3</v>
      </c>
    </row>
    <row r="933" spans="1:23" s="79" customFormat="1" hidden="1" x14ac:dyDescent="0.55000000000000004">
      <c r="A933" s="41" t="s">
        <v>1549</v>
      </c>
      <c r="B933" s="41" t="s">
        <v>35</v>
      </c>
      <c r="C933" s="41" t="s">
        <v>10</v>
      </c>
      <c r="D933" s="58" t="str">
        <f t="shared" si="74"/>
        <v xml:space="preserve">Minted Meat Ball with Tomato Sause </v>
      </c>
      <c r="E933" s="58" t="s">
        <v>1536</v>
      </c>
      <c r="F933" s="58" t="s">
        <v>2079</v>
      </c>
      <c r="G933" s="41" t="s">
        <v>11</v>
      </c>
      <c r="H933" s="58" t="s">
        <v>1773</v>
      </c>
      <c r="I933" s="58"/>
      <c r="J933" s="41"/>
      <c r="K933" s="41" t="str">
        <f>IFERROR(VLOOKUP(L933,'Raw material list'!$A$3:$C$715,3,0),"")</f>
        <v>DRS1-3813</v>
      </c>
      <c r="L933" s="58" t="s">
        <v>67</v>
      </c>
      <c r="M933" s="40" t="s">
        <v>156</v>
      </c>
      <c r="N933" s="40" t="str">
        <f>VLOOKUP(L933,'Raw material list'!$A$3:$E$715,5,0)</f>
        <v xml:space="preserve">Gram </v>
      </c>
      <c r="O933" s="40">
        <v>10</v>
      </c>
      <c r="P933" s="299">
        <f t="shared" si="70"/>
        <v>10</v>
      </c>
      <c r="Q933" s="40">
        <v>100</v>
      </c>
      <c r="R933" s="40">
        <v>10</v>
      </c>
      <c r="S933" s="40"/>
      <c r="T933" s="105">
        <f t="shared" si="69"/>
        <v>1</v>
      </c>
      <c r="U933" s="105">
        <f t="shared" si="71"/>
        <v>1</v>
      </c>
      <c r="V933" s="104">
        <f>IFERROR(VLOOKUP(L933,'Raw material list'!$A$2:$S$3102,6,0),0)</f>
        <v>4.4441666666666664E-2</v>
      </c>
      <c r="W933" s="104">
        <f t="shared" si="72"/>
        <v>4.4441666666666664E-2</v>
      </c>
    </row>
    <row r="934" spans="1:23" s="79" customFormat="1" hidden="1" x14ac:dyDescent="0.55000000000000004">
      <c r="A934" s="41" t="s">
        <v>1549</v>
      </c>
      <c r="B934" s="41" t="s">
        <v>35</v>
      </c>
      <c r="C934" s="41" t="s">
        <v>10</v>
      </c>
      <c r="D934" s="58" t="str">
        <f t="shared" si="74"/>
        <v xml:space="preserve">Minted Meat Ball with Tomato Sause </v>
      </c>
      <c r="E934" s="58" t="s">
        <v>1536</v>
      </c>
      <c r="F934" s="58" t="s">
        <v>2079</v>
      </c>
      <c r="G934" s="41" t="s">
        <v>11</v>
      </c>
      <c r="H934" s="58" t="s">
        <v>1773</v>
      </c>
      <c r="I934" s="58"/>
      <c r="J934" s="41"/>
      <c r="K934" s="41" t="str">
        <f>IFERROR(VLOOKUP(L934,'Raw material list'!$A$3:$C$715,3,0),"")</f>
        <v>DRS1-3880</v>
      </c>
      <c r="L934" s="58" t="s">
        <v>1433</v>
      </c>
      <c r="M934" s="40" t="s">
        <v>156</v>
      </c>
      <c r="N934" s="40" t="str">
        <f>VLOOKUP(L934,'Raw material list'!$A$3:$E$715,5,0)</f>
        <v xml:space="preserve">Gram </v>
      </c>
      <c r="O934" s="40">
        <v>10</v>
      </c>
      <c r="P934" s="299">
        <f t="shared" si="70"/>
        <v>10</v>
      </c>
      <c r="Q934" s="40">
        <v>100</v>
      </c>
      <c r="R934" s="40">
        <v>10</v>
      </c>
      <c r="S934" s="40"/>
      <c r="T934" s="105">
        <f t="shared" si="69"/>
        <v>1</v>
      </c>
      <c r="U934" s="105">
        <f t="shared" si="71"/>
        <v>1</v>
      </c>
      <c r="V934" s="104">
        <f>IFERROR(VLOOKUP(L934,'Raw material list'!$A$2:$S$3102,6,0),0)</f>
        <v>5.0000000000000001E-4</v>
      </c>
      <c r="W934" s="104">
        <f t="shared" si="72"/>
        <v>5.0000000000000001E-4</v>
      </c>
    </row>
    <row r="935" spans="1:23" s="79" customFormat="1" hidden="1" x14ac:dyDescent="0.55000000000000004">
      <c r="A935" s="41" t="s">
        <v>1549</v>
      </c>
      <c r="B935" s="41" t="s">
        <v>35</v>
      </c>
      <c r="C935" s="41" t="s">
        <v>10</v>
      </c>
      <c r="D935" s="58" t="str">
        <f t="shared" si="74"/>
        <v xml:space="preserve">Minted Meat Ball with Tomato Sause </v>
      </c>
      <c r="E935" s="58" t="s">
        <v>1536</v>
      </c>
      <c r="F935" s="58" t="s">
        <v>2079</v>
      </c>
      <c r="G935" s="41" t="s">
        <v>11</v>
      </c>
      <c r="H935" s="58" t="s">
        <v>1773</v>
      </c>
      <c r="I935" s="58"/>
      <c r="J935" s="41"/>
      <c r="K935" s="41" t="str">
        <f>IFERROR(VLOOKUP(L935,'Raw material list'!$A$3:$C$715,3,0),"")</f>
        <v>DRS1-978</v>
      </c>
      <c r="L935" s="58" t="s">
        <v>56</v>
      </c>
      <c r="M935" s="40" t="s">
        <v>156</v>
      </c>
      <c r="N935" s="40" t="str">
        <f>VLOOKUP(L935,'Raw material list'!$A$3:$E$715,5,0)</f>
        <v xml:space="preserve">Gram </v>
      </c>
      <c r="O935" s="40">
        <v>5</v>
      </c>
      <c r="P935" s="299">
        <f t="shared" si="70"/>
        <v>5</v>
      </c>
      <c r="Q935" s="40">
        <v>100</v>
      </c>
      <c r="R935" s="40">
        <v>10</v>
      </c>
      <c r="S935" s="40"/>
      <c r="T935" s="105">
        <f t="shared" si="69"/>
        <v>0.5</v>
      </c>
      <c r="U935" s="105">
        <f t="shared" si="71"/>
        <v>0.5</v>
      </c>
      <c r="V935" s="104">
        <f>IFERROR(VLOOKUP(L935,'Raw material list'!$A$2:$S$3102,6,0),0)</f>
        <v>2.3999999999999998E-3</v>
      </c>
      <c r="W935" s="104">
        <f t="shared" si="72"/>
        <v>1.1999999999999999E-3</v>
      </c>
    </row>
    <row r="936" spans="1:23" s="79" customFormat="1" hidden="1" x14ac:dyDescent="0.55000000000000004">
      <c r="A936" s="41" t="s">
        <v>1549</v>
      </c>
      <c r="B936" s="41" t="s">
        <v>35</v>
      </c>
      <c r="C936" s="41" t="s">
        <v>10</v>
      </c>
      <c r="D936" s="58" t="str">
        <f t="shared" si="74"/>
        <v xml:space="preserve">Minted Meat Ball with Tomato Sause </v>
      </c>
      <c r="E936" s="58" t="s">
        <v>1536</v>
      </c>
      <c r="F936" s="58" t="s">
        <v>2079</v>
      </c>
      <c r="G936" s="41" t="s">
        <v>11</v>
      </c>
      <c r="H936" s="58" t="s">
        <v>1773</v>
      </c>
      <c r="I936" s="58"/>
      <c r="J936" s="41"/>
      <c r="K936" s="41" t="str">
        <f>IFERROR(VLOOKUP(L936,'Raw material list'!$A$3:$C$715,3,0),"")</f>
        <v>DRS5-21</v>
      </c>
      <c r="L936" s="58" t="s">
        <v>55</v>
      </c>
      <c r="M936" s="40" t="s">
        <v>156</v>
      </c>
      <c r="N936" s="40" t="str">
        <f>VLOOKUP(L936,'Raw material list'!$A$3:$E$715,5,0)</f>
        <v xml:space="preserve">Gram </v>
      </c>
      <c r="O936" s="40">
        <v>25</v>
      </c>
      <c r="P936" s="299">
        <f t="shared" si="70"/>
        <v>25</v>
      </c>
      <c r="Q936" s="40">
        <v>100</v>
      </c>
      <c r="R936" s="40">
        <v>10</v>
      </c>
      <c r="S936" s="40"/>
      <c r="T936" s="105">
        <f t="shared" si="69"/>
        <v>2.5</v>
      </c>
      <c r="U936" s="105">
        <f t="shared" si="71"/>
        <v>2.5</v>
      </c>
      <c r="V936" s="104">
        <f>IFERROR(VLOOKUP(L936,'Raw material list'!$A$2:$S$3102,6,0),0)</f>
        <v>2.0799999999999998E-3</v>
      </c>
      <c r="W936" s="104">
        <f t="shared" si="72"/>
        <v>5.1999999999999998E-3</v>
      </c>
    </row>
    <row r="937" spans="1:23" s="79" customFormat="1" hidden="1" x14ac:dyDescent="0.55000000000000004">
      <c r="A937" s="41" t="s">
        <v>1549</v>
      </c>
      <c r="B937" s="41" t="s">
        <v>35</v>
      </c>
      <c r="C937" s="41" t="s">
        <v>10</v>
      </c>
      <c r="D937" s="58" t="str">
        <f t="shared" si="74"/>
        <v xml:space="preserve">Minted Meat Ball with Tomato Sause </v>
      </c>
      <c r="E937" s="58" t="s">
        <v>1536</v>
      </c>
      <c r="F937" s="58" t="s">
        <v>2079</v>
      </c>
      <c r="G937" s="41" t="s">
        <v>11</v>
      </c>
      <c r="H937" s="58" t="s">
        <v>1773</v>
      </c>
      <c r="I937" s="58"/>
      <c r="J937" s="41"/>
      <c r="K937" s="41" t="str">
        <f>IFERROR(VLOOKUP(L937,'Raw material list'!$A$3:$C$715,3,0),"")</f>
        <v>DRS4-498</v>
      </c>
      <c r="L937" s="58" t="s">
        <v>72</v>
      </c>
      <c r="M937" s="40" t="s">
        <v>156</v>
      </c>
      <c r="N937" s="40" t="str">
        <f>VLOOKUP(L937,'Raw material list'!$A$3:$E$715,5,0)</f>
        <v xml:space="preserve">Gram </v>
      </c>
      <c r="O937" s="40">
        <v>1000</v>
      </c>
      <c r="P937" s="299">
        <f t="shared" si="70"/>
        <v>1000</v>
      </c>
      <c r="Q937" s="40">
        <v>100</v>
      </c>
      <c r="R937" s="40">
        <v>10</v>
      </c>
      <c r="S937" s="40"/>
      <c r="T937" s="105">
        <f t="shared" si="69"/>
        <v>100</v>
      </c>
      <c r="U937" s="105">
        <f t="shared" si="71"/>
        <v>100</v>
      </c>
      <c r="V937" s="104">
        <f>IFERROR(VLOOKUP(L937,'Raw material list'!$A$2:$S$3102,6,0),0)</f>
        <v>5.7499999999999999E-3</v>
      </c>
      <c r="W937" s="104">
        <f t="shared" si="72"/>
        <v>0.57499999999999996</v>
      </c>
    </row>
    <row r="938" spans="1:23" s="79" customFormat="1" hidden="1" x14ac:dyDescent="0.55000000000000004">
      <c r="A938" s="41" t="s">
        <v>1549</v>
      </c>
      <c r="B938" s="41" t="s">
        <v>35</v>
      </c>
      <c r="C938" s="41" t="s">
        <v>10</v>
      </c>
      <c r="D938" s="58" t="str">
        <f t="shared" si="74"/>
        <v xml:space="preserve">Minted Meat Ball with Tomato Sause </v>
      </c>
      <c r="E938" s="58" t="s">
        <v>1536</v>
      </c>
      <c r="F938" s="58" t="s">
        <v>2079</v>
      </c>
      <c r="G938" s="41" t="s">
        <v>11</v>
      </c>
      <c r="H938" s="58" t="s">
        <v>1773</v>
      </c>
      <c r="I938" s="58"/>
      <c r="J938" s="41"/>
      <c r="K938" s="41" t="str">
        <f>IFERROR(VLOOKUP(L938,'Raw material list'!$A$3:$C$715,3,0),"")</f>
        <v>DRS3-1813</v>
      </c>
      <c r="L938" s="58" t="s">
        <v>69</v>
      </c>
      <c r="M938" s="40" t="s">
        <v>206</v>
      </c>
      <c r="N938" s="40" t="str">
        <f>VLOOKUP(L938,'Raw material list'!$A$3:$E$715,5,0)</f>
        <v>Ml</v>
      </c>
      <c r="O938" s="40">
        <v>30</v>
      </c>
      <c r="P938" s="299">
        <f t="shared" si="70"/>
        <v>30</v>
      </c>
      <c r="Q938" s="40">
        <v>100</v>
      </c>
      <c r="R938" s="40">
        <v>10</v>
      </c>
      <c r="S938" s="40"/>
      <c r="T938" s="105">
        <f t="shared" si="69"/>
        <v>3</v>
      </c>
      <c r="U938" s="105">
        <f t="shared" si="71"/>
        <v>3</v>
      </c>
      <c r="V938" s="104">
        <f>IFERROR(VLOOKUP(L938,'Raw material list'!$A$2:$S$3102,6,0),0)</f>
        <v>8.0555555555555554E-3</v>
      </c>
      <c r="W938" s="104">
        <f t="shared" si="72"/>
        <v>2.4166666666666666E-2</v>
      </c>
    </row>
    <row r="939" spans="1:23" s="79" customFormat="1" hidden="1" x14ac:dyDescent="0.55000000000000004">
      <c r="A939" s="41" t="s">
        <v>1549</v>
      </c>
      <c r="B939" s="41" t="s">
        <v>35</v>
      </c>
      <c r="C939" s="41" t="s">
        <v>10</v>
      </c>
      <c r="D939" s="58" t="str">
        <f t="shared" si="74"/>
        <v xml:space="preserve">Minted Meat Ball with Tomato Sause </v>
      </c>
      <c r="E939" s="58" t="s">
        <v>1536</v>
      </c>
      <c r="F939" s="58" t="s">
        <v>2079</v>
      </c>
      <c r="G939" s="41" t="s">
        <v>11</v>
      </c>
      <c r="H939" s="58" t="s">
        <v>1773</v>
      </c>
      <c r="I939" s="58"/>
      <c r="J939" s="41"/>
      <c r="K939" s="41" t="str">
        <f>IFERROR(VLOOKUP(L939,'Raw material list'!$A$3:$C$715,3,0),"")</f>
        <v>DRS6-1674</v>
      </c>
      <c r="L939" s="58" t="s">
        <v>73</v>
      </c>
      <c r="M939" s="40" t="s">
        <v>156</v>
      </c>
      <c r="N939" s="40" t="str">
        <f>VLOOKUP(L939,'Raw material list'!$A$3:$E$715,5,0)</f>
        <v xml:space="preserve">Gram </v>
      </c>
      <c r="O939" s="40">
        <v>3</v>
      </c>
      <c r="P939" s="299">
        <f t="shared" si="70"/>
        <v>3</v>
      </c>
      <c r="Q939" s="40">
        <v>100</v>
      </c>
      <c r="R939" s="40">
        <v>10</v>
      </c>
      <c r="S939" s="40"/>
      <c r="T939" s="105">
        <f t="shared" si="69"/>
        <v>0.3</v>
      </c>
      <c r="U939" s="105">
        <f t="shared" si="71"/>
        <v>0.3</v>
      </c>
      <c r="V939" s="104">
        <f>IFERROR(VLOOKUP(L939,'Raw material list'!$A$2:$S$3102,6,0),0)</f>
        <v>1.2500000000000001E-2</v>
      </c>
      <c r="W939" s="104">
        <f t="shared" si="72"/>
        <v>3.7499999999999999E-3</v>
      </c>
    </row>
    <row r="940" spans="1:23" s="79" customFormat="1" hidden="1" x14ac:dyDescent="0.55000000000000004">
      <c r="A940" s="41" t="s">
        <v>1549</v>
      </c>
      <c r="B940" s="41" t="s">
        <v>35</v>
      </c>
      <c r="C940" s="41" t="s">
        <v>10</v>
      </c>
      <c r="D940" s="58" t="str">
        <f t="shared" si="74"/>
        <v xml:space="preserve">Minted Meat Ball with Tomato Sause </v>
      </c>
      <c r="E940" s="58" t="s">
        <v>1536</v>
      </c>
      <c r="F940" s="58" t="s">
        <v>2079</v>
      </c>
      <c r="G940" s="41" t="s">
        <v>11</v>
      </c>
      <c r="H940" s="58" t="s">
        <v>1773</v>
      </c>
      <c r="I940" s="58"/>
      <c r="J940" s="41"/>
      <c r="K940" s="41" t="str">
        <f>IFERROR(VLOOKUP(L940,'Raw material list'!$A$3:$C$715,3,0),"")</f>
        <v>DRS1-3880</v>
      </c>
      <c r="L940" s="58" t="s">
        <v>1433</v>
      </c>
      <c r="M940" s="40" t="s">
        <v>156</v>
      </c>
      <c r="N940" s="40" t="str">
        <f>VLOOKUP(L940,'Raw material list'!$A$3:$E$715,5,0)</f>
        <v xml:space="preserve">Gram </v>
      </c>
      <c r="O940" s="40">
        <v>10</v>
      </c>
      <c r="P940" s="299">
        <f t="shared" si="70"/>
        <v>10</v>
      </c>
      <c r="Q940" s="40">
        <v>100</v>
      </c>
      <c r="R940" s="40">
        <v>10</v>
      </c>
      <c r="S940" s="40"/>
      <c r="T940" s="105">
        <f t="shared" si="69"/>
        <v>1</v>
      </c>
      <c r="U940" s="105">
        <f t="shared" si="71"/>
        <v>1</v>
      </c>
      <c r="V940" s="104">
        <f>IFERROR(VLOOKUP(L940,'Raw material list'!$A$2:$S$3102,6,0),0)</f>
        <v>5.0000000000000001E-4</v>
      </c>
      <c r="W940" s="104">
        <f t="shared" si="72"/>
        <v>5.0000000000000001E-4</v>
      </c>
    </row>
    <row r="941" spans="1:23" s="79" customFormat="1" hidden="1" x14ac:dyDescent="0.55000000000000004">
      <c r="A941" s="41" t="s">
        <v>1549</v>
      </c>
      <c r="B941" s="41" t="s">
        <v>35</v>
      </c>
      <c r="C941" s="41" t="s">
        <v>10</v>
      </c>
      <c r="D941" s="58" t="str">
        <f t="shared" si="74"/>
        <v xml:space="preserve">Minted Meat Ball with Tomato Sause </v>
      </c>
      <c r="E941" s="58" t="s">
        <v>1536</v>
      </c>
      <c r="F941" s="58" t="s">
        <v>2079</v>
      </c>
      <c r="G941" s="41" t="s">
        <v>11</v>
      </c>
      <c r="H941" s="58" t="s">
        <v>1773</v>
      </c>
      <c r="I941" s="58"/>
      <c r="J941" s="41"/>
      <c r="K941" s="41" t="str">
        <f>IFERROR(VLOOKUP(L941,'Raw material list'!$A$3:$C$715,3,0),"")</f>
        <v>DRS6-261</v>
      </c>
      <c r="L941" s="58" t="s">
        <v>1406</v>
      </c>
      <c r="M941" s="40" t="s">
        <v>156</v>
      </c>
      <c r="N941" s="40" t="str">
        <f>VLOOKUP(L941,'Raw material list'!$A$3:$E$715,5,0)</f>
        <v xml:space="preserve">Gram </v>
      </c>
      <c r="O941" s="40">
        <v>1</v>
      </c>
      <c r="P941" s="299">
        <f t="shared" si="70"/>
        <v>1</v>
      </c>
      <c r="Q941" s="40">
        <v>100</v>
      </c>
      <c r="R941" s="40">
        <v>10</v>
      </c>
      <c r="S941" s="40"/>
      <c r="T941" s="105">
        <f t="shared" si="69"/>
        <v>0.1</v>
      </c>
      <c r="U941" s="105">
        <f t="shared" si="71"/>
        <v>0.1</v>
      </c>
      <c r="V941" s="104">
        <f>IFERROR(VLOOKUP(L941,'Raw material list'!$A$2:$S$3102,6,0),0)</f>
        <v>1.4E-2</v>
      </c>
      <c r="W941" s="104">
        <f t="shared" si="72"/>
        <v>1.4000000000000002E-3</v>
      </c>
    </row>
    <row r="942" spans="1:23" s="79" customFormat="1" hidden="1" x14ac:dyDescent="0.55000000000000004">
      <c r="A942" s="41" t="s">
        <v>1549</v>
      </c>
      <c r="B942" s="41" t="s">
        <v>35</v>
      </c>
      <c r="C942" s="41" t="s">
        <v>10</v>
      </c>
      <c r="D942" s="58" t="str">
        <f t="shared" si="74"/>
        <v xml:space="preserve">Minted Meat Ball with Tomato Sause </v>
      </c>
      <c r="E942" s="58" t="s">
        <v>1536</v>
      </c>
      <c r="F942" s="58" t="s">
        <v>2079</v>
      </c>
      <c r="G942" s="41" t="s">
        <v>11</v>
      </c>
      <c r="H942" s="58" t="s">
        <v>1773</v>
      </c>
      <c r="I942" s="58"/>
      <c r="J942" s="41"/>
      <c r="K942" s="41" t="str">
        <f>IFERROR(VLOOKUP(L942,'Raw material list'!$A$3:$C$715,3,0),"")</f>
        <v>DRS6-3593</v>
      </c>
      <c r="L942" s="58" t="s">
        <v>1407</v>
      </c>
      <c r="M942" s="40" t="s">
        <v>1538</v>
      </c>
      <c r="N942" s="40" t="str">
        <f>VLOOKUP(L942,'Raw material list'!$A$3:$E$715,5,0)</f>
        <v xml:space="preserve">Gram </v>
      </c>
      <c r="O942" s="40">
        <v>2</v>
      </c>
      <c r="P942" s="299">
        <f t="shared" si="70"/>
        <v>2</v>
      </c>
      <c r="Q942" s="40">
        <v>100</v>
      </c>
      <c r="R942" s="40">
        <v>10</v>
      </c>
      <c r="S942" s="40"/>
      <c r="T942" s="105">
        <f t="shared" si="69"/>
        <v>0.2</v>
      </c>
      <c r="U942" s="105">
        <f t="shared" si="71"/>
        <v>0.2</v>
      </c>
      <c r="V942" s="104">
        <f>IFERROR(VLOOKUP(L942,'Raw material list'!$A$2:$S$3102,6,0),0)</f>
        <v>8.0000000000000002E-3</v>
      </c>
      <c r="W942" s="104">
        <f t="shared" si="72"/>
        <v>1.6000000000000001E-3</v>
      </c>
    </row>
    <row r="943" spans="1:23" s="79" customFormat="1" hidden="1" x14ac:dyDescent="0.55000000000000004">
      <c r="A943" s="41" t="s">
        <v>1549</v>
      </c>
      <c r="B943" s="41" t="s">
        <v>35</v>
      </c>
      <c r="C943" s="41" t="s">
        <v>10</v>
      </c>
      <c r="D943" s="58" t="str">
        <f t="shared" si="74"/>
        <v xml:space="preserve">Minted Meat Ball with Tomato Sause </v>
      </c>
      <c r="E943" s="58" t="s">
        <v>1536</v>
      </c>
      <c r="F943" s="58" t="s">
        <v>2079</v>
      </c>
      <c r="G943" s="41" t="s">
        <v>11</v>
      </c>
      <c r="H943" s="58" t="s">
        <v>1773</v>
      </c>
      <c r="I943" s="58"/>
      <c r="J943" s="41"/>
      <c r="K943" s="41" t="str">
        <f>IFERROR(VLOOKUP(L943,'Raw material list'!$A$3:$C$715,3,0),"")</f>
        <v>DRS6-539</v>
      </c>
      <c r="L943" s="58" t="s">
        <v>96</v>
      </c>
      <c r="M943" s="40" t="s">
        <v>156</v>
      </c>
      <c r="N943" s="40" t="str">
        <f>VLOOKUP(L943,'Raw material list'!$A$3:$E$715,5,0)</f>
        <v xml:space="preserve">Gram </v>
      </c>
      <c r="O943" s="40">
        <v>2</v>
      </c>
      <c r="P943" s="299">
        <f t="shared" si="70"/>
        <v>2</v>
      </c>
      <c r="Q943" s="40">
        <v>100</v>
      </c>
      <c r="R943" s="40">
        <v>10</v>
      </c>
      <c r="S943" s="40"/>
      <c r="T943" s="105">
        <f t="shared" si="69"/>
        <v>0.2</v>
      </c>
      <c r="U943" s="105">
        <f t="shared" si="71"/>
        <v>0.2</v>
      </c>
      <c r="V943" s="104">
        <f>IFERROR(VLOOKUP(L943,'Raw material list'!$A$2:$S$3102,6,0),0)</f>
        <v>0.16</v>
      </c>
      <c r="W943" s="104">
        <f t="shared" si="72"/>
        <v>3.2000000000000001E-2</v>
      </c>
    </row>
    <row r="944" spans="1:23" s="79" customFormat="1" hidden="1" x14ac:dyDescent="0.55000000000000004">
      <c r="A944" s="41" t="s">
        <v>1549</v>
      </c>
      <c r="B944" s="41" t="s">
        <v>35</v>
      </c>
      <c r="C944" s="41" t="s">
        <v>10</v>
      </c>
      <c r="D944" s="58" t="str">
        <f t="shared" si="74"/>
        <v xml:space="preserve">Minted Meat Ball with Tomato Sause </v>
      </c>
      <c r="E944" s="58" t="s">
        <v>1536</v>
      </c>
      <c r="F944" s="58" t="s">
        <v>2079</v>
      </c>
      <c r="G944" s="41" t="s">
        <v>11</v>
      </c>
      <c r="H944" s="58" t="s">
        <v>1773</v>
      </c>
      <c r="I944" s="58"/>
      <c r="J944" s="41"/>
      <c r="K944" s="41" t="str">
        <f>IFERROR(VLOOKUP(L944,'Raw material list'!$A$3:$C$715,3,0),"")</f>
        <v>DRS6-309</v>
      </c>
      <c r="L944" s="58" t="s">
        <v>61</v>
      </c>
      <c r="M944" s="40" t="s">
        <v>156</v>
      </c>
      <c r="N944" s="40" t="str">
        <f>VLOOKUP(L944,'Raw material list'!$A$3:$E$715,5,0)</f>
        <v xml:space="preserve">Gram </v>
      </c>
      <c r="O944" s="40">
        <v>2</v>
      </c>
      <c r="P944" s="299">
        <f t="shared" si="70"/>
        <v>2</v>
      </c>
      <c r="Q944" s="40">
        <v>100</v>
      </c>
      <c r="R944" s="40">
        <v>10</v>
      </c>
      <c r="S944" s="40"/>
      <c r="T944" s="105">
        <f t="shared" si="69"/>
        <v>0.2</v>
      </c>
      <c r="U944" s="105">
        <f t="shared" si="71"/>
        <v>0.2</v>
      </c>
      <c r="V944" s="104">
        <f>IFERROR(VLOOKUP(L944,'Raw material list'!$A$2:$S$3102,6,0),0)</f>
        <v>2.8000000000000001E-2</v>
      </c>
      <c r="W944" s="104">
        <f t="shared" si="72"/>
        <v>5.6000000000000008E-3</v>
      </c>
    </row>
    <row r="945" spans="1:23" s="79" customFormat="1" hidden="1" x14ac:dyDescent="0.55000000000000004">
      <c r="A945" s="41" t="s">
        <v>1549</v>
      </c>
      <c r="B945" s="41" t="s">
        <v>35</v>
      </c>
      <c r="C945" s="41" t="s">
        <v>10</v>
      </c>
      <c r="D945" s="58" t="str">
        <f t="shared" si="74"/>
        <v xml:space="preserve">Minted Meat Ball with Tomato Sause </v>
      </c>
      <c r="E945" s="58" t="s">
        <v>1536</v>
      </c>
      <c r="F945" s="58" t="s">
        <v>2079</v>
      </c>
      <c r="G945" s="41" t="s">
        <v>11</v>
      </c>
      <c r="H945" s="58" t="s">
        <v>1773</v>
      </c>
      <c r="I945" s="58"/>
      <c r="J945" s="41"/>
      <c r="K945" s="41" t="str">
        <f>IFERROR(VLOOKUP(L945,'Raw material list'!$A$3:$C$715,3,0),"")</f>
        <v>TAP-00001</v>
      </c>
      <c r="L945" s="58" t="s">
        <v>1405</v>
      </c>
      <c r="M945" s="40" t="s">
        <v>206</v>
      </c>
      <c r="N945" s="40" t="str">
        <f>VLOOKUP(L945,'Raw material list'!$A$3:$E$715,5,0)</f>
        <v>Ml</v>
      </c>
      <c r="O945" s="40">
        <v>1700</v>
      </c>
      <c r="P945" s="299">
        <f t="shared" si="70"/>
        <v>1700</v>
      </c>
      <c r="Q945" s="40">
        <v>100</v>
      </c>
      <c r="R945" s="40">
        <v>10</v>
      </c>
      <c r="S945" s="40"/>
      <c r="T945" s="105">
        <f t="shared" si="69"/>
        <v>170</v>
      </c>
      <c r="U945" s="105">
        <f t="shared" si="71"/>
        <v>170</v>
      </c>
      <c r="V945" s="104">
        <f>IFERROR(VLOOKUP(L945,'Raw material list'!$A$2:$S$3102,6,0),0)</f>
        <v>8.0000000000000007E-5</v>
      </c>
      <c r="W945" s="104">
        <f t="shared" si="72"/>
        <v>1.3600000000000001E-2</v>
      </c>
    </row>
    <row r="946" spans="1:23" s="79" customFormat="1" hidden="1" x14ac:dyDescent="0.55000000000000004">
      <c r="A946" s="41" t="s">
        <v>1550</v>
      </c>
      <c r="B946" s="41" t="s">
        <v>35</v>
      </c>
      <c r="C946" s="41" t="s">
        <v>10</v>
      </c>
      <c r="D946" s="58" t="s">
        <v>21</v>
      </c>
      <c r="E946" s="58" t="s">
        <v>1536</v>
      </c>
      <c r="F946" s="41" t="s">
        <v>2081</v>
      </c>
      <c r="G946" s="41" t="s">
        <v>11</v>
      </c>
      <c r="H946" s="58" t="s">
        <v>1774</v>
      </c>
      <c r="I946" s="58"/>
      <c r="J946" s="41"/>
      <c r="K946" s="41" t="str">
        <f>IFERROR(VLOOKUP(L946,'Raw material list'!$A$3:$C$715,3,0),"")</f>
        <v>PLT1-1785</v>
      </c>
      <c r="L946" s="58" t="s">
        <v>77</v>
      </c>
      <c r="M946" s="40" t="s">
        <v>156</v>
      </c>
      <c r="N946" s="40" t="str">
        <f>VLOOKUP(L946,'Raw material list'!$A$3:$E$715,5,0)</f>
        <v xml:space="preserve">Gram </v>
      </c>
      <c r="O946" s="40">
        <v>2500</v>
      </c>
      <c r="P946" s="299">
        <f t="shared" si="70"/>
        <v>3051.9125683060111</v>
      </c>
      <c r="Q946" s="40">
        <v>81.915846016114585</v>
      </c>
      <c r="R946" s="40">
        <v>10</v>
      </c>
      <c r="S946" s="40"/>
      <c r="T946" s="105">
        <f t="shared" si="69"/>
        <v>250</v>
      </c>
      <c r="U946" s="105">
        <f t="shared" si="71"/>
        <v>305.19125683060111</v>
      </c>
      <c r="V946" s="104">
        <f>IFERROR(VLOOKUP(L946,'Raw material list'!$A$2:$S$3102,6,0),0)</f>
        <v>1.3730000000000001E-2</v>
      </c>
      <c r="W946" s="104">
        <f t="shared" si="72"/>
        <v>4.1902759562841538</v>
      </c>
    </row>
    <row r="947" spans="1:23" s="79" customFormat="1" hidden="1" x14ac:dyDescent="0.55000000000000004">
      <c r="A947" s="41" t="s">
        <v>1550</v>
      </c>
      <c r="B947" s="41" t="s">
        <v>35</v>
      </c>
      <c r="C947" s="41" t="s">
        <v>10</v>
      </c>
      <c r="D947" s="58" t="str">
        <f t="shared" ref="D947:D959" si="75">D946</f>
        <v>Chicken Adobo with Potato and Soft Rice</v>
      </c>
      <c r="E947" s="58" t="s">
        <v>1536</v>
      </c>
      <c r="F947" s="58" t="s">
        <v>2079</v>
      </c>
      <c r="G947" s="41" t="s">
        <v>11</v>
      </c>
      <c r="H947" s="58" t="s">
        <v>1774</v>
      </c>
      <c r="I947" s="58"/>
      <c r="J947" s="41"/>
      <c r="K947" s="41" t="str">
        <f>IFERROR(VLOOKUP(L947,'Raw material list'!$A$3:$C$715,3,0),"")</f>
        <v>DRS1-1142</v>
      </c>
      <c r="L947" s="58" t="s">
        <v>84</v>
      </c>
      <c r="M947" s="40" t="s">
        <v>206</v>
      </c>
      <c r="N947" s="40" t="str">
        <f>VLOOKUP(L947,'Raw material list'!$A$3:$E$715,5,0)</f>
        <v>Ml</v>
      </c>
      <c r="O947" s="40">
        <v>150</v>
      </c>
      <c r="P947" s="299">
        <f t="shared" si="70"/>
        <v>150</v>
      </c>
      <c r="Q947" s="40">
        <v>100</v>
      </c>
      <c r="R947" s="40">
        <v>10</v>
      </c>
      <c r="S947" s="40"/>
      <c r="T947" s="105">
        <f t="shared" si="69"/>
        <v>15</v>
      </c>
      <c r="U947" s="105">
        <f t="shared" si="71"/>
        <v>15</v>
      </c>
      <c r="V947" s="104">
        <f>IFERROR(VLOOKUP(L947,'Raw material list'!$A$2:$S$3102,6,0),0)</f>
        <v>2.3579999999999997E-2</v>
      </c>
      <c r="W947" s="104">
        <f t="shared" si="72"/>
        <v>0.35369999999999996</v>
      </c>
    </row>
    <row r="948" spans="1:23" s="79" customFormat="1" hidden="1" x14ac:dyDescent="0.55000000000000004">
      <c r="A948" s="41" t="s">
        <v>1550</v>
      </c>
      <c r="B948" s="41" t="s">
        <v>35</v>
      </c>
      <c r="C948" s="41" t="s">
        <v>10</v>
      </c>
      <c r="D948" s="58" t="str">
        <f t="shared" si="75"/>
        <v>Chicken Adobo with Potato and Soft Rice</v>
      </c>
      <c r="E948" s="58" t="s">
        <v>1536</v>
      </c>
      <c r="F948" s="58" t="s">
        <v>2079</v>
      </c>
      <c r="G948" s="41" t="s">
        <v>11</v>
      </c>
      <c r="H948" s="58" t="s">
        <v>1774</v>
      </c>
      <c r="I948" s="58"/>
      <c r="J948" s="41"/>
      <c r="K948" s="41" t="str">
        <f>IFERROR(VLOOKUP(L948,'Raw material list'!$A$3:$C$715,3,0),"")</f>
        <v>PRD1-204</v>
      </c>
      <c r="L948" s="58" t="s">
        <v>81</v>
      </c>
      <c r="M948" s="40" t="s">
        <v>156</v>
      </c>
      <c r="N948" s="40" t="str">
        <f>VLOOKUP(L948,'Raw material list'!$A$3:$E$715,5,0)</f>
        <v xml:space="preserve">Gram </v>
      </c>
      <c r="O948" s="40">
        <v>60</v>
      </c>
      <c r="P948" s="299">
        <f t="shared" si="70"/>
        <v>72.289156626506028</v>
      </c>
      <c r="Q948" s="105">
        <v>83</v>
      </c>
      <c r="R948" s="40">
        <v>10</v>
      </c>
      <c r="S948" s="40"/>
      <c r="T948" s="105">
        <f t="shared" si="69"/>
        <v>6</v>
      </c>
      <c r="U948" s="105">
        <f t="shared" si="71"/>
        <v>7.2289156626506026</v>
      </c>
      <c r="V948" s="104">
        <f>IFERROR(VLOOKUP(L948,'Raw material list'!$A$2:$S$3102,6,0),0)</f>
        <v>8.4337349397590362E-3</v>
      </c>
      <c r="W948" s="104">
        <f t="shared" si="72"/>
        <v>6.0966758600667734E-2</v>
      </c>
    </row>
    <row r="949" spans="1:23" s="79" customFormat="1" hidden="1" x14ac:dyDescent="0.55000000000000004">
      <c r="A949" s="41" t="s">
        <v>1550</v>
      </c>
      <c r="B949" s="41" t="s">
        <v>35</v>
      </c>
      <c r="C949" s="41" t="s">
        <v>10</v>
      </c>
      <c r="D949" s="58" t="str">
        <f t="shared" si="75"/>
        <v>Chicken Adobo with Potato and Soft Rice</v>
      </c>
      <c r="E949" s="58" t="s">
        <v>1536</v>
      </c>
      <c r="F949" s="58" t="s">
        <v>2079</v>
      </c>
      <c r="G949" s="41" t="s">
        <v>11</v>
      </c>
      <c r="H949" s="58" t="s">
        <v>1774</v>
      </c>
      <c r="I949" s="58"/>
      <c r="J949" s="41"/>
      <c r="K949" s="41" t="str">
        <f>IFERROR(VLOOKUP(L949,'Raw material list'!$A$3:$C$715,3,0),"")</f>
        <v>DRS1-1780</v>
      </c>
      <c r="L949" s="58" t="s">
        <v>117</v>
      </c>
      <c r="M949" s="40" t="s">
        <v>156</v>
      </c>
      <c r="N949" s="40" t="str">
        <f>VLOOKUP(L949,'Raw material list'!$A$3:$E$715,5,0)</f>
        <v xml:space="preserve">Gram </v>
      </c>
      <c r="O949" s="40">
        <v>120</v>
      </c>
      <c r="P949" s="299">
        <f t="shared" si="70"/>
        <v>120</v>
      </c>
      <c r="Q949" s="300">
        <v>100</v>
      </c>
      <c r="R949" s="40">
        <v>10</v>
      </c>
      <c r="S949" s="40"/>
      <c r="T949" s="105">
        <f t="shared" si="69"/>
        <v>12</v>
      </c>
      <c r="U949" s="105">
        <f t="shared" si="71"/>
        <v>12</v>
      </c>
      <c r="V949" s="104">
        <f>IFERROR(VLOOKUP(L949,'Raw material list'!$A$2:$S$3102,6,0),0)</f>
        <v>0.04</v>
      </c>
      <c r="W949" s="104">
        <f t="shared" si="72"/>
        <v>0.48</v>
      </c>
    </row>
    <row r="950" spans="1:23" s="79" customFormat="1" hidden="1" x14ac:dyDescent="0.55000000000000004">
      <c r="A950" s="41" t="s">
        <v>1550</v>
      </c>
      <c r="B950" s="41" t="s">
        <v>35</v>
      </c>
      <c r="C950" s="41" t="s">
        <v>10</v>
      </c>
      <c r="D950" s="58" t="str">
        <f t="shared" si="75"/>
        <v>Chicken Adobo with Potato and Soft Rice</v>
      </c>
      <c r="E950" s="58" t="s">
        <v>1536</v>
      </c>
      <c r="F950" s="58" t="s">
        <v>2079</v>
      </c>
      <c r="G950" s="41" t="s">
        <v>11</v>
      </c>
      <c r="H950" s="58" t="s">
        <v>1774</v>
      </c>
      <c r="I950" s="58"/>
      <c r="J950" s="41"/>
      <c r="K950" s="41" t="str">
        <f>IFERROR(VLOOKUP(L950,'Raw material list'!$A$3:$C$715,3,0),"")</f>
        <v>PRD1-4327</v>
      </c>
      <c r="L950" s="58" t="s">
        <v>39</v>
      </c>
      <c r="M950" s="40" t="s">
        <v>156</v>
      </c>
      <c r="N950" s="40" t="str">
        <f>VLOOKUP(L950,'Raw material list'!$A$3:$E$715,5,0)</f>
        <v xml:space="preserve">Gram </v>
      </c>
      <c r="O950" s="40">
        <v>60</v>
      </c>
      <c r="P950" s="299">
        <f t="shared" si="70"/>
        <v>72.289156626506028</v>
      </c>
      <c r="Q950" s="105">
        <v>83</v>
      </c>
      <c r="R950" s="40">
        <v>10</v>
      </c>
      <c r="S950" s="40"/>
      <c r="T950" s="105">
        <f t="shared" si="69"/>
        <v>6</v>
      </c>
      <c r="U950" s="105">
        <f t="shared" si="71"/>
        <v>7.2289156626506026</v>
      </c>
      <c r="V950" s="104">
        <f>IFERROR(VLOOKUP(L950,'Raw material list'!$A$2:$S$3102,6,0),0)</f>
        <v>1.2999999999999999E-2</v>
      </c>
      <c r="W950" s="104">
        <f t="shared" si="72"/>
        <v>9.3975903614457831E-2</v>
      </c>
    </row>
    <row r="951" spans="1:23" s="79" customFormat="1" hidden="1" x14ac:dyDescent="0.55000000000000004">
      <c r="A951" s="41" t="s">
        <v>1550</v>
      </c>
      <c r="B951" s="41" t="s">
        <v>35</v>
      </c>
      <c r="C951" s="41" t="s">
        <v>10</v>
      </c>
      <c r="D951" s="58" t="str">
        <f t="shared" si="75"/>
        <v>Chicken Adobo with Potato and Soft Rice</v>
      </c>
      <c r="E951" s="58" t="s">
        <v>1536</v>
      </c>
      <c r="F951" s="58" t="s">
        <v>2079</v>
      </c>
      <c r="G951" s="41" t="s">
        <v>11</v>
      </c>
      <c r="H951" s="58" t="s">
        <v>1774</v>
      </c>
      <c r="I951" s="58"/>
      <c r="J951" s="41"/>
      <c r="K951" s="41" t="str">
        <f>IFERROR(VLOOKUP(L951,'Raw material list'!$A$3:$C$715,3,0),"")</f>
        <v>PRD1-204</v>
      </c>
      <c r="L951" s="58" t="s">
        <v>81</v>
      </c>
      <c r="M951" s="40" t="s">
        <v>156</v>
      </c>
      <c r="N951" s="40" t="str">
        <f>VLOOKUP(L951,'Raw material list'!$A$3:$E$715,5,0)</f>
        <v xml:space="preserve">Gram </v>
      </c>
      <c r="O951" s="40">
        <v>60</v>
      </c>
      <c r="P951" s="299">
        <f t="shared" si="70"/>
        <v>72.289156626506028</v>
      </c>
      <c r="Q951" s="105">
        <v>83</v>
      </c>
      <c r="R951" s="40">
        <v>10</v>
      </c>
      <c r="S951" s="40"/>
      <c r="T951" s="105">
        <f t="shared" si="69"/>
        <v>6</v>
      </c>
      <c r="U951" s="105">
        <f t="shared" si="71"/>
        <v>7.2289156626506026</v>
      </c>
      <c r="V951" s="104">
        <f>IFERROR(VLOOKUP(L951,'Raw material list'!$A$2:$S$3102,6,0),0)</f>
        <v>8.4337349397590362E-3</v>
      </c>
      <c r="W951" s="104">
        <f t="shared" si="72"/>
        <v>6.0966758600667734E-2</v>
      </c>
    </row>
    <row r="952" spans="1:23" s="79" customFormat="1" hidden="1" x14ac:dyDescent="0.55000000000000004">
      <c r="A952" s="41" t="s">
        <v>1550</v>
      </c>
      <c r="B952" s="41" t="s">
        <v>35</v>
      </c>
      <c r="C952" s="41" t="s">
        <v>10</v>
      </c>
      <c r="D952" s="58" t="str">
        <f t="shared" si="75"/>
        <v>Chicken Adobo with Potato and Soft Rice</v>
      </c>
      <c r="E952" s="58" t="s">
        <v>1536</v>
      </c>
      <c r="F952" s="58" t="s">
        <v>2079</v>
      </c>
      <c r="G952" s="41" t="s">
        <v>11</v>
      </c>
      <c r="H952" s="58" t="s">
        <v>1774</v>
      </c>
      <c r="I952" s="58"/>
      <c r="J952" s="41"/>
      <c r="K952" s="41" t="str">
        <f>IFERROR(VLOOKUP(L952,'Raw material list'!$A$3:$C$715,3,0),"")</f>
        <v>DRS6-3593</v>
      </c>
      <c r="L952" s="58" t="s">
        <v>1407</v>
      </c>
      <c r="M952" s="40" t="s">
        <v>1538</v>
      </c>
      <c r="N952" s="40" t="str">
        <f>VLOOKUP(L952,'Raw material list'!$A$3:$E$715,5,0)</f>
        <v xml:space="preserve">Gram </v>
      </c>
      <c r="O952" s="40">
        <v>4</v>
      </c>
      <c r="P952" s="299">
        <f t="shared" si="70"/>
        <v>4</v>
      </c>
      <c r="Q952" s="300">
        <v>100</v>
      </c>
      <c r="R952" s="40">
        <v>10</v>
      </c>
      <c r="S952" s="40"/>
      <c r="T952" s="105">
        <f t="shared" si="69"/>
        <v>0.4</v>
      </c>
      <c r="U952" s="105">
        <f t="shared" si="71"/>
        <v>0.4</v>
      </c>
      <c r="V952" s="104">
        <f>IFERROR(VLOOKUP(L952,'Raw material list'!$A$2:$S$3102,6,0),0)</f>
        <v>8.0000000000000002E-3</v>
      </c>
      <c r="W952" s="104">
        <f t="shared" si="72"/>
        <v>3.2000000000000002E-3</v>
      </c>
    </row>
    <row r="953" spans="1:23" s="79" customFormat="1" hidden="1" x14ac:dyDescent="0.55000000000000004">
      <c r="A953" s="41" t="s">
        <v>1550</v>
      </c>
      <c r="B953" s="41" t="s">
        <v>35</v>
      </c>
      <c r="C953" s="41" t="s">
        <v>10</v>
      </c>
      <c r="D953" s="58" t="str">
        <f t="shared" si="75"/>
        <v>Chicken Adobo with Potato and Soft Rice</v>
      </c>
      <c r="E953" s="58" t="s">
        <v>1536</v>
      </c>
      <c r="F953" s="58" t="s">
        <v>2079</v>
      </c>
      <c r="G953" s="41" t="s">
        <v>11</v>
      </c>
      <c r="H953" s="58" t="s">
        <v>1774</v>
      </c>
      <c r="I953" s="58"/>
      <c r="J953" s="41"/>
      <c r="K953" s="41" t="str">
        <f>IFERROR(VLOOKUP(L953,'Raw material list'!$A$3:$C$715,3,0),"")</f>
        <v>PRD1-230</v>
      </c>
      <c r="L953" s="58" t="s">
        <v>70</v>
      </c>
      <c r="M953" s="40" t="s">
        <v>156</v>
      </c>
      <c r="N953" s="40" t="str">
        <f>VLOOKUP(L953,'Raw material list'!$A$3:$E$715,5,0)</f>
        <v xml:space="preserve">Gram </v>
      </c>
      <c r="O953" s="40">
        <v>1000</v>
      </c>
      <c r="P953" s="299">
        <f t="shared" si="70"/>
        <v>1349.5276653171391</v>
      </c>
      <c r="Q953" s="105">
        <v>74.099999999999994</v>
      </c>
      <c r="R953" s="40">
        <v>10</v>
      </c>
      <c r="S953" s="40"/>
      <c r="T953" s="105">
        <f t="shared" si="69"/>
        <v>100</v>
      </c>
      <c r="U953" s="105">
        <f t="shared" si="71"/>
        <v>134.95276653171391</v>
      </c>
      <c r="V953" s="104">
        <f>IFERROR(VLOOKUP(L953,'Raw material list'!$A$2:$S$3102,6,0),0)</f>
        <v>3.3738191632928472E-3</v>
      </c>
      <c r="W953" s="104">
        <f t="shared" si="72"/>
        <v>0.45530622986408198</v>
      </c>
    </row>
    <row r="954" spans="1:23" s="79" customFormat="1" hidden="1" x14ac:dyDescent="0.55000000000000004">
      <c r="A954" s="41" t="s">
        <v>1550</v>
      </c>
      <c r="B954" s="41" t="s">
        <v>35</v>
      </c>
      <c r="C954" s="41" t="s">
        <v>10</v>
      </c>
      <c r="D954" s="58" t="str">
        <f t="shared" si="75"/>
        <v>Chicken Adobo with Potato and Soft Rice</v>
      </c>
      <c r="E954" s="58" t="s">
        <v>1536</v>
      </c>
      <c r="F954" s="58" t="s">
        <v>2079</v>
      </c>
      <c r="G954" s="41" t="s">
        <v>11</v>
      </c>
      <c r="H954" s="58" t="s">
        <v>1774</v>
      </c>
      <c r="I954" s="58"/>
      <c r="J954" s="41"/>
      <c r="K954" s="41" t="str">
        <f>IFERROR(VLOOKUP(L954,'Raw material list'!$A$3:$C$715,3,0),"")</f>
        <v>TAP-00001</v>
      </c>
      <c r="L954" s="58" t="s">
        <v>1405</v>
      </c>
      <c r="M954" s="40" t="s">
        <v>206</v>
      </c>
      <c r="N954" s="40" t="str">
        <f>VLOOKUP(L954,'Raw material list'!$A$3:$E$715,5,0)</f>
        <v>Ml</v>
      </c>
      <c r="O954" s="40">
        <v>600</v>
      </c>
      <c r="P954" s="299">
        <f t="shared" si="70"/>
        <v>600</v>
      </c>
      <c r="Q954" s="300">
        <v>100</v>
      </c>
      <c r="R954" s="40">
        <v>10</v>
      </c>
      <c r="S954" s="40"/>
      <c r="T954" s="105">
        <f t="shared" si="69"/>
        <v>60</v>
      </c>
      <c r="U954" s="105">
        <f t="shared" si="71"/>
        <v>60</v>
      </c>
      <c r="V954" s="104">
        <f>IFERROR(VLOOKUP(L954,'Raw material list'!$A$2:$S$3102,6,0),0)</f>
        <v>8.0000000000000007E-5</v>
      </c>
      <c r="W954" s="104">
        <f t="shared" si="72"/>
        <v>4.8000000000000004E-3</v>
      </c>
    </row>
    <row r="955" spans="1:23" s="79" customFormat="1" hidden="1" x14ac:dyDescent="0.55000000000000004">
      <c r="A955" s="41" t="s">
        <v>1550</v>
      </c>
      <c r="B955" s="41" t="s">
        <v>35</v>
      </c>
      <c r="C955" s="41" t="s">
        <v>10</v>
      </c>
      <c r="D955" s="58" t="str">
        <f t="shared" si="75"/>
        <v>Chicken Adobo with Potato and Soft Rice</v>
      </c>
      <c r="E955" s="58" t="s">
        <v>1536</v>
      </c>
      <c r="F955" s="58" t="s">
        <v>2079</v>
      </c>
      <c r="G955" s="41" t="s">
        <v>11</v>
      </c>
      <c r="H955" s="58" t="s">
        <v>1774</v>
      </c>
      <c r="I955" s="58"/>
      <c r="J955" s="41"/>
      <c r="K955" s="41" t="str">
        <f>IFERROR(VLOOKUP(L955,'Raw material list'!$A$3:$C$715,3,0),"")</f>
        <v>DRS6-537</v>
      </c>
      <c r="L955" s="58" t="s">
        <v>46</v>
      </c>
      <c r="M955" s="40" t="s">
        <v>156</v>
      </c>
      <c r="N955" s="40" t="str">
        <f>VLOOKUP(L955,'Raw material list'!$A$3:$E$715,5,0)</f>
        <v xml:space="preserve">Gram </v>
      </c>
      <c r="O955" s="40">
        <v>2</v>
      </c>
      <c r="P955" s="299">
        <f t="shared" si="70"/>
        <v>2</v>
      </c>
      <c r="Q955" s="40">
        <v>100</v>
      </c>
      <c r="R955" s="40">
        <v>10</v>
      </c>
      <c r="S955" s="40"/>
      <c r="T955" s="105">
        <f t="shared" si="69"/>
        <v>0.2</v>
      </c>
      <c r="U955" s="105">
        <f t="shared" si="71"/>
        <v>0.2</v>
      </c>
      <c r="V955" s="104">
        <f>IFERROR(VLOOKUP(L955,'Raw material list'!$A$2:$S$3102,6,0),0)</f>
        <v>3.5000000000000003E-2</v>
      </c>
      <c r="W955" s="104">
        <f t="shared" si="72"/>
        <v>7.000000000000001E-3</v>
      </c>
    </row>
    <row r="956" spans="1:23" s="79" customFormat="1" hidden="1" x14ac:dyDescent="0.55000000000000004">
      <c r="A956" s="41" t="s">
        <v>1550</v>
      </c>
      <c r="B956" s="41" t="s">
        <v>35</v>
      </c>
      <c r="C956" s="41" t="s">
        <v>10</v>
      </c>
      <c r="D956" s="58" t="str">
        <f t="shared" si="75"/>
        <v>Chicken Adobo with Potato and Soft Rice</v>
      </c>
      <c r="E956" s="58" t="s">
        <v>1536</v>
      </c>
      <c r="F956" s="58" t="s">
        <v>2079</v>
      </c>
      <c r="G956" s="41" t="s">
        <v>11</v>
      </c>
      <c r="H956" s="58" t="s">
        <v>1774</v>
      </c>
      <c r="I956" s="58"/>
      <c r="J956" s="41"/>
      <c r="K956" s="41" t="str">
        <f>IFERROR(VLOOKUP(L956,'Raw material list'!$A$3:$C$715,3,0),"")</f>
        <v>DRS5-21</v>
      </c>
      <c r="L956" s="58" t="s">
        <v>55</v>
      </c>
      <c r="M956" s="40" t="s">
        <v>156</v>
      </c>
      <c r="N956" s="40" t="str">
        <f>VLOOKUP(L956,'Raw material list'!$A$3:$E$715,5,0)</f>
        <v xml:space="preserve">Gram </v>
      </c>
      <c r="O956" s="40">
        <v>10</v>
      </c>
      <c r="P956" s="299">
        <f t="shared" si="70"/>
        <v>10</v>
      </c>
      <c r="Q956" s="40">
        <v>100</v>
      </c>
      <c r="R956" s="40">
        <v>10</v>
      </c>
      <c r="S956" s="40"/>
      <c r="T956" s="105">
        <f t="shared" si="69"/>
        <v>1</v>
      </c>
      <c r="U956" s="105">
        <f t="shared" si="71"/>
        <v>1</v>
      </c>
      <c r="V956" s="104">
        <f>IFERROR(VLOOKUP(L956,'Raw material list'!$A$2:$S$3102,6,0),0)</f>
        <v>2.0799999999999998E-3</v>
      </c>
      <c r="W956" s="104">
        <f t="shared" si="72"/>
        <v>2.0799999999999998E-3</v>
      </c>
    </row>
    <row r="957" spans="1:23" s="79" customFormat="1" hidden="1" x14ac:dyDescent="0.55000000000000004">
      <c r="A957" s="41" t="s">
        <v>1550</v>
      </c>
      <c r="B957" s="41" t="s">
        <v>35</v>
      </c>
      <c r="C957" s="41" t="s">
        <v>10</v>
      </c>
      <c r="D957" s="58" t="str">
        <f t="shared" si="75"/>
        <v>Chicken Adobo with Potato and Soft Rice</v>
      </c>
      <c r="E957" s="58" t="s">
        <v>1536</v>
      </c>
      <c r="F957" s="58" t="s">
        <v>2079</v>
      </c>
      <c r="G957" s="41" t="s">
        <v>11</v>
      </c>
      <c r="H957" s="58" t="s">
        <v>1774</v>
      </c>
      <c r="I957" s="58"/>
      <c r="J957" s="41"/>
      <c r="K957" s="41" t="str">
        <f>IFERROR(VLOOKUP(L957,'Raw material list'!$A$3:$C$715,3,0),"")</f>
        <v>PRD1-4265</v>
      </c>
      <c r="L957" s="58" t="s">
        <v>38</v>
      </c>
      <c r="M957" s="40" t="s">
        <v>156</v>
      </c>
      <c r="N957" s="40" t="str">
        <f>VLOOKUP(L957,'Raw material list'!$A$3:$E$715,5,0)</f>
        <v xml:space="preserve">Gram </v>
      </c>
      <c r="O957" s="40">
        <v>400</v>
      </c>
      <c r="P957" s="299">
        <f t="shared" si="70"/>
        <v>470.58823529411768</v>
      </c>
      <c r="Q957" s="105">
        <v>85</v>
      </c>
      <c r="R957" s="40">
        <v>10</v>
      </c>
      <c r="S957" s="40"/>
      <c r="T957" s="105">
        <f t="shared" si="69"/>
        <v>40</v>
      </c>
      <c r="U957" s="105">
        <f t="shared" si="71"/>
        <v>47.058823529411768</v>
      </c>
      <c r="V957" s="104">
        <f>IFERROR(VLOOKUP(L957,'Raw material list'!$A$2:$S$3102,6,0),0)</f>
        <v>3.529411764705882E-3</v>
      </c>
      <c r="W957" s="104">
        <f t="shared" si="72"/>
        <v>0.16608996539792387</v>
      </c>
    </row>
    <row r="958" spans="1:23" s="79" customFormat="1" hidden="1" x14ac:dyDescent="0.55000000000000004">
      <c r="A958" s="41" t="s">
        <v>1550</v>
      </c>
      <c r="B958" s="41" t="s">
        <v>35</v>
      </c>
      <c r="C958" s="41" t="s">
        <v>10</v>
      </c>
      <c r="D958" s="58" t="str">
        <f t="shared" si="75"/>
        <v>Chicken Adobo with Potato and Soft Rice</v>
      </c>
      <c r="E958" s="58" t="s">
        <v>1536</v>
      </c>
      <c r="F958" s="58" t="s">
        <v>2079</v>
      </c>
      <c r="G958" s="41" t="s">
        <v>11</v>
      </c>
      <c r="H958" s="58" t="s">
        <v>1774</v>
      </c>
      <c r="I958" s="58"/>
      <c r="J958" s="41"/>
      <c r="K958" s="41" t="str">
        <f>IFERROR(VLOOKUP(L958,'Raw material list'!$A$3:$C$715,3,0),"")</f>
        <v>DRS4-1457</v>
      </c>
      <c r="L958" s="58" t="s">
        <v>43</v>
      </c>
      <c r="M958" s="40" t="s">
        <v>156</v>
      </c>
      <c r="N958" s="40" t="str">
        <f>VLOOKUP(L958,'Raw material list'!$A$3:$E$715,5,0)</f>
        <v xml:space="preserve">Gram </v>
      </c>
      <c r="O958" s="40">
        <v>1000</v>
      </c>
      <c r="P958" s="299">
        <f t="shared" si="70"/>
        <v>1000</v>
      </c>
      <c r="Q958" s="300">
        <v>100</v>
      </c>
      <c r="R958" s="40">
        <v>10</v>
      </c>
      <c r="S958" s="40"/>
      <c r="T958" s="105">
        <f t="shared" si="69"/>
        <v>100</v>
      </c>
      <c r="U958" s="105">
        <f t="shared" si="71"/>
        <v>100</v>
      </c>
      <c r="V958" s="104">
        <f>IFERROR(VLOOKUP(L958,'Raw material list'!$A$2:$S$3102,6,0),0)</f>
        <v>6.4999999999999997E-3</v>
      </c>
      <c r="W958" s="104">
        <f t="shared" si="72"/>
        <v>0.65</v>
      </c>
    </row>
    <row r="959" spans="1:23" s="79" customFormat="1" hidden="1" x14ac:dyDescent="0.55000000000000004">
      <c r="A959" s="41" t="s">
        <v>1550</v>
      </c>
      <c r="B959" s="41" t="s">
        <v>35</v>
      </c>
      <c r="C959" s="41" t="s">
        <v>10</v>
      </c>
      <c r="D959" s="58" t="str">
        <f t="shared" si="75"/>
        <v>Chicken Adobo with Potato and Soft Rice</v>
      </c>
      <c r="E959" s="58" t="s">
        <v>1536</v>
      </c>
      <c r="F959" s="58" t="s">
        <v>2079</v>
      </c>
      <c r="G959" s="41" t="s">
        <v>11</v>
      </c>
      <c r="H959" s="58" t="s">
        <v>1774</v>
      </c>
      <c r="I959" s="58"/>
      <c r="J959" s="41"/>
      <c r="K959" s="41" t="str">
        <f>IFERROR(VLOOKUP(L959,'Raw material list'!$A$3:$C$715,3,0),"")</f>
        <v>TAP-00001</v>
      </c>
      <c r="L959" s="58" t="s">
        <v>1405</v>
      </c>
      <c r="M959" s="40" t="s">
        <v>206</v>
      </c>
      <c r="N959" s="40" t="str">
        <f>VLOOKUP(L959,'Raw material list'!$A$3:$E$715,5,0)</f>
        <v>Ml</v>
      </c>
      <c r="O959" s="40">
        <v>1800</v>
      </c>
      <c r="P959" s="299">
        <f t="shared" si="70"/>
        <v>1800</v>
      </c>
      <c r="Q959" s="40">
        <v>100</v>
      </c>
      <c r="R959" s="40">
        <v>10</v>
      </c>
      <c r="S959" s="40"/>
      <c r="T959" s="105">
        <f t="shared" si="69"/>
        <v>180</v>
      </c>
      <c r="U959" s="105">
        <f t="shared" si="71"/>
        <v>180</v>
      </c>
      <c r="V959" s="104">
        <f>IFERROR(VLOOKUP(L959,'Raw material list'!$A$2:$S$3102,6,0),0)</f>
        <v>8.0000000000000007E-5</v>
      </c>
      <c r="W959" s="104">
        <f t="shared" si="72"/>
        <v>1.4400000000000001E-2</v>
      </c>
    </row>
    <row r="960" spans="1:23" s="79" customFormat="1" hidden="1" x14ac:dyDescent="0.55000000000000004">
      <c r="A960" s="41" t="s">
        <v>1551</v>
      </c>
      <c r="B960" s="41" t="s">
        <v>35</v>
      </c>
      <c r="C960" s="41" t="s">
        <v>10</v>
      </c>
      <c r="D960" s="58" t="s">
        <v>1539</v>
      </c>
      <c r="E960" s="58" t="s">
        <v>1536</v>
      </c>
      <c r="F960" s="58" t="s">
        <v>2079</v>
      </c>
      <c r="G960" s="41" t="s">
        <v>11</v>
      </c>
      <c r="H960" s="58" t="s">
        <v>1774</v>
      </c>
      <c r="I960" s="58"/>
      <c r="J960" s="41"/>
      <c r="K960" s="41" t="str">
        <f>IFERROR(VLOOKUP(L960,'Raw material list'!$A$3:$C$715,3,0),"")</f>
        <v>DRS2-81</v>
      </c>
      <c r="L960" s="58" t="s">
        <v>118</v>
      </c>
      <c r="M960" s="40" t="s">
        <v>156</v>
      </c>
      <c r="N960" s="40" t="str">
        <f>VLOOKUP(L960,'Raw material list'!$A$3:$E$715,5,0)</f>
        <v xml:space="preserve">Gram </v>
      </c>
      <c r="O960" s="40">
        <v>1000</v>
      </c>
      <c r="P960" s="299">
        <f t="shared" si="70"/>
        <v>1000</v>
      </c>
      <c r="Q960" s="40">
        <v>100</v>
      </c>
      <c r="R960" s="40">
        <v>10</v>
      </c>
      <c r="S960" s="40"/>
      <c r="T960" s="105">
        <f t="shared" si="69"/>
        <v>100</v>
      </c>
      <c r="U960" s="105">
        <f t="shared" si="71"/>
        <v>100</v>
      </c>
      <c r="V960" s="104">
        <f>IFERROR(VLOOKUP(L960,'Raw material list'!$A$2:$S$3102,6,0),0)</f>
        <v>8.911111111111111E-3</v>
      </c>
      <c r="W960" s="104">
        <f t="shared" si="72"/>
        <v>0.89111111111111108</v>
      </c>
    </row>
    <row r="961" spans="1:23" s="79" customFormat="1" hidden="1" x14ac:dyDescent="0.55000000000000004">
      <c r="A961" s="41" t="s">
        <v>1551</v>
      </c>
      <c r="B961" s="41" t="s">
        <v>35</v>
      </c>
      <c r="C961" s="41" t="s">
        <v>10</v>
      </c>
      <c r="D961" s="58" t="str">
        <f t="shared" ref="D961:D977" si="76">D960</f>
        <v>Beef Spagetti Bolognese</v>
      </c>
      <c r="E961" s="58" t="s">
        <v>1536</v>
      </c>
      <c r="F961" s="58" t="s">
        <v>2079</v>
      </c>
      <c r="G961" s="41" t="s">
        <v>11</v>
      </c>
      <c r="H961" s="58" t="s">
        <v>1774</v>
      </c>
      <c r="I961" s="58"/>
      <c r="J961" s="41"/>
      <c r="K961" s="41" t="str">
        <f>IFERROR(VLOOKUP(L961,'Raw material list'!$A$3:$C$715,3,0),"")</f>
        <v>DRY1-1801</v>
      </c>
      <c r="L961" s="58" t="s">
        <v>49</v>
      </c>
      <c r="M961" s="40" t="s">
        <v>156</v>
      </c>
      <c r="N961" s="40" t="str">
        <f>VLOOKUP(L961,'Raw material list'!$A$3:$E$715,5,0)</f>
        <v xml:space="preserve">Gram </v>
      </c>
      <c r="O961" s="40">
        <v>400</v>
      </c>
      <c r="P961" s="299">
        <f t="shared" si="70"/>
        <v>400</v>
      </c>
      <c r="Q961" s="40">
        <v>100</v>
      </c>
      <c r="R961" s="40">
        <v>10</v>
      </c>
      <c r="S961" s="40"/>
      <c r="T961" s="105">
        <f t="shared" si="69"/>
        <v>40</v>
      </c>
      <c r="U961" s="105">
        <f t="shared" si="71"/>
        <v>40</v>
      </c>
      <c r="V961" s="104">
        <f>IFERROR(VLOOKUP(L961,'Raw material list'!$A$2:$S$3102,6,0),0)</f>
        <v>2.5000000000000001E-2</v>
      </c>
      <c r="W961" s="104">
        <f t="shared" si="72"/>
        <v>1</v>
      </c>
    </row>
    <row r="962" spans="1:23" s="79" customFormat="1" hidden="1" x14ac:dyDescent="0.55000000000000004">
      <c r="A962" s="41" t="s">
        <v>1551</v>
      </c>
      <c r="B962" s="41" t="s">
        <v>35</v>
      </c>
      <c r="C962" s="41" t="s">
        <v>10</v>
      </c>
      <c r="D962" s="58" t="str">
        <f t="shared" si="76"/>
        <v>Beef Spagetti Bolognese</v>
      </c>
      <c r="E962" s="58" t="s">
        <v>1536</v>
      </c>
      <c r="F962" s="58" t="s">
        <v>2079</v>
      </c>
      <c r="G962" s="41" t="s">
        <v>11</v>
      </c>
      <c r="H962" s="58" t="s">
        <v>1774</v>
      </c>
      <c r="I962" s="58"/>
      <c r="J962" s="41"/>
      <c r="K962" s="41" t="str">
        <f>IFERROR(VLOOKUP(L962,'Raw material list'!$A$3:$C$715,3,0),"")</f>
        <v>DRS3-1615</v>
      </c>
      <c r="L962" s="58" t="s">
        <v>50</v>
      </c>
      <c r="M962" s="40" t="s">
        <v>206</v>
      </c>
      <c r="N962" s="40" t="str">
        <f>VLOOKUP(L962,'Raw material list'!$A$3:$E$715,5,0)</f>
        <v>Ml</v>
      </c>
      <c r="O962" s="40">
        <v>50</v>
      </c>
      <c r="P962" s="299">
        <f t="shared" si="70"/>
        <v>50</v>
      </c>
      <c r="Q962" s="40">
        <v>100</v>
      </c>
      <c r="R962" s="40">
        <v>10</v>
      </c>
      <c r="S962" s="40"/>
      <c r="T962" s="105">
        <f t="shared" si="69"/>
        <v>5</v>
      </c>
      <c r="U962" s="105">
        <f t="shared" si="71"/>
        <v>5</v>
      </c>
      <c r="V962" s="104">
        <f>IFERROR(VLOOKUP(L962,'Raw material list'!$A$2:$S$3102,6,0),0)</f>
        <v>1.2E-2</v>
      </c>
      <c r="W962" s="104">
        <f t="shared" si="72"/>
        <v>0.06</v>
      </c>
    </row>
    <row r="963" spans="1:23" s="79" customFormat="1" hidden="1" x14ac:dyDescent="0.55000000000000004">
      <c r="A963" s="41" t="s">
        <v>1551</v>
      </c>
      <c r="B963" s="41" t="s">
        <v>35</v>
      </c>
      <c r="C963" s="41" t="s">
        <v>10</v>
      </c>
      <c r="D963" s="58" t="str">
        <f t="shared" si="76"/>
        <v>Beef Spagetti Bolognese</v>
      </c>
      <c r="E963" s="58" t="s">
        <v>1536</v>
      </c>
      <c r="F963" s="58" t="s">
        <v>2079</v>
      </c>
      <c r="G963" s="41" t="s">
        <v>11</v>
      </c>
      <c r="H963" s="58" t="s">
        <v>1774</v>
      </c>
      <c r="I963" s="58"/>
      <c r="J963" s="41"/>
      <c r="K963" s="41" t="str">
        <f>IFERROR(VLOOKUP(L963,'Raw material list'!$A$3:$C$715,3,0),"")</f>
        <v>PRD1-4327</v>
      </c>
      <c r="L963" s="58" t="s">
        <v>39</v>
      </c>
      <c r="M963" s="40" t="s">
        <v>156</v>
      </c>
      <c r="N963" s="40" t="str">
        <f>VLOOKUP(L963,'Raw material list'!$A$3:$E$715,5,0)</f>
        <v xml:space="preserve">Gram </v>
      </c>
      <c r="O963" s="40">
        <v>25</v>
      </c>
      <c r="P963" s="299">
        <f t="shared" si="70"/>
        <v>30.120481927710845</v>
      </c>
      <c r="Q963" s="105">
        <v>83</v>
      </c>
      <c r="R963" s="40">
        <v>10</v>
      </c>
      <c r="S963" s="40"/>
      <c r="T963" s="105">
        <f t="shared" si="69"/>
        <v>2.5</v>
      </c>
      <c r="U963" s="105">
        <f t="shared" si="71"/>
        <v>3.0120481927710845</v>
      </c>
      <c r="V963" s="104">
        <f>IFERROR(VLOOKUP(L963,'Raw material list'!$A$2:$S$3102,6,0),0)</f>
        <v>1.2999999999999999E-2</v>
      </c>
      <c r="W963" s="104">
        <f t="shared" si="72"/>
        <v>3.9156626506024098E-2</v>
      </c>
    </row>
    <row r="964" spans="1:23" s="79" customFormat="1" hidden="1" x14ac:dyDescent="0.55000000000000004">
      <c r="A964" s="41" t="s">
        <v>1551</v>
      </c>
      <c r="B964" s="41" t="s">
        <v>35</v>
      </c>
      <c r="C964" s="41" t="s">
        <v>10</v>
      </c>
      <c r="D964" s="58" t="str">
        <f t="shared" si="76"/>
        <v>Beef Spagetti Bolognese</v>
      </c>
      <c r="E964" s="58" t="s">
        <v>1536</v>
      </c>
      <c r="F964" s="58" t="s">
        <v>2079</v>
      </c>
      <c r="G964" s="41" t="s">
        <v>11</v>
      </c>
      <c r="H964" s="58" t="s">
        <v>1774</v>
      </c>
      <c r="I964" s="58"/>
      <c r="J964" s="41"/>
      <c r="K964" s="41" t="str">
        <f>IFERROR(VLOOKUP(L964,'Raw material list'!$A$3:$C$715,3,0),"")</f>
        <v>PRD1-4265</v>
      </c>
      <c r="L964" s="58" t="s">
        <v>38</v>
      </c>
      <c r="M964" s="40" t="s">
        <v>156</v>
      </c>
      <c r="N964" s="40" t="str">
        <f>VLOOKUP(L964,'Raw material list'!$A$3:$E$715,5,0)</f>
        <v xml:space="preserve">Gram </v>
      </c>
      <c r="O964" s="40">
        <v>250</v>
      </c>
      <c r="P964" s="299">
        <f t="shared" si="70"/>
        <v>294.11764705882354</v>
      </c>
      <c r="Q964" s="105">
        <v>85</v>
      </c>
      <c r="R964" s="40">
        <v>10</v>
      </c>
      <c r="S964" s="40"/>
      <c r="T964" s="105">
        <f t="shared" si="69"/>
        <v>25</v>
      </c>
      <c r="U964" s="105">
        <f t="shared" si="71"/>
        <v>29.411764705882355</v>
      </c>
      <c r="V964" s="104">
        <f>IFERROR(VLOOKUP(L964,'Raw material list'!$A$2:$S$3102,6,0),0)</f>
        <v>3.529411764705882E-3</v>
      </c>
      <c r="W964" s="104">
        <f t="shared" si="72"/>
        <v>0.10380622837370242</v>
      </c>
    </row>
    <row r="965" spans="1:23" s="79" customFormat="1" hidden="1" x14ac:dyDescent="0.55000000000000004">
      <c r="A965" s="41" t="s">
        <v>1551</v>
      </c>
      <c r="B965" s="41" t="s">
        <v>35</v>
      </c>
      <c r="C965" s="41" t="s">
        <v>10</v>
      </c>
      <c r="D965" s="58" t="str">
        <f t="shared" si="76"/>
        <v>Beef Spagetti Bolognese</v>
      </c>
      <c r="E965" s="58" t="s">
        <v>1536</v>
      </c>
      <c r="F965" s="58" t="s">
        <v>2079</v>
      </c>
      <c r="G965" s="41" t="s">
        <v>11</v>
      </c>
      <c r="H965" s="58" t="s">
        <v>1774</v>
      </c>
      <c r="I965" s="58"/>
      <c r="J965" s="41"/>
      <c r="K965" s="41" t="str">
        <f>IFERROR(VLOOKUP(L965,'Raw material list'!$A$3:$C$715,3,0),"")</f>
        <v>PRD1-186</v>
      </c>
      <c r="L965" s="58" t="s">
        <v>37</v>
      </c>
      <c r="M965" s="40" t="s">
        <v>156</v>
      </c>
      <c r="N965" s="40" t="str">
        <f>VLOOKUP(L965,'Raw material list'!$A$3:$E$715,5,0)</f>
        <v xml:space="preserve">Gram </v>
      </c>
      <c r="O965" s="40">
        <v>100</v>
      </c>
      <c r="P965" s="299">
        <f t="shared" si="70"/>
        <v>122.44897959183673</v>
      </c>
      <c r="Q965" s="105">
        <v>81.666666666666671</v>
      </c>
      <c r="R965" s="40">
        <v>10</v>
      </c>
      <c r="S965" s="40"/>
      <c r="T965" s="105">
        <f t="shared" ref="T965:T1013" si="77">IFERROR(O965/R965,0)</f>
        <v>10</v>
      </c>
      <c r="U965" s="105">
        <f t="shared" si="71"/>
        <v>12.244897959183673</v>
      </c>
      <c r="V965" s="104">
        <f>IFERROR(VLOOKUP(L965,'Raw material list'!$A$2:$S$3102,6,0),0)</f>
        <v>5.8139534883720938E-3</v>
      </c>
      <c r="W965" s="104">
        <f t="shared" si="72"/>
        <v>7.1191267204556249E-2</v>
      </c>
    </row>
    <row r="966" spans="1:23" s="79" customFormat="1" hidden="1" x14ac:dyDescent="0.55000000000000004">
      <c r="A966" s="41" t="s">
        <v>1551</v>
      </c>
      <c r="B966" s="41" t="s">
        <v>35</v>
      </c>
      <c r="C966" s="41" t="s">
        <v>10</v>
      </c>
      <c r="D966" s="58" t="str">
        <f t="shared" si="76"/>
        <v>Beef Spagetti Bolognese</v>
      </c>
      <c r="E966" s="58" t="s">
        <v>1536</v>
      </c>
      <c r="F966" s="58" t="s">
        <v>2079</v>
      </c>
      <c r="G966" s="41" t="s">
        <v>11</v>
      </c>
      <c r="H966" s="58" t="s">
        <v>1774</v>
      </c>
      <c r="I966" s="58"/>
      <c r="J966" s="41"/>
      <c r="K966" s="41" t="str">
        <f>IFERROR(VLOOKUP(L966,'Raw material list'!$A$3:$C$715,3,0),"")</f>
        <v>PRD1-4019</v>
      </c>
      <c r="L966" s="58" t="s">
        <v>119</v>
      </c>
      <c r="M966" s="40" t="s">
        <v>156</v>
      </c>
      <c r="N966" s="40" t="str">
        <f>VLOOKUP(L966,'Raw material list'!$A$3:$E$715,5,0)</f>
        <v xml:space="preserve">Gram </v>
      </c>
      <c r="O966" s="40">
        <v>50</v>
      </c>
      <c r="P966" s="299">
        <f t="shared" ref="P966:P1029" si="78">O966/Q966*100</f>
        <v>76.923076923076934</v>
      </c>
      <c r="Q966" s="105">
        <v>65</v>
      </c>
      <c r="R966" s="40">
        <v>10</v>
      </c>
      <c r="S966" s="40"/>
      <c r="T966" s="105">
        <f t="shared" si="77"/>
        <v>5</v>
      </c>
      <c r="U966" s="105">
        <f t="shared" ref="U966:U1029" si="79">IFERROR(P966/R966,0)</f>
        <v>7.6923076923076934</v>
      </c>
      <c r="V966" s="104">
        <f>IFERROR(VLOOKUP(L966,'Raw material list'!$A$2:$S$3102,6,0),0)</f>
        <v>0.02</v>
      </c>
      <c r="W966" s="104">
        <f t="shared" ref="W966:W1029" si="80">IFERROR(V966*U966,0)</f>
        <v>0.15384615384615388</v>
      </c>
    </row>
    <row r="967" spans="1:23" s="79" customFormat="1" hidden="1" x14ac:dyDescent="0.55000000000000004">
      <c r="A967" s="41" t="s">
        <v>1551</v>
      </c>
      <c r="B967" s="41" t="s">
        <v>35</v>
      </c>
      <c r="C967" s="41" t="s">
        <v>10</v>
      </c>
      <c r="D967" s="58" t="str">
        <f t="shared" si="76"/>
        <v>Beef Spagetti Bolognese</v>
      </c>
      <c r="E967" s="58" t="s">
        <v>1536</v>
      </c>
      <c r="F967" s="58" t="s">
        <v>2079</v>
      </c>
      <c r="G967" s="41" t="s">
        <v>11</v>
      </c>
      <c r="H967" s="58" t="s">
        <v>1774</v>
      </c>
      <c r="I967" s="58"/>
      <c r="J967" s="41"/>
      <c r="K967" s="41" t="str">
        <f>IFERROR(VLOOKUP(L967,'Raw material list'!$A$3:$C$715,3,0),"")</f>
        <v>DRS6-1570</v>
      </c>
      <c r="L967" s="58" t="s">
        <v>51</v>
      </c>
      <c r="M967" s="40" t="s">
        <v>156</v>
      </c>
      <c r="N967" s="40" t="str">
        <f>VLOOKUP(L967,'Raw material list'!$A$3:$E$715,5,0)</f>
        <v xml:space="preserve">Gram </v>
      </c>
      <c r="O967" s="40">
        <v>2</v>
      </c>
      <c r="P967" s="299">
        <f t="shared" si="78"/>
        <v>2</v>
      </c>
      <c r="Q967" s="300">
        <v>100</v>
      </c>
      <c r="R967" s="40">
        <v>10</v>
      </c>
      <c r="S967" s="40"/>
      <c r="T967" s="105">
        <f t="shared" si="77"/>
        <v>0.2</v>
      </c>
      <c r="U967" s="105">
        <f t="shared" si="79"/>
        <v>0.2</v>
      </c>
      <c r="V967" s="104">
        <f>IFERROR(VLOOKUP(L967,'Raw material list'!$A$2:$S$3102,6,0),0)</f>
        <v>9.3526666666666654E-3</v>
      </c>
      <c r="W967" s="104">
        <f t="shared" si="80"/>
        <v>1.8705333333333331E-3</v>
      </c>
    </row>
    <row r="968" spans="1:23" s="79" customFormat="1" hidden="1" x14ac:dyDescent="0.55000000000000004">
      <c r="A968" s="41" t="s">
        <v>1551</v>
      </c>
      <c r="B968" s="41" t="s">
        <v>35</v>
      </c>
      <c r="C968" s="41" t="s">
        <v>10</v>
      </c>
      <c r="D968" s="58" t="str">
        <f t="shared" si="76"/>
        <v>Beef Spagetti Bolognese</v>
      </c>
      <c r="E968" s="58" t="s">
        <v>1536</v>
      </c>
      <c r="F968" s="58" t="s">
        <v>2081</v>
      </c>
      <c r="G968" s="41" t="s">
        <v>11</v>
      </c>
      <c r="H968" s="58" t="s">
        <v>1774</v>
      </c>
      <c r="I968" s="58"/>
      <c r="J968" s="41"/>
      <c r="K968" s="41" t="str">
        <f>IFERROR(VLOOKUP(L968,'Raw material list'!$A$3:$C$715,3,0),"")</f>
        <v>MET2-585</v>
      </c>
      <c r="L968" s="58" t="s">
        <v>53</v>
      </c>
      <c r="M968" s="40" t="s">
        <v>156</v>
      </c>
      <c r="N968" s="40" t="str">
        <f>VLOOKUP(L968,'Raw material list'!$A$3:$E$715,5,0)</f>
        <v xml:space="preserve">Gram </v>
      </c>
      <c r="O968" s="40">
        <v>800</v>
      </c>
      <c r="P968" s="299">
        <f t="shared" si="78"/>
        <v>923.78752886836037</v>
      </c>
      <c r="Q968" s="40">
        <v>86.6</v>
      </c>
      <c r="R968" s="40">
        <v>10</v>
      </c>
      <c r="S968" s="40"/>
      <c r="T968" s="105">
        <f t="shared" si="77"/>
        <v>80</v>
      </c>
      <c r="U968" s="105">
        <f t="shared" si="79"/>
        <v>92.37875288683604</v>
      </c>
      <c r="V968" s="104">
        <f>IFERROR(VLOOKUP(L968,'Raw material list'!$A$2:$S$3102,6,0),0)</f>
        <v>4.2630057803468215E-2</v>
      </c>
      <c r="W968" s="104">
        <f t="shared" si="80"/>
        <v>3.9381115753781266</v>
      </c>
    </row>
    <row r="969" spans="1:23" s="79" customFormat="1" hidden="1" x14ac:dyDescent="0.55000000000000004">
      <c r="A969" s="41" t="s">
        <v>1551</v>
      </c>
      <c r="B969" s="41" t="s">
        <v>35</v>
      </c>
      <c r="C969" s="41" t="s">
        <v>10</v>
      </c>
      <c r="D969" s="58" t="str">
        <f t="shared" si="76"/>
        <v>Beef Spagetti Bolognese</v>
      </c>
      <c r="E969" s="58" t="s">
        <v>1536</v>
      </c>
      <c r="F969" s="58" t="s">
        <v>2079</v>
      </c>
      <c r="G969" s="41" t="s">
        <v>11</v>
      </c>
      <c r="H969" s="58" t="s">
        <v>1774</v>
      </c>
      <c r="I969" s="58"/>
      <c r="J969" s="41"/>
      <c r="K969" s="41" t="str">
        <f>IFERROR(VLOOKUP(L969,'Raw material list'!$A$3:$C$715,3,0),"")</f>
        <v>DRS6-3593</v>
      </c>
      <c r="L969" s="58" t="s">
        <v>1407</v>
      </c>
      <c r="M969" s="40" t="s">
        <v>156</v>
      </c>
      <c r="N969" s="40" t="str">
        <f>VLOOKUP(L969,'Raw material list'!$A$3:$E$715,5,0)</f>
        <v xml:space="preserve">Gram </v>
      </c>
      <c r="O969" s="40">
        <v>1</v>
      </c>
      <c r="P969" s="299">
        <f t="shared" si="78"/>
        <v>1</v>
      </c>
      <c r="Q969" s="40">
        <v>100</v>
      </c>
      <c r="R969" s="40">
        <v>10</v>
      </c>
      <c r="S969" s="40"/>
      <c r="T969" s="105">
        <f t="shared" si="77"/>
        <v>0.1</v>
      </c>
      <c r="U969" s="105">
        <f t="shared" si="79"/>
        <v>0.1</v>
      </c>
      <c r="V969" s="104">
        <f>IFERROR(VLOOKUP(L969,'Raw material list'!$A$2:$S$3102,6,0),0)</f>
        <v>8.0000000000000002E-3</v>
      </c>
      <c r="W969" s="104">
        <f t="shared" si="80"/>
        <v>8.0000000000000004E-4</v>
      </c>
    </row>
    <row r="970" spans="1:23" s="79" customFormat="1" hidden="1" x14ac:dyDescent="0.55000000000000004">
      <c r="A970" s="41" t="s">
        <v>1551</v>
      </c>
      <c r="B970" s="41" t="s">
        <v>35</v>
      </c>
      <c r="C970" s="41" t="s">
        <v>10</v>
      </c>
      <c r="D970" s="58" t="str">
        <f t="shared" si="76"/>
        <v>Beef Spagetti Bolognese</v>
      </c>
      <c r="E970" s="58" t="s">
        <v>1536</v>
      </c>
      <c r="F970" s="58" t="s">
        <v>2079</v>
      </c>
      <c r="G970" s="41" t="s">
        <v>11</v>
      </c>
      <c r="H970" s="58" t="s">
        <v>1774</v>
      </c>
      <c r="I970" s="58"/>
      <c r="J970" s="41"/>
      <c r="K970" s="41" t="str">
        <f>IFERROR(VLOOKUP(L970,'Raw material list'!$A$3:$C$715,3,0),"")</f>
        <v>DRS6-261</v>
      </c>
      <c r="L970" s="58" t="s">
        <v>1406</v>
      </c>
      <c r="M970" s="40" t="s">
        <v>156</v>
      </c>
      <c r="N970" s="40" t="str">
        <f>VLOOKUP(L970,'Raw material list'!$A$3:$E$715,5,0)</f>
        <v xml:space="preserve">Gram </v>
      </c>
      <c r="O970" s="40">
        <v>2</v>
      </c>
      <c r="P970" s="299">
        <f t="shared" si="78"/>
        <v>2</v>
      </c>
      <c r="Q970" s="40">
        <v>100</v>
      </c>
      <c r="R970" s="40">
        <v>10</v>
      </c>
      <c r="S970" s="40"/>
      <c r="T970" s="105">
        <f t="shared" si="77"/>
        <v>0.2</v>
      </c>
      <c r="U970" s="105">
        <f t="shared" si="79"/>
        <v>0.2</v>
      </c>
      <c r="V970" s="104">
        <f>IFERROR(VLOOKUP(L970,'Raw material list'!$A$2:$S$3102,6,0),0)</f>
        <v>1.4E-2</v>
      </c>
      <c r="W970" s="104">
        <f t="shared" si="80"/>
        <v>2.8000000000000004E-3</v>
      </c>
    </row>
    <row r="971" spans="1:23" s="79" customFormat="1" hidden="1" x14ac:dyDescent="0.55000000000000004">
      <c r="A971" s="41" t="s">
        <v>1551</v>
      </c>
      <c r="B971" s="41" t="s">
        <v>35</v>
      </c>
      <c r="C971" s="41" t="s">
        <v>10</v>
      </c>
      <c r="D971" s="58" t="str">
        <f t="shared" si="76"/>
        <v>Beef Spagetti Bolognese</v>
      </c>
      <c r="E971" s="58" t="s">
        <v>1536</v>
      </c>
      <c r="F971" s="58" t="s">
        <v>2079</v>
      </c>
      <c r="G971" s="41" t="s">
        <v>11</v>
      </c>
      <c r="H971" s="58" t="s">
        <v>1774</v>
      </c>
      <c r="I971" s="58"/>
      <c r="J971" s="41"/>
      <c r="K971" s="41" t="str">
        <f>IFERROR(VLOOKUP(L971,'Raw material list'!$A$3:$C$715,3,0),"")</f>
        <v>DRS1-1747</v>
      </c>
      <c r="L971" s="58" t="s">
        <v>44</v>
      </c>
      <c r="M971" s="40" t="s">
        <v>156</v>
      </c>
      <c r="N971" s="40" t="str">
        <f>VLOOKUP(L971,'Raw material list'!$A$3:$E$715,5,0)</f>
        <v xml:space="preserve">Gram </v>
      </c>
      <c r="O971" s="40">
        <v>80</v>
      </c>
      <c r="P971" s="299">
        <f t="shared" si="78"/>
        <v>80</v>
      </c>
      <c r="Q971" s="40">
        <v>100</v>
      </c>
      <c r="R971" s="40">
        <v>10</v>
      </c>
      <c r="S971" s="40"/>
      <c r="T971" s="105">
        <f t="shared" si="77"/>
        <v>8</v>
      </c>
      <c r="U971" s="105">
        <f t="shared" si="79"/>
        <v>8</v>
      </c>
      <c r="V971" s="104">
        <f>IFERROR(VLOOKUP(L971,'Raw material list'!$A$2:$S$3102,6,0),0)</f>
        <v>5.185185185185185E-3</v>
      </c>
      <c r="W971" s="104">
        <f t="shared" si="80"/>
        <v>4.148148148148148E-2</v>
      </c>
    </row>
    <row r="972" spans="1:23" s="79" customFormat="1" hidden="1" x14ac:dyDescent="0.55000000000000004">
      <c r="A972" s="41" t="s">
        <v>1551</v>
      </c>
      <c r="B972" s="41" t="s">
        <v>35</v>
      </c>
      <c r="C972" s="41" t="s">
        <v>10</v>
      </c>
      <c r="D972" s="58" t="str">
        <f t="shared" si="76"/>
        <v>Beef Spagetti Bolognese</v>
      </c>
      <c r="E972" s="58" t="s">
        <v>1536</v>
      </c>
      <c r="F972" s="58" t="s">
        <v>2079</v>
      </c>
      <c r="G972" s="41" t="s">
        <v>11</v>
      </c>
      <c r="H972" s="58" t="s">
        <v>1774</v>
      </c>
      <c r="I972" s="58"/>
      <c r="J972" s="41"/>
      <c r="K972" s="41" t="str">
        <f>IFERROR(VLOOKUP(L972,'Raw material list'!$A$3:$C$715,3,0),"")</f>
        <v>DRS1-607</v>
      </c>
      <c r="L972" s="58" t="s">
        <v>250</v>
      </c>
      <c r="M972" s="40" t="s">
        <v>156</v>
      </c>
      <c r="N972" s="40" t="str">
        <f>VLOOKUP(L972,'Raw material list'!$A$3:$E$715,5,0)</f>
        <v xml:space="preserve">Gram </v>
      </c>
      <c r="O972" s="40">
        <v>125</v>
      </c>
      <c r="P972" s="299">
        <f t="shared" si="78"/>
        <v>125</v>
      </c>
      <c r="Q972" s="40">
        <v>100</v>
      </c>
      <c r="R972" s="40">
        <v>10</v>
      </c>
      <c r="S972" s="40"/>
      <c r="T972" s="105">
        <f t="shared" si="77"/>
        <v>12.5</v>
      </c>
      <c r="U972" s="105">
        <f t="shared" si="79"/>
        <v>12.5</v>
      </c>
      <c r="V972" s="104">
        <f>IFERROR(VLOOKUP(L972,'Raw material list'!$A$2:$S$3102,6,0),0)</f>
        <v>5.8823529411764705E-3</v>
      </c>
      <c r="W972" s="104">
        <f t="shared" si="80"/>
        <v>7.3529411764705885E-2</v>
      </c>
    </row>
    <row r="973" spans="1:23" s="79" customFormat="1" hidden="1" x14ac:dyDescent="0.55000000000000004">
      <c r="A973" s="41" t="s">
        <v>1551</v>
      </c>
      <c r="B973" s="41" t="s">
        <v>35</v>
      </c>
      <c r="C973" s="41" t="s">
        <v>10</v>
      </c>
      <c r="D973" s="58" t="str">
        <f t="shared" si="76"/>
        <v>Beef Spagetti Bolognese</v>
      </c>
      <c r="E973" s="58" t="s">
        <v>1536</v>
      </c>
      <c r="F973" s="58" t="s">
        <v>2079</v>
      </c>
      <c r="G973" s="41" t="s">
        <v>11</v>
      </c>
      <c r="H973" s="58" t="s">
        <v>1774</v>
      </c>
      <c r="I973" s="58"/>
      <c r="J973" s="41"/>
      <c r="K973" s="41" t="str">
        <f>IFERROR(VLOOKUP(L973,'Raw material list'!$A$3:$C$715,3,0),"")</f>
        <v>DRS1-3880</v>
      </c>
      <c r="L973" s="58" t="s">
        <v>1433</v>
      </c>
      <c r="M973" s="40" t="s">
        <v>156</v>
      </c>
      <c r="N973" s="40" t="str">
        <f>VLOOKUP(L973,'Raw material list'!$A$3:$E$715,5,0)</f>
        <v xml:space="preserve">Gram </v>
      </c>
      <c r="O973" s="40">
        <v>20</v>
      </c>
      <c r="P973" s="299">
        <f t="shared" si="78"/>
        <v>20</v>
      </c>
      <c r="Q973" s="40">
        <v>100</v>
      </c>
      <c r="R973" s="40">
        <v>10</v>
      </c>
      <c r="S973" s="40"/>
      <c r="T973" s="105">
        <f t="shared" si="77"/>
        <v>2</v>
      </c>
      <c r="U973" s="105">
        <f t="shared" si="79"/>
        <v>2</v>
      </c>
      <c r="V973" s="104">
        <f>IFERROR(VLOOKUP(L973,'Raw material list'!$A$2:$S$3102,6,0),0)</f>
        <v>5.0000000000000001E-4</v>
      </c>
      <c r="W973" s="104">
        <f t="shared" si="80"/>
        <v>1E-3</v>
      </c>
    </row>
    <row r="974" spans="1:23" s="79" customFormat="1" hidden="1" x14ac:dyDescent="0.55000000000000004">
      <c r="A974" s="41" t="s">
        <v>1551</v>
      </c>
      <c r="B974" s="41" t="s">
        <v>35</v>
      </c>
      <c r="C974" s="41" t="s">
        <v>10</v>
      </c>
      <c r="D974" s="58" t="str">
        <f t="shared" si="76"/>
        <v>Beef Spagetti Bolognese</v>
      </c>
      <c r="E974" s="58" t="s">
        <v>1536</v>
      </c>
      <c r="F974" s="58" t="s">
        <v>2079</v>
      </c>
      <c r="G974" s="41" t="s">
        <v>11</v>
      </c>
      <c r="H974" s="58" t="s">
        <v>1774</v>
      </c>
      <c r="I974" s="58"/>
      <c r="J974" s="41"/>
      <c r="K974" s="41" t="str">
        <f>IFERROR(VLOOKUP(L974,'Raw material list'!$A$3:$C$715,3,0),"")</f>
        <v>DRS1-3813</v>
      </c>
      <c r="L974" s="58" t="s">
        <v>67</v>
      </c>
      <c r="M974" s="40" t="s">
        <v>156</v>
      </c>
      <c r="N974" s="40" t="str">
        <f>VLOOKUP(L974,'Raw material list'!$A$3:$E$715,5,0)</f>
        <v xml:space="preserve">Gram </v>
      </c>
      <c r="O974" s="40">
        <v>15</v>
      </c>
      <c r="P974" s="299">
        <f t="shared" si="78"/>
        <v>15</v>
      </c>
      <c r="Q974" s="40">
        <v>100</v>
      </c>
      <c r="R974" s="40">
        <v>10</v>
      </c>
      <c r="S974" s="40"/>
      <c r="T974" s="105">
        <f t="shared" si="77"/>
        <v>1.5</v>
      </c>
      <c r="U974" s="105">
        <f t="shared" si="79"/>
        <v>1.5</v>
      </c>
      <c r="V974" s="104">
        <f>IFERROR(VLOOKUP(L974,'Raw material list'!$A$2:$S$3102,6,0),0)</f>
        <v>4.4441666666666664E-2</v>
      </c>
      <c r="W974" s="104">
        <f t="shared" si="80"/>
        <v>6.66625E-2</v>
      </c>
    </row>
    <row r="975" spans="1:23" s="79" customFormat="1" hidden="1" x14ac:dyDescent="0.55000000000000004">
      <c r="A975" s="41" t="s">
        <v>1551</v>
      </c>
      <c r="B975" s="41" t="s">
        <v>35</v>
      </c>
      <c r="C975" s="41" t="s">
        <v>10</v>
      </c>
      <c r="D975" s="58" t="str">
        <f t="shared" si="76"/>
        <v>Beef Spagetti Bolognese</v>
      </c>
      <c r="E975" s="58" t="s">
        <v>1536</v>
      </c>
      <c r="F975" s="58" t="s">
        <v>2079</v>
      </c>
      <c r="G975" s="41" t="s">
        <v>11</v>
      </c>
      <c r="H975" s="58" t="s">
        <v>1774</v>
      </c>
      <c r="I975" s="58"/>
      <c r="J975" s="41"/>
      <c r="K975" s="41" t="str">
        <f>IFERROR(VLOOKUP(L975,'Raw material list'!$A$3:$C$715,3,0),"")</f>
        <v>DRS6-537</v>
      </c>
      <c r="L975" s="58" t="s">
        <v>46</v>
      </c>
      <c r="M975" s="40" t="s">
        <v>156</v>
      </c>
      <c r="N975" s="40" t="str">
        <f>VLOOKUP(L975,'Raw material list'!$A$3:$E$715,5,0)</f>
        <v xml:space="preserve">Gram </v>
      </c>
      <c r="O975" s="40">
        <v>2</v>
      </c>
      <c r="P975" s="299">
        <f t="shared" si="78"/>
        <v>2</v>
      </c>
      <c r="Q975" s="40">
        <v>100</v>
      </c>
      <c r="R975" s="40">
        <v>10</v>
      </c>
      <c r="S975" s="40"/>
      <c r="T975" s="105">
        <f t="shared" si="77"/>
        <v>0.2</v>
      </c>
      <c r="U975" s="105">
        <f t="shared" si="79"/>
        <v>0.2</v>
      </c>
      <c r="V975" s="104">
        <f>IFERROR(VLOOKUP(L975,'Raw material list'!$A$2:$S$3102,6,0),0)</f>
        <v>3.5000000000000003E-2</v>
      </c>
      <c r="W975" s="104">
        <f t="shared" si="80"/>
        <v>7.000000000000001E-3</v>
      </c>
    </row>
    <row r="976" spans="1:23" s="79" customFormat="1" hidden="1" x14ac:dyDescent="0.55000000000000004">
      <c r="A976" s="41" t="s">
        <v>1551</v>
      </c>
      <c r="B976" s="41" t="s">
        <v>35</v>
      </c>
      <c r="C976" s="41" t="s">
        <v>10</v>
      </c>
      <c r="D976" s="58" t="str">
        <f t="shared" si="76"/>
        <v>Beef Spagetti Bolognese</v>
      </c>
      <c r="E976" s="58" t="s">
        <v>1536</v>
      </c>
      <c r="F976" s="58" t="s">
        <v>2079</v>
      </c>
      <c r="G976" s="41" t="s">
        <v>11</v>
      </c>
      <c r="H976" s="58" t="s">
        <v>1774</v>
      </c>
      <c r="I976" s="58"/>
      <c r="J976" s="41"/>
      <c r="K976" s="41" t="str">
        <f>IFERROR(VLOOKUP(L976,'Raw material list'!$A$3:$C$715,3,0),"")</f>
        <v>TAP-00001</v>
      </c>
      <c r="L976" s="58" t="s">
        <v>1405</v>
      </c>
      <c r="M976" s="40" t="s">
        <v>206</v>
      </c>
      <c r="N976" s="40" t="str">
        <f>VLOOKUP(L976,'Raw material list'!$A$3:$E$715,5,0)</f>
        <v>Ml</v>
      </c>
      <c r="O976" s="40">
        <v>250</v>
      </c>
      <c r="P976" s="299">
        <f t="shared" si="78"/>
        <v>250</v>
      </c>
      <c r="Q976" s="40">
        <v>100</v>
      </c>
      <c r="R976" s="40">
        <v>10</v>
      </c>
      <c r="S976" s="40"/>
      <c r="T976" s="105">
        <f t="shared" si="77"/>
        <v>25</v>
      </c>
      <c r="U976" s="105">
        <f t="shared" si="79"/>
        <v>25</v>
      </c>
      <c r="V976" s="104">
        <f>IFERROR(VLOOKUP(L976,'Raw material list'!$A$2:$S$3102,6,0),0)</f>
        <v>8.0000000000000007E-5</v>
      </c>
      <c r="W976" s="104">
        <f t="shared" si="80"/>
        <v>2E-3</v>
      </c>
    </row>
    <row r="977" spans="1:23" s="79" customFormat="1" hidden="1" x14ac:dyDescent="0.55000000000000004">
      <c r="A977" s="41" t="s">
        <v>1551</v>
      </c>
      <c r="B977" s="41" t="s">
        <v>35</v>
      </c>
      <c r="C977" s="41" t="s">
        <v>10</v>
      </c>
      <c r="D977" s="58" t="str">
        <f t="shared" si="76"/>
        <v>Beef Spagetti Bolognese</v>
      </c>
      <c r="E977" s="58" t="s">
        <v>1536</v>
      </c>
      <c r="F977" s="58" t="s">
        <v>2079</v>
      </c>
      <c r="G977" s="41" t="s">
        <v>11</v>
      </c>
      <c r="H977" s="58" t="s">
        <v>1774</v>
      </c>
      <c r="I977" s="58"/>
      <c r="J977" s="41"/>
      <c r="K977" s="41" t="str">
        <f>IFERROR(VLOOKUP(L977,'Raw material list'!$A$3:$C$715,3,0),"")</f>
        <v>DRS5-21</v>
      </c>
      <c r="L977" s="58" t="s">
        <v>55</v>
      </c>
      <c r="M977" s="40" t="s">
        <v>156</v>
      </c>
      <c r="N977" s="40" t="str">
        <f>VLOOKUP(L977,'Raw material list'!$A$3:$E$715,5,0)</f>
        <v xml:space="preserve">Gram </v>
      </c>
      <c r="O977" s="40">
        <v>30</v>
      </c>
      <c r="P977" s="299">
        <f t="shared" si="78"/>
        <v>30</v>
      </c>
      <c r="Q977" s="40">
        <v>100</v>
      </c>
      <c r="R977" s="40">
        <v>10</v>
      </c>
      <c r="S977" s="40"/>
      <c r="T977" s="105">
        <f t="shared" si="77"/>
        <v>3</v>
      </c>
      <c r="U977" s="105">
        <f t="shared" si="79"/>
        <v>3</v>
      </c>
      <c r="V977" s="104">
        <f>IFERROR(VLOOKUP(L977,'Raw material list'!$A$2:$S$3102,6,0),0)</f>
        <v>2.0799999999999998E-3</v>
      </c>
      <c r="W977" s="104">
        <f t="shared" si="80"/>
        <v>6.239999999999999E-3</v>
      </c>
    </row>
    <row r="978" spans="1:23" s="79" customFormat="1" hidden="1" x14ac:dyDescent="0.55000000000000004">
      <c r="A978" s="41" t="s">
        <v>1552</v>
      </c>
      <c r="B978" s="41" t="s">
        <v>35</v>
      </c>
      <c r="C978" s="41" t="s">
        <v>10</v>
      </c>
      <c r="D978" s="58" t="s">
        <v>1540</v>
      </c>
      <c r="E978" s="58" t="s">
        <v>1536</v>
      </c>
      <c r="F978" s="58" t="s">
        <v>2081</v>
      </c>
      <c r="G978" s="41" t="s">
        <v>11</v>
      </c>
      <c r="H978" s="58" t="s">
        <v>1774</v>
      </c>
      <c r="I978" s="58"/>
      <c r="J978" s="41"/>
      <c r="K978" s="41" t="str">
        <f>IFERROR(VLOOKUP(L978,'Raw material list'!$A$3:$C$715,3,0),"")</f>
        <v>PLT2-3278</v>
      </c>
      <c r="L978" s="58" t="s">
        <v>80</v>
      </c>
      <c r="M978" s="40" t="s">
        <v>156</v>
      </c>
      <c r="N978" s="40" t="str">
        <f>VLOOKUP(L978,'Raw material list'!$A$3:$E$715,5,0)</f>
        <v xml:space="preserve">Gram </v>
      </c>
      <c r="O978" s="40">
        <v>1000</v>
      </c>
      <c r="P978" s="299">
        <f t="shared" si="78"/>
        <v>1312.3359580052493</v>
      </c>
      <c r="Q978" s="40">
        <v>76.2</v>
      </c>
      <c r="R978" s="40">
        <v>10</v>
      </c>
      <c r="S978" s="40"/>
      <c r="T978" s="105">
        <f t="shared" si="77"/>
        <v>100</v>
      </c>
      <c r="U978" s="105">
        <f t="shared" si="79"/>
        <v>131.23359580052494</v>
      </c>
      <c r="V978" s="104">
        <f>IFERROR(VLOOKUP(L978,'Raw material list'!$A$2:$S$3102,6,0),0)</f>
        <v>3.0357142857142853E-2</v>
      </c>
      <c r="W978" s="104">
        <f t="shared" si="80"/>
        <v>3.983877015373078</v>
      </c>
    </row>
    <row r="979" spans="1:23" s="79" customFormat="1" hidden="1" x14ac:dyDescent="0.55000000000000004">
      <c r="A979" s="41" t="s">
        <v>1552</v>
      </c>
      <c r="B979" s="41" t="s">
        <v>35</v>
      </c>
      <c r="C979" s="41" t="s">
        <v>10</v>
      </c>
      <c r="D979" s="58" t="str">
        <f t="shared" ref="D979:D1000" si="81">D978</f>
        <v>Butter Chicken Sause</v>
      </c>
      <c r="E979" s="58" t="s">
        <v>1536</v>
      </c>
      <c r="F979" s="58" t="s">
        <v>2079</v>
      </c>
      <c r="G979" s="41" t="s">
        <v>11</v>
      </c>
      <c r="H979" s="58" t="s">
        <v>1774</v>
      </c>
      <c r="I979" s="58"/>
      <c r="J979" s="41"/>
      <c r="K979" s="41" t="str">
        <f>IFERROR(VLOOKUP(L979,'Raw material list'!$A$3:$C$715,3,0),"")</f>
        <v>DRY2-1008</v>
      </c>
      <c r="L979" s="58" t="s">
        <v>57</v>
      </c>
      <c r="M979" s="40" t="s">
        <v>156</v>
      </c>
      <c r="N979" s="40" t="str">
        <f>VLOOKUP(L979,'Raw material list'!$A$3:$E$715,5,0)</f>
        <v xml:space="preserve">Gram </v>
      </c>
      <c r="O979" s="40">
        <v>150</v>
      </c>
      <c r="P979" s="299">
        <f t="shared" si="78"/>
        <v>150</v>
      </c>
      <c r="Q979" s="40">
        <v>100</v>
      </c>
      <c r="R979" s="40">
        <v>10</v>
      </c>
      <c r="S979" s="40"/>
      <c r="T979" s="105">
        <f t="shared" si="77"/>
        <v>15</v>
      </c>
      <c r="U979" s="105">
        <f t="shared" si="79"/>
        <v>15</v>
      </c>
      <c r="V979" s="104">
        <f>IFERROR(VLOOKUP(L979,'Raw material list'!$A$2:$S$3102,6,0),0)</f>
        <v>0.03</v>
      </c>
      <c r="W979" s="104">
        <f t="shared" si="80"/>
        <v>0.44999999999999996</v>
      </c>
    </row>
    <row r="980" spans="1:23" s="79" customFormat="1" hidden="1" x14ac:dyDescent="0.55000000000000004">
      <c r="A980" s="41" t="s">
        <v>1552</v>
      </c>
      <c r="B980" s="41" t="s">
        <v>35</v>
      </c>
      <c r="C980" s="41" t="s">
        <v>10</v>
      </c>
      <c r="D980" s="58" t="str">
        <f t="shared" si="81"/>
        <v>Butter Chicken Sause</v>
      </c>
      <c r="E980" s="58" t="s">
        <v>1536</v>
      </c>
      <c r="F980" s="58" t="s">
        <v>2079</v>
      </c>
      <c r="G980" s="41" t="s">
        <v>11</v>
      </c>
      <c r="H980" s="58" t="s">
        <v>1774</v>
      </c>
      <c r="I980" s="58"/>
      <c r="J980" s="41"/>
      <c r="K980" s="41" t="str">
        <f>IFERROR(VLOOKUP(L980,'Raw material list'!$A$3:$C$715,3,0),"")</f>
        <v>DRS3-1813</v>
      </c>
      <c r="L980" s="58" t="s">
        <v>69</v>
      </c>
      <c r="M980" s="40" t="s">
        <v>206</v>
      </c>
      <c r="N980" s="40" t="str">
        <f>VLOOKUP(L980,'Raw material list'!$A$3:$E$715,5,0)</f>
        <v>Ml</v>
      </c>
      <c r="O980" s="40">
        <v>60</v>
      </c>
      <c r="P980" s="299">
        <f t="shared" si="78"/>
        <v>60</v>
      </c>
      <c r="Q980" s="40">
        <v>100</v>
      </c>
      <c r="R980" s="40">
        <v>10</v>
      </c>
      <c r="S980" s="40"/>
      <c r="T980" s="105">
        <f t="shared" si="77"/>
        <v>6</v>
      </c>
      <c r="U980" s="105">
        <f t="shared" si="79"/>
        <v>6</v>
      </c>
      <c r="V980" s="104">
        <f>IFERROR(VLOOKUP(L980,'Raw material list'!$A$2:$S$3102,6,0),0)</f>
        <v>8.0555555555555554E-3</v>
      </c>
      <c r="W980" s="104">
        <f t="shared" si="80"/>
        <v>4.8333333333333332E-2</v>
      </c>
    </row>
    <row r="981" spans="1:23" s="79" customFormat="1" hidden="1" x14ac:dyDescent="0.55000000000000004">
      <c r="A981" s="41" t="s">
        <v>1552</v>
      </c>
      <c r="B981" s="41" t="s">
        <v>35</v>
      </c>
      <c r="C981" s="41" t="s">
        <v>10</v>
      </c>
      <c r="D981" s="58" t="str">
        <f t="shared" si="81"/>
        <v>Butter Chicken Sause</v>
      </c>
      <c r="E981" s="58" t="s">
        <v>1536</v>
      </c>
      <c r="F981" s="58" t="s">
        <v>2079</v>
      </c>
      <c r="G981" s="41" t="s">
        <v>11</v>
      </c>
      <c r="H981" s="58" t="s">
        <v>1774</v>
      </c>
      <c r="I981" s="58"/>
      <c r="J981" s="41"/>
      <c r="K981" s="41" t="str">
        <f>IFERROR(VLOOKUP(L981,'Raw material list'!$A$3:$C$715,3,0),"")</f>
        <v>PRD1-4265</v>
      </c>
      <c r="L981" s="58" t="s">
        <v>38</v>
      </c>
      <c r="M981" s="40" t="s">
        <v>156</v>
      </c>
      <c r="N981" s="40" t="str">
        <f>VLOOKUP(L981,'Raw material list'!$A$3:$E$715,5,0)</f>
        <v xml:space="preserve">Gram </v>
      </c>
      <c r="O981" s="40">
        <v>400</v>
      </c>
      <c r="P981" s="299">
        <f t="shared" si="78"/>
        <v>470.58823529411768</v>
      </c>
      <c r="Q981" s="105">
        <v>85</v>
      </c>
      <c r="R981" s="40">
        <v>10</v>
      </c>
      <c r="S981" s="40"/>
      <c r="T981" s="105">
        <f t="shared" si="77"/>
        <v>40</v>
      </c>
      <c r="U981" s="105">
        <f t="shared" si="79"/>
        <v>47.058823529411768</v>
      </c>
      <c r="V981" s="104">
        <f>IFERROR(VLOOKUP(L981,'Raw material list'!$A$2:$S$3102,6,0),0)</f>
        <v>3.529411764705882E-3</v>
      </c>
      <c r="W981" s="104">
        <f t="shared" si="80"/>
        <v>0.16608996539792387</v>
      </c>
    </row>
    <row r="982" spans="1:23" s="79" customFormat="1" hidden="1" x14ac:dyDescent="0.55000000000000004">
      <c r="A982" s="41" t="s">
        <v>1552</v>
      </c>
      <c r="B982" s="41" t="s">
        <v>35</v>
      </c>
      <c r="C982" s="41" t="s">
        <v>10</v>
      </c>
      <c r="D982" s="58" t="str">
        <f t="shared" si="81"/>
        <v>Butter Chicken Sause</v>
      </c>
      <c r="E982" s="58" t="s">
        <v>1536</v>
      </c>
      <c r="F982" s="58" t="s">
        <v>2079</v>
      </c>
      <c r="G982" s="41" t="s">
        <v>11</v>
      </c>
      <c r="H982" s="58" t="s">
        <v>1774</v>
      </c>
      <c r="I982" s="58"/>
      <c r="J982" s="41"/>
      <c r="K982" s="41" t="str">
        <f>IFERROR(VLOOKUP(L982,'Raw material list'!$A$3:$C$715,3,0),"")</f>
        <v>PRD1-4327</v>
      </c>
      <c r="L982" s="58" t="s">
        <v>39</v>
      </c>
      <c r="M982" s="40" t="s">
        <v>156</v>
      </c>
      <c r="N982" s="40" t="str">
        <f>VLOOKUP(L982,'Raw material list'!$A$3:$E$715,5,0)</f>
        <v xml:space="preserve">Gram </v>
      </c>
      <c r="O982" s="40">
        <v>30</v>
      </c>
      <c r="P982" s="299">
        <f t="shared" si="78"/>
        <v>36.144578313253014</v>
      </c>
      <c r="Q982" s="105">
        <v>83</v>
      </c>
      <c r="R982" s="40">
        <v>10</v>
      </c>
      <c r="S982" s="40"/>
      <c r="T982" s="105">
        <f t="shared" si="77"/>
        <v>3</v>
      </c>
      <c r="U982" s="105">
        <f t="shared" si="79"/>
        <v>3.6144578313253013</v>
      </c>
      <c r="V982" s="104">
        <f>IFERROR(VLOOKUP(L982,'Raw material list'!$A$2:$S$3102,6,0),0)</f>
        <v>1.2999999999999999E-2</v>
      </c>
      <c r="W982" s="104">
        <f t="shared" si="80"/>
        <v>4.6987951807228916E-2</v>
      </c>
    </row>
    <row r="983" spans="1:23" s="79" customFormat="1" hidden="1" x14ac:dyDescent="0.55000000000000004">
      <c r="A983" s="41" t="s">
        <v>1552</v>
      </c>
      <c r="B983" s="41" t="s">
        <v>35</v>
      </c>
      <c r="C983" s="41" t="s">
        <v>10</v>
      </c>
      <c r="D983" s="58" t="str">
        <f t="shared" si="81"/>
        <v>Butter Chicken Sause</v>
      </c>
      <c r="E983" s="58" t="s">
        <v>1536</v>
      </c>
      <c r="F983" s="58" t="s">
        <v>2079</v>
      </c>
      <c r="G983" s="41" t="s">
        <v>11</v>
      </c>
      <c r="H983" s="58" t="s">
        <v>1774</v>
      </c>
      <c r="I983" s="58"/>
      <c r="J983" s="41"/>
      <c r="K983" s="41" t="str">
        <f>IFERROR(VLOOKUP(L983,'Raw material list'!$A$3:$C$715,3,0),"")</f>
        <v>DRS1-607</v>
      </c>
      <c r="L983" s="58" t="s">
        <v>250</v>
      </c>
      <c r="M983" s="40" t="s">
        <v>156</v>
      </c>
      <c r="N983" s="40" t="str">
        <f>VLOOKUP(L983,'Raw material list'!$A$3:$E$715,5,0)</f>
        <v xml:space="preserve">Gram </v>
      </c>
      <c r="O983" s="40">
        <v>800</v>
      </c>
      <c r="P983" s="299">
        <f t="shared" si="78"/>
        <v>800</v>
      </c>
      <c r="Q983" s="300">
        <v>100</v>
      </c>
      <c r="R983" s="40">
        <v>10</v>
      </c>
      <c r="S983" s="40"/>
      <c r="T983" s="105">
        <f t="shared" si="77"/>
        <v>80</v>
      </c>
      <c r="U983" s="105">
        <f t="shared" si="79"/>
        <v>80</v>
      </c>
      <c r="V983" s="104">
        <f>IFERROR(VLOOKUP(L983,'Raw material list'!$A$2:$S$3102,6,0),0)</f>
        <v>5.8823529411764705E-3</v>
      </c>
      <c r="W983" s="104">
        <f t="shared" si="80"/>
        <v>0.47058823529411764</v>
      </c>
    </row>
    <row r="984" spans="1:23" s="79" customFormat="1" hidden="1" x14ac:dyDescent="0.55000000000000004">
      <c r="A984" s="41" t="s">
        <v>1552</v>
      </c>
      <c r="B984" s="41" t="s">
        <v>35</v>
      </c>
      <c r="C984" s="41" t="s">
        <v>10</v>
      </c>
      <c r="D984" s="58" t="str">
        <f t="shared" si="81"/>
        <v>Butter Chicken Sause</v>
      </c>
      <c r="E984" s="58" t="s">
        <v>1536</v>
      </c>
      <c r="F984" s="58" t="s">
        <v>2079</v>
      </c>
      <c r="G984" s="41" t="s">
        <v>11</v>
      </c>
      <c r="H984" s="58" t="s">
        <v>1774</v>
      </c>
      <c r="I984" s="58"/>
      <c r="J984" s="41"/>
      <c r="K984" s="41" t="str">
        <f>IFERROR(VLOOKUP(L984,'Raw material list'!$A$3:$C$715,3,0),"")</f>
        <v>DRS7-926</v>
      </c>
      <c r="L984" s="58" t="s">
        <v>508</v>
      </c>
      <c r="M984" s="40" t="s">
        <v>156</v>
      </c>
      <c r="N984" s="40" t="str">
        <f>VLOOKUP(L984,'Raw material list'!$A$3:$E$715,5,0)</f>
        <v xml:space="preserve">Gram </v>
      </c>
      <c r="O984" s="40">
        <v>150</v>
      </c>
      <c r="P984" s="299">
        <f t="shared" si="78"/>
        <v>150</v>
      </c>
      <c r="Q984" s="40">
        <v>100</v>
      </c>
      <c r="R984" s="40">
        <v>10</v>
      </c>
      <c r="S984" s="40"/>
      <c r="T984" s="105">
        <f t="shared" si="77"/>
        <v>15</v>
      </c>
      <c r="U984" s="105">
        <f t="shared" si="79"/>
        <v>15</v>
      </c>
      <c r="V984" s="104">
        <f>IFERROR(VLOOKUP(L984,'Raw material list'!$A$2:$S$3102,6,0),0)</f>
        <v>4.2000000000000003E-2</v>
      </c>
      <c r="W984" s="104">
        <f t="shared" si="80"/>
        <v>0.63</v>
      </c>
    </row>
    <row r="985" spans="1:23" s="79" customFormat="1" hidden="1" x14ac:dyDescent="0.55000000000000004">
      <c r="A985" s="41" t="s">
        <v>1552</v>
      </c>
      <c r="B985" s="41" t="s">
        <v>35</v>
      </c>
      <c r="C985" s="41" t="s">
        <v>10</v>
      </c>
      <c r="D985" s="58" t="str">
        <f t="shared" si="81"/>
        <v>Butter Chicken Sause</v>
      </c>
      <c r="E985" s="58" t="s">
        <v>1536</v>
      </c>
      <c r="F985" s="58" t="s">
        <v>2079</v>
      </c>
      <c r="G985" s="41" t="s">
        <v>11</v>
      </c>
      <c r="H985" s="58" t="s">
        <v>1774</v>
      </c>
      <c r="I985" s="58"/>
      <c r="J985" s="41"/>
      <c r="K985" s="41" t="str">
        <f>IFERROR(VLOOKUP(L985,'Raw material list'!$A$3:$C$715,3,0),"")</f>
        <v>DRS6-5338</v>
      </c>
      <c r="L985" s="58" t="s">
        <v>730</v>
      </c>
      <c r="M985" s="40" t="s">
        <v>156</v>
      </c>
      <c r="N985" s="40" t="str">
        <f>VLOOKUP(L985,'Raw material list'!$A$3:$E$715,5,0)</f>
        <v xml:space="preserve">Gram </v>
      </c>
      <c r="O985" s="40">
        <v>8</v>
      </c>
      <c r="P985" s="299">
        <f t="shared" si="78"/>
        <v>8</v>
      </c>
      <c r="Q985" s="40">
        <v>100</v>
      </c>
      <c r="R985" s="40">
        <v>10</v>
      </c>
      <c r="S985" s="40"/>
      <c r="T985" s="105">
        <f t="shared" si="77"/>
        <v>0.8</v>
      </c>
      <c r="U985" s="105">
        <f t="shared" si="79"/>
        <v>0.8</v>
      </c>
      <c r="V985" s="104">
        <f>IFERROR(VLOOKUP(L985,'Raw material list'!$A$2:$S$3102,6,0),0)</f>
        <v>2.5000000000000001E-2</v>
      </c>
      <c r="W985" s="104">
        <f t="shared" si="80"/>
        <v>2.0000000000000004E-2</v>
      </c>
    </row>
    <row r="986" spans="1:23" s="79" customFormat="1" hidden="1" x14ac:dyDescent="0.55000000000000004">
      <c r="A986" s="41" t="s">
        <v>1552</v>
      </c>
      <c r="B986" s="41" t="s">
        <v>35</v>
      </c>
      <c r="C986" s="41" t="s">
        <v>10</v>
      </c>
      <c r="D986" s="58" t="str">
        <f t="shared" si="81"/>
        <v>Butter Chicken Sause</v>
      </c>
      <c r="E986" s="58" t="s">
        <v>1536</v>
      </c>
      <c r="F986" s="58" t="s">
        <v>2079</v>
      </c>
      <c r="G986" s="41" t="s">
        <v>11</v>
      </c>
      <c r="H986" s="58" t="s">
        <v>1774</v>
      </c>
      <c r="I986" s="58"/>
      <c r="J986" s="41"/>
      <c r="K986" s="41" t="str">
        <f>IFERROR(VLOOKUP(L986,'Raw material list'!$A$3:$C$715,3,0),"")</f>
        <v>DRS6-266</v>
      </c>
      <c r="L986" s="58" t="s">
        <v>99</v>
      </c>
      <c r="M986" s="40" t="s">
        <v>156</v>
      </c>
      <c r="N986" s="40" t="str">
        <f>VLOOKUP(L986,'Raw material list'!$A$3:$E$715,5,0)</f>
        <v xml:space="preserve">Gram </v>
      </c>
      <c r="O986" s="40">
        <v>6</v>
      </c>
      <c r="P986" s="299">
        <f t="shared" si="78"/>
        <v>6</v>
      </c>
      <c r="Q986" s="40">
        <v>100</v>
      </c>
      <c r="R986" s="40">
        <v>10</v>
      </c>
      <c r="S986" s="40"/>
      <c r="T986" s="105">
        <f t="shared" si="77"/>
        <v>0.6</v>
      </c>
      <c r="U986" s="105">
        <f t="shared" si="79"/>
        <v>0.6</v>
      </c>
      <c r="V986" s="104">
        <f>IFERROR(VLOOKUP(L986,'Raw material list'!$A$2:$S$3102,6,0),0)</f>
        <v>1.4E-2</v>
      </c>
      <c r="W986" s="104">
        <f t="shared" si="80"/>
        <v>8.3999999999999995E-3</v>
      </c>
    </row>
    <row r="987" spans="1:23" s="79" customFormat="1" hidden="1" x14ac:dyDescent="0.55000000000000004">
      <c r="A987" s="41" t="s">
        <v>1552</v>
      </c>
      <c r="B987" s="41" t="s">
        <v>35</v>
      </c>
      <c r="C987" s="41" t="s">
        <v>10</v>
      </c>
      <c r="D987" s="58" t="str">
        <f t="shared" si="81"/>
        <v>Butter Chicken Sause</v>
      </c>
      <c r="E987" s="58" t="s">
        <v>1536</v>
      </c>
      <c r="F987" s="58" t="s">
        <v>2079</v>
      </c>
      <c r="G987" s="41" t="s">
        <v>11</v>
      </c>
      <c r="H987" s="58" t="s">
        <v>1774</v>
      </c>
      <c r="I987" s="58"/>
      <c r="J987" s="41"/>
      <c r="K987" s="41" t="str">
        <f>IFERROR(VLOOKUP(L987,'Raw material list'!$A$3:$C$715,3,0),"")</f>
        <v>DRS6-733</v>
      </c>
      <c r="L987" s="58" t="s">
        <v>45</v>
      </c>
      <c r="M987" s="40" t="s">
        <v>156</v>
      </c>
      <c r="N987" s="40" t="str">
        <f>VLOOKUP(L987,'Raw material list'!$A$3:$E$715,5,0)</f>
        <v xml:space="preserve">Gram </v>
      </c>
      <c r="O987" s="40">
        <v>5</v>
      </c>
      <c r="P987" s="299">
        <f t="shared" si="78"/>
        <v>5</v>
      </c>
      <c r="Q987" s="40">
        <v>100</v>
      </c>
      <c r="R987" s="40">
        <v>10</v>
      </c>
      <c r="S987" s="40"/>
      <c r="T987" s="105">
        <f t="shared" si="77"/>
        <v>0.5</v>
      </c>
      <c r="U987" s="105">
        <f t="shared" si="79"/>
        <v>0.5</v>
      </c>
      <c r="V987" s="104">
        <f>IFERROR(VLOOKUP(L987,'Raw material list'!$A$2:$S$3102,6,0),0)</f>
        <v>2.8000000000000001E-2</v>
      </c>
      <c r="W987" s="104">
        <f t="shared" si="80"/>
        <v>1.4E-2</v>
      </c>
    </row>
    <row r="988" spans="1:23" s="79" customFormat="1" hidden="1" x14ac:dyDescent="0.55000000000000004">
      <c r="A988" s="41" t="s">
        <v>1552</v>
      </c>
      <c r="B988" s="41" t="s">
        <v>35</v>
      </c>
      <c r="C988" s="41" t="s">
        <v>10</v>
      </c>
      <c r="D988" s="58" t="str">
        <f t="shared" si="81"/>
        <v>Butter Chicken Sause</v>
      </c>
      <c r="E988" s="58" t="s">
        <v>1536</v>
      </c>
      <c r="F988" s="58" t="s">
        <v>2079</v>
      </c>
      <c r="G988" s="41" t="s">
        <v>11</v>
      </c>
      <c r="H988" s="58" t="s">
        <v>1774</v>
      </c>
      <c r="I988" s="58"/>
      <c r="J988" s="41"/>
      <c r="K988" s="41" t="str">
        <f>IFERROR(VLOOKUP(L988,'Raw material list'!$A$3:$C$715,3,0),"")</f>
        <v>DRS1-3880</v>
      </c>
      <c r="L988" s="58" t="s">
        <v>1433</v>
      </c>
      <c r="M988" s="40" t="s">
        <v>156</v>
      </c>
      <c r="N988" s="40" t="str">
        <f>VLOOKUP(L988,'Raw material list'!$A$3:$E$715,5,0)</f>
        <v xml:space="preserve">Gram </v>
      </c>
      <c r="O988" s="40">
        <v>15</v>
      </c>
      <c r="P988" s="299">
        <f t="shared" si="78"/>
        <v>15</v>
      </c>
      <c r="Q988" s="40">
        <v>100</v>
      </c>
      <c r="R988" s="40">
        <v>10</v>
      </c>
      <c r="S988" s="40"/>
      <c r="T988" s="105">
        <f t="shared" si="77"/>
        <v>1.5</v>
      </c>
      <c r="U988" s="105">
        <f t="shared" si="79"/>
        <v>1.5</v>
      </c>
      <c r="V988" s="104">
        <f>IFERROR(VLOOKUP(L988,'Raw material list'!$A$2:$S$3102,6,0),0)</f>
        <v>5.0000000000000001E-4</v>
      </c>
      <c r="W988" s="104">
        <f t="shared" si="80"/>
        <v>7.5000000000000002E-4</v>
      </c>
    </row>
    <row r="989" spans="1:23" s="79" customFormat="1" hidden="1" x14ac:dyDescent="0.55000000000000004">
      <c r="A989" s="41" t="s">
        <v>1552</v>
      </c>
      <c r="B989" s="41" t="s">
        <v>35</v>
      </c>
      <c r="C989" s="41" t="s">
        <v>10</v>
      </c>
      <c r="D989" s="58" t="str">
        <f t="shared" si="81"/>
        <v>Butter Chicken Sause</v>
      </c>
      <c r="E989" s="58" t="s">
        <v>1536</v>
      </c>
      <c r="F989" s="58" t="s">
        <v>2079</v>
      </c>
      <c r="G989" s="41" t="s">
        <v>11</v>
      </c>
      <c r="H989" s="58" t="s">
        <v>1774</v>
      </c>
      <c r="I989" s="58"/>
      <c r="J989" s="41"/>
      <c r="K989" s="41" t="str">
        <f>IFERROR(VLOOKUP(L989,'Raw material list'!$A$3:$C$715,3,0),"")</f>
        <v>DRS1-978</v>
      </c>
      <c r="L989" s="58" t="s">
        <v>56</v>
      </c>
      <c r="M989" s="40" t="s">
        <v>156</v>
      </c>
      <c r="N989" s="40" t="str">
        <f>VLOOKUP(L989,'Raw material list'!$A$3:$E$715,5,0)</f>
        <v xml:space="preserve">Gram </v>
      </c>
      <c r="O989" s="40">
        <v>15</v>
      </c>
      <c r="P989" s="299">
        <f t="shared" si="78"/>
        <v>15</v>
      </c>
      <c r="Q989" s="40">
        <v>100</v>
      </c>
      <c r="R989" s="40">
        <v>10</v>
      </c>
      <c r="S989" s="40"/>
      <c r="T989" s="105">
        <f t="shared" si="77"/>
        <v>1.5</v>
      </c>
      <c r="U989" s="105">
        <f t="shared" si="79"/>
        <v>1.5</v>
      </c>
      <c r="V989" s="104">
        <f>IFERROR(VLOOKUP(L989,'Raw material list'!$A$2:$S$3102,6,0),0)</f>
        <v>2.3999999999999998E-3</v>
      </c>
      <c r="W989" s="104">
        <f t="shared" si="80"/>
        <v>3.5999999999999999E-3</v>
      </c>
    </row>
    <row r="990" spans="1:23" s="79" customFormat="1" hidden="1" x14ac:dyDescent="0.55000000000000004">
      <c r="A990" s="41" t="s">
        <v>1552</v>
      </c>
      <c r="B990" s="41" t="s">
        <v>35</v>
      </c>
      <c r="C990" s="41" t="s">
        <v>10</v>
      </c>
      <c r="D990" s="58" t="str">
        <f t="shared" si="81"/>
        <v>Butter Chicken Sause</v>
      </c>
      <c r="E990" s="58" t="s">
        <v>1536</v>
      </c>
      <c r="F990" s="58" t="s">
        <v>2079</v>
      </c>
      <c r="G990" s="41" t="s">
        <v>11</v>
      </c>
      <c r="H990" s="58" t="s">
        <v>1774</v>
      </c>
      <c r="I990" s="58"/>
      <c r="J990" s="41"/>
      <c r="K990" s="41" t="str">
        <f>IFERROR(VLOOKUP(L990,'Raw material list'!$A$3:$C$715,3,0),"")</f>
        <v>DRY2-1858</v>
      </c>
      <c r="L990" s="58" t="s">
        <v>60</v>
      </c>
      <c r="M990" s="40" t="s">
        <v>206</v>
      </c>
      <c r="N990" s="40" t="str">
        <f>VLOOKUP(L990,'Raw material list'!$A$3:$E$715,5,0)</f>
        <v>Ml</v>
      </c>
      <c r="O990" s="40">
        <v>300</v>
      </c>
      <c r="P990" s="299">
        <f t="shared" si="78"/>
        <v>300</v>
      </c>
      <c r="Q990" s="40">
        <v>100</v>
      </c>
      <c r="R990" s="40">
        <v>10</v>
      </c>
      <c r="S990" s="40"/>
      <c r="T990" s="105">
        <f t="shared" si="77"/>
        <v>30</v>
      </c>
      <c r="U990" s="105">
        <f t="shared" si="79"/>
        <v>30</v>
      </c>
      <c r="V990" s="104">
        <f>IFERROR(VLOOKUP(L990,'Raw material list'!$A$2:$S$3102,6,0),0)</f>
        <v>9.8800000000000016E-3</v>
      </c>
      <c r="W990" s="104">
        <f t="shared" si="80"/>
        <v>0.29640000000000005</v>
      </c>
    </row>
    <row r="991" spans="1:23" s="79" customFormat="1" hidden="1" x14ac:dyDescent="0.55000000000000004">
      <c r="A991" s="41" t="s">
        <v>1552</v>
      </c>
      <c r="B991" s="41" t="s">
        <v>35</v>
      </c>
      <c r="C991" s="41" t="s">
        <v>10</v>
      </c>
      <c r="D991" s="58" t="str">
        <f t="shared" si="81"/>
        <v>Butter Chicken Sause</v>
      </c>
      <c r="E991" s="58" t="s">
        <v>1536</v>
      </c>
      <c r="F991" s="58" t="s">
        <v>2079</v>
      </c>
      <c r="G991" s="41" t="s">
        <v>11</v>
      </c>
      <c r="H991" s="58" t="s">
        <v>1774</v>
      </c>
      <c r="I991" s="58"/>
      <c r="J991" s="41"/>
      <c r="K991" s="41" t="str">
        <f>IFERROR(VLOOKUP(L991,'Raw material list'!$A$3:$C$715,3,0),"")</f>
        <v>TAP-00001</v>
      </c>
      <c r="L991" s="58" t="s">
        <v>1405</v>
      </c>
      <c r="M991" s="40" t="s">
        <v>206</v>
      </c>
      <c r="N991" s="40" t="str">
        <f>VLOOKUP(L991,'Raw material list'!$A$3:$E$715,5,0)</f>
        <v>Ml</v>
      </c>
      <c r="O991" s="40">
        <v>500</v>
      </c>
      <c r="P991" s="299">
        <f t="shared" si="78"/>
        <v>500</v>
      </c>
      <c r="Q991" s="40">
        <v>100</v>
      </c>
      <c r="R991" s="40">
        <v>10</v>
      </c>
      <c r="S991" s="40"/>
      <c r="T991" s="105">
        <f t="shared" si="77"/>
        <v>50</v>
      </c>
      <c r="U991" s="105">
        <f t="shared" si="79"/>
        <v>50</v>
      </c>
      <c r="V991" s="104">
        <f>IFERROR(VLOOKUP(L991,'Raw material list'!$A$2:$S$3102,6,0),0)</f>
        <v>8.0000000000000007E-5</v>
      </c>
      <c r="W991" s="104">
        <f t="shared" si="80"/>
        <v>4.0000000000000001E-3</v>
      </c>
    </row>
    <row r="992" spans="1:23" s="79" customFormat="1" hidden="1" x14ac:dyDescent="0.55000000000000004">
      <c r="A992" s="41" t="s">
        <v>1552</v>
      </c>
      <c r="B992" s="41" t="s">
        <v>35</v>
      </c>
      <c r="C992" s="41" t="s">
        <v>10</v>
      </c>
      <c r="D992" s="58" t="str">
        <f t="shared" si="81"/>
        <v>Butter Chicken Sause</v>
      </c>
      <c r="E992" s="58" t="s">
        <v>1536</v>
      </c>
      <c r="F992" s="58" t="s">
        <v>2079</v>
      </c>
      <c r="G992" s="41" t="s">
        <v>11</v>
      </c>
      <c r="H992" s="58" t="s">
        <v>1774</v>
      </c>
      <c r="I992" s="58"/>
      <c r="J992" s="41"/>
      <c r="K992" s="41" t="str">
        <f>IFERROR(VLOOKUP(L992,'Raw material list'!$A$3:$C$715,3,0),"")</f>
        <v>PRD1-195</v>
      </c>
      <c r="L992" s="58" t="s">
        <v>90</v>
      </c>
      <c r="M992" s="40" t="s">
        <v>156</v>
      </c>
      <c r="N992" s="40" t="str">
        <f>VLOOKUP(L992,'Raw material list'!$A$3:$E$715,5,0)</f>
        <v xml:space="preserve">Gram </v>
      </c>
      <c r="O992" s="40">
        <v>40</v>
      </c>
      <c r="P992" s="299">
        <f t="shared" si="78"/>
        <v>93.749999999999986</v>
      </c>
      <c r="Q992" s="105">
        <v>42.666666666666671</v>
      </c>
      <c r="R992" s="40">
        <v>10</v>
      </c>
      <c r="S992" s="40"/>
      <c r="T992" s="105">
        <f t="shared" si="77"/>
        <v>4</v>
      </c>
      <c r="U992" s="105">
        <f t="shared" si="79"/>
        <v>9.3749999999999982</v>
      </c>
      <c r="V992" s="104">
        <f>IFERROR(VLOOKUP(L992,'Raw material list'!$A$2:$S$3102,6,0),0)</f>
        <v>9.3676814988290415E-3</v>
      </c>
      <c r="W992" s="104">
        <f t="shared" si="80"/>
        <v>8.7822014051522249E-2</v>
      </c>
    </row>
    <row r="993" spans="1:23" s="79" customFormat="1" hidden="1" x14ac:dyDescent="0.55000000000000004">
      <c r="A993" s="41" t="s">
        <v>1552</v>
      </c>
      <c r="B993" s="41" t="s">
        <v>35</v>
      </c>
      <c r="C993" s="41" t="s">
        <v>10</v>
      </c>
      <c r="D993" s="58" t="str">
        <f t="shared" si="81"/>
        <v>Butter Chicken Sause</v>
      </c>
      <c r="E993" s="58" t="s">
        <v>1536</v>
      </c>
      <c r="F993" s="58" t="s">
        <v>2079</v>
      </c>
      <c r="G993" s="41" t="s">
        <v>11</v>
      </c>
      <c r="H993" s="58" t="s">
        <v>1774</v>
      </c>
      <c r="I993" s="58"/>
      <c r="J993" s="41"/>
      <c r="K993" s="41" t="str">
        <f>IFERROR(VLOOKUP(L993,'Raw material list'!$A$3:$C$715,3,0),"")</f>
        <v>PRD1-1028</v>
      </c>
      <c r="L993" s="58" t="s">
        <v>1541</v>
      </c>
      <c r="M993" s="40" t="s">
        <v>156</v>
      </c>
      <c r="N993" s="40" t="str">
        <f>VLOOKUP(L993,'Raw material list'!$A$3:$E$715,5,0)</f>
        <v xml:space="preserve">Gram </v>
      </c>
      <c r="O993" s="40">
        <v>5</v>
      </c>
      <c r="P993" s="299">
        <f t="shared" si="78"/>
        <v>8.3333333333333321</v>
      </c>
      <c r="Q993" s="105">
        <v>60</v>
      </c>
      <c r="R993" s="40">
        <v>10</v>
      </c>
      <c r="S993" s="40"/>
      <c r="T993" s="105">
        <f t="shared" si="77"/>
        <v>0.5</v>
      </c>
      <c r="U993" s="105">
        <f t="shared" si="79"/>
        <v>0.83333333333333326</v>
      </c>
      <c r="V993" s="104">
        <f>IFERROR(VLOOKUP(L993,'Raw material list'!$A$2:$S$3102,6,0),0)</f>
        <v>0.04</v>
      </c>
      <c r="W993" s="104">
        <f t="shared" si="80"/>
        <v>3.3333333333333333E-2</v>
      </c>
    </row>
    <row r="994" spans="1:23" s="79" customFormat="1" hidden="1" x14ac:dyDescent="0.55000000000000004">
      <c r="A994" s="41" t="s">
        <v>1552</v>
      </c>
      <c r="B994" s="41" t="s">
        <v>35</v>
      </c>
      <c r="C994" s="41" t="s">
        <v>10</v>
      </c>
      <c r="D994" s="58" t="str">
        <f t="shared" si="81"/>
        <v>Butter Chicken Sause</v>
      </c>
      <c r="E994" s="58" t="s">
        <v>1536</v>
      </c>
      <c r="F994" s="58" t="s">
        <v>2079</v>
      </c>
      <c r="G994" s="41" t="s">
        <v>11</v>
      </c>
      <c r="H994" s="58" t="s">
        <v>1774</v>
      </c>
      <c r="I994" s="58"/>
      <c r="J994" s="41"/>
      <c r="K994" s="41" t="str">
        <f>IFERROR(VLOOKUP(L994,'Raw material list'!$A$3:$C$715,3,0),"")</f>
        <v>DRS6-4418</v>
      </c>
      <c r="L994" s="58" t="s">
        <v>122</v>
      </c>
      <c r="M994" s="40" t="s">
        <v>156</v>
      </c>
      <c r="N994" s="40" t="str">
        <f>VLOOKUP(L994,'Raw material list'!$A$3:$E$715,5,0)</f>
        <v xml:space="preserve">Gram </v>
      </c>
      <c r="O994" s="40">
        <v>10</v>
      </c>
      <c r="P994" s="299">
        <f t="shared" si="78"/>
        <v>10</v>
      </c>
      <c r="Q994" s="300">
        <v>100</v>
      </c>
      <c r="R994" s="40">
        <v>10</v>
      </c>
      <c r="S994" s="40"/>
      <c r="T994" s="105">
        <f t="shared" si="77"/>
        <v>1</v>
      </c>
      <c r="U994" s="105">
        <f t="shared" si="79"/>
        <v>1</v>
      </c>
      <c r="V994" s="104">
        <f>IFERROR(VLOOKUP(L994,'Raw material list'!$A$2:$S$3102,6,0),0)</f>
        <v>3.2000000000000001E-2</v>
      </c>
      <c r="W994" s="104">
        <f t="shared" si="80"/>
        <v>3.2000000000000001E-2</v>
      </c>
    </row>
    <row r="995" spans="1:23" s="79" customFormat="1" hidden="1" x14ac:dyDescent="0.55000000000000004">
      <c r="A995" s="41" t="s">
        <v>1552</v>
      </c>
      <c r="B995" s="41" t="s">
        <v>35</v>
      </c>
      <c r="C995" s="41" t="s">
        <v>10</v>
      </c>
      <c r="D995" s="58" t="str">
        <f t="shared" si="81"/>
        <v>Butter Chicken Sause</v>
      </c>
      <c r="E995" s="58" t="s">
        <v>1536</v>
      </c>
      <c r="F995" s="58" t="s">
        <v>2079</v>
      </c>
      <c r="G995" s="41" t="s">
        <v>11</v>
      </c>
      <c r="H995" s="58" t="s">
        <v>1774</v>
      </c>
      <c r="I995" s="58"/>
      <c r="J995" s="41"/>
      <c r="K995" s="41" t="str">
        <f>IFERROR(VLOOKUP(L995,'Raw material list'!$A$3:$C$715,3,0),"")</f>
        <v>PRD1-204</v>
      </c>
      <c r="L995" s="58" t="s">
        <v>81</v>
      </c>
      <c r="M995" s="40" t="s">
        <v>156</v>
      </c>
      <c r="N995" s="40" t="str">
        <f>VLOOKUP(L995,'Raw material list'!$A$3:$E$715,5,0)</f>
        <v xml:space="preserve">Gram </v>
      </c>
      <c r="O995" s="40">
        <v>25</v>
      </c>
      <c r="P995" s="299">
        <f t="shared" si="78"/>
        <v>30.120481927710845</v>
      </c>
      <c r="Q995" s="105">
        <v>83</v>
      </c>
      <c r="R995" s="40">
        <v>10</v>
      </c>
      <c r="S995" s="40"/>
      <c r="T995" s="105">
        <f t="shared" si="77"/>
        <v>2.5</v>
      </c>
      <c r="U995" s="105">
        <f t="shared" si="79"/>
        <v>3.0120481927710845</v>
      </c>
      <c r="V995" s="104">
        <f>IFERROR(VLOOKUP(L995,'Raw material list'!$A$2:$S$3102,6,0),0)</f>
        <v>8.4337349397590362E-3</v>
      </c>
      <c r="W995" s="104">
        <f t="shared" si="80"/>
        <v>2.5402816083611557E-2</v>
      </c>
    </row>
    <row r="996" spans="1:23" s="79" customFormat="1" hidden="1" x14ac:dyDescent="0.55000000000000004">
      <c r="A996" s="41" t="s">
        <v>1552</v>
      </c>
      <c r="B996" s="41" t="s">
        <v>35</v>
      </c>
      <c r="C996" s="41" t="s">
        <v>10</v>
      </c>
      <c r="D996" s="58" t="str">
        <f t="shared" si="81"/>
        <v>Butter Chicken Sause</v>
      </c>
      <c r="E996" s="58" t="s">
        <v>1536</v>
      </c>
      <c r="F996" s="58" t="s">
        <v>2079</v>
      </c>
      <c r="G996" s="41" t="s">
        <v>11</v>
      </c>
      <c r="H996" s="58" t="s">
        <v>1774</v>
      </c>
      <c r="I996" s="58"/>
      <c r="J996" s="41"/>
      <c r="K996" s="41" t="str">
        <f>IFERROR(VLOOKUP(L996,'Raw material list'!$A$3:$C$715,3,0),"")</f>
        <v>DRS4-498</v>
      </c>
      <c r="L996" s="58" t="s">
        <v>72</v>
      </c>
      <c r="M996" s="40" t="s">
        <v>156</v>
      </c>
      <c r="N996" s="40" t="str">
        <f>VLOOKUP(L996,'Raw material list'!$A$3:$E$715,5,0)</f>
        <v xml:space="preserve">Gram </v>
      </c>
      <c r="O996" s="40">
        <v>1000</v>
      </c>
      <c r="P996" s="299">
        <f t="shared" si="78"/>
        <v>1000</v>
      </c>
      <c r="Q996" s="300">
        <v>100</v>
      </c>
      <c r="R996" s="40">
        <v>10</v>
      </c>
      <c r="S996" s="40"/>
      <c r="T996" s="105">
        <f t="shared" si="77"/>
        <v>100</v>
      </c>
      <c r="U996" s="105">
        <f t="shared" si="79"/>
        <v>100</v>
      </c>
      <c r="V996" s="104">
        <f>IFERROR(VLOOKUP(L996,'Raw material list'!$A$2:$S$3102,6,0),0)</f>
        <v>5.7499999999999999E-3</v>
      </c>
      <c r="W996" s="104">
        <f t="shared" si="80"/>
        <v>0.57499999999999996</v>
      </c>
    </row>
    <row r="997" spans="1:23" s="79" customFormat="1" hidden="1" x14ac:dyDescent="0.55000000000000004">
      <c r="A997" s="41" t="s">
        <v>1552</v>
      </c>
      <c r="B997" s="41" t="s">
        <v>35</v>
      </c>
      <c r="C997" s="41" t="s">
        <v>10</v>
      </c>
      <c r="D997" s="58" t="str">
        <f t="shared" si="81"/>
        <v>Butter Chicken Sause</v>
      </c>
      <c r="E997" s="58" t="s">
        <v>1536</v>
      </c>
      <c r="F997" s="58" t="s">
        <v>2079</v>
      </c>
      <c r="G997" s="41" t="s">
        <v>11</v>
      </c>
      <c r="H997" s="58" t="s">
        <v>1774</v>
      </c>
      <c r="I997" s="58"/>
      <c r="J997" s="41"/>
      <c r="K997" s="41" t="str">
        <f>IFERROR(VLOOKUP(L997,'Raw material list'!$A$3:$C$715,3,0),"")</f>
        <v>DRS3-1813</v>
      </c>
      <c r="L997" s="58" t="s">
        <v>69</v>
      </c>
      <c r="M997" s="40" t="s">
        <v>206</v>
      </c>
      <c r="N997" s="40" t="str">
        <f>VLOOKUP(L997,'Raw material list'!$A$3:$E$715,5,0)</f>
        <v>Ml</v>
      </c>
      <c r="O997" s="40">
        <v>40</v>
      </c>
      <c r="P997" s="299">
        <f t="shared" si="78"/>
        <v>40</v>
      </c>
      <c r="Q997" s="40">
        <v>100</v>
      </c>
      <c r="R997" s="40">
        <v>10</v>
      </c>
      <c r="S997" s="40"/>
      <c r="T997" s="105">
        <f t="shared" si="77"/>
        <v>4</v>
      </c>
      <c r="U997" s="105">
        <f t="shared" si="79"/>
        <v>4</v>
      </c>
      <c r="V997" s="104">
        <f>IFERROR(VLOOKUP(L997,'Raw material list'!$A$2:$S$3102,6,0),0)</f>
        <v>8.0555555555555554E-3</v>
      </c>
      <c r="W997" s="104">
        <f t="shared" si="80"/>
        <v>3.2222222222222222E-2</v>
      </c>
    </row>
    <row r="998" spans="1:23" s="79" customFormat="1" hidden="1" x14ac:dyDescent="0.55000000000000004">
      <c r="A998" s="41" t="s">
        <v>1552</v>
      </c>
      <c r="B998" s="41" t="s">
        <v>35</v>
      </c>
      <c r="C998" s="41" t="s">
        <v>10</v>
      </c>
      <c r="D998" s="58" t="str">
        <f t="shared" si="81"/>
        <v>Butter Chicken Sause</v>
      </c>
      <c r="E998" s="58" t="s">
        <v>1536</v>
      </c>
      <c r="F998" s="58" t="s">
        <v>2079</v>
      </c>
      <c r="G998" s="41" t="s">
        <v>11</v>
      </c>
      <c r="H998" s="58" t="s">
        <v>1774</v>
      </c>
      <c r="I998" s="58"/>
      <c r="J998" s="41"/>
      <c r="K998" s="41" t="str">
        <f>IFERROR(VLOOKUP(L998,'Raw material list'!$A$3:$C$715,3,0),"")</f>
        <v>TAP-00001</v>
      </c>
      <c r="L998" s="58" t="s">
        <v>1405</v>
      </c>
      <c r="M998" s="40" t="s">
        <v>206</v>
      </c>
      <c r="N998" s="40" t="str">
        <f>VLOOKUP(L998,'Raw material list'!$A$3:$E$715,5,0)</f>
        <v>Ml</v>
      </c>
      <c r="O998" s="40">
        <v>1600</v>
      </c>
      <c r="P998" s="299">
        <f t="shared" si="78"/>
        <v>1600</v>
      </c>
      <c r="Q998" s="40">
        <v>100</v>
      </c>
      <c r="R998" s="40">
        <v>10</v>
      </c>
      <c r="S998" s="40"/>
      <c r="T998" s="105">
        <f t="shared" si="77"/>
        <v>160</v>
      </c>
      <c r="U998" s="105">
        <f t="shared" si="79"/>
        <v>160</v>
      </c>
      <c r="V998" s="104">
        <f>IFERROR(VLOOKUP(L998,'Raw material list'!$A$2:$S$3102,6,0),0)</f>
        <v>8.0000000000000007E-5</v>
      </c>
      <c r="W998" s="104">
        <f t="shared" si="80"/>
        <v>1.2800000000000001E-2</v>
      </c>
    </row>
    <row r="999" spans="1:23" s="79" customFormat="1" hidden="1" x14ac:dyDescent="0.55000000000000004">
      <c r="A999" s="41" t="s">
        <v>1552</v>
      </c>
      <c r="B999" s="41" t="s">
        <v>35</v>
      </c>
      <c r="C999" s="41" t="s">
        <v>10</v>
      </c>
      <c r="D999" s="58" t="str">
        <f t="shared" si="81"/>
        <v>Butter Chicken Sause</v>
      </c>
      <c r="E999" s="58" t="s">
        <v>1536</v>
      </c>
      <c r="F999" s="58" t="s">
        <v>2079</v>
      </c>
      <c r="G999" s="41" t="s">
        <v>11</v>
      </c>
      <c r="H999" s="58" t="s">
        <v>1774</v>
      </c>
      <c r="I999" s="58"/>
      <c r="J999" s="41"/>
      <c r="K999" s="41" t="str">
        <f>IFERROR(VLOOKUP(L999,'Raw material list'!$A$3:$C$715,3,0),"")</f>
        <v>DRS6-3593</v>
      </c>
      <c r="L999" s="58" t="s">
        <v>1407</v>
      </c>
      <c r="M999" s="40" t="s">
        <v>156</v>
      </c>
      <c r="N999" s="40" t="str">
        <f>VLOOKUP(L999,'Raw material list'!$A$3:$E$715,5,0)</f>
        <v xml:space="preserve">Gram </v>
      </c>
      <c r="O999" s="40">
        <v>1</v>
      </c>
      <c r="P999" s="299">
        <f t="shared" si="78"/>
        <v>1</v>
      </c>
      <c r="Q999" s="40">
        <v>100</v>
      </c>
      <c r="R999" s="40">
        <v>10</v>
      </c>
      <c r="S999" s="40"/>
      <c r="T999" s="105">
        <f t="shared" si="77"/>
        <v>0.1</v>
      </c>
      <c r="U999" s="105">
        <f t="shared" si="79"/>
        <v>0.1</v>
      </c>
      <c r="V999" s="104">
        <f>IFERROR(VLOOKUP(L999,'Raw material list'!$A$2:$S$3102,6,0),0)</f>
        <v>8.0000000000000002E-3</v>
      </c>
      <c r="W999" s="104">
        <f t="shared" si="80"/>
        <v>8.0000000000000004E-4</v>
      </c>
    </row>
    <row r="1000" spans="1:23" s="79" customFormat="1" hidden="1" x14ac:dyDescent="0.55000000000000004">
      <c r="A1000" s="41" t="s">
        <v>1552</v>
      </c>
      <c r="B1000" s="41" t="s">
        <v>35</v>
      </c>
      <c r="C1000" s="41" t="s">
        <v>10</v>
      </c>
      <c r="D1000" s="58" t="str">
        <f t="shared" si="81"/>
        <v>Butter Chicken Sause</v>
      </c>
      <c r="E1000" s="58" t="s">
        <v>1536</v>
      </c>
      <c r="F1000" s="58" t="s">
        <v>2079</v>
      </c>
      <c r="G1000" s="41" t="s">
        <v>11</v>
      </c>
      <c r="H1000" s="58" t="s">
        <v>1774</v>
      </c>
      <c r="I1000" s="58"/>
      <c r="J1000" s="41"/>
      <c r="K1000" s="41" t="str">
        <f>IFERROR(VLOOKUP(L1000,'Raw material list'!$A$3:$C$715,3,0),"")</f>
        <v>DRS6-261</v>
      </c>
      <c r="L1000" s="58" t="s">
        <v>1406</v>
      </c>
      <c r="M1000" s="40" t="s">
        <v>156</v>
      </c>
      <c r="N1000" s="40" t="str">
        <f>VLOOKUP(L1000,'Raw material list'!$A$3:$E$715,5,0)</f>
        <v xml:space="preserve">Gram </v>
      </c>
      <c r="O1000" s="40">
        <v>2</v>
      </c>
      <c r="P1000" s="299">
        <f t="shared" si="78"/>
        <v>2</v>
      </c>
      <c r="Q1000" s="40">
        <v>100</v>
      </c>
      <c r="R1000" s="40">
        <v>10</v>
      </c>
      <c r="S1000" s="40"/>
      <c r="T1000" s="105">
        <f t="shared" si="77"/>
        <v>0.2</v>
      </c>
      <c r="U1000" s="105">
        <f t="shared" si="79"/>
        <v>0.2</v>
      </c>
      <c r="V1000" s="104">
        <f>IFERROR(VLOOKUP(L1000,'Raw material list'!$A$2:$S$3102,6,0),0)</f>
        <v>1.4E-2</v>
      </c>
      <c r="W1000" s="104">
        <f t="shared" si="80"/>
        <v>2.8000000000000004E-3</v>
      </c>
    </row>
    <row r="1001" spans="1:23" s="79" customFormat="1" hidden="1" x14ac:dyDescent="0.55000000000000004">
      <c r="A1001" s="41" t="s">
        <v>1553</v>
      </c>
      <c r="B1001" s="41" t="s">
        <v>35</v>
      </c>
      <c r="C1001" s="41" t="s">
        <v>10</v>
      </c>
      <c r="D1001" s="58" t="s">
        <v>1542</v>
      </c>
      <c r="E1001" s="58" t="s">
        <v>1536</v>
      </c>
      <c r="F1001" s="58" t="s">
        <v>2079</v>
      </c>
      <c r="G1001" s="41" t="s">
        <v>11</v>
      </c>
      <c r="H1001" s="58" t="s">
        <v>1773</v>
      </c>
      <c r="I1001" s="58"/>
      <c r="J1001" s="41"/>
      <c r="K1001" s="41" t="str">
        <f>IFERROR(VLOOKUP(L1001,'Raw material list'!$A$3:$C$715,3,0),"")</f>
        <v>BKR1-4332</v>
      </c>
      <c r="L1001" s="58" t="s">
        <v>159</v>
      </c>
      <c r="M1001" s="40" t="s">
        <v>48</v>
      </c>
      <c r="N1001" s="40" t="str">
        <f>VLOOKUP(L1001,'Raw material list'!$A$3:$E$715,5,0)</f>
        <v>Each</v>
      </c>
      <c r="O1001" s="40">
        <v>10</v>
      </c>
      <c r="P1001" s="299">
        <f t="shared" si="78"/>
        <v>10</v>
      </c>
      <c r="Q1001" s="40">
        <v>100</v>
      </c>
      <c r="R1001" s="40">
        <v>10</v>
      </c>
      <c r="S1001" s="40"/>
      <c r="T1001" s="105">
        <f t="shared" si="77"/>
        <v>1</v>
      </c>
      <c r="U1001" s="105">
        <f t="shared" si="79"/>
        <v>1</v>
      </c>
      <c r="V1001" s="104">
        <f>IFERROR(VLOOKUP(L1001,'Raw material list'!$A$2:$S$3102,6,0),0)</f>
        <v>0.55833333333333335</v>
      </c>
      <c r="W1001" s="104">
        <f t="shared" si="80"/>
        <v>0.55833333333333335</v>
      </c>
    </row>
    <row r="1002" spans="1:23" s="79" customFormat="1" hidden="1" x14ac:dyDescent="0.55000000000000004">
      <c r="A1002" s="41" t="s">
        <v>1553</v>
      </c>
      <c r="B1002" s="41" t="s">
        <v>35</v>
      </c>
      <c r="C1002" s="41" t="s">
        <v>10</v>
      </c>
      <c r="D1002" s="58" t="str">
        <f t="shared" ref="D1002:D1014" si="82">D1001</f>
        <v>Chicken Burger with Potato</v>
      </c>
      <c r="E1002" s="58" t="s">
        <v>1536</v>
      </c>
      <c r="F1002" s="58" t="s">
        <v>2079</v>
      </c>
      <c r="G1002" s="41" t="s">
        <v>11</v>
      </c>
      <c r="H1002" s="58" t="s">
        <v>1773</v>
      </c>
      <c r="I1002" s="58"/>
      <c r="J1002" s="41"/>
      <c r="K1002" s="41" t="str">
        <f>IFERROR(VLOOKUP(L1002,'Raw material list'!$A$3:$C$715,3,0),"")</f>
        <v>DRS3-1813</v>
      </c>
      <c r="L1002" s="58" t="s">
        <v>69</v>
      </c>
      <c r="M1002" s="40" t="s">
        <v>206</v>
      </c>
      <c r="N1002" s="40" t="str">
        <f>VLOOKUP(L1002,'Raw material list'!$A$3:$E$715,5,0)</f>
        <v>Ml</v>
      </c>
      <c r="O1002" s="40">
        <v>200</v>
      </c>
      <c r="P1002" s="299">
        <f t="shared" si="78"/>
        <v>200</v>
      </c>
      <c r="Q1002" s="40">
        <v>100</v>
      </c>
      <c r="R1002" s="40">
        <v>10</v>
      </c>
      <c r="S1002" s="40"/>
      <c r="T1002" s="105">
        <f t="shared" si="77"/>
        <v>20</v>
      </c>
      <c r="U1002" s="105">
        <f t="shared" si="79"/>
        <v>20</v>
      </c>
      <c r="V1002" s="104">
        <f>IFERROR(VLOOKUP(L1002,'Raw material list'!$A$2:$S$3102,6,0),0)</f>
        <v>8.0555555555555554E-3</v>
      </c>
      <c r="W1002" s="104">
        <f t="shared" si="80"/>
        <v>0.16111111111111109</v>
      </c>
    </row>
    <row r="1003" spans="1:23" s="79" customFormat="1" hidden="1" x14ac:dyDescent="0.55000000000000004">
      <c r="A1003" s="41" t="s">
        <v>1553</v>
      </c>
      <c r="B1003" s="41" t="s">
        <v>35</v>
      </c>
      <c r="C1003" s="41" t="s">
        <v>10</v>
      </c>
      <c r="D1003" s="58" t="str">
        <f t="shared" si="82"/>
        <v>Chicken Burger with Potato</v>
      </c>
      <c r="E1003" s="58" t="s">
        <v>1536</v>
      </c>
      <c r="F1003" s="58" t="s">
        <v>2079</v>
      </c>
      <c r="G1003" s="41" t="s">
        <v>11</v>
      </c>
      <c r="H1003" s="58" t="s">
        <v>1773</v>
      </c>
      <c r="I1003" s="58"/>
      <c r="J1003" s="41"/>
      <c r="K1003" s="41" t="str">
        <f>IFERROR(VLOOKUP(L1003,'Raw material list'!$A$3:$C$715,3,0),"")</f>
        <v>DRS1-58</v>
      </c>
      <c r="L1003" s="58" t="s">
        <v>779</v>
      </c>
      <c r="M1003" s="40" t="s">
        <v>156</v>
      </c>
      <c r="N1003" s="40" t="str">
        <f>VLOOKUP(L1003,'Raw material list'!$A$3:$E$715,5,0)</f>
        <v xml:space="preserve">Gram </v>
      </c>
      <c r="O1003" s="40">
        <v>150</v>
      </c>
      <c r="P1003" s="299">
        <f t="shared" si="78"/>
        <v>150</v>
      </c>
      <c r="Q1003" s="40">
        <v>100</v>
      </c>
      <c r="R1003" s="40">
        <v>10</v>
      </c>
      <c r="S1003" s="40"/>
      <c r="T1003" s="105">
        <f t="shared" si="77"/>
        <v>15</v>
      </c>
      <c r="U1003" s="105">
        <f t="shared" si="79"/>
        <v>15</v>
      </c>
      <c r="V1003" s="104">
        <f>IFERROR(VLOOKUP(L1003,'Raw material list'!$A$2:$S$3102,6,0),0)</f>
        <v>6.4814814814814813E-3</v>
      </c>
      <c r="W1003" s="104">
        <f t="shared" si="80"/>
        <v>9.7222222222222224E-2</v>
      </c>
    </row>
    <row r="1004" spans="1:23" s="79" customFormat="1" hidden="1" x14ac:dyDescent="0.55000000000000004">
      <c r="A1004" s="41" t="s">
        <v>1553</v>
      </c>
      <c r="B1004" s="41" t="s">
        <v>35</v>
      </c>
      <c r="C1004" s="41" t="s">
        <v>10</v>
      </c>
      <c r="D1004" s="58" t="str">
        <f t="shared" si="82"/>
        <v>Chicken Burger with Potato</v>
      </c>
      <c r="E1004" s="58" t="s">
        <v>1536</v>
      </c>
      <c r="F1004" s="58" t="s">
        <v>2079</v>
      </c>
      <c r="G1004" s="41" t="s">
        <v>11</v>
      </c>
      <c r="H1004" s="58" t="s">
        <v>1773</v>
      </c>
      <c r="I1004" s="58"/>
      <c r="J1004" s="41"/>
      <c r="K1004" s="41" t="str">
        <f>IFERROR(VLOOKUP(L1004,'Raw material list'!$A$3:$C$715,3,0),"")</f>
        <v>PRD1-572</v>
      </c>
      <c r="L1004" s="58" t="s">
        <v>54</v>
      </c>
      <c r="M1004" s="40" t="s">
        <v>156</v>
      </c>
      <c r="N1004" s="40" t="str">
        <f>VLOOKUP(L1004,'Raw material list'!$A$3:$E$715,5,0)</f>
        <v xml:space="preserve">Gram </v>
      </c>
      <c r="O1004" s="40">
        <v>250</v>
      </c>
      <c r="P1004" s="299">
        <f t="shared" si="78"/>
        <v>283.33962976955036</v>
      </c>
      <c r="Q1004" s="105">
        <v>88.233333333333348</v>
      </c>
      <c r="R1004" s="40">
        <v>10</v>
      </c>
      <c r="S1004" s="40"/>
      <c r="T1004" s="105">
        <f t="shared" si="77"/>
        <v>25</v>
      </c>
      <c r="U1004" s="105">
        <f t="shared" si="79"/>
        <v>28.333962976955036</v>
      </c>
      <c r="V1004" s="104">
        <f>IFERROR(VLOOKUP(L1004,'Raw material list'!$A$2:$S$3102,6,0),0)</f>
        <v>4.5351473922902496E-3</v>
      </c>
      <c r="W1004" s="104">
        <f t="shared" si="80"/>
        <v>0.12849869830818611</v>
      </c>
    </row>
    <row r="1005" spans="1:23" s="79" customFormat="1" hidden="1" x14ac:dyDescent="0.55000000000000004">
      <c r="A1005" s="41" t="s">
        <v>1553</v>
      </c>
      <c r="B1005" s="41" t="s">
        <v>35</v>
      </c>
      <c r="C1005" s="41" t="s">
        <v>10</v>
      </c>
      <c r="D1005" s="58" t="str">
        <f t="shared" si="82"/>
        <v>Chicken Burger with Potato</v>
      </c>
      <c r="E1005" s="58" t="s">
        <v>1536</v>
      </c>
      <c r="F1005" s="58" t="s">
        <v>2079</v>
      </c>
      <c r="G1005" s="41" t="s">
        <v>11</v>
      </c>
      <c r="H1005" s="58" t="s">
        <v>1773</v>
      </c>
      <c r="I1005" s="58"/>
      <c r="J1005" s="41"/>
      <c r="K1005" s="41" t="str">
        <f>IFERROR(VLOOKUP(L1005,'Raw material list'!$A$3:$C$715,3,0),"")</f>
        <v>DRY1-3385</v>
      </c>
      <c r="L1005" s="58" t="s">
        <v>335</v>
      </c>
      <c r="M1005" s="40" t="s">
        <v>156</v>
      </c>
      <c r="N1005" s="40" t="str">
        <f>VLOOKUP(L1005,'Raw material list'!$A$3:$E$715,5,0)</f>
        <v xml:space="preserve">Gram </v>
      </c>
      <c r="O1005" s="40">
        <v>160</v>
      </c>
      <c r="P1005" s="299">
        <f t="shared" si="78"/>
        <v>160</v>
      </c>
      <c r="Q1005" s="300">
        <v>100</v>
      </c>
      <c r="R1005" s="40">
        <v>10</v>
      </c>
      <c r="S1005" s="40"/>
      <c r="T1005" s="105">
        <f t="shared" si="77"/>
        <v>16</v>
      </c>
      <c r="U1005" s="105">
        <f t="shared" si="79"/>
        <v>16</v>
      </c>
      <c r="V1005" s="104">
        <f>IFERROR(VLOOKUP(L1005,'Raw material list'!$A$2:$S$3102,6,0),0)</f>
        <v>3.1E-2</v>
      </c>
      <c r="W1005" s="104">
        <f t="shared" si="80"/>
        <v>0.496</v>
      </c>
    </row>
    <row r="1006" spans="1:23" s="81" customFormat="1" hidden="1" x14ac:dyDescent="0.55000000000000004">
      <c r="A1006" s="41" t="s">
        <v>1553</v>
      </c>
      <c r="B1006" s="58" t="s">
        <v>35</v>
      </c>
      <c r="C1006" s="58" t="s">
        <v>10</v>
      </c>
      <c r="D1006" s="58" t="str">
        <f t="shared" si="82"/>
        <v>Chicken Burger with Potato</v>
      </c>
      <c r="E1006" s="58" t="s">
        <v>1536</v>
      </c>
      <c r="F1006" s="58" t="s">
        <v>2081</v>
      </c>
      <c r="G1006" s="41" t="s">
        <v>11</v>
      </c>
      <c r="H1006" s="58" t="s">
        <v>1773</v>
      </c>
      <c r="I1006" s="58"/>
      <c r="J1006" s="58"/>
      <c r="K1006" s="58" t="str">
        <f>IFERROR(VLOOKUP(L1006,'Raw material list'!$A$3:$C$715,3,0),"")</f>
        <v>PLT2-1045</v>
      </c>
      <c r="L1006" s="58" t="s">
        <v>868</v>
      </c>
      <c r="M1006" s="58" t="s">
        <v>156</v>
      </c>
      <c r="N1006" s="40" t="str">
        <f>VLOOKUP(L1006,'Raw material list'!$A$3:$E$715,5,0)</f>
        <v xml:space="preserve">Gram </v>
      </c>
      <c r="O1006" s="93">
        <v>850</v>
      </c>
      <c r="P1006" s="299">
        <f t="shared" si="78"/>
        <v>1115.4855643044621</v>
      </c>
      <c r="Q1006" s="58">
        <v>76.2</v>
      </c>
      <c r="R1006" s="93">
        <v>10</v>
      </c>
      <c r="S1006" s="93"/>
      <c r="T1006" s="105">
        <f t="shared" si="77"/>
        <v>85</v>
      </c>
      <c r="U1006" s="105">
        <f t="shared" si="79"/>
        <v>111.54855643044621</v>
      </c>
      <c r="V1006" s="104">
        <f>IFERROR(VLOOKUP(L1006,'Raw material list'!$A$2:$S$3102,6,0),0)</f>
        <v>2.185792349726776E-2</v>
      </c>
      <c r="W1006" s="104">
        <f t="shared" si="80"/>
        <v>2.4382198126873487</v>
      </c>
    </row>
    <row r="1007" spans="1:23" s="81" customFormat="1" hidden="1" x14ac:dyDescent="0.55000000000000004">
      <c r="A1007" s="41" t="s">
        <v>1553</v>
      </c>
      <c r="B1007" s="58" t="s">
        <v>35</v>
      </c>
      <c r="C1007" s="58" t="s">
        <v>10</v>
      </c>
      <c r="D1007" s="58" t="str">
        <f t="shared" si="82"/>
        <v>Chicken Burger with Potato</v>
      </c>
      <c r="E1007" s="58" t="s">
        <v>1536</v>
      </c>
      <c r="F1007" s="58" t="s">
        <v>2081</v>
      </c>
      <c r="G1007" s="41" t="s">
        <v>11</v>
      </c>
      <c r="H1007" s="58" t="s">
        <v>1773</v>
      </c>
      <c r="I1007" s="58"/>
      <c r="J1007" s="58"/>
      <c r="K1007" s="58" t="str">
        <f>IFERROR(VLOOKUP(L1007,'Raw material list'!$A$3:$C$715,3,0),"")</f>
        <v>PLT2-3278</v>
      </c>
      <c r="L1007" s="58" t="s">
        <v>80</v>
      </c>
      <c r="M1007" s="58" t="s">
        <v>156</v>
      </c>
      <c r="N1007" s="40" t="str">
        <f>VLOOKUP(L1007,'Raw material list'!$A$3:$E$715,5,0)</f>
        <v xml:space="preserve">Gram </v>
      </c>
      <c r="O1007" s="93">
        <v>160</v>
      </c>
      <c r="P1007" s="299">
        <f t="shared" si="78"/>
        <v>209.9737532808399</v>
      </c>
      <c r="Q1007" s="58">
        <v>76.2</v>
      </c>
      <c r="R1007" s="93">
        <v>10</v>
      </c>
      <c r="S1007" s="93"/>
      <c r="T1007" s="105">
        <f t="shared" si="77"/>
        <v>16</v>
      </c>
      <c r="U1007" s="105">
        <f t="shared" si="79"/>
        <v>20.99737532808399</v>
      </c>
      <c r="V1007" s="104">
        <f>IFERROR(VLOOKUP(L1007,'Raw material list'!$A$2:$S$3102,6,0),0)</f>
        <v>3.0357142857142853E-2</v>
      </c>
      <c r="W1007" s="104">
        <f t="shared" si="80"/>
        <v>0.63742032245969249</v>
      </c>
    </row>
    <row r="1008" spans="1:23" s="81" customFormat="1" hidden="1" x14ac:dyDescent="0.55000000000000004">
      <c r="A1008" s="41" t="s">
        <v>1553</v>
      </c>
      <c r="B1008" s="58" t="s">
        <v>35</v>
      </c>
      <c r="C1008" s="58" t="s">
        <v>10</v>
      </c>
      <c r="D1008" s="58" t="str">
        <f t="shared" si="82"/>
        <v>Chicken Burger with Potato</v>
      </c>
      <c r="E1008" s="58" t="s">
        <v>1536</v>
      </c>
      <c r="F1008" s="58" t="s">
        <v>2079</v>
      </c>
      <c r="G1008" s="41" t="s">
        <v>11</v>
      </c>
      <c r="H1008" s="58" t="s">
        <v>1773</v>
      </c>
      <c r="I1008" s="58"/>
      <c r="J1008" s="58"/>
      <c r="K1008" s="58" t="str">
        <f>IFERROR(VLOOKUP(L1008,'Raw material list'!$A$3:$C$715,3,0),"")</f>
        <v>DRS1-3880</v>
      </c>
      <c r="L1008" s="58" t="s">
        <v>1433</v>
      </c>
      <c r="M1008" s="58" t="s">
        <v>156</v>
      </c>
      <c r="N1008" s="40" t="str">
        <f>VLOOKUP(L1008,'Raw material list'!$A$3:$E$715,5,0)</f>
        <v xml:space="preserve">Gram </v>
      </c>
      <c r="O1008" s="93">
        <v>5</v>
      </c>
      <c r="P1008" s="299">
        <f t="shared" si="78"/>
        <v>5</v>
      </c>
      <c r="Q1008" s="58">
        <v>100</v>
      </c>
      <c r="R1008" s="93">
        <v>10</v>
      </c>
      <c r="S1008" s="93"/>
      <c r="T1008" s="105">
        <f t="shared" si="77"/>
        <v>0.5</v>
      </c>
      <c r="U1008" s="105">
        <f t="shared" si="79"/>
        <v>0.5</v>
      </c>
      <c r="V1008" s="104">
        <f>IFERROR(VLOOKUP(L1008,'Raw material list'!$A$2:$S$3102,6,0),0)</f>
        <v>5.0000000000000001E-4</v>
      </c>
      <c r="W1008" s="104">
        <f t="shared" si="80"/>
        <v>2.5000000000000001E-4</v>
      </c>
    </row>
    <row r="1009" spans="1:23" s="81" customFormat="1" hidden="1" x14ac:dyDescent="0.55000000000000004">
      <c r="A1009" s="41" t="s">
        <v>1553</v>
      </c>
      <c r="B1009" s="58" t="s">
        <v>35</v>
      </c>
      <c r="C1009" s="58" t="s">
        <v>10</v>
      </c>
      <c r="D1009" s="58" t="str">
        <f t="shared" si="82"/>
        <v>Chicken Burger with Potato</v>
      </c>
      <c r="E1009" s="58" t="s">
        <v>1536</v>
      </c>
      <c r="F1009" s="58" t="s">
        <v>2079</v>
      </c>
      <c r="G1009" s="41" t="s">
        <v>11</v>
      </c>
      <c r="H1009" s="58" t="s">
        <v>1773</v>
      </c>
      <c r="I1009" s="58"/>
      <c r="J1009" s="58"/>
      <c r="K1009" s="58" t="str">
        <f>IFERROR(VLOOKUP(L1009,'Raw material list'!$A$3:$C$715,3,0),"")</f>
        <v>PRD1-4265</v>
      </c>
      <c r="L1009" s="58" t="s">
        <v>38</v>
      </c>
      <c r="M1009" s="58" t="s">
        <v>156</v>
      </c>
      <c r="N1009" s="40" t="str">
        <f>VLOOKUP(L1009,'Raw material list'!$A$3:$E$715,5,0)</f>
        <v xml:space="preserve">Gram </v>
      </c>
      <c r="O1009" s="93">
        <v>50</v>
      </c>
      <c r="P1009" s="299">
        <f t="shared" si="78"/>
        <v>58.82352941176471</v>
      </c>
      <c r="Q1009" s="105">
        <v>85</v>
      </c>
      <c r="R1009" s="93">
        <v>10</v>
      </c>
      <c r="S1009" s="93"/>
      <c r="T1009" s="105">
        <f t="shared" si="77"/>
        <v>5</v>
      </c>
      <c r="U1009" s="105">
        <f t="shared" si="79"/>
        <v>5.882352941176471</v>
      </c>
      <c r="V1009" s="104">
        <f>IFERROR(VLOOKUP(L1009,'Raw material list'!$A$2:$S$3102,6,0),0)</f>
        <v>3.529411764705882E-3</v>
      </c>
      <c r="W1009" s="104">
        <f t="shared" si="80"/>
        <v>2.0761245674740483E-2</v>
      </c>
    </row>
    <row r="1010" spans="1:23" s="81" customFormat="1" hidden="1" x14ac:dyDescent="0.55000000000000004">
      <c r="A1010" s="41" t="s">
        <v>1553</v>
      </c>
      <c r="B1010" s="58" t="s">
        <v>35</v>
      </c>
      <c r="C1010" s="58" t="s">
        <v>10</v>
      </c>
      <c r="D1010" s="58" t="str">
        <f t="shared" si="82"/>
        <v>Chicken Burger with Potato</v>
      </c>
      <c r="E1010" s="58" t="s">
        <v>1536</v>
      </c>
      <c r="F1010" s="58" t="s">
        <v>2079</v>
      </c>
      <c r="G1010" s="41" t="s">
        <v>11</v>
      </c>
      <c r="H1010" s="58" t="s">
        <v>1773</v>
      </c>
      <c r="I1010" s="58"/>
      <c r="J1010" s="58"/>
      <c r="K1010" s="58" t="str">
        <f>IFERROR(VLOOKUP(L1010,'Raw material list'!$A$3:$C$715,3,0),"")</f>
        <v>DRS6-309</v>
      </c>
      <c r="L1010" s="58" t="s">
        <v>61</v>
      </c>
      <c r="M1010" s="58" t="s">
        <v>156</v>
      </c>
      <c r="N1010" s="40" t="str">
        <f>VLOOKUP(L1010,'Raw material list'!$A$3:$E$715,5,0)</f>
        <v xml:space="preserve">Gram </v>
      </c>
      <c r="O1010" s="93">
        <v>2</v>
      </c>
      <c r="P1010" s="299">
        <f t="shared" si="78"/>
        <v>2</v>
      </c>
      <c r="Q1010" s="302">
        <v>100</v>
      </c>
      <c r="R1010" s="93">
        <v>10</v>
      </c>
      <c r="S1010" s="93"/>
      <c r="T1010" s="105">
        <f t="shared" si="77"/>
        <v>0.2</v>
      </c>
      <c r="U1010" s="105">
        <f t="shared" si="79"/>
        <v>0.2</v>
      </c>
      <c r="V1010" s="104">
        <f>IFERROR(VLOOKUP(L1010,'Raw material list'!$A$2:$S$3102,6,0),0)</f>
        <v>2.8000000000000001E-2</v>
      </c>
      <c r="W1010" s="104">
        <f t="shared" si="80"/>
        <v>5.6000000000000008E-3</v>
      </c>
    </row>
    <row r="1011" spans="1:23" s="81" customFormat="1" hidden="1" x14ac:dyDescent="0.55000000000000004">
      <c r="A1011" s="41" t="s">
        <v>1553</v>
      </c>
      <c r="B1011" s="58" t="s">
        <v>35</v>
      </c>
      <c r="C1011" s="58" t="s">
        <v>10</v>
      </c>
      <c r="D1011" s="58" t="str">
        <f t="shared" si="82"/>
        <v>Chicken Burger with Potato</v>
      </c>
      <c r="E1011" s="58" t="s">
        <v>1536</v>
      </c>
      <c r="F1011" s="58" t="s">
        <v>2079</v>
      </c>
      <c r="G1011" s="41" t="s">
        <v>11</v>
      </c>
      <c r="H1011" s="58" t="s">
        <v>1773</v>
      </c>
      <c r="I1011" s="58"/>
      <c r="J1011" s="58"/>
      <c r="K1011" s="58" t="str">
        <f>IFERROR(VLOOKUP(L1011,'Raw material list'!$A$3:$C$715,3,0),"")</f>
        <v>PRD1-204</v>
      </c>
      <c r="L1011" s="58" t="s">
        <v>81</v>
      </c>
      <c r="M1011" s="58" t="s">
        <v>156</v>
      </c>
      <c r="N1011" s="40" t="str">
        <f>VLOOKUP(L1011,'Raw material list'!$A$3:$E$715,5,0)</f>
        <v xml:space="preserve">Gram </v>
      </c>
      <c r="O1011" s="93">
        <v>10</v>
      </c>
      <c r="P1011" s="299">
        <f t="shared" si="78"/>
        <v>12.048192771084338</v>
      </c>
      <c r="Q1011" s="105">
        <v>83</v>
      </c>
      <c r="R1011" s="93">
        <v>10</v>
      </c>
      <c r="S1011" s="93"/>
      <c r="T1011" s="105">
        <f t="shared" si="77"/>
        <v>1</v>
      </c>
      <c r="U1011" s="105">
        <f t="shared" si="79"/>
        <v>1.2048192771084338</v>
      </c>
      <c r="V1011" s="104">
        <f>IFERROR(VLOOKUP(L1011,'Raw material list'!$A$2:$S$3102,6,0),0)</f>
        <v>8.4337349397590362E-3</v>
      </c>
      <c r="W1011" s="104">
        <f t="shared" si="80"/>
        <v>1.0161126433444623E-2</v>
      </c>
    </row>
    <row r="1012" spans="1:23" s="81" customFormat="1" hidden="1" x14ac:dyDescent="0.55000000000000004">
      <c r="A1012" s="41" t="s">
        <v>1553</v>
      </c>
      <c r="B1012" s="58" t="s">
        <v>35</v>
      </c>
      <c r="C1012" s="58" t="s">
        <v>10</v>
      </c>
      <c r="D1012" s="58" t="str">
        <f t="shared" si="82"/>
        <v>Chicken Burger with Potato</v>
      </c>
      <c r="E1012" s="58" t="s">
        <v>1536</v>
      </c>
      <c r="F1012" s="58" t="s">
        <v>2079</v>
      </c>
      <c r="G1012" s="41" t="s">
        <v>11</v>
      </c>
      <c r="H1012" s="58" t="s">
        <v>1773</v>
      </c>
      <c r="I1012" s="58"/>
      <c r="J1012" s="58"/>
      <c r="K1012" s="58" t="str">
        <f>IFERROR(VLOOKUP(L1012,'Raw material list'!$A$3:$C$715,3,0),"")</f>
        <v>DRS1-1549</v>
      </c>
      <c r="L1012" s="58" t="s">
        <v>294</v>
      </c>
      <c r="M1012" s="58" t="s">
        <v>156</v>
      </c>
      <c r="N1012" s="40" t="str">
        <f>VLOOKUP(L1012,'Raw material list'!$A$3:$E$715,5,0)</f>
        <v xml:space="preserve">Gram </v>
      </c>
      <c r="O1012" s="93">
        <v>15</v>
      </c>
      <c r="P1012" s="299">
        <f t="shared" si="78"/>
        <v>15</v>
      </c>
      <c r="Q1012" s="302">
        <v>100</v>
      </c>
      <c r="R1012" s="93">
        <v>10</v>
      </c>
      <c r="S1012" s="93"/>
      <c r="T1012" s="105">
        <f t="shared" si="77"/>
        <v>1.5</v>
      </c>
      <c r="U1012" s="105">
        <f t="shared" si="79"/>
        <v>1.5</v>
      </c>
      <c r="V1012" s="104">
        <f>IFERROR(VLOOKUP(L1012,'Raw material list'!$A$2:$S$3102,6,0),0)</f>
        <v>7.5966850828729279E-3</v>
      </c>
      <c r="W1012" s="104">
        <f t="shared" si="80"/>
        <v>1.1395027624309391E-2</v>
      </c>
    </row>
    <row r="1013" spans="1:23" s="81" customFormat="1" hidden="1" x14ac:dyDescent="0.55000000000000004">
      <c r="A1013" s="41" t="s">
        <v>1553</v>
      </c>
      <c r="B1013" s="58" t="s">
        <v>35</v>
      </c>
      <c r="C1013" s="58" t="s">
        <v>10</v>
      </c>
      <c r="D1013" s="58" t="str">
        <f t="shared" si="82"/>
        <v>Chicken Burger with Potato</v>
      </c>
      <c r="E1013" s="58" t="s">
        <v>1536</v>
      </c>
      <c r="F1013" s="58" t="s">
        <v>2079</v>
      </c>
      <c r="G1013" s="41" t="s">
        <v>11</v>
      </c>
      <c r="H1013" s="58" t="s">
        <v>1773</v>
      </c>
      <c r="I1013" s="58"/>
      <c r="J1013" s="58"/>
      <c r="K1013" s="58" t="str">
        <f>IFERROR(VLOOKUP(L1013,'Raw material list'!$A$3:$C$715,3,0),"")</f>
        <v>BKR1-4011</v>
      </c>
      <c r="L1013" s="58" t="s">
        <v>154</v>
      </c>
      <c r="M1013" s="58" t="s">
        <v>156</v>
      </c>
      <c r="N1013" s="40" t="str">
        <f>VLOOKUP(L1013,'Raw material list'!$A$3:$E$715,5,0)</f>
        <v xml:space="preserve">Gram </v>
      </c>
      <c r="O1013" s="93">
        <v>85</v>
      </c>
      <c r="P1013" s="299">
        <f t="shared" si="78"/>
        <v>85</v>
      </c>
      <c r="Q1013" s="58">
        <v>100</v>
      </c>
      <c r="R1013" s="93">
        <v>10</v>
      </c>
      <c r="S1013" s="93"/>
      <c r="T1013" s="105">
        <f t="shared" si="77"/>
        <v>8.5</v>
      </c>
      <c r="U1013" s="105">
        <f t="shared" si="79"/>
        <v>8.5</v>
      </c>
      <c r="V1013" s="104">
        <f>IFERROR(VLOOKUP(L1013,'Raw material list'!$A$2:$S$3102,6,0),0)</f>
        <v>2.1999999999999999E-2</v>
      </c>
      <c r="W1013" s="104">
        <f t="shared" si="80"/>
        <v>0.187</v>
      </c>
    </row>
    <row r="1014" spans="1:23" s="81" customFormat="1" hidden="1" x14ac:dyDescent="0.55000000000000004">
      <c r="A1014" s="41" t="s">
        <v>1553</v>
      </c>
      <c r="B1014" s="58" t="s">
        <v>35</v>
      </c>
      <c r="C1014" s="58" t="s">
        <v>10</v>
      </c>
      <c r="D1014" s="81" t="str">
        <f t="shared" si="82"/>
        <v>Chicken Burger with Potato</v>
      </c>
      <c r="E1014" s="58" t="s">
        <v>1536</v>
      </c>
      <c r="F1014" s="58" t="s">
        <v>2079</v>
      </c>
      <c r="G1014" s="41" t="s">
        <v>11</v>
      </c>
      <c r="H1014" s="58" t="s">
        <v>1773</v>
      </c>
      <c r="I1014" s="58"/>
      <c r="J1014" s="58"/>
      <c r="K1014" s="58" t="str">
        <f>IFERROR(VLOOKUP(L1014,'Raw material list'!$A$3:$C$715,3,0),"")</f>
        <v>PRD2-1166</v>
      </c>
      <c r="L1014" s="58" t="s">
        <v>1470</v>
      </c>
      <c r="M1014" s="58" t="s">
        <v>156</v>
      </c>
      <c r="N1014" s="40" t="str">
        <f>VLOOKUP(L1014,'Raw material list'!$A$3:$E$715,5,0)</f>
        <v xml:space="preserve">Gram </v>
      </c>
      <c r="O1014" s="93">
        <v>750</v>
      </c>
      <c r="P1014" s="299">
        <f t="shared" si="78"/>
        <v>750</v>
      </c>
      <c r="Q1014" s="58">
        <v>100</v>
      </c>
      <c r="R1014" s="93">
        <v>10</v>
      </c>
      <c r="S1014" s="93"/>
      <c r="T1014" s="105">
        <f t="shared" ref="T1014:T1077" si="83">IFERROR(O1014/R1014,0)</f>
        <v>75</v>
      </c>
      <c r="U1014" s="105">
        <f t="shared" si="79"/>
        <v>75</v>
      </c>
      <c r="V1014" s="104">
        <f>IFERROR(VLOOKUP(L1014,'Raw material list'!$A$2:$S$3102,6,0),0)</f>
        <v>1.0500000000000001E-2</v>
      </c>
      <c r="W1014" s="104">
        <f t="shared" si="80"/>
        <v>0.78750000000000009</v>
      </c>
    </row>
    <row r="1015" spans="1:23" s="81" customFormat="1" hidden="1" x14ac:dyDescent="0.55000000000000004">
      <c r="A1015" s="41" t="s">
        <v>1554</v>
      </c>
      <c r="B1015" s="58" t="s">
        <v>35</v>
      </c>
      <c r="C1015" s="58" t="s">
        <v>10</v>
      </c>
      <c r="D1015" s="58" t="s">
        <v>1543</v>
      </c>
      <c r="E1015" s="58" t="s">
        <v>1536</v>
      </c>
      <c r="F1015" s="58" t="s">
        <v>2079</v>
      </c>
      <c r="G1015" s="41" t="s">
        <v>11</v>
      </c>
      <c r="H1015" s="58" t="s">
        <v>1793</v>
      </c>
      <c r="I1015" s="58"/>
      <c r="J1015" s="58"/>
      <c r="K1015" s="58" t="str">
        <f>IFERROR(VLOOKUP(L1015,'Raw material list'!$A$3:$C$715,3,0),"")</f>
        <v>DRS2-4321</v>
      </c>
      <c r="L1015" s="58" t="s">
        <v>107</v>
      </c>
      <c r="M1015" s="58" t="s">
        <v>156</v>
      </c>
      <c r="N1015" s="40" t="str">
        <f>VLOOKUP(L1015,'Raw material list'!$A$3:$E$715,5,0)</f>
        <v xml:space="preserve">Gram </v>
      </c>
      <c r="O1015" s="58">
        <v>900</v>
      </c>
      <c r="P1015" s="299">
        <f t="shared" si="78"/>
        <v>900</v>
      </c>
      <c r="Q1015" s="58">
        <v>100</v>
      </c>
      <c r="R1015" s="58">
        <v>10</v>
      </c>
      <c r="S1015" s="58"/>
      <c r="T1015" s="105">
        <f t="shared" si="83"/>
        <v>90</v>
      </c>
      <c r="U1015" s="105">
        <f t="shared" si="79"/>
        <v>90</v>
      </c>
      <c r="V1015" s="104">
        <f>IFERROR(VLOOKUP(L1015,'Raw material list'!$A$2:$S$3102,6,0),0)</f>
        <v>8.0299999999999989E-3</v>
      </c>
      <c r="W1015" s="104">
        <f t="shared" si="80"/>
        <v>0.7226999999999999</v>
      </c>
    </row>
    <row r="1016" spans="1:23" hidden="1" x14ac:dyDescent="0.55000000000000004">
      <c r="A1016" s="41" t="s">
        <v>1554</v>
      </c>
      <c r="B1016" s="58" t="s">
        <v>35</v>
      </c>
      <c r="C1016" s="58" t="s">
        <v>10</v>
      </c>
      <c r="D1016" s="76" t="str">
        <f t="shared" ref="D1016:D1024" si="84">D1015</f>
        <v>Chicken Pasta with Crème Sauce</v>
      </c>
      <c r="E1016" s="58" t="s">
        <v>1536</v>
      </c>
      <c r="F1016" s="58" t="s">
        <v>2081</v>
      </c>
      <c r="G1016" s="41" t="s">
        <v>11</v>
      </c>
      <c r="H1016" s="58" t="s">
        <v>1793</v>
      </c>
      <c r="I1016" s="76"/>
      <c r="J1016" s="76"/>
      <c r="K1016" s="58" t="str">
        <f>IFERROR(VLOOKUP(L1016,'Raw material list'!$A$3:$C$715,3,0),"")</f>
        <v>PLT2-3278</v>
      </c>
      <c r="L1016" s="76" t="s">
        <v>80</v>
      </c>
      <c r="M1016" s="80" t="s">
        <v>156</v>
      </c>
      <c r="N1016" s="40" t="str">
        <f>VLOOKUP(L1016,'Raw material list'!$A$3:$E$715,5,0)</f>
        <v xml:space="preserve">Gram </v>
      </c>
      <c r="O1016" s="80">
        <v>1000</v>
      </c>
      <c r="P1016" s="299">
        <f t="shared" si="78"/>
        <v>1312.3359580052493</v>
      </c>
      <c r="Q1016" s="80">
        <v>76.2</v>
      </c>
      <c r="R1016" s="58">
        <v>10</v>
      </c>
      <c r="S1016" s="58"/>
      <c r="T1016" s="105">
        <f t="shared" si="83"/>
        <v>100</v>
      </c>
      <c r="U1016" s="105">
        <f t="shared" si="79"/>
        <v>131.23359580052494</v>
      </c>
      <c r="V1016" s="104">
        <f>IFERROR(VLOOKUP(L1016,'Raw material list'!$A$2:$S$3102,6,0),0)</f>
        <v>3.0357142857142853E-2</v>
      </c>
      <c r="W1016" s="104">
        <f t="shared" si="80"/>
        <v>3.983877015373078</v>
      </c>
    </row>
    <row r="1017" spans="1:23" hidden="1" x14ac:dyDescent="0.55000000000000004">
      <c r="A1017" s="41" t="s">
        <v>1554</v>
      </c>
      <c r="B1017" s="58" t="s">
        <v>35</v>
      </c>
      <c r="C1017" s="58" t="s">
        <v>10</v>
      </c>
      <c r="D1017" s="76" t="str">
        <f t="shared" si="84"/>
        <v>Chicken Pasta with Crème Sauce</v>
      </c>
      <c r="E1017" s="58" t="s">
        <v>1536</v>
      </c>
      <c r="F1017" s="58" t="s">
        <v>2079</v>
      </c>
      <c r="G1017" s="41" t="s">
        <v>11</v>
      </c>
      <c r="H1017" s="58" t="s">
        <v>1793</v>
      </c>
      <c r="I1017" s="76"/>
      <c r="J1017" s="76"/>
      <c r="K1017" s="58" t="str">
        <f>IFERROR(VLOOKUP(L1017,'Raw material list'!$A$3:$C$715,3,0),"")</f>
        <v>DRS5-980</v>
      </c>
      <c r="L1017" s="76" t="s">
        <v>446</v>
      </c>
      <c r="M1017" s="80" t="s">
        <v>156</v>
      </c>
      <c r="N1017" s="40" t="str">
        <f>VLOOKUP(L1017,'Raw material list'!$A$3:$E$715,5,0)</f>
        <v xml:space="preserve">Gram </v>
      </c>
      <c r="O1017" s="80">
        <v>180</v>
      </c>
      <c r="P1017" s="299">
        <f t="shared" si="78"/>
        <v>180</v>
      </c>
      <c r="Q1017" s="80">
        <v>100</v>
      </c>
      <c r="R1017" s="58">
        <v>10</v>
      </c>
      <c r="S1017" s="58"/>
      <c r="T1017" s="105">
        <f t="shared" si="83"/>
        <v>18</v>
      </c>
      <c r="U1017" s="105">
        <f t="shared" si="79"/>
        <v>18</v>
      </c>
      <c r="V1017" s="104">
        <f>IFERROR(VLOOKUP(L1017,'Raw material list'!$A$2:$S$3102,6,0),0)</f>
        <v>1E-3</v>
      </c>
      <c r="W1017" s="104">
        <f t="shared" si="80"/>
        <v>1.8000000000000002E-2</v>
      </c>
    </row>
    <row r="1018" spans="1:23" hidden="1" x14ac:dyDescent="0.55000000000000004">
      <c r="A1018" s="41" t="s">
        <v>1554</v>
      </c>
      <c r="B1018" s="58" t="s">
        <v>35</v>
      </c>
      <c r="C1018" s="58" t="s">
        <v>10</v>
      </c>
      <c r="D1018" s="76" t="str">
        <f t="shared" si="84"/>
        <v>Chicken Pasta with Crème Sauce</v>
      </c>
      <c r="E1018" s="58" t="s">
        <v>1536</v>
      </c>
      <c r="F1018" s="58" t="s">
        <v>2079</v>
      </c>
      <c r="G1018" s="41" t="s">
        <v>11</v>
      </c>
      <c r="H1018" s="58" t="s">
        <v>1793</v>
      </c>
      <c r="I1018" s="76"/>
      <c r="J1018" s="76"/>
      <c r="K1018" s="58" t="str">
        <f>IFERROR(VLOOKUP(L1018,'Raw material list'!$A$3:$C$715,3,0),"")</f>
        <v>DRY2-1008</v>
      </c>
      <c r="L1018" s="76" t="s">
        <v>57</v>
      </c>
      <c r="M1018" s="80" t="s">
        <v>156</v>
      </c>
      <c r="N1018" s="40" t="str">
        <f>VLOOKUP(L1018,'Raw material list'!$A$3:$E$715,5,0)</f>
        <v xml:space="preserve">Gram </v>
      </c>
      <c r="O1018" s="80">
        <v>180</v>
      </c>
      <c r="P1018" s="299">
        <f t="shared" si="78"/>
        <v>180</v>
      </c>
      <c r="Q1018" s="80">
        <v>100</v>
      </c>
      <c r="R1018" s="58">
        <v>10</v>
      </c>
      <c r="S1018" s="58"/>
      <c r="T1018" s="105">
        <f t="shared" si="83"/>
        <v>18</v>
      </c>
      <c r="U1018" s="105">
        <f t="shared" si="79"/>
        <v>18</v>
      </c>
      <c r="V1018" s="104">
        <f>IFERROR(VLOOKUP(L1018,'Raw material list'!$A$2:$S$3102,6,0),0)</f>
        <v>0.03</v>
      </c>
      <c r="W1018" s="104">
        <f t="shared" si="80"/>
        <v>0.54</v>
      </c>
    </row>
    <row r="1019" spans="1:23" hidden="1" x14ac:dyDescent="0.55000000000000004">
      <c r="A1019" s="41" t="s">
        <v>1554</v>
      </c>
      <c r="B1019" s="58" t="s">
        <v>35</v>
      </c>
      <c r="C1019" s="58" t="s">
        <v>10</v>
      </c>
      <c r="D1019" s="76" t="str">
        <f t="shared" si="84"/>
        <v>Chicken Pasta with Crème Sauce</v>
      </c>
      <c r="E1019" s="58" t="s">
        <v>1536</v>
      </c>
      <c r="F1019" s="58" t="s">
        <v>2079</v>
      </c>
      <c r="G1019" s="41" t="s">
        <v>11</v>
      </c>
      <c r="H1019" s="58" t="s">
        <v>1793</v>
      </c>
      <c r="I1019" s="76"/>
      <c r="J1019" s="76"/>
      <c r="K1019" s="58" t="str">
        <f>IFERROR(VLOOKUP(L1019,'Raw material list'!$A$3:$C$715,3,0),"")</f>
        <v>DRS1-3811</v>
      </c>
      <c r="L1019" s="76" t="s">
        <v>40</v>
      </c>
      <c r="M1019" s="80" t="s">
        <v>156</v>
      </c>
      <c r="N1019" s="40" t="str">
        <f>VLOOKUP(L1019,'Raw material list'!$A$3:$E$715,5,0)</f>
        <v xml:space="preserve">Gram </v>
      </c>
      <c r="O1019" s="80">
        <v>3</v>
      </c>
      <c r="P1019" s="299">
        <f t="shared" si="78"/>
        <v>3</v>
      </c>
      <c r="Q1019" s="80">
        <v>100</v>
      </c>
      <c r="R1019" s="58">
        <v>10</v>
      </c>
      <c r="S1019" s="58"/>
      <c r="T1019" s="105">
        <f t="shared" si="83"/>
        <v>0.3</v>
      </c>
      <c r="U1019" s="105">
        <f t="shared" si="79"/>
        <v>0.3</v>
      </c>
      <c r="V1019" s="104">
        <f>IFERROR(VLOOKUP(L1019,'Raw material list'!$A$2:$S$3102,6,0),0)</f>
        <v>2.8475E-2</v>
      </c>
      <c r="W1019" s="104">
        <f t="shared" si="80"/>
        <v>8.5424999999999997E-3</v>
      </c>
    </row>
    <row r="1020" spans="1:23" hidden="1" x14ac:dyDescent="0.55000000000000004">
      <c r="A1020" s="41" t="s">
        <v>1554</v>
      </c>
      <c r="B1020" s="58" t="s">
        <v>35</v>
      </c>
      <c r="C1020" s="58" t="s">
        <v>10</v>
      </c>
      <c r="D1020" s="76" t="str">
        <f t="shared" si="84"/>
        <v>Chicken Pasta with Crème Sauce</v>
      </c>
      <c r="E1020" s="58" t="s">
        <v>1536</v>
      </c>
      <c r="F1020" s="58" t="s">
        <v>2079</v>
      </c>
      <c r="G1020" s="41" t="s">
        <v>11</v>
      </c>
      <c r="H1020" s="58" t="s">
        <v>1793</v>
      </c>
      <c r="I1020" s="76"/>
      <c r="J1020" s="76"/>
      <c r="K1020" s="58" t="str">
        <f>IFERROR(VLOOKUP(L1020,'Raw material list'!$A$3:$C$715,3,0),"")</f>
        <v>DRS6-309</v>
      </c>
      <c r="L1020" s="76" t="s">
        <v>61</v>
      </c>
      <c r="M1020" s="80" t="s">
        <v>156</v>
      </c>
      <c r="N1020" s="40" t="str">
        <f>VLOOKUP(L1020,'Raw material list'!$A$3:$E$715,5,0)</f>
        <v xml:space="preserve">Gram </v>
      </c>
      <c r="O1020" s="80">
        <v>1.5</v>
      </c>
      <c r="P1020" s="299">
        <f t="shared" si="78"/>
        <v>1.5</v>
      </c>
      <c r="Q1020" s="80">
        <v>100</v>
      </c>
      <c r="R1020" s="58">
        <v>10</v>
      </c>
      <c r="S1020" s="58"/>
      <c r="T1020" s="105">
        <f t="shared" si="83"/>
        <v>0.15</v>
      </c>
      <c r="U1020" s="105">
        <f t="shared" si="79"/>
        <v>0.15</v>
      </c>
      <c r="V1020" s="104">
        <f>IFERROR(VLOOKUP(L1020,'Raw material list'!$A$2:$S$3102,6,0),0)</f>
        <v>2.8000000000000001E-2</v>
      </c>
      <c r="W1020" s="104">
        <f t="shared" si="80"/>
        <v>4.1999999999999997E-3</v>
      </c>
    </row>
    <row r="1021" spans="1:23" hidden="1" x14ac:dyDescent="0.55000000000000004">
      <c r="A1021" s="41" t="s">
        <v>1554</v>
      </c>
      <c r="B1021" s="58" t="s">
        <v>35</v>
      </c>
      <c r="C1021" s="58" t="s">
        <v>10</v>
      </c>
      <c r="D1021" s="76" t="str">
        <f t="shared" si="84"/>
        <v>Chicken Pasta with Crème Sauce</v>
      </c>
      <c r="E1021" s="58" t="s">
        <v>1536</v>
      </c>
      <c r="F1021" s="58" t="s">
        <v>2079</v>
      </c>
      <c r="G1021" s="41" t="s">
        <v>11</v>
      </c>
      <c r="H1021" s="58" t="s">
        <v>1793</v>
      </c>
      <c r="I1021" s="76"/>
      <c r="J1021" s="76"/>
      <c r="K1021" s="58" t="str">
        <f>IFERROR(VLOOKUP(L1021,'Raw material list'!$A$3:$C$715,3,0),"")</f>
        <v>DRY2-1858</v>
      </c>
      <c r="L1021" s="76" t="s">
        <v>60</v>
      </c>
      <c r="M1021" s="80" t="s">
        <v>206</v>
      </c>
      <c r="N1021" s="40" t="str">
        <f>VLOOKUP(L1021,'Raw material list'!$A$3:$E$715,5,0)</f>
        <v>Ml</v>
      </c>
      <c r="O1021" s="80">
        <v>600</v>
      </c>
      <c r="P1021" s="299">
        <f t="shared" si="78"/>
        <v>600</v>
      </c>
      <c r="Q1021" s="80">
        <v>100</v>
      </c>
      <c r="R1021" s="58">
        <v>10</v>
      </c>
      <c r="S1021" s="58"/>
      <c r="T1021" s="105">
        <f t="shared" si="83"/>
        <v>60</v>
      </c>
      <c r="U1021" s="105">
        <f t="shared" si="79"/>
        <v>60</v>
      </c>
      <c r="V1021" s="104">
        <f>IFERROR(VLOOKUP(L1021,'Raw material list'!$A$2:$S$3102,6,0),0)</f>
        <v>9.8800000000000016E-3</v>
      </c>
      <c r="W1021" s="104">
        <f t="shared" si="80"/>
        <v>0.5928000000000001</v>
      </c>
    </row>
    <row r="1022" spans="1:23" hidden="1" x14ac:dyDescent="0.55000000000000004">
      <c r="A1022" s="41" t="s">
        <v>1554</v>
      </c>
      <c r="B1022" s="58" t="s">
        <v>35</v>
      </c>
      <c r="C1022" s="58" t="s">
        <v>10</v>
      </c>
      <c r="D1022" s="76" t="str">
        <f t="shared" si="84"/>
        <v>Chicken Pasta with Crème Sauce</v>
      </c>
      <c r="E1022" s="58" t="s">
        <v>1536</v>
      </c>
      <c r="F1022" s="58" t="s">
        <v>2079</v>
      </c>
      <c r="G1022" s="41" t="s">
        <v>11</v>
      </c>
      <c r="H1022" s="58" t="s">
        <v>1793</v>
      </c>
      <c r="I1022" s="76"/>
      <c r="J1022" s="76"/>
      <c r="K1022" s="58" t="str">
        <f>IFERROR(VLOOKUP(L1022,'Raw material list'!$A$3:$C$715,3,0),"")</f>
        <v>DRY1-602</v>
      </c>
      <c r="L1022" s="76" t="s">
        <v>63</v>
      </c>
      <c r="M1022" s="80" t="s">
        <v>156</v>
      </c>
      <c r="N1022" s="40" t="str">
        <f>VLOOKUP(L1022,'Raw material list'!$A$3:$E$715,5,0)</f>
        <v xml:space="preserve">Gram </v>
      </c>
      <c r="O1022" s="80">
        <v>25</v>
      </c>
      <c r="P1022" s="299">
        <f t="shared" si="78"/>
        <v>25</v>
      </c>
      <c r="Q1022" s="80">
        <v>100</v>
      </c>
      <c r="R1022" s="58">
        <v>10</v>
      </c>
      <c r="S1022" s="58"/>
      <c r="T1022" s="105">
        <f t="shared" si="83"/>
        <v>2.5</v>
      </c>
      <c r="U1022" s="105">
        <f t="shared" si="79"/>
        <v>2.5</v>
      </c>
      <c r="V1022" s="104">
        <f>IFERROR(VLOOKUP(L1022,'Raw material list'!$A$2:$S$3102,6,0),0)</f>
        <v>5.5E-2</v>
      </c>
      <c r="W1022" s="104">
        <f t="shared" si="80"/>
        <v>0.13750000000000001</v>
      </c>
    </row>
    <row r="1023" spans="1:23" hidden="1" x14ac:dyDescent="0.55000000000000004">
      <c r="A1023" s="41" t="s">
        <v>1554</v>
      </c>
      <c r="B1023" s="58" t="s">
        <v>35</v>
      </c>
      <c r="C1023" s="58" t="s">
        <v>10</v>
      </c>
      <c r="D1023" s="76" t="str">
        <f t="shared" si="84"/>
        <v>Chicken Pasta with Crème Sauce</v>
      </c>
      <c r="E1023" s="58" t="s">
        <v>1536</v>
      </c>
      <c r="F1023" s="58" t="s">
        <v>2079</v>
      </c>
      <c r="G1023" s="41" t="s">
        <v>11</v>
      </c>
      <c r="H1023" s="58" t="s">
        <v>1793</v>
      </c>
      <c r="I1023" s="76"/>
      <c r="J1023" s="76"/>
      <c r="K1023" s="58" t="str">
        <f>IFERROR(VLOOKUP(L1023,'Raw material list'!$A$3:$C$715,3,0),"")</f>
        <v>PRD1-4265</v>
      </c>
      <c r="L1023" s="76" t="s">
        <v>38</v>
      </c>
      <c r="M1023" s="80" t="s">
        <v>156</v>
      </c>
      <c r="N1023" s="40" t="str">
        <f>VLOOKUP(L1023,'Raw material list'!$A$3:$E$715,5,0)</f>
        <v xml:space="preserve">Gram </v>
      </c>
      <c r="O1023" s="80">
        <v>100</v>
      </c>
      <c r="P1023" s="299">
        <f t="shared" si="78"/>
        <v>117.64705882352942</v>
      </c>
      <c r="Q1023" s="105">
        <v>85</v>
      </c>
      <c r="R1023" s="58">
        <v>10</v>
      </c>
      <c r="S1023" s="58"/>
      <c r="T1023" s="105">
        <f t="shared" si="83"/>
        <v>10</v>
      </c>
      <c r="U1023" s="105">
        <f t="shared" si="79"/>
        <v>11.764705882352942</v>
      </c>
      <c r="V1023" s="104">
        <f>IFERROR(VLOOKUP(L1023,'Raw material list'!$A$2:$S$3102,6,0),0)</f>
        <v>3.529411764705882E-3</v>
      </c>
      <c r="W1023" s="104">
        <f t="shared" si="80"/>
        <v>4.1522491349480967E-2</v>
      </c>
    </row>
    <row r="1024" spans="1:23" hidden="1" x14ac:dyDescent="0.55000000000000004">
      <c r="A1024" s="41" t="s">
        <v>1554</v>
      </c>
      <c r="B1024" s="58" t="s">
        <v>35</v>
      </c>
      <c r="C1024" s="58" t="s">
        <v>10</v>
      </c>
      <c r="D1024" s="76" t="str">
        <f t="shared" si="84"/>
        <v>Chicken Pasta with Crème Sauce</v>
      </c>
      <c r="E1024" s="58" t="s">
        <v>1536</v>
      </c>
      <c r="F1024" s="58" t="s">
        <v>2079</v>
      </c>
      <c r="G1024" s="41" t="s">
        <v>11</v>
      </c>
      <c r="H1024" s="58" t="s">
        <v>1793</v>
      </c>
      <c r="I1024" s="76"/>
      <c r="J1024" s="76"/>
      <c r="K1024" s="58" t="str">
        <f>IFERROR(VLOOKUP(L1024,'Raw material list'!$A$3:$C$715,3,0),"")</f>
        <v>DRS3-1813</v>
      </c>
      <c r="L1024" s="76" t="s">
        <v>69</v>
      </c>
      <c r="M1024" s="80" t="s">
        <v>206</v>
      </c>
      <c r="N1024" s="40" t="str">
        <f>VLOOKUP(L1024,'Raw material list'!$A$3:$E$715,5,0)</f>
        <v>Ml</v>
      </c>
      <c r="O1024" s="80">
        <v>30</v>
      </c>
      <c r="P1024" s="299">
        <f t="shared" si="78"/>
        <v>30</v>
      </c>
      <c r="Q1024" s="303">
        <v>100</v>
      </c>
      <c r="R1024" s="58">
        <v>10</v>
      </c>
      <c r="S1024" s="58"/>
      <c r="T1024" s="105">
        <f t="shared" si="83"/>
        <v>3</v>
      </c>
      <c r="U1024" s="105">
        <f t="shared" si="79"/>
        <v>3</v>
      </c>
      <c r="V1024" s="104">
        <f>IFERROR(VLOOKUP(L1024,'Raw material list'!$A$2:$S$3102,6,0),0)</f>
        <v>8.0555555555555554E-3</v>
      </c>
      <c r="W1024" s="104">
        <f t="shared" si="80"/>
        <v>2.4166666666666666E-2</v>
      </c>
    </row>
    <row r="1025" spans="1:23" hidden="1" x14ac:dyDescent="0.55000000000000004">
      <c r="A1025" s="41" t="s">
        <v>1555</v>
      </c>
      <c r="B1025" s="58" t="s">
        <v>35</v>
      </c>
      <c r="C1025" s="58" t="s">
        <v>10</v>
      </c>
      <c r="D1025" s="76" t="s">
        <v>1544</v>
      </c>
      <c r="E1025" s="58" t="s">
        <v>1536</v>
      </c>
      <c r="F1025" s="58" t="s">
        <v>2081</v>
      </c>
      <c r="G1025" s="41" t="s">
        <v>11</v>
      </c>
      <c r="H1025" s="58" t="s">
        <v>1793</v>
      </c>
      <c r="I1025" s="76"/>
      <c r="J1025" s="76"/>
      <c r="K1025" s="58" t="str">
        <f>IFERROR(VLOOKUP(L1025,'Raw material list'!$A$3:$C$715,3,0),"")</f>
        <v>MET2-1051</v>
      </c>
      <c r="L1025" s="76" t="s">
        <v>113</v>
      </c>
      <c r="M1025" s="80" t="s">
        <v>156</v>
      </c>
      <c r="N1025" s="40" t="str">
        <f>VLOOKUP(L1025,'Raw material list'!$A$3:$E$715,5,0)</f>
        <v xml:space="preserve">Gram </v>
      </c>
      <c r="O1025" s="80">
        <v>800</v>
      </c>
      <c r="P1025" s="299">
        <f t="shared" si="78"/>
        <v>1556.4202334630349</v>
      </c>
      <c r="Q1025" s="80">
        <v>51.4</v>
      </c>
      <c r="R1025" s="80">
        <v>43</v>
      </c>
      <c r="S1025" s="80"/>
      <c r="T1025" s="105">
        <f t="shared" si="83"/>
        <v>18.604651162790699</v>
      </c>
      <c r="U1025" s="105">
        <f t="shared" si="79"/>
        <v>36.195819382861281</v>
      </c>
      <c r="V1025" s="104">
        <f>IFERROR(VLOOKUP(L1025,'Raw material list'!$A$2:$S$3102,6,0),0)</f>
        <v>8.4705882352941173E-2</v>
      </c>
      <c r="W1025" s="104">
        <f t="shared" si="80"/>
        <v>3.0659988183129552</v>
      </c>
    </row>
    <row r="1026" spans="1:23" hidden="1" x14ac:dyDescent="0.55000000000000004">
      <c r="A1026" s="41" t="s">
        <v>1555</v>
      </c>
      <c r="B1026" s="58" t="s">
        <v>35</v>
      </c>
      <c r="C1026" s="58" t="s">
        <v>10</v>
      </c>
      <c r="D1026" s="76" t="str">
        <f t="shared" ref="D1026:D1032" si="85">D1025</f>
        <v>Mushroom Steak Sandwich with Fries</v>
      </c>
      <c r="E1026" s="58" t="s">
        <v>1536</v>
      </c>
      <c r="F1026" s="58" t="s">
        <v>2079</v>
      </c>
      <c r="G1026" s="41" t="s">
        <v>11</v>
      </c>
      <c r="H1026" s="58" t="s">
        <v>1793</v>
      </c>
      <c r="I1026" s="76"/>
      <c r="J1026" s="76"/>
      <c r="K1026" s="58" t="str">
        <f>IFERROR(VLOOKUP(L1026,'Raw material list'!$A$3:$C$715,3,0),"")</f>
        <v>PRD1-4265</v>
      </c>
      <c r="L1026" s="76" t="s">
        <v>38</v>
      </c>
      <c r="M1026" s="80" t="s">
        <v>156</v>
      </c>
      <c r="N1026" s="40" t="str">
        <f>VLOOKUP(L1026,'Raw material list'!$A$3:$E$715,5,0)</f>
        <v xml:space="preserve">Gram </v>
      </c>
      <c r="O1026" s="80">
        <v>500</v>
      </c>
      <c r="P1026" s="299">
        <f t="shared" si="78"/>
        <v>588.23529411764707</v>
      </c>
      <c r="Q1026" s="105">
        <v>85</v>
      </c>
      <c r="R1026" s="80">
        <v>43</v>
      </c>
      <c r="S1026" s="80"/>
      <c r="T1026" s="105">
        <f t="shared" si="83"/>
        <v>11.627906976744185</v>
      </c>
      <c r="U1026" s="105">
        <f t="shared" si="79"/>
        <v>13.679890560875513</v>
      </c>
      <c r="V1026" s="104">
        <f>IFERROR(VLOOKUP(L1026,'Raw material list'!$A$2:$S$3102,6,0),0)</f>
        <v>3.529411764705882E-3</v>
      </c>
      <c r="W1026" s="104">
        <f t="shared" si="80"/>
        <v>4.8281966685442983E-2</v>
      </c>
    </row>
    <row r="1027" spans="1:23" hidden="1" x14ac:dyDescent="0.55000000000000004">
      <c r="A1027" s="41" t="s">
        <v>1555</v>
      </c>
      <c r="B1027" s="58" t="s">
        <v>35</v>
      </c>
      <c r="C1027" s="58" t="s">
        <v>10</v>
      </c>
      <c r="D1027" s="76" t="str">
        <f t="shared" si="85"/>
        <v>Mushroom Steak Sandwich with Fries</v>
      </c>
      <c r="E1027" s="58" t="s">
        <v>1536</v>
      </c>
      <c r="F1027" s="58" t="s">
        <v>2079</v>
      </c>
      <c r="G1027" s="41" t="s">
        <v>11</v>
      </c>
      <c r="H1027" s="58" t="s">
        <v>1793</v>
      </c>
      <c r="I1027" s="76"/>
      <c r="J1027" s="76"/>
      <c r="K1027" s="58" t="str">
        <f>IFERROR(VLOOKUP(L1027,'Raw material list'!$A$3:$C$715,3,0),"")</f>
        <v>PRD1-240</v>
      </c>
      <c r="L1027" s="76" t="s">
        <v>82</v>
      </c>
      <c r="M1027" s="80" t="s">
        <v>156</v>
      </c>
      <c r="N1027" s="40" t="str">
        <f>VLOOKUP(L1027,'Raw material list'!$A$3:$E$715,5,0)</f>
        <v xml:space="preserve">Gram </v>
      </c>
      <c r="O1027" s="80">
        <v>1000</v>
      </c>
      <c r="P1027" s="299">
        <f t="shared" si="78"/>
        <v>1477.8325123152713</v>
      </c>
      <c r="Q1027" s="105">
        <v>67.666666666666657</v>
      </c>
      <c r="R1027" s="80">
        <v>43</v>
      </c>
      <c r="S1027" s="80"/>
      <c r="T1027" s="105">
        <f t="shared" si="83"/>
        <v>23.255813953488371</v>
      </c>
      <c r="U1027" s="105">
        <f t="shared" si="79"/>
        <v>34.368197960820261</v>
      </c>
      <c r="V1027" s="104">
        <f>IFERROR(VLOOKUP(L1027,'Raw material list'!$A$2:$S$3102,6,0),0)</f>
        <v>1.3293943870014769E-2</v>
      </c>
      <c r="W1027" s="104">
        <f t="shared" si="80"/>
        <v>0.45688889460470061</v>
      </c>
    </row>
    <row r="1028" spans="1:23" hidden="1" x14ac:dyDescent="0.55000000000000004">
      <c r="A1028" s="41" t="s">
        <v>1555</v>
      </c>
      <c r="B1028" s="58" t="s">
        <v>35</v>
      </c>
      <c r="C1028" s="58" t="s">
        <v>10</v>
      </c>
      <c r="D1028" s="76" t="str">
        <f t="shared" si="85"/>
        <v>Mushroom Steak Sandwich with Fries</v>
      </c>
      <c r="E1028" s="58" t="s">
        <v>1536</v>
      </c>
      <c r="F1028" s="58" t="s">
        <v>2079</v>
      </c>
      <c r="G1028" s="41" t="s">
        <v>11</v>
      </c>
      <c r="H1028" s="58" t="s">
        <v>1793</v>
      </c>
      <c r="I1028" s="76"/>
      <c r="J1028" s="76"/>
      <c r="K1028" s="58" t="str">
        <f>IFERROR(VLOOKUP(L1028,'Raw material list'!$A$3:$C$715,3,0),"")</f>
        <v>DRS1-446</v>
      </c>
      <c r="L1028" s="76" t="s">
        <v>52</v>
      </c>
      <c r="M1028" s="80" t="s">
        <v>156</v>
      </c>
      <c r="N1028" s="40" t="str">
        <f>VLOOKUP(L1028,'Raw material list'!$A$3:$E$715,5,0)</f>
        <v xml:space="preserve">Gram </v>
      </c>
      <c r="O1028" s="80">
        <v>400</v>
      </c>
      <c r="P1028" s="299">
        <f t="shared" si="78"/>
        <v>400</v>
      </c>
      <c r="Q1028" s="303">
        <v>100</v>
      </c>
      <c r="R1028" s="80">
        <v>43</v>
      </c>
      <c r="S1028" s="80"/>
      <c r="T1028" s="105">
        <f t="shared" si="83"/>
        <v>9.3023255813953494</v>
      </c>
      <c r="U1028" s="105">
        <f t="shared" si="79"/>
        <v>9.3023255813953494</v>
      </c>
      <c r="V1028" s="104">
        <f>IFERROR(VLOOKUP(L1028,'Raw material list'!$A$2:$S$3102,6,0),0)</f>
        <v>1.2986807387862797E-2</v>
      </c>
      <c r="W1028" s="104">
        <f t="shared" si="80"/>
        <v>0.12080751058477021</v>
      </c>
    </row>
    <row r="1029" spans="1:23" hidden="1" x14ac:dyDescent="0.55000000000000004">
      <c r="A1029" s="41" t="s">
        <v>1555</v>
      </c>
      <c r="B1029" s="58" t="s">
        <v>35</v>
      </c>
      <c r="C1029" s="58" t="s">
        <v>10</v>
      </c>
      <c r="D1029" s="76" t="str">
        <f t="shared" si="85"/>
        <v>Mushroom Steak Sandwich with Fries</v>
      </c>
      <c r="E1029" s="58" t="s">
        <v>1536</v>
      </c>
      <c r="F1029" s="58" t="s">
        <v>2079</v>
      </c>
      <c r="G1029" s="41" t="s">
        <v>11</v>
      </c>
      <c r="H1029" s="58" t="s">
        <v>1793</v>
      </c>
      <c r="I1029" s="76"/>
      <c r="J1029" s="76"/>
      <c r="K1029" s="58" t="str">
        <f>IFERROR(VLOOKUP(L1029,'Raw material list'!$A$3:$C$715,3,0),"")</f>
        <v>DRS1-110</v>
      </c>
      <c r="L1029" s="76" t="s">
        <v>83</v>
      </c>
      <c r="M1029" s="80" t="s">
        <v>206</v>
      </c>
      <c r="N1029" s="40" t="str">
        <f>VLOOKUP(L1029,'Raw material list'!$A$3:$E$715,5,0)</f>
        <v>Ml</v>
      </c>
      <c r="O1029" s="80">
        <v>200</v>
      </c>
      <c r="P1029" s="299">
        <f t="shared" si="78"/>
        <v>200</v>
      </c>
      <c r="Q1029" s="80">
        <v>100</v>
      </c>
      <c r="R1029" s="80">
        <v>43</v>
      </c>
      <c r="S1029" s="80"/>
      <c r="T1029" s="105">
        <f t="shared" si="83"/>
        <v>4.6511627906976747</v>
      </c>
      <c r="U1029" s="105">
        <f t="shared" si="79"/>
        <v>4.6511627906976747</v>
      </c>
      <c r="V1029" s="104">
        <f>IFERROR(VLOOKUP(L1029,'Raw material list'!$A$2:$S$3102,6,0),0)</f>
        <v>1.805E-2</v>
      </c>
      <c r="W1029" s="104">
        <f t="shared" si="80"/>
        <v>8.395348837209303E-2</v>
      </c>
    </row>
    <row r="1030" spans="1:23" hidden="1" x14ac:dyDescent="0.55000000000000004">
      <c r="A1030" s="41" t="s">
        <v>1555</v>
      </c>
      <c r="B1030" s="58" t="s">
        <v>35</v>
      </c>
      <c r="C1030" s="58" t="s">
        <v>10</v>
      </c>
      <c r="D1030" s="76" t="str">
        <f t="shared" si="85"/>
        <v>Mushroom Steak Sandwich with Fries</v>
      </c>
      <c r="E1030" s="58" t="s">
        <v>1536</v>
      </c>
      <c r="F1030" s="58" t="s">
        <v>2079</v>
      </c>
      <c r="G1030" s="41" t="s">
        <v>11</v>
      </c>
      <c r="H1030" s="58" t="s">
        <v>1793</v>
      </c>
      <c r="I1030" s="76"/>
      <c r="J1030" s="76"/>
      <c r="K1030" s="58" t="str">
        <f>IFERROR(VLOOKUP(L1030,'Raw material list'!$A$3:$C$715,3,0),"")</f>
        <v>DRS1-58</v>
      </c>
      <c r="L1030" s="76" t="s">
        <v>779</v>
      </c>
      <c r="M1030" s="80" t="s">
        <v>156</v>
      </c>
      <c r="N1030" s="40" t="str">
        <f>VLOOKUP(L1030,'Raw material list'!$A$3:$E$715,5,0)</f>
        <v xml:space="preserve">Gram </v>
      </c>
      <c r="O1030" s="80">
        <v>300</v>
      </c>
      <c r="P1030" s="299">
        <f t="shared" ref="P1030:P1093" si="86">O1030/Q1030*100</f>
        <v>300</v>
      </c>
      <c r="Q1030" s="80">
        <v>100</v>
      </c>
      <c r="R1030" s="80">
        <v>43</v>
      </c>
      <c r="S1030" s="80"/>
      <c r="T1030" s="105">
        <f t="shared" si="83"/>
        <v>6.9767441860465116</v>
      </c>
      <c r="U1030" s="105">
        <f t="shared" ref="U1030:U1093" si="87">IFERROR(P1030/R1030,0)</f>
        <v>6.9767441860465116</v>
      </c>
      <c r="V1030" s="104">
        <f>IFERROR(VLOOKUP(L1030,'Raw material list'!$A$2:$S$3102,6,0),0)</f>
        <v>6.4814814814814813E-3</v>
      </c>
      <c r="W1030" s="104">
        <f t="shared" ref="W1030:W1093" si="88">IFERROR(V1030*U1030,0)</f>
        <v>4.5219638242894059E-2</v>
      </c>
    </row>
    <row r="1031" spans="1:23" hidden="1" x14ac:dyDescent="0.55000000000000004">
      <c r="A1031" s="41" t="s">
        <v>1555</v>
      </c>
      <c r="B1031" s="58" t="s">
        <v>35</v>
      </c>
      <c r="C1031" s="58" t="s">
        <v>10</v>
      </c>
      <c r="D1031" s="76" t="str">
        <f t="shared" si="85"/>
        <v>Mushroom Steak Sandwich with Fries</v>
      </c>
      <c r="E1031" s="58" t="s">
        <v>1536</v>
      </c>
      <c r="F1031" s="58" t="s">
        <v>2079</v>
      </c>
      <c r="G1031" s="41" t="s">
        <v>11</v>
      </c>
      <c r="H1031" s="58" t="s">
        <v>1793</v>
      </c>
      <c r="I1031" s="76"/>
      <c r="J1031" s="76"/>
      <c r="K1031" s="58" t="str">
        <f>IFERROR(VLOOKUP(L1031,'Raw material list'!$A$3:$C$715,3,0),"")</f>
        <v>DRY1-3385</v>
      </c>
      <c r="L1031" s="76" t="s">
        <v>335</v>
      </c>
      <c r="M1031" s="80" t="s">
        <v>156</v>
      </c>
      <c r="N1031" s="40" t="str">
        <f>VLOOKUP(L1031,'Raw material list'!$A$3:$E$715,5,0)</f>
        <v xml:space="preserve">Gram </v>
      </c>
      <c r="O1031" s="80">
        <v>430</v>
      </c>
      <c r="P1031" s="299">
        <f t="shared" si="86"/>
        <v>430</v>
      </c>
      <c r="Q1031" s="80">
        <v>100</v>
      </c>
      <c r="R1031" s="80">
        <v>43</v>
      </c>
      <c r="S1031" s="80"/>
      <c r="T1031" s="105">
        <f t="shared" si="83"/>
        <v>10</v>
      </c>
      <c r="U1031" s="105">
        <f t="shared" si="87"/>
        <v>10</v>
      </c>
      <c r="V1031" s="104">
        <f>IFERROR(VLOOKUP(L1031,'Raw material list'!$A$2:$S$3102,6,0),0)</f>
        <v>3.1E-2</v>
      </c>
      <c r="W1031" s="104">
        <f t="shared" si="88"/>
        <v>0.31</v>
      </c>
    </row>
    <row r="1032" spans="1:23" hidden="1" x14ac:dyDescent="0.55000000000000004">
      <c r="A1032" s="41" t="s">
        <v>1555</v>
      </c>
      <c r="B1032" s="58" t="s">
        <v>35</v>
      </c>
      <c r="C1032" s="58" t="s">
        <v>10</v>
      </c>
      <c r="D1032" s="76" t="str">
        <f t="shared" si="85"/>
        <v>Mushroom Steak Sandwich with Fries</v>
      </c>
      <c r="E1032" s="58" t="s">
        <v>1536</v>
      </c>
      <c r="F1032" s="58" t="s">
        <v>2079</v>
      </c>
      <c r="G1032" s="41" t="s">
        <v>11</v>
      </c>
      <c r="H1032" s="58" t="s">
        <v>1793</v>
      </c>
      <c r="I1032" s="76"/>
      <c r="J1032" s="76"/>
      <c r="K1032" s="58" t="str">
        <f>IFERROR(VLOOKUP(L1032,'Raw material list'!$A$3:$C$715,3,0),"")</f>
        <v>BKR2-5081</v>
      </c>
      <c r="L1032" s="76" t="s">
        <v>186</v>
      </c>
      <c r="M1032" s="80" t="s">
        <v>48</v>
      </c>
      <c r="N1032" s="40" t="str">
        <f>VLOOKUP(L1032,'Raw material list'!$A$3:$E$715,5,0)</f>
        <v>Each</v>
      </c>
      <c r="O1032" s="80">
        <v>43</v>
      </c>
      <c r="P1032" s="299">
        <f t="shared" si="86"/>
        <v>43</v>
      </c>
      <c r="Q1032" s="80">
        <v>100</v>
      </c>
      <c r="R1032" s="80">
        <v>43</v>
      </c>
      <c r="S1032" s="80"/>
      <c r="T1032" s="105">
        <f t="shared" si="83"/>
        <v>1</v>
      </c>
      <c r="U1032" s="105">
        <f t="shared" si="87"/>
        <v>1</v>
      </c>
      <c r="V1032" s="104">
        <f>IFERROR(VLOOKUP(L1032,'Raw material list'!$A$2:$S$3102,6,0),0)</f>
        <v>0.96666666666666656</v>
      </c>
      <c r="W1032" s="104">
        <f t="shared" si="88"/>
        <v>0.96666666666666656</v>
      </c>
    </row>
    <row r="1033" spans="1:23" hidden="1" x14ac:dyDescent="0.55000000000000004">
      <c r="A1033" s="41" t="s">
        <v>1556</v>
      </c>
      <c r="B1033" s="58" t="s">
        <v>35</v>
      </c>
      <c r="C1033" s="58" t="s">
        <v>10</v>
      </c>
      <c r="D1033" s="76" t="s">
        <v>1545</v>
      </c>
      <c r="E1033" s="58" t="s">
        <v>1536</v>
      </c>
      <c r="F1033" s="58" t="s">
        <v>2081</v>
      </c>
      <c r="G1033" s="41" t="s">
        <v>11</v>
      </c>
      <c r="H1033" s="58" t="s">
        <v>1773</v>
      </c>
      <c r="I1033" s="76"/>
      <c r="J1033" s="76"/>
      <c r="K1033" s="58" t="str">
        <f>IFERROR(VLOOKUP(L1033,'Raw material list'!$A$3:$C$715,3,0),"")</f>
        <v>PLT2-3278</v>
      </c>
      <c r="L1033" s="76" t="s">
        <v>80</v>
      </c>
      <c r="M1033" s="80" t="s">
        <v>156</v>
      </c>
      <c r="N1033" s="40" t="str">
        <f>VLOOKUP(L1033,'Raw material list'!$A$3:$E$715,5,0)</f>
        <v xml:space="preserve">Gram </v>
      </c>
      <c r="O1033" s="80">
        <v>1200</v>
      </c>
      <c r="P1033" s="299">
        <f t="shared" si="86"/>
        <v>1574.803149606299</v>
      </c>
      <c r="Q1033" s="80">
        <v>76.2</v>
      </c>
      <c r="R1033" s="80">
        <v>10</v>
      </c>
      <c r="S1033" s="80"/>
      <c r="T1033" s="105">
        <f t="shared" si="83"/>
        <v>120</v>
      </c>
      <c r="U1033" s="105">
        <f t="shared" si="87"/>
        <v>157.4803149606299</v>
      </c>
      <c r="V1033" s="104">
        <f>IFERROR(VLOOKUP(L1033,'Raw material list'!$A$2:$S$3102,6,0),0)</f>
        <v>3.0357142857142853E-2</v>
      </c>
      <c r="W1033" s="104">
        <f t="shared" si="88"/>
        <v>4.7806524184476924</v>
      </c>
    </row>
    <row r="1034" spans="1:23" hidden="1" x14ac:dyDescent="0.55000000000000004">
      <c r="A1034" s="41" t="s">
        <v>1556</v>
      </c>
      <c r="B1034" s="58" t="s">
        <v>35</v>
      </c>
      <c r="C1034" s="58" t="s">
        <v>10</v>
      </c>
      <c r="D1034" s="76" t="str">
        <f t="shared" ref="D1034:D1053" si="89">D1033</f>
        <v>Soya Sauce with BBQ</v>
      </c>
      <c r="E1034" s="58" t="s">
        <v>1536</v>
      </c>
      <c r="F1034" s="58" t="s">
        <v>2079</v>
      </c>
      <c r="G1034" s="41" t="s">
        <v>11</v>
      </c>
      <c r="H1034" s="58" t="s">
        <v>1773</v>
      </c>
      <c r="I1034" s="76"/>
      <c r="J1034" s="76"/>
      <c r="K1034" s="58" t="str">
        <f>IFERROR(VLOOKUP(L1034,'Raw material list'!$A$3:$C$715,3,0),"")</f>
        <v>DRS1-1142</v>
      </c>
      <c r="L1034" s="76" t="s">
        <v>84</v>
      </c>
      <c r="M1034" s="80" t="s">
        <v>206</v>
      </c>
      <c r="N1034" s="40" t="str">
        <f>VLOOKUP(L1034,'Raw material list'!$A$3:$E$715,5,0)</f>
        <v>Ml</v>
      </c>
      <c r="O1034" s="80">
        <v>50</v>
      </c>
      <c r="P1034" s="299">
        <f t="shared" si="86"/>
        <v>50</v>
      </c>
      <c r="Q1034" s="80">
        <v>100</v>
      </c>
      <c r="R1034" s="80">
        <v>10</v>
      </c>
      <c r="S1034" s="80"/>
      <c r="T1034" s="105">
        <f t="shared" si="83"/>
        <v>5</v>
      </c>
      <c r="U1034" s="105">
        <f t="shared" si="87"/>
        <v>5</v>
      </c>
      <c r="V1034" s="104">
        <f>IFERROR(VLOOKUP(L1034,'Raw material list'!$A$2:$S$3102,6,0),0)</f>
        <v>2.3579999999999997E-2</v>
      </c>
      <c r="W1034" s="104">
        <f t="shared" si="88"/>
        <v>0.11789999999999998</v>
      </c>
    </row>
    <row r="1035" spans="1:23" hidden="1" x14ac:dyDescent="0.55000000000000004">
      <c r="A1035" s="41" t="s">
        <v>1556</v>
      </c>
      <c r="B1035" s="58" t="s">
        <v>35</v>
      </c>
      <c r="C1035" s="58" t="s">
        <v>10</v>
      </c>
      <c r="D1035" s="76" t="str">
        <f t="shared" si="89"/>
        <v>Soya Sauce with BBQ</v>
      </c>
      <c r="E1035" s="58" t="s">
        <v>1536</v>
      </c>
      <c r="F1035" s="58" t="s">
        <v>2079</v>
      </c>
      <c r="G1035" s="41" t="s">
        <v>11</v>
      </c>
      <c r="H1035" s="58" t="s">
        <v>1773</v>
      </c>
      <c r="I1035" s="76"/>
      <c r="J1035" s="76"/>
      <c r="K1035" s="58" t="str">
        <f>IFERROR(VLOOKUP(L1035,'Raw material list'!$A$3:$C$715,3,0),"")</f>
        <v>DRS1-110</v>
      </c>
      <c r="L1035" s="76" t="s">
        <v>83</v>
      </c>
      <c r="M1035" s="80" t="s">
        <v>206</v>
      </c>
      <c r="N1035" s="40" t="str">
        <f>VLOOKUP(L1035,'Raw material list'!$A$3:$E$715,5,0)</f>
        <v>Ml</v>
      </c>
      <c r="O1035" s="80">
        <v>100</v>
      </c>
      <c r="P1035" s="299">
        <f t="shared" si="86"/>
        <v>100</v>
      </c>
      <c r="Q1035" s="80">
        <v>100</v>
      </c>
      <c r="R1035" s="80">
        <v>10</v>
      </c>
      <c r="S1035" s="80"/>
      <c r="T1035" s="105">
        <f t="shared" si="83"/>
        <v>10</v>
      </c>
      <c r="U1035" s="105">
        <f t="shared" si="87"/>
        <v>10</v>
      </c>
      <c r="V1035" s="104">
        <f>IFERROR(VLOOKUP(L1035,'Raw material list'!$A$2:$S$3102,6,0),0)</f>
        <v>1.805E-2</v>
      </c>
      <c r="W1035" s="104">
        <f t="shared" si="88"/>
        <v>0.18049999999999999</v>
      </c>
    </row>
    <row r="1036" spans="1:23" hidden="1" x14ac:dyDescent="0.55000000000000004">
      <c r="A1036" s="41" t="s">
        <v>1556</v>
      </c>
      <c r="B1036" s="58" t="s">
        <v>35</v>
      </c>
      <c r="C1036" s="58" t="s">
        <v>10</v>
      </c>
      <c r="D1036" s="76" t="str">
        <f t="shared" si="89"/>
        <v>Soya Sauce with BBQ</v>
      </c>
      <c r="E1036" s="58" t="s">
        <v>1536</v>
      </c>
      <c r="F1036" s="58" t="s">
        <v>2079</v>
      </c>
      <c r="G1036" s="41" t="s">
        <v>11</v>
      </c>
      <c r="H1036" s="58" t="s">
        <v>1773</v>
      </c>
      <c r="I1036" s="76"/>
      <c r="J1036" s="76"/>
      <c r="K1036" s="58" t="str">
        <f>IFERROR(VLOOKUP(L1036,'Raw material list'!$A$3:$C$715,3,0),"")</f>
        <v>PRD1-4265</v>
      </c>
      <c r="L1036" s="76" t="s">
        <v>38</v>
      </c>
      <c r="M1036" s="80" t="s">
        <v>156</v>
      </c>
      <c r="N1036" s="40" t="str">
        <f>VLOOKUP(L1036,'Raw material list'!$A$3:$E$715,5,0)</f>
        <v xml:space="preserve">Gram </v>
      </c>
      <c r="O1036" s="80">
        <v>200</v>
      </c>
      <c r="P1036" s="299">
        <f t="shared" si="86"/>
        <v>235.29411764705884</v>
      </c>
      <c r="Q1036" s="105">
        <v>85</v>
      </c>
      <c r="R1036" s="80">
        <v>10</v>
      </c>
      <c r="S1036" s="80"/>
      <c r="T1036" s="105">
        <f t="shared" si="83"/>
        <v>20</v>
      </c>
      <c r="U1036" s="105">
        <f t="shared" si="87"/>
        <v>23.529411764705884</v>
      </c>
      <c r="V1036" s="104">
        <f>IFERROR(VLOOKUP(L1036,'Raw material list'!$A$2:$S$3102,6,0),0)</f>
        <v>3.529411764705882E-3</v>
      </c>
      <c r="W1036" s="104">
        <f t="shared" si="88"/>
        <v>8.3044982698961933E-2</v>
      </c>
    </row>
    <row r="1037" spans="1:23" hidden="1" x14ac:dyDescent="0.55000000000000004">
      <c r="A1037" s="41" t="s">
        <v>1556</v>
      </c>
      <c r="B1037" s="58" t="s">
        <v>35</v>
      </c>
      <c r="C1037" s="58" t="s">
        <v>10</v>
      </c>
      <c r="D1037" s="76" t="str">
        <f t="shared" si="89"/>
        <v>Soya Sauce with BBQ</v>
      </c>
      <c r="E1037" s="58" t="s">
        <v>1536</v>
      </c>
      <c r="F1037" s="58" t="s">
        <v>2079</v>
      </c>
      <c r="G1037" s="41" t="s">
        <v>11</v>
      </c>
      <c r="H1037" s="58" t="s">
        <v>1773</v>
      </c>
      <c r="I1037" s="76"/>
      <c r="J1037" s="76"/>
      <c r="K1037" s="58" t="str">
        <f>IFERROR(VLOOKUP(L1037,'Raw material list'!$A$3:$C$715,3,0),"")</f>
        <v>PRD1-4327</v>
      </c>
      <c r="L1037" s="76" t="s">
        <v>39</v>
      </c>
      <c r="M1037" s="80" t="s">
        <v>156</v>
      </c>
      <c r="N1037" s="40" t="str">
        <f>VLOOKUP(L1037,'Raw material list'!$A$3:$E$715,5,0)</f>
        <v xml:space="preserve">Gram </v>
      </c>
      <c r="O1037" s="80">
        <v>15</v>
      </c>
      <c r="P1037" s="299">
        <f t="shared" si="86"/>
        <v>18.072289156626507</v>
      </c>
      <c r="Q1037" s="105">
        <v>83</v>
      </c>
      <c r="R1037" s="80">
        <v>10</v>
      </c>
      <c r="S1037" s="80"/>
      <c r="T1037" s="105">
        <f t="shared" si="83"/>
        <v>1.5</v>
      </c>
      <c r="U1037" s="105">
        <f t="shared" si="87"/>
        <v>1.8072289156626506</v>
      </c>
      <c r="V1037" s="104">
        <f>IFERROR(VLOOKUP(L1037,'Raw material list'!$A$2:$S$3102,6,0),0)</f>
        <v>1.2999999999999999E-2</v>
      </c>
      <c r="W1037" s="104">
        <f t="shared" si="88"/>
        <v>2.3493975903614458E-2</v>
      </c>
    </row>
    <row r="1038" spans="1:23" hidden="1" x14ac:dyDescent="0.55000000000000004">
      <c r="A1038" s="41" t="s">
        <v>1556</v>
      </c>
      <c r="B1038" s="58" t="s">
        <v>35</v>
      </c>
      <c r="C1038" s="58" t="s">
        <v>10</v>
      </c>
      <c r="D1038" s="76" t="str">
        <f t="shared" si="89"/>
        <v>Soya Sauce with BBQ</v>
      </c>
      <c r="E1038" s="58" t="s">
        <v>1536</v>
      </c>
      <c r="F1038" s="58" t="s">
        <v>2079</v>
      </c>
      <c r="G1038" s="41" t="s">
        <v>11</v>
      </c>
      <c r="H1038" s="58" t="s">
        <v>1773</v>
      </c>
      <c r="I1038" s="76"/>
      <c r="J1038" s="76"/>
      <c r="K1038" s="58" t="str">
        <f>IFERROR(VLOOKUP(L1038,'Raw material list'!$A$3:$C$715,3,0),"")</f>
        <v>PRD1-186</v>
      </c>
      <c r="L1038" s="76" t="s">
        <v>37</v>
      </c>
      <c r="M1038" s="80" t="s">
        <v>156</v>
      </c>
      <c r="N1038" s="40" t="str">
        <f>VLOOKUP(L1038,'Raw material list'!$A$3:$E$715,5,0)</f>
        <v xml:space="preserve">Gram </v>
      </c>
      <c r="O1038" s="80">
        <v>300</v>
      </c>
      <c r="P1038" s="299">
        <f t="shared" si="86"/>
        <v>367.34693877551018</v>
      </c>
      <c r="Q1038" s="105">
        <v>81.666666666666671</v>
      </c>
      <c r="R1038" s="80">
        <v>10</v>
      </c>
      <c r="S1038" s="80"/>
      <c r="T1038" s="105">
        <f t="shared" si="83"/>
        <v>30</v>
      </c>
      <c r="U1038" s="105">
        <f t="shared" si="87"/>
        <v>36.734693877551017</v>
      </c>
      <c r="V1038" s="104">
        <f>IFERROR(VLOOKUP(L1038,'Raw material list'!$A$2:$S$3102,6,0),0)</f>
        <v>5.8139534883720938E-3</v>
      </c>
      <c r="W1038" s="104">
        <f t="shared" si="88"/>
        <v>0.21357380161366873</v>
      </c>
    </row>
    <row r="1039" spans="1:23" hidden="1" x14ac:dyDescent="0.55000000000000004">
      <c r="A1039" s="41" t="s">
        <v>1556</v>
      </c>
      <c r="B1039" s="58" t="s">
        <v>35</v>
      </c>
      <c r="C1039" s="58" t="s">
        <v>10</v>
      </c>
      <c r="D1039" s="76" t="str">
        <f t="shared" si="89"/>
        <v>Soya Sauce with BBQ</v>
      </c>
      <c r="E1039" s="58" t="s">
        <v>1536</v>
      </c>
      <c r="F1039" s="58" t="s">
        <v>2079</v>
      </c>
      <c r="G1039" s="41" t="s">
        <v>11</v>
      </c>
      <c r="H1039" s="58" t="s">
        <v>1773</v>
      </c>
      <c r="I1039" s="76"/>
      <c r="J1039" s="76"/>
      <c r="K1039" s="58" t="str">
        <f>IFERROR(VLOOKUP(L1039,'Raw material list'!$A$3:$C$715,3,0),"")</f>
        <v>PRD1-185</v>
      </c>
      <c r="L1039" s="76" t="s">
        <v>79</v>
      </c>
      <c r="M1039" s="80" t="s">
        <v>156</v>
      </c>
      <c r="N1039" s="40" t="str">
        <f>VLOOKUP(L1039,'Raw material list'!$A$3:$E$715,5,0)</f>
        <v xml:space="preserve">Gram </v>
      </c>
      <c r="O1039" s="80">
        <v>500</v>
      </c>
      <c r="P1039" s="299">
        <f t="shared" si="86"/>
        <v>742.57425742574264</v>
      </c>
      <c r="Q1039" s="105">
        <v>67.333333333333329</v>
      </c>
      <c r="R1039" s="80">
        <v>10</v>
      </c>
      <c r="S1039" s="80"/>
      <c r="T1039" s="105">
        <f t="shared" si="83"/>
        <v>50</v>
      </c>
      <c r="U1039" s="105">
        <f t="shared" si="87"/>
        <v>74.25742574257427</v>
      </c>
      <c r="V1039" s="104">
        <f>IFERROR(VLOOKUP(L1039,'Raw material list'!$A$2:$S$3102,6,0),0)</f>
        <v>4.4576523031203555E-3</v>
      </c>
      <c r="W1039" s="104">
        <f t="shared" si="88"/>
        <v>0.33101378488517497</v>
      </c>
    </row>
    <row r="1040" spans="1:23" hidden="1" x14ac:dyDescent="0.55000000000000004">
      <c r="A1040" s="41" t="s">
        <v>1556</v>
      </c>
      <c r="B1040" s="58" t="s">
        <v>35</v>
      </c>
      <c r="C1040" s="58" t="s">
        <v>10</v>
      </c>
      <c r="D1040" s="76" t="str">
        <f t="shared" si="89"/>
        <v>Soya Sauce with BBQ</v>
      </c>
      <c r="E1040" s="58" t="s">
        <v>1536</v>
      </c>
      <c r="F1040" s="58" t="s">
        <v>2079</v>
      </c>
      <c r="G1040" s="41" t="s">
        <v>11</v>
      </c>
      <c r="H1040" s="58" t="s">
        <v>1773</v>
      </c>
      <c r="I1040" s="76"/>
      <c r="J1040" s="76"/>
      <c r="K1040" s="58" t="str">
        <f>IFERROR(VLOOKUP(L1040,'Raw material list'!$A$3:$C$715,3,0),"")</f>
        <v>PRD1-240</v>
      </c>
      <c r="L1040" s="76" t="s">
        <v>82</v>
      </c>
      <c r="M1040" s="80" t="s">
        <v>156</v>
      </c>
      <c r="N1040" s="40" t="str">
        <f>VLOOKUP(L1040,'Raw material list'!$A$3:$E$715,5,0)</f>
        <v xml:space="preserve">Gram </v>
      </c>
      <c r="O1040" s="80">
        <v>100</v>
      </c>
      <c r="P1040" s="299">
        <f t="shared" si="86"/>
        <v>147.78325123152712</v>
      </c>
      <c r="Q1040" s="105">
        <v>67.666666666666657</v>
      </c>
      <c r="R1040" s="80">
        <v>10</v>
      </c>
      <c r="S1040" s="80"/>
      <c r="T1040" s="105">
        <f t="shared" si="83"/>
        <v>10</v>
      </c>
      <c r="U1040" s="105">
        <f t="shared" si="87"/>
        <v>14.778325123152712</v>
      </c>
      <c r="V1040" s="104">
        <f>IFERROR(VLOOKUP(L1040,'Raw material list'!$A$2:$S$3102,6,0),0)</f>
        <v>1.3293943870014769E-2</v>
      </c>
      <c r="W1040" s="104">
        <f t="shared" si="88"/>
        <v>0.19646222468002125</v>
      </c>
    </row>
    <row r="1041" spans="1:23" hidden="1" x14ac:dyDescent="0.55000000000000004">
      <c r="A1041" s="41" t="s">
        <v>1556</v>
      </c>
      <c r="B1041" s="58" t="s">
        <v>35</v>
      </c>
      <c r="C1041" s="58" t="s">
        <v>10</v>
      </c>
      <c r="D1041" s="76" t="str">
        <f t="shared" si="89"/>
        <v>Soya Sauce with BBQ</v>
      </c>
      <c r="E1041" s="58" t="s">
        <v>1536</v>
      </c>
      <c r="F1041" s="58" t="s">
        <v>2079</v>
      </c>
      <c r="G1041" s="41" t="s">
        <v>11</v>
      </c>
      <c r="H1041" s="58" t="s">
        <v>1773</v>
      </c>
      <c r="I1041" s="76"/>
      <c r="J1041" s="76"/>
      <c r="K1041" s="58" t="str">
        <f>IFERROR(VLOOKUP(L1041,'Raw material list'!$A$3:$C$715,3,0),"")</f>
        <v>DRS1-2121</v>
      </c>
      <c r="L1041" s="76" t="s">
        <v>124</v>
      </c>
      <c r="M1041" s="80" t="s">
        <v>156</v>
      </c>
      <c r="N1041" s="40" t="str">
        <f>VLOOKUP(L1041,'Raw material list'!$A$3:$E$715,5,0)</f>
        <v xml:space="preserve">Gram </v>
      </c>
      <c r="O1041" s="80">
        <v>150</v>
      </c>
      <c r="P1041" s="299">
        <f t="shared" si="86"/>
        <v>150</v>
      </c>
      <c r="Q1041" s="303">
        <v>100</v>
      </c>
      <c r="R1041" s="80">
        <v>10</v>
      </c>
      <c r="S1041" s="80"/>
      <c r="T1041" s="105">
        <f t="shared" si="83"/>
        <v>15</v>
      </c>
      <c r="U1041" s="105">
        <f t="shared" si="87"/>
        <v>15</v>
      </c>
      <c r="V1041" s="104">
        <f>IFERROR(VLOOKUP(L1041,'Raw material list'!$A$2:$S$3102,6,0),0)</f>
        <v>2.0400000000000001E-2</v>
      </c>
      <c r="W1041" s="104">
        <f t="shared" si="88"/>
        <v>0.30600000000000005</v>
      </c>
    </row>
    <row r="1042" spans="1:23" hidden="1" x14ac:dyDescent="0.55000000000000004">
      <c r="A1042" s="41" t="s">
        <v>1556</v>
      </c>
      <c r="B1042" s="58" t="s">
        <v>35</v>
      </c>
      <c r="C1042" s="58" t="s">
        <v>10</v>
      </c>
      <c r="D1042" s="76" t="str">
        <f t="shared" si="89"/>
        <v>Soya Sauce with BBQ</v>
      </c>
      <c r="E1042" s="58" t="s">
        <v>1536</v>
      </c>
      <c r="F1042" s="58" t="s">
        <v>2079</v>
      </c>
      <c r="G1042" s="41" t="s">
        <v>11</v>
      </c>
      <c r="H1042" s="58" t="s">
        <v>1773</v>
      </c>
      <c r="I1042" s="76"/>
      <c r="J1042" s="76"/>
      <c r="K1042" s="58" t="str">
        <f>IFERROR(VLOOKUP(L1042,'Raw material list'!$A$3:$C$715,3,0),"")</f>
        <v>DRS1-446</v>
      </c>
      <c r="L1042" s="76" t="s">
        <v>52</v>
      </c>
      <c r="M1042" s="80" t="s">
        <v>156</v>
      </c>
      <c r="N1042" s="40" t="str">
        <f>VLOOKUP(L1042,'Raw material list'!$A$3:$E$715,5,0)</f>
        <v xml:space="preserve">Gram </v>
      </c>
      <c r="O1042" s="80">
        <v>200</v>
      </c>
      <c r="P1042" s="299">
        <f t="shared" si="86"/>
        <v>200</v>
      </c>
      <c r="Q1042" s="80">
        <v>100</v>
      </c>
      <c r="R1042" s="80">
        <v>10</v>
      </c>
      <c r="S1042" s="80"/>
      <c r="T1042" s="105">
        <f t="shared" si="83"/>
        <v>20</v>
      </c>
      <c r="U1042" s="105">
        <f t="shared" si="87"/>
        <v>20</v>
      </c>
      <c r="V1042" s="104">
        <f>IFERROR(VLOOKUP(L1042,'Raw material list'!$A$2:$S$3102,6,0),0)</f>
        <v>1.2986807387862797E-2</v>
      </c>
      <c r="W1042" s="104">
        <f t="shared" si="88"/>
        <v>0.25973614775725595</v>
      </c>
    </row>
    <row r="1043" spans="1:23" hidden="1" x14ac:dyDescent="0.55000000000000004">
      <c r="A1043" s="41" t="s">
        <v>1556</v>
      </c>
      <c r="B1043" s="58" t="s">
        <v>35</v>
      </c>
      <c r="C1043" s="58" t="s">
        <v>10</v>
      </c>
      <c r="D1043" s="76" t="str">
        <f t="shared" si="89"/>
        <v>Soya Sauce with BBQ</v>
      </c>
      <c r="E1043" s="58" t="s">
        <v>1536</v>
      </c>
      <c r="F1043" s="58" t="s">
        <v>2079</v>
      </c>
      <c r="G1043" s="41" t="s">
        <v>11</v>
      </c>
      <c r="H1043" s="58" t="s">
        <v>1773</v>
      </c>
      <c r="I1043" s="76"/>
      <c r="J1043" s="76"/>
      <c r="K1043" s="58" t="str">
        <f>IFERROR(VLOOKUP(L1043,'Raw material list'!$A$3:$C$715,3,0),"")</f>
        <v>TAP-00001</v>
      </c>
      <c r="L1043" s="76" t="s">
        <v>1405</v>
      </c>
      <c r="M1043" s="80" t="s">
        <v>206</v>
      </c>
      <c r="N1043" s="40" t="str">
        <f>VLOOKUP(L1043,'Raw material list'!$A$3:$E$715,5,0)</f>
        <v>Ml</v>
      </c>
      <c r="O1043" s="80">
        <v>200</v>
      </c>
      <c r="P1043" s="299">
        <f t="shared" si="86"/>
        <v>200</v>
      </c>
      <c r="Q1043" s="80">
        <v>100</v>
      </c>
      <c r="R1043" s="80">
        <v>10</v>
      </c>
      <c r="S1043" s="80"/>
      <c r="T1043" s="105">
        <f t="shared" si="83"/>
        <v>20</v>
      </c>
      <c r="U1043" s="105">
        <f t="shared" si="87"/>
        <v>20</v>
      </c>
      <c r="V1043" s="104">
        <f>IFERROR(VLOOKUP(L1043,'Raw material list'!$A$2:$S$3102,6,0),0)</f>
        <v>8.0000000000000007E-5</v>
      </c>
      <c r="W1043" s="104">
        <f t="shared" si="88"/>
        <v>1.6000000000000001E-3</v>
      </c>
    </row>
    <row r="1044" spans="1:23" hidden="1" x14ac:dyDescent="0.55000000000000004">
      <c r="A1044" s="41" t="s">
        <v>1556</v>
      </c>
      <c r="B1044" s="58" t="s">
        <v>35</v>
      </c>
      <c r="C1044" s="58" t="s">
        <v>10</v>
      </c>
      <c r="D1044" s="76" t="str">
        <f t="shared" si="89"/>
        <v>Soya Sauce with BBQ</v>
      </c>
      <c r="E1044" s="58" t="s">
        <v>1536</v>
      </c>
      <c r="F1044" s="58" t="s">
        <v>2079</v>
      </c>
      <c r="G1044" s="41" t="s">
        <v>11</v>
      </c>
      <c r="H1044" s="58" t="s">
        <v>1773</v>
      </c>
      <c r="I1044" s="76"/>
      <c r="J1044" s="76"/>
      <c r="K1044" s="58" t="str">
        <f>IFERROR(VLOOKUP(L1044,'Raw material list'!$A$3:$C$715,3,0),"")</f>
        <v>DRS5-21</v>
      </c>
      <c r="L1044" s="76" t="s">
        <v>55</v>
      </c>
      <c r="M1044" s="80" t="s">
        <v>156</v>
      </c>
      <c r="N1044" s="40" t="str">
        <f>VLOOKUP(L1044,'Raw material list'!$A$3:$E$715,5,0)</f>
        <v xml:space="preserve">Gram </v>
      </c>
      <c r="O1044" s="80">
        <v>20</v>
      </c>
      <c r="P1044" s="299">
        <f t="shared" si="86"/>
        <v>20</v>
      </c>
      <c r="Q1044" s="80">
        <v>100</v>
      </c>
      <c r="R1044" s="80">
        <v>10</v>
      </c>
      <c r="S1044" s="80"/>
      <c r="T1044" s="105">
        <f t="shared" si="83"/>
        <v>2</v>
      </c>
      <c r="U1044" s="105">
        <f t="shared" si="87"/>
        <v>2</v>
      </c>
      <c r="V1044" s="104">
        <f>IFERROR(VLOOKUP(L1044,'Raw material list'!$A$2:$S$3102,6,0),0)</f>
        <v>2.0799999999999998E-3</v>
      </c>
      <c r="W1044" s="104">
        <f t="shared" si="88"/>
        <v>4.1599999999999996E-3</v>
      </c>
    </row>
    <row r="1045" spans="1:23" hidden="1" x14ac:dyDescent="0.55000000000000004">
      <c r="A1045" s="41" t="s">
        <v>1556</v>
      </c>
      <c r="B1045" s="58" t="s">
        <v>35</v>
      </c>
      <c r="C1045" s="58" t="s">
        <v>10</v>
      </c>
      <c r="D1045" s="76" t="str">
        <f t="shared" si="89"/>
        <v>Soya Sauce with BBQ</v>
      </c>
      <c r="E1045" s="58" t="s">
        <v>1536</v>
      </c>
      <c r="F1045" s="58" t="s">
        <v>2079</v>
      </c>
      <c r="G1045" s="41" t="s">
        <v>11</v>
      </c>
      <c r="H1045" s="58" t="s">
        <v>1773</v>
      </c>
      <c r="I1045" s="76"/>
      <c r="J1045" s="76"/>
      <c r="K1045" s="58" t="str">
        <f>IFERROR(VLOOKUP(L1045,'Raw material list'!$A$3:$C$715,3,0),"")</f>
        <v>PRD1-204</v>
      </c>
      <c r="L1045" s="76" t="s">
        <v>81</v>
      </c>
      <c r="M1045" s="80" t="s">
        <v>156</v>
      </c>
      <c r="N1045" s="40" t="str">
        <f>VLOOKUP(L1045,'Raw material list'!$A$3:$E$715,5,0)</f>
        <v xml:space="preserve">Gram </v>
      </c>
      <c r="O1045" s="80">
        <v>15</v>
      </c>
      <c r="P1045" s="299">
        <f t="shared" si="86"/>
        <v>18.072289156626507</v>
      </c>
      <c r="Q1045" s="105">
        <v>83</v>
      </c>
      <c r="R1045" s="80">
        <v>10</v>
      </c>
      <c r="S1045" s="80"/>
      <c r="T1045" s="105">
        <f t="shared" si="83"/>
        <v>1.5</v>
      </c>
      <c r="U1045" s="105">
        <f t="shared" si="87"/>
        <v>1.8072289156626506</v>
      </c>
      <c r="V1045" s="104">
        <f>IFERROR(VLOOKUP(L1045,'Raw material list'!$A$2:$S$3102,6,0),0)</f>
        <v>8.4337349397590362E-3</v>
      </c>
      <c r="W1045" s="104">
        <f t="shared" si="88"/>
        <v>1.5241689650166933E-2</v>
      </c>
    </row>
    <row r="1046" spans="1:23" hidden="1" x14ac:dyDescent="0.55000000000000004">
      <c r="A1046" s="41" t="s">
        <v>1556</v>
      </c>
      <c r="B1046" s="58" t="s">
        <v>35</v>
      </c>
      <c r="C1046" s="58" t="s">
        <v>10</v>
      </c>
      <c r="D1046" s="76" t="str">
        <f t="shared" si="89"/>
        <v>Soya Sauce with BBQ</v>
      </c>
      <c r="E1046" s="58" t="s">
        <v>1536</v>
      </c>
      <c r="F1046" s="58" t="s">
        <v>2079</v>
      </c>
      <c r="G1046" s="41" t="s">
        <v>11</v>
      </c>
      <c r="H1046" s="58" t="s">
        <v>1773</v>
      </c>
      <c r="I1046" s="76"/>
      <c r="J1046" s="76"/>
      <c r="K1046" s="58" t="str">
        <f>IFERROR(VLOOKUP(L1046,'Raw material list'!$A$3:$C$715,3,0),"")</f>
        <v>PRD1-239</v>
      </c>
      <c r="L1046" s="59" t="s">
        <v>1056</v>
      </c>
      <c r="M1046" s="80" t="s">
        <v>156</v>
      </c>
      <c r="N1046" s="40" t="str">
        <f>VLOOKUP(L1046,'Raw material list'!$A$3:$E$715,5,0)</f>
        <v xml:space="preserve">Gram </v>
      </c>
      <c r="O1046" s="80">
        <v>100</v>
      </c>
      <c r="P1046" s="299">
        <f t="shared" si="86"/>
        <v>148.51485148514854</v>
      </c>
      <c r="Q1046" s="105">
        <v>67.333333333333329</v>
      </c>
      <c r="R1046" s="80">
        <v>10</v>
      </c>
      <c r="S1046" s="80"/>
      <c r="T1046" s="105">
        <f t="shared" si="83"/>
        <v>10</v>
      </c>
      <c r="U1046" s="105">
        <f t="shared" si="87"/>
        <v>14.851485148514854</v>
      </c>
      <c r="V1046" s="104">
        <f>IFERROR(VLOOKUP(L1046,'Raw material list'!$A$2:$S$3102,6,0),0)</f>
        <v>6.6864784546805346E-3</v>
      </c>
      <c r="W1046" s="104">
        <f t="shared" si="88"/>
        <v>9.9304135465552515E-2</v>
      </c>
    </row>
    <row r="1047" spans="1:23" hidden="1" x14ac:dyDescent="0.55000000000000004">
      <c r="A1047" s="41" t="s">
        <v>1556</v>
      </c>
      <c r="B1047" s="58" t="s">
        <v>35</v>
      </c>
      <c r="C1047" s="58" t="s">
        <v>10</v>
      </c>
      <c r="D1047" s="76" t="str">
        <f t="shared" si="89"/>
        <v>Soya Sauce with BBQ</v>
      </c>
      <c r="E1047" s="58" t="s">
        <v>1536</v>
      </c>
      <c r="F1047" s="58" t="s">
        <v>2079</v>
      </c>
      <c r="G1047" s="41" t="s">
        <v>11</v>
      </c>
      <c r="H1047" s="58" t="s">
        <v>1773</v>
      </c>
      <c r="I1047" s="76"/>
      <c r="J1047" s="76"/>
      <c r="K1047" s="58" t="str">
        <f>IFERROR(VLOOKUP(L1047,'Raw material list'!$A$3:$C$715,3,0),"")</f>
        <v>PRD1-241</v>
      </c>
      <c r="L1047" s="76" t="s">
        <v>1059</v>
      </c>
      <c r="M1047" s="80" t="s">
        <v>156</v>
      </c>
      <c r="N1047" s="40" t="str">
        <f>VLOOKUP(L1047,'Raw material list'!$A$3:$E$715,5,0)</f>
        <v xml:space="preserve">Gram </v>
      </c>
      <c r="O1047" s="80">
        <v>100</v>
      </c>
      <c r="P1047" s="299">
        <f t="shared" si="86"/>
        <v>146.55593551538837</v>
      </c>
      <c r="Q1047" s="105">
        <v>68.233333333333334</v>
      </c>
      <c r="R1047" s="80">
        <v>10</v>
      </c>
      <c r="S1047" s="80"/>
      <c r="T1047" s="105">
        <f t="shared" si="83"/>
        <v>10</v>
      </c>
      <c r="U1047" s="105">
        <f t="shared" si="87"/>
        <v>14.655593551538837</v>
      </c>
      <c r="V1047" s="104">
        <f>IFERROR(VLOOKUP(L1047,'Raw material list'!$A$2:$S$3102,6,0),0)</f>
        <v>1.3196480938416421E-2</v>
      </c>
      <c r="W1047" s="104">
        <f t="shared" si="88"/>
        <v>0.19340226094406088</v>
      </c>
    </row>
    <row r="1048" spans="1:23" hidden="1" x14ac:dyDescent="0.55000000000000004">
      <c r="A1048" s="41" t="s">
        <v>1556</v>
      </c>
      <c r="B1048" s="58" t="s">
        <v>35</v>
      </c>
      <c r="C1048" s="58" t="s">
        <v>10</v>
      </c>
      <c r="D1048" s="76" t="str">
        <f t="shared" si="89"/>
        <v>Soya Sauce with BBQ</v>
      </c>
      <c r="E1048" s="58" t="s">
        <v>1536</v>
      </c>
      <c r="F1048" s="58" t="s">
        <v>2079</v>
      </c>
      <c r="G1048" s="41" t="s">
        <v>11</v>
      </c>
      <c r="H1048" s="58" t="s">
        <v>1773</v>
      </c>
      <c r="I1048" s="76"/>
      <c r="J1048" s="76"/>
      <c r="K1048" s="58" t="str">
        <f>IFERROR(VLOOKUP(L1048,'Raw material list'!$A$3:$C$715,3,0),"")</f>
        <v>DRS4-498</v>
      </c>
      <c r="L1048" s="76" t="s">
        <v>72</v>
      </c>
      <c r="M1048" s="80" t="s">
        <v>156</v>
      </c>
      <c r="N1048" s="40" t="str">
        <f>VLOOKUP(L1048,'Raw material list'!$A$3:$E$715,5,0)</f>
        <v xml:space="preserve">Gram </v>
      </c>
      <c r="O1048" s="80">
        <v>800</v>
      </c>
      <c r="P1048" s="299">
        <f t="shared" si="86"/>
        <v>800</v>
      </c>
      <c r="Q1048" s="303">
        <v>100</v>
      </c>
      <c r="R1048" s="80">
        <v>10</v>
      </c>
      <c r="S1048" s="80"/>
      <c r="T1048" s="105">
        <f t="shared" si="83"/>
        <v>80</v>
      </c>
      <c r="U1048" s="105">
        <f t="shared" si="87"/>
        <v>80</v>
      </c>
      <c r="V1048" s="104">
        <f>IFERROR(VLOOKUP(L1048,'Raw material list'!$A$2:$S$3102,6,0),0)</f>
        <v>5.7499999999999999E-3</v>
      </c>
      <c r="W1048" s="104">
        <f t="shared" si="88"/>
        <v>0.45999999999999996</v>
      </c>
    </row>
    <row r="1049" spans="1:23" hidden="1" x14ac:dyDescent="0.55000000000000004">
      <c r="A1049" s="41" t="s">
        <v>1556</v>
      </c>
      <c r="B1049" s="58" t="s">
        <v>35</v>
      </c>
      <c r="C1049" s="58" t="s">
        <v>10</v>
      </c>
      <c r="D1049" s="76" t="str">
        <f t="shared" si="89"/>
        <v>Soya Sauce with BBQ</v>
      </c>
      <c r="E1049" s="58" t="s">
        <v>1536</v>
      </c>
      <c r="F1049" s="58" t="s">
        <v>2079</v>
      </c>
      <c r="G1049" s="41" t="s">
        <v>11</v>
      </c>
      <c r="H1049" s="58" t="s">
        <v>1773</v>
      </c>
      <c r="I1049" s="76"/>
      <c r="J1049" s="76"/>
      <c r="K1049" s="58" t="str">
        <f>IFERROR(VLOOKUP(L1049,'Raw material list'!$A$3:$C$715,3,0),"")</f>
        <v>DRS3-1813</v>
      </c>
      <c r="L1049" s="76" t="s">
        <v>69</v>
      </c>
      <c r="M1049" s="80" t="s">
        <v>206</v>
      </c>
      <c r="N1049" s="40" t="str">
        <f>VLOOKUP(L1049,'Raw material list'!$A$3:$E$715,5,0)</f>
        <v>Ml</v>
      </c>
      <c r="O1049" s="80">
        <v>50</v>
      </c>
      <c r="P1049" s="299">
        <f t="shared" si="86"/>
        <v>50</v>
      </c>
      <c r="Q1049" s="80">
        <v>100</v>
      </c>
      <c r="R1049" s="80">
        <v>10</v>
      </c>
      <c r="S1049" s="80"/>
      <c r="T1049" s="105">
        <f t="shared" si="83"/>
        <v>5</v>
      </c>
      <c r="U1049" s="105">
        <f t="shared" si="87"/>
        <v>5</v>
      </c>
      <c r="V1049" s="104">
        <f>IFERROR(VLOOKUP(L1049,'Raw material list'!$A$2:$S$3102,6,0),0)</f>
        <v>8.0555555555555554E-3</v>
      </c>
      <c r="W1049" s="104">
        <f t="shared" si="88"/>
        <v>4.0277777777777773E-2</v>
      </c>
    </row>
    <row r="1050" spans="1:23" hidden="1" x14ac:dyDescent="0.55000000000000004">
      <c r="A1050" s="41" t="s">
        <v>1556</v>
      </c>
      <c r="B1050" s="58" t="s">
        <v>35</v>
      </c>
      <c r="C1050" s="58" t="s">
        <v>10</v>
      </c>
      <c r="D1050" s="76" t="str">
        <f t="shared" si="89"/>
        <v>Soya Sauce with BBQ</v>
      </c>
      <c r="E1050" s="58" t="s">
        <v>1536</v>
      </c>
      <c r="F1050" s="58" t="s">
        <v>2079</v>
      </c>
      <c r="G1050" s="41" t="s">
        <v>11</v>
      </c>
      <c r="H1050" s="58" t="s">
        <v>1773</v>
      </c>
      <c r="I1050" s="76"/>
      <c r="J1050" s="76"/>
      <c r="K1050" s="58" t="str">
        <f>IFERROR(VLOOKUP(L1050,'Raw material list'!$A$3:$C$715,3,0),"")</f>
        <v>DRS1-3880</v>
      </c>
      <c r="L1050" s="76" t="s">
        <v>1433</v>
      </c>
      <c r="M1050" s="80" t="s">
        <v>156</v>
      </c>
      <c r="N1050" s="40" t="str">
        <f>VLOOKUP(L1050,'Raw material list'!$A$3:$E$715,5,0)</f>
        <v xml:space="preserve">Gram </v>
      </c>
      <c r="O1050" s="80">
        <v>10</v>
      </c>
      <c r="P1050" s="299">
        <f t="shared" si="86"/>
        <v>10</v>
      </c>
      <c r="Q1050" s="80">
        <v>100</v>
      </c>
      <c r="R1050" s="80">
        <v>10</v>
      </c>
      <c r="S1050" s="80"/>
      <c r="T1050" s="105">
        <f t="shared" si="83"/>
        <v>1</v>
      </c>
      <c r="U1050" s="105">
        <f t="shared" si="87"/>
        <v>1</v>
      </c>
      <c r="V1050" s="104">
        <f>IFERROR(VLOOKUP(L1050,'Raw material list'!$A$2:$S$3102,6,0),0)</f>
        <v>5.0000000000000001E-4</v>
      </c>
      <c r="W1050" s="104">
        <f t="shared" si="88"/>
        <v>5.0000000000000001E-4</v>
      </c>
    </row>
    <row r="1051" spans="1:23" hidden="1" x14ac:dyDescent="0.55000000000000004">
      <c r="A1051" s="41" t="s">
        <v>1556</v>
      </c>
      <c r="B1051" s="58" t="s">
        <v>35</v>
      </c>
      <c r="C1051" s="58" t="s">
        <v>10</v>
      </c>
      <c r="D1051" s="76" t="str">
        <f t="shared" si="89"/>
        <v>Soya Sauce with BBQ</v>
      </c>
      <c r="E1051" s="58" t="s">
        <v>1536</v>
      </c>
      <c r="F1051" s="58" t="s">
        <v>2079</v>
      </c>
      <c r="G1051" s="41" t="s">
        <v>11</v>
      </c>
      <c r="H1051" s="58" t="s">
        <v>1773</v>
      </c>
      <c r="I1051" s="76"/>
      <c r="J1051" s="76"/>
      <c r="K1051" s="58" t="str">
        <f>IFERROR(VLOOKUP(L1051,'Raw material list'!$A$3:$C$715,3,0),"")</f>
        <v>TAP-00001</v>
      </c>
      <c r="L1051" s="76" t="s">
        <v>1405</v>
      </c>
      <c r="M1051" s="80" t="s">
        <v>206</v>
      </c>
      <c r="N1051" s="40" t="str">
        <f>VLOOKUP(L1051,'Raw material list'!$A$3:$E$715,5,0)</f>
        <v>Ml</v>
      </c>
      <c r="O1051" s="80">
        <v>1600</v>
      </c>
      <c r="P1051" s="299">
        <f t="shared" si="86"/>
        <v>1600</v>
      </c>
      <c r="Q1051" s="80">
        <v>100</v>
      </c>
      <c r="R1051" s="80">
        <v>10</v>
      </c>
      <c r="S1051" s="80"/>
      <c r="T1051" s="105">
        <f t="shared" si="83"/>
        <v>160</v>
      </c>
      <c r="U1051" s="105">
        <f t="shared" si="87"/>
        <v>160</v>
      </c>
      <c r="V1051" s="104">
        <f>IFERROR(VLOOKUP(L1051,'Raw material list'!$A$2:$S$3102,6,0),0)</f>
        <v>8.0000000000000007E-5</v>
      </c>
      <c r="W1051" s="104">
        <f t="shared" si="88"/>
        <v>1.2800000000000001E-2</v>
      </c>
    </row>
    <row r="1052" spans="1:23" hidden="1" x14ac:dyDescent="0.55000000000000004">
      <c r="A1052" s="41" t="s">
        <v>1556</v>
      </c>
      <c r="B1052" s="58" t="s">
        <v>35</v>
      </c>
      <c r="C1052" s="58" t="s">
        <v>10</v>
      </c>
      <c r="D1052" s="76" t="str">
        <f t="shared" si="89"/>
        <v>Soya Sauce with BBQ</v>
      </c>
      <c r="E1052" s="58" t="s">
        <v>1536</v>
      </c>
      <c r="F1052" s="58" t="s">
        <v>2079</v>
      </c>
      <c r="G1052" s="41" t="s">
        <v>11</v>
      </c>
      <c r="H1052" s="58" t="s">
        <v>1773</v>
      </c>
      <c r="I1052" s="76"/>
      <c r="J1052" s="76"/>
      <c r="K1052" s="58" t="str">
        <f>IFERROR(VLOOKUP(L1052,'Raw material list'!$A$3:$C$715,3,0),"")</f>
        <v>DRS6-3593</v>
      </c>
      <c r="L1052" s="76" t="s">
        <v>1407</v>
      </c>
      <c r="M1052" s="80" t="s">
        <v>156</v>
      </c>
      <c r="N1052" s="40" t="str">
        <f>VLOOKUP(L1052,'Raw material list'!$A$3:$E$715,5,0)</f>
        <v xml:space="preserve">Gram </v>
      </c>
      <c r="O1052" s="80">
        <v>1</v>
      </c>
      <c r="P1052" s="299">
        <f t="shared" si="86"/>
        <v>1</v>
      </c>
      <c r="Q1052" s="80">
        <v>100</v>
      </c>
      <c r="R1052" s="80">
        <v>10</v>
      </c>
      <c r="S1052" s="80"/>
      <c r="T1052" s="105">
        <f t="shared" si="83"/>
        <v>0.1</v>
      </c>
      <c r="U1052" s="105">
        <f t="shared" si="87"/>
        <v>0.1</v>
      </c>
      <c r="V1052" s="104">
        <f>IFERROR(VLOOKUP(L1052,'Raw material list'!$A$2:$S$3102,6,0),0)</f>
        <v>8.0000000000000002E-3</v>
      </c>
      <c r="W1052" s="104">
        <f t="shared" si="88"/>
        <v>8.0000000000000004E-4</v>
      </c>
    </row>
    <row r="1053" spans="1:23" hidden="1" x14ac:dyDescent="0.55000000000000004">
      <c r="A1053" s="41" t="s">
        <v>1556</v>
      </c>
      <c r="B1053" s="58" t="s">
        <v>35</v>
      </c>
      <c r="C1053" s="58" t="s">
        <v>10</v>
      </c>
      <c r="D1053" s="76" t="str">
        <f t="shared" si="89"/>
        <v>Soya Sauce with BBQ</v>
      </c>
      <c r="E1053" s="58" t="s">
        <v>1536</v>
      </c>
      <c r="F1053" s="58" t="s">
        <v>2079</v>
      </c>
      <c r="G1053" s="41" t="s">
        <v>11</v>
      </c>
      <c r="H1053" s="58" t="s">
        <v>1773</v>
      </c>
      <c r="I1053" s="76"/>
      <c r="J1053" s="76"/>
      <c r="K1053" s="58" t="str">
        <f>IFERROR(VLOOKUP(L1053,'Raw material list'!$A$3:$C$715,3,0),"")</f>
        <v>DRS6-260</v>
      </c>
      <c r="L1053" s="76" t="s">
        <v>62</v>
      </c>
      <c r="M1053" s="80" t="s">
        <v>156</v>
      </c>
      <c r="N1053" s="40" t="str">
        <f>VLOOKUP(L1053,'Raw material list'!$A$3:$E$715,5,0)</f>
        <v xml:space="preserve">Gram </v>
      </c>
      <c r="O1053" s="80">
        <v>2</v>
      </c>
      <c r="P1053" s="299">
        <f t="shared" si="86"/>
        <v>2</v>
      </c>
      <c r="Q1053" s="80">
        <v>100</v>
      </c>
      <c r="R1053" s="80">
        <v>10</v>
      </c>
      <c r="S1053" s="80"/>
      <c r="T1053" s="105">
        <f t="shared" si="83"/>
        <v>0.2</v>
      </c>
      <c r="U1053" s="105">
        <f t="shared" si="87"/>
        <v>0.2</v>
      </c>
      <c r="V1053" s="104">
        <f>IFERROR(VLOOKUP(L1053,'Raw material list'!$A$2:$S$3102,6,0),0)</f>
        <v>0.02</v>
      </c>
      <c r="W1053" s="104">
        <f t="shared" si="88"/>
        <v>4.0000000000000001E-3</v>
      </c>
    </row>
    <row r="1054" spans="1:23" hidden="1" x14ac:dyDescent="0.55000000000000004">
      <c r="A1054" s="41" t="s">
        <v>1557</v>
      </c>
      <c r="B1054" s="58" t="s">
        <v>35</v>
      </c>
      <c r="C1054" s="58" t="s">
        <v>10</v>
      </c>
      <c r="D1054" s="76" t="s">
        <v>1546</v>
      </c>
      <c r="E1054" s="58" t="s">
        <v>1536</v>
      </c>
      <c r="F1054" s="58" t="s">
        <v>2081</v>
      </c>
      <c r="G1054" s="41" t="s">
        <v>11</v>
      </c>
      <c r="H1054" s="58" t="s">
        <v>1793</v>
      </c>
      <c r="I1054" s="76"/>
      <c r="J1054" s="76"/>
      <c r="K1054" s="58" t="str">
        <f>IFERROR(VLOOKUP(L1054,'Raw material list'!$A$3:$C$715,3,0),"")</f>
        <v>MET2-585</v>
      </c>
      <c r="L1054" s="76" t="s">
        <v>53</v>
      </c>
      <c r="M1054" s="80" t="s">
        <v>156</v>
      </c>
      <c r="N1054" s="40" t="str">
        <f>VLOOKUP(L1054,'Raw material list'!$A$3:$E$715,5,0)</f>
        <v xml:space="preserve">Gram </v>
      </c>
      <c r="O1054" s="80">
        <v>800</v>
      </c>
      <c r="P1054" s="299">
        <f t="shared" si="86"/>
        <v>923.78752886836037</v>
      </c>
      <c r="Q1054" s="80">
        <v>86.6</v>
      </c>
      <c r="R1054" s="80">
        <v>10</v>
      </c>
      <c r="S1054" s="80"/>
      <c r="T1054" s="105">
        <f t="shared" si="83"/>
        <v>80</v>
      </c>
      <c r="U1054" s="105">
        <f t="shared" si="87"/>
        <v>92.37875288683604</v>
      </c>
      <c r="V1054" s="104">
        <f>IFERROR(VLOOKUP(L1054,'Raw material list'!$A$2:$S$3102,6,0),0)</f>
        <v>4.2630057803468215E-2</v>
      </c>
      <c r="W1054" s="104">
        <f t="shared" si="88"/>
        <v>3.9381115753781266</v>
      </c>
    </row>
    <row r="1055" spans="1:23" hidden="1" x14ac:dyDescent="0.55000000000000004">
      <c r="A1055" s="41" t="s">
        <v>1557</v>
      </c>
      <c r="B1055" s="58" t="s">
        <v>35</v>
      </c>
      <c r="C1055" s="58" t="s">
        <v>10</v>
      </c>
      <c r="D1055" s="76" t="str">
        <f t="shared" ref="D1055:D1069" si="90">D1054</f>
        <v>Beef Shawarma Wrap</v>
      </c>
      <c r="E1055" s="58" t="s">
        <v>1536</v>
      </c>
      <c r="F1055" s="58" t="s">
        <v>2079</v>
      </c>
      <c r="G1055" s="41" t="s">
        <v>11</v>
      </c>
      <c r="H1055" s="58" t="s">
        <v>1793</v>
      </c>
      <c r="I1055" s="76"/>
      <c r="J1055" s="76"/>
      <c r="K1055" s="58" t="str">
        <f>IFERROR(VLOOKUP(L1055,'Raw material list'!$A$3:$C$715,3,0),"")</f>
        <v>BKR2-4275</v>
      </c>
      <c r="L1055" s="76" t="s">
        <v>101</v>
      </c>
      <c r="M1055" s="80" t="s">
        <v>48</v>
      </c>
      <c r="N1055" s="40" t="str">
        <f>VLOOKUP(L1055,'Raw material list'!$A$3:$E$715,5,0)</f>
        <v>Each</v>
      </c>
      <c r="O1055" s="80">
        <v>10</v>
      </c>
      <c r="P1055" s="299">
        <f t="shared" si="86"/>
        <v>10</v>
      </c>
      <c r="Q1055" s="80">
        <v>100</v>
      </c>
      <c r="R1055" s="80">
        <v>10</v>
      </c>
      <c r="S1055" s="80"/>
      <c r="T1055" s="105">
        <f t="shared" si="83"/>
        <v>1</v>
      </c>
      <c r="U1055" s="105">
        <f t="shared" si="87"/>
        <v>1</v>
      </c>
      <c r="V1055" s="104">
        <f>IFERROR(VLOOKUP(L1055,'Raw material list'!$A$2:$S$3102,6,0),0)</f>
        <v>0.83333333333333337</v>
      </c>
      <c r="W1055" s="104">
        <f t="shared" si="88"/>
        <v>0.83333333333333337</v>
      </c>
    </row>
    <row r="1056" spans="1:23" hidden="1" x14ac:dyDescent="0.55000000000000004">
      <c r="A1056" s="41" t="s">
        <v>1557</v>
      </c>
      <c r="B1056" s="58" t="s">
        <v>35</v>
      </c>
      <c r="C1056" s="58" t="s">
        <v>10</v>
      </c>
      <c r="D1056" s="76" t="str">
        <f t="shared" si="90"/>
        <v>Beef Shawarma Wrap</v>
      </c>
      <c r="E1056" s="58" t="s">
        <v>1536</v>
      </c>
      <c r="F1056" s="58" t="s">
        <v>2079</v>
      </c>
      <c r="G1056" s="41" t="s">
        <v>11</v>
      </c>
      <c r="H1056" s="58" t="s">
        <v>1793</v>
      </c>
      <c r="I1056" s="76"/>
      <c r="J1056" s="76"/>
      <c r="K1056" s="58" t="str">
        <f>IFERROR(VLOOKUP(L1056,'Raw material list'!$A$3:$C$715,3,0),"")</f>
        <v>DRS3-1813</v>
      </c>
      <c r="L1056" s="76" t="s">
        <v>69</v>
      </c>
      <c r="M1056" s="80" t="s">
        <v>206</v>
      </c>
      <c r="N1056" s="40" t="str">
        <f>VLOOKUP(L1056,'Raw material list'!$A$3:$E$715,5,0)</f>
        <v>Ml</v>
      </c>
      <c r="O1056" s="80">
        <v>50</v>
      </c>
      <c r="P1056" s="299">
        <f t="shared" si="86"/>
        <v>50</v>
      </c>
      <c r="Q1056" s="80">
        <v>100</v>
      </c>
      <c r="R1056" s="80">
        <v>10</v>
      </c>
      <c r="S1056" s="80"/>
      <c r="T1056" s="105">
        <f t="shared" si="83"/>
        <v>5</v>
      </c>
      <c r="U1056" s="105">
        <f t="shared" si="87"/>
        <v>5</v>
      </c>
      <c r="V1056" s="104">
        <f>IFERROR(VLOOKUP(L1056,'Raw material list'!$A$2:$S$3102,6,0),0)</f>
        <v>8.0555555555555554E-3</v>
      </c>
      <c r="W1056" s="104">
        <f t="shared" si="88"/>
        <v>4.0277777777777773E-2</v>
      </c>
    </row>
    <row r="1057" spans="1:23" hidden="1" x14ac:dyDescent="0.55000000000000004">
      <c r="A1057" s="41" t="s">
        <v>1557</v>
      </c>
      <c r="B1057" s="58" t="s">
        <v>35</v>
      </c>
      <c r="C1057" s="58" t="s">
        <v>10</v>
      </c>
      <c r="D1057" s="76" t="str">
        <f t="shared" si="90"/>
        <v>Beef Shawarma Wrap</v>
      </c>
      <c r="E1057" s="58" t="s">
        <v>1536</v>
      </c>
      <c r="F1057" s="58" t="s">
        <v>2079</v>
      </c>
      <c r="G1057" s="41" t="s">
        <v>11</v>
      </c>
      <c r="H1057" s="58" t="s">
        <v>1793</v>
      </c>
      <c r="I1057" s="76"/>
      <c r="J1057" s="76"/>
      <c r="K1057" s="58" t="str">
        <f>IFERROR(VLOOKUP(L1057,'Raw material list'!$A$3:$C$715,3,0),"")</f>
        <v>DRY2-1160</v>
      </c>
      <c r="L1057" s="76" t="s">
        <v>125</v>
      </c>
      <c r="M1057" s="80" t="s">
        <v>156</v>
      </c>
      <c r="N1057" s="40" t="str">
        <f>VLOOKUP(L1057,'Raw material list'!$A$3:$E$715,5,0)</f>
        <v xml:space="preserve">Gram </v>
      </c>
      <c r="O1057" s="80">
        <v>80</v>
      </c>
      <c r="P1057" s="299">
        <f t="shared" si="86"/>
        <v>80</v>
      </c>
      <c r="Q1057" s="80">
        <v>100</v>
      </c>
      <c r="R1057" s="80">
        <v>10</v>
      </c>
      <c r="S1057" s="80"/>
      <c r="T1057" s="105">
        <f t="shared" si="83"/>
        <v>8</v>
      </c>
      <c r="U1057" s="105">
        <f t="shared" si="87"/>
        <v>8</v>
      </c>
      <c r="V1057" s="104">
        <f>IFERROR(VLOOKUP(L1057,'Raw material list'!$A$2:$S$3102,6,0),0)</f>
        <v>4.4000000000000003E-3</v>
      </c>
      <c r="W1057" s="104">
        <f t="shared" si="88"/>
        <v>3.5200000000000002E-2</v>
      </c>
    </row>
    <row r="1058" spans="1:23" hidden="1" x14ac:dyDescent="0.55000000000000004">
      <c r="A1058" s="41" t="s">
        <v>1557</v>
      </c>
      <c r="B1058" s="58" t="s">
        <v>35</v>
      </c>
      <c r="C1058" s="58" t="s">
        <v>10</v>
      </c>
      <c r="D1058" s="76" t="str">
        <f t="shared" si="90"/>
        <v>Beef Shawarma Wrap</v>
      </c>
      <c r="E1058" s="58" t="s">
        <v>1536</v>
      </c>
      <c r="F1058" s="58" t="s">
        <v>2079</v>
      </c>
      <c r="G1058" s="41" t="s">
        <v>11</v>
      </c>
      <c r="H1058" s="58" t="s">
        <v>1793</v>
      </c>
      <c r="I1058" s="76"/>
      <c r="J1058" s="76"/>
      <c r="K1058" s="58" t="str">
        <f>IFERROR(VLOOKUP(L1058,'Raw material list'!$A$3:$C$715,3,0),"")</f>
        <v>DRS6-733</v>
      </c>
      <c r="L1058" s="76" t="s">
        <v>45</v>
      </c>
      <c r="M1058" s="80" t="s">
        <v>156</v>
      </c>
      <c r="N1058" s="40" t="str">
        <f>VLOOKUP(L1058,'Raw material list'!$A$3:$E$715,5,0)</f>
        <v xml:space="preserve">Gram </v>
      </c>
      <c r="O1058" s="80">
        <v>0.4</v>
      </c>
      <c r="P1058" s="299">
        <f t="shared" si="86"/>
        <v>0.4</v>
      </c>
      <c r="Q1058" s="80">
        <v>100</v>
      </c>
      <c r="R1058" s="80">
        <v>10</v>
      </c>
      <c r="S1058" s="80"/>
      <c r="T1058" s="105">
        <f t="shared" si="83"/>
        <v>0.04</v>
      </c>
      <c r="U1058" s="105">
        <f t="shared" si="87"/>
        <v>0.04</v>
      </c>
      <c r="V1058" s="104">
        <f>IFERROR(VLOOKUP(L1058,'Raw material list'!$A$2:$S$3102,6,0),0)</f>
        <v>2.8000000000000001E-2</v>
      </c>
      <c r="W1058" s="104">
        <f t="shared" si="88"/>
        <v>1.1200000000000001E-3</v>
      </c>
    </row>
    <row r="1059" spans="1:23" hidden="1" x14ac:dyDescent="0.55000000000000004">
      <c r="A1059" s="41" t="s">
        <v>1557</v>
      </c>
      <c r="B1059" s="58" t="s">
        <v>35</v>
      </c>
      <c r="C1059" s="58" t="s">
        <v>10</v>
      </c>
      <c r="D1059" s="76" t="str">
        <f t="shared" si="90"/>
        <v>Beef Shawarma Wrap</v>
      </c>
      <c r="E1059" s="58" t="s">
        <v>1536</v>
      </c>
      <c r="F1059" s="58" t="s">
        <v>2079</v>
      </c>
      <c r="G1059" s="41" t="s">
        <v>11</v>
      </c>
      <c r="H1059" s="58" t="s">
        <v>1793</v>
      </c>
      <c r="I1059" s="76"/>
      <c r="J1059" s="76"/>
      <c r="K1059" s="58" t="str">
        <f>IFERROR(VLOOKUP(L1059,'Raw material list'!$A$3:$C$715,3,0),"")</f>
        <v>DRS1-103</v>
      </c>
      <c r="L1059" s="76" t="s">
        <v>89</v>
      </c>
      <c r="M1059" s="80" t="s">
        <v>156</v>
      </c>
      <c r="N1059" s="40" t="str">
        <f>VLOOKUP(L1059,'Raw material list'!$A$3:$E$715,5,0)</f>
        <v xml:space="preserve">Gram </v>
      </c>
      <c r="O1059" s="80">
        <v>100</v>
      </c>
      <c r="P1059" s="299">
        <f t="shared" si="86"/>
        <v>100</v>
      </c>
      <c r="Q1059" s="80">
        <v>100</v>
      </c>
      <c r="R1059" s="80">
        <v>10</v>
      </c>
      <c r="S1059" s="80"/>
      <c r="T1059" s="105">
        <f t="shared" si="83"/>
        <v>10</v>
      </c>
      <c r="U1059" s="105">
        <f t="shared" si="87"/>
        <v>10</v>
      </c>
      <c r="V1059" s="104">
        <f>IFERROR(VLOOKUP(L1059,'Raw material list'!$A$2:$S$3102,6,0),0)</f>
        <v>1.0999999999999999E-2</v>
      </c>
      <c r="W1059" s="104">
        <f t="shared" si="88"/>
        <v>0.10999999999999999</v>
      </c>
    </row>
    <row r="1060" spans="1:23" hidden="1" x14ac:dyDescent="0.55000000000000004">
      <c r="A1060" s="41" t="s">
        <v>1557</v>
      </c>
      <c r="B1060" s="58" t="s">
        <v>35</v>
      </c>
      <c r="C1060" s="58" t="s">
        <v>10</v>
      </c>
      <c r="D1060" s="76" t="str">
        <f t="shared" si="90"/>
        <v>Beef Shawarma Wrap</v>
      </c>
      <c r="E1060" s="58" t="s">
        <v>1536</v>
      </c>
      <c r="F1060" s="58" t="s">
        <v>2079</v>
      </c>
      <c r="G1060" s="41" t="s">
        <v>11</v>
      </c>
      <c r="H1060" s="58" t="s">
        <v>1793</v>
      </c>
      <c r="I1060" s="76"/>
      <c r="J1060" s="76"/>
      <c r="K1060" s="58" t="str">
        <f>IFERROR(VLOOKUP(L1060,'Raw material list'!$A$3:$C$715,3,0),"")</f>
        <v>DRS1-3448</v>
      </c>
      <c r="L1060" s="76" t="s">
        <v>87</v>
      </c>
      <c r="M1060" s="80" t="s">
        <v>156</v>
      </c>
      <c r="N1060" s="40" t="str">
        <f>VLOOKUP(L1060,'Raw material list'!$A$3:$E$715,5,0)</f>
        <v xml:space="preserve">Gram </v>
      </c>
      <c r="O1060" s="80">
        <v>0.05</v>
      </c>
      <c r="P1060" s="299">
        <f t="shared" si="86"/>
        <v>0.05</v>
      </c>
      <c r="Q1060" s="80">
        <v>100</v>
      </c>
      <c r="R1060" s="80">
        <v>10</v>
      </c>
      <c r="S1060" s="80"/>
      <c r="T1060" s="105">
        <f t="shared" si="83"/>
        <v>5.0000000000000001E-3</v>
      </c>
      <c r="U1060" s="105">
        <f t="shared" si="87"/>
        <v>5.0000000000000001E-3</v>
      </c>
      <c r="V1060" s="104">
        <f>IFERROR(VLOOKUP(L1060,'Raw material list'!$A$2:$S$3102,6,0),0)</f>
        <v>5.0000000000000001E-3</v>
      </c>
      <c r="W1060" s="104">
        <f t="shared" si="88"/>
        <v>2.5000000000000001E-5</v>
      </c>
    </row>
    <row r="1061" spans="1:23" hidden="1" x14ac:dyDescent="0.55000000000000004">
      <c r="A1061" s="41" t="s">
        <v>1557</v>
      </c>
      <c r="B1061" s="58" t="s">
        <v>35</v>
      </c>
      <c r="C1061" s="58" t="s">
        <v>10</v>
      </c>
      <c r="D1061" s="76" t="str">
        <f t="shared" si="90"/>
        <v>Beef Shawarma Wrap</v>
      </c>
      <c r="E1061" s="58" t="s">
        <v>1536</v>
      </c>
      <c r="F1061" s="58" t="s">
        <v>2079</v>
      </c>
      <c r="G1061" s="41" t="s">
        <v>11</v>
      </c>
      <c r="H1061" s="58" t="s">
        <v>1793</v>
      </c>
      <c r="I1061" s="76"/>
      <c r="J1061" s="76"/>
      <c r="K1061" s="58" t="str">
        <f>IFERROR(VLOOKUP(L1061,'Raw material list'!$A$3:$C$715,3,0),"")</f>
        <v>PRD1-209</v>
      </c>
      <c r="L1061" s="76" t="s">
        <v>86</v>
      </c>
      <c r="M1061" s="80" t="s">
        <v>156</v>
      </c>
      <c r="N1061" s="40" t="str">
        <f>VLOOKUP(L1061,'Raw material list'!$A$3:$E$715,5,0)</f>
        <v xml:space="preserve">Gram </v>
      </c>
      <c r="O1061" s="80">
        <v>50</v>
      </c>
      <c r="P1061" s="299">
        <f t="shared" si="86"/>
        <v>63.025210084033624</v>
      </c>
      <c r="Q1061" s="105">
        <v>79.333333333333329</v>
      </c>
      <c r="R1061" s="80">
        <v>10</v>
      </c>
      <c r="S1061" s="80"/>
      <c r="T1061" s="105">
        <f t="shared" si="83"/>
        <v>5</v>
      </c>
      <c r="U1061" s="105">
        <f t="shared" si="87"/>
        <v>6.302521008403362</v>
      </c>
      <c r="V1061" s="104">
        <f>IFERROR(VLOOKUP(L1061,'Raw material list'!$A$2:$S$3102,6,0),0)</f>
        <v>1.0088272383354349E-2</v>
      </c>
      <c r="W1061" s="104">
        <f t="shared" si="88"/>
        <v>6.3581548634586232E-2</v>
      </c>
    </row>
    <row r="1062" spans="1:23" hidden="1" x14ac:dyDescent="0.55000000000000004">
      <c r="A1062" s="41" t="s">
        <v>1557</v>
      </c>
      <c r="B1062" s="58" t="s">
        <v>35</v>
      </c>
      <c r="C1062" s="58" t="s">
        <v>10</v>
      </c>
      <c r="D1062" s="76" t="str">
        <f t="shared" si="90"/>
        <v>Beef Shawarma Wrap</v>
      </c>
      <c r="E1062" s="58" t="s">
        <v>1536</v>
      </c>
      <c r="F1062" s="58" t="s">
        <v>2079</v>
      </c>
      <c r="G1062" s="41" t="s">
        <v>11</v>
      </c>
      <c r="H1062" s="58" t="s">
        <v>1793</v>
      </c>
      <c r="I1062" s="76"/>
      <c r="J1062" s="76"/>
      <c r="K1062" s="58" t="str">
        <f>IFERROR(VLOOKUP(L1062,'Raw material list'!$A$3:$C$715,3,0),"")</f>
        <v>DRS1-3880</v>
      </c>
      <c r="L1062" s="76" t="s">
        <v>1433</v>
      </c>
      <c r="M1062" s="80" t="s">
        <v>156</v>
      </c>
      <c r="N1062" s="40" t="str">
        <f>VLOOKUP(L1062,'Raw material list'!$A$3:$E$715,5,0)</f>
        <v xml:space="preserve">Gram </v>
      </c>
      <c r="O1062" s="80">
        <v>4</v>
      </c>
      <c r="P1062" s="299">
        <f t="shared" si="86"/>
        <v>4</v>
      </c>
      <c r="Q1062" s="303">
        <v>100</v>
      </c>
      <c r="R1062" s="80">
        <v>10</v>
      </c>
      <c r="S1062" s="80"/>
      <c r="T1062" s="105">
        <f t="shared" si="83"/>
        <v>0.4</v>
      </c>
      <c r="U1062" s="105">
        <f t="shared" si="87"/>
        <v>0.4</v>
      </c>
      <c r="V1062" s="104">
        <f>IFERROR(VLOOKUP(L1062,'Raw material list'!$A$2:$S$3102,6,0),0)</f>
        <v>5.0000000000000001E-4</v>
      </c>
      <c r="W1062" s="104">
        <f t="shared" si="88"/>
        <v>2.0000000000000001E-4</v>
      </c>
    </row>
    <row r="1063" spans="1:23" hidden="1" x14ac:dyDescent="0.55000000000000004">
      <c r="A1063" s="41" t="s">
        <v>1557</v>
      </c>
      <c r="B1063" s="58" t="s">
        <v>35</v>
      </c>
      <c r="C1063" s="58" t="s">
        <v>10</v>
      </c>
      <c r="D1063" s="76" t="str">
        <f t="shared" si="90"/>
        <v>Beef Shawarma Wrap</v>
      </c>
      <c r="E1063" s="58" t="s">
        <v>1536</v>
      </c>
      <c r="F1063" s="58" t="s">
        <v>2079</v>
      </c>
      <c r="G1063" s="41" t="s">
        <v>11</v>
      </c>
      <c r="H1063" s="58" t="s">
        <v>1793</v>
      </c>
      <c r="I1063" s="76"/>
      <c r="J1063" s="76"/>
      <c r="K1063" s="58" t="str">
        <f>IFERROR(VLOOKUP(L1063,'Raw material list'!$A$3:$C$715,3,0),"")</f>
        <v>TAP-00001</v>
      </c>
      <c r="L1063" s="76" t="s">
        <v>1405</v>
      </c>
      <c r="M1063" s="80" t="s">
        <v>206</v>
      </c>
      <c r="N1063" s="40" t="str">
        <f>VLOOKUP(L1063,'Raw material list'!$A$3:$E$715,5,0)</f>
        <v>Ml</v>
      </c>
      <c r="O1063" s="80">
        <v>160</v>
      </c>
      <c r="P1063" s="299">
        <f t="shared" si="86"/>
        <v>160</v>
      </c>
      <c r="Q1063" s="80">
        <v>100</v>
      </c>
      <c r="R1063" s="80">
        <v>10</v>
      </c>
      <c r="S1063" s="80"/>
      <c r="T1063" s="105">
        <f t="shared" si="83"/>
        <v>16</v>
      </c>
      <c r="U1063" s="105">
        <f t="shared" si="87"/>
        <v>16</v>
      </c>
      <c r="V1063" s="104">
        <f>IFERROR(VLOOKUP(L1063,'Raw material list'!$A$2:$S$3102,6,0),0)</f>
        <v>8.0000000000000007E-5</v>
      </c>
      <c r="W1063" s="104">
        <f t="shared" si="88"/>
        <v>1.2800000000000001E-3</v>
      </c>
    </row>
    <row r="1064" spans="1:23" hidden="1" x14ac:dyDescent="0.55000000000000004">
      <c r="A1064" s="41" t="s">
        <v>1557</v>
      </c>
      <c r="B1064" s="58" t="s">
        <v>35</v>
      </c>
      <c r="C1064" s="58" t="s">
        <v>10</v>
      </c>
      <c r="D1064" s="76" t="str">
        <f t="shared" si="90"/>
        <v>Beef Shawarma Wrap</v>
      </c>
      <c r="E1064" s="58" t="s">
        <v>1536</v>
      </c>
      <c r="F1064" s="58" t="s">
        <v>2079</v>
      </c>
      <c r="G1064" s="41" t="s">
        <v>11</v>
      </c>
      <c r="H1064" s="58" t="s">
        <v>1793</v>
      </c>
      <c r="I1064" s="76"/>
      <c r="J1064" s="76"/>
      <c r="K1064" s="58" t="str">
        <f>IFERROR(VLOOKUP(L1064,'Raw material list'!$A$3:$C$715,3,0),"")</f>
        <v>DRS1-5153</v>
      </c>
      <c r="L1064" s="76" t="s">
        <v>811</v>
      </c>
      <c r="M1064" s="80" t="s">
        <v>206</v>
      </c>
      <c r="N1064" s="40" t="str">
        <f>VLOOKUP(L1064,'Raw material list'!$A$3:$E$715,5,0)</f>
        <v>Ml</v>
      </c>
      <c r="O1064" s="80">
        <v>15</v>
      </c>
      <c r="P1064" s="299">
        <f t="shared" si="86"/>
        <v>15</v>
      </c>
      <c r="Q1064" s="80">
        <v>100</v>
      </c>
      <c r="R1064" s="80">
        <v>10</v>
      </c>
      <c r="S1064" s="80"/>
      <c r="T1064" s="105">
        <f t="shared" si="83"/>
        <v>1.5</v>
      </c>
      <c r="U1064" s="105">
        <f t="shared" si="87"/>
        <v>1.5</v>
      </c>
      <c r="V1064" s="104">
        <f>IFERROR(VLOOKUP(L1064,'Raw material list'!$A$2:$S$3102,6,0),0)</f>
        <v>1.681E-3</v>
      </c>
      <c r="W1064" s="104">
        <f t="shared" si="88"/>
        <v>2.5214999999999999E-3</v>
      </c>
    </row>
    <row r="1065" spans="1:23" hidden="1" x14ac:dyDescent="0.55000000000000004">
      <c r="A1065" s="41" t="s">
        <v>1557</v>
      </c>
      <c r="B1065" s="58" t="s">
        <v>35</v>
      </c>
      <c r="C1065" s="58" t="s">
        <v>10</v>
      </c>
      <c r="D1065" s="76" t="str">
        <f t="shared" si="90"/>
        <v>Beef Shawarma Wrap</v>
      </c>
      <c r="E1065" s="58" t="s">
        <v>1536</v>
      </c>
      <c r="F1065" s="58" t="s">
        <v>2079</v>
      </c>
      <c r="G1065" s="41" t="s">
        <v>11</v>
      </c>
      <c r="H1065" s="58" t="s">
        <v>1793</v>
      </c>
      <c r="I1065" s="76"/>
      <c r="J1065" s="76"/>
      <c r="K1065" s="58" t="str">
        <f>IFERROR(VLOOKUP(L1065,'Raw material list'!$A$3:$C$715,3,0),"")</f>
        <v>PRD1-4265</v>
      </c>
      <c r="L1065" s="76" t="s">
        <v>38</v>
      </c>
      <c r="M1065" s="80" t="s">
        <v>156</v>
      </c>
      <c r="N1065" s="40" t="str">
        <f>VLOOKUP(L1065,'Raw material list'!$A$3:$E$715,5,0)</f>
        <v xml:space="preserve">Gram </v>
      </c>
      <c r="O1065" s="80">
        <v>200</v>
      </c>
      <c r="P1065" s="299">
        <f t="shared" si="86"/>
        <v>235.29411764705884</v>
      </c>
      <c r="Q1065" s="105">
        <v>85</v>
      </c>
      <c r="R1065" s="80">
        <v>10</v>
      </c>
      <c r="S1065" s="80"/>
      <c r="T1065" s="105">
        <f t="shared" si="83"/>
        <v>20</v>
      </c>
      <c r="U1065" s="105">
        <f t="shared" si="87"/>
        <v>23.529411764705884</v>
      </c>
      <c r="V1065" s="104">
        <f>IFERROR(VLOOKUP(L1065,'Raw material list'!$A$2:$S$3102,6,0),0)</f>
        <v>3.529411764705882E-3</v>
      </c>
      <c r="W1065" s="104">
        <f t="shared" si="88"/>
        <v>8.3044982698961933E-2</v>
      </c>
    </row>
    <row r="1066" spans="1:23" hidden="1" x14ac:dyDescent="0.55000000000000004">
      <c r="A1066" s="41" t="s">
        <v>1557</v>
      </c>
      <c r="B1066" s="58" t="s">
        <v>35</v>
      </c>
      <c r="C1066" s="58" t="s">
        <v>10</v>
      </c>
      <c r="D1066" s="76" t="str">
        <f t="shared" si="90"/>
        <v>Beef Shawarma Wrap</v>
      </c>
      <c r="E1066" s="58" t="s">
        <v>1536</v>
      </c>
      <c r="F1066" s="58" t="s">
        <v>2079</v>
      </c>
      <c r="G1066" s="41" t="s">
        <v>11</v>
      </c>
      <c r="H1066" s="58" t="s">
        <v>1793</v>
      </c>
      <c r="I1066" s="76"/>
      <c r="J1066" s="76"/>
      <c r="K1066" s="58" t="str">
        <f>IFERROR(VLOOKUP(L1066,'Raw material list'!$A$3:$C$715,3,0),"")</f>
        <v>PRD1-227</v>
      </c>
      <c r="L1066" s="76" t="s">
        <v>1038</v>
      </c>
      <c r="M1066" s="80" t="s">
        <v>156</v>
      </c>
      <c r="N1066" s="40" t="str">
        <f>VLOOKUP(L1066,'Raw material list'!$A$3:$E$715,5,0)</f>
        <v xml:space="preserve">Gram </v>
      </c>
      <c r="O1066" s="80">
        <v>30</v>
      </c>
      <c r="P1066" s="299">
        <f t="shared" si="86"/>
        <v>86.538461538461533</v>
      </c>
      <c r="Q1066" s="105">
        <v>34.666666666666671</v>
      </c>
      <c r="R1066" s="80">
        <v>10</v>
      </c>
      <c r="S1066" s="80"/>
      <c r="T1066" s="105">
        <f t="shared" si="83"/>
        <v>3</v>
      </c>
      <c r="U1066" s="105">
        <f t="shared" si="87"/>
        <v>8.6538461538461533</v>
      </c>
      <c r="V1066" s="104">
        <f>IFERROR(VLOOKUP(L1066,'Raw material list'!$A$2:$S$3102,6,0),0)</f>
        <v>1.5850144092219021E-2</v>
      </c>
      <c r="W1066" s="104">
        <f t="shared" si="88"/>
        <v>0.13716470849035689</v>
      </c>
    </row>
    <row r="1067" spans="1:23" hidden="1" x14ac:dyDescent="0.55000000000000004">
      <c r="A1067" s="41" t="s">
        <v>1557</v>
      </c>
      <c r="B1067" s="58" t="s">
        <v>35</v>
      </c>
      <c r="C1067" s="58" t="s">
        <v>10</v>
      </c>
      <c r="D1067" s="76" t="str">
        <f t="shared" si="90"/>
        <v>Beef Shawarma Wrap</v>
      </c>
      <c r="E1067" s="58" t="s">
        <v>1536</v>
      </c>
      <c r="F1067" s="58" t="s">
        <v>2079</v>
      </c>
      <c r="G1067" s="41" t="s">
        <v>11</v>
      </c>
      <c r="H1067" s="58" t="s">
        <v>1793</v>
      </c>
      <c r="I1067" s="76"/>
      <c r="J1067" s="76"/>
      <c r="K1067" s="58" t="str">
        <f>IFERROR(VLOOKUP(L1067,'Raw material list'!$A$3:$C$715,3,0),"")</f>
        <v>DRS6-307</v>
      </c>
      <c r="L1067" s="76" t="s">
        <v>756</v>
      </c>
      <c r="M1067" s="80" t="s">
        <v>156</v>
      </c>
      <c r="N1067" s="40" t="str">
        <f>VLOOKUP(L1067,'Raw material list'!$A$3:$E$715,5,0)</f>
        <v xml:space="preserve">Gram </v>
      </c>
      <c r="O1067" s="80">
        <v>8</v>
      </c>
      <c r="P1067" s="299">
        <f t="shared" si="86"/>
        <v>8</v>
      </c>
      <c r="Q1067" s="303">
        <v>100</v>
      </c>
      <c r="R1067" s="80">
        <v>10</v>
      </c>
      <c r="S1067" s="80"/>
      <c r="T1067" s="105">
        <f t="shared" si="83"/>
        <v>0.8</v>
      </c>
      <c r="U1067" s="105">
        <f t="shared" si="87"/>
        <v>0.8</v>
      </c>
      <c r="V1067" s="104">
        <f>IFERROR(VLOOKUP(L1067,'Raw material list'!$A$2:$S$3102,6,0),0)</f>
        <v>8.0000000000000002E-3</v>
      </c>
      <c r="W1067" s="104">
        <f t="shared" si="88"/>
        <v>6.4000000000000003E-3</v>
      </c>
    </row>
    <row r="1068" spans="1:23" hidden="1" x14ac:dyDescent="0.55000000000000004">
      <c r="A1068" s="41" t="s">
        <v>1557</v>
      </c>
      <c r="B1068" s="58" t="s">
        <v>35</v>
      </c>
      <c r="C1068" s="58" t="s">
        <v>10</v>
      </c>
      <c r="D1068" s="76" t="str">
        <f t="shared" si="90"/>
        <v>Beef Shawarma Wrap</v>
      </c>
      <c r="E1068" s="58" t="s">
        <v>1536</v>
      </c>
      <c r="F1068" s="58" t="s">
        <v>2079</v>
      </c>
      <c r="G1068" s="41" t="s">
        <v>11</v>
      </c>
      <c r="H1068" s="58" t="s">
        <v>1793</v>
      </c>
      <c r="I1068" s="76"/>
      <c r="J1068" s="76"/>
      <c r="K1068" s="58" t="str">
        <f>IFERROR(VLOOKUP(L1068,'Raw material list'!$A$3:$C$715,3,0),"")</f>
        <v>DRS3-1813</v>
      </c>
      <c r="L1068" s="76" t="s">
        <v>69</v>
      </c>
      <c r="M1068" s="80" t="s">
        <v>206</v>
      </c>
      <c r="N1068" s="40" t="str">
        <f>VLOOKUP(L1068,'Raw material list'!$A$3:$E$715,5,0)</f>
        <v>Ml</v>
      </c>
      <c r="O1068" s="80">
        <v>200</v>
      </c>
      <c r="P1068" s="299">
        <f t="shared" si="86"/>
        <v>200</v>
      </c>
      <c r="Q1068" s="80">
        <v>100</v>
      </c>
      <c r="R1068" s="80">
        <v>10</v>
      </c>
      <c r="S1068" s="80"/>
      <c r="T1068" s="105">
        <f t="shared" si="83"/>
        <v>20</v>
      </c>
      <c r="U1068" s="105">
        <f t="shared" si="87"/>
        <v>20</v>
      </c>
      <c r="V1068" s="104">
        <f>IFERROR(VLOOKUP(L1068,'Raw material list'!$A$2:$S$3102,6,0),0)</f>
        <v>8.0555555555555554E-3</v>
      </c>
      <c r="W1068" s="104">
        <f t="shared" si="88"/>
        <v>0.16111111111111109</v>
      </c>
    </row>
    <row r="1069" spans="1:23" hidden="1" x14ac:dyDescent="0.55000000000000004">
      <c r="A1069" s="41" t="s">
        <v>1557</v>
      </c>
      <c r="B1069" s="58" t="s">
        <v>35</v>
      </c>
      <c r="C1069" s="58" t="s">
        <v>10</v>
      </c>
      <c r="D1069" s="76" t="str">
        <f t="shared" si="90"/>
        <v>Beef Shawarma Wrap</v>
      </c>
      <c r="E1069" s="58" t="s">
        <v>1536</v>
      </c>
      <c r="F1069" s="58" t="s">
        <v>2079</v>
      </c>
      <c r="G1069" s="41" t="s">
        <v>11</v>
      </c>
      <c r="H1069" s="58" t="s">
        <v>1793</v>
      </c>
      <c r="I1069" s="76"/>
      <c r="J1069" s="76"/>
      <c r="K1069" s="58" t="str">
        <f>IFERROR(VLOOKUP(L1069,'Raw material list'!$A$3:$C$715,3,0),"")</f>
        <v>PRD2-1166</v>
      </c>
      <c r="L1069" s="76" t="s">
        <v>1470</v>
      </c>
      <c r="M1069" s="80" t="s">
        <v>156</v>
      </c>
      <c r="N1069" s="40" t="str">
        <f>VLOOKUP(L1069,'Raw material list'!$A$3:$E$715,5,0)</f>
        <v xml:space="preserve">Gram </v>
      </c>
      <c r="O1069" s="80">
        <v>800</v>
      </c>
      <c r="P1069" s="299">
        <f t="shared" si="86"/>
        <v>800</v>
      </c>
      <c r="Q1069" s="80">
        <v>100</v>
      </c>
      <c r="R1069" s="80">
        <v>10</v>
      </c>
      <c r="S1069" s="80"/>
      <c r="T1069" s="105">
        <f t="shared" si="83"/>
        <v>80</v>
      </c>
      <c r="U1069" s="105">
        <f t="shared" si="87"/>
        <v>80</v>
      </c>
      <c r="V1069" s="104">
        <f>IFERROR(VLOOKUP(L1069,'Raw material list'!$A$2:$S$3102,6,0),0)</f>
        <v>1.0500000000000001E-2</v>
      </c>
      <c r="W1069" s="104">
        <f t="shared" si="88"/>
        <v>0.84000000000000008</v>
      </c>
    </row>
    <row r="1070" spans="1:23" hidden="1" x14ac:dyDescent="0.55000000000000004">
      <c r="A1070" s="41" t="s">
        <v>1558</v>
      </c>
      <c r="B1070" s="58" t="s">
        <v>35</v>
      </c>
      <c r="C1070" s="58" t="s">
        <v>10</v>
      </c>
      <c r="D1070" s="76" t="s">
        <v>1547</v>
      </c>
      <c r="E1070" s="58" t="s">
        <v>1536</v>
      </c>
      <c r="F1070" s="58" t="s">
        <v>2079</v>
      </c>
      <c r="G1070" s="41" t="s">
        <v>11</v>
      </c>
      <c r="H1070" s="58" t="s">
        <v>1773</v>
      </c>
      <c r="I1070" s="76"/>
      <c r="J1070" s="76"/>
      <c r="K1070" s="58" t="str">
        <f>IFERROR(VLOOKUP(L1070,'Raw material list'!$A$3:$C$715,3,0),"")</f>
        <v>PRD1-4265</v>
      </c>
      <c r="L1070" s="76" t="s">
        <v>38</v>
      </c>
      <c r="M1070" s="80" t="s">
        <v>156</v>
      </c>
      <c r="N1070" s="40" t="str">
        <f>VLOOKUP(L1070,'Raw material list'!$A$3:$E$715,5,0)</f>
        <v xml:space="preserve">Gram </v>
      </c>
      <c r="O1070" s="80">
        <v>200</v>
      </c>
      <c r="P1070" s="299">
        <f t="shared" si="86"/>
        <v>235.29411764705884</v>
      </c>
      <c r="Q1070" s="105">
        <v>85</v>
      </c>
      <c r="R1070" s="80">
        <v>10</v>
      </c>
      <c r="S1070" s="80"/>
      <c r="T1070" s="105">
        <f t="shared" si="83"/>
        <v>20</v>
      </c>
      <c r="U1070" s="105">
        <f t="shared" si="87"/>
        <v>23.529411764705884</v>
      </c>
      <c r="V1070" s="104">
        <f>IFERROR(VLOOKUP(L1070,'Raw material list'!$A$2:$S$3102,6,0),0)</f>
        <v>3.529411764705882E-3</v>
      </c>
      <c r="W1070" s="104">
        <f t="shared" si="88"/>
        <v>8.3044982698961933E-2</v>
      </c>
    </row>
    <row r="1071" spans="1:23" hidden="1" x14ac:dyDescent="0.55000000000000004">
      <c r="A1071" s="41" t="s">
        <v>1558</v>
      </c>
      <c r="B1071" s="58" t="s">
        <v>35</v>
      </c>
      <c r="C1071" s="58" t="s">
        <v>10</v>
      </c>
      <c r="D1071" s="76" t="str">
        <f t="shared" ref="D1071:D1088" si="91">D1070</f>
        <v>Mixed Vegetables Stew vegeterian with white rice</v>
      </c>
      <c r="E1071" s="58" t="s">
        <v>1536</v>
      </c>
      <c r="F1071" s="58" t="s">
        <v>2079</v>
      </c>
      <c r="G1071" s="41" t="s">
        <v>11</v>
      </c>
      <c r="H1071" s="58" t="s">
        <v>1773</v>
      </c>
      <c r="I1071" s="76"/>
      <c r="J1071" s="76"/>
      <c r="K1071" s="58" t="str">
        <f>IFERROR(VLOOKUP(L1071,'Raw material list'!$A$3:$C$715,3,0),"")</f>
        <v>DRS3-1813</v>
      </c>
      <c r="L1071" s="76" t="s">
        <v>69</v>
      </c>
      <c r="M1071" s="80" t="s">
        <v>206</v>
      </c>
      <c r="N1071" s="40" t="str">
        <f>VLOOKUP(L1071,'Raw material list'!$A$3:$E$715,5,0)</f>
        <v>Ml</v>
      </c>
      <c r="O1071" s="80">
        <v>20</v>
      </c>
      <c r="P1071" s="299">
        <f t="shared" si="86"/>
        <v>20</v>
      </c>
      <c r="Q1071" s="303">
        <v>100</v>
      </c>
      <c r="R1071" s="80">
        <v>10</v>
      </c>
      <c r="S1071" s="80"/>
      <c r="T1071" s="105">
        <f t="shared" si="83"/>
        <v>2</v>
      </c>
      <c r="U1071" s="105">
        <f t="shared" si="87"/>
        <v>2</v>
      </c>
      <c r="V1071" s="104">
        <f>IFERROR(VLOOKUP(L1071,'Raw material list'!$A$2:$S$3102,6,0),0)</f>
        <v>8.0555555555555554E-3</v>
      </c>
      <c r="W1071" s="104">
        <f t="shared" si="88"/>
        <v>1.6111111111111111E-2</v>
      </c>
    </row>
    <row r="1072" spans="1:23" hidden="1" x14ac:dyDescent="0.55000000000000004">
      <c r="A1072" s="41" t="s">
        <v>1558</v>
      </c>
      <c r="B1072" s="58" t="s">
        <v>35</v>
      </c>
      <c r="C1072" s="58" t="s">
        <v>10</v>
      </c>
      <c r="D1072" s="76" t="str">
        <f t="shared" si="91"/>
        <v>Mixed Vegetables Stew vegeterian with white rice</v>
      </c>
      <c r="E1072" s="58" t="s">
        <v>1536</v>
      </c>
      <c r="F1072" s="58" t="s">
        <v>2079</v>
      </c>
      <c r="G1072" s="41" t="s">
        <v>11</v>
      </c>
      <c r="H1072" s="58" t="s">
        <v>1773</v>
      </c>
      <c r="I1072" s="76"/>
      <c r="J1072" s="76"/>
      <c r="K1072" s="58" t="str">
        <f>IFERROR(VLOOKUP(L1072,'Raw material list'!$A$3:$C$715,3,0),"")</f>
        <v>PRD1-4327</v>
      </c>
      <c r="L1072" s="76" t="s">
        <v>39</v>
      </c>
      <c r="M1072" s="80" t="s">
        <v>156</v>
      </c>
      <c r="N1072" s="40" t="str">
        <f>VLOOKUP(L1072,'Raw material list'!$A$3:$E$715,5,0)</f>
        <v xml:space="preserve">Gram </v>
      </c>
      <c r="O1072" s="80">
        <v>15</v>
      </c>
      <c r="P1072" s="299">
        <f t="shared" si="86"/>
        <v>18.072289156626507</v>
      </c>
      <c r="Q1072" s="105">
        <v>83</v>
      </c>
      <c r="R1072" s="80">
        <v>10</v>
      </c>
      <c r="S1072" s="80"/>
      <c r="T1072" s="105">
        <f t="shared" si="83"/>
        <v>1.5</v>
      </c>
      <c r="U1072" s="105">
        <f t="shared" si="87"/>
        <v>1.8072289156626506</v>
      </c>
      <c r="V1072" s="104">
        <f>IFERROR(VLOOKUP(L1072,'Raw material list'!$A$2:$S$3102,6,0),0)</f>
        <v>1.2999999999999999E-2</v>
      </c>
      <c r="W1072" s="104">
        <f t="shared" si="88"/>
        <v>2.3493975903614458E-2</v>
      </c>
    </row>
    <row r="1073" spans="1:23" hidden="1" x14ac:dyDescent="0.55000000000000004">
      <c r="A1073" s="41" t="s">
        <v>1558</v>
      </c>
      <c r="B1073" s="58" t="s">
        <v>35</v>
      </c>
      <c r="C1073" s="58" t="s">
        <v>10</v>
      </c>
      <c r="D1073" s="76" t="str">
        <f t="shared" si="91"/>
        <v>Mixed Vegetables Stew vegeterian with white rice</v>
      </c>
      <c r="E1073" s="58" t="s">
        <v>1536</v>
      </c>
      <c r="F1073" s="58" t="s">
        <v>2079</v>
      </c>
      <c r="G1073" s="41" t="s">
        <v>11</v>
      </c>
      <c r="H1073" s="58" t="s">
        <v>1773</v>
      </c>
      <c r="I1073" s="76"/>
      <c r="J1073" s="76"/>
      <c r="K1073" s="58" t="str">
        <f>IFERROR(VLOOKUP(L1073,'Raw material list'!$A$3:$C$715,3,0),"")</f>
        <v>PRD1-230</v>
      </c>
      <c r="L1073" s="76" t="s">
        <v>70</v>
      </c>
      <c r="M1073" s="80" t="s">
        <v>156</v>
      </c>
      <c r="N1073" s="40" t="str">
        <f>VLOOKUP(L1073,'Raw material list'!$A$3:$E$715,5,0)</f>
        <v xml:space="preserve">Gram </v>
      </c>
      <c r="O1073" s="80">
        <v>800</v>
      </c>
      <c r="P1073" s="299">
        <f t="shared" si="86"/>
        <v>1079.6221322537112</v>
      </c>
      <c r="Q1073" s="105">
        <v>74.099999999999994</v>
      </c>
      <c r="R1073" s="80">
        <v>10</v>
      </c>
      <c r="S1073" s="80"/>
      <c r="T1073" s="105">
        <f t="shared" si="83"/>
        <v>80</v>
      </c>
      <c r="U1073" s="105">
        <f t="shared" si="87"/>
        <v>107.96221322537113</v>
      </c>
      <c r="V1073" s="104">
        <f>IFERROR(VLOOKUP(L1073,'Raw material list'!$A$2:$S$3102,6,0),0)</f>
        <v>3.3738191632928472E-3</v>
      </c>
      <c r="W1073" s="104">
        <f t="shared" si="88"/>
        <v>0.36424498389126558</v>
      </c>
    </row>
    <row r="1074" spans="1:23" hidden="1" x14ac:dyDescent="0.55000000000000004">
      <c r="A1074" s="41" t="s">
        <v>1558</v>
      </c>
      <c r="B1074" s="58" t="s">
        <v>35</v>
      </c>
      <c r="C1074" s="58" t="s">
        <v>10</v>
      </c>
      <c r="D1074" s="76" t="str">
        <f t="shared" si="91"/>
        <v>Mixed Vegetables Stew vegeterian with white rice</v>
      </c>
      <c r="E1074" s="58" t="s">
        <v>1536</v>
      </c>
      <c r="F1074" s="58" t="s">
        <v>2079</v>
      </c>
      <c r="G1074" s="41" t="s">
        <v>11</v>
      </c>
      <c r="H1074" s="58" t="s">
        <v>1773</v>
      </c>
      <c r="I1074" s="76"/>
      <c r="J1074" s="76"/>
      <c r="K1074" s="58" t="str">
        <f>IFERROR(VLOOKUP(L1074,'Raw material list'!$A$3:$C$715,3,0),"")</f>
        <v>PRD1-3546</v>
      </c>
      <c r="L1074" s="76" t="s">
        <v>971</v>
      </c>
      <c r="M1074" s="80" t="s">
        <v>156</v>
      </c>
      <c r="N1074" s="40" t="str">
        <f>VLOOKUP(L1074,'Raw material list'!$A$3:$E$715,5,0)</f>
        <v xml:space="preserve">Gram </v>
      </c>
      <c r="O1074" s="80">
        <v>250</v>
      </c>
      <c r="P1074" s="299">
        <f t="shared" si="86"/>
        <v>306.12244897959181</v>
      </c>
      <c r="Q1074" s="105">
        <v>81.666666666666671</v>
      </c>
      <c r="R1074" s="80">
        <v>10</v>
      </c>
      <c r="S1074" s="80"/>
      <c r="T1074" s="105">
        <f t="shared" si="83"/>
        <v>25</v>
      </c>
      <c r="U1074" s="105">
        <f t="shared" si="87"/>
        <v>30.612244897959179</v>
      </c>
      <c r="V1074" s="104">
        <f>IFERROR(VLOOKUP(L1074,'Raw material list'!$A$2:$S$3102,6,0),0)</f>
        <v>0.04</v>
      </c>
      <c r="W1074" s="104">
        <f t="shared" si="88"/>
        <v>1.2244897959183672</v>
      </c>
    </row>
    <row r="1075" spans="1:23" hidden="1" x14ac:dyDescent="0.55000000000000004">
      <c r="A1075" s="41" t="s">
        <v>1558</v>
      </c>
      <c r="B1075" s="58" t="s">
        <v>35</v>
      </c>
      <c r="C1075" s="58" t="s">
        <v>10</v>
      </c>
      <c r="D1075" s="76" t="str">
        <f t="shared" si="91"/>
        <v>Mixed Vegetables Stew vegeterian with white rice</v>
      </c>
      <c r="E1075" s="58" t="s">
        <v>1536</v>
      </c>
      <c r="F1075" s="58" t="s">
        <v>2079</v>
      </c>
      <c r="G1075" s="41" t="s">
        <v>11</v>
      </c>
      <c r="H1075" s="58" t="s">
        <v>1773</v>
      </c>
      <c r="I1075" s="76"/>
      <c r="J1075" s="76"/>
      <c r="K1075" s="58" t="str">
        <f>IFERROR(VLOOKUP(L1075,'Raw material list'!$A$3:$C$715,3,0),"")</f>
        <v>PRD1-3794</v>
      </c>
      <c r="L1075" s="76" t="s">
        <v>973</v>
      </c>
      <c r="M1075" s="80" t="s">
        <v>156</v>
      </c>
      <c r="N1075" s="40" t="str">
        <f>VLOOKUP(L1075,'Raw material list'!$A$3:$E$715,5,0)</f>
        <v xml:space="preserve">Gram </v>
      </c>
      <c r="O1075" s="80">
        <v>250</v>
      </c>
      <c r="P1075" s="299">
        <f t="shared" si="86"/>
        <v>308.64197530864197</v>
      </c>
      <c r="Q1075" s="105">
        <v>81</v>
      </c>
      <c r="R1075" s="80">
        <v>10</v>
      </c>
      <c r="S1075" s="80"/>
      <c r="T1075" s="105">
        <f t="shared" si="83"/>
        <v>25</v>
      </c>
      <c r="U1075" s="105">
        <f t="shared" si="87"/>
        <v>30.864197530864196</v>
      </c>
      <c r="V1075" s="104">
        <f>IFERROR(VLOOKUP(L1075,'Raw material list'!$A$2:$S$3102,6,0),0)</f>
        <v>4.9382716049382715E-3</v>
      </c>
      <c r="W1075" s="104">
        <f t="shared" si="88"/>
        <v>0.15241579027587257</v>
      </c>
    </row>
    <row r="1076" spans="1:23" hidden="1" x14ac:dyDescent="0.55000000000000004">
      <c r="A1076" s="41" t="s">
        <v>1558</v>
      </c>
      <c r="B1076" s="58" t="s">
        <v>35</v>
      </c>
      <c r="C1076" s="58" t="s">
        <v>10</v>
      </c>
      <c r="D1076" s="76" t="str">
        <f t="shared" si="91"/>
        <v>Mixed Vegetables Stew vegeterian with white rice</v>
      </c>
      <c r="E1076" s="58" t="s">
        <v>1536</v>
      </c>
      <c r="F1076" s="58" t="s">
        <v>2079</v>
      </c>
      <c r="G1076" s="41" t="s">
        <v>11</v>
      </c>
      <c r="H1076" s="58" t="s">
        <v>1773</v>
      </c>
      <c r="I1076" s="76"/>
      <c r="J1076" s="76"/>
      <c r="K1076" s="58" t="str">
        <f>IFERROR(VLOOKUP(L1076,'Raw material list'!$A$3:$C$715,3,0),"")</f>
        <v>PRD2-3567</v>
      </c>
      <c r="L1076" s="76" t="s">
        <v>133</v>
      </c>
      <c r="M1076" s="80" t="s">
        <v>156</v>
      </c>
      <c r="N1076" s="40" t="str">
        <f>VLOOKUP(L1076,'Raw material list'!$A$3:$E$715,5,0)</f>
        <v xml:space="preserve">Gram </v>
      </c>
      <c r="O1076" s="80">
        <v>250</v>
      </c>
      <c r="P1076" s="299">
        <f t="shared" si="86"/>
        <v>250</v>
      </c>
      <c r="Q1076" s="303">
        <v>100</v>
      </c>
      <c r="R1076" s="80">
        <v>10</v>
      </c>
      <c r="S1076" s="80"/>
      <c r="T1076" s="105">
        <f t="shared" si="83"/>
        <v>25</v>
      </c>
      <c r="U1076" s="105">
        <f t="shared" si="87"/>
        <v>25</v>
      </c>
      <c r="V1076" s="104">
        <f>IFERROR(VLOOKUP(L1076,'Raw material list'!$A$2:$S$3102,6,0),0)</f>
        <v>1.40625E-2</v>
      </c>
      <c r="W1076" s="104">
        <f t="shared" si="88"/>
        <v>0.3515625</v>
      </c>
    </row>
    <row r="1077" spans="1:23" hidden="1" x14ac:dyDescent="0.55000000000000004">
      <c r="A1077" s="41" t="s">
        <v>1558</v>
      </c>
      <c r="B1077" s="58" t="s">
        <v>35</v>
      </c>
      <c r="C1077" s="58" t="s">
        <v>10</v>
      </c>
      <c r="D1077" s="76" t="str">
        <f t="shared" si="91"/>
        <v>Mixed Vegetables Stew vegeterian with white rice</v>
      </c>
      <c r="E1077" s="58" t="s">
        <v>1536</v>
      </c>
      <c r="F1077" s="58" t="s">
        <v>2079</v>
      </c>
      <c r="G1077" s="41" t="s">
        <v>11</v>
      </c>
      <c r="H1077" s="58" t="s">
        <v>1773</v>
      </c>
      <c r="I1077" s="76"/>
      <c r="J1077" s="76"/>
      <c r="K1077" s="58" t="str">
        <f>IFERROR(VLOOKUP(L1077,'Raw material list'!$A$3:$C$715,3,0),"")</f>
        <v>DRS1-1747</v>
      </c>
      <c r="L1077" s="76" t="s">
        <v>44</v>
      </c>
      <c r="M1077" s="80" t="s">
        <v>156</v>
      </c>
      <c r="N1077" s="40" t="str">
        <f>VLOOKUP(L1077,'Raw material list'!$A$3:$E$715,5,0)</f>
        <v xml:space="preserve">Gram </v>
      </c>
      <c r="O1077" s="80">
        <v>60</v>
      </c>
      <c r="P1077" s="299">
        <f t="shared" si="86"/>
        <v>60</v>
      </c>
      <c r="Q1077" s="80">
        <v>100</v>
      </c>
      <c r="R1077" s="80">
        <v>10</v>
      </c>
      <c r="S1077" s="80"/>
      <c r="T1077" s="105">
        <f t="shared" si="83"/>
        <v>6</v>
      </c>
      <c r="U1077" s="105">
        <f t="shared" si="87"/>
        <v>6</v>
      </c>
      <c r="V1077" s="104">
        <f>IFERROR(VLOOKUP(L1077,'Raw material list'!$A$2:$S$3102,6,0),0)</f>
        <v>5.185185185185185E-3</v>
      </c>
      <c r="W1077" s="104">
        <f t="shared" si="88"/>
        <v>3.111111111111111E-2</v>
      </c>
    </row>
    <row r="1078" spans="1:23" hidden="1" x14ac:dyDescent="0.55000000000000004">
      <c r="A1078" s="41" t="s">
        <v>1558</v>
      </c>
      <c r="B1078" s="58" t="s">
        <v>35</v>
      </c>
      <c r="C1078" s="58" t="s">
        <v>10</v>
      </c>
      <c r="D1078" s="76" t="str">
        <f t="shared" si="91"/>
        <v>Mixed Vegetables Stew vegeterian with white rice</v>
      </c>
      <c r="E1078" s="58" t="s">
        <v>1536</v>
      </c>
      <c r="F1078" s="58" t="s">
        <v>2079</v>
      </c>
      <c r="G1078" s="41" t="s">
        <v>11</v>
      </c>
      <c r="H1078" s="58" t="s">
        <v>1773</v>
      </c>
      <c r="I1078" s="76"/>
      <c r="J1078" s="76"/>
      <c r="K1078" s="58" t="str">
        <f>IFERROR(VLOOKUP(L1078,'Raw material list'!$A$3:$C$715,3,0),"")</f>
        <v>DRS1-4417</v>
      </c>
      <c r="L1078" s="76" t="s">
        <v>88</v>
      </c>
      <c r="M1078" s="80" t="s">
        <v>156</v>
      </c>
      <c r="N1078" s="40" t="str">
        <f>VLOOKUP(L1078,'Raw material list'!$A$3:$E$715,5,0)</f>
        <v xml:space="preserve">Gram </v>
      </c>
      <c r="O1078" s="80">
        <v>10</v>
      </c>
      <c r="P1078" s="299">
        <f t="shared" si="86"/>
        <v>10</v>
      </c>
      <c r="Q1078" s="80">
        <v>100</v>
      </c>
      <c r="R1078" s="80">
        <v>10</v>
      </c>
      <c r="S1078" s="80"/>
      <c r="T1078" s="105">
        <f t="shared" ref="T1078:T1141" si="92">IFERROR(O1078/R1078,0)</f>
        <v>1</v>
      </c>
      <c r="U1078" s="105">
        <f t="shared" si="87"/>
        <v>1</v>
      </c>
      <c r="V1078" s="104">
        <f>IFERROR(VLOOKUP(L1078,'Raw material list'!$A$2:$S$3102,6,0),0)</f>
        <v>3.6754545454545456E-2</v>
      </c>
      <c r="W1078" s="104">
        <f t="shared" si="88"/>
        <v>3.6754545454545456E-2</v>
      </c>
    </row>
    <row r="1079" spans="1:23" hidden="1" x14ac:dyDescent="0.55000000000000004">
      <c r="A1079" s="41" t="s">
        <v>1558</v>
      </c>
      <c r="B1079" s="58" t="s">
        <v>35</v>
      </c>
      <c r="C1079" s="58" t="s">
        <v>10</v>
      </c>
      <c r="D1079" s="76" t="str">
        <f t="shared" si="91"/>
        <v>Mixed Vegetables Stew vegeterian with white rice</v>
      </c>
      <c r="E1079" s="58" t="s">
        <v>1536</v>
      </c>
      <c r="F1079" s="58" t="s">
        <v>2079</v>
      </c>
      <c r="G1079" s="41" t="s">
        <v>11</v>
      </c>
      <c r="H1079" s="58" t="s">
        <v>1773</v>
      </c>
      <c r="I1079" s="76"/>
      <c r="J1079" s="76"/>
      <c r="K1079" s="58" t="str">
        <f>IFERROR(VLOOKUP(L1079,'Raw material list'!$A$3:$C$715,3,0),"")</f>
        <v>DRS1-3880</v>
      </c>
      <c r="L1079" s="76" t="s">
        <v>1433</v>
      </c>
      <c r="M1079" s="80" t="s">
        <v>156</v>
      </c>
      <c r="N1079" s="40" t="str">
        <f>VLOOKUP(L1079,'Raw material list'!$A$3:$E$715,5,0)</f>
        <v xml:space="preserve">Gram </v>
      </c>
      <c r="O1079" s="80">
        <v>10</v>
      </c>
      <c r="P1079" s="299">
        <f t="shared" si="86"/>
        <v>10</v>
      </c>
      <c r="Q1079" s="80">
        <v>100</v>
      </c>
      <c r="R1079" s="80">
        <v>10</v>
      </c>
      <c r="S1079" s="80"/>
      <c r="T1079" s="105">
        <f t="shared" si="92"/>
        <v>1</v>
      </c>
      <c r="U1079" s="105">
        <f t="shared" si="87"/>
        <v>1</v>
      </c>
      <c r="V1079" s="104">
        <f>IFERROR(VLOOKUP(L1079,'Raw material list'!$A$2:$S$3102,6,0),0)</f>
        <v>5.0000000000000001E-4</v>
      </c>
      <c r="W1079" s="104">
        <f t="shared" si="88"/>
        <v>5.0000000000000001E-4</v>
      </c>
    </row>
    <row r="1080" spans="1:23" hidden="1" x14ac:dyDescent="0.55000000000000004">
      <c r="A1080" s="41" t="s">
        <v>1558</v>
      </c>
      <c r="B1080" s="58" t="s">
        <v>35</v>
      </c>
      <c r="C1080" s="58" t="s">
        <v>10</v>
      </c>
      <c r="D1080" s="76" t="str">
        <f t="shared" si="91"/>
        <v>Mixed Vegetables Stew vegeterian with white rice</v>
      </c>
      <c r="E1080" s="58" t="s">
        <v>1536</v>
      </c>
      <c r="F1080" s="58" t="s">
        <v>2079</v>
      </c>
      <c r="G1080" s="41" t="s">
        <v>11</v>
      </c>
      <c r="H1080" s="58" t="s">
        <v>1773</v>
      </c>
      <c r="I1080" s="76"/>
      <c r="J1080" s="76"/>
      <c r="K1080" s="58" t="str">
        <f>IFERROR(VLOOKUP(L1080,'Raw material list'!$A$3:$C$715,3,0),"")</f>
        <v>DRS6-537</v>
      </c>
      <c r="L1080" s="76" t="s">
        <v>46</v>
      </c>
      <c r="M1080" s="80" t="s">
        <v>156</v>
      </c>
      <c r="N1080" s="40" t="str">
        <f>VLOOKUP(L1080,'Raw material list'!$A$3:$E$715,5,0)</f>
        <v xml:space="preserve">Gram </v>
      </c>
      <c r="O1080" s="80">
        <v>2</v>
      </c>
      <c r="P1080" s="299">
        <f t="shared" si="86"/>
        <v>2</v>
      </c>
      <c r="Q1080" s="80">
        <v>100</v>
      </c>
      <c r="R1080" s="80">
        <v>10</v>
      </c>
      <c r="S1080" s="80"/>
      <c r="T1080" s="105">
        <f t="shared" si="92"/>
        <v>0.2</v>
      </c>
      <c r="U1080" s="105">
        <f t="shared" si="87"/>
        <v>0.2</v>
      </c>
      <c r="V1080" s="104">
        <f>IFERROR(VLOOKUP(L1080,'Raw material list'!$A$2:$S$3102,6,0),0)</f>
        <v>3.5000000000000003E-2</v>
      </c>
      <c r="W1080" s="104">
        <f t="shared" si="88"/>
        <v>7.000000000000001E-3</v>
      </c>
    </row>
    <row r="1081" spans="1:23" hidden="1" x14ac:dyDescent="0.55000000000000004">
      <c r="A1081" s="41" t="s">
        <v>1558</v>
      </c>
      <c r="B1081" s="58" t="s">
        <v>35</v>
      </c>
      <c r="C1081" s="58" t="s">
        <v>10</v>
      </c>
      <c r="D1081" s="76" t="str">
        <f t="shared" si="91"/>
        <v>Mixed Vegetables Stew vegeterian with white rice</v>
      </c>
      <c r="E1081" s="58" t="s">
        <v>1536</v>
      </c>
      <c r="F1081" s="58" t="s">
        <v>2079</v>
      </c>
      <c r="G1081" s="41" t="s">
        <v>11</v>
      </c>
      <c r="H1081" s="58" t="s">
        <v>1773</v>
      </c>
      <c r="I1081" s="76"/>
      <c r="J1081" s="76"/>
      <c r="K1081" s="58" t="str">
        <f>IFERROR(VLOOKUP(L1081,'Raw material list'!$A$3:$C$715,3,0),"")</f>
        <v>DRS1-607</v>
      </c>
      <c r="L1081" s="76" t="s">
        <v>250</v>
      </c>
      <c r="M1081" s="80" t="s">
        <v>156</v>
      </c>
      <c r="N1081" s="40" t="str">
        <f>VLOOKUP(L1081,'Raw material list'!$A$3:$E$715,5,0)</f>
        <v xml:space="preserve">Gram </v>
      </c>
      <c r="O1081" s="80">
        <v>1000</v>
      </c>
      <c r="P1081" s="299">
        <f t="shared" si="86"/>
        <v>1000</v>
      </c>
      <c r="Q1081" s="80">
        <v>100</v>
      </c>
      <c r="R1081" s="80">
        <v>10</v>
      </c>
      <c r="S1081" s="80"/>
      <c r="T1081" s="105">
        <f t="shared" si="92"/>
        <v>100</v>
      </c>
      <c r="U1081" s="105">
        <f t="shared" si="87"/>
        <v>100</v>
      </c>
      <c r="V1081" s="104">
        <f>IFERROR(VLOOKUP(L1081,'Raw material list'!$A$2:$S$3102,6,0),0)</f>
        <v>5.8823529411764705E-3</v>
      </c>
      <c r="W1081" s="104">
        <f t="shared" si="88"/>
        <v>0.58823529411764708</v>
      </c>
    </row>
    <row r="1082" spans="1:23" hidden="1" x14ac:dyDescent="0.55000000000000004">
      <c r="A1082" s="41" t="s">
        <v>1558</v>
      </c>
      <c r="B1082" s="58" t="s">
        <v>35</v>
      </c>
      <c r="C1082" s="58" t="s">
        <v>10</v>
      </c>
      <c r="D1082" s="76" t="str">
        <f t="shared" si="91"/>
        <v>Mixed Vegetables Stew vegeterian with white rice</v>
      </c>
      <c r="E1082" s="58" t="s">
        <v>1536</v>
      </c>
      <c r="F1082" s="58" t="s">
        <v>2079</v>
      </c>
      <c r="G1082" s="41" t="s">
        <v>11</v>
      </c>
      <c r="H1082" s="58" t="s">
        <v>1773</v>
      </c>
      <c r="I1082" s="76"/>
      <c r="J1082" s="76"/>
      <c r="K1082" s="58" t="str">
        <f>IFERROR(VLOOKUP(L1082,'Raw material list'!$A$3:$C$715,3,0),"")</f>
        <v>TAP-00001</v>
      </c>
      <c r="L1082" s="76" t="s">
        <v>1405</v>
      </c>
      <c r="M1082" s="80" t="s">
        <v>206</v>
      </c>
      <c r="N1082" s="40" t="str">
        <f>VLOOKUP(L1082,'Raw material list'!$A$3:$E$715,5,0)</f>
        <v>Ml</v>
      </c>
      <c r="O1082" s="80">
        <v>1000</v>
      </c>
      <c r="P1082" s="299">
        <f t="shared" si="86"/>
        <v>1000</v>
      </c>
      <c r="Q1082" s="80">
        <v>100</v>
      </c>
      <c r="R1082" s="80">
        <v>10</v>
      </c>
      <c r="S1082" s="80"/>
      <c r="T1082" s="105">
        <f t="shared" si="92"/>
        <v>100</v>
      </c>
      <c r="U1082" s="105">
        <f t="shared" si="87"/>
        <v>100</v>
      </c>
      <c r="V1082" s="104">
        <f>IFERROR(VLOOKUP(L1082,'Raw material list'!$A$2:$S$3102,6,0),0)</f>
        <v>8.0000000000000007E-5</v>
      </c>
      <c r="W1082" s="104">
        <f t="shared" si="88"/>
        <v>8.0000000000000002E-3</v>
      </c>
    </row>
    <row r="1083" spans="1:23" hidden="1" x14ac:dyDescent="0.55000000000000004">
      <c r="A1083" s="41" t="s">
        <v>1558</v>
      </c>
      <c r="B1083" s="58" t="s">
        <v>35</v>
      </c>
      <c r="C1083" s="58" t="s">
        <v>10</v>
      </c>
      <c r="D1083" s="76" t="str">
        <f t="shared" si="91"/>
        <v>Mixed Vegetables Stew vegeterian with white rice</v>
      </c>
      <c r="E1083" s="58" t="s">
        <v>1536</v>
      </c>
      <c r="F1083" s="58" t="s">
        <v>2079</v>
      </c>
      <c r="G1083" s="41" t="s">
        <v>11</v>
      </c>
      <c r="H1083" s="58" t="s">
        <v>1773</v>
      </c>
      <c r="I1083" s="76"/>
      <c r="J1083" s="76"/>
      <c r="K1083" s="58" t="str">
        <f>IFERROR(VLOOKUP(L1083,'Raw material list'!$A$3:$C$715,3,0),"")</f>
        <v>DRS4-498</v>
      </c>
      <c r="L1083" s="76" t="s">
        <v>72</v>
      </c>
      <c r="M1083" s="80" t="s">
        <v>156</v>
      </c>
      <c r="N1083" s="40" t="str">
        <f>VLOOKUP(L1083,'Raw material list'!$A$3:$E$715,5,0)</f>
        <v xml:space="preserve">Gram </v>
      </c>
      <c r="O1083" s="80">
        <v>800</v>
      </c>
      <c r="P1083" s="299">
        <f t="shared" si="86"/>
        <v>800</v>
      </c>
      <c r="Q1083" s="80">
        <v>100</v>
      </c>
      <c r="R1083" s="80">
        <v>10</v>
      </c>
      <c r="S1083" s="80"/>
      <c r="T1083" s="105">
        <f t="shared" si="92"/>
        <v>80</v>
      </c>
      <c r="U1083" s="105">
        <f t="shared" si="87"/>
        <v>80</v>
      </c>
      <c r="V1083" s="104">
        <f>IFERROR(VLOOKUP(L1083,'Raw material list'!$A$2:$S$3102,6,0),0)</f>
        <v>5.7499999999999999E-3</v>
      </c>
      <c r="W1083" s="104">
        <f t="shared" si="88"/>
        <v>0.45999999999999996</v>
      </c>
    </row>
    <row r="1084" spans="1:23" hidden="1" x14ac:dyDescent="0.55000000000000004">
      <c r="A1084" s="41" t="s">
        <v>1558</v>
      </c>
      <c r="B1084" s="58" t="s">
        <v>35</v>
      </c>
      <c r="C1084" s="58" t="s">
        <v>10</v>
      </c>
      <c r="D1084" s="76" t="str">
        <f t="shared" si="91"/>
        <v>Mixed Vegetables Stew vegeterian with white rice</v>
      </c>
      <c r="E1084" s="58" t="s">
        <v>1536</v>
      </c>
      <c r="F1084" s="58" t="s">
        <v>2079</v>
      </c>
      <c r="G1084" s="41" t="s">
        <v>11</v>
      </c>
      <c r="H1084" s="58" t="s">
        <v>1773</v>
      </c>
      <c r="I1084" s="76"/>
      <c r="J1084" s="76"/>
      <c r="K1084" s="58" t="str">
        <f>IFERROR(VLOOKUP(L1084,'Raw material list'!$A$3:$C$715,3,0),"")</f>
        <v>DRS1-3880</v>
      </c>
      <c r="L1084" s="76" t="s">
        <v>1433</v>
      </c>
      <c r="M1084" s="80" t="s">
        <v>156</v>
      </c>
      <c r="N1084" s="40" t="str">
        <f>VLOOKUP(L1084,'Raw material list'!$A$3:$E$715,5,0)</f>
        <v xml:space="preserve">Gram </v>
      </c>
      <c r="O1084" s="80">
        <v>10</v>
      </c>
      <c r="P1084" s="299">
        <f t="shared" si="86"/>
        <v>10</v>
      </c>
      <c r="Q1084" s="80">
        <v>100</v>
      </c>
      <c r="R1084" s="80">
        <v>10</v>
      </c>
      <c r="S1084" s="80"/>
      <c r="T1084" s="105">
        <f t="shared" si="92"/>
        <v>1</v>
      </c>
      <c r="U1084" s="105">
        <f t="shared" si="87"/>
        <v>1</v>
      </c>
      <c r="V1084" s="104">
        <f>IFERROR(VLOOKUP(L1084,'Raw material list'!$A$2:$S$3102,6,0),0)</f>
        <v>5.0000000000000001E-4</v>
      </c>
      <c r="W1084" s="104">
        <f t="shared" si="88"/>
        <v>5.0000000000000001E-4</v>
      </c>
    </row>
    <row r="1085" spans="1:23" hidden="1" x14ac:dyDescent="0.55000000000000004">
      <c r="A1085" s="41" t="s">
        <v>1558</v>
      </c>
      <c r="B1085" s="58" t="s">
        <v>35</v>
      </c>
      <c r="C1085" s="58" t="s">
        <v>10</v>
      </c>
      <c r="D1085" s="76" t="str">
        <f t="shared" si="91"/>
        <v>Mixed Vegetables Stew vegeterian with white rice</v>
      </c>
      <c r="E1085" s="58" t="s">
        <v>1536</v>
      </c>
      <c r="F1085" s="58" t="s">
        <v>2079</v>
      </c>
      <c r="G1085" s="41" t="s">
        <v>11</v>
      </c>
      <c r="H1085" s="58" t="s">
        <v>1773</v>
      </c>
      <c r="I1085" s="76"/>
      <c r="J1085" s="76"/>
      <c r="K1085" s="58" t="str">
        <f>IFERROR(VLOOKUP(L1085,'Raw material list'!$A$3:$C$715,3,0),"")</f>
        <v>DRS3-1813</v>
      </c>
      <c r="L1085" s="76" t="s">
        <v>69</v>
      </c>
      <c r="M1085" s="80" t="s">
        <v>206</v>
      </c>
      <c r="N1085" s="40" t="str">
        <f>VLOOKUP(L1085,'Raw material list'!$A$3:$E$715,5,0)</f>
        <v>Ml</v>
      </c>
      <c r="O1085" s="80">
        <v>40</v>
      </c>
      <c r="P1085" s="299">
        <f t="shared" si="86"/>
        <v>40</v>
      </c>
      <c r="Q1085" s="80">
        <v>100</v>
      </c>
      <c r="R1085" s="80">
        <v>10</v>
      </c>
      <c r="S1085" s="80"/>
      <c r="T1085" s="105">
        <f t="shared" si="92"/>
        <v>4</v>
      </c>
      <c r="U1085" s="105">
        <f t="shared" si="87"/>
        <v>4</v>
      </c>
      <c r="V1085" s="104">
        <f>IFERROR(VLOOKUP(L1085,'Raw material list'!$A$2:$S$3102,6,0),0)</f>
        <v>8.0555555555555554E-3</v>
      </c>
      <c r="W1085" s="104">
        <f t="shared" si="88"/>
        <v>3.2222222222222222E-2</v>
      </c>
    </row>
    <row r="1086" spans="1:23" hidden="1" x14ac:dyDescent="0.55000000000000004">
      <c r="A1086" s="41" t="s">
        <v>1558</v>
      </c>
      <c r="B1086" s="58" t="s">
        <v>35</v>
      </c>
      <c r="C1086" s="58" t="s">
        <v>10</v>
      </c>
      <c r="D1086" s="76" t="str">
        <f t="shared" si="91"/>
        <v>Mixed Vegetables Stew vegeterian with white rice</v>
      </c>
      <c r="E1086" s="58" t="s">
        <v>1536</v>
      </c>
      <c r="F1086" s="58" t="s">
        <v>2079</v>
      </c>
      <c r="G1086" s="41" t="s">
        <v>11</v>
      </c>
      <c r="H1086" s="58" t="s">
        <v>1773</v>
      </c>
      <c r="I1086" s="76"/>
      <c r="J1086" s="76"/>
      <c r="K1086" s="58" t="str">
        <f>IFERROR(VLOOKUP(L1086,'Raw material list'!$A$3:$C$715,3,0),"")</f>
        <v>DRS6-3593</v>
      </c>
      <c r="L1086" s="76" t="s">
        <v>1407</v>
      </c>
      <c r="M1086" s="80" t="s">
        <v>156</v>
      </c>
      <c r="N1086" s="40" t="str">
        <f>VLOOKUP(L1086,'Raw material list'!$A$3:$E$715,5,0)</f>
        <v xml:space="preserve">Gram </v>
      </c>
      <c r="O1086" s="80">
        <v>1</v>
      </c>
      <c r="P1086" s="299">
        <f t="shared" si="86"/>
        <v>1</v>
      </c>
      <c r="Q1086" s="80">
        <v>100</v>
      </c>
      <c r="R1086" s="80">
        <v>10</v>
      </c>
      <c r="S1086" s="80"/>
      <c r="T1086" s="105">
        <f t="shared" si="92"/>
        <v>0.1</v>
      </c>
      <c r="U1086" s="105">
        <f t="shared" si="87"/>
        <v>0.1</v>
      </c>
      <c r="V1086" s="104">
        <f>IFERROR(VLOOKUP(L1086,'Raw material list'!$A$2:$S$3102,6,0),0)</f>
        <v>8.0000000000000002E-3</v>
      </c>
      <c r="W1086" s="104">
        <f t="shared" si="88"/>
        <v>8.0000000000000004E-4</v>
      </c>
    </row>
    <row r="1087" spans="1:23" hidden="1" x14ac:dyDescent="0.55000000000000004">
      <c r="A1087" s="41" t="s">
        <v>1558</v>
      </c>
      <c r="B1087" s="58" t="s">
        <v>35</v>
      </c>
      <c r="C1087" s="58" t="s">
        <v>10</v>
      </c>
      <c r="D1087" s="76" t="str">
        <f t="shared" si="91"/>
        <v>Mixed Vegetables Stew vegeterian with white rice</v>
      </c>
      <c r="E1087" s="58" t="s">
        <v>1536</v>
      </c>
      <c r="F1087" s="58" t="s">
        <v>2079</v>
      </c>
      <c r="G1087" s="41" t="s">
        <v>11</v>
      </c>
      <c r="H1087" s="58" t="s">
        <v>1773</v>
      </c>
      <c r="I1087" s="76"/>
      <c r="J1087" s="76"/>
      <c r="K1087" s="58" t="str">
        <f>IFERROR(VLOOKUP(L1087,'Raw material list'!$A$3:$C$715,3,0),"")</f>
        <v>DRS6-261</v>
      </c>
      <c r="L1087" s="76" t="s">
        <v>1406</v>
      </c>
      <c r="M1087" s="80" t="s">
        <v>156</v>
      </c>
      <c r="N1087" s="40" t="str">
        <f>VLOOKUP(L1087,'Raw material list'!$A$3:$E$715,5,0)</f>
        <v xml:space="preserve">Gram </v>
      </c>
      <c r="O1087" s="80">
        <v>2</v>
      </c>
      <c r="P1087" s="299">
        <f t="shared" si="86"/>
        <v>2</v>
      </c>
      <c r="Q1087" s="80">
        <v>100</v>
      </c>
      <c r="R1087" s="80">
        <v>10</v>
      </c>
      <c r="S1087" s="80"/>
      <c r="T1087" s="105">
        <f t="shared" si="92"/>
        <v>0.2</v>
      </c>
      <c r="U1087" s="105">
        <f t="shared" si="87"/>
        <v>0.2</v>
      </c>
      <c r="V1087" s="104">
        <f>IFERROR(VLOOKUP(L1087,'Raw material list'!$A$2:$S$3102,6,0),0)</f>
        <v>1.4E-2</v>
      </c>
      <c r="W1087" s="104">
        <f t="shared" si="88"/>
        <v>2.8000000000000004E-3</v>
      </c>
    </row>
    <row r="1088" spans="1:23" hidden="1" x14ac:dyDescent="0.55000000000000004">
      <c r="A1088" s="41" t="s">
        <v>1558</v>
      </c>
      <c r="B1088" s="58" t="s">
        <v>35</v>
      </c>
      <c r="C1088" s="58" t="s">
        <v>10</v>
      </c>
      <c r="D1088" s="76" t="str">
        <f t="shared" si="91"/>
        <v>Mixed Vegetables Stew vegeterian with white rice</v>
      </c>
      <c r="E1088" s="58" t="s">
        <v>1536</v>
      </c>
      <c r="F1088" s="58" t="s">
        <v>2079</v>
      </c>
      <c r="G1088" s="41" t="s">
        <v>11</v>
      </c>
      <c r="H1088" s="58" t="s">
        <v>1773</v>
      </c>
      <c r="I1088" s="76"/>
      <c r="J1088" s="76"/>
      <c r="K1088" s="58" t="str">
        <f>IFERROR(VLOOKUP(L1088,'Raw material list'!$A$3:$C$715,3,0),"")</f>
        <v>TAP-00001</v>
      </c>
      <c r="L1088" s="76" t="s">
        <v>1405</v>
      </c>
      <c r="M1088" s="80" t="s">
        <v>206</v>
      </c>
      <c r="N1088" s="40" t="str">
        <f>VLOOKUP(L1088,'Raw material list'!$A$3:$E$715,5,0)</f>
        <v>Ml</v>
      </c>
      <c r="O1088" s="80">
        <v>1600</v>
      </c>
      <c r="P1088" s="299">
        <f t="shared" si="86"/>
        <v>1600</v>
      </c>
      <c r="Q1088" s="80">
        <v>100</v>
      </c>
      <c r="R1088" s="80">
        <v>10</v>
      </c>
      <c r="S1088" s="80"/>
      <c r="T1088" s="105">
        <f t="shared" si="92"/>
        <v>160</v>
      </c>
      <c r="U1088" s="105">
        <f t="shared" si="87"/>
        <v>160</v>
      </c>
      <c r="V1088" s="104">
        <f>IFERROR(VLOOKUP(L1088,'Raw material list'!$A$2:$S$3102,6,0),0)</f>
        <v>8.0000000000000007E-5</v>
      </c>
      <c r="W1088" s="104">
        <f t="shared" si="88"/>
        <v>1.2800000000000001E-2</v>
      </c>
    </row>
    <row r="1089" spans="1:23" hidden="1" x14ac:dyDescent="0.55000000000000004">
      <c r="A1089" s="41" t="s">
        <v>1559</v>
      </c>
      <c r="B1089" s="58" t="s">
        <v>35</v>
      </c>
      <c r="C1089" s="58" t="s">
        <v>10</v>
      </c>
      <c r="D1089" s="76" t="s">
        <v>1548</v>
      </c>
      <c r="E1089" s="58" t="s">
        <v>1536</v>
      </c>
      <c r="F1089" s="58" t="s">
        <v>2081</v>
      </c>
      <c r="G1089" s="41" t="s">
        <v>11</v>
      </c>
      <c r="H1089" s="58" t="s">
        <v>1790</v>
      </c>
      <c r="I1089" s="76"/>
      <c r="J1089" s="76"/>
      <c r="K1089" s="58" t="str">
        <f>IFERROR(VLOOKUP(L1089,'Raw material list'!$A$3:$C$715,3,0),"")</f>
        <v>PLT2-3278</v>
      </c>
      <c r="L1089" s="76" t="s">
        <v>80</v>
      </c>
      <c r="M1089" s="80" t="s">
        <v>156</v>
      </c>
      <c r="N1089" s="40" t="str">
        <f>VLOOKUP(L1089,'Raw material list'!$A$3:$E$715,5,0)</f>
        <v xml:space="preserve">Gram </v>
      </c>
      <c r="O1089" s="80">
        <v>1000</v>
      </c>
      <c r="P1089" s="299">
        <f t="shared" si="86"/>
        <v>1312.3359580052493</v>
      </c>
      <c r="Q1089" s="80">
        <v>76.2</v>
      </c>
      <c r="R1089" s="80">
        <v>10</v>
      </c>
      <c r="S1089" s="80"/>
      <c r="T1089" s="105">
        <f t="shared" si="92"/>
        <v>100</v>
      </c>
      <c r="U1089" s="105">
        <f t="shared" si="87"/>
        <v>131.23359580052494</v>
      </c>
      <c r="V1089" s="104">
        <f>IFERROR(VLOOKUP(L1089,'Raw material list'!$A$2:$S$3102,6,0),0)</f>
        <v>3.0357142857142853E-2</v>
      </c>
      <c r="W1089" s="104">
        <f t="shared" si="88"/>
        <v>3.983877015373078</v>
      </c>
    </row>
    <row r="1090" spans="1:23" hidden="1" x14ac:dyDescent="0.55000000000000004">
      <c r="A1090" s="41" t="s">
        <v>1559</v>
      </c>
      <c r="B1090" s="58" t="s">
        <v>35</v>
      </c>
      <c r="C1090" s="58" t="s">
        <v>10</v>
      </c>
      <c r="D1090" s="76" t="str">
        <f t="shared" ref="D1090:D1107" si="93">D1089</f>
        <v>Low Sodium Vegeterian Edam,Cut beans</v>
      </c>
      <c r="E1090" s="58" t="s">
        <v>1536</v>
      </c>
      <c r="F1090" s="58" t="s">
        <v>2079</v>
      </c>
      <c r="G1090" s="41" t="s">
        <v>11</v>
      </c>
      <c r="H1090" s="58" t="s">
        <v>1790</v>
      </c>
      <c r="I1090" s="76"/>
      <c r="J1090" s="76"/>
      <c r="K1090" s="58" t="str">
        <f>IFERROR(VLOOKUP(L1090,'Raw material list'!$A$3:$C$715,3,0),"")</f>
        <v>DRS3-1813</v>
      </c>
      <c r="L1090" s="76" t="s">
        <v>69</v>
      </c>
      <c r="M1090" s="80" t="s">
        <v>206</v>
      </c>
      <c r="N1090" s="40" t="str">
        <f>VLOOKUP(L1090,'Raw material list'!$A$3:$E$715,5,0)</f>
        <v>Ml</v>
      </c>
      <c r="O1090" s="80">
        <v>20</v>
      </c>
      <c r="P1090" s="299">
        <f t="shared" si="86"/>
        <v>20</v>
      </c>
      <c r="Q1090" s="80">
        <v>100</v>
      </c>
      <c r="R1090" s="80">
        <v>10</v>
      </c>
      <c r="S1090" s="80"/>
      <c r="T1090" s="105">
        <f t="shared" si="92"/>
        <v>2</v>
      </c>
      <c r="U1090" s="105">
        <f t="shared" si="87"/>
        <v>2</v>
      </c>
      <c r="V1090" s="104">
        <f>IFERROR(VLOOKUP(L1090,'Raw material list'!$A$2:$S$3102,6,0),0)</f>
        <v>8.0555555555555554E-3</v>
      </c>
      <c r="W1090" s="104">
        <f t="shared" si="88"/>
        <v>1.6111111111111111E-2</v>
      </c>
    </row>
    <row r="1091" spans="1:23" hidden="1" x14ac:dyDescent="0.55000000000000004">
      <c r="A1091" s="41" t="s">
        <v>1559</v>
      </c>
      <c r="B1091" s="58" t="s">
        <v>35</v>
      </c>
      <c r="C1091" s="58" t="s">
        <v>10</v>
      </c>
      <c r="D1091" s="76" t="str">
        <f t="shared" si="93"/>
        <v>Low Sodium Vegeterian Edam,Cut beans</v>
      </c>
      <c r="E1091" s="58" t="s">
        <v>1536</v>
      </c>
      <c r="F1091" s="58" t="s">
        <v>2079</v>
      </c>
      <c r="G1091" s="41" t="s">
        <v>11</v>
      </c>
      <c r="H1091" s="58" t="s">
        <v>1790</v>
      </c>
      <c r="I1091" s="76"/>
      <c r="J1091" s="76"/>
      <c r="K1091" s="58" t="str">
        <f>IFERROR(VLOOKUP(L1091,'Raw material list'!$A$3:$C$715,3,0),"")</f>
        <v>PRD1-4327</v>
      </c>
      <c r="L1091" s="76" t="s">
        <v>39</v>
      </c>
      <c r="M1091" s="80" t="s">
        <v>156</v>
      </c>
      <c r="N1091" s="40" t="str">
        <f>VLOOKUP(L1091,'Raw material list'!$A$3:$E$715,5,0)</f>
        <v xml:space="preserve">Gram </v>
      </c>
      <c r="O1091" s="80">
        <v>20</v>
      </c>
      <c r="P1091" s="299">
        <f t="shared" si="86"/>
        <v>24.096385542168676</v>
      </c>
      <c r="Q1091" s="105">
        <v>83</v>
      </c>
      <c r="R1091" s="80">
        <v>10</v>
      </c>
      <c r="S1091" s="80"/>
      <c r="T1091" s="105">
        <f t="shared" si="92"/>
        <v>2</v>
      </c>
      <c r="U1091" s="105">
        <f t="shared" si="87"/>
        <v>2.4096385542168677</v>
      </c>
      <c r="V1091" s="104">
        <f>IFERROR(VLOOKUP(L1091,'Raw material list'!$A$2:$S$3102,6,0),0)</f>
        <v>1.2999999999999999E-2</v>
      </c>
      <c r="W1091" s="104">
        <f t="shared" si="88"/>
        <v>3.1325301204819279E-2</v>
      </c>
    </row>
    <row r="1092" spans="1:23" hidden="1" x14ac:dyDescent="0.55000000000000004">
      <c r="A1092" s="41" t="s">
        <v>1559</v>
      </c>
      <c r="B1092" s="58" t="s">
        <v>35</v>
      </c>
      <c r="C1092" s="58" t="s">
        <v>10</v>
      </c>
      <c r="D1092" s="76" t="str">
        <f t="shared" si="93"/>
        <v>Low Sodium Vegeterian Edam,Cut beans</v>
      </c>
      <c r="E1092" s="58" t="s">
        <v>1536</v>
      </c>
      <c r="F1092" s="58" t="s">
        <v>2079</v>
      </c>
      <c r="G1092" s="41" t="s">
        <v>11</v>
      </c>
      <c r="H1092" s="58" t="s">
        <v>1790</v>
      </c>
      <c r="I1092" s="76"/>
      <c r="J1092" s="76"/>
      <c r="K1092" s="58" t="str">
        <f>IFERROR(VLOOKUP(L1092,'Raw material list'!$A$3:$C$715,3,0),"")</f>
        <v>PRD1-230</v>
      </c>
      <c r="L1092" s="76" t="s">
        <v>70</v>
      </c>
      <c r="M1092" s="80" t="s">
        <v>156</v>
      </c>
      <c r="N1092" s="40" t="str">
        <f>VLOOKUP(L1092,'Raw material list'!$A$3:$E$715,5,0)</f>
        <v xml:space="preserve">Gram </v>
      </c>
      <c r="O1092" s="80">
        <v>700</v>
      </c>
      <c r="P1092" s="299">
        <f t="shared" si="86"/>
        <v>944.66936572199745</v>
      </c>
      <c r="Q1092" s="105">
        <v>74.099999999999994</v>
      </c>
      <c r="R1092" s="80">
        <v>10</v>
      </c>
      <c r="S1092" s="80"/>
      <c r="T1092" s="105">
        <f t="shared" si="92"/>
        <v>70</v>
      </c>
      <c r="U1092" s="105">
        <f t="shared" si="87"/>
        <v>94.466936572199742</v>
      </c>
      <c r="V1092" s="104">
        <f>IFERROR(VLOOKUP(L1092,'Raw material list'!$A$2:$S$3102,6,0),0)</f>
        <v>3.3738191632928472E-3</v>
      </c>
      <c r="W1092" s="104">
        <f t="shared" si="88"/>
        <v>0.31871436090485739</v>
      </c>
    </row>
    <row r="1093" spans="1:23" hidden="1" x14ac:dyDescent="0.55000000000000004">
      <c r="A1093" s="41" t="s">
        <v>1559</v>
      </c>
      <c r="B1093" s="58" t="s">
        <v>35</v>
      </c>
      <c r="C1093" s="58" t="s">
        <v>10</v>
      </c>
      <c r="D1093" s="76" t="str">
        <f t="shared" si="93"/>
        <v>Low Sodium Vegeterian Edam,Cut beans</v>
      </c>
      <c r="E1093" s="58" t="s">
        <v>1536</v>
      </c>
      <c r="F1093" s="58" t="s">
        <v>2079</v>
      </c>
      <c r="G1093" s="41" t="s">
        <v>11</v>
      </c>
      <c r="H1093" s="58" t="s">
        <v>1790</v>
      </c>
      <c r="I1093" s="76"/>
      <c r="J1093" s="76"/>
      <c r="K1093" s="58" t="str">
        <f>IFERROR(VLOOKUP(L1093,'Raw material list'!$A$3:$C$715,3,0),"")</f>
        <v>PRD1-3546</v>
      </c>
      <c r="L1093" s="76" t="s">
        <v>971</v>
      </c>
      <c r="M1093" s="80" t="s">
        <v>156</v>
      </c>
      <c r="N1093" s="40" t="str">
        <f>VLOOKUP(L1093,'Raw material list'!$A$3:$E$715,5,0)</f>
        <v xml:space="preserve">Gram </v>
      </c>
      <c r="O1093" s="80">
        <v>250</v>
      </c>
      <c r="P1093" s="299">
        <f t="shared" si="86"/>
        <v>306.12244897959181</v>
      </c>
      <c r="Q1093" s="105">
        <v>81.666666666666671</v>
      </c>
      <c r="R1093" s="80">
        <v>10</v>
      </c>
      <c r="S1093" s="80"/>
      <c r="T1093" s="105">
        <f t="shared" si="92"/>
        <v>25</v>
      </c>
      <c r="U1093" s="105">
        <f t="shared" si="87"/>
        <v>30.612244897959179</v>
      </c>
      <c r="V1093" s="104">
        <f>IFERROR(VLOOKUP(L1093,'Raw material list'!$A$2:$S$3102,6,0),0)</f>
        <v>0.04</v>
      </c>
      <c r="W1093" s="104">
        <f t="shared" si="88"/>
        <v>1.2244897959183672</v>
      </c>
    </row>
    <row r="1094" spans="1:23" hidden="1" x14ac:dyDescent="0.55000000000000004">
      <c r="A1094" s="41" t="s">
        <v>1559</v>
      </c>
      <c r="B1094" s="58" t="s">
        <v>35</v>
      </c>
      <c r="C1094" s="58" t="s">
        <v>10</v>
      </c>
      <c r="D1094" s="76" t="str">
        <f t="shared" si="93"/>
        <v>Low Sodium Vegeterian Edam,Cut beans</v>
      </c>
      <c r="E1094" s="58" t="s">
        <v>1536</v>
      </c>
      <c r="F1094" s="58" t="s">
        <v>2079</v>
      </c>
      <c r="G1094" s="41" t="s">
        <v>11</v>
      </c>
      <c r="H1094" s="58" t="s">
        <v>1790</v>
      </c>
      <c r="I1094" s="76"/>
      <c r="J1094" s="76"/>
      <c r="K1094" s="58" t="str">
        <f>IFERROR(VLOOKUP(L1094,'Raw material list'!$A$3:$C$715,3,0),"")</f>
        <v>PRD1-3794</v>
      </c>
      <c r="L1094" s="76" t="s">
        <v>973</v>
      </c>
      <c r="M1094" s="80" t="s">
        <v>156</v>
      </c>
      <c r="N1094" s="40" t="str">
        <f>VLOOKUP(L1094,'Raw material list'!$A$3:$E$715,5,0)</f>
        <v xml:space="preserve">Gram </v>
      </c>
      <c r="O1094" s="80">
        <v>250</v>
      </c>
      <c r="P1094" s="299">
        <f t="shared" ref="P1094:P1157" si="94">O1094/Q1094*100</f>
        <v>308.64197530864197</v>
      </c>
      <c r="Q1094" s="105">
        <v>81</v>
      </c>
      <c r="R1094" s="80">
        <v>10</v>
      </c>
      <c r="S1094" s="80"/>
      <c r="T1094" s="105">
        <f t="shared" si="92"/>
        <v>25</v>
      </c>
      <c r="U1094" s="105">
        <f t="shared" ref="U1094:U1157" si="95">IFERROR(P1094/R1094,0)</f>
        <v>30.864197530864196</v>
      </c>
      <c r="V1094" s="104">
        <f>IFERROR(VLOOKUP(L1094,'Raw material list'!$A$2:$S$3102,6,0),0)</f>
        <v>4.9382716049382715E-3</v>
      </c>
      <c r="W1094" s="104">
        <f t="shared" ref="W1094:W1157" si="96">IFERROR(V1094*U1094,0)</f>
        <v>0.15241579027587257</v>
      </c>
    </row>
    <row r="1095" spans="1:23" hidden="1" x14ac:dyDescent="0.55000000000000004">
      <c r="A1095" s="41" t="s">
        <v>1559</v>
      </c>
      <c r="B1095" s="58" t="s">
        <v>35</v>
      </c>
      <c r="C1095" s="58" t="s">
        <v>10</v>
      </c>
      <c r="D1095" s="76" t="str">
        <f t="shared" si="93"/>
        <v>Low Sodium Vegeterian Edam,Cut beans</v>
      </c>
      <c r="E1095" s="58" t="s">
        <v>1536</v>
      </c>
      <c r="F1095" s="58" t="s">
        <v>2079</v>
      </c>
      <c r="G1095" s="41" t="s">
        <v>11</v>
      </c>
      <c r="H1095" s="58" t="s">
        <v>1790</v>
      </c>
      <c r="I1095" s="76"/>
      <c r="J1095" s="76"/>
      <c r="K1095" s="58" t="str">
        <f>IFERROR(VLOOKUP(L1095,'Raw material list'!$A$3:$C$715,3,0),"")</f>
        <v>PRD1-4265</v>
      </c>
      <c r="L1095" s="76" t="s">
        <v>38</v>
      </c>
      <c r="M1095" s="80" t="s">
        <v>156</v>
      </c>
      <c r="N1095" s="40" t="str">
        <f>VLOOKUP(L1095,'Raw material list'!$A$3:$E$715,5,0)</f>
        <v xml:space="preserve">Gram </v>
      </c>
      <c r="O1095" s="80">
        <v>250</v>
      </c>
      <c r="P1095" s="299">
        <f t="shared" si="94"/>
        <v>294.11764705882354</v>
      </c>
      <c r="Q1095" s="105">
        <v>85</v>
      </c>
      <c r="R1095" s="80">
        <v>10</v>
      </c>
      <c r="S1095" s="80"/>
      <c r="T1095" s="105">
        <f t="shared" si="92"/>
        <v>25</v>
      </c>
      <c r="U1095" s="105">
        <f t="shared" si="95"/>
        <v>29.411764705882355</v>
      </c>
      <c r="V1095" s="104">
        <f>IFERROR(VLOOKUP(L1095,'Raw material list'!$A$2:$S$3102,6,0),0)</f>
        <v>3.529411764705882E-3</v>
      </c>
      <c r="W1095" s="104">
        <f t="shared" si="96"/>
        <v>0.10380622837370242</v>
      </c>
    </row>
    <row r="1096" spans="1:23" hidden="1" x14ac:dyDescent="0.55000000000000004">
      <c r="A1096" s="41" t="s">
        <v>1559</v>
      </c>
      <c r="B1096" s="58" t="s">
        <v>35</v>
      </c>
      <c r="C1096" s="58" t="s">
        <v>10</v>
      </c>
      <c r="D1096" s="76" t="str">
        <f t="shared" si="93"/>
        <v>Low Sodium Vegeterian Edam,Cut beans</v>
      </c>
      <c r="E1096" s="58" t="s">
        <v>1536</v>
      </c>
      <c r="F1096" s="58" t="s">
        <v>2079</v>
      </c>
      <c r="G1096" s="41" t="s">
        <v>11</v>
      </c>
      <c r="H1096" s="58" t="s">
        <v>1790</v>
      </c>
      <c r="I1096" s="76"/>
      <c r="J1096" s="76"/>
      <c r="K1096" s="58" t="str">
        <f>IFERROR(VLOOKUP(L1096,'Raw material list'!$A$3:$C$715,3,0),"")</f>
        <v>DRS1-607</v>
      </c>
      <c r="L1096" s="76" t="s">
        <v>250</v>
      </c>
      <c r="M1096" s="80" t="s">
        <v>156</v>
      </c>
      <c r="N1096" s="40" t="str">
        <f>VLOOKUP(L1096,'Raw material list'!$A$3:$E$715,5,0)</f>
        <v xml:space="preserve">Gram </v>
      </c>
      <c r="O1096" s="80">
        <v>800</v>
      </c>
      <c r="P1096" s="299">
        <f t="shared" si="94"/>
        <v>800</v>
      </c>
      <c r="Q1096" s="303">
        <v>100</v>
      </c>
      <c r="R1096" s="80">
        <v>10</v>
      </c>
      <c r="S1096" s="80"/>
      <c r="T1096" s="105">
        <f t="shared" si="92"/>
        <v>80</v>
      </c>
      <c r="U1096" s="105">
        <f t="shared" si="95"/>
        <v>80</v>
      </c>
      <c r="V1096" s="104">
        <f>IFERROR(VLOOKUP(L1096,'Raw material list'!$A$2:$S$3102,6,0),0)</f>
        <v>5.8823529411764705E-3</v>
      </c>
      <c r="W1096" s="104">
        <f t="shared" si="96"/>
        <v>0.47058823529411764</v>
      </c>
    </row>
    <row r="1097" spans="1:23" hidden="1" x14ac:dyDescent="0.55000000000000004">
      <c r="A1097" s="41" t="s">
        <v>1559</v>
      </c>
      <c r="B1097" s="58" t="s">
        <v>35</v>
      </c>
      <c r="C1097" s="58" t="s">
        <v>10</v>
      </c>
      <c r="D1097" s="76" t="str">
        <f t="shared" si="93"/>
        <v>Low Sodium Vegeterian Edam,Cut beans</v>
      </c>
      <c r="E1097" s="58" t="s">
        <v>1536</v>
      </c>
      <c r="F1097" s="58" t="s">
        <v>2079</v>
      </c>
      <c r="G1097" s="41" t="s">
        <v>11</v>
      </c>
      <c r="H1097" s="58" t="s">
        <v>1790</v>
      </c>
      <c r="I1097" s="76"/>
      <c r="J1097" s="76"/>
      <c r="K1097" s="58" t="str">
        <f>IFERROR(VLOOKUP(L1097,'Raw material list'!$A$3:$C$715,3,0),"")</f>
        <v>DRS1-4417</v>
      </c>
      <c r="L1097" s="76" t="s">
        <v>88</v>
      </c>
      <c r="M1097" s="80" t="s">
        <v>156</v>
      </c>
      <c r="N1097" s="40" t="str">
        <f>VLOOKUP(L1097,'Raw material list'!$A$3:$E$715,5,0)</f>
        <v xml:space="preserve">Gram </v>
      </c>
      <c r="O1097" s="80">
        <v>10</v>
      </c>
      <c r="P1097" s="299">
        <f t="shared" si="94"/>
        <v>10</v>
      </c>
      <c r="Q1097" s="80">
        <v>100</v>
      </c>
      <c r="R1097" s="80">
        <v>10</v>
      </c>
      <c r="S1097" s="80"/>
      <c r="T1097" s="105">
        <f t="shared" si="92"/>
        <v>1</v>
      </c>
      <c r="U1097" s="105">
        <f t="shared" si="95"/>
        <v>1</v>
      </c>
      <c r="V1097" s="104">
        <f>IFERROR(VLOOKUP(L1097,'Raw material list'!$A$2:$S$3102,6,0),0)</f>
        <v>3.6754545454545456E-2</v>
      </c>
      <c r="W1097" s="104">
        <f t="shared" si="96"/>
        <v>3.6754545454545456E-2</v>
      </c>
    </row>
    <row r="1098" spans="1:23" hidden="1" x14ac:dyDescent="0.55000000000000004">
      <c r="A1098" s="41" t="s">
        <v>1559</v>
      </c>
      <c r="B1098" s="58" t="s">
        <v>35</v>
      </c>
      <c r="C1098" s="58" t="s">
        <v>10</v>
      </c>
      <c r="D1098" s="76" t="str">
        <f t="shared" si="93"/>
        <v>Low Sodium Vegeterian Edam,Cut beans</v>
      </c>
      <c r="E1098" s="58" t="s">
        <v>1536</v>
      </c>
      <c r="F1098" s="58" t="s">
        <v>2079</v>
      </c>
      <c r="G1098" s="41" t="s">
        <v>11</v>
      </c>
      <c r="H1098" s="58" t="s">
        <v>1790</v>
      </c>
      <c r="I1098" s="76"/>
      <c r="J1098" s="76"/>
      <c r="K1098" s="58" t="str">
        <f>IFERROR(VLOOKUP(L1098,'Raw material list'!$A$3:$C$715,3,0),"")</f>
        <v>DRS1-3880</v>
      </c>
      <c r="L1098" s="76" t="s">
        <v>1433</v>
      </c>
      <c r="M1098" s="80" t="s">
        <v>156</v>
      </c>
      <c r="N1098" s="40" t="str">
        <f>VLOOKUP(L1098,'Raw material list'!$A$3:$E$715,5,0)</f>
        <v xml:space="preserve">Gram </v>
      </c>
      <c r="O1098" s="80">
        <v>10</v>
      </c>
      <c r="P1098" s="299">
        <f t="shared" si="94"/>
        <v>10</v>
      </c>
      <c r="Q1098" s="80">
        <v>100</v>
      </c>
      <c r="R1098" s="80">
        <v>10</v>
      </c>
      <c r="S1098" s="80"/>
      <c r="T1098" s="105">
        <f t="shared" si="92"/>
        <v>1</v>
      </c>
      <c r="U1098" s="105">
        <f t="shared" si="95"/>
        <v>1</v>
      </c>
      <c r="V1098" s="104">
        <f>IFERROR(VLOOKUP(L1098,'Raw material list'!$A$2:$S$3102,6,0),0)</f>
        <v>5.0000000000000001E-4</v>
      </c>
      <c r="W1098" s="104">
        <f t="shared" si="96"/>
        <v>5.0000000000000001E-4</v>
      </c>
    </row>
    <row r="1099" spans="1:23" hidden="1" x14ac:dyDescent="0.55000000000000004">
      <c r="A1099" s="41" t="s">
        <v>1559</v>
      </c>
      <c r="B1099" s="58" t="s">
        <v>35</v>
      </c>
      <c r="C1099" s="58" t="s">
        <v>10</v>
      </c>
      <c r="D1099" s="76" t="str">
        <f t="shared" si="93"/>
        <v>Low Sodium Vegeterian Edam,Cut beans</v>
      </c>
      <c r="E1099" s="58" t="s">
        <v>1536</v>
      </c>
      <c r="F1099" s="58" t="s">
        <v>2079</v>
      </c>
      <c r="G1099" s="41" t="s">
        <v>11</v>
      </c>
      <c r="H1099" s="58" t="s">
        <v>1790</v>
      </c>
      <c r="I1099" s="76"/>
      <c r="J1099" s="76"/>
      <c r="K1099" s="58" t="str">
        <f>IFERROR(VLOOKUP(L1099,'Raw material list'!$A$3:$C$715,3,0),"")</f>
        <v>DRS6-537</v>
      </c>
      <c r="L1099" s="76" t="s">
        <v>46</v>
      </c>
      <c r="M1099" s="80" t="s">
        <v>156</v>
      </c>
      <c r="N1099" s="40" t="str">
        <f>VLOOKUP(L1099,'Raw material list'!$A$3:$E$715,5,0)</f>
        <v xml:space="preserve">Gram </v>
      </c>
      <c r="O1099" s="80">
        <v>2</v>
      </c>
      <c r="P1099" s="299">
        <f t="shared" si="94"/>
        <v>2</v>
      </c>
      <c r="Q1099" s="80">
        <v>100</v>
      </c>
      <c r="R1099" s="80">
        <v>10</v>
      </c>
      <c r="S1099" s="80"/>
      <c r="T1099" s="105">
        <f t="shared" si="92"/>
        <v>0.2</v>
      </c>
      <c r="U1099" s="105">
        <f t="shared" si="95"/>
        <v>0.2</v>
      </c>
      <c r="V1099" s="104">
        <f>IFERROR(VLOOKUP(L1099,'Raw material list'!$A$2:$S$3102,6,0),0)</f>
        <v>3.5000000000000003E-2</v>
      </c>
      <c r="W1099" s="104">
        <f t="shared" si="96"/>
        <v>7.000000000000001E-3</v>
      </c>
    </row>
    <row r="1100" spans="1:23" hidden="1" x14ac:dyDescent="0.55000000000000004">
      <c r="A1100" s="41" t="s">
        <v>1559</v>
      </c>
      <c r="B1100" s="58" t="s">
        <v>35</v>
      </c>
      <c r="C1100" s="58" t="s">
        <v>10</v>
      </c>
      <c r="D1100" s="76" t="str">
        <f t="shared" si="93"/>
        <v>Low Sodium Vegeterian Edam,Cut beans</v>
      </c>
      <c r="E1100" s="58" t="s">
        <v>1536</v>
      </c>
      <c r="F1100" s="58" t="s">
        <v>2079</v>
      </c>
      <c r="G1100" s="41" t="s">
        <v>11</v>
      </c>
      <c r="H1100" s="58" t="s">
        <v>1790</v>
      </c>
      <c r="I1100" s="76"/>
      <c r="J1100" s="76"/>
      <c r="K1100" s="58" t="str">
        <f>IFERROR(VLOOKUP(L1100,'Raw material list'!$A$3:$C$715,3,0),"")</f>
        <v>DRS1-1747</v>
      </c>
      <c r="L1100" s="76" t="s">
        <v>44</v>
      </c>
      <c r="M1100" s="80" t="s">
        <v>156</v>
      </c>
      <c r="N1100" s="40" t="str">
        <f>VLOOKUP(L1100,'Raw material list'!$A$3:$E$715,5,0)</f>
        <v xml:space="preserve">Gram </v>
      </c>
      <c r="O1100" s="80">
        <v>80</v>
      </c>
      <c r="P1100" s="299">
        <f t="shared" si="94"/>
        <v>80</v>
      </c>
      <c r="Q1100" s="80">
        <v>100</v>
      </c>
      <c r="R1100" s="80">
        <v>10</v>
      </c>
      <c r="S1100" s="80"/>
      <c r="T1100" s="105">
        <f t="shared" si="92"/>
        <v>8</v>
      </c>
      <c r="U1100" s="105">
        <f t="shared" si="95"/>
        <v>8</v>
      </c>
      <c r="V1100" s="104">
        <f>IFERROR(VLOOKUP(L1100,'Raw material list'!$A$2:$S$3102,6,0),0)</f>
        <v>5.185185185185185E-3</v>
      </c>
      <c r="W1100" s="104">
        <f t="shared" si="96"/>
        <v>4.148148148148148E-2</v>
      </c>
    </row>
    <row r="1101" spans="1:23" hidden="1" x14ac:dyDescent="0.55000000000000004">
      <c r="A1101" s="41" t="s">
        <v>1559</v>
      </c>
      <c r="B1101" s="58" t="s">
        <v>35</v>
      </c>
      <c r="C1101" s="58" t="s">
        <v>10</v>
      </c>
      <c r="D1101" s="76" t="str">
        <f t="shared" si="93"/>
        <v>Low Sodium Vegeterian Edam,Cut beans</v>
      </c>
      <c r="E1101" s="58" t="s">
        <v>1536</v>
      </c>
      <c r="F1101" s="58" t="s">
        <v>2079</v>
      </c>
      <c r="G1101" s="41" t="s">
        <v>11</v>
      </c>
      <c r="H1101" s="58" t="s">
        <v>1790</v>
      </c>
      <c r="I1101" s="76"/>
      <c r="J1101" s="76"/>
      <c r="K1101" s="58" t="str">
        <f>IFERROR(VLOOKUP(L1101,'Raw material list'!$A$3:$C$715,3,0),"")</f>
        <v>TAP-00001</v>
      </c>
      <c r="L1101" s="76" t="s">
        <v>1405</v>
      </c>
      <c r="M1101" s="80" t="s">
        <v>206</v>
      </c>
      <c r="N1101" s="40" t="str">
        <f>VLOOKUP(L1101,'Raw material list'!$A$3:$E$715,5,0)</f>
        <v>Ml</v>
      </c>
      <c r="O1101" s="80">
        <v>1000</v>
      </c>
      <c r="P1101" s="299">
        <f t="shared" si="94"/>
        <v>1000</v>
      </c>
      <c r="Q1101" s="80">
        <v>100</v>
      </c>
      <c r="R1101" s="80">
        <v>10</v>
      </c>
      <c r="S1101" s="80"/>
      <c r="T1101" s="105">
        <f t="shared" si="92"/>
        <v>100</v>
      </c>
      <c r="U1101" s="105">
        <f t="shared" si="95"/>
        <v>100</v>
      </c>
      <c r="V1101" s="104">
        <f>IFERROR(VLOOKUP(L1101,'Raw material list'!$A$2:$S$3102,6,0),0)</f>
        <v>8.0000000000000007E-5</v>
      </c>
      <c r="W1101" s="104">
        <f t="shared" si="96"/>
        <v>8.0000000000000002E-3</v>
      </c>
    </row>
    <row r="1102" spans="1:23" hidden="1" x14ac:dyDescent="0.55000000000000004">
      <c r="A1102" s="41" t="s">
        <v>1559</v>
      </c>
      <c r="B1102" s="58" t="s">
        <v>35</v>
      </c>
      <c r="C1102" s="58" t="s">
        <v>10</v>
      </c>
      <c r="D1102" s="76" t="str">
        <f t="shared" si="93"/>
        <v>Low Sodium Vegeterian Edam,Cut beans</v>
      </c>
      <c r="E1102" s="58" t="s">
        <v>1536</v>
      </c>
      <c r="F1102" s="58" t="s">
        <v>2079</v>
      </c>
      <c r="G1102" s="41" t="s">
        <v>11</v>
      </c>
      <c r="H1102" s="58" t="s">
        <v>1790</v>
      </c>
      <c r="I1102" s="76"/>
      <c r="J1102" s="76"/>
      <c r="K1102" s="58" t="str">
        <f>IFERROR(VLOOKUP(L1102,'Raw material list'!$A$3:$C$715,3,0),"")</f>
        <v>PRD2-3566</v>
      </c>
      <c r="L1102" s="76" t="s">
        <v>123</v>
      </c>
      <c r="M1102" s="80" t="s">
        <v>156</v>
      </c>
      <c r="N1102" s="40" t="str">
        <f>VLOOKUP(L1102,'Raw material list'!$A$3:$E$715,5,0)</f>
        <v xml:space="preserve">Gram </v>
      </c>
      <c r="O1102" s="80">
        <v>250</v>
      </c>
      <c r="P1102" s="299">
        <f t="shared" si="94"/>
        <v>250</v>
      </c>
      <c r="Q1102" s="80">
        <v>100</v>
      </c>
      <c r="R1102" s="80">
        <v>10</v>
      </c>
      <c r="S1102" s="80"/>
      <c r="T1102" s="105">
        <f t="shared" si="92"/>
        <v>25</v>
      </c>
      <c r="U1102" s="105">
        <f t="shared" si="95"/>
        <v>25</v>
      </c>
      <c r="V1102" s="104">
        <f>IFERROR(VLOOKUP(L1102,'Raw material list'!$A$2:$S$3102,6,0),0)</f>
        <v>8.2249999999999997E-3</v>
      </c>
      <c r="W1102" s="104">
        <f t="shared" si="96"/>
        <v>0.205625</v>
      </c>
    </row>
    <row r="1103" spans="1:23" hidden="1" x14ac:dyDescent="0.55000000000000004">
      <c r="A1103" s="41" t="s">
        <v>1559</v>
      </c>
      <c r="B1103" s="58" t="s">
        <v>35</v>
      </c>
      <c r="C1103" s="58" t="s">
        <v>10</v>
      </c>
      <c r="D1103" s="76" t="str">
        <f t="shared" si="93"/>
        <v>Low Sodium Vegeterian Edam,Cut beans</v>
      </c>
      <c r="E1103" s="58" t="s">
        <v>1536</v>
      </c>
      <c r="F1103" s="58" t="s">
        <v>2079</v>
      </c>
      <c r="G1103" s="41" t="s">
        <v>11</v>
      </c>
      <c r="H1103" s="58" t="s">
        <v>1790</v>
      </c>
      <c r="I1103" s="76"/>
      <c r="J1103" s="76"/>
      <c r="K1103" s="58" t="str">
        <f>IFERROR(VLOOKUP(L1103,'Raw material list'!$A$3:$C$715,3,0),"")</f>
        <v>DRS4-498</v>
      </c>
      <c r="L1103" s="76" t="s">
        <v>72</v>
      </c>
      <c r="M1103" s="80" t="s">
        <v>156</v>
      </c>
      <c r="N1103" s="40" t="str">
        <f>VLOOKUP(L1103,'Raw material list'!$A$3:$E$715,5,0)</f>
        <v xml:space="preserve">Gram </v>
      </c>
      <c r="O1103" s="80">
        <v>800</v>
      </c>
      <c r="P1103" s="299">
        <f t="shared" si="94"/>
        <v>800</v>
      </c>
      <c r="Q1103" s="80">
        <v>100</v>
      </c>
      <c r="R1103" s="80">
        <v>10</v>
      </c>
      <c r="S1103" s="80"/>
      <c r="T1103" s="105">
        <f t="shared" si="92"/>
        <v>80</v>
      </c>
      <c r="U1103" s="105">
        <f t="shared" si="95"/>
        <v>80</v>
      </c>
      <c r="V1103" s="104">
        <f>IFERROR(VLOOKUP(L1103,'Raw material list'!$A$2:$S$3102,6,0),0)</f>
        <v>5.7499999999999999E-3</v>
      </c>
      <c r="W1103" s="104">
        <f t="shared" si="96"/>
        <v>0.45999999999999996</v>
      </c>
    </row>
    <row r="1104" spans="1:23" hidden="1" x14ac:dyDescent="0.55000000000000004">
      <c r="A1104" s="41" t="s">
        <v>1559</v>
      </c>
      <c r="B1104" s="58" t="s">
        <v>35</v>
      </c>
      <c r="C1104" s="58" t="s">
        <v>10</v>
      </c>
      <c r="D1104" s="76" t="str">
        <f t="shared" si="93"/>
        <v>Low Sodium Vegeterian Edam,Cut beans</v>
      </c>
      <c r="E1104" s="58" t="s">
        <v>1536</v>
      </c>
      <c r="F1104" s="58" t="s">
        <v>2079</v>
      </c>
      <c r="G1104" s="41" t="s">
        <v>11</v>
      </c>
      <c r="H1104" s="58" t="s">
        <v>1790</v>
      </c>
      <c r="I1104" s="76"/>
      <c r="J1104" s="76"/>
      <c r="K1104" s="58" t="str">
        <f>IFERROR(VLOOKUP(L1104,'Raw material list'!$A$3:$C$715,3,0),"")</f>
        <v>TAP-00001</v>
      </c>
      <c r="L1104" s="76" t="s">
        <v>1405</v>
      </c>
      <c r="M1104" s="80" t="s">
        <v>206</v>
      </c>
      <c r="N1104" s="40" t="str">
        <f>VLOOKUP(L1104,'Raw material list'!$A$3:$E$715,5,0)</f>
        <v>Ml</v>
      </c>
      <c r="O1104" s="80">
        <v>1600</v>
      </c>
      <c r="P1104" s="299">
        <f t="shared" si="94"/>
        <v>1600</v>
      </c>
      <c r="Q1104" s="80">
        <v>100</v>
      </c>
      <c r="R1104" s="80">
        <v>10</v>
      </c>
      <c r="S1104" s="80"/>
      <c r="T1104" s="105">
        <f t="shared" si="92"/>
        <v>160</v>
      </c>
      <c r="U1104" s="105">
        <f t="shared" si="95"/>
        <v>160</v>
      </c>
      <c r="V1104" s="104">
        <f>IFERROR(VLOOKUP(L1104,'Raw material list'!$A$2:$S$3102,6,0),0)</f>
        <v>8.0000000000000007E-5</v>
      </c>
      <c r="W1104" s="104">
        <f t="shared" si="96"/>
        <v>1.2800000000000001E-2</v>
      </c>
    </row>
    <row r="1105" spans="1:23" hidden="1" x14ac:dyDescent="0.55000000000000004">
      <c r="A1105" s="41" t="s">
        <v>1559</v>
      </c>
      <c r="B1105" s="58" t="s">
        <v>35</v>
      </c>
      <c r="C1105" s="58" t="s">
        <v>10</v>
      </c>
      <c r="D1105" s="76" t="str">
        <f t="shared" si="93"/>
        <v>Low Sodium Vegeterian Edam,Cut beans</v>
      </c>
      <c r="E1105" s="58" t="s">
        <v>1536</v>
      </c>
      <c r="F1105" s="58" t="s">
        <v>2079</v>
      </c>
      <c r="G1105" s="41" t="s">
        <v>11</v>
      </c>
      <c r="H1105" s="58" t="s">
        <v>1790</v>
      </c>
      <c r="I1105" s="76"/>
      <c r="J1105" s="76"/>
      <c r="K1105" s="58" t="str">
        <f>IFERROR(VLOOKUP(L1105,'Raw material list'!$A$3:$C$715,3,0),"")</f>
        <v>DRS6-3593</v>
      </c>
      <c r="L1105" s="76" t="s">
        <v>1407</v>
      </c>
      <c r="M1105" s="80" t="s">
        <v>156</v>
      </c>
      <c r="N1105" s="40" t="str">
        <f>VLOOKUP(L1105,'Raw material list'!$A$3:$E$715,5,0)</f>
        <v xml:space="preserve">Gram </v>
      </c>
      <c r="O1105" s="80">
        <v>1</v>
      </c>
      <c r="P1105" s="299">
        <f t="shared" si="94"/>
        <v>1</v>
      </c>
      <c r="Q1105" s="80">
        <v>100</v>
      </c>
      <c r="R1105" s="80">
        <v>10</v>
      </c>
      <c r="S1105" s="80"/>
      <c r="T1105" s="105">
        <f t="shared" si="92"/>
        <v>0.1</v>
      </c>
      <c r="U1105" s="105">
        <f t="shared" si="95"/>
        <v>0.1</v>
      </c>
      <c r="V1105" s="104">
        <f>IFERROR(VLOOKUP(L1105,'Raw material list'!$A$2:$S$3102,6,0),0)</f>
        <v>8.0000000000000002E-3</v>
      </c>
      <c r="W1105" s="104">
        <f t="shared" si="96"/>
        <v>8.0000000000000004E-4</v>
      </c>
    </row>
    <row r="1106" spans="1:23" hidden="1" x14ac:dyDescent="0.55000000000000004">
      <c r="A1106" s="41" t="s">
        <v>1559</v>
      </c>
      <c r="B1106" s="58" t="s">
        <v>35</v>
      </c>
      <c r="C1106" s="58" t="s">
        <v>10</v>
      </c>
      <c r="D1106" s="76" t="str">
        <f t="shared" si="93"/>
        <v>Low Sodium Vegeterian Edam,Cut beans</v>
      </c>
      <c r="E1106" s="58" t="s">
        <v>1536</v>
      </c>
      <c r="F1106" s="58" t="s">
        <v>2079</v>
      </c>
      <c r="G1106" s="41" t="s">
        <v>11</v>
      </c>
      <c r="H1106" s="58" t="s">
        <v>1790</v>
      </c>
      <c r="I1106" s="76"/>
      <c r="J1106" s="76"/>
      <c r="K1106" s="58" t="str">
        <f>IFERROR(VLOOKUP(L1106,'Raw material list'!$A$3:$C$715,3,0),"")</f>
        <v>DRS6-261</v>
      </c>
      <c r="L1106" s="76" t="s">
        <v>1406</v>
      </c>
      <c r="M1106" s="80" t="s">
        <v>156</v>
      </c>
      <c r="N1106" s="40" t="str">
        <f>VLOOKUP(L1106,'Raw material list'!$A$3:$E$715,5,0)</f>
        <v xml:space="preserve">Gram </v>
      </c>
      <c r="O1106" s="80">
        <v>2</v>
      </c>
      <c r="P1106" s="299">
        <f t="shared" si="94"/>
        <v>2</v>
      </c>
      <c r="Q1106" s="80">
        <v>100</v>
      </c>
      <c r="R1106" s="80">
        <v>10</v>
      </c>
      <c r="S1106" s="80"/>
      <c r="T1106" s="105">
        <f t="shared" si="92"/>
        <v>0.2</v>
      </c>
      <c r="U1106" s="105">
        <f t="shared" si="95"/>
        <v>0.2</v>
      </c>
      <c r="V1106" s="104">
        <f>IFERROR(VLOOKUP(L1106,'Raw material list'!$A$2:$S$3102,6,0),0)</f>
        <v>1.4E-2</v>
      </c>
      <c r="W1106" s="104">
        <f t="shared" si="96"/>
        <v>2.8000000000000004E-3</v>
      </c>
    </row>
    <row r="1107" spans="1:23" hidden="1" x14ac:dyDescent="0.55000000000000004">
      <c r="A1107" s="41" t="s">
        <v>1559</v>
      </c>
      <c r="B1107" s="58" t="s">
        <v>35</v>
      </c>
      <c r="C1107" s="58" t="s">
        <v>10</v>
      </c>
      <c r="D1107" s="76" t="str">
        <f t="shared" si="93"/>
        <v>Low Sodium Vegeterian Edam,Cut beans</v>
      </c>
      <c r="E1107" s="58" t="s">
        <v>1536</v>
      </c>
      <c r="F1107" s="58" t="s">
        <v>2079</v>
      </c>
      <c r="G1107" s="41" t="s">
        <v>11</v>
      </c>
      <c r="H1107" s="58" t="s">
        <v>1790</v>
      </c>
      <c r="I1107" s="76"/>
      <c r="J1107" s="76"/>
      <c r="K1107" s="58" t="str">
        <f>IFERROR(VLOOKUP(L1107,'Raw material list'!$A$3:$C$715,3,0),"")</f>
        <v>DRS1-3880</v>
      </c>
      <c r="L1107" s="76" t="s">
        <v>1433</v>
      </c>
      <c r="M1107" s="80" t="s">
        <v>156</v>
      </c>
      <c r="N1107" s="40" t="str">
        <f>VLOOKUP(L1107,'Raw material list'!$A$3:$E$715,5,0)</f>
        <v xml:space="preserve">Gram </v>
      </c>
      <c r="O1107" s="80">
        <v>10</v>
      </c>
      <c r="P1107" s="299">
        <f t="shared" si="94"/>
        <v>10</v>
      </c>
      <c r="Q1107" s="80">
        <v>100</v>
      </c>
      <c r="R1107" s="80">
        <v>10</v>
      </c>
      <c r="S1107" s="80"/>
      <c r="T1107" s="105">
        <f t="shared" si="92"/>
        <v>1</v>
      </c>
      <c r="U1107" s="105">
        <f t="shared" si="95"/>
        <v>1</v>
      </c>
      <c r="V1107" s="104">
        <f>IFERROR(VLOOKUP(L1107,'Raw material list'!$A$2:$S$3102,6,0),0)</f>
        <v>5.0000000000000001E-4</v>
      </c>
      <c r="W1107" s="104">
        <f t="shared" si="96"/>
        <v>5.0000000000000001E-4</v>
      </c>
    </row>
    <row r="1108" spans="1:23" hidden="1" x14ac:dyDescent="0.55000000000000004">
      <c r="A1108" s="41" t="s">
        <v>1570</v>
      </c>
      <c r="B1108" s="58" t="s">
        <v>35</v>
      </c>
      <c r="C1108" s="58" t="s">
        <v>10</v>
      </c>
      <c r="D1108" s="76" t="s">
        <v>1561</v>
      </c>
      <c r="E1108" s="58" t="s">
        <v>1560</v>
      </c>
      <c r="F1108" s="58" t="s">
        <v>2079</v>
      </c>
      <c r="G1108" s="41" t="s">
        <v>11</v>
      </c>
      <c r="H1108" s="58" t="s">
        <v>1774</v>
      </c>
      <c r="I1108" s="76"/>
      <c r="J1108" s="76"/>
      <c r="K1108" s="58" t="str">
        <f>IFERROR(VLOOKUP(L1108,'Raw material list'!$A$3:$C$715,3,0),"")</f>
        <v>DRS4-1654</v>
      </c>
      <c r="L1108" s="76" t="s">
        <v>661</v>
      </c>
      <c r="M1108" s="80" t="s">
        <v>156</v>
      </c>
      <c r="N1108" s="40" t="str">
        <f>VLOOKUP(L1108,'Raw material list'!$A$3:$E$715,5,0)</f>
        <v xml:space="preserve">Gram </v>
      </c>
      <c r="O1108" s="80">
        <v>1000</v>
      </c>
      <c r="P1108" s="299">
        <f t="shared" si="94"/>
        <v>1000</v>
      </c>
      <c r="Q1108" s="80">
        <v>100</v>
      </c>
      <c r="R1108" s="80">
        <v>10</v>
      </c>
      <c r="S1108" s="80"/>
      <c r="T1108" s="105">
        <f t="shared" si="92"/>
        <v>100</v>
      </c>
      <c r="U1108" s="105">
        <f t="shared" si="95"/>
        <v>100</v>
      </c>
      <c r="V1108" s="104">
        <f>IFERROR(VLOOKUP(L1108,'Raw material list'!$A$2:$S$3102,6,0),0)</f>
        <v>3.5999999999999999E-3</v>
      </c>
      <c r="W1108" s="104">
        <f t="shared" si="96"/>
        <v>0.36</v>
      </c>
    </row>
    <row r="1109" spans="1:23" hidden="1" x14ac:dyDescent="0.55000000000000004">
      <c r="A1109" s="76" t="str">
        <f t="shared" ref="A1109:A1127" si="97">A1108</f>
        <v>RCP-SMC-000062</v>
      </c>
      <c r="B1109" s="58" t="s">
        <v>35</v>
      </c>
      <c r="C1109" s="58" t="s">
        <v>10</v>
      </c>
      <c r="D1109" s="76" t="str">
        <f t="shared" ref="D1109:D1127" si="98">D1108</f>
        <v>White Jareesh &amp; Mash Vegetable</v>
      </c>
      <c r="E1109" s="58" t="s">
        <v>1560</v>
      </c>
      <c r="F1109" s="58" t="s">
        <v>2079</v>
      </c>
      <c r="G1109" s="41" t="s">
        <v>11</v>
      </c>
      <c r="H1109" s="58" t="s">
        <v>1774</v>
      </c>
      <c r="I1109" s="76"/>
      <c r="J1109" s="76"/>
      <c r="K1109" s="58" t="str">
        <f>IFERROR(VLOOKUP(L1109,'Raw material list'!$A$3:$C$715,3,0),"")</f>
        <v>DRS4-1457</v>
      </c>
      <c r="L1109" s="76" t="s">
        <v>43</v>
      </c>
      <c r="M1109" s="80" t="s">
        <v>156</v>
      </c>
      <c r="N1109" s="40" t="str">
        <f>VLOOKUP(L1109,'Raw material list'!$A$3:$E$715,5,0)</f>
        <v xml:space="preserve">Gram </v>
      </c>
      <c r="O1109" s="80">
        <v>300</v>
      </c>
      <c r="P1109" s="299">
        <f t="shared" si="94"/>
        <v>300</v>
      </c>
      <c r="Q1109" s="80">
        <v>100</v>
      </c>
      <c r="R1109" s="80">
        <v>10</v>
      </c>
      <c r="S1109" s="80"/>
      <c r="T1109" s="105">
        <f t="shared" si="92"/>
        <v>30</v>
      </c>
      <c r="U1109" s="105">
        <f t="shared" si="95"/>
        <v>30</v>
      </c>
      <c r="V1109" s="104">
        <f>IFERROR(VLOOKUP(L1109,'Raw material list'!$A$2:$S$3102,6,0),0)</f>
        <v>6.4999999999999997E-3</v>
      </c>
      <c r="W1109" s="104">
        <f t="shared" si="96"/>
        <v>0.19499999999999998</v>
      </c>
    </row>
    <row r="1110" spans="1:23" hidden="1" x14ac:dyDescent="0.55000000000000004">
      <c r="A1110" s="76" t="str">
        <f t="shared" si="97"/>
        <v>RCP-SMC-000062</v>
      </c>
      <c r="B1110" s="58" t="s">
        <v>35</v>
      </c>
      <c r="C1110" s="58" t="s">
        <v>10</v>
      </c>
      <c r="D1110" s="76" t="str">
        <f t="shared" si="98"/>
        <v>White Jareesh &amp; Mash Vegetable</v>
      </c>
      <c r="E1110" s="58" t="s">
        <v>1560</v>
      </c>
      <c r="F1110" s="58" t="s">
        <v>2079</v>
      </c>
      <c r="G1110" s="41" t="s">
        <v>11</v>
      </c>
      <c r="H1110" s="58" t="s">
        <v>1774</v>
      </c>
      <c r="I1110" s="76"/>
      <c r="J1110" s="76"/>
      <c r="K1110" s="58" t="str">
        <f>IFERROR(VLOOKUP(L1110,'Raw material list'!$A$3:$C$715,3,0),"")</f>
        <v>TAP-00001</v>
      </c>
      <c r="L1110" s="76" t="s">
        <v>1402</v>
      </c>
      <c r="M1110" s="80" t="s">
        <v>206</v>
      </c>
      <c r="N1110" s="40" t="str">
        <f>VLOOKUP(L1110,'Raw material list'!$A$3:$E$715,5,0)</f>
        <v>Ml</v>
      </c>
      <c r="O1110" s="80">
        <v>3000</v>
      </c>
      <c r="P1110" s="299">
        <f t="shared" si="94"/>
        <v>3000</v>
      </c>
      <c r="Q1110" s="80">
        <v>100</v>
      </c>
      <c r="R1110" s="80">
        <v>10</v>
      </c>
      <c r="S1110" s="80"/>
      <c r="T1110" s="105">
        <f t="shared" si="92"/>
        <v>300</v>
      </c>
      <c r="U1110" s="105">
        <f t="shared" si="95"/>
        <v>300</v>
      </c>
      <c r="V1110" s="104">
        <f>IFERROR(VLOOKUP(L1110,'Raw material list'!$A$2:$S$3102,6,0),0)</f>
        <v>8.0000000000000007E-5</v>
      </c>
      <c r="W1110" s="104">
        <f t="shared" si="96"/>
        <v>2.4E-2</v>
      </c>
    </row>
    <row r="1111" spans="1:23" hidden="1" x14ac:dyDescent="0.55000000000000004">
      <c r="A1111" s="76" t="str">
        <f t="shared" si="97"/>
        <v>RCP-SMC-000062</v>
      </c>
      <c r="B1111" s="58" t="s">
        <v>35</v>
      </c>
      <c r="C1111" s="58" t="s">
        <v>10</v>
      </c>
      <c r="D1111" s="76" t="str">
        <f t="shared" si="98"/>
        <v>White Jareesh &amp; Mash Vegetable</v>
      </c>
      <c r="E1111" s="58" t="s">
        <v>1560</v>
      </c>
      <c r="F1111" s="58" t="s">
        <v>2079</v>
      </c>
      <c r="G1111" s="41" t="s">
        <v>11</v>
      </c>
      <c r="H1111" s="58" t="s">
        <v>1774</v>
      </c>
      <c r="I1111" s="76"/>
      <c r="J1111" s="76"/>
      <c r="K1111" s="58" t="str">
        <f>IFERROR(VLOOKUP(L1111,'Raw material list'!$A$3:$C$715,3,0),"")</f>
        <v>DRS1-3880</v>
      </c>
      <c r="L1111" s="76" t="s">
        <v>1433</v>
      </c>
      <c r="M1111" s="80" t="s">
        <v>156</v>
      </c>
      <c r="N1111" s="40" t="str">
        <f>VLOOKUP(L1111,'Raw material list'!$A$3:$E$715,5,0)</f>
        <v xml:space="preserve">Gram </v>
      </c>
      <c r="O1111" s="80">
        <v>20</v>
      </c>
      <c r="P1111" s="299">
        <f t="shared" si="94"/>
        <v>20</v>
      </c>
      <c r="Q1111" s="80">
        <v>100</v>
      </c>
      <c r="R1111" s="80">
        <v>10</v>
      </c>
      <c r="S1111" s="80"/>
      <c r="T1111" s="105">
        <f t="shared" si="92"/>
        <v>2</v>
      </c>
      <c r="U1111" s="105">
        <f t="shared" si="95"/>
        <v>2</v>
      </c>
      <c r="V1111" s="104">
        <f>IFERROR(VLOOKUP(L1111,'Raw material list'!$A$2:$S$3102,6,0),0)</f>
        <v>5.0000000000000001E-4</v>
      </c>
      <c r="W1111" s="104">
        <f t="shared" si="96"/>
        <v>1E-3</v>
      </c>
    </row>
    <row r="1112" spans="1:23" hidden="1" x14ac:dyDescent="0.55000000000000004">
      <c r="A1112" s="76" t="str">
        <f t="shared" si="97"/>
        <v>RCP-SMC-000062</v>
      </c>
      <c r="B1112" s="58" t="s">
        <v>35</v>
      </c>
      <c r="C1112" s="58" t="s">
        <v>10</v>
      </c>
      <c r="D1112" s="76" t="str">
        <f t="shared" si="98"/>
        <v>White Jareesh &amp; Mash Vegetable</v>
      </c>
      <c r="E1112" s="58" t="s">
        <v>1560</v>
      </c>
      <c r="F1112" s="58" t="s">
        <v>2079</v>
      </c>
      <c r="G1112" s="41" t="s">
        <v>11</v>
      </c>
      <c r="H1112" s="58" t="s">
        <v>1774</v>
      </c>
      <c r="I1112" s="76"/>
      <c r="J1112" s="76"/>
      <c r="K1112" s="58" t="str">
        <f>IFERROR(VLOOKUP(L1112,'Raw material list'!$A$3:$C$715,3,0),"")</f>
        <v>DRS1-3811</v>
      </c>
      <c r="L1112" s="76" t="s">
        <v>40</v>
      </c>
      <c r="M1112" s="80" t="s">
        <v>156</v>
      </c>
      <c r="N1112" s="40" t="str">
        <f>VLOOKUP(L1112,'Raw material list'!$A$3:$E$715,5,0)</f>
        <v xml:space="preserve">Gram </v>
      </c>
      <c r="O1112" s="80">
        <v>60</v>
      </c>
      <c r="P1112" s="299">
        <f t="shared" si="94"/>
        <v>60</v>
      </c>
      <c r="Q1112" s="80">
        <v>100</v>
      </c>
      <c r="R1112" s="80">
        <v>10</v>
      </c>
      <c r="S1112" s="80"/>
      <c r="T1112" s="105">
        <f t="shared" si="92"/>
        <v>6</v>
      </c>
      <c r="U1112" s="105">
        <f t="shared" si="95"/>
        <v>6</v>
      </c>
      <c r="V1112" s="104">
        <f>IFERROR(VLOOKUP(L1112,'Raw material list'!$A$2:$S$3102,6,0),0)</f>
        <v>2.8475E-2</v>
      </c>
      <c r="W1112" s="104">
        <f t="shared" si="96"/>
        <v>0.17085</v>
      </c>
    </row>
    <row r="1113" spans="1:23" hidden="1" x14ac:dyDescent="0.55000000000000004">
      <c r="A1113" s="76" t="str">
        <f t="shared" si="97"/>
        <v>RCP-SMC-000062</v>
      </c>
      <c r="B1113" s="58" t="s">
        <v>35</v>
      </c>
      <c r="C1113" s="58" t="s">
        <v>10</v>
      </c>
      <c r="D1113" s="76" t="str">
        <f t="shared" si="98"/>
        <v>White Jareesh &amp; Mash Vegetable</v>
      </c>
      <c r="E1113" s="58" t="s">
        <v>1560</v>
      </c>
      <c r="F1113" s="58" t="s">
        <v>2079</v>
      </c>
      <c r="G1113" s="41" t="s">
        <v>11</v>
      </c>
      <c r="H1113" s="58" t="s">
        <v>1774</v>
      </c>
      <c r="I1113" s="76"/>
      <c r="J1113" s="76"/>
      <c r="K1113" s="58" t="str">
        <f>IFERROR(VLOOKUP(L1113,'Raw material list'!$A$3:$C$715,3,0),"")</f>
        <v>DRS6-309</v>
      </c>
      <c r="L1113" s="76" t="s">
        <v>61</v>
      </c>
      <c r="M1113" s="80" t="s">
        <v>156</v>
      </c>
      <c r="N1113" s="40" t="str">
        <f>VLOOKUP(L1113,'Raw material list'!$A$3:$E$715,5,0)</f>
        <v xml:space="preserve">Gram </v>
      </c>
      <c r="O1113" s="80">
        <v>10</v>
      </c>
      <c r="P1113" s="299">
        <f t="shared" si="94"/>
        <v>10</v>
      </c>
      <c r="Q1113" s="80">
        <v>100</v>
      </c>
      <c r="R1113" s="80">
        <v>10</v>
      </c>
      <c r="S1113" s="80"/>
      <c r="T1113" s="105">
        <f t="shared" si="92"/>
        <v>1</v>
      </c>
      <c r="U1113" s="105">
        <f t="shared" si="95"/>
        <v>1</v>
      </c>
      <c r="V1113" s="104">
        <f>IFERROR(VLOOKUP(L1113,'Raw material list'!$A$2:$S$3102,6,0),0)</f>
        <v>2.8000000000000001E-2</v>
      </c>
      <c r="W1113" s="104">
        <f t="shared" si="96"/>
        <v>2.8000000000000001E-2</v>
      </c>
    </row>
    <row r="1114" spans="1:23" hidden="1" x14ac:dyDescent="0.55000000000000004">
      <c r="A1114" s="76" t="str">
        <f t="shared" si="97"/>
        <v>RCP-SMC-000062</v>
      </c>
      <c r="B1114" s="58" t="s">
        <v>35</v>
      </c>
      <c r="C1114" s="58" t="s">
        <v>10</v>
      </c>
      <c r="D1114" s="76" t="str">
        <f t="shared" si="98"/>
        <v>White Jareesh &amp; Mash Vegetable</v>
      </c>
      <c r="E1114" s="58" t="s">
        <v>1560</v>
      </c>
      <c r="F1114" s="58" t="s">
        <v>2079</v>
      </c>
      <c r="G1114" s="41" t="s">
        <v>11</v>
      </c>
      <c r="H1114" s="58" t="s">
        <v>1774</v>
      </c>
      <c r="I1114" s="76"/>
      <c r="J1114" s="76"/>
      <c r="K1114" s="58" t="str">
        <f>IFERROR(VLOOKUP(L1114,'Raw material list'!$A$3:$C$715,3,0),"")</f>
        <v>DRY2-1160</v>
      </c>
      <c r="L1114" s="76" t="s">
        <v>125</v>
      </c>
      <c r="M1114" s="80" t="s">
        <v>156</v>
      </c>
      <c r="N1114" s="40" t="str">
        <f>VLOOKUP(L1114,'Raw material list'!$A$3:$E$715,5,0)</f>
        <v xml:space="preserve">Gram </v>
      </c>
      <c r="O1114" s="80">
        <v>1000</v>
      </c>
      <c r="P1114" s="299">
        <f t="shared" si="94"/>
        <v>1000</v>
      </c>
      <c r="Q1114" s="80">
        <v>100</v>
      </c>
      <c r="R1114" s="80">
        <v>10</v>
      </c>
      <c r="S1114" s="80"/>
      <c r="T1114" s="105">
        <f t="shared" si="92"/>
        <v>100</v>
      </c>
      <c r="U1114" s="105">
        <f t="shared" si="95"/>
        <v>100</v>
      </c>
      <c r="V1114" s="104">
        <f>IFERROR(VLOOKUP(L1114,'Raw material list'!$A$2:$S$3102,6,0),0)</f>
        <v>4.4000000000000003E-3</v>
      </c>
      <c r="W1114" s="104">
        <f t="shared" si="96"/>
        <v>0.44</v>
      </c>
    </row>
    <row r="1115" spans="1:23" hidden="1" x14ac:dyDescent="0.55000000000000004">
      <c r="A1115" s="76" t="str">
        <f t="shared" si="97"/>
        <v>RCP-SMC-000062</v>
      </c>
      <c r="B1115" s="58" t="s">
        <v>35</v>
      </c>
      <c r="C1115" s="58" t="s">
        <v>10</v>
      </c>
      <c r="D1115" s="76" t="str">
        <f t="shared" si="98"/>
        <v>White Jareesh &amp; Mash Vegetable</v>
      </c>
      <c r="E1115" s="58" t="s">
        <v>1560</v>
      </c>
      <c r="F1115" s="58" t="s">
        <v>2079</v>
      </c>
      <c r="G1115" s="41" t="s">
        <v>11</v>
      </c>
      <c r="H1115" s="58" t="s">
        <v>1774</v>
      </c>
      <c r="I1115" s="76"/>
      <c r="J1115" s="76"/>
      <c r="K1115" s="58" t="str">
        <f>IFERROR(VLOOKUP(L1115,'Raw material list'!$A$3:$C$715,3,0),"")</f>
        <v>DRS3-1813</v>
      </c>
      <c r="L1115" s="76" t="s">
        <v>69</v>
      </c>
      <c r="M1115" s="80" t="s">
        <v>206</v>
      </c>
      <c r="N1115" s="40" t="str">
        <f>VLOOKUP(L1115,'Raw material list'!$A$3:$E$715,5,0)</f>
        <v>Ml</v>
      </c>
      <c r="O1115" s="80">
        <v>50</v>
      </c>
      <c r="P1115" s="299">
        <f t="shared" si="94"/>
        <v>50</v>
      </c>
      <c r="Q1115" s="80">
        <v>100</v>
      </c>
      <c r="R1115" s="80">
        <v>10</v>
      </c>
      <c r="S1115" s="80"/>
      <c r="T1115" s="105">
        <f t="shared" si="92"/>
        <v>5</v>
      </c>
      <c r="U1115" s="105">
        <f t="shared" si="95"/>
        <v>5</v>
      </c>
      <c r="V1115" s="104">
        <f>IFERROR(VLOOKUP(L1115,'Raw material list'!$A$2:$S$3102,6,0),0)</f>
        <v>8.0555555555555554E-3</v>
      </c>
      <c r="W1115" s="104">
        <f t="shared" si="96"/>
        <v>4.0277777777777773E-2</v>
      </c>
    </row>
    <row r="1116" spans="1:23" hidden="1" x14ac:dyDescent="0.55000000000000004">
      <c r="A1116" s="76" t="str">
        <f t="shared" si="97"/>
        <v>RCP-SMC-000062</v>
      </c>
      <c r="B1116" s="58" t="s">
        <v>35</v>
      </c>
      <c r="C1116" s="58" t="s">
        <v>10</v>
      </c>
      <c r="D1116" s="76" t="str">
        <f t="shared" si="98"/>
        <v>White Jareesh &amp; Mash Vegetable</v>
      </c>
      <c r="E1116" s="58" t="s">
        <v>1560</v>
      </c>
      <c r="F1116" s="58" t="s">
        <v>2079</v>
      </c>
      <c r="G1116" s="41" t="s">
        <v>11</v>
      </c>
      <c r="H1116" s="58" t="s">
        <v>1774</v>
      </c>
      <c r="I1116" s="76"/>
      <c r="J1116" s="76"/>
      <c r="K1116" s="58" t="str">
        <f>IFERROR(VLOOKUP(L1116,'Raw material list'!$A$3:$C$715,3,0),"")</f>
        <v>PRD1-4265</v>
      </c>
      <c r="L1116" s="76" t="s">
        <v>38</v>
      </c>
      <c r="M1116" s="80" t="s">
        <v>156</v>
      </c>
      <c r="N1116" s="40" t="str">
        <f>VLOOKUP(L1116,'Raw material list'!$A$3:$E$715,5,0)</f>
        <v xml:space="preserve">Gram </v>
      </c>
      <c r="O1116" s="80">
        <v>80</v>
      </c>
      <c r="P1116" s="299">
        <f t="shared" si="94"/>
        <v>94.117647058823522</v>
      </c>
      <c r="Q1116" s="105">
        <v>85</v>
      </c>
      <c r="R1116" s="80">
        <v>10</v>
      </c>
      <c r="S1116" s="80"/>
      <c r="T1116" s="105">
        <f t="shared" si="92"/>
        <v>8</v>
      </c>
      <c r="U1116" s="105">
        <f t="shared" si="95"/>
        <v>9.4117647058823515</v>
      </c>
      <c r="V1116" s="104">
        <f>IFERROR(VLOOKUP(L1116,'Raw material list'!$A$2:$S$3102,6,0),0)</f>
        <v>3.529411764705882E-3</v>
      </c>
      <c r="W1116" s="104">
        <f t="shared" si="96"/>
        <v>3.3217993079584764E-2</v>
      </c>
    </row>
    <row r="1117" spans="1:23" hidden="1" x14ac:dyDescent="0.55000000000000004">
      <c r="A1117" s="76" t="str">
        <f t="shared" si="97"/>
        <v>RCP-SMC-000062</v>
      </c>
      <c r="B1117" s="58" t="s">
        <v>35</v>
      </c>
      <c r="C1117" s="58" t="s">
        <v>10</v>
      </c>
      <c r="D1117" s="76" t="str">
        <f t="shared" si="98"/>
        <v>White Jareesh &amp; Mash Vegetable</v>
      </c>
      <c r="E1117" s="58" t="s">
        <v>1560</v>
      </c>
      <c r="F1117" s="58" t="s">
        <v>2079</v>
      </c>
      <c r="G1117" s="41" t="s">
        <v>11</v>
      </c>
      <c r="H1117" s="58" t="s">
        <v>1774</v>
      </c>
      <c r="I1117" s="76"/>
      <c r="J1117" s="76"/>
      <c r="K1117" s="58" t="str">
        <f>IFERROR(VLOOKUP(L1117,'Raw material list'!$A$3:$C$715,3,0),"")</f>
        <v>PRD1-4327</v>
      </c>
      <c r="L1117" s="76" t="s">
        <v>39</v>
      </c>
      <c r="M1117" s="80" t="s">
        <v>156</v>
      </c>
      <c r="N1117" s="40" t="str">
        <f>VLOOKUP(L1117,'Raw material list'!$A$3:$E$715,5,0)</f>
        <v xml:space="preserve">Gram </v>
      </c>
      <c r="O1117" s="80">
        <v>20</v>
      </c>
      <c r="P1117" s="299">
        <f t="shared" si="94"/>
        <v>24.096385542168676</v>
      </c>
      <c r="Q1117" s="105">
        <v>83</v>
      </c>
      <c r="R1117" s="80">
        <v>10</v>
      </c>
      <c r="S1117" s="80"/>
      <c r="T1117" s="105">
        <f t="shared" si="92"/>
        <v>2</v>
      </c>
      <c r="U1117" s="105">
        <f t="shared" si="95"/>
        <v>2.4096385542168677</v>
      </c>
      <c r="V1117" s="104">
        <f>IFERROR(VLOOKUP(L1117,'Raw material list'!$A$2:$S$3102,6,0),0)</f>
        <v>1.2999999999999999E-2</v>
      </c>
      <c r="W1117" s="104">
        <f t="shared" si="96"/>
        <v>3.1325301204819279E-2</v>
      </c>
    </row>
    <row r="1118" spans="1:23" hidden="1" x14ac:dyDescent="0.55000000000000004">
      <c r="A1118" s="76" t="str">
        <f t="shared" si="97"/>
        <v>RCP-SMC-000062</v>
      </c>
      <c r="B1118" s="58" t="s">
        <v>35</v>
      </c>
      <c r="C1118" s="58" t="s">
        <v>10</v>
      </c>
      <c r="D1118" s="76" t="str">
        <f t="shared" si="98"/>
        <v>White Jareesh &amp; Mash Vegetable</v>
      </c>
      <c r="E1118" s="58" t="s">
        <v>1560</v>
      </c>
      <c r="F1118" s="58" t="s">
        <v>2079</v>
      </c>
      <c r="G1118" s="41" t="s">
        <v>11</v>
      </c>
      <c r="H1118" s="58" t="s">
        <v>1774</v>
      </c>
      <c r="I1118" s="76"/>
      <c r="J1118" s="76"/>
      <c r="K1118" s="58" t="str">
        <f>IFERROR(VLOOKUP(L1118,'Raw material list'!$A$3:$C$715,3,0),"")</f>
        <v>DRS6-733</v>
      </c>
      <c r="L1118" s="76" t="s">
        <v>45</v>
      </c>
      <c r="M1118" s="80" t="s">
        <v>156</v>
      </c>
      <c r="N1118" s="40" t="str">
        <f>VLOOKUP(L1118,'Raw material list'!$A$3:$E$715,5,0)</f>
        <v xml:space="preserve">Gram </v>
      </c>
      <c r="O1118" s="80">
        <v>8</v>
      </c>
      <c r="P1118" s="299">
        <f t="shared" si="94"/>
        <v>8</v>
      </c>
      <c r="Q1118" s="303">
        <v>100</v>
      </c>
      <c r="R1118" s="80">
        <v>10</v>
      </c>
      <c r="S1118" s="80"/>
      <c r="T1118" s="105">
        <f t="shared" si="92"/>
        <v>0.8</v>
      </c>
      <c r="U1118" s="105">
        <f t="shared" si="95"/>
        <v>0.8</v>
      </c>
      <c r="V1118" s="104">
        <f>IFERROR(VLOOKUP(L1118,'Raw material list'!$A$2:$S$3102,6,0),0)</f>
        <v>2.8000000000000001E-2</v>
      </c>
      <c r="W1118" s="104">
        <f t="shared" si="96"/>
        <v>2.2400000000000003E-2</v>
      </c>
    </row>
    <row r="1119" spans="1:23" hidden="1" x14ac:dyDescent="0.55000000000000004">
      <c r="A1119" s="76" t="str">
        <f t="shared" si="97"/>
        <v>RCP-SMC-000062</v>
      </c>
      <c r="B1119" s="58" t="s">
        <v>35</v>
      </c>
      <c r="C1119" s="58" t="s">
        <v>10</v>
      </c>
      <c r="D1119" s="76" t="str">
        <f t="shared" si="98"/>
        <v>White Jareesh &amp; Mash Vegetable</v>
      </c>
      <c r="E1119" s="58" t="s">
        <v>1560</v>
      </c>
      <c r="F1119" s="58" t="s">
        <v>2079</v>
      </c>
      <c r="G1119" s="41" t="s">
        <v>11</v>
      </c>
      <c r="H1119" s="58" t="s">
        <v>1774</v>
      </c>
      <c r="I1119" s="76"/>
      <c r="J1119" s="76"/>
      <c r="K1119" s="58" t="str">
        <f>IFERROR(VLOOKUP(L1119,'Raw material list'!$A$3:$C$715,3,0),"")</f>
        <v>TAP-00001</v>
      </c>
      <c r="L1119" s="76" t="s">
        <v>1405</v>
      </c>
      <c r="M1119" s="80" t="s">
        <v>206</v>
      </c>
      <c r="N1119" s="40" t="str">
        <f>VLOOKUP(L1119,'Raw material list'!$A$3:$E$715,5,0)</f>
        <v>Ml</v>
      </c>
      <c r="O1119" s="80">
        <v>600</v>
      </c>
      <c r="P1119" s="299">
        <f t="shared" si="94"/>
        <v>600</v>
      </c>
      <c r="Q1119" s="80">
        <v>100</v>
      </c>
      <c r="R1119" s="80">
        <v>10</v>
      </c>
      <c r="S1119" s="80"/>
      <c r="T1119" s="105">
        <f t="shared" si="92"/>
        <v>60</v>
      </c>
      <c r="U1119" s="105">
        <f t="shared" si="95"/>
        <v>60</v>
      </c>
      <c r="V1119" s="104">
        <f>IFERROR(VLOOKUP(L1119,'Raw material list'!$A$2:$S$3102,6,0),0)</f>
        <v>8.0000000000000007E-5</v>
      </c>
      <c r="W1119" s="104">
        <f t="shared" si="96"/>
        <v>4.8000000000000004E-3</v>
      </c>
    </row>
    <row r="1120" spans="1:23" hidden="1" x14ac:dyDescent="0.55000000000000004">
      <c r="A1120" s="76" t="str">
        <f t="shared" si="97"/>
        <v>RCP-SMC-000062</v>
      </c>
      <c r="B1120" s="58" t="s">
        <v>35</v>
      </c>
      <c r="C1120" s="58" t="s">
        <v>10</v>
      </c>
      <c r="D1120" s="76" t="str">
        <f t="shared" si="98"/>
        <v>White Jareesh &amp; Mash Vegetable</v>
      </c>
      <c r="E1120" s="58" t="s">
        <v>1560</v>
      </c>
      <c r="F1120" s="58" t="s">
        <v>2079</v>
      </c>
      <c r="G1120" s="41" t="s">
        <v>11</v>
      </c>
      <c r="H1120" s="58" t="s">
        <v>1774</v>
      </c>
      <c r="I1120" s="76"/>
      <c r="J1120" s="76"/>
      <c r="K1120" s="58" t="str">
        <f>IFERROR(VLOOKUP(L1120,'Raw material list'!$A$3:$C$715,3,0),"")</f>
        <v>DRS5-59</v>
      </c>
      <c r="L1120" s="76" t="s">
        <v>59</v>
      </c>
      <c r="M1120" s="80" t="s">
        <v>156</v>
      </c>
      <c r="N1120" s="40" t="str">
        <f>VLOOKUP(L1120,'Raw material list'!$A$3:$E$715,5,0)</f>
        <v xml:space="preserve">Gram </v>
      </c>
      <c r="O1120" s="80">
        <v>75</v>
      </c>
      <c r="P1120" s="299">
        <f t="shared" si="94"/>
        <v>75</v>
      </c>
      <c r="Q1120" s="80">
        <v>100</v>
      </c>
      <c r="R1120" s="80">
        <v>10</v>
      </c>
      <c r="S1120" s="80"/>
      <c r="T1120" s="105">
        <f t="shared" si="92"/>
        <v>7.5</v>
      </c>
      <c r="U1120" s="105">
        <f t="shared" si="95"/>
        <v>7.5</v>
      </c>
      <c r="V1120" s="104">
        <f>IFERROR(VLOOKUP(L1120,'Raw material list'!$A$2:$S$3102,6,0),0)</f>
        <v>1.4319999999999999E-2</v>
      </c>
      <c r="W1120" s="104">
        <f t="shared" si="96"/>
        <v>0.1074</v>
      </c>
    </row>
    <row r="1121" spans="1:23" hidden="1" x14ac:dyDescent="0.55000000000000004">
      <c r="A1121" s="76" t="str">
        <f t="shared" si="97"/>
        <v>RCP-SMC-000062</v>
      </c>
      <c r="B1121" s="58" t="s">
        <v>35</v>
      </c>
      <c r="C1121" s="58" t="s">
        <v>10</v>
      </c>
      <c r="D1121" s="76" t="str">
        <f t="shared" si="98"/>
        <v>White Jareesh &amp; Mash Vegetable</v>
      </c>
      <c r="E1121" s="58" t="s">
        <v>1560</v>
      </c>
      <c r="F1121" s="58" t="s">
        <v>2079</v>
      </c>
      <c r="G1121" s="41" t="s">
        <v>11</v>
      </c>
      <c r="H1121" s="58" t="s">
        <v>1774</v>
      </c>
      <c r="I1121" s="76"/>
      <c r="J1121" s="76"/>
      <c r="K1121" s="58" t="str">
        <f>IFERROR(VLOOKUP(L1121,'Raw material list'!$A$3:$C$715,3,0),"")</f>
        <v>DRS6-309</v>
      </c>
      <c r="L1121" s="76" t="s">
        <v>61</v>
      </c>
      <c r="M1121" s="80" t="s">
        <v>156</v>
      </c>
      <c r="N1121" s="40" t="str">
        <f>VLOOKUP(L1121,'Raw material list'!$A$3:$E$715,5,0)</f>
        <v xml:space="preserve">Gram </v>
      </c>
      <c r="O1121" s="80">
        <v>1</v>
      </c>
      <c r="P1121" s="299">
        <f t="shared" si="94"/>
        <v>1</v>
      </c>
      <c r="Q1121" s="80">
        <v>100</v>
      </c>
      <c r="R1121" s="80">
        <v>10</v>
      </c>
      <c r="S1121" s="80"/>
      <c r="T1121" s="105">
        <f t="shared" si="92"/>
        <v>0.1</v>
      </c>
      <c r="U1121" s="105">
        <f t="shared" si="95"/>
        <v>0.1</v>
      </c>
      <c r="V1121" s="104">
        <f>IFERROR(VLOOKUP(L1121,'Raw material list'!$A$2:$S$3102,6,0),0)</f>
        <v>2.8000000000000001E-2</v>
      </c>
      <c r="W1121" s="104">
        <f t="shared" si="96"/>
        <v>2.8000000000000004E-3</v>
      </c>
    </row>
    <row r="1122" spans="1:23" hidden="1" x14ac:dyDescent="0.55000000000000004">
      <c r="A1122" s="76" t="str">
        <f t="shared" si="97"/>
        <v>RCP-SMC-000062</v>
      </c>
      <c r="B1122" s="58" t="s">
        <v>35</v>
      </c>
      <c r="C1122" s="58" t="s">
        <v>10</v>
      </c>
      <c r="D1122" s="76" t="str">
        <f t="shared" si="98"/>
        <v>White Jareesh &amp; Mash Vegetable</v>
      </c>
      <c r="E1122" s="58" t="s">
        <v>1560</v>
      </c>
      <c r="F1122" s="58" t="s">
        <v>2079</v>
      </c>
      <c r="G1122" s="41" t="s">
        <v>11</v>
      </c>
      <c r="H1122" s="58" t="s">
        <v>1774</v>
      </c>
      <c r="I1122" s="76"/>
      <c r="J1122" s="76"/>
      <c r="K1122" s="58" t="str">
        <f>IFERROR(VLOOKUP(L1122,'Raw material list'!$A$3:$C$715,3,0),"")</f>
        <v>DRS1-3880</v>
      </c>
      <c r="L1122" s="76" t="s">
        <v>1433</v>
      </c>
      <c r="M1122" s="80" t="s">
        <v>156</v>
      </c>
      <c r="N1122" s="40" t="str">
        <f>VLOOKUP(L1122,'Raw material list'!$A$3:$E$715,5,0)</f>
        <v xml:space="preserve">Gram </v>
      </c>
      <c r="O1122" s="80">
        <v>1</v>
      </c>
      <c r="P1122" s="299">
        <f t="shared" si="94"/>
        <v>1</v>
      </c>
      <c r="Q1122" s="80">
        <v>100</v>
      </c>
      <c r="R1122" s="80">
        <v>10</v>
      </c>
      <c r="S1122" s="80"/>
      <c r="T1122" s="105">
        <f t="shared" si="92"/>
        <v>0.1</v>
      </c>
      <c r="U1122" s="105">
        <f t="shared" si="95"/>
        <v>0.1</v>
      </c>
      <c r="V1122" s="104">
        <f>IFERROR(VLOOKUP(L1122,'Raw material list'!$A$2:$S$3102,6,0),0)</f>
        <v>5.0000000000000001E-4</v>
      </c>
      <c r="W1122" s="104">
        <f t="shared" si="96"/>
        <v>5.0000000000000002E-5</v>
      </c>
    </row>
    <row r="1123" spans="1:23" hidden="1" x14ac:dyDescent="0.55000000000000004">
      <c r="A1123" s="76" t="str">
        <f t="shared" si="97"/>
        <v>RCP-SMC-000062</v>
      </c>
      <c r="B1123" s="58" t="s">
        <v>35</v>
      </c>
      <c r="C1123" s="58" t="s">
        <v>10</v>
      </c>
      <c r="D1123" s="76" t="str">
        <f t="shared" si="98"/>
        <v>White Jareesh &amp; Mash Vegetable</v>
      </c>
      <c r="E1123" s="58" t="s">
        <v>1560</v>
      </c>
      <c r="F1123" s="58" t="s">
        <v>2079</v>
      </c>
      <c r="G1123" s="41" t="s">
        <v>11</v>
      </c>
      <c r="H1123" s="58" t="s">
        <v>1774</v>
      </c>
      <c r="I1123" s="76"/>
      <c r="J1123" s="76"/>
      <c r="K1123" s="58" t="str">
        <f>IFERROR(VLOOKUP(L1123,'Raw material list'!$A$3:$C$715,3,0),"")</f>
        <v>DRY2-1008</v>
      </c>
      <c r="L1123" s="76" t="s">
        <v>57</v>
      </c>
      <c r="M1123" s="80" t="s">
        <v>156</v>
      </c>
      <c r="N1123" s="40" t="str">
        <f>VLOOKUP(L1123,'Raw material list'!$A$3:$E$715,5,0)</f>
        <v xml:space="preserve">Gram </v>
      </c>
      <c r="O1123" s="80">
        <v>25</v>
      </c>
      <c r="P1123" s="299">
        <f t="shared" si="94"/>
        <v>25</v>
      </c>
      <c r="Q1123" s="80">
        <v>100</v>
      </c>
      <c r="R1123" s="80">
        <v>10</v>
      </c>
      <c r="S1123" s="80"/>
      <c r="T1123" s="105">
        <f t="shared" si="92"/>
        <v>2.5</v>
      </c>
      <c r="U1123" s="105">
        <f t="shared" si="95"/>
        <v>2.5</v>
      </c>
      <c r="V1123" s="104">
        <f>IFERROR(VLOOKUP(L1123,'Raw material list'!$A$2:$S$3102,6,0),0)</f>
        <v>0.03</v>
      </c>
      <c r="W1123" s="104">
        <f t="shared" si="96"/>
        <v>7.4999999999999997E-2</v>
      </c>
    </row>
    <row r="1124" spans="1:23" hidden="1" x14ac:dyDescent="0.55000000000000004">
      <c r="A1124" s="76" t="str">
        <f t="shared" si="97"/>
        <v>RCP-SMC-000062</v>
      </c>
      <c r="B1124" s="58" t="s">
        <v>35</v>
      </c>
      <c r="C1124" s="58" t="s">
        <v>10</v>
      </c>
      <c r="D1124" s="76" t="str">
        <f t="shared" si="98"/>
        <v>White Jareesh &amp; Mash Vegetable</v>
      </c>
      <c r="E1124" s="58" t="s">
        <v>1560</v>
      </c>
      <c r="F1124" s="58" t="s">
        <v>2079</v>
      </c>
      <c r="G1124" s="41" t="s">
        <v>11</v>
      </c>
      <c r="H1124" s="58" t="s">
        <v>1774</v>
      </c>
      <c r="I1124" s="76"/>
      <c r="J1124" s="76"/>
      <c r="K1124" s="58" t="str">
        <f>IFERROR(VLOOKUP(L1124,'Raw material list'!$A$3:$C$715,3,0),"")</f>
        <v>DRY2-1858</v>
      </c>
      <c r="L1124" s="76" t="s">
        <v>60</v>
      </c>
      <c r="M1124" s="80" t="s">
        <v>206</v>
      </c>
      <c r="N1124" s="40" t="str">
        <f>VLOOKUP(L1124,'Raw material list'!$A$3:$E$715,5,0)</f>
        <v>Ml</v>
      </c>
      <c r="O1124" s="80">
        <v>75</v>
      </c>
      <c r="P1124" s="299">
        <f t="shared" si="94"/>
        <v>75</v>
      </c>
      <c r="Q1124" s="80">
        <v>100</v>
      </c>
      <c r="R1124" s="80">
        <v>10</v>
      </c>
      <c r="S1124" s="80"/>
      <c r="T1124" s="105">
        <f t="shared" si="92"/>
        <v>7.5</v>
      </c>
      <c r="U1124" s="105">
        <f t="shared" si="95"/>
        <v>7.5</v>
      </c>
      <c r="V1124" s="104">
        <f>IFERROR(VLOOKUP(L1124,'Raw material list'!$A$2:$S$3102,6,0),0)</f>
        <v>9.8800000000000016E-3</v>
      </c>
      <c r="W1124" s="104">
        <f t="shared" si="96"/>
        <v>7.4100000000000013E-2</v>
      </c>
    </row>
    <row r="1125" spans="1:23" hidden="1" x14ac:dyDescent="0.55000000000000004">
      <c r="A1125" s="76" t="str">
        <f t="shared" si="97"/>
        <v>RCP-SMC-000062</v>
      </c>
      <c r="B1125" s="58" t="s">
        <v>35</v>
      </c>
      <c r="C1125" s="58" t="s">
        <v>10</v>
      </c>
      <c r="D1125" s="76" t="str">
        <f t="shared" si="98"/>
        <v>White Jareesh &amp; Mash Vegetable</v>
      </c>
      <c r="E1125" s="58" t="s">
        <v>1560</v>
      </c>
      <c r="F1125" s="58" t="s">
        <v>2079</v>
      </c>
      <c r="G1125" s="41" t="s">
        <v>11</v>
      </c>
      <c r="H1125" s="58" t="s">
        <v>1774</v>
      </c>
      <c r="I1125" s="76"/>
      <c r="J1125" s="76"/>
      <c r="K1125" s="58" t="str">
        <f>IFERROR(VLOOKUP(L1125,'Raw material list'!$A$3:$C$715,3,0),"")</f>
        <v>DRS5-3866</v>
      </c>
      <c r="L1125" s="76" t="s">
        <v>64</v>
      </c>
      <c r="M1125" s="80" t="s">
        <v>156</v>
      </c>
      <c r="N1125" s="40" t="str">
        <f>VLOOKUP(L1125,'Raw material list'!$A$3:$E$715,5,0)</f>
        <v xml:space="preserve">Gram </v>
      </c>
      <c r="O1125" s="80">
        <v>150</v>
      </c>
      <c r="P1125" s="299">
        <f t="shared" si="94"/>
        <v>150</v>
      </c>
      <c r="Q1125" s="80">
        <v>100</v>
      </c>
      <c r="R1125" s="80">
        <v>10</v>
      </c>
      <c r="S1125" s="80"/>
      <c r="T1125" s="105">
        <f t="shared" si="92"/>
        <v>15</v>
      </c>
      <c r="U1125" s="105">
        <f t="shared" si="95"/>
        <v>15</v>
      </c>
      <c r="V1125" s="104">
        <f>IFERROR(VLOOKUP(L1125,'Raw material list'!$A$2:$S$3102,6,0),0)</f>
        <v>0.02</v>
      </c>
      <c r="W1125" s="104">
        <f t="shared" si="96"/>
        <v>0.3</v>
      </c>
    </row>
    <row r="1126" spans="1:23" hidden="1" x14ac:dyDescent="0.55000000000000004">
      <c r="A1126" s="76" t="str">
        <f t="shared" si="97"/>
        <v>RCP-SMC-000062</v>
      </c>
      <c r="B1126" s="58" t="s">
        <v>35</v>
      </c>
      <c r="C1126" s="58" t="s">
        <v>10</v>
      </c>
      <c r="D1126" s="76" t="str">
        <f t="shared" si="98"/>
        <v>White Jareesh &amp; Mash Vegetable</v>
      </c>
      <c r="E1126" s="58" t="s">
        <v>1560</v>
      </c>
      <c r="F1126" s="58" t="s">
        <v>2079</v>
      </c>
      <c r="G1126" s="41" t="s">
        <v>11</v>
      </c>
      <c r="H1126" s="58" t="s">
        <v>1774</v>
      </c>
      <c r="I1126" s="76"/>
      <c r="J1126" s="76"/>
      <c r="K1126" s="58" t="str">
        <f>IFERROR(VLOOKUP(L1126,'Raw material list'!$A$3:$C$715,3,0),"")</f>
        <v>PRD1-232</v>
      </c>
      <c r="L1126" s="76" t="s">
        <v>116</v>
      </c>
      <c r="M1126" s="80" t="s">
        <v>156</v>
      </c>
      <c r="N1126" s="40" t="str">
        <f>VLOOKUP(L1126,'Raw material list'!$A$3:$E$715,5,0)</f>
        <v xml:space="preserve">Gram </v>
      </c>
      <c r="O1126" s="80">
        <v>100</v>
      </c>
      <c r="P1126" s="299">
        <f t="shared" si="94"/>
        <v>138.88888888888889</v>
      </c>
      <c r="Q1126" s="105">
        <v>72</v>
      </c>
      <c r="R1126" s="80">
        <v>10</v>
      </c>
      <c r="S1126" s="80"/>
      <c r="T1126" s="105">
        <f t="shared" si="92"/>
        <v>10</v>
      </c>
      <c r="U1126" s="105">
        <f t="shared" si="95"/>
        <v>13.888888888888889</v>
      </c>
      <c r="V1126" s="104">
        <f>IFERROR(VLOOKUP(L1126,'Raw material list'!$A$2:$S$3102,6,0),0)</f>
        <v>4.4444444444444444E-3</v>
      </c>
      <c r="W1126" s="104">
        <f t="shared" si="96"/>
        <v>6.1728395061728399E-2</v>
      </c>
    </row>
    <row r="1127" spans="1:23" hidden="1" x14ac:dyDescent="0.55000000000000004">
      <c r="A1127" s="76" t="str">
        <f t="shared" si="97"/>
        <v>RCP-SMC-000062</v>
      </c>
      <c r="B1127" s="58" t="s">
        <v>35</v>
      </c>
      <c r="C1127" s="58" t="s">
        <v>10</v>
      </c>
      <c r="D1127" s="76" t="str">
        <f t="shared" si="98"/>
        <v>White Jareesh &amp; Mash Vegetable</v>
      </c>
      <c r="E1127" s="58" t="s">
        <v>1560</v>
      </c>
      <c r="F1127" s="58" t="s">
        <v>2079</v>
      </c>
      <c r="G1127" s="41" t="s">
        <v>11</v>
      </c>
      <c r="H1127" s="58" t="s">
        <v>1774</v>
      </c>
      <c r="I1127" s="76"/>
      <c r="J1127" s="76"/>
      <c r="K1127" s="58" t="str">
        <f>IFERROR(VLOOKUP(L1127,'Raw material list'!$A$3:$C$715,3,0),"")</f>
        <v>PRD1-186</v>
      </c>
      <c r="L1127" s="76" t="s">
        <v>37</v>
      </c>
      <c r="M1127" s="80" t="s">
        <v>156</v>
      </c>
      <c r="N1127" s="40" t="str">
        <f>VLOOKUP(L1127,'Raw material list'!$A$3:$E$715,5,0)</f>
        <v xml:space="preserve">Gram </v>
      </c>
      <c r="O1127" s="80">
        <v>100</v>
      </c>
      <c r="P1127" s="299">
        <f t="shared" si="94"/>
        <v>122.44897959183673</v>
      </c>
      <c r="Q1127" s="105">
        <v>81.666666666666671</v>
      </c>
      <c r="R1127" s="80">
        <v>10</v>
      </c>
      <c r="S1127" s="80"/>
      <c r="T1127" s="105">
        <f t="shared" si="92"/>
        <v>10</v>
      </c>
      <c r="U1127" s="105">
        <f t="shared" si="95"/>
        <v>12.244897959183673</v>
      </c>
      <c r="V1127" s="104">
        <f>IFERROR(VLOOKUP(L1127,'Raw material list'!$A$2:$S$3102,6,0),0)</f>
        <v>5.8139534883720938E-3</v>
      </c>
      <c r="W1127" s="104">
        <f t="shared" si="96"/>
        <v>7.1191267204556249E-2</v>
      </c>
    </row>
    <row r="1128" spans="1:23" hidden="1" x14ac:dyDescent="0.55000000000000004">
      <c r="A1128" s="76" t="s">
        <v>1571</v>
      </c>
      <c r="B1128" s="58" t="s">
        <v>35</v>
      </c>
      <c r="C1128" s="58" t="s">
        <v>10</v>
      </c>
      <c r="D1128" s="76" t="s">
        <v>1562</v>
      </c>
      <c r="E1128" s="58" t="s">
        <v>1560</v>
      </c>
      <c r="F1128" s="58" t="s">
        <v>2081</v>
      </c>
      <c r="G1128" s="41" t="s">
        <v>11</v>
      </c>
      <c r="H1128" s="58" t="s">
        <v>1774</v>
      </c>
      <c r="I1128" s="76"/>
      <c r="J1128" s="76"/>
      <c r="K1128" s="58" t="str">
        <f>IFERROR(VLOOKUP(L1128,'Raw material list'!$A$3:$C$715,3,0),"")</f>
        <v>PLT2-3278</v>
      </c>
      <c r="L1128" s="76" t="s">
        <v>80</v>
      </c>
      <c r="M1128" s="80" t="s">
        <v>156</v>
      </c>
      <c r="N1128" s="40" t="str">
        <f>VLOOKUP(L1128,'Raw material list'!$A$3:$E$715,5,0)</f>
        <v xml:space="preserve">Gram </v>
      </c>
      <c r="O1128" s="80">
        <v>1200</v>
      </c>
      <c r="P1128" s="299">
        <f t="shared" si="94"/>
        <v>1574.803149606299</v>
      </c>
      <c r="Q1128" s="303">
        <v>76.2</v>
      </c>
      <c r="R1128" s="80">
        <v>10</v>
      </c>
      <c r="S1128" s="80"/>
      <c r="T1128" s="105">
        <f t="shared" si="92"/>
        <v>120</v>
      </c>
      <c r="U1128" s="105">
        <f t="shared" si="95"/>
        <v>157.4803149606299</v>
      </c>
      <c r="V1128" s="104">
        <f>IFERROR(VLOOKUP(L1128,'Raw material list'!$A$2:$S$3102,6,0),0)</f>
        <v>3.0357142857142853E-2</v>
      </c>
      <c r="W1128" s="104">
        <f t="shared" si="96"/>
        <v>4.7806524184476924</v>
      </c>
    </row>
    <row r="1129" spans="1:23" hidden="1" x14ac:dyDescent="0.55000000000000004">
      <c r="A1129" s="76" t="str">
        <f t="shared" ref="A1129:A1151" si="99">A1128</f>
        <v>RCP-SMC-000063</v>
      </c>
      <c r="B1129" s="58" t="s">
        <v>35</v>
      </c>
      <c r="C1129" s="58" t="s">
        <v>10</v>
      </c>
      <c r="D1129" s="76" t="str">
        <f t="shared" ref="D1129:D1151" si="100">D1128</f>
        <v>Chicken Curry</v>
      </c>
      <c r="E1129" s="58" t="s">
        <v>1560</v>
      </c>
      <c r="F1129" s="58" t="s">
        <v>2079</v>
      </c>
      <c r="G1129" s="41" t="s">
        <v>11</v>
      </c>
      <c r="H1129" s="58" t="s">
        <v>1774</v>
      </c>
      <c r="I1129" s="76"/>
      <c r="J1129" s="76"/>
      <c r="K1129" s="58" t="str">
        <f>IFERROR(VLOOKUP(L1129,'Raw material list'!$A$3:$C$715,3,0),"")</f>
        <v>DRS3-1813</v>
      </c>
      <c r="L1129" s="76" t="s">
        <v>69</v>
      </c>
      <c r="M1129" s="80" t="s">
        <v>206</v>
      </c>
      <c r="N1129" s="40" t="str">
        <f>VLOOKUP(L1129,'Raw material list'!$A$3:$E$715,5,0)</f>
        <v>Ml</v>
      </c>
      <c r="O1129" s="80">
        <v>20</v>
      </c>
      <c r="P1129" s="299">
        <f t="shared" si="94"/>
        <v>20</v>
      </c>
      <c r="Q1129" s="80">
        <v>100</v>
      </c>
      <c r="R1129" s="80">
        <v>10</v>
      </c>
      <c r="S1129" s="80"/>
      <c r="T1129" s="105">
        <f t="shared" si="92"/>
        <v>2</v>
      </c>
      <c r="U1129" s="105">
        <f t="shared" si="95"/>
        <v>2</v>
      </c>
      <c r="V1129" s="104">
        <f>IFERROR(VLOOKUP(L1129,'Raw material list'!$A$2:$S$3102,6,0),0)</f>
        <v>8.0555555555555554E-3</v>
      </c>
      <c r="W1129" s="104">
        <f t="shared" si="96"/>
        <v>1.6111111111111111E-2</v>
      </c>
    </row>
    <row r="1130" spans="1:23" hidden="1" x14ac:dyDescent="0.55000000000000004">
      <c r="A1130" s="76" t="str">
        <f t="shared" si="99"/>
        <v>RCP-SMC-000063</v>
      </c>
      <c r="B1130" s="58" t="s">
        <v>35</v>
      </c>
      <c r="C1130" s="58" t="s">
        <v>10</v>
      </c>
      <c r="D1130" s="76" t="str">
        <f t="shared" si="100"/>
        <v>Chicken Curry</v>
      </c>
      <c r="E1130" s="58" t="s">
        <v>1560</v>
      </c>
      <c r="F1130" s="58" t="s">
        <v>2079</v>
      </c>
      <c r="G1130" s="41" t="s">
        <v>11</v>
      </c>
      <c r="H1130" s="58" t="s">
        <v>1774</v>
      </c>
      <c r="I1130" s="76"/>
      <c r="J1130" s="76"/>
      <c r="K1130" s="58" t="str">
        <f>IFERROR(VLOOKUP(L1130,'Raw material list'!$A$3:$C$715,3,0),"")</f>
        <v>PRD1-4265</v>
      </c>
      <c r="L1130" s="76" t="s">
        <v>38</v>
      </c>
      <c r="M1130" s="80" t="s">
        <v>156</v>
      </c>
      <c r="N1130" s="40" t="str">
        <f>VLOOKUP(L1130,'Raw material list'!$A$3:$E$715,5,0)</f>
        <v xml:space="preserve">Gram </v>
      </c>
      <c r="O1130" s="80">
        <v>150</v>
      </c>
      <c r="P1130" s="299">
        <f t="shared" si="94"/>
        <v>176.47058823529412</v>
      </c>
      <c r="Q1130" s="105">
        <v>85</v>
      </c>
      <c r="R1130" s="80">
        <v>10</v>
      </c>
      <c r="S1130" s="80"/>
      <c r="T1130" s="105">
        <f t="shared" si="92"/>
        <v>15</v>
      </c>
      <c r="U1130" s="105">
        <f t="shared" si="95"/>
        <v>17.647058823529413</v>
      </c>
      <c r="V1130" s="104">
        <f>IFERROR(VLOOKUP(L1130,'Raw material list'!$A$2:$S$3102,6,0),0)</f>
        <v>3.529411764705882E-3</v>
      </c>
      <c r="W1130" s="104">
        <f t="shared" si="96"/>
        <v>6.228373702422145E-2</v>
      </c>
    </row>
    <row r="1131" spans="1:23" hidden="1" x14ac:dyDescent="0.55000000000000004">
      <c r="A1131" s="76" t="str">
        <f t="shared" si="99"/>
        <v>RCP-SMC-000063</v>
      </c>
      <c r="B1131" s="58" t="s">
        <v>35</v>
      </c>
      <c r="C1131" s="58" t="s">
        <v>10</v>
      </c>
      <c r="D1131" s="76" t="str">
        <f t="shared" si="100"/>
        <v>Chicken Curry</v>
      </c>
      <c r="E1131" s="58" t="s">
        <v>1560</v>
      </c>
      <c r="F1131" s="58" t="s">
        <v>2079</v>
      </c>
      <c r="G1131" s="41" t="s">
        <v>11</v>
      </c>
      <c r="H1131" s="58" t="s">
        <v>1774</v>
      </c>
      <c r="I1131" s="76"/>
      <c r="J1131" s="76"/>
      <c r="K1131" s="58" t="str">
        <f>IFERROR(VLOOKUP(L1131,'Raw material list'!$A$3:$C$715,3,0),"")</f>
        <v>PRD1-4327</v>
      </c>
      <c r="L1131" s="76" t="s">
        <v>39</v>
      </c>
      <c r="M1131" s="80" t="s">
        <v>156</v>
      </c>
      <c r="N1131" s="40" t="str">
        <f>VLOOKUP(L1131,'Raw material list'!$A$3:$E$715,5,0)</f>
        <v xml:space="preserve">Gram </v>
      </c>
      <c r="O1131" s="80">
        <v>15</v>
      </c>
      <c r="P1131" s="299">
        <f t="shared" si="94"/>
        <v>18.072289156626507</v>
      </c>
      <c r="Q1131" s="105">
        <v>83</v>
      </c>
      <c r="R1131" s="80">
        <v>10</v>
      </c>
      <c r="S1131" s="80"/>
      <c r="T1131" s="105">
        <f t="shared" si="92"/>
        <v>1.5</v>
      </c>
      <c r="U1131" s="105">
        <f t="shared" si="95"/>
        <v>1.8072289156626506</v>
      </c>
      <c r="V1131" s="104">
        <f>IFERROR(VLOOKUP(L1131,'Raw material list'!$A$2:$S$3102,6,0),0)</f>
        <v>1.2999999999999999E-2</v>
      </c>
      <c r="W1131" s="104">
        <f t="shared" si="96"/>
        <v>2.3493975903614458E-2</v>
      </c>
    </row>
    <row r="1132" spans="1:23" hidden="1" x14ac:dyDescent="0.55000000000000004">
      <c r="A1132" s="76" t="str">
        <f t="shared" si="99"/>
        <v>RCP-SMC-000063</v>
      </c>
      <c r="B1132" s="58" t="s">
        <v>35</v>
      </c>
      <c r="C1132" s="58" t="s">
        <v>10</v>
      </c>
      <c r="D1132" s="76" t="str">
        <f t="shared" si="100"/>
        <v>Chicken Curry</v>
      </c>
      <c r="E1132" s="58" t="s">
        <v>1560</v>
      </c>
      <c r="F1132" s="58" t="s">
        <v>2079</v>
      </c>
      <c r="G1132" s="41" t="s">
        <v>11</v>
      </c>
      <c r="H1132" s="58" t="s">
        <v>1774</v>
      </c>
      <c r="I1132" s="76"/>
      <c r="J1132" s="76"/>
      <c r="K1132" s="58" t="str">
        <f>IFERROR(VLOOKUP(L1132,'Raw material list'!$A$3:$C$715,3,0),"")</f>
        <v>DRS6-733</v>
      </c>
      <c r="L1132" s="76" t="s">
        <v>45</v>
      </c>
      <c r="M1132" s="80" t="s">
        <v>156</v>
      </c>
      <c r="N1132" s="40" t="str">
        <f>VLOOKUP(L1132,'Raw material list'!$A$3:$E$715,5,0)</f>
        <v xml:space="preserve">Gram </v>
      </c>
      <c r="O1132" s="80">
        <v>15</v>
      </c>
      <c r="P1132" s="299">
        <f t="shared" si="94"/>
        <v>15</v>
      </c>
      <c r="Q1132" s="303">
        <v>100</v>
      </c>
      <c r="R1132" s="80">
        <v>10</v>
      </c>
      <c r="S1132" s="80"/>
      <c r="T1132" s="105">
        <f t="shared" si="92"/>
        <v>1.5</v>
      </c>
      <c r="U1132" s="105">
        <f t="shared" si="95"/>
        <v>1.5</v>
      </c>
      <c r="V1132" s="104">
        <f>IFERROR(VLOOKUP(L1132,'Raw material list'!$A$2:$S$3102,6,0),0)</f>
        <v>2.8000000000000001E-2</v>
      </c>
      <c r="W1132" s="104">
        <f t="shared" si="96"/>
        <v>4.2000000000000003E-2</v>
      </c>
    </row>
    <row r="1133" spans="1:23" hidden="1" x14ac:dyDescent="0.55000000000000004">
      <c r="A1133" s="76" t="str">
        <f t="shared" si="99"/>
        <v>RCP-SMC-000063</v>
      </c>
      <c r="B1133" s="58" t="s">
        <v>35</v>
      </c>
      <c r="C1133" s="58" t="s">
        <v>10</v>
      </c>
      <c r="D1133" s="76" t="str">
        <f t="shared" si="100"/>
        <v>Chicken Curry</v>
      </c>
      <c r="E1133" s="58" t="s">
        <v>1560</v>
      </c>
      <c r="F1133" s="58" t="s">
        <v>2079</v>
      </c>
      <c r="G1133" s="41" t="s">
        <v>11</v>
      </c>
      <c r="H1133" s="58" t="s">
        <v>1774</v>
      </c>
      <c r="I1133" s="76"/>
      <c r="J1133" s="76"/>
      <c r="K1133" s="58" t="str">
        <f>IFERROR(VLOOKUP(L1133,'Raw material list'!$A$3:$C$715,3,0),"")</f>
        <v>DRS6-266</v>
      </c>
      <c r="L1133" s="76" t="s">
        <v>99</v>
      </c>
      <c r="M1133" s="80" t="s">
        <v>156</v>
      </c>
      <c r="N1133" s="40" t="str">
        <f>VLOOKUP(L1133,'Raw material list'!$A$3:$E$715,5,0)</f>
        <v xml:space="preserve">Gram </v>
      </c>
      <c r="O1133" s="80">
        <v>3</v>
      </c>
      <c r="P1133" s="299">
        <f t="shared" si="94"/>
        <v>3</v>
      </c>
      <c r="Q1133" s="80">
        <v>100</v>
      </c>
      <c r="R1133" s="80">
        <v>10</v>
      </c>
      <c r="S1133" s="80"/>
      <c r="T1133" s="105">
        <f t="shared" si="92"/>
        <v>0.3</v>
      </c>
      <c r="U1133" s="105">
        <f t="shared" si="95"/>
        <v>0.3</v>
      </c>
      <c r="V1133" s="104">
        <f>IFERROR(VLOOKUP(L1133,'Raw material list'!$A$2:$S$3102,6,0),0)</f>
        <v>1.4E-2</v>
      </c>
      <c r="W1133" s="104">
        <f t="shared" si="96"/>
        <v>4.1999999999999997E-3</v>
      </c>
    </row>
    <row r="1134" spans="1:23" hidden="1" x14ac:dyDescent="0.55000000000000004">
      <c r="A1134" s="76" t="str">
        <f t="shared" si="99"/>
        <v>RCP-SMC-000063</v>
      </c>
      <c r="B1134" s="58" t="s">
        <v>35</v>
      </c>
      <c r="C1134" s="58" t="s">
        <v>10</v>
      </c>
      <c r="D1134" s="76" t="str">
        <f t="shared" si="100"/>
        <v>Chicken Curry</v>
      </c>
      <c r="E1134" s="58" t="s">
        <v>1560</v>
      </c>
      <c r="F1134" s="58" t="s">
        <v>2079</v>
      </c>
      <c r="G1134" s="41" t="s">
        <v>11</v>
      </c>
      <c r="H1134" s="58" t="s">
        <v>1774</v>
      </c>
      <c r="I1134" s="76"/>
      <c r="J1134" s="76"/>
      <c r="K1134" s="58" t="str">
        <f>IFERROR(VLOOKUP(L1134,'Raw material list'!$A$3:$C$715,3,0),"")</f>
        <v>DRS6-3608</v>
      </c>
      <c r="L1134" s="76" t="s">
        <v>131</v>
      </c>
      <c r="M1134" s="80" t="s">
        <v>156</v>
      </c>
      <c r="N1134" s="40" t="str">
        <f>VLOOKUP(L1134,'Raw material list'!$A$3:$E$715,5,0)</f>
        <v xml:space="preserve">Gram </v>
      </c>
      <c r="O1134" s="80">
        <v>3</v>
      </c>
      <c r="P1134" s="299">
        <f t="shared" si="94"/>
        <v>3</v>
      </c>
      <c r="Q1134" s="80">
        <v>100</v>
      </c>
      <c r="R1134" s="80">
        <v>10</v>
      </c>
      <c r="S1134" s="80"/>
      <c r="T1134" s="105">
        <f t="shared" si="92"/>
        <v>0.3</v>
      </c>
      <c r="U1134" s="105">
        <f t="shared" si="95"/>
        <v>0.3</v>
      </c>
      <c r="V1134" s="104">
        <f>IFERROR(VLOOKUP(L1134,'Raw material list'!$A$2:$S$3102,6,0),0)</f>
        <v>1.6E-2</v>
      </c>
      <c r="W1134" s="104">
        <f t="shared" si="96"/>
        <v>4.7999999999999996E-3</v>
      </c>
    </row>
    <row r="1135" spans="1:23" hidden="1" x14ac:dyDescent="0.55000000000000004">
      <c r="A1135" s="76" t="str">
        <f t="shared" si="99"/>
        <v>RCP-SMC-000063</v>
      </c>
      <c r="B1135" s="58" t="s">
        <v>35</v>
      </c>
      <c r="C1135" s="58" t="s">
        <v>10</v>
      </c>
      <c r="D1135" s="76" t="str">
        <f t="shared" si="100"/>
        <v>Chicken Curry</v>
      </c>
      <c r="E1135" s="58" t="s">
        <v>1560</v>
      </c>
      <c r="F1135" s="58" t="s">
        <v>2079</v>
      </c>
      <c r="G1135" s="41" t="s">
        <v>11</v>
      </c>
      <c r="H1135" s="58" t="s">
        <v>1774</v>
      </c>
      <c r="I1135" s="76"/>
      <c r="J1135" s="76"/>
      <c r="K1135" s="58" t="str">
        <f>IFERROR(VLOOKUP(L1135,'Raw material list'!$A$3:$C$715,3,0),"")</f>
        <v>PRD1-572</v>
      </c>
      <c r="L1135" s="76" t="s">
        <v>54</v>
      </c>
      <c r="M1135" s="80" t="s">
        <v>156</v>
      </c>
      <c r="N1135" s="40" t="str">
        <f>VLOOKUP(L1135,'Raw material list'!$A$3:$E$715,5,0)</f>
        <v xml:space="preserve">Gram </v>
      </c>
      <c r="O1135" s="80">
        <v>150</v>
      </c>
      <c r="P1135" s="299">
        <f t="shared" si="94"/>
        <v>170.00377786173021</v>
      </c>
      <c r="Q1135" s="105">
        <v>88.233333333333348</v>
      </c>
      <c r="R1135" s="80">
        <v>10</v>
      </c>
      <c r="S1135" s="80"/>
      <c r="T1135" s="105">
        <f t="shared" si="92"/>
        <v>15</v>
      </c>
      <c r="U1135" s="105">
        <f t="shared" si="95"/>
        <v>17.000377786173022</v>
      </c>
      <c r="V1135" s="104">
        <f>IFERROR(VLOOKUP(L1135,'Raw material list'!$A$2:$S$3102,6,0),0)</f>
        <v>4.5351473922902496E-3</v>
      </c>
      <c r="W1135" s="104">
        <f t="shared" si="96"/>
        <v>7.7099218984911663E-2</v>
      </c>
    </row>
    <row r="1136" spans="1:23" hidden="1" x14ac:dyDescent="0.55000000000000004">
      <c r="A1136" s="76" t="str">
        <f t="shared" si="99"/>
        <v>RCP-SMC-000063</v>
      </c>
      <c r="B1136" s="58" t="s">
        <v>35</v>
      </c>
      <c r="C1136" s="58" t="s">
        <v>10</v>
      </c>
      <c r="D1136" s="76" t="str">
        <f t="shared" si="100"/>
        <v>Chicken Curry</v>
      </c>
      <c r="E1136" s="58" t="s">
        <v>1560</v>
      </c>
      <c r="F1136" s="58" t="s">
        <v>2079</v>
      </c>
      <c r="G1136" s="41" t="s">
        <v>11</v>
      </c>
      <c r="H1136" s="58" t="s">
        <v>1774</v>
      </c>
      <c r="I1136" s="76"/>
      <c r="J1136" s="76"/>
      <c r="K1136" s="58" t="str">
        <f>IFERROR(VLOOKUP(L1136,'Raw material list'!$A$3:$C$715,3,0),"")</f>
        <v>DRS1-1747</v>
      </c>
      <c r="L1136" s="76" t="s">
        <v>44</v>
      </c>
      <c r="M1136" s="80" t="s">
        <v>156</v>
      </c>
      <c r="N1136" s="40" t="str">
        <f>VLOOKUP(L1136,'Raw material list'!$A$3:$E$715,5,0)</f>
        <v xml:space="preserve">Gram </v>
      </c>
      <c r="O1136" s="80">
        <v>25</v>
      </c>
      <c r="P1136" s="299">
        <f t="shared" si="94"/>
        <v>25</v>
      </c>
      <c r="Q1136" s="303">
        <v>100</v>
      </c>
      <c r="R1136" s="80">
        <v>10</v>
      </c>
      <c r="S1136" s="80"/>
      <c r="T1136" s="105">
        <f t="shared" si="92"/>
        <v>2.5</v>
      </c>
      <c r="U1136" s="105">
        <f t="shared" si="95"/>
        <v>2.5</v>
      </c>
      <c r="V1136" s="104">
        <f>IFERROR(VLOOKUP(L1136,'Raw material list'!$A$2:$S$3102,6,0),0)</f>
        <v>5.185185185185185E-3</v>
      </c>
      <c r="W1136" s="104">
        <f t="shared" si="96"/>
        <v>1.2962962962962963E-2</v>
      </c>
    </row>
    <row r="1137" spans="1:23" hidden="1" x14ac:dyDescent="0.55000000000000004">
      <c r="A1137" s="76" t="str">
        <f t="shared" si="99"/>
        <v>RCP-SMC-000063</v>
      </c>
      <c r="B1137" s="58" t="s">
        <v>35</v>
      </c>
      <c r="C1137" s="58" t="s">
        <v>10</v>
      </c>
      <c r="D1137" s="76" t="str">
        <f t="shared" si="100"/>
        <v>Chicken Curry</v>
      </c>
      <c r="E1137" s="58" t="s">
        <v>1560</v>
      </c>
      <c r="F1137" s="58" t="s">
        <v>2079</v>
      </c>
      <c r="G1137" s="41" t="s">
        <v>11</v>
      </c>
      <c r="H1137" s="58" t="s">
        <v>1774</v>
      </c>
      <c r="I1137" s="76"/>
      <c r="J1137" s="76"/>
      <c r="K1137" s="58" t="str">
        <f>IFERROR(VLOOKUP(L1137,'Raw material list'!$A$3:$C$715,3,0),"")</f>
        <v>DRS1-3880</v>
      </c>
      <c r="L1137" s="76" t="s">
        <v>1433</v>
      </c>
      <c r="M1137" s="80" t="s">
        <v>156</v>
      </c>
      <c r="N1137" s="40" t="str">
        <f>VLOOKUP(L1137,'Raw material list'!$A$3:$E$715,5,0)</f>
        <v xml:space="preserve">Gram </v>
      </c>
      <c r="O1137" s="80">
        <v>10</v>
      </c>
      <c r="P1137" s="299">
        <f t="shared" si="94"/>
        <v>10</v>
      </c>
      <c r="Q1137" s="80">
        <v>100</v>
      </c>
      <c r="R1137" s="80">
        <v>10</v>
      </c>
      <c r="S1137" s="80"/>
      <c r="T1137" s="105">
        <f t="shared" si="92"/>
        <v>1</v>
      </c>
      <c r="U1137" s="105">
        <f t="shared" si="95"/>
        <v>1</v>
      </c>
      <c r="V1137" s="104">
        <f>IFERROR(VLOOKUP(L1137,'Raw material list'!$A$2:$S$3102,6,0),0)</f>
        <v>5.0000000000000001E-4</v>
      </c>
      <c r="W1137" s="104">
        <f t="shared" si="96"/>
        <v>5.0000000000000001E-4</v>
      </c>
    </row>
    <row r="1138" spans="1:23" hidden="1" x14ac:dyDescent="0.55000000000000004">
      <c r="A1138" s="76" t="str">
        <f t="shared" si="99"/>
        <v>RCP-SMC-000063</v>
      </c>
      <c r="B1138" s="58" t="s">
        <v>35</v>
      </c>
      <c r="C1138" s="58" t="s">
        <v>10</v>
      </c>
      <c r="D1138" s="76" t="str">
        <f t="shared" si="100"/>
        <v>Chicken Curry</v>
      </c>
      <c r="E1138" s="58" t="s">
        <v>1560</v>
      </c>
      <c r="F1138" s="58" t="s">
        <v>2079</v>
      </c>
      <c r="G1138" s="41" t="s">
        <v>11</v>
      </c>
      <c r="H1138" s="58" t="s">
        <v>1774</v>
      </c>
      <c r="I1138" s="76"/>
      <c r="J1138" s="76"/>
      <c r="K1138" s="58" t="str">
        <f>IFERROR(VLOOKUP(L1138,'Raw material list'!$A$3:$C$715,3,0),"")</f>
        <v>PRD1-186</v>
      </c>
      <c r="L1138" s="76" t="s">
        <v>37</v>
      </c>
      <c r="M1138" s="80" t="s">
        <v>156</v>
      </c>
      <c r="N1138" s="40" t="str">
        <f>VLOOKUP(L1138,'Raw material list'!$A$3:$E$715,5,0)</f>
        <v xml:space="preserve">Gram </v>
      </c>
      <c r="O1138" s="80">
        <v>400</v>
      </c>
      <c r="P1138" s="299">
        <f t="shared" si="94"/>
        <v>489.79591836734693</v>
      </c>
      <c r="Q1138" s="105">
        <v>81.666666666666671</v>
      </c>
      <c r="R1138" s="80">
        <v>10</v>
      </c>
      <c r="S1138" s="80"/>
      <c r="T1138" s="105">
        <f t="shared" si="92"/>
        <v>40</v>
      </c>
      <c r="U1138" s="105">
        <f t="shared" si="95"/>
        <v>48.979591836734691</v>
      </c>
      <c r="V1138" s="104">
        <f>IFERROR(VLOOKUP(L1138,'Raw material list'!$A$2:$S$3102,6,0),0)</f>
        <v>5.8139534883720938E-3</v>
      </c>
      <c r="W1138" s="104">
        <f t="shared" si="96"/>
        <v>0.284765068818225</v>
      </c>
    </row>
    <row r="1139" spans="1:23" hidden="1" x14ac:dyDescent="0.55000000000000004">
      <c r="A1139" s="76" t="str">
        <f t="shared" si="99"/>
        <v>RCP-SMC-000063</v>
      </c>
      <c r="B1139" s="58" t="s">
        <v>35</v>
      </c>
      <c r="C1139" s="58" t="s">
        <v>10</v>
      </c>
      <c r="D1139" s="76" t="str">
        <f t="shared" si="100"/>
        <v>Chicken Curry</v>
      </c>
      <c r="E1139" s="58" t="s">
        <v>1560</v>
      </c>
      <c r="F1139" s="58" t="s">
        <v>2079</v>
      </c>
      <c r="G1139" s="41" t="s">
        <v>11</v>
      </c>
      <c r="H1139" s="58" t="s">
        <v>1774</v>
      </c>
      <c r="I1139" s="76"/>
      <c r="J1139" s="76"/>
      <c r="K1139" s="58" t="str">
        <f>IFERROR(VLOOKUP(L1139,'Raw material list'!$A$3:$C$715,3,0),"")</f>
        <v>PRD1-230</v>
      </c>
      <c r="L1139" s="76" t="s">
        <v>70</v>
      </c>
      <c r="M1139" s="80" t="s">
        <v>156</v>
      </c>
      <c r="N1139" s="40" t="str">
        <f>VLOOKUP(L1139,'Raw material list'!$A$3:$E$715,5,0)</f>
        <v xml:space="preserve">Gram </v>
      </c>
      <c r="O1139" s="80">
        <v>500</v>
      </c>
      <c r="P1139" s="299">
        <f t="shared" si="94"/>
        <v>674.76383265856953</v>
      </c>
      <c r="Q1139" s="105">
        <v>74.099999999999994</v>
      </c>
      <c r="R1139" s="80">
        <v>10</v>
      </c>
      <c r="S1139" s="80"/>
      <c r="T1139" s="105">
        <f t="shared" si="92"/>
        <v>50</v>
      </c>
      <c r="U1139" s="105">
        <f t="shared" si="95"/>
        <v>67.476383265856953</v>
      </c>
      <c r="V1139" s="104">
        <f>IFERROR(VLOOKUP(L1139,'Raw material list'!$A$2:$S$3102,6,0),0)</f>
        <v>3.3738191632928472E-3</v>
      </c>
      <c r="W1139" s="104">
        <f t="shared" si="96"/>
        <v>0.22765311493204099</v>
      </c>
    </row>
    <row r="1140" spans="1:23" hidden="1" x14ac:dyDescent="0.55000000000000004">
      <c r="A1140" s="76" t="str">
        <f t="shared" si="99"/>
        <v>RCP-SMC-000063</v>
      </c>
      <c r="B1140" s="58" t="s">
        <v>35</v>
      </c>
      <c r="C1140" s="58" t="s">
        <v>10</v>
      </c>
      <c r="D1140" s="76" t="str">
        <f t="shared" si="100"/>
        <v>Chicken Curry</v>
      </c>
      <c r="E1140" s="58" t="s">
        <v>1560</v>
      </c>
      <c r="F1140" s="58" t="s">
        <v>2079</v>
      </c>
      <c r="G1140" s="41" t="s">
        <v>11</v>
      </c>
      <c r="H1140" s="58" t="s">
        <v>1774</v>
      </c>
      <c r="I1140" s="76"/>
      <c r="J1140" s="76"/>
      <c r="K1140" s="58" t="str">
        <f>IFERROR(VLOOKUP(L1140,'Raw material list'!$A$3:$C$715,3,0),"")</f>
        <v>PRD2-3566</v>
      </c>
      <c r="L1140" s="76" t="s">
        <v>123</v>
      </c>
      <c r="M1140" s="80" t="s">
        <v>156</v>
      </c>
      <c r="N1140" s="40" t="str">
        <f>VLOOKUP(L1140,'Raw material list'!$A$3:$E$715,5,0)</f>
        <v xml:space="preserve">Gram </v>
      </c>
      <c r="O1140" s="80">
        <v>400</v>
      </c>
      <c r="P1140" s="299">
        <f t="shared" si="94"/>
        <v>400</v>
      </c>
      <c r="Q1140" s="303">
        <v>100</v>
      </c>
      <c r="R1140" s="80">
        <v>10</v>
      </c>
      <c r="S1140" s="80"/>
      <c r="T1140" s="105">
        <f t="shared" si="92"/>
        <v>40</v>
      </c>
      <c r="U1140" s="105">
        <f t="shared" si="95"/>
        <v>40</v>
      </c>
      <c r="V1140" s="104">
        <f>IFERROR(VLOOKUP(L1140,'Raw material list'!$A$2:$S$3102,6,0),0)</f>
        <v>8.2249999999999997E-3</v>
      </c>
      <c r="W1140" s="104">
        <f t="shared" si="96"/>
        <v>0.32899999999999996</v>
      </c>
    </row>
    <row r="1141" spans="1:23" hidden="1" x14ac:dyDescent="0.55000000000000004">
      <c r="A1141" s="76" t="str">
        <f t="shared" si="99"/>
        <v>RCP-SMC-000063</v>
      </c>
      <c r="B1141" s="58" t="s">
        <v>35</v>
      </c>
      <c r="C1141" s="58" t="s">
        <v>10</v>
      </c>
      <c r="D1141" s="76" t="str">
        <f t="shared" si="100"/>
        <v>Chicken Curry</v>
      </c>
      <c r="E1141" s="58" t="s">
        <v>1560</v>
      </c>
      <c r="F1141" s="58" t="s">
        <v>2079</v>
      </c>
      <c r="G1141" s="41" t="s">
        <v>11</v>
      </c>
      <c r="H1141" s="58" t="s">
        <v>1774</v>
      </c>
      <c r="I1141" s="76"/>
      <c r="J1141" s="76"/>
      <c r="K1141" s="58" t="str">
        <f>IFERROR(VLOOKUP(L1141,'Raw material list'!$A$3:$C$715,3,0),"")</f>
        <v>DRS6-1674</v>
      </c>
      <c r="L1141" s="76" t="s">
        <v>73</v>
      </c>
      <c r="M1141" s="80" t="s">
        <v>156</v>
      </c>
      <c r="N1141" s="40" t="str">
        <f>VLOOKUP(L1141,'Raw material list'!$A$3:$E$715,5,0)</f>
        <v xml:space="preserve">Gram </v>
      </c>
      <c r="O1141" s="80">
        <v>5</v>
      </c>
      <c r="P1141" s="299">
        <f t="shared" si="94"/>
        <v>5</v>
      </c>
      <c r="Q1141" s="80">
        <v>100</v>
      </c>
      <c r="R1141" s="80">
        <v>10</v>
      </c>
      <c r="S1141" s="80"/>
      <c r="T1141" s="105">
        <f t="shared" si="92"/>
        <v>0.5</v>
      </c>
      <c r="U1141" s="105">
        <f t="shared" si="95"/>
        <v>0.5</v>
      </c>
      <c r="V1141" s="104">
        <f>IFERROR(VLOOKUP(L1141,'Raw material list'!$A$2:$S$3102,6,0),0)</f>
        <v>1.2500000000000001E-2</v>
      </c>
      <c r="W1141" s="104">
        <f t="shared" si="96"/>
        <v>6.2500000000000003E-3</v>
      </c>
    </row>
    <row r="1142" spans="1:23" hidden="1" x14ac:dyDescent="0.55000000000000004">
      <c r="A1142" s="76" t="str">
        <f t="shared" si="99"/>
        <v>RCP-SMC-000063</v>
      </c>
      <c r="B1142" s="58" t="s">
        <v>35</v>
      </c>
      <c r="C1142" s="58" t="s">
        <v>10</v>
      </c>
      <c r="D1142" s="76" t="str">
        <f t="shared" si="100"/>
        <v>Chicken Curry</v>
      </c>
      <c r="E1142" s="58" t="s">
        <v>1560</v>
      </c>
      <c r="F1142" s="58" t="s">
        <v>2079</v>
      </c>
      <c r="G1142" s="41" t="s">
        <v>11</v>
      </c>
      <c r="H1142" s="58" t="s">
        <v>1774</v>
      </c>
      <c r="I1142" s="76"/>
      <c r="J1142" s="76"/>
      <c r="K1142" s="58" t="str">
        <f>IFERROR(VLOOKUP(L1142,'Raw material list'!$A$3:$C$715,3,0),"")</f>
        <v>DRS1-4417</v>
      </c>
      <c r="L1142" s="76" t="s">
        <v>88</v>
      </c>
      <c r="M1142" s="80" t="s">
        <v>156</v>
      </c>
      <c r="N1142" s="40" t="str">
        <f>VLOOKUP(L1142,'Raw material list'!$A$3:$E$715,5,0)</f>
        <v xml:space="preserve">Gram </v>
      </c>
      <c r="O1142" s="80">
        <v>10</v>
      </c>
      <c r="P1142" s="299">
        <f t="shared" si="94"/>
        <v>10</v>
      </c>
      <c r="Q1142" s="80">
        <v>100</v>
      </c>
      <c r="R1142" s="80">
        <v>10</v>
      </c>
      <c r="S1142" s="80"/>
      <c r="T1142" s="105">
        <f t="shared" ref="T1142:T1205" si="101">IFERROR(O1142/R1142,0)</f>
        <v>1</v>
      </c>
      <c r="U1142" s="105">
        <f t="shared" si="95"/>
        <v>1</v>
      </c>
      <c r="V1142" s="104">
        <f>IFERROR(VLOOKUP(L1142,'Raw material list'!$A$2:$S$3102,6,0),0)</f>
        <v>3.6754545454545456E-2</v>
      </c>
      <c r="W1142" s="104">
        <f t="shared" si="96"/>
        <v>3.6754545454545456E-2</v>
      </c>
    </row>
    <row r="1143" spans="1:23" hidden="1" x14ac:dyDescent="0.55000000000000004">
      <c r="A1143" s="76" t="str">
        <f t="shared" si="99"/>
        <v>RCP-SMC-000063</v>
      </c>
      <c r="B1143" s="58" t="s">
        <v>35</v>
      </c>
      <c r="C1143" s="58" t="s">
        <v>10</v>
      </c>
      <c r="D1143" s="76" t="str">
        <f t="shared" si="100"/>
        <v>Chicken Curry</v>
      </c>
      <c r="E1143" s="58" t="s">
        <v>1560</v>
      </c>
      <c r="F1143" s="58" t="s">
        <v>2079</v>
      </c>
      <c r="G1143" s="41" t="s">
        <v>11</v>
      </c>
      <c r="H1143" s="58" t="s">
        <v>1774</v>
      </c>
      <c r="I1143" s="76"/>
      <c r="J1143" s="76"/>
      <c r="K1143" s="58" t="str">
        <f>IFERROR(VLOOKUP(L1143,'Raw material list'!$A$3:$C$715,3,0),"")</f>
        <v>DRS5-3619</v>
      </c>
      <c r="L1143" s="76" t="s">
        <v>134</v>
      </c>
      <c r="M1143" s="80" t="s">
        <v>156</v>
      </c>
      <c r="N1143" s="40" t="str">
        <f>VLOOKUP(L1143,'Raw material list'!$A$3:$E$715,5,0)</f>
        <v xml:space="preserve">Gram </v>
      </c>
      <c r="O1143" s="80">
        <v>150</v>
      </c>
      <c r="P1143" s="299">
        <f t="shared" si="94"/>
        <v>150</v>
      </c>
      <c r="Q1143" s="80">
        <v>100</v>
      </c>
      <c r="R1143" s="80">
        <v>10</v>
      </c>
      <c r="S1143" s="80"/>
      <c r="T1143" s="105">
        <f t="shared" si="101"/>
        <v>15</v>
      </c>
      <c r="U1143" s="105">
        <f t="shared" si="95"/>
        <v>15</v>
      </c>
      <c r="V1143" s="104">
        <f>IFERROR(VLOOKUP(L1143,'Raw material list'!$A$2:$S$3102,6,0),0)</f>
        <v>1.2857142857142857E-2</v>
      </c>
      <c r="W1143" s="104">
        <f t="shared" si="96"/>
        <v>0.19285714285714287</v>
      </c>
    </row>
    <row r="1144" spans="1:23" hidden="1" x14ac:dyDescent="0.55000000000000004">
      <c r="A1144" s="76" t="str">
        <f t="shared" si="99"/>
        <v>RCP-SMC-000063</v>
      </c>
      <c r="B1144" s="58" t="s">
        <v>35</v>
      </c>
      <c r="C1144" s="58" t="s">
        <v>10</v>
      </c>
      <c r="D1144" s="76" t="str">
        <f t="shared" si="100"/>
        <v>Chicken Curry</v>
      </c>
      <c r="E1144" s="58" t="s">
        <v>1560</v>
      </c>
      <c r="F1144" s="58" t="s">
        <v>2079</v>
      </c>
      <c r="G1144" s="41" t="s">
        <v>11</v>
      </c>
      <c r="H1144" s="58" t="s">
        <v>1774</v>
      </c>
      <c r="I1144" s="76"/>
      <c r="J1144" s="76"/>
      <c r="K1144" s="58" t="str">
        <f>IFERROR(VLOOKUP(L1144,'Raw material list'!$A$3:$C$715,3,0),"")</f>
        <v>DRS6-266</v>
      </c>
      <c r="L1144" s="76" t="s">
        <v>99</v>
      </c>
      <c r="M1144" s="80" t="s">
        <v>156</v>
      </c>
      <c r="N1144" s="40" t="str">
        <f>VLOOKUP(L1144,'Raw material list'!$A$3:$E$715,5,0)</f>
        <v xml:space="preserve">Gram </v>
      </c>
      <c r="O1144" s="80">
        <v>25</v>
      </c>
      <c r="P1144" s="299">
        <f t="shared" si="94"/>
        <v>25</v>
      </c>
      <c r="Q1144" s="80">
        <v>100</v>
      </c>
      <c r="R1144" s="80">
        <v>10</v>
      </c>
      <c r="S1144" s="80"/>
      <c r="T1144" s="105">
        <f t="shared" si="101"/>
        <v>2.5</v>
      </c>
      <c r="U1144" s="105">
        <f t="shared" si="95"/>
        <v>2.5</v>
      </c>
      <c r="V1144" s="104">
        <f>IFERROR(VLOOKUP(L1144,'Raw material list'!$A$2:$S$3102,6,0),0)</f>
        <v>1.4E-2</v>
      </c>
      <c r="W1144" s="104">
        <f t="shared" si="96"/>
        <v>3.5000000000000003E-2</v>
      </c>
    </row>
    <row r="1145" spans="1:23" hidden="1" x14ac:dyDescent="0.55000000000000004">
      <c r="A1145" s="76" t="str">
        <f t="shared" si="99"/>
        <v>RCP-SMC-000063</v>
      </c>
      <c r="B1145" s="58" t="s">
        <v>35</v>
      </c>
      <c r="C1145" s="58" t="s">
        <v>10</v>
      </c>
      <c r="D1145" s="76" t="str">
        <f t="shared" si="100"/>
        <v>Chicken Curry</v>
      </c>
      <c r="E1145" s="58" t="s">
        <v>1560</v>
      </c>
      <c r="F1145" s="58" t="s">
        <v>2079</v>
      </c>
      <c r="G1145" s="41" t="s">
        <v>11</v>
      </c>
      <c r="H1145" s="58" t="s">
        <v>1774</v>
      </c>
      <c r="I1145" s="76"/>
      <c r="J1145" s="76"/>
      <c r="K1145" s="58" t="str">
        <f>IFERROR(VLOOKUP(L1145,'Raw material list'!$A$3:$C$715,3,0),"")</f>
        <v>PRD1-3794</v>
      </c>
      <c r="L1145" s="76" t="s">
        <v>973</v>
      </c>
      <c r="M1145" s="80" t="s">
        <v>156</v>
      </c>
      <c r="N1145" s="40" t="str">
        <f>VLOOKUP(L1145,'Raw material list'!$A$3:$E$715,5,0)</f>
        <v xml:space="preserve">Gram </v>
      </c>
      <c r="O1145" s="80">
        <v>200</v>
      </c>
      <c r="P1145" s="299">
        <f t="shared" si="94"/>
        <v>246.91358024691357</v>
      </c>
      <c r="Q1145" s="105">
        <v>81</v>
      </c>
      <c r="R1145" s="80">
        <v>10</v>
      </c>
      <c r="S1145" s="80"/>
      <c r="T1145" s="105">
        <f t="shared" si="101"/>
        <v>20</v>
      </c>
      <c r="U1145" s="105">
        <f t="shared" si="95"/>
        <v>24.691358024691358</v>
      </c>
      <c r="V1145" s="104">
        <f>IFERROR(VLOOKUP(L1145,'Raw material list'!$A$2:$S$3102,6,0),0)</f>
        <v>4.9382716049382715E-3</v>
      </c>
      <c r="W1145" s="104">
        <f t="shared" si="96"/>
        <v>0.12193263222069806</v>
      </c>
    </row>
    <row r="1146" spans="1:23" hidden="1" x14ac:dyDescent="0.55000000000000004">
      <c r="A1146" s="76" t="str">
        <f t="shared" si="99"/>
        <v>RCP-SMC-000063</v>
      </c>
      <c r="B1146" s="58" t="s">
        <v>35</v>
      </c>
      <c r="C1146" s="58" t="s">
        <v>10</v>
      </c>
      <c r="D1146" s="76" t="str">
        <f t="shared" si="100"/>
        <v>Chicken Curry</v>
      </c>
      <c r="E1146" s="58" t="s">
        <v>1560</v>
      </c>
      <c r="F1146" s="58" t="s">
        <v>2079</v>
      </c>
      <c r="G1146" s="41" t="s">
        <v>11</v>
      </c>
      <c r="H1146" s="58" t="s">
        <v>1774</v>
      </c>
      <c r="I1146" s="76"/>
      <c r="J1146" s="76"/>
      <c r="K1146" s="58" t="str">
        <f>IFERROR(VLOOKUP(L1146,'Raw material list'!$A$3:$C$715,3,0),"")</f>
        <v>TAP-00001</v>
      </c>
      <c r="L1146" s="76" t="s">
        <v>1405</v>
      </c>
      <c r="M1146" s="80" t="s">
        <v>206</v>
      </c>
      <c r="N1146" s="40" t="str">
        <f>VLOOKUP(L1146,'Raw material list'!$A$3:$E$715,5,0)</f>
        <v>Ml</v>
      </c>
      <c r="O1146" s="80">
        <v>1000</v>
      </c>
      <c r="P1146" s="299">
        <f t="shared" si="94"/>
        <v>1000</v>
      </c>
      <c r="Q1146" s="303">
        <v>100</v>
      </c>
      <c r="R1146" s="80">
        <v>10</v>
      </c>
      <c r="S1146" s="80"/>
      <c r="T1146" s="105">
        <f t="shared" si="101"/>
        <v>100</v>
      </c>
      <c r="U1146" s="105">
        <f t="shared" si="95"/>
        <v>100</v>
      </c>
      <c r="V1146" s="104">
        <f>IFERROR(VLOOKUP(L1146,'Raw material list'!$A$2:$S$3102,6,0),0)</f>
        <v>8.0000000000000007E-5</v>
      </c>
      <c r="W1146" s="104">
        <f t="shared" si="96"/>
        <v>8.0000000000000002E-3</v>
      </c>
    </row>
    <row r="1147" spans="1:23" hidden="1" x14ac:dyDescent="0.55000000000000004">
      <c r="A1147" s="76" t="str">
        <f t="shared" si="99"/>
        <v>RCP-SMC-000063</v>
      </c>
      <c r="B1147" s="58" t="s">
        <v>35</v>
      </c>
      <c r="C1147" s="58" t="s">
        <v>10</v>
      </c>
      <c r="D1147" s="76" t="str">
        <f t="shared" si="100"/>
        <v>Chicken Curry</v>
      </c>
      <c r="E1147" s="58" t="s">
        <v>1560</v>
      </c>
      <c r="F1147" s="58" t="s">
        <v>2079</v>
      </c>
      <c r="G1147" s="41" t="s">
        <v>11</v>
      </c>
      <c r="H1147" s="58" t="s">
        <v>1774</v>
      </c>
      <c r="I1147" s="76"/>
      <c r="J1147" s="76"/>
      <c r="K1147" s="58" t="str">
        <f>IFERROR(VLOOKUP(L1147,'Raw material list'!$A$3:$C$715,3,0),"")</f>
        <v>DRS4-498</v>
      </c>
      <c r="L1147" s="76" t="s">
        <v>72</v>
      </c>
      <c r="M1147" s="80" t="s">
        <v>156</v>
      </c>
      <c r="N1147" s="40" t="str">
        <f>VLOOKUP(L1147,'Raw material list'!$A$3:$E$715,5,0)</f>
        <v xml:space="preserve">Gram </v>
      </c>
      <c r="O1147" s="80">
        <v>800</v>
      </c>
      <c r="P1147" s="299">
        <f t="shared" si="94"/>
        <v>800</v>
      </c>
      <c r="Q1147" s="80">
        <v>100</v>
      </c>
      <c r="R1147" s="80">
        <v>10</v>
      </c>
      <c r="S1147" s="80"/>
      <c r="T1147" s="105">
        <f t="shared" si="101"/>
        <v>80</v>
      </c>
      <c r="U1147" s="105">
        <f t="shared" si="95"/>
        <v>80</v>
      </c>
      <c r="V1147" s="104">
        <f>IFERROR(VLOOKUP(L1147,'Raw material list'!$A$2:$S$3102,6,0),0)</f>
        <v>5.7499999999999999E-3</v>
      </c>
      <c r="W1147" s="104">
        <f t="shared" si="96"/>
        <v>0.45999999999999996</v>
      </c>
    </row>
    <row r="1148" spans="1:23" hidden="1" x14ac:dyDescent="0.55000000000000004">
      <c r="A1148" s="76" t="str">
        <f t="shared" si="99"/>
        <v>RCP-SMC-000063</v>
      </c>
      <c r="B1148" s="58" t="s">
        <v>35</v>
      </c>
      <c r="C1148" s="58" t="s">
        <v>10</v>
      </c>
      <c r="D1148" s="76" t="str">
        <f t="shared" si="100"/>
        <v>Chicken Curry</v>
      </c>
      <c r="E1148" s="58" t="s">
        <v>1560</v>
      </c>
      <c r="F1148" s="58" t="s">
        <v>2079</v>
      </c>
      <c r="G1148" s="41" t="s">
        <v>11</v>
      </c>
      <c r="H1148" s="58" t="s">
        <v>1774</v>
      </c>
      <c r="I1148" s="76"/>
      <c r="J1148" s="76"/>
      <c r="K1148" s="58" t="str">
        <f>IFERROR(VLOOKUP(L1148,'Raw material list'!$A$3:$C$715,3,0),"")</f>
        <v>TAP-00001</v>
      </c>
      <c r="L1148" s="76" t="s">
        <v>1405</v>
      </c>
      <c r="M1148" s="80" t="s">
        <v>206</v>
      </c>
      <c r="N1148" s="40" t="str">
        <f>VLOOKUP(L1148,'Raw material list'!$A$3:$E$715,5,0)</f>
        <v>Ml</v>
      </c>
      <c r="O1148" s="80">
        <v>1600</v>
      </c>
      <c r="P1148" s="299">
        <f t="shared" si="94"/>
        <v>1600</v>
      </c>
      <c r="Q1148" s="80">
        <v>100</v>
      </c>
      <c r="R1148" s="80">
        <v>10</v>
      </c>
      <c r="S1148" s="80"/>
      <c r="T1148" s="105">
        <f t="shared" si="101"/>
        <v>160</v>
      </c>
      <c r="U1148" s="105">
        <f t="shared" si="95"/>
        <v>160</v>
      </c>
      <c r="V1148" s="104">
        <f>IFERROR(VLOOKUP(L1148,'Raw material list'!$A$2:$S$3102,6,0),0)</f>
        <v>8.0000000000000007E-5</v>
      </c>
      <c r="W1148" s="104">
        <f t="shared" si="96"/>
        <v>1.2800000000000001E-2</v>
      </c>
    </row>
    <row r="1149" spans="1:23" hidden="1" x14ac:dyDescent="0.55000000000000004">
      <c r="A1149" s="76" t="str">
        <f t="shared" si="99"/>
        <v>RCP-SMC-000063</v>
      </c>
      <c r="B1149" s="58" t="s">
        <v>35</v>
      </c>
      <c r="C1149" s="58" t="s">
        <v>10</v>
      </c>
      <c r="D1149" s="76" t="str">
        <f t="shared" si="100"/>
        <v>Chicken Curry</v>
      </c>
      <c r="E1149" s="58" t="s">
        <v>1560</v>
      </c>
      <c r="F1149" s="58" t="s">
        <v>2079</v>
      </c>
      <c r="G1149" s="41" t="s">
        <v>11</v>
      </c>
      <c r="H1149" s="58" t="s">
        <v>1774</v>
      </c>
      <c r="I1149" s="76"/>
      <c r="J1149" s="76"/>
      <c r="K1149" s="58" t="str">
        <f>IFERROR(VLOOKUP(L1149,'Raw material list'!$A$3:$C$715,3,0),"")</f>
        <v>DRS6-3593</v>
      </c>
      <c r="L1149" s="76" t="s">
        <v>1407</v>
      </c>
      <c r="M1149" s="80" t="s">
        <v>156</v>
      </c>
      <c r="N1149" s="40" t="str">
        <f>VLOOKUP(L1149,'Raw material list'!$A$3:$E$715,5,0)</f>
        <v xml:space="preserve">Gram </v>
      </c>
      <c r="O1149" s="80">
        <v>1</v>
      </c>
      <c r="P1149" s="299">
        <f t="shared" si="94"/>
        <v>1</v>
      </c>
      <c r="Q1149" s="80">
        <v>100</v>
      </c>
      <c r="R1149" s="80">
        <v>10</v>
      </c>
      <c r="S1149" s="80"/>
      <c r="T1149" s="105">
        <f t="shared" si="101"/>
        <v>0.1</v>
      </c>
      <c r="U1149" s="105">
        <f t="shared" si="95"/>
        <v>0.1</v>
      </c>
      <c r="V1149" s="104">
        <f>IFERROR(VLOOKUP(L1149,'Raw material list'!$A$2:$S$3102,6,0),0)</f>
        <v>8.0000000000000002E-3</v>
      </c>
      <c r="W1149" s="104">
        <f t="shared" si="96"/>
        <v>8.0000000000000004E-4</v>
      </c>
    </row>
    <row r="1150" spans="1:23" hidden="1" x14ac:dyDescent="0.55000000000000004">
      <c r="A1150" s="76" t="str">
        <f t="shared" si="99"/>
        <v>RCP-SMC-000063</v>
      </c>
      <c r="B1150" s="58" t="s">
        <v>35</v>
      </c>
      <c r="C1150" s="58" t="s">
        <v>10</v>
      </c>
      <c r="D1150" s="76" t="str">
        <f t="shared" si="100"/>
        <v>Chicken Curry</v>
      </c>
      <c r="E1150" s="58" t="s">
        <v>1560</v>
      </c>
      <c r="F1150" s="58" t="s">
        <v>2079</v>
      </c>
      <c r="G1150" s="41" t="s">
        <v>11</v>
      </c>
      <c r="H1150" s="58" t="s">
        <v>1774</v>
      </c>
      <c r="I1150" s="76"/>
      <c r="J1150" s="76"/>
      <c r="K1150" s="58" t="str">
        <f>IFERROR(VLOOKUP(L1150,'Raw material list'!$A$3:$C$715,3,0),"")</f>
        <v>DRS6-260</v>
      </c>
      <c r="L1150" s="76" t="s">
        <v>62</v>
      </c>
      <c r="M1150" s="80" t="s">
        <v>156</v>
      </c>
      <c r="N1150" s="40" t="str">
        <f>VLOOKUP(L1150,'Raw material list'!$A$3:$E$715,5,0)</f>
        <v xml:space="preserve">Gram </v>
      </c>
      <c r="O1150" s="80">
        <v>2</v>
      </c>
      <c r="P1150" s="299">
        <f t="shared" si="94"/>
        <v>2</v>
      </c>
      <c r="Q1150" s="80">
        <v>100</v>
      </c>
      <c r="R1150" s="80">
        <v>10</v>
      </c>
      <c r="S1150" s="80"/>
      <c r="T1150" s="105">
        <f t="shared" si="101"/>
        <v>0.2</v>
      </c>
      <c r="U1150" s="105">
        <f t="shared" si="95"/>
        <v>0.2</v>
      </c>
      <c r="V1150" s="104">
        <f>IFERROR(VLOOKUP(L1150,'Raw material list'!$A$2:$S$3102,6,0),0)</f>
        <v>0.02</v>
      </c>
      <c r="W1150" s="104">
        <f t="shared" si="96"/>
        <v>4.0000000000000001E-3</v>
      </c>
    </row>
    <row r="1151" spans="1:23" hidden="1" x14ac:dyDescent="0.55000000000000004">
      <c r="A1151" s="76" t="str">
        <f t="shared" si="99"/>
        <v>RCP-SMC-000063</v>
      </c>
      <c r="B1151" s="58" t="s">
        <v>35</v>
      </c>
      <c r="C1151" s="58" t="s">
        <v>10</v>
      </c>
      <c r="D1151" s="76" t="str">
        <f t="shared" si="100"/>
        <v>Chicken Curry</v>
      </c>
      <c r="E1151" s="58" t="s">
        <v>1560</v>
      </c>
      <c r="F1151" s="58" t="s">
        <v>2079</v>
      </c>
      <c r="G1151" s="41" t="s">
        <v>11</v>
      </c>
      <c r="H1151" s="58" t="s">
        <v>1774</v>
      </c>
      <c r="I1151" s="76"/>
      <c r="J1151" s="76"/>
      <c r="K1151" s="58" t="str">
        <f>IFERROR(VLOOKUP(L1151,'Raw material list'!$A$3:$C$715,3,0),"")</f>
        <v>DRS1-3880</v>
      </c>
      <c r="L1151" s="76" t="s">
        <v>1433</v>
      </c>
      <c r="M1151" s="80" t="s">
        <v>156</v>
      </c>
      <c r="N1151" s="40" t="str">
        <f>VLOOKUP(L1151,'Raw material list'!$A$3:$E$715,5,0)</f>
        <v xml:space="preserve">Gram </v>
      </c>
      <c r="O1151" s="80">
        <v>10</v>
      </c>
      <c r="P1151" s="299">
        <f t="shared" si="94"/>
        <v>10</v>
      </c>
      <c r="Q1151" s="80">
        <v>100</v>
      </c>
      <c r="R1151" s="80">
        <v>10</v>
      </c>
      <c r="S1151" s="80"/>
      <c r="T1151" s="105">
        <f t="shared" si="101"/>
        <v>1</v>
      </c>
      <c r="U1151" s="105">
        <f t="shared" si="95"/>
        <v>1</v>
      </c>
      <c r="V1151" s="104">
        <f>IFERROR(VLOOKUP(L1151,'Raw material list'!$A$2:$S$3102,6,0),0)</f>
        <v>5.0000000000000001E-4</v>
      </c>
      <c r="W1151" s="104">
        <f t="shared" si="96"/>
        <v>5.0000000000000001E-4</v>
      </c>
    </row>
    <row r="1152" spans="1:23" hidden="1" x14ac:dyDescent="0.55000000000000004">
      <c r="A1152" s="76" t="s">
        <v>1572</v>
      </c>
      <c r="B1152" s="58" t="s">
        <v>35</v>
      </c>
      <c r="C1152" s="58" t="s">
        <v>10</v>
      </c>
      <c r="D1152" s="76" t="s">
        <v>1563</v>
      </c>
      <c r="E1152" s="58" t="s">
        <v>1560</v>
      </c>
      <c r="F1152" s="58" t="s">
        <v>2081</v>
      </c>
      <c r="G1152" s="41" t="s">
        <v>11</v>
      </c>
      <c r="H1152" s="58" t="s">
        <v>1774</v>
      </c>
      <c r="I1152" s="76"/>
      <c r="J1152" s="76"/>
      <c r="K1152" s="58" t="str">
        <f>IFERROR(VLOOKUP(L1152,'Raw material list'!$A$3:$C$715,3,0),"")</f>
        <v>PLT2-3278</v>
      </c>
      <c r="L1152" s="76" t="s">
        <v>80</v>
      </c>
      <c r="M1152" s="80" t="s">
        <v>156</v>
      </c>
      <c r="N1152" s="40" t="str">
        <f>VLOOKUP(L1152,'Raw material list'!$A$3:$E$715,5,0)</f>
        <v xml:space="preserve">Gram </v>
      </c>
      <c r="O1152" s="80">
        <v>900</v>
      </c>
      <c r="P1152" s="299">
        <f t="shared" si="94"/>
        <v>1181.1023622047244</v>
      </c>
      <c r="Q1152" s="80">
        <v>76.2</v>
      </c>
      <c r="R1152" s="80">
        <v>10</v>
      </c>
      <c r="S1152" s="80"/>
      <c r="T1152" s="105">
        <f t="shared" si="101"/>
        <v>90</v>
      </c>
      <c r="U1152" s="105">
        <f t="shared" si="95"/>
        <v>118.11023622047244</v>
      </c>
      <c r="V1152" s="104">
        <f>IFERROR(VLOOKUP(L1152,'Raw material list'!$A$2:$S$3102,6,0),0)</f>
        <v>3.0357142857142853E-2</v>
      </c>
      <c r="W1152" s="104">
        <f t="shared" si="96"/>
        <v>3.5854893138357702</v>
      </c>
    </row>
    <row r="1153" spans="1:23" hidden="1" x14ac:dyDescent="0.55000000000000004">
      <c r="A1153" s="76" t="str">
        <f t="shared" ref="A1153:A1169" si="102">A1152</f>
        <v>RCP-SMC-000064</v>
      </c>
      <c r="B1153" s="58" t="s">
        <v>35</v>
      </c>
      <c r="C1153" s="58" t="s">
        <v>10</v>
      </c>
      <c r="D1153" s="76" t="str">
        <f t="shared" ref="D1153:D1169" si="103">D1152</f>
        <v>Creamy  Chick. Pasta  &amp; Mash vegetable</v>
      </c>
      <c r="E1153" s="58" t="s">
        <v>1560</v>
      </c>
      <c r="F1153" s="58" t="s">
        <v>2079</v>
      </c>
      <c r="G1153" s="41" t="s">
        <v>11</v>
      </c>
      <c r="H1153" s="58" t="s">
        <v>1774</v>
      </c>
      <c r="I1153" s="76"/>
      <c r="J1153" s="76"/>
      <c r="K1153" s="58" t="str">
        <f>IFERROR(VLOOKUP(L1153,'Raw material list'!$A$3:$C$715,3,0),"")</f>
        <v>DRS2-3804</v>
      </c>
      <c r="L1153" s="76" t="s">
        <v>542</v>
      </c>
      <c r="M1153" s="80" t="s">
        <v>156</v>
      </c>
      <c r="N1153" s="40" t="str">
        <f>VLOOKUP(L1153,'Raw material list'!$A$3:$E$715,5,0)</f>
        <v xml:space="preserve">Gram </v>
      </c>
      <c r="O1153" s="80">
        <v>900</v>
      </c>
      <c r="P1153" s="299">
        <f t="shared" si="94"/>
        <v>900</v>
      </c>
      <c r="Q1153" s="80">
        <v>100</v>
      </c>
      <c r="R1153" s="80">
        <v>10</v>
      </c>
      <c r="S1153" s="80"/>
      <c r="T1153" s="105">
        <f t="shared" si="101"/>
        <v>90</v>
      </c>
      <c r="U1153" s="105">
        <f t="shared" si="95"/>
        <v>90</v>
      </c>
      <c r="V1153" s="104">
        <f>IFERROR(VLOOKUP(L1153,'Raw material list'!$A$2:$S$3102,6,0),0)</f>
        <v>9.2222222222222237E-3</v>
      </c>
      <c r="W1153" s="104">
        <f t="shared" si="96"/>
        <v>0.83000000000000018</v>
      </c>
    </row>
    <row r="1154" spans="1:23" hidden="1" x14ac:dyDescent="0.55000000000000004">
      <c r="A1154" s="76" t="str">
        <f t="shared" si="102"/>
        <v>RCP-SMC-000064</v>
      </c>
      <c r="B1154" s="58" t="s">
        <v>35</v>
      </c>
      <c r="C1154" s="58" t="s">
        <v>10</v>
      </c>
      <c r="D1154" s="76" t="str">
        <f t="shared" si="103"/>
        <v>Creamy  Chick. Pasta  &amp; Mash vegetable</v>
      </c>
      <c r="E1154" s="58" t="s">
        <v>1560</v>
      </c>
      <c r="F1154" s="58" t="s">
        <v>2079</v>
      </c>
      <c r="G1154" s="41" t="s">
        <v>11</v>
      </c>
      <c r="H1154" s="58" t="s">
        <v>1774</v>
      </c>
      <c r="I1154" s="76"/>
      <c r="J1154" s="76"/>
      <c r="K1154" s="58" t="str">
        <f>IFERROR(VLOOKUP(L1154,'Raw material list'!$A$3:$C$715,3,0),"")</f>
        <v>DRS5-806</v>
      </c>
      <c r="L1154" s="76" t="s">
        <v>444</v>
      </c>
      <c r="M1154" s="80" t="s">
        <v>156</v>
      </c>
      <c r="N1154" s="40" t="str">
        <f>VLOOKUP(L1154,'Raw material list'!$A$3:$E$715,5,0)</f>
        <v xml:space="preserve">Gram </v>
      </c>
      <c r="O1154" s="80">
        <v>100</v>
      </c>
      <c r="P1154" s="299">
        <f t="shared" si="94"/>
        <v>100</v>
      </c>
      <c r="Q1154" s="80">
        <v>100</v>
      </c>
      <c r="R1154" s="80">
        <v>10</v>
      </c>
      <c r="S1154" s="80"/>
      <c r="T1154" s="105">
        <f t="shared" si="101"/>
        <v>10</v>
      </c>
      <c r="U1154" s="105">
        <f t="shared" si="95"/>
        <v>10</v>
      </c>
      <c r="V1154" s="104">
        <f>IFERROR(VLOOKUP(L1154,'Raw material list'!$A$2:$S$3102,6,0),0)</f>
        <v>1E-3</v>
      </c>
      <c r="W1154" s="104">
        <f t="shared" si="96"/>
        <v>0.01</v>
      </c>
    </row>
    <row r="1155" spans="1:23" hidden="1" x14ac:dyDescent="0.55000000000000004">
      <c r="A1155" s="76" t="str">
        <f t="shared" si="102"/>
        <v>RCP-SMC-000064</v>
      </c>
      <c r="B1155" s="58" t="s">
        <v>35</v>
      </c>
      <c r="C1155" s="58" t="s">
        <v>10</v>
      </c>
      <c r="D1155" s="76" t="str">
        <f t="shared" si="103"/>
        <v>Creamy  Chick. Pasta  &amp; Mash vegetable</v>
      </c>
      <c r="E1155" s="58" t="s">
        <v>1560</v>
      </c>
      <c r="F1155" s="58" t="s">
        <v>2079</v>
      </c>
      <c r="G1155" s="41" t="s">
        <v>11</v>
      </c>
      <c r="H1155" s="58" t="s">
        <v>1774</v>
      </c>
      <c r="I1155" s="76"/>
      <c r="J1155" s="76"/>
      <c r="K1155" s="58" t="str">
        <f>IFERROR(VLOOKUP(L1155,'Raw material list'!$A$3:$C$715,3,0),"")</f>
        <v>DRY2-1008</v>
      </c>
      <c r="L1155" s="76" t="s">
        <v>57</v>
      </c>
      <c r="M1155" s="80" t="s">
        <v>156</v>
      </c>
      <c r="N1155" s="40" t="str">
        <f>VLOOKUP(L1155,'Raw material list'!$A$3:$E$715,5,0)</f>
        <v xml:space="preserve">Gram </v>
      </c>
      <c r="O1155" s="80">
        <v>100</v>
      </c>
      <c r="P1155" s="299">
        <f t="shared" si="94"/>
        <v>100</v>
      </c>
      <c r="Q1155" s="80">
        <v>100</v>
      </c>
      <c r="R1155" s="80">
        <v>10</v>
      </c>
      <c r="S1155" s="80"/>
      <c r="T1155" s="105">
        <f t="shared" si="101"/>
        <v>10</v>
      </c>
      <c r="U1155" s="105">
        <f t="shared" si="95"/>
        <v>10</v>
      </c>
      <c r="V1155" s="104">
        <f>IFERROR(VLOOKUP(L1155,'Raw material list'!$A$2:$S$3102,6,0),0)</f>
        <v>0.03</v>
      </c>
      <c r="W1155" s="104">
        <f t="shared" si="96"/>
        <v>0.3</v>
      </c>
    </row>
    <row r="1156" spans="1:23" hidden="1" x14ac:dyDescent="0.55000000000000004">
      <c r="A1156" s="76" t="str">
        <f t="shared" si="102"/>
        <v>RCP-SMC-000064</v>
      </c>
      <c r="B1156" s="58" t="s">
        <v>35</v>
      </c>
      <c r="C1156" s="58" t="s">
        <v>10</v>
      </c>
      <c r="D1156" s="76" t="str">
        <f t="shared" si="103"/>
        <v>Creamy  Chick. Pasta  &amp; Mash vegetable</v>
      </c>
      <c r="E1156" s="58" t="s">
        <v>1560</v>
      </c>
      <c r="F1156" s="58" t="s">
        <v>2079</v>
      </c>
      <c r="G1156" s="41" t="s">
        <v>11</v>
      </c>
      <c r="H1156" s="58" t="s">
        <v>1774</v>
      </c>
      <c r="I1156" s="76"/>
      <c r="J1156" s="76"/>
      <c r="K1156" s="58" t="str">
        <f>IFERROR(VLOOKUP(L1156,'Raw material list'!$A$3:$C$715,3,0),"")</f>
        <v>DRS1-3811</v>
      </c>
      <c r="L1156" s="76" t="s">
        <v>40</v>
      </c>
      <c r="M1156" s="80" t="s">
        <v>156</v>
      </c>
      <c r="N1156" s="40" t="str">
        <f>VLOOKUP(L1156,'Raw material list'!$A$3:$E$715,5,0)</f>
        <v xml:space="preserve">Gram </v>
      </c>
      <c r="O1156" s="80">
        <v>15</v>
      </c>
      <c r="P1156" s="299">
        <f t="shared" si="94"/>
        <v>15</v>
      </c>
      <c r="Q1156" s="80">
        <v>100</v>
      </c>
      <c r="R1156" s="80">
        <v>10</v>
      </c>
      <c r="S1156" s="80"/>
      <c r="T1156" s="105">
        <f t="shared" si="101"/>
        <v>1.5</v>
      </c>
      <c r="U1156" s="105">
        <f t="shared" si="95"/>
        <v>1.5</v>
      </c>
      <c r="V1156" s="104">
        <f>IFERROR(VLOOKUP(L1156,'Raw material list'!$A$2:$S$3102,6,0),0)</f>
        <v>2.8475E-2</v>
      </c>
      <c r="W1156" s="104">
        <f t="shared" si="96"/>
        <v>4.27125E-2</v>
      </c>
    </row>
    <row r="1157" spans="1:23" hidden="1" x14ac:dyDescent="0.55000000000000004">
      <c r="A1157" s="76" t="str">
        <f t="shared" si="102"/>
        <v>RCP-SMC-000064</v>
      </c>
      <c r="B1157" s="58" t="s">
        <v>35</v>
      </c>
      <c r="C1157" s="58" t="s">
        <v>10</v>
      </c>
      <c r="D1157" s="76" t="str">
        <f t="shared" si="103"/>
        <v>Creamy  Chick. Pasta  &amp; Mash vegetable</v>
      </c>
      <c r="E1157" s="58" t="s">
        <v>1560</v>
      </c>
      <c r="F1157" s="58" t="s">
        <v>2079</v>
      </c>
      <c r="G1157" s="41" t="s">
        <v>11</v>
      </c>
      <c r="H1157" s="58" t="s">
        <v>1774</v>
      </c>
      <c r="I1157" s="76"/>
      <c r="J1157" s="76"/>
      <c r="K1157" s="58" t="str">
        <f>IFERROR(VLOOKUP(L1157,'Raw material list'!$A$3:$C$715,3,0),"")</f>
        <v>DRS6-309</v>
      </c>
      <c r="L1157" s="76" t="s">
        <v>61</v>
      </c>
      <c r="M1157" s="80" t="s">
        <v>156</v>
      </c>
      <c r="N1157" s="40" t="str">
        <f>VLOOKUP(L1157,'Raw material list'!$A$3:$E$715,5,0)</f>
        <v xml:space="preserve">Gram </v>
      </c>
      <c r="O1157" s="80">
        <v>3</v>
      </c>
      <c r="P1157" s="299">
        <f t="shared" si="94"/>
        <v>3</v>
      </c>
      <c r="Q1157" s="80">
        <v>100</v>
      </c>
      <c r="R1157" s="80">
        <v>10</v>
      </c>
      <c r="S1157" s="80"/>
      <c r="T1157" s="105">
        <f t="shared" si="101"/>
        <v>0.3</v>
      </c>
      <c r="U1157" s="105">
        <f t="shared" si="95"/>
        <v>0.3</v>
      </c>
      <c r="V1157" s="104">
        <f>IFERROR(VLOOKUP(L1157,'Raw material list'!$A$2:$S$3102,6,0),0)</f>
        <v>2.8000000000000001E-2</v>
      </c>
      <c r="W1157" s="104">
        <f t="shared" si="96"/>
        <v>8.3999999999999995E-3</v>
      </c>
    </row>
    <row r="1158" spans="1:23" hidden="1" x14ac:dyDescent="0.55000000000000004">
      <c r="A1158" s="76" t="str">
        <f t="shared" si="102"/>
        <v>RCP-SMC-000064</v>
      </c>
      <c r="B1158" s="58" t="s">
        <v>35</v>
      </c>
      <c r="C1158" s="58" t="s">
        <v>10</v>
      </c>
      <c r="D1158" s="76" t="str">
        <f t="shared" si="103"/>
        <v>Creamy  Chick. Pasta  &amp; Mash vegetable</v>
      </c>
      <c r="E1158" s="58" t="s">
        <v>1560</v>
      </c>
      <c r="F1158" s="58" t="s">
        <v>2079</v>
      </c>
      <c r="G1158" s="41" t="s">
        <v>11</v>
      </c>
      <c r="H1158" s="58" t="s">
        <v>1774</v>
      </c>
      <c r="I1158" s="76"/>
      <c r="J1158" s="76"/>
      <c r="K1158" s="58" t="str">
        <f>IFERROR(VLOOKUP(L1158,'Raw material list'!$A$3:$C$715,3,0),"")</f>
        <v>DRY2-1858</v>
      </c>
      <c r="L1158" s="76" t="s">
        <v>60</v>
      </c>
      <c r="M1158" s="80" t="s">
        <v>206</v>
      </c>
      <c r="N1158" s="40" t="str">
        <f>VLOOKUP(L1158,'Raw material list'!$A$3:$E$715,5,0)</f>
        <v>Ml</v>
      </c>
      <c r="O1158" s="80">
        <v>800</v>
      </c>
      <c r="P1158" s="299">
        <f t="shared" ref="P1158:P1221" si="104">O1158/Q1158*100</f>
        <v>800</v>
      </c>
      <c r="Q1158" s="80">
        <v>100</v>
      </c>
      <c r="R1158" s="80">
        <v>10</v>
      </c>
      <c r="S1158" s="80"/>
      <c r="T1158" s="105">
        <f t="shared" si="101"/>
        <v>80</v>
      </c>
      <c r="U1158" s="105">
        <f t="shared" ref="U1158:U1221" si="105">IFERROR(P1158/R1158,0)</f>
        <v>80</v>
      </c>
      <c r="V1158" s="104">
        <f>IFERROR(VLOOKUP(L1158,'Raw material list'!$A$2:$S$3102,6,0),0)</f>
        <v>9.8800000000000016E-3</v>
      </c>
      <c r="W1158" s="104">
        <f t="shared" ref="W1158:W1221" si="106">IFERROR(V1158*U1158,0)</f>
        <v>0.7904000000000001</v>
      </c>
    </row>
    <row r="1159" spans="1:23" hidden="1" x14ac:dyDescent="0.55000000000000004">
      <c r="A1159" s="76" t="str">
        <f t="shared" si="102"/>
        <v>RCP-SMC-000064</v>
      </c>
      <c r="B1159" s="58" t="s">
        <v>35</v>
      </c>
      <c r="C1159" s="58" t="s">
        <v>10</v>
      </c>
      <c r="D1159" s="76" t="str">
        <f t="shared" si="103"/>
        <v>Creamy  Chick. Pasta  &amp; Mash vegetable</v>
      </c>
      <c r="E1159" s="58" t="s">
        <v>1560</v>
      </c>
      <c r="F1159" s="58" t="s">
        <v>2079</v>
      </c>
      <c r="G1159" s="41" t="s">
        <v>11</v>
      </c>
      <c r="H1159" s="58" t="s">
        <v>1774</v>
      </c>
      <c r="I1159" s="76"/>
      <c r="J1159" s="76"/>
      <c r="K1159" s="58" t="str">
        <f>IFERROR(VLOOKUP(L1159,'Raw material list'!$A$3:$C$715,3,0),"")</f>
        <v>DRS5-59</v>
      </c>
      <c r="L1159" s="76" t="s">
        <v>59</v>
      </c>
      <c r="M1159" s="80" t="s">
        <v>156</v>
      </c>
      <c r="N1159" s="40" t="str">
        <f>VLOOKUP(L1159,'Raw material list'!$A$3:$E$715,5,0)</f>
        <v xml:space="preserve">Gram </v>
      </c>
      <c r="O1159" s="80">
        <v>100</v>
      </c>
      <c r="P1159" s="299">
        <f t="shared" si="104"/>
        <v>100</v>
      </c>
      <c r="Q1159" s="80">
        <v>100</v>
      </c>
      <c r="R1159" s="80">
        <v>10</v>
      </c>
      <c r="S1159" s="80"/>
      <c r="T1159" s="105">
        <f t="shared" si="101"/>
        <v>10</v>
      </c>
      <c r="U1159" s="105">
        <f t="shared" si="105"/>
        <v>10</v>
      </c>
      <c r="V1159" s="104">
        <f>IFERROR(VLOOKUP(L1159,'Raw material list'!$A$2:$S$3102,6,0),0)</f>
        <v>1.4319999999999999E-2</v>
      </c>
      <c r="W1159" s="104">
        <f t="shared" si="106"/>
        <v>0.14319999999999999</v>
      </c>
    </row>
    <row r="1160" spans="1:23" hidden="1" x14ac:dyDescent="0.55000000000000004">
      <c r="A1160" s="76" t="str">
        <f t="shared" si="102"/>
        <v>RCP-SMC-000064</v>
      </c>
      <c r="B1160" s="58" t="s">
        <v>35</v>
      </c>
      <c r="C1160" s="58" t="s">
        <v>10</v>
      </c>
      <c r="D1160" s="76" t="str">
        <f t="shared" si="103"/>
        <v>Creamy  Chick. Pasta  &amp; Mash vegetable</v>
      </c>
      <c r="E1160" s="58" t="s">
        <v>1560</v>
      </c>
      <c r="F1160" s="58" t="s">
        <v>2079</v>
      </c>
      <c r="G1160" s="41" t="s">
        <v>11</v>
      </c>
      <c r="H1160" s="58" t="s">
        <v>1774</v>
      </c>
      <c r="I1160" s="76"/>
      <c r="J1160" s="76"/>
      <c r="K1160" s="58" t="str">
        <f>IFERROR(VLOOKUP(L1160,'Raw material list'!$A$3:$C$715,3,0),"")</f>
        <v>DRS1-3880</v>
      </c>
      <c r="L1160" s="76" t="s">
        <v>1433</v>
      </c>
      <c r="M1160" s="80" t="s">
        <v>156</v>
      </c>
      <c r="N1160" s="40" t="str">
        <f>VLOOKUP(L1160,'Raw material list'!$A$3:$E$715,5,0)</f>
        <v xml:space="preserve">Gram </v>
      </c>
      <c r="O1160" s="80">
        <v>7</v>
      </c>
      <c r="P1160" s="299">
        <f t="shared" si="104"/>
        <v>7.0000000000000009</v>
      </c>
      <c r="Q1160" s="80">
        <v>100</v>
      </c>
      <c r="R1160" s="80">
        <v>10</v>
      </c>
      <c r="S1160" s="80"/>
      <c r="T1160" s="105">
        <f t="shared" si="101"/>
        <v>0.7</v>
      </c>
      <c r="U1160" s="105">
        <f t="shared" si="105"/>
        <v>0.70000000000000007</v>
      </c>
      <c r="V1160" s="104">
        <f>IFERROR(VLOOKUP(L1160,'Raw material list'!$A$2:$S$3102,6,0),0)</f>
        <v>5.0000000000000001E-4</v>
      </c>
      <c r="W1160" s="104">
        <f t="shared" si="106"/>
        <v>3.5000000000000005E-4</v>
      </c>
    </row>
    <row r="1161" spans="1:23" hidden="1" x14ac:dyDescent="0.55000000000000004">
      <c r="A1161" s="76" t="str">
        <f t="shared" si="102"/>
        <v>RCP-SMC-000064</v>
      </c>
      <c r="B1161" s="58" t="s">
        <v>35</v>
      </c>
      <c r="C1161" s="58" t="s">
        <v>10</v>
      </c>
      <c r="D1161" s="76" t="str">
        <f t="shared" si="103"/>
        <v>Creamy  Chick. Pasta  &amp; Mash vegetable</v>
      </c>
      <c r="E1161" s="58" t="s">
        <v>1560</v>
      </c>
      <c r="F1161" s="58" t="s">
        <v>2079</v>
      </c>
      <c r="G1161" s="41" t="s">
        <v>11</v>
      </c>
      <c r="H1161" s="58" t="s">
        <v>1774</v>
      </c>
      <c r="I1161" s="76"/>
      <c r="J1161" s="76"/>
      <c r="K1161" s="58" t="str">
        <f>IFERROR(VLOOKUP(L1161,'Raw material list'!$A$3:$C$715,3,0),"")</f>
        <v>TAP-00001</v>
      </c>
      <c r="L1161" s="76" t="s">
        <v>1405</v>
      </c>
      <c r="M1161" s="80" t="s">
        <v>206</v>
      </c>
      <c r="N1161" s="40" t="str">
        <f>VLOOKUP(L1161,'Raw material list'!$A$3:$E$715,5,0)</f>
        <v>Ml</v>
      </c>
      <c r="O1161" s="80">
        <v>2000</v>
      </c>
      <c r="P1161" s="299">
        <f t="shared" si="104"/>
        <v>2000</v>
      </c>
      <c r="Q1161" s="80">
        <v>100</v>
      </c>
      <c r="R1161" s="80">
        <v>10</v>
      </c>
      <c r="S1161" s="80"/>
      <c r="T1161" s="105">
        <f t="shared" si="101"/>
        <v>200</v>
      </c>
      <c r="U1161" s="105">
        <f t="shared" si="105"/>
        <v>200</v>
      </c>
      <c r="V1161" s="104">
        <f>IFERROR(VLOOKUP(L1161,'Raw material list'!$A$2:$S$3102,6,0),0)</f>
        <v>8.0000000000000007E-5</v>
      </c>
      <c r="W1161" s="104">
        <f t="shared" si="106"/>
        <v>1.6E-2</v>
      </c>
    </row>
    <row r="1162" spans="1:23" hidden="1" x14ac:dyDescent="0.55000000000000004">
      <c r="A1162" s="76" t="str">
        <f t="shared" si="102"/>
        <v>RCP-SMC-000064</v>
      </c>
      <c r="B1162" s="58" t="s">
        <v>35</v>
      </c>
      <c r="C1162" s="58" t="s">
        <v>10</v>
      </c>
      <c r="D1162" s="76" t="str">
        <f t="shared" si="103"/>
        <v>Creamy  Chick. Pasta  &amp; Mash vegetable</v>
      </c>
      <c r="E1162" s="58" t="s">
        <v>1560</v>
      </c>
      <c r="F1162" s="58" t="s">
        <v>2079</v>
      </c>
      <c r="G1162" s="41" t="s">
        <v>11</v>
      </c>
      <c r="H1162" s="58" t="s">
        <v>1774</v>
      </c>
      <c r="I1162" s="76"/>
      <c r="J1162" s="76"/>
      <c r="K1162" s="58" t="str">
        <f>IFERROR(VLOOKUP(L1162,'Raw material list'!$A$3:$C$715,3,0),"")</f>
        <v>TAP-00001</v>
      </c>
      <c r="L1162" s="76" t="s">
        <v>1405</v>
      </c>
      <c r="M1162" s="80" t="s">
        <v>206</v>
      </c>
      <c r="N1162" s="40" t="str">
        <f>VLOOKUP(L1162,'Raw material list'!$A$3:$E$715,5,0)</f>
        <v>Ml</v>
      </c>
      <c r="O1162" s="80">
        <v>600</v>
      </c>
      <c r="P1162" s="299">
        <f t="shared" si="104"/>
        <v>600</v>
      </c>
      <c r="Q1162" s="80">
        <v>100</v>
      </c>
      <c r="R1162" s="80">
        <v>10</v>
      </c>
      <c r="S1162" s="80"/>
      <c r="T1162" s="105">
        <f t="shared" si="101"/>
        <v>60</v>
      </c>
      <c r="U1162" s="105">
        <f t="shared" si="105"/>
        <v>60</v>
      </c>
      <c r="V1162" s="104">
        <f>IFERROR(VLOOKUP(L1162,'Raw material list'!$A$2:$S$3102,6,0),0)</f>
        <v>8.0000000000000007E-5</v>
      </c>
      <c r="W1162" s="104">
        <f t="shared" si="106"/>
        <v>4.8000000000000004E-3</v>
      </c>
    </row>
    <row r="1163" spans="1:23" hidden="1" x14ac:dyDescent="0.55000000000000004">
      <c r="A1163" s="76" t="str">
        <f t="shared" si="102"/>
        <v>RCP-SMC-000064</v>
      </c>
      <c r="B1163" s="58" t="s">
        <v>35</v>
      </c>
      <c r="C1163" s="58" t="s">
        <v>10</v>
      </c>
      <c r="D1163" s="76" t="str">
        <f t="shared" si="103"/>
        <v>Creamy  Chick. Pasta  &amp; Mash vegetable</v>
      </c>
      <c r="E1163" s="58" t="s">
        <v>1560</v>
      </c>
      <c r="F1163" s="58" t="s">
        <v>2079</v>
      </c>
      <c r="G1163" s="41" t="s">
        <v>11</v>
      </c>
      <c r="H1163" s="58" t="s">
        <v>1774</v>
      </c>
      <c r="I1163" s="76"/>
      <c r="J1163" s="76"/>
      <c r="K1163" s="58" t="str">
        <f>IFERROR(VLOOKUP(L1163,'Raw material list'!$A$3:$C$715,3,0),"")</f>
        <v>DRS5-59</v>
      </c>
      <c r="L1163" s="76" t="s">
        <v>59</v>
      </c>
      <c r="M1163" s="80" t="s">
        <v>156</v>
      </c>
      <c r="N1163" s="40" t="str">
        <f>VLOOKUP(L1163,'Raw material list'!$A$3:$E$715,5,0)</f>
        <v xml:space="preserve">Gram </v>
      </c>
      <c r="O1163" s="80">
        <v>75</v>
      </c>
      <c r="P1163" s="299">
        <f t="shared" si="104"/>
        <v>75</v>
      </c>
      <c r="Q1163" s="80">
        <v>100</v>
      </c>
      <c r="R1163" s="80">
        <v>10</v>
      </c>
      <c r="S1163" s="80"/>
      <c r="T1163" s="105">
        <f t="shared" si="101"/>
        <v>7.5</v>
      </c>
      <c r="U1163" s="105">
        <f t="shared" si="105"/>
        <v>7.5</v>
      </c>
      <c r="V1163" s="104">
        <f>IFERROR(VLOOKUP(L1163,'Raw material list'!$A$2:$S$3102,6,0),0)</f>
        <v>1.4319999999999999E-2</v>
      </c>
      <c r="W1163" s="104">
        <f t="shared" si="106"/>
        <v>0.1074</v>
      </c>
    </row>
    <row r="1164" spans="1:23" hidden="1" x14ac:dyDescent="0.55000000000000004">
      <c r="A1164" s="76" t="str">
        <f t="shared" si="102"/>
        <v>RCP-SMC-000064</v>
      </c>
      <c r="B1164" s="58" t="s">
        <v>35</v>
      </c>
      <c r="C1164" s="58" t="s">
        <v>10</v>
      </c>
      <c r="D1164" s="76" t="str">
        <f t="shared" si="103"/>
        <v>Creamy  Chick. Pasta  &amp; Mash vegetable</v>
      </c>
      <c r="E1164" s="58" t="s">
        <v>1560</v>
      </c>
      <c r="F1164" s="58" t="s">
        <v>2079</v>
      </c>
      <c r="G1164" s="41" t="s">
        <v>11</v>
      </c>
      <c r="H1164" s="58" t="s">
        <v>1774</v>
      </c>
      <c r="I1164" s="76"/>
      <c r="J1164" s="76"/>
      <c r="K1164" s="58" t="str">
        <f>IFERROR(VLOOKUP(L1164,'Raw material list'!$A$3:$C$715,3,0),"")</f>
        <v>DRS1-3880</v>
      </c>
      <c r="L1164" s="76" t="s">
        <v>1433</v>
      </c>
      <c r="M1164" s="80" t="s">
        <v>156</v>
      </c>
      <c r="N1164" s="40" t="str">
        <f>VLOOKUP(L1164,'Raw material list'!$A$3:$E$715,5,0)</f>
        <v xml:space="preserve">Gram </v>
      </c>
      <c r="O1164" s="80">
        <v>6</v>
      </c>
      <c r="P1164" s="299">
        <f t="shared" si="104"/>
        <v>6</v>
      </c>
      <c r="Q1164" s="80">
        <v>100</v>
      </c>
      <c r="R1164" s="80">
        <v>10</v>
      </c>
      <c r="S1164" s="80"/>
      <c r="T1164" s="105">
        <f t="shared" si="101"/>
        <v>0.6</v>
      </c>
      <c r="U1164" s="105">
        <f t="shared" si="105"/>
        <v>0.6</v>
      </c>
      <c r="V1164" s="104">
        <f>IFERROR(VLOOKUP(L1164,'Raw material list'!$A$2:$S$3102,6,0),0)</f>
        <v>5.0000000000000001E-4</v>
      </c>
      <c r="W1164" s="104">
        <f t="shared" si="106"/>
        <v>2.9999999999999997E-4</v>
      </c>
    </row>
    <row r="1165" spans="1:23" hidden="1" x14ac:dyDescent="0.55000000000000004">
      <c r="A1165" s="76" t="str">
        <f t="shared" si="102"/>
        <v>RCP-SMC-000064</v>
      </c>
      <c r="B1165" s="58" t="s">
        <v>35</v>
      </c>
      <c r="C1165" s="58" t="s">
        <v>10</v>
      </c>
      <c r="D1165" s="76" t="str">
        <f t="shared" si="103"/>
        <v>Creamy  Chick. Pasta  &amp; Mash vegetable</v>
      </c>
      <c r="E1165" s="58" t="s">
        <v>1560</v>
      </c>
      <c r="F1165" s="58" t="s">
        <v>2079</v>
      </c>
      <c r="G1165" s="41" t="s">
        <v>11</v>
      </c>
      <c r="H1165" s="58" t="s">
        <v>1774</v>
      </c>
      <c r="I1165" s="76"/>
      <c r="J1165" s="76"/>
      <c r="K1165" s="58" t="str">
        <f>IFERROR(VLOOKUP(L1165,'Raw material list'!$A$3:$C$715,3,0),"")</f>
        <v>DRY2-1008</v>
      </c>
      <c r="L1165" s="76" t="s">
        <v>57</v>
      </c>
      <c r="M1165" s="80" t="s">
        <v>156</v>
      </c>
      <c r="N1165" s="40" t="str">
        <f>VLOOKUP(L1165,'Raw material list'!$A$3:$E$715,5,0)</f>
        <v xml:space="preserve">Gram </v>
      </c>
      <c r="O1165" s="80">
        <v>25</v>
      </c>
      <c r="P1165" s="299">
        <f t="shared" si="104"/>
        <v>25</v>
      </c>
      <c r="Q1165" s="80">
        <v>100</v>
      </c>
      <c r="R1165" s="80">
        <v>10</v>
      </c>
      <c r="S1165" s="80"/>
      <c r="T1165" s="105">
        <f t="shared" si="101"/>
        <v>2.5</v>
      </c>
      <c r="U1165" s="105">
        <f t="shared" si="105"/>
        <v>2.5</v>
      </c>
      <c r="V1165" s="104">
        <f>IFERROR(VLOOKUP(L1165,'Raw material list'!$A$2:$S$3102,6,0),0)</f>
        <v>0.03</v>
      </c>
      <c r="W1165" s="104">
        <f t="shared" si="106"/>
        <v>7.4999999999999997E-2</v>
      </c>
    </row>
    <row r="1166" spans="1:23" hidden="1" x14ac:dyDescent="0.55000000000000004">
      <c r="A1166" s="76" t="str">
        <f t="shared" si="102"/>
        <v>RCP-SMC-000064</v>
      </c>
      <c r="B1166" s="58" t="s">
        <v>35</v>
      </c>
      <c r="C1166" s="58" t="s">
        <v>10</v>
      </c>
      <c r="D1166" s="76" t="str">
        <f t="shared" si="103"/>
        <v>Creamy  Chick. Pasta  &amp; Mash vegetable</v>
      </c>
      <c r="E1166" s="58" t="s">
        <v>1560</v>
      </c>
      <c r="F1166" s="58" t="s">
        <v>2079</v>
      </c>
      <c r="G1166" s="41" t="s">
        <v>11</v>
      </c>
      <c r="H1166" s="58" t="s">
        <v>1774</v>
      </c>
      <c r="I1166" s="76"/>
      <c r="J1166" s="76"/>
      <c r="K1166" s="58" t="str">
        <f>IFERROR(VLOOKUP(L1166,'Raw material list'!$A$3:$C$715,3,0),"")</f>
        <v>DRY2-1858</v>
      </c>
      <c r="L1166" s="76" t="s">
        <v>60</v>
      </c>
      <c r="M1166" s="80" t="s">
        <v>206</v>
      </c>
      <c r="N1166" s="40" t="str">
        <f>VLOOKUP(L1166,'Raw material list'!$A$3:$E$715,5,0)</f>
        <v>Ml</v>
      </c>
      <c r="O1166" s="80">
        <v>25</v>
      </c>
      <c r="P1166" s="299">
        <f t="shared" si="104"/>
        <v>25</v>
      </c>
      <c r="Q1166" s="80">
        <v>100</v>
      </c>
      <c r="R1166" s="80">
        <v>10</v>
      </c>
      <c r="S1166" s="80"/>
      <c r="T1166" s="105">
        <f t="shared" si="101"/>
        <v>2.5</v>
      </c>
      <c r="U1166" s="105">
        <f t="shared" si="105"/>
        <v>2.5</v>
      </c>
      <c r="V1166" s="104">
        <f>IFERROR(VLOOKUP(L1166,'Raw material list'!$A$2:$S$3102,6,0),0)</f>
        <v>9.8800000000000016E-3</v>
      </c>
      <c r="W1166" s="104">
        <f t="shared" si="106"/>
        <v>2.4700000000000003E-2</v>
      </c>
    </row>
    <row r="1167" spans="1:23" hidden="1" x14ac:dyDescent="0.55000000000000004">
      <c r="A1167" s="76" t="str">
        <f t="shared" si="102"/>
        <v>RCP-SMC-000064</v>
      </c>
      <c r="B1167" s="58" t="s">
        <v>35</v>
      </c>
      <c r="C1167" s="58" t="s">
        <v>10</v>
      </c>
      <c r="D1167" s="76" t="str">
        <f t="shared" si="103"/>
        <v>Creamy  Chick. Pasta  &amp; Mash vegetable</v>
      </c>
      <c r="E1167" s="58" t="s">
        <v>1560</v>
      </c>
      <c r="F1167" s="58" t="s">
        <v>2079</v>
      </c>
      <c r="G1167" s="41" t="s">
        <v>11</v>
      </c>
      <c r="H1167" s="58" t="s">
        <v>1774</v>
      </c>
      <c r="I1167" s="76"/>
      <c r="J1167" s="76"/>
      <c r="K1167" s="58" t="str">
        <f>IFERROR(VLOOKUP(L1167,'Raw material list'!$A$3:$C$715,3,0),"")</f>
        <v>PRD1-186</v>
      </c>
      <c r="L1167" s="76" t="s">
        <v>37</v>
      </c>
      <c r="M1167" s="80" t="s">
        <v>156</v>
      </c>
      <c r="N1167" s="40" t="str">
        <f>VLOOKUP(L1167,'Raw material list'!$A$3:$E$715,5,0)</f>
        <v xml:space="preserve">Gram </v>
      </c>
      <c r="O1167" s="80">
        <v>100</v>
      </c>
      <c r="P1167" s="299">
        <f t="shared" si="104"/>
        <v>122.44897959183673</v>
      </c>
      <c r="Q1167" s="105">
        <v>81.666666666666671</v>
      </c>
      <c r="R1167" s="80">
        <v>10</v>
      </c>
      <c r="S1167" s="80"/>
      <c r="T1167" s="105">
        <f t="shared" si="101"/>
        <v>10</v>
      </c>
      <c r="U1167" s="105">
        <f t="shared" si="105"/>
        <v>12.244897959183673</v>
      </c>
      <c r="V1167" s="104">
        <f>IFERROR(VLOOKUP(L1167,'Raw material list'!$A$2:$S$3102,6,0),0)</f>
        <v>5.8139534883720938E-3</v>
      </c>
      <c r="W1167" s="104">
        <f t="shared" si="106"/>
        <v>7.1191267204556249E-2</v>
      </c>
    </row>
    <row r="1168" spans="1:23" hidden="1" x14ac:dyDescent="0.55000000000000004">
      <c r="A1168" s="76" t="str">
        <f t="shared" si="102"/>
        <v>RCP-SMC-000064</v>
      </c>
      <c r="B1168" s="58" t="s">
        <v>35</v>
      </c>
      <c r="C1168" s="58" t="s">
        <v>10</v>
      </c>
      <c r="D1168" s="76" t="str">
        <f t="shared" si="103"/>
        <v>Creamy  Chick. Pasta  &amp; Mash vegetable</v>
      </c>
      <c r="E1168" s="58" t="s">
        <v>1560</v>
      </c>
      <c r="F1168" s="58" t="s">
        <v>2079</v>
      </c>
      <c r="G1168" s="41" t="s">
        <v>11</v>
      </c>
      <c r="H1168" s="58" t="s">
        <v>1774</v>
      </c>
      <c r="I1168" s="76"/>
      <c r="J1168" s="76"/>
      <c r="K1168" s="58" t="str">
        <f>IFERROR(VLOOKUP(L1168,'Raw material list'!$A$3:$C$715,3,0),"")</f>
        <v>PRD1-232</v>
      </c>
      <c r="L1168" s="76" t="s">
        <v>116</v>
      </c>
      <c r="M1168" s="80" t="s">
        <v>156</v>
      </c>
      <c r="N1168" s="40" t="str">
        <f>VLOOKUP(L1168,'Raw material list'!$A$3:$E$715,5,0)</f>
        <v xml:space="preserve">Gram </v>
      </c>
      <c r="O1168" s="80">
        <v>100</v>
      </c>
      <c r="P1168" s="299">
        <f t="shared" si="104"/>
        <v>138.88888888888889</v>
      </c>
      <c r="Q1168" s="105">
        <v>72</v>
      </c>
      <c r="R1168" s="80">
        <v>10</v>
      </c>
      <c r="S1168" s="80"/>
      <c r="T1168" s="105">
        <f t="shared" si="101"/>
        <v>10</v>
      </c>
      <c r="U1168" s="105">
        <f t="shared" si="105"/>
        <v>13.888888888888889</v>
      </c>
      <c r="V1168" s="104">
        <f>IFERROR(VLOOKUP(L1168,'Raw material list'!$A$2:$S$3102,6,0),0)</f>
        <v>4.4444444444444444E-3</v>
      </c>
      <c r="W1168" s="104">
        <f t="shared" si="106"/>
        <v>6.1728395061728399E-2</v>
      </c>
    </row>
    <row r="1169" spans="1:23" hidden="1" x14ac:dyDescent="0.55000000000000004">
      <c r="A1169" s="76" t="str">
        <f t="shared" si="102"/>
        <v>RCP-SMC-000064</v>
      </c>
      <c r="B1169" s="58" t="s">
        <v>35</v>
      </c>
      <c r="C1169" s="58" t="s">
        <v>10</v>
      </c>
      <c r="D1169" s="76" t="str">
        <f t="shared" si="103"/>
        <v>Creamy  Chick. Pasta  &amp; Mash vegetable</v>
      </c>
      <c r="E1169" s="58" t="s">
        <v>1560</v>
      </c>
      <c r="F1169" s="58" t="s">
        <v>2079</v>
      </c>
      <c r="G1169" s="41" t="s">
        <v>11</v>
      </c>
      <c r="H1169" s="58" t="s">
        <v>1774</v>
      </c>
      <c r="I1169" s="76"/>
      <c r="J1169" s="76"/>
      <c r="K1169" s="58" t="str">
        <f>IFERROR(VLOOKUP(L1169,'Raw material list'!$A$3:$C$715,3,0),"")</f>
        <v>DRS5-3866</v>
      </c>
      <c r="L1169" s="76" t="s">
        <v>64</v>
      </c>
      <c r="M1169" s="80" t="s">
        <v>156</v>
      </c>
      <c r="N1169" s="40" t="str">
        <f>VLOOKUP(L1169,'Raw material list'!$A$3:$E$715,5,0)</f>
        <v xml:space="preserve">Gram </v>
      </c>
      <c r="O1169" s="80">
        <v>150</v>
      </c>
      <c r="P1169" s="299">
        <f t="shared" si="104"/>
        <v>150</v>
      </c>
      <c r="Q1169" s="303">
        <v>100</v>
      </c>
      <c r="R1169" s="80">
        <v>10</v>
      </c>
      <c r="S1169" s="80"/>
      <c r="T1169" s="105">
        <f t="shared" si="101"/>
        <v>15</v>
      </c>
      <c r="U1169" s="105">
        <f t="shared" si="105"/>
        <v>15</v>
      </c>
      <c r="V1169" s="104">
        <f>IFERROR(VLOOKUP(L1169,'Raw material list'!$A$2:$S$3102,6,0),0)</f>
        <v>0.02</v>
      </c>
      <c r="W1169" s="104">
        <f t="shared" si="106"/>
        <v>0.3</v>
      </c>
    </row>
    <row r="1170" spans="1:23" hidden="1" x14ac:dyDescent="0.55000000000000004">
      <c r="A1170" s="76" t="s">
        <v>1573</v>
      </c>
      <c r="B1170" s="58" t="s">
        <v>35</v>
      </c>
      <c r="C1170" s="58" t="s">
        <v>10</v>
      </c>
      <c r="D1170" s="76" t="s">
        <v>1564</v>
      </c>
      <c r="E1170" s="58" t="s">
        <v>1560</v>
      </c>
      <c r="F1170" s="58" t="s">
        <v>2081</v>
      </c>
      <c r="G1170" s="41" t="s">
        <v>11</v>
      </c>
      <c r="H1170" s="58" t="s">
        <v>1773</v>
      </c>
      <c r="I1170" s="76"/>
      <c r="J1170" s="76"/>
      <c r="K1170" s="58" t="str">
        <f>IFERROR(VLOOKUP(L1170,'Raw material list'!$A$3:$C$715,3,0),"")</f>
        <v>MET2-585</v>
      </c>
      <c r="L1170" s="76" t="s">
        <v>53</v>
      </c>
      <c r="M1170" s="80" t="s">
        <v>156</v>
      </c>
      <c r="N1170" s="40" t="str">
        <f>VLOOKUP(L1170,'Raw material list'!$A$3:$E$715,5,0)</f>
        <v xml:space="preserve">Gram </v>
      </c>
      <c r="O1170" s="80">
        <v>1000</v>
      </c>
      <c r="P1170" s="299">
        <f t="shared" si="104"/>
        <v>1154.7344110854506</v>
      </c>
      <c r="Q1170" s="80">
        <v>86.6</v>
      </c>
      <c r="R1170" s="80">
        <v>10</v>
      </c>
      <c r="S1170" s="80"/>
      <c r="T1170" s="105">
        <f t="shared" si="101"/>
        <v>100</v>
      </c>
      <c r="U1170" s="105">
        <f t="shared" si="105"/>
        <v>115.47344110854506</v>
      </c>
      <c r="V1170" s="104">
        <f>IFERROR(VLOOKUP(L1170,'Raw material list'!$A$2:$S$3102,6,0),0)</f>
        <v>4.2630057803468215E-2</v>
      </c>
      <c r="W1170" s="104">
        <f t="shared" si="106"/>
        <v>4.9226394692226583</v>
      </c>
    </row>
    <row r="1171" spans="1:23" hidden="1" x14ac:dyDescent="0.55000000000000004">
      <c r="A1171" s="76" t="str">
        <f t="shared" ref="A1171:A1193" si="107">A1170</f>
        <v>RCP-SMC-000065</v>
      </c>
      <c r="B1171" s="58" t="s">
        <v>35</v>
      </c>
      <c r="C1171" s="58" t="s">
        <v>10</v>
      </c>
      <c r="D1171" s="76" t="str">
        <f t="shared" ref="D1171:D1193" si="108">D1170</f>
        <v>Beef Curry</v>
      </c>
      <c r="E1171" s="58" t="s">
        <v>1560</v>
      </c>
      <c r="F1171" s="58" t="s">
        <v>2079</v>
      </c>
      <c r="G1171" s="41" t="s">
        <v>11</v>
      </c>
      <c r="H1171" s="58" t="s">
        <v>1773</v>
      </c>
      <c r="I1171" s="76"/>
      <c r="J1171" s="76"/>
      <c r="K1171" s="58" t="str">
        <f>IFERROR(VLOOKUP(L1171,'Raw material list'!$A$3:$C$715,3,0),"")</f>
        <v>DRS3-1813</v>
      </c>
      <c r="L1171" s="76" t="s">
        <v>69</v>
      </c>
      <c r="M1171" s="80" t="s">
        <v>206</v>
      </c>
      <c r="N1171" s="40" t="str">
        <f>VLOOKUP(L1171,'Raw material list'!$A$3:$E$715,5,0)</f>
        <v>Ml</v>
      </c>
      <c r="O1171" s="80">
        <v>20</v>
      </c>
      <c r="P1171" s="299">
        <f t="shared" si="104"/>
        <v>20</v>
      </c>
      <c r="Q1171" s="80">
        <v>100</v>
      </c>
      <c r="R1171" s="80">
        <v>10</v>
      </c>
      <c r="S1171" s="80"/>
      <c r="T1171" s="105">
        <f t="shared" si="101"/>
        <v>2</v>
      </c>
      <c r="U1171" s="105">
        <f t="shared" si="105"/>
        <v>2</v>
      </c>
      <c r="V1171" s="104">
        <f>IFERROR(VLOOKUP(L1171,'Raw material list'!$A$2:$S$3102,6,0),0)</f>
        <v>8.0555555555555554E-3</v>
      </c>
      <c r="W1171" s="104">
        <f t="shared" si="106"/>
        <v>1.6111111111111111E-2</v>
      </c>
    </row>
    <row r="1172" spans="1:23" hidden="1" x14ac:dyDescent="0.55000000000000004">
      <c r="A1172" s="76" t="str">
        <f t="shared" si="107"/>
        <v>RCP-SMC-000065</v>
      </c>
      <c r="B1172" s="58" t="s">
        <v>35</v>
      </c>
      <c r="C1172" s="58" t="s">
        <v>10</v>
      </c>
      <c r="D1172" s="76" t="str">
        <f t="shared" si="108"/>
        <v>Beef Curry</v>
      </c>
      <c r="E1172" s="58" t="s">
        <v>1560</v>
      </c>
      <c r="F1172" s="58" t="s">
        <v>2079</v>
      </c>
      <c r="G1172" s="41" t="s">
        <v>11</v>
      </c>
      <c r="H1172" s="58" t="s">
        <v>1773</v>
      </c>
      <c r="I1172" s="76"/>
      <c r="J1172" s="76"/>
      <c r="K1172" s="58" t="str">
        <f>IFERROR(VLOOKUP(L1172,'Raw material list'!$A$3:$C$715,3,0),"")</f>
        <v>PRD1-4265</v>
      </c>
      <c r="L1172" s="76" t="s">
        <v>38</v>
      </c>
      <c r="M1172" s="80" t="s">
        <v>156</v>
      </c>
      <c r="N1172" s="40" t="str">
        <f>VLOOKUP(L1172,'Raw material list'!$A$3:$E$715,5,0)</f>
        <v xml:space="preserve">Gram </v>
      </c>
      <c r="O1172" s="80">
        <v>150</v>
      </c>
      <c r="P1172" s="299">
        <f t="shared" si="104"/>
        <v>176.47058823529412</v>
      </c>
      <c r="Q1172" s="105">
        <v>85</v>
      </c>
      <c r="R1172" s="80">
        <v>10</v>
      </c>
      <c r="S1172" s="80"/>
      <c r="T1172" s="105">
        <f t="shared" si="101"/>
        <v>15</v>
      </c>
      <c r="U1172" s="105">
        <f t="shared" si="105"/>
        <v>17.647058823529413</v>
      </c>
      <c r="V1172" s="104">
        <f>IFERROR(VLOOKUP(L1172,'Raw material list'!$A$2:$S$3102,6,0),0)</f>
        <v>3.529411764705882E-3</v>
      </c>
      <c r="W1172" s="104">
        <f t="shared" si="106"/>
        <v>6.228373702422145E-2</v>
      </c>
    </row>
    <row r="1173" spans="1:23" hidden="1" x14ac:dyDescent="0.55000000000000004">
      <c r="A1173" s="76" t="str">
        <f t="shared" si="107"/>
        <v>RCP-SMC-000065</v>
      </c>
      <c r="B1173" s="58" t="s">
        <v>35</v>
      </c>
      <c r="C1173" s="58" t="s">
        <v>10</v>
      </c>
      <c r="D1173" s="76" t="str">
        <f t="shared" si="108"/>
        <v>Beef Curry</v>
      </c>
      <c r="E1173" s="58" t="s">
        <v>1560</v>
      </c>
      <c r="F1173" s="58" t="s">
        <v>2079</v>
      </c>
      <c r="G1173" s="41" t="s">
        <v>11</v>
      </c>
      <c r="H1173" s="58" t="s">
        <v>1773</v>
      </c>
      <c r="I1173" s="76"/>
      <c r="J1173" s="76"/>
      <c r="K1173" s="58" t="str">
        <f>IFERROR(VLOOKUP(L1173,'Raw material list'!$A$3:$C$715,3,0),"")</f>
        <v>PRD1-4327</v>
      </c>
      <c r="L1173" s="76" t="s">
        <v>39</v>
      </c>
      <c r="M1173" s="80" t="s">
        <v>156</v>
      </c>
      <c r="N1173" s="40" t="str">
        <f>VLOOKUP(L1173,'Raw material list'!$A$3:$E$715,5,0)</f>
        <v xml:space="preserve">Gram </v>
      </c>
      <c r="O1173" s="80">
        <v>15</v>
      </c>
      <c r="P1173" s="299">
        <f t="shared" si="104"/>
        <v>18.072289156626507</v>
      </c>
      <c r="Q1173" s="105">
        <v>83</v>
      </c>
      <c r="R1173" s="80">
        <v>10</v>
      </c>
      <c r="S1173" s="80"/>
      <c r="T1173" s="105">
        <f t="shared" si="101"/>
        <v>1.5</v>
      </c>
      <c r="U1173" s="105">
        <f t="shared" si="105"/>
        <v>1.8072289156626506</v>
      </c>
      <c r="V1173" s="104">
        <f>IFERROR(VLOOKUP(L1173,'Raw material list'!$A$2:$S$3102,6,0),0)</f>
        <v>1.2999999999999999E-2</v>
      </c>
      <c r="W1173" s="104">
        <f t="shared" si="106"/>
        <v>2.3493975903614458E-2</v>
      </c>
    </row>
    <row r="1174" spans="1:23" hidden="1" x14ac:dyDescent="0.55000000000000004">
      <c r="A1174" s="76" t="str">
        <f t="shared" si="107"/>
        <v>RCP-SMC-000065</v>
      </c>
      <c r="B1174" s="58" t="s">
        <v>35</v>
      </c>
      <c r="C1174" s="58" t="s">
        <v>10</v>
      </c>
      <c r="D1174" s="76" t="str">
        <f t="shared" si="108"/>
        <v>Beef Curry</v>
      </c>
      <c r="E1174" s="58" t="s">
        <v>1560</v>
      </c>
      <c r="F1174" s="58" t="s">
        <v>2079</v>
      </c>
      <c r="G1174" s="41" t="s">
        <v>11</v>
      </c>
      <c r="H1174" s="58" t="s">
        <v>1773</v>
      </c>
      <c r="I1174" s="76"/>
      <c r="J1174" s="76"/>
      <c r="K1174" s="58" t="str">
        <f>IFERROR(VLOOKUP(L1174,'Raw material list'!$A$3:$C$715,3,0),"")</f>
        <v>DRS6-733</v>
      </c>
      <c r="L1174" s="76" t="s">
        <v>45</v>
      </c>
      <c r="M1174" s="80" t="s">
        <v>156</v>
      </c>
      <c r="N1174" s="40" t="str">
        <f>VLOOKUP(L1174,'Raw material list'!$A$3:$E$715,5,0)</f>
        <v xml:space="preserve">Gram </v>
      </c>
      <c r="O1174" s="80">
        <v>15</v>
      </c>
      <c r="P1174" s="299">
        <f t="shared" si="104"/>
        <v>15</v>
      </c>
      <c r="Q1174" s="303">
        <v>100</v>
      </c>
      <c r="R1174" s="80">
        <v>10</v>
      </c>
      <c r="S1174" s="80"/>
      <c r="T1174" s="105">
        <f t="shared" si="101"/>
        <v>1.5</v>
      </c>
      <c r="U1174" s="105">
        <f t="shared" si="105"/>
        <v>1.5</v>
      </c>
      <c r="V1174" s="104">
        <f>IFERROR(VLOOKUP(L1174,'Raw material list'!$A$2:$S$3102,6,0),0)</f>
        <v>2.8000000000000001E-2</v>
      </c>
      <c r="W1174" s="104">
        <f t="shared" si="106"/>
        <v>4.2000000000000003E-2</v>
      </c>
    </row>
    <row r="1175" spans="1:23" hidden="1" x14ac:dyDescent="0.55000000000000004">
      <c r="A1175" s="76" t="str">
        <f t="shared" si="107"/>
        <v>RCP-SMC-000065</v>
      </c>
      <c r="B1175" s="58" t="s">
        <v>35</v>
      </c>
      <c r="C1175" s="58" t="s">
        <v>10</v>
      </c>
      <c r="D1175" s="76" t="str">
        <f t="shared" si="108"/>
        <v>Beef Curry</v>
      </c>
      <c r="E1175" s="58" t="s">
        <v>1560</v>
      </c>
      <c r="F1175" s="58" t="s">
        <v>2079</v>
      </c>
      <c r="G1175" s="41" t="s">
        <v>11</v>
      </c>
      <c r="H1175" s="58" t="s">
        <v>1773</v>
      </c>
      <c r="I1175" s="76"/>
      <c r="J1175" s="76"/>
      <c r="K1175" s="58" t="str">
        <f>IFERROR(VLOOKUP(L1175,'Raw material list'!$A$3:$C$715,3,0),"")</f>
        <v>DRS6-266</v>
      </c>
      <c r="L1175" s="76" t="s">
        <v>99</v>
      </c>
      <c r="M1175" s="80" t="s">
        <v>156</v>
      </c>
      <c r="N1175" s="40" t="str">
        <f>VLOOKUP(L1175,'Raw material list'!$A$3:$E$715,5,0)</f>
        <v xml:space="preserve">Gram </v>
      </c>
      <c r="O1175" s="80">
        <v>3</v>
      </c>
      <c r="P1175" s="299">
        <f t="shared" si="104"/>
        <v>3</v>
      </c>
      <c r="Q1175" s="80">
        <v>100</v>
      </c>
      <c r="R1175" s="80">
        <v>10</v>
      </c>
      <c r="S1175" s="80"/>
      <c r="T1175" s="105">
        <f t="shared" si="101"/>
        <v>0.3</v>
      </c>
      <c r="U1175" s="105">
        <f t="shared" si="105"/>
        <v>0.3</v>
      </c>
      <c r="V1175" s="104">
        <f>IFERROR(VLOOKUP(L1175,'Raw material list'!$A$2:$S$3102,6,0),0)</f>
        <v>1.4E-2</v>
      </c>
      <c r="W1175" s="104">
        <f t="shared" si="106"/>
        <v>4.1999999999999997E-3</v>
      </c>
    </row>
    <row r="1176" spans="1:23" hidden="1" x14ac:dyDescent="0.55000000000000004">
      <c r="A1176" s="76" t="str">
        <f t="shared" si="107"/>
        <v>RCP-SMC-000065</v>
      </c>
      <c r="B1176" s="58" t="s">
        <v>35</v>
      </c>
      <c r="C1176" s="58" t="s">
        <v>10</v>
      </c>
      <c r="D1176" s="76" t="str">
        <f t="shared" si="108"/>
        <v>Beef Curry</v>
      </c>
      <c r="E1176" s="58" t="s">
        <v>1560</v>
      </c>
      <c r="F1176" s="58" t="s">
        <v>2079</v>
      </c>
      <c r="G1176" s="41" t="s">
        <v>11</v>
      </c>
      <c r="H1176" s="58" t="s">
        <v>1773</v>
      </c>
      <c r="I1176" s="76"/>
      <c r="J1176" s="76"/>
      <c r="K1176" s="58" t="str">
        <f>IFERROR(VLOOKUP(L1176,'Raw material list'!$A$3:$C$715,3,0),"")</f>
        <v>DRS6-3608</v>
      </c>
      <c r="L1176" s="76" t="s">
        <v>131</v>
      </c>
      <c r="M1176" s="80" t="s">
        <v>156</v>
      </c>
      <c r="N1176" s="40" t="str">
        <f>VLOOKUP(L1176,'Raw material list'!$A$3:$E$715,5,0)</f>
        <v xml:space="preserve">Gram </v>
      </c>
      <c r="O1176" s="80">
        <v>3</v>
      </c>
      <c r="P1176" s="299">
        <f t="shared" si="104"/>
        <v>3</v>
      </c>
      <c r="Q1176" s="80">
        <v>100</v>
      </c>
      <c r="R1176" s="80">
        <v>10</v>
      </c>
      <c r="S1176" s="80"/>
      <c r="T1176" s="105">
        <f t="shared" si="101"/>
        <v>0.3</v>
      </c>
      <c r="U1176" s="105">
        <f t="shared" si="105"/>
        <v>0.3</v>
      </c>
      <c r="V1176" s="104">
        <f>IFERROR(VLOOKUP(L1176,'Raw material list'!$A$2:$S$3102,6,0),0)</f>
        <v>1.6E-2</v>
      </c>
      <c r="W1176" s="104">
        <f t="shared" si="106"/>
        <v>4.7999999999999996E-3</v>
      </c>
    </row>
    <row r="1177" spans="1:23" hidden="1" x14ac:dyDescent="0.55000000000000004">
      <c r="A1177" s="76" t="str">
        <f t="shared" si="107"/>
        <v>RCP-SMC-000065</v>
      </c>
      <c r="B1177" s="58" t="s">
        <v>35</v>
      </c>
      <c r="C1177" s="58" t="s">
        <v>10</v>
      </c>
      <c r="D1177" s="76" t="str">
        <f t="shared" si="108"/>
        <v>Beef Curry</v>
      </c>
      <c r="E1177" s="58" t="s">
        <v>1560</v>
      </c>
      <c r="F1177" s="58" t="s">
        <v>2079</v>
      </c>
      <c r="G1177" s="41" t="s">
        <v>11</v>
      </c>
      <c r="H1177" s="58" t="s">
        <v>1773</v>
      </c>
      <c r="I1177" s="76"/>
      <c r="J1177" s="76"/>
      <c r="K1177" s="58" t="str">
        <f>IFERROR(VLOOKUP(L1177,'Raw material list'!$A$3:$C$715,3,0),"")</f>
        <v>PRD1-572</v>
      </c>
      <c r="L1177" s="76" t="s">
        <v>54</v>
      </c>
      <c r="M1177" s="80" t="s">
        <v>156</v>
      </c>
      <c r="N1177" s="40" t="str">
        <f>VLOOKUP(L1177,'Raw material list'!$A$3:$E$715,5,0)</f>
        <v xml:space="preserve">Gram </v>
      </c>
      <c r="O1177" s="80">
        <v>150</v>
      </c>
      <c r="P1177" s="299">
        <f t="shared" si="104"/>
        <v>170.00377786173021</v>
      </c>
      <c r="Q1177" s="105">
        <v>88.233333333333348</v>
      </c>
      <c r="R1177" s="80">
        <v>10</v>
      </c>
      <c r="S1177" s="80"/>
      <c r="T1177" s="105">
        <f t="shared" si="101"/>
        <v>15</v>
      </c>
      <c r="U1177" s="105">
        <f t="shared" si="105"/>
        <v>17.000377786173022</v>
      </c>
      <c r="V1177" s="104">
        <f>IFERROR(VLOOKUP(L1177,'Raw material list'!$A$2:$S$3102,6,0),0)</f>
        <v>4.5351473922902496E-3</v>
      </c>
      <c r="W1177" s="104">
        <f t="shared" si="106"/>
        <v>7.7099218984911663E-2</v>
      </c>
    </row>
    <row r="1178" spans="1:23" hidden="1" x14ac:dyDescent="0.55000000000000004">
      <c r="A1178" s="76" t="str">
        <f t="shared" si="107"/>
        <v>RCP-SMC-000065</v>
      </c>
      <c r="B1178" s="58" t="s">
        <v>35</v>
      </c>
      <c r="C1178" s="58" t="s">
        <v>10</v>
      </c>
      <c r="D1178" s="76" t="str">
        <f t="shared" si="108"/>
        <v>Beef Curry</v>
      </c>
      <c r="E1178" s="58" t="s">
        <v>1560</v>
      </c>
      <c r="F1178" s="58" t="s">
        <v>2079</v>
      </c>
      <c r="G1178" s="41" t="s">
        <v>11</v>
      </c>
      <c r="H1178" s="58" t="s">
        <v>1773</v>
      </c>
      <c r="I1178" s="76"/>
      <c r="J1178" s="76"/>
      <c r="K1178" s="58" t="str">
        <f>IFERROR(VLOOKUP(L1178,'Raw material list'!$A$3:$C$715,3,0),"")</f>
        <v>DRS1-1747</v>
      </c>
      <c r="L1178" s="76" t="s">
        <v>44</v>
      </c>
      <c r="M1178" s="80" t="s">
        <v>156</v>
      </c>
      <c r="N1178" s="40" t="str">
        <f>VLOOKUP(L1178,'Raw material list'!$A$3:$E$715,5,0)</f>
        <v xml:space="preserve">Gram </v>
      </c>
      <c r="O1178" s="80">
        <v>25</v>
      </c>
      <c r="P1178" s="299">
        <f t="shared" si="104"/>
        <v>25</v>
      </c>
      <c r="Q1178" s="303">
        <v>100</v>
      </c>
      <c r="R1178" s="80">
        <v>10</v>
      </c>
      <c r="S1178" s="80"/>
      <c r="T1178" s="105">
        <f t="shared" si="101"/>
        <v>2.5</v>
      </c>
      <c r="U1178" s="105">
        <f t="shared" si="105"/>
        <v>2.5</v>
      </c>
      <c r="V1178" s="104">
        <f>IFERROR(VLOOKUP(L1178,'Raw material list'!$A$2:$S$3102,6,0),0)</f>
        <v>5.185185185185185E-3</v>
      </c>
      <c r="W1178" s="104">
        <f t="shared" si="106"/>
        <v>1.2962962962962963E-2</v>
      </c>
    </row>
    <row r="1179" spans="1:23" hidden="1" x14ac:dyDescent="0.55000000000000004">
      <c r="A1179" s="76" t="str">
        <f t="shared" si="107"/>
        <v>RCP-SMC-000065</v>
      </c>
      <c r="B1179" s="58" t="s">
        <v>35</v>
      </c>
      <c r="C1179" s="58" t="s">
        <v>10</v>
      </c>
      <c r="D1179" s="76" t="str">
        <f t="shared" si="108"/>
        <v>Beef Curry</v>
      </c>
      <c r="E1179" s="58" t="s">
        <v>1560</v>
      </c>
      <c r="F1179" s="58" t="s">
        <v>2079</v>
      </c>
      <c r="G1179" s="41" t="s">
        <v>11</v>
      </c>
      <c r="H1179" s="58" t="s">
        <v>1773</v>
      </c>
      <c r="I1179" s="76"/>
      <c r="J1179" s="76"/>
      <c r="K1179" s="58" t="str">
        <f>IFERROR(VLOOKUP(L1179,'Raw material list'!$A$3:$C$715,3,0),"")</f>
        <v>DRS1-3880</v>
      </c>
      <c r="L1179" s="76" t="s">
        <v>1433</v>
      </c>
      <c r="M1179" s="80" t="s">
        <v>156</v>
      </c>
      <c r="N1179" s="40" t="str">
        <f>VLOOKUP(L1179,'Raw material list'!$A$3:$E$715,5,0)</f>
        <v xml:space="preserve">Gram </v>
      </c>
      <c r="O1179" s="80">
        <v>10</v>
      </c>
      <c r="P1179" s="299">
        <f t="shared" si="104"/>
        <v>10</v>
      </c>
      <c r="Q1179" s="80">
        <v>100</v>
      </c>
      <c r="R1179" s="80">
        <v>10</v>
      </c>
      <c r="S1179" s="80"/>
      <c r="T1179" s="105">
        <f t="shared" si="101"/>
        <v>1</v>
      </c>
      <c r="U1179" s="105">
        <f t="shared" si="105"/>
        <v>1</v>
      </c>
      <c r="V1179" s="104">
        <f>IFERROR(VLOOKUP(L1179,'Raw material list'!$A$2:$S$3102,6,0),0)</f>
        <v>5.0000000000000001E-4</v>
      </c>
      <c r="W1179" s="104">
        <f t="shared" si="106"/>
        <v>5.0000000000000001E-4</v>
      </c>
    </row>
    <row r="1180" spans="1:23" hidden="1" x14ac:dyDescent="0.55000000000000004">
      <c r="A1180" s="76" t="str">
        <f t="shared" si="107"/>
        <v>RCP-SMC-000065</v>
      </c>
      <c r="B1180" s="58" t="s">
        <v>35</v>
      </c>
      <c r="C1180" s="58" t="s">
        <v>10</v>
      </c>
      <c r="D1180" s="76" t="str">
        <f t="shared" si="108"/>
        <v>Beef Curry</v>
      </c>
      <c r="E1180" s="58" t="s">
        <v>1560</v>
      </c>
      <c r="F1180" s="58" t="s">
        <v>2079</v>
      </c>
      <c r="G1180" s="41" t="s">
        <v>11</v>
      </c>
      <c r="H1180" s="58" t="s">
        <v>1773</v>
      </c>
      <c r="I1180" s="76"/>
      <c r="J1180" s="76"/>
      <c r="K1180" s="58" t="str">
        <f>IFERROR(VLOOKUP(L1180,'Raw material list'!$A$3:$C$715,3,0),"")</f>
        <v>PRD1-186</v>
      </c>
      <c r="L1180" s="76" t="s">
        <v>37</v>
      </c>
      <c r="M1180" s="80" t="s">
        <v>156</v>
      </c>
      <c r="N1180" s="40" t="str">
        <f>VLOOKUP(L1180,'Raw material list'!$A$3:$E$715,5,0)</f>
        <v xml:space="preserve">Gram </v>
      </c>
      <c r="O1180" s="80">
        <v>500</v>
      </c>
      <c r="P1180" s="299">
        <f t="shared" si="104"/>
        <v>612.24489795918362</v>
      </c>
      <c r="Q1180" s="105">
        <v>81.666666666666671</v>
      </c>
      <c r="R1180" s="80">
        <v>10</v>
      </c>
      <c r="S1180" s="80"/>
      <c r="T1180" s="105">
        <f t="shared" si="101"/>
        <v>50</v>
      </c>
      <c r="U1180" s="105">
        <f t="shared" si="105"/>
        <v>61.224489795918359</v>
      </c>
      <c r="V1180" s="104">
        <f>IFERROR(VLOOKUP(L1180,'Raw material list'!$A$2:$S$3102,6,0),0)</f>
        <v>5.8139534883720938E-3</v>
      </c>
      <c r="W1180" s="104">
        <f t="shared" si="106"/>
        <v>0.35595633602278121</v>
      </c>
    </row>
    <row r="1181" spans="1:23" hidden="1" x14ac:dyDescent="0.55000000000000004">
      <c r="A1181" s="76" t="str">
        <f t="shared" si="107"/>
        <v>RCP-SMC-000065</v>
      </c>
      <c r="B1181" s="58" t="s">
        <v>35</v>
      </c>
      <c r="C1181" s="58" t="s">
        <v>10</v>
      </c>
      <c r="D1181" s="76" t="str">
        <f t="shared" si="108"/>
        <v>Beef Curry</v>
      </c>
      <c r="E1181" s="58" t="s">
        <v>1560</v>
      </c>
      <c r="F1181" s="58" t="s">
        <v>2079</v>
      </c>
      <c r="G1181" s="41" t="s">
        <v>11</v>
      </c>
      <c r="H1181" s="58" t="s">
        <v>1773</v>
      </c>
      <c r="I1181" s="76"/>
      <c r="J1181" s="76"/>
      <c r="K1181" s="58" t="str">
        <f>IFERROR(VLOOKUP(L1181,'Raw material list'!$A$3:$C$715,3,0),"")</f>
        <v>PRD1-230</v>
      </c>
      <c r="L1181" s="76" t="s">
        <v>70</v>
      </c>
      <c r="M1181" s="80" t="s">
        <v>156</v>
      </c>
      <c r="N1181" s="40" t="str">
        <f>VLOOKUP(L1181,'Raw material list'!$A$3:$E$715,5,0)</f>
        <v xml:space="preserve">Gram </v>
      </c>
      <c r="O1181" s="80">
        <v>500</v>
      </c>
      <c r="P1181" s="299">
        <f t="shared" si="104"/>
        <v>674.76383265856953</v>
      </c>
      <c r="Q1181" s="105">
        <v>74.099999999999994</v>
      </c>
      <c r="R1181" s="80">
        <v>10</v>
      </c>
      <c r="S1181" s="80"/>
      <c r="T1181" s="105">
        <f t="shared" si="101"/>
        <v>50</v>
      </c>
      <c r="U1181" s="105">
        <f t="shared" si="105"/>
        <v>67.476383265856953</v>
      </c>
      <c r="V1181" s="104">
        <f>IFERROR(VLOOKUP(L1181,'Raw material list'!$A$2:$S$3102,6,0),0)</f>
        <v>3.3738191632928472E-3</v>
      </c>
      <c r="W1181" s="104">
        <f t="shared" si="106"/>
        <v>0.22765311493204099</v>
      </c>
    </row>
    <row r="1182" spans="1:23" hidden="1" x14ac:dyDescent="0.55000000000000004">
      <c r="A1182" s="76" t="str">
        <f t="shared" si="107"/>
        <v>RCP-SMC-000065</v>
      </c>
      <c r="B1182" s="58" t="s">
        <v>35</v>
      </c>
      <c r="C1182" s="58" t="s">
        <v>10</v>
      </c>
      <c r="D1182" s="76" t="str">
        <f t="shared" si="108"/>
        <v>Beef Curry</v>
      </c>
      <c r="E1182" s="58" t="s">
        <v>1560</v>
      </c>
      <c r="F1182" s="58" t="s">
        <v>2079</v>
      </c>
      <c r="G1182" s="41" t="s">
        <v>11</v>
      </c>
      <c r="H1182" s="58" t="s">
        <v>1773</v>
      </c>
      <c r="I1182" s="76"/>
      <c r="J1182" s="76"/>
      <c r="K1182" s="58" t="str">
        <f>IFERROR(VLOOKUP(L1182,'Raw material list'!$A$3:$C$715,3,0),"")</f>
        <v>PRD2-3566</v>
      </c>
      <c r="L1182" s="76" t="s">
        <v>123</v>
      </c>
      <c r="M1182" s="80" t="s">
        <v>156</v>
      </c>
      <c r="N1182" s="40" t="str">
        <f>VLOOKUP(L1182,'Raw material list'!$A$3:$E$715,5,0)</f>
        <v xml:space="preserve">Gram </v>
      </c>
      <c r="O1182" s="80">
        <v>400</v>
      </c>
      <c r="P1182" s="299">
        <f t="shared" si="104"/>
        <v>400</v>
      </c>
      <c r="Q1182" s="303">
        <v>100</v>
      </c>
      <c r="R1182" s="80">
        <v>10</v>
      </c>
      <c r="S1182" s="80"/>
      <c r="T1182" s="105">
        <f t="shared" si="101"/>
        <v>40</v>
      </c>
      <c r="U1182" s="105">
        <f t="shared" si="105"/>
        <v>40</v>
      </c>
      <c r="V1182" s="104">
        <f>IFERROR(VLOOKUP(L1182,'Raw material list'!$A$2:$S$3102,6,0),0)</f>
        <v>8.2249999999999997E-3</v>
      </c>
      <c r="W1182" s="104">
        <f t="shared" si="106"/>
        <v>0.32899999999999996</v>
      </c>
    </row>
    <row r="1183" spans="1:23" hidden="1" x14ac:dyDescent="0.55000000000000004">
      <c r="A1183" s="76" t="str">
        <f t="shared" si="107"/>
        <v>RCP-SMC-000065</v>
      </c>
      <c r="B1183" s="58" t="s">
        <v>35</v>
      </c>
      <c r="C1183" s="58" t="s">
        <v>10</v>
      </c>
      <c r="D1183" s="76" t="str">
        <f t="shared" si="108"/>
        <v>Beef Curry</v>
      </c>
      <c r="E1183" s="58" t="s">
        <v>1560</v>
      </c>
      <c r="F1183" s="58" t="s">
        <v>2079</v>
      </c>
      <c r="G1183" s="41" t="s">
        <v>11</v>
      </c>
      <c r="H1183" s="58" t="s">
        <v>1773</v>
      </c>
      <c r="I1183" s="76"/>
      <c r="J1183" s="76"/>
      <c r="K1183" s="58" t="str">
        <f>IFERROR(VLOOKUP(L1183,'Raw material list'!$A$3:$C$715,3,0),"")</f>
        <v>DRS6-1674</v>
      </c>
      <c r="L1183" s="76" t="s">
        <v>73</v>
      </c>
      <c r="M1183" s="80" t="s">
        <v>156</v>
      </c>
      <c r="N1183" s="40" t="str">
        <f>VLOOKUP(L1183,'Raw material list'!$A$3:$E$715,5,0)</f>
        <v xml:space="preserve">Gram </v>
      </c>
      <c r="O1183" s="80">
        <v>5</v>
      </c>
      <c r="P1183" s="299">
        <f t="shared" si="104"/>
        <v>5</v>
      </c>
      <c r="Q1183" s="80">
        <v>100</v>
      </c>
      <c r="R1183" s="80">
        <v>10</v>
      </c>
      <c r="S1183" s="80"/>
      <c r="T1183" s="105">
        <f t="shared" si="101"/>
        <v>0.5</v>
      </c>
      <c r="U1183" s="105">
        <f t="shared" si="105"/>
        <v>0.5</v>
      </c>
      <c r="V1183" s="104">
        <f>IFERROR(VLOOKUP(L1183,'Raw material list'!$A$2:$S$3102,6,0),0)</f>
        <v>1.2500000000000001E-2</v>
      </c>
      <c r="W1183" s="104">
        <f t="shared" si="106"/>
        <v>6.2500000000000003E-3</v>
      </c>
    </row>
    <row r="1184" spans="1:23" hidden="1" x14ac:dyDescent="0.55000000000000004">
      <c r="A1184" s="76" t="str">
        <f t="shared" si="107"/>
        <v>RCP-SMC-000065</v>
      </c>
      <c r="B1184" s="58" t="s">
        <v>35</v>
      </c>
      <c r="C1184" s="58" t="s">
        <v>10</v>
      </c>
      <c r="D1184" s="76" t="str">
        <f t="shared" si="108"/>
        <v>Beef Curry</v>
      </c>
      <c r="E1184" s="58" t="s">
        <v>1560</v>
      </c>
      <c r="F1184" s="58" t="s">
        <v>2079</v>
      </c>
      <c r="G1184" s="41" t="s">
        <v>11</v>
      </c>
      <c r="H1184" s="58" t="s">
        <v>1773</v>
      </c>
      <c r="I1184" s="76"/>
      <c r="J1184" s="76"/>
      <c r="K1184" s="58" t="str">
        <f>IFERROR(VLOOKUP(L1184,'Raw material list'!$A$3:$C$715,3,0),"")</f>
        <v>DRS1-4417</v>
      </c>
      <c r="L1184" s="76" t="s">
        <v>88</v>
      </c>
      <c r="M1184" s="80" t="s">
        <v>156</v>
      </c>
      <c r="N1184" s="40" t="str">
        <f>VLOOKUP(L1184,'Raw material list'!$A$3:$E$715,5,0)</f>
        <v xml:space="preserve">Gram </v>
      </c>
      <c r="O1184" s="80">
        <v>10</v>
      </c>
      <c r="P1184" s="299">
        <f t="shared" si="104"/>
        <v>10</v>
      </c>
      <c r="Q1184" s="80">
        <v>100</v>
      </c>
      <c r="R1184" s="80">
        <v>10</v>
      </c>
      <c r="S1184" s="80"/>
      <c r="T1184" s="105">
        <f t="shared" si="101"/>
        <v>1</v>
      </c>
      <c r="U1184" s="105">
        <f t="shared" si="105"/>
        <v>1</v>
      </c>
      <c r="V1184" s="104">
        <f>IFERROR(VLOOKUP(L1184,'Raw material list'!$A$2:$S$3102,6,0),0)</f>
        <v>3.6754545454545456E-2</v>
      </c>
      <c r="W1184" s="104">
        <f t="shared" si="106"/>
        <v>3.6754545454545456E-2</v>
      </c>
    </row>
    <row r="1185" spans="1:23" hidden="1" x14ac:dyDescent="0.55000000000000004">
      <c r="A1185" s="76" t="str">
        <f t="shared" si="107"/>
        <v>RCP-SMC-000065</v>
      </c>
      <c r="B1185" s="58" t="s">
        <v>35</v>
      </c>
      <c r="C1185" s="58" t="s">
        <v>10</v>
      </c>
      <c r="D1185" s="76" t="str">
        <f t="shared" si="108"/>
        <v>Beef Curry</v>
      </c>
      <c r="E1185" s="58" t="s">
        <v>1560</v>
      </c>
      <c r="F1185" s="58" t="s">
        <v>2079</v>
      </c>
      <c r="G1185" s="41" t="s">
        <v>11</v>
      </c>
      <c r="H1185" s="58" t="s">
        <v>1773</v>
      </c>
      <c r="I1185" s="76"/>
      <c r="J1185" s="76"/>
      <c r="K1185" s="58" t="str">
        <f>IFERROR(VLOOKUP(L1185,'Raw material list'!$A$3:$C$715,3,0),"")</f>
        <v>DRS5-3619</v>
      </c>
      <c r="L1185" s="76" t="s">
        <v>134</v>
      </c>
      <c r="M1185" s="80" t="s">
        <v>156</v>
      </c>
      <c r="N1185" s="40" t="str">
        <f>VLOOKUP(L1185,'Raw material list'!$A$3:$E$715,5,0)</f>
        <v xml:space="preserve">Gram </v>
      </c>
      <c r="O1185" s="80">
        <v>150</v>
      </c>
      <c r="P1185" s="299">
        <f t="shared" si="104"/>
        <v>150</v>
      </c>
      <c r="Q1185" s="80">
        <v>100</v>
      </c>
      <c r="R1185" s="80">
        <v>10</v>
      </c>
      <c r="S1185" s="80"/>
      <c r="T1185" s="105">
        <f t="shared" si="101"/>
        <v>15</v>
      </c>
      <c r="U1185" s="105">
        <f t="shared" si="105"/>
        <v>15</v>
      </c>
      <c r="V1185" s="104">
        <f>IFERROR(VLOOKUP(L1185,'Raw material list'!$A$2:$S$3102,6,0),0)</f>
        <v>1.2857142857142857E-2</v>
      </c>
      <c r="W1185" s="104">
        <f t="shared" si="106"/>
        <v>0.19285714285714287</v>
      </c>
    </row>
    <row r="1186" spans="1:23" hidden="1" x14ac:dyDescent="0.55000000000000004">
      <c r="A1186" s="76" t="str">
        <f t="shared" si="107"/>
        <v>RCP-SMC-000065</v>
      </c>
      <c r="B1186" s="58" t="s">
        <v>35</v>
      </c>
      <c r="C1186" s="58" t="s">
        <v>10</v>
      </c>
      <c r="D1186" s="76" t="str">
        <f t="shared" si="108"/>
        <v>Beef Curry</v>
      </c>
      <c r="E1186" s="58" t="s">
        <v>1560</v>
      </c>
      <c r="F1186" s="58" t="s">
        <v>2079</v>
      </c>
      <c r="G1186" s="41" t="s">
        <v>11</v>
      </c>
      <c r="H1186" s="58" t="s">
        <v>1773</v>
      </c>
      <c r="I1186" s="76"/>
      <c r="J1186" s="76"/>
      <c r="K1186" s="58" t="str">
        <f>IFERROR(VLOOKUP(L1186,'Raw material list'!$A$3:$C$715,3,0),"")</f>
        <v>DRS6-266</v>
      </c>
      <c r="L1186" s="76" t="s">
        <v>99</v>
      </c>
      <c r="M1186" s="80" t="s">
        <v>156</v>
      </c>
      <c r="N1186" s="40" t="str">
        <f>VLOOKUP(L1186,'Raw material list'!$A$3:$E$715,5,0)</f>
        <v xml:space="preserve">Gram </v>
      </c>
      <c r="O1186" s="80">
        <v>25</v>
      </c>
      <c r="P1186" s="299">
        <f t="shared" si="104"/>
        <v>25</v>
      </c>
      <c r="Q1186" s="80">
        <v>100</v>
      </c>
      <c r="R1186" s="80">
        <v>10</v>
      </c>
      <c r="S1186" s="80"/>
      <c r="T1186" s="105">
        <f t="shared" si="101"/>
        <v>2.5</v>
      </c>
      <c r="U1186" s="105">
        <f t="shared" si="105"/>
        <v>2.5</v>
      </c>
      <c r="V1186" s="104">
        <f>IFERROR(VLOOKUP(L1186,'Raw material list'!$A$2:$S$3102,6,0),0)</f>
        <v>1.4E-2</v>
      </c>
      <c r="W1186" s="104">
        <f t="shared" si="106"/>
        <v>3.5000000000000003E-2</v>
      </c>
    </row>
    <row r="1187" spans="1:23" hidden="1" x14ac:dyDescent="0.55000000000000004">
      <c r="A1187" s="76" t="str">
        <f t="shared" si="107"/>
        <v>RCP-SMC-000065</v>
      </c>
      <c r="B1187" s="58" t="s">
        <v>35</v>
      </c>
      <c r="C1187" s="58" t="s">
        <v>10</v>
      </c>
      <c r="D1187" s="76" t="str">
        <f t="shared" si="108"/>
        <v>Beef Curry</v>
      </c>
      <c r="E1187" s="58" t="s">
        <v>1560</v>
      </c>
      <c r="F1187" s="58" t="s">
        <v>2079</v>
      </c>
      <c r="G1187" s="41" t="s">
        <v>11</v>
      </c>
      <c r="H1187" s="58" t="s">
        <v>1773</v>
      </c>
      <c r="I1187" s="76"/>
      <c r="J1187" s="76"/>
      <c r="K1187" s="58" t="str">
        <f>IFERROR(VLOOKUP(L1187,'Raw material list'!$A$3:$C$715,3,0),"")</f>
        <v>PRD1-3794</v>
      </c>
      <c r="L1187" s="76" t="s">
        <v>973</v>
      </c>
      <c r="M1187" s="80" t="s">
        <v>156</v>
      </c>
      <c r="N1187" s="40" t="str">
        <f>VLOOKUP(L1187,'Raw material list'!$A$3:$E$715,5,0)</f>
        <v xml:space="preserve">Gram </v>
      </c>
      <c r="O1187" s="80">
        <v>200</v>
      </c>
      <c r="P1187" s="299">
        <f t="shared" si="104"/>
        <v>246.91358024691357</v>
      </c>
      <c r="Q1187" s="105">
        <v>81</v>
      </c>
      <c r="R1187" s="80">
        <v>10</v>
      </c>
      <c r="S1187" s="80"/>
      <c r="T1187" s="105">
        <f t="shared" si="101"/>
        <v>20</v>
      </c>
      <c r="U1187" s="105">
        <f t="shared" si="105"/>
        <v>24.691358024691358</v>
      </c>
      <c r="V1187" s="104">
        <f>IFERROR(VLOOKUP(L1187,'Raw material list'!$A$2:$S$3102,6,0),0)</f>
        <v>4.9382716049382715E-3</v>
      </c>
      <c r="W1187" s="104">
        <f t="shared" si="106"/>
        <v>0.12193263222069806</v>
      </c>
    </row>
    <row r="1188" spans="1:23" hidden="1" x14ac:dyDescent="0.55000000000000004">
      <c r="A1188" s="76" t="str">
        <f t="shared" si="107"/>
        <v>RCP-SMC-000065</v>
      </c>
      <c r="B1188" s="58" t="s">
        <v>35</v>
      </c>
      <c r="C1188" s="58" t="s">
        <v>10</v>
      </c>
      <c r="D1188" s="76" t="str">
        <f t="shared" si="108"/>
        <v>Beef Curry</v>
      </c>
      <c r="E1188" s="58" t="s">
        <v>1560</v>
      </c>
      <c r="F1188" s="58" t="s">
        <v>2079</v>
      </c>
      <c r="G1188" s="41" t="s">
        <v>11</v>
      </c>
      <c r="H1188" s="58" t="s">
        <v>1773</v>
      </c>
      <c r="I1188" s="76"/>
      <c r="J1188" s="76"/>
      <c r="K1188" s="58" t="str">
        <f>IFERROR(VLOOKUP(L1188,'Raw material list'!$A$3:$C$715,3,0),"")</f>
        <v>TAP-00001</v>
      </c>
      <c r="L1188" s="76" t="s">
        <v>1405</v>
      </c>
      <c r="M1188" s="80" t="s">
        <v>206</v>
      </c>
      <c r="N1188" s="40" t="str">
        <f>VLOOKUP(L1188,'Raw material list'!$A$3:$E$715,5,0)</f>
        <v>Ml</v>
      </c>
      <c r="O1188" s="80">
        <v>1000</v>
      </c>
      <c r="P1188" s="299">
        <f t="shared" si="104"/>
        <v>1000</v>
      </c>
      <c r="Q1188" s="303">
        <v>100</v>
      </c>
      <c r="R1188" s="80">
        <v>10</v>
      </c>
      <c r="S1188" s="80"/>
      <c r="T1188" s="105">
        <f t="shared" si="101"/>
        <v>100</v>
      </c>
      <c r="U1188" s="105">
        <f t="shared" si="105"/>
        <v>100</v>
      </c>
      <c r="V1188" s="104">
        <f>IFERROR(VLOOKUP(L1188,'Raw material list'!$A$2:$S$3102,6,0),0)</f>
        <v>8.0000000000000007E-5</v>
      </c>
      <c r="W1188" s="104">
        <f t="shared" si="106"/>
        <v>8.0000000000000002E-3</v>
      </c>
    </row>
    <row r="1189" spans="1:23" hidden="1" x14ac:dyDescent="0.55000000000000004">
      <c r="A1189" s="76" t="str">
        <f t="shared" si="107"/>
        <v>RCP-SMC-000065</v>
      </c>
      <c r="B1189" s="58" t="s">
        <v>35</v>
      </c>
      <c r="C1189" s="58" t="s">
        <v>10</v>
      </c>
      <c r="D1189" s="76" t="str">
        <f t="shared" si="108"/>
        <v>Beef Curry</v>
      </c>
      <c r="E1189" s="58" t="s">
        <v>1560</v>
      </c>
      <c r="F1189" s="58" t="s">
        <v>2079</v>
      </c>
      <c r="G1189" s="41" t="s">
        <v>11</v>
      </c>
      <c r="H1189" s="58" t="s">
        <v>1773</v>
      </c>
      <c r="I1189" s="76"/>
      <c r="J1189" s="76"/>
      <c r="K1189" s="58" t="str">
        <f>IFERROR(VLOOKUP(L1189,'Raw material list'!$A$3:$C$715,3,0),"")</f>
        <v>DRS4-498</v>
      </c>
      <c r="L1189" s="76" t="s">
        <v>72</v>
      </c>
      <c r="M1189" s="80" t="s">
        <v>156</v>
      </c>
      <c r="N1189" s="40" t="str">
        <f>VLOOKUP(L1189,'Raw material list'!$A$3:$E$715,5,0)</f>
        <v xml:space="preserve">Gram </v>
      </c>
      <c r="O1189" s="80">
        <v>800</v>
      </c>
      <c r="P1189" s="299">
        <f t="shared" si="104"/>
        <v>800</v>
      </c>
      <c r="Q1189" s="80">
        <v>100</v>
      </c>
      <c r="R1189" s="80">
        <v>10</v>
      </c>
      <c r="S1189" s="80"/>
      <c r="T1189" s="105">
        <f t="shared" si="101"/>
        <v>80</v>
      </c>
      <c r="U1189" s="105">
        <f t="shared" si="105"/>
        <v>80</v>
      </c>
      <c r="V1189" s="104">
        <f>IFERROR(VLOOKUP(L1189,'Raw material list'!$A$2:$S$3102,6,0),0)</f>
        <v>5.7499999999999999E-3</v>
      </c>
      <c r="W1189" s="104">
        <f t="shared" si="106"/>
        <v>0.45999999999999996</v>
      </c>
    </row>
    <row r="1190" spans="1:23" hidden="1" x14ac:dyDescent="0.55000000000000004">
      <c r="A1190" s="76" t="str">
        <f t="shared" si="107"/>
        <v>RCP-SMC-000065</v>
      </c>
      <c r="B1190" s="58" t="s">
        <v>35</v>
      </c>
      <c r="C1190" s="58" t="s">
        <v>10</v>
      </c>
      <c r="D1190" s="76" t="str">
        <f t="shared" si="108"/>
        <v>Beef Curry</v>
      </c>
      <c r="E1190" s="58" t="s">
        <v>1560</v>
      </c>
      <c r="F1190" s="58" t="s">
        <v>2079</v>
      </c>
      <c r="G1190" s="41" t="s">
        <v>11</v>
      </c>
      <c r="H1190" s="58" t="s">
        <v>1773</v>
      </c>
      <c r="I1190" s="76"/>
      <c r="J1190" s="76"/>
      <c r="K1190" s="58" t="str">
        <f>IFERROR(VLOOKUP(L1190,'Raw material list'!$A$3:$C$715,3,0),"")</f>
        <v>TAP-00001</v>
      </c>
      <c r="L1190" s="76" t="s">
        <v>1405</v>
      </c>
      <c r="M1190" s="80" t="s">
        <v>206</v>
      </c>
      <c r="N1190" s="40" t="str">
        <f>VLOOKUP(L1190,'Raw material list'!$A$3:$E$715,5,0)</f>
        <v>Ml</v>
      </c>
      <c r="O1190" s="80">
        <v>1600</v>
      </c>
      <c r="P1190" s="299">
        <f t="shared" si="104"/>
        <v>1600</v>
      </c>
      <c r="Q1190" s="80">
        <v>100</v>
      </c>
      <c r="R1190" s="80">
        <v>10</v>
      </c>
      <c r="S1190" s="80"/>
      <c r="T1190" s="105">
        <f t="shared" si="101"/>
        <v>160</v>
      </c>
      <c r="U1190" s="105">
        <f t="shared" si="105"/>
        <v>160</v>
      </c>
      <c r="V1190" s="104">
        <f>IFERROR(VLOOKUP(L1190,'Raw material list'!$A$2:$S$3102,6,0),0)</f>
        <v>8.0000000000000007E-5</v>
      </c>
      <c r="W1190" s="104">
        <f t="shared" si="106"/>
        <v>1.2800000000000001E-2</v>
      </c>
    </row>
    <row r="1191" spans="1:23" hidden="1" x14ac:dyDescent="0.55000000000000004">
      <c r="A1191" s="76" t="str">
        <f t="shared" si="107"/>
        <v>RCP-SMC-000065</v>
      </c>
      <c r="B1191" s="58" t="s">
        <v>35</v>
      </c>
      <c r="C1191" s="58" t="s">
        <v>10</v>
      </c>
      <c r="D1191" s="76" t="str">
        <f t="shared" si="108"/>
        <v>Beef Curry</v>
      </c>
      <c r="E1191" s="58" t="s">
        <v>1560</v>
      </c>
      <c r="F1191" s="58" t="s">
        <v>2079</v>
      </c>
      <c r="G1191" s="41" t="s">
        <v>11</v>
      </c>
      <c r="H1191" s="58" t="s">
        <v>1773</v>
      </c>
      <c r="I1191" s="76"/>
      <c r="J1191" s="76"/>
      <c r="K1191" s="58" t="str">
        <f>IFERROR(VLOOKUP(L1191,'Raw material list'!$A$3:$C$715,3,0),"")</f>
        <v>DRS6-3593</v>
      </c>
      <c r="L1191" s="76" t="s">
        <v>1407</v>
      </c>
      <c r="M1191" s="80" t="s">
        <v>156</v>
      </c>
      <c r="N1191" s="40" t="str">
        <f>VLOOKUP(L1191,'Raw material list'!$A$3:$E$715,5,0)</f>
        <v xml:space="preserve">Gram </v>
      </c>
      <c r="O1191" s="80">
        <v>1</v>
      </c>
      <c r="P1191" s="299">
        <f t="shared" si="104"/>
        <v>1</v>
      </c>
      <c r="Q1191" s="80">
        <v>100</v>
      </c>
      <c r="R1191" s="80">
        <v>10</v>
      </c>
      <c r="S1191" s="80"/>
      <c r="T1191" s="105">
        <f t="shared" si="101"/>
        <v>0.1</v>
      </c>
      <c r="U1191" s="105">
        <f t="shared" si="105"/>
        <v>0.1</v>
      </c>
      <c r="V1191" s="104">
        <f>IFERROR(VLOOKUP(L1191,'Raw material list'!$A$2:$S$3102,6,0),0)</f>
        <v>8.0000000000000002E-3</v>
      </c>
      <c r="W1191" s="104">
        <f t="shared" si="106"/>
        <v>8.0000000000000004E-4</v>
      </c>
    </row>
    <row r="1192" spans="1:23" hidden="1" x14ac:dyDescent="0.55000000000000004">
      <c r="A1192" s="76" t="str">
        <f t="shared" si="107"/>
        <v>RCP-SMC-000065</v>
      </c>
      <c r="B1192" s="58" t="s">
        <v>35</v>
      </c>
      <c r="C1192" s="58" t="s">
        <v>10</v>
      </c>
      <c r="D1192" s="76" t="str">
        <f t="shared" si="108"/>
        <v>Beef Curry</v>
      </c>
      <c r="E1192" s="58" t="s">
        <v>1560</v>
      </c>
      <c r="F1192" s="58" t="s">
        <v>2079</v>
      </c>
      <c r="G1192" s="41" t="s">
        <v>11</v>
      </c>
      <c r="H1192" s="58" t="s">
        <v>1773</v>
      </c>
      <c r="I1192" s="76"/>
      <c r="J1192" s="76"/>
      <c r="K1192" s="58" t="str">
        <f>IFERROR(VLOOKUP(L1192,'Raw material list'!$A$3:$C$715,3,0),"")</f>
        <v>DRS6-260</v>
      </c>
      <c r="L1192" s="76" t="s">
        <v>62</v>
      </c>
      <c r="M1192" s="80" t="s">
        <v>156</v>
      </c>
      <c r="N1192" s="40" t="str">
        <f>VLOOKUP(L1192,'Raw material list'!$A$3:$E$715,5,0)</f>
        <v xml:space="preserve">Gram </v>
      </c>
      <c r="O1192" s="80">
        <v>2</v>
      </c>
      <c r="P1192" s="299">
        <f t="shared" si="104"/>
        <v>2</v>
      </c>
      <c r="Q1192" s="80">
        <v>100</v>
      </c>
      <c r="R1192" s="80">
        <v>10</v>
      </c>
      <c r="S1192" s="80"/>
      <c r="T1192" s="105">
        <f t="shared" si="101"/>
        <v>0.2</v>
      </c>
      <c r="U1192" s="105">
        <f t="shared" si="105"/>
        <v>0.2</v>
      </c>
      <c r="V1192" s="104">
        <f>IFERROR(VLOOKUP(L1192,'Raw material list'!$A$2:$S$3102,6,0),0)</f>
        <v>0.02</v>
      </c>
      <c r="W1192" s="104">
        <f t="shared" si="106"/>
        <v>4.0000000000000001E-3</v>
      </c>
    </row>
    <row r="1193" spans="1:23" hidden="1" x14ac:dyDescent="0.55000000000000004">
      <c r="A1193" s="76" t="str">
        <f t="shared" si="107"/>
        <v>RCP-SMC-000065</v>
      </c>
      <c r="B1193" s="58" t="s">
        <v>35</v>
      </c>
      <c r="C1193" s="58" t="s">
        <v>10</v>
      </c>
      <c r="D1193" s="76" t="str">
        <f t="shared" si="108"/>
        <v>Beef Curry</v>
      </c>
      <c r="E1193" s="58" t="s">
        <v>1560</v>
      </c>
      <c r="F1193" s="58" t="s">
        <v>2079</v>
      </c>
      <c r="G1193" s="41" t="s">
        <v>11</v>
      </c>
      <c r="H1193" s="58" t="s">
        <v>1773</v>
      </c>
      <c r="I1193" s="76"/>
      <c r="J1193" s="76"/>
      <c r="K1193" s="58" t="str">
        <f>IFERROR(VLOOKUP(L1193,'Raw material list'!$A$3:$C$715,3,0),"")</f>
        <v>DRS1-3880</v>
      </c>
      <c r="L1193" s="76" t="s">
        <v>1433</v>
      </c>
      <c r="M1193" s="80" t="s">
        <v>156</v>
      </c>
      <c r="N1193" s="40" t="str">
        <f>VLOOKUP(L1193,'Raw material list'!$A$3:$E$715,5,0)</f>
        <v xml:space="preserve">Gram </v>
      </c>
      <c r="O1193" s="80">
        <v>10</v>
      </c>
      <c r="P1193" s="299">
        <f t="shared" si="104"/>
        <v>10</v>
      </c>
      <c r="Q1193" s="80">
        <v>100</v>
      </c>
      <c r="R1193" s="80">
        <v>10</v>
      </c>
      <c r="S1193" s="80"/>
      <c r="T1193" s="105">
        <f t="shared" si="101"/>
        <v>1</v>
      </c>
      <c r="U1193" s="105">
        <f t="shared" si="105"/>
        <v>1</v>
      </c>
      <c r="V1193" s="104">
        <f>IFERROR(VLOOKUP(L1193,'Raw material list'!$A$2:$S$3102,6,0),0)</f>
        <v>5.0000000000000001E-4</v>
      </c>
      <c r="W1193" s="104">
        <f t="shared" si="106"/>
        <v>5.0000000000000001E-4</v>
      </c>
    </row>
    <row r="1194" spans="1:23" hidden="1" x14ac:dyDescent="0.55000000000000004">
      <c r="A1194" s="76" t="s">
        <v>1574</v>
      </c>
      <c r="B1194" s="58" t="s">
        <v>35</v>
      </c>
      <c r="C1194" s="58" t="s">
        <v>10</v>
      </c>
      <c r="D1194" s="76" t="s">
        <v>1565</v>
      </c>
      <c r="E1194" s="58" t="s">
        <v>1560</v>
      </c>
      <c r="F1194" s="58" t="s">
        <v>2081</v>
      </c>
      <c r="G1194" s="41" t="s">
        <v>11</v>
      </c>
      <c r="H1194" s="58" t="s">
        <v>1773</v>
      </c>
      <c r="I1194" s="76"/>
      <c r="J1194" s="76"/>
      <c r="K1194" s="58" t="str">
        <f>IFERROR(VLOOKUP(L1194,'Raw material list'!$A$3:$C$715,3,0),"")</f>
        <v>PLT2-1844</v>
      </c>
      <c r="L1194" s="76" t="s">
        <v>876</v>
      </c>
      <c r="M1194" s="80" t="s">
        <v>156</v>
      </c>
      <c r="N1194" s="40" t="str">
        <f>VLOOKUP(L1194,'Raw material list'!$A$3:$E$715,5,0)</f>
        <v xml:space="preserve">Gram </v>
      </c>
      <c r="O1194" s="80">
        <v>100</v>
      </c>
      <c r="P1194" s="299">
        <f t="shared" si="104"/>
        <v>122.07650273224044</v>
      </c>
      <c r="Q1194" s="40">
        <v>81.915846016114585</v>
      </c>
      <c r="R1194" s="80">
        <v>10</v>
      </c>
      <c r="S1194" s="80"/>
      <c r="T1194" s="105">
        <f t="shared" si="101"/>
        <v>10</v>
      </c>
      <c r="U1194" s="105">
        <f t="shared" si="105"/>
        <v>12.207650273224044</v>
      </c>
      <c r="V1194" s="104">
        <f>IFERROR(VLOOKUP(L1194,'Raw material list'!$A$2:$S$3102,6,0),0)</f>
        <v>1.43E-2</v>
      </c>
      <c r="W1194" s="104">
        <f t="shared" si="106"/>
        <v>0.17456939890710382</v>
      </c>
    </row>
    <row r="1195" spans="1:23" hidden="1" x14ac:dyDescent="0.55000000000000004">
      <c r="A1195" s="76" t="str">
        <f t="shared" ref="A1195:A1209" si="109">A1194</f>
        <v>RCP-SMC-000066</v>
      </c>
      <c r="B1195" s="58" t="s">
        <v>35</v>
      </c>
      <c r="C1195" s="58" t="s">
        <v>10</v>
      </c>
      <c r="D1195" s="76" t="str">
        <f t="shared" ref="D1195:D1209" si="110">D1194</f>
        <v>Chicken Saleek with Mashed Potato</v>
      </c>
      <c r="E1195" s="58" t="s">
        <v>1560</v>
      </c>
      <c r="F1195" s="58" t="s">
        <v>2079</v>
      </c>
      <c r="G1195" s="41" t="s">
        <v>11</v>
      </c>
      <c r="H1195" s="58" t="s">
        <v>1773</v>
      </c>
      <c r="I1195" s="76"/>
      <c r="J1195" s="76"/>
      <c r="K1195" s="58" t="str">
        <f>IFERROR(VLOOKUP(L1195,'Raw material list'!$A$3:$C$715,3,0),"")</f>
        <v>PRD1-4265</v>
      </c>
      <c r="L1195" s="76" t="s">
        <v>38</v>
      </c>
      <c r="M1195" s="80" t="s">
        <v>156</v>
      </c>
      <c r="N1195" s="40" t="str">
        <f>VLOOKUP(L1195,'Raw material list'!$A$3:$E$715,5,0)</f>
        <v xml:space="preserve">Gram </v>
      </c>
      <c r="O1195" s="80">
        <v>100</v>
      </c>
      <c r="P1195" s="299">
        <f t="shared" si="104"/>
        <v>117.64705882352942</v>
      </c>
      <c r="Q1195" s="105">
        <v>85</v>
      </c>
      <c r="R1195" s="80">
        <v>10</v>
      </c>
      <c r="S1195" s="80"/>
      <c r="T1195" s="105">
        <f t="shared" si="101"/>
        <v>10</v>
      </c>
      <c r="U1195" s="105">
        <f t="shared" si="105"/>
        <v>11.764705882352942</v>
      </c>
      <c r="V1195" s="104">
        <f>IFERROR(VLOOKUP(L1195,'Raw material list'!$A$2:$S$3102,6,0),0)</f>
        <v>3.529411764705882E-3</v>
      </c>
      <c r="W1195" s="104">
        <f t="shared" si="106"/>
        <v>4.1522491349480967E-2</v>
      </c>
    </row>
    <row r="1196" spans="1:23" hidden="1" x14ac:dyDescent="0.55000000000000004">
      <c r="A1196" s="76" t="str">
        <f t="shared" si="109"/>
        <v>RCP-SMC-000066</v>
      </c>
      <c r="B1196" s="58" t="s">
        <v>35</v>
      </c>
      <c r="C1196" s="58" t="s">
        <v>10</v>
      </c>
      <c r="D1196" s="76" t="str">
        <f t="shared" si="110"/>
        <v>Chicken Saleek with Mashed Potato</v>
      </c>
      <c r="E1196" s="58" t="s">
        <v>1560</v>
      </c>
      <c r="F1196" s="58" t="s">
        <v>2079</v>
      </c>
      <c r="G1196" s="41" t="s">
        <v>11</v>
      </c>
      <c r="H1196" s="58" t="s">
        <v>1773</v>
      </c>
      <c r="I1196" s="76"/>
      <c r="J1196" s="76"/>
      <c r="K1196" s="58" t="str">
        <f>IFERROR(VLOOKUP(L1196,'Raw material list'!$A$3:$C$715,3,0),"")</f>
        <v>PRD1-4327</v>
      </c>
      <c r="L1196" s="76" t="s">
        <v>39</v>
      </c>
      <c r="M1196" s="80" t="s">
        <v>156</v>
      </c>
      <c r="N1196" s="40" t="str">
        <f>VLOOKUP(L1196,'Raw material list'!$A$3:$E$715,5,0)</f>
        <v xml:space="preserve">Gram </v>
      </c>
      <c r="O1196" s="80">
        <v>20</v>
      </c>
      <c r="P1196" s="299">
        <f t="shared" si="104"/>
        <v>24.096385542168676</v>
      </c>
      <c r="Q1196" s="105">
        <v>83</v>
      </c>
      <c r="R1196" s="80">
        <v>10</v>
      </c>
      <c r="S1196" s="80"/>
      <c r="T1196" s="105">
        <f t="shared" si="101"/>
        <v>2</v>
      </c>
      <c r="U1196" s="105">
        <f t="shared" si="105"/>
        <v>2.4096385542168677</v>
      </c>
      <c r="V1196" s="104">
        <f>IFERROR(VLOOKUP(L1196,'Raw material list'!$A$2:$S$3102,6,0),0)</f>
        <v>1.2999999999999999E-2</v>
      </c>
      <c r="W1196" s="104">
        <f t="shared" si="106"/>
        <v>3.1325301204819279E-2</v>
      </c>
    </row>
    <row r="1197" spans="1:23" hidden="1" x14ac:dyDescent="0.55000000000000004">
      <c r="A1197" s="76" t="str">
        <f t="shared" si="109"/>
        <v>RCP-SMC-000066</v>
      </c>
      <c r="B1197" s="58" t="s">
        <v>35</v>
      </c>
      <c r="C1197" s="58" t="s">
        <v>10</v>
      </c>
      <c r="D1197" s="76" t="str">
        <f t="shared" si="110"/>
        <v>Chicken Saleek with Mashed Potato</v>
      </c>
      <c r="E1197" s="58" t="s">
        <v>1560</v>
      </c>
      <c r="F1197" s="58" t="s">
        <v>2079</v>
      </c>
      <c r="G1197" s="41" t="s">
        <v>11</v>
      </c>
      <c r="H1197" s="58" t="s">
        <v>1773</v>
      </c>
      <c r="I1197" s="76"/>
      <c r="J1197" s="76"/>
      <c r="K1197" s="58" t="str">
        <f>IFERROR(VLOOKUP(L1197,'Raw material list'!$A$3:$C$715,3,0),"")</f>
        <v>DRS3-1813</v>
      </c>
      <c r="L1197" s="76" t="s">
        <v>69</v>
      </c>
      <c r="M1197" s="80" t="s">
        <v>206</v>
      </c>
      <c r="N1197" s="40" t="str">
        <f>VLOOKUP(L1197,'Raw material list'!$A$3:$E$715,5,0)</f>
        <v>Ml</v>
      </c>
      <c r="O1197" s="80">
        <v>50</v>
      </c>
      <c r="P1197" s="299">
        <f t="shared" si="104"/>
        <v>50</v>
      </c>
      <c r="Q1197" s="303">
        <v>100</v>
      </c>
      <c r="R1197" s="80">
        <v>10</v>
      </c>
      <c r="S1197" s="80"/>
      <c r="T1197" s="105">
        <f t="shared" si="101"/>
        <v>5</v>
      </c>
      <c r="U1197" s="105">
        <f t="shared" si="105"/>
        <v>5</v>
      </c>
      <c r="V1197" s="104">
        <f>IFERROR(VLOOKUP(L1197,'Raw material list'!$A$2:$S$3102,6,0),0)</f>
        <v>8.0555555555555554E-3</v>
      </c>
      <c r="W1197" s="104">
        <f t="shared" si="106"/>
        <v>4.0277777777777773E-2</v>
      </c>
    </row>
    <row r="1198" spans="1:23" hidden="1" x14ac:dyDescent="0.55000000000000004">
      <c r="A1198" s="76" t="str">
        <f t="shared" si="109"/>
        <v>RCP-SMC-000066</v>
      </c>
      <c r="B1198" s="58" t="s">
        <v>35</v>
      </c>
      <c r="C1198" s="58" t="s">
        <v>10</v>
      </c>
      <c r="D1198" s="76" t="str">
        <f t="shared" si="110"/>
        <v>Chicken Saleek with Mashed Potato</v>
      </c>
      <c r="E1198" s="58" t="s">
        <v>1560</v>
      </c>
      <c r="F1198" s="58" t="s">
        <v>2079</v>
      </c>
      <c r="G1198" s="41" t="s">
        <v>11</v>
      </c>
      <c r="H1198" s="58" t="s">
        <v>1773</v>
      </c>
      <c r="I1198" s="76"/>
      <c r="J1198" s="76"/>
      <c r="K1198" s="58" t="str">
        <f>IFERROR(VLOOKUP(L1198,'Raw material list'!$A$3:$C$715,3,0),"")</f>
        <v>TAP-00001</v>
      </c>
      <c r="L1198" s="76" t="s">
        <v>1405</v>
      </c>
      <c r="M1198" s="80" t="s">
        <v>206</v>
      </c>
      <c r="N1198" s="40" t="str">
        <f>VLOOKUP(L1198,'Raw material list'!$A$3:$E$715,5,0)</f>
        <v>Ml</v>
      </c>
      <c r="O1198" s="80">
        <v>2000</v>
      </c>
      <c r="P1198" s="299">
        <f t="shared" si="104"/>
        <v>2000</v>
      </c>
      <c r="Q1198" s="80">
        <v>100</v>
      </c>
      <c r="R1198" s="80">
        <v>10</v>
      </c>
      <c r="S1198" s="80"/>
      <c r="T1198" s="105">
        <f t="shared" si="101"/>
        <v>200</v>
      </c>
      <c r="U1198" s="105">
        <f t="shared" si="105"/>
        <v>200</v>
      </c>
      <c r="V1198" s="104">
        <f>IFERROR(VLOOKUP(L1198,'Raw material list'!$A$2:$S$3102,6,0),0)</f>
        <v>8.0000000000000007E-5</v>
      </c>
      <c r="W1198" s="104">
        <f t="shared" si="106"/>
        <v>1.6E-2</v>
      </c>
    </row>
    <row r="1199" spans="1:23" hidden="1" x14ac:dyDescent="0.55000000000000004">
      <c r="A1199" s="76" t="str">
        <f t="shared" si="109"/>
        <v>RCP-SMC-000066</v>
      </c>
      <c r="B1199" s="58" t="s">
        <v>35</v>
      </c>
      <c r="C1199" s="58" t="s">
        <v>10</v>
      </c>
      <c r="D1199" s="76" t="str">
        <f t="shared" si="110"/>
        <v>Chicken Saleek with Mashed Potato</v>
      </c>
      <c r="E1199" s="58" t="s">
        <v>1560</v>
      </c>
      <c r="F1199" s="58" t="s">
        <v>2079</v>
      </c>
      <c r="G1199" s="41" t="s">
        <v>11</v>
      </c>
      <c r="H1199" s="58" t="s">
        <v>1773</v>
      </c>
      <c r="I1199" s="76"/>
      <c r="J1199" s="76"/>
      <c r="K1199" s="58" t="str">
        <f>IFERROR(VLOOKUP(L1199,'Raw material list'!$A$3:$C$715,3,0),"")</f>
        <v>DRY2-1388</v>
      </c>
      <c r="L1199" s="76" t="s">
        <v>126</v>
      </c>
      <c r="M1199" s="80" t="s">
        <v>206</v>
      </c>
      <c r="N1199" s="40" t="str">
        <f>VLOOKUP(L1199,'Raw material list'!$A$3:$E$715,5,0)</f>
        <v>Ml</v>
      </c>
      <c r="O1199" s="80">
        <v>1</v>
      </c>
      <c r="P1199" s="299">
        <f t="shared" si="104"/>
        <v>1</v>
      </c>
      <c r="Q1199" s="80">
        <v>100</v>
      </c>
      <c r="R1199" s="80">
        <v>10</v>
      </c>
      <c r="S1199" s="80"/>
      <c r="T1199" s="105">
        <f t="shared" si="101"/>
        <v>0.1</v>
      </c>
      <c r="U1199" s="105">
        <f t="shared" si="105"/>
        <v>0.1</v>
      </c>
      <c r="V1199" s="104">
        <f>IFERROR(VLOOKUP(L1199,'Raw material list'!$A$2:$S$3102,6,0),0)</f>
        <v>4.2500000000000003E-3</v>
      </c>
      <c r="W1199" s="104">
        <f t="shared" si="106"/>
        <v>4.2500000000000003E-4</v>
      </c>
    </row>
    <row r="1200" spans="1:23" hidden="1" x14ac:dyDescent="0.55000000000000004">
      <c r="A1200" s="76" t="str">
        <f t="shared" si="109"/>
        <v>RCP-SMC-000066</v>
      </c>
      <c r="B1200" s="58" t="s">
        <v>35</v>
      </c>
      <c r="C1200" s="58" t="s">
        <v>10</v>
      </c>
      <c r="D1200" s="76" t="str">
        <f t="shared" si="110"/>
        <v>Chicken Saleek with Mashed Potato</v>
      </c>
      <c r="E1200" s="58" t="s">
        <v>1560</v>
      </c>
      <c r="F1200" s="58" t="s">
        <v>2079</v>
      </c>
      <c r="G1200" s="41" t="s">
        <v>11</v>
      </c>
      <c r="H1200" s="58" t="s">
        <v>1773</v>
      </c>
      <c r="I1200" s="76"/>
      <c r="J1200" s="76"/>
      <c r="K1200" s="58" t="str">
        <f>IFERROR(VLOOKUP(L1200,'Raw material list'!$A$3:$C$715,3,0),"")</f>
        <v>DRS4-1457</v>
      </c>
      <c r="L1200" s="76" t="s">
        <v>43</v>
      </c>
      <c r="M1200" s="80" t="s">
        <v>156</v>
      </c>
      <c r="N1200" s="40" t="str">
        <f>VLOOKUP(L1200,'Raw material list'!$A$3:$E$715,5,0)</f>
        <v xml:space="preserve">Gram </v>
      </c>
      <c r="O1200" s="80">
        <v>1000</v>
      </c>
      <c r="P1200" s="299">
        <f t="shared" si="104"/>
        <v>1000</v>
      </c>
      <c r="Q1200" s="80">
        <v>100</v>
      </c>
      <c r="R1200" s="80">
        <v>10</v>
      </c>
      <c r="S1200" s="80"/>
      <c r="T1200" s="105">
        <f t="shared" si="101"/>
        <v>100</v>
      </c>
      <c r="U1200" s="105">
        <f t="shared" si="105"/>
        <v>100</v>
      </c>
      <c r="V1200" s="104">
        <f>IFERROR(VLOOKUP(L1200,'Raw material list'!$A$2:$S$3102,6,0),0)</f>
        <v>6.4999999999999997E-3</v>
      </c>
      <c r="W1200" s="104">
        <f t="shared" si="106"/>
        <v>0.65</v>
      </c>
    </row>
    <row r="1201" spans="1:23" hidden="1" x14ac:dyDescent="0.55000000000000004">
      <c r="A1201" s="76" t="str">
        <f t="shared" si="109"/>
        <v>RCP-SMC-000066</v>
      </c>
      <c r="B1201" s="58" t="s">
        <v>35</v>
      </c>
      <c r="C1201" s="58" t="s">
        <v>10</v>
      </c>
      <c r="D1201" s="76" t="str">
        <f t="shared" si="110"/>
        <v>Chicken Saleek with Mashed Potato</v>
      </c>
      <c r="E1201" s="58" t="s">
        <v>1560</v>
      </c>
      <c r="F1201" s="58" t="s">
        <v>2079</v>
      </c>
      <c r="G1201" s="41" t="s">
        <v>11</v>
      </c>
      <c r="H1201" s="58" t="s">
        <v>1773</v>
      </c>
      <c r="I1201" s="76"/>
      <c r="J1201" s="76"/>
      <c r="K1201" s="58" t="str">
        <f>IFERROR(VLOOKUP(L1201,'Raw material list'!$A$3:$C$715,3,0),"")</f>
        <v>DRS1-3880</v>
      </c>
      <c r="L1201" s="76" t="s">
        <v>1433</v>
      </c>
      <c r="M1201" s="80" t="s">
        <v>156</v>
      </c>
      <c r="N1201" s="40" t="str">
        <f>VLOOKUP(L1201,'Raw material list'!$A$3:$E$715,5,0)</f>
        <v xml:space="preserve">Gram </v>
      </c>
      <c r="O1201" s="80">
        <v>10</v>
      </c>
      <c r="P1201" s="299">
        <f t="shared" si="104"/>
        <v>10</v>
      </c>
      <c r="Q1201" s="80">
        <v>100</v>
      </c>
      <c r="R1201" s="80">
        <v>10</v>
      </c>
      <c r="S1201" s="80"/>
      <c r="T1201" s="105">
        <f t="shared" si="101"/>
        <v>1</v>
      </c>
      <c r="U1201" s="105">
        <f t="shared" si="105"/>
        <v>1</v>
      </c>
      <c r="V1201" s="104">
        <f>IFERROR(VLOOKUP(L1201,'Raw material list'!$A$2:$S$3102,6,0),0)</f>
        <v>5.0000000000000001E-4</v>
      </c>
      <c r="W1201" s="104">
        <f t="shared" si="106"/>
        <v>5.0000000000000001E-4</v>
      </c>
    </row>
    <row r="1202" spans="1:23" hidden="1" x14ac:dyDescent="0.55000000000000004">
      <c r="A1202" s="76" t="str">
        <f t="shared" si="109"/>
        <v>RCP-SMC-000066</v>
      </c>
      <c r="B1202" s="58" t="s">
        <v>35</v>
      </c>
      <c r="C1202" s="58" t="s">
        <v>10</v>
      </c>
      <c r="D1202" s="76" t="str">
        <f t="shared" si="110"/>
        <v>Chicken Saleek with Mashed Potato</v>
      </c>
      <c r="E1202" s="58" t="s">
        <v>1560</v>
      </c>
      <c r="F1202" s="58" t="s">
        <v>2079</v>
      </c>
      <c r="G1202" s="41" t="s">
        <v>11</v>
      </c>
      <c r="H1202" s="58" t="s">
        <v>1773</v>
      </c>
      <c r="I1202" s="76"/>
      <c r="J1202" s="76"/>
      <c r="K1202" s="58" t="str">
        <f>IFERROR(VLOOKUP(L1202,'Raw material list'!$A$3:$C$715,3,0),"")</f>
        <v>DRS6-309</v>
      </c>
      <c r="L1202" s="76" t="s">
        <v>61</v>
      </c>
      <c r="M1202" s="80" t="s">
        <v>156</v>
      </c>
      <c r="N1202" s="40" t="str">
        <f>VLOOKUP(L1202,'Raw material list'!$A$3:$E$715,5,0)</f>
        <v xml:space="preserve">Gram </v>
      </c>
      <c r="O1202" s="80">
        <v>3</v>
      </c>
      <c r="P1202" s="299">
        <f t="shared" si="104"/>
        <v>3</v>
      </c>
      <c r="Q1202" s="80">
        <v>100</v>
      </c>
      <c r="R1202" s="80">
        <v>10</v>
      </c>
      <c r="S1202" s="80"/>
      <c r="T1202" s="105">
        <f t="shared" si="101"/>
        <v>0.3</v>
      </c>
      <c r="U1202" s="105">
        <f t="shared" si="105"/>
        <v>0.3</v>
      </c>
      <c r="V1202" s="104">
        <f>IFERROR(VLOOKUP(L1202,'Raw material list'!$A$2:$S$3102,6,0),0)</f>
        <v>2.8000000000000001E-2</v>
      </c>
      <c r="W1202" s="104">
        <f t="shared" si="106"/>
        <v>8.3999999999999995E-3</v>
      </c>
    </row>
    <row r="1203" spans="1:23" hidden="1" x14ac:dyDescent="0.55000000000000004">
      <c r="A1203" s="76" t="str">
        <f t="shared" si="109"/>
        <v>RCP-SMC-000066</v>
      </c>
      <c r="B1203" s="58" t="s">
        <v>35</v>
      </c>
      <c r="C1203" s="58" t="s">
        <v>10</v>
      </c>
      <c r="D1203" s="76" t="str">
        <f t="shared" si="110"/>
        <v>Chicken Saleek with Mashed Potato</v>
      </c>
      <c r="E1203" s="58" t="s">
        <v>1560</v>
      </c>
      <c r="F1203" s="58" t="s">
        <v>2079</v>
      </c>
      <c r="G1203" s="41" t="s">
        <v>11</v>
      </c>
      <c r="H1203" s="58" t="s">
        <v>1773</v>
      </c>
      <c r="I1203" s="76"/>
      <c r="J1203" s="76"/>
      <c r="K1203" s="58" t="str">
        <f>IFERROR(VLOOKUP(L1203,'Raw material list'!$A$3:$C$715,3,0),"")</f>
        <v>DRS1-3811</v>
      </c>
      <c r="L1203" s="76" t="s">
        <v>40</v>
      </c>
      <c r="M1203" s="80" t="s">
        <v>156</v>
      </c>
      <c r="N1203" s="40" t="str">
        <f>VLOOKUP(L1203,'Raw material list'!$A$3:$E$715,5,0)</f>
        <v xml:space="preserve">Gram </v>
      </c>
      <c r="O1203" s="80">
        <v>30</v>
      </c>
      <c r="P1203" s="299">
        <f t="shared" si="104"/>
        <v>30</v>
      </c>
      <c r="Q1203" s="80">
        <v>100</v>
      </c>
      <c r="R1203" s="80">
        <v>10</v>
      </c>
      <c r="S1203" s="80"/>
      <c r="T1203" s="105">
        <f t="shared" si="101"/>
        <v>3</v>
      </c>
      <c r="U1203" s="105">
        <f t="shared" si="105"/>
        <v>3</v>
      </c>
      <c r="V1203" s="104">
        <f>IFERROR(VLOOKUP(L1203,'Raw material list'!$A$2:$S$3102,6,0),0)</f>
        <v>2.8475E-2</v>
      </c>
      <c r="W1203" s="104">
        <f t="shared" si="106"/>
        <v>8.5425000000000001E-2</v>
      </c>
    </row>
    <row r="1204" spans="1:23" hidden="1" x14ac:dyDescent="0.55000000000000004">
      <c r="A1204" s="76" t="str">
        <f t="shared" si="109"/>
        <v>RCP-SMC-000066</v>
      </c>
      <c r="B1204" s="58" t="s">
        <v>35</v>
      </c>
      <c r="C1204" s="58" t="s">
        <v>10</v>
      </c>
      <c r="D1204" s="76" t="str">
        <f t="shared" si="110"/>
        <v>Chicken Saleek with Mashed Potato</v>
      </c>
      <c r="E1204" s="58" t="s">
        <v>1560</v>
      </c>
      <c r="F1204" s="58" t="s">
        <v>2079</v>
      </c>
      <c r="G1204" s="41" t="s">
        <v>11</v>
      </c>
      <c r="H1204" s="58" t="s">
        <v>1773</v>
      </c>
      <c r="I1204" s="76"/>
      <c r="J1204" s="76"/>
      <c r="K1204" s="58" t="str">
        <f>IFERROR(VLOOKUP(L1204,'Raw material list'!$A$3:$C$715,3,0),"")</f>
        <v>DRS5-3866</v>
      </c>
      <c r="L1204" s="76" t="s">
        <v>64</v>
      </c>
      <c r="M1204" s="80" t="s">
        <v>156</v>
      </c>
      <c r="N1204" s="40" t="str">
        <f>VLOOKUP(L1204,'Raw material list'!$A$3:$E$715,5,0)</f>
        <v xml:space="preserve">Gram </v>
      </c>
      <c r="O1204" s="80">
        <v>300</v>
      </c>
      <c r="P1204" s="299">
        <f t="shared" si="104"/>
        <v>300</v>
      </c>
      <c r="Q1204" s="80">
        <v>100</v>
      </c>
      <c r="R1204" s="80">
        <v>10</v>
      </c>
      <c r="S1204" s="80"/>
      <c r="T1204" s="105">
        <f t="shared" si="101"/>
        <v>30</v>
      </c>
      <c r="U1204" s="105">
        <f t="shared" si="105"/>
        <v>30</v>
      </c>
      <c r="V1204" s="104">
        <f>IFERROR(VLOOKUP(L1204,'Raw material list'!$A$2:$S$3102,6,0),0)</f>
        <v>0.02</v>
      </c>
      <c r="W1204" s="104">
        <f t="shared" si="106"/>
        <v>0.6</v>
      </c>
    </row>
    <row r="1205" spans="1:23" hidden="1" x14ac:dyDescent="0.55000000000000004">
      <c r="A1205" s="76" t="str">
        <f t="shared" si="109"/>
        <v>RCP-SMC-000066</v>
      </c>
      <c r="B1205" s="58" t="s">
        <v>35</v>
      </c>
      <c r="C1205" s="58" t="s">
        <v>10</v>
      </c>
      <c r="D1205" s="76" t="str">
        <f t="shared" si="110"/>
        <v>Chicken Saleek with Mashed Potato</v>
      </c>
      <c r="E1205" s="58" t="s">
        <v>1560</v>
      </c>
      <c r="F1205" s="58" t="s">
        <v>2079</v>
      </c>
      <c r="G1205" s="41" t="s">
        <v>11</v>
      </c>
      <c r="H1205" s="58" t="s">
        <v>1773</v>
      </c>
      <c r="I1205" s="76"/>
      <c r="J1205" s="76"/>
      <c r="K1205" s="58" t="str">
        <f>IFERROR(VLOOKUP(L1205,'Raw material list'!$A$3:$C$715,3,0),"")</f>
        <v>PRD1-186</v>
      </c>
      <c r="L1205" s="76" t="s">
        <v>37</v>
      </c>
      <c r="M1205" s="80" t="s">
        <v>156</v>
      </c>
      <c r="N1205" s="40" t="str">
        <f>VLOOKUP(L1205,'Raw material list'!$A$3:$E$715,5,0)</f>
        <v xml:space="preserve">Gram </v>
      </c>
      <c r="O1205" s="80">
        <v>1000</v>
      </c>
      <c r="P1205" s="299">
        <f t="shared" si="104"/>
        <v>1224.4897959183672</v>
      </c>
      <c r="Q1205" s="105">
        <v>81.666666666666671</v>
      </c>
      <c r="R1205" s="80">
        <v>10</v>
      </c>
      <c r="S1205" s="80"/>
      <c r="T1205" s="105">
        <f t="shared" si="101"/>
        <v>100</v>
      </c>
      <c r="U1205" s="105">
        <f t="shared" si="105"/>
        <v>122.44897959183672</v>
      </c>
      <c r="V1205" s="104">
        <f>IFERROR(VLOOKUP(L1205,'Raw material list'!$A$2:$S$3102,6,0),0)</f>
        <v>5.8139534883720938E-3</v>
      </c>
      <c r="W1205" s="104">
        <f t="shared" si="106"/>
        <v>0.71191267204556241</v>
      </c>
    </row>
    <row r="1206" spans="1:23" hidden="1" x14ac:dyDescent="0.55000000000000004">
      <c r="A1206" s="76" t="str">
        <f t="shared" si="109"/>
        <v>RCP-SMC-000066</v>
      </c>
      <c r="B1206" s="58" t="s">
        <v>35</v>
      </c>
      <c r="C1206" s="58" t="s">
        <v>10</v>
      </c>
      <c r="D1206" s="76" t="str">
        <f t="shared" si="110"/>
        <v>Chicken Saleek with Mashed Potato</v>
      </c>
      <c r="E1206" s="58" t="s">
        <v>1560</v>
      </c>
      <c r="F1206" s="58" t="s">
        <v>2079</v>
      </c>
      <c r="G1206" s="41" t="s">
        <v>11</v>
      </c>
      <c r="H1206" s="58" t="s">
        <v>1773</v>
      </c>
      <c r="I1206" s="76"/>
      <c r="J1206" s="76"/>
      <c r="K1206" s="58" t="str">
        <f>IFERROR(VLOOKUP(L1206,'Raw material list'!$A$3:$C$715,3,0),"")</f>
        <v>TAP-00001</v>
      </c>
      <c r="L1206" s="76" t="s">
        <v>1405</v>
      </c>
      <c r="M1206" s="80" t="s">
        <v>206</v>
      </c>
      <c r="N1206" s="40" t="str">
        <f>VLOOKUP(L1206,'Raw material list'!$A$3:$E$715,5,0)</f>
        <v>Ml</v>
      </c>
      <c r="O1206" s="80">
        <v>3000</v>
      </c>
      <c r="P1206" s="299">
        <f t="shared" si="104"/>
        <v>3000</v>
      </c>
      <c r="Q1206" s="303">
        <v>100</v>
      </c>
      <c r="R1206" s="80">
        <v>10</v>
      </c>
      <c r="S1206" s="80"/>
      <c r="T1206" s="105">
        <f t="shared" ref="T1206:T1269" si="111">IFERROR(O1206/R1206,0)</f>
        <v>300</v>
      </c>
      <c r="U1206" s="105">
        <f t="shared" si="105"/>
        <v>300</v>
      </c>
      <c r="V1206" s="104">
        <f>IFERROR(VLOOKUP(L1206,'Raw material list'!$A$2:$S$3102,6,0),0)</f>
        <v>8.0000000000000007E-5</v>
      </c>
      <c r="W1206" s="104">
        <f t="shared" si="106"/>
        <v>2.4E-2</v>
      </c>
    </row>
    <row r="1207" spans="1:23" hidden="1" x14ac:dyDescent="0.55000000000000004">
      <c r="A1207" s="76" t="str">
        <f t="shared" si="109"/>
        <v>RCP-SMC-000066</v>
      </c>
      <c r="B1207" s="58" t="s">
        <v>35</v>
      </c>
      <c r="C1207" s="58" t="s">
        <v>10</v>
      </c>
      <c r="D1207" s="76" t="str">
        <f t="shared" si="110"/>
        <v>Chicken Saleek with Mashed Potato</v>
      </c>
      <c r="E1207" s="58" t="s">
        <v>1560</v>
      </c>
      <c r="F1207" s="58" t="s">
        <v>2079</v>
      </c>
      <c r="G1207" s="41" t="s">
        <v>11</v>
      </c>
      <c r="H1207" s="58" t="s">
        <v>1773</v>
      </c>
      <c r="I1207" s="76"/>
      <c r="J1207" s="76"/>
      <c r="K1207" s="58" t="str">
        <f>IFERROR(VLOOKUP(L1207,'Raw material list'!$A$3:$C$715,3,0),"")</f>
        <v>DRS6-309</v>
      </c>
      <c r="L1207" s="76" t="s">
        <v>61</v>
      </c>
      <c r="M1207" s="80" t="s">
        <v>156</v>
      </c>
      <c r="N1207" s="40" t="str">
        <f>VLOOKUP(L1207,'Raw material list'!$A$3:$E$715,5,0)</f>
        <v xml:space="preserve">Gram </v>
      </c>
      <c r="O1207" s="80">
        <v>3</v>
      </c>
      <c r="P1207" s="299">
        <f t="shared" si="104"/>
        <v>3</v>
      </c>
      <c r="Q1207" s="80">
        <v>100</v>
      </c>
      <c r="R1207" s="80">
        <v>10</v>
      </c>
      <c r="S1207" s="80"/>
      <c r="T1207" s="105">
        <f t="shared" si="111"/>
        <v>0.3</v>
      </c>
      <c r="U1207" s="105">
        <f t="shared" si="105"/>
        <v>0.3</v>
      </c>
      <c r="V1207" s="104">
        <f>IFERROR(VLOOKUP(L1207,'Raw material list'!$A$2:$S$3102,6,0),0)</f>
        <v>2.8000000000000001E-2</v>
      </c>
      <c r="W1207" s="104">
        <f t="shared" si="106"/>
        <v>8.3999999999999995E-3</v>
      </c>
    </row>
    <row r="1208" spans="1:23" hidden="1" x14ac:dyDescent="0.55000000000000004">
      <c r="A1208" s="76" t="str">
        <f t="shared" si="109"/>
        <v>RCP-SMC-000066</v>
      </c>
      <c r="B1208" s="58" t="s">
        <v>35</v>
      </c>
      <c r="C1208" s="58" t="s">
        <v>10</v>
      </c>
      <c r="D1208" s="76" t="str">
        <f t="shared" si="110"/>
        <v>Chicken Saleek with Mashed Potato</v>
      </c>
      <c r="E1208" s="58" t="s">
        <v>1560</v>
      </c>
      <c r="F1208" s="58" t="s">
        <v>2079</v>
      </c>
      <c r="G1208" s="41" t="s">
        <v>11</v>
      </c>
      <c r="H1208" s="58" t="s">
        <v>1773</v>
      </c>
      <c r="I1208" s="76"/>
      <c r="J1208" s="76"/>
      <c r="K1208" s="58" t="str">
        <f>IFERROR(VLOOKUP(L1208,'Raw material list'!$A$3:$C$715,3,0),"")</f>
        <v>DRS1-3880</v>
      </c>
      <c r="L1208" s="76" t="s">
        <v>1433</v>
      </c>
      <c r="M1208" s="80" t="s">
        <v>156</v>
      </c>
      <c r="N1208" s="40" t="str">
        <f>VLOOKUP(L1208,'Raw material list'!$A$3:$E$715,5,0)</f>
        <v xml:space="preserve">Gram </v>
      </c>
      <c r="O1208" s="80">
        <v>30</v>
      </c>
      <c r="P1208" s="299">
        <f t="shared" si="104"/>
        <v>30</v>
      </c>
      <c r="Q1208" s="80">
        <v>100</v>
      </c>
      <c r="R1208" s="80">
        <v>10</v>
      </c>
      <c r="S1208" s="80"/>
      <c r="T1208" s="105">
        <f t="shared" si="111"/>
        <v>3</v>
      </c>
      <c r="U1208" s="105">
        <f t="shared" si="105"/>
        <v>3</v>
      </c>
      <c r="V1208" s="104">
        <f>IFERROR(VLOOKUP(L1208,'Raw material list'!$A$2:$S$3102,6,0),0)</f>
        <v>5.0000000000000001E-4</v>
      </c>
      <c r="W1208" s="104">
        <f t="shared" si="106"/>
        <v>1.5E-3</v>
      </c>
    </row>
    <row r="1209" spans="1:23" hidden="1" x14ac:dyDescent="0.55000000000000004">
      <c r="A1209" s="76" t="str">
        <f t="shared" si="109"/>
        <v>RCP-SMC-000066</v>
      </c>
      <c r="B1209" s="58" t="s">
        <v>35</v>
      </c>
      <c r="C1209" s="58" t="s">
        <v>10</v>
      </c>
      <c r="D1209" s="76" t="str">
        <f t="shared" si="110"/>
        <v>Chicken Saleek with Mashed Potato</v>
      </c>
      <c r="E1209" s="58" t="s">
        <v>1560</v>
      </c>
      <c r="F1209" s="58" t="s">
        <v>2079</v>
      </c>
      <c r="G1209" s="41" t="s">
        <v>11</v>
      </c>
      <c r="H1209" s="58" t="s">
        <v>1773</v>
      </c>
      <c r="I1209" s="76"/>
      <c r="J1209" s="76"/>
      <c r="K1209" s="58" t="str">
        <f>IFERROR(VLOOKUP(L1209,'Raw material list'!$A$3:$C$715,3,0),"")</f>
        <v>DRY2-1858</v>
      </c>
      <c r="L1209" s="76" t="s">
        <v>60</v>
      </c>
      <c r="M1209" s="80" t="s">
        <v>206</v>
      </c>
      <c r="N1209" s="40" t="str">
        <f>VLOOKUP(L1209,'Raw material list'!$A$3:$E$715,5,0)</f>
        <v>Ml</v>
      </c>
      <c r="O1209" s="80">
        <v>100</v>
      </c>
      <c r="P1209" s="299">
        <f t="shared" si="104"/>
        <v>100</v>
      </c>
      <c r="Q1209" s="80">
        <v>100</v>
      </c>
      <c r="R1209" s="80">
        <v>10</v>
      </c>
      <c r="S1209" s="80"/>
      <c r="T1209" s="105">
        <f t="shared" si="111"/>
        <v>10</v>
      </c>
      <c r="U1209" s="105">
        <f t="shared" si="105"/>
        <v>10</v>
      </c>
      <c r="V1209" s="104">
        <f>IFERROR(VLOOKUP(L1209,'Raw material list'!$A$2:$S$3102,6,0),0)</f>
        <v>9.8800000000000016E-3</v>
      </c>
      <c r="W1209" s="104">
        <f t="shared" si="106"/>
        <v>9.8800000000000013E-2</v>
      </c>
    </row>
    <row r="1210" spans="1:23" hidden="1" x14ac:dyDescent="0.55000000000000004">
      <c r="A1210" s="76" t="s">
        <v>1575</v>
      </c>
      <c r="B1210" s="58" t="s">
        <v>35</v>
      </c>
      <c r="C1210" s="58" t="s">
        <v>10</v>
      </c>
      <c r="D1210" s="76" t="s">
        <v>1566</v>
      </c>
      <c r="E1210" s="58" t="s">
        <v>1560</v>
      </c>
      <c r="F1210" s="58" t="s">
        <v>2081</v>
      </c>
      <c r="G1210" s="41" t="s">
        <v>11</v>
      </c>
      <c r="H1210" s="58" t="s">
        <v>1774</v>
      </c>
      <c r="I1210" s="76"/>
      <c r="J1210" s="76"/>
      <c r="K1210" s="58" t="str">
        <f>IFERROR(VLOOKUP(L1210,'Raw material list'!$A$3:$C$715,3,0),"")</f>
        <v>PLT2-3278</v>
      </c>
      <c r="L1210" s="76" t="s">
        <v>80</v>
      </c>
      <c r="M1210" s="80" t="s">
        <v>156</v>
      </c>
      <c r="N1210" s="40" t="str">
        <f>VLOOKUP(L1210,'Raw material list'!$A$3:$E$715,5,0)</f>
        <v xml:space="preserve">Gram </v>
      </c>
      <c r="O1210" s="80">
        <v>1000</v>
      </c>
      <c r="P1210" s="299">
        <f t="shared" si="104"/>
        <v>1312.3359580052493</v>
      </c>
      <c r="Q1210" s="80">
        <v>76.2</v>
      </c>
      <c r="R1210" s="80">
        <v>15</v>
      </c>
      <c r="S1210" s="80"/>
      <c r="T1210" s="105">
        <f t="shared" si="111"/>
        <v>66.666666666666671</v>
      </c>
      <c r="U1210" s="105">
        <f t="shared" si="105"/>
        <v>87.489063867016611</v>
      </c>
      <c r="V1210" s="104">
        <f>IFERROR(VLOOKUP(L1210,'Raw material list'!$A$2:$S$3102,6,0),0)</f>
        <v>3.0357142857142853E-2</v>
      </c>
      <c r="W1210" s="104">
        <f t="shared" si="106"/>
        <v>2.6559180102487181</v>
      </c>
    </row>
    <row r="1211" spans="1:23" hidden="1" x14ac:dyDescent="0.55000000000000004">
      <c r="A1211" s="76" t="str">
        <f t="shared" ref="A1211:A1221" si="112">A1210</f>
        <v>RCP-SMC-000067</v>
      </c>
      <c r="B1211" s="58" t="s">
        <v>35</v>
      </c>
      <c r="C1211" s="58" t="s">
        <v>10</v>
      </c>
      <c r="D1211" s="76" t="str">
        <f t="shared" ref="D1211:D1221" si="113">D1210</f>
        <v>Chicken &amp; Vegetables puree lunch</v>
      </c>
      <c r="E1211" s="58" t="s">
        <v>1560</v>
      </c>
      <c r="F1211" s="58" t="s">
        <v>2079</v>
      </c>
      <c r="G1211" s="41" t="s">
        <v>11</v>
      </c>
      <c r="H1211" s="58" t="s">
        <v>1774</v>
      </c>
      <c r="I1211" s="76"/>
      <c r="J1211" s="76"/>
      <c r="K1211" s="58" t="str">
        <f>IFERROR(VLOOKUP(L1211,'Raw material list'!$A$3:$C$715,3,0),"")</f>
        <v>DRS4-1457</v>
      </c>
      <c r="L1211" s="76" t="s">
        <v>43</v>
      </c>
      <c r="M1211" s="80" t="s">
        <v>156</v>
      </c>
      <c r="N1211" s="40" t="str">
        <f>VLOOKUP(L1211,'Raw material list'!$A$3:$E$715,5,0)</f>
        <v xml:space="preserve">Gram </v>
      </c>
      <c r="O1211" s="80">
        <v>1000</v>
      </c>
      <c r="P1211" s="299">
        <f t="shared" si="104"/>
        <v>1000</v>
      </c>
      <c r="Q1211" s="80">
        <v>100</v>
      </c>
      <c r="R1211" s="80">
        <v>15</v>
      </c>
      <c r="S1211" s="80"/>
      <c r="T1211" s="105">
        <f t="shared" si="111"/>
        <v>66.666666666666671</v>
      </c>
      <c r="U1211" s="105">
        <f t="shared" si="105"/>
        <v>66.666666666666671</v>
      </c>
      <c r="V1211" s="104">
        <f>IFERROR(VLOOKUP(L1211,'Raw material list'!$A$2:$S$3102,6,0),0)</f>
        <v>6.4999999999999997E-3</v>
      </c>
      <c r="W1211" s="104">
        <f t="shared" si="106"/>
        <v>0.43333333333333335</v>
      </c>
    </row>
    <row r="1212" spans="1:23" hidden="1" x14ac:dyDescent="0.55000000000000004">
      <c r="A1212" s="76" t="str">
        <f t="shared" si="112"/>
        <v>RCP-SMC-000067</v>
      </c>
      <c r="B1212" s="58" t="s">
        <v>35</v>
      </c>
      <c r="C1212" s="58" t="s">
        <v>10</v>
      </c>
      <c r="D1212" s="76" t="str">
        <f t="shared" si="113"/>
        <v>Chicken &amp; Vegetables puree lunch</v>
      </c>
      <c r="E1212" s="58" t="s">
        <v>1560</v>
      </c>
      <c r="F1212" s="58" t="s">
        <v>2079</v>
      </c>
      <c r="G1212" s="41" t="s">
        <v>11</v>
      </c>
      <c r="H1212" s="58" t="s">
        <v>1774</v>
      </c>
      <c r="I1212" s="76"/>
      <c r="J1212" s="76"/>
      <c r="K1212" s="58" t="str">
        <f>IFERROR(VLOOKUP(L1212,'Raw material list'!$A$3:$C$715,3,0),"")</f>
        <v>TAP-00001</v>
      </c>
      <c r="L1212" s="76" t="s">
        <v>1405</v>
      </c>
      <c r="M1212" s="80" t="s">
        <v>206</v>
      </c>
      <c r="N1212" s="40" t="str">
        <f>VLOOKUP(L1212,'Raw material list'!$A$3:$E$715,5,0)</f>
        <v>Ml</v>
      </c>
      <c r="O1212" s="80">
        <v>5000</v>
      </c>
      <c r="P1212" s="299">
        <f t="shared" si="104"/>
        <v>5000</v>
      </c>
      <c r="Q1212" s="80">
        <v>100</v>
      </c>
      <c r="R1212" s="80">
        <v>15</v>
      </c>
      <c r="S1212" s="80"/>
      <c r="T1212" s="105">
        <f t="shared" si="111"/>
        <v>333.33333333333331</v>
      </c>
      <c r="U1212" s="105">
        <f t="shared" si="105"/>
        <v>333.33333333333331</v>
      </c>
      <c r="V1212" s="104">
        <f>IFERROR(VLOOKUP(L1212,'Raw material list'!$A$2:$S$3102,6,0),0)</f>
        <v>8.0000000000000007E-5</v>
      </c>
      <c r="W1212" s="104">
        <f t="shared" si="106"/>
        <v>2.6666666666666668E-2</v>
      </c>
    </row>
    <row r="1213" spans="1:23" hidden="1" x14ac:dyDescent="0.55000000000000004">
      <c r="A1213" s="76" t="str">
        <f t="shared" si="112"/>
        <v>RCP-SMC-000067</v>
      </c>
      <c r="B1213" s="58" t="s">
        <v>35</v>
      </c>
      <c r="C1213" s="58" t="s">
        <v>10</v>
      </c>
      <c r="D1213" s="76" t="str">
        <f t="shared" si="113"/>
        <v>Chicken &amp; Vegetables puree lunch</v>
      </c>
      <c r="E1213" s="58" t="s">
        <v>1560</v>
      </c>
      <c r="F1213" s="58" t="s">
        <v>2079</v>
      </c>
      <c r="G1213" s="41" t="s">
        <v>11</v>
      </c>
      <c r="H1213" s="58" t="s">
        <v>1774</v>
      </c>
      <c r="I1213" s="76"/>
      <c r="J1213" s="76"/>
      <c r="K1213" s="58" t="str">
        <f>IFERROR(VLOOKUP(L1213,'Raw material list'!$A$3:$C$715,3,0),"")</f>
        <v>PRD1-186</v>
      </c>
      <c r="L1213" s="76" t="s">
        <v>37</v>
      </c>
      <c r="M1213" s="80" t="s">
        <v>156</v>
      </c>
      <c r="N1213" s="40" t="str">
        <f>VLOOKUP(L1213,'Raw material list'!$A$3:$E$715,5,0)</f>
        <v xml:space="preserve">Gram </v>
      </c>
      <c r="O1213" s="80">
        <v>100</v>
      </c>
      <c r="P1213" s="299">
        <f t="shared" si="104"/>
        <v>122.44897959183673</v>
      </c>
      <c r="Q1213" s="105">
        <v>81.666666666666671</v>
      </c>
      <c r="R1213" s="80">
        <v>15</v>
      </c>
      <c r="S1213" s="80"/>
      <c r="T1213" s="105">
        <f t="shared" si="111"/>
        <v>6.666666666666667</v>
      </c>
      <c r="U1213" s="105">
        <f t="shared" si="105"/>
        <v>8.1632653061224492</v>
      </c>
      <c r="V1213" s="104">
        <f>IFERROR(VLOOKUP(L1213,'Raw material list'!$A$2:$S$3102,6,0),0)</f>
        <v>5.8139534883720938E-3</v>
      </c>
      <c r="W1213" s="104">
        <f t="shared" si="106"/>
        <v>4.74608448030375E-2</v>
      </c>
    </row>
    <row r="1214" spans="1:23" hidden="1" x14ac:dyDescent="0.55000000000000004">
      <c r="A1214" s="76" t="str">
        <f t="shared" si="112"/>
        <v>RCP-SMC-000067</v>
      </c>
      <c r="B1214" s="58" t="s">
        <v>35</v>
      </c>
      <c r="C1214" s="58" t="s">
        <v>10</v>
      </c>
      <c r="D1214" s="76" t="str">
        <f t="shared" si="113"/>
        <v>Chicken &amp; Vegetables puree lunch</v>
      </c>
      <c r="E1214" s="58" t="s">
        <v>1560</v>
      </c>
      <c r="F1214" s="58" t="s">
        <v>2079</v>
      </c>
      <c r="G1214" s="41" t="s">
        <v>11</v>
      </c>
      <c r="H1214" s="58" t="s">
        <v>1774</v>
      </c>
      <c r="I1214" s="76"/>
      <c r="J1214" s="76"/>
      <c r="K1214" s="58" t="str">
        <f>IFERROR(VLOOKUP(L1214,'Raw material list'!$A$3:$C$715,3,0),"")</f>
        <v>PRD1-232</v>
      </c>
      <c r="L1214" s="76" t="s">
        <v>116</v>
      </c>
      <c r="M1214" s="80" t="s">
        <v>156</v>
      </c>
      <c r="N1214" s="40" t="str">
        <f>VLOOKUP(L1214,'Raw material list'!$A$3:$E$715,5,0)</f>
        <v xml:space="preserve">Gram </v>
      </c>
      <c r="O1214" s="80">
        <v>100</v>
      </c>
      <c r="P1214" s="299">
        <f t="shared" si="104"/>
        <v>138.88888888888889</v>
      </c>
      <c r="Q1214" s="105">
        <v>72</v>
      </c>
      <c r="R1214" s="80">
        <v>15</v>
      </c>
      <c r="S1214" s="80"/>
      <c r="T1214" s="105">
        <f t="shared" si="111"/>
        <v>6.666666666666667</v>
      </c>
      <c r="U1214" s="105">
        <f t="shared" si="105"/>
        <v>9.2592592592592595</v>
      </c>
      <c r="V1214" s="104">
        <f>IFERROR(VLOOKUP(L1214,'Raw material list'!$A$2:$S$3102,6,0),0)</f>
        <v>4.4444444444444444E-3</v>
      </c>
      <c r="W1214" s="104">
        <f t="shared" si="106"/>
        <v>4.1152263374485597E-2</v>
      </c>
    </row>
    <row r="1215" spans="1:23" hidden="1" x14ac:dyDescent="0.55000000000000004">
      <c r="A1215" s="76" t="str">
        <f t="shared" si="112"/>
        <v>RCP-SMC-000067</v>
      </c>
      <c r="B1215" s="58" t="s">
        <v>35</v>
      </c>
      <c r="C1215" s="58" t="s">
        <v>10</v>
      </c>
      <c r="D1215" s="76" t="str">
        <f t="shared" si="113"/>
        <v>Chicken &amp; Vegetables puree lunch</v>
      </c>
      <c r="E1215" s="58" t="s">
        <v>1560</v>
      </c>
      <c r="F1215" s="58" t="s">
        <v>2079</v>
      </c>
      <c r="G1215" s="41" t="s">
        <v>11</v>
      </c>
      <c r="H1215" s="58" t="s">
        <v>1774</v>
      </c>
      <c r="I1215" s="76"/>
      <c r="J1215" s="76"/>
      <c r="K1215" s="58" t="str">
        <f>IFERROR(VLOOKUP(L1215,'Raw material list'!$A$3:$C$715,3,0),"")</f>
        <v>TAP-00001</v>
      </c>
      <c r="L1215" s="76" t="s">
        <v>1405</v>
      </c>
      <c r="M1215" s="80" t="s">
        <v>206</v>
      </c>
      <c r="N1215" s="40" t="str">
        <f>VLOOKUP(L1215,'Raw material list'!$A$3:$E$715,5,0)</f>
        <v>Ml</v>
      </c>
      <c r="O1215" s="80">
        <v>600</v>
      </c>
      <c r="P1215" s="299">
        <f t="shared" si="104"/>
        <v>600</v>
      </c>
      <c r="Q1215" s="303">
        <v>100</v>
      </c>
      <c r="R1215" s="80">
        <v>15</v>
      </c>
      <c r="S1215" s="80"/>
      <c r="T1215" s="105">
        <f t="shared" si="111"/>
        <v>40</v>
      </c>
      <c r="U1215" s="105">
        <f t="shared" si="105"/>
        <v>40</v>
      </c>
      <c r="V1215" s="104">
        <f>IFERROR(VLOOKUP(L1215,'Raw material list'!$A$2:$S$3102,6,0),0)</f>
        <v>8.0000000000000007E-5</v>
      </c>
      <c r="W1215" s="104">
        <f t="shared" si="106"/>
        <v>3.2000000000000002E-3</v>
      </c>
    </row>
    <row r="1216" spans="1:23" hidden="1" x14ac:dyDescent="0.55000000000000004">
      <c r="A1216" s="76" t="str">
        <f t="shared" si="112"/>
        <v>RCP-SMC-000067</v>
      </c>
      <c r="B1216" s="58" t="s">
        <v>35</v>
      </c>
      <c r="C1216" s="58" t="s">
        <v>10</v>
      </c>
      <c r="D1216" s="76" t="str">
        <f t="shared" si="113"/>
        <v>Chicken &amp; Vegetables puree lunch</v>
      </c>
      <c r="E1216" s="58" t="s">
        <v>1560</v>
      </c>
      <c r="F1216" s="58" t="s">
        <v>2079</v>
      </c>
      <c r="G1216" s="41" t="s">
        <v>11</v>
      </c>
      <c r="H1216" s="58" t="s">
        <v>1774</v>
      </c>
      <c r="I1216" s="76"/>
      <c r="J1216" s="76"/>
      <c r="K1216" s="58" t="str">
        <f>IFERROR(VLOOKUP(L1216,'Raw material list'!$A$3:$C$715,3,0),"")</f>
        <v>DRS5-59</v>
      </c>
      <c r="L1216" s="76" t="s">
        <v>59</v>
      </c>
      <c r="M1216" s="80" t="s">
        <v>156</v>
      </c>
      <c r="N1216" s="40" t="str">
        <f>VLOOKUP(L1216,'Raw material list'!$A$3:$E$715,5,0)</f>
        <v xml:space="preserve">Gram </v>
      </c>
      <c r="O1216" s="80">
        <v>25</v>
      </c>
      <c r="P1216" s="299">
        <f t="shared" si="104"/>
        <v>25</v>
      </c>
      <c r="Q1216" s="80">
        <v>100</v>
      </c>
      <c r="R1216" s="80">
        <v>15</v>
      </c>
      <c r="S1216" s="80"/>
      <c r="T1216" s="105">
        <f t="shared" si="111"/>
        <v>1.6666666666666667</v>
      </c>
      <c r="U1216" s="105">
        <f t="shared" si="105"/>
        <v>1.6666666666666667</v>
      </c>
      <c r="V1216" s="104">
        <f>IFERROR(VLOOKUP(L1216,'Raw material list'!$A$2:$S$3102,6,0),0)</f>
        <v>1.4319999999999999E-2</v>
      </c>
      <c r="W1216" s="104">
        <f t="shared" si="106"/>
        <v>2.3866666666666668E-2</v>
      </c>
    </row>
    <row r="1217" spans="1:23" hidden="1" x14ac:dyDescent="0.55000000000000004">
      <c r="A1217" s="76" t="str">
        <f t="shared" si="112"/>
        <v>RCP-SMC-000067</v>
      </c>
      <c r="B1217" s="58" t="s">
        <v>35</v>
      </c>
      <c r="C1217" s="58" t="s">
        <v>10</v>
      </c>
      <c r="D1217" s="76" t="str">
        <f t="shared" si="113"/>
        <v>Chicken &amp; Vegetables puree lunch</v>
      </c>
      <c r="E1217" s="58" t="s">
        <v>1560</v>
      </c>
      <c r="F1217" s="58" t="s">
        <v>2079</v>
      </c>
      <c r="G1217" s="41" t="s">
        <v>11</v>
      </c>
      <c r="H1217" s="58" t="s">
        <v>1774</v>
      </c>
      <c r="I1217" s="76"/>
      <c r="J1217" s="76"/>
      <c r="K1217" s="58" t="str">
        <f>IFERROR(VLOOKUP(L1217,'Raw material list'!$A$3:$C$715,3,0),"")</f>
        <v>DRS6-309</v>
      </c>
      <c r="L1217" s="76" t="s">
        <v>61</v>
      </c>
      <c r="M1217" s="80" t="s">
        <v>156</v>
      </c>
      <c r="N1217" s="40" t="str">
        <f>VLOOKUP(L1217,'Raw material list'!$A$3:$E$715,5,0)</f>
        <v xml:space="preserve">Gram </v>
      </c>
      <c r="O1217" s="80">
        <v>1</v>
      </c>
      <c r="P1217" s="299">
        <f t="shared" si="104"/>
        <v>1</v>
      </c>
      <c r="Q1217" s="80">
        <v>100</v>
      </c>
      <c r="R1217" s="80">
        <v>15</v>
      </c>
      <c r="S1217" s="80"/>
      <c r="T1217" s="105">
        <f t="shared" si="111"/>
        <v>6.6666666666666666E-2</v>
      </c>
      <c r="U1217" s="105">
        <f t="shared" si="105"/>
        <v>6.6666666666666666E-2</v>
      </c>
      <c r="V1217" s="104">
        <f>IFERROR(VLOOKUP(L1217,'Raw material list'!$A$2:$S$3102,6,0),0)</f>
        <v>2.8000000000000001E-2</v>
      </c>
      <c r="W1217" s="104">
        <f t="shared" si="106"/>
        <v>1.8666666666666666E-3</v>
      </c>
    </row>
    <row r="1218" spans="1:23" hidden="1" x14ac:dyDescent="0.55000000000000004">
      <c r="A1218" s="76" t="str">
        <f t="shared" si="112"/>
        <v>RCP-SMC-000067</v>
      </c>
      <c r="B1218" s="58" t="s">
        <v>35</v>
      </c>
      <c r="C1218" s="58" t="s">
        <v>10</v>
      </c>
      <c r="D1218" s="76" t="str">
        <f t="shared" si="113"/>
        <v>Chicken &amp; Vegetables puree lunch</v>
      </c>
      <c r="E1218" s="58" t="s">
        <v>1560</v>
      </c>
      <c r="F1218" s="58" t="s">
        <v>2079</v>
      </c>
      <c r="G1218" s="41" t="s">
        <v>11</v>
      </c>
      <c r="H1218" s="58" t="s">
        <v>1774</v>
      </c>
      <c r="I1218" s="76"/>
      <c r="J1218" s="76"/>
      <c r="K1218" s="58" t="str">
        <f>IFERROR(VLOOKUP(L1218,'Raw material list'!$A$3:$C$715,3,0),"")</f>
        <v>DRS1-3880</v>
      </c>
      <c r="L1218" s="76" t="s">
        <v>1433</v>
      </c>
      <c r="M1218" s="80" t="s">
        <v>156</v>
      </c>
      <c r="N1218" s="40" t="str">
        <f>VLOOKUP(L1218,'Raw material list'!$A$3:$E$715,5,0)</f>
        <v xml:space="preserve">Gram </v>
      </c>
      <c r="O1218" s="80">
        <v>6</v>
      </c>
      <c r="P1218" s="299">
        <f t="shared" si="104"/>
        <v>6</v>
      </c>
      <c r="Q1218" s="80">
        <v>100</v>
      </c>
      <c r="R1218" s="80">
        <v>15</v>
      </c>
      <c r="S1218" s="80"/>
      <c r="T1218" s="105">
        <f t="shared" si="111"/>
        <v>0.4</v>
      </c>
      <c r="U1218" s="105">
        <f t="shared" si="105"/>
        <v>0.4</v>
      </c>
      <c r="V1218" s="104">
        <f>IFERROR(VLOOKUP(L1218,'Raw material list'!$A$2:$S$3102,6,0),0)</f>
        <v>5.0000000000000001E-4</v>
      </c>
      <c r="W1218" s="104">
        <f t="shared" si="106"/>
        <v>2.0000000000000001E-4</v>
      </c>
    </row>
    <row r="1219" spans="1:23" hidden="1" x14ac:dyDescent="0.55000000000000004">
      <c r="A1219" s="76" t="str">
        <f t="shared" si="112"/>
        <v>RCP-SMC-000067</v>
      </c>
      <c r="B1219" s="58" t="s">
        <v>35</v>
      </c>
      <c r="C1219" s="58" t="s">
        <v>10</v>
      </c>
      <c r="D1219" s="76" t="str">
        <f t="shared" si="113"/>
        <v>Chicken &amp; Vegetables puree lunch</v>
      </c>
      <c r="E1219" s="58" t="s">
        <v>1560</v>
      </c>
      <c r="F1219" s="58" t="s">
        <v>2079</v>
      </c>
      <c r="G1219" s="41" t="s">
        <v>11</v>
      </c>
      <c r="H1219" s="58" t="s">
        <v>1774</v>
      </c>
      <c r="I1219" s="76"/>
      <c r="J1219" s="76"/>
      <c r="K1219" s="58" t="str">
        <f>IFERROR(VLOOKUP(L1219,'Raw material list'!$A$3:$C$715,3,0),"")</f>
        <v>DRY2-1008</v>
      </c>
      <c r="L1219" s="76" t="s">
        <v>57</v>
      </c>
      <c r="M1219" s="80" t="s">
        <v>156</v>
      </c>
      <c r="N1219" s="40" t="str">
        <f>VLOOKUP(L1219,'Raw material list'!$A$3:$E$715,5,0)</f>
        <v xml:space="preserve">Gram </v>
      </c>
      <c r="O1219" s="80">
        <v>25</v>
      </c>
      <c r="P1219" s="299">
        <f t="shared" si="104"/>
        <v>25</v>
      </c>
      <c r="Q1219" s="80">
        <v>100</v>
      </c>
      <c r="R1219" s="80">
        <v>15</v>
      </c>
      <c r="S1219" s="80"/>
      <c r="T1219" s="105">
        <f t="shared" si="111"/>
        <v>1.6666666666666667</v>
      </c>
      <c r="U1219" s="105">
        <f t="shared" si="105"/>
        <v>1.6666666666666667</v>
      </c>
      <c r="V1219" s="104">
        <f>IFERROR(VLOOKUP(L1219,'Raw material list'!$A$2:$S$3102,6,0),0)</f>
        <v>0.03</v>
      </c>
      <c r="W1219" s="104">
        <f t="shared" si="106"/>
        <v>0.05</v>
      </c>
    </row>
    <row r="1220" spans="1:23" hidden="1" x14ac:dyDescent="0.55000000000000004">
      <c r="A1220" s="76" t="str">
        <f t="shared" si="112"/>
        <v>RCP-SMC-000067</v>
      </c>
      <c r="B1220" s="58" t="s">
        <v>35</v>
      </c>
      <c r="C1220" s="58" t="s">
        <v>10</v>
      </c>
      <c r="D1220" s="76" t="str">
        <f t="shared" si="113"/>
        <v>Chicken &amp; Vegetables puree lunch</v>
      </c>
      <c r="E1220" s="58" t="s">
        <v>1560</v>
      </c>
      <c r="F1220" s="58" t="s">
        <v>2079</v>
      </c>
      <c r="G1220" s="41" t="s">
        <v>11</v>
      </c>
      <c r="H1220" s="58" t="s">
        <v>1774</v>
      </c>
      <c r="I1220" s="76"/>
      <c r="J1220" s="76"/>
      <c r="K1220" s="58" t="str">
        <f>IFERROR(VLOOKUP(L1220,'Raw material list'!$A$3:$C$715,3,0),"")</f>
        <v>DRY2-1858</v>
      </c>
      <c r="L1220" s="76" t="s">
        <v>60</v>
      </c>
      <c r="M1220" s="80" t="s">
        <v>206</v>
      </c>
      <c r="N1220" s="40" t="str">
        <f>VLOOKUP(L1220,'Raw material list'!$A$3:$E$715,5,0)</f>
        <v>Ml</v>
      </c>
      <c r="O1220" s="80">
        <v>25</v>
      </c>
      <c r="P1220" s="299">
        <f t="shared" si="104"/>
        <v>25</v>
      </c>
      <c r="Q1220" s="80">
        <v>100</v>
      </c>
      <c r="R1220" s="80">
        <v>15</v>
      </c>
      <c r="S1220" s="80"/>
      <c r="T1220" s="105">
        <f t="shared" si="111"/>
        <v>1.6666666666666667</v>
      </c>
      <c r="U1220" s="105">
        <f t="shared" si="105"/>
        <v>1.6666666666666667</v>
      </c>
      <c r="V1220" s="104">
        <f>IFERROR(VLOOKUP(L1220,'Raw material list'!$A$2:$S$3102,6,0),0)</f>
        <v>9.8800000000000016E-3</v>
      </c>
      <c r="W1220" s="104">
        <f t="shared" si="106"/>
        <v>1.6466666666666671E-2</v>
      </c>
    </row>
    <row r="1221" spans="1:23" hidden="1" x14ac:dyDescent="0.55000000000000004">
      <c r="A1221" s="76" t="str">
        <f t="shared" si="112"/>
        <v>RCP-SMC-000067</v>
      </c>
      <c r="B1221" s="58" t="s">
        <v>35</v>
      </c>
      <c r="C1221" s="58" t="s">
        <v>10</v>
      </c>
      <c r="D1221" s="76" t="str">
        <f t="shared" si="113"/>
        <v>Chicken &amp; Vegetables puree lunch</v>
      </c>
      <c r="E1221" s="58" t="s">
        <v>1560</v>
      </c>
      <c r="F1221" s="58" t="s">
        <v>2079</v>
      </c>
      <c r="G1221" s="41" t="s">
        <v>11</v>
      </c>
      <c r="H1221" s="58" t="s">
        <v>1774</v>
      </c>
      <c r="I1221" s="76"/>
      <c r="J1221" s="76"/>
      <c r="K1221" s="58" t="str">
        <f>IFERROR(VLOOKUP(L1221,'Raw material list'!$A$3:$C$715,3,0),"")</f>
        <v>DRS5-3866</v>
      </c>
      <c r="L1221" s="76" t="s">
        <v>64</v>
      </c>
      <c r="M1221" s="80" t="s">
        <v>156</v>
      </c>
      <c r="N1221" s="40" t="str">
        <f>VLOOKUP(L1221,'Raw material list'!$A$3:$E$715,5,0)</f>
        <v xml:space="preserve">Gram </v>
      </c>
      <c r="O1221" s="80">
        <v>150</v>
      </c>
      <c r="P1221" s="299">
        <f t="shared" si="104"/>
        <v>150</v>
      </c>
      <c r="Q1221" s="80">
        <v>100</v>
      </c>
      <c r="R1221" s="80">
        <v>15</v>
      </c>
      <c r="S1221" s="80"/>
      <c r="T1221" s="105">
        <f t="shared" si="111"/>
        <v>10</v>
      </c>
      <c r="U1221" s="105">
        <f t="shared" si="105"/>
        <v>10</v>
      </c>
      <c r="V1221" s="104">
        <f>IFERROR(VLOOKUP(L1221,'Raw material list'!$A$2:$S$3102,6,0),0)</f>
        <v>0.02</v>
      </c>
      <c r="W1221" s="104">
        <f t="shared" si="106"/>
        <v>0.2</v>
      </c>
    </row>
    <row r="1222" spans="1:23" hidden="1" x14ac:dyDescent="0.55000000000000004">
      <c r="A1222" s="76" t="s">
        <v>1576</v>
      </c>
      <c r="B1222" s="58" t="s">
        <v>35</v>
      </c>
      <c r="C1222" s="58" t="s">
        <v>10</v>
      </c>
      <c r="D1222" s="76" t="s">
        <v>22</v>
      </c>
      <c r="E1222" s="58" t="s">
        <v>1560</v>
      </c>
      <c r="F1222" s="58" t="s">
        <v>2081</v>
      </c>
      <c r="G1222" s="41" t="s">
        <v>11</v>
      </c>
      <c r="H1222" s="58" t="s">
        <v>1790</v>
      </c>
      <c r="I1222" s="76"/>
      <c r="J1222" s="76"/>
      <c r="K1222" s="58" t="str">
        <f>IFERROR(VLOOKUP(L1222,'Raw material list'!$A$3:$C$715,3,0),"")</f>
        <v>PLT2-1844</v>
      </c>
      <c r="L1222" s="76" t="s">
        <v>876</v>
      </c>
      <c r="M1222" s="80" t="s">
        <v>156</v>
      </c>
      <c r="N1222" s="40" t="str">
        <f>VLOOKUP(L1222,'Raw material list'!$A$3:$E$715,5,0)</f>
        <v xml:space="preserve">Gram </v>
      </c>
      <c r="O1222" s="80">
        <v>2750</v>
      </c>
      <c r="P1222" s="299">
        <f t="shared" ref="P1222:P1285" si="114">O1222/Q1222*100</f>
        <v>3357.1038251366126</v>
      </c>
      <c r="Q1222" s="40">
        <v>81.915846016114585</v>
      </c>
      <c r="R1222" s="80">
        <v>10</v>
      </c>
      <c r="S1222" s="80"/>
      <c r="T1222" s="105">
        <f t="shared" si="111"/>
        <v>275</v>
      </c>
      <c r="U1222" s="105">
        <f t="shared" ref="U1222:U1285" si="115">IFERROR(P1222/R1222,0)</f>
        <v>335.71038251366127</v>
      </c>
      <c r="V1222" s="104">
        <f>IFERROR(VLOOKUP(L1222,'Raw material list'!$A$2:$S$3102,6,0),0)</f>
        <v>1.43E-2</v>
      </c>
      <c r="W1222" s="104">
        <f t="shared" ref="W1222:W1285" si="116">IFERROR(V1222*U1222,0)</f>
        <v>4.8006584699453558</v>
      </c>
    </row>
    <row r="1223" spans="1:23" hidden="1" x14ac:dyDescent="0.55000000000000004">
      <c r="A1223" s="76" t="str">
        <f t="shared" ref="A1223:A1242" si="117">A1222</f>
        <v>RCP-SMC-000068</v>
      </c>
      <c r="B1223" s="58" t="s">
        <v>35</v>
      </c>
      <c r="C1223" s="58" t="s">
        <v>10</v>
      </c>
      <c r="D1223" s="76" t="str">
        <f t="shared" ref="D1223:D1242" si="118">D1222</f>
        <v>Chicken Kabsa</v>
      </c>
      <c r="E1223" s="58" t="s">
        <v>1560</v>
      </c>
      <c r="F1223" s="58" t="s">
        <v>2079</v>
      </c>
      <c r="G1223" s="41" t="s">
        <v>11</v>
      </c>
      <c r="H1223" s="58" t="s">
        <v>1790</v>
      </c>
      <c r="I1223" s="76"/>
      <c r="J1223" s="76"/>
      <c r="K1223" s="58" t="str">
        <f>IFERROR(VLOOKUP(L1223,'Raw material list'!$A$3:$C$715,3,0),"")</f>
        <v>DRS4-498</v>
      </c>
      <c r="L1223" s="76" t="s">
        <v>72</v>
      </c>
      <c r="M1223" s="80" t="s">
        <v>156</v>
      </c>
      <c r="N1223" s="40" t="str">
        <f>VLOOKUP(L1223,'Raw material list'!$A$3:$E$715,5,0)</f>
        <v xml:space="preserve">Gram </v>
      </c>
      <c r="O1223" s="80">
        <v>900</v>
      </c>
      <c r="P1223" s="299">
        <f t="shared" si="114"/>
        <v>900</v>
      </c>
      <c r="Q1223" s="80">
        <v>100</v>
      </c>
      <c r="R1223" s="80">
        <v>10</v>
      </c>
      <c r="S1223" s="80"/>
      <c r="T1223" s="105">
        <f t="shared" si="111"/>
        <v>90</v>
      </c>
      <c r="U1223" s="105">
        <f t="shared" si="115"/>
        <v>90</v>
      </c>
      <c r="V1223" s="104">
        <f>IFERROR(VLOOKUP(L1223,'Raw material list'!$A$2:$S$3102,6,0),0)</f>
        <v>5.7499999999999999E-3</v>
      </c>
      <c r="W1223" s="104">
        <f t="shared" si="116"/>
        <v>0.51749999999999996</v>
      </c>
    </row>
    <row r="1224" spans="1:23" hidden="1" x14ac:dyDescent="0.55000000000000004">
      <c r="A1224" s="76" t="str">
        <f t="shared" si="117"/>
        <v>RCP-SMC-000068</v>
      </c>
      <c r="B1224" s="58" t="s">
        <v>35</v>
      </c>
      <c r="C1224" s="58" t="s">
        <v>10</v>
      </c>
      <c r="D1224" s="76" t="str">
        <f t="shared" si="118"/>
        <v>Chicken Kabsa</v>
      </c>
      <c r="E1224" s="58" t="s">
        <v>1560</v>
      </c>
      <c r="F1224" s="58" t="s">
        <v>2079</v>
      </c>
      <c r="G1224" s="41" t="s">
        <v>11</v>
      </c>
      <c r="H1224" s="58" t="s">
        <v>1790</v>
      </c>
      <c r="I1224" s="76"/>
      <c r="J1224" s="76"/>
      <c r="K1224" s="58" t="str">
        <f>IFERROR(VLOOKUP(L1224,'Raw material list'!$A$3:$C$715,3,0),"")</f>
        <v>PRD1-4265</v>
      </c>
      <c r="L1224" s="76" t="s">
        <v>38</v>
      </c>
      <c r="M1224" s="80" t="s">
        <v>156</v>
      </c>
      <c r="N1224" s="40" t="str">
        <f>VLOOKUP(L1224,'Raw material list'!$A$3:$E$715,5,0)</f>
        <v xml:space="preserve">Gram </v>
      </c>
      <c r="O1224" s="80">
        <v>75</v>
      </c>
      <c r="P1224" s="299">
        <f t="shared" si="114"/>
        <v>88.235294117647058</v>
      </c>
      <c r="Q1224" s="105">
        <v>85</v>
      </c>
      <c r="R1224" s="80">
        <v>10</v>
      </c>
      <c r="S1224" s="80"/>
      <c r="T1224" s="105">
        <f t="shared" si="111"/>
        <v>7.5</v>
      </c>
      <c r="U1224" s="105">
        <f t="shared" si="115"/>
        <v>8.8235294117647065</v>
      </c>
      <c r="V1224" s="104">
        <f>IFERROR(VLOOKUP(L1224,'Raw material list'!$A$2:$S$3102,6,0),0)</f>
        <v>3.529411764705882E-3</v>
      </c>
      <c r="W1224" s="104">
        <f t="shared" si="116"/>
        <v>3.1141868512110725E-2</v>
      </c>
    </row>
    <row r="1225" spans="1:23" hidden="1" x14ac:dyDescent="0.55000000000000004">
      <c r="A1225" s="76" t="str">
        <f t="shared" si="117"/>
        <v>RCP-SMC-000068</v>
      </c>
      <c r="B1225" s="58" t="s">
        <v>35</v>
      </c>
      <c r="C1225" s="58" t="s">
        <v>10</v>
      </c>
      <c r="D1225" s="76" t="str">
        <f t="shared" si="118"/>
        <v>Chicken Kabsa</v>
      </c>
      <c r="E1225" s="58" t="s">
        <v>1560</v>
      </c>
      <c r="F1225" s="58" t="s">
        <v>2079</v>
      </c>
      <c r="G1225" s="41" t="s">
        <v>11</v>
      </c>
      <c r="H1225" s="58" t="s">
        <v>1790</v>
      </c>
      <c r="I1225" s="76"/>
      <c r="J1225" s="76"/>
      <c r="K1225" s="58" t="str">
        <f>IFERROR(VLOOKUP(L1225,'Raw material list'!$A$3:$C$715,3,0),"")</f>
        <v>PRD1-4327</v>
      </c>
      <c r="L1225" s="76" t="s">
        <v>39</v>
      </c>
      <c r="M1225" s="80" t="s">
        <v>156</v>
      </c>
      <c r="N1225" s="40" t="str">
        <f>VLOOKUP(L1225,'Raw material list'!$A$3:$E$715,5,0)</f>
        <v xml:space="preserve">Gram </v>
      </c>
      <c r="O1225" s="80">
        <v>10</v>
      </c>
      <c r="P1225" s="299">
        <f t="shared" si="114"/>
        <v>12.048192771084338</v>
      </c>
      <c r="Q1225" s="105">
        <v>83</v>
      </c>
      <c r="R1225" s="80">
        <v>10</v>
      </c>
      <c r="S1225" s="80"/>
      <c r="T1225" s="105">
        <f t="shared" si="111"/>
        <v>1</v>
      </c>
      <c r="U1225" s="105">
        <f t="shared" si="115"/>
        <v>1.2048192771084338</v>
      </c>
      <c r="V1225" s="104">
        <f>IFERROR(VLOOKUP(L1225,'Raw material list'!$A$2:$S$3102,6,0),0)</f>
        <v>1.2999999999999999E-2</v>
      </c>
      <c r="W1225" s="104">
        <f t="shared" si="116"/>
        <v>1.566265060240964E-2</v>
      </c>
    </row>
    <row r="1226" spans="1:23" hidden="1" x14ac:dyDescent="0.55000000000000004">
      <c r="A1226" s="76" t="str">
        <f t="shared" si="117"/>
        <v>RCP-SMC-000068</v>
      </c>
      <c r="B1226" s="58" t="s">
        <v>35</v>
      </c>
      <c r="C1226" s="58" t="s">
        <v>10</v>
      </c>
      <c r="D1226" s="76" t="str">
        <f t="shared" si="118"/>
        <v>Chicken Kabsa</v>
      </c>
      <c r="E1226" s="58" t="s">
        <v>1560</v>
      </c>
      <c r="F1226" s="58" t="s">
        <v>2079</v>
      </c>
      <c r="G1226" s="41" t="s">
        <v>11</v>
      </c>
      <c r="H1226" s="58" t="s">
        <v>1790</v>
      </c>
      <c r="I1226" s="76"/>
      <c r="J1226" s="76"/>
      <c r="K1226" s="58" t="str">
        <f>IFERROR(VLOOKUP(L1226,'Raw material list'!$A$3:$C$715,3,0),"")</f>
        <v>DRS1-3880</v>
      </c>
      <c r="L1226" s="76" t="s">
        <v>1433</v>
      </c>
      <c r="M1226" s="80" t="s">
        <v>156</v>
      </c>
      <c r="N1226" s="40" t="str">
        <f>VLOOKUP(L1226,'Raw material list'!$A$3:$E$715,5,0)</f>
        <v xml:space="preserve">Gram </v>
      </c>
      <c r="O1226" s="80">
        <v>20</v>
      </c>
      <c r="P1226" s="299">
        <f t="shared" si="114"/>
        <v>20</v>
      </c>
      <c r="Q1226" s="303">
        <v>100</v>
      </c>
      <c r="R1226" s="80">
        <v>10</v>
      </c>
      <c r="S1226" s="80"/>
      <c r="T1226" s="105">
        <f t="shared" si="111"/>
        <v>2</v>
      </c>
      <c r="U1226" s="105">
        <f t="shared" si="115"/>
        <v>2</v>
      </c>
      <c r="V1226" s="104">
        <f>IFERROR(VLOOKUP(L1226,'Raw material list'!$A$2:$S$3102,6,0),0)</f>
        <v>5.0000000000000001E-4</v>
      </c>
      <c r="W1226" s="104">
        <f t="shared" si="116"/>
        <v>1E-3</v>
      </c>
    </row>
    <row r="1227" spans="1:23" hidden="1" x14ac:dyDescent="0.55000000000000004">
      <c r="A1227" s="76" t="str">
        <f t="shared" si="117"/>
        <v>RCP-SMC-000068</v>
      </c>
      <c r="B1227" s="58" t="s">
        <v>35</v>
      </c>
      <c r="C1227" s="58" t="s">
        <v>10</v>
      </c>
      <c r="D1227" s="76" t="str">
        <f t="shared" si="118"/>
        <v>Chicken Kabsa</v>
      </c>
      <c r="E1227" s="58" t="s">
        <v>1560</v>
      </c>
      <c r="F1227" s="58" t="s">
        <v>2079</v>
      </c>
      <c r="G1227" s="41" t="s">
        <v>11</v>
      </c>
      <c r="H1227" s="58" t="s">
        <v>1790</v>
      </c>
      <c r="I1227" s="76"/>
      <c r="J1227" s="76"/>
      <c r="K1227" s="58" t="str">
        <f>IFERROR(VLOOKUP(L1227,'Raw material list'!$A$3:$C$715,3,0),"")</f>
        <v>DRS1-3811</v>
      </c>
      <c r="L1227" s="76" t="s">
        <v>40</v>
      </c>
      <c r="M1227" s="80" t="s">
        <v>156</v>
      </c>
      <c r="N1227" s="40" t="str">
        <f>VLOOKUP(L1227,'Raw material list'!$A$3:$E$715,5,0)</f>
        <v xml:space="preserve">Gram </v>
      </c>
      <c r="O1227" s="80">
        <v>7</v>
      </c>
      <c r="P1227" s="299">
        <f t="shared" si="114"/>
        <v>7.0000000000000009</v>
      </c>
      <c r="Q1227" s="80">
        <v>100</v>
      </c>
      <c r="R1227" s="80">
        <v>10</v>
      </c>
      <c r="S1227" s="80"/>
      <c r="T1227" s="105">
        <f t="shared" si="111"/>
        <v>0.7</v>
      </c>
      <c r="U1227" s="105">
        <f t="shared" si="115"/>
        <v>0.70000000000000007</v>
      </c>
      <c r="V1227" s="104">
        <f>IFERROR(VLOOKUP(L1227,'Raw material list'!$A$2:$S$3102,6,0),0)</f>
        <v>2.8475E-2</v>
      </c>
      <c r="W1227" s="104">
        <f t="shared" si="116"/>
        <v>1.9932500000000002E-2</v>
      </c>
    </row>
    <row r="1228" spans="1:23" hidden="1" x14ac:dyDescent="0.55000000000000004">
      <c r="A1228" s="76" t="str">
        <f t="shared" si="117"/>
        <v>RCP-SMC-000068</v>
      </c>
      <c r="B1228" s="58" t="s">
        <v>35</v>
      </c>
      <c r="C1228" s="58" t="s">
        <v>10</v>
      </c>
      <c r="D1228" s="76" t="str">
        <f t="shared" si="118"/>
        <v>Chicken Kabsa</v>
      </c>
      <c r="E1228" s="58" t="s">
        <v>1560</v>
      </c>
      <c r="F1228" s="58" t="s">
        <v>2079</v>
      </c>
      <c r="G1228" s="41" t="s">
        <v>11</v>
      </c>
      <c r="H1228" s="58" t="s">
        <v>1790</v>
      </c>
      <c r="I1228" s="76"/>
      <c r="J1228" s="76"/>
      <c r="K1228" s="58" t="str">
        <f>IFERROR(VLOOKUP(L1228,'Raw material list'!$A$3:$C$715,3,0),"")</f>
        <v>DRS6-1650</v>
      </c>
      <c r="L1228" s="76" t="s">
        <v>130</v>
      </c>
      <c r="M1228" s="80" t="s">
        <v>156</v>
      </c>
      <c r="N1228" s="40" t="str">
        <f>VLOOKUP(L1228,'Raw material list'!$A$3:$E$715,5,0)</f>
        <v xml:space="preserve">Gram </v>
      </c>
      <c r="O1228" s="80">
        <v>10</v>
      </c>
      <c r="P1228" s="299">
        <f t="shared" si="114"/>
        <v>10</v>
      </c>
      <c r="Q1228" s="80">
        <v>100</v>
      </c>
      <c r="R1228" s="80">
        <v>10</v>
      </c>
      <c r="S1228" s="80"/>
      <c r="T1228" s="105">
        <f t="shared" si="111"/>
        <v>1</v>
      </c>
      <c r="U1228" s="105">
        <f t="shared" si="115"/>
        <v>1</v>
      </c>
      <c r="V1228" s="104">
        <f>IFERROR(VLOOKUP(L1228,'Raw material list'!$A$2:$S$3102,6,0),0)</f>
        <v>4.4999999999999998E-2</v>
      </c>
      <c r="W1228" s="104">
        <f t="shared" si="116"/>
        <v>4.4999999999999998E-2</v>
      </c>
    </row>
    <row r="1229" spans="1:23" hidden="1" x14ac:dyDescent="0.55000000000000004">
      <c r="A1229" s="76" t="str">
        <f t="shared" si="117"/>
        <v>RCP-SMC-000068</v>
      </c>
      <c r="B1229" s="58" t="s">
        <v>35</v>
      </c>
      <c r="C1229" s="58" t="s">
        <v>10</v>
      </c>
      <c r="D1229" s="76" t="str">
        <f t="shared" si="118"/>
        <v>Chicken Kabsa</v>
      </c>
      <c r="E1229" s="58" t="s">
        <v>1560</v>
      </c>
      <c r="F1229" s="58" t="s">
        <v>2079</v>
      </c>
      <c r="G1229" s="41" t="s">
        <v>11</v>
      </c>
      <c r="H1229" s="58" t="s">
        <v>1790</v>
      </c>
      <c r="I1229" s="76"/>
      <c r="J1229" s="76"/>
      <c r="K1229" s="58" t="str">
        <f>IFERROR(VLOOKUP(L1229,'Raw material list'!$A$3:$C$715,3,0),"")</f>
        <v>DRS1-1747</v>
      </c>
      <c r="L1229" s="76" t="s">
        <v>44</v>
      </c>
      <c r="M1229" s="80" t="s">
        <v>156</v>
      </c>
      <c r="N1229" s="40" t="str">
        <f>VLOOKUP(L1229,'Raw material list'!$A$3:$E$715,5,0)</f>
        <v xml:space="preserve">Gram </v>
      </c>
      <c r="O1229" s="80">
        <v>60</v>
      </c>
      <c r="P1229" s="299">
        <f t="shared" si="114"/>
        <v>60</v>
      </c>
      <c r="Q1229" s="80">
        <v>100</v>
      </c>
      <c r="R1229" s="80">
        <v>10</v>
      </c>
      <c r="S1229" s="80"/>
      <c r="T1229" s="105">
        <f t="shared" si="111"/>
        <v>6</v>
      </c>
      <c r="U1229" s="105">
        <f t="shared" si="115"/>
        <v>6</v>
      </c>
      <c r="V1229" s="104">
        <f>IFERROR(VLOOKUP(L1229,'Raw material list'!$A$2:$S$3102,6,0),0)</f>
        <v>5.185185185185185E-3</v>
      </c>
      <c r="W1229" s="104">
        <f t="shared" si="116"/>
        <v>3.111111111111111E-2</v>
      </c>
    </row>
    <row r="1230" spans="1:23" hidden="1" x14ac:dyDescent="0.55000000000000004">
      <c r="A1230" s="76" t="str">
        <f t="shared" si="117"/>
        <v>RCP-SMC-000068</v>
      </c>
      <c r="B1230" s="58" t="s">
        <v>35</v>
      </c>
      <c r="C1230" s="58" t="s">
        <v>10</v>
      </c>
      <c r="D1230" s="76" t="str">
        <f t="shared" si="118"/>
        <v>Chicken Kabsa</v>
      </c>
      <c r="E1230" s="58" t="s">
        <v>1560</v>
      </c>
      <c r="F1230" s="58" t="s">
        <v>2079</v>
      </c>
      <c r="G1230" s="41" t="s">
        <v>11</v>
      </c>
      <c r="H1230" s="58" t="s">
        <v>1790</v>
      </c>
      <c r="I1230" s="76"/>
      <c r="J1230" s="76"/>
      <c r="K1230" s="58" t="str">
        <f>IFERROR(VLOOKUP(L1230,'Raw material list'!$A$3:$C$715,3,0),"")</f>
        <v>PRD1-572</v>
      </c>
      <c r="L1230" s="76" t="s">
        <v>54</v>
      </c>
      <c r="M1230" s="80" t="s">
        <v>156</v>
      </c>
      <c r="N1230" s="40" t="str">
        <f>VLOOKUP(L1230,'Raw material list'!$A$3:$E$715,5,0)</f>
        <v xml:space="preserve">Gram </v>
      </c>
      <c r="O1230" s="80">
        <v>250</v>
      </c>
      <c r="P1230" s="299">
        <f t="shared" si="114"/>
        <v>283.33962976955036</v>
      </c>
      <c r="Q1230" s="105">
        <v>88.233333333333348</v>
      </c>
      <c r="R1230" s="80">
        <v>10</v>
      </c>
      <c r="S1230" s="80"/>
      <c r="T1230" s="105">
        <f t="shared" si="111"/>
        <v>25</v>
      </c>
      <c r="U1230" s="105">
        <f t="shared" si="115"/>
        <v>28.333962976955036</v>
      </c>
      <c r="V1230" s="104">
        <f>IFERROR(VLOOKUP(L1230,'Raw material list'!$A$2:$S$3102,6,0),0)</f>
        <v>4.5351473922902496E-3</v>
      </c>
      <c r="W1230" s="104">
        <f t="shared" si="116"/>
        <v>0.12849869830818611</v>
      </c>
    </row>
    <row r="1231" spans="1:23" hidden="1" x14ac:dyDescent="0.55000000000000004">
      <c r="A1231" s="76" t="str">
        <f t="shared" si="117"/>
        <v>RCP-SMC-000068</v>
      </c>
      <c r="B1231" s="58" t="s">
        <v>35</v>
      </c>
      <c r="C1231" s="58" t="s">
        <v>10</v>
      </c>
      <c r="D1231" s="76" t="str">
        <f t="shared" si="118"/>
        <v>Chicken Kabsa</v>
      </c>
      <c r="E1231" s="58" t="s">
        <v>1560</v>
      </c>
      <c r="F1231" s="58" t="s">
        <v>2079</v>
      </c>
      <c r="G1231" s="41" t="s">
        <v>11</v>
      </c>
      <c r="H1231" s="58" t="s">
        <v>1790</v>
      </c>
      <c r="I1231" s="76"/>
      <c r="J1231" s="76"/>
      <c r="K1231" s="58" t="str">
        <f>IFERROR(VLOOKUP(L1231,'Raw material list'!$A$3:$C$715,3,0),"")</f>
        <v>PRD1-3546</v>
      </c>
      <c r="L1231" s="76" t="s">
        <v>971</v>
      </c>
      <c r="M1231" s="80" t="s">
        <v>156</v>
      </c>
      <c r="N1231" s="40" t="str">
        <f>VLOOKUP(L1231,'Raw material list'!$A$3:$E$715,5,0)</f>
        <v xml:space="preserve">Gram </v>
      </c>
      <c r="O1231" s="80">
        <v>150</v>
      </c>
      <c r="P1231" s="299">
        <f t="shared" si="114"/>
        <v>183.67346938775509</v>
      </c>
      <c r="Q1231" s="105">
        <v>81.666666666666671</v>
      </c>
      <c r="R1231" s="80">
        <v>10</v>
      </c>
      <c r="S1231" s="80"/>
      <c r="T1231" s="105">
        <f t="shared" si="111"/>
        <v>15</v>
      </c>
      <c r="U1231" s="105">
        <f t="shared" si="115"/>
        <v>18.367346938775508</v>
      </c>
      <c r="V1231" s="104">
        <f>IFERROR(VLOOKUP(L1231,'Raw material list'!$A$2:$S$3102,6,0),0)</f>
        <v>0.04</v>
      </c>
      <c r="W1231" s="104">
        <f t="shared" si="116"/>
        <v>0.73469387755102034</v>
      </c>
    </row>
    <row r="1232" spans="1:23" hidden="1" x14ac:dyDescent="0.55000000000000004">
      <c r="A1232" s="76" t="str">
        <f t="shared" si="117"/>
        <v>RCP-SMC-000068</v>
      </c>
      <c r="B1232" s="58" t="s">
        <v>35</v>
      </c>
      <c r="C1232" s="58" t="s">
        <v>10</v>
      </c>
      <c r="D1232" s="76" t="str">
        <f t="shared" si="118"/>
        <v>Chicken Kabsa</v>
      </c>
      <c r="E1232" s="58" t="s">
        <v>1560</v>
      </c>
      <c r="F1232" s="58" t="s">
        <v>2079</v>
      </c>
      <c r="G1232" s="41" t="s">
        <v>11</v>
      </c>
      <c r="H1232" s="58" t="s">
        <v>1790</v>
      </c>
      <c r="I1232" s="76"/>
      <c r="J1232" s="76"/>
      <c r="K1232" s="58" t="str">
        <f>IFERROR(VLOOKUP(L1232,'Raw material list'!$A$3:$C$715,3,0),"")</f>
        <v>PRD1-240</v>
      </c>
      <c r="L1232" s="76" t="s">
        <v>82</v>
      </c>
      <c r="M1232" s="80" t="s">
        <v>156</v>
      </c>
      <c r="N1232" s="40" t="str">
        <f>VLOOKUP(L1232,'Raw material list'!$A$3:$E$715,5,0)</f>
        <v xml:space="preserve">Gram </v>
      </c>
      <c r="O1232" s="80">
        <v>100</v>
      </c>
      <c r="P1232" s="299">
        <f t="shared" si="114"/>
        <v>147.78325123152712</v>
      </c>
      <c r="Q1232" s="105">
        <v>67.666666666666657</v>
      </c>
      <c r="R1232" s="80">
        <v>10</v>
      </c>
      <c r="S1232" s="80"/>
      <c r="T1232" s="105">
        <f t="shared" si="111"/>
        <v>10</v>
      </c>
      <c r="U1232" s="105">
        <f t="shared" si="115"/>
        <v>14.778325123152712</v>
      </c>
      <c r="V1232" s="104">
        <f>IFERROR(VLOOKUP(L1232,'Raw material list'!$A$2:$S$3102,6,0),0)</f>
        <v>1.3293943870014769E-2</v>
      </c>
      <c r="W1232" s="104">
        <f t="shared" si="116"/>
        <v>0.19646222468002125</v>
      </c>
    </row>
    <row r="1233" spans="1:23" hidden="1" x14ac:dyDescent="0.55000000000000004">
      <c r="A1233" s="76" t="str">
        <f t="shared" si="117"/>
        <v>RCP-SMC-000068</v>
      </c>
      <c r="B1233" s="58" t="s">
        <v>35</v>
      </c>
      <c r="C1233" s="58" t="s">
        <v>10</v>
      </c>
      <c r="D1233" s="76" t="str">
        <f t="shared" si="118"/>
        <v>Chicken Kabsa</v>
      </c>
      <c r="E1233" s="58" t="s">
        <v>1560</v>
      </c>
      <c r="F1233" s="58" t="s">
        <v>2079</v>
      </c>
      <c r="G1233" s="41" t="s">
        <v>11</v>
      </c>
      <c r="H1233" s="58" t="s">
        <v>1790</v>
      </c>
      <c r="I1233" s="76"/>
      <c r="J1233" s="76"/>
      <c r="K1233" s="58" t="str">
        <f>IFERROR(VLOOKUP(L1233,'Raw material list'!$A$3:$C$715,3,0),"")</f>
        <v>TAP-00001</v>
      </c>
      <c r="L1233" s="76" t="s">
        <v>1405</v>
      </c>
      <c r="M1233" s="80" t="s">
        <v>206</v>
      </c>
      <c r="N1233" s="40" t="str">
        <f>VLOOKUP(L1233,'Raw material list'!$A$3:$E$715,5,0)</f>
        <v>Ml</v>
      </c>
      <c r="O1233" s="80">
        <v>1500</v>
      </c>
      <c r="P1233" s="299">
        <f t="shared" si="114"/>
        <v>1500</v>
      </c>
      <c r="Q1233" s="303">
        <v>100</v>
      </c>
      <c r="R1233" s="80">
        <v>10</v>
      </c>
      <c r="S1233" s="80"/>
      <c r="T1233" s="105">
        <f t="shared" si="111"/>
        <v>150</v>
      </c>
      <c r="U1233" s="105">
        <f t="shared" si="115"/>
        <v>150</v>
      </c>
      <c r="V1233" s="104">
        <f>IFERROR(VLOOKUP(L1233,'Raw material list'!$A$2:$S$3102,6,0),0)</f>
        <v>8.0000000000000007E-5</v>
      </c>
      <c r="W1233" s="104">
        <f t="shared" si="116"/>
        <v>1.2E-2</v>
      </c>
    </row>
    <row r="1234" spans="1:23" hidden="1" x14ac:dyDescent="0.55000000000000004">
      <c r="A1234" s="76" t="str">
        <f t="shared" si="117"/>
        <v>RCP-SMC-000068</v>
      </c>
      <c r="B1234" s="58" t="s">
        <v>35</v>
      </c>
      <c r="C1234" s="58" t="s">
        <v>10</v>
      </c>
      <c r="D1234" s="76" t="str">
        <f t="shared" si="118"/>
        <v>Chicken Kabsa</v>
      </c>
      <c r="E1234" s="58" t="s">
        <v>1560</v>
      </c>
      <c r="F1234" s="58" t="s">
        <v>2079</v>
      </c>
      <c r="G1234" s="41" t="s">
        <v>11</v>
      </c>
      <c r="H1234" s="58" t="s">
        <v>1790</v>
      </c>
      <c r="I1234" s="76"/>
      <c r="J1234" s="76"/>
      <c r="K1234" s="58" t="str">
        <f>IFERROR(VLOOKUP(L1234,'Raw material list'!$A$3:$C$715,3,0),"")</f>
        <v>DRS6-539</v>
      </c>
      <c r="L1234" s="76" t="s">
        <v>96</v>
      </c>
      <c r="M1234" s="80" t="s">
        <v>156</v>
      </c>
      <c r="N1234" s="40" t="str">
        <f>VLOOKUP(L1234,'Raw material list'!$A$3:$E$715,5,0)</f>
        <v xml:space="preserve">Gram </v>
      </c>
      <c r="O1234" s="80">
        <v>2</v>
      </c>
      <c r="P1234" s="299">
        <f t="shared" si="114"/>
        <v>2</v>
      </c>
      <c r="Q1234" s="80">
        <v>100</v>
      </c>
      <c r="R1234" s="80">
        <v>10</v>
      </c>
      <c r="S1234" s="80"/>
      <c r="T1234" s="105">
        <f t="shared" si="111"/>
        <v>0.2</v>
      </c>
      <c r="U1234" s="105">
        <f t="shared" si="115"/>
        <v>0.2</v>
      </c>
      <c r="V1234" s="104">
        <f>IFERROR(VLOOKUP(L1234,'Raw material list'!$A$2:$S$3102,6,0),0)</f>
        <v>0.16</v>
      </c>
      <c r="W1234" s="104">
        <f t="shared" si="116"/>
        <v>3.2000000000000001E-2</v>
      </c>
    </row>
    <row r="1235" spans="1:23" hidden="1" x14ac:dyDescent="0.55000000000000004">
      <c r="A1235" s="76" t="str">
        <f t="shared" si="117"/>
        <v>RCP-SMC-000068</v>
      </c>
      <c r="B1235" s="58" t="s">
        <v>35</v>
      </c>
      <c r="C1235" s="58" t="s">
        <v>10</v>
      </c>
      <c r="D1235" s="76" t="str">
        <f t="shared" si="118"/>
        <v>Chicken Kabsa</v>
      </c>
      <c r="E1235" s="58" t="s">
        <v>1560</v>
      </c>
      <c r="F1235" s="58" t="s">
        <v>2079</v>
      </c>
      <c r="G1235" s="41" t="s">
        <v>11</v>
      </c>
      <c r="H1235" s="58" t="s">
        <v>1790</v>
      </c>
      <c r="I1235" s="76"/>
      <c r="J1235" s="76"/>
      <c r="K1235" s="58" t="str">
        <f>IFERROR(VLOOKUP(L1235,'Raw material list'!$A$3:$C$715,3,0),"")</f>
        <v>PRD3-1675</v>
      </c>
      <c r="L1235" s="76" t="s">
        <v>75</v>
      </c>
      <c r="M1235" s="80" t="s">
        <v>156</v>
      </c>
      <c r="N1235" s="40" t="str">
        <f>VLOOKUP(L1235,'Raw material list'!$A$3:$E$715,5,0)</f>
        <v xml:space="preserve">Gram </v>
      </c>
      <c r="O1235" s="80">
        <v>2</v>
      </c>
      <c r="P1235" s="299">
        <f t="shared" si="114"/>
        <v>2</v>
      </c>
      <c r="Q1235" s="80">
        <v>100</v>
      </c>
      <c r="R1235" s="80">
        <v>10</v>
      </c>
      <c r="S1235" s="80"/>
      <c r="T1235" s="105">
        <f t="shared" si="111"/>
        <v>0.2</v>
      </c>
      <c r="U1235" s="105">
        <f t="shared" si="115"/>
        <v>0.2</v>
      </c>
      <c r="V1235" s="104">
        <f>IFERROR(VLOOKUP(L1235,'Raw material list'!$A$2:$S$3102,6,0),0)</f>
        <v>1.2E-2</v>
      </c>
      <c r="W1235" s="104">
        <f t="shared" si="116"/>
        <v>2.4000000000000002E-3</v>
      </c>
    </row>
    <row r="1236" spans="1:23" hidden="1" x14ac:dyDescent="0.55000000000000004">
      <c r="A1236" s="76" t="str">
        <f t="shared" si="117"/>
        <v>RCP-SMC-000068</v>
      </c>
      <c r="B1236" s="58" t="s">
        <v>35</v>
      </c>
      <c r="C1236" s="58" t="s">
        <v>10</v>
      </c>
      <c r="D1236" s="76" t="str">
        <f t="shared" si="118"/>
        <v>Chicken Kabsa</v>
      </c>
      <c r="E1236" s="58" t="s">
        <v>1560</v>
      </c>
      <c r="F1236" s="58" t="s">
        <v>2079</v>
      </c>
      <c r="G1236" s="41" t="s">
        <v>11</v>
      </c>
      <c r="H1236" s="58" t="s">
        <v>1790</v>
      </c>
      <c r="I1236" s="76"/>
      <c r="J1236" s="76"/>
      <c r="K1236" s="58" t="str">
        <f>IFERROR(VLOOKUP(L1236,'Raw material list'!$A$3:$C$715,3,0),"")</f>
        <v>PRD1-239</v>
      </c>
      <c r="L1236" s="59" t="s">
        <v>1056</v>
      </c>
      <c r="M1236" s="80" t="s">
        <v>156</v>
      </c>
      <c r="N1236" s="40" t="str">
        <f>VLOOKUP(L1236,'Raw material list'!$A$3:$E$715,5,0)</f>
        <v xml:space="preserve">Gram </v>
      </c>
      <c r="O1236" s="80">
        <v>100</v>
      </c>
      <c r="P1236" s="299">
        <f t="shared" si="114"/>
        <v>148.51485148514854</v>
      </c>
      <c r="Q1236" s="105">
        <v>67.333333333333329</v>
      </c>
      <c r="R1236" s="80">
        <v>10</v>
      </c>
      <c r="S1236" s="80"/>
      <c r="T1236" s="105">
        <f t="shared" si="111"/>
        <v>10</v>
      </c>
      <c r="U1236" s="105">
        <f t="shared" si="115"/>
        <v>14.851485148514854</v>
      </c>
      <c r="V1236" s="104">
        <f>IFERROR(VLOOKUP(L1236,'Raw material list'!$A$2:$S$3102,6,0),0)</f>
        <v>6.6864784546805346E-3</v>
      </c>
      <c r="W1236" s="104">
        <f t="shared" si="116"/>
        <v>9.9304135465552515E-2</v>
      </c>
    </row>
    <row r="1237" spans="1:23" hidden="1" x14ac:dyDescent="0.55000000000000004">
      <c r="A1237" s="76" t="str">
        <f t="shared" si="117"/>
        <v>RCP-SMC-000068</v>
      </c>
      <c r="B1237" s="58" t="s">
        <v>35</v>
      </c>
      <c r="C1237" s="58" t="s">
        <v>10</v>
      </c>
      <c r="D1237" s="76" t="str">
        <f t="shared" si="118"/>
        <v>Chicken Kabsa</v>
      </c>
      <c r="E1237" s="58" t="s">
        <v>1560</v>
      </c>
      <c r="F1237" s="58" t="s">
        <v>2079</v>
      </c>
      <c r="G1237" s="41" t="s">
        <v>11</v>
      </c>
      <c r="H1237" s="58" t="s">
        <v>1790</v>
      </c>
      <c r="I1237" s="76"/>
      <c r="J1237" s="76"/>
      <c r="K1237" s="58" t="str">
        <f>IFERROR(VLOOKUP(L1237,'Raw material list'!$A$3:$C$715,3,0),"")</f>
        <v>PRD1-241</v>
      </c>
      <c r="L1237" s="59" t="s">
        <v>1059</v>
      </c>
      <c r="M1237" s="80" t="s">
        <v>156</v>
      </c>
      <c r="N1237" s="40" t="str">
        <f>VLOOKUP(L1237,'Raw material list'!$A$3:$E$715,5,0)</f>
        <v xml:space="preserve">Gram </v>
      </c>
      <c r="O1237" s="80">
        <v>100</v>
      </c>
      <c r="P1237" s="299">
        <f t="shared" si="114"/>
        <v>146.55593551538837</v>
      </c>
      <c r="Q1237" s="105">
        <v>68.233333333333334</v>
      </c>
      <c r="R1237" s="80">
        <v>10</v>
      </c>
      <c r="S1237" s="80"/>
      <c r="T1237" s="105">
        <f t="shared" si="111"/>
        <v>10</v>
      </c>
      <c r="U1237" s="105">
        <f t="shared" si="115"/>
        <v>14.655593551538837</v>
      </c>
      <c r="V1237" s="104">
        <f>IFERROR(VLOOKUP(L1237,'Raw material list'!$A$2:$S$3102,6,0),0)</f>
        <v>1.3196480938416421E-2</v>
      </c>
      <c r="W1237" s="104">
        <f t="shared" si="116"/>
        <v>0.19340226094406088</v>
      </c>
    </row>
    <row r="1238" spans="1:23" hidden="1" x14ac:dyDescent="0.55000000000000004">
      <c r="A1238" s="76" t="str">
        <f t="shared" si="117"/>
        <v>RCP-SMC-000068</v>
      </c>
      <c r="B1238" s="58" t="s">
        <v>35</v>
      </c>
      <c r="C1238" s="58" t="s">
        <v>10</v>
      </c>
      <c r="D1238" s="76" t="str">
        <f t="shared" si="118"/>
        <v>Chicken Kabsa</v>
      </c>
      <c r="E1238" s="58" t="s">
        <v>1560</v>
      </c>
      <c r="F1238" s="58" t="s">
        <v>2079</v>
      </c>
      <c r="G1238" s="41" t="s">
        <v>11</v>
      </c>
      <c r="H1238" s="58" t="s">
        <v>1790</v>
      </c>
      <c r="I1238" s="76"/>
      <c r="J1238" s="76"/>
      <c r="K1238" s="58" t="str">
        <f>IFERROR(VLOOKUP(L1238,'Raw material list'!$A$3:$C$715,3,0),"")</f>
        <v>PRD1-572</v>
      </c>
      <c r="L1238" s="59" t="s">
        <v>54</v>
      </c>
      <c r="M1238" s="80" t="s">
        <v>156</v>
      </c>
      <c r="N1238" s="40" t="str">
        <f>VLOOKUP(L1238,'Raw material list'!$A$3:$E$715,5,0)</f>
        <v xml:space="preserve">Gram </v>
      </c>
      <c r="O1238" s="80">
        <v>250</v>
      </c>
      <c r="P1238" s="299">
        <f t="shared" si="114"/>
        <v>283.33962976955036</v>
      </c>
      <c r="Q1238" s="105">
        <v>88.233333333333348</v>
      </c>
      <c r="R1238" s="80">
        <v>10</v>
      </c>
      <c r="S1238" s="80"/>
      <c r="T1238" s="105">
        <f t="shared" si="111"/>
        <v>25</v>
      </c>
      <c r="U1238" s="105">
        <f t="shared" si="115"/>
        <v>28.333962976955036</v>
      </c>
      <c r="V1238" s="104">
        <f>IFERROR(VLOOKUP(L1238,'Raw material list'!$A$2:$S$3102,6,0),0)</f>
        <v>4.5351473922902496E-3</v>
      </c>
      <c r="W1238" s="104">
        <f t="shared" si="116"/>
        <v>0.12849869830818611</v>
      </c>
    </row>
    <row r="1239" spans="1:23" hidden="1" x14ac:dyDescent="0.55000000000000004">
      <c r="A1239" s="76" t="str">
        <f t="shared" si="117"/>
        <v>RCP-SMC-000068</v>
      </c>
      <c r="B1239" s="58" t="s">
        <v>35</v>
      </c>
      <c r="C1239" s="58" t="s">
        <v>10</v>
      </c>
      <c r="D1239" s="76" t="str">
        <f t="shared" si="118"/>
        <v>Chicken Kabsa</v>
      </c>
      <c r="E1239" s="58" t="s">
        <v>1560</v>
      </c>
      <c r="F1239" s="58" t="s">
        <v>2079</v>
      </c>
      <c r="G1239" s="41" t="s">
        <v>11</v>
      </c>
      <c r="H1239" s="58" t="s">
        <v>1790</v>
      </c>
      <c r="I1239" s="76"/>
      <c r="J1239" s="76"/>
      <c r="K1239" s="58" t="str">
        <f>IFERROR(VLOOKUP(L1239,'Raw material list'!$A$3:$C$715,3,0),"")</f>
        <v>PRD1-195</v>
      </c>
      <c r="L1239" s="59" t="s">
        <v>90</v>
      </c>
      <c r="M1239" s="80" t="s">
        <v>156</v>
      </c>
      <c r="N1239" s="40" t="str">
        <f>VLOOKUP(L1239,'Raw material list'!$A$3:$E$715,5,0)</f>
        <v xml:space="preserve">Gram </v>
      </c>
      <c r="O1239" s="80">
        <v>10</v>
      </c>
      <c r="P1239" s="299">
        <f t="shared" si="114"/>
        <v>23.437499999999996</v>
      </c>
      <c r="Q1239" s="105">
        <v>42.666666666666671</v>
      </c>
      <c r="R1239" s="80">
        <v>10</v>
      </c>
      <c r="S1239" s="80"/>
      <c r="T1239" s="105">
        <f t="shared" si="111"/>
        <v>1</v>
      </c>
      <c r="U1239" s="105">
        <f t="shared" si="115"/>
        <v>2.3437499999999996</v>
      </c>
      <c r="V1239" s="104">
        <f>IFERROR(VLOOKUP(L1239,'Raw material list'!$A$2:$S$3102,6,0),0)</f>
        <v>9.3676814988290415E-3</v>
      </c>
      <c r="W1239" s="104">
        <f t="shared" si="116"/>
        <v>2.1955503512880562E-2</v>
      </c>
    </row>
    <row r="1240" spans="1:23" hidden="1" x14ac:dyDescent="0.55000000000000004">
      <c r="A1240" s="76" t="str">
        <f t="shared" si="117"/>
        <v>RCP-SMC-000068</v>
      </c>
      <c r="B1240" s="58" t="s">
        <v>35</v>
      </c>
      <c r="C1240" s="58" t="s">
        <v>10</v>
      </c>
      <c r="D1240" s="76" t="str">
        <f t="shared" si="118"/>
        <v>Chicken Kabsa</v>
      </c>
      <c r="E1240" s="58" t="s">
        <v>1560</v>
      </c>
      <c r="F1240" s="58" t="s">
        <v>2079</v>
      </c>
      <c r="G1240" s="41" t="s">
        <v>11</v>
      </c>
      <c r="H1240" s="58" t="s">
        <v>1790</v>
      </c>
      <c r="I1240" s="76"/>
      <c r="J1240" s="76"/>
      <c r="K1240" s="58" t="str">
        <f>IFERROR(VLOOKUP(L1240,'Raw material list'!$A$3:$C$715,3,0),"")</f>
        <v>PRD1-4265</v>
      </c>
      <c r="L1240" s="59" t="s">
        <v>38</v>
      </c>
      <c r="M1240" s="80" t="s">
        <v>156</v>
      </c>
      <c r="N1240" s="40" t="str">
        <f>VLOOKUP(L1240,'Raw material list'!$A$3:$E$715,5,0)</f>
        <v xml:space="preserve">Gram </v>
      </c>
      <c r="O1240" s="80">
        <v>100</v>
      </c>
      <c r="P1240" s="299">
        <f t="shared" si="114"/>
        <v>117.64705882352942</v>
      </c>
      <c r="Q1240" s="105">
        <v>85</v>
      </c>
      <c r="R1240" s="80">
        <v>10</v>
      </c>
      <c r="S1240" s="80"/>
      <c r="T1240" s="105">
        <f t="shared" si="111"/>
        <v>10</v>
      </c>
      <c r="U1240" s="105">
        <f t="shared" si="115"/>
        <v>11.764705882352942</v>
      </c>
      <c r="V1240" s="104">
        <f>IFERROR(VLOOKUP(L1240,'Raw material list'!$A$2:$S$3102,6,0),0)</f>
        <v>3.529411764705882E-3</v>
      </c>
      <c r="W1240" s="104">
        <f t="shared" si="116"/>
        <v>4.1522491349480967E-2</v>
      </c>
    </row>
    <row r="1241" spans="1:23" hidden="1" x14ac:dyDescent="0.55000000000000004">
      <c r="A1241" s="76" t="str">
        <f t="shared" si="117"/>
        <v>RCP-SMC-000068</v>
      </c>
      <c r="B1241" s="58" t="s">
        <v>35</v>
      </c>
      <c r="C1241" s="58" t="s">
        <v>10</v>
      </c>
      <c r="D1241" s="76" t="str">
        <f t="shared" si="118"/>
        <v>Chicken Kabsa</v>
      </c>
      <c r="E1241" s="58" t="s">
        <v>1560</v>
      </c>
      <c r="F1241" s="58" t="s">
        <v>2079</v>
      </c>
      <c r="G1241" s="41" t="s">
        <v>11</v>
      </c>
      <c r="H1241" s="58" t="s">
        <v>1790</v>
      </c>
      <c r="I1241" s="76"/>
      <c r="J1241" s="76"/>
      <c r="K1241" s="58" t="str">
        <f>IFERROR(VLOOKUP(L1241,'Raw material list'!$A$3:$C$715,3,0),"")</f>
        <v>DRS1-3880</v>
      </c>
      <c r="L1241" s="59" t="s">
        <v>1433</v>
      </c>
      <c r="M1241" s="80" t="s">
        <v>156</v>
      </c>
      <c r="N1241" s="40" t="str">
        <f>VLOOKUP(L1241,'Raw material list'!$A$3:$E$715,5,0)</f>
        <v xml:space="preserve">Gram </v>
      </c>
      <c r="O1241" s="80">
        <v>3</v>
      </c>
      <c r="P1241" s="299">
        <f t="shared" si="114"/>
        <v>3</v>
      </c>
      <c r="Q1241" s="303">
        <v>100</v>
      </c>
      <c r="R1241" s="80">
        <v>10</v>
      </c>
      <c r="S1241" s="80"/>
      <c r="T1241" s="105">
        <f t="shared" si="111"/>
        <v>0.3</v>
      </c>
      <c r="U1241" s="105">
        <f t="shared" si="115"/>
        <v>0.3</v>
      </c>
      <c r="V1241" s="104">
        <f>IFERROR(VLOOKUP(L1241,'Raw material list'!$A$2:$S$3102,6,0),0)</f>
        <v>5.0000000000000001E-4</v>
      </c>
      <c r="W1241" s="104">
        <f t="shared" si="116"/>
        <v>1.4999999999999999E-4</v>
      </c>
    </row>
    <row r="1242" spans="1:23" hidden="1" x14ac:dyDescent="0.55000000000000004">
      <c r="A1242" s="76" t="str">
        <f t="shared" si="117"/>
        <v>RCP-SMC-000068</v>
      </c>
      <c r="B1242" s="58" t="s">
        <v>35</v>
      </c>
      <c r="C1242" s="58" t="s">
        <v>10</v>
      </c>
      <c r="D1242" s="76" t="str">
        <f t="shared" si="118"/>
        <v>Chicken Kabsa</v>
      </c>
      <c r="E1242" s="58" t="s">
        <v>1560</v>
      </c>
      <c r="F1242" s="58" t="s">
        <v>2079</v>
      </c>
      <c r="G1242" s="41" t="s">
        <v>11</v>
      </c>
      <c r="H1242" s="58" t="s">
        <v>1790</v>
      </c>
      <c r="I1242" s="76"/>
      <c r="J1242" s="76"/>
      <c r="K1242" s="58" t="str">
        <f>IFERROR(VLOOKUP(L1242,'Raw material list'!$A$3:$C$715,3,0),"")</f>
        <v>PRD1-591</v>
      </c>
      <c r="L1242" s="59" t="s">
        <v>78</v>
      </c>
      <c r="M1242" s="80" t="s">
        <v>156</v>
      </c>
      <c r="N1242" s="40" t="str">
        <f>VLOOKUP(L1242,'Raw material list'!$A$3:$E$715,5,0)</f>
        <v xml:space="preserve">Gram </v>
      </c>
      <c r="O1242" s="80">
        <v>20</v>
      </c>
      <c r="P1242" s="299">
        <f t="shared" si="114"/>
        <v>23.52941176470588</v>
      </c>
      <c r="Q1242" s="105">
        <v>85</v>
      </c>
      <c r="R1242" s="80">
        <v>10</v>
      </c>
      <c r="S1242" s="80"/>
      <c r="T1242" s="105">
        <f t="shared" si="111"/>
        <v>2</v>
      </c>
      <c r="U1242" s="105">
        <f t="shared" si="115"/>
        <v>2.3529411764705879</v>
      </c>
      <c r="V1242" s="104">
        <f>IFERROR(VLOOKUP(L1242,'Raw material list'!$A$2:$S$3102,6,0),0)</f>
        <v>7.0588235294117641E-3</v>
      </c>
      <c r="W1242" s="104">
        <f t="shared" si="116"/>
        <v>1.6608996539792382E-2</v>
      </c>
    </row>
    <row r="1243" spans="1:23" hidden="1" x14ac:dyDescent="0.55000000000000004">
      <c r="A1243" s="76" t="s">
        <v>1577</v>
      </c>
      <c r="B1243" s="58" t="s">
        <v>35</v>
      </c>
      <c r="C1243" s="58" t="s">
        <v>10</v>
      </c>
      <c r="D1243" s="76" t="s">
        <v>1567</v>
      </c>
      <c r="E1243" s="58" t="s">
        <v>1560</v>
      </c>
      <c r="F1243" s="58" t="s">
        <v>2081</v>
      </c>
      <c r="G1243" s="41" t="s">
        <v>11</v>
      </c>
      <c r="H1243" s="58" t="s">
        <v>1773</v>
      </c>
      <c r="I1243" s="76"/>
      <c r="J1243" s="76"/>
      <c r="K1243" s="58" t="str">
        <f>IFERROR(VLOOKUP(L1243,'Raw material list'!$A$3:$C$715,3,0),"")</f>
        <v>MET2-585</v>
      </c>
      <c r="L1243" s="59" t="s">
        <v>53</v>
      </c>
      <c r="M1243" s="80" t="s">
        <v>156</v>
      </c>
      <c r="N1243" s="40" t="str">
        <f>VLOOKUP(L1243,'Raw material list'!$A$3:$E$715,5,0)</f>
        <v xml:space="preserve">Gram </v>
      </c>
      <c r="O1243" s="80">
        <v>250</v>
      </c>
      <c r="P1243" s="299">
        <f t="shared" si="114"/>
        <v>288.68360277136264</v>
      </c>
      <c r="Q1243" s="303">
        <v>86.6</v>
      </c>
      <c r="R1243" s="80">
        <v>10</v>
      </c>
      <c r="S1243" s="80"/>
      <c r="T1243" s="105">
        <f t="shared" si="111"/>
        <v>25</v>
      </c>
      <c r="U1243" s="105">
        <f t="shared" si="115"/>
        <v>28.868360277136265</v>
      </c>
      <c r="V1243" s="104">
        <f>IFERROR(VLOOKUP(L1243,'Raw material list'!$A$2:$S$3102,6,0),0)</f>
        <v>4.2630057803468215E-2</v>
      </c>
      <c r="W1243" s="104">
        <f t="shared" si="116"/>
        <v>1.2306598673056646</v>
      </c>
    </row>
    <row r="1244" spans="1:23" hidden="1" x14ac:dyDescent="0.55000000000000004">
      <c r="A1244" s="76" t="str">
        <f t="shared" ref="A1244:A1260" si="119">A1243</f>
        <v>RCP-SMC-000069</v>
      </c>
      <c r="B1244" s="58" t="s">
        <v>35</v>
      </c>
      <c r="C1244" s="58" t="s">
        <v>10</v>
      </c>
      <c r="D1244" s="76" t="str">
        <f t="shared" ref="D1244:D1260" si="120">D1243</f>
        <v>Puree dinner beef and Veg</v>
      </c>
      <c r="E1244" s="58" t="s">
        <v>1560</v>
      </c>
      <c r="F1244" s="58" t="s">
        <v>2079</v>
      </c>
      <c r="G1244" s="41" t="s">
        <v>11</v>
      </c>
      <c r="H1244" s="58" t="s">
        <v>1773</v>
      </c>
      <c r="I1244" s="76"/>
      <c r="J1244" s="76"/>
      <c r="K1244" s="58" t="str">
        <f>IFERROR(VLOOKUP(L1244,'Raw material list'!$A$3:$C$715,3,0),"")</f>
        <v>PRD1-4265</v>
      </c>
      <c r="L1244" s="59" t="s">
        <v>38</v>
      </c>
      <c r="M1244" s="80" t="s">
        <v>156</v>
      </c>
      <c r="N1244" s="40" t="str">
        <f>VLOOKUP(L1244,'Raw material list'!$A$3:$E$715,5,0)</f>
        <v xml:space="preserve">Gram </v>
      </c>
      <c r="O1244" s="80">
        <v>100</v>
      </c>
      <c r="P1244" s="299">
        <f t="shared" si="114"/>
        <v>117.64705882352942</v>
      </c>
      <c r="Q1244" s="105">
        <v>85</v>
      </c>
      <c r="R1244" s="80">
        <v>10</v>
      </c>
      <c r="S1244" s="80"/>
      <c r="T1244" s="105">
        <f t="shared" si="111"/>
        <v>10</v>
      </c>
      <c r="U1244" s="105">
        <f t="shared" si="115"/>
        <v>11.764705882352942</v>
      </c>
      <c r="V1244" s="104">
        <f>IFERROR(VLOOKUP(L1244,'Raw material list'!$A$2:$S$3102,6,0),0)</f>
        <v>3.529411764705882E-3</v>
      </c>
      <c r="W1244" s="104">
        <f t="shared" si="116"/>
        <v>4.1522491349480967E-2</v>
      </c>
    </row>
    <row r="1245" spans="1:23" hidden="1" x14ac:dyDescent="0.55000000000000004">
      <c r="A1245" s="76" t="str">
        <f t="shared" si="119"/>
        <v>RCP-SMC-000069</v>
      </c>
      <c r="B1245" s="58" t="s">
        <v>35</v>
      </c>
      <c r="C1245" s="58" t="s">
        <v>10</v>
      </c>
      <c r="D1245" s="76" t="str">
        <f t="shared" si="120"/>
        <v>Puree dinner beef and Veg</v>
      </c>
      <c r="E1245" s="58" t="s">
        <v>1560</v>
      </c>
      <c r="F1245" s="58" t="s">
        <v>2079</v>
      </c>
      <c r="G1245" s="41" t="s">
        <v>11</v>
      </c>
      <c r="H1245" s="58" t="s">
        <v>1773</v>
      </c>
      <c r="I1245" s="76"/>
      <c r="J1245" s="76"/>
      <c r="K1245" s="58" t="str">
        <f>IFERROR(VLOOKUP(L1245,'Raw material list'!$A$3:$C$715,3,0),"")</f>
        <v>TAP-00001</v>
      </c>
      <c r="L1245" s="59" t="s">
        <v>1405</v>
      </c>
      <c r="M1245" s="80" t="s">
        <v>206</v>
      </c>
      <c r="N1245" s="40" t="str">
        <f>VLOOKUP(L1245,'Raw material list'!$A$3:$E$715,5,0)</f>
        <v>Ml</v>
      </c>
      <c r="O1245" s="80">
        <v>1400</v>
      </c>
      <c r="P1245" s="299">
        <f t="shared" si="114"/>
        <v>1400</v>
      </c>
      <c r="Q1245" s="303">
        <v>100</v>
      </c>
      <c r="R1245" s="80">
        <v>10</v>
      </c>
      <c r="S1245" s="80"/>
      <c r="T1245" s="105">
        <f t="shared" si="111"/>
        <v>140</v>
      </c>
      <c r="U1245" s="105">
        <f t="shared" si="115"/>
        <v>140</v>
      </c>
      <c r="V1245" s="104">
        <f>IFERROR(VLOOKUP(L1245,'Raw material list'!$A$2:$S$3102,6,0),0)</f>
        <v>8.0000000000000007E-5</v>
      </c>
      <c r="W1245" s="104">
        <f t="shared" si="116"/>
        <v>1.1200000000000002E-2</v>
      </c>
    </row>
    <row r="1246" spans="1:23" hidden="1" x14ac:dyDescent="0.55000000000000004">
      <c r="A1246" s="76" t="str">
        <f t="shared" si="119"/>
        <v>RCP-SMC-000069</v>
      </c>
      <c r="B1246" s="58" t="s">
        <v>35</v>
      </c>
      <c r="C1246" s="58" t="s">
        <v>10</v>
      </c>
      <c r="D1246" s="76" t="str">
        <f t="shared" si="120"/>
        <v>Puree dinner beef and Veg</v>
      </c>
      <c r="E1246" s="58" t="s">
        <v>1560</v>
      </c>
      <c r="F1246" s="58" t="s">
        <v>2079</v>
      </c>
      <c r="G1246" s="41" t="s">
        <v>11</v>
      </c>
      <c r="H1246" s="58" t="s">
        <v>1773</v>
      </c>
      <c r="I1246" s="76"/>
      <c r="J1246" s="76"/>
      <c r="K1246" s="58" t="str">
        <f>IFERROR(VLOOKUP(L1246,'Raw material list'!$A$3:$C$715,3,0),"")</f>
        <v>DRS1-3813</v>
      </c>
      <c r="L1246" s="59" t="s">
        <v>67</v>
      </c>
      <c r="M1246" s="80" t="s">
        <v>156</v>
      </c>
      <c r="N1246" s="40" t="str">
        <f>VLOOKUP(L1246,'Raw material list'!$A$3:$E$715,5,0)</f>
        <v xml:space="preserve">Gram </v>
      </c>
      <c r="O1246" s="80">
        <v>10</v>
      </c>
      <c r="P1246" s="299">
        <f t="shared" si="114"/>
        <v>10</v>
      </c>
      <c r="Q1246" s="80">
        <v>100</v>
      </c>
      <c r="R1246" s="80">
        <v>10</v>
      </c>
      <c r="S1246" s="80"/>
      <c r="T1246" s="105">
        <f t="shared" si="111"/>
        <v>1</v>
      </c>
      <c r="U1246" s="105">
        <f t="shared" si="115"/>
        <v>1</v>
      </c>
      <c r="V1246" s="104">
        <f>IFERROR(VLOOKUP(L1246,'Raw material list'!$A$2:$S$3102,6,0),0)</f>
        <v>4.4441666666666664E-2</v>
      </c>
      <c r="W1246" s="104">
        <f t="shared" si="116"/>
        <v>4.4441666666666664E-2</v>
      </c>
    </row>
    <row r="1247" spans="1:23" hidden="1" x14ac:dyDescent="0.55000000000000004">
      <c r="A1247" s="76" t="str">
        <f t="shared" si="119"/>
        <v>RCP-SMC-000069</v>
      </c>
      <c r="B1247" s="58" t="s">
        <v>35</v>
      </c>
      <c r="C1247" s="58" t="s">
        <v>10</v>
      </c>
      <c r="D1247" s="76" t="str">
        <f t="shared" si="120"/>
        <v>Puree dinner beef and Veg</v>
      </c>
      <c r="E1247" s="58" t="s">
        <v>1560</v>
      </c>
      <c r="F1247" s="58" t="s">
        <v>2079</v>
      </c>
      <c r="G1247" s="41" t="s">
        <v>11</v>
      </c>
      <c r="H1247" s="58" t="s">
        <v>1773</v>
      </c>
      <c r="I1247" s="76"/>
      <c r="J1247" s="76"/>
      <c r="K1247" s="58" t="str">
        <f>IFERROR(VLOOKUP(L1247,'Raw material list'!$A$3:$C$715,3,0),"")</f>
        <v>DRS1-1747</v>
      </c>
      <c r="L1247" s="59" t="s">
        <v>44</v>
      </c>
      <c r="M1247" s="80" t="s">
        <v>156</v>
      </c>
      <c r="N1247" s="40" t="str">
        <f>VLOOKUP(L1247,'Raw material list'!$A$3:$E$715,5,0)</f>
        <v xml:space="preserve">Gram </v>
      </c>
      <c r="O1247" s="80">
        <v>60</v>
      </c>
      <c r="P1247" s="299">
        <f t="shared" si="114"/>
        <v>60</v>
      </c>
      <c r="Q1247" s="80">
        <v>100</v>
      </c>
      <c r="R1247" s="80">
        <v>10</v>
      </c>
      <c r="S1247" s="80"/>
      <c r="T1247" s="105">
        <f t="shared" si="111"/>
        <v>6</v>
      </c>
      <c r="U1247" s="105">
        <f t="shared" si="115"/>
        <v>6</v>
      </c>
      <c r="V1247" s="104">
        <f>IFERROR(VLOOKUP(L1247,'Raw material list'!$A$2:$S$3102,6,0),0)</f>
        <v>5.185185185185185E-3</v>
      </c>
      <c r="W1247" s="104">
        <f t="shared" si="116"/>
        <v>3.111111111111111E-2</v>
      </c>
    </row>
    <row r="1248" spans="1:23" hidden="1" x14ac:dyDescent="0.55000000000000004">
      <c r="A1248" s="76" t="str">
        <f t="shared" si="119"/>
        <v>RCP-SMC-000069</v>
      </c>
      <c r="B1248" s="58" t="s">
        <v>35</v>
      </c>
      <c r="C1248" s="58" t="s">
        <v>10</v>
      </c>
      <c r="D1248" s="76" t="str">
        <f t="shared" si="120"/>
        <v>Puree dinner beef and Veg</v>
      </c>
      <c r="E1248" s="58" t="s">
        <v>1560</v>
      </c>
      <c r="F1248" s="58" t="s">
        <v>2079</v>
      </c>
      <c r="G1248" s="41" t="s">
        <v>11</v>
      </c>
      <c r="H1248" s="58" t="s">
        <v>1773</v>
      </c>
      <c r="I1248" s="76"/>
      <c r="J1248" s="76"/>
      <c r="K1248" s="58" t="str">
        <f>IFERROR(VLOOKUP(L1248,'Raw material list'!$A$3:$C$715,3,0),"")</f>
        <v>PRD1-186</v>
      </c>
      <c r="L1248" s="59" t="s">
        <v>37</v>
      </c>
      <c r="M1248" s="80" t="s">
        <v>156</v>
      </c>
      <c r="N1248" s="40" t="str">
        <f>VLOOKUP(L1248,'Raw material list'!$A$3:$E$715,5,0)</f>
        <v xml:space="preserve">Gram </v>
      </c>
      <c r="O1248" s="80">
        <v>125</v>
      </c>
      <c r="P1248" s="299">
        <f t="shared" si="114"/>
        <v>153.0612244897959</v>
      </c>
      <c r="Q1248" s="105">
        <v>81.666666666666671</v>
      </c>
      <c r="R1248" s="80">
        <v>10</v>
      </c>
      <c r="S1248" s="80"/>
      <c r="T1248" s="105">
        <f t="shared" si="111"/>
        <v>12.5</v>
      </c>
      <c r="U1248" s="105">
        <f t="shared" si="115"/>
        <v>15.30612244897959</v>
      </c>
      <c r="V1248" s="104">
        <f>IFERROR(VLOOKUP(L1248,'Raw material list'!$A$2:$S$3102,6,0),0)</f>
        <v>5.8139534883720938E-3</v>
      </c>
      <c r="W1248" s="104">
        <f t="shared" si="116"/>
        <v>8.8989084005695301E-2</v>
      </c>
    </row>
    <row r="1249" spans="1:23" hidden="1" x14ac:dyDescent="0.55000000000000004">
      <c r="A1249" s="76" t="str">
        <f t="shared" si="119"/>
        <v>RCP-SMC-000069</v>
      </c>
      <c r="B1249" s="58" t="s">
        <v>35</v>
      </c>
      <c r="C1249" s="58" t="s">
        <v>10</v>
      </c>
      <c r="D1249" s="76" t="str">
        <f t="shared" si="120"/>
        <v>Puree dinner beef and Veg</v>
      </c>
      <c r="E1249" s="58" t="s">
        <v>1560</v>
      </c>
      <c r="F1249" s="58" t="s">
        <v>2079</v>
      </c>
      <c r="G1249" s="41" t="s">
        <v>11</v>
      </c>
      <c r="H1249" s="58" t="s">
        <v>1773</v>
      </c>
      <c r="I1249" s="76"/>
      <c r="J1249" s="76"/>
      <c r="K1249" s="58" t="str">
        <f>IFERROR(VLOOKUP(L1249,'Raw material list'!$A$3:$C$715,3,0),"")</f>
        <v>DRS5-3866</v>
      </c>
      <c r="L1249" s="59" t="s">
        <v>64</v>
      </c>
      <c r="M1249" s="80" t="s">
        <v>156</v>
      </c>
      <c r="N1249" s="40" t="str">
        <f>VLOOKUP(L1249,'Raw material list'!$A$3:$E$715,5,0)</f>
        <v xml:space="preserve">Gram </v>
      </c>
      <c r="O1249" s="80">
        <v>150</v>
      </c>
      <c r="P1249" s="299">
        <f t="shared" si="114"/>
        <v>150</v>
      </c>
      <c r="Q1249" s="303">
        <v>100</v>
      </c>
      <c r="R1249" s="80">
        <v>10</v>
      </c>
      <c r="S1249" s="80"/>
      <c r="T1249" s="105">
        <f t="shared" si="111"/>
        <v>15</v>
      </c>
      <c r="U1249" s="105">
        <f t="shared" si="115"/>
        <v>15</v>
      </c>
      <c r="V1249" s="104">
        <f>IFERROR(VLOOKUP(L1249,'Raw material list'!$A$2:$S$3102,6,0),0)</f>
        <v>0.02</v>
      </c>
      <c r="W1249" s="104">
        <f t="shared" si="116"/>
        <v>0.3</v>
      </c>
    </row>
    <row r="1250" spans="1:23" hidden="1" x14ac:dyDescent="0.55000000000000004">
      <c r="A1250" s="76" t="str">
        <f t="shared" si="119"/>
        <v>RCP-SMC-000069</v>
      </c>
      <c r="B1250" s="58" t="s">
        <v>35</v>
      </c>
      <c r="C1250" s="58" t="s">
        <v>10</v>
      </c>
      <c r="D1250" s="76" t="str">
        <f t="shared" si="120"/>
        <v>Puree dinner beef and Veg</v>
      </c>
      <c r="E1250" s="58" t="s">
        <v>1560</v>
      </c>
      <c r="F1250" s="58" t="s">
        <v>2079</v>
      </c>
      <c r="G1250" s="41" t="s">
        <v>11</v>
      </c>
      <c r="H1250" s="58" t="s">
        <v>1773</v>
      </c>
      <c r="I1250" s="76"/>
      <c r="J1250" s="76"/>
      <c r="K1250" s="58" t="str">
        <f>IFERROR(VLOOKUP(L1250,'Raw material list'!$A$3:$C$715,3,0),"")</f>
        <v>PRD1-230</v>
      </c>
      <c r="L1250" s="59" t="s">
        <v>70</v>
      </c>
      <c r="M1250" s="80" t="s">
        <v>156</v>
      </c>
      <c r="N1250" s="40" t="str">
        <f>VLOOKUP(L1250,'Raw material list'!$A$3:$E$715,5,0)</f>
        <v xml:space="preserve">Gram </v>
      </c>
      <c r="O1250" s="80">
        <v>300</v>
      </c>
      <c r="P1250" s="299">
        <f t="shared" si="114"/>
        <v>404.85829959514172</v>
      </c>
      <c r="Q1250" s="105">
        <v>74.099999999999994</v>
      </c>
      <c r="R1250" s="80">
        <v>10</v>
      </c>
      <c r="S1250" s="80"/>
      <c r="T1250" s="105">
        <f t="shared" si="111"/>
        <v>30</v>
      </c>
      <c r="U1250" s="105">
        <f t="shared" si="115"/>
        <v>40.48582995951417</v>
      </c>
      <c r="V1250" s="104">
        <f>IFERROR(VLOOKUP(L1250,'Raw material list'!$A$2:$S$3102,6,0),0)</f>
        <v>3.3738191632928472E-3</v>
      </c>
      <c r="W1250" s="104">
        <f t="shared" si="116"/>
        <v>0.13659186895922459</v>
      </c>
    </row>
    <row r="1251" spans="1:23" hidden="1" x14ac:dyDescent="0.55000000000000004">
      <c r="A1251" s="76" t="str">
        <f t="shared" si="119"/>
        <v>RCP-SMC-000069</v>
      </c>
      <c r="B1251" s="58" t="s">
        <v>35</v>
      </c>
      <c r="C1251" s="58" t="s">
        <v>10</v>
      </c>
      <c r="D1251" s="76" t="str">
        <f t="shared" si="120"/>
        <v>Puree dinner beef and Veg</v>
      </c>
      <c r="E1251" s="58" t="s">
        <v>1560</v>
      </c>
      <c r="F1251" s="58" t="s">
        <v>2079</v>
      </c>
      <c r="G1251" s="41" t="s">
        <v>11</v>
      </c>
      <c r="H1251" s="58" t="s">
        <v>1773</v>
      </c>
      <c r="I1251" s="76"/>
      <c r="J1251" s="76"/>
      <c r="K1251" s="58" t="str">
        <f>IFERROR(VLOOKUP(L1251,'Raw material list'!$A$3:$C$715,3,0),"")</f>
        <v>PRD1-4265</v>
      </c>
      <c r="L1251" s="59" t="s">
        <v>38</v>
      </c>
      <c r="M1251" s="80" t="s">
        <v>156</v>
      </c>
      <c r="N1251" s="40" t="str">
        <f>VLOOKUP(L1251,'Raw material list'!$A$3:$E$715,5,0)</f>
        <v xml:space="preserve">Gram </v>
      </c>
      <c r="O1251" s="80">
        <v>125</v>
      </c>
      <c r="P1251" s="299">
        <f t="shared" si="114"/>
        <v>147.05882352941177</v>
      </c>
      <c r="Q1251" s="105">
        <v>85</v>
      </c>
      <c r="R1251" s="80">
        <v>10</v>
      </c>
      <c r="S1251" s="80"/>
      <c r="T1251" s="105">
        <f t="shared" si="111"/>
        <v>12.5</v>
      </c>
      <c r="U1251" s="105">
        <f t="shared" si="115"/>
        <v>14.705882352941178</v>
      </c>
      <c r="V1251" s="104">
        <f>IFERROR(VLOOKUP(L1251,'Raw material list'!$A$2:$S$3102,6,0),0)</f>
        <v>3.529411764705882E-3</v>
      </c>
      <c r="W1251" s="104">
        <f t="shared" si="116"/>
        <v>5.1903114186851208E-2</v>
      </c>
    </row>
    <row r="1252" spans="1:23" hidden="1" x14ac:dyDescent="0.55000000000000004">
      <c r="A1252" s="76" t="str">
        <f t="shared" si="119"/>
        <v>RCP-SMC-000069</v>
      </c>
      <c r="B1252" s="58" t="s">
        <v>35</v>
      </c>
      <c r="C1252" s="58" t="s">
        <v>10</v>
      </c>
      <c r="D1252" s="76" t="str">
        <f t="shared" si="120"/>
        <v>Puree dinner beef and Veg</v>
      </c>
      <c r="E1252" s="58" t="s">
        <v>1560</v>
      </c>
      <c r="F1252" s="58" t="s">
        <v>2079</v>
      </c>
      <c r="G1252" s="41" t="s">
        <v>11</v>
      </c>
      <c r="H1252" s="58" t="s">
        <v>1773</v>
      </c>
      <c r="I1252" s="76"/>
      <c r="J1252" s="76"/>
      <c r="K1252" s="58" t="str">
        <f>IFERROR(VLOOKUP(L1252,'Raw material list'!$A$3:$C$715,3,0),"")</f>
        <v>TAP-00001</v>
      </c>
      <c r="L1252" s="59" t="s">
        <v>1405</v>
      </c>
      <c r="M1252" s="80" t="s">
        <v>206</v>
      </c>
      <c r="N1252" s="40" t="str">
        <f>VLOOKUP(L1252,'Raw material list'!$A$3:$E$715,5,0)</f>
        <v>Ml</v>
      </c>
      <c r="O1252" s="80">
        <v>600</v>
      </c>
      <c r="P1252" s="299">
        <f t="shared" si="114"/>
        <v>600</v>
      </c>
      <c r="Q1252" s="303">
        <v>100</v>
      </c>
      <c r="R1252" s="80">
        <v>10</v>
      </c>
      <c r="S1252" s="80"/>
      <c r="T1252" s="105">
        <f t="shared" si="111"/>
        <v>60</v>
      </c>
      <c r="U1252" s="105">
        <f t="shared" si="115"/>
        <v>60</v>
      </c>
      <c r="V1252" s="104">
        <f>IFERROR(VLOOKUP(L1252,'Raw material list'!$A$2:$S$3102,6,0),0)</f>
        <v>8.0000000000000007E-5</v>
      </c>
      <c r="W1252" s="104">
        <f t="shared" si="116"/>
        <v>4.8000000000000004E-3</v>
      </c>
    </row>
    <row r="1253" spans="1:23" hidden="1" x14ac:dyDescent="0.55000000000000004">
      <c r="A1253" s="76" t="str">
        <f t="shared" si="119"/>
        <v>RCP-SMC-000069</v>
      </c>
      <c r="B1253" s="58" t="s">
        <v>35</v>
      </c>
      <c r="C1253" s="58" t="s">
        <v>10</v>
      </c>
      <c r="D1253" s="76" t="str">
        <f t="shared" si="120"/>
        <v>Puree dinner beef and Veg</v>
      </c>
      <c r="E1253" s="58" t="s">
        <v>1560</v>
      </c>
      <c r="F1253" s="58" t="s">
        <v>2079</v>
      </c>
      <c r="G1253" s="41" t="s">
        <v>11</v>
      </c>
      <c r="H1253" s="58" t="s">
        <v>1773</v>
      </c>
      <c r="I1253" s="76"/>
      <c r="J1253" s="76"/>
      <c r="K1253" s="58" t="str">
        <f>IFERROR(VLOOKUP(L1253,'Raw material list'!$A$3:$C$715,3,0),"")</f>
        <v>DRS5-59</v>
      </c>
      <c r="L1253" s="59" t="s">
        <v>59</v>
      </c>
      <c r="M1253" s="80" t="s">
        <v>156</v>
      </c>
      <c r="N1253" s="40" t="str">
        <f>VLOOKUP(L1253,'Raw material list'!$A$3:$E$715,5,0)</f>
        <v xml:space="preserve">Gram </v>
      </c>
      <c r="O1253" s="80">
        <v>75</v>
      </c>
      <c r="P1253" s="299">
        <f t="shared" si="114"/>
        <v>75</v>
      </c>
      <c r="Q1253" s="80">
        <v>100</v>
      </c>
      <c r="R1253" s="80">
        <v>10</v>
      </c>
      <c r="S1253" s="80"/>
      <c r="T1253" s="105">
        <f t="shared" si="111"/>
        <v>7.5</v>
      </c>
      <c r="U1253" s="105">
        <f t="shared" si="115"/>
        <v>7.5</v>
      </c>
      <c r="V1253" s="104">
        <f>IFERROR(VLOOKUP(L1253,'Raw material list'!$A$2:$S$3102,6,0),0)</f>
        <v>1.4319999999999999E-2</v>
      </c>
      <c r="W1253" s="104">
        <f t="shared" si="116"/>
        <v>0.1074</v>
      </c>
    </row>
    <row r="1254" spans="1:23" hidden="1" x14ac:dyDescent="0.55000000000000004">
      <c r="A1254" s="76" t="str">
        <f t="shared" si="119"/>
        <v>RCP-SMC-000069</v>
      </c>
      <c r="B1254" s="58" t="s">
        <v>35</v>
      </c>
      <c r="C1254" s="58" t="s">
        <v>10</v>
      </c>
      <c r="D1254" s="76" t="str">
        <f t="shared" si="120"/>
        <v>Puree dinner beef and Veg</v>
      </c>
      <c r="E1254" s="58" t="s">
        <v>1560</v>
      </c>
      <c r="F1254" s="58" t="s">
        <v>2079</v>
      </c>
      <c r="G1254" s="41" t="s">
        <v>11</v>
      </c>
      <c r="H1254" s="58" t="s">
        <v>1773</v>
      </c>
      <c r="I1254" s="76"/>
      <c r="J1254" s="76"/>
      <c r="K1254" s="58" t="str">
        <f>IFERROR(VLOOKUP(L1254,'Raw material list'!$A$3:$C$715,3,0),"")</f>
        <v>PRD1-232</v>
      </c>
      <c r="L1254" s="59" t="s">
        <v>116</v>
      </c>
      <c r="M1254" s="80" t="s">
        <v>156</v>
      </c>
      <c r="N1254" s="40" t="str">
        <f>VLOOKUP(L1254,'Raw material list'!$A$3:$E$715,5,0)</f>
        <v xml:space="preserve">Gram </v>
      </c>
      <c r="O1254" s="80">
        <v>100</v>
      </c>
      <c r="P1254" s="299">
        <f t="shared" si="114"/>
        <v>138.88888888888889</v>
      </c>
      <c r="Q1254" s="105">
        <v>72</v>
      </c>
      <c r="R1254" s="80">
        <v>10</v>
      </c>
      <c r="S1254" s="80"/>
      <c r="T1254" s="105">
        <f t="shared" si="111"/>
        <v>10</v>
      </c>
      <c r="U1254" s="105">
        <f t="shared" si="115"/>
        <v>13.888888888888889</v>
      </c>
      <c r="V1254" s="104">
        <f>IFERROR(VLOOKUP(L1254,'Raw material list'!$A$2:$S$3102,6,0),0)</f>
        <v>4.4444444444444444E-3</v>
      </c>
      <c r="W1254" s="104">
        <f t="shared" si="116"/>
        <v>6.1728395061728399E-2</v>
      </c>
    </row>
    <row r="1255" spans="1:23" hidden="1" x14ac:dyDescent="0.55000000000000004">
      <c r="A1255" s="76" t="str">
        <f t="shared" si="119"/>
        <v>RCP-SMC-000069</v>
      </c>
      <c r="B1255" s="58" t="s">
        <v>35</v>
      </c>
      <c r="C1255" s="58" t="s">
        <v>10</v>
      </c>
      <c r="D1255" s="76" t="str">
        <f t="shared" si="120"/>
        <v>Puree dinner beef and Veg</v>
      </c>
      <c r="E1255" s="58" t="s">
        <v>1560</v>
      </c>
      <c r="F1255" s="58" t="s">
        <v>2079</v>
      </c>
      <c r="G1255" s="41" t="s">
        <v>11</v>
      </c>
      <c r="H1255" s="58" t="s">
        <v>1773</v>
      </c>
      <c r="I1255" s="76"/>
      <c r="J1255" s="76"/>
      <c r="K1255" s="58" t="str">
        <f>IFERROR(VLOOKUP(L1255,'Raw material list'!$A$3:$C$715,3,0),"")</f>
        <v>PRD1-186</v>
      </c>
      <c r="L1255" s="59" t="s">
        <v>37</v>
      </c>
      <c r="M1255" s="80" t="s">
        <v>156</v>
      </c>
      <c r="N1255" s="40" t="str">
        <f>VLOOKUP(L1255,'Raw material list'!$A$3:$E$715,5,0)</f>
        <v xml:space="preserve">Gram </v>
      </c>
      <c r="O1255" s="80">
        <v>100</v>
      </c>
      <c r="P1255" s="299">
        <f t="shared" si="114"/>
        <v>122.44897959183673</v>
      </c>
      <c r="Q1255" s="105">
        <v>81.666666666666671</v>
      </c>
      <c r="R1255" s="80">
        <v>10</v>
      </c>
      <c r="S1255" s="80"/>
      <c r="T1255" s="105">
        <f t="shared" si="111"/>
        <v>10</v>
      </c>
      <c r="U1255" s="105">
        <f t="shared" si="115"/>
        <v>12.244897959183673</v>
      </c>
      <c r="V1255" s="104">
        <f>IFERROR(VLOOKUP(L1255,'Raw material list'!$A$2:$S$3102,6,0),0)</f>
        <v>5.8139534883720938E-3</v>
      </c>
      <c r="W1255" s="104">
        <f t="shared" si="116"/>
        <v>7.1191267204556249E-2</v>
      </c>
    </row>
    <row r="1256" spans="1:23" hidden="1" x14ac:dyDescent="0.55000000000000004">
      <c r="A1256" s="76" t="str">
        <f t="shared" si="119"/>
        <v>RCP-SMC-000069</v>
      </c>
      <c r="B1256" s="58" t="s">
        <v>35</v>
      </c>
      <c r="C1256" s="58" t="s">
        <v>10</v>
      </c>
      <c r="D1256" s="76" t="str">
        <f t="shared" si="120"/>
        <v>Puree dinner beef and Veg</v>
      </c>
      <c r="E1256" s="58" t="s">
        <v>1560</v>
      </c>
      <c r="F1256" s="58" t="s">
        <v>2079</v>
      </c>
      <c r="G1256" s="41" t="s">
        <v>11</v>
      </c>
      <c r="H1256" s="58" t="s">
        <v>1773</v>
      </c>
      <c r="I1256" s="76"/>
      <c r="J1256" s="76"/>
      <c r="K1256" s="58" t="str">
        <f>IFERROR(VLOOKUP(L1256,'Raw material list'!$A$3:$C$715,3,0),"")</f>
        <v>DRS5-3866</v>
      </c>
      <c r="L1256" s="59" t="s">
        <v>64</v>
      </c>
      <c r="M1256" s="80" t="s">
        <v>156</v>
      </c>
      <c r="N1256" s="40" t="str">
        <f>VLOOKUP(L1256,'Raw material list'!$A$3:$E$715,5,0)</f>
        <v xml:space="preserve">Gram </v>
      </c>
      <c r="O1256" s="80">
        <v>150</v>
      </c>
      <c r="P1256" s="299">
        <f t="shared" si="114"/>
        <v>150</v>
      </c>
      <c r="Q1256" s="303">
        <v>100</v>
      </c>
      <c r="R1256" s="80">
        <v>10</v>
      </c>
      <c r="S1256" s="80"/>
      <c r="T1256" s="105">
        <f t="shared" si="111"/>
        <v>15</v>
      </c>
      <c r="U1256" s="105">
        <f t="shared" si="115"/>
        <v>15</v>
      </c>
      <c r="V1256" s="104">
        <f>IFERROR(VLOOKUP(L1256,'Raw material list'!$A$2:$S$3102,6,0),0)</f>
        <v>0.02</v>
      </c>
      <c r="W1256" s="104">
        <f t="shared" si="116"/>
        <v>0.3</v>
      </c>
    </row>
    <row r="1257" spans="1:23" hidden="1" x14ac:dyDescent="0.55000000000000004">
      <c r="A1257" s="76" t="str">
        <f t="shared" si="119"/>
        <v>RCP-SMC-000069</v>
      </c>
      <c r="B1257" s="58" t="s">
        <v>35</v>
      </c>
      <c r="C1257" s="58" t="s">
        <v>10</v>
      </c>
      <c r="D1257" s="76" t="str">
        <f t="shared" si="120"/>
        <v>Puree dinner beef and Veg</v>
      </c>
      <c r="E1257" s="58" t="s">
        <v>1560</v>
      </c>
      <c r="F1257" s="58" t="s">
        <v>2079</v>
      </c>
      <c r="G1257" s="41" t="s">
        <v>11</v>
      </c>
      <c r="H1257" s="58" t="s">
        <v>1773</v>
      </c>
      <c r="I1257" s="76"/>
      <c r="J1257" s="76"/>
      <c r="K1257" s="58" t="str">
        <f>IFERROR(VLOOKUP(L1257,'Raw material list'!$A$3:$C$715,3,0),"")</f>
        <v>TAP-00001</v>
      </c>
      <c r="L1257" s="59" t="s">
        <v>1405</v>
      </c>
      <c r="M1257" s="80" t="s">
        <v>206</v>
      </c>
      <c r="N1257" s="40" t="str">
        <f>VLOOKUP(L1257,'Raw material list'!$A$3:$E$715,5,0)</f>
        <v>Ml</v>
      </c>
      <c r="O1257" s="80">
        <v>2000</v>
      </c>
      <c r="P1257" s="299">
        <f t="shared" si="114"/>
        <v>2000</v>
      </c>
      <c r="Q1257" s="80">
        <v>100</v>
      </c>
      <c r="R1257" s="80">
        <v>10</v>
      </c>
      <c r="S1257" s="80"/>
      <c r="T1257" s="105">
        <f t="shared" si="111"/>
        <v>200</v>
      </c>
      <c r="U1257" s="105">
        <f t="shared" si="115"/>
        <v>200</v>
      </c>
      <c r="V1257" s="104">
        <f>IFERROR(VLOOKUP(L1257,'Raw material list'!$A$2:$S$3102,6,0),0)</f>
        <v>8.0000000000000007E-5</v>
      </c>
      <c r="W1257" s="104">
        <f t="shared" si="116"/>
        <v>1.6E-2</v>
      </c>
    </row>
    <row r="1258" spans="1:23" hidden="1" x14ac:dyDescent="0.55000000000000004">
      <c r="A1258" s="76" t="str">
        <f t="shared" si="119"/>
        <v>RCP-SMC-000069</v>
      </c>
      <c r="B1258" s="58" t="s">
        <v>35</v>
      </c>
      <c r="C1258" s="58" t="s">
        <v>10</v>
      </c>
      <c r="D1258" s="76" t="str">
        <f t="shared" si="120"/>
        <v>Puree dinner beef and Veg</v>
      </c>
      <c r="E1258" s="58" t="s">
        <v>1560</v>
      </c>
      <c r="F1258" s="58" t="s">
        <v>2079</v>
      </c>
      <c r="G1258" s="41" t="s">
        <v>11</v>
      </c>
      <c r="H1258" s="58" t="s">
        <v>1773</v>
      </c>
      <c r="I1258" s="76"/>
      <c r="J1258" s="76"/>
      <c r="K1258" s="58" t="str">
        <f>IFERROR(VLOOKUP(L1258,'Raw material list'!$A$3:$C$715,3,0),"")</f>
        <v>DRS6-309</v>
      </c>
      <c r="L1258" s="59" t="s">
        <v>61</v>
      </c>
      <c r="M1258" s="80" t="s">
        <v>156</v>
      </c>
      <c r="N1258" s="40" t="str">
        <f>VLOOKUP(L1258,'Raw material list'!$A$3:$E$715,5,0)</f>
        <v xml:space="preserve">Gram </v>
      </c>
      <c r="O1258" s="80">
        <v>1</v>
      </c>
      <c r="P1258" s="299">
        <f t="shared" si="114"/>
        <v>1</v>
      </c>
      <c r="Q1258" s="80">
        <v>100</v>
      </c>
      <c r="R1258" s="80">
        <v>10</v>
      </c>
      <c r="S1258" s="80"/>
      <c r="T1258" s="105">
        <f t="shared" si="111"/>
        <v>0.1</v>
      </c>
      <c r="U1258" s="105">
        <f t="shared" si="115"/>
        <v>0.1</v>
      </c>
      <c r="V1258" s="104">
        <f>IFERROR(VLOOKUP(L1258,'Raw material list'!$A$2:$S$3102,6,0),0)</f>
        <v>2.8000000000000001E-2</v>
      </c>
      <c r="W1258" s="104">
        <f t="shared" si="116"/>
        <v>2.8000000000000004E-3</v>
      </c>
    </row>
    <row r="1259" spans="1:23" hidden="1" x14ac:dyDescent="0.55000000000000004">
      <c r="A1259" s="76" t="str">
        <f t="shared" si="119"/>
        <v>RCP-SMC-000069</v>
      </c>
      <c r="B1259" s="58" t="s">
        <v>35</v>
      </c>
      <c r="C1259" s="58" t="s">
        <v>10</v>
      </c>
      <c r="D1259" s="76" t="str">
        <f t="shared" si="120"/>
        <v>Puree dinner beef and Veg</v>
      </c>
      <c r="E1259" s="58" t="s">
        <v>1560</v>
      </c>
      <c r="F1259" s="58" t="s">
        <v>2079</v>
      </c>
      <c r="G1259" s="41" t="s">
        <v>11</v>
      </c>
      <c r="H1259" s="58" t="s">
        <v>1773</v>
      </c>
      <c r="I1259" s="76"/>
      <c r="J1259" s="76"/>
      <c r="K1259" s="58" t="str">
        <f>IFERROR(VLOOKUP(L1259,'Raw material list'!$A$3:$C$715,3,0),"")</f>
        <v>DRY2-1858</v>
      </c>
      <c r="L1259" s="59" t="s">
        <v>60</v>
      </c>
      <c r="M1259" s="80" t="s">
        <v>206</v>
      </c>
      <c r="N1259" s="40" t="str">
        <f>VLOOKUP(L1259,'Raw material list'!$A$3:$E$715,5,0)</f>
        <v>Ml</v>
      </c>
      <c r="O1259" s="80">
        <v>75</v>
      </c>
      <c r="P1259" s="299">
        <f t="shared" si="114"/>
        <v>75</v>
      </c>
      <c r="Q1259" s="80">
        <v>100</v>
      </c>
      <c r="R1259" s="80">
        <v>10</v>
      </c>
      <c r="S1259" s="80"/>
      <c r="T1259" s="105">
        <f t="shared" si="111"/>
        <v>7.5</v>
      </c>
      <c r="U1259" s="105">
        <f t="shared" si="115"/>
        <v>7.5</v>
      </c>
      <c r="V1259" s="104">
        <f>IFERROR(VLOOKUP(L1259,'Raw material list'!$A$2:$S$3102,6,0),0)</f>
        <v>9.8800000000000016E-3</v>
      </c>
      <c r="W1259" s="104">
        <f t="shared" si="116"/>
        <v>7.4100000000000013E-2</v>
      </c>
    </row>
    <row r="1260" spans="1:23" hidden="1" x14ac:dyDescent="0.55000000000000004">
      <c r="A1260" s="76" t="str">
        <f t="shared" si="119"/>
        <v>RCP-SMC-000069</v>
      </c>
      <c r="B1260" s="58" t="s">
        <v>35</v>
      </c>
      <c r="C1260" s="58" t="s">
        <v>10</v>
      </c>
      <c r="D1260" s="76" t="str">
        <f t="shared" si="120"/>
        <v>Puree dinner beef and Veg</v>
      </c>
      <c r="E1260" s="58" t="s">
        <v>1560</v>
      </c>
      <c r="F1260" s="58" t="s">
        <v>2079</v>
      </c>
      <c r="G1260" s="41" t="s">
        <v>11</v>
      </c>
      <c r="H1260" s="58" t="s">
        <v>1773</v>
      </c>
      <c r="I1260" s="76"/>
      <c r="J1260" s="76"/>
      <c r="K1260" s="58" t="str">
        <f>IFERROR(VLOOKUP(L1260,'Raw material list'!$A$3:$C$715,3,0),"")</f>
        <v>DRY2-1008</v>
      </c>
      <c r="L1260" s="59" t="s">
        <v>57</v>
      </c>
      <c r="M1260" s="80" t="s">
        <v>156</v>
      </c>
      <c r="N1260" s="40" t="str">
        <f>VLOOKUP(L1260,'Raw material list'!$A$3:$E$715,5,0)</f>
        <v xml:space="preserve">Gram </v>
      </c>
      <c r="O1260" s="80">
        <v>25</v>
      </c>
      <c r="P1260" s="299">
        <f t="shared" si="114"/>
        <v>25</v>
      </c>
      <c r="Q1260" s="80">
        <v>100</v>
      </c>
      <c r="R1260" s="80">
        <v>10</v>
      </c>
      <c r="S1260" s="80"/>
      <c r="T1260" s="105">
        <f t="shared" si="111"/>
        <v>2.5</v>
      </c>
      <c r="U1260" s="105">
        <f t="shared" si="115"/>
        <v>2.5</v>
      </c>
      <c r="V1260" s="104">
        <f>IFERROR(VLOOKUP(L1260,'Raw material list'!$A$2:$S$3102,6,0),0)</f>
        <v>0.03</v>
      </c>
      <c r="W1260" s="104">
        <f t="shared" si="116"/>
        <v>7.4999999999999997E-2</v>
      </c>
    </row>
    <row r="1261" spans="1:23" hidden="1" x14ac:dyDescent="0.55000000000000004">
      <c r="A1261" s="76" t="s">
        <v>1578</v>
      </c>
      <c r="B1261" s="58" t="s">
        <v>35</v>
      </c>
      <c r="C1261" s="58" t="s">
        <v>10</v>
      </c>
      <c r="D1261" s="76" t="s">
        <v>1568</v>
      </c>
      <c r="E1261" s="58" t="s">
        <v>1560</v>
      </c>
      <c r="F1261" s="58" t="s">
        <v>2081</v>
      </c>
      <c r="G1261" s="41" t="s">
        <v>11</v>
      </c>
      <c r="H1261" s="58" t="s">
        <v>1790</v>
      </c>
      <c r="I1261" s="76"/>
      <c r="J1261" s="76"/>
      <c r="K1261" s="58" t="str">
        <f>IFERROR(VLOOKUP(L1261,'Raw material list'!$A$3:$C$715,3,0),"")</f>
        <v>PLT2-3278</v>
      </c>
      <c r="L1261" s="59" t="s">
        <v>80</v>
      </c>
      <c r="M1261" s="80" t="s">
        <v>156</v>
      </c>
      <c r="N1261" s="40" t="str">
        <f>VLOOKUP(L1261,'Raw material list'!$A$3:$E$715,5,0)</f>
        <v xml:space="preserve">Gram </v>
      </c>
      <c r="O1261" s="80">
        <v>1200</v>
      </c>
      <c r="P1261" s="299">
        <f t="shared" si="114"/>
        <v>1574.803149606299</v>
      </c>
      <c r="Q1261" s="80">
        <v>76.2</v>
      </c>
      <c r="R1261" s="80">
        <v>10</v>
      </c>
      <c r="S1261" s="80"/>
      <c r="T1261" s="105">
        <f t="shared" si="111"/>
        <v>120</v>
      </c>
      <c r="U1261" s="105">
        <f t="shared" si="115"/>
        <v>157.4803149606299</v>
      </c>
      <c r="V1261" s="104">
        <f>IFERROR(VLOOKUP(L1261,'Raw material list'!$A$2:$S$3102,6,0),0)</f>
        <v>3.0357142857142853E-2</v>
      </c>
      <c r="W1261" s="104">
        <f t="shared" si="116"/>
        <v>4.7806524184476924</v>
      </c>
    </row>
    <row r="1262" spans="1:23" hidden="1" x14ac:dyDescent="0.55000000000000004">
      <c r="A1262" s="76" t="str">
        <f t="shared" ref="A1262:A1272" si="121">A1261</f>
        <v>RCP-SMC-000070</v>
      </c>
      <c r="B1262" s="58" t="s">
        <v>35</v>
      </c>
      <c r="C1262" s="58" t="s">
        <v>10</v>
      </c>
      <c r="D1262" s="76" t="str">
        <f t="shared" ref="D1262:D1272" si="122">D1261</f>
        <v>Boiled Chicken and Vege Soft Rice</v>
      </c>
      <c r="E1262" s="58" t="s">
        <v>1560</v>
      </c>
      <c r="F1262" s="58" t="s">
        <v>2079</v>
      </c>
      <c r="G1262" s="41" t="s">
        <v>11</v>
      </c>
      <c r="H1262" s="58" t="s">
        <v>1790</v>
      </c>
      <c r="I1262" s="76"/>
      <c r="J1262" s="76"/>
      <c r="K1262" s="58" t="str">
        <f>IFERROR(VLOOKUP(L1262,'Raw material list'!$A$3:$C$715,3,0),"")</f>
        <v>DRS4-1457</v>
      </c>
      <c r="L1262" s="59" t="s">
        <v>43</v>
      </c>
      <c r="M1262" s="80" t="s">
        <v>156</v>
      </c>
      <c r="N1262" s="40" t="str">
        <f>VLOOKUP(L1262,'Raw material list'!$A$3:$E$715,5,0)</f>
        <v xml:space="preserve">Gram </v>
      </c>
      <c r="O1262" s="80">
        <v>100</v>
      </c>
      <c r="P1262" s="299">
        <f t="shared" si="114"/>
        <v>100</v>
      </c>
      <c r="Q1262" s="80">
        <v>100</v>
      </c>
      <c r="R1262" s="80">
        <v>10</v>
      </c>
      <c r="S1262" s="80"/>
      <c r="T1262" s="105">
        <f t="shared" si="111"/>
        <v>10</v>
      </c>
      <c r="U1262" s="105">
        <f t="shared" si="115"/>
        <v>10</v>
      </c>
      <c r="V1262" s="104">
        <f>IFERROR(VLOOKUP(L1262,'Raw material list'!$A$2:$S$3102,6,0),0)</f>
        <v>6.4999999999999997E-3</v>
      </c>
      <c r="W1262" s="104">
        <f t="shared" si="116"/>
        <v>6.5000000000000002E-2</v>
      </c>
    </row>
    <row r="1263" spans="1:23" hidden="1" x14ac:dyDescent="0.55000000000000004">
      <c r="A1263" s="76" t="str">
        <f t="shared" si="121"/>
        <v>RCP-SMC-000070</v>
      </c>
      <c r="B1263" s="58" t="s">
        <v>35</v>
      </c>
      <c r="C1263" s="58" t="s">
        <v>10</v>
      </c>
      <c r="D1263" s="76" t="str">
        <f t="shared" si="122"/>
        <v>Boiled Chicken and Vege Soft Rice</v>
      </c>
      <c r="E1263" s="58" t="s">
        <v>1560</v>
      </c>
      <c r="F1263" s="58" t="s">
        <v>2079</v>
      </c>
      <c r="G1263" s="41" t="s">
        <v>11</v>
      </c>
      <c r="H1263" s="58" t="s">
        <v>1790</v>
      </c>
      <c r="I1263" s="76"/>
      <c r="J1263" s="76"/>
      <c r="K1263" s="58" t="str">
        <f>IFERROR(VLOOKUP(L1263,'Raw material list'!$A$3:$C$715,3,0),"")</f>
        <v>TAP-00001</v>
      </c>
      <c r="L1263" s="59" t="s">
        <v>1405</v>
      </c>
      <c r="M1263" s="80" t="s">
        <v>206</v>
      </c>
      <c r="N1263" s="40" t="str">
        <f>VLOOKUP(L1263,'Raw material list'!$A$3:$E$715,5,0)</f>
        <v>Ml</v>
      </c>
      <c r="O1263" s="80">
        <v>2500</v>
      </c>
      <c r="P1263" s="299">
        <f t="shared" si="114"/>
        <v>2500</v>
      </c>
      <c r="Q1263" s="80">
        <v>100</v>
      </c>
      <c r="R1263" s="80">
        <v>10</v>
      </c>
      <c r="S1263" s="80"/>
      <c r="T1263" s="105">
        <f t="shared" si="111"/>
        <v>250</v>
      </c>
      <c r="U1263" s="105">
        <f t="shared" si="115"/>
        <v>250</v>
      </c>
      <c r="V1263" s="104">
        <f>IFERROR(VLOOKUP(L1263,'Raw material list'!$A$2:$S$3102,6,0),0)</f>
        <v>8.0000000000000007E-5</v>
      </c>
      <c r="W1263" s="104">
        <f t="shared" si="116"/>
        <v>0.02</v>
      </c>
    </row>
    <row r="1264" spans="1:23" hidden="1" x14ac:dyDescent="0.55000000000000004">
      <c r="A1264" s="76" t="str">
        <f t="shared" si="121"/>
        <v>RCP-SMC-000070</v>
      </c>
      <c r="B1264" s="58" t="s">
        <v>35</v>
      </c>
      <c r="C1264" s="58" t="s">
        <v>10</v>
      </c>
      <c r="D1264" s="76" t="str">
        <f t="shared" si="122"/>
        <v>Boiled Chicken and Vege Soft Rice</v>
      </c>
      <c r="E1264" s="58" t="s">
        <v>1560</v>
      </c>
      <c r="F1264" s="58" t="s">
        <v>2079</v>
      </c>
      <c r="G1264" s="41" t="s">
        <v>11</v>
      </c>
      <c r="H1264" s="58" t="s">
        <v>1790</v>
      </c>
      <c r="I1264" s="76"/>
      <c r="J1264" s="76"/>
      <c r="K1264" s="58" t="str">
        <f>IFERROR(VLOOKUP(L1264,'Raw material list'!$A$3:$C$715,3,0),"")</f>
        <v>TAP-00001</v>
      </c>
      <c r="L1264" s="59" t="s">
        <v>1405</v>
      </c>
      <c r="M1264" s="80" t="s">
        <v>206</v>
      </c>
      <c r="N1264" s="40" t="str">
        <f>VLOOKUP(L1264,'Raw material list'!$A$3:$E$715,5,0)</f>
        <v>Ml</v>
      </c>
      <c r="O1264" s="80">
        <v>600</v>
      </c>
      <c r="P1264" s="299">
        <f t="shared" si="114"/>
        <v>600</v>
      </c>
      <c r="Q1264" s="80">
        <v>100</v>
      </c>
      <c r="R1264" s="80">
        <v>10</v>
      </c>
      <c r="S1264" s="80"/>
      <c r="T1264" s="105">
        <f t="shared" si="111"/>
        <v>60</v>
      </c>
      <c r="U1264" s="105">
        <f t="shared" si="115"/>
        <v>60</v>
      </c>
      <c r="V1264" s="104">
        <f>IFERROR(VLOOKUP(L1264,'Raw material list'!$A$2:$S$3102,6,0),0)</f>
        <v>8.0000000000000007E-5</v>
      </c>
      <c r="W1264" s="104">
        <f t="shared" si="116"/>
        <v>4.8000000000000004E-3</v>
      </c>
    </row>
    <row r="1265" spans="1:23" hidden="1" x14ac:dyDescent="0.55000000000000004">
      <c r="A1265" s="76" t="str">
        <f t="shared" si="121"/>
        <v>RCP-SMC-000070</v>
      </c>
      <c r="B1265" s="58" t="s">
        <v>35</v>
      </c>
      <c r="C1265" s="58" t="s">
        <v>10</v>
      </c>
      <c r="D1265" s="76" t="str">
        <f t="shared" si="122"/>
        <v>Boiled Chicken and Vege Soft Rice</v>
      </c>
      <c r="E1265" s="58" t="s">
        <v>1560</v>
      </c>
      <c r="F1265" s="58" t="s">
        <v>2079</v>
      </c>
      <c r="G1265" s="41" t="s">
        <v>11</v>
      </c>
      <c r="H1265" s="58" t="s">
        <v>1790</v>
      </c>
      <c r="I1265" s="76"/>
      <c r="J1265" s="76"/>
      <c r="K1265" s="58" t="str">
        <f>IFERROR(VLOOKUP(L1265,'Raw material list'!$A$3:$C$715,3,0),"")</f>
        <v>DRS5-59</v>
      </c>
      <c r="L1265" s="59" t="s">
        <v>59</v>
      </c>
      <c r="M1265" s="80" t="s">
        <v>156</v>
      </c>
      <c r="N1265" s="40" t="str">
        <f>VLOOKUP(L1265,'Raw material list'!$A$3:$E$715,5,0)</f>
        <v xml:space="preserve">Gram </v>
      </c>
      <c r="O1265" s="80">
        <v>72</v>
      </c>
      <c r="P1265" s="299">
        <f t="shared" si="114"/>
        <v>72</v>
      </c>
      <c r="Q1265" s="80">
        <v>100</v>
      </c>
      <c r="R1265" s="80">
        <v>10</v>
      </c>
      <c r="S1265" s="80"/>
      <c r="T1265" s="105">
        <f t="shared" si="111"/>
        <v>7.2</v>
      </c>
      <c r="U1265" s="105">
        <f t="shared" si="115"/>
        <v>7.2</v>
      </c>
      <c r="V1265" s="104">
        <f>IFERROR(VLOOKUP(L1265,'Raw material list'!$A$2:$S$3102,6,0),0)</f>
        <v>1.4319999999999999E-2</v>
      </c>
      <c r="W1265" s="104">
        <f t="shared" si="116"/>
        <v>0.103104</v>
      </c>
    </row>
    <row r="1266" spans="1:23" hidden="1" x14ac:dyDescent="0.55000000000000004">
      <c r="A1266" s="76" t="str">
        <f t="shared" si="121"/>
        <v>RCP-SMC-000070</v>
      </c>
      <c r="B1266" s="58" t="s">
        <v>35</v>
      </c>
      <c r="C1266" s="58" t="s">
        <v>10</v>
      </c>
      <c r="D1266" s="76" t="str">
        <f t="shared" si="122"/>
        <v>Boiled Chicken and Vege Soft Rice</v>
      </c>
      <c r="E1266" s="58" t="s">
        <v>1560</v>
      </c>
      <c r="F1266" s="58" t="s">
        <v>2079</v>
      </c>
      <c r="G1266" s="41" t="s">
        <v>11</v>
      </c>
      <c r="H1266" s="58" t="s">
        <v>1790</v>
      </c>
      <c r="I1266" s="76"/>
      <c r="J1266" s="76"/>
      <c r="K1266" s="58" t="str">
        <f>IFERROR(VLOOKUP(L1266,'Raw material list'!$A$3:$C$715,3,0),"")</f>
        <v>DRS6-309</v>
      </c>
      <c r="L1266" s="59" t="s">
        <v>61</v>
      </c>
      <c r="M1266" s="80" t="s">
        <v>156</v>
      </c>
      <c r="N1266" s="40" t="str">
        <f>VLOOKUP(L1266,'Raw material list'!$A$3:$E$715,5,0)</f>
        <v xml:space="preserve">Gram </v>
      </c>
      <c r="O1266" s="80">
        <v>1</v>
      </c>
      <c r="P1266" s="299">
        <f t="shared" si="114"/>
        <v>1</v>
      </c>
      <c r="Q1266" s="80">
        <v>100</v>
      </c>
      <c r="R1266" s="80">
        <v>10</v>
      </c>
      <c r="S1266" s="80"/>
      <c r="T1266" s="105">
        <f t="shared" si="111"/>
        <v>0.1</v>
      </c>
      <c r="U1266" s="105">
        <f t="shared" si="115"/>
        <v>0.1</v>
      </c>
      <c r="V1266" s="104">
        <f>IFERROR(VLOOKUP(L1266,'Raw material list'!$A$2:$S$3102,6,0),0)</f>
        <v>2.8000000000000001E-2</v>
      </c>
      <c r="W1266" s="104">
        <f t="shared" si="116"/>
        <v>2.8000000000000004E-3</v>
      </c>
    </row>
    <row r="1267" spans="1:23" hidden="1" x14ac:dyDescent="0.55000000000000004">
      <c r="A1267" s="76" t="str">
        <f t="shared" si="121"/>
        <v>RCP-SMC-000070</v>
      </c>
      <c r="B1267" s="58" t="s">
        <v>35</v>
      </c>
      <c r="C1267" s="58" t="s">
        <v>10</v>
      </c>
      <c r="D1267" s="76" t="str">
        <f t="shared" si="122"/>
        <v>Boiled Chicken and Vege Soft Rice</v>
      </c>
      <c r="E1267" s="58" t="s">
        <v>1560</v>
      </c>
      <c r="F1267" s="58" t="s">
        <v>2079</v>
      </c>
      <c r="G1267" s="41" t="s">
        <v>11</v>
      </c>
      <c r="H1267" s="58" t="s">
        <v>1790</v>
      </c>
      <c r="I1267" s="76"/>
      <c r="J1267" s="76"/>
      <c r="K1267" s="58" t="str">
        <f>IFERROR(VLOOKUP(L1267,'Raw material list'!$A$3:$C$715,3,0),"")</f>
        <v>DRS1-3880</v>
      </c>
      <c r="L1267" s="59" t="s">
        <v>1433</v>
      </c>
      <c r="M1267" s="80" t="s">
        <v>156</v>
      </c>
      <c r="N1267" s="40" t="str">
        <f>VLOOKUP(L1267,'Raw material list'!$A$3:$E$715,5,0)</f>
        <v xml:space="preserve">Gram </v>
      </c>
      <c r="O1267" s="80">
        <v>6</v>
      </c>
      <c r="P1267" s="299">
        <f t="shared" si="114"/>
        <v>6</v>
      </c>
      <c r="Q1267" s="80">
        <v>100</v>
      </c>
      <c r="R1267" s="80">
        <v>10</v>
      </c>
      <c r="S1267" s="80"/>
      <c r="T1267" s="105">
        <f t="shared" si="111"/>
        <v>0.6</v>
      </c>
      <c r="U1267" s="105">
        <f t="shared" si="115"/>
        <v>0.6</v>
      </c>
      <c r="V1267" s="104">
        <f>IFERROR(VLOOKUP(L1267,'Raw material list'!$A$2:$S$3102,6,0),0)</f>
        <v>5.0000000000000001E-4</v>
      </c>
      <c r="W1267" s="104">
        <f t="shared" si="116"/>
        <v>2.9999999999999997E-4</v>
      </c>
    </row>
    <row r="1268" spans="1:23" hidden="1" x14ac:dyDescent="0.55000000000000004">
      <c r="A1268" s="76" t="str">
        <f t="shared" si="121"/>
        <v>RCP-SMC-000070</v>
      </c>
      <c r="B1268" s="58" t="s">
        <v>35</v>
      </c>
      <c r="C1268" s="58" t="s">
        <v>10</v>
      </c>
      <c r="D1268" s="76" t="str">
        <f t="shared" si="122"/>
        <v>Boiled Chicken and Vege Soft Rice</v>
      </c>
      <c r="E1268" s="58" t="s">
        <v>1560</v>
      </c>
      <c r="F1268" s="58" t="s">
        <v>2079</v>
      </c>
      <c r="G1268" s="41" t="s">
        <v>11</v>
      </c>
      <c r="H1268" s="58" t="s">
        <v>1790</v>
      </c>
      <c r="I1268" s="76"/>
      <c r="J1268" s="76"/>
      <c r="K1268" s="58" t="str">
        <f>IFERROR(VLOOKUP(L1268,'Raw material list'!$A$3:$C$715,3,0),"")</f>
        <v>DRY2-1008</v>
      </c>
      <c r="L1268" s="59" t="s">
        <v>57</v>
      </c>
      <c r="M1268" s="80" t="s">
        <v>156</v>
      </c>
      <c r="N1268" s="40" t="str">
        <f>VLOOKUP(L1268,'Raw material list'!$A$3:$E$715,5,0)</f>
        <v xml:space="preserve">Gram </v>
      </c>
      <c r="O1268" s="80">
        <v>25</v>
      </c>
      <c r="P1268" s="299">
        <f t="shared" si="114"/>
        <v>25</v>
      </c>
      <c r="Q1268" s="80">
        <v>100</v>
      </c>
      <c r="R1268" s="80">
        <v>10</v>
      </c>
      <c r="S1268" s="80"/>
      <c r="T1268" s="105">
        <f t="shared" si="111"/>
        <v>2.5</v>
      </c>
      <c r="U1268" s="105">
        <f t="shared" si="115"/>
        <v>2.5</v>
      </c>
      <c r="V1268" s="104">
        <f>IFERROR(VLOOKUP(L1268,'Raw material list'!$A$2:$S$3102,6,0),0)</f>
        <v>0.03</v>
      </c>
      <c r="W1268" s="104">
        <f t="shared" si="116"/>
        <v>7.4999999999999997E-2</v>
      </c>
    </row>
    <row r="1269" spans="1:23" hidden="1" x14ac:dyDescent="0.55000000000000004">
      <c r="A1269" s="76" t="str">
        <f t="shared" si="121"/>
        <v>RCP-SMC-000070</v>
      </c>
      <c r="B1269" s="58" t="s">
        <v>35</v>
      </c>
      <c r="C1269" s="58" t="s">
        <v>10</v>
      </c>
      <c r="D1269" s="76" t="str">
        <f t="shared" si="122"/>
        <v>Boiled Chicken and Vege Soft Rice</v>
      </c>
      <c r="E1269" s="58" t="s">
        <v>1560</v>
      </c>
      <c r="F1269" s="58" t="s">
        <v>2079</v>
      </c>
      <c r="G1269" s="41" t="s">
        <v>11</v>
      </c>
      <c r="H1269" s="58" t="s">
        <v>1790</v>
      </c>
      <c r="I1269" s="76"/>
      <c r="J1269" s="76"/>
      <c r="K1269" s="58" t="str">
        <f>IFERROR(VLOOKUP(L1269,'Raw material list'!$A$3:$C$715,3,0),"")</f>
        <v>DRY2-1858</v>
      </c>
      <c r="L1269" s="59" t="s">
        <v>60</v>
      </c>
      <c r="M1269" s="80" t="s">
        <v>206</v>
      </c>
      <c r="N1269" s="40" t="str">
        <f>VLOOKUP(L1269,'Raw material list'!$A$3:$E$715,5,0)</f>
        <v>Ml</v>
      </c>
      <c r="O1269" s="80">
        <v>25</v>
      </c>
      <c r="P1269" s="299">
        <f t="shared" si="114"/>
        <v>25</v>
      </c>
      <c r="Q1269" s="80">
        <v>100</v>
      </c>
      <c r="R1269" s="80">
        <v>10</v>
      </c>
      <c r="S1269" s="80"/>
      <c r="T1269" s="105">
        <f t="shared" si="111"/>
        <v>2.5</v>
      </c>
      <c r="U1269" s="105">
        <f t="shared" si="115"/>
        <v>2.5</v>
      </c>
      <c r="V1269" s="104">
        <f>IFERROR(VLOOKUP(L1269,'Raw material list'!$A$2:$S$3102,6,0),0)</f>
        <v>9.8800000000000016E-3</v>
      </c>
      <c r="W1269" s="104">
        <f t="shared" si="116"/>
        <v>2.4700000000000003E-2</v>
      </c>
    </row>
    <row r="1270" spans="1:23" hidden="1" x14ac:dyDescent="0.55000000000000004">
      <c r="A1270" s="76" t="str">
        <f t="shared" si="121"/>
        <v>RCP-SMC-000070</v>
      </c>
      <c r="B1270" s="58" t="s">
        <v>35</v>
      </c>
      <c r="C1270" s="58" t="s">
        <v>10</v>
      </c>
      <c r="D1270" s="76" t="str">
        <f t="shared" si="122"/>
        <v>Boiled Chicken and Vege Soft Rice</v>
      </c>
      <c r="E1270" s="58" t="s">
        <v>1560</v>
      </c>
      <c r="F1270" s="58" t="s">
        <v>2079</v>
      </c>
      <c r="G1270" s="41" t="s">
        <v>11</v>
      </c>
      <c r="H1270" s="58" t="s">
        <v>1790</v>
      </c>
      <c r="I1270" s="76"/>
      <c r="J1270" s="76"/>
      <c r="K1270" s="58" t="str">
        <f>IFERROR(VLOOKUP(L1270,'Raw material list'!$A$3:$C$715,3,0),"")</f>
        <v>DRS5-3866</v>
      </c>
      <c r="L1270" s="59" t="s">
        <v>64</v>
      </c>
      <c r="M1270" s="80" t="s">
        <v>156</v>
      </c>
      <c r="N1270" s="40" t="str">
        <f>VLOOKUP(L1270,'Raw material list'!$A$3:$E$715,5,0)</f>
        <v xml:space="preserve">Gram </v>
      </c>
      <c r="O1270" s="80">
        <v>300</v>
      </c>
      <c r="P1270" s="299">
        <f t="shared" si="114"/>
        <v>300</v>
      </c>
      <c r="Q1270" s="80">
        <v>100</v>
      </c>
      <c r="R1270" s="80">
        <v>10</v>
      </c>
      <c r="S1270" s="80"/>
      <c r="T1270" s="105">
        <f t="shared" ref="T1270:T1333" si="123">IFERROR(O1270/R1270,0)</f>
        <v>30</v>
      </c>
      <c r="U1270" s="105">
        <f t="shared" si="115"/>
        <v>30</v>
      </c>
      <c r="V1270" s="104">
        <f>IFERROR(VLOOKUP(L1270,'Raw material list'!$A$2:$S$3102,6,0),0)</f>
        <v>0.02</v>
      </c>
      <c r="W1270" s="104">
        <f t="shared" si="116"/>
        <v>0.6</v>
      </c>
    </row>
    <row r="1271" spans="1:23" hidden="1" x14ac:dyDescent="0.55000000000000004">
      <c r="A1271" s="76" t="str">
        <f t="shared" si="121"/>
        <v>RCP-SMC-000070</v>
      </c>
      <c r="B1271" s="58" t="s">
        <v>35</v>
      </c>
      <c r="C1271" s="58" t="s">
        <v>10</v>
      </c>
      <c r="D1271" s="76" t="str">
        <f t="shared" si="122"/>
        <v>Boiled Chicken and Vege Soft Rice</v>
      </c>
      <c r="E1271" s="58" t="s">
        <v>1560</v>
      </c>
      <c r="F1271" s="58" t="s">
        <v>2079</v>
      </c>
      <c r="G1271" s="41" t="s">
        <v>11</v>
      </c>
      <c r="H1271" s="58" t="s">
        <v>1790</v>
      </c>
      <c r="I1271" s="76"/>
      <c r="J1271" s="76"/>
      <c r="K1271" s="58" t="str">
        <f>IFERROR(VLOOKUP(L1271,'Raw material list'!$A$3:$C$715,3,0),"")</f>
        <v>PRD1-186</v>
      </c>
      <c r="L1271" s="59" t="s">
        <v>37</v>
      </c>
      <c r="M1271" s="80" t="s">
        <v>156</v>
      </c>
      <c r="N1271" s="40" t="str">
        <f>VLOOKUP(L1271,'Raw material list'!$A$3:$E$715,5,0)</f>
        <v xml:space="preserve">Gram </v>
      </c>
      <c r="O1271" s="80">
        <v>100</v>
      </c>
      <c r="P1271" s="299">
        <f t="shared" si="114"/>
        <v>122.44897959183673</v>
      </c>
      <c r="Q1271" s="105">
        <v>81.666666666666671</v>
      </c>
      <c r="R1271" s="80">
        <v>10</v>
      </c>
      <c r="S1271" s="80"/>
      <c r="T1271" s="105">
        <f t="shared" si="123"/>
        <v>10</v>
      </c>
      <c r="U1271" s="105">
        <f t="shared" si="115"/>
        <v>12.244897959183673</v>
      </c>
      <c r="V1271" s="104">
        <f>IFERROR(VLOOKUP(L1271,'Raw material list'!$A$2:$S$3102,6,0),0)</f>
        <v>5.8139534883720938E-3</v>
      </c>
      <c r="W1271" s="104">
        <f t="shared" si="116"/>
        <v>7.1191267204556249E-2</v>
      </c>
    </row>
    <row r="1272" spans="1:23" hidden="1" x14ac:dyDescent="0.55000000000000004">
      <c r="A1272" s="76" t="str">
        <f t="shared" si="121"/>
        <v>RCP-SMC-000070</v>
      </c>
      <c r="B1272" s="58" t="s">
        <v>35</v>
      </c>
      <c r="C1272" s="58" t="s">
        <v>10</v>
      </c>
      <c r="D1272" s="76" t="str">
        <f t="shared" si="122"/>
        <v>Boiled Chicken and Vege Soft Rice</v>
      </c>
      <c r="E1272" s="58" t="s">
        <v>1560</v>
      </c>
      <c r="F1272" s="58" t="s">
        <v>2079</v>
      </c>
      <c r="G1272" s="41" t="s">
        <v>11</v>
      </c>
      <c r="H1272" s="58" t="s">
        <v>1790</v>
      </c>
      <c r="I1272" s="76"/>
      <c r="J1272" s="76"/>
      <c r="K1272" s="58" t="str">
        <f>IFERROR(VLOOKUP(L1272,'Raw material list'!$A$3:$C$715,3,0),"")</f>
        <v>PRD1-232</v>
      </c>
      <c r="L1272" s="59" t="s">
        <v>116</v>
      </c>
      <c r="M1272" s="80" t="s">
        <v>156</v>
      </c>
      <c r="N1272" s="40" t="str">
        <f>VLOOKUP(L1272,'Raw material list'!$A$3:$E$715,5,0)</f>
        <v xml:space="preserve">Gram </v>
      </c>
      <c r="O1272" s="80">
        <v>100</v>
      </c>
      <c r="P1272" s="299">
        <f t="shared" si="114"/>
        <v>138.88888888888889</v>
      </c>
      <c r="Q1272" s="105">
        <v>72</v>
      </c>
      <c r="R1272" s="80">
        <v>10</v>
      </c>
      <c r="S1272" s="80"/>
      <c r="T1272" s="105">
        <f t="shared" si="123"/>
        <v>10</v>
      </c>
      <c r="U1272" s="105">
        <f t="shared" si="115"/>
        <v>13.888888888888889</v>
      </c>
      <c r="V1272" s="104">
        <f>IFERROR(VLOOKUP(L1272,'Raw material list'!$A$2:$S$3102,6,0),0)</f>
        <v>4.4444444444444444E-3</v>
      </c>
      <c r="W1272" s="104">
        <f t="shared" si="116"/>
        <v>6.1728395061728399E-2</v>
      </c>
    </row>
    <row r="1273" spans="1:23" hidden="1" x14ac:dyDescent="0.55000000000000004">
      <c r="A1273" s="76" t="s">
        <v>1579</v>
      </c>
      <c r="B1273" s="58" t="s">
        <v>35</v>
      </c>
      <c r="C1273" s="58" t="s">
        <v>10</v>
      </c>
      <c r="D1273" s="76" t="s">
        <v>1772</v>
      </c>
      <c r="E1273" s="58" t="s">
        <v>1560</v>
      </c>
      <c r="F1273" s="58" t="s">
        <v>2081</v>
      </c>
      <c r="G1273" s="41" t="s">
        <v>11</v>
      </c>
      <c r="H1273" s="58" t="s">
        <v>1790</v>
      </c>
      <c r="I1273" s="76"/>
      <c r="J1273" s="76"/>
      <c r="K1273" s="58" t="str">
        <f>IFERROR(VLOOKUP(L1273,'Raw material list'!$A$3:$C$715,3,0),"")</f>
        <v>SFD2-312</v>
      </c>
      <c r="L1273" s="59" t="s">
        <v>109</v>
      </c>
      <c r="M1273" s="80" t="s">
        <v>156</v>
      </c>
      <c r="N1273" s="40" t="str">
        <f>VLOOKUP(L1273,'Raw material list'!$A$3:$E$715,5,0)</f>
        <v xml:space="preserve">Gram </v>
      </c>
      <c r="O1273" s="80">
        <v>1200</v>
      </c>
      <c r="P1273" s="299">
        <f t="shared" si="114"/>
        <v>1637.1077762619373</v>
      </c>
      <c r="Q1273" s="303">
        <v>73.3</v>
      </c>
      <c r="R1273" s="80">
        <v>10</v>
      </c>
      <c r="S1273" s="80"/>
      <c r="T1273" s="105">
        <f t="shared" si="123"/>
        <v>120</v>
      </c>
      <c r="U1273" s="105">
        <f t="shared" si="115"/>
        <v>163.71077762619373</v>
      </c>
      <c r="V1273" s="104">
        <f>IFERROR(VLOOKUP(L1273,'Raw material list'!$A$2:$S$3102,6,0),0)</f>
        <v>3.2786885245901641E-2</v>
      </c>
      <c r="W1273" s="104">
        <f t="shared" si="116"/>
        <v>5.3675664795473361</v>
      </c>
    </row>
    <row r="1274" spans="1:23" hidden="1" x14ac:dyDescent="0.55000000000000004">
      <c r="A1274" s="76" t="str">
        <f t="shared" ref="A1274:A1284" si="124">A1273</f>
        <v>RCP-SMC-000071</v>
      </c>
      <c r="B1274" s="58" t="s">
        <v>35</v>
      </c>
      <c r="C1274" s="58" t="s">
        <v>10</v>
      </c>
      <c r="D1274" s="76" t="str">
        <f t="shared" ref="D1274:D1284" si="125">D1273</f>
        <v>Low Sod. Grilled Fish W Rice</v>
      </c>
      <c r="E1274" s="58" t="s">
        <v>1560</v>
      </c>
      <c r="F1274" s="58" t="s">
        <v>2079</v>
      </c>
      <c r="G1274" s="41" t="s">
        <v>11</v>
      </c>
      <c r="H1274" s="58" t="s">
        <v>1790</v>
      </c>
      <c r="I1274" s="76"/>
      <c r="J1274" s="76"/>
      <c r="K1274" s="58" t="str">
        <f>IFERROR(VLOOKUP(L1274,'Raw material list'!$A$3:$C$715,3,0),"")</f>
        <v>DRS4-1457</v>
      </c>
      <c r="L1274" s="59" t="s">
        <v>43</v>
      </c>
      <c r="M1274" s="80" t="s">
        <v>156</v>
      </c>
      <c r="N1274" s="40" t="str">
        <f>VLOOKUP(L1274,'Raw material list'!$A$3:$E$715,5,0)</f>
        <v xml:space="preserve">Gram </v>
      </c>
      <c r="O1274" s="80">
        <v>100</v>
      </c>
      <c r="P1274" s="299">
        <f t="shared" si="114"/>
        <v>100</v>
      </c>
      <c r="Q1274" s="80">
        <v>100</v>
      </c>
      <c r="R1274" s="80">
        <v>10</v>
      </c>
      <c r="S1274" s="80"/>
      <c r="T1274" s="105">
        <f t="shared" si="123"/>
        <v>10</v>
      </c>
      <c r="U1274" s="105">
        <f t="shared" si="115"/>
        <v>10</v>
      </c>
      <c r="V1274" s="104">
        <f>IFERROR(VLOOKUP(L1274,'Raw material list'!$A$2:$S$3102,6,0),0)</f>
        <v>6.4999999999999997E-3</v>
      </c>
      <c r="W1274" s="104">
        <f t="shared" si="116"/>
        <v>6.5000000000000002E-2</v>
      </c>
    </row>
    <row r="1275" spans="1:23" hidden="1" x14ac:dyDescent="0.55000000000000004">
      <c r="A1275" s="76" t="str">
        <f t="shared" si="124"/>
        <v>RCP-SMC-000071</v>
      </c>
      <c r="B1275" s="58" t="s">
        <v>35</v>
      </c>
      <c r="C1275" s="58" t="s">
        <v>10</v>
      </c>
      <c r="D1275" s="76" t="str">
        <f t="shared" si="125"/>
        <v>Low Sod. Grilled Fish W Rice</v>
      </c>
      <c r="E1275" s="58" t="s">
        <v>1560</v>
      </c>
      <c r="F1275" s="58" t="s">
        <v>2079</v>
      </c>
      <c r="G1275" s="41" t="s">
        <v>11</v>
      </c>
      <c r="H1275" s="58" t="s">
        <v>1790</v>
      </c>
      <c r="I1275" s="76"/>
      <c r="J1275" s="76"/>
      <c r="K1275" s="58" t="str">
        <f>IFERROR(VLOOKUP(L1275,'Raw material list'!$A$3:$C$715,3,0),"")</f>
        <v>TAP-00001</v>
      </c>
      <c r="L1275" s="59" t="s">
        <v>1405</v>
      </c>
      <c r="M1275" s="80" t="s">
        <v>206</v>
      </c>
      <c r="N1275" s="40" t="str">
        <f>VLOOKUP(L1275,'Raw material list'!$A$3:$E$715,5,0)</f>
        <v>Ml</v>
      </c>
      <c r="O1275" s="80">
        <v>2500</v>
      </c>
      <c r="P1275" s="299">
        <f t="shared" si="114"/>
        <v>2500</v>
      </c>
      <c r="Q1275" s="80">
        <v>100</v>
      </c>
      <c r="R1275" s="80">
        <v>10</v>
      </c>
      <c r="S1275" s="80"/>
      <c r="T1275" s="105">
        <f t="shared" si="123"/>
        <v>250</v>
      </c>
      <c r="U1275" s="105">
        <f t="shared" si="115"/>
        <v>250</v>
      </c>
      <c r="V1275" s="104">
        <f>IFERROR(VLOOKUP(L1275,'Raw material list'!$A$2:$S$3102,6,0),0)</f>
        <v>8.0000000000000007E-5</v>
      </c>
      <c r="W1275" s="104">
        <f t="shared" si="116"/>
        <v>0.02</v>
      </c>
    </row>
    <row r="1276" spans="1:23" hidden="1" x14ac:dyDescent="0.55000000000000004">
      <c r="A1276" s="76" t="str">
        <f t="shared" si="124"/>
        <v>RCP-SMC-000071</v>
      </c>
      <c r="B1276" s="58" t="s">
        <v>35</v>
      </c>
      <c r="C1276" s="58" t="s">
        <v>10</v>
      </c>
      <c r="D1276" s="76" t="str">
        <f t="shared" si="125"/>
        <v>Low Sod. Grilled Fish W Rice</v>
      </c>
      <c r="E1276" s="58" t="s">
        <v>1560</v>
      </c>
      <c r="F1276" s="58" t="s">
        <v>2079</v>
      </c>
      <c r="G1276" s="41" t="s">
        <v>11</v>
      </c>
      <c r="H1276" s="58" t="s">
        <v>1790</v>
      </c>
      <c r="I1276" s="76"/>
      <c r="J1276" s="76"/>
      <c r="K1276" s="58" t="str">
        <f>IFERROR(VLOOKUP(L1276,'Raw material list'!$A$3:$C$715,3,0),"")</f>
        <v>TAP-00001</v>
      </c>
      <c r="L1276" s="59" t="s">
        <v>1405</v>
      </c>
      <c r="M1276" s="80" t="s">
        <v>206</v>
      </c>
      <c r="N1276" s="40" t="str">
        <f>VLOOKUP(L1276,'Raw material list'!$A$3:$E$715,5,0)</f>
        <v>Ml</v>
      </c>
      <c r="O1276" s="80">
        <v>600</v>
      </c>
      <c r="P1276" s="299">
        <f t="shared" si="114"/>
        <v>600</v>
      </c>
      <c r="Q1276" s="80">
        <v>100</v>
      </c>
      <c r="R1276" s="80">
        <v>10</v>
      </c>
      <c r="S1276" s="80"/>
      <c r="T1276" s="105">
        <f t="shared" si="123"/>
        <v>60</v>
      </c>
      <c r="U1276" s="105">
        <f t="shared" si="115"/>
        <v>60</v>
      </c>
      <c r="V1276" s="104">
        <f>IFERROR(VLOOKUP(L1276,'Raw material list'!$A$2:$S$3102,6,0),0)</f>
        <v>8.0000000000000007E-5</v>
      </c>
      <c r="W1276" s="104">
        <f t="shared" si="116"/>
        <v>4.8000000000000004E-3</v>
      </c>
    </row>
    <row r="1277" spans="1:23" hidden="1" x14ac:dyDescent="0.55000000000000004">
      <c r="A1277" s="76" t="str">
        <f t="shared" si="124"/>
        <v>RCP-SMC-000071</v>
      </c>
      <c r="B1277" s="58" t="s">
        <v>35</v>
      </c>
      <c r="C1277" s="58" t="s">
        <v>10</v>
      </c>
      <c r="D1277" s="76" t="str">
        <f t="shared" si="125"/>
        <v>Low Sod. Grilled Fish W Rice</v>
      </c>
      <c r="E1277" s="58" t="s">
        <v>1560</v>
      </c>
      <c r="F1277" s="58" t="s">
        <v>2079</v>
      </c>
      <c r="G1277" s="41" t="s">
        <v>11</v>
      </c>
      <c r="H1277" s="58" t="s">
        <v>1790</v>
      </c>
      <c r="I1277" s="76"/>
      <c r="J1277" s="76"/>
      <c r="K1277" s="58" t="str">
        <f>IFERROR(VLOOKUP(L1277,'Raw material list'!$A$3:$C$715,3,0),"")</f>
        <v>DRS5-59</v>
      </c>
      <c r="L1277" s="59" t="s">
        <v>59</v>
      </c>
      <c r="M1277" s="80" t="s">
        <v>156</v>
      </c>
      <c r="N1277" s="40" t="str">
        <f>VLOOKUP(L1277,'Raw material list'!$A$3:$E$715,5,0)</f>
        <v xml:space="preserve">Gram </v>
      </c>
      <c r="O1277" s="80">
        <v>72</v>
      </c>
      <c r="P1277" s="299">
        <f t="shared" si="114"/>
        <v>72</v>
      </c>
      <c r="Q1277" s="80">
        <v>100</v>
      </c>
      <c r="R1277" s="80">
        <v>10</v>
      </c>
      <c r="S1277" s="80"/>
      <c r="T1277" s="105">
        <f t="shared" si="123"/>
        <v>7.2</v>
      </c>
      <c r="U1277" s="105">
        <f t="shared" si="115"/>
        <v>7.2</v>
      </c>
      <c r="V1277" s="104">
        <f>IFERROR(VLOOKUP(L1277,'Raw material list'!$A$2:$S$3102,6,0),0)</f>
        <v>1.4319999999999999E-2</v>
      </c>
      <c r="W1277" s="104">
        <f t="shared" si="116"/>
        <v>0.103104</v>
      </c>
    </row>
    <row r="1278" spans="1:23" hidden="1" x14ac:dyDescent="0.55000000000000004">
      <c r="A1278" s="76" t="str">
        <f t="shared" si="124"/>
        <v>RCP-SMC-000071</v>
      </c>
      <c r="B1278" s="58" t="s">
        <v>35</v>
      </c>
      <c r="C1278" s="58" t="s">
        <v>10</v>
      </c>
      <c r="D1278" s="76" t="str">
        <f t="shared" si="125"/>
        <v>Low Sod. Grilled Fish W Rice</v>
      </c>
      <c r="E1278" s="58" t="s">
        <v>1560</v>
      </c>
      <c r="F1278" s="58" t="s">
        <v>2079</v>
      </c>
      <c r="G1278" s="41" t="s">
        <v>11</v>
      </c>
      <c r="H1278" s="58" t="s">
        <v>1790</v>
      </c>
      <c r="I1278" s="76"/>
      <c r="J1278" s="76"/>
      <c r="K1278" s="58" t="str">
        <f>IFERROR(VLOOKUP(L1278,'Raw material list'!$A$3:$C$715,3,0),"")</f>
        <v>DRS6-309</v>
      </c>
      <c r="L1278" s="59" t="s">
        <v>61</v>
      </c>
      <c r="M1278" s="80" t="s">
        <v>156</v>
      </c>
      <c r="N1278" s="40" t="str">
        <f>VLOOKUP(L1278,'Raw material list'!$A$3:$E$715,5,0)</f>
        <v xml:space="preserve">Gram </v>
      </c>
      <c r="O1278" s="80">
        <v>1</v>
      </c>
      <c r="P1278" s="299">
        <f t="shared" si="114"/>
        <v>1</v>
      </c>
      <c r="Q1278" s="80">
        <v>100</v>
      </c>
      <c r="R1278" s="80">
        <v>10</v>
      </c>
      <c r="S1278" s="80"/>
      <c r="T1278" s="105">
        <f t="shared" si="123"/>
        <v>0.1</v>
      </c>
      <c r="U1278" s="105">
        <f t="shared" si="115"/>
        <v>0.1</v>
      </c>
      <c r="V1278" s="104">
        <f>IFERROR(VLOOKUP(L1278,'Raw material list'!$A$2:$S$3102,6,0),0)</f>
        <v>2.8000000000000001E-2</v>
      </c>
      <c r="W1278" s="104">
        <f t="shared" si="116"/>
        <v>2.8000000000000004E-3</v>
      </c>
    </row>
    <row r="1279" spans="1:23" hidden="1" x14ac:dyDescent="0.55000000000000004">
      <c r="A1279" s="76" t="str">
        <f t="shared" si="124"/>
        <v>RCP-SMC-000071</v>
      </c>
      <c r="B1279" s="58" t="s">
        <v>35</v>
      </c>
      <c r="C1279" s="58" t="s">
        <v>10</v>
      </c>
      <c r="D1279" s="76" t="str">
        <f t="shared" si="125"/>
        <v>Low Sod. Grilled Fish W Rice</v>
      </c>
      <c r="E1279" s="58" t="s">
        <v>1560</v>
      </c>
      <c r="F1279" s="58" t="s">
        <v>2079</v>
      </c>
      <c r="G1279" s="41" t="s">
        <v>11</v>
      </c>
      <c r="H1279" s="58" t="s">
        <v>1790</v>
      </c>
      <c r="I1279" s="76"/>
      <c r="J1279" s="76"/>
      <c r="K1279" s="58" t="str">
        <f>IFERROR(VLOOKUP(L1279,'Raw material list'!$A$3:$C$715,3,0),"")</f>
        <v>DRS1-3880</v>
      </c>
      <c r="L1279" s="59" t="s">
        <v>1433</v>
      </c>
      <c r="M1279" s="80" t="s">
        <v>156</v>
      </c>
      <c r="N1279" s="40" t="str">
        <f>VLOOKUP(L1279,'Raw material list'!$A$3:$E$715,5,0)</f>
        <v xml:space="preserve">Gram </v>
      </c>
      <c r="O1279" s="80">
        <v>6</v>
      </c>
      <c r="P1279" s="299">
        <f t="shared" si="114"/>
        <v>6</v>
      </c>
      <c r="Q1279" s="80">
        <v>100</v>
      </c>
      <c r="R1279" s="80">
        <v>10</v>
      </c>
      <c r="S1279" s="80"/>
      <c r="T1279" s="105">
        <f t="shared" si="123"/>
        <v>0.6</v>
      </c>
      <c r="U1279" s="105">
        <f t="shared" si="115"/>
        <v>0.6</v>
      </c>
      <c r="V1279" s="104">
        <f>IFERROR(VLOOKUP(L1279,'Raw material list'!$A$2:$S$3102,6,0),0)</f>
        <v>5.0000000000000001E-4</v>
      </c>
      <c r="W1279" s="104">
        <f t="shared" si="116"/>
        <v>2.9999999999999997E-4</v>
      </c>
    </row>
    <row r="1280" spans="1:23" hidden="1" x14ac:dyDescent="0.55000000000000004">
      <c r="A1280" s="76" t="str">
        <f t="shared" si="124"/>
        <v>RCP-SMC-000071</v>
      </c>
      <c r="B1280" s="58" t="s">
        <v>35</v>
      </c>
      <c r="C1280" s="58" t="s">
        <v>10</v>
      </c>
      <c r="D1280" s="76" t="str">
        <f t="shared" si="125"/>
        <v>Low Sod. Grilled Fish W Rice</v>
      </c>
      <c r="E1280" s="58" t="s">
        <v>1560</v>
      </c>
      <c r="F1280" s="58" t="s">
        <v>2079</v>
      </c>
      <c r="G1280" s="41" t="s">
        <v>11</v>
      </c>
      <c r="H1280" s="58" t="s">
        <v>1790</v>
      </c>
      <c r="I1280" s="76"/>
      <c r="J1280" s="76"/>
      <c r="K1280" s="58" t="str">
        <f>IFERROR(VLOOKUP(L1280,'Raw material list'!$A$3:$C$715,3,0),"")</f>
        <v>DRY2-1008</v>
      </c>
      <c r="L1280" s="59" t="s">
        <v>57</v>
      </c>
      <c r="M1280" s="80" t="s">
        <v>156</v>
      </c>
      <c r="N1280" s="40" t="str">
        <f>VLOOKUP(L1280,'Raw material list'!$A$3:$E$715,5,0)</f>
        <v xml:space="preserve">Gram </v>
      </c>
      <c r="O1280" s="80">
        <v>25</v>
      </c>
      <c r="P1280" s="299">
        <f t="shared" si="114"/>
        <v>25</v>
      </c>
      <c r="Q1280" s="80">
        <v>100</v>
      </c>
      <c r="R1280" s="80">
        <v>10</v>
      </c>
      <c r="S1280" s="80"/>
      <c r="T1280" s="105">
        <f t="shared" si="123"/>
        <v>2.5</v>
      </c>
      <c r="U1280" s="105">
        <f t="shared" si="115"/>
        <v>2.5</v>
      </c>
      <c r="V1280" s="104">
        <f>IFERROR(VLOOKUP(L1280,'Raw material list'!$A$2:$S$3102,6,0),0)</f>
        <v>0.03</v>
      </c>
      <c r="W1280" s="104">
        <f t="shared" si="116"/>
        <v>7.4999999999999997E-2</v>
      </c>
    </row>
    <row r="1281" spans="1:23" hidden="1" x14ac:dyDescent="0.55000000000000004">
      <c r="A1281" s="76" t="str">
        <f t="shared" si="124"/>
        <v>RCP-SMC-000071</v>
      </c>
      <c r="B1281" s="58" t="s">
        <v>35</v>
      </c>
      <c r="C1281" s="58" t="s">
        <v>10</v>
      </c>
      <c r="D1281" s="76" t="str">
        <f t="shared" si="125"/>
        <v>Low Sod. Grilled Fish W Rice</v>
      </c>
      <c r="E1281" s="58" t="s">
        <v>1560</v>
      </c>
      <c r="F1281" s="58" t="s">
        <v>2079</v>
      </c>
      <c r="G1281" s="41" t="s">
        <v>11</v>
      </c>
      <c r="H1281" s="58" t="s">
        <v>1790</v>
      </c>
      <c r="I1281" s="76"/>
      <c r="J1281" s="76"/>
      <c r="K1281" s="58" t="str">
        <f>IFERROR(VLOOKUP(L1281,'Raw material list'!$A$3:$C$715,3,0),"")</f>
        <v>DRY2-1858</v>
      </c>
      <c r="L1281" s="59" t="s">
        <v>60</v>
      </c>
      <c r="M1281" s="80" t="s">
        <v>206</v>
      </c>
      <c r="N1281" s="40" t="str">
        <f>VLOOKUP(L1281,'Raw material list'!$A$3:$E$715,5,0)</f>
        <v>Ml</v>
      </c>
      <c r="O1281" s="80">
        <v>25</v>
      </c>
      <c r="P1281" s="299">
        <f t="shared" si="114"/>
        <v>25</v>
      </c>
      <c r="Q1281" s="80">
        <v>100</v>
      </c>
      <c r="R1281" s="80">
        <v>10</v>
      </c>
      <c r="S1281" s="80"/>
      <c r="T1281" s="105">
        <f t="shared" si="123"/>
        <v>2.5</v>
      </c>
      <c r="U1281" s="105">
        <f t="shared" si="115"/>
        <v>2.5</v>
      </c>
      <c r="V1281" s="104">
        <f>IFERROR(VLOOKUP(L1281,'Raw material list'!$A$2:$S$3102,6,0),0)</f>
        <v>9.8800000000000016E-3</v>
      </c>
      <c r="W1281" s="104">
        <f t="shared" si="116"/>
        <v>2.4700000000000003E-2</v>
      </c>
    </row>
    <row r="1282" spans="1:23" hidden="1" x14ac:dyDescent="0.55000000000000004">
      <c r="A1282" s="76" t="str">
        <f t="shared" si="124"/>
        <v>RCP-SMC-000071</v>
      </c>
      <c r="B1282" s="58" t="s">
        <v>35</v>
      </c>
      <c r="C1282" s="58" t="s">
        <v>10</v>
      </c>
      <c r="D1282" s="76" t="str">
        <f t="shared" si="125"/>
        <v>Low Sod. Grilled Fish W Rice</v>
      </c>
      <c r="E1282" s="58" t="s">
        <v>1560</v>
      </c>
      <c r="F1282" s="58" t="s">
        <v>2079</v>
      </c>
      <c r="G1282" s="41" t="s">
        <v>11</v>
      </c>
      <c r="H1282" s="58" t="s">
        <v>1790</v>
      </c>
      <c r="I1282" s="76"/>
      <c r="J1282" s="76"/>
      <c r="K1282" s="58" t="str">
        <f>IFERROR(VLOOKUP(L1282,'Raw material list'!$A$3:$C$715,3,0),"")</f>
        <v>DRS5-3866</v>
      </c>
      <c r="L1282" s="59" t="s">
        <v>64</v>
      </c>
      <c r="M1282" s="80" t="s">
        <v>156</v>
      </c>
      <c r="N1282" s="40" t="str">
        <f>VLOOKUP(L1282,'Raw material list'!$A$3:$E$715,5,0)</f>
        <v xml:space="preserve">Gram </v>
      </c>
      <c r="O1282" s="80">
        <v>300</v>
      </c>
      <c r="P1282" s="299">
        <f t="shared" si="114"/>
        <v>300</v>
      </c>
      <c r="Q1282" s="80">
        <v>100</v>
      </c>
      <c r="R1282" s="80">
        <v>10</v>
      </c>
      <c r="S1282" s="80"/>
      <c r="T1282" s="105">
        <f t="shared" si="123"/>
        <v>30</v>
      </c>
      <c r="U1282" s="105">
        <f t="shared" si="115"/>
        <v>30</v>
      </c>
      <c r="V1282" s="104">
        <f>IFERROR(VLOOKUP(L1282,'Raw material list'!$A$2:$S$3102,6,0),0)</f>
        <v>0.02</v>
      </c>
      <c r="W1282" s="104">
        <f t="shared" si="116"/>
        <v>0.6</v>
      </c>
    </row>
    <row r="1283" spans="1:23" hidden="1" x14ac:dyDescent="0.55000000000000004">
      <c r="A1283" s="76" t="str">
        <f t="shared" si="124"/>
        <v>RCP-SMC-000071</v>
      </c>
      <c r="B1283" s="58" t="s">
        <v>35</v>
      </c>
      <c r="C1283" s="58" t="s">
        <v>10</v>
      </c>
      <c r="D1283" s="76" t="str">
        <f t="shared" si="125"/>
        <v>Low Sod. Grilled Fish W Rice</v>
      </c>
      <c r="E1283" s="58" t="s">
        <v>1560</v>
      </c>
      <c r="F1283" s="58" t="s">
        <v>2079</v>
      </c>
      <c r="G1283" s="41" t="s">
        <v>11</v>
      </c>
      <c r="H1283" s="58" t="s">
        <v>1790</v>
      </c>
      <c r="I1283" s="76"/>
      <c r="J1283" s="76"/>
      <c r="K1283" s="58" t="str">
        <f>IFERROR(VLOOKUP(L1283,'Raw material list'!$A$3:$C$715,3,0),"")</f>
        <v>PRD1-186</v>
      </c>
      <c r="L1283" s="59" t="s">
        <v>37</v>
      </c>
      <c r="M1283" s="80" t="s">
        <v>156</v>
      </c>
      <c r="N1283" s="40" t="str">
        <f>VLOOKUP(L1283,'Raw material list'!$A$3:$E$715,5,0)</f>
        <v xml:space="preserve">Gram </v>
      </c>
      <c r="O1283" s="80">
        <v>100</v>
      </c>
      <c r="P1283" s="299">
        <f t="shared" si="114"/>
        <v>122.44897959183673</v>
      </c>
      <c r="Q1283" s="105">
        <v>81.666666666666671</v>
      </c>
      <c r="R1283" s="80">
        <v>10</v>
      </c>
      <c r="S1283" s="80"/>
      <c r="T1283" s="105">
        <f t="shared" si="123"/>
        <v>10</v>
      </c>
      <c r="U1283" s="105">
        <f t="shared" si="115"/>
        <v>12.244897959183673</v>
      </c>
      <c r="V1283" s="104">
        <f>IFERROR(VLOOKUP(L1283,'Raw material list'!$A$2:$S$3102,6,0),0)</f>
        <v>5.8139534883720938E-3</v>
      </c>
      <c r="W1283" s="104">
        <f t="shared" si="116"/>
        <v>7.1191267204556249E-2</v>
      </c>
    </row>
    <row r="1284" spans="1:23" hidden="1" x14ac:dyDescent="0.55000000000000004">
      <c r="A1284" s="76" t="str">
        <f t="shared" si="124"/>
        <v>RCP-SMC-000071</v>
      </c>
      <c r="B1284" s="58" t="s">
        <v>35</v>
      </c>
      <c r="C1284" s="58" t="s">
        <v>10</v>
      </c>
      <c r="D1284" s="76" t="str">
        <f t="shared" si="125"/>
        <v>Low Sod. Grilled Fish W Rice</v>
      </c>
      <c r="E1284" s="58" t="s">
        <v>1560</v>
      </c>
      <c r="F1284" s="58" t="s">
        <v>2079</v>
      </c>
      <c r="G1284" s="41" t="s">
        <v>11</v>
      </c>
      <c r="H1284" s="58" t="s">
        <v>1790</v>
      </c>
      <c r="I1284" s="76"/>
      <c r="J1284" s="76"/>
      <c r="K1284" s="58" t="str">
        <f>IFERROR(VLOOKUP(L1284,'Raw material list'!$A$3:$C$715,3,0),"")</f>
        <v>PRD1-232</v>
      </c>
      <c r="L1284" s="59" t="s">
        <v>116</v>
      </c>
      <c r="M1284" s="80" t="s">
        <v>156</v>
      </c>
      <c r="N1284" s="40" t="str">
        <f>VLOOKUP(L1284,'Raw material list'!$A$3:$E$715,5,0)</f>
        <v xml:space="preserve">Gram </v>
      </c>
      <c r="O1284" s="80">
        <v>100</v>
      </c>
      <c r="P1284" s="299">
        <f t="shared" si="114"/>
        <v>138.88888888888889</v>
      </c>
      <c r="Q1284" s="105">
        <v>72</v>
      </c>
      <c r="R1284" s="80">
        <v>10</v>
      </c>
      <c r="S1284" s="80"/>
      <c r="T1284" s="105">
        <f t="shared" si="123"/>
        <v>10</v>
      </c>
      <c r="U1284" s="105">
        <f t="shared" si="115"/>
        <v>13.888888888888889</v>
      </c>
      <c r="V1284" s="104">
        <f>IFERROR(VLOOKUP(L1284,'Raw material list'!$A$2:$S$3102,6,0),0)</f>
        <v>4.4444444444444444E-3</v>
      </c>
      <c r="W1284" s="104">
        <f t="shared" si="116"/>
        <v>6.1728395061728399E-2</v>
      </c>
    </row>
    <row r="1285" spans="1:23" hidden="1" x14ac:dyDescent="0.55000000000000004">
      <c r="A1285" s="76" t="s">
        <v>1580</v>
      </c>
      <c r="B1285" s="58" t="s">
        <v>35</v>
      </c>
      <c r="C1285" s="58" t="s">
        <v>10</v>
      </c>
      <c r="D1285" s="76" t="s">
        <v>2057</v>
      </c>
      <c r="E1285" s="58" t="s">
        <v>1560</v>
      </c>
      <c r="F1285" s="58" t="s">
        <v>2081</v>
      </c>
      <c r="G1285" s="41" t="s">
        <v>11</v>
      </c>
      <c r="H1285" s="58" t="s">
        <v>1790</v>
      </c>
      <c r="I1285" s="76"/>
      <c r="J1285" s="76"/>
      <c r="K1285" s="58" t="str">
        <f>IFERROR(VLOOKUP(L1285,'Raw material list'!$A$3:$C$715,3,0),"")</f>
        <v>PLT2-3278</v>
      </c>
      <c r="L1285" s="59" t="s">
        <v>80</v>
      </c>
      <c r="M1285" s="80" t="s">
        <v>156</v>
      </c>
      <c r="N1285" s="40" t="str">
        <f>VLOOKUP(L1285,'Raw material list'!$A$3:$E$715,5,0)</f>
        <v xml:space="preserve">Gram </v>
      </c>
      <c r="O1285" s="80">
        <v>1200</v>
      </c>
      <c r="P1285" s="299">
        <f t="shared" si="114"/>
        <v>1574.803149606299</v>
      </c>
      <c r="Q1285" s="303">
        <v>76.2</v>
      </c>
      <c r="R1285" s="80">
        <v>10</v>
      </c>
      <c r="S1285" s="80"/>
      <c r="T1285" s="105">
        <f t="shared" si="123"/>
        <v>120</v>
      </c>
      <c r="U1285" s="105">
        <f t="shared" si="115"/>
        <v>157.4803149606299</v>
      </c>
      <c r="V1285" s="104">
        <f>IFERROR(VLOOKUP(L1285,'Raw material list'!$A$2:$S$3102,6,0),0)</f>
        <v>3.0357142857142853E-2</v>
      </c>
      <c r="W1285" s="104">
        <f t="shared" si="116"/>
        <v>4.7806524184476924</v>
      </c>
    </row>
    <row r="1286" spans="1:23" hidden="1" x14ac:dyDescent="0.55000000000000004">
      <c r="A1286" s="76" t="str">
        <f t="shared" ref="A1286:A1293" si="126">A1285</f>
        <v>RCP-SMC-000072</v>
      </c>
      <c r="B1286" s="58" t="s">
        <v>35</v>
      </c>
      <c r="C1286" s="58" t="s">
        <v>10</v>
      </c>
      <c r="D1286" s="76" t="s">
        <v>2057</v>
      </c>
      <c r="E1286" s="58" t="s">
        <v>1560</v>
      </c>
      <c r="F1286" s="58" t="s">
        <v>2079</v>
      </c>
      <c r="G1286" s="41" t="s">
        <v>11</v>
      </c>
      <c r="H1286" s="58" t="s">
        <v>1790</v>
      </c>
      <c r="I1286" s="76"/>
      <c r="J1286" s="76"/>
      <c r="K1286" s="58" t="str">
        <f>IFERROR(VLOOKUP(L1286,'Raw material list'!$A$3:$C$715,3,0),"")</f>
        <v>DRS4-498</v>
      </c>
      <c r="L1286" s="59" t="s">
        <v>72</v>
      </c>
      <c r="M1286" s="80" t="s">
        <v>156</v>
      </c>
      <c r="N1286" s="40" t="str">
        <f>VLOOKUP(L1286,'Raw material list'!$A$3:$E$715,5,0)</f>
        <v xml:space="preserve">Gram </v>
      </c>
      <c r="O1286" s="80">
        <v>1000</v>
      </c>
      <c r="P1286" s="299">
        <f t="shared" ref="P1286:P1349" si="127">O1286/Q1286*100</f>
        <v>1000</v>
      </c>
      <c r="Q1286" s="80">
        <v>100</v>
      </c>
      <c r="R1286" s="80">
        <v>10</v>
      </c>
      <c r="S1286" s="80"/>
      <c r="T1286" s="105">
        <f t="shared" si="123"/>
        <v>100</v>
      </c>
      <c r="U1286" s="105">
        <f t="shared" ref="U1286:U1349" si="128">IFERROR(P1286/R1286,0)</f>
        <v>100</v>
      </c>
      <c r="V1286" s="104">
        <f>IFERROR(VLOOKUP(L1286,'Raw material list'!$A$2:$S$3102,6,0),0)</f>
        <v>5.7499999999999999E-3</v>
      </c>
      <c r="W1286" s="104">
        <f t="shared" ref="W1286:W1349" si="129">IFERROR(V1286*U1286,0)</f>
        <v>0.57499999999999996</v>
      </c>
    </row>
    <row r="1287" spans="1:23" hidden="1" x14ac:dyDescent="0.55000000000000004">
      <c r="A1287" s="76" t="str">
        <f t="shared" si="126"/>
        <v>RCP-SMC-000072</v>
      </c>
      <c r="B1287" s="58" t="s">
        <v>35</v>
      </c>
      <c r="C1287" s="58" t="s">
        <v>10</v>
      </c>
      <c r="D1287" s="76" t="s">
        <v>2057</v>
      </c>
      <c r="E1287" s="58" t="s">
        <v>1560</v>
      </c>
      <c r="F1287" s="58" t="s">
        <v>2079</v>
      </c>
      <c r="G1287" s="41" t="s">
        <v>11</v>
      </c>
      <c r="H1287" s="58" t="s">
        <v>1790</v>
      </c>
      <c r="I1287" s="76"/>
      <c r="J1287" s="76"/>
      <c r="K1287" s="58" t="str">
        <f>IFERROR(VLOOKUP(L1287,'Raw material list'!$A$3:$C$715,3,0),"")</f>
        <v>TAP-00001</v>
      </c>
      <c r="L1287" s="59" t="s">
        <v>1405</v>
      </c>
      <c r="M1287" s="80" t="s">
        <v>206</v>
      </c>
      <c r="N1287" s="40" t="str">
        <f>VLOOKUP(L1287,'Raw material list'!$A$3:$E$715,5,0)</f>
        <v>Ml</v>
      </c>
      <c r="O1287" s="80">
        <v>1000</v>
      </c>
      <c r="P1287" s="299">
        <f t="shared" si="127"/>
        <v>1000</v>
      </c>
      <c r="Q1287" s="80">
        <v>100</v>
      </c>
      <c r="R1287" s="80">
        <v>10</v>
      </c>
      <c r="S1287" s="80"/>
      <c r="T1287" s="105">
        <f t="shared" si="123"/>
        <v>100</v>
      </c>
      <c r="U1287" s="105">
        <f t="shared" si="128"/>
        <v>100</v>
      </c>
      <c r="V1287" s="104">
        <f>IFERROR(VLOOKUP(L1287,'Raw material list'!$A$2:$S$3102,6,0),0)</f>
        <v>8.0000000000000007E-5</v>
      </c>
      <c r="W1287" s="104">
        <f t="shared" si="129"/>
        <v>8.0000000000000002E-3</v>
      </c>
    </row>
    <row r="1288" spans="1:23" hidden="1" x14ac:dyDescent="0.55000000000000004">
      <c r="A1288" s="76" t="str">
        <f t="shared" si="126"/>
        <v>RCP-SMC-000072</v>
      </c>
      <c r="B1288" s="58" t="s">
        <v>35</v>
      </c>
      <c r="C1288" s="58" t="s">
        <v>10</v>
      </c>
      <c r="D1288" s="76" t="s">
        <v>2057</v>
      </c>
      <c r="E1288" s="58" t="s">
        <v>1560</v>
      </c>
      <c r="F1288" s="58" t="s">
        <v>2079</v>
      </c>
      <c r="G1288" s="41" t="s">
        <v>11</v>
      </c>
      <c r="H1288" s="58" t="s">
        <v>1790</v>
      </c>
      <c r="I1288" s="76"/>
      <c r="J1288" s="76"/>
      <c r="K1288" s="58" t="str">
        <f>IFERROR(VLOOKUP(L1288,'Raw material list'!$A$3:$C$715,3,0),"")</f>
        <v>DRS6-309</v>
      </c>
      <c r="L1288" s="59" t="s">
        <v>61</v>
      </c>
      <c r="M1288" s="80" t="s">
        <v>156</v>
      </c>
      <c r="N1288" s="40" t="str">
        <f>VLOOKUP(L1288,'Raw material list'!$A$3:$E$715,5,0)</f>
        <v xml:space="preserve">Gram </v>
      </c>
      <c r="O1288" s="80">
        <v>1</v>
      </c>
      <c r="P1288" s="299">
        <f t="shared" si="127"/>
        <v>1</v>
      </c>
      <c r="Q1288" s="80">
        <v>100</v>
      </c>
      <c r="R1288" s="80">
        <v>10</v>
      </c>
      <c r="S1288" s="80"/>
      <c r="T1288" s="105">
        <f t="shared" si="123"/>
        <v>0.1</v>
      </c>
      <c r="U1288" s="105">
        <f t="shared" si="128"/>
        <v>0.1</v>
      </c>
      <c r="V1288" s="104">
        <f>IFERROR(VLOOKUP(L1288,'Raw material list'!$A$2:$S$3102,6,0),0)</f>
        <v>2.8000000000000001E-2</v>
      </c>
      <c r="W1288" s="104">
        <f t="shared" si="129"/>
        <v>2.8000000000000004E-3</v>
      </c>
    </row>
    <row r="1289" spans="1:23" hidden="1" x14ac:dyDescent="0.55000000000000004">
      <c r="A1289" s="76" t="str">
        <f t="shared" si="126"/>
        <v>RCP-SMC-000072</v>
      </c>
      <c r="B1289" s="58" t="s">
        <v>35</v>
      </c>
      <c r="C1289" s="58" t="s">
        <v>10</v>
      </c>
      <c r="D1289" s="76" t="s">
        <v>2057</v>
      </c>
      <c r="E1289" s="58" t="s">
        <v>1560</v>
      </c>
      <c r="F1289" s="58" t="s">
        <v>2079</v>
      </c>
      <c r="G1289" s="41" t="s">
        <v>11</v>
      </c>
      <c r="H1289" s="58" t="s">
        <v>1790</v>
      </c>
      <c r="I1289" s="76"/>
      <c r="J1289" s="76"/>
      <c r="K1289" s="58" t="str">
        <f>IFERROR(VLOOKUP(L1289,'Raw material list'!$A$3:$C$715,3,0),"")</f>
        <v>DRS1-3880</v>
      </c>
      <c r="L1289" s="59" t="s">
        <v>1433</v>
      </c>
      <c r="M1289" s="80" t="s">
        <v>156</v>
      </c>
      <c r="N1289" s="40" t="str">
        <f>VLOOKUP(L1289,'Raw material list'!$A$3:$E$715,5,0)</f>
        <v xml:space="preserve">Gram </v>
      </c>
      <c r="O1289" s="80">
        <v>5</v>
      </c>
      <c r="P1289" s="299">
        <f t="shared" si="127"/>
        <v>5</v>
      </c>
      <c r="Q1289" s="80">
        <v>100</v>
      </c>
      <c r="R1289" s="80">
        <v>10</v>
      </c>
      <c r="S1289" s="80"/>
      <c r="T1289" s="105">
        <f t="shared" si="123"/>
        <v>0.5</v>
      </c>
      <c r="U1289" s="105">
        <f t="shared" si="128"/>
        <v>0.5</v>
      </c>
      <c r="V1289" s="104">
        <f>IFERROR(VLOOKUP(L1289,'Raw material list'!$A$2:$S$3102,6,0),0)</f>
        <v>5.0000000000000001E-4</v>
      </c>
      <c r="W1289" s="104">
        <f t="shared" si="129"/>
        <v>2.5000000000000001E-4</v>
      </c>
    </row>
    <row r="1290" spans="1:23" hidden="1" x14ac:dyDescent="0.55000000000000004">
      <c r="A1290" s="76" t="str">
        <f t="shared" si="126"/>
        <v>RCP-SMC-000072</v>
      </c>
      <c r="B1290" s="58" t="s">
        <v>35</v>
      </c>
      <c r="C1290" s="58" t="s">
        <v>10</v>
      </c>
      <c r="D1290" s="76" t="s">
        <v>2057</v>
      </c>
      <c r="E1290" s="58" t="s">
        <v>1560</v>
      </c>
      <c r="F1290" s="58" t="s">
        <v>2079</v>
      </c>
      <c r="G1290" s="41" t="s">
        <v>11</v>
      </c>
      <c r="H1290" s="58" t="s">
        <v>1790</v>
      </c>
      <c r="I1290" s="76"/>
      <c r="J1290" s="76"/>
      <c r="K1290" s="58" t="str">
        <f>IFERROR(VLOOKUP(L1290,'Raw material list'!$A$3:$C$715,3,0),"")</f>
        <v>DRS3-1813</v>
      </c>
      <c r="L1290" s="59" t="s">
        <v>69</v>
      </c>
      <c r="M1290" s="80" t="s">
        <v>206</v>
      </c>
      <c r="N1290" s="40" t="str">
        <f>VLOOKUP(L1290,'Raw material list'!$A$3:$E$715,5,0)</f>
        <v>Ml</v>
      </c>
      <c r="O1290" s="80">
        <v>25</v>
      </c>
      <c r="P1290" s="299">
        <f t="shared" si="127"/>
        <v>25</v>
      </c>
      <c r="Q1290" s="80">
        <v>100</v>
      </c>
      <c r="R1290" s="80">
        <v>10</v>
      </c>
      <c r="S1290" s="80"/>
      <c r="T1290" s="105">
        <f t="shared" si="123"/>
        <v>2.5</v>
      </c>
      <c r="U1290" s="105">
        <f t="shared" si="128"/>
        <v>2.5</v>
      </c>
      <c r="V1290" s="104">
        <f>IFERROR(VLOOKUP(L1290,'Raw material list'!$A$2:$S$3102,6,0),0)</f>
        <v>8.0555555555555554E-3</v>
      </c>
      <c r="W1290" s="104">
        <f t="shared" si="129"/>
        <v>2.0138888888888887E-2</v>
      </c>
    </row>
    <row r="1291" spans="1:23" hidden="1" x14ac:dyDescent="0.55000000000000004">
      <c r="A1291" s="76" t="str">
        <f t="shared" si="126"/>
        <v>RCP-SMC-000072</v>
      </c>
      <c r="B1291" s="58" t="s">
        <v>35</v>
      </c>
      <c r="C1291" s="58" t="s">
        <v>10</v>
      </c>
      <c r="D1291" s="76" t="s">
        <v>2057</v>
      </c>
      <c r="E1291" s="58" t="s">
        <v>1560</v>
      </c>
      <c r="F1291" s="58" t="s">
        <v>2079</v>
      </c>
      <c r="G1291" s="41" t="s">
        <v>11</v>
      </c>
      <c r="H1291" s="58" t="s">
        <v>1790</v>
      </c>
      <c r="I1291" s="76"/>
      <c r="J1291" s="76"/>
      <c r="K1291" s="58" t="str">
        <f>IFERROR(VLOOKUP(L1291,'Raw material list'!$A$3:$C$715,3,0),"")</f>
        <v>PRD1-186</v>
      </c>
      <c r="L1291" s="59" t="s">
        <v>37</v>
      </c>
      <c r="M1291" s="80" t="s">
        <v>156</v>
      </c>
      <c r="N1291" s="40" t="str">
        <f>VLOOKUP(L1291,'Raw material list'!$A$3:$E$715,5,0)</f>
        <v xml:space="preserve">Gram </v>
      </c>
      <c r="O1291" s="80">
        <v>400</v>
      </c>
      <c r="P1291" s="299">
        <f t="shared" si="127"/>
        <v>489.79591836734693</v>
      </c>
      <c r="Q1291" s="105">
        <v>81.666666666666671</v>
      </c>
      <c r="R1291" s="80">
        <v>10</v>
      </c>
      <c r="S1291" s="80"/>
      <c r="T1291" s="105">
        <f t="shared" si="123"/>
        <v>40</v>
      </c>
      <c r="U1291" s="105">
        <f t="shared" si="128"/>
        <v>48.979591836734691</v>
      </c>
      <c r="V1291" s="104">
        <f>IFERROR(VLOOKUP(L1291,'Raw material list'!$A$2:$S$3102,6,0),0)</f>
        <v>5.8139534883720938E-3</v>
      </c>
      <c r="W1291" s="104">
        <f t="shared" si="129"/>
        <v>0.284765068818225</v>
      </c>
    </row>
    <row r="1292" spans="1:23" hidden="1" x14ac:dyDescent="0.55000000000000004">
      <c r="A1292" s="76" t="str">
        <f t="shared" si="126"/>
        <v>RCP-SMC-000072</v>
      </c>
      <c r="B1292" s="58" t="s">
        <v>35</v>
      </c>
      <c r="C1292" s="58" t="s">
        <v>10</v>
      </c>
      <c r="D1292" s="76" t="s">
        <v>2057</v>
      </c>
      <c r="E1292" s="58" t="s">
        <v>1560</v>
      </c>
      <c r="F1292" s="58" t="s">
        <v>2079</v>
      </c>
      <c r="G1292" s="41" t="s">
        <v>11</v>
      </c>
      <c r="H1292" s="58" t="s">
        <v>1790</v>
      </c>
      <c r="I1292" s="76"/>
      <c r="J1292" s="76"/>
      <c r="K1292" s="58" t="str">
        <f>IFERROR(VLOOKUP(L1292,'Raw material list'!$A$3:$C$715,3,0),"")</f>
        <v>PRD1-3794</v>
      </c>
      <c r="L1292" s="59" t="s">
        <v>973</v>
      </c>
      <c r="M1292" s="80" t="s">
        <v>156</v>
      </c>
      <c r="N1292" s="40" t="str">
        <f>VLOOKUP(L1292,'Raw material list'!$A$3:$E$715,5,0)</f>
        <v xml:space="preserve">Gram </v>
      </c>
      <c r="O1292" s="80">
        <v>400</v>
      </c>
      <c r="P1292" s="299">
        <f t="shared" si="127"/>
        <v>493.82716049382714</v>
      </c>
      <c r="Q1292" s="105">
        <v>81</v>
      </c>
      <c r="R1292" s="80">
        <v>10</v>
      </c>
      <c r="S1292" s="80"/>
      <c r="T1292" s="105">
        <f t="shared" si="123"/>
        <v>40</v>
      </c>
      <c r="U1292" s="105">
        <f t="shared" si="128"/>
        <v>49.382716049382715</v>
      </c>
      <c r="V1292" s="104">
        <f>IFERROR(VLOOKUP(L1292,'Raw material list'!$A$2:$S$3102,6,0),0)</f>
        <v>4.9382716049382715E-3</v>
      </c>
      <c r="W1292" s="104">
        <f t="shared" si="129"/>
        <v>0.24386526444139611</v>
      </c>
    </row>
    <row r="1293" spans="1:23" hidden="1" x14ac:dyDescent="0.55000000000000004">
      <c r="A1293" s="76" t="str">
        <f t="shared" si="126"/>
        <v>RCP-SMC-000072</v>
      </c>
      <c r="B1293" s="58" t="s">
        <v>35</v>
      </c>
      <c r="C1293" s="58" t="s">
        <v>10</v>
      </c>
      <c r="D1293" s="76" t="s">
        <v>2057</v>
      </c>
      <c r="E1293" s="58" t="s">
        <v>1560</v>
      </c>
      <c r="F1293" s="58" t="s">
        <v>2079</v>
      </c>
      <c r="G1293" s="41" t="s">
        <v>11</v>
      </c>
      <c r="H1293" s="58" t="s">
        <v>1790</v>
      </c>
      <c r="I1293" s="76"/>
      <c r="J1293" s="76"/>
      <c r="K1293" s="58" t="str">
        <f>IFERROR(VLOOKUP(L1293,'Raw material list'!$A$3:$C$715,3,0),"")</f>
        <v>DRY2-1008</v>
      </c>
      <c r="L1293" s="59" t="s">
        <v>57</v>
      </c>
      <c r="M1293" s="80" t="s">
        <v>156</v>
      </c>
      <c r="N1293" s="40" t="str">
        <f>VLOOKUP(L1293,'Raw material list'!$A$3:$E$715,5,0)</f>
        <v xml:space="preserve">Gram </v>
      </c>
      <c r="O1293" s="80">
        <v>25</v>
      </c>
      <c r="P1293" s="299">
        <f t="shared" si="127"/>
        <v>25</v>
      </c>
      <c r="Q1293" s="303">
        <v>100</v>
      </c>
      <c r="R1293" s="80">
        <v>10</v>
      </c>
      <c r="S1293" s="80"/>
      <c r="T1293" s="105">
        <f t="shared" si="123"/>
        <v>2.5</v>
      </c>
      <c r="U1293" s="105">
        <f t="shared" si="128"/>
        <v>2.5</v>
      </c>
      <c r="V1293" s="104">
        <f>IFERROR(VLOOKUP(L1293,'Raw material list'!$A$2:$S$3102,6,0),0)</f>
        <v>0.03</v>
      </c>
      <c r="W1293" s="104">
        <f t="shared" si="129"/>
        <v>7.4999999999999997E-2</v>
      </c>
    </row>
    <row r="1294" spans="1:23" hidden="1" x14ac:dyDescent="0.55000000000000004">
      <c r="A1294" s="76" t="s">
        <v>1596</v>
      </c>
      <c r="B1294" s="58" t="s">
        <v>35</v>
      </c>
      <c r="C1294" s="58" t="s">
        <v>10</v>
      </c>
      <c r="D1294" s="76" t="s">
        <v>1581</v>
      </c>
      <c r="E1294" s="76" t="s">
        <v>1589</v>
      </c>
      <c r="F1294" s="264" t="s">
        <v>2080</v>
      </c>
      <c r="G1294" s="94" t="s">
        <v>1780</v>
      </c>
      <c r="H1294" s="106" t="s">
        <v>1774</v>
      </c>
      <c r="I1294" s="76"/>
      <c r="J1294" s="76"/>
      <c r="K1294" s="58" t="str">
        <f>IFERROR(VLOOKUP(L1294,'Raw material list'!$A$3:$C$715,3,0),"")</f>
        <v>DRY2-1388</v>
      </c>
      <c r="L1294" s="59" t="s">
        <v>126</v>
      </c>
      <c r="M1294" s="80" t="s">
        <v>206</v>
      </c>
      <c r="N1294" s="40" t="str">
        <f>VLOOKUP(L1294,'Raw material list'!$A$3:$E$715,5,0)</f>
        <v>Ml</v>
      </c>
      <c r="O1294" s="80">
        <v>1000</v>
      </c>
      <c r="P1294" s="299">
        <f t="shared" si="127"/>
        <v>1000</v>
      </c>
      <c r="Q1294" s="80">
        <v>100</v>
      </c>
      <c r="R1294" s="80">
        <v>6</v>
      </c>
      <c r="S1294" s="80"/>
      <c r="T1294" s="105">
        <f t="shared" si="123"/>
        <v>166.66666666666666</v>
      </c>
      <c r="U1294" s="105">
        <f t="shared" si="128"/>
        <v>166.66666666666666</v>
      </c>
      <c r="V1294" s="104">
        <f>IFERROR(VLOOKUP(L1294,'Raw material list'!$A$2:$S$3102,6,0),0)</f>
        <v>4.2500000000000003E-3</v>
      </c>
      <c r="W1294" s="104">
        <f t="shared" si="129"/>
        <v>0.70833333333333337</v>
      </c>
    </row>
    <row r="1295" spans="1:23" hidden="1" x14ac:dyDescent="0.55000000000000004">
      <c r="A1295" s="76" t="str">
        <f t="shared" ref="A1295:A1299" si="130">A1294</f>
        <v>RCP-SMC-000073</v>
      </c>
      <c r="B1295" s="58" t="s">
        <v>35</v>
      </c>
      <c r="C1295" s="58" t="s">
        <v>10</v>
      </c>
      <c r="D1295" s="76" t="str">
        <f t="shared" ref="D1295:D1299" si="131">D1294</f>
        <v>Mouhalabia</v>
      </c>
      <c r="E1295" s="76" t="s">
        <v>1589</v>
      </c>
      <c r="F1295" s="76" t="s">
        <v>2080</v>
      </c>
      <c r="G1295" s="94" t="s">
        <v>1780</v>
      </c>
      <c r="H1295" s="76" t="s">
        <v>1774</v>
      </c>
      <c r="I1295" s="76"/>
      <c r="J1295" s="76"/>
      <c r="K1295" s="58" t="str">
        <f>IFERROR(VLOOKUP(L1295,'Raw material list'!$A$3:$C$715,3,0),"")</f>
        <v>DRS1-978</v>
      </c>
      <c r="L1295" s="59" t="s">
        <v>56</v>
      </c>
      <c r="M1295" s="80" t="s">
        <v>156</v>
      </c>
      <c r="N1295" s="40" t="str">
        <f>VLOOKUP(L1295,'Raw material list'!$A$3:$E$715,5,0)</f>
        <v xml:space="preserve">Gram </v>
      </c>
      <c r="O1295" s="80">
        <v>120</v>
      </c>
      <c r="P1295" s="299">
        <f t="shared" si="127"/>
        <v>120</v>
      </c>
      <c r="Q1295" s="80">
        <v>100</v>
      </c>
      <c r="R1295" s="80">
        <v>6</v>
      </c>
      <c r="S1295" s="80"/>
      <c r="T1295" s="105">
        <f t="shared" si="123"/>
        <v>20</v>
      </c>
      <c r="U1295" s="105">
        <f t="shared" si="128"/>
        <v>20</v>
      </c>
      <c r="V1295" s="104">
        <f>IFERROR(VLOOKUP(L1295,'Raw material list'!$A$2:$S$3102,6,0),0)</f>
        <v>2.3999999999999998E-3</v>
      </c>
      <c r="W1295" s="104">
        <f t="shared" si="129"/>
        <v>4.7999999999999994E-2</v>
      </c>
    </row>
    <row r="1296" spans="1:23" hidden="1" x14ac:dyDescent="0.55000000000000004">
      <c r="A1296" s="76" t="str">
        <f t="shared" si="130"/>
        <v>RCP-SMC-000073</v>
      </c>
      <c r="B1296" s="58" t="s">
        <v>35</v>
      </c>
      <c r="C1296" s="58" t="s">
        <v>10</v>
      </c>
      <c r="D1296" s="76" t="str">
        <f t="shared" si="131"/>
        <v>Mouhalabia</v>
      </c>
      <c r="E1296" s="76" t="s">
        <v>1589</v>
      </c>
      <c r="F1296" s="76" t="s">
        <v>2080</v>
      </c>
      <c r="G1296" s="94" t="s">
        <v>1780</v>
      </c>
      <c r="H1296" s="76" t="s">
        <v>1774</v>
      </c>
      <c r="I1296" s="76"/>
      <c r="J1296" s="76"/>
      <c r="K1296" s="58" t="str">
        <f>IFERROR(VLOOKUP(L1296,'Raw material list'!$A$3:$C$715,3,0),"")</f>
        <v>DRS1-115</v>
      </c>
      <c r="L1296" s="59" t="s">
        <v>783</v>
      </c>
      <c r="M1296" s="80" t="s">
        <v>206</v>
      </c>
      <c r="N1296" s="40" t="str">
        <f>VLOOKUP(L1296,'Raw material list'!$A$3:$E$715,5,0)</f>
        <v>Ml</v>
      </c>
      <c r="O1296" s="80">
        <v>20</v>
      </c>
      <c r="P1296" s="299">
        <f t="shared" si="127"/>
        <v>20</v>
      </c>
      <c r="Q1296" s="80">
        <v>100</v>
      </c>
      <c r="R1296" s="80">
        <v>6</v>
      </c>
      <c r="S1296" s="80"/>
      <c r="T1296" s="105">
        <f t="shared" si="123"/>
        <v>3.3333333333333335</v>
      </c>
      <c r="U1296" s="105">
        <f t="shared" si="128"/>
        <v>3.3333333333333335</v>
      </c>
      <c r="V1296" s="104">
        <f>IFERROR(VLOOKUP(L1296,'Raw material list'!$A$2:$S$3102,6,0),0)</f>
        <v>1.9709090909090909E-2</v>
      </c>
      <c r="W1296" s="104">
        <f t="shared" si="129"/>
        <v>6.5696969696969698E-2</v>
      </c>
    </row>
    <row r="1297" spans="1:23" hidden="1" x14ac:dyDescent="0.55000000000000004">
      <c r="A1297" s="76" t="str">
        <f t="shared" si="130"/>
        <v>RCP-SMC-000073</v>
      </c>
      <c r="B1297" s="58" t="s">
        <v>35</v>
      </c>
      <c r="C1297" s="58" t="s">
        <v>10</v>
      </c>
      <c r="D1297" s="76" t="str">
        <f t="shared" si="131"/>
        <v>Mouhalabia</v>
      </c>
      <c r="E1297" s="76" t="s">
        <v>1589</v>
      </c>
      <c r="F1297" s="76" t="s">
        <v>2080</v>
      </c>
      <c r="G1297" s="94" t="s">
        <v>1780</v>
      </c>
      <c r="H1297" s="76" t="s">
        <v>1774</v>
      </c>
      <c r="I1297" s="76"/>
      <c r="J1297" s="76"/>
      <c r="K1297" s="58" t="str">
        <f>IFERROR(VLOOKUP(L1297,'Raw material list'!$A$3:$C$715,3,0),"")</f>
        <v>DRS1-41</v>
      </c>
      <c r="L1297" s="59" t="s">
        <v>260</v>
      </c>
      <c r="M1297" s="80" t="s">
        <v>206</v>
      </c>
      <c r="N1297" s="40" t="str">
        <f>VLOOKUP(L1297,'Raw material list'!$A$3:$E$715,5,0)</f>
        <v>Ml</v>
      </c>
      <c r="O1297" s="80">
        <v>20</v>
      </c>
      <c r="P1297" s="299">
        <f t="shared" si="127"/>
        <v>20</v>
      </c>
      <c r="Q1297" s="80">
        <v>100</v>
      </c>
      <c r="R1297" s="80">
        <v>6</v>
      </c>
      <c r="S1297" s="80"/>
      <c r="T1297" s="105">
        <f t="shared" si="123"/>
        <v>3.3333333333333335</v>
      </c>
      <c r="U1297" s="105">
        <f t="shared" si="128"/>
        <v>3.3333333333333335</v>
      </c>
      <c r="V1297" s="104">
        <f>IFERROR(VLOOKUP(L1297,'Raw material list'!$A$2:$S$3102,6,0),0)</f>
        <v>1.9709090909090909E-2</v>
      </c>
      <c r="W1297" s="104">
        <f t="shared" si="129"/>
        <v>6.5696969696969698E-2</v>
      </c>
    </row>
    <row r="1298" spans="1:23" hidden="1" x14ac:dyDescent="0.55000000000000004">
      <c r="A1298" s="76" t="str">
        <f t="shared" si="130"/>
        <v>RCP-SMC-000073</v>
      </c>
      <c r="B1298" s="58" t="s">
        <v>35</v>
      </c>
      <c r="C1298" s="58" t="s">
        <v>10</v>
      </c>
      <c r="D1298" s="76" t="str">
        <f t="shared" si="131"/>
        <v>Mouhalabia</v>
      </c>
      <c r="E1298" s="76" t="s">
        <v>1589</v>
      </c>
      <c r="F1298" s="76" t="s">
        <v>2080</v>
      </c>
      <c r="G1298" s="94" t="s">
        <v>1780</v>
      </c>
      <c r="H1298" s="76" t="s">
        <v>1774</v>
      </c>
      <c r="I1298" s="76"/>
      <c r="J1298" s="76"/>
      <c r="K1298" s="58" t="str">
        <f>IFERROR(VLOOKUP(L1298,'Raw material list'!$A$3:$C$715,3,0),"")</f>
        <v>DRS5-21</v>
      </c>
      <c r="L1298" s="59" t="s">
        <v>55</v>
      </c>
      <c r="M1298" s="80" t="s">
        <v>156</v>
      </c>
      <c r="N1298" s="40" t="str">
        <f>VLOOKUP(L1298,'Raw material list'!$A$3:$E$715,5,0)</f>
        <v xml:space="preserve">Gram </v>
      </c>
      <c r="O1298" s="80">
        <v>70</v>
      </c>
      <c r="P1298" s="299">
        <f t="shared" si="127"/>
        <v>70</v>
      </c>
      <c r="Q1298" s="80">
        <v>100</v>
      </c>
      <c r="R1298" s="80">
        <v>6</v>
      </c>
      <c r="S1298" s="80"/>
      <c r="T1298" s="105">
        <f t="shared" si="123"/>
        <v>11.666666666666666</v>
      </c>
      <c r="U1298" s="105">
        <f t="shared" si="128"/>
        <v>11.666666666666666</v>
      </c>
      <c r="V1298" s="104">
        <f>IFERROR(VLOOKUP(L1298,'Raw material list'!$A$2:$S$3102,6,0),0)</f>
        <v>2.0799999999999998E-3</v>
      </c>
      <c r="W1298" s="104">
        <f t="shared" si="129"/>
        <v>2.4266666666666662E-2</v>
      </c>
    </row>
    <row r="1299" spans="1:23" hidden="1" x14ac:dyDescent="0.55000000000000004">
      <c r="A1299" s="76" t="str">
        <f t="shared" si="130"/>
        <v>RCP-SMC-000073</v>
      </c>
      <c r="B1299" s="58" t="s">
        <v>35</v>
      </c>
      <c r="C1299" s="58" t="s">
        <v>10</v>
      </c>
      <c r="D1299" s="76" t="str">
        <f t="shared" si="131"/>
        <v>Mouhalabia</v>
      </c>
      <c r="E1299" s="76" t="s">
        <v>1589</v>
      </c>
      <c r="F1299" s="76" t="s">
        <v>2080</v>
      </c>
      <c r="G1299" s="94" t="s">
        <v>1780</v>
      </c>
      <c r="H1299" s="76" t="s">
        <v>1774</v>
      </c>
      <c r="I1299" s="76"/>
      <c r="J1299" s="76"/>
      <c r="K1299" s="58" t="str">
        <f>IFERROR(VLOOKUP(L1299,'Raw material list'!$A$3:$C$715,3,0),"")</f>
        <v>TAP-00001</v>
      </c>
      <c r="L1299" s="59" t="s">
        <v>1405</v>
      </c>
      <c r="M1299" s="80" t="s">
        <v>206</v>
      </c>
      <c r="N1299" s="40" t="str">
        <f>VLOOKUP(L1299,'Raw material list'!$A$3:$E$715,5,0)</f>
        <v>Ml</v>
      </c>
      <c r="O1299" s="80">
        <v>80</v>
      </c>
      <c r="P1299" s="299">
        <f t="shared" si="127"/>
        <v>80</v>
      </c>
      <c r="Q1299" s="80">
        <v>100</v>
      </c>
      <c r="R1299" s="80">
        <v>6</v>
      </c>
      <c r="S1299" s="80"/>
      <c r="T1299" s="105">
        <f t="shared" si="123"/>
        <v>13.333333333333334</v>
      </c>
      <c r="U1299" s="105">
        <f t="shared" si="128"/>
        <v>13.333333333333334</v>
      </c>
      <c r="V1299" s="104">
        <f>IFERROR(VLOOKUP(L1299,'Raw material list'!$A$2:$S$3102,6,0),0)</f>
        <v>8.0000000000000007E-5</v>
      </c>
      <c r="W1299" s="104">
        <f t="shared" si="129"/>
        <v>1.0666666666666667E-3</v>
      </c>
    </row>
    <row r="1300" spans="1:23" hidden="1" x14ac:dyDescent="0.55000000000000004">
      <c r="A1300" s="76" t="s">
        <v>1597</v>
      </c>
      <c r="B1300" s="58" t="s">
        <v>35</v>
      </c>
      <c r="C1300" s="58" t="s">
        <v>10</v>
      </c>
      <c r="D1300" s="76" t="s">
        <v>1582</v>
      </c>
      <c r="E1300" s="76" t="s">
        <v>1589</v>
      </c>
      <c r="F1300" s="76" t="s">
        <v>2080</v>
      </c>
      <c r="G1300" s="94" t="s">
        <v>1780</v>
      </c>
      <c r="H1300" s="76" t="s">
        <v>1774</v>
      </c>
      <c r="I1300" s="76"/>
      <c r="J1300" s="76"/>
      <c r="K1300" s="58" t="str">
        <f>IFERROR(VLOOKUP(L1300,'Raw material list'!$A$3:$C$715,3,0),"")</f>
        <v>DRY2-1388</v>
      </c>
      <c r="L1300" s="59" t="s">
        <v>126</v>
      </c>
      <c r="M1300" s="80" t="s">
        <v>206</v>
      </c>
      <c r="N1300" s="40" t="str">
        <f>VLOOKUP(L1300,'Raw material list'!$A$3:$E$715,5,0)</f>
        <v>Ml</v>
      </c>
      <c r="O1300" s="80">
        <v>1000</v>
      </c>
      <c r="P1300" s="299">
        <f t="shared" si="127"/>
        <v>1000</v>
      </c>
      <c r="Q1300" s="80">
        <v>100</v>
      </c>
      <c r="R1300" s="80">
        <v>6</v>
      </c>
      <c r="S1300" s="80"/>
      <c r="T1300" s="105">
        <f t="shared" si="123"/>
        <v>166.66666666666666</v>
      </c>
      <c r="U1300" s="105">
        <f t="shared" si="128"/>
        <v>166.66666666666666</v>
      </c>
      <c r="V1300" s="104">
        <f>IFERROR(VLOOKUP(L1300,'Raw material list'!$A$2:$S$3102,6,0),0)</f>
        <v>4.2500000000000003E-3</v>
      </c>
      <c r="W1300" s="104">
        <f t="shared" si="129"/>
        <v>0.70833333333333337</v>
      </c>
    </row>
    <row r="1301" spans="1:23" hidden="1" x14ac:dyDescent="0.55000000000000004">
      <c r="A1301" s="76" t="str">
        <f t="shared" ref="A1301:A1304" si="132">A1300</f>
        <v>RCP-SMC-000074</v>
      </c>
      <c r="B1301" s="58" t="s">
        <v>35</v>
      </c>
      <c r="C1301" s="58" t="s">
        <v>10</v>
      </c>
      <c r="D1301" s="76" t="str">
        <f t="shared" ref="D1301:D1304" si="133">D1300</f>
        <v>Diabetic Mouhalabia</v>
      </c>
      <c r="E1301" s="76" t="s">
        <v>1589</v>
      </c>
      <c r="F1301" s="76" t="s">
        <v>2080</v>
      </c>
      <c r="G1301" s="94" t="s">
        <v>1780</v>
      </c>
      <c r="H1301" s="76" t="s">
        <v>1774</v>
      </c>
      <c r="I1301" s="76"/>
      <c r="J1301" s="76"/>
      <c r="K1301" s="58" t="str">
        <f>IFERROR(VLOOKUP(L1301,'Raw material list'!$A$3:$C$715,3,0),"")</f>
        <v>DRS1-1288</v>
      </c>
      <c r="L1301" s="59" t="s">
        <v>1583</v>
      </c>
      <c r="M1301" s="80" t="s">
        <v>156</v>
      </c>
      <c r="N1301" s="40" t="str">
        <f>VLOOKUP(L1301,'Raw material list'!$A$3:$E$715,5,0)</f>
        <v xml:space="preserve">Gram </v>
      </c>
      <c r="O1301" s="80">
        <v>110</v>
      </c>
      <c r="P1301" s="299">
        <f t="shared" si="127"/>
        <v>110.00000000000001</v>
      </c>
      <c r="Q1301" s="80">
        <v>100</v>
      </c>
      <c r="R1301" s="80">
        <v>6</v>
      </c>
      <c r="S1301" s="80"/>
      <c r="T1301" s="105">
        <f t="shared" si="123"/>
        <v>18.333333333333332</v>
      </c>
      <c r="U1301" s="105">
        <f t="shared" si="128"/>
        <v>18.333333333333336</v>
      </c>
      <c r="V1301" s="104">
        <f>IFERROR(VLOOKUP(L1301,'Raw material list'!$A$2:$S$3102,6,0),0)</f>
        <v>3.3320000000000002E-2</v>
      </c>
      <c r="W1301" s="104">
        <f t="shared" si="129"/>
        <v>0.61086666666666678</v>
      </c>
    </row>
    <row r="1302" spans="1:23" hidden="1" x14ac:dyDescent="0.55000000000000004">
      <c r="A1302" s="76" t="str">
        <f t="shared" si="132"/>
        <v>RCP-SMC-000074</v>
      </c>
      <c r="B1302" s="58" t="s">
        <v>35</v>
      </c>
      <c r="C1302" s="58" t="s">
        <v>10</v>
      </c>
      <c r="D1302" s="76" t="str">
        <f t="shared" si="133"/>
        <v>Diabetic Mouhalabia</v>
      </c>
      <c r="E1302" s="76" t="s">
        <v>1589</v>
      </c>
      <c r="F1302" s="76" t="s">
        <v>2080</v>
      </c>
      <c r="G1302" s="94" t="s">
        <v>1780</v>
      </c>
      <c r="H1302" s="76" t="s">
        <v>1774</v>
      </c>
      <c r="I1302" s="76"/>
      <c r="J1302" s="76"/>
      <c r="K1302" s="58" t="str">
        <f>IFERROR(VLOOKUP(L1302,'Raw material list'!$A$3:$C$715,3,0),"")</f>
        <v>TAP-00001</v>
      </c>
      <c r="L1302" s="59" t="s">
        <v>1405</v>
      </c>
      <c r="M1302" s="80" t="s">
        <v>206</v>
      </c>
      <c r="N1302" s="40" t="str">
        <f>VLOOKUP(L1302,'Raw material list'!$A$3:$E$715,5,0)</f>
        <v>Ml</v>
      </c>
      <c r="O1302" s="80">
        <v>80</v>
      </c>
      <c r="P1302" s="299">
        <f t="shared" si="127"/>
        <v>80</v>
      </c>
      <c r="Q1302" s="80">
        <v>100</v>
      </c>
      <c r="R1302" s="80">
        <v>6</v>
      </c>
      <c r="S1302" s="80"/>
      <c r="T1302" s="105">
        <f t="shared" si="123"/>
        <v>13.333333333333334</v>
      </c>
      <c r="U1302" s="105">
        <f t="shared" si="128"/>
        <v>13.333333333333334</v>
      </c>
      <c r="V1302" s="104">
        <f>IFERROR(VLOOKUP(L1302,'Raw material list'!$A$2:$S$3102,6,0),0)</f>
        <v>8.0000000000000007E-5</v>
      </c>
      <c r="W1302" s="104">
        <f t="shared" si="129"/>
        <v>1.0666666666666667E-3</v>
      </c>
    </row>
    <row r="1303" spans="1:23" hidden="1" x14ac:dyDescent="0.55000000000000004">
      <c r="A1303" s="76" t="str">
        <f t="shared" si="132"/>
        <v>RCP-SMC-000074</v>
      </c>
      <c r="B1303" s="58" t="s">
        <v>35</v>
      </c>
      <c r="C1303" s="58" t="s">
        <v>10</v>
      </c>
      <c r="D1303" s="76" t="str">
        <f t="shared" si="133"/>
        <v>Diabetic Mouhalabia</v>
      </c>
      <c r="E1303" s="76" t="s">
        <v>1589</v>
      </c>
      <c r="F1303" s="76" t="s">
        <v>2080</v>
      </c>
      <c r="G1303" s="94" t="s">
        <v>1780</v>
      </c>
      <c r="H1303" s="76" t="s">
        <v>1774</v>
      </c>
      <c r="I1303" s="76"/>
      <c r="J1303" s="76"/>
      <c r="K1303" s="58" t="str">
        <f>IFERROR(VLOOKUP(L1303,'Raw material list'!$A$3:$C$715,3,0),"")</f>
        <v>DRS1-41</v>
      </c>
      <c r="L1303" s="59" t="s">
        <v>260</v>
      </c>
      <c r="M1303" s="80" t="s">
        <v>206</v>
      </c>
      <c r="N1303" s="40" t="str">
        <f>VLOOKUP(L1303,'Raw material list'!$A$3:$E$715,5,0)</f>
        <v>Ml</v>
      </c>
      <c r="O1303" s="80">
        <v>20</v>
      </c>
      <c r="P1303" s="299">
        <f t="shared" si="127"/>
        <v>20</v>
      </c>
      <c r="Q1303" s="80">
        <v>100</v>
      </c>
      <c r="R1303" s="80">
        <v>6</v>
      </c>
      <c r="S1303" s="80"/>
      <c r="T1303" s="105">
        <f t="shared" si="123"/>
        <v>3.3333333333333335</v>
      </c>
      <c r="U1303" s="105">
        <f t="shared" si="128"/>
        <v>3.3333333333333335</v>
      </c>
      <c r="V1303" s="104">
        <f>IFERROR(VLOOKUP(L1303,'Raw material list'!$A$2:$S$3102,6,0),0)</f>
        <v>1.9709090909090909E-2</v>
      </c>
      <c r="W1303" s="104">
        <f t="shared" si="129"/>
        <v>6.5696969696969698E-2</v>
      </c>
    </row>
    <row r="1304" spans="1:23" hidden="1" x14ac:dyDescent="0.55000000000000004">
      <c r="A1304" s="76" t="str">
        <f t="shared" si="132"/>
        <v>RCP-SMC-000074</v>
      </c>
      <c r="B1304" s="58" t="s">
        <v>35</v>
      </c>
      <c r="C1304" s="58" t="s">
        <v>10</v>
      </c>
      <c r="D1304" s="76" t="str">
        <f t="shared" si="133"/>
        <v>Diabetic Mouhalabia</v>
      </c>
      <c r="E1304" s="76" t="s">
        <v>1589</v>
      </c>
      <c r="F1304" s="76" t="s">
        <v>2080</v>
      </c>
      <c r="G1304" s="94" t="s">
        <v>1780</v>
      </c>
      <c r="H1304" s="76" t="s">
        <v>1774</v>
      </c>
      <c r="I1304" s="76"/>
      <c r="J1304" s="76"/>
      <c r="K1304" s="58" t="str">
        <f>IFERROR(VLOOKUP(L1304,'Raw material list'!$A$3:$C$715,3,0),"")</f>
        <v>DRS5-21</v>
      </c>
      <c r="L1304" s="59" t="s">
        <v>55</v>
      </c>
      <c r="M1304" s="80" t="s">
        <v>156</v>
      </c>
      <c r="N1304" s="40" t="str">
        <f>VLOOKUP(L1304,'Raw material list'!$A$3:$E$715,5,0)</f>
        <v xml:space="preserve">Gram </v>
      </c>
      <c r="O1304" s="80">
        <v>70</v>
      </c>
      <c r="P1304" s="299">
        <f t="shared" si="127"/>
        <v>70</v>
      </c>
      <c r="Q1304" s="80">
        <v>100</v>
      </c>
      <c r="R1304" s="80">
        <v>6</v>
      </c>
      <c r="S1304" s="80"/>
      <c r="T1304" s="105">
        <f t="shared" si="123"/>
        <v>11.666666666666666</v>
      </c>
      <c r="U1304" s="105">
        <f t="shared" si="128"/>
        <v>11.666666666666666</v>
      </c>
      <c r="V1304" s="104">
        <f>IFERROR(VLOOKUP(L1304,'Raw material list'!$A$2:$S$3102,6,0),0)</f>
        <v>2.0799999999999998E-3</v>
      </c>
      <c r="W1304" s="104">
        <f t="shared" si="129"/>
        <v>2.4266666666666662E-2</v>
      </c>
    </row>
    <row r="1305" spans="1:23" hidden="1" x14ac:dyDescent="0.55000000000000004">
      <c r="A1305" s="76" t="s">
        <v>1598</v>
      </c>
      <c r="B1305" s="58" t="s">
        <v>35</v>
      </c>
      <c r="C1305" s="58" t="s">
        <v>10</v>
      </c>
      <c r="D1305" s="76" t="s">
        <v>1414</v>
      </c>
      <c r="E1305" s="76" t="s">
        <v>1589</v>
      </c>
      <c r="F1305" s="76" t="s">
        <v>2080</v>
      </c>
      <c r="G1305" s="94" t="s">
        <v>1780</v>
      </c>
      <c r="H1305" s="76" t="s">
        <v>1774</v>
      </c>
      <c r="I1305" s="76"/>
      <c r="J1305" s="76"/>
      <c r="K1305" s="58" t="str">
        <f>IFERROR(VLOOKUP(L1305,'Raw material list'!$A$3:$C$715,3,0),"")</f>
        <v>TAP-00001</v>
      </c>
      <c r="L1305" s="59" t="s">
        <v>1405</v>
      </c>
      <c r="M1305" s="80" t="s">
        <v>206</v>
      </c>
      <c r="N1305" s="40" t="str">
        <f>VLOOKUP(L1305,'Raw material list'!$A$3:$E$715,5,0)</f>
        <v>Ml</v>
      </c>
      <c r="O1305" s="80">
        <v>8000</v>
      </c>
      <c r="P1305" s="299">
        <f t="shared" si="127"/>
        <v>8000</v>
      </c>
      <c r="Q1305" s="80">
        <v>100</v>
      </c>
      <c r="R1305" s="80">
        <v>100</v>
      </c>
      <c r="S1305" s="80"/>
      <c r="T1305" s="105">
        <f t="shared" si="123"/>
        <v>80</v>
      </c>
      <c r="U1305" s="105">
        <f t="shared" si="128"/>
        <v>80</v>
      </c>
      <c r="V1305" s="104">
        <f>IFERROR(VLOOKUP(L1305,'Raw material list'!$A$2:$S$3102,6,0),0)</f>
        <v>8.0000000000000007E-5</v>
      </c>
      <c r="W1305" s="104">
        <f t="shared" si="129"/>
        <v>6.4000000000000003E-3</v>
      </c>
    </row>
    <row r="1306" spans="1:23" hidden="1" x14ac:dyDescent="0.55000000000000004">
      <c r="A1306" s="76" t="str">
        <f t="shared" ref="A1306:A1307" si="134">A1305</f>
        <v>RCP-SMC-000075</v>
      </c>
      <c r="B1306" s="58" t="s">
        <v>35</v>
      </c>
      <c r="C1306" s="58" t="s">
        <v>10</v>
      </c>
      <c r="D1306" s="76" t="str">
        <f t="shared" ref="D1306:D1307" si="135">D1305</f>
        <v>Jelly</v>
      </c>
      <c r="E1306" s="76" t="s">
        <v>1589</v>
      </c>
      <c r="F1306" s="76" t="s">
        <v>2080</v>
      </c>
      <c r="G1306" s="94" t="s">
        <v>1780</v>
      </c>
      <c r="H1306" s="76" t="s">
        <v>1774</v>
      </c>
      <c r="I1306" s="76"/>
      <c r="J1306" s="76"/>
      <c r="K1306" s="58" t="str">
        <f>IFERROR(VLOOKUP(L1306,'Raw material list'!$A$3:$C$715,3,0),"")</f>
        <v>DRS5-981</v>
      </c>
      <c r="L1306" s="59" t="s">
        <v>643</v>
      </c>
      <c r="M1306" s="80" t="s">
        <v>156</v>
      </c>
      <c r="N1306" s="40" t="str">
        <f>VLOOKUP(L1306,'Raw material list'!$A$3:$E$715,5,0)</f>
        <v xml:space="preserve">Gram </v>
      </c>
      <c r="O1306" s="80">
        <v>3000</v>
      </c>
      <c r="P1306" s="299">
        <f t="shared" si="127"/>
        <v>3000</v>
      </c>
      <c r="Q1306" s="80">
        <v>100</v>
      </c>
      <c r="R1306" s="80">
        <v>100</v>
      </c>
      <c r="S1306" s="80"/>
      <c r="T1306" s="105">
        <f t="shared" si="123"/>
        <v>30</v>
      </c>
      <c r="U1306" s="105">
        <f t="shared" si="128"/>
        <v>30</v>
      </c>
      <c r="V1306" s="104">
        <f>IFERROR(VLOOKUP(L1306,'Raw material list'!$A$2:$S$3102,6,0),0)</f>
        <v>1.2083333333333333E-2</v>
      </c>
      <c r="W1306" s="104">
        <f t="shared" si="129"/>
        <v>0.36249999999999999</v>
      </c>
    </row>
    <row r="1307" spans="1:23" hidden="1" x14ac:dyDescent="0.55000000000000004">
      <c r="A1307" s="76" t="str">
        <f t="shared" si="134"/>
        <v>RCP-SMC-000075</v>
      </c>
      <c r="B1307" s="58" t="s">
        <v>35</v>
      </c>
      <c r="C1307" s="58" t="s">
        <v>10</v>
      </c>
      <c r="D1307" s="76" t="str">
        <f t="shared" si="135"/>
        <v>Jelly</v>
      </c>
      <c r="E1307" s="76" t="s">
        <v>1589</v>
      </c>
      <c r="F1307" s="76" t="s">
        <v>2080</v>
      </c>
      <c r="G1307" s="94" t="s">
        <v>1780</v>
      </c>
      <c r="H1307" s="76" t="s">
        <v>1774</v>
      </c>
      <c r="I1307" s="76"/>
      <c r="J1307" s="76"/>
      <c r="K1307" s="58" t="str">
        <f>IFERROR(VLOOKUP(L1307,'Raw material list'!$A$3:$C$715,3,0),"")</f>
        <v>TAP-00001</v>
      </c>
      <c r="L1307" s="59" t="s">
        <v>1405</v>
      </c>
      <c r="M1307" s="80" t="s">
        <v>206</v>
      </c>
      <c r="N1307" s="40" t="str">
        <f>VLOOKUP(L1307,'Raw material list'!$A$3:$E$715,5,0)</f>
        <v>Ml</v>
      </c>
      <c r="O1307" s="80">
        <v>5000</v>
      </c>
      <c r="P1307" s="299">
        <f t="shared" si="127"/>
        <v>5000</v>
      </c>
      <c r="Q1307" s="80">
        <v>100</v>
      </c>
      <c r="R1307" s="80">
        <v>100</v>
      </c>
      <c r="S1307" s="80"/>
      <c r="T1307" s="105">
        <f t="shared" si="123"/>
        <v>50</v>
      </c>
      <c r="U1307" s="105">
        <f t="shared" si="128"/>
        <v>50</v>
      </c>
      <c r="V1307" s="104">
        <f>IFERROR(VLOOKUP(L1307,'Raw material list'!$A$2:$S$3102,6,0),0)</f>
        <v>8.0000000000000007E-5</v>
      </c>
      <c r="W1307" s="104">
        <f t="shared" si="129"/>
        <v>4.0000000000000001E-3</v>
      </c>
    </row>
    <row r="1308" spans="1:23" hidden="1" x14ac:dyDescent="0.55000000000000004">
      <c r="A1308" s="76" t="s">
        <v>1599</v>
      </c>
      <c r="B1308" s="58" t="s">
        <v>35</v>
      </c>
      <c r="C1308" s="58" t="s">
        <v>10</v>
      </c>
      <c r="D1308" s="76" t="s">
        <v>1584</v>
      </c>
      <c r="E1308" s="76" t="s">
        <v>1589</v>
      </c>
      <c r="F1308" s="76" t="s">
        <v>2080</v>
      </c>
      <c r="G1308" s="94" t="s">
        <v>1780</v>
      </c>
      <c r="H1308" s="76" t="s">
        <v>1774</v>
      </c>
      <c r="I1308" s="76"/>
      <c r="J1308" s="76"/>
      <c r="K1308" s="58" t="str">
        <f>IFERROR(VLOOKUP(L1308,'Raw material list'!$A$3:$C$715,3,0),"")</f>
        <v>DRY2-1388</v>
      </c>
      <c r="L1308" s="59" t="s">
        <v>126</v>
      </c>
      <c r="M1308" s="80" t="s">
        <v>206</v>
      </c>
      <c r="N1308" s="40" t="str">
        <f>VLOOKUP(L1308,'Raw material list'!$A$3:$E$715,5,0)</f>
        <v>Ml</v>
      </c>
      <c r="O1308" s="80">
        <v>1000</v>
      </c>
      <c r="P1308" s="299">
        <f t="shared" si="127"/>
        <v>1000</v>
      </c>
      <c r="Q1308" s="80">
        <v>100</v>
      </c>
      <c r="R1308" s="80">
        <v>6</v>
      </c>
      <c r="S1308" s="80"/>
      <c r="T1308" s="105">
        <f t="shared" si="123"/>
        <v>166.66666666666666</v>
      </c>
      <c r="U1308" s="105">
        <f t="shared" si="128"/>
        <v>166.66666666666666</v>
      </c>
      <c r="V1308" s="104">
        <f>IFERROR(VLOOKUP(L1308,'Raw material list'!$A$2:$S$3102,6,0),0)</f>
        <v>4.2500000000000003E-3</v>
      </c>
      <c r="W1308" s="104">
        <f t="shared" si="129"/>
        <v>0.70833333333333337</v>
      </c>
    </row>
    <row r="1309" spans="1:23" hidden="1" x14ac:dyDescent="0.55000000000000004">
      <c r="A1309" s="76" t="str">
        <f t="shared" ref="A1309:A1311" si="136">A1308</f>
        <v>RCP-SMC-000076</v>
      </c>
      <c r="B1309" s="58" t="s">
        <v>35</v>
      </c>
      <c r="C1309" s="58" t="s">
        <v>10</v>
      </c>
      <c r="D1309" s="76" t="str">
        <f t="shared" ref="D1309:D1311" si="137">D1308</f>
        <v>Custard</v>
      </c>
      <c r="E1309" s="76" t="s">
        <v>1589</v>
      </c>
      <c r="F1309" s="76" t="s">
        <v>2080</v>
      </c>
      <c r="G1309" s="94" t="s">
        <v>1780</v>
      </c>
      <c r="H1309" s="76" t="s">
        <v>1774</v>
      </c>
      <c r="I1309" s="76"/>
      <c r="J1309" s="76"/>
      <c r="K1309" s="58" t="str">
        <f>IFERROR(VLOOKUP(L1309,'Raw material list'!$A$3:$C$715,3,0),"")</f>
        <v>DRS1-978</v>
      </c>
      <c r="L1309" s="59" t="s">
        <v>56</v>
      </c>
      <c r="M1309" s="80" t="s">
        <v>156</v>
      </c>
      <c r="N1309" s="40" t="str">
        <f>VLOOKUP(L1309,'Raw material list'!$A$3:$E$715,5,0)</f>
        <v xml:space="preserve">Gram </v>
      </c>
      <c r="O1309" s="80">
        <v>120</v>
      </c>
      <c r="P1309" s="299">
        <f t="shared" si="127"/>
        <v>120</v>
      </c>
      <c r="Q1309" s="80">
        <v>100</v>
      </c>
      <c r="R1309" s="80">
        <v>6</v>
      </c>
      <c r="S1309" s="80"/>
      <c r="T1309" s="105">
        <f t="shared" si="123"/>
        <v>20</v>
      </c>
      <c r="U1309" s="105">
        <f t="shared" si="128"/>
        <v>20</v>
      </c>
      <c r="V1309" s="104">
        <f>IFERROR(VLOOKUP(L1309,'Raw material list'!$A$2:$S$3102,6,0),0)</f>
        <v>2.3999999999999998E-3</v>
      </c>
      <c r="W1309" s="104">
        <f t="shared" si="129"/>
        <v>4.7999999999999994E-2</v>
      </c>
    </row>
    <row r="1310" spans="1:23" hidden="1" x14ac:dyDescent="0.55000000000000004">
      <c r="A1310" s="76" t="str">
        <f t="shared" si="136"/>
        <v>RCP-SMC-000076</v>
      </c>
      <c r="B1310" s="58" t="s">
        <v>35</v>
      </c>
      <c r="C1310" s="58" t="s">
        <v>10</v>
      </c>
      <c r="D1310" s="76" t="str">
        <f t="shared" si="137"/>
        <v>Custard</v>
      </c>
      <c r="E1310" s="76" t="s">
        <v>1589</v>
      </c>
      <c r="F1310" s="76" t="s">
        <v>2080</v>
      </c>
      <c r="G1310" s="94" t="s">
        <v>1780</v>
      </c>
      <c r="H1310" s="76" t="s">
        <v>1774</v>
      </c>
      <c r="I1310" s="76"/>
      <c r="J1310" s="76"/>
      <c r="K1310" s="58" t="str">
        <f>IFERROR(VLOOKUP(L1310,'Raw material list'!$A$3:$C$715,3,0),"")</f>
        <v>DRS5-618</v>
      </c>
      <c r="L1310" s="59" t="s">
        <v>637</v>
      </c>
      <c r="M1310" s="80" t="s">
        <v>156</v>
      </c>
      <c r="N1310" s="40" t="str">
        <f>VLOOKUP(L1310,'Raw material list'!$A$3:$E$715,5,0)</f>
        <v xml:space="preserve">Gram </v>
      </c>
      <c r="O1310" s="80">
        <v>70</v>
      </c>
      <c r="P1310" s="299">
        <f t="shared" si="127"/>
        <v>70</v>
      </c>
      <c r="Q1310" s="80">
        <v>100</v>
      </c>
      <c r="R1310" s="80">
        <v>6</v>
      </c>
      <c r="S1310" s="80"/>
      <c r="T1310" s="105">
        <f t="shared" si="123"/>
        <v>11.666666666666666</v>
      </c>
      <c r="U1310" s="105">
        <f t="shared" si="128"/>
        <v>11.666666666666666</v>
      </c>
      <c r="V1310" s="104">
        <f>IFERROR(VLOOKUP(L1310,'Raw material list'!$A$2:$S$3102,6,0),0)</f>
        <v>1.5288888888888888E-2</v>
      </c>
      <c r="W1310" s="104">
        <f t="shared" si="129"/>
        <v>0.17837037037037035</v>
      </c>
    </row>
    <row r="1311" spans="1:23" hidden="1" x14ac:dyDescent="0.55000000000000004">
      <c r="A1311" s="76" t="str">
        <f t="shared" si="136"/>
        <v>RCP-SMC-000076</v>
      </c>
      <c r="B1311" s="58" t="s">
        <v>35</v>
      </c>
      <c r="C1311" s="58" t="s">
        <v>10</v>
      </c>
      <c r="D1311" s="76" t="str">
        <f t="shared" si="137"/>
        <v>Custard</v>
      </c>
      <c r="E1311" s="76" t="s">
        <v>1589</v>
      </c>
      <c r="F1311" s="76" t="s">
        <v>2080</v>
      </c>
      <c r="G1311" s="94" t="s">
        <v>1780</v>
      </c>
      <c r="H1311" s="76" t="s">
        <v>1774</v>
      </c>
      <c r="I1311" s="76"/>
      <c r="J1311" s="76"/>
      <c r="K1311" s="58" t="str">
        <f>IFERROR(VLOOKUP(L1311,'Raw material list'!$A$3:$C$715,3,0),"")</f>
        <v>TAP-00001</v>
      </c>
      <c r="L1311" s="59" t="s">
        <v>1405</v>
      </c>
      <c r="M1311" s="80" t="s">
        <v>206</v>
      </c>
      <c r="N1311" s="40" t="str">
        <f>VLOOKUP(L1311,'Raw material list'!$A$3:$E$715,5,0)</f>
        <v>Ml</v>
      </c>
      <c r="O1311" s="80">
        <v>80</v>
      </c>
      <c r="P1311" s="299">
        <f t="shared" si="127"/>
        <v>80</v>
      </c>
      <c r="Q1311" s="80">
        <v>100</v>
      </c>
      <c r="R1311" s="80">
        <v>6</v>
      </c>
      <c r="S1311" s="80"/>
      <c r="T1311" s="105">
        <f t="shared" si="123"/>
        <v>13.333333333333334</v>
      </c>
      <c r="U1311" s="105">
        <f t="shared" si="128"/>
        <v>13.333333333333334</v>
      </c>
      <c r="V1311" s="104">
        <f>IFERROR(VLOOKUP(L1311,'Raw material list'!$A$2:$S$3102,6,0),0)</f>
        <v>8.0000000000000007E-5</v>
      </c>
      <c r="W1311" s="104">
        <f t="shared" si="129"/>
        <v>1.0666666666666667E-3</v>
      </c>
    </row>
    <row r="1312" spans="1:23" hidden="1" x14ac:dyDescent="0.55000000000000004">
      <c r="A1312" s="76" t="s">
        <v>1600</v>
      </c>
      <c r="B1312" s="58" t="s">
        <v>35</v>
      </c>
      <c r="C1312" s="58" t="s">
        <v>10</v>
      </c>
      <c r="D1312" s="76" t="s">
        <v>1585</v>
      </c>
      <c r="E1312" s="76" t="s">
        <v>1589</v>
      </c>
      <c r="F1312" s="76" t="s">
        <v>2080</v>
      </c>
      <c r="G1312" s="94" t="s">
        <v>1780</v>
      </c>
      <c r="H1312" s="76" t="s">
        <v>1774</v>
      </c>
      <c r="I1312" s="76"/>
      <c r="J1312" s="76"/>
      <c r="K1312" s="58" t="str">
        <f>IFERROR(VLOOKUP(L1312,'Raw material list'!$A$3:$C$715,3,0),"")</f>
        <v>PRD1-395</v>
      </c>
      <c r="L1312" s="59" t="s">
        <v>1036</v>
      </c>
      <c r="M1312" s="80" t="s">
        <v>156</v>
      </c>
      <c r="N1312" s="40" t="str">
        <f>VLOOKUP(L1312,'Raw material list'!$A$3:$E$715,5,0)</f>
        <v xml:space="preserve">Gram </v>
      </c>
      <c r="O1312" s="80">
        <v>35</v>
      </c>
      <c r="P1312" s="299">
        <f t="shared" si="127"/>
        <v>65.420560747663544</v>
      </c>
      <c r="Q1312" s="105">
        <v>53.5</v>
      </c>
      <c r="R1312" s="80">
        <v>1</v>
      </c>
      <c r="S1312" s="80"/>
      <c r="T1312" s="105">
        <f t="shared" si="123"/>
        <v>35</v>
      </c>
      <c r="U1312" s="105">
        <f t="shared" si="128"/>
        <v>65.420560747663544</v>
      </c>
      <c r="V1312" s="104">
        <f>IFERROR(VLOOKUP(L1312,'Raw material list'!$A$2:$S$3102,6,0),0)</f>
        <v>9.3457943925233621E-3</v>
      </c>
      <c r="W1312" s="104">
        <f t="shared" si="129"/>
        <v>0.6114071097912479</v>
      </c>
    </row>
    <row r="1313" spans="1:23" hidden="1" x14ac:dyDescent="0.55000000000000004">
      <c r="A1313" s="76" t="str">
        <f t="shared" ref="A1313:A1314" si="138">A1312</f>
        <v>RCP-SMC-000077</v>
      </c>
      <c r="B1313" s="58" t="s">
        <v>35</v>
      </c>
      <c r="C1313" s="58" t="s">
        <v>10</v>
      </c>
      <c r="D1313" s="76" t="str">
        <f t="shared" ref="D1313:D1314" si="139">D1312</f>
        <v>Fruit Slice</v>
      </c>
      <c r="E1313" s="76" t="s">
        <v>1589</v>
      </c>
      <c r="F1313" s="76" t="s">
        <v>2080</v>
      </c>
      <c r="G1313" s="94" t="s">
        <v>1780</v>
      </c>
      <c r="H1313" s="76" t="s">
        <v>1774</v>
      </c>
      <c r="I1313" s="76"/>
      <c r="J1313" s="76"/>
      <c r="K1313" s="58" t="str">
        <f>IFERROR(VLOOKUP(L1313,'Raw material list'!$A$3:$C$715,3,0),"")</f>
        <v>PRD1-1315</v>
      </c>
      <c r="L1313" s="59" t="s">
        <v>1067</v>
      </c>
      <c r="M1313" s="80" t="s">
        <v>156</v>
      </c>
      <c r="N1313" s="40" t="str">
        <f>VLOOKUP(L1313,'Raw material list'!$A$3:$E$715,5,0)</f>
        <v xml:space="preserve">Gram </v>
      </c>
      <c r="O1313" s="80">
        <v>50</v>
      </c>
      <c r="P1313" s="299">
        <f t="shared" si="127"/>
        <v>71.736011477761849</v>
      </c>
      <c r="Q1313" s="105">
        <v>69.699999999999989</v>
      </c>
      <c r="R1313" s="80">
        <v>1</v>
      </c>
      <c r="S1313" s="80"/>
      <c r="T1313" s="105">
        <f t="shared" si="123"/>
        <v>50</v>
      </c>
      <c r="U1313" s="105">
        <f t="shared" si="128"/>
        <v>71.736011477761849</v>
      </c>
      <c r="V1313" s="104">
        <f>IFERROR(VLOOKUP(L1313,'Raw material list'!$A$2:$S$3102,6,0),0)</f>
        <v>6.4562410329985663E-3</v>
      </c>
      <c r="W1313" s="104">
        <f t="shared" si="129"/>
        <v>0.46314498084638217</v>
      </c>
    </row>
    <row r="1314" spans="1:23" hidden="1" x14ac:dyDescent="0.55000000000000004">
      <c r="A1314" s="76" t="str">
        <f t="shared" si="138"/>
        <v>RCP-SMC-000077</v>
      </c>
      <c r="B1314" s="58" t="s">
        <v>35</v>
      </c>
      <c r="C1314" s="58" t="s">
        <v>10</v>
      </c>
      <c r="D1314" s="76" t="str">
        <f t="shared" si="139"/>
        <v>Fruit Slice</v>
      </c>
      <c r="E1314" s="76" t="s">
        <v>1589</v>
      </c>
      <c r="F1314" s="76" t="s">
        <v>2080</v>
      </c>
      <c r="G1314" s="94" t="s">
        <v>1780</v>
      </c>
      <c r="H1314" s="76" t="s">
        <v>1774</v>
      </c>
      <c r="I1314" s="76"/>
      <c r="J1314" s="76"/>
      <c r="K1314" s="58" t="str">
        <f>IFERROR(VLOOKUP(L1314,'Raw material list'!$A$3:$C$715,3,0),"")</f>
        <v>PRD1-385</v>
      </c>
      <c r="L1314" s="59" t="s">
        <v>1011</v>
      </c>
      <c r="M1314" s="80" t="s">
        <v>156</v>
      </c>
      <c r="N1314" s="40" t="str">
        <f>VLOOKUP(L1314,'Raw material list'!$A$3:$E$715,5,0)</f>
        <v xml:space="preserve">Gram </v>
      </c>
      <c r="O1314" s="80">
        <v>20</v>
      </c>
      <c r="P1314" s="299">
        <f t="shared" si="127"/>
        <v>20.979020979020977</v>
      </c>
      <c r="Q1314" s="105">
        <v>95.333333333333343</v>
      </c>
      <c r="R1314" s="80">
        <v>1</v>
      </c>
      <c r="S1314" s="80"/>
      <c r="T1314" s="105">
        <f t="shared" si="123"/>
        <v>20</v>
      </c>
      <c r="U1314" s="105">
        <f t="shared" si="128"/>
        <v>20.979020979020977</v>
      </c>
      <c r="V1314" s="104">
        <f>IFERROR(VLOOKUP(L1314,'Raw material list'!$A$2:$S$3102,6,0),0)</f>
        <v>1.2591815320041971E-2</v>
      </c>
      <c r="W1314" s="104">
        <f t="shared" si="129"/>
        <v>0.26416395776311824</v>
      </c>
    </row>
    <row r="1315" spans="1:23" hidden="1" x14ac:dyDescent="0.55000000000000004">
      <c r="A1315" s="76" t="s">
        <v>1601</v>
      </c>
      <c r="B1315" s="58" t="s">
        <v>35</v>
      </c>
      <c r="C1315" s="58" t="s">
        <v>10</v>
      </c>
      <c r="D1315" s="76" t="s">
        <v>1586</v>
      </c>
      <c r="E1315" s="76" t="s">
        <v>1589</v>
      </c>
      <c r="F1315" s="76" t="s">
        <v>2080</v>
      </c>
      <c r="G1315" s="94" t="s">
        <v>1780</v>
      </c>
      <c r="H1315" s="76" t="s">
        <v>1774</v>
      </c>
      <c r="I1315" s="76"/>
      <c r="J1315" s="76"/>
      <c r="K1315" s="58" t="str">
        <f>IFERROR(VLOOKUP(L1315,'Raw material list'!$A$3:$C$715,3,0),"")</f>
        <v>PRD1-395</v>
      </c>
      <c r="L1315" s="59" t="s">
        <v>1036</v>
      </c>
      <c r="M1315" s="80" t="s">
        <v>156</v>
      </c>
      <c r="N1315" s="40" t="str">
        <f>VLOOKUP(L1315,'Raw material list'!$A$3:$E$715,5,0)</f>
        <v xml:space="preserve">Gram </v>
      </c>
      <c r="O1315" s="80">
        <v>35</v>
      </c>
      <c r="P1315" s="299">
        <f t="shared" si="127"/>
        <v>65.420560747663544</v>
      </c>
      <c r="Q1315" s="105">
        <v>53.5</v>
      </c>
      <c r="R1315" s="80">
        <v>1</v>
      </c>
      <c r="S1315" s="80"/>
      <c r="T1315" s="105">
        <f t="shared" si="123"/>
        <v>35</v>
      </c>
      <c r="U1315" s="105">
        <f t="shared" si="128"/>
        <v>65.420560747663544</v>
      </c>
      <c r="V1315" s="104">
        <f>IFERROR(VLOOKUP(L1315,'Raw material list'!$A$2:$S$3102,6,0),0)</f>
        <v>9.3457943925233621E-3</v>
      </c>
      <c r="W1315" s="104">
        <f t="shared" si="129"/>
        <v>0.6114071097912479</v>
      </c>
    </row>
    <row r="1316" spans="1:23" hidden="1" x14ac:dyDescent="0.55000000000000004">
      <c r="A1316" s="76" t="str">
        <f t="shared" ref="A1316:A1319" si="140">A1315</f>
        <v>RCP-SMC-000078</v>
      </c>
      <c r="B1316" s="58" t="s">
        <v>35</v>
      </c>
      <c r="C1316" s="58" t="s">
        <v>10</v>
      </c>
      <c r="D1316" s="76" t="str">
        <f t="shared" ref="D1316:D1319" si="141">D1315</f>
        <v>VIP Fruit Slice</v>
      </c>
      <c r="E1316" s="76" t="s">
        <v>1589</v>
      </c>
      <c r="F1316" s="76" t="s">
        <v>2080</v>
      </c>
      <c r="G1316" s="94" t="s">
        <v>1780</v>
      </c>
      <c r="H1316" s="76" t="s">
        <v>1774</v>
      </c>
      <c r="I1316" s="76"/>
      <c r="J1316" s="76"/>
      <c r="K1316" s="58" t="str">
        <f>IFERROR(VLOOKUP(L1316,'Raw material list'!$A$3:$C$715,3,0),"")</f>
        <v>PRD1-1315</v>
      </c>
      <c r="L1316" s="59" t="s">
        <v>1067</v>
      </c>
      <c r="M1316" s="80" t="s">
        <v>156</v>
      </c>
      <c r="N1316" s="40" t="str">
        <f>VLOOKUP(L1316,'Raw material list'!$A$3:$E$715,5,0)</f>
        <v xml:space="preserve">Gram </v>
      </c>
      <c r="O1316" s="80">
        <v>60</v>
      </c>
      <c r="P1316" s="299">
        <f t="shared" si="127"/>
        <v>86.083213773314213</v>
      </c>
      <c r="Q1316" s="105">
        <v>69.699999999999989</v>
      </c>
      <c r="R1316" s="80">
        <v>1</v>
      </c>
      <c r="S1316" s="80"/>
      <c r="T1316" s="105">
        <f t="shared" si="123"/>
        <v>60</v>
      </c>
      <c r="U1316" s="105">
        <f t="shared" si="128"/>
        <v>86.083213773314213</v>
      </c>
      <c r="V1316" s="104">
        <f>IFERROR(VLOOKUP(L1316,'Raw material list'!$A$2:$S$3102,6,0),0)</f>
        <v>6.4562410329985663E-3</v>
      </c>
      <c r="W1316" s="104">
        <f t="shared" si="129"/>
        <v>0.55577397701565856</v>
      </c>
    </row>
    <row r="1317" spans="1:23" hidden="1" x14ac:dyDescent="0.55000000000000004">
      <c r="A1317" s="76" t="str">
        <f t="shared" si="140"/>
        <v>RCP-SMC-000078</v>
      </c>
      <c r="B1317" s="58" t="s">
        <v>35</v>
      </c>
      <c r="C1317" s="58" t="s">
        <v>10</v>
      </c>
      <c r="D1317" s="76" t="str">
        <f t="shared" si="141"/>
        <v>VIP Fruit Slice</v>
      </c>
      <c r="E1317" s="76" t="s">
        <v>1589</v>
      </c>
      <c r="F1317" s="76" t="s">
        <v>2080</v>
      </c>
      <c r="G1317" s="94" t="s">
        <v>1780</v>
      </c>
      <c r="H1317" s="76" t="s">
        <v>1774</v>
      </c>
      <c r="I1317" s="76"/>
      <c r="J1317" s="76"/>
      <c r="K1317" s="58" t="str">
        <f>IFERROR(VLOOKUP(L1317,'Raw material list'!$A$3:$C$715,3,0),"")</f>
        <v>PRD1-385</v>
      </c>
      <c r="L1317" s="59" t="s">
        <v>1011</v>
      </c>
      <c r="M1317" s="80" t="s">
        <v>156</v>
      </c>
      <c r="N1317" s="40" t="str">
        <f>VLOOKUP(L1317,'Raw material list'!$A$3:$E$715,5,0)</f>
        <v xml:space="preserve">Gram </v>
      </c>
      <c r="O1317" s="80">
        <v>20</v>
      </c>
      <c r="P1317" s="299">
        <f t="shared" si="127"/>
        <v>20.979020979020977</v>
      </c>
      <c r="Q1317" s="105">
        <v>95.333333333333343</v>
      </c>
      <c r="R1317" s="80">
        <v>1</v>
      </c>
      <c r="S1317" s="80"/>
      <c r="T1317" s="105">
        <f t="shared" si="123"/>
        <v>20</v>
      </c>
      <c r="U1317" s="105">
        <f t="shared" si="128"/>
        <v>20.979020979020977</v>
      </c>
      <c r="V1317" s="104">
        <f>IFERROR(VLOOKUP(L1317,'Raw material list'!$A$2:$S$3102,6,0),0)</f>
        <v>1.2591815320041971E-2</v>
      </c>
      <c r="W1317" s="104">
        <f t="shared" si="129"/>
        <v>0.26416395776311824</v>
      </c>
    </row>
    <row r="1318" spans="1:23" hidden="1" x14ac:dyDescent="0.55000000000000004">
      <c r="A1318" s="76" t="str">
        <f t="shared" si="140"/>
        <v>RCP-SMC-000078</v>
      </c>
      <c r="B1318" s="58" t="s">
        <v>35</v>
      </c>
      <c r="C1318" s="58" t="s">
        <v>10</v>
      </c>
      <c r="D1318" s="76" t="str">
        <f t="shared" si="141"/>
        <v>VIP Fruit Slice</v>
      </c>
      <c r="E1318" s="76" t="s">
        <v>1589</v>
      </c>
      <c r="F1318" s="76" t="s">
        <v>2080</v>
      </c>
      <c r="G1318" s="94" t="s">
        <v>1780</v>
      </c>
      <c r="H1318" s="76" t="s">
        <v>1774</v>
      </c>
      <c r="I1318" s="76"/>
      <c r="J1318" s="76"/>
      <c r="K1318" s="58" t="str">
        <f>IFERROR(VLOOKUP(L1318,'Raw material list'!$A$3:$C$715,3,0),"")</f>
        <v>PRD1-401</v>
      </c>
      <c r="L1318" s="59" t="s">
        <v>1040</v>
      </c>
      <c r="M1318" s="80" t="s">
        <v>156</v>
      </c>
      <c r="N1318" s="40" t="str">
        <f>VLOOKUP(L1318,'Raw material list'!$A$3:$E$715,5,0)</f>
        <v xml:space="preserve">Gram </v>
      </c>
      <c r="O1318" s="80">
        <v>50</v>
      </c>
      <c r="P1318" s="299">
        <f t="shared" si="127"/>
        <v>93.574547723019336</v>
      </c>
      <c r="Q1318" s="105">
        <v>53.43333333333333</v>
      </c>
      <c r="R1318" s="80">
        <v>1</v>
      </c>
      <c r="S1318" s="80"/>
      <c r="T1318" s="105">
        <f t="shared" si="123"/>
        <v>50</v>
      </c>
      <c r="U1318" s="105">
        <f t="shared" si="128"/>
        <v>93.574547723019336</v>
      </c>
      <c r="V1318" s="104">
        <f>IFERROR(VLOOKUP(L1318,'Raw material list'!$A$2:$S$3102,6,0),0)</f>
        <v>1.4981273408239699E-2</v>
      </c>
      <c r="W1318" s="104">
        <f t="shared" si="129"/>
        <v>1.4018658834909263</v>
      </c>
    </row>
    <row r="1319" spans="1:23" hidden="1" x14ac:dyDescent="0.55000000000000004">
      <c r="A1319" s="76" t="str">
        <f t="shared" si="140"/>
        <v>RCP-SMC-000078</v>
      </c>
      <c r="B1319" s="58" t="s">
        <v>35</v>
      </c>
      <c r="C1319" s="58" t="s">
        <v>10</v>
      </c>
      <c r="D1319" s="76" t="str">
        <f t="shared" si="141"/>
        <v>VIP Fruit Slice</v>
      </c>
      <c r="E1319" s="76" t="s">
        <v>1589</v>
      </c>
      <c r="F1319" s="76" t="s">
        <v>2080</v>
      </c>
      <c r="G1319" s="94" t="s">
        <v>1780</v>
      </c>
      <c r="H1319" s="76" t="s">
        <v>1774</v>
      </c>
      <c r="I1319" s="76"/>
      <c r="J1319" s="76"/>
      <c r="K1319" s="58" t="str">
        <f>IFERROR(VLOOKUP(L1319,'Raw material list'!$A$3:$C$715,3,0),"")</f>
        <v>PRD1-390</v>
      </c>
      <c r="L1319" s="59" t="s">
        <v>1016</v>
      </c>
      <c r="M1319" s="80" t="s">
        <v>156</v>
      </c>
      <c r="N1319" s="40" t="str">
        <f>VLOOKUP(L1319,'Raw material list'!$A$3:$E$715,5,0)</f>
        <v xml:space="preserve">Gram </v>
      </c>
      <c r="O1319" s="80">
        <v>25</v>
      </c>
      <c r="P1319" s="299">
        <f t="shared" si="127"/>
        <v>37.313432835820898</v>
      </c>
      <c r="Q1319" s="105">
        <v>67</v>
      </c>
      <c r="R1319" s="80">
        <v>1</v>
      </c>
      <c r="S1319" s="80"/>
      <c r="T1319" s="105">
        <f t="shared" si="123"/>
        <v>25</v>
      </c>
      <c r="U1319" s="105">
        <f t="shared" si="128"/>
        <v>37.313432835820898</v>
      </c>
      <c r="V1319" s="104">
        <f>IFERROR(VLOOKUP(L1319,'Raw material list'!$A$2:$S$3102,6,0),0)</f>
        <v>1.6417910447761194E-2</v>
      </c>
      <c r="W1319" s="104">
        <f t="shared" si="129"/>
        <v>0.61260859879705953</v>
      </c>
    </row>
    <row r="1320" spans="1:23" hidden="1" x14ac:dyDescent="0.55000000000000004">
      <c r="A1320" s="76" t="s">
        <v>1602</v>
      </c>
      <c r="B1320" s="58" t="s">
        <v>35</v>
      </c>
      <c r="C1320" s="58" t="s">
        <v>10</v>
      </c>
      <c r="D1320" s="76" t="s">
        <v>1415</v>
      </c>
      <c r="E1320" s="76" t="s">
        <v>1432</v>
      </c>
      <c r="F1320" s="76" t="s">
        <v>2080</v>
      </c>
      <c r="G1320" s="94" t="s">
        <v>1780</v>
      </c>
      <c r="H1320" s="76" t="s">
        <v>1774</v>
      </c>
      <c r="I1320" s="76"/>
      <c r="J1320" s="76"/>
      <c r="K1320" s="58" t="str">
        <f>IFERROR(VLOOKUP(L1320,'Raw material list'!$A$3:$C$715,3,0),"")</f>
        <v>DRS5-1625</v>
      </c>
      <c r="L1320" s="59" t="s">
        <v>1587</v>
      </c>
      <c r="M1320" s="80" t="s">
        <v>156</v>
      </c>
      <c r="N1320" s="40" t="str">
        <f>VLOOKUP(L1320,'Raw material list'!$A$3:$E$715,5,0)</f>
        <v xml:space="preserve">Gram </v>
      </c>
      <c r="O1320" s="80">
        <v>5000</v>
      </c>
      <c r="P1320" s="299">
        <f t="shared" si="127"/>
        <v>5000</v>
      </c>
      <c r="Q1320" s="303">
        <v>100</v>
      </c>
      <c r="R1320" s="80">
        <v>215</v>
      </c>
      <c r="S1320" s="80"/>
      <c r="T1320" s="105">
        <f t="shared" si="123"/>
        <v>23.255813953488371</v>
      </c>
      <c r="U1320" s="105">
        <f t="shared" si="128"/>
        <v>23.255813953488371</v>
      </c>
      <c r="V1320" s="104">
        <f>IFERROR(VLOOKUP(L1320,'Raw material list'!$A$2:$S$3102,6,0),0)</f>
        <v>7.7999999999999996E-3</v>
      </c>
      <c r="W1320" s="104">
        <f t="shared" si="129"/>
        <v>0.18139534883720929</v>
      </c>
    </row>
    <row r="1321" spans="1:23" hidden="1" x14ac:dyDescent="0.55000000000000004">
      <c r="A1321" s="76" t="str">
        <f t="shared" ref="A1321:A1325" si="142">A1320</f>
        <v>RCP-SMC-000079</v>
      </c>
      <c r="B1321" s="58" t="s">
        <v>35</v>
      </c>
      <c r="C1321" s="58" t="s">
        <v>10</v>
      </c>
      <c r="D1321" s="76" t="str">
        <f t="shared" ref="D1321:D1325" si="143">D1320</f>
        <v>Muffin Blueberry</v>
      </c>
      <c r="E1321" s="76" t="s">
        <v>1432</v>
      </c>
      <c r="F1321" s="76" t="s">
        <v>2080</v>
      </c>
      <c r="G1321" s="94" t="s">
        <v>1780</v>
      </c>
      <c r="H1321" s="76" t="s">
        <v>1774</v>
      </c>
      <c r="I1321" s="76"/>
      <c r="J1321" s="76"/>
      <c r="K1321" s="58" t="str">
        <f>IFERROR(VLOOKUP(L1321,'Raw material list'!$A$3:$C$715,3,0),"")</f>
        <v>PLT1-37</v>
      </c>
      <c r="L1321" s="59" t="s">
        <v>861</v>
      </c>
      <c r="M1321" s="80" t="s">
        <v>48</v>
      </c>
      <c r="N1321" s="40" t="str">
        <f>VLOOKUP(L1321,'Raw material list'!$A$3:$E$715,5,0)</f>
        <v>Each</v>
      </c>
      <c r="O1321" s="80">
        <v>25</v>
      </c>
      <c r="P1321" s="299">
        <f t="shared" si="127"/>
        <v>25</v>
      </c>
      <c r="Q1321" s="80">
        <v>100</v>
      </c>
      <c r="R1321" s="80">
        <v>215</v>
      </c>
      <c r="S1321" s="80"/>
      <c r="T1321" s="105">
        <f t="shared" si="123"/>
        <v>0.11627906976744186</v>
      </c>
      <c r="U1321" s="105">
        <f t="shared" si="128"/>
        <v>0.11627906976744186</v>
      </c>
      <c r="V1321" s="104">
        <f>IFERROR(VLOOKUP(L1321,'Raw material list'!$A$2:$S$3102,6,0),0)</f>
        <v>0.48299999999999998</v>
      </c>
      <c r="W1321" s="104">
        <f t="shared" si="129"/>
        <v>5.6162790697674415E-2</v>
      </c>
    </row>
    <row r="1322" spans="1:23" hidden="1" x14ac:dyDescent="0.55000000000000004">
      <c r="A1322" s="76" t="str">
        <f t="shared" si="142"/>
        <v>RCP-SMC-000079</v>
      </c>
      <c r="B1322" s="58" t="s">
        <v>35</v>
      </c>
      <c r="C1322" s="58" t="s">
        <v>10</v>
      </c>
      <c r="D1322" s="76" t="str">
        <f t="shared" si="143"/>
        <v>Muffin Blueberry</v>
      </c>
      <c r="E1322" s="76" t="s">
        <v>1432</v>
      </c>
      <c r="F1322" s="76" t="s">
        <v>2080</v>
      </c>
      <c r="G1322" s="94" t="s">
        <v>1780</v>
      </c>
      <c r="H1322" s="76" t="s">
        <v>1774</v>
      </c>
      <c r="I1322" s="76"/>
      <c r="J1322" s="76"/>
      <c r="K1322" s="58" t="str">
        <f>IFERROR(VLOOKUP(L1322,'Raw material list'!$A$3:$C$715,3,0),"")</f>
        <v>DRS3-1813</v>
      </c>
      <c r="L1322" s="59" t="s">
        <v>69</v>
      </c>
      <c r="M1322" s="80" t="s">
        <v>206</v>
      </c>
      <c r="N1322" s="40" t="str">
        <f>VLOOKUP(L1322,'Raw material list'!$A$3:$E$715,5,0)</f>
        <v>Ml</v>
      </c>
      <c r="O1322" s="80">
        <v>175</v>
      </c>
      <c r="P1322" s="299">
        <f t="shared" si="127"/>
        <v>175</v>
      </c>
      <c r="Q1322" s="80">
        <v>100</v>
      </c>
      <c r="R1322" s="80">
        <v>215</v>
      </c>
      <c r="S1322" s="80"/>
      <c r="T1322" s="105">
        <f t="shared" si="123"/>
        <v>0.81395348837209303</v>
      </c>
      <c r="U1322" s="105">
        <f t="shared" si="128"/>
        <v>0.81395348837209303</v>
      </c>
      <c r="V1322" s="104">
        <f>IFERROR(VLOOKUP(L1322,'Raw material list'!$A$2:$S$3102,6,0),0)</f>
        <v>8.0555555555555554E-3</v>
      </c>
      <c r="W1322" s="104">
        <f t="shared" si="129"/>
        <v>6.5568475452196379E-3</v>
      </c>
    </row>
    <row r="1323" spans="1:23" hidden="1" x14ac:dyDescent="0.55000000000000004">
      <c r="A1323" s="76" t="str">
        <f t="shared" si="142"/>
        <v>RCP-SMC-000079</v>
      </c>
      <c r="B1323" s="58" t="s">
        <v>35</v>
      </c>
      <c r="C1323" s="58" t="s">
        <v>10</v>
      </c>
      <c r="D1323" s="76" t="str">
        <f t="shared" si="143"/>
        <v>Muffin Blueberry</v>
      </c>
      <c r="E1323" s="76" t="s">
        <v>1432</v>
      </c>
      <c r="F1323" s="76" t="s">
        <v>2080</v>
      </c>
      <c r="G1323" s="94" t="s">
        <v>1780</v>
      </c>
      <c r="H1323" s="76" t="s">
        <v>1774</v>
      </c>
      <c r="I1323" s="76"/>
      <c r="J1323" s="76"/>
      <c r="K1323" s="58" t="str">
        <f>IFERROR(VLOOKUP(L1323,'Raw material list'!$A$3:$C$715,3,0),"")</f>
        <v>TAP-00001</v>
      </c>
      <c r="L1323" s="59" t="s">
        <v>1405</v>
      </c>
      <c r="M1323" s="80" t="s">
        <v>206</v>
      </c>
      <c r="N1323" s="40" t="str">
        <f>VLOOKUP(L1323,'Raw material list'!$A$3:$E$715,5,0)</f>
        <v>Ml</v>
      </c>
      <c r="O1323" s="80">
        <v>1500</v>
      </c>
      <c r="P1323" s="299">
        <f t="shared" si="127"/>
        <v>1500</v>
      </c>
      <c r="Q1323" s="80">
        <v>100</v>
      </c>
      <c r="R1323" s="80">
        <v>215</v>
      </c>
      <c r="S1323" s="80"/>
      <c r="T1323" s="105">
        <f t="shared" si="123"/>
        <v>6.9767441860465116</v>
      </c>
      <c r="U1323" s="105">
        <f t="shared" si="128"/>
        <v>6.9767441860465116</v>
      </c>
      <c r="V1323" s="104">
        <f>IFERROR(VLOOKUP(L1323,'Raw material list'!$A$2:$S$3102,6,0),0)</f>
        <v>8.0000000000000007E-5</v>
      </c>
      <c r="W1323" s="104">
        <f t="shared" si="129"/>
        <v>5.58139534883721E-4</v>
      </c>
    </row>
    <row r="1324" spans="1:23" hidden="1" x14ac:dyDescent="0.55000000000000004">
      <c r="A1324" s="76" t="str">
        <f t="shared" si="142"/>
        <v>RCP-SMC-000079</v>
      </c>
      <c r="B1324" s="58" t="s">
        <v>35</v>
      </c>
      <c r="C1324" s="58" t="s">
        <v>10</v>
      </c>
      <c r="D1324" s="76" t="str">
        <f t="shared" si="143"/>
        <v>Muffin Blueberry</v>
      </c>
      <c r="E1324" s="76" t="s">
        <v>1432</v>
      </c>
      <c r="F1324" s="76" t="s">
        <v>2080</v>
      </c>
      <c r="G1324" s="94" t="s">
        <v>1780</v>
      </c>
      <c r="H1324" s="76" t="s">
        <v>1774</v>
      </c>
      <c r="I1324" s="76"/>
      <c r="J1324" s="76"/>
      <c r="K1324" s="58" t="str">
        <f>IFERROR(VLOOKUP(L1324,'Raw material list'!$A$3:$C$715,3,0),"")</f>
        <v>DRS1-2067</v>
      </c>
      <c r="L1324" s="59" t="s">
        <v>1588</v>
      </c>
      <c r="M1324" s="80" t="s">
        <v>156</v>
      </c>
      <c r="N1324" s="40" t="str">
        <f>VLOOKUP(L1324,'Raw material list'!$A$3:$E$715,5,0)</f>
        <v xml:space="preserve">Gram </v>
      </c>
      <c r="O1324" s="80">
        <v>3225</v>
      </c>
      <c r="P1324" s="299">
        <f t="shared" si="127"/>
        <v>3225</v>
      </c>
      <c r="Q1324" s="80">
        <v>100</v>
      </c>
      <c r="R1324" s="80">
        <v>215</v>
      </c>
      <c r="S1324" s="80"/>
      <c r="T1324" s="105">
        <f t="shared" si="123"/>
        <v>15</v>
      </c>
      <c r="U1324" s="105">
        <f t="shared" si="128"/>
        <v>15</v>
      </c>
      <c r="V1324" s="104">
        <f>IFERROR(VLOOKUP(L1324,'Raw material list'!$A$2:$S$3102,6,0),0)</f>
        <v>2.5999999999999999E-2</v>
      </c>
      <c r="W1324" s="104">
        <f t="shared" si="129"/>
        <v>0.38999999999999996</v>
      </c>
    </row>
    <row r="1325" spans="1:23" hidden="1" x14ac:dyDescent="0.55000000000000004">
      <c r="A1325" s="76" t="str">
        <f t="shared" si="142"/>
        <v>RCP-SMC-000079</v>
      </c>
      <c r="B1325" s="58" t="s">
        <v>35</v>
      </c>
      <c r="C1325" s="58" t="s">
        <v>10</v>
      </c>
      <c r="D1325" s="76" t="str">
        <f t="shared" si="143"/>
        <v>Muffin Blueberry</v>
      </c>
      <c r="E1325" s="76" t="s">
        <v>1432</v>
      </c>
      <c r="F1325" s="76" t="s">
        <v>2080</v>
      </c>
      <c r="G1325" s="94" t="s">
        <v>1780</v>
      </c>
      <c r="H1325" s="76" t="s">
        <v>1774</v>
      </c>
      <c r="I1325" s="76"/>
      <c r="J1325" s="76"/>
      <c r="K1325" s="58" t="str">
        <f>IFERROR(VLOOKUP(L1325,'Raw material list'!$A$3:$C$715,3,0),"")</f>
        <v>PKG-5010</v>
      </c>
      <c r="L1325" s="59" t="s">
        <v>1082</v>
      </c>
      <c r="M1325" s="80" t="s">
        <v>48</v>
      </c>
      <c r="N1325" s="40" t="str">
        <f>VLOOKUP(L1325,'Raw material list'!$A$3:$E$715,5,0)</f>
        <v>Each</v>
      </c>
      <c r="O1325" s="80">
        <v>215</v>
      </c>
      <c r="P1325" s="299">
        <f t="shared" si="127"/>
        <v>215</v>
      </c>
      <c r="Q1325" s="80">
        <v>100</v>
      </c>
      <c r="R1325" s="80">
        <v>215</v>
      </c>
      <c r="S1325" s="80"/>
      <c r="T1325" s="105">
        <f t="shared" si="123"/>
        <v>1</v>
      </c>
      <c r="U1325" s="105">
        <f t="shared" si="128"/>
        <v>1</v>
      </c>
      <c r="V1325" s="104">
        <f>IFERROR(VLOOKUP(L1325,'Raw material list'!$A$2:$S$3102,6,0),0)</f>
        <v>5.8000000000000003E-2</v>
      </c>
      <c r="W1325" s="104">
        <f t="shared" si="129"/>
        <v>5.8000000000000003E-2</v>
      </c>
    </row>
    <row r="1326" spans="1:23" hidden="1" x14ac:dyDescent="0.55000000000000004">
      <c r="A1326" s="76" t="s">
        <v>1603</v>
      </c>
      <c r="B1326" s="58" t="s">
        <v>35</v>
      </c>
      <c r="C1326" s="58" t="s">
        <v>10</v>
      </c>
      <c r="D1326" s="76" t="s">
        <v>1418</v>
      </c>
      <c r="E1326" s="76" t="s">
        <v>1590</v>
      </c>
      <c r="F1326" s="76" t="s">
        <v>2080</v>
      </c>
      <c r="G1326" s="94" t="s">
        <v>1780</v>
      </c>
      <c r="H1326" s="76" t="s">
        <v>1774</v>
      </c>
      <c r="I1326" s="76"/>
      <c r="J1326" s="76"/>
      <c r="K1326" s="58" t="str">
        <f>IFERROR(VLOOKUP(L1326,'Raw material list'!$A$3:$C$715,3,0),"")</f>
        <v>DRS5-1625</v>
      </c>
      <c r="L1326" s="59" t="s">
        <v>1587</v>
      </c>
      <c r="M1326" s="80" t="s">
        <v>156</v>
      </c>
      <c r="N1326" s="40" t="str">
        <f>VLOOKUP(L1326,'Raw material list'!$A$3:$E$715,5,0)</f>
        <v xml:space="preserve">Gram </v>
      </c>
      <c r="O1326" s="80">
        <v>1000</v>
      </c>
      <c r="P1326" s="299">
        <f t="shared" si="127"/>
        <v>1000</v>
      </c>
      <c r="Q1326" s="80">
        <v>100</v>
      </c>
      <c r="R1326" s="80">
        <v>26</v>
      </c>
      <c r="S1326" s="80"/>
      <c r="T1326" s="105">
        <f t="shared" si="123"/>
        <v>38.46153846153846</v>
      </c>
      <c r="U1326" s="105">
        <f t="shared" si="128"/>
        <v>38.46153846153846</v>
      </c>
      <c r="V1326" s="104">
        <f>IFERROR(VLOOKUP(L1326,'Raw material list'!$A$2:$S$3102,6,0),0)</f>
        <v>7.7999999999999996E-3</v>
      </c>
      <c r="W1326" s="104">
        <f t="shared" si="129"/>
        <v>0.3</v>
      </c>
    </row>
    <row r="1327" spans="1:23" hidden="1" x14ac:dyDescent="0.55000000000000004">
      <c r="A1327" s="76" t="str">
        <f t="shared" ref="A1327:A1329" si="144">A1326</f>
        <v>RCP-SMC-000080</v>
      </c>
      <c r="B1327" s="58" t="s">
        <v>35</v>
      </c>
      <c r="C1327" s="58" t="s">
        <v>10</v>
      </c>
      <c r="D1327" s="76" t="str">
        <f t="shared" ref="D1327:D1329" si="145">D1326</f>
        <v>English Cake</v>
      </c>
      <c r="E1327" s="76" t="s">
        <v>1590</v>
      </c>
      <c r="F1327" s="76" t="s">
        <v>2080</v>
      </c>
      <c r="G1327" s="94" t="s">
        <v>1780</v>
      </c>
      <c r="H1327" s="76" t="s">
        <v>1774</v>
      </c>
      <c r="I1327" s="76"/>
      <c r="J1327" s="76"/>
      <c r="K1327" s="58" t="str">
        <f>IFERROR(VLOOKUP(L1327,'Raw material list'!$A$3:$C$715,3,0),"")</f>
        <v>PLT1-37</v>
      </c>
      <c r="L1327" s="59" t="s">
        <v>861</v>
      </c>
      <c r="M1327" s="80" t="s">
        <v>48</v>
      </c>
      <c r="N1327" s="40" t="str">
        <f>VLOOKUP(L1327,'Raw material list'!$A$3:$E$715,5,0)</f>
        <v>Each</v>
      </c>
      <c r="O1327" s="80">
        <v>5</v>
      </c>
      <c r="P1327" s="299">
        <f t="shared" si="127"/>
        <v>5</v>
      </c>
      <c r="Q1327" s="80">
        <v>100</v>
      </c>
      <c r="R1327" s="80">
        <v>26</v>
      </c>
      <c r="S1327" s="80"/>
      <c r="T1327" s="105">
        <f t="shared" si="123"/>
        <v>0.19230769230769232</v>
      </c>
      <c r="U1327" s="105">
        <f t="shared" si="128"/>
        <v>0.19230769230769232</v>
      </c>
      <c r="V1327" s="104">
        <f>IFERROR(VLOOKUP(L1327,'Raw material list'!$A$2:$S$3102,6,0),0)</f>
        <v>0.48299999999999998</v>
      </c>
      <c r="W1327" s="104">
        <f t="shared" si="129"/>
        <v>9.2884615384615385E-2</v>
      </c>
    </row>
    <row r="1328" spans="1:23" hidden="1" x14ac:dyDescent="0.55000000000000004">
      <c r="A1328" s="76" t="str">
        <f t="shared" si="144"/>
        <v>RCP-SMC-000080</v>
      </c>
      <c r="B1328" s="58" t="s">
        <v>35</v>
      </c>
      <c r="C1328" s="58" t="s">
        <v>10</v>
      </c>
      <c r="D1328" s="76" t="str">
        <f t="shared" si="145"/>
        <v>English Cake</v>
      </c>
      <c r="E1328" s="76" t="s">
        <v>1590</v>
      </c>
      <c r="F1328" s="76" t="s">
        <v>2080</v>
      </c>
      <c r="G1328" s="94" t="s">
        <v>1780</v>
      </c>
      <c r="H1328" s="76" t="s">
        <v>1774</v>
      </c>
      <c r="I1328" s="76"/>
      <c r="J1328" s="76"/>
      <c r="K1328" s="58" t="str">
        <f>IFERROR(VLOOKUP(L1328,'Raw material list'!$A$3:$C$715,3,0),"")</f>
        <v>TAP-00001</v>
      </c>
      <c r="L1328" s="59" t="s">
        <v>1405</v>
      </c>
      <c r="M1328" s="80" t="s">
        <v>206</v>
      </c>
      <c r="N1328" s="40" t="str">
        <f>VLOOKUP(L1328,'Raw material list'!$A$3:$E$715,5,0)</f>
        <v>Ml</v>
      </c>
      <c r="O1328" s="80">
        <v>300</v>
      </c>
      <c r="P1328" s="299">
        <f t="shared" si="127"/>
        <v>300</v>
      </c>
      <c r="Q1328" s="80">
        <v>100</v>
      </c>
      <c r="R1328" s="80">
        <v>26</v>
      </c>
      <c r="S1328" s="80"/>
      <c r="T1328" s="105">
        <f t="shared" si="123"/>
        <v>11.538461538461538</v>
      </c>
      <c r="U1328" s="105">
        <f t="shared" si="128"/>
        <v>11.538461538461538</v>
      </c>
      <c r="V1328" s="104">
        <f>IFERROR(VLOOKUP(L1328,'Raw material list'!$A$2:$S$3102,6,0),0)</f>
        <v>8.0000000000000007E-5</v>
      </c>
      <c r="W1328" s="104">
        <f t="shared" si="129"/>
        <v>9.2307692307692316E-4</v>
      </c>
    </row>
    <row r="1329" spans="1:23" hidden="1" x14ac:dyDescent="0.55000000000000004">
      <c r="A1329" s="76" t="str">
        <f t="shared" si="144"/>
        <v>RCP-SMC-000080</v>
      </c>
      <c r="B1329" s="58" t="s">
        <v>35</v>
      </c>
      <c r="C1329" s="58" t="s">
        <v>10</v>
      </c>
      <c r="D1329" s="76" t="str">
        <f t="shared" si="145"/>
        <v>English Cake</v>
      </c>
      <c r="E1329" s="76" t="s">
        <v>1590</v>
      </c>
      <c r="F1329" s="76" t="s">
        <v>2080</v>
      </c>
      <c r="G1329" s="94" t="s">
        <v>1780</v>
      </c>
      <c r="H1329" s="76" t="s">
        <v>1774</v>
      </c>
      <c r="I1329" s="76"/>
      <c r="J1329" s="76"/>
      <c r="K1329" s="58" t="str">
        <f>IFERROR(VLOOKUP(L1329,'Raw material list'!$A$3:$C$715,3,0),"")</f>
        <v>DRS3-1813</v>
      </c>
      <c r="L1329" s="59" t="s">
        <v>69</v>
      </c>
      <c r="M1329" s="80" t="s">
        <v>206</v>
      </c>
      <c r="N1329" s="40" t="str">
        <f>VLOOKUP(L1329,'Raw material list'!$A$3:$E$715,5,0)</f>
        <v>Ml</v>
      </c>
      <c r="O1329" s="80">
        <v>350</v>
      </c>
      <c r="P1329" s="299">
        <f t="shared" si="127"/>
        <v>350</v>
      </c>
      <c r="Q1329" s="80">
        <v>100</v>
      </c>
      <c r="R1329" s="80">
        <v>26</v>
      </c>
      <c r="S1329" s="80"/>
      <c r="T1329" s="105">
        <f t="shared" si="123"/>
        <v>13.461538461538462</v>
      </c>
      <c r="U1329" s="105">
        <f t="shared" si="128"/>
        <v>13.461538461538462</v>
      </c>
      <c r="V1329" s="104">
        <f>IFERROR(VLOOKUP(L1329,'Raw material list'!$A$2:$S$3102,6,0),0)</f>
        <v>8.0555555555555554E-3</v>
      </c>
      <c r="W1329" s="104">
        <f t="shared" si="129"/>
        <v>0.10844017094017094</v>
      </c>
    </row>
    <row r="1330" spans="1:23" hidden="1" x14ac:dyDescent="0.55000000000000004">
      <c r="A1330" s="76" t="s">
        <v>1604</v>
      </c>
      <c r="B1330" s="58" t="s">
        <v>35</v>
      </c>
      <c r="C1330" s="58" t="s">
        <v>10</v>
      </c>
      <c r="D1330" s="76" t="s">
        <v>1591</v>
      </c>
      <c r="E1330" s="76" t="s">
        <v>1467</v>
      </c>
      <c r="F1330" s="76" t="s">
        <v>2080</v>
      </c>
      <c r="G1330" s="94" t="s">
        <v>1780</v>
      </c>
      <c r="H1330" s="76" t="s">
        <v>1774</v>
      </c>
      <c r="I1330" s="76"/>
      <c r="J1330" s="76"/>
      <c r="K1330" s="58" t="str">
        <f>IFERROR(VLOOKUP(L1330,'Raw material list'!$A$3:$C$715,3,0),"")</f>
        <v>DRS5-1625</v>
      </c>
      <c r="L1330" s="59" t="s">
        <v>1587</v>
      </c>
      <c r="M1330" s="80" t="s">
        <v>156</v>
      </c>
      <c r="N1330" s="40" t="str">
        <f>VLOOKUP(L1330,'Raw material list'!$A$3:$E$715,5,0)</f>
        <v xml:space="preserve">Gram </v>
      </c>
      <c r="O1330" s="80">
        <v>1000</v>
      </c>
      <c r="P1330" s="299">
        <f t="shared" si="127"/>
        <v>1000</v>
      </c>
      <c r="Q1330" s="80">
        <v>100</v>
      </c>
      <c r="R1330" s="80">
        <v>51</v>
      </c>
      <c r="S1330" s="80"/>
      <c r="T1330" s="105">
        <f t="shared" si="123"/>
        <v>19.607843137254903</v>
      </c>
      <c r="U1330" s="105">
        <f t="shared" si="128"/>
        <v>19.607843137254903</v>
      </c>
      <c r="V1330" s="104">
        <f>IFERROR(VLOOKUP(L1330,'Raw material list'!$A$2:$S$3102,6,0),0)</f>
        <v>7.7999999999999996E-3</v>
      </c>
      <c r="W1330" s="104">
        <f t="shared" si="129"/>
        <v>0.15294117647058825</v>
      </c>
    </row>
    <row r="1331" spans="1:23" hidden="1" x14ac:dyDescent="0.55000000000000004">
      <c r="A1331" s="76" t="str">
        <f t="shared" ref="A1331:A1337" si="146">A1330</f>
        <v>RCP-SMC-000081</v>
      </c>
      <c r="B1331" s="58" t="s">
        <v>35</v>
      </c>
      <c r="C1331" s="58" t="s">
        <v>10</v>
      </c>
      <c r="D1331" s="76" t="str">
        <f t="shared" ref="D1331:D1337" si="147">D1330</f>
        <v>Carrot Cinnamon Muffin</v>
      </c>
      <c r="E1331" s="76" t="s">
        <v>1467</v>
      </c>
      <c r="F1331" s="76" t="s">
        <v>2080</v>
      </c>
      <c r="G1331" s="94" t="s">
        <v>1780</v>
      </c>
      <c r="H1331" s="76" t="s">
        <v>1774</v>
      </c>
      <c r="I1331" s="76"/>
      <c r="J1331" s="76"/>
      <c r="K1331" s="58" t="str">
        <f>IFERROR(VLOOKUP(L1331,'Raw material list'!$A$3:$C$715,3,0),"")</f>
        <v>PLT1-37</v>
      </c>
      <c r="L1331" s="59" t="s">
        <v>861</v>
      </c>
      <c r="M1331" s="80" t="s">
        <v>48</v>
      </c>
      <c r="N1331" s="40" t="str">
        <f>VLOOKUP(L1331,'Raw material list'!$A$3:$E$715,5,0)</f>
        <v>Each</v>
      </c>
      <c r="O1331" s="80">
        <v>9</v>
      </c>
      <c r="P1331" s="299">
        <f t="shared" si="127"/>
        <v>9</v>
      </c>
      <c r="Q1331" s="80">
        <v>100</v>
      </c>
      <c r="R1331" s="80">
        <v>51</v>
      </c>
      <c r="S1331" s="80"/>
      <c r="T1331" s="105">
        <f t="shared" si="123"/>
        <v>0.17647058823529413</v>
      </c>
      <c r="U1331" s="105">
        <f t="shared" si="128"/>
        <v>0.17647058823529413</v>
      </c>
      <c r="V1331" s="104">
        <f>IFERROR(VLOOKUP(L1331,'Raw material list'!$A$2:$S$3102,6,0),0)</f>
        <v>0.48299999999999998</v>
      </c>
      <c r="W1331" s="104">
        <f t="shared" si="129"/>
        <v>8.5235294117647062E-2</v>
      </c>
    </row>
    <row r="1332" spans="1:23" hidden="1" x14ac:dyDescent="0.55000000000000004">
      <c r="A1332" s="76" t="str">
        <f t="shared" si="146"/>
        <v>RCP-SMC-000081</v>
      </c>
      <c r="B1332" s="58" t="s">
        <v>35</v>
      </c>
      <c r="C1332" s="58" t="s">
        <v>10</v>
      </c>
      <c r="D1332" s="76" t="str">
        <f t="shared" si="147"/>
        <v>Carrot Cinnamon Muffin</v>
      </c>
      <c r="E1332" s="76" t="s">
        <v>1467</v>
      </c>
      <c r="F1332" s="76" t="s">
        <v>2080</v>
      </c>
      <c r="G1332" s="94" t="s">
        <v>1780</v>
      </c>
      <c r="H1332" s="76" t="s">
        <v>1774</v>
      </c>
      <c r="I1332" s="76"/>
      <c r="J1332" s="76"/>
      <c r="K1332" s="58" t="str">
        <f>IFERROR(VLOOKUP(L1332,'Raw material list'!$A$3:$C$715,3,0),"")</f>
        <v>TAP-00001</v>
      </c>
      <c r="L1332" s="59" t="s">
        <v>1405</v>
      </c>
      <c r="M1332" s="80" t="s">
        <v>206</v>
      </c>
      <c r="N1332" s="40" t="str">
        <f>VLOOKUP(L1332,'Raw material list'!$A$3:$E$715,5,0)</f>
        <v>Ml</v>
      </c>
      <c r="O1332" s="80">
        <v>100</v>
      </c>
      <c r="P1332" s="299">
        <f t="shared" si="127"/>
        <v>100</v>
      </c>
      <c r="Q1332" s="80">
        <v>100</v>
      </c>
      <c r="R1332" s="80">
        <v>51</v>
      </c>
      <c r="S1332" s="80"/>
      <c r="T1332" s="105">
        <f t="shared" si="123"/>
        <v>1.9607843137254901</v>
      </c>
      <c r="U1332" s="105">
        <f t="shared" si="128"/>
        <v>1.9607843137254901</v>
      </c>
      <c r="V1332" s="104">
        <f>IFERROR(VLOOKUP(L1332,'Raw material list'!$A$2:$S$3102,6,0),0)</f>
        <v>8.0000000000000007E-5</v>
      </c>
      <c r="W1332" s="104">
        <f t="shared" si="129"/>
        <v>1.5686274509803922E-4</v>
      </c>
    </row>
    <row r="1333" spans="1:23" hidden="1" x14ac:dyDescent="0.55000000000000004">
      <c r="A1333" s="76" t="str">
        <f t="shared" si="146"/>
        <v>RCP-SMC-000081</v>
      </c>
      <c r="B1333" s="58" t="s">
        <v>35</v>
      </c>
      <c r="C1333" s="58" t="s">
        <v>10</v>
      </c>
      <c r="D1333" s="76" t="str">
        <f t="shared" si="147"/>
        <v>Carrot Cinnamon Muffin</v>
      </c>
      <c r="E1333" s="76" t="s">
        <v>1467</v>
      </c>
      <c r="F1333" s="76" t="s">
        <v>2080</v>
      </c>
      <c r="G1333" s="94" t="s">
        <v>1780</v>
      </c>
      <c r="H1333" s="76" t="s">
        <v>1774</v>
      </c>
      <c r="I1333" s="76"/>
      <c r="J1333" s="76"/>
      <c r="K1333" s="58" t="str">
        <f>IFERROR(VLOOKUP(L1333,'Raw material list'!$A$3:$C$715,3,0),"")</f>
        <v>DRS3-1813</v>
      </c>
      <c r="L1333" s="59" t="s">
        <v>69</v>
      </c>
      <c r="M1333" s="80" t="s">
        <v>206</v>
      </c>
      <c r="N1333" s="40" t="str">
        <f>VLOOKUP(L1333,'Raw material list'!$A$3:$E$715,5,0)</f>
        <v>Ml</v>
      </c>
      <c r="O1333" s="80">
        <v>450</v>
      </c>
      <c r="P1333" s="299">
        <f t="shared" si="127"/>
        <v>450</v>
      </c>
      <c r="Q1333" s="80">
        <v>100</v>
      </c>
      <c r="R1333" s="80">
        <v>51</v>
      </c>
      <c r="S1333" s="80"/>
      <c r="T1333" s="105">
        <f t="shared" si="123"/>
        <v>8.8235294117647065</v>
      </c>
      <c r="U1333" s="105">
        <f t="shared" si="128"/>
        <v>8.8235294117647065</v>
      </c>
      <c r="V1333" s="104">
        <f>IFERROR(VLOOKUP(L1333,'Raw material list'!$A$2:$S$3102,6,0),0)</f>
        <v>8.0555555555555554E-3</v>
      </c>
      <c r="W1333" s="104">
        <f t="shared" si="129"/>
        <v>7.1078431372549017E-2</v>
      </c>
    </row>
    <row r="1334" spans="1:23" hidden="1" x14ac:dyDescent="0.55000000000000004">
      <c r="A1334" s="76" t="str">
        <f t="shared" si="146"/>
        <v>RCP-SMC-000081</v>
      </c>
      <c r="B1334" s="58" t="s">
        <v>35</v>
      </c>
      <c r="C1334" s="58" t="s">
        <v>10</v>
      </c>
      <c r="D1334" s="76" t="str">
        <f t="shared" si="147"/>
        <v>Carrot Cinnamon Muffin</v>
      </c>
      <c r="E1334" s="76" t="s">
        <v>1467</v>
      </c>
      <c r="F1334" s="76" t="s">
        <v>2080</v>
      </c>
      <c r="G1334" s="94" t="s">
        <v>1780</v>
      </c>
      <c r="H1334" s="76" t="s">
        <v>1774</v>
      </c>
      <c r="I1334" s="76"/>
      <c r="J1334" s="76"/>
      <c r="K1334" s="58" t="str">
        <f>IFERROR(VLOOKUP(L1334,'Raw material list'!$A$3:$C$715,3,0),"")</f>
        <v>PRD1-186</v>
      </c>
      <c r="L1334" s="59" t="s">
        <v>37</v>
      </c>
      <c r="M1334" s="80" t="s">
        <v>156</v>
      </c>
      <c r="N1334" s="40" t="str">
        <f>VLOOKUP(L1334,'Raw material list'!$A$3:$E$715,5,0)</f>
        <v xml:space="preserve">Gram </v>
      </c>
      <c r="O1334" s="80">
        <v>200</v>
      </c>
      <c r="P1334" s="299">
        <f t="shared" si="127"/>
        <v>244.89795918367346</v>
      </c>
      <c r="Q1334" s="105">
        <v>81.666666666666671</v>
      </c>
      <c r="R1334" s="80">
        <v>51</v>
      </c>
      <c r="S1334" s="80"/>
      <c r="T1334" s="105">
        <f t="shared" ref="T1334:T1397" si="148">IFERROR(O1334/R1334,0)</f>
        <v>3.9215686274509802</v>
      </c>
      <c r="U1334" s="105">
        <f t="shared" si="128"/>
        <v>4.8019207683073226</v>
      </c>
      <c r="V1334" s="104">
        <f>IFERROR(VLOOKUP(L1334,'Raw material list'!$A$2:$S$3102,6,0),0)</f>
        <v>5.8139534883720938E-3</v>
      </c>
      <c r="W1334" s="104">
        <f t="shared" si="129"/>
        <v>2.7918144001786764E-2</v>
      </c>
    </row>
    <row r="1335" spans="1:23" hidden="1" x14ac:dyDescent="0.55000000000000004">
      <c r="A1335" s="76" t="str">
        <f t="shared" si="146"/>
        <v>RCP-SMC-000081</v>
      </c>
      <c r="B1335" s="58" t="s">
        <v>35</v>
      </c>
      <c r="C1335" s="58" t="s">
        <v>10</v>
      </c>
      <c r="D1335" s="76" t="str">
        <f t="shared" si="147"/>
        <v>Carrot Cinnamon Muffin</v>
      </c>
      <c r="E1335" s="76" t="s">
        <v>1467</v>
      </c>
      <c r="F1335" s="76" t="s">
        <v>2080</v>
      </c>
      <c r="G1335" s="94" t="s">
        <v>1780</v>
      </c>
      <c r="H1335" s="76" t="s">
        <v>1774</v>
      </c>
      <c r="I1335" s="76"/>
      <c r="J1335" s="76"/>
      <c r="K1335" s="58" t="str">
        <f>IFERROR(VLOOKUP(L1335,'Raw material list'!$A$3:$C$715,3,0),"")</f>
        <v>PRD1-374</v>
      </c>
      <c r="L1335" s="59" t="s">
        <v>967</v>
      </c>
      <c r="M1335" s="80" t="s">
        <v>156</v>
      </c>
      <c r="N1335" s="40" t="str">
        <f>VLOOKUP(L1335,'Raw material list'!$A$3:$E$715,5,0)</f>
        <v xml:space="preserve">Gram </v>
      </c>
      <c r="O1335" s="80">
        <v>300</v>
      </c>
      <c r="P1335" s="299">
        <f t="shared" si="127"/>
        <v>394.73684210526312</v>
      </c>
      <c r="Q1335" s="105">
        <v>76</v>
      </c>
      <c r="R1335" s="80">
        <v>51</v>
      </c>
      <c r="S1335" s="80"/>
      <c r="T1335" s="105">
        <f t="shared" si="148"/>
        <v>5.882352941176471</v>
      </c>
      <c r="U1335" s="105">
        <f t="shared" si="128"/>
        <v>7.7399380804953557</v>
      </c>
      <c r="V1335" s="104">
        <f>IFERROR(VLOOKUP(L1335,'Raw material list'!$A$2:$S$3102,6,0),0)</f>
        <v>7.0000000000000001E-3</v>
      </c>
      <c r="W1335" s="104">
        <f t="shared" si="129"/>
        <v>5.4179566563467493E-2</v>
      </c>
    </row>
    <row r="1336" spans="1:23" hidden="1" x14ac:dyDescent="0.55000000000000004">
      <c r="A1336" s="76" t="str">
        <f t="shared" si="146"/>
        <v>RCP-SMC-000081</v>
      </c>
      <c r="B1336" s="58" t="s">
        <v>35</v>
      </c>
      <c r="C1336" s="58" t="s">
        <v>10</v>
      </c>
      <c r="D1336" s="76" t="str">
        <f t="shared" si="147"/>
        <v>Carrot Cinnamon Muffin</v>
      </c>
      <c r="E1336" s="76" t="s">
        <v>1467</v>
      </c>
      <c r="F1336" s="76" t="s">
        <v>2080</v>
      </c>
      <c r="G1336" s="94" t="s">
        <v>1780</v>
      </c>
      <c r="H1336" s="76" t="s">
        <v>1774</v>
      </c>
      <c r="I1336" s="76"/>
      <c r="J1336" s="76"/>
      <c r="K1336" s="58" t="str">
        <f>IFERROR(VLOOKUP(L1336,'Raw material list'!$A$3:$C$715,3,0),"")</f>
        <v>DRS6-260</v>
      </c>
      <c r="L1336" s="59" t="s">
        <v>62</v>
      </c>
      <c r="M1336" s="80" t="s">
        <v>156</v>
      </c>
      <c r="N1336" s="40" t="str">
        <f>VLOOKUP(L1336,'Raw material list'!$A$3:$E$715,5,0)</f>
        <v xml:space="preserve">Gram </v>
      </c>
      <c r="O1336" s="80">
        <v>20</v>
      </c>
      <c r="P1336" s="299">
        <f t="shared" si="127"/>
        <v>20</v>
      </c>
      <c r="Q1336" s="303">
        <v>100</v>
      </c>
      <c r="R1336" s="80">
        <v>51</v>
      </c>
      <c r="S1336" s="80"/>
      <c r="T1336" s="105">
        <f t="shared" si="148"/>
        <v>0.39215686274509803</v>
      </c>
      <c r="U1336" s="105">
        <f t="shared" si="128"/>
        <v>0.39215686274509803</v>
      </c>
      <c r="V1336" s="104">
        <f>IFERROR(VLOOKUP(L1336,'Raw material list'!$A$2:$S$3102,6,0),0)</f>
        <v>0.02</v>
      </c>
      <c r="W1336" s="104">
        <f t="shared" si="129"/>
        <v>7.8431372549019607E-3</v>
      </c>
    </row>
    <row r="1337" spans="1:23" hidden="1" x14ac:dyDescent="0.55000000000000004">
      <c r="A1337" s="76" t="str">
        <f t="shared" si="146"/>
        <v>RCP-SMC-000081</v>
      </c>
      <c r="B1337" s="58" t="s">
        <v>35</v>
      </c>
      <c r="C1337" s="58" t="s">
        <v>10</v>
      </c>
      <c r="D1337" s="76" t="str">
        <f t="shared" si="147"/>
        <v>Carrot Cinnamon Muffin</v>
      </c>
      <c r="E1337" s="76" t="s">
        <v>1467</v>
      </c>
      <c r="F1337" s="76" t="s">
        <v>2080</v>
      </c>
      <c r="G1337" s="94" t="s">
        <v>1780</v>
      </c>
      <c r="H1337" s="76" t="s">
        <v>1774</v>
      </c>
      <c r="I1337" s="76"/>
      <c r="J1337" s="76"/>
      <c r="K1337" s="58" t="str">
        <f>IFERROR(VLOOKUP(L1337,'Raw material list'!$A$3:$C$715,3,0),"")</f>
        <v>DRS7-3787</v>
      </c>
      <c r="L1337" s="59" t="s">
        <v>504</v>
      </c>
      <c r="M1337" s="80" t="s">
        <v>156</v>
      </c>
      <c r="N1337" s="40" t="str">
        <f>VLOOKUP(L1337,'Raw material list'!$A$3:$E$715,5,0)</f>
        <v xml:space="preserve">Gram </v>
      </c>
      <c r="O1337" s="80">
        <v>150</v>
      </c>
      <c r="P1337" s="299">
        <f t="shared" si="127"/>
        <v>150</v>
      </c>
      <c r="Q1337" s="80">
        <v>100</v>
      </c>
      <c r="R1337" s="80">
        <v>51</v>
      </c>
      <c r="S1337" s="80"/>
      <c r="T1337" s="105">
        <f t="shared" si="148"/>
        <v>2.9411764705882355</v>
      </c>
      <c r="U1337" s="105">
        <f t="shared" si="128"/>
        <v>2.9411764705882355</v>
      </c>
      <c r="V1337" s="104">
        <f>IFERROR(VLOOKUP(L1337,'Raw material list'!$A$2:$S$3102,6,0),0)</f>
        <v>0.04</v>
      </c>
      <c r="W1337" s="104">
        <f t="shared" si="129"/>
        <v>0.11764705882352942</v>
      </c>
    </row>
    <row r="1338" spans="1:23" hidden="1" x14ac:dyDescent="0.55000000000000004">
      <c r="A1338" s="76" t="s">
        <v>1605</v>
      </c>
      <c r="B1338" s="58" t="s">
        <v>35</v>
      </c>
      <c r="C1338" s="58" t="s">
        <v>10</v>
      </c>
      <c r="D1338" s="76" t="s">
        <v>1592</v>
      </c>
      <c r="E1338" s="76" t="s">
        <v>1593</v>
      </c>
      <c r="F1338" s="76" t="s">
        <v>2080</v>
      </c>
      <c r="G1338" s="94" t="s">
        <v>1780</v>
      </c>
      <c r="H1338" s="76" t="s">
        <v>1774</v>
      </c>
      <c r="I1338" s="76"/>
      <c r="J1338" s="76"/>
      <c r="K1338" s="58" t="str">
        <f>IFERROR(VLOOKUP(L1338,'Raw material list'!$A$3:$C$715,3,0),"")</f>
        <v>DRS5-1625</v>
      </c>
      <c r="L1338" s="59" t="s">
        <v>1587</v>
      </c>
      <c r="M1338" s="80" t="s">
        <v>156</v>
      </c>
      <c r="N1338" s="40" t="str">
        <f>VLOOKUP(L1338,'Raw material list'!$A$3:$E$715,5,0)</f>
        <v xml:space="preserve">Gram </v>
      </c>
      <c r="O1338" s="80">
        <v>100</v>
      </c>
      <c r="P1338" s="299">
        <f t="shared" si="127"/>
        <v>100</v>
      </c>
      <c r="Q1338" s="80">
        <v>100</v>
      </c>
      <c r="R1338" s="80">
        <v>26</v>
      </c>
      <c r="S1338" s="80"/>
      <c r="T1338" s="105">
        <f t="shared" si="148"/>
        <v>3.8461538461538463</v>
      </c>
      <c r="U1338" s="105">
        <f t="shared" si="128"/>
        <v>3.8461538461538463</v>
      </c>
      <c r="V1338" s="104">
        <f>IFERROR(VLOOKUP(L1338,'Raw material list'!$A$2:$S$3102,6,0),0)</f>
        <v>7.7999999999999996E-3</v>
      </c>
      <c r="W1338" s="104">
        <f t="shared" si="129"/>
        <v>0.03</v>
      </c>
    </row>
    <row r="1339" spans="1:23" hidden="1" x14ac:dyDescent="0.55000000000000004">
      <c r="A1339" s="76" t="str">
        <f t="shared" ref="A1339:A1342" si="149">A1338</f>
        <v>RCP-SMC-000082</v>
      </c>
      <c r="B1339" s="58" t="s">
        <v>35</v>
      </c>
      <c r="C1339" s="58" t="s">
        <v>10</v>
      </c>
      <c r="D1339" s="76" t="str">
        <f t="shared" ref="D1339:D1342" si="150">D1338</f>
        <v>English cake marble</v>
      </c>
      <c r="E1339" s="76" t="s">
        <v>1593</v>
      </c>
      <c r="F1339" s="76" t="s">
        <v>2080</v>
      </c>
      <c r="G1339" s="94" t="s">
        <v>1780</v>
      </c>
      <c r="H1339" s="76" t="s">
        <v>1774</v>
      </c>
      <c r="I1339" s="76"/>
      <c r="J1339" s="76"/>
      <c r="K1339" s="58" t="str">
        <f>IFERROR(VLOOKUP(L1339,'Raw material list'!$A$3:$C$715,3,0),"")</f>
        <v>PLT1-37</v>
      </c>
      <c r="L1339" s="59" t="s">
        <v>861</v>
      </c>
      <c r="M1339" s="80" t="s">
        <v>48</v>
      </c>
      <c r="N1339" s="40" t="str">
        <f>VLOOKUP(L1339,'Raw material list'!$A$3:$E$715,5,0)</f>
        <v>Each</v>
      </c>
      <c r="O1339" s="80">
        <v>5</v>
      </c>
      <c r="P1339" s="299">
        <f t="shared" si="127"/>
        <v>5</v>
      </c>
      <c r="Q1339" s="80">
        <v>100</v>
      </c>
      <c r="R1339" s="80">
        <v>26</v>
      </c>
      <c r="S1339" s="80"/>
      <c r="T1339" s="105">
        <f t="shared" si="148"/>
        <v>0.19230769230769232</v>
      </c>
      <c r="U1339" s="105">
        <f t="shared" si="128"/>
        <v>0.19230769230769232</v>
      </c>
      <c r="V1339" s="104">
        <f>IFERROR(VLOOKUP(L1339,'Raw material list'!$A$2:$S$3102,6,0),0)</f>
        <v>0.48299999999999998</v>
      </c>
      <c r="W1339" s="104">
        <f t="shared" si="129"/>
        <v>9.2884615384615385E-2</v>
      </c>
    </row>
    <row r="1340" spans="1:23" hidden="1" x14ac:dyDescent="0.55000000000000004">
      <c r="A1340" s="76" t="str">
        <f t="shared" si="149"/>
        <v>RCP-SMC-000082</v>
      </c>
      <c r="B1340" s="58" t="s">
        <v>35</v>
      </c>
      <c r="C1340" s="58" t="s">
        <v>10</v>
      </c>
      <c r="D1340" s="76" t="str">
        <f t="shared" si="150"/>
        <v>English cake marble</v>
      </c>
      <c r="E1340" s="76" t="s">
        <v>1593</v>
      </c>
      <c r="F1340" s="76" t="s">
        <v>2080</v>
      </c>
      <c r="G1340" s="94" t="s">
        <v>1780</v>
      </c>
      <c r="H1340" s="76" t="s">
        <v>1774</v>
      </c>
      <c r="I1340" s="76"/>
      <c r="J1340" s="76"/>
      <c r="K1340" s="58" t="str">
        <f>IFERROR(VLOOKUP(L1340,'Raw material list'!$A$3:$C$715,3,0),"")</f>
        <v>TAP-00001</v>
      </c>
      <c r="L1340" s="59" t="s">
        <v>1405</v>
      </c>
      <c r="M1340" s="80" t="s">
        <v>206</v>
      </c>
      <c r="N1340" s="40" t="str">
        <f>VLOOKUP(L1340,'Raw material list'!$A$3:$E$715,5,0)</f>
        <v>Ml</v>
      </c>
      <c r="O1340" s="80">
        <v>300</v>
      </c>
      <c r="P1340" s="299">
        <f t="shared" si="127"/>
        <v>300</v>
      </c>
      <c r="Q1340" s="80">
        <v>100</v>
      </c>
      <c r="R1340" s="80">
        <v>26</v>
      </c>
      <c r="S1340" s="80"/>
      <c r="T1340" s="105">
        <f t="shared" si="148"/>
        <v>11.538461538461538</v>
      </c>
      <c r="U1340" s="105">
        <f t="shared" si="128"/>
        <v>11.538461538461538</v>
      </c>
      <c r="V1340" s="104">
        <f>IFERROR(VLOOKUP(L1340,'Raw material list'!$A$2:$S$3102,6,0),0)</f>
        <v>8.0000000000000007E-5</v>
      </c>
      <c r="W1340" s="104">
        <f t="shared" si="129"/>
        <v>9.2307692307692316E-4</v>
      </c>
    </row>
    <row r="1341" spans="1:23" hidden="1" x14ac:dyDescent="0.55000000000000004">
      <c r="A1341" s="76" t="str">
        <f t="shared" si="149"/>
        <v>RCP-SMC-000082</v>
      </c>
      <c r="B1341" s="58" t="s">
        <v>35</v>
      </c>
      <c r="C1341" s="58" t="s">
        <v>10</v>
      </c>
      <c r="D1341" s="76" t="str">
        <f t="shared" si="150"/>
        <v>English cake marble</v>
      </c>
      <c r="E1341" s="76" t="s">
        <v>1593</v>
      </c>
      <c r="F1341" s="76" t="s">
        <v>2080</v>
      </c>
      <c r="G1341" s="94" t="s">
        <v>1780</v>
      </c>
      <c r="H1341" s="76" t="s">
        <v>1774</v>
      </c>
      <c r="I1341" s="76"/>
      <c r="J1341" s="76"/>
      <c r="K1341" s="58" t="str">
        <f>IFERROR(VLOOKUP(L1341,'Raw material list'!$A$3:$C$715,3,0),"")</f>
        <v>DRS3-1813</v>
      </c>
      <c r="L1341" s="59" t="s">
        <v>69</v>
      </c>
      <c r="M1341" s="80" t="s">
        <v>206</v>
      </c>
      <c r="N1341" s="40" t="str">
        <f>VLOOKUP(L1341,'Raw material list'!$A$3:$E$715,5,0)</f>
        <v>Ml</v>
      </c>
      <c r="O1341" s="80">
        <v>350</v>
      </c>
      <c r="P1341" s="299">
        <f t="shared" si="127"/>
        <v>350</v>
      </c>
      <c r="Q1341" s="80">
        <v>100</v>
      </c>
      <c r="R1341" s="80">
        <v>26</v>
      </c>
      <c r="S1341" s="80"/>
      <c r="T1341" s="105">
        <f t="shared" si="148"/>
        <v>13.461538461538462</v>
      </c>
      <c r="U1341" s="105">
        <f t="shared" si="128"/>
        <v>13.461538461538462</v>
      </c>
      <c r="V1341" s="104">
        <f>IFERROR(VLOOKUP(L1341,'Raw material list'!$A$2:$S$3102,6,0),0)</f>
        <v>8.0555555555555554E-3</v>
      </c>
      <c r="W1341" s="104">
        <f t="shared" si="129"/>
        <v>0.10844017094017094</v>
      </c>
    </row>
    <row r="1342" spans="1:23" hidden="1" x14ac:dyDescent="0.55000000000000004">
      <c r="A1342" s="76" t="str">
        <f t="shared" si="149"/>
        <v>RCP-SMC-000082</v>
      </c>
      <c r="B1342" s="58" t="s">
        <v>35</v>
      </c>
      <c r="C1342" s="58" t="s">
        <v>10</v>
      </c>
      <c r="D1342" s="76" t="str">
        <f t="shared" si="150"/>
        <v>English cake marble</v>
      </c>
      <c r="E1342" s="76" t="s">
        <v>1593</v>
      </c>
      <c r="F1342" s="76" t="s">
        <v>2080</v>
      </c>
      <c r="G1342" s="94" t="s">
        <v>1780</v>
      </c>
      <c r="H1342" s="76" t="s">
        <v>1774</v>
      </c>
      <c r="I1342" s="76"/>
      <c r="J1342" s="76"/>
      <c r="K1342" s="58" t="str">
        <f>IFERROR(VLOOKUP(L1342,'Raw material list'!$A$3:$C$715,3,0),"")</f>
        <v>DRS5-1736</v>
      </c>
      <c r="L1342" s="59" t="s">
        <v>631</v>
      </c>
      <c r="M1342" s="80" t="s">
        <v>156</v>
      </c>
      <c r="N1342" s="40" t="str">
        <f>VLOOKUP(L1342,'Raw material list'!$A$3:$E$715,5,0)</f>
        <v xml:space="preserve">Gram </v>
      </c>
      <c r="O1342" s="80">
        <v>100</v>
      </c>
      <c r="P1342" s="299">
        <f t="shared" si="127"/>
        <v>100</v>
      </c>
      <c r="Q1342" s="80">
        <v>100</v>
      </c>
      <c r="R1342" s="80">
        <v>26</v>
      </c>
      <c r="S1342" s="80"/>
      <c r="T1342" s="105">
        <f t="shared" si="148"/>
        <v>3.8461538461538463</v>
      </c>
      <c r="U1342" s="105">
        <f t="shared" si="128"/>
        <v>3.8461538461538463</v>
      </c>
      <c r="V1342" s="104">
        <f>IFERROR(VLOOKUP(L1342,'Raw material list'!$A$2:$S$3102,6,0),0)</f>
        <v>3.7999999999999999E-2</v>
      </c>
      <c r="W1342" s="104">
        <f t="shared" si="129"/>
        <v>0.14615384615384616</v>
      </c>
    </row>
    <row r="1343" spans="1:23" hidden="1" x14ac:dyDescent="0.55000000000000004">
      <c r="A1343" s="76" t="s">
        <v>1606</v>
      </c>
      <c r="B1343" s="58" t="s">
        <v>35</v>
      </c>
      <c r="C1343" s="58" t="s">
        <v>10</v>
      </c>
      <c r="D1343" s="76" t="s">
        <v>1416</v>
      </c>
      <c r="E1343" s="76" t="s">
        <v>1507</v>
      </c>
      <c r="F1343" s="76" t="s">
        <v>2080</v>
      </c>
      <c r="G1343" s="94" t="s">
        <v>1780</v>
      </c>
      <c r="H1343" s="76" t="s">
        <v>1774</v>
      </c>
      <c r="I1343" s="76"/>
      <c r="J1343" s="76"/>
      <c r="K1343" s="58" t="str">
        <f>IFERROR(VLOOKUP(L1343,'Raw material list'!$A$3:$C$715,3,0),"")</f>
        <v>DRS5-1625</v>
      </c>
      <c r="L1343" s="59" t="s">
        <v>1587</v>
      </c>
      <c r="M1343" s="80" t="s">
        <v>156</v>
      </c>
      <c r="N1343" s="40" t="str">
        <f>VLOOKUP(L1343,'Raw material list'!$A$3:$E$715,5,0)</f>
        <v xml:space="preserve">Gram </v>
      </c>
      <c r="O1343" s="80">
        <v>100</v>
      </c>
      <c r="P1343" s="299">
        <f t="shared" si="127"/>
        <v>100</v>
      </c>
      <c r="Q1343" s="80">
        <v>100</v>
      </c>
      <c r="R1343" s="80">
        <v>26</v>
      </c>
      <c r="S1343" s="80"/>
      <c r="T1343" s="105">
        <f t="shared" si="148"/>
        <v>3.8461538461538463</v>
      </c>
      <c r="U1343" s="105">
        <f t="shared" si="128"/>
        <v>3.8461538461538463</v>
      </c>
      <c r="V1343" s="104">
        <f>IFERROR(VLOOKUP(L1343,'Raw material list'!$A$2:$S$3102,6,0),0)</f>
        <v>7.7999999999999996E-3</v>
      </c>
      <c r="W1343" s="104">
        <f t="shared" si="129"/>
        <v>0.03</v>
      </c>
    </row>
    <row r="1344" spans="1:23" hidden="1" x14ac:dyDescent="0.55000000000000004">
      <c r="A1344" s="76" t="str">
        <f t="shared" ref="A1344:A1348" si="151">A1343</f>
        <v>RCP-SMC-000083</v>
      </c>
      <c r="B1344" s="58" t="s">
        <v>35</v>
      </c>
      <c r="C1344" s="58" t="s">
        <v>10</v>
      </c>
      <c r="D1344" s="76" t="str">
        <f t="shared" ref="D1344:D1348" si="152">D1343</f>
        <v>Lemon English Cake</v>
      </c>
      <c r="E1344" s="76" t="s">
        <v>1507</v>
      </c>
      <c r="F1344" s="76" t="s">
        <v>2080</v>
      </c>
      <c r="G1344" s="94" t="s">
        <v>1780</v>
      </c>
      <c r="H1344" s="76" t="s">
        <v>1774</v>
      </c>
      <c r="I1344" s="76"/>
      <c r="J1344" s="76"/>
      <c r="K1344" s="58" t="str">
        <f>IFERROR(VLOOKUP(L1344,'Raw material list'!$A$3:$C$715,3,0),"")</f>
        <v>PLT1-37</v>
      </c>
      <c r="L1344" s="59" t="s">
        <v>861</v>
      </c>
      <c r="M1344" s="80" t="s">
        <v>48</v>
      </c>
      <c r="N1344" s="40" t="str">
        <f>VLOOKUP(L1344,'Raw material list'!$A$3:$E$715,5,0)</f>
        <v>Each</v>
      </c>
      <c r="O1344" s="80">
        <v>5</v>
      </c>
      <c r="P1344" s="299">
        <f t="shared" si="127"/>
        <v>5</v>
      </c>
      <c r="Q1344" s="80">
        <v>100</v>
      </c>
      <c r="R1344" s="80">
        <v>26</v>
      </c>
      <c r="S1344" s="80"/>
      <c r="T1344" s="105">
        <f t="shared" si="148"/>
        <v>0.19230769230769232</v>
      </c>
      <c r="U1344" s="105">
        <f t="shared" si="128"/>
        <v>0.19230769230769232</v>
      </c>
      <c r="V1344" s="104">
        <f>IFERROR(VLOOKUP(L1344,'Raw material list'!$A$2:$S$3102,6,0),0)</f>
        <v>0.48299999999999998</v>
      </c>
      <c r="W1344" s="104">
        <f t="shared" si="129"/>
        <v>9.2884615384615385E-2</v>
      </c>
    </row>
    <row r="1345" spans="1:23" hidden="1" x14ac:dyDescent="0.55000000000000004">
      <c r="A1345" s="76" t="str">
        <f t="shared" si="151"/>
        <v>RCP-SMC-000083</v>
      </c>
      <c r="B1345" s="58" t="s">
        <v>35</v>
      </c>
      <c r="C1345" s="58" t="s">
        <v>10</v>
      </c>
      <c r="D1345" s="76" t="str">
        <f t="shared" si="152"/>
        <v>Lemon English Cake</v>
      </c>
      <c r="E1345" s="76" t="s">
        <v>1507</v>
      </c>
      <c r="F1345" s="76" t="s">
        <v>2080</v>
      </c>
      <c r="G1345" s="94" t="s">
        <v>1780</v>
      </c>
      <c r="H1345" s="76" t="s">
        <v>1774</v>
      </c>
      <c r="I1345" s="76"/>
      <c r="J1345" s="76"/>
      <c r="K1345" s="58" t="str">
        <f>IFERROR(VLOOKUP(L1345,'Raw material list'!$A$3:$C$715,3,0),"")</f>
        <v>TAP-00001</v>
      </c>
      <c r="L1345" s="59" t="s">
        <v>1405</v>
      </c>
      <c r="M1345" s="80" t="s">
        <v>206</v>
      </c>
      <c r="N1345" s="40" t="str">
        <f>VLOOKUP(L1345,'Raw material list'!$A$3:$E$715,5,0)</f>
        <v>Ml</v>
      </c>
      <c r="O1345" s="80">
        <v>300</v>
      </c>
      <c r="P1345" s="299">
        <f t="shared" si="127"/>
        <v>300</v>
      </c>
      <c r="Q1345" s="80">
        <v>100</v>
      </c>
      <c r="R1345" s="80">
        <v>26</v>
      </c>
      <c r="S1345" s="80"/>
      <c r="T1345" s="105">
        <f t="shared" si="148"/>
        <v>11.538461538461538</v>
      </c>
      <c r="U1345" s="105">
        <f t="shared" si="128"/>
        <v>11.538461538461538</v>
      </c>
      <c r="V1345" s="104">
        <f>IFERROR(VLOOKUP(L1345,'Raw material list'!$A$2:$S$3102,6,0),0)</f>
        <v>8.0000000000000007E-5</v>
      </c>
      <c r="W1345" s="104">
        <f t="shared" si="129"/>
        <v>9.2307692307692316E-4</v>
      </c>
    </row>
    <row r="1346" spans="1:23" hidden="1" x14ac:dyDescent="0.55000000000000004">
      <c r="A1346" s="76" t="str">
        <f t="shared" si="151"/>
        <v>RCP-SMC-000083</v>
      </c>
      <c r="B1346" s="58" t="s">
        <v>35</v>
      </c>
      <c r="C1346" s="58" t="s">
        <v>10</v>
      </c>
      <c r="D1346" s="76" t="str">
        <f t="shared" si="152"/>
        <v>Lemon English Cake</v>
      </c>
      <c r="E1346" s="76" t="s">
        <v>1507</v>
      </c>
      <c r="F1346" s="76" t="s">
        <v>2080</v>
      </c>
      <c r="G1346" s="94" t="s">
        <v>1780</v>
      </c>
      <c r="H1346" s="76" t="s">
        <v>1774</v>
      </c>
      <c r="I1346" s="76"/>
      <c r="J1346" s="76"/>
      <c r="K1346" s="58" t="str">
        <f>IFERROR(VLOOKUP(L1346,'Raw material list'!$A$3:$C$715,3,0),"")</f>
        <v>DRS3-1813</v>
      </c>
      <c r="L1346" s="59" t="s">
        <v>69</v>
      </c>
      <c r="M1346" s="80" t="s">
        <v>206</v>
      </c>
      <c r="N1346" s="40" t="str">
        <f>VLOOKUP(L1346,'Raw material list'!$A$3:$E$715,5,0)</f>
        <v>Ml</v>
      </c>
      <c r="O1346" s="80">
        <v>350</v>
      </c>
      <c r="P1346" s="299">
        <f t="shared" si="127"/>
        <v>350</v>
      </c>
      <c r="Q1346" s="80">
        <v>100</v>
      </c>
      <c r="R1346" s="80">
        <v>26</v>
      </c>
      <c r="S1346" s="80"/>
      <c r="T1346" s="105">
        <f t="shared" si="148"/>
        <v>13.461538461538462</v>
      </c>
      <c r="U1346" s="105">
        <f t="shared" si="128"/>
        <v>13.461538461538462</v>
      </c>
      <c r="V1346" s="104">
        <f>IFERROR(VLOOKUP(L1346,'Raw material list'!$A$2:$S$3102,6,0),0)</f>
        <v>8.0555555555555554E-3</v>
      </c>
      <c r="W1346" s="104">
        <f t="shared" si="129"/>
        <v>0.10844017094017094</v>
      </c>
    </row>
    <row r="1347" spans="1:23" hidden="1" x14ac:dyDescent="0.55000000000000004">
      <c r="A1347" s="76" t="str">
        <f t="shared" si="151"/>
        <v>RCP-SMC-000083</v>
      </c>
      <c r="B1347" s="58" t="s">
        <v>35</v>
      </c>
      <c r="C1347" s="58" t="s">
        <v>10</v>
      </c>
      <c r="D1347" s="76" t="str">
        <f t="shared" si="152"/>
        <v>Lemon English Cake</v>
      </c>
      <c r="E1347" s="76" t="s">
        <v>1507</v>
      </c>
      <c r="F1347" s="76" t="s">
        <v>2080</v>
      </c>
      <c r="G1347" s="94" t="s">
        <v>1780</v>
      </c>
      <c r="H1347" s="76" t="s">
        <v>1774</v>
      </c>
      <c r="I1347" s="76"/>
      <c r="J1347" s="76"/>
      <c r="K1347" s="58" t="str">
        <f>IFERROR(VLOOKUP(L1347,'Raw material list'!$A$3:$C$715,3,0),"")</f>
        <v>DRS1-304</v>
      </c>
      <c r="L1347" s="59" t="s">
        <v>74</v>
      </c>
      <c r="M1347" s="80" t="s">
        <v>156</v>
      </c>
      <c r="N1347" s="40" t="str">
        <f>VLOOKUP(L1347,'Raw material list'!$A$3:$E$715,5,0)</f>
        <v xml:space="preserve">Gram </v>
      </c>
      <c r="O1347" s="80">
        <v>10</v>
      </c>
      <c r="P1347" s="299">
        <f t="shared" si="127"/>
        <v>10</v>
      </c>
      <c r="Q1347" s="80">
        <v>100</v>
      </c>
      <c r="R1347" s="80">
        <v>26</v>
      </c>
      <c r="S1347" s="80"/>
      <c r="T1347" s="105">
        <f t="shared" si="148"/>
        <v>0.38461538461538464</v>
      </c>
      <c r="U1347" s="105">
        <f t="shared" si="128"/>
        <v>0.38461538461538464</v>
      </c>
      <c r="V1347" s="104">
        <f>IFERROR(VLOOKUP(L1347,'Raw material list'!$A$2:$S$3102,6,0),0)</f>
        <v>2.0799999999999999E-2</v>
      </c>
      <c r="W1347" s="104">
        <f t="shared" si="129"/>
        <v>8.0000000000000002E-3</v>
      </c>
    </row>
    <row r="1348" spans="1:23" hidden="1" x14ac:dyDescent="0.55000000000000004">
      <c r="A1348" s="76" t="str">
        <f t="shared" si="151"/>
        <v>RCP-SMC-000083</v>
      </c>
      <c r="B1348" s="58" t="s">
        <v>35</v>
      </c>
      <c r="C1348" s="58" t="s">
        <v>10</v>
      </c>
      <c r="D1348" s="76" t="str">
        <f t="shared" si="152"/>
        <v>Lemon English Cake</v>
      </c>
      <c r="E1348" s="76" t="s">
        <v>1507</v>
      </c>
      <c r="F1348" s="76" t="s">
        <v>2080</v>
      </c>
      <c r="G1348" s="94" t="s">
        <v>1780</v>
      </c>
      <c r="H1348" s="76" t="s">
        <v>1774</v>
      </c>
      <c r="I1348" s="76"/>
      <c r="J1348" s="76"/>
      <c r="K1348" s="58" t="str">
        <f>IFERROR(VLOOKUP(L1348,'Raw material list'!$A$3:$C$715,3,0),"")</f>
        <v>PRD1-209</v>
      </c>
      <c r="L1348" s="59" t="s">
        <v>86</v>
      </c>
      <c r="M1348" s="80" t="s">
        <v>156</v>
      </c>
      <c r="N1348" s="40" t="str">
        <f>VLOOKUP(L1348,'Raw material list'!$A$3:$E$715,5,0)</f>
        <v xml:space="preserve">Gram </v>
      </c>
      <c r="O1348" s="80">
        <v>30</v>
      </c>
      <c r="P1348" s="299">
        <f t="shared" si="127"/>
        <v>37.815126050420176</v>
      </c>
      <c r="Q1348" s="105">
        <v>79.333333333333329</v>
      </c>
      <c r="R1348" s="80">
        <v>26</v>
      </c>
      <c r="S1348" s="80"/>
      <c r="T1348" s="105">
        <f t="shared" si="148"/>
        <v>1.1538461538461537</v>
      </c>
      <c r="U1348" s="105">
        <f t="shared" si="128"/>
        <v>1.4544279250161607</v>
      </c>
      <c r="V1348" s="104">
        <f>IFERROR(VLOOKUP(L1348,'Raw material list'!$A$2:$S$3102,6,0),0)</f>
        <v>1.0088272383354349E-2</v>
      </c>
      <c r="W1348" s="104">
        <f t="shared" si="129"/>
        <v>1.4672665069519903E-2</v>
      </c>
    </row>
    <row r="1349" spans="1:23" hidden="1" x14ac:dyDescent="0.55000000000000004">
      <c r="A1349" s="76" t="s">
        <v>1607</v>
      </c>
      <c r="B1349" s="58" t="s">
        <v>35</v>
      </c>
      <c r="C1349" s="58" t="s">
        <v>10</v>
      </c>
      <c r="D1349" s="76" t="s">
        <v>1594</v>
      </c>
      <c r="E1349" s="89" t="s">
        <v>1589</v>
      </c>
      <c r="F1349" s="89" t="s">
        <v>2080</v>
      </c>
      <c r="G1349" s="94" t="s">
        <v>1780</v>
      </c>
      <c r="H1349" s="76" t="s">
        <v>1774</v>
      </c>
      <c r="I1349" s="76"/>
      <c r="J1349" s="76"/>
      <c r="K1349" s="58" t="str">
        <f>IFERROR(VLOOKUP(L1349,'Raw material list'!$A$3:$C$715,3,0),"")</f>
        <v>TAP-00001</v>
      </c>
      <c r="L1349" s="59" t="s">
        <v>1405</v>
      </c>
      <c r="M1349" s="80" t="s">
        <v>206</v>
      </c>
      <c r="N1349" s="40" t="str">
        <f>VLOOKUP(L1349,'Raw material list'!$A$3:$E$715,5,0)</f>
        <v>Ml</v>
      </c>
      <c r="O1349" s="80">
        <v>2270</v>
      </c>
      <c r="P1349" s="299">
        <f t="shared" si="127"/>
        <v>2270</v>
      </c>
      <c r="Q1349" s="303">
        <v>100</v>
      </c>
      <c r="R1349" s="80">
        <v>560</v>
      </c>
      <c r="S1349" s="80"/>
      <c r="T1349" s="105">
        <f t="shared" si="148"/>
        <v>4.0535714285714288</v>
      </c>
      <c r="U1349" s="105">
        <f t="shared" si="128"/>
        <v>4.0535714285714288</v>
      </c>
      <c r="V1349" s="104">
        <f>IFERROR(VLOOKUP(L1349,'Raw material list'!$A$2:$S$3102,6,0),0)</f>
        <v>8.0000000000000007E-5</v>
      </c>
      <c r="W1349" s="104">
        <f t="shared" si="129"/>
        <v>3.2428571428571435E-4</v>
      </c>
    </row>
    <row r="1350" spans="1:23" hidden="1" x14ac:dyDescent="0.55000000000000004">
      <c r="A1350" s="76" t="str">
        <f t="shared" ref="A1350:A1354" si="153">A1349</f>
        <v>RCP-SMC-000084</v>
      </c>
      <c r="B1350" s="58" t="s">
        <v>35</v>
      </c>
      <c r="C1350" s="58" t="s">
        <v>10</v>
      </c>
      <c r="D1350" s="76" t="str">
        <f t="shared" ref="D1350:D1354" si="154">D1349</f>
        <v>Vanilla Sweet of the day</v>
      </c>
      <c r="E1350" s="89" t="s">
        <v>1589</v>
      </c>
      <c r="F1350" s="89" t="s">
        <v>2080</v>
      </c>
      <c r="G1350" s="94" t="s">
        <v>1780</v>
      </c>
      <c r="H1350" s="76" t="s">
        <v>1774</v>
      </c>
      <c r="I1350" s="76"/>
      <c r="J1350" s="76"/>
      <c r="K1350" s="58" t="str">
        <f>IFERROR(VLOOKUP(L1350,'Raw material list'!$A$3:$C$715,3,0),"")</f>
        <v>PLT1-37</v>
      </c>
      <c r="L1350" s="59" t="s">
        <v>861</v>
      </c>
      <c r="M1350" s="80" t="s">
        <v>48</v>
      </c>
      <c r="N1350" s="40" t="str">
        <f>VLOOKUP(L1350,'Raw material list'!$A$3:$E$715,5,0)</f>
        <v>Each</v>
      </c>
      <c r="O1350" s="80">
        <v>52</v>
      </c>
      <c r="P1350" s="299">
        <f t="shared" ref="P1350:P1413" si="155">O1350/Q1350*100</f>
        <v>52</v>
      </c>
      <c r="Q1350" s="80">
        <v>100</v>
      </c>
      <c r="R1350" s="80">
        <v>560</v>
      </c>
      <c r="S1350" s="80"/>
      <c r="T1350" s="105">
        <f t="shared" si="148"/>
        <v>9.285714285714286E-2</v>
      </c>
      <c r="U1350" s="105">
        <f t="shared" ref="U1350:U1413" si="156">IFERROR(P1350/R1350,0)</f>
        <v>9.285714285714286E-2</v>
      </c>
      <c r="V1350" s="104">
        <f>IFERROR(VLOOKUP(L1350,'Raw material list'!$A$2:$S$3102,6,0),0)</f>
        <v>0.48299999999999998</v>
      </c>
      <c r="W1350" s="104">
        <f t="shared" ref="W1350:W1413" si="157">IFERROR(V1350*U1350,0)</f>
        <v>4.4850000000000001E-2</v>
      </c>
    </row>
    <row r="1351" spans="1:23" hidden="1" x14ac:dyDescent="0.55000000000000004">
      <c r="A1351" s="76" t="str">
        <f t="shared" si="153"/>
        <v>RCP-SMC-000084</v>
      </c>
      <c r="B1351" s="58" t="s">
        <v>35</v>
      </c>
      <c r="C1351" s="58" t="s">
        <v>10</v>
      </c>
      <c r="D1351" s="76" t="str">
        <f t="shared" si="154"/>
        <v>Vanilla Sweet of the day</v>
      </c>
      <c r="E1351" s="89" t="s">
        <v>1589</v>
      </c>
      <c r="F1351" s="89" t="s">
        <v>2080</v>
      </c>
      <c r="G1351" s="94" t="s">
        <v>1780</v>
      </c>
      <c r="H1351" s="89" t="s">
        <v>1774</v>
      </c>
      <c r="I1351" s="76"/>
      <c r="J1351" s="76"/>
      <c r="K1351" s="58" t="str">
        <f>IFERROR(VLOOKUP(L1351,'Raw material list'!$A$3:$C$715,3,0),"")</f>
        <v>DRS5-3575</v>
      </c>
      <c r="L1351" s="59" t="s">
        <v>647</v>
      </c>
      <c r="M1351" s="80" t="s">
        <v>156</v>
      </c>
      <c r="N1351" s="40" t="str">
        <f>VLOOKUP(L1351,'Raw material list'!$A$3:$E$715,5,0)</f>
        <v xml:space="preserve">Gram </v>
      </c>
      <c r="O1351" s="80">
        <v>6500</v>
      </c>
      <c r="P1351" s="299">
        <f t="shared" si="155"/>
        <v>6500</v>
      </c>
      <c r="Q1351" s="80">
        <v>100</v>
      </c>
      <c r="R1351" s="80">
        <v>560</v>
      </c>
      <c r="S1351" s="80"/>
      <c r="T1351" s="105">
        <f t="shared" si="148"/>
        <v>11.607142857142858</v>
      </c>
      <c r="U1351" s="105">
        <f t="shared" si="156"/>
        <v>11.607142857142858</v>
      </c>
      <c r="V1351" s="104">
        <f>IFERROR(VLOOKUP(L1351,'Raw material list'!$A$2:$S$3102,6,0),0)</f>
        <v>5.8799999999999998E-3</v>
      </c>
      <c r="W1351" s="104">
        <f t="shared" si="157"/>
        <v>6.8250000000000005E-2</v>
      </c>
    </row>
    <row r="1352" spans="1:23" hidden="1" x14ac:dyDescent="0.55000000000000004">
      <c r="A1352" s="76" t="str">
        <f t="shared" si="153"/>
        <v>RCP-SMC-000084</v>
      </c>
      <c r="B1352" s="58" t="s">
        <v>35</v>
      </c>
      <c r="C1352" s="58" t="s">
        <v>10</v>
      </c>
      <c r="D1352" s="76" t="str">
        <f t="shared" si="154"/>
        <v>Vanilla Sweet of the day</v>
      </c>
      <c r="E1352" s="89" t="s">
        <v>1589</v>
      </c>
      <c r="F1352" s="89" t="s">
        <v>2080</v>
      </c>
      <c r="G1352" s="94" t="s">
        <v>1780</v>
      </c>
      <c r="H1352" s="76" t="s">
        <v>1774</v>
      </c>
      <c r="I1352" s="76"/>
      <c r="J1352" s="76"/>
      <c r="K1352" s="58" t="str">
        <f>IFERROR(VLOOKUP(L1352,'Raw material list'!$A$3:$C$715,3,0),"")</f>
        <v>DRY2-4896</v>
      </c>
      <c r="L1352" s="59" t="s">
        <v>65</v>
      </c>
      <c r="M1352" s="80" t="s">
        <v>206</v>
      </c>
      <c r="N1352" s="40" t="str">
        <f>VLOOKUP(L1352,'Raw material list'!$A$3:$E$715,5,0)</f>
        <v>Ml</v>
      </c>
      <c r="O1352" s="80">
        <v>6000</v>
      </c>
      <c r="P1352" s="299">
        <f t="shared" si="155"/>
        <v>6000</v>
      </c>
      <c r="Q1352" s="80">
        <v>100</v>
      </c>
      <c r="R1352" s="80">
        <v>560</v>
      </c>
      <c r="S1352" s="80"/>
      <c r="T1352" s="105">
        <f t="shared" si="148"/>
        <v>10.714285714285714</v>
      </c>
      <c r="U1352" s="105">
        <f t="shared" si="156"/>
        <v>10.714285714285714</v>
      </c>
      <c r="V1352" s="104">
        <f>IFERROR(VLOOKUP(L1352,'Raw material list'!$A$2:$S$3102,6,0),0)</f>
        <v>2.0829999999999998E-2</v>
      </c>
      <c r="W1352" s="104">
        <f t="shared" si="157"/>
        <v>0.22317857142857139</v>
      </c>
    </row>
    <row r="1353" spans="1:23" hidden="1" x14ac:dyDescent="0.55000000000000004">
      <c r="A1353" s="76" t="str">
        <f t="shared" si="153"/>
        <v>RCP-SMC-000084</v>
      </c>
      <c r="B1353" s="58" t="s">
        <v>35</v>
      </c>
      <c r="C1353" s="58" t="s">
        <v>10</v>
      </c>
      <c r="D1353" s="76" t="str">
        <f t="shared" si="154"/>
        <v>Vanilla Sweet of the day</v>
      </c>
      <c r="E1353" s="89" t="s">
        <v>1589</v>
      </c>
      <c r="F1353" s="89" t="s">
        <v>2080</v>
      </c>
      <c r="G1353" s="94" t="s">
        <v>1780</v>
      </c>
      <c r="H1353" s="89" t="s">
        <v>1774</v>
      </c>
      <c r="I1353" s="76"/>
      <c r="J1353" s="76"/>
      <c r="K1353" s="58" t="str">
        <f>IFERROR(VLOOKUP(L1353,'Raw material list'!$A$3:$C$715,3,0),"")</f>
        <v>DRS1-978</v>
      </c>
      <c r="L1353" s="59" t="s">
        <v>56</v>
      </c>
      <c r="M1353" s="80" t="s">
        <v>156</v>
      </c>
      <c r="N1353" s="40" t="str">
        <f>VLOOKUP(L1353,'Raw material list'!$A$3:$E$715,5,0)</f>
        <v xml:space="preserve">Gram </v>
      </c>
      <c r="O1353" s="80">
        <v>900</v>
      </c>
      <c r="P1353" s="299">
        <f t="shared" si="155"/>
        <v>900</v>
      </c>
      <c r="Q1353" s="80">
        <v>100</v>
      </c>
      <c r="R1353" s="80">
        <v>560</v>
      </c>
      <c r="S1353" s="80"/>
      <c r="T1353" s="105">
        <f t="shared" si="148"/>
        <v>1.6071428571428572</v>
      </c>
      <c r="U1353" s="105">
        <f t="shared" si="156"/>
        <v>1.6071428571428572</v>
      </c>
      <c r="V1353" s="104">
        <f>IFERROR(VLOOKUP(L1353,'Raw material list'!$A$2:$S$3102,6,0),0)</f>
        <v>2.3999999999999998E-3</v>
      </c>
      <c r="W1353" s="104">
        <f t="shared" si="157"/>
        <v>3.8571428571428572E-3</v>
      </c>
    </row>
    <row r="1354" spans="1:23" hidden="1" x14ac:dyDescent="0.55000000000000004">
      <c r="A1354" s="76" t="str">
        <f t="shared" si="153"/>
        <v>RCP-SMC-000084</v>
      </c>
      <c r="B1354" s="58" t="s">
        <v>35</v>
      </c>
      <c r="C1354" s="58" t="s">
        <v>10</v>
      </c>
      <c r="D1354" s="76" t="str">
        <f t="shared" si="154"/>
        <v>Vanilla Sweet of the day</v>
      </c>
      <c r="E1354" s="89" t="s">
        <v>1589</v>
      </c>
      <c r="F1354" s="89" t="s">
        <v>2080</v>
      </c>
      <c r="G1354" s="94" t="s">
        <v>1780</v>
      </c>
      <c r="H1354" s="89" t="s">
        <v>1774</v>
      </c>
      <c r="I1354" s="76"/>
      <c r="J1354" s="76"/>
      <c r="K1354" s="58" t="str">
        <f>IFERROR(VLOOKUP(L1354,'Raw material list'!$A$3:$C$715,3,0),"")</f>
        <v>DRS7-560</v>
      </c>
      <c r="L1354" s="59" t="s">
        <v>516</v>
      </c>
      <c r="M1354" s="80" t="s">
        <v>156</v>
      </c>
      <c r="N1354" s="40" t="str">
        <f>VLOOKUP(L1354,'Raw material list'!$A$3:$E$715,5,0)</f>
        <v xml:space="preserve">Gram </v>
      </c>
      <c r="O1354" s="80">
        <v>2000</v>
      </c>
      <c r="P1354" s="299">
        <f t="shared" si="155"/>
        <v>2000</v>
      </c>
      <c r="Q1354" s="80">
        <v>100</v>
      </c>
      <c r="R1354" s="80">
        <v>560</v>
      </c>
      <c r="S1354" s="80"/>
      <c r="T1354" s="105">
        <f t="shared" si="148"/>
        <v>3.5714285714285716</v>
      </c>
      <c r="U1354" s="105">
        <f t="shared" si="156"/>
        <v>3.5714285714285716</v>
      </c>
      <c r="V1354" s="104">
        <f>IFERROR(VLOOKUP(L1354,'Raw material list'!$A$2:$S$3102,6,0),0)</f>
        <v>6.9000000000000006E-2</v>
      </c>
      <c r="W1354" s="104">
        <f t="shared" si="157"/>
        <v>0.24642857142857147</v>
      </c>
    </row>
    <row r="1355" spans="1:23" hidden="1" x14ac:dyDescent="0.55000000000000004">
      <c r="A1355" s="76" t="s">
        <v>1608</v>
      </c>
      <c r="B1355" s="58" t="s">
        <v>35</v>
      </c>
      <c r="C1355" s="58" t="s">
        <v>10</v>
      </c>
      <c r="D1355" s="76" t="s">
        <v>1595</v>
      </c>
      <c r="E1355" s="89" t="s">
        <v>1589</v>
      </c>
      <c r="F1355" s="89" t="s">
        <v>2080</v>
      </c>
      <c r="G1355" s="94" t="s">
        <v>1780</v>
      </c>
      <c r="H1355" s="76" t="s">
        <v>1774</v>
      </c>
      <c r="I1355" s="76"/>
      <c r="J1355" s="76"/>
      <c r="K1355" s="58" t="str">
        <f>IFERROR(VLOOKUP(L1355,'Raw material list'!$A$3:$C$715,3,0),"")</f>
        <v>TAP-00001</v>
      </c>
      <c r="L1355" s="59" t="s">
        <v>1405</v>
      </c>
      <c r="M1355" s="80" t="s">
        <v>206</v>
      </c>
      <c r="N1355" s="40" t="str">
        <f>VLOOKUP(L1355,'Raw material list'!$A$3:$E$715,5,0)</f>
        <v>Ml</v>
      </c>
      <c r="O1355" s="80">
        <v>1250</v>
      </c>
      <c r="P1355" s="299">
        <f t="shared" si="155"/>
        <v>1250</v>
      </c>
      <c r="Q1355" s="80">
        <v>100</v>
      </c>
      <c r="R1355" s="80">
        <v>480</v>
      </c>
      <c r="S1355" s="80"/>
      <c r="T1355" s="105">
        <f t="shared" si="148"/>
        <v>2.6041666666666665</v>
      </c>
      <c r="U1355" s="105">
        <f t="shared" si="156"/>
        <v>2.6041666666666665</v>
      </c>
      <c r="V1355" s="104">
        <f>IFERROR(VLOOKUP(L1355,'Raw material list'!$A$2:$S$3102,6,0),0)</f>
        <v>8.0000000000000007E-5</v>
      </c>
      <c r="W1355" s="104">
        <f t="shared" si="157"/>
        <v>2.0833333333333335E-4</v>
      </c>
    </row>
    <row r="1356" spans="1:23" hidden="1" x14ac:dyDescent="0.55000000000000004">
      <c r="A1356" s="76" t="str">
        <f t="shared" ref="A1356:A1360" si="158">A1355</f>
        <v>RCP-SMC-000085</v>
      </c>
      <c r="B1356" s="58" t="s">
        <v>35</v>
      </c>
      <c r="C1356" s="58" t="s">
        <v>10</v>
      </c>
      <c r="D1356" s="76" t="str">
        <f t="shared" ref="D1356:D1360" si="159">D1355</f>
        <v>Chocolate  Sweet of the day</v>
      </c>
      <c r="E1356" s="89" t="s">
        <v>1589</v>
      </c>
      <c r="F1356" s="89" t="s">
        <v>2080</v>
      </c>
      <c r="G1356" s="94" t="s">
        <v>1780</v>
      </c>
      <c r="H1356" s="76" t="s">
        <v>1774</v>
      </c>
      <c r="I1356" s="76"/>
      <c r="J1356" s="76"/>
      <c r="K1356" s="58" t="str">
        <f>IFERROR(VLOOKUP(L1356,'Raw material list'!$A$3:$C$715,3,0),"")</f>
        <v>PLT1-37</v>
      </c>
      <c r="L1356" s="59" t="s">
        <v>861</v>
      </c>
      <c r="M1356" s="80" t="s">
        <v>48</v>
      </c>
      <c r="N1356" s="40" t="str">
        <f>VLOOKUP(L1356,'Raw material list'!$A$3:$E$715,5,0)</f>
        <v>Each</v>
      </c>
      <c r="O1356" s="80">
        <v>75</v>
      </c>
      <c r="P1356" s="299">
        <f t="shared" si="155"/>
        <v>75</v>
      </c>
      <c r="Q1356" s="80">
        <v>100</v>
      </c>
      <c r="R1356" s="80">
        <v>480</v>
      </c>
      <c r="S1356" s="80"/>
      <c r="T1356" s="105">
        <f t="shared" si="148"/>
        <v>0.15625</v>
      </c>
      <c r="U1356" s="105">
        <f t="shared" si="156"/>
        <v>0.15625</v>
      </c>
      <c r="V1356" s="104">
        <f>IFERROR(VLOOKUP(L1356,'Raw material list'!$A$2:$S$3102,6,0),0)</f>
        <v>0.48299999999999998</v>
      </c>
      <c r="W1356" s="104">
        <f t="shared" si="157"/>
        <v>7.5468750000000001E-2</v>
      </c>
    </row>
    <row r="1357" spans="1:23" hidden="1" x14ac:dyDescent="0.55000000000000004">
      <c r="A1357" s="76" t="str">
        <f t="shared" si="158"/>
        <v>RCP-SMC-000085</v>
      </c>
      <c r="B1357" s="58" t="s">
        <v>35</v>
      </c>
      <c r="C1357" s="58" t="s">
        <v>10</v>
      </c>
      <c r="D1357" s="76" t="str">
        <f t="shared" si="159"/>
        <v>Chocolate  Sweet of the day</v>
      </c>
      <c r="E1357" s="89" t="s">
        <v>1589</v>
      </c>
      <c r="F1357" s="89" t="s">
        <v>2080</v>
      </c>
      <c r="G1357" s="94" t="s">
        <v>1780</v>
      </c>
      <c r="H1357" s="89" t="s">
        <v>1774</v>
      </c>
      <c r="I1357" s="76"/>
      <c r="J1357" s="76"/>
      <c r="K1357" s="58" t="str">
        <f>IFERROR(VLOOKUP(L1357,'Raw material list'!$A$3:$C$715,3,0),"")</f>
        <v>DRS5-3576</v>
      </c>
      <c r="L1357" s="59" t="s">
        <v>645</v>
      </c>
      <c r="M1357" s="80" t="s">
        <v>156</v>
      </c>
      <c r="N1357" s="40" t="str">
        <f>VLOOKUP(L1357,'Raw material list'!$A$3:$E$715,5,0)</f>
        <v xml:space="preserve">Gram </v>
      </c>
      <c r="O1357" s="80">
        <v>5000</v>
      </c>
      <c r="P1357" s="299">
        <f t="shared" si="155"/>
        <v>5000</v>
      </c>
      <c r="Q1357" s="80">
        <v>100</v>
      </c>
      <c r="R1357" s="80">
        <v>480</v>
      </c>
      <c r="S1357" s="80"/>
      <c r="T1357" s="105">
        <f t="shared" si="148"/>
        <v>10.416666666666666</v>
      </c>
      <c r="U1357" s="105">
        <f t="shared" si="156"/>
        <v>10.416666666666666</v>
      </c>
      <c r="V1357" s="104">
        <f>IFERROR(VLOOKUP(L1357,'Raw material list'!$A$2:$S$3102,6,0),0)</f>
        <v>6.8799999999999998E-3</v>
      </c>
      <c r="W1357" s="104">
        <f t="shared" si="157"/>
        <v>7.1666666666666656E-2</v>
      </c>
    </row>
    <row r="1358" spans="1:23" hidden="1" x14ac:dyDescent="0.55000000000000004">
      <c r="A1358" s="76" t="str">
        <f t="shared" si="158"/>
        <v>RCP-SMC-000085</v>
      </c>
      <c r="B1358" s="58" t="s">
        <v>35</v>
      </c>
      <c r="C1358" s="58" t="s">
        <v>10</v>
      </c>
      <c r="D1358" s="76" t="str">
        <f t="shared" si="159"/>
        <v>Chocolate  Sweet of the day</v>
      </c>
      <c r="E1358" s="89" t="s">
        <v>1589</v>
      </c>
      <c r="F1358" s="89" t="s">
        <v>2080</v>
      </c>
      <c r="G1358" s="94" t="s">
        <v>1780</v>
      </c>
      <c r="H1358" s="76" t="s">
        <v>1774</v>
      </c>
      <c r="I1358" s="76"/>
      <c r="J1358" s="76"/>
      <c r="K1358" s="58" t="str">
        <f>IFERROR(VLOOKUP(L1358,'Raw material list'!$A$3:$C$715,3,0),"")</f>
        <v>DRY2-4896</v>
      </c>
      <c r="L1358" s="59" t="s">
        <v>65</v>
      </c>
      <c r="M1358" s="80" t="s">
        <v>206</v>
      </c>
      <c r="N1358" s="40" t="str">
        <f>VLOOKUP(L1358,'Raw material list'!$A$3:$E$715,5,0)</f>
        <v>Ml</v>
      </c>
      <c r="O1358" s="80">
        <v>5000</v>
      </c>
      <c r="P1358" s="299">
        <f t="shared" si="155"/>
        <v>5000</v>
      </c>
      <c r="Q1358" s="80">
        <v>100</v>
      </c>
      <c r="R1358" s="80">
        <v>480</v>
      </c>
      <c r="S1358" s="80"/>
      <c r="T1358" s="105">
        <f t="shared" si="148"/>
        <v>10.416666666666666</v>
      </c>
      <c r="U1358" s="105">
        <f t="shared" si="156"/>
        <v>10.416666666666666</v>
      </c>
      <c r="V1358" s="104">
        <f>IFERROR(VLOOKUP(L1358,'Raw material list'!$A$2:$S$3102,6,0),0)</f>
        <v>2.0829999999999998E-2</v>
      </c>
      <c r="W1358" s="104">
        <f t="shared" si="157"/>
        <v>0.21697916666666664</v>
      </c>
    </row>
    <row r="1359" spans="1:23" hidden="1" x14ac:dyDescent="0.55000000000000004">
      <c r="A1359" s="76" t="str">
        <f t="shared" si="158"/>
        <v>RCP-SMC-000085</v>
      </c>
      <c r="B1359" s="58" t="s">
        <v>35</v>
      </c>
      <c r="C1359" s="58" t="s">
        <v>10</v>
      </c>
      <c r="D1359" s="76" t="str">
        <f t="shared" si="159"/>
        <v>Chocolate  Sweet of the day</v>
      </c>
      <c r="E1359" s="89" t="s">
        <v>1589</v>
      </c>
      <c r="F1359" s="89" t="s">
        <v>2080</v>
      </c>
      <c r="G1359" s="94" t="s">
        <v>1780</v>
      </c>
      <c r="H1359" s="89" t="s">
        <v>1774</v>
      </c>
      <c r="I1359" s="76"/>
      <c r="J1359" s="76"/>
      <c r="K1359" s="58" t="str">
        <f>IFERROR(VLOOKUP(L1359,'Raw material list'!$A$3:$C$715,3,0),"")</f>
        <v>DRS1-1288</v>
      </c>
      <c r="L1359" s="59" t="s">
        <v>1583</v>
      </c>
      <c r="M1359" s="80" t="s">
        <v>156</v>
      </c>
      <c r="N1359" s="40" t="str">
        <f>VLOOKUP(L1359,'Raw material list'!$A$3:$E$715,5,0)</f>
        <v xml:space="preserve">Gram </v>
      </c>
      <c r="O1359" s="80">
        <v>750</v>
      </c>
      <c r="P1359" s="299">
        <f t="shared" si="155"/>
        <v>750</v>
      </c>
      <c r="Q1359" s="80">
        <v>100</v>
      </c>
      <c r="R1359" s="80">
        <v>480</v>
      </c>
      <c r="S1359" s="80"/>
      <c r="T1359" s="105">
        <f t="shared" si="148"/>
        <v>1.5625</v>
      </c>
      <c r="U1359" s="105">
        <f t="shared" si="156"/>
        <v>1.5625</v>
      </c>
      <c r="V1359" s="104">
        <f>IFERROR(VLOOKUP(L1359,'Raw material list'!$A$2:$S$3102,6,0),0)</f>
        <v>3.3320000000000002E-2</v>
      </c>
      <c r="W1359" s="104">
        <f t="shared" si="157"/>
        <v>5.2062500000000005E-2</v>
      </c>
    </row>
    <row r="1360" spans="1:23" hidden="1" x14ac:dyDescent="0.55000000000000004">
      <c r="A1360" s="76" t="str">
        <f t="shared" si="158"/>
        <v>RCP-SMC-000085</v>
      </c>
      <c r="B1360" s="58" t="s">
        <v>35</v>
      </c>
      <c r="C1360" s="58" t="s">
        <v>10</v>
      </c>
      <c r="D1360" s="76" t="str">
        <f t="shared" si="159"/>
        <v>Chocolate  Sweet of the day</v>
      </c>
      <c r="E1360" s="89" t="s">
        <v>1589</v>
      </c>
      <c r="F1360" s="89" t="s">
        <v>2080</v>
      </c>
      <c r="G1360" s="94" t="s">
        <v>1780</v>
      </c>
      <c r="H1360" s="89" t="s">
        <v>1774</v>
      </c>
      <c r="I1360" s="76"/>
      <c r="J1360" s="76"/>
      <c r="K1360" s="58" t="str">
        <f>IFERROR(VLOOKUP(L1360,'Raw material list'!$A$3:$C$715,3,0),"")</f>
        <v>DRS7-560</v>
      </c>
      <c r="L1360" s="59" t="s">
        <v>516</v>
      </c>
      <c r="M1360" s="80" t="s">
        <v>156</v>
      </c>
      <c r="N1360" s="40" t="str">
        <f>VLOOKUP(L1360,'Raw material list'!$A$3:$E$715,5,0)</f>
        <v xml:space="preserve">Gram </v>
      </c>
      <c r="O1360" s="80">
        <v>2000</v>
      </c>
      <c r="P1360" s="299">
        <f t="shared" si="155"/>
        <v>2000</v>
      </c>
      <c r="Q1360" s="80">
        <v>100</v>
      </c>
      <c r="R1360" s="80">
        <v>480</v>
      </c>
      <c r="S1360" s="80"/>
      <c r="T1360" s="105">
        <f t="shared" si="148"/>
        <v>4.166666666666667</v>
      </c>
      <c r="U1360" s="105">
        <f t="shared" si="156"/>
        <v>4.166666666666667</v>
      </c>
      <c r="V1360" s="104">
        <f>IFERROR(VLOOKUP(L1360,'Raw material list'!$A$2:$S$3102,6,0),0)</f>
        <v>6.9000000000000006E-2</v>
      </c>
      <c r="W1360" s="104">
        <f t="shared" si="157"/>
        <v>0.28750000000000003</v>
      </c>
    </row>
    <row r="1361" spans="1:23" hidden="1" x14ac:dyDescent="0.55000000000000004">
      <c r="A1361" s="76" t="s">
        <v>1642</v>
      </c>
      <c r="B1361" s="58" t="s">
        <v>35</v>
      </c>
      <c r="C1361" s="58" t="s">
        <v>10</v>
      </c>
      <c r="D1361" s="76" t="s">
        <v>1609</v>
      </c>
      <c r="E1361" s="89" t="s">
        <v>1589</v>
      </c>
      <c r="F1361" s="264" t="s">
        <v>2079</v>
      </c>
      <c r="G1361" s="94" t="s">
        <v>1779</v>
      </c>
      <c r="H1361" s="94" t="s">
        <v>1774</v>
      </c>
      <c r="I1361" s="76"/>
      <c r="J1361" s="76"/>
      <c r="K1361" s="58" t="str">
        <f>IFERROR(VLOOKUP(L1361,'Raw material list'!$A$3:$C$715,3,0),"")</f>
        <v>TAP-00001</v>
      </c>
      <c r="L1361" s="59" t="s">
        <v>1405</v>
      </c>
      <c r="M1361" s="80" t="s">
        <v>206</v>
      </c>
      <c r="N1361" s="40" t="str">
        <f>VLOOKUP(L1361,'Raw material list'!$A$3:$E$715,5,0)</f>
        <v>Ml</v>
      </c>
      <c r="O1361" s="80">
        <v>2000</v>
      </c>
      <c r="P1361" s="299">
        <f t="shared" si="155"/>
        <v>2000</v>
      </c>
      <c r="Q1361" s="80">
        <v>100</v>
      </c>
      <c r="R1361" s="80">
        <v>10</v>
      </c>
      <c r="S1361" s="80" t="s">
        <v>1614</v>
      </c>
      <c r="T1361" s="105">
        <f t="shared" si="148"/>
        <v>200</v>
      </c>
      <c r="U1361" s="105">
        <f t="shared" si="156"/>
        <v>200</v>
      </c>
      <c r="V1361" s="104">
        <f>IFERROR(VLOOKUP(L1361,'Raw material list'!$A$2:$S$3102,6,0),0)</f>
        <v>8.0000000000000007E-5</v>
      </c>
      <c r="W1361" s="104">
        <f t="shared" si="157"/>
        <v>1.6E-2</v>
      </c>
    </row>
    <row r="1362" spans="1:23" hidden="1" x14ac:dyDescent="0.55000000000000004">
      <c r="A1362" s="76" t="str">
        <f t="shared" ref="A1362:A1367" si="160">A1361</f>
        <v>RCP-SMC-000086</v>
      </c>
      <c r="B1362" s="58" t="s">
        <v>35</v>
      </c>
      <c r="C1362" s="58" t="s">
        <v>10</v>
      </c>
      <c r="D1362" s="76" t="str">
        <f t="shared" ref="D1362:D1367" si="161">D1361</f>
        <v>Clear Chicken Soup</v>
      </c>
      <c r="E1362" s="89" t="s">
        <v>1589</v>
      </c>
      <c r="F1362" s="89" t="s">
        <v>2079</v>
      </c>
      <c r="G1362" s="94" t="s">
        <v>1779</v>
      </c>
      <c r="H1362" s="94" t="s">
        <v>1774</v>
      </c>
      <c r="I1362" s="76"/>
      <c r="J1362" s="76"/>
      <c r="K1362" s="58" t="str">
        <f>IFERROR(VLOOKUP(L1362,'Raw material list'!$A$3:$C$715,3,0),"")</f>
        <v>PRD1-4265</v>
      </c>
      <c r="L1362" s="59" t="s">
        <v>38</v>
      </c>
      <c r="M1362" s="80" t="s">
        <v>156</v>
      </c>
      <c r="N1362" s="40" t="str">
        <f>VLOOKUP(L1362,'Raw material list'!$A$3:$E$715,5,0)</f>
        <v xml:space="preserve">Gram </v>
      </c>
      <c r="O1362" s="80">
        <v>50</v>
      </c>
      <c r="P1362" s="299">
        <f t="shared" si="155"/>
        <v>58.82352941176471</v>
      </c>
      <c r="Q1362" s="105">
        <v>85</v>
      </c>
      <c r="R1362" s="80">
        <v>10</v>
      </c>
      <c r="S1362" s="80"/>
      <c r="T1362" s="105">
        <f t="shared" si="148"/>
        <v>5</v>
      </c>
      <c r="U1362" s="105">
        <f t="shared" si="156"/>
        <v>5.882352941176471</v>
      </c>
      <c r="V1362" s="104">
        <f>IFERROR(VLOOKUP(L1362,'Raw material list'!$A$2:$S$3102,6,0),0)</f>
        <v>3.529411764705882E-3</v>
      </c>
      <c r="W1362" s="104">
        <f t="shared" si="157"/>
        <v>2.0761245674740483E-2</v>
      </c>
    </row>
    <row r="1363" spans="1:23" hidden="1" x14ac:dyDescent="0.55000000000000004">
      <c r="A1363" s="76" t="str">
        <f t="shared" si="160"/>
        <v>RCP-SMC-000086</v>
      </c>
      <c r="B1363" s="58" t="s">
        <v>35</v>
      </c>
      <c r="C1363" s="58" t="s">
        <v>10</v>
      </c>
      <c r="D1363" s="76" t="str">
        <f t="shared" si="161"/>
        <v>Clear Chicken Soup</v>
      </c>
      <c r="E1363" s="89" t="s">
        <v>1589</v>
      </c>
      <c r="F1363" s="89" t="s">
        <v>2079</v>
      </c>
      <c r="G1363" s="94" t="s">
        <v>1779</v>
      </c>
      <c r="H1363" s="94" t="s">
        <v>1774</v>
      </c>
      <c r="I1363" s="76"/>
      <c r="J1363" s="76"/>
      <c r="K1363" s="58" t="str">
        <f>IFERROR(VLOOKUP(L1363,'Raw material list'!$A$3:$C$715,3,0),"")</f>
        <v>PRD1-4327</v>
      </c>
      <c r="L1363" s="59" t="s">
        <v>39</v>
      </c>
      <c r="M1363" s="80" t="s">
        <v>156</v>
      </c>
      <c r="N1363" s="40" t="str">
        <f>VLOOKUP(L1363,'Raw material list'!$A$3:$E$715,5,0)</f>
        <v xml:space="preserve">Gram </v>
      </c>
      <c r="O1363" s="80">
        <v>15</v>
      </c>
      <c r="P1363" s="299">
        <f t="shared" si="155"/>
        <v>18.072289156626507</v>
      </c>
      <c r="Q1363" s="105">
        <v>83</v>
      </c>
      <c r="R1363" s="80">
        <v>10</v>
      </c>
      <c r="S1363" s="80"/>
      <c r="T1363" s="105">
        <f t="shared" si="148"/>
        <v>1.5</v>
      </c>
      <c r="U1363" s="105">
        <f t="shared" si="156"/>
        <v>1.8072289156626506</v>
      </c>
      <c r="V1363" s="104">
        <f>IFERROR(VLOOKUP(L1363,'Raw material list'!$A$2:$S$3102,6,0),0)</f>
        <v>1.2999999999999999E-2</v>
      </c>
      <c r="W1363" s="104">
        <f t="shared" si="157"/>
        <v>2.3493975903614458E-2</v>
      </c>
    </row>
    <row r="1364" spans="1:23" hidden="1" x14ac:dyDescent="0.55000000000000004">
      <c r="A1364" s="76" t="str">
        <f t="shared" si="160"/>
        <v>RCP-SMC-000086</v>
      </c>
      <c r="B1364" s="58" t="s">
        <v>35</v>
      </c>
      <c r="C1364" s="58" t="s">
        <v>10</v>
      </c>
      <c r="D1364" s="76" t="str">
        <f t="shared" si="161"/>
        <v>Clear Chicken Soup</v>
      </c>
      <c r="E1364" s="89" t="s">
        <v>1589</v>
      </c>
      <c r="F1364" s="264" t="s">
        <v>2078</v>
      </c>
      <c r="G1364" s="94" t="s">
        <v>1779</v>
      </c>
      <c r="H1364" s="94" t="s">
        <v>1774</v>
      </c>
      <c r="I1364" s="76"/>
      <c r="J1364" s="76"/>
      <c r="K1364" s="58" t="str">
        <f>IFERROR(VLOOKUP(L1364,'Raw material list'!$A$3:$C$715,3,0),"")</f>
        <v>PLT2-3278</v>
      </c>
      <c r="L1364" s="59" t="s">
        <v>80</v>
      </c>
      <c r="M1364" s="80" t="s">
        <v>156</v>
      </c>
      <c r="N1364" s="40" t="str">
        <f>VLOOKUP(L1364,'Raw material list'!$A$3:$E$715,5,0)</f>
        <v xml:space="preserve">Gram </v>
      </c>
      <c r="O1364" s="80">
        <v>100</v>
      </c>
      <c r="P1364" s="299">
        <f t="shared" si="155"/>
        <v>131.23359580052494</v>
      </c>
      <c r="Q1364" s="303">
        <v>76.2</v>
      </c>
      <c r="R1364" s="80">
        <v>10</v>
      </c>
      <c r="S1364" s="80"/>
      <c r="T1364" s="105">
        <f t="shared" si="148"/>
        <v>10</v>
      </c>
      <c r="U1364" s="105">
        <f t="shared" si="156"/>
        <v>13.123359580052494</v>
      </c>
      <c r="V1364" s="104">
        <f>IFERROR(VLOOKUP(L1364,'Raw material list'!$A$2:$S$3102,6,0),0)</f>
        <v>3.0357142857142853E-2</v>
      </c>
      <c r="W1364" s="104">
        <f t="shared" si="157"/>
        <v>0.39838770153730779</v>
      </c>
    </row>
    <row r="1365" spans="1:23" hidden="1" x14ac:dyDescent="0.55000000000000004">
      <c r="A1365" s="76" t="str">
        <f t="shared" si="160"/>
        <v>RCP-SMC-000086</v>
      </c>
      <c r="B1365" s="58" t="s">
        <v>35</v>
      </c>
      <c r="C1365" s="58" t="s">
        <v>10</v>
      </c>
      <c r="D1365" s="76" t="str">
        <f t="shared" si="161"/>
        <v>Clear Chicken Soup</v>
      </c>
      <c r="E1365" s="89" t="s">
        <v>1589</v>
      </c>
      <c r="F1365" s="89" t="s">
        <v>2079</v>
      </c>
      <c r="G1365" s="94" t="s">
        <v>1779</v>
      </c>
      <c r="H1365" s="94" t="s">
        <v>1774</v>
      </c>
      <c r="I1365" s="76"/>
      <c r="J1365" s="76"/>
      <c r="K1365" s="58" t="str">
        <f>IFERROR(VLOOKUP(L1365,'Raw material list'!$A$3:$C$715,3,0),"")</f>
        <v>PRD1-3546</v>
      </c>
      <c r="L1365" s="59" t="s">
        <v>971</v>
      </c>
      <c r="M1365" s="80" t="s">
        <v>156</v>
      </c>
      <c r="N1365" s="40" t="str">
        <f>VLOOKUP(L1365,'Raw material list'!$A$3:$E$715,5,0)</f>
        <v xml:space="preserve">Gram </v>
      </c>
      <c r="O1365" s="80">
        <v>50</v>
      </c>
      <c r="P1365" s="299">
        <f t="shared" si="155"/>
        <v>61.224489795918366</v>
      </c>
      <c r="Q1365" s="105">
        <v>81.666666666666671</v>
      </c>
      <c r="R1365" s="80">
        <v>10</v>
      </c>
      <c r="S1365" s="80"/>
      <c r="T1365" s="105">
        <f t="shared" si="148"/>
        <v>5</v>
      </c>
      <c r="U1365" s="105">
        <f t="shared" si="156"/>
        <v>6.1224489795918364</v>
      </c>
      <c r="V1365" s="104">
        <f>IFERROR(VLOOKUP(L1365,'Raw material list'!$A$2:$S$3102,6,0),0)</f>
        <v>0.04</v>
      </c>
      <c r="W1365" s="104">
        <f t="shared" si="157"/>
        <v>0.24489795918367346</v>
      </c>
    </row>
    <row r="1366" spans="1:23" hidden="1" x14ac:dyDescent="0.55000000000000004">
      <c r="A1366" s="76" t="str">
        <f t="shared" si="160"/>
        <v>RCP-SMC-000086</v>
      </c>
      <c r="B1366" s="58" t="s">
        <v>35</v>
      </c>
      <c r="C1366" s="58" t="s">
        <v>10</v>
      </c>
      <c r="D1366" s="76" t="str">
        <f t="shared" si="161"/>
        <v>Clear Chicken Soup</v>
      </c>
      <c r="E1366" s="89" t="s">
        <v>1589</v>
      </c>
      <c r="F1366" s="89" t="s">
        <v>2079</v>
      </c>
      <c r="G1366" s="94" t="s">
        <v>1779</v>
      </c>
      <c r="H1366" s="94" t="s">
        <v>1774</v>
      </c>
      <c r="I1366" s="76"/>
      <c r="J1366" s="76"/>
      <c r="K1366" s="58" t="str">
        <f>IFERROR(VLOOKUP(L1366,'Raw material list'!$A$3:$C$715,3,0),"")</f>
        <v>PRD1-191</v>
      </c>
      <c r="L1366" s="59" t="s">
        <v>996</v>
      </c>
      <c r="M1366" s="80" t="s">
        <v>156</v>
      </c>
      <c r="N1366" s="40" t="str">
        <f>VLOOKUP(L1366,'Raw material list'!$A$3:$E$715,5,0)</f>
        <v xml:space="preserve">Gram </v>
      </c>
      <c r="O1366" s="80">
        <v>25</v>
      </c>
      <c r="P1366" s="299">
        <f t="shared" si="155"/>
        <v>28.376844494892168</v>
      </c>
      <c r="Q1366" s="105">
        <v>88.1</v>
      </c>
      <c r="R1366" s="80">
        <v>10</v>
      </c>
      <c r="S1366" s="80"/>
      <c r="T1366" s="105">
        <f t="shared" si="148"/>
        <v>2.5</v>
      </c>
      <c r="U1366" s="105">
        <f t="shared" si="156"/>
        <v>2.8376844494892168</v>
      </c>
      <c r="V1366" s="104">
        <f>IFERROR(VLOOKUP(L1366,'Raw material list'!$A$2:$S$3102,6,0),0)</f>
        <v>2.4971623155505111E-2</v>
      </c>
      <c r="W1366" s="104">
        <f t="shared" si="157"/>
        <v>7.0861586706881696E-2</v>
      </c>
    </row>
    <row r="1367" spans="1:23" hidden="1" x14ac:dyDescent="0.55000000000000004">
      <c r="A1367" s="76" t="str">
        <f t="shared" si="160"/>
        <v>RCP-SMC-000086</v>
      </c>
      <c r="B1367" s="58" t="s">
        <v>35</v>
      </c>
      <c r="C1367" s="58" t="s">
        <v>10</v>
      </c>
      <c r="D1367" s="76" t="str">
        <f t="shared" si="161"/>
        <v>Clear Chicken Soup</v>
      </c>
      <c r="E1367" s="89" t="s">
        <v>1589</v>
      </c>
      <c r="F1367" s="89" t="s">
        <v>2079</v>
      </c>
      <c r="G1367" s="94" t="s">
        <v>1779</v>
      </c>
      <c r="H1367" s="94" t="s">
        <v>1774</v>
      </c>
      <c r="I1367" s="76"/>
      <c r="J1367" s="76"/>
      <c r="K1367" s="58" t="str">
        <f>IFERROR(VLOOKUP(L1367,'Raw material list'!$A$3:$C$715,3,0),"")</f>
        <v>DRS1-3811</v>
      </c>
      <c r="L1367" s="59" t="s">
        <v>40</v>
      </c>
      <c r="M1367" s="80" t="s">
        <v>156</v>
      </c>
      <c r="N1367" s="40" t="str">
        <f>VLOOKUP(L1367,'Raw material list'!$A$3:$E$715,5,0)</f>
        <v xml:space="preserve">Gram </v>
      </c>
      <c r="O1367" s="80">
        <v>20</v>
      </c>
      <c r="P1367" s="299">
        <f t="shared" si="155"/>
        <v>20</v>
      </c>
      <c r="Q1367" s="303">
        <v>100</v>
      </c>
      <c r="R1367" s="80">
        <v>10</v>
      </c>
      <c r="S1367" s="80"/>
      <c r="T1367" s="105">
        <f t="shared" si="148"/>
        <v>2</v>
      </c>
      <c r="U1367" s="105">
        <f t="shared" si="156"/>
        <v>2</v>
      </c>
      <c r="V1367" s="104">
        <f>IFERROR(VLOOKUP(L1367,'Raw material list'!$A$2:$S$3102,6,0),0)</f>
        <v>2.8475E-2</v>
      </c>
      <c r="W1367" s="104">
        <f t="shared" si="157"/>
        <v>5.6950000000000001E-2</v>
      </c>
    </row>
    <row r="1368" spans="1:23" hidden="1" x14ac:dyDescent="0.55000000000000004">
      <c r="A1368" s="76" t="s">
        <v>1643</v>
      </c>
      <c r="B1368" s="58" t="s">
        <v>35</v>
      </c>
      <c r="C1368" s="58" t="s">
        <v>10</v>
      </c>
      <c r="D1368" s="76" t="s">
        <v>1610</v>
      </c>
      <c r="E1368" s="76" t="s">
        <v>1432</v>
      </c>
      <c r="F1368" s="76" t="s">
        <v>2079</v>
      </c>
      <c r="G1368" s="94" t="s">
        <v>1779</v>
      </c>
      <c r="H1368" s="107" t="s">
        <v>1774</v>
      </c>
      <c r="I1368" s="76"/>
      <c r="J1368" s="76"/>
      <c r="K1368" s="58" t="str">
        <f>IFERROR(VLOOKUP(L1368,'Raw material list'!$A$3:$C$715,3,0),"")</f>
        <v>PRD1-223</v>
      </c>
      <c r="L1368" s="59" t="s">
        <v>71</v>
      </c>
      <c r="M1368" s="80" t="s">
        <v>156</v>
      </c>
      <c r="N1368" s="40" t="str">
        <f>VLOOKUP(L1368,'Raw material list'!$A$3:$E$715,5,0)</f>
        <v xml:space="preserve">Gram </v>
      </c>
      <c r="O1368" s="80">
        <v>200</v>
      </c>
      <c r="P1368" s="299">
        <f t="shared" si="155"/>
        <v>211.26760563380282</v>
      </c>
      <c r="Q1368" s="105">
        <v>94.666666666666671</v>
      </c>
      <c r="R1368" s="80">
        <v>14</v>
      </c>
      <c r="S1368" s="80" t="s">
        <v>1614</v>
      </c>
      <c r="T1368" s="105">
        <f t="shared" si="148"/>
        <v>14.285714285714286</v>
      </c>
      <c r="U1368" s="105">
        <f t="shared" si="156"/>
        <v>15.090543259557345</v>
      </c>
      <c r="V1368" s="104">
        <f>IFERROR(VLOOKUP(L1368,'Raw material list'!$A$2:$S$3102,6,0),0)</f>
        <v>2.3231256599788808E-2</v>
      </c>
      <c r="W1368" s="104">
        <f t="shared" si="157"/>
        <v>0.35057228269299007</v>
      </c>
    </row>
    <row r="1369" spans="1:23" hidden="1" x14ac:dyDescent="0.55000000000000004">
      <c r="A1369" s="76" t="str">
        <f t="shared" ref="A1369:A1380" si="162">A1368</f>
        <v>RCP-SMC-000087</v>
      </c>
      <c r="B1369" s="58" t="s">
        <v>35</v>
      </c>
      <c r="C1369" s="58" t="s">
        <v>10</v>
      </c>
      <c r="D1369" s="76" t="str">
        <f t="shared" ref="D1369:D1380" si="163">D1368</f>
        <v>Creme of mushroom(soup)</v>
      </c>
      <c r="E1369" s="76" t="s">
        <v>1432</v>
      </c>
      <c r="F1369" s="76" t="s">
        <v>2079</v>
      </c>
      <c r="G1369" s="94" t="s">
        <v>1779</v>
      </c>
      <c r="H1369" s="107" t="s">
        <v>1774</v>
      </c>
      <c r="I1369" s="76"/>
      <c r="J1369" s="76"/>
      <c r="K1369" s="58" t="str">
        <f>IFERROR(VLOOKUP(L1369,'Raw material list'!$A$3:$C$715,3,0),"")</f>
        <v>DRY2-1008</v>
      </c>
      <c r="L1369" s="59" t="s">
        <v>57</v>
      </c>
      <c r="M1369" s="80" t="s">
        <v>156</v>
      </c>
      <c r="N1369" s="40" t="str">
        <f>VLOOKUP(L1369,'Raw material list'!$A$3:$E$715,5,0)</f>
        <v xml:space="preserve">Gram </v>
      </c>
      <c r="O1369" s="80">
        <v>30</v>
      </c>
      <c r="P1369" s="299">
        <f t="shared" si="155"/>
        <v>30</v>
      </c>
      <c r="Q1369" s="303">
        <v>100</v>
      </c>
      <c r="R1369" s="80">
        <v>14</v>
      </c>
      <c r="S1369" s="80"/>
      <c r="T1369" s="105">
        <f t="shared" si="148"/>
        <v>2.1428571428571428</v>
      </c>
      <c r="U1369" s="105">
        <f t="shared" si="156"/>
        <v>2.1428571428571428</v>
      </c>
      <c r="V1369" s="104">
        <f>IFERROR(VLOOKUP(L1369,'Raw material list'!$A$2:$S$3102,6,0),0)</f>
        <v>0.03</v>
      </c>
      <c r="W1369" s="104">
        <f t="shared" si="157"/>
        <v>6.4285714285714279E-2</v>
      </c>
    </row>
    <row r="1370" spans="1:23" hidden="1" x14ac:dyDescent="0.55000000000000004">
      <c r="A1370" s="76" t="str">
        <f t="shared" si="162"/>
        <v>RCP-SMC-000087</v>
      </c>
      <c r="B1370" s="58" t="s">
        <v>35</v>
      </c>
      <c r="C1370" s="58" t="s">
        <v>10</v>
      </c>
      <c r="D1370" s="76" t="str">
        <f t="shared" si="163"/>
        <v>Creme of mushroom(soup)</v>
      </c>
      <c r="E1370" s="76" t="s">
        <v>1432</v>
      </c>
      <c r="F1370" s="76" t="s">
        <v>2079</v>
      </c>
      <c r="G1370" s="94" t="s">
        <v>1779</v>
      </c>
      <c r="H1370" s="107" t="s">
        <v>1774</v>
      </c>
      <c r="I1370" s="76"/>
      <c r="J1370" s="76"/>
      <c r="K1370" s="58" t="str">
        <f>IFERROR(VLOOKUP(L1370,'Raw material list'!$A$3:$C$715,3,0),"")</f>
        <v>PRD1-4265</v>
      </c>
      <c r="L1370" s="59" t="s">
        <v>38</v>
      </c>
      <c r="M1370" s="80" t="s">
        <v>156</v>
      </c>
      <c r="N1370" s="40" t="str">
        <f>VLOOKUP(L1370,'Raw material list'!$A$3:$E$715,5,0)</f>
        <v xml:space="preserve">Gram </v>
      </c>
      <c r="O1370" s="80">
        <v>80</v>
      </c>
      <c r="P1370" s="299">
        <f t="shared" si="155"/>
        <v>94.117647058823522</v>
      </c>
      <c r="Q1370" s="105">
        <v>85</v>
      </c>
      <c r="R1370" s="80">
        <v>14</v>
      </c>
      <c r="S1370" s="80"/>
      <c r="T1370" s="105">
        <f t="shared" si="148"/>
        <v>5.7142857142857144</v>
      </c>
      <c r="U1370" s="105">
        <f t="shared" si="156"/>
        <v>6.7226890756302513</v>
      </c>
      <c r="V1370" s="104">
        <f>IFERROR(VLOOKUP(L1370,'Raw material list'!$A$2:$S$3102,6,0),0)</f>
        <v>3.529411764705882E-3</v>
      </c>
      <c r="W1370" s="104">
        <f t="shared" si="157"/>
        <v>2.3727137913989119E-2</v>
      </c>
    </row>
    <row r="1371" spans="1:23" hidden="1" x14ac:dyDescent="0.55000000000000004">
      <c r="A1371" s="76" t="str">
        <f t="shared" si="162"/>
        <v>RCP-SMC-000087</v>
      </c>
      <c r="B1371" s="58" t="s">
        <v>35</v>
      </c>
      <c r="C1371" s="58" t="s">
        <v>10</v>
      </c>
      <c r="D1371" s="76" t="str">
        <f t="shared" si="163"/>
        <v>Creme of mushroom(soup)</v>
      </c>
      <c r="E1371" s="76" t="s">
        <v>1432</v>
      </c>
      <c r="F1371" s="76" t="s">
        <v>2079</v>
      </c>
      <c r="G1371" s="94" t="s">
        <v>1779</v>
      </c>
      <c r="H1371" s="107" t="s">
        <v>1774</v>
      </c>
      <c r="I1371" s="76"/>
      <c r="J1371" s="76"/>
      <c r="K1371" s="58" t="str">
        <f>IFERROR(VLOOKUP(L1371,'Raw material list'!$A$3:$C$715,3,0),"")</f>
        <v>PRD1-4327</v>
      </c>
      <c r="L1371" s="59" t="s">
        <v>39</v>
      </c>
      <c r="M1371" s="80" t="s">
        <v>156</v>
      </c>
      <c r="N1371" s="40" t="str">
        <f>VLOOKUP(L1371,'Raw material list'!$A$3:$E$715,5,0)</f>
        <v xml:space="preserve">Gram </v>
      </c>
      <c r="O1371" s="80">
        <v>15</v>
      </c>
      <c r="P1371" s="299">
        <f t="shared" si="155"/>
        <v>18.072289156626507</v>
      </c>
      <c r="Q1371" s="105">
        <v>83</v>
      </c>
      <c r="R1371" s="80">
        <v>14</v>
      </c>
      <c r="S1371" s="80"/>
      <c r="T1371" s="105">
        <f t="shared" si="148"/>
        <v>1.0714285714285714</v>
      </c>
      <c r="U1371" s="105">
        <f t="shared" si="156"/>
        <v>1.2908777969018934</v>
      </c>
      <c r="V1371" s="104">
        <f>IFERROR(VLOOKUP(L1371,'Raw material list'!$A$2:$S$3102,6,0),0)</f>
        <v>1.2999999999999999E-2</v>
      </c>
      <c r="W1371" s="104">
        <f t="shared" si="157"/>
        <v>1.6781411359724614E-2</v>
      </c>
    </row>
    <row r="1372" spans="1:23" hidden="1" x14ac:dyDescent="0.55000000000000004">
      <c r="A1372" s="76" t="str">
        <f t="shared" si="162"/>
        <v>RCP-SMC-000087</v>
      </c>
      <c r="B1372" s="58" t="s">
        <v>35</v>
      </c>
      <c r="C1372" s="58" t="s">
        <v>10</v>
      </c>
      <c r="D1372" s="76" t="str">
        <f t="shared" si="163"/>
        <v>Creme of mushroom(soup)</v>
      </c>
      <c r="E1372" s="76" t="s">
        <v>1432</v>
      </c>
      <c r="F1372" s="76" t="s">
        <v>2079</v>
      </c>
      <c r="G1372" s="94" t="s">
        <v>1779</v>
      </c>
      <c r="H1372" s="107" t="s">
        <v>1774</v>
      </c>
      <c r="I1372" s="76"/>
      <c r="J1372" s="76"/>
      <c r="K1372" s="58" t="str">
        <f>IFERROR(VLOOKUP(L1372,'Raw material list'!$A$3:$C$715,3,0),"")</f>
        <v>DRS6-1570</v>
      </c>
      <c r="L1372" s="59" t="s">
        <v>51</v>
      </c>
      <c r="M1372" s="80" t="s">
        <v>156</v>
      </c>
      <c r="N1372" s="40" t="str">
        <f>VLOOKUP(L1372,'Raw material list'!$A$3:$E$715,5,0)</f>
        <v xml:space="preserve">Gram </v>
      </c>
      <c r="O1372" s="80">
        <v>1</v>
      </c>
      <c r="P1372" s="299">
        <f t="shared" si="155"/>
        <v>1</v>
      </c>
      <c r="Q1372" s="303">
        <v>100</v>
      </c>
      <c r="R1372" s="80">
        <v>14</v>
      </c>
      <c r="S1372" s="80"/>
      <c r="T1372" s="105">
        <f t="shared" si="148"/>
        <v>7.1428571428571425E-2</v>
      </c>
      <c r="U1372" s="105">
        <f t="shared" si="156"/>
        <v>7.1428571428571425E-2</v>
      </c>
      <c r="V1372" s="104">
        <f>IFERROR(VLOOKUP(L1372,'Raw material list'!$A$2:$S$3102,6,0),0)</f>
        <v>9.3526666666666654E-3</v>
      </c>
      <c r="W1372" s="104">
        <f t="shared" si="157"/>
        <v>6.6804761904761889E-4</v>
      </c>
    </row>
    <row r="1373" spans="1:23" hidden="1" x14ac:dyDescent="0.55000000000000004">
      <c r="A1373" s="76" t="str">
        <f t="shared" si="162"/>
        <v>RCP-SMC-000087</v>
      </c>
      <c r="B1373" s="58" t="s">
        <v>35</v>
      </c>
      <c r="C1373" s="58" t="s">
        <v>10</v>
      </c>
      <c r="D1373" s="76" t="str">
        <f t="shared" si="163"/>
        <v>Creme of mushroom(soup)</v>
      </c>
      <c r="E1373" s="76" t="s">
        <v>1432</v>
      </c>
      <c r="F1373" s="76" t="s">
        <v>2079</v>
      </c>
      <c r="G1373" s="94" t="s">
        <v>1779</v>
      </c>
      <c r="H1373" s="107" t="s">
        <v>1774</v>
      </c>
      <c r="I1373" s="76"/>
      <c r="J1373" s="76"/>
      <c r="K1373" s="58" t="str">
        <f>IFERROR(VLOOKUP(L1373,'Raw material list'!$A$3:$C$715,3,0),"")</f>
        <v>DRS5-980</v>
      </c>
      <c r="L1373" s="59" t="s">
        <v>446</v>
      </c>
      <c r="M1373" s="80" t="s">
        <v>156</v>
      </c>
      <c r="N1373" s="40" t="str">
        <f>VLOOKUP(L1373,'Raw material list'!$A$3:$E$715,5,0)</f>
        <v xml:space="preserve">Gram </v>
      </c>
      <c r="O1373" s="80">
        <v>25</v>
      </c>
      <c r="P1373" s="299">
        <f t="shared" si="155"/>
        <v>25</v>
      </c>
      <c r="Q1373" s="80">
        <v>100</v>
      </c>
      <c r="R1373" s="80">
        <v>14</v>
      </c>
      <c r="S1373" s="80"/>
      <c r="T1373" s="105">
        <f t="shared" si="148"/>
        <v>1.7857142857142858</v>
      </c>
      <c r="U1373" s="105">
        <f t="shared" si="156"/>
        <v>1.7857142857142858</v>
      </c>
      <c r="V1373" s="104">
        <f>IFERROR(VLOOKUP(L1373,'Raw material list'!$A$2:$S$3102,6,0),0)</f>
        <v>1E-3</v>
      </c>
      <c r="W1373" s="104">
        <f t="shared" si="157"/>
        <v>1.7857142857142859E-3</v>
      </c>
    </row>
    <row r="1374" spans="1:23" hidden="1" x14ac:dyDescent="0.55000000000000004">
      <c r="A1374" s="76" t="str">
        <f t="shared" si="162"/>
        <v>RCP-SMC-000087</v>
      </c>
      <c r="B1374" s="58" t="s">
        <v>35</v>
      </c>
      <c r="C1374" s="58" t="s">
        <v>10</v>
      </c>
      <c r="D1374" s="76" t="str">
        <f t="shared" si="163"/>
        <v>Creme of mushroom(soup)</v>
      </c>
      <c r="E1374" s="76" t="s">
        <v>1432</v>
      </c>
      <c r="F1374" s="76" t="s">
        <v>2079</v>
      </c>
      <c r="G1374" s="94" t="s">
        <v>1779</v>
      </c>
      <c r="H1374" s="107" t="s">
        <v>1774</v>
      </c>
      <c r="I1374" s="76"/>
      <c r="J1374" s="76"/>
      <c r="K1374" s="58" t="str">
        <f>IFERROR(VLOOKUP(L1374,'Raw material list'!$A$3:$C$715,3,0),"")</f>
        <v>TAP-00001</v>
      </c>
      <c r="L1374" s="59" t="s">
        <v>1405</v>
      </c>
      <c r="M1374" s="80" t="s">
        <v>206</v>
      </c>
      <c r="N1374" s="40" t="str">
        <f>VLOOKUP(L1374,'Raw material list'!$A$3:$E$715,5,0)</f>
        <v>Ml</v>
      </c>
      <c r="O1374" s="80">
        <v>2300</v>
      </c>
      <c r="P1374" s="299">
        <f t="shared" si="155"/>
        <v>2300</v>
      </c>
      <c r="Q1374" s="80">
        <v>100</v>
      </c>
      <c r="R1374" s="80">
        <v>14</v>
      </c>
      <c r="S1374" s="80"/>
      <c r="T1374" s="105">
        <f t="shared" si="148"/>
        <v>164.28571428571428</v>
      </c>
      <c r="U1374" s="105">
        <f t="shared" si="156"/>
        <v>164.28571428571428</v>
      </c>
      <c r="V1374" s="104">
        <f>IFERROR(VLOOKUP(L1374,'Raw material list'!$A$2:$S$3102,6,0),0)</f>
        <v>8.0000000000000007E-5</v>
      </c>
      <c r="W1374" s="104">
        <f t="shared" si="157"/>
        <v>1.3142857142857144E-2</v>
      </c>
    </row>
    <row r="1375" spans="1:23" hidden="1" x14ac:dyDescent="0.55000000000000004">
      <c r="A1375" s="76" t="str">
        <f t="shared" si="162"/>
        <v>RCP-SMC-000087</v>
      </c>
      <c r="B1375" s="58" t="s">
        <v>35</v>
      </c>
      <c r="C1375" s="58" t="s">
        <v>10</v>
      </c>
      <c r="D1375" s="76" t="str">
        <f t="shared" si="163"/>
        <v>Creme of mushroom(soup)</v>
      </c>
      <c r="E1375" s="76" t="s">
        <v>1432</v>
      </c>
      <c r="F1375" s="76" t="s">
        <v>2079</v>
      </c>
      <c r="G1375" s="94" t="s">
        <v>1779</v>
      </c>
      <c r="H1375" s="107" t="s">
        <v>1774</v>
      </c>
      <c r="I1375" s="76"/>
      <c r="J1375" s="76"/>
      <c r="K1375" s="58" t="str">
        <f>IFERROR(VLOOKUP(L1375,'Raw material list'!$A$3:$C$715,3,0),"")</f>
        <v>DRS1-456</v>
      </c>
      <c r="L1375" s="59" t="s">
        <v>232</v>
      </c>
      <c r="M1375" s="80" t="s">
        <v>156</v>
      </c>
      <c r="N1375" s="40" t="str">
        <f>VLOOKUP(L1375,'Raw material list'!$A$3:$E$715,5,0)</f>
        <v xml:space="preserve">Gram </v>
      </c>
      <c r="O1375" s="80">
        <v>400</v>
      </c>
      <c r="P1375" s="299">
        <f t="shared" si="155"/>
        <v>400</v>
      </c>
      <c r="Q1375" s="80">
        <v>100</v>
      </c>
      <c r="R1375" s="80">
        <v>14</v>
      </c>
      <c r="S1375" s="80"/>
      <c r="T1375" s="105">
        <f t="shared" si="148"/>
        <v>28.571428571428573</v>
      </c>
      <c r="U1375" s="105">
        <f t="shared" si="156"/>
        <v>28.571428571428573</v>
      </c>
      <c r="V1375" s="104">
        <f>IFERROR(VLOOKUP(L1375,'Raw material list'!$A$2:$S$3102,6,0),0)</f>
        <v>1.4999999999999999E-2</v>
      </c>
      <c r="W1375" s="104">
        <f t="shared" si="157"/>
        <v>0.4285714285714286</v>
      </c>
    </row>
    <row r="1376" spans="1:23" hidden="1" x14ac:dyDescent="0.55000000000000004">
      <c r="A1376" s="76" t="str">
        <f t="shared" si="162"/>
        <v>RCP-SMC-000087</v>
      </c>
      <c r="B1376" s="58" t="s">
        <v>35</v>
      </c>
      <c r="C1376" s="58" t="s">
        <v>10</v>
      </c>
      <c r="D1376" s="76" t="str">
        <f t="shared" si="163"/>
        <v>Creme of mushroom(soup)</v>
      </c>
      <c r="E1376" s="76" t="s">
        <v>1432</v>
      </c>
      <c r="F1376" s="76" t="s">
        <v>2079</v>
      </c>
      <c r="G1376" s="94" t="s">
        <v>1779</v>
      </c>
      <c r="H1376" s="107" t="s">
        <v>1774</v>
      </c>
      <c r="I1376" s="76"/>
      <c r="J1376" s="76"/>
      <c r="K1376" s="58" t="str">
        <f>IFERROR(VLOOKUP(L1376,'Raw material list'!$A$3:$C$715,3,0),"")</f>
        <v>DRS1-3811</v>
      </c>
      <c r="L1376" s="59" t="s">
        <v>40</v>
      </c>
      <c r="M1376" s="80" t="s">
        <v>156</v>
      </c>
      <c r="N1376" s="40" t="str">
        <f>VLOOKUP(L1376,'Raw material list'!$A$3:$E$715,5,0)</f>
        <v xml:space="preserve">Gram </v>
      </c>
      <c r="O1376" s="80">
        <v>10</v>
      </c>
      <c r="P1376" s="299">
        <f t="shared" si="155"/>
        <v>10</v>
      </c>
      <c r="Q1376" s="80">
        <v>100</v>
      </c>
      <c r="R1376" s="80">
        <v>14</v>
      </c>
      <c r="S1376" s="80"/>
      <c r="T1376" s="105">
        <f t="shared" si="148"/>
        <v>0.7142857142857143</v>
      </c>
      <c r="U1376" s="105">
        <f t="shared" si="156"/>
        <v>0.7142857142857143</v>
      </c>
      <c r="V1376" s="104">
        <f>IFERROR(VLOOKUP(L1376,'Raw material list'!$A$2:$S$3102,6,0),0)</f>
        <v>2.8475E-2</v>
      </c>
      <c r="W1376" s="104">
        <f t="shared" si="157"/>
        <v>2.0339285714285716E-2</v>
      </c>
    </row>
    <row r="1377" spans="1:23" hidden="1" x14ac:dyDescent="0.55000000000000004">
      <c r="A1377" s="76" t="str">
        <f t="shared" si="162"/>
        <v>RCP-SMC-000087</v>
      </c>
      <c r="B1377" s="58" t="s">
        <v>35</v>
      </c>
      <c r="C1377" s="58" t="s">
        <v>10</v>
      </c>
      <c r="D1377" s="76" t="str">
        <f t="shared" si="163"/>
        <v>Creme of mushroom(soup)</v>
      </c>
      <c r="E1377" s="76" t="s">
        <v>1432</v>
      </c>
      <c r="F1377" s="76" t="s">
        <v>2079</v>
      </c>
      <c r="G1377" s="94" t="s">
        <v>1779</v>
      </c>
      <c r="H1377" s="107" t="s">
        <v>1774</v>
      </c>
      <c r="I1377" s="76"/>
      <c r="J1377" s="76"/>
      <c r="K1377" s="58" t="str">
        <f>IFERROR(VLOOKUP(L1377,'Raw material list'!$A$3:$C$715,3,0),"")</f>
        <v>PRD3-1842</v>
      </c>
      <c r="L1377" s="59" t="s">
        <v>959</v>
      </c>
      <c r="M1377" s="80" t="s">
        <v>156</v>
      </c>
      <c r="N1377" s="40" t="str">
        <f>VLOOKUP(L1377,'Raw material list'!$A$3:$E$715,5,0)</f>
        <v xml:space="preserve">Gram </v>
      </c>
      <c r="O1377" s="80">
        <v>5</v>
      </c>
      <c r="P1377" s="299">
        <f t="shared" si="155"/>
        <v>5</v>
      </c>
      <c r="Q1377" s="80">
        <v>100</v>
      </c>
      <c r="R1377" s="80">
        <v>14</v>
      </c>
      <c r="S1377" s="80"/>
      <c r="T1377" s="105">
        <f t="shared" si="148"/>
        <v>0.35714285714285715</v>
      </c>
      <c r="U1377" s="105">
        <f t="shared" si="156"/>
        <v>0.35714285714285715</v>
      </c>
      <c r="V1377" s="104">
        <f>IFERROR(VLOOKUP(L1377,'Raw material list'!$A$2:$S$3102,6,0),0)</f>
        <v>0.3</v>
      </c>
      <c r="W1377" s="104">
        <f t="shared" si="157"/>
        <v>0.10714285714285714</v>
      </c>
    </row>
    <row r="1378" spans="1:23" hidden="1" x14ac:dyDescent="0.55000000000000004">
      <c r="A1378" s="76" t="str">
        <f t="shared" si="162"/>
        <v>RCP-SMC-000087</v>
      </c>
      <c r="B1378" s="58" t="s">
        <v>35</v>
      </c>
      <c r="C1378" s="58" t="s">
        <v>10</v>
      </c>
      <c r="D1378" s="76" t="str">
        <f t="shared" si="163"/>
        <v>Creme of mushroom(soup)</v>
      </c>
      <c r="E1378" s="76" t="s">
        <v>1432</v>
      </c>
      <c r="F1378" s="76" t="s">
        <v>2079</v>
      </c>
      <c r="G1378" s="94" t="s">
        <v>1779</v>
      </c>
      <c r="H1378" s="107" t="s">
        <v>1774</v>
      </c>
      <c r="I1378" s="76"/>
      <c r="J1378" s="76"/>
      <c r="K1378" s="58" t="str">
        <f>IFERROR(VLOOKUP(L1378,'Raw material list'!$A$3:$C$715,3,0),"")</f>
        <v>DRY2-1858</v>
      </c>
      <c r="L1378" s="59" t="s">
        <v>60</v>
      </c>
      <c r="M1378" s="80" t="s">
        <v>206</v>
      </c>
      <c r="N1378" s="40" t="str">
        <f>VLOOKUP(L1378,'Raw material list'!$A$3:$E$715,5,0)</f>
        <v>Ml</v>
      </c>
      <c r="O1378" s="80">
        <v>200</v>
      </c>
      <c r="P1378" s="299">
        <f t="shared" si="155"/>
        <v>200</v>
      </c>
      <c r="Q1378" s="80">
        <v>100</v>
      </c>
      <c r="R1378" s="80">
        <v>14</v>
      </c>
      <c r="S1378" s="80"/>
      <c r="T1378" s="105">
        <f t="shared" si="148"/>
        <v>14.285714285714286</v>
      </c>
      <c r="U1378" s="105">
        <f t="shared" si="156"/>
        <v>14.285714285714286</v>
      </c>
      <c r="V1378" s="104">
        <f>IFERROR(VLOOKUP(L1378,'Raw material list'!$A$2:$S$3102,6,0),0)</f>
        <v>9.8800000000000016E-3</v>
      </c>
      <c r="W1378" s="104">
        <f t="shared" si="157"/>
        <v>0.14114285714285718</v>
      </c>
    </row>
    <row r="1379" spans="1:23" hidden="1" x14ac:dyDescent="0.55000000000000004">
      <c r="A1379" s="76" t="str">
        <f t="shared" si="162"/>
        <v>RCP-SMC-000087</v>
      </c>
      <c r="B1379" s="58" t="s">
        <v>35</v>
      </c>
      <c r="C1379" s="58" t="s">
        <v>10</v>
      </c>
      <c r="D1379" s="76" t="str">
        <f t="shared" si="163"/>
        <v>Creme of mushroom(soup)</v>
      </c>
      <c r="E1379" s="76" t="s">
        <v>1432</v>
      </c>
      <c r="F1379" s="76" t="s">
        <v>2079</v>
      </c>
      <c r="G1379" s="94" t="s">
        <v>1779</v>
      </c>
      <c r="H1379" s="107" t="s">
        <v>1774</v>
      </c>
      <c r="I1379" s="76"/>
      <c r="J1379" s="76"/>
      <c r="K1379" s="58" t="str">
        <f>IFERROR(VLOOKUP(L1379,'Raw material list'!$A$3:$C$715,3,0),"")</f>
        <v>DRS1-3880</v>
      </c>
      <c r="L1379" s="59" t="s">
        <v>1433</v>
      </c>
      <c r="M1379" s="80" t="s">
        <v>156</v>
      </c>
      <c r="N1379" s="40" t="str">
        <f>VLOOKUP(L1379,'Raw material list'!$A$3:$E$715,5,0)</f>
        <v xml:space="preserve">Gram </v>
      </c>
      <c r="O1379" s="80">
        <v>10</v>
      </c>
      <c r="P1379" s="299">
        <f t="shared" si="155"/>
        <v>10</v>
      </c>
      <c r="Q1379" s="80">
        <v>100</v>
      </c>
      <c r="R1379" s="80">
        <v>14</v>
      </c>
      <c r="S1379" s="80"/>
      <c r="T1379" s="105">
        <f t="shared" si="148"/>
        <v>0.7142857142857143</v>
      </c>
      <c r="U1379" s="105">
        <f t="shared" si="156"/>
        <v>0.7142857142857143</v>
      </c>
      <c r="V1379" s="104">
        <f>IFERROR(VLOOKUP(L1379,'Raw material list'!$A$2:$S$3102,6,0),0)</f>
        <v>5.0000000000000001E-4</v>
      </c>
      <c r="W1379" s="104">
        <f t="shared" si="157"/>
        <v>3.5714285714285714E-4</v>
      </c>
    </row>
    <row r="1380" spans="1:23" hidden="1" x14ac:dyDescent="0.55000000000000004">
      <c r="A1380" s="76" t="str">
        <f t="shared" si="162"/>
        <v>RCP-SMC-000087</v>
      </c>
      <c r="B1380" s="58" t="s">
        <v>35</v>
      </c>
      <c r="C1380" s="58" t="s">
        <v>10</v>
      </c>
      <c r="D1380" s="76" t="str">
        <f t="shared" si="163"/>
        <v>Creme of mushroom(soup)</v>
      </c>
      <c r="E1380" s="76" t="s">
        <v>1432</v>
      </c>
      <c r="F1380" s="76" t="s">
        <v>2079</v>
      </c>
      <c r="G1380" s="94" t="s">
        <v>1779</v>
      </c>
      <c r="H1380" s="107" t="s">
        <v>1774</v>
      </c>
      <c r="I1380" s="76"/>
      <c r="J1380" s="76"/>
      <c r="K1380" s="58" t="str">
        <f>IFERROR(VLOOKUP(L1380,'Raw material list'!$A$3:$C$715,3,0),"")</f>
        <v>DRS1-3357</v>
      </c>
      <c r="L1380" s="59" t="s">
        <v>316</v>
      </c>
      <c r="M1380" s="80" t="s">
        <v>156</v>
      </c>
      <c r="N1380" s="40" t="str">
        <f>VLOOKUP(L1380,'Raw material list'!$A$3:$E$715,5,0)</f>
        <v xml:space="preserve">Gram </v>
      </c>
      <c r="O1380" s="80">
        <v>10</v>
      </c>
      <c r="P1380" s="299">
        <f t="shared" si="155"/>
        <v>10</v>
      </c>
      <c r="Q1380" s="80">
        <v>100</v>
      </c>
      <c r="R1380" s="80">
        <v>14</v>
      </c>
      <c r="S1380" s="80"/>
      <c r="T1380" s="105">
        <f t="shared" si="148"/>
        <v>0.7142857142857143</v>
      </c>
      <c r="U1380" s="105">
        <f t="shared" si="156"/>
        <v>0.7142857142857143</v>
      </c>
      <c r="V1380" s="104">
        <f>IFERROR(VLOOKUP(L1380,'Raw material list'!$A$2:$S$3102,6,0),0)</f>
        <v>6.8440000000000001E-2</v>
      </c>
      <c r="W1380" s="104">
        <f t="shared" si="157"/>
        <v>4.8885714285714289E-2</v>
      </c>
    </row>
    <row r="1381" spans="1:23" hidden="1" x14ac:dyDescent="0.55000000000000004">
      <c r="A1381" s="76" t="s">
        <v>1644</v>
      </c>
      <c r="B1381" s="58" t="s">
        <v>35</v>
      </c>
      <c r="C1381" s="58" t="s">
        <v>10</v>
      </c>
      <c r="D1381" s="76" t="s">
        <v>1612</v>
      </c>
      <c r="E1381" s="76" t="s">
        <v>1432</v>
      </c>
      <c r="F1381" s="76" t="s">
        <v>2079</v>
      </c>
      <c r="G1381" s="94" t="s">
        <v>1779</v>
      </c>
      <c r="H1381" s="107" t="s">
        <v>1774</v>
      </c>
      <c r="I1381" s="76"/>
      <c r="J1381" s="76"/>
      <c r="K1381" s="58" t="str">
        <f>IFERROR(VLOOKUP(L1381,'Raw material list'!$A$3:$C$715,3,0),"")</f>
        <v>DRS3-1813</v>
      </c>
      <c r="L1381" s="59" t="s">
        <v>69</v>
      </c>
      <c r="M1381" s="80" t="s">
        <v>206</v>
      </c>
      <c r="N1381" s="40" t="str">
        <f>VLOOKUP(L1381,'Raw material list'!$A$3:$E$715,5,0)</f>
        <v>Ml</v>
      </c>
      <c r="O1381" s="80">
        <v>20</v>
      </c>
      <c r="P1381" s="299">
        <f t="shared" si="155"/>
        <v>20</v>
      </c>
      <c r="Q1381" s="80">
        <v>100</v>
      </c>
      <c r="R1381" s="80">
        <v>14</v>
      </c>
      <c r="S1381" s="80" t="s">
        <v>1614</v>
      </c>
      <c r="T1381" s="105">
        <f t="shared" si="148"/>
        <v>1.4285714285714286</v>
      </c>
      <c r="U1381" s="105">
        <f t="shared" si="156"/>
        <v>1.4285714285714286</v>
      </c>
      <c r="V1381" s="104">
        <f>IFERROR(VLOOKUP(L1381,'Raw material list'!$A$2:$S$3102,6,0),0)</f>
        <v>8.0555555555555554E-3</v>
      </c>
      <c r="W1381" s="104">
        <f t="shared" si="157"/>
        <v>1.1507936507936509E-2</v>
      </c>
    </row>
    <row r="1382" spans="1:23" hidden="1" x14ac:dyDescent="0.55000000000000004">
      <c r="A1382" s="76" t="str">
        <f t="shared" ref="A1382:A1393" si="164">A1381</f>
        <v>RCP-SMC-000088</v>
      </c>
      <c r="B1382" s="58" t="s">
        <v>35</v>
      </c>
      <c r="C1382" s="58" t="s">
        <v>10</v>
      </c>
      <c r="D1382" s="76" t="str">
        <f t="shared" ref="D1382:D1393" si="165">D1381</f>
        <v>Beef Oats Soup with Tomato</v>
      </c>
      <c r="E1382" s="76" t="s">
        <v>1432</v>
      </c>
      <c r="F1382" s="76" t="s">
        <v>2079</v>
      </c>
      <c r="G1382" s="94" t="s">
        <v>1779</v>
      </c>
      <c r="H1382" s="107" t="s">
        <v>1774</v>
      </c>
      <c r="I1382" s="76"/>
      <c r="J1382" s="76"/>
      <c r="K1382" s="58" t="str">
        <f>IFERROR(VLOOKUP(L1382,'Raw material list'!$A$3:$C$715,3,0),"")</f>
        <v>PRD1-572</v>
      </c>
      <c r="L1382" s="59" t="s">
        <v>54</v>
      </c>
      <c r="M1382" s="80" t="s">
        <v>156</v>
      </c>
      <c r="N1382" s="40" t="str">
        <f>VLOOKUP(L1382,'Raw material list'!$A$3:$E$715,5,0)</f>
        <v xml:space="preserve">Gram </v>
      </c>
      <c r="O1382" s="80">
        <v>200</v>
      </c>
      <c r="P1382" s="299">
        <f t="shared" si="155"/>
        <v>226.67170381564031</v>
      </c>
      <c r="Q1382" s="105">
        <v>88.233333333333348</v>
      </c>
      <c r="R1382" s="80">
        <v>14</v>
      </c>
      <c r="S1382" s="80"/>
      <c r="T1382" s="105">
        <f t="shared" si="148"/>
        <v>14.285714285714286</v>
      </c>
      <c r="U1382" s="105">
        <f t="shared" si="156"/>
        <v>16.190835986831452</v>
      </c>
      <c r="V1382" s="104">
        <f>IFERROR(VLOOKUP(L1382,'Raw material list'!$A$2:$S$3102,6,0),0)</f>
        <v>4.5351473922902496E-3</v>
      </c>
      <c r="W1382" s="104">
        <f t="shared" si="157"/>
        <v>7.3427827604677795E-2</v>
      </c>
    </row>
    <row r="1383" spans="1:23" hidden="1" x14ac:dyDescent="0.55000000000000004">
      <c r="A1383" s="76" t="str">
        <f t="shared" si="164"/>
        <v>RCP-SMC-000088</v>
      </c>
      <c r="B1383" s="58" t="s">
        <v>35</v>
      </c>
      <c r="C1383" s="58" t="s">
        <v>10</v>
      </c>
      <c r="D1383" s="76" t="str">
        <f t="shared" si="165"/>
        <v>Beef Oats Soup with Tomato</v>
      </c>
      <c r="E1383" s="76" t="s">
        <v>1432</v>
      </c>
      <c r="F1383" s="76" t="s">
        <v>2079</v>
      </c>
      <c r="G1383" s="94" t="s">
        <v>1779</v>
      </c>
      <c r="H1383" s="107" t="s">
        <v>1774</v>
      </c>
      <c r="I1383" s="76"/>
      <c r="J1383" s="76"/>
      <c r="K1383" s="58" t="str">
        <f>IFERROR(VLOOKUP(L1383,'Raw material list'!$A$3:$C$715,3,0),"")</f>
        <v>PRD1-4265</v>
      </c>
      <c r="L1383" s="59" t="s">
        <v>38</v>
      </c>
      <c r="M1383" s="80" t="s">
        <v>156</v>
      </c>
      <c r="N1383" s="40" t="str">
        <f>VLOOKUP(L1383,'Raw material list'!$A$3:$E$715,5,0)</f>
        <v xml:space="preserve">Gram </v>
      </c>
      <c r="O1383" s="80">
        <v>150</v>
      </c>
      <c r="P1383" s="299">
        <f t="shared" si="155"/>
        <v>176.47058823529412</v>
      </c>
      <c r="Q1383" s="105">
        <v>85</v>
      </c>
      <c r="R1383" s="80">
        <v>14</v>
      </c>
      <c r="S1383" s="80"/>
      <c r="T1383" s="105">
        <f t="shared" si="148"/>
        <v>10.714285714285714</v>
      </c>
      <c r="U1383" s="105">
        <f t="shared" si="156"/>
        <v>12.605042016806722</v>
      </c>
      <c r="V1383" s="104">
        <f>IFERROR(VLOOKUP(L1383,'Raw material list'!$A$2:$S$3102,6,0),0)</f>
        <v>3.529411764705882E-3</v>
      </c>
      <c r="W1383" s="104">
        <f t="shared" si="157"/>
        <v>4.4488383588729606E-2</v>
      </c>
    </row>
    <row r="1384" spans="1:23" hidden="1" x14ac:dyDescent="0.55000000000000004">
      <c r="A1384" s="76" t="str">
        <f t="shared" si="164"/>
        <v>RCP-SMC-000088</v>
      </c>
      <c r="B1384" s="58" t="s">
        <v>35</v>
      </c>
      <c r="C1384" s="58" t="s">
        <v>10</v>
      </c>
      <c r="D1384" s="76" t="str">
        <f t="shared" si="165"/>
        <v>Beef Oats Soup with Tomato</v>
      </c>
      <c r="E1384" s="76" t="s">
        <v>1432</v>
      </c>
      <c r="F1384" s="76" t="s">
        <v>2079</v>
      </c>
      <c r="G1384" s="94" t="s">
        <v>1779</v>
      </c>
      <c r="H1384" s="107" t="s">
        <v>1774</v>
      </c>
      <c r="I1384" s="76"/>
      <c r="J1384" s="76"/>
      <c r="K1384" s="58" t="str">
        <f>IFERROR(VLOOKUP(L1384,'Raw material list'!$A$3:$C$715,3,0),"")</f>
        <v>PRD1-4327</v>
      </c>
      <c r="L1384" s="59" t="s">
        <v>39</v>
      </c>
      <c r="M1384" s="80" t="s">
        <v>156</v>
      </c>
      <c r="N1384" s="40" t="str">
        <f>VLOOKUP(L1384,'Raw material list'!$A$3:$E$715,5,0)</f>
        <v xml:space="preserve">Gram </v>
      </c>
      <c r="O1384" s="80">
        <v>20</v>
      </c>
      <c r="P1384" s="299">
        <f t="shared" si="155"/>
        <v>24.096385542168676</v>
      </c>
      <c r="Q1384" s="105">
        <v>83</v>
      </c>
      <c r="R1384" s="80">
        <v>14</v>
      </c>
      <c r="S1384" s="80"/>
      <c r="T1384" s="105">
        <f t="shared" si="148"/>
        <v>1.4285714285714286</v>
      </c>
      <c r="U1384" s="105">
        <f t="shared" si="156"/>
        <v>1.7211703958691911</v>
      </c>
      <c r="V1384" s="104">
        <f>IFERROR(VLOOKUP(L1384,'Raw material list'!$A$2:$S$3102,6,0),0)</f>
        <v>1.2999999999999999E-2</v>
      </c>
      <c r="W1384" s="104">
        <f t="shared" si="157"/>
        <v>2.2375215146299483E-2</v>
      </c>
    </row>
    <row r="1385" spans="1:23" hidden="1" x14ac:dyDescent="0.55000000000000004">
      <c r="A1385" s="76" t="str">
        <f t="shared" si="164"/>
        <v>RCP-SMC-000088</v>
      </c>
      <c r="B1385" s="58" t="s">
        <v>35</v>
      </c>
      <c r="C1385" s="58" t="s">
        <v>10</v>
      </c>
      <c r="D1385" s="76" t="str">
        <f t="shared" si="165"/>
        <v>Beef Oats Soup with Tomato</v>
      </c>
      <c r="E1385" s="76" t="s">
        <v>1432</v>
      </c>
      <c r="F1385" s="264" t="s">
        <v>2078</v>
      </c>
      <c r="G1385" s="94" t="s">
        <v>1779</v>
      </c>
      <c r="H1385" s="107" t="s">
        <v>1774</v>
      </c>
      <c r="I1385" s="76"/>
      <c r="J1385" s="76"/>
      <c r="K1385" s="58" t="str">
        <f>IFERROR(VLOOKUP(L1385,'Raw material list'!$A$3:$C$715,3,0),"")</f>
        <v>MET2-585</v>
      </c>
      <c r="L1385" s="59" t="s">
        <v>53</v>
      </c>
      <c r="M1385" s="80" t="s">
        <v>156</v>
      </c>
      <c r="N1385" s="40" t="str">
        <f>VLOOKUP(L1385,'Raw material list'!$A$3:$E$715,5,0)</f>
        <v xml:space="preserve">Gram </v>
      </c>
      <c r="O1385" s="80">
        <v>300</v>
      </c>
      <c r="P1385" s="299">
        <f t="shared" si="155"/>
        <v>346.42032332563514</v>
      </c>
      <c r="Q1385" s="303">
        <v>86.6</v>
      </c>
      <c r="R1385" s="80">
        <v>14</v>
      </c>
      <c r="S1385" s="80"/>
      <c r="T1385" s="105">
        <f t="shared" si="148"/>
        <v>21.428571428571427</v>
      </c>
      <c r="U1385" s="105">
        <f t="shared" si="156"/>
        <v>24.744308808973937</v>
      </c>
      <c r="V1385" s="104">
        <f>IFERROR(VLOOKUP(L1385,'Raw material list'!$A$2:$S$3102,6,0),0)</f>
        <v>4.2630057803468215E-2</v>
      </c>
      <c r="W1385" s="104">
        <f t="shared" si="157"/>
        <v>1.0548513148334266</v>
      </c>
    </row>
    <row r="1386" spans="1:23" hidden="1" x14ac:dyDescent="0.55000000000000004">
      <c r="A1386" s="76" t="str">
        <f t="shared" si="164"/>
        <v>RCP-SMC-000088</v>
      </c>
      <c r="B1386" s="58" t="s">
        <v>35</v>
      </c>
      <c r="C1386" s="58" t="s">
        <v>10</v>
      </c>
      <c r="D1386" s="76" t="str">
        <f t="shared" si="165"/>
        <v>Beef Oats Soup with Tomato</v>
      </c>
      <c r="E1386" s="76" t="s">
        <v>1432</v>
      </c>
      <c r="F1386" s="76" t="s">
        <v>2079</v>
      </c>
      <c r="G1386" s="94" t="s">
        <v>1779</v>
      </c>
      <c r="H1386" s="107" t="s">
        <v>1774</v>
      </c>
      <c r="I1386" s="76"/>
      <c r="J1386" s="76"/>
      <c r="K1386" s="58" t="str">
        <f>IFERROR(VLOOKUP(L1386,'Raw material list'!$A$3:$C$715,3,0),"")</f>
        <v>DRS6-537</v>
      </c>
      <c r="L1386" s="59" t="s">
        <v>46</v>
      </c>
      <c r="M1386" s="80" t="s">
        <v>156</v>
      </c>
      <c r="N1386" s="40" t="str">
        <f>VLOOKUP(L1386,'Raw material list'!$A$3:$E$715,5,0)</f>
        <v xml:space="preserve">Gram </v>
      </c>
      <c r="O1386" s="80">
        <v>1</v>
      </c>
      <c r="P1386" s="299">
        <f t="shared" si="155"/>
        <v>1</v>
      </c>
      <c r="Q1386" s="80">
        <v>100</v>
      </c>
      <c r="R1386" s="80">
        <v>14</v>
      </c>
      <c r="S1386" s="80"/>
      <c r="T1386" s="105">
        <f t="shared" si="148"/>
        <v>7.1428571428571425E-2</v>
      </c>
      <c r="U1386" s="105">
        <f t="shared" si="156"/>
        <v>7.1428571428571425E-2</v>
      </c>
      <c r="V1386" s="104">
        <f>IFERROR(VLOOKUP(L1386,'Raw material list'!$A$2:$S$3102,6,0),0)</f>
        <v>3.5000000000000003E-2</v>
      </c>
      <c r="W1386" s="104">
        <f t="shared" si="157"/>
        <v>2.5000000000000001E-3</v>
      </c>
    </row>
    <row r="1387" spans="1:23" hidden="1" x14ac:dyDescent="0.55000000000000004">
      <c r="A1387" s="76" t="str">
        <f t="shared" si="164"/>
        <v>RCP-SMC-000088</v>
      </c>
      <c r="B1387" s="58" t="s">
        <v>35</v>
      </c>
      <c r="C1387" s="58" t="s">
        <v>10</v>
      </c>
      <c r="D1387" s="76" t="str">
        <f t="shared" si="165"/>
        <v>Beef Oats Soup with Tomato</v>
      </c>
      <c r="E1387" s="76" t="s">
        <v>1432</v>
      </c>
      <c r="F1387" s="76" t="s">
        <v>2079</v>
      </c>
      <c r="G1387" s="94" t="s">
        <v>1779</v>
      </c>
      <c r="H1387" s="107" t="s">
        <v>1774</v>
      </c>
      <c r="I1387" s="76"/>
      <c r="J1387" s="76"/>
      <c r="K1387" s="58" t="str">
        <f>IFERROR(VLOOKUP(L1387,'Raw material list'!$A$3:$C$715,3,0),"")</f>
        <v>DRS6-733</v>
      </c>
      <c r="L1387" s="59" t="s">
        <v>45</v>
      </c>
      <c r="M1387" s="80" t="s">
        <v>156</v>
      </c>
      <c r="N1387" s="40" t="str">
        <f>VLOOKUP(L1387,'Raw material list'!$A$3:$E$715,5,0)</f>
        <v xml:space="preserve">Gram </v>
      </c>
      <c r="O1387" s="80">
        <v>2</v>
      </c>
      <c r="P1387" s="299">
        <f t="shared" si="155"/>
        <v>2</v>
      </c>
      <c r="Q1387" s="80">
        <v>100</v>
      </c>
      <c r="R1387" s="80">
        <v>14</v>
      </c>
      <c r="S1387" s="80"/>
      <c r="T1387" s="105">
        <f t="shared" si="148"/>
        <v>0.14285714285714285</v>
      </c>
      <c r="U1387" s="105">
        <f t="shared" si="156"/>
        <v>0.14285714285714285</v>
      </c>
      <c r="V1387" s="104">
        <f>IFERROR(VLOOKUP(L1387,'Raw material list'!$A$2:$S$3102,6,0),0)</f>
        <v>2.8000000000000001E-2</v>
      </c>
      <c r="W1387" s="104">
        <f t="shared" si="157"/>
        <v>4.0000000000000001E-3</v>
      </c>
    </row>
    <row r="1388" spans="1:23" hidden="1" x14ac:dyDescent="0.55000000000000004">
      <c r="A1388" s="76" t="str">
        <f t="shared" si="164"/>
        <v>RCP-SMC-000088</v>
      </c>
      <c r="B1388" s="58" t="s">
        <v>35</v>
      </c>
      <c r="C1388" s="58" t="s">
        <v>10</v>
      </c>
      <c r="D1388" s="76" t="str">
        <f t="shared" si="165"/>
        <v>Beef Oats Soup with Tomato</v>
      </c>
      <c r="E1388" s="76" t="s">
        <v>1432</v>
      </c>
      <c r="F1388" s="76" t="s">
        <v>2079</v>
      </c>
      <c r="G1388" s="94" t="s">
        <v>1779</v>
      </c>
      <c r="H1388" s="107" t="s">
        <v>1774</v>
      </c>
      <c r="I1388" s="76"/>
      <c r="J1388" s="76"/>
      <c r="K1388" s="58" t="str">
        <f>IFERROR(VLOOKUP(L1388,'Raw material list'!$A$3:$C$715,3,0),"")</f>
        <v>DRS1-1747</v>
      </c>
      <c r="L1388" s="59" t="s">
        <v>44</v>
      </c>
      <c r="M1388" s="80" t="s">
        <v>156</v>
      </c>
      <c r="N1388" s="40" t="str">
        <f>VLOOKUP(L1388,'Raw material list'!$A$3:$E$715,5,0)</f>
        <v xml:space="preserve">Gram </v>
      </c>
      <c r="O1388" s="80">
        <v>80</v>
      </c>
      <c r="P1388" s="299">
        <f t="shared" si="155"/>
        <v>80</v>
      </c>
      <c r="Q1388" s="80">
        <v>100</v>
      </c>
      <c r="R1388" s="80">
        <v>14</v>
      </c>
      <c r="S1388" s="80"/>
      <c r="T1388" s="105">
        <f t="shared" si="148"/>
        <v>5.7142857142857144</v>
      </c>
      <c r="U1388" s="105">
        <f t="shared" si="156"/>
        <v>5.7142857142857144</v>
      </c>
      <c r="V1388" s="104">
        <f>IFERROR(VLOOKUP(L1388,'Raw material list'!$A$2:$S$3102,6,0),0)</f>
        <v>5.185185185185185E-3</v>
      </c>
      <c r="W1388" s="104">
        <f t="shared" si="157"/>
        <v>2.9629629629629631E-2</v>
      </c>
    </row>
    <row r="1389" spans="1:23" hidden="1" x14ac:dyDescent="0.55000000000000004">
      <c r="A1389" s="76" t="str">
        <f t="shared" si="164"/>
        <v>RCP-SMC-000088</v>
      </c>
      <c r="B1389" s="58" t="s">
        <v>35</v>
      </c>
      <c r="C1389" s="58" t="s">
        <v>10</v>
      </c>
      <c r="D1389" s="76" t="str">
        <f t="shared" si="165"/>
        <v>Beef Oats Soup with Tomato</v>
      </c>
      <c r="E1389" s="76" t="s">
        <v>1432</v>
      </c>
      <c r="F1389" s="76" t="s">
        <v>2079</v>
      </c>
      <c r="G1389" s="94" t="s">
        <v>1779</v>
      </c>
      <c r="H1389" s="107" t="s">
        <v>1774</v>
      </c>
      <c r="I1389" s="76"/>
      <c r="J1389" s="76"/>
      <c r="K1389" s="58" t="str">
        <f>IFERROR(VLOOKUP(L1389,'Raw material list'!$A$3:$C$715,3,0),"")</f>
        <v>TAP-00001</v>
      </c>
      <c r="L1389" s="59" t="s">
        <v>1405</v>
      </c>
      <c r="M1389" s="80" t="s">
        <v>206</v>
      </c>
      <c r="N1389" s="40" t="str">
        <f>VLOOKUP(L1389,'Raw material list'!$A$3:$E$715,5,0)</f>
        <v>Ml</v>
      </c>
      <c r="O1389" s="80">
        <v>2100</v>
      </c>
      <c r="P1389" s="299">
        <f t="shared" si="155"/>
        <v>2100</v>
      </c>
      <c r="Q1389" s="80">
        <v>100</v>
      </c>
      <c r="R1389" s="80">
        <v>14</v>
      </c>
      <c r="S1389" s="80"/>
      <c r="T1389" s="105">
        <f t="shared" si="148"/>
        <v>150</v>
      </c>
      <c r="U1389" s="105">
        <f t="shared" si="156"/>
        <v>150</v>
      </c>
      <c r="V1389" s="104">
        <f>IFERROR(VLOOKUP(L1389,'Raw material list'!$A$2:$S$3102,6,0),0)</f>
        <v>8.0000000000000007E-5</v>
      </c>
      <c r="W1389" s="104">
        <f t="shared" si="157"/>
        <v>1.2E-2</v>
      </c>
    </row>
    <row r="1390" spans="1:23" hidden="1" x14ac:dyDescent="0.55000000000000004">
      <c r="A1390" s="76" t="str">
        <f t="shared" si="164"/>
        <v>RCP-SMC-000088</v>
      </c>
      <c r="B1390" s="58" t="s">
        <v>35</v>
      </c>
      <c r="C1390" s="58" t="s">
        <v>10</v>
      </c>
      <c r="D1390" s="76" t="str">
        <f t="shared" si="165"/>
        <v>Beef Oats Soup with Tomato</v>
      </c>
      <c r="E1390" s="76" t="s">
        <v>1432</v>
      </c>
      <c r="F1390" s="76" t="s">
        <v>2079</v>
      </c>
      <c r="G1390" s="94" t="s">
        <v>1779</v>
      </c>
      <c r="H1390" s="107" t="s">
        <v>1774</v>
      </c>
      <c r="I1390" s="76"/>
      <c r="J1390" s="76"/>
      <c r="K1390" s="58" t="str">
        <f>IFERROR(VLOOKUP(L1390,'Raw material list'!$A$3:$C$715,3,0),"")</f>
        <v>PRD1-227</v>
      </c>
      <c r="L1390" s="59" t="s">
        <v>1038</v>
      </c>
      <c r="M1390" s="80" t="s">
        <v>156</v>
      </c>
      <c r="N1390" s="40" t="str">
        <f>VLOOKUP(L1390,'Raw material list'!$A$3:$E$715,5,0)</f>
        <v xml:space="preserve">Gram </v>
      </c>
      <c r="O1390" s="80">
        <v>5</v>
      </c>
      <c r="P1390" s="299">
        <f t="shared" si="155"/>
        <v>14.423076923076922</v>
      </c>
      <c r="Q1390" s="105">
        <v>34.666666666666671</v>
      </c>
      <c r="R1390" s="80">
        <v>14</v>
      </c>
      <c r="S1390" s="80"/>
      <c r="T1390" s="105">
        <f t="shared" si="148"/>
        <v>0.35714285714285715</v>
      </c>
      <c r="U1390" s="105">
        <f t="shared" si="156"/>
        <v>1.0302197802197801</v>
      </c>
      <c r="V1390" s="104">
        <f>IFERROR(VLOOKUP(L1390,'Raw material list'!$A$2:$S$3102,6,0),0)</f>
        <v>1.5850144092219021E-2</v>
      </c>
      <c r="W1390" s="104">
        <f t="shared" si="157"/>
        <v>1.6329131963137726E-2</v>
      </c>
    </row>
    <row r="1391" spans="1:23" hidden="1" x14ac:dyDescent="0.55000000000000004">
      <c r="A1391" s="76" t="str">
        <f t="shared" si="164"/>
        <v>RCP-SMC-000088</v>
      </c>
      <c r="B1391" s="58" t="s">
        <v>35</v>
      </c>
      <c r="C1391" s="58" t="s">
        <v>10</v>
      </c>
      <c r="D1391" s="76" t="str">
        <f t="shared" si="165"/>
        <v>Beef Oats Soup with Tomato</v>
      </c>
      <c r="E1391" s="76" t="s">
        <v>1432</v>
      </c>
      <c r="F1391" s="76" t="s">
        <v>2079</v>
      </c>
      <c r="G1391" s="94" t="s">
        <v>1779</v>
      </c>
      <c r="H1391" s="107" t="s">
        <v>1774</v>
      </c>
      <c r="I1391" s="76"/>
      <c r="J1391" s="76"/>
      <c r="K1391" s="58" t="str">
        <f>IFERROR(VLOOKUP(L1391,'Raw material list'!$A$3:$C$715,3,0),"")</f>
        <v>DRS1-4809</v>
      </c>
      <c r="L1391" s="59" t="s">
        <v>298</v>
      </c>
      <c r="M1391" s="80" t="s">
        <v>156</v>
      </c>
      <c r="N1391" s="40" t="str">
        <f>VLOOKUP(L1391,'Raw material list'!$A$3:$E$715,5,0)</f>
        <v xml:space="preserve">Gram </v>
      </c>
      <c r="O1391" s="80">
        <v>75</v>
      </c>
      <c r="P1391" s="299">
        <f t="shared" si="155"/>
        <v>75</v>
      </c>
      <c r="Q1391" s="303">
        <v>100</v>
      </c>
      <c r="R1391" s="80">
        <v>14</v>
      </c>
      <c r="S1391" s="80"/>
      <c r="T1391" s="105">
        <f t="shared" si="148"/>
        <v>5.3571428571428568</v>
      </c>
      <c r="U1391" s="105">
        <f t="shared" si="156"/>
        <v>5.3571428571428568</v>
      </c>
      <c r="V1391" s="104">
        <f>IFERROR(VLOOKUP(L1391,'Raw material list'!$A$2:$S$3102,6,0),0)</f>
        <v>1.1577777777777777E-2</v>
      </c>
      <c r="W1391" s="104">
        <f t="shared" si="157"/>
        <v>6.2023809523809516E-2</v>
      </c>
    </row>
    <row r="1392" spans="1:23" hidden="1" x14ac:dyDescent="0.55000000000000004">
      <c r="A1392" s="76" t="str">
        <f t="shared" si="164"/>
        <v>RCP-SMC-000088</v>
      </c>
      <c r="B1392" s="58" t="s">
        <v>35</v>
      </c>
      <c r="C1392" s="58" t="s">
        <v>10</v>
      </c>
      <c r="D1392" s="76" t="str">
        <f t="shared" si="165"/>
        <v>Beef Oats Soup with Tomato</v>
      </c>
      <c r="E1392" s="76" t="s">
        <v>1432</v>
      </c>
      <c r="F1392" s="76" t="s">
        <v>2079</v>
      </c>
      <c r="G1392" s="94" t="s">
        <v>1779</v>
      </c>
      <c r="H1392" s="107" t="s">
        <v>1774</v>
      </c>
      <c r="I1392" s="76"/>
      <c r="J1392" s="76"/>
      <c r="K1392" s="58" t="str">
        <f>IFERROR(VLOOKUP(L1392,'Raw material list'!$A$3:$C$715,3,0),"")</f>
        <v>DRS1-3813</v>
      </c>
      <c r="L1392" s="59" t="s">
        <v>67</v>
      </c>
      <c r="M1392" s="80" t="s">
        <v>156</v>
      </c>
      <c r="N1392" s="40" t="str">
        <f>VLOOKUP(L1392,'Raw material list'!$A$3:$E$715,5,0)</f>
        <v xml:space="preserve">Gram </v>
      </c>
      <c r="O1392" s="80">
        <v>10</v>
      </c>
      <c r="P1392" s="299">
        <f t="shared" si="155"/>
        <v>10</v>
      </c>
      <c r="Q1392" s="80">
        <v>100</v>
      </c>
      <c r="R1392" s="80">
        <v>14</v>
      </c>
      <c r="S1392" s="80"/>
      <c r="T1392" s="105">
        <f t="shared" si="148"/>
        <v>0.7142857142857143</v>
      </c>
      <c r="U1392" s="105">
        <f t="shared" si="156"/>
        <v>0.7142857142857143</v>
      </c>
      <c r="V1392" s="104">
        <f>IFERROR(VLOOKUP(L1392,'Raw material list'!$A$2:$S$3102,6,0),0)</f>
        <v>4.4441666666666664E-2</v>
      </c>
      <c r="W1392" s="104">
        <f t="shared" si="157"/>
        <v>3.1744047619047616E-2</v>
      </c>
    </row>
    <row r="1393" spans="1:23" hidden="1" x14ac:dyDescent="0.55000000000000004">
      <c r="A1393" s="76" t="str">
        <f t="shared" si="164"/>
        <v>RCP-SMC-000088</v>
      </c>
      <c r="B1393" s="58" t="s">
        <v>35</v>
      </c>
      <c r="C1393" s="58" t="s">
        <v>10</v>
      </c>
      <c r="D1393" s="76" t="str">
        <f t="shared" si="165"/>
        <v>Beef Oats Soup with Tomato</v>
      </c>
      <c r="E1393" s="76" t="s">
        <v>1432</v>
      </c>
      <c r="F1393" s="76" t="s">
        <v>2079</v>
      </c>
      <c r="G1393" s="94" t="s">
        <v>1779</v>
      </c>
      <c r="H1393" s="107" t="s">
        <v>1774</v>
      </c>
      <c r="I1393" s="76"/>
      <c r="J1393" s="76"/>
      <c r="K1393" s="58" t="str">
        <f>IFERROR(VLOOKUP(L1393,'Raw material list'!$A$3:$C$715,3,0),"")</f>
        <v>DRS1-3880</v>
      </c>
      <c r="L1393" s="59" t="s">
        <v>1433</v>
      </c>
      <c r="M1393" s="80" t="s">
        <v>156</v>
      </c>
      <c r="N1393" s="40" t="str">
        <f>VLOOKUP(L1393,'Raw material list'!$A$3:$E$715,5,0)</f>
        <v xml:space="preserve">Gram </v>
      </c>
      <c r="O1393" s="80">
        <v>5</v>
      </c>
      <c r="P1393" s="299">
        <f t="shared" si="155"/>
        <v>5</v>
      </c>
      <c r="Q1393" s="80">
        <v>100</v>
      </c>
      <c r="R1393" s="80">
        <v>14</v>
      </c>
      <c r="S1393" s="80"/>
      <c r="T1393" s="105">
        <f t="shared" si="148"/>
        <v>0.35714285714285715</v>
      </c>
      <c r="U1393" s="105">
        <f t="shared" si="156"/>
        <v>0.35714285714285715</v>
      </c>
      <c r="V1393" s="104">
        <f>IFERROR(VLOOKUP(L1393,'Raw material list'!$A$2:$S$3102,6,0),0)</f>
        <v>5.0000000000000001E-4</v>
      </c>
      <c r="W1393" s="104">
        <f t="shared" si="157"/>
        <v>1.7857142857142857E-4</v>
      </c>
    </row>
    <row r="1394" spans="1:23" hidden="1" x14ac:dyDescent="0.55000000000000004">
      <c r="A1394" s="76" t="s">
        <v>1645</v>
      </c>
      <c r="B1394" s="58" t="s">
        <v>35</v>
      </c>
      <c r="C1394" s="58" t="s">
        <v>10</v>
      </c>
      <c r="D1394" s="76" t="s">
        <v>1615</v>
      </c>
      <c r="E1394" s="76" t="s">
        <v>1432</v>
      </c>
      <c r="F1394" s="76" t="s">
        <v>2079</v>
      </c>
      <c r="G1394" s="94" t="s">
        <v>1779</v>
      </c>
      <c r="H1394" s="107" t="s">
        <v>1774</v>
      </c>
      <c r="I1394" s="76"/>
      <c r="J1394" s="76"/>
      <c r="K1394" s="58" t="str">
        <f>IFERROR(VLOOKUP(L1394,'Raw material list'!$A$3:$C$715,3,0),"")</f>
        <v>PRD1-223</v>
      </c>
      <c r="L1394" s="59" t="s">
        <v>71</v>
      </c>
      <c r="M1394" s="80" t="s">
        <v>156</v>
      </c>
      <c r="N1394" s="40" t="str">
        <f>VLOOKUP(L1394,'Raw material list'!$A$3:$E$715,5,0)</f>
        <v xml:space="preserve">Gram </v>
      </c>
      <c r="O1394" s="80">
        <v>200</v>
      </c>
      <c r="P1394" s="299">
        <f t="shared" si="155"/>
        <v>211.26760563380282</v>
      </c>
      <c r="Q1394" s="105">
        <v>94.666666666666671</v>
      </c>
      <c r="R1394" s="80">
        <v>14</v>
      </c>
      <c r="S1394" s="80" t="s">
        <v>1616</v>
      </c>
      <c r="T1394" s="105">
        <f t="shared" si="148"/>
        <v>14.285714285714286</v>
      </c>
      <c r="U1394" s="105">
        <f t="shared" si="156"/>
        <v>15.090543259557345</v>
      </c>
      <c r="V1394" s="104">
        <f>IFERROR(VLOOKUP(L1394,'Raw material list'!$A$2:$S$3102,6,0),0)</f>
        <v>2.3231256599788808E-2</v>
      </c>
      <c r="W1394" s="104">
        <f t="shared" si="157"/>
        <v>0.35057228269299007</v>
      </c>
    </row>
    <row r="1395" spans="1:23" hidden="1" x14ac:dyDescent="0.55000000000000004">
      <c r="A1395" s="76" t="str">
        <f t="shared" ref="A1395:A1406" si="166">A1394</f>
        <v>RCP-SMC-000089</v>
      </c>
      <c r="B1395" s="58" t="s">
        <v>35</v>
      </c>
      <c r="C1395" s="58" t="s">
        <v>10</v>
      </c>
      <c r="D1395" s="76" t="str">
        <f t="shared" ref="D1395:D1406" si="167">D1394</f>
        <v>Strained Creme of mushroom(soup)</v>
      </c>
      <c r="E1395" s="76" t="s">
        <v>1432</v>
      </c>
      <c r="F1395" s="76" t="s">
        <v>2079</v>
      </c>
      <c r="G1395" s="94" t="s">
        <v>1779</v>
      </c>
      <c r="H1395" s="107" t="s">
        <v>1774</v>
      </c>
      <c r="I1395" s="76"/>
      <c r="J1395" s="76"/>
      <c r="K1395" s="58" t="str">
        <f>IFERROR(VLOOKUP(L1395,'Raw material list'!$A$3:$C$715,3,0),"")</f>
        <v>DRY2-1008</v>
      </c>
      <c r="L1395" s="59" t="s">
        <v>57</v>
      </c>
      <c r="M1395" s="80" t="s">
        <v>156</v>
      </c>
      <c r="N1395" s="40" t="str">
        <f>VLOOKUP(L1395,'Raw material list'!$A$3:$E$715,5,0)</f>
        <v xml:space="preserve">Gram </v>
      </c>
      <c r="O1395" s="80">
        <v>30</v>
      </c>
      <c r="P1395" s="299">
        <f t="shared" si="155"/>
        <v>30</v>
      </c>
      <c r="Q1395" s="303">
        <v>100</v>
      </c>
      <c r="R1395" s="80">
        <v>14</v>
      </c>
      <c r="S1395" s="80"/>
      <c r="T1395" s="105">
        <f t="shared" si="148"/>
        <v>2.1428571428571428</v>
      </c>
      <c r="U1395" s="105">
        <f t="shared" si="156"/>
        <v>2.1428571428571428</v>
      </c>
      <c r="V1395" s="104">
        <f>IFERROR(VLOOKUP(L1395,'Raw material list'!$A$2:$S$3102,6,0),0)</f>
        <v>0.03</v>
      </c>
      <c r="W1395" s="104">
        <f t="shared" si="157"/>
        <v>6.4285714285714279E-2</v>
      </c>
    </row>
    <row r="1396" spans="1:23" hidden="1" x14ac:dyDescent="0.55000000000000004">
      <c r="A1396" s="76" t="str">
        <f t="shared" si="166"/>
        <v>RCP-SMC-000089</v>
      </c>
      <c r="B1396" s="58" t="s">
        <v>35</v>
      </c>
      <c r="C1396" s="58" t="s">
        <v>10</v>
      </c>
      <c r="D1396" s="76" t="str">
        <f t="shared" si="167"/>
        <v>Strained Creme of mushroom(soup)</v>
      </c>
      <c r="E1396" s="76" t="s">
        <v>1432</v>
      </c>
      <c r="F1396" s="76" t="s">
        <v>2079</v>
      </c>
      <c r="G1396" s="94" t="s">
        <v>1779</v>
      </c>
      <c r="H1396" s="107" t="s">
        <v>1774</v>
      </c>
      <c r="I1396" s="76"/>
      <c r="J1396" s="76"/>
      <c r="K1396" s="58" t="str">
        <f>IFERROR(VLOOKUP(L1396,'Raw material list'!$A$3:$C$715,3,0),"")</f>
        <v>PRD1-4265</v>
      </c>
      <c r="L1396" s="59" t="s">
        <v>38</v>
      </c>
      <c r="M1396" s="80" t="s">
        <v>156</v>
      </c>
      <c r="N1396" s="40" t="str">
        <f>VLOOKUP(L1396,'Raw material list'!$A$3:$E$715,5,0)</f>
        <v xml:space="preserve">Gram </v>
      </c>
      <c r="O1396" s="80">
        <v>80</v>
      </c>
      <c r="P1396" s="299">
        <f t="shared" si="155"/>
        <v>94.117647058823522</v>
      </c>
      <c r="Q1396" s="105">
        <v>85</v>
      </c>
      <c r="R1396" s="80">
        <v>14</v>
      </c>
      <c r="S1396" s="80"/>
      <c r="T1396" s="105">
        <f t="shared" si="148"/>
        <v>5.7142857142857144</v>
      </c>
      <c r="U1396" s="105">
        <f t="shared" si="156"/>
        <v>6.7226890756302513</v>
      </c>
      <c r="V1396" s="104">
        <f>IFERROR(VLOOKUP(L1396,'Raw material list'!$A$2:$S$3102,6,0),0)</f>
        <v>3.529411764705882E-3</v>
      </c>
      <c r="W1396" s="104">
        <f t="shared" si="157"/>
        <v>2.3727137913989119E-2</v>
      </c>
    </row>
    <row r="1397" spans="1:23" hidden="1" x14ac:dyDescent="0.55000000000000004">
      <c r="A1397" s="76" t="str">
        <f t="shared" si="166"/>
        <v>RCP-SMC-000089</v>
      </c>
      <c r="B1397" s="58" t="s">
        <v>35</v>
      </c>
      <c r="C1397" s="58" t="s">
        <v>10</v>
      </c>
      <c r="D1397" s="76" t="str">
        <f t="shared" si="167"/>
        <v>Strained Creme of mushroom(soup)</v>
      </c>
      <c r="E1397" s="76" t="s">
        <v>1432</v>
      </c>
      <c r="F1397" s="76" t="s">
        <v>2079</v>
      </c>
      <c r="G1397" s="94" t="s">
        <v>1779</v>
      </c>
      <c r="H1397" s="107" t="s">
        <v>1774</v>
      </c>
      <c r="I1397" s="76"/>
      <c r="J1397" s="76"/>
      <c r="K1397" s="58" t="str">
        <f>IFERROR(VLOOKUP(L1397,'Raw material list'!$A$3:$C$715,3,0),"")</f>
        <v>PRD1-4327</v>
      </c>
      <c r="L1397" s="59" t="s">
        <v>39</v>
      </c>
      <c r="M1397" s="80" t="s">
        <v>156</v>
      </c>
      <c r="N1397" s="40" t="str">
        <f>VLOOKUP(L1397,'Raw material list'!$A$3:$E$715,5,0)</f>
        <v xml:space="preserve">Gram </v>
      </c>
      <c r="O1397" s="80">
        <v>15</v>
      </c>
      <c r="P1397" s="299">
        <f t="shared" si="155"/>
        <v>18.072289156626507</v>
      </c>
      <c r="Q1397" s="105">
        <v>83</v>
      </c>
      <c r="R1397" s="80">
        <v>14</v>
      </c>
      <c r="S1397" s="80"/>
      <c r="T1397" s="105">
        <f t="shared" si="148"/>
        <v>1.0714285714285714</v>
      </c>
      <c r="U1397" s="105">
        <f t="shared" si="156"/>
        <v>1.2908777969018934</v>
      </c>
      <c r="V1397" s="104">
        <f>IFERROR(VLOOKUP(L1397,'Raw material list'!$A$2:$S$3102,6,0),0)</f>
        <v>1.2999999999999999E-2</v>
      </c>
      <c r="W1397" s="104">
        <f t="shared" si="157"/>
        <v>1.6781411359724614E-2</v>
      </c>
    </row>
    <row r="1398" spans="1:23" hidden="1" x14ac:dyDescent="0.55000000000000004">
      <c r="A1398" s="76" t="str">
        <f t="shared" si="166"/>
        <v>RCP-SMC-000089</v>
      </c>
      <c r="B1398" s="58" t="s">
        <v>35</v>
      </c>
      <c r="C1398" s="58" t="s">
        <v>10</v>
      </c>
      <c r="D1398" s="76" t="str">
        <f t="shared" si="167"/>
        <v>Strained Creme of mushroom(soup)</v>
      </c>
      <c r="E1398" s="76" t="s">
        <v>1432</v>
      </c>
      <c r="F1398" s="76" t="s">
        <v>2079</v>
      </c>
      <c r="G1398" s="94" t="s">
        <v>1779</v>
      </c>
      <c r="H1398" s="107" t="s">
        <v>1774</v>
      </c>
      <c r="I1398" s="76"/>
      <c r="J1398" s="76"/>
      <c r="K1398" s="58" t="str">
        <f>IFERROR(VLOOKUP(L1398,'Raw material list'!$A$3:$C$715,3,0),"")</f>
        <v>DRS6-1570</v>
      </c>
      <c r="L1398" s="59" t="s">
        <v>51</v>
      </c>
      <c r="M1398" s="80" t="s">
        <v>156</v>
      </c>
      <c r="N1398" s="40" t="str">
        <f>VLOOKUP(L1398,'Raw material list'!$A$3:$E$715,5,0)</f>
        <v xml:space="preserve">Gram </v>
      </c>
      <c r="O1398" s="80">
        <v>1</v>
      </c>
      <c r="P1398" s="299">
        <f t="shared" si="155"/>
        <v>1</v>
      </c>
      <c r="Q1398" s="303">
        <v>100</v>
      </c>
      <c r="R1398" s="80">
        <v>14</v>
      </c>
      <c r="S1398" s="80"/>
      <c r="T1398" s="105">
        <f t="shared" ref="T1398:T1461" si="168">IFERROR(O1398/R1398,0)</f>
        <v>7.1428571428571425E-2</v>
      </c>
      <c r="U1398" s="105">
        <f t="shared" si="156"/>
        <v>7.1428571428571425E-2</v>
      </c>
      <c r="V1398" s="104">
        <f>IFERROR(VLOOKUP(L1398,'Raw material list'!$A$2:$S$3102,6,0),0)</f>
        <v>9.3526666666666654E-3</v>
      </c>
      <c r="W1398" s="104">
        <f t="shared" si="157"/>
        <v>6.6804761904761889E-4</v>
      </c>
    </row>
    <row r="1399" spans="1:23" hidden="1" x14ac:dyDescent="0.55000000000000004">
      <c r="A1399" s="76" t="str">
        <f t="shared" si="166"/>
        <v>RCP-SMC-000089</v>
      </c>
      <c r="B1399" s="58" t="s">
        <v>35</v>
      </c>
      <c r="C1399" s="58" t="s">
        <v>10</v>
      </c>
      <c r="D1399" s="76" t="str">
        <f t="shared" si="167"/>
        <v>Strained Creme of mushroom(soup)</v>
      </c>
      <c r="E1399" s="76" t="s">
        <v>1432</v>
      </c>
      <c r="F1399" s="76" t="s">
        <v>2079</v>
      </c>
      <c r="G1399" s="94" t="s">
        <v>1779</v>
      </c>
      <c r="H1399" s="107" t="s">
        <v>1774</v>
      </c>
      <c r="I1399" s="76"/>
      <c r="J1399" s="76"/>
      <c r="K1399" s="58" t="str">
        <f>IFERROR(VLOOKUP(L1399,'Raw material list'!$A$3:$C$715,3,0),"")</f>
        <v>DRS5-40</v>
      </c>
      <c r="L1399" s="59" t="s">
        <v>58</v>
      </c>
      <c r="M1399" s="80" t="s">
        <v>156</v>
      </c>
      <c r="N1399" s="40" t="str">
        <f>VLOOKUP(L1399,'Raw material list'!$A$3:$E$715,5,0)</f>
        <v xml:space="preserve">Gram </v>
      </c>
      <c r="O1399" s="80">
        <v>25</v>
      </c>
      <c r="P1399" s="299">
        <f t="shared" si="155"/>
        <v>25</v>
      </c>
      <c r="Q1399" s="80">
        <v>100</v>
      </c>
      <c r="R1399" s="80">
        <v>14</v>
      </c>
      <c r="S1399" s="80"/>
      <c r="T1399" s="105">
        <f t="shared" si="168"/>
        <v>1.7857142857142858</v>
      </c>
      <c r="U1399" s="105">
        <f t="shared" si="156"/>
        <v>1.7857142857142858</v>
      </c>
      <c r="V1399" s="104">
        <f>IFERROR(VLOOKUP(L1399,'Raw material list'!$A$2:$S$3102,6,0),0)</f>
        <v>7.7777777777777773E-4</v>
      </c>
      <c r="W1399" s="104">
        <f t="shared" si="157"/>
        <v>1.3888888888888889E-3</v>
      </c>
    </row>
    <row r="1400" spans="1:23" hidden="1" x14ac:dyDescent="0.55000000000000004">
      <c r="A1400" s="76" t="str">
        <f t="shared" si="166"/>
        <v>RCP-SMC-000089</v>
      </c>
      <c r="B1400" s="58" t="s">
        <v>35</v>
      </c>
      <c r="C1400" s="58" t="s">
        <v>10</v>
      </c>
      <c r="D1400" s="76" t="str">
        <f t="shared" si="167"/>
        <v>Strained Creme of mushroom(soup)</v>
      </c>
      <c r="E1400" s="76" t="s">
        <v>1432</v>
      </c>
      <c r="F1400" s="76" t="s">
        <v>2079</v>
      </c>
      <c r="G1400" s="94" t="s">
        <v>1779</v>
      </c>
      <c r="H1400" s="107" t="s">
        <v>1774</v>
      </c>
      <c r="I1400" s="76"/>
      <c r="J1400" s="76"/>
      <c r="K1400" s="58" t="str">
        <f>IFERROR(VLOOKUP(L1400,'Raw material list'!$A$3:$C$715,3,0),"")</f>
        <v>TAP-00001</v>
      </c>
      <c r="L1400" s="59" t="s">
        <v>1405</v>
      </c>
      <c r="M1400" s="80" t="s">
        <v>206</v>
      </c>
      <c r="N1400" s="40" t="str">
        <f>VLOOKUP(L1400,'Raw material list'!$A$3:$E$715,5,0)</f>
        <v>Ml</v>
      </c>
      <c r="O1400" s="80">
        <v>2300</v>
      </c>
      <c r="P1400" s="299">
        <f t="shared" si="155"/>
        <v>2300</v>
      </c>
      <c r="Q1400" s="80">
        <v>100</v>
      </c>
      <c r="R1400" s="80">
        <v>14</v>
      </c>
      <c r="S1400" s="80"/>
      <c r="T1400" s="105">
        <f t="shared" si="168"/>
        <v>164.28571428571428</v>
      </c>
      <c r="U1400" s="105">
        <f t="shared" si="156"/>
        <v>164.28571428571428</v>
      </c>
      <c r="V1400" s="104">
        <f>IFERROR(VLOOKUP(L1400,'Raw material list'!$A$2:$S$3102,6,0),0)</f>
        <v>8.0000000000000007E-5</v>
      </c>
      <c r="W1400" s="104">
        <f t="shared" si="157"/>
        <v>1.3142857142857144E-2</v>
      </c>
    </row>
    <row r="1401" spans="1:23" hidden="1" x14ac:dyDescent="0.55000000000000004">
      <c r="A1401" s="76" t="str">
        <f t="shared" si="166"/>
        <v>RCP-SMC-000089</v>
      </c>
      <c r="B1401" s="58" t="s">
        <v>35</v>
      </c>
      <c r="C1401" s="58" t="s">
        <v>10</v>
      </c>
      <c r="D1401" s="76" t="str">
        <f t="shared" si="167"/>
        <v>Strained Creme of mushroom(soup)</v>
      </c>
      <c r="E1401" s="76" t="s">
        <v>1432</v>
      </c>
      <c r="F1401" s="76" t="s">
        <v>2079</v>
      </c>
      <c r="G1401" s="94" t="s">
        <v>1779</v>
      </c>
      <c r="H1401" s="107" t="s">
        <v>1774</v>
      </c>
      <c r="I1401" s="76"/>
      <c r="J1401" s="76"/>
      <c r="K1401" s="58" t="str">
        <f>IFERROR(VLOOKUP(L1401,'Raw material list'!$A$3:$C$715,3,0),"")</f>
        <v>DRS1-456</v>
      </c>
      <c r="L1401" s="59" t="s">
        <v>232</v>
      </c>
      <c r="M1401" s="80" t="s">
        <v>156</v>
      </c>
      <c r="N1401" s="40" t="str">
        <f>VLOOKUP(L1401,'Raw material list'!$A$3:$E$715,5,0)</f>
        <v xml:space="preserve">Gram </v>
      </c>
      <c r="O1401" s="80">
        <v>400</v>
      </c>
      <c r="P1401" s="299">
        <f t="shared" si="155"/>
        <v>400</v>
      </c>
      <c r="Q1401" s="80">
        <v>100</v>
      </c>
      <c r="R1401" s="80">
        <v>14</v>
      </c>
      <c r="S1401" s="80"/>
      <c r="T1401" s="105">
        <f t="shared" si="168"/>
        <v>28.571428571428573</v>
      </c>
      <c r="U1401" s="105">
        <f t="shared" si="156"/>
        <v>28.571428571428573</v>
      </c>
      <c r="V1401" s="104">
        <f>IFERROR(VLOOKUP(L1401,'Raw material list'!$A$2:$S$3102,6,0),0)</f>
        <v>1.4999999999999999E-2</v>
      </c>
      <c r="W1401" s="104">
        <f t="shared" si="157"/>
        <v>0.4285714285714286</v>
      </c>
    </row>
    <row r="1402" spans="1:23" hidden="1" x14ac:dyDescent="0.55000000000000004">
      <c r="A1402" s="76" t="str">
        <f t="shared" si="166"/>
        <v>RCP-SMC-000089</v>
      </c>
      <c r="B1402" s="58" t="s">
        <v>35</v>
      </c>
      <c r="C1402" s="58" t="s">
        <v>10</v>
      </c>
      <c r="D1402" s="76" t="str">
        <f t="shared" si="167"/>
        <v>Strained Creme of mushroom(soup)</v>
      </c>
      <c r="E1402" s="76" t="s">
        <v>1432</v>
      </c>
      <c r="F1402" s="76" t="s">
        <v>2079</v>
      </c>
      <c r="G1402" s="94" t="s">
        <v>1779</v>
      </c>
      <c r="H1402" s="107" t="s">
        <v>1774</v>
      </c>
      <c r="I1402" s="76"/>
      <c r="J1402" s="76"/>
      <c r="K1402" s="58" t="str">
        <f>IFERROR(VLOOKUP(L1402,'Raw material list'!$A$3:$C$715,3,0),"")</f>
        <v>DRS1-3811</v>
      </c>
      <c r="L1402" s="59" t="s">
        <v>40</v>
      </c>
      <c r="M1402" s="80" t="s">
        <v>156</v>
      </c>
      <c r="N1402" s="40" t="str">
        <f>VLOOKUP(L1402,'Raw material list'!$A$3:$E$715,5,0)</f>
        <v xml:space="preserve">Gram </v>
      </c>
      <c r="O1402" s="80">
        <v>10</v>
      </c>
      <c r="P1402" s="299">
        <f t="shared" si="155"/>
        <v>10</v>
      </c>
      <c r="Q1402" s="80">
        <v>100</v>
      </c>
      <c r="R1402" s="80">
        <v>14</v>
      </c>
      <c r="S1402" s="80"/>
      <c r="T1402" s="105">
        <f t="shared" si="168"/>
        <v>0.7142857142857143</v>
      </c>
      <c r="U1402" s="105">
        <f t="shared" si="156"/>
        <v>0.7142857142857143</v>
      </c>
      <c r="V1402" s="104">
        <f>IFERROR(VLOOKUP(L1402,'Raw material list'!$A$2:$S$3102,6,0),0)</f>
        <v>2.8475E-2</v>
      </c>
      <c r="W1402" s="104">
        <f t="shared" si="157"/>
        <v>2.0339285714285716E-2</v>
      </c>
    </row>
    <row r="1403" spans="1:23" hidden="1" x14ac:dyDescent="0.55000000000000004">
      <c r="A1403" s="76" t="str">
        <f t="shared" si="166"/>
        <v>RCP-SMC-000089</v>
      </c>
      <c r="B1403" s="58" t="s">
        <v>35</v>
      </c>
      <c r="C1403" s="58" t="s">
        <v>10</v>
      </c>
      <c r="D1403" s="76" t="str">
        <f t="shared" si="167"/>
        <v>Strained Creme of mushroom(soup)</v>
      </c>
      <c r="E1403" s="76" t="s">
        <v>1432</v>
      </c>
      <c r="F1403" s="76" t="s">
        <v>2079</v>
      </c>
      <c r="G1403" s="94" t="s">
        <v>1779</v>
      </c>
      <c r="H1403" s="107" t="s">
        <v>1774</v>
      </c>
      <c r="I1403" s="76"/>
      <c r="J1403" s="76"/>
      <c r="K1403" s="58" t="str">
        <f>IFERROR(VLOOKUP(L1403,'Raw material list'!$A$3:$C$715,3,0),"")</f>
        <v>PRD3-1842</v>
      </c>
      <c r="L1403" s="59" t="s">
        <v>959</v>
      </c>
      <c r="M1403" s="80" t="s">
        <v>156</v>
      </c>
      <c r="N1403" s="40" t="str">
        <f>VLOOKUP(L1403,'Raw material list'!$A$3:$E$715,5,0)</f>
        <v xml:space="preserve">Gram </v>
      </c>
      <c r="O1403" s="80">
        <v>5</v>
      </c>
      <c r="P1403" s="299">
        <f t="shared" si="155"/>
        <v>5</v>
      </c>
      <c r="Q1403" s="80">
        <v>100</v>
      </c>
      <c r="R1403" s="80">
        <v>14</v>
      </c>
      <c r="S1403" s="80"/>
      <c r="T1403" s="105">
        <f t="shared" si="168"/>
        <v>0.35714285714285715</v>
      </c>
      <c r="U1403" s="105">
        <f t="shared" si="156"/>
        <v>0.35714285714285715</v>
      </c>
      <c r="V1403" s="104">
        <f>IFERROR(VLOOKUP(L1403,'Raw material list'!$A$2:$S$3102,6,0),0)</f>
        <v>0.3</v>
      </c>
      <c r="W1403" s="104">
        <f t="shared" si="157"/>
        <v>0.10714285714285714</v>
      </c>
    </row>
    <row r="1404" spans="1:23" hidden="1" x14ac:dyDescent="0.55000000000000004">
      <c r="A1404" s="76" t="str">
        <f t="shared" si="166"/>
        <v>RCP-SMC-000089</v>
      </c>
      <c r="B1404" s="58" t="s">
        <v>35</v>
      </c>
      <c r="C1404" s="58" t="s">
        <v>10</v>
      </c>
      <c r="D1404" s="76" t="str">
        <f t="shared" si="167"/>
        <v>Strained Creme of mushroom(soup)</v>
      </c>
      <c r="E1404" s="76" t="s">
        <v>1432</v>
      </c>
      <c r="F1404" s="76" t="s">
        <v>2079</v>
      </c>
      <c r="G1404" s="94" t="s">
        <v>1779</v>
      </c>
      <c r="H1404" s="107" t="s">
        <v>1774</v>
      </c>
      <c r="I1404" s="76"/>
      <c r="J1404" s="76"/>
      <c r="K1404" s="58" t="str">
        <f>IFERROR(VLOOKUP(L1404,'Raw material list'!$A$3:$C$715,3,0),"")</f>
        <v>DRY2-1858</v>
      </c>
      <c r="L1404" s="59" t="s">
        <v>60</v>
      </c>
      <c r="M1404" s="80" t="s">
        <v>206</v>
      </c>
      <c r="N1404" s="40" t="str">
        <f>VLOOKUP(L1404,'Raw material list'!$A$3:$E$715,5,0)</f>
        <v>Ml</v>
      </c>
      <c r="O1404" s="80">
        <v>200</v>
      </c>
      <c r="P1404" s="299">
        <f t="shared" si="155"/>
        <v>200</v>
      </c>
      <c r="Q1404" s="80">
        <v>100</v>
      </c>
      <c r="R1404" s="80">
        <v>14</v>
      </c>
      <c r="S1404" s="80"/>
      <c r="T1404" s="105">
        <f t="shared" si="168"/>
        <v>14.285714285714286</v>
      </c>
      <c r="U1404" s="105">
        <f t="shared" si="156"/>
        <v>14.285714285714286</v>
      </c>
      <c r="V1404" s="104">
        <f>IFERROR(VLOOKUP(L1404,'Raw material list'!$A$2:$S$3102,6,0),0)</f>
        <v>9.8800000000000016E-3</v>
      </c>
      <c r="W1404" s="104">
        <f t="shared" si="157"/>
        <v>0.14114285714285718</v>
      </c>
    </row>
    <row r="1405" spans="1:23" hidden="1" x14ac:dyDescent="0.55000000000000004">
      <c r="A1405" s="76" t="str">
        <f t="shared" si="166"/>
        <v>RCP-SMC-000089</v>
      </c>
      <c r="B1405" s="58" t="s">
        <v>35</v>
      </c>
      <c r="C1405" s="58" t="s">
        <v>10</v>
      </c>
      <c r="D1405" s="76" t="str">
        <f t="shared" si="167"/>
        <v>Strained Creme of mushroom(soup)</v>
      </c>
      <c r="E1405" s="76" t="s">
        <v>1432</v>
      </c>
      <c r="F1405" s="76" t="s">
        <v>2079</v>
      </c>
      <c r="G1405" s="94" t="s">
        <v>1779</v>
      </c>
      <c r="H1405" s="107" t="s">
        <v>1774</v>
      </c>
      <c r="I1405" s="76"/>
      <c r="J1405" s="76"/>
      <c r="K1405" s="58" t="str">
        <f>IFERROR(VLOOKUP(L1405,'Raw material list'!$A$3:$C$715,3,0),"")</f>
        <v>DRS1-3880</v>
      </c>
      <c r="L1405" s="59" t="s">
        <v>1433</v>
      </c>
      <c r="M1405" s="80" t="s">
        <v>156</v>
      </c>
      <c r="N1405" s="40" t="str">
        <f>VLOOKUP(L1405,'Raw material list'!$A$3:$E$715,5,0)</f>
        <v xml:space="preserve">Gram </v>
      </c>
      <c r="O1405" s="80">
        <v>5</v>
      </c>
      <c r="P1405" s="299">
        <f t="shared" si="155"/>
        <v>5</v>
      </c>
      <c r="Q1405" s="80">
        <v>100</v>
      </c>
      <c r="R1405" s="80">
        <v>14</v>
      </c>
      <c r="S1405" s="80"/>
      <c r="T1405" s="105">
        <f t="shared" si="168"/>
        <v>0.35714285714285715</v>
      </c>
      <c r="U1405" s="105">
        <f t="shared" si="156"/>
        <v>0.35714285714285715</v>
      </c>
      <c r="V1405" s="104">
        <f>IFERROR(VLOOKUP(L1405,'Raw material list'!$A$2:$S$3102,6,0),0)</f>
        <v>5.0000000000000001E-4</v>
      </c>
      <c r="W1405" s="104">
        <f t="shared" si="157"/>
        <v>1.7857142857142857E-4</v>
      </c>
    </row>
    <row r="1406" spans="1:23" hidden="1" x14ac:dyDescent="0.55000000000000004">
      <c r="A1406" s="76" t="str">
        <f t="shared" si="166"/>
        <v>RCP-SMC-000089</v>
      </c>
      <c r="B1406" s="58" t="s">
        <v>35</v>
      </c>
      <c r="C1406" s="58" t="s">
        <v>10</v>
      </c>
      <c r="D1406" s="76" t="str">
        <f t="shared" si="167"/>
        <v>Strained Creme of mushroom(soup)</v>
      </c>
      <c r="E1406" s="76" t="s">
        <v>1432</v>
      </c>
      <c r="F1406" s="76" t="s">
        <v>2079</v>
      </c>
      <c r="G1406" s="94" t="s">
        <v>1779</v>
      </c>
      <c r="H1406" s="107" t="s">
        <v>1774</v>
      </c>
      <c r="I1406" s="76"/>
      <c r="J1406" s="76"/>
      <c r="K1406" s="58" t="str">
        <f>IFERROR(VLOOKUP(L1406,'Raw material list'!$A$3:$C$715,3,0),"")</f>
        <v>DRS1-3357</v>
      </c>
      <c r="L1406" s="59" t="s">
        <v>316</v>
      </c>
      <c r="M1406" s="80" t="s">
        <v>156</v>
      </c>
      <c r="N1406" s="40" t="str">
        <f>VLOOKUP(L1406,'Raw material list'!$A$3:$E$715,5,0)</f>
        <v xml:space="preserve">Gram </v>
      </c>
      <c r="O1406" s="80">
        <v>10</v>
      </c>
      <c r="P1406" s="299">
        <f t="shared" si="155"/>
        <v>10</v>
      </c>
      <c r="Q1406" s="80">
        <v>100</v>
      </c>
      <c r="R1406" s="80">
        <v>14</v>
      </c>
      <c r="S1406" s="80"/>
      <c r="T1406" s="105">
        <f t="shared" si="168"/>
        <v>0.7142857142857143</v>
      </c>
      <c r="U1406" s="105">
        <f t="shared" si="156"/>
        <v>0.7142857142857143</v>
      </c>
      <c r="V1406" s="104">
        <f>IFERROR(VLOOKUP(L1406,'Raw material list'!$A$2:$S$3102,6,0),0)</f>
        <v>6.8440000000000001E-2</v>
      </c>
      <c r="W1406" s="104">
        <f t="shared" si="157"/>
        <v>4.8885714285714289E-2</v>
      </c>
    </row>
    <row r="1407" spans="1:23" hidden="1" x14ac:dyDescent="0.55000000000000004">
      <c r="A1407" s="76" t="s">
        <v>1646</v>
      </c>
      <c r="B1407" s="58" t="s">
        <v>35</v>
      </c>
      <c r="C1407" s="58" t="s">
        <v>10</v>
      </c>
      <c r="D1407" s="76" t="s">
        <v>1617</v>
      </c>
      <c r="E1407" s="76" t="s">
        <v>1432</v>
      </c>
      <c r="F1407" s="76" t="s">
        <v>2079</v>
      </c>
      <c r="G1407" s="94" t="s">
        <v>1779</v>
      </c>
      <c r="H1407" s="107" t="s">
        <v>1773</v>
      </c>
      <c r="I1407" s="76"/>
      <c r="J1407" s="76"/>
      <c r="K1407" s="58" t="str">
        <f>IFERROR(VLOOKUP(L1407,'Raw material list'!$A$3:$C$715,3,0),"")</f>
        <v>DRY2-1008</v>
      </c>
      <c r="L1407" s="59" t="s">
        <v>57</v>
      </c>
      <c r="M1407" s="80" t="s">
        <v>156</v>
      </c>
      <c r="N1407" s="40" t="str">
        <f>VLOOKUP(L1407,'Raw material list'!$A$3:$E$715,5,0)</f>
        <v xml:space="preserve">Gram </v>
      </c>
      <c r="O1407" s="80">
        <v>25</v>
      </c>
      <c r="P1407" s="299">
        <f t="shared" si="155"/>
        <v>25</v>
      </c>
      <c r="Q1407" s="80">
        <v>100</v>
      </c>
      <c r="R1407" s="80">
        <v>14</v>
      </c>
      <c r="S1407" s="80"/>
      <c r="T1407" s="105">
        <f t="shared" si="168"/>
        <v>1.7857142857142858</v>
      </c>
      <c r="U1407" s="105">
        <f t="shared" si="156"/>
        <v>1.7857142857142858</v>
      </c>
      <c r="V1407" s="104">
        <f>IFERROR(VLOOKUP(L1407,'Raw material list'!$A$2:$S$3102,6,0),0)</f>
        <v>0.03</v>
      </c>
      <c r="W1407" s="104">
        <f t="shared" si="157"/>
        <v>5.3571428571428575E-2</v>
      </c>
    </row>
    <row r="1408" spans="1:23" hidden="1" x14ac:dyDescent="0.55000000000000004">
      <c r="A1408" s="76" t="str">
        <f t="shared" ref="A1408:A1417" si="169">A1407</f>
        <v>RCP-SMC-000090</v>
      </c>
      <c r="B1408" s="58" t="s">
        <v>35</v>
      </c>
      <c r="C1408" s="58" t="s">
        <v>10</v>
      </c>
      <c r="D1408" s="76" t="str">
        <f t="shared" ref="D1408:D1417" si="170">D1407</f>
        <v>Crème of corn soup</v>
      </c>
      <c r="E1408" s="76" t="s">
        <v>1432</v>
      </c>
      <c r="F1408" s="76" t="s">
        <v>2079</v>
      </c>
      <c r="G1408" s="94" t="s">
        <v>1779</v>
      </c>
      <c r="H1408" s="107" t="s">
        <v>1773</v>
      </c>
      <c r="I1408" s="76"/>
      <c r="J1408" s="76"/>
      <c r="K1408" s="58" t="str">
        <f>IFERROR(VLOOKUP(L1408,'Raw material list'!$A$3:$C$715,3,0),"")</f>
        <v>PRD1-4265</v>
      </c>
      <c r="L1408" s="59" t="s">
        <v>38</v>
      </c>
      <c r="M1408" s="80" t="s">
        <v>156</v>
      </c>
      <c r="N1408" s="40" t="str">
        <f>VLOOKUP(L1408,'Raw material list'!$A$3:$E$715,5,0)</f>
        <v xml:space="preserve">Gram </v>
      </c>
      <c r="O1408" s="80">
        <v>100</v>
      </c>
      <c r="P1408" s="299">
        <f t="shared" si="155"/>
        <v>117.64705882352942</v>
      </c>
      <c r="Q1408" s="105">
        <v>85</v>
      </c>
      <c r="R1408" s="80">
        <v>14</v>
      </c>
      <c r="S1408" s="80"/>
      <c r="T1408" s="105">
        <f t="shared" si="168"/>
        <v>7.1428571428571432</v>
      </c>
      <c r="U1408" s="105">
        <f t="shared" si="156"/>
        <v>8.4033613445378155</v>
      </c>
      <c r="V1408" s="104">
        <f>IFERROR(VLOOKUP(L1408,'Raw material list'!$A$2:$S$3102,6,0),0)</f>
        <v>3.529411764705882E-3</v>
      </c>
      <c r="W1408" s="104">
        <f t="shared" si="157"/>
        <v>2.9658922392486405E-2</v>
      </c>
    </row>
    <row r="1409" spans="1:23" hidden="1" x14ac:dyDescent="0.55000000000000004">
      <c r="A1409" s="76" t="str">
        <f t="shared" si="169"/>
        <v>RCP-SMC-000090</v>
      </c>
      <c r="B1409" s="58" t="s">
        <v>35</v>
      </c>
      <c r="C1409" s="58" t="s">
        <v>10</v>
      </c>
      <c r="D1409" s="76" t="str">
        <f t="shared" si="170"/>
        <v>Crème of corn soup</v>
      </c>
      <c r="E1409" s="76" t="s">
        <v>1432</v>
      </c>
      <c r="F1409" s="76" t="s">
        <v>2079</v>
      </c>
      <c r="G1409" s="94" t="s">
        <v>1779</v>
      </c>
      <c r="H1409" s="107" t="s">
        <v>1773</v>
      </c>
      <c r="I1409" s="76"/>
      <c r="J1409" s="76"/>
      <c r="K1409" s="58" t="str">
        <f>IFERROR(VLOOKUP(L1409,'Raw material list'!$A$3:$C$715,3,0),"")</f>
        <v>PRD1-4327</v>
      </c>
      <c r="L1409" s="59" t="s">
        <v>39</v>
      </c>
      <c r="M1409" s="80" t="s">
        <v>156</v>
      </c>
      <c r="N1409" s="40" t="str">
        <f>VLOOKUP(L1409,'Raw material list'!$A$3:$E$715,5,0)</f>
        <v xml:space="preserve">Gram </v>
      </c>
      <c r="O1409" s="80">
        <v>15</v>
      </c>
      <c r="P1409" s="299">
        <f t="shared" si="155"/>
        <v>18.072289156626507</v>
      </c>
      <c r="Q1409" s="105">
        <v>83</v>
      </c>
      <c r="R1409" s="80">
        <v>14</v>
      </c>
      <c r="S1409" s="80"/>
      <c r="T1409" s="105">
        <f t="shared" si="168"/>
        <v>1.0714285714285714</v>
      </c>
      <c r="U1409" s="105">
        <f t="shared" si="156"/>
        <v>1.2908777969018934</v>
      </c>
      <c r="V1409" s="104">
        <f>IFERROR(VLOOKUP(L1409,'Raw material list'!$A$2:$S$3102,6,0),0)</f>
        <v>1.2999999999999999E-2</v>
      </c>
      <c r="W1409" s="104">
        <f t="shared" si="157"/>
        <v>1.6781411359724614E-2</v>
      </c>
    </row>
    <row r="1410" spans="1:23" hidden="1" x14ac:dyDescent="0.55000000000000004">
      <c r="A1410" s="76" t="str">
        <f t="shared" si="169"/>
        <v>RCP-SMC-000090</v>
      </c>
      <c r="B1410" s="58" t="s">
        <v>35</v>
      </c>
      <c r="C1410" s="58" t="s">
        <v>10</v>
      </c>
      <c r="D1410" s="76" t="str">
        <f t="shared" si="170"/>
        <v>Crème of corn soup</v>
      </c>
      <c r="E1410" s="76" t="s">
        <v>1432</v>
      </c>
      <c r="F1410" s="76" t="s">
        <v>2079</v>
      </c>
      <c r="G1410" s="94" t="s">
        <v>1779</v>
      </c>
      <c r="H1410" s="107" t="s">
        <v>1773</v>
      </c>
      <c r="I1410" s="76"/>
      <c r="J1410" s="76"/>
      <c r="K1410" s="58" t="str">
        <f>IFERROR(VLOOKUP(L1410,'Raw material list'!$A$3:$C$715,3,0),"")</f>
        <v>DRS6-309</v>
      </c>
      <c r="L1410" s="59" t="s">
        <v>61</v>
      </c>
      <c r="M1410" s="80" t="s">
        <v>156</v>
      </c>
      <c r="N1410" s="40" t="str">
        <f>VLOOKUP(L1410,'Raw material list'!$A$3:$E$715,5,0)</f>
        <v xml:space="preserve">Gram </v>
      </c>
      <c r="O1410" s="80">
        <v>2</v>
      </c>
      <c r="P1410" s="299">
        <f t="shared" si="155"/>
        <v>2</v>
      </c>
      <c r="Q1410" s="303">
        <v>100</v>
      </c>
      <c r="R1410" s="80">
        <v>14</v>
      </c>
      <c r="S1410" s="80"/>
      <c r="T1410" s="105">
        <f t="shared" si="168"/>
        <v>0.14285714285714285</v>
      </c>
      <c r="U1410" s="105">
        <f t="shared" si="156"/>
        <v>0.14285714285714285</v>
      </c>
      <c r="V1410" s="104">
        <f>IFERROR(VLOOKUP(L1410,'Raw material list'!$A$2:$S$3102,6,0),0)</f>
        <v>2.8000000000000001E-2</v>
      </c>
      <c r="W1410" s="104">
        <f t="shared" si="157"/>
        <v>4.0000000000000001E-3</v>
      </c>
    </row>
    <row r="1411" spans="1:23" hidden="1" x14ac:dyDescent="0.55000000000000004">
      <c r="A1411" s="76" t="str">
        <f t="shared" si="169"/>
        <v>RCP-SMC-000090</v>
      </c>
      <c r="B1411" s="58" t="s">
        <v>35</v>
      </c>
      <c r="C1411" s="58" t="s">
        <v>10</v>
      </c>
      <c r="D1411" s="76" t="str">
        <f t="shared" si="170"/>
        <v>Crème of corn soup</v>
      </c>
      <c r="E1411" s="76" t="s">
        <v>1432</v>
      </c>
      <c r="F1411" s="76" t="s">
        <v>2079</v>
      </c>
      <c r="G1411" s="94" t="s">
        <v>1779</v>
      </c>
      <c r="H1411" s="107" t="s">
        <v>1773</v>
      </c>
      <c r="I1411" s="76"/>
      <c r="J1411" s="76"/>
      <c r="K1411" s="58" t="str">
        <f>IFERROR(VLOOKUP(L1411,'Raw material list'!$A$3:$C$715,3,0),"")</f>
        <v>DRS1-3811</v>
      </c>
      <c r="L1411" s="59" t="s">
        <v>40</v>
      </c>
      <c r="M1411" s="80" t="s">
        <v>156</v>
      </c>
      <c r="N1411" s="40" t="str">
        <f>VLOOKUP(L1411,'Raw material list'!$A$3:$E$715,5,0)</f>
        <v xml:space="preserve">Gram </v>
      </c>
      <c r="O1411" s="80">
        <v>15</v>
      </c>
      <c r="P1411" s="299">
        <f t="shared" si="155"/>
        <v>15</v>
      </c>
      <c r="Q1411" s="80">
        <v>100</v>
      </c>
      <c r="R1411" s="80">
        <v>14</v>
      </c>
      <c r="S1411" s="80"/>
      <c r="T1411" s="105">
        <f t="shared" si="168"/>
        <v>1.0714285714285714</v>
      </c>
      <c r="U1411" s="105">
        <f t="shared" si="156"/>
        <v>1.0714285714285714</v>
      </c>
      <c r="V1411" s="104">
        <f>IFERROR(VLOOKUP(L1411,'Raw material list'!$A$2:$S$3102,6,0),0)</f>
        <v>2.8475E-2</v>
      </c>
      <c r="W1411" s="104">
        <f t="shared" si="157"/>
        <v>3.0508928571428572E-2</v>
      </c>
    </row>
    <row r="1412" spans="1:23" hidden="1" x14ac:dyDescent="0.55000000000000004">
      <c r="A1412" s="76" t="str">
        <f t="shared" si="169"/>
        <v>RCP-SMC-000090</v>
      </c>
      <c r="B1412" s="58" t="s">
        <v>35</v>
      </c>
      <c r="C1412" s="58" t="s">
        <v>10</v>
      </c>
      <c r="D1412" s="76" t="str">
        <f t="shared" si="170"/>
        <v>Crème of corn soup</v>
      </c>
      <c r="E1412" s="76" t="s">
        <v>1432</v>
      </c>
      <c r="F1412" s="76" t="s">
        <v>2079</v>
      </c>
      <c r="G1412" s="94" t="s">
        <v>1779</v>
      </c>
      <c r="H1412" s="107" t="s">
        <v>1773</v>
      </c>
      <c r="I1412" s="76"/>
      <c r="J1412" s="76"/>
      <c r="K1412" s="58" t="str">
        <f>IFERROR(VLOOKUP(L1412,'Raw material list'!$A$3:$C$715,3,0),"")</f>
        <v>DRY2-1858</v>
      </c>
      <c r="L1412" s="59" t="s">
        <v>60</v>
      </c>
      <c r="M1412" s="80" t="s">
        <v>206</v>
      </c>
      <c r="N1412" s="40" t="str">
        <f>VLOOKUP(L1412,'Raw material list'!$A$3:$E$715,5,0)</f>
        <v>Ml</v>
      </c>
      <c r="O1412" s="80">
        <v>200</v>
      </c>
      <c r="P1412" s="299">
        <f t="shared" si="155"/>
        <v>200</v>
      </c>
      <c r="Q1412" s="80">
        <v>100</v>
      </c>
      <c r="R1412" s="80">
        <v>14</v>
      </c>
      <c r="S1412" s="80"/>
      <c r="T1412" s="105">
        <f t="shared" si="168"/>
        <v>14.285714285714286</v>
      </c>
      <c r="U1412" s="105">
        <f t="shared" si="156"/>
        <v>14.285714285714286</v>
      </c>
      <c r="V1412" s="104">
        <f>IFERROR(VLOOKUP(L1412,'Raw material list'!$A$2:$S$3102,6,0),0)</f>
        <v>9.8800000000000016E-3</v>
      </c>
      <c r="W1412" s="104">
        <f t="shared" si="157"/>
        <v>0.14114285714285718</v>
      </c>
    </row>
    <row r="1413" spans="1:23" hidden="1" x14ac:dyDescent="0.55000000000000004">
      <c r="A1413" s="76" t="str">
        <f t="shared" si="169"/>
        <v>RCP-SMC-000090</v>
      </c>
      <c r="B1413" s="58" t="s">
        <v>35</v>
      </c>
      <c r="C1413" s="58" t="s">
        <v>10</v>
      </c>
      <c r="D1413" s="76" t="str">
        <f t="shared" si="170"/>
        <v>Crème of corn soup</v>
      </c>
      <c r="E1413" s="76" t="s">
        <v>1432</v>
      </c>
      <c r="F1413" s="76" t="s">
        <v>2079</v>
      </c>
      <c r="G1413" s="94" t="s">
        <v>1779</v>
      </c>
      <c r="H1413" s="107" t="s">
        <v>1773</v>
      </c>
      <c r="I1413" s="76"/>
      <c r="J1413" s="76"/>
      <c r="K1413" s="58" t="str">
        <f>IFERROR(VLOOKUP(L1413,'Raw material list'!$A$3:$C$715,3,0),"")</f>
        <v>TAP-00001</v>
      </c>
      <c r="L1413" s="59" t="s">
        <v>1405</v>
      </c>
      <c r="M1413" s="80" t="s">
        <v>206</v>
      </c>
      <c r="N1413" s="40" t="str">
        <f>VLOOKUP(L1413,'Raw material list'!$A$3:$E$715,5,0)</f>
        <v>Ml</v>
      </c>
      <c r="O1413" s="80">
        <v>2000</v>
      </c>
      <c r="P1413" s="299">
        <f t="shared" si="155"/>
        <v>2000</v>
      </c>
      <c r="Q1413" s="80">
        <v>100</v>
      </c>
      <c r="R1413" s="80">
        <v>14</v>
      </c>
      <c r="S1413" s="80"/>
      <c r="T1413" s="105">
        <f t="shared" si="168"/>
        <v>142.85714285714286</v>
      </c>
      <c r="U1413" s="105">
        <f t="shared" si="156"/>
        <v>142.85714285714286</v>
      </c>
      <c r="V1413" s="104">
        <f>IFERROR(VLOOKUP(L1413,'Raw material list'!$A$2:$S$3102,6,0),0)</f>
        <v>8.0000000000000007E-5</v>
      </c>
      <c r="W1413" s="104">
        <f t="shared" si="157"/>
        <v>1.142857142857143E-2</v>
      </c>
    </row>
    <row r="1414" spans="1:23" hidden="1" x14ac:dyDescent="0.55000000000000004">
      <c r="A1414" s="76" t="str">
        <f t="shared" si="169"/>
        <v>RCP-SMC-000090</v>
      </c>
      <c r="B1414" s="58" t="s">
        <v>35</v>
      </c>
      <c r="C1414" s="58" t="s">
        <v>10</v>
      </c>
      <c r="D1414" s="76" t="str">
        <f t="shared" si="170"/>
        <v>Crème of corn soup</v>
      </c>
      <c r="E1414" s="76" t="s">
        <v>1432</v>
      </c>
      <c r="F1414" s="76" t="s">
        <v>2079</v>
      </c>
      <c r="G1414" s="94" t="s">
        <v>1779</v>
      </c>
      <c r="H1414" s="107" t="s">
        <v>1773</v>
      </c>
      <c r="I1414" s="76"/>
      <c r="J1414" s="76"/>
      <c r="K1414" s="58" t="str">
        <f>IFERROR(VLOOKUP(L1414,'Raw material list'!$A$3:$C$715,3,0),"")</f>
        <v>DRS1-1463</v>
      </c>
      <c r="L1414" s="59" t="s">
        <v>244</v>
      </c>
      <c r="M1414" s="80" t="s">
        <v>156</v>
      </c>
      <c r="N1414" s="40" t="str">
        <f>VLOOKUP(L1414,'Raw material list'!$A$3:$E$715,5,0)</f>
        <v xml:space="preserve">Gram </v>
      </c>
      <c r="O1414" s="80">
        <v>700</v>
      </c>
      <c r="P1414" s="299">
        <f t="shared" ref="P1414:P1477" si="171">O1414/Q1414*100</f>
        <v>700</v>
      </c>
      <c r="Q1414" s="80">
        <v>100</v>
      </c>
      <c r="R1414" s="80">
        <v>14</v>
      </c>
      <c r="S1414" s="80"/>
      <c r="T1414" s="105">
        <f t="shared" si="168"/>
        <v>50</v>
      </c>
      <c r="U1414" s="105">
        <f t="shared" ref="U1414:U1477" si="172">IFERROR(P1414/R1414,0)</f>
        <v>50</v>
      </c>
      <c r="V1414" s="104">
        <f>IFERROR(VLOOKUP(L1414,'Raw material list'!$A$2:$S$3102,6,0),0)</f>
        <v>0.01</v>
      </c>
      <c r="W1414" s="104">
        <f t="shared" ref="W1414:W1477" si="173">IFERROR(V1414*U1414,0)</f>
        <v>0.5</v>
      </c>
    </row>
    <row r="1415" spans="1:23" hidden="1" x14ac:dyDescent="0.55000000000000004">
      <c r="A1415" s="76" t="str">
        <f t="shared" si="169"/>
        <v>RCP-SMC-000090</v>
      </c>
      <c r="B1415" s="58" t="s">
        <v>35</v>
      </c>
      <c r="C1415" s="58" t="s">
        <v>10</v>
      </c>
      <c r="D1415" s="76" t="str">
        <f t="shared" si="170"/>
        <v>Crème of corn soup</v>
      </c>
      <c r="E1415" s="76" t="s">
        <v>1432</v>
      </c>
      <c r="F1415" s="76" t="s">
        <v>2079</v>
      </c>
      <c r="G1415" s="94" t="s">
        <v>1779</v>
      </c>
      <c r="H1415" s="107" t="s">
        <v>1773</v>
      </c>
      <c r="I1415" s="76"/>
      <c r="J1415" s="76"/>
      <c r="K1415" s="58" t="str">
        <f>IFERROR(VLOOKUP(L1415,'Raw material list'!$A$3:$C$715,3,0),"")</f>
        <v>DRS5-980</v>
      </c>
      <c r="L1415" s="59" t="s">
        <v>446</v>
      </c>
      <c r="M1415" s="80" t="s">
        <v>156</v>
      </c>
      <c r="N1415" s="40" t="str">
        <f>VLOOKUP(L1415,'Raw material list'!$A$3:$E$715,5,0)</f>
        <v xml:space="preserve">Gram </v>
      </c>
      <c r="O1415" s="80">
        <v>25</v>
      </c>
      <c r="P1415" s="299">
        <f t="shared" si="171"/>
        <v>25</v>
      </c>
      <c r="Q1415" s="80">
        <v>100</v>
      </c>
      <c r="R1415" s="80">
        <v>14</v>
      </c>
      <c r="S1415" s="80"/>
      <c r="T1415" s="105">
        <f t="shared" si="168"/>
        <v>1.7857142857142858</v>
      </c>
      <c r="U1415" s="105">
        <f t="shared" si="172"/>
        <v>1.7857142857142858</v>
      </c>
      <c r="V1415" s="104">
        <f>IFERROR(VLOOKUP(L1415,'Raw material list'!$A$2:$S$3102,6,0),0)</f>
        <v>1E-3</v>
      </c>
      <c r="W1415" s="104">
        <f t="shared" si="173"/>
        <v>1.7857142857142859E-3</v>
      </c>
    </row>
    <row r="1416" spans="1:23" hidden="1" x14ac:dyDescent="0.55000000000000004">
      <c r="A1416" s="76" t="str">
        <f t="shared" si="169"/>
        <v>RCP-SMC-000090</v>
      </c>
      <c r="B1416" s="58" t="s">
        <v>35</v>
      </c>
      <c r="C1416" s="58" t="s">
        <v>10</v>
      </c>
      <c r="D1416" s="76" t="str">
        <f t="shared" si="170"/>
        <v>Crème of corn soup</v>
      </c>
      <c r="E1416" s="76" t="s">
        <v>1432</v>
      </c>
      <c r="F1416" s="76" t="s">
        <v>2079</v>
      </c>
      <c r="G1416" s="94" t="s">
        <v>1779</v>
      </c>
      <c r="H1416" s="107" t="s">
        <v>1773</v>
      </c>
      <c r="I1416" s="76"/>
      <c r="J1416" s="76"/>
      <c r="K1416" s="58" t="str">
        <f>IFERROR(VLOOKUP(L1416,'Raw material list'!$A$3:$C$715,3,0),"")</f>
        <v>DRS1-3880</v>
      </c>
      <c r="L1416" s="59" t="s">
        <v>1433</v>
      </c>
      <c r="M1416" s="80" t="s">
        <v>156</v>
      </c>
      <c r="N1416" s="40" t="str">
        <f>VLOOKUP(L1416,'Raw material list'!$A$3:$E$715,5,0)</f>
        <v xml:space="preserve">Gram </v>
      </c>
      <c r="O1416" s="80">
        <v>8</v>
      </c>
      <c r="P1416" s="299">
        <f t="shared" si="171"/>
        <v>8</v>
      </c>
      <c r="Q1416" s="80">
        <v>100</v>
      </c>
      <c r="R1416" s="80">
        <v>14</v>
      </c>
      <c r="S1416" s="80"/>
      <c r="T1416" s="105">
        <f t="shared" si="168"/>
        <v>0.5714285714285714</v>
      </c>
      <c r="U1416" s="105">
        <f t="shared" si="172"/>
        <v>0.5714285714285714</v>
      </c>
      <c r="V1416" s="104">
        <f>IFERROR(VLOOKUP(L1416,'Raw material list'!$A$2:$S$3102,6,0),0)</f>
        <v>5.0000000000000001E-4</v>
      </c>
      <c r="W1416" s="104">
        <f t="shared" si="173"/>
        <v>2.8571428571428568E-4</v>
      </c>
    </row>
    <row r="1417" spans="1:23" hidden="1" x14ac:dyDescent="0.55000000000000004">
      <c r="A1417" s="76" t="str">
        <f t="shared" si="169"/>
        <v>RCP-SMC-000090</v>
      </c>
      <c r="B1417" s="58" t="s">
        <v>35</v>
      </c>
      <c r="C1417" s="58" t="s">
        <v>10</v>
      </c>
      <c r="D1417" s="76" t="str">
        <f t="shared" si="170"/>
        <v>Crème of corn soup</v>
      </c>
      <c r="E1417" s="76" t="s">
        <v>1432</v>
      </c>
      <c r="F1417" s="76" t="s">
        <v>2079</v>
      </c>
      <c r="G1417" s="94" t="s">
        <v>1779</v>
      </c>
      <c r="H1417" s="107" t="s">
        <v>1773</v>
      </c>
      <c r="I1417" s="76"/>
      <c r="J1417" s="76"/>
      <c r="K1417" s="58" t="str">
        <f>IFERROR(VLOOKUP(L1417,'Raw material list'!$A$3:$C$715,3,0),"")</f>
        <v>DRS1-304</v>
      </c>
      <c r="L1417" s="59" t="s">
        <v>74</v>
      </c>
      <c r="M1417" s="80" t="s">
        <v>156</v>
      </c>
      <c r="N1417" s="40" t="str">
        <f>VLOOKUP(L1417,'Raw material list'!$A$3:$E$715,5,0)</f>
        <v xml:space="preserve">Gram </v>
      </c>
      <c r="O1417" s="80">
        <v>1</v>
      </c>
      <c r="P1417" s="299">
        <f t="shared" si="171"/>
        <v>1</v>
      </c>
      <c r="Q1417" s="80">
        <v>100</v>
      </c>
      <c r="R1417" s="80">
        <v>14</v>
      </c>
      <c r="S1417" s="80"/>
      <c r="T1417" s="105">
        <f t="shared" si="168"/>
        <v>7.1428571428571425E-2</v>
      </c>
      <c r="U1417" s="105">
        <f t="shared" si="172"/>
        <v>7.1428571428571425E-2</v>
      </c>
      <c r="V1417" s="104">
        <f>IFERROR(VLOOKUP(L1417,'Raw material list'!$A$2:$S$3102,6,0),0)</f>
        <v>2.0799999999999999E-2</v>
      </c>
      <c r="W1417" s="104">
        <f t="shared" si="173"/>
        <v>1.4857142857142855E-3</v>
      </c>
    </row>
    <row r="1418" spans="1:23" hidden="1" x14ac:dyDescent="0.55000000000000004">
      <c r="A1418" s="76" t="s">
        <v>1419</v>
      </c>
      <c r="B1418" s="58" t="s">
        <v>35</v>
      </c>
      <c r="C1418" s="58" t="s">
        <v>10</v>
      </c>
      <c r="D1418" s="76" t="s">
        <v>1618</v>
      </c>
      <c r="E1418" s="107" t="s">
        <v>1432</v>
      </c>
      <c r="F1418" s="107" t="s">
        <v>2079</v>
      </c>
      <c r="G1418" s="94" t="s">
        <v>1779</v>
      </c>
      <c r="H1418" s="107" t="s">
        <v>1773</v>
      </c>
      <c r="I1418" s="76"/>
      <c r="J1418" s="76"/>
      <c r="K1418" s="58" t="str">
        <f>IFERROR(VLOOKUP(L1418,'Raw material list'!$A$3:$C$715,3,0),"")</f>
        <v>DRS3-1813</v>
      </c>
      <c r="L1418" s="59" t="s">
        <v>69</v>
      </c>
      <c r="M1418" s="80" t="s">
        <v>206</v>
      </c>
      <c r="N1418" s="40" t="str">
        <f>VLOOKUP(L1418,'Raw material list'!$A$3:$E$715,5,0)</f>
        <v>Ml</v>
      </c>
      <c r="O1418" s="80">
        <v>25</v>
      </c>
      <c r="P1418" s="299">
        <f t="shared" si="171"/>
        <v>25</v>
      </c>
      <c r="Q1418" s="80">
        <v>100</v>
      </c>
      <c r="R1418" s="80">
        <v>14</v>
      </c>
      <c r="S1418" s="80"/>
      <c r="T1418" s="105">
        <f t="shared" si="168"/>
        <v>1.7857142857142858</v>
      </c>
      <c r="U1418" s="105">
        <f t="shared" si="172"/>
        <v>1.7857142857142858</v>
      </c>
      <c r="V1418" s="104">
        <f>IFERROR(VLOOKUP(L1418,'Raw material list'!$A$2:$S$3102,6,0),0)</f>
        <v>8.0555555555555554E-3</v>
      </c>
      <c r="W1418" s="104">
        <f t="shared" si="173"/>
        <v>1.4384920634920636E-2</v>
      </c>
    </row>
    <row r="1419" spans="1:23" hidden="1" x14ac:dyDescent="0.55000000000000004">
      <c r="A1419" s="76" t="str">
        <f t="shared" ref="A1419:A1432" si="174">A1418</f>
        <v>RCP-SMC-000091</v>
      </c>
      <c r="B1419" s="58" t="s">
        <v>35</v>
      </c>
      <c r="C1419" s="58" t="s">
        <v>10</v>
      </c>
      <c r="D1419" s="76" t="str">
        <f t="shared" ref="D1419:D1432" si="175">D1418</f>
        <v>Chicken Orzo Pasta Vegetable</v>
      </c>
      <c r="E1419" s="107" t="s">
        <v>1432</v>
      </c>
      <c r="F1419" s="107" t="s">
        <v>2079</v>
      </c>
      <c r="G1419" s="94" t="s">
        <v>1779</v>
      </c>
      <c r="H1419" s="107" t="s">
        <v>1773</v>
      </c>
      <c r="I1419" s="76"/>
      <c r="J1419" s="76"/>
      <c r="K1419" s="58" t="str">
        <f>IFERROR(VLOOKUP(L1419,'Raw material list'!$A$3:$C$715,3,0),"")</f>
        <v>PRD1-4265</v>
      </c>
      <c r="L1419" s="59" t="s">
        <v>38</v>
      </c>
      <c r="M1419" s="80" t="s">
        <v>156</v>
      </c>
      <c r="N1419" s="40" t="str">
        <f>VLOOKUP(L1419,'Raw material list'!$A$3:$E$715,5,0)</f>
        <v xml:space="preserve">Gram </v>
      </c>
      <c r="O1419" s="80">
        <v>150</v>
      </c>
      <c r="P1419" s="299">
        <f t="shared" si="171"/>
        <v>176.47058823529412</v>
      </c>
      <c r="Q1419" s="105">
        <v>85</v>
      </c>
      <c r="R1419" s="80">
        <v>14</v>
      </c>
      <c r="S1419" s="80"/>
      <c r="T1419" s="105">
        <f t="shared" si="168"/>
        <v>10.714285714285714</v>
      </c>
      <c r="U1419" s="105">
        <f t="shared" si="172"/>
        <v>12.605042016806722</v>
      </c>
      <c r="V1419" s="104">
        <f>IFERROR(VLOOKUP(L1419,'Raw material list'!$A$2:$S$3102,6,0),0)</f>
        <v>3.529411764705882E-3</v>
      </c>
      <c r="W1419" s="104">
        <f t="shared" si="173"/>
        <v>4.4488383588729606E-2</v>
      </c>
    </row>
    <row r="1420" spans="1:23" hidden="1" x14ac:dyDescent="0.55000000000000004">
      <c r="A1420" s="76" t="str">
        <f t="shared" si="174"/>
        <v>RCP-SMC-000091</v>
      </c>
      <c r="B1420" s="58" t="s">
        <v>35</v>
      </c>
      <c r="C1420" s="58" t="s">
        <v>10</v>
      </c>
      <c r="D1420" s="76" t="str">
        <f t="shared" si="175"/>
        <v>Chicken Orzo Pasta Vegetable</v>
      </c>
      <c r="E1420" s="107" t="s">
        <v>1432</v>
      </c>
      <c r="F1420" s="107" t="s">
        <v>2079</v>
      </c>
      <c r="G1420" s="94" t="s">
        <v>1779</v>
      </c>
      <c r="H1420" s="107" t="s">
        <v>1773</v>
      </c>
      <c r="I1420" s="76"/>
      <c r="J1420" s="76"/>
      <c r="K1420" s="58" t="str">
        <f>IFERROR(VLOOKUP(L1420,'Raw material list'!$A$3:$C$715,3,0),"")</f>
        <v>PRD1-4327</v>
      </c>
      <c r="L1420" s="59" t="s">
        <v>39</v>
      </c>
      <c r="M1420" s="80" t="s">
        <v>156</v>
      </c>
      <c r="N1420" s="40" t="str">
        <f>VLOOKUP(L1420,'Raw material list'!$A$3:$E$715,5,0)</f>
        <v xml:space="preserve">Gram </v>
      </c>
      <c r="O1420" s="80">
        <v>15</v>
      </c>
      <c r="P1420" s="299">
        <f t="shared" si="171"/>
        <v>18.072289156626507</v>
      </c>
      <c r="Q1420" s="105">
        <v>83</v>
      </c>
      <c r="R1420" s="80">
        <v>14</v>
      </c>
      <c r="S1420" s="80"/>
      <c r="T1420" s="105">
        <f t="shared" si="168"/>
        <v>1.0714285714285714</v>
      </c>
      <c r="U1420" s="105">
        <f t="shared" si="172"/>
        <v>1.2908777969018934</v>
      </c>
      <c r="V1420" s="104">
        <f>IFERROR(VLOOKUP(L1420,'Raw material list'!$A$2:$S$3102,6,0),0)</f>
        <v>1.2999999999999999E-2</v>
      </c>
      <c r="W1420" s="104">
        <f t="shared" si="173"/>
        <v>1.6781411359724614E-2</v>
      </c>
    </row>
    <row r="1421" spans="1:23" hidden="1" x14ac:dyDescent="0.55000000000000004">
      <c r="A1421" s="76" t="str">
        <f t="shared" si="174"/>
        <v>RCP-SMC-000091</v>
      </c>
      <c r="B1421" s="58" t="s">
        <v>35</v>
      </c>
      <c r="C1421" s="58" t="s">
        <v>10</v>
      </c>
      <c r="D1421" s="76" t="str">
        <f t="shared" si="175"/>
        <v>Chicken Orzo Pasta Vegetable</v>
      </c>
      <c r="E1421" s="107" t="s">
        <v>1432</v>
      </c>
      <c r="F1421" s="107" t="s">
        <v>2078</v>
      </c>
      <c r="G1421" s="94" t="s">
        <v>1779</v>
      </c>
      <c r="H1421" s="107" t="s">
        <v>1773</v>
      </c>
      <c r="I1421" s="76"/>
      <c r="J1421" s="76"/>
      <c r="K1421" s="58" t="str">
        <f>IFERROR(VLOOKUP(L1421,'Raw material list'!$A$3:$C$715,3,0),"")</f>
        <v>PLT2-3278</v>
      </c>
      <c r="L1421" s="59" t="s">
        <v>80</v>
      </c>
      <c r="M1421" s="80" t="s">
        <v>156</v>
      </c>
      <c r="N1421" s="40" t="str">
        <f>VLOOKUP(L1421,'Raw material list'!$A$3:$E$715,5,0)</f>
        <v xml:space="preserve">Gram </v>
      </c>
      <c r="O1421" s="80">
        <v>250</v>
      </c>
      <c r="P1421" s="299">
        <f t="shared" si="171"/>
        <v>328.08398950131232</v>
      </c>
      <c r="Q1421" s="303">
        <v>76.2</v>
      </c>
      <c r="R1421" s="80">
        <v>14</v>
      </c>
      <c r="S1421" s="80"/>
      <c r="T1421" s="105">
        <f t="shared" si="168"/>
        <v>17.857142857142858</v>
      </c>
      <c r="U1421" s="105">
        <f t="shared" si="172"/>
        <v>23.434570678665164</v>
      </c>
      <c r="V1421" s="104">
        <f>IFERROR(VLOOKUP(L1421,'Raw material list'!$A$2:$S$3102,6,0),0)</f>
        <v>3.0357142857142853E-2</v>
      </c>
      <c r="W1421" s="104">
        <f t="shared" si="173"/>
        <v>0.71140660988804949</v>
      </c>
    </row>
    <row r="1422" spans="1:23" hidden="1" x14ac:dyDescent="0.55000000000000004">
      <c r="A1422" s="76" t="str">
        <f t="shared" si="174"/>
        <v>RCP-SMC-000091</v>
      </c>
      <c r="B1422" s="58" t="s">
        <v>35</v>
      </c>
      <c r="C1422" s="58" t="s">
        <v>10</v>
      </c>
      <c r="D1422" s="76" t="str">
        <f t="shared" si="175"/>
        <v>Chicken Orzo Pasta Vegetable</v>
      </c>
      <c r="E1422" s="107" t="s">
        <v>1432</v>
      </c>
      <c r="F1422" s="107" t="s">
        <v>2079</v>
      </c>
      <c r="G1422" s="94" t="s">
        <v>1779</v>
      </c>
      <c r="H1422" s="107" t="s">
        <v>1773</v>
      </c>
      <c r="I1422" s="76"/>
      <c r="J1422" s="76"/>
      <c r="K1422" s="58" t="str">
        <f>IFERROR(VLOOKUP(L1422,'Raw material list'!$A$3:$C$715,3,0),"")</f>
        <v>PRD1-3546</v>
      </c>
      <c r="L1422" s="59" t="s">
        <v>971</v>
      </c>
      <c r="M1422" s="80" t="s">
        <v>156</v>
      </c>
      <c r="N1422" s="40" t="str">
        <f>VLOOKUP(L1422,'Raw material list'!$A$3:$E$715,5,0)</f>
        <v xml:space="preserve">Gram </v>
      </c>
      <c r="O1422" s="80">
        <v>100</v>
      </c>
      <c r="P1422" s="299">
        <f t="shared" si="171"/>
        <v>122.44897959183673</v>
      </c>
      <c r="Q1422" s="105">
        <v>81.666666666666671</v>
      </c>
      <c r="R1422" s="80">
        <v>14</v>
      </c>
      <c r="S1422" s="80"/>
      <c r="T1422" s="105">
        <f t="shared" si="168"/>
        <v>7.1428571428571432</v>
      </c>
      <c r="U1422" s="105">
        <f t="shared" si="172"/>
        <v>8.7463556851311957</v>
      </c>
      <c r="V1422" s="104">
        <f>IFERROR(VLOOKUP(L1422,'Raw material list'!$A$2:$S$3102,6,0),0)</f>
        <v>0.04</v>
      </c>
      <c r="W1422" s="104">
        <f t="shared" si="173"/>
        <v>0.34985422740524785</v>
      </c>
    </row>
    <row r="1423" spans="1:23" hidden="1" x14ac:dyDescent="0.55000000000000004">
      <c r="A1423" s="76" t="str">
        <f t="shared" si="174"/>
        <v>RCP-SMC-000091</v>
      </c>
      <c r="B1423" s="58" t="s">
        <v>35</v>
      </c>
      <c r="C1423" s="58" t="s">
        <v>10</v>
      </c>
      <c r="D1423" s="76" t="str">
        <f t="shared" si="175"/>
        <v>Chicken Orzo Pasta Vegetable</v>
      </c>
      <c r="E1423" s="107" t="s">
        <v>1432</v>
      </c>
      <c r="F1423" s="107" t="s">
        <v>2079</v>
      </c>
      <c r="G1423" s="94" t="s">
        <v>1779</v>
      </c>
      <c r="H1423" s="107" t="s">
        <v>1773</v>
      </c>
      <c r="I1423" s="76"/>
      <c r="J1423" s="76"/>
      <c r="K1423" s="58" t="str">
        <f>IFERROR(VLOOKUP(L1423,'Raw material list'!$A$3:$C$715,3,0),"")</f>
        <v>PRD1-191</v>
      </c>
      <c r="L1423" s="59" t="s">
        <v>996</v>
      </c>
      <c r="M1423" s="80" t="s">
        <v>156</v>
      </c>
      <c r="N1423" s="40" t="str">
        <f>VLOOKUP(L1423,'Raw material list'!$A$3:$E$715,5,0)</f>
        <v xml:space="preserve">Gram </v>
      </c>
      <c r="O1423" s="80">
        <v>25</v>
      </c>
      <c r="P1423" s="299">
        <f t="shared" si="171"/>
        <v>28.376844494892168</v>
      </c>
      <c r="Q1423" s="105">
        <v>88.1</v>
      </c>
      <c r="R1423" s="80">
        <v>14</v>
      </c>
      <c r="S1423" s="80"/>
      <c r="T1423" s="105">
        <f t="shared" si="168"/>
        <v>1.7857142857142858</v>
      </c>
      <c r="U1423" s="105">
        <f t="shared" si="172"/>
        <v>2.0269174639208694</v>
      </c>
      <c r="V1423" s="104">
        <f>IFERROR(VLOOKUP(L1423,'Raw material list'!$A$2:$S$3102,6,0),0)</f>
        <v>2.4971623155505111E-2</v>
      </c>
      <c r="W1423" s="104">
        <f t="shared" si="173"/>
        <v>5.0615419076344079E-2</v>
      </c>
    </row>
    <row r="1424" spans="1:23" hidden="1" x14ac:dyDescent="0.55000000000000004">
      <c r="A1424" s="76" t="str">
        <f t="shared" si="174"/>
        <v>RCP-SMC-000091</v>
      </c>
      <c r="B1424" s="58" t="s">
        <v>35</v>
      </c>
      <c r="C1424" s="58" t="s">
        <v>10</v>
      </c>
      <c r="D1424" s="76" t="str">
        <f t="shared" si="175"/>
        <v>Chicken Orzo Pasta Vegetable</v>
      </c>
      <c r="E1424" s="107" t="s">
        <v>1432</v>
      </c>
      <c r="F1424" s="107" t="s">
        <v>2079</v>
      </c>
      <c r="G1424" s="94" t="s">
        <v>1779</v>
      </c>
      <c r="H1424" s="107" t="s">
        <v>1773</v>
      </c>
      <c r="I1424" s="76"/>
      <c r="J1424" s="76"/>
      <c r="K1424" s="58" t="str">
        <f>IFERROR(VLOOKUP(L1424,'Raw material list'!$A$3:$C$715,3,0),"")</f>
        <v>DRS1-3811</v>
      </c>
      <c r="L1424" s="59" t="s">
        <v>40</v>
      </c>
      <c r="M1424" s="80" t="s">
        <v>156</v>
      </c>
      <c r="N1424" s="40" t="str">
        <f>VLOOKUP(L1424,'Raw material list'!$A$3:$E$715,5,0)</f>
        <v xml:space="preserve">Gram </v>
      </c>
      <c r="O1424" s="80">
        <v>10</v>
      </c>
      <c r="P1424" s="299">
        <f t="shared" si="171"/>
        <v>10</v>
      </c>
      <c r="Q1424" s="303">
        <v>100</v>
      </c>
      <c r="R1424" s="80">
        <v>14</v>
      </c>
      <c r="S1424" s="80"/>
      <c r="T1424" s="105">
        <f t="shared" si="168"/>
        <v>0.7142857142857143</v>
      </c>
      <c r="U1424" s="105">
        <f t="shared" si="172"/>
        <v>0.7142857142857143</v>
      </c>
      <c r="V1424" s="104">
        <f>IFERROR(VLOOKUP(L1424,'Raw material list'!$A$2:$S$3102,6,0),0)</f>
        <v>2.8475E-2</v>
      </c>
      <c r="W1424" s="104">
        <f t="shared" si="173"/>
        <v>2.0339285714285716E-2</v>
      </c>
    </row>
    <row r="1425" spans="1:23" hidden="1" x14ac:dyDescent="0.55000000000000004">
      <c r="A1425" s="76" t="str">
        <f t="shared" si="174"/>
        <v>RCP-SMC-000091</v>
      </c>
      <c r="B1425" s="58" t="s">
        <v>35</v>
      </c>
      <c r="C1425" s="58" t="s">
        <v>10</v>
      </c>
      <c r="D1425" s="76" t="str">
        <f t="shared" si="175"/>
        <v>Chicken Orzo Pasta Vegetable</v>
      </c>
      <c r="E1425" s="107" t="s">
        <v>1432</v>
      </c>
      <c r="F1425" s="107" t="s">
        <v>2079</v>
      </c>
      <c r="G1425" s="94" t="s">
        <v>1779</v>
      </c>
      <c r="H1425" s="107" t="s">
        <v>1773</v>
      </c>
      <c r="I1425" s="76"/>
      <c r="J1425" s="76"/>
      <c r="K1425" s="58" t="str">
        <f>IFERROR(VLOOKUP(L1425,'Raw material list'!$A$3:$C$715,3,0),"")</f>
        <v>TAP-00001</v>
      </c>
      <c r="L1425" s="59" t="s">
        <v>1405</v>
      </c>
      <c r="M1425" s="80" t="s">
        <v>206</v>
      </c>
      <c r="N1425" s="40" t="str">
        <f>VLOOKUP(L1425,'Raw material list'!$A$3:$E$715,5,0)</f>
        <v>Ml</v>
      </c>
      <c r="O1425" s="80">
        <v>2000</v>
      </c>
      <c r="P1425" s="299">
        <f t="shared" si="171"/>
        <v>2000</v>
      </c>
      <c r="Q1425" s="80">
        <v>100</v>
      </c>
      <c r="R1425" s="80">
        <v>14</v>
      </c>
      <c r="S1425" s="80"/>
      <c r="T1425" s="105">
        <f t="shared" si="168"/>
        <v>142.85714285714286</v>
      </c>
      <c r="U1425" s="105">
        <f t="shared" si="172"/>
        <v>142.85714285714286</v>
      </c>
      <c r="V1425" s="104">
        <f>IFERROR(VLOOKUP(L1425,'Raw material list'!$A$2:$S$3102,6,0),0)</f>
        <v>8.0000000000000007E-5</v>
      </c>
      <c r="W1425" s="104">
        <f t="shared" si="173"/>
        <v>1.142857142857143E-2</v>
      </c>
    </row>
    <row r="1426" spans="1:23" hidden="1" x14ac:dyDescent="0.55000000000000004">
      <c r="A1426" s="76" t="str">
        <f t="shared" si="174"/>
        <v>RCP-SMC-000091</v>
      </c>
      <c r="B1426" s="58" t="s">
        <v>35</v>
      </c>
      <c r="C1426" s="58" t="s">
        <v>10</v>
      </c>
      <c r="D1426" s="76" t="str">
        <f t="shared" si="175"/>
        <v>Chicken Orzo Pasta Vegetable</v>
      </c>
      <c r="E1426" s="107" t="s">
        <v>1432</v>
      </c>
      <c r="F1426" s="107" t="s">
        <v>2079</v>
      </c>
      <c r="G1426" s="94" t="s">
        <v>1779</v>
      </c>
      <c r="H1426" s="107" t="s">
        <v>1773</v>
      </c>
      <c r="I1426" s="76"/>
      <c r="J1426" s="76"/>
      <c r="K1426" s="58" t="str">
        <f>IFERROR(VLOOKUP(L1426,'Raw material list'!$A$3:$C$715,3,0),"")</f>
        <v>DRS2-3825</v>
      </c>
      <c r="L1426" s="59" t="s">
        <v>555</v>
      </c>
      <c r="M1426" s="80" t="s">
        <v>156</v>
      </c>
      <c r="N1426" s="40" t="str">
        <f>VLOOKUP(L1426,'Raw material list'!$A$3:$E$715,5,0)</f>
        <v xml:space="preserve">Gram </v>
      </c>
      <c r="O1426" s="80">
        <v>80</v>
      </c>
      <c r="P1426" s="299">
        <f t="shared" si="171"/>
        <v>80</v>
      </c>
      <c r="Q1426" s="80">
        <v>100</v>
      </c>
      <c r="R1426" s="80">
        <v>14</v>
      </c>
      <c r="S1426" s="80"/>
      <c r="T1426" s="105">
        <f t="shared" si="168"/>
        <v>5.7142857142857144</v>
      </c>
      <c r="U1426" s="105">
        <f t="shared" si="172"/>
        <v>5.7142857142857144</v>
      </c>
      <c r="V1426" s="104">
        <f>IFERROR(VLOOKUP(L1426,'Raw material list'!$A$2:$S$3102,6,0),0)</f>
        <v>9.2222222222222237E-3</v>
      </c>
      <c r="W1426" s="104">
        <f t="shared" si="173"/>
        <v>5.269841269841271E-2</v>
      </c>
    </row>
    <row r="1427" spans="1:23" hidden="1" x14ac:dyDescent="0.55000000000000004">
      <c r="A1427" s="76" t="str">
        <f t="shared" si="174"/>
        <v>RCP-SMC-000091</v>
      </c>
      <c r="B1427" s="58" t="s">
        <v>35</v>
      </c>
      <c r="C1427" s="58" t="s">
        <v>10</v>
      </c>
      <c r="D1427" s="76" t="str">
        <f t="shared" si="175"/>
        <v>Chicken Orzo Pasta Vegetable</v>
      </c>
      <c r="E1427" s="107" t="s">
        <v>1432</v>
      </c>
      <c r="F1427" s="107" t="s">
        <v>2079</v>
      </c>
      <c r="G1427" s="94" t="s">
        <v>1779</v>
      </c>
      <c r="H1427" s="107" t="s">
        <v>1773</v>
      </c>
      <c r="I1427" s="76"/>
      <c r="J1427" s="76"/>
      <c r="K1427" s="58" t="str">
        <f>IFERROR(VLOOKUP(L1427,'Raw material list'!$A$3:$C$715,3,0),"")</f>
        <v>DRS6-309</v>
      </c>
      <c r="L1427" s="59" t="s">
        <v>61</v>
      </c>
      <c r="M1427" s="80" t="s">
        <v>156</v>
      </c>
      <c r="N1427" s="40" t="str">
        <f>VLOOKUP(L1427,'Raw material list'!$A$3:$E$715,5,0)</f>
        <v xml:space="preserve">Gram </v>
      </c>
      <c r="O1427" s="80">
        <v>1</v>
      </c>
      <c r="P1427" s="299">
        <f t="shared" si="171"/>
        <v>1</v>
      </c>
      <c r="Q1427" s="80">
        <v>100</v>
      </c>
      <c r="R1427" s="80">
        <v>14</v>
      </c>
      <c r="S1427" s="80"/>
      <c r="T1427" s="105">
        <f t="shared" si="168"/>
        <v>7.1428571428571425E-2</v>
      </c>
      <c r="U1427" s="105">
        <f t="shared" si="172"/>
        <v>7.1428571428571425E-2</v>
      </c>
      <c r="V1427" s="104">
        <f>IFERROR(VLOOKUP(L1427,'Raw material list'!$A$2:$S$3102,6,0),0)</f>
        <v>2.8000000000000001E-2</v>
      </c>
      <c r="W1427" s="104">
        <f t="shared" si="173"/>
        <v>2E-3</v>
      </c>
    </row>
    <row r="1428" spans="1:23" hidden="1" x14ac:dyDescent="0.55000000000000004">
      <c r="A1428" s="76" t="str">
        <f t="shared" si="174"/>
        <v>RCP-SMC-000091</v>
      </c>
      <c r="B1428" s="58" t="s">
        <v>35</v>
      </c>
      <c r="C1428" s="58" t="s">
        <v>10</v>
      </c>
      <c r="D1428" s="76" t="str">
        <f t="shared" si="175"/>
        <v>Chicken Orzo Pasta Vegetable</v>
      </c>
      <c r="E1428" s="107" t="s">
        <v>1432</v>
      </c>
      <c r="F1428" s="107" t="s">
        <v>2079</v>
      </c>
      <c r="G1428" s="94" t="s">
        <v>1779</v>
      </c>
      <c r="H1428" s="107" t="s">
        <v>1773</v>
      </c>
      <c r="I1428" s="76"/>
      <c r="J1428" s="76"/>
      <c r="K1428" s="58" t="str">
        <f>IFERROR(VLOOKUP(L1428,'Raw material list'!$A$3:$C$715,3,0),"")</f>
        <v>PRD1-227</v>
      </c>
      <c r="L1428" s="59" t="s">
        <v>1038</v>
      </c>
      <c r="M1428" s="80" t="s">
        <v>156</v>
      </c>
      <c r="N1428" s="40" t="str">
        <f>VLOOKUP(L1428,'Raw material list'!$A$3:$E$715,5,0)</f>
        <v xml:space="preserve">Gram </v>
      </c>
      <c r="O1428" s="80">
        <v>5</v>
      </c>
      <c r="P1428" s="299">
        <f t="shared" si="171"/>
        <v>14.423076923076922</v>
      </c>
      <c r="Q1428" s="105">
        <v>34.666666666666671</v>
      </c>
      <c r="R1428" s="80">
        <v>14</v>
      </c>
      <c r="S1428" s="80"/>
      <c r="T1428" s="105">
        <f t="shared" si="168"/>
        <v>0.35714285714285715</v>
      </c>
      <c r="U1428" s="105">
        <f t="shared" si="172"/>
        <v>1.0302197802197801</v>
      </c>
      <c r="V1428" s="104">
        <f>IFERROR(VLOOKUP(L1428,'Raw material list'!$A$2:$S$3102,6,0),0)</f>
        <v>1.5850144092219021E-2</v>
      </c>
      <c r="W1428" s="104">
        <f t="shared" si="173"/>
        <v>1.6329131963137726E-2</v>
      </c>
    </row>
    <row r="1429" spans="1:23" hidden="1" x14ac:dyDescent="0.55000000000000004">
      <c r="A1429" s="76" t="str">
        <f t="shared" si="174"/>
        <v>RCP-SMC-000091</v>
      </c>
      <c r="B1429" s="58" t="s">
        <v>35</v>
      </c>
      <c r="C1429" s="58" t="s">
        <v>10</v>
      </c>
      <c r="D1429" s="76" t="str">
        <f t="shared" si="175"/>
        <v>Chicken Orzo Pasta Vegetable</v>
      </c>
      <c r="E1429" s="107" t="s">
        <v>1432</v>
      </c>
      <c r="F1429" s="107" t="s">
        <v>2079</v>
      </c>
      <c r="G1429" s="94" t="s">
        <v>1779</v>
      </c>
      <c r="H1429" s="107" t="s">
        <v>1773</v>
      </c>
      <c r="I1429" s="76"/>
      <c r="J1429" s="76"/>
      <c r="K1429" s="58" t="str">
        <f>IFERROR(VLOOKUP(L1429,'Raw material list'!$A$3:$C$715,3,0),"")</f>
        <v>DRS1-3880</v>
      </c>
      <c r="L1429" s="59" t="s">
        <v>1433</v>
      </c>
      <c r="M1429" s="80" t="s">
        <v>156</v>
      </c>
      <c r="N1429" s="40" t="str">
        <f>VLOOKUP(L1429,'Raw material list'!$A$3:$E$715,5,0)</f>
        <v xml:space="preserve">Gram </v>
      </c>
      <c r="O1429" s="80">
        <v>10</v>
      </c>
      <c r="P1429" s="299">
        <f t="shared" si="171"/>
        <v>10</v>
      </c>
      <c r="Q1429" s="303">
        <v>100</v>
      </c>
      <c r="R1429" s="80">
        <v>14</v>
      </c>
      <c r="S1429" s="80"/>
      <c r="T1429" s="105">
        <f t="shared" si="168"/>
        <v>0.7142857142857143</v>
      </c>
      <c r="U1429" s="105">
        <f t="shared" si="172"/>
        <v>0.7142857142857143</v>
      </c>
      <c r="V1429" s="104">
        <f>IFERROR(VLOOKUP(L1429,'Raw material list'!$A$2:$S$3102,6,0),0)</f>
        <v>5.0000000000000001E-4</v>
      </c>
      <c r="W1429" s="104">
        <f t="shared" si="173"/>
        <v>3.5714285714285714E-4</v>
      </c>
    </row>
    <row r="1430" spans="1:23" hidden="1" x14ac:dyDescent="0.55000000000000004">
      <c r="A1430" s="76" t="str">
        <f t="shared" si="174"/>
        <v>RCP-SMC-000091</v>
      </c>
      <c r="B1430" s="58" t="s">
        <v>35</v>
      </c>
      <c r="C1430" s="58" t="s">
        <v>10</v>
      </c>
      <c r="D1430" s="76" t="str">
        <f t="shared" si="175"/>
        <v>Chicken Orzo Pasta Vegetable</v>
      </c>
      <c r="E1430" s="107" t="s">
        <v>1432</v>
      </c>
      <c r="F1430" s="107" t="s">
        <v>2079</v>
      </c>
      <c r="G1430" s="94" t="s">
        <v>1779</v>
      </c>
      <c r="H1430" s="107" t="s">
        <v>1773</v>
      </c>
      <c r="I1430" s="76"/>
      <c r="J1430" s="76"/>
      <c r="K1430" s="58" t="str">
        <f>IFERROR(VLOOKUP(L1430,'Raw material list'!$A$3:$C$715,3,0),"")</f>
        <v>DRS5-40</v>
      </c>
      <c r="L1430" s="59" t="s">
        <v>58</v>
      </c>
      <c r="M1430" s="80" t="s">
        <v>156</v>
      </c>
      <c r="N1430" s="40" t="str">
        <f>VLOOKUP(L1430,'Raw material list'!$A$3:$E$715,5,0)</f>
        <v xml:space="preserve">Gram </v>
      </c>
      <c r="O1430" s="80">
        <v>40</v>
      </c>
      <c r="P1430" s="299">
        <f t="shared" si="171"/>
        <v>40</v>
      </c>
      <c r="Q1430" s="80">
        <v>100</v>
      </c>
      <c r="R1430" s="80">
        <v>14</v>
      </c>
      <c r="S1430" s="80"/>
      <c r="T1430" s="105">
        <f t="shared" si="168"/>
        <v>2.8571428571428572</v>
      </c>
      <c r="U1430" s="105">
        <f t="shared" si="172"/>
        <v>2.8571428571428572</v>
      </c>
      <c r="V1430" s="104">
        <f>IFERROR(VLOOKUP(L1430,'Raw material list'!$A$2:$S$3102,6,0),0)</f>
        <v>7.7777777777777773E-4</v>
      </c>
      <c r="W1430" s="104">
        <f t="shared" si="173"/>
        <v>2.2222222222222222E-3</v>
      </c>
    </row>
    <row r="1431" spans="1:23" hidden="1" x14ac:dyDescent="0.55000000000000004">
      <c r="A1431" s="76" t="str">
        <f t="shared" si="174"/>
        <v>RCP-SMC-000091</v>
      </c>
      <c r="B1431" s="58" t="s">
        <v>35</v>
      </c>
      <c r="C1431" s="58" t="s">
        <v>10</v>
      </c>
      <c r="D1431" s="76" t="str">
        <f t="shared" si="175"/>
        <v>Chicken Orzo Pasta Vegetable</v>
      </c>
      <c r="E1431" s="107" t="s">
        <v>1432</v>
      </c>
      <c r="F1431" s="107" t="s">
        <v>2079</v>
      </c>
      <c r="G1431" s="94" t="s">
        <v>1779</v>
      </c>
      <c r="H1431" s="107" t="s">
        <v>1773</v>
      </c>
      <c r="I1431" s="76"/>
      <c r="J1431" s="76"/>
      <c r="K1431" s="58" t="str">
        <f>IFERROR(VLOOKUP(L1431,'Raw material list'!$A$3:$C$715,3,0),"")</f>
        <v>PRD1-572</v>
      </c>
      <c r="L1431" s="59" t="s">
        <v>54</v>
      </c>
      <c r="M1431" s="80" t="s">
        <v>156</v>
      </c>
      <c r="N1431" s="40" t="str">
        <f>VLOOKUP(L1431,'Raw material list'!$A$3:$E$715,5,0)</f>
        <v xml:space="preserve">Gram </v>
      </c>
      <c r="O1431" s="80">
        <v>400</v>
      </c>
      <c r="P1431" s="299">
        <f t="shared" si="171"/>
        <v>453.34340763128063</v>
      </c>
      <c r="Q1431" s="105">
        <v>88.233333333333348</v>
      </c>
      <c r="R1431" s="80">
        <v>14</v>
      </c>
      <c r="S1431" s="80"/>
      <c r="T1431" s="105">
        <f t="shared" si="168"/>
        <v>28.571428571428573</v>
      </c>
      <c r="U1431" s="105">
        <f t="shared" si="172"/>
        <v>32.381671973662904</v>
      </c>
      <c r="V1431" s="104">
        <f>IFERROR(VLOOKUP(L1431,'Raw material list'!$A$2:$S$3102,6,0),0)</f>
        <v>4.5351473922902496E-3</v>
      </c>
      <c r="W1431" s="104">
        <f t="shared" si="173"/>
        <v>0.14685565520935559</v>
      </c>
    </row>
    <row r="1432" spans="1:23" hidden="1" x14ac:dyDescent="0.55000000000000004">
      <c r="A1432" s="76" t="str">
        <f t="shared" si="174"/>
        <v>RCP-SMC-000091</v>
      </c>
      <c r="B1432" s="58" t="s">
        <v>35</v>
      </c>
      <c r="C1432" s="58" t="s">
        <v>10</v>
      </c>
      <c r="D1432" s="76" t="str">
        <f t="shared" si="175"/>
        <v>Chicken Orzo Pasta Vegetable</v>
      </c>
      <c r="E1432" s="107" t="s">
        <v>1432</v>
      </c>
      <c r="F1432" s="107" t="s">
        <v>2079</v>
      </c>
      <c r="G1432" s="94" t="s">
        <v>1779</v>
      </c>
      <c r="H1432" s="107" t="s">
        <v>1773</v>
      </c>
      <c r="I1432" s="76"/>
      <c r="J1432" s="76"/>
      <c r="K1432" s="58" t="str">
        <f>IFERROR(VLOOKUP(L1432,'Raw material list'!$A$3:$C$715,3,0),"")</f>
        <v>DRS1-1747</v>
      </c>
      <c r="L1432" s="59" t="s">
        <v>44</v>
      </c>
      <c r="M1432" s="80" t="s">
        <v>156</v>
      </c>
      <c r="N1432" s="40" t="str">
        <f>VLOOKUP(L1432,'Raw material list'!$A$3:$E$715,5,0)</f>
        <v xml:space="preserve">Gram </v>
      </c>
      <c r="O1432" s="80">
        <v>40</v>
      </c>
      <c r="P1432" s="299">
        <f t="shared" si="171"/>
        <v>40</v>
      </c>
      <c r="Q1432" s="303">
        <v>100</v>
      </c>
      <c r="R1432" s="80">
        <v>14</v>
      </c>
      <c r="S1432" s="80"/>
      <c r="T1432" s="105">
        <f t="shared" si="168"/>
        <v>2.8571428571428572</v>
      </c>
      <c r="U1432" s="105">
        <f t="shared" si="172"/>
        <v>2.8571428571428572</v>
      </c>
      <c r="V1432" s="104">
        <f>IFERROR(VLOOKUP(L1432,'Raw material list'!$A$2:$S$3102,6,0),0)</f>
        <v>5.185185185185185E-3</v>
      </c>
      <c r="W1432" s="104">
        <f t="shared" si="173"/>
        <v>1.4814814814814815E-2</v>
      </c>
    </row>
    <row r="1433" spans="1:23" hidden="1" x14ac:dyDescent="0.55000000000000004">
      <c r="A1433" s="76" t="s">
        <v>1420</v>
      </c>
      <c r="B1433" s="58" t="s">
        <v>35</v>
      </c>
      <c r="C1433" s="58" t="s">
        <v>10</v>
      </c>
      <c r="D1433" s="76" t="s">
        <v>1619</v>
      </c>
      <c r="E1433" s="94" t="s">
        <v>1775</v>
      </c>
      <c r="F1433" s="94" t="s">
        <v>2079</v>
      </c>
      <c r="G1433" s="94" t="s">
        <v>1779</v>
      </c>
      <c r="H1433" s="107" t="s">
        <v>1773</v>
      </c>
      <c r="I1433" s="76"/>
      <c r="J1433" s="76"/>
      <c r="K1433" s="58" t="str">
        <f>IFERROR(VLOOKUP(L1433,'Raw material list'!$A$3:$C$715,3,0),"")</f>
        <v>DRY2-1008</v>
      </c>
      <c r="L1433" s="59" t="s">
        <v>57</v>
      </c>
      <c r="M1433" s="80" t="s">
        <v>156</v>
      </c>
      <c r="N1433" s="40" t="str">
        <f>VLOOKUP(L1433,'Raw material list'!$A$3:$E$715,5,0)</f>
        <v xml:space="preserve">Gram </v>
      </c>
      <c r="O1433" s="80">
        <v>25</v>
      </c>
      <c r="P1433" s="299">
        <f t="shared" si="171"/>
        <v>25</v>
      </c>
      <c r="Q1433" s="80">
        <v>100</v>
      </c>
      <c r="R1433" s="80">
        <v>14</v>
      </c>
      <c r="S1433" s="80"/>
      <c r="T1433" s="105">
        <f t="shared" si="168"/>
        <v>1.7857142857142858</v>
      </c>
      <c r="U1433" s="105">
        <f t="shared" si="172"/>
        <v>1.7857142857142858</v>
      </c>
      <c r="V1433" s="104">
        <f>IFERROR(VLOOKUP(L1433,'Raw material list'!$A$2:$S$3102,6,0),0)</f>
        <v>0.03</v>
      </c>
      <c r="W1433" s="104">
        <f t="shared" si="173"/>
        <v>5.3571428571428575E-2</v>
      </c>
    </row>
    <row r="1434" spans="1:23" hidden="1" x14ac:dyDescent="0.55000000000000004">
      <c r="A1434" s="76" t="str">
        <f t="shared" ref="A1434:A1443" si="176">A1433</f>
        <v>RCP-SMC-000092</v>
      </c>
      <c r="B1434" s="58" t="s">
        <v>35</v>
      </c>
      <c r="C1434" s="58" t="s">
        <v>10</v>
      </c>
      <c r="D1434" s="76" t="str">
        <f t="shared" ref="D1434:D1443" si="177">D1433</f>
        <v>Strained creme of corn soup</v>
      </c>
      <c r="E1434" s="94" t="s">
        <v>1775</v>
      </c>
      <c r="F1434" s="94" t="s">
        <v>2079</v>
      </c>
      <c r="G1434" s="94" t="s">
        <v>1779</v>
      </c>
      <c r="H1434" s="107" t="s">
        <v>1773</v>
      </c>
      <c r="I1434" s="76"/>
      <c r="J1434" s="76"/>
      <c r="K1434" s="58" t="str">
        <f>IFERROR(VLOOKUP(L1434,'Raw material list'!$A$3:$C$715,3,0),"")</f>
        <v>PRD1-4265</v>
      </c>
      <c r="L1434" s="59" t="s">
        <v>38</v>
      </c>
      <c r="M1434" s="80" t="s">
        <v>156</v>
      </c>
      <c r="N1434" s="40" t="str">
        <f>VLOOKUP(L1434,'Raw material list'!$A$3:$E$715,5,0)</f>
        <v xml:space="preserve">Gram </v>
      </c>
      <c r="O1434" s="80">
        <v>100</v>
      </c>
      <c r="P1434" s="299">
        <f t="shared" si="171"/>
        <v>117.64705882352942</v>
      </c>
      <c r="Q1434" s="105">
        <v>85</v>
      </c>
      <c r="R1434" s="80">
        <v>14</v>
      </c>
      <c r="S1434" s="80"/>
      <c r="T1434" s="105">
        <f t="shared" si="168"/>
        <v>7.1428571428571432</v>
      </c>
      <c r="U1434" s="105">
        <f t="shared" si="172"/>
        <v>8.4033613445378155</v>
      </c>
      <c r="V1434" s="104">
        <f>IFERROR(VLOOKUP(L1434,'Raw material list'!$A$2:$S$3102,6,0),0)</f>
        <v>3.529411764705882E-3</v>
      </c>
      <c r="W1434" s="104">
        <f t="shared" si="173"/>
        <v>2.9658922392486405E-2</v>
      </c>
    </row>
    <row r="1435" spans="1:23" hidden="1" x14ac:dyDescent="0.55000000000000004">
      <c r="A1435" s="76" t="str">
        <f t="shared" si="176"/>
        <v>RCP-SMC-000092</v>
      </c>
      <c r="B1435" s="58" t="s">
        <v>35</v>
      </c>
      <c r="C1435" s="58" t="s">
        <v>10</v>
      </c>
      <c r="D1435" s="76" t="str">
        <f t="shared" si="177"/>
        <v>Strained creme of corn soup</v>
      </c>
      <c r="E1435" s="94" t="s">
        <v>1775</v>
      </c>
      <c r="F1435" s="94" t="s">
        <v>2079</v>
      </c>
      <c r="G1435" s="94" t="s">
        <v>1779</v>
      </c>
      <c r="H1435" s="107" t="s">
        <v>1773</v>
      </c>
      <c r="I1435" s="76"/>
      <c r="J1435" s="76"/>
      <c r="K1435" s="58" t="str">
        <f>IFERROR(VLOOKUP(L1435,'Raw material list'!$A$3:$C$715,3,0),"")</f>
        <v>PRD1-4327</v>
      </c>
      <c r="L1435" s="59" t="s">
        <v>39</v>
      </c>
      <c r="M1435" s="80" t="s">
        <v>156</v>
      </c>
      <c r="N1435" s="40" t="str">
        <f>VLOOKUP(L1435,'Raw material list'!$A$3:$E$715,5,0)</f>
        <v xml:space="preserve">Gram </v>
      </c>
      <c r="O1435" s="80">
        <v>15</v>
      </c>
      <c r="P1435" s="299">
        <f t="shared" si="171"/>
        <v>18.072289156626507</v>
      </c>
      <c r="Q1435" s="105">
        <v>83</v>
      </c>
      <c r="R1435" s="80">
        <v>14</v>
      </c>
      <c r="S1435" s="80"/>
      <c r="T1435" s="105">
        <f t="shared" si="168"/>
        <v>1.0714285714285714</v>
      </c>
      <c r="U1435" s="105">
        <f t="shared" si="172"/>
        <v>1.2908777969018934</v>
      </c>
      <c r="V1435" s="104">
        <f>IFERROR(VLOOKUP(L1435,'Raw material list'!$A$2:$S$3102,6,0),0)</f>
        <v>1.2999999999999999E-2</v>
      </c>
      <c r="W1435" s="104">
        <f t="shared" si="173"/>
        <v>1.6781411359724614E-2</v>
      </c>
    </row>
    <row r="1436" spans="1:23" hidden="1" x14ac:dyDescent="0.55000000000000004">
      <c r="A1436" s="76" t="str">
        <f t="shared" si="176"/>
        <v>RCP-SMC-000092</v>
      </c>
      <c r="B1436" s="58" t="s">
        <v>35</v>
      </c>
      <c r="C1436" s="58" t="s">
        <v>10</v>
      </c>
      <c r="D1436" s="76" t="str">
        <f t="shared" si="177"/>
        <v>Strained creme of corn soup</v>
      </c>
      <c r="E1436" s="94" t="s">
        <v>1775</v>
      </c>
      <c r="F1436" s="94" t="s">
        <v>2079</v>
      </c>
      <c r="G1436" s="94" t="s">
        <v>1779</v>
      </c>
      <c r="H1436" s="107" t="s">
        <v>1773</v>
      </c>
      <c r="I1436" s="76"/>
      <c r="J1436" s="76"/>
      <c r="K1436" s="58" t="str">
        <f>IFERROR(VLOOKUP(L1436,'Raw material list'!$A$3:$C$715,3,0),"")</f>
        <v>DRS6-309</v>
      </c>
      <c r="L1436" s="59" t="s">
        <v>61</v>
      </c>
      <c r="M1436" s="80" t="s">
        <v>156</v>
      </c>
      <c r="N1436" s="40" t="str">
        <f>VLOOKUP(L1436,'Raw material list'!$A$3:$E$715,5,0)</f>
        <v xml:space="preserve">Gram </v>
      </c>
      <c r="O1436" s="80">
        <v>2</v>
      </c>
      <c r="P1436" s="299">
        <f t="shared" si="171"/>
        <v>2</v>
      </c>
      <c r="Q1436" s="303">
        <v>100</v>
      </c>
      <c r="R1436" s="80">
        <v>14</v>
      </c>
      <c r="S1436" s="80"/>
      <c r="T1436" s="105">
        <f t="shared" si="168"/>
        <v>0.14285714285714285</v>
      </c>
      <c r="U1436" s="105">
        <f t="shared" si="172"/>
        <v>0.14285714285714285</v>
      </c>
      <c r="V1436" s="104">
        <f>IFERROR(VLOOKUP(L1436,'Raw material list'!$A$2:$S$3102,6,0),0)</f>
        <v>2.8000000000000001E-2</v>
      </c>
      <c r="W1436" s="104">
        <f t="shared" si="173"/>
        <v>4.0000000000000001E-3</v>
      </c>
    </row>
    <row r="1437" spans="1:23" hidden="1" x14ac:dyDescent="0.55000000000000004">
      <c r="A1437" s="76" t="str">
        <f t="shared" si="176"/>
        <v>RCP-SMC-000092</v>
      </c>
      <c r="B1437" s="58" t="s">
        <v>35</v>
      </c>
      <c r="C1437" s="58" t="s">
        <v>10</v>
      </c>
      <c r="D1437" s="76" t="str">
        <f t="shared" si="177"/>
        <v>Strained creme of corn soup</v>
      </c>
      <c r="E1437" s="94" t="s">
        <v>1775</v>
      </c>
      <c r="F1437" s="94" t="s">
        <v>2079</v>
      </c>
      <c r="G1437" s="94" t="s">
        <v>1779</v>
      </c>
      <c r="H1437" s="107" t="s">
        <v>1773</v>
      </c>
      <c r="I1437" s="76"/>
      <c r="J1437" s="76"/>
      <c r="K1437" s="58" t="str">
        <f>IFERROR(VLOOKUP(L1437,'Raw material list'!$A$3:$C$715,3,0),"")</f>
        <v>DRS1-3811</v>
      </c>
      <c r="L1437" s="59" t="s">
        <v>40</v>
      </c>
      <c r="M1437" s="80" t="s">
        <v>156</v>
      </c>
      <c r="N1437" s="40" t="str">
        <f>VLOOKUP(L1437,'Raw material list'!$A$3:$E$715,5,0)</f>
        <v xml:space="preserve">Gram </v>
      </c>
      <c r="O1437" s="80">
        <v>15</v>
      </c>
      <c r="P1437" s="299">
        <f t="shared" si="171"/>
        <v>15</v>
      </c>
      <c r="Q1437" s="80">
        <v>100</v>
      </c>
      <c r="R1437" s="80">
        <v>14</v>
      </c>
      <c r="S1437" s="80"/>
      <c r="T1437" s="105">
        <f t="shared" si="168"/>
        <v>1.0714285714285714</v>
      </c>
      <c r="U1437" s="105">
        <f t="shared" si="172"/>
        <v>1.0714285714285714</v>
      </c>
      <c r="V1437" s="104">
        <f>IFERROR(VLOOKUP(L1437,'Raw material list'!$A$2:$S$3102,6,0),0)</f>
        <v>2.8475E-2</v>
      </c>
      <c r="W1437" s="104">
        <f t="shared" si="173"/>
        <v>3.0508928571428572E-2</v>
      </c>
    </row>
    <row r="1438" spans="1:23" hidden="1" x14ac:dyDescent="0.55000000000000004">
      <c r="A1438" s="76" t="str">
        <f t="shared" si="176"/>
        <v>RCP-SMC-000092</v>
      </c>
      <c r="B1438" s="58" t="s">
        <v>35</v>
      </c>
      <c r="C1438" s="58" t="s">
        <v>10</v>
      </c>
      <c r="D1438" s="76" t="str">
        <f t="shared" si="177"/>
        <v>Strained creme of corn soup</v>
      </c>
      <c r="E1438" s="94" t="s">
        <v>1775</v>
      </c>
      <c r="F1438" s="94" t="s">
        <v>2079</v>
      </c>
      <c r="G1438" s="94" t="s">
        <v>1779</v>
      </c>
      <c r="H1438" s="107" t="s">
        <v>1773</v>
      </c>
      <c r="I1438" s="76"/>
      <c r="J1438" s="76"/>
      <c r="K1438" s="58" t="str">
        <f>IFERROR(VLOOKUP(L1438,'Raw material list'!$A$3:$C$715,3,0),"")</f>
        <v>DRY2-1858</v>
      </c>
      <c r="L1438" s="59" t="s">
        <v>60</v>
      </c>
      <c r="M1438" s="80" t="s">
        <v>206</v>
      </c>
      <c r="N1438" s="40" t="str">
        <f>VLOOKUP(L1438,'Raw material list'!$A$3:$E$715,5,0)</f>
        <v>Ml</v>
      </c>
      <c r="O1438" s="80">
        <v>200</v>
      </c>
      <c r="P1438" s="299">
        <f t="shared" si="171"/>
        <v>200</v>
      </c>
      <c r="Q1438" s="80">
        <v>100</v>
      </c>
      <c r="R1438" s="80">
        <v>14</v>
      </c>
      <c r="S1438" s="80"/>
      <c r="T1438" s="105">
        <f t="shared" si="168"/>
        <v>14.285714285714286</v>
      </c>
      <c r="U1438" s="105">
        <f t="shared" si="172"/>
        <v>14.285714285714286</v>
      </c>
      <c r="V1438" s="104">
        <f>IFERROR(VLOOKUP(L1438,'Raw material list'!$A$2:$S$3102,6,0),0)</f>
        <v>9.8800000000000016E-3</v>
      </c>
      <c r="W1438" s="104">
        <f t="shared" si="173"/>
        <v>0.14114285714285718</v>
      </c>
    </row>
    <row r="1439" spans="1:23" hidden="1" x14ac:dyDescent="0.55000000000000004">
      <c r="A1439" s="76" t="str">
        <f t="shared" si="176"/>
        <v>RCP-SMC-000092</v>
      </c>
      <c r="B1439" s="58" t="s">
        <v>35</v>
      </c>
      <c r="C1439" s="58" t="s">
        <v>10</v>
      </c>
      <c r="D1439" s="76" t="str">
        <f t="shared" si="177"/>
        <v>Strained creme of corn soup</v>
      </c>
      <c r="E1439" s="94" t="s">
        <v>1775</v>
      </c>
      <c r="F1439" s="94" t="s">
        <v>2079</v>
      </c>
      <c r="G1439" s="94" t="s">
        <v>1779</v>
      </c>
      <c r="H1439" s="107" t="s">
        <v>1773</v>
      </c>
      <c r="I1439" s="76"/>
      <c r="J1439" s="76"/>
      <c r="K1439" s="58" t="str">
        <f>IFERROR(VLOOKUP(L1439,'Raw material list'!$A$3:$C$715,3,0),"")</f>
        <v>TAP-00001</v>
      </c>
      <c r="L1439" s="59" t="s">
        <v>1405</v>
      </c>
      <c r="M1439" s="80" t="s">
        <v>206</v>
      </c>
      <c r="N1439" s="40" t="str">
        <f>VLOOKUP(L1439,'Raw material list'!$A$3:$E$715,5,0)</f>
        <v>Ml</v>
      </c>
      <c r="O1439" s="80">
        <v>2000</v>
      </c>
      <c r="P1439" s="299">
        <f t="shared" si="171"/>
        <v>2000</v>
      </c>
      <c r="Q1439" s="80">
        <v>100</v>
      </c>
      <c r="R1439" s="80">
        <v>14</v>
      </c>
      <c r="S1439" s="80"/>
      <c r="T1439" s="105">
        <f t="shared" si="168"/>
        <v>142.85714285714286</v>
      </c>
      <c r="U1439" s="105">
        <f t="shared" si="172"/>
        <v>142.85714285714286</v>
      </c>
      <c r="V1439" s="104">
        <f>IFERROR(VLOOKUP(L1439,'Raw material list'!$A$2:$S$3102,6,0),0)</f>
        <v>8.0000000000000007E-5</v>
      </c>
      <c r="W1439" s="104">
        <f t="shared" si="173"/>
        <v>1.142857142857143E-2</v>
      </c>
    </row>
    <row r="1440" spans="1:23" hidden="1" x14ac:dyDescent="0.55000000000000004">
      <c r="A1440" s="76" t="str">
        <f t="shared" si="176"/>
        <v>RCP-SMC-000092</v>
      </c>
      <c r="B1440" s="58" t="s">
        <v>35</v>
      </c>
      <c r="C1440" s="58" t="s">
        <v>10</v>
      </c>
      <c r="D1440" s="76" t="str">
        <f t="shared" si="177"/>
        <v>Strained creme of corn soup</v>
      </c>
      <c r="E1440" s="94" t="s">
        <v>1775</v>
      </c>
      <c r="F1440" s="94" t="s">
        <v>2079</v>
      </c>
      <c r="G1440" s="94" t="s">
        <v>1779</v>
      </c>
      <c r="H1440" s="107" t="s">
        <v>1773</v>
      </c>
      <c r="I1440" s="76"/>
      <c r="J1440" s="76"/>
      <c r="K1440" s="58" t="str">
        <f>IFERROR(VLOOKUP(L1440,'Raw material list'!$A$3:$C$715,3,0),"")</f>
        <v>DRS1-1463</v>
      </c>
      <c r="L1440" s="59" t="s">
        <v>244</v>
      </c>
      <c r="M1440" s="80" t="s">
        <v>156</v>
      </c>
      <c r="N1440" s="40" t="str">
        <f>VLOOKUP(L1440,'Raw material list'!$A$3:$E$715,5,0)</f>
        <v xml:space="preserve">Gram </v>
      </c>
      <c r="O1440" s="80">
        <v>700</v>
      </c>
      <c r="P1440" s="299">
        <f t="shared" si="171"/>
        <v>700</v>
      </c>
      <c r="Q1440" s="80">
        <v>100</v>
      </c>
      <c r="R1440" s="80">
        <v>14</v>
      </c>
      <c r="S1440" s="80"/>
      <c r="T1440" s="105">
        <f t="shared" si="168"/>
        <v>50</v>
      </c>
      <c r="U1440" s="105">
        <f t="shared" si="172"/>
        <v>50</v>
      </c>
      <c r="V1440" s="104">
        <f>IFERROR(VLOOKUP(L1440,'Raw material list'!$A$2:$S$3102,6,0),0)</f>
        <v>0.01</v>
      </c>
      <c r="W1440" s="104">
        <f t="shared" si="173"/>
        <v>0.5</v>
      </c>
    </row>
    <row r="1441" spans="1:23" hidden="1" x14ac:dyDescent="0.55000000000000004">
      <c r="A1441" s="76" t="str">
        <f t="shared" si="176"/>
        <v>RCP-SMC-000092</v>
      </c>
      <c r="B1441" s="58" t="s">
        <v>35</v>
      </c>
      <c r="C1441" s="58" t="s">
        <v>10</v>
      </c>
      <c r="D1441" s="76" t="str">
        <f t="shared" si="177"/>
        <v>Strained creme of corn soup</v>
      </c>
      <c r="E1441" s="94" t="s">
        <v>1775</v>
      </c>
      <c r="F1441" s="94" t="s">
        <v>2079</v>
      </c>
      <c r="G1441" s="94" t="s">
        <v>1779</v>
      </c>
      <c r="H1441" s="107" t="s">
        <v>1773</v>
      </c>
      <c r="I1441" s="76"/>
      <c r="J1441" s="76"/>
      <c r="K1441" s="58" t="str">
        <f>IFERROR(VLOOKUP(L1441,'Raw material list'!$A$3:$C$715,3,0),"")</f>
        <v>DRS5-980</v>
      </c>
      <c r="L1441" s="59" t="s">
        <v>446</v>
      </c>
      <c r="M1441" s="80" t="s">
        <v>156</v>
      </c>
      <c r="N1441" s="40" t="str">
        <f>VLOOKUP(L1441,'Raw material list'!$A$3:$E$715,5,0)</f>
        <v xml:space="preserve">Gram </v>
      </c>
      <c r="O1441" s="80">
        <v>25</v>
      </c>
      <c r="P1441" s="299">
        <f t="shared" si="171"/>
        <v>25</v>
      </c>
      <c r="Q1441" s="80">
        <v>100</v>
      </c>
      <c r="R1441" s="80">
        <v>14</v>
      </c>
      <c r="S1441" s="80"/>
      <c r="T1441" s="105">
        <f t="shared" si="168"/>
        <v>1.7857142857142858</v>
      </c>
      <c r="U1441" s="105">
        <f t="shared" si="172"/>
        <v>1.7857142857142858</v>
      </c>
      <c r="V1441" s="104">
        <f>IFERROR(VLOOKUP(L1441,'Raw material list'!$A$2:$S$3102,6,0),0)</f>
        <v>1E-3</v>
      </c>
      <c r="W1441" s="104">
        <f t="shared" si="173"/>
        <v>1.7857142857142859E-3</v>
      </c>
    </row>
    <row r="1442" spans="1:23" hidden="1" x14ac:dyDescent="0.55000000000000004">
      <c r="A1442" s="76" t="str">
        <f t="shared" si="176"/>
        <v>RCP-SMC-000092</v>
      </c>
      <c r="B1442" s="58" t="s">
        <v>35</v>
      </c>
      <c r="C1442" s="58" t="s">
        <v>10</v>
      </c>
      <c r="D1442" s="76" t="str">
        <f t="shared" si="177"/>
        <v>Strained creme of corn soup</v>
      </c>
      <c r="E1442" s="94" t="s">
        <v>1775</v>
      </c>
      <c r="F1442" s="94" t="s">
        <v>2079</v>
      </c>
      <c r="G1442" s="94" t="s">
        <v>1779</v>
      </c>
      <c r="H1442" s="107" t="s">
        <v>1773</v>
      </c>
      <c r="I1442" s="76"/>
      <c r="J1442" s="76"/>
      <c r="K1442" s="58" t="str">
        <f>IFERROR(VLOOKUP(L1442,'Raw material list'!$A$3:$C$715,3,0),"")</f>
        <v>DRS1-3880</v>
      </c>
      <c r="L1442" s="59" t="s">
        <v>1433</v>
      </c>
      <c r="M1442" s="80" t="s">
        <v>156</v>
      </c>
      <c r="N1442" s="40" t="str">
        <f>VLOOKUP(L1442,'Raw material list'!$A$3:$E$715,5,0)</f>
        <v xml:space="preserve">Gram </v>
      </c>
      <c r="O1442" s="80">
        <v>8</v>
      </c>
      <c r="P1442" s="299">
        <f t="shared" si="171"/>
        <v>8</v>
      </c>
      <c r="Q1442" s="80">
        <v>100</v>
      </c>
      <c r="R1442" s="80">
        <v>14</v>
      </c>
      <c r="S1442" s="80"/>
      <c r="T1442" s="105">
        <f t="shared" si="168"/>
        <v>0.5714285714285714</v>
      </c>
      <c r="U1442" s="105">
        <f t="shared" si="172"/>
        <v>0.5714285714285714</v>
      </c>
      <c r="V1442" s="104">
        <f>IFERROR(VLOOKUP(L1442,'Raw material list'!$A$2:$S$3102,6,0),0)</f>
        <v>5.0000000000000001E-4</v>
      </c>
      <c r="W1442" s="104">
        <f t="shared" si="173"/>
        <v>2.8571428571428568E-4</v>
      </c>
    </row>
    <row r="1443" spans="1:23" hidden="1" x14ac:dyDescent="0.55000000000000004">
      <c r="A1443" s="76" t="str">
        <f t="shared" si="176"/>
        <v>RCP-SMC-000092</v>
      </c>
      <c r="B1443" s="58" t="s">
        <v>35</v>
      </c>
      <c r="C1443" s="58" t="s">
        <v>10</v>
      </c>
      <c r="D1443" s="76" t="str">
        <f t="shared" si="177"/>
        <v>Strained creme of corn soup</v>
      </c>
      <c r="E1443" s="94" t="s">
        <v>1775</v>
      </c>
      <c r="F1443" s="94" t="s">
        <v>2079</v>
      </c>
      <c r="G1443" s="94" t="s">
        <v>1779</v>
      </c>
      <c r="H1443" s="107" t="s">
        <v>1773</v>
      </c>
      <c r="I1443" s="76"/>
      <c r="J1443" s="76"/>
      <c r="K1443" s="58" t="str">
        <f>IFERROR(VLOOKUP(L1443,'Raw material list'!$A$3:$C$715,3,0),"")</f>
        <v>DRS1-304</v>
      </c>
      <c r="L1443" s="59" t="s">
        <v>74</v>
      </c>
      <c r="M1443" s="80" t="s">
        <v>156</v>
      </c>
      <c r="N1443" s="40" t="str">
        <f>VLOOKUP(L1443,'Raw material list'!$A$3:$E$715,5,0)</f>
        <v xml:space="preserve">Gram </v>
      </c>
      <c r="O1443" s="80">
        <v>1</v>
      </c>
      <c r="P1443" s="299">
        <f t="shared" si="171"/>
        <v>1</v>
      </c>
      <c r="Q1443" s="80">
        <v>100</v>
      </c>
      <c r="R1443" s="80">
        <v>14</v>
      </c>
      <c r="S1443" s="80"/>
      <c r="T1443" s="105">
        <f t="shared" si="168"/>
        <v>7.1428571428571425E-2</v>
      </c>
      <c r="U1443" s="105">
        <f t="shared" si="172"/>
        <v>7.1428571428571425E-2</v>
      </c>
      <c r="V1443" s="104">
        <f>IFERROR(VLOOKUP(L1443,'Raw material list'!$A$2:$S$3102,6,0),0)</f>
        <v>2.0799999999999999E-2</v>
      </c>
      <c r="W1443" s="104">
        <f t="shared" si="173"/>
        <v>1.4857142857142855E-3</v>
      </c>
    </row>
    <row r="1444" spans="1:23" hidden="1" x14ac:dyDescent="0.55000000000000004">
      <c r="A1444" s="76" t="s">
        <v>1421</v>
      </c>
      <c r="B1444" s="58" t="s">
        <v>35</v>
      </c>
      <c r="C1444" s="58" t="s">
        <v>10</v>
      </c>
      <c r="D1444" s="76" t="s">
        <v>1620</v>
      </c>
      <c r="E1444" s="76" t="s">
        <v>1448</v>
      </c>
      <c r="F1444" s="76" t="s">
        <v>2079</v>
      </c>
      <c r="G1444" s="94" t="s">
        <v>1779</v>
      </c>
      <c r="H1444" s="107" t="s">
        <v>1774</v>
      </c>
      <c r="I1444" s="76"/>
      <c r="J1444" s="76"/>
      <c r="K1444" s="58" t="str">
        <f>IFERROR(VLOOKUP(L1444,'Raw material list'!$A$3:$C$715,3,0),"")</f>
        <v>DRY2-1008</v>
      </c>
      <c r="L1444" s="59" t="s">
        <v>57</v>
      </c>
      <c r="M1444" s="80" t="s">
        <v>156</v>
      </c>
      <c r="N1444" s="40" t="str">
        <f>VLOOKUP(L1444,'Raw material list'!$A$3:$E$715,5,0)</f>
        <v xml:space="preserve">Gram </v>
      </c>
      <c r="O1444" s="80">
        <v>20</v>
      </c>
      <c r="P1444" s="299">
        <f t="shared" si="171"/>
        <v>20</v>
      </c>
      <c r="Q1444" s="80">
        <v>100</v>
      </c>
      <c r="R1444" s="80">
        <v>14</v>
      </c>
      <c r="S1444" s="80"/>
      <c r="T1444" s="105">
        <f t="shared" si="168"/>
        <v>1.4285714285714286</v>
      </c>
      <c r="U1444" s="105">
        <f t="shared" si="172"/>
        <v>1.4285714285714286</v>
      </c>
      <c r="V1444" s="104">
        <f>IFERROR(VLOOKUP(L1444,'Raw material list'!$A$2:$S$3102,6,0),0)</f>
        <v>0.03</v>
      </c>
      <c r="W1444" s="104">
        <f t="shared" si="173"/>
        <v>4.2857142857142858E-2</v>
      </c>
    </row>
    <row r="1445" spans="1:23" hidden="1" x14ac:dyDescent="0.55000000000000004">
      <c r="A1445" s="76" t="str">
        <f t="shared" ref="A1445:A1453" si="178">A1444</f>
        <v>RCP-SMC-000093</v>
      </c>
      <c r="B1445" s="58" t="s">
        <v>35</v>
      </c>
      <c r="C1445" s="58" t="s">
        <v>10</v>
      </c>
      <c r="D1445" s="76" t="str">
        <f t="shared" ref="D1445:D1453" si="179">D1444</f>
        <v xml:space="preserve"> crème of potato with Pumkin</v>
      </c>
      <c r="E1445" s="76" t="s">
        <v>1448</v>
      </c>
      <c r="F1445" s="76" t="s">
        <v>2079</v>
      </c>
      <c r="G1445" s="94" t="s">
        <v>1779</v>
      </c>
      <c r="H1445" s="107" t="s">
        <v>1774</v>
      </c>
      <c r="I1445" s="76"/>
      <c r="J1445" s="76"/>
      <c r="K1445" s="58" t="str">
        <f>IFERROR(VLOOKUP(L1445,'Raw material list'!$A$3:$C$715,3,0),"")</f>
        <v>PRD1-4019</v>
      </c>
      <c r="L1445" s="59" t="s">
        <v>119</v>
      </c>
      <c r="M1445" s="80" t="s">
        <v>156</v>
      </c>
      <c r="N1445" s="40" t="str">
        <f>VLOOKUP(L1445,'Raw material list'!$A$3:$E$715,5,0)</f>
        <v xml:space="preserve">Gram </v>
      </c>
      <c r="O1445" s="80">
        <v>50</v>
      </c>
      <c r="P1445" s="299">
        <f t="shared" si="171"/>
        <v>76.923076923076934</v>
      </c>
      <c r="Q1445" s="105">
        <v>65</v>
      </c>
      <c r="R1445" s="80">
        <v>14</v>
      </c>
      <c r="S1445" s="80"/>
      <c r="T1445" s="105">
        <f t="shared" si="168"/>
        <v>3.5714285714285716</v>
      </c>
      <c r="U1445" s="105">
        <f t="shared" si="172"/>
        <v>5.4945054945054954</v>
      </c>
      <c r="V1445" s="104">
        <f>IFERROR(VLOOKUP(L1445,'Raw material list'!$A$2:$S$3102,6,0),0)</f>
        <v>0.02</v>
      </c>
      <c r="W1445" s="104">
        <f t="shared" si="173"/>
        <v>0.10989010989010992</v>
      </c>
    </row>
    <row r="1446" spans="1:23" hidden="1" x14ac:dyDescent="0.55000000000000004">
      <c r="A1446" s="76" t="str">
        <f t="shared" si="178"/>
        <v>RCP-SMC-000093</v>
      </c>
      <c r="B1446" s="58" t="s">
        <v>35</v>
      </c>
      <c r="C1446" s="58" t="s">
        <v>10</v>
      </c>
      <c r="D1446" s="76" t="str">
        <f t="shared" si="179"/>
        <v xml:space="preserve"> crème of potato with Pumkin</v>
      </c>
      <c r="E1446" s="76" t="s">
        <v>1448</v>
      </c>
      <c r="F1446" s="76" t="s">
        <v>2079</v>
      </c>
      <c r="G1446" s="94" t="s">
        <v>1779</v>
      </c>
      <c r="H1446" s="107" t="s">
        <v>1774</v>
      </c>
      <c r="I1446" s="76"/>
      <c r="J1446" s="76"/>
      <c r="K1446" s="58" t="str">
        <f>IFERROR(VLOOKUP(L1446,'Raw material list'!$A$3:$C$715,3,0),"")</f>
        <v>PRD1-4327</v>
      </c>
      <c r="L1446" s="59" t="s">
        <v>39</v>
      </c>
      <c r="M1446" s="80" t="s">
        <v>156</v>
      </c>
      <c r="N1446" s="40" t="str">
        <f>VLOOKUP(L1446,'Raw material list'!$A$3:$E$715,5,0)</f>
        <v xml:space="preserve">Gram </v>
      </c>
      <c r="O1446" s="80">
        <v>15</v>
      </c>
      <c r="P1446" s="299">
        <f t="shared" si="171"/>
        <v>18.072289156626507</v>
      </c>
      <c r="Q1446" s="105">
        <v>83</v>
      </c>
      <c r="R1446" s="80">
        <v>14</v>
      </c>
      <c r="S1446" s="80"/>
      <c r="T1446" s="105">
        <f t="shared" si="168"/>
        <v>1.0714285714285714</v>
      </c>
      <c r="U1446" s="105">
        <f t="shared" si="172"/>
        <v>1.2908777969018934</v>
      </c>
      <c r="V1446" s="104">
        <f>IFERROR(VLOOKUP(L1446,'Raw material list'!$A$2:$S$3102,6,0),0)</f>
        <v>1.2999999999999999E-2</v>
      </c>
      <c r="W1446" s="104">
        <f t="shared" si="173"/>
        <v>1.6781411359724614E-2</v>
      </c>
    </row>
    <row r="1447" spans="1:23" hidden="1" x14ac:dyDescent="0.55000000000000004">
      <c r="A1447" s="76" t="str">
        <f t="shared" si="178"/>
        <v>RCP-SMC-000093</v>
      </c>
      <c r="B1447" s="58" t="s">
        <v>35</v>
      </c>
      <c r="C1447" s="58" t="s">
        <v>10</v>
      </c>
      <c r="D1447" s="76" t="str">
        <f t="shared" si="179"/>
        <v xml:space="preserve"> crème of potato with Pumkin</v>
      </c>
      <c r="E1447" s="76" t="s">
        <v>1448</v>
      </c>
      <c r="F1447" s="76" t="s">
        <v>2079</v>
      </c>
      <c r="G1447" s="94" t="s">
        <v>1779</v>
      </c>
      <c r="H1447" s="107" t="s">
        <v>1774</v>
      </c>
      <c r="I1447" s="76"/>
      <c r="J1447" s="76"/>
      <c r="K1447" s="58" t="str">
        <f>IFERROR(VLOOKUP(L1447,'Raw material list'!$A$3:$C$715,3,0),"")</f>
        <v>PRD1-4265</v>
      </c>
      <c r="L1447" s="59" t="s">
        <v>38</v>
      </c>
      <c r="M1447" s="80" t="s">
        <v>156</v>
      </c>
      <c r="N1447" s="40" t="str">
        <f>VLOOKUP(L1447,'Raw material list'!$A$3:$E$715,5,0)</f>
        <v xml:space="preserve">Gram </v>
      </c>
      <c r="O1447" s="80">
        <v>150</v>
      </c>
      <c r="P1447" s="299">
        <f t="shared" si="171"/>
        <v>176.47058823529412</v>
      </c>
      <c r="Q1447" s="105">
        <v>85</v>
      </c>
      <c r="R1447" s="80">
        <v>14</v>
      </c>
      <c r="S1447" s="80"/>
      <c r="T1447" s="105">
        <f t="shared" si="168"/>
        <v>10.714285714285714</v>
      </c>
      <c r="U1447" s="105">
        <f t="shared" si="172"/>
        <v>12.605042016806722</v>
      </c>
      <c r="V1447" s="104">
        <f>IFERROR(VLOOKUP(L1447,'Raw material list'!$A$2:$S$3102,6,0),0)</f>
        <v>3.529411764705882E-3</v>
      </c>
      <c r="W1447" s="104">
        <f t="shared" si="173"/>
        <v>4.4488383588729606E-2</v>
      </c>
    </row>
    <row r="1448" spans="1:23" hidden="1" x14ac:dyDescent="0.55000000000000004">
      <c r="A1448" s="76" t="str">
        <f t="shared" si="178"/>
        <v>RCP-SMC-000093</v>
      </c>
      <c r="B1448" s="58" t="s">
        <v>35</v>
      </c>
      <c r="C1448" s="58" t="s">
        <v>10</v>
      </c>
      <c r="D1448" s="76" t="str">
        <f t="shared" si="179"/>
        <v xml:space="preserve"> crème of potato with Pumkin</v>
      </c>
      <c r="E1448" s="76" t="s">
        <v>1448</v>
      </c>
      <c r="F1448" s="76" t="s">
        <v>2079</v>
      </c>
      <c r="G1448" s="94" t="s">
        <v>1779</v>
      </c>
      <c r="H1448" s="107" t="s">
        <v>1774</v>
      </c>
      <c r="I1448" s="76"/>
      <c r="J1448" s="76"/>
      <c r="K1448" s="58" t="str">
        <f>IFERROR(VLOOKUP(L1448,'Raw material list'!$A$3:$C$715,3,0),"")</f>
        <v>PRD1-232</v>
      </c>
      <c r="L1448" s="59" t="s">
        <v>116</v>
      </c>
      <c r="M1448" s="80" t="s">
        <v>156</v>
      </c>
      <c r="N1448" s="40" t="str">
        <f>VLOOKUP(L1448,'Raw material list'!$A$3:$E$715,5,0)</f>
        <v xml:space="preserve">Gram </v>
      </c>
      <c r="O1448" s="80">
        <v>600</v>
      </c>
      <c r="P1448" s="299">
        <f t="shared" si="171"/>
        <v>833.33333333333337</v>
      </c>
      <c r="Q1448" s="105">
        <v>72</v>
      </c>
      <c r="R1448" s="80">
        <v>14</v>
      </c>
      <c r="S1448" s="80"/>
      <c r="T1448" s="105">
        <f t="shared" si="168"/>
        <v>42.857142857142854</v>
      </c>
      <c r="U1448" s="105">
        <f t="shared" si="172"/>
        <v>59.523809523809526</v>
      </c>
      <c r="V1448" s="104">
        <f>IFERROR(VLOOKUP(L1448,'Raw material list'!$A$2:$S$3102,6,0),0)</f>
        <v>4.4444444444444444E-3</v>
      </c>
      <c r="W1448" s="104">
        <f t="shared" si="173"/>
        <v>0.26455026455026454</v>
      </c>
    </row>
    <row r="1449" spans="1:23" hidden="1" x14ac:dyDescent="0.55000000000000004">
      <c r="A1449" s="76" t="str">
        <f t="shared" si="178"/>
        <v>RCP-SMC-000093</v>
      </c>
      <c r="B1449" s="58" t="s">
        <v>35</v>
      </c>
      <c r="C1449" s="58" t="s">
        <v>10</v>
      </c>
      <c r="D1449" s="76" t="str">
        <f t="shared" si="179"/>
        <v xml:space="preserve"> crème of potato with Pumkin</v>
      </c>
      <c r="E1449" s="76" t="s">
        <v>1448</v>
      </c>
      <c r="F1449" s="76" t="s">
        <v>2079</v>
      </c>
      <c r="G1449" s="94" t="s">
        <v>1779</v>
      </c>
      <c r="H1449" s="107" t="s">
        <v>1774</v>
      </c>
      <c r="I1449" s="76"/>
      <c r="J1449" s="76"/>
      <c r="K1449" s="58" t="str">
        <f>IFERROR(VLOOKUP(L1449,'Raw material list'!$A$3:$C$715,3,0),"")</f>
        <v>TAP-00001</v>
      </c>
      <c r="L1449" s="59" t="s">
        <v>1405</v>
      </c>
      <c r="M1449" s="80" t="s">
        <v>206</v>
      </c>
      <c r="N1449" s="40" t="str">
        <f>VLOOKUP(L1449,'Raw material list'!$A$3:$E$715,5,0)</f>
        <v>Ml</v>
      </c>
      <c r="O1449" s="80">
        <v>2000</v>
      </c>
      <c r="P1449" s="299">
        <f t="shared" si="171"/>
        <v>2000</v>
      </c>
      <c r="Q1449" s="303">
        <v>100</v>
      </c>
      <c r="R1449" s="80">
        <v>14</v>
      </c>
      <c r="S1449" s="80"/>
      <c r="T1449" s="105">
        <f t="shared" si="168"/>
        <v>142.85714285714286</v>
      </c>
      <c r="U1449" s="105">
        <f t="shared" si="172"/>
        <v>142.85714285714286</v>
      </c>
      <c r="V1449" s="104">
        <f>IFERROR(VLOOKUP(L1449,'Raw material list'!$A$2:$S$3102,6,0),0)</f>
        <v>8.0000000000000007E-5</v>
      </c>
      <c r="W1449" s="104">
        <f t="shared" si="173"/>
        <v>1.142857142857143E-2</v>
      </c>
    </row>
    <row r="1450" spans="1:23" hidden="1" x14ac:dyDescent="0.55000000000000004">
      <c r="A1450" s="76" t="str">
        <f t="shared" si="178"/>
        <v>RCP-SMC-000093</v>
      </c>
      <c r="B1450" s="58" t="s">
        <v>35</v>
      </c>
      <c r="C1450" s="58" t="s">
        <v>10</v>
      </c>
      <c r="D1450" s="76" t="str">
        <f t="shared" si="179"/>
        <v xml:space="preserve"> crème of potato with Pumkin</v>
      </c>
      <c r="E1450" s="76" t="s">
        <v>1448</v>
      </c>
      <c r="F1450" s="76" t="s">
        <v>2079</v>
      </c>
      <c r="G1450" s="94" t="s">
        <v>1779</v>
      </c>
      <c r="H1450" s="107" t="s">
        <v>1774</v>
      </c>
      <c r="I1450" s="76"/>
      <c r="J1450" s="76"/>
      <c r="K1450" s="58" t="str">
        <f>IFERROR(VLOOKUP(L1450,'Raw material list'!$A$3:$C$715,3,0),"")</f>
        <v>DRS6-309</v>
      </c>
      <c r="L1450" s="59" t="s">
        <v>61</v>
      </c>
      <c r="M1450" s="80" t="s">
        <v>156</v>
      </c>
      <c r="N1450" s="40" t="str">
        <f>VLOOKUP(L1450,'Raw material list'!$A$3:$E$715,5,0)</f>
        <v xml:space="preserve">Gram </v>
      </c>
      <c r="O1450" s="80">
        <v>2</v>
      </c>
      <c r="P1450" s="299">
        <f t="shared" si="171"/>
        <v>2</v>
      </c>
      <c r="Q1450" s="80">
        <v>100</v>
      </c>
      <c r="R1450" s="80">
        <v>14</v>
      </c>
      <c r="S1450" s="80"/>
      <c r="T1450" s="105">
        <f t="shared" si="168"/>
        <v>0.14285714285714285</v>
      </c>
      <c r="U1450" s="105">
        <f t="shared" si="172"/>
        <v>0.14285714285714285</v>
      </c>
      <c r="V1450" s="104">
        <f>IFERROR(VLOOKUP(L1450,'Raw material list'!$A$2:$S$3102,6,0),0)</f>
        <v>2.8000000000000001E-2</v>
      </c>
      <c r="W1450" s="104">
        <f t="shared" si="173"/>
        <v>4.0000000000000001E-3</v>
      </c>
    </row>
    <row r="1451" spans="1:23" hidden="1" x14ac:dyDescent="0.55000000000000004">
      <c r="A1451" s="76" t="str">
        <f t="shared" si="178"/>
        <v>RCP-SMC-000093</v>
      </c>
      <c r="B1451" s="58" t="s">
        <v>35</v>
      </c>
      <c r="C1451" s="58" t="s">
        <v>10</v>
      </c>
      <c r="D1451" s="76" t="str">
        <f t="shared" si="179"/>
        <v xml:space="preserve"> crème of potato with Pumkin</v>
      </c>
      <c r="E1451" s="76" t="s">
        <v>1448</v>
      </c>
      <c r="F1451" s="76" t="s">
        <v>2079</v>
      </c>
      <c r="G1451" s="94" t="s">
        <v>1779</v>
      </c>
      <c r="H1451" s="107" t="s">
        <v>1774</v>
      </c>
      <c r="I1451" s="76"/>
      <c r="J1451" s="76"/>
      <c r="K1451" s="58" t="str">
        <f>IFERROR(VLOOKUP(L1451,'Raw material list'!$A$3:$C$715,3,0),"")</f>
        <v>DRS1-3880</v>
      </c>
      <c r="L1451" s="59" t="s">
        <v>1433</v>
      </c>
      <c r="M1451" s="80" t="s">
        <v>156</v>
      </c>
      <c r="N1451" s="40" t="str">
        <f>VLOOKUP(L1451,'Raw material list'!$A$3:$E$715,5,0)</f>
        <v xml:space="preserve">Gram </v>
      </c>
      <c r="O1451" s="80">
        <v>10</v>
      </c>
      <c r="P1451" s="299">
        <f t="shared" si="171"/>
        <v>10</v>
      </c>
      <c r="Q1451" s="80">
        <v>100</v>
      </c>
      <c r="R1451" s="80">
        <v>14</v>
      </c>
      <c r="S1451" s="80"/>
      <c r="T1451" s="105">
        <f t="shared" si="168"/>
        <v>0.7142857142857143</v>
      </c>
      <c r="U1451" s="105">
        <f t="shared" si="172"/>
        <v>0.7142857142857143</v>
      </c>
      <c r="V1451" s="104">
        <f>IFERROR(VLOOKUP(L1451,'Raw material list'!$A$2:$S$3102,6,0),0)</f>
        <v>5.0000000000000001E-4</v>
      </c>
      <c r="W1451" s="104">
        <f t="shared" si="173"/>
        <v>3.5714285714285714E-4</v>
      </c>
    </row>
    <row r="1452" spans="1:23" hidden="1" x14ac:dyDescent="0.55000000000000004">
      <c r="A1452" s="76" t="str">
        <f t="shared" si="178"/>
        <v>RCP-SMC-000093</v>
      </c>
      <c r="B1452" s="58" t="s">
        <v>35</v>
      </c>
      <c r="C1452" s="58" t="s">
        <v>10</v>
      </c>
      <c r="D1452" s="76" t="str">
        <f t="shared" si="179"/>
        <v xml:space="preserve"> crème of potato with Pumkin</v>
      </c>
      <c r="E1452" s="76" t="s">
        <v>1448</v>
      </c>
      <c r="F1452" s="76" t="s">
        <v>2079</v>
      </c>
      <c r="G1452" s="94" t="s">
        <v>1779</v>
      </c>
      <c r="H1452" s="107" t="s">
        <v>1774</v>
      </c>
      <c r="I1452" s="76"/>
      <c r="J1452" s="76"/>
      <c r="K1452" s="58" t="str">
        <f>IFERROR(VLOOKUP(L1452,'Raw material list'!$A$3:$C$715,3,0),"")</f>
        <v>DRS1-4417</v>
      </c>
      <c r="L1452" s="59" t="s">
        <v>88</v>
      </c>
      <c r="M1452" s="80" t="s">
        <v>156</v>
      </c>
      <c r="N1452" s="40" t="str">
        <f>VLOOKUP(L1452,'Raw material list'!$A$3:$E$715,5,0)</f>
        <v xml:space="preserve">Gram </v>
      </c>
      <c r="O1452" s="80">
        <v>10</v>
      </c>
      <c r="P1452" s="299">
        <f t="shared" si="171"/>
        <v>10</v>
      </c>
      <c r="Q1452" s="80">
        <v>100</v>
      </c>
      <c r="R1452" s="80">
        <v>14</v>
      </c>
      <c r="S1452" s="80"/>
      <c r="T1452" s="105">
        <f t="shared" si="168"/>
        <v>0.7142857142857143</v>
      </c>
      <c r="U1452" s="105">
        <f t="shared" si="172"/>
        <v>0.7142857142857143</v>
      </c>
      <c r="V1452" s="104">
        <f>IFERROR(VLOOKUP(L1452,'Raw material list'!$A$2:$S$3102,6,0),0)</f>
        <v>3.6754545454545456E-2</v>
      </c>
      <c r="W1452" s="104">
        <f t="shared" si="173"/>
        <v>2.6253246753246754E-2</v>
      </c>
    </row>
    <row r="1453" spans="1:23" hidden="1" x14ac:dyDescent="0.55000000000000004">
      <c r="A1453" s="76" t="str">
        <f t="shared" si="178"/>
        <v>RCP-SMC-000093</v>
      </c>
      <c r="B1453" s="58" t="s">
        <v>35</v>
      </c>
      <c r="C1453" s="58" t="s">
        <v>10</v>
      </c>
      <c r="D1453" s="76" t="str">
        <f t="shared" si="179"/>
        <v xml:space="preserve"> crème of potato with Pumkin</v>
      </c>
      <c r="E1453" s="76" t="s">
        <v>1448</v>
      </c>
      <c r="F1453" s="76" t="s">
        <v>2079</v>
      </c>
      <c r="G1453" s="94" t="s">
        <v>1779</v>
      </c>
      <c r="H1453" s="107" t="s">
        <v>1774</v>
      </c>
      <c r="I1453" s="76"/>
      <c r="J1453" s="76"/>
      <c r="K1453" s="58" t="str">
        <f>IFERROR(VLOOKUP(L1453,'Raw material list'!$A$3:$C$715,3,0),"")</f>
        <v>DRY2-1858</v>
      </c>
      <c r="L1453" s="59" t="s">
        <v>60</v>
      </c>
      <c r="M1453" s="80" t="s">
        <v>206</v>
      </c>
      <c r="N1453" s="40" t="str">
        <f>VLOOKUP(L1453,'Raw material list'!$A$3:$E$715,5,0)</f>
        <v>Ml</v>
      </c>
      <c r="O1453" s="80">
        <v>300</v>
      </c>
      <c r="P1453" s="299">
        <f t="shared" si="171"/>
        <v>300</v>
      </c>
      <c r="Q1453" s="80">
        <v>100</v>
      </c>
      <c r="R1453" s="80">
        <v>14</v>
      </c>
      <c r="S1453" s="80"/>
      <c r="T1453" s="105">
        <f t="shared" si="168"/>
        <v>21.428571428571427</v>
      </c>
      <c r="U1453" s="105">
        <f t="shared" si="172"/>
        <v>21.428571428571427</v>
      </c>
      <c r="V1453" s="104">
        <f>IFERROR(VLOOKUP(L1453,'Raw material list'!$A$2:$S$3102,6,0),0)</f>
        <v>9.8800000000000016E-3</v>
      </c>
      <c r="W1453" s="104">
        <f t="shared" si="173"/>
        <v>0.21171428571428574</v>
      </c>
    </row>
    <row r="1454" spans="1:23" hidden="1" x14ac:dyDescent="0.55000000000000004">
      <c r="A1454" s="76" t="s">
        <v>1422</v>
      </c>
      <c r="B1454" s="58" t="s">
        <v>35</v>
      </c>
      <c r="C1454" s="58" t="s">
        <v>10</v>
      </c>
      <c r="D1454" s="76" t="s">
        <v>1621</v>
      </c>
      <c r="E1454" s="76" t="s">
        <v>1448</v>
      </c>
      <c r="F1454" s="76" t="s">
        <v>2079</v>
      </c>
      <c r="G1454" s="94" t="s">
        <v>1779</v>
      </c>
      <c r="H1454" s="107" t="s">
        <v>1774</v>
      </c>
      <c r="I1454" s="76"/>
      <c r="J1454" s="76"/>
      <c r="K1454" s="58" t="str">
        <f>IFERROR(VLOOKUP(L1454,'Raw material list'!$A$3:$C$715,3,0),"")</f>
        <v>PRD1-4265</v>
      </c>
      <c r="L1454" s="59" t="s">
        <v>38</v>
      </c>
      <c r="M1454" s="80" t="s">
        <v>156</v>
      </c>
      <c r="N1454" s="40" t="str">
        <f>VLOOKUP(L1454,'Raw material list'!$A$3:$E$715,5,0)</f>
        <v xml:space="preserve">Gram </v>
      </c>
      <c r="O1454" s="80">
        <v>150</v>
      </c>
      <c r="P1454" s="299">
        <f t="shared" si="171"/>
        <v>176.47058823529412</v>
      </c>
      <c r="Q1454" s="105">
        <v>85</v>
      </c>
      <c r="R1454" s="80">
        <v>10</v>
      </c>
      <c r="S1454" s="80"/>
      <c r="T1454" s="105">
        <f t="shared" si="168"/>
        <v>15</v>
      </c>
      <c r="U1454" s="105">
        <f t="shared" si="172"/>
        <v>17.647058823529413</v>
      </c>
      <c r="V1454" s="104">
        <f>IFERROR(VLOOKUP(L1454,'Raw material list'!$A$2:$S$3102,6,0),0)</f>
        <v>3.529411764705882E-3</v>
      </c>
      <c r="W1454" s="104">
        <f t="shared" si="173"/>
        <v>6.228373702422145E-2</v>
      </c>
    </row>
    <row r="1455" spans="1:23" hidden="1" x14ac:dyDescent="0.55000000000000004">
      <c r="A1455" s="76" t="str">
        <f t="shared" ref="A1455:A1465" si="180">A1454</f>
        <v>RCP-SMC-000094</v>
      </c>
      <c r="B1455" s="58" t="s">
        <v>35</v>
      </c>
      <c r="C1455" s="58" t="s">
        <v>10</v>
      </c>
      <c r="D1455" s="76" t="str">
        <f t="shared" ref="D1455:D1465" si="181">D1454</f>
        <v>lentil Soup</v>
      </c>
      <c r="E1455" s="76" t="s">
        <v>1448</v>
      </c>
      <c r="F1455" s="76" t="s">
        <v>2079</v>
      </c>
      <c r="G1455" s="94" t="s">
        <v>1779</v>
      </c>
      <c r="H1455" s="107" t="s">
        <v>1774</v>
      </c>
      <c r="I1455" s="76"/>
      <c r="J1455" s="76"/>
      <c r="K1455" s="58" t="str">
        <f>IFERROR(VLOOKUP(L1455,'Raw material list'!$A$3:$C$715,3,0),"")</f>
        <v>PRD1-4327</v>
      </c>
      <c r="L1455" s="59" t="s">
        <v>39</v>
      </c>
      <c r="M1455" s="80" t="s">
        <v>156</v>
      </c>
      <c r="N1455" s="40" t="str">
        <f>VLOOKUP(L1455,'Raw material list'!$A$3:$E$715,5,0)</f>
        <v xml:space="preserve">Gram </v>
      </c>
      <c r="O1455" s="80">
        <v>10</v>
      </c>
      <c r="P1455" s="299">
        <f t="shared" si="171"/>
        <v>12.048192771084338</v>
      </c>
      <c r="Q1455" s="105">
        <v>83</v>
      </c>
      <c r="R1455" s="80">
        <v>10</v>
      </c>
      <c r="S1455" s="80"/>
      <c r="T1455" s="105">
        <f t="shared" si="168"/>
        <v>1</v>
      </c>
      <c r="U1455" s="105">
        <f t="shared" si="172"/>
        <v>1.2048192771084338</v>
      </c>
      <c r="V1455" s="104">
        <f>IFERROR(VLOOKUP(L1455,'Raw material list'!$A$2:$S$3102,6,0),0)</f>
        <v>1.2999999999999999E-2</v>
      </c>
      <c r="W1455" s="104">
        <f t="shared" si="173"/>
        <v>1.566265060240964E-2</v>
      </c>
    </row>
    <row r="1456" spans="1:23" hidden="1" x14ac:dyDescent="0.55000000000000004">
      <c r="A1456" s="76" t="str">
        <f t="shared" si="180"/>
        <v>RCP-SMC-000094</v>
      </c>
      <c r="B1456" s="58" t="s">
        <v>35</v>
      </c>
      <c r="C1456" s="58" t="s">
        <v>10</v>
      </c>
      <c r="D1456" s="76" t="str">
        <f t="shared" si="181"/>
        <v>lentil Soup</v>
      </c>
      <c r="E1456" s="76" t="s">
        <v>1448</v>
      </c>
      <c r="F1456" s="76" t="s">
        <v>2079</v>
      </c>
      <c r="G1456" s="94" t="s">
        <v>1779</v>
      </c>
      <c r="H1456" s="107" t="s">
        <v>1774</v>
      </c>
      <c r="I1456" s="76"/>
      <c r="J1456" s="76"/>
      <c r="K1456" s="58" t="str">
        <f>IFERROR(VLOOKUP(L1456,'Raw material list'!$A$3:$C$715,3,0),"")</f>
        <v>PRD1-186</v>
      </c>
      <c r="L1456" s="59" t="s">
        <v>37</v>
      </c>
      <c r="M1456" s="80" t="s">
        <v>156</v>
      </c>
      <c r="N1456" s="40" t="str">
        <f>VLOOKUP(L1456,'Raw material list'!$A$3:$E$715,5,0)</f>
        <v xml:space="preserve">Gram </v>
      </c>
      <c r="O1456" s="80">
        <v>75</v>
      </c>
      <c r="P1456" s="299">
        <f t="shared" si="171"/>
        <v>91.836734693877546</v>
      </c>
      <c r="Q1456" s="105">
        <v>81.666666666666671</v>
      </c>
      <c r="R1456" s="80">
        <v>10</v>
      </c>
      <c r="S1456" s="80"/>
      <c r="T1456" s="105">
        <f t="shared" si="168"/>
        <v>7.5</v>
      </c>
      <c r="U1456" s="105">
        <f t="shared" si="172"/>
        <v>9.1836734693877542</v>
      </c>
      <c r="V1456" s="104">
        <f>IFERROR(VLOOKUP(L1456,'Raw material list'!$A$2:$S$3102,6,0),0)</f>
        <v>5.8139534883720938E-3</v>
      </c>
      <c r="W1456" s="104">
        <f t="shared" si="173"/>
        <v>5.3393450403417184E-2</v>
      </c>
    </row>
    <row r="1457" spans="1:23" hidden="1" x14ac:dyDescent="0.55000000000000004">
      <c r="A1457" s="76" t="str">
        <f t="shared" si="180"/>
        <v>RCP-SMC-000094</v>
      </c>
      <c r="B1457" s="58" t="s">
        <v>35</v>
      </c>
      <c r="C1457" s="58" t="s">
        <v>10</v>
      </c>
      <c r="D1457" s="76" t="str">
        <f t="shared" si="181"/>
        <v>lentil Soup</v>
      </c>
      <c r="E1457" s="76" t="s">
        <v>1448</v>
      </c>
      <c r="F1457" s="76" t="s">
        <v>2079</v>
      </c>
      <c r="G1457" s="94" t="s">
        <v>1779</v>
      </c>
      <c r="H1457" s="107" t="s">
        <v>1774</v>
      </c>
      <c r="I1457" s="76"/>
      <c r="J1457" s="76"/>
      <c r="K1457" s="58" t="str">
        <f>IFERROR(VLOOKUP(L1457,'Raw material list'!$A$3:$C$715,3,0),"")</f>
        <v>DRS4-50</v>
      </c>
      <c r="L1457" s="59" t="s">
        <v>497</v>
      </c>
      <c r="M1457" s="80" t="s">
        <v>156</v>
      </c>
      <c r="N1457" s="40" t="str">
        <f>VLOOKUP(L1457,'Raw material list'!$A$3:$E$715,5,0)</f>
        <v xml:space="preserve">Gram </v>
      </c>
      <c r="O1457" s="80">
        <v>350</v>
      </c>
      <c r="P1457" s="299">
        <f t="shared" si="171"/>
        <v>350</v>
      </c>
      <c r="Q1457" s="303">
        <v>100</v>
      </c>
      <c r="R1457" s="80">
        <v>10</v>
      </c>
      <c r="S1457" s="80"/>
      <c r="T1457" s="105">
        <f t="shared" si="168"/>
        <v>35</v>
      </c>
      <c r="U1457" s="105">
        <f t="shared" si="172"/>
        <v>35</v>
      </c>
      <c r="V1457" s="104">
        <f>IFERROR(VLOOKUP(L1457,'Raw material list'!$A$2:$S$3102,6,0),0)</f>
        <v>4.2666666666666669E-3</v>
      </c>
      <c r="W1457" s="104">
        <f t="shared" si="173"/>
        <v>0.14933333333333335</v>
      </c>
    </row>
    <row r="1458" spans="1:23" hidden="1" x14ac:dyDescent="0.55000000000000004">
      <c r="A1458" s="76" t="str">
        <f t="shared" si="180"/>
        <v>RCP-SMC-000094</v>
      </c>
      <c r="B1458" s="58" t="s">
        <v>35</v>
      </c>
      <c r="C1458" s="58" t="s">
        <v>10</v>
      </c>
      <c r="D1458" s="76" t="str">
        <f t="shared" si="181"/>
        <v>lentil Soup</v>
      </c>
      <c r="E1458" s="76" t="s">
        <v>1448</v>
      </c>
      <c r="F1458" s="76" t="s">
        <v>2079</v>
      </c>
      <c r="G1458" s="94" t="s">
        <v>1779</v>
      </c>
      <c r="H1458" s="107" t="s">
        <v>1774</v>
      </c>
      <c r="I1458" s="76"/>
      <c r="J1458" s="76"/>
      <c r="K1458" s="58" t="str">
        <f>IFERROR(VLOOKUP(L1458,'Raw material list'!$A$3:$C$715,3,0),"")</f>
        <v>PRD1-230</v>
      </c>
      <c r="L1458" s="59" t="s">
        <v>70</v>
      </c>
      <c r="M1458" s="80" t="s">
        <v>156</v>
      </c>
      <c r="N1458" s="40" t="str">
        <f>VLOOKUP(L1458,'Raw material list'!$A$3:$E$715,5,0)</f>
        <v xml:space="preserve">Gram </v>
      </c>
      <c r="O1458" s="80">
        <v>200</v>
      </c>
      <c r="P1458" s="299">
        <f t="shared" si="171"/>
        <v>269.90553306342781</v>
      </c>
      <c r="Q1458" s="105">
        <v>74.099999999999994</v>
      </c>
      <c r="R1458" s="80">
        <v>10</v>
      </c>
      <c r="S1458" s="80"/>
      <c r="T1458" s="105">
        <f t="shared" si="168"/>
        <v>20</v>
      </c>
      <c r="U1458" s="105">
        <f t="shared" si="172"/>
        <v>26.990553306342782</v>
      </c>
      <c r="V1458" s="104">
        <f>IFERROR(VLOOKUP(L1458,'Raw material list'!$A$2:$S$3102,6,0),0)</f>
        <v>3.3738191632928472E-3</v>
      </c>
      <c r="W1458" s="104">
        <f t="shared" si="173"/>
        <v>9.1061245972816396E-2</v>
      </c>
    </row>
    <row r="1459" spans="1:23" hidden="1" x14ac:dyDescent="0.55000000000000004">
      <c r="A1459" s="76" t="str">
        <f t="shared" si="180"/>
        <v>RCP-SMC-000094</v>
      </c>
      <c r="B1459" s="58" t="s">
        <v>35</v>
      </c>
      <c r="C1459" s="58" t="s">
        <v>10</v>
      </c>
      <c r="D1459" s="76" t="str">
        <f t="shared" si="181"/>
        <v>lentil Soup</v>
      </c>
      <c r="E1459" s="76" t="s">
        <v>1448</v>
      </c>
      <c r="F1459" s="76" t="s">
        <v>2079</v>
      </c>
      <c r="G1459" s="94" t="s">
        <v>1779</v>
      </c>
      <c r="H1459" s="107" t="s">
        <v>1774</v>
      </c>
      <c r="I1459" s="76"/>
      <c r="J1459" s="76"/>
      <c r="K1459" s="58" t="str">
        <f>IFERROR(VLOOKUP(L1459,'Raw material list'!$A$3:$C$715,3,0),"")</f>
        <v>PRD1-572</v>
      </c>
      <c r="L1459" s="59" t="s">
        <v>54</v>
      </c>
      <c r="M1459" s="80" t="s">
        <v>156</v>
      </c>
      <c r="N1459" s="40" t="str">
        <f>VLOOKUP(L1459,'Raw material list'!$A$3:$E$715,5,0)</f>
        <v xml:space="preserve">Gram </v>
      </c>
      <c r="O1459" s="80">
        <v>50</v>
      </c>
      <c r="P1459" s="299">
        <f t="shared" si="171"/>
        <v>56.667925953910078</v>
      </c>
      <c r="Q1459" s="105">
        <v>88.233333333333348</v>
      </c>
      <c r="R1459" s="80">
        <v>10</v>
      </c>
      <c r="S1459" s="80"/>
      <c r="T1459" s="105">
        <f t="shared" si="168"/>
        <v>5</v>
      </c>
      <c r="U1459" s="105">
        <f t="shared" si="172"/>
        <v>5.6667925953910077</v>
      </c>
      <c r="V1459" s="104">
        <f>IFERROR(VLOOKUP(L1459,'Raw material list'!$A$2:$S$3102,6,0),0)</f>
        <v>4.5351473922902496E-3</v>
      </c>
      <c r="W1459" s="104">
        <f t="shared" si="173"/>
        <v>2.5699739661637223E-2</v>
      </c>
    </row>
    <row r="1460" spans="1:23" hidden="1" x14ac:dyDescent="0.55000000000000004">
      <c r="A1460" s="76" t="str">
        <f t="shared" si="180"/>
        <v>RCP-SMC-000094</v>
      </c>
      <c r="B1460" s="58" t="s">
        <v>35</v>
      </c>
      <c r="C1460" s="58" t="s">
        <v>10</v>
      </c>
      <c r="D1460" s="76" t="str">
        <f t="shared" si="181"/>
        <v>lentil Soup</v>
      </c>
      <c r="E1460" s="76" t="s">
        <v>1448</v>
      </c>
      <c r="F1460" s="76" t="s">
        <v>2079</v>
      </c>
      <c r="G1460" s="94" t="s">
        <v>1779</v>
      </c>
      <c r="H1460" s="107" t="s">
        <v>1774</v>
      </c>
      <c r="I1460" s="76"/>
      <c r="J1460" s="76"/>
      <c r="K1460" s="58" t="str">
        <f>IFERROR(VLOOKUP(L1460,'Raw material list'!$A$3:$C$715,3,0),"")</f>
        <v>DRS6-1674</v>
      </c>
      <c r="L1460" s="59" t="s">
        <v>73</v>
      </c>
      <c r="M1460" s="80" t="s">
        <v>156</v>
      </c>
      <c r="N1460" s="40" t="str">
        <f>VLOOKUP(L1460,'Raw material list'!$A$3:$E$715,5,0)</f>
        <v xml:space="preserve">Gram </v>
      </c>
      <c r="O1460" s="80">
        <v>1</v>
      </c>
      <c r="P1460" s="299">
        <f t="shared" si="171"/>
        <v>1</v>
      </c>
      <c r="Q1460" s="303">
        <v>100</v>
      </c>
      <c r="R1460" s="80">
        <v>10</v>
      </c>
      <c r="S1460" s="80"/>
      <c r="T1460" s="105">
        <f t="shared" si="168"/>
        <v>0.1</v>
      </c>
      <c r="U1460" s="105">
        <f t="shared" si="172"/>
        <v>0.1</v>
      </c>
      <c r="V1460" s="104">
        <f>IFERROR(VLOOKUP(L1460,'Raw material list'!$A$2:$S$3102,6,0),0)</f>
        <v>1.2500000000000001E-2</v>
      </c>
      <c r="W1460" s="104">
        <f t="shared" si="173"/>
        <v>1.2500000000000002E-3</v>
      </c>
    </row>
    <row r="1461" spans="1:23" hidden="1" x14ac:dyDescent="0.55000000000000004">
      <c r="A1461" s="76" t="str">
        <f t="shared" si="180"/>
        <v>RCP-SMC-000094</v>
      </c>
      <c r="B1461" s="58" t="s">
        <v>35</v>
      </c>
      <c r="C1461" s="58" t="s">
        <v>10</v>
      </c>
      <c r="D1461" s="76" t="str">
        <f t="shared" si="181"/>
        <v>lentil Soup</v>
      </c>
      <c r="E1461" s="76" t="s">
        <v>1448</v>
      </c>
      <c r="F1461" s="76" t="s">
        <v>2079</v>
      </c>
      <c r="G1461" s="94" t="s">
        <v>1779</v>
      </c>
      <c r="H1461" s="107" t="s">
        <v>1774</v>
      </c>
      <c r="I1461" s="76"/>
      <c r="J1461" s="76"/>
      <c r="K1461" s="58" t="str">
        <f>IFERROR(VLOOKUP(L1461,'Raw material list'!$A$3:$C$715,3,0),"")</f>
        <v>DRS6-309</v>
      </c>
      <c r="L1461" s="59" t="s">
        <v>61</v>
      </c>
      <c r="M1461" s="80" t="s">
        <v>156</v>
      </c>
      <c r="N1461" s="40" t="str">
        <f>VLOOKUP(L1461,'Raw material list'!$A$3:$E$715,5,0)</f>
        <v xml:space="preserve">Gram </v>
      </c>
      <c r="O1461" s="80">
        <v>1</v>
      </c>
      <c r="P1461" s="299">
        <f t="shared" si="171"/>
        <v>1</v>
      </c>
      <c r="Q1461" s="80">
        <v>100</v>
      </c>
      <c r="R1461" s="80">
        <v>10</v>
      </c>
      <c r="S1461" s="80"/>
      <c r="T1461" s="105">
        <f t="shared" si="168"/>
        <v>0.1</v>
      </c>
      <c r="U1461" s="105">
        <f t="shared" si="172"/>
        <v>0.1</v>
      </c>
      <c r="V1461" s="104">
        <f>IFERROR(VLOOKUP(L1461,'Raw material list'!$A$2:$S$3102,6,0),0)</f>
        <v>2.8000000000000001E-2</v>
      </c>
      <c r="W1461" s="104">
        <f t="shared" si="173"/>
        <v>2.8000000000000004E-3</v>
      </c>
    </row>
    <row r="1462" spans="1:23" hidden="1" x14ac:dyDescent="0.55000000000000004">
      <c r="A1462" s="76" t="str">
        <f t="shared" si="180"/>
        <v>RCP-SMC-000094</v>
      </c>
      <c r="B1462" s="58" t="s">
        <v>35</v>
      </c>
      <c r="C1462" s="58" t="s">
        <v>10</v>
      </c>
      <c r="D1462" s="76" t="str">
        <f t="shared" si="181"/>
        <v>lentil Soup</v>
      </c>
      <c r="E1462" s="76" t="s">
        <v>1448</v>
      </c>
      <c r="F1462" s="76" t="s">
        <v>2079</v>
      </c>
      <c r="G1462" s="94" t="s">
        <v>1779</v>
      </c>
      <c r="H1462" s="107" t="s">
        <v>1774</v>
      </c>
      <c r="I1462" s="76"/>
      <c r="J1462" s="76"/>
      <c r="K1462" s="58" t="str">
        <f>IFERROR(VLOOKUP(L1462,'Raw material list'!$A$3:$C$715,3,0),"")</f>
        <v>DRS1-3880</v>
      </c>
      <c r="L1462" s="59" t="s">
        <v>1433</v>
      </c>
      <c r="M1462" s="80" t="s">
        <v>156</v>
      </c>
      <c r="N1462" s="40" t="str">
        <f>VLOOKUP(L1462,'Raw material list'!$A$3:$E$715,5,0)</f>
        <v xml:space="preserve">Gram </v>
      </c>
      <c r="O1462" s="80">
        <v>10</v>
      </c>
      <c r="P1462" s="299">
        <f t="shared" si="171"/>
        <v>10</v>
      </c>
      <c r="Q1462" s="80">
        <v>100</v>
      </c>
      <c r="R1462" s="80">
        <v>10</v>
      </c>
      <c r="S1462" s="80"/>
      <c r="T1462" s="105">
        <f t="shared" ref="T1462:T1513" si="182">IFERROR(O1462/R1462,0)</f>
        <v>1</v>
      </c>
      <c r="U1462" s="105">
        <f t="shared" si="172"/>
        <v>1</v>
      </c>
      <c r="V1462" s="104">
        <f>IFERROR(VLOOKUP(L1462,'Raw material list'!$A$2:$S$3102,6,0),0)</f>
        <v>5.0000000000000001E-4</v>
      </c>
      <c r="W1462" s="104">
        <f t="shared" si="173"/>
        <v>5.0000000000000001E-4</v>
      </c>
    </row>
    <row r="1463" spans="1:23" hidden="1" x14ac:dyDescent="0.55000000000000004">
      <c r="A1463" s="76" t="str">
        <f t="shared" si="180"/>
        <v>RCP-SMC-000094</v>
      </c>
      <c r="B1463" s="58" t="s">
        <v>35</v>
      </c>
      <c r="C1463" s="58" t="s">
        <v>10</v>
      </c>
      <c r="D1463" s="76" t="str">
        <f t="shared" si="181"/>
        <v>lentil Soup</v>
      </c>
      <c r="E1463" s="76" t="s">
        <v>1448</v>
      </c>
      <c r="F1463" s="76" t="s">
        <v>2079</v>
      </c>
      <c r="G1463" s="94" t="s">
        <v>1779</v>
      </c>
      <c r="H1463" s="107" t="s">
        <v>1774</v>
      </c>
      <c r="I1463" s="76"/>
      <c r="J1463" s="76"/>
      <c r="K1463" s="58" t="str">
        <f>IFERROR(VLOOKUP(L1463,'Raw material list'!$A$3:$C$715,3,0),"")</f>
        <v>DRS6-733</v>
      </c>
      <c r="L1463" s="59" t="s">
        <v>45</v>
      </c>
      <c r="M1463" s="80" t="s">
        <v>156</v>
      </c>
      <c r="N1463" s="40" t="str">
        <f>VLOOKUP(L1463,'Raw material list'!$A$3:$E$715,5,0)</f>
        <v xml:space="preserve">Gram </v>
      </c>
      <c r="O1463" s="80">
        <v>6</v>
      </c>
      <c r="P1463" s="299">
        <f t="shared" si="171"/>
        <v>6</v>
      </c>
      <c r="Q1463" s="80">
        <v>100</v>
      </c>
      <c r="R1463" s="80">
        <v>10</v>
      </c>
      <c r="S1463" s="80"/>
      <c r="T1463" s="105">
        <f t="shared" si="182"/>
        <v>0.6</v>
      </c>
      <c r="U1463" s="105">
        <f t="shared" si="172"/>
        <v>0.6</v>
      </c>
      <c r="V1463" s="104">
        <f>IFERROR(VLOOKUP(L1463,'Raw material list'!$A$2:$S$3102,6,0),0)</f>
        <v>2.8000000000000001E-2</v>
      </c>
      <c r="W1463" s="104">
        <f t="shared" si="173"/>
        <v>1.6799999999999999E-2</v>
      </c>
    </row>
    <row r="1464" spans="1:23" hidden="1" x14ac:dyDescent="0.55000000000000004">
      <c r="A1464" s="76" t="str">
        <f t="shared" si="180"/>
        <v>RCP-SMC-000094</v>
      </c>
      <c r="B1464" s="58" t="s">
        <v>35</v>
      </c>
      <c r="C1464" s="58" t="s">
        <v>10</v>
      </c>
      <c r="D1464" s="76" t="str">
        <f t="shared" si="181"/>
        <v>lentil Soup</v>
      </c>
      <c r="E1464" s="76" t="s">
        <v>1448</v>
      </c>
      <c r="F1464" s="76" t="s">
        <v>2079</v>
      </c>
      <c r="G1464" s="94" t="s">
        <v>1779</v>
      </c>
      <c r="H1464" s="107" t="s">
        <v>1774</v>
      </c>
      <c r="I1464" s="76"/>
      <c r="J1464" s="76"/>
      <c r="K1464" s="58" t="str">
        <f>IFERROR(VLOOKUP(L1464,'Raw material list'!$A$3:$C$715,3,0),"")</f>
        <v>TAP-00001</v>
      </c>
      <c r="L1464" s="59" t="s">
        <v>1405</v>
      </c>
      <c r="M1464" s="80" t="s">
        <v>206</v>
      </c>
      <c r="N1464" s="40" t="str">
        <f>VLOOKUP(L1464,'Raw material list'!$A$3:$E$715,5,0)</f>
        <v>Ml</v>
      </c>
      <c r="O1464" s="80">
        <v>2200</v>
      </c>
      <c r="P1464" s="299">
        <f t="shared" si="171"/>
        <v>2200</v>
      </c>
      <c r="Q1464" s="80">
        <v>100</v>
      </c>
      <c r="R1464" s="80">
        <v>10</v>
      </c>
      <c r="S1464" s="80"/>
      <c r="T1464" s="105">
        <f t="shared" si="182"/>
        <v>220</v>
      </c>
      <c r="U1464" s="105">
        <f t="shared" si="172"/>
        <v>220</v>
      </c>
      <c r="V1464" s="104">
        <f>IFERROR(VLOOKUP(L1464,'Raw material list'!$A$2:$S$3102,6,0),0)</f>
        <v>8.0000000000000007E-5</v>
      </c>
      <c r="W1464" s="104">
        <f t="shared" si="173"/>
        <v>1.7600000000000001E-2</v>
      </c>
    </row>
    <row r="1465" spans="1:23" hidden="1" x14ac:dyDescent="0.55000000000000004">
      <c r="A1465" s="76" t="str">
        <f t="shared" si="180"/>
        <v>RCP-SMC-000094</v>
      </c>
      <c r="B1465" s="58" t="s">
        <v>35</v>
      </c>
      <c r="C1465" s="58" t="s">
        <v>10</v>
      </c>
      <c r="D1465" s="76" t="str">
        <f t="shared" si="181"/>
        <v>lentil Soup</v>
      </c>
      <c r="E1465" s="76" t="s">
        <v>1448</v>
      </c>
      <c r="F1465" s="76" t="s">
        <v>2079</v>
      </c>
      <c r="G1465" s="94" t="s">
        <v>1779</v>
      </c>
      <c r="H1465" s="107" t="s">
        <v>1774</v>
      </c>
      <c r="I1465" s="76"/>
      <c r="J1465" s="76"/>
      <c r="K1465" s="58" t="str">
        <f>IFERROR(VLOOKUP(L1465,'Raw material list'!$A$3:$C$715,3,0),"")</f>
        <v>DRS3-1813</v>
      </c>
      <c r="L1465" s="59" t="s">
        <v>69</v>
      </c>
      <c r="M1465" s="80" t="s">
        <v>206</v>
      </c>
      <c r="N1465" s="40" t="str">
        <f>VLOOKUP(L1465,'Raw material list'!$A$3:$E$715,5,0)</f>
        <v>Ml</v>
      </c>
      <c r="O1465" s="80">
        <v>40</v>
      </c>
      <c r="P1465" s="299">
        <f t="shared" si="171"/>
        <v>40</v>
      </c>
      <c r="Q1465" s="80">
        <v>100</v>
      </c>
      <c r="R1465" s="80">
        <v>10</v>
      </c>
      <c r="S1465" s="80"/>
      <c r="T1465" s="105">
        <f t="shared" si="182"/>
        <v>4</v>
      </c>
      <c r="U1465" s="105">
        <f t="shared" si="172"/>
        <v>4</v>
      </c>
      <c r="V1465" s="104">
        <f>IFERROR(VLOOKUP(L1465,'Raw material list'!$A$2:$S$3102,6,0),0)</f>
        <v>8.0555555555555554E-3</v>
      </c>
      <c r="W1465" s="104">
        <f t="shared" si="173"/>
        <v>3.2222222222222222E-2</v>
      </c>
    </row>
    <row r="1466" spans="1:23" hidden="1" x14ac:dyDescent="0.55000000000000004">
      <c r="A1466" s="76" t="s">
        <v>1423</v>
      </c>
      <c r="B1466" s="58" t="s">
        <v>35</v>
      </c>
      <c r="C1466" s="58" t="s">
        <v>10</v>
      </c>
      <c r="D1466" s="76" t="s">
        <v>1622</v>
      </c>
      <c r="E1466" s="76" t="s">
        <v>1448</v>
      </c>
      <c r="F1466" s="76" t="s">
        <v>2079</v>
      </c>
      <c r="G1466" s="94" t="s">
        <v>1779</v>
      </c>
      <c r="H1466" s="107" t="s">
        <v>1773</v>
      </c>
      <c r="I1466" s="76"/>
      <c r="J1466" s="76"/>
      <c r="K1466" s="58" t="str">
        <f>IFERROR(VLOOKUP(L1466,'Raw material list'!$A$3:$C$715,3,0),"")</f>
        <v>DRS3-1813</v>
      </c>
      <c r="L1466" s="59" t="s">
        <v>69</v>
      </c>
      <c r="M1466" s="80" t="s">
        <v>206</v>
      </c>
      <c r="N1466" s="40" t="str">
        <f>VLOOKUP(L1466,'Raw material list'!$A$3:$E$715,5,0)</f>
        <v>Ml</v>
      </c>
      <c r="O1466" s="80">
        <v>20</v>
      </c>
      <c r="P1466" s="299">
        <f t="shared" si="171"/>
        <v>20</v>
      </c>
      <c r="Q1466" s="80">
        <v>100</v>
      </c>
      <c r="R1466" s="80">
        <v>14</v>
      </c>
      <c r="S1466" s="80"/>
      <c r="T1466" s="105">
        <f t="shared" si="182"/>
        <v>1.4285714285714286</v>
      </c>
      <c r="U1466" s="105">
        <f t="shared" si="172"/>
        <v>1.4285714285714286</v>
      </c>
      <c r="V1466" s="104">
        <f>IFERROR(VLOOKUP(L1466,'Raw material list'!$A$2:$S$3102,6,0),0)</f>
        <v>8.0555555555555554E-3</v>
      </c>
      <c r="W1466" s="104">
        <f t="shared" si="173"/>
        <v>1.1507936507936509E-2</v>
      </c>
    </row>
    <row r="1467" spans="1:23" hidden="1" x14ac:dyDescent="0.55000000000000004">
      <c r="A1467" s="76" t="str">
        <f t="shared" ref="A1467:A1475" si="183">A1466</f>
        <v>RCP-SMC-000095</v>
      </c>
      <c r="B1467" s="58" t="s">
        <v>35</v>
      </c>
      <c r="C1467" s="58" t="s">
        <v>10</v>
      </c>
      <c r="D1467" s="76" t="str">
        <f t="shared" ref="D1467:D1475" si="184">D1466</f>
        <v>Chicken Potato white Soup</v>
      </c>
      <c r="E1467" s="76" t="s">
        <v>1448</v>
      </c>
      <c r="F1467" s="76" t="s">
        <v>2079</v>
      </c>
      <c r="G1467" s="94" t="s">
        <v>1779</v>
      </c>
      <c r="H1467" s="107" t="s">
        <v>1773</v>
      </c>
      <c r="I1467" s="76"/>
      <c r="J1467" s="76"/>
      <c r="K1467" s="58" t="str">
        <f>IFERROR(VLOOKUP(L1467,'Raw material list'!$A$3:$C$715,3,0),"")</f>
        <v>PRD1-4265</v>
      </c>
      <c r="L1467" s="59" t="s">
        <v>38</v>
      </c>
      <c r="M1467" s="80" t="s">
        <v>156</v>
      </c>
      <c r="N1467" s="40" t="str">
        <f>VLOOKUP(L1467,'Raw material list'!$A$3:$E$715,5,0)</f>
        <v xml:space="preserve">Gram </v>
      </c>
      <c r="O1467" s="80">
        <v>100</v>
      </c>
      <c r="P1467" s="299">
        <f t="shared" si="171"/>
        <v>117.64705882352942</v>
      </c>
      <c r="Q1467" s="105">
        <v>85</v>
      </c>
      <c r="R1467" s="80">
        <v>14</v>
      </c>
      <c r="S1467" s="80"/>
      <c r="T1467" s="105">
        <f t="shared" si="182"/>
        <v>7.1428571428571432</v>
      </c>
      <c r="U1467" s="105">
        <f t="shared" si="172"/>
        <v>8.4033613445378155</v>
      </c>
      <c r="V1467" s="104">
        <f>IFERROR(VLOOKUP(L1467,'Raw material list'!$A$2:$S$3102,6,0),0)</f>
        <v>3.529411764705882E-3</v>
      </c>
      <c r="W1467" s="104">
        <f t="shared" si="173"/>
        <v>2.9658922392486405E-2</v>
      </c>
    </row>
    <row r="1468" spans="1:23" hidden="1" x14ac:dyDescent="0.55000000000000004">
      <c r="A1468" s="76" t="str">
        <f t="shared" si="183"/>
        <v>RCP-SMC-000095</v>
      </c>
      <c r="B1468" s="58" t="s">
        <v>35</v>
      </c>
      <c r="C1468" s="58" t="s">
        <v>10</v>
      </c>
      <c r="D1468" s="76" t="str">
        <f t="shared" si="184"/>
        <v>Chicken Potato white Soup</v>
      </c>
      <c r="E1468" s="76" t="s">
        <v>1448</v>
      </c>
      <c r="F1468" s="76" t="s">
        <v>2079</v>
      </c>
      <c r="G1468" s="94" t="s">
        <v>1779</v>
      </c>
      <c r="H1468" s="107" t="s">
        <v>1773</v>
      </c>
      <c r="I1468" s="76"/>
      <c r="J1468" s="76"/>
      <c r="K1468" s="58" t="str">
        <f>IFERROR(VLOOKUP(L1468,'Raw material list'!$A$3:$C$715,3,0),"")</f>
        <v>PRD1-4327</v>
      </c>
      <c r="L1468" s="59" t="s">
        <v>39</v>
      </c>
      <c r="M1468" s="80" t="s">
        <v>156</v>
      </c>
      <c r="N1468" s="40" t="str">
        <f>VLOOKUP(L1468,'Raw material list'!$A$3:$E$715,5,0)</f>
        <v xml:space="preserve">Gram </v>
      </c>
      <c r="O1468" s="80">
        <v>15</v>
      </c>
      <c r="P1468" s="299">
        <f t="shared" si="171"/>
        <v>18.072289156626507</v>
      </c>
      <c r="Q1468" s="105">
        <v>83</v>
      </c>
      <c r="R1468" s="80">
        <v>14</v>
      </c>
      <c r="S1468" s="80"/>
      <c r="T1468" s="105">
        <f t="shared" si="182"/>
        <v>1.0714285714285714</v>
      </c>
      <c r="U1468" s="105">
        <f t="shared" si="172"/>
        <v>1.2908777969018934</v>
      </c>
      <c r="V1468" s="104">
        <f>IFERROR(VLOOKUP(L1468,'Raw material list'!$A$2:$S$3102,6,0),0)</f>
        <v>1.2999999999999999E-2</v>
      </c>
      <c r="W1468" s="104">
        <f t="shared" si="173"/>
        <v>1.6781411359724614E-2</v>
      </c>
    </row>
    <row r="1469" spans="1:23" hidden="1" x14ac:dyDescent="0.55000000000000004">
      <c r="A1469" s="76" t="str">
        <f t="shared" si="183"/>
        <v>RCP-SMC-000095</v>
      </c>
      <c r="B1469" s="58" t="s">
        <v>35</v>
      </c>
      <c r="C1469" s="58" t="s">
        <v>10</v>
      </c>
      <c r="D1469" s="76" t="str">
        <f t="shared" si="184"/>
        <v>Chicken Potato white Soup</v>
      </c>
      <c r="E1469" s="76" t="s">
        <v>1448</v>
      </c>
      <c r="F1469" s="76" t="s">
        <v>2078</v>
      </c>
      <c r="G1469" s="94" t="s">
        <v>1779</v>
      </c>
      <c r="H1469" s="107" t="s">
        <v>1773</v>
      </c>
      <c r="I1469" s="76"/>
      <c r="J1469" s="76"/>
      <c r="K1469" s="58" t="str">
        <f>IFERROR(VLOOKUP(L1469,'Raw material list'!$A$3:$C$715,3,0),"")</f>
        <v>PLT2-3278</v>
      </c>
      <c r="L1469" s="59" t="s">
        <v>80</v>
      </c>
      <c r="M1469" s="80" t="s">
        <v>156</v>
      </c>
      <c r="N1469" s="40" t="str">
        <f>VLOOKUP(L1469,'Raw material list'!$A$3:$E$715,5,0)</f>
        <v xml:space="preserve">Gram </v>
      </c>
      <c r="O1469" s="80">
        <v>250</v>
      </c>
      <c r="P1469" s="299">
        <f t="shared" si="171"/>
        <v>328.08398950131232</v>
      </c>
      <c r="Q1469" s="303">
        <v>76.2</v>
      </c>
      <c r="R1469" s="80">
        <v>14</v>
      </c>
      <c r="S1469" s="80"/>
      <c r="T1469" s="105">
        <f t="shared" si="182"/>
        <v>17.857142857142858</v>
      </c>
      <c r="U1469" s="105">
        <f t="shared" si="172"/>
        <v>23.434570678665164</v>
      </c>
      <c r="V1469" s="104">
        <f>IFERROR(VLOOKUP(L1469,'Raw material list'!$A$2:$S$3102,6,0),0)</f>
        <v>3.0357142857142853E-2</v>
      </c>
      <c r="W1469" s="104">
        <f t="shared" si="173"/>
        <v>0.71140660988804949</v>
      </c>
    </row>
    <row r="1470" spans="1:23" hidden="1" x14ac:dyDescent="0.55000000000000004">
      <c r="A1470" s="76" t="str">
        <f t="shared" si="183"/>
        <v>RCP-SMC-000095</v>
      </c>
      <c r="B1470" s="58" t="s">
        <v>35</v>
      </c>
      <c r="C1470" s="58" t="s">
        <v>10</v>
      </c>
      <c r="D1470" s="76" t="str">
        <f t="shared" si="184"/>
        <v>Chicken Potato white Soup</v>
      </c>
      <c r="E1470" s="76" t="s">
        <v>1448</v>
      </c>
      <c r="F1470" s="76" t="s">
        <v>2079</v>
      </c>
      <c r="G1470" s="94" t="s">
        <v>1779</v>
      </c>
      <c r="H1470" s="107" t="s">
        <v>1773</v>
      </c>
      <c r="I1470" s="76"/>
      <c r="J1470" s="76"/>
      <c r="K1470" s="58" t="str">
        <f>IFERROR(VLOOKUP(L1470,'Raw material list'!$A$3:$C$715,3,0),"")</f>
        <v>DRS6-309</v>
      </c>
      <c r="L1470" s="59" t="s">
        <v>61</v>
      </c>
      <c r="M1470" s="80" t="s">
        <v>156</v>
      </c>
      <c r="N1470" s="40" t="str">
        <f>VLOOKUP(L1470,'Raw material list'!$A$3:$E$715,5,0)</f>
        <v xml:space="preserve">Gram </v>
      </c>
      <c r="O1470" s="80">
        <v>1</v>
      </c>
      <c r="P1470" s="299">
        <f t="shared" si="171"/>
        <v>1</v>
      </c>
      <c r="Q1470" s="80">
        <v>100</v>
      </c>
      <c r="R1470" s="80">
        <v>14</v>
      </c>
      <c r="S1470" s="80"/>
      <c r="T1470" s="105">
        <f t="shared" si="182"/>
        <v>7.1428571428571425E-2</v>
      </c>
      <c r="U1470" s="105">
        <f t="shared" si="172"/>
        <v>7.1428571428571425E-2</v>
      </c>
      <c r="V1470" s="104">
        <f>IFERROR(VLOOKUP(L1470,'Raw material list'!$A$2:$S$3102,6,0),0)</f>
        <v>2.8000000000000001E-2</v>
      </c>
      <c r="W1470" s="104">
        <f t="shared" si="173"/>
        <v>2E-3</v>
      </c>
    </row>
    <row r="1471" spans="1:23" hidden="1" x14ac:dyDescent="0.55000000000000004">
      <c r="A1471" s="76" t="str">
        <f t="shared" si="183"/>
        <v>RCP-SMC-000095</v>
      </c>
      <c r="B1471" s="58" t="s">
        <v>35</v>
      </c>
      <c r="C1471" s="58" t="s">
        <v>10</v>
      </c>
      <c r="D1471" s="76" t="str">
        <f t="shared" si="184"/>
        <v>Chicken Potato white Soup</v>
      </c>
      <c r="E1471" s="76" t="s">
        <v>1448</v>
      </c>
      <c r="F1471" s="76" t="s">
        <v>2079</v>
      </c>
      <c r="G1471" s="94" t="s">
        <v>1779</v>
      </c>
      <c r="H1471" s="107" t="s">
        <v>1773</v>
      </c>
      <c r="I1471" s="76"/>
      <c r="J1471" s="76"/>
      <c r="K1471" s="58" t="str">
        <f>IFERROR(VLOOKUP(L1471,'Raw material list'!$A$3:$C$715,3,0),"")</f>
        <v>DRS1-3811</v>
      </c>
      <c r="L1471" s="59" t="s">
        <v>40</v>
      </c>
      <c r="M1471" s="80" t="s">
        <v>156</v>
      </c>
      <c r="N1471" s="40" t="str">
        <f>VLOOKUP(L1471,'Raw material list'!$A$3:$E$715,5,0)</f>
        <v xml:space="preserve">Gram </v>
      </c>
      <c r="O1471" s="80">
        <v>10</v>
      </c>
      <c r="P1471" s="299">
        <f t="shared" si="171"/>
        <v>10</v>
      </c>
      <c r="Q1471" s="80">
        <v>100</v>
      </c>
      <c r="R1471" s="80">
        <v>14</v>
      </c>
      <c r="S1471" s="80"/>
      <c r="T1471" s="105">
        <f t="shared" si="182"/>
        <v>0.7142857142857143</v>
      </c>
      <c r="U1471" s="105">
        <f t="shared" si="172"/>
        <v>0.7142857142857143</v>
      </c>
      <c r="V1471" s="104">
        <f>IFERROR(VLOOKUP(L1471,'Raw material list'!$A$2:$S$3102,6,0),0)</f>
        <v>2.8475E-2</v>
      </c>
      <c r="W1471" s="104">
        <f t="shared" si="173"/>
        <v>2.0339285714285716E-2</v>
      </c>
    </row>
    <row r="1472" spans="1:23" hidden="1" x14ac:dyDescent="0.55000000000000004">
      <c r="A1472" s="76" t="str">
        <f t="shared" si="183"/>
        <v>RCP-SMC-000095</v>
      </c>
      <c r="B1472" s="58" t="s">
        <v>35</v>
      </c>
      <c r="C1472" s="58" t="s">
        <v>10</v>
      </c>
      <c r="D1472" s="76" t="str">
        <f t="shared" si="184"/>
        <v>Chicken Potato white Soup</v>
      </c>
      <c r="E1472" s="76" t="s">
        <v>1448</v>
      </c>
      <c r="F1472" s="76" t="s">
        <v>2079</v>
      </c>
      <c r="G1472" s="94" t="s">
        <v>1779</v>
      </c>
      <c r="H1472" s="107" t="s">
        <v>1773</v>
      </c>
      <c r="I1472" s="76"/>
      <c r="J1472" s="76"/>
      <c r="K1472" s="58" t="str">
        <f>IFERROR(VLOOKUP(L1472,'Raw material list'!$A$3:$C$715,3,0),"")</f>
        <v>DRS1-3880</v>
      </c>
      <c r="L1472" s="59" t="s">
        <v>1433</v>
      </c>
      <c r="M1472" s="80" t="s">
        <v>156</v>
      </c>
      <c r="N1472" s="40" t="str">
        <f>VLOOKUP(L1472,'Raw material list'!$A$3:$E$715,5,0)</f>
        <v xml:space="preserve">Gram </v>
      </c>
      <c r="O1472" s="80">
        <v>5</v>
      </c>
      <c r="P1472" s="299">
        <f t="shared" si="171"/>
        <v>5</v>
      </c>
      <c r="Q1472" s="80">
        <v>100</v>
      </c>
      <c r="R1472" s="80">
        <v>14</v>
      </c>
      <c r="S1472" s="80"/>
      <c r="T1472" s="105">
        <f t="shared" si="182"/>
        <v>0.35714285714285715</v>
      </c>
      <c r="U1472" s="105">
        <f t="shared" si="172"/>
        <v>0.35714285714285715</v>
      </c>
      <c r="V1472" s="104">
        <f>IFERROR(VLOOKUP(L1472,'Raw material list'!$A$2:$S$3102,6,0),0)</f>
        <v>5.0000000000000001E-4</v>
      </c>
      <c r="W1472" s="104">
        <f t="shared" si="173"/>
        <v>1.7857142857142857E-4</v>
      </c>
    </row>
    <row r="1473" spans="1:23" hidden="1" x14ac:dyDescent="0.55000000000000004">
      <c r="A1473" s="76" t="str">
        <f t="shared" si="183"/>
        <v>RCP-SMC-000095</v>
      </c>
      <c r="B1473" s="58" t="s">
        <v>35</v>
      </c>
      <c r="C1473" s="58" t="s">
        <v>10</v>
      </c>
      <c r="D1473" s="76" t="str">
        <f t="shared" si="184"/>
        <v>Chicken Potato white Soup</v>
      </c>
      <c r="E1473" s="76" t="s">
        <v>1448</v>
      </c>
      <c r="F1473" s="76" t="s">
        <v>2079</v>
      </c>
      <c r="G1473" s="94" t="s">
        <v>1779</v>
      </c>
      <c r="H1473" s="107" t="s">
        <v>1773</v>
      </c>
      <c r="I1473" s="76"/>
      <c r="J1473" s="76"/>
      <c r="K1473" s="58" t="str">
        <f>IFERROR(VLOOKUP(L1473,'Raw material list'!$A$3:$C$715,3,0),"")</f>
        <v>PRD1-230</v>
      </c>
      <c r="L1473" s="59" t="s">
        <v>70</v>
      </c>
      <c r="M1473" s="80" t="s">
        <v>156</v>
      </c>
      <c r="N1473" s="40" t="str">
        <f>VLOOKUP(L1473,'Raw material list'!$A$3:$E$715,5,0)</f>
        <v xml:space="preserve">Gram </v>
      </c>
      <c r="O1473" s="80">
        <v>600</v>
      </c>
      <c r="P1473" s="299">
        <f t="shared" si="171"/>
        <v>809.71659919028343</v>
      </c>
      <c r="Q1473" s="105">
        <v>74.099999999999994</v>
      </c>
      <c r="R1473" s="80">
        <v>14</v>
      </c>
      <c r="S1473" s="80"/>
      <c r="T1473" s="105">
        <f t="shared" si="182"/>
        <v>42.857142857142854</v>
      </c>
      <c r="U1473" s="105">
        <f t="shared" si="172"/>
        <v>57.8368999421631</v>
      </c>
      <c r="V1473" s="104">
        <f>IFERROR(VLOOKUP(L1473,'Raw material list'!$A$2:$S$3102,6,0),0)</f>
        <v>3.3738191632928472E-3</v>
      </c>
      <c r="W1473" s="104">
        <f t="shared" si="173"/>
        <v>0.19513124137032084</v>
      </c>
    </row>
    <row r="1474" spans="1:23" hidden="1" x14ac:dyDescent="0.55000000000000004">
      <c r="A1474" s="76" t="str">
        <f t="shared" si="183"/>
        <v>RCP-SMC-000095</v>
      </c>
      <c r="B1474" s="58" t="s">
        <v>35</v>
      </c>
      <c r="C1474" s="58" t="s">
        <v>10</v>
      </c>
      <c r="D1474" s="76" t="str">
        <f t="shared" si="184"/>
        <v>Chicken Potato white Soup</v>
      </c>
      <c r="E1474" s="76" t="s">
        <v>1448</v>
      </c>
      <c r="F1474" s="76" t="s">
        <v>2079</v>
      </c>
      <c r="G1474" s="94" t="s">
        <v>1779</v>
      </c>
      <c r="H1474" s="107" t="s">
        <v>1773</v>
      </c>
      <c r="I1474" s="76"/>
      <c r="J1474" s="76"/>
      <c r="K1474" s="58" t="str">
        <f>IFERROR(VLOOKUP(L1474,'Raw material list'!$A$3:$C$715,3,0),"")</f>
        <v>DRS5-980</v>
      </c>
      <c r="L1474" s="59" t="s">
        <v>446</v>
      </c>
      <c r="M1474" s="80" t="s">
        <v>156</v>
      </c>
      <c r="N1474" s="40" t="str">
        <f>VLOOKUP(L1474,'Raw material list'!$A$3:$E$715,5,0)</f>
        <v xml:space="preserve">Gram </v>
      </c>
      <c r="O1474" s="80">
        <v>40</v>
      </c>
      <c r="P1474" s="299">
        <f t="shared" si="171"/>
        <v>40</v>
      </c>
      <c r="Q1474" s="303">
        <v>100</v>
      </c>
      <c r="R1474" s="80">
        <v>14</v>
      </c>
      <c r="S1474" s="80"/>
      <c r="T1474" s="105">
        <f t="shared" si="182"/>
        <v>2.8571428571428572</v>
      </c>
      <c r="U1474" s="105">
        <f t="shared" si="172"/>
        <v>2.8571428571428572</v>
      </c>
      <c r="V1474" s="104">
        <f>IFERROR(VLOOKUP(L1474,'Raw material list'!$A$2:$S$3102,6,0),0)</f>
        <v>1E-3</v>
      </c>
      <c r="W1474" s="104">
        <f t="shared" si="173"/>
        <v>2.8571428571428571E-3</v>
      </c>
    </row>
    <row r="1475" spans="1:23" hidden="1" x14ac:dyDescent="0.55000000000000004">
      <c r="A1475" s="76" t="str">
        <f t="shared" si="183"/>
        <v>RCP-SMC-000095</v>
      </c>
      <c r="B1475" s="58" t="s">
        <v>35</v>
      </c>
      <c r="C1475" s="58" t="s">
        <v>10</v>
      </c>
      <c r="D1475" s="76" t="str">
        <f t="shared" si="184"/>
        <v>Chicken Potato white Soup</v>
      </c>
      <c r="E1475" s="76" t="s">
        <v>1448</v>
      </c>
      <c r="F1475" s="76" t="s">
        <v>2079</v>
      </c>
      <c r="G1475" s="94" t="s">
        <v>1779</v>
      </c>
      <c r="H1475" s="107" t="s">
        <v>1773</v>
      </c>
      <c r="I1475" s="76"/>
      <c r="J1475" s="76"/>
      <c r="K1475" s="58" t="str">
        <f>IFERROR(VLOOKUP(L1475,'Raw material list'!$A$3:$C$715,3,0),"")</f>
        <v>TAP-00001</v>
      </c>
      <c r="L1475" s="59" t="s">
        <v>1405</v>
      </c>
      <c r="M1475" s="80" t="s">
        <v>206</v>
      </c>
      <c r="N1475" s="40" t="str">
        <f>VLOOKUP(L1475,'Raw material list'!$A$3:$E$715,5,0)</f>
        <v>Ml</v>
      </c>
      <c r="O1475" s="80">
        <v>2000</v>
      </c>
      <c r="P1475" s="299">
        <f t="shared" si="171"/>
        <v>2000</v>
      </c>
      <c r="Q1475" s="80">
        <v>100</v>
      </c>
      <c r="R1475" s="80">
        <v>14</v>
      </c>
      <c r="S1475" s="80"/>
      <c r="T1475" s="105">
        <f t="shared" si="182"/>
        <v>142.85714285714286</v>
      </c>
      <c r="U1475" s="105">
        <f t="shared" si="172"/>
        <v>142.85714285714286</v>
      </c>
      <c r="V1475" s="104">
        <f>IFERROR(VLOOKUP(L1475,'Raw material list'!$A$2:$S$3102,6,0),0)</f>
        <v>8.0000000000000007E-5</v>
      </c>
      <c r="W1475" s="104">
        <f t="shared" si="173"/>
        <v>1.142857142857143E-2</v>
      </c>
    </row>
    <row r="1476" spans="1:23" hidden="1" x14ac:dyDescent="0.55000000000000004">
      <c r="A1476" s="76" t="s">
        <v>1425</v>
      </c>
      <c r="B1476" s="58" t="s">
        <v>35</v>
      </c>
      <c r="C1476" s="58" t="s">
        <v>10</v>
      </c>
      <c r="D1476" s="76" t="s">
        <v>1623</v>
      </c>
      <c r="E1476" s="76" t="s">
        <v>1448</v>
      </c>
      <c r="F1476" s="76" t="s">
        <v>2079</v>
      </c>
      <c r="G1476" s="94" t="s">
        <v>1779</v>
      </c>
      <c r="H1476" s="107" t="s">
        <v>1773</v>
      </c>
      <c r="I1476" s="76"/>
      <c r="J1476" s="76"/>
      <c r="K1476" s="58" t="str">
        <f>IFERROR(VLOOKUP(L1476,'Raw material list'!$A$3:$C$715,3,0),"")</f>
        <v>DRS3-1813</v>
      </c>
      <c r="L1476" s="59" t="s">
        <v>69</v>
      </c>
      <c r="M1476" s="80" t="s">
        <v>206</v>
      </c>
      <c r="N1476" s="40" t="str">
        <f>VLOOKUP(L1476,'Raw material list'!$A$3:$E$715,5,0)</f>
        <v>Ml</v>
      </c>
      <c r="O1476" s="80">
        <v>25</v>
      </c>
      <c r="P1476" s="299">
        <f t="shared" si="171"/>
        <v>25</v>
      </c>
      <c r="Q1476" s="80">
        <v>100</v>
      </c>
      <c r="R1476" s="80">
        <v>10</v>
      </c>
      <c r="S1476" s="80"/>
      <c r="T1476" s="105">
        <f t="shared" si="182"/>
        <v>2.5</v>
      </c>
      <c r="U1476" s="105">
        <f t="shared" si="172"/>
        <v>2.5</v>
      </c>
      <c r="V1476" s="104">
        <f>IFERROR(VLOOKUP(L1476,'Raw material list'!$A$2:$S$3102,6,0),0)</f>
        <v>8.0555555555555554E-3</v>
      </c>
      <c r="W1476" s="104">
        <f t="shared" si="173"/>
        <v>2.0138888888888887E-2</v>
      </c>
    </row>
    <row r="1477" spans="1:23" hidden="1" x14ac:dyDescent="0.55000000000000004">
      <c r="A1477" s="76" t="str">
        <f t="shared" ref="A1477:A1485" si="185">A1476</f>
        <v>RCP-SMC-000096</v>
      </c>
      <c r="B1477" s="58" t="s">
        <v>35</v>
      </c>
      <c r="C1477" s="58" t="s">
        <v>10</v>
      </c>
      <c r="D1477" s="76" t="str">
        <f t="shared" ref="D1477:D1485" si="186">D1476</f>
        <v>Creamy Green Peas soup</v>
      </c>
      <c r="E1477" s="76" t="s">
        <v>1448</v>
      </c>
      <c r="F1477" s="76" t="s">
        <v>2079</v>
      </c>
      <c r="G1477" s="94" t="s">
        <v>1779</v>
      </c>
      <c r="H1477" s="107" t="s">
        <v>1773</v>
      </c>
      <c r="I1477" s="76"/>
      <c r="J1477" s="76"/>
      <c r="K1477" s="58" t="str">
        <f>IFERROR(VLOOKUP(L1477,'Raw material list'!$A$3:$C$715,3,0),"")</f>
        <v>PRD1-4265</v>
      </c>
      <c r="L1477" s="59" t="s">
        <v>38</v>
      </c>
      <c r="M1477" s="80" t="s">
        <v>156</v>
      </c>
      <c r="N1477" s="40" t="str">
        <f>VLOOKUP(L1477,'Raw material list'!$A$3:$E$715,5,0)</f>
        <v xml:space="preserve">Gram </v>
      </c>
      <c r="O1477" s="80">
        <v>100</v>
      </c>
      <c r="P1477" s="299">
        <f t="shared" si="171"/>
        <v>117.64705882352942</v>
      </c>
      <c r="Q1477" s="105">
        <v>85</v>
      </c>
      <c r="R1477" s="80">
        <v>10</v>
      </c>
      <c r="S1477" s="80"/>
      <c r="T1477" s="105">
        <f t="shared" si="182"/>
        <v>10</v>
      </c>
      <c r="U1477" s="105">
        <f t="shared" si="172"/>
        <v>11.764705882352942</v>
      </c>
      <c r="V1477" s="104">
        <f>IFERROR(VLOOKUP(L1477,'Raw material list'!$A$2:$S$3102,6,0),0)</f>
        <v>3.529411764705882E-3</v>
      </c>
      <c r="W1477" s="104">
        <f t="shared" si="173"/>
        <v>4.1522491349480967E-2</v>
      </c>
    </row>
    <row r="1478" spans="1:23" hidden="1" x14ac:dyDescent="0.55000000000000004">
      <c r="A1478" s="76" t="str">
        <f t="shared" si="185"/>
        <v>RCP-SMC-000096</v>
      </c>
      <c r="B1478" s="58" t="s">
        <v>35</v>
      </c>
      <c r="C1478" s="58" t="s">
        <v>10</v>
      </c>
      <c r="D1478" s="76" t="str">
        <f t="shared" si="186"/>
        <v>Creamy Green Peas soup</v>
      </c>
      <c r="E1478" s="76" t="s">
        <v>1448</v>
      </c>
      <c r="F1478" s="76" t="s">
        <v>2079</v>
      </c>
      <c r="G1478" s="94" t="s">
        <v>1779</v>
      </c>
      <c r="H1478" s="107" t="s">
        <v>1773</v>
      </c>
      <c r="I1478" s="76"/>
      <c r="J1478" s="76"/>
      <c r="K1478" s="58" t="str">
        <f>IFERROR(VLOOKUP(L1478,'Raw material list'!$A$3:$C$715,3,0),"")</f>
        <v>PRD1-4327</v>
      </c>
      <c r="L1478" s="59" t="s">
        <v>39</v>
      </c>
      <c r="M1478" s="80" t="s">
        <v>156</v>
      </c>
      <c r="N1478" s="40" t="str">
        <f>VLOOKUP(L1478,'Raw material list'!$A$3:$E$715,5,0)</f>
        <v xml:space="preserve">Gram </v>
      </c>
      <c r="O1478" s="80">
        <v>15</v>
      </c>
      <c r="P1478" s="299">
        <f t="shared" ref="P1478:P1541" si="187">O1478/Q1478*100</f>
        <v>18.072289156626507</v>
      </c>
      <c r="Q1478" s="105">
        <v>83</v>
      </c>
      <c r="R1478" s="80">
        <v>10</v>
      </c>
      <c r="S1478" s="80"/>
      <c r="T1478" s="105">
        <f t="shared" si="182"/>
        <v>1.5</v>
      </c>
      <c r="U1478" s="105">
        <f t="shared" ref="U1478:U1541" si="188">IFERROR(P1478/R1478,0)</f>
        <v>1.8072289156626506</v>
      </c>
      <c r="V1478" s="104">
        <f>IFERROR(VLOOKUP(L1478,'Raw material list'!$A$2:$S$3102,6,0),0)</f>
        <v>1.2999999999999999E-2</v>
      </c>
      <c r="W1478" s="104">
        <f t="shared" ref="W1478:W1541" si="189">IFERROR(V1478*U1478,0)</f>
        <v>2.3493975903614458E-2</v>
      </c>
    </row>
    <row r="1479" spans="1:23" hidden="1" x14ac:dyDescent="0.55000000000000004">
      <c r="A1479" s="76" t="str">
        <f t="shared" si="185"/>
        <v>RCP-SMC-000096</v>
      </c>
      <c r="B1479" s="58" t="s">
        <v>35</v>
      </c>
      <c r="C1479" s="58" t="s">
        <v>10</v>
      </c>
      <c r="D1479" s="76" t="str">
        <f t="shared" si="186"/>
        <v>Creamy Green Peas soup</v>
      </c>
      <c r="E1479" s="76" t="s">
        <v>1448</v>
      </c>
      <c r="F1479" s="76" t="s">
        <v>2079</v>
      </c>
      <c r="G1479" s="94" t="s">
        <v>1779</v>
      </c>
      <c r="H1479" s="107" t="s">
        <v>1773</v>
      </c>
      <c r="I1479" s="76"/>
      <c r="J1479" s="76"/>
      <c r="K1479" s="58" t="str">
        <f>IFERROR(VLOOKUP(L1479,'Raw material list'!$A$3:$C$715,3,0),"")</f>
        <v>PRD2-3567</v>
      </c>
      <c r="L1479" s="59" t="s">
        <v>1624</v>
      </c>
      <c r="M1479" s="80" t="s">
        <v>156</v>
      </c>
      <c r="N1479" s="40" t="str">
        <f>VLOOKUP(L1479,'Raw material list'!$A$3:$E$715,5,0)</f>
        <v xml:space="preserve">Gram </v>
      </c>
      <c r="O1479" s="80">
        <v>600</v>
      </c>
      <c r="P1479" s="299">
        <f t="shared" si="187"/>
        <v>600</v>
      </c>
      <c r="Q1479" s="303">
        <v>100</v>
      </c>
      <c r="R1479" s="80">
        <v>10</v>
      </c>
      <c r="S1479" s="80"/>
      <c r="T1479" s="105">
        <f t="shared" si="182"/>
        <v>60</v>
      </c>
      <c r="U1479" s="105">
        <f t="shared" si="188"/>
        <v>60</v>
      </c>
      <c r="V1479" s="104">
        <f>IFERROR(VLOOKUP(L1479,'Raw material list'!$A$2:$S$3102,6,0),0)</f>
        <v>4.4999999999999997E-3</v>
      </c>
      <c r="W1479" s="104">
        <f t="shared" si="189"/>
        <v>0.26999999999999996</v>
      </c>
    </row>
    <row r="1480" spans="1:23" hidden="1" x14ac:dyDescent="0.55000000000000004">
      <c r="A1480" s="76" t="str">
        <f t="shared" si="185"/>
        <v>RCP-SMC-000096</v>
      </c>
      <c r="B1480" s="58" t="s">
        <v>35</v>
      </c>
      <c r="C1480" s="58" t="s">
        <v>10</v>
      </c>
      <c r="D1480" s="76" t="str">
        <f t="shared" si="186"/>
        <v>Creamy Green Peas soup</v>
      </c>
      <c r="E1480" s="76" t="s">
        <v>1448</v>
      </c>
      <c r="F1480" s="76" t="s">
        <v>2079</v>
      </c>
      <c r="G1480" s="94" t="s">
        <v>1779</v>
      </c>
      <c r="H1480" s="107" t="s">
        <v>1773</v>
      </c>
      <c r="I1480" s="76"/>
      <c r="J1480" s="76"/>
      <c r="K1480" s="58" t="str">
        <f>IFERROR(VLOOKUP(L1480,'Raw material list'!$A$3:$C$715,3,0),"")</f>
        <v>PRD1-231</v>
      </c>
      <c r="L1480" s="59" t="s">
        <v>1046</v>
      </c>
      <c r="M1480" s="80" t="s">
        <v>156</v>
      </c>
      <c r="N1480" s="40" t="str">
        <f>VLOOKUP(L1480,'Raw material list'!$A$3:$E$715,5,0)</f>
        <v xml:space="preserve">Gram </v>
      </c>
      <c r="O1480" s="80">
        <v>250</v>
      </c>
      <c r="P1480" s="299">
        <f t="shared" si="187"/>
        <v>302.05396697543296</v>
      </c>
      <c r="Q1480" s="105">
        <v>82.766666666666666</v>
      </c>
      <c r="R1480" s="80">
        <v>10</v>
      </c>
      <c r="S1480" s="80"/>
      <c r="T1480" s="105">
        <f t="shared" si="182"/>
        <v>25</v>
      </c>
      <c r="U1480" s="105">
        <f t="shared" si="188"/>
        <v>30.205396697543296</v>
      </c>
      <c r="V1480" s="104">
        <f>IFERROR(VLOOKUP(L1480,'Raw material list'!$A$2:$S$3102,6,0),0)</f>
        <v>9.6618357487922701E-3</v>
      </c>
      <c r="W1480" s="104">
        <f t="shared" si="189"/>
        <v>0.29183958161877582</v>
      </c>
    </row>
    <row r="1481" spans="1:23" hidden="1" x14ac:dyDescent="0.55000000000000004">
      <c r="A1481" s="76" t="str">
        <f t="shared" si="185"/>
        <v>RCP-SMC-000096</v>
      </c>
      <c r="B1481" s="58" t="s">
        <v>35</v>
      </c>
      <c r="C1481" s="58" t="s">
        <v>10</v>
      </c>
      <c r="D1481" s="76" t="str">
        <f t="shared" si="186"/>
        <v>Creamy Green Peas soup</v>
      </c>
      <c r="E1481" s="76" t="s">
        <v>1448</v>
      </c>
      <c r="F1481" s="76" t="s">
        <v>2079</v>
      </c>
      <c r="G1481" s="94" t="s">
        <v>1779</v>
      </c>
      <c r="H1481" s="107" t="s">
        <v>1773</v>
      </c>
      <c r="I1481" s="76"/>
      <c r="J1481" s="76"/>
      <c r="K1481" s="58" t="str">
        <f>IFERROR(VLOOKUP(L1481,'Raw material list'!$A$3:$C$715,3,0),"")</f>
        <v>DRS1-4417</v>
      </c>
      <c r="L1481" s="59" t="s">
        <v>88</v>
      </c>
      <c r="M1481" s="80" t="s">
        <v>156</v>
      </c>
      <c r="N1481" s="40" t="str">
        <f>VLOOKUP(L1481,'Raw material list'!$A$3:$E$715,5,0)</f>
        <v xml:space="preserve">Gram </v>
      </c>
      <c r="O1481" s="80">
        <v>10</v>
      </c>
      <c r="P1481" s="299">
        <f t="shared" si="187"/>
        <v>10</v>
      </c>
      <c r="Q1481" s="303">
        <v>100</v>
      </c>
      <c r="R1481" s="80">
        <v>10</v>
      </c>
      <c r="S1481" s="80"/>
      <c r="T1481" s="105">
        <f t="shared" si="182"/>
        <v>1</v>
      </c>
      <c r="U1481" s="105">
        <f t="shared" si="188"/>
        <v>1</v>
      </c>
      <c r="V1481" s="104">
        <f>IFERROR(VLOOKUP(L1481,'Raw material list'!$A$2:$S$3102,6,0),0)</f>
        <v>3.6754545454545456E-2</v>
      </c>
      <c r="W1481" s="104">
        <f t="shared" si="189"/>
        <v>3.6754545454545456E-2</v>
      </c>
    </row>
    <row r="1482" spans="1:23" hidden="1" x14ac:dyDescent="0.55000000000000004">
      <c r="A1482" s="76" t="str">
        <f t="shared" si="185"/>
        <v>RCP-SMC-000096</v>
      </c>
      <c r="B1482" s="58" t="s">
        <v>35</v>
      </c>
      <c r="C1482" s="58" t="s">
        <v>10</v>
      </c>
      <c r="D1482" s="76" t="str">
        <f t="shared" si="186"/>
        <v>Creamy Green Peas soup</v>
      </c>
      <c r="E1482" s="76" t="s">
        <v>1448</v>
      </c>
      <c r="F1482" s="76" t="s">
        <v>2079</v>
      </c>
      <c r="G1482" s="94" t="s">
        <v>1779</v>
      </c>
      <c r="H1482" s="107" t="s">
        <v>1773</v>
      </c>
      <c r="I1482" s="76"/>
      <c r="J1482" s="76"/>
      <c r="K1482" s="58" t="str">
        <f>IFERROR(VLOOKUP(L1482,'Raw material list'!$A$3:$C$715,3,0),"")</f>
        <v>DRS6-537</v>
      </c>
      <c r="L1482" s="59" t="s">
        <v>46</v>
      </c>
      <c r="M1482" s="80" t="s">
        <v>156</v>
      </c>
      <c r="N1482" s="40" t="str">
        <f>VLOOKUP(L1482,'Raw material list'!$A$3:$E$715,5,0)</f>
        <v xml:space="preserve">Gram </v>
      </c>
      <c r="O1482" s="80">
        <v>2</v>
      </c>
      <c r="P1482" s="299">
        <f t="shared" si="187"/>
        <v>2</v>
      </c>
      <c r="Q1482" s="80">
        <v>100</v>
      </c>
      <c r="R1482" s="80">
        <v>10</v>
      </c>
      <c r="S1482" s="80"/>
      <c r="T1482" s="105">
        <f t="shared" si="182"/>
        <v>0.2</v>
      </c>
      <c r="U1482" s="105">
        <f t="shared" si="188"/>
        <v>0.2</v>
      </c>
      <c r="V1482" s="104">
        <f>IFERROR(VLOOKUP(L1482,'Raw material list'!$A$2:$S$3102,6,0),0)</f>
        <v>3.5000000000000003E-2</v>
      </c>
      <c r="W1482" s="104">
        <f t="shared" si="189"/>
        <v>7.000000000000001E-3</v>
      </c>
    </row>
    <row r="1483" spans="1:23" hidden="1" x14ac:dyDescent="0.55000000000000004">
      <c r="A1483" s="76" t="str">
        <f t="shared" si="185"/>
        <v>RCP-SMC-000096</v>
      </c>
      <c r="B1483" s="58" t="s">
        <v>35</v>
      </c>
      <c r="C1483" s="58" t="s">
        <v>10</v>
      </c>
      <c r="D1483" s="76" t="str">
        <f t="shared" si="186"/>
        <v>Creamy Green Peas soup</v>
      </c>
      <c r="E1483" s="76" t="s">
        <v>1448</v>
      </c>
      <c r="F1483" s="76" t="s">
        <v>2079</v>
      </c>
      <c r="G1483" s="94" t="s">
        <v>1779</v>
      </c>
      <c r="H1483" s="107" t="s">
        <v>1773</v>
      </c>
      <c r="I1483" s="76"/>
      <c r="J1483" s="76"/>
      <c r="K1483" s="58" t="str">
        <f>IFERROR(VLOOKUP(L1483,'Raw material list'!$A$3:$C$715,3,0),"")</f>
        <v>TAP-00001</v>
      </c>
      <c r="L1483" s="59" t="s">
        <v>1405</v>
      </c>
      <c r="M1483" s="80" t="s">
        <v>206</v>
      </c>
      <c r="N1483" s="40" t="str">
        <f>VLOOKUP(L1483,'Raw material list'!$A$3:$E$715,5,0)</f>
        <v>Ml</v>
      </c>
      <c r="O1483" s="80">
        <v>2000</v>
      </c>
      <c r="P1483" s="299">
        <f t="shared" si="187"/>
        <v>2000</v>
      </c>
      <c r="Q1483" s="80">
        <v>100</v>
      </c>
      <c r="R1483" s="80">
        <v>10</v>
      </c>
      <c r="S1483" s="80"/>
      <c r="T1483" s="105">
        <f t="shared" si="182"/>
        <v>200</v>
      </c>
      <c r="U1483" s="105">
        <f t="shared" si="188"/>
        <v>200</v>
      </c>
      <c r="V1483" s="104">
        <f>IFERROR(VLOOKUP(L1483,'Raw material list'!$A$2:$S$3102,6,0),0)</f>
        <v>8.0000000000000007E-5</v>
      </c>
      <c r="W1483" s="104">
        <f t="shared" si="189"/>
        <v>1.6E-2</v>
      </c>
    </row>
    <row r="1484" spans="1:23" hidden="1" x14ac:dyDescent="0.55000000000000004">
      <c r="A1484" s="76" t="str">
        <f t="shared" si="185"/>
        <v>RCP-SMC-000096</v>
      </c>
      <c r="B1484" s="58" t="s">
        <v>35</v>
      </c>
      <c r="C1484" s="58" t="s">
        <v>10</v>
      </c>
      <c r="D1484" s="76" t="str">
        <f t="shared" si="186"/>
        <v>Creamy Green Peas soup</v>
      </c>
      <c r="E1484" s="76" t="s">
        <v>1448</v>
      </c>
      <c r="F1484" s="76" t="s">
        <v>2079</v>
      </c>
      <c r="G1484" s="94" t="s">
        <v>1779</v>
      </c>
      <c r="H1484" s="107" t="s">
        <v>1773</v>
      </c>
      <c r="I1484" s="76"/>
      <c r="J1484" s="76"/>
      <c r="K1484" s="58" t="str">
        <f>IFERROR(VLOOKUP(L1484,'Raw material list'!$A$3:$C$715,3,0),"")</f>
        <v>DRS1-3880</v>
      </c>
      <c r="L1484" s="59" t="s">
        <v>1433</v>
      </c>
      <c r="M1484" s="80" t="s">
        <v>156</v>
      </c>
      <c r="N1484" s="40" t="str">
        <f>VLOOKUP(L1484,'Raw material list'!$A$3:$E$715,5,0)</f>
        <v xml:space="preserve">Gram </v>
      </c>
      <c r="O1484" s="80">
        <v>5</v>
      </c>
      <c r="P1484" s="299">
        <f t="shared" si="187"/>
        <v>5</v>
      </c>
      <c r="Q1484" s="80">
        <v>100</v>
      </c>
      <c r="R1484" s="80">
        <v>10</v>
      </c>
      <c r="S1484" s="80"/>
      <c r="T1484" s="105">
        <f t="shared" si="182"/>
        <v>0.5</v>
      </c>
      <c r="U1484" s="105">
        <f t="shared" si="188"/>
        <v>0.5</v>
      </c>
      <c r="V1484" s="104">
        <f>IFERROR(VLOOKUP(L1484,'Raw material list'!$A$2:$S$3102,6,0),0)</f>
        <v>5.0000000000000001E-4</v>
      </c>
      <c r="W1484" s="104">
        <f t="shared" si="189"/>
        <v>2.5000000000000001E-4</v>
      </c>
    </row>
    <row r="1485" spans="1:23" hidden="1" x14ac:dyDescent="0.55000000000000004">
      <c r="A1485" s="76" t="str">
        <f t="shared" si="185"/>
        <v>RCP-SMC-000096</v>
      </c>
      <c r="B1485" s="58" t="s">
        <v>35</v>
      </c>
      <c r="C1485" s="58" t="s">
        <v>10</v>
      </c>
      <c r="D1485" s="76" t="str">
        <f t="shared" si="186"/>
        <v>Creamy Green Peas soup</v>
      </c>
      <c r="E1485" s="76" t="s">
        <v>1448</v>
      </c>
      <c r="F1485" s="76" t="s">
        <v>2079</v>
      </c>
      <c r="G1485" s="94" t="s">
        <v>1779</v>
      </c>
      <c r="H1485" s="107" t="s">
        <v>1773</v>
      </c>
      <c r="I1485" s="76"/>
      <c r="J1485" s="76"/>
      <c r="K1485" s="58" t="str">
        <f>IFERROR(VLOOKUP(L1485,'Raw material list'!$A$3:$C$715,3,0),"")</f>
        <v>DRY2-1858</v>
      </c>
      <c r="L1485" s="59" t="s">
        <v>60</v>
      </c>
      <c r="M1485" s="80" t="s">
        <v>206</v>
      </c>
      <c r="N1485" s="40" t="str">
        <f>VLOOKUP(L1485,'Raw material list'!$A$3:$E$715,5,0)</f>
        <v>Ml</v>
      </c>
      <c r="O1485" s="80">
        <v>200</v>
      </c>
      <c r="P1485" s="299">
        <f t="shared" si="187"/>
        <v>200</v>
      </c>
      <c r="Q1485" s="80">
        <v>100</v>
      </c>
      <c r="R1485" s="80">
        <v>10</v>
      </c>
      <c r="S1485" s="80"/>
      <c r="T1485" s="105">
        <f t="shared" si="182"/>
        <v>20</v>
      </c>
      <c r="U1485" s="105">
        <f t="shared" si="188"/>
        <v>20</v>
      </c>
      <c r="V1485" s="104">
        <f>IFERROR(VLOOKUP(L1485,'Raw material list'!$A$2:$S$3102,6,0),0)</f>
        <v>9.8800000000000016E-3</v>
      </c>
      <c r="W1485" s="104">
        <f t="shared" si="189"/>
        <v>0.19760000000000003</v>
      </c>
    </row>
    <row r="1486" spans="1:23" hidden="1" x14ac:dyDescent="0.55000000000000004">
      <c r="A1486" s="76" t="s">
        <v>1426</v>
      </c>
      <c r="B1486" s="58" t="s">
        <v>35</v>
      </c>
      <c r="C1486" s="58" t="s">
        <v>10</v>
      </c>
      <c r="D1486" s="76" t="s">
        <v>1625</v>
      </c>
      <c r="E1486" s="76" t="s">
        <v>1467</v>
      </c>
      <c r="F1486" s="76" t="s">
        <v>2079</v>
      </c>
      <c r="G1486" s="94" t="s">
        <v>1779</v>
      </c>
      <c r="H1486" s="107" t="s">
        <v>1774</v>
      </c>
      <c r="I1486" s="76"/>
      <c r="J1486" s="76"/>
      <c r="K1486" s="58" t="str">
        <f>IFERROR(VLOOKUP(L1486,'Raw material list'!$A$3:$C$715,3,0),"")</f>
        <v>PRD1-4265</v>
      </c>
      <c r="L1486" s="59" t="s">
        <v>38</v>
      </c>
      <c r="M1486" s="80" t="s">
        <v>156</v>
      </c>
      <c r="N1486" s="40" t="str">
        <f>VLOOKUP(L1486,'Raw material list'!$A$3:$E$715,5,0)</f>
        <v xml:space="preserve">Gram </v>
      </c>
      <c r="O1486" s="80">
        <v>100</v>
      </c>
      <c r="P1486" s="299">
        <f t="shared" si="187"/>
        <v>117.64705882352942</v>
      </c>
      <c r="Q1486" s="105">
        <v>85</v>
      </c>
      <c r="R1486" s="80">
        <v>12</v>
      </c>
      <c r="S1486" s="80"/>
      <c r="T1486" s="105">
        <f t="shared" si="182"/>
        <v>8.3333333333333339</v>
      </c>
      <c r="U1486" s="105">
        <f t="shared" si="188"/>
        <v>9.8039215686274517</v>
      </c>
      <c r="V1486" s="104">
        <f>IFERROR(VLOOKUP(L1486,'Raw material list'!$A$2:$S$3102,6,0),0)</f>
        <v>3.529411764705882E-3</v>
      </c>
      <c r="W1486" s="104">
        <f t="shared" si="189"/>
        <v>3.4602076124567477E-2</v>
      </c>
    </row>
    <row r="1487" spans="1:23" hidden="1" x14ac:dyDescent="0.55000000000000004">
      <c r="A1487" s="76" t="str">
        <f t="shared" ref="A1487:A1495" si="190">A1486</f>
        <v>RCP-SMC-000097</v>
      </c>
      <c r="B1487" s="58" t="s">
        <v>35</v>
      </c>
      <c r="C1487" s="58" t="s">
        <v>10</v>
      </c>
      <c r="D1487" s="76" t="str">
        <f t="shared" ref="D1487:D1495" si="191">D1486</f>
        <v>Rice Chicken lemon soup</v>
      </c>
      <c r="E1487" s="76" t="s">
        <v>1467</v>
      </c>
      <c r="F1487" s="76" t="s">
        <v>2079</v>
      </c>
      <c r="G1487" s="94" t="s">
        <v>1779</v>
      </c>
      <c r="H1487" s="107" t="s">
        <v>1774</v>
      </c>
      <c r="I1487" s="76"/>
      <c r="J1487" s="76"/>
      <c r="K1487" s="58" t="str">
        <f>IFERROR(VLOOKUP(L1487,'Raw material list'!$A$3:$C$715,3,0),"")</f>
        <v>PRD1-4327</v>
      </c>
      <c r="L1487" s="59" t="s">
        <v>39</v>
      </c>
      <c r="M1487" s="80" t="s">
        <v>156</v>
      </c>
      <c r="N1487" s="40" t="str">
        <f>VLOOKUP(L1487,'Raw material list'!$A$3:$E$715,5,0)</f>
        <v xml:space="preserve">Gram </v>
      </c>
      <c r="O1487" s="80">
        <v>15</v>
      </c>
      <c r="P1487" s="299">
        <f t="shared" si="187"/>
        <v>18.072289156626507</v>
      </c>
      <c r="Q1487" s="105">
        <v>83</v>
      </c>
      <c r="R1487" s="80">
        <v>12</v>
      </c>
      <c r="S1487" s="80"/>
      <c r="T1487" s="105">
        <f t="shared" si="182"/>
        <v>1.25</v>
      </c>
      <c r="U1487" s="105">
        <f t="shared" si="188"/>
        <v>1.5060240963855422</v>
      </c>
      <c r="V1487" s="104">
        <f>IFERROR(VLOOKUP(L1487,'Raw material list'!$A$2:$S$3102,6,0),0)</f>
        <v>1.2999999999999999E-2</v>
      </c>
      <c r="W1487" s="104">
        <f t="shared" si="189"/>
        <v>1.9578313253012049E-2</v>
      </c>
    </row>
    <row r="1488" spans="1:23" hidden="1" x14ac:dyDescent="0.55000000000000004">
      <c r="A1488" s="76" t="str">
        <f t="shared" si="190"/>
        <v>RCP-SMC-000097</v>
      </c>
      <c r="B1488" s="58" t="s">
        <v>35</v>
      </c>
      <c r="C1488" s="58" t="s">
        <v>10</v>
      </c>
      <c r="D1488" s="76" t="str">
        <f t="shared" si="191"/>
        <v>Rice Chicken lemon soup</v>
      </c>
      <c r="E1488" s="76" t="s">
        <v>1467</v>
      </c>
      <c r="F1488" s="76" t="s">
        <v>2079</v>
      </c>
      <c r="G1488" s="94" t="s">
        <v>1779</v>
      </c>
      <c r="H1488" s="107" t="s">
        <v>1774</v>
      </c>
      <c r="I1488" s="76"/>
      <c r="J1488" s="76"/>
      <c r="K1488" s="58" t="str">
        <f>IFERROR(VLOOKUP(L1488,'Raw material list'!$A$3:$C$715,3,0),"")</f>
        <v>DRS4-1457</v>
      </c>
      <c r="L1488" s="59" t="s">
        <v>43</v>
      </c>
      <c r="M1488" s="80" t="s">
        <v>156</v>
      </c>
      <c r="N1488" s="40" t="str">
        <f>VLOOKUP(L1488,'Raw material list'!$A$3:$E$715,5,0)</f>
        <v xml:space="preserve">Gram </v>
      </c>
      <c r="O1488" s="80">
        <v>200</v>
      </c>
      <c r="P1488" s="299">
        <f t="shared" si="187"/>
        <v>200</v>
      </c>
      <c r="Q1488" s="303">
        <v>100</v>
      </c>
      <c r="R1488" s="80">
        <v>12</v>
      </c>
      <c r="S1488" s="80"/>
      <c r="T1488" s="105">
        <f t="shared" si="182"/>
        <v>16.666666666666668</v>
      </c>
      <c r="U1488" s="105">
        <f t="shared" si="188"/>
        <v>16.666666666666668</v>
      </c>
      <c r="V1488" s="104">
        <f>IFERROR(VLOOKUP(L1488,'Raw material list'!$A$2:$S$3102,6,0),0)</f>
        <v>6.4999999999999997E-3</v>
      </c>
      <c r="W1488" s="104">
        <f t="shared" si="189"/>
        <v>0.10833333333333334</v>
      </c>
    </row>
    <row r="1489" spans="1:23" hidden="1" x14ac:dyDescent="0.55000000000000004">
      <c r="A1489" s="76" t="str">
        <f t="shared" si="190"/>
        <v>RCP-SMC-000097</v>
      </c>
      <c r="B1489" s="58" t="s">
        <v>35</v>
      </c>
      <c r="C1489" s="58" t="s">
        <v>10</v>
      </c>
      <c r="D1489" s="76" t="str">
        <f t="shared" si="191"/>
        <v>Rice Chicken lemon soup</v>
      </c>
      <c r="E1489" s="76" t="s">
        <v>1467</v>
      </c>
      <c r="F1489" s="76" t="s">
        <v>2078</v>
      </c>
      <c r="G1489" s="94" t="s">
        <v>1779</v>
      </c>
      <c r="H1489" s="107" t="s">
        <v>1774</v>
      </c>
      <c r="I1489" s="76"/>
      <c r="J1489" s="76"/>
      <c r="K1489" s="58" t="str">
        <f>IFERROR(VLOOKUP(L1489,'Raw material list'!$A$3:$C$715,3,0),"")</f>
        <v>PLT2-3278</v>
      </c>
      <c r="L1489" s="59" t="s">
        <v>80</v>
      </c>
      <c r="M1489" s="80" t="s">
        <v>156</v>
      </c>
      <c r="N1489" s="40" t="str">
        <f>VLOOKUP(L1489,'Raw material list'!$A$3:$E$715,5,0)</f>
        <v xml:space="preserve">Gram </v>
      </c>
      <c r="O1489" s="80">
        <v>200</v>
      </c>
      <c r="P1489" s="299">
        <f t="shared" si="187"/>
        <v>262.46719160104988</v>
      </c>
      <c r="Q1489" s="80">
        <v>76.2</v>
      </c>
      <c r="R1489" s="80">
        <v>12</v>
      </c>
      <c r="S1489" s="80"/>
      <c r="T1489" s="105">
        <f t="shared" si="182"/>
        <v>16.666666666666668</v>
      </c>
      <c r="U1489" s="105">
        <f t="shared" si="188"/>
        <v>21.872265966754156</v>
      </c>
      <c r="V1489" s="104">
        <f>IFERROR(VLOOKUP(L1489,'Raw material list'!$A$2:$S$3102,6,0),0)</f>
        <v>3.0357142857142853E-2</v>
      </c>
      <c r="W1489" s="104">
        <f t="shared" si="189"/>
        <v>0.66397950256217964</v>
      </c>
    </row>
    <row r="1490" spans="1:23" hidden="1" x14ac:dyDescent="0.55000000000000004">
      <c r="A1490" s="76" t="str">
        <f t="shared" si="190"/>
        <v>RCP-SMC-000097</v>
      </c>
      <c r="B1490" s="58" t="s">
        <v>35</v>
      </c>
      <c r="C1490" s="58" t="s">
        <v>10</v>
      </c>
      <c r="D1490" s="76" t="str">
        <f t="shared" si="191"/>
        <v>Rice Chicken lemon soup</v>
      </c>
      <c r="E1490" s="76" t="s">
        <v>1467</v>
      </c>
      <c r="F1490" s="76" t="s">
        <v>2079</v>
      </c>
      <c r="G1490" s="94" t="s">
        <v>1779</v>
      </c>
      <c r="H1490" s="107" t="s">
        <v>1774</v>
      </c>
      <c r="I1490" s="76"/>
      <c r="J1490" s="76"/>
      <c r="K1490" s="58" t="str">
        <f>IFERROR(VLOOKUP(L1490,'Raw material list'!$A$3:$C$715,3,0),"")</f>
        <v>DRS1-3811</v>
      </c>
      <c r="L1490" s="59" t="s">
        <v>40</v>
      </c>
      <c r="M1490" s="80" t="s">
        <v>156</v>
      </c>
      <c r="N1490" s="40" t="str">
        <f>VLOOKUP(L1490,'Raw material list'!$A$3:$E$715,5,0)</f>
        <v xml:space="preserve">Gram </v>
      </c>
      <c r="O1490" s="80">
        <v>20</v>
      </c>
      <c r="P1490" s="299">
        <f t="shared" si="187"/>
        <v>20</v>
      </c>
      <c r="Q1490" s="80">
        <v>100</v>
      </c>
      <c r="R1490" s="80">
        <v>12</v>
      </c>
      <c r="S1490" s="80"/>
      <c r="T1490" s="105">
        <f t="shared" si="182"/>
        <v>1.6666666666666667</v>
      </c>
      <c r="U1490" s="105">
        <f t="shared" si="188"/>
        <v>1.6666666666666667</v>
      </c>
      <c r="V1490" s="104">
        <f>IFERROR(VLOOKUP(L1490,'Raw material list'!$A$2:$S$3102,6,0),0)</f>
        <v>2.8475E-2</v>
      </c>
      <c r="W1490" s="104">
        <f t="shared" si="189"/>
        <v>4.7458333333333338E-2</v>
      </c>
    </row>
    <row r="1491" spans="1:23" hidden="1" x14ac:dyDescent="0.55000000000000004">
      <c r="A1491" s="76" t="str">
        <f t="shared" si="190"/>
        <v>RCP-SMC-000097</v>
      </c>
      <c r="B1491" s="58" t="s">
        <v>35</v>
      </c>
      <c r="C1491" s="58" t="s">
        <v>10</v>
      </c>
      <c r="D1491" s="76" t="str">
        <f t="shared" si="191"/>
        <v>Rice Chicken lemon soup</v>
      </c>
      <c r="E1491" s="76" t="s">
        <v>1467</v>
      </c>
      <c r="F1491" s="76" t="s">
        <v>2079</v>
      </c>
      <c r="G1491" s="94" t="s">
        <v>1779</v>
      </c>
      <c r="H1491" s="107" t="s">
        <v>1774</v>
      </c>
      <c r="I1491" s="76"/>
      <c r="J1491" s="76"/>
      <c r="K1491" s="58" t="str">
        <f>IFERROR(VLOOKUP(L1491,'Raw material list'!$A$3:$C$715,3,0),"")</f>
        <v>DRS1-3880</v>
      </c>
      <c r="L1491" s="59" t="s">
        <v>1433</v>
      </c>
      <c r="M1491" s="80" t="s">
        <v>156</v>
      </c>
      <c r="N1491" s="40" t="str">
        <f>VLOOKUP(L1491,'Raw material list'!$A$3:$E$715,5,0)</f>
        <v xml:space="preserve">Gram </v>
      </c>
      <c r="O1491" s="80">
        <v>10</v>
      </c>
      <c r="P1491" s="299">
        <f t="shared" si="187"/>
        <v>10</v>
      </c>
      <c r="Q1491" s="80">
        <v>100</v>
      </c>
      <c r="R1491" s="80">
        <v>12</v>
      </c>
      <c r="S1491" s="80"/>
      <c r="T1491" s="105">
        <f t="shared" si="182"/>
        <v>0.83333333333333337</v>
      </c>
      <c r="U1491" s="105">
        <f t="shared" si="188"/>
        <v>0.83333333333333337</v>
      </c>
      <c r="V1491" s="104">
        <f>IFERROR(VLOOKUP(L1491,'Raw material list'!$A$2:$S$3102,6,0),0)</f>
        <v>5.0000000000000001E-4</v>
      </c>
      <c r="W1491" s="104">
        <f t="shared" si="189"/>
        <v>4.1666666666666669E-4</v>
      </c>
    </row>
    <row r="1492" spans="1:23" hidden="1" x14ac:dyDescent="0.55000000000000004">
      <c r="A1492" s="76" t="str">
        <f t="shared" si="190"/>
        <v>RCP-SMC-000097</v>
      </c>
      <c r="B1492" s="58" t="s">
        <v>35</v>
      </c>
      <c r="C1492" s="58" t="s">
        <v>10</v>
      </c>
      <c r="D1492" s="76" t="str">
        <f t="shared" si="191"/>
        <v>Rice Chicken lemon soup</v>
      </c>
      <c r="E1492" s="76" t="s">
        <v>1467</v>
      </c>
      <c r="F1492" s="76" t="s">
        <v>2079</v>
      </c>
      <c r="G1492" s="94" t="s">
        <v>1779</v>
      </c>
      <c r="H1492" s="107" t="s">
        <v>1774</v>
      </c>
      <c r="I1492" s="76"/>
      <c r="J1492" s="76"/>
      <c r="K1492" s="58" t="str">
        <f>IFERROR(VLOOKUP(L1492,'Raw material list'!$A$3:$C$715,3,0),"")</f>
        <v>PRD1-209</v>
      </c>
      <c r="L1492" s="59" t="s">
        <v>86</v>
      </c>
      <c r="M1492" s="80" t="s">
        <v>156</v>
      </c>
      <c r="N1492" s="40" t="str">
        <f>VLOOKUP(L1492,'Raw material list'!$A$3:$E$715,5,0)</f>
        <v xml:space="preserve">Gram </v>
      </c>
      <c r="O1492" s="80">
        <v>100</v>
      </c>
      <c r="P1492" s="299">
        <f t="shared" si="187"/>
        <v>126.05042016806725</v>
      </c>
      <c r="Q1492" s="105">
        <v>79.333333333333329</v>
      </c>
      <c r="R1492" s="80">
        <v>12</v>
      </c>
      <c r="S1492" s="80"/>
      <c r="T1492" s="105">
        <f t="shared" si="182"/>
        <v>8.3333333333333339</v>
      </c>
      <c r="U1492" s="105">
        <f t="shared" si="188"/>
        <v>10.504201680672271</v>
      </c>
      <c r="V1492" s="104">
        <f>IFERROR(VLOOKUP(L1492,'Raw material list'!$A$2:$S$3102,6,0),0)</f>
        <v>1.0088272383354349E-2</v>
      </c>
      <c r="W1492" s="104">
        <f t="shared" si="189"/>
        <v>0.10596924772431041</v>
      </c>
    </row>
    <row r="1493" spans="1:23" hidden="1" x14ac:dyDescent="0.55000000000000004">
      <c r="A1493" s="76" t="str">
        <f t="shared" si="190"/>
        <v>RCP-SMC-000097</v>
      </c>
      <c r="B1493" s="58" t="s">
        <v>35</v>
      </c>
      <c r="C1493" s="58" t="s">
        <v>10</v>
      </c>
      <c r="D1493" s="76" t="str">
        <f t="shared" si="191"/>
        <v>Rice Chicken lemon soup</v>
      </c>
      <c r="E1493" s="76" t="s">
        <v>1467</v>
      </c>
      <c r="F1493" s="76" t="s">
        <v>2079</v>
      </c>
      <c r="G1493" s="94" t="s">
        <v>1779</v>
      </c>
      <c r="H1493" s="107" t="s">
        <v>1774</v>
      </c>
      <c r="I1493" s="76"/>
      <c r="J1493" s="76"/>
      <c r="K1493" s="58" t="str">
        <f>IFERROR(VLOOKUP(L1493,'Raw material list'!$A$3:$C$715,3,0),"")</f>
        <v>DRS6-309</v>
      </c>
      <c r="L1493" s="59" t="s">
        <v>61</v>
      </c>
      <c r="M1493" s="80" t="s">
        <v>156</v>
      </c>
      <c r="N1493" s="40" t="str">
        <f>VLOOKUP(L1493,'Raw material list'!$A$3:$E$715,5,0)</f>
        <v xml:space="preserve">Gram </v>
      </c>
      <c r="O1493" s="80">
        <v>2</v>
      </c>
      <c r="P1493" s="299">
        <f t="shared" si="187"/>
        <v>2</v>
      </c>
      <c r="Q1493" s="303">
        <v>100</v>
      </c>
      <c r="R1493" s="80">
        <v>12</v>
      </c>
      <c r="S1493" s="80"/>
      <c r="T1493" s="105">
        <f t="shared" si="182"/>
        <v>0.16666666666666666</v>
      </c>
      <c r="U1493" s="105">
        <f t="shared" si="188"/>
        <v>0.16666666666666666</v>
      </c>
      <c r="V1493" s="104">
        <f>IFERROR(VLOOKUP(L1493,'Raw material list'!$A$2:$S$3102,6,0),0)</f>
        <v>2.8000000000000001E-2</v>
      </c>
      <c r="W1493" s="104">
        <f t="shared" si="189"/>
        <v>4.6666666666666662E-3</v>
      </c>
    </row>
    <row r="1494" spans="1:23" hidden="1" x14ac:dyDescent="0.55000000000000004">
      <c r="A1494" s="76" t="str">
        <f t="shared" si="190"/>
        <v>RCP-SMC-000097</v>
      </c>
      <c r="B1494" s="58" t="s">
        <v>35</v>
      </c>
      <c r="C1494" s="58" t="s">
        <v>10</v>
      </c>
      <c r="D1494" s="76" t="str">
        <f t="shared" si="191"/>
        <v>Rice Chicken lemon soup</v>
      </c>
      <c r="E1494" s="76" t="s">
        <v>1467</v>
      </c>
      <c r="F1494" s="76" t="s">
        <v>2079</v>
      </c>
      <c r="G1494" s="94" t="s">
        <v>1779</v>
      </c>
      <c r="H1494" s="107" t="s">
        <v>1774</v>
      </c>
      <c r="I1494" s="76"/>
      <c r="J1494" s="76"/>
      <c r="K1494" s="58" t="str">
        <f>IFERROR(VLOOKUP(L1494,'Raw material list'!$A$3:$C$715,3,0),"")</f>
        <v>PRD1-227</v>
      </c>
      <c r="L1494" s="59" t="s">
        <v>1038</v>
      </c>
      <c r="M1494" s="80" t="s">
        <v>156</v>
      </c>
      <c r="N1494" s="40" t="str">
        <f>VLOOKUP(L1494,'Raw material list'!$A$3:$E$715,5,0)</f>
        <v xml:space="preserve">Gram </v>
      </c>
      <c r="O1494" s="80">
        <v>10</v>
      </c>
      <c r="P1494" s="299">
        <f t="shared" si="187"/>
        <v>28.846153846153843</v>
      </c>
      <c r="Q1494" s="105">
        <v>34.666666666666671</v>
      </c>
      <c r="R1494" s="80">
        <v>12</v>
      </c>
      <c r="S1494" s="80"/>
      <c r="T1494" s="105">
        <f t="shared" si="182"/>
        <v>0.83333333333333337</v>
      </c>
      <c r="U1494" s="105">
        <f t="shared" si="188"/>
        <v>2.4038461538461537</v>
      </c>
      <c r="V1494" s="104">
        <f>IFERROR(VLOOKUP(L1494,'Raw material list'!$A$2:$S$3102,6,0),0)</f>
        <v>1.5850144092219021E-2</v>
      </c>
      <c r="W1494" s="104">
        <f t="shared" si="189"/>
        <v>3.8101307913988032E-2</v>
      </c>
    </row>
    <row r="1495" spans="1:23" hidden="1" x14ac:dyDescent="0.55000000000000004">
      <c r="A1495" s="76" t="str">
        <f t="shared" si="190"/>
        <v>RCP-SMC-000097</v>
      </c>
      <c r="B1495" s="58" t="s">
        <v>35</v>
      </c>
      <c r="C1495" s="58" t="s">
        <v>10</v>
      </c>
      <c r="D1495" s="76" t="str">
        <f t="shared" si="191"/>
        <v>Rice Chicken lemon soup</v>
      </c>
      <c r="E1495" s="76" t="s">
        <v>1467</v>
      </c>
      <c r="F1495" s="76" t="s">
        <v>2079</v>
      </c>
      <c r="G1495" s="94" t="s">
        <v>1779</v>
      </c>
      <c r="H1495" s="107" t="s">
        <v>1774</v>
      </c>
      <c r="I1495" s="76"/>
      <c r="J1495" s="76"/>
      <c r="K1495" s="58" t="str">
        <f>IFERROR(VLOOKUP(L1495,'Raw material list'!$A$3:$C$715,3,0),"")</f>
        <v>TAP-00001</v>
      </c>
      <c r="L1495" s="59" t="s">
        <v>1405</v>
      </c>
      <c r="M1495" s="80" t="s">
        <v>206</v>
      </c>
      <c r="N1495" s="40" t="str">
        <f>VLOOKUP(L1495,'Raw material list'!$A$3:$E$715,5,0)</f>
        <v>Ml</v>
      </c>
      <c r="O1495" s="80">
        <v>2000</v>
      </c>
      <c r="P1495" s="299">
        <f t="shared" si="187"/>
        <v>2000</v>
      </c>
      <c r="Q1495" s="303">
        <v>100</v>
      </c>
      <c r="R1495" s="80">
        <v>12</v>
      </c>
      <c r="S1495" s="80"/>
      <c r="T1495" s="105">
        <f t="shared" si="182"/>
        <v>166.66666666666666</v>
      </c>
      <c r="U1495" s="105">
        <f t="shared" si="188"/>
        <v>166.66666666666666</v>
      </c>
      <c r="V1495" s="104">
        <f>IFERROR(VLOOKUP(L1495,'Raw material list'!$A$2:$S$3102,6,0),0)</f>
        <v>8.0000000000000007E-5</v>
      </c>
      <c r="W1495" s="104">
        <f t="shared" si="189"/>
        <v>1.3333333333333334E-2</v>
      </c>
    </row>
    <row r="1496" spans="1:23" hidden="1" x14ac:dyDescent="0.55000000000000004">
      <c r="A1496" s="76" t="s">
        <v>1427</v>
      </c>
      <c r="B1496" s="58" t="s">
        <v>35</v>
      </c>
      <c r="C1496" s="58" t="s">
        <v>10</v>
      </c>
      <c r="D1496" s="76" t="s">
        <v>1626</v>
      </c>
      <c r="E1496" s="76" t="s">
        <v>1467</v>
      </c>
      <c r="F1496" s="76" t="s">
        <v>2079</v>
      </c>
      <c r="G1496" s="94" t="s">
        <v>1779</v>
      </c>
      <c r="H1496" s="107" t="s">
        <v>1774</v>
      </c>
      <c r="I1496" s="76"/>
      <c r="J1496" s="76"/>
      <c r="K1496" s="58" t="str">
        <f>IFERROR(VLOOKUP(L1496,'Raw material list'!$A$3:$C$715,3,0),"")</f>
        <v>DRS3-1813</v>
      </c>
      <c r="L1496" s="59" t="s">
        <v>69</v>
      </c>
      <c r="M1496" s="80" t="s">
        <v>206</v>
      </c>
      <c r="N1496" s="40" t="str">
        <f>VLOOKUP(L1496,'Raw material list'!$A$3:$E$715,5,0)</f>
        <v>Ml</v>
      </c>
      <c r="O1496" s="80">
        <v>20</v>
      </c>
      <c r="P1496" s="299">
        <f t="shared" si="187"/>
        <v>20</v>
      </c>
      <c r="Q1496" s="80">
        <v>100</v>
      </c>
      <c r="R1496" s="80">
        <v>14</v>
      </c>
      <c r="S1496" s="80"/>
      <c r="T1496" s="105">
        <f t="shared" si="182"/>
        <v>1.4285714285714286</v>
      </c>
      <c r="U1496" s="105">
        <f t="shared" si="188"/>
        <v>1.4285714285714286</v>
      </c>
      <c r="V1496" s="104">
        <f>IFERROR(VLOOKUP(L1496,'Raw material list'!$A$2:$S$3102,6,0),0)</f>
        <v>8.0555555555555554E-3</v>
      </c>
      <c r="W1496" s="104">
        <f t="shared" si="189"/>
        <v>1.1507936507936509E-2</v>
      </c>
    </row>
    <row r="1497" spans="1:23" hidden="1" x14ac:dyDescent="0.55000000000000004">
      <c r="A1497" s="76" t="str">
        <f t="shared" ref="A1497:A1507" si="192">A1496</f>
        <v>RCP-SMC-000098</v>
      </c>
      <c r="B1497" s="58" t="s">
        <v>35</v>
      </c>
      <c r="C1497" s="58" t="s">
        <v>10</v>
      </c>
      <c r="D1497" s="76" t="str">
        <f t="shared" ref="D1497:D1507" si="193">D1496</f>
        <v>Tomato Oats soup with vegetable</v>
      </c>
      <c r="E1497" s="76" t="s">
        <v>1467</v>
      </c>
      <c r="F1497" s="76" t="s">
        <v>2079</v>
      </c>
      <c r="G1497" s="94" t="s">
        <v>1779</v>
      </c>
      <c r="H1497" s="107" t="s">
        <v>1774</v>
      </c>
      <c r="I1497" s="76"/>
      <c r="J1497" s="76"/>
      <c r="K1497" s="58" t="str">
        <f>IFERROR(VLOOKUP(L1497,'Raw material list'!$A$3:$C$715,3,0),"")</f>
        <v>PRD1-4265</v>
      </c>
      <c r="L1497" s="59" t="s">
        <v>38</v>
      </c>
      <c r="M1497" s="80" t="s">
        <v>156</v>
      </c>
      <c r="N1497" s="40" t="str">
        <f>VLOOKUP(L1497,'Raw material list'!$A$3:$E$715,5,0)</f>
        <v xml:space="preserve">Gram </v>
      </c>
      <c r="O1497" s="80">
        <v>100</v>
      </c>
      <c r="P1497" s="299">
        <f t="shared" si="187"/>
        <v>117.64705882352942</v>
      </c>
      <c r="Q1497" s="105">
        <v>85</v>
      </c>
      <c r="R1497" s="80">
        <v>14</v>
      </c>
      <c r="S1497" s="80"/>
      <c r="T1497" s="105">
        <f t="shared" si="182"/>
        <v>7.1428571428571432</v>
      </c>
      <c r="U1497" s="105">
        <f t="shared" si="188"/>
        <v>8.4033613445378155</v>
      </c>
      <c r="V1497" s="104">
        <f>IFERROR(VLOOKUP(L1497,'Raw material list'!$A$2:$S$3102,6,0),0)</f>
        <v>3.529411764705882E-3</v>
      </c>
      <c r="W1497" s="104">
        <f t="shared" si="189"/>
        <v>2.9658922392486405E-2</v>
      </c>
    </row>
    <row r="1498" spans="1:23" hidden="1" x14ac:dyDescent="0.55000000000000004">
      <c r="A1498" s="76" t="str">
        <f t="shared" si="192"/>
        <v>RCP-SMC-000098</v>
      </c>
      <c r="B1498" s="58" t="s">
        <v>35</v>
      </c>
      <c r="C1498" s="58" t="s">
        <v>10</v>
      </c>
      <c r="D1498" s="76" t="str">
        <f t="shared" si="193"/>
        <v>Tomato Oats soup with vegetable</v>
      </c>
      <c r="E1498" s="76" t="s">
        <v>1467</v>
      </c>
      <c r="F1498" s="76" t="s">
        <v>2079</v>
      </c>
      <c r="G1498" s="94" t="s">
        <v>1779</v>
      </c>
      <c r="H1498" s="107" t="s">
        <v>1774</v>
      </c>
      <c r="I1498" s="76"/>
      <c r="J1498" s="76"/>
      <c r="K1498" s="58" t="str">
        <f>IFERROR(VLOOKUP(L1498,'Raw material list'!$A$3:$C$715,3,0),"")</f>
        <v>PRD1-4327</v>
      </c>
      <c r="L1498" s="59" t="s">
        <v>39</v>
      </c>
      <c r="M1498" s="80" t="s">
        <v>156</v>
      </c>
      <c r="N1498" s="40" t="str">
        <f>VLOOKUP(L1498,'Raw material list'!$A$3:$E$715,5,0)</f>
        <v xml:space="preserve">Gram </v>
      </c>
      <c r="O1498" s="80">
        <v>15</v>
      </c>
      <c r="P1498" s="299">
        <f t="shared" si="187"/>
        <v>18.072289156626507</v>
      </c>
      <c r="Q1498" s="105">
        <v>83</v>
      </c>
      <c r="R1498" s="80">
        <v>14</v>
      </c>
      <c r="S1498" s="80"/>
      <c r="T1498" s="105">
        <f t="shared" si="182"/>
        <v>1.0714285714285714</v>
      </c>
      <c r="U1498" s="105">
        <f t="shared" si="188"/>
        <v>1.2908777969018934</v>
      </c>
      <c r="V1498" s="104">
        <f>IFERROR(VLOOKUP(L1498,'Raw material list'!$A$2:$S$3102,6,0),0)</f>
        <v>1.2999999999999999E-2</v>
      </c>
      <c r="W1498" s="104">
        <f t="shared" si="189"/>
        <v>1.6781411359724614E-2</v>
      </c>
    </row>
    <row r="1499" spans="1:23" hidden="1" x14ac:dyDescent="0.55000000000000004">
      <c r="A1499" s="76" t="str">
        <f t="shared" si="192"/>
        <v>RCP-SMC-000098</v>
      </c>
      <c r="B1499" s="58" t="s">
        <v>35</v>
      </c>
      <c r="C1499" s="58" t="s">
        <v>10</v>
      </c>
      <c r="D1499" s="76" t="str">
        <f t="shared" si="193"/>
        <v>Tomato Oats soup with vegetable</v>
      </c>
      <c r="E1499" s="76" t="s">
        <v>1467</v>
      </c>
      <c r="F1499" s="76" t="s">
        <v>2079</v>
      </c>
      <c r="G1499" s="94" t="s">
        <v>1779</v>
      </c>
      <c r="H1499" s="107" t="s">
        <v>1774</v>
      </c>
      <c r="I1499" s="76"/>
      <c r="J1499" s="76"/>
      <c r="K1499" s="58" t="str">
        <f>IFERROR(VLOOKUP(L1499,'Raw material list'!$A$3:$C$715,3,0),"")</f>
        <v>DRS1-4809</v>
      </c>
      <c r="L1499" s="59" t="s">
        <v>298</v>
      </c>
      <c r="M1499" s="80" t="s">
        <v>156</v>
      </c>
      <c r="N1499" s="40" t="str">
        <f>VLOOKUP(L1499,'Raw material list'!$A$3:$E$715,5,0)</f>
        <v xml:space="preserve">Gram </v>
      </c>
      <c r="O1499" s="80">
        <v>100</v>
      </c>
      <c r="P1499" s="299">
        <f t="shared" si="187"/>
        <v>100</v>
      </c>
      <c r="Q1499" s="303">
        <v>100</v>
      </c>
      <c r="R1499" s="80">
        <v>14</v>
      </c>
      <c r="S1499" s="80"/>
      <c r="T1499" s="105">
        <f t="shared" si="182"/>
        <v>7.1428571428571432</v>
      </c>
      <c r="U1499" s="105">
        <f t="shared" si="188"/>
        <v>7.1428571428571432</v>
      </c>
      <c r="V1499" s="104">
        <f>IFERROR(VLOOKUP(L1499,'Raw material list'!$A$2:$S$3102,6,0),0)</f>
        <v>1.1577777777777777E-2</v>
      </c>
      <c r="W1499" s="104">
        <f t="shared" si="189"/>
        <v>8.2698412698412702E-2</v>
      </c>
    </row>
    <row r="1500" spans="1:23" hidden="1" x14ac:dyDescent="0.55000000000000004">
      <c r="A1500" s="76" t="str">
        <f t="shared" si="192"/>
        <v>RCP-SMC-000098</v>
      </c>
      <c r="B1500" s="58" t="s">
        <v>35</v>
      </c>
      <c r="C1500" s="58" t="s">
        <v>10</v>
      </c>
      <c r="D1500" s="76" t="str">
        <f t="shared" si="193"/>
        <v>Tomato Oats soup with vegetable</v>
      </c>
      <c r="E1500" s="76" t="s">
        <v>1467</v>
      </c>
      <c r="F1500" s="76" t="s">
        <v>2079</v>
      </c>
      <c r="G1500" s="94" t="s">
        <v>1779</v>
      </c>
      <c r="H1500" s="107" t="s">
        <v>1774</v>
      </c>
      <c r="I1500" s="76"/>
      <c r="J1500" s="76"/>
      <c r="K1500" s="58" t="str">
        <f>IFERROR(VLOOKUP(L1500,'Raw material list'!$A$3:$C$715,3,0),"")</f>
        <v>PRD1-186</v>
      </c>
      <c r="L1500" s="59" t="s">
        <v>37</v>
      </c>
      <c r="M1500" s="80" t="s">
        <v>156</v>
      </c>
      <c r="N1500" s="40" t="str">
        <f>VLOOKUP(L1500,'Raw material list'!$A$3:$E$715,5,0)</f>
        <v xml:space="preserve">Gram </v>
      </c>
      <c r="O1500" s="80">
        <v>250</v>
      </c>
      <c r="P1500" s="299">
        <f t="shared" si="187"/>
        <v>306.12244897959181</v>
      </c>
      <c r="Q1500" s="105">
        <v>81.666666666666671</v>
      </c>
      <c r="R1500" s="80">
        <v>14</v>
      </c>
      <c r="S1500" s="80"/>
      <c r="T1500" s="105">
        <f t="shared" si="182"/>
        <v>17.857142857142858</v>
      </c>
      <c r="U1500" s="105">
        <f t="shared" si="188"/>
        <v>21.865889212827987</v>
      </c>
      <c r="V1500" s="104">
        <f>IFERROR(VLOOKUP(L1500,'Raw material list'!$A$2:$S$3102,6,0),0)</f>
        <v>5.8139534883720938E-3</v>
      </c>
      <c r="W1500" s="104">
        <f t="shared" si="189"/>
        <v>0.12712726286527901</v>
      </c>
    </row>
    <row r="1501" spans="1:23" hidden="1" x14ac:dyDescent="0.55000000000000004">
      <c r="A1501" s="76" t="str">
        <f t="shared" si="192"/>
        <v>RCP-SMC-000098</v>
      </c>
      <c r="B1501" s="58" t="s">
        <v>35</v>
      </c>
      <c r="C1501" s="58" t="s">
        <v>10</v>
      </c>
      <c r="D1501" s="76" t="str">
        <f t="shared" si="193"/>
        <v>Tomato Oats soup with vegetable</v>
      </c>
      <c r="E1501" s="76" t="s">
        <v>1467</v>
      </c>
      <c r="F1501" s="76" t="s">
        <v>2079</v>
      </c>
      <c r="G1501" s="94" t="s">
        <v>1779</v>
      </c>
      <c r="H1501" s="107" t="s">
        <v>1774</v>
      </c>
      <c r="I1501" s="76"/>
      <c r="J1501" s="76"/>
      <c r="K1501" s="58" t="str">
        <f>IFERROR(VLOOKUP(L1501,'Raw material list'!$A$3:$C$715,3,0),"")</f>
        <v>PRD1-3794</v>
      </c>
      <c r="L1501" s="59" t="s">
        <v>973</v>
      </c>
      <c r="M1501" s="80" t="s">
        <v>156</v>
      </c>
      <c r="N1501" s="40" t="str">
        <f>VLOOKUP(L1501,'Raw material list'!$A$3:$E$715,5,0)</f>
        <v xml:space="preserve">Gram </v>
      </c>
      <c r="O1501" s="80">
        <v>250</v>
      </c>
      <c r="P1501" s="299">
        <f t="shared" si="187"/>
        <v>308.64197530864197</v>
      </c>
      <c r="Q1501" s="105">
        <v>81</v>
      </c>
      <c r="R1501" s="80">
        <v>14</v>
      </c>
      <c r="S1501" s="80"/>
      <c r="T1501" s="105">
        <f t="shared" si="182"/>
        <v>17.857142857142858</v>
      </c>
      <c r="U1501" s="105">
        <f t="shared" si="188"/>
        <v>22.045855379188712</v>
      </c>
      <c r="V1501" s="104">
        <f>IFERROR(VLOOKUP(L1501,'Raw material list'!$A$2:$S$3102,6,0),0)</f>
        <v>4.9382716049382715E-3</v>
      </c>
      <c r="W1501" s="104">
        <f t="shared" si="189"/>
        <v>0.10886842162562327</v>
      </c>
    </row>
    <row r="1502" spans="1:23" hidden="1" x14ac:dyDescent="0.55000000000000004">
      <c r="A1502" s="76" t="str">
        <f t="shared" si="192"/>
        <v>RCP-SMC-000098</v>
      </c>
      <c r="B1502" s="58" t="s">
        <v>35</v>
      </c>
      <c r="C1502" s="58" t="s">
        <v>10</v>
      </c>
      <c r="D1502" s="76" t="str">
        <f t="shared" si="193"/>
        <v>Tomato Oats soup with vegetable</v>
      </c>
      <c r="E1502" s="76" t="s">
        <v>1467</v>
      </c>
      <c r="F1502" s="76" t="s">
        <v>2079</v>
      </c>
      <c r="G1502" s="94" t="s">
        <v>1779</v>
      </c>
      <c r="H1502" s="107" t="s">
        <v>1774</v>
      </c>
      <c r="I1502" s="76"/>
      <c r="J1502" s="76"/>
      <c r="K1502" s="58" t="str">
        <f>IFERROR(VLOOKUP(L1502,'Raw material list'!$A$3:$C$715,3,0),"")</f>
        <v>TAP-00001</v>
      </c>
      <c r="L1502" s="59" t="s">
        <v>1405</v>
      </c>
      <c r="M1502" s="80" t="s">
        <v>206</v>
      </c>
      <c r="N1502" s="40" t="str">
        <f>VLOOKUP(L1502,'Raw material list'!$A$3:$E$715,5,0)</f>
        <v>Ml</v>
      </c>
      <c r="O1502" s="80">
        <v>2250</v>
      </c>
      <c r="P1502" s="299">
        <f t="shared" si="187"/>
        <v>2250</v>
      </c>
      <c r="Q1502" s="303">
        <v>100</v>
      </c>
      <c r="R1502" s="80">
        <v>14</v>
      </c>
      <c r="S1502" s="80"/>
      <c r="T1502" s="105">
        <f t="shared" si="182"/>
        <v>160.71428571428572</v>
      </c>
      <c r="U1502" s="105">
        <f t="shared" si="188"/>
        <v>160.71428571428572</v>
      </c>
      <c r="V1502" s="104">
        <f>IFERROR(VLOOKUP(L1502,'Raw material list'!$A$2:$S$3102,6,0),0)</f>
        <v>8.0000000000000007E-5</v>
      </c>
      <c r="W1502" s="104">
        <f t="shared" si="189"/>
        <v>1.2857142857142859E-2</v>
      </c>
    </row>
    <row r="1503" spans="1:23" hidden="1" x14ac:dyDescent="0.55000000000000004">
      <c r="A1503" s="76" t="str">
        <f t="shared" si="192"/>
        <v>RCP-SMC-000098</v>
      </c>
      <c r="B1503" s="58" t="s">
        <v>35</v>
      </c>
      <c r="C1503" s="58" t="s">
        <v>10</v>
      </c>
      <c r="D1503" s="76" t="str">
        <f t="shared" si="193"/>
        <v>Tomato Oats soup with vegetable</v>
      </c>
      <c r="E1503" s="76" t="s">
        <v>1467</v>
      </c>
      <c r="F1503" s="76" t="s">
        <v>2079</v>
      </c>
      <c r="G1503" s="94" t="s">
        <v>1779</v>
      </c>
      <c r="H1503" s="107" t="s">
        <v>1774</v>
      </c>
      <c r="I1503" s="76"/>
      <c r="J1503" s="76"/>
      <c r="K1503" s="58" t="str">
        <f>IFERROR(VLOOKUP(L1503,'Raw material list'!$A$3:$C$715,3,0),"")</f>
        <v>DRS1-1747</v>
      </c>
      <c r="L1503" s="59" t="s">
        <v>44</v>
      </c>
      <c r="M1503" s="80" t="s">
        <v>156</v>
      </c>
      <c r="N1503" s="40" t="str">
        <f>VLOOKUP(L1503,'Raw material list'!$A$3:$E$715,5,0)</f>
        <v xml:space="preserve">Gram </v>
      </c>
      <c r="O1503" s="80">
        <v>80</v>
      </c>
      <c r="P1503" s="299">
        <f t="shared" si="187"/>
        <v>80</v>
      </c>
      <c r="Q1503" s="80">
        <v>100</v>
      </c>
      <c r="R1503" s="80">
        <v>14</v>
      </c>
      <c r="S1503" s="80"/>
      <c r="T1503" s="105">
        <f t="shared" si="182"/>
        <v>5.7142857142857144</v>
      </c>
      <c r="U1503" s="105">
        <f t="shared" si="188"/>
        <v>5.7142857142857144</v>
      </c>
      <c r="V1503" s="104">
        <f>IFERROR(VLOOKUP(L1503,'Raw material list'!$A$2:$S$3102,6,0),0)</f>
        <v>5.185185185185185E-3</v>
      </c>
      <c r="W1503" s="104">
        <f t="shared" si="189"/>
        <v>2.9629629629629631E-2</v>
      </c>
    </row>
    <row r="1504" spans="1:23" hidden="1" x14ac:dyDescent="0.55000000000000004">
      <c r="A1504" s="76" t="str">
        <f t="shared" si="192"/>
        <v>RCP-SMC-000098</v>
      </c>
      <c r="B1504" s="58" t="s">
        <v>35</v>
      </c>
      <c r="C1504" s="58" t="s">
        <v>10</v>
      </c>
      <c r="D1504" s="76" t="str">
        <f t="shared" si="193"/>
        <v>Tomato Oats soup with vegetable</v>
      </c>
      <c r="E1504" s="76" t="s">
        <v>1467</v>
      </c>
      <c r="F1504" s="76" t="s">
        <v>2079</v>
      </c>
      <c r="G1504" s="94" t="s">
        <v>1779</v>
      </c>
      <c r="H1504" s="107" t="s">
        <v>1774</v>
      </c>
      <c r="I1504" s="76"/>
      <c r="J1504" s="76"/>
      <c r="K1504" s="58" t="str">
        <f>IFERROR(VLOOKUP(L1504,'Raw material list'!$A$3:$C$715,3,0),"")</f>
        <v>DRS6-537</v>
      </c>
      <c r="L1504" s="59" t="s">
        <v>46</v>
      </c>
      <c r="M1504" s="80" t="s">
        <v>156</v>
      </c>
      <c r="N1504" s="40" t="str">
        <f>VLOOKUP(L1504,'Raw material list'!$A$3:$E$715,5,0)</f>
        <v xml:space="preserve">Gram </v>
      </c>
      <c r="O1504" s="80">
        <v>1</v>
      </c>
      <c r="P1504" s="299">
        <f t="shared" si="187"/>
        <v>1</v>
      </c>
      <c r="Q1504" s="80">
        <v>100</v>
      </c>
      <c r="R1504" s="80">
        <v>14</v>
      </c>
      <c r="S1504" s="80"/>
      <c r="T1504" s="105">
        <f t="shared" si="182"/>
        <v>7.1428571428571425E-2</v>
      </c>
      <c r="U1504" s="105">
        <f t="shared" si="188"/>
        <v>7.1428571428571425E-2</v>
      </c>
      <c r="V1504" s="104">
        <f>IFERROR(VLOOKUP(L1504,'Raw material list'!$A$2:$S$3102,6,0),0)</f>
        <v>3.5000000000000003E-2</v>
      </c>
      <c r="W1504" s="104">
        <f t="shared" si="189"/>
        <v>2.5000000000000001E-3</v>
      </c>
    </row>
    <row r="1505" spans="1:23" hidden="1" x14ac:dyDescent="0.55000000000000004">
      <c r="A1505" s="76" t="str">
        <f t="shared" si="192"/>
        <v>RCP-SMC-000098</v>
      </c>
      <c r="B1505" s="58" t="s">
        <v>35</v>
      </c>
      <c r="C1505" s="58" t="s">
        <v>10</v>
      </c>
      <c r="D1505" s="76" t="str">
        <f t="shared" si="193"/>
        <v>Tomato Oats soup with vegetable</v>
      </c>
      <c r="E1505" s="76" t="s">
        <v>1467</v>
      </c>
      <c r="F1505" s="76" t="s">
        <v>2079</v>
      </c>
      <c r="G1505" s="94" t="s">
        <v>1779</v>
      </c>
      <c r="H1505" s="107" t="s">
        <v>1774</v>
      </c>
      <c r="I1505" s="76"/>
      <c r="J1505" s="76"/>
      <c r="K1505" s="58" t="str">
        <f>IFERROR(VLOOKUP(L1505,'Raw material list'!$A$3:$C$715,3,0),"")</f>
        <v>DRS6-1727</v>
      </c>
      <c r="L1505" s="59" t="s">
        <v>106</v>
      </c>
      <c r="M1505" s="80" t="s">
        <v>156</v>
      </c>
      <c r="N1505" s="40" t="str">
        <f>VLOOKUP(L1505,'Raw material list'!$A$3:$E$715,5,0)</f>
        <v xml:space="preserve">Gram </v>
      </c>
      <c r="O1505" s="80">
        <v>2</v>
      </c>
      <c r="P1505" s="299">
        <f t="shared" si="187"/>
        <v>2</v>
      </c>
      <c r="Q1505" s="80">
        <v>100</v>
      </c>
      <c r="R1505" s="80">
        <v>14</v>
      </c>
      <c r="S1505" s="80"/>
      <c r="T1505" s="105">
        <f t="shared" si="182"/>
        <v>0.14285714285714285</v>
      </c>
      <c r="U1505" s="105">
        <f t="shared" si="188"/>
        <v>0.14285714285714285</v>
      </c>
      <c r="V1505" s="104">
        <f>IFERROR(VLOOKUP(L1505,'Raw material list'!$A$2:$S$3102,6,0),0)</f>
        <v>2.5000000000000001E-2</v>
      </c>
      <c r="W1505" s="104">
        <f t="shared" si="189"/>
        <v>3.5714285714285713E-3</v>
      </c>
    </row>
    <row r="1506" spans="1:23" hidden="1" x14ac:dyDescent="0.55000000000000004">
      <c r="A1506" s="76" t="str">
        <f t="shared" si="192"/>
        <v>RCP-SMC-000098</v>
      </c>
      <c r="B1506" s="58" t="s">
        <v>35</v>
      </c>
      <c r="C1506" s="58" t="s">
        <v>10</v>
      </c>
      <c r="D1506" s="76" t="str">
        <f t="shared" si="193"/>
        <v>Tomato Oats soup with vegetable</v>
      </c>
      <c r="E1506" s="76" t="s">
        <v>1467</v>
      </c>
      <c r="F1506" s="76" t="s">
        <v>2079</v>
      </c>
      <c r="G1506" s="94" t="s">
        <v>1779</v>
      </c>
      <c r="H1506" s="107" t="s">
        <v>1774</v>
      </c>
      <c r="I1506" s="76"/>
      <c r="J1506" s="76"/>
      <c r="K1506" s="58" t="str">
        <f>IFERROR(VLOOKUP(L1506,'Raw material list'!$A$3:$C$715,3,0),"")</f>
        <v>DRS1-4417</v>
      </c>
      <c r="L1506" s="59" t="s">
        <v>88</v>
      </c>
      <c r="M1506" s="80" t="s">
        <v>156</v>
      </c>
      <c r="N1506" s="40" t="str">
        <f>VLOOKUP(L1506,'Raw material list'!$A$3:$E$715,5,0)</f>
        <v xml:space="preserve">Gram </v>
      </c>
      <c r="O1506" s="80">
        <v>10</v>
      </c>
      <c r="P1506" s="299">
        <f t="shared" si="187"/>
        <v>10</v>
      </c>
      <c r="Q1506" s="80">
        <v>100</v>
      </c>
      <c r="R1506" s="80">
        <v>14</v>
      </c>
      <c r="S1506" s="80"/>
      <c r="T1506" s="105">
        <f t="shared" si="182"/>
        <v>0.7142857142857143</v>
      </c>
      <c r="U1506" s="105">
        <f t="shared" si="188"/>
        <v>0.7142857142857143</v>
      </c>
      <c r="V1506" s="104">
        <f>IFERROR(VLOOKUP(L1506,'Raw material list'!$A$2:$S$3102,6,0),0)</f>
        <v>3.6754545454545456E-2</v>
      </c>
      <c r="W1506" s="104">
        <f t="shared" si="189"/>
        <v>2.6253246753246754E-2</v>
      </c>
    </row>
    <row r="1507" spans="1:23" hidden="1" x14ac:dyDescent="0.55000000000000004">
      <c r="A1507" s="76" t="str">
        <f t="shared" si="192"/>
        <v>RCP-SMC-000098</v>
      </c>
      <c r="B1507" s="58" t="s">
        <v>35</v>
      </c>
      <c r="C1507" s="58" t="s">
        <v>10</v>
      </c>
      <c r="D1507" s="76" t="str">
        <f t="shared" si="193"/>
        <v>Tomato Oats soup with vegetable</v>
      </c>
      <c r="E1507" s="76" t="s">
        <v>1467</v>
      </c>
      <c r="F1507" s="76" t="s">
        <v>2079</v>
      </c>
      <c r="G1507" s="94" t="s">
        <v>1779</v>
      </c>
      <c r="H1507" s="107" t="s">
        <v>1774</v>
      </c>
      <c r="I1507" s="76"/>
      <c r="J1507" s="76"/>
      <c r="K1507" s="58" t="str">
        <f>IFERROR(VLOOKUP(L1507,'Raw material list'!$A$3:$C$715,3,0),"")</f>
        <v>DRS1-3880</v>
      </c>
      <c r="L1507" s="59" t="s">
        <v>1433</v>
      </c>
      <c r="M1507" s="80" t="s">
        <v>156</v>
      </c>
      <c r="N1507" s="40" t="str">
        <f>VLOOKUP(L1507,'Raw material list'!$A$3:$E$715,5,0)</f>
        <v xml:space="preserve">Gram </v>
      </c>
      <c r="O1507" s="80">
        <v>10</v>
      </c>
      <c r="P1507" s="299">
        <f t="shared" si="187"/>
        <v>10</v>
      </c>
      <c r="Q1507" s="80">
        <v>100</v>
      </c>
      <c r="R1507" s="80">
        <v>14</v>
      </c>
      <c r="S1507" s="80"/>
      <c r="T1507" s="105">
        <f t="shared" si="182"/>
        <v>0.7142857142857143</v>
      </c>
      <c r="U1507" s="105">
        <f t="shared" si="188"/>
        <v>0.7142857142857143</v>
      </c>
      <c r="V1507" s="104">
        <f>IFERROR(VLOOKUP(L1507,'Raw material list'!$A$2:$S$3102,6,0),0)</f>
        <v>5.0000000000000001E-4</v>
      </c>
      <c r="W1507" s="104">
        <f t="shared" si="189"/>
        <v>3.5714285714285714E-4</v>
      </c>
    </row>
    <row r="1508" spans="1:23" hidden="1" x14ac:dyDescent="0.55000000000000004">
      <c r="A1508" s="76" t="s">
        <v>1428</v>
      </c>
      <c r="B1508" s="58" t="s">
        <v>35</v>
      </c>
      <c r="C1508" s="58" t="s">
        <v>10</v>
      </c>
      <c r="D1508" s="76" t="s">
        <v>1627</v>
      </c>
      <c r="E1508" s="76" t="s">
        <v>1467</v>
      </c>
      <c r="F1508" s="76" t="s">
        <v>2079</v>
      </c>
      <c r="G1508" s="94" t="s">
        <v>1779</v>
      </c>
      <c r="H1508" s="107" t="s">
        <v>1774</v>
      </c>
      <c r="I1508" s="76"/>
      <c r="J1508" s="76"/>
      <c r="K1508" s="58" t="str">
        <f>IFERROR(VLOOKUP(L1508,'Raw material list'!$A$3:$C$715,3,0),"")</f>
        <v>DRY2-1008</v>
      </c>
      <c r="L1508" s="59" t="s">
        <v>57</v>
      </c>
      <c r="M1508" s="80" t="s">
        <v>156</v>
      </c>
      <c r="N1508" s="40" t="str">
        <f>VLOOKUP(L1508,'Raw material list'!$A$3:$E$715,5,0)</f>
        <v xml:space="preserve">Gram </v>
      </c>
      <c r="O1508" s="80">
        <v>25</v>
      </c>
      <c r="P1508" s="299">
        <f t="shared" si="187"/>
        <v>25</v>
      </c>
      <c r="Q1508" s="80">
        <v>100</v>
      </c>
      <c r="R1508" s="80">
        <v>14</v>
      </c>
      <c r="S1508" s="80"/>
      <c r="T1508" s="105">
        <f t="shared" si="182"/>
        <v>1.7857142857142858</v>
      </c>
      <c r="U1508" s="105">
        <f t="shared" si="188"/>
        <v>1.7857142857142858</v>
      </c>
      <c r="V1508" s="104">
        <f>IFERROR(VLOOKUP(L1508,'Raw material list'!$A$2:$S$3102,6,0),0)</f>
        <v>0.03</v>
      </c>
      <c r="W1508" s="104">
        <f t="shared" si="189"/>
        <v>5.3571428571428575E-2</v>
      </c>
    </row>
    <row r="1509" spans="1:23" hidden="1" x14ac:dyDescent="0.55000000000000004">
      <c r="A1509" s="76" t="str">
        <f t="shared" ref="A1509:A1519" si="194">A1508</f>
        <v>RCP-SMC-000099</v>
      </c>
      <c r="B1509" s="58" t="s">
        <v>35</v>
      </c>
      <c r="C1509" s="58" t="s">
        <v>10</v>
      </c>
      <c r="D1509" s="76" t="str">
        <f t="shared" ref="D1509:D1519" si="195">D1508</f>
        <v>Strained chicken crème soup</v>
      </c>
      <c r="E1509" s="76" t="s">
        <v>1467</v>
      </c>
      <c r="F1509" s="76" t="s">
        <v>2079</v>
      </c>
      <c r="G1509" s="94" t="s">
        <v>1779</v>
      </c>
      <c r="H1509" s="107" t="s">
        <v>1774</v>
      </c>
      <c r="I1509" s="76"/>
      <c r="J1509" s="76"/>
      <c r="K1509" s="58" t="str">
        <f>IFERROR(VLOOKUP(L1509,'Raw material list'!$A$3:$C$715,3,0),"")</f>
        <v>PRD1-4265</v>
      </c>
      <c r="L1509" s="59" t="s">
        <v>38</v>
      </c>
      <c r="M1509" s="80" t="s">
        <v>156</v>
      </c>
      <c r="N1509" s="40" t="str">
        <f>VLOOKUP(L1509,'Raw material list'!$A$3:$E$715,5,0)</f>
        <v xml:space="preserve">Gram </v>
      </c>
      <c r="O1509" s="80">
        <v>100</v>
      </c>
      <c r="P1509" s="299">
        <f t="shared" si="187"/>
        <v>117.64705882352942</v>
      </c>
      <c r="Q1509" s="105">
        <v>85</v>
      </c>
      <c r="R1509" s="80">
        <v>14</v>
      </c>
      <c r="S1509" s="80"/>
      <c r="T1509" s="105">
        <f t="shared" si="182"/>
        <v>7.1428571428571432</v>
      </c>
      <c r="U1509" s="105">
        <f t="shared" si="188"/>
        <v>8.4033613445378155</v>
      </c>
      <c r="V1509" s="104">
        <f>IFERROR(VLOOKUP(L1509,'Raw material list'!$A$2:$S$3102,6,0),0)</f>
        <v>3.529411764705882E-3</v>
      </c>
      <c r="W1509" s="104">
        <f t="shared" si="189"/>
        <v>2.9658922392486405E-2</v>
      </c>
    </row>
    <row r="1510" spans="1:23" hidden="1" x14ac:dyDescent="0.55000000000000004">
      <c r="A1510" s="76" t="str">
        <f t="shared" si="194"/>
        <v>RCP-SMC-000099</v>
      </c>
      <c r="B1510" s="58" t="s">
        <v>35</v>
      </c>
      <c r="C1510" s="58" t="s">
        <v>10</v>
      </c>
      <c r="D1510" s="76" t="str">
        <f t="shared" si="195"/>
        <v>Strained chicken crème soup</v>
      </c>
      <c r="E1510" s="76" t="s">
        <v>1467</v>
      </c>
      <c r="F1510" s="76" t="s">
        <v>2079</v>
      </c>
      <c r="G1510" s="94" t="s">
        <v>1779</v>
      </c>
      <c r="H1510" s="107" t="s">
        <v>1774</v>
      </c>
      <c r="I1510" s="76"/>
      <c r="J1510" s="76"/>
      <c r="K1510" s="58" t="str">
        <f>IFERROR(VLOOKUP(L1510,'Raw material list'!$A$3:$C$715,3,0),"")</f>
        <v>PRD1-4327</v>
      </c>
      <c r="L1510" s="59" t="s">
        <v>39</v>
      </c>
      <c r="M1510" s="80" t="s">
        <v>156</v>
      </c>
      <c r="N1510" s="40" t="str">
        <f>VLOOKUP(L1510,'Raw material list'!$A$3:$E$715,5,0)</f>
        <v xml:space="preserve">Gram </v>
      </c>
      <c r="O1510" s="80">
        <v>15</v>
      </c>
      <c r="P1510" s="299">
        <f t="shared" si="187"/>
        <v>18.072289156626507</v>
      </c>
      <c r="Q1510" s="105">
        <v>83</v>
      </c>
      <c r="R1510" s="80">
        <v>14</v>
      </c>
      <c r="S1510" s="80"/>
      <c r="T1510" s="105">
        <f t="shared" si="182"/>
        <v>1.0714285714285714</v>
      </c>
      <c r="U1510" s="105">
        <f t="shared" si="188"/>
        <v>1.2908777969018934</v>
      </c>
      <c r="V1510" s="104">
        <f>IFERROR(VLOOKUP(L1510,'Raw material list'!$A$2:$S$3102,6,0),0)</f>
        <v>1.2999999999999999E-2</v>
      </c>
      <c r="W1510" s="104">
        <f t="shared" si="189"/>
        <v>1.6781411359724614E-2</v>
      </c>
    </row>
    <row r="1511" spans="1:23" hidden="1" x14ac:dyDescent="0.55000000000000004">
      <c r="A1511" s="76" t="str">
        <f t="shared" si="194"/>
        <v>RCP-SMC-000099</v>
      </c>
      <c r="B1511" s="58" t="s">
        <v>35</v>
      </c>
      <c r="C1511" s="58" t="s">
        <v>10</v>
      </c>
      <c r="D1511" s="76" t="str">
        <f t="shared" si="195"/>
        <v>Strained chicken crème soup</v>
      </c>
      <c r="E1511" s="76" t="s">
        <v>1467</v>
      </c>
      <c r="F1511" s="76" t="s">
        <v>2079</v>
      </c>
      <c r="G1511" s="94" t="s">
        <v>1779</v>
      </c>
      <c r="H1511" s="107" t="s">
        <v>1774</v>
      </c>
      <c r="I1511" s="76"/>
      <c r="J1511" s="76"/>
      <c r="K1511" s="58" t="str">
        <f>IFERROR(VLOOKUP(L1511,'Raw material list'!$A$3:$C$715,3,0),"")</f>
        <v>PRD1-186</v>
      </c>
      <c r="L1511" s="59" t="s">
        <v>37</v>
      </c>
      <c r="M1511" s="80" t="s">
        <v>156</v>
      </c>
      <c r="N1511" s="40" t="str">
        <f>VLOOKUP(L1511,'Raw material list'!$A$3:$E$715,5,0)</f>
        <v xml:space="preserve">Gram </v>
      </c>
      <c r="O1511" s="80">
        <v>150</v>
      </c>
      <c r="P1511" s="299">
        <f t="shared" si="187"/>
        <v>183.67346938775509</v>
      </c>
      <c r="Q1511" s="105">
        <v>81.666666666666671</v>
      </c>
      <c r="R1511" s="80">
        <v>14</v>
      </c>
      <c r="S1511" s="80"/>
      <c r="T1511" s="105">
        <f t="shared" si="182"/>
        <v>10.714285714285714</v>
      </c>
      <c r="U1511" s="105">
        <f t="shared" si="188"/>
        <v>13.119533527696792</v>
      </c>
      <c r="V1511" s="104">
        <f>IFERROR(VLOOKUP(L1511,'Raw material list'!$A$2:$S$3102,6,0),0)</f>
        <v>5.8139534883720938E-3</v>
      </c>
      <c r="W1511" s="104">
        <f t="shared" si="189"/>
        <v>7.6276357719167409E-2</v>
      </c>
    </row>
    <row r="1512" spans="1:23" hidden="1" x14ac:dyDescent="0.55000000000000004">
      <c r="A1512" s="76" t="str">
        <f t="shared" si="194"/>
        <v>RCP-SMC-000099</v>
      </c>
      <c r="B1512" s="58" t="s">
        <v>35</v>
      </c>
      <c r="C1512" s="58" t="s">
        <v>10</v>
      </c>
      <c r="D1512" s="76" t="str">
        <f t="shared" si="195"/>
        <v>Strained chicken crème soup</v>
      </c>
      <c r="E1512" s="76" t="s">
        <v>1467</v>
      </c>
      <c r="F1512" s="76" t="s">
        <v>2078</v>
      </c>
      <c r="G1512" s="94" t="s">
        <v>1779</v>
      </c>
      <c r="H1512" s="107" t="s">
        <v>1774</v>
      </c>
      <c r="I1512" s="76"/>
      <c r="J1512" s="76"/>
      <c r="K1512" s="58" t="str">
        <f>IFERROR(VLOOKUP(L1512,'Raw material list'!$A$3:$C$715,3,0),"")</f>
        <v>PLT2-3278</v>
      </c>
      <c r="L1512" s="59" t="s">
        <v>80</v>
      </c>
      <c r="M1512" s="80" t="s">
        <v>156</v>
      </c>
      <c r="N1512" s="40" t="str">
        <f>VLOOKUP(L1512,'Raw material list'!$A$3:$E$715,5,0)</f>
        <v xml:space="preserve">Gram </v>
      </c>
      <c r="O1512" s="80">
        <v>250</v>
      </c>
      <c r="P1512" s="299">
        <f t="shared" si="187"/>
        <v>328.08398950131232</v>
      </c>
      <c r="Q1512" s="303">
        <v>76.2</v>
      </c>
      <c r="R1512" s="80">
        <v>14</v>
      </c>
      <c r="S1512" s="80"/>
      <c r="T1512" s="105">
        <f t="shared" si="182"/>
        <v>17.857142857142858</v>
      </c>
      <c r="U1512" s="105">
        <f t="shared" si="188"/>
        <v>23.434570678665164</v>
      </c>
      <c r="V1512" s="104">
        <f>IFERROR(VLOOKUP(L1512,'Raw material list'!$A$2:$S$3102,6,0),0)</f>
        <v>3.0357142857142853E-2</v>
      </c>
      <c r="W1512" s="104">
        <f t="shared" si="189"/>
        <v>0.71140660988804949</v>
      </c>
    </row>
    <row r="1513" spans="1:23" hidden="1" x14ac:dyDescent="0.55000000000000004">
      <c r="A1513" s="76" t="str">
        <f t="shared" si="194"/>
        <v>RCP-SMC-000099</v>
      </c>
      <c r="B1513" s="58" t="s">
        <v>35</v>
      </c>
      <c r="C1513" s="58" t="s">
        <v>10</v>
      </c>
      <c r="D1513" s="76" t="str">
        <f t="shared" si="195"/>
        <v>Strained chicken crème soup</v>
      </c>
      <c r="E1513" s="76" t="s">
        <v>1467</v>
      </c>
      <c r="F1513" s="76" t="s">
        <v>2079</v>
      </c>
      <c r="G1513" s="94" t="s">
        <v>1779</v>
      </c>
      <c r="H1513" s="107" t="s">
        <v>1774</v>
      </c>
      <c r="I1513" s="76"/>
      <c r="J1513" s="76"/>
      <c r="K1513" s="58" t="str">
        <f>IFERROR(VLOOKUP(L1513,'Raw material list'!$A$3:$C$715,3,0),"")</f>
        <v>DRS5-980</v>
      </c>
      <c r="L1513" s="59" t="s">
        <v>446</v>
      </c>
      <c r="M1513" s="80" t="s">
        <v>156</v>
      </c>
      <c r="N1513" s="40" t="str">
        <f>VLOOKUP(L1513,'Raw material list'!$A$3:$E$715,5,0)</f>
        <v xml:space="preserve">Gram </v>
      </c>
      <c r="O1513" s="80">
        <v>60</v>
      </c>
      <c r="P1513" s="299">
        <f t="shared" si="187"/>
        <v>60</v>
      </c>
      <c r="Q1513" s="80">
        <v>100</v>
      </c>
      <c r="R1513" s="80">
        <v>14</v>
      </c>
      <c r="S1513" s="80"/>
      <c r="T1513" s="105">
        <f t="shared" si="182"/>
        <v>4.2857142857142856</v>
      </c>
      <c r="U1513" s="105">
        <f t="shared" si="188"/>
        <v>4.2857142857142856</v>
      </c>
      <c r="V1513" s="104">
        <f>IFERROR(VLOOKUP(L1513,'Raw material list'!$A$2:$S$3102,6,0),0)</f>
        <v>1E-3</v>
      </c>
      <c r="W1513" s="104">
        <f t="shared" si="189"/>
        <v>4.2857142857142859E-3</v>
      </c>
    </row>
    <row r="1514" spans="1:23" hidden="1" x14ac:dyDescent="0.55000000000000004">
      <c r="A1514" s="76" t="str">
        <f t="shared" si="194"/>
        <v>RCP-SMC-000099</v>
      </c>
      <c r="B1514" s="58" t="s">
        <v>35</v>
      </c>
      <c r="C1514" s="58" t="s">
        <v>10</v>
      </c>
      <c r="D1514" s="76" t="str">
        <f t="shared" si="195"/>
        <v>Strained chicken crème soup</v>
      </c>
      <c r="E1514" s="76" t="s">
        <v>1467</v>
      </c>
      <c r="F1514" s="76" t="s">
        <v>2079</v>
      </c>
      <c r="G1514" s="94" t="s">
        <v>1779</v>
      </c>
      <c r="H1514" s="107" t="s">
        <v>1774</v>
      </c>
      <c r="I1514" s="76"/>
      <c r="J1514" s="76"/>
      <c r="K1514" s="58" t="str">
        <f>IFERROR(VLOOKUP(L1514,'Raw material list'!$A$3:$C$715,3,0),"")</f>
        <v>DRS6-309</v>
      </c>
      <c r="L1514" s="59" t="s">
        <v>61</v>
      </c>
      <c r="M1514" s="80" t="s">
        <v>156</v>
      </c>
      <c r="N1514" s="40" t="str">
        <f>VLOOKUP(L1514,'Raw material list'!$A$3:$E$715,5,0)</f>
        <v xml:space="preserve">Gram </v>
      </c>
      <c r="O1514" s="80">
        <v>1</v>
      </c>
      <c r="P1514" s="299">
        <f t="shared" si="187"/>
        <v>1</v>
      </c>
      <c r="Q1514" s="80">
        <v>100</v>
      </c>
      <c r="R1514" s="80">
        <v>14</v>
      </c>
      <c r="S1514" s="80"/>
      <c r="T1514" s="105">
        <f t="shared" ref="T1514:T1577" si="196">IFERROR(O1514/R1514,0)</f>
        <v>7.1428571428571425E-2</v>
      </c>
      <c r="U1514" s="105">
        <f t="shared" si="188"/>
        <v>7.1428571428571425E-2</v>
      </c>
      <c r="V1514" s="104">
        <f>IFERROR(VLOOKUP(L1514,'Raw material list'!$A$2:$S$3102,6,0),0)</f>
        <v>2.8000000000000001E-2</v>
      </c>
      <c r="W1514" s="104">
        <f t="shared" si="189"/>
        <v>2E-3</v>
      </c>
    </row>
    <row r="1515" spans="1:23" hidden="1" x14ac:dyDescent="0.55000000000000004">
      <c r="A1515" s="76" t="str">
        <f t="shared" si="194"/>
        <v>RCP-SMC-000099</v>
      </c>
      <c r="B1515" s="58" t="s">
        <v>35</v>
      </c>
      <c r="C1515" s="58" t="s">
        <v>10</v>
      </c>
      <c r="D1515" s="76" t="str">
        <f t="shared" si="195"/>
        <v>Strained chicken crème soup</v>
      </c>
      <c r="E1515" s="76" t="s">
        <v>1467</v>
      </c>
      <c r="F1515" s="76" t="s">
        <v>2079</v>
      </c>
      <c r="G1515" s="94" t="s">
        <v>1779</v>
      </c>
      <c r="H1515" s="107" t="s">
        <v>1774</v>
      </c>
      <c r="I1515" s="76"/>
      <c r="J1515" s="76"/>
      <c r="K1515" s="58" t="str">
        <f>IFERROR(VLOOKUP(L1515,'Raw material list'!$A$3:$C$715,3,0),"")</f>
        <v>TAP-00001</v>
      </c>
      <c r="L1515" s="59" t="s">
        <v>1405</v>
      </c>
      <c r="M1515" s="80" t="s">
        <v>206</v>
      </c>
      <c r="N1515" s="40" t="str">
        <f>VLOOKUP(L1515,'Raw material list'!$A$3:$E$715,5,0)</f>
        <v>Ml</v>
      </c>
      <c r="O1515" s="80">
        <v>2200</v>
      </c>
      <c r="P1515" s="299">
        <f t="shared" si="187"/>
        <v>2200</v>
      </c>
      <c r="Q1515" s="80">
        <v>100</v>
      </c>
      <c r="R1515" s="80">
        <v>14</v>
      </c>
      <c r="S1515" s="80"/>
      <c r="T1515" s="105">
        <f t="shared" si="196"/>
        <v>157.14285714285714</v>
      </c>
      <c r="U1515" s="105">
        <f t="shared" si="188"/>
        <v>157.14285714285714</v>
      </c>
      <c r="V1515" s="104">
        <f>IFERROR(VLOOKUP(L1515,'Raw material list'!$A$2:$S$3102,6,0),0)</f>
        <v>8.0000000000000007E-5</v>
      </c>
      <c r="W1515" s="104">
        <f t="shared" si="189"/>
        <v>1.2571428571428572E-2</v>
      </c>
    </row>
    <row r="1516" spans="1:23" hidden="1" x14ac:dyDescent="0.55000000000000004">
      <c r="A1516" s="76" t="str">
        <f t="shared" si="194"/>
        <v>RCP-SMC-000099</v>
      </c>
      <c r="B1516" s="58" t="s">
        <v>35</v>
      </c>
      <c r="C1516" s="58" t="s">
        <v>10</v>
      </c>
      <c r="D1516" s="76" t="str">
        <f t="shared" si="195"/>
        <v>Strained chicken crème soup</v>
      </c>
      <c r="E1516" s="76" t="s">
        <v>1467</v>
      </c>
      <c r="F1516" s="76" t="s">
        <v>2079</v>
      </c>
      <c r="G1516" s="94" t="s">
        <v>1779</v>
      </c>
      <c r="H1516" s="107" t="s">
        <v>1774</v>
      </c>
      <c r="I1516" s="76"/>
      <c r="J1516" s="76"/>
      <c r="K1516" s="58" t="str">
        <f>IFERROR(VLOOKUP(L1516,'Raw material list'!$A$3:$C$715,3,0),"")</f>
        <v>DRY2-1858</v>
      </c>
      <c r="L1516" s="59" t="s">
        <v>60</v>
      </c>
      <c r="M1516" s="80" t="s">
        <v>206</v>
      </c>
      <c r="N1516" s="40" t="str">
        <f>VLOOKUP(L1516,'Raw material list'!$A$3:$E$715,5,0)</f>
        <v>Ml</v>
      </c>
      <c r="O1516" s="80">
        <v>200</v>
      </c>
      <c r="P1516" s="299">
        <f t="shared" si="187"/>
        <v>200</v>
      </c>
      <c r="Q1516" s="80">
        <v>100</v>
      </c>
      <c r="R1516" s="80">
        <v>14</v>
      </c>
      <c r="S1516" s="80"/>
      <c r="T1516" s="105">
        <f t="shared" si="196"/>
        <v>14.285714285714286</v>
      </c>
      <c r="U1516" s="105">
        <f t="shared" si="188"/>
        <v>14.285714285714286</v>
      </c>
      <c r="V1516" s="104">
        <f>IFERROR(VLOOKUP(L1516,'Raw material list'!$A$2:$S$3102,6,0),0)</f>
        <v>9.8800000000000016E-3</v>
      </c>
      <c r="W1516" s="104">
        <f t="shared" si="189"/>
        <v>0.14114285714285718</v>
      </c>
    </row>
    <row r="1517" spans="1:23" hidden="1" x14ac:dyDescent="0.55000000000000004">
      <c r="A1517" s="76" t="str">
        <f t="shared" si="194"/>
        <v>RCP-SMC-000099</v>
      </c>
      <c r="B1517" s="58" t="s">
        <v>35</v>
      </c>
      <c r="C1517" s="58" t="s">
        <v>10</v>
      </c>
      <c r="D1517" s="76" t="str">
        <f t="shared" si="195"/>
        <v>Strained chicken crème soup</v>
      </c>
      <c r="E1517" s="76" t="s">
        <v>1467</v>
      </c>
      <c r="F1517" s="76" t="s">
        <v>2079</v>
      </c>
      <c r="G1517" s="94" t="s">
        <v>1779</v>
      </c>
      <c r="H1517" s="107" t="s">
        <v>1774</v>
      </c>
      <c r="I1517" s="76"/>
      <c r="J1517" s="76"/>
      <c r="K1517" s="58" t="str">
        <f>IFERROR(VLOOKUP(L1517,'Raw material list'!$A$3:$C$715,3,0),"")</f>
        <v>DRS1-3811</v>
      </c>
      <c r="L1517" s="59" t="s">
        <v>40</v>
      </c>
      <c r="M1517" s="80" t="s">
        <v>156</v>
      </c>
      <c r="N1517" s="40" t="str">
        <f>VLOOKUP(L1517,'Raw material list'!$A$3:$E$715,5,0)</f>
        <v xml:space="preserve">Gram </v>
      </c>
      <c r="O1517" s="80">
        <v>10</v>
      </c>
      <c r="P1517" s="299">
        <f t="shared" si="187"/>
        <v>10</v>
      </c>
      <c r="Q1517" s="80">
        <v>100</v>
      </c>
      <c r="R1517" s="80">
        <v>14</v>
      </c>
      <c r="S1517" s="80"/>
      <c r="T1517" s="105">
        <f t="shared" si="196"/>
        <v>0.7142857142857143</v>
      </c>
      <c r="U1517" s="105">
        <f t="shared" si="188"/>
        <v>0.7142857142857143</v>
      </c>
      <c r="V1517" s="104">
        <f>IFERROR(VLOOKUP(L1517,'Raw material list'!$A$2:$S$3102,6,0),0)</f>
        <v>2.8475E-2</v>
      </c>
      <c r="W1517" s="104">
        <f t="shared" si="189"/>
        <v>2.0339285714285716E-2</v>
      </c>
    </row>
    <row r="1518" spans="1:23" hidden="1" x14ac:dyDescent="0.55000000000000004">
      <c r="A1518" s="76" t="str">
        <f t="shared" si="194"/>
        <v>RCP-SMC-000099</v>
      </c>
      <c r="B1518" s="58" t="s">
        <v>35</v>
      </c>
      <c r="C1518" s="58" t="s">
        <v>10</v>
      </c>
      <c r="D1518" s="76" t="str">
        <f t="shared" si="195"/>
        <v>Strained chicken crème soup</v>
      </c>
      <c r="E1518" s="76" t="s">
        <v>1467</v>
      </c>
      <c r="F1518" s="76" t="s">
        <v>2079</v>
      </c>
      <c r="G1518" s="94" t="s">
        <v>1779</v>
      </c>
      <c r="H1518" s="107" t="s">
        <v>1774</v>
      </c>
      <c r="I1518" s="76"/>
      <c r="J1518" s="76"/>
      <c r="K1518" s="58" t="str">
        <f>IFERROR(VLOOKUP(L1518,'Raw material list'!$A$3:$C$715,3,0),"")</f>
        <v>DRS1-3880</v>
      </c>
      <c r="L1518" s="59" t="s">
        <v>1433</v>
      </c>
      <c r="M1518" s="80" t="s">
        <v>156</v>
      </c>
      <c r="N1518" s="40" t="str">
        <f>VLOOKUP(L1518,'Raw material list'!$A$3:$E$715,5,0)</f>
        <v xml:space="preserve">Gram </v>
      </c>
      <c r="O1518" s="80">
        <v>10</v>
      </c>
      <c r="P1518" s="299">
        <f t="shared" si="187"/>
        <v>10</v>
      </c>
      <c r="Q1518" s="80">
        <v>100</v>
      </c>
      <c r="R1518" s="80">
        <v>14</v>
      </c>
      <c r="S1518" s="80"/>
      <c r="T1518" s="105">
        <f t="shared" si="196"/>
        <v>0.7142857142857143</v>
      </c>
      <c r="U1518" s="105">
        <f t="shared" si="188"/>
        <v>0.7142857142857143</v>
      </c>
      <c r="V1518" s="104">
        <f>IFERROR(VLOOKUP(L1518,'Raw material list'!$A$2:$S$3102,6,0),0)</f>
        <v>5.0000000000000001E-4</v>
      </c>
      <c r="W1518" s="104">
        <f t="shared" si="189"/>
        <v>3.5714285714285714E-4</v>
      </c>
    </row>
    <row r="1519" spans="1:23" hidden="1" x14ac:dyDescent="0.55000000000000004">
      <c r="A1519" s="76" t="str">
        <f t="shared" si="194"/>
        <v>RCP-SMC-000099</v>
      </c>
      <c r="B1519" s="58" t="s">
        <v>35</v>
      </c>
      <c r="C1519" s="58" t="s">
        <v>10</v>
      </c>
      <c r="D1519" s="76" t="str">
        <f t="shared" si="195"/>
        <v>Strained chicken crème soup</v>
      </c>
      <c r="E1519" s="76" t="s">
        <v>1467</v>
      </c>
      <c r="F1519" s="76" t="s">
        <v>2079</v>
      </c>
      <c r="G1519" s="94" t="s">
        <v>1779</v>
      </c>
      <c r="H1519" s="107" t="s">
        <v>1774</v>
      </c>
      <c r="I1519" s="76"/>
      <c r="J1519" s="76"/>
      <c r="K1519" s="58" t="str">
        <f>IFERROR(VLOOKUP(L1519,'Raw material list'!$A$3:$C$715,3,0),"")</f>
        <v>PRD1-4019</v>
      </c>
      <c r="L1519" s="59" t="s">
        <v>119</v>
      </c>
      <c r="M1519" s="80" t="s">
        <v>156</v>
      </c>
      <c r="N1519" s="40" t="str">
        <f>VLOOKUP(L1519,'Raw material list'!$A$3:$E$715,5,0)</f>
        <v xml:space="preserve">Gram </v>
      </c>
      <c r="O1519" s="80">
        <v>50</v>
      </c>
      <c r="P1519" s="299">
        <f t="shared" si="187"/>
        <v>76.923076923076934</v>
      </c>
      <c r="Q1519" s="105">
        <v>65</v>
      </c>
      <c r="R1519" s="80">
        <v>14</v>
      </c>
      <c r="S1519" s="80"/>
      <c r="T1519" s="105">
        <f t="shared" si="196"/>
        <v>3.5714285714285716</v>
      </c>
      <c r="U1519" s="105">
        <f t="shared" si="188"/>
        <v>5.4945054945054954</v>
      </c>
      <c r="V1519" s="104">
        <f>IFERROR(VLOOKUP(L1519,'Raw material list'!$A$2:$S$3102,6,0),0)</f>
        <v>0.02</v>
      </c>
      <c r="W1519" s="104">
        <f t="shared" si="189"/>
        <v>0.10989010989010992</v>
      </c>
    </row>
    <row r="1520" spans="1:23" hidden="1" x14ac:dyDescent="0.55000000000000004">
      <c r="A1520" s="76" t="s">
        <v>1429</v>
      </c>
      <c r="B1520" s="58" t="s">
        <v>35</v>
      </c>
      <c r="C1520" s="58" t="s">
        <v>10</v>
      </c>
      <c r="D1520" s="76" t="s">
        <v>1628</v>
      </c>
      <c r="E1520" s="76" t="s">
        <v>1467</v>
      </c>
      <c r="F1520" s="76" t="s">
        <v>2079</v>
      </c>
      <c r="G1520" s="94" t="s">
        <v>1779</v>
      </c>
      <c r="H1520" s="107" t="s">
        <v>1773</v>
      </c>
      <c r="I1520" s="76"/>
      <c r="J1520" s="76"/>
      <c r="K1520" s="58" t="str">
        <f>IFERROR(VLOOKUP(L1520,'Raw material list'!$A$3:$C$715,3,0),"")</f>
        <v>DRY2-1008</v>
      </c>
      <c r="L1520" s="59" t="s">
        <v>57</v>
      </c>
      <c r="M1520" s="80" t="s">
        <v>156</v>
      </c>
      <c r="N1520" s="40" t="str">
        <f>VLOOKUP(L1520,'Raw material list'!$A$3:$E$715,5,0)</f>
        <v xml:space="preserve">Gram </v>
      </c>
      <c r="O1520" s="80">
        <v>20</v>
      </c>
      <c r="P1520" s="299">
        <f t="shared" si="187"/>
        <v>20</v>
      </c>
      <c r="Q1520" s="303">
        <v>100</v>
      </c>
      <c r="R1520" s="80">
        <v>14</v>
      </c>
      <c r="S1520" s="80"/>
      <c r="T1520" s="105">
        <f t="shared" si="196"/>
        <v>1.4285714285714286</v>
      </c>
      <c r="U1520" s="105">
        <f t="shared" si="188"/>
        <v>1.4285714285714286</v>
      </c>
      <c r="V1520" s="104">
        <f>IFERROR(VLOOKUP(L1520,'Raw material list'!$A$2:$S$3102,6,0),0)</f>
        <v>0.03</v>
      </c>
      <c r="W1520" s="104">
        <f t="shared" si="189"/>
        <v>4.2857142857142858E-2</v>
      </c>
    </row>
    <row r="1521" spans="1:23" hidden="1" x14ac:dyDescent="0.55000000000000004">
      <c r="A1521" s="76" t="str">
        <f t="shared" ref="A1521:A1530" si="197">A1520</f>
        <v>RCP-SMC-000100</v>
      </c>
      <c r="B1521" s="58" t="s">
        <v>35</v>
      </c>
      <c r="C1521" s="58" t="s">
        <v>10</v>
      </c>
      <c r="D1521" s="76" t="str">
        <f t="shared" ref="D1521:D1530" si="198">D1520</f>
        <v>creme of potato with Pumkin</v>
      </c>
      <c r="E1521" s="76" t="s">
        <v>1467</v>
      </c>
      <c r="F1521" s="76" t="s">
        <v>2079</v>
      </c>
      <c r="G1521" s="94" t="s">
        <v>1779</v>
      </c>
      <c r="H1521" s="107" t="s">
        <v>1773</v>
      </c>
      <c r="I1521" s="76"/>
      <c r="J1521" s="76"/>
      <c r="K1521" s="58" t="str">
        <f>IFERROR(VLOOKUP(L1521,'Raw material list'!$A$3:$C$715,3,0),"")</f>
        <v>PRD1-4019</v>
      </c>
      <c r="L1521" s="59" t="s">
        <v>119</v>
      </c>
      <c r="M1521" s="80" t="s">
        <v>156</v>
      </c>
      <c r="N1521" s="40" t="str">
        <f>VLOOKUP(L1521,'Raw material list'!$A$3:$E$715,5,0)</f>
        <v xml:space="preserve">Gram </v>
      </c>
      <c r="O1521" s="80">
        <v>50</v>
      </c>
      <c r="P1521" s="299">
        <f t="shared" si="187"/>
        <v>76.923076923076934</v>
      </c>
      <c r="Q1521" s="105">
        <v>65</v>
      </c>
      <c r="R1521" s="80">
        <v>14</v>
      </c>
      <c r="S1521" s="80"/>
      <c r="T1521" s="105">
        <f t="shared" si="196"/>
        <v>3.5714285714285716</v>
      </c>
      <c r="U1521" s="105">
        <f t="shared" si="188"/>
        <v>5.4945054945054954</v>
      </c>
      <c r="V1521" s="104">
        <f>IFERROR(VLOOKUP(L1521,'Raw material list'!$A$2:$S$3102,6,0),0)</f>
        <v>0.02</v>
      </c>
      <c r="W1521" s="104">
        <f t="shared" si="189"/>
        <v>0.10989010989010992</v>
      </c>
    </row>
    <row r="1522" spans="1:23" hidden="1" x14ac:dyDescent="0.55000000000000004">
      <c r="A1522" s="76" t="str">
        <f t="shared" si="197"/>
        <v>RCP-SMC-000100</v>
      </c>
      <c r="B1522" s="58" t="s">
        <v>35</v>
      </c>
      <c r="C1522" s="58" t="s">
        <v>10</v>
      </c>
      <c r="D1522" s="76" t="str">
        <f t="shared" si="198"/>
        <v>creme of potato with Pumkin</v>
      </c>
      <c r="E1522" s="76" t="s">
        <v>1467</v>
      </c>
      <c r="F1522" s="76" t="s">
        <v>2079</v>
      </c>
      <c r="G1522" s="94" t="s">
        <v>1779</v>
      </c>
      <c r="H1522" s="107" t="s">
        <v>1773</v>
      </c>
      <c r="I1522" s="76"/>
      <c r="J1522" s="76"/>
      <c r="K1522" s="58" t="str">
        <f>IFERROR(VLOOKUP(L1522,'Raw material list'!$A$3:$C$715,3,0),"")</f>
        <v>PRD1-4327</v>
      </c>
      <c r="L1522" s="59" t="s">
        <v>39</v>
      </c>
      <c r="M1522" s="80" t="s">
        <v>156</v>
      </c>
      <c r="N1522" s="40" t="str">
        <f>VLOOKUP(L1522,'Raw material list'!$A$3:$E$715,5,0)</f>
        <v xml:space="preserve">Gram </v>
      </c>
      <c r="O1522" s="80">
        <v>15</v>
      </c>
      <c r="P1522" s="299">
        <f t="shared" si="187"/>
        <v>18.072289156626507</v>
      </c>
      <c r="Q1522" s="105">
        <v>83</v>
      </c>
      <c r="R1522" s="80">
        <v>14</v>
      </c>
      <c r="S1522" s="80"/>
      <c r="T1522" s="105">
        <f t="shared" si="196"/>
        <v>1.0714285714285714</v>
      </c>
      <c r="U1522" s="105">
        <f t="shared" si="188"/>
        <v>1.2908777969018934</v>
      </c>
      <c r="V1522" s="104">
        <f>IFERROR(VLOOKUP(L1522,'Raw material list'!$A$2:$S$3102,6,0),0)</f>
        <v>1.2999999999999999E-2</v>
      </c>
      <c r="W1522" s="104">
        <f t="shared" si="189"/>
        <v>1.6781411359724614E-2</v>
      </c>
    </row>
    <row r="1523" spans="1:23" hidden="1" x14ac:dyDescent="0.55000000000000004">
      <c r="A1523" s="76" t="str">
        <f t="shared" si="197"/>
        <v>RCP-SMC-000100</v>
      </c>
      <c r="B1523" s="58" t="s">
        <v>35</v>
      </c>
      <c r="C1523" s="58" t="s">
        <v>10</v>
      </c>
      <c r="D1523" s="76" t="str">
        <f t="shared" si="198"/>
        <v>creme of potato with Pumkin</v>
      </c>
      <c r="E1523" s="76" t="s">
        <v>1467</v>
      </c>
      <c r="F1523" s="76" t="s">
        <v>2079</v>
      </c>
      <c r="G1523" s="94" t="s">
        <v>1779</v>
      </c>
      <c r="H1523" s="107" t="s">
        <v>1773</v>
      </c>
      <c r="I1523" s="76"/>
      <c r="J1523" s="76"/>
      <c r="K1523" s="58" t="str">
        <f>IFERROR(VLOOKUP(L1523,'Raw material list'!$A$3:$C$715,3,0),"")</f>
        <v>PRD1-4265</v>
      </c>
      <c r="L1523" s="59" t="s">
        <v>38</v>
      </c>
      <c r="M1523" s="80" t="s">
        <v>156</v>
      </c>
      <c r="N1523" s="40" t="str">
        <f>VLOOKUP(L1523,'Raw material list'!$A$3:$E$715,5,0)</f>
        <v xml:space="preserve">Gram </v>
      </c>
      <c r="O1523" s="80">
        <v>100</v>
      </c>
      <c r="P1523" s="299">
        <f t="shared" si="187"/>
        <v>117.64705882352942</v>
      </c>
      <c r="Q1523" s="105">
        <v>85</v>
      </c>
      <c r="R1523" s="80">
        <v>14</v>
      </c>
      <c r="S1523" s="80"/>
      <c r="T1523" s="105">
        <f t="shared" si="196"/>
        <v>7.1428571428571432</v>
      </c>
      <c r="U1523" s="105">
        <f t="shared" si="188"/>
        <v>8.4033613445378155</v>
      </c>
      <c r="V1523" s="104">
        <f>IFERROR(VLOOKUP(L1523,'Raw material list'!$A$2:$S$3102,6,0),0)</f>
        <v>3.529411764705882E-3</v>
      </c>
      <c r="W1523" s="104">
        <f t="shared" si="189"/>
        <v>2.9658922392486405E-2</v>
      </c>
    </row>
    <row r="1524" spans="1:23" hidden="1" x14ac:dyDescent="0.55000000000000004">
      <c r="A1524" s="76" t="str">
        <f t="shared" si="197"/>
        <v>RCP-SMC-000100</v>
      </c>
      <c r="B1524" s="58" t="s">
        <v>35</v>
      </c>
      <c r="C1524" s="58" t="s">
        <v>10</v>
      </c>
      <c r="D1524" s="76" t="str">
        <f t="shared" si="198"/>
        <v>creme of potato with Pumkin</v>
      </c>
      <c r="E1524" s="76" t="s">
        <v>1467</v>
      </c>
      <c r="F1524" s="76" t="s">
        <v>2079</v>
      </c>
      <c r="G1524" s="94" t="s">
        <v>1779</v>
      </c>
      <c r="H1524" s="107" t="s">
        <v>1773</v>
      </c>
      <c r="I1524" s="76"/>
      <c r="J1524" s="76"/>
      <c r="K1524" s="58" t="str">
        <f>IFERROR(VLOOKUP(L1524,'Raw material list'!$A$3:$C$715,3,0),"")</f>
        <v>PRD1-232</v>
      </c>
      <c r="L1524" s="59" t="s">
        <v>116</v>
      </c>
      <c r="M1524" s="80" t="s">
        <v>156</v>
      </c>
      <c r="N1524" s="40" t="str">
        <f>VLOOKUP(L1524,'Raw material list'!$A$3:$E$715,5,0)</f>
        <v xml:space="preserve">Gram </v>
      </c>
      <c r="O1524" s="80">
        <v>500</v>
      </c>
      <c r="P1524" s="299">
        <f t="shared" si="187"/>
        <v>694.44444444444446</v>
      </c>
      <c r="Q1524" s="105">
        <v>72</v>
      </c>
      <c r="R1524" s="80">
        <v>14</v>
      </c>
      <c r="S1524" s="80"/>
      <c r="T1524" s="105">
        <f t="shared" si="196"/>
        <v>35.714285714285715</v>
      </c>
      <c r="U1524" s="105">
        <f t="shared" si="188"/>
        <v>49.603174603174601</v>
      </c>
      <c r="V1524" s="104">
        <f>IFERROR(VLOOKUP(L1524,'Raw material list'!$A$2:$S$3102,6,0),0)</f>
        <v>4.4444444444444444E-3</v>
      </c>
      <c r="W1524" s="104">
        <f t="shared" si="189"/>
        <v>0.22045855379188711</v>
      </c>
    </row>
    <row r="1525" spans="1:23" hidden="1" x14ac:dyDescent="0.55000000000000004">
      <c r="A1525" s="76" t="str">
        <f t="shared" si="197"/>
        <v>RCP-SMC-000100</v>
      </c>
      <c r="B1525" s="58" t="s">
        <v>35</v>
      </c>
      <c r="C1525" s="58" t="s">
        <v>10</v>
      </c>
      <c r="D1525" s="76" t="str">
        <f t="shared" si="198"/>
        <v>creme of potato with Pumkin</v>
      </c>
      <c r="E1525" s="76" t="s">
        <v>1467</v>
      </c>
      <c r="F1525" s="76" t="s">
        <v>2079</v>
      </c>
      <c r="G1525" s="94" t="s">
        <v>1779</v>
      </c>
      <c r="H1525" s="107" t="s">
        <v>1773</v>
      </c>
      <c r="I1525" s="76"/>
      <c r="J1525" s="76"/>
      <c r="K1525" s="58" t="str">
        <f>IFERROR(VLOOKUP(L1525,'Raw material list'!$A$3:$C$715,3,0),"")</f>
        <v>TAP-00001</v>
      </c>
      <c r="L1525" s="59" t="s">
        <v>1405</v>
      </c>
      <c r="M1525" s="80" t="s">
        <v>206</v>
      </c>
      <c r="N1525" s="40" t="str">
        <f>VLOOKUP(L1525,'Raw material list'!$A$3:$E$715,5,0)</f>
        <v>Ml</v>
      </c>
      <c r="O1525" s="80">
        <v>2000</v>
      </c>
      <c r="P1525" s="299">
        <f t="shared" si="187"/>
        <v>2000</v>
      </c>
      <c r="Q1525" s="303">
        <v>100</v>
      </c>
      <c r="R1525" s="80">
        <v>14</v>
      </c>
      <c r="S1525" s="80"/>
      <c r="T1525" s="105">
        <f t="shared" si="196"/>
        <v>142.85714285714286</v>
      </c>
      <c r="U1525" s="105">
        <f t="shared" si="188"/>
        <v>142.85714285714286</v>
      </c>
      <c r="V1525" s="104">
        <f>IFERROR(VLOOKUP(L1525,'Raw material list'!$A$2:$S$3102,6,0),0)</f>
        <v>8.0000000000000007E-5</v>
      </c>
      <c r="W1525" s="104">
        <f t="shared" si="189"/>
        <v>1.142857142857143E-2</v>
      </c>
    </row>
    <row r="1526" spans="1:23" hidden="1" x14ac:dyDescent="0.55000000000000004">
      <c r="A1526" s="76" t="str">
        <f t="shared" si="197"/>
        <v>RCP-SMC-000100</v>
      </c>
      <c r="B1526" s="58" t="s">
        <v>35</v>
      </c>
      <c r="C1526" s="58" t="s">
        <v>10</v>
      </c>
      <c r="D1526" s="76" t="str">
        <f t="shared" si="198"/>
        <v>creme of potato with Pumkin</v>
      </c>
      <c r="E1526" s="76" t="s">
        <v>1467</v>
      </c>
      <c r="F1526" s="76" t="s">
        <v>2079</v>
      </c>
      <c r="G1526" s="94" t="s">
        <v>1779</v>
      </c>
      <c r="H1526" s="107" t="s">
        <v>1773</v>
      </c>
      <c r="I1526" s="76"/>
      <c r="J1526" s="76"/>
      <c r="K1526" s="58" t="str">
        <f>IFERROR(VLOOKUP(L1526,'Raw material list'!$A$3:$C$715,3,0),"")</f>
        <v>DRS6-309</v>
      </c>
      <c r="L1526" s="59" t="s">
        <v>61</v>
      </c>
      <c r="M1526" s="80" t="s">
        <v>156</v>
      </c>
      <c r="N1526" s="40" t="str">
        <f>VLOOKUP(L1526,'Raw material list'!$A$3:$E$715,5,0)</f>
        <v xml:space="preserve">Gram </v>
      </c>
      <c r="O1526" s="80">
        <v>2</v>
      </c>
      <c r="P1526" s="299">
        <f t="shared" si="187"/>
        <v>2</v>
      </c>
      <c r="Q1526" s="80">
        <v>100</v>
      </c>
      <c r="R1526" s="80">
        <v>14</v>
      </c>
      <c r="S1526" s="80"/>
      <c r="T1526" s="105">
        <f t="shared" si="196"/>
        <v>0.14285714285714285</v>
      </c>
      <c r="U1526" s="105">
        <f t="shared" si="188"/>
        <v>0.14285714285714285</v>
      </c>
      <c r="V1526" s="104">
        <f>IFERROR(VLOOKUP(L1526,'Raw material list'!$A$2:$S$3102,6,0),0)</f>
        <v>2.8000000000000001E-2</v>
      </c>
      <c r="W1526" s="104">
        <f t="shared" si="189"/>
        <v>4.0000000000000001E-3</v>
      </c>
    </row>
    <row r="1527" spans="1:23" hidden="1" x14ac:dyDescent="0.55000000000000004">
      <c r="A1527" s="76" t="str">
        <f t="shared" si="197"/>
        <v>RCP-SMC-000100</v>
      </c>
      <c r="B1527" s="58" t="s">
        <v>35</v>
      </c>
      <c r="C1527" s="58" t="s">
        <v>10</v>
      </c>
      <c r="D1527" s="76" t="str">
        <f t="shared" si="198"/>
        <v>creme of potato with Pumkin</v>
      </c>
      <c r="E1527" s="76" t="s">
        <v>1467</v>
      </c>
      <c r="F1527" s="76" t="s">
        <v>2079</v>
      </c>
      <c r="G1527" s="94" t="s">
        <v>1779</v>
      </c>
      <c r="H1527" s="107" t="s">
        <v>1773</v>
      </c>
      <c r="I1527" s="76"/>
      <c r="J1527" s="76"/>
      <c r="K1527" s="58" t="str">
        <f>IFERROR(VLOOKUP(L1527,'Raw material list'!$A$3:$C$715,3,0),"")</f>
        <v>DRS1-3880</v>
      </c>
      <c r="L1527" s="59" t="s">
        <v>1433</v>
      </c>
      <c r="M1527" s="80" t="s">
        <v>156</v>
      </c>
      <c r="N1527" s="40" t="str">
        <f>VLOOKUP(L1527,'Raw material list'!$A$3:$E$715,5,0)</f>
        <v xml:space="preserve">Gram </v>
      </c>
      <c r="O1527" s="80">
        <v>10</v>
      </c>
      <c r="P1527" s="299">
        <f t="shared" si="187"/>
        <v>10</v>
      </c>
      <c r="Q1527" s="80">
        <v>100</v>
      </c>
      <c r="R1527" s="80">
        <v>14</v>
      </c>
      <c r="S1527" s="80"/>
      <c r="T1527" s="105">
        <f t="shared" si="196"/>
        <v>0.7142857142857143</v>
      </c>
      <c r="U1527" s="105">
        <f t="shared" si="188"/>
        <v>0.7142857142857143</v>
      </c>
      <c r="V1527" s="104">
        <f>IFERROR(VLOOKUP(L1527,'Raw material list'!$A$2:$S$3102,6,0),0)</f>
        <v>5.0000000000000001E-4</v>
      </c>
      <c r="W1527" s="104">
        <f t="shared" si="189"/>
        <v>3.5714285714285714E-4</v>
      </c>
    </row>
    <row r="1528" spans="1:23" hidden="1" x14ac:dyDescent="0.55000000000000004">
      <c r="A1528" s="76" t="str">
        <f t="shared" si="197"/>
        <v>RCP-SMC-000100</v>
      </c>
      <c r="B1528" s="58" t="s">
        <v>35</v>
      </c>
      <c r="C1528" s="58" t="s">
        <v>10</v>
      </c>
      <c r="D1528" s="76" t="str">
        <f t="shared" si="198"/>
        <v>creme of potato with Pumkin</v>
      </c>
      <c r="E1528" s="76" t="s">
        <v>1467</v>
      </c>
      <c r="F1528" s="76" t="s">
        <v>2079</v>
      </c>
      <c r="G1528" s="94" t="s">
        <v>1779</v>
      </c>
      <c r="H1528" s="107" t="s">
        <v>1773</v>
      </c>
      <c r="I1528" s="76"/>
      <c r="J1528" s="76"/>
      <c r="K1528" s="58" t="str">
        <f>IFERROR(VLOOKUP(L1528,'Raw material list'!$A$3:$C$715,3,0),"")</f>
        <v>DRS1-4417</v>
      </c>
      <c r="L1528" s="59" t="s">
        <v>88</v>
      </c>
      <c r="M1528" s="80" t="s">
        <v>156</v>
      </c>
      <c r="N1528" s="40" t="str">
        <f>VLOOKUP(L1528,'Raw material list'!$A$3:$E$715,5,0)</f>
        <v xml:space="preserve">Gram </v>
      </c>
      <c r="O1528" s="80">
        <v>10</v>
      </c>
      <c r="P1528" s="299">
        <f t="shared" si="187"/>
        <v>10</v>
      </c>
      <c r="Q1528" s="80">
        <v>100</v>
      </c>
      <c r="R1528" s="80">
        <v>14</v>
      </c>
      <c r="S1528" s="80"/>
      <c r="T1528" s="105">
        <f t="shared" si="196"/>
        <v>0.7142857142857143</v>
      </c>
      <c r="U1528" s="105">
        <f t="shared" si="188"/>
        <v>0.7142857142857143</v>
      </c>
      <c r="V1528" s="104">
        <f>IFERROR(VLOOKUP(L1528,'Raw material list'!$A$2:$S$3102,6,0),0)</f>
        <v>3.6754545454545456E-2</v>
      </c>
      <c r="W1528" s="104">
        <f t="shared" si="189"/>
        <v>2.6253246753246754E-2</v>
      </c>
    </row>
    <row r="1529" spans="1:23" hidden="1" x14ac:dyDescent="0.55000000000000004">
      <c r="A1529" s="76" t="str">
        <f t="shared" si="197"/>
        <v>RCP-SMC-000100</v>
      </c>
      <c r="B1529" s="58" t="s">
        <v>35</v>
      </c>
      <c r="C1529" s="58" t="s">
        <v>10</v>
      </c>
      <c r="D1529" s="76" t="str">
        <f t="shared" si="198"/>
        <v>creme of potato with Pumkin</v>
      </c>
      <c r="E1529" s="76" t="s">
        <v>1467</v>
      </c>
      <c r="F1529" s="76" t="s">
        <v>2079</v>
      </c>
      <c r="G1529" s="94" t="s">
        <v>1779</v>
      </c>
      <c r="H1529" s="107" t="s">
        <v>1773</v>
      </c>
      <c r="I1529" s="76"/>
      <c r="J1529" s="76"/>
      <c r="K1529" s="58" t="str">
        <f>IFERROR(VLOOKUP(L1529,'Raw material list'!$A$3:$C$715,3,0),"")</f>
        <v>DRY2-1858</v>
      </c>
      <c r="L1529" s="59" t="s">
        <v>60</v>
      </c>
      <c r="M1529" s="80" t="s">
        <v>206</v>
      </c>
      <c r="N1529" s="40" t="str">
        <f>VLOOKUP(L1529,'Raw material list'!$A$3:$E$715,5,0)</f>
        <v>Ml</v>
      </c>
      <c r="O1529" s="80">
        <v>250</v>
      </c>
      <c r="P1529" s="299">
        <f t="shared" si="187"/>
        <v>250</v>
      </c>
      <c r="Q1529" s="80">
        <v>100</v>
      </c>
      <c r="R1529" s="80">
        <v>14</v>
      </c>
      <c r="S1529" s="80"/>
      <c r="T1529" s="105">
        <f t="shared" si="196"/>
        <v>17.857142857142858</v>
      </c>
      <c r="U1529" s="105">
        <f t="shared" si="188"/>
        <v>17.857142857142858</v>
      </c>
      <c r="V1529" s="104">
        <f>IFERROR(VLOOKUP(L1529,'Raw material list'!$A$2:$S$3102,6,0),0)</f>
        <v>9.8800000000000016E-3</v>
      </c>
      <c r="W1529" s="104">
        <f t="shared" si="189"/>
        <v>0.17642857142857146</v>
      </c>
    </row>
    <row r="1530" spans="1:23" hidden="1" x14ac:dyDescent="0.55000000000000004">
      <c r="A1530" s="76" t="str">
        <f t="shared" si="197"/>
        <v>RCP-SMC-000100</v>
      </c>
      <c r="B1530" s="58" t="s">
        <v>35</v>
      </c>
      <c r="C1530" s="58" t="s">
        <v>10</v>
      </c>
      <c r="D1530" s="76" t="str">
        <f t="shared" si="198"/>
        <v>creme of potato with Pumkin</v>
      </c>
      <c r="E1530" s="76" t="s">
        <v>1467</v>
      </c>
      <c r="F1530" s="76" t="s">
        <v>2079</v>
      </c>
      <c r="G1530" s="94" t="s">
        <v>1779</v>
      </c>
      <c r="H1530" s="107" t="s">
        <v>1773</v>
      </c>
      <c r="I1530" s="76"/>
      <c r="J1530" s="76"/>
      <c r="K1530" s="58" t="str">
        <f>IFERROR(VLOOKUP(L1530,'Raw material list'!$A$3:$C$715,3,0),"")</f>
        <v>PRD1-230</v>
      </c>
      <c r="L1530" s="59" t="s">
        <v>70</v>
      </c>
      <c r="M1530" s="80" t="s">
        <v>156</v>
      </c>
      <c r="N1530" s="40" t="str">
        <f>VLOOKUP(L1530,'Raw material list'!$A$3:$E$715,5,0)</f>
        <v xml:space="preserve">Gram </v>
      </c>
      <c r="O1530" s="80">
        <v>500</v>
      </c>
      <c r="P1530" s="299">
        <f t="shared" si="187"/>
        <v>674.76383265856953</v>
      </c>
      <c r="Q1530" s="105">
        <v>74.099999999999994</v>
      </c>
      <c r="R1530" s="80">
        <v>14</v>
      </c>
      <c r="S1530" s="80"/>
      <c r="T1530" s="105">
        <f t="shared" si="196"/>
        <v>35.714285714285715</v>
      </c>
      <c r="U1530" s="105">
        <f t="shared" si="188"/>
        <v>48.197416618469255</v>
      </c>
      <c r="V1530" s="104">
        <f>IFERROR(VLOOKUP(L1530,'Raw material list'!$A$2:$S$3102,6,0),0)</f>
        <v>3.3738191632928472E-3</v>
      </c>
      <c r="W1530" s="104">
        <f t="shared" si="189"/>
        <v>0.16260936780860072</v>
      </c>
    </row>
    <row r="1531" spans="1:23" hidden="1" x14ac:dyDescent="0.55000000000000004">
      <c r="A1531" s="76" t="s">
        <v>1430</v>
      </c>
      <c r="B1531" s="58" t="s">
        <v>35</v>
      </c>
      <c r="C1531" s="58" t="s">
        <v>10</v>
      </c>
      <c r="D1531" s="76" t="s">
        <v>1629</v>
      </c>
      <c r="E1531" s="76" t="s">
        <v>1467</v>
      </c>
      <c r="F1531" s="76" t="s">
        <v>2079</v>
      </c>
      <c r="G1531" s="94" t="s">
        <v>1779</v>
      </c>
      <c r="H1531" s="107" t="s">
        <v>1773</v>
      </c>
      <c r="I1531" s="76"/>
      <c r="J1531" s="76"/>
      <c r="K1531" s="58" t="str">
        <f>IFERROR(VLOOKUP(L1531,'Raw material list'!$A$3:$C$715,3,0),"")</f>
        <v>DRS3-1813</v>
      </c>
      <c r="L1531" s="59" t="s">
        <v>69</v>
      </c>
      <c r="M1531" s="80" t="s">
        <v>206</v>
      </c>
      <c r="N1531" s="40" t="str">
        <f>VLOOKUP(L1531,'Raw material list'!$A$3:$E$715,5,0)</f>
        <v>Ml</v>
      </c>
      <c r="O1531" s="80">
        <v>20</v>
      </c>
      <c r="P1531" s="299">
        <f t="shared" si="187"/>
        <v>20</v>
      </c>
      <c r="Q1531" s="303">
        <v>100</v>
      </c>
      <c r="R1531" s="80">
        <v>14</v>
      </c>
      <c r="S1531" s="80"/>
      <c r="T1531" s="105">
        <f t="shared" si="196"/>
        <v>1.4285714285714286</v>
      </c>
      <c r="U1531" s="105">
        <f t="shared" si="188"/>
        <v>1.4285714285714286</v>
      </c>
      <c r="V1531" s="104">
        <f>IFERROR(VLOOKUP(L1531,'Raw material list'!$A$2:$S$3102,6,0),0)</f>
        <v>8.0555555555555554E-3</v>
      </c>
      <c r="W1531" s="104">
        <f t="shared" si="189"/>
        <v>1.1507936507936509E-2</v>
      </c>
    </row>
    <row r="1532" spans="1:23" hidden="1" x14ac:dyDescent="0.55000000000000004">
      <c r="A1532" s="76" t="str">
        <f t="shared" ref="A1532:A1544" si="199">A1531</f>
        <v>RCP-SMC-000101</v>
      </c>
      <c r="B1532" s="58" t="s">
        <v>35</v>
      </c>
      <c r="C1532" s="58" t="s">
        <v>10</v>
      </c>
      <c r="D1532" s="76" t="str">
        <f t="shared" ref="D1532:D1544" si="200">D1531</f>
        <v>Beef Vermicelli Rice soup</v>
      </c>
      <c r="E1532" s="76" t="s">
        <v>1467</v>
      </c>
      <c r="F1532" s="76" t="s">
        <v>2079</v>
      </c>
      <c r="G1532" s="94" t="s">
        <v>1779</v>
      </c>
      <c r="H1532" s="107" t="s">
        <v>1773</v>
      </c>
      <c r="I1532" s="76"/>
      <c r="J1532" s="76"/>
      <c r="K1532" s="58" t="str">
        <f>IFERROR(VLOOKUP(L1532,'Raw material list'!$A$3:$C$715,3,0),"")</f>
        <v>PRD1-4265</v>
      </c>
      <c r="L1532" s="59" t="s">
        <v>38</v>
      </c>
      <c r="M1532" s="80" t="s">
        <v>156</v>
      </c>
      <c r="N1532" s="40" t="str">
        <f>VLOOKUP(L1532,'Raw material list'!$A$3:$E$715,5,0)</f>
        <v xml:space="preserve">Gram </v>
      </c>
      <c r="O1532" s="80">
        <v>150</v>
      </c>
      <c r="P1532" s="299">
        <f t="shared" si="187"/>
        <v>176.47058823529412</v>
      </c>
      <c r="Q1532" s="105">
        <v>85</v>
      </c>
      <c r="R1532" s="80">
        <v>14</v>
      </c>
      <c r="S1532" s="80"/>
      <c r="T1532" s="105">
        <f t="shared" si="196"/>
        <v>10.714285714285714</v>
      </c>
      <c r="U1532" s="105">
        <f t="shared" si="188"/>
        <v>12.605042016806722</v>
      </c>
      <c r="V1532" s="104">
        <f>IFERROR(VLOOKUP(L1532,'Raw material list'!$A$2:$S$3102,6,0),0)</f>
        <v>3.529411764705882E-3</v>
      </c>
      <c r="W1532" s="104">
        <f t="shared" si="189"/>
        <v>4.4488383588729606E-2</v>
      </c>
    </row>
    <row r="1533" spans="1:23" hidden="1" x14ac:dyDescent="0.55000000000000004">
      <c r="A1533" s="76" t="str">
        <f t="shared" si="199"/>
        <v>RCP-SMC-000101</v>
      </c>
      <c r="B1533" s="58" t="s">
        <v>35</v>
      </c>
      <c r="C1533" s="58" t="s">
        <v>10</v>
      </c>
      <c r="D1533" s="76" t="str">
        <f t="shared" si="200"/>
        <v>Beef Vermicelli Rice soup</v>
      </c>
      <c r="E1533" s="76" t="s">
        <v>1467</v>
      </c>
      <c r="F1533" s="76" t="s">
        <v>2079</v>
      </c>
      <c r="G1533" s="94" t="s">
        <v>1779</v>
      </c>
      <c r="H1533" s="107" t="s">
        <v>1773</v>
      </c>
      <c r="I1533" s="76"/>
      <c r="J1533" s="76"/>
      <c r="K1533" s="58" t="str">
        <f>IFERROR(VLOOKUP(L1533,'Raw material list'!$A$3:$C$715,3,0),"")</f>
        <v>PRD1-4327</v>
      </c>
      <c r="L1533" s="59" t="s">
        <v>39</v>
      </c>
      <c r="M1533" s="80" t="s">
        <v>156</v>
      </c>
      <c r="N1533" s="40" t="str">
        <f>VLOOKUP(L1533,'Raw material list'!$A$3:$E$715,5,0)</f>
        <v xml:space="preserve">Gram </v>
      </c>
      <c r="O1533" s="80">
        <v>15</v>
      </c>
      <c r="P1533" s="299">
        <f t="shared" si="187"/>
        <v>18.072289156626507</v>
      </c>
      <c r="Q1533" s="105">
        <v>83</v>
      </c>
      <c r="R1533" s="80">
        <v>14</v>
      </c>
      <c r="S1533" s="80"/>
      <c r="T1533" s="105">
        <f t="shared" si="196"/>
        <v>1.0714285714285714</v>
      </c>
      <c r="U1533" s="105">
        <f t="shared" si="188"/>
        <v>1.2908777969018934</v>
      </c>
      <c r="V1533" s="104">
        <f>IFERROR(VLOOKUP(L1533,'Raw material list'!$A$2:$S$3102,6,0),0)</f>
        <v>1.2999999999999999E-2</v>
      </c>
      <c r="W1533" s="104">
        <f t="shared" si="189"/>
        <v>1.6781411359724614E-2</v>
      </c>
    </row>
    <row r="1534" spans="1:23" hidden="1" x14ac:dyDescent="0.55000000000000004">
      <c r="A1534" s="76" t="str">
        <f t="shared" si="199"/>
        <v>RCP-SMC-000101</v>
      </c>
      <c r="B1534" s="58" t="s">
        <v>35</v>
      </c>
      <c r="C1534" s="58" t="s">
        <v>10</v>
      </c>
      <c r="D1534" s="76" t="str">
        <f t="shared" si="200"/>
        <v>Beef Vermicelli Rice soup</v>
      </c>
      <c r="E1534" s="76" t="s">
        <v>1467</v>
      </c>
      <c r="F1534" s="76" t="s">
        <v>2079</v>
      </c>
      <c r="G1534" s="94" t="s">
        <v>1779</v>
      </c>
      <c r="H1534" s="107" t="s">
        <v>1773</v>
      </c>
      <c r="I1534" s="76"/>
      <c r="J1534" s="76"/>
      <c r="K1534" s="58" t="str">
        <f>IFERROR(VLOOKUP(L1534,'Raw material list'!$A$3:$C$715,3,0),"")</f>
        <v>PRD1-186</v>
      </c>
      <c r="L1534" s="59" t="s">
        <v>37</v>
      </c>
      <c r="M1534" s="80" t="s">
        <v>156</v>
      </c>
      <c r="N1534" s="40" t="str">
        <f>VLOOKUP(L1534,'Raw material list'!$A$3:$E$715,5,0)</f>
        <v xml:space="preserve">Gram </v>
      </c>
      <c r="O1534" s="80">
        <v>100</v>
      </c>
      <c r="P1534" s="299">
        <f t="shared" si="187"/>
        <v>122.44897959183673</v>
      </c>
      <c r="Q1534" s="105">
        <v>81.666666666666671</v>
      </c>
      <c r="R1534" s="80">
        <v>14</v>
      </c>
      <c r="S1534" s="80"/>
      <c r="T1534" s="105">
        <f t="shared" si="196"/>
        <v>7.1428571428571432</v>
      </c>
      <c r="U1534" s="105">
        <f t="shared" si="188"/>
        <v>8.7463556851311957</v>
      </c>
      <c r="V1534" s="104">
        <f>IFERROR(VLOOKUP(L1534,'Raw material list'!$A$2:$S$3102,6,0),0)</f>
        <v>5.8139534883720938E-3</v>
      </c>
      <c r="W1534" s="104">
        <f t="shared" si="189"/>
        <v>5.0850905146111611E-2</v>
      </c>
    </row>
    <row r="1535" spans="1:23" hidden="1" x14ac:dyDescent="0.55000000000000004">
      <c r="A1535" s="76" t="str">
        <f t="shared" si="199"/>
        <v>RCP-SMC-000101</v>
      </c>
      <c r="B1535" s="58" t="s">
        <v>35</v>
      </c>
      <c r="C1535" s="58" t="s">
        <v>10</v>
      </c>
      <c r="D1535" s="76" t="str">
        <f t="shared" si="200"/>
        <v>Beef Vermicelli Rice soup</v>
      </c>
      <c r="E1535" s="76" t="s">
        <v>1467</v>
      </c>
      <c r="F1535" s="76" t="s">
        <v>2079</v>
      </c>
      <c r="G1535" s="94" t="s">
        <v>1779</v>
      </c>
      <c r="H1535" s="107" t="s">
        <v>1773</v>
      </c>
      <c r="I1535" s="76"/>
      <c r="J1535" s="76"/>
      <c r="K1535" s="58" t="str">
        <f>IFERROR(VLOOKUP(L1535,'Raw material list'!$A$3:$C$715,3,0),"")</f>
        <v>DRS6-260</v>
      </c>
      <c r="L1535" s="59" t="s">
        <v>62</v>
      </c>
      <c r="M1535" s="80" t="s">
        <v>156</v>
      </c>
      <c r="N1535" s="40" t="str">
        <f>VLOOKUP(L1535,'Raw material list'!$A$3:$E$715,5,0)</f>
        <v xml:space="preserve">Gram </v>
      </c>
      <c r="O1535" s="80">
        <v>3</v>
      </c>
      <c r="P1535" s="299">
        <f t="shared" si="187"/>
        <v>3</v>
      </c>
      <c r="Q1535" s="303">
        <v>100</v>
      </c>
      <c r="R1535" s="80">
        <v>14</v>
      </c>
      <c r="S1535" s="80"/>
      <c r="T1535" s="105">
        <f t="shared" si="196"/>
        <v>0.21428571428571427</v>
      </c>
      <c r="U1535" s="105">
        <f t="shared" si="188"/>
        <v>0.21428571428571427</v>
      </c>
      <c r="V1535" s="104">
        <f>IFERROR(VLOOKUP(L1535,'Raw material list'!$A$2:$S$3102,6,0),0)</f>
        <v>0.02</v>
      </c>
      <c r="W1535" s="104">
        <f t="shared" si="189"/>
        <v>4.2857142857142859E-3</v>
      </c>
    </row>
    <row r="1536" spans="1:23" hidden="1" x14ac:dyDescent="0.55000000000000004">
      <c r="A1536" s="76" t="str">
        <f t="shared" si="199"/>
        <v>RCP-SMC-000101</v>
      </c>
      <c r="B1536" s="58" t="s">
        <v>35</v>
      </c>
      <c r="C1536" s="58" t="s">
        <v>10</v>
      </c>
      <c r="D1536" s="76" t="str">
        <f t="shared" si="200"/>
        <v>Beef Vermicelli Rice soup</v>
      </c>
      <c r="E1536" s="76" t="s">
        <v>1467</v>
      </c>
      <c r="F1536" s="76" t="s">
        <v>2078</v>
      </c>
      <c r="G1536" s="94" t="s">
        <v>1779</v>
      </c>
      <c r="H1536" s="107" t="s">
        <v>1773</v>
      </c>
      <c r="I1536" s="76"/>
      <c r="J1536" s="76"/>
      <c r="K1536" s="58" t="str">
        <f>IFERROR(VLOOKUP(L1536,'Raw material list'!$A$3:$C$715,3,0),"")</f>
        <v>MET2-585</v>
      </c>
      <c r="L1536" s="59" t="s">
        <v>53</v>
      </c>
      <c r="M1536" s="80" t="s">
        <v>156</v>
      </c>
      <c r="N1536" s="40" t="str">
        <f>VLOOKUP(L1536,'Raw material list'!$A$3:$E$715,5,0)</f>
        <v xml:space="preserve">Gram </v>
      </c>
      <c r="O1536" s="80">
        <v>250</v>
      </c>
      <c r="P1536" s="299">
        <f t="shared" si="187"/>
        <v>288.68360277136264</v>
      </c>
      <c r="Q1536" s="80">
        <v>86.6</v>
      </c>
      <c r="R1536" s="80">
        <v>14</v>
      </c>
      <c r="S1536" s="80"/>
      <c r="T1536" s="105">
        <f t="shared" si="196"/>
        <v>17.857142857142858</v>
      </c>
      <c r="U1536" s="105">
        <f t="shared" si="188"/>
        <v>20.620257340811616</v>
      </c>
      <c r="V1536" s="104">
        <f>IFERROR(VLOOKUP(L1536,'Raw material list'!$A$2:$S$3102,6,0),0)</f>
        <v>4.2630057803468215E-2</v>
      </c>
      <c r="W1536" s="104">
        <f t="shared" si="189"/>
        <v>0.87904276236118895</v>
      </c>
    </row>
    <row r="1537" spans="1:23" hidden="1" x14ac:dyDescent="0.55000000000000004">
      <c r="A1537" s="76" t="str">
        <f t="shared" si="199"/>
        <v>RCP-SMC-000101</v>
      </c>
      <c r="B1537" s="58" t="s">
        <v>35</v>
      </c>
      <c r="C1537" s="58" t="s">
        <v>10</v>
      </c>
      <c r="D1537" s="76" t="str">
        <f t="shared" si="200"/>
        <v>Beef Vermicelli Rice soup</v>
      </c>
      <c r="E1537" s="76" t="s">
        <v>1467</v>
      </c>
      <c r="F1537" s="76" t="s">
        <v>2079</v>
      </c>
      <c r="G1537" s="94" t="s">
        <v>1779</v>
      </c>
      <c r="H1537" s="107" t="s">
        <v>1773</v>
      </c>
      <c r="I1537" s="76"/>
      <c r="J1537" s="76"/>
      <c r="K1537" s="58" t="str">
        <f>IFERROR(VLOOKUP(L1537,'Raw material list'!$A$3:$C$715,3,0),"")</f>
        <v>DRS1-1747</v>
      </c>
      <c r="L1537" s="59" t="s">
        <v>44</v>
      </c>
      <c r="M1537" s="80" t="s">
        <v>156</v>
      </c>
      <c r="N1537" s="40" t="str">
        <f>VLOOKUP(L1537,'Raw material list'!$A$3:$E$715,5,0)</f>
        <v xml:space="preserve">Gram </v>
      </c>
      <c r="O1537" s="80">
        <v>80</v>
      </c>
      <c r="P1537" s="299">
        <f t="shared" si="187"/>
        <v>80</v>
      </c>
      <c r="Q1537" s="80">
        <v>100</v>
      </c>
      <c r="R1537" s="80">
        <v>14</v>
      </c>
      <c r="S1537" s="80"/>
      <c r="T1537" s="105">
        <f t="shared" si="196"/>
        <v>5.7142857142857144</v>
      </c>
      <c r="U1537" s="105">
        <f t="shared" si="188"/>
        <v>5.7142857142857144</v>
      </c>
      <c r="V1537" s="104">
        <f>IFERROR(VLOOKUP(L1537,'Raw material list'!$A$2:$S$3102,6,0),0)</f>
        <v>5.185185185185185E-3</v>
      </c>
      <c r="W1537" s="104">
        <f t="shared" si="189"/>
        <v>2.9629629629629631E-2</v>
      </c>
    </row>
    <row r="1538" spans="1:23" hidden="1" x14ac:dyDescent="0.55000000000000004">
      <c r="A1538" s="76" t="str">
        <f t="shared" si="199"/>
        <v>RCP-SMC-000101</v>
      </c>
      <c r="B1538" s="58" t="s">
        <v>35</v>
      </c>
      <c r="C1538" s="58" t="s">
        <v>10</v>
      </c>
      <c r="D1538" s="76" t="str">
        <f t="shared" si="200"/>
        <v>Beef Vermicelli Rice soup</v>
      </c>
      <c r="E1538" s="76" t="s">
        <v>1467</v>
      </c>
      <c r="F1538" s="76" t="s">
        <v>2079</v>
      </c>
      <c r="G1538" s="94" t="s">
        <v>1779</v>
      </c>
      <c r="H1538" s="107" t="s">
        <v>1773</v>
      </c>
      <c r="I1538" s="76"/>
      <c r="J1538" s="76"/>
      <c r="K1538" s="58" t="str">
        <f>IFERROR(VLOOKUP(L1538,'Raw material list'!$A$3:$C$715,3,0),"")</f>
        <v>DRS2-3628</v>
      </c>
      <c r="L1538" s="59" t="s">
        <v>94</v>
      </c>
      <c r="M1538" s="80" t="s">
        <v>156</v>
      </c>
      <c r="N1538" s="40" t="str">
        <f>VLOOKUP(L1538,'Raw material list'!$A$3:$E$715,5,0)</f>
        <v xml:space="preserve">Gram </v>
      </c>
      <c r="O1538" s="80">
        <v>80</v>
      </c>
      <c r="P1538" s="299">
        <f t="shared" si="187"/>
        <v>80</v>
      </c>
      <c r="Q1538" s="80">
        <v>100</v>
      </c>
      <c r="R1538" s="80">
        <v>14</v>
      </c>
      <c r="S1538" s="80"/>
      <c r="T1538" s="105">
        <f t="shared" si="196"/>
        <v>5.7142857142857144</v>
      </c>
      <c r="U1538" s="105">
        <f t="shared" si="188"/>
        <v>5.7142857142857144</v>
      </c>
      <c r="V1538" s="104">
        <f>IFERROR(VLOOKUP(L1538,'Raw material list'!$A$2:$S$3102,6,0),0)</f>
        <v>1.1066666666666667E-2</v>
      </c>
      <c r="W1538" s="104">
        <f t="shared" si="189"/>
        <v>6.3238095238095246E-2</v>
      </c>
    </row>
    <row r="1539" spans="1:23" hidden="1" x14ac:dyDescent="0.55000000000000004">
      <c r="A1539" s="76" t="str">
        <f t="shared" si="199"/>
        <v>RCP-SMC-000101</v>
      </c>
      <c r="B1539" s="58" t="s">
        <v>35</v>
      </c>
      <c r="C1539" s="58" t="s">
        <v>10</v>
      </c>
      <c r="D1539" s="76" t="str">
        <f t="shared" si="200"/>
        <v>Beef Vermicelli Rice soup</v>
      </c>
      <c r="E1539" s="76" t="s">
        <v>1467</v>
      </c>
      <c r="F1539" s="76" t="s">
        <v>2079</v>
      </c>
      <c r="G1539" s="94" t="s">
        <v>1779</v>
      </c>
      <c r="H1539" s="107" t="s">
        <v>1773</v>
      </c>
      <c r="I1539" s="76"/>
      <c r="J1539" s="76"/>
      <c r="K1539" s="58" t="str">
        <f>IFERROR(VLOOKUP(L1539,'Raw material list'!$A$3:$C$715,3,0),"")</f>
        <v>DRS1-3813</v>
      </c>
      <c r="L1539" s="59" t="s">
        <v>67</v>
      </c>
      <c r="M1539" s="80" t="s">
        <v>156</v>
      </c>
      <c r="N1539" s="40" t="str">
        <f>VLOOKUP(L1539,'Raw material list'!$A$3:$E$715,5,0)</f>
        <v xml:space="preserve">Gram </v>
      </c>
      <c r="O1539" s="80">
        <v>10</v>
      </c>
      <c r="P1539" s="299">
        <f t="shared" si="187"/>
        <v>10</v>
      </c>
      <c r="Q1539" s="80">
        <v>100</v>
      </c>
      <c r="R1539" s="80">
        <v>14</v>
      </c>
      <c r="S1539" s="80"/>
      <c r="T1539" s="105">
        <f t="shared" si="196"/>
        <v>0.7142857142857143</v>
      </c>
      <c r="U1539" s="105">
        <f t="shared" si="188"/>
        <v>0.7142857142857143</v>
      </c>
      <c r="V1539" s="104">
        <f>IFERROR(VLOOKUP(L1539,'Raw material list'!$A$2:$S$3102,6,0),0)</f>
        <v>4.4441666666666664E-2</v>
      </c>
      <c r="W1539" s="104">
        <f t="shared" si="189"/>
        <v>3.1744047619047616E-2</v>
      </c>
    </row>
    <row r="1540" spans="1:23" hidden="1" x14ac:dyDescent="0.55000000000000004">
      <c r="A1540" s="76" t="str">
        <f t="shared" si="199"/>
        <v>RCP-SMC-000101</v>
      </c>
      <c r="B1540" s="58" t="s">
        <v>35</v>
      </c>
      <c r="C1540" s="58" t="s">
        <v>10</v>
      </c>
      <c r="D1540" s="76" t="str">
        <f t="shared" si="200"/>
        <v>Beef Vermicelli Rice soup</v>
      </c>
      <c r="E1540" s="76" t="s">
        <v>1467</v>
      </c>
      <c r="F1540" s="76" t="s">
        <v>2079</v>
      </c>
      <c r="G1540" s="94" t="s">
        <v>1779</v>
      </c>
      <c r="H1540" s="107" t="s">
        <v>1773</v>
      </c>
      <c r="I1540" s="76"/>
      <c r="J1540" s="76"/>
      <c r="K1540" s="58" t="str">
        <f>IFERROR(VLOOKUP(L1540,'Raw material list'!$A$3:$C$715,3,0),"")</f>
        <v>DRS1-3880</v>
      </c>
      <c r="L1540" s="59" t="s">
        <v>1433</v>
      </c>
      <c r="M1540" s="80" t="s">
        <v>156</v>
      </c>
      <c r="N1540" s="40" t="str">
        <f>VLOOKUP(L1540,'Raw material list'!$A$3:$E$715,5,0)</f>
        <v xml:space="preserve">Gram </v>
      </c>
      <c r="O1540" s="80">
        <v>10</v>
      </c>
      <c r="P1540" s="299">
        <f t="shared" si="187"/>
        <v>10</v>
      </c>
      <c r="Q1540" s="80">
        <v>100</v>
      </c>
      <c r="R1540" s="80">
        <v>14</v>
      </c>
      <c r="S1540" s="80"/>
      <c r="T1540" s="105">
        <f t="shared" si="196"/>
        <v>0.7142857142857143</v>
      </c>
      <c r="U1540" s="105">
        <f t="shared" si="188"/>
        <v>0.7142857142857143</v>
      </c>
      <c r="V1540" s="104">
        <f>IFERROR(VLOOKUP(L1540,'Raw material list'!$A$2:$S$3102,6,0),0)</f>
        <v>5.0000000000000001E-4</v>
      </c>
      <c r="W1540" s="104">
        <f t="shared" si="189"/>
        <v>3.5714285714285714E-4</v>
      </c>
    </row>
    <row r="1541" spans="1:23" hidden="1" x14ac:dyDescent="0.55000000000000004">
      <c r="A1541" s="76" t="str">
        <f t="shared" si="199"/>
        <v>RCP-SMC-000101</v>
      </c>
      <c r="B1541" s="58" t="s">
        <v>35</v>
      </c>
      <c r="C1541" s="58" t="s">
        <v>10</v>
      </c>
      <c r="D1541" s="76" t="str">
        <f t="shared" si="200"/>
        <v>Beef Vermicelli Rice soup</v>
      </c>
      <c r="E1541" s="76" t="s">
        <v>1467</v>
      </c>
      <c r="F1541" s="76" t="s">
        <v>2079</v>
      </c>
      <c r="G1541" s="94" t="s">
        <v>1779</v>
      </c>
      <c r="H1541" s="107" t="s">
        <v>1773</v>
      </c>
      <c r="I1541" s="76"/>
      <c r="J1541" s="76"/>
      <c r="K1541" s="58" t="str">
        <f>IFERROR(VLOOKUP(L1541,'Raw material list'!$A$3:$C$715,3,0),"")</f>
        <v>PRD1-195</v>
      </c>
      <c r="L1541" s="59" t="s">
        <v>90</v>
      </c>
      <c r="M1541" s="80" t="s">
        <v>156</v>
      </c>
      <c r="N1541" s="40" t="str">
        <f>VLOOKUP(L1541,'Raw material list'!$A$3:$E$715,5,0)</f>
        <v xml:space="preserve">Gram </v>
      </c>
      <c r="O1541" s="80">
        <v>5</v>
      </c>
      <c r="P1541" s="299">
        <f t="shared" si="187"/>
        <v>11.718749999999998</v>
      </c>
      <c r="Q1541" s="105">
        <v>42.666666666666671</v>
      </c>
      <c r="R1541" s="80">
        <v>14</v>
      </c>
      <c r="S1541" s="80"/>
      <c r="T1541" s="105">
        <f t="shared" si="196"/>
        <v>0.35714285714285715</v>
      </c>
      <c r="U1541" s="105">
        <f t="shared" si="188"/>
        <v>0.83705357142857129</v>
      </c>
      <c r="V1541" s="104">
        <f>IFERROR(VLOOKUP(L1541,'Raw material list'!$A$2:$S$3102,6,0),0)</f>
        <v>9.3676814988290415E-3</v>
      </c>
      <c r="W1541" s="104">
        <f t="shared" si="189"/>
        <v>7.8412512546002008E-3</v>
      </c>
    </row>
    <row r="1542" spans="1:23" hidden="1" x14ac:dyDescent="0.55000000000000004">
      <c r="A1542" s="76" t="str">
        <f t="shared" si="199"/>
        <v>RCP-SMC-000101</v>
      </c>
      <c r="B1542" s="58" t="s">
        <v>35</v>
      </c>
      <c r="C1542" s="58" t="s">
        <v>10</v>
      </c>
      <c r="D1542" s="76" t="str">
        <f t="shared" si="200"/>
        <v>Beef Vermicelli Rice soup</v>
      </c>
      <c r="E1542" s="76" t="s">
        <v>1467</v>
      </c>
      <c r="F1542" s="76" t="s">
        <v>2079</v>
      </c>
      <c r="G1542" s="94" t="s">
        <v>1779</v>
      </c>
      <c r="H1542" s="107" t="s">
        <v>1773</v>
      </c>
      <c r="I1542" s="76"/>
      <c r="J1542" s="76"/>
      <c r="K1542" s="58" t="str">
        <f>IFERROR(VLOOKUP(L1542,'Raw material list'!$A$3:$C$715,3,0),"")</f>
        <v>DRS5-40</v>
      </c>
      <c r="L1542" s="59" t="s">
        <v>58</v>
      </c>
      <c r="M1542" s="80" t="s">
        <v>156</v>
      </c>
      <c r="N1542" s="40" t="str">
        <f>VLOOKUP(L1542,'Raw material list'!$A$3:$E$715,5,0)</f>
        <v xml:space="preserve">Gram </v>
      </c>
      <c r="O1542" s="80">
        <v>40</v>
      </c>
      <c r="P1542" s="299">
        <f t="shared" ref="P1542:P1605" si="201">O1542/Q1542*100</f>
        <v>40</v>
      </c>
      <c r="Q1542" s="303">
        <v>100</v>
      </c>
      <c r="R1542" s="80">
        <v>14</v>
      </c>
      <c r="S1542" s="80"/>
      <c r="T1542" s="105">
        <f t="shared" si="196"/>
        <v>2.8571428571428572</v>
      </c>
      <c r="U1542" s="105">
        <f t="shared" ref="U1542:U1605" si="202">IFERROR(P1542/R1542,0)</f>
        <v>2.8571428571428572</v>
      </c>
      <c r="V1542" s="104">
        <f>IFERROR(VLOOKUP(L1542,'Raw material list'!$A$2:$S$3102,6,0),0)</f>
        <v>7.7777777777777773E-4</v>
      </c>
      <c r="W1542" s="104">
        <f t="shared" ref="W1542:W1605" si="203">IFERROR(V1542*U1542,0)</f>
        <v>2.2222222222222222E-3</v>
      </c>
    </row>
    <row r="1543" spans="1:23" hidden="1" x14ac:dyDescent="0.55000000000000004">
      <c r="A1543" s="76" t="str">
        <f t="shared" si="199"/>
        <v>RCP-SMC-000101</v>
      </c>
      <c r="B1543" s="58" t="s">
        <v>35</v>
      </c>
      <c r="C1543" s="58" t="s">
        <v>10</v>
      </c>
      <c r="D1543" s="76" t="str">
        <f t="shared" si="200"/>
        <v>Beef Vermicelli Rice soup</v>
      </c>
      <c r="E1543" s="76" t="s">
        <v>1467</v>
      </c>
      <c r="F1543" s="76" t="s">
        <v>2079</v>
      </c>
      <c r="G1543" s="94" t="s">
        <v>1779</v>
      </c>
      <c r="H1543" s="107" t="s">
        <v>1773</v>
      </c>
      <c r="I1543" s="76"/>
      <c r="J1543" s="76"/>
      <c r="K1543" s="58" t="str">
        <f>IFERROR(VLOOKUP(L1543,'Raw material list'!$A$3:$C$715,3,0),"")</f>
        <v>TAP-00001</v>
      </c>
      <c r="L1543" s="59" t="s">
        <v>1405</v>
      </c>
      <c r="M1543" s="80" t="s">
        <v>206</v>
      </c>
      <c r="N1543" s="40" t="str">
        <f>VLOOKUP(L1543,'Raw material list'!$A$3:$E$715,5,0)</f>
        <v>Ml</v>
      </c>
      <c r="O1543" s="80">
        <v>2200</v>
      </c>
      <c r="P1543" s="299">
        <f t="shared" si="201"/>
        <v>2200</v>
      </c>
      <c r="Q1543" s="80">
        <v>100</v>
      </c>
      <c r="R1543" s="80">
        <v>14</v>
      </c>
      <c r="S1543" s="80"/>
      <c r="T1543" s="105">
        <f t="shared" si="196"/>
        <v>157.14285714285714</v>
      </c>
      <c r="U1543" s="105">
        <f t="shared" si="202"/>
        <v>157.14285714285714</v>
      </c>
      <c r="V1543" s="104">
        <f>IFERROR(VLOOKUP(L1543,'Raw material list'!$A$2:$S$3102,6,0),0)</f>
        <v>8.0000000000000007E-5</v>
      </c>
      <c r="W1543" s="104">
        <f t="shared" si="203"/>
        <v>1.2571428571428572E-2</v>
      </c>
    </row>
    <row r="1544" spans="1:23" hidden="1" x14ac:dyDescent="0.55000000000000004">
      <c r="A1544" s="76" t="str">
        <f t="shared" si="199"/>
        <v>RCP-SMC-000101</v>
      </c>
      <c r="B1544" s="58" t="s">
        <v>35</v>
      </c>
      <c r="C1544" s="58" t="s">
        <v>10</v>
      </c>
      <c r="D1544" s="76" t="str">
        <f t="shared" si="200"/>
        <v>Beef Vermicelli Rice soup</v>
      </c>
      <c r="E1544" s="76" t="s">
        <v>1467</v>
      </c>
      <c r="F1544" s="76" t="s">
        <v>2079</v>
      </c>
      <c r="G1544" s="94" t="s">
        <v>1779</v>
      </c>
      <c r="H1544" s="107" t="s">
        <v>1773</v>
      </c>
      <c r="I1544" s="76"/>
      <c r="J1544" s="76"/>
      <c r="K1544" s="58" t="str">
        <f>IFERROR(VLOOKUP(L1544,'Raw material list'!$A$3:$C$715,3,0),"")</f>
        <v>PRD1-572</v>
      </c>
      <c r="L1544" s="59" t="s">
        <v>54</v>
      </c>
      <c r="M1544" s="80" t="s">
        <v>156</v>
      </c>
      <c r="N1544" s="40" t="str">
        <f>VLOOKUP(L1544,'Raw material list'!$A$3:$E$715,5,0)</f>
        <v xml:space="preserve">Gram </v>
      </c>
      <c r="O1544" s="80">
        <v>150</v>
      </c>
      <c r="P1544" s="299">
        <f t="shared" si="201"/>
        <v>170.00377786173021</v>
      </c>
      <c r="Q1544" s="105">
        <v>88.233333333333348</v>
      </c>
      <c r="R1544" s="80">
        <v>14</v>
      </c>
      <c r="S1544" s="80"/>
      <c r="T1544" s="105">
        <f t="shared" si="196"/>
        <v>10.714285714285714</v>
      </c>
      <c r="U1544" s="105">
        <f t="shared" si="202"/>
        <v>12.143126990123587</v>
      </c>
      <c r="V1544" s="104">
        <f>IFERROR(VLOOKUP(L1544,'Raw material list'!$A$2:$S$3102,6,0),0)</f>
        <v>4.5351473922902496E-3</v>
      </c>
      <c r="W1544" s="104">
        <f t="shared" si="203"/>
        <v>5.5070870703508336E-2</v>
      </c>
    </row>
    <row r="1545" spans="1:23" hidden="1" x14ac:dyDescent="0.55000000000000004">
      <c r="A1545" s="76" t="s">
        <v>1431</v>
      </c>
      <c r="B1545" s="58" t="s">
        <v>35</v>
      </c>
      <c r="C1545" s="58" t="s">
        <v>10</v>
      </c>
      <c r="D1545" s="76" t="s">
        <v>1630</v>
      </c>
      <c r="E1545" s="76" t="s">
        <v>1486</v>
      </c>
      <c r="F1545" s="76" t="s">
        <v>2079</v>
      </c>
      <c r="G1545" s="94" t="s">
        <v>1779</v>
      </c>
      <c r="H1545" s="107" t="s">
        <v>1774</v>
      </c>
      <c r="I1545" s="76"/>
      <c r="J1545" s="76"/>
      <c r="K1545" s="58" t="str">
        <f>IFERROR(VLOOKUP(L1545,'Raw material list'!$A$3:$C$715,3,0),"")</f>
        <v>DRS3-1813</v>
      </c>
      <c r="L1545" s="59" t="s">
        <v>69</v>
      </c>
      <c r="M1545" s="80" t="s">
        <v>206</v>
      </c>
      <c r="N1545" s="40" t="str">
        <f>VLOOKUP(L1545,'Raw material list'!$A$3:$E$715,5,0)</f>
        <v>Ml</v>
      </c>
      <c r="O1545" s="80">
        <v>25</v>
      </c>
      <c r="P1545" s="299">
        <f t="shared" si="201"/>
        <v>25</v>
      </c>
      <c r="Q1545" s="303">
        <v>100</v>
      </c>
      <c r="R1545" s="80">
        <v>14</v>
      </c>
      <c r="S1545" s="80"/>
      <c r="T1545" s="105">
        <f t="shared" si="196"/>
        <v>1.7857142857142858</v>
      </c>
      <c r="U1545" s="105">
        <f t="shared" si="202"/>
        <v>1.7857142857142858</v>
      </c>
      <c r="V1545" s="104">
        <f>IFERROR(VLOOKUP(L1545,'Raw material list'!$A$2:$S$3102,6,0),0)</f>
        <v>8.0555555555555554E-3</v>
      </c>
      <c r="W1545" s="104">
        <f t="shared" si="203"/>
        <v>1.4384920634920636E-2</v>
      </c>
    </row>
    <row r="1546" spans="1:23" hidden="1" x14ac:dyDescent="0.55000000000000004">
      <c r="A1546" s="76" t="str">
        <f t="shared" ref="A1546:A1554" si="204">A1545</f>
        <v>RCP-SMC-000102</v>
      </c>
      <c r="B1546" s="58" t="s">
        <v>35</v>
      </c>
      <c r="C1546" s="58" t="s">
        <v>10</v>
      </c>
      <c r="D1546" s="76" t="str">
        <f t="shared" ref="D1546:D1554" si="205">D1545</f>
        <v>lentil vegetable soup</v>
      </c>
      <c r="E1546" s="76" t="s">
        <v>1486</v>
      </c>
      <c r="F1546" s="76" t="s">
        <v>2079</v>
      </c>
      <c r="G1546" s="94" t="s">
        <v>1779</v>
      </c>
      <c r="H1546" s="107" t="s">
        <v>1774</v>
      </c>
      <c r="I1546" s="76"/>
      <c r="J1546" s="76"/>
      <c r="K1546" s="58" t="str">
        <f>IFERROR(VLOOKUP(L1546,'Raw material list'!$A$3:$C$715,3,0),"")</f>
        <v>PRD1-4265</v>
      </c>
      <c r="L1546" s="59" t="s">
        <v>38</v>
      </c>
      <c r="M1546" s="80" t="s">
        <v>156</v>
      </c>
      <c r="N1546" s="40" t="str">
        <f>VLOOKUP(L1546,'Raw material list'!$A$3:$E$715,5,0)</f>
        <v xml:space="preserve">Gram </v>
      </c>
      <c r="O1546" s="80">
        <v>100</v>
      </c>
      <c r="P1546" s="299">
        <f t="shared" si="201"/>
        <v>117.64705882352942</v>
      </c>
      <c r="Q1546" s="105">
        <v>85</v>
      </c>
      <c r="R1546" s="80">
        <v>14</v>
      </c>
      <c r="S1546" s="80"/>
      <c r="T1546" s="105">
        <f t="shared" si="196"/>
        <v>7.1428571428571432</v>
      </c>
      <c r="U1546" s="105">
        <f t="shared" si="202"/>
        <v>8.4033613445378155</v>
      </c>
      <c r="V1546" s="104">
        <f>IFERROR(VLOOKUP(L1546,'Raw material list'!$A$2:$S$3102,6,0),0)</f>
        <v>3.529411764705882E-3</v>
      </c>
      <c r="W1546" s="104">
        <f t="shared" si="203"/>
        <v>2.9658922392486405E-2</v>
      </c>
    </row>
    <row r="1547" spans="1:23" hidden="1" x14ac:dyDescent="0.55000000000000004">
      <c r="A1547" s="76" t="str">
        <f t="shared" si="204"/>
        <v>RCP-SMC-000102</v>
      </c>
      <c r="B1547" s="58" t="s">
        <v>35</v>
      </c>
      <c r="C1547" s="58" t="s">
        <v>10</v>
      </c>
      <c r="D1547" s="76" t="str">
        <f t="shared" si="205"/>
        <v>lentil vegetable soup</v>
      </c>
      <c r="E1547" s="76" t="s">
        <v>1486</v>
      </c>
      <c r="F1547" s="76" t="s">
        <v>2079</v>
      </c>
      <c r="G1547" s="94" t="s">
        <v>1779</v>
      </c>
      <c r="H1547" s="107" t="s">
        <v>1774</v>
      </c>
      <c r="I1547" s="76"/>
      <c r="J1547" s="76"/>
      <c r="K1547" s="58" t="str">
        <f>IFERROR(VLOOKUP(L1547,'Raw material list'!$A$3:$C$715,3,0),"")</f>
        <v>PRD1-4327</v>
      </c>
      <c r="L1547" s="59" t="s">
        <v>39</v>
      </c>
      <c r="M1547" s="80" t="s">
        <v>156</v>
      </c>
      <c r="N1547" s="40" t="str">
        <f>VLOOKUP(L1547,'Raw material list'!$A$3:$E$715,5,0)</f>
        <v xml:space="preserve">Gram </v>
      </c>
      <c r="O1547" s="80">
        <v>15</v>
      </c>
      <c r="P1547" s="299">
        <f t="shared" si="201"/>
        <v>18.072289156626507</v>
      </c>
      <c r="Q1547" s="105">
        <v>83</v>
      </c>
      <c r="R1547" s="80">
        <v>14</v>
      </c>
      <c r="S1547" s="80"/>
      <c r="T1547" s="105">
        <f t="shared" si="196"/>
        <v>1.0714285714285714</v>
      </c>
      <c r="U1547" s="105">
        <f t="shared" si="202"/>
        <v>1.2908777969018934</v>
      </c>
      <c r="V1547" s="104">
        <f>IFERROR(VLOOKUP(L1547,'Raw material list'!$A$2:$S$3102,6,0),0)</f>
        <v>1.2999999999999999E-2</v>
      </c>
      <c r="W1547" s="104">
        <f t="shared" si="203"/>
        <v>1.6781411359724614E-2</v>
      </c>
    </row>
    <row r="1548" spans="1:23" hidden="1" x14ac:dyDescent="0.55000000000000004">
      <c r="A1548" s="76" t="str">
        <f t="shared" si="204"/>
        <v>RCP-SMC-000102</v>
      </c>
      <c r="B1548" s="58" t="s">
        <v>35</v>
      </c>
      <c r="C1548" s="58" t="s">
        <v>10</v>
      </c>
      <c r="D1548" s="76" t="str">
        <f t="shared" si="205"/>
        <v>lentil vegetable soup</v>
      </c>
      <c r="E1548" s="76" t="s">
        <v>1486</v>
      </c>
      <c r="F1548" s="76" t="s">
        <v>2079</v>
      </c>
      <c r="G1548" s="94" t="s">
        <v>1779</v>
      </c>
      <c r="H1548" s="107" t="s">
        <v>1774</v>
      </c>
      <c r="I1548" s="76"/>
      <c r="J1548" s="76"/>
      <c r="K1548" s="58" t="str">
        <f>IFERROR(VLOOKUP(L1548,'Raw material list'!$A$3:$C$715,3,0),"")</f>
        <v>DRS4-4907</v>
      </c>
      <c r="L1548" s="59" t="s">
        <v>1631</v>
      </c>
      <c r="M1548" s="80" t="s">
        <v>156</v>
      </c>
      <c r="N1548" s="40" t="str">
        <f>VLOOKUP(L1548,'Raw material list'!$A$3:$E$715,5,0)</f>
        <v xml:space="preserve">Gram </v>
      </c>
      <c r="O1548" s="80">
        <v>350</v>
      </c>
      <c r="P1548" s="299">
        <f t="shared" si="201"/>
        <v>350</v>
      </c>
      <c r="Q1548" s="303">
        <v>100</v>
      </c>
      <c r="R1548" s="80">
        <v>14</v>
      </c>
      <c r="S1548" s="80"/>
      <c r="T1548" s="105">
        <f t="shared" si="196"/>
        <v>25</v>
      </c>
      <c r="U1548" s="105">
        <f t="shared" si="202"/>
        <v>25</v>
      </c>
      <c r="V1548" s="104">
        <f>IFERROR(VLOOKUP(L1548,'Raw material list'!$A$2:$S$3102,6,0),0)</f>
        <v>6.0000000000000001E-3</v>
      </c>
      <c r="W1548" s="104">
        <f t="shared" si="203"/>
        <v>0.15</v>
      </c>
    </row>
    <row r="1549" spans="1:23" hidden="1" x14ac:dyDescent="0.55000000000000004">
      <c r="A1549" s="76" t="str">
        <f t="shared" si="204"/>
        <v>RCP-SMC-000102</v>
      </c>
      <c r="B1549" s="58" t="s">
        <v>35</v>
      </c>
      <c r="C1549" s="58" t="s">
        <v>10</v>
      </c>
      <c r="D1549" s="76" t="str">
        <f t="shared" si="205"/>
        <v>lentil vegetable soup</v>
      </c>
      <c r="E1549" s="76" t="s">
        <v>1486</v>
      </c>
      <c r="F1549" s="76" t="s">
        <v>2079</v>
      </c>
      <c r="G1549" s="94" t="s">
        <v>1779</v>
      </c>
      <c r="H1549" s="107" t="s">
        <v>1774</v>
      </c>
      <c r="I1549" s="76"/>
      <c r="J1549" s="76"/>
      <c r="K1549" s="58" t="str">
        <f>IFERROR(VLOOKUP(L1549,'Raw material list'!$A$3:$C$715,3,0),"")</f>
        <v>PRD1-186</v>
      </c>
      <c r="L1549" s="59" t="s">
        <v>37</v>
      </c>
      <c r="M1549" s="80" t="s">
        <v>156</v>
      </c>
      <c r="N1549" s="40" t="str">
        <f>VLOOKUP(L1549,'Raw material list'!$A$3:$E$715,5,0)</f>
        <v xml:space="preserve">Gram </v>
      </c>
      <c r="O1549" s="80">
        <v>150</v>
      </c>
      <c r="P1549" s="299">
        <f t="shared" si="201"/>
        <v>183.67346938775509</v>
      </c>
      <c r="Q1549" s="105">
        <v>81.666666666666671</v>
      </c>
      <c r="R1549" s="80">
        <v>14</v>
      </c>
      <c r="S1549" s="80"/>
      <c r="T1549" s="105">
        <f t="shared" si="196"/>
        <v>10.714285714285714</v>
      </c>
      <c r="U1549" s="105">
        <f t="shared" si="202"/>
        <v>13.119533527696792</v>
      </c>
      <c r="V1549" s="104">
        <f>IFERROR(VLOOKUP(L1549,'Raw material list'!$A$2:$S$3102,6,0),0)</f>
        <v>5.8139534883720938E-3</v>
      </c>
      <c r="W1549" s="104">
        <f t="shared" si="203"/>
        <v>7.6276357719167409E-2</v>
      </c>
    </row>
    <row r="1550" spans="1:23" hidden="1" x14ac:dyDescent="0.55000000000000004">
      <c r="A1550" s="76" t="str">
        <f t="shared" si="204"/>
        <v>RCP-SMC-000102</v>
      </c>
      <c r="B1550" s="58" t="s">
        <v>35</v>
      </c>
      <c r="C1550" s="58" t="s">
        <v>10</v>
      </c>
      <c r="D1550" s="76" t="str">
        <f t="shared" si="205"/>
        <v>lentil vegetable soup</v>
      </c>
      <c r="E1550" s="76" t="s">
        <v>1486</v>
      </c>
      <c r="F1550" s="76" t="s">
        <v>2079</v>
      </c>
      <c r="G1550" s="94" t="s">
        <v>1779</v>
      </c>
      <c r="H1550" s="107" t="s">
        <v>1774</v>
      </c>
      <c r="I1550" s="76"/>
      <c r="J1550" s="76"/>
      <c r="K1550" s="58" t="str">
        <f>IFERROR(VLOOKUP(L1550,'Raw material list'!$A$3:$C$715,3,0),"")</f>
        <v>PRD1-230</v>
      </c>
      <c r="L1550" s="59" t="s">
        <v>70</v>
      </c>
      <c r="M1550" s="80" t="s">
        <v>156</v>
      </c>
      <c r="N1550" s="40" t="str">
        <f>VLOOKUP(L1550,'Raw material list'!$A$3:$E$715,5,0)</f>
        <v xml:space="preserve">Gram </v>
      </c>
      <c r="O1550" s="80">
        <v>250</v>
      </c>
      <c r="P1550" s="299">
        <f t="shared" si="201"/>
        <v>337.38191632928476</v>
      </c>
      <c r="Q1550" s="105">
        <v>74.099999999999994</v>
      </c>
      <c r="R1550" s="80">
        <v>14</v>
      </c>
      <c r="S1550" s="80"/>
      <c r="T1550" s="105">
        <f t="shared" si="196"/>
        <v>17.857142857142858</v>
      </c>
      <c r="U1550" s="105">
        <f t="shared" si="202"/>
        <v>24.098708309234627</v>
      </c>
      <c r="V1550" s="104">
        <f>IFERROR(VLOOKUP(L1550,'Raw material list'!$A$2:$S$3102,6,0),0)</f>
        <v>3.3738191632928472E-3</v>
      </c>
      <c r="W1550" s="104">
        <f t="shared" si="203"/>
        <v>8.1304683904300359E-2</v>
      </c>
    </row>
    <row r="1551" spans="1:23" hidden="1" x14ac:dyDescent="0.55000000000000004">
      <c r="A1551" s="76" t="str">
        <f t="shared" si="204"/>
        <v>RCP-SMC-000102</v>
      </c>
      <c r="B1551" s="58" t="s">
        <v>35</v>
      </c>
      <c r="C1551" s="58" t="s">
        <v>10</v>
      </c>
      <c r="D1551" s="76" t="str">
        <f t="shared" si="205"/>
        <v>lentil vegetable soup</v>
      </c>
      <c r="E1551" s="76" t="s">
        <v>1486</v>
      </c>
      <c r="F1551" s="76" t="s">
        <v>2079</v>
      </c>
      <c r="G1551" s="94" t="s">
        <v>1779</v>
      </c>
      <c r="H1551" s="107" t="s">
        <v>1774</v>
      </c>
      <c r="I1551" s="76"/>
      <c r="J1551" s="76"/>
      <c r="K1551" s="58" t="str">
        <f>IFERROR(VLOOKUP(L1551,'Raw material list'!$A$3:$C$715,3,0),"")</f>
        <v>DRS1-3880</v>
      </c>
      <c r="L1551" s="59" t="s">
        <v>1433</v>
      </c>
      <c r="M1551" s="80" t="s">
        <v>156</v>
      </c>
      <c r="N1551" s="40" t="str">
        <f>VLOOKUP(L1551,'Raw material list'!$A$3:$E$715,5,0)</f>
        <v xml:space="preserve">Gram </v>
      </c>
      <c r="O1551" s="80">
        <v>5</v>
      </c>
      <c r="P1551" s="299">
        <f t="shared" si="201"/>
        <v>5</v>
      </c>
      <c r="Q1551" s="303">
        <v>100</v>
      </c>
      <c r="R1551" s="80">
        <v>14</v>
      </c>
      <c r="S1551" s="80"/>
      <c r="T1551" s="105">
        <f t="shared" si="196"/>
        <v>0.35714285714285715</v>
      </c>
      <c r="U1551" s="105">
        <f t="shared" si="202"/>
        <v>0.35714285714285715</v>
      </c>
      <c r="V1551" s="104">
        <f>IFERROR(VLOOKUP(L1551,'Raw material list'!$A$2:$S$3102,6,0),0)</f>
        <v>5.0000000000000001E-4</v>
      </c>
      <c r="W1551" s="104">
        <f t="shared" si="203"/>
        <v>1.7857142857142857E-4</v>
      </c>
    </row>
    <row r="1552" spans="1:23" hidden="1" x14ac:dyDescent="0.55000000000000004">
      <c r="A1552" s="76" t="str">
        <f t="shared" si="204"/>
        <v>RCP-SMC-000102</v>
      </c>
      <c r="B1552" s="58" t="s">
        <v>35</v>
      </c>
      <c r="C1552" s="58" t="s">
        <v>10</v>
      </c>
      <c r="D1552" s="76" t="str">
        <f t="shared" si="205"/>
        <v>lentil vegetable soup</v>
      </c>
      <c r="E1552" s="76" t="s">
        <v>1486</v>
      </c>
      <c r="F1552" s="76" t="s">
        <v>2079</v>
      </c>
      <c r="G1552" s="94" t="s">
        <v>1779</v>
      </c>
      <c r="H1552" s="107" t="s">
        <v>1774</v>
      </c>
      <c r="I1552" s="76"/>
      <c r="J1552" s="76"/>
      <c r="K1552" s="58" t="str">
        <f>IFERROR(VLOOKUP(L1552,'Raw material list'!$A$3:$C$715,3,0),"")</f>
        <v>DRS6-537</v>
      </c>
      <c r="L1552" s="59" t="s">
        <v>46</v>
      </c>
      <c r="M1552" s="80" t="s">
        <v>156</v>
      </c>
      <c r="N1552" s="40" t="str">
        <f>VLOOKUP(L1552,'Raw material list'!$A$3:$E$715,5,0)</f>
        <v xml:space="preserve">Gram </v>
      </c>
      <c r="O1552" s="80">
        <v>1</v>
      </c>
      <c r="P1552" s="299">
        <f t="shared" si="201"/>
        <v>1</v>
      </c>
      <c r="Q1552" s="80">
        <v>100</v>
      </c>
      <c r="R1552" s="80">
        <v>14</v>
      </c>
      <c r="S1552" s="80"/>
      <c r="T1552" s="105">
        <f t="shared" si="196"/>
        <v>7.1428571428571425E-2</v>
      </c>
      <c r="U1552" s="105">
        <f t="shared" si="202"/>
        <v>7.1428571428571425E-2</v>
      </c>
      <c r="V1552" s="104">
        <f>IFERROR(VLOOKUP(L1552,'Raw material list'!$A$2:$S$3102,6,0),0)</f>
        <v>3.5000000000000003E-2</v>
      </c>
      <c r="W1552" s="104">
        <f t="shared" si="203"/>
        <v>2.5000000000000001E-3</v>
      </c>
    </row>
    <row r="1553" spans="1:23" hidden="1" x14ac:dyDescent="0.55000000000000004">
      <c r="A1553" s="76" t="str">
        <f t="shared" si="204"/>
        <v>RCP-SMC-000102</v>
      </c>
      <c r="B1553" s="58" t="s">
        <v>35</v>
      </c>
      <c r="C1553" s="58" t="s">
        <v>10</v>
      </c>
      <c r="D1553" s="76" t="str">
        <f t="shared" si="205"/>
        <v>lentil vegetable soup</v>
      </c>
      <c r="E1553" s="76" t="s">
        <v>1486</v>
      </c>
      <c r="F1553" s="76" t="s">
        <v>2079</v>
      </c>
      <c r="G1553" s="94" t="s">
        <v>1779</v>
      </c>
      <c r="H1553" s="107" t="s">
        <v>1774</v>
      </c>
      <c r="I1553" s="76"/>
      <c r="J1553" s="76"/>
      <c r="K1553" s="58" t="str">
        <f>IFERROR(VLOOKUP(L1553,'Raw material list'!$A$3:$C$715,3,0),"")</f>
        <v>TAP-00001</v>
      </c>
      <c r="L1553" s="59" t="s">
        <v>1405</v>
      </c>
      <c r="M1553" s="80" t="s">
        <v>206</v>
      </c>
      <c r="N1553" s="40" t="str">
        <f>VLOOKUP(L1553,'Raw material list'!$A$3:$E$715,5,0)</f>
        <v>Ml</v>
      </c>
      <c r="O1553" s="80">
        <v>2300</v>
      </c>
      <c r="P1553" s="299">
        <f t="shared" si="201"/>
        <v>2300</v>
      </c>
      <c r="Q1553" s="80">
        <v>100</v>
      </c>
      <c r="R1553" s="80">
        <v>14</v>
      </c>
      <c r="S1553" s="80"/>
      <c r="T1553" s="105">
        <f t="shared" si="196"/>
        <v>164.28571428571428</v>
      </c>
      <c r="U1553" s="105">
        <f t="shared" si="202"/>
        <v>164.28571428571428</v>
      </c>
      <c r="V1553" s="104">
        <f>IFERROR(VLOOKUP(L1553,'Raw material list'!$A$2:$S$3102,6,0),0)</f>
        <v>8.0000000000000007E-5</v>
      </c>
      <c r="W1553" s="104">
        <f t="shared" si="203"/>
        <v>1.3142857142857144E-2</v>
      </c>
    </row>
    <row r="1554" spans="1:23" hidden="1" x14ac:dyDescent="0.55000000000000004">
      <c r="A1554" s="76" t="str">
        <f t="shared" si="204"/>
        <v>RCP-SMC-000102</v>
      </c>
      <c r="B1554" s="58" t="s">
        <v>35</v>
      </c>
      <c r="C1554" s="58" t="s">
        <v>10</v>
      </c>
      <c r="D1554" s="76" t="str">
        <f t="shared" si="205"/>
        <v>lentil vegetable soup</v>
      </c>
      <c r="E1554" s="76" t="s">
        <v>1486</v>
      </c>
      <c r="F1554" s="76" t="s">
        <v>2079</v>
      </c>
      <c r="G1554" s="94" t="s">
        <v>1779</v>
      </c>
      <c r="H1554" s="107" t="s">
        <v>1774</v>
      </c>
      <c r="I1554" s="76"/>
      <c r="J1554" s="76"/>
      <c r="K1554" s="58" t="str">
        <f>IFERROR(VLOOKUP(L1554,'Raw material list'!$A$3:$C$715,3,0),"")</f>
        <v>DRS6-1674</v>
      </c>
      <c r="L1554" s="59" t="s">
        <v>73</v>
      </c>
      <c r="M1554" s="80" t="s">
        <v>156</v>
      </c>
      <c r="N1554" s="40" t="str">
        <f>VLOOKUP(L1554,'Raw material list'!$A$3:$E$715,5,0)</f>
        <v xml:space="preserve">Gram </v>
      </c>
      <c r="O1554" s="80">
        <v>2</v>
      </c>
      <c r="P1554" s="299">
        <f t="shared" si="201"/>
        <v>2</v>
      </c>
      <c r="Q1554" s="80">
        <v>100</v>
      </c>
      <c r="R1554" s="80">
        <v>14</v>
      </c>
      <c r="S1554" s="80"/>
      <c r="T1554" s="105">
        <f t="shared" si="196"/>
        <v>0.14285714285714285</v>
      </c>
      <c r="U1554" s="105">
        <f t="shared" si="202"/>
        <v>0.14285714285714285</v>
      </c>
      <c r="V1554" s="104">
        <f>IFERROR(VLOOKUP(L1554,'Raw material list'!$A$2:$S$3102,6,0),0)</f>
        <v>1.2500000000000001E-2</v>
      </c>
      <c r="W1554" s="104">
        <f t="shared" si="203"/>
        <v>1.7857142857142857E-3</v>
      </c>
    </row>
    <row r="1555" spans="1:23" hidden="1" x14ac:dyDescent="0.55000000000000004">
      <c r="A1555" s="76" t="s">
        <v>1647</v>
      </c>
      <c r="B1555" s="58" t="s">
        <v>35</v>
      </c>
      <c r="C1555" s="58" t="s">
        <v>10</v>
      </c>
      <c r="D1555" s="76" t="s">
        <v>1610</v>
      </c>
      <c r="E1555" s="76" t="s">
        <v>1486</v>
      </c>
      <c r="F1555" s="76" t="s">
        <v>2079</v>
      </c>
      <c r="G1555" s="94" t="s">
        <v>1779</v>
      </c>
      <c r="H1555" s="107" t="s">
        <v>1774</v>
      </c>
      <c r="I1555" s="76"/>
      <c r="J1555" s="76"/>
      <c r="K1555" s="58" t="str">
        <f>IFERROR(VLOOKUP(L1555,'Raw material list'!$A$3:$C$715,3,0),"")</f>
        <v>PRD1-223</v>
      </c>
      <c r="L1555" s="59" t="s">
        <v>71</v>
      </c>
      <c r="M1555" s="80" t="s">
        <v>156</v>
      </c>
      <c r="N1555" s="40" t="str">
        <f>VLOOKUP(L1555,'Raw material list'!$A$3:$E$715,5,0)</f>
        <v xml:space="preserve">Gram </v>
      </c>
      <c r="O1555" s="80">
        <v>200</v>
      </c>
      <c r="P1555" s="299">
        <f t="shared" si="201"/>
        <v>211.26760563380282</v>
      </c>
      <c r="Q1555" s="105">
        <v>94.666666666666671</v>
      </c>
      <c r="R1555" s="80">
        <v>14</v>
      </c>
      <c r="S1555" s="80"/>
      <c r="T1555" s="105">
        <f t="shared" si="196"/>
        <v>14.285714285714286</v>
      </c>
      <c r="U1555" s="105">
        <f t="shared" si="202"/>
        <v>15.090543259557345</v>
      </c>
      <c r="V1555" s="104">
        <f>IFERROR(VLOOKUP(L1555,'Raw material list'!$A$2:$S$3102,6,0),0)</f>
        <v>2.3231256599788808E-2</v>
      </c>
      <c r="W1555" s="104">
        <f t="shared" si="203"/>
        <v>0.35057228269299007</v>
      </c>
    </row>
    <row r="1556" spans="1:23" hidden="1" x14ac:dyDescent="0.55000000000000004">
      <c r="A1556" s="76" t="str">
        <f t="shared" ref="A1556:A1567" si="206">A1555</f>
        <v>RCP-SMC-000103</v>
      </c>
      <c r="B1556" s="58" t="s">
        <v>35</v>
      </c>
      <c r="C1556" s="58" t="s">
        <v>10</v>
      </c>
      <c r="D1556" s="76" t="str">
        <f t="shared" ref="D1556:D1567" si="207">D1555</f>
        <v>Creme of mushroom(soup)</v>
      </c>
      <c r="E1556" s="76" t="s">
        <v>1486</v>
      </c>
      <c r="F1556" s="76" t="s">
        <v>2079</v>
      </c>
      <c r="G1556" s="94" t="s">
        <v>1779</v>
      </c>
      <c r="H1556" s="107" t="s">
        <v>1774</v>
      </c>
      <c r="I1556" s="76"/>
      <c r="J1556" s="76"/>
      <c r="K1556" s="58" t="str">
        <f>IFERROR(VLOOKUP(L1556,'Raw material list'!$A$3:$C$715,3,0),"")</f>
        <v>DRY2-1008</v>
      </c>
      <c r="L1556" s="59" t="s">
        <v>57</v>
      </c>
      <c r="M1556" s="80" t="s">
        <v>156</v>
      </c>
      <c r="N1556" s="40" t="str">
        <f>VLOOKUP(L1556,'Raw material list'!$A$3:$E$715,5,0)</f>
        <v xml:space="preserve">Gram </v>
      </c>
      <c r="O1556" s="80">
        <v>30</v>
      </c>
      <c r="P1556" s="299">
        <f t="shared" si="201"/>
        <v>30</v>
      </c>
      <c r="Q1556" s="303">
        <v>100</v>
      </c>
      <c r="R1556" s="80">
        <v>14</v>
      </c>
      <c r="S1556" s="80"/>
      <c r="T1556" s="105">
        <f t="shared" si="196"/>
        <v>2.1428571428571428</v>
      </c>
      <c r="U1556" s="105">
        <f t="shared" si="202"/>
        <v>2.1428571428571428</v>
      </c>
      <c r="V1556" s="104">
        <f>IFERROR(VLOOKUP(L1556,'Raw material list'!$A$2:$S$3102,6,0),0)</f>
        <v>0.03</v>
      </c>
      <c r="W1556" s="104">
        <f t="shared" si="203"/>
        <v>6.4285714285714279E-2</v>
      </c>
    </row>
    <row r="1557" spans="1:23" hidden="1" x14ac:dyDescent="0.55000000000000004">
      <c r="A1557" s="76" t="str">
        <f t="shared" si="206"/>
        <v>RCP-SMC-000103</v>
      </c>
      <c r="B1557" s="58" t="s">
        <v>35</v>
      </c>
      <c r="C1557" s="58" t="s">
        <v>10</v>
      </c>
      <c r="D1557" s="76" t="str">
        <f t="shared" si="207"/>
        <v>Creme of mushroom(soup)</v>
      </c>
      <c r="E1557" s="76" t="s">
        <v>1486</v>
      </c>
      <c r="F1557" s="76" t="s">
        <v>2079</v>
      </c>
      <c r="G1557" s="94" t="s">
        <v>1779</v>
      </c>
      <c r="H1557" s="107" t="s">
        <v>1774</v>
      </c>
      <c r="I1557" s="76"/>
      <c r="J1557" s="76"/>
      <c r="K1557" s="58" t="str">
        <f>IFERROR(VLOOKUP(L1557,'Raw material list'!$A$3:$C$715,3,0),"")</f>
        <v>PRD1-4265</v>
      </c>
      <c r="L1557" s="59" t="s">
        <v>38</v>
      </c>
      <c r="M1557" s="80" t="s">
        <v>156</v>
      </c>
      <c r="N1557" s="40" t="str">
        <f>VLOOKUP(L1557,'Raw material list'!$A$3:$E$715,5,0)</f>
        <v xml:space="preserve">Gram </v>
      </c>
      <c r="O1557" s="80">
        <v>80</v>
      </c>
      <c r="P1557" s="299">
        <f t="shared" si="201"/>
        <v>94.117647058823522</v>
      </c>
      <c r="Q1557" s="105">
        <v>85</v>
      </c>
      <c r="R1557" s="80">
        <v>14</v>
      </c>
      <c r="S1557" s="80"/>
      <c r="T1557" s="105">
        <f t="shared" si="196"/>
        <v>5.7142857142857144</v>
      </c>
      <c r="U1557" s="105">
        <f t="shared" si="202"/>
        <v>6.7226890756302513</v>
      </c>
      <c r="V1557" s="104">
        <f>IFERROR(VLOOKUP(L1557,'Raw material list'!$A$2:$S$3102,6,0),0)</f>
        <v>3.529411764705882E-3</v>
      </c>
      <c r="W1557" s="104">
        <f t="shared" si="203"/>
        <v>2.3727137913989119E-2</v>
      </c>
    </row>
    <row r="1558" spans="1:23" hidden="1" x14ac:dyDescent="0.55000000000000004">
      <c r="A1558" s="76" t="str">
        <f t="shared" si="206"/>
        <v>RCP-SMC-000103</v>
      </c>
      <c r="B1558" s="58" t="s">
        <v>35</v>
      </c>
      <c r="C1558" s="58" t="s">
        <v>10</v>
      </c>
      <c r="D1558" s="76" t="str">
        <f t="shared" si="207"/>
        <v>Creme of mushroom(soup)</v>
      </c>
      <c r="E1558" s="76" t="s">
        <v>1486</v>
      </c>
      <c r="F1558" s="76" t="s">
        <v>2079</v>
      </c>
      <c r="G1558" s="94" t="s">
        <v>1779</v>
      </c>
      <c r="H1558" s="107" t="s">
        <v>1774</v>
      </c>
      <c r="I1558" s="76"/>
      <c r="J1558" s="76"/>
      <c r="K1558" s="58" t="str">
        <f>IFERROR(VLOOKUP(L1558,'Raw material list'!$A$3:$C$715,3,0),"")</f>
        <v>PRD1-4327</v>
      </c>
      <c r="L1558" s="59" t="s">
        <v>39</v>
      </c>
      <c r="M1558" s="80" t="s">
        <v>156</v>
      </c>
      <c r="N1558" s="40" t="str">
        <f>VLOOKUP(L1558,'Raw material list'!$A$3:$E$715,5,0)</f>
        <v xml:space="preserve">Gram </v>
      </c>
      <c r="O1558" s="80">
        <v>15</v>
      </c>
      <c r="P1558" s="299">
        <f t="shared" si="201"/>
        <v>18.072289156626507</v>
      </c>
      <c r="Q1558" s="105">
        <v>83</v>
      </c>
      <c r="R1558" s="80">
        <v>14</v>
      </c>
      <c r="S1558" s="80"/>
      <c r="T1558" s="105">
        <f t="shared" si="196"/>
        <v>1.0714285714285714</v>
      </c>
      <c r="U1558" s="105">
        <f t="shared" si="202"/>
        <v>1.2908777969018934</v>
      </c>
      <c r="V1558" s="104">
        <f>IFERROR(VLOOKUP(L1558,'Raw material list'!$A$2:$S$3102,6,0),0)</f>
        <v>1.2999999999999999E-2</v>
      </c>
      <c r="W1558" s="104">
        <f t="shared" si="203"/>
        <v>1.6781411359724614E-2</v>
      </c>
    </row>
    <row r="1559" spans="1:23" hidden="1" x14ac:dyDescent="0.55000000000000004">
      <c r="A1559" s="76" t="str">
        <f t="shared" si="206"/>
        <v>RCP-SMC-000103</v>
      </c>
      <c r="B1559" s="58" t="s">
        <v>35</v>
      </c>
      <c r="C1559" s="58" t="s">
        <v>10</v>
      </c>
      <c r="D1559" s="76" t="str">
        <f t="shared" si="207"/>
        <v>Creme of mushroom(soup)</v>
      </c>
      <c r="E1559" s="76" t="s">
        <v>1486</v>
      </c>
      <c r="F1559" s="76" t="s">
        <v>2079</v>
      </c>
      <c r="G1559" s="94" t="s">
        <v>1779</v>
      </c>
      <c r="H1559" s="107" t="s">
        <v>1774</v>
      </c>
      <c r="I1559" s="76"/>
      <c r="J1559" s="76"/>
      <c r="K1559" s="58" t="str">
        <f>IFERROR(VLOOKUP(L1559,'Raw material list'!$A$3:$C$715,3,0),"")</f>
        <v>DRS6-1570</v>
      </c>
      <c r="L1559" s="59" t="s">
        <v>51</v>
      </c>
      <c r="M1559" s="80" t="s">
        <v>156</v>
      </c>
      <c r="N1559" s="40" t="str">
        <f>VLOOKUP(L1559,'Raw material list'!$A$3:$E$715,5,0)</f>
        <v xml:space="preserve">Gram </v>
      </c>
      <c r="O1559" s="80">
        <v>1</v>
      </c>
      <c r="P1559" s="299">
        <f t="shared" si="201"/>
        <v>1</v>
      </c>
      <c r="Q1559" s="303">
        <v>100</v>
      </c>
      <c r="R1559" s="80">
        <v>14</v>
      </c>
      <c r="S1559" s="80"/>
      <c r="T1559" s="105">
        <f t="shared" si="196"/>
        <v>7.1428571428571425E-2</v>
      </c>
      <c r="U1559" s="105">
        <f t="shared" si="202"/>
        <v>7.1428571428571425E-2</v>
      </c>
      <c r="V1559" s="104">
        <f>IFERROR(VLOOKUP(L1559,'Raw material list'!$A$2:$S$3102,6,0),0)</f>
        <v>9.3526666666666654E-3</v>
      </c>
      <c r="W1559" s="104">
        <f t="shared" si="203"/>
        <v>6.6804761904761889E-4</v>
      </c>
    </row>
    <row r="1560" spans="1:23" hidden="1" x14ac:dyDescent="0.55000000000000004">
      <c r="A1560" s="76" t="str">
        <f t="shared" si="206"/>
        <v>RCP-SMC-000103</v>
      </c>
      <c r="B1560" s="58" t="s">
        <v>35</v>
      </c>
      <c r="C1560" s="58" t="s">
        <v>10</v>
      </c>
      <c r="D1560" s="76" t="str">
        <f t="shared" si="207"/>
        <v>Creme of mushroom(soup)</v>
      </c>
      <c r="E1560" s="76" t="s">
        <v>1486</v>
      </c>
      <c r="F1560" s="76" t="s">
        <v>2079</v>
      </c>
      <c r="G1560" s="94" t="s">
        <v>1779</v>
      </c>
      <c r="H1560" s="107" t="s">
        <v>1774</v>
      </c>
      <c r="I1560" s="76"/>
      <c r="J1560" s="76"/>
      <c r="K1560" s="58" t="str">
        <f>IFERROR(VLOOKUP(L1560,'Raw material list'!$A$3:$C$715,3,0),"")</f>
        <v>DRS5-40</v>
      </c>
      <c r="L1560" s="59" t="s">
        <v>58</v>
      </c>
      <c r="M1560" s="80" t="s">
        <v>156</v>
      </c>
      <c r="N1560" s="40" t="str">
        <f>VLOOKUP(L1560,'Raw material list'!$A$3:$E$715,5,0)</f>
        <v xml:space="preserve">Gram </v>
      </c>
      <c r="O1560" s="80">
        <v>25</v>
      </c>
      <c r="P1560" s="299">
        <f t="shared" si="201"/>
        <v>25</v>
      </c>
      <c r="Q1560" s="80">
        <v>100</v>
      </c>
      <c r="R1560" s="80">
        <v>14</v>
      </c>
      <c r="S1560" s="80"/>
      <c r="T1560" s="105">
        <f t="shared" si="196"/>
        <v>1.7857142857142858</v>
      </c>
      <c r="U1560" s="105">
        <f t="shared" si="202"/>
        <v>1.7857142857142858</v>
      </c>
      <c r="V1560" s="104">
        <f>IFERROR(VLOOKUP(L1560,'Raw material list'!$A$2:$S$3102,6,0),0)</f>
        <v>7.7777777777777773E-4</v>
      </c>
      <c r="W1560" s="104">
        <f t="shared" si="203"/>
        <v>1.3888888888888889E-3</v>
      </c>
    </row>
    <row r="1561" spans="1:23" hidden="1" x14ac:dyDescent="0.55000000000000004">
      <c r="A1561" s="76" t="str">
        <f t="shared" si="206"/>
        <v>RCP-SMC-000103</v>
      </c>
      <c r="B1561" s="58" t="s">
        <v>35</v>
      </c>
      <c r="C1561" s="58" t="s">
        <v>10</v>
      </c>
      <c r="D1561" s="76" t="str">
        <f t="shared" si="207"/>
        <v>Creme of mushroom(soup)</v>
      </c>
      <c r="E1561" s="76" t="s">
        <v>1486</v>
      </c>
      <c r="F1561" s="76" t="s">
        <v>2079</v>
      </c>
      <c r="G1561" s="94" t="s">
        <v>1779</v>
      </c>
      <c r="H1561" s="107" t="s">
        <v>1774</v>
      </c>
      <c r="I1561" s="76"/>
      <c r="J1561" s="76"/>
      <c r="K1561" s="58" t="str">
        <f>IFERROR(VLOOKUP(L1561,'Raw material list'!$A$3:$C$715,3,0),"")</f>
        <v>TAP-00001</v>
      </c>
      <c r="L1561" s="59" t="s">
        <v>1405</v>
      </c>
      <c r="M1561" s="80" t="s">
        <v>206</v>
      </c>
      <c r="N1561" s="40" t="str">
        <f>VLOOKUP(L1561,'Raw material list'!$A$3:$E$715,5,0)</f>
        <v>Ml</v>
      </c>
      <c r="O1561" s="80">
        <v>2300</v>
      </c>
      <c r="P1561" s="299">
        <f t="shared" si="201"/>
        <v>2300</v>
      </c>
      <c r="Q1561" s="80">
        <v>100</v>
      </c>
      <c r="R1561" s="80">
        <v>14</v>
      </c>
      <c r="S1561" s="80"/>
      <c r="T1561" s="105">
        <f t="shared" si="196"/>
        <v>164.28571428571428</v>
      </c>
      <c r="U1561" s="105">
        <f t="shared" si="202"/>
        <v>164.28571428571428</v>
      </c>
      <c r="V1561" s="104">
        <f>IFERROR(VLOOKUP(L1561,'Raw material list'!$A$2:$S$3102,6,0),0)</f>
        <v>8.0000000000000007E-5</v>
      </c>
      <c r="W1561" s="104">
        <f t="shared" si="203"/>
        <v>1.3142857142857144E-2</v>
      </c>
    </row>
    <row r="1562" spans="1:23" hidden="1" x14ac:dyDescent="0.55000000000000004">
      <c r="A1562" s="76" t="str">
        <f t="shared" si="206"/>
        <v>RCP-SMC-000103</v>
      </c>
      <c r="B1562" s="58" t="s">
        <v>35</v>
      </c>
      <c r="C1562" s="58" t="s">
        <v>10</v>
      </c>
      <c r="D1562" s="76" t="str">
        <f t="shared" si="207"/>
        <v>Creme of mushroom(soup)</v>
      </c>
      <c r="E1562" s="76" t="s">
        <v>1486</v>
      </c>
      <c r="F1562" s="76" t="s">
        <v>2079</v>
      </c>
      <c r="G1562" s="94" t="s">
        <v>1779</v>
      </c>
      <c r="H1562" s="107" t="s">
        <v>1774</v>
      </c>
      <c r="I1562" s="76"/>
      <c r="J1562" s="76"/>
      <c r="K1562" s="58" t="str">
        <f>IFERROR(VLOOKUP(L1562,'Raw material list'!$A$3:$C$715,3,0),"")</f>
        <v>DRS1-456</v>
      </c>
      <c r="L1562" s="59" t="s">
        <v>232</v>
      </c>
      <c r="M1562" s="80" t="s">
        <v>156</v>
      </c>
      <c r="N1562" s="40" t="str">
        <f>VLOOKUP(L1562,'Raw material list'!$A$3:$E$715,5,0)</f>
        <v xml:space="preserve">Gram </v>
      </c>
      <c r="O1562" s="80">
        <v>400</v>
      </c>
      <c r="P1562" s="299">
        <f t="shared" si="201"/>
        <v>400</v>
      </c>
      <c r="Q1562" s="80">
        <v>100</v>
      </c>
      <c r="R1562" s="80">
        <v>14</v>
      </c>
      <c r="S1562" s="80"/>
      <c r="T1562" s="105">
        <f t="shared" si="196"/>
        <v>28.571428571428573</v>
      </c>
      <c r="U1562" s="105">
        <f t="shared" si="202"/>
        <v>28.571428571428573</v>
      </c>
      <c r="V1562" s="104">
        <f>IFERROR(VLOOKUP(L1562,'Raw material list'!$A$2:$S$3102,6,0),0)</f>
        <v>1.4999999999999999E-2</v>
      </c>
      <c r="W1562" s="104">
        <f t="shared" si="203"/>
        <v>0.4285714285714286</v>
      </c>
    </row>
    <row r="1563" spans="1:23" hidden="1" x14ac:dyDescent="0.55000000000000004">
      <c r="A1563" s="76" t="str">
        <f t="shared" si="206"/>
        <v>RCP-SMC-000103</v>
      </c>
      <c r="B1563" s="58" t="s">
        <v>35</v>
      </c>
      <c r="C1563" s="58" t="s">
        <v>10</v>
      </c>
      <c r="D1563" s="76" t="str">
        <f t="shared" si="207"/>
        <v>Creme of mushroom(soup)</v>
      </c>
      <c r="E1563" s="76" t="s">
        <v>1486</v>
      </c>
      <c r="F1563" s="76" t="s">
        <v>2079</v>
      </c>
      <c r="G1563" s="94" t="s">
        <v>1779</v>
      </c>
      <c r="H1563" s="107" t="s">
        <v>1774</v>
      </c>
      <c r="I1563" s="76"/>
      <c r="J1563" s="76"/>
      <c r="K1563" s="58" t="str">
        <f>IFERROR(VLOOKUP(L1563,'Raw material list'!$A$3:$C$715,3,0),"")</f>
        <v>DRS1-3811</v>
      </c>
      <c r="L1563" s="59" t="s">
        <v>40</v>
      </c>
      <c r="M1563" s="80" t="s">
        <v>156</v>
      </c>
      <c r="N1563" s="40" t="str">
        <f>VLOOKUP(L1563,'Raw material list'!$A$3:$E$715,5,0)</f>
        <v xml:space="preserve">Gram </v>
      </c>
      <c r="O1563" s="80">
        <v>10</v>
      </c>
      <c r="P1563" s="299">
        <f t="shared" si="201"/>
        <v>10</v>
      </c>
      <c r="Q1563" s="80">
        <v>100</v>
      </c>
      <c r="R1563" s="80">
        <v>14</v>
      </c>
      <c r="S1563" s="80"/>
      <c r="T1563" s="105">
        <f t="shared" si="196"/>
        <v>0.7142857142857143</v>
      </c>
      <c r="U1563" s="105">
        <f t="shared" si="202"/>
        <v>0.7142857142857143</v>
      </c>
      <c r="V1563" s="104">
        <f>IFERROR(VLOOKUP(L1563,'Raw material list'!$A$2:$S$3102,6,0),0)</f>
        <v>2.8475E-2</v>
      </c>
      <c r="W1563" s="104">
        <f t="shared" si="203"/>
        <v>2.0339285714285716E-2</v>
      </c>
    </row>
    <row r="1564" spans="1:23" hidden="1" x14ac:dyDescent="0.55000000000000004">
      <c r="A1564" s="76" t="str">
        <f t="shared" si="206"/>
        <v>RCP-SMC-000103</v>
      </c>
      <c r="B1564" s="58" t="s">
        <v>35</v>
      </c>
      <c r="C1564" s="58" t="s">
        <v>10</v>
      </c>
      <c r="D1564" s="76" t="str">
        <f t="shared" si="207"/>
        <v>Creme of mushroom(soup)</v>
      </c>
      <c r="E1564" s="76" t="s">
        <v>1486</v>
      </c>
      <c r="F1564" s="76" t="s">
        <v>2079</v>
      </c>
      <c r="G1564" s="94" t="s">
        <v>1779</v>
      </c>
      <c r="H1564" s="107" t="s">
        <v>1774</v>
      </c>
      <c r="I1564" s="76"/>
      <c r="J1564" s="76"/>
      <c r="K1564" s="58" t="str">
        <f>IFERROR(VLOOKUP(L1564,'Raw material list'!$A$3:$C$715,3,0),"")</f>
        <v>PRD3-1842</v>
      </c>
      <c r="L1564" s="59" t="s">
        <v>959</v>
      </c>
      <c r="M1564" s="80" t="s">
        <v>156</v>
      </c>
      <c r="N1564" s="40" t="str">
        <f>VLOOKUP(L1564,'Raw material list'!$A$3:$E$715,5,0)</f>
        <v xml:space="preserve">Gram </v>
      </c>
      <c r="O1564" s="80">
        <v>5</v>
      </c>
      <c r="P1564" s="299">
        <f t="shared" si="201"/>
        <v>5</v>
      </c>
      <c r="Q1564" s="80">
        <v>100</v>
      </c>
      <c r="R1564" s="80">
        <v>14</v>
      </c>
      <c r="S1564" s="80"/>
      <c r="T1564" s="105">
        <f t="shared" si="196"/>
        <v>0.35714285714285715</v>
      </c>
      <c r="U1564" s="105">
        <f t="shared" si="202"/>
        <v>0.35714285714285715</v>
      </c>
      <c r="V1564" s="104">
        <f>IFERROR(VLOOKUP(L1564,'Raw material list'!$A$2:$S$3102,6,0),0)</f>
        <v>0.3</v>
      </c>
      <c r="W1564" s="104">
        <f t="shared" si="203"/>
        <v>0.10714285714285714</v>
      </c>
    </row>
    <row r="1565" spans="1:23" hidden="1" x14ac:dyDescent="0.55000000000000004">
      <c r="A1565" s="76" t="str">
        <f t="shared" si="206"/>
        <v>RCP-SMC-000103</v>
      </c>
      <c r="B1565" s="58" t="s">
        <v>35</v>
      </c>
      <c r="C1565" s="58" t="s">
        <v>10</v>
      </c>
      <c r="D1565" s="76" t="str">
        <f t="shared" si="207"/>
        <v>Creme of mushroom(soup)</v>
      </c>
      <c r="E1565" s="76" t="s">
        <v>1486</v>
      </c>
      <c r="F1565" s="76" t="s">
        <v>2079</v>
      </c>
      <c r="G1565" s="94" t="s">
        <v>1779</v>
      </c>
      <c r="H1565" s="107" t="s">
        <v>1774</v>
      </c>
      <c r="I1565" s="76"/>
      <c r="J1565" s="76"/>
      <c r="K1565" s="58" t="str">
        <f>IFERROR(VLOOKUP(L1565,'Raw material list'!$A$3:$C$715,3,0),"")</f>
        <v>DRY2-1858</v>
      </c>
      <c r="L1565" s="59" t="s">
        <v>60</v>
      </c>
      <c r="M1565" s="80" t="s">
        <v>206</v>
      </c>
      <c r="N1565" s="40" t="str">
        <f>VLOOKUP(L1565,'Raw material list'!$A$3:$E$715,5,0)</f>
        <v>Ml</v>
      </c>
      <c r="O1565" s="80">
        <v>200</v>
      </c>
      <c r="P1565" s="299">
        <f t="shared" si="201"/>
        <v>200</v>
      </c>
      <c r="Q1565" s="80">
        <v>100</v>
      </c>
      <c r="R1565" s="80">
        <v>14</v>
      </c>
      <c r="S1565" s="80"/>
      <c r="T1565" s="105">
        <f t="shared" si="196"/>
        <v>14.285714285714286</v>
      </c>
      <c r="U1565" s="105">
        <f t="shared" si="202"/>
        <v>14.285714285714286</v>
      </c>
      <c r="V1565" s="104">
        <f>IFERROR(VLOOKUP(L1565,'Raw material list'!$A$2:$S$3102,6,0),0)</f>
        <v>9.8800000000000016E-3</v>
      </c>
      <c r="W1565" s="104">
        <f t="shared" si="203"/>
        <v>0.14114285714285718</v>
      </c>
    </row>
    <row r="1566" spans="1:23" hidden="1" x14ac:dyDescent="0.55000000000000004">
      <c r="A1566" s="76" t="str">
        <f t="shared" si="206"/>
        <v>RCP-SMC-000103</v>
      </c>
      <c r="B1566" s="58" t="s">
        <v>35</v>
      </c>
      <c r="C1566" s="58" t="s">
        <v>10</v>
      </c>
      <c r="D1566" s="76" t="str">
        <f t="shared" si="207"/>
        <v>Creme of mushroom(soup)</v>
      </c>
      <c r="E1566" s="76" t="s">
        <v>1486</v>
      </c>
      <c r="F1566" s="76" t="s">
        <v>2079</v>
      </c>
      <c r="G1566" s="94" t="s">
        <v>1779</v>
      </c>
      <c r="H1566" s="107" t="s">
        <v>1774</v>
      </c>
      <c r="I1566" s="76"/>
      <c r="J1566" s="76"/>
      <c r="K1566" s="58" t="str">
        <f>IFERROR(VLOOKUP(L1566,'Raw material list'!$A$3:$C$715,3,0),"")</f>
        <v>DRS1-3880</v>
      </c>
      <c r="L1566" s="59" t="s">
        <v>1433</v>
      </c>
      <c r="M1566" s="80" t="s">
        <v>156</v>
      </c>
      <c r="N1566" s="40" t="str">
        <f>VLOOKUP(L1566,'Raw material list'!$A$3:$E$715,5,0)</f>
        <v xml:space="preserve">Gram </v>
      </c>
      <c r="O1566" s="80">
        <v>10</v>
      </c>
      <c r="P1566" s="299">
        <f t="shared" si="201"/>
        <v>10</v>
      </c>
      <c r="Q1566" s="80">
        <v>100</v>
      </c>
      <c r="R1566" s="80">
        <v>14</v>
      </c>
      <c r="S1566" s="80"/>
      <c r="T1566" s="105">
        <f t="shared" si="196"/>
        <v>0.7142857142857143</v>
      </c>
      <c r="U1566" s="105">
        <f t="shared" si="202"/>
        <v>0.7142857142857143</v>
      </c>
      <c r="V1566" s="104">
        <f>IFERROR(VLOOKUP(L1566,'Raw material list'!$A$2:$S$3102,6,0),0)</f>
        <v>5.0000000000000001E-4</v>
      </c>
      <c r="W1566" s="104">
        <f t="shared" si="203"/>
        <v>3.5714285714285714E-4</v>
      </c>
    </row>
    <row r="1567" spans="1:23" hidden="1" x14ac:dyDescent="0.55000000000000004">
      <c r="A1567" s="76" t="str">
        <f t="shared" si="206"/>
        <v>RCP-SMC-000103</v>
      </c>
      <c r="B1567" s="58" t="s">
        <v>35</v>
      </c>
      <c r="C1567" s="58" t="s">
        <v>10</v>
      </c>
      <c r="D1567" s="76" t="str">
        <f t="shared" si="207"/>
        <v>Creme of mushroom(soup)</v>
      </c>
      <c r="E1567" s="76" t="s">
        <v>1486</v>
      </c>
      <c r="F1567" s="76" t="s">
        <v>2079</v>
      </c>
      <c r="G1567" s="94" t="s">
        <v>1779</v>
      </c>
      <c r="H1567" s="107" t="s">
        <v>1774</v>
      </c>
      <c r="I1567" s="76"/>
      <c r="J1567" s="76"/>
      <c r="K1567" s="58" t="str">
        <f>IFERROR(VLOOKUP(L1567,'Raw material list'!$A$3:$C$715,3,0),"")</f>
        <v>DRS1-3357</v>
      </c>
      <c r="L1567" s="59" t="s">
        <v>316</v>
      </c>
      <c r="M1567" s="80" t="s">
        <v>156</v>
      </c>
      <c r="N1567" s="40" t="str">
        <f>VLOOKUP(L1567,'Raw material list'!$A$3:$E$715,5,0)</f>
        <v xml:space="preserve">Gram </v>
      </c>
      <c r="O1567" s="80">
        <v>10</v>
      </c>
      <c r="P1567" s="299">
        <f t="shared" si="201"/>
        <v>10</v>
      </c>
      <c r="Q1567" s="80">
        <v>100</v>
      </c>
      <c r="R1567" s="80">
        <v>14</v>
      </c>
      <c r="S1567" s="80"/>
      <c r="T1567" s="105">
        <f t="shared" si="196"/>
        <v>0.7142857142857143</v>
      </c>
      <c r="U1567" s="105">
        <f t="shared" si="202"/>
        <v>0.7142857142857143</v>
      </c>
      <c r="V1567" s="104">
        <f>IFERROR(VLOOKUP(L1567,'Raw material list'!$A$2:$S$3102,6,0),0)</f>
        <v>6.8440000000000001E-2</v>
      </c>
      <c r="W1567" s="104">
        <f t="shared" si="203"/>
        <v>4.8885714285714289E-2</v>
      </c>
    </row>
    <row r="1568" spans="1:23" hidden="1" x14ac:dyDescent="0.55000000000000004">
      <c r="A1568" s="76" t="s">
        <v>1648</v>
      </c>
      <c r="B1568" s="58" t="s">
        <v>35</v>
      </c>
      <c r="C1568" s="58" t="s">
        <v>10</v>
      </c>
      <c r="D1568" s="76" t="s">
        <v>1632</v>
      </c>
      <c r="E1568" s="76" t="s">
        <v>1486</v>
      </c>
      <c r="F1568" s="76" t="s">
        <v>2079</v>
      </c>
      <c r="G1568" s="94" t="s">
        <v>1779</v>
      </c>
      <c r="H1568" s="107" t="s">
        <v>1774</v>
      </c>
      <c r="I1568" s="76"/>
      <c r="J1568" s="76"/>
      <c r="K1568" s="58" t="str">
        <f>IFERROR(VLOOKUP(L1568,'Raw material list'!$A$3:$C$715,3,0),"")</f>
        <v>PRD1-223</v>
      </c>
      <c r="L1568" s="59" t="s">
        <v>71</v>
      </c>
      <c r="M1568" s="80" t="s">
        <v>156</v>
      </c>
      <c r="N1568" s="40" t="str">
        <f>VLOOKUP(L1568,'Raw material list'!$A$3:$E$715,5,0)</f>
        <v xml:space="preserve">Gram </v>
      </c>
      <c r="O1568" s="80">
        <v>200</v>
      </c>
      <c r="P1568" s="299">
        <f t="shared" si="201"/>
        <v>211.26760563380282</v>
      </c>
      <c r="Q1568" s="105">
        <v>94.666666666666671</v>
      </c>
      <c r="R1568" s="80">
        <v>14</v>
      </c>
      <c r="S1568" s="80" t="s">
        <v>1616</v>
      </c>
      <c r="T1568" s="105">
        <f t="shared" si="196"/>
        <v>14.285714285714286</v>
      </c>
      <c r="U1568" s="105">
        <f t="shared" si="202"/>
        <v>15.090543259557345</v>
      </c>
      <c r="V1568" s="104">
        <f>IFERROR(VLOOKUP(L1568,'Raw material list'!$A$2:$S$3102,6,0),0)</f>
        <v>2.3231256599788808E-2</v>
      </c>
      <c r="W1568" s="104">
        <f t="shared" si="203"/>
        <v>0.35057228269299007</v>
      </c>
    </row>
    <row r="1569" spans="1:23" hidden="1" x14ac:dyDescent="0.55000000000000004">
      <c r="A1569" s="76" t="str">
        <f t="shared" ref="A1569:A1580" si="208">A1568</f>
        <v>RCP-SMC-000104</v>
      </c>
      <c r="B1569" s="58" t="s">
        <v>35</v>
      </c>
      <c r="C1569" s="58" t="s">
        <v>10</v>
      </c>
      <c r="D1569" s="76" t="str">
        <f t="shared" ref="D1569:D1580" si="209">D1568</f>
        <v>Strained Crème Mushroom Soup</v>
      </c>
      <c r="E1569" s="76" t="s">
        <v>1486</v>
      </c>
      <c r="F1569" s="76" t="s">
        <v>2079</v>
      </c>
      <c r="G1569" s="94" t="s">
        <v>1779</v>
      </c>
      <c r="H1569" s="107" t="s">
        <v>1774</v>
      </c>
      <c r="I1569" s="76"/>
      <c r="J1569" s="76"/>
      <c r="K1569" s="58" t="str">
        <f>IFERROR(VLOOKUP(L1569,'Raw material list'!$A$3:$C$715,3,0),"")</f>
        <v>DRY2-1008</v>
      </c>
      <c r="L1569" s="59" t="s">
        <v>57</v>
      </c>
      <c r="M1569" s="80" t="s">
        <v>156</v>
      </c>
      <c r="N1569" s="40" t="str">
        <f>VLOOKUP(L1569,'Raw material list'!$A$3:$E$715,5,0)</f>
        <v xml:space="preserve">Gram </v>
      </c>
      <c r="O1569" s="80">
        <v>30</v>
      </c>
      <c r="P1569" s="299">
        <f t="shared" si="201"/>
        <v>30</v>
      </c>
      <c r="Q1569" s="303">
        <v>100</v>
      </c>
      <c r="R1569" s="80">
        <v>14</v>
      </c>
      <c r="S1569" s="80"/>
      <c r="T1569" s="105">
        <f t="shared" si="196"/>
        <v>2.1428571428571428</v>
      </c>
      <c r="U1569" s="105">
        <f t="shared" si="202"/>
        <v>2.1428571428571428</v>
      </c>
      <c r="V1569" s="104">
        <f>IFERROR(VLOOKUP(L1569,'Raw material list'!$A$2:$S$3102,6,0),0)</f>
        <v>0.03</v>
      </c>
      <c r="W1569" s="104">
        <f t="shared" si="203"/>
        <v>6.4285714285714279E-2</v>
      </c>
    </row>
    <row r="1570" spans="1:23" hidden="1" x14ac:dyDescent="0.55000000000000004">
      <c r="A1570" s="76" t="str">
        <f t="shared" si="208"/>
        <v>RCP-SMC-000104</v>
      </c>
      <c r="B1570" s="58" t="s">
        <v>35</v>
      </c>
      <c r="C1570" s="58" t="s">
        <v>10</v>
      </c>
      <c r="D1570" s="76" t="str">
        <f t="shared" si="209"/>
        <v>Strained Crème Mushroom Soup</v>
      </c>
      <c r="E1570" s="76" t="s">
        <v>1486</v>
      </c>
      <c r="F1570" s="76" t="s">
        <v>2079</v>
      </c>
      <c r="G1570" s="94" t="s">
        <v>1779</v>
      </c>
      <c r="H1570" s="107" t="s">
        <v>1774</v>
      </c>
      <c r="I1570" s="76"/>
      <c r="J1570" s="76"/>
      <c r="K1570" s="58" t="str">
        <f>IFERROR(VLOOKUP(L1570,'Raw material list'!$A$3:$C$715,3,0),"")</f>
        <v>PRD1-4265</v>
      </c>
      <c r="L1570" s="59" t="s">
        <v>38</v>
      </c>
      <c r="M1570" s="80" t="s">
        <v>156</v>
      </c>
      <c r="N1570" s="40" t="str">
        <f>VLOOKUP(L1570,'Raw material list'!$A$3:$E$715,5,0)</f>
        <v xml:space="preserve">Gram </v>
      </c>
      <c r="O1570" s="80">
        <v>80</v>
      </c>
      <c r="P1570" s="299">
        <f t="shared" si="201"/>
        <v>94.117647058823522</v>
      </c>
      <c r="Q1570" s="105">
        <v>85</v>
      </c>
      <c r="R1570" s="80">
        <v>14</v>
      </c>
      <c r="S1570" s="80"/>
      <c r="T1570" s="105">
        <f t="shared" si="196"/>
        <v>5.7142857142857144</v>
      </c>
      <c r="U1570" s="105">
        <f t="shared" si="202"/>
        <v>6.7226890756302513</v>
      </c>
      <c r="V1570" s="104">
        <f>IFERROR(VLOOKUP(L1570,'Raw material list'!$A$2:$S$3102,6,0),0)</f>
        <v>3.529411764705882E-3</v>
      </c>
      <c r="W1570" s="104">
        <f t="shared" si="203"/>
        <v>2.3727137913989119E-2</v>
      </c>
    </row>
    <row r="1571" spans="1:23" hidden="1" x14ac:dyDescent="0.55000000000000004">
      <c r="A1571" s="76" t="str">
        <f t="shared" si="208"/>
        <v>RCP-SMC-000104</v>
      </c>
      <c r="B1571" s="58" t="s">
        <v>35</v>
      </c>
      <c r="C1571" s="58" t="s">
        <v>10</v>
      </c>
      <c r="D1571" s="76" t="str">
        <f t="shared" si="209"/>
        <v>Strained Crème Mushroom Soup</v>
      </c>
      <c r="E1571" s="76" t="s">
        <v>1486</v>
      </c>
      <c r="F1571" s="76" t="s">
        <v>2079</v>
      </c>
      <c r="G1571" s="94" t="s">
        <v>1779</v>
      </c>
      <c r="H1571" s="107" t="s">
        <v>1774</v>
      </c>
      <c r="I1571" s="76"/>
      <c r="J1571" s="76"/>
      <c r="K1571" s="58" t="str">
        <f>IFERROR(VLOOKUP(L1571,'Raw material list'!$A$3:$C$715,3,0),"")</f>
        <v>PRD1-4327</v>
      </c>
      <c r="L1571" s="59" t="s">
        <v>39</v>
      </c>
      <c r="M1571" s="80" t="s">
        <v>156</v>
      </c>
      <c r="N1571" s="40" t="str">
        <f>VLOOKUP(L1571,'Raw material list'!$A$3:$E$715,5,0)</f>
        <v xml:space="preserve">Gram </v>
      </c>
      <c r="O1571" s="80">
        <v>15</v>
      </c>
      <c r="P1571" s="299">
        <f t="shared" si="201"/>
        <v>18.072289156626507</v>
      </c>
      <c r="Q1571" s="105">
        <v>83</v>
      </c>
      <c r="R1571" s="80">
        <v>14</v>
      </c>
      <c r="S1571" s="80"/>
      <c r="T1571" s="105">
        <f t="shared" si="196"/>
        <v>1.0714285714285714</v>
      </c>
      <c r="U1571" s="105">
        <f t="shared" si="202"/>
        <v>1.2908777969018934</v>
      </c>
      <c r="V1571" s="104">
        <f>IFERROR(VLOOKUP(L1571,'Raw material list'!$A$2:$S$3102,6,0),0)</f>
        <v>1.2999999999999999E-2</v>
      </c>
      <c r="W1571" s="104">
        <f t="shared" si="203"/>
        <v>1.6781411359724614E-2</v>
      </c>
    </row>
    <row r="1572" spans="1:23" hidden="1" x14ac:dyDescent="0.55000000000000004">
      <c r="A1572" s="76" t="str">
        <f t="shared" si="208"/>
        <v>RCP-SMC-000104</v>
      </c>
      <c r="B1572" s="58" t="s">
        <v>35</v>
      </c>
      <c r="C1572" s="58" t="s">
        <v>10</v>
      </c>
      <c r="D1572" s="76" t="str">
        <f t="shared" si="209"/>
        <v>Strained Crème Mushroom Soup</v>
      </c>
      <c r="E1572" s="76" t="s">
        <v>1486</v>
      </c>
      <c r="F1572" s="76" t="s">
        <v>2079</v>
      </c>
      <c r="G1572" s="94" t="s">
        <v>1779</v>
      </c>
      <c r="H1572" s="107" t="s">
        <v>1774</v>
      </c>
      <c r="I1572" s="76"/>
      <c r="J1572" s="76"/>
      <c r="K1572" s="58" t="str">
        <f>IFERROR(VLOOKUP(L1572,'Raw material list'!$A$3:$C$715,3,0),"")</f>
        <v>DRS6-1570</v>
      </c>
      <c r="L1572" s="59" t="s">
        <v>51</v>
      </c>
      <c r="M1572" s="80" t="s">
        <v>156</v>
      </c>
      <c r="N1572" s="40" t="str">
        <f>VLOOKUP(L1572,'Raw material list'!$A$3:$E$715,5,0)</f>
        <v xml:space="preserve">Gram </v>
      </c>
      <c r="O1572" s="80">
        <v>1</v>
      </c>
      <c r="P1572" s="299">
        <f t="shared" si="201"/>
        <v>1</v>
      </c>
      <c r="Q1572" s="303">
        <v>100</v>
      </c>
      <c r="R1572" s="80">
        <v>14</v>
      </c>
      <c r="S1572" s="80"/>
      <c r="T1572" s="105">
        <f t="shared" si="196"/>
        <v>7.1428571428571425E-2</v>
      </c>
      <c r="U1572" s="105">
        <f t="shared" si="202"/>
        <v>7.1428571428571425E-2</v>
      </c>
      <c r="V1572" s="104">
        <f>IFERROR(VLOOKUP(L1572,'Raw material list'!$A$2:$S$3102,6,0),0)</f>
        <v>9.3526666666666654E-3</v>
      </c>
      <c r="W1572" s="104">
        <f t="shared" si="203"/>
        <v>6.6804761904761889E-4</v>
      </c>
    </row>
    <row r="1573" spans="1:23" hidden="1" x14ac:dyDescent="0.55000000000000004">
      <c r="A1573" s="76" t="str">
        <f t="shared" si="208"/>
        <v>RCP-SMC-000104</v>
      </c>
      <c r="B1573" s="58" t="s">
        <v>35</v>
      </c>
      <c r="C1573" s="58" t="s">
        <v>10</v>
      </c>
      <c r="D1573" s="76" t="str">
        <f t="shared" si="209"/>
        <v>Strained Crème Mushroom Soup</v>
      </c>
      <c r="E1573" s="76" t="s">
        <v>1486</v>
      </c>
      <c r="F1573" s="76" t="s">
        <v>2079</v>
      </c>
      <c r="G1573" s="94" t="s">
        <v>1779</v>
      </c>
      <c r="H1573" s="107" t="s">
        <v>1774</v>
      </c>
      <c r="I1573" s="76"/>
      <c r="J1573" s="76"/>
      <c r="K1573" s="58" t="str">
        <f>IFERROR(VLOOKUP(L1573,'Raw material list'!$A$3:$C$715,3,0),"")</f>
        <v>DRS5-980</v>
      </c>
      <c r="L1573" s="59" t="s">
        <v>446</v>
      </c>
      <c r="M1573" s="80" t="s">
        <v>156</v>
      </c>
      <c r="N1573" s="40" t="str">
        <f>VLOOKUP(L1573,'Raw material list'!$A$3:$E$715,5,0)</f>
        <v xml:space="preserve">Gram </v>
      </c>
      <c r="O1573" s="80">
        <v>25</v>
      </c>
      <c r="P1573" s="299">
        <f t="shared" si="201"/>
        <v>25</v>
      </c>
      <c r="Q1573" s="80">
        <v>100</v>
      </c>
      <c r="R1573" s="80">
        <v>14</v>
      </c>
      <c r="S1573" s="80"/>
      <c r="T1573" s="105">
        <f t="shared" si="196"/>
        <v>1.7857142857142858</v>
      </c>
      <c r="U1573" s="105">
        <f t="shared" si="202"/>
        <v>1.7857142857142858</v>
      </c>
      <c r="V1573" s="104">
        <f>IFERROR(VLOOKUP(L1573,'Raw material list'!$A$2:$S$3102,6,0),0)</f>
        <v>1E-3</v>
      </c>
      <c r="W1573" s="104">
        <f t="shared" si="203"/>
        <v>1.7857142857142859E-3</v>
      </c>
    </row>
    <row r="1574" spans="1:23" hidden="1" x14ac:dyDescent="0.55000000000000004">
      <c r="A1574" s="76" t="str">
        <f t="shared" si="208"/>
        <v>RCP-SMC-000104</v>
      </c>
      <c r="B1574" s="58" t="s">
        <v>35</v>
      </c>
      <c r="C1574" s="58" t="s">
        <v>10</v>
      </c>
      <c r="D1574" s="76" t="str">
        <f t="shared" si="209"/>
        <v>Strained Crème Mushroom Soup</v>
      </c>
      <c r="E1574" s="76" t="s">
        <v>1486</v>
      </c>
      <c r="F1574" s="76" t="s">
        <v>2079</v>
      </c>
      <c r="G1574" s="94" t="s">
        <v>1779</v>
      </c>
      <c r="H1574" s="107" t="s">
        <v>1774</v>
      </c>
      <c r="I1574" s="76"/>
      <c r="J1574" s="76"/>
      <c r="K1574" s="58" t="str">
        <f>IFERROR(VLOOKUP(L1574,'Raw material list'!$A$3:$C$715,3,0),"")</f>
        <v>TAP-00001</v>
      </c>
      <c r="L1574" s="59" t="s">
        <v>1405</v>
      </c>
      <c r="M1574" s="80" t="s">
        <v>206</v>
      </c>
      <c r="N1574" s="40" t="str">
        <f>VLOOKUP(L1574,'Raw material list'!$A$3:$E$715,5,0)</f>
        <v>Ml</v>
      </c>
      <c r="O1574" s="80">
        <v>2300</v>
      </c>
      <c r="P1574" s="299">
        <f t="shared" si="201"/>
        <v>2300</v>
      </c>
      <c r="Q1574" s="80">
        <v>100</v>
      </c>
      <c r="R1574" s="80">
        <v>14</v>
      </c>
      <c r="S1574" s="80"/>
      <c r="T1574" s="105">
        <f t="shared" si="196"/>
        <v>164.28571428571428</v>
      </c>
      <c r="U1574" s="105">
        <f t="shared" si="202"/>
        <v>164.28571428571428</v>
      </c>
      <c r="V1574" s="104">
        <f>IFERROR(VLOOKUP(L1574,'Raw material list'!$A$2:$S$3102,6,0),0)</f>
        <v>8.0000000000000007E-5</v>
      </c>
      <c r="W1574" s="104">
        <f t="shared" si="203"/>
        <v>1.3142857142857144E-2</v>
      </c>
    </row>
    <row r="1575" spans="1:23" hidden="1" x14ac:dyDescent="0.55000000000000004">
      <c r="A1575" s="76" t="str">
        <f t="shared" si="208"/>
        <v>RCP-SMC-000104</v>
      </c>
      <c r="B1575" s="58" t="s">
        <v>35</v>
      </c>
      <c r="C1575" s="58" t="s">
        <v>10</v>
      </c>
      <c r="D1575" s="76" t="str">
        <f t="shared" si="209"/>
        <v>Strained Crème Mushroom Soup</v>
      </c>
      <c r="E1575" s="76" t="s">
        <v>1486</v>
      </c>
      <c r="F1575" s="76" t="s">
        <v>2079</v>
      </c>
      <c r="G1575" s="94" t="s">
        <v>1779</v>
      </c>
      <c r="H1575" s="107" t="s">
        <v>1774</v>
      </c>
      <c r="I1575" s="76"/>
      <c r="J1575" s="76"/>
      <c r="K1575" s="58" t="str">
        <f>IFERROR(VLOOKUP(L1575,'Raw material list'!$A$3:$C$715,3,0),"")</f>
        <v>DRS1-456</v>
      </c>
      <c r="L1575" s="59" t="s">
        <v>232</v>
      </c>
      <c r="M1575" s="80" t="s">
        <v>156</v>
      </c>
      <c r="N1575" s="40" t="str">
        <f>VLOOKUP(L1575,'Raw material list'!$A$3:$E$715,5,0)</f>
        <v xml:space="preserve">Gram </v>
      </c>
      <c r="O1575" s="80">
        <v>400</v>
      </c>
      <c r="P1575" s="299">
        <f t="shared" si="201"/>
        <v>400</v>
      </c>
      <c r="Q1575" s="80">
        <v>100</v>
      </c>
      <c r="R1575" s="80">
        <v>14</v>
      </c>
      <c r="S1575" s="80"/>
      <c r="T1575" s="105">
        <f t="shared" si="196"/>
        <v>28.571428571428573</v>
      </c>
      <c r="U1575" s="105">
        <f t="shared" si="202"/>
        <v>28.571428571428573</v>
      </c>
      <c r="V1575" s="104">
        <f>IFERROR(VLOOKUP(L1575,'Raw material list'!$A$2:$S$3102,6,0),0)</f>
        <v>1.4999999999999999E-2</v>
      </c>
      <c r="W1575" s="104">
        <f t="shared" si="203"/>
        <v>0.4285714285714286</v>
      </c>
    </row>
    <row r="1576" spans="1:23" hidden="1" x14ac:dyDescent="0.55000000000000004">
      <c r="A1576" s="76" t="str">
        <f t="shared" si="208"/>
        <v>RCP-SMC-000104</v>
      </c>
      <c r="B1576" s="58" t="s">
        <v>35</v>
      </c>
      <c r="C1576" s="58" t="s">
        <v>10</v>
      </c>
      <c r="D1576" s="76" t="str">
        <f t="shared" si="209"/>
        <v>Strained Crème Mushroom Soup</v>
      </c>
      <c r="E1576" s="76" t="s">
        <v>1486</v>
      </c>
      <c r="F1576" s="76" t="s">
        <v>2079</v>
      </c>
      <c r="G1576" s="94" t="s">
        <v>1779</v>
      </c>
      <c r="H1576" s="107" t="s">
        <v>1774</v>
      </c>
      <c r="I1576" s="76"/>
      <c r="J1576" s="76"/>
      <c r="K1576" s="58" t="str">
        <f>IFERROR(VLOOKUP(L1576,'Raw material list'!$A$3:$C$715,3,0),"")</f>
        <v>DRS1-3811</v>
      </c>
      <c r="L1576" s="59" t="s">
        <v>40</v>
      </c>
      <c r="M1576" s="80" t="s">
        <v>156</v>
      </c>
      <c r="N1576" s="40" t="str">
        <f>VLOOKUP(L1576,'Raw material list'!$A$3:$E$715,5,0)</f>
        <v xml:space="preserve">Gram </v>
      </c>
      <c r="O1576" s="80">
        <v>10</v>
      </c>
      <c r="P1576" s="299">
        <f t="shared" si="201"/>
        <v>10</v>
      </c>
      <c r="Q1576" s="80">
        <v>100</v>
      </c>
      <c r="R1576" s="80">
        <v>14</v>
      </c>
      <c r="S1576" s="80"/>
      <c r="T1576" s="105">
        <f t="shared" si="196"/>
        <v>0.7142857142857143</v>
      </c>
      <c r="U1576" s="105">
        <f t="shared" si="202"/>
        <v>0.7142857142857143</v>
      </c>
      <c r="V1576" s="104">
        <f>IFERROR(VLOOKUP(L1576,'Raw material list'!$A$2:$S$3102,6,0),0)</f>
        <v>2.8475E-2</v>
      </c>
      <c r="W1576" s="104">
        <f t="shared" si="203"/>
        <v>2.0339285714285716E-2</v>
      </c>
    </row>
    <row r="1577" spans="1:23" hidden="1" x14ac:dyDescent="0.55000000000000004">
      <c r="A1577" s="76" t="str">
        <f t="shared" si="208"/>
        <v>RCP-SMC-000104</v>
      </c>
      <c r="B1577" s="58" t="s">
        <v>35</v>
      </c>
      <c r="C1577" s="58" t="s">
        <v>10</v>
      </c>
      <c r="D1577" s="76" t="str">
        <f t="shared" si="209"/>
        <v>Strained Crème Mushroom Soup</v>
      </c>
      <c r="E1577" s="76" t="s">
        <v>1486</v>
      </c>
      <c r="F1577" s="76" t="s">
        <v>2079</v>
      </c>
      <c r="G1577" s="94" t="s">
        <v>1779</v>
      </c>
      <c r="H1577" s="107" t="s">
        <v>1774</v>
      </c>
      <c r="I1577" s="76"/>
      <c r="J1577" s="76"/>
      <c r="K1577" s="58" t="str">
        <f>IFERROR(VLOOKUP(L1577,'Raw material list'!$A$3:$C$715,3,0),"")</f>
        <v>PRD3-1842</v>
      </c>
      <c r="L1577" s="59" t="s">
        <v>959</v>
      </c>
      <c r="M1577" s="80" t="s">
        <v>156</v>
      </c>
      <c r="N1577" s="40" t="str">
        <f>VLOOKUP(L1577,'Raw material list'!$A$3:$E$715,5,0)</f>
        <v xml:space="preserve">Gram </v>
      </c>
      <c r="O1577" s="80">
        <v>5</v>
      </c>
      <c r="P1577" s="299">
        <f t="shared" si="201"/>
        <v>5</v>
      </c>
      <c r="Q1577" s="80">
        <v>100</v>
      </c>
      <c r="R1577" s="80">
        <v>14</v>
      </c>
      <c r="S1577" s="80"/>
      <c r="T1577" s="105">
        <f t="shared" si="196"/>
        <v>0.35714285714285715</v>
      </c>
      <c r="U1577" s="105">
        <f t="shared" si="202"/>
        <v>0.35714285714285715</v>
      </c>
      <c r="V1577" s="104">
        <f>IFERROR(VLOOKUP(L1577,'Raw material list'!$A$2:$S$3102,6,0),0)</f>
        <v>0.3</v>
      </c>
      <c r="W1577" s="104">
        <f t="shared" si="203"/>
        <v>0.10714285714285714</v>
      </c>
    </row>
    <row r="1578" spans="1:23" hidden="1" x14ac:dyDescent="0.55000000000000004">
      <c r="A1578" s="76" t="str">
        <f t="shared" si="208"/>
        <v>RCP-SMC-000104</v>
      </c>
      <c r="B1578" s="58" t="s">
        <v>35</v>
      </c>
      <c r="C1578" s="58" t="s">
        <v>10</v>
      </c>
      <c r="D1578" s="76" t="str">
        <f t="shared" si="209"/>
        <v>Strained Crème Mushroom Soup</v>
      </c>
      <c r="E1578" s="76" t="s">
        <v>1486</v>
      </c>
      <c r="F1578" s="76" t="s">
        <v>2079</v>
      </c>
      <c r="G1578" s="94" t="s">
        <v>1779</v>
      </c>
      <c r="H1578" s="107" t="s">
        <v>1774</v>
      </c>
      <c r="I1578" s="76"/>
      <c r="J1578" s="76"/>
      <c r="K1578" s="58" t="str">
        <f>IFERROR(VLOOKUP(L1578,'Raw material list'!$A$3:$C$715,3,0),"")</f>
        <v>DRY2-1858</v>
      </c>
      <c r="L1578" s="59" t="s">
        <v>60</v>
      </c>
      <c r="M1578" s="80" t="s">
        <v>206</v>
      </c>
      <c r="N1578" s="40" t="str">
        <f>VLOOKUP(L1578,'Raw material list'!$A$3:$E$715,5,0)</f>
        <v>Ml</v>
      </c>
      <c r="O1578" s="80">
        <v>200</v>
      </c>
      <c r="P1578" s="299">
        <f t="shared" si="201"/>
        <v>200</v>
      </c>
      <c r="Q1578" s="80">
        <v>100</v>
      </c>
      <c r="R1578" s="80">
        <v>14</v>
      </c>
      <c r="S1578" s="80"/>
      <c r="T1578" s="105">
        <f t="shared" ref="T1578:T1641" si="210">IFERROR(O1578/R1578,0)</f>
        <v>14.285714285714286</v>
      </c>
      <c r="U1578" s="105">
        <f t="shared" si="202"/>
        <v>14.285714285714286</v>
      </c>
      <c r="V1578" s="104">
        <f>IFERROR(VLOOKUP(L1578,'Raw material list'!$A$2:$S$3102,6,0),0)</f>
        <v>9.8800000000000016E-3</v>
      </c>
      <c r="W1578" s="104">
        <f t="shared" si="203"/>
        <v>0.14114285714285718</v>
      </c>
    </row>
    <row r="1579" spans="1:23" hidden="1" x14ac:dyDescent="0.55000000000000004">
      <c r="A1579" s="76" t="str">
        <f t="shared" si="208"/>
        <v>RCP-SMC-000104</v>
      </c>
      <c r="B1579" s="58" t="s">
        <v>35</v>
      </c>
      <c r="C1579" s="58" t="s">
        <v>10</v>
      </c>
      <c r="D1579" s="76" t="str">
        <f t="shared" si="209"/>
        <v>Strained Crème Mushroom Soup</v>
      </c>
      <c r="E1579" s="76" t="s">
        <v>1486</v>
      </c>
      <c r="F1579" s="76" t="s">
        <v>2079</v>
      </c>
      <c r="G1579" s="94" t="s">
        <v>1779</v>
      </c>
      <c r="H1579" s="107" t="s">
        <v>1774</v>
      </c>
      <c r="I1579" s="76"/>
      <c r="J1579" s="76"/>
      <c r="K1579" s="58" t="str">
        <f>IFERROR(VLOOKUP(L1579,'Raw material list'!$A$3:$C$715,3,0),"")</f>
        <v>DRS1-3880</v>
      </c>
      <c r="L1579" s="59" t="s">
        <v>1433</v>
      </c>
      <c r="M1579" s="80" t="s">
        <v>156</v>
      </c>
      <c r="N1579" s="40" t="str">
        <f>VLOOKUP(L1579,'Raw material list'!$A$3:$E$715,5,0)</f>
        <v xml:space="preserve">Gram </v>
      </c>
      <c r="O1579" s="80">
        <v>10</v>
      </c>
      <c r="P1579" s="299">
        <f t="shared" si="201"/>
        <v>10</v>
      </c>
      <c r="Q1579" s="80">
        <v>100</v>
      </c>
      <c r="R1579" s="80">
        <v>14</v>
      </c>
      <c r="S1579" s="80"/>
      <c r="T1579" s="105">
        <f t="shared" si="210"/>
        <v>0.7142857142857143</v>
      </c>
      <c r="U1579" s="105">
        <f t="shared" si="202"/>
        <v>0.7142857142857143</v>
      </c>
      <c r="V1579" s="104">
        <f>IFERROR(VLOOKUP(L1579,'Raw material list'!$A$2:$S$3102,6,0),0)</f>
        <v>5.0000000000000001E-4</v>
      </c>
      <c r="W1579" s="104">
        <f t="shared" si="203"/>
        <v>3.5714285714285714E-4</v>
      </c>
    </row>
    <row r="1580" spans="1:23" hidden="1" x14ac:dyDescent="0.55000000000000004">
      <c r="A1580" s="76" t="str">
        <f t="shared" si="208"/>
        <v>RCP-SMC-000104</v>
      </c>
      <c r="B1580" s="58" t="s">
        <v>35</v>
      </c>
      <c r="C1580" s="58" t="s">
        <v>10</v>
      </c>
      <c r="D1580" s="76" t="str">
        <f t="shared" si="209"/>
        <v>Strained Crème Mushroom Soup</v>
      </c>
      <c r="E1580" s="76" t="s">
        <v>1486</v>
      </c>
      <c r="F1580" s="76" t="s">
        <v>2079</v>
      </c>
      <c r="G1580" s="94" t="s">
        <v>1779</v>
      </c>
      <c r="H1580" s="107" t="s">
        <v>1774</v>
      </c>
      <c r="I1580" s="76"/>
      <c r="J1580" s="76"/>
      <c r="K1580" s="58" t="str">
        <f>IFERROR(VLOOKUP(L1580,'Raw material list'!$A$3:$C$715,3,0),"")</f>
        <v>DRS1-3357</v>
      </c>
      <c r="L1580" s="59" t="s">
        <v>316</v>
      </c>
      <c r="M1580" s="80" t="s">
        <v>156</v>
      </c>
      <c r="N1580" s="40" t="str">
        <f>VLOOKUP(L1580,'Raw material list'!$A$3:$E$715,5,0)</f>
        <v xml:space="preserve">Gram </v>
      </c>
      <c r="O1580" s="80">
        <v>10</v>
      </c>
      <c r="P1580" s="299">
        <f t="shared" si="201"/>
        <v>10</v>
      </c>
      <c r="Q1580" s="80">
        <v>100</v>
      </c>
      <c r="R1580" s="80">
        <v>14</v>
      </c>
      <c r="S1580" s="80"/>
      <c r="T1580" s="105">
        <f t="shared" si="210"/>
        <v>0.7142857142857143</v>
      </c>
      <c r="U1580" s="105">
        <f t="shared" si="202"/>
        <v>0.7142857142857143</v>
      </c>
      <c r="V1580" s="104">
        <f>IFERROR(VLOOKUP(L1580,'Raw material list'!$A$2:$S$3102,6,0),0)</f>
        <v>6.8440000000000001E-2</v>
      </c>
      <c r="W1580" s="104">
        <f t="shared" si="203"/>
        <v>4.8885714285714289E-2</v>
      </c>
    </row>
    <row r="1581" spans="1:23" hidden="1" x14ac:dyDescent="0.55000000000000004">
      <c r="A1581" s="76" t="s">
        <v>1649</v>
      </c>
      <c r="B1581" s="58" t="s">
        <v>35</v>
      </c>
      <c r="C1581" s="58" t="s">
        <v>10</v>
      </c>
      <c r="D1581" s="76" t="s">
        <v>1622</v>
      </c>
      <c r="E1581" s="76" t="s">
        <v>1486</v>
      </c>
      <c r="F1581" s="76" t="s">
        <v>2079</v>
      </c>
      <c r="G1581" s="94" t="s">
        <v>1779</v>
      </c>
      <c r="H1581" s="107" t="s">
        <v>1773</v>
      </c>
      <c r="I1581" s="76"/>
      <c r="J1581" s="76"/>
      <c r="K1581" s="58" t="str">
        <f>IFERROR(VLOOKUP(L1581,'Raw material list'!$A$3:$C$715,3,0),"")</f>
        <v>DRS3-1813</v>
      </c>
      <c r="L1581" s="59" t="s">
        <v>69</v>
      </c>
      <c r="M1581" s="80" t="s">
        <v>206</v>
      </c>
      <c r="N1581" s="40" t="str">
        <f>VLOOKUP(L1581,'Raw material list'!$A$3:$E$715,5,0)</f>
        <v>Ml</v>
      </c>
      <c r="O1581" s="80">
        <v>20</v>
      </c>
      <c r="P1581" s="299">
        <f t="shared" si="201"/>
        <v>20</v>
      </c>
      <c r="Q1581" s="80">
        <v>100</v>
      </c>
      <c r="R1581" s="80">
        <v>14</v>
      </c>
      <c r="S1581" s="80"/>
      <c r="T1581" s="105">
        <f t="shared" si="210"/>
        <v>1.4285714285714286</v>
      </c>
      <c r="U1581" s="105">
        <f t="shared" si="202"/>
        <v>1.4285714285714286</v>
      </c>
      <c r="V1581" s="104">
        <f>IFERROR(VLOOKUP(L1581,'Raw material list'!$A$2:$S$3102,6,0),0)</f>
        <v>8.0555555555555554E-3</v>
      </c>
      <c r="W1581" s="104">
        <f t="shared" si="203"/>
        <v>1.1507936507936509E-2</v>
      </c>
    </row>
    <row r="1582" spans="1:23" hidden="1" x14ac:dyDescent="0.55000000000000004">
      <c r="A1582" s="76" t="str">
        <f t="shared" ref="A1582:A1590" si="211">A1581</f>
        <v>RCP-SMC-000105</v>
      </c>
      <c r="B1582" s="58" t="s">
        <v>35</v>
      </c>
      <c r="C1582" s="58" t="s">
        <v>10</v>
      </c>
      <c r="D1582" s="76" t="str">
        <f t="shared" ref="D1582:D1590" si="212">D1581</f>
        <v>Chicken Potato white Soup</v>
      </c>
      <c r="E1582" s="76" t="s">
        <v>1486</v>
      </c>
      <c r="F1582" s="76" t="s">
        <v>2079</v>
      </c>
      <c r="G1582" s="94" t="s">
        <v>1779</v>
      </c>
      <c r="H1582" s="107" t="s">
        <v>1773</v>
      </c>
      <c r="I1582" s="76"/>
      <c r="J1582" s="76"/>
      <c r="K1582" s="58" t="str">
        <f>IFERROR(VLOOKUP(L1582,'Raw material list'!$A$3:$C$715,3,0),"")</f>
        <v>PRD1-4265</v>
      </c>
      <c r="L1582" s="59" t="s">
        <v>38</v>
      </c>
      <c r="M1582" s="80" t="s">
        <v>156</v>
      </c>
      <c r="N1582" s="40" t="str">
        <f>VLOOKUP(L1582,'Raw material list'!$A$3:$E$715,5,0)</f>
        <v xml:space="preserve">Gram </v>
      </c>
      <c r="O1582" s="80">
        <v>100</v>
      </c>
      <c r="P1582" s="299">
        <f t="shared" si="201"/>
        <v>117.64705882352942</v>
      </c>
      <c r="Q1582" s="105">
        <v>85</v>
      </c>
      <c r="R1582" s="80">
        <v>14</v>
      </c>
      <c r="S1582" s="80"/>
      <c r="T1582" s="105">
        <f t="shared" si="210"/>
        <v>7.1428571428571432</v>
      </c>
      <c r="U1582" s="105">
        <f t="shared" si="202"/>
        <v>8.4033613445378155</v>
      </c>
      <c r="V1582" s="104">
        <f>IFERROR(VLOOKUP(L1582,'Raw material list'!$A$2:$S$3102,6,0),0)</f>
        <v>3.529411764705882E-3</v>
      </c>
      <c r="W1582" s="104">
        <f t="shared" si="203"/>
        <v>2.9658922392486405E-2</v>
      </c>
    </row>
    <row r="1583" spans="1:23" hidden="1" x14ac:dyDescent="0.55000000000000004">
      <c r="A1583" s="76" t="str">
        <f t="shared" si="211"/>
        <v>RCP-SMC-000105</v>
      </c>
      <c r="B1583" s="58" t="s">
        <v>35</v>
      </c>
      <c r="C1583" s="58" t="s">
        <v>10</v>
      </c>
      <c r="D1583" s="76" t="str">
        <f t="shared" si="212"/>
        <v>Chicken Potato white Soup</v>
      </c>
      <c r="E1583" s="76" t="s">
        <v>1486</v>
      </c>
      <c r="F1583" s="76" t="s">
        <v>2079</v>
      </c>
      <c r="G1583" s="94" t="s">
        <v>1779</v>
      </c>
      <c r="H1583" s="107" t="s">
        <v>1773</v>
      </c>
      <c r="I1583" s="76"/>
      <c r="J1583" s="76"/>
      <c r="K1583" s="58" t="str">
        <f>IFERROR(VLOOKUP(L1583,'Raw material list'!$A$3:$C$715,3,0),"")</f>
        <v>PRD1-4327</v>
      </c>
      <c r="L1583" s="59" t="s">
        <v>39</v>
      </c>
      <c r="M1583" s="80" t="s">
        <v>156</v>
      </c>
      <c r="N1583" s="40" t="str">
        <f>VLOOKUP(L1583,'Raw material list'!$A$3:$E$715,5,0)</f>
        <v xml:space="preserve">Gram </v>
      </c>
      <c r="O1583" s="80">
        <v>15</v>
      </c>
      <c r="P1583" s="299">
        <f t="shared" si="201"/>
        <v>18.072289156626507</v>
      </c>
      <c r="Q1583" s="105">
        <v>83</v>
      </c>
      <c r="R1583" s="80">
        <v>14</v>
      </c>
      <c r="S1583" s="80"/>
      <c r="T1583" s="105">
        <f t="shared" si="210"/>
        <v>1.0714285714285714</v>
      </c>
      <c r="U1583" s="105">
        <f t="shared" si="202"/>
        <v>1.2908777969018934</v>
      </c>
      <c r="V1583" s="104">
        <f>IFERROR(VLOOKUP(L1583,'Raw material list'!$A$2:$S$3102,6,0),0)</f>
        <v>1.2999999999999999E-2</v>
      </c>
      <c r="W1583" s="104">
        <f t="shared" si="203"/>
        <v>1.6781411359724614E-2</v>
      </c>
    </row>
    <row r="1584" spans="1:23" hidden="1" x14ac:dyDescent="0.55000000000000004">
      <c r="A1584" s="76" t="str">
        <f t="shared" si="211"/>
        <v>RCP-SMC-000105</v>
      </c>
      <c r="B1584" s="58" t="s">
        <v>35</v>
      </c>
      <c r="C1584" s="58" t="s">
        <v>10</v>
      </c>
      <c r="D1584" s="76" t="str">
        <f t="shared" si="212"/>
        <v>Chicken Potato white Soup</v>
      </c>
      <c r="E1584" s="76" t="s">
        <v>1486</v>
      </c>
      <c r="F1584" s="76" t="s">
        <v>2078</v>
      </c>
      <c r="G1584" s="94" t="s">
        <v>1779</v>
      </c>
      <c r="H1584" s="107" t="s">
        <v>1773</v>
      </c>
      <c r="I1584" s="76"/>
      <c r="J1584" s="76"/>
      <c r="K1584" s="58" t="str">
        <f>IFERROR(VLOOKUP(L1584,'Raw material list'!$A$3:$C$715,3,0),"")</f>
        <v>PLT2-3278</v>
      </c>
      <c r="L1584" s="59" t="s">
        <v>80</v>
      </c>
      <c r="M1584" s="80" t="s">
        <v>156</v>
      </c>
      <c r="N1584" s="40" t="str">
        <f>VLOOKUP(L1584,'Raw material list'!$A$3:$E$715,5,0)</f>
        <v xml:space="preserve">Gram </v>
      </c>
      <c r="O1584" s="80">
        <v>250</v>
      </c>
      <c r="P1584" s="299">
        <f t="shared" si="201"/>
        <v>328.08398950131232</v>
      </c>
      <c r="Q1584" s="303">
        <v>76.2</v>
      </c>
      <c r="R1584" s="80">
        <v>14</v>
      </c>
      <c r="S1584" s="80"/>
      <c r="T1584" s="105">
        <f t="shared" si="210"/>
        <v>17.857142857142858</v>
      </c>
      <c r="U1584" s="105">
        <f t="shared" si="202"/>
        <v>23.434570678665164</v>
      </c>
      <c r="V1584" s="104">
        <f>IFERROR(VLOOKUP(L1584,'Raw material list'!$A$2:$S$3102,6,0),0)</f>
        <v>3.0357142857142853E-2</v>
      </c>
      <c r="W1584" s="104">
        <f t="shared" si="203"/>
        <v>0.71140660988804949</v>
      </c>
    </row>
    <row r="1585" spans="1:23" hidden="1" x14ac:dyDescent="0.55000000000000004">
      <c r="A1585" s="76" t="str">
        <f t="shared" si="211"/>
        <v>RCP-SMC-000105</v>
      </c>
      <c r="B1585" s="58" t="s">
        <v>35</v>
      </c>
      <c r="C1585" s="58" t="s">
        <v>10</v>
      </c>
      <c r="D1585" s="76" t="str">
        <f t="shared" si="212"/>
        <v>Chicken Potato white Soup</v>
      </c>
      <c r="E1585" s="76" t="s">
        <v>1486</v>
      </c>
      <c r="F1585" s="76" t="s">
        <v>2079</v>
      </c>
      <c r="G1585" s="94" t="s">
        <v>1779</v>
      </c>
      <c r="H1585" s="107" t="s">
        <v>1773</v>
      </c>
      <c r="I1585" s="76"/>
      <c r="J1585" s="76"/>
      <c r="K1585" s="58" t="str">
        <f>IFERROR(VLOOKUP(L1585,'Raw material list'!$A$3:$C$715,3,0),"")</f>
        <v>DRS6-309</v>
      </c>
      <c r="L1585" s="59" t="s">
        <v>61</v>
      </c>
      <c r="M1585" s="80" t="s">
        <v>156</v>
      </c>
      <c r="N1585" s="40" t="str">
        <f>VLOOKUP(L1585,'Raw material list'!$A$3:$E$715,5,0)</f>
        <v xml:space="preserve">Gram </v>
      </c>
      <c r="O1585" s="80">
        <v>1</v>
      </c>
      <c r="P1585" s="299">
        <f t="shared" si="201"/>
        <v>1</v>
      </c>
      <c r="Q1585" s="80">
        <v>100</v>
      </c>
      <c r="R1585" s="80">
        <v>14</v>
      </c>
      <c r="S1585" s="80"/>
      <c r="T1585" s="105">
        <f t="shared" si="210"/>
        <v>7.1428571428571425E-2</v>
      </c>
      <c r="U1585" s="105">
        <f t="shared" si="202"/>
        <v>7.1428571428571425E-2</v>
      </c>
      <c r="V1585" s="104">
        <f>IFERROR(VLOOKUP(L1585,'Raw material list'!$A$2:$S$3102,6,0),0)</f>
        <v>2.8000000000000001E-2</v>
      </c>
      <c r="W1585" s="104">
        <f t="shared" si="203"/>
        <v>2E-3</v>
      </c>
    </row>
    <row r="1586" spans="1:23" hidden="1" x14ac:dyDescent="0.55000000000000004">
      <c r="A1586" s="76" t="str">
        <f t="shared" si="211"/>
        <v>RCP-SMC-000105</v>
      </c>
      <c r="B1586" s="58" t="s">
        <v>35</v>
      </c>
      <c r="C1586" s="58" t="s">
        <v>10</v>
      </c>
      <c r="D1586" s="76" t="str">
        <f t="shared" si="212"/>
        <v>Chicken Potato white Soup</v>
      </c>
      <c r="E1586" s="76" t="s">
        <v>1486</v>
      </c>
      <c r="F1586" s="76" t="s">
        <v>2079</v>
      </c>
      <c r="G1586" s="94" t="s">
        <v>1779</v>
      </c>
      <c r="H1586" s="107" t="s">
        <v>1773</v>
      </c>
      <c r="I1586" s="76"/>
      <c r="J1586" s="76"/>
      <c r="K1586" s="58" t="str">
        <f>IFERROR(VLOOKUP(L1586,'Raw material list'!$A$3:$C$715,3,0),"")</f>
        <v>DRS1-3811</v>
      </c>
      <c r="L1586" s="59" t="s">
        <v>40</v>
      </c>
      <c r="M1586" s="80" t="s">
        <v>156</v>
      </c>
      <c r="N1586" s="40" t="str">
        <f>VLOOKUP(L1586,'Raw material list'!$A$3:$E$715,5,0)</f>
        <v xml:space="preserve">Gram </v>
      </c>
      <c r="O1586" s="80">
        <v>10</v>
      </c>
      <c r="P1586" s="299">
        <f t="shared" si="201"/>
        <v>10</v>
      </c>
      <c r="Q1586" s="80">
        <v>100</v>
      </c>
      <c r="R1586" s="80">
        <v>14</v>
      </c>
      <c r="S1586" s="80"/>
      <c r="T1586" s="105">
        <f t="shared" si="210"/>
        <v>0.7142857142857143</v>
      </c>
      <c r="U1586" s="105">
        <f t="shared" si="202"/>
        <v>0.7142857142857143</v>
      </c>
      <c r="V1586" s="104">
        <f>IFERROR(VLOOKUP(L1586,'Raw material list'!$A$2:$S$3102,6,0),0)</f>
        <v>2.8475E-2</v>
      </c>
      <c r="W1586" s="104">
        <f t="shared" si="203"/>
        <v>2.0339285714285716E-2</v>
      </c>
    </row>
    <row r="1587" spans="1:23" hidden="1" x14ac:dyDescent="0.55000000000000004">
      <c r="A1587" s="76" t="str">
        <f t="shared" si="211"/>
        <v>RCP-SMC-000105</v>
      </c>
      <c r="B1587" s="58" t="s">
        <v>35</v>
      </c>
      <c r="C1587" s="58" t="s">
        <v>10</v>
      </c>
      <c r="D1587" s="76" t="str">
        <f t="shared" si="212"/>
        <v>Chicken Potato white Soup</v>
      </c>
      <c r="E1587" s="76" t="s">
        <v>1486</v>
      </c>
      <c r="F1587" s="76" t="s">
        <v>2079</v>
      </c>
      <c r="G1587" s="94" t="s">
        <v>1779</v>
      </c>
      <c r="H1587" s="107" t="s">
        <v>1773</v>
      </c>
      <c r="I1587" s="76"/>
      <c r="J1587" s="76"/>
      <c r="K1587" s="58" t="str">
        <f>IFERROR(VLOOKUP(L1587,'Raw material list'!$A$3:$C$715,3,0),"")</f>
        <v>DRS1-3880</v>
      </c>
      <c r="L1587" s="59" t="s">
        <v>1433</v>
      </c>
      <c r="M1587" s="80" t="s">
        <v>156</v>
      </c>
      <c r="N1587" s="40" t="str">
        <f>VLOOKUP(L1587,'Raw material list'!$A$3:$E$715,5,0)</f>
        <v xml:space="preserve">Gram </v>
      </c>
      <c r="O1587" s="80">
        <v>5</v>
      </c>
      <c r="P1587" s="299">
        <f t="shared" si="201"/>
        <v>5</v>
      </c>
      <c r="Q1587" s="80">
        <v>100</v>
      </c>
      <c r="R1587" s="80">
        <v>14</v>
      </c>
      <c r="S1587" s="80"/>
      <c r="T1587" s="105">
        <f t="shared" si="210"/>
        <v>0.35714285714285715</v>
      </c>
      <c r="U1587" s="105">
        <f t="shared" si="202"/>
        <v>0.35714285714285715</v>
      </c>
      <c r="V1587" s="104">
        <f>IFERROR(VLOOKUP(L1587,'Raw material list'!$A$2:$S$3102,6,0),0)</f>
        <v>5.0000000000000001E-4</v>
      </c>
      <c r="W1587" s="104">
        <f t="shared" si="203"/>
        <v>1.7857142857142857E-4</v>
      </c>
    </row>
    <row r="1588" spans="1:23" hidden="1" x14ac:dyDescent="0.55000000000000004">
      <c r="A1588" s="76" t="str">
        <f t="shared" si="211"/>
        <v>RCP-SMC-000105</v>
      </c>
      <c r="B1588" s="58" t="s">
        <v>35</v>
      </c>
      <c r="C1588" s="58" t="s">
        <v>10</v>
      </c>
      <c r="D1588" s="76" t="str">
        <f t="shared" si="212"/>
        <v>Chicken Potato white Soup</v>
      </c>
      <c r="E1588" s="76" t="s">
        <v>1486</v>
      </c>
      <c r="F1588" s="76" t="s">
        <v>2079</v>
      </c>
      <c r="G1588" s="94" t="s">
        <v>1779</v>
      </c>
      <c r="H1588" s="107" t="s">
        <v>1773</v>
      </c>
      <c r="I1588" s="76"/>
      <c r="J1588" s="76"/>
      <c r="K1588" s="58" t="str">
        <f>IFERROR(VLOOKUP(L1588,'Raw material list'!$A$3:$C$715,3,0),"")</f>
        <v>PRD1-230</v>
      </c>
      <c r="L1588" s="59" t="s">
        <v>70</v>
      </c>
      <c r="M1588" s="80" t="s">
        <v>156</v>
      </c>
      <c r="N1588" s="40" t="str">
        <f>VLOOKUP(L1588,'Raw material list'!$A$3:$E$715,5,0)</f>
        <v xml:space="preserve">Gram </v>
      </c>
      <c r="O1588" s="80">
        <v>600</v>
      </c>
      <c r="P1588" s="299">
        <f t="shared" si="201"/>
        <v>809.71659919028343</v>
      </c>
      <c r="Q1588" s="105">
        <v>74.099999999999994</v>
      </c>
      <c r="R1588" s="80">
        <v>14</v>
      </c>
      <c r="S1588" s="80"/>
      <c r="T1588" s="105">
        <f t="shared" si="210"/>
        <v>42.857142857142854</v>
      </c>
      <c r="U1588" s="105">
        <f t="shared" si="202"/>
        <v>57.8368999421631</v>
      </c>
      <c r="V1588" s="104">
        <f>IFERROR(VLOOKUP(L1588,'Raw material list'!$A$2:$S$3102,6,0),0)</f>
        <v>3.3738191632928472E-3</v>
      </c>
      <c r="W1588" s="104">
        <f t="shared" si="203"/>
        <v>0.19513124137032084</v>
      </c>
    </row>
    <row r="1589" spans="1:23" hidden="1" x14ac:dyDescent="0.55000000000000004">
      <c r="A1589" s="76" t="str">
        <f t="shared" si="211"/>
        <v>RCP-SMC-000105</v>
      </c>
      <c r="B1589" s="58" t="s">
        <v>35</v>
      </c>
      <c r="C1589" s="58" t="s">
        <v>10</v>
      </c>
      <c r="D1589" s="76" t="str">
        <f t="shared" si="212"/>
        <v>Chicken Potato white Soup</v>
      </c>
      <c r="E1589" s="76" t="s">
        <v>1486</v>
      </c>
      <c r="F1589" s="76" t="s">
        <v>2079</v>
      </c>
      <c r="G1589" s="94" t="s">
        <v>1779</v>
      </c>
      <c r="H1589" s="107" t="s">
        <v>1773</v>
      </c>
      <c r="I1589" s="76"/>
      <c r="J1589" s="76"/>
      <c r="K1589" s="58" t="str">
        <f>IFERROR(VLOOKUP(L1589,'Raw material list'!$A$3:$C$715,3,0),"")</f>
        <v>DRS5-980</v>
      </c>
      <c r="L1589" s="59" t="s">
        <v>446</v>
      </c>
      <c r="M1589" s="80" t="s">
        <v>156</v>
      </c>
      <c r="N1589" s="40" t="str">
        <f>VLOOKUP(L1589,'Raw material list'!$A$3:$E$715,5,0)</f>
        <v xml:space="preserve">Gram </v>
      </c>
      <c r="O1589" s="80">
        <v>40</v>
      </c>
      <c r="P1589" s="299">
        <f t="shared" si="201"/>
        <v>40</v>
      </c>
      <c r="Q1589" s="303">
        <v>100</v>
      </c>
      <c r="R1589" s="80">
        <v>14</v>
      </c>
      <c r="S1589" s="80"/>
      <c r="T1589" s="105">
        <f t="shared" si="210"/>
        <v>2.8571428571428572</v>
      </c>
      <c r="U1589" s="105">
        <f t="shared" si="202"/>
        <v>2.8571428571428572</v>
      </c>
      <c r="V1589" s="104">
        <f>IFERROR(VLOOKUP(L1589,'Raw material list'!$A$2:$S$3102,6,0),0)</f>
        <v>1E-3</v>
      </c>
      <c r="W1589" s="104">
        <f t="shared" si="203"/>
        <v>2.8571428571428571E-3</v>
      </c>
    </row>
    <row r="1590" spans="1:23" hidden="1" x14ac:dyDescent="0.55000000000000004">
      <c r="A1590" s="76" t="str">
        <f t="shared" si="211"/>
        <v>RCP-SMC-000105</v>
      </c>
      <c r="B1590" s="58" t="s">
        <v>35</v>
      </c>
      <c r="C1590" s="58" t="s">
        <v>10</v>
      </c>
      <c r="D1590" s="76" t="str">
        <f t="shared" si="212"/>
        <v>Chicken Potato white Soup</v>
      </c>
      <c r="E1590" s="76" t="s">
        <v>1486</v>
      </c>
      <c r="F1590" s="76" t="s">
        <v>2079</v>
      </c>
      <c r="G1590" s="94" t="s">
        <v>1779</v>
      </c>
      <c r="H1590" s="107" t="s">
        <v>1773</v>
      </c>
      <c r="I1590" s="76"/>
      <c r="J1590" s="76"/>
      <c r="K1590" s="58" t="str">
        <f>IFERROR(VLOOKUP(L1590,'Raw material list'!$A$3:$C$715,3,0),"")</f>
        <v>TAP-00001</v>
      </c>
      <c r="L1590" s="59" t="s">
        <v>1405</v>
      </c>
      <c r="M1590" s="80" t="s">
        <v>206</v>
      </c>
      <c r="N1590" s="40" t="str">
        <f>VLOOKUP(L1590,'Raw material list'!$A$3:$E$715,5,0)</f>
        <v>Ml</v>
      </c>
      <c r="O1590" s="80">
        <v>2000</v>
      </c>
      <c r="P1590" s="299">
        <f t="shared" si="201"/>
        <v>2000</v>
      </c>
      <c r="Q1590" s="80">
        <v>100</v>
      </c>
      <c r="R1590" s="80">
        <v>14</v>
      </c>
      <c r="S1590" s="80"/>
      <c r="T1590" s="105">
        <f t="shared" si="210"/>
        <v>142.85714285714286</v>
      </c>
      <c r="U1590" s="105">
        <f t="shared" si="202"/>
        <v>142.85714285714286</v>
      </c>
      <c r="V1590" s="104">
        <f>IFERROR(VLOOKUP(L1590,'Raw material list'!$A$2:$S$3102,6,0),0)</f>
        <v>8.0000000000000007E-5</v>
      </c>
      <c r="W1590" s="104">
        <f t="shared" si="203"/>
        <v>1.142857142857143E-2</v>
      </c>
    </row>
    <row r="1591" spans="1:23" hidden="1" x14ac:dyDescent="0.55000000000000004">
      <c r="A1591" s="76" t="s">
        <v>1650</v>
      </c>
      <c r="B1591" s="58" t="s">
        <v>35</v>
      </c>
      <c r="C1591" s="58" t="s">
        <v>10</v>
      </c>
      <c r="D1591" s="76" t="s">
        <v>1424</v>
      </c>
      <c r="E1591" s="76" t="s">
        <v>1633</v>
      </c>
      <c r="F1591" s="76" t="s">
        <v>2079</v>
      </c>
      <c r="G1591" s="94" t="s">
        <v>1779</v>
      </c>
      <c r="H1591" s="107" t="s">
        <v>1773</v>
      </c>
      <c r="I1591" s="76"/>
      <c r="J1591" s="76"/>
      <c r="K1591" s="58" t="str">
        <f>IFERROR(VLOOKUP(L1591,'Raw material list'!$A$3:$C$715,3,0),"")</f>
        <v>DRY2-1008</v>
      </c>
      <c r="L1591" s="59" t="s">
        <v>57</v>
      </c>
      <c r="M1591" s="80" t="s">
        <v>156</v>
      </c>
      <c r="N1591" s="40" t="str">
        <f>VLOOKUP(L1591,'Raw material list'!$A$3:$E$715,5,0)</f>
        <v xml:space="preserve">Gram </v>
      </c>
      <c r="O1591" s="80">
        <v>25</v>
      </c>
      <c r="P1591" s="299">
        <f t="shared" si="201"/>
        <v>25</v>
      </c>
      <c r="Q1591" s="80">
        <v>100</v>
      </c>
      <c r="R1591" s="80">
        <v>14</v>
      </c>
      <c r="S1591" s="80"/>
      <c r="T1591" s="105">
        <f t="shared" si="210"/>
        <v>1.7857142857142858</v>
      </c>
      <c r="U1591" s="105">
        <f t="shared" si="202"/>
        <v>1.7857142857142858</v>
      </c>
      <c r="V1591" s="104">
        <f>IFERROR(VLOOKUP(L1591,'Raw material list'!$A$2:$S$3102,6,0),0)</f>
        <v>0.03</v>
      </c>
      <c r="W1591" s="104">
        <f t="shared" si="203"/>
        <v>5.3571428571428575E-2</v>
      </c>
    </row>
    <row r="1592" spans="1:23" hidden="1" x14ac:dyDescent="0.55000000000000004">
      <c r="A1592" s="76" t="str">
        <f t="shared" ref="A1592:A1601" si="213">A1591</f>
        <v>RCP-SMC-000106</v>
      </c>
      <c r="B1592" s="58" t="s">
        <v>35</v>
      </c>
      <c r="C1592" s="58" t="s">
        <v>10</v>
      </c>
      <c r="D1592" s="76" t="str">
        <f t="shared" ref="D1592:D1601" si="214">D1591</f>
        <v>crème of corn soup</v>
      </c>
      <c r="E1592" s="76" t="s">
        <v>1633</v>
      </c>
      <c r="F1592" s="76" t="s">
        <v>2079</v>
      </c>
      <c r="G1592" s="94" t="s">
        <v>1779</v>
      </c>
      <c r="H1592" s="107" t="s">
        <v>1773</v>
      </c>
      <c r="I1592" s="76"/>
      <c r="J1592" s="76"/>
      <c r="K1592" s="58" t="str">
        <f>IFERROR(VLOOKUP(L1592,'Raw material list'!$A$3:$C$715,3,0),"")</f>
        <v>PRD1-4265</v>
      </c>
      <c r="L1592" s="59" t="s">
        <v>38</v>
      </c>
      <c r="M1592" s="80" t="s">
        <v>156</v>
      </c>
      <c r="N1592" s="40" t="str">
        <f>VLOOKUP(L1592,'Raw material list'!$A$3:$E$715,5,0)</f>
        <v xml:space="preserve">Gram </v>
      </c>
      <c r="O1592" s="80">
        <v>100</v>
      </c>
      <c r="P1592" s="299">
        <f t="shared" si="201"/>
        <v>117.64705882352942</v>
      </c>
      <c r="Q1592" s="105">
        <v>85</v>
      </c>
      <c r="R1592" s="80">
        <v>14</v>
      </c>
      <c r="S1592" s="80"/>
      <c r="T1592" s="105">
        <f t="shared" si="210"/>
        <v>7.1428571428571432</v>
      </c>
      <c r="U1592" s="105">
        <f t="shared" si="202"/>
        <v>8.4033613445378155</v>
      </c>
      <c r="V1592" s="104">
        <f>IFERROR(VLOOKUP(L1592,'Raw material list'!$A$2:$S$3102,6,0),0)</f>
        <v>3.529411764705882E-3</v>
      </c>
      <c r="W1592" s="104">
        <f t="shared" si="203"/>
        <v>2.9658922392486405E-2</v>
      </c>
    </row>
    <row r="1593" spans="1:23" hidden="1" x14ac:dyDescent="0.55000000000000004">
      <c r="A1593" s="76" t="str">
        <f t="shared" si="213"/>
        <v>RCP-SMC-000106</v>
      </c>
      <c r="B1593" s="58" t="s">
        <v>35</v>
      </c>
      <c r="C1593" s="58" t="s">
        <v>10</v>
      </c>
      <c r="D1593" s="76" t="str">
        <f t="shared" si="214"/>
        <v>crème of corn soup</v>
      </c>
      <c r="E1593" s="76" t="s">
        <v>1633</v>
      </c>
      <c r="F1593" s="76" t="s">
        <v>2079</v>
      </c>
      <c r="G1593" s="94" t="s">
        <v>1779</v>
      </c>
      <c r="H1593" s="107" t="s">
        <v>1773</v>
      </c>
      <c r="I1593" s="76"/>
      <c r="J1593" s="76"/>
      <c r="K1593" s="58" t="str">
        <f>IFERROR(VLOOKUP(L1593,'Raw material list'!$A$3:$C$715,3,0),"")</f>
        <v>PRD1-4327</v>
      </c>
      <c r="L1593" s="59" t="s">
        <v>39</v>
      </c>
      <c r="M1593" s="80" t="s">
        <v>156</v>
      </c>
      <c r="N1593" s="40" t="str">
        <f>VLOOKUP(L1593,'Raw material list'!$A$3:$E$715,5,0)</f>
        <v xml:space="preserve">Gram </v>
      </c>
      <c r="O1593" s="80">
        <v>15</v>
      </c>
      <c r="P1593" s="299">
        <f t="shared" si="201"/>
        <v>18.072289156626507</v>
      </c>
      <c r="Q1593" s="105">
        <v>83</v>
      </c>
      <c r="R1593" s="80">
        <v>14</v>
      </c>
      <c r="S1593" s="80"/>
      <c r="T1593" s="105">
        <f t="shared" si="210"/>
        <v>1.0714285714285714</v>
      </c>
      <c r="U1593" s="105">
        <f t="shared" si="202"/>
        <v>1.2908777969018934</v>
      </c>
      <c r="V1593" s="104">
        <f>IFERROR(VLOOKUP(L1593,'Raw material list'!$A$2:$S$3102,6,0),0)</f>
        <v>1.2999999999999999E-2</v>
      </c>
      <c r="W1593" s="104">
        <f t="shared" si="203"/>
        <v>1.6781411359724614E-2</v>
      </c>
    </row>
    <row r="1594" spans="1:23" hidden="1" x14ac:dyDescent="0.55000000000000004">
      <c r="A1594" s="76" t="str">
        <f t="shared" si="213"/>
        <v>RCP-SMC-000106</v>
      </c>
      <c r="B1594" s="58" t="s">
        <v>35</v>
      </c>
      <c r="C1594" s="58" t="s">
        <v>10</v>
      </c>
      <c r="D1594" s="76" t="str">
        <f t="shared" si="214"/>
        <v>crème of corn soup</v>
      </c>
      <c r="E1594" s="76" t="s">
        <v>1633</v>
      </c>
      <c r="F1594" s="76" t="s">
        <v>2079</v>
      </c>
      <c r="G1594" s="94" t="s">
        <v>1779</v>
      </c>
      <c r="H1594" s="107" t="s">
        <v>1773</v>
      </c>
      <c r="I1594" s="76"/>
      <c r="J1594" s="76"/>
      <c r="K1594" s="58" t="str">
        <f>IFERROR(VLOOKUP(L1594,'Raw material list'!$A$3:$C$715,3,0),"")</f>
        <v>DRS6-309</v>
      </c>
      <c r="L1594" s="59" t="s">
        <v>61</v>
      </c>
      <c r="M1594" s="80" t="s">
        <v>156</v>
      </c>
      <c r="N1594" s="40" t="str">
        <f>VLOOKUP(L1594,'Raw material list'!$A$3:$E$715,5,0)</f>
        <v xml:space="preserve">Gram </v>
      </c>
      <c r="O1594" s="80">
        <v>2</v>
      </c>
      <c r="P1594" s="299">
        <f t="shared" si="201"/>
        <v>2</v>
      </c>
      <c r="Q1594" s="303">
        <v>100</v>
      </c>
      <c r="R1594" s="80">
        <v>14</v>
      </c>
      <c r="S1594" s="80"/>
      <c r="T1594" s="105">
        <f t="shared" si="210"/>
        <v>0.14285714285714285</v>
      </c>
      <c r="U1594" s="105">
        <f t="shared" si="202"/>
        <v>0.14285714285714285</v>
      </c>
      <c r="V1594" s="104">
        <f>IFERROR(VLOOKUP(L1594,'Raw material list'!$A$2:$S$3102,6,0),0)</f>
        <v>2.8000000000000001E-2</v>
      </c>
      <c r="W1594" s="104">
        <f t="shared" si="203"/>
        <v>4.0000000000000001E-3</v>
      </c>
    </row>
    <row r="1595" spans="1:23" hidden="1" x14ac:dyDescent="0.55000000000000004">
      <c r="A1595" s="76" t="str">
        <f t="shared" si="213"/>
        <v>RCP-SMC-000106</v>
      </c>
      <c r="B1595" s="58" t="s">
        <v>35</v>
      </c>
      <c r="C1595" s="58" t="s">
        <v>10</v>
      </c>
      <c r="D1595" s="76" t="str">
        <f t="shared" si="214"/>
        <v>crème of corn soup</v>
      </c>
      <c r="E1595" s="76" t="s">
        <v>1633</v>
      </c>
      <c r="F1595" s="76" t="s">
        <v>2079</v>
      </c>
      <c r="G1595" s="94" t="s">
        <v>1779</v>
      </c>
      <c r="H1595" s="107" t="s">
        <v>1773</v>
      </c>
      <c r="I1595" s="76"/>
      <c r="J1595" s="76"/>
      <c r="K1595" s="58" t="str">
        <f>IFERROR(VLOOKUP(L1595,'Raw material list'!$A$3:$C$715,3,0),"")</f>
        <v>DRS1-3811</v>
      </c>
      <c r="L1595" s="59" t="s">
        <v>40</v>
      </c>
      <c r="M1595" s="80" t="s">
        <v>156</v>
      </c>
      <c r="N1595" s="40" t="str">
        <f>VLOOKUP(L1595,'Raw material list'!$A$3:$E$715,5,0)</f>
        <v xml:space="preserve">Gram </v>
      </c>
      <c r="O1595" s="80">
        <v>15</v>
      </c>
      <c r="P1595" s="299">
        <f t="shared" si="201"/>
        <v>15</v>
      </c>
      <c r="Q1595" s="80">
        <v>100</v>
      </c>
      <c r="R1595" s="80">
        <v>14</v>
      </c>
      <c r="S1595" s="80"/>
      <c r="T1595" s="105">
        <f t="shared" si="210"/>
        <v>1.0714285714285714</v>
      </c>
      <c r="U1595" s="105">
        <f t="shared" si="202"/>
        <v>1.0714285714285714</v>
      </c>
      <c r="V1595" s="104">
        <f>IFERROR(VLOOKUP(L1595,'Raw material list'!$A$2:$S$3102,6,0),0)</f>
        <v>2.8475E-2</v>
      </c>
      <c r="W1595" s="104">
        <f t="shared" si="203"/>
        <v>3.0508928571428572E-2</v>
      </c>
    </row>
    <row r="1596" spans="1:23" hidden="1" x14ac:dyDescent="0.55000000000000004">
      <c r="A1596" s="76" t="str">
        <f t="shared" si="213"/>
        <v>RCP-SMC-000106</v>
      </c>
      <c r="B1596" s="58" t="s">
        <v>35</v>
      </c>
      <c r="C1596" s="58" t="s">
        <v>10</v>
      </c>
      <c r="D1596" s="76" t="str">
        <f t="shared" si="214"/>
        <v>crème of corn soup</v>
      </c>
      <c r="E1596" s="76" t="s">
        <v>1633</v>
      </c>
      <c r="F1596" s="76" t="s">
        <v>2079</v>
      </c>
      <c r="G1596" s="94" t="s">
        <v>1779</v>
      </c>
      <c r="H1596" s="107" t="s">
        <v>1773</v>
      </c>
      <c r="I1596" s="76"/>
      <c r="J1596" s="76"/>
      <c r="K1596" s="58" t="str">
        <f>IFERROR(VLOOKUP(L1596,'Raw material list'!$A$3:$C$715,3,0),"")</f>
        <v>DRY2-1858</v>
      </c>
      <c r="L1596" s="59" t="s">
        <v>60</v>
      </c>
      <c r="M1596" s="80" t="s">
        <v>206</v>
      </c>
      <c r="N1596" s="40" t="str">
        <f>VLOOKUP(L1596,'Raw material list'!$A$3:$E$715,5,0)</f>
        <v>Ml</v>
      </c>
      <c r="O1596" s="80">
        <v>200</v>
      </c>
      <c r="P1596" s="299">
        <f t="shared" si="201"/>
        <v>200</v>
      </c>
      <c r="Q1596" s="80">
        <v>100</v>
      </c>
      <c r="R1596" s="80">
        <v>14</v>
      </c>
      <c r="S1596" s="80"/>
      <c r="T1596" s="105">
        <f t="shared" si="210"/>
        <v>14.285714285714286</v>
      </c>
      <c r="U1596" s="105">
        <f t="shared" si="202"/>
        <v>14.285714285714286</v>
      </c>
      <c r="V1596" s="104">
        <f>IFERROR(VLOOKUP(L1596,'Raw material list'!$A$2:$S$3102,6,0),0)</f>
        <v>9.8800000000000016E-3</v>
      </c>
      <c r="W1596" s="104">
        <f t="shared" si="203"/>
        <v>0.14114285714285718</v>
      </c>
    </row>
    <row r="1597" spans="1:23" hidden="1" x14ac:dyDescent="0.55000000000000004">
      <c r="A1597" s="76" t="str">
        <f t="shared" si="213"/>
        <v>RCP-SMC-000106</v>
      </c>
      <c r="B1597" s="58" t="s">
        <v>35</v>
      </c>
      <c r="C1597" s="58" t="s">
        <v>10</v>
      </c>
      <c r="D1597" s="76" t="str">
        <f t="shared" si="214"/>
        <v>crème of corn soup</v>
      </c>
      <c r="E1597" s="76" t="s">
        <v>1633</v>
      </c>
      <c r="F1597" s="76" t="s">
        <v>2079</v>
      </c>
      <c r="G1597" s="94" t="s">
        <v>1779</v>
      </c>
      <c r="H1597" s="107" t="s">
        <v>1773</v>
      </c>
      <c r="I1597" s="76"/>
      <c r="J1597" s="76"/>
      <c r="K1597" s="58" t="str">
        <f>IFERROR(VLOOKUP(L1597,'Raw material list'!$A$3:$C$715,3,0),"")</f>
        <v>TAP-00001</v>
      </c>
      <c r="L1597" s="59" t="s">
        <v>1405</v>
      </c>
      <c r="M1597" s="80" t="s">
        <v>206</v>
      </c>
      <c r="N1597" s="40" t="str">
        <f>VLOOKUP(L1597,'Raw material list'!$A$3:$E$715,5,0)</f>
        <v>Ml</v>
      </c>
      <c r="O1597" s="80">
        <v>2000</v>
      </c>
      <c r="P1597" s="299">
        <f t="shared" si="201"/>
        <v>2000</v>
      </c>
      <c r="Q1597" s="80">
        <v>100</v>
      </c>
      <c r="R1597" s="80">
        <v>14</v>
      </c>
      <c r="S1597" s="80"/>
      <c r="T1597" s="105">
        <f t="shared" si="210"/>
        <v>142.85714285714286</v>
      </c>
      <c r="U1597" s="105">
        <f t="shared" si="202"/>
        <v>142.85714285714286</v>
      </c>
      <c r="V1597" s="104">
        <f>IFERROR(VLOOKUP(L1597,'Raw material list'!$A$2:$S$3102,6,0),0)</f>
        <v>8.0000000000000007E-5</v>
      </c>
      <c r="W1597" s="104">
        <f t="shared" si="203"/>
        <v>1.142857142857143E-2</v>
      </c>
    </row>
    <row r="1598" spans="1:23" hidden="1" x14ac:dyDescent="0.55000000000000004">
      <c r="A1598" s="76" t="str">
        <f t="shared" si="213"/>
        <v>RCP-SMC-000106</v>
      </c>
      <c r="B1598" s="58" t="s">
        <v>35</v>
      </c>
      <c r="C1598" s="58" t="s">
        <v>10</v>
      </c>
      <c r="D1598" s="76" t="str">
        <f t="shared" si="214"/>
        <v>crème of corn soup</v>
      </c>
      <c r="E1598" s="76" t="s">
        <v>1633</v>
      </c>
      <c r="F1598" s="76" t="s">
        <v>2079</v>
      </c>
      <c r="G1598" s="94" t="s">
        <v>1779</v>
      </c>
      <c r="H1598" s="107" t="s">
        <v>1773</v>
      </c>
      <c r="I1598" s="76"/>
      <c r="J1598" s="76"/>
      <c r="K1598" s="58" t="str">
        <f>IFERROR(VLOOKUP(L1598,'Raw material list'!$A$3:$C$715,3,0),"")</f>
        <v>DRS1-1463</v>
      </c>
      <c r="L1598" s="59" t="s">
        <v>244</v>
      </c>
      <c r="M1598" s="80" t="s">
        <v>156</v>
      </c>
      <c r="N1598" s="40" t="str">
        <f>VLOOKUP(L1598,'Raw material list'!$A$3:$E$715,5,0)</f>
        <v xml:space="preserve">Gram </v>
      </c>
      <c r="O1598" s="80">
        <v>700</v>
      </c>
      <c r="P1598" s="299">
        <f t="shared" si="201"/>
        <v>700</v>
      </c>
      <c r="Q1598" s="80">
        <v>100</v>
      </c>
      <c r="R1598" s="80">
        <v>14</v>
      </c>
      <c r="S1598" s="80"/>
      <c r="T1598" s="105">
        <f t="shared" si="210"/>
        <v>50</v>
      </c>
      <c r="U1598" s="105">
        <f t="shared" si="202"/>
        <v>50</v>
      </c>
      <c r="V1598" s="104">
        <f>IFERROR(VLOOKUP(L1598,'Raw material list'!$A$2:$S$3102,6,0),0)</f>
        <v>0.01</v>
      </c>
      <c r="W1598" s="104">
        <f t="shared" si="203"/>
        <v>0.5</v>
      </c>
    </row>
    <row r="1599" spans="1:23" hidden="1" x14ac:dyDescent="0.55000000000000004">
      <c r="A1599" s="76" t="str">
        <f t="shared" si="213"/>
        <v>RCP-SMC-000106</v>
      </c>
      <c r="B1599" s="58" t="s">
        <v>35</v>
      </c>
      <c r="C1599" s="58" t="s">
        <v>10</v>
      </c>
      <c r="D1599" s="76" t="str">
        <f t="shared" si="214"/>
        <v>crème of corn soup</v>
      </c>
      <c r="E1599" s="76" t="s">
        <v>1633</v>
      </c>
      <c r="F1599" s="76" t="s">
        <v>2079</v>
      </c>
      <c r="G1599" s="94" t="s">
        <v>1779</v>
      </c>
      <c r="H1599" s="107" t="s">
        <v>1773</v>
      </c>
      <c r="I1599" s="76"/>
      <c r="J1599" s="76"/>
      <c r="K1599" s="58" t="str">
        <f>IFERROR(VLOOKUP(L1599,'Raw material list'!$A$3:$C$715,3,0),"")</f>
        <v>DRS5-980</v>
      </c>
      <c r="L1599" s="59" t="s">
        <v>446</v>
      </c>
      <c r="M1599" s="80" t="s">
        <v>156</v>
      </c>
      <c r="N1599" s="40" t="str">
        <f>VLOOKUP(L1599,'Raw material list'!$A$3:$E$715,5,0)</f>
        <v xml:space="preserve">Gram </v>
      </c>
      <c r="O1599" s="80">
        <v>25</v>
      </c>
      <c r="P1599" s="299">
        <f t="shared" si="201"/>
        <v>25</v>
      </c>
      <c r="Q1599" s="80">
        <v>100</v>
      </c>
      <c r="R1599" s="80">
        <v>14</v>
      </c>
      <c r="S1599" s="80"/>
      <c r="T1599" s="105">
        <f t="shared" si="210"/>
        <v>1.7857142857142858</v>
      </c>
      <c r="U1599" s="105">
        <f t="shared" si="202"/>
        <v>1.7857142857142858</v>
      </c>
      <c r="V1599" s="104">
        <f>IFERROR(VLOOKUP(L1599,'Raw material list'!$A$2:$S$3102,6,0),0)</f>
        <v>1E-3</v>
      </c>
      <c r="W1599" s="104">
        <f t="shared" si="203"/>
        <v>1.7857142857142859E-3</v>
      </c>
    </row>
    <row r="1600" spans="1:23" hidden="1" x14ac:dyDescent="0.55000000000000004">
      <c r="A1600" s="76" t="str">
        <f t="shared" si="213"/>
        <v>RCP-SMC-000106</v>
      </c>
      <c r="B1600" s="58" t="s">
        <v>35</v>
      </c>
      <c r="C1600" s="58" t="s">
        <v>10</v>
      </c>
      <c r="D1600" s="76" t="str">
        <f t="shared" si="214"/>
        <v>crème of corn soup</v>
      </c>
      <c r="E1600" s="76" t="s">
        <v>1633</v>
      </c>
      <c r="F1600" s="76" t="s">
        <v>2079</v>
      </c>
      <c r="G1600" s="94" t="s">
        <v>1779</v>
      </c>
      <c r="H1600" s="107" t="s">
        <v>1773</v>
      </c>
      <c r="I1600" s="76"/>
      <c r="J1600" s="76"/>
      <c r="K1600" s="58" t="str">
        <f>IFERROR(VLOOKUP(L1600,'Raw material list'!$A$3:$C$715,3,0),"")</f>
        <v>DRS1-3880</v>
      </c>
      <c r="L1600" s="59" t="s">
        <v>1433</v>
      </c>
      <c r="M1600" s="80" t="s">
        <v>156</v>
      </c>
      <c r="N1600" s="40" t="str">
        <f>VLOOKUP(L1600,'Raw material list'!$A$3:$E$715,5,0)</f>
        <v xml:space="preserve">Gram </v>
      </c>
      <c r="O1600" s="80">
        <v>8</v>
      </c>
      <c r="P1600" s="299">
        <f t="shared" si="201"/>
        <v>8</v>
      </c>
      <c r="Q1600" s="80">
        <v>100</v>
      </c>
      <c r="R1600" s="80">
        <v>14</v>
      </c>
      <c r="S1600" s="80"/>
      <c r="T1600" s="105">
        <f t="shared" si="210"/>
        <v>0.5714285714285714</v>
      </c>
      <c r="U1600" s="105">
        <f t="shared" si="202"/>
        <v>0.5714285714285714</v>
      </c>
      <c r="V1600" s="104">
        <f>IFERROR(VLOOKUP(L1600,'Raw material list'!$A$2:$S$3102,6,0),0)</f>
        <v>5.0000000000000001E-4</v>
      </c>
      <c r="W1600" s="104">
        <f t="shared" si="203"/>
        <v>2.8571428571428568E-4</v>
      </c>
    </row>
    <row r="1601" spans="1:23" hidden="1" x14ac:dyDescent="0.55000000000000004">
      <c r="A1601" s="76" t="str">
        <f t="shared" si="213"/>
        <v>RCP-SMC-000106</v>
      </c>
      <c r="B1601" s="58" t="s">
        <v>35</v>
      </c>
      <c r="C1601" s="58" t="s">
        <v>10</v>
      </c>
      <c r="D1601" s="76" t="str">
        <f t="shared" si="214"/>
        <v>crème of corn soup</v>
      </c>
      <c r="E1601" s="76" t="s">
        <v>1633</v>
      </c>
      <c r="F1601" s="76" t="s">
        <v>2079</v>
      </c>
      <c r="G1601" s="94" t="s">
        <v>1779</v>
      </c>
      <c r="H1601" s="107" t="s">
        <v>1773</v>
      </c>
      <c r="I1601" s="76"/>
      <c r="J1601" s="76"/>
      <c r="K1601" s="58" t="str">
        <f>IFERROR(VLOOKUP(L1601,'Raw material list'!$A$3:$C$715,3,0),"")</f>
        <v>DRS1-304</v>
      </c>
      <c r="L1601" s="59" t="s">
        <v>74</v>
      </c>
      <c r="M1601" s="80" t="s">
        <v>156</v>
      </c>
      <c r="N1601" s="40" t="str">
        <f>VLOOKUP(L1601,'Raw material list'!$A$3:$E$715,5,0)</f>
        <v xml:space="preserve">Gram </v>
      </c>
      <c r="O1601" s="80">
        <v>1</v>
      </c>
      <c r="P1601" s="299">
        <f t="shared" si="201"/>
        <v>1</v>
      </c>
      <c r="Q1601" s="80">
        <v>100</v>
      </c>
      <c r="R1601" s="80">
        <v>14</v>
      </c>
      <c r="S1601" s="80"/>
      <c r="T1601" s="105">
        <f t="shared" si="210"/>
        <v>7.1428571428571425E-2</v>
      </c>
      <c r="U1601" s="105">
        <f t="shared" si="202"/>
        <v>7.1428571428571425E-2</v>
      </c>
      <c r="V1601" s="104">
        <f>IFERROR(VLOOKUP(L1601,'Raw material list'!$A$2:$S$3102,6,0),0)</f>
        <v>2.0799999999999999E-2</v>
      </c>
      <c r="W1601" s="104">
        <f t="shared" si="203"/>
        <v>1.4857142857142855E-3</v>
      </c>
    </row>
    <row r="1602" spans="1:23" hidden="1" x14ac:dyDescent="0.55000000000000004">
      <c r="A1602" s="76" t="s">
        <v>1651</v>
      </c>
      <c r="B1602" s="58" t="s">
        <v>35</v>
      </c>
      <c r="C1602" s="58" t="s">
        <v>10</v>
      </c>
      <c r="D1602" s="76" t="s">
        <v>1634</v>
      </c>
      <c r="E1602" s="76" t="s">
        <v>1633</v>
      </c>
      <c r="F1602" s="76" t="s">
        <v>2079</v>
      </c>
      <c r="G1602" s="94" t="s">
        <v>1779</v>
      </c>
      <c r="H1602" s="107" t="s">
        <v>1773</v>
      </c>
      <c r="I1602" s="76"/>
      <c r="J1602" s="76"/>
      <c r="K1602" s="58" t="str">
        <f>IFERROR(VLOOKUP(L1602,'Raw material list'!$A$3:$C$715,3,0),"")</f>
        <v>DRY2-1008</v>
      </c>
      <c r="L1602" s="59" t="s">
        <v>57</v>
      </c>
      <c r="M1602" s="80" t="s">
        <v>156</v>
      </c>
      <c r="N1602" s="40" t="str">
        <f>VLOOKUP(L1602,'Raw material list'!$A$3:$E$715,5,0)</f>
        <v xml:space="preserve">Gram </v>
      </c>
      <c r="O1602" s="80">
        <v>25</v>
      </c>
      <c r="P1602" s="299">
        <f t="shared" si="201"/>
        <v>25</v>
      </c>
      <c r="Q1602" s="80">
        <v>100</v>
      </c>
      <c r="R1602" s="80">
        <v>14</v>
      </c>
      <c r="S1602" s="80"/>
      <c r="T1602" s="105">
        <f t="shared" si="210"/>
        <v>1.7857142857142858</v>
      </c>
      <c r="U1602" s="105">
        <f t="shared" si="202"/>
        <v>1.7857142857142858</v>
      </c>
      <c r="V1602" s="104">
        <f>IFERROR(VLOOKUP(L1602,'Raw material list'!$A$2:$S$3102,6,0),0)</f>
        <v>0.03</v>
      </c>
      <c r="W1602" s="104">
        <f t="shared" si="203"/>
        <v>5.3571428571428575E-2</v>
      </c>
    </row>
    <row r="1603" spans="1:23" hidden="1" x14ac:dyDescent="0.55000000000000004">
      <c r="A1603" s="76" t="str">
        <f t="shared" ref="A1603:A1612" si="215">A1602</f>
        <v>RCP-SMC-000107</v>
      </c>
      <c r="B1603" s="58" t="s">
        <v>35</v>
      </c>
      <c r="C1603" s="58" t="s">
        <v>10</v>
      </c>
      <c r="D1603" s="76" t="str">
        <f t="shared" ref="D1603:D1612" si="216">D1602</f>
        <v xml:space="preserve">Strained Creme Corn </v>
      </c>
      <c r="E1603" s="76" t="s">
        <v>1633</v>
      </c>
      <c r="F1603" s="76" t="s">
        <v>2079</v>
      </c>
      <c r="G1603" s="94" t="s">
        <v>1779</v>
      </c>
      <c r="H1603" s="107" t="s">
        <v>1773</v>
      </c>
      <c r="I1603" s="76"/>
      <c r="J1603" s="76"/>
      <c r="K1603" s="58" t="str">
        <f>IFERROR(VLOOKUP(L1603,'Raw material list'!$A$3:$C$715,3,0),"")</f>
        <v>PRD1-4265</v>
      </c>
      <c r="L1603" s="59" t="s">
        <v>38</v>
      </c>
      <c r="M1603" s="80" t="s">
        <v>156</v>
      </c>
      <c r="N1603" s="40" t="str">
        <f>VLOOKUP(L1603,'Raw material list'!$A$3:$E$715,5,0)</f>
        <v xml:space="preserve">Gram </v>
      </c>
      <c r="O1603" s="80">
        <v>100</v>
      </c>
      <c r="P1603" s="299">
        <f t="shared" si="201"/>
        <v>117.64705882352942</v>
      </c>
      <c r="Q1603" s="105">
        <v>85</v>
      </c>
      <c r="R1603" s="80">
        <v>14</v>
      </c>
      <c r="S1603" s="80"/>
      <c r="T1603" s="105">
        <f t="shared" si="210"/>
        <v>7.1428571428571432</v>
      </c>
      <c r="U1603" s="105">
        <f t="shared" si="202"/>
        <v>8.4033613445378155</v>
      </c>
      <c r="V1603" s="104">
        <f>IFERROR(VLOOKUP(L1603,'Raw material list'!$A$2:$S$3102,6,0),0)</f>
        <v>3.529411764705882E-3</v>
      </c>
      <c r="W1603" s="104">
        <f t="shared" si="203"/>
        <v>2.9658922392486405E-2</v>
      </c>
    </row>
    <row r="1604" spans="1:23" hidden="1" x14ac:dyDescent="0.55000000000000004">
      <c r="A1604" s="76" t="str">
        <f t="shared" si="215"/>
        <v>RCP-SMC-000107</v>
      </c>
      <c r="B1604" s="58" t="s">
        <v>35</v>
      </c>
      <c r="C1604" s="58" t="s">
        <v>10</v>
      </c>
      <c r="D1604" s="76" t="str">
        <f t="shared" si="216"/>
        <v xml:space="preserve">Strained Creme Corn </v>
      </c>
      <c r="E1604" s="76" t="s">
        <v>1633</v>
      </c>
      <c r="F1604" s="76" t="s">
        <v>2079</v>
      </c>
      <c r="G1604" s="94" t="s">
        <v>1779</v>
      </c>
      <c r="H1604" s="107" t="s">
        <v>1773</v>
      </c>
      <c r="I1604" s="76"/>
      <c r="J1604" s="76"/>
      <c r="K1604" s="58" t="str">
        <f>IFERROR(VLOOKUP(L1604,'Raw material list'!$A$3:$C$715,3,0),"")</f>
        <v>PRD1-4327</v>
      </c>
      <c r="L1604" s="59" t="s">
        <v>39</v>
      </c>
      <c r="M1604" s="80" t="s">
        <v>156</v>
      </c>
      <c r="N1604" s="40" t="str">
        <f>VLOOKUP(L1604,'Raw material list'!$A$3:$E$715,5,0)</f>
        <v xml:space="preserve">Gram </v>
      </c>
      <c r="O1604" s="80">
        <v>15</v>
      </c>
      <c r="P1604" s="299">
        <f t="shared" si="201"/>
        <v>18.072289156626507</v>
      </c>
      <c r="Q1604" s="105">
        <v>83</v>
      </c>
      <c r="R1604" s="80">
        <v>14</v>
      </c>
      <c r="S1604" s="80"/>
      <c r="T1604" s="105">
        <f t="shared" si="210"/>
        <v>1.0714285714285714</v>
      </c>
      <c r="U1604" s="105">
        <f t="shared" si="202"/>
        <v>1.2908777969018934</v>
      </c>
      <c r="V1604" s="104">
        <f>IFERROR(VLOOKUP(L1604,'Raw material list'!$A$2:$S$3102,6,0),0)</f>
        <v>1.2999999999999999E-2</v>
      </c>
      <c r="W1604" s="104">
        <f t="shared" si="203"/>
        <v>1.6781411359724614E-2</v>
      </c>
    </row>
    <row r="1605" spans="1:23" hidden="1" x14ac:dyDescent="0.55000000000000004">
      <c r="A1605" s="76" t="str">
        <f t="shared" si="215"/>
        <v>RCP-SMC-000107</v>
      </c>
      <c r="B1605" s="58" t="s">
        <v>35</v>
      </c>
      <c r="C1605" s="58" t="s">
        <v>10</v>
      </c>
      <c r="D1605" s="76" t="str">
        <f t="shared" si="216"/>
        <v xml:space="preserve">Strained Creme Corn </v>
      </c>
      <c r="E1605" s="76" t="s">
        <v>1633</v>
      </c>
      <c r="F1605" s="76" t="s">
        <v>2079</v>
      </c>
      <c r="G1605" s="94" t="s">
        <v>1779</v>
      </c>
      <c r="H1605" s="107" t="s">
        <v>1773</v>
      </c>
      <c r="I1605" s="76"/>
      <c r="J1605" s="76"/>
      <c r="K1605" s="58" t="str">
        <f>IFERROR(VLOOKUP(L1605,'Raw material list'!$A$3:$C$715,3,0),"")</f>
        <v>DRS6-309</v>
      </c>
      <c r="L1605" s="59" t="s">
        <v>61</v>
      </c>
      <c r="M1605" s="80" t="s">
        <v>156</v>
      </c>
      <c r="N1605" s="40" t="str">
        <f>VLOOKUP(L1605,'Raw material list'!$A$3:$E$715,5,0)</f>
        <v xml:space="preserve">Gram </v>
      </c>
      <c r="O1605" s="80">
        <v>2</v>
      </c>
      <c r="P1605" s="299">
        <f t="shared" si="201"/>
        <v>2</v>
      </c>
      <c r="Q1605" s="303">
        <v>100</v>
      </c>
      <c r="R1605" s="80">
        <v>14</v>
      </c>
      <c r="S1605" s="80"/>
      <c r="T1605" s="105">
        <f t="shared" si="210"/>
        <v>0.14285714285714285</v>
      </c>
      <c r="U1605" s="105">
        <f t="shared" si="202"/>
        <v>0.14285714285714285</v>
      </c>
      <c r="V1605" s="104">
        <f>IFERROR(VLOOKUP(L1605,'Raw material list'!$A$2:$S$3102,6,0),0)</f>
        <v>2.8000000000000001E-2</v>
      </c>
      <c r="W1605" s="104">
        <f t="shared" si="203"/>
        <v>4.0000000000000001E-3</v>
      </c>
    </row>
    <row r="1606" spans="1:23" hidden="1" x14ac:dyDescent="0.55000000000000004">
      <c r="A1606" s="76" t="str">
        <f t="shared" si="215"/>
        <v>RCP-SMC-000107</v>
      </c>
      <c r="B1606" s="58" t="s">
        <v>35</v>
      </c>
      <c r="C1606" s="58" t="s">
        <v>10</v>
      </c>
      <c r="D1606" s="76" t="str">
        <f t="shared" si="216"/>
        <v xml:space="preserve">Strained Creme Corn </v>
      </c>
      <c r="E1606" s="76" t="s">
        <v>1633</v>
      </c>
      <c r="F1606" s="76" t="s">
        <v>2079</v>
      </c>
      <c r="G1606" s="94" t="s">
        <v>1779</v>
      </c>
      <c r="H1606" s="107" t="s">
        <v>1773</v>
      </c>
      <c r="I1606" s="76"/>
      <c r="J1606" s="76"/>
      <c r="K1606" s="58" t="str">
        <f>IFERROR(VLOOKUP(L1606,'Raw material list'!$A$3:$C$715,3,0),"")</f>
        <v>DRS1-3811</v>
      </c>
      <c r="L1606" s="59" t="s">
        <v>40</v>
      </c>
      <c r="M1606" s="80" t="s">
        <v>156</v>
      </c>
      <c r="N1606" s="40" t="str">
        <f>VLOOKUP(L1606,'Raw material list'!$A$3:$E$715,5,0)</f>
        <v xml:space="preserve">Gram </v>
      </c>
      <c r="O1606" s="80">
        <v>15</v>
      </c>
      <c r="P1606" s="299">
        <f t="shared" ref="P1606:P1669" si="217">O1606/Q1606*100</f>
        <v>15</v>
      </c>
      <c r="Q1606" s="80">
        <v>100</v>
      </c>
      <c r="R1606" s="80">
        <v>14</v>
      </c>
      <c r="S1606" s="80"/>
      <c r="T1606" s="105">
        <f t="shared" si="210"/>
        <v>1.0714285714285714</v>
      </c>
      <c r="U1606" s="105">
        <f t="shared" ref="U1606:U1669" si="218">IFERROR(P1606/R1606,0)</f>
        <v>1.0714285714285714</v>
      </c>
      <c r="V1606" s="104">
        <f>IFERROR(VLOOKUP(L1606,'Raw material list'!$A$2:$S$3102,6,0),0)</f>
        <v>2.8475E-2</v>
      </c>
      <c r="W1606" s="104">
        <f t="shared" ref="W1606:W1669" si="219">IFERROR(V1606*U1606,0)</f>
        <v>3.0508928571428572E-2</v>
      </c>
    </row>
    <row r="1607" spans="1:23" hidden="1" x14ac:dyDescent="0.55000000000000004">
      <c r="A1607" s="76" t="str">
        <f t="shared" si="215"/>
        <v>RCP-SMC-000107</v>
      </c>
      <c r="B1607" s="58" t="s">
        <v>35</v>
      </c>
      <c r="C1607" s="58" t="s">
        <v>10</v>
      </c>
      <c r="D1607" s="76" t="str">
        <f t="shared" si="216"/>
        <v xml:space="preserve">Strained Creme Corn </v>
      </c>
      <c r="E1607" s="76" t="s">
        <v>1633</v>
      </c>
      <c r="F1607" s="76" t="s">
        <v>2079</v>
      </c>
      <c r="G1607" s="94" t="s">
        <v>1779</v>
      </c>
      <c r="H1607" s="107" t="s">
        <v>1773</v>
      </c>
      <c r="I1607" s="76"/>
      <c r="J1607" s="76"/>
      <c r="K1607" s="58" t="str">
        <f>IFERROR(VLOOKUP(L1607,'Raw material list'!$A$3:$C$715,3,0),"")</f>
        <v>DRY2-1858</v>
      </c>
      <c r="L1607" s="59" t="s">
        <v>60</v>
      </c>
      <c r="M1607" s="80" t="s">
        <v>206</v>
      </c>
      <c r="N1607" s="40" t="str">
        <f>VLOOKUP(L1607,'Raw material list'!$A$3:$E$715,5,0)</f>
        <v>Ml</v>
      </c>
      <c r="O1607" s="80">
        <v>200</v>
      </c>
      <c r="P1607" s="299">
        <f t="shared" si="217"/>
        <v>200</v>
      </c>
      <c r="Q1607" s="80">
        <v>100</v>
      </c>
      <c r="R1607" s="80">
        <v>14</v>
      </c>
      <c r="S1607" s="80"/>
      <c r="T1607" s="105">
        <f t="shared" si="210"/>
        <v>14.285714285714286</v>
      </c>
      <c r="U1607" s="105">
        <f t="shared" si="218"/>
        <v>14.285714285714286</v>
      </c>
      <c r="V1607" s="104">
        <f>IFERROR(VLOOKUP(L1607,'Raw material list'!$A$2:$S$3102,6,0),0)</f>
        <v>9.8800000000000016E-3</v>
      </c>
      <c r="W1607" s="104">
        <f t="shared" si="219"/>
        <v>0.14114285714285718</v>
      </c>
    </row>
    <row r="1608" spans="1:23" hidden="1" x14ac:dyDescent="0.55000000000000004">
      <c r="A1608" s="76" t="str">
        <f t="shared" si="215"/>
        <v>RCP-SMC-000107</v>
      </c>
      <c r="B1608" s="58" t="s">
        <v>35</v>
      </c>
      <c r="C1608" s="58" t="s">
        <v>10</v>
      </c>
      <c r="D1608" s="76" t="str">
        <f t="shared" si="216"/>
        <v xml:space="preserve">Strained Creme Corn </v>
      </c>
      <c r="E1608" s="76" t="s">
        <v>1633</v>
      </c>
      <c r="F1608" s="76" t="s">
        <v>2079</v>
      </c>
      <c r="G1608" s="94" t="s">
        <v>1779</v>
      </c>
      <c r="H1608" s="107" t="s">
        <v>1773</v>
      </c>
      <c r="I1608" s="76"/>
      <c r="J1608" s="76"/>
      <c r="K1608" s="58" t="str">
        <f>IFERROR(VLOOKUP(L1608,'Raw material list'!$A$3:$C$715,3,0),"")</f>
        <v>TAP-00001</v>
      </c>
      <c r="L1608" s="59" t="s">
        <v>1405</v>
      </c>
      <c r="M1608" s="80" t="s">
        <v>206</v>
      </c>
      <c r="N1608" s="40" t="str">
        <f>VLOOKUP(L1608,'Raw material list'!$A$3:$E$715,5,0)</f>
        <v>Ml</v>
      </c>
      <c r="O1608" s="80">
        <v>2000</v>
      </c>
      <c r="P1608" s="299">
        <f t="shared" si="217"/>
        <v>2000</v>
      </c>
      <c r="Q1608" s="80">
        <v>100</v>
      </c>
      <c r="R1608" s="80">
        <v>14</v>
      </c>
      <c r="S1608" s="80"/>
      <c r="T1608" s="105">
        <f t="shared" si="210"/>
        <v>142.85714285714286</v>
      </c>
      <c r="U1608" s="105">
        <f t="shared" si="218"/>
        <v>142.85714285714286</v>
      </c>
      <c r="V1608" s="104">
        <f>IFERROR(VLOOKUP(L1608,'Raw material list'!$A$2:$S$3102,6,0),0)</f>
        <v>8.0000000000000007E-5</v>
      </c>
      <c r="W1608" s="104">
        <f t="shared" si="219"/>
        <v>1.142857142857143E-2</v>
      </c>
    </row>
    <row r="1609" spans="1:23" hidden="1" x14ac:dyDescent="0.55000000000000004">
      <c r="A1609" s="76" t="str">
        <f t="shared" si="215"/>
        <v>RCP-SMC-000107</v>
      </c>
      <c r="B1609" s="58" t="s">
        <v>35</v>
      </c>
      <c r="C1609" s="58" t="s">
        <v>10</v>
      </c>
      <c r="D1609" s="76" t="str">
        <f t="shared" si="216"/>
        <v xml:space="preserve">Strained Creme Corn </v>
      </c>
      <c r="E1609" s="76" t="s">
        <v>1633</v>
      </c>
      <c r="F1609" s="76" t="s">
        <v>2079</v>
      </c>
      <c r="G1609" s="94" t="s">
        <v>1779</v>
      </c>
      <c r="H1609" s="107" t="s">
        <v>1773</v>
      </c>
      <c r="I1609" s="76"/>
      <c r="J1609" s="76"/>
      <c r="K1609" s="58" t="str">
        <f>IFERROR(VLOOKUP(L1609,'Raw material list'!$A$3:$C$715,3,0),"")</f>
        <v>DRS1-1463</v>
      </c>
      <c r="L1609" s="59" t="s">
        <v>244</v>
      </c>
      <c r="M1609" s="80" t="s">
        <v>156</v>
      </c>
      <c r="N1609" s="40" t="str">
        <f>VLOOKUP(L1609,'Raw material list'!$A$3:$E$715,5,0)</f>
        <v xml:space="preserve">Gram </v>
      </c>
      <c r="O1609" s="80">
        <v>700</v>
      </c>
      <c r="P1609" s="299">
        <f t="shared" si="217"/>
        <v>700</v>
      </c>
      <c r="Q1609" s="80">
        <v>100</v>
      </c>
      <c r="R1609" s="80">
        <v>14</v>
      </c>
      <c r="S1609" s="80"/>
      <c r="T1609" s="105">
        <f t="shared" si="210"/>
        <v>50</v>
      </c>
      <c r="U1609" s="105">
        <f t="shared" si="218"/>
        <v>50</v>
      </c>
      <c r="V1609" s="104">
        <f>IFERROR(VLOOKUP(L1609,'Raw material list'!$A$2:$S$3102,6,0),0)</f>
        <v>0.01</v>
      </c>
      <c r="W1609" s="104">
        <f t="shared" si="219"/>
        <v>0.5</v>
      </c>
    </row>
    <row r="1610" spans="1:23" hidden="1" x14ac:dyDescent="0.55000000000000004">
      <c r="A1610" s="76" t="str">
        <f t="shared" si="215"/>
        <v>RCP-SMC-000107</v>
      </c>
      <c r="B1610" s="58" t="s">
        <v>35</v>
      </c>
      <c r="C1610" s="58" t="s">
        <v>10</v>
      </c>
      <c r="D1610" s="76" t="str">
        <f t="shared" si="216"/>
        <v xml:space="preserve">Strained Creme Corn </v>
      </c>
      <c r="E1610" s="76" t="s">
        <v>1633</v>
      </c>
      <c r="F1610" s="76" t="s">
        <v>2079</v>
      </c>
      <c r="G1610" s="94" t="s">
        <v>1779</v>
      </c>
      <c r="H1610" s="107" t="s">
        <v>1773</v>
      </c>
      <c r="I1610" s="76"/>
      <c r="J1610" s="76"/>
      <c r="K1610" s="58" t="str">
        <f>IFERROR(VLOOKUP(L1610,'Raw material list'!$A$3:$C$715,3,0),"")</f>
        <v>DRS5-980</v>
      </c>
      <c r="L1610" s="59" t="s">
        <v>446</v>
      </c>
      <c r="M1610" s="80" t="s">
        <v>156</v>
      </c>
      <c r="N1610" s="40" t="str">
        <f>VLOOKUP(L1610,'Raw material list'!$A$3:$E$715,5,0)</f>
        <v xml:space="preserve">Gram </v>
      </c>
      <c r="O1610" s="80">
        <v>25</v>
      </c>
      <c r="P1610" s="299">
        <f t="shared" si="217"/>
        <v>25</v>
      </c>
      <c r="Q1610" s="80">
        <v>100</v>
      </c>
      <c r="R1610" s="80">
        <v>14</v>
      </c>
      <c r="S1610" s="80"/>
      <c r="T1610" s="105">
        <f t="shared" si="210"/>
        <v>1.7857142857142858</v>
      </c>
      <c r="U1610" s="105">
        <f t="shared" si="218"/>
        <v>1.7857142857142858</v>
      </c>
      <c r="V1610" s="104">
        <f>IFERROR(VLOOKUP(L1610,'Raw material list'!$A$2:$S$3102,6,0),0)</f>
        <v>1E-3</v>
      </c>
      <c r="W1610" s="104">
        <f t="shared" si="219"/>
        <v>1.7857142857142859E-3</v>
      </c>
    </row>
    <row r="1611" spans="1:23" hidden="1" x14ac:dyDescent="0.55000000000000004">
      <c r="A1611" s="76" t="str">
        <f t="shared" si="215"/>
        <v>RCP-SMC-000107</v>
      </c>
      <c r="B1611" s="58" t="s">
        <v>35</v>
      </c>
      <c r="C1611" s="58" t="s">
        <v>10</v>
      </c>
      <c r="D1611" s="76" t="str">
        <f t="shared" si="216"/>
        <v xml:space="preserve">Strained Creme Corn </v>
      </c>
      <c r="E1611" s="76" t="s">
        <v>1633</v>
      </c>
      <c r="F1611" s="76" t="s">
        <v>2079</v>
      </c>
      <c r="G1611" s="94" t="s">
        <v>1779</v>
      </c>
      <c r="H1611" s="107" t="s">
        <v>1773</v>
      </c>
      <c r="I1611" s="76"/>
      <c r="J1611" s="76"/>
      <c r="K1611" s="58" t="str">
        <f>IFERROR(VLOOKUP(L1611,'Raw material list'!$A$3:$C$715,3,0),"")</f>
        <v>DRS1-3880</v>
      </c>
      <c r="L1611" s="59" t="s">
        <v>1433</v>
      </c>
      <c r="M1611" s="80" t="s">
        <v>156</v>
      </c>
      <c r="N1611" s="40" t="str">
        <f>VLOOKUP(L1611,'Raw material list'!$A$3:$E$715,5,0)</f>
        <v xml:space="preserve">Gram </v>
      </c>
      <c r="O1611" s="80">
        <v>8</v>
      </c>
      <c r="P1611" s="299">
        <f t="shared" si="217"/>
        <v>8</v>
      </c>
      <c r="Q1611" s="80">
        <v>100</v>
      </c>
      <c r="R1611" s="80">
        <v>14</v>
      </c>
      <c r="S1611" s="80"/>
      <c r="T1611" s="105">
        <f t="shared" si="210"/>
        <v>0.5714285714285714</v>
      </c>
      <c r="U1611" s="105">
        <f t="shared" si="218"/>
        <v>0.5714285714285714</v>
      </c>
      <c r="V1611" s="104">
        <f>IFERROR(VLOOKUP(L1611,'Raw material list'!$A$2:$S$3102,6,0),0)</f>
        <v>5.0000000000000001E-4</v>
      </c>
      <c r="W1611" s="104">
        <f t="shared" si="219"/>
        <v>2.8571428571428568E-4</v>
      </c>
    </row>
    <row r="1612" spans="1:23" hidden="1" x14ac:dyDescent="0.55000000000000004">
      <c r="A1612" s="76" t="str">
        <f t="shared" si="215"/>
        <v>RCP-SMC-000107</v>
      </c>
      <c r="B1612" s="58" t="s">
        <v>35</v>
      </c>
      <c r="C1612" s="58" t="s">
        <v>10</v>
      </c>
      <c r="D1612" s="76" t="str">
        <f t="shared" si="216"/>
        <v xml:space="preserve">Strained Creme Corn </v>
      </c>
      <c r="E1612" s="76" t="s">
        <v>1633</v>
      </c>
      <c r="F1612" s="76" t="s">
        <v>2079</v>
      </c>
      <c r="G1612" s="94" t="s">
        <v>1779</v>
      </c>
      <c r="H1612" s="107" t="s">
        <v>1773</v>
      </c>
      <c r="I1612" s="76"/>
      <c r="J1612" s="76"/>
      <c r="K1612" s="58" t="str">
        <f>IFERROR(VLOOKUP(L1612,'Raw material list'!$A$3:$C$715,3,0),"")</f>
        <v>DRS1-304</v>
      </c>
      <c r="L1612" s="59" t="s">
        <v>74</v>
      </c>
      <c r="M1612" s="80" t="s">
        <v>156</v>
      </c>
      <c r="N1612" s="40" t="str">
        <f>VLOOKUP(L1612,'Raw material list'!$A$3:$E$715,5,0)</f>
        <v xml:space="preserve">Gram </v>
      </c>
      <c r="O1612" s="80">
        <v>1</v>
      </c>
      <c r="P1612" s="299">
        <f t="shared" si="217"/>
        <v>1</v>
      </c>
      <c r="Q1612" s="80">
        <v>100</v>
      </c>
      <c r="R1612" s="80">
        <v>14</v>
      </c>
      <c r="S1612" s="80"/>
      <c r="T1612" s="105">
        <f t="shared" si="210"/>
        <v>7.1428571428571425E-2</v>
      </c>
      <c r="U1612" s="105">
        <f t="shared" si="218"/>
        <v>7.1428571428571425E-2</v>
      </c>
      <c r="V1612" s="104">
        <f>IFERROR(VLOOKUP(L1612,'Raw material list'!$A$2:$S$3102,6,0),0)</f>
        <v>2.0799999999999999E-2</v>
      </c>
      <c r="W1612" s="104">
        <f t="shared" si="219"/>
        <v>1.4857142857142855E-3</v>
      </c>
    </row>
    <row r="1613" spans="1:23" hidden="1" x14ac:dyDescent="0.55000000000000004">
      <c r="A1613" s="76" t="s">
        <v>1652</v>
      </c>
      <c r="B1613" s="58" t="s">
        <v>35</v>
      </c>
      <c r="C1613" s="58" t="s">
        <v>10</v>
      </c>
      <c r="D1613" s="76" t="s">
        <v>1628</v>
      </c>
      <c r="E1613" s="76" t="s">
        <v>1507</v>
      </c>
      <c r="F1613" s="76" t="s">
        <v>2079</v>
      </c>
      <c r="G1613" s="94" t="s">
        <v>1779</v>
      </c>
      <c r="H1613" s="107" t="s">
        <v>1774</v>
      </c>
      <c r="I1613" s="76"/>
      <c r="J1613" s="76"/>
      <c r="K1613" s="58" t="str">
        <f>IFERROR(VLOOKUP(L1613,'Raw material list'!$A$3:$C$715,3,0),"")</f>
        <v>DRY2-1008</v>
      </c>
      <c r="L1613" s="59" t="s">
        <v>57</v>
      </c>
      <c r="M1613" s="80" t="s">
        <v>156</v>
      </c>
      <c r="N1613" s="40" t="str">
        <f>VLOOKUP(L1613,'Raw material list'!$A$3:$E$715,5,0)</f>
        <v xml:space="preserve">Gram </v>
      </c>
      <c r="O1613" s="80">
        <v>20</v>
      </c>
      <c r="P1613" s="299">
        <f t="shared" si="217"/>
        <v>20</v>
      </c>
      <c r="Q1613" s="80">
        <v>100</v>
      </c>
      <c r="R1613" s="80">
        <v>14</v>
      </c>
      <c r="S1613" s="80"/>
      <c r="T1613" s="105">
        <f t="shared" si="210"/>
        <v>1.4285714285714286</v>
      </c>
      <c r="U1613" s="105">
        <f t="shared" si="218"/>
        <v>1.4285714285714286</v>
      </c>
      <c r="V1613" s="104">
        <f>IFERROR(VLOOKUP(L1613,'Raw material list'!$A$2:$S$3102,6,0),0)</f>
        <v>0.03</v>
      </c>
      <c r="W1613" s="104">
        <f t="shared" si="219"/>
        <v>4.2857142857142858E-2</v>
      </c>
    </row>
    <row r="1614" spans="1:23" hidden="1" x14ac:dyDescent="0.55000000000000004">
      <c r="A1614" s="76" t="str">
        <f t="shared" ref="A1614:A1622" si="220">A1613</f>
        <v>RCP-SMC-000108</v>
      </c>
      <c r="B1614" s="58" t="s">
        <v>35</v>
      </c>
      <c r="C1614" s="58" t="s">
        <v>10</v>
      </c>
      <c r="D1614" s="76" t="s">
        <v>1628</v>
      </c>
      <c r="E1614" s="76" t="s">
        <v>1507</v>
      </c>
      <c r="F1614" s="76" t="s">
        <v>2079</v>
      </c>
      <c r="G1614" s="94" t="s">
        <v>1779</v>
      </c>
      <c r="H1614" s="107" t="s">
        <v>1774</v>
      </c>
      <c r="I1614" s="76"/>
      <c r="J1614" s="76"/>
      <c r="K1614" s="58" t="str">
        <f>IFERROR(VLOOKUP(L1614,'Raw material list'!$A$3:$C$715,3,0),"")</f>
        <v>PRD1-4019</v>
      </c>
      <c r="L1614" s="59" t="s">
        <v>119</v>
      </c>
      <c r="M1614" s="80" t="s">
        <v>156</v>
      </c>
      <c r="N1614" s="40" t="str">
        <f>VLOOKUP(L1614,'Raw material list'!$A$3:$E$715,5,0)</f>
        <v xml:space="preserve">Gram </v>
      </c>
      <c r="O1614" s="80">
        <v>50</v>
      </c>
      <c r="P1614" s="299">
        <f t="shared" si="217"/>
        <v>76.923076923076934</v>
      </c>
      <c r="Q1614" s="105">
        <v>65</v>
      </c>
      <c r="R1614" s="80">
        <v>14</v>
      </c>
      <c r="S1614" s="80"/>
      <c r="T1614" s="105">
        <f t="shared" si="210"/>
        <v>3.5714285714285716</v>
      </c>
      <c r="U1614" s="105">
        <f t="shared" si="218"/>
        <v>5.4945054945054954</v>
      </c>
      <c r="V1614" s="104">
        <f>IFERROR(VLOOKUP(L1614,'Raw material list'!$A$2:$S$3102,6,0),0)</f>
        <v>0.02</v>
      </c>
      <c r="W1614" s="104">
        <f t="shared" si="219"/>
        <v>0.10989010989010992</v>
      </c>
    </row>
    <row r="1615" spans="1:23" hidden="1" x14ac:dyDescent="0.55000000000000004">
      <c r="A1615" s="76" t="str">
        <f t="shared" si="220"/>
        <v>RCP-SMC-000108</v>
      </c>
      <c r="B1615" s="58" t="s">
        <v>35</v>
      </c>
      <c r="C1615" s="58" t="s">
        <v>10</v>
      </c>
      <c r="D1615" s="76" t="s">
        <v>1628</v>
      </c>
      <c r="E1615" s="76" t="s">
        <v>1507</v>
      </c>
      <c r="F1615" s="76" t="s">
        <v>2079</v>
      </c>
      <c r="G1615" s="94" t="s">
        <v>1779</v>
      </c>
      <c r="H1615" s="107" t="s">
        <v>1774</v>
      </c>
      <c r="I1615" s="76"/>
      <c r="J1615" s="76"/>
      <c r="K1615" s="58" t="str">
        <f>IFERROR(VLOOKUP(L1615,'Raw material list'!$A$3:$C$715,3,0),"")</f>
        <v>PRD1-4327</v>
      </c>
      <c r="L1615" s="59" t="s">
        <v>39</v>
      </c>
      <c r="M1615" s="80" t="s">
        <v>156</v>
      </c>
      <c r="N1615" s="40" t="str">
        <f>VLOOKUP(L1615,'Raw material list'!$A$3:$E$715,5,0)</f>
        <v xml:space="preserve">Gram </v>
      </c>
      <c r="O1615" s="80">
        <v>15</v>
      </c>
      <c r="P1615" s="299">
        <f t="shared" si="217"/>
        <v>18.072289156626507</v>
      </c>
      <c r="Q1615" s="105">
        <v>83</v>
      </c>
      <c r="R1615" s="80">
        <v>14</v>
      </c>
      <c r="S1615" s="80"/>
      <c r="T1615" s="105">
        <f t="shared" si="210"/>
        <v>1.0714285714285714</v>
      </c>
      <c r="U1615" s="105">
        <f t="shared" si="218"/>
        <v>1.2908777969018934</v>
      </c>
      <c r="V1615" s="104">
        <f>IFERROR(VLOOKUP(L1615,'Raw material list'!$A$2:$S$3102,6,0),0)</f>
        <v>1.2999999999999999E-2</v>
      </c>
      <c r="W1615" s="104">
        <f t="shared" si="219"/>
        <v>1.6781411359724614E-2</v>
      </c>
    </row>
    <row r="1616" spans="1:23" hidden="1" x14ac:dyDescent="0.55000000000000004">
      <c r="A1616" s="76" t="str">
        <f t="shared" si="220"/>
        <v>RCP-SMC-000108</v>
      </c>
      <c r="B1616" s="58" t="s">
        <v>35</v>
      </c>
      <c r="C1616" s="58" t="s">
        <v>10</v>
      </c>
      <c r="D1616" s="76" t="s">
        <v>1628</v>
      </c>
      <c r="E1616" s="76" t="s">
        <v>1507</v>
      </c>
      <c r="F1616" s="76" t="s">
        <v>2079</v>
      </c>
      <c r="G1616" s="94" t="s">
        <v>1779</v>
      </c>
      <c r="H1616" s="107" t="s">
        <v>1774</v>
      </c>
      <c r="I1616" s="76"/>
      <c r="J1616" s="76"/>
      <c r="K1616" s="58" t="str">
        <f>IFERROR(VLOOKUP(L1616,'Raw material list'!$A$3:$C$715,3,0),"")</f>
        <v>PRD1-4265</v>
      </c>
      <c r="L1616" s="59" t="s">
        <v>38</v>
      </c>
      <c r="M1616" s="80" t="s">
        <v>156</v>
      </c>
      <c r="N1616" s="40" t="str">
        <f>VLOOKUP(L1616,'Raw material list'!$A$3:$E$715,5,0)</f>
        <v xml:space="preserve">Gram </v>
      </c>
      <c r="O1616" s="80">
        <v>150</v>
      </c>
      <c r="P1616" s="299">
        <f t="shared" si="217"/>
        <v>176.47058823529412</v>
      </c>
      <c r="Q1616" s="105">
        <v>85</v>
      </c>
      <c r="R1616" s="80">
        <v>14</v>
      </c>
      <c r="S1616" s="80"/>
      <c r="T1616" s="105">
        <f t="shared" si="210"/>
        <v>10.714285714285714</v>
      </c>
      <c r="U1616" s="105">
        <f t="shared" si="218"/>
        <v>12.605042016806722</v>
      </c>
      <c r="V1616" s="104">
        <f>IFERROR(VLOOKUP(L1616,'Raw material list'!$A$2:$S$3102,6,0),0)</f>
        <v>3.529411764705882E-3</v>
      </c>
      <c r="W1616" s="104">
        <f t="shared" si="219"/>
        <v>4.4488383588729606E-2</v>
      </c>
    </row>
    <row r="1617" spans="1:23" hidden="1" x14ac:dyDescent="0.55000000000000004">
      <c r="A1617" s="76" t="str">
        <f t="shared" si="220"/>
        <v>RCP-SMC-000108</v>
      </c>
      <c r="B1617" s="58" t="s">
        <v>35</v>
      </c>
      <c r="C1617" s="58" t="s">
        <v>10</v>
      </c>
      <c r="D1617" s="76" t="s">
        <v>1628</v>
      </c>
      <c r="E1617" s="76" t="s">
        <v>1507</v>
      </c>
      <c r="F1617" s="76" t="s">
        <v>2079</v>
      </c>
      <c r="G1617" s="94" t="s">
        <v>1779</v>
      </c>
      <c r="H1617" s="107" t="s">
        <v>1774</v>
      </c>
      <c r="I1617" s="76"/>
      <c r="J1617" s="76"/>
      <c r="K1617" s="58" t="str">
        <f>IFERROR(VLOOKUP(L1617,'Raw material list'!$A$3:$C$715,3,0),"")</f>
        <v>PRD1-232</v>
      </c>
      <c r="L1617" s="59" t="s">
        <v>116</v>
      </c>
      <c r="M1617" s="80" t="s">
        <v>156</v>
      </c>
      <c r="N1617" s="40" t="str">
        <f>VLOOKUP(L1617,'Raw material list'!$A$3:$E$715,5,0)</f>
        <v xml:space="preserve">Gram </v>
      </c>
      <c r="O1617" s="80">
        <v>600</v>
      </c>
      <c r="P1617" s="299">
        <f t="shared" si="217"/>
        <v>833.33333333333337</v>
      </c>
      <c r="Q1617" s="105">
        <v>72</v>
      </c>
      <c r="R1617" s="80">
        <v>14</v>
      </c>
      <c r="S1617" s="80"/>
      <c r="T1617" s="105">
        <f t="shared" si="210"/>
        <v>42.857142857142854</v>
      </c>
      <c r="U1617" s="105">
        <f t="shared" si="218"/>
        <v>59.523809523809526</v>
      </c>
      <c r="V1617" s="104">
        <f>IFERROR(VLOOKUP(L1617,'Raw material list'!$A$2:$S$3102,6,0),0)</f>
        <v>4.4444444444444444E-3</v>
      </c>
      <c r="W1617" s="104">
        <f t="shared" si="219"/>
        <v>0.26455026455026454</v>
      </c>
    </row>
    <row r="1618" spans="1:23" hidden="1" x14ac:dyDescent="0.55000000000000004">
      <c r="A1618" s="76" t="str">
        <f t="shared" si="220"/>
        <v>RCP-SMC-000108</v>
      </c>
      <c r="B1618" s="58" t="s">
        <v>35</v>
      </c>
      <c r="C1618" s="58" t="s">
        <v>10</v>
      </c>
      <c r="D1618" s="76" t="s">
        <v>1628</v>
      </c>
      <c r="E1618" s="76" t="s">
        <v>1507</v>
      </c>
      <c r="F1618" s="76" t="s">
        <v>2079</v>
      </c>
      <c r="G1618" s="94" t="s">
        <v>1779</v>
      </c>
      <c r="H1618" s="107" t="s">
        <v>1774</v>
      </c>
      <c r="I1618" s="76"/>
      <c r="J1618" s="76"/>
      <c r="K1618" s="58" t="str">
        <f>IFERROR(VLOOKUP(L1618,'Raw material list'!$A$3:$C$715,3,0),"")</f>
        <v>TAP-00001</v>
      </c>
      <c r="L1618" s="59" t="s">
        <v>1405</v>
      </c>
      <c r="M1618" s="80" t="s">
        <v>206</v>
      </c>
      <c r="N1618" s="40" t="str">
        <f>VLOOKUP(L1618,'Raw material list'!$A$3:$E$715,5,0)</f>
        <v>Ml</v>
      </c>
      <c r="O1618" s="80">
        <v>2000</v>
      </c>
      <c r="P1618" s="299">
        <f t="shared" si="217"/>
        <v>2000</v>
      </c>
      <c r="Q1618" s="303">
        <v>100</v>
      </c>
      <c r="R1618" s="80">
        <v>14</v>
      </c>
      <c r="S1618" s="80"/>
      <c r="T1618" s="105">
        <f t="shared" si="210"/>
        <v>142.85714285714286</v>
      </c>
      <c r="U1618" s="105">
        <f t="shared" si="218"/>
        <v>142.85714285714286</v>
      </c>
      <c r="V1618" s="104">
        <f>IFERROR(VLOOKUP(L1618,'Raw material list'!$A$2:$S$3102,6,0),0)</f>
        <v>8.0000000000000007E-5</v>
      </c>
      <c r="W1618" s="104">
        <f t="shared" si="219"/>
        <v>1.142857142857143E-2</v>
      </c>
    </row>
    <row r="1619" spans="1:23" hidden="1" x14ac:dyDescent="0.55000000000000004">
      <c r="A1619" s="76" t="str">
        <f t="shared" si="220"/>
        <v>RCP-SMC-000108</v>
      </c>
      <c r="B1619" s="58" t="s">
        <v>35</v>
      </c>
      <c r="C1619" s="58" t="s">
        <v>10</v>
      </c>
      <c r="D1619" s="76" t="s">
        <v>1628</v>
      </c>
      <c r="E1619" s="76" t="s">
        <v>1507</v>
      </c>
      <c r="F1619" s="76" t="s">
        <v>2079</v>
      </c>
      <c r="G1619" s="94" t="s">
        <v>1779</v>
      </c>
      <c r="H1619" s="107" t="s">
        <v>1774</v>
      </c>
      <c r="I1619" s="76"/>
      <c r="J1619" s="76"/>
      <c r="K1619" s="58" t="str">
        <f>IFERROR(VLOOKUP(L1619,'Raw material list'!$A$3:$C$715,3,0),"")</f>
        <v>DRS6-309</v>
      </c>
      <c r="L1619" s="59" t="s">
        <v>61</v>
      </c>
      <c r="M1619" s="80" t="s">
        <v>156</v>
      </c>
      <c r="N1619" s="40" t="str">
        <f>VLOOKUP(L1619,'Raw material list'!$A$3:$E$715,5,0)</f>
        <v xml:space="preserve">Gram </v>
      </c>
      <c r="O1619" s="80">
        <v>2</v>
      </c>
      <c r="P1619" s="299">
        <f t="shared" si="217"/>
        <v>2</v>
      </c>
      <c r="Q1619" s="80">
        <v>100</v>
      </c>
      <c r="R1619" s="80">
        <v>14</v>
      </c>
      <c r="S1619" s="80"/>
      <c r="T1619" s="105">
        <f t="shared" si="210"/>
        <v>0.14285714285714285</v>
      </c>
      <c r="U1619" s="105">
        <f t="shared" si="218"/>
        <v>0.14285714285714285</v>
      </c>
      <c r="V1619" s="104">
        <f>IFERROR(VLOOKUP(L1619,'Raw material list'!$A$2:$S$3102,6,0),0)</f>
        <v>2.8000000000000001E-2</v>
      </c>
      <c r="W1619" s="104">
        <f t="shared" si="219"/>
        <v>4.0000000000000001E-3</v>
      </c>
    </row>
    <row r="1620" spans="1:23" hidden="1" x14ac:dyDescent="0.55000000000000004">
      <c r="A1620" s="76" t="str">
        <f t="shared" si="220"/>
        <v>RCP-SMC-000108</v>
      </c>
      <c r="B1620" s="58" t="s">
        <v>35</v>
      </c>
      <c r="C1620" s="58" t="s">
        <v>10</v>
      </c>
      <c r="D1620" s="76" t="s">
        <v>1628</v>
      </c>
      <c r="E1620" s="76" t="s">
        <v>1507</v>
      </c>
      <c r="F1620" s="76" t="s">
        <v>2079</v>
      </c>
      <c r="G1620" s="94" t="s">
        <v>1779</v>
      </c>
      <c r="H1620" s="107" t="s">
        <v>1774</v>
      </c>
      <c r="I1620" s="76"/>
      <c r="J1620" s="76"/>
      <c r="K1620" s="58" t="str">
        <f>IFERROR(VLOOKUP(L1620,'Raw material list'!$A$3:$C$715,3,0),"")</f>
        <v>DRS1-3880</v>
      </c>
      <c r="L1620" s="59" t="s">
        <v>1433</v>
      </c>
      <c r="M1620" s="80" t="s">
        <v>156</v>
      </c>
      <c r="N1620" s="40" t="str">
        <f>VLOOKUP(L1620,'Raw material list'!$A$3:$E$715,5,0)</f>
        <v xml:space="preserve">Gram </v>
      </c>
      <c r="O1620" s="80">
        <v>10</v>
      </c>
      <c r="P1620" s="299">
        <f t="shared" si="217"/>
        <v>10</v>
      </c>
      <c r="Q1620" s="80">
        <v>100</v>
      </c>
      <c r="R1620" s="80">
        <v>14</v>
      </c>
      <c r="S1620" s="80"/>
      <c r="T1620" s="105">
        <f t="shared" si="210"/>
        <v>0.7142857142857143</v>
      </c>
      <c r="U1620" s="105">
        <f t="shared" si="218"/>
        <v>0.7142857142857143</v>
      </c>
      <c r="V1620" s="104">
        <f>IFERROR(VLOOKUP(L1620,'Raw material list'!$A$2:$S$3102,6,0),0)</f>
        <v>5.0000000000000001E-4</v>
      </c>
      <c r="W1620" s="104">
        <f t="shared" si="219"/>
        <v>3.5714285714285714E-4</v>
      </c>
    </row>
    <row r="1621" spans="1:23" hidden="1" x14ac:dyDescent="0.55000000000000004">
      <c r="A1621" s="76" t="str">
        <f t="shared" si="220"/>
        <v>RCP-SMC-000108</v>
      </c>
      <c r="B1621" s="58" t="s">
        <v>35</v>
      </c>
      <c r="C1621" s="58" t="s">
        <v>10</v>
      </c>
      <c r="D1621" s="76" t="s">
        <v>1628</v>
      </c>
      <c r="E1621" s="76" t="s">
        <v>1507</v>
      </c>
      <c r="F1621" s="76" t="s">
        <v>2079</v>
      </c>
      <c r="G1621" s="94" t="s">
        <v>1779</v>
      </c>
      <c r="H1621" s="107" t="s">
        <v>1774</v>
      </c>
      <c r="I1621" s="76"/>
      <c r="J1621" s="76"/>
      <c r="K1621" s="58" t="str">
        <f>IFERROR(VLOOKUP(L1621,'Raw material list'!$A$3:$C$715,3,0),"")</f>
        <v>DRS1-4417</v>
      </c>
      <c r="L1621" s="59" t="s">
        <v>88</v>
      </c>
      <c r="M1621" s="80" t="s">
        <v>156</v>
      </c>
      <c r="N1621" s="40" t="str">
        <f>VLOOKUP(L1621,'Raw material list'!$A$3:$E$715,5,0)</f>
        <v xml:space="preserve">Gram </v>
      </c>
      <c r="O1621" s="80">
        <v>10</v>
      </c>
      <c r="P1621" s="299">
        <f t="shared" si="217"/>
        <v>10</v>
      </c>
      <c r="Q1621" s="80">
        <v>100</v>
      </c>
      <c r="R1621" s="80">
        <v>14</v>
      </c>
      <c r="S1621" s="80"/>
      <c r="T1621" s="105">
        <f t="shared" si="210"/>
        <v>0.7142857142857143</v>
      </c>
      <c r="U1621" s="105">
        <f t="shared" si="218"/>
        <v>0.7142857142857143</v>
      </c>
      <c r="V1621" s="104">
        <f>IFERROR(VLOOKUP(L1621,'Raw material list'!$A$2:$S$3102,6,0),0)</f>
        <v>3.6754545454545456E-2</v>
      </c>
      <c r="W1621" s="104">
        <f t="shared" si="219"/>
        <v>2.6253246753246754E-2</v>
      </c>
    </row>
    <row r="1622" spans="1:23" hidden="1" x14ac:dyDescent="0.55000000000000004">
      <c r="A1622" s="76" t="str">
        <f t="shared" si="220"/>
        <v>RCP-SMC-000108</v>
      </c>
      <c r="B1622" s="58" t="s">
        <v>35</v>
      </c>
      <c r="C1622" s="58" t="s">
        <v>10</v>
      </c>
      <c r="D1622" s="76" t="s">
        <v>1628</v>
      </c>
      <c r="E1622" s="76" t="s">
        <v>1507</v>
      </c>
      <c r="F1622" s="76" t="s">
        <v>2079</v>
      </c>
      <c r="G1622" s="94" t="s">
        <v>1779</v>
      </c>
      <c r="H1622" s="107" t="s">
        <v>1774</v>
      </c>
      <c r="I1622" s="76"/>
      <c r="J1622" s="76"/>
      <c r="K1622" s="58" t="str">
        <f>IFERROR(VLOOKUP(L1622,'Raw material list'!$A$3:$C$715,3,0),"")</f>
        <v>DRY2-1858</v>
      </c>
      <c r="L1622" s="59" t="s">
        <v>60</v>
      </c>
      <c r="M1622" s="80" t="s">
        <v>206</v>
      </c>
      <c r="N1622" s="40" t="str">
        <f>VLOOKUP(L1622,'Raw material list'!$A$3:$E$715,5,0)</f>
        <v>Ml</v>
      </c>
      <c r="O1622" s="80">
        <v>300</v>
      </c>
      <c r="P1622" s="299">
        <f t="shared" si="217"/>
        <v>300</v>
      </c>
      <c r="Q1622" s="80">
        <v>100</v>
      </c>
      <c r="R1622" s="80">
        <v>14</v>
      </c>
      <c r="S1622" s="80"/>
      <c r="T1622" s="105">
        <f t="shared" si="210"/>
        <v>21.428571428571427</v>
      </c>
      <c r="U1622" s="105">
        <f t="shared" si="218"/>
        <v>21.428571428571427</v>
      </c>
      <c r="V1622" s="104">
        <f>IFERROR(VLOOKUP(L1622,'Raw material list'!$A$2:$S$3102,6,0),0)</f>
        <v>9.8800000000000016E-3</v>
      </c>
      <c r="W1622" s="104">
        <f t="shared" si="219"/>
        <v>0.21171428571428574</v>
      </c>
    </row>
    <row r="1623" spans="1:23" hidden="1" x14ac:dyDescent="0.55000000000000004">
      <c r="A1623" s="76" t="s">
        <v>1653</v>
      </c>
      <c r="B1623" s="58" t="s">
        <v>35</v>
      </c>
      <c r="C1623" s="58" t="s">
        <v>10</v>
      </c>
      <c r="D1623" s="76" t="s">
        <v>1635</v>
      </c>
      <c r="E1623" s="76" t="s">
        <v>1507</v>
      </c>
      <c r="F1623" s="76" t="s">
        <v>2079</v>
      </c>
      <c r="G1623" s="94" t="s">
        <v>1779</v>
      </c>
      <c r="H1623" s="107" t="s">
        <v>1774</v>
      </c>
      <c r="I1623" s="76"/>
      <c r="J1623" s="76"/>
      <c r="K1623" s="58" t="str">
        <f>IFERROR(VLOOKUP(L1623,'Raw material list'!$A$3:$C$715,3,0),"")</f>
        <v>PRD1-4265</v>
      </c>
      <c r="L1623" s="59" t="s">
        <v>38</v>
      </c>
      <c r="M1623" s="80" t="s">
        <v>156</v>
      </c>
      <c r="N1623" s="40" t="str">
        <f>VLOOKUP(L1623,'Raw material list'!$A$3:$E$715,5,0)</f>
        <v xml:space="preserve">Gram </v>
      </c>
      <c r="O1623" s="80">
        <v>150</v>
      </c>
      <c r="P1623" s="299">
        <f t="shared" si="217"/>
        <v>176.47058823529412</v>
      </c>
      <c r="Q1623" s="105">
        <v>85</v>
      </c>
      <c r="R1623" s="80">
        <v>10</v>
      </c>
      <c r="S1623" s="80"/>
      <c r="T1623" s="105">
        <f t="shared" si="210"/>
        <v>15</v>
      </c>
      <c r="U1623" s="105">
        <f t="shared" si="218"/>
        <v>17.647058823529413</v>
      </c>
      <c r="V1623" s="104">
        <f>IFERROR(VLOOKUP(L1623,'Raw material list'!$A$2:$S$3102,6,0),0)</f>
        <v>3.529411764705882E-3</v>
      </c>
      <c r="W1623" s="104">
        <f t="shared" si="219"/>
        <v>6.228373702422145E-2</v>
      </c>
    </row>
    <row r="1624" spans="1:23" hidden="1" x14ac:dyDescent="0.55000000000000004">
      <c r="A1624" s="76" t="str">
        <f t="shared" ref="A1624:A1634" si="221">A1623</f>
        <v>RCP-SMC-000109</v>
      </c>
      <c r="B1624" s="58" t="s">
        <v>35</v>
      </c>
      <c r="C1624" s="58" t="s">
        <v>10</v>
      </c>
      <c r="D1624" s="76" t="str">
        <f t="shared" ref="D1624:D1634" si="222">D1623</f>
        <v>Red Lentil soup</v>
      </c>
      <c r="E1624" s="76" t="s">
        <v>1507</v>
      </c>
      <c r="F1624" s="76" t="s">
        <v>2079</v>
      </c>
      <c r="G1624" s="94" t="s">
        <v>1779</v>
      </c>
      <c r="H1624" s="107" t="s">
        <v>1774</v>
      </c>
      <c r="I1624" s="76"/>
      <c r="J1624" s="76"/>
      <c r="K1624" s="58" t="str">
        <f>IFERROR(VLOOKUP(L1624,'Raw material list'!$A$3:$C$715,3,0),"")</f>
        <v>PRD1-4327</v>
      </c>
      <c r="L1624" s="59" t="s">
        <v>39</v>
      </c>
      <c r="M1624" s="80" t="s">
        <v>156</v>
      </c>
      <c r="N1624" s="40" t="str">
        <f>VLOOKUP(L1624,'Raw material list'!$A$3:$E$715,5,0)</f>
        <v xml:space="preserve">Gram </v>
      </c>
      <c r="O1624" s="80">
        <v>10</v>
      </c>
      <c r="P1624" s="299">
        <f t="shared" si="217"/>
        <v>12.048192771084338</v>
      </c>
      <c r="Q1624" s="105">
        <v>83</v>
      </c>
      <c r="R1624" s="80">
        <v>10</v>
      </c>
      <c r="S1624" s="80"/>
      <c r="T1624" s="105">
        <f t="shared" si="210"/>
        <v>1</v>
      </c>
      <c r="U1624" s="105">
        <f t="shared" si="218"/>
        <v>1.2048192771084338</v>
      </c>
      <c r="V1624" s="104">
        <f>IFERROR(VLOOKUP(L1624,'Raw material list'!$A$2:$S$3102,6,0),0)</f>
        <v>1.2999999999999999E-2</v>
      </c>
      <c r="W1624" s="104">
        <f t="shared" si="219"/>
        <v>1.566265060240964E-2</v>
      </c>
    </row>
    <row r="1625" spans="1:23" hidden="1" x14ac:dyDescent="0.55000000000000004">
      <c r="A1625" s="76" t="str">
        <f t="shared" si="221"/>
        <v>RCP-SMC-000109</v>
      </c>
      <c r="B1625" s="58" t="s">
        <v>35</v>
      </c>
      <c r="C1625" s="58" t="s">
        <v>10</v>
      </c>
      <c r="D1625" s="76" t="str">
        <f t="shared" si="222"/>
        <v>Red Lentil soup</v>
      </c>
      <c r="E1625" s="76" t="s">
        <v>1507</v>
      </c>
      <c r="F1625" s="76" t="s">
        <v>2079</v>
      </c>
      <c r="G1625" s="94" t="s">
        <v>1779</v>
      </c>
      <c r="H1625" s="107" t="s">
        <v>1774</v>
      </c>
      <c r="I1625" s="76"/>
      <c r="J1625" s="76"/>
      <c r="K1625" s="58" t="str">
        <f>IFERROR(VLOOKUP(L1625,'Raw material list'!$A$3:$C$715,3,0),"")</f>
        <v>PRD1-186</v>
      </c>
      <c r="L1625" s="59" t="s">
        <v>37</v>
      </c>
      <c r="M1625" s="80" t="s">
        <v>156</v>
      </c>
      <c r="N1625" s="40" t="str">
        <f>VLOOKUP(L1625,'Raw material list'!$A$3:$E$715,5,0)</f>
        <v xml:space="preserve">Gram </v>
      </c>
      <c r="O1625" s="80">
        <v>75</v>
      </c>
      <c r="P1625" s="299">
        <f t="shared" si="217"/>
        <v>91.836734693877546</v>
      </c>
      <c r="Q1625" s="105">
        <v>81.666666666666671</v>
      </c>
      <c r="R1625" s="80">
        <v>10</v>
      </c>
      <c r="S1625" s="80"/>
      <c r="T1625" s="105">
        <f t="shared" si="210"/>
        <v>7.5</v>
      </c>
      <c r="U1625" s="105">
        <f t="shared" si="218"/>
        <v>9.1836734693877542</v>
      </c>
      <c r="V1625" s="104">
        <f>IFERROR(VLOOKUP(L1625,'Raw material list'!$A$2:$S$3102,6,0),0)</f>
        <v>5.8139534883720938E-3</v>
      </c>
      <c r="W1625" s="104">
        <f t="shared" si="219"/>
        <v>5.3393450403417184E-2</v>
      </c>
    </row>
    <row r="1626" spans="1:23" hidden="1" x14ac:dyDescent="0.55000000000000004">
      <c r="A1626" s="76" t="str">
        <f t="shared" si="221"/>
        <v>RCP-SMC-000109</v>
      </c>
      <c r="B1626" s="58" t="s">
        <v>35</v>
      </c>
      <c r="C1626" s="58" t="s">
        <v>10</v>
      </c>
      <c r="D1626" s="76" t="str">
        <f t="shared" si="222"/>
        <v>Red Lentil soup</v>
      </c>
      <c r="E1626" s="76" t="s">
        <v>1507</v>
      </c>
      <c r="F1626" s="76" t="s">
        <v>2079</v>
      </c>
      <c r="G1626" s="94" t="s">
        <v>1779</v>
      </c>
      <c r="H1626" s="107" t="s">
        <v>1774</v>
      </c>
      <c r="I1626" s="76"/>
      <c r="J1626" s="76"/>
      <c r="K1626" s="58" t="str">
        <f>IFERROR(VLOOKUP(L1626,'Raw material list'!$A$3:$C$715,3,0),"")</f>
        <v>DRS4-50</v>
      </c>
      <c r="L1626" s="59" t="s">
        <v>497</v>
      </c>
      <c r="M1626" s="80" t="s">
        <v>156</v>
      </c>
      <c r="N1626" s="40" t="str">
        <f>VLOOKUP(L1626,'Raw material list'!$A$3:$E$715,5,0)</f>
        <v xml:space="preserve">Gram </v>
      </c>
      <c r="O1626" s="80">
        <v>350</v>
      </c>
      <c r="P1626" s="299">
        <f t="shared" si="217"/>
        <v>350</v>
      </c>
      <c r="Q1626" s="303">
        <v>100</v>
      </c>
      <c r="R1626" s="80">
        <v>10</v>
      </c>
      <c r="S1626" s="80"/>
      <c r="T1626" s="105">
        <f t="shared" si="210"/>
        <v>35</v>
      </c>
      <c r="U1626" s="105">
        <f t="shared" si="218"/>
        <v>35</v>
      </c>
      <c r="V1626" s="104">
        <f>IFERROR(VLOOKUP(L1626,'Raw material list'!$A$2:$S$3102,6,0),0)</f>
        <v>4.2666666666666669E-3</v>
      </c>
      <c r="W1626" s="104">
        <f t="shared" si="219"/>
        <v>0.14933333333333335</v>
      </c>
    </row>
    <row r="1627" spans="1:23" hidden="1" x14ac:dyDescent="0.55000000000000004">
      <c r="A1627" s="76" t="str">
        <f t="shared" si="221"/>
        <v>RCP-SMC-000109</v>
      </c>
      <c r="B1627" s="58" t="s">
        <v>35</v>
      </c>
      <c r="C1627" s="58" t="s">
        <v>10</v>
      </c>
      <c r="D1627" s="76" t="str">
        <f t="shared" si="222"/>
        <v>Red Lentil soup</v>
      </c>
      <c r="E1627" s="76" t="s">
        <v>1507</v>
      </c>
      <c r="F1627" s="76" t="s">
        <v>2079</v>
      </c>
      <c r="G1627" s="94" t="s">
        <v>1779</v>
      </c>
      <c r="H1627" s="107" t="s">
        <v>1774</v>
      </c>
      <c r="I1627" s="76"/>
      <c r="J1627" s="76"/>
      <c r="K1627" s="58" t="str">
        <f>IFERROR(VLOOKUP(L1627,'Raw material list'!$A$3:$C$715,3,0),"")</f>
        <v>PRD1-230</v>
      </c>
      <c r="L1627" s="59" t="s">
        <v>70</v>
      </c>
      <c r="M1627" s="80" t="s">
        <v>156</v>
      </c>
      <c r="N1627" s="40" t="str">
        <f>VLOOKUP(L1627,'Raw material list'!$A$3:$E$715,5,0)</f>
        <v xml:space="preserve">Gram </v>
      </c>
      <c r="O1627" s="80">
        <v>200</v>
      </c>
      <c r="P1627" s="299">
        <f t="shared" si="217"/>
        <v>269.90553306342781</v>
      </c>
      <c r="Q1627" s="105">
        <v>74.099999999999994</v>
      </c>
      <c r="R1627" s="80">
        <v>10</v>
      </c>
      <c r="S1627" s="80"/>
      <c r="T1627" s="105">
        <f t="shared" si="210"/>
        <v>20</v>
      </c>
      <c r="U1627" s="105">
        <f t="shared" si="218"/>
        <v>26.990553306342782</v>
      </c>
      <c r="V1627" s="104">
        <f>IFERROR(VLOOKUP(L1627,'Raw material list'!$A$2:$S$3102,6,0),0)</f>
        <v>3.3738191632928472E-3</v>
      </c>
      <c r="W1627" s="104">
        <f t="shared" si="219"/>
        <v>9.1061245972816396E-2</v>
      </c>
    </row>
    <row r="1628" spans="1:23" hidden="1" x14ac:dyDescent="0.55000000000000004">
      <c r="A1628" s="76" t="str">
        <f t="shared" si="221"/>
        <v>RCP-SMC-000109</v>
      </c>
      <c r="B1628" s="58" t="s">
        <v>35</v>
      </c>
      <c r="C1628" s="58" t="s">
        <v>10</v>
      </c>
      <c r="D1628" s="76" t="str">
        <f t="shared" si="222"/>
        <v>Red Lentil soup</v>
      </c>
      <c r="E1628" s="76" t="s">
        <v>1507</v>
      </c>
      <c r="F1628" s="76" t="s">
        <v>2079</v>
      </c>
      <c r="G1628" s="94" t="s">
        <v>1779</v>
      </c>
      <c r="H1628" s="107" t="s">
        <v>1774</v>
      </c>
      <c r="I1628" s="76"/>
      <c r="J1628" s="76"/>
      <c r="K1628" s="58" t="str">
        <f>IFERROR(VLOOKUP(L1628,'Raw material list'!$A$3:$C$715,3,0),"")</f>
        <v>PRD1-572</v>
      </c>
      <c r="L1628" s="59" t="s">
        <v>54</v>
      </c>
      <c r="M1628" s="80" t="s">
        <v>156</v>
      </c>
      <c r="N1628" s="40" t="str">
        <f>VLOOKUP(L1628,'Raw material list'!$A$3:$E$715,5,0)</f>
        <v xml:space="preserve">Gram </v>
      </c>
      <c r="O1628" s="80">
        <v>50</v>
      </c>
      <c r="P1628" s="299">
        <f t="shared" si="217"/>
        <v>56.667925953910078</v>
      </c>
      <c r="Q1628" s="105">
        <v>88.233333333333348</v>
      </c>
      <c r="R1628" s="80">
        <v>10</v>
      </c>
      <c r="S1628" s="80"/>
      <c r="T1628" s="105">
        <f t="shared" si="210"/>
        <v>5</v>
      </c>
      <c r="U1628" s="105">
        <f t="shared" si="218"/>
        <v>5.6667925953910077</v>
      </c>
      <c r="V1628" s="104">
        <f>IFERROR(VLOOKUP(L1628,'Raw material list'!$A$2:$S$3102,6,0),0)</f>
        <v>4.5351473922902496E-3</v>
      </c>
      <c r="W1628" s="104">
        <f t="shared" si="219"/>
        <v>2.5699739661637223E-2</v>
      </c>
    </row>
    <row r="1629" spans="1:23" hidden="1" x14ac:dyDescent="0.55000000000000004">
      <c r="A1629" s="76" t="str">
        <f t="shared" si="221"/>
        <v>RCP-SMC-000109</v>
      </c>
      <c r="B1629" s="58" t="s">
        <v>35</v>
      </c>
      <c r="C1629" s="58" t="s">
        <v>10</v>
      </c>
      <c r="D1629" s="76" t="str">
        <f t="shared" si="222"/>
        <v>Red Lentil soup</v>
      </c>
      <c r="E1629" s="76" t="s">
        <v>1507</v>
      </c>
      <c r="F1629" s="76" t="s">
        <v>2079</v>
      </c>
      <c r="G1629" s="94" t="s">
        <v>1779</v>
      </c>
      <c r="H1629" s="107" t="s">
        <v>1774</v>
      </c>
      <c r="I1629" s="76"/>
      <c r="J1629" s="76"/>
      <c r="K1629" s="58" t="str">
        <f>IFERROR(VLOOKUP(L1629,'Raw material list'!$A$3:$C$715,3,0),"")</f>
        <v>DRS6-1674</v>
      </c>
      <c r="L1629" s="59" t="s">
        <v>73</v>
      </c>
      <c r="M1629" s="80" t="s">
        <v>156</v>
      </c>
      <c r="N1629" s="40" t="str">
        <f>VLOOKUP(L1629,'Raw material list'!$A$3:$E$715,5,0)</f>
        <v xml:space="preserve">Gram </v>
      </c>
      <c r="O1629" s="80">
        <v>1</v>
      </c>
      <c r="P1629" s="299">
        <f t="shared" si="217"/>
        <v>1</v>
      </c>
      <c r="Q1629" s="303">
        <v>100</v>
      </c>
      <c r="R1629" s="80">
        <v>10</v>
      </c>
      <c r="S1629" s="80"/>
      <c r="T1629" s="105">
        <f t="shared" si="210"/>
        <v>0.1</v>
      </c>
      <c r="U1629" s="105">
        <f t="shared" si="218"/>
        <v>0.1</v>
      </c>
      <c r="V1629" s="104">
        <f>IFERROR(VLOOKUP(L1629,'Raw material list'!$A$2:$S$3102,6,0),0)</f>
        <v>1.2500000000000001E-2</v>
      </c>
      <c r="W1629" s="104">
        <f t="shared" si="219"/>
        <v>1.2500000000000002E-3</v>
      </c>
    </row>
    <row r="1630" spans="1:23" hidden="1" x14ac:dyDescent="0.55000000000000004">
      <c r="A1630" s="76" t="str">
        <f t="shared" si="221"/>
        <v>RCP-SMC-000109</v>
      </c>
      <c r="B1630" s="58" t="s">
        <v>35</v>
      </c>
      <c r="C1630" s="58" t="s">
        <v>10</v>
      </c>
      <c r="D1630" s="76" t="str">
        <f t="shared" si="222"/>
        <v>Red Lentil soup</v>
      </c>
      <c r="E1630" s="76" t="s">
        <v>1507</v>
      </c>
      <c r="F1630" s="76" t="s">
        <v>2079</v>
      </c>
      <c r="G1630" s="94" t="s">
        <v>1779</v>
      </c>
      <c r="H1630" s="107" t="s">
        <v>1774</v>
      </c>
      <c r="I1630" s="76"/>
      <c r="J1630" s="76"/>
      <c r="K1630" s="58" t="str">
        <f>IFERROR(VLOOKUP(L1630,'Raw material list'!$A$3:$C$715,3,0),"")</f>
        <v>DRS6-309</v>
      </c>
      <c r="L1630" s="59" t="s">
        <v>61</v>
      </c>
      <c r="M1630" s="80" t="s">
        <v>156</v>
      </c>
      <c r="N1630" s="40" t="str">
        <f>VLOOKUP(L1630,'Raw material list'!$A$3:$E$715,5,0)</f>
        <v xml:space="preserve">Gram </v>
      </c>
      <c r="O1630" s="80">
        <v>1</v>
      </c>
      <c r="P1630" s="299">
        <f t="shared" si="217"/>
        <v>1</v>
      </c>
      <c r="Q1630" s="80">
        <v>100</v>
      </c>
      <c r="R1630" s="80">
        <v>10</v>
      </c>
      <c r="S1630" s="80"/>
      <c r="T1630" s="105">
        <f t="shared" si="210"/>
        <v>0.1</v>
      </c>
      <c r="U1630" s="105">
        <f t="shared" si="218"/>
        <v>0.1</v>
      </c>
      <c r="V1630" s="104">
        <f>IFERROR(VLOOKUP(L1630,'Raw material list'!$A$2:$S$3102,6,0),0)</f>
        <v>2.8000000000000001E-2</v>
      </c>
      <c r="W1630" s="104">
        <f t="shared" si="219"/>
        <v>2.8000000000000004E-3</v>
      </c>
    </row>
    <row r="1631" spans="1:23" hidden="1" x14ac:dyDescent="0.55000000000000004">
      <c r="A1631" s="76" t="str">
        <f t="shared" si="221"/>
        <v>RCP-SMC-000109</v>
      </c>
      <c r="B1631" s="58" t="s">
        <v>35</v>
      </c>
      <c r="C1631" s="58" t="s">
        <v>10</v>
      </c>
      <c r="D1631" s="76" t="str">
        <f t="shared" si="222"/>
        <v>Red Lentil soup</v>
      </c>
      <c r="E1631" s="76" t="s">
        <v>1507</v>
      </c>
      <c r="F1631" s="76" t="s">
        <v>2079</v>
      </c>
      <c r="G1631" s="94" t="s">
        <v>1779</v>
      </c>
      <c r="H1631" s="107" t="s">
        <v>1774</v>
      </c>
      <c r="I1631" s="76"/>
      <c r="J1631" s="76"/>
      <c r="K1631" s="58" t="str">
        <f>IFERROR(VLOOKUP(L1631,'Raw material list'!$A$3:$C$715,3,0),"")</f>
        <v>DRS1-3880</v>
      </c>
      <c r="L1631" s="59" t="s">
        <v>1433</v>
      </c>
      <c r="M1631" s="80" t="s">
        <v>156</v>
      </c>
      <c r="N1631" s="40" t="str">
        <f>VLOOKUP(L1631,'Raw material list'!$A$3:$E$715,5,0)</f>
        <v xml:space="preserve">Gram </v>
      </c>
      <c r="O1631" s="80">
        <v>10</v>
      </c>
      <c r="P1631" s="299">
        <f t="shared" si="217"/>
        <v>10</v>
      </c>
      <c r="Q1631" s="80">
        <v>100</v>
      </c>
      <c r="R1631" s="80">
        <v>10</v>
      </c>
      <c r="S1631" s="80"/>
      <c r="T1631" s="105">
        <f t="shared" si="210"/>
        <v>1</v>
      </c>
      <c r="U1631" s="105">
        <f t="shared" si="218"/>
        <v>1</v>
      </c>
      <c r="V1631" s="104">
        <f>IFERROR(VLOOKUP(L1631,'Raw material list'!$A$2:$S$3102,6,0),0)</f>
        <v>5.0000000000000001E-4</v>
      </c>
      <c r="W1631" s="104">
        <f t="shared" si="219"/>
        <v>5.0000000000000001E-4</v>
      </c>
    </row>
    <row r="1632" spans="1:23" hidden="1" x14ac:dyDescent="0.55000000000000004">
      <c r="A1632" s="76" t="str">
        <f t="shared" si="221"/>
        <v>RCP-SMC-000109</v>
      </c>
      <c r="B1632" s="58" t="s">
        <v>35</v>
      </c>
      <c r="C1632" s="58" t="s">
        <v>10</v>
      </c>
      <c r="D1632" s="76" t="str">
        <f t="shared" si="222"/>
        <v>Red Lentil soup</v>
      </c>
      <c r="E1632" s="76" t="s">
        <v>1507</v>
      </c>
      <c r="F1632" s="76" t="s">
        <v>2079</v>
      </c>
      <c r="G1632" s="94" t="s">
        <v>1779</v>
      </c>
      <c r="H1632" s="107" t="s">
        <v>1774</v>
      </c>
      <c r="I1632" s="76"/>
      <c r="J1632" s="76"/>
      <c r="K1632" s="58" t="str">
        <f>IFERROR(VLOOKUP(L1632,'Raw material list'!$A$3:$C$715,3,0),"")</f>
        <v>DRS6-733</v>
      </c>
      <c r="L1632" s="59" t="s">
        <v>45</v>
      </c>
      <c r="M1632" s="80" t="s">
        <v>156</v>
      </c>
      <c r="N1632" s="40" t="str">
        <f>VLOOKUP(L1632,'Raw material list'!$A$3:$E$715,5,0)</f>
        <v xml:space="preserve">Gram </v>
      </c>
      <c r="O1632" s="80">
        <v>6</v>
      </c>
      <c r="P1632" s="299">
        <f t="shared" si="217"/>
        <v>6</v>
      </c>
      <c r="Q1632" s="80">
        <v>100</v>
      </c>
      <c r="R1632" s="80">
        <v>10</v>
      </c>
      <c r="S1632" s="80"/>
      <c r="T1632" s="105">
        <f t="shared" si="210"/>
        <v>0.6</v>
      </c>
      <c r="U1632" s="105">
        <f t="shared" si="218"/>
        <v>0.6</v>
      </c>
      <c r="V1632" s="104">
        <f>IFERROR(VLOOKUP(L1632,'Raw material list'!$A$2:$S$3102,6,0),0)</f>
        <v>2.8000000000000001E-2</v>
      </c>
      <c r="W1632" s="104">
        <f t="shared" si="219"/>
        <v>1.6799999999999999E-2</v>
      </c>
    </row>
    <row r="1633" spans="1:23" hidden="1" x14ac:dyDescent="0.55000000000000004">
      <c r="A1633" s="76" t="str">
        <f t="shared" si="221"/>
        <v>RCP-SMC-000109</v>
      </c>
      <c r="B1633" s="58" t="s">
        <v>35</v>
      </c>
      <c r="C1633" s="58" t="s">
        <v>10</v>
      </c>
      <c r="D1633" s="76" t="str">
        <f t="shared" si="222"/>
        <v>Red Lentil soup</v>
      </c>
      <c r="E1633" s="76" t="s">
        <v>1507</v>
      </c>
      <c r="F1633" s="76" t="s">
        <v>2079</v>
      </c>
      <c r="G1633" s="94" t="s">
        <v>1779</v>
      </c>
      <c r="H1633" s="107" t="s">
        <v>1774</v>
      </c>
      <c r="I1633" s="76"/>
      <c r="J1633" s="76"/>
      <c r="K1633" s="58" t="str">
        <f>IFERROR(VLOOKUP(L1633,'Raw material list'!$A$3:$C$715,3,0),"")</f>
        <v>TAP-00001</v>
      </c>
      <c r="L1633" s="59" t="s">
        <v>1405</v>
      </c>
      <c r="M1633" s="80" t="s">
        <v>206</v>
      </c>
      <c r="N1633" s="40" t="str">
        <f>VLOOKUP(L1633,'Raw material list'!$A$3:$E$715,5,0)</f>
        <v>Ml</v>
      </c>
      <c r="O1633" s="80">
        <v>2200</v>
      </c>
      <c r="P1633" s="299">
        <f t="shared" si="217"/>
        <v>2200</v>
      </c>
      <c r="Q1633" s="80">
        <v>100</v>
      </c>
      <c r="R1633" s="80">
        <v>10</v>
      </c>
      <c r="S1633" s="80"/>
      <c r="T1633" s="105">
        <f t="shared" si="210"/>
        <v>220</v>
      </c>
      <c r="U1633" s="105">
        <f t="shared" si="218"/>
        <v>220</v>
      </c>
      <c r="V1633" s="104">
        <f>IFERROR(VLOOKUP(L1633,'Raw material list'!$A$2:$S$3102,6,0),0)</f>
        <v>8.0000000000000007E-5</v>
      </c>
      <c r="W1633" s="104">
        <f t="shared" si="219"/>
        <v>1.7600000000000001E-2</v>
      </c>
    </row>
    <row r="1634" spans="1:23" hidden="1" x14ac:dyDescent="0.55000000000000004">
      <c r="A1634" s="76" t="str">
        <f t="shared" si="221"/>
        <v>RCP-SMC-000109</v>
      </c>
      <c r="B1634" s="58" t="s">
        <v>35</v>
      </c>
      <c r="C1634" s="58" t="s">
        <v>10</v>
      </c>
      <c r="D1634" s="76" t="str">
        <f t="shared" si="222"/>
        <v>Red Lentil soup</v>
      </c>
      <c r="E1634" s="76" t="s">
        <v>1507</v>
      </c>
      <c r="F1634" s="76" t="s">
        <v>2079</v>
      </c>
      <c r="G1634" s="94" t="s">
        <v>1779</v>
      </c>
      <c r="H1634" s="107" t="s">
        <v>1774</v>
      </c>
      <c r="I1634" s="76"/>
      <c r="J1634" s="76"/>
      <c r="K1634" s="58" t="str">
        <f>IFERROR(VLOOKUP(L1634,'Raw material list'!$A$3:$C$715,3,0),"")</f>
        <v>DRS3-1813</v>
      </c>
      <c r="L1634" s="59" t="s">
        <v>69</v>
      </c>
      <c r="M1634" s="80" t="s">
        <v>206</v>
      </c>
      <c r="N1634" s="40" t="str">
        <f>VLOOKUP(L1634,'Raw material list'!$A$3:$E$715,5,0)</f>
        <v>Ml</v>
      </c>
      <c r="O1634" s="80">
        <v>40</v>
      </c>
      <c r="P1634" s="299">
        <f t="shared" si="217"/>
        <v>40</v>
      </c>
      <c r="Q1634" s="80">
        <v>100</v>
      </c>
      <c r="R1634" s="80">
        <v>10</v>
      </c>
      <c r="S1634" s="80"/>
      <c r="T1634" s="105">
        <f t="shared" si="210"/>
        <v>4</v>
      </c>
      <c r="U1634" s="105">
        <f t="shared" si="218"/>
        <v>4</v>
      </c>
      <c r="V1634" s="104">
        <f>IFERROR(VLOOKUP(L1634,'Raw material list'!$A$2:$S$3102,6,0),0)</f>
        <v>8.0555555555555554E-3</v>
      </c>
      <c r="W1634" s="104">
        <f t="shared" si="219"/>
        <v>3.2222222222222222E-2</v>
      </c>
    </row>
    <row r="1635" spans="1:23" hidden="1" x14ac:dyDescent="0.55000000000000004">
      <c r="A1635" s="76" t="s">
        <v>1654</v>
      </c>
      <c r="B1635" s="58" t="s">
        <v>35</v>
      </c>
      <c r="C1635" s="58" t="s">
        <v>10</v>
      </c>
      <c r="D1635" s="76" t="s">
        <v>1618</v>
      </c>
      <c r="E1635" s="76" t="s">
        <v>1507</v>
      </c>
      <c r="F1635" s="76" t="s">
        <v>2079</v>
      </c>
      <c r="G1635" s="94" t="s">
        <v>1779</v>
      </c>
      <c r="H1635" s="107" t="s">
        <v>1773</v>
      </c>
      <c r="I1635" s="76"/>
      <c r="J1635" s="76"/>
      <c r="K1635" s="58" t="str">
        <f>IFERROR(VLOOKUP(L1635,'Raw material list'!$A$3:$C$715,3,0),"")</f>
        <v>DRS3-1813</v>
      </c>
      <c r="L1635" s="59" t="s">
        <v>69</v>
      </c>
      <c r="M1635" s="80" t="s">
        <v>206</v>
      </c>
      <c r="N1635" s="40" t="str">
        <f>VLOOKUP(L1635,'Raw material list'!$A$3:$E$715,5,0)</f>
        <v>Ml</v>
      </c>
      <c r="O1635" s="80">
        <v>25</v>
      </c>
      <c r="P1635" s="299">
        <f t="shared" si="217"/>
        <v>25</v>
      </c>
      <c r="Q1635" s="80">
        <v>100</v>
      </c>
      <c r="R1635" s="80">
        <v>14</v>
      </c>
      <c r="S1635" s="80"/>
      <c r="T1635" s="105">
        <f t="shared" si="210"/>
        <v>1.7857142857142858</v>
      </c>
      <c r="U1635" s="105">
        <f t="shared" si="218"/>
        <v>1.7857142857142858</v>
      </c>
      <c r="V1635" s="104">
        <f>IFERROR(VLOOKUP(L1635,'Raw material list'!$A$2:$S$3102,6,0),0)</f>
        <v>8.0555555555555554E-3</v>
      </c>
      <c r="W1635" s="104">
        <f t="shared" si="219"/>
        <v>1.4384920634920636E-2</v>
      </c>
    </row>
    <row r="1636" spans="1:23" hidden="1" x14ac:dyDescent="0.55000000000000004">
      <c r="A1636" s="76" t="str">
        <f t="shared" ref="A1636:A1649" si="223">A1635</f>
        <v>RCP-SMC-000110</v>
      </c>
      <c r="B1636" s="58" t="s">
        <v>35</v>
      </c>
      <c r="C1636" s="58" t="s">
        <v>10</v>
      </c>
      <c r="D1636" s="76" t="str">
        <f t="shared" ref="D1636:D1649" si="224">D1635</f>
        <v>Chicken Orzo Pasta Vegetable</v>
      </c>
      <c r="E1636" s="76" t="s">
        <v>1507</v>
      </c>
      <c r="F1636" s="76" t="s">
        <v>2079</v>
      </c>
      <c r="G1636" s="94" t="s">
        <v>1779</v>
      </c>
      <c r="H1636" s="107" t="s">
        <v>1773</v>
      </c>
      <c r="I1636" s="76"/>
      <c r="J1636" s="76"/>
      <c r="K1636" s="58" t="str">
        <f>IFERROR(VLOOKUP(L1636,'Raw material list'!$A$3:$C$715,3,0),"")</f>
        <v>PRD1-4265</v>
      </c>
      <c r="L1636" s="59" t="s">
        <v>38</v>
      </c>
      <c r="M1636" s="80" t="s">
        <v>156</v>
      </c>
      <c r="N1636" s="40" t="str">
        <f>VLOOKUP(L1636,'Raw material list'!$A$3:$E$715,5,0)</f>
        <v xml:space="preserve">Gram </v>
      </c>
      <c r="O1636" s="80">
        <v>150</v>
      </c>
      <c r="P1636" s="299">
        <f t="shared" si="217"/>
        <v>176.47058823529412</v>
      </c>
      <c r="Q1636" s="105">
        <v>85</v>
      </c>
      <c r="R1636" s="80">
        <v>14</v>
      </c>
      <c r="S1636" s="80"/>
      <c r="T1636" s="105">
        <f t="shared" si="210"/>
        <v>10.714285714285714</v>
      </c>
      <c r="U1636" s="105">
        <f t="shared" si="218"/>
        <v>12.605042016806722</v>
      </c>
      <c r="V1636" s="104">
        <f>IFERROR(VLOOKUP(L1636,'Raw material list'!$A$2:$S$3102,6,0),0)</f>
        <v>3.529411764705882E-3</v>
      </c>
      <c r="W1636" s="104">
        <f t="shared" si="219"/>
        <v>4.4488383588729606E-2</v>
      </c>
    </row>
    <row r="1637" spans="1:23" hidden="1" x14ac:dyDescent="0.55000000000000004">
      <c r="A1637" s="76" t="str">
        <f t="shared" si="223"/>
        <v>RCP-SMC-000110</v>
      </c>
      <c r="B1637" s="58" t="s">
        <v>35</v>
      </c>
      <c r="C1637" s="58" t="s">
        <v>10</v>
      </c>
      <c r="D1637" s="76" t="str">
        <f t="shared" si="224"/>
        <v>Chicken Orzo Pasta Vegetable</v>
      </c>
      <c r="E1637" s="76" t="s">
        <v>1507</v>
      </c>
      <c r="F1637" s="76" t="s">
        <v>2079</v>
      </c>
      <c r="G1637" s="94" t="s">
        <v>1779</v>
      </c>
      <c r="H1637" s="107" t="s">
        <v>1773</v>
      </c>
      <c r="I1637" s="76"/>
      <c r="J1637" s="76"/>
      <c r="K1637" s="58" t="str">
        <f>IFERROR(VLOOKUP(L1637,'Raw material list'!$A$3:$C$715,3,0),"")</f>
        <v>PRD1-4327</v>
      </c>
      <c r="L1637" s="59" t="s">
        <v>39</v>
      </c>
      <c r="M1637" s="80" t="s">
        <v>156</v>
      </c>
      <c r="N1637" s="40" t="str">
        <f>VLOOKUP(L1637,'Raw material list'!$A$3:$E$715,5,0)</f>
        <v xml:space="preserve">Gram </v>
      </c>
      <c r="O1637" s="80">
        <v>15</v>
      </c>
      <c r="P1637" s="299">
        <f t="shared" si="217"/>
        <v>18.072289156626507</v>
      </c>
      <c r="Q1637" s="105">
        <v>83</v>
      </c>
      <c r="R1637" s="80">
        <v>14</v>
      </c>
      <c r="S1637" s="80"/>
      <c r="T1637" s="105">
        <f t="shared" si="210"/>
        <v>1.0714285714285714</v>
      </c>
      <c r="U1637" s="105">
        <f t="shared" si="218"/>
        <v>1.2908777969018934</v>
      </c>
      <c r="V1637" s="104">
        <f>IFERROR(VLOOKUP(L1637,'Raw material list'!$A$2:$S$3102,6,0),0)</f>
        <v>1.2999999999999999E-2</v>
      </c>
      <c r="W1637" s="104">
        <f t="shared" si="219"/>
        <v>1.6781411359724614E-2</v>
      </c>
    </row>
    <row r="1638" spans="1:23" hidden="1" x14ac:dyDescent="0.55000000000000004">
      <c r="A1638" s="76" t="str">
        <f t="shared" si="223"/>
        <v>RCP-SMC-000110</v>
      </c>
      <c r="B1638" s="58" t="s">
        <v>35</v>
      </c>
      <c r="C1638" s="58" t="s">
        <v>10</v>
      </c>
      <c r="D1638" s="76" t="str">
        <f t="shared" si="224"/>
        <v>Chicken Orzo Pasta Vegetable</v>
      </c>
      <c r="E1638" s="76" t="s">
        <v>1507</v>
      </c>
      <c r="F1638" s="76" t="s">
        <v>2078</v>
      </c>
      <c r="G1638" s="94" t="s">
        <v>1779</v>
      </c>
      <c r="H1638" s="107" t="s">
        <v>1773</v>
      </c>
      <c r="I1638" s="76"/>
      <c r="J1638" s="76"/>
      <c r="K1638" s="58" t="str">
        <f>IFERROR(VLOOKUP(L1638,'Raw material list'!$A$3:$C$715,3,0),"")</f>
        <v>PLT2-3278</v>
      </c>
      <c r="L1638" s="59" t="s">
        <v>80</v>
      </c>
      <c r="M1638" s="80" t="s">
        <v>156</v>
      </c>
      <c r="N1638" s="40" t="str">
        <f>VLOOKUP(L1638,'Raw material list'!$A$3:$E$715,5,0)</f>
        <v xml:space="preserve">Gram </v>
      </c>
      <c r="O1638" s="80">
        <v>250</v>
      </c>
      <c r="P1638" s="299">
        <f t="shared" si="217"/>
        <v>328.08398950131232</v>
      </c>
      <c r="Q1638" s="303">
        <v>76.2</v>
      </c>
      <c r="R1638" s="80">
        <v>14</v>
      </c>
      <c r="S1638" s="80"/>
      <c r="T1638" s="105">
        <f t="shared" si="210"/>
        <v>17.857142857142858</v>
      </c>
      <c r="U1638" s="105">
        <f t="shared" si="218"/>
        <v>23.434570678665164</v>
      </c>
      <c r="V1638" s="104">
        <f>IFERROR(VLOOKUP(L1638,'Raw material list'!$A$2:$S$3102,6,0),0)</f>
        <v>3.0357142857142853E-2</v>
      </c>
      <c r="W1638" s="104">
        <f t="shared" si="219"/>
        <v>0.71140660988804949</v>
      </c>
    </row>
    <row r="1639" spans="1:23" hidden="1" x14ac:dyDescent="0.55000000000000004">
      <c r="A1639" s="76" t="str">
        <f t="shared" si="223"/>
        <v>RCP-SMC-000110</v>
      </c>
      <c r="B1639" s="58" t="s">
        <v>35</v>
      </c>
      <c r="C1639" s="58" t="s">
        <v>10</v>
      </c>
      <c r="D1639" s="76" t="str">
        <f t="shared" si="224"/>
        <v>Chicken Orzo Pasta Vegetable</v>
      </c>
      <c r="E1639" s="76" t="s">
        <v>1507</v>
      </c>
      <c r="F1639" s="76" t="s">
        <v>2079</v>
      </c>
      <c r="G1639" s="94" t="s">
        <v>1779</v>
      </c>
      <c r="H1639" s="107" t="s">
        <v>1773</v>
      </c>
      <c r="I1639" s="76"/>
      <c r="J1639" s="76"/>
      <c r="K1639" s="58" t="str">
        <f>IFERROR(VLOOKUP(L1639,'Raw material list'!$A$3:$C$715,3,0),"")</f>
        <v>PRD1-3546</v>
      </c>
      <c r="L1639" s="59" t="s">
        <v>971</v>
      </c>
      <c r="M1639" s="80" t="s">
        <v>156</v>
      </c>
      <c r="N1639" s="40" t="str">
        <f>VLOOKUP(L1639,'Raw material list'!$A$3:$E$715,5,0)</f>
        <v xml:space="preserve">Gram </v>
      </c>
      <c r="O1639" s="80">
        <v>100</v>
      </c>
      <c r="P1639" s="299">
        <f t="shared" si="217"/>
        <v>122.44897959183673</v>
      </c>
      <c r="Q1639" s="105">
        <v>81.666666666666671</v>
      </c>
      <c r="R1639" s="80">
        <v>14</v>
      </c>
      <c r="S1639" s="80"/>
      <c r="T1639" s="105">
        <f t="shared" si="210"/>
        <v>7.1428571428571432</v>
      </c>
      <c r="U1639" s="105">
        <f t="shared" si="218"/>
        <v>8.7463556851311957</v>
      </c>
      <c r="V1639" s="104">
        <f>IFERROR(VLOOKUP(L1639,'Raw material list'!$A$2:$S$3102,6,0),0)</f>
        <v>0.04</v>
      </c>
      <c r="W1639" s="104">
        <f t="shared" si="219"/>
        <v>0.34985422740524785</v>
      </c>
    </row>
    <row r="1640" spans="1:23" hidden="1" x14ac:dyDescent="0.55000000000000004">
      <c r="A1640" s="76" t="str">
        <f t="shared" si="223"/>
        <v>RCP-SMC-000110</v>
      </c>
      <c r="B1640" s="58" t="s">
        <v>35</v>
      </c>
      <c r="C1640" s="58" t="s">
        <v>10</v>
      </c>
      <c r="D1640" s="76" t="str">
        <f t="shared" si="224"/>
        <v>Chicken Orzo Pasta Vegetable</v>
      </c>
      <c r="E1640" s="76" t="s">
        <v>1507</v>
      </c>
      <c r="F1640" s="76" t="s">
        <v>2079</v>
      </c>
      <c r="G1640" s="94" t="s">
        <v>1779</v>
      </c>
      <c r="H1640" s="107" t="s">
        <v>1773</v>
      </c>
      <c r="I1640" s="76"/>
      <c r="J1640" s="76"/>
      <c r="K1640" s="58" t="str">
        <f>IFERROR(VLOOKUP(L1640,'Raw material list'!$A$3:$C$715,3,0),"")</f>
        <v>PRD1-191</v>
      </c>
      <c r="L1640" s="59" t="s">
        <v>996</v>
      </c>
      <c r="M1640" s="80" t="s">
        <v>156</v>
      </c>
      <c r="N1640" s="40" t="str">
        <f>VLOOKUP(L1640,'Raw material list'!$A$3:$E$715,5,0)</f>
        <v xml:space="preserve">Gram </v>
      </c>
      <c r="O1640" s="80">
        <v>25</v>
      </c>
      <c r="P1640" s="299">
        <f t="shared" si="217"/>
        <v>28.376844494892168</v>
      </c>
      <c r="Q1640" s="105">
        <v>88.1</v>
      </c>
      <c r="R1640" s="80">
        <v>14</v>
      </c>
      <c r="S1640" s="80"/>
      <c r="T1640" s="105">
        <f t="shared" si="210"/>
        <v>1.7857142857142858</v>
      </c>
      <c r="U1640" s="105">
        <f t="shared" si="218"/>
        <v>2.0269174639208694</v>
      </c>
      <c r="V1640" s="104">
        <f>IFERROR(VLOOKUP(L1640,'Raw material list'!$A$2:$S$3102,6,0),0)</f>
        <v>2.4971623155505111E-2</v>
      </c>
      <c r="W1640" s="104">
        <f t="shared" si="219"/>
        <v>5.0615419076344079E-2</v>
      </c>
    </row>
    <row r="1641" spans="1:23" hidden="1" x14ac:dyDescent="0.55000000000000004">
      <c r="A1641" s="76" t="str">
        <f t="shared" si="223"/>
        <v>RCP-SMC-000110</v>
      </c>
      <c r="B1641" s="58" t="s">
        <v>35</v>
      </c>
      <c r="C1641" s="58" t="s">
        <v>10</v>
      </c>
      <c r="D1641" s="76" t="str">
        <f t="shared" si="224"/>
        <v>Chicken Orzo Pasta Vegetable</v>
      </c>
      <c r="E1641" s="76" t="s">
        <v>1507</v>
      </c>
      <c r="F1641" s="76" t="s">
        <v>2079</v>
      </c>
      <c r="G1641" s="94" t="s">
        <v>1779</v>
      </c>
      <c r="H1641" s="107" t="s">
        <v>1773</v>
      </c>
      <c r="I1641" s="76"/>
      <c r="J1641" s="76"/>
      <c r="K1641" s="58" t="str">
        <f>IFERROR(VLOOKUP(L1641,'Raw material list'!$A$3:$C$715,3,0),"")</f>
        <v>DRS1-3811</v>
      </c>
      <c r="L1641" s="59" t="s">
        <v>40</v>
      </c>
      <c r="M1641" s="80" t="s">
        <v>156</v>
      </c>
      <c r="N1641" s="40" t="str">
        <f>VLOOKUP(L1641,'Raw material list'!$A$3:$E$715,5,0)</f>
        <v xml:space="preserve">Gram </v>
      </c>
      <c r="O1641" s="80">
        <v>10</v>
      </c>
      <c r="P1641" s="299">
        <f t="shared" si="217"/>
        <v>10</v>
      </c>
      <c r="Q1641" s="303">
        <v>100</v>
      </c>
      <c r="R1641" s="80">
        <v>14</v>
      </c>
      <c r="S1641" s="80"/>
      <c r="T1641" s="105">
        <f t="shared" si="210"/>
        <v>0.7142857142857143</v>
      </c>
      <c r="U1641" s="105">
        <f t="shared" si="218"/>
        <v>0.7142857142857143</v>
      </c>
      <c r="V1641" s="104">
        <f>IFERROR(VLOOKUP(L1641,'Raw material list'!$A$2:$S$3102,6,0),0)</f>
        <v>2.8475E-2</v>
      </c>
      <c r="W1641" s="104">
        <f t="shared" si="219"/>
        <v>2.0339285714285716E-2</v>
      </c>
    </row>
    <row r="1642" spans="1:23" hidden="1" x14ac:dyDescent="0.55000000000000004">
      <c r="A1642" s="76" t="str">
        <f t="shared" si="223"/>
        <v>RCP-SMC-000110</v>
      </c>
      <c r="B1642" s="58" t="s">
        <v>35</v>
      </c>
      <c r="C1642" s="58" t="s">
        <v>10</v>
      </c>
      <c r="D1642" s="76" t="str">
        <f t="shared" si="224"/>
        <v>Chicken Orzo Pasta Vegetable</v>
      </c>
      <c r="E1642" s="76" t="s">
        <v>1507</v>
      </c>
      <c r="F1642" s="76" t="s">
        <v>2079</v>
      </c>
      <c r="G1642" s="94" t="s">
        <v>1779</v>
      </c>
      <c r="H1642" s="107" t="s">
        <v>1773</v>
      </c>
      <c r="I1642" s="76"/>
      <c r="J1642" s="76"/>
      <c r="K1642" s="58" t="str">
        <f>IFERROR(VLOOKUP(L1642,'Raw material list'!$A$3:$C$715,3,0),"")</f>
        <v>TAP-00001</v>
      </c>
      <c r="L1642" s="59" t="s">
        <v>1405</v>
      </c>
      <c r="M1642" s="80" t="s">
        <v>206</v>
      </c>
      <c r="N1642" s="40" t="str">
        <f>VLOOKUP(L1642,'Raw material list'!$A$3:$E$715,5,0)</f>
        <v>Ml</v>
      </c>
      <c r="O1642" s="80">
        <v>2000</v>
      </c>
      <c r="P1642" s="299">
        <f t="shared" si="217"/>
        <v>2000</v>
      </c>
      <c r="Q1642" s="80">
        <v>100</v>
      </c>
      <c r="R1642" s="80">
        <v>14</v>
      </c>
      <c r="S1642" s="80"/>
      <c r="T1642" s="105">
        <f t="shared" ref="T1642:T1705" si="225">IFERROR(O1642/R1642,0)</f>
        <v>142.85714285714286</v>
      </c>
      <c r="U1642" s="105">
        <f t="shared" si="218"/>
        <v>142.85714285714286</v>
      </c>
      <c r="V1642" s="104">
        <f>IFERROR(VLOOKUP(L1642,'Raw material list'!$A$2:$S$3102,6,0),0)</f>
        <v>8.0000000000000007E-5</v>
      </c>
      <c r="W1642" s="104">
        <f t="shared" si="219"/>
        <v>1.142857142857143E-2</v>
      </c>
    </row>
    <row r="1643" spans="1:23" hidden="1" x14ac:dyDescent="0.55000000000000004">
      <c r="A1643" s="76" t="str">
        <f t="shared" si="223"/>
        <v>RCP-SMC-000110</v>
      </c>
      <c r="B1643" s="58" t="s">
        <v>35</v>
      </c>
      <c r="C1643" s="58" t="s">
        <v>10</v>
      </c>
      <c r="D1643" s="76" t="str">
        <f t="shared" si="224"/>
        <v>Chicken Orzo Pasta Vegetable</v>
      </c>
      <c r="E1643" s="76" t="s">
        <v>1507</v>
      </c>
      <c r="F1643" s="76" t="s">
        <v>2079</v>
      </c>
      <c r="G1643" s="94" t="s">
        <v>1779</v>
      </c>
      <c r="H1643" s="107" t="s">
        <v>1773</v>
      </c>
      <c r="I1643" s="76"/>
      <c r="J1643" s="76"/>
      <c r="K1643" s="58" t="str">
        <f>IFERROR(VLOOKUP(L1643,'Raw material list'!$A$3:$C$715,3,0),"")</f>
        <v>DRS2-3825</v>
      </c>
      <c r="L1643" s="59" t="s">
        <v>555</v>
      </c>
      <c r="M1643" s="80" t="s">
        <v>156</v>
      </c>
      <c r="N1643" s="40" t="str">
        <f>VLOOKUP(L1643,'Raw material list'!$A$3:$E$715,5,0)</f>
        <v xml:space="preserve">Gram </v>
      </c>
      <c r="O1643" s="80">
        <v>80</v>
      </c>
      <c r="P1643" s="299">
        <f t="shared" si="217"/>
        <v>80</v>
      </c>
      <c r="Q1643" s="80">
        <v>100</v>
      </c>
      <c r="R1643" s="80">
        <v>14</v>
      </c>
      <c r="S1643" s="80"/>
      <c r="T1643" s="105">
        <f t="shared" si="225"/>
        <v>5.7142857142857144</v>
      </c>
      <c r="U1643" s="105">
        <f t="shared" si="218"/>
        <v>5.7142857142857144</v>
      </c>
      <c r="V1643" s="104">
        <f>IFERROR(VLOOKUP(L1643,'Raw material list'!$A$2:$S$3102,6,0),0)</f>
        <v>9.2222222222222237E-3</v>
      </c>
      <c r="W1643" s="104">
        <f t="shared" si="219"/>
        <v>5.269841269841271E-2</v>
      </c>
    </row>
    <row r="1644" spans="1:23" hidden="1" x14ac:dyDescent="0.55000000000000004">
      <c r="A1644" s="76" t="str">
        <f t="shared" si="223"/>
        <v>RCP-SMC-000110</v>
      </c>
      <c r="B1644" s="58" t="s">
        <v>35</v>
      </c>
      <c r="C1644" s="58" t="s">
        <v>10</v>
      </c>
      <c r="D1644" s="76" t="str">
        <f t="shared" si="224"/>
        <v>Chicken Orzo Pasta Vegetable</v>
      </c>
      <c r="E1644" s="76" t="s">
        <v>1507</v>
      </c>
      <c r="F1644" s="76" t="s">
        <v>2079</v>
      </c>
      <c r="G1644" s="94" t="s">
        <v>1779</v>
      </c>
      <c r="H1644" s="107" t="s">
        <v>1773</v>
      </c>
      <c r="I1644" s="76"/>
      <c r="J1644" s="76"/>
      <c r="K1644" s="58" t="str">
        <f>IFERROR(VLOOKUP(L1644,'Raw material list'!$A$3:$C$715,3,0),"")</f>
        <v>DRS6-309</v>
      </c>
      <c r="L1644" s="59" t="s">
        <v>61</v>
      </c>
      <c r="M1644" s="80" t="s">
        <v>156</v>
      </c>
      <c r="N1644" s="40" t="str">
        <f>VLOOKUP(L1644,'Raw material list'!$A$3:$E$715,5,0)</f>
        <v xml:space="preserve">Gram </v>
      </c>
      <c r="O1644" s="80">
        <v>1</v>
      </c>
      <c r="P1644" s="299">
        <f t="shared" si="217"/>
        <v>1</v>
      </c>
      <c r="Q1644" s="80">
        <v>100</v>
      </c>
      <c r="R1644" s="80">
        <v>14</v>
      </c>
      <c r="S1644" s="80"/>
      <c r="T1644" s="105">
        <f t="shared" si="225"/>
        <v>7.1428571428571425E-2</v>
      </c>
      <c r="U1644" s="105">
        <f t="shared" si="218"/>
        <v>7.1428571428571425E-2</v>
      </c>
      <c r="V1644" s="104">
        <f>IFERROR(VLOOKUP(L1644,'Raw material list'!$A$2:$S$3102,6,0),0)</f>
        <v>2.8000000000000001E-2</v>
      </c>
      <c r="W1644" s="104">
        <f t="shared" si="219"/>
        <v>2E-3</v>
      </c>
    </row>
    <row r="1645" spans="1:23" hidden="1" x14ac:dyDescent="0.55000000000000004">
      <c r="A1645" s="76" t="str">
        <f t="shared" si="223"/>
        <v>RCP-SMC-000110</v>
      </c>
      <c r="B1645" s="58" t="s">
        <v>35</v>
      </c>
      <c r="C1645" s="58" t="s">
        <v>10</v>
      </c>
      <c r="D1645" s="76" t="str">
        <f t="shared" si="224"/>
        <v>Chicken Orzo Pasta Vegetable</v>
      </c>
      <c r="E1645" s="76" t="s">
        <v>1507</v>
      </c>
      <c r="F1645" s="76" t="s">
        <v>2079</v>
      </c>
      <c r="G1645" s="94" t="s">
        <v>1779</v>
      </c>
      <c r="H1645" s="107" t="s">
        <v>1773</v>
      </c>
      <c r="I1645" s="76"/>
      <c r="J1645" s="76"/>
      <c r="K1645" s="58" t="str">
        <f>IFERROR(VLOOKUP(L1645,'Raw material list'!$A$3:$C$715,3,0),"")</f>
        <v>PRD1-227</v>
      </c>
      <c r="L1645" s="59" t="s">
        <v>1038</v>
      </c>
      <c r="M1645" s="80" t="s">
        <v>156</v>
      </c>
      <c r="N1645" s="40" t="str">
        <f>VLOOKUP(L1645,'Raw material list'!$A$3:$E$715,5,0)</f>
        <v xml:space="preserve">Gram </v>
      </c>
      <c r="O1645" s="80">
        <v>5</v>
      </c>
      <c r="P1645" s="299">
        <f t="shared" si="217"/>
        <v>14.423076923076922</v>
      </c>
      <c r="Q1645" s="105">
        <v>34.666666666666671</v>
      </c>
      <c r="R1645" s="80">
        <v>14</v>
      </c>
      <c r="S1645" s="80"/>
      <c r="T1645" s="105">
        <f t="shared" si="225"/>
        <v>0.35714285714285715</v>
      </c>
      <c r="U1645" s="105">
        <f t="shared" si="218"/>
        <v>1.0302197802197801</v>
      </c>
      <c r="V1645" s="104">
        <f>IFERROR(VLOOKUP(L1645,'Raw material list'!$A$2:$S$3102,6,0),0)</f>
        <v>1.5850144092219021E-2</v>
      </c>
      <c r="W1645" s="104">
        <f t="shared" si="219"/>
        <v>1.6329131963137726E-2</v>
      </c>
    </row>
    <row r="1646" spans="1:23" hidden="1" x14ac:dyDescent="0.55000000000000004">
      <c r="A1646" s="76" t="str">
        <f t="shared" si="223"/>
        <v>RCP-SMC-000110</v>
      </c>
      <c r="B1646" s="58" t="s">
        <v>35</v>
      </c>
      <c r="C1646" s="58" t="s">
        <v>10</v>
      </c>
      <c r="D1646" s="76" t="str">
        <f t="shared" si="224"/>
        <v>Chicken Orzo Pasta Vegetable</v>
      </c>
      <c r="E1646" s="76" t="s">
        <v>1507</v>
      </c>
      <c r="F1646" s="76" t="s">
        <v>2079</v>
      </c>
      <c r="G1646" s="94" t="s">
        <v>1779</v>
      </c>
      <c r="H1646" s="107" t="s">
        <v>1773</v>
      </c>
      <c r="I1646" s="76"/>
      <c r="J1646" s="76"/>
      <c r="K1646" s="58" t="str">
        <f>IFERROR(VLOOKUP(L1646,'Raw material list'!$A$3:$C$715,3,0),"")</f>
        <v>DRS1-3880</v>
      </c>
      <c r="L1646" s="59" t="s">
        <v>1433</v>
      </c>
      <c r="M1646" s="80" t="s">
        <v>156</v>
      </c>
      <c r="N1646" s="40" t="str">
        <f>VLOOKUP(L1646,'Raw material list'!$A$3:$E$715,5,0)</f>
        <v xml:space="preserve">Gram </v>
      </c>
      <c r="O1646" s="80">
        <v>10</v>
      </c>
      <c r="P1646" s="299">
        <f t="shared" si="217"/>
        <v>10</v>
      </c>
      <c r="Q1646" s="303">
        <v>100</v>
      </c>
      <c r="R1646" s="80">
        <v>14</v>
      </c>
      <c r="S1646" s="80"/>
      <c r="T1646" s="105">
        <f t="shared" si="225"/>
        <v>0.7142857142857143</v>
      </c>
      <c r="U1646" s="105">
        <f t="shared" si="218"/>
        <v>0.7142857142857143</v>
      </c>
      <c r="V1646" s="104">
        <f>IFERROR(VLOOKUP(L1646,'Raw material list'!$A$2:$S$3102,6,0),0)</f>
        <v>5.0000000000000001E-4</v>
      </c>
      <c r="W1646" s="104">
        <f t="shared" si="219"/>
        <v>3.5714285714285714E-4</v>
      </c>
    </row>
    <row r="1647" spans="1:23" hidden="1" x14ac:dyDescent="0.55000000000000004">
      <c r="A1647" s="76" t="str">
        <f t="shared" si="223"/>
        <v>RCP-SMC-000110</v>
      </c>
      <c r="B1647" s="58" t="s">
        <v>35</v>
      </c>
      <c r="C1647" s="58" t="s">
        <v>10</v>
      </c>
      <c r="D1647" s="76" t="str">
        <f t="shared" si="224"/>
        <v>Chicken Orzo Pasta Vegetable</v>
      </c>
      <c r="E1647" s="76" t="s">
        <v>1507</v>
      </c>
      <c r="F1647" s="76" t="s">
        <v>2079</v>
      </c>
      <c r="G1647" s="94" t="s">
        <v>1779</v>
      </c>
      <c r="H1647" s="107" t="s">
        <v>1773</v>
      </c>
      <c r="I1647" s="76"/>
      <c r="J1647" s="76"/>
      <c r="K1647" s="58" t="str">
        <f>IFERROR(VLOOKUP(L1647,'Raw material list'!$A$3:$C$715,3,0),"")</f>
        <v>DRS5-980</v>
      </c>
      <c r="L1647" s="59" t="s">
        <v>446</v>
      </c>
      <c r="M1647" s="80" t="s">
        <v>156</v>
      </c>
      <c r="N1647" s="40" t="str">
        <f>VLOOKUP(L1647,'Raw material list'!$A$3:$E$715,5,0)</f>
        <v xml:space="preserve">Gram </v>
      </c>
      <c r="O1647" s="80">
        <v>40</v>
      </c>
      <c r="P1647" s="299">
        <f t="shared" si="217"/>
        <v>40</v>
      </c>
      <c r="Q1647" s="80">
        <v>100</v>
      </c>
      <c r="R1647" s="80">
        <v>14</v>
      </c>
      <c r="S1647" s="80"/>
      <c r="T1647" s="105">
        <f t="shared" si="225"/>
        <v>2.8571428571428572</v>
      </c>
      <c r="U1647" s="105">
        <f t="shared" si="218"/>
        <v>2.8571428571428572</v>
      </c>
      <c r="V1647" s="104">
        <f>IFERROR(VLOOKUP(L1647,'Raw material list'!$A$2:$S$3102,6,0),0)</f>
        <v>1E-3</v>
      </c>
      <c r="W1647" s="104">
        <f t="shared" si="219"/>
        <v>2.8571428571428571E-3</v>
      </c>
    </row>
    <row r="1648" spans="1:23" hidden="1" x14ac:dyDescent="0.55000000000000004">
      <c r="A1648" s="76" t="str">
        <f t="shared" si="223"/>
        <v>RCP-SMC-000110</v>
      </c>
      <c r="B1648" s="58" t="s">
        <v>35</v>
      </c>
      <c r="C1648" s="58" t="s">
        <v>10</v>
      </c>
      <c r="D1648" s="76" t="str">
        <f t="shared" si="224"/>
        <v>Chicken Orzo Pasta Vegetable</v>
      </c>
      <c r="E1648" s="76" t="s">
        <v>1507</v>
      </c>
      <c r="F1648" s="76" t="s">
        <v>2079</v>
      </c>
      <c r="G1648" s="94" t="s">
        <v>1779</v>
      </c>
      <c r="H1648" s="107" t="s">
        <v>1773</v>
      </c>
      <c r="I1648" s="76"/>
      <c r="J1648" s="76"/>
      <c r="K1648" s="58" t="str">
        <f>IFERROR(VLOOKUP(L1648,'Raw material list'!$A$3:$C$715,3,0),"")</f>
        <v>PRD1-572</v>
      </c>
      <c r="L1648" s="59" t="s">
        <v>54</v>
      </c>
      <c r="M1648" s="80" t="s">
        <v>156</v>
      </c>
      <c r="N1648" s="40" t="str">
        <f>VLOOKUP(L1648,'Raw material list'!$A$3:$E$715,5,0)</f>
        <v xml:space="preserve">Gram </v>
      </c>
      <c r="O1648" s="80">
        <v>400</v>
      </c>
      <c r="P1648" s="299">
        <f t="shared" si="217"/>
        <v>453.34340763128063</v>
      </c>
      <c r="Q1648" s="105">
        <v>88.233333333333348</v>
      </c>
      <c r="R1648" s="80">
        <v>14</v>
      </c>
      <c r="S1648" s="80"/>
      <c r="T1648" s="105">
        <f t="shared" si="225"/>
        <v>28.571428571428573</v>
      </c>
      <c r="U1648" s="105">
        <f t="shared" si="218"/>
        <v>32.381671973662904</v>
      </c>
      <c r="V1648" s="104">
        <f>IFERROR(VLOOKUP(L1648,'Raw material list'!$A$2:$S$3102,6,0),0)</f>
        <v>4.5351473922902496E-3</v>
      </c>
      <c r="W1648" s="104">
        <f t="shared" si="219"/>
        <v>0.14685565520935559</v>
      </c>
    </row>
    <row r="1649" spans="1:23" hidden="1" x14ac:dyDescent="0.55000000000000004">
      <c r="A1649" s="76" t="str">
        <f t="shared" si="223"/>
        <v>RCP-SMC-000110</v>
      </c>
      <c r="B1649" s="58" t="s">
        <v>35</v>
      </c>
      <c r="C1649" s="58" t="s">
        <v>10</v>
      </c>
      <c r="D1649" s="76" t="str">
        <f t="shared" si="224"/>
        <v>Chicken Orzo Pasta Vegetable</v>
      </c>
      <c r="E1649" s="76" t="s">
        <v>1507</v>
      </c>
      <c r="F1649" s="76" t="s">
        <v>2079</v>
      </c>
      <c r="G1649" s="94" t="s">
        <v>1779</v>
      </c>
      <c r="H1649" s="107" t="s">
        <v>1773</v>
      </c>
      <c r="I1649" s="76"/>
      <c r="J1649" s="76"/>
      <c r="K1649" s="58" t="str">
        <f>IFERROR(VLOOKUP(L1649,'Raw material list'!$A$3:$C$715,3,0),"")</f>
        <v>DRS1-1747</v>
      </c>
      <c r="L1649" s="59" t="s">
        <v>44</v>
      </c>
      <c r="M1649" s="80" t="s">
        <v>156</v>
      </c>
      <c r="N1649" s="40" t="str">
        <f>VLOOKUP(L1649,'Raw material list'!$A$3:$E$715,5,0)</f>
        <v xml:space="preserve">Gram </v>
      </c>
      <c r="O1649" s="80">
        <v>40</v>
      </c>
      <c r="P1649" s="299">
        <f t="shared" si="217"/>
        <v>40</v>
      </c>
      <c r="Q1649" s="303">
        <v>100</v>
      </c>
      <c r="R1649" s="80">
        <v>14</v>
      </c>
      <c r="S1649" s="80"/>
      <c r="T1649" s="105">
        <f t="shared" si="225"/>
        <v>2.8571428571428572</v>
      </c>
      <c r="U1649" s="105">
        <f t="shared" si="218"/>
        <v>2.8571428571428572</v>
      </c>
      <c r="V1649" s="104">
        <f>IFERROR(VLOOKUP(L1649,'Raw material list'!$A$2:$S$3102,6,0),0)</f>
        <v>5.185185185185185E-3</v>
      </c>
      <c r="W1649" s="104">
        <f t="shared" si="219"/>
        <v>1.4814814814814815E-2</v>
      </c>
    </row>
    <row r="1650" spans="1:23" hidden="1" x14ac:dyDescent="0.55000000000000004">
      <c r="A1650" s="76" t="s">
        <v>1655</v>
      </c>
      <c r="B1650" s="58" t="s">
        <v>35</v>
      </c>
      <c r="C1650" s="58" t="s">
        <v>10</v>
      </c>
      <c r="D1650" s="76" t="s">
        <v>1630</v>
      </c>
      <c r="E1650" s="76" t="s">
        <v>1535</v>
      </c>
      <c r="F1650" s="76" t="s">
        <v>2079</v>
      </c>
      <c r="G1650" s="94" t="s">
        <v>1779</v>
      </c>
      <c r="H1650" s="107" t="s">
        <v>1774</v>
      </c>
      <c r="I1650" s="76"/>
      <c r="J1650" s="76"/>
      <c r="K1650" s="58" t="str">
        <f>IFERROR(VLOOKUP(L1650,'Raw material list'!$A$3:$C$715,3,0),"")</f>
        <v>DRS3-1813</v>
      </c>
      <c r="L1650" s="59" t="s">
        <v>69</v>
      </c>
      <c r="M1650" s="80" t="s">
        <v>206</v>
      </c>
      <c r="N1650" s="40" t="str">
        <f>VLOOKUP(L1650,'Raw material list'!$A$3:$E$715,5,0)</f>
        <v>Ml</v>
      </c>
      <c r="O1650" s="80">
        <v>25</v>
      </c>
      <c r="P1650" s="299">
        <f t="shared" si="217"/>
        <v>25</v>
      </c>
      <c r="Q1650" s="80">
        <v>100</v>
      </c>
      <c r="R1650" s="80">
        <v>14</v>
      </c>
      <c r="S1650" s="80"/>
      <c r="T1650" s="105">
        <f t="shared" si="225"/>
        <v>1.7857142857142858</v>
      </c>
      <c r="U1650" s="105">
        <f t="shared" si="218"/>
        <v>1.7857142857142858</v>
      </c>
      <c r="V1650" s="104">
        <f>IFERROR(VLOOKUP(L1650,'Raw material list'!$A$2:$S$3102,6,0),0)</f>
        <v>8.0555555555555554E-3</v>
      </c>
      <c r="W1650" s="104">
        <f t="shared" si="219"/>
        <v>1.4384920634920636E-2</v>
      </c>
    </row>
    <row r="1651" spans="1:23" hidden="1" x14ac:dyDescent="0.55000000000000004">
      <c r="A1651" s="76" t="str">
        <f t="shared" ref="A1651:A1659" si="226">A1650</f>
        <v>RCP-SMC-000111</v>
      </c>
      <c r="B1651" s="58" t="s">
        <v>35</v>
      </c>
      <c r="C1651" s="58" t="s">
        <v>10</v>
      </c>
      <c r="D1651" s="76" t="str">
        <f t="shared" ref="D1651:D1659" si="227">D1650</f>
        <v>lentil vegetable soup</v>
      </c>
      <c r="E1651" s="76" t="s">
        <v>1535</v>
      </c>
      <c r="F1651" s="76" t="s">
        <v>2079</v>
      </c>
      <c r="G1651" s="94" t="s">
        <v>1779</v>
      </c>
      <c r="H1651" s="107" t="s">
        <v>1774</v>
      </c>
      <c r="I1651" s="76"/>
      <c r="J1651" s="76"/>
      <c r="K1651" s="58" t="str">
        <f>IFERROR(VLOOKUP(L1651,'Raw material list'!$A$3:$C$715,3,0),"")</f>
        <v>PRD1-4265</v>
      </c>
      <c r="L1651" s="59" t="s">
        <v>38</v>
      </c>
      <c r="M1651" s="80" t="s">
        <v>156</v>
      </c>
      <c r="N1651" s="40" t="str">
        <f>VLOOKUP(L1651,'Raw material list'!$A$3:$E$715,5,0)</f>
        <v xml:space="preserve">Gram </v>
      </c>
      <c r="O1651" s="80">
        <v>100</v>
      </c>
      <c r="P1651" s="299">
        <f t="shared" si="217"/>
        <v>117.64705882352942</v>
      </c>
      <c r="Q1651" s="105">
        <v>85</v>
      </c>
      <c r="R1651" s="80">
        <v>14</v>
      </c>
      <c r="S1651" s="80"/>
      <c r="T1651" s="105">
        <f t="shared" si="225"/>
        <v>7.1428571428571432</v>
      </c>
      <c r="U1651" s="105">
        <f t="shared" si="218"/>
        <v>8.4033613445378155</v>
      </c>
      <c r="V1651" s="104">
        <f>IFERROR(VLOOKUP(L1651,'Raw material list'!$A$2:$S$3102,6,0),0)</f>
        <v>3.529411764705882E-3</v>
      </c>
      <c r="W1651" s="104">
        <f t="shared" si="219"/>
        <v>2.9658922392486405E-2</v>
      </c>
    </row>
    <row r="1652" spans="1:23" hidden="1" x14ac:dyDescent="0.55000000000000004">
      <c r="A1652" s="76" t="str">
        <f t="shared" si="226"/>
        <v>RCP-SMC-000111</v>
      </c>
      <c r="B1652" s="58" t="s">
        <v>35</v>
      </c>
      <c r="C1652" s="58" t="s">
        <v>10</v>
      </c>
      <c r="D1652" s="76" t="str">
        <f t="shared" si="227"/>
        <v>lentil vegetable soup</v>
      </c>
      <c r="E1652" s="76" t="s">
        <v>1535</v>
      </c>
      <c r="F1652" s="76" t="s">
        <v>2079</v>
      </c>
      <c r="G1652" s="94" t="s">
        <v>1779</v>
      </c>
      <c r="H1652" s="107" t="s">
        <v>1774</v>
      </c>
      <c r="I1652" s="76"/>
      <c r="J1652" s="76"/>
      <c r="K1652" s="58" t="str">
        <f>IFERROR(VLOOKUP(L1652,'Raw material list'!$A$3:$C$715,3,0),"")</f>
        <v>PRD1-4327</v>
      </c>
      <c r="L1652" s="59" t="s">
        <v>39</v>
      </c>
      <c r="M1652" s="80" t="s">
        <v>156</v>
      </c>
      <c r="N1652" s="40" t="str">
        <f>VLOOKUP(L1652,'Raw material list'!$A$3:$E$715,5,0)</f>
        <v xml:space="preserve">Gram </v>
      </c>
      <c r="O1652" s="80">
        <v>15</v>
      </c>
      <c r="P1652" s="299">
        <f t="shared" si="217"/>
        <v>18.072289156626507</v>
      </c>
      <c r="Q1652" s="105">
        <v>83</v>
      </c>
      <c r="R1652" s="80">
        <v>14</v>
      </c>
      <c r="S1652" s="80"/>
      <c r="T1652" s="105">
        <f t="shared" si="225"/>
        <v>1.0714285714285714</v>
      </c>
      <c r="U1652" s="105">
        <f t="shared" si="218"/>
        <v>1.2908777969018934</v>
      </c>
      <c r="V1652" s="104">
        <f>IFERROR(VLOOKUP(L1652,'Raw material list'!$A$2:$S$3102,6,0),0)</f>
        <v>1.2999999999999999E-2</v>
      </c>
      <c r="W1652" s="104">
        <f t="shared" si="219"/>
        <v>1.6781411359724614E-2</v>
      </c>
    </row>
    <row r="1653" spans="1:23" hidden="1" x14ac:dyDescent="0.55000000000000004">
      <c r="A1653" s="76" t="str">
        <f t="shared" si="226"/>
        <v>RCP-SMC-000111</v>
      </c>
      <c r="B1653" s="58" t="s">
        <v>35</v>
      </c>
      <c r="C1653" s="58" t="s">
        <v>10</v>
      </c>
      <c r="D1653" s="76" t="str">
        <f t="shared" si="227"/>
        <v>lentil vegetable soup</v>
      </c>
      <c r="E1653" s="76" t="s">
        <v>1535</v>
      </c>
      <c r="F1653" s="76" t="s">
        <v>2079</v>
      </c>
      <c r="G1653" s="94" t="s">
        <v>1779</v>
      </c>
      <c r="H1653" s="107" t="s">
        <v>1774</v>
      </c>
      <c r="I1653" s="76"/>
      <c r="J1653" s="76"/>
      <c r="K1653" s="58" t="str">
        <f>IFERROR(VLOOKUP(L1653,'Raw material list'!$A$3:$C$715,3,0),"")</f>
        <v>DRS4-4907</v>
      </c>
      <c r="L1653" s="59" t="s">
        <v>1631</v>
      </c>
      <c r="M1653" s="80" t="s">
        <v>156</v>
      </c>
      <c r="N1653" s="40" t="str">
        <f>VLOOKUP(L1653,'Raw material list'!$A$3:$E$715,5,0)</f>
        <v xml:space="preserve">Gram </v>
      </c>
      <c r="O1653" s="80">
        <v>350</v>
      </c>
      <c r="P1653" s="299">
        <f t="shared" si="217"/>
        <v>350</v>
      </c>
      <c r="Q1653" s="303">
        <v>100</v>
      </c>
      <c r="R1653" s="80">
        <v>14</v>
      </c>
      <c r="S1653" s="80"/>
      <c r="T1653" s="105">
        <f t="shared" si="225"/>
        <v>25</v>
      </c>
      <c r="U1653" s="105">
        <f t="shared" si="218"/>
        <v>25</v>
      </c>
      <c r="V1653" s="104">
        <f>IFERROR(VLOOKUP(L1653,'Raw material list'!$A$2:$S$3102,6,0),0)</f>
        <v>6.0000000000000001E-3</v>
      </c>
      <c r="W1653" s="104">
        <f t="shared" si="219"/>
        <v>0.15</v>
      </c>
    </row>
    <row r="1654" spans="1:23" hidden="1" x14ac:dyDescent="0.55000000000000004">
      <c r="A1654" s="76" t="str">
        <f t="shared" si="226"/>
        <v>RCP-SMC-000111</v>
      </c>
      <c r="B1654" s="58" t="s">
        <v>35</v>
      </c>
      <c r="C1654" s="58" t="s">
        <v>10</v>
      </c>
      <c r="D1654" s="76" t="str">
        <f t="shared" si="227"/>
        <v>lentil vegetable soup</v>
      </c>
      <c r="E1654" s="76" t="s">
        <v>1535</v>
      </c>
      <c r="F1654" s="76" t="s">
        <v>2079</v>
      </c>
      <c r="G1654" s="94" t="s">
        <v>1779</v>
      </c>
      <c r="H1654" s="107" t="s">
        <v>1774</v>
      </c>
      <c r="I1654" s="76"/>
      <c r="J1654" s="76"/>
      <c r="K1654" s="58" t="str">
        <f>IFERROR(VLOOKUP(L1654,'Raw material list'!$A$3:$C$715,3,0),"")</f>
        <v>PRD1-186</v>
      </c>
      <c r="L1654" s="59" t="s">
        <v>37</v>
      </c>
      <c r="M1654" s="80" t="s">
        <v>156</v>
      </c>
      <c r="N1654" s="40" t="str">
        <f>VLOOKUP(L1654,'Raw material list'!$A$3:$E$715,5,0)</f>
        <v xml:space="preserve">Gram </v>
      </c>
      <c r="O1654" s="80">
        <v>150</v>
      </c>
      <c r="P1654" s="299">
        <f t="shared" si="217"/>
        <v>183.67346938775509</v>
      </c>
      <c r="Q1654" s="105">
        <v>81.666666666666671</v>
      </c>
      <c r="R1654" s="80">
        <v>14</v>
      </c>
      <c r="S1654" s="80"/>
      <c r="T1654" s="105">
        <f t="shared" si="225"/>
        <v>10.714285714285714</v>
      </c>
      <c r="U1654" s="105">
        <f t="shared" si="218"/>
        <v>13.119533527696792</v>
      </c>
      <c r="V1654" s="104">
        <f>IFERROR(VLOOKUP(L1654,'Raw material list'!$A$2:$S$3102,6,0),0)</f>
        <v>5.8139534883720938E-3</v>
      </c>
      <c r="W1654" s="104">
        <f t="shared" si="219"/>
        <v>7.6276357719167409E-2</v>
      </c>
    </row>
    <row r="1655" spans="1:23" hidden="1" x14ac:dyDescent="0.55000000000000004">
      <c r="A1655" s="76" t="str">
        <f t="shared" si="226"/>
        <v>RCP-SMC-000111</v>
      </c>
      <c r="B1655" s="58" t="s">
        <v>35</v>
      </c>
      <c r="C1655" s="58" t="s">
        <v>10</v>
      </c>
      <c r="D1655" s="76" t="str">
        <f t="shared" si="227"/>
        <v>lentil vegetable soup</v>
      </c>
      <c r="E1655" s="76" t="s">
        <v>1535</v>
      </c>
      <c r="F1655" s="76" t="s">
        <v>2079</v>
      </c>
      <c r="G1655" s="94" t="s">
        <v>1779</v>
      </c>
      <c r="H1655" s="107" t="s">
        <v>1774</v>
      </c>
      <c r="I1655" s="76"/>
      <c r="J1655" s="76"/>
      <c r="K1655" s="58" t="str">
        <f>IFERROR(VLOOKUP(L1655,'Raw material list'!$A$3:$C$715,3,0),"")</f>
        <v>PRD1-230</v>
      </c>
      <c r="L1655" s="59" t="s">
        <v>70</v>
      </c>
      <c r="M1655" s="80" t="s">
        <v>156</v>
      </c>
      <c r="N1655" s="40" t="str">
        <f>VLOOKUP(L1655,'Raw material list'!$A$3:$E$715,5,0)</f>
        <v xml:space="preserve">Gram </v>
      </c>
      <c r="O1655" s="80">
        <v>250</v>
      </c>
      <c r="P1655" s="299">
        <f t="shared" si="217"/>
        <v>337.38191632928476</v>
      </c>
      <c r="Q1655" s="105">
        <v>74.099999999999994</v>
      </c>
      <c r="R1655" s="80">
        <v>14</v>
      </c>
      <c r="S1655" s="80"/>
      <c r="T1655" s="105">
        <f t="shared" si="225"/>
        <v>17.857142857142858</v>
      </c>
      <c r="U1655" s="105">
        <f t="shared" si="218"/>
        <v>24.098708309234627</v>
      </c>
      <c r="V1655" s="104">
        <f>IFERROR(VLOOKUP(L1655,'Raw material list'!$A$2:$S$3102,6,0),0)</f>
        <v>3.3738191632928472E-3</v>
      </c>
      <c r="W1655" s="104">
        <f t="shared" si="219"/>
        <v>8.1304683904300359E-2</v>
      </c>
    </row>
    <row r="1656" spans="1:23" hidden="1" x14ac:dyDescent="0.55000000000000004">
      <c r="A1656" s="76" t="str">
        <f t="shared" si="226"/>
        <v>RCP-SMC-000111</v>
      </c>
      <c r="B1656" s="58" t="s">
        <v>35</v>
      </c>
      <c r="C1656" s="58" t="s">
        <v>10</v>
      </c>
      <c r="D1656" s="76" t="str">
        <f t="shared" si="227"/>
        <v>lentil vegetable soup</v>
      </c>
      <c r="E1656" s="76" t="s">
        <v>1535</v>
      </c>
      <c r="F1656" s="76" t="s">
        <v>2079</v>
      </c>
      <c r="G1656" s="94" t="s">
        <v>1779</v>
      </c>
      <c r="H1656" s="107" t="s">
        <v>1774</v>
      </c>
      <c r="I1656" s="76"/>
      <c r="J1656" s="76"/>
      <c r="K1656" s="58" t="str">
        <f>IFERROR(VLOOKUP(L1656,'Raw material list'!$A$3:$C$715,3,0),"")</f>
        <v>DRS1-3880</v>
      </c>
      <c r="L1656" s="59" t="s">
        <v>1433</v>
      </c>
      <c r="M1656" s="80" t="s">
        <v>156</v>
      </c>
      <c r="N1656" s="40" t="str">
        <f>VLOOKUP(L1656,'Raw material list'!$A$3:$E$715,5,0)</f>
        <v xml:space="preserve">Gram </v>
      </c>
      <c r="O1656" s="80">
        <v>5</v>
      </c>
      <c r="P1656" s="299">
        <f t="shared" si="217"/>
        <v>5</v>
      </c>
      <c r="Q1656" s="303">
        <v>100</v>
      </c>
      <c r="R1656" s="80">
        <v>14</v>
      </c>
      <c r="S1656" s="80"/>
      <c r="T1656" s="105">
        <f t="shared" si="225"/>
        <v>0.35714285714285715</v>
      </c>
      <c r="U1656" s="105">
        <f t="shared" si="218"/>
        <v>0.35714285714285715</v>
      </c>
      <c r="V1656" s="104">
        <f>IFERROR(VLOOKUP(L1656,'Raw material list'!$A$2:$S$3102,6,0),0)</f>
        <v>5.0000000000000001E-4</v>
      </c>
      <c r="W1656" s="104">
        <f t="shared" si="219"/>
        <v>1.7857142857142857E-4</v>
      </c>
    </row>
    <row r="1657" spans="1:23" hidden="1" x14ac:dyDescent="0.55000000000000004">
      <c r="A1657" s="76" t="str">
        <f t="shared" si="226"/>
        <v>RCP-SMC-000111</v>
      </c>
      <c r="B1657" s="58" t="s">
        <v>35</v>
      </c>
      <c r="C1657" s="58" t="s">
        <v>10</v>
      </c>
      <c r="D1657" s="76" t="str">
        <f t="shared" si="227"/>
        <v>lentil vegetable soup</v>
      </c>
      <c r="E1657" s="76" t="s">
        <v>1535</v>
      </c>
      <c r="F1657" s="76" t="s">
        <v>2079</v>
      </c>
      <c r="G1657" s="94" t="s">
        <v>1779</v>
      </c>
      <c r="H1657" s="107" t="s">
        <v>1774</v>
      </c>
      <c r="I1657" s="76"/>
      <c r="J1657" s="76"/>
      <c r="K1657" s="58" t="str">
        <f>IFERROR(VLOOKUP(L1657,'Raw material list'!$A$3:$C$715,3,0),"")</f>
        <v>DRS6-537</v>
      </c>
      <c r="L1657" s="59" t="s">
        <v>46</v>
      </c>
      <c r="M1657" s="80" t="s">
        <v>156</v>
      </c>
      <c r="N1657" s="40" t="str">
        <f>VLOOKUP(L1657,'Raw material list'!$A$3:$E$715,5,0)</f>
        <v xml:space="preserve">Gram </v>
      </c>
      <c r="O1657" s="80">
        <v>1</v>
      </c>
      <c r="P1657" s="299">
        <f t="shared" si="217"/>
        <v>1</v>
      </c>
      <c r="Q1657" s="80">
        <v>100</v>
      </c>
      <c r="R1657" s="80">
        <v>14</v>
      </c>
      <c r="S1657" s="80"/>
      <c r="T1657" s="105">
        <f t="shared" si="225"/>
        <v>7.1428571428571425E-2</v>
      </c>
      <c r="U1657" s="105">
        <f t="shared" si="218"/>
        <v>7.1428571428571425E-2</v>
      </c>
      <c r="V1657" s="104">
        <f>IFERROR(VLOOKUP(L1657,'Raw material list'!$A$2:$S$3102,6,0),0)</f>
        <v>3.5000000000000003E-2</v>
      </c>
      <c r="W1657" s="104">
        <f t="shared" si="219"/>
        <v>2.5000000000000001E-3</v>
      </c>
    </row>
    <row r="1658" spans="1:23" hidden="1" x14ac:dyDescent="0.55000000000000004">
      <c r="A1658" s="76" t="str">
        <f t="shared" si="226"/>
        <v>RCP-SMC-000111</v>
      </c>
      <c r="B1658" s="58" t="s">
        <v>35</v>
      </c>
      <c r="C1658" s="58" t="s">
        <v>10</v>
      </c>
      <c r="D1658" s="76" t="str">
        <f t="shared" si="227"/>
        <v>lentil vegetable soup</v>
      </c>
      <c r="E1658" s="76" t="s">
        <v>1535</v>
      </c>
      <c r="F1658" s="76" t="s">
        <v>2079</v>
      </c>
      <c r="G1658" s="94" t="s">
        <v>1779</v>
      </c>
      <c r="H1658" s="107" t="s">
        <v>1774</v>
      </c>
      <c r="I1658" s="76"/>
      <c r="J1658" s="76"/>
      <c r="K1658" s="58" t="str">
        <f>IFERROR(VLOOKUP(L1658,'Raw material list'!$A$3:$C$715,3,0),"")</f>
        <v>TAP-00001</v>
      </c>
      <c r="L1658" s="59" t="s">
        <v>1405</v>
      </c>
      <c r="M1658" s="80" t="s">
        <v>206</v>
      </c>
      <c r="N1658" s="40" t="str">
        <f>VLOOKUP(L1658,'Raw material list'!$A$3:$E$715,5,0)</f>
        <v>Ml</v>
      </c>
      <c r="O1658" s="80">
        <v>2300</v>
      </c>
      <c r="P1658" s="299">
        <f t="shared" si="217"/>
        <v>2300</v>
      </c>
      <c r="Q1658" s="80">
        <v>100</v>
      </c>
      <c r="R1658" s="80">
        <v>14</v>
      </c>
      <c r="S1658" s="80"/>
      <c r="T1658" s="105">
        <f t="shared" si="225"/>
        <v>164.28571428571428</v>
      </c>
      <c r="U1658" s="105">
        <f t="shared" si="218"/>
        <v>164.28571428571428</v>
      </c>
      <c r="V1658" s="104">
        <f>IFERROR(VLOOKUP(L1658,'Raw material list'!$A$2:$S$3102,6,0),0)</f>
        <v>8.0000000000000007E-5</v>
      </c>
      <c r="W1658" s="104">
        <f t="shared" si="219"/>
        <v>1.3142857142857144E-2</v>
      </c>
    </row>
    <row r="1659" spans="1:23" hidden="1" x14ac:dyDescent="0.55000000000000004">
      <c r="A1659" s="76" t="str">
        <f t="shared" si="226"/>
        <v>RCP-SMC-000111</v>
      </c>
      <c r="B1659" s="58" t="s">
        <v>35</v>
      </c>
      <c r="C1659" s="58" t="s">
        <v>10</v>
      </c>
      <c r="D1659" s="76" t="str">
        <f t="shared" si="227"/>
        <v>lentil vegetable soup</v>
      </c>
      <c r="E1659" s="76" t="s">
        <v>1535</v>
      </c>
      <c r="F1659" s="76" t="s">
        <v>2079</v>
      </c>
      <c r="G1659" s="94" t="s">
        <v>1779</v>
      </c>
      <c r="H1659" s="107" t="s">
        <v>1774</v>
      </c>
      <c r="I1659" s="76"/>
      <c r="J1659" s="76"/>
      <c r="K1659" s="58" t="str">
        <f>IFERROR(VLOOKUP(L1659,'Raw material list'!$A$3:$C$715,3,0),"")</f>
        <v>DRS6-1674</v>
      </c>
      <c r="L1659" s="59" t="s">
        <v>73</v>
      </c>
      <c r="M1659" s="80" t="s">
        <v>156</v>
      </c>
      <c r="N1659" s="40" t="str">
        <f>VLOOKUP(L1659,'Raw material list'!$A$3:$E$715,5,0)</f>
        <v xml:space="preserve">Gram </v>
      </c>
      <c r="O1659" s="80">
        <v>2</v>
      </c>
      <c r="P1659" s="299">
        <f t="shared" si="217"/>
        <v>2</v>
      </c>
      <c r="Q1659" s="80">
        <v>100</v>
      </c>
      <c r="R1659" s="80">
        <v>14</v>
      </c>
      <c r="S1659" s="80"/>
      <c r="T1659" s="105">
        <f t="shared" si="225"/>
        <v>0.14285714285714285</v>
      </c>
      <c r="U1659" s="105">
        <f t="shared" si="218"/>
        <v>0.14285714285714285</v>
      </c>
      <c r="V1659" s="104">
        <f>IFERROR(VLOOKUP(L1659,'Raw material list'!$A$2:$S$3102,6,0),0)</f>
        <v>1.2500000000000001E-2</v>
      </c>
      <c r="W1659" s="104">
        <f t="shared" si="219"/>
        <v>1.7857142857142857E-3</v>
      </c>
    </row>
    <row r="1660" spans="1:23" hidden="1" x14ac:dyDescent="0.55000000000000004">
      <c r="A1660" s="76" t="s">
        <v>1656</v>
      </c>
      <c r="B1660" s="58" t="s">
        <v>35</v>
      </c>
      <c r="C1660" s="58" t="s">
        <v>10</v>
      </c>
      <c r="D1660" s="76" t="s">
        <v>1636</v>
      </c>
      <c r="E1660" s="76" t="s">
        <v>1535</v>
      </c>
      <c r="F1660" s="76" t="s">
        <v>2079</v>
      </c>
      <c r="G1660" s="94" t="s">
        <v>1779</v>
      </c>
      <c r="H1660" s="107" t="s">
        <v>1774</v>
      </c>
      <c r="I1660" s="76"/>
      <c r="J1660" s="76"/>
      <c r="K1660" s="58" t="str">
        <f>IFERROR(VLOOKUP(L1660,'Raw material list'!$A$3:$C$715,3,0),"")</f>
        <v>DRS3-1813</v>
      </c>
      <c r="L1660" s="59" t="s">
        <v>69</v>
      </c>
      <c r="M1660" s="80" t="s">
        <v>206</v>
      </c>
      <c r="N1660" s="40" t="str">
        <f>VLOOKUP(L1660,'Raw material list'!$A$3:$E$715,5,0)</f>
        <v>Ml</v>
      </c>
      <c r="O1660" s="80">
        <v>20</v>
      </c>
      <c r="P1660" s="299">
        <f t="shared" si="217"/>
        <v>20</v>
      </c>
      <c r="Q1660" s="80">
        <v>100</v>
      </c>
      <c r="R1660" s="80">
        <v>14</v>
      </c>
      <c r="S1660" s="80"/>
      <c r="T1660" s="105">
        <f t="shared" si="225"/>
        <v>1.4285714285714286</v>
      </c>
      <c r="U1660" s="105">
        <f t="shared" si="218"/>
        <v>1.4285714285714286</v>
      </c>
      <c r="V1660" s="104">
        <f>IFERROR(VLOOKUP(L1660,'Raw material list'!$A$2:$S$3102,6,0),0)</f>
        <v>8.0555555555555554E-3</v>
      </c>
      <c r="W1660" s="104">
        <f t="shared" si="219"/>
        <v>1.1507936507936509E-2</v>
      </c>
    </row>
    <row r="1661" spans="1:23" hidden="1" x14ac:dyDescent="0.55000000000000004">
      <c r="A1661" s="76" t="str">
        <f t="shared" ref="A1661:A1670" si="228">A1660</f>
        <v>RCP-SMC-000112</v>
      </c>
      <c r="B1661" s="58" t="s">
        <v>35</v>
      </c>
      <c r="C1661" s="58" t="s">
        <v>10</v>
      </c>
      <c r="D1661" s="76" t="str">
        <f t="shared" ref="D1661:D1670" si="229">D1660</f>
        <v>Cream of  Vegetables  soup</v>
      </c>
      <c r="E1661" s="76" t="s">
        <v>1535</v>
      </c>
      <c r="F1661" s="76" t="s">
        <v>2079</v>
      </c>
      <c r="G1661" s="94" t="s">
        <v>1779</v>
      </c>
      <c r="H1661" s="107" t="s">
        <v>1774</v>
      </c>
      <c r="I1661" s="76"/>
      <c r="J1661" s="76"/>
      <c r="K1661" s="58" t="str">
        <f>IFERROR(VLOOKUP(L1661,'Raw material list'!$A$3:$C$715,3,0),"")</f>
        <v>PRD1-4265</v>
      </c>
      <c r="L1661" s="59" t="s">
        <v>38</v>
      </c>
      <c r="M1661" s="80" t="s">
        <v>156</v>
      </c>
      <c r="N1661" s="40" t="str">
        <f>VLOOKUP(L1661,'Raw material list'!$A$3:$E$715,5,0)</f>
        <v xml:space="preserve">Gram </v>
      </c>
      <c r="O1661" s="80">
        <v>100</v>
      </c>
      <c r="P1661" s="299">
        <f t="shared" si="217"/>
        <v>117.64705882352942</v>
      </c>
      <c r="Q1661" s="105">
        <v>85</v>
      </c>
      <c r="R1661" s="80">
        <v>14</v>
      </c>
      <c r="S1661" s="80"/>
      <c r="T1661" s="105">
        <f t="shared" si="225"/>
        <v>7.1428571428571432</v>
      </c>
      <c r="U1661" s="105">
        <f t="shared" si="218"/>
        <v>8.4033613445378155</v>
      </c>
      <c r="V1661" s="104">
        <f>IFERROR(VLOOKUP(L1661,'Raw material list'!$A$2:$S$3102,6,0),0)</f>
        <v>3.529411764705882E-3</v>
      </c>
      <c r="W1661" s="104">
        <f t="shared" si="219"/>
        <v>2.9658922392486405E-2</v>
      </c>
    </row>
    <row r="1662" spans="1:23" hidden="1" x14ac:dyDescent="0.55000000000000004">
      <c r="A1662" s="76" t="str">
        <f t="shared" si="228"/>
        <v>RCP-SMC-000112</v>
      </c>
      <c r="B1662" s="58" t="s">
        <v>35</v>
      </c>
      <c r="C1662" s="58" t="s">
        <v>10</v>
      </c>
      <c r="D1662" s="76" t="str">
        <f t="shared" si="229"/>
        <v>Cream of  Vegetables  soup</v>
      </c>
      <c r="E1662" s="76" t="s">
        <v>1535</v>
      </c>
      <c r="F1662" s="76" t="s">
        <v>2079</v>
      </c>
      <c r="G1662" s="94" t="s">
        <v>1779</v>
      </c>
      <c r="H1662" s="107" t="s">
        <v>1774</v>
      </c>
      <c r="I1662" s="76"/>
      <c r="J1662" s="76"/>
      <c r="K1662" s="58" t="str">
        <f>IFERROR(VLOOKUP(L1662,'Raw material list'!$A$3:$C$715,3,0),"")</f>
        <v>PRD1-4327</v>
      </c>
      <c r="L1662" s="59" t="s">
        <v>39</v>
      </c>
      <c r="M1662" s="80" t="s">
        <v>156</v>
      </c>
      <c r="N1662" s="40" t="str">
        <f>VLOOKUP(L1662,'Raw material list'!$A$3:$E$715,5,0)</f>
        <v xml:space="preserve">Gram </v>
      </c>
      <c r="O1662" s="80">
        <v>10</v>
      </c>
      <c r="P1662" s="299">
        <f t="shared" si="217"/>
        <v>12.048192771084338</v>
      </c>
      <c r="Q1662" s="105">
        <v>83</v>
      </c>
      <c r="R1662" s="80">
        <v>14</v>
      </c>
      <c r="S1662" s="80"/>
      <c r="T1662" s="105">
        <f t="shared" si="225"/>
        <v>0.7142857142857143</v>
      </c>
      <c r="U1662" s="105">
        <f t="shared" si="218"/>
        <v>0.86058519793459554</v>
      </c>
      <c r="V1662" s="104">
        <f>IFERROR(VLOOKUP(L1662,'Raw material list'!$A$2:$S$3102,6,0),0)</f>
        <v>1.2999999999999999E-2</v>
      </c>
      <c r="W1662" s="104">
        <f t="shared" si="219"/>
        <v>1.1187607573149742E-2</v>
      </c>
    </row>
    <row r="1663" spans="1:23" hidden="1" x14ac:dyDescent="0.55000000000000004">
      <c r="A1663" s="76" t="str">
        <f t="shared" si="228"/>
        <v>RCP-SMC-000112</v>
      </c>
      <c r="B1663" s="58" t="s">
        <v>35</v>
      </c>
      <c r="C1663" s="58" t="s">
        <v>10</v>
      </c>
      <c r="D1663" s="76" t="str">
        <f t="shared" si="229"/>
        <v>Cream of  Vegetables  soup</v>
      </c>
      <c r="E1663" s="76" t="s">
        <v>1535</v>
      </c>
      <c r="F1663" s="76" t="s">
        <v>2079</v>
      </c>
      <c r="G1663" s="94" t="s">
        <v>1779</v>
      </c>
      <c r="H1663" s="107" t="s">
        <v>1774</v>
      </c>
      <c r="I1663" s="76"/>
      <c r="J1663" s="76"/>
      <c r="K1663" s="58" t="str">
        <f>IFERROR(VLOOKUP(L1663,'Raw material list'!$A$3:$C$715,3,0),"")</f>
        <v>PRD1-3794</v>
      </c>
      <c r="L1663" s="59" t="s">
        <v>973</v>
      </c>
      <c r="M1663" s="80" t="s">
        <v>156</v>
      </c>
      <c r="N1663" s="40" t="str">
        <f>VLOOKUP(L1663,'Raw material list'!$A$3:$E$715,5,0)</f>
        <v xml:space="preserve">Gram </v>
      </c>
      <c r="O1663" s="80">
        <v>500</v>
      </c>
      <c r="P1663" s="299">
        <f t="shared" si="217"/>
        <v>617.28395061728395</v>
      </c>
      <c r="Q1663" s="105">
        <v>81</v>
      </c>
      <c r="R1663" s="80">
        <v>14</v>
      </c>
      <c r="S1663" s="80"/>
      <c r="T1663" s="105">
        <f t="shared" si="225"/>
        <v>35.714285714285715</v>
      </c>
      <c r="U1663" s="105">
        <f t="shared" si="218"/>
        <v>44.091710758377424</v>
      </c>
      <c r="V1663" s="104">
        <f>IFERROR(VLOOKUP(L1663,'Raw material list'!$A$2:$S$3102,6,0),0)</f>
        <v>4.9382716049382715E-3</v>
      </c>
      <c r="W1663" s="104">
        <f t="shared" si="219"/>
        <v>0.21773684325124654</v>
      </c>
    </row>
    <row r="1664" spans="1:23" hidden="1" x14ac:dyDescent="0.55000000000000004">
      <c r="A1664" s="76" t="str">
        <f t="shared" si="228"/>
        <v>RCP-SMC-000112</v>
      </c>
      <c r="B1664" s="58" t="s">
        <v>35</v>
      </c>
      <c r="C1664" s="58" t="s">
        <v>10</v>
      </c>
      <c r="D1664" s="76" t="str">
        <f t="shared" si="229"/>
        <v>Cream of  Vegetables  soup</v>
      </c>
      <c r="E1664" s="76" t="s">
        <v>1535</v>
      </c>
      <c r="F1664" s="76" t="s">
        <v>2079</v>
      </c>
      <c r="G1664" s="94" t="s">
        <v>1779</v>
      </c>
      <c r="H1664" s="107" t="s">
        <v>1774</v>
      </c>
      <c r="I1664" s="76"/>
      <c r="J1664" s="76"/>
      <c r="K1664" s="58" t="str">
        <f>IFERROR(VLOOKUP(L1664,'Raw material list'!$A$3:$C$715,3,0),"")</f>
        <v>PRD1-231</v>
      </c>
      <c r="L1664" s="59" t="s">
        <v>1046</v>
      </c>
      <c r="M1664" s="80" t="s">
        <v>156</v>
      </c>
      <c r="N1664" s="40" t="str">
        <f>VLOOKUP(L1664,'Raw material list'!$A$3:$E$715,5,0)</f>
        <v xml:space="preserve">Gram </v>
      </c>
      <c r="O1664" s="80">
        <v>200</v>
      </c>
      <c r="P1664" s="299">
        <f t="shared" si="217"/>
        <v>241.64317358034637</v>
      </c>
      <c r="Q1664" s="105">
        <v>82.766666666666666</v>
      </c>
      <c r="R1664" s="80">
        <v>14</v>
      </c>
      <c r="S1664" s="80"/>
      <c r="T1664" s="105">
        <f t="shared" si="225"/>
        <v>14.285714285714286</v>
      </c>
      <c r="U1664" s="105">
        <f t="shared" si="218"/>
        <v>17.260226684310457</v>
      </c>
      <c r="V1664" s="104">
        <f>IFERROR(VLOOKUP(L1664,'Raw material list'!$A$2:$S$3102,6,0),0)</f>
        <v>9.6618357487922701E-3</v>
      </c>
      <c r="W1664" s="104">
        <f t="shared" si="219"/>
        <v>0.16676547521072904</v>
      </c>
    </row>
    <row r="1665" spans="1:23" hidden="1" x14ac:dyDescent="0.55000000000000004">
      <c r="A1665" s="76" t="str">
        <f t="shared" si="228"/>
        <v>RCP-SMC-000112</v>
      </c>
      <c r="B1665" s="58" t="s">
        <v>35</v>
      </c>
      <c r="C1665" s="58" t="s">
        <v>10</v>
      </c>
      <c r="D1665" s="76" t="str">
        <f t="shared" si="229"/>
        <v>Cream of  Vegetables  soup</v>
      </c>
      <c r="E1665" s="76" t="s">
        <v>1535</v>
      </c>
      <c r="F1665" s="76" t="s">
        <v>2079</v>
      </c>
      <c r="G1665" s="94" t="s">
        <v>1779</v>
      </c>
      <c r="H1665" s="107" t="s">
        <v>1774</v>
      </c>
      <c r="I1665" s="76"/>
      <c r="J1665" s="76"/>
      <c r="K1665" s="58" t="str">
        <f>IFERROR(VLOOKUP(L1665,'Raw material list'!$A$3:$C$715,3,0),"")</f>
        <v>DRS1-4417</v>
      </c>
      <c r="L1665" s="59" t="s">
        <v>88</v>
      </c>
      <c r="M1665" s="80" t="s">
        <v>156</v>
      </c>
      <c r="N1665" s="40" t="str">
        <f>VLOOKUP(L1665,'Raw material list'!$A$3:$E$715,5,0)</f>
        <v xml:space="preserve">Gram </v>
      </c>
      <c r="O1665" s="80">
        <v>10</v>
      </c>
      <c r="P1665" s="299">
        <f t="shared" si="217"/>
        <v>10</v>
      </c>
      <c r="Q1665" s="303">
        <v>100</v>
      </c>
      <c r="R1665" s="80">
        <v>14</v>
      </c>
      <c r="S1665" s="80"/>
      <c r="T1665" s="105">
        <f t="shared" si="225"/>
        <v>0.7142857142857143</v>
      </c>
      <c r="U1665" s="105">
        <f t="shared" si="218"/>
        <v>0.7142857142857143</v>
      </c>
      <c r="V1665" s="104">
        <f>IFERROR(VLOOKUP(L1665,'Raw material list'!$A$2:$S$3102,6,0),0)</f>
        <v>3.6754545454545456E-2</v>
      </c>
      <c r="W1665" s="104">
        <f t="shared" si="219"/>
        <v>2.6253246753246754E-2</v>
      </c>
    </row>
    <row r="1666" spans="1:23" hidden="1" x14ac:dyDescent="0.55000000000000004">
      <c r="A1666" s="76" t="str">
        <f t="shared" si="228"/>
        <v>RCP-SMC-000112</v>
      </c>
      <c r="B1666" s="58" t="s">
        <v>35</v>
      </c>
      <c r="C1666" s="58" t="s">
        <v>10</v>
      </c>
      <c r="D1666" s="76" t="str">
        <f t="shared" si="229"/>
        <v>Cream of  Vegetables  soup</v>
      </c>
      <c r="E1666" s="76" t="s">
        <v>1535</v>
      </c>
      <c r="F1666" s="76" t="s">
        <v>2079</v>
      </c>
      <c r="G1666" s="94" t="s">
        <v>1779</v>
      </c>
      <c r="H1666" s="107" t="s">
        <v>1774</v>
      </c>
      <c r="I1666" s="76"/>
      <c r="J1666" s="76"/>
      <c r="K1666" s="58" t="str">
        <f>IFERROR(VLOOKUP(L1666,'Raw material list'!$A$3:$C$715,3,0),"")</f>
        <v>DRS6-537</v>
      </c>
      <c r="L1666" s="59" t="s">
        <v>46</v>
      </c>
      <c r="M1666" s="80" t="s">
        <v>156</v>
      </c>
      <c r="N1666" s="40" t="str">
        <f>VLOOKUP(L1666,'Raw material list'!$A$3:$E$715,5,0)</f>
        <v xml:space="preserve">Gram </v>
      </c>
      <c r="O1666" s="80">
        <v>2</v>
      </c>
      <c r="P1666" s="299">
        <f t="shared" si="217"/>
        <v>2</v>
      </c>
      <c r="Q1666" s="80">
        <v>100</v>
      </c>
      <c r="R1666" s="80">
        <v>14</v>
      </c>
      <c r="S1666" s="80"/>
      <c r="T1666" s="105">
        <f t="shared" si="225"/>
        <v>0.14285714285714285</v>
      </c>
      <c r="U1666" s="105">
        <f t="shared" si="218"/>
        <v>0.14285714285714285</v>
      </c>
      <c r="V1666" s="104">
        <f>IFERROR(VLOOKUP(L1666,'Raw material list'!$A$2:$S$3102,6,0),0)</f>
        <v>3.5000000000000003E-2</v>
      </c>
      <c r="W1666" s="104">
        <f t="shared" si="219"/>
        <v>5.0000000000000001E-3</v>
      </c>
    </row>
    <row r="1667" spans="1:23" hidden="1" x14ac:dyDescent="0.55000000000000004">
      <c r="A1667" s="76" t="str">
        <f t="shared" si="228"/>
        <v>RCP-SMC-000112</v>
      </c>
      <c r="B1667" s="58" t="s">
        <v>35</v>
      </c>
      <c r="C1667" s="58" t="s">
        <v>10</v>
      </c>
      <c r="D1667" s="76" t="str">
        <f t="shared" si="229"/>
        <v>Cream of  Vegetables  soup</v>
      </c>
      <c r="E1667" s="76" t="s">
        <v>1535</v>
      </c>
      <c r="F1667" s="76" t="s">
        <v>2079</v>
      </c>
      <c r="G1667" s="94" t="s">
        <v>1779</v>
      </c>
      <c r="H1667" s="107" t="s">
        <v>1774</v>
      </c>
      <c r="I1667" s="76"/>
      <c r="J1667" s="76"/>
      <c r="K1667" s="58" t="str">
        <f>IFERROR(VLOOKUP(L1667,'Raw material list'!$A$3:$C$715,3,0),"")</f>
        <v>TAP-00001</v>
      </c>
      <c r="L1667" s="59" t="s">
        <v>1405</v>
      </c>
      <c r="M1667" s="80" t="s">
        <v>206</v>
      </c>
      <c r="N1667" s="40" t="str">
        <f>VLOOKUP(L1667,'Raw material list'!$A$3:$E$715,5,0)</f>
        <v>Ml</v>
      </c>
      <c r="O1667" s="80">
        <v>2000</v>
      </c>
      <c r="P1667" s="299">
        <f t="shared" si="217"/>
        <v>2000</v>
      </c>
      <c r="Q1667" s="80">
        <v>100</v>
      </c>
      <c r="R1667" s="80">
        <v>14</v>
      </c>
      <c r="S1667" s="80"/>
      <c r="T1667" s="105">
        <f t="shared" si="225"/>
        <v>142.85714285714286</v>
      </c>
      <c r="U1667" s="105">
        <f t="shared" si="218"/>
        <v>142.85714285714286</v>
      </c>
      <c r="V1667" s="104">
        <f>IFERROR(VLOOKUP(L1667,'Raw material list'!$A$2:$S$3102,6,0),0)</f>
        <v>8.0000000000000007E-5</v>
      </c>
      <c r="W1667" s="104">
        <f t="shared" si="219"/>
        <v>1.142857142857143E-2</v>
      </c>
    </row>
    <row r="1668" spans="1:23" hidden="1" x14ac:dyDescent="0.55000000000000004">
      <c r="A1668" s="76" t="str">
        <f t="shared" si="228"/>
        <v>RCP-SMC-000112</v>
      </c>
      <c r="B1668" s="58" t="s">
        <v>35</v>
      </c>
      <c r="C1668" s="58" t="s">
        <v>10</v>
      </c>
      <c r="D1668" s="76" t="str">
        <f t="shared" si="229"/>
        <v>Cream of  Vegetables  soup</v>
      </c>
      <c r="E1668" s="76" t="s">
        <v>1535</v>
      </c>
      <c r="F1668" s="76" t="s">
        <v>2079</v>
      </c>
      <c r="G1668" s="94" t="s">
        <v>1779</v>
      </c>
      <c r="H1668" s="107" t="s">
        <v>1774</v>
      </c>
      <c r="I1668" s="76"/>
      <c r="J1668" s="76"/>
      <c r="K1668" s="58" t="str">
        <f>IFERROR(VLOOKUP(L1668,'Raw material list'!$A$3:$C$715,3,0),"")</f>
        <v>DRS1-3880</v>
      </c>
      <c r="L1668" s="59" t="s">
        <v>1433</v>
      </c>
      <c r="M1668" s="80" t="s">
        <v>156</v>
      </c>
      <c r="N1668" s="40" t="str">
        <f>VLOOKUP(L1668,'Raw material list'!$A$3:$E$715,5,0)</f>
        <v xml:space="preserve">Gram </v>
      </c>
      <c r="O1668" s="80">
        <v>4</v>
      </c>
      <c r="P1668" s="299">
        <f t="shared" si="217"/>
        <v>4</v>
      </c>
      <c r="Q1668" s="80">
        <v>100</v>
      </c>
      <c r="R1668" s="80">
        <v>14</v>
      </c>
      <c r="S1668" s="80"/>
      <c r="T1668" s="105">
        <f t="shared" si="225"/>
        <v>0.2857142857142857</v>
      </c>
      <c r="U1668" s="105">
        <f t="shared" si="218"/>
        <v>0.2857142857142857</v>
      </c>
      <c r="V1668" s="104">
        <f>IFERROR(VLOOKUP(L1668,'Raw material list'!$A$2:$S$3102,6,0),0)</f>
        <v>5.0000000000000001E-4</v>
      </c>
      <c r="W1668" s="104">
        <f t="shared" si="219"/>
        <v>1.4285714285714284E-4</v>
      </c>
    </row>
    <row r="1669" spans="1:23" hidden="1" x14ac:dyDescent="0.55000000000000004">
      <c r="A1669" s="76" t="str">
        <f t="shared" si="228"/>
        <v>RCP-SMC-000112</v>
      </c>
      <c r="B1669" s="58" t="s">
        <v>35</v>
      </c>
      <c r="C1669" s="58" t="s">
        <v>10</v>
      </c>
      <c r="D1669" s="76" t="str">
        <f t="shared" si="229"/>
        <v>Cream of  Vegetables  soup</v>
      </c>
      <c r="E1669" s="76" t="s">
        <v>1535</v>
      </c>
      <c r="F1669" s="76" t="s">
        <v>2079</v>
      </c>
      <c r="G1669" s="94" t="s">
        <v>1779</v>
      </c>
      <c r="H1669" s="107" t="s">
        <v>1774</v>
      </c>
      <c r="I1669" s="76"/>
      <c r="J1669" s="76"/>
      <c r="K1669" s="58" t="str">
        <f>IFERROR(VLOOKUP(L1669,'Raw material list'!$A$3:$C$715,3,0),"")</f>
        <v>DRY2-1858</v>
      </c>
      <c r="L1669" s="59" t="s">
        <v>60</v>
      </c>
      <c r="M1669" s="80" t="s">
        <v>206</v>
      </c>
      <c r="N1669" s="40" t="str">
        <f>VLOOKUP(L1669,'Raw material list'!$A$3:$E$715,5,0)</f>
        <v>Ml</v>
      </c>
      <c r="O1669" s="80">
        <v>100</v>
      </c>
      <c r="P1669" s="299">
        <f t="shared" si="217"/>
        <v>100</v>
      </c>
      <c r="Q1669" s="80">
        <v>100</v>
      </c>
      <c r="R1669" s="80">
        <v>14</v>
      </c>
      <c r="S1669" s="80"/>
      <c r="T1669" s="105">
        <f t="shared" si="225"/>
        <v>7.1428571428571432</v>
      </c>
      <c r="U1669" s="105">
        <f t="shared" si="218"/>
        <v>7.1428571428571432</v>
      </c>
      <c r="V1669" s="104">
        <f>IFERROR(VLOOKUP(L1669,'Raw material list'!$A$2:$S$3102,6,0),0)</f>
        <v>9.8800000000000016E-3</v>
      </c>
      <c r="W1669" s="104">
        <f t="shared" si="219"/>
        <v>7.057142857142859E-2</v>
      </c>
    </row>
    <row r="1670" spans="1:23" hidden="1" x14ac:dyDescent="0.55000000000000004">
      <c r="A1670" s="76" t="str">
        <f t="shared" si="228"/>
        <v>RCP-SMC-000112</v>
      </c>
      <c r="B1670" s="58" t="s">
        <v>35</v>
      </c>
      <c r="C1670" s="58" t="s">
        <v>10</v>
      </c>
      <c r="D1670" s="76" t="str">
        <f t="shared" si="229"/>
        <v>Cream of  Vegetables  soup</v>
      </c>
      <c r="E1670" s="76" t="s">
        <v>1535</v>
      </c>
      <c r="F1670" s="76" t="s">
        <v>2079</v>
      </c>
      <c r="G1670" s="94" t="s">
        <v>1779</v>
      </c>
      <c r="H1670" s="107" t="s">
        <v>1774</v>
      </c>
      <c r="I1670" s="76"/>
      <c r="J1670" s="76"/>
      <c r="K1670" s="58" t="str">
        <f>IFERROR(VLOOKUP(L1670,'Raw material list'!$A$3:$C$715,3,0),"")</f>
        <v>PRD1-186</v>
      </c>
      <c r="L1670" s="59" t="s">
        <v>37</v>
      </c>
      <c r="M1670" s="80" t="s">
        <v>156</v>
      </c>
      <c r="N1670" s="40" t="str">
        <f>VLOOKUP(L1670,'Raw material list'!$A$3:$E$715,5,0)</f>
        <v xml:space="preserve">Gram </v>
      </c>
      <c r="O1670" s="80">
        <v>200</v>
      </c>
      <c r="P1670" s="299">
        <f t="shared" ref="P1670:P1733" si="230">O1670/Q1670*100</f>
        <v>244.89795918367346</v>
      </c>
      <c r="Q1670" s="105">
        <v>81.666666666666671</v>
      </c>
      <c r="R1670" s="80">
        <v>14</v>
      </c>
      <c r="S1670" s="80"/>
      <c r="T1670" s="105">
        <f t="shared" si="225"/>
        <v>14.285714285714286</v>
      </c>
      <c r="U1670" s="105">
        <f t="shared" ref="U1670:U1733" si="231">IFERROR(P1670/R1670,0)</f>
        <v>17.492711370262391</v>
      </c>
      <c r="V1670" s="104">
        <f>IFERROR(VLOOKUP(L1670,'Raw material list'!$A$2:$S$3102,6,0),0)</f>
        <v>5.8139534883720938E-3</v>
      </c>
      <c r="W1670" s="104">
        <f t="shared" ref="W1670:W1733" si="232">IFERROR(V1670*U1670,0)</f>
        <v>0.10170181029222322</v>
      </c>
    </row>
    <row r="1671" spans="1:23" hidden="1" x14ac:dyDescent="0.55000000000000004">
      <c r="A1671" s="76" t="s">
        <v>1657</v>
      </c>
      <c r="B1671" s="58" t="s">
        <v>35</v>
      </c>
      <c r="C1671" s="58" t="s">
        <v>10</v>
      </c>
      <c r="D1671" s="76" t="s">
        <v>1611</v>
      </c>
      <c r="E1671" s="76" t="s">
        <v>1535</v>
      </c>
      <c r="F1671" s="76" t="s">
        <v>2079</v>
      </c>
      <c r="G1671" s="94" t="s">
        <v>1779</v>
      </c>
      <c r="H1671" s="107" t="s">
        <v>1774</v>
      </c>
      <c r="I1671" s="76"/>
      <c r="J1671" s="76"/>
      <c r="K1671" s="58" t="str">
        <f>IFERROR(VLOOKUP(L1671,'Raw material list'!$A$3:$C$715,3,0),"")</f>
        <v>DRS3-1813</v>
      </c>
      <c r="L1671" s="59" t="s">
        <v>69</v>
      </c>
      <c r="M1671" s="80" t="s">
        <v>206</v>
      </c>
      <c r="N1671" s="40" t="str">
        <f>VLOOKUP(L1671,'Raw material list'!$A$3:$E$715,5,0)</f>
        <v>Ml</v>
      </c>
      <c r="O1671" s="80">
        <v>20</v>
      </c>
      <c r="P1671" s="299">
        <f t="shared" si="230"/>
        <v>20</v>
      </c>
      <c r="Q1671" s="303">
        <v>100</v>
      </c>
      <c r="R1671" s="80">
        <v>14</v>
      </c>
      <c r="S1671" s="80" t="s">
        <v>1616</v>
      </c>
      <c r="T1671" s="105">
        <f t="shared" si="225"/>
        <v>1.4285714285714286</v>
      </c>
      <c r="U1671" s="105">
        <f t="shared" si="231"/>
        <v>1.4285714285714286</v>
      </c>
      <c r="V1671" s="104">
        <f>IFERROR(VLOOKUP(L1671,'Raw material list'!$A$2:$S$3102,6,0),0)</f>
        <v>8.0555555555555554E-3</v>
      </c>
      <c r="W1671" s="104">
        <f t="shared" si="232"/>
        <v>1.1507936507936509E-2</v>
      </c>
    </row>
    <row r="1672" spans="1:23" hidden="1" x14ac:dyDescent="0.55000000000000004">
      <c r="A1672" s="76" t="str">
        <f t="shared" ref="A1672:A1683" si="233">A1671</f>
        <v>RCP-SMC-000113</v>
      </c>
      <c r="B1672" s="58" t="s">
        <v>35</v>
      </c>
      <c r="C1672" s="58" t="s">
        <v>10</v>
      </c>
      <c r="D1672" s="76" t="str">
        <f t="shared" ref="D1672:D1683" si="234">D1671</f>
        <v>beef oats soup with tomato</v>
      </c>
      <c r="E1672" s="76" t="s">
        <v>1535</v>
      </c>
      <c r="F1672" s="76" t="s">
        <v>2079</v>
      </c>
      <c r="G1672" s="94" t="s">
        <v>1779</v>
      </c>
      <c r="H1672" s="107" t="s">
        <v>1774</v>
      </c>
      <c r="I1672" s="76"/>
      <c r="J1672" s="76"/>
      <c r="K1672" s="58" t="str">
        <f>IFERROR(VLOOKUP(L1672,'Raw material list'!$A$3:$C$715,3,0),"")</f>
        <v>PRD1-572</v>
      </c>
      <c r="L1672" s="59" t="s">
        <v>54</v>
      </c>
      <c r="M1672" s="80" t="s">
        <v>156</v>
      </c>
      <c r="N1672" s="40" t="str">
        <f>VLOOKUP(L1672,'Raw material list'!$A$3:$E$715,5,0)</f>
        <v xml:space="preserve">Gram </v>
      </c>
      <c r="O1672" s="80">
        <v>200</v>
      </c>
      <c r="P1672" s="299">
        <f t="shared" si="230"/>
        <v>226.67170381564031</v>
      </c>
      <c r="Q1672" s="105">
        <v>88.233333333333348</v>
      </c>
      <c r="R1672" s="80">
        <v>14</v>
      </c>
      <c r="S1672" s="80"/>
      <c r="T1672" s="105">
        <f t="shared" si="225"/>
        <v>14.285714285714286</v>
      </c>
      <c r="U1672" s="105">
        <f t="shared" si="231"/>
        <v>16.190835986831452</v>
      </c>
      <c r="V1672" s="104">
        <f>IFERROR(VLOOKUP(L1672,'Raw material list'!$A$2:$S$3102,6,0),0)</f>
        <v>4.5351473922902496E-3</v>
      </c>
      <c r="W1672" s="104">
        <f t="shared" si="232"/>
        <v>7.3427827604677795E-2</v>
      </c>
    </row>
    <row r="1673" spans="1:23" hidden="1" x14ac:dyDescent="0.55000000000000004">
      <c r="A1673" s="76" t="str">
        <f t="shared" si="233"/>
        <v>RCP-SMC-000113</v>
      </c>
      <c r="B1673" s="58" t="s">
        <v>35</v>
      </c>
      <c r="C1673" s="58" t="s">
        <v>10</v>
      </c>
      <c r="D1673" s="76" t="str">
        <f t="shared" si="234"/>
        <v>beef oats soup with tomato</v>
      </c>
      <c r="E1673" s="76" t="s">
        <v>1535</v>
      </c>
      <c r="F1673" s="76" t="s">
        <v>2079</v>
      </c>
      <c r="G1673" s="94" t="s">
        <v>1779</v>
      </c>
      <c r="H1673" s="107" t="s">
        <v>1774</v>
      </c>
      <c r="I1673" s="76"/>
      <c r="J1673" s="76"/>
      <c r="K1673" s="58" t="str">
        <f>IFERROR(VLOOKUP(L1673,'Raw material list'!$A$3:$C$715,3,0),"")</f>
        <v>PRD1-4265</v>
      </c>
      <c r="L1673" s="59" t="s">
        <v>38</v>
      </c>
      <c r="M1673" s="80" t="s">
        <v>156</v>
      </c>
      <c r="N1673" s="40" t="str">
        <f>VLOOKUP(L1673,'Raw material list'!$A$3:$E$715,5,0)</f>
        <v xml:space="preserve">Gram </v>
      </c>
      <c r="O1673" s="80">
        <v>150</v>
      </c>
      <c r="P1673" s="299">
        <f t="shared" si="230"/>
        <v>176.47058823529412</v>
      </c>
      <c r="Q1673" s="105">
        <v>85</v>
      </c>
      <c r="R1673" s="80">
        <v>14</v>
      </c>
      <c r="S1673" s="80"/>
      <c r="T1673" s="105">
        <f t="shared" si="225"/>
        <v>10.714285714285714</v>
      </c>
      <c r="U1673" s="105">
        <f t="shared" si="231"/>
        <v>12.605042016806722</v>
      </c>
      <c r="V1673" s="104">
        <f>IFERROR(VLOOKUP(L1673,'Raw material list'!$A$2:$S$3102,6,0),0)</f>
        <v>3.529411764705882E-3</v>
      </c>
      <c r="W1673" s="104">
        <f t="shared" si="232"/>
        <v>4.4488383588729606E-2</v>
      </c>
    </row>
    <row r="1674" spans="1:23" hidden="1" x14ac:dyDescent="0.55000000000000004">
      <c r="A1674" s="76" t="str">
        <f t="shared" si="233"/>
        <v>RCP-SMC-000113</v>
      </c>
      <c r="B1674" s="58" t="s">
        <v>35</v>
      </c>
      <c r="C1674" s="58" t="s">
        <v>10</v>
      </c>
      <c r="D1674" s="76" t="str">
        <f t="shared" si="234"/>
        <v>beef oats soup with tomato</v>
      </c>
      <c r="E1674" s="76" t="s">
        <v>1535</v>
      </c>
      <c r="F1674" s="76" t="s">
        <v>2079</v>
      </c>
      <c r="G1674" s="94" t="s">
        <v>1779</v>
      </c>
      <c r="H1674" s="107" t="s">
        <v>1774</v>
      </c>
      <c r="I1674" s="76"/>
      <c r="J1674" s="76"/>
      <c r="K1674" s="58" t="str">
        <f>IFERROR(VLOOKUP(L1674,'Raw material list'!$A$3:$C$715,3,0),"")</f>
        <v>PRD1-4327</v>
      </c>
      <c r="L1674" s="59" t="s">
        <v>39</v>
      </c>
      <c r="M1674" s="80" t="s">
        <v>156</v>
      </c>
      <c r="N1674" s="40" t="str">
        <f>VLOOKUP(L1674,'Raw material list'!$A$3:$E$715,5,0)</f>
        <v xml:space="preserve">Gram </v>
      </c>
      <c r="O1674" s="80">
        <v>20</v>
      </c>
      <c r="P1674" s="299">
        <f t="shared" si="230"/>
        <v>24.096385542168676</v>
      </c>
      <c r="Q1674" s="105">
        <v>83</v>
      </c>
      <c r="R1674" s="80">
        <v>14</v>
      </c>
      <c r="S1674" s="80"/>
      <c r="T1674" s="105">
        <f t="shared" si="225"/>
        <v>1.4285714285714286</v>
      </c>
      <c r="U1674" s="105">
        <f t="shared" si="231"/>
        <v>1.7211703958691911</v>
      </c>
      <c r="V1674" s="104">
        <f>IFERROR(VLOOKUP(L1674,'Raw material list'!$A$2:$S$3102,6,0),0)</f>
        <v>1.2999999999999999E-2</v>
      </c>
      <c r="W1674" s="104">
        <f t="shared" si="232"/>
        <v>2.2375215146299483E-2</v>
      </c>
    </row>
    <row r="1675" spans="1:23" hidden="1" x14ac:dyDescent="0.55000000000000004">
      <c r="A1675" s="76" t="str">
        <f t="shared" si="233"/>
        <v>RCP-SMC-000113</v>
      </c>
      <c r="B1675" s="58" t="s">
        <v>35</v>
      </c>
      <c r="C1675" s="58" t="s">
        <v>10</v>
      </c>
      <c r="D1675" s="76" t="str">
        <f t="shared" si="234"/>
        <v>beef oats soup with tomato</v>
      </c>
      <c r="E1675" s="76" t="s">
        <v>1535</v>
      </c>
      <c r="F1675" s="76" t="s">
        <v>2078</v>
      </c>
      <c r="G1675" s="94" t="s">
        <v>1779</v>
      </c>
      <c r="H1675" s="107" t="s">
        <v>1774</v>
      </c>
      <c r="I1675" s="76"/>
      <c r="J1675" s="76"/>
      <c r="K1675" s="58" t="str">
        <f>IFERROR(VLOOKUP(L1675,'Raw material list'!$A$3:$C$715,3,0),"")</f>
        <v>MET2-585</v>
      </c>
      <c r="L1675" s="59" t="s">
        <v>53</v>
      </c>
      <c r="M1675" s="80" t="s">
        <v>156</v>
      </c>
      <c r="N1675" s="40" t="str">
        <f>VLOOKUP(L1675,'Raw material list'!$A$3:$E$715,5,0)</f>
        <v xml:space="preserve">Gram </v>
      </c>
      <c r="O1675" s="80">
        <v>300</v>
      </c>
      <c r="P1675" s="299">
        <f t="shared" si="230"/>
        <v>346.42032332563514</v>
      </c>
      <c r="Q1675" s="303">
        <v>86.6</v>
      </c>
      <c r="R1675" s="80">
        <v>14</v>
      </c>
      <c r="S1675" s="80"/>
      <c r="T1675" s="105">
        <f t="shared" si="225"/>
        <v>21.428571428571427</v>
      </c>
      <c r="U1675" s="105">
        <f t="shared" si="231"/>
        <v>24.744308808973937</v>
      </c>
      <c r="V1675" s="104">
        <f>IFERROR(VLOOKUP(L1675,'Raw material list'!$A$2:$S$3102,6,0),0)</f>
        <v>4.2630057803468215E-2</v>
      </c>
      <c r="W1675" s="104">
        <f t="shared" si="232"/>
        <v>1.0548513148334266</v>
      </c>
    </row>
    <row r="1676" spans="1:23" hidden="1" x14ac:dyDescent="0.55000000000000004">
      <c r="A1676" s="76" t="str">
        <f t="shared" si="233"/>
        <v>RCP-SMC-000113</v>
      </c>
      <c r="B1676" s="58" t="s">
        <v>35</v>
      </c>
      <c r="C1676" s="58" t="s">
        <v>10</v>
      </c>
      <c r="D1676" s="76" t="str">
        <f t="shared" si="234"/>
        <v>beef oats soup with tomato</v>
      </c>
      <c r="E1676" s="76" t="s">
        <v>1535</v>
      </c>
      <c r="F1676" s="76" t="s">
        <v>2079</v>
      </c>
      <c r="G1676" s="94" t="s">
        <v>1779</v>
      </c>
      <c r="H1676" s="107" t="s">
        <v>1774</v>
      </c>
      <c r="I1676" s="76"/>
      <c r="J1676" s="76"/>
      <c r="K1676" s="58" t="str">
        <f>IFERROR(VLOOKUP(L1676,'Raw material list'!$A$3:$C$715,3,0),"")</f>
        <v>DRS6-537</v>
      </c>
      <c r="L1676" s="59" t="s">
        <v>46</v>
      </c>
      <c r="M1676" s="80" t="s">
        <v>156</v>
      </c>
      <c r="N1676" s="40" t="str">
        <f>VLOOKUP(L1676,'Raw material list'!$A$3:$E$715,5,0)</f>
        <v xml:space="preserve">Gram </v>
      </c>
      <c r="O1676" s="80">
        <v>1</v>
      </c>
      <c r="P1676" s="299">
        <f t="shared" si="230"/>
        <v>1</v>
      </c>
      <c r="Q1676" s="80">
        <v>100</v>
      </c>
      <c r="R1676" s="80">
        <v>14</v>
      </c>
      <c r="S1676" s="80"/>
      <c r="T1676" s="105">
        <f t="shared" si="225"/>
        <v>7.1428571428571425E-2</v>
      </c>
      <c r="U1676" s="105">
        <f t="shared" si="231"/>
        <v>7.1428571428571425E-2</v>
      </c>
      <c r="V1676" s="104">
        <f>IFERROR(VLOOKUP(L1676,'Raw material list'!$A$2:$S$3102,6,0),0)</f>
        <v>3.5000000000000003E-2</v>
      </c>
      <c r="W1676" s="104">
        <f t="shared" si="232"/>
        <v>2.5000000000000001E-3</v>
      </c>
    </row>
    <row r="1677" spans="1:23" hidden="1" x14ac:dyDescent="0.55000000000000004">
      <c r="A1677" s="76" t="str">
        <f t="shared" si="233"/>
        <v>RCP-SMC-000113</v>
      </c>
      <c r="B1677" s="58" t="s">
        <v>35</v>
      </c>
      <c r="C1677" s="58" t="s">
        <v>10</v>
      </c>
      <c r="D1677" s="76" t="str">
        <f t="shared" si="234"/>
        <v>beef oats soup with tomato</v>
      </c>
      <c r="E1677" s="76" t="s">
        <v>1535</v>
      </c>
      <c r="F1677" s="76" t="s">
        <v>2079</v>
      </c>
      <c r="G1677" s="94" t="s">
        <v>1779</v>
      </c>
      <c r="H1677" s="107" t="s">
        <v>1774</v>
      </c>
      <c r="I1677" s="76"/>
      <c r="J1677" s="76"/>
      <c r="K1677" s="58" t="str">
        <f>IFERROR(VLOOKUP(L1677,'Raw material list'!$A$3:$C$715,3,0),"")</f>
        <v>DRS6-733</v>
      </c>
      <c r="L1677" s="59" t="s">
        <v>45</v>
      </c>
      <c r="M1677" s="80" t="s">
        <v>156</v>
      </c>
      <c r="N1677" s="40" t="str">
        <f>VLOOKUP(L1677,'Raw material list'!$A$3:$E$715,5,0)</f>
        <v xml:space="preserve">Gram </v>
      </c>
      <c r="O1677" s="80">
        <v>2</v>
      </c>
      <c r="P1677" s="299">
        <f t="shared" si="230"/>
        <v>2</v>
      </c>
      <c r="Q1677" s="80">
        <v>100</v>
      </c>
      <c r="R1677" s="80">
        <v>14</v>
      </c>
      <c r="S1677" s="80"/>
      <c r="T1677" s="105">
        <f t="shared" si="225"/>
        <v>0.14285714285714285</v>
      </c>
      <c r="U1677" s="105">
        <f t="shared" si="231"/>
        <v>0.14285714285714285</v>
      </c>
      <c r="V1677" s="104">
        <f>IFERROR(VLOOKUP(L1677,'Raw material list'!$A$2:$S$3102,6,0),0)</f>
        <v>2.8000000000000001E-2</v>
      </c>
      <c r="W1677" s="104">
        <f t="shared" si="232"/>
        <v>4.0000000000000001E-3</v>
      </c>
    </row>
    <row r="1678" spans="1:23" hidden="1" x14ac:dyDescent="0.55000000000000004">
      <c r="A1678" s="76" t="str">
        <f t="shared" si="233"/>
        <v>RCP-SMC-000113</v>
      </c>
      <c r="B1678" s="58" t="s">
        <v>35</v>
      </c>
      <c r="C1678" s="58" t="s">
        <v>10</v>
      </c>
      <c r="D1678" s="76" t="str">
        <f t="shared" si="234"/>
        <v>beef oats soup with tomato</v>
      </c>
      <c r="E1678" s="76" t="s">
        <v>1535</v>
      </c>
      <c r="F1678" s="76" t="s">
        <v>2079</v>
      </c>
      <c r="G1678" s="94" t="s">
        <v>1779</v>
      </c>
      <c r="H1678" s="107" t="s">
        <v>1774</v>
      </c>
      <c r="I1678" s="76"/>
      <c r="J1678" s="76"/>
      <c r="K1678" s="58" t="str">
        <f>IFERROR(VLOOKUP(L1678,'Raw material list'!$A$3:$C$715,3,0),"")</f>
        <v>DRS1-1747</v>
      </c>
      <c r="L1678" s="59" t="s">
        <v>44</v>
      </c>
      <c r="M1678" s="80" t="s">
        <v>156</v>
      </c>
      <c r="N1678" s="40" t="str">
        <f>VLOOKUP(L1678,'Raw material list'!$A$3:$E$715,5,0)</f>
        <v xml:space="preserve">Gram </v>
      </c>
      <c r="O1678" s="80">
        <v>80</v>
      </c>
      <c r="P1678" s="299">
        <f t="shared" si="230"/>
        <v>80</v>
      </c>
      <c r="Q1678" s="80">
        <v>100</v>
      </c>
      <c r="R1678" s="80">
        <v>14</v>
      </c>
      <c r="S1678" s="80"/>
      <c r="T1678" s="105">
        <f t="shared" si="225"/>
        <v>5.7142857142857144</v>
      </c>
      <c r="U1678" s="105">
        <f t="shared" si="231"/>
        <v>5.7142857142857144</v>
      </c>
      <c r="V1678" s="104">
        <f>IFERROR(VLOOKUP(L1678,'Raw material list'!$A$2:$S$3102,6,0),0)</f>
        <v>5.185185185185185E-3</v>
      </c>
      <c r="W1678" s="104">
        <f t="shared" si="232"/>
        <v>2.9629629629629631E-2</v>
      </c>
    </row>
    <row r="1679" spans="1:23" hidden="1" x14ac:dyDescent="0.55000000000000004">
      <c r="A1679" s="76" t="str">
        <f t="shared" si="233"/>
        <v>RCP-SMC-000113</v>
      </c>
      <c r="B1679" s="58" t="s">
        <v>35</v>
      </c>
      <c r="C1679" s="58" t="s">
        <v>10</v>
      </c>
      <c r="D1679" s="76" t="str">
        <f t="shared" si="234"/>
        <v>beef oats soup with tomato</v>
      </c>
      <c r="E1679" s="76" t="s">
        <v>1535</v>
      </c>
      <c r="F1679" s="76" t="s">
        <v>2079</v>
      </c>
      <c r="G1679" s="94" t="s">
        <v>1779</v>
      </c>
      <c r="H1679" s="107" t="s">
        <v>1774</v>
      </c>
      <c r="I1679" s="76"/>
      <c r="J1679" s="76"/>
      <c r="K1679" s="58" t="str">
        <f>IFERROR(VLOOKUP(L1679,'Raw material list'!$A$3:$C$715,3,0),"")</f>
        <v>TAP-00001</v>
      </c>
      <c r="L1679" s="59" t="s">
        <v>1405</v>
      </c>
      <c r="M1679" s="80" t="s">
        <v>206</v>
      </c>
      <c r="N1679" s="40" t="str">
        <f>VLOOKUP(L1679,'Raw material list'!$A$3:$E$715,5,0)</f>
        <v>Ml</v>
      </c>
      <c r="O1679" s="80">
        <v>2100</v>
      </c>
      <c r="P1679" s="299">
        <f t="shared" si="230"/>
        <v>2100</v>
      </c>
      <c r="Q1679" s="80">
        <v>100</v>
      </c>
      <c r="R1679" s="80">
        <v>14</v>
      </c>
      <c r="S1679" s="80"/>
      <c r="T1679" s="105">
        <f t="shared" si="225"/>
        <v>150</v>
      </c>
      <c r="U1679" s="105">
        <f t="shared" si="231"/>
        <v>150</v>
      </c>
      <c r="V1679" s="104">
        <f>IFERROR(VLOOKUP(L1679,'Raw material list'!$A$2:$S$3102,6,0),0)</f>
        <v>8.0000000000000007E-5</v>
      </c>
      <c r="W1679" s="104">
        <f t="shared" si="232"/>
        <v>1.2E-2</v>
      </c>
    </row>
    <row r="1680" spans="1:23" hidden="1" x14ac:dyDescent="0.55000000000000004">
      <c r="A1680" s="76" t="str">
        <f t="shared" si="233"/>
        <v>RCP-SMC-000113</v>
      </c>
      <c r="B1680" s="58" t="s">
        <v>35</v>
      </c>
      <c r="C1680" s="58" t="s">
        <v>10</v>
      </c>
      <c r="D1680" s="76" t="str">
        <f t="shared" si="234"/>
        <v>beef oats soup with tomato</v>
      </c>
      <c r="E1680" s="76" t="s">
        <v>1535</v>
      </c>
      <c r="F1680" s="76" t="s">
        <v>2079</v>
      </c>
      <c r="G1680" s="94" t="s">
        <v>1779</v>
      </c>
      <c r="H1680" s="107" t="s">
        <v>1774</v>
      </c>
      <c r="I1680" s="76"/>
      <c r="J1680" s="76"/>
      <c r="K1680" s="58" t="str">
        <f>IFERROR(VLOOKUP(L1680,'Raw material list'!$A$3:$C$715,3,0),"")</f>
        <v>PRD1-227</v>
      </c>
      <c r="L1680" s="59" t="s">
        <v>1038</v>
      </c>
      <c r="M1680" s="80" t="s">
        <v>156</v>
      </c>
      <c r="N1680" s="40" t="str">
        <f>VLOOKUP(L1680,'Raw material list'!$A$3:$E$715,5,0)</f>
        <v xml:space="preserve">Gram </v>
      </c>
      <c r="O1680" s="80">
        <v>5</v>
      </c>
      <c r="P1680" s="299">
        <f t="shared" si="230"/>
        <v>14.423076923076922</v>
      </c>
      <c r="Q1680" s="105">
        <v>34.666666666666671</v>
      </c>
      <c r="R1680" s="80">
        <v>14</v>
      </c>
      <c r="S1680" s="80"/>
      <c r="T1680" s="105">
        <f t="shared" si="225"/>
        <v>0.35714285714285715</v>
      </c>
      <c r="U1680" s="105">
        <f t="shared" si="231"/>
        <v>1.0302197802197801</v>
      </c>
      <c r="V1680" s="104">
        <f>IFERROR(VLOOKUP(L1680,'Raw material list'!$A$2:$S$3102,6,0),0)</f>
        <v>1.5850144092219021E-2</v>
      </c>
      <c r="W1680" s="104">
        <f t="shared" si="232"/>
        <v>1.6329131963137726E-2</v>
      </c>
    </row>
    <row r="1681" spans="1:23" hidden="1" x14ac:dyDescent="0.55000000000000004">
      <c r="A1681" s="76" t="str">
        <f t="shared" si="233"/>
        <v>RCP-SMC-000113</v>
      </c>
      <c r="B1681" s="58" t="s">
        <v>35</v>
      </c>
      <c r="C1681" s="58" t="s">
        <v>10</v>
      </c>
      <c r="D1681" s="76" t="str">
        <f t="shared" si="234"/>
        <v>beef oats soup with tomato</v>
      </c>
      <c r="E1681" s="76" t="s">
        <v>1535</v>
      </c>
      <c r="F1681" s="76" t="s">
        <v>2079</v>
      </c>
      <c r="G1681" s="94" t="s">
        <v>1779</v>
      </c>
      <c r="H1681" s="107" t="s">
        <v>1774</v>
      </c>
      <c r="I1681" s="76"/>
      <c r="J1681" s="76"/>
      <c r="K1681" s="58" t="str">
        <f>IFERROR(VLOOKUP(L1681,'Raw material list'!$A$3:$C$715,3,0),"")</f>
        <v>DRS1-4809</v>
      </c>
      <c r="L1681" s="59" t="s">
        <v>298</v>
      </c>
      <c r="M1681" s="80" t="s">
        <v>156</v>
      </c>
      <c r="N1681" s="40" t="str">
        <f>VLOOKUP(L1681,'Raw material list'!$A$3:$E$715,5,0)</f>
        <v xml:space="preserve">Gram </v>
      </c>
      <c r="O1681" s="80">
        <v>75</v>
      </c>
      <c r="P1681" s="299">
        <f t="shared" si="230"/>
        <v>75</v>
      </c>
      <c r="Q1681" s="303">
        <v>100</v>
      </c>
      <c r="R1681" s="80">
        <v>14</v>
      </c>
      <c r="S1681" s="80"/>
      <c r="T1681" s="105">
        <f t="shared" si="225"/>
        <v>5.3571428571428568</v>
      </c>
      <c r="U1681" s="105">
        <f t="shared" si="231"/>
        <v>5.3571428571428568</v>
      </c>
      <c r="V1681" s="104">
        <f>IFERROR(VLOOKUP(L1681,'Raw material list'!$A$2:$S$3102,6,0),0)</f>
        <v>1.1577777777777777E-2</v>
      </c>
      <c r="W1681" s="104">
        <f t="shared" si="232"/>
        <v>6.2023809523809516E-2</v>
      </c>
    </row>
    <row r="1682" spans="1:23" hidden="1" x14ac:dyDescent="0.55000000000000004">
      <c r="A1682" s="76" t="str">
        <f t="shared" si="233"/>
        <v>RCP-SMC-000113</v>
      </c>
      <c r="B1682" s="58" t="s">
        <v>35</v>
      </c>
      <c r="C1682" s="58" t="s">
        <v>10</v>
      </c>
      <c r="D1682" s="76" t="str">
        <f t="shared" si="234"/>
        <v>beef oats soup with tomato</v>
      </c>
      <c r="E1682" s="76" t="s">
        <v>1535</v>
      </c>
      <c r="F1682" s="76" t="s">
        <v>2079</v>
      </c>
      <c r="G1682" s="94" t="s">
        <v>1779</v>
      </c>
      <c r="H1682" s="107" t="s">
        <v>1774</v>
      </c>
      <c r="I1682" s="76"/>
      <c r="J1682" s="76"/>
      <c r="K1682" s="58" t="str">
        <f>IFERROR(VLOOKUP(L1682,'Raw material list'!$A$3:$C$715,3,0),"")</f>
        <v>DRS1-3813</v>
      </c>
      <c r="L1682" s="59" t="s">
        <v>67</v>
      </c>
      <c r="M1682" s="80" t="s">
        <v>156</v>
      </c>
      <c r="N1682" s="40" t="str">
        <f>VLOOKUP(L1682,'Raw material list'!$A$3:$E$715,5,0)</f>
        <v xml:space="preserve">Gram </v>
      </c>
      <c r="O1682" s="80">
        <v>10</v>
      </c>
      <c r="P1682" s="299">
        <f t="shared" si="230"/>
        <v>10</v>
      </c>
      <c r="Q1682" s="80">
        <v>100</v>
      </c>
      <c r="R1682" s="80">
        <v>14</v>
      </c>
      <c r="S1682" s="80"/>
      <c r="T1682" s="105">
        <f t="shared" si="225"/>
        <v>0.7142857142857143</v>
      </c>
      <c r="U1682" s="105">
        <f t="shared" si="231"/>
        <v>0.7142857142857143</v>
      </c>
      <c r="V1682" s="104">
        <f>IFERROR(VLOOKUP(L1682,'Raw material list'!$A$2:$S$3102,6,0),0)</f>
        <v>4.4441666666666664E-2</v>
      </c>
      <c r="W1682" s="104">
        <f t="shared" si="232"/>
        <v>3.1744047619047616E-2</v>
      </c>
    </row>
    <row r="1683" spans="1:23" hidden="1" x14ac:dyDescent="0.55000000000000004">
      <c r="A1683" s="76" t="str">
        <f t="shared" si="233"/>
        <v>RCP-SMC-000113</v>
      </c>
      <c r="B1683" s="58" t="s">
        <v>35</v>
      </c>
      <c r="C1683" s="58" t="s">
        <v>10</v>
      </c>
      <c r="D1683" s="76" t="str">
        <f t="shared" si="234"/>
        <v>beef oats soup with tomato</v>
      </c>
      <c r="E1683" s="76" t="s">
        <v>1535</v>
      </c>
      <c r="F1683" s="76" t="s">
        <v>2079</v>
      </c>
      <c r="G1683" s="94" t="s">
        <v>1779</v>
      </c>
      <c r="H1683" s="107" t="s">
        <v>1774</v>
      </c>
      <c r="I1683" s="76"/>
      <c r="J1683" s="76"/>
      <c r="K1683" s="58" t="str">
        <f>IFERROR(VLOOKUP(L1683,'Raw material list'!$A$3:$C$715,3,0),"")</f>
        <v>DRS1-3880</v>
      </c>
      <c r="L1683" s="59" t="s">
        <v>1433</v>
      </c>
      <c r="M1683" s="80" t="s">
        <v>156</v>
      </c>
      <c r="N1683" s="40" t="str">
        <f>VLOOKUP(L1683,'Raw material list'!$A$3:$E$715,5,0)</f>
        <v xml:space="preserve">Gram </v>
      </c>
      <c r="O1683" s="80">
        <v>5</v>
      </c>
      <c r="P1683" s="299">
        <f t="shared" si="230"/>
        <v>5</v>
      </c>
      <c r="Q1683" s="80">
        <v>100</v>
      </c>
      <c r="R1683" s="80">
        <v>14</v>
      </c>
      <c r="S1683" s="80"/>
      <c r="T1683" s="105">
        <f t="shared" si="225"/>
        <v>0.35714285714285715</v>
      </c>
      <c r="U1683" s="105">
        <f t="shared" si="231"/>
        <v>0.35714285714285715</v>
      </c>
      <c r="V1683" s="104">
        <f>IFERROR(VLOOKUP(L1683,'Raw material list'!$A$2:$S$3102,6,0),0)</f>
        <v>5.0000000000000001E-4</v>
      </c>
      <c r="W1683" s="104">
        <f t="shared" si="232"/>
        <v>1.7857142857142857E-4</v>
      </c>
    </row>
    <row r="1684" spans="1:23" hidden="1" x14ac:dyDescent="0.55000000000000004">
      <c r="A1684" s="76" t="s">
        <v>1658</v>
      </c>
      <c r="B1684" s="58" t="s">
        <v>35</v>
      </c>
      <c r="C1684" s="58" t="s">
        <v>10</v>
      </c>
      <c r="D1684" s="76" t="s">
        <v>1623</v>
      </c>
      <c r="E1684" s="76" t="s">
        <v>1535</v>
      </c>
      <c r="F1684" s="76" t="s">
        <v>2079</v>
      </c>
      <c r="G1684" s="94" t="s">
        <v>1779</v>
      </c>
      <c r="H1684" s="107" t="s">
        <v>1773</v>
      </c>
      <c r="I1684" s="76"/>
      <c r="J1684" s="76"/>
      <c r="K1684" s="58" t="str">
        <f>IFERROR(VLOOKUP(L1684,'Raw material list'!$A$3:$C$715,3,0),"")</f>
        <v>DRS3-1813</v>
      </c>
      <c r="L1684" s="59" t="s">
        <v>69</v>
      </c>
      <c r="M1684" s="80" t="s">
        <v>206</v>
      </c>
      <c r="N1684" s="40" t="str">
        <f>VLOOKUP(L1684,'Raw material list'!$A$3:$E$715,5,0)</f>
        <v>Ml</v>
      </c>
      <c r="O1684" s="80">
        <v>25</v>
      </c>
      <c r="P1684" s="299">
        <f t="shared" si="230"/>
        <v>25</v>
      </c>
      <c r="Q1684" s="80">
        <v>100</v>
      </c>
      <c r="R1684" s="80">
        <v>10</v>
      </c>
      <c r="S1684" s="80"/>
      <c r="T1684" s="105">
        <f t="shared" si="225"/>
        <v>2.5</v>
      </c>
      <c r="U1684" s="105">
        <f t="shared" si="231"/>
        <v>2.5</v>
      </c>
      <c r="V1684" s="104">
        <f>IFERROR(VLOOKUP(L1684,'Raw material list'!$A$2:$S$3102,6,0),0)</f>
        <v>8.0555555555555554E-3</v>
      </c>
      <c r="W1684" s="104">
        <f t="shared" si="232"/>
        <v>2.0138888888888887E-2</v>
      </c>
    </row>
    <row r="1685" spans="1:23" hidden="1" x14ac:dyDescent="0.55000000000000004">
      <c r="A1685" s="76" t="str">
        <f t="shared" ref="A1685:A1693" si="235">A1684</f>
        <v>RCP-SMC-000114</v>
      </c>
      <c r="B1685" s="58" t="s">
        <v>35</v>
      </c>
      <c r="C1685" s="58" t="s">
        <v>10</v>
      </c>
      <c r="D1685" s="76" t="str">
        <f t="shared" ref="D1685:D1693" si="236">D1684</f>
        <v>Creamy Green Peas soup</v>
      </c>
      <c r="E1685" s="76" t="s">
        <v>1535</v>
      </c>
      <c r="F1685" s="76" t="s">
        <v>2079</v>
      </c>
      <c r="G1685" s="94" t="s">
        <v>1779</v>
      </c>
      <c r="H1685" s="107" t="s">
        <v>1773</v>
      </c>
      <c r="I1685" s="76"/>
      <c r="J1685" s="76"/>
      <c r="K1685" s="58" t="str">
        <f>IFERROR(VLOOKUP(L1685,'Raw material list'!$A$3:$C$715,3,0),"")</f>
        <v>PRD1-4265</v>
      </c>
      <c r="L1685" s="59" t="s">
        <v>38</v>
      </c>
      <c r="M1685" s="80" t="s">
        <v>156</v>
      </c>
      <c r="N1685" s="40" t="str">
        <f>VLOOKUP(L1685,'Raw material list'!$A$3:$E$715,5,0)</f>
        <v xml:space="preserve">Gram </v>
      </c>
      <c r="O1685" s="80">
        <v>100</v>
      </c>
      <c r="P1685" s="299">
        <f t="shared" si="230"/>
        <v>117.64705882352942</v>
      </c>
      <c r="Q1685" s="105">
        <v>85</v>
      </c>
      <c r="R1685" s="80">
        <v>10</v>
      </c>
      <c r="S1685" s="80"/>
      <c r="T1685" s="105">
        <f t="shared" si="225"/>
        <v>10</v>
      </c>
      <c r="U1685" s="105">
        <f t="shared" si="231"/>
        <v>11.764705882352942</v>
      </c>
      <c r="V1685" s="104">
        <f>IFERROR(VLOOKUP(L1685,'Raw material list'!$A$2:$S$3102,6,0),0)</f>
        <v>3.529411764705882E-3</v>
      </c>
      <c r="W1685" s="104">
        <f t="shared" si="232"/>
        <v>4.1522491349480967E-2</v>
      </c>
    </row>
    <row r="1686" spans="1:23" hidden="1" x14ac:dyDescent="0.55000000000000004">
      <c r="A1686" s="76" t="str">
        <f t="shared" si="235"/>
        <v>RCP-SMC-000114</v>
      </c>
      <c r="B1686" s="58" t="s">
        <v>35</v>
      </c>
      <c r="C1686" s="58" t="s">
        <v>10</v>
      </c>
      <c r="D1686" s="76" t="str">
        <f t="shared" si="236"/>
        <v>Creamy Green Peas soup</v>
      </c>
      <c r="E1686" s="76" t="s">
        <v>1535</v>
      </c>
      <c r="F1686" s="76" t="s">
        <v>2079</v>
      </c>
      <c r="G1686" s="94" t="s">
        <v>1779</v>
      </c>
      <c r="H1686" s="107" t="s">
        <v>1773</v>
      </c>
      <c r="I1686" s="76"/>
      <c r="J1686" s="76"/>
      <c r="K1686" s="58" t="str">
        <f>IFERROR(VLOOKUP(L1686,'Raw material list'!$A$3:$C$715,3,0),"")</f>
        <v>PRD1-4327</v>
      </c>
      <c r="L1686" s="59" t="s">
        <v>39</v>
      </c>
      <c r="M1686" s="80" t="s">
        <v>156</v>
      </c>
      <c r="N1686" s="40" t="str">
        <f>VLOOKUP(L1686,'Raw material list'!$A$3:$E$715,5,0)</f>
        <v xml:space="preserve">Gram </v>
      </c>
      <c r="O1686" s="80">
        <v>15</v>
      </c>
      <c r="P1686" s="299">
        <f t="shared" si="230"/>
        <v>18.072289156626507</v>
      </c>
      <c r="Q1686" s="105">
        <v>83</v>
      </c>
      <c r="R1686" s="80">
        <v>10</v>
      </c>
      <c r="S1686" s="80"/>
      <c r="T1686" s="105">
        <f t="shared" si="225"/>
        <v>1.5</v>
      </c>
      <c r="U1686" s="105">
        <f t="shared" si="231"/>
        <v>1.8072289156626506</v>
      </c>
      <c r="V1686" s="104">
        <f>IFERROR(VLOOKUP(L1686,'Raw material list'!$A$2:$S$3102,6,0),0)</f>
        <v>1.2999999999999999E-2</v>
      </c>
      <c r="W1686" s="104">
        <f t="shared" si="232"/>
        <v>2.3493975903614458E-2</v>
      </c>
    </row>
    <row r="1687" spans="1:23" hidden="1" x14ac:dyDescent="0.55000000000000004">
      <c r="A1687" s="76" t="str">
        <f t="shared" si="235"/>
        <v>RCP-SMC-000114</v>
      </c>
      <c r="B1687" s="58" t="s">
        <v>35</v>
      </c>
      <c r="C1687" s="58" t="s">
        <v>10</v>
      </c>
      <c r="D1687" s="76" t="str">
        <f t="shared" si="236"/>
        <v>Creamy Green Peas soup</v>
      </c>
      <c r="E1687" s="76" t="s">
        <v>1535</v>
      </c>
      <c r="F1687" s="76" t="s">
        <v>2079</v>
      </c>
      <c r="G1687" s="94" t="s">
        <v>1779</v>
      </c>
      <c r="H1687" s="107" t="s">
        <v>1773</v>
      </c>
      <c r="I1687" s="76"/>
      <c r="J1687" s="76"/>
      <c r="K1687" s="58" t="str">
        <f>IFERROR(VLOOKUP(L1687,'Raw material list'!$A$3:$C$715,3,0),"")</f>
        <v>PRD2-3567</v>
      </c>
      <c r="L1687" s="59" t="s">
        <v>1624</v>
      </c>
      <c r="M1687" s="80" t="s">
        <v>156</v>
      </c>
      <c r="N1687" s="40" t="str">
        <f>VLOOKUP(L1687,'Raw material list'!$A$3:$E$715,5,0)</f>
        <v xml:space="preserve">Gram </v>
      </c>
      <c r="O1687" s="80">
        <v>600</v>
      </c>
      <c r="P1687" s="299">
        <f t="shared" si="230"/>
        <v>600</v>
      </c>
      <c r="Q1687" s="303">
        <v>100</v>
      </c>
      <c r="R1687" s="80">
        <v>10</v>
      </c>
      <c r="S1687" s="80"/>
      <c r="T1687" s="105">
        <f t="shared" si="225"/>
        <v>60</v>
      </c>
      <c r="U1687" s="105">
        <f t="shared" si="231"/>
        <v>60</v>
      </c>
      <c r="V1687" s="104">
        <f>IFERROR(VLOOKUP(L1687,'Raw material list'!$A$2:$S$3102,6,0),0)</f>
        <v>4.4999999999999997E-3</v>
      </c>
      <c r="W1687" s="104">
        <f t="shared" si="232"/>
        <v>0.26999999999999996</v>
      </c>
    </row>
    <row r="1688" spans="1:23" hidden="1" x14ac:dyDescent="0.55000000000000004">
      <c r="A1688" s="76" t="str">
        <f t="shared" si="235"/>
        <v>RCP-SMC-000114</v>
      </c>
      <c r="B1688" s="58" t="s">
        <v>35</v>
      </c>
      <c r="C1688" s="58" t="s">
        <v>10</v>
      </c>
      <c r="D1688" s="76" t="str">
        <f t="shared" si="236"/>
        <v>Creamy Green Peas soup</v>
      </c>
      <c r="E1688" s="76" t="s">
        <v>1535</v>
      </c>
      <c r="F1688" s="76" t="s">
        <v>2079</v>
      </c>
      <c r="G1688" s="94" t="s">
        <v>1779</v>
      </c>
      <c r="H1688" s="107" t="s">
        <v>1773</v>
      </c>
      <c r="I1688" s="76"/>
      <c r="J1688" s="76"/>
      <c r="K1688" s="58" t="str">
        <f>IFERROR(VLOOKUP(L1688,'Raw material list'!$A$3:$C$715,3,0),"")</f>
        <v>PRD1-231</v>
      </c>
      <c r="L1688" s="59" t="s">
        <v>1046</v>
      </c>
      <c r="M1688" s="80" t="s">
        <v>156</v>
      </c>
      <c r="N1688" s="40" t="str">
        <f>VLOOKUP(L1688,'Raw material list'!$A$3:$E$715,5,0)</f>
        <v xml:space="preserve">Gram </v>
      </c>
      <c r="O1688" s="80">
        <v>250</v>
      </c>
      <c r="P1688" s="299">
        <f t="shared" si="230"/>
        <v>302.05396697543296</v>
      </c>
      <c r="Q1688" s="105">
        <v>82.766666666666666</v>
      </c>
      <c r="R1688" s="80">
        <v>10</v>
      </c>
      <c r="S1688" s="80"/>
      <c r="T1688" s="105">
        <f t="shared" si="225"/>
        <v>25</v>
      </c>
      <c r="U1688" s="105">
        <f t="shared" si="231"/>
        <v>30.205396697543296</v>
      </c>
      <c r="V1688" s="104">
        <f>IFERROR(VLOOKUP(L1688,'Raw material list'!$A$2:$S$3102,6,0),0)</f>
        <v>9.6618357487922701E-3</v>
      </c>
      <c r="W1688" s="104">
        <f t="shared" si="232"/>
        <v>0.29183958161877582</v>
      </c>
    </row>
    <row r="1689" spans="1:23" hidden="1" x14ac:dyDescent="0.55000000000000004">
      <c r="A1689" s="76" t="str">
        <f t="shared" si="235"/>
        <v>RCP-SMC-000114</v>
      </c>
      <c r="B1689" s="58" t="s">
        <v>35</v>
      </c>
      <c r="C1689" s="58" t="s">
        <v>10</v>
      </c>
      <c r="D1689" s="76" t="str">
        <f t="shared" si="236"/>
        <v>Creamy Green Peas soup</v>
      </c>
      <c r="E1689" s="76" t="s">
        <v>1535</v>
      </c>
      <c r="F1689" s="76" t="s">
        <v>2079</v>
      </c>
      <c r="G1689" s="94" t="s">
        <v>1779</v>
      </c>
      <c r="H1689" s="107" t="s">
        <v>1773</v>
      </c>
      <c r="I1689" s="76"/>
      <c r="J1689" s="76"/>
      <c r="K1689" s="58" t="str">
        <f>IFERROR(VLOOKUP(L1689,'Raw material list'!$A$3:$C$715,3,0),"")</f>
        <v>DRS1-4417</v>
      </c>
      <c r="L1689" s="59" t="s">
        <v>88</v>
      </c>
      <c r="M1689" s="80" t="s">
        <v>156</v>
      </c>
      <c r="N1689" s="40" t="str">
        <f>VLOOKUP(L1689,'Raw material list'!$A$3:$E$715,5,0)</f>
        <v xml:space="preserve">Gram </v>
      </c>
      <c r="O1689" s="80">
        <v>10</v>
      </c>
      <c r="P1689" s="299">
        <f t="shared" si="230"/>
        <v>10</v>
      </c>
      <c r="Q1689" s="303">
        <v>100</v>
      </c>
      <c r="R1689" s="80">
        <v>10</v>
      </c>
      <c r="S1689" s="80"/>
      <c r="T1689" s="105">
        <f t="shared" si="225"/>
        <v>1</v>
      </c>
      <c r="U1689" s="105">
        <f t="shared" si="231"/>
        <v>1</v>
      </c>
      <c r="V1689" s="104">
        <f>IFERROR(VLOOKUP(L1689,'Raw material list'!$A$2:$S$3102,6,0),0)</f>
        <v>3.6754545454545456E-2</v>
      </c>
      <c r="W1689" s="104">
        <f t="shared" si="232"/>
        <v>3.6754545454545456E-2</v>
      </c>
    </row>
    <row r="1690" spans="1:23" hidden="1" x14ac:dyDescent="0.55000000000000004">
      <c r="A1690" s="76" t="str">
        <f t="shared" si="235"/>
        <v>RCP-SMC-000114</v>
      </c>
      <c r="B1690" s="58" t="s">
        <v>35</v>
      </c>
      <c r="C1690" s="58" t="s">
        <v>10</v>
      </c>
      <c r="D1690" s="76" t="str">
        <f t="shared" si="236"/>
        <v>Creamy Green Peas soup</v>
      </c>
      <c r="E1690" s="76" t="s">
        <v>1535</v>
      </c>
      <c r="F1690" s="76" t="s">
        <v>2079</v>
      </c>
      <c r="G1690" s="94" t="s">
        <v>1779</v>
      </c>
      <c r="H1690" s="107" t="s">
        <v>1773</v>
      </c>
      <c r="I1690" s="76"/>
      <c r="J1690" s="76"/>
      <c r="K1690" s="58" t="str">
        <f>IFERROR(VLOOKUP(L1690,'Raw material list'!$A$3:$C$715,3,0),"")</f>
        <v>DRS6-537</v>
      </c>
      <c r="L1690" s="59" t="s">
        <v>46</v>
      </c>
      <c r="M1690" s="80" t="s">
        <v>156</v>
      </c>
      <c r="N1690" s="40" t="str">
        <f>VLOOKUP(L1690,'Raw material list'!$A$3:$E$715,5,0)</f>
        <v xml:space="preserve">Gram </v>
      </c>
      <c r="O1690" s="80">
        <v>2</v>
      </c>
      <c r="P1690" s="299">
        <f t="shared" si="230"/>
        <v>2</v>
      </c>
      <c r="Q1690" s="80">
        <v>100</v>
      </c>
      <c r="R1690" s="80">
        <v>10</v>
      </c>
      <c r="S1690" s="80"/>
      <c r="T1690" s="105">
        <f t="shared" si="225"/>
        <v>0.2</v>
      </c>
      <c r="U1690" s="105">
        <f t="shared" si="231"/>
        <v>0.2</v>
      </c>
      <c r="V1690" s="104">
        <f>IFERROR(VLOOKUP(L1690,'Raw material list'!$A$2:$S$3102,6,0),0)</f>
        <v>3.5000000000000003E-2</v>
      </c>
      <c r="W1690" s="104">
        <f t="shared" si="232"/>
        <v>7.000000000000001E-3</v>
      </c>
    </row>
    <row r="1691" spans="1:23" hidden="1" x14ac:dyDescent="0.55000000000000004">
      <c r="A1691" s="76" t="str">
        <f t="shared" si="235"/>
        <v>RCP-SMC-000114</v>
      </c>
      <c r="B1691" s="58" t="s">
        <v>35</v>
      </c>
      <c r="C1691" s="58" t="s">
        <v>10</v>
      </c>
      <c r="D1691" s="76" t="str">
        <f t="shared" si="236"/>
        <v>Creamy Green Peas soup</v>
      </c>
      <c r="E1691" s="76" t="s">
        <v>1535</v>
      </c>
      <c r="F1691" s="76" t="s">
        <v>2079</v>
      </c>
      <c r="G1691" s="94" t="s">
        <v>1779</v>
      </c>
      <c r="H1691" s="107" t="s">
        <v>1773</v>
      </c>
      <c r="I1691" s="76"/>
      <c r="J1691" s="76"/>
      <c r="K1691" s="58" t="str">
        <f>IFERROR(VLOOKUP(L1691,'Raw material list'!$A$3:$C$715,3,0),"")</f>
        <v>TAP-00001</v>
      </c>
      <c r="L1691" s="59" t="s">
        <v>1405</v>
      </c>
      <c r="M1691" s="80" t="s">
        <v>206</v>
      </c>
      <c r="N1691" s="40" t="str">
        <f>VLOOKUP(L1691,'Raw material list'!$A$3:$E$715,5,0)</f>
        <v>Ml</v>
      </c>
      <c r="O1691" s="80">
        <v>2000</v>
      </c>
      <c r="P1691" s="299">
        <f t="shared" si="230"/>
        <v>2000</v>
      </c>
      <c r="Q1691" s="80">
        <v>100</v>
      </c>
      <c r="R1691" s="80">
        <v>10</v>
      </c>
      <c r="S1691" s="80"/>
      <c r="T1691" s="105">
        <f t="shared" si="225"/>
        <v>200</v>
      </c>
      <c r="U1691" s="105">
        <f t="shared" si="231"/>
        <v>200</v>
      </c>
      <c r="V1691" s="104">
        <f>IFERROR(VLOOKUP(L1691,'Raw material list'!$A$2:$S$3102,6,0),0)</f>
        <v>8.0000000000000007E-5</v>
      </c>
      <c r="W1691" s="104">
        <f t="shared" si="232"/>
        <v>1.6E-2</v>
      </c>
    </row>
    <row r="1692" spans="1:23" hidden="1" x14ac:dyDescent="0.55000000000000004">
      <c r="A1692" s="76" t="str">
        <f t="shared" si="235"/>
        <v>RCP-SMC-000114</v>
      </c>
      <c r="B1692" s="58" t="s">
        <v>35</v>
      </c>
      <c r="C1692" s="58" t="s">
        <v>10</v>
      </c>
      <c r="D1692" s="76" t="str">
        <f t="shared" si="236"/>
        <v>Creamy Green Peas soup</v>
      </c>
      <c r="E1692" s="76" t="s">
        <v>1535</v>
      </c>
      <c r="F1692" s="76" t="s">
        <v>2079</v>
      </c>
      <c r="G1692" s="94" t="s">
        <v>1779</v>
      </c>
      <c r="H1692" s="107" t="s">
        <v>1773</v>
      </c>
      <c r="I1692" s="76"/>
      <c r="J1692" s="76"/>
      <c r="K1692" s="58" t="str">
        <f>IFERROR(VLOOKUP(L1692,'Raw material list'!$A$3:$C$715,3,0),"")</f>
        <v>DRS1-3880</v>
      </c>
      <c r="L1692" s="59" t="s">
        <v>1433</v>
      </c>
      <c r="M1692" s="80" t="s">
        <v>156</v>
      </c>
      <c r="N1692" s="40" t="str">
        <f>VLOOKUP(L1692,'Raw material list'!$A$3:$E$715,5,0)</f>
        <v xml:space="preserve">Gram </v>
      </c>
      <c r="O1692" s="80">
        <v>5</v>
      </c>
      <c r="P1692" s="299">
        <f t="shared" si="230"/>
        <v>5</v>
      </c>
      <c r="Q1692" s="80">
        <v>100</v>
      </c>
      <c r="R1692" s="80">
        <v>10</v>
      </c>
      <c r="S1692" s="80"/>
      <c r="T1692" s="105">
        <f t="shared" si="225"/>
        <v>0.5</v>
      </c>
      <c r="U1692" s="105">
        <f t="shared" si="231"/>
        <v>0.5</v>
      </c>
      <c r="V1692" s="104">
        <f>IFERROR(VLOOKUP(L1692,'Raw material list'!$A$2:$S$3102,6,0),0)</f>
        <v>5.0000000000000001E-4</v>
      </c>
      <c r="W1692" s="104">
        <f t="shared" si="232"/>
        <v>2.5000000000000001E-4</v>
      </c>
    </row>
    <row r="1693" spans="1:23" hidden="1" x14ac:dyDescent="0.55000000000000004">
      <c r="A1693" s="76" t="str">
        <f t="shared" si="235"/>
        <v>RCP-SMC-000114</v>
      </c>
      <c r="B1693" s="58" t="s">
        <v>35</v>
      </c>
      <c r="C1693" s="58" t="s">
        <v>10</v>
      </c>
      <c r="D1693" s="76" t="str">
        <f t="shared" si="236"/>
        <v>Creamy Green Peas soup</v>
      </c>
      <c r="E1693" s="76" t="s">
        <v>1535</v>
      </c>
      <c r="F1693" s="76" t="s">
        <v>2079</v>
      </c>
      <c r="G1693" s="94" t="s">
        <v>1779</v>
      </c>
      <c r="H1693" s="107" t="s">
        <v>1773</v>
      </c>
      <c r="I1693" s="76"/>
      <c r="J1693" s="76"/>
      <c r="K1693" s="58" t="str">
        <f>IFERROR(VLOOKUP(L1693,'Raw material list'!$A$3:$C$715,3,0),"")</f>
        <v>DRY2-1858</v>
      </c>
      <c r="L1693" s="59" t="s">
        <v>60</v>
      </c>
      <c r="M1693" s="80" t="s">
        <v>206</v>
      </c>
      <c r="N1693" s="40" t="str">
        <f>VLOOKUP(L1693,'Raw material list'!$A$3:$E$715,5,0)</f>
        <v>Ml</v>
      </c>
      <c r="O1693" s="80">
        <v>200</v>
      </c>
      <c r="P1693" s="299">
        <f t="shared" si="230"/>
        <v>200</v>
      </c>
      <c r="Q1693" s="80">
        <v>100</v>
      </c>
      <c r="R1693" s="80">
        <v>10</v>
      </c>
      <c r="S1693" s="80"/>
      <c r="T1693" s="105">
        <f t="shared" si="225"/>
        <v>20</v>
      </c>
      <c r="U1693" s="105">
        <f t="shared" si="231"/>
        <v>20</v>
      </c>
      <c r="V1693" s="104">
        <f>IFERROR(VLOOKUP(L1693,'Raw material list'!$A$2:$S$3102,6,0),0)</f>
        <v>9.8800000000000016E-3</v>
      </c>
      <c r="W1693" s="104">
        <f t="shared" si="232"/>
        <v>0.19760000000000003</v>
      </c>
    </row>
    <row r="1694" spans="1:23" hidden="1" x14ac:dyDescent="0.55000000000000004">
      <c r="A1694" s="76" t="s">
        <v>1659</v>
      </c>
      <c r="B1694" s="58" t="s">
        <v>35</v>
      </c>
      <c r="C1694" s="58" t="s">
        <v>10</v>
      </c>
      <c r="D1694" s="76" t="s">
        <v>1637</v>
      </c>
      <c r="E1694" s="76" t="s">
        <v>1535</v>
      </c>
      <c r="F1694" s="76" t="s">
        <v>2079</v>
      </c>
      <c r="G1694" s="94" t="s">
        <v>1779</v>
      </c>
      <c r="H1694" s="107" t="s">
        <v>1773</v>
      </c>
      <c r="I1694" s="76"/>
      <c r="J1694" s="76"/>
      <c r="K1694" s="58" t="str">
        <f>IFERROR(VLOOKUP(L1694,'Raw material list'!$A$3:$C$715,3,0),"")</f>
        <v>DRS3-1813</v>
      </c>
      <c r="L1694" s="59" t="s">
        <v>69</v>
      </c>
      <c r="M1694" s="80" t="s">
        <v>206</v>
      </c>
      <c r="N1694" s="40" t="str">
        <f>VLOOKUP(L1694,'Raw material list'!$A$3:$E$715,5,0)</f>
        <v>Ml</v>
      </c>
      <c r="O1694" s="80">
        <v>25</v>
      </c>
      <c r="P1694" s="299">
        <f t="shared" si="230"/>
        <v>25</v>
      </c>
      <c r="Q1694" s="80">
        <v>100</v>
      </c>
      <c r="R1694" s="80">
        <v>14</v>
      </c>
      <c r="S1694" s="80"/>
      <c r="T1694" s="105">
        <f t="shared" si="225"/>
        <v>1.7857142857142858</v>
      </c>
      <c r="U1694" s="105">
        <f t="shared" si="231"/>
        <v>1.7857142857142858</v>
      </c>
      <c r="V1694" s="104">
        <f>IFERROR(VLOOKUP(L1694,'Raw material list'!$A$2:$S$3102,6,0),0)</f>
        <v>8.0555555555555554E-3</v>
      </c>
      <c r="W1694" s="104">
        <f t="shared" si="232"/>
        <v>1.4384920634920636E-2</v>
      </c>
    </row>
    <row r="1695" spans="1:23" hidden="1" x14ac:dyDescent="0.55000000000000004">
      <c r="A1695" s="76" t="str">
        <f t="shared" ref="A1695:A1707" si="237">A1694</f>
        <v>RCP-SMC-000115</v>
      </c>
      <c r="B1695" s="58" t="s">
        <v>35</v>
      </c>
      <c r="C1695" s="58" t="s">
        <v>10</v>
      </c>
      <c r="D1695" s="76" t="str">
        <f t="shared" ref="D1695:D1707" si="238">D1694</f>
        <v>Beef minesterone soup</v>
      </c>
      <c r="E1695" s="76" t="s">
        <v>1535</v>
      </c>
      <c r="F1695" s="76" t="s">
        <v>2079</v>
      </c>
      <c r="G1695" s="94" t="s">
        <v>1779</v>
      </c>
      <c r="H1695" s="107" t="s">
        <v>1773</v>
      </c>
      <c r="I1695" s="76"/>
      <c r="J1695" s="76"/>
      <c r="K1695" s="58" t="str">
        <f>IFERROR(VLOOKUP(L1695,'Raw material list'!$A$3:$C$715,3,0),"")</f>
        <v>PRD1-4265</v>
      </c>
      <c r="L1695" s="59" t="s">
        <v>38</v>
      </c>
      <c r="M1695" s="80" t="s">
        <v>156</v>
      </c>
      <c r="N1695" s="40" t="str">
        <f>VLOOKUP(L1695,'Raw material list'!$A$3:$E$715,5,0)</f>
        <v xml:space="preserve">Gram </v>
      </c>
      <c r="O1695" s="80">
        <v>100</v>
      </c>
      <c r="P1695" s="299">
        <f t="shared" si="230"/>
        <v>117.64705882352942</v>
      </c>
      <c r="Q1695" s="105">
        <v>85</v>
      </c>
      <c r="R1695" s="80">
        <v>14</v>
      </c>
      <c r="S1695" s="80"/>
      <c r="T1695" s="105">
        <f t="shared" si="225"/>
        <v>7.1428571428571432</v>
      </c>
      <c r="U1695" s="105">
        <f t="shared" si="231"/>
        <v>8.4033613445378155</v>
      </c>
      <c r="V1695" s="104">
        <f>IFERROR(VLOOKUP(L1695,'Raw material list'!$A$2:$S$3102,6,0),0)</f>
        <v>3.529411764705882E-3</v>
      </c>
      <c r="W1695" s="104">
        <f t="shared" si="232"/>
        <v>2.9658922392486405E-2</v>
      </c>
    </row>
    <row r="1696" spans="1:23" hidden="1" x14ac:dyDescent="0.55000000000000004">
      <c r="A1696" s="76" t="str">
        <f t="shared" si="237"/>
        <v>RCP-SMC-000115</v>
      </c>
      <c r="B1696" s="58" t="s">
        <v>35</v>
      </c>
      <c r="C1696" s="58" t="s">
        <v>10</v>
      </c>
      <c r="D1696" s="76" t="str">
        <f t="shared" si="238"/>
        <v>Beef minesterone soup</v>
      </c>
      <c r="E1696" s="76" t="s">
        <v>1535</v>
      </c>
      <c r="F1696" s="76" t="s">
        <v>2079</v>
      </c>
      <c r="G1696" s="94" t="s">
        <v>1779</v>
      </c>
      <c r="H1696" s="107" t="s">
        <v>1773</v>
      </c>
      <c r="I1696" s="76"/>
      <c r="J1696" s="76"/>
      <c r="K1696" s="58" t="str">
        <f>IFERROR(VLOOKUP(L1696,'Raw material list'!$A$3:$C$715,3,0),"")</f>
        <v>PRD1-4327</v>
      </c>
      <c r="L1696" s="59" t="s">
        <v>39</v>
      </c>
      <c r="M1696" s="80" t="s">
        <v>156</v>
      </c>
      <c r="N1696" s="40" t="str">
        <f>VLOOKUP(L1696,'Raw material list'!$A$3:$E$715,5,0)</f>
        <v xml:space="preserve">Gram </v>
      </c>
      <c r="O1696" s="80">
        <v>15</v>
      </c>
      <c r="P1696" s="299">
        <f t="shared" si="230"/>
        <v>18.072289156626507</v>
      </c>
      <c r="Q1696" s="105">
        <v>83</v>
      </c>
      <c r="R1696" s="80">
        <v>14</v>
      </c>
      <c r="S1696" s="80"/>
      <c r="T1696" s="105">
        <f t="shared" si="225"/>
        <v>1.0714285714285714</v>
      </c>
      <c r="U1696" s="105">
        <f t="shared" si="231"/>
        <v>1.2908777969018934</v>
      </c>
      <c r="V1696" s="104">
        <f>IFERROR(VLOOKUP(L1696,'Raw material list'!$A$2:$S$3102,6,0),0)</f>
        <v>1.2999999999999999E-2</v>
      </c>
      <c r="W1696" s="104">
        <f t="shared" si="232"/>
        <v>1.6781411359724614E-2</v>
      </c>
    </row>
    <row r="1697" spans="1:23" hidden="1" x14ac:dyDescent="0.55000000000000004">
      <c r="A1697" s="76" t="str">
        <f t="shared" si="237"/>
        <v>RCP-SMC-000115</v>
      </c>
      <c r="B1697" s="58" t="s">
        <v>35</v>
      </c>
      <c r="C1697" s="58" t="s">
        <v>10</v>
      </c>
      <c r="D1697" s="76" t="str">
        <f t="shared" si="238"/>
        <v>Beef minesterone soup</v>
      </c>
      <c r="E1697" s="76" t="s">
        <v>1535</v>
      </c>
      <c r="F1697" s="76" t="s">
        <v>2079</v>
      </c>
      <c r="G1697" s="94" t="s">
        <v>1779</v>
      </c>
      <c r="H1697" s="107" t="s">
        <v>1773</v>
      </c>
      <c r="I1697" s="76"/>
      <c r="J1697" s="76"/>
      <c r="K1697" s="58" t="str">
        <f>IFERROR(VLOOKUP(L1697,'Raw material list'!$A$3:$C$715,3,0),"")</f>
        <v>PRD1-572</v>
      </c>
      <c r="L1697" s="59" t="s">
        <v>54</v>
      </c>
      <c r="M1697" s="80" t="s">
        <v>156</v>
      </c>
      <c r="N1697" s="40" t="str">
        <f>VLOOKUP(L1697,'Raw material list'!$A$3:$E$715,5,0)</f>
        <v xml:space="preserve">Gram </v>
      </c>
      <c r="O1697" s="80">
        <v>400</v>
      </c>
      <c r="P1697" s="299">
        <f t="shared" si="230"/>
        <v>453.34340763128063</v>
      </c>
      <c r="Q1697" s="105">
        <v>88.233333333333348</v>
      </c>
      <c r="R1697" s="80">
        <v>14</v>
      </c>
      <c r="S1697" s="80"/>
      <c r="T1697" s="105">
        <f t="shared" si="225"/>
        <v>28.571428571428573</v>
      </c>
      <c r="U1697" s="105">
        <f t="shared" si="231"/>
        <v>32.381671973662904</v>
      </c>
      <c r="V1697" s="104">
        <f>IFERROR(VLOOKUP(L1697,'Raw material list'!$A$2:$S$3102,6,0),0)</f>
        <v>4.5351473922902496E-3</v>
      </c>
      <c r="W1697" s="104">
        <f t="shared" si="232"/>
        <v>0.14685565520935559</v>
      </c>
    </row>
    <row r="1698" spans="1:23" hidden="1" x14ac:dyDescent="0.55000000000000004">
      <c r="A1698" s="76" t="str">
        <f t="shared" si="237"/>
        <v>RCP-SMC-000115</v>
      </c>
      <c r="B1698" s="58" t="s">
        <v>35</v>
      </c>
      <c r="C1698" s="58" t="s">
        <v>10</v>
      </c>
      <c r="D1698" s="76" t="str">
        <f t="shared" si="238"/>
        <v>Beef minesterone soup</v>
      </c>
      <c r="E1698" s="76" t="s">
        <v>1535</v>
      </c>
      <c r="F1698" s="76" t="s">
        <v>2079</v>
      </c>
      <c r="G1698" s="94" t="s">
        <v>1779</v>
      </c>
      <c r="H1698" s="107" t="s">
        <v>1773</v>
      </c>
      <c r="I1698" s="76"/>
      <c r="J1698" s="76"/>
      <c r="K1698" s="58" t="str">
        <f>IFERROR(VLOOKUP(L1698,'Raw material list'!$A$3:$C$715,3,0),"")</f>
        <v>DRS1-1747</v>
      </c>
      <c r="L1698" s="59" t="s">
        <v>44</v>
      </c>
      <c r="M1698" s="80" t="s">
        <v>156</v>
      </c>
      <c r="N1698" s="40" t="str">
        <f>VLOOKUP(L1698,'Raw material list'!$A$3:$E$715,5,0)</f>
        <v xml:space="preserve">Gram </v>
      </c>
      <c r="O1698" s="80">
        <v>60</v>
      </c>
      <c r="P1698" s="299">
        <f t="shared" si="230"/>
        <v>60</v>
      </c>
      <c r="Q1698" s="303">
        <v>100</v>
      </c>
      <c r="R1698" s="80">
        <v>14</v>
      </c>
      <c r="S1698" s="80"/>
      <c r="T1698" s="105">
        <f t="shared" si="225"/>
        <v>4.2857142857142856</v>
      </c>
      <c r="U1698" s="105">
        <f t="shared" si="231"/>
        <v>4.2857142857142856</v>
      </c>
      <c r="V1698" s="104">
        <f>IFERROR(VLOOKUP(L1698,'Raw material list'!$A$2:$S$3102,6,0),0)</f>
        <v>5.185185185185185E-3</v>
      </c>
      <c r="W1698" s="104">
        <f t="shared" si="232"/>
        <v>2.222222222222222E-2</v>
      </c>
    </row>
    <row r="1699" spans="1:23" hidden="1" x14ac:dyDescent="0.55000000000000004">
      <c r="A1699" s="76" t="str">
        <f t="shared" si="237"/>
        <v>RCP-SMC-000115</v>
      </c>
      <c r="B1699" s="58" t="s">
        <v>35</v>
      </c>
      <c r="C1699" s="58" t="s">
        <v>10</v>
      </c>
      <c r="D1699" s="76" t="str">
        <f t="shared" si="238"/>
        <v>Beef minesterone soup</v>
      </c>
      <c r="E1699" s="76" t="s">
        <v>1535</v>
      </c>
      <c r="F1699" s="76" t="s">
        <v>2078</v>
      </c>
      <c r="G1699" s="94" t="s">
        <v>1779</v>
      </c>
      <c r="H1699" s="107" t="s">
        <v>1773</v>
      </c>
      <c r="I1699" s="76"/>
      <c r="J1699" s="76"/>
      <c r="K1699" s="58" t="str">
        <f>IFERROR(VLOOKUP(L1699,'Raw material list'!$A$3:$C$715,3,0),"")</f>
        <v>MET2-585</v>
      </c>
      <c r="L1699" s="59" t="s">
        <v>53</v>
      </c>
      <c r="M1699" s="80" t="s">
        <v>156</v>
      </c>
      <c r="N1699" s="40" t="str">
        <f>VLOOKUP(L1699,'Raw material list'!$A$3:$E$715,5,0)</f>
        <v xml:space="preserve">Gram </v>
      </c>
      <c r="O1699" s="80">
        <v>200</v>
      </c>
      <c r="P1699" s="299">
        <f t="shared" si="230"/>
        <v>230.94688221709009</v>
      </c>
      <c r="Q1699" s="80">
        <v>86.6</v>
      </c>
      <c r="R1699" s="80">
        <v>14</v>
      </c>
      <c r="S1699" s="80"/>
      <c r="T1699" s="105">
        <f t="shared" si="225"/>
        <v>14.285714285714286</v>
      </c>
      <c r="U1699" s="105">
        <f t="shared" si="231"/>
        <v>16.496205872649291</v>
      </c>
      <c r="V1699" s="104">
        <f>IFERROR(VLOOKUP(L1699,'Raw material list'!$A$2:$S$3102,6,0),0)</f>
        <v>4.2630057803468215E-2</v>
      </c>
      <c r="W1699" s="104">
        <f t="shared" si="232"/>
        <v>0.70323420988895113</v>
      </c>
    </row>
    <row r="1700" spans="1:23" hidden="1" x14ac:dyDescent="0.55000000000000004">
      <c r="A1700" s="76" t="str">
        <f t="shared" si="237"/>
        <v>RCP-SMC-000115</v>
      </c>
      <c r="B1700" s="58" t="s">
        <v>35</v>
      </c>
      <c r="C1700" s="58" t="s">
        <v>10</v>
      </c>
      <c r="D1700" s="76" t="str">
        <f t="shared" si="238"/>
        <v>Beef minesterone soup</v>
      </c>
      <c r="E1700" s="76" t="s">
        <v>1535</v>
      </c>
      <c r="F1700" s="76" t="s">
        <v>2079</v>
      </c>
      <c r="G1700" s="94" t="s">
        <v>1779</v>
      </c>
      <c r="H1700" s="107" t="s">
        <v>1773</v>
      </c>
      <c r="I1700" s="76"/>
      <c r="J1700" s="76"/>
      <c r="K1700" s="58" t="str">
        <f>IFERROR(VLOOKUP(L1700,'Raw material list'!$A$3:$C$715,3,0),"")</f>
        <v>PRD1-3794</v>
      </c>
      <c r="L1700" s="59" t="s">
        <v>973</v>
      </c>
      <c r="M1700" s="80" t="s">
        <v>156</v>
      </c>
      <c r="N1700" s="40" t="str">
        <f>VLOOKUP(L1700,'Raw material list'!$A$3:$E$715,5,0)</f>
        <v xml:space="preserve">Gram </v>
      </c>
      <c r="O1700" s="80">
        <v>200</v>
      </c>
      <c r="P1700" s="299">
        <f t="shared" si="230"/>
        <v>246.91358024691357</v>
      </c>
      <c r="Q1700" s="105">
        <v>81</v>
      </c>
      <c r="R1700" s="80">
        <v>14</v>
      </c>
      <c r="S1700" s="80"/>
      <c r="T1700" s="105">
        <f t="shared" si="225"/>
        <v>14.285714285714286</v>
      </c>
      <c r="U1700" s="105">
        <f t="shared" si="231"/>
        <v>17.636684303350968</v>
      </c>
      <c r="V1700" s="104">
        <f>IFERROR(VLOOKUP(L1700,'Raw material list'!$A$2:$S$3102,6,0),0)</f>
        <v>4.9382716049382715E-3</v>
      </c>
      <c r="W1700" s="104">
        <f t="shared" si="232"/>
        <v>8.7094737300498604E-2</v>
      </c>
    </row>
    <row r="1701" spans="1:23" hidden="1" x14ac:dyDescent="0.55000000000000004">
      <c r="A1701" s="76" t="str">
        <f t="shared" si="237"/>
        <v>RCP-SMC-000115</v>
      </c>
      <c r="B1701" s="58" t="s">
        <v>35</v>
      </c>
      <c r="C1701" s="58" t="s">
        <v>10</v>
      </c>
      <c r="D1701" s="76" t="str">
        <f t="shared" si="238"/>
        <v>Beef minesterone soup</v>
      </c>
      <c r="E1701" s="76" t="s">
        <v>1535</v>
      </c>
      <c r="F1701" s="76" t="s">
        <v>2079</v>
      </c>
      <c r="G1701" s="94" t="s">
        <v>1779</v>
      </c>
      <c r="H1701" s="107" t="s">
        <v>1773</v>
      </c>
      <c r="I1701" s="76"/>
      <c r="J1701" s="76"/>
      <c r="K1701" s="58" t="str">
        <f>IFERROR(VLOOKUP(L1701,'Raw material list'!$A$3:$C$715,3,0),"")</f>
        <v>PRD1-186</v>
      </c>
      <c r="L1701" s="59" t="s">
        <v>37</v>
      </c>
      <c r="M1701" s="80" t="s">
        <v>156</v>
      </c>
      <c r="N1701" s="40" t="str">
        <f>VLOOKUP(L1701,'Raw material list'!$A$3:$E$715,5,0)</f>
        <v xml:space="preserve">Gram </v>
      </c>
      <c r="O1701" s="80">
        <v>200</v>
      </c>
      <c r="P1701" s="299">
        <f t="shared" si="230"/>
        <v>244.89795918367346</v>
      </c>
      <c r="Q1701" s="105">
        <v>81.666666666666671</v>
      </c>
      <c r="R1701" s="80">
        <v>14</v>
      </c>
      <c r="S1701" s="80"/>
      <c r="T1701" s="105">
        <f t="shared" si="225"/>
        <v>14.285714285714286</v>
      </c>
      <c r="U1701" s="105">
        <f t="shared" si="231"/>
        <v>17.492711370262391</v>
      </c>
      <c r="V1701" s="104">
        <f>IFERROR(VLOOKUP(L1701,'Raw material list'!$A$2:$S$3102,6,0),0)</f>
        <v>5.8139534883720938E-3</v>
      </c>
      <c r="W1701" s="104">
        <f t="shared" si="232"/>
        <v>0.10170181029222322</v>
      </c>
    </row>
    <row r="1702" spans="1:23" hidden="1" x14ac:dyDescent="0.55000000000000004">
      <c r="A1702" s="76" t="str">
        <f t="shared" si="237"/>
        <v>RCP-SMC-000115</v>
      </c>
      <c r="B1702" s="58" t="s">
        <v>35</v>
      </c>
      <c r="C1702" s="58" t="s">
        <v>10</v>
      </c>
      <c r="D1702" s="76" t="str">
        <f t="shared" si="238"/>
        <v>Beef minesterone soup</v>
      </c>
      <c r="E1702" s="76" t="s">
        <v>1535</v>
      </c>
      <c r="F1702" s="76" t="s">
        <v>2079</v>
      </c>
      <c r="G1702" s="94" t="s">
        <v>1779</v>
      </c>
      <c r="H1702" s="107" t="s">
        <v>1773</v>
      </c>
      <c r="I1702" s="76"/>
      <c r="J1702" s="76"/>
      <c r="K1702" s="58" t="str">
        <f>IFERROR(VLOOKUP(L1702,'Raw material list'!$A$3:$C$715,3,0),"")</f>
        <v>DRS4-1025</v>
      </c>
      <c r="L1702" s="59" t="s">
        <v>488</v>
      </c>
      <c r="M1702" s="80" t="s">
        <v>156</v>
      </c>
      <c r="N1702" s="40" t="str">
        <f>VLOOKUP(L1702,'Raw material list'!$A$3:$E$715,5,0)</f>
        <v xml:space="preserve">Gram </v>
      </c>
      <c r="O1702" s="80">
        <v>150</v>
      </c>
      <c r="P1702" s="299">
        <f t="shared" si="230"/>
        <v>150</v>
      </c>
      <c r="Q1702" s="303">
        <v>100</v>
      </c>
      <c r="R1702" s="80">
        <v>14</v>
      </c>
      <c r="S1702" s="80"/>
      <c r="T1702" s="105">
        <f t="shared" si="225"/>
        <v>10.714285714285714</v>
      </c>
      <c r="U1702" s="105">
        <f t="shared" si="231"/>
        <v>10.714285714285714</v>
      </c>
      <c r="V1702" s="104">
        <f>IFERROR(VLOOKUP(L1702,'Raw material list'!$A$2:$S$3102,6,0),0)</f>
        <v>1.2E-2</v>
      </c>
      <c r="W1702" s="104">
        <f t="shared" si="232"/>
        <v>0.12857142857142856</v>
      </c>
    </row>
    <row r="1703" spans="1:23" hidden="1" x14ac:dyDescent="0.55000000000000004">
      <c r="A1703" s="76" t="str">
        <f t="shared" si="237"/>
        <v>RCP-SMC-000115</v>
      </c>
      <c r="B1703" s="58" t="s">
        <v>35</v>
      </c>
      <c r="C1703" s="58" t="s">
        <v>10</v>
      </c>
      <c r="D1703" s="76" t="str">
        <f t="shared" si="238"/>
        <v>Beef minesterone soup</v>
      </c>
      <c r="E1703" s="76" t="s">
        <v>1535</v>
      </c>
      <c r="F1703" s="76" t="s">
        <v>2079</v>
      </c>
      <c r="G1703" s="94" t="s">
        <v>1779</v>
      </c>
      <c r="H1703" s="107" t="s">
        <v>1773</v>
      </c>
      <c r="I1703" s="76"/>
      <c r="J1703" s="76"/>
      <c r="K1703" s="58" t="str">
        <f>IFERROR(VLOOKUP(L1703,'Raw material list'!$A$3:$C$715,3,0),"")</f>
        <v>DRS2-3825</v>
      </c>
      <c r="L1703" s="59" t="s">
        <v>555</v>
      </c>
      <c r="M1703" s="80" t="s">
        <v>156</v>
      </c>
      <c r="N1703" s="40" t="str">
        <f>VLOOKUP(L1703,'Raw material list'!$A$3:$E$715,5,0)</f>
        <v xml:space="preserve">Gram </v>
      </c>
      <c r="O1703" s="80">
        <v>70</v>
      </c>
      <c r="P1703" s="299">
        <f t="shared" si="230"/>
        <v>70</v>
      </c>
      <c r="Q1703" s="80">
        <v>100</v>
      </c>
      <c r="R1703" s="80">
        <v>14</v>
      </c>
      <c r="S1703" s="80"/>
      <c r="T1703" s="105">
        <f t="shared" si="225"/>
        <v>5</v>
      </c>
      <c r="U1703" s="105">
        <f t="shared" si="231"/>
        <v>5</v>
      </c>
      <c r="V1703" s="104">
        <f>IFERROR(VLOOKUP(L1703,'Raw material list'!$A$2:$S$3102,6,0),0)</f>
        <v>9.2222222222222237E-3</v>
      </c>
      <c r="W1703" s="104">
        <f t="shared" si="232"/>
        <v>4.6111111111111117E-2</v>
      </c>
    </row>
    <row r="1704" spans="1:23" hidden="1" x14ac:dyDescent="0.55000000000000004">
      <c r="A1704" s="76" t="str">
        <f t="shared" si="237"/>
        <v>RCP-SMC-000115</v>
      </c>
      <c r="B1704" s="58" t="s">
        <v>35</v>
      </c>
      <c r="C1704" s="58" t="s">
        <v>10</v>
      </c>
      <c r="D1704" s="76" t="str">
        <f t="shared" si="238"/>
        <v>Beef minesterone soup</v>
      </c>
      <c r="E1704" s="76" t="s">
        <v>1535</v>
      </c>
      <c r="F1704" s="76" t="s">
        <v>2079</v>
      </c>
      <c r="G1704" s="94" t="s">
        <v>1779</v>
      </c>
      <c r="H1704" s="107" t="s">
        <v>1773</v>
      </c>
      <c r="I1704" s="76"/>
      <c r="J1704" s="76"/>
      <c r="K1704" s="58" t="str">
        <f>IFERROR(VLOOKUP(L1704,'Raw material list'!$A$3:$C$715,3,0),"")</f>
        <v>TAP-00001</v>
      </c>
      <c r="L1704" s="59" t="s">
        <v>1405</v>
      </c>
      <c r="M1704" s="80" t="s">
        <v>206</v>
      </c>
      <c r="N1704" s="40" t="str">
        <f>VLOOKUP(L1704,'Raw material list'!$A$3:$E$715,5,0)</f>
        <v>Ml</v>
      </c>
      <c r="O1704" s="80">
        <v>1500</v>
      </c>
      <c r="P1704" s="299">
        <f t="shared" si="230"/>
        <v>1500</v>
      </c>
      <c r="Q1704" s="80">
        <v>100</v>
      </c>
      <c r="R1704" s="80">
        <v>14</v>
      </c>
      <c r="S1704" s="80"/>
      <c r="T1704" s="105">
        <f t="shared" si="225"/>
        <v>107.14285714285714</v>
      </c>
      <c r="U1704" s="105">
        <f t="shared" si="231"/>
        <v>107.14285714285714</v>
      </c>
      <c r="V1704" s="104">
        <f>IFERROR(VLOOKUP(L1704,'Raw material list'!$A$2:$S$3102,6,0),0)</f>
        <v>8.0000000000000007E-5</v>
      </c>
      <c r="W1704" s="104">
        <f t="shared" si="232"/>
        <v>8.5714285714285719E-3</v>
      </c>
    </row>
    <row r="1705" spans="1:23" hidden="1" x14ac:dyDescent="0.55000000000000004">
      <c r="A1705" s="76" t="str">
        <f t="shared" si="237"/>
        <v>RCP-SMC-000115</v>
      </c>
      <c r="B1705" s="58" t="s">
        <v>35</v>
      </c>
      <c r="C1705" s="58" t="s">
        <v>10</v>
      </c>
      <c r="D1705" s="76" t="str">
        <f t="shared" si="238"/>
        <v>Beef minesterone soup</v>
      </c>
      <c r="E1705" s="76" t="s">
        <v>1535</v>
      </c>
      <c r="F1705" s="76" t="s">
        <v>2079</v>
      </c>
      <c r="G1705" s="94" t="s">
        <v>1779</v>
      </c>
      <c r="H1705" s="107" t="s">
        <v>1773</v>
      </c>
      <c r="I1705" s="76"/>
      <c r="J1705" s="76"/>
      <c r="K1705" s="58" t="str">
        <f>IFERROR(VLOOKUP(L1705,'Raw material list'!$A$3:$C$715,3,0),"")</f>
        <v>DRS1-3813</v>
      </c>
      <c r="L1705" s="59" t="s">
        <v>67</v>
      </c>
      <c r="M1705" s="80" t="s">
        <v>156</v>
      </c>
      <c r="N1705" s="40" t="str">
        <f>VLOOKUP(L1705,'Raw material list'!$A$3:$E$715,5,0)</f>
        <v xml:space="preserve">Gram </v>
      </c>
      <c r="O1705" s="80">
        <v>10</v>
      </c>
      <c r="P1705" s="299">
        <f t="shared" si="230"/>
        <v>10</v>
      </c>
      <c r="Q1705" s="80">
        <v>100</v>
      </c>
      <c r="R1705" s="80">
        <v>14</v>
      </c>
      <c r="S1705" s="80"/>
      <c r="T1705" s="105">
        <f t="shared" si="225"/>
        <v>0.7142857142857143</v>
      </c>
      <c r="U1705" s="105">
        <f t="shared" si="231"/>
        <v>0.7142857142857143</v>
      </c>
      <c r="V1705" s="104">
        <f>IFERROR(VLOOKUP(L1705,'Raw material list'!$A$2:$S$3102,6,0),0)</f>
        <v>4.4441666666666664E-2</v>
      </c>
      <c r="W1705" s="104">
        <f t="shared" si="232"/>
        <v>3.1744047619047616E-2</v>
      </c>
    </row>
    <row r="1706" spans="1:23" hidden="1" x14ac:dyDescent="0.55000000000000004">
      <c r="A1706" s="76" t="str">
        <f t="shared" si="237"/>
        <v>RCP-SMC-000115</v>
      </c>
      <c r="B1706" s="58" t="s">
        <v>35</v>
      </c>
      <c r="C1706" s="58" t="s">
        <v>10</v>
      </c>
      <c r="D1706" s="76" t="str">
        <f t="shared" si="238"/>
        <v>Beef minesterone soup</v>
      </c>
      <c r="E1706" s="76" t="s">
        <v>1535</v>
      </c>
      <c r="F1706" s="76" t="s">
        <v>2079</v>
      </c>
      <c r="G1706" s="94" t="s">
        <v>1779</v>
      </c>
      <c r="H1706" s="107" t="s">
        <v>1773</v>
      </c>
      <c r="I1706" s="76"/>
      <c r="J1706" s="76"/>
      <c r="K1706" s="58" t="str">
        <f>IFERROR(VLOOKUP(L1706,'Raw material list'!$A$3:$C$715,3,0),"")</f>
        <v>DRS1-3880</v>
      </c>
      <c r="L1706" s="59" t="s">
        <v>1433</v>
      </c>
      <c r="M1706" s="80" t="s">
        <v>156</v>
      </c>
      <c r="N1706" s="40" t="str">
        <f>VLOOKUP(L1706,'Raw material list'!$A$3:$E$715,5,0)</f>
        <v xml:space="preserve">Gram </v>
      </c>
      <c r="O1706" s="80">
        <v>15</v>
      </c>
      <c r="P1706" s="299">
        <f t="shared" si="230"/>
        <v>15</v>
      </c>
      <c r="Q1706" s="80">
        <v>100</v>
      </c>
      <c r="R1706" s="80">
        <v>14</v>
      </c>
      <c r="S1706" s="80"/>
      <c r="T1706" s="105">
        <f t="shared" ref="T1706:T1769" si="239">IFERROR(O1706/R1706,0)</f>
        <v>1.0714285714285714</v>
      </c>
      <c r="U1706" s="105">
        <f t="shared" si="231"/>
        <v>1.0714285714285714</v>
      </c>
      <c r="V1706" s="104">
        <f>IFERROR(VLOOKUP(L1706,'Raw material list'!$A$2:$S$3102,6,0),0)</f>
        <v>5.0000000000000001E-4</v>
      </c>
      <c r="W1706" s="104">
        <f t="shared" si="232"/>
        <v>5.3571428571428574E-4</v>
      </c>
    </row>
    <row r="1707" spans="1:23" hidden="1" x14ac:dyDescent="0.55000000000000004">
      <c r="A1707" s="76" t="str">
        <f t="shared" si="237"/>
        <v>RCP-SMC-000115</v>
      </c>
      <c r="B1707" s="58" t="s">
        <v>35</v>
      </c>
      <c r="C1707" s="58" t="s">
        <v>10</v>
      </c>
      <c r="D1707" s="76" t="str">
        <f t="shared" si="238"/>
        <v>Beef minesterone soup</v>
      </c>
      <c r="E1707" s="76" t="s">
        <v>1535</v>
      </c>
      <c r="F1707" s="76" t="s">
        <v>2079</v>
      </c>
      <c r="G1707" s="94" t="s">
        <v>1779</v>
      </c>
      <c r="H1707" s="107" t="s">
        <v>1773</v>
      </c>
      <c r="I1707" s="76"/>
      <c r="J1707" s="76"/>
      <c r="K1707" s="58" t="str">
        <f>IFERROR(VLOOKUP(L1707,'Raw material list'!$A$3:$C$715,3,0),"")</f>
        <v>PRD1-240</v>
      </c>
      <c r="L1707" s="59" t="s">
        <v>82</v>
      </c>
      <c r="M1707" s="80" t="s">
        <v>156</v>
      </c>
      <c r="N1707" s="40" t="str">
        <f>VLOOKUP(L1707,'Raw material list'!$A$3:$E$715,5,0)</f>
        <v xml:space="preserve">Gram </v>
      </c>
      <c r="O1707" s="80">
        <v>100</v>
      </c>
      <c r="P1707" s="299">
        <f t="shared" si="230"/>
        <v>147.78325123152712</v>
      </c>
      <c r="Q1707" s="105">
        <v>67.666666666666657</v>
      </c>
      <c r="R1707" s="80">
        <v>14</v>
      </c>
      <c r="S1707" s="80"/>
      <c r="T1707" s="105">
        <f t="shared" si="239"/>
        <v>7.1428571428571432</v>
      </c>
      <c r="U1707" s="105">
        <f t="shared" si="231"/>
        <v>10.55594651653765</v>
      </c>
      <c r="V1707" s="104">
        <f>IFERROR(VLOOKUP(L1707,'Raw material list'!$A$2:$S$3102,6,0),0)</f>
        <v>1.3293943870014769E-2</v>
      </c>
      <c r="W1707" s="104">
        <f t="shared" si="232"/>
        <v>0.14033016048572947</v>
      </c>
    </row>
    <row r="1708" spans="1:23" hidden="1" x14ac:dyDescent="0.55000000000000004">
      <c r="A1708" s="76" t="s">
        <v>1660</v>
      </c>
      <c r="B1708" s="58" t="s">
        <v>35</v>
      </c>
      <c r="C1708" s="58" t="s">
        <v>10</v>
      </c>
      <c r="D1708" s="76" t="s">
        <v>1638</v>
      </c>
      <c r="E1708" s="76" t="s">
        <v>1536</v>
      </c>
      <c r="F1708" s="76" t="s">
        <v>2079</v>
      </c>
      <c r="G1708" s="94" t="s">
        <v>1779</v>
      </c>
      <c r="H1708" s="106" t="s">
        <v>1773</v>
      </c>
      <c r="I1708" s="76"/>
      <c r="J1708" s="76"/>
      <c r="K1708" s="58" t="str">
        <f>IFERROR(VLOOKUP(L1708,'Raw material list'!$A$3:$C$715,3,0),"")</f>
        <v>DRS3-1813</v>
      </c>
      <c r="L1708" s="59" t="s">
        <v>69</v>
      </c>
      <c r="M1708" s="80" t="s">
        <v>206</v>
      </c>
      <c r="N1708" s="40" t="str">
        <f>VLOOKUP(L1708,'Raw material list'!$A$3:$E$715,5,0)</f>
        <v>Ml</v>
      </c>
      <c r="O1708" s="80">
        <v>25</v>
      </c>
      <c r="P1708" s="299">
        <f t="shared" si="230"/>
        <v>25</v>
      </c>
      <c r="Q1708" s="303">
        <v>100</v>
      </c>
      <c r="R1708" s="80">
        <v>14</v>
      </c>
      <c r="S1708" s="80"/>
      <c r="T1708" s="105">
        <f t="shared" si="239"/>
        <v>1.7857142857142858</v>
      </c>
      <c r="U1708" s="105">
        <f t="shared" si="231"/>
        <v>1.7857142857142858</v>
      </c>
      <c r="V1708" s="104">
        <f>IFERROR(VLOOKUP(L1708,'Raw material list'!$A$2:$S$3102,6,0),0)</f>
        <v>8.0555555555555554E-3</v>
      </c>
      <c r="W1708" s="104">
        <f t="shared" si="232"/>
        <v>1.4384920634920636E-2</v>
      </c>
    </row>
    <row r="1709" spans="1:23" hidden="1" x14ac:dyDescent="0.55000000000000004">
      <c r="A1709" s="76" t="str">
        <f t="shared" ref="A1709:A1721" si="240">A1708</f>
        <v>RCP-SMC-000116</v>
      </c>
      <c r="B1709" s="58" t="s">
        <v>35</v>
      </c>
      <c r="C1709" s="58" t="s">
        <v>10</v>
      </c>
      <c r="D1709" s="76" t="str">
        <f t="shared" ref="D1709:D1721" si="241">D1708</f>
        <v>Chicken Minsterone soup</v>
      </c>
      <c r="E1709" s="76" t="s">
        <v>1536</v>
      </c>
      <c r="F1709" s="76" t="s">
        <v>2079</v>
      </c>
      <c r="G1709" s="94" t="s">
        <v>1779</v>
      </c>
      <c r="H1709" s="106" t="s">
        <v>1773</v>
      </c>
      <c r="I1709" s="76"/>
      <c r="J1709" s="76"/>
      <c r="K1709" s="58" t="str">
        <f>IFERROR(VLOOKUP(L1709,'Raw material list'!$A$3:$C$715,3,0),"")</f>
        <v>PRD1-4265</v>
      </c>
      <c r="L1709" s="59" t="s">
        <v>38</v>
      </c>
      <c r="M1709" s="80" t="s">
        <v>156</v>
      </c>
      <c r="N1709" s="40" t="str">
        <f>VLOOKUP(L1709,'Raw material list'!$A$3:$E$715,5,0)</f>
        <v xml:space="preserve">Gram </v>
      </c>
      <c r="O1709" s="80">
        <v>100</v>
      </c>
      <c r="P1709" s="299">
        <f t="shared" si="230"/>
        <v>117.64705882352942</v>
      </c>
      <c r="Q1709" s="105">
        <v>85</v>
      </c>
      <c r="R1709" s="80">
        <v>14</v>
      </c>
      <c r="S1709" s="80"/>
      <c r="T1709" s="105">
        <f t="shared" si="239"/>
        <v>7.1428571428571432</v>
      </c>
      <c r="U1709" s="105">
        <f t="shared" si="231"/>
        <v>8.4033613445378155</v>
      </c>
      <c r="V1709" s="104">
        <f>IFERROR(VLOOKUP(L1709,'Raw material list'!$A$2:$S$3102,6,0),0)</f>
        <v>3.529411764705882E-3</v>
      </c>
      <c r="W1709" s="104">
        <f t="shared" si="232"/>
        <v>2.9658922392486405E-2</v>
      </c>
    </row>
    <row r="1710" spans="1:23" hidden="1" x14ac:dyDescent="0.55000000000000004">
      <c r="A1710" s="76" t="str">
        <f t="shared" si="240"/>
        <v>RCP-SMC-000116</v>
      </c>
      <c r="B1710" s="58" t="s">
        <v>35</v>
      </c>
      <c r="C1710" s="58" t="s">
        <v>10</v>
      </c>
      <c r="D1710" s="76" t="str">
        <f t="shared" si="241"/>
        <v>Chicken Minsterone soup</v>
      </c>
      <c r="E1710" s="76" t="s">
        <v>1536</v>
      </c>
      <c r="F1710" s="76" t="s">
        <v>2079</v>
      </c>
      <c r="G1710" s="94" t="s">
        <v>1779</v>
      </c>
      <c r="H1710" s="106" t="s">
        <v>1773</v>
      </c>
      <c r="I1710" s="76"/>
      <c r="J1710" s="76"/>
      <c r="K1710" s="58" t="str">
        <f>IFERROR(VLOOKUP(L1710,'Raw material list'!$A$3:$C$715,3,0),"")</f>
        <v>PRD1-4327</v>
      </c>
      <c r="L1710" s="59" t="s">
        <v>39</v>
      </c>
      <c r="M1710" s="80" t="s">
        <v>156</v>
      </c>
      <c r="N1710" s="40" t="str">
        <f>VLOOKUP(L1710,'Raw material list'!$A$3:$E$715,5,0)</f>
        <v xml:space="preserve">Gram </v>
      </c>
      <c r="O1710" s="80">
        <v>15</v>
      </c>
      <c r="P1710" s="299">
        <f t="shared" si="230"/>
        <v>18.072289156626507</v>
      </c>
      <c r="Q1710" s="105">
        <v>83</v>
      </c>
      <c r="R1710" s="80">
        <v>14</v>
      </c>
      <c r="S1710" s="80"/>
      <c r="T1710" s="105">
        <f t="shared" si="239"/>
        <v>1.0714285714285714</v>
      </c>
      <c r="U1710" s="105">
        <f t="shared" si="231"/>
        <v>1.2908777969018934</v>
      </c>
      <c r="V1710" s="104">
        <f>IFERROR(VLOOKUP(L1710,'Raw material list'!$A$2:$S$3102,6,0),0)</f>
        <v>1.2999999999999999E-2</v>
      </c>
      <c r="W1710" s="104">
        <f t="shared" si="232"/>
        <v>1.6781411359724614E-2</v>
      </c>
    </row>
    <row r="1711" spans="1:23" hidden="1" x14ac:dyDescent="0.55000000000000004">
      <c r="A1711" s="76" t="str">
        <f t="shared" si="240"/>
        <v>RCP-SMC-000116</v>
      </c>
      <c r="B1711" s="58" t="s">
        <v>35</v>
      </c>
      <c r="C1711" s="58" t="s">
        <v>10</v>
      </c>
      <c r="D1711" s="76" t="str">
        <f t="shared" si="241"/>
        <v>Chicken Minsterone soup</v>
      </c>
      <c r="E1711" s="76" t="s">
        <v>1536</v>
      </c>
      <c r="F1711" s="76" t="s">
        <v>2079</v>
      </c>
      <c r="G1711" s="94" t="s">
        <v>1779</v>
      </c>
      <c r="H1711" s="106" t="s">
        <v>1773</v>
      </c>
      <c r="I1711" s="76"/>
      <c r="J1711" s="76"/>
      <c r="K1711" s="58" t="str">
        <f>IFERROR(VLOOKUP(L1711,'Raw material list'!$A$3:$C$715,3,0),"")</f>
        <v>PRD1-572</v>
      </c>
      <c r="L1711" s="59" t="s">
        <v>54</v>
      </c>
      <c r="M1711" s="80" t="s">
        <v>156</v>
      </c>
      <c r="N1711" s="40" t="str">
        <f>VLOOKUP(L1711,'Raw material list'!$A$3:$E$715,5,0)</f>
        <v xml:space="preserve">Gram </v>
      </c>
      <c r="O1711" s="80">
        <v>400</v>
      </c>
      <c r="P1711" s="299">
        <f t="shared" si="230"/>
        <v>453.34340763128063</v>
      </c>
      <c r="Q1711" s="105">
        <v>88.233333333333348</v>
      </c>
      <c r="R1711" s="80">
        <v>14</v>
      </c>
      <c r="S1711" s="80"/>
      <c r="T1711" s="105">
        <f t="shared" si="239"/>
        <v>28.571428571428573</v>
      </c>
      <c r="U1711" s="105">
        <f t="shared" si="231"/>
        <v>32.381671973662904</v>
      </c>
      <c r="V1711" s="104">
        <f>IFERROR(VLOOKUP(L1711,'Raw material list'!$A$2:$S$3102,6,0),0)</f>
        <v>4.5351473922902496E-3</v>
      </c>
      <c r="W1711" s="104">
        <f t="shared" si="232"/>
        <v>0.14685565520935559</v>
      </c>
    </row>
    <row r="1712" spans="1:23" hidden="1" x14ac:dyDescent="0.55000000000000004">
      <c r="A1712" s="76" t="str">
        <f t="shared" si="240"/>
        <v>RCP-SMC-000116</v>
      </c>
      <c r="B1712" s="58" t="s">
        <v>35</v>
      </c>
      <c r="C1712" s="58" t="s">
        <v>10</v>
      </c>
      <c r="D1712" s="76" t="str">
        <f t="shared" si="241"/>
        <v>Chicken Minsterone soup</v>
      </c>
      <c r="E1712" s="76" t="s">
        <v>1536</v>
      </c>
      <c r="F1712" s="76" t="s">
        <v>2079</v>
      </c>
      <c r="G1712" s="94" t="s">
        <v>1779</v>
      </c>
      <c r="H1712" s="106" t="s">
        <v>1773</v>
      </c>
      <c r="I1712" s="76"/>
      <c r="J1712" s="76"/>
      <c r="K1712" s="58" t="str">
        <f>IFERROR(VLOOKUP(L1712,'Raw material list'!$A$3:$C$715,3,0),"")</f>
        <v>DRS1-1747</v>
      </c>
      <c r="L1712" s="59" t="s">
        <v>44</v>
      </c>
      <c r="M1712" s="80" t="s">
        <v>156</v>
      </c>
      <c r="N1712" s="40" t="str">
        <f>VLOOKUP(L1712,'Raw material list'!$A$3:$E$715,5,0)</f>
        <v xml:space="preserve">Gram </v>
      </c>
      <c r="O1712" s="80">
        <v>60</v>
      </c>
      <c r="P1712" s="299">
        <f t="shared" si="230"/>
        <v>60</v>
      </c>
      <c r="Q1712" s="303">
        <v>100</v>
      </c>
      <c r="R1712" s="80">
        <v>14</v>
      </c>
      <c r="S1712" s="80"/>
      <c r="T1712" s="105">
        <f t="shared" si="239"/>
        <v>4.2857142857142856</v>
      </c>
      <c r="U1712" s="105">
        <f t="shared" si="231"/>
        <v>4.2857142857142856</v>
      </c>
      <c r="V1712" s="104">
        <f>IFERROR(VLOOKUP(L1712,'Raw material list'!$A$2:$S$3102,6,0),0)</f>
        <v>5.185185185185185E-3</v>
      </c>
      <c r="W1712" s="104">
        <f t="shared" si="232"/>
        <v>2.222222222222222E-2</v>
      </c>
    </row>
    <row r="1713" spans="1:23" hidden="1" x14ac:dyDescent="0.55000000000000004">
      <c r="A1713" s="76" t="str">
        <f t="shared" si="240"/>
        <v>RCP-SMC-000116</v>
      </c>
      <c r="B1713" s="58" t="s">
        <v>35</v>
      </c>
      <c r="C1713" s="58" t="s">
        <v>10</v>
      </c>
      <c r="D1713" s="76" t="str">
        <f t="shared" si="241"/>
        <v>Chicken Minsterone soup</v>
      </c>
      <c r="E1713" s="76" t="s">
        <v>1536</v>
      </c>
      <c r="F1713" s="76" t="s">
        <v>2078</v>
      </c>
      <c r="G1713" s="94" t="s">
        <v>1779</v>
      </c>
      <c r="H1713" s="106" t="s">
        <v>1773</v>
      </c>
      <c r="I1713" s="76"/>
      <c r="J1713" s="76"/>
      <c r="K1713" s="58" t="str">
        <f>IFERROR(VLOOKUP(L1713,'Raw material list'!$A$3:$C$715,3,0),"")</f>
        <v>PLT2-3278</v>
      </c>
      <c r="L1713" s="59" t="s">
        <v>80</v>
      </c>
      <c r="M1713" s="80" t="s">
        <v>156</v>
      </c>
      <c r="N1713" s="40" t="str">
        <f>VLOOKUP(L1713,'Raw material list'!$A$3:$E$715,5,0)</f>
        <v xml:space="preserve">Gram </v>
      </c>
      <c r="O1713" s="80">
        <v>200</v>
      </c>
      <c r="P1713" s="299">
        <f t="shared" si="230"/>
        <v>262.46719160104988</v>
      </c>
      <c r="Q1713" s="80">
        <v>76.2</v>
      </c>
      <c r="R1713" s="80">
        <v>14</v>
      </c>
      <c r="S1713" s="80"/>
      <c r="T1713" s="105">
        <f t="shared" si="239"/>
        <v>14.285714285714286</v>
      </c>
      <c r="U1713" s="105">
        <f t="shared" si="231"/>
        <v>18.747656542932134</v>
      </c>
      <c r="V1713" s="104">
        <f>IFERROR(VLOOKUP(L1713,'Raw material list'!$A$2:$S$3102,6,0),0)</f>
        <v>3.0357142857142853E-2</v>
      </c>
      <c r="W1713" s="104">
        <f t="shared" si="232"/>
        <v>0.5691252879104397</v>
      </c>
    </row>
    <row r="1714" spans="1:23" hidden="1" x14ac:dyDescent="0.55000000000000004">
      <c r="A1714" s="76" t="str">
        <f t="shared" si="240"/>
        <v>RCP-SMC-000116</v>
      </c>
      <c r="B1714" s="58" t="s">
        <v>35</v>
      </c>
      <c r="C1714" s="58" t="s">
        <v>10</v>
      </c>
      <c r="D1714" s="76" t="str">
        <f t="shared" si="241"/>
        <v>Chicken Minsterone soup</v>
      </c>
      <c r="E1714" s="76" t="s">
        <v>1536</v>
      </c>
      <c r="F1714" s="76" t="s">
        <v>2079</v>
      </c>
      <c r="G1714" s="94" t="s">
        <v>1779</v>
      </c>
      <c r="H1714" s="106" t="s">
        <v>1773</v>
      </c>
      <c r="I1714" s="76"/>
      <c r="J1714" s="76"/>
      <c r="K1714" s="58" t="str">
        <f>IFERROR(VLOOKUP(L1714,'Raw material list'!$A$3:$C$715,3,0),"")</f>
        <v>PRD1-3794</v>
      </c>
      <c r="L1714" s="59" t="s">
        <v>973</v>
      </c>
      <c r="M1714" s="80" t="s">
        <v>156</v>
      </c>
      <c r="N1714" s="40" t="str">
        <f>VLOOKUP(L1714,'Raw material list'!$A$3:$E$715,5,0)</f>
        <v xml:space="preserve">Gram </v>
      </c>
      <c r="O1714" s="80">
        <v>200</v>
      </c>
      <c r="P1714" s="299">
        <f t="shared" si="230"/>
        <v>246.91358024691357</v>
      </c>
      <c r="Q1714" s="105">
        <v>81</v>
      </c>
      <c r="R1714" s="80">
        <v>14</v>
      </c>
      <c r="S1714" s="80"/>
      <c r="T1714" s="105">
        <f t="shared" si="239"/>
        <v>14.285714285714286</v>
      </c>
      <c r="U1714" s="105">
        <f t="shared" si="231"/>
        <v>17.636684303350968</v>
      </c>
      <c r="V1714" s="104">
        <f>IFERROR(VLOOKUP(L1714,'Raw material list'!$A$2:$S$3102,6,0),0)</f>
        <v>4.9382716049382715E-3</v>
      </c>
      <c r="W1714" s="104">
        <f t="shared" si="232"/>
        <v>8.7094737300498604E-2</v>
      </c>
    </row>
    <row r="1715" spans="1:23" hidden="1" x14ac:dyDescent="0.55000000000000004">
      <c r="A1715" s="76" t="str">
        <f t="shared" si="240"/>
        <v>RCP-SMC-000116</v>
      </c>
      <c r="B1715" s="58" t="s">
        <v>35</v>
      </c>
      <c r="C1715" s="58" t="s">
        <v>10</v>
      </c>
      <c r="D1715" s="76" t="str">
        <f t="shared" si="241"/>
        <v>Chicken Minsterone soup</v>
      </c>
      <c r="E1715" s="76" t="s">
        <v>1536</v>
      </c>
      <c r="F1715" s="76" t="s">
        <v>2079</v>
      </c>
      <c r="G1715" s="94" t="s">
        <v>1779</v>
      </c>
      <c r="H1715" s="106" t="s">
        <v>1773</v>
      </c>
      <c r="I1715" s="76"/>
      <c r="J1715" s="76"/>
      <c r="K1715" s="58" t="str">
        <f>IFERROR(VLOOKUP(L1715,'Raw material list'!$A$3:$C$715,3,0),"")</f>
        <v>PRD1-186</v>
      </c>
      <c r="L1715" s="59" t="s">
        <v>37</v>
      </c>
      <c r="M1715" s="80" t="s">
        <v>156</v>
      </c>
      <c r="N1715" s="40" t="str">
        <f>VLOOKUP(L1715,'Raw material list'!$A$3:$E$715,5,0)</f>
        <v xml:space="preserve">Gram </v>
      </c>
      <c r="O1715" s="80">
        <v>200</v>
      </c>
      <c r="P1715" s="299">
        <f t="shared" si="230"/>
        <v>244.89795918367346</v>
      </c>
      <c r="Q1715" s="105">
        <v>81.666666666666671</v>
      </c>
      <c r="R1715" s="80">
        <v>14</v>
      </c>
      <c r="S1715" s="80"/>
      <c r="T1715" s="105">
        <f t="shared" si="239"/>
        <v>14.285714285714286</v>
      </c>
      <c r="U1715" s="105">
        <f t="shared" si="231"/>
        <v>17.492711370262391</v>
      </c>
      <c r="V1715" s="104">
        <f>IFERROR(VLOOKUP(L1715,'Raw material list'!$A$2:$S$3102,6,0),0)</f>
        <v>5.8139534883720938E-3</v>
      </c>
      <c r="W1715" s="104">
        <f t="shared" si="232"/>
        <v>0.10170181029222322</v>
      </c>
    </row>
    <row r="1716" spans="1:23" hidden="1" x14ac:dyDescent="0.55000000000000004">
      <c r="A1716" s="76" t="str">
        <f t="shared" si="240"/>
        <v>RCP-SMC-000116</v>
      </c>
      <c r="B1716" s="58" t="s">
        <v>35</v>
      </c>
      <c r="C1716" s="58" t="s">
        <v>10</v>
      </c>
      <c r="D1716" s="76" t="str">
        <f t="shared" si="241"/>
        <v>Chicken Minsterone soup</v>
      </c>
      <c r="E1716" s="76" t="s">
        <v>1536</v>
      </c>
      <c r="F1716" s="76" t="s">
        <v>2079</v>
      </c>
      <c r="G1716" s="94" t="s">
        <v>1779</v>
      </c>
      <c r="H1716" s="106" t="s">
        <v>1773</v>
      </c>
      <c r="I1716" s="76"/>
      <c r="J1716" s="76"/>
      <c r="K1716" s="58" t="str">
        <f>IFERROR(VLOOKUP(L1716,'Raw material list'!$A$3:$C$715,3,0),"")</f>
        <v>DRS4-1025</v>
      </c>
      <c r="L1716" s="59" t="s">
        <v>488</v>
      </c>
      <c r="M1716" s="80" t="s">
        <v>156</v>
      </c>
      <c r="N1716" s="40" t="str">
        <f>VLOOKUP(L1716,'Raw material list'!$A$3:$E$715,5,0)</f>
        <v xml:space="preserve">Gram </v>
      </c>
      <c r="O1716" s="80">
        <v>150</v>
      </c>
      <c r="P1716" s="299">
        <f t="shared" si="230"/>
        <v>150</v>
      </c>
      <c r="Q1716" s="303">
        <v>100</v>
      </c>
      <c r="R1716" s="80">
        <v>14</v>
      </c>
      <c r="S1716" s="80"/>
      <c r="T1716" s="105">
        <f t="shared" si="239"/>
        <v>10.714285714285714</v>
      </c>
      <c r="U1716" s="105">
        <f t="shared" si="231"/>
        <v>10.714285714285714</v>
      </c>
      <c r="V1716" s="104">
        <f>IFERROR(VLOOKUP(L1716,'Raw material list'!$A$2:$S$3102,6,0),0)</f>
        <v>1.2E-2</v>
      </c>
      <c r="W1716" s="104">
        <f t="shared" si="232"/>
        <v>0.12857142857142856</v>
      </c>
    </row>
    <row r="1717" spans="1:23" hidden="1" x14ac:dyDescent="0.55000000000000004">
      <c r="A1717" s="76" t="str">
        <f t="shared" si="240"/>
        <v>RCP-SMC-000116</v>
      </c>
      <c r="B1717" s="58" t="s">
        <v>35</v>
      </c>
      <c r="C1717" s="58" t="s">
        <v>10</v>
      </c>
      <c r="D1717" s="76" t="str">
        <f t="shared" si="241"/>
        <v>Chicken Minsterone soup</v>
      </c>
      <c r="E1717" s="76" t="s">
        <v>1536</v>
      </c>
      <c r="F1717" s="76" t="s">
        <v>2079</v>
      </c>
      <c r="G1717" s="94" t="s">
        <v>1779</v>
      </c>
      <c r="H1717" s="106" t="s">
        <v>1773</v>
      </c>
      <c r="I1717" s="76"/>
      <c r="J1717" s="76"/>
      <c r="K1717" s="58" t="str">
        <f>IFERROR(VLOOKUP(L1717,'Raw material list'!$A$3:$C$715,3,0),"")</f>
        <v>DRS2-3825</v>
      </c>
      <c r="L1717" s="59" t="s">
        <v>555</v>
      </c>
      <c r="M1717" s="80" t="s">
        <v>156</v>
      </c>
      <c r="N1717" s="40" t="str">
        <f>VLOOKUP(L1717,'Raw material list'!$A$3:$E$715,5,0)</f>
        <v xml:space="preserve">Gram </v>
      </c>
      <c r="O1717" s="80">
        <v>70</v>
      </c>
      <c r="P1717" s="299">
        <f t="shared" si="230"/>
        <v>70</v>
      </c>
      <c r="Q1717" s="80">
        <v>100</v>
      </c>
      <c r="R1717" s="80">
        <v>14</v>
      </c>
      <c r="S1717" s="80"/>
      <c r="T1717" s="105">
        <f t="shared" si="239"/>
        <v>5</v>
      </c>
      <c r="U1717" s="105">
        <f t="shared" si="231"/>
        <v>5</v>
      </c>
      <c r="V1717" s="104">
        <f>IFERROR(VLOOKUP(L1717,'Raw material list'!$A$2:$S$3102,6,0),0)</f>
        <v>9.2222222222222237E-3</v>
      </c>
      <c r="W1717" s="104">
        <f t="shared" si="232"/>
        <v>4.6111111111111117E-2</v>
      </c>
    </row>
    <row r="1718" spans="1:23" hidden="1" x14ac:dyDescent="0.55000000000000004">
      <c r="A1718" s="76" t="str">
        <f t="shared" si="240"/>
        <v>RCP-SMC-000116</v>
      </c>
      <c r="B1718" s="58" t="s">
        <v>35</v>
      </c>
      <c r="C1718" s="58" t="s">
        <v>10</v>
      </c>
      <c r="D1718" s="76" t="str">
        <f t="shared" si="241"/>
        <v>Chicken Minsterone soup</v>
      </c>
      <c r="E1718" s="76" t="s">
        <v>1536</v>
      </c>
      <c r="F1718" s="76" t="s">
        <v>2079</v>
      </c>
      <c r="G1718" s="94" t="s">
        <v>1779</v>
      </c>
      <c r="H1718" s="106" t="s">
        <v>1773</v>
      </c>
      <c r="I1718" s="76"/>
      <c r="J1718" s="76"/>
      <c r="K1718" s="58" t="str">
        <f>IFERROR(VLOOKUP(L1718,'Raw material list'!$A$3:$C$715,3,0),"")</f>
        <v>TAP-00001</v>
      </c>
      <c r="L1718" s="59" t="s">
        <v>1405</v>
      </c>
      <c r="M1718" s="80" t="s">
        <v>206</v>
      </c>
      <c r="N1718" s="40" t="str">
        <f>VLOOKUP(L1718,'Raw material list'!$A$3:$E$715,5,0)</f>
        <v>Ml</v>
      </c>
      <c r="O1718" s="80">
        <v>1500</v>
      </c>
      <c r="P1718" s="299">
        <f t="shared" si="230"/>
        <v>1500</v>
      </c>
      <c r="Q1718" s="80">
        <v>100</v>
      </c>
      <c r="R1718" s="80">
        <v>14</v>
      </c>
      <c r="S1718" s="80"/>
      <c r="T1718" s="105">
        <f t="shared" si="239"/>
        <v>107.14285714285714</v>
      </c>
      <c r="U1718" s="105">
        <f t="shared" si="231"/>
        <v>107.14285714285714</v>
      </c>
      <c r="V1718" s="104">
        <f>IFERROR(VLOOKUP(L1718,'Raw material list'!$A$2:$S$3102,6,0),0)</f>
        <v>8.0000000000000007E-5</v>
      </c>
      <c r="W1718" s="104">
        <f t="shared" si="232"/>
        <v>8.5714285714285719E-3</v>
      </c>
    </row>
    <row r="1719" spans="1:23" hidden="1" x14ac:dyDescent="0.55000000000000004">
      <c r="A1719" s="76" t="str">
        <f t="shared" si="240"/>
        <v>RCP-SMC-000116</v>
      </c>
      <c r="B1719" s="58" t="s">
        <v>35</v>
      </c>
      <c r="C1719" s="58" t="s">
        <v>10</v>
      </c>
      <c r="D1719" s="76" t="str">
        <f t="shared" si="241"/>
        <v>Chicken Minsterone soup</v>
      </c>
      <c r="E1719" s="76" t="s">
        <v>1536</v>
      </c>
      <c r="F1719" s="76" t="s">
        <v>2079</v>
      </c>
      <c r="G1719" s="94" t="s">
        <v>1779</v>
      </c>
      <c r="H1719" s="106" t="s">
        <v>1773</v>
      </c>
      <c r="I1719" s="76"/>
      <c r="J1719" s="76"/>
      <c r="K1719" s="58" t="str">
        <f>IFERROR(VLOOKUP(L1719,'Raw material list'!$A$3:$C$715,3,0),"")</f>
        <v>DRS1-3813</v>
      </c>
      <c r="L1719" s="59" t="s">
        <v>67</v>
      </c>
      <c r="M1719" s="80" t="s">
        <v>156</v>
      </c>
      <c r="N1719" s="40" t="str">
        <f>VLOOKUP(L1719,'Raw material list'!$A$3:$E$715,5,0)</f>
        <v xml:space="preserve">Gram </v>
      </c>
      <c r="O1719" s="80">
        <v>10</v>
      </c>
      <c r="P1719" s="299">
        <f t="shared" si="230"/>
        <v>10</v>
      </c>
      <c r="Q1719" s="80">
        <v>100</v>
      </c>
      <c r="R1719" s="80">
        <v>14</v>
      </c>
      <c r="S1719" s="80"/>
      <c r="T1719" s="105">
        <f t="shared" si="239"/>
        <v>0.7142857142857143</v>
      </c>
      <c r="U1719" s="105">
        <f t="shared" si="231"/>
        <v>0.7142857142857143</v>
      </c>
      <c r="V1719" s="104">
        <f>IFERROR(VLOOKUP(L1719,'Raw material list'!$A$2:$S$3102,6,0),0)</f>
        <v>4.4441666666666664E-2</v>
      </c>
      <c r="W1719" s="104">
        <f t="shared" si="232"/>
        <v>3.1744047619047616E-2</v>
      </c>
    </row>
    <row r="1720" spans="1:23" hidden="1" x14ac:dyDescent="0.55000000000000004">
      <c r="A1720" s="76" t="str">
        <f t="shared" si="240"/>
        <v>RCP-SMC-000116</v>
      </c>
      <c r="B1720" s="58" t="s">
        <v>35</v>
      </c>
      <c r="C1720" s="58" t="s">
        <v>10</v>
      </c>
      <c r="D1720" s="76" t="str">
        <f t="shared" si="241"/>
        <v>Chicken Minsterone soup</v>
      </c>
      <c r="E1720" s="76" t="s">
        <v>1536</v>
      </c>
      <c r="F1720" s="76" t="s">
        <v>2079</v>
      </c>
      <c r="G1720" s="94" t="s">
        <v>1779</v>
      </c>
      <c r="H1720" s="106" t="s">
        <v>1773</v>
      </c>
      <c r="I1720" s="76"/>
      <c r="J1720" s="76"/>
      <c r="K1720" s="58" t="str">
        <f>IFERROR(VLOOKUP(L1720,'Raw material list'!$A$3:$C$715,3,0),"")</f>
        <v>DRS1-3880</v>
      </c>
      <c r="L1720" s="59" t="s">
        <v>1433</v>
      </c>
      <c r="M1720" s="80" t="s">
        <v>156</v>
      </c>
      <c r="N1720" s="40" t="str">
        <f>VLOOKUP(L1720,'Raw material list'!$A$3:$E$715,5,0)</f>
        <v xml:space="preserve">Gram </v>
      </c>
      <c r="O1720" s="80">
        <v>15</v>
      </c>
      <c r="P1720" s="299">
        <f t="shared" si="230"/>
        <v>15</v>
      </c>
      <c r="Q1720" s="80">
        <v>100</v>
      </c>
      <c r="R1720" s="80">
        <v>14</v>
      </c>
      <c r="S1720" s="80"/>
      <c r="T1720" s="105">
        <f t="shared" si="239"/>
        <v>1.0714285714285714</v>
      </c>
      <c r="U1720" s="105">
        <f t="shared" si="231"/>
        <v>1.0714285714285714</v>
      </c>
      <c r="V1720" s="104">
        <f>IFERROR(VLOOKUP(L1720,'Raw material list'!$A$2:$S$3102,6,0),0)</f>
        <v>5.0000000000000001E-4</v>
      </c>
      <c r="W1720" s="104">
        <f t="shared" si="232"/>
        <v>5.3571428571428574E-4</v>
      </c>
    </row>
    <row r="1721" spans="1:23" hidden="1" x14ac:dyDescent="0.55000000000000004">
      <c r="A1721" s="76" t="str">
        <f t="shared" si="240"/>
        <v>RCP-SMC-000116</v>
      </c>
      <c r="B1721" s="58" t="s">
        <v>35</v>
      </c>
      <c r="C1721" s="58" t="s">
        <v>10</v>
      </c>
      <c r="D1721" s="76" t="str">
        <f t="shared" si="241"/>
        <v>Chicken Minsterone soup</v>
      </c>
      <c r="E1721" s="76" t="s">
        <v>1536</v>
      </c>
      <c r="F1721" s="76" t="s">
        <v>2079</v>
      </c>
      <c r="G1721" s="94" t="s">
        <v>1779</v>
      </c>
      <c r="H1721" s="106" t="s">
        <v>1773</v>
      </c>
      <c r="I1721" s="76"/>
      <c r="J1721" s="76"/>
      <c r="K1721" s="58" t="str">
        <f>IFERROR(VLOOKUP(L1721,'Raw material list'!$A$3:$C$715,3,0),"")</f>
        <v>PRD1-240</v>
      </c>
      <c r="L1721" s="59" t="s">
        <v>82</v>
      </c>
      <c r="M1721" s="80" t="s">
        <v>156</v>
      </c>
      <c r="N1721" s="40" t="str">
        <f>VLOOKUP(L1721,'Raw material list'!$A$3:$E$715,5,0)</f>
        <v xml:space="preserve">Gram </v>
      </c>
      <c r="O1721" s="80">
        <v>100</v>
      </c>
      <c r="P1721" s="299">
        <f t="shared" si="230"/>
        <v>147.78325123152712</v>
      </c>
      <c r="Q1721" s="105">
        <v>67.666666666666657</v>
      </c>
      <c r="R1721" s="80">
        <v>14</v>
      </c>
      <c r="S1721" s="80"/>
      <c r="T1721" s="105">
        <f t="shared" si="239"/>
        <v>7.1428571428571432</v>
      </c>
      <c r="U1721" s="105">
        <f t="shared" si="231"/>
        <v>10.55594651653765</v>
      </c>
      <c r="V1721" s="104">
        <f>IFERROR(VLOOKUP(L1721,'Raw material list'!$A$2:$S$3102,6,0),0)</f>
        <v>1.3293943870014769E-2</v>
      </c>
      <c r="W1721" s="104">
        <f t="shared" si="232"/>
        <v>0.14033016048572947</v>
      </c>
    </row>
    <row r="1722" spans="1:23" hidden="1" x14ac:dyDescent="0.55000000000000004">
      <c r="A1722" s="76" t="s">
        <v>1661</v>
      </c>
      <c r="B1722" s="58" t="s">
        <v>35</v>
      </c>
      <c r="C1722" s="58" t="s">
        <v>10</v>
      </c>
      <c r="D1722" s="76" t="s">
        <v>1628</v>
      </c>
      <c r="E1722" s="76" t="s">
        <v>1536</v>
      </c>
      <c r="F1722" s="76" t="s">
        <v>2079</v>
      </c>
      <c r="G1722" s="94" t="s">
        <v>1779</v>
      </c>
      <c r="H1722" s="106" t="s">
        <v>1773</v>
      </c>
      <c r="I1722" s="76"/>
      <c r="J1722" s="76"/>
      <c r="K1722" s="58" t="str">
        <f>IFERROR(VLOOKUP(L1722,'Raw material list'!$A$3:$C$715,3,0),"")</f>
        <v>DRY2-1008</v>
      </c>
      <c r="L1722" s="59" t="s">
        <v>57</v>
      </c>
      <c r="M1722" s="80" t="s">
        <v>156</v>
      </c>
      <c r="N1722" s="40" t="str">
        <f>VLOOKUP(L1722,'Raw material list'!$A$3:$E$715,5,0)</f>
        <v xml:space="preserve">Gram </v>
      </c>
      <c r="O1722" s="80">
        <v>20</v>
      </c>
      <c r="P1722" s="299">
        <f t="shared" si="230"/>
        <v>20</v>
      </c>
      <c r="Q1722" s="303">
        <v>100</v>
      </c>
      <c r="R1722" s="80">
        <v>14</v>
      </c>
      <c r="S1722" s="80"/>
      <c r="T1722" s="105">
        <f t="shared" si="239"/>
        <v>1.4285714285714286</v>
      </c>
      <c r="U1722" s="105">
        <f t="shared" si="231"/>
        <v>1.4285714285714286</v>
      </c>
      <c r="V1722" s="104">
        <f>IFERROR(VLOOKUP(L1722,'Raw material list'!$A$2:$S$3102,6,0),0)</f>
        <v>0.03</v>
      </c>
      <c r="W1722" s="104">
        <f t="shared" si="232"/>
        <v>4.2857142857142858E-2</v>
      </c>
    </row>
    <row r="1723" spans="1:23" hidden="1" x14ac:dyDescent="0.55000000000000004">
      <c r="A1723" s="76" t="str">
        <f t="shared" ref="A1723:A1732" si="242">A1722</f>
        <v>RCP-SMC-000117</v>
      </c>
      <c r="B1723" s="58" t="s">
        <v>35</v>
      </c>
      <c r="C1723" s="58" t="s">
        <v>10</v>
      </c>
      <c r="D1723" s="76" t="s">
        <v>1628</v>
      </c>
      <c r="E1723" s="76" t="s">
        <v>1536</v>
      </c>
      <c r="F1723" s="76" t="s">
        <v>2079</v>
      </c>
      <c r="G1723" s="94" t="s">
        <v>1779</v>
      </c>
      <c r="H1723" s="106" t="s">
        <v>1773</v>
      </c>
      <c r="I1723" s="76"/>
      <c r="J1723" s="76"/>
      <c r="K1723" s="58" t="str">
        <f>IFERROR(VLOOKUP(L1723,'Raw material list'!$A$3:$C$715,3,0),"")</f>
        <v>PRD1-4019</v>
      </c>
      <c r="L1723" s="59" t="s">
        <v>119</v>
      </c>
      <c r="M1723" s="80" t="s">
        <v>156</v>
      </c>
      <c r="N1723" s="40" t="str">
        <f>VLOOKUP(L1723,'Raw material list'!$A$3:$E$715,5,0)</f>
        <v xml:space="preserve">Gram </v>
      </c>
      <c r="O1723" s="80">
        <v>100</v>
      </c>
      <c r="P1723" s="299">
        <f t="shared" si="230"/>
        <v>153.84615384615387</v>
      </c>
      <c r="Q1723" s="105">
        <v>65</v>
      </c>
      <c r="R1723" s="80">
        <v>14</v>
      </c>
      <c r="S1723" s="80"/>
      <c r="T1723" s="105">
        <f t="shared" si="239"/>
        <v>7.1428571428571432</v>
      </c>
      <c r="U1723" s="105">
        <f t="shared" si="231"/>
        <v>10.989010989010991</v>
      </c>
      <c r="V1723" s="104">
        <f>IFERROR(VLOOKUP(L1723,'Raw material list'!$A$2:$S$3102,6,0),0)</f>
        <v>0.02</v>
      </c>
      <c r="W1723" s="104">
        <f t="shared" si="232"/>
        <v>0.21978021978021983</v>
      </c>
    </row>
    <row r="1724" spans="1:23" hidden="1" x14ac:dyDescent="0.55000000000000004">
      <c r="A1724" s="76" t="str">
        <f t="shared" si="242"/>
        <v>RCP-SMC-000117</v>
      </c>
      <c r="B1724" s="58" t="s">
        <v>35</v>
      </c>
      <c r="C1724" s="58" t="s">
        <v>10</v>
      </c>
      <c r="D1724" s="76" t="s">
        <v>1628</v>
      </c>
      <c r="E1724" s="76" t="s">
        <v>1536</v>
      </c>
      <c r="F1724" s="76" t="s">
        <v>2079</v>
      </c>
      <c r="G1724" s="94" t="s">
        <v>1779</v>
      </c>
      <c r="H1724" s="106" t="s">
        <v>1773</v>
      </c>
      <c r="I1724" s="76"/>
      <c r="J1724" s="76"/>
      <c r="K1724" s="58" t="str">
        <f>IFERROR(VLOOKUP(L1724,'Raw material list'!$A$3:$C$715,3,0),"")</f>
        <v>PRD1-4327</v>
      </c>
      <c r="L1724" s="59" t="s">
        <v>39</v>
      </c>
      <c r="M1724" s="80" t="s">
        <v>156</v>
      </c>
      <c r="N1724" s="40" t="str">
        <f>VLOOKUP(L1724,'Raw material list'!$A$3:$E$715,5,0)</f>
        <v xml:space="preserve">Gram </v>
      </c>
      <c r="O1724" s="80">
        <v>15</v>
      </c>
      <c r="P1724" s="299">
        <f t="shared" si="230"/>
        <v>18.072289156626507</v>
      </c>
      <c r="Q1724" s="105">
        <v>83</v>
      </c>
      <c r="R1724" s="80">
        <v>14</v>
      </c>
      <c r="S1724" s="80"/>
      <c r="T1724" s="105">
        <f t="shared" si="239"/>
        <v>1.0714285714285714</v>
      </c>
      <c r="U1724" s="105">
        <f t="shared" si="231"/>
        <v>1.2908777969018934</v>
      </c>
      <c r="V1724" s="104">
        <f>IFERROR(VLOOKUP(L1724,'Raw material list'!$A$2:$S$3102,6,0),0)</f>
        <v>1.2999999999999999E-2</v>
      </c>
      <c r="W1724" s="104">
        <f t="shared" si="232"/>
        <v>1.6781411359724614E-2</v>
      </c>
    </row>
    <row r="1725" spans="1:23" hidden="1" x14ac:dyDescent="0.55000000000000004">
      <c r="A1725" s="76" t="str">
        <f t="shared" si="242"/>
        <v>RCP-SMC-000117</v>
      </c>
      <c r="B1725" s="58" t="s">
        <v>35</v>
      </c>
      <c r="C1725" s="58" t="s">
        <v>10</v>
      </c>
      <c r="D1725" s="76" t="s">
        <v>1628</v>
      </c>
      <c r="E1725" s="76" t="s">
        <v>1536</v>
      </c>
      <c r="F1725" s="76" t="s">
        <v>2079</v>
      </c>
      <c r="G1725" s="94" t="s">
        <v>1779</v>
      </c>
      <c r="H1725" s="106" t="s">
        <v>1773</v>
      </c>
      <c r="I1725" s="76"/>
      <c r="J1725" s="76"/>
      <c r="K1725" s="58" t="str">
        <f>IFERROR(VLOOKUP(L1725,'Raw material list'!$A$3:$C$715,3,0),"")</f>
        <v>PRD1-4265</v>
      </c>
      <c r="L1725" s="59" t="s">
        <v>38</v>
      </c>
      <c r="M1725" s="80" t="s">
        <v>156</v>
      </c>
      <c r="N1725" s="40" t="str">
        <f>VLOOKUP(L1725,'Raw material list'!$A$3:$E$715,5,0)</f>
        <v xml:space="preserve">Gram </v>
      </c>
      <c r="O1725" s="80">
        <v>100</v>
      </c>
      <c r="P1725" s="299">
        <f t="shared" si="230"/>
        <v>117.64705882352942</v>
      </c>
      <c r="Q1725" s="105">
        <v>85</v>
      </c>
      <c r="R1725" s="80">
        <v>14</v>
      </c>
      <c r="S1725" s="80"/>
      <c r="T1725" s="105">
        <f t="shared" si="239"/>
        <v>7.1428571428571432</v>
      </c>
      <c r="U1725" s="105">
        <f t="shared" si="231"/>
        <v>8.4033613445378155</v>
      </c>
      <c r="V1725" s="104">
        <f>IFERROR(VLOOKUP(L1725,'Raw material list'!$A$2:$S$3102,6,0),0)</f>
        <v>3.529411764705882E-3</v>
      </c>
      <c r="W1725" s="104">
        <f t="shared" si="232"/>
        <v>2.9658922392486405E-2</v>
      </c>
    </row>
    <row r="1726" spans="1:23" hidden="1" x14ac:dyDescent="0.55000000000000004">
      <c r="A1726" s="76" t="str">
        <f t="shared" si="242"/>
        <v>RCP-SMC-000117</v>
      </c>
      <c r="B1726" s="58" t="s">
        <v>35</v>
      </c>
      <c r="C1726" s="58" t="s">
        <v>10</v>
      </c>
      <c r="D1726" s="76" t="s">
        <v>1628</v>
      </c>
      <c r="E1726" s="76" t="s">
        <v>1536</v>
      </c>
      <c r="F1726" s="76" t="s">
        <v>2079</v>
      </c>
      <c r="G1726" s="94" t="s">
        <v>1779</v>
      </c>
      <c r="H1726" s="106" t="s">
        <v>1773</v>
      </c>
      <c r="I1726" s="76"/>
      <c r="J1726" s="76"/>
      <c r="K1726" s="58" t="str">
        <f>IFERROR(VLOOKUP(L1726,'Raw material list'!$A$3:$C$715,3,0),"")</f>
        <v>PRD1-232</v>
      </c>
      <c r="L1726" s="59" t="s">
        <v>116</v>
      </c>
      <c r="M1726" s="80" t="s">
        <v>156</v>
      </c>
      <c r="N1726" s="40" t="str">
        <f>VLOOKUP(L1726,'Raw material list'!$A$3:$E$715,5,0)</f>
        <v xml:space="preserve">Gram </v>
      </c>
      <c r="O1726" s="80">
        <v>500</v>
      </c>
      <c r="P1726" s="299">
        <f t="shared" si="230"/>
        <v>694.44444444444446</v>
      </c>
      <c r="Q1726" s="105">
        <v>72</v>
      </c>
      <c r="R1726" s="80">
        <v>14</v>
      </c>
      <c r="S1726" s="80"/>
      <c r="T1726" s="105">
        <f t="shared" si="239"/>
        <v>35.714285714285715</v>
      </c>
      <c r="U1726" s="105">
        <f t="shared" si="231"/>
        <v>49.603174603174601</v>
      </c>
      <c r="V1726" s="104">
        <f>IFERROR(VLOOKUP(L1726,'Raw material list'!$A$2:$S$3102,6,0),0)</f>
        <v>4.4444444444444444E-3</v>
      </c>
      <c r="W1726" s="104">
        <f t="shared" si="232"/>
        <v>0.22045855379188711</v>
      </c>
    </row>
    <row r="1727" spans="1:23" hidden="1" x14ac:dyDescent="0.55000000000000004">
      <c r="A1727" s="76" t="str">
        <f t="shared" si="242"/>
        <v>RCP-SMC-000117</v>
      </c>
      <c r="B1727" s="58" t="s">
        <v>35</v>
      </c>
      <c r="C1727" s="58" t="s">
        <v>10</v>
      </c>
      <c r="D1727" s="76" t="s">
        <v>1628</v>
      </c>
      <c r="E1727" s="76" t="s">
        <v>1536</v>
      </c>
      <c r="F1727" s="76" t="s">
        <v>2079</v>
      </c>
      <c r="G1727" s="94" t="s">
        <v>1779</v>
      </c>
      <c r="H1727" s="106" t="s">
        <v>1773</v>
      </c>
      <c r="I1727" s="76"/>
      <c r="J1727" s="76"/>
      <c r="K1727" s="58" t="str">
        <f>IFERROR(VLOOKUP(L1727,'Raw material list'!$A$3:$C$715,3,0),"")</f>
        <v>TAP-00001</v>
      </c>
      <c r="L1727" s="59" t="s">
        <v>1405</v>
      </c>
      <c r="M1727" s="80" t="s">
        <v>206</v>
      </c>
      <c r="N1727" s="40" t="str">
        <f>VLOOKUP(L1727,'Raw material list'!$A$3:$E$715,5,0)</f>
        <v>Ml</v>
      </c>
      <c r="O1727" s="80">
        <v>2000</v>
      </c>
      <c r="P1727" s="299">
        <f t="shared" si="230"/>
        <v>2000</v>
      </c>
      <c r="Q1727" s="303">
        <v>100</v>
      </c>
      <c r="R1727" s="80">
        <v>14</v>
      </c>
      <c r="S1727" s="80"/>
      <c r="T1727" s="105">
        <f t="shared" si="239"/>
        <v>142.85714285714286</v>
      </c>
      <c r="U1727" s="105">
        <f t="shared" si="231"/>
        <v>142.85714285714286</v>
      </c>
      <c r="V1727" s="104">
        <f>IFERROR(VLOOKUP(L1727,'Raw material list'!$A$2:$S$3102,6,0),0)</f>
        <v>8.0000000000000007E-5</v>
      </c>
      <c r="W1727" s="104">
        <f t="shared" si="232"/>
        <v>1.142857142857143E-2</v>
      </c>
    </row>
    <row r="1728" spans="1:23" hidden="1" x14ac:dyDescent="0.55000000000000004">
      <c r="A1728" s="76" t="str">
        <f t="shared" si="242"/>
        <v>RCP-SMC-000117</v>
      </c>
      <c r="B1728" s="58" t="s">
        <v>35</v>
      </c>
      <c r="C1728" s="58" t="s">
        <v>10</v>
      </c>
      <c r="D1728" s="76" t="s">
        <v>1628</v>
      </c>
      <c r="E1728" s="76" t="s">
        <v>1536</v>
      </c>
      <c r="F1728" s="76" t="s">
        <v>2079</v>
      </c>
      <c r="G1728" s="94" t="s">
        <v>1779</v>
      </c>
      <c r="H1728" s="106" t="s">
        <v>1773</v>
      </c>
      <c r="I1728" s="76"/>
      <c r="J1728" s="76"/>
      <c r="K1728" s="58" t="str">
        <f>IFERROR(VLOOKUP(L1728,'Raw material list'!$A$3:$C$715,3,0),"")</f>
        <v>DRS6-309</v>
      </c>
      <c r="L1728" s="59" t="s">
        <v>61</v>
      </c>
      <c r="M1728" s="80" t="s">
        <v>156</v>
      </c>
      <c r="N1728" s="40" t="str">
        <f>VLOOKUP(L1728,'Raw material list'!$A$3:$E$715,5,0)</f>
        <v xml:space="preserve">Gram </v>
      </c>
      <c r="O1728" s="80">
        <v>2</v>
      </c>
      <c r="P1728" s="299">
        <f t="shared" si="230"/>
        <v>2</v>
      </c>
      <c r="Q1728" s="80">
        <v>100</v>
      </c>
      <c r="R1728" s="80">
        <v>14</v>
      </c>
      <c r="S1728" s="80"/>
      <c r="T1728" s="105">
        <f t="shared" si="239"/>
        <v>0.14285714285714285</v>
      </c>
      <c r="U1728" s="105">
        <f t="shared" si="231"/>
        <v>0.14285714285714285</v>
      </c>
      <c r="V1728" s="104">
        <f>IFERROR(VLOOKUP(L1728,'Raw material list'!$A$2:$S$3102,6,0),0)</f>
        <v>2.8000000000000001E-2</v>
      </c>
      <c r="W1728" s="104">
        <f t="shared" si="232"/>
        <v>4.0000000000000001E-3</v>
      </c>
    </row>
    <row r="1729" spans="1:23" hidden="1" x14ac:dyDescent="0.55000000000000004">
      <c r="A1729" s="76" t="str">
        <f t="shared" si="242"/>
        <v>RCP-SMC-000117</v>
      </c>
      <c r="B1729" s="58" t="s">
        <v>35</v>
      </c>
      <c r="C1729" s="58" t="s">
        <v>10</v>
      </c>
      <c r="D1729" s="76" t="s">
        <v>1628</v>
      </c>
      <c r="E1729" s="76" t="s">
        <v>1536</v>
      </c>
      <c r="F1729" s="76" t="s">
        <v>2079</v>
      </c>
      <c r="G1729" s="94" t="s">
        <v>1779</v>
      </c>
      <c r="H1729" s="106" t="s">
        <v>1773</v>
      </c>
      <c r="I1729" s="76"/>
      <c r="J1729" s="76"/>
      <c r="K1729" s="58" t="str">
        <f>IFERROR(VLOOKUP(L1729,'Raw material list'!$A$3:$C$715,3,0),"")</f>
        <v>DRS1-3880</v>
      </c>
      <c r="L1729" s="59" t="s">
        <v>1433</v>
      </c>
      <c r="M1729" s="80" t="s">
        <v>156</v>
      </c>
      <c r="N1729" s="40" t="str">
        <f>VLOOKUP(L1729,'Raw material list'!$A$3:$E$715,5,0)</f>
        <v xml:space="preserve">Gram </v>
      </c>
      <c r="O1729" s="80">
        <v>10</v>
      </c>
      <c r="P1729" s="299">
        <f t="shared" si="230"/>
        <v>10</v>
      </c>
      <c r="Q1729" s="80">
        <v>100</v>
      </c>
      <c r="R1729" s="80">
        <v>14</v>
      </c>
      <c r="S1729" s="80"/>
      <c r="T1729" s="105">
        <f t="shared" si="239"/>
        <v>0.7142857142857143</v>
      </c>
      <c r="U1729" s="105">
        <f t="shared" si="231"/>
        <v>0.7142857142857143</v>
      </c>
      <c r="V1729" s="104">
        <f>IFERROR(VLOOKUP(L1729,'Raw material list'!$A$2:$S$3102,6,0),0)</f>
        <v>5.0000000000000001E-4</v>
      </c>
      <c r="W1729" s="104">
        <f t="shared" si="232"/>
        <v>3.5714285714285714E-4</v>
      </c>
    </row>
    <row r="1730" spans="1:23" hidden="1" x14ac:dyDescent="0.55000000000000004">
      <c r="A1730" s="76" t="str">
        <f t="shared" si="242"/>
        <v>RCP-SMC-000117</v>
      </c>
      <c r="B1730" s="58" t="s">
        <v>35</v>
      </c>
      <c r="C1730" s="58" t="s">
        <v>10</v>
      </c>
      <c r="D1730" s="76" t="s">
        <v>1628</v>
      </c>
      <c r="E1730" s="76" t="s">
        <v>1536</v>
      </c>
      <c r="F1730" s="76" t="s">
        <v>2079</v>
      </c>
      <c r="G1730" s="94" t="s">
        <v>1779</v>
      </c>
      <c r="H1730" s="106" t="s">
        <v>1773</v>
      </c>
      <c r="I1730" s="76"/>
      <c r="J1730" s="76"/>
      <c r="K1730" s="58" t="str">
        <f>IFERROR(VLOOKUP(L1730,'Raw material list'!$A$3:$C$715,3,0),"")</f>
        <v>DRS1-4417</v>
      </c>
      <c r="L1730" s="59" t="s">
        <v>88</v>
      </c>
      <c r="M1730" s="80" t="s">
        <v>156</v>
      </c>
      <c r="N1730" s="40" t="str">
        <f>VLOOKUP(L1730,'Raw material list'!$A$3:$E$715,5,0)</f>
        <v xml:space="preserve">Gram </v>
      </c>
      <c r="O1730" s="80">
        <v>10</v>
      </c>
      <c r="P1730" s="299">
        <f t="shared" si="230"/>
        <v>10</v>
      </c>
      <c r="Q1730" s="80">
        <v>100</v>
      </c>
      <c r="R1730" s="80">
        <v>14</v>
      </c>
      <c r="S1730" s="80"/>
      <c r="T1730" s="105">
        <f t="shared" si="239"/>
        <v>0.7142857142857143</v>
      </c>
      <c r="U1730" s="105">
        <f t="shared" si="231"/>
        <v>0.7142857142857143</v>
      </c>
      <c r="V1730" s="104">
        <f>IFERROR(VLOOKUP(L1730,'Raw material list'!$A$2:$S$3102,6,0),0)</f>
        <v>3.6754545454545456E-2</v>
      </c>
      <c r="W1730" s="104">
        <f t="shared" si="232"/>
        <v>2.6253246753246754E-2</v>
      </c>
    </row>
    <row r="1731" spans="1:23" hidden="1" x14ac:dyDescent="0.55000000000000004">
      <c r="A1731" s="76" t="str">
        <f t="shared" si="242"/>
        <v>RCP-SMC-000117</v>
      </c>
      <c r="B1731" s="58" t="s">
        <v>35</v>
      </c>
      <c r="C1731" s="58" t="s">
        <v>10</v>
      </c>
      <c r="D1731" s="76" t="s">
        <v>1628</v>
      </c>
      <c r="E1731" s="76" t="s">
        <v>1536</v>
      </c>
      <c r="F1731" s="76" t="s">
        <v>2079</v>
      </c>
      <c r="G1731" s="94" t="s">
        <v>1779</v>
      </c>
      <c r="H1731" s="106" t="s">
        <v>1773</v>
      </c>
      <c r="I1731" s="76"/>
      <c r="J1731" s="76"/>
      <c r="K1731" s="58" t="str">
        <f>IFERROR(VLOOKUP(L1731,'Raw material list'!$A$3:$C$715,3,0),"")</f>
        <v>DRY2-1858</v>
      </c>
      <c r="L1731" s="59" t="s">
        <v>60</v>
      </c>
      <c r="M1731" s="80" t="s">
        <v>206</v>
      </c>
      <c r="N1731" s="40" t="str">
        <f>VLOOKUP(L1731,'Raw material list'!$A$3:$E$715,5,0)</f>
        <v>Ml</v>
      </c>
      <c r="O1731" s="80">
        <v>300</v>
      </c>
      <c r="P1731" s="299">
        <f t="shared" si="230"/>
        <v>300</v>
      </c>
      <c r="Q1731" s="80">
        <v>100</v>
      </c>
      <c r="R1731" s="80">
        <v>14</v>
      </c>
      <c r="S1731" s="80"/>
      <c r="T1731" s="105">
        <f t="shared" si="239"/>
        <v>21.428571428571427</v>
      </c>
      <c r="U1731" s="105">
        <f t="shared" si="231"/>
        <v>21.428571428571427</v>
      </c>
      <c r="V1731" s="104">
        <f>IFERROR(VLOOKUP(L1731,'Raw material list'!$A$2:$S$3102,6,0),0)</f>
        <v>9.8800000000000016E-3</v>
      </c>
      <c r="W1731" s="104">
        <f t="shared" si="232"/>
        <v>0.21171428571428574</v>
      </c>
    </row>
    <row r="1732" spans="1:23" hidden="1" x14ac:dyDescent="0.55000000000000004">
      <c r="A1732" s="76" t="str">
        <f t="shared" si="242"/>
        <v>RCP-SMC-000117</v>
      </c>
      <c r="B1732" s="58" t="s">
        <v>35</v>
      </c>
      <c r="C1732" s="58" t="s">
        <v>10</v>
      </c>
      <c r="D1732" s="76" t="s">
        <v>1628</v>
      </c>
      <c r="E1732" s="76" t="s">
        <v>1536</v>
      </c>
      <c r="F1732" s="76" t="s">
        <v>2079</v>
      </c>
      <c r="G1732" s="94" t="s">
        <v>1779</v>
      </c>
      <c r="H1732" s="106" t="s">
        <v>1773</v>
      </c>
      <c r="I1732" s="76"/>
      <c r="J1732" s="76"/>
      <c r="K1732" s="58" t="str">
        <f>IFERROR(VLOOKUP(L1732,'Raw material list'!$A$3:$C$715,3,0),"")</f>
        <v>PRD1-230</v>
      </c>
      <c r="L1732" s="59" t="s">
        <v>70</v>
      </c>
      <c r="M1732" s="80" t="s">
        <v>156</v>
      </c>
      <c r="N1732" s="40" t="str">
        <f>VLOOKUP(L1732,'Raw material list'!$A$3:$E$715,5,0)</f>
        <v xml:space="preserve">Gram </v>
      </c>
      <c r="O1732" s="80">
        <v>500</v>
      </c>
      <c r="P1732" s="299">
        <f t="shared" si="230"/>
        <v>674.76383265856953</v>
      </c>
      <c r="Q1732" s="105">
        <v>74.099999999999994</v>
      </c>
      <c r="R1732" s="80">
        <v>14</v>
      </c>
      <c r="S1732" s="80"/>
      <c r="T1732" s="105">
        <f t="shared" si="239"/>
        <v>35.714285714285715</v>
      </c>
      <c r="U1732" s="105">
        <f t="shared" si="231"/>
        <v>48.197416618469255</v>
      </c>
      <c r="V1732" s="104">
        <f>IFERROR(VLOOKUP(L1732,'Raw material list'!$A$2:$S$3102,6,0),0)</f>
        <v>3.3738191632928472E-3</v>
      </c>
      <c r="W1732" s="104">
        <f t="shared" si="232"/>
        <v>0.16260936780860072</v>
      </c>
    </row>
    <row r="1733" spans="1:23" hidden="1" x14ac:dyDescent="0.55000000000000004">
      <c r="A1733" s="76" t="s">
        <v>1662</v>
      </c>
      <c r="B1733" s="58" t="s">
        <v>35</v>
      </c>
      <c r="C1733" s="58" t="s">
        <v>10</v>
      </c>
      <c r="D1733" s="76" t="s">
        <v>1639</v>
      </c>
      <c r="E1733" s="76" t="s">
        <v>1536</v>
      </c>
      <c r="F1733" s="76" t="s">
        <v>2079</v>
      </c>
      <c r="G1733" s="94" t="s">
        <v>1779</v>
      </c>
      <c r="H1733" s="106" t="s">
        <v>1774</v>
      </c>
      <c r="I1733" s="76"/>
      <c r="J1733" s="76"/>
      <c r="K1733" s="58" t="str">
        <f>IFERROR(VLOOKUP(L1733,'Raw material list'!$A$3:$C$715,3,0),"")</f>
        <v>PRD1-4265</v>
      </c>
      <c r="L1733" s="59" t="s">
        <v>38</v>
      </c>
      <c r="M1733" s="80" t="s">
        <v>156</v>
      </c>
      <c r="N1733" s="40" t="str">
        <f>VLOOKUP(L1733,'Raw material list'!$A$3:$E$715,5,0)</f>
        <v xml:space="preserve">Gram </v>
      </c>
      <c r="O1733" s="80">
        <v>150</v>
      </c>
      <c r="P1733" s="299">
        <f t="shared" si="230"/>
        <v>176.47058823529412</v>
      </c>
      <c r="Q1733" s="105">
        <v>85</v>
      </c>
      <c r="R1733" s="80">
        <v>10</v>
      </c>
      <c r="S1733" s="80"/>
      <c r="T1733" s="105">
        <f t="shared" si="239"/>
        <v>15</v>
      </c>
      <c r="U1733" s="105">
        <f t="shared" si="231"/>
        <v>17.647058823529413</v>
      </c>
      <c r="V1733" s="104">
        <f>IFERROR(VLOOKUP(L1733,'Raw material list'!$A$2:$S$3102,6,0),0)</f>
        <v>3.529411764705882E-3</v>
      </c>
      <c r="W1733" s="104">
        <f t="shared" si="232"/>
        <v>6.228373702422145E-2</v>
      </c>
    </row>
    <row r="1734" spans="1:23" hidden="1" x14ac:dyDescent="0.55000000000000004">
      <c r="A1734" s="76" t="str">
        <f t="shared" ref="A1734:A1745" si="243">A1733</f>
        <v>RCP-SMC-000118</v>
      </c>
      <c r="B1734" s="58" t="s">
        <v>35</v>
      </c>
      <c r="C1734" s="58" t="s">
        <v>10</v>
      </c>
      <c r="D1734" s="76" t="str">
        <f t="shared" ref="D1734:D1745" si="244">D1733</f>
        <v>Turkish lentil soup</v>
      </c>
      <c r="E1734" s="76" t="s">
        <v>1536</v>
      </c>
      <c r="F1734" s="76" t="s">
        <v>2079</v>
      </c>
      <c r="G1734" s="94" t="s">
        <v>1779</v>
      </c>
      <c r="H1734" s="106" t="s">
        <v>1774</v>
      </c>
      <c r="I1734" s="76"/>
      <c r="J1734" s="76"/>
      <c r="K1734" s="58" t="str">
        <f>IFERROR(VLOOKUP(L1734,'Raw material list'!$A$3:$C$715,3,0),"")</f>
        <v>PRD1-4327</v>
      </c>
      <c r="L1734" s="59" t="s">
        <v>39</v>
      </c>
      <c r="M1734" s="80" t="s">
        <v>156</v>
      </c>
      <c r="N1734" s="40" t="str">
        <f>VLOOKUP(L1734,'Raw material list'!$A$3:$E$715,5,0)</f>
        <v xml:space="preserve">Gram </v>
      </c>
      <c r="O1734" s="80">
        <v>10</v>
      </c>
      <c r="P1734" s="299">
        <f t="shared" ref="P1734:P1797" si="245">O1734/Q1734*100</f>
        <v>12.048192771084338</v>
      </c>
      <c r="Q1734" s="105">
        <v>83</v>
      </c>
      <c r="R1734" s="80">
        <v>10</v>
      </c>
      <c r="S1734" s="80"/>
      <c r="T1734" s="105">
        <f t="shared" si="239"/>
        <v>1</v>
      </c>
      <c r="U1734" s="105">
        <f t="shared" ref="U1734:U1797" si="246">IFERROR(P1734/R1734,0)</f>
        <v>1.2048192771084338</v>
      </c>
      <c r="V1734" s="104">
        <f>IFERROR(VLOOKUP(L1734,'Raw material list'!$A$2:$S$3102,6,0),0)</f>
        <v>1.2999999999999999E-2</v>
      </c>
      <c r="W1734" s="104">
        <f t="shared" ref="W1734:W1797" si="247">IFERROR(V1734*U1734,0)</f>
        <v>1.566265060240964E-2</v>
      </c>
    </row>
    <row r="1735" spans="1:23" hidden="1" x14ac:dyDescent="0.55000000000000004">
      <c r="A1735" s="76" t="str">
        <f t="shared" si="243"/>
        <v>RCP-SMC-000118</v>
      </c>
      <c r="B1735" s="58" t="s">
        <v>35</v>
      </c>
      <c r="C1735" s="58" t="s">
        <v>10</v>
      </c>
      <c r="D1735" s="76" t="str">
        <f t="shared" si="244"/>
        <v>Turkish lentil soup</v>
      </c>
      <c r="E1735" s="76" t="s">
        <v>1536</v>
      </c>
      <c r="F1735" s="76" t="s">
        <v>2079</v>
      </c>
      <c r="G1735" s="94" t="s">
        <v>1779</v>
      </c>
      <c r="H1735" s="106" t="s">
        <v>1774</v>
      </c>
      <c r="I1735" s="76"/>
      <c r="J1735" s="76"/>
      <c r="K1735" s="58" t="str">
        <f>IFERROR(VLOOKUP(L1735,'Raw material list'!$A$3:$C$715,3,0),"")</f>
        <v>PRD1-186</v>
      </c>
      <c r="L1735" s="59" t="s">
        <v>37</v>
      </c>
      <c r="M1735" s="80" t="s">
        <v>156</v>
      </c>
      <c r="N1735" s="40" t="str">
        <f>VLOOKUP(L1735,'Raw material list'!$A$3:$E$715,5,0)</f>
        <v xml:space="preserve">Gram </v>
      </c>
      <c r="O1735" s="80">
        <v>75</v>
      </c>
      <c r="P1735" s="299">
        <f t="shared" si="245"/>
        <v>91.836734693877546</v>
      </c>
      <c r="Q1735" s="105">
        <v>81.666666666666671</v>
      </c>
      <c r="R1735" s="80">
        <v>10</v>
      </c>
      <c r="S1735" s="80"/>
      <c r="T1735" s="105">
        <f t="shared" si="239"/>
        <v>7.5</v>
      </c>
      <c r="U1735" s="105">
        <f t="shared" si="246"/>
        <v>9.1836734693877542</v>
      </c>
      <c r="V1735" s="104">
        <f>IFERROR(VLOOKUP(L1735,'Raw material list'!$A$2:$S$3102,6,0),0)</f>
        <v>5.8139534883720938E-3</v>
      </c>
      <c r="W1735" s="104">
        <f t="shared" si="247"/>
        <v>5.3393450403417184E-2</v>
      </c>
    </row>
    <row r="1736" spans="1:23" hidden="1" x14ac:dyDescent="0.55000000000000004">
      <c r="A1736" s="76" t="str">
        <f t="shared" si="243"/>
        <v>RCP-SMC-000118</v>
      </c>
      <c r="B1736" s="58" t="s">
        <v>35</v>
      </c>
      <c r="C1736" s="58" t="s">
        <v>10</v>
      </c>
      <c r="D1736" s="76" t="str">
        <f t="shared" si="244"/>
        <v>Turkish lentil soup</v>
      </c>
      <c r="E1736" s="76" t="s">
        <v>1536</v>
      </c>
      <c r="F1736" s="76" t="s">
        <v>2079</v>
      </c>
      <c r="G1736" s="94" t="s">
        <v>1779</v>
      </c>
      <c r="H1736" s="106" t="s">
        <v>1774</v>
      </c>
      <c r="I1736" s="76"/>
      <c r="J1736" s="76"/>
      <c r="K1736" s="58" t="str">
        <f>IFERROR(VLOOKUP(L1736,'Raw material list'!$A$3:$C$715,3,0),"")</f>
        <v>DRS4-50</v>
      </c>
      <c r="L1736" s="59" t="s">
        <v>497</v>
      </c>
      <c r="M1736" s="80" t="s">
        <v>156</v>
      </c>
      <c r="N1736" s="40" t="str">
        <f>VLOOKUP(L1736,'Raw material list'!$A$3:$E$715,5,0)</f>
        <v xml:space="preserve">Gram </v>
      </c>
      <c r="O1736" s="80">
        <v>350</v>
      </c>
      <c r="P1736" s="299">
        <f t="shared" si="245"/>
        <v>350</v>
      </c>
      <c r="Q1736" s="303">
        <v>100</v>
      </c>
      <c r="R1736" s="80">
        <v>10</v>
      </c>
      <c r="S1736" s="80"/>
      <c r="T1736" s="105">
        <f t="shared" si="239"/>
        <v>35</v>
      </c>
      <c r="U1736" s="105">
        <f t="shared" si="246"/>
        <v>35</v>
      </c>
      <c r="V1736" s="104">
        <f>IFERROR(VLOOKUP(L1736,'Raw material list'!$A$2:$S$3102,6,0),0)</f>
        <v>4.2666666666666669E-3</v>
      </c>
      <c r="W1736" s="104">
        <f t="shared" si="247"/>
        <v>0.14933333333333335</v>
      </c>
    </row>
    <row r="1737" spans="1:23" hidden="1" x14ac:dyDescent="0.55000000000000004">
      <c r="A1737" s="76" t="str">
        <f t="shared" si="243"/>
        <v>RCP-SMC-000118</v>
      </c>
      <c r="B1737" s="58" t="s">
        <v>35</v>
      </c>
      <c r="C1737" s="58" t="s">
        <v>10</v>
      </c>
      <c r="D1737" s="76" t="str">
        <f t="shared" si="244"/>
        <v>Turkish lentil soup</v>
      </c>
      <c r="E1737" s="76" t="s">
        <v>1536</v>
      </c>
      <c r="F1737" s="76" t="s">
        <v>2079</v>
      </c>
      <c r="G1737" s="94" t="s">
        <v>1779</v>
      </c>
      <c r="H1737" s="106" t="s">
        <v>1774</v>
      </c>
      <c r="I1737" s="76"/>
      <c r="J1737" s="76"/>
      <c r="K1737" s="58" t="str">
        <f>IFERROR(VLOOKUP(L1737,'Raw material list'!$A$3:$C$715,3,0),"")</f>
        <v>PRD1-230</v>
      </c>
      <c r="L1737" s="59" t="s">
        <v>70</v>
      </c>
      <c r="M1737" s="80" t="s">
        <v>156</v>
      </c>
      <c r="N1737" s="40" t="str">
        <f>VLOOKUP(L1737,'Raw material list'!$A$3:$E$715,5,0)</f>
        <v xml:space="preserve">Gram </v>
      </c>
      <c r="O1737" s="80">
        <v>200</v>
      </c>
      <c r="P1737" s="299">
        <f t="shared" si="245"/>
        <v>269.90553306342781</v>
      </c>
      <c r="Q1737" s="105">
        <v>74.099999999999994</v>
      </c>
      <c r="R1737" s="80">
        <v>10</v>
      </c>
      <c r="S1737" s="80"/>
      <c r="T1737" s="105">
        <f t="shared" si="239"/>
        <v>20</v>
      </c>
      <c r="U1737" s="105">
        <f t="shared" si="246"/>
        <v>26.990553306342782</v>
      </c>
      <c r="V1737" s="104">
        <f>IFERROR(VLOOKUP(L1737,'Raw material list'!$A$2:$S$3102,6,0),0)</f>
        <v>3.3738191632928472E-3</v>
      </c>
      <c r="W1737" s="104">
        <f t="shared" si="247"/>
        <v>9.1061245972816396E-2</v>
      </c>
    </row>
    <row r="1738" spans="1:23" hidden="1" x14ac:dyDescent="0.55000000000000004">
      <c r="A1738" s="76" t="str">
        <f t="shared" si="243"/>
        <v>RCP-SMC-000118</v>
      </c>
      <c r="B1738" s="58" t="s">
        <v>35</v>
      </c>
      <c r="C1738" s="58" t="s">
        <v>10</v>
      </c>
      <c r="D1738" s="76" t="str">
        <f t="shared" si="244"/>
        <v>Turkish lentil soup</v>
      </c>
      <c r="E1738" s="76" t="s">
        <v>1536</v>
      </c>
      <c r="F1738" s="76" t="s">
        <v>2079</v>
      </c>
      <c r="G1738" s="94" t="s">
        <v>1779</v>
      </c>
      <c r="H1738" s="106" t="s">
        <v>1774</v>
      </c>
      <c r="I1738" s="76"/>
      <c r="J1738" s="76"/>
      <c r="K1738" s="58" t="str">
        <f>IFERROR(VLOOKUP(L1738,'Raw material list'!$A$3:$C$715,3,0),"")</f>
        <v>PRD1-572</v>
      </c>
      <c r="L1738" s="59" t="s">
        <v>54</v>
      </c>
      <c r="M1738" s="80" t="s">
        <v>156</v>
      </c>
      <c r="N1738" s="40" t="str">
        <f>VLOOKUP(L1738,'Raw material list'!$A$3:$E$715,5,0)</f>
        <v xml:space="preserve">Gram </v>
      </c>
      <c r="O1738" s="80">
        <v>200</v>
      </c>
      <c r="P1738" s="299">
        <f t="shared" si="245"/>
        <v>226.67170381564031</v>
      </c>
      <c r="Q1738" s="105">
        <v>88.233333333333348</v>
      </c>
      <c r="R1738" s="80">
        <v>10</v>
      </c>
      <c r="S1738" s="80"/>
      <c r="T1738" s="105">
        <f t="shared" si="239"/>
        <v>20</v>
      </c>
      <c r="U1738" s="105">
        <f t="shared" si="246"/>
        <v>22.667170381564031</v>
      </c>
      <c r="V1738" s="104">
        <f>IFERROR(VLOOKUP(L1738,'Raw material list'!$A$2:$S$3102,6,0),0)</f>
        <v>4.5351473922902496E-3</v>
      </c>
      <c r="W1738" s="104">
        <f t="shared" si="247"/>
        <v>0.10279895864654889</v>
      </c>
    </row>
    <row r="1739" spans="1:23" hidden="1" x14ac:dyDescent="0.55000000000000004">
      <c r="A1739" s="76" t="str">
        <f t="shared" si="243"/>
        <v>RCP-SMC-000118</v>
      </c>
      <c r="B1739" s="58" t="s">
        <v>35</v>
      </c>
      <c r="C1739" s="58" t="s">
        <v>10</v>
      </c>
      <c r="D1739" s="76" t="str">
        <f t="shared" si="244"/>
        <v>Turkish lentil soup</v>
      </c>
      <c r="E1739" s="76" t="s">
        <v>1536</v>
      </c>
      <c r="F1739" s="76" t="s">
        <v>2079</v>
      </c>
      <c r="G1739" s="94" t="s">
        <v>1779</v>
      </c>
      <c r="H1739" s="106" t="s">
        <v>1774</v>
      </c>
      <c r="I1739" s="76"/>
      <c r="J1739" s="76"/>
      <c r="K1739" s="58" t="str">
        <f>IFERROR(VLOOKUP(L1739,'Raw material list'!$A$3:$C$715,3,0),"")</f>
        <v>DRS6-1674</v>
      </c>
      <c r="L1739" s="59" t="s">
        <v>73</v>
      </c>
      <c r="M1739" s="80" t="s">
        <v>156</v>
      </c>
      <c r="N1739" s="40" t="str">
        <f>VLOOKUP(L1739,'Raw material list'!$A$3:$E$715,5,0)</f>
        <v xml:space="preserve">Gram </v>
      </c>
      <c r="O1739" s="80">
        <v>1</v>
      </c>
      <c r="P1739" s="299">
        <f t="shared" si="245"/>
        <v>1</v>
      </c>
      <c r="Q1739" s="303">
        <v>100</v>
      </c>
      <c r="R1739" s="80">
        <v>10</v>
      </c>
      <c r="S1739" s="80"/>
      <c r="T1739" s="105">
        <f t="shared" si="239"/>
        <v>0.1</v>
      </c>
      <c r="U1739" s="105">
        <f t="shared" si="246"/>
        <v>0.1</v>
      </c>
      <c r="V1739" s="104">
        <f>IFERROR(VLOOKUP(L1739,'Raw material list'!$A$2:$S$3102,6,0),0)</f>
        <v>1.2500000000000001E-2</v>
      </c>
      <c r="W1739" s="104">
        <f t="shared" si="247"/>
        <v>1.2500000000000002E-3</v>
      </c>
    </row>
    <row r="1740" spans="1:23" hidden="1" x14ac:dyDescent="0.55000000000000004">
      <c r="A1740" s="76" t="str">
        <f t="shared" si="243"/>
        <v>RCP-SMC-000118</v>
      </c>
      <c r="B1740" s="58" t="s">
        <v>35</v>
      </c>
      <c r="C1740" s="58" t="s">
        <v>10</v>
      </c>
      <c r="D1740" s="76" t="str">
        <f t="shared" si="244"/>
        <v>Turkish lentil soup</v>
      </c>
      <c r="E1740" s="76" t="s">
        <v>1536</v>
      </c>
      <c r="F1740" s="76" t="s">
        <v>2079</v>
      </c>
      <c r="G1740" s="94" t="s">
        <v>1779</v>
      </c>
      <c r="H1740" s="106" t="s">
        <v>1774</v>
      </c>
      <c r="I1740" s="76"/>
      <c r="J1740" s="76"/>
      <c r="K1740" s="58" t="str">
        <f>IFERROR(VLOOKUP(L1740,'Raw material list'!$A$3:$C$715,3,0),"")</f>
        <v>DRS6-309</v>
      </c>
      <c r="L1740" s="59" t="s">
        <v>61</v>
      </c>
      <c r="M1740" s="80" t="s">
        <v>156</v>
      </c>
      <c r="N1740" s="40" t="str">
        <f>VLOOKUP(L1740,'Raw material list'!$A$3:$E$715,5,0)</f>
        <v xml:space="preserve">Gram </v>
      </c>
      <c r="O1740" s="80">
        <v>1</v>
      </c>
      <c r="P1740" s="299">
        <f t="shared" si="245"/>
        <v>1</v>
      </c>
      <c r="Q1740" s="80">
        <v>100</v>
      </c>
      <c r="R1740" s="80">
        <v>10</v>
      </c>
      <c r="S1740" s="80"/>
      <c r="T1740" s="105">
        <f t="shared" si="239"/>
        <v>0.1</v>
      </c>
      <c r="U1740" s="105">
        <f t="shared" si="246"/>
        <v>0.1</v>
      </c>
      <c r="V1740" s="104">
        <f>IFERROR(VLOOKUP(L1740,'Raw material list'!$A$2:$S$3102,6,0),0)</f>
        <v>2.8000000000000001E-2</v>
      </c>
      <c r="W1740" s="104">
        <f t="shared" si="247"/>
        <v>2.8000000000000004E-3</v>
      </c>
    </row>
    <row r="1741" spans="1:23" hidden="1" x14ac:dyDescent="0.55000000000000004">
      <c r="A1741" s="76" t="str">
        <f t="shared" si="243"/>
        <v>RCP-SMC-000118</v>
      </c>
      <c r="B1741" s="58" t="s">
        <v>35</v>
      </c>
      <c r="C1741" s="58" t="s">
        <v>10</v>
      </c>
      <c r="D1741" s="76" t="str">
        <f t="shared" si="244"/>
        <v>Turkish lentil soup</v>
      </c>
      <c r="E1741" s="76" t="s">
        <v>1536</v>
      </c>
      <c r="F1741" s="76" t="s">
        <v>2079</v>
      </c>
      <c r="G1741" s="94" t="s">
        <v>1779</v>
      </c>
      <c r="H1741" s="106" t="s">
        <v>1774</v>
      </c>
      <c r="I1741" s="76"/>
      <c r="J1741" s="76"/>
      <c r="K1741" s="58" t="str">
        <f>IFERROR(VLOOKUP(L1741,'Raw material list'!$A$3:$C$715,3,0),"")</f>
        <v>DRS1-3880</v>
      </c>
      <c r="L1741" s="59" t="s">
        <v>1433</v>
      </c>
      <c r="M1741" s="80" t="s">
        <v>156</v>
      </c>
      <c r="N1741" s="40" t="str">
        <f>VLOOKUP(L1741,'Raw material list'!$A$3:$E$715,5,0)</f>
        <v xml:space="preserve">Gram </v>
      </c>
      <c r="O1741" s="80">
        <v>10</v>
      </c>
      <c r="P1741" s="299">
        <f t="shared" si="245"/>
        <v>10</v>
      </c>
      <c r="Q1741" s="80">
        <v>100</v>
      </c>
      <c r="R1741" s="80">
        <v>10</v>
      </c>
      <c r="S1741" s="80"/>
      <c r="T1741" s="105">
        <f t="shared" si="239"/>
        <v>1</v>
      </c>
      <c r="U1741" s="105">
        <f t="shared" si="246"/>
        <v>1</v>
      </c>
      <c r="V1741" s="104">
        <f>IFERROR(VLOOKUP(L1741,'Raw material list'!$A$2:$S$3102,6,0),0)</f>
        <v>5.0000000000000001E-4</v>
      </c>
      <c r="W1741" s="104">
        <f t="shared" si="247"/>
        <v>5.0000000000000001E-4</v>
      </c>
    </row>
    <row r="1742" spans="1:23" hidden="1" x14ac:dyDescent="0.55000000000000004">
      <c r="A1742" s="76" t="str">
        <f t="shared" si="243"/>
        <v>RCP-SMC-000118</v>
      </c>
      <c r="B1742" s="58" t="s">
        <v>35</v>
      </c>
      <c r="C1742" s="58" t="s">
        <v>10</v>
      </c>
      <c r="D1742" s="76" t="str">
        <f t="shared" si="244"/>
        <v>Turkish lentil soup</v>
      </c>
      <c r="E1742" s="76" t="s">
        <v>1536</v>
      </c>
      <c r="F1742" s="76" t="s">
        <v>2079</v>
      </c>
      <c r="G1742" s="94" t="s">
        <v>1779</v>
      </c>
      <c r="H1742" s="106" t="s">
        <v>1774</v>
      </c>
      <c r="I1742" s="76"/>
      <c r="J1742" s="76"/>
      <c r="K1742" s="58" t="str">
        <f>IFERROR(VLOOKUP(L1742,'Raw material list'!$A$3:$C$715,3,0),"")</f>
        <v>DRS6-733</v>
      </c>
      <c r="L1742" s="59" t="s">
        <v>45</v>
      </c>
      <c r="M1742" s="80" t="s">
        <v>156</v>
      </c>
      <c r="N1742" s="40" t="str">
        <f>VLOOKUP(L1742,'Raw material list'!$A$3:$E$715,5,0)</f>
        <v xml:space="preserve">Gram </v>
      </c>
      <c r="O1742" s="80">
        <v>6</v>
      </c>
      <c r="P1742" s="299">
        <f t="shared" si="245"/>
        <v>6</v>
      </c>
      <c r="Q1742" s="80">
        <v>100</v>
      </c>
      <c r="R1742" s="80">
        <v>10</v>
      </c>
      <c r="S1742" s="80"/>
      <c r="T1742" s="105">
        <f t="shared" si="239"/>
        <v>0.6</v>
      </c>
      <c r="U1742" s="105">
        <f t="shared" si="246"/>
        <v>0.6</v>
      </c>
      <c r="V1742" s="104">
        <f>IFERROR(VLOOKUP(L1742,'Raw material list'!$A$2:$S$3102,6,0),0)</f>
        <v>2.8000000000000001E-2</v>
      </c>
      <c r="W1742" s="104">
        <f t="shared" si="247"/>
        <v>1.6799999999999999E-2</v>
      </c>
    </row>
    <row r="1743" spans="1:23" hidden="1" x14ac:dyDescent="0.55000000000000004">
      <c r="A1743" s="76" t="str">
        <f t="shared" si="243"/>
        <v>RCP-SMC-000118</v>
      </c>
      <c r="B1743" s="58" t="s">
        <v>35</v>
      </c>
      <c r="C1743" s="58" t="s">
        <v>10</v>
      </c>
      <c r="D1743" s="76" t="str">
        <f t="shared" si="244"/>
        <v>Turkish lentil soup</v>
      </c>
      <c r="E1743" s="76" t="s">
        <v>1536</v>
      </c>
      <c r="F1743" s="76" t="s">
        <v>2079</v>
      </c>
      <c r="G1743" s="94" t="s">
        <v>1779</v>
      </c>
      <c r="H1743" s="106" t="s">
        <v>1774</v>
      </c>
      <c r="I1743" s="76"/>
      <c r="J1743" s="76"/>
      <c r="K1743" s="58" t="str">
        <f>IFERROR(VLOOKUP(L1743,'Raw material list'!$A$3:$C$715,3,0),"")</f>
        <v>TAP-00001</v>
      </c>
      <c r="L1743" s="59" t="s">
        <v>1405</v>
      </c>
      <c r="M1743" s="80" t="s">
        <v>206</v>
      </c>
      <c r="N1743" s="40" t="str">
        <f>VLOOKUP(L1743,'Raw material list'!$A$3:$E$715,5,0)</f>
        <v>Ml</v>
      </c>
      <c r="O1743" s="80">
        <v>2200</v>
      </c>
      <c r="P1743" s="299">
        <f t="shared" si="245"/>
        <v>2200</v>
      </c>
      <c r="Q1743" s="80">
        <v>100</v>
      </c>
      <c r="R1743" s="80">
        <v>10</v>
      </c>
      <c r="S1743" s="80"/>
      <c r="T1743" s="105">
        <f t="shared" si="239"/>
        <v>220</v>
      </c>
      <c r="U1743" s="105">
        <f t="shared" si="246"/>
        <v>220</v>
      </c>
      <c r="V1743" s="104">
        <f>IFERROR(VLOOKUP(L1743,'Raw material list'!$A$2:$S$3102,6,0),0)</f>
        <v>8.0000000000000007E-5</v>
      </c>
      <c r="W1743" s="104">
        <f t="shared" si="247"/>
        <v>1.7600000000000001E-2</v>
      </c>
    </row>
    <row r="1744" spans="1:23" hidden="1" x14ac:dyDescent="0.55000000000000004">
      <c r="A1744" s="76" t="str">
        <f t="shared" si="243"/>
        <v>RCP-SMC-000118</v>
      </c>
      <c r="B1744" s="58" t="s">
        <v>35</v>
      </c>
      <c r="C1744" s="58" t="s">
        <v>10</v>
      </c>
      <c r="D1744" s="76" t="str">
        <f t="shared" si="244"/>
        <v>Turkish lentil soup</v>
      </c>
      <c r="E1744" s="76" t="s">
        <v>1536</v>
      </c>
      <c r="F1744" s="76" t="s">
        <v>2079</v>
      </c>
      <c r="G1744" s="94" t="s">
        <v>1779</v>
      </c>
      <c r="H1744" s="106" t="s">
        <v>1774</v>
      </c>
      <c r="I1744" s="76"/>
      <c r="J1744" s="76"/>
      <c r="K1744" s="58" t="str">
        <f>IFERROR(VLOOKUP(L1744,'Raw material list'!$A$3:$C$715,3,0),"")</f>
        <v>DRS3-1813</v>
      </c>
      <c r="L1744" s="59" t="s">
        <v>69</v>
      </c>
      <c r="M1744" s="80" t="s">
        <v>206</v>
      </c>
      <c r="N1744" s="40" t="str">
        <f>VLOOKUP(L1744,'Raw material list'!$A$3:$E$715,5,0)</f>
        <v>Ml</v>
      </c>
      <c r="O1744" s="80">
        <v>40</v>
      </c>
      <c r="P1744" s="299">
        <f t="shared" si="245"/>
        <v>40</v>
      </c>
      <c r="Q1744" s="80">
        <v>100</v>
      </c>
      <c r="R1744" s="80">
        <v>10</v>
      </c>
      <c r="S1744" s="80"/>
      <c r="T1744" s="105">
        <f t="shared" si="239"/>
        <v>4</v>
      </c>
      <c r="U1744" s="105">
        <f t="shared" si="246"/>
        <v>4</v>
      </c>
      <c r="V1744" s="104">
        <f>IFERROR(VLOOKUP(L1744,'Raw material list'!$A$2:$S$3102,6,0),0)</f>
        <v>8.0555555555555554E-3</v>
      </c>
      <c r="W1744" s="104">
        <f t="shared" si="247"/>
        <v>3.2222222222222222E-2</v>
      </c>
    </row>
    <row r="1745" spans="1:23" hidden="1" x14ac:dyDescent="0.55000000000000004">
      <c r="A1745" s="76" t="str">
        <f t="shared" si="243"/>
        <v>RCP-SMC-000118</v>
      </c>
      <c r="B1745" s="58" t="s">
        <v>35</v>
      </c>
      <c r="C1745" s="58" t="s">
        <v>10</v>
      </c>
      <c r="D1745" s="76" t="str">
        <f t="shared" si="244"/>
        <v>Turkish lentil soup</v>
      </c>
      <c r="E1745" s="76" t="s">
        <v>1536</v>
      </c>
      <c r="F1745" s="76" t="s">
        <v>2079</v>
      </c>
      <c r="G1745" s="94" t="s">
        <v>1779</v>
      </c>
      <c r="H1745" s="106" t="s">
        <v>1774</v>
      </c>
      <c r="I1745" s="76"/>
      <c r="J1745" s="76"/>
      <c r="K1745" s="58" t="str">
        <f>IFERROR(VLOOKUP(L1745,'Raw material list'!$A$3:$C$715,3,0),"")</f>
        <v>DRS1-1747</v>
      </c>
      <c r="L1745" s="59" t="s">
        <v>44</v>
      </c>
      <c r="M1745" s="80" t="s">
        <v>156</v>
      </c>
      <c r="N1745" s="40" t="str">
        <f>VLOOKUP(L1745,'Raw material list'!$A$3:$E$715,5,0)</f>
        <v xml:space="preserve">Gram </v>
      </c>
      <c r="O1745" s="80">
        <v>40</v>
      </c>
      <c r="P1745" s="299">
        <f t="shared" si="245"/>
        <v>40</v>
      </c>
      <c r="Q1745" s="80">
        <v>100</v>
      </c>
      <c r="R1745" s="80">
        <v>10</v>
      </c>
      <c r="S1745" s="80"/>
      <c r="T1745" s="105">
        <f t="shared" si="239"/>
        <v>4</v>
      </c>
      <c r="U1745" s="105">
        <f t="shared" si="246"/>
        <v>4</v>
      </c>
      <c r="V1745" s="104">
        <f>IFERROR(VLOOKUP(L1745,'Raw material list'!$A$2:$S$3102,6,0),0)</f>
        <v>5.185185185185185E-3</v>
      </c>
      <c r="W1745" s="104">
        <f t="shared" si="247"/>
        <v>2.074074074074074E-2</v>
      </c>
    </row>
    <row r="1746" spans="1:23" hidden="1" x14ac:dyDescent="0.55000000000000004">
      <c r="A1746" s="76" t="s">
        <v>1663</v>
      </c>
      <c r="B1746" s="58" t="s">
        <v>35</v>
      </c>
      <c r="C1746" s="58" t="s">
        <v>10</v>
      </c>
      <c r="D1746" s="76" t="s">
        <v>1640</v>
      </c>
      <c r="E1746" s="76" t="s">
        <v>1536</v>
      </c>
      <c r="F1746" s="76" t="s">
        <v>2079</v>
      </c>
      <c r="G1746" s="94" t="s">
        <v>1779</v>
      </c>
      <c r="H1746" s="106" t="s">
        <v>1774</v>
      </c>
      <c r="I1746" s="76"/>
      <c r="J1746" s="76"/>
      <c r="K1746" s="58" t="str">
        <f>IFERROR(VLOOKUP(L1746,'Raw material list'!$A$3:$C$715,3,0),"")</f>
        <v>DRY2-1008</v>
      </c>
      <c r="L1746" s="59" t="s">
        <v>57</v>
      </c>
      <c r="M1746" s="80" t="s">
        <v>156</v>
      </c>
      <c r="N1746" s="40" t="str">
        <f>VLOOKUP(L1746,'Raw material list'!$A$3:$E$715,5,0)</f>
        <v xml:space="preserve">Gram </v>
      </c>
      <c r="O1746" s="80">
        <v>25</v>
      </c>
      <c r="P1746" s="299">
        <f t="shared" si="245"/>
        <v>25</v>
      </c>
      <c r="Q1746" s="80">
        <v>100</v>
      </c>
      <c r="R1746" s="80">
        <v>14</v>
      </c>
      <c r="S1746" s="80"/>
      <c r="T1746" s="105">
        <f t="shared" si="239"/>
        <v>1.7857142857142858</v>
      </c>
      <c r="U1746" s="105">
        <f t="shared" si="246"/>
        <v>1.7857142857142858</v>
      </c>
      <c r="V1746" s="104">
        <f>IFERROR(VLOOKUP(L1746,'Raw material list'!$A$2:$S$3102,6,0),0)</f>
        <v>0.03</v>
      </c>
      <c r="W1746" s="104">
        <f t="shared" si="247"/>
        <v>5.3571428571428575E-2</v>
      </c>
    </row>
    <row r="1747" spans="1:23" hidden="1" x14ac:dyDescent="0.55000000000000004">
      <c r="A1747" s="76" t="str">
        <f t="shared" ref="A1747:A1757" si="248">A1746</f>
        <v>RCP-SMC-000119</v>
      </c>
      <c r="B1747" s="58" t="s">
        <v>35</v>
      </c>
      <c r="C1747" s="58" t="s">
        <v>10</v>
      </c>
      <c r="D1747" s="76" t="str">
        <f t="shared" ref="D1747:D1757" si="249">D1746</f>
        <v>Strained Cream Of Chicken soup</v>
      </c>
      <c r="E1747" s="76" t="s">
        <v>1536</v>
      </c>
      <c r="F1747" s="76" t="s">
        <v>2079</v>
      </c>
      <c r="G1747" s="94" t="s">
        <v>1779</v>
      </c>
      <c r="H1747" s="106" t="s">
        <v>1774</v>
      </c>
      <c r="I1747" s="76"/>
      <c r="J1747" s="76"/>
      <c r="K1747" s="58" t="str">
        <f>IFERROR(VLOOKUP(L1747,'Raw material list'!$A$3:$C$715,3,0),"")</f>
        <v>PRD1-4265</v>
      </c>
      <c r="L1747" s="59" t="s">
        <v>38</v>
      </c>
      <c r="M1747" s="80" t="s">
        <v>156</v>
      </c>
      <c r="N1747" s="40" t="str">
        <f>VLOOKUP(L1747,'Raw material list'!$A$3:$E$715,5,0)</f>
        <v xml:space="preserve">Gram </v>
      </c>
      <c r="O1747" s="80">
        <v>100</v>
      </c>
      <c r="P1747" s="299">
        <f t="shared" si="245"/>
        <v>117.64705882352942</v>
      </c>
      <c r="Q1747" s="105">
        <v>85</v>
      </c>
      <c r="R1747" s="80">
        <v>14</v>
      </c>
      <c r="S1747" s="80"/>
      <c r="T1747" s="105">
        <f t="shared" si="239"/>
        <v>7.1428571428571432</v>
      </c>
      <c r="U1747" s="105">
        <f t="shared" si="246"/>
        <v>8.4033613445378155</v>
      </c>
      <c r="V1747" s="104">
        <f>IFERROR(VLOOKUP(L1747,'Raw material list'!$A$2:$S$3102,6,0),0)</f>
        <v>3.529411764705882E-3</v>
      </c>
      <c r="W1747" s="104">
        <f t="shared" si="247"/>
        <v>2.9658922392486405E-2</v>
      </c>
    </row>
    <row r="1748" spans="1:23" hidden="1" x14ac:dyDescent="0.55000000000000004">
      <c r="A1748" s="76" t="str">
        <f t="shared" si="248"/>
        <v>RCP-SMC-000119</v>
      </c>
      <c r="B1748" s="58" t="s">
        <v>35</v>
      </c>
      <c r="C1748" s="58" t="s">
        <v>10</v>
      </c>
      <c r="D1748" s="76" t="str">
        <f t="shared" si="249"/>
        <v>Strained Cream Of Chicken soup</v>
      </c>
      <c r="E1748" s="76" t="s">
        <v>1536</v>
      </c>
      <c r="F1748" s="76" t="s">
        <v>2079</v>
      </c>
      <c r="G1748" s="94" t="s">
        <v>1779</v>
      </c>
      <c r="H1748" s="106" t="s">
        <v>1774</v>
      </c>
      <c r="I1748" s="76"/>
      <c r="J1748" s="76"/>
      <c r="K1748" s="58" t="str">
        <f>IFERROR(VLOOKUP(L1748,'Raw material list'!$A$3:$C$715,3,0),"")</f>
        <v>PRD1-4327</v>
      </c>
      <c r="L1748" s="59" t="s">
        <v>39</v>
      </c>
      <c r="M1748" s="80" t="s">
        <v>156</v>
      </c>
      <c r="N1748" s="40" t="str">
        <f>VLOOKUP(L1748,'Raw material list'!$A$3:$E$715,5,0)</f>
        <v xml:space="preserve">Gram </v>
      </c>
      <c r="O1748" s="80">
        <v>15</v>
      </c>
      <c r="P1748" s="299">
        <f t="shared" si="245"/>
        <v>18.072289156626507</v>
      </c>
      <c r="Q1748" s="105">
        <v>83</v>
      </c>
      <c r="R1748" s="80">
        <v>14</v>
      </c>
      <c r="S1748" s="80"/>
      <c r="T1748" s="105">
        <f t="shared" si="239"/>
        <v>1.0714285714285714</v>
      </c>
      <c r="U1748" s="105">
        <f t="shared" si="246"/>
        <v>1.2908777969018934</v>
      </c>
      <c r="V1748" s="104">
        <f>IFERROR(VLOOKUP(L1748,'Raw material list'!$A$2:$S$3102,6,0),0)</f>
        <v>1.2999999999999999E-2</v>
      </c>
      <c r="W1748" s="104">
        <f t="shared" si="247"/>
        <v>1.6781411359724614E-2</v>
      </c>
    </row>
    <row r="1749" spans="1:23" hidden="1" x14ac:dyDescent="0.55000000000000004">
      <c r="A1749" s="76" t="str">
        <f t="shared" si="248"/>
        <v>RCP-SMC-000119</v>
      </c>
      <c r="B1749" s="58" t="s">
        <v>35</v>
      </c>
      <c r="C1749" s="58" t="s">
        <v>10</v>
      </c>
      <c r="D1749" s="76" t="str">
        <f t="shared" si="249"/>
        <v>Strained Cream Of Chicken soup</v>
      </c>
      <c r="E1749" s="76" t="s">
        <v>1536</v>
      </c>
      <c r="F1749" s="76" t="s">
        <v>2079</v>
      </c>
      <c r="G1749" s="94" t="s">
        <v>1779</v>
      </c>
      <c r="H1749" s="106" t="s">
        <v>1774</v>
      </c>
      <c r="I1749" s="76"/>
      <c r="J1749" s="76"/>
      <c r="K1749" s="58" t="str">
        <f>IFERROR(VLOOKUP(L1749,'Raw material list'!$A$3:$C$715,3,0),"")</f>
        <v>PRD1-186</v>
      </c>
      <c r="L1749" s="59" t="s">
        <v>37</v>
      </c>
      <c r="M1749" s="80" t="s">
        <v>156</v>
      </c>
      <c r="N1749" s="40" t="str">
        <f>VLOOKUP(L1749,'Raw material list'!$A$3:$E$715,5,0)</f>
        <v xml:space="preserve">Gram </v>
      </c>
      <c r="O1749" s="80">
        <v>150</v>
      </c>
      <c r="P1749" s="299">
        <f t="shared" si="245"/>
        <v>183.67346938775509</v>
      </c>
      <c r="Q1749" s="105">
        <v>81.666666666666671</v>
      </c>
      <c r="R1749" s="80">
        <v>14</v>
      </c>
      <c r="S1749" s="80"/>
      <c r="T1749" s="105">
        <f t="shared" si="239"/>
        <v>10.714285714285714</v>
      </c>
      <c r="U1749" s="105">
        <f t="shared" si="246"/>
        <v>13.119533527696792</v>
      </c>
      <c r="V1749" s="104">
        <f>IFERROR(VLOOKUP(L1749,'Raw material list'!$A$2:$S$3102,6,0),0)</f>
        <v>5.8139534883720938E-3</v>
      </c>
      <c r="W1749" s="104">
        <f t="shared" si="247"/>
        <v>7.6276357719167409E-2</v>
      </c>
    </row>
    <row r="1750" spans="1:23" hidden="1" x14ac:dyDescent="0.55000000000000004">
      <c r="A1750" s="76" t="str">
        <f t="shared" si="248"/>
        <v>RCP-SMC-000119</v>
      </c>
      <c r="B1750" s="58" t="s">
        <v>35</v>
      </c>
      <c r="C1750" s="58" t="s">
        <v>10</v>
      </c>
      <c r="D1750" s="76" t="str">
        <f t="shared" si="249"/>
        <v>Strained Cream Of Chicken soup</v>
      </c>
      <c r="E1750" s="76" t="s">
        <v>1536</v>
      </c>
      <c r="F1750" s="76" t="s">
        <v>2078</v>
      </c>
      <c r="G1750" s="94" t="s">
        <v>1779</v>
      </c>
      <c r="H1750" s="106" t="s">
        <v>1774</v>
      </c>
      <c r="I1750" s="76"/>
      <c r="J1750" s="76"/>
      <c r="K1750" s="58" t="str">
        <f>IFERROR(VLOOKUP(L1750,'Raw material list'!$A$3:$C$715,3,0),"")</f>
        <v>PLT2-3278</v>
      </c>
      <c r="L1750" s="59" t="s">
        <v>80</v>
      </c>
      <c r="M1750" s="80" t="s">
        <v>156</v>
      </c>
      <c r="N1750" s="40" t="str">
        <f>VLOOKUP(L1750,'Raw material list'!$A$3:$E$715,5,0)</f>
        <v xml:space="preserve">Gram </v>
      </c>
      <c r="O1750" s="80">
        <v>250</v>
      </c>
      <c r="P1750" s="299">
        <f t="shared" si="245"/>
        <v>328.08398950131232</v>
      </c>
      <c r="Q1750" s="303">
        <v>76.2</v>
      </c>
      <c r="R1750" s="80">
        <v>14</v>
      </c>
      <c r="S1750" s="80"/>
      <c r="T1750" s="105">
        <f t="shared" si="239"/>
        <v>17.857142857142858</v>
      </c>
      <c r="U1750" s="105">
        <f t="shared" si="246"/>
        <v>23.434570678665164</v>
      </c>
      <c r="V1750" s="104">
        <f>IFERROR(VLOOKUP(L1750,'Raw material list'!$A$2:$S$3102,6,0),0)</f>
        <v>3.0357142857142853E-2</v>
      </c>
      <c r="W1750" s="104">
        <f t="shared" si="247"/>
        <v>0.71140660988804949</v>
      </c>
    </row>
    <row r="1751" spans="1:23" hidden="1" x14ac:dyDescent="0.55000000000000004">
      <c r="A1751" s="76" t="str">
        <f t="shared" si="248"/>
        <v>RCP-SMC-000119</v>
      </c>
      <c r="B1751" s="58" t="s">
        <v>35</v>
      </c>
      <c r="C1751" s="58" t="s">
        <v>10</v>
      </c>
      <c r="D1751" s="76" t="str">
        <f t="shared" si="249"/>
        <v>Strained Cream Of Chicken soup</v>
      </c>
      <c r="E1751" s="76" t="s">
        <v>1536</v>
      </c>
      <c r="F1751" s="76" t="s">
        <v>2079</v>
      </c>
      <c r="G1751" s="94" t="s">
        <v>1779</v>
      </c>
      <c r="H1751" s="106" t="s">
        <v>1774</v>
      </c>
      <c r="I1751" s="76"/>
      <c r="J1751" s="76"/>
      <c r="K1751" s="58" t="str">
        <f>IFERROR(VLOOKUP(L1751,'Raw material list'!$A$3:$C$715,3,0),"")</f>
        <v>DRS5-40</v>
      </c>
      <c r="L1751" s="59" t="s">
        <v>58</v>
      </c>
      <c r="M1751" s="80" t="s">
        <v>156</v>
      </c>
      <c r="N1751" s="40" t="str">
        <f>VLOOKUP(L1751,'Raw material list'!$A$3:$E$715,5,0)</f>
        <v xml:space="preserve">Gram </v>
      </c>
      <c r="O1751" s="80">
        <v>60</v>
      </c>
      <c r="P1751" s="299">
        <f t="shared" si="245"/>
        <v>60</v>
      </c>
      <c r="Q1751" s="80">
        <v>100</v>
      </c>
      <c r="R1751" s="80">
        <v>14</v>
      </c>
      <c r="S1751" s="80"/>
      <c r="T1751" s="105">
        <f t="shared" si="239"/>
        <v>4.2857142857142856</v>
      </c>
      <c r="U1751" s="105">
        <f t="shared" si="246"/>
        <v>4.2857142857142856</v>
      </c>
      <c r="V1751" s="104">
        <f>IFERROR(VLOOKUP(L1751,'Raw material list'!$A$2:$S$3102,6,0),0)</f>
        <v>7.7777777777777773E-4</v>
      </c>
      <c r="W1751" s="104">
        <f t="shared" si="247"/>
        <v>3.3333333333333331E-3</v>
      </c>
    </row>
    <row r="1752" spans="1:23" hidden="1" x14ac:dyDescent="0.55000000000000004">
      <c r="A1752" s="76" t="str">
        <f t="shared" si="248"/>
        <v>RCP-SMC-000119</v>
      </c>
      <c r="B1752" s="58" t="s">
        <v>35</v>
      </c>
      <c r="C1752" s="58" t="s">
        <v>10</v>
      </c>
      <c r="D1752" s="76" t="str">
        <f t="shared" si="249"/>
        <v>Strained Cream Of Chicken soup</v>
      </c>
      <c r="E1752" s="76" t="s">
        <v>1536</v>
      </c>
      <c r="F1752" s="76" t="s">
        <v>2079</v>
      </c>
      <c r="G1752" s="94" t="s">
        <v>1779</v>
      </c>
      <c r="H1752" s="106" t="s">
        <v>1774</v>
      </c>
      <c r="I1752" s="76"/>
      <c r="J1752" s="76"/>
      <c r="K1752" s="58" t="str">
        <f>IFERROR(VLOOKUP(L1752,'Raw material list'!$A$3:$C$715,3,0),"")</f>
        <v>DRS6-309</v>
      </c>
      <c r="L1752" s="59" t="s">
        <v>61</v>
      </c>
      <c r="M1752" s="80" t="s">
        <v>156</v>
      </c>
      <c r="N1752" s="40" t="str">
        <f>VLOOKUP(L1752,'Raw material list'!$A$3:$E$715,5,0)</f>
        <v xml:space="preserve">Gram </v>
      </c>
      <c r="O1752" s="80">
        <v>1</v>
      </c>
      <c r="P1752" s="299">
        <f t="shared" si="245"/>
        <v>1</v>
      </c>
      <c r="Q1752" s="80">
        <v>100</v>
      </c>
      <c r="R1752" s="80">
        <v>14</v>
      </c>
      <c r="S1752" s="80"/>
      <c r="T1752" s="105">
        <f t="shared" si="239"/>
        <v>7.1428571428571425E-2</v>
      </c>
      <c r="U1752" s="105">
        <f t="shared" si="246"/>
        <v>7.1428571428571425E-2</v>
      </c>
      <c r="V1752" s="104">
        <f>IFERROR(VLOOKUP(L1752,'Raw material list'!$A$2:$S$3102,6,0),0)</f>
        <v>2.8000000000000001E-2</v>
      </c>
      <c r="W1752" s="104">
        <f t="shared" si="247"/>
        <v>2E-3</v>
      </c>
    </row>
    <row r="1753" spans="1:23" hidden="1" x14ac:dyDescent="0.55000000000000004">
      <c r="A1753" s="76" t="str">
        <f t="shared" si="248"/>
        <v>RCP-SMC-000119</v>
      </c>
      <c r="B1753" s="58" t="s">
        <v>35</v>
      </c>
      <c r="C1753" s="58" t="s">
        <v>10</v>
      </c>
      <c r="D1753" s="76" t="str">
        <f t="shared" si="249"/>
        <v>Strained Cream Of Chicken soup</v>
      </c>
      <c r="E1753" s="76" t="s">
        <v>1536</v>
      </c>
      <c r="F1753" s="76" t="s">
        <v>2079</v>
      </c>
      <c r="G1753" s="94" t="s">
        <v>1779</v>
      </c>
      <c r="H1753" s="106" t="s">
        <v>1774</v>
      </c>
      <c r="I1753" s="76"/>
      <c r="J1753" s="76"/>
      <c r="K1753" s="58" t="str">
        <f>IFERROR(VLOOKUP(L1753,'Raw material list'!$A$3:$C$715,3,0),"")</f>
        <v>TAP-00001</v>
      </c>
      <c r="L1753" s="59" t="s">
        <v>1405</v>
      </c>
      <c r="M1753" s="80" t="s">
        <v>206</v>
      </c>
      <c r="N1753" s="40" t="str">
        <f>VLOOKUP(L1753,'Raw material list'!$A$3:$E$715,5,0)</f>
        <v>Ml</v>
      </c>
      <c r="O1753" s="80">
        <v>2200</v>
      </c>
      <c r="P1753" s="299">
        <f t="shared" si="245"/>
        <v>2200</v>
      </c>
      <c r="Q1753" s="80">
        <v>100</v>
      </c>
      <c r="R1753" s="80">
        <v>14</v>
      </c>
      <c r="S1753" s="80"/>
      <c r="T1753" s="105">
        <f t="shared" si="239"/>
        <v>157.14285714285714</v>
      </c>
      <c r="U1753" s="105">
        <f t="shared" si="246"/>
        <v>157.14285714285714</v>
      </c>
      <c r="V1753" s="104">
        <f>IFERROR(VLOOKUP(L1753,'Raw material list'!$A$2:$S$3102,6,0),0)</f>
        <v>8.0000000000000007E-5</v>
      </c>
      <c r="W1753" s="104">
        <f t="shared" si="247"/>
        <v>1.2571428571428572E-2</v>
      </c>
    </row>
    <row r="1754" spans="1:23" hidden="1" x14ac:dyDescent="0.55000000000000004">
      <c r="A1754" s="76" t="str">
        <f t="shared" si="248"/>
        <v>RCP-SMC-000119</v>
      </c>
      <c r="B1754" s="58" t="s">
        <v>35</v>
      </c>
      <c r="C1754" s="58" t="s">
        <v>10</v>
      </c>
      <c r="D1754" s="76" t="str">
        <f t="shared" si="249"/>
        <v>Strained Cream Of Chicken soup</v>
      </c>
      <c r="E1754" s="76" t="s">
        <v>1536</v>
      </c>
      <c r="F1754" s="76" t="s">
        <v>2079</v>
      </c>
      <c r="G1754" s="94" t="s">
        <v>1779</v>
      </c>
      <c r="H1754" s="106" t="s">
        <v>1774</v>
      </c>
      <c r="I1754" s="76"/>
      <c r="J1754" s="76"/>
      <c r="K1754" s="58" t="str">
        <f>IFERROR(VLOOKUP(L1754,'Raw material list'!$A$3:$C$715,3,0),"")</f>
        <v>DRY2-1858</v>
      </c>
      <c r="L1754" s="59" t="s">
        <v>60</v>
      </c>
      <c r="M1754" s="80" t="s">
        <v>206</v>
      </c>
      <c r="N1754" s="40" t="str">
        <f>VLOOKUP(L1754,'Raw material list'!$A$3:$E$715,5,0)</f>
        <v>Ml</v>
      </c>
      <c r="O1754" s="80">
        <v>200</v>
      </c>
      <c r="P1754" s="299">
        <f t="shared" si="245"/>
        <v>200</v>
      </c>
      <c r="Q1754" s="80">
        <v>100</v>
      </c>
      <c r="R1754" s="80">
        <v>14</v>
      </c>
      <c r="S1754" s="80"/>
      <c r="T1754" s="105">
        <f t="shared" si="239"/>
        <v>14.285714285714286</v>
      </c>
      <c r="U1754" s="105">
        <f t="shared" si="246"/>
        <v>14.285714285714286</v>
      </c>
      <c r="V1754" s="104">
        <f>IFERROR(VLOOKUP(L1754,'Raw material list'!$A$2:$S$3102,6,0),0)</f>
        <v>9.8800000000000016E-3</v>
      </c>
      <c r="W1754" s="104">
        <f t="shared" si="247"/>
        <v>0.14114285714285718</v>
      </c>
    </row>
    <row r="1755" spans="1:23" hidden="1" x14ac:dyDescent="0.55000000000000004">
      <c r="A1755" s="76" t="str">
        <f t="shared" si="248"/>
        <v>RCP-SMC-000119</v>
      </c>
      <c r="B1755" s="58" t="s">
        <v>35</v>
      </c>
      <c r="C1755" s="58" t="s">
        <v>10</v>
      </c>
      <c r="D1755" s="76" t="str">
        <f t="shared" si="249"/>
        <v>Strained Cream Of Chicken soup</v>
      </c>
      <c r="E1755" s="76" t="s">
        <v>1536</v>
      </c>
      <c r="F1755" s="76" t="s">
        <v>2079</v>
      </c>
      <c r="G1755" s="94" t="s">
        <v>1779</v>
      </c>
      <c r="H1755" s="106" t="s">
        <v>1774</v>
      </c>
      <c r="I1755" s="76"/>
      <c r="J1755" s="76"/>
      <c r="K1755" s="58" t="str">
        <f>IFERROR(VLOOKUP(L1755,'Raw material list'!$A$3:$C$715,3,0),"")</f>
        <v>DRS1-3811</v>
      </c>
      <c r="L1755" s="59" t="s">
        <v>40</v>
      </c>
      <c r="M1755" s="80" t="s">
        <v>156</v>
      </c>
      <c r="N1755" s="40" t="str">
        <f>VLOOKUP(L1755,'Raw material list'!$A$3:$E$715,5,0)</f>
        <v xml:space="preserve">Gram </v>
      </c>
      <c r="O1755" s="80">
        <v>10</v>
      </c>
      <c r="P1755" s="299">
        <f t="shared" si="245"/>
        <v>10</v>
      </c>
      <c r="Q1755" s="80">
        <v>100</v>
      </c>
      <c r="R1755" s="80">
        <v>14</v>
      </c>
      <c r="S1755" s="80"/>
      <c r="T1755" s="105">
        <f t="shared" si="239"/>
        <v>0.7142857142857143</v>
      </c>
      <c r="U1755" s="105">
        <f t="shared" si="246"/>
        <v>0.7142857142857143</v>
      </c>
      <c r="V1755" s="104">
        <f>IFERROR(VLOOKUP(L1755,'Raw material list'!$A$2:$S$3102,6,0),0)</f>
        <v>2.8475E-2</v>
      </c>
      <c r="W1755" s="104">
        <f t="shared" si="247"/>
        <v>2.0339285714285716E-2</v>
      </c>
    </row>
    <row r="1756" spans="1:23" hidden="1" x14ac:dyDescent="0.55000000000000004">
      <c r="A1756" s="76" t="str">
        <f t="shared" si="248"/>
        <v>RCP-SMC-000119</v>
      </c>
      <c r="B1756" s="58" t="s">
        <v>35</v>
      </c>
      <c r="C1756" s="58" t="s">
        <v>10</v>
      </c>
      <c r="D1756" s="76" t="str">
        <f t="shared" si="249"/>
        <v>Strained Cream Of Chicken soup</v>
      </c>
      <c r="E1756" s="76" t="s">
        <v>1536</v>
      </c>
      <c r="F1756" s="76" t="s">
        <v>2079</v>
      </c>
      <c r="G1756" s="94" t="s">
        <v>1779</v>
      </c>
      <c r="H1756" s="106" t="s">
        <v>1774</v>
      </c>
      <c r="I1756" s="76"/>
      <c r="J1756" s="76"/>
      <c r="K1756" s="58" t="str">
        <f>IFERROR(VLOOKUP(L1756,'Raw material list'!$A$3:$C$715,3,0),"")</f>
        <v>DRS1-3880</v>
      </c>
      <c r="L1756" s="59" t="s">
        <v>1433</v>
      </c>
      <c r="M1756" s="80" t="s">
        <v>156</v>
      </c>
      <c r="N1756" s="40" t="str">
        <f>VLOOKUP(L1756,'Raw material list'!$A$3:$E$715,5,0)</f>
        <v xml:space="preserve">Gram </v>
      </c>
      <c r="O1756" s="80">
        <v>10</v>
      </c>
      <c r="P1756" s="299">
        <f t="shared" si="245"/>
        <v>10</v>
      </c>
      <c r="Q1756" s="80">
        <v>100</v>
      </c>
      <c r="R1756" s="80">
        <v>14</v>
      </c>
      <c r="S1756" s="80"/>
      <c r="T1756" s="105">
        <f t="shared" si="239"/>
        <v>0.7142857142857143</v>
      </c>
      <c r="U1756" s="105">
        <f t="shared" si="246"/>
        <v>0.7142857142857143</v>
      </c>
      <c r="V1756" s="104">
        <f>IFERROR(VLOOKUP(L1756,'Raw material list'!$A$2:$S$3102,6,0),0)</f>
        <v>5.0000000000000001E-4</v>
      </c>
      <c r="W1756" s="104">
        <f t="shared" si="247"/>
        <v>3.5714285714285714E-4</v>
      </c>
    </row>
    <row r="1757" spans="1:23" hidden="1" x14ac:dyDescent="0.55000000000000004">
      <c r="A1757" s="76" t="str">
        <f t="shared" si="248"/>
        <v>RCP-SMC-000119</v>
      </c>
      <c r="B1757" s="58" t="s">
        <v>35</v>
      </c>
      <c r="C1757" s="58" t="s">
        <v>10</v>
      </c>
      <c r="D1757" s="76" t="str">
        <f t="shared" si="249"/>
        <v>Strained Cream Of Chicken soup</v>
      </c>
      <c r="E1757" s="76" t="s">
        <v>1536</v>
      </c>
      <c r="F1757" s="76" t="s">
        <v>2079</v>
      </c>
      <c r="G1757" s="94" t="s">
        <v>1779</v>
      </c>
      <c r="H1757" s="106" t="s">
        <v>1774</v>
      </c>
      <c r="I1757" s="76"/>
      <c r="J1757" s="76"/>
      <c r="K1757" s="58" t="str">
        <f>IFERROR(VLOOKUP(L1757,'Raw material list'!$A$3:$C$715,3,0),"")</f>
        <v>PRD1-4019</v>
      </c>
      <c r="L1757" s="59" t="s">
        <v>119</v>
      </c>
      <c r="M1757" s="80" t="s">
        <v>156</v>
      </c>
      <c r="N1757" s="40" t="str">
        <f>VLOOKUP(L1757,'Raw material list'!$A$3:$E$715,5,0)</f>
        <v xml:space="preserve">Gram </v>
      </c>
      <c r="O1757" s="80">
        <v>50</v>
      </c>
      <c r="P1757" s="299">
        <f t="shared" si="245"/>
        <v>76.923076923076934</v>
      </c>
      <c r="Q1757" s="105">
        <v>65</v>
      </c>
      <c r="R1757" s="80">
        <v>14</v>
      </c>
      <c r="S1757" s="80"/>
      <c r="T1757" s="105">
        <f t="shared" si="239"/>
        <v>3.5714285714285716</v>
      </c>
      <c r="U1757" s="105">
        <f t="shared" si="246"/>
        <v>5.4945054945054954</v>
      </c>
      <c r="V1757" s="104">
        <f>IFERROR(VLOOKUP(L1757,'Raw material list'!$A$2:$S$3102,6,0),0)</f>
        <v>0.02</v>
      </c>
      <c r="W1757" s="104">
        <f t="shared" si="247"/>
        <v>0.10989010989010992</v>
      </c>
    </row>
    <row r="1758" spans="1:23" hidden="1" x14ac:dyDescent="0.55000000000000004">
      <c r="A1758" s="76" t="s">
        <v>1664</v>
      </c>
      <c r="B1758" s="58" t="s">
        <v>35</v>
      </c>
      <c r="C1758" s="58" t="s">
        <v>10</v>
      </c>
      <c r="D1758" s="76" t="s">
        <v>1641</v>
      </c>
      <c r="E1758" s="76" t="s">
        <v>1536</v>
      </c>
      <c r="F1758" s="76" t="s">
        <v>2079</v>
      </c>
      <c r="G1758" s="94" t="s">
        <v>1779</v>
      </c>
      <c r="H1758" s="106" t="s">
        <v>1774</v>
      </c>
      <c r="I1758" s="76"/>
      <c r="J1758" s="76"/>
      <c r="K1758" s="58" t="str">
        <f>IFERROR(VLOOKUP(L1758,'Raw material list'!$A$3:$C$715,3,0),"")</f>
        <v>DRY2-1008</v>
      </c>
      <c r="L1758" s="59" t="s">
        <v>57</v>
      </c>
      <c r="M1758" s="80" t="s">
        <v>156</v>
      </c>
      <c r="N1758" s="40" t="str">
        <f>VLOOKUP(L1758,'Raw material list'!$A$3:$E$715,5,0)</f>
        <v xml:space="preserve">Gram </v>
      </c>
      <c r="O1758" s="80">
        <v>25</v>
      </c>
      <c r="P1758" s="299">
        <f t="shared" si="245"/>
        <v>25</v>
      </c>
      <c r="Q1758" s="303">
        <v>100</v>
      </c>
      <c r="R1758" s="80">
        <v>14</v>
      </c>
      <c r="S1758" s="80"/>
      <c r="T1758" s="105">
        <f t="shared" si="239"/>
        <v>1.7857142857142858</v>
      </c>
      <c r="U1758" s="105">
        <f t="shared" si="246"/>
        <v>1.7857142857142858</v>
      </c>
      <c r="V1758" s="104">
        <f>IFERROR(VLOOKUP(L1758,'Raw material list'!$A$2:$S$3102,6,0),0)</f>
        <v>0.03</v>
      </c>
      <c r="W1758" s="104">
        <f t="shared" si="247"/>
        <v>5.3571428571428575E-2</v>
      </c>
    </row>
    <row r="1759" spans="1:23" hidden="1" x14ac:dyDescent="0.55000000000000004">
      <c r="A1759" s="76" t="str">
        <f t="shared" ref="A1759:A1769" si="250">A1758</f>
        <v>RCP-SMC-000120</v>
      </c>
      <c r="B1759" s="58" t="s">
        <v>35</v>
      </c>
      <c r="C1759" s="58" t="s">
        <v>10</v>
      </c>
      <c r="D1759" s="76" t="str">
        <f t="shared" ref="D1759:D1769" si="251">D1758</f>
        <v>Creamy Of Chicken soup</v>
      </c>
      <c r="E1759" s="76" t="s">
        <v>1536</v>
      </c>
      <c r="F1759" s="76" t="s">
        <v>2079</v>
      </c>
      <c r="G1759" s="94" t="s">
        <v>1779</v>
      </c>
      <c r="H1759" s="106" t="s">
        <v>1774</v>
      </c>
      <c r="I1759" s="76"/>
      <c r="J1759" s="76"/>
      <c r="K1759" s="58" t="str">
        <f>IFERROR(VLOOKUP(L1759,'Raw material list'!$A$3:$C$715,3,0),"")</f>
        <v>PRD1-4265</v>
      </c>
      <c r="L1759" s="59" t="s">
        <v>38</v>
      </c>
      <c r="M1759" s="80" t="s">
        <v>156</v>
      </c>
      <c r="N1759" s="40" t="str">
        <f>VLOOKUP(L1759,'Raw material list'!$A$3:$E$715,5,0)</f>
        <v xml:space="preserve">Gram </v>
      </c>
      <c r="O1759" s="80">
        <v>100</v>
      </c>
      <c r="P1759" s="299">
        <f t="shared" si="245"/>
        <v>117.64705882352942</v>
      </c>
      <c r="Q1759" s="105">
        <v>85</v>
      </c>
      <c r="R1759" s="80">
        <v>14</v>
      </c>
      <c r="S1759" s="80"/>
      <c r="T1759" s="105">
        <f t="shared" si="239"/>
        <v>7.1428571428571432</v>
      </c>
      <c r="U1759" s="105">
        <f t="shared" si="246"/>
        <v>8.4033613445378155</v>
      </c>
      <c r="V1759" s="104">
        <f>IFERROR(VLOOKUP(L1759,'Raw material list'!$A$2:$S$3102,6,0),0)</f>
        <v>3.529411764705882E-3</v>
      </c>
      <c r="W1759" s="104">
        <f t="shared" si="247"/>
        <v>2.9658922392486405E-2</v>
      </c>
    </row>
    <row r="1760" spans="1:23" hidden="1" x14ac:dyDescent="0.55000000000000004">
      <c r="A1760" s="76" t="str">
        <f t="shared" si="250"/>
        <v>RCP-SMC-000120</v>
      </c>
      <c r="B1760" s="58" t="s">
        <v>35</v>
      </c>
      <c r="C1760" s="58" t="s">
        <v>10</v>
      </c>
      <c r="D1760" s="76" t="str">
        <f t="shared" si="251"/>
        <v>Creamy Of Chicken soup</v>
      </c>
      <c r="E1760" s="76" t="s">
        <v>1536</v>
      </c>
      <c r="F1760" s="76" t="s">
        <v>2079</v>
      </c>
      <c r="G1760" s="94" t="s">
        <v>1779</v>
      </c>
      <c r="H1760" s="106" t="s">
        <v>1774</v>
      </c>
      <c r="I1760" s="76"/>
      <c r="J1760" s="76"/>
      <c r="K1760" s="58" t="str">
        <f>IFERROR(VLOOKUP(L1760,'Raw material list'!$A$3:$C$715,3,0),"")</f>
        <v>PRD1-4327</v>
      </c>
      <c r="L1760" s="59" t="s">
        <v>39</v>
      </c>
      <c r="M1760" s="80" t="s">
        <v>156</v>
      </c>
      <c r="N1760" s="40" t="str">
        <f>VLOOKUP(L1760,'Raw material list'!$A$3:$E$715,5,0)</f>
        <v xml:space="preserve">Gram </v>
      </c>
      <c r="O1760" s="80">
        <v>15</v>
      </c>
      <c r="P1760" s="299">
        <f t="shared" si="245"/>
        <v>18.072289156626507</v>
      </c>
      <c r="Q1760" s="105">
        <v>83</v>
      </c>
      <c r="R1760" s="80">
        <v>14</v>
      </c>
      <c r="S1760" s="80"/>
      <c r="T1760" s="105">
        <f t="shared" si="239"/>
        <v>1.0714285714285714</v>
      </c>
      <c r="U1760" s="105">
        <f t="shared" si="246"/>
        <v>1.2908777969018934</v>
      </c>
      <c r="V1760" s="104">
        <f>IFERROR(VLOOKUP(L1760,'Raw material list'!$A$2:$S$3102,6,0),0)</f>
        <v>1.2999999999999999E-2</v>
      </c>
      <c r="W1760" s="104">
        <f t="shared" si="247"/>
        <v>1.6781411359724614E-2</v>
      </c>
    </row>
    <row r="1761" spans="1:23" hidden="1" x14ac:dyDescent="0.55000000000000004">
      <c r="A1761" s="76" t="str">
        <f t="shared" si="250"/>
        <v>RCP-SMC-000120</v>
      </c>
      <c r="B1761" s="58" t="s">
        <v>35</v>
      </c>
      <c r="C1761" s="58" t="s">
        <v>10</v>
      </c>
      <c r="D1761" s="76" t="str">
        <f t="shared" si="251"/>
        <v>Creamy Of Chicken soup</v>
      </c>
      <c r="E1761" s="76" t="s">
        <v>1536</v>
      </c>
      <c r="F1761" s="76" t="s">
        <v>2079</v>
      </c>
      <c r="G1761" s="94" t="s">
        <v>1779</v>
      </c>
      <c r="H1761" s="106" t="s">
        <v>1774</v>
      </c>
      <c r="I1761" s="76"/>
      <c r="J1761" s="76"/>
      <c r="K1761" s="58" t="str">
        <f>IFERROR(VLOOKUP(L1761,'Raw material list'!$A$3:$C$715,3,0),"")</f>
        <v>PRD1-186</v>
      </c>
      <c r="L1761" s="59" t="s">
        <v>37</v>
      </c>
      <c r="M1761" s="80" t="s">
        <v>156</v>
      </c>
      <c r="N1761" s="40" t="str">
        <f>VLOOKUP(L1761,'Raw material list'!$A$3:$E$715,5,0)</f>
        <v xml:space="preserve">Gram </v>
      </c>
      <c r="O1761" s="80">
        <v>150</v>
      </c>
      <c r="P1761" s="299">
        <f t="shared" si="245"/>
        <v>183.67346938775509</v>
      </c>
      <c r="Q1761" s="105">
        <v>81.666666666666671</v>
      </c>
      <c r="R1761" s="80">
        <v>14</v>
      </c>
      <c r="S1761" s="80"/>
      <c r="T1761" s="105">
        <f t="shared" si="239"/>
        <v>10.714285714285714</v>
      </c>
      <c r="U1761" s="105">
        <f t="shared" si="246"/>
        <v>13.119533527696792</v>
      </c>
      <c r="V1761" s="104">
        <f>IFERROR(VLOOKUP(L1761,'Raw material list'!$A$2:$S$3102,6,0),0)</f>
        <v>5.8139534883720938E-3</v>
      </c>
      <c r="W1761" s="104">
        <f t="shared" si="247"/>
        <v>7.6276357719167409E-2</v>
      </c>
    </row>
    <row r="1762" spans="1:23" hidden="1" x14ac:dyDescent="0.55000000000000004">
      <c r="A1762" s="76" t="str">
        <f t="shared" si="250"/>
        <v>RCP-SMC-000120</v>
      </c>
      <c r="B1762" s="58" t="s">
        <v>35</v>
      </c>
      <c r="C1762" s="58" t="s">
        <v>10</v>
      </c>
      <c r="D1762" s="76" t="str">
        <f t="shared" si="251"/>
        <v>Creamy Of Chicken soup</v>
      </c>
      <c r="E1762" s="76" t="s">
        <v>1536</v>
      </c>
      <c r="F1762" s="76" t="s">
        <v>2078</v>
      </c>
      <c r="G1762" s="94" t="s">
        <v>1779</v>
      </c>
      <c r="H1762" s="106" t="s">
        <v>1774</v>
      </c>
      <c r="I1762" s="76"/>
      <c r="J1762" s="76"/>
      <c r="K1762" s="58" t="str">
        <f>IFERROR(VLOOKUP(L1762,'Raw material list'!$A$3:$C$715,3,0),"")</f>
        <v>PLT2-3278</v>
      </c>
      <c r="L1762" s="59" t="s">
        <v>80</v>
      </c>
      <c r="M1762" s="80" t="s">
        <v>156</v>
      </c>
      <c r="N1762" s="40" t="str">
        <f>VLOOKUP(L1762,'Raw material list'!$A$3:$E$715,5,0)</f>
        <v xml:space="preserve">Gram </v>
      </c>
      <c r="O1762" s="80">
        <v>250</v>
      </c>
      <c r="P1762" s="299">
        <f t="shared" si="245"/>
        <v>328.08398950131232</v>
      </c>
      <c r="Q1762" s="303">
        <v>76.2</v>
      </c>
      <c r="R1762" s="80">
        <v>14</v>
      </c>
      <c r="S1762" s="80"/>
      <c r="T1762" s="105">
        <f t="shared" si="239"/>
        <v>17.857142857142858</v>
      </c>
      <c r="U1762" s="105">
        <f t="shared" si="246"/>
        <v>23.434570678665164</v>
      </c>
      <c r="V1762" s="104">
        <f>IFERROR(VLOOKUP(L1762,'Raw material list'!$A$2:$S$3102,6,0),0)</f>
        <v>3.0357142857142853E-2</v>
      </c>
      <c r="W1762" s="104">
        <f t="shared" si="247"/>
        <v>0.71140660988804949</v>
      </c>
    </row>
    <row r="1763" spans="1:23" hidden="1" x14ac:dyDescent="0.55000000000000004">
      <c r="A1763" s="76" t="str">
        <f t="shared" si="250"/>
        <v>RCP-SMC-000120</v>
      </c>
      <c r="B1763" s="58" t="s">
        <v>35</v>
      </c>
      <c r="C1763" s="58" t="s">
        <v>10</v>
      </c>
      <c r="D1763" s="76" t="str">
        <f t="shared" si="251"/>
        <v>Creamy Of Chicken soup</v>
      </c>
      <c r="E1763" s="76" t="s">
        <v>1536</v>
      </c>
      <c r="F1763" s="76" t="s">
        <v>2079</v>
      </c>
      <c r="G1763" s="94" t="s">
        <v>1779</v>
      </c>
      <c r="H1763" s="106" t="s">
        <v>1774</v>
      </c>
      <c r="I1763" s="76"/>
      <c r="J1763" s="76"/>
      <c r="K1763" s="58" t="str">
        <f>IFERROR(VLOOKUP(L1763,'Raw material list'!$A$3:$C$715,3,0),"")</f>
        <v>DRS5-40</v>
      </c>
      <c r="L1763" s="59" t="s">
        <v>58</v>
      </c>
      <c r="M1763" s="80" t="s">
        <v>156</v>
      </c>
      <c r="N1763" s="40" t="str">
        <f>VLOOKUP(L1763,'Raw material list'!$A$3:$E$715,5,0)</f>
        <v xml:space="preserve">Gram </v>
      </c>
      <c r="O1763" s="80">
        <v>60</v>
      </c>
      <c r="P1763" s="299">
        <f t="shared" si="245"/>
        <v>60</v>
      </c>
      <c r="Q1763" s="80">
        <v>100</v>
      </c>
      <c r="R1763" s="80">
        <v>14</v>
      </c>
      <c r="S1763" s="80"/>
      <c r="T1763" s="105">
        <f t="shared" si="239"/>
        <v>4.2857142857142856</v>
      </c>
      <c r="U1763" s="105">
        <f t="shared" si="246"/>
        <v>4.2857142857142856</v>
      </c>
      <c r="V1763" s="104">
        <f>IFERROR(VLOOKUP(L1763,'Raw material list'!$A$2:$S$3102,6,0),0)</f>
        <v>7.7777777777777773E-4</v>
      </c>
      <c r="W1763" s="104">
        <f t="shared" si="247"/>
        <v>3.3333333333333331E-3</v>
      </c>
    </row>
    <row r="1764" spans="1:23" hidden="1" x14ac:dyDescent="0.55000000000000004">
      <c r="A1764" s="76" t="str">
        <f t="shared" si="250"/>
        <v>RCP-SMC-000120</v>
      </c>
      <c r="B1764" s="58" t="s">
        <v>35</v>
      </c>
      <c r="C1764" s="58" t="s">
        <v>10</v>
      </c>
      <c r="D1764" s="76" t="str">
        <f t="shared" si="251"/>
        <v>Creamy Of Chicken soup</v>
      </c>
      <c r="E1764" s="76" t="s">
        <v>1536</v>
      </c>
      <c r="F1764" s="76" t="s">
        <v>2079</v>
      </c>
      <c r="G1764" s="94" t="s">
        <v>1779</v>
      </c>
      <c r="H1764" s="106" t="s">
        <v>1774</v>
      </c>
      <c r="I1764" s="76"/>
      <c r="J1764" s="76"/>
      <c r="K1764" s="58" t="str">
        <f>IFERROR(VLOOKUP(L1764,'Raw material list'!$A$3:$C$715,3,0),"")</f>
        <v>DRS6-309</v>
      </c>
      <c r="L1764" s="59" t="s">
        <v>61</v>
      </c>
      <c r="M1764" s="80" t="s">
        <v>156</v>
      </c>
      <c r="N1764" s="40" t="str">
        <f>VLOOKUP(L1764,'Raw material list'!$A$3:$E$715,5,0)</f>
        <v xml:space="preserve">Gram </v>
      </c>
      <c r="O1764" s="80">
        <v>1</v>
      </c>
      <c r="P1764" s="299">
        <f t="shared" si="245"/>
        <v>1</v>
      </c>
      <c r="Q1764" s="80">
        <v>100</v>
      </c>
      <c r="R1764" s="80">
        <v>14</v>
      </c>
      <c r="S1764" s="80"/>
      <c r="T1764" s="105">
        <f t="shared" si="239"/>
        <v>7.1428571428571425E-2</v>
      </c>
      <c r="U1764" s="105">
        <f t="shared" si="246"/>
        <v>7.1428571428571425E-2</v>
      </c>
      <c r="V1764" s="104">
        <f>IFERROR(VLOOKUP(L1764,'Raw material list'!$A$2:$S$3102,6,0),0)</f>
        <v>2.8000000000000001E-2</v>
      </c>
      <c r="W1764" s="104">
        <f t="shared" si="247"/>
        <v>2E-3</v>
      </c>
    </row>
    <row r="1765" spans="1:23" hidden="1" x14ac:dyDescent="0.55000000000000004">
      <c r="A1765" s="76" t="str">
        <f t="shared" si="250"/>
        <v>RCP-SMC-000120</v>
      </c>
      <c r="B1765" s="58" t="s">
        <v>35</v>
      </c>
      <c r="C1765" s="58" t="s">
        <v>10</v>
      </c>
      <c r="D1765" s="76" t="str">
        <f t="shared" si="251"/>
        <v>Creamy Of Chicken soup</v>
      </c>
      <c r="E1765" s="76" t="s">
        <v>1536</v>
      </c>
      <c r="F1765" s="76" t="s">
        <v>2079</v>
      </c>
      <c r="G1765" s="94" t="s">
        <v>1779</v>
      </c>
      <c r="H1765" s="106" t="s">
        <v>1774</v>
      </c>
      <c r="I1765" s="76"/>
      <c r="J1765" s="76"/>
      <c r="K1765" s="58" t="str">
        <f>IFERROR(VLOOKUP(L1765,'Raw material list'!$A$3:$C$715,3,0),"")</f>
        <v>TAP-00001</v>
      </c>
      <c r="L1765" s="59" t="s">
        <v>1405</v>
      </c>
      <c r="M1765" s="80" t="s">
        <v>206</v>
      </c>
      <c r="N1765" s="40" t="str">
        <f>VLOOKUP(L1765,'Raw material list'!$A$3:$E$715,5,0)</f>
        <v>Ml</v>
      </c>
      <c r="O1765" s="80">
        <v>2200</v>
      </c>
      <c r="P1765" s="299">
        <f t="shared" si="245"/>
        <v>2200</v>
      </c>
      <c r="Q1765" s="80">
        <v>100</v>
      </c>
      <c r="R1765" s="80">
        <v>14</v>
      </c>
      <c r="S1765" s="80"/>
      <c r="T1765" s="105">
        <f t="shared" si="239"/>
        <v>157.14285714285714</v>
      </c>
      <c r="U1765" s="105">
        <f t="shared" si="246"/>
        <v>157.14285714285714</v>
      </c>
      <c r="V1765" s="104">
        <f>IFERROR(VLOOKUP(L1765,'Raw material list'!$A$2:$S$3102,6,0),0)</f>
        <v>8.0000000000000007E-5</v>
      </c>
      <c r="W1765" s="104">
        <f t="shared" si="247"/>
        <v>1.2571428571428572E-2</v>
      </c>
    </row>
    <row r="1766" spans="1:23" hidden="1" x14ac:dyDescent="0.55000000000000004">
      <c r="A1766" s="76" t="str">
        <f t="shared" si="250"/>
        <v>RCP-SMC-000120</v>
      </c>
      <c r="B1766" s="58" t="s">
        <v>35</v>
      </c>
      <c r="C1766" s="58" t="s">
        <v>10</v>
      </c>
      <c r="D1766" s="76" t="str">
        <f t="shared" si="251"/>
        <v>Creamy Of Chicken soup</v>
      </c>
      <c r="E1766" s="76" t="s">
        <v>1536</v>
      </c>
      <c r="F1766" s="76" t="s">
        <v>2079</v>
      </c>
      <c r="G1766" s="94" t="s">
        <v>1779</v>
      </c>
      <c r="H1766" s="106" t="s">
        <v>1774</v>
      </c>
      <c r="I1766" s="76"/>
      <c r="J1766" s="76"/>
      <c r="K1766" s="58" t="str">
        <f>IFERROR(VLOOKUP(L1766,'Raw material list'!$A$3:$C$715,3,0),"")</f>
        <v>DRY2-1858</v>
      </c>
      <c r="L1766" s="59" t="s">
        <v>60</v>
      </c>
      <c r="M1766" s="80" t="s">
        <v>206</v>
      </c>
      <c r="N1766" s="40" t="str">
        <f>VLOOKUP(L1766,'Raw material list'!$A$3:$E$715,5,0)</f>
        <v>Ml</v>
      </c>
      <c r="O1766" s="80">
        <v>200</v>
      </c>
      <c r="P1766" s="299">
        <f t="shared" si="245"/>
        <v>200</v>
      </c>
      <c r="Q1766" s="80">
        <v>100</v>
      </c>
      <c r="R1766" s="80">
        <v>14</v>
      </c>
      <c r="S1766" s="80"/>
      <c r="T1766" s="105">
        <f t="shared" si="239"/>
        <v>14.285714285714286</v>
      </c>
      <c r="U1766" s="105">
        <f t="shared" si="246"/>
        <v>14.285714285714286</v>
      </c>
      <c r="V1766" s="104">
        <f>IFERROR(VLOOKUP(L1766,'Raw material list'!$A$2:$S$3102,6,0),0)</f>
        <v>9.8800000000000016E-3</v>
      </c>
      <c r="W1766" s="104">
        <f t="shared" si="247"/>
        <v>0.14114285714285718</v>
      </c>
    </row>
    <row r="1767" spans="1:23" hidden="1" x14ac:dyDescent="0.55000000000000004">
      <c r="A1767" s="76" t="str">
        <f t="shared" si="250"/>
        <v>RCP-SMC-000120</v>
      </c>
      <c r="B1767" s="58" t="s">
        <v>35</v>
      </c>
      <c r="C1767" s="58" t="s">
        <v>10</v>
      </c>
      <c r="D1767" s="76" t="str">
        <f t="shared" si="251"/>
        <v>Creamy Of Chicken soup</v>
      </c>
      <c r="E1767" s="76" t="s">
        <v>1536</v>
      </c>
      <c r="F1767" s="76" t="s">
        <v>2079</v>
      </c>
      <c r="G1767" s="94" t="s">
        <v>1779</v>
      </c>
      <c r="H1767" s="106" t="s">
        <v>1774</v>
      </c>
      <c r="I1767" s="76"/>
      <c r="J1767" s="76"/>
      <c r="K1767" s="58" t="str">
        <f>IFERROR(VLOOKUP(L1767,'Raw material list'!$A$3:$C$715,3,0),"")</f>
        <v>DRS1-3811</v>
      </c>
      <c r="L1767" s="59" t="s">
        <v>40</v>
      </c>
      <c r="M1767" s="80" t="s">
        <v>156</v>
      </c>
      <c r="N1767" s="40" t="str">
        <f>VLOOKUP(L1767,'Raw material list'!$A$3:$E$715,5,0)</f>
        <v xml:space="preserve">Gram </v>
      </c>
      <c r="O1767" s="80">
        <v>10</v>
      </c>
      <c r="P1767" s="299">
        <f t="shared" si="245"/>
        <v>10</v>
      </c>
      <c r="Q1767" s="80">
        <v>100</v>
      </c>
      <c r="R1767" s="80">
        <v>14</v>
      </c>
      <c r="S1767" s="80"/>
      <c r="T1767" s="105">
        <f t="shared" si="239"/>
        <v>0.7142857142857143</v>
      </c>
      <c r="U1767" s="105">
        <f t="shared" si="246"/>
        <v>0.7142857142857143</v>
      </c>
      <c r="V1767" s="104">
        <f>IFERROR(VLOOKUP(L1767,'Raw material list'!$A$2:$S$3102,6,0),0)</f>
        <v>2.8475E-2</v>
      </c>
      <c r="W1767" s="104">
        <f t="shared" si="247"/>
        <v>2.0339285714285716E-2</v>
      </c>
    </row>
    <row r="1768" spans="1:23" hidden="1" x14ac:dyDescent="0.55000000000000004">
      <c r="A1768" s="76" t="str">
        <f t="shared" si="250"/>
        <v>RCP-SMC-000120</v>
      </c>
      <c r="B1768" s="58" t="s">
        <v>35</v>
      </c>
      <c r="C1768" s="58" t="s">
        <v>10</v>
      </c>
      <c r="D1768" s="76" t="str">
        <f t="shared" si="251"/>
        <v>Creamy Of Chicken soup</v>
      </c>
      <c r="E1768" s="76" t="s">
        <v>1536</v>
      </c>
      <c r="F1768" s="76" t="s">
        <v>2079</v>
      </c>
      <c r="G1768" s="94" t="s">
        <v>1779</v>
      </c>
      <c r="H1768" s="106" t="s">
        <v>1774</v>
      </c>
      <c r="I1768" s="76"/>
      <c r="J1768" s="76"/>
      <c r="K1768" s="58" t="str">
        <f>IFERROR(VLOOKUP(L1768,'Raw material list'!$A$3:$C$715,3,0),"")</f>
        <v>DRS1-3880</v>
      </c>
      <c r="L1768" s="59" t="s">
        <v>1433</v>
      </c>
      <c r="M1768" s="80" t="s">
        <v>156</v>
      </c>
      <c r="N1768" s="40" t="str">
        <f>VLOOKUP(L1768,'Raw material list'!$A$3:$E$715,5,0)</f>
        <v xml:space="preserve">Gram </v>
      </c>
      <c r="O1768" s="80">
        <v>10</v>
      </c>
      <c r="P1768" s="299">
        <f t="shared" si="245"/>
        <v>10</v>
      </c>
      <c r="Q1768" s="80">
        <v>100</v>
      </c>
      <c r="R1768" s="80">
        <v>14</v>
      </c>
      <c r="S1768" s="80"/>
      <c r="T1768" s="105">
        <f t="shared" si="239"/>
        <v>0.7142857142857143</v>
      </c>
      <c r="U1768" s="105">
        <f t="shared" si="246"/>
        <v>0.7142857142857143</v>
      </c>
      <c r="V1768" s="104">
        <f>IFERROR(VLOOKUP(L1768,'Raw material list'!$A$2:$S$3102,6,0),0)</f>
        <v>5.0000000000000001E-4</v>
      </c>
      <c r="W1768" s="104">
        <f t="shared" si="247"/>
        <v>3.5714285714285714E-4</v>
      </c>
    </row>
    <row r="1769" spans="1:23" hidden="1" x14ac:dyDescent="0.55000000000000004">
      <c r="A1769" s="76" t="str">
        <f t="shared" si="250"/>
        <v>RCP-SMC-000120</v>
      </c>
      <c r="B1769" s="58" t="s">
        <v>35</v>
      </c>
      <c r="C1769" s="58" t="s">
        <v>10</v>
      </c>
      <c r="D1769" s="76" t="str">
        <f t="shared" si="251"/>
        <v>Creamy Of Chicken soup</v>
      </c>
      <c r="E1769" s="76" t="s">
        <v>1536</v>
      </c>
      <c r="F1769" s="76" t="s">
        <v>2079</v>
      </c>
      <c r="G1769" s="94" t="s">
        <v>1779</v>
      </c>
      <c r="H1769" s="106" t="s">
        <v>1774</v>
      </c>
      <c r="I1769" s="76"/>
      <c r="J1769" s="76"/>
      <c r="K1769" s="58" t="str">
        <f>IFERROR(VLOOKUP(L1769,'Raw material list'!$A$3:$C$715,3,0),"")</f>
        <v>PRD1-4019</v>
      </c>
      <c r="L1769" s="59" t="s">
        <v>119</v>
      </c>
      <c r="M1769" s="80" t="s">
        <v>156</v>
      </c>
      <c r="N1769" s="40" t="str">
        <f>VLOOKUP(L1769,'Raw material list'!$A$3:$E$715,5,0)</f>
        <v xml:space="preserve">Gram </v>
      </c>
      <c r="O1769" s="80">
        <v>50</v>
      </c>
      <c r="P1769" s="299">
        <f t="shared" si="245"/>
        <v>76.923076923076934</v>
      </c>
      <c r="Q1769" s="105">
        <v>65</v>
      </c>
      <c r="R1769" s="80">
        <v>14</v>
      </c>
      <c r="S1769" s="80"/>
      <c r="T1769" s="105">
        <f t="shared" si="239"/>
        <v>3.5714285714285716</v>
      </c>
      <c r="U1769" s="105">
        <f t="shared" si="246"/>
        <v>5.4945054945054954</v>
      </c>
      <c r="V1769" s="104">
        <f>IFERROR(VLOOKUP(L1769,'Raw material list'!$A$2:$S$3102,6,0),0)</f>
        <v>0.02</v>
      </c>
      <c r="W1769" s="104">
        <f t="shared" si="247"/>
        <v>0.10989010989010992</v>
      </c>
    </row>
    <row r="1770" spans="1:23" hidden="1" x14ac:dyDescent="0.55000000000000004">
      <c r="A1770" s="76" t="s">
        <v>1707</v>
      </c>
      <c r="B1770" s="58" t="s">
        <v>35</v>
      </c>
      <c r="C1770" s="58" t="s">
        <v>10</v>
      </c>
      <c r="D1770" s="76" t="s">
        <v>1665</v>
      </c>
      <c r="E1770" s="76" t="s">
        <v>1536</v>
      </c>
      <c r="F1770" s="76" t="s">
        <v>1666</v>
      </c>
      <c r="G1770" s="94" t="s">
        <v>1666</v>
      </c>
      <c r="H1770" s="76" t="s">
        <v>1666</v>
      </c>
      <c r="I1770" s="76"/>
      <c r="J1770" s="76"/>
      <c r="K1770" s="58" t="str">
        <f>IFERROR(VLOOKUP(L1770,'Raw material list'!$A$3:$C$715,3,0),"")</f>
        <v>DRS5-40</v>
      </c>
      <c r="L1770" s="59" t="s">
        <v>58</v>
      </c>
      <c r="M1770" s="80" t="s">
        <v>156</v>
      </c>
      <c r="N1770" s="40" t="str">
        <f>VLOOKUP(L1770,'Raw material list'!$A$3:$E$715,5,0)</f>
        <v xml:space="preserve">Gram </v>
      </c>
      <c r="O1770" s="80">
        <v>25000</v>
      </c>
      <c r="P1770" s="299">
        <f t="shared" si="245"/>
        <v>25000</v>
      </c>
      <c r="Q1770" s="303">
        <v>100</v>
      </c>
      <c r="R1770" s="80">
        <v>600</v>
      </c>
      <c r="S1770" s="80"/>
      <c r="T1770" s="105">
        <f t="shared" ref="T1770:T1833" si="252">IFERROR(O1770/R1770,0)</f>
        <v>41.666666666666664</v>
      </c>
      <c r="U1770" s="105">
        <f t="shared" si="246"/>
        <v>41.666666666666664</v>
      </c>
      <c r="V1770" s="104">
        <f>IFERROR(VLOOKUP(L1770,'Raw material list'!$A$2:$S$3102,6,0),0)</f>
        <v>7.7777777777777773E-4</v>
      </c>
      <c r="W1770" s="104">
        <f t="shared" si="247"/>
        <v>3.2407407407407406E-2</v>
      </c>
    </row>
    <row r="1771" spans="1:23" hidden="1" x14ac:dyDescent="0.55000000000000004">
      <c r="A1771" s="76" t="str">
        <f t="shared" ref="A1771:A1783" si="253">A1770</f>
        <v>RCP-SMC-000121</v>
      </c>
      <c r="B1771" s="58" t="s">
        <v>35</v>
      </c>
      <c r="C1771" s="58" t="s">
        <v>10</v>
      </c>
      <c r="D1771" s="76" t="str">
        <f t="shared" ref="D1771:D1783" si="254">D1770</f>
        <v>Croissant Cheese</v>
      </c>
      <c r="E1771" s="76" t="s">
        <v>1536</v>
      </c>
      <c r="F1771" s="76" t="s">
        <v>1666</v>
      </c>
      <c r="G1771" s="76" t="s">
        <v>1666</v>
      </c>
      <c r="H1771" s="76" t="s">
        <v>1666</v>
      </c>
      <c r="I1771" s="76"/>
      <c r="J1771" s="76"/>
      <c r="K1771" s="58" t="str">
        <f>IFERROR(VLOOKUP(L1771,'Raw material list'!$A$3:$C$715,3,0),"")</f>
        <v>DRS1-90</v>
      </c>
      <c r="L1771" s="59" t="s">
        <v>581</v>
      </c>
      <c r="M1771" s="80" t="s">
        <v>156</v>
      </c>
      <c r="N1771" s="40" t="str">
        <f>VLOOKUP(L1771,'Raw material list'!$A$3:$E$715,5,0)</f>
        <v xml:space="preserve">Gram </v>
      </c>
      <c r="O1771" s="80">
        <v>500</v>
      </c>
      <c r="P1771" s="299">
        <f t="shared" si="245"/>
        <v>500</v>
      </c>
      <c r="Q1771" s="80">
        <v>100</v>
      </c>
      <c r="R1771" s="80">
        <v>600</v>
      </c>
      <c r="S1771" s="80"/>
      <c r="T1771" s="105">
        <f t="shared" si="252"/>
        <v>0.83333333333333337</v>
      </c>
      <c r="U1771" s="105">
        <f t="shared" si="246"/>
        <v>0.83333333333333337</v>
      </c>
      <c r="V1771" s="104">
        <f>IFERROR(VLOOKUP(L1771,'Raw material list'!$A$2:$S$3102,6,0),0)</f>
        <v>1.4500000000000001E-2</v>
      </c>
      <c r="W1771" s="104">
        <f t="shared" si="247"/>
        <v>1.2083333333333335E-2</v>
      </c>
    </row>
    <row r="1772" spans="1:23" hidden="1" x14ac:dyDescent="0.55000000000000004">
      <c r="A1772" s="76" t="str">
        <f t="shared" si="253"/>
        <v>RCP-SMC-000121</v>
      </c>
      <c r="B1772" s="58" t="s">
        <v>35</v>
      </c>
      <c r="C1772" s="58" t="s">
        <v>10</v>
      </c>
      <c r="D1772" s="76" t="str">
        <f t="shared" si="254"/>
        <v>Croissant Cheese</v>
      </c>
      <c r="E1772" s="76" t="s">
        <v>1536</v>
      </c>
      <c r="F1772" s="76" t="s">
        <v>1666</v>
      </c>
      <c r="G1772" s="76" t="s">
        <v>1666</v>
      </c>
      <c r="H1772" s="76" t="s">
        <v>1666</v>
      </c>
      <c r="I1772" s="76"/>
      <c r="J1772" s="76"/>
      <c r="K1772" s="58" t="str">
        <f>IFERROR(VLOOKUP(L1772,'Raw material list'!$A$3:$C$715,3,0),"")</f>
        <v>DRS1-3880</v>
      </c>
      <c r="L1772" s="59" t="s">
        <v>1433</v>
      </c>
      <c r="M1772" s="80" t="s">
        <v>156</v>
      </c>
      <c r="N1772" s="40" t="str">
        <f>VLOOKUP(L1772,'Raw material list'!$A$3:$E$715,5,0)</f>
        <v xml:space="preserve">Gram </v>
      </c>
      <c r="O1772" s="80">
        <v>500</v>
      </c>
      <c r="P1772" s="299">
        <f t="shared" si="245"/>
        <v>500</v>
      </c>
      <c r="Q1772" s="80">
        <v>100</v>
      </c>
      <c r="R1772" s="80">
        <v>600</v>
      </c>
      <c r="S1772" s="80"/>
      <c r="T1772" s="105">
        <f t="shared" si="252"/>
        <v>0.83333333333333337</v>
      </c>
      <c r="U1772" s="105">
        <f t="shared" si="246"/>
        <v>0.83333333333333337</v>
      </c>
      <c r="V1772" s="104">
        <f>IFERROR(VLOOKUP(L1772,'Raw material list'!$A$2:$S$3102,6,0),0)</f>
        <v>5.0000000000000001E-4</v>
      </c>
      <c r="W1772" s="104">
        <f t="shared" si="247"/>
        <v>4.1666666666666669E-4</v>
      </c>
    </row>
    <row r="1773" spans="1:23" hidden="1" x14ac:dyDescent="0.55000000000000004">
      <c r="A1773" s="76" t="str">
        <f t="shared" si="253"/>
        <v>RCP-SMC-000121</v>
      </c>
      <c r="B1773" s="58" t="s">
        <v>35</v>
      </c>
      <c r="C1773" s="58" t="s">
        <v>10</v>
      </c>
      <c r="D1773" s="76" t="str">
        <f t="shared" si="254"/>
        <v>Croissant Cheese</v>
      </c>
      <c r="E1773" s="76" t="s">
        <v>1536</v>
      </c>
      <c r="F1773" s="76" t="s">
        <v>1666</v>
      </c>
      <c r="G1773" s="76" t="s">
        <v>1666</v>
      </c>
      <c r="H1773" s="76" t="s">
        <v>1666</v>
      </c>
      <c r="I1773" s="76"/>
      <c r="J1773" s="76"/>
      <c r="K1773" s="58" t="str">
        <f>IFERROR(VLOOKUP(L1773,'Raw material list'!$A$3:$C$715,3,0),"")</f>
        <v>DRS1-978</v>
      </c>
      <c r="L1773" s="59" t="s">
        <v>56</v>
      </c>
      <c r="M1773" s="80" t="s">
        <v>156</v>
      </c>
      <c r="N1773" s="40" t="str">
        <f>VLOOKUP(L1773,'Raw material list'!$A$3:$E$715,5,0)</f>
        <v xml:space="preserve">Gram </v>
      </c>
      <c r="O1773" s="80">
        <v>2500</v>
      </c>
      <c r="P1773" s="299">
        <f t="shared" si="245"/>
        <v>2500</v>
      </c>
      <c r="Q1773" s="80">
        <v>100</v>
      </c>
      <c r="R1773" s="80">
        <v>600</v>
      </c>
      <c r="S1773" s="80"/>
      <c r="T1773" s="105">
        <f t="shared" si="252"/>
        <v>4.166666666666667</v>
      </c>
      <c r="U1773" s="105">
        <f t="shared" si="246"/>
        <v>4.166666666666667</v>
      </c>
      <c r="V1773" s="104">
        <f>IFERROR(VLOOKUP(L1773,'Raw material list'!$A$2:$S$3102,6,0),0)</f>
        <v>2.3999999999999998E-3</v>
      </c>
      <c r="W1773" s="104">
        <f t="shared" si="247"/>
        <v>0.01</v>
      </c>
    </row>
    <row r="1774" spans="1:23" hidden="1" x14ac:dyDescent="0.55000000000000004">
      <c r="A1774" s="76" t="str">
        <f t="shared" si="253"/>
        <v>RCP-SMC-000121</v>
      </c>
      <c r="B1774" s="58" t="s">
        <v>35</v>
      </c>
      <c r="C1774" s="58" t="s">
        <v>10</v>
      </c>
      <c r="D1774" s="76" t="str">
        <f t="shared" si="254"/>
        <v>Croissant Cheese</v>
      </c>
      <c r="E1774" s="76" t="s">
        <v>1536</v>
      </c>
      <c r="F1774" s="76" t="s">
        <v>1666</v>
      </c>
      <c r="G1774" s="76" t="s">
        <v>1666</v>
      </c>
      <c r="H1774" s="76" t="s">
        <v>1666</v>
      </c>
      <c r="I1774" s="76"/>
      <c r="J1774" s="76"/>
      <c r="K1774" s="58" t="str">
        <f>IFERROR(VLOOKUP(L1774,'Raw material list'!$A$3:$C$715,3,0),"")</f>
        <v>DRS5-1325</v>
      </c>
      <c r="L1774" s="59" t="s">
        <v>625</v>
      </c>
      <c r="M1774" s="80" t="s">
        <v>156</v>
      </c>
      <c r="N1774" s="40" t="str">
        <f>VLOOKUP(L1774,'Raw material list'!$A$3:$E$715,5,0)</f>
        <v xml:space="preserve">Gram </v>
      </c>
      <c r="O1774" s="80">
        <v>100</v>
      </c>
      <c r="P1774" s="299">
        <f t="shared" si="245"/>
        <v>100</v>
      </c>
      <c r="Q1774" s="80">
        <v>100</v>
      </c>
      <c r="R1774" s="80">
        <v>600</v>
      </c>
      <c r="S1774" s="80"/>
      <c r="T1774" s="105">
        <f t="shared" si="252"/>
        <v>0.16666666666666666</v>
      </c>
      <c r="U1774" s="105">
        <f t="shared" si="246"/>
        <v>0.16666666666666666</v>
      </c>
      <c r="V1774" s="104">
        <f>IFERROR(VLOOKUP(L1774,'Raw material list'!$A$2:$S$3102,6,0),0)</f>
        <v>1.17E-2</v>
      </c>
      <c r="W1774" s="104">
        <f t="shared" si="247"/>
        <v>1.9499999999999999E-3</v>
      </c>
    </row>
    <row r="1775" spans="1:23" hidden="1" x14ac:dyDescent="0.55000000000000004">
      <c r="A1775" s="76" t="str">
        <f t="shared" si="253"/>
        <v>RCP-SMC-000121</v>
      </c>
      <c r="B1775" s="58" t="s">
        <v>35</v>
      </c>
      <c r="C1775" s="58" t="s">
        <v>10</v>
      </c>
      <c r="D1775" s="76" t="str">
        <f t="shared" si="254"/>
        <v>Croissant Cheese</v>
      </c>
      <c r="E1775" s="76" t="s">
        <v>1536</v>
      </c>
      <c r="F1775" s="76" t="s">
        <v>1666</v>
      </c>
      <c r="G1775" s="76" t="s">
        <v>1666</v>
      </c>
      <c r="H1775" s="76" t="s">
        <v>1666</v>
      </c>
      <c r="I1775" s="76"/>
      <c r="J1775" s="76"/>
      <c r="K1775" s="58" t="str">
        <f>IFERROR(VLOOKUP(L1775,'Raw material list'!$A$3:$C$715,3,0),"")</f>
        <v>DRY2-149</v>
      </c>
      <c r="L1775" s="59" t="s">
        <v>408</v>
      </c>
      <c r="M1775" s="80" t="s">
        <v>156</v>
      </c>
      <c r="N1775" s="40" t="str">
        <f>VLOOKUP(L1775,'Raw material list'!$A$3:$E$715,5,0)</f>
        <v xml:space="preserve">Gram </v>
      </c>
      <c r="O1775" s="80">
        <v>18000</v>
      </c>
      <c r="P1775" s="299">
        <f t="shared" si="245"/>
        <v>18000</v>
      </c>
      <c r="Q1775" s="80">
        <v>100</v>
      </c>
      <c r="R1775" s="80">
        <v>600</v>
      </c>
      <c r="S1775" s="80"/>
      <c r="T1775" s="105">
        <f t="shared" si="252"/>
        <v>30</v>
      </c>
      <c r="U1775" s="105">
        <f t="shared" si="246"/>
        <v>30</v>
      </c>
      <c r="V1775" s="104">
        <f>IFERROR(VLOOKUP(L1775,'Raw material list'!$A$2:$S$3102,6,0),0)</f>
        <v>1.0999999999999999E-2</v>
      </c>
      <c r="W1775" s="104">
        <f t="shared" si="247"/>
        <v>0.32999999999999996</v>
      </c>
    </row>
    <row r="1776" spans="1:23" hidden="1" x14ac:dyDescent="0.55000000000000004">
      <c r="A1776" s="76" t="str">
        <f t="shared" si="253"/>
        <v>RCP-SMC-000121</v>
      </c>
      <c r="B1776" s="58" t="s">
        <v>35</v>
      </c>
      <c r="C1776" s="58" t="s">
        <v>10</v>
      </c>
      <c r="D1776" s="76" t="str">
        <f t="shared" si="254"/>
        <v>Croissant Cheese</v>
      </c>
      <c r="E1776" s="76" t="s">
        <v>1536</v>
      </c>
      <c r="F1776" s="76" t="s">
        <v>1666</v>
      </c>
      <c r="G1776" s="76" t="s">
        <v>1666</v>
      </c>
      <c r="H1776" s="76" t="s">
        <v>1666</v>
      </c>
      <c r="I1776" s="76"/>
      <c r="J1776" s="76"/>
      <c r="K1776" s="58" t="str">
        <f>IFERROR(VLOOKUP(L1776,'Raw material list'!$A$3:$C$715,3,0),"")</f>
        <v>DRY2-1388</v>
      </c>
      <c r="L1776" s="59" t="s">
        <v>126</v>
      </c>
      <c r="M1776" s="80" t="s">
        <v>206</v>
      </c>
      <c r="N1776" s="40" t="str">
        <f>VLOOKUP(L1776,'Raw material list'!$A$3:$E$715,5,0)</f>
        <v>Ml</v>
      </c>
      <c r="O1776" s="80">
        <v>5000</v>
      </c>
      <c r="P1776" s="299">
        <f t="shared" si="245"/>
        <v>5000</v>
      </c>
      <c r="Q1776" s="80">
        <v>100</v>
      </c>
      <c r="R1776" s="80">
        <v>600</v>
      </c>
      <c r="S1776" s="80"/>
      <c r="T1776" s="105">
        <f t="shared" si="252"/>
        <v>8.3333333333333339</v>
      </c>
      <c r="U1776" s="105">
        <f t="shared" si="246"/>
        <v>8.3333333333333339</v>
      </c>
      <c r="V1776" s="104">
        <f>IFERROR(VLOOKUP(L1776,'Raw material list'!$A$2:$S$3102,6,0),0)</f>
        <v>4.2500000000000003E-3</v>
      </c>
      <c r="W1776" s="104">
        <f t="shared" si="247"/>
        <v>3.5416666666666673E-2</v>
      </c>
    </row>
    <row r="1777" spans="1:23" hidden="1" x14ac:dyDescent="0.55000000000000004">
      <c r="A1777" s="76" t="str">
        <f t="shared" si="253"/>
        <v>RCP-SMC-000121</v>
      </c>
      <c r="B1777" s="58" t="s">
        <v>35</v>
      </c>
      <c r="C1777" s="58" t="s">
        <v>10</v>
      </c>
      <c r="D1777" s="76" t="str">
        <f t="shared" si="254"/>
        <v>Croissant Cheese</v>
      </c>
      <c r="E1777" s="76" t="s">
        <v>1536</v>
      </c>
      <c r="F1777" s="76" t="s">
        <v>1666</v>
      </c>
      <c r="G1777" s="76" t="s">
        <v>1666</v>
      </c>
      <c r="H1777" s="76" t="s">
        <v>1666</v>
      </c>
      <c r="I1777" s="76"/>
      <c r="J1777" s="76"/>
      <c r="K1777" s="58" t="str">
        <f>IFERROR(VLOOKUP(L1777,'Raw material list'!$A$3:$C$715,3,0),"")</f>
        <v>TAP-00001</v>
      </c>
      <c r="L1777" s="59" t="s">
        <v>1405</v>
      </c>
      <c r="M1777" s="80" t="s">
        <v>206</v>
      </c>
      <c r="N1777" s="40" t="str">
        <f>VLOOKUP(L1777,'Raw material list'!$A$3:$E$715,5,0)</f>
        <v>Ml</v>
      </c>
      <c r="O1777" s="80">
        <v>7000</v>
      </c>
      <c r="P1777" s="299">
        <f t="shared" si="245"/>
        <v>7000</v>
      </c>
      <c r="Q1777" s="80">
        <v>100</v>
      </c>
      <c r="R1777" s="80">
        <v>600</v>
      </c>
      <c r="S1777" s="80"/>
      <c r="T1777" s="105">
        <f t="shared" si="252"/>
        <v>11.666666666666666</v>
      </c>
      <c r="U1777" s="105">
        <f t="shared" si="246"/>
        <v>11.666666666666666</v>
      </c>
      <c r="V1777" s="104">
        <f>IFERROR(VLOOKUP(L1777,'Raw material list'!$A$2:$S$3102,6,0),0)</f>
        <v>8.0000000000000007E-5</v>
      </c>
      <c r="W1777" s="104">
        <f t="shared" si="247"/>
        <v>9.3333333333333332E-4</v>
      </c>
    </row>
    <row r="1778" spans="1:23" hidden="1" x14ac:dyDescent="0.55000000000000004">
      <c r="A1778" s="76" t="str">
        <f t="shared" si="253"/>
        <v>RCP-SMC-000121</v>
      </c>
      <c r="B1778" s="58" t="s">
        <v>35</v>
      </c>
      <c r="C1778" s="58" t="s">
        <v>10</v>
      </c>
      <c r="D1778" s="76" t="str">
        <f t="shared" si="254"/>
        <v>Croissant Cheese</v>
      </c>
      <c r="E1778" s="76" t="s">
        <v>1536</v>
      </c>
      <c r="F1778" s="76" t="s">
        <v>1666</v>
      </c>
      <c r="G1778" s="76" t="s">
        <v>1666</v>
      </c>
      <c r="H1778" s="76" t="s">
        <v>1666</v>
      </c>
      <c r="I1778" s="76"/>
      <c r="J1778" s="76"/>
      <c r="K1778" s="58" t="str">
        <f>IFERROR(VLOOKUP(L1778,'Raw material list'!$A$3:$C$715,3,0),"")</f>
        <v>PLT1-37</v>
      </c>
      <c r="L1778" s="59" t="s">
        <v>861</v>
      </c>
      <c r="M1778" s="80" t="s">
        <v>48</v>
      </c>
      <c r="N1778" s="40" t="str">
        <f>VLOOKUP(L1778,'Raw material list'!$A$3:$E$715,5,0)</f>
        <v>Each</v>
      </c>
      <c r="O1778" s="80">
        <v>20</v>
      </c>
      <c r="P1778" s="299">
        <f t="shared" si="245"/>
        <v>20</v>
      </c>
      <c r="Q1778" s="80">
        <v>100</v>
      </c>
      <c r="R1778" s="80">
        <v>600</v>
      </c>
      <c r="S1778" s="80"/>
      <c r="T1778" s="105">
        <f t="shared" si="252"/>
        <v>3.3333333333333333E-2</v>
      </c>
      <c r="U1778" s="105">
        <f t="shared" si="246"/>
        <v>3.3333333333333333E-2</v>
      </c>
      <c r="V1778" s="104">
        <f>IFERROR(VLOOKUP(L1778,'Raw material list'!$A$2:$S$3102,6,0),0)</f>
        <v>0.48299999999999998</v>
      </c>
      <c r="W1778" s="104">
        <f t="shared" si="247"/>
        <v>1.61E-2</v>
      </c>
    </row>
    <row r="1779" spans="1:23" hidden="1" x14ac:dyDescent="0.55000000000000004">
      <c r="A1779" s="76" t="str">
        <f t="shared" si="253"/>
        <v>RCP-SMC-000121</v>
      </c>
      <c r="B1779" s="58" t="s">
        <v>35</v>
      </c>
      <c r="C1779" s="58" t="s">
        <v>10</v>
      </c>
      <c r="D1779" s="76" t="str">
        <f t="shared" si="254"/>
        <v>Croissant Cheese</v>
      </c>
      <c r="E1779" s="76" t="s">
        <v>1536</v>
      </c>
      <c r="F1779" s="76" t="s">
        <v>1666</v>
      </c>
      <c r="G1779" s="76" t="s">
        <v>1666</v>
      </c>
      <c r="H1779" s="76" t="s">
        <v>1666</v>
      </c>
      <c r="I1779" s="76"/>
      <c r="J1779" s="76"/>
      <c r="K1779" s="58" t="str">
        <f>IFERROR(VLOOKUP(L1779,'Raw material list'!$A$3:$C$715,3,0),"")</f>
        <v>DRY2-1388</v>
      </c>
      <c r="L1779" s="59" t="s">
        <v>126</v>
      </c>
      <c r="M1779" s="80" t="s">
        <v>206</v>
      </c>
      <c r="N1779" s="40" t="str">
        <f>VLOOKUP(L1779,'Raw material list'!$A$3:$E$715,5,0)</f>
        <v>Ml</v>
      </c>
      <c r="O1779" s="80">
        <v>1200</v>
      </c>
      <c r="P1779" s="299">
        <f t="shared" si="245"/>
        <v>1200</v>
      </c>
      <c r="Q1779" s="80">
        <v>100</v>
      </c>
      <c r="R1779" s="80">
        <v>600</v>
      </c>
      <c r="S1779" s="80"/>
      <c r="T1779" s="105">
        <f t="shared" si="252"/>
        <v>2</v>
      </c>
      <c r="U1779" s="105">
        <f t="shared" si="246"/>
        <v>2</v>
      </c>
      <c r="V1779" s="104">
        <f>IFERROR(VLOOKUP(L1779,'Raw material list'!$A$2:$S$3102,6,0),0)</f>
        <v>4.2500000000000003E-3</v>
      </c>
      <c r="W1779" s="104">
        <f t="shared" si="247"/>
        <v>8.5000000000000006E-3</v>
      </c>
    </row>
    <row r="1780" spans="1:23" hidden="1" x14ac:dyDescent="0.55000000000000004">
      <c r="A1780" s="76" t="str">
        <f t="shared" si="253"/>
        <v>RCP-SMC-000121</v>
      </c>
      <c r="B1780" s="58" t="s">
        <v>35</v>
      </c>
      <c r="C1780" s="58" t="s">
        <v>10</v>
      </c>
      <c r="D1780" s="76" t="str">
        <f t="shared" si="254"/>
        <v>Croissant Cheese</v>
      </c>
      <c r="E1780" s="76" t="s">
        <v>1536</v>
      </c>
      <c r="F1780" s="76" t="s">
        <v>1666</v>
      </c>
      <c r="G1780" s="76" t="s">
        <v>1666</v>
      </c>
      <c r="H1780" s="76" t="s">
        <v>1666</v>
      </c>
      <c r="I1780" s="76"/>
      <c r="J1780" s="76"/>
      <c r="K1780" s="58" t="str">
        <f>IFERROR(VLOOKUP(L1780,'Raw material list'!$A$3:$C$715,3,0),"")</f>
        <v>DRY2-1858</v>
      </c>
      <c r="L1780" s="59" t="s">
        <v>60</v>
      </c>
      <c r="M1780" s="80" t="s">
        <v>206</v>
      </c>
      <c r="N1780" s="40" t="str">
        <f>VLOOKUP(L1780,'Raw material list'!$A$3:$E$715,5,0)</f>
        <v>Ml</v>
      </c>
      <c r="O1780" s="80">
        <v>600</v>
      </c>
      <c r="P1780" s="299">
        <f t="shared" si="245"/>
        <v>600</v>
      </c>
      <c r="Q1780" s="80">
        <v>100</v>
      </c>
      <c r="R1780" s="80">
        <v>600</v>
      </c>
      <c r="S1780" s="80"/>
      <c r="T1780" s="105">
        <f t="shared" si="252"/>
        <v>1</v>
      </c>
      <c r="U1780" s="105">
        <f t="shared" si="246"/>
        <v>1</v>
      </c>
      <c r="V1780" s="104">
        <f>IFERROR(VLOOKUP(L1780,'Raw material list'!$A$2:$S$3102,6,0),0)</f>
        <v>9.8800000000000016E-3</v>
      </c>
      <c r="W1780" s="104">
        <f t="shared" si="247"/>
        <v>9.8800000000000016E-3</v>
      </c>
    </row>
    <row r="1781" spans="1:23" hidden="1" x14ac:dyDescent="0.55000000000000004">
      <c r="A1781" s="76" t="str">
        <f t="shared" si="253"/>
        <v>RCP-SMC-000121</v>
      </c>
      <c r="B1781" s="58" t="s">
        <v>35</v>
      </c>
      <c r="C1781" s="58" t="s">
        <v>10</v>
      </c>
      <c r="D1781" s="76" t="str">
        <f t="shared" si="254"/>
        <v>Croissant Cheese</v>
      </c>
      <c r="E1781" s="76" t="s">
        <v>1536</v>
      </c>
      <c r="F1781" s="76" t="s">
        <v>1666</v>
      </c>
      <c r="G1781" s="76" t="s">
        <v>1666</v>
      </c>
      <c r="H1781" s="76" t="s">
        <v>1666</v>
      </c>
      <c r="I1781" s="76"/>
      <c r="J1781" s="76"/>
      <c r="K1781" s="58" t="str">
        <f>IFERROR(VLOOKUP(L1781,'Raw material list'!$A$3:$C$715,3,0),"")</f>
        <v>DRS1-978</v>
      </c>
      <c r="L1781" s="59" t="s">
        <v>56</v>
      </c>
      <c r="M1781" s="80" t="s">
        <v>156</v>
      </c>
      <c r="N1781" s="40" t="str">
        <f>VLOOKUP(L1781,'Raw material list'!$A$3:$E$715,5,0)</f>
        <v xml:space="preserve">Gram </v>
      </c>
      <c r="O1781" s="80">
        <v>250</v>
      </c>
      <c r="P1781" s="299">
        <f t="shared" si="245"/>
        <v>250</v>
      </c>
      <c r="Q1781" s="80">
        <v>100</v>
      </c>
      <c r="R1781" s="80">
        <v>600</v>
      </c>
      <c r="S1781" s="80"/>
      <c r="T1781" s="105">
        <f t="shared" si="252"/>
        <v>0.41666666666666669</v>
      </c>
      <c r="U1781" s="105">
        <f t="shared" si="246"/>
        <v>0.41666666666666669</v>
      </c>
      <c r="V1781" s="104">
        <f>IFERROR(VLOOKUP(L1781,'Raw material list'!$A$2:$S$3102,6,0),0)</f>
        <v>2.3999999999999998E-3</v>
      </c>
      <c r="W1781" s="104">
        <f t="shared" si="247"/>
        <v>1E-3</v>
      </c>
    </row>
    <row r="1782" spans="1:23" hidden="1" x14ac:dyDescent="0.55000000000000004">
      <c r="A1782" s="76" t="str">
        <f t="shared" si="253"/>
        <v>RCP-SMC-000121</v>
      </c>
      <c r="B1782" s="58" t="s">
        <v>35</v>
      </c>
      <c r="C1782" s="58" t="s">
        <v>10</v>
      </c>
      <c r="D1782" s="76" t="str">
        <f t="shared" si="254"/>
        <v>Croissant Cheese</v>
      </c>
      <c r="E1782" s="76" t="s">
        <v>1536</v>
      </c>
      <c r="F1782" s="76" t="s">
        <v>1666</v>
      </c>
      <c r="G1782" s="76" t="s">
        <v>1666</v>
      </c>
      <c r="H1782" s="76" t="s">
        <v>1666</v>
      </c>
      <c r="I1782" s="76"/>
      <c r="J1782" s="76"/>
      <c r="K1782" s="58" t="str">
        <f>IFERROR(VLOOKUP(L1782,'Raw material list'!$A$3:$C$715,3,0),"")</f>
        <v>DRS1-1823</v>
      </c>
      <c r="L1782" s="59" t="s">
        <v>619</v>
      </c>
      <c r="M1782" s="80" t="s">
        <v>156</v>
      </c>
      <c r="N1782" s="40" t="str">
        <f>VLOOKUP(L1782,'Raw material list'!$A$3:$E$715,5,0)</f>
        <v xml:space="preserve">Gram </v>
      </c>
      <c r="O1782" s="80">
        <v>20</v>
      </c>
      <c r="P1782" s="299">
        <f t="shared" si="245"/>
        <v>20</v>
      </c>
      <c r="Q1782" s="80">
        <v>100</v>
      </c>
      <c r="R1782" s="80">
        <v>600</v>
      </c>
      <c r="S1782" s="80"/>
      <c r="T1782" s="105">
        <f t="shared" si="252"/>
        <v>3.3333333333333333E-2</v>
      </c>
      <c r="U1782" s="105">
        <f t="shared" si="246"/>
        <v>3.3333333333333333E-2</v>
      </c>
      <c r="V1782" s="104">
        <f>IFERROR(VLOOKUP(L1782,'Raw material list'!$A$2:$S$3102,6,0),0)</f>
        <v>4.9000000000000002E-2</v>
      </c>
      <c r="W1782" s="104">
        <f t="shared" si="247"/>
        <v>1.6333333333333334E-3</v>
      </c>
    </row>
    <row r="1783" spans="1:23" hidden="1" x14ac:dyDescent="0.55000000000000004">
      <c r="A1783" s="76" t="str">
        <f t="shared" si="253"/>
        <v>RCP-SMC-000121</v>
      </c>
      <c r="B1783" s="58" t="s">
        <v>35</v>
      </c>
      <c r="C1783" s="58" t="s">
        <v>10</v>
      </c>
      <c r="D1783" s="76" t="str">
        <f t="shared" si="254"/>
        <v>Croissant Cheese</v>
      </c>
      <c r="E1783" s="76" t="s">
        <v>1536</v>
      </c>
      <c r="F1783" s="76" t="s">
        <v>1666</v>
      </c>
      <c r="G1783" s="76" t="s">
        <v>1666</v>
      </c>
      <c r="H1783" s="76" t="s">
        <v>1666</v>
      </c>
      <c r="I1783" s="76"/>
      <c r="J1783" s="76"/>
      <c r="K1783" s="58" t="str">
        <f>IFERROR(VLOOKUP(L1783,'Raw material list'!$A$3:$C$715,3,0),"")</f>
        <v>DRY1-1846</v>
      </c>
      <c r="L1783" s="59" t="s">
        <v>1667</v>
      </c>
      <c r="M1783" s="80" t="s">
        <v>156</v>
      </c>
      <c r="N1783" s="40" t="str">
        <f>VLOOKUP(L1783,'Raw material list'!$A$3:$E$715,5,0)</f>
        <v xml:space="preserve">Gram </v>
      </c>
      <c r="O1783" s="80">
        <v>6000</v>
      </c>
      <c r="P1783" s="299">
        <f t="shared" si="245"/>
        <v>6000</v>
      </c>
      <c r="Q1783" s="80">
        <v>100</v>
      </c>
      <c r="R1783" s="80">
        <v>600</v>
      </c>
      <c r="S1783" s="80"/>
      <c r="T1783" s="105">
        <f t="shared" si="252"/>
        <v>10</v>
      </c>
      <c r="U1783" s="105">
        <f t="shared" si="246"/>
        <v>10</v>
      </c>
      <c r="V1783" s="104">
        <f>IFERROR(VLOOKUP(L1783,'Raw material list'!$A$2:$S$3102,6,0),0)</f>
        <v>8.5749999999999993E-3</v>
      </c>
      <c r="W1783" s="104">
        <f t="shared" si="247"/>
        <v>8.5749999999999993E-2</v>
      </c>
    </row>
    <row r="1784" spans="1:23" hidden="1" x14ac:dyDescent="0.55000000000000004">
      <c r="A1784" s="76" t="s">
        <v>1708</v>
      </c>
      <c r="B1784" s="58" t="s">
        <v>35</v>
      </c>
      <c r="C1784" s="58" t="s">
        <v>10</v>
      </c>
      <c r="D1784" s="76" t="s">
        <v>1668</v>
      </c>
      <c r="E1784" s="76" t="s">
        <v>1536</v>
      </c>
      <c r="F1784" s="76" t="s">
        <v>1666</v>
      </c>
      <c r="G1784" s="76" t="s">
        <v>1666</v>
      </c>
      <c r="H1784" s="76" t="s">
        <v>1666</v>
      </c>
      <c r="I1784" s="76"/>
      <c r="J1784" s="76"/>
      <c r="K1784" s="58" t="str">
        <f>IFERROR(VLOOKUP(L1784,'Raw material list'!$A$3:$C$715,3,0),"")</f>
        <v>DRS1-444</v>
      </c>
      <c r="L1784" s="59" t="s">
        <v>224</v>
      </c>
      <c r="M1784" s="80" t="s">
        <v>156</v>
      </c>
      <c r="N1784" s="40" t="str">
        <f>VLOOKUP(L1784,'Raw material list'!$A$3:$E$715,5,0)</f>
        <v xml:space="preserve">Gram </v>
      </c>
      <c r="O1784" s="80">
        <v>2350</v>
      </c>
      <c r="P1784" s="299">
        <f t="shared" si="245"/>
        <v>2350</v>
      </c>
      <c r="Q1784" s="80">
        <v>100</v>
      </c>
      <c r="R1784" s="80">
        <v>30</v>
      </c>
      <c r="S1784" s="80"/>
      <c r="T1784" s="105">
        <f t="shared" si="252"/>
        <v>78.333333333333329</v>
      </c>
      <c r="U1784" s="105">
        <f t="shared" si="246"/>
        <v>78.333333333333329</v>
      </c>
      <c r="V1784" s="104">
        <f>IFERROR(VLOOKUP(L1784,'Raw material list'!$A$2:$S$3102,6,0),0)</f>
        <v>8.8999999999999999E-3</v>
      </c>
      <c r="W1784" s="104">
        <f t="shared" si="247"/>
        <v>0.6971666666666666</v>
      </c>
    </row>
    <row r="1785" spans="1:23" hidden="1" x14ac:dyDescent="0.55000000000000004">
      <c r="A1785" s="76" t="str">
        <f t="shared" ref="A1785:A1792" si="255">A1784</f>
        <v>RCP-SMC-000122</v>
      </c>
      <c r="B1785" s="58" t="s">
        <v>35</v>
      </c>
      <c r="C1785" s="58" t="s">
        <v>10</v>
      </c>
      <c r="D1785" s="76" t="str">
        <f t="shared" ref="D1785:D1792" si="256">D1784</f>
        <v>foul Medames</v>
      </c>
      <c r="E1785" s="76" t="s">
        <v>1536</v>
      </c>
      <c r="F1785" s="76" t="s">
        <v>1666</v>
      </c>
      <c r="G1785" s="76" t="s">
        <v>1666</v>
      </c>
      <c r="H1785" s="76" t="s">
        <v>1666</v>
      </c>
      <c r="I1785" s="76"/>
      <c r="J1785" s="76"/>
      <c r="K1785" s="58" t="str">
        <f>IFERROR(VLOOKUP(L1785,'Raw material list'!$A$3:$C$715,3,0),"")</f>
        <v>PRD1-572</v>
      </c>
      <c r="L1785" s="59" t="s">
        <v>54</v>
      </c>
      <c r="M1785" s="80" t="s">
        <v>156</v>
      </c>
      <c r="N1785" s="40" t="str">
        <f>VLOOKUP(L1785,'Raw material list'!$A$3:$E$715,5,0)</f>
        <v xml:space="preserve">Gram </v>
      </c>
      <c r="O1785" s="80">
        <v>200</v>
      </c>
      <c r="P1785" s="299">
        <f t="shared" si="245"/>
        <v>226.67170381564031</v>
      </c>
      <c r="Q1785" s="105">
        <v>88.233333333333348</v>
      </c>
      <c r="R1785" s="80">
        <v>30</v>
      </c>
      <c r="S1785" s="80"/>
      <c r="T1785" s="105">
        <f t="shared" si="252"/>
        <v>6.666666666666667</v>
      </c>
      <c r="U1785" s="105">
        <f t="shared" si="246"/>
        <v>7.5557234605213441</v>
      </c>
      <c r="V1785" s="104">
        <f>IFERROR(VLOOKUP(L1785,'Raw material list'!$A$2:$S$3102,6,0),0)</f>
        <v>4.5351473922902496E-3</v>
      </c>
      <c r="W1785" s="104">
        <f t="shared" si="247"/>
        <v>3.4266319548849636E-2</v>
      </c>
    </row>
    <row r="1786" spans="1:23" hidden="1" x14ac:dyDescent="0.55000000000000004">
      <c r="A1786" s="76" t="str">
        <f t="shared" si="255"/>
        <v>RCP-SMC-000122</v>
      </c>
      <c r="B1786" s="58" t="s">
        <v>35</v>
      </c>
      <c r="C1786" s="58" t="s">
        <v>10</v>
      </c>
      <c r="D1786" s="76" t="str">
        <f t="shared" si="256"/>
        <v>foul Medames</v>
      </c>
      <c r="E1786" s="76" t="s">
        <v>1536</v>
      </c>
      <c r="F1786" s="76" t="s">
        <v>1666</v>
      </c>
      <c r="G1786" s="76" t="s">
        <v>1666</v>
      </c>
      <c r="H1786" s="76" t="s">
        <v>1666</v>
      </c>
      <c r="I1786" s="76"/>
      <c r="J1786" s="76"/>
      <c r="K1786" s="58" t="str">
        <f>IFERROR(VLOOKUP(L1786,'Raw material list'!$A$3:$C$715,3,0),"")</f>
        <v>PRD1-4265</v>
      </c>
      <c r="L1786" s="59" t="s">
        <v>38</v>
      </c>
      <c r="M1786" s="80" t="s">
        <v>156</v>
      </c>
      <c r="N1786" s="40" t="str">
        <f>VLOOKUP(L1786,'Raw material list'!$A$3:$E$715,5,0)</f>
        <v xml:space="preserve">Gram </v>
      </c>
      <c r="O1786" s="80">
        <v>125</v>
      </c>
      <c r="P1786" s="299">
        <f t="shared" si="245"/>
        <v>147.05882352941177</v>
      </c>
      <c r="Q1786" s="105">
        <v>85</v>
      </c>
      <c r="R1786" s="80">
        <v>30</v>
      </c>
      <c r="S1786" s="80"/>
      <c r="T1786" s="105">
        <f t="shared" si="252"/>
        <v>4.166666666666667</v>
      </c>
      <c r="U1786" s="105">
        <f t="shared" si="246"/>
        <v>4.9019607843137258</v>
      </c>
      <c r="V1786" s="104">
        <f>IFERROR(VLOOKUP(L1786,'Raw material list'!$A$2:$S$3102,6,0),0)</f>
        <v>3.529411764705882E-3</v>
      </c>
      <c r="W1786" s="104">
        <f t="shared" si="247"/>
        <v>1.7301038062283738E-2</v>
      </c>
    </row>
    <row r="1787" spans="1:23" hidden="1" x14ac:dyDescent="0.55000000000000004">
      <c r="A1787" s="76" t="str">
        <f t="shared" si="255"/>
        <v>RCP-SMC-000122</v>
      </c>
      <c r="B1787" s="58" t="s">
        <v>35</v>
      </c>
      <c r="C1787" s="58" t="s">
        <v>10</v>
      </c>
      <c r="D1787" s="76" t="str">
        <f t="shared" si="256"/>
        <v>foul Medames</v>
      </c>
      <c r="E1787" s="76" t="s">
        <v>1536</v>
      </c>
      <c r="F1787" s="76" t="s">
        <v>1666</v>
      </c>
      <c r="G1787" s="76" t="s">
        <v>1666</v>
      </c>
      <c r="H1787" s="76" t="s">
        <v>1666</v>
      </c>
      <c r="I1787" s="76"/>
      <c r="J1787" s="76"/>
      <c r="K1787" s="58" t="str">
        <f>IFERROR(VLOOKUP(L1787,'Raw material list'!$A$3:$C$715,3,0),"")</f>
        <v>PRD1-195</v>
      </c>
      <c r="L1787" s="59" t="s">
        <v>90</v>
      </c>
      <c r="M1787" s="80" t="s">
        <v>156</v>
      </c>
      <c r="N1787" s="40" t="str">
        <f>VLOOKUP(L1787,'Raw material list'!$A$3:$E$715,5,0)</f>
        <v xml:space="preserve">Gram </v>
      </c>
      <c r="O1787" s="80">
        <v>100</v>
      </c>
      <c r="P1787" s="299">
        <f t="shared" si="245"/>
        <v>234.37499999999994</v>
      </c>
      <c r="Q1787" s="105">
        <v>42.666666666666671</v>
      </c>
      <c r="R1787" s="80">
        <v>30</v>
      </c>
      <c r="S1787" s="80"/>
      <c r="T1787" s="105">
        <f t="shared" si="252"/>
        <v>3.3333333333333335</v>
      </c>
      <c r="U1787" s="105">
        <f t="shared" si="246"/>
        <v>7.8124999999999982</v>
      </c>
      <c r="V1787" s="104">
        <f>IFERROR(VLOOKUP(L1787,'Raw material list'!$A$2:$S$3102,6,0),0)</f>
        <v>9.3676814988290415E-3</v>
      </c>
      <c r="W1787" s="104">
        <f t="shared" si="247"/>
        <v>7.3185011709601872E-2</v>
      </c>
    </row>
    <row r="1788" spans="1:23" hidden="1" x14ac:dyDescent="0.55000000000000004">
      <c r="A1788" s="76" t="str">
        <f t="shared" si="255"/>
        <v>RCP-SMC-000122</v>
      </c>
      <c r="B1788" s="58" t="s">
        <v>35</v>
      </c>
      <c r="C1788" s="58" t="s">
        <v>10</v>
      </c>
      <c r="D1788" s="76" t="str">
        <f t="shared" si="256"/>
        <v>foul Medames</v>
      </c>
      <c r="E1788" s="76" t="s">
        <v>1536</v>
      </c>
      <c r="F1788" s="76" t="s">
        <v>1666</v>
      </c>
      <c r="G1788" s="76" t="s">
        <v>1666</v>
      </c>
      <c r="H1788" s="76" t="s">
        <v>1666</v>
      </c>
      <c r="I1788" s="76"/>
      <c r="J1788" s="76"/>
      <c r="K1788" s="58" t="str">
        <f>IFERROR(VLOOKUP(L1788,'Raw material list'!$A$3:$C$715,3,0),"")</f>
        <v>PRD1-4327</v>
      </c>
      <c r="L1788" s="59" t="s">
        <v>39</v>
      </c>
      <c r="M1788" s="80" t="s">
        <v>156</v>
      </c>
      <c r="N1788" s="40" t="str">
        <f>VLOOKUP(L1788,'Raw material list'!$A$3:$E$715,5,0)</f>
        <v xml:space="preserve">Gram </v>
      </c>
      <c r="O1788" s="80">
        <v>15</v>
      </c>
      <c r="P1788" s="299">
        <f t="shared" si="245"/>
        <v>18.072289156626507</v>
      </c>
      <c r="Q1788" s="105">
        <v>83</v>
      </c>
      <c r="R1788" s="80">
        <v>30</v>
      </c>
      <c r="S1788" s="80"/>
      <c r="T1788" s="105">
        <f t="shared" si="252"/>
        <v>0.5</v>
      </c>
      <c r="U1788" s="105">
        <f t="shared" si="246"/>
        <v>0.60240963855421692</v>
      </c>
      <c r="V1788" s="104">
        <f>IFERROR(VLOOKUP(L1788,'Raw material list'!$A$2:$S$3102,6,0),0)</f>
        <v>1.2999999999999999E-2</v>
      </c>
      <c r="W1788" s="104">
        <f t="shared" si="247"/>
        <v>7.8313253012048199E-3</v>
      </c>
    </row>
    <row r="1789" spans="1:23" hidden="1" x14ac:dyDescent="0.55000000000000004">
      <c r="A1789" s="76" t="str">
        <f t="shared" si="255"/>
        <v>RCP-SMC-000122</v>
      </c>
      <c r="B1789" s="58" t="s">
        <v>35</v>
      </c>
      <c r="C1789" s="58" t="s">
        <v>10</v>
      </c>
      <c r="D1789" s="76" t="str">
        <f t="shared" si="256"/>
        <v>foul Medames</v>
      </c>
      <c r="E1789" s="76" t="s">
        <v>1536</v>
      </c>
      <c r="F1789" s="76" t="s">
        <v>1666</v>
      </c>
      <c r="G1789" s="76" t="s">
        <v>1666</v>
      </c>
      <c r="H1789" s="76" t="s">
        <v>1666</v>
      </c>
      <c r="I1789" s="76"/>
      <c r="J1789" s="76"/>
      <c r="K1789" s="58" t="str">
        <f>IFERROR(VLOOKUP(L1789,'Raw material list'!$A$3:$C$715,3,0),"")</f>
        <v>DRS6-733</v>
      </c>
      <c r="L1789" s="59" t="s">
        <v>45</v>
      </c>
      <c r="M1789" s="80" t="s">
        <v>156</v>
      </c>
      <c r="N1789" s="40" t="str">
        <f>VLOOKUP(L1789,'Raw material list'!$A$3:$E$715,5,0)</f>
        <v xml:space="preserve">Gram </v>
      </c>
      <c r="O1789" s="80">
        <v>15</v>
      </c>
      <c r="P1789" s="299">
        <f t="shared" si="245"/>
        <v>15</v>
      </c>
      <c r="Q1789" s="303">
        <v>100</v>
      </c>
      <c r="R1789" s="80">
        <v>30</v>
      </c>
      <c r="S1789" s="80"/>
      <c r="T1789" s="105">
        <f t="shared" si="252"/>
        <v>0.5</v>
      </c>
      <c r="U1789" s="105">
        <f t="shared" si="246"/>
        <v>0.5</v>
      </c>
      <c r="V1789" s="104">
        <f>IFERROR(VLOOKUP(L1789,'Raw material list'!$A$2:$S$3102,6,0),0)</f>
        <v>2.8000000000000001E-2</v>
      </c>
      <c r="W1789" s="104">
        <f t="shared" si="247"/>
        <v>1.4E-2</v>
      </c>
    </row>
    <row r="1790" spans="1:23" hidden="1" x14ac:dyDescent="0.55000000000000004">
      <c r="A1790" s="76" t="str">
        <f t="shared" si="255"/>
        <v>RCP-SMC-000122</v>
      </c>
      <c r="B1790" s="58" t="s">
        <v>35</v>
      </c>
      <c r="C1790" s="58" t="s">
        <v>10</v>
      </c>
      <c r="D1790" s="76" t="str">
        <f t="shared" si="256"/>
        <v>foul Medames</v>
      </c>
      <c r="E1790" s="76" t="s">
        <v>1536</v>
      </c>
      <c r="F1790" s="76" t="s">
        <v>1666</v>
      </c>
      <c r="G1790" s="76" t="s">
        <v>1666</v>
      </c>
      <c r="H1790" s="76" t="s">
        <v>1666</v>
      </c>
      <c r="I1790" s="76"/>
      <c r="J1790" s="76"/>
      <c r="K1790" s="58" t="str">
        <f>IFERROR(VLOOKUP(L1790,'Raw material list'!$A$3:$C$715,3,0),"")</f>
        <v>DRS6-266</v>
      </c>
      <c r="L1790" s="59" t="s">
        <v>99</v>
      </c>
      <c r="M1790" s="80" t="s">
        <v>156</v>
      </c>
      <c r="N1790" s="40" t="str">
        <f>VLOOKUP(L1790,'Raw material list'!$A$3:$E$715,5,0)</f>
        <v xml:space="preserve">Gram </v>
      </c>
      <c r="O1790" s="80">
        <v>10</v>
      </c>
      <c r="P1790" s="299">
        <f t="shared" si="245"/>
        <v>10</v>
      </c>
      <c r="Q1790" s="80">
        <v>100</v>
      </c>
      <c r="R1790" s="80">
        <v>30</v>
      </c>
      <c r="S1790" s="80"/>
      <c r="T1790" s="105">
        <f t="shared" si="252"/>
        <v>0.33333333333333331</v>
      </c>
      <c r="U1790" s="105">
        <f t="shared" si="246"/>
        <v>0.33333333333333331</v>
      </c>
      <c r="V1790" s="104">
        <f>IFERROR(VLOOKUP(L1790,'Raw material list'!$A$2:$S$3102,6,0),0)</f>
        <v>1.4E-2</v>
      </c>
      <c r="W1790" s="104">
        <f t="shared" si="247"/>
        <v>4.6666666666666662E-3</v>
      </c>
    </row>
    <row r="1791" spans="1:23" hidden="1" x14ac:dyDescent="0.55000000000000004">
      <c r="A1791" s="76" t="str">
        <f t="shared" si="255"/>
        <v>RCP-SMC-000122</v>
      </c>
      <c r="B1791" s="58" t="s">
        <v>35</v>
      </c>
      <c r="C1791" s="58" t="s">
        <v>10</v>
      </c>
      <c r="D1791" s="76" t="str">
        <f t="shared" si="256"/>
        <v>foul Medames</v>
      </c>
      <c r="E1791" s="76" t="s">
        <v>1536</v>
      </c>
      <c r="F1791" s="76" t="s">
        <v>1666</v>
      </c>
      <c r="G1791" s="76" t="s">
        <v>1666</v>
      </c>
      <c r="H1791" s="76" t="s">
        <v>1666</v>
      </c>
      <c r="I1791" s="76"/>
      <c r="J1791" s="76"/>
      <c r="K1791" s="58" t="str">
        <f>IFERROR(VLOOKUP(L1791,'Raw material list'!$A$3:$C$715,3,0),"")</f>
        <v>DRS6-1727</v>
      </c>
      <c r="L1791" s="59" t="s">
        <v>106</v>
      </c>
      <c r="M1791" s="80" t="s">
        <v>156</v>
      </c>
      <c r="N1791" s="40" t="str">
        <f>VLOOKUP(L1791,'Raw material list'!$A$3:$E$715,5,0)</f>
        <v xml:space="preserve">Gram </v>
      </c>
      <c r="O1791" s="80">
        <v>5</v>
      </c>
      <c r="P1791" s="299">
        <f t="shared" si="245"/>
        <v>5</v>
      </c>
      <c r="Q1791" s="80">
        <v>100</v>
      </c>
      <c r="R1791" s="80">
        <v>30</v>
      </c>
      <c r="S1791" s="80"/>
      <c r="T1791" s="105">
        <f t="shared" si="252"/>
        <v>0.16666666666666666</v>
      </c>
      <c r="U1791" s="105">
        <f t="shared" si="246"/>
        <v>0.16666666666666666</v>
      </c>
      <c r="V1791" s="104">
        <f>IFERROR(VLOOKUP(L1791,'Raw material list'!$A$2:$S$3102,6,0),0)</f>
        <v>2.5000000000000001E-2</v>
      </c>
      <c r="W1791" s="104">
        <f t="shared" si="247"/>
        <v>4.1666666666666666E-3</v>
      </c>
    </row>
    <row r="1792" spans="1:23" hidden="1" x14ac:dyDescent="0.55000000000000004">
      <c r="A1792" s="76" t="str">
        <f t="shared" si="255"/>
        <v>RCP-SMC-000122</v>
      </c>
      <c r="B1792" s="58" t="s">
        <v>35</v>
      </c>
      <c r="C1792" s="58" t="s">
        <v>10</v>
      </c>
      <c r="D1792" s="76" t="str">
        <f t="shared" si="256"/>
        <v>foul Medames</v>
      </c>
      <c r="E1792" s="76" t="s">
        <v>1536</v>
      </c>
      <c r="F1792" s="76" t="s">
        <v>1666</v>
      </c>
      <c r="G1792" s="76" t="s">
        <v>1666</v>
      </c>
      <c r="H1792" s="76" t="s">
        <v>1666</v>
      </c>
      <c r="I1792" s="76"/>
      <c r="J1792" s="76"/>
      <c r="K1792" s="58" t="str">
        <f>IFERROR(VLOOKUP(L1792,'Raw material list'!$A$3:$C$715,3,0),"")</f>
        <v>DRS3-1615</v>
      </c>
      <c r="L1792" s="59" t="s">
        <v>50</v>
      </c>
      <c r="M1792" s="80" t="s">
        <v>206</v>
      </c>
      <c r="N1792" s="40" t="str">
        <f>VLOOKUP(L1792,'Raw material list'!$A$3:$E$715,5,0)</f>
        <v>Ml</v>
      </c>
      <c r="O1792" s="80">
        <v>150</v>
      </c>
      <c r="P1792" s="299">
        <f t="shared" si="245"/>
        <v>150</v>
      </c>
      <c r="Q1792" s="80">
        <v>100</v>
      </c>
      <c r="R1792" s="80">
        <v>30</v>
      </c>
      <c r="S1792" s="80"/>
      <c r="T1792" s="105">
        <f t="shared" si="252"/>
        <v>5</v>
      </c>
      <c r="U1792" s="105">
        <f t="shared" si="246"/>
        <v>5</v>
      </c>
      <c r="V1792" s="104">
        <f>IFERROR(VLOOKUP(L1792,'Raw material list'!$A$2:$S$3102,6,0),0)</f>
        <v>1.2E-2</v>
      </c>
      <c r="W1792" s="104">
        <f t="shared" si="247"/>
        <v>0.06</v>
      </c>
    </row>
    <row r="1793" spans="1:23" hidden="1" x14ac:dyDescent="0.55000000000000004">
      <c r="A1793" s="76" t="s">
        <v>1709</v>
      </c>
      <c r="B1793" s="58" t="s">
        <v>35</v>
      </c>
      <c r="C1793" s="58" t="s">
        <v>10</v>
      </c>
      <c r="D1793" s="76" t="s">
        <v>1669</v>
      </c>
      <c r="E1793" s="76" t="s">
        <v>1536</v>
      </c>
      <c r="F1793" s="76" t="s">
        <v>1666</v>
      </c>
      <c r="G1793" s="76" t="s">
        <v>1666</v>
      </c>
      <c r="H1793" s="76" t="s">
        <v>1666</v>
      </c>
      <c r="I1793" s="76"/>
      <c r="J1793" s="76"/>
      <c r="K1793" s="58" t="str">
        <f>IFERROR(VLOOKUP(L1793,'Raw material list'!$A$3:$C$715,3,0),"")</f>
        <v>DRY2-3401</v>
      </c>
      <c r="L1793" s="59" t="s">
        <v>422</v>
      </c>
      <c r="M1793" s="80" t="s">
        <v>156</v>
      </c>
      <c r="N1793" s="40" t="str">
        <f>VLOOKUP(L1793,'Raw material list'!$A$3:$E$715,5,0)</f>
        <v xml:space="preserve">Gram </v>
      </c>
      <c r="O1793" s="80">
        <v>100</v>
      </c>
      <c r="P1793" s="299">
        <f t="shared" si="245"/>
        <v>100</v>
      </c>
      <c r="Q1793" s="80">
        <v>100</v>
      </c>
      <c r="R1793" s="80">
        <v>1</v>
      </c>
      <c r="S1793" s="80"/>
      <c r="T1793" s="105">
        <f t="shared" si="252"/>
        <v>100</v>
      </c>
      <c r="U1793" s="105">
        <f t="shared" si="246"/>
        <v>100</v>
      </c>
      <c r="V1793" s="104">
        <f>IFERROR(VLOOKUP(L1793,'Raw material list'!$A$2:$S$3102,6,0),0)</f>
        <v>1.2272727272727272E-2</v>
      </c>
      <c r="W1793" s="104">
        <f t="shared" si="247"/>
        <v>1.2272727272727273</v>
      </c>
    </row>
    <row r="1794" spans="1:23" hidden="1" x14ac:dyDescent="0.55000000000000004">
      <c r="A1794" s="76" t="str">
        <f t="shared" ref="A1794:A1795" si="257">A1793</f>
        <v>RCP-SMC-000123</v>
      </c>
      <c r="B1794" s="58" t="s">
        <v>35</v>
      </c>
      <c r="C1794" s="58" t="s">
        <v>10</v>
      </c>
      <c r="D1794" s="76" t="str">
        <f t="shared" ref="D1794:D1795" si="258">D1793</f>
        <v>labnah</v>
      </c>
      <c r="E1794" s="76" t="s">
        <v>1536</v>
      </c>
      <c r="F1794" s="76" t="s">
        <v>1666</v>
      </c>
      <c r="G1794" s="76" t="s">
        <v>1666</v>
      </c>
      <c r="H1794" s="76" t="s">
        <v>1666</v>
      </c>
      <c r="I1794" s="76"/>
      <c r="J1794" s="76"/>
      <c r="K1794" s="58" t="str">
        <f>IFERROR(VLOOKUP(L1794,'Raw material list'!$A$3:$C$715,3,0),"")</f>
        <v>DRS3-1615</v>
      </c>
      <c r="L1794" s="59" t="s">
        <v>50</v>
      </c>
      <c r="M1794" s="80" t="s">
        <v>206</v>
      </c>
      <c r="N1794" s="40" t="str">
        <f>VLOOKUP(L1794,'Raw material list'!$A$3:$E$715,5,0)</f>
        <v>Ml</v>
      </c>
      <c r="O1794" s="80">
        <v>5</v>
      </c>
      <c r="P1794" s="299">
        <f t="shared" si="245"/>
        <v>5</v>
      </c>
      <c r="Q1794" s="80">
        <v>100</v>
      </c>
      <c r="R1794" s="80">
        <v>1</v>
      </c>
      <c r="S1794" s="80"/>
      <c r="T1794" s="105">
        <f t="shared" si="252"/>
        <v>5</v>
      </c>
      <c r="U1794" s="105">
        <f t="shared" si="246"/>
        <v>5</v>
      </c>
      <c r="V1794" s="104">
        <f>IFERROR(VLOOKUP(L1794,'Raw material list'!$A$2:$S$3102,6,0),0)</f>
        <v>1.2E-2</v>
      </c>
      <c r="W1794" s="104">
        <f t="shared" si="247"/>
        <v>0.06</v>
      </c>
    </row>
    <row r="1795" spans="1:23" hidden="1" x14ac:dyDescent="0.55000000000000004">
      <c r="A1795" s="76" t="str">
        <f t="shared" si="257"/>
        <v>RCP-SMC-000123</v>
      </c>
      <c r="B1795" s="58" t="s">
        <v>35</v>
      </c>
      <c r="C1795" s="58" t="s">
        <v>10</v>
      </c>
      <c r="D1795" s="76" t="str">
        <f t="shared" si="258"/>
        <v>labnah</v>
      </c>
      <c r="E1795" s="76" t="s">
        <v>1536</v>
      </c>
      <c r="F1795" s="76" t="s">
        <v>1666</v>
      </c>
      <c r="G1795" s="76" t="s">
        <v>1666</v>
      </c>
      <c r="H1795" s="76" t="s">
        <v>1666</v>
      </c>
      <c r="I1795" s="76"/>
      <c r="J1795" s="76"/>
      <c r="K1795" s="58" t="str">
        <f>IFERROR(VLOOKUP(L1795,'Raw material list'!$A$3:$C$715,3,0),"")</f>
        <v>DRS6-1570</v>
      </c>
      <c r="L1795" s="59" t="s">
        <v>51</v>
      </c>
      <c r="M1795" s="80" t="s">
        <v>156</v>
      </c>
      <c r="N1795" s="40" t="str">
        <f>VLOOKUP(L1795,'Raw material list'!$A$3:$E$715,5,0)</f>
        <v xml:space="preserve">Gram </v>
      </c>
      <c r="O1795" s="80">
        <v>0.25</v>
      </c>
      <c r="P1795" s="299">
        <f t="shared" si="245"/>
        <v>0.25</v>
      </c>
      <c r="Q1795" s="80">
        <v>100</v>
      </c>
      <c r="R1795" s="80">
        <v>1</v>
      </c>
      <c r="S1795" s="80"/>
      <c r="T1795" s="105">
        <f t="shared" si="252"/>
        <v>0.25</v>
      </c>
      <c r="U1795" s="105">
        <f t="shared" si="246"/>
        <v>0.25</v>
      </c>
      <c r="V1795" s="104">
        <f>IFERROR(VLOOKUP(L1795,'Raw material list'!$A$2:$S$3102,6,0),0)</f>
        <v>9.3526666666666654E-3</v>
      </c>
      <c r="W1795" s="104">
        <f t="shared" si="247"/>
        <v>2.3381666666666663E-3</v>
      </c>
    </row>
    <row r="1796" spans="1:23" hidden="1" x14ac:dyDescent="0.55000000000000004">
      <c r="A1796" s="76" t="s">
        <v>1710</v>
      </c>
      <c r="B1796" s="58" t="s">
        <v>35</v>
      </c>
      <c r="C1796" s="58" t="s">
        <v>10</v>
      </c>
      <c r="D1796" s="76" t="s">
        <v>1670</v>
      </c>
      <c r="E1796" s="76" t="s">
        <v>1536</v>
      </c>
      <c r="F1796" s="76" t="s">
        <v>1666</v>
      </c>
      <c r="G1796" s="76" t="s">
        <v>1666</v>
      </c>
      <c r="H1796" s="76" t="s">
        <v>1666</v>
      </c>
      <c r="I1796" s="76"/>
      <c r="J1796" s="76"/>
      <c r="K1796" s="58" t="str">
        <f>IFERROR(VLOOKUP(L1796,'Raw material list'!$A$3:$C$715,3,0),"")</f>
        <v>PLT1-37</v>
      </c>
      <c r="L1796" s="59" t="s">
        <v>861</v>
      </c>
      <c r="M1796" s="80" t="s">
        <v>48</v>
      </c>
      <c r="N1796" s="40" t="str">
        <f>VLOOKUP(L1796,'Raw material list'!$A$3:$E$715,5,0)</f>
        <v>Each</v>
      </c>
      <c r="O1796" s="80">
        <v>1</v>
      </c>
      <c r="P1796" s="299">
        <f t="shared" si="245"/>
        <v>1</v>
      </c>
      <c r="Q1796" s="80">
        <v>100</v>
      </c>
      <c r="R1796" s="80">
        <v>1</v>
      </c>
      <c r="S1796" s="80"/>
      <c r="T1796" s="105">
        <f t="shared" si="252"/>
        <v>1</v>
      </c>
      <c r="U1796" s="105">
        <f t="shared" si="246"/>
        <v>1</v>
      </c>
      <c r="V1796" s="104">
        <f>IFERROR(VLOOKUP(L1796,'Raw material list'!$A$2:$S$3102,6,0),0)</f>
        <v>0.48299999999999998</v>
      </c>
      <c r="W1796" s="104">
        <f t="shared" si="247"/>
        <v>0.48299999999999998</v>
      </c>
    </row>
    <row r="1797" spans="1:23" hidden="1" x14ac:dyDescent="0.55000000000000004">
      <c r="A1797" s="76" t="str">
        <f t="shared" ref="A1797:A1799" si="259">A1796</f>
        <v>RCP-SMC-000124</v>
      </c>
      <c r="B1797" s="58" t="s">
        <v>35</v>
      </c>
      <c r="C1797" s="58" t="s">
        <v>10</v>
      </c>
      <c r="D1797" s="76" t="str">
        <f t="shared" ref="D1797:D1799" si="260">D1796</f>
        <v>Boiled egg</v>
      </c>
      <c r="E1797" s="76" t="s">
        <v>1536</v>
      </c>
      <c r="F1797" s="76" t="s">
        <v>1666</v>
      </c>
      <c r="G1797" s="76" t="s">
        <v>1666</v>
      </c>
      <c r="H1797" s="76" t="s">
        <v>1666</v>
      </c>
      <c r="I1797" s="76"/>
      <c r="J1797" s="76"/>
      <c r="K1797" s="58" t="str">
        <f>IFERROR(VLOOKUP(L1797,'Raw material list'!$A$3:$C$715,3,0),"")</f>
        <v>DRS1-3880</v>
      </c>
      <c r="L1797" s="59" t="s">
        <v>1433</v>
      </c>
      <c r="M1797" s="80" t="s">
        <v>156</v>
      </c>
      <c r="N1797" s="40" t="str">
        <f>VLOOKUP(L1797,'Raw material list'!$A$3:$E$715,5,0)</f>
        <v xml:space="preserve">Gram </v>
      </c>
      <c r="O1797" s="80">
        <v>10</v>
      </c>
      <c r="P1797" s="299">
        <f t="shared" si="245"/>
        <v>10</v>
      </c>
      <c r="Q1797" s="80">
        <v>100</v>
      </c>
      <c r="R1797" s="80">
        <v>1</v>
      </c>
      <c r="S1797" s="80"/>
      <c r="T1797" s="105">
        <f t="shared" si="252"/>
        <v>10</v>
      </c>
      <c r="U1797" s="105">
        <f t="shared" si="246"/>
        <v>10</v>
      </c>
      <c r="V1797" s="104">
        <f>IFERROR(VLOOKUP(L1797,'Raw material list'!$A$2:$S$3102,6,0),0)</f>
        <v>5.0000000000000001E-4</v>
      </c>
      <c r="W1797" s="104">
        <f t="shared" si="247"/>
        <v>5.0000000000000001E-3</v>
      </c>
    </row>
    <row r="1798" spans="1:23" hidden="1" x14ac:dyDescent="0.55000000000000004">
      <c r="A1798" s="76" t="str">
        <f t="shared" si="259"/>
        <v>RCP-SMC-000124</v>
      </c>
      <c r="B1798" s="58" t="s">
        <v>35</v>
      </c>
      <c r="C1798" s="58" t="s">
        <v>10</v>
      </c>
      <c r="D1798" s="76" t="str">
        <f t="shared" si="260"/>
        <v>Boiled egg</v>
      </c>
      <c r="E1798" s="76" t="s">
        <v>1536</v>
      </c>
      <c r="F1798" s="76" t="s">
        <v>1666</v>
      </c>
      <c r="G1798" s="76" t="s">
        <v>1666</v>
      </c>
      <c r="H1798" s="76" t="s">
        <v>1666</v>
      </c>
      <c r="I1798" s="76"/>
      <c r="J1798" s="76"/>
      <c r="K1798" s="58" t="str">
        <f>IFERROR(VLOOKUP(L1798,'Raw material list'!$A$3:$C$715,3,0),"")</f>
        <v>DRS1-1547</v>
      </c>
      <c r="L1798" s="59" t="s">
        <v>100</v>
      </c>
      <c r="M1798" s="80" t="s">
        <v>206</v>
      </c>
      <c r="N1798" s="40" t="str">
        <f>VLOOKUP(L1798,'Raw material list'!$A$3:$E$715,5,0)</f>
        <v>Ml</v>
      </c>
      <c r="O1798" s="80">
        <v>20</v>
      </c>
      <c r="P1798" s="299">
        <f t="shared" ref="P1798:P1861" si="261">O1798/Q1798*100</f>
        <v>20</v>
      </c>
      <c r="Q1798" s="80">
        <v>100</v>
      </c>
      <c r="R1798" s="80">
        <v>1</v>
      </c>
      <c r="S1798" s="80"/>
      <c r="T1798" s="105">
        <f t="shared" si="252"/>
        <v>20</v>
      </c>
      <c r="U1798" s="105">
        <f t="shared" ref="U1798:U1861" si="262">IFERROR(P1798/R1798,0)</f>
        <v>20</v>
      </c>
      <c r="V1798" s="104">
        <f>IFERROR(VLOOKUP(L1798,'Raw material list'!$A$2:$S$3102,6,0),0)</f>
        <v>2.3026315789473682E-3</v>
      </c>
      <c r="W1798" s="104">
        <f t="shared" ref="W1798:W1861" si="263">IFERROR(V1798*U1798,0)</f>
        <v>4.6052631578947366E-2</v>
      </c>
    </row>
    <row r="1799" spans="1:23" hidden="1" x14ac:dyDescent="0.55000000000000004">
      <c r="A1799" s="76" t="str">
        <f t="shared" si="259"/>
        <v>RCP-SMC-000124</v>
      </c>
      <c r="B1799" s="58" t="s">
        <v>35</v>
      </c>
      <c r="C1799" s="58" t="s">
        <v>10</v>
      </c>
      <c r="D1799" s="76" t="str">
        <f t="shared" si="260"/>
        <v>Boiled egg</v>
      </c>
      <c r="E1799" s="76" t="s">
        <v>1536</v>
      </c>
      <c r="F1799" s="76" t="s">
        <v>1666</v>
      </c>
      <c r="G1799" s="76" t="s">
        <v>1666</v>
      </c>
      <c r="H1799" s="76" t="s">
        <v>1666</v>
      </c>
      <c r="I1799" s="76"/>
      <c r="J1799" s="76"/>
      <c r="K1799" s="58" t="str">
        <f>IFERROR(VLOOKUP(L1799,'Raw material list'!$A$3:$C$715,3,0),"")</f>
        <v>TAP-00001</v>
      </c>
      <c r="L1799" s="59" t="s">
        <v>1405</v>
      </c>
      <c r="M1799" s="80" t="s">
        <v>206</v>
      </c>
      <c r="N1799" s="40" t="str">
        <f>VLOOKUP(L1799,'Raw material list'!$A$3:$E$715,5,0)</f>
        <v>Ml</v>
      </c>
      <c r="O1799" s="80">
        <v>200</v>
      </c>
      <c r="P1799" s="299">
        <f t="shared" si="261"/>
        <v>200</v>
      </c>
      <c r="Q1799" s="80">
        <v>100</v>
      </c>
      <c r="R1799" s="80">
        <v>1</v>
      </c>
      <c r="S1799" s="80"/>
      <c r="T1799" s="105">
        <f t="shared" si="252"/>
        <v>200</v>
      </c>
      <c r="U1799" s="105">
        <f t="shared" si="262"/>
        <v>200</v>
      </c>
      <c r="V1799" s="104">
        <f>IFERROR(VLOOKUP(L1799,'Raw material list'!$A$2:$S$3102,6,0),0)</f>
        <v>8.0000000000000007E-5</v>
      </c>
      <c r="W1799" s="104">
        <f t="shared" si="263"/>
        <v>1.6E-2</v>
      </c>
    </row>
    <row r="1800" spans="1:23" hidden="1" x14ac:dyDescent="0.55000000000000004">
      <c r="A1800" s="76" t="s">
        <v>1711</v>
      </c>
      <c r="B1800" s="58" t="s">
        <v>35</v>
      </c>
      <c r="C1800" s="58" t="s">
        <v>10</v>
      </c>
      <c r="D1800" s="76" t="s">
        <v>1671</v>
      </c>
      <c r="E1800" s="76" t="s">
        <v>1536</v>
      </c>
      <c r="F1800" s="76" t="s">
        <v>1666</v>
      </c>
      <c r="G1800" s="76" t="s">
        <v>1666</v>
      </c>
      <c r="H1800" s="76" t="s">
        <v>1666</v>
      </c>
      <c r="I1800" s="76"/>
      <c r="J1800" s="76"/>
      <c r="K1800" s="58" t="str">
        <f>IFERROR(VLOOKUP(L1800,'Raw material list'!$A$3:$C$715,3,0),"")</f>
        <v>DRS1-824</v>
      </c>
      <c r="L1800" s="59" t="s">
        <v>234</v>
      </c>
      <c r="M1800" s="80" t="s">
        <v>156</v>
      </c>
      <c r="N1800" s="40" t="str">
        <f>VLOOKUP(L1800,'Raw material list'!$A$3:$E$715,5,0)</f>
        <v xml:space="preserve">Gram </v>
      </c>
      <c r="O1800" s="80">
        <v>200</v>
      </c>
      <c r="P1800" s="299">
        <f t="shared" si="261"/>
        <v>200</v>
      </c>
      <c r="Q1800" s="80">
        <v>100</v>
      </c>
      <c r="R1800" s="80">
        <v>15</v>
      </c>
      <c r="S1800" s="80"/>
      <c r="T1800" s="105">
        <f t="shared" si="252"/>
        <v>13.333333333333334</v>
      </c>
      <c r="U1800" s="105">
        <f t="shared" si="262"/>
        <v>13.333333333333334</v>
      </c>
      <c r="V1800" s="104">
        <f>IFERROR(VLOOKUP(L1800,'Raw material list'!$A$2:$S$3102,6,0),0)</f>
        <v>1.2919999999999999E-2</v>
      </c>
      <c r="W1800" s="104">
        <f t="shared" si="263"/>
        <v>0.17226666666666665</v>
      </c>
    </row>
    <row r="1801" spans="1:23" hidden="1" x14ac:dyDescent="0.55000000000000004">
      <c r="A1801" s="76" t="str">
        <f t="shared" ref="A1801:A1805" si="264">A1800</f>
        <v>RCP-SMC-000125</v>
      </c>
      <c r="B1801" s="58" t="s">
        <v>35</v>
      </c>
      <c r="C1801" s="58" t="s">
        <v>10</v>
      </c>
      <c r="D1801" s="76" t="str">
        <f t="shared" ref="D1801:D1805" si="265">D1800</f>
        <v>Oats Fruits pudding</v>
      </c>
      <c r="E1801" s="76" t="s">
        <v>1536</v>
      </c>
      <c r="F1801" s="76" t="s">
        <v>1666</v>
      </c>
      <c r="G1801" s="76" t="s">
        <v>1666</v>
      </c>
      <c r="H1801" s="76" t="s">
        <v>1666</v>
      </c>
      <c r="I1801" s="76"/>
      <c r="J1801" s="76"/>
      <c r="K1801" s="58" t="str">
        <f>IFERROR(VLOOKUP(L1801,'Raw material list'!$A$3:$C$715,3,0),"")</f>
        <v>DRY2-1388</v>
      </c>
      <c r="L1801" s="59" t="s">
        <v>126</v>
      </c>
      <c r="M1801" s="80" t="s">
        <v>206</v>
      </c>
      <c r="N1801" s="40" t="str">
        <f>VLOOKUP(L1801,'Raw material list'!$A$3:$E$715,5,0)</f>
        <v>Ml</v>
      </c>
      <c r="O1801" s="80">
        <v>3000</v>
      </c>
      <c r="P1801" s="299">
        <f t="shared" si="261"/>
        <v>3000</v>
      </c>
      <c r="Q1801" s="80">
        <v>100</v>
      </c>
      <c r="R1801" s="80">
        <v>15</v>
      </c>
      <c r="S1801" s="80"/>
      <c r="T1801" s="105">
        <f t="shared" si="252"/>
        <v>200</v>
      </c>
      <c r="U1801" s="105">
        <f t="shared" si="262"/>
        <v>200</v>
      </c>
      <c r="V1801" s="104">
        <f>IFERROR(VLOOKUP(L1801,'Raw material list'!$A$2:$S$3102,6,0),0)</f>
        <v>4.2500000000000003E-3</v>
      </c>
      <c r="W1801" s="104">
        <f t="shared" si="263"/>
        <v>0.85000000000000009</v>
      </c>
    </row>
    <row r="1802" spans="1:23" hidden="1" x14ac:dyDescent="0.55000000000000004">
      <c r="A1802" s="76" t="str">
        <f t="shared" si="264"/>
        <v>RCP-SMC-000125</v>
      </c>
      <c r="B1802" s="58" t="s">
        <v>35</v>
      </c>
      <c r="C1802" s="58" t="s">
        <v>10</v>
      </c>
      <c r="D1802" s="76" t="str">
        <f t="shared" si="265"/>
        <v>Oats Fruits pudding</v>
      </c>
      <c r="E1802" s="76" t="s">
        <v>1536</v>
      </c>
      <c r="F1802" s="76" t="s">
        <v>1666</v>
      </c>
      <c r="G1802" s="76" t="s">
        <v>1666</v>
      </c>
      <c r="H1802" s="76" t="s">
        <v>1666</v>
      </c>
      <c r="I1802" s="76"/>
      <c r="J1802" s="76"/>
      <c r="K1802" s="58" t="str">
        <f>IFERROR(VLOOKUP(L1802,'Raw material list'!$A$3:$C$715,3,0),"")</f>
        <v>DRS1-1823</v>
      </c>
      <c r="L1802" s="59" t="s">
        <v>619</v>
      </c>
      <c r="M1802" s="80" t="s">
        <v>156</v>
      </c>
      <c r="N1802" s="40" t="str">
        <f>VLOOKUP(L1802,'Raw material list'!$A$3:$E$715,5,0)</f>
        <v xml:space="preserve">Gram </v>
      </c>
      <c r="O1802" s="80">
        <v>2</v>
      </c>
      <c r="P1802" s="299">
        <f t="shared" si="261"/>
        <v>2</v>
      </c>
      <c r="Q1802" s="80">
        <v>100</v>
      </c>
      <c r="R1802" s="80">
        <v>15</v>
      </c>
      <c r="S1802" s="80"/>
      <c r="T1802" s="105">
        <f t="shared" si="252"/>
        <v>0.13333333333333333</v>
      </c>
      <c r="U1802" s="105">
        <f t="shared" si="262"/>
        <v>0.13333333333333333</v>
      </c>
      <c r="V1802" s="104">
        <f>IFERROR(VLOOKUP(L1802,'Raw material list'!$A$2:$S$3102,6,0),0)</f>
        <v>4.9000000000000002E-2</v>
      </c>
      <c r="W1802" s="104">
        <f t="shared" si="263"/>
        <v>6.5333333333333337E-3</v>
      </c>
    </row>
    <row r="1803" spans="1:23" hidden="1" x14ac:dyDescent="0.55000000000000004">
      <c r="A1803" s="76" t="str">
        <f t="shared" si="264"/>
        <v>RCP-SMC-000125</v>
      </c>
      <c r="B1803" s="58" t="s">
        <v>35</v>
      </c>
      <c r="C1803" s="58" t="s">
        <v>10</v>
      </c>
      <c r="D1803" s="76" t="str">
        <f t="shared" si="265"/>
        <v>Oats Fruits pudding</v>
      </c>
      <c r="E1803" s="76" t="s">
        <v>1536</v>
      </c>
      <c r="F1803" s="76" t="s">
        <v>1666</v>
      </c>
      <c r="G1803" s="76" t="s">
        <v>1666</v>
      </c>
      <c r="H1803" s="76" t="s">
        <v>1666</v>
      </c>
      <c r="I1803" s="76"/>
      <c r="J1803" s="76"/>
      <c r="K1803" s="58" t="str">
        <f>IFERROR(VLOOKUP(L1803,'Raw material list'!$A$3:$C$715,3,0),"")</f>
        <v>DRS1-978</v>
      </c>
      <c r="L1803" s="59" t="s">
        <v>56</v>
      </c>
      <c r="M1803" s="80" t="s">
        <v>156</v>
      </c>
      <c r="N1803" s="40" t="str">
        <f>VLOOKUP(L1803,'Raw material list'!$A$3:$E$715,5,0)</f>
        <v xml:space="preserve">Gram </v>
      </c>
      <c r="O1803" s="80">
        <v>70</v>
      </c>
      <c r="P1803" s="299">
        <f t="shared" si="261"/>
        <v>70</v>
      </c>
      <c r="Q1803" s="80">
        <v>100</v>
      </c>
      <c r="R1803" s="80">
        <v>15</v>
      </c>
      <c r="S1803" s="80"/>
      <c r="T1803" s="105">
        <f t="shared" si="252"/>
        <v>4.666666666666667</v>
      </c>
      <c r="U1803" s="105">
        <f t="shared" si="262"/>
        <v>4.666666666666667</v>
      </c>
      <c r="V1803" s="104">
        <f>IFERROR(VLOOKUP(L1803,'Raw material list'!$A$2:$S$3102,6,0),0)</f>
        <v>2.3999999999999998E-3</v>
      </c>
      <c r="W1803" s="104">
        <f t="shared" si="263"/>
        <v>1.12E-2</v>
      </c>
    </row>
    <row r="1804" spans="1:23" hidden="1" x14ac:dyDescent="0.55000000000000004">
      <c r="A1804" s="76" t="str">
        <f t="shared" si="264"/>
        <v>RCP-SMC-000125</v>
      </c>
      <c r="B1804" s="58" t="s">
        <v>35</v>
      </c>
      <c r="C1804" s="58" t="s">
        <v>10</v>
      </c>
      <c r="D1804" s="76" t="str">
        <f t="shared" si="265"/>
        <v>Oats Fruits pudding</v>
      </c>
      <c r="E1804" s="76" t="s">
        <v>1536</v>
      </c>
      <c r="F1804" s="76" t="s">
        <v>1666</v>
      </c>
      <c r="G1804" s="76" t="s">
        <v>1666</v>
      </c>
      <c r="H1804" s="76" t="s">
        <v>1666</v>
      </c>
      <c r="I1804" s="76"/>
      <c r="J1804" s="76"/>
      <c r="K1804" s="58" t="str">
        <f>IFERROR(VLOOKUP(L1804,'Raw material list'!$A$3:$C$715,3,0),"")</f>
        <v>DRS5-21</v>
      </c>
      <c r="L1804" s="59" t="s">
        <v>55</v>
      </c>
      <c r="M1804" s="80" t="s">
        <v>156</v>
      </c>
      <c r="N1804" s="40" t="str">
        <f>VLOOKUP(L1804,'Raw material list'!$A$3:$E$715,5,0)</f>
        <v xml:space="preserve">Gram </v>
      </c>
      <c r="O1804" s="80">
        <v>20</v>
      </c>
      <c r="P1804" s="299">
        <f t="shared" si="261"/>
        <v>20</v>
      </c>
      <c r="Q1804" s="80">
        <v>100</v>
      </c>
      <c r="R1804" s="80">
        <v>15</v>
      </c>
      <c r="S1804" s="80"/>
      <c r="T1804" s="105">
        <f t="shared" si="252"/>
        <v>1.3333333333333333</v>
      </c>
      <c r="U1804" s="105">
        <f t="shared" si="262"/>
        <v>1.3333333333333333</v>
      </c>
      <c r="V1804" s="104">
        <f>IFERROR(VLOOKUP(L1804,'Raw material list'!$A$2:$S$3102,6,0),0)</f>
        <v>2.0799999999999998E-3</v>
      </c>
      <c r="W1804" s="104">
        <f t="shared" si="263"/>
        <v>2.7733333333333329E-3</v>
      </c>
    </row>
    <row r="1805" spans="1:23" hidden="1" x14ac:dyDescent="0.55000000000000004">
      <c r="A1805" s="76" t="str">
        <f t="shared" si="264"/>
        <v>RCP-SMC-000125</v>
      </c>
      <c r="B1805" s="58" t="s">
        <v>35</v>
      </c>
      <c r="C1805" s="58" t="s">
        <v>10</v>
      </c>
      <c r="D1805" s="76" t="str">
        <f t="shared" si="265"/>
        <v>Oats Fruits pudding</v>
      </c>
      <c r="E1805" s="76" t="s">
        <v>1536</v>
      </c>
      <c r="F1805" s="76" t="s">
        <v>1666</v>
      </c>
      <c r="G1805" s="76" t="s">
        <v>1666</v>
      </c>
      <c r="H1805" s="76" t="s">
        <v>1666</v>
      </c>
      <c r="I1805" s="76"/>
      <c r="J1805" s="76"/>
      <c r="K1805" s="58" t="str">
        <f>IFERROR(VLOOKUP(L1805,'Raw material list'!$A$3:$C$715,3,0),"")</f>
        <v>PRD3-1661</v>
      </c>
      <c r="L1805" s="59" t="s">
        <v>957</v>
      </c>
      <c r="M1805" s="80" t="s">
        <v>156</v>
      </c>
      <c r="N1805" s="40" t="str">
        <f>VLOOKUP(L1805,'Raw material list'!$A$3:$E$715,5,0)</f>
        <v xml:space="preserve">Gram </v>
      </c>
      <c r="O1805" s="80">
        <v>100</v>
      </c>
      <c r="P1805" s="299">
        <f t="shared" si="261"/>
        <v>100</v>
      </c>
      <c r="Q1805" s="80">
        <v>100</v>
      </c>
      <c r="R1805" s="80">
        <v>15</v>
      </c>
      <c r="S1805" s="80"/>
      <c r="T1805" s="105">
        <f t="shared" si="252"/>
        <v>6.666666666666667</v>
      </c>
      <c r="U1805" s="105">
        <f t="shared" si="262"/>
        <v>6.666666666666667</v>
      </c>
      <c r="V1805" s="104">
        <f>IFERROR(VLOOKUP(L1805,'Raw material list'!$A$2:$S$3102,6,0),0)</f>
        <v>3.9E-2</v>
      </c>
      <c r="W1805" s="104">
        <f t="shared" si="263"/>
        <v>0.26</v>
      </c>
    </row>
    <row r="1806" spans="1:23" hidden="1" x14ac:dyDescent="0.55000000000000004">
      <c r="A1806" s="76" t="s">
        <v>1712</v>
      </c>
      <c r="B1806" s="58" t="s">
        <v>35</v>
      </c>
      <c r="C1806" s="58" t="s">
        <v>10</v>
      </c>
      <c r="D1806" s="76" t="s">
        <v>1672</v>
      </c>
      <c r="E1806" s="76" t="s">
        <v>1536</v>
      </c>
      <c r="F1806" s="76" t="s">
        <v>1666</v>
      </c>
      <c r="G1806" s="76" t="s">
        <v>1666</v>
      </c>
      <c r="H1806" s="76" t="s">
        <v>1666</v>
      </c>
      <c r="I1806" s="76"/>
      <c r="J1806" s="76"/>
      <c r="K1806" s="58" t="str">
        <f>IFERROR(VLOOKUP(L1806,'Raw material list'!$A$3:$C$715,3,0),"")</f>
        <v>BKR1-3694</v>
      </c>
      <c r="L1806" s="59" t="s">
        <v>150</v>
      </c>
      <c r="M1806" s="80" t="s">
        <v>1673</v>
      </c>
      <c r="N1806" s="40" t="str">
        <f>VLOOKUP(L1806,'Raw material list'!$A$3:$E$715,5,0)</f>
        <v>Each</v>
      </c>
      <c r="O1806" s="80">
        <v>9</v>
      </c>
      <c r="P1806" s="299">
        <f t="shared" si="261"/>
        <v>9</v>
      </c>
      <c r="Q1806" s="80">
        <v>100</v>
      </c>
      <c r="R1806" s="80">
        <v>9</v>
      </c>
      <c r="S1806" s="80"/>
      <c r="T1806" s="105">
        <f t="shared" si="252"/>
        <v>1</v>
      </c>
      <c r="U1806" s="105">
        <f t="shared" si="262"/>
        <v>1</v>
      </c>
      <c r="V1806" s="104">
        <f>IFERROR(VLOOKUP(L1806,'Raw material list'!$A$2:$S$3102,6,0),0)</f>
        <v>0.14285714285714285</v>
      </c>
      <c r="W1806" s="104">
        <f t="shared" si="263"/>
        <v>0.14285714285714285</v>
      </c>
    </row>
    <row r="1807" spans="1:23" hidden="1" x14ac:dyDescent="0.55000000000000004">
      <c r="A1807" s="76" t="str">
        <f t="shared" ref="A1807:A1808" si="266">A1806</f>
        <v>RCP-SMC-000126</v>
      </c>
      <c r="B1807" s="58" t="s">
        <v>35</v>
      </c>
      <c r="C1807" s="58" t="s">
        <v>10</v>
      </c>
      <c r="D1807" s="76" t="str">
        <f t="shared" ref="D1807:D1808" si="267">D1806</f>
        <v>Bread Arabic Bag</v>
      </c>
      <c r="E1807" s="76" t="s">
        <v>1536</v>
      </c>
      <c r="F1807" s="76" t="s">
        <v>1666</v>
      </c>
      <c r="G1807" s="76" t="s">
        <v>1666</v>
      </c>
      <c r="H1807" s="76" t="s">
        <v>1666</v>
      </c>
      <c r="I1807" s="76"/>
      <c r="J1807" s="76"/>
      <c r="K1807" s="58" t="str">
        <f>IFERROR(VLOOKUP(L1807,'Raw material list'!$A$3:$C$715,3,0),"")</f>
        <v>BKR1-1326</v>
      </c>
      <c r="L1807" s="59" t="s">
        <v>166</v>
      </c>
      <c r="M1807" s="80" t="s">
        <v>165</v>
      </c>
      <c r="N1807" s="40" t="str">
        <f>VLOOKUP(L1807,'Raw material list'!$A$3:$E$715,5,0)</f>
        <v>Slice</v>
      </c>
      <c r="O1807" s="80">
        <v>18</v>
      </c>
      <c r="P1807" s="299">
        <f t="shared" si="261"/>
        <v>18</v>
      </c>
      <c r="Q1807" s="80">
        <v>100</v>
      </c>
      <c r="R1807" s="80">
        <v>9</v>
      </c>
      <c r="S1807" s="80"/>
      <c r="T1807" s="105">
        <f t="shared" si="252"/>
        <v>2</v>
      </c>
      <c r="U1807" s="105">
        <f t="shared" si="262"/>
        <v>2</v>
      </c>
      <c r="V1807" s="104">
        <f>IFERROR(VLOOKUP(L1807,'Raw material list'!$A$2:$S$3102,6,0),0)</f>
        <v>0.16666666666666666</v>
      </c>
      <c r="W1807" s="104">
        <f t="shared" si="263"/>
        <v>0.33333333333333331</v>
      </c>
    </row>
    <row r="1808" spans="1:23" hidden="1" x14ac:dyDescent="0.55000000000000004">
      <c r="A1808" s="76" t="str">
        <f t="shared" si="266"/>
        <v>RCP-SMC-000126</v>
      </c>
      <c r="B1808" s="58" t="s">
        <v>35</v>
      </c>
      <c r="C1808" s="58" t="s">
        <v>10</v>
      </c>
      <c r="D1808" s="76" t="str">
        <f t="shared" si="267"/>
        <v>Bread Arabic Bag</v>
      </c>
      <c r="E1808" s="76" t="s">
        <v>1536</v>
      </c>
      <c r="F1808" s="76" t="s">
        <v>1666</v>
      </c>
      <c r="G1808" s="76" t="s">
        <v>1666</v>
      </c>
      <c r="H1808" s="76" t="s">
        <v>1666</v>
      </c>
      <c r="I1808" s="76"/>
      <c r="J1808" s="76"/>
      <c r="K1808" s="58" t="str">
        <f>IFERROR(VLOOKUP(L1808,'Raw material list'!$A$3:$C$715,3,0),"")</f>
        <v>PKG-4883</v>
      </c>
      <c r="L1808" s="59" t="s">
        <v>1304</v>
      </c>
      <c r="M1808" s="80" t="s">
        <v>1673</v>
      </c>
      <c r="N1808" s="40" t="str">
        <f>VLOOKUP(L1808,'Raw material list'!$A$3:$E$715,5,0)</f>
        <v>Each</v>
      </c>
      <c r="O1808" s="80">
        <v>9</v>
      </c>
      <c r="P1808" s="299">
        <f t="shared" si="261"/>
        <v>9</v>
      </c>
      <c r="Q1808" s="80">
        <v>100</v>
      </c>
      <c r="R1808" s="80">
        <v>9</v>
      </c>
      <c r="S1808" s="80"/>
      <c r="T1808" s="105">
        <f t="shared" si="252"/>
        <v>1</v>
      </c>
      <c r="U1808" s="105">
        <f t="shared" si="262"/>
        <v>1</v>
      </c>
      <c r="V1808" s="104">
        <f>IFERROR(VLOOKUP(L1808,'Raw material list'!$A$2:$S$3102,6,0),0)</f>
        <v>7.5999999999999998E-2</v>
      </c>
      <c r="W1808" s="104">
        <f t="shared" si="263"/>
        <v>7.5999999999999998E-2</v>
      </c>
    </row>
    <row r="1809" spans="1:23" hidden="1" x14ac:dyDescent="0.55000000000000004">
      <c r="A1809" s="76" t="s">
        <v>1713</v>
      </c>
      <c r="B1809" s="58" t="s">
        <v>35</v>
      </c>
      <c r="C1809" s="58" t="s">
        <v>10</v>
      </c>
      <c r="D1809" s="76" t="s">
        <v>1674</v>
      </c>
      <c r="E1809" s="76" t="s">
        <v>1536</v>
      </c>
      <c r="F1809" s="76" t="s">
        <v>1666</v>
      </c>
      <c r="G1809" s="76" t="s">
        <v>1666</v>
      </c>
      <c r="H1809" s="76" t="s">
        <v>1666</v>
      </c>
      <c r="I1809" s="76"/>
      <c r="J1809" s="76"/>
      <c r="K1809" s="58" t="str">
        <f>IFERROR(VLOOKUP(L1809,'Raw material list'!$A$3:$C$715,3,0),"")</f>
        <v>BKR1-3695</v>
      </c>
      <c r="L1809" s="59" t="s">
        <v>148</v>
      </c>
      <c r="M1809" s="80" t="s">
        <v>48</v>
      </c>
      <c r="N1809" s="40" t="str">
        <f>VLOOKUP(L1809,'Raw material list'!$A$3:$E$715,5,0)</f>
        <v>Each</v>
      </c>
      <c r="O1809" s="80">
        <v>9</v>
      </c>
      <c r="P1809" s="299">
        <f t="shared" si="261"/>
        <v>9</v>
      </c>
      <c r="Q1809" s="80">
        <v>100</v>
      </c>
      <c r="R1809" s="80">
        <v>9</v>
      </c>
      <c r="S1809" s="80"/>
      <c r="T1809" s="105">
        <f t="shared" si="252"/>
        <v>1</v>
      </c>
      <c r="U1809" s="105">
        <f t="shared" si="262"/>
        <v>1</v>
      </c>
      <c r="V1809" s="104">
        <f>IFERROR(VLOOKUP(L1809,'Raw material list'!$A$2:$S$3102,6,0),0)</f>
        <v>0.16666666666666666</v>
      </c>
      <c r="W1809" s="104">
        <f t="shared" si="263"/>
        <v>0.16666666666666666</v>
      </c>
    </row>
    <row r="1810" spans="1:23" hidden="1" x14ac:dyDescent="0.55000000000000004">
      <c r="A1810" s="76" t="str">
        <f t="shared" ref="A1810:A1811" si="268">A1809</f>
        <v>RCP-SMC-000127</v>
      </c>
      <c r="B1810" s="58" t="s">
        <v>35</v>
      </c>
      <c r="C1810" s="58" t="s">
        <v>10</v>
      </c>
      <c r="D1810" s="76" t="str">
        <f t="shared" ref="D1810:D1811" si="269">D1809</f>
        <v>Brown Arabic Bread For DM &amp; Cardic</v>
      </c>
      <c r="E1810" s="76" t="s">
        <v>1536</v>
      </c>
      <c r="F1810" s="76" t="s">
        <v>1666</v>
      </c>
      <c r="G1810" s="76" t="s">
        <v>1666</v>
      </c>
      <c r="H1810" s="76" t="s">
        <v>1666</v>
      </c>
      <c r="I1810" s="76"/>
      <c r="J1810" s="76"/>
      <c r="K1810" s="58" t="str">
        <f>IFERROR(VLOOKUP(L1810,'Raw material list'!$A$3:$C$715,3,0),"")</f>
        <v>BKR1-1326</v>
      </c>
      <c r="L1810" s="59" t="s">
        <v>166</v>
      </c>
      <c r="M1810" s="80" t="s">
        <v>165</v>
      </c>
      <c r="N1810" s="40" t="str">
        <f>VLOOKUP(L1810,'Raw material list'!$A$3:$E$715,5,0)</f>
        <v>Slice</v>
      </c>
      <c r="O1810" s="80">
        <v>18</v>
      </c>
      <c r="P1810" s="299">
        <f t="shared" si="261"/>
        <v>18</v>
      </c>
      <c r="Q1810" s="80">
        <v>100</v>
      </c>
      <c r="R1810" s="80">
        <v>9</v>
      </c>
      <c r="S1810" s="80"/>
      <c r="T1810" s="105">
        <f t="shared" si="252"/>
        <v>2</v>
      </c>
      <c r="U1810" s="105">
        <f t="shared" si="262"/>
        <v>2</v>
      </c>
      <c r="V1810" s="104">
        <f>IFERROR(VLOOKUP(L1810,'Raw material list'!$A$2:$S$3102,6,0),0)</f>
        <v>0.16666666666666666</v>
      </c>
      <c r="W1810" s="104">
        <f t="shared" si="263"/>
        <v>0.33333333333333331</v>
      </c>
    </row>
    <row r="1811" spans="1:23" hidden="1" x14ac:dyDescent="0.55000000000000004">
      <c r="A1811" s="76" t="str">
        <f t="shared" si="268"/>
        <v>RCP-SMC-000127</v>
      </c>
      <c r="B1811" s="58" t="s">
        <v>35</v>
      </c>
      <c r="C1811" s="58" t="s">
        <v>10</v>
      </c>
      <c r="D1811" s="76" t="str">
        <f t="shared" si="269"/>
        <v>Brown Arabic Bread For DM &amp; Cardic</v>
      </c>
      <c r="E1811" s="76" t="s">
        <v>1536</v>
      </c>
      <c r="F1811" s="76" t="s">
        <v>1666</v>
      </c>
      <c r="G1811" s="76" t="s">
        <v>1666</v>
      </c>
      <c r="H1811" s="76" t="s">
        <v>1666</v>
      </c>
      <c r="I1811" s="76"/>
      <c r="J1811" s="76"/>
      <c r="K1811" s="58" t="str">
        <f>IFERROR(VLOOKUP(L1811,'Raw material list'!$A$3:$C$715,3,0),"")</f>
        <v>PKG-4883</v>
      </c>
      <c r="L1811" s="59" t="s">
        <v>1304</v>
      </c>
      <c r="M1811" s="80" t="s">
        <v>48</v>
      </c>
      <c r="N1811" s="40" t="str">
        <f>VLOOKUP(L1811,'Raw material list'!$A$3:$E$715,5,0)</f>
        <v>Each</v>
      </c>
      <c r="O1811" s="80">
        <v>9</v>
      </c>
      <c r="P1811" s="299">
        <f t="shared" si="261"/>
        <v>9</v>
      </c>
      <c r="Q1811" s="80">
        <v>100</v>
      </c>
      <c r="R1811" s="80">
        <v>9</v>
      </c>
      <c r="S1811" s="80"/>
      <c r="T1811" s="105">
        <f t="shared" si="252"/>
        <v>1</v>
      </c>
      <c r="U1811" s="105">
        <f t="shared" si="262"/>
        <v>1</v>
      </c>
      <c r="V1811" s="104">
        <f>IFERROR(VLOOKUP(L1811,'Raw material list'!$A$2:$S$3102,6,0),0)</f>
        <v>7.5999999999999998E-2</v>
      </c>
      <c r="W1811" s="104">
        <f t="shared" si="263"/>
        <v>7.5999999999999998E-2</v>
      </c>
    </row>
    <row r="1812" spans="1:23" hidden="1" x14ac:dyDescent="0.55000000000000004">
      <c r="A1812" s="76" t="s">
        <v>1714</v>
      </c>
      <c r="B1812" s="58" t="s">
        <v>35</v>
      </c>
      <c r="C1812" s="58" t="s">
        <v>10</v>
      </c>
      <c r="D1812" s="76" t="s">
        <v>1675</v>
      </c>
      <c r="E1812" s="76" t="s">
        <v>1536</v>
      </c>
      <c r="F1812" s="76" t="s">
        <v>1666</v>
      </c>
      <c r="G1812" s="76" t="s">
        <v>1666</v>
      </c>
      <c r="H1812" s="76" t="s">
        <v>1666</v>
      </c>
      <c r="I1812" s="76"/>
      <c r="J1812" s="76"/>
      <c r="K1812" s="58" t="str">
        <f>IFERROR(VLOOKUP(L1812,'Raw material list'!$A$3:$C$715,3,0),"")</f>
        <v>PRD1-196</v>
      </c>
      <c r="L1812" s="59" t="s">
        <v>1003</v>
      </c>
      <c r="M1812" s="80" t="s">
        <v>156</v>
      </c>
      <c r="N1812" s="40" t="str">
        <f>VLOOKUP(L1812,'Raw material list'!$A$3:$E$715,5,0)</f>
        <v xml:space="preserve">Gram </v>
      </c>
      <c r="O1812" s="80">
        <v>35</v>
      </c>
      <c r="P1812" s="299">
        <f t="shared" si="261"/>
        <v>41.45282273983419</v>
      </c>
      <c r="Q1812" s="105">
        <v>84.433333333333337</v>
      </c>
      <c r="R1812" s="80">
        <v>1</v>
      </c>
      <c r="S1812" s="80"/>
      <c r="T1812" s="105">
        <f t="shared" si="252"/>
        <v>35</v>
      </c>
      <c r="U1812" s="105">
        <f t="shared" si="262"/>
        <v>41.45282273983419</v>
      </c>
      <c r="V1812" s="104">
        <f>IFERROR(VLOOKUP(L1812,'Raw material list'!$A$2:$S$3102,6,0),0)</f>
        <v>4.1469194312796203E-3</v>
      </c>
      <c r="W1812" s="104">
        <f t="shared" si="263"/>
        <v>0.1719015161012081</v>
      </c>
    </row>
    <row r="1813" spans="1:23" hidden="1" x14ac:dyDescent="0.55000000000000004">
      <c r="A1813" s="76" t="str">
        <f t="shared" ref="A1813:A1814" si="270">A1812</f>
        <v>RCP-SMC-000128</v>
      </c>
      <c r="B1813" s="58" t="s">
        <v>35</v>
      </c>
      <c r="C1813" s="58" t="s">
        <v>10</v>
      </c>
      <c r="D1813" s="76" t="str">
        <f t="shared" ref="D1813:D1814" si="271">D1812</f>
        <v>Sliced Vegetables</v>
      </c>
      <c r="E1813" s="76" t="s">
        <v>1536</v>
      </c>
      <c r="F1813" s="76" t="s">
        <v>1666</v>
      </c>
      <c r="G1813" s="76" t="s">
        <v>1666</v>
      </c>
      <c r="H1813" s="76" t="s">
        <v>1666</v>
      </c>
      <c r="I1813" s="76"/>
      <c r="J1813" s="76"/>
      <c r="K1813" s="58" t="str">
        <f>IFERROR(VLOOKUP(L1813,'Raw material list'!$A$3:$C$715,3,0),"")</f>
        <v>PRD1-572</v>
      </c>
      <c r="L1813" s="59" t="s">
        <v>54</v>
      </c>
      <c r="M1813" s="80" t="s">
        <v>156</v>
      </c>
      <c r="N1813" s="40" t="str">
        <f>VLOOKUP(L1813,'Raw material list'!$A$3:$E$715,5,0)</f>
        <v xml:space="preserve">Gram </v>
      </c>
      <c r="O1813" s="80">
        <v>45</v>
      </c>
      <c r="P1813" s="299">
        <f t="shared" si="261"/>
        <v>51.00113335851907</v>
      </c>
      <c r="Q1813" s="105">
        <v>88.233333333333348</v>
      </c>
      <c r="R1813" s="80">
        <v>1</v>
      </c>
      <c r="S1813" s="80"/>
      <c r="T1813" s="105">
        <f t="shared" si="252"/>
        <v>45</v>
      </c>
      <c r="U1813" s="105">
        <f t="shared" si="262"/>
        <v>51.00113335851907</v>
      </c>
      <c r="V1813" s="104">
        <f>IFERROR(VLOOKUP(L1813,'Raw material list'!$A$2:$S$3102,6,0),0)</f>
        <v>4.5351473922902496E-3</v>
      </c>
      <c r="W1813" s="104">
        <f t="shared" si="263"/>
        <v>0.231297656954735</v>
      </c>
    </row>
    <row r="1814" spans="1:23" hidden="1" x14ac:dyDescent="0.55000000000000004">
      <c r="A1814" s="76" t="str">
        <f t="shared" si="270"/>
        <v>RCP-SMC-000128</v>
      </c>
      <c r="B1814" s="58" t="s">
        <v>35</v>
      </c>
      <c r="C1814" s="58" t="s">
        <v>10</v>
      </c>
      <c r="D1814" s="76" t="str">
        <f t="shared" si="271"/>
        <v>Sliced Vegetables</v>
      </c>
      <c r="E1814" s="76" t="s">
        <v>1536</v>
      </c>
      <c r="F1814" s="76" t="s">
        <v>1666</v>
      </c>
      <c r="G1814" s="76" t="s">
        <v>1666</v>
      </c>
      <c r="H1814" s="76" t="s">
        <v>1666</v>
      </c>
      <c r="I1814" s="76"/>
      <c r="J1814" s="76"/>
      <c r="K1814" s="58" t="str">
        <f>IFERROR(VLOOKUP(L1814,'Raw material list'!$A$3:$C$715,3,0),"")</f>
        <v>DRS1-1140</v>
      </c>
      <c r="L1814" s="59" t="s">
        <v>238</v>
      </c>
      <c r="M1814" s="80" t="s">
        <v>156</v>
      </c>
      <c r="N1814" s="40" t="str">
        <f>VLOOKUP(L1814,'Raw material list'!$A$3:$E$715,5,0)</f>
        <v xml:space="preserve">Gram </v>
      </c>
      <c r="O1814" s="80">
        <v>30</v>
      </c>
      <c r="P1814" s="299">
        <f t="shared" si="261"/>
        <v>30</v>
      </c>
      <c r="Q1814" s="303">
        <v>100</v>
      </c>
      <c r="R1814" s="80">
        <v>1</v>
      </c>
      <c r="S1814" s="80"/>
      <c r="T1814" s="105">
        <f t="shared" si="252"/>
        <v>30</v>
      </c>
      <c r="U1814" s="105">
        <f t="shared" si="262"/>
        <v>30</v>
      </c>
      <c r="V1814" s="104">
        <f>IFERROR(VLOOKUP(L1814,'Raw material list'!$A$2:$S$3102,6,0),0)</f>
        <v>1.29E-2</v>
      </c>
      <c r="W1814" s="104">
        <f t="shared" si="263"/>
        <v>0.38700000000000001</v>
      </c>
    </row>
    <row r="1815" spans="1:23" hidden="1" x14ac:dyDescent="0.55000000000000004">
      <c r="A1815" s="76" t="s">
        <v>1715</v>
      </c>
      <c r="B1815" s="58" t="s">
        <v>35</v>
      </c>
      <c r="C1815" s="58" t="s">
        <v>10</v>
      </c>
      <c r="D1815" s="76" t="s">
        <v>1676</v>
      </c>
      <c r="E1815" s="76" t="s">
        <v>1536</v>
      </c>
      <c r="F1815" s="76" t="s">
        <v>1666</v>
      </c>
      <c r="G1815" s="76" t="s">
        <v>1666</v>
      </c>
      <c r="H1815" s="76" t="s">
        <v>1666</v>
      </c>
      <c r="I1815" s="76"/>
      <c r="J1815" s="76"/>
      <c r="K1815" s="58" t="str">
        <f>IFERROR(VLOOKUP(L1815,'Raw material list'!$A$3:$C$715,3,0),"")</f>
        <v>DRS1-1042</v>
      </c>
      <c r="L1815" s="59" t="s">
        <v>380</v>
      </c>
      <c r="M1815" s="80" t="s">
        <v>48</v>
      </c>
      <c r="N1815" s="40" t="str">
        <f>VLOOKUP(L1815,'Raw material list'!$A$3:$E$715,5,0)</f>
        <v>Each</v>
      </c>
      <c r="O1815" s="80">
        <v>1</v>
      </c>
      <c r="P1815" s="299">
        <f t="shared" si="261"/>
        <v>1</v>
      </c>
      <c r="Q1815" s="80">
        <v>100</v>
      </c>
      <c r="R1815" s="80">
        <v>1</v>
      </c>
      <c r="S1815" s="80"/>
      <c r="T1815" s="105">
        <f t="shared" si="252"/>
        <v>1</v>
      </c>
      <c r="U1815" s="105">
        <f t="shared" si="262"/>
        <v>1</v>
      </c>
      <c r="V1815" s="104">
        <f>IFERROR(VLOOKUP(L1815,'Raw material list'!$A$2:$S$3102,6,0),0)</f>
        <v>9.4399999999999998E-2</v>
      </c>
      <c r="W1815" s="104">
        <f t="shared" si="263"/>
        <v>9.4399999999999998E-2</v>
      </c>
    </row>
    <row r="1816" spans="1:23" hidden="1" x14ac:dyDescent="0.55000000000000004">
      <c r="A1816" s="76" t="str">
        <f t="shared" ref="A1816:A1823" si="272">A1815</f>
        <v>RCP-SMC-000129</v>
      </c>
      <c r="B1816" s="58" t="s">
        <v>35</v>
      </c>
      <c r="C1816" s="58" t="s">
        <v>10</v>
      </c>
      <c r="D1816" s="76" t="str">
        <f t="shared" ref="D1816:D1823" si="273">D1815</f>
        <v>Sets Tea &amp; Jam &amp; cheese</v>
      </c>
      <c r="E1816" s="76" t="s">
        <v>1536</v>
      </c>
      <c r="F1816" s="76" t="s">
        <v>1666</v>
      </c>
      <c r="G1816" s="76" t="s">
        <v>1666</v>
      </c>
      <c r="H1816" s="76" t="s">
        <v>1666</v>
      </c>
      <c r="I1816" s="76"/>
      <c r="J1816" s="76"/>
      <c r="K1816" s="58" t="str">
        <f>IFERROR(VLOOKUP(L1816,'Raw material list'!$A$3:$C$715,3,0),"")</f>
        <v>DRS1-1556</v>
      </c>
      <c r="L1816" s="59" t="s">
        <v>767</v>
      </c>
      <c r="M1816" s="80" t="s">
        <v>48</v>
      </c>
      <c r="N1816" s="40" t="str">
        <f>VLOOKUP(L1816,'Raw material list'!$A$3:$E$715,5,0)</f>
        <v>Each</v>
      </c>
      <c r="O1816" s="80">
        <v>3</v>
      </c>
      <c r="P1816" s="299">
        <f t="shared" si="261"/>
        <v>3</v>
      </c>
      <c r="Q1816" s="80">
        <v>100</v>
      </c>
      <c r="R1816" s="80">
        <v>1</v>
      </c>
      <c r="S1816" s="80"/>
      <c r="T1816" s="105">
        <f t="shared" si="252"/>
        <v>3</v>
      </c>
      <c r="U1816" s="105">
        <f t="shared" si="262"/>
        <v>3</v>
      </c>
      <c r="V1816" s="104">
        <f>IFERROR(VLOOKUP(L1816,'Raw material list'!$A$2:$S$3102,6,0),0)</f>
        <v>3.5000000000000003E-2</v>
      </c>
      <c r="W1816" s="104">
        <f t="shared" si="263"/>
        <v>0.10500000000000001</v>
      </c>
    </row>
    <row r="1817" spans="1:23" hidden="1" x14ac:dyDescent="0.55000000000000004">
      <c r="A1817" s="76" t="str">
        <f t="shared" si="272"/>
        <v>RCP-SMC-000129</v>
      </c>
      <c r="B1817" s="58" t="s">
        <v>35</v>
      </c>
      <c r="C1817" s="58" t="s">
        <v>10</v>
      </c>
      <c r="D1817" s="76" t="str">
        <f t="shared" si="273"/>
        <v>Sets Tea &amp; Jam &amp; cheese</v>
      </c>
      <c r="E1817" s="76" t="s">
        <v>1536</v>
      </c>
      <c r="F1817" s="76" t="s">
        <v>1666</v>
      </c>
      <c r="G1817" s="76" t="s">
        <v>1666</v>
      </c>
      <c r="H1817" s="76" t="s">
        <v>1666</v>
      </c>
      <c r="I1817" s="76"/>
      <c r="J1817" s="76"/>
      <c r="K1817" s="58" t="str">
        <f>IFERROR(VLOOKUP(L1817,'Raw material list'!$A$3:$C$715,3,0),"")</f>
        <v>DRS1-686</v>
      </c>
      <c r="L1817" s="59" t="s">
        <v>769</v>
      </c>
      <c r="M1817" s="80" t="s">
        <v>48</v>
      </c>
      <c r="N1817" s="40" t="str">
        <f>VLOOKUP(L1817,'Raw material list'!$A$3:$E$715,5,0)</f>
        <v>Each</v>
      </c>
      <c r="O1817" s="80">
        <v>1</v>
      </c>
      <c r="P1817" s="299">
        <f t="shared" si="261"/>
        <v>1</v>
      </c>
      <c r="Q1817" s="80">
        <v>100</v>
      </c>
      <c r="R1817" s="80">
        <v>1</v>
      </c>
      <c r="S1817" s="80"/>
      <c r="T1817" s="105">
        <f t="shared" si="252"/>
        <v>1</v>
      </c>
      <c r="U1817" s="105">
        <f t="shared" si="262"/>
        <v>1</v>
      </c>
      <c r="V1817" s="104">
        <f>IFERROR(VLOOKUP(L1817,'Raw material list'!$A$2:$S$3102,6,0),0)</f>
        <v>0.20420000000000002</v>
      </c>
      <c r="W1817" s="104">
        <f t="shared" si="263"/>
        <v>0.20420000000000002</v>
      </c>
    </row>
    <row r="1818" spans="1:23" hidden="1" x14ac:dyDescent="0.55000000000000004">
      <c r="A1818" s="76" t="str">
        <f t="shared" si="272"/>
        <v>RCP-SMC-000129</v>
      </c>
      <c r="B1818" s="58" t="s">
        <v>35</v>
      </c>
      <c r="C1818" s="58" t="s">
        <v>10</v>
      </c>
      <c r="D1818" s="76" t="str">
        <f t="shared" si="273"/>
        <v>Sets Tea &amp; Jam &amp; cheese</v>
      </c>
      <c r="E1818" s="76" t="s">
        <v>1536</v>
      </c>
      <c r="F1818" s="76" t="s">
        <v>1666</v>
      </c>
      <c r="G1818" s="76" t="s">
        <v>1666</v>
      </c>
      <c r="H1818" s="76" t="s">
        <v>1666</v>
      </c>
      <c r="I1818" s="76"/>
      <c r="J1818" s="76"/>
      <c r="K1818" s="58" t="str">
        <f>IFERROR(VLOOKUP(L1818,'Raw material list'!$A$3:$C$715,3,0),"")</f>
        <v>DRY2-1510</v>
      </c>
      <c r="L1818" s="59" t="s">
        <v>412</v>
      </c>
      <c r="M1818" s="80" t="s">
        <v>48</v>
      </c>
      <c r="N1818" s="40" t="str">
        <f>VLOOKUP(L1818,'Raw material list'!$A$3:$E$715,5,0)</f>
        <v>Each</v>
      </c>
      <c r="O1818" s="80">
        <v>1</v>
      </c>
      <c r="P1818" s="299">
        <f t="shared" si="261"/>
        <v>1</v>
      </c>
      <c r="Q1818" s="80">
        <v>100</v>
      </c>
      <c r="R1818" s="80">
        <v>1</v>
      </c>
      <c r="S1818" s="80"/>
      <c r="T1818" s="105">
        <f t="shared" si="252"/>
        <v>1</v>
      </c>
      <c r="U1818" s="105">
        <f t="shared" si="262"/>
        <v>1</v>
      </c>
      <c r="V1818" s="104">
        <f>IFERROR(VLOOKUP(L1818,'Raw material list'!$A$2:$S$3102,6,0),0)</f>
        <v>0.33333333333333331</v>
      </c>
      <c r="W1818" s="104">
        <f t="shared" si="263"/>
        <v>0.33333333333333331</v>
      </c>
    </row>
    <row r="1819" spans="1:23" hidden="1" x14ac:dyDescent="0.55000000000000004">
      <c r="A1819" s="76" t="str">
        <f t="shared" si="272"/>
        <v>RCP-SMC-000129</v>
      </c>
      <c r="B1819" s="58" t="s">
        <v>35</v>
      </c>
      <c r="C1819" s="58" t="s">
        <v>10</v>
      </c>
      <c r="D1819" s="76" t="str">
        <f t="shared" si="273"/>
        <v>Sets Tea &amp; Jam &amp; cheese</v>
      </c>
      <c r="E1819" s="76" t="s">
        <v>1536</v>
      </c>
      <c r="F1819" s="76" t="s">
        <v>1666</v>
      </c>
      <c r="G1819" s="76" t="s">
        <v>1666</v>
      </c>
      <c r="H1819" s="76" t="s">
        <v>1666</v>
      </c>
      <c r="I1819" s="76"/>
      <c r="J1819" s="76"/>
      <c r="K1819" s="58" t="str">
        <f>IFERROR(VLOOKUP(L1819,'Raw material list'!$A$3:$C$715,3,0),"")</f>
        <v>DRS1-1186</v>
      </c>
      <c r="L1819" s="59" t="s">
        <v>280</v>
      </c>
      <c r="M1819" s="80" t="s">
        <v>156</v>
      </c>
      <c r="N1819" s="40" t="str">
        <f>VLOOKUP(L1819,'Raw material list'!$A$3:$E$715,5,0)</f>
        <v xml:space="preserve">Gram </v>
      </c>
      <c r="O1819" s="80">
        <v>1</v>
      </c>
      <c r="P1819" s="299">
        <f t="shared" si="261"/>
        <v>1</v>
      </c>
      <c r="Q1819" s="80">
        <v>100</v>
      </c>
      <c r="R1819" s="80">
        <v>1</v>
      </c>
      <c r="S1819" s="80"/>
      <c r="T1819" s="105">
        <f t="shared" si="252"/>
        <v>1</v>
      </c>
      <c r="U1819" s="105">
        <f t="shared" si="262"/>
        <v>1</v>
      </c>
      <c r="V1819" s="104">
        <f>IFERROR(VLOOKUP(L1819,'Raw material list'!$A$2:$S$3102,6,0),0)</f>
        <v>0.32500000000000001</v>
      </c>
      <c r="W1819" s="104">
        <f t="shared" si="263"/>
        <v>0.32500000000000001</v>
      </c>
    </row>
    <row r="1820" spans="1:23" hidden="1" x14ac:dyDescent="0.55000000000000004">
      <c r="A1820" s="76" t="str">
        <f t="shared" si="272"/>
        <v>RCP-SMC-000129</v>
      </c>
      <c r="B1820" s="58" t="s">
        <v>35</v>
      </c>
      <c r="C1820" s="58" t="s">
        <v>10</v>
      </c>
      <c r="D1820" s="76" t="str">
        <f t="shared" si="273"/>
        <v>Sets Tea &amp; Jam &amp; cheese</v>
      </c>
      <c r="E1820" s="76" t="s">
        <v>1536</v>
      </c>
      <c r="F1820" s="76" t="s">
        <v>1666</v>
      </c>
      <c r="G1820" s="76" t="s">
        <v>1666</v>
      </c>
      <c r="H1820" s="76" t="s">
        <v>1666</v>
      </c>
      <c r="I1820" s="76"/>
      <c r="J1820" s="76"/>
      <c r="K1820" s="58" t="str">
        <f>IFERROR(VLOOKUP(L1820,'Raw material list'!$A$3:$C$715,3,0),"")</f>
        <v>DRY1-5114</v>
      </c>
      <c r="L1820" s="59" t="s">
        <v>353</v>
      </c>
      <c r="M1820" s="80" t="s">
        <v>48</v>
      </c>
      <c r="N1820" s="40" t="str">
        <f>VLOOKUP(L1820,'Raw material list'!$A$3:$E$715,5,0)</f>
        <v>Each</v>
      </c>
      <c r="O1820" s="80">
        <v>1</v>
      </c>
      <c r="P1820" s="299">
        <f t="shared" si="261"/>
        <v>1</v>
      </c>
      <c r="Q1820" s="80">
        <v>100</v>
      </c>
      <c r="R1820" s="80">
        <v>1</v>
      </c>
      <c r="S1820" s="80"/>
      <c r="T1820" s="105">
        <f t="shared" si="252"/>
        <v>1</v>
      </c>
      <c r="U1820" s="105">
        <f t="shared" si="262"/>
        <v>1</v>
      </c>
      <c r="V1820" s="104">
        <f>IFERROR(VLOOKUP(L1820,'Raw material list'!$A$2:$S$3102,6,0),0)</f>
        <v>0.43342999999999998</v>
      </c>
      <c r="W1820" s="104">
        <f t="shared" si="263"/>
        <v>0.43342999999999998</v>
      </c>
    </row>
    <row r="1821" spans="1:23" hidden="1" x14ac:dyDescent="0.55000000000000004">
      <c r="A1821" s="76" t="str">
        <f t="shared" si="272"/>
        <v>RCP-SMC-000129</v>
      </c>
      <c r="B1821" s="58" t="s">
        <v>35</v>
      </c>
      <c r="C1821" s="58" t="s">
        <v>10</v>
      </c>
      <c r="D1821" s="76" t="str">
        <f t="shared" si="273"/>
        <v>Sets Tea &amp; Jam &amp; cheese</v>
      </c>
      <c r="E1821" s="76" t="s">
        <v>1536</v>
      </c>
      <c r="F1821" s="76" t="s">
        <v>1666</v>
      </c>
      <c r="G1821" s="76" t="s">
        <v>1666</v>
      </c>
      <c r="H1821" s="76" t="s">
        <v>1666</v>
      </c>
      <c r="I1821" s="76"/>
      <c r="J1821" s="76"/>
      <c r="K1821" s="58" t="str">
        <f>IFERROR(VLOOKUP(L1821,'Raw material list'!$A$3:$C$715,3,0),"")</f>
        <v>DWS-1455</v>
      </c>
      <c r="L1821" s="59" t="s">
        <v>1370</v>
      </c>
      <c r="M1821" s="80" t="s">
        <v>48</v>
      </c>
      <c r="N1821" s="40" t="str">
        <f>VLOOKUP(L1821,'Raw material list'!$A$3:$E$715,5,0)</f>
        <v>Each</v>
      </c>
      <c r="O1821" s="80">
        <v>1</v>
      </c>
      <c r="P1821" s="299">
        <f t="shared" si="261"/>
        <v>1</v>
      </c>
      <c r="Q1821" s="80">
        <v>100</v>
      </c>
      <c r="R1821" s="80">
        <v>1</v>
      </c>
      <c r="S1821" s="80"/>
      <c r="T1821" s="105">
        <f t="shared" si="252"/>
        <v>1</v>
      </c>
      <c r="U1821" s="105">
        <f t="shared" si="262"/>
        <v>1</v>
      </c>
      <c r="V1821" s="104">
        <f>IFERROR(VLOOKUP(L1821,'Raw material list'!$A$2:$S$3102,6,0),0)</f>
        <v>0.17</v>
      </c>
      <c r="W1821" s="104">
        <f t="shared" si="263"/>
        <v>0.17</v>
      </c>
    </row>
    <row r="1822" spans="1:23" hidden="1" x14ac:dyDescent="0.55000000000000004">
      <c r="A1822" s="76" t="str">
        <f t="shared" si="272"/>
        <v>RCP-SMC-000129</v>
      </c>
      <c r="B1822" s="58" t="s">
        <v>35</v>
      </c>
      <c r="C1822" s="58" t="s">
        <v>10</v>
      </c>
      <c r="D1822" s="76" t="str">
        <f t="shared" si="273"/>
        <v>Sets Tea &amp; Jam &amp; cheese</v>
      </c>
      <c r="E1822" s="76" t="s">
        <v>1536</v>
      </c>
      <c r="F1822" s="76" t="s">
        <v>1666</v>
      </c>
      <c r="G1822" s="76" t="s">
        <v>1666</v>
      </c>
      <c r="H1822" s="76" t="s">
        <v>1666</v>
      </c>
      <c r="I1822" s="76"/>
      <c r="J1822" s="76"/>
      <c r="K1822" s="58" t="str">
        <f>IFERROR(VLOOKUP(L1822,'Raw material list'!$A$3:$C$715,3,0),"")</f>
        <v>PKG-629</v>
      </c>
      <c r="L1822" s="59" t="s">
        <v>1300</v>
      </c>
      <c r="M1822" s="80" t="s">
        <v>48</v>
      </c>
      <c r="N1822" s="40" t="str">
        <f>VLOOKUP(L1822,'Raw material list'!$A$3:$E$715,5,0)</f>
        <v>Each</v>
      </c>
      <c r="O1822" s="80">
        <v>1</v>
      </c>
      <c r="P1822" s="299">
        <f t="shared" si="261"/>
        <v>1</v>
      </c>
      <c r="Q1822" s="80">
        <v>100</v>
      </c>
      <c r="R1822" s="80">
        <v>1</v>
      </c>
      <c r="S1822" s="80"/>
      <c r="T1822" s="105">
        <f t="shared" si="252"/>
        <v>1</v>
      </c>
      <c r="U1822" s="105">
        <f t="shared" si="262"/>
        <v>1</v>
      </c>
      <c r="V1822" s="104">
        <f>IFERROR(VLOOKUP(L1822,'Raw material list'!$A$2:$S$3102,6,0),0)</f>
        <v>2.3E-2</v>
      </c>
      <c r="W1822" s="104">
        <f t="shared" si="263"/>
        <v>2.3E-2</v>
      </c>
    </row>
    <row r="1823" spans="1:23" hidden="1" x14ac:dyDescent="0.55000000000000004">
      <c r="A1823" s="76" t="str">
        <f t="shared" si="272"/>
        <v>RCP-SMC-000129</v>
      </c>
      <c r="B1823" s="58" t="s">
        <v>35</v>
      </c>
      <c r="C1823" s="58" t="s">
        <v>10</v>
      </c>
      <c r="D1823" s="76" t="str">
        <f t="shared" si="273"/>
        <v>Sets Tea &amp; Jam &amp; cheese</v>
      </c>
      <c r="E1823" s="76" t="s">
        <v>1536</v>
      </c>
      <c r="F1823" s="76" t="s">
        <v>1666</v>
      </c>
      <c r="G1823" s="76" t="s">
        <v>1666</v>
      </c>
      <c r="H1823" s="76" t="s">
        <v>1666</v>
      </c>
      <c r="I1823" s="76"/>
      <c r="J1823" s="76"/>
      <c r="K1823" s="58" t="str">
        <f>IFERROR(VLOOKUP(L1823,'Raw material list'!$A$3:$C$715,3,0),"")</f>
        <v>PKG-4708</v>
      </c>
      <c r="L1823" s="59" t="s">
        <v>1202</v>
      </c>
      <c r="M1823" s="80" t="s">
        <v>48</v>
      </c>
      <c r="N1823" s="40" t="str">
        <f>VLOOKUP(L1823,'Raw material list'!$A$3:$E$715,5,0)</f>
        <v>Each</v>
      </c>
      <c r="O1823" s="80">
        <v>1</v>
      </c>
      <c r="P1823" s="299">
        <f t="shared" si="261"/>
        <v>1</v>
      </c>
      <c r="Q1823" s="80">
        <v>100</v>
      </c>
      <c r="R1823" s="80">
        <v>1</v>
      </c>
      <c r="S1823" s="80"/>
      <c r="T1823" s="105">
        <f t="shared" si="252"/>
        <v>1</v>
      </c>
      <c r="U1823" s="105">
        <f t="shared" si="262"/>
        <v>1</v>
      </c>
      <c r="V1823" s="104">
        <f>IFERROR(VLOOKUP(L1823,'Raw material list'!$A$2:$S$3102,6,0),0)</f>
        <v>0.34</v>
      </c>
      <c r="W1823" s="104">
        <f t="shared" si="263"/>
        <v>0.34</v>
      </c>
    </row>
    <row r="1824" spans="1:23" hidden="1" x14ac:dyDescent="0.55000000000000004">
      <c r="A1824" s="76" t="s">
        <v>1716</v>
      </c>
      <c r="B1824" s="58" t="s">
        <v>35</v>
      </c>
      <c r="C1824" s="58" t="s">
        <v>10</v>
      </c>
      <c r="D1824" s="76" t="s">
        <v>1770</v>
      </c>
      <c r="E1824" s="76" t="s">
        <v>1536</v>
      </c>
      <c r="F1824" s="76" t="s">
        <v>1666</v>
      </c>
      <c r="G1824" s="76" t="s">
        <v>1666</v>
      </c>
      <c r="H1824" s="76" t="s">
        <v>1666</v>
      </c>
      <c r="I1824" s="76"/>
      <c r="J1824" s="76"/>
      <c r="K1824" s="58" t="str">
        <f>IFERROR(VLOOKUP(L1824,'Raw material list'!$A$3:$C$715,3,0),"")</f>
        <v>DRS1-1042</v>
      </c>
      <c r="L1824" s="59" t="s">
        <v>380</v>
      </c>
      <c r="M1824" s="80" t="s">
        <v>48</v>
      </c>
      <c r="N1824" s="40" t="str">
        <f>VLOOKUP(L1824,'Raw material list'!$A$3:$E$715,5,0)</f>
        <v>Each</v>
      </c>
      <c r="O1824" s="80">
        <v>1</v>
      </c>
      <c r="P1824" s="299">
        <f t="shared" si="261"/>
        <v>1</v>
      </c>
      <c r="Q1824" s="80">
        <v>100</v>
      </c>
      <c r="R1824" s="80">
        <v>1</v>
      </c>
      <c r="S1824" s="80"/>
      <c r="T1824" s="105">
        <f t="shared" si="252"/>
        <v>1</v>
      </c>
      <c r="U1824" s="105">
        <f t="shared" si="262"/>
        <v>1</v>
      </c>
      <c r="V1824" s="104">
        <f>IFERROR(VLOOKUP(L1824,'Raw material list'!$A$2:$S$3102,6,0),0)</f>
        <v>9.4399999999999998E-2</v>
      </c>
      <c r="W1824" s="104">
        <f t="shared" si="263"/>
        <v>9.4399999999999998E-2</v>
      </c>
    </row>
    <row r="1825" spans="1:23" hidden="1" x14ac:dyDescent="0.55000000000000004">
      <c r="A1825" s="76" t="str">
        <f t="shared" ref="A1825:A1832" si="274">A1824</f>
        <v>RCP-SMC-000130</v>
      </c>
      <c r="B1825" s="58" t="s">
        <v>35</v>
      </c>
      <c r="C1825" s="58" t="s">
        <v>10</v>
      </c>
      <c r="D1825" s="76" t="str">
        <f t="shared" ref="D1825:D1832" si="275">D1824</f>
        <v>Set Tea &amp; Jam Strawberry &amp;Chees</v>
      </c>
      <c r="E1825" s="76" t="s">
        <v>1536</v>
      </c>
      <c r="F1825" s="76" t="s">
        <v>1666</v>
      </c>
      <c r="G1825" s="76" t="s">
        <v>1666</v>
      </c>
      <c r="H1825" s="76" t="s">
        <v>1666</v>
      </c>
      <c r="I1825" s="76"/>
      <c r="J1825" s="76"/>
      <c r="K1825" s="58" t="str">
        <f>IFERROR(VLOOKUP(L1825,'Raw material list'!$A$3:$C$715,3,0),"")</f>
        <v>DRS1-1556</v>
      </c>
      <c r="L1825" s="59" t="s">
        <v>767</v>
      </c>
      <c r="M1825" s="80" t="s">
        <v>48</v>
      </c>
      <c r="N1825" s="40" t="str">
        <f>VLOOKUP(L1825,'Raw material list'!$A$3:$E$715,5,0)</f>
        <v>Each</v>
      </c>
      <c r="O1825" s="80">
        <v>3</v>
      </c>
      <c r="P1825" s="299">
        <f t="shared" si="261"/>
        <v>3</v>
      </c>
      <c r="Q1825" s="80">
        <v>100</v>
      </c>
      <c r="R1825" s="80">
        <v>1</v>
      </c>
      <c r="S1825" s="80"/>
      <c r="T1825" s="105">
        <f t="shared" si="252"/>
        <v>3</v>
      </c>
      <c r="U1825" s="105">
        <f t="shared" si="262"/>
        <v>3</v>
      </c>
      <c r="V1825" s="104">
        <f>IFERROR(VLOOKUP(L1825,'Raw material list'!$A$2:$S$3102,6,0),0)</f>
        <v>3.5000000000000003E-2</v>
      </c>
      <c r="W1825" s="104">
        <f t="shared" si="263"/>
        <v>0.10500000000000001</v>
      </c>
    </row>
    <row r="1826" spans="1:23" hidden="1" x14ac:dyDescent="0.55000000000000004">
      <c r="A1826" s="76" t="str">
        <f t="shared" si="274"/>
        <v>RCP-SMC-000130</v>
      </c>
      <c r="B1826" s="58" t="s">
        <v>35</v>
      </c>
      <c r="C1826" s="58" t="s">
        <v>10</v>
      </c>
      <c r="D1826" s="76" t="str">
        <f t="shared" si="275"/>
        <v>Set Tea &amp; Jam Strawberry &amp;Chees</v>
      </c>
      <c r="E1826" s="76" t="s">
        <v>1536</v>
      </c>
      <c r="F1826" s="76" t="s">
        <v>1666</v>
      </c>
      <c r="G1826" s="76" t="s">
        <v>1666</v>
      </c>
      <c r="H1826" s="76" t="s">
        <v>1666</v>
      </c>
      <c r="I1826" s="76"/>
      <c r="J1826" s="76"/>
      <c r="K1826" s="58" t="str">
        <f>IFERROR(VLOOKUP(L1826,'Raw material list'!$A$3:$C$715,3,0),"")</f>
        <v>DRS1-686</v>
      </c>
      <c r="L1826" s="59" t="s">
        <v>769</v>
      </c>
      <c r="M1826" s="80" t="s">
        <v>48</v>
      </c>
      <c r="N1826" s="40" t="str">
        <f>VLOOKUP(L1826,'Raw material list'!$A$3:$E$715,5,0)</f>
        <v>Each</v>
      </c>
      <c r="O1826" s="80">
        <v>1</v>
      </c>
      <c r="P1826" s="299">
        <f t="shared" si="261"/>
        <v>1</v>
      </c>
      <c r="Q1826" s="80">
        <v>100</v>
      </c>
      <c r="R1826" s="80">
        <v>1</v>
      </c>
      <c r="S1826" s="80"/>
      <c r="T1826" s="105">
        <f t="shared" si="252"/>
        <v>1</v>
      </c>
      <c r="U1826" s="105">
        <f t="shared" si="262"/>
        <v>1</v>
      </c>
      <c r="V1826" s="104">
        <f>IFERROR(VLOOKUP(L1826,'Raw material list'!$A$2:$S$3102,6,0),0)</f>
        <v>0.20420000000000002</v>
      </c>
      <c r="W1826" s="104">
        <f t="shared" si="263"/>
        <v>0.20420000000000002</v>
      </c>
    </row>
    <row r="1827" spans="1:23" hidden="1" x14ac:dyDescent="0.55000000000000004">
      <c r="A1827" s="76" t="str">
        <f t="shared" si="274"/>
        <v>RCP-SMC-000130</v>
      </c>
      <c r="B1827" s="58" t="s">
        <v>35</v>
      </c>
      <c r="C1827" s="58" t="s">
        <v>10</v>
      </c>
      <c r="D1827" s="76" t="str">
        <f t="shared" si="275"/>
        <v>Set Tea &amp; Jam Strawberry &amp;Chees</v>
      </c>
      <c r="E1827" s="76" t="s">
        <v>1536</v>
      </c>
      <c r="F1827" s="76" t="s">
        <v>1666</v>
      </c>
      <c r="G1827" s="76" t="s">
        <v>1666</v>
      </c>
      <c r="H1827" s="76" t="s">
        <v>1666</v>
      </c>
      <c r="I1827" s="76"/>
      <c r="J1827" s="76"/>
      <c r="K1827" s="58" t="str">
        <f>IFERROR(VLOOKUP(L1827,'Raw material list'!$A$3:$C$715,3,0),"")</f>
        <v>DRY2-1510</v>
      </c>
      <c r="L1827" s="59" t="s">
        <v>412</v>
      </c>
      <c r="M1827" s="80" t="s">
        <v>48</v>
      </c>
      <c r="N1827" s="40" t="str">
        <f>VLOOKUP(L1827,'Raw material list'!$A$3:$E$715,5,0)</f>
        <v>Each</v>
      </c>
      <c r="O1827" s="80">
        <v>1</v>
      </c>
      <c r="P1827" s="299">
        <f t="shared" si="261"/>
        <v>1</v>
      </c>
      <c r="Q1827" s="80">
        <v>100</v>
      </c>
      <c r="R1827" s="80">
        <v>1</v>
      </c>
      <c r="S1827" s="80"/>
      <c r="T1827" s="105">
        <f t="shared" si="252"/>
        <v>1</v>
      </c>
      <c r="U1827" s="105">
        <f t="shared" si="262"/>
        <v>1</v>
      </c>
      <c r="V1827" s="104">
        <f>IFERROR(VLOOKUP(L1827,'Raw material list'!$A$2:$S$3102,6,0),0)</f>
        <v>0.33333333333333331</v>
      </c>
      <c r="W1827" s="104">
        <f t="shared" si="263"/>
        <v>0.33333333333333331</v>
      </c>
    </row>
    <row r="1828" spans="1:23" hidden="1" x14ac:dyDescent="0.55000000000000004">
      <c r="A1828" s="76" t="str">
        <f t="shared" si="274"/>
        <v>RCP-SMC-000130</v>
      </c>
      <c r="B1828" s="58" t="s">
        <v>35</v>
      </c>
      <c r="C1828" s="58" t="s">
        <v>10</v>
      </c>
      <c r="D1828" s="76" t="str">
        <f t="shared" si="275"/>
        <v>Set Tea &amp; Jam Strawberry &amp;Chees</v>
      </c>
      <c r="E1828" s="76" t="s">
        <v>1536</v>
      </c>
      <c r="F1828" s="76" t="s">
        <v>1666</v>
      </c>
      <c r="G1828" s="76" t="s">
        <v>1666</v>
      </c>
      <c r="H1828" s="76" t="s">
        <v>1666</v>
      </c>
      <c r="I1828" s="76"/>
      <c r="J1828" s="76"/>
      <c r="K1828" s="58" t="str">
        <f>IFERROR(VLOOKUP(L1828,'Raw material list'!$A$3:$C$715,3,0),"")</f>
        <v>DRS1-4990</v>
      </c>
      <c r="L1828" s="59" t="s">
        <v>282</v>
      </c>
      <c r="M1828" s="80" t="s">
        <v>156</v>
      </c>
      <c r="N1828" s="40" t="str">
        <f>VLOOKUP(L1828,'Raw material list'!$A$3:$E$715,5,0)</f>
        <v xml:space="preserve">Gram </v>
      </c>
      <c r="O1828" s="80">
        <v>1</v>
      </c>
      <c r="P1828" s="299">
        <f t="shared" si="261"/>
        <v>1</v>
      </c>
      <c r="Q1828" s="80">
        <v>100</v>
      </c>
      <c r="R1828" s="80">
        <v>1</v>
      </c>
      <c r="S1828" s="80"/>
      <c r="T1828" s="105">
        <f t="shared" si="252"/>
        <v>1</v>
      </c>
      <c r="U1828" s="105">
        <f t="shared" si="262"/>
        <v>1</v>
      </c>
      <c r="V1828" s="104">
        <f>IFERROR(VLOOKUP(L1828,'Raw material list'!$A$2:$S$3102,6,0),0)</f>
        <v>0.38</v>
      </c>
      <c r="W1828" s="104">
        <f t="shared" si="263"/>
        <v>0.38</v>
      </c>
    </row>
    <row r="1829" spans="1:23" hidden="1" x14ac:dyDescent="0.55000000000000004">
      <c r="A1829" s="76" t="str">
        <f t="shared" si="274"/>
        <v>RCP-SMC-000130</v>
      </c>
      <c r="B1829" s="58" t="s">
        <v>35</v>
      </c>
      <c r="C1829" s="58" t="s">
        <v>10</v>
      </c>
      <c r="D1829" s="76" t="str">
        <f t="shared" si="275"/>
        <v>Set Tea &amp; Jam Strawberry &amp;Chees</v>
      </c>
      <c r="E1829" s="76" t="s">
        <v>1536</v>
      </c>
      <c r="F1829" s="76" t="s">
        <v>1666</v>
      </c>
      <c r="G1829" s="76" t="s">
        <v>1666</v>
      </c>
      <c r="H1829" s="76" t="s">
        <v>1666</v>
      </c>
      <c r="I1829" s="76"/>
      <c r="J1829" s="76"/>
      <c r="K1829" s="58" t="str">
        <f>IFERROR(VLOOKUP(L1829,'Raw material list'!$A$3:$C$715,3,0),"")</f>
        <v>DRY1-5114</v>
      </c>
      <c r="L1829" s="59" t="s">
        <v>353</v>
      </c>
      <c r="M1829" s="80" t="s">
        <v>48</v>
      </c>
      <c r="N1829" s="40" t="str">
        <f>VLOOKUP(L1829,'Raw material list'!$A$3:$E$715,5,0)</f>
        <v>Each</v>
      </c>
      <c r="O1829" s="80">
        <v>1</v>
      </c>
      <c r="P1829" s="299">
        <f t="shared" si="261"/>
        <v>1</v>
      </c>
      <c r="Q1829" s="80">
        <v>100</v>
      </c>
      <c r="R1829" s="80">
        <v>1</v>
      </c>
      <c r="S1829" s="80"/>
      <c r="T1829" s="105">
        <f t="shared" si="252"/>
        <v>1</v>
      </c>
      <c r="U1829" s="105">
        <f t="shared" si="262"/>
        <v>1</v>
      </c>
      <c r="V1829" s="104">
        <f>IFERROR(VLOOKUP(L1829,'Raw material list'!$A$2:$S$3102,6,0),0)</f>
        <v>0.43342999999999998</v>
      </c>
      <c r="W1829" s="104">
        <f t="shared" si="263"/>
        <v>0.43342999999999998</v>
      </c>
    </row>
    <row r="1830" spans="1:23" hidden="1" x14ac:dyDescent="0.55000000000000004">
      <c r="A1830" s="76" t="str">
        <f t="shared" si="274"/>
        <v>RCP-SMC-000130</v>
      </c>
      <c r="B1830" s="58" t="s">
        <v>35</v>
      </c>
      <c r="C1830" s="58" t="s">
        <v>10</v>
      </c>
      <c r="D1830" s="76" t="str">
        <f t="shared" si="275"/>
        <v>Set Tea &amp; Jam Strawberry &amp;Chees</v>
      </c>
      <c r="E1830" s="76" t="s">
        <v>1536</v>
      </c>
      <c r="F1830" s="76" t="s">
        <v>1666</v>
      </c>
      <c r="G1830" s="76" t="s">
        <v>1666</v>
      </c>
      <c r="H1830" s="76" t="s">
        <v>1666</v>
      </c>
      <c r="I1830" s="76"/>
      <c r="J1830" s="76"/>
      <c r="K1830" s="58" t="str">
        <f>IFERROR(VLOOKUP(L1830,'Raw material list'!$A$3:$C$715,3,0),"")</f>
        <v>DWS-1455</v>
      </c>
      <c r="L1830" s="59" t="s">
        <v>1370</v>
      </c>
      <c r="M1830" s="80" t="s">
        <v>48</v>
      </c>
      <c r="N1830" s="40" t="str">
        <f>VLOOKUP(L1830,'Raw material list'!$A$3:$E$715,5,0)</f>
        <v>Each</v>
      </c>
      <c r="O1830" s="80">
        <v>1</v>
      </c>
      <c r="P1830" s="299">
        <f t="shared" si="261"/>
        <v>1</v>
      </c>
      <c r="Q1830" s="80">
        <v>100</v>
      </c>
      <c r="R1830" s="80">
        <v>1</v>
      </c>
      <c r="S1830" s="80"/>
      <c r="T1830" s="105">
        <f t="shared" si="252"/>
        <v>1</v>
      </c>
      <c r="U1830" s="105">
        <f t="shared" si="262"/>
        <v>1</v>
      </c>
      <c r="V1830" s="104">
        <f>IFERROR(VLOOKUP(L1830,'Raw material list'!$A$2:$S$3102,6,0),0)</f>
        <v>0.17</v>
      </c>
      <c r="W1830" s="104">
        <f t="shared" si="263"/>
        <v>0.17</v>
      </c>
    </row>
    <row r="1831" spans="1:23" hidden="1" x14ac:dyDescent="0.55000000000000004">
      <c r="A1831" s="76" t="str">
        <f t="shared" si="274"/>
        <v>RCP-SMC-000130</v>
      </c>
      <c r="B1831" s="58" t="s">
        <v>35</v>
      </c>
      <c r="C1831" s="58" t="s">
        <v>10</v>
      </c>
      <c r="D1831" s="76" t="str">
        <f t="shared" si="275"/>
        <v>Set Tea &amp; Jam Strawberry &amp;Chees</v>
      </c>
      <c r="E1831" s="76" t="s">
        <v>1536</v>
      </c>
      <c r="F1831" s="76" t="s">
        <v>1666</v>
      </c>
      <c r="G1831" s="76" t="s">
        <v>1666</v>
      </c>
      <c r="H1831" s="76" t="s">
        <v>1666</v>
      </c>
      <c r="I1831" s="76"/>
      <c r="J1831" s="76"/>
      <c r="K1831" s="58" t="str">
        <f>IFERROR(VLOOKUP(L1831,'Raw material list'!$A$3:$C$715,3,0),"")</f>
        <v>PKG-629</v>
      </c>
      <c r="L1831" s="59" t="s">
        <v>1300</v>
      </c>
      <c r="M1831" s="80" t="s">
        <v>48</v>
      </c>
      <c r="N1831" s="40" t="str">
        <f>VLOOKUP(L1831,'Raw material list'!$A$3:$E$715,5,0)</f>
        <v>Each</v>
      </c>
      <c r="O1831" s="80">
        <v>1</v>
      </c>
      <c r="P1831" s="299">
        <f t="shared" si="261"/>
        <v>1</v>
      </c>
      <c r="Q1831" s="80">
        <v>100</v>
      </c>
      <c r="R1831" s="80">
        <v>1</v>
      </c>
      <c r="S1831" s="80"/>
      <c r="T1831" s="105">
        <f t="shared" si="252"/>
        <v>1</v>
      </c>
      <c r="U1831" s="105">
        <f t="shared" si="262"/>
        <v>1</v>
      </c>
      <c r="V1831" s="104">
        <f>IFERROR(VLOOKUP(L1831,'Raw material list'!$A$2:$S$3102,6,0),0)</f>
        <v>2.3E-2</v>
      </c>
      <c r="W1831" s="104">
        <f t="shared" si="263"/>
        <v>2.3E-2</v>
      </c>
    </row>
    <row r="1832" spans="1:23" hidden="1" x14ac:dyDescent="0.55000000000000004">
      <c r="A1832" s="76" t="str">
        <f t="shared" si="274"/>
        <v>RCP-SMC-000130</v>
      </c>
      <c r="B1832" s="58" t="s">
        <v>35</v>
      </c>
      <c r="C1832" s="58" t="s">
        <v>10</v>
      </c>
      <c r="D1832" s="76" t="str">
        <f t="shared" si="275"/>
        <v>Set Tea &amp; Jam Strawberry &amp;Chees</v>
      </c>
      <c r="E1832" s="76" t="s">
        <v>1536</v>
      </c>
      <c r="F1832" s="76" t="s">
        <v>1666</v>
      </c>
      <c r="G1832" s="76" t="s">
        <v>1666</v>
      </c>
      <c r="H1832" s="76" t="s">
        <v>1666</v>
      </c>
      <c r="I1832" s="76"/>
      <c r="J1832" s="76"/>
      <c r="K1832" s="58" t="str">
        <f>IFERROR(VLOOKUP(L1832,'Raw material list'!$A$3:$C$715,3,0),"")</f>
        <v>PKG-4708</v>
      </c>
      <c r="L1832" s="59" t="s">
        <v>1202</v>
      </c>
      <c r="M1832" s="80" t="s">
        <v>48</v>
      </c>
      <c r="N1832" s="40" t="str">
        <f>VLOOKUP(L1832,'Raw material list'!$A$3:$E$715,5,0)</f>
        <v>Each</v>
      </c>
      <c r="O1832" s="80">
        <v>1</v>
      </c>
      <c r="P1832" s="299">
        <f t="shared" si="261"/>
        <v>1</v>
      </c>
      <c r="Q1832" s="80">
        <v>100</v>
      </c>
      <c r="R1832" s="80">
        <v>1</v>
      </c>
      <c r="S1832" s="80"/>
      <c r="T1832" s="105">
        <f t="shared" si="252"/>
        <v>1</v>
      </c>
      <c r="U1832" s="105">
        <f t="shared" si="262"/>
        <v>1</v>
      </c>
      <c r="V1832" s="104">
        <f>IFERROR(VLOOKUP(L1832,'Raw material list'!$A$2:$S$3102,6,0),0)</f>
        <v>0.34</v>
      </c>
      <c r="W1832" s="104">
        <f t="shared" si="263"/>
        <v>0.34</v>
      </c>
    </row>
    <row r="1833" spans="1:23" hidden="1" x14ac:dyDescent="0.55000000000000004">
      <c r="A1833" s="76" t="s">
        <v>1717</v>
      </c>
      <c r="B1833" s="58" t="s">
        <v>35</v>
      </c>
      <c r="C1833" s="58" t="s">
        <v>10</v>
      </c>
      <c r="D1833" s="76" t="s">
        <v>1771</v>
      </c>
      <c r="E1833" s="76" t="s">
        <v>1536</v>
      </c>
      <c r="F1833" s="76" t="s">
        <v>1666</v>
      </c>
      <c r="G1833" s="76" t="s">
        <v>1666</v>
      </c>
      <c r="H1833" s="76" t="s">
        <v>1666</v>
      </c>
      <c r="I1833" s="76"/>
      <c r="J1833" s="76"/>
      <c r="K1833" s="58" t="str">
        <f>IFERROR(VLOOKUP(L1833,'Raw material list'!$A$3:$C$715,3,0),"")</f>
        <v>DRS1-1042</v>
      </c>
      <c r="L1833" s="59" t="s">
        <v>380</v>
      </c>
      <c r="M1833" s="80" t="s">
        <v>48</v>
      </c>
      <c r="N1833" s="40" t="str">
        <f>VLOOKUP(L1833,'Raw material list'!$A$3:$E$715,5,0)</f>
        <v>Each</v>
      </c>
      <c r="O1833" s="80">
        <v>1</v>
      </c>
      <c r="P1833" s="299">
        <f t="shared" si="261"/>
        <v>1</v>
      </c>
      <c r="Q1833" s="80">
        <v>100</v>
      </c>
      <c r="R1833" s="80">
        <v>1</v>
      </c>
      <c r="S1833" s="80"/>
      <c r="T1833" s="105">
        <f t="shared" si="252"/>
        <v>1</v>
      </c>
      <c r="U1833" s="105">
        <f t="shared" si="262"/>
        <v>1</v>
      </c>
      <c r="V1833" s="104">
        <f>IFERROR(VLOOKUP(L1833,'Raw material list'!$A$2:$S$3102,6,0),0)</f>
        <v>9.4399999999999998E-2</v>
      </c>
      <c r="W1833" s="104">
        <f t="shared" si="263"/>
        <v>9.4399999999999998E-2</v>
      </c>
    </row>
    <row r="1834" spans="1:23" hidden="1" x14ac:dyDescent="0.55000000000000004">
      <c r="A1834" s="76" t="str">
        <f t="shared" ref="A1834:A1841" si="276">A1833</f>
        <v>RCP-SMC-000131</v>
      </c>
      <c r="B1834" s="58" t="s">
        <v>35</v>
      </c>
      <c r="C1834" s="58" t="s">
        <v>10</v>
      </c>
      <c r="D1834" s="76" t="str">
        <f t="shared" ref="D1834:D1841" si="277">D1833</f>
        <v xml:space="preserve">Set Tea &amp; Honey &amp; cheese </v>
      </c>
      <c r="E1834" s="76" t="s">
        <v>1536</v>
      </c>
      <c r="F1834" s="76" t="s">
        <v>1666</v>
      </c>
      <c r="G1834" s="76" t="s">
        <v>1666</v>
      </c>
      <c r="H1834" s="76" t="s">
        <v>1666</v>
      </c>
      <c r="I1834" s="76"/>
      <c r="J1834" s="76"/>
      <c r="K1834" s="58" t="str">
        <f>IFERROR(VLOOKUP(L1834,'Raw material list'!$A$3:$C$715,3,0),"")</f>
        <v>DRS1-1556</v>
      </c>
      <c r="L1834" s="59" t="s">
        <v>767</v>
      </c>
      <c r="M1834" s="80" t="s">
        <v>48</v>
      </c>
      <c r="N1834" s="40" t="str">
        <f>VLOOKUP(L1834,'Raw material list'!$A$3:$E$715,5,0)</f>
        <v>Each</v>
      </c>
      <c r="O1834" s="80">
        <v>3</v>
      </c>
      <c r="P1834" s="299">
        <f t="shared" si="261"/>
        <v>3</v>
      </c>
      <c r="Q1834" s="80">
        <v>100</v>
      </c>
      <c r="R1834" s="80">
        <v>1</v>
      </c>
      <c r="S1834" s="80"/>
      <c r="T1834" s="105">
        <f t="shared" ref="T1834:T1897" si="278">IFERROR(O1834/R1834,0)</f>
        <v>3</v>
      </c>
      <c r="U1834" s="105">
        <f t="shared" si="262"/>
        <v>3</v>
      </c>
      <c r="V1834" s="104">
        <f>IFERROR(VLOOKUP(L1834,'Raw material list'!$A$2:$S$3102,6,0),0)</f>
        <v>3.5000000000000003E-2</v>
      </c>
      <c r="W1834" s="104">
        <f t="shared" si="263"/>
        <v>0.10500000000000001</v>
      </c>
    </row>
    <row r="1835" spans="1:23" hidden="1" x14ac:dyDescent="0.55000000000000004">
      <c r="A1835" s="76" t="str">
        <f t="shared" si="276"/>
        <v>RCP-SMC-000131</v>
      </c>
      <c r="B1835" s="58" t="s">
        <v>35</v>
      </c>
      <c r="C1835" s="58" t="s">
        <v>10</v>
      </c>
      <c r="D1835" s="76" t="str">
        <f t="shared" si="277"/>
        <v xml:space="preserve">Set Tea &amp; Honey &amp; cheese </v>
      </c>
      <c r="E1835" s="76" t="s">
        <v>1536</v>
      </c>
      <c r="F1835" s="76" t="s">
        <v>1666</v>
      </c>
      <c r="G1835" s="76" t="s">
        <v>1666</v>
      </c>
      <c r="H1835" s="76" t="s">
        <v>1666</v>
      </c>
      <c r="I1835" s="76"/>
      <c r="J1835" s="76"/>
      <c r="K1835" s="58" t="str">
        <f>IFERROR(VLOOKUP(L1835,'Raw material list'!$A$3:$C$715,3,0),"")</f>
        <v>DRS1-686</v>
      </c>
      <c r="L1835" s="59" t="s">
        <v>769</v>
      </c>
      <c r="M1835" s="80" t="s">
        <v>48</v>
      </c>
      <c r="N1835" s="40" t="str">
        <f>VLOOKUP(L1835,'Raw material list'!$A$3:$E$715,5,0)</f>
        <v>Each</v>
      </c>
      <c r="O1835" s="80">
        <v>1</v>
      </c>
      <c r="P1835" s="299">
        <f t="shared" si="261"/>
        <v>1</v>
      </c>
      <c r="Q1835" s="80">
        <v>100</v>
      </c>
      <c r="R1835" s="80">
        <v>1</v>
      </c>
      <c r="S1835" s="80"/>
      <c r="T1835" s="105">
        <f t="shared" si="278"/>
        <v>1</v>
      </c>
      <c r="U1835" s="105">
        <f t="shared" si="262"/>
        <v>1</v>
      </c>
      <c r="V1835" s="104">
        <f>IFERROR(VLOOKUP(L1835,'Raw material list'!$A$2:$S$3102,6,0),0)</f>
        <v>0.20420000000000002</v>
      </c>
      <c r="W1835" s="104">
        <f t="shared" si="263"/>
        <v>0.20420000000000002</v>
      </c>
    </row>
    <row r="1836" spans="1:23" hidden="1" x14ac:dyDescent="0.55000000000000004">
      <c r="A1836" s="76" t="str">
        <f t="shared" si="276"/>
        <v>RCP-SMC-000131</v>
      </c>
      <c r="B1836" s="58" t="s">
        <v>35</v>
      </c>
      <c r="C1836" s="58" t="s">
        <v>10</v>
      </c>
      <c r="D1836" s="76" t="str">
        <f t="shared" si="277"/>
        <v xml:space="preserve">Set Tea &amp; Honey &amp; cheese </v>
      </c>
      <c r="E1836" s="76" t="s">
        <v>1536</v>
      </c>
      <c r="F1836" s="76" t="s">
        <v>1666</v>
      </c>
      <c r="G1836" s="76" t="s">
        <v>1666</v>
      </c>
      <c r="H1836" s="76" t="s">
        <v>1666</v>
      </c>
      <c r="I1836" s="76"/>
      <c r="J1836" s="76"/>
      <c r="K1836" s="58" t="str">
        <f>IFERROR(VLOOKUP(L1836,'Raw material list'!$A$3:$C$715,3,0),"")</f>
        <v>DRY2-1510</v>
      </c>
      <c r="L1836" s="59" t="s">
        <v>412</v>
      </c>
      <c r="M1836" s="80" t="s">
        <v>48</v>
      </c>
      <c r="N1836" s="40" t="str">
        <f>VLOOKUP(L1836,'Raw material list'!$A$3:$E$715,5,0)</f>
        <v>Each</v>
      </c>
      <c r="O1836" s="80">
        <v>1</v>
      </c>
      <c r="P1836" s="299">
        <f t="shared" si="261"/>
        <v>1</v>
      </c>
      <c r="Q1836" s="80">
        <v>100</v>
      </c>
      <c r="R1836" s="80">
        <v>1</v>
      </c>
      <c r="S1836" s="80"/>
      <c r="T1836" s="105">
        <f t="shared" si="278"/>
        <v>1</v>
      </c>
      <c r="U1836" s="105">
        <f t="shared" si="262"/>
        <v>1</v>
      </c>
      <c r="V1836" s="104">
        <f>IFERROR(VLOOKUP(L1836,'Raw material list'!$A$2:$S$3102,6,0),0)</f>
        <v>0.33333333333333331</v>
      </c>
      <c r="W1836" s="104">
        <f t="shared" si="263"/>
        <v>0.33333333333333331</v>
      </c>
    </row>
    <row r="1837" spans="1:23" hidden="1" x14ac:dyDescent="0.55000000000000004">
      <c r="A1837" s="76" t="str">
        <f t="shared" si="276"/>
        <v>RCP-SMC-000131</v>
      </c>
      <c r="B1837" s="58" t="s">
        <v>35</v>
      </c>
      <c r="C1837" s="58" t="s">
        <v>10</v>
      </c>
      <c r="D1837" s="76" t="str">
        <f t="shared" si="277"/>
        <v xml:space="preserve">Set Tea &amp; Honey &amp; cheese </v>
      </c>
      <c r="E1837" s="76" t="s">
        <v>1536</v>
      </c>
      <c r="F1837" s="76" t="s">
        <v>1666</v>
      </c>
      <c r="G1837" s="76" t="s">
        <v>1666</v>
      </c>
      <c r="H1837" s="76" t="s">
        <v>1666</v>
      </c>
      <c r="I1837" s="76"/>
      <c r="J1837" s="76"/>
      <c r="K1837" s="58" t="str">
        <f>IFERROR(VLOOKUP(L1837,'Raw material list'!$A$3:$C$715,3,0),"")</f>
        <v>DRS1-688</v>
      </c>
      <c r="L1837" s="59" t="s">
        <v>278</v>
      </c>
      <c r="M1837" s="80" t="s">
        <v>156</v>
      </c>
      <c r="N1837" s="40" t="str">
        <f>VLOOKUP(L1837,'Raw material list'!$A$3:$E$715,5,0)</f>
        <v xml:space="preserve">Gram </v>
      </c>
      <c r="O1837" s="80">
        <v>1</v>
      </c>
      <c r="P1837" s="299">
        <f t="shared" si="261"/>
        <v>1</v>
      </c>
      <c r="Q1837" s="80">
        <v>100</v>
      </c>
      <c r="R1837" s="80">
        <v>1</v>
      </c>
      <c r="S1837" s="80"/>
      <c r="T1837" s="105">
        <f t="shared" si="278"/>
        <v>1</v>
      </c>
      <c r="U1837" s="105">
        <f t="shared" si="262"/>
        <v>1</v>
      </c>
      <c r="V1837" s="104">
        <f>IFERROR(VLOOKUP(L1837,'Raw material list'!$A$2:$S$3102,6,0),0)</f>
        <v>0.52</v>
      </c>
      <c r="W1837" s="104">
        <f t="shared" si="263"/>
        <v>0.52</v>
      </c>
    </row>
    <row r="1838" spans="1:23" hidden="1" x14ac:dyDescent="0.55000000000000004">
      <c r="A1838" s="76" t="str">
        <f t="shared" si="276"/>
        <v>RCP-SMC-000131</v>
      </c>
      <c r="B1838" s="58" t="s">
        <v>35</v>
      </c>
      <c r="C1838" s="58" t="s">
        <v>10</v>
      </c>
      <c r="D1838" s="76" t="str">
        <f t="shared" si="277"/>
        <v xml:space="preserve">Set Tea &amp; Honey &amp; cheese </v>
      </c>
      <c r="E1838" s="76" t="s">
        <v>1536</v>
      </c>
      <c r="F1838" s="76" t="s">
        <v>1666</v>
      </c>
      <c r="G1838" s="76" t="s">
        <v>1666</v>
      </c>
      <c r="H1838" s="76" t="s">
        <v>1666</v>
      </c>
      <c r="I1838" s="76"/>
      <c r="J1838" s="76"/>
      <c r="K1838" s="58" t="str">
        <f>IFERROR(VLOOKUP(L1838,'Raw material list'!$A$3:$C$715,3,0),"")</f>
        <v>DRY1-5114</v>
      </c>
      <c r="L1838" s="59" t="s">
        <v>353</v>
      </c>
      <c r="M1838" s="80" t="s">
        <v>48</v>
      </c>
      <c r="N1838" s="40" t="str">
        <f>VLOOKUP(L1838,'Raw material list'!$A$3:$E$715,5,0)</f>
        <v>Each</v>
      </c>
      <c r="O1838" s="80">
        <v>1</v>
      </c>
      <c r="P1838" s="299">
        <f t="shared" si="261"/>
        <v>1</v>
      </c>
      <c r="Q1838" s="80">
        <v>100</v>
      </c>
      <c r="R1838" s="80">
        <v>1</v>
      </c>
      <c r="S1838" s="80"/>
      <c r="T1838" s="105">
        <f t="shared" si="278"/>
        <v>1</v>
      </c>
      <c r="U1838" s="105">
        <f t="shared" si="262"/>
        <v>1</v>
      </c>
      <c r="V1838" s="104">
        <f>IFERROR(VLOOKUP(L1838,'Raw material list'!$A$2:$S$3102,6,0),0)</f>
        <v>0.43342999999999998</v>
      </c>
      <c r="W1838" s="104">
        <f t="shared" si="263"/>
        <v>0.43342999999999998</v>
      </c>
    </row>
    <row r="1839" spans="1:23" hidden="1" x14ac:dyDescent="0.55000000000000004">
      <c r="A1839" s="76" t="str">
        <f t="shared" si="276"/>
        <v>RCP-SMC-000131</v>
      </c>
      <c r="B1839" s="58" t="s">
        <v>35</v>
      </c>
      <c r="C1839" s="58" t="s">
        <v>10</v>
      </c>
      <c r="D1839" s="76" t="str">
        <f t="shared" si="277"/>
        <v xml:space="preserve">Set Tea &amp; Honey &amp; cheese </v>
      </c>
      <c r="E1839" s="76" t="s">
        <v>1536</v>
      </c>
      <c r="F1839" s="76" t="s">
        <v>1666</v>
      </c>
      <c r="G1839" s="76" t="s">
        <v>1666</v>
      </c>
      <c r="H1839" s="76" t="s">
        <v>1666</v>
      </c>
      <c r="I1839" s="76"/>
      <c r="J1839" s="76"/>
      <c r="K1839" s="58" t="str">
        <f>IFERROR(VLOOKUP(L1839,'Raw material list'!$A$3:$C$715,3,0),"")</f>
        <v>DWS-1455</v>
      </c>
      <c r="L1839" s="59" t="s">
        <v>1370</v>
      </c>
      <c r="M1839" s="80" t="s">
        <v>48</v>
      </c>
      <c r="N1839" s="40" t="str">
        <f>VLOOKUP(L1839,'Raw material list'!$A$3:$E$715,5,0)</f>
        <v>Each</v>
      </c>
      <c r="O1839" s="80">
        <v>1</v>
      </c>
      <c r="P1839" s="299">
        <f t="shared" si="261"/>
        <v>1</v>
      </c>
      <c r="Q1839" s="80">
        <v>100</v>
      </c>
      <c r="R1839" s="80">
        <v>1</v>
      </c>
      <c r="S1839" s="80"/>
      <c r="T1839" s="105">
        <f t="shared" si="278"/>
        <v>1</v>
      </c>
      <c r="U1839" s="105">
        <f t="shared" si="262"/>
        <v>1</v>
      </c>
      <c r="V1839" s="104">
        <f>IFERROR(VLOOKUP(L1839,'Raw material list'!$A$2:$S$3102,6,0),0)</f>
        <v>0.17</v>
      </c>
      <c r="W1839" s="104">
        <f t="shared" si="263"/>
        <v>0.17</v>
      </c>
    </row>
    <row r="1840" spans="1:23" hidden="1" x14ac:dyDescent="0.55000000000000004">
      <c r="A1840" s="76" t="str">
        <f t="shared" si="276"/>
        <v>RCP-SMC-000131</v>
      </c>
      <c r="B1840" s="58" t="s">
        <v>35</v>
      </c>
      <c r="C1840" s="58" t="s">
        <v>10</v>
      </c>
      <c r="D1840" s="76" t="str">
        <f t="shared" si="277"/>
        <v xml:space="preserve">Set Tea &amp; Honey &amp; cheese </v>
      </c>
      <c r="E1840" s="76" t="s">
        <v>1536</v>
      </c>
      <c r="F1840" s="76" t="s">
        <v>1666</v>
      </c>
      <c r="G1840" s="76" t="s">
        <v>1666</v>
      </c>
      <c r="H1840" s="76" t="s">
        <v>1666</v>
      </c>
      <c r="I1840" s="76"/>
      <c r="J1840" s="76"/>
      <c r="K1840" s="58" t="str">
        <f>IFERROR(VLOOKUP(L1840,'Raw material list'!$A$3:$C$715,3,0),"")</f>
        <v>PKG-629</v>
      </c>
      <c r="L1840" s="59" t="s">
        <v>1300</v>
      </c>
      <c r="M1840" s="80" t="s">
        <v>48</v>
      </c>
      <c r="N1840" s="40" t="str">
        <f>VLOOKUP(L1840,'Raw material list'!$A$3:$E$715,5,0)</f>
        <v>Each</v>
      </c>
      <c r="O1840" s="80">
        <v>1</v>
      </c>
      <c r="P1840" s="299">
        <f t="shared" si="261"/>
        <v>1</v>
      </c>
      <c r="Q1840" s="80">
        <v>100</v>
      </c>
      <c r="R1840" s="80">
        <v>1</v>
      </c>
      <c r="S1840" s="80"/>
      <c r="T1840" s="105">
        <f t="shared" si="278"/>
        <v>1</v>
      </c>
      <c r="U1840" s="105">
        <f t="shared" si="262"/>
        <v>1</v>
      </c>
      <c r="V1840" s="104">
        <f>IFERROR(VLOOKUP(L1840,'Raw material list'!$A$2:$S$3102,6,0),0)</f>
        <v>2.3E-2</v>
      </c>
      <c r="W1840" s="104">
        <f t="shared" si="263"/>
        <v>2.3E-2</v>
      </c>
    </row>
    <row r="1841" spans="1:23" hidden="1" x14ac:dyDescent="0.55000000000000004">
      <c r="A1841" s="76" t="str">
        <f t="shared" si="276"/>
        <v>RCP-SMC-000131</v>
      </c>
      <c r="B1841" s="58" t="s">
        <v>35</v>
      </c>
      <c r="C1841" s="58" t="s">
        <v>10</v>
      </c>
      <c r="D1841" s="76" t="str">
        <f t="shared" si="277"/>
        <v xml:space="preserve">Set Tea &amp; Honey &amp; cheese </v>
      </c>
      <c r="E1841" s="76" t="s">
        <v>1536</v>
      </c>
      <c r="F1841" s="76" t="s">
        <v>1666</v>
      </c>
      <c r="G1841" s="76" t="s">
        <v>1666</v>
      </c>
      <c r="H1841" s="76" t="s">
        <v>1666</v>
      </c>
      <c r="I1841" s="76"/>
      <c r="J1841" s="76"/>
      <c r="K1841" s="58" t="str">
        <f>IFERROR(VLOOKUP(L1841,'Raw material list'!$A$3:$C$715,3,0),"")</f>
        <v>PKG-4708</v>
      </c>
      <c r="L1841" s="59" t="s">
        <v>1202</v>
      </c>
      <c r="M1841" s="80" t="s">
        <v>48</v>
      </c>
      <c r="N1841" s="40" t="str">
        <f>VLOOKUP(L1841,'Raw material list'!$A$3:$E$715,5,0)</f>
        <v>Each</v>
      </c>
      <c r="O1841" s="80">
        <v>1</v>
      </c>
      <c r="P1841" s="299">
        <f t="shared" si="261"/>
        <v>1</v>
      </c>
      <c r="Q1841" s="80">
        <v>100</v>
      </c>
      <c r="R1841" s="80">
        <v>1</v>
      </c>
      <c r="S1841" s="80"/>
      <c r="T1841" s="105">
        <f t="shared" si="278"/>
        <v>1</v>
      </c>
      <c r="U1841" s="105">
        <f t="shared" si="262"/>
        <v>1</v>
      </c>
      <c r="V1841" s="104">
        <f>IFERROR(VLOOKUP(L1841,'Raw material list'!$A$2:$S$3102,6,0),0)</f>
        <v>0.34</v>
      </c>
      <c r="W1841" s="104">
        <f t="shared" si="263"/>
        <v>0.34</v>
      </c>
    </row>
    <row r="1842" spans="1:23" hidden="1" x14ac:dyDescent="0.55000000000000004">
      <c r="A1842" s="76" t="s">
        <v>1718</v>
      </c>
      <c r="B1842" s="58" t="s">
        <v>35</v>
      </c>
      <c r="C1842" s="58" t="s">
        <v>10</v>
      </c>
      <c r="D1842" s="76" t="s">
        <v>1677</v>
      </c>
      <c r="E1842" s="76" t="s">
        <v>1536</v>
      </c>
      <c r="F1842" s="76" t="s">
        <v>1666</v>
      </c>
      <c r="G1842" s="76" t="s">
        <v>1666</v>
      </c>
      <c r="H1842" s="76" t="s">
        <v>1666</v>
      </c>
      <c r="I1842" s="76"/>
      <c r="J1842" s="76"/>
      <c r="K1842" s="58" t="str">
        <f>IFERROR(VLOOKUP(L1842,'Raw material list'!$A$3:$C$715,3,0),"")</f>
        <v>DRS1-3153</v>
      </c>
      <c r="L1842" s="59" t="s">
        <v>372</v>
      </c>
      <c r="M1842" s="80" t="s">
        <v>48</v>
      </c>
      <c r="N1842" s="40" t="str">
        <f>VLOOKUP(L1842,'Raw material list'!$A$3:$E$715,5,0)</f>
        <v>Each</v>
      </c>
      <c r="O1842" s="80">
        <v>1</v>
      </c>
      <c r="P1842" s="299">
        <f t="shared" si="261"/>
        <v>1</v>
      </c>
      <c r="Q1842" s="80">
        <v>100</v>
      </c>
      <c r="R1842" s="80">
        <v>1</v>
      </c>
      <c r="S1842" s="80"/>
      <c r="T1842" s="105">
        <f t="shared" si="278"/>
        <v>1</v>
      </c>
      <c r="U1842" s="105">
        <f t="shared" si="262"/>
        <v>1</v>
      </c>
      <c r="V1842" s="104">
        <f>IFERROR(VLOOKUP(L1842,'Raw material list'!$A$2:$S$3102,6,0),0)</f>
        <v>0.57479999999999998</v>
      </c>
      <c r="W1842" s="104">
        <f t="shared" si="263"/>
        <v>0.57479999999999998</v>
      </c>
    </row>
    <row r="1843" spans="1:23" hidden="1" x14ac:dyDescent="0.55000000000000004">
      <c r="A1843" s="76" t="str">
        <f t="shared" ref="A1843:A1851" si="279">A1842</f>
        <v>RCP-SMC-000132</v>
      </c>
      <c r="B1843" s="58" t="s">
        <v>35</v>
      </c>
      <c r="C1843" s="58" t="s">
        <v>10</v>
      </c>
      <c r="D1843" s="76" t="str">
        <f t="shared" ref="D1843:D1851" si="280">D1842</f>
        <v>Sets Tea &amp; Jam or honey  &amp; cheese</v>
      </c>
      <c r="E1843" s="76" t="s">
        <v>1536</v>
      </c>
      <c r="F1843" s="76" t="s">
        <v>1666</v>
      </c>
      <c r="G1843" s="76" t="s">
        <v>1666</v>
      </c>
      <c r="H1843" s="76" t="s">
        <v>1666</v>
      </c>
      <c r="I1843" s="76"/>
      <c r="J1843" s="76"/>
      <c r="K1843" s="58" t="str">
        <f>IFERROR(VLOOKUP(L1843,'Raw material list'!$A$3:$C$715,3,0),"")</f>
        <v>DRS1-1556</v>
      </c>
      <c r="L1843" s="59" t="s">
        <v>767</v>
      </c>
      <c r="M1843" s="80" t="s">
        <v>48</v>
      </c>
      <c r="N1843" s="40" t="str">
        <f>VLOOKUP(L1843,'Raw material list'!$A$3:$E$715,5,0)</f>
        <v>Each</v>
      </c>
      <c r="O1843" s="80">
        <v>3</v>
      </c>
      <c r="P1843" s="299">
        <f t="shared" si="261"/>
        <v>3</v>
      </c>
      <c r="Q1843" s="80">
        <v>100</v>
      </c>
      <c r="R1843" s="80">
        <v>1</v>
      </c>
      <c r="S1843" s="80"/>
      <c r="T1843" s="105">
        <f t="shared" si="278"/>
        <v>3</v>
      </c>
      <c r="U1843" s="105">
        <f t="shared" si="262"/>
        <v>3</v>
      </c>
      <c r="V1843" s="104">
        <f>IFERROR(VLOOKUP(L1843,'Raw material list'!$A$2:$S$3102,6,0),0)</f>
        <v>3.5000000000000003E-2</v>
      </c>
      <c r="W1843" s="104">
        <f t="shared" si="263"/>
        <v>0.10500000000000001</v>
      </c>
    </row>
    <row r="1844" spans="1:23" hidden="1" x14ac:dyDescent="0.55000000000000004">
      <c r="A1844" s="76" t="str">
        <f t="shared" si="279"/>
        <v>RCP-SMC-000132</v>
      </c>
      <c r="B1844" s="58" t="s">
        <v>35</v>
      </c>
      <c r="C1844" s="58" t="s">
        <v>10</v>
      </c>
      <c r="D1844" s="76" t="str">
        <f t="shared" si="280"/>
        <v>Sets Tea &amp; Jam or honey  &amp; cheese</v>
      </c>
      <c r="E1844" s="76" t="s">
        <v>1536</v>
      </c>
      <c r="F1844" s="76" t="s">
        <v>1666</v>
      </c>
      <c r="G1844" s="76" t="s">
        <v>1666</v>
      </c>
      <c r="H1844" s="76" t="s">
        <v>1666</v>
      </c>
      <c r="I1844" s="76"/>
      <c r="J1844" s="76"/>
      <c r="K1844" s="58" t="str">
        <f>IFERROR(VLOOKUP(L1844,'Raw material list'!$A$3:$C$715,3,0),"")</f>
        <v>DRS1-686</v>
      </c>
      <c r="L1844" s="59" t="s">
        <v>769</v>
      </c>
      <c r="M1844" s="80" t="s">
        <v>48</v>
      </c>
      <c r="N1844" s="40" t="str">
        <f>VLOOKUP(L1844,'Raw material list'!$A$3:$E$715,5,0)</f>
        <v>Each</v>
      </c>
      <c r="O1844" s="80">
        <v>1</v>
      </c>
      <c r="P1844" s="299">
        <f t="shared" si="261"/>
        <v>1</v>
      </c>
      <c r="Q1844" s="80">
        <v>100</v>
      </c>
      <c r="R1844" s="80">
        <v>1</v>
      </c>
      <c r="S1844" s="80"/>
      <c r="T1844" s="105">
        <f t="shared" si="278"/>
        <v>1</v>
      </c>
      <c r="U1844" s="105">
        <f t="shared" si="262"/>
        <v>1</v>
      </c>
      <c r="V1844" s="104">
        <f>IFERROR(VLOOKUP(L1844,'Raw material list'!$A$2:$S$3102,6,0),0)</f>
        <v>0.20420000000000002</v>
      </c>
      <c r="W1844" s="104">
        <f t="shared" si="263"/>
        <v>0.20420000000000002</v>
      </c>
    </row>
    <row r="1845" spans="1:23" hidden="1" x14ac:dyDescent="0.55000000000000004">
      <c r="A1845" s="76" t="str">
        <f t="shared" si="279"/>
        <v>RCP-SMC-000132</v>
      </c>
      <c r="B1845" s="58" t="s">
        <v>35</v>
      </c>
      <c r="C1845" s="58" t="s">
        <v>10</v>
      </c>
      <c r="D1845" s="76" t="str">
        <f t="shared" si="280"/>
        <v>Sets Tea &amp; Jam or honey  &amp; cheese</v>
      </c>
      <c r="E1845" s="76" t="s">
        <v>1536</v>
      </c>
      <c r="F1845" s="76" t="s">
        <v>1666</v>
      </c>
      <c r="G1845" s="76" t="s">
        <v>1666</v>
      </c>
      <c r="H1845" s="76" t="s">
        <v>1666</v>
      </c>
      <c r="I1845" s="76"/>
      <c r="J1845" s="76"/>
      <c r="K1845" s="58" t="str">
        <f>IFERROR(VLOOKUP(L1845,'Raw material list'!$A$3:$C$715,3,0),"")</f>
        <v>DRS1-688</v>
      </c>
      <c r="L1845" s="59" t="s">
        <v>278</v>
      </c>
      <c r="M1845" s="80" t="s">
        <v>156</v>
      </c>
      <c r="N1845" s="40" t="str">
        <f>VLOOKUP(L1845,'Raw material list'!$A$3:$E$715,5,0)</f>
        <v xml:space="preserve">Gram </v>
      </c>
      <c r="O1845" s="80">
        <v>1</v>
      </c>
      <c r="P1845" s="299">
        <f t="shared" si="261"/>
        <v>1</v>
      </c>
      <c r="Q1845" s="80">
        <v>100</v>
      </c>
      <c r="R1845" s="80">
        <v>1</v>
      </c>
      <c r="S1845" s="80"/>
      <c r="T1845" s="105">
        <f t="shared" si="278"/>
        <v>1</v>
      </c>
      <c r="U1845" s="105">
        <f t="shared" si="262"/>
        <v>1</v>
      </c>
      <c r="V1845" s="104">
        <f>IFERROR(VLOOKUP(L1845,'Raw material list'!$A$2:$S$3102,6,0),0)</f>
        <v>0.52</v>
      </c>
      <c r="W1845" s="104">
        <f t="shared" si="263"/>
        <v>0.52</v>
      </c>
    </row>
    <row r="1846" spans="1:23" hidden="1" x14ac:dyDescent="0.55000000000000004">
      <c r="A1846" s="76" t="str">
        <f t="shared" si="279"/>
        <v>RCP-SMC-000132</v>
      </c>
      <c r="B1846" s="58" t="s">
        <v>35</v>
      </c>
      <c r="C1846" s="58" t="s">
        <v>10</v>
      </c>
      <c r="D1846" s="76" t="str">
        <f t="shared" si="280"/>
        <v>Sets Tea &amp; Jam or honey  &amp; cheese</v>
      </c>
      <c r="E1846" s="76" t="s">
        <v>1536</v>
      </c>
      <c r="F1846" s="76" t="s">
        <v>1666</v>
      </c>
      <c r="G1846" s="76" t="s">
        <v>1666</v>
      </c>
      <c r="H1846" s="76" t="s">
        <v>1666</v>
      </c>
      <c r="I1846" s="76"/>
      <c r="J1846" s="76"/>
      <c r="K1846" s="58" t="str">
        <f>IFERROR(VLOOKUP(L1846,'Raw material list'!$A$3:$C$715,3,0),"")</f>
        <v>DRS1-1186</v>
      </c>
      <c r="L1846" s="59" t="s">
        <v>280</v>
      </c>
      <c r="M1846" s="80" t="s">
        <v>156</v>
      </c>
      <c r="N1846" s="40" t="str">
        <f>VLOOKUP(L1846,'Raw material list'!$A$3:$E$715,5,0)</f>
        <v xml:space="preserve">Gram </v>
      </c>
      <c r="O1846" s="80">
        <v>0</v>
      </c>
      <c r="P1846" s="299">
        <f t="shared" si="261"/>
        <v>0</v>
      </c>
      <c r="Q1846" s="80">
        <v>100</v>
      </c>
      <c r="R1846" s="80">
        <v>1</v>
      </c>
      <c r="S1846" s="80"/>
      <c r="T1846" s="105">
        <f t="shared" si="278"/>
        <v>0</v>
      </c>
      <c r="U1846" s="105">
        <f t="shared" si="262"/>
        <v>0</v>
      </c>
      <c r="V1846" s="104">
        <f>IFERROR(VLOOKUP(L1846,'Raw material list'!$A$2:$S$3102,6,0),0)</f>
        <v>0.32500000000000001</v>
      </c>
      <c r="W1846" s="104">
        <f t="shared" si="263"/>
        <v>0</v>
      </c>
    </row>
    <row r="1847" spans="1:23" hidden="1" x14ac:dyDescent="0.55000000000000004">
      <c r="A1847" s="76" t="str">
        <f t="shared" si="279"/>
        <v>RCP-SMC-000132</v>
      </c>
      <c r="B1847" s="58" t="s">
        <v>35</v>
      </c>
      <c r="C1847" s="58" t="s">
        <v>10</v>
      </c>
      <c r="D1847" s="76" t="str">
        <f t="shared" si="280"/>
        <v>Sets Tea &amp; Jam or honey  &amp; cheese</v>
      </c>
      <c r="E1847" s="76" t="s">
        <v>1536</v>
      </c>
      <c r="F1847" s="76" t="s">
        <v>1666</v>
      </c>
      <c r="G1847" s="76" t="s">
        <v>1666</v>
      </c>
      <c r="H1847" s="76" t="s">
        <v>1666</v>
      </c>
      <c r="I1847" s="76"/>
      <c r="J1847" s="76"/>
      <c r="K1847" s="58" t="str">
        <f>IFERROR(VLOOKUP(L1847,'Raw material list'!$A$3:$C$715,3,0),"")</f>
        <v>DRY1-5114</v>
      </c>
      <c r="L1847" s="59" t="s">
        <v>353</v>
      </c>
      <c r="M1847" s="80" t="s">
        <v>48</v>
      </c>
      <c r="N1847" s="40" t="str">
        <f>VLOOKUP(L1847,'Raw material list'!$A$3:$E$715,5,0)</f>
        <v>Each</v>
      </c>
      <c r="O1847" s="80">
        <v>1</v>
      </c>
      <c r="P1847" s="299">
        <f t="shared" si="261"/>
        <v>1</v>
      </c>
      <c r="Q1847" s="80">
        <v>100</v>
      </c>
      <c r="R1847" s="80">
        <v>1</v>
      </c>
      <c r="S1847" s="80"/>
      <c r="T1847" s="105">
        <f t="shared" si="278"/>
        <v>1</v>
      </c>
      <c r="U1847" s="105">
        <f t="shared" si="262"/>
        <v>1</v>
      </c>
      <c r="V1847" s="104">
        <f>IFERROR(VLOOKUP(L1847,'Raw material list'!$A$2:$S$3102,6,0),0)</f>
        <v>0.43342999999999998</v>
      </c>
      <c r="W1847" s="104">
        <f t="shared" si="263"/>
        <v>0.43342999999999998</v>
      </c>
    </row>
    <row r="1848" spans="1:23" hidden="1" x14ac:dyDescent="0.55000000000000004">
      <c r="A1848" s="76" t="str">
        <f t="shared" si="279"/>
        <v>RCP-SMC-000132</v>
      </c>
      <c r="B1848" s="58" t="s">
        <v>35</v>
      </c>
      <c r="C1848" s="58" t="s">
        <v>10</v>
      </c>
      <c r="D1848" s="76" t="str">
        <f t="shared" si="280"/>
        <v>Sets Tea &amp; Jam or honey  &amp; cheese</v>
      </c>
      <c r="E1848" s="76" t="s">
        <v>1536</v>
      </c>
      <c r="F1848" s="76" t="s">
        <v>1666</v>
      </c>
      <c r="G1848" s="76" t="s">
        <v>1666</v>
      </c>
      <c r="H1848" s="76" t="s">
        <v>1666</v>
      </c>
      <c r="I1848" s="76"/>
      <c r="J1848" s="76"/>
      <c r="K1848" s="58" t="str">
        <f>IFERROR(VLOOKUP(L1848,'Raw material list'!$A$3:$C$715,3,0),"")</f>
        <v>DRS1-3155</v>
      </c>
      <c r="L1848" s="59" t="s">
        <v>361</v>
      </c>
      <c r="M1848" s="80" t="s">
        <v>48</v>
      </c>
      <c r="N1848" s="40" t="str">
        <f>VLOOKUP(L1848,'Raw material list'!$A$3:$E$715,5,0)</f>
        <v>Each</v>
      </c>
      <c r="O1848" s="80">
        <v>1</v>
      </c>
      <c r="P1848" s="299">
        <f t="shared" si="261"/>
        <v>1</v>
      </c>
      <c r="Q1848" s="80">
        <v>100</v>
      </c>
      <c r="R1848" s="80">
        <v>1</v>
      </c>
      <c r="S1848" s="80"/>
      <c r="T1848" s="105">
        <f t="shared" si="278"/>
        <v>1</v>
      </c>
      <c r="U1848" s="105">
        <f t="shared" si="262"/>
        <v>1</v>
      </c>
      <c r="V1848" s="104">
        <f>IFERROR(VLOOKUP(L1848,'Raw material list'!$A$2:$S$3102,6,0),0)</f>
        <v>0.21425</v>
      </c>
      <c r="W1848" s="104">
        <f t="shared" si="263"/>
        <v>0.21425</v>
      </c>
    </row>
    <row r="1849" spans="1:23" hidden="1" x14ac:dyDescent="0.55000000000000004">
      <c r="A1849" s="76" t="str">
        <f t="shared" si="279"/>
        <v>RCP-SMC-000132</v>
      </c>
      <c r="B1849" s="58" t="s">
        <v>35</v>
      </c>
      <c r="C1849" s="58" t="s">
        <v>10</v>
      </c>
      <c r="D1849" s="76" t="str">
        <f t="shared" si="280"/>
        <v>Sets Tea &amp; Jam or honey  &amp; cheese</v>
      </c>
      <c r="E1849" s="76" t="s">
        <v>1536</v>
      </c>
      <c r="F1849" s="76" t="s">
        <v>1666</v>
      </c>
      <c r="G1849" s="76" t="s">
        <v>1666</v>
      </c>
      <c r="H1849" s="76" t="s">
        <v>1666</v>
      </c>
      <c r="I1849" s="76"/>
      <c r="J1849" s="76"/>
      <c r="K1849" s="58" t="str">
        <f>IFERROR(VLOOKUP(L1849,'Raw material list'!$A$3:$C$715,3,0),"")</f>
        <v>PKG-629</v>
      </c>
      <c r="L1849" s="59" t="s">
        <v>1300</v>
      </c>
      <c r="M1849" s="80" t="s">
        <v>48</v>
      </c>
      <c r="N1849" s="40" t="str">
        <f>VLOOKUP(L1849,'Raw material list'!$A$3:$E$715,5,0)</f>
        <v>Each</v>
      </c>
      <c r="O1849" s="80">
        <v>1</v>
      </c>
      <c r="P1849" s="299">
        <f t="shared" si="261"/>
        <v>1</v>
      </c>
      <c r="Q1849" s="80">
        <v>100</v>
      </c>
      <c r="R1849" s="80">
        <v>1</v>
      </c>
      <c r="S1849" s="80"/>
      <c r="T1849" s="105">
        <f t="shared" si="278"/>
        <v>1</v>
      </c>
      <c r="U1849" s="105">
        <f t="shared" si="262"/>
        <v>1</v>
      </c>
      <c r="V1849" s="104">
        <f>IFERROR(VLOOKUP(L1849,'Raw material list'!$A$2:$S$3102,6,0),0)</f>
        <v>2.3E-2</v>
      </c>
      <c r="W1849" s="104">
        <f t="shared" si="263"/>
        <v>2.3E-2</v>
      </c>
    </row>
    <row r="1850" spans="1:23" hidden="1" x14ac:dyDescent="0.55000000000000004">
      <c r="A1850" s="76" t="str">
        <f t="shared" si="279"/>
        <v>RCP-SMC-000132</v>
      </c>
      <c r="B1850" s="58" t="s">
        <v>35</v>
      </c>
      <c r="C1850" s="58" t="s">
        <v>10</v>
      </c>
      <c r="D1850" s="76" t="str">
        <f t="shared" si="280"/>
        <v>Sets Tea &amp; Jam or honey  &amp; cheese</v>
      </c>
      <c r="E1850" s="76" t="s">
        <v>1536</v>
      </c>
      <c r="F1850" s="76" t="s">
        <v>1666</v>
      </c>
      <c r="G1850" s="76" t="s">
        <v>1666</v>
      </c>
      <c r="H1850" s="76" t="s">
        <v>1666</v>
      </c>
      <c r="I1850" s="76"/>
      <c r="J1850" s="76"/>
      <c r="K1850" s="58" t="str">
        <f>IFERROR(VLOOKUP(L1850,'Raw material list'!$A$3:$C$715,3,0),"")</f>
        <v>PKG-4708</v>
      </c>
      <c r="L1850" s="59" t="s">
        <v>1202</v>
      </c>
      <c r="M1850" s="80" t="s">
        <v>48</v>
      </c>
      <c r="N1850" s="40" t="str">
        <f>VLOOKUP(L1850,'Raw material list'!$A$3:$E$715,5,0)</f>
        <v>Each</v>
      </c>
      <c r="O1850" s="80">
        <v>1</v>
      </c>
      <c r="P1850" s="299">
        <f t="shared" si="261"/>
        <v>1</v>
      </c>
      <c r="Q1850" s="80">
        <v>100</v>
      </c>
      <c r="R1850" s="80">
        <v>1</v>
      </c>
      <c r="S1850" s="80"/>
      <c r="T1850" s="105">
        <f t="shared" si="278"/>
        <v>1</v>
      </c>
      <c r="U1850" s="105">
        <f t="shared" si="262"/>
        <v>1</v>
      </c>
      <c r="V1850" s="104">
        <f>IFERROR(VLOOKUP(L1850,'Raw material list'!$A$2:$S$3102,6,0),0)</f>
        <v>0.34</v>
      </c>
      <c r="W1850" s="104">
        <f t="shared" si="263"/>
        <v>0.34</v>
      </c>
    </row>
    <row r="1851" spans="1:23" hidden="1" x14ac:dyDescent="0.55000000000000004">
      <c r="A1851" s="76" t="str">
        <f t="shared" si="279"/>
        <v>RCP-SMC-000132</v>
      </c>
      <c r="B1851" s="58" t="s">
        <v>35</v>
      </c>
      <c r="C1851" s="58" t="s">
        <v>10</v>
      </c>
      <c r="D1851" s="76" t="str">
        <f t="shared" si="280"/>
        <v>Sets Tea &amp; Jam or honey  &amp; cheese</v>
      </c>
      <c r="E1851" s="76" t="s">
        <v>1536</v>
      </c>
      <c r="F1851" s="76" t="s">
        <v>1666</v>
      </c>
      <c r="G1851" s="76" t="s">
        <v>1666</v>
      </c>
      <c r="H1851" s="76" t="s">
        <v>1666</v>
      </c>
      <c r="I1851" s="76"/>
      <c r="J1851" s="76"/>
      <c r="K1851" s="58" t="str">
        <f>IFERROR(VLOOKUP(L1851,'Raw material list'!$A$3:$C$715,3,0),"")</f>
        <v>DWS-1455</v>
      </c>
      <c r="L1851" s="59" t="s">
        <v>1370</v>
      </c>
      <c r="M1851" s="80" t="s">
        <v>48</v>
      </c>
      <c r="N1851" s="40" t="str">
        <f>VLOOKUP(L1851,'Raw material list'!$A$3:$E$715,5,0)</f>
        <v>Each</v>
      </c>
      <c r="O1851" s="80">
        <v>1</v>
      </c>
      <c r="P1851" s="299">
        <f t="shared" si="261"/>
        <v>1</v>
      </c>
      <c r="Q1851" s="80">
        <v>100</v>
      </c>
      <c r="R1851" s="80">
        <v>1</v>
      </c>
      <c r="S1851" s="80"/>
      <c r="T1851" s="105">
        <f t="shared" si="278"/>
        <v>1</v>
      </c>
      <c r="U1851" s="105">
        <f t="shared" si="262"/>
        <v>1</v>
      </c>
      <c r="V1851" s="104">
        <f>IFERROR(VLOOKUP(L1851,'Raw material list'!$A$2:$S$3102,6,0),0)</f>
        <v>0.17</v>
      </c>
      <c r="W1851" s="104">
        <f t="shared" si="263"/>
        <v>0.17</v>
      </c>
    </row>
    <row r="1852" spans="1:23" hidden="1" x14ac:dyDescent="0.55000000000000004">
      <c r="A1852" s="76" t="s">
        <v>1719</v>
      </c>
      <c r="B1852" s="58" t="s">
        <v>35</v>
      </c>
      <c r="C1852" s="58" t="s">
        <v>10</v>
      </c>
      <c r="D1852" s="76" t="s">
        <v>1678</v>
      </c>
      <c r="E1852" s="76" t="s">
        <v>1432</v>
      </c>
      <c r="F1852" s="76" t="s">
        <v>1666</v>
      </c>
      <c r="G1852" s="76" t="s">
        <v>1666</v>
      </c>
      <c r="H1852" s="76" t="s">
        <v>1666</v>
      </c>
      <c r="I1852" s="76"/>
      <c r="J1852" s="76"/>
      <c r="K1852" s="58" t="str">
        <f>IFERROR(VLOOKUP(L1852,'Raw material list'!$A$3:$C$715,3,0),"")</f>
        <v>DRS5-40</v>
      </c>
      <c r="L1852" s="59" t="s">
        <v>58</v>
      </c>
      <c r="M1852" s="80" t="s">
        <v>156</v>
      </c>
      <c r="N1852" s="40" t="str">
        <f>VLOOKUP(L1852,'Raw material list'!$A$3:$E$715,5,0)</f>
        <v xml:space="preserve">Gram </v>
      </c>
      <c r="O1852" s="80">
        <v>25000</v>
      </c>
      <c r="P1852" s="299">
        <f t="shared" si="261"/>
        <v>25000</v>
      </c>
      <c r="Q1852" s="80">
        <v>100</v>
      </c>
      <c r="R1852" s="80">
        <v>720</v>
      </c>
      <c r="S1852" s="80"/>
      <c r="T1852" s="105">
        <f t="shared" si="278"/>
        <v>34.722222222222221</v>
      </c>
      <c r="U1852" s="105">
        <f t="shared" si="262"/>
        <v>34.722222222222221</v>
      </c>
      <c r="V1852" s="104">
        <f>IFERROR(VLOOKUP(L1852,'Raw material list'!$A$2:$S$3102,6,0),0)</f>
        <v>7.7777777777777773E-4</v>
      </c>
      <c r="W1852" s="104">
        <f t="shared" si="263"/>
        <v>2.7006172839506171E-2</v>
      </c>
    </row>
    <row r="1853" spans="1:23" hidden="1" x14ac:dyDescent="0.55000000000000004">
      <c r="A1853" s="76" t="str">
        <f t="shared" ref="A1853:A1862" si="281">A1852</f>
        <v>RCP-SMC-000133</v>
      </c>
      <c r="B1853" s="58" t="s">
        <v>35</v>
      </c>
      <c r="C1853" s="58" t="s">
        <v>10</v>
      </c>
      <c r="D1853" s="76" t="str">
        <f t="shared" ref="D1853:D1862" si="282">D1852</f>
        <v>Danish Pastry</v>
      </c>
      <c r="E1853" s="76" t="s">
        <v>1432</v>
      </c>
      <c r="F1853" s="76" t="s">
        <v>1666</v>
      </c>
      <c r="G1853" s="76" t="s">
        <v>1666</v>
      </c>
      <c r="H1853" s="76" t="s">
        <v>1666</v>
      </c>
      <c r="I1853" s="76"/>
      <c r="J1853" s="76"/>
      <c r="K1853" s="58" t="str">
        <f>IFERROR(VLOOKUP(L1853,'Raw material list'!$A$3:$C$715,3,0),"")</f>
        <v>DRS1-90</v>
      </c>
      <c r="L1853" s="59" t="s">
        <v>581</v>
      </c>
      <c r="M1853" s="80" t="s">
        <v>156</v>
      </c>
      <c r="N1853" s="40" t="str">
        <f>VLOOKUP(L1853,'Raw material list'!$A$3:$E$715,5,0)</f>
        <v xml:space="preserve">Gram </v>
      </c>
      <c r="O1853" s="80">
        <v>500</v>
      </c>
      <c r="P1853" s="299">
        <f t="shared" si="261"/>
        <v>500</v>
      </c>
      <c r="Q1853" s="80">
        <v>100</v>
      </c>
      <c r="R1853" s="80">
        <v>720</v>
      </c>
      <c r="S1853" s="80"/>
      <c r="T1853" s="105">
        <f t="shared" si="278"/>
        <v>0.69444444444444442</v>
      </c>
      <c r="U1853" s="105">
        <f t="shared" si="262"/>
        <v>0.69444444444444442</v>
      </c>
      <c r="V1853" s="104">
        <f>IFERROR(VLOOKUP(L1853,'Raw material list'!$A$2:$S$3102,6,0),0)</f>
        <v>1.4500000000000001E-2</v>
      </c>
      <c r="W1853" s="104">
        <f t="shared" si="263"/>
        <v>1.0069444444444445E-2</v>
      </c>
    </row>
    <row r="1854" spans="1:23" hidden="1" x14ac:dyDescent="0.55000000000000004">
      <c r="A1854" s="76" t="str">
        <f t="shared" si="281"/>
        <v>RCP-SMC-000133</v>
      </c>
      <c r="B1854" s="58" t="s">
        <v>35</v>
      </c>
      <c r="C1854" s="58" t="s">
        <v>10</v>
      </c>
      <c r="D1854" s="76" t="str">
        <f t="shared" si="282"/>
        <v>Danish Pastry</v>
      </c>
      <c r="E1854" s="76" t="s">
        <v>1432</v>
      </c>
      <c r="F1854" s="76" t="s">
        <v>1666</v>
      </c>
      <c r="G1854" s="76" t="s">
        <v>1666</v>
      </c>
      <c r="H1854" s="76" t="s">
        <v>1666</v>
      </c>
      <c r="I1854" s="76"/>
      <c r="J1854" s="76"/>
      <c r="K1854" s="58" t="str">
        <f>IFERROR(VLOOKUP(L1854,'Raw material list'!$A$3:$C$715,3,0),"")</f>
        <v>DRS1-3880</v>
      </c>
      <c r="L1854" s="59" t="s">
        <v>1433</v>
      </c>
      <c r="M1854" s="80" t="s">
        <v>156</v>
      </c>
      <c r="N1854" s="40" t="str">
        <f>VLOOKUP(L1854,'Raw material list'!$A$3:$E$715,5,0)</f>
        <v xml:space="preserve">Gram </v>
      </c>
      <c r="O1854" s="80">
        <v>500</v>
      </c>
      <c r="P1854" s="299">
        <f t="shared" si="261"/>
        <v>500</v>
      </c>
      <c r="Q1854" s="80">
        <v>100</v>
      </c>
      <c r="R1854" s="80">
        <v>720</v>
      </c>
      <c r="S1854" s="80"/>
      <c r="T1854" s="105">
        <f t="shared" si="278"/>
        <v>0.69444444444444442</v>
      </c>
      <c r="U1854" s="105">
        <f t="shared" si="262"/>
        <v>0.69444444444444442</v>
      </c>
      <c r="V1854" s="104">
        <f>IFERROR(VLOOKUP(L1854,'Raw material list'!$A$2:$S$3102,6,0),0)</f>
        <v>5.0000000000000001E-4</v>
      </c>
      <c r="W1854" s="104">
        <f t="shared" si="263"/>
        <v>3.4722222222222224E-4</v>
      </c>
    </row>
    <row r="1855" spans="1:23" hidden="1" x14ac:dyDescent="0.55000000000000004">
      <c r="A1855" s="76" t="str">
        <f t="shared" si="281"/>
        <v>RCP-SMC-000133</v>
      </c>
      <c r="B1855" s="58" t="s">
        <v>35</v>
      </c>
      <c r="C1855" s="58" t="s">
        <v>10</v>
      </c>
      <c r="D1855" s="76" t="str">
        <f t="shared" si="282"/>
        <v>Danish Pastry</v>
      </c>
      <c r="E1855" s="76" t="s">
        <v>1432</v>
      </c>
      <c r="F1855" s="76" t="s">
        <v>1666</v>
      </c>
      <c r="G1855" s="76" t="s">
        <v>1666</v>
      </c>
      <c r="H1855" s="76" t="s">
        <v>1666</v>
      </c>
      <c r="I1855" s="76"/>
      <c r="J1855" s="76"/>
      <c r="K1855" s="58" t="str">
        <f>IFERROR(VLOOKUP(L1855,'Raw material list'!$A$3:$C$715,3,0),"")</f>
        <v>DRS1-978</v>
      </c>
      <c r="L1855" s="59" t="s">
        <v>56</v>
      </c>
      <c r="M1855" s="80" t="s">
        <v>156</v>
      </c>
      <c r="N1855" s="40" t="str">
        <f>VLOOKUP(L1855,'Raw material list'!$A$3:$E$715,5,0)</f>
        <v xml:space="preserve">Gram </v>
      </c>
      <c r="O1855" s="80">
        <v>2500</v>
      </c>
      <c r="P1855" s="299">
        <f t="shared" si="261"/>
        <v>2500</v>
      </c>
      <c r="Q1855" s="80">
        <v>100</v>
      </c>
      <c r="R1855" s="80">
        <v>720</v>
      </c>
      <c r="S1855" s="80"/>
      <c r="T1855" s="105">
        <f t="shared" si="278"/>
        <v>3.4722222222222223</v>
      </c>
      <c r="U1855" s="105">
        <f t="shared" si="262"/>
        <v>3.4722222222222223</v>
      </c>
      <c r="V1855" s="104">
        <f>IFERROR(VLOOKUP(L1855,'Raw material list'!$A$2:$S$3102,6,0),0)</f>
        <v>2.3999999999999998E-3</v>
      </c>
      <c r="W1855" s="104">
        <f t="shared" si="263"/>
        <v>8.3333333333333332E-3</v>
      </c>
    </row>
    <row r="1856" spans="1:23" hidden="1" x14ac:dyDescent="0.55000000000000004">
      <c r="A1856" s="76" t="str">
        <f t="shared" si="281"/>
        <v>RCP-SMC-000133</v>
      </c>
      <c r="B1856" s="58" t="s">
        <v>35</v>
      </c>
      <c r="C1856" s="58" t="s">
        <v>10</v>
      </c>
      <c r="D1856" s="76" t="str">
        <f t="shared" si="282"/>
        <v>Danish Pastry</v>
      </c>
      <c r="E1856" s="76" t="s">
        <v>1432</v>
      </c>
      <c r="F1856" s="76" t="s">
        <v>1666</v>
      </c>
      <c r="G1856" s="76" t="s">
        <v>1666</v>
      </c>
      <c r="H1856" s="76" t="s">
        <v>1666</v>
      </c>
      <c r="I1856" s="76"/>
      <c r="J1856" s="76"/>
      <c r="K1856" s="58" t="str">
        <f>IFERROR(VLOOKUP(L1856,'Raw material list'!$A$3:$C$715,3,0),"")</f>
        <v>DRY2-149</v>
      </c>
      <c r="L1856" s="59" t="s">
        <v>408</v>
      </c>
      <c r="M1856" s="80" t="s">
        <v>156</v>
      </c>
      <c r="N1856" s="40" t="str">
        <f>VLOOKUP(L1856,'Raw material list'!$A$3:$E$715,5,0)</f>
        <v xml:space="preserve">Gram </v>
      </c>
      <c r="O1856" s="80">
        <v>16000</v>
      </c>
      <c r="P1856" s="299">
        <f t="shared" si="261"/>
        <v>16000</v>
      </c>
      <c r="Q1856" s="80">
        <v>100</v>
      </c>
      <c r="R1856" s="80">
        <v>720</v>
      </c>
      <c r="S1856" s="80"/>
      <c r="T1856" s="105">
        <f t="shared" si="278"/>
        <v>22.222222222222221</v>
      </c>
      <c r="U1856" s="105">
        <f t="shared" si="262"/>
        <v>22.222222222222221</v>
      </c>
      <c r="V1856" s="104">
        <f>IFERROR(VLOOKUP(L1856,'Raw material list'!$A$2:$S$3102,6,0),0)</f>
        <v>1.0999999999999999E-2</v>
      </c>
      <c r="W1856" s="104">
        <f t="shared" si="263"/>
        <v>0.24444444444444441</v>
      </c>
    </row>
    <row r="1857" spans="1:23" hidden="1" x14ac:dyDescent="0.55000000000000004">
      <c r="A1857" s="76" t="str">
        <f t="shared" si="281"/>
        <v>RCP-SMC-000133</v>
      </c>
      <c r="B1857" s="58" t="s">
        <v>35</v>
      </c>
      <c r="C1857" s="58" t="s">
        <v>10</v>
      </c>
      <c r="D1857" s="76" t="str">
        <f t="shared" si="282"/>
        <v>Danish Pastry</v>
      </c>
      <c r="E1857" s="76" t="s">
        <v>1432</v>
      </c>
      <c r="F1857" s="76" t="s">
        <v>1666</v>
      </c>
      <c r="G1857" s="76" t="s">
        <v>1666</v>
      </c>
      <c r="H1857" s="76" t="s">
        <v>1666</v>
      </c>
      <c r="I1857" s="76"/>
      <c r="J1857" s="76"/>
      <c r="K1857" s="58" t="str">
        <f>IFERROR(VLOOKUP(L1857,'Raw material list'!$A$3:$C$715,3,0),"")</f>
        <v>TAP-00001</v>
      </c>
      <c r="L1857" s="59" t="s">
        <v>1405</v>
      </c>
      <c r="M1857" s="80" t="s">
        <v>206</v>
      </c>
      <c r="N1857" s="40" t="str">
        <f>VLOOKUP(L1857,'Raw material list'!$A$3:$E$715,5,0)</f>
        <v>Ml</v>
      </c>
      <c r="O1857" s="80">
        <v>7000</v>
      </c>
      <c r="P1857" s="299">
        <f t="shared" si="261"/>
        <v>7000</v>
      </c>
      <c r="Q1857" s="80">
        <v>100</v>
      </c>
      <c r="R1857" s="80">
        <v>720</v>
      </c>
      <c r="S1857" s="80"/>
      <c r="T1857" s="105">
        <f t="shared" si="278"/>
        <v>9.7222222222222214</v>
      </c>
      <c r="U1857" s="105">
        <f t="shared" si="262"/>
        <v>9.7222222222222214</v>
      </c>
      <c r="V1857" s="104">
        <f>IFERROR(VLOOKUP(L1857,'Raw material list'!$A$2:$S$3102,6,0),0)</f>
        <v>8.0000000000000007E-5</v>
      </c>
      <c r="W1857" s="104">
        <f t="shared" si="263"/>
        <v>7.7777777777777773E-4</v>
      </c>
    </row>
    <row r="1858" spans="1:23" hidden="1" x14ac:dyDescent="0.55000000000000004">
      <c r="A1858" s="76" t="str">
        <f t="shared" si="281"/>
        <v>RCP-SMC-000133</v>
      </c>
      <c r="B1858" s="58" t="s">
        <v>35</v>
      </c>
      <c r="C1858" s="58" t="s">
        <v>10</v>
      </c>
      <c r="D1858" s="76" t="str">
        <f t="shared" si="282"/>
        <v>Danish Pastry</v>
      </c>
      <c r="E1858" s="76" t="s">
        <v>1432</v>
      </c>
      <c r="F1858" s="76" t="s">
        <v>1666</v>
      </c>
      <c r="G1858" s="76" t="s">
        <v>1666</v>
      </c>
      <c r="H1858" s="76" t="s">
        <v>1666</v>
      </c>
      <c r="I1858" s="76"/>
      <c r="J1858" s="76"/>
      <c r="K1858" s="58" t="str">
        <f>IFERROR(VLOOKUP(L1858,'Raw material list'!$A$3:$C$715,3,0),"")</f>
        <v>DRY2-1388</v>
      </c>
      <c r="L1858" s="59" t="s">
        <v>126</v>
      </c>
      <c r="M1858" s="80" t="s">
        <v>206</v>
      </c>
      <c r="N1858" s="40" t="str">
        <f>VLOOKUP(L1858,'Raw material list'!$A$3:$E$715,5,0)</f>
        <v>Ml</v>
      </c>
      <c r="O1858" s="80">
        <v>5000</v>
      </c>
      <c r="P1858" s="299">
        <f t="shared" si="261"/>
        <v>5000</v>
      </c>
      <c r="Q1858" s="80">
        <v>100</v>
      </c>
      <c r="R1858" s="80">
        <v>720</v>
      </c>
      <c r="S1858" s="80"/>
      <c r="T1858" s="105">
        <f t="shared" si="278"/>
        <v>6.9444444444444446</v>
      </c>
      <c r="U1858" s="105">
        <f t="shared" si="262"/>
        <v>6.9444444444444446</v>
      </c>
      <c r="V1858" s="104">
        <f>IFERROR(VLOOKUP(L1858,'Raw material list'!$A$2:$S$3102,6,0),0)</f>
        <v>4.2500000000000003E-3</v>
      </c>
      <c r="W1858" s="104">
        <f t="shared" si="263"/>
        <v>2.9513888888888892E-2</v>
      </c>
    </row>
    <row r="1859" spans="1:23" hidden="1" x14ac:dyDescent="0.55000000000000004">
      <c r="A1859" s="76" t="str">
        <f t="shared" si="281"/>
        <v>RCP-SMC-000133</v>
      </c>
      <c r="B1859" s="58" t="s">
        <v>35</v>
      </c>
      <c r="C1859" s="58" t="s">
        <v>10</v>
      </c>
      <c r="D1859" s="76" t="str">
        <f t="shared" si="282"/>
        <v>Danish Pastry</v>
      </c>
      <c r="E1859" s="76" t="s">
        <v>1432</v>
      </c>
      <c r="F1859" s="76" t="s">
        <v>1666</v>
      </c>
      <c r="G1859" s="76" t="s">
        <v>1666</v>
      </c>
      <c r="H1859" s="76" t="s">
        <v>1666</v>
      </c>
      <c r="I1859" s="76"/>
      <c r="J1859" s="76"/>
      <c r="K1859" s="58" t="str">
        <f>IFERROR(VLOOKUP(L1859,'Raw material list'!$A$3:$C$715,3,0),"")</f>
        <v>DRS5-1325</v>
      </c>
      <c r="L1859" s="59" t="s">
        <v>625</v>
      </c>
      <c r="M1859" s="80" t="s">
        <v>156</v>
      </c>
      <c r="N1859" s="40" t="str">
        <f>VLOOKUP(L1859,'Raw material list'!$A$3:$E$715,5,0)</f>
        <v xml:space="preserve">Gram </v>
      </c>
      <c r="O1859" s="80">
        <v>100</v>
      </c>
      <c r="P1859" s="299">
        <f t="shared" si="261"/>
        <v>100</v>
      </c>
      <c r="Q1859" s="80">
        <v>100</v>
      </c>
      <c r="R1859" s="80">
        <v>720</v>
      </c>
      <c r="S1859" s="80"/>
      <c r="T1859" s="105">
        <f t="shared" si="278"/>
        <v>0.1388888888888889</v>
      </c>
      <c r="U1859" s="105">
        <f t="shared" si="262"/>
        <v>0.1388888888888889</v>
      </c>
      <c r="V1859" s="104">
        <f>IFERROR(VLOOKUP(L1859,'Raw material list'!$A$2:$S$3102,6,0),0)</f>
        <v>1.17E-2</v>
      </c>
      <c r="W1859" s="104">
        <f t="shared" si="263"/>
        <v>1.6250000000000001E-3</v>
      </c>
    </row>
    <row r="1860" spans="1:23" hidden="1" x14ac:dyDescent="0.55000000000000004">
      <c r="A1860" s="76" t="str">
        <f t="shared" si="281"/>
        <v>RCP-SMC-000133</v>
      </c>
      <c r="B1860" s="58" t="s">
        <v>35</v>
      </c>
      <c r="C1860" s="58" t="s">
        <v>10</v>
      </c>
      <c r="D1860" s="76" t="str">
        <f t="shared" si="282"/>
        <v>Danish Pastry</v>
      </c>
      <c r="E1860" s="76" t="s">
        <v>1432</v>
      </c>
      <c r="F1860" s="76" t="s">
        <v>1666</v>
      </c>
      <c r="G1860" s="76" t="s">
        <v>1666</v>
      </c>
      <c r="H1860" s="76" t="s">
        <v>1666</v>
      </c>
      <c r="I1860" s="76"/>
      <c r="J1860" s="76"/>
      <c r="K1860" s="58" t="str">
        <f>IFERROR(VLOOKUP(L1860,'Raw material list'!$A$3:$C$715,3,0),"")</f>
        <v>DRY2-1388</v>
      </c>
      <c r="L1860" s="59" t="s">
        <v>126</v>
      </c>
      <c r="M1860" s="80" t="s">
        <v>206</v>
      </c>
      <c r="N1860" s="40" t="str">
        <f>VLOOKUP(L1860,'Raw material list'!$A$3:$E$715,5,0)</f>
        <v>Ml</v>
      </c>
      <c r="O1860" s="80">
        <v>22000</v>
      </c>
      <c r="P1860" s="299">
        <f t="shared" si="261"/>
        <v>22000</v>
      </c>
      <c r="Q1860" s="80">
        <v>100</v>
      </c>
      <c r="R1860" s="80">
        <v>720</v>
      </c>
      <c r="S1860" s="80"/>
      <c r="T1860" s="105">
        <f t="shared" si="278"/>
        <v>30.555555555555557</v>
      </c>
      <c r="U1860" s="105">
        <f t="shared" si="262"/>
        <v>30.555555555555557</v>
      </c>
      <c r="V1860" s="104">
        <f>IFERROR(VLOOKUP(L1860,'Raw material list'!$A$2:$S$3102,6,0),0)</f>
        <v>4.2500000000000003E-3</v>
      </c>
      <c r="W1860" s="104">
        <f t="shared" si="263"/>
        <v>0.12986111111111112</v>
      </c>
    </row>
    <row r="1861" spans="1:23" hidden="1" x14ac:dyDescent="0.55000000000000004">
      <c r="A1861" s="76" t="str">
        <f t="shared" si="281"/>
        <v>RCP-SMC-000133</v>
      </c>
      <c r="B1861" s="58" t="s">
        <v>35</v>
      </c>
      <c r="C1861" s="58" t="s">
        <v>10</v>
      </c>
      <c r="D1861" s="76" t="str">
        <f t="shared" si="282"/>
        <v>Danish Pastry</v>
      </c>
      <c r="E1861" s="76" t="s">
        <v>1432</v>
      </c>
      <c r="F1861" s="76" t="s">
        <v>1666</v>
      </c>
      <c r="G1861" s="76" t="s">
        <v>1666</v>
      </c>
      <c r="H1861" s="76" t="s">
        <v>1666</v>
      </c>
      <c r="I1861" s="76"/>
      <c r="J1861" s="76"/>
      <c r="K1861" s="58" t="str">
        <f>IFERROR(VLOOKUP(L1861,'Raw material list'!$A$3:$C$715,3,0),"")</f>
        <v>DRS5-618</v>
      </c>
      <c r="L1861" s="59" t="s">
        <v>637</v>
      </c>
      <c r="M1861" s="80" t="s">
        <v>156</v>
      </c>
      <c r="N1861" s="40" t="str">
        <f>VLOOKUP(L1861,'Raw material list'!$A$3:$E$715,5,0)</f>
        <v xml:space="preserve">Gram </v>
      </c>
      <c r="O1861" s="80">
        <v>7700</v>
      </c>
      <c r="P1861" s="299">
        <f t="shared" si="261"/>
        <v>7700</v>
      </c>
      <c r="Q1861" s="80">
        <v>100</v>
      </c>
      <c r="R1861" s="80">
        <v>720</v>
      </c>
      <c r="S1861" s="80"/>
      <c r="T1861" s="105">
        <f t="shared" si="278"/>
        <v>10.694444444444445</v>
      </c>
      <c r="U1861" s="105">
        <f t="shared" si="262"/>
        <v>10.694444444444445</v>
      </c>
      <c r="V1861" s="104">
        <f>IFERROR(VLOOKUP(L1861,'Raw material list'!$A$2:$S$3102,6,0),0)</f>
        <v>1.5288888888888888E-2</v>
      </c>
      <c r="W1861" s="104">
        <f t="shared" si="263"/>
        <v>0.16350617283950616</v>
      </c>
    </row>
    <row r="1862" spans="1:23" hidden="1" x14ac:dyDescent="0.55000000000000004">
      <c r="A1862" s="76" t="str">
        <f t="shared" si="281"/>
        <v>RCP-SMC-000133</v>
      </c>
      <c r="B1862" s="58" t="s">
        <v>35</v>
      </c>
      <c r="C1862" s="58" t="s">
        <v>10</v>
      </c>
      <c r="D1862" s="76" t="str">
        <f t="shared" si="282"/>
        <v>Danish Pastry</v>
      </c>
      <c r="E1862" s="76" t="s">
        <v>1432</v>
      </c>
      <c r="F1862" s="76" t="s">
        <v>1666</v>
      </c>
      <c r="G1862" s="76" t="s">
        <v>1666</v>
      </c>
      <c r="H1862" s="76" t="s">
        <v>1666</v>
      </c>
      <c r="I1862" s="76"/>
      <c r="J1862" s="76"/>
      <c r="K1862" s="58" t="str">
        <f>IFERROR(VLOOKUP(L1862,'Raw material list'!$A$3:$C$715,3,0),"")</f>
        <v>PRD1-4390</v>
      </c>
      <c r="L1862" s="59" t="s">
        <v>987</v>
      </c>
      <c r="M1862" s="80" t="s">
        <v>156</v>
      </c>
      <c r="N1862" s="40" t="str">
        <f>VLOOKUP(L1862,'Raw material list'!$A$3:$E$715,5,0)</f>
        <v xml:space="preserve">Gram </v>
      </c>
      <c r="O1862" s="80">
        <v>7500</v>
      </c>
      <c r="P1862" s="299">
        <f t="shared" ref="P1862:P1925" si="283">O1862/Q1862*100</f>
        <v>7500</v>
      </c>
      <c r="Q1862" s="105">
        <v>100</v>
      </c>
      <c r="R1862" s="80">
        <v>720</v>
      </c>
      <c r="S1862" s="80"/>
      <c r="T1862" s="105">
        <f t="shared" si="278"/>
        <v>10.416666666666666</v>
      </c>
      <c r="U1862" s="105">
        <f t="shared" ref="U1862:U1925" si="284">IFERROR(P1862/R1862,0)</f>
        <v>10.416666666666666</v>
      </c>
      <c r="V1862" s="104">
        <f>IFERROR(VLOOKUP(L1862,'Raw material list'!$A$2:$S$3102,6,0),0)</f>
        <v>0.104</v>
      </c>
      <c r="W1862" s="104">
        <f t="shared" ref="W1862:W1925" si="285">IFERROR(V1862*U1862,0)</f>
        <v>1.0833333333333333</v>
      </c>
    </row>
    <row r="1863" spans="1:23" hidden="1" x14ac:dyDescent="0.55000000000000004">
      <c r="A1863" s="76" t="s">
        <v>1720</v>
      </c>
      <c r="B1863" s="58" t="s">
        <v>35</v>
      </c>
      <c r="C1863" s="58" t="s">
        <v>10</v>
      </c>
      <c r="D1863" s="76" t="s">
        <v>1679</v>
      </c>
      <c r="E1863" s="76" t="s">
        <v>1432</v>
      </c>
      <c r="F1863" s="76" t="s">
        <v>1666</v>
      </c>
      <c r="G1863" s="76" t="s">
        <v>1666</v>
      </c>
      <c r="H1863" s="76" t="s">
        <v>1666</v>
      </c>
      <c r="I1863" s="76"/>
      <c r="J1863" s="76"/>
      <c r="K1863" s="58" t="str">
        <f>IFERROR(VLOOKUP(L1863,'Raw material list'!$A$3:$C$715,3,0),"")</f>
        <v>PLT1-37</v>
      </c>
      <c r="L1863" s="59" t="s">
        <v>861</v>
      </c>
      <c r="M1863" s="80" t="s">
        <v>48</v>
      </c>
      <c r="N1863" s="40" t="str">
        <f>VLOOKUP(L1863,'Raw material list'!$A$3:$E$715,5,0)</f>
        <v>Each</v>
      </c>
      <c r="O1863" s="80">
        <v>110</v>
      </c>
      <c r="P1863" s="299">
        <f t="shared" si="283"/>
        <v>110.00000000000001</v>
      </c>
      <c r="Q1863" s="303">
        <v>100</v>
      </c>
      <c r="R1863" s="80">
        <v>55</v>
      </c>
      <c r="S1863" s="80"/>
      <c r="T1863" s="105">
        <f t="shared" si="278"/>
        <v>2</v>
      </c>
      <c r="U1863" s="105">
        <f t="shared" si="284"/>
        <v>2.0000000000000004</v>
      </c>
      <c r="V1863" s="104">
        <f>IFERROR(VLOOKUP(L1863,'Raw material list'!$A$2:$S$3102,6,0),0)</f>
        <v>0.48299999999999998</v>
      </c>
      <c r="W1863" s="104">
        <f t="shared" si="285"/>
        <v>0.96600000000000019</v>
      </c>
    </row>
    <row r="1864" spans="1:23" hidden="1" x14ac:dyDescent="0.55000000000000004">
      <c r="A1864" s="76" t="str">
        <f t="shared" ref="A1864:A1871" si="286">A1863</f>
        <v>RCP-SMC-000134</v>
      </c>
      <c r="B1864" s="58" t="s">
        <v>35</v>
      </c>
      <c r="C1864" s="58" t="s">
        <v>10</v>
      </c>
      <c r="D1864" s="76" t="str">
        <f t="shared" ref="D1864:D1871" si="287">D1863</f>
        <v>Sakshouka</v>
      </c>
      <c r="E1864" s="76" t="s">
        <v>1432</v>
      </c>
      <c r="F1864" s="76" t="s">
        <v>1666</v>
      </c>
      <c r="G1864" s="76" t="s">
        <v>1666</v>
      </c>
      <c r="H1864" s="76" t="s">
        <v>1666</v>
      </c>
      <c r="I1864" s="76"/>
      <c r="J1864" s="76"/>
      <c r="K1864" s="58" t="str">
        <f>IFERROR(VLOOKUP(L1864,'Raw material list'!$A$3:$C$715,3,0),"")</f>
        <v>PRD1-572</v>
      </c>
      <c r="L1864" s="59" t="s">
        <v>54</v>
      </c>
      <c r="M1864" s="80" t="s">
        <v>156</v>
      </c>
      <c r="N1864" s="40" t="str">
        <f>VLOOKUP(L1864,'Raw material list'!$A$3:$E$715,5,0)</f>
        <v xml:space="preserve">Gram </v>
      </c>
      <c r="O1864" s="80">
        <v>1000</v>
      </c>
      <c r="P1864" s="299">
        <f t="shared" si="283"/>
        <v>1133.3585190782014</v>
      </c>
      <c r="Q1864" s="105">
        <v>88.233333333333348</v>
      </c>
      <c r="R1864" s="80">
        <v>55</v>
      </c>
      <c r="S1864" s="80"/>
      <c r="T1864" s="105">
        <f t="shared" si="278"/>
        <v>18.181818181818183</v>
      </c>
      <c r="U1864" s="105">
        <f t="shared" si="284"/>
        <v>20.606518528694572</v>
      </c>
      <c r="V1864" s="104">
        <f>IFERROR(VLOOKUP(L1864,'Raw material list'!$A$2:$S$3102,6,0),0)</f>
        <v>4.5351473922902496E-3</v>
      </c>
      <c r="W1864" s="104">
        <f t="shared" si="285"/>
        <v>9.3453598769589905E-2</v>
      </c>
    </row>
    <row r="1865" spans="1:23" hidden="1" x14ac:dyDescent="0.55000000000000004">
      <c r="A1865" s="76" t="str">
        <f t="shared" si="286"/>
        <v>RCP-SMC-000134</v>
      </c>
      <c r="B1865" s="58" t="s">
        <v>35</v>
      </c>
      <c r="C1865" s="58" t="s">
        <v>10</v>
      </c>
      <c r="D1865" s="76" t="str">
        <f t="shared" si="287"/>
        <v>Sakshouka</v>
      </c>
      <c r="E1865" s="76" t="s">
        <v>1432</v>
      </c>
      <c r="F1865" s="76" t="s">
        <v>1666</v>
      </c>
      <c r="G1865" s="76" t="s">
        <v>1666</v>
      </c>
      <c r="H1865" s="76" t="s">
        <v>1666</v>
      </c>
      <c r="I1865" s="76"/>
      <c r="J1865" s="76"/>
      <c r="K1865" s="58" t="str">
        <f>IFERROR(VLOOKUP(L1865,'Raw material list'!$A$3:$C$715,3,0),"")</f>
        <v>PRD1-4265</v>
      </c>
      <c r="L1865" s="59" t="s">
        <v>38</v>
      </c>
      <c r="M1865" s="80" t="s">
        <v>156</v>
      </c>
      <c r="N1865" s="40" t="str">
        <f>VLOOKUP(L1865,'Raw material list'!$A$3:$E$715,5,0)</f>
        <v xml:space="preserve">Gram </v>
      </c>
      <c r="O1865" s="80">
        <v>600</v>
      </c>
      <c r="P1865" s="299">
        <f t="shared" si="283"/>
        <v>705.88235294117646</v>
      </c>
      <c r="Q1865" s="105">
        <v>85</v>
      </c>
      <c r="R1865" s="80">
        <v>55</v>
      </c>
      <c r="S1865" s="80"/>
      <c r="T1865" s="105">
        <f t="shared" si="278"/>
        <v>10.909090909090908</v>
      </c>
      <c r="U1865" s="105">
        <f t="shared" si="284"/>
        <v>12.834224598930481</v>
      </c>
      <c r="V1865" s="104">
        <f>IFERROR(VLOOKUP(L1865,'Raw material list'!$A$2:$S$3102,6,0),0)</f>
        <v>3.529411764705882E-3</v>
      </c>
      <c r="W1865" s="104">
        <f t="shared" si="285"/>
        <v>4.5297263290342872E-2</v>
      </c>
    </row>
    <row r="1866" spans="1:23" hidden="1" x14ac:dyDescent="0.55000000000000004">
      <c r="A1866" s="76" t="str">
        <f t="shared" si="286"/>
        <v>RCP-SMC-000134</v>
      </c>
      <c r="B1866" s="58" t="s">
        <v>35</v>
      </c>
      <c r="C1866" s="58" t="s">
        <v>10</v>
      </c>
      <c r="D1866" s="76" t="str">
        <f t="shared" si="287"/>
        <v>Sakshouka</v>
      </c>
      <c r="E1866" s="76" t="s">
        <v>1432</v>
      </c>
      <c r="F1866" s="76" t="s">
        <v>1666</v>
      </c>
      <c r="G1866" s="76" t="s">
        <v>1666</v>
      </c>
      <c r="H1866" s="76" t="s">
        <v>1666</v>
      </c>
      <c r="I1866" s="76"/>
      <c r="J1866" s="76"/>
      <c r="K1866" s="58" t="str">
        <f>IFERROR(VLOOKUP(L1866,'Raw material list'!$A$3:$C$715,3,0),"")</f>
        <v>PRD1-195</v>
      </c>
      <c r="L1866" s="59" t="s">
        <v>90</v>
      </c>
      <c r="M1866" s="80" t="s">
        <v>156</v>
      </c>
      <c r="N1866" s="40" t="str">
        <f>VLOOKUP(L1866,'Raw material list'!$A$3:$E$715,5,0)</f>
        <v xml:space="preserve">Gram </v>
      </c>
      <c r="O1866" s="80">
        <v>150</v>
      </c>
      <c r="P1866" s="299">
        <f t="shared" si="283"/>
        <v>351.56249999999994</v>
      </c>
      <c r="Q1866" s="105">
        <v>42.666666666666671</v>
      </c>
      <c r="R1866" s="80">
        <v>55</v>
      </c>
      <c r="S1866" s="80"/>
      <c r="T1866" s="105">
        <f t="shared" si="278"/>
        <v>2.7272727272727271</v>
      </c>
      <c r="U1866" s="105">
        <f t="shared" si="284"/>
        <v>6.3920454545454533</v>
      </c>
      <c r="V1866" s="104">
        <f>IFERROR(VLOOKUP(L1866,'Raw material list'!$A$2:$S$3102,6,0),0)</f>
        <v>9.3676814988290415E-3</v>
      </c>
      <c r="W1866" s="104">
        <f t="shared" si="285"/>
        <v>5.9878645944219711E-2</v>
      </c>
    </row>
    <row r="1867" spans="1:23" hidden="1" x14ac:dyDescent="0.55000000000000004">
      <c r="A1867" s="76" t="str">
        <f t="shared" si="286"/>
        <v>RCP-SMC-000134</v>
      </c>
      <c r="B1867" s="58" t="s">
        <v>35</v>
      </c>
      <c r="C1867" s="58" t="s">
        <v>10</v>
      </c>
      <c r="D1867" s="76" t="str">
        <f t="shared" si="287"/>
        <v>Sakshouka</v>
      </c>
      <c r="E1867" s="76" t="s">
        <v>1432</v>
      </c>
      <c r="F1867" s="76" t="s">
        <v>1666</v>
      </c>
      <c r="G1867" s="76" t="s">
        <v>1666</v>
      </c>
      <c r="H1867" s="76" t="s">
        <v>1666</v>
      </c>
      <c r="I1867" s="76"/>
      <c r="J1867" s="76"/>
      <c r="K1867" s="58" t="str">
        <f>IFERROR(VLOOKUP(L1867,'Raw material list'!$A$3:$C$715,3,0),"")</f>
        <v>DRS1-3880</v>
      </c>
      <c r="L1867" s="59" t="s">
        <v>1433</v>
      </c>
      <c r="M1867" s="80" t="s">
        <v>156</v>
      </c>
      <c r="N1867" s="40" t="str">
        <f>VLOOKUP(L1867,'Raw material list'!$A$3:$E$715,5,0)</f>
        <v xml:space="preserve">Gram </v>
      </c>
      <c r="O1867" s="80">
        <v>15</v>
      </c>
      <c r="P1867" s="299">
        <f t="shared" si="283"/>
        <v>15</v>
      </c>
      <c r="Q1867" s="303">
        <v>100</v>
      </c>
      <c r="R1867" s="80">
        <v>55</v>
      </c>
      <c r="S1867" s="80"/>
      <c r="T1867" s="105">
        <f t="shared" si="278"/>
        <v>0.27272727272727271</v>
      </c>
      <c r="U1867" s="105">
        <f t="shared" si="284"/>
        <v>0.27272727272727271</v>
      </c>
      <c r="V1867" s="104">
        <f>IFERROR(VLOOKUP(L1867,'Raw material list'!$A$2:$S$3102,6,0),0)</f>
        <v>5.0000000000000001E-4</v>
      </c>
      <c r="W1867" s="104">
        <f t="shared" si="285"/>
        <v>1.3636363636363637E-4</v>
      </c>
    </row>
    <row r="1868" spans="1:23" hidden="1" x14ac:dyDescent="0.55000000000000004">
      <c r="A1868" s="76" t="str">
        <f t="shared" si="286"/>
        <v>RCP-SMC-000134</v>
      </c>
      <c r="B1868" s="58" t="s">
        <v>35</v>
      </c>
      <c r="C1868" s="58" t="s">
        <v>10</v>
      </c>
      <c r="D1868" s="76" t="str">
        <f t="shared" si="287"/>
        <v>Sakshouka</v>
      </c>
      <c r="E1868" s="76" t="s">
        <v>1432</v>
      </c>
      <c r="F1868" s="76" t="s">
        <v>1666</v>
      </c>
      <c r="G1868" s="76" t="s">
        <v>1666</v>
      </c>
      <c r="H1868" s="76" t="s">
        <v>1666</v>
      </c>
      <c r="I1868" s="76"/>
      <c r="J1868" s="76"/>
      <c r="K1868" s="58" t="str">
        <f>IFERROR(VLOOKUP(L1868,'Raw material list'!$A$3:$C$715,3,0),"")</f>
        <v>DRS6-537</v>
      </c>
      <c r="L1868" s="59" t="s">
        <v>46</v>
      </c>
      <c r="M1868" s="80" t="s">
        <v>156</v>
      </c>
      <c r="N1868" s="40" t="str">
        <f>VLOOKUP(L1868,'Raw material list'!$A$3:$E$715,5,0)</f>
        <v xml:space="preserve">Gram </v>
      </c>
      <c r="O1868" s="80">
        <v>5</v>
      </c>
      <c r="P1868" s="299">
        <f t="shared" si="283"/>
        <v>5</v>
      </c>
      <c r="Q1868" s="80">
        <v>100</v>
      </c>
      <c r="R1868" s="80">
        <v>55</v>
      </c>
      <c r="S1868" s="80"/>
      <c r="T1868" s="105">
        <f t="shared" si="278"/>
        <v>9.0909090909090912E-2</v>
      </c>
      <c r="U1868" s="105">
        <f t="shared" si="284"/>
        <v>9.0909090909090912E-2</v>
      </c>
      <c r="V1868" s="104">
        <f>IFERROR(VLOOKUP(L1868,'Raw material list'!$A$2:$S$3102,6,0),0)</f>
        <v>3.5000000000000003E-2</v>
      </c>
      <c r="W1868" s="104">
        <f t="shared" si="285"/>
        <v>3.1818181818181824E-3</v>
      </c>
    </row>
    <row r="1869" spans="1:23" hidden="1" x14ac:dyDescent="0.55000000000000004">
      <c r="A1869" s="76" t="str">
        <f t="shared" si="286"/>
        <v>RCP-SMC-000134</v>
      </c>
      <c r="B1869" s="58" t="s">
        <v>35</v>
      </c>
      <c r="C1869" s="58" t="s">
        <v>10</v>
      </c>
      <c r="D1869" s="76" t="str">
        <f t="shared" si="287"/>
        <v>Sakshouka</v>
      </c>
      <c r="E1869" s="76" t="s">
        <v>1432</v>
      </c>
      <c r="F1869" s="76" t="s">
        <v>1666</v>
      </c>
      <c r="G1869" s="76" t="s">
        <v>1666</v>
      </c>
      <c r="H1869" s="76" t="s">
        <v>1666</v>
      </c>
      <c r="I1869" s="76"/>
      <c r="J1869" s="76"/>
      <c r="K1869" s="58" t="str">
        <f>IFERROR(VLOOKUP(L1869,'Raw material list'!$A$3:$C$715,3,0),"")</f>
        <v>DRS6-266</v>
      </c>
      <c r="L1869" s="59" t="s">
        <v>99</v>
      </c>
      <c r="M1869" s="80" t="s">
        <v>156</v>
      </c>
      <c r="N1869" s="40" t="str">
        <f>VLOOKUP(L1869,'Raw material list'!$A$3:$E$715,5,0)</f>
        <v xml:space="preserve">Gram </v>
      </c>
      <c r="O1869" s="80">
        <v>10</v>
      </c>
      <c r="P1869" s="299">
        <f t="shared" si="283"/>
        <v>10</v>
      </c>
      <c r="Q1869" s="80">
        <v>100</v>
      </c>
      <c r="R1869" s="80">
        <v>55</v>
      </c>
      <c r="S1869" s="80"/>
      <c r="T1869" s="105">
        <f t="shared" si="278"/>
        <v>0.18181818181818182</v>
      </c>
      <c r="U1869" s="105">
        <f t="shared" si="284"/>
        <v>0.18181818181818182</v>
      </c>
      <c r="V1869" s="104">
        <f>IFERROR(VLOOKUP(L1869,'Raw material list'!$A$2:$S$3102,6,0),0)</f>
        <v>1.4E-2</v>
      </c>
      <c r="W1869" s="104">
        <f t="shared" si="285"/>
        <v>2.5454545454545456E-3</v>
      </c>
    </row>
    <row r="1870" spans="1:23" hidden="1" x14ac:dyDescent="0.55000000000000004">
      <c r="A1870" s="76" t="str">
        <f t="shared" si="286"/>
        <v>RCP-SMC-000134</v>
      </c>
      <c r="B1870" s="58" t="s">
        <v>35</v>
      </c>
      <c r="C1870" s="58" t="s">
        <v>10</v>
      </c>
      <c r="D1870" s="76" t="str">
        <f t="shared" si="287"/>
        <v>Sakshouka</v>
      </c>
      <c r="E1870" s="76" t="s">
        <v>1432</v>
      </c>
      <c r="F1870" s="76" t="s">
        <v>1666</v>
      </c>
      <c r="G1870" s="76" t="s">
        <v>1666</v>
      </c>
      <c r="H1870" s="76" t="s">
        <v>1666</v>
      </c>
      <c r="I1870" s="76"/>
      <c r="J1870" s="76"/>
      <c r="K1870" s="58" t="str">
        <f>IFERROR(VLOOKUP(L1870,'Raw material list'!$A$3:$C$715,3,0),"")</f>
        <v>DRS1-1747</v>
      </c>
      <c r="L1870" s="59" t="s">
        <v>44</v>
      </c>
      <c r="M1870" s="80" t="s">
        <v>156</v>
      </c>
      <c r="N1870" s="40" t="str">
        <f>VLOOKUP(L1870,'Raw material list'!$A$3:$E$715,5,0)</f>
        <v xml:space="preserve">Gram </v>
      </c>
      <c r="O1870" s="80">
        <v>150</v>
      </c>
      <c r="P1870" s="299">
        <f t="shared" si="283"/>
        <v>150</v>
      </c>
      <c r="Q1870" s="80">
        <v>100</v>
      </c>
      <c r="R1870" s="80">
        <v>55</v>
      </c>
      <c r="S1870" s="80"/>
      <c r="T1870" s="105">
        <f t="shared" si="278"/>
        <v>2.7272727272727271</v>
      </c>
      <c r="U1870" s="105">
        <f t="shared" si="284"/>
        <v>2.7272727272727271</v>
      </c>
      <c r="V1870" s="104">
        <f>IFERROR(VLOOKUP(L1870,'Raw material list'!$A$2:$S$3102,6,0),0)</f>
        <v>5.185185185185185E-3</v>
      </c>
      <c r="W1870" s="104">
        <f t="shared" si="285"/>
        <v>1.4141414141414141E-2</v>
      </c>
    </row>
    <row r="1871" spans="1:23" hidden="1" x14ac:dyDescent="0.55000000000000004">
      <c r="A1871" s="76" t="str">
        <f t="shared" si="286"/>
        <v>RCP-SMC-000134</v>
      </c>
      <c r="B1871" s="58" t="s">
        <v>35</v>
      </c>
      <c r="C1871" s="58" t="s">
        <v>10</v>
      </c>
      <c r="D1871" s="76" t="str">
        <f t="shared" si="287"/>
        <v>Sakshouka</v>
      </c>
      <c r="E1871" s="76" t="s">
        <v>1432</v>
      </c>
      <c r="F1871" s="76" t="s">
        <v>1666</v>
      </c>
      <c r="G1871" s="76" t="s">
        <v>1666</v>
      </c>
      <c r="H1871" s="76" t="s">
        <v>1666</v>
      </c>
      <c r="I1871" s="76"/>
      <c r="J1871" s="76"/>
      <c r="K1871" s="58" t="str">
        <f>IFERROR(VLOOKUP(L1871,'Raw material list'!$A$3:$C$715,3,0),"")</f>
        <v>DRS3-1615</v>
      </c>
      <c r="L1871" s="59" t="s">
        <v>50</v>
      </c>
      <c r="M1871" s="80" t="s">
        <v>206</v>
      </c>
      <c r="N1871" s="40" t="str">
        <f>VLOOKUP(L1871,'Raw material list'!$A$3:$E$715,5,0)</f>
        <v>Ml</v>
      </c>
      <c r="O1871" s="80">
        <v>150</v>
      </c>
      <c r="P1871" s="299">
        <f t="shared" si="283"/>
        <v>150</v>
      </c>
      <c r="Q1871" s="80">
        <v>100</v>
      </c>
      <c r="R1871" s="80">
        <v>55</v>
      </c>
      <c r="S1871" s="80"/>
      <c r="T1871" s="105">
        <f t="shared" si="278"/>
        <v>2.7272727272727271</v>
      </c>
      <c r="U1871" s="105">
        <f t="shared" si="284"/>
        <v>2.7272727272727271</v>
      </c>
      <c r="V1871" s="104">
        <f>IFERROR(VLOOKUP(L1871,'Raw material list'!$A$2:$S$3102,6,0),0)</f>
        <v>1.2E-2</v>
      </c>
      <c r="W1871" s="104">
        <f t="shared" si="285"/>
        <v>3.2727272727272723E-2</v>
      </c>
    </row>
    <row r="1872" spans="1:23" hidden="1" x14ac:dyDescent="0.55000000000000004">
      <c r="A1872" s="76" t="s">
        <v>1721</v>
      </c>
      <c r="B1872" s="58" t="s">
        <v>35</v>
      </c>
      <c r="C1872" s="58" t="s">
        <v>10</v>
      </c>
      <c r="D1872" s="76" t="s">
        <v>1680</v>
      </c>
      <c r="E1872" s="76" t="s">
        <v>1432</v>
      </c>
      <c r="F1872" s="76" t="s">
        <v>1666</v>
      </c>
      <c r="G1872" s="76" t="s">
        <v>1666</v>
      </c>
      <c r="H1872" s="76" t="s">
        <v>1666</v>
      </c>
      <c r="I1872" s="76"/>
      <c r="J1872" s="76"/>
      <c r="K1872" s="58" t="str">
        <f>IFERROR(VLOOKUP(L1872,'Raw material list'!$A$3:$C$715,3,0),"")</f>
        <v>DRS1-824</v>
      </c>
      <c r="L1872" s="59" t="s">
        <v>234</v>
      </c>
      <c r="M1872" s="80" t="s">
        <v>156</v>
      </c>
      <c r="N1872" s="40" t="str">
        <f>VLOOKUP(L1872,'Raw material list'!$A$3:$E$715,5,0)</f>
        <v xml:space="preserve">Gram </v>
      </c>
      <c r="O1872" s="80">
        <v>200</v>
      </c>
      <c r="P1872" s="299">
        <f t="shared" si="283"/>
        <v>200</v>
      </c>
      <c r="Q1872" s="80">
        <v>100</v>
      </c>
      <c r="R1872" s="80">
        <v>15</v>
      </c>
      <c r="S1872" s="80"/>
      <c r="T1872" s="105">
        <f t="shared" si="278"/>
        <v>13.333333333333334</v>
      </c>
      <c r="U1872" s="105">
        <f t="shared" si="284"/>
        <v>13.333333333333334</v>
      </c>
      <c r="V1872" s="104">
        <f>IFERROR(VLOOKUP(L1872,'Raw material list'!$A$2:$S$3102,6,0),0)</f>
        <v>1.2919999999999999E-2</v>
      </c>
      <c r="W1872" s="104">
        <f t="shared" si="285"/>
        <v>0.17226666666666665</v>
      </c>
    </row>
    <row r="1873" spans="1:23" hidden="1" x14ac:dyDescent="0.55000000000000004">
      <c r="A1873" s="76" t="str">
        <f t="shared" ref="A1873:A1877" si="288">A1872</f>
        <v>RCP-SMC-000135</v>
      </c>
      <c r="B1873" s="58" t="s">
        <v>35</v>
      </c>
      <c r="C1873" s="58" t="s">
        <v>10</v>
      </c>
      <c r="D1873" s="76" t="str">
        <f t="shared" ref="D1873:D1877" si="289">D1872</f>
        <v>Oats Pudding - Soft Diet</v>
      </c>
      <c r="E1873" s="76" t="s">
        <v>1432</v>
      </c>
      <c r="F1873" s="76" t="s">
        <v>1666</v>
      </c>
      <c r="G1873" s="76" t="s">
        <v>1666</v>
      </c>
      <c r="H1873" s="76" t="s">
        <v>1666</v>
      </c>
      <c r="I1873" s="76"/>
      <c r="J1873" s="76"/>
      <c r="K1873" s="58" t="str">
        <f>IFERROR(VLOOKUP(L1873,'Raw material list'!$A$3:$C$715,3,0),"")</f>
        <v>DRY2-1388</v>
      </c>
      <c r="L1873" s="59" t="s">
        <v>126</v>
      </c>
      <c r="M1873" s="80" t="s">
        <v>206</v>
      </c>
      <c r="N1873" s="40" t="str">
        <f>VLOOKUP(L1873,'Raw material list'!$A$3:$E$715,5,0)</f>
        <v>Ml</v>
      </c>
      <c r="O1873" s="80">
        <v>3000</v>
      </c>
      <c r="P1873" s="299">
        <f t="shared" si="283"/>
        <v>3000</v>
      </c>
      <c r="Q1873" s="80">
        <v>100</v>
      </c>
      <c r="R1873" s="80">
        <v>15</v>
      </c>
      <c r="S1873" s="80"/>
      <c r="T1873" s="105">
        <f t="shared" si="278"/>
        <v>200</v>
      </c>
      <c r="U1873" s="105">
        <f t="shared" si="284"/>
        <v>200</v>
      </c>
      <c r="V1873" s="104">
        <f>IFERROR(VLOOKUP(L1873,'Raw material list'!$A$2:$S$3102,6,0),0)</f>
        <v>4.2500000000000003E-3</v>
      </c>
      <c r="W1873" s="104">
        <f t="shared" si="285"/>
        <v>0.85000000000000009</v>
      </c>
    </row>
    <row r="1874" spans="1:23" hidden="1" x14ac:dyDescent="0.55000000000000004">
      <c r="A1874" s="76" t="str">
        <f t="shared" si="288"/>
        <v>RCP-SMC-000135</v>
      </c>
      <c r="B1874" s="58" t="s">
        <v>35</v>
      </c>
      <c r="C1874" s="58" t="s">
        <v>10</v>
      </c>
      <c r="D1874" s="76" t="str">
        <f t="shared" si="289"/>
        <v>Oats Pudding - Soft Diet</v>
      </c>
      <c r="E1874" s="76" t="s">
        <v>1432</v>
      </c>
      <c r="F1874" s="76" t="s">
        <v>1666</v>
      </c>
      <c r="G1874" s="76" t="s">
        <v>1666</v>
      </c>
      <c r="H1874" s="76" t="s">
        <v>1666</v>
      </c>
      <c r="I1874" s="76"/>
      <c r="J1874" s="76"/>
      <c r="K1874" s="58" t="str">
        <f>IFERROR(VLOOKUP(L1874,'Raw material list'!$A$3:$C$715,3,0),"")</f>
        <v>DRS1-1823</v>
      </c>
      <c r="L1874" s="59" t="s">
        <v>619</v>
      </c>
      <c r="M1874" s="80" t="s">
        <v>156</v>
      </c>
      <c r="N1874" s="40" t="str">
        <f>VLOOKUP(L1874,'Raw material list'!$A$3:$E$715,5,0)</f>
        <v xml:space="preserve">Gram </v>
      </c>
      <c r="O1874" s="80">
        <v>2</v>
      </c>
      <c r="P1874" s="299">
        <f t="shared" si="283"/>
        <v>2</v>
      </c>
      <c r="Q1874" s="80">
        <v>100</v>
      </c>
      <c r="R1874" s="80">
        <v>15</v>
      </c>
      <c r="S1874" s="80"/>
      <c r="T1874" s="105">
        <f t="shared" si="278"/>
        <v>0.13333333333333333</v>
      </c>
      <c r="U1874" s="105">
        <f t="shared" si="284"/>
        <v>0.13333333333333333</v>
      </c>
      <c r="V1874" s="104">
        <f>IFERROR(VLOOKUP(L1874,'Raw material list'!$A$2:$S$3102,6,0),0)</f>
        <v>4.9000000000000002E-2</v>
      </c>
      <c r="W1874" s="104">
        <f t="shared" si="285"/>
        <v>6.5333333333333337E-3</v>
      </c>
    </row>
    <row r="1875" spans="1:23" hidden="1" x14ac:dyDescent="0.55000000000000004">
      <c r="A1875" s="76" t="str">
        <f t="shared" si="288"/>
        <v>RCP-SMC-000135</v>
      </c>
      <c r="B1875" s="58" t="s">
        <v>35</v>
      </c>
      <c r="C1875" s="58" t="s">
        <v>10</v>
      </c>
      <c r="D1875" s="76" t="str">
        <f t="shared" si="289"/>
        <v>Oats Pudding - Soft Diet</v>
      </c>
      <c r="E1875" s="76" t="s">
        <v>1432</v>
      </c>
      <c r="F1875" s="76" t="s">
        <v>1666</v>
      </c>
      <c r="G1875" s="76" t="s">
        <v>1666</v>
      </c>
      <c r="H1875" s="76" t="s">
        <v>1666</v>
      </c>
      <c r="I1875" s="76"/>
      <c r="J1875" s="76"/>
      <c r="K1875" s="58" t="str">
        <f>IFERROR(VLOOKUP(L1875,'Raw material list'!$A$3:$C$715,3,0),"")</f>
        <v>DRS1-978</v>
      </c>
      <c r="L1875" s="59" t="s">
        <v>56</v>
      </c>
      <c r="M1875" s="80" t="s">
        <v>156</v>
      </c>
      <c r="N1875" s="40" t="str">
        <f>VLOOKUP(L1875,'Raw material list'!$A$3:$E$715,5,0)</f>
        <v xml:space="preserve">Gram </v>
      </c>
      <c r="O1875" s="80">
        <v>70</v>
      </c>
      <c r="P1875" s="299">
        <f t="shared" si="283"/>
        <v>70</v>
      </c>
      <c r="Q1875" s="80">
        <v>100</v>
      </c>
      <c r="R1875" s="80">
        <v>15</v>
      </c>
      <c r="S1875" s="80"/>
      <c r="T1875" s="105">
        <f t="shared" si="278"/>
        <v>4.666666666666667</v>
      </c>
      <c r="U1875" s="105">
        <f t="shared" si="284"/>
        <v>4.666666666666667</v>
      </c>
      <c r="V1875" s="104">
        <f>IFERROR(VLOOKUP(L1875,'Raw material list'!$A$2:$S$3102,6,0),0)</f>
        <v>2.3999999999999998E-3</v>
      </c>
      <c r="W1875" s="104">
        <f t="shared" si="285"/>
        <v>1.12E-2</v>
      </c>
    </row>
    <row r="1876" spans="1:23" hidden="1" x14ac:dyDescent="0.55000000000000004">
      <c r="A1876" s="76" t="str">
        <f t="shared" si="288"/>
        <v>RCP-SMC-000135</v>
      </c>
      <c r="B1876" s="58" t="s">
        <v>35</v>
      </c>
      <c r="C1876" s="58" t="s">
        <v>10</v>
      </c>
      <c r="D1876" s="76" t="str">
        <f t="shared" si="289"/>
        <v>Oats Pudding - Soft Diet</v>
      </c>
      <c r="E1876" s="76" t="s">
        <v>1432</v>
      </c>
      <c r="F1876" s="76" t="s">
        <v>1666</v>
      </c>
      <c r="G1876" s="76" t="s">
        <v>1666</v>
      </c>
      <c r="H1876" s="76" t="s">
        <v>1666</v>
      </c>
      <c r="I1876" s="76"/>
      <c r="J1876" s="76"/>
      <c r="K1876" s="58" t="str">
        <f>IFERROR(VLOOKUP(L1876,'Raw material list'!$A$3:$C$715,3,0),"")</f>
        <v>DRS5-21</v>
      </c>
      <c r="L1876" s="59" t="s">
        <v>55</v>
      </c>
      <c r="M1876" s="80" t="s">
        <v>156</v>
      </c>
      <c r="N1876" s="40" t="str">
        <f>VLOOKUP(L1876,'Raw material list'!$A$3:$E$715,5,0)</f>
        <v xml:space="preserve">Gram </v>
      </c>
      <c r="O1876" s="80">
        <v>20</v>
      </c>
      <c r="P1876" s="299">
        <f t="shared" si="283"/>
        <v>20</v>
      </c>
      <c r="Q1876" s="80">
        <v>100</v>
      </c>
      <c r="R1876" s="80">
        <v>15</v>
      </c>
      <c r="S1876" s="80"/>
      <c r="T1876" s="105">
        <f t="shared" si="278"/>
        <v>1.3333333333333333</v>
      </c>
      <c r="U1876" s="105">
        <f t="shared" si="284"/>
        <v>1.3333333333333333</v>
      </c>
      <c r="V1876" s="104">
        <f>IFERROR(VLOOKUP(L1876,'Raw material list'!$A$2:$S$3102,6,0),0)</f>
        <v>2.0799999999999998E-3</v>
      </c>
      <c r="W1876" s="104">
        <f t="shared" si="285"/>
        <v>2.7733333333333329E-3</v>
      </c>
    </row>
    <row r="1877" spans="1:23" hidden="1" x14ac:dyDescent="0.55000000000000004">
      <c r="A1877" s="76" t="str">
        <f t="shared" si="288"/>
        <v>RCP-SMC-000135</v>
      </c>
      <c r="B1877" s="58" t="s">
        <v>35</v>
      </c>
      <c r="C1877" s="58" t="s">
        <v>10</v>
      </c>
      <c r="D1877" s="76" t="str">
        <f t="shared" si="289"/>
        <v>Oats Pudding - Soft Diet</v>
      </c>
      <c r="E1877" s="76" t="s">
        <v>1432</v>
      </c>
      <c r="F1877" s="76" t="s">
        <v>1666</v>
      </c>
      <c r="G1877" s="76" t="s">
        <v>1666</v>
      </c>
      <c r="H1877" s="76" t="s">
        <v>1666</v>
      </c>
      <c r="I1877" s="76"/>
      <c r="J1877" s="76"/>
      <c r="K1877" s="58" t="str">
        <f>IFERROR(VLOOKUP(L1877,'Raw material list'!$A$3:$C$715,3,0),"")</f>
        <v>PRD3-1661</v>
      </c>
      <c r="L1877" s="59" t="s">
        <v>957</v>
      </c>
      <c r="M1877" s="80" t="s">
        <v>156</v>
      </c>
      <c r="N1877" s="40" t="str">
        <f>VLOOKUP(L1877,'Raw material list'!$A$3:$E$715,5,0)</f>
        <v xml:space="preserve">Gram </v>
      </c>
      <c r="O1877" s="80">
        <v>100</v>
      </c>
      <c r="P1877" s="299">
        <f t="shared" si="283"/>
        <v>100</v>
      </c>
      <c r="Q1877" s="80">
        <v>100</v>
      </c>
      <c r="R1877" s="80">
        <v>15</v>
      </c>
      <c r="S1877" s="80"/>
      <c r="T1877" s="105">
        <f t="shared" si="278"/>
        <v>6.666666666666667</v>
      </c>
      <c r="U1877" s="105">
        <f t="shared" si="284"/>
        <v>6.666666666666667</v>
      </c>
      <c r="V1877" s="104">
        <f>IFERROR(VLOOKUP(L1877,'Raw material list'!$A$2:$S$3102,6,0),0)</f>
        <v>3.9E-2</v>
      </c>
      <c r="W1877" s="104">
        <f t="shared" si="285"/>
        <v>0.26</v>
      </c>
    </row>
    <row r="1878" spans="1:23" hidden="1" x14ac:dyDescent="0.55000000000000004">
      <c r="A1878" s="76" t="s">
        <v>1722</v>
      </c>
      <c r="B1878" s="58" t="s">
        <v>35</v>
      </c>
      <c r="C1878" s="58" t="s">
        <v>10</v>
      </c>
      <c r="D1878" s="76" t="s">
        <v>1681</v>
      </c>
      <c r="E1878" s="76" t="s">
        <v>1448</v>
      </c>
      <c r="F1878" s="76" t="s">
        <v>1666</v>
      </c>
      <c r="G1878" s="76" t="s">
        <v>1666</v>
      </c>
      <c r="H1878" s="76" t="s">
        <v>1666</v>
      </c>
      <c r="I1878" s="76"/>
      <c r="J1878" s="76"/>
      <c r="K1878" s="58" t="str">
        <f>IFERROR(VLOOKUP(L1878,'Raw material list'!$A$3:$C$715,3,0),"")</f>
        <v>DRS1-444</v>
      </c>
      <c r="L1878" s="59" t="s">
        <v>224</v>
      </c>
      <c r="M1878" s="80" t="s">
        <v>156</v>
      </c>
      <c r="N1878" s="40" t="str">
        <f>VLOOKUP(L1878,'Raw material list'!$A$3:$E$715,5,0)</f>
        <v xml:space="preserve">Gram </v>
      </c>
      <c r="O1878" s="80">
        <v>2350</v>
      </c>
      <c r="P1878" s="299">
        <f t="shared" si="283"/>
        <v>2350</v>
      </c>
      <c r="Q1878" s="80">
        <v>100</v>
      </c>
      <c r="R1878" s="80">
        <v>30</v>
      </c>
      <c r="S1878" s="80"/>
      <c r="T1878" s="105">
        <f t="shared" si="278"/>
        <v>78.333333333333329</v>
      </c>
      <c r="U1878" s="105">
        <f t="shared" si="284"/>
        <v>78.333333333333329</v>
      </c>
      <c r="V1878" s="104">
        <f>IFERROR(VLOOKUP(L1878,'Raw material list'!$A$2:$S$3102,6,0),0)</f>
        <v>8.8999999999999999E-3</v>
      </c>
      <c r="W1878" s="104">
        <f t="shared" si="285"/>
        <v>0.6971666666666666</v>
      </c>
    </row>
    <row r="1879" spans="1:23" hidden="1" x14ac:dyDescent="0.55000000000000004">
      <c r="A1879" s="76" t="str">
        <f t="shared" ref="A1879:A1886" si="290">A1878</f>
        <v>RCP-SMC-000136</v>
      </c>
      <c r="B1879" s="58" t="s">
        <v>35</v>
      </c>
      <c r="C1879" s="58" t="s">
        <v>10</v>
      </c>
      <c r="D1879" s="76" t="str">
        <f t="shared" ref="D1879:D1886" si="291">D1878</f>
        <v>Foul Glaba</v>
      </c>
      <c r="E1879" s="76" t="s">
        <v>1448</v>
      </c>
      <c r="F1879" s="76" t="s">
        <v>1666</v>
      </c>
      <c r="G1879" s="76" t="s">
        <v>1666</v>
      </c>
      <c r="H1879" s="76" t="s">
        <v>1666</v>
      </c>
      <c r="I1879" s="76"/>
      <c r="J1879" s="76"/>
      <c r="K1879" s="58" t="str">
        <f>IFERROR(VLOOKUP(L1879,'Raw material list'!$A$3:$C$715,3,0),"")</f>
        <v>PRD1-572</v>
      </c>
      <c r="L1879" s="59" t="s">
        <v>54</v>
      </c>
      <c r="M1879" s="80" t="s">
        <v>156</v>
      </c>
      <c r="N1879" s="40" t="str">
        <f>VLOOKUP(L1879,'Raw material list'!$A$3:$E$715,5,0)</f>
        <v xml:space="preserve">Gram </v>
      </c>
      <c r="O1879" s="80">
        <v>200</v>
      </c>
      <c r="P1879" s="299">
        <f t="shared" si="283"/>
        <v>226.67170381564031</v>
      </c>
      <c r="Q1879" s="105">
        <v>88.233333333333348</v>
      </c>
      <c r="R1879" s="80">
        <v>30</v>
      </c>
      <c r="S1879" s="80"/>
      <c r="T1879" s="105">
        <f t="shared" si="278"/>
        <v>6.666666666666667</v>
      </c>
      <c r="U1879" s="105">
        <f t="shared" si="284"/>
        <v>7.5557234605213441</v>
      </c>
      <c r="V1879" s="104">
        <f>IFERROR(VLOOKUP(L1879,'Raw material list'!$A$2:$S$3102,6,0),0)</f>
        <v>4.5351473922902496E-3</v>
      </c>
      <c r="W1879" s="104">
        <f t="shared" si="285"/>
        <v>3.4266319548849636E-2</v>
      </c>
    </row>
    <row r="1880" spans="1:23" hidden="1" x14ac:dyDescent="0.55000000000000004">
      <c r="A1880" s="76" t="str">
        <f t="shared" si="290"/>
        <v>RCP-SMC-000136</v>
      </c>
      <c r="B1880" s="58" t="s">
        <v>35</v>
      </c>
      <c r="C1880" s="58" t="s">
        <v>10</v>
      </c>
      <c r="D1880" s="76" t="str">
        <f t="shared" si="291"/>
        <v>Foul Glaba</v>
      </c>
      <c r="E1880" s="76" t="s">
        <v>1448</v>
      </c>
      <c r="F1880" s="76" t="s">
        <v>1666</v>
      </c>
      <c r="G1880" s="76" t="s">
        <v>1666</v>
      </c>
      <c r="H1880" s="76" t="s">
        <v>1666</v>
      </c>
      <c r="I1880" s="76"/>
      <c r="J1880" s="76"/>
      <c r="K1880" s="58" t="str">
        <f>IFERROR(VLOOKUP(L1880,'Raw material list'!$A$3:$C$715,3,0),"")</f>
        <v>PRD1-4265</v>
      </c>
      <c r="L1880" s="59" t="s">
        <v>38</v>
      </c>
      <c r="M1880" s="80" t="s">
        <v>156</v>
      </c>
      <c r="N1880" s="40" t="str">
        <f>VLOOKUP(L1880,'Raw material list'!$A$3:$E$715,5,0)</f>
        <v xml:space="preserve">Gram </v>
      </c>
      <c r="O1880" s="80">
        <v>125</v>
      </c>
      <c r="P1880" s="299">
        <f t="shared" si="283"/>
        <v>147.05882352941177</v>
      </c>
      <c r="Q1880" s="105">
        <v>85</v>
      </c>
      <c r="R1880" s="80">
        <v>30</v>
      </c>
      <c r="S1880" s="80"/>
      <c r="T1880" s="105">
        <f t="shared" si="278"/>
        <v>4.166666666666667</v>
      </c>
      <c r="U1880" s="105">
        <f t="shared" si="284"/>
        <v>4.9019607843137258</v>
      </c>
      <c r="V1880" s="104">
        <f>IFERROR(VLOOKUP(L1880,'Raw material list'!$A$2:$S$3102,6,0),0)</f>
        <v>3.529411764705882E-3</v>
      </c>
      <c r="W1880" s="104">
        <f t="shared" si="285"/>
        <v>1.7301038062283738E-2</v>
      </c>
    </row>
    <row r="1881" spans="1:23" hidden="1" x14ac:dyDescent="0.55000000000000004">
      <c r="A1881" s="76" t="str">
        <f t="shared" si="290"/>
        <v>RCP-SMC-000136</v>
      </c>
      <c r="B1881" s="58" t="s">
        <v>35</v>
      </c>
      <c r="C1881" s="58" t="s">
        <v>10</v>
      </c>
      <c r="D1881" s="76" t="str">
        <f t="shared" si="291"/>
        <v>Foul Glaba</v>
      </c>
      <c r="E1881" s="76" t="s">
        <v>1448</v>
      </c>
      <c r="F1881" s="76" t="s">
        <v>1666</v>
      </c>
      <c r="G1881" s="76" t="s">
        <v>1666</v>
      </c>
      <c r="H1881" s="76" t="s">
        <v>1666</v>
      </c>
      <c r="I1881" s="76"/>
      <c r="J1881" s="76"/>
      <c r="K1881" s="58" t="str">
        <f>IFERROR(VLOOKUP(L1881,'Raw material list'!$A$3:$C$715,3,0),"")</f>
        <v>PRD1-195</v>
      </c>
      <c r="L1881" s="59" t="s">
        <v>90</v>
      </c>
      <c r="M1881" s="80" t="s">
        <v>156</v>
      </c>
      <c r="N1881" s="40" t="str">
        <f>VLOOKUP(L1881,'Raw material list'!$A$3:$E$715,5,0)</f>
        <v xml:space="preserve">Gram </v>
      </c>
      <c r="O1881" s="80">
        <v>100</v>
      </c>
      <c r="P1881" s="299">
        <f t="shared" si="283"/>
        <v>234.37499999999994</v>
      </c>
      <c r="Q1881" s="105">
        <v>42.666666666666671</v>
      </c>
      <c r="R1881" s="80">
        <v>30</v>
      </c>
      <c r="S1881" s="80"/>
      <c r="T1881" s="105">
        <f t="shared" si="278"/>
        <v>3.3333333333333335</v>
      </c>
      <c r="U1881" s="105">
        <f t="shared" si="284"/>
        <v>7.8124999999999982</v>
      </c>
      <c r="V1881" s="104">
        <f>IFERROR(VLOOKUP(L1881,'Raw material list'!$A$2:$S$3102,6,0),0)</f>
        <v>9.3676814988290415E-3</v>
      </c>
      <c r="W1881" s="104">
        <f t="shared" si="285"/>
        <v>7.3185011709601872E-2</v>
      </c>
    </row>
    <row r="1882" spans="1:23" hidden="1" x14ac:dyDescent="0.55000000000000004">
      <c r="A1882" s="76" t="str">
        <f t="shared" si="290"/>
        <v>RCP-SMC-000136</v>
      </c>
      <c r="B1882" s="58" t="s">
        <v>35</v>
      </c>
      <c r="C1882" s="58" t="s">
        <v>10</v>
      </c>
      <c r="D1882" s="76" t="str">
        <f t="shared" si="291"/>
        <v>Foul Glaba</v>
      </c>
      <c r="E1882" s="76" t="s">
        <v>1448</v>
      </c>
      <c r="F1882" s="76" t="s">
        <v>1666</v>
      </c>
      <c r="G1882" s="76" t="s">
        <v>1666</v>
      </c>
      <c r="H1882" s="76" t="s">
        <v>1666</v>
      </c>
      <c r="I1882" s="76"/>
      <c r="J1882" s="76"/>
      <c r="K1882" s="58" t="str">
        <f>IFERROR(VLOOKUP(L1882,'Raw material list'!$A$3:$C$715,3,0),"")</f>
        <v>PRD1-4327</v>
      </c>
      <c r="L1882" s="59" t="s">
        <v>39</v>
      </c>
      <c r="M1882" s="80" t="s">
        <v>156</v>
      </c>
      <c r="N1882" s="40" t="str">
        <f>VLOOKUP(L1882,'Raw material list'!$A$3:$E$715,5,0)</f>
        <v xml:space="preserve">Gram </v>
      </c>
      <c r="O1882" s="80">
        <v>15</v>
      </c>
      <c r="P1882" s="299">
        <f t="shared" si="283"/>
        <v>18.072289156626507</v>
      </c>
      <c r="Q1882" s="105">
        <v>83</v>
      </c>
      <c r="R1882" s="80">
        <v>30</v>
      </c>
      <c r="S1882" s="80"/>
      <c r="T1882" s="105">
        <f t="shared" si="278"/>
        <v>0.5</v>
      </c>
      <c r="U1882" s="105">
        <f t="shared" si="284"/>
        <v>0.60240963855421692</v>
      </c>
      <c r="V1882" s="104">
        <f>IFERROR(VLOOKUP(L1882,'Raw material list'!$A$2:$S$3102,6,0),0)</f>
        <v>1.2999999999999999E-2</v>
      </c>
      <c r="W1882" s="104">
        <f t="shared" si="285"/>
        <v>7.8313253012048199E-3</v>
      </c>
    </row>
    <row r="1883" spans="1:23" hidden="1" x14ac:dyDescent="0.55000000000000004">
      <c r="A1883" s="76" t="str">
        <f t="shared" si="290"/>
        <v>RCP-SMC-000136</v>
      </c>
      <c r="B1883" s="58" t="s">
        <v>35</v>
      </c>
      <c r="C1883" s="58" t="s">
        <v>10</v>
      </c>
      <c r="D1883" s="76" t="str">
        <f t="shared" si="291"/>
        <v>Foul Glaba</v>
      </c>
      <c r="E1883" s="76" t="s">
        <v>1448</v>
      </c>
      <c r="F1883" s="76" t="s">
        <v>1666</v>
      </c>
      <c r="G1883" s="76" t="s">
        <v>1666</v>
      </c>
      <c r="H1883" s="76" t="s">
        <v>1666</v>
      </c>
      <c r="I1883" s="76"/>
      <c r="J1883" s="76"/>
      <c r="K1883" s="58" t="str">
        <f>IFERROR(VLOOKUP(L1883,'Raw material list'!$A$3:$C$715,3,0),"")</f>
        <v>DRS6-733</v>
      </c>
      <c r="L1883" s="59" t="s">
        <v>45</v>
      </c>
      <c r="M1883" s="80" t="s">
        <v>156</v>
      </c>
      <c r="N1883" s="40" t="str">
        <f>VLOOKUP(L1883,'Raw material list'!$A$3:$E$715,5,0)</f>
        <v xml:space="preserve">Gram </v>
      </c>
      <c r="O1883" s="80">
        <v>15</v>
      </c>
      <c r="P1883" s="299">
        <f t="shared" si="283"/>
        <v>15</v>
      </c>
      <c r="Q1883" s="303">
        <v>100</v>
      </c>
      <c r="R1883" s="80">
        <v>30</v>
      </c>
      <c r="S1883" s="80"/>
      <c r="T1883" s="105">
        <f t="shared" si="278"/>
        <v>0.5</v>
      </c>
      <c r="U1883" s="105">
        <f t="shared" si="284"/>
        <v>0.5</v>
      </c>
      <c r="V1883" s="104">
        <f>IFERROR(VLOOKUP(L1883,'Raw material list'!$A$2:$S$3102,6,0),0)</f>
        <v>2.8000000000000001E-2</v>
      </c>
      <c r="W1883" s="104">
        <f t="shared" si="285"/>
        <v>1.4E-2</v>
      </c>
    </row>
    <row r="1884" spans="1:23" hidden="1" x14ac:dyDescent="0.55000000000000004">
      <c r="A1884" s="76" t="str">
        <f t="shared" si="290"/>
        <v>RCP-SMC-000136</v>
      </c>
      <c r="B1884" s="58" t="s">
        <v>35</v>
      </c>
      <c r="C1884" s="58" t="s">
        <v>10</v>
      </c>
      <c r="D1884" s="76" t="str">
        <f t="shared" si="291"/>
        <v>Foul Glaba</v>
      </c>
      <c r="E1884" s="76" t="s">
        <v>1448</v>
      </c>
      <c r="F1884" s="76" t="s">
        <v>1666</v>
      </c>
      <c r="G1884" s="76" t="s">
        <v>1666</v>
      </c>
      <c r="H1884" s="76" t="s">
        <v>1666</v>
      </c>
      <c r="I1884" s="76"/>
      <c r="J1884" s="76"/>
      <c r="K1884" s="58" t="str">
        <f>IFERROR(VLOOKUP(L1884,'Raw material list'!$A$3:$C$715,3,0),"")</f>
        <v>DRS6-266</v>
      </c>
      <c r="L1884" s="59" t="s">
        <v>99</v>
      </c>
      <c r="M1884" s="80" t="s">
        <v>156</v>
      </c>
      <c r="N1884" s="40" t="str">
        <f>VLOOKUP(L1884,'Raw material list'!$A$3:$E$715,5,0)</f>
        <v xml:space="preserve">Gram </v>
      </c>
      <c r="O1884" s="80">
        <v>10</v>
      </c>
      <c r="P1884" s="299">
        <f t="shared" si="283"/>
        <v>10</v>
      </c>
      <c r="Q1884" s="80">
        <v>100</v>
      </c>
      <c r="R1884" s="80">
        <v>30</v>
      </c>
      <c r="S1884" s="80"/>
      <c r="T1884" s="105">
        <f t="shared" si="278"/>
        <v>0.33333333333333331</v>
      </c>
      <c r="U1884" s="105">
        <f t="shared" si="284"/>
        <v>0.33333333333333331</v>
      </c>
      <c r="V1884" s="104">
        <f>IFERROR(VLOOKUP(L1884,'Raw material list'!$A$2:$S$3102,6,0),0)</f>
        <v>1.4E-2</v>
      </c>
      <c r="W1884" s="104">
        <f t="shared" si="285"/>
        <v>4.6666666666666662E-3</v>
      </c>
    </row>
    <row r="1885" spans="1:23" hidden="1" x14ac:dyDescent="0.55000000000000004">
      <c r="A1885" s="76" t="str">
        <f t="shared" si="290"/>
        <v>RCP-SMC-000136</v>
      </c>
      <c r="B1885" s="58" t="s">
        <v>35</v>
      </c>
      <c r="C1885" s="58" t="s">
        <v>10</v>
      </c>
      <c r="D1885" s="76" t="str">
        <f t="shared" si="291"/>
        <v>Foul Glaba</v>
      </c>
      <c r="E1885" s="76" t="s">
        <v>1448</v>
      </c>
      <c r="F1885" s="76" t="s">
        <v>1666</v>
      </c>
      <c r="G1885" s="76" t="s">
        <v>1666</v>
      </c>
      <c r="H1885" s="76" t="s">
        <v>1666</v>
      </c>
      <c r="I1885" s="76"/>
      <c r="J1885" s="76"/>
      <c r="K1885" s="58" t="str">
        <f>IFERROR(VLOOKUP(L1885,'Raw material list'!$A$3:$C$715,3,0),"")</f>
        <v>DRS6-1727</v>
      </c>
      <c r="L1885" s="59" t="s">
        <v>106</v>
      </c>
      <c r="M1885" s="80" t="s">
        <v>156</v>
      </c>
      <c r="N1885" s="40" t="str">
        <f>VLOOKUP(L1885,'Raw material list'!$A$3:$E$715,5,0)</f>
        <v xml:space="preserve">Gram </v>
      </c>
      <c r="O1885" s="80">
        <v>5</v>
      </c>
      <c r="P1885" s="299">
        <f t="shared" si="283"/>
        <v>5</v>
      </c>
      <c r="Q1885" s="80">
        <v>100</v>
      </c>
      <c r="R1885" s="80">
        <v>30</v>
      </c>
      <c r="S1885" s="80"/>
      <c r="T1885" s="105">
        <f t="shared" si="278"/>
        <v>0.16666666666666666</v>
      </c>
      <c r="U1885" s="105">
        <f t="shared" si="284"/>
        <v>0.16666666666666666</v>
      </c>
      <c r="V1885" s="104">
        <f>IFERROR(VLOOKUP(L1885,'Raw material list'!$A$2:$S$3102,6,0),0)</f>
        <v>2.5000000000000001E-2</v>
      </c>
      <c r="W1885" s="104">
        <f t="shared" si="285"/>
        <v>4.1666666666666666E-3</v>
      </c>
    </row>
    <row r="1886" spans="1:23" hidden="1" x14ac:dyDescent="0.55000000000000004">
      <c r="A1886" s="76" t="str">
        <f t="shared" si="290"/>
        <v>RCP-SMC-000136</v>
      </c>
      <c r="B1886" s="58" t="s">
        <v>35</v>
      </c>
      <c r="C1886" s="58" t="s">
        <v>10</v>
      </c>
      <c r="D1886" s="76" t="str">
        <f t="shared" si="291"/>
        <v>Foul Glaba</v>
      </c>
      <c r="E1886" s="76" t="s">
        <v>1448</v>
      </c>
      <c r="F1886" s="76" t="s">
        <v>1666</v>
      </c>
      <c r="G1886" s="76" t="s">
        <v>1666</v>
      </c>
      <c r="H1886" s="76" t="s">
        <v>1666</v>
      </c>
      <c r="I1886" s="76"/>
      <c r="J1886" s="76"/>
      <c r="K1886" s="58" t="str">
        <f>IFERROR(VLOOKUP(L1886,'Raw material list'!$A$3:$C$715,3,0),"")</f>
        <v>DRS3-1615</v>
      </c>
      <c r="L1886" s="59" t="s">
        <v>50</v>
      </c>
      <c r="M1886" s="80" t="s">
        <v>206</v>
      </c>
      <c r="N1886" s="40" t="str">
        <f>VLOOKUP(L1886,'Raw material list'!$A$3:$E$715,5,0)</f>
        <v>Ml</v>
      </c>
      <c r="O1886" s="80">
        <v>10</v>
      </c>
      <c r="P1886" s="299">
        <f t="shared" si="283"/>
        <v>10</v>
      </c>
      <c r="Q1886" s="80">
        <v>100</v>
      </c>
      <c r="R1886" s="80">
        <v>30</v>
      </c>
      <c r="S1886" s="80"/>
      <c r="T1886" s="105">
        <f t="shared" si="278"/>
        <v>0.33333333333333331</v>
      </c>
      <c r="U1886" s="105">
        <f t="shared" si="284"/>
        <v>0.33333333333333331</v>
      </c>
      <c r="V1886" s="104">
        <f>IFERROR(VLOOKUP(L1886,'Raw material list'!$A$2:$S$3102,6,0),0)</f>
        <v>1.2E-2</v>
      </c>
      <c r="W1886" s="104">
        <f t="shared" si="285"/>
        <v>4.0000000000000001E-3</v>
      </c>
    </row>
    <row r="1887" spans="1:23" hidden="1" x14ac:dyDescent="0.55000000000000004">
      <c r="A1887" s="76" t="s">
        <v>1723</v>
      </c>
      <c r="B1887" s="58" t="s">
        <v>35</v>
      </c>
      <c r="C1887" s="58" t="s">
        <v>10</v>
      </c>
      <c r="D1887" s="76" t="s">
        <v>1682</v>
      </c>
      <c r="E1887" s="76" t="s">
        <v>1448</v>
      </c>
      <c r="F1887" s="76" t="s">
        <v>1666</v>
      </c>
      <c r="G1887" s="76" t="s">
        <v>1666</v>
      </c>
      <c r="H1887" s="76" t="s">
        <v>1666</v>
      </c>
      <c r="I1887" s="76"/>
      <c r="J1887" s="76"/>
      <c r="K1887" s="58" t="str">
        <f>IFERROR(VLOOKUP(L1887,'Raw material list'!$A$3:$C$715,3,0),"")</f>
        <v>DRS1-3612</v>
      </c>
      <c r="L1887" s="59" t="s">
        <v>1683</v>
      </c>
      <c r="M1887" s="80" t="s">
        <v>156</v>
      </c>
      <c r="N1887" s="40" t="str">
        <f>VLOOKUP(L1887,'Raw material list'!$A$3:$E$715,5,0)</f>
        <v xml:space="preserve">Gram </v>
      </c>
      <c r="O1887" s="80">
        <v>60</v>
      </c>
      <c r="P1887" s="299">
        <f t="shared" si="283"/>
        <v>60</v>
      </c>
      <c r="Q1887" s="80">
        <v>100</v>
      </c>
      <c r="R1887" s="80">
        <v>1</v>
      </c>
      <c r="S1887" s="80"/>
      <c r="T1887" s="105">
        <f t="shared" si="278"/>
        <v>60</v>
      </c>
      <c r="U1887" s="105">
        <f t="shared" si="284"/>
        <v>60</v>
      </c>
      <c r="V1887" s="104">
        <f>IFERROR(VLOOKUP(L1887,'Raw material list'!$A$2:$S$3102,6,0),0)</f>
        <v>7.4999999999999997E-3</v>
      </c>
      <c r="W1887" s="104">
        <f t="shared" si="285"/>
        <v>0.44999999999999996</v>
      </c>
    </row>
    <row r="1888" spans="1:23" hidden="1" x14ac:dyDescent="0.55000000000000004">
      <c r="A1888" s="76" t="s">
        <v>1724</v>
      </c>
      <c r="B1888" s="58" t="s">
        <v>35</v>
      </c>
      <c r="C1888" s="58" t="s">
        <v>10</v>
      </c>
      <c r="D1888" s="76" t="s">
        <v>1684</v>
      </c>
      <c r="E1888" s="76" t="s">
        <v>1467</v>
      </c>
      <c r="F1888" s="76" t="s">
        <v>1666</v>
      </c>
      <c r="G1888" s="76" t="s">
        <v>1666</v>
      </c>
      <c r="H1888" s="76" t="s">
        <v>1666</v>
      </c>
      <c r="I1888" s="76"/>
      <c r="J1888" s="76"/>
      <c r="K1888" s="58" t="str">
        <f>IFERROR(VLOOKUP(L1888,'Raw material list'!$A$3:$C$715,3,0),"")</f>
        <v>PLT2-3278</v>
      </c>
      <c r="L1888" s="59" t="s">
        <v>80</v>
      </c>
      <c r="M1888" s="80" t="s">
        <v>156</v>
      </c>
      <c r="N1888" s="40" t="str">
        <f>VLOOKUP(L1888,'Raw material list'!$A$3:$E$715,5,0)</f>
        <v xml:space="preserve">Gram </v>
      </c>
      <c r="O1888" s="80">
        <v>900</v>
      </c>
      <c r="P1888" s="299">
        <f t="shared" si="283"/>
        <v>1181.1023622047244</v>
      </c>
      <c r="Q1888" s="80">
        <v>76.2</v>
      </c>
      <c r="R1888" s="80">
        <v>45</v>
      </c>
      <c r="S1888" s="80"/>
      <c r="T1888" s="105">
        <f t="shared" si="278"/>
        <v>20</v>
      </c>
      <c r="U1888" s="105">
        <f t="shared" si="284"/>
        <v>26.246719160104988</v>
      </c>
      <c r="V1888" s="104">
        <f>IFERROR(VLOOKUP(L1888,'Raw material list'!$A$2:$S$3102,6,0),0)</f>
        <v>3.0357142857142853E-2</v>
      </c>
      <c r="W1888" s="104">
        <f t="shared" si="285"/>
        <v>0.79677540307461558</v>
      </c>
    </row>
    <row r="1889" spans="1:23" hidden="1" x14ac:dyDescent="0.55000000000000004">
      <c r="A1889" s="76" t="str">
        <f t="shared" ref="A1889:A1911" si="292">A1888</f>
        <v>RCP-SMC-000138</v>
      </c>
      <c r="B1889" s="58" t="s">
        <v>35</v>
      </c>
      <c r="C1889" s="58" t="s">
        <v>10</v>
      </c>
      <c r="D1889" s="76" t="str">
        <f t="shared" ref="D1889:D1911" si="293">D1888</f>
        <v>Chicken Manakish</v>
      </c>
      <c r="E1889" s="76" t="s">
        <v>1467</v>
      </c>
      <c r="F1889" s="76" t="s">
        <v>1666</v>
      </c>
      <c r="G1889" s="76" t="s">
        <v>1666</v>
      </c>
      <c r="H1889" s="76" t="s">
        <v>1666</v>
      </c>
      <c r="I1889" s="76"/>
      <c r="J1889" s="76"/>
      <c r="K1889" s="58" t="str">
        <f>IFERROR(VLOOKUP(L1889,'Raw material list'!$A$3:$C$715,3,0),"")</f>
        <v>DRY1-1801</v>
      </c>
      <c r="L1889" s="59" t="s">
        <v>49</v>
      </c>
      <c r="M1889" s="80" t="s">
        <v>156</v>
      </c>
      <c r="N1889" s="40" t="str">
        <f>VLOOKUP(L1889,'Raw material list'!$A$3:$E$715,5,0)</f>
        <v xml:space="preserve">Gram </v>
      </c>
      <c r="O1889" s="80">
        <v>675</v>
      </c>
      <c r="P1889" s="299">
        <f t="shared" si="283"/>
        <v>675</v>
      </c>
      <c r="Q1889" s="80">
        <v>100</v>
      </c>
      <c r="R1889" s="80">
        <v>45</v>
      </c>
      <c r="S1889" s="80"/>
      <c r="T1889" s="105">
        <f t="shared" si="278"/>
        <v>15</v>
      </c>
      <c r="U1889" s="105">
        <f t="shared" si="284"/>
        <v>15</v>
      </c>
      <c r="V1889" s="104">
        <f>IFERROR(VLOOKUP(L1889,'Raw material list'!$A$2:$S$3102,6,0),0)</f>
        <v>2.5000000000000001E-2</v>
      </c>
      <c r="W1889" s="104">
        <f t="shared" si="285"/>
        <v>0.375</v>
      </c>
    </row>
    <row r="1890" spans="1:23" hidden="1" x14ac:dyDescent="0.55000000000000004">
      <c r="A1890" s="76" t="str">
        <f t="shared" si="292"/>
        <v>RCP-SMC-000138</v>
      </c>
      <c r="B1890" s="58" t="s">
        <v>35</v>
      </c>
      <c r="C1890" s="58" t="s">
        <v>10</v>
      </c>
      <c r="D1890" s="76" t="str">
        <f t="shared" si="293"/>
        <v>Chicken Manakish</v>
      </c>
      <c r="E1890" s="76" t="s">
        <v>1467</v>
      </c>
      <c r="F1890" s="76" t="s">
        <v>1666</v>
      </c>
      <c r="G1890" s="76" t="s">
        <v>1666</v>
      </c>
      <c r="H1890" s="76" t="s">
        <v>1666</v>
      </c>
      <c r="I1890" s="76"/>
      <c r="J1890" s="76"/>
      <c r="K1890" s="58" t="str">
        <f>IFERROR(VLOOKUP(L1890,'Raw material list'!$A$3:$C$715,3,0),"")</f>
        <v>PRD1-240</v>
      </c>
      <c r="L1890" s="59" t="s">
        <v>82</v>
      </c>
      <c r="M1890" s="80" t="s">
        <v>156</v>
      </c>
      <c r="N1890" s="40" t="str">
        <f>VLOOKUP(L1890,'Raw material list'!$A$3:$E$715,5,0)</f>
        <v xml:space="preserve">Gram </v>
      </c>
      <c r="O1890" s="80">
        <v>100</v>
      </c>
      <c r="P1890" s="299">
        <f t="shared" si="283"/>
        <v>147.78325123152712</v>
      </c>
      <c r="Q1890" s="105">
        <v>67.666666666666657</v>
      </c>
      <c r="R1890" s="80">
        <v>45</v>
      </c>
      <c r="S1890" s="80"/>
      <c r="T1890" s="105">
        <f t="shared" si="278"/>
        <v>2.2222222222222223</v>
      </c>
      <c r="U1890" s="105">
        <f t="shared" si="284"/>
        <v>3.2840722495894914</v>
      </c>
      <c r="V1890" s="104">
        <f>IFERROR(VLOOKUP(L1890,'Raw material list'!$A$2:$S$3102,6,0),0)</f>
        <v>1.3293943870014769E-2</v>
      </c>
      <c r="W1890" s="104">
        <f t="shared" si="285"/>
        <v>4.3658272151115833E-2</v>
      </c>
    </row>
    <row r="1891" spans="1:23" hidden="1" x14ac:dyDescent="0.55000000000000004">
      <c r="A1891" s="76" t="str">
        <f t="shared" si="292"/>
        <v>RCP-SMC-000138</v>
      </c>
      <c r="B1891" s="58" t="s">
        <v>35</v>
      </c>
      <c r="C1891" s="58" t="s">
        <v>10</v>
      </c>
      <c r="D1891" s="76" t="str">
        <f t="shared" si="293"/>
        <v>Chicken Manakish</v>
      </c>
      <c r="E1891" s="76" t="s">
        <v>1467</v>
      </c>
      <c r="F1891" s="76" t="s">
        <v>1666</v>
      </c>
      <c r="G1891" s="76" t="s">
        <v>1666</v>
      </c>
      <c r="H1891" s="76" t="s">
        <v>1666</v>
      </c>
      <c r="I1891" s="76"/>
      <c r="J1891" s="76"/>
      <c r="K1891" s="58" t="str">
        <f>IFERROR(VLOOKUP(L1891,'Raw material list'!$A$3:$C$715,3,0),"")</f>
        <v>PRD1-239</v>
      </c>
      <c r="L1891" s="59" t="s">
        <v>1056</v>
      </c>
      <c r="M1891" s="80" t="s">
        <v>156</v>
      </c>
      <c r="N1891" s="40" t="str">
        <f>VLOOKUP(L1891,'Raw material list'!$A$3:$E$715,5,0)</f>
        <v xml:space="preserve">Gram </v>
      </c>
      <c r="O1891" s="80">
        <v>100</v>
      </c>
      <c r="P1891" s="299">
        <f t="shared" si="283"/>
        <v>148.51485148514854</v>
      </c>
      <c r="Q1891" s="105">
        <v>67.333333333333329</v>
      </c>
      <c r="R1891" s="80">
        <v>45</v>
      </c>
      <c r="S1891" s="80"/>
      <c r="T1891" s="105">
        <f t="shared" si="278"/>
        <v>2.2222222222222223</v>
      </c>
      <c r="U1891" s="105">
        <f t="shared" si="284"/>
        <v>3.3003300330033007</v>
      </c>
      <c r="V1891" s="104">
        <f>IFERROR(VLOOKUP(L1891,'Raw material list'!$A$2:$S$3102,6,0),0)</f>
        <v>6.6864784546805346E-3</v>
      </c>
      <c r="W1891" s="104">
        <f t="shared" si="285"/>
        <v>2.2067585659011669E-2</v>
      </c>
    </row>
    <row r="1892" spans="1:23" hidden="1" x14ac:dyDescent="0.55000000000000004">
      <c r="A1892" s="76" t="str">
        <f t="shared" si="292"/>
        <v>RCP-SMC-000138</v>
      </c>
      <c r="B1892" s="58" t="s">
        <v>35</v>
      </c>
      <c r="C1892" s="58" t="s">
        <v>10</v>
      </c>
      <c r="D1892" s="76" t="str">
        <f t="shared" si="293"/>
        <v>Chicken Manakish</v>
      </c>
      <c r="E1892" s="76" t="s">
        <v>1467</v>
      </c>
      <c r="F1892" s="76" t="s">
        <v>1666</v>
      </c>
      <c r="G1892" s="76" t="s">
        <v>1666</v>
      </c>
      <c r="H1892" s="76" t="s">
        <v>1666</v>
      </c>
      <c r="I1892" s="76"/>
      <c r="J1892" s="76"/>
      <c r="K1892" s="58" t="str">
        <f>IFERROR(VLOOKUP(L1892,'Raw material list'!$A$3:$C$715,3,0),"")</f>
        <v>DRY2-1008</v>
      </c>
      <c r="L1892" s="59" t="s">
        <v>57</v>
      </c>
      <c r="M1892" s="80" t="s">
        <v>156</v>
      </c>
      <c r="N1892" s="40" t="str">
        <f>VLOOKUP(L1892,'Raw material list'!$A$3:$E$715,5,0)</f>
        <v xml:space="preserve">Gram </v>
      </c>
      <c r="O1892" s="80">
        <v>50</v>
      </c>
      <c r="P1892" s="299">
        <f t="shared" si="283"/>
        <v>50</v>
      </c>
      <c r="Q1892" s="303">
        <v>100</v>
      </c>
      <c r="R1892" s="80">
        <v>45</v>
      </c>
      <c r="S1892" s="80"/>
      <c r="T1892" s="105">
        <f t="shared" si="278"/>
        <v>1.1111111111111112</v>
      </c>
      <c r="U1892" s="105">
        <f t="shared" si="284"/>
        <v>1.1111111111111112</v>
      </c>
      <c r="V1892" s="104">
        <f>IFERROR(VLOOKUP(L1892,'Raw material list'!$A$2:$S$3102,6,0),0)</f>
        <v>0.03</v>
      </c>
      <c r="W1892" s="104">
        <f t="shared" si="285"/>
        <v>3.3333333333333333E-2</v>
      </c>
    </row>
    <row r="1893" spans="1:23" hidden="1" x14ac:dyDescent="0.55000000000000004">
      <c r="A1893" s="76" t="str">
        <f t="shared" si="292"/>
        <v>RCP-SMC-000138</v>
      </c>
      <c r="B1893" s="58" t="s">
        <v>35</v>
      </c>
      <c r="C1893" s="58" t="s">
        <v>10</v>
      </c>
      <c r="D1893" s="76" t="str">
        <f t="shared" si="293"/>
        <v>Chicken Manakish</v>
      </c>
      <c r="E1893" s="76" t="s">
        <v>1467</v>
      </c>
      <c r="F1893" s="76" t="s">
        <v>1666</v>
      </c>
      <c r="G1893" s="76" t="s">
        <v>1666</v>
      </c>
      <c r="H1893" s="76" t="s">
        <v>1666</v>
      </c>
      <c r="I1893" s="76"/>
      <c r="J1893" s="76"/>
      <c r="K1893" s="58" t="str">
        <f>IFERROR(VLOOKUP(L1893,'Raw material list'!$A$3:$C$715,3,0),"")</f>
        <v>DRS3-1813</v>
      </c>
      <c r="L1893" s="59" t="s">
        <v>69</v>
      </c>
      <c r="M1893" s="80" t="s">
        <v>206</v>
      </c>
      <c r="N1893" s="40" t="str">
        <f>VLOOKUP(L1893,'Raw material list'!$A$3:$E$715,5,0)</f>
        <v>Ml</v>
      </c>
      <c r="O1893" s="80">
        <v>50</v>
      </c>
      <c r="P1893" s="299">
        <f t="shared" si="283"/>
        <v>50</v>
      </c>
      <c r="Q1893" s="80">
        <v>100</v>
      </c>
      <c r="R1893" s="80">
        <v>45</v>
      </c>
      <c r="S1893" s="80"/>
      <c r="T1893" s="105">
        <f t="shared" si="278"/>
        <v>1.1111111111111112</v>
      </c>
      <c r="U1893" s="105">
        <f t="shared" si="284"/>
        <v>1.1111111111111112</v>
      </c>
      <c r="V1893" s="104">
        <f>IFERROR(VLOOKUP(L1893,'Raw material list'!$A$2:$S$3102,6,0),0)</f>
        <v>8.0555555555555554E-3</v>
      </c>
      <c r="W1893" s="104">
        <f t="shared" si="285"/>
        <v>8.9506172839506175E-3</v>
      </c>
    </row>
    <row r="1894" spans="1:23" hidden="1" x14ac:dyDescent="0.55000000000000004">
      <c r="A1894" s="76" t="str">
        <f t="shared" si="292"/>
        <v>RCP-SMC-000138</v>
      </c>
      <c r="B1894" s="58" t="s">
        <v>35</v>
      </c>
      <c r="C1894" s="58" t="s">
        <v>10</v>
      </c>
      <c r="D1894" s="76" t="str">
        <f t="shared" si="293"/>
        <v>Chicken Manakish</v>
      </c>
      <c r="E1894" s="76" t="s">
        <v>1467</v>
      </c>
      <c r="F1894" s="76" t="s">
        <v>1666</v>
      </c>
      <c r="G1894" s="76" t="s">
        <v>1666</v>
      </c>
      <c r="H1894" s="76" t="s">
        <v>1666</v>
      </c>
      <c r="I1894" s="76"/>
      <c r="J1894" s="76"/>
      <c r="K1894" s="58" t="str">
        <f>IFERROR(VLOOKUP(L1894,'Raw material list'!$A$3:$C$715,3,0),"")</f>
        <v>PRD1-4265</v>
      </c>
      <c r="L1894" s="59" t="s">
        <v>38</v>
      </c>
      <c r="M1894" s="80" t="s">
        <v>156</v>
      </c>
      <c r="N1894" s="40" t="str">
        <f>VLOOKUP(L1894,'Raw material list'!$A$3:$E$715,5,0)</f>
        <v xml:space="preserve">Gram </v>
      </c>
      <c r="O1894" s="80">
        <v>35</v>
      </c>
      <c r="P1894" s="299">
        <f t="shared" si="283"/>
        <v>41.17647058823529</v>
      </c>
      <c r="Q1894" s="105">
        <v>85</v>
      </c>
      <c r="R1894" s="80">
        <v>45</v>
      </c>
      <c r="S1894" s="80"/>
      <c r="T1894" s="105">
        <f t="shared" si="278"/>
        <v>0.77777777777777779</v>
      </c>
      <c r="U1894" s="105">
        <f t="shared" si="284"/>
        <v>0.91503267973856195</v>
      </c>
      <c r="V1894" s="104">
        <f>IFERROR(VLOOKUP(L1894,'Raw material list'!$A$2:$S$3102,6,0),0)</f>
        <v>3.529411764705882E-3</v>
      </c>
      <c r="W1894" s="104">
        <f t="shared" si="285"/>
        <v>3.2295271049596302E-3</v>
      </c>
    </row>
    <row r="1895" spans="1:23" hidden="1" x14ac:dyDescent="0.55000000000000004">
      <c r="A1895" s="76" t="str">
        <f t="shared" si="292"/>
        <v>RCP-SMC-000138</v>
      </c>
      <c r="B1895" s="58" t="s">
        <v>35</v>
      </c>
      <c r="C1895" s="58" t="s">
        <v>10</v>
      </c>
      <c r="D1895" s="76" t="str">
        <f t="shared" si="293"/>
        <v>Chicken Manakish</v>
      </c>
      <c r="E1895" s="76" t="s">
        <v>1467</v>
      </c>
      <c r="F1895" s="76" t="s">
        <v>1666</v>
      </c>
      <c r="G1895" s="76" t="s">
        <v>1666</v>
      </c>
      <c r="H1895" s="76" t="s">
        <v>1666</v>
      </c>
      <c r="I1895" s="76"/>
      <c r="J1895" s="76"/>
      <c r="K1895" s="58" t="str">
        <f>IFERROR(VLOOKUP(L1895,'Raw material list'!$A$3:$C$715,3,0),"")</f>
        <v>PRD1-4327</v>
      </c>
      <c r="L1895" s="59" t="s">
        <v>39</v>
      </c>
      <c r="M1895" s="80" t="s">
        <v>156</v>
      </c>
      <c r="N1895" s="40" t="str">
        <f>VLOOKUP(L1895,'Raw material list'!$A$3:$E$715,5,0)</f>
        <v xml:space="preserve">Gram </v>
      </c>
      <c r="O1895" s="80">
        <v>5</v>
      </c>
      <c r="P1895" s="299">
        <f t="shared" si="283"/>
        <v>6.024096385542169</v>
      </c>
      <c r="Q1895" s="105">
        <v>83</v>
      </c>
      <c r="R1895" s="80">
        <v>45</v>
      </c>
      <c r="S1895" s="80"/>
      <c r="T1895" s="105">
        <f t="shared" si="278"/>
        <v>0.1111111111111111</v>
      </c>
      <c r="U1895" s="105">
        <f t="shared" si="284"/>
        <v>0.13386880856760375</v>
      </c>
      <c r="V1895" s="104">
        <f>IFERROR(VLOOKUP(L1895,'Raw material list'!$A$2:$S$3102,6,0),0)</f>
        <v>1.2999999999999999E-2</v>
      </c>
      <c r="W1895" s="104">
        <f t="shared" si="285"/>
        <v>1.7402945113788486E-3</v>
      </c>
    </row>
    <row r="1896" spans="1:23" hidden="1" x14ac:dyDescent="0.55000000000000004">
      <c r="A1896" s="76" t="str">
        <f t="shared" si="292"/>
        <v>RCP-SMC-000138</v>
      </c>
      <c r="B1896" s="58" t="s">
        <v>35</v>
      </c>
      <c r="C1896" s="58" t="s">
        <v>10</v>
      </c>
      <c r="D1896" s="76" t="str">
        <f t="shared" si="293"/>
        <v>Chicken Manakish</v>
      </c>
      <c r="E1896" s="76" t="s">
        <v>1467</v>
      </c>
      <c r="F1896" s="76" t="s">
        <v>1666</v>
      </c>
      <c r="G1896" s="76" t="s">
        <v>1666</v>
      </c>
      <c r="H1896" s="76" t="s">
        <v>1666</v>
      </c>
      <c r="I1896" s="76"/>
      <c r="J1896" s="76"/>
      <c r="K1896" s="58" t="str">
        <f>IFERROR(VLOOKUP(L1896,'Raw material list'!$A$3:$C$715,3,0),"")</f>
        <v>DRS5-980</v>
      </c>
      <c r="L1896" s="59" t="s">
        <v>446</v>
      </c>
      <c r="M1896" s="80" t="s">
        <v>156</v>
      </c>
      <c r="N1896" s="40" t="str">
        <f>VLOOKUP(L1896,'Raw material list'!$A$3:$E$715,5,0)</f>
        <v xml:space="preserve">Gram </v>
      </c>
      <c r="O1896" s="80">
        <v>1000</v>
      </c>
      <c r="P1896" s="299">
        <f t="shared" si="283"/>
        <v>1000</v>
      </c>
      <c r="Q1896" s="303">
        <v>100</v>
      </c>
      <c r="R1896" s="80">
        <v>45</v>
      </c>
      <c r="S1896" s="80"/>
      <c r="T1896" s="105">
        <f t="shared" si="278"/>
        <v>22.222222222222221</v>
      </c>
      <c r="U1896" s="105">
        <f t="shared" si="284"/>
        <v>22.222222222222221</v>
      </c>
      <c r="V1896" s="104">
        <f>IFERROR(VLOOKUP(L1896,'Raw material list'!$A$2:$S$3102,6,0),0)</f>
        <v>1E-3</v>
      </c>
      <c r="W1896" s="104">
        <f t="shared" si="285"/>
        <v>2.2222222222222223E-2</v>
      </c>
    </row>
    <row r="1897" spans="1:23" hidden="1" x14ac:dyDescent="0.55000000000000004">
      <c r="A1897" s="76" t="str">
        <f t="shared" si="292"/>
        <v>RCP-SMC-000138</v>
      </c>
      <c r="B1897" s="58" t="s">
        <v>35</v>
      </c>
      <c r="C1897" s="58" t="s">
        <v>10</v>
      </c>
      <c r="D1897" s="76" t="str">
        <f t="shared" si="293"/>
        <v>Chicken Manakish</v>
      </c>
      <c r="E1897" s="76" t="s">
        <v>1467</v>
      </c>
      <c r="F1897" s="76" t="s">
        <v>1666</v>
      </c>
      <c r="G1897" s="76" t="s">
        <v>1666</v>
      </c>
      <c r="H1897" s="76" t="s">
        <v>1666</v>
      </c>
      <c r="I1897" s="76"/>
      <c r="J1897" s="76"/>
      <c r="K1897" s="58" t="str">
        <f>IFERROR(VLOOKUP(L1897,'Raw material list'!$A$3:$C$715,3,0),"")</f>
        <v>DRS1-3880</v>
      </c>
      <c r="L1897" s="59" t="s">
        <v>1433</v>
      </c>
      <c r="M1897" s="80" t="s">
        <v>156</v>
      </c>
      <c r="N1897" s="40" t="str">
        <f>VLOOKUP(L1897,'Raw material list'!$A$3:$E$715,5,0)</f>
        <v xml:space="preserve">Gram </v>
      </c>
      <c r="O1897" s="80">
        <v>10</v>
      </c>
      <c r="P1897" s="299">
        <f t="shared" si="283"/>
        <v>10</v>
      </c>
      <c r="Q1897" s="80">
        <v>100</v>
      </c>
      <c r="R1897" s="80">
        <v>45</v>
      </c>
      <c r="S1897" s="80"/>
      <c r="T1897" s="105">
        <f t="shared" si="278"/>
        <v>0.22222222222222221</v>
      </c>
      <c r="U1897" s="105">
        <f t="shared" si="284"/>
        <v>0.22222222222222221</v>
      </c>
      <c r="V1897" s="104">
        <f>IFERROR(VLOOKUP(L1897,'Raw material list'!$A$2:$S$3102,6,0),0)</f>
        <v>5.0000000000000001E-4</v>
      </c>
      <c r="W1897" s="104">
        <f t="shared" si="285"/>
        <v>1.111111111111111E-4</v>
      </c>
    </row>
    <row r="1898" spans="1:23" hidden="1" x14ac:dyDescent="0.55000000000000004">
      <c r="A1898" s="76" t="str">
        <f t="shared" si="292"/>
        <v>RCP-SMC-000138</v>
      </c>
      <c r="B1898" s="58" t="s">
        <v>35</v>
      </c>
      <c r="C1898" s="58" t="s">
        <v>10</v>
      </c>
      <c r="D1898" s="76" t="str">
        <f t="shared" si="293"/>
        <v>Chicken Manakish</v>
      </c>
      <c r="E1898" s="76" t="s">
        <v>1467</v>
      </c>
      <c r="F1898" s="76" t="s">
        <v>1666</v>
      </c>
      <c r="G1898" s="76" t="s">
        <v>1666</v>
      </c>
      <c r="H1898" s="76" t="s">
        <v>1666</v>
      </c>
      <c r="I1898" s="76"/>
      <c r="J1898" s="76"/>
      <c r="K1898" s="58" t="str">
        <f>IFERROR(VLOOKUP(L1898,'Raw material list'!$A$3:$C$715,3,0),"")</f>
        <v>DRS1-90</v>
      </c>
      <c r="L1898" s="59" t="s">
        <v>581</v>
      </c>
      <c r="M1898" s="80" t="s">
        <v>156</v>
      </c>
      <c r="N1898" s="40" t="str">
        <f>VLOOKUP(L1898,'Raw material list'!$A$3:$E$715,5,0)</f>
        <v xml:space="preserve">Gram </v>
      </c>
      <c r="O1898" s="80">
        <v>10</v>
      </c>
      <c r="P1898" s="299">
        <f t="shared" si="283"/>
        <v>10</v>
      </c>
      <c r="Q1898" s="80">
        <v>100</v>
      </c>
      <c r="R1898" s="80">
        <v>45</v>
      </c>
      <c r="S1898" s="80"/>
      <c r="T1898" s="105">
        <f t="shared" ref="T1898:T1961" si="294">IFERROR(O1898/R1898,0)</f>
        <v>0.22222222222222221</v>
      </c>
      <c r="U1898" s="105">
        <f t="shared" si="284"/>
        <v>0.22222222222222221</v>
      </c>
      <c r="V1898" s="104">
        <f>IFERROR(VLOOKUP(L1898,'Raw material list'!$A$2:$S$3102,6,0),0)</f>
        <v>1.4500000000000001E-2</v>
      </c>
      <c r="W1898" s="104">
        <f t="shared" si="285"/>
        <v>3.2222222222222222E-3</v>
      </c>
    </row>
    <row r="1899" spans="1:23" hidden="1" x14ac:dyDescent="0.55000000000000004">
      <c r="A1899" s="76" t="str">
        <f t="shared" si="292"/>
        <v>RCP-SMC-000138</v>
      </c>
      <c r="B1899" s="58" t="s">
        <v>35</v>
      </c>
      <c r="C1899" s="58" t="s">
        <v>10</v>
      </c>
      <c r="D1899" s="76" t="str">
        <f t="shared" si="293"/>
        <v>Chicken Manakish</v>
      </c>
      <c r="E1899" s="76" t="s">
        <v>1467</v>
      </c>
      <c r="F1899" s="76" t="s">
        <v>1666</v>
      </c>
      <c r="G1899" s="76" t="s">
        <v>1666</v>
      </c>
      <c r="H1899" s="76" t="s">
        <v>1666</v>
      </c>
      <c r="I1899" s="76"/>
      <c r="J1899" s="76"/>
      <c r="K1899" s="58" t="str">
        <f>IFERROR(VLOOKUP(L1899,'Raw material list'!$A$3:$C$715,3,0),"")</f>
        <v>DRS1-978</v>
      </c>
      <c r="L1899" s="59" t="s">
        <v>56</v>
      </c>
      <c r="M1899" s="80" t="s">
        <v>156</v>
      </c>
      <c r="N1899" s="40" t="str">
        <f>VLOOKUP(L1899,'Raw material list'!$A$3:$E$715,5,0)</f>
        <v xml:space="preserve">Gram </v>
      </c>
      <c r="O1899" s="80">
        <v>60</v>
      </c>
      <c r="P1899" s="299">
        <f t="shared" si="283"/>
        <v>60</v>
      </c>
      <c r="Q1899" s="80">
        <v>100</v>
      </c>
      <c r="R1899" s="80">
        <v>45</v>
      </c>
      <c r="S1899" s="80"/>
      <c r="T1899" s="105">
        <f t="shared" si="294"/>
        <v>1.3333333333333333</v>
      </c>
      <c r="U1899" s="105">
        <f t="shared" si="284"/>
        <v>1.3333333333333333</v>
      </c>
      <c r="V1899" s="104">
        <f>IFERROR(VLOOKUP(L1899,'Raw material list'!$A$2:$S$3102,6,0),0)</f>
        <v>2.3999999999999998E-3</v>
      </c>
      <c r="W1899" s="104">
        <f t="shared" si="285"/>
        <v>3.1999999999999997E-3</v>
      </c>
    </row>
    <row r="1900" spans="1:23" hidden="1" x14ac:dyDescent="0.55000000000000004">
      <c r="A1900" s="76" t="str">
        <f t="shared" si="292"/>
        <v>RCP-SMC-000138</v>
      </c>
      <c r="B1900" s="58" t="s">
        <v>35</v>
      </c>
      <c r="C1900" s="58" t="s">
        <v>10</v>
      </c>
      <c r="D1900" s="76" t="str">
        <f t="shared" si="293"/>
        <v>Chicken Manakish</v>
      </c>
      <c r="E1900" s="76" t="s">
        <v>1467</v>
      </c>
      <c r="F1900" s="76" t="s">
        <v>1666</v>
      </c>
      <c r="G1900" s="76" t="s">
        <v>1666</v>
      </c>
      <c r="H1900" s="76" t="s">
        <v>1666</v>
      </c>
      <c r="I1900" s="76"/>
      <c r="J1900" s="76"/>
      <c r="K1900" s="58" t="str">
        <f>IFERROR(VLOOKUP(L1900,'Raw material list'!$A$3:$C$715,3,0),"")</f>
        <v>DRS5-59</v>
      </c>
      <c r="L1900" s="59" t="s">
        <v>59</v>
      </c>
      <c r="M1900" s="80" t="s">
        <v>156</v>
      </c>
      <c r="N1900" s="40" t="str">
        <f>VLOOKUP(L1900,'Raw material list'!$A$3:$E$715,5,0)</f>
        <v xml:space="preserve">Gram </v>
      </c>
      <c r="O1900" s="80">
        <v>60</v>
      </c>
      <c r="P1900" s="299">
        <f t="shared" si="283"/>
        <v>60</v>
      </c>
      <c r="Q1900" s="80">
        <v>100</v>
      </c>
      <c r="R1900" s="80">
        <v>45</v>
      </c>
      <c r="S1900" s="80"/>
      <c r="T1900" s="105">
        <f t="shared" si="294"/>
        <v>1.3333333333333333</v>
      </c>
      <c r="U1900" s="105">
        <f t="shared" si="284"/>
        <v>1.3333333333333333</v>
      </c>
      <c r="V1900" s="104">
        <f>IFERROR(VLOOKUP(L1900,'Raw material list'!$A$2:$S$3102,6,0),0)</f>
        <v>1.4319999999999999E-2</v>
      </c>
      <c r="W1900" s="104">
        <f t="shared" si="285"/>
        <v>1.909333333333333E-2</v>
      </c>
    </row>
    <row r="1901" spans="1:23" hidden="1" x14ac:dyDescent="0.55000000000000004">
      <c r="A1901" s="76" t="str">
        <f t="shared" si="292"/>
        <v>RCP-SMC-000138</v>
      </c>
      <c r="B1901" s="58" t="s">
        <v>35</v>
      </c>
      <c r="C1901" s="58" t="s">
        <v>10</v>
      </c>
      <c r="D1901" s="76" t="str">
        <f t="shared" si="293"/>
        <v>Chicken Manakish</v>
      </c>
      <c r="E1901" s="76" t="s">
        <v>1467</v>
      </c>
      <c r="F1901" s="76" t="s">
        <v>1666</v>
      </c>
      <c r="G1901" s="76" t="s">
        <v>1666</v>
      </c>
      <c r="H1901" s="76" t="s">
        <v>1666</v>
      </c>
      <c r="I1901" s="76"/>
      <c r="J1901" s="76"/>
      <c r="K1901" s="58" t="str">
        <f>IFERROR(VLOOKUP(L1901,'Raw material list'!$A$3:$C$715,3,0),"")</f>
        <v>DRS3-1813</v>
      </c>
      <c r="L1901" s="59" t="s">
        <v>69</v>
      </c>
      <c r="M1901" s="80" t="s">
        <v>206</v>
      </c>
      <c r="N1901" s="40" t="str">
        <f>VLOOKUP(L1901,'Raw material list'!$A$3:$E$715,5,0)</f>
        <v>Ml</v>
      </c>
      <c r="O1901" s="80">
        <v>30</v>
      </c>
      <c r="P1901" s="299">
        <f t="shared" si="283"/>
        <v>30</v>
      </c>
      <c r="Q1901" s="80">
        <v>100</v>
      </c>
      <c r="R1901" s="80">
        <v>45</v>
      </c>
      <c r="S1901" s="80"/>
      <c r="T1901" s="105">
        <f t="shared" si="294"/>
        <v>0.66666666666666663</v>
      </c>
      <c r="U1901" s="105">
        <f t="shared" si="284"/>
        <v>0.66666666666666663</v>
      </c>
      <c r="V1901" s="104">
        <f>IFERROR(VLOOKUP(L1901,'Raw material list'!$A$2:$S$3102,6,0),0)</f>
        <v>8.0555555555555554E-3</v>
      </c>
      <c r="W1901" s="104">
        <f t="shared" si="285"/>
        <v>5.37037037037037E-3</v>
      </c>
    </row>
    <row r="1902" spans="1:23" hidden="1" x14ac:dyDescent="0.55000000000000004">
      <c r="A1902" s="76" t="str">
        <f t="shared" si="292"/>
        <v>RCP-SMC-000138</v>
      </c>
      <c r="B1902" s="58" t="s">
        <v>35</v>
      </c>
      <c r="C1902" s="58" t="s">
        <v>10</v>
      </c>
      <c r="D1902" s="76" t="str">
        <f t="shared" si="293"/>
        <v>Chicken Manakish</v>
      </c>
      <c r="E1902" s="76" t="s">
        <v>1467</v>
      </c>
      <c r="F1902" s="76" t="s">
        <v>1666</v>
      </c>
      <c r="G1902" s="76" t="s">
        <v>1666</v>
      </c>
      <c r="H1902" s="76" t="s">
        <v>1666</v>
      </c>
      <c r="I1902" s="76"/>
      <c r="J1902" s="76"/>
      <c r="K1902" s="58" t="str">
        <f>IFERROR(VLOOKUP(L1902,'Raw material list'!$A$3:$C$715,3,0),"")</f>
        <v>DRY2-1008</v>
      </c>
      <c r="L1902" s="59" t="s">
        <v>57</v>
      </c>
      <c r="M1902" s="80" t="s">
        <v>156</v>
      </c>
      <c r="N1902" s="40" t="str">
        <f>VLOOKUP(L1902,'Raw material list'!$A$3:$E$715,5,0)</f>
        <v xml:space="preserve">Gram </v>
      </c>
      <c r="O1902" s="80">
        <v>30</v>
      </c>
      <c r="P1902" s="299">
        <f t="shared" si="283"/>
        <v>30</v>
      </c>
      <c r="Q1902" s="80">
        <v>100</v>
      </c>
      <c r="R1902" s="80">
        <v>45</v>
      </c>
      <c r="S1902" s="80"/>
      <c r="T1902" s="105">
        <f t="shared" si="294"/>
        <v>0.66666666666666663</v>
      </c>
      <c r="U1902" s="105">
        <f t="shared" si="284"/>
        <v>0.66666666666666663</v>
      </c>
      <c r="V1902" s="104">
        <f>IFERROR(VLOOKUP(L1902,'Raw material list'!$A$2:$S$3102,6,0),0)</f>
        <v>0.03</v>
      </c>
      <c r="W1902" s="104">
        <f t="shared" si="285"/>
        <v>1.9999999999999997E-2</v>
      </c>
    </row>
    <row r="1903" spans="1:23" hidden="1" x14ac:dyDescent="0.55000000000000004">
      <c r="A1903" s="76" t="str">
        <f t="shared" si="292"/>
        <v>RCP-SMC-000138</v>
      </c>
      <c r="B1903" s="58" t="s">
        <v>35</v>
      </c>
      <c r="C1903" s="58" t="s">
        <v>10</v>
      </c>
      <c r="D1903" s="76" t="str">
        <f t="shared" si="293"/>
        <v>Chicken Manakish</v>
      </c>
      <c r="E1903" s="76" t="s">
        <v>1467</v>
      </c>
      <c r="F1903" s="76" t="s">
        <v>1666</v>
      </c>
      <c r="G1903" s="76" t="s">
        <v>1666</v>
      </c>
      <c r="H1903" s="76" t="s">
        <v>1666</v>
      </c>
      <c r="I1903" s="76"/>
      <c r="J1903" s="76"/>
      <c r="K1903" s="58" t="str">
        <f>IFERROR(VLOOKUP(L1903,'Raw material list'!$A$3:$C$715,3,0),"")</f>
        <v>TAP-00001</v>
      </c>
      <c r="L1903" s="59" t="s">
        <v>1405</v>
      </c>
      <c r="M1903" s="80" t="s">
        <v>206</v>
      </c>
      <c r="N1903" s="40" t="str">
        <f>VLOOKUP(L1903,'Raw material list'!$A$3:$E$715,5,0)</f>
        <v>Ml</v>
      </c>
      <c r="O1903" s="80">
        <v>500</v>
      </c>
      <c r="P1903" s="299">
        <f t="shared" si="283"/>
        <v>500</v>
      </c>
      <c r="Q1903" s="80">
        <v>100</v>
      </c>
      <c r="R1903" s="80">
        <v>45</v>
      </c>
      <c r="S1903" s="80"/>
      <c r="T1903" s="105">
        <f t="shared" si="294"/>
        <v>11.111111111111111</v>
      </c>
      <c r="U1903" s="105">
        <f t="shared" si="284"/>
        <v>11.111111111111111</v>
      </c>
      <c r="V1903" s="104">
        <f>IFERROR(VLOOKUP(L1903,'Raw material list'!$A$2:$S$3102,6,0),0)</f>
        <v>8.0000000000000007E-5</v>
      </c>
      <c r="W1903" s="104">
        <f t="shared" si="285"/>
        <v>8.8888888888888893E-4</v>
      </c>
    </row>
    <row r="1904" spans="1:23" hidden="1" x14ac:dyDescent="0.55000000000000004">
      <c r="A1904" s="76" t="str">
        <f t="shared" si="292"/>
        <v>RCP-SMC-000138</v>
      </c>
      <c r="B1904" s="58" t="s">
        <v>35</v>
      </c>
      <c r="C1904" s="58" t="s">
        <v>10</v>
      </c>
      <c r="D1904" s="76" t="str">
        <f t="shared" si="293"/>
        <v>Chicken Manakish</v>
      </c>
      <c r="E1904" s="76" t="s">
        <v>1467</v>
      </c>
      <c r="F1904" s="76" t="s">
        <v>1666</v>
      </c>
      <c r="G1904" s="76" t="s">
        <v>1666</v>
      </c>
      <c r="H1904" s="76" t="s">
        <v>1666</v>
      </c>
      <c r="I1904" s="76"/>
      <c r="J1904" s="76"/>
      <c r="K1904" s="58" t="str">
        <f>IFERROR(VLOOKUP(L1904,'Raw material list'!$A$3:$C$715,3,0),"")</f>
        <v>DRY2-1008</v>
      </c>
      <c r="L1904" s="59" t="s">
        <v>57</v>
      </c>
      <c r="M1904" s="80" t="s">
        <v>156</v>
      </c>
      <c r="N1904" s="40" t="str">
        <f>VLOOKUP(L1904,'Raw material list'!$A$3:$E$715,5,0)</f>
        <v xml:space="preserve">Gram </v>
      </c>
      <c r="O1904" s="80">
        <v>20</v>
      </c>
      <c r="P1904" s="299">
        <f t="shared" si="283"/>
        <v>20</v>
      </c>
      <c r="Q1904" s="80">
        <v>100</v>
      </c>
      <c r="R1904" s="80">
        <v>45</v>
      </c>
      <c r="S1904" s="80"/>
      <c r="T1904" s="105">
        <f t="shared" si="294"/>
        <v>0.44444444444444442</v>
      </c>
      <c r="U1904" s="105">
        <f t="shared" si="284"/>
        <v>0.44444444444444442</v>
      </c>
      <c r="V1904" s="104">
        <f>IFERROR(VLOOKUP(L1904,'Raw material list'!$A$2:$S$3102,6,0),0)</f>
        <v>0.03</v>
      </c>
      <c r="W1904" s="104">
        <f t="shared" si="285"/>
        <v>1.3333333333333332E-2</v>
      </c>
    </row>
    <row r="1905" spans="1:23" hidden="1" x14ac:dyDescent="0.55000000000000004">
      <c r="A1905" s="76" t="str">
        <f t="shared" si="292"/>
        <v>RCP-SMC-000138</v>
      </c>
      <c r="B1905" s="58" t="s">
        <v>35</v>
      </c>
      <c r="C1905" s="58" t="s">
        <v>10</v>
      </c>
      <c r="D1905" s="76" t="str">
        <f t="shared" si="293"/>
        <v>Chicken Manakish</v>
      </c>
      <c r="E1905" s="76" t="s">
        <v>1467</v>
      </c>
      <c r="F1905" s="76" t="s">
        <v>1666</v>
      </c>
      <c r="G1905" s="76" t="s">
        <v>1666</v>
      </c>
      <c r="H1905" s="76" t="s">
        <v>1666</v>
      </c>
      <c r="I1905" s="76"/>
      <c r="J1905" s="76"/>
      <c r="K1905" s="58" t="str">
        <f>IFERROR(VLOOKUP(L1905,'Raw material list'!$A$3:$C$715,3,0),"")</f>
        <v>DRS3-1813</v>
      </c>
      <c r="L1905" s="59" t="s">
        <v>69</v>
      </c>
      <c r="M1905" s="80" t="s">
        <v>206</v>
      </c>
      <c r="N1905" s="40" t="str">
        <f>VLOOKUP(L1905,'Raw material list'!$A$3:$E$715,5,0)</f>
        <v>Ml</v>
      </c>
      <c r="O1905" s="80">
        <v>20</v>
      </c>
      <c r="P1905" s="299">
        <f t="shared" si="283"/>
        <v>20</v>
      </c>
      <c r="Q1905" s="80">
        <v>100</v>
      </c>
      <c r="R1905" s="80">
        <v>45</v>
      </c>
      <c r="S1905" s="80"/>
      <c r="T1905" s="105">
        <f t="shared" si="294"/>
        <v>0.44444444444444442</v>
      </c>
      <c r="U1905" s="105">
        <f t="shared" si="284"/>
        <v>0.44444444444444442</v>
      </c>
      <c r="V1905" s="104">
        <f>IFERROR(VLOOKUP(L1905,'Raw material list'!$A$2:$S$3102,6,0),0)</f>
        <v>8.0555555555555554E-3</v>
      </c>
      <c r="W1905" s="104">
        <f t="shared" si="285"/>
        <v>3.5802469135802466E-3</v>
      </c>
    </row>
    <row r="1906" spans="1:23" hidden="1" x14ac:dyDescent="0.55000000000000004">
      <c r="A1906" s="76" t="str">
        <f t="shared" si="292"/>
        <v>RCP-SMC-000138</v>
      </c>
      <c r="B1906" s="58" t="s">
        <v>35</v>
      </c>
      <c r="C1906" s="58" t="s">
        <v>10</v>
      </c>
      <c r="D1906" s="76" t="str">
        <f t="shared" si="293"/>
        <v>Chicken Manakish</v>
      </c>
      <c r="E1906" s="76" t="s">
        <v>1467</v>
      </c>
      <c r="F1906" s="76" t="s">
        <v>1666</v>
      </c>
      <c r="G1906" s="76" t="s">
        <v>1666</v>
      </c>
      <c r="H1906" s="76" t="s">
        <v>1666</v>
      </c>
      <c r="I1906" s="76"/>
      <c r="J1906" s="76"/>
      <c r="K1906" s="58" t="str">
        <f>IFERROR(VLOOKUP(L1906,'Raw material list'!$A$3:$C$715,3,0),"")</f>
        <v>DRS5-40</v>
      </c>
      <c r="L1906" s="59" t="s">
        <v>58</v>
      </c>
      <c r="M1906" s="80" t="s">
        <v>156</v>
      </c>
      <c r="N1906" s="40" t="str">
        <f>VLOOKUP(L1906,'Raw material list'!$A$3:$E$715,5,0)</f>
        <v xml:space="preserve">Gram </v>
      </c>
      <c r="O1906" s="80">
        <v>40</v>
      </c>
      <c r="P1906" s="299">
        <f t="shared" si="283"/>
        <v>40</v>
      </c>
      <c r="Q1906" s="80">
        <v>100</v>
      </c>
      <c r="R1906" s="80">
        <v>45</v>
      </c>
      <c r="S1906" s="80"/>
      <c r="T1906" s="105">
        <f t="shared" si="294"/>
        <v>0.88888888888888884</v>
      </c>
      <c r="U1906" s="105">
        <f t="shared" si="284"/>
        <v>0.88888888888888884</v>
      </c>
      <c r="V1906" s="104">
        <f>IFERROR(VLOOKUP(L1906,'Raw material list'!$A$2:$S$3102,6,0),0)</f>
        <v>7.7777777777777773E-4</v>
      </c>
      <c r="W1906" s="104">
        <f t="shared" si="285"/>
        <v>6.91358024691358E-4</v>
      </c>
    </row>
    <row r="1907" spans="1:23" hidden="1" x14ac:dyDescent="0.55000000000000004">
      <c r="A1907" s="76" t="str">
        <f t="shared" si="292"/>
        <v>RCP-SMC-000138</v>
      </c>
      <c r="B1907" s="58" t="s">
        <v>35</v>
      </c>
      <c r="C1907" s="58" t="s">
        <v>10</v>
      </c>
      <c r="D1907" s="76" t="str">
        <f t="shared" si="293"/>
        <v>Chicken Manakish</v>
      </c>
      <c r="E1907" s="76" t="s">
        <v>1467</v>
      </c>
      <c r="F1907" s="76" t="s">
        <v>1666</v>
      </c>
      <c r="G1907" s="76" t="s">
        <v>1666</v>
      </c>
      <c r="H1907" s="76" t="s">
        <v>1666</v>
      </c>
      <c r="I1907" s="76"/>
      <c r="J1907" s="76"/>
      <c r="K1907" s="58" t="str">
        <f>IFERROR(VLOOKUP(L1907,'Raw material list'!$A$3:$C$715,3,0),"")</f>
        <v>TAP-00001</v>
      </c>
      <c r="L1907" s="59" t="s">
        <v>1405</v>
      </c>
      <c r="M1907" s="80" t="s">
        <v>206</v>
      </c>
      <c r="N1907" s="40" t="str">
        <f>VLOOKUP(L1907,'Raw material list'!$A$3:$E$715,5,0)</f>
        <v>Ml</v>
      </c>
      <c r="O1907" s="80">
        <v>450</v>
      </c>
      <c r="P1907" s="299">
        <f t="shared" si="283"/>
        <v>450</v>
      </c>
      <c r="Q1907" s="80">
        <v>100</v>
      </c>
      <c r="R1907" s="80">
        <v>45</v>
      </c>
      <c r="S1907" s="80"/>
      <c r="T1907" s="105">
        <f t="shared" si="294"/>
        <v>10</v>
      </c>
      <c r="U1907" s="105">
        <f t="shared" si="284"/>
        <v>10</v>
      </c>
      <c r="V1907" s="104">
        <f>IFERROR(VLOOKUP(L1907,'Raw material list'!$A$2:$S$3102,6,0),0)</f>
        <v>8.0000000000000007E-5</v>
      </c>
      <c r="W1907" s="104">
        <f t="shared" si="285"/>
        <v>8.0000000000000004E-4</v>
      </c>
    </row>
    <row r="1908" spans="1:23" hidden="1" x14ac:dyDescent="0.55000000000000004">
      <c r="A1908" s="76" t="str">
        <f t="shared" si="292"/>
        <v>RCP-SMC-000138</v>
      </c>
      <c r="B1908" s="58" t="s">
        <v>35</v>
      </c>
      <c r="C1908" s="58" t="s">
        <v>10</v>
      </c>
      <c r="D1908" s="76" t="str">
        <f t="shared" si="293"/>
        <v>Chicken Manakish</v>
      </c>
      <c r="E1908" s="76" t="s">
        <v>1467</v>
      </c>
      <c r="F1908" s="76" t="s">
        <v>1666</v>
      </c>
      <c r="G1908" s="76" t="s">
        <v>1666</v>
      </c>
      <c r="H1908" s="76" t="s">
        <v>1666</v>
      </c>
      <c r="I1908" s="76"/>
      <c r="J1908" s="76"/>
      <c r="K1908" s="58" t="str">
        <f>IFERROR(VLOOKUP(L1908,'Raw material list'!$A$3:$C$715,3,0),"")</f>
        <v>DRS5-59</v>
      </c>
      <c r="L1908" s="59" t="s">
        <v>59</v>
      </c>
      <c r="M1908" s="80" t="s">
        <v>156</v>
      </c>
      <c r="N1908" s="40" t="str">
        <f>VLOOKUP(L1908,'Raw material list'!$A$3:$E$715,5,0)</f>
        <v xml:space="preserve">Gram </v>
      </c>
      <c r="O1908" s="80">
        <v>25</v>
      </c>
      <c r="P1908" s="299">
        <f t="shared" si="283"/>
        <v>25</v>
      </c>
      <c r="Q1908" s="80">
        <v>100</v>
      </c>
      <c r="R1908" s="80">
        <v>45</v>
      </c>
      <c r="S1908" s="80"/>
      <c r="T1908" s="105">
        <f t="shared" si="294"/>
        <v>0.55555555555555558</v>
      </c>
      <c r="U1908" s="105">
        <f t="shared" si="284"/>
        <v>0.55555555555555558</v>
      </c>
      <c r="V1908" s="104">
        <f>IFERROR(VLOOKUP(L1908,'Raw material list'!$A$2:$S$3102,6,0),0)</f>
        <v>1.4319999999999999E-2</v>
      </c>
      <c r="W1908" s="104">
        <f t="shared" si="285"/>
        <v>7.955555555555556E-3</v>
      </c>
    </row>
    <row r="1909" spans="1:23" hidden="1" x14ac:dyDescent="0.55000000000000004">
      <c r="A1909" s="76" t="str">
        <f t="shared" si="292"/>
        <v>RCP-SMC-000138</v>
      </c>
      <c r="B1909" s="58" t="s">
        <v>35</v>
      </c>
      <c r="C1909" s="58" t="s">
        <v>10</v>
      </c>
      <c r="D1909" s="76" t="str">
        <f t="shared" si="293"/>
        <v>Chicken Manakish</v>
      </c>
      <c r="E1909" s="76" t="s">
        <v>1467</v>
      </c>
      <c r="F1909" s="76" t="s">
        <v>1666</v>
      </c>
      <c r="G1909" s="76" t="s">
        <v>1666</v>
      </c>
      <c r="H1909" s="76" t="s">
        <v>1666</v>
      </c>
      <c r="I1909" s="76"/>
      <c r="J1909" s="76"/>
      <c r="K1909" s="58" t="str">
        <f>IFERROR(VLOOKUP(L1909,'Raw material list'!$A$3:$C$715,3,0),"")</f>
        <v>DRS6-309</v>
      </c>
      <c r="L1909" s="59" t="s">
        <v>61</v>
      </c>
      <c r="M1909" s="80" t="s">
        <v>156</v>
      </c>
      <c r="N1909" s="40" t="str">
        <f>VLOOKUP(L1909,'Raw material list'!$A$3:$E$715,5,0)</f>
        <v xml:space="preserve">Gram </v>
      </c>
      <c r="O1909" s="80">
        <v>1</v>
      </c>
      <c r="P1909" s="299">
        <f t="shared" si="283"/>
        <v>1</v>
      </c>
      <c r="Q1909" s="80">
        <v>100</v>
      </c>
      <c r="R1909" s="80">
        <v>45</v>
      </c>
      <c r="S1909" s="80"/>
      <c r="T1909" s="105">
        <f t="shared" si="294"/>
        <v>2.2222222222222223E-2</v>
      </c>
      <c r="U1909" s="105">
        <f t="shared" si="284"/>
        <v>2.2222222222222223E-2</v>
      </c>
      <c r="V1909" s="104">
        <f>IFERROR(VLOOKUP(L1909,'Raw material list'!$A$2:$S$3102,6,0),0)</f>
        <v>2.8000000000000001E-2</v>
      </c>
      <c r="W1909" s="104">
        <f t="shared" si="285"/>
        <v>6.2222222222222225E-4</v>
      </c>
    </row>
    <row r="1910" spans="1:23" hidden="1" x14ac:dyDescent="0.55000000000000004">
      <c r="A1910" s="76" t="str">
        <f t="shared" si="292"/>
        <v>RCP-SMC-000138</v>
      </c>
      <c r="B1910" s="58" t="s">
        <v>35</v>
      </c>
      <c r="C1910" s="58" t="s">
        <v>10</v>
      </c>
      <c r="D1910" s="76" t="str">
        <f t="shared" si="293"/>
        <v>Chicken Manakish</v>
      </c>
      <c r="E1910" s="76" t="s">
        <v>1467</v>
      </c>
      <c r="F1910" s="76" t="s">
        <v>1666</v>
      </c>
      <c r="G1910" s="76" t="s">
        <v>1666</v>
      </c>
      <c r="H1910" s="76" t="s">
        <v>1666</v>
      </c>
      <c r="I1910" s="76"/>
      <c r="J1910" s="76"/>
      <c r="K1910" s="58" t="str">
        <f>IFERROR(VLOOKUP(L1910,'Raw material list'!$A$3:$C$715,3,0),"")</f>
        <v>DRS1-1507</v>
      </c>
      <c r="L1910" s="59" t="s">
        <v>313</v>
      </c>
      <c r="M1910" s="80" t="s">
        <v>156</v>
      </c>
      <c r="N1910" s="40" t="str">
        <f>VLOOKUP(L1910,'Raw material list'!$A$3:$E$715,5,0)</f>
        <v xml:space="preserve">Gram </v>
      </c>
      <c r="O1910" s="80">
        <v>5</v>
      </c>
      <c r="P1910" s="299">
        <f t="shared" si="283"/>
        <v>5</v>
      </c>
      <c r="Q1910" s="80">
        <v>100</v>
      </c>
      <c r="R1910" s="80">
        <v>45</v>
      </c>
      <c r="S1910" s="80"/>
      <c r="T1910" s="105">
        <f t="shared" si="294"/>
        <v>0.1111111111111111</v>
      </c>
      <c r="U1910" s="105">
        <f t="shared" si="284"/>
        <v>0.1111111111111111</v>
      </c>
      <c r="V1910" s="104">
        <f>IFERROR(VLOOKUP(L1910,'Raw material list'!$A$2:$S$3102,6,0),0)</f>
        <v>3.5000000000000003E-2</v>
      </c>
      <c r="W1910" s="104">
        <f t="shared" si="285"/>
        <v>3.8888888888888892E-3</v>
      </c>
    </row>
    <row r="1911" spans="1:23" hidden="1" x14ac:dyDescent="0.55000000000000004">
      <c r="A1911" s="76" t="str">
        <f t="shared" si="292"/>
        <v>RCP-SMC-000138</v>
      </c>
      <c r="B1911" s="58" t="s">
        <v>35</v>
      </c>
      <c r="C1911" s="58" t="s">
        <v>10</v>
      </c>
      <c r="D1911" s="76" t="str">
        <f t="shared" si="293"/>
        <v>Chicken Manakish</v>
      </c>
      <c r="E1911" s="76" t="s">
        <v>1467</v>
      </c>
      <c r="F1911" s="76" t="s">
        <v>1666</v>
      </c>
      <c r="G1911" s="76" t="s">
        <v>1666</v>
      </c>
      <c r="H1911" s="76" t="s">
        <v>1666</v>
      </c>
      <c r="I1911" s="76"/>
      <c r="J1911" s="76"/>
      <c r="K1911" s="58" t="str">
        <f>IFERROR(VLOOKUP(L1911,'Raw material list'!$A$3:$C$715,3,0),"")</f>
        <v>DRY2-1858</v>
      </c>
      <c r="L1911" s="59" t="s">
        <v>60</v>
      </c>
      <c r="M1911" s="80" t="s">
        <v>206</v>
      </c>
      <c r="N1911" s="40" t="str">
        <f>VLOOKUP(L1911,'Raw material list'!$A$3:$E$715,5,0)</f>
        <v>Ml</v>
      </c>
      <c r="O1911" s="80">
        <v>75</v>
      </c>
      <c r="P1911" s="299">
        <f t="shared" si="283"/>
        <v>75</v>
      </c>
      <c r="Q1911" s="80">
        <v>100</v>
      </c>
      <c r="R1911" s="80">
        <v>45</v>
      </c>
      <c r="S1911" s="80"/>
      <c r="T1911" s="105">
        <f t="shared" si="294"/>
        <v>1.6666666666666667</v>
      </c>
      <c r="U1911" s="105">
        <f t="shared" si="284"/>
        <v>1.6666666666666667</v>
      </c>
      <c r="V1911" s="104">
        <f>IFERROR(VLOOKUP(L1911,'Raw material list'!$A$2:$S$3102,6,0),0)</f>
        <v>9.8800000000000016E-3</v>
      </c>
      <c r="W1911" s="104">
        <f t="shared" si="285"/>
        <v>1.6466666666666671E-2</v>
      </c>
    </row>
    <row r="1912" spans="1:23" hidden="1" x14ac:dyDescent="0.55000000000000004">
      <c r="A1912" s="76" t="s">
        <v>1725</v>
      </c>
      <c r="B1912" s="58" t="s">
        <v>35</v>
      </c>
      <c r="C1912" s="58" t="s">
        <v>10</v>
      </c>
      <c r="D1912" s="76" t="s">
        <v>1685</v>
      </c>
      <c r="E1912" s="76" t="s">
        <v>1486</v>
      </c>
      <c r="F1912" s="76" t="s">
        <v>1666</v>
      </c>
      <c r="G1912" s="76" t="s">
        <v>1666</v>
      </c>
      <c r="H1912" s="76" t="s">
        <v>1666</v>
      </c>
      <c r="I1912" s="76"/>
      <c r="J1912" s="76"/>
      <c r="K1912" s="58" t="str">
        <f>IFERROR(VLOOKUP(L1912,'Raw material list'!$A$3:$C$715,3,0),"")</f>
        <v>PLT1-37</v>
      </c>
      <c r="L1912" s="59" t="s">
        <v>861</v>
      </c>
      <c r="M1912" s="80" t="s">
        <v>48</v>
      </c>
      <c r="N1912" s="40" t="str">
        <f>VLOOKUP(L1912,'Raw material list'!$A$3:$E$715,5,0)</f>
        <v>Each</v>
      </c>
      <c r="O1912" s="80">
        <v>200</v>
      </c>
      <c r="P1912" s="299">
        <f t="shared" si="283"/>
        <v>200</v>
      </c>
      <c r="Q1912" s="80">
        <v>100</v>
      </c>
      <c r="R1912" s="80">
        <v>75</v>
      </c>
      <c r="S1912" s="80"/>
      <c r="T1912" s="105">
        <f t="shared" si="294"/>
        <v>2.6666666666666665</v>
      </c>
      <c r="U1912" s="105">
        <f t="shared" si="284"/>
        <v>2.6666666666666665</v>
      </c>
      <c r="V1912" s="104">
        <f>IFERROR(VLOOKUP(L1912,'Raw material list'!$A$2:$S$3102,6,0),0)</f>
        <v>0.48299999999999998</v>
      </c>
      <c r="W1912" s="104">
        <f t="shared" si="285"/>
        <v>1.2879999999999998</v>
      </c>
    </row>
    <row r="1913" spans="1:23" hidden="1" x14ac:dyDescent="0.55000000000000004">
      <c r="A1913" s="76" t="str">
        <f t="shared" ref="A1913:A1921" si="295">A1912</f>
        <v>RCP-SMC-000139</v>
      </c>
      <c r="B1913" s="58" t="s">
        <v>35</v>
      </c>
      <c r="C1913" s="58" t="s">
        <v>10</v>
      </c>
      <c r="D1913" s="76" t="str">
        <f t="shared" ref="D1913:D1921" si="296">D1912</f>
        <v xml:space="preserve">Baked Egg </v>
      </c>
      <c r="E1913" s="76" t="s">
        <v>1486</v>
      </c>
      <c r="F1913" s="76" t="s">
        <v>1666</v>
      </c>
      <c r="G1913" s="76" t="s">
        <v>1666</v>
      </c>
      <c r="H1913" s="76" t="s">
        <v>1666</v>
      </c>
      <c r="I1913" s="76"/>
      <c r="J1913" s="76"/>
      <c r="K1913" s="58" t="str">
        <f>IFERROR(VLOOKUP(L1913,'Raw material list'!$A$3:$C$715,3,0),"")</f>
        <v>PRD1-240</v>
      </c>
      <c r="L1913" s="59" t="s">
        <v>82</v>
      </c>
      <c r="M1913" s="80" t="s">
        <v>156</v>
      </c>
      <c r="N1913" s="40" t="str">
        <f>VLOOKUP(L1913,'Raw material list'!$A$3:$E$715,5,0)</f>
        <v xml:space="preserve">Gram </v>
      </c>
      <c r="O1913" s="80">
        <v>250</v>
      </c>
      <c r="P1913" s="299">
        <f t="shared" si="283"/>
        <v>369.45812807881782</v>
      </c>
      <c r="Q1913" s="105">
        <v>67.666666666666657</v>
      </c>
      <c r="R1913" s="80">
        <v>75</v>
      </c>
      <c r="S1913" s="80"/>
      <c r="T1913" s="105">
        <f t="shared" si="294"/>
        <v>3.3333333333333335</v>
      </c>
      <c r="U1913" s="105">
        <f t="shared" si="284"/>
        <v>4.9261083743842375</v>
      </c>
      <c r="V1913" s="104">
        <f>IFERROR(VLOOKUP(L1913,'Raw material list'!$A$2:$S$3102,6,0),0)</f>
        <v>1.3293943870014769E-2</v>
      </c>
      <c r="W1913" s="104">
        <f t="shared" si="285"/>
        <v>6.548740822667376E-2</v>
      </c>
    </row>
    <row r="1914" spans="1:23" hidden="1" x14ac:dyDescent="0.55000000000000004">
      <c r="A1914" s="76" t="str">
        <f t="shared" si="295"/>
        <v>RCP-SMC-000139</v>
      </c>
      <c r="B1914" s="58" t="s">
        <v>35</v>
      </c>
      <c r="C1914" s="58" t="s">
        <v>10</v>
      </c>
      <c r="D1914" s="76" t="str">
        <f t="shared" si="296"/>
        <v xml:space="preserve">Baked Egg </v>
      </c>
      <c r="E1914" s="76" t="s">
        <v>1486</v>
      </c>
      <c r="F1914" s="76" t="s">
        <v>1666</v>
      </c>
      <c r="G1914" s="76" t="s">
        <v>1666</v>
      </c>
      <c r="H1914" s="76" t="s">
        <v>1666</v>
      </c>
      <c r="I1914" s="76"/>
      <c r="J1914" s="76"/>
      <c r="K1914" s="58" t="str">
        <f>IFERROR(VLOOKUP(L1914,'Raw material list'!$A$3:$C$715,3,0),"")</f>
        <v>PRD1-239</v>
      </c>
      <c r="L1914" s="59" t="s">
        <v>1056</v>
      </c>
      <c r="M1914" s="80" t="s">
        <v>156</v>
      </c>
      <c r="N1914" s="40" t="str">
        <f>VLOOKUP(L1914,'Raw material list'!$A$3:$E$715,5,0)</f>
        <v xml:space="preserve">Gram </v>
      </c>
      <c r="O1914" s="80">
        <v>250</v>
      </c>
      <c r="P1914" s="299">
        <f t="shared" si="283"/>
        <v>371.28712871287132</v>
      </c>
      <c r="Q1914" s="105">
        <v>67.333333333333329</v>
      </c>
      <c r="R1914" s="80">
        <v>75</v>
      </c>
      <c r="S1914" s="80"/>
      <c r="T1914" s="105">
        <f t="shared" si="294"/>
        <v>3.3333333333333335</v>
      </c>
      <c r="U1914" s="105">
        <f t="shared" si="284"/>
        <v>4.9504950495049513</v>
      </c>
      <c r="V1914" s="104">
        <f>IFERROR(VLOOKUP(L1914,'Raw material list'!$A$2:$S$3102,6,0),0)</f>
        <v>6.6864784546805346E-3</v>
      </c>
      <c r="W1914" s="104">
        <f t="shared" si="285"/>
        <v>3.3101378488517505E-2</v>
      </c>
    </row>
    <row r="1915" spans="1:23" hidden="1" x14ac:dyDescent="0.55000000000000004">
      <c r="A1915" s="76" t="str">
        <f t="shared" si="295"/>
        <v>RCP-SMC-000139</v>
      </c>
      <c r="B1915" s="58" t="s">
        <v>35</v>
      </c>
      <c r="C1915" s="58" t="s">
        <v>10</v>
      </c>
      <c r="D1915" s="76" t="str">
        <f t="shared" si="296"/>
        <v xml:space="preserve">Baked Egg </v>
      </c>
      <c r="E1915" s="76" t="s">
        <v>1486</v>
      </c>
      <c r="F1915" s="76" t="s">
        <v>1666</v>
      </c>
      <c r="G1915" s="76" t="s">
        <v>1666</v>
      </c>
      <c r="H1915" s="76" t="s">
        <v>1666</v>
      </c>
      <c r="I1915" s="76"/>
      <c r="J1915" s="76"/>
      <c r="K1915" s="58" t="str">
        <f>IFERROR(VLOOKUP(L1915,'Raw material list'!$A$3:$C$715,3,0),"")</f>
        <v>PRD1-241</v>
      </c>
      <c r="L1915" s="59" t="s">
        <v>1059</v>
      </c>
      <c r="M1915" s="80" t="s">
        <v>156</v>
      </c>
      <c r="N1915" s="40" t="str">
        <f>VLOOKUP(L1915,'Raw material list'!$A$3:$E$715,5,0)</f>
        <v xml:space="preserve">Gram </v>
      </c>
      <c r="O1915" s="80">
        <v>250</v>
      </c>
      <c r="P1915" s="299">
        <f t="shared" si="283"/>
        <v>366.38983878847091</v>
      </c>
      <c r="Q1915" s="105">
        <v>68.233333333333334</v>
      </c>
      <c r="R1915" s="80">
        <v>75</v>
      </c>
      <c r="S1915" s="80"/>
      <c r="T1915" s="105">
        <f t="shared" si="294"/>
        <v>3.3333333333333335</v>
      </c>
      <c r="U1915" s="105">
        <f t="shared" si="284"/>
        <v>4.8851978505129452</v>
      </c>
      <c r="V1915" s="104">
        <f>IFERROR(VLOOKUP(L1915,'Raw material list'!$A$2:$S$3102,6,0),0)</f>
        <v>1.3196480938416421E-2</v>
      </c>
      <c r="W1915" s="104">
        <f t="shared" si="285"/>
        <v>6.4467420314686955E-2</v>
      </c>
    </row>
    <row r="1916" spans="1:23" hidden="1" x14ac:dyDescent="0.55000000000000004">
      <c r="A1916" s="76" t="str">
        <f t="shared" si="295"/>
        <v>RCP-SMC-000139</v>
      </c>
      <c r="B1916" s="58" t="s">
        <v>35</v>
      </c>
      <c r="C1916" s="58" t="s">
        <v>10</v>
      </c>
      <c r="D1916" s="76" t="str">
        <f t="shared" si="296"/>
        <v xml:space="preserve">Baked Egg </v>
      </c>
      <c r="E1916" s="76" t="s">
        <v>1486</v>
      </c>
      <c r="F1916" s="76" t="s">
        <v>1666</v>
      </c>
      <c r="G1916" s="76" t="s">
        <v>1666</v>
      </c>
      <c r="H1916" s="76" t="s">
        <v>1666</v>
      </c>
      <c r="I1916" s="76"/>
      <c r="J1916" s="76"/>
      <c r="K1916" s="58" t="str">
        <f>IFERROR(VLOOKUP(L1916,'Raw material list'!$A$3:$C$715,3,0),"")</f>
        <v>DRS1-3880</v>
      </c>
      <c r="L1916" s="59" t="s">
        <v>1433</v>
      </c>
      <c r="M1916" s="80" t="s">
        <v>156</v>
      </c>
      <c r="N1916" s="40" t="str">
        <f>VLOOKUP(L1916,'Raw material list'!$A$3:$E$715,5,0)</f>
        <v xml:space="preserve">Gram </v>
      </c>
      <c r="O1916" s="80">
        <v>20</v>
      </c>
      <c r="P1916" s="299">
        <f t="shared" si="283"/>
        <v>20</v>
      </c>
      <c r="Q1916" s="303">
        <v>100</v>
      </c>
      <c r="R1916" s="80">
        <v>75</v>
      </c>
      <c r="S1916" s="80"/>
      <c r="T1916" s="105">
        <f t="shared" si="294"/>
        <v>0.26666666666666666</v>
      </c>
      <c r="U1916" s="105">
        <f t="shared" si="284"/>
        <v>0.26666666666666666</v>
      </c>
      <c r="V1916" s="104">
        <f>IFERROR(VLOOKUP(L1916,'Raw material list'!$A$2:$S$3102,6,0),0)</f>
        <v>5.0000000000000001E-4</v>
      </c>
      <c r="W1916" s="104">
        <f t="shared" si="285"/>
        <v>1.3333333333333334E-4</v>
      </c>
    </row>
    <row r="1917" spans="1:23" hidden="1" x14ac:dyDescent="0.55000000000000004">
      <c r="A1917" s="76" t="str">
        <f t="shared" si="295"/>
        <v>RCP-SMC-000139</v>
      </c>
      <c r="B1917" s="58" t="s">
        <v>35</v>
      </c>
      <c r="C1917" s="58" t="s">
        <v>10</v>
      </c>
      <c r="D1917" s="76" t="str">
        <f t="shared" si="296"/>
        <v xml:space="preserve">Baked Egg </v>
      </c>
      <c r="E1917" s="76" t="s">
        <v>1486</v>
      </c>
      <c r="F1917" s="76" t="s">
        <v>1666</v>
      </c>
      <c r="G1917" s="76" t="s">
        <v>1666</v>
      </c>
      <c r="H1917" s="76" t="s">
        <v>1666</v>
      </c>
      <c r="I1917" s="76"/>
      <c r="J1917" s="76"/>
      <c r="K1917" s="58" t="str">
        <f>IFERROR(VLOOKUP(L1917,'Raw material list'!$A$3:$C$715,3,0),"")</f>
        <v>DRS6-537</v>
      </c>
      <c r="L1917" s="59" t="s">
        <v>46</v>
      </c>
      <c r="M1917" s="80" t="s">
        <v>156</v>
      </c>
      <c r="N1917" s="40" t="str">
        <f>VLOOKUP(L1917,'Raw material list'!$A$3:$E$715,5,0)</f>
        <v xml:space="preserve">Gram </v>
      </c>
      <c r="O1917" s="80">
        <v>5</v>
      </c>
      <c r="P1917" s="299">
        <f t="shared" si="283"/>
        <v>5</v>
      </c>
      <c r="Q1917" s="80">
        <v>100</v>
      </c>
      <c r="R1917" s="80">
        <v>75</v>
      </c>
      <c r="S1917" s="80"/>
      <c r="T1917" s="105">
        <f t="shared" si="294"/>
        <v>6.6666666666666666E-2</v>
      </c>
      <c r="U1917" s="105">
        <f t="shared" si="284"/>
        <v>6.6666666666666666E-2</v>
      </c>
      <c r="V1917" s="104">
        <f>IFERROR(VLOOKUP(L1917,'Raw material list'!$A$2:$S$3102,6,0),0)</f>
        <v>3.5000000000000003E-2</v>
      </c>
      <c r="W1917" s="104">
        <f t="shared" si="285"/>
        <v>2.3333333333333335E-3</v>
      </c>
    </row>
    <row r="1918" spans="1:23" hidden="1" x14ac:dyDescent="0.55000000000000004">
      <c r="A1918" s="76" t="str">
        <f t="shared" si="295"/>
        <v>RCP-SMC-000139</v>
      </c>
      <c r="B1918" s="58" t="s">
        <v>35</v>
      </c>
      <c r="C1918" s="58" t="s">
        <v>10</v>
      </c>
      <c r="D1918" s="76" t="str">
        <f t="shared" si="296"/>
        <v xml:space="preserve">Baked Egg </v>
      </c>
      <c r="E1918" s="76" t="s">
        <v>1486</v>
      </c>
      <c r="F1918" s="76" t="s">
        <v>1666</v>
      </c>
      <c r="G1918" s="76" t="s">
        <v>1666</v>
      </c>
      <c r="H1918" s="76" t="s">
        <v>1666</v>
      </c>
      <c r="I1918" s="76"/>
      <c r="J1918" s="76"/>
      <c r="K1918" s="58" t="str">
        <f>IFERROR(VLOOKUP(L1918,'Raw material list'!$A$3:$C$715,3,0),"")</f>
        <v>PRD1-4265</v>
      </c>
      <c r="L1918" s="59" t="s">
        <v>38</v>
      </c>
      <c r="M1918" s="80" t="s">
        <v>156</v>
      </c>
      <c r="N1918" s="40" t="str">
        <f>VLOOKUP(L1918,'Raw material list'!$A$3:$E$715,5,0)</f>
        <v xml:space="preserve">Gram </v>
      </c>
      <c r="O1918" s="80">
        <v>125</v>
      </c>
      <c r="P1918" s="299">
        <f t="shared" si="283"/>
        <v>147.05882352941177</v>
      </c>
      <c r="Q1918" s="105">
        <v>85</v>
      </c>
      <c r="R1918" s="80">
        <v>75</v>
      </c>
      <c r="S1918" s="80"/>
      <c r="T1918" s="105">
        <f t="shared" si="294"/>
        <v>1.6666666666666667</v>
      </c>
      <c r="U1918" s="105">
        <f t="shared" si="284"/>
        <v>1.9607843137254903</v>
      </c>
      <c r="V1918" s="104">
        <f>IFERROR(VLOOKUP(L1918,'Raw material list'!$A$2:$S$3102,6,0),0)</f>
        <v>3.529411764705882E-3</v>
      </c>
      <c r="W1918" s="104">
        <f t="shared" si="285"/>
        <v>6.920415224913495E-3</v>
      </c>
    </row>
    <row r="1919" spans="1:23" hidden="1" x14ac:dyDescent="0.55000000000000004">
      <c r="A1919" s="76" t="str">
        <f t="shared" si="295"/>
        <v>RCP-SMC-000139</v>
      </c>
      <c r="B1919" s="58" t="s">
        <v>35</v>
      </c>
      <c r="C1919" s="58" t="s">
        <v>10</v>
      </c>
      <c r="D1919" s="76" t="str">
        <f t="shared" si="296"/>
        <v xml:space="preserve">Baked Egg </v>
      </c>
      <c r="E1919" s="76" t="s">
        <v>1486</v>
      </c>
      <c r="F1919" s="76" t="s">
        <v>1666</v>
      </c>
      <c r="G1919" s="76" t="s">
        <v>1666</v>
      </c>
      <c r="H1919" s="76" t="s">
        <v>1666</v>
      </c>
      <c r="I1919" s="76"/>
      <c r="J1919" s="76"/>
      <c r="K1919" s="58" t="str">
        <f>IFERROR(VLOOKUP(L1919,'Raw material list'!$A$3:$C$715,3,0),"")</f>
        <v>DRS1-607</v>
      </c>
      <c r="L1919" s="59" t="s">
        <v>250</v>
      </c>
      <c r="M1919" s="80" t="s">
        <v>156</v>
      </c>
      <c r="N1919" s="40" t="str">
        <f>VLOOKUP(L1919,'Raw material list'!$A$3:$E$715,5,0)</f>
        <v xml:space="preserve">Gram </v>
      </c>
      <c r="O1919" s="80">
        <v>150</v>
      </c>
      <c r="P1919" s="299">
        <f t="shared" si="283"/>
        <v>150</v>
      </c>
      <c r="Q1919" s="303">
        <v>100</v>
      </c>
      <c r="R1919" s="80">
        <v>75</v>
      </c>
      <c r="S1919" s="80"/>
      <c r="T1919" s="105">
        <f t="shared" si="294"/>
        <v>2</v>
      </c>
      <c r="U1919" s="105">
        <f t="shared" si="284"/>
        <v>2</v>
      </c>
      <c r="V1919" s="104">
        <f>IFERROR(VLOOKUP(L1919,'Raw material list'!$A$2:$S$3102,6,0),0)</f>
        <v>5.8823529411764705E-3</v>
      </c>
      <c r="W1919" s="104">
        <f t="shared" si="285"/>
        <v>1.1764705882352941E-2</v>
      </c>
    </row>
    <row r="1920" spans="1:23" hidden="1" x14ac:dyDescent="0.55000000000000004">
      <c r="A1920" s="76" t="str">
        <f t="shared" si="295"/>
        <v>RCP-SMC-000139</v>
      </c>
      <c r="B1920" s="58" t="s">
        <v>35</v>
      </c>
      <c r="C1920" s="58" t="s">
        <v>10</v>
      </c>
      <c r="D1920" s="76" t="str">
        <f t="shared" si="296"/>
        <v xml:space="preserve">Baked Egg </v>
      </c>
      <c r="E1920" s="76" t="s">
        <v>1486</v>
      </c>
      <c r="F1920" s="76" t="s">
        <v>1666</v>
      </c>
      <c r="G1920" s="76" t="s">
        <v>1666</v>
      </c>
      <c r="H1920" s="76" t="s">
        <v>1666</v>
      </c>
      <c r="I1920" s="76"/>
      <c r="J1920" s="76"/>
      <c r="K1920" s="58" t="str">
        <f>IFERROR(VLOOKUP(L1920,'Raw material list'!$A$3:$C$715,3,0),"")</f>
        <v>PRD1-227</v>
      </c>
      <c r="L1920" s="59" t="s">
        <v>1038</v>
      </c>
      <c r="M1920" s="80" t="s">
        <v>156</v>
      </c>
      <c r="N1920" s="40" t="str">
        <f>VLOOKUP(L1920,'Raw material list'!$A$3:$E$715,5,0)</f>
        <v xml:space="preserve">Gram </v>
      </c>
      <c r="O1920" s="80">
        <v>50</v>
      </c>
      <c r="P1920" s="299">
        <f t="shared" si="283"/>
        <v>144.2307692307692</v>
      </c>
      <c r="Q1920" s="105">
        <v>34.666666666666671</v>
      </c>
      <c r="R1920" s="80">
        <v>75</v>
      </c>
      <c r="S1920" s="80"/>
      <c r="T1920" s="105">
        <f t="shared" si="294"/>
        <v>0.66666666666666663</v>
      </c>
      <c r="U1920" s="105">
        <f t="shared" si="284"/>
        <v>1.9230769230769227</v>
      </c>
      <c r="V1920" s="104">
        <f>IFERROR(VLOOKUP(L1920,'Raw material list'!$A$2:$S$3102,6,0),0)</f>
        <v>1.5850144092219021E-2</v>
      </c>
      <c r="W1920" s="104">
        <f t="shared" si="285"/>
        <v>3.0481046331190417E-2</v>
      </c>
    </row>
    <row r="1921" spans="1:23" hidden="1" x14ac:dyDescent="0.55000000000000004">
      <c r="A1921" s="76" t="str">
        <f t="shared" si="295"/>
        <v>RCP-SMC-000139</v>
      </c>
      <c r="B1921" s="58" t="s">
        <v>35</v>
      </c>
      <c r="C1921" s="58" t="s">
        <v>10</v>
      </c>
      <c r="D1921" s="76" t="str">
        <f t="shared" si="296"/>
        <v xml:space="preserve">Baked Egg </v>
      </c>
      <c r="E1921" s="76" t="s">
        <v>1486</v>
      </c>
      <c r="F1921" s="76" t="s">
        <v>1666</v>
      </c>
      <c r="G1921" s="76" t="s">
        <v>1666</v>
      </c>
      <c r="H1921" s="76" t="s">
        <v>1666</v>
      </c>
      <c r="I1921" s="76"/>
      <c r="J1921" s="76"/>
      <c r="K1921" s="58" t="str">
        <f>IFERROR(VLOOKUP(L1921,'Raw material list'!$A$3:$C$715,3,0),"")</f>
        <v>DRS3-1813</v>
      </c>
      <c r="L1921" s="59" t="s">
        <v>69</v>
      </c>
      <c r="M1921" s="80" t="s">
        <v>206</v>
      </c>
      <c r="N1921" s="40" t="str">
        <f>VLOOKUP(L1921,'Raw material list'!$A$3:$E$715,5,0)</f>
        <v>Ml</v>
      </c>
      <c r="O1921" s="80">
        <v>100</v>
      </c>
      <c r="P1921" s="299">
        <f t="shared" si="283"/>
        <v>100</v>
      </c>
      <c r="Q1921" s="303">
        <v>100</v>
      </c>
      <c r="R1921" s="80">
        <v>75</v>
      </c>
      <c r="S1921" s="80"/>
      <c r="T1921" s="105">
        <f t="shared" si="294"/>
        <v>1.3333333333333333</v>
      </c>
      <c r="U1921" s="105">
        <f t="shared" si="284"/>
        <v>1.3333333333333333</v>
      </c>
      <c r="V1921" s="104">
        <f>IFERROR(VLOOKUP(L1921,'Raw material list'!$A$2:$S$3102,6,0),0)</f>
        <v>8.0555555555555554E-3</v>
      </c>
      <c r="W1921" s="104">
        <f t="shared" si="285"/>
        <v>1.074074074074074E-2</v>
      </c>
    </row>
    <row r="1922" spans="1:23" hidden="1" x14ac:dyDescent="0.55000000000000004">
      <c r="A1922" s="76" t="s">
        <v>1726</v>
      </c>
      <c r="B1922" s="58" t="s">
        <v>35</v>
      </c>
      <c r="C1922" s="58" t="s">
        <v>10</v>
      </c>
      <c r="D1922" s="76" t="s">
        <v>1686</v>
      </c>
      <c r="E1922" s="76" t="s">
        <v>1486</v>
      </c>
      <c r="F1922" s="76" t="s">
        <v>1666</v>
      </c>
      <c r="G1922" s="76" t="s">
        <v>1666</v>
      </c>
      <c r="H1922" s="76" t="s">
        <v>1666</v>
      </c>
      <c r="I1922" s="76"/>
      <c r="J1922" s="76"/>
      <c r="K1922" s="58" t="str">
        <f>IFERROR(VLOOKUP(L1922,'Raw material list'!$A$3:$C$715,3,0),"")</f>
        <v>DRS5-40</v>
      </c>
      <c r="L1922" s="59" t="s">
        <v>58</v>
      </c>
      <c r="M1922" s="80" t="s">
        <v>156</v>
      </c>
      <c r="N1922" s="40" t="str">
        <f>VLOOKUP(L1922,'Raw material list'!$A$3:$E$715,5,0)</f>
        <v xml:space="preserve">Gram </v>
      </c>
      <c r="O1922" s="80">
        <v>25000</v>
      </c>
      <c r="P1922" s="299">
        <f t="shared" si="283"/>
        <v>25000</v>
      </c>
      <c r="Q1922" s="80">
        <v>100</v>
      </c>
      <c r="R1922" s="80">
        <v>600</v>
      </c>
      <c r="S1922" s="80"/>
      <c r="T1922" s="105">
        <f t="shared" si="294"/>
        <v>41.666666666666664</v>
      </c>
      <c r="U1922" s="105">
        <f t="shared" si="284"/>
        <v>41.666666666666664</v>
      </c>
      <c r="V1922" s="104">
        <f>IFERROR(VLOOKUP(L1922,'Raw material list'!$A$2:$S$3102,6,0),0)</f>
        <v>7.7777777777777773E-4</v>
      </c>
      <c r="W1922" s="104">
        <f t="shared" si="285"/>
        <v>3.2407407407407406E-2</v>
      </c>
    </row>
    <row r="1923" spans="1:23" hidden="1" x14ac:dyDescent="0.55000000000000004">
      <c r="A1923" s="76" t="str">
        <f t="shared" ref="A1923:A1937" si="297">A1922</f>
        <v>RCP-SMC-000140</v>
      </c>
      <c r="B1923" s="58" t="s">
        <v>35</v>
      </c>
      <c r="C1923" s="58" t="s">
        <v>10</v>
      </c>
      <c r="D1923" s="76" t="str">
        <f t="shared" ref="D1923:D1937" si="298">D1922</f>
        <v xml:space="preserve">Croissant Zaatar </v>
      </c>
      <c r="E1923" s="76" t="s">
        <v>1486</v>
      </c>
      <c r="F1923" s="76" t="s">
        <v>1666</v>
      </c>
      <c r="G1923" s="76" t="s">
        <v>1666</v>
      </c>
      <c r="H1923" s="76" t="s">
        <v>1666</v>
      </c>
      <c r="I1923" s="76"/>
      <c r="J1923" s="76"/>
      <c r="K1923" s="58" t="str">
        <f>IFERROR(VLOOKUP(L1923,'Raw material list'!$A$3:$C$715,3,0),"")</f>
        <v>DRS1-90</v>
      </c>
      <c r="L1923" s="59" t="s">
        <v>581</v>
      </c>
      <c r="M1923" s="80" t="s">
        <v>156</v>
      </c>
      <c r="N1923" s="40" t="str">
        <f>VLOOKUP(L1923,'Raw material list'!$A$3:$E$715,5,0)</f>
        <v xml:space="preserve">Gram </v>
      </c>
      <c r="O1923" s="80">
        <v>500</v>
      </c>
      <c r="P1923" s="299">
        <f t="shared" si="283"/>
        <v>500</v>
      </c>
      <c r="Q1923" s="80">
        <v>100</v>
      </c>
      <c r="R1923" s="80">
        <v>600</v>
      </c>
      <c r="S1923" s="80"/>
      <c r="T1923" s="105">
        <f t="shared" si="294"/>
        <v>0.83333333333333337</v>
      </c>
      <c r="U1923" s="105">
        <f t="shared" si="284"/>
        <v>0.83333333333333337</v>
      </c>
      <c r="V1923" s="104">
        <f>IFERROR(VLOOKUP(L1923,'Raw material list'!$A$2:$S$3102,6,0),0)</f>
        <v>1.4500000000000001E-2</v>
      </c>
      <c r="W1923" s="104">
        <f t="shared" si="285"/>
        <v>1.2083333333333335E-2</v>
      </c>
    </row>
    <row r="1924" spans="1:23" hidden="1" x14ac:dyDescent="0.55000000000000004">
      <c r="A1924" s="76" t="str">
        <f t="shared" si="297"/>
        <v>RCP-SMC-000140</v>
      </c>
      <c r="B1924" s="58" t="s">
        <v>35</v>
      </c>
      <c r="C1924" s="58" t="s">
        <v>10</v>
      </c>
      <c r="D1924" s="76" t="str">
        <f t="shared" si="298"/>
        <v xml:space="preserve">Croissant Zaatar </v>
      </c>
      <c r="E1924" s="76" t="s">
        <v>1486</v>
      </c>
      <c r="F1924" s="76" t="s">
        <v>1666</v>
      </c>
      <c r="G1924" s="76" t="s">
        <v>1666</v>
      </c>
      <c r="H1924" s="76" t="s">
        <v>1666</v>
      </c>
      <c r="I1924" s="76"/>
      <c r="J1924" s="76"/>
      <c r="K1924" s="58" t="str">
        <f>IFERROR(VLOOKUP(L1924,'Raw material list'!$A$3:$C$715,3,0),"")</f>
        <v>DRS1-3880</v>
      </c>
      <c r="L1924" s="59" t="s">
        <v>1433</v>
      </c>
      <c r="M1924" s="80" t="s">
        <v>156</v>
      </c>
      <c r="N1924" s="40" t="str">
        <f>VLOOKUP(L1924,'Raw material list'!$A$3:$E$715,5,0)</f>
        <v xml:space="preserve">Gram </v>
      </c>
      <c r="O1924" s="80">
        <v>500</v>
      </c>
      <c r="P1924" s="299">
        <f t="shared" si="283"/>
        <v>500</v>
      </c>
      <c r="Q1924" s="80">
        <v>100</v>
      </c>
      <c r="R1924" s="80">
        <v>600</v>
      </c>
      <c r="S1924" s="80"/>
      <c r="T1924" s="105">
        <f t="shared" si="294"/>
        <v>0.83333333333333337</v>
      </c>
      <c r="U1924" s="105">
        <f t="shared" si="284"/>
        <v>0.83333333333333337</v>
      </c>
      <c r="V1924" s="104">
        <f>IFERROR(VLOOKUP(L1924,'Raw material list'!$A$2:$S$3102,6,0),0)</f>
        <v>5.0000000000000001E-4</v>
      </c>
      <c r="W1924" s="104">
        <f t="shared" si="285"/>
        <v>4.1666666666666669E-4</v>
      </c>
    </row>
    <row r="1925" spans="1:23" hidden="1" x14ac:dyDescent="0.55000000000000004">
      <c r="A1925" s="76" t="str">
        <f t="shared" si="297"/>
        <v>RCP-SMC-000140</v>
      </c>
      <c r="B1925" s="58" t="s">
        <v>35</v>
      </c>
      <c r="C1925" s="58" t="s">
        <v>10</v>
      </c>
      <c r="D1925" s="76" t="str">
        <f t="shared" si="298"/>
        <v xml:space="preserve">Croissant Zaatar </v>
      </c>
      <c r="E1925" s="76" t="s">
        <v>1486</v>
      </c>
      <c r="F1925" s="76" t="s">
        <v>1666</v>
      </c>
      <c r="G1925" s="76" t="s">
        <v>1666</v>
      </c>
      <c r="H1925" s="76" t="s">
        <v>1666</v>
      </c>
      <c r="I1925" s="76"/>
      <c r="J1925" s="76"/>
      <c r="K1925" s="58" t="str">
        <f>IFERROR(VLOOKUP(L1925,'Raw material list'!$A$3:$C$715,3,0),"")</f>
        <v>DRS1-978</v>
      </c>
      <c r="L1925" s="59" t="s">
        <v>56</v>
      </c>
      <c r="M1925" s="80" t="s">
        <v>156</v>
      </c>
      <c r="N1925" s="40" t="str">
        <f>VLOOKUP(L1925,'Raw material list'!$A$3:$E$715,5,0)</f>
        <v xml:space="preserve">Gram </v>
      </c>
      <c r="O1925" s="80">
        <v>2500</v>
      </c>
      <c r="P1925" s="299">
        <f t="shared" si="283"/>
        <v>2500</v>
      </c>
      <c r="Q1925" s="80">
        <v>100</v>
      </c>
      <c r="R1925" s="80">
        <v>600</v>
      </c>
      <c r="S1925" s="80"/>
      <c r="T1925" s="105">
        <f t="shared" si="294"/>
        <v>4.166666666666667</v>
      </c>
      <c r="U1925" s="105">
        <f t="shared" si="284"/>
        <v>4.166666666666667</v>
      </c>
      <c r="V1925" s="104">
        <f>IFERROR(VLOOKUP(L1925,'Raw material list'!$A$2:$S$3102,6,0),0)</f>
        <v>2.3999999999999998E-3</v>
      </c>
      <c r="W1925" s="104">
        <f t="shared" si="285"/>
        <v>0.01</v>
      </c>
    </row>
    <row r="1926" spans="1:23" hidden="1" x14ac:dyDescent="0.55000000000000004">
      <c r="A1926" s="76" t="str">
        <f t="shared" si="297"/>
        <v>RCP-SMC-000140</v>
      </c>
      <c r="B1926" s="58" t="s">
        <v>35</v>
      </c>
      <c r="C1926" s="58" t="s">
        <v>10</v>
      </c>
      <c r="D1926" s="76" t="str">
        <f t="shared" si="298"/>
        <v xml:space="preserve">Croissant Zaatar </v>
      </c>
      <c r="E1926" s="76" t="s">
        <v>1486</v>
      </c>
      <c r="F1926" s="76" t="s">
        <v>1666</v>
      </c>
      <c r="G1926" s="76" t="s">
        <v>1666</v>
      </c>
      <c r="H1926" s="76" t="s">
        <v>1666</v>
      </c>
      <c r="I1926" s="76"/>
      <c r="J1926" s="76"/>
      <c r="K1926" s="58" t="str">
        <f>IFERROR(VLOOKUP(L1926,'Raw material list'!$A$3:$C$715,3,0),"")</f>
        <v>DRS5-1325</v>
      </c>
      <c r="L1926" s="59" t="s">
        <v>625</v>
      </c>
      <c r="M1926" s="80" t="s">
        <v>156</v>
      </c>
      <c r="N1926" s="40" t="str">
        <f>VLOOKUP(L1926,'Raw material list'!$A$3:$E$715,5,0)</f>
        <v xml:space="preserve">Gram </v>
      </c>
      <c r="O1926" s="80">
        <v>100</v>
      </c>
      <c r="P1926" s="299">
        <f t="shared" ref="P1926:P1989" si="299">O1926/Q1926*100</f>
        <v>100</v>
      </c>
      <c r="Q1926" s="80">
        <v>100</v>
      </c>
      <c r="R1926" s="80">
        <v>600</v>
      </c>
      <c r="S1926" s="80"/>
      <c r="T1926" s="105">
        <f t="shared" si="294"/>
        <v>0.16666666666666666</v>
      </c>
      <c r="U1926" s="105">
        <f t="shared" ref="U1926:U1989" si="300">IFERROR(P1926/R1926,0)</f>
        <v>0.16666666666666666</v>
      </c>
      <c r="V1926" s="104">
        <f>IFERROR(VLOOKUP(L1926,'Raw material list'!$A$2:$S$3102,6,0),0)</f>
        <v>1.17E-2</v>
      </c>
      <c r="W1926" s="104">
        <f t="shared" ref="W1926:W1989" si="301">IFERROR(V1926*U1926,0)</f>
        <v>1.9499999999999999E-3</v>
      </c>
    </row>
    <row r="1927" spans="1:23" hidden="1" x14ac:dyDescent="0.55000000000000004">
      <c r="A1927" s="76" t="str">
        <f t="shared" si="297"/>
        <v>RCP-SMC-000140</v>
      </c>
      <c r="B1927" s="58" t="s">
        <v>35</v>
      </c>
      <c r="C1927" s="58" t="s">
        <v>10</v>
      </c>
      <c r="D1927" s="76" t="str">
        <f t="shared" si="298"/>
        <v xml:space="preserve">Croissant Zaatar </v>
      </c>
      <c r="E1927" s="76" t="s">
        <v>1486</v>
      </c>
      <c r="F1927" s="76" t="s">
        <v>1666</v>
      </c>
      <c r="G1927" s="76" t="s">
        <v>1666</v>
      </c>
      <c r="H1927" s="76" t="s">
        <v>1666</v>
      </c>
      <c r="I1927" s="76"/>
      <c r="J1927" s="76"/>
      <c r="K1927" s="58" t="str">
        <f>IFERROR(VLOOKUP(L1927,'Raw material list'!$A$3:$C$715,3,0),"")</f>
        <v>DRY2-149</v>
      </c>
      <c r="L1927" s="59" t="s">
        <v>408</v>
      </c>
      <c r="M1927" s="80" t="s">
        <v>156</v>
      </c>
      <c r="N1927" s="40" t="str">
        <f>VLOOKUP(L1927,'Raw material list'!$A$3:$E$715,5,0)</f>
        <v xml:space="preserve">Gram </v>
      </c>
      <c r="O1927" s="80">
        <v>18000</v>
      </c>
      <c r="P1927" s="299">
        <f t="shared" si="299"/>
        <v>18000</v>
      </c>
      <c r="Q1927" s="80">
        <v>100</v>
      </c>
      <c r="R1927" s="80">
        <v>600</v>
      </c>
      <c r="S1927" s="80"/>
      <c r="T1927" s="105">
        <f t="shared" si="294"/>
        <v>30</v>
      </c>
      <c r="U1927" s="105">
        <f t="shared" si="300"/>
        <v>30</v>
      </c>
      <c r="V1927" s="104">
        <f>IFERROR(VLOOKUP(L1927,'Raw material list'!$A$2:$S$3102,6,0),0)</f>
        <v>1.0999999999999999E-2</v>
      </c>
      <c r="W1927" s="104">
        <f t="shared" si="301"/>
        <v>0.32999999999999996</v>
      </c>
    </row>
    <row r="1928" spans="1:23" hidden="1" x14ac:dyDescent="0.55000000000000004">
      <c r="A1928" s="76" t="str">
        <f t="shared" si="297"/>
        <v>RCP-SMC-000140</v>
      </c>
      <c r="B1928" s="58" t="s">
        <v>35</v>
      </c>
      <c r="C1928" s="58" t="s">
        <v>10</v>
      </c>
      <c r="D1928" s="76" t="str">
        <f t="shared" si="298"/>
        <v xml:space="preserve">Croissant Zaatar </v>
      </c>
      <c r="E1928" s="76" t="s">
        <v>1486</v>
      </c>
      <c r="F1928" s="76" t="s">
        <v>1666</v>
      </c>
      <c r="G1928" s="76" t="s">
        <v>1666</v>
      </c>
      <c r="H1928" s="76" t="s">
        <v>1666</v>
      </c>
      <c r="I1928" s="76"/>
      <c r="J1928" s="76"/>
      <c r="K1928" s="58" t="str">
        <f>IFERROR(VLOOKUP(L1928,'Raw material list'!$A$3:$C$715,3,0),"")</f>
        <v>DRY2-1388</v>
      </c>
      <c r="L1928" s="59" t="s">
        <v>126</v>
      </c>
      <c r="M1928" s="80" t="s">
        <v>206</v>
      </c>
      <c r="N1928" s="40" t="str">
        <f>VLOOKUP(L1928,'Raw material list'!$A$3:$E$715,5,0)</f>
        <v>Ml</v>
      </c>
      <c r="O1928" s="80">
        <v>5000</v>
      </c>
      <c r="P1928" s="299">
        <f t="shared" si="299"/>
        <v>5000</v>
      </c>
      <c r="Q1928" s="80">
        <v>100</v>
      </c>
      <c r="R1928" s="80">
        <v>600</v>
      </c>
      <c r="S1928" s="80"/>
      <c r="T1928" s="105">
        <f t="shared" si="294"/>
        <v>8.3333333333333339</v>
      </c>
      <c r="U1928" s="105">
        <f t="shared" si="300"/>
        <v>8.3333333333333339</v>
      </c>
      <c r="V1928" s="104">
        <f>IFERROR(VLOOKUP(L1928,'Raw material list'!$A$2:$S$3102,6,0),0)</f>
        <v>4.2500000000000003E-3</v>
      </c>
      <c r="W1928" s="104">
        <f t="shared" si="301"/>
        <v>3.5416666666666673E-2</v>
      </c>
    </row>
    <row r="1929" spans="1:23" hidden="1" x14ac:dyDescent="0.55000000000000004">
      <c r="A1929" s="76" t="str">
        <f t="shared" si="297"/>
        <v>RCP-SMC-000140</v>
      </c>
      <c r="B1929" s="58" t="s">
        <v>35</v>
      </c>
      <c r="C1929" s="58" t="s">
        <v>10</v>
      </c>
      <c r="D1929" s="76" t="str">
        <f t="shared" si="298"/>
        <v xml:space="preserve">Croissant Zaatar </v>
      </c>
      <c r="E1929" s="76" t="s">
        <v>1486</v>
      </c>
      <c r="F1929" s="76" t="s">
        <v>1666</v>
      </c>
      <c r="G1929" s="76" t="s">
        <v>1666</v>
      </c>
      <c r="H1929" s="76" t="s">
        <v>1666</v>
      </c>
      <c r="I1929" s="76"/>
      <c r="J1929" s="76"/>
      <c r="K1929" s="58" t="str">
        <f>IFERROR(VLOOKUP(L1929,'Raw material list'!$A$3:$C$715,3,0),"")</f>
        <v>TAP-00001</v>
      </c>
      <c r="L1929" s="59" t="s">
        <v>1405</v>
      </c>
      <c r="M1929" s="80" t="s">
        <v>206</v>
      </c>
      <c r="N1929" s="40" t="str">
        <f>VLOOKUP(L1929,'Raw material list'!$A$3:$E$715,5,0)</f>
        <v>Ml</v>
      </c>
      <c r="O1929" s="80">
        <v>7000</v>
      </c>
      <c r="P1929" s="299">
        <f t="shared" si="299"/>
        <v>7000</v>
      </c>
      <c r="Q1929" s="80">
        <v>100</v>
      </c>
      <c r="R1929" s="80">
        <v>600</v>
      </c>
      <c r="S1929" s="80"/>
      <c r="T1929" s="105">
        <f t="shared" si="294"/>
        <v>11.666666666666666</v>
      </c>
      <c r="U1929" s="105">
        <f t="shared" si="300"/>
        <v>11.666666666666666</v>
      </c>
      <c r="V1929" s="104">
        <f>IFERROR(VLOOKUP(L1929,'Raw material list'!$A$2:$S$3102,6,0),0)</f>
        <v>8.0000000000000007E-5</v>
      </c>
      <c r="W1929" s="104">
        <f t="shared" si="301"/>
        <v>9.3333333333333332E-4</v>
      </c>
    </row>
    <row r="1930" spans="1:23" hidden="1" x14ac:dyDescent="0.55000000000000004">
      <c r="A1930" s="76" t="str">
        <f t="shared" si="297"/>
        <v>RCP-SMC-000140</v>
      </c>
      <c r="B1930" s="58" t="s">
        <v>35</v>
      </c>
      <c r="C1930" s="58" t="s">
        <v>10</v>
      </c>
      <c r="D1930" s="76" t="str">
        <f t="shared" si="298"/>
        <v xml:space="preserve">Croissant Zaatar </v>
      </c>
      <c r="E1930" s="76" t="s">
        <v>1486</v>
      </c>
      <c r="F1930" s="76" t="s">
        <v>1666</v>
      </c>
      <c r="G1930" s="76" t="s">
        <v>1666</v>
      </c>
      <c r="H1930" s="76" t="s">
        <v>1666</v>
      </c>
      <c r="I1930" s="76"/>
      <c r="J1930" s="76"/>
      <c r="K1930" s="58" t="str">
        <f>IFERROR(VLOOKUP(L1930,'Raw material list'!$A$3:$C$715,3,0),"")</f>
        <v>PLT1-37</v>
      </c>
      <c r="L1930" s="59" t="s">
        <v>861</v>
      </c>
      <c r="M1930" s="80" t="s">
        <v>48</v>
      </c>
      <c r="N1930" s="40" t="str">
        <f>VLOOKUP(L1930,'Raw material list'!$A$3:$E$715,5,0)</f>
        <v>Each</v>
      </c>
      <c r="O1930" s="80">
        <v>20</v>
      </c>
      <c r="P1930" s="299">
        <f t="shared" si="299"/>
        <v>20</v>
      </c>
      <c r="Q1930" s="80">
        <v>100</v>
      </c>
      <c r="R1930" s="80">
        <v>600</v>
      </c>
      <c r="S1930" s="80"/>
      <c r="T1930" s="105">
        <f t="shared" si="294"/>
        <v>3.3333333333333333E-2</v>
      </c>
      <c r="U1930" s="105">
        <f t="shared" si="300"/>
        <v>3.3333333333333333E-2</v>
      </c>
      <c r="V1930" s="104">
        <f>IFERROR(VLOOKUP(L1930,'Raw material list'!$A$2:$S$3102,6,0),0)</f>
        <v>0.48299999999999998</v>
      </c>
      <c r="W1930" s="104">
        <f t="shared" si="301"/>
        <v>1.61E-2</v>
      </c>
    </row>
    <row r="1931" spans="1:23" hidden="1" x14ac:dyDescent="0.55000000000000004">
      <c r="A1931" s="76" t="str">
        <f t="shared" si="297"/>
        <v>RCP-SMC-000140</v>
      </c>
      <c r="B1931" s="58" t="s">
        <v>35</v>
      </c>
      <c r="C1931" s="58" t="s">
        <v>10</v>
      </c>
      <c r="D1931" s="76" t="str">
        <f t="shared" si="298"/>
        <v xml:space="preserve">Croissant Zaatar </v>
      </c>
      <c r="E1931" s="76" t="s">
        <v>1486</v>
      </c>
      <c r="F1931" s="76" t="s">
        <v>1666</v>
      </c>
      <c r="G1931" s="76" t="s">
        <v>1666</v>
      </c>
      <c r="H1931" s="76" t="s">
        <v>1666</v>
      </c>
      <c r="I1931" s="76"/>
      <c r="J1931" s="76"/>
      <c r="K1931" s="58" t="str">
        <f>IFERROR(VLOOKUP(L1931,'Raw material list'!$A$3:$C$715,3,0),"")</f>
        <v>DRY2-1388</v>
      </c>
      <c r="L1931" s="59" t="s">
        <v>126</v>
      </c>
      <c r="M1931" s="80" t="s">
        <v>206</v>
      </c>
      <c r="N1931" s="40" t="str">
        <f>VLOOKUP(L1931,'Raw material list'!$A$3:$E$715,5,0)</f>
        <v>Ml</v>
      </c>
      <c r="O1931" s="80">
        <v>1200</v>
      </c>
      <c r="P1931" s="299">
        <f t="shared" si="299"/>
        <v>1200</v>
      </c>
      <c r="Q1931" s="80">
        <v>100</v>
      </c>
      <c r="R1931" s="80">
        <v>600</v>
      </c>
      <c r="S1931" s="80"/>
      <c r="T1931" s="105">
        <f t="shared" si="294"/>
        <v>2</v>
      </c>
      <c r="U1931" s="105">
        <f t="shared" si="300"/>
        <v>2</v>
      </c>
      <c r="V1931" s="104">
        <f>IFERROR(VLOOKUP(L1931,'Raw material list'!$A$2:$S$3102,6,0),0)</f>
        <v>4.2500000000000003E-3</v>
      </c>
      <c r="W1931" s="104">
        <f t="shared" si="301"/>
        <v>8.5000000000000006E-3</v>
      </c>
    </row>
    <row r="1932" spans="1:23" hidden="1" x14ac:dyDescent="0.55000000000000004">
      <c r="A1932" s="76" t="str">
        <f t="shared" si="297"/>
        <v>RCP-SMC-000140</v>
      </c>
      <c r="B1932" s="58" t="s">
        <v>35</v>
      </c>
      <c r="C1932" s="58" t="s">
        <v>10</v>
      </c>
      <c r="D1932" s="76" t="str">
        <f t="shared" si="298"/>
        <v xml:space="preserve">Croissant Zaatar </v>
      </c>
      <c r="E1932" s="76" t="s">
        <v>1486</v>
      </c>
      <c r="F1932" s="76" t="s">
        <v>1666</v>
      </c>
      <c r="G1932" s="76" t="s">
        <v>1666</v>
      </c>
      <c r="H1932" s="76" t="s">
        <v>1666</v>
      </c>
      <c r="I1932" s="76"/>
      <c r="J1932" s="76"/>
      <c r="K1932" s="58" t="str">
        <f>IFERROR(VLOOKUP(L1932,'Raw material list'!$A$3:$C$715,3,0),"")</f>
        <v>DRY2-1858</v>
      </c>
      <c r="L1932" s="59" t="s">
        <v>60</v>
      </c>
      <c r="M1932" s="80" t="s">
        <v>206</v>
      </c>
      <c r="N1932" s="40" t="str">
        <f>VLOOKUP(L1932,'Raw material list'!$A$3:$E$715,5,0)</f>
        <v>Ml</v>
      </c>
      <c r="O1932" s="80">
        <v>600</v>
      </c>
      <c r="P1932" s="299">
        <f t="shared" si="299"/>
        <v>600</v>
      </c>
      <c r="Q1932" s="80">
        <v>100</v>
      </c>
      <c r="R1932" s="80">
        <v>600</v>
      </c>
      <c r="S1932" s="80"/>
      <c r="T1932" s="105">
        <f t="shared" si="294"/>
        <v>1</v>
      </c>
      <c r="U1932" s="105">
        <f t="shared" si="300"/>
        <v>1</v>
      </c>
      <c r="V1932" s="104">
        <f>IFERROR(VLOOKUP(L1932,'Raw material list'!$A$2:$S$3102,6,0),0)</f>
        <v>9.8800000000000016E-3</v>
      </c>
      <c r="W1932" s="104">
        <f t="shared" si="301"/>
        <v>9.8800000000000016E-3</v>
      </c>
    </row>
    <row r="1933" spans="1:23" hidden="1" x14ac:dyDescent="0.55000000000000004">
      <c r="A1933" s="76" t="str">
        <f t="shared" si="297"/>
        <v>RCP-SMC-000140</v>
      </c>
      <c r="B1933" s="58" t="s">
        <v>35</v>
      </c>
      <c r="C1933" s="58" t="s">
        <v>10</v>
      </c>
      <c r="D1933" s="76" t="str">
        <f t="shared" si="298"/>
        <v xml:space="preserve">Croissant Zaatar </v>
      </c>
      <c r="E1933" s="76" t="s">
        <v>1486</v>
      </c>
      <c r="F1933" s="76" t="s">
        <v>1666</v>
      </c>
      <c r="G1933" s="76" t="s">
        <v>1666</v>
      </c>
      <c r="H1933" s="76" t="s">
        <v>1666</v>
      </c>
      <c r="I1933" s="76"/>
      <c r="J1933" s="76"/>
      <c r="K1933" s="58" t="str">
        <f>IFERROR(VLOOKUP(L1933,'Raw material list'!$A$3:$C$715,3,0),"")</f>
        <v>DRS1-978</v>
      </c>
      <c r="L1933" s="59" t="s">
        <v>56</v>
      </c>
      <c r="M1933" s="80" t="s">
        <v>156</v>
      </c>
      <c r="N1933" s="40" t="str">
        <f>VLOOKUP(L1933,'Raw material list'!$A$3:$E$715,5,0)</f>
        <v xml:space="preserve">Gram </v>
      </c>
      <c r="O1933" s="80">
        <v>250</v>
      </c>
      <c r="P1933" s="299">
        <f t="shared" si="299"/>
        <v>250</v>
      </c>
      <c r="Q1933" s="80">
        <v>100</v>
      </c>
      <c r="R1933" s="80">
        <v>600</v>
      </c>
      <c r="S1933" s="80"/>
      <c r="T1933" s="105">
        <f t="shared" si="294"/>
        <v>0.41666666666666669</v>
      </c>
      <c r="U1933" s="105">
        <f t="shared" si="300"/>
        <v>0.41666666666666669</v>
      </c>
      <c r="V1933" s="104">
        <f>IFERROR(VLOOKUP(L1933,'Raw material list'!$A$2:$S$3102,6,0),0)</f>
        <v>2.3999999999999998E-3</v>
      </c>
      <c r="W1933" s="104">
        <f t="shared" si="301"/>
        <v>1E-3</v>
      </c>
    </row>
    <row r="1934" spans="1:23" hidden="1" x14ac:dyDescent="0.55000000000000004">
      <c r="A1934" s="76" t="str">
        <f t="shared" si="297"/>
        <v>RCP-SMC-000140</v>
      </c>
      <c r="B1934" s="58" t="s">
        <v>35</v>
      </c>
      <c r="C1934" s="58" t="s">
        <v>10</v>
      </c>
      <c r="D1934" s="76" t="str">
        <f t="shared" si="298"/>
        <v xml:space="preserve">Croissant Zaatar </v>
      </c>
      <c r="E1934" s="76" t="s">
        <v>1486</v>
      </c>
      <c r="F1934" s="76" t="s">
        <v>1666</v>
      </c>
      <c r="G1934" s="76" t="s">
        <v>1666</v>
      </c>
      <c r="H1934" s="76" t="s">
        <v>1666</v>
      </c>
      <c r="I1934" s="76"/>
      <c r="J1934" s="76"/>
      <c r="K1934" s="58" t="str">
        <f>IFERROR(VLOOKUP(L1934,'Raw material list'!$A$3:$C$715,3,0),"")</f>
        <v>DRS1-1823</v>
      </c>
      <c r="L1934" s="59" t="s">
        <v>619</v>
      </c>
      <c r="M1934" s="80" t="s">
        <v>156</v>
      </c>
      <c r="N1934" s="40" t="str">
        <f>VLOOKUP(L1934,'Raw material list'!$A$3:$E$715,5,0)</f>
        <v xml:space="preserve">Gram </v>
      </c>
      <c r="O1934" s="80">
        <v>20</v>
      </c>
      <c r="P1934" s="299">
        <f t="shared" si="299"/>
        <v>20</v>
      </c>
      <c r="Q1934" s="80">
        <v>100</v>
      </c>
      <c r="R1934" s="80">
        <v>600</v>
      </c>
      <c r="S1934" s="80"/>
      <c r="T1934" s="105">
        <f t="shared" si="294"/>
        <v>3.3333333333333333E-2</v>
      </c>
      <c r="U1934" s="105">
        <f t="shared" si="300"/>
        <v>3.3333333333333333E-2</v>
      </c>
      <c r="V1934" s="104">
        <f>IFERROR(VLOOKUP(L1934,'Raw material list'!$A$2:$S$3102,6,0),0)</f>
        <v>4.9000000000000002E-2</v>
      </c>
      <c r="W1934" s="104">
        <f t="shared" si="301"/>
        <v>1.6333333333333334E-3</v>
      </c>
    </row>
    <row r="1935" spans="1:23" hidden="1" x14ac:dyDescent="0.55000000000000004">
      <c r="A1935" s="76" t="str">
        <f t="shared" si="297"/>
        <v>RCP-SMC-000140</v>
      </c>
      <c r="B1935" s="58" t="s">
        <v>35</v>
      </c>
      <c r="C1935" s="58" t="s">
        <v>10</v>
      </c>
      <c r="D1935" s="76" t="str">
        <f t="shared" si="298"/>
        <v xml:space="preserve">Croissant Zaatar </v>
      </c>
      <c r="E1935" s="76" t="s">
        <v>1486</v>
      </c>
      <c r="F1935" s="76" t="s">
        <v>1666</v>
      </c>
      <c r="G1935" s="76" t="s">
        <v>1666</v>
      </c>
      <c r="H1935" s="76" t="s">
        <v>1666</v>
      </c>
      <c r="I1935" s="76"/>
      <c r="J1935" s="76"/>
      <c r="K1935" s="58" t="str">
        <f>IFERROR(VLOOKUP(L1935,'Raw material list'!$A$3:$C$715,3,0),"")</f>
        <v>DRS6-311</v>
      </c>
      <c r="L1935" s="59" t="s">
        <v>760</v>
      </c>
      <c r="M1935" s="80" t="s">
        <v>156</v>
      </c>
      <c r="N1935" s="40" t="str">
        <f>VLOOKUP(L1935,'Raw material list'!$A$3:$E$715,5,0)</f>
        <v xml:space="preserve">Gram </v>
      </c>
      <c r="O1935" s="80">
        <v>3000</v>
      </c>
      <c r="P1935" s="299">
        <f t="shared" si="299"/>
        <v>3000</v>
      </c>
      <c r="Q1935" s="80">
        <v>100</v>
      </c>
      <c r="R1935" s="80">
        <v>600</v>
      </c>
      <c r="S1935" s="80"/>
      <c r="T1935" s="105">
        <f t="shared" si="294"/>
        <v>5</v>
      </c>
      <c r="U1935" s="105">
        <f t="shared" si="300"/>
        <v>5</v>
      </c>
      <c r="V1935" s="104">
        <f>IFERROR(VLOOKUP(L1935,'Raw material list'!$A$2:$S$3102,6,0),0)</f>
        <v>0.03</v>
      </c>
      <c r="W1935" s="104">
        <f t="shared" si="301"/>
        <v>0.15</v>
      </c>
    </row>
    <row r="1936" spans="1:23" hidden="1" x14ac:dyDescent="0.55000000000000004">
      <c r="A1936" s="76" t="str">
        <f t="shared" si="297"/>
        <v>RCP-SMC-000140</v>
      </c>
      <c r="B1936" s="58" t="s">
        <v>35</v>
      </c>
      <c r="C1936" s="58" t="s">
        <v>10</v>
      </c>
      <c r="D1936" s="76" t="str">
        <f t="shared" si="298"/>
        <v xml:space="preserve">Croissant Zaatar </v>
      </c>
      <c r="E1936" s="76" t="s">
        <v>1486</v>
      </c>
      <c r="F1936" s="76" t="s">
        <v>1666</v>
      </c>
      <c r="G1936" s="76" t="s">
        <v>1666</v>
      </c>
      <c r="H1936" s="76" t="s">
        <v>1666</v>
      </c>
      <c r="I1936" s="76"/>
      <c r="J1936" s="76"/>
      <c r="K1936" s="58" t="str">
        <f>IFERROR(VLOOKUP(L1936,'Raw material list'!$A$3:$C$715,3,0),"")</f>
        <v>DRS6-1269</v>
      </c>
      <c r="L1936" s="59" t="s">
        <v>705</v>
      </c>
      <c r="M1936" s="80" t="s">
        <v>156</v>
      </c>
      <c r="N1936" s="40" t="str">
        <f>VLOOKUP(L1936,'Raw material list'!$A$3:$E$715,5,0)</f>
        <v xml:space="preserve">Gram </v>
      </c>
      <c r="O1936" s="80">
        <v>1200</v>
      </c>
      <c r="P1936" s="299">
        <f t="shared" si="299"/>
        <v>1200</v>
      </c>
      <c r="Q1936" s="80">
        <v>100</v>
      </c>
      <c r="R1936" s="80">
        <v>600</v>
      </c>
      <c r="S1936" s="80"/>
      <c r="T1936" s="105">
        <f t="shared" si="294"/>
        <v>2</v>
      </c>
      <c r="U1936" s="105">
        <f t="shared" si="300"/>
        <v>2</v>
      </c>
      <c r="V1936" s="104">
        <f>IFERROR(VLOOKUP(L1936,'Raw material list'!$A$2:$S$3102,6,0),0)</f>
        <v>0.03</v>
      </c>
      <c r="W1936" s="104">
        <f t="shared" si="301"/>
        <v>0.06</v>
      </c>
    </row>
    <row r="1937" spans="1:23" hidden="1" x14ac:dyDescent="0.55000000000000004">
      <c r="A1937" s="76" t="str">
        <f t="shared" si="297"/>
        <v>RCP-SMC-000140</v>
      </c>
      <c r="B1937" s="58" t="s">
        <v>35</v>
      </c>
      <c r="C1937" s="58" t="s">
        <v>10</v>
      </c>
      <c r="D1937" s="76" t="str">
        <f t="shared" si="298"/>
        <v xml:space="preserve">Croissant Zaatar </v>
      </c>
      <c r="E1937" s="76" t="s">
        <v>1486</v>
      </c>
      <c r="F1937" s="76" t="s">
        <v>1666</v>
      </c>
      <c r="G1937" s="76" t="s">
        <v>1666</v>
      </c>
      <c r="H1937" s="76" t="s">
        <v>1666</v>
      </c>
      <c r="I1937" s="76"/>
      <c r="J1937" s="76"/>
      <c r="K1937" s="58" t="str">
        <f>IFERROR(VLOOKUP(L1937,'Raw material list'!$A$3:$C$715,3,0),"")</f>
        <v>DRY2-1008</v>
      </c>
      <c r="L1937" s="59" t="s">
        <v>57</v>
      </c>
      <c r="M1937" s="80" t="s">
        <v>156</v>
      </c>
      <c r="N1937" s="40" t="str">
        <f>VLOOKUP(L1937,'Raw material list'!$A$3:$E$715,5,0)</f>
        <v xml:space="preserve">Gram </v>
      </c>
      <c r="O1937" s="80">
        <v>500</v>
      </c>
      <c r="P1937" s="299">
        <f t="shared" si="299"/>
        <v>500</v>
      </c>
      <c r="Q1937" s="80">
        <v>100</v>
      </c>
      <c r="R1937" s="80">
        <v>600</v>
      </c>
      <c r="S1937" s="80"/>
      <c r="T1937" s="105">
        <f t="shared" si="294"/>
        <v>0.83333333333333337</v>
      </c>
      <c r="U1937" s="105">
        <f t="shared" si="300"/>
        <v>0.83333333333333337</v>
      </c>
      <c r="V1937" s="104">
        <f>IFERROR(VLOOKUP(L1937,'Raw material list'!$A$2:$S$3102,6,0),0)</f>
        <v>0.03</v>
      </c>
      <c r="W1937" s="104">
        <f t="shared" si="301"/>
        <v>2.5000000000000001E-2</v>
      </c>
    </row>
    <row r="1938" spans="1:23" hidden="1" x14ac:dyDescent="0.55000000000000004">
      <c r="A1938" s="76" t="s">
        <v>1727</v>
      </c>
      <c r="B1938" s="58" t="s">
        <v>35</v>
      </c>
      <c r="C1938" s="58" t="s">
        <v>10</v>
      </c>
      <c r="D1938" s="76" t="s">
        <v>1687</v>
      </c>
      <c r="E1938" s="76" t="s">
        <v>1507</v>
      </c>
      <c r="F1938" s="76" t="s">
        <v>1666</v>
      </c>
      <c r="G1938" s="76" t="s">
        <v>1666</v>
      </c>
      <c r="H1938" s="76" t="s">
        <v>1666</v>
      </c>
      <c r="I1938" s="76"/>
      <c r="J1938" s="76"/>
      <c r="K1938" s="58" t="str">
        <f>IFERROR(VLOOKUP(L1938,'Raw material list'!$A$3:$C$715,3,0),"")</f>
        <v>DRS5-980</v>
      </c>
      <c r="L1938" s="59" t="s">
        <v>446</v>
      </c>
      <c r="M1938" s="80" t="s">
        <v>156</v>
      </c>
      <c r="N1938" s="40" t="str">
        <f>VLOOKUP(L1938,'Raw material list'!$A$3:$E$715,5,0)</f>
        <v xml:space="preserve">Gram </v>
      </c>
      <c r="O1938" s="80">
        <v>1000</v>
      </c>
      <c r="P1938" s="299">
        <f t="shared" si="299"/>
        <v>1000</v>
      </c>
      <c r="Q1938" s="80">
        <v>100</v>
      </c>
      <c r="R1938" s="80">
        <v>45</v>
      </c>
      <c r="S1938" s="80"/>
      <c r="T1938" s="105">
        <f t="shared" si="294"/>
        <v>22.222222222222221</v>
      </c>
      <c r="U1938" s="105">
        <f t="shared" si="300"/>
        <v>22.222222222222221</v>
      </c>
      <c r="V1938" s="104">
        <f>IFERROR(VLOOKUP(L1938,'Raw material list'!$A$2:$S$3102,6,0),0)</f>
        <v>1E-3</v>
      </c>
      <c r="W1938" s="104">
        <f t="shared" si="301"/>
        <v>2.2222222222222223E-2</v>
      </c>
    </row>
    <row r="1939" spans="1:23" hidden="1" x14ac:dyDescent="0.55000000000000004">
      <c r="A1939" s="76" t="str">
        <f t="shared" ref="A1939:A1949" si="302">A1938</f>
        <v>RCP-SMC-000141</v>
      </c>
      <c r="B1939" s="58" t="s">
        <v>35</v>
      </c>
      <c r="C1939" s="58" t="s">
        <v>10</v>
      </c>
      <c r="D1939" s="76" t="str">
        <f t="shared" ref="D1939:D1949" si="303">D1938</f>
        <v>Pizza Margeritta</v>
      </c>
      <c r="E1939" s="76" t="s">
        <v>1507</v>
      </c>
      <c r="F1939" s="76" t="s">
        <v>1666</v>
      </c>
      <c r="G1939" s="76" t="s">
        <v>1666</v>
      </c>
      <c r="H1939" s="76" t="s">
        <v>1666</v>
      </c>
      <c r="I1939" s="76"/>
      <c r="J1939" s="76"/>
      <c r="K1939" s="58" t="str">
        <f>IFERROR(VLOOKUP(L1939,'Raw material list'!$A$3:$C$715,3,0),"")</f>
        <v>DRS1-90</v>
      </c>
      <c r="L1939" s="59" t="s">
        <v>581</v>
      </c>
      <c r="M1939" s="80" t="s">
        <v>156</v>
      </c>
      <c r="N1939" s="40" t="str">
        <f>VLOOKUP(L1939,'Raw material list'!$A$3:$E$715,5,0)</f>
        <v xml:space="preserve">Gram </v>
      </c>
      <c r="O1939" s="80">
        <v>10</v>
      </c>
      <c r="P1939" s="299">
        <f t="shared" si="299"/>
        <v>10</v>
      </c>
      <c r="Q1939" s="80">
        <v>100</v>
      </c>
      <c r="R1939" s="80">
        <v>45</v>
      </c>
      <c r="S1939" s="80"/>
      <c r="T1939" s="105">
        <f t="shared" si="294"/>
        <v>0.22222222222222221</v>
      </c>
      <c r="U1939" s="105">
        <f t="shared" si="300"/>
        <v>0.22222222222222221</v>
      </c>
      <c r="V1939" s="104">
        <f>IFERROR(VLOOKUP(L1939,'Raw material list'!$A$2:$S$3102,6,0),0)</f>
        <v>1.4500000000000001E-2</v>
      </c>
      <c r="W1939" s="104">
        <f t="shared" si="301"/>
        <v>3.2222222222222222E-3</v>
      </c>
    </row>
    <row r="1940" spans="1:23" hidden="1" x14ac:dyDescent="0.55000000000000004">
      <c r="A1940" s="76" t="str">
        <f t="shared" si="302"/>
        <v>RCP-SMC-000141</v>
      </c>
      <c r="B1940" s="58" t="s">
        <v>35</v>
      </c>
      <c r="C1940" s="58" t="s">
        <v>10</v>
      </c>
      <c r="D1940" s="76" t="str">
        <f t="shared" si="303"/>
        <v>Pizza Margeritta</v>
      </c>
      <c r="E1940" s="76" t="s">
        <v>1507</v>
      </c>
      <c r="F1940" s="76" t="s">
        <v>1666</v>
      </c>
      <c r="G1940" s="76" t="s">
        <v>1666</v>
      </c>
      <c r="H1940" s="76" t="s">
        <v>1666</v>
      </c>
      <c r="I1940" s="76"/>
      <c r="J1940" s="76"/>
      <c r="K1940" s="58" t="str">
        <f>IFERROR(VLOOKUP(L1940,'Raw material list'!$A$3:$C$715,3,0),"")</f>
        <v>DRS1-3880</v>
      </c>
      <c r="L1940" s="59" t="s">
        <v>1433</v>
      </c>
      <c r="M1940" s="80" t="s">
        <v>156</v>
      </c>
      <c r="N1940" s="40" t="str">
        <f>VLOOKUP(L1940,'Raw material list'!$A$3:$E$715,5,0)</f>
        <v xml:space="preserve">Gram </v>
      </c>
      <c r="O1940" s="80">
        <v>10</v>
      </c>
      <c r="P1940" s="299">
        <f t="shared" si="299"/>
        <v>10</v>
      </c>
      <c r="Q1940" s="80">
        <v>100</v>
      </c>
      <c r="R1940" s="80">
        <v>45</v>
      </c>
      <c r="S1940" s="80"/>
      <c r="T1940" s="105">
        <f t="shared" si="294"/>
        <v>0.22222222222222221</v>
      </c>
      <c r="U1940" s="105">
        <f t="shared" si="300"/>
        <v>0.22222222222222221</v>
      </c>
      <c r="V1940" s="104">
        <f>IFERROR(VLOOKUP(L1940,'Raw material list'!$A$2:$S$3102,6,0),0)</f>
        <v>5.0000000000000001E-4</v>
      </c>
      <c r="W1940" s="104">
        <f t="shared" si="301"/>
        <v>1.111111111111111E-4</v>
      </c>
    </row>
    <row r="1941" spans="1:23" hidden="1" x14ac:dyDescent="0.55000000000000004">
      <c r="A1941" s="76" t="str">
        <f t="shared" si="302"/>
        <v>RCP-SMC-000141</v>
      </c>
      <c r="B1941" s="58" t="s">
        <v>35</v>
      </c>
      <c r="C1941" s="58" t="s">
        <v>10</v>
      </c>
      <c r="D1941" s="76" t="str">
        <f t="shared" si="303"/>
        <v>Pizza Margeritta</v>
      </c>
      <c r="E1941" s="76" t="s">
        <v>1507</v>
      </c>
      <c r="F1941" s="76" t="s">
        <v>1666</v>
      </c>
      <c r="G1941" s="76" t="s">
        <v>1666</v>
      </c>
      <c r="H1941" s="76" t="s">
        <v>1666</v>
      </c>
      <c r="I1941" s="76"/>
      <c r="J1941" s="76"/>
      <c r="K1941" s="58" t="str">
        <f>IFERROR(VLOOKUP(L1941,'Raw material list'!$A$3:$C$715,3,0),"")</f>
        <v>DRS1-978</v>
      </c>
      <c r="L1941" s="59" t="s">
        <v>56</v>
      </c>
      <c r="M1941" s="80" t="s">
        <v>156</v>
      </c>
      <c r="N1941" s="40" t="str">
        <f>VLOOKUP(L1941,'Raw material list'!$A$3:$E$715,5,0)</f>
        <v xml:space="preserve">Gram </v>
      </c>
      <c r="O1941" s="80">
        <v>60</v>
      </c>
      <c r="P1941" s="299">
        <f t="shared" si="299"/>
        <v>60</v>
      </c>
      <c r="Q1941" s="80">
        <v>100</v>
      </c>
      <c r="R1941" s="80">
        <v>45</v>
      </c>
      <c r="S1941" s="80"/>
      <c r="T1941" s="105">
        <f t="shared" si="294"/>
        <v>1.3333333333333333</v>
      </c>
      <c r="U1941" s="105">
        <f t="shared" si="300"/>
        <v>1.3333333333333333</v>
      </c>
      <c r="V1941" s="104">
        <f>IFERROR(VLOOKUP(L1941,'Raw material list'!$A$2:$S$3102,6,0),0)</f>
        <v>2.3999999999999998E-3</v>
      </c>
      <c r="W1941" s="104">
        <f t="shared" si="301"/>
        <v>3.1999999999999997E-3</v>
      </c>
    </row>
    <row r="1942" spans="1:23" hidden="1" x14ac:dyDescent="0.55000000000000004">
      <c r="A1942" s="76" t="str">
        <f t="shared" si="302"/>
        <v>RCP-SMC-000141</v>
      </c>
      <c r="B1942" s="58" t="s">
        <v>35</v>
      </c>
      <c r="C1942" s="58" t="s">
        <v>10</v>
      </c>
      <c r="D1942" s="76" t="str">
        <f t="shared" si="303"/>
        <v>Pizza Margeritta</v>
      </c>
      <c r="E1942" s="76" t="s">
        <v>1507</v>
      </c>
      <c r="F1942" s="76" t="s">
        <v>1666</v>
      </c>
      <c r="G1942" s="76" t="s">
        <v>1666</v>
      </c>
      <c r="H1942" s="80" t="s">
        <v>1666</v>
      </c>
      <c r="I1942" s="76"/>
      <c r="J1942" s="76"/>
      <c r="K1942" s="58" t="str">
        <f>IFERROR(VLOOKUP(L1942,'Raw material list'!$A$3:$C$715,3,0),"")</f>
        <v>DRS5-59</v>
      </c>
      <c r="L1942" s="59" t="s">
        <v>59</v>
      </c>
      <c r="M1942" s="80" t="s">
        <v>156</v>
      </c>
      <c r="N1942" s="40" t="str">
        <f>VLOOKUP(L1942,'Raw material list'!$A$3:$E$715,5,0)</f>
        <v xml:space="preserve">Gram </v>
      </c>
      <c r="O1942" s="80">
        <v>60</v>
      </c>
      <c r="P1942" s="299">
        <f t="shared" si="299"/>
        <v>60</v>
      </c>
      <c r="Q1942" s="80">
        <v>100</v>
      </c>
      <c r="R1942" s="80">
        <v>45</v>
      </c>
      <c r="S1942" s="80"/>
      <c r="T1942" s="105">
        <f t="shared" si="294"/>
        <v>1.3333333333333333</v>
      </c>
      <c r="U1942" s="105">
        <f t="shared" si="300"/>
        <v>1.3333333333333333</v>
      </c>
      <c r="V1942" s="104">
        <f>IFERROR(VLOOKUP(L1942,'Raw material list'!$A$2:$S$3102,6,0),0)</f>
        <v>1.4319999999999999E-2</v>
      </c>
      <c r="W1942" s="104">
        <f t="shared" si="301"/>
        <v>1.909333333333333E-2</v>
      </c>
    </row>
    <row r="1943" spans="1:23" hidden="1" x14ac:dyDescent="0.55000000000000004">
      <c r="A1943" s="76" t="str">
        <f t="shared" si="302"/>
        <v>RCP-SMC-000141</v>
      </c>
      <c r="B1943" s="58" t="s">
        <v>35</v>
      </c>
      <c r="C1943" s="58" t="s">
        <v>10</v>
      </c>
      <c r="D1943" s="76" t="str">
        <f t="shared" si="303"/>
        <v>Pizza Margeritta</v>
      </c>
      <c r="E1943" s="76" t="s">
        <v>1507</v>
      </c>
      <c r="F1943" s="76" t="s">
        <v>1666</v>
      </c>
      <c r="G1943" s="76" t="s">
        <v>1666</v>
      </c>
      <c r="H1943" s="76" t="s">
        <v>1666</v>
      </c>
      <c r="I1943" s="76"/>
      <c r="J1943" s="76"/>
      <c r="K1943" s="58" t="str">
        <f>IFERROR(VLOOKUP(L1943,'Raw material list'!$A$3:$C$715,3,0),"")</f>
        <v>DRS3-1813</v>
      </c>
      <c r="L1943" s="59" t="s">
        <v>69</v>
      </c>
      <c r="M1943" s="80" t="s">
        <v>206</v>
      </c>
      <c r="N1943" s="40" t="str">
        <f>VLOOKUP(L1943,'Raw material list'!$A$3:$E$715,5,0)</f>
        <v>Ml</v>
      </c>
      <c r="O1943" s="80">
        <v>30</v>
      </c>
      <c r="P1943" s="299">
        <f t="shared" si="299"/>
        <v>30</v>
      </c>
      <c r="Q1943" s="80">
        <v>100</v>
      </c>
      <c r="R1943" s="80">
        <v>45</v>
      </c>
      <c r="S1943" s="80"/>
      <c r="T1943" s="105">
        <f t="shared" si="294"/>
        <v>0.66666666666666663</v>
      </c>
      <c r="U1943" s="105">
        <f t="shared" si="300"/>
        <v>0.66666666666666663</v>
      </c>
      <c r="V1943" s="104">
        <f>IFERROR(VLOOKUP(L1943,'Raw material list'!$A$2:$S$3102,6,0),0)</f>
        <v>8.0555555555555554E-3</v>
      </c>
      <c r="W1943" s="104">
        <f t="shared" si="301"/>
        <v>5.37037037037037E-3</v>
      </c>
    </row>
    <row r="1944" spans="1:23" hidden="1" x14ac:dyDescent="0.55000000000000004">
      <c r="A1944" s="76" t="str">
        <f t="shared" si="302"/>
        <v>RCP-SMC-000141</v>
      </c>
      <c r="B1944" s="58" t="s">
        <v>35</v>
      </c>
      <c r="C1944" s="58" t="s">
        <v>10</v>
      </c>
      <c r="D1944" s="76" t="str">
        <f t="shared" si="303"/>
        <v>Pizza Margeritta</v>
      </c>
      <c r="E1944" s="76" t="s">
        <v>1507</v>
      </c>
      <c r="F1944" s="76" t="s">
        <v>1666</v>
      </c>
      <c r="G1944" s="76" t="s">
        <v>1666</v>
      </c>
      <c r="H1944" s="76" t="s">
        <v>1666</v>
      </c>
      <c r="I1944" s="76"/>
      <c r="J1944" s="76"/>
      <c r="K1944" s="58" t="str">
        <f>IFERROR(VLOOKUP(L1944,'Raw material list'!$A$3:$C$715,3,0),"")</f>
        <v>DRY2-1008</v>
      </c>
      <c r="L1944" s="59" t="s">
        <v>57</v>
      </c>
      <c r="M1944" s="80" t="s">
        <v>156</v>
      </c>
      <c r="N1944" s="40" t="str">
        <f>VLOOKUP(L1944,'Raw material list'!$A$3:$E$715,5,0)</f>
        <v xml:space="preserve">Gram </v>
      </c>
      <c r="O1944" s="80">
        <v>30</v>
      </c>
      <c r="P1944" s="299">
        <f t="shared" si="299"/>
        <v>30</v>
      </c>
      <c r="Q1944" s="80">
        <v>100</v>
      </c>
      <c r="R1944" s="80">
        <v>45</v>
      </c>
      <c r="S1944" s="80"/>
      <c r="T1944" s="105">
        <f t="shared" si="294"/>
        <v>0.66666666666666663</v>
      </c>
      <c r="U1944" s="105">
        <f t="shared" si="300"/>
        <v>0.66666666666666663</v>
      </c>
      <c r="V1944" s="104">
        <f>IFERROR(VLOOKUP(L1944,'Raw material list'!$A$2:$S$3102,6,0),0)</f>
        <v>0.03</v>
      </c>
      <c r="W1944" s="104">
        <f t="shared" si="301"/>
        <v>1.9999999999999997E-2</v>
      </c>
    </row>
    <row r="1945" spans="1:23" hidden="1" x14ac:dyDescent="0.55000000000000004">
      <c r="A1945" s="76" t="str">
        <f t="shared" si="302"/>
        <v>RCP-SMC-000141</v>
      </c>
      <c r="B1945" s="58" t="s">
        <v>35</v>
      </c>
      <c r="C1945" s="58" t="s">
        <v>10</v>
      </c>
      <c r="D1945" s="76" t="str">
        <f t="shared" si="303"/>
        <v>Pizza Margeritta</v>
      </c>
      <c r="E1945" s="76" t="s">
        <v>1507</v>
      </c>
      <c r="F1945" s="76" t="s">
        <v>1666</v>
      </c>
      <c r="G1945" s="76" t="s">
        <v>1666</v>
      </c>
      <c r="H1945" s="76" t="s">
        <v>1666</v>
      </c>
      <c r="I1945" s="76"/>
      <c r="J1945" s="76"/>
      <c r="K1945" s="58" t="str">
        <f>IFERROR(VLOOKUP(L1945,'Raw material list'!$A$3:$C$715,3,0),"")</f>
        <v>TAP-00001</v>
      </c>
      <c r="L1945" s="59" t="s">
        <v>1405</v>
      </c>
      <c r="M1945" s="80" t="s">
        <v>206</v>
      </c>
      <c r="N1945" s="40" t="str">
        <f>VLOOKUP(L1945,'Raw material list'!$A$3:$E$715,5,0)</f>
        <v>Ml</v>
      </c>
      <c r="O1945" s="80">
        <v>500</v>
      </c>
      <c r="P1945" s="299">
        <f t="shared" si="299"/>
        <v>500</v>
      </c>
      <c r="Q1945" s="80">
        <v>100</v>
      </c>
      <c r="R1945" s="80">
        <v>45</v>
      </c>
      <c r="S1945" s="80"/>
      <c r="T1945" s="105">
        <f t="shared" si="294"/>
        <v>11.111111111111111</v>
      </c>
      <c r="U1945" s="105">
        <f t="shared" si="300"/>
        <v>11.111111111111111</v>
      </c>
      <c r="V1945" s="104">
        <f>IFERROR(VLOOKUP(L1945,'Raw material list'!$A$2:$S$3102,6,0),0)</f>
        <v>8.0000000000000007E-5</v>
      </c>
      <c r="W1945" s="104">
        <f t="shared" si="301"/>
        <v>8.8888888888888893E-4</v>
      </c>
    </row>
    <row r="1946" spans="1:23" hidden="1" x14ac:dyDescent="0.55000000000000004">
      <c r="A1946" s="76" t="str">
        <f t="shared" si="302"/>
        <v>RCP-SMC-000141</v>
      </c>
      <c r="B1946" s="58" t="s">
        <v>35</v>
      </c>
      <c r="C1946" s="58" t="s">
        <v>10</v>
      </c>
      <c r="D1946" s="76" t="str">
        <f t="shared" si="303"/>
        <v>Pizza Margeritta</v>
      </c>
      <c r="E1946" s="76" t="s">
        <v>1507</v>
      </c>
      <c r="F1946" s="76" t="s">
        <v>1666</v>
      </c>
      <c r="G1946" s="76" t="s">
        <v>1666</v>
      </c>
      <c r="H1946" s="76" t="s">
        <v>1666</v>
      </c>
      <c r="I1946" s="76"/>
      <c r="J1946" s="76"/>
      <c r="K1946" s="58" t="str">
        <f>IFERROR(VLOOKUP(L1946,'Raw material list'!$A$3:$C$715,3,0),"")</f>
        <v>DRS1-3358</v>
      </c>
      <c r="L1946" s="59" t="s">
        <v>93</v>
      </c>
      <c r="M1946" s="80" t="s">
        <v>156</v>
      </c>
      <c r="N1946" s="40" t="str">
        <f>VLOOKUP(L1946,'Raw material list'!$A$3:$E$715,5,0)</f>
        <v xml:space="preserve">Gram </v>
      </c>
      <c r="O1946" s="80">
        <v>675</v>
      </c>
      <c r="P1946" s="299">
        <f t="shared" si="299"/>
        <v>675</v>
      </c>
      <c r="Q1946" s="80">
        <v>100</v>
      </c>
      <c r="R1946" s="80">
        <v>45</v>
      </c>
      <c r="S1946" s="80"/>
      <c r="T1946" s="105">
        <f t="shared" si="294"/>
        <v>15</v>
      </c>
      <c r="U1946" s="105">
        <f t="shared" si="300"/>
        <v>15</v>
      </c>
      <c r="V1946" s="104">
        <f>IFERROR(VLOOKUP(L1946,'Raw material list'!$A$2:$S$3102,6,0),0)</f>
        <v>1.2776666666666665E-2</v>
      </c>
      <c r="W1946" s="104">
        <f t="shared" si="301"/>
        <v>0.19164999999999999</v>
      </c>
    </row>
    <row r="1947" spans="1:23" hidden="1" x14ac:dyDescent="0.55000000000000004">
      <c r="A1947" s="76" t="str">
        <f t="shared" si="302"/>
        <v>RCP-SMC-000141</v>
      </c>
      <c r="B1947" s="58" t="s">
        <v>35</v>
      </c>
      <c r="C1947" s="58" t="s">
        <v>10</v>
      </c>
      <c r="D1947" s="76" t="str">
        <f t="shared" si="303"/>
        <v>Pizza Margeritta</v>
      </c>
      <c r="E1947" s="76" t="s">
        <v>1507</v>
      </c>
      <c r="F1947" s="76" t="s">
        <v>1666</v>
      </c>
      <c r="G1947" s="76" t="s">
        <v>1666</v>
      </c>
      <c r="H1947" s="76" t="s">
        <v>1666</v>
      </c>
      <c r="I1947" s="76"/>
      <c r="J1947" s="76"/>
      <c r="K1947" s="58" t="str">
        <f>IFERROR(VLOOKUP(L1947,'Raw material list'!$A$3:$C$715,3,0),"")</f>
        <v>DRY1-1801</v>
      </c>
      <c r="L1947" s="59" t="s">
        <v>49</v>
      </c>
      <c r="M1947" s="80" t="s">
        <v>156</v>
      </c>
      <c r="N1947" s="40" t="str">
        <f>VLOOKUP(L1947,'Raw material list'!$A$3:$E$715,5,0)</f>
        <v xml:space="preserve">Gram </v>
      </c>
      <c r="O1947" s="80">
        <v>675</v>
      </c>
      <c r="P1947" s="299">
        <f t="shared" si="299"/>
        <v>675</v>
      </c>
      <c r="Q1947" s="80">
        <v>100</v>
      </c>
      <c r="R1947" s="80">
        <v>45</v>
      </c>
      <c r="S1947" s="80"/>
      <c r="T1947" s="105">
        <f t="shared" si="294"/>
        <v>15</v>
      </c>
      <c r="U1947" s="105">
        <f t="shared" si="300"/>
        <v>15</v>
      </c>
      <c r="V1947" s="104">
        <f>IFERROR(VLOOKUP(L1947,'Raw material list'!$A$2:$S$3102,6,0),0)</f>
        <v>2.5000000000000001E-2</v>
      </c>
      <c r="W1947" s="104">
        <f t="shared" si="301"/>
        <v>0.375</v>
      </c>
    </row>
    <row r="1948" spans="1:23" hidden="1" x14ac:dyDescent="0.55000000000000004">
      <c r="A1948" s="76" t="str">
        <f t="shared" si="302"/>
        <v>RCP-SMC-000141</v>
      </c>
      <c r="B1948" s="58" t="s">
        <v>35</v>
      </c>
      <c r="C1948" s="58" t="s">
        <v>10</v>
      </c>
      <c r="D1948" s="76" t="str">
        <f t="shared" si="303"/>
        <v>Pizza Margeritta</v>
      </c>
      <c r="E1948" s="76" t="s">
        <v>1507</v>
      </c>
      <c r="F1948" s="76" t="s">
        <v>1666</v>
      </c>
      <c r="G1948" s="76" t="s">
        <v>1666</v>
      </c>
      <c r="H1948" s="76" t="s">
        <v>1666</v>
      </c>
      <c r="I1948" s="76"/>
      <c r="J1948" s="76"/>
      <c r="K1948" s="58" t="str">
        <f>IFERROR(VLOOKUP(L1948,'Raw material list'!$A$3:$C$715,3,0),"")</f>
        <v>PRD1-240</v>
      </c>
      <c r="L1948" s="59" t="s">
        <v>82</v>
      </c>
      <c r="M1948" s="80" t="s">
        <v>156</v>
      </c>
      <c r="N1948" s="40" t="str">
        <f>VLOOKUP(L1948,'Raw material list'!$A$3:$E$715,5,0)</f>
        <v xml:space="preserve">Gram </v>
      </c>
      <c r="O1948" s="80">
        <v>75</v>
      </c>
      <c r="P1948" s="299">
        <f t="shared" si="299"/>
        <v>110.83743842364532</v>
      </c>
      <c r="Q1948" s="105">
        <v>67.666666666666657</v>
      </c>
      <c r="R1948" s="80">
        <v>45</v>
      </c>
      <c r="S1948" s="80"/>
      <c r="T1948" s="105">
        <f t="shared" si="294"/>
        <v>1.6666666666666667</v>
      </c>
      <c r="U1948" s="105">
        <f t="shared" si="300"/>
        <v>2.4630541871921183</v>
      </c>
      <c r="V1948" s="104">
        <f>IFERROR(VLOOKUP(L1948,'Raw material list'!$A$2:$S$3102,6,0),0)</f>
        <v>1.3293943870014769E-2</v>
      </c>
      <c r="W1948" s="104">
        <f t="shared" si="301"/>
        <v>3.2743704113336873E-2</v>
      </c>
    </row>
    <row r="1949" spans="1:23" hidden="1" x14ac:dyDescent="0.55000000000000004">
      <c r="A1949" s="76" t="str">
        <f t="shared" si="302"/>
        <v>RCP-SMC-000141</v>
      </c>
      <c r="B1949" s="58" t="s">
        <v>35</v>
      </c>
      <c r="C1949" s="58" t="s">
        <v>10</v>
      </c>
      <c r="D1949" s="76" t="str">
        <f t="shared" si="303"/>
        <v>Pizza Margeritta</v>
      </c>
      <c r="E1949" s="76" t="s">
        <v>1507</v>
      </c>
      <c r="F1949" s="76" t="s">
        <v>1666</v>
      </c>
      <c r="G1949" s="76" t="s">
        <v>1666</v>
      </c>
      <c r="H1949" s="76" t="s">
        <v>1666</v>
      </c>
      <c r="I1949" s="76"/>
      <c r="J1949" s="76"/>
      <c r="K1949" s="58" t="str">
        <f>IFERROR(VLOOKUP(L1949,'Raw material list'!$A$3:$C$715,3,0),"")</f>
        <v>PRD1-241</v>
      </c>
      <c r="L1949" s="59" t="s">
        <v>1059</v>
      </c>
      <c r="M1949" s="80" t="s">
        <v>156</v>
      </c>
      <c r="N1949" s="40" t="str">
        <f>VLOOKUP(L1949,'Raw material list'!$A$3:$E$715,5,0)</f>
        <v xml:space="preserve">Gram </v>
      </c>
      <c r="O1949" s="80">
        <v>75</v>
      </c>
      <c r="P1949" s="299">
        <f t="shared" si="299"/>
        <v>109.91695163654127</v>
      </c>
      <c r="Q1949" s="105">
        <v>68.233333333333334</v>
      </c>
      <c r="R1949" s="80">
        <v>45</v>
      </c>
      <c r="S1949" s="80"/>
      <c r="T1949" s="105">
        <f t="shared" si="294"/>
        <v>1.6666666666666667</v>
      </c>
      <c r="U1949" s="105">
        <f t="shared" si="300"/>
        <v>2.4425989252564726</v>
      </c>
      <c r="V1949" s="104">
        <f>IFERROR(VLOOKUP(L1949,'Raw material list'!$A$2:$S$3102,6,0),0)</f>
        <v>1.3196480938416421E-2</v>
      </c>
      <c r="W1949" s="104">
        <f t="shared" si="301"/>
        <v>3.2233710157343477E-2</v>
      </c>
    </row>
    <row r="1950" spans="1:23" hidden="1" x14ac:dyDescent="0.55000000000000004">
      <c r="A1950" s="76" t="s">
        <v>1728</v>
      </c>
      <c r="B1950" s="58" t="s">
        <v>35</v>
      </c>
      <c r="C1950" s="58" t="s">
        <v>10</v>
      </c>
      <c r="D1950" s="76" t="s">
        <v>1688</v>
      </c>
      <c r="E1950" s="76" t="s">
        <v>1535</v>
      </c>
      <c r="F1950" s="76" t="s">
        <v>1666</v>
      </c>
      <c r="G1950" s="76" t="s">
        <v>1666</v>
      </c>
      <c r="H1950" s="76" t="s">
        <v>1666</v>
      </c>
      <c r="I1950" s="76"/>
      <c r="J1950" s="76"/>
      <c r="K1950" s="58" t="str">
        <f>IFERROR(VLOOKUP(L1950,'Raw material list'!$A$3:$C$715,3,0),"")</f>
        <v>DRS1-824</v>
      </c>
      <c r="L1950" s="59" t="s">
        <v>234</v>
      </c>
      <c r="M1950" s="80" t="s">
        <v>156</v>
      </c>
      <c r="N1950" s="40" t="str">
        <f>VLOOKUP(L1950,'Raw material list'!$A$3:$E$715,5,0)</f>
        <v xml:space="preserve">Gram </v>
      </c>
      <c r="O1950" s="80">
        <v>200</v>
      </c>
      <c r="P1950" s="299">
        <f t="shared" si="299"/>
        <v>200</v>
      </c>
      <c r="Q1950" s="303">
        <v>100</v>
      </c>
      <c r="R1950" s="80">
        <v>15</v>
      </c>
      <c r="S1950" s="80"/>
      <c r="T1950" s="105">
        <f t="shared" si="294"/>
        <v>13.333333333333334</v>
      </c>
      <c r="U1950" s="105">
        <f t="shared" si="300"/>
        <v>13.333333333333334</v>
      </c>
      <c r="V1950" s="104">
        <f>IFERROR(VLOOKUP(L1950,'Raw material list'!$A$2:$S$3102,6,0),0)</f>
        <v>1.2919999999999999E-2</v>
      </c>
      <c r="W1950" s="104">
        <f t="shared" si="301"/>
        <v>0.17226666666666665</v>
      </c>
    </row>
    <row r="1951" spans="1:23" hidden="1" x14ac:dyDescent="0.55000000000000004">
      <c r="A1951" s="76" t="str">
        <f t="shared" ref="A1951:A1955" si="304">A1950</f>
        <v>RCP-SMC-000142</v>
      </c>
      <c r="B1951" s="58" t="s">
        <v>35</v>
      </c>
      <c r="C1951" s="58" t="s">
        <v>10</v>
      </c>
      <c r="D1951" s="76" t="str">
        <f t="shared" ref="D1951:D1955" si="305">D1950</f>
        <v xml:space="preserve">Oats Porridge With Dried Mixed Fruit </v>
      </c>
      <c r="E1951" s="76" t="s">
        <v>1535</v>
      </c>
      <c r="F1951" s="76" t="s">
        <v>1666</v>
      </c>
      <c r="G1951" s="76" t="s">
        <v>1666</v>
      </c>
      <c r="H1951" s="76" t="s">
        <v>1666</v>
      </c>
      <c r="I1951" s="76"/>
      <c r="J1951" s="76"/>
      <c r="K1951" s="58" t="str">
        <f>IFERROR(VLOOKUP(L1951,'Raw material list'!$A$3:$C$715,3,0),"")</f>
        <v>DRY2-1388</v>
      </c>
      <c r="L1951" s="59" t="s">
        <v>126</v>
      </c>
      <c r="M1951" s="80" t="s">
        <v>206</v>
      </c>
      <c r="N1951" s="40" t="str">
        <f>VLOOKUP(L1951,'Raw material list'!$A$3:$E$715,5,0)</f>
        <v>Ml</v>
      </c>
      <c r="O1951" s="80">
        <v>3000</v>
      </c>
      <c r="P1951" s="299">
        <f t="shared" si="299"/>
        <v>3000</v>
      </c>
      <c r="Q1951" s="80">
        <v>100</v>
      </c>
      <c r="R1951" s="80">
        <v>15</v>
      </c>
      <c r="S1951" s="80"/>
      <c r="T1951" s="105">
        <f t="shared" si="294"/>
        <v>200</v>
      </c>
      <c r="U1951" s="105">
        <f t="shared" si="300"/>
        <v>200</v>
      </c>
      <c r="V1951" s="104">
        <f>IFERROR(VLOOKUP(L1951,'Raw material list'!$A$2:$S$3102,6,0),0)</f>
        <v>4.2500000000000003E-3</v>
      </c>
      <c r="W1951" s="104">
        <f t="shared" si="301"/>
        <v>0.85000000000000009</v>
      </c>
    </row>
    <row r="1952" spans="1:23" hidden="1" x14ac:dyDescent="0.55000000000000004">
      <c r="A1952" s="76" t="str">
        <f t="shared" si="304"/>
        <v>RCP-SMC-000142</v>
      </c>
      <c r="B1952" s="58" t="s">
        <v>35</v>
      </c>
      <c r="C1952" s="58" t="s">
        <v>10</v>
      </c>
      <c r="D1952" s="76" t="str">
        <f t="shared" si="305"/>
        <v xml:space="preserve">Oats Porridge With Dried Mixed Fruit </v>
      </c>
      <c r="E1952" s="76" t="s">
        <v>1535</v>
      </c>
      <c r="F1952" s="76" t="s">
        <v>1666</v>
      </c>
      <c r="G1952" s="76" t="s">
        <v>1666</v>
      </c>
      <c r="H1952" s="76" t="s">
        <v>1666</v>
      </c>
      <c r="I1952" s="76"/>
      <c r="J1952" s="76"/>
      <c r="K1952" s="58" t="str">
        <f>IFERROR(VLOOKUP(L1952,'Raw material list'!$A$3:$C$715,3,0),"")</f>
        <v>DRS1-1823</v>
      </c>
      <c r="L1952" s="59" t="s">
        <v>619</v>
      </c>
      <c r="M1952" s="80" t="s">
        <v>156</v>
      </c>
      <c r="N1952" s="40" t="str">
        <f>VLOOKUP(L1952,'Raw material list'!$A$3:$E$715,5,0)</f>
        <v xml:space="preserve">Gram </v>
      </c>
      <c r="O1952" s="80">
        <v>2</v>
      </c>
      <c r="P1952" s="299">
        <f t="shared" si="299"/>
        <v>2</v>
      </c>
      <c r="Q1952" s="80">
        <v>100</v>
      </c>
      <c r="R1952" s="80">
        <v>15</v>
      </c>
      <c r="S1952" s="80"/>
      <c r="T1952" s="105">
        <f t="shared" si="294"/>
        <v>0.13333333333333333</v>
      </c>
      <c r="U1952" s="105">
        <f t="shared" si="300"/>
        <v>0.13333333333333333</v>
      </c>
      <c r="V1952" s="104">
        <f>IFERROR(VLOOKUP(L1952,'Raw material list'!$A$2:$S$3102,6,0),0)</f>
        <v>4.9000000000000002E-2</v>
      </c>
      <c r="W1952" s="104">
        <f t="shared" si="301"/>
        <v>6.5333333333333337E-3</v>
      </c>
    </row>
    <row r="1953" spans="1:23" hidden="1" x14ac:dyDescent="0.55000000000000004">
      <c r="A1953" s="76" t="str">
        <f t="shared" si="304"/>
        <v>RCP-SMC-000142</v>
      </c>
      <c r="B1953" s="58" t="s">
        <v>35</v>
      </c>
      <c r="C1953" s="58" t="s">
        <v>10</v>
      </c>
      <c r="D1953" s="76" t="str">
        <f t="shared" si="305"/>
        <v xml:space="preserve">Oats Porridge With Dried Mixed Fruit </v>
      </c>
      <c r="E1953" s="76" t="s">
        <v>1535</v>
      </c>
      <c r="F1953" s="76" t="s">
        <v>1666</v>
      </c>
      <c r="G1953" s="76" t="s">
        <v>1666</v>
      </c>
      <c r="H1953" s="76" t="s">
        <v>1666</v>
      </c>
      <c r="I1953" s="76"/>
      <c r="J1953" s="76"/>
      <c r="K1953" s="58" t="str">
        <f>IFERROR(VLOOKUP(L1953,'Raw material list'!$A$3:$C$715,3,0),"")</f>
        <v>DRS1-978</v>
      </c>
      <c r="L1953" s="59" t="s">
        <v>56</v>
      </c>
      <c r="M1953" s="80" t="s">
        <v>156</v>
      </c>
      <c r="N1953" s="40" t="str">
        <f>VLOOKUP(L1953,'Raw material list'!$A$3:$E$715,5,0)</f>
        <v xml:space="preserve">Gram </v>
      </c>
      <c r="O1953" s="80">
        <v>70</v>
      </c>
      <c r="P1953" s="299">
        <f t="shared" si="299"/>
        <v>70</v>
      </c>
      <c r="Q1953" s="80">
        <v>100</v>
      </c>
      <c r="R1953" s="80">
        <v>15</v>
      </c>
      <c r="S1953" s="80"/>
      <c r="T1953" s="105">
        <f t="shared" si="294"/>
        <v>4.666666666666667</v>
      </c>
      <c r="U1953" s="105">
        <f t="shared" si="300"/>
        <v>4.666666666666667</v>
      </c>
      <c r="V1953" s="104">
        <f>IFERROR(VLOOKUP(L1953,'Raw material list'!$A$2:$S$3102,6,0),0)</f>
        <v>2.3999999999999998E-3</v>
      </c>
      <c r="W1953" s="104">
        <f t="shared" si="301"/>
        <v>1.12E-2</v>
      </c>
    </row>
    <row r="1954" spans="1:23" hidden="1" x14ac:dyDescent="0.55000000000000004">
      <c r="A1954" s="76" t="str">
        <f t="shared" si="304"/>
        <v>RCP-SMC-000142</v>
      </c>
      <c r="B1954" s="58" t="s">
        <v>35</v>
      </c>
      <c r="C1954" s="58" t="s">
        <v>10</v>
      </c>
      <c r="D1954" s="76" t="str">
        <f t="shared" si="305"/>
        <v xml:space="preserve">Oats Porridge With Dried Mixed Fruit </v>
      </c>
      <c r="E1954" s="76" t="s">
        <v>1535</v>
      </c>
      <c r="F1954" s="76" t="s">
        <v>1666</v>
      </c>
      <c r="G1954" s="76" t="s">
        <v>1666</v>
      </c>
      <c r="H1954" s="76" t="s">
        <v>1666</v>
      </c>
      <c r="I1954" s="76"/>
      <c r="J1954" s="76"/>
      <c r="K1954" s="58" t="str">
        <f>IFERROR(VLOOKUP(L1954,'Raw material list'!$A$3:$C$715,3,0),"")</f>
        <v>DRS5-21</v>
      </c>
      <c r="L1954" s="59" t="s">
        <v>55</v>
      </c>
      <c r="M1954" s="80" t="s">
        <v>156</v>
      </c>
      <c r="N1954" s="40" t="str">
        <f>VLOOKUP(L1954,'Raw material list'!$A$3:$E$715,5,0)</f>
        <v xml:space="preserve">Gram </v>
      </c>
      <c r="O1954" s="80">
        <v>15</v>
      </c>
      <c r="P1954" s="299">
        <f t="shared" si="299"/>
        <v>15</v>
      </c>
      <c r="Q1954" s="80">
        <v>100</v>
      </c>
      <c r="R1954" s="80">
        <v>15</v>
      </c>
      <c r="S1954" s="80"/>
      <c r="T1954" s="105">
        <f t="shared" si="294"/>
        <v>1</v>
      </c>
      <c r="U1954" s="105">
        <f t="shared" si="300"/>
        <v>1</v>
      </c>
      <c r="V1954" s="104">
        <f>IFERROR(VLOOKUP(L1954,'Raw material list'!$A$2:$S$3102,6,0),0)</f>
        <v>2.0799999999999998E-3</v>
      </c>
      <c r="W1954" s="104">
        <f t="shared" si="301"/>
        <v>2.0799999999999998E-3</v>
      </c>
    </row>
    <row r="1955" spans="1:23" hidden="1" x14ac:dyDescent="0.55000000000000004">
      <c r="A1955" s="76" t="str">
        <f t="shared" si="304"/>
        <v>RCP-SMC-000142</v>
      </c>
      <c r="B1955" s="58" t="s">
        <v>35</v>
      </c>
      <c r="C1955" s="58" t="s">
        <v>10</v>
      </c>
      <c r="D1955" s="76" t="str">
        <f t="shared" si="305"/>
        <v xml:space="preserve">Oats Porridge With Dried Mixed Fruit </v>
      </c>
      <c r="E1955" s="76" t="s">
        <v>1535</v>
      </c>
      <c r="F1955" s="76" t="s">
        <v>1666</v>
      </c>
      <c r="G1955" s="76" t="s">
        <v>1666</v>
      </c>
      <c r="H1955" s="76" t="s">
        <v>1666</v>
      </c>
      <c r="I1955" s="76"/>
      <c r="J1955" s="76"/>
      <c r="K1955" s="58" t="str">
        <f>IFERROR(VLOOKUP(L1955,'Raw material list'!$A$3:$C$715,3,0),"")</f>
        <v>PRD3-1661</v>
      </c>
      <c r="L1955" s="59" t="s">
        <v>957</v>
      </c>
      <c r="M1955" s="80" t="s">
        <v>156</v>
      </c>
      <c r="N1955" s="40" t="str">
        <f>VLOOKUP(L1955,'Raw material list'!$A$3:$E$715,5,0)</f>
        <v xml:space="preserve">Gram </v>
      </c>
      <c r="O1955" s="80">
        <v>100</v>
      </c>
      <c r="P1955" s="299">
        <f t="shared" si="299"/>
        <v>100</v>
      </c>
      <c r="Q1955" s="80">
        <v>100</v>
      </c>
      <c r="R1955" s="80">
        <v>15</v>
      </c>
      <c r="S1955" s="80"/>
      <c r="T1955" s="105">
        <f t="shared" si="294"/>
        <v>6.666666666666667</v>
      </c>
      <c r="U1955" s="105">
        <f t="shared" si="300"/>
        <v>6.666666666666667</v>
      </c>
      <c r="V1955" s="104">
        <f>IFERROR(VLOOKUP(L1955,'Raw material list'!$A$2:$S$3102,6,0),0)</f>
        <v>3.9E-2</v>
      </c>
      <c r="W1955" s="104">
        <f t="shared" si="301"/>
        <v>0.26</v>
      </c>
    </row>
    <row r="1956" spans="1:23" x14ac:dyDescent="0.55000000000000004">
      <c r="A1956" s="76" t="s">
        <v>1742</v>
      </c>
      <c r="B1956" s="58" t="s">
        <v>35</v>
      </c>
      <c r="C1956" s="58" t="s">
        <v>10</v>
      </c>
      <c r="D1956" s="76" t="s">
        <v>1689</v>
      </c>
      <c r="E1956" s="76" t="s">
        <v>1535</v>
      </c>
      <c r="F1956" s="264" t="s">
        <v>2077</v>
      </c>
      <c r="G1956" s="94" t="s">
        <v>1777</v>
      </c>
      <c r="H1956" s="76" t="s">
        <v>1535</v>
      </c>
      <c r="I1956" s="76"/>
      <c r="J1956" s="76"/>
      <c r="K1956" s="58" t="str">
        <f>IFERROR(VLOOKUP(L1956,'Raw material list'!$A$3:$C$715,3,0),"")</f>
        <v>DRS1-58</v>
      </c>
      <c r="L1956" s="59" t="s">
        <v>779</v>
      </c>
      <c r="M1956" s="80" t="s">
        <v>156</v>
      </c>
      <c r="N1956" s="40" t="str">
        <f>VLOOKUP(L1956,'Raw material list'!$A$3:$E$715,5,0)</f>
        <v xml:space="preserve">Gram </v>
      </c>
      <c r="O1956" s="80">
        <v>24750</v>
      </c>
      <c r="P1956" s="299">
        <f t="shared" si="299"/>
        <v>24750</v>
      </c>
      <c r="Q1956" s="80">
        <v>100</v>
      </c>
      <c r="R1956" s="80">
        <v>900</v>
      </c>
      <c r="S1956" s="80"/>
      <c r="T1956" s="105">
        <f t="shared" si="294"/>
        <v>27.5</v>
      </c>
      <c r="U1956" s="105">
        <f t="shared" si="300"/>
        <v>27.5</v>
      </c>
      <c r="V1956" s="104">
        <f>IFERROR(VLOOKUP(L1956,'Raw material list'!$A$2:$S$3102,6,0),0)</f>
        <v>6.4814814814814813E-3</v>
      </c>
      <c r="W1956" s="104">
        <f t="shared" si="301"/>
        <v>0.17824074074074073</v>
      </c>
    </row>
    <row r="1957" spans="1:23" x14ac:dyDescent="0.55000000000000004">
      <c r="A1957" s="76" t="str">
        <f t="shared" ref="A1957:A1964" si="306">A1956</f>
        <v>RCP-SMC-000156</v>
      </c>
      <c r="B1957" s="58" t="s">
        <v>35</v>
      </c>
      <c r="C1957" s="58" t="s">
        <v>10</v>
      </c>
      <c r="D1957" s="76" t="str">
        <f t="shared" ref="D1957:D1964" si="307">D1956</f>
        <v>Sauce Caesar</v>
      </c>
      <c r="E1957" s="76" t="s">
        <v>1535</v>
      </c>
      <c r="F1957" s="76" t="s">
        <v>2077</v>
      </c>
      <c r="G1957" s="94" t="s">
        <v>1777</v>
      </c>
      <c r="H1957" s="76" t="s">
        <v>1535</v>
      </c>
      <c r="I1957" s="76"/>
      <c r="J1957" s="76"/>
      <c r="K1957" s="58" t="str">
        <f>IFERROR(VLOOKUP(L1957,'Raw material list'!$A$3:$C$715,3,0),"")</f>
        <v>DRY1-342</v>
      </c>
      <c r="L1957" s="59" t="s">
        <v>351</v>
      </c>
      <c r="M1957" s="80" t="s">
        <v>156</v>
      </c>
      <c r="N1957" s="40" t="str">
        <f>VLOOKUP(L1957,'Raw material list'!$A$3:$E$715,5,0)</f>
        <v xml:space="preserve">Gram </v>
      </c>
      <c r="O1957" s="80">
        <v>2100</v>
      </c>
      <c r="P1957" s="299">
        <f t="shared" si="299"/>
        <v>2100</v>
      </c>
      <c r="Q1957" s="80">
        <v>100</v>
      </c>
      <c r="R1957" s="80">
        <v>900</v>
      </c>
      <c r="S1957" s="80"/>
      <c r="T1957" s="105">
        <f t="shared" si="294"/>
        <v>2.3333333333333335</v>
      </c>
      <c r="U1957" s="105">
        <f t="shared" si="300"/>
        <v>2.3333333333333335</v>
      </c>
      <c r="V1957" s="104">
        <f>IFERROR(VLOOKUP(L1957,'Raw material list'!$A$2:$S$3102,6,0),0)</f>
        <v>5.2999999999999999E-2</v>
      </c>
      <c r="W1957" s="104">
        <f t="shared" si="301"/>
        <v>0.12366666666666667</v>
      </c>
    </row>
    <row r="1958" spans="1:23" x14ac:dyDescent="0.55000000000000004">
      <c r="A1958" s="76" t="str">
        <f t="shared" si="306"/>
        <v>RCP-SMC-000156</v>
      </c>
      <c r="B1958" s="58" t="s">
        <v>35</v>
      </c>
      <c r="C1958" s="58" t="s">
        <v>10</v>
      </c>
      <c r="D1958" s="76" t="str">
        <f t="shared" si="307"/>
        <v>Sauce Caesar</v>
      </c>
      <c r="E1958" s="76" t="s">
        <v>1535</v>
      </c>
      <c r="F1958" s="76" t="s">
        <v>2077</v>
      </c>
      <c r="G1958" s="94" t="s">
        <v>1777</v>
      </c>
      <c r="H1958" s="76" t="s">
        <v>1535</v>
      </c>
      <c r="I1958" s="76"/>
      <c r="J1958" s="76"/>
      <c r="K1958" s="58" t="str">
        <f>IFERROR(VLOOKUP(L1958,'Raw material list'!$A$3:$C$715,3,0),"")</f>
        <v>PRD1-209</v>
      </c>
      <c r="L1958" s="59" t="s">
        <v>86</v>
      </c>
      <c r="M1958" s="80" t="s">
        <v>156</v>
      </c>
      <c r="N1958" s="40" t="str">
        <f>VLOOKUP(L1958,'Raw material list'!$A$3:$E$715,5,0)</f>
        <v xml:space="preserve">Gram </v>
      </c>
      <c r="O1958" s="80">
        <v>5000</v>
      </c>
      <c r="P1958" s="299">
        <f t="shared" si="299"/>
        <v>6302.5210084033615</v>
      </c>
      <c r="Q1958" s="105">
        <v>79.333333333333329</v>
      </c>
      <c r="R1958" s="80">
        <v>900</v>
      </c>
      <c r="S1958" s="80"/>
      <c r="T1958" s="105">
        <f t="shared" si="294"/>
        <v>5.5555555555555554</v>
      </c>
      <c r="U1958" s="105">
        <f t="shared" si="300"/>
        <v>7.0028011204481793</v>
      </c>
      <c r="V1958" s="104">
        <f>IFERROR(VLOOKUP(L1958,'Raw material list'!$A$2:$S$3102,6,0),0)</f>
        <v>1.0088272383354349E-2</v>
      </c>
      <c r="W1958" s="104">
        <f t="shared" si="301"/>
        <v>7.0646165149540252E-2</v>
      </c>
    </row>
    <row r="1959" spans="1:23" x14ac:dyDescent="0.55000000000000004">
      <c r="A1959" s="76" t="str">
        <f t="shared" si="306"/>
        <v>RCP-SMC-000156</v>
      </c>
      <c r="B1959" s="58" t="s">
        <v>35</v>
      </c>
      <c r="C1959" s="58" t="s">
        <v>10</v>
      </c>
      <c r="D1959" s="76" t="str">
        <f t="shared" si="307"/>
        <v>Sauce Caesar</v>
      </c>
      <c r="E1959" s="76" t="s">
        <v>1535</v>
      </c>
      <c r="F1959" s="76" t="s">
        <v>2077</v>
      </c>
      <c r="G1959" s="94" t="s">
        <v>1777</v>
      </c>
      <c r="H1959" s="76" t="s">
        <v>1535</v>
      </c>
      <c r="I1959" s="76"/>
      <c r="J1959" s="76"/>
      <c r="K1959" s="58" t="str">
        <f>IFERROR(VLOOKUP(L1959,'Raw material list'!$A$3:$C$715,3,0),"")</f>
        <v>DRS1-5273</v>
      </c>
      <c r="L1959" s="59" t="s">
        <v>793</v>
      </c>
      <c r="M1959" s="80" t="s">
        <v>206</v>
      </c>
      <c r="N1959" s="40" t="str">
        <f>VLOOKUP(L1959,'Raw material list'!$A$3:$E$715,5,0)</f>
        <v>Ml</v>
      </c>
      <c r="O1959" s="80">
        <v>180</v>
      </c>
      <c r="P1959" s="299">
        <f t="shared" si="299"/>
        <v>180</v>
      </c>
      <c r="Q1959" s="303">
        <v>100</v>
      </c>
      <c r="R1959" s="80">
        <v>900</v>
      </c>
      <c r="S1959" s="80"/>
      <c r="T1959" s="105">
        <f t="shared" si="294"/>
        <v>0.2</v>
      </c>
      <c r="U1959" s="105">
        <f t="shared" si="300"/>
        <v>0.2</v>
      </c>
      <c r="V1959" s="104">
        <f>IFERROR(VLOOKUP(L1959,'Raw material list'!$A$2:$S$3102,6,0),0)</f>
        <v>1.8518518518518517E-2</v>
      </c>
      <c r="W1959" s="104">
        <f t="shared" si="301"/>
        <v>3.7037037037037038E-3</v>
      </c>
    </row>
    <row r="1960" spans="1:23" x14ac:dyDescent="0.55000000000000004">
      <c r="A1960" s="76" t="str">
        <f t="shared" si="306"/>
        <v>RCP-SMC-000156</v>
      </c>
      <c r="B1960" s="58" t="s">
        <v>35</v>
      </c>
      <c r="C1960" s="58" t="s">
        <v>10</v>
      </c>
      <c r="D1960" s="76" t="str">
        <f t="shared" si="307"/>
        <v>Sauce Caesar</v>
      </c>
      <c r="E1960" s="76" t="s">
        <v>1535</v>
      </c>
      <c r="F1960" s="76" t="s">
        <v>2077</v>
      </c>
      <c r="G1960" s="94" t="s">
        <v>1777</v>
      </c>
      <c r="H1960" s="76" t="s">
        <v>1535</v>
      </c>
      <c r="I1960" s="76"/>
      <c r="J1960" s="76"/>
      <c r="K1960" s="58" t="str">
        <f>IFERROR(VLOOKUP(L1960,'Raw material list'!$A$3:$C$715,3,0),"")</f>
        <v>DRS3-1615</v>
      </c>
      <c r="L1960" s="59" t="s">
        <v>50</v>
      </c>
      <c r="M1960" s="80" t="s">
        <v>206</v>
      </c>
      <c r="N1960" s="40" t="str">
        <f>VLOOKUP(L1960,'Raw material list'!$A$3:$E$715,5,0)</f>
        <v>Ml</v>
      </c>
      <c r="O1960" s="80">
        <v>2400</v>
      </c>
      <c r="P1960" s="299">
        <f t="shared" si="299"/>
        <v>2400</v>
      </c>
      <c r="Q1960" s="80">
        <v>100</v>
      </c>
      <c r="R1960" s="80">
        <v>900</v>
      </c>
      <c r="S1960" s="80"/>
      <c r="T1960" s="105">
        <f t="shared" si="294"/>
        <v>2.6666666666666665</v>
      </c>
      <c r="U1960" s="105">
        <f t="shared" si="300"/>
        <v>2.6666666666666665</v>
      </c>
      <c r="V1960" s="104">
        <f>IFERROR(VLOOKUP(L1960,'Raw material list'!$A$2:$S$3102,6,0),0)</f>
        <v>1.2E-2</v>
      </c>
      <c r="W1960" s="104">
        <f t="shared" si="301"/>
        <v>3.2000000000000001E-2</v>
      </c>
    </row>
    <row r="1961" spans="1:23" x14ac:dyDescent="0.55000000000000004">
      <c r="A1961" s="76" t="str">
        <f t="shared" si="306"/>
        <v>RCP-SMC-000156</v>
      </c>
      <c r="B1961" s="58" t="s">
        <v>35</v>
      </c>
      <c r="C1961" s="58" t="s">
        <v>10</v>
      </c>
      <c r="D1961" s="76" t="str">
        <f t="shared" si="307"/>
        <v>Sauce Caesar</v>
      </c>
      <c r="E1961" s="76" t="s">
        <v>1535</v>
      </c>
      <c r="F1961" s="76" t="s">
        <v>2077</v>
      </c>
      <c r="G1961" s="94" t="s">
        <v>1777</v>
      </c>
      <c r="H1961" s="76" t="s">
        <v>1535</v>
      </c>
      <c r="I1961" s="76"/>
      <c r="J1961" s="76"/>
      <c r="K1961" s="58" t="str">
        <f>IFERROR(VLOOKUP(L1961,'Raw material list'!$A$3:$C$715,3,0),"")</f>
        <v>PRD1-4327</v>
      </c>
      <c r="L1961" s="59" t="s">
        <v>39</v>
      </c>
      <c r="M1961" s="80" t="s">
        <v>156</v>
      </c>
      <c r="N1961" s="40" t="str">
        <f>VLOOKUP(L1961,'Raw material list'!$A$3:$E$715,5,0)</f>
        <v xml:space="preserve">Gram </v>
      </c>
      <c r="O1961" s="80">
        <v>120</v>
      </c>
      <c r="P1961" s="299">
        <f t="shared" si="299"/>
        <v>144.57831325301206</v>
      </c>
      <c r="Q1961" s="105">
        <v>83</v>
      </c>
      <c r="R1961" s="80">
        <v>900</v>
      </c>
      <c r="S1961" s="80"/>
      <c r="T1961" s="105">
        <f t="shared" si="294"/>
        <v>0.13333333333333333</v>
      </c>
      <c r="U1961" s="105">
        <f t="shared" si="300"/>
        <v>0.1606425702811245</v>
      </c>
      <c r="V1961" s="104">
        <f>IFERROR(VLOOKUP(L1961,'Raw material list'!$A$2:$S$3102,6,0),0)</f>
        <v>1.2999999999999999E-2</v>
      </c>
      <c r="W1961" s="104">
        <f t="shared" si="301"/>
        <v>2.0883534136546182E-3</v>
      </c>
    </row>
    <row r="1962" spans="1:23" x14ac:dyDescent="0.55000000000000004">
      <c r="A1962" s="76" t="str">
        <f t="shared" si="306"/>
        <v>RCP-SMC-000156</v>
      </c>
      <c r="B1962" s="58" t="s">
        <v>35</v>
      </c>
      <c r="C1962" s="58" t="s">
        <v>10</v>
      </c>
      <c r="D1962" s="76" t="str">
        <f t="shared" si="307"/>
        <v>Sauce Caesar</v>
      </c>
      <c r="E1962" s="76" t="s">
        <v>1535</v>
      </c>
      <c r="F1962" s="76" t="s">
        <v>2077</v>
      </c>
      <c r="G1962" s="94" t="s">
        <v>1777</v>
      </c>
      <c r="H1962" s="76" t="s">
        <v>1535</v>
      </c>
      <c r="I1962" s="76"/>
      <c r="J1962" s="76"/>
      <c r="K1962" s="58" t="str">
        <f>IFERROR(VLOOKUP(L1962,'Raw material list'!$A$3:$C$715,3,0),"")</f>
        <v>DRS6-537</v>
      </c>
      <c r="L1962" s="59" t="s">
        <v>46</v>
      </c>
      <c r="M1962" s="80" t="s">
        <v>156</v>
      </c>
      <c r="N1962" s="40" t="str">
        <f>VLOOKUP(L1962,'Raw material list'!$A$3:$E$715,5,0)</f>
        <v xml:space="preserve">Gram </v>
      </c>
      <c r="O1962" s="80">
        <v>60</v>
      </c>
      <c r="P1962" s="299">
        <f t="shared" si="299"/>
        <v>60</v>
      </c>
      <c r="Q1962" s="303">
        <v>100</v>
      </c>
      <c r="R1962" s="80">
        <v>900</v>
      </c>
      <c r="S1962" s="80"/>
      <c r="T1962" s="105">
        <f t="shared" ref="T1962:T2013" si="308">IFERROR(O1962/R1962,0)</f>
        <v>6.6666666666666666E-2</v>
      </c>
      <c r="U1962" s="105">
        <f t="shared" si="300"/>
        <v>6.6666666666666666E-2</v>
      </c>
      <c r="V1962" s="104">
        <f>IFERROR(VLOOKUP(L1962,'Raw material list'!$A$2:$S$3102,6,0),0)</f>
        <v>3.5000000000000003E-2</v>
      </c>
      <c r="W1962" s="104">
        <f t="shared" si="301"/>
        <v>2.3333333333333335E-3</v>
      </c>
    </row>
    <row r="1963" spans="1:23" x14ac:dyDescent="0.55000000000000004">
      <c r="A1963" s="76" t="str">
        <f t="shared" si="306"/>
        <v>RCP-SMC-000156</v>
      </c>
      <c r="B1963" s="58" t="s">
        <v>35</v>
      </c>
      <c r="C1963" s="58" t="s">
        <v>10</v>
      </c>
      <c r="D1963" s="76" t="str">
        <f t="shared" si="307"/>
        <v>Sauce Caesar</v>
      </c>
      <c r="E1963" s="76" t="s">
        <v>1535</v>
      </c>
      <c r="F1963" s="76" t="s">
        <v>2077</v>
      </c>
      <c r="G1963" s="94" t="s">
        <v>1777</v>
      </c>
      <c r="H1963" s="76" t="s">
        <v>1535</v>
      </c>
      <c r="I1963" s="76"/>
      <c r="J1963" s="76"/>
      <c r="K1963" s="58" t="str">
        <f>IFERROR(VLOOKUP(L1963,'Raw material list'!$A$3:$C$715,3,0),"")</f>
        <v>TAP-00001</v>
      </c>
      <c r="L1963" s="59" t="s">
        <v>1405</v>
      </c>
      <c r="M1963" s="80" t="s">
        <v>206</v>
      </c>
      <c r="N1963" s="40" t="str">
        <f>VLOOKUP(L1963,'Raw material list'!$A$3:$E$715,5,0)</f>
        <v>Ml</v>
      </c>
      <c r="O1963" s="80">
        <v>10</v>
      </c>
      <c r="P1963" s="299">
        <f t="shared" si="299"/>
        <v>10</v>
      </c>
      <c r="Q1963" s="80">
        <v>100</v>
      </c>
      <c r="R1963" s="80">
        <v>900</v>
      </c>
      <c r="S1963" s="80"/>
      <c r="T1963" s="105">
        <f t="shared" si="308"/>
        <v>1.1111111111111112E-2</v>
      </c>
      <c r="U1963" s="105">
        <f t="shared" si="300"/>
        <v>1.1111111111111112E-2</v>
      </c>
      <c r="V1963" s="104">
        <f>IFERROR(VLOOKUP(L1963,'Raw material list'!$A$2:$S$3102,6,0),0)</f>
        <v>8.0000000000000007E-5</v>
      </c>
      <c r="W1963" s="104">
        <f t="shared" si="301"/>
        <v>8.8888888888888898E-7</v>
      </c>
    </row>
    <row r="1964" spans="1:23" x14ac:dyDescent="0.55000000000000004">
      <c r="A1964" s="76" t="str">
        <f t="shared" si="306"/>
        <v>RCP-SMC-000156</v>
      </c>
      <c r="B1964" s="58" t="s">
        <v>35</v>
      </c>
      <c r="C1964" s="58" t="s">
        <v>10</v>
      </c>
      <c r="D1964" s="76" t="str">
        <f t="shared" si="307"/>
        <v>Sauce Caesar</v>
      </c>
      <c r="E1964" s="76" t="s">
        <v>1535</v>
      </c>
      <c r="F1964" s="76" t="s">
        <v>2077</v>
      </c>
      <c r="G1964" s="94" t="s">
        <v>1777</v>
      </c>
      <c r="H1964" s="76" t="s">
        <v>1535</v>
      </c>
      <c r="I1964" s="76"/>
      <c r="J1964" s="76"/>
      <c r="K1964" s="58" t="str">
        <f>IFERROR(VLOOKUP(L1964,'Raw material list'!$A$3:$C$715,3,0),"")</f>
        <v>DRS6-1570</v>
      </c>
      <c r="L1964" s="59" t="s">
        <v>51</v>
      </c>
      <c r="M1964" s="80" t="s">
        <v>156</v>
      </c>
      <c r="N1964" s="40" t="str">
        <f>VLOOKUP(L1964,'Raw material list'!$A$3:$E$715,5,0)</f>
        <v xml:space="preserve">Gram </v>
      </c>
      <c r="O1964" s="80">
        <v>80</v>
      </c>
      <c r="P1964" s="299">
        <f t="shared" si="299"/>
        <v>80</v>
      </c>
      <c r="Q1964" s="80">
        <v>100</v>
      </c>
      <c r="R1964" s="80">
        <v>900</v>
      </c>
      <c r="S1964" s="80"/>
      <c r="T1964" s="105">
        <f t="shared" si="308"/>
        <v>8.8888888888888892E-2</v>
      </c>
      <c r="U1964" s="105">
        <f t="shared" si="300"/>
        <v>8.8888888888888892E-2</v>
      </c>
      <c r="V1964" s="104">
        <f>IFERROR(VLOOKUP(L1964,'Raw material list'!$A$2:$S$3102,6,0),0)</f>
        <v>9.3526666666666654E-3</v>
      </c>
      <c r="W1964" s="104">
        <f t="shared" si="301"/>
        <v>8.3134814814814803E-4</v>
      </c>
    </row>
    <row r="1965" spans="1:23" hidden="1" x14ac:dyDescent="0.55000000000000004">
      <c r="A1965" s="76" t="s">
        <v>1730</v>
      </c>
      <c r="B1965" s="58" t="s">
        <v>35</v>
      </c>
      <c r="C1965" s="58" t="s">
        <v>10</v>
      </c>
      <c r="D1965" s="76" t="s">
        <v>1690</v>
      </c>
      <c r="E1965" s="76" t="s">
        <v>1589</v>
      </c>
      <c r="F1965" s="76" t="s">
        <v>2077</v>
      </c>
      <c r="G1965" s="94" t="s">
        <v>1777</v>
      </c>
      <c r="H1965" s="107" t="s">
        <v>1794</v>
      </c>
      <c r="I1965" s="76"/>
      <c r="J1965" s="76"/>
      <c r="K1965" s="58" t="str">
        <f>IFERROR(VLOOKUP(L1965,'Raw material list'!$A$3:$C$715,3,0),"")</f>
        <v>DRY1-1846</v>
      </c>
      <c r="L1965" s="59" t="s">
        <v>1667</v>
      </c>
      <c r="M1965" s="80" t="s">
        <v>156</v>
      </c>
      <c r="N1965" s="40" t="str">
        <f>VLOOKUP(L1965,'Raw material list'!$A$3:$E$715,5,0)</f>
        <v xml:space="preserve">Gram </v>
      </c>
      <c r="O1965" s="80">
        <v>9000</v>
      </c>
      <c r="P1965" s="299">
        <f t="shared" si="299"/>
        <v>9000</v>
      </c>
      <c r="Q1965" s="80">
        <v>100</v>
      </c>
      <c r="R1965" s="80">
        <v>500</v>
      </c>
      <c r="S1965" s="80"/>
      <c r="T1965" s="105">
        <f t="shared" si="308"/>
        <v>18</v>
      </c>
      <c r="U1965" s="105">
        <f t="shared" si="300"/>
        <v>18</v>
      </c>
      <c r="V1965" s="104">
        <f>IFERROR(VLOOKUP(L1965,'Raw material list'!$A$2:$S$3102,6,0),0)</f>
        <v>8.5749999999999993E-3</v>
      </c>
      <c r="W1965" s="104">
        <f t="shared" si="301"/>
        <v>0.15434999999999999</v>
      </c>
    </row>
    <row r="1966" spans="1:23" hidden="1" x14ac:dyDescent="0.55000000000000004">
      <c r="A1966" s="76" t="str">
        <f t="shared" ref="A1966:A1969" si="309">A1965</f>
        <v>RCP-SMC-000144</v>
      </c>
      <c r="B1966" s="58" t="s">
        <v>35</v>
      </c>
      <c r="C1966" s="58" t="s">
        <v>10</v>
      </c>
      <c r="D1966" s="76" t="str">
        <f t="shared" ref="D1966:D1969" si="310">D1965</f>
        <v>Herbs Cheese Sauce</v>
      </c>
      <c r="E1966" s="76" t="s">
        <v>1589</v>
      </c>
      <c r="F1966" s="76" t="s">
        <v>2077</v>
      </c>
      <c r="G1966" s="94" t="s">
        <v>1777</v>
      </c>
      <c r="H1966" s="107" t="s">
        <v>1794</v>
      </c>
      <c r="I1966" s="76"/>
      <c r="J1966" s="76"/>
      <c r="K1966" s="58" t="str">
        <f>IFERROR(VLOOKUP(L1966,'Raw material list'!$A$3:$C$715,3,0),"")</f>
        <v>DRS6-1570</v>
      </c>
      <c r="L1966" s="59" t="s">
        <v>51</v>
      </c>
      <c r="M1966" s="80" t="s">
        <v>156</v>
      </c>
      <c r="N1966" s="40" t="str">
        <f>VLOOKUP(L1966,'Raw material list'!$A$3:$E$715,5,0)</f>
        <v xml:space="preserve">Gram </v>
      </c>
      <c r="O1966" s="80">
        <v>60</v>
      </c>
      <c r="P1966" s="299">
        <f t="shared" si="299"/>
        <v>60</v>
      </c>
      <c r="Q1966" s="80">
        <v>100</v>
      </c>
      <c r="R1966" s="80">
        <v>500</v>
      </c>
      <c r="S1966" s="80"/>
      <c r="T1966" s="105">
        <f t="shared" si="308"/>
        <v>0.12</v>
      </c>
      <c r="U1966" s="105">
        <f t="shared" si="300"/>
        <v>0.12</v>
      </c>
      <c r="V1966" s="104">
        <f>IFERROR(VLOOKUP(L1966,'Raw material list'!$A$2:$S$3102,6,0),0)</f>
        <v>9.3526666666666654E-3</v>
      </c>
      <c r="W1966" s="104">
        <f t="shared" si="301"/>
        <v>1.1223199999999998E-3</v>
      </c>
    </row>
    <row r="1967" spans="1:23" hidden="1" x14ac:dyDescent="0.55000000000000004">
      <c r="A1967" s="76" t="str">
        <f t="shared" si="309"/>
        <v>RCP-SMC-000144</v>
      </c>
      <c r="B1967" s="58" t="s">
        <v>35</v>
      </c>
      <c r="C1967" s="58" t="s">
        <v>10</v>
      </c>
      <c r="D1967" s="76" t="str">
        <f t="shared" si="310"/>
        <v>Herbs Cheese Sauce</v>
      </c>
      <c r="E1967" s="76" t="s">
        <v>1589</v>
      </c>
      <c r="F1967" s="76" t="s">
        <v>2077</v>
      </c>
      <c r="G1967" s="94" t="s">
        <v>1777</v>
      </c>
      <c r="H1967" s="107" t="s">
        <v>1794</v>
      </c>
      <c r="I1967" s="76"/>
      <c r="J1967" s="76"/>
      <c r="K1967" s="58" t="str">
        <f>IFERROR(VLOOKUP(L1967,'Raw material list'!$A$3:$C$715,3,0),"")</f>
        <v>DRS6-5376</v>
      </c>
      <c r="L1967" s="59" t="s">
        <v>703</v>
      </c>
      <c r="M1967" s="80" t="s">
        <v>156</v>
      </c>
      <c r="N1967" s="40" t="str">
        <f>VLOOKUP(L1967,'Raw material list'!$A$3:$E$715,5,0)</f>
        <v xml:space="preserve">Gram </v>
      </c>
      <c r="O1967" s="80">
        <v>60</v>
      </c>
      <c r="P1967" s="299">
        <f t="shared" si="299"/>
        <v>60</v>
      </c>
      <c r="Q1967" s="80">
        <v>100</v>
      </c>
      <c r="R1967" s="80">
        <v>500</v>
      </c>
      <c r="S1967" s="80"/>
      <c r="T1967" s="105">
        <f t="shared" si="308"/>
        <v>0.12</v>
      </c>
      <c r="U1967" s="105">
        <f t="shared" si="300"/>
        <v>0.12</v>
      </c>
      <c r="V1967" s="104">
        <f>IFERROR(VLOOKUP(L1967,'Raw material list'!$A$2:$S$3102,6,0),0)</f>
        <v>2.8000000000000001E-2</v>
      </c>
      <c r="W1967" s="104">
        <f t="shared" si="301"/>
        <v>3.3600000000000001E-3</v>
      </c>
    </row>
    <row r="1968" spans="1:23" hidden="1" x14ac:dyDescent="0.55000000000000004">
      <c r="A1968" s="76" t="str">
        <f t="shared" si="309"/>
        <v>RCP-SMC-000144</v>
      </c>
      <c r="B1968" s="58" t="s">
        <v>35</v>
      </c>
      <c r="C1968" s="58" t="s">
        <v>10</v>
      </c>
      <c r="D1968" s="76" t="str">
        <f t="shared" si="310"/>
        <v>Herbs Cheese Sauce</v>
      </c>
      <c r="E1968" s="76" t="s">
        <v>1589</v>
      </c>
      <c r="F1968" s="76" t="s">
        <v>2077</v>
      </c>
      <c r="G1968" s="94" t="s">
        <v>1777</v>
      </c>
      <c r="H1968" s="107" t="s">
        <v>1794</v>
      </c>
      <c r="I1968" s="76"/>
      <c r="J1968" s="76"/>
      <c r="K1968" s="58" t="str">
        <f>IFERROR(VLOOKUP(L1968,'Raw material list'!$A$3:$C$715,3,0),"")</f>
        <v>DRY2-1858</v>
      </c>
      <c r="L1968" s="59" t="s">
        <v>60</v>
      </c>
      <c r="M1968" s="80" t="s">
        <v>206</v>
      </c>
      <c r="N1968" s="40" t="str">
        <f>VLOOKUP(L1968,'Raw material list'!$A$3:$E$715,5,0)</f>
        <v>Ml</v>
      </c>
      <c r="O1968" s="80">
        <v>3000</v>
      </c>
      <c r="P1968" s="299">
        <f t="shared" si="299"/>
        <v>3000</v>
      </c>
      <c r="Q1968" s="80">
        <v>100</v>
      </c>
      <c r="R1968" s="80">
        <v>500</v>
      </c>
      <c r="S1968" s="80"/>
      <c r="T1968" s="105">
        <f t="shared" si="308"/>
        <v>6</v>
      </c>
      <c r="U1968" s="105">
        <f t="shared" si="300"/>
        <v>6</v>
      </c>
      <c r="V1968" s="104">
        <f>IFERROR(VLOOKUP(L1968,'Raw material list'!$A$2:$S$3102,6,0),0)</f>
        <v>9.8800000000000016E-3</v>
      </c>
      <c r="W1968" s="104">
        <f t="shared" si="301"/>
        <v>5.9280000000000013E-2</v>
      </c>
    </row>
    <row r="1969" spans="1:23" hidden="1" x14ac:dyDescent="0.55000000000000004">
      <c r="A1969" s="76" t="str">
        <f t="shared" si="309"/>
        <v>RCP-SMC-000144</v>
      </c>
      <c r="B1969" s="58" t="s">
        <v>35</v>
      </c>
      <c r="C1969" s="58" t="s">
        <v>10</v>
      </c>
      <c r="D1969" s="76" t="str">
        <f t="shared" si="310"/>
        <v>Herbs Cheese Sauce</v>
      </c>
      <c r="E1969" s="76" t="s">
        <v>1589</v>
      </c>
      <c r="F1969" s="76" t="s">
        <v>2077</v>
      </c>
      <c r="G1969" s="94" t="s">
        <v>1777</v>
      </c>
      <c r="H1969" s="107" t="s">
        <v>1794</v>
      </c>
      <c r="I1969" s="76"/>
      <c r="J1969" s="76"/>
      <c r="K1969" s="58" t="str">
        <f>IFERROR(VLOOKUP(L1969,'Raw material list'!$A$3:$C$715,3,0),"")</f>
        <v>DRY2-3401</v>
      </c>
      <c r="L1969" s="59" t="s">
        <v>422</v>
      </c>
      <c r="M1969" s="80" t="s">
        <v>156</v>
      </c>
      <c r="N1969" s="40" t="str">
        <f>VLOOKUP(L1969,'Raw material list'!$A$3:$E$715,5,0)</f>
        <v xml:space="preserve">Gram </v>
      </c>
      <c r="O1969" s="80">
        <v>6000</v>
      </c>
      <c r="P1969" s="299">
        <f t="shared" si="299"/>
        <v>6000</v>
      </c>
      <c r="Q1969" s="80">
        <v>100</v>
      </c>
      <c r="R1969" s="80">
        <v>500</v>
      </c>
      <c r="S1969" s="80"/>
      <c r="T1969" s="105">
        <f t="shared" si="308"/>
        <v>12</v>
      </c>
      <c r="U1969" s="105">
        <f t="shared" si="300"/>
        <v>12</v>
      </c>
      <c r="V1969" s="104">
        <f>IFERROR(VLOOKUP(L1969,'Raw material list'!$A$2:$S$3102,6,0),0)</f>
        <v>1.2272727272727272E-2</v>
      </c>
      <c r="W1969" s="104">
        <f t="shared" si="301"/>
        <v>0.14727272727272728</v>
      </c>
    </row>
    <row r="1970" spans="1:23" hidden="1" x14ac:dyDescent="0.55000000000000004">
      <c r="A1970" s="76" t="s">
        <v>1731</v>
      </c>
      <c r="B1970" s="58" t="s">
        <v>35</v>
      </c>
      <c r="C1970" s="58" t="s">
        <v>10</v>
      </c>
      <c r="D1970" s="76" t="s">
        <v>1691</v>
      </c>
      <c r="E1970" s="76" t="s">
        <v>1589</v>
      </c>
      <c r="F1970" s="76" t="s">
        <v>2077</v>
      </c>
      <c r="G1970" s="94" t="s">
        <v>1777</v>
      </c>
      <c r="H1970" s="107" t="s">
        <v>1794</v>
      </c>
      <c r="I1970" s="76"/>
      <c r="J1970" s="76"/>
      <c r="K1970" s="58" t="str">
        <f>IFERROR(VLOOKUP(L1970,'Raw material list'!$A$3:$C$715,3,0),"")</f>
        <v>PRD1-209</v>
      </c>
      <c r="L1970" s="59" t="s">
        <v>86</v>
      </c>
      <c r="M1970" s="80" t="s">
        <v>156</v>
      </c>
      <c r="N1970" s="40" t="str">
        <f>VLOOKUP(L1970,'Raw material list'!$A$3:$E$715,5,0)</f>
        <v xml:space="preserve">Gram </v>
      </c>
      <c r="O1970" s="80">
        <v>1000</v>
      </c>
      <c r="P1970" s="299">
        <f t="shared" si="299"/>
        <v>1260.5042016806724</v>
      </c>
      <c r="Q1970" s="105">
        <v>79.333333333333329</v>
      </c>
      <c r="R1970" s="80">
        <v>90</v>
      </c>
      <c r="S1970" s="80"/>
      <c r="T1970" s="105">
        <f t="shared" si="308"/>
        <v>11.111111111111111</v>
      </c>
      <c r="U1970" s="105">
        <f t="shared" si="300"/>
        <v>14.00560224089636</v>
      </c>
      <c r="V1970" s="104">
        <f>IFERROR(VLOOKUP(L1970,'Raw material list'!$A$2:$S$3102,6,0),0)</f>
        <v>1.0088272383354349E-2</v>
      </c>
      <c r="W1970" s="104">
        <f t="shared" si="301"/>
        <v>0.14129233029908053</v>
      </c>
    </row>
    <row r="1971" spans="1:23" hidden="1" x14ac:dyDescent="0.55000000000000004">
      <c r="A1971" s="76" t="str">
        <f t="shared" ref="A1971:A1978" si="311">A1970</f>
        <v>RCP-SMC-000145</v>
      </c>
      <c r="B1971" s="58" t="s">
        <v>35</v>
      </c>
      <c r="C1971" s="58" t="s">
        <v>10</v>
      </c>
      <c r="D1971" s="76" t="str">
        <f t="shared" ref="D1971:D1978" si="312">D1970</f>
        <v>Lemon Sauce Mustard Dres</v>
      </c>
      <c r="E1971" s="76" t="s">
        <v>1589</v>
      </c>
      <c r="F1971" s="76" t="s">
        <v>2077</v>
      </c>
      <c r="G1971" s="94" t="s">
        <v>1777</v>
      </c>
      <c r="H1971" s="107" t="s">
        <v>1794</v>
      </c>
      <c r="I1971" s="76"/>
      <c r="J1971" s="76"/>
      <c r="K1971" s="58" t="str">
        <f>IFERROR(VLOOKUP(L1971,'Raw material list'!$A$3:$C$715,3,0),"")</f>
        <v>TAP-00001</v>
      </c>
      <c r="L1971" s="59" t="s">
        <v>1405</v>
      </c>
      <c r="M1971" s="80" t="s">
        <v>206</v>
      </c>
      <c r="N1971" s="40" t="str">
        <f>VLOOKUP(L1971,'Raw material list'!$A$3:$E$715,5,0)</f>
        <v>Ml</v>
      </c>
      <c r="O1971" s="80">
        <v>1500</v>
      </c>
      <c r="P1971" s="299">
        <f t="shared" si="299"/>
        <v>1500</v>
      </c>
      <c r="Q1971" s="303">
        <v>100</v>
      </c>
      <c r="R1971" s="80">
        <v>90</v>
      </c>
      <c r="S1971" s="80"/>
      <c r="T1971" s="105">
        <f t="shared" si="308"/>
        <v>16.666666666666668</v>
      </c>
      <c r="U1971" s="105">
        <f t="shared" si="300"/>
        <v>16.666666666666668</v>
      </c>
      <c r="V1971" s="104">
        <f>IFERROR(VLOOKUP(L1971,'Raw material list'!$A$2:$S$3102,6,0),0)</f>
        <v>8.0000000000000007E-5</v>
      </c>
      <c r="W1971" s="104">
        <f t="shared" si="301"/>
        <v>1.3333333333333335E-3</v>
      </c>
    </row>
    <row r="1972" spans="1:23" hidden="1" x14ac:dyDescent="0.55000000000000004">
      <c r="A1972" s="76" t="str">
        <f t="shared" si="311"/>
        <v>RCP-SMC-000145</v>
      </c>
      <c r="B1972" s="58" t="s">
        <v>35</v>
      </c>
      <c r="C1972" s="58" t="s">
        <v>10</v>
      </c>
      <c r="D1972" s="76" t="str">
        <f t="shared" si="312"/>
        <v>Lemon Sauce Mustard Dres</v>
      </c>
      <c r="E1972" s="76" t="s">
        <v>1589</v>
      </c>
      <c r="F1972" s="76" t="s">
        <v>2077</v>
      </c>
      <c r="G1972" s="94" t="s">
        <v>1777</v>
      </c>
      <c r="H1972" s="107" t="s">
        <v>1794</v>
      </c>
      <c r="I1972" s="76"/>
      <c r="J1972" s="76"/>
      <c r="K1972" s="58" t="str">
        <f>IFERROR(VLOOKUP(L1972,'Raw material list'!$A$3:$C$715,3,0),"")</f>
        <v>DRS1-3448</v>
      </c>
      <c r="L1972" s="59" t="s">
        <v>87</v>
      </c>
      <c r="M1972" s="80" t="s">
        <v>156</v>
      </c>
      <c r="N1972" s="40" t="str">
        <f>VLOOKUP(L1972,'Raw material list'!$A$3:$E$715,5,0)</f>
        <v xml:space="preserve">Gram </v>
      </c>
      <c r="O1972" s="80">
        <v>40</v>
      </c>
      <c r="P1972" s="299">
        <f t="shared" si="299"/>
        <v>40</v>
      </c>
      <c r="Q1972" s="80">
        <v>100</v>
      </c>
      <c r="R1972" s="80">
        <v>90</v>
      </c>
      <c r="S1972" s="80"/>
      <c r="T1972" s="105">
        <f t="shared" si="308"/>
        <v>0.44444444444444442</v>
      </c>
      <c r="U1972" s="105">
        <f t="shared" si="300"/>
        <v>0.44444444444444442</v>
      </c>
      <c r="V1972" s="104">
        <f>IFERROR(VLOOKUP(L1972,'Raw material list'!$A$2:$S$3102,6,0),0)</f>
        <v>5.0000000000000001E-3</v>
      </c>
      <c r="W1972" s="104">
        <f t="shared" si="301"/>
        <v>2.2222222222222222E-3</v>
      </c>
    </row>
    <row r="1973" spans="1:23" hidden="1" x14ac:dyDescent="0.55000000000000004">
      <c r="A1973" s="76" t="str">
        <f t="shared" si="311"/>
        <v>RCP-SMC-000145</v>
      </c>
      <c r="B1973" s="58" t="s">
        <v>35</v>
      </c>
      <c r="C1973" s="58" t="s">
        <v>10</v>
      </c>
      <c r="D1973" s="76" t="str">
        <f t="shared" si="312"/>
        <v>Lemon Sauce Mustard Dres</v>
      </c>
      <c r="E1973" s="76" t="s">
        <v>1589</v>
      </c>
      <c r="F1973" s="76" t="s">
        <v>2077</v>
      </c>
      <c r="G1973" s="94" t="s">
        <v>1777</v>
      </c>
      <c r="H1973" s="107" t="s">
        <v>1794</v>
      </c>
      <c r="I1973" s="76"/>
      <c r="J1973" s="76"/>
      <c r="K1973" s="58" t="str">
        <f>IFERROR(VLOOKUP(L1973,'Raw material list'!$A$3:$C$715,3,0),"")</f>
        <v>DRS3-1615</v>
      </c>
      <c r="L1973" s="59" t="s">
        <v>50</v>
      </c>
      <c r="M1973" s="80" t="s">
        <v>206</v>
      </c>
      <c r="N1973" s="40" t="str">
        <f>VLOOKUP(L1973,'Raw material list'!$A$3:$E$715,5,0)</f>
        <v>Ml</v>
      </c>
      <c r="O1973" s="80">
        <v>250</v>
      </c>
      <c r="P1973" s="299">
        <f t="shared" si="299"/>
        <v>250</v>
      </c>
      <c r="Q1973" s="80">
        <v>100</v>
      </c>
      <c r="R1973" s="80">
        <v>90</v>
      </c>
      <c r="S1973" s="80"/>
      <c r="T1973" s="105">
        <f t="shared" si="308"/>
        <v>2.7777777777777777</v>
      </c>
      <c r="U1973" s="105">
        <f t="shared" si="300"/>
        <v>2.7777777777777777</v>
      </c>
      <c r="V1973" s="104">
        <f>IFERROR(VLOOKUP(L1973,'Raw material list'!$A$2:$S$3102,6,0),0)</f>
        <v>1.2E-2</v>
      </c>
      <c r="W1973" s="104">
        <f t="shared" si="301"/>
        <v>3.3333333333333333E-2</v>
      </c>
    </row>
    <row r="1974" spans="1:23" hidden="1" x14ac:dyDescent="0.55000000000000004">
      <c r="A1974" s="76" t="str">
        <f t="shared" si="311"/>
        <v>RCP-SMC-000145</v>
      </c>
      <c r="B1974" s="58" t="s">
        <v>35</v>
      </c>
      <c r="C1974" s="58" t="s">
        <v>10</v>
      </c>
      <c r="D1974" s="76" t="str">
        <f t="shared" si="312"/>
        <v>Lemon Sauce Mustard Dres</v>
      </c>
      <c r="E1974" s="76" t="s">
        <v>1589</v>
      </c>
      <c r="F1974" s="76" t="s">
        <v>2077</v>
      </c>
      <c r="G1974" s="94" t="s">
        <v>1777</v>
      </c>
      <c r="H1974" s="107" t="s">
        <v>1794</v>
      </c>
      <c r="I1974" s="76"/>
      <c r="J1974" s="76"/>
      <c r="K1974" s="58" t="str">
        <f>IFERROR(VLOOKUP(L1974,'Raw material list'!$A$3:$C$715,3,0),"")</f>
        <v>DRS3-1813</v>
      </c>
      <c r="L1974" s="59" t="s">
        <v>69</v>
      </c>
      <c r="M1974" s="80" t="s">
        <v>206</v>
      </c>
      <c r="N1974" s="40" t="str">
        <f>VLOOKUP(L1974,'Raw material list'!$A$3:$E$715,5,0)</f>
        <v>Ml</v>
      </c>
      <c r="O1974" s="80">
        <v>250</v>
      </c>
      <c r="P1974" s="299">
        <f t="shared" si="299"/>
        <v>250</v>
      </c>
      <c r="Q1974" s="80">
        <v>100</v>
      </c>
      <c r="R1974" s="80">
        <v>90</v>
      </c>
      <c r="S1974" s="80"/>
      <c r="T1974" s="105">
        <f t="shared" si="308"/>
        <v>2.7777777777777777</v>
      </c>
      <c r="U1974" s="105">
        <f t="shared" si="300"/>
        <v>2.7777777777777777</v>
      </c>
      <c r="V1974" s="104">
        <f>IFERROR(VLOOKUP(L1974,'Raw material list'!$A$2:$S$3102,6,0),0)</f>
        <v>8.0555555555555554E-3</v>
      </c>
      <c r="W1974" s="104">
        <f t="shared" si="301"/>
        <v>2.2376543209876542E-2</v>
      </c>
    </row>
    <row r="1975" spans="1:23" hidden="1" x14ac:dyDescent="0.55000000000000004">
      <c r="A1975" s="76" t="str">
        <f t="shared" si="311"/>
        <v>RCP-SMC-000145</v>
      </c>
      <c r="B1975" s="58" t="s">
        <v>35</v>
      </c>
      <c r="C1975" s="58" t="s">
        <v>10</v>
      </c>
      <c r="D1975" s="76" t="str">
        <f t="shared" si="312"/>
        <v>Lemon Sauce Mustard Dres</v>
      </c>
      <c r="E1975" s="76" t="s">
        <v>1589</v>
      </c>
      <c r="F1975" s="76" t="s">
        <v>2077</v>
      </c>
      <c r="G1975" s="94" t="s">
        <v>1777</v>
      </c>
      <c r="H1975" s="107" t="s">
        <v>1794</v>
      </c>
      <c r="I1975" s="76"/>
      <c r="J1975" s="76"/>
      <c r="K1975" s="58" t="str">
        <f>IFERROR(VLOOKUP(L1975,'Raw material list'!$A$3:$C$715,3,0),"")</f>
        <v>DRS1-3880</v>
      </c>
      <c r="L1975" s="59" t="s">
        <v>1433</v>
      </c>
      <c r="M1975" s="80" t="s">
        <v>156</v>
      </c>
      <c r="N1975" s="40" t="str">
        <f>VLOOKUP(L1975,'Raw material list'!$A$3:$E$715,5,0)</f>
        <v xml:space="preserve">Gram </v>
      </c>
      <c r="O1975" s="80">
        <v>30</v>
      </c>
      <c r="P1975" s="299">
        <f t="shared" si="299"/>
        <v>30</v>
      </c>
      <c r="Q1975" s="80">
        <v>100</v>
      </c>
      <c r="R1975" s="80">
        <v>90</v>
      </c>
      <c r="S1975" s="80"/>
      <c r="T1975" s="105">
        <f t="shared" si="308"/>
        <v>0.33333333333333331</v>
      </c>
      <c r="U1975" s="105">
        <f t="shared" si="300"/>
        <v>0.33333333333333331</v>
      </c>
      <c r="V1975" s="104">
        <f>IFERROR(VLOOKUP(L1975,'Raw material list'!$A$2:$S$3102,6,0),0)</f>
        <v>5.0000000000000001E-4</v>
      </c>
      <c r="W1975" s="104">
        <f t="shared" si="301"/>
        <v>1.6666666666666666E-4</v>
      </c>
    </row>
    <row r="1976" spans="1:23" hidden="1" x14ac:dyDescent="0.55000000000000004">
      <c r="A1976" s="76" t="str">
        <f t="shared" si="311"/>
        <v>RCP-SMC-000145</v>
      </c>
      <c r="B1976" s="58" t="s">
        <v>35</v>
      </c>
      <c r="C1976" s="58" t="s">
        <v>10</v>
      </c>
      <c r="D1976" s="76" t="str">
        <f t="shared" si="312"/>
        <v>Lemon Sauce Mustard Dres</v>
      </c>
      <c r="E1976" s="76" t="s">
        <v>1589</v>
      </c>
      <c r="F1976" s="76" t="s">
        <v>2077</v>
      </c>
      <c r="G1976" s="94" t="s">
        <v>1777</v>
      </c>
      <c r="H1976" s="107" t="s">
        <v>1794</v>
      </c>
      <c r="I1976" s="76"/>
      <c r="J1976" s="76"/>
      <c r="K1976" s="58" t="str">
        <f>IFERROR(VLOOKUP(L1976,'Raw material list'!$A$3:$C$715,3,0),"")</f>
        <v>DRS6-309</v>
      </c>
      <c r="L1976" s="59" t="s">
        <v>61</v>
      </c>
      <c r="M1976" s="80" t="s">
        <v>156</v>
      </c>
      <c r="N1976" s="40" t="str">
        <f>VLOOKUP(L1976,'Raw material list'!$A$3:$E$715,5,0)</f>
        <v xml:space="preserve">Gram </v>
      </c>
      <c r="O1976" s="80">
        <v>5</v>
      </c>
      <c r="P1976" s="299">
        <f t="shared" si="299"/>
        <v>5</v>
      </c>
      <c r="Q1976" s="80">
        <v>100</v>
      </c>
      <c r="R1976" s="80">
        <v>90</v>
      </c>
      <c r="S1976" s="80"/>
      <c r="T1976" s="105">
        <f t="shared" si="308"/>
        <v>5.5555555555555552E-2</v>
      </c>
      <c r="U1976" s="105">
        <f t="shared" si="300"/>
        <v>5.5555555555555552E-2</v>
      </c>
      <c r="V1976" s="104">
        <f>IFERROR(VLOOKUP(L1976,'Raw material list'!$A$2:$S$3102,6,0),0)</f>
        <v>2.8000000000000001E-2</v>
      </c>
      <c r="W1976" s="104">
        <f t="shared" si="301"/>
        <v>1.5555555555555555E-3</v>
      </c>
    </row>
    <row r="1977" spans="1:23" hidden="1" x14ac:dyDescent="0.55000000000000004">
      <c r="A1977" s="76" t="str">
        <f t="shared" si="311"/>
        <v>RCP-SMC-000145</v>
      </c>
      <c r="B1977" s="58" t="s">
        <v>35</v>
      </c>
      <c r="C1977" s="58" t="s">
        <v>10</v>
      </c>
      <c r="D1977" s="76" t="str">
        <f t="shared" si="312"/>
        <v>Lemon Sauce Mustard Dres</v>
      </c>
      <c r="E1977" s="76" t="s">
        <v>1589</v>
      </c>
      <c r="F1977" s="76" t="s">
        <v>2077</v>
      </c>
      <c r="G1977" s="94" t="s">
        <v>1777</v>
      </c>
      <c r="H1977" s="107" t="s">
        <v>1794</v>
      </c>
      <c r="I1977" s="76"/>
      <c r="J1977" s="76"/>
      <c r="K1977" s="58" t="str">
        <f>IFERROR(VLOOKUP(L1977,'Raw material list'!$A$3:$C$715,3,0),"")</f>
        <v>DRS1-978</v>
      </c>
      <c r="L1977" s="59" t="s">
        <v>56</v>
      </c>
      <c r="M1977" s="80" t="s">
        <v>156</v>
      </c>
      <c r="N1977" s="40" t="str">
        <f>VLOOKUP(L1977,'Raw material list'!$A$3:$E$715,5,0)</f>
        <v xml:space="preserve">Gram </v>
      </c>
      <c r="O1977" s="80">
        <v>40</v>
      </c>
      <c r="P1977" s="299">
        <f t="shared" si="299"/>
        <v>40</v>
      </c>
      <c r="Q1977" s="80">
        <v>100</v>
      </c>
      <c r="R1977" s="80">
        <v>90</v>
      </c>
      <c r="S1977" s="80"/>
      <c r="T1977" s="105">
        <f t="shared" si="308"/>
        <v>0.44444444444444442</v>
      </c>
      <c r="U1977" s="105">
        <f t="shared" si="300"/>
        <v>0.44444444444444442</v>
      </c>
      <c r="V1977" s="104">
        <f>IFERROR(VLOOKUP(L1977,'Raw material list'!$A$2:$S$3102,6,0),0)</f>
        <v>2.3999999999999998E-3</v>
      </c>
      <c r="W1977" s="104">
        <f t="shared" si="301"/>
        <v>1.0666666666666665E-3</v>
      </c>
    </row>
    <row r="1978" spans="1:23" hidden="1" x14ac:dyDescent="0.55000000000000004">
      <c r="A1978" s="76" t="str">
        <f t="shared" si="311"/>
        <v>RCP-SMC-000145</v>
      </c>
      <c r="B1978" s="58" t="s">
        <v>35</v>
      </c>
      <c r="C1978" s="58" t="s">
        <v>10</v>
      </c>
      <c r="D1978" s="76" t="str">
        <f t="shared" si="312"/>
        <v>Lemon Sauce Mustard Dres</v>
      </c>
      <c r="E1978" s="76" t="s">
        <v>1589</v>
      </c>
      <c r="F1978" s="76" t="s">
        <v>2077</v>
      </c>
      <c r="G1978" s="94" t="s">
        <v>1777</v>
      </c>
      <c r="H1978" s="107" t="s">
        <v>1794</v>
      </c>
      <c r="I1978" s="76"/>
      <c r="J1978" s="76"/>
      <c r="K1978" s="58" t="str">
        <f>IFERROR(VLOOKUP(L1978,'Raw material list'!$A$3:$C$715,3,0),"")</f>
        <v>DRS1-1549</v>
      </c>
      <c r="L1978" s="59" t="s">
        <v>294</v>
      </c>
      <c r="M1978" s="80" t="s">
        <v>156</v>
      </c>
      <c r="N1978" s="40" t="str">
        <f>VLOOKUP(L1978,'Raw material list'!$A$3:$E$715,5,0)</f>
        <v xml:space="preserve">Gram </v>
      </c>
      <c r="O1978" s="80">
        <v>200</v>
      </c>
      <c r="P1978" s="299">
        <f t="shared" si="299"/>
        <v>200</v>
      </c>
      <c r="Q1978" s="80">
        <v>100</v>
      </c>
      <c r="R1978" s="80">
        <v>90</v>
      </c>
      <c r="S1978" s="80"/>
      <c r="T1978" s="105">
        <f t="shared" si="308"/>
        <v>2.2222222222222223</v>
      </c>
      <c r="U1978" s="105">
        <f t="shared" si="300"/>
        <v>2.2222222222222223</v>
      </c>
      <c r="V1978" s="104">
        <f>IFERROR(VLOOKUP(L1978,'Raw material list'!$A$2:$S$3102,6,0),0)</f>
        <v>7.5966850828729279E-3</v>
      </c>
      <c r="W1978" s="104">
        <f t="shared" si="301"/>
        <v>1.6881522406384283E-2</v>
      </c>
    </row>
    <row r="1979" spans="1:23" hidden="1" x14ac:dyDescent="0.55000000000000004">
      <c r="A1979" s="76" t="s">
        <v>1732</v>
      </c>
      <c r="B1979" s="58" t="s">
        <v>35</v>
      </c>
      <c r="C1979" s="58" t="s">
        <v>10</v>
      </c>
      <c r="D1979" s="76" t="s">
        <v>1692</v>
      </c>
      <c r="E1979" s="76" t="s">
        <v>1589</v>
      </c>
      <c r="F1979" s="76" t="s">
        <v>2077</v>
      </c>
      <c r="G1979" s="94" t="s">
        <v>1777</v>
      </c>
      <c r="H1979" s="107" t="s">
        <v>1794</v>
      </c>
      <c r="I1979" s="76"/>
      <c r="J1979" s="76"/>
      <c r="K1979" s="58" t="str">
        <f>IFERROR(VLOOKUP(L1979,'Raw material list'!$A$3:$C$715,3,0),"")</f>
        <v>PRD1-209</v>
      </c>
      <c r="L1979" s="59" t="s">
        <v>86</v>
      </c>
      <c r="M1979" s="80" t="s">
        <v>156</v>
      </c>
      <c r="N1979" s="40" t="str">
        <f>VLOOKUP(L1979,'Raw material list'!$A$3:$E$715,5,0)</f>
        <v xml:space="preserve">Gram </v>
      </c>
      <c r="O1979" s="80">
        <v>1000</v>
      </c>
      <c r="P1979" s="299">
        <f t="shared" si="299"/>
        <v>1260.5042016806724</v>
      </c>
      <c r="Q1979" s="105">
        <v>79.333333333333329</v>
      </c>
      <c r="R1979" s="80">
        <v>110</v>
      </c>
      <c r="S1979" s="80"/>
      <c r="T1979" s="105">
        <f t="shared" si="308"/>
        <v>9.0909090909090917</v>
      </c>
      <c r="U1979" s="105">
        <f t="shared" si="300"/>
        <v>11.45912910618793</v>
      </c>
      <c r="V1979" s="104">
        <f>IFERROR(VLOOKUP(L1979,'Raw material list'!$A$2:$S$3102,6,0),0)</f>
        <v>1.0088272383354349E-2</v>
      </c>
      <c r="W1979" s="104">
        <f t="shared" si="301"/>
        <v>0.1156028156992477</v>
      </c>
    </row>
    <row r="1980" spans="1:23" hidden="1" x14ac:dyDescent="0.55000000000000004">
      <c r="A1980" s="76" t="str">
        <f t="shared" ref="A1980:A1988" si="313">A1979</f>
        <v>RCP-SMC-000146</v>
      </c>
      <c r="B1980" s="58" t="s">
        <v>35</v>
      </c>
      <c r="C1980" s="58" t="s">
        <v>10</v>
      </c>
      <c r="D1980" s="76" t="str">
        <f t="shared" ref="D1980:D1988" si="314">D1979</f>
        <v>Molasses Dressing</v>
      </c>
      <c r="E1980" s="76" t="s">
        <v>1589</v>
      </c>
      <c r="F1980" s="76" t="s">
        <v>2077</v>
      </c>
      <c r="G1980" s="94" t="s">
        <v>1777</v>
      </c>
      <c r="H1980" s="107" t="s">
        <v>1794</v>
      </c>
      <c r="I1980" s="76"/>
      <c r="J1980" s="76"/>
      <c r="K1980" s="58" t="str">
        <f>IFERROR(VLOOKUP(L1980,'Raw material list'!$A$3:$C$715,3,0),"")</f>
        <v>TAP-00001</v>
      </c>
      <c r="L1980" s="59" t="s">
        <v>1405</v>
      </c>
      <c r="M1980" s="80" t="s">
        <v>206</v>
      </c>
      <c r="N1980" s="40" t="str">
        <f>VLOOKUP(L1980,'Raw material list'!$A$3:$E$715,5,0)</f>
        <v>Ml</v>
      </c>
      <c r="O1980" s="80">
        <v>1500</v>
      </c>
      <c r="P1980" s="299">
        <f t="shared" si="299"/>
        <v>1500</v>
      </c>
      <c r="Q1980" s="303">
        <v>100</v>
      </c>
      <c r="R1980" s="80">
        <v>110</v>
      </c>
      <c r="S1980" s="80"/>
      <c r="T1980" s="105">
        <f t="shared" si="308"/>
        <v>13.636363636363637</v>
      </c>
      <c r="U1980" s="105">
        <f t="shared" si="300"/>
        <v>13.636363636363637</v>
      </c>
      <c r="V1980" s="104">
        <f>IFERROR(VLOOKUP(L1980,'Raw material list'!$A$2:$S$3102,6,0),0)</f>
        <v>8.0000000000000007E-5</v>
      </c>
      <c r="W1980" s="104">
        <f t="shared" si="301"/>
        <v>1.090909090909091E-3</v>
      </c>
    </row>
    <row r="1981" spans="1:23" hidden="1" x14ac:dyDescent="0.55000000000000004">
      <c r="A1981" s="76" t="str">
        <f t="shared" si="313"/>
        <v>RCP-SMC-000146</v>
      </c>
      <c r="B1981" s="58" t="s">
        <v>35</v>
      </c>
      <c r="C1981" s="58" t="s">
        <v>10</v>
      </c>
      <c r="D1981" s="76" t="str">
        <f t="shared" si="314"/>
        <v>Molasses Dressing</v>
      </c>
      <c r="E1981" s="76" t="s">
        <v>1589</v>
      </c>
      <c r="F1981" s="76" t="s">
        <v>2077</v>
      </c>
      <c r="G1981" s="94" t="s">
        <v>1777</v>
      </c>
      <c r="H1981" s="107" t="s">
        <v>1794</v>
      </c>
      <c r="I1981" s="76"/>
      <c r="J1981" s="76"/>
      <c r="K1981" s="58" t="str">
        <f>IFERROR(VLOOKUP(L1981,'Raw material list'!$A$3:$C$715,3,0),"")</f>
        <v>DRS1-3448</v>
      </c>
      <c r="L1981" s="59" t="s">
        <v>87</v>
      </c>
      <c r="M1981" s="80" t="s">
        <v>156</v>
      </c>
      <c r="N1981" s="40" t="str">
        <f>VLOOKUP(L1981,'Raw material list'!$A$3:$E$715,5,0)</f>
        <v xml:space="preserve">Gram </v>
      </c>
      <c r="O1981" s="80">
        <v>40</v>
      </c>
      <c r="P1981" s="299">
        <f t="shared" si="299"/>
        <v>40</v>
      </c>
      <c r="Q1981" s="80">
        <v>100</v>
      </c>
      <c r="R1981" s="80">
        <v>110</v>
      </c>
      <c r="S1981" s="80"/>
      <c r="T1981" s="105">
        <f t="shared" si="308"/>
        <v>0.36363636363636365</v>
      </c>
      <c r="U1981" s="105">
        <f t="shared" si="300"/>
        <v>0.36363636363636365</v>
      </c>
      <c r="V1981" s="104">
        <f>IFERROR(VLOOKUP(L1981,'Raw material list'!$A$2:$S$3102,6,0),0)</f>
        <v>5.0000000000000001E-3</v>
      </c>
      <c r="W1981" s="104">
        <f t="shared" si="301"/>
        <v>1.8181818181818182E-3</v>
      </c>
    </row>
    <row r="1982" spans="1:23" hidden="1" x14ac:dyDescent="0.55000000000000004">
      <c r="A1982" s="76" t="str">
        <f t="shared" si="313"/>
        <v>RCP-SMC-000146</v>
      </c>
      <c r="B1982" s="58" t="s">
        <v>35</v>
      </c>
      <c r="C1982" s="58" t="s">
        <v>10</v>
      </c>
      <c r="D1982" s="76" t="str">
        <f t="shared" si="314"/>
        <v>Molasses Dressing</v>
      </c>
      <c r="E1982" s="76" t="s">
        <v>1589</v>
      </c>
      <c r="F1982" s="76" t="s">
        <v>2077</v>
      </c>
      <c r="G1982" s="94" t="s">
        <v>1777</v>
      </c>
      <c r="H1982" s="107" t="s">
        <v>1794</v>
      </c>
      <c r="I1982" s="76"/>
      <c r="J1982" s="76"/>
      <c r="K1982" s="58" t="str">
        <f>IFERROR(VLOOKUP(L1982,'Raw material list'!$A$3:$C$715,3,0),"")</f>
        <v>DRS3-1615</v>
      </c>
      <c r="L1982" s="59" t="s">
        <v>50</v>
      </c>
      <c r="M1982" s="80" t="s">
        <v>206</v>
      </c>
      <c r="N1982" s="40" t="str">
        <f>VLOOKUP(L1982,'Raw material list'!$A$3:$E$715,5,0)</f>
        <v>Ml</v>
      </c>
      <c r="O1982" s="80">
        <v>250</v>
      </c>
      <c r="P1982" s="299">
        <f t="shared" si="299"/>
        <v>250</v>
      </c>
      <c r="Q1982" s="80">
        <v>100</v>
      </c>
      <c r="R1982" s="80">
        <v>110</v>
      </c>
      <c r="S1982" s="80"/>
      <c r="T1982" s="105">
        <f t="shared" si="308"/>
        <v>2.2727272727272729</v>
      </c>
      <c r="U1982" s="105">
        <f t="shared" si="300"/>
        <v>2.2727272727272729</v>
      </c>
      <c r="V1982" s="104">
        <f>IFERROR(VLOOKUP(L1982,'Raw material list'!$A$2:$S$3102,6,0),0)</f>
        <v>1.2E-2</v>
      </c>
      <c r="W1982" s="104">
        <f t="shared" si="301"/>
        <v>2.7272727272727275E-2</v>
      </c>
    </row>
    <row r="1983" spans="1:23" hidden="1" x14ac:dyDescent="0.55000000000000004">
      <c r="A1983" s="76" t="str">
        <f t="shared" si="313"/>
        <v>RCP-SMC-000146</v>
      </c>
      <c r="B1983" s="58" t="s">
        <v>35</v>
      </c>
      <c r="C1983" s="58" t="s">
        <v>10</v>
      </c>
      <c r="D1983" s="76" t="str">
        <f t="shared" si="314"/>
        <v>Molasses Dressing</v>
      </c>
      <c r="E1983" s="76" t="s">
        <v>1589</v>
      </c>
      <c r="F1983" s="76" t="s">
        <v>2077</v>
      </c>
      <c r="G1983" s="94" t="s">
        <v>1777</v>
      </c>
      <c r="H1983" s="107" t="s">
        <v>1794</v>
      </c>
      <c r="I1983" s="76"/>
      <c r="J1983" s="76"/>
      <c r="K1983" s="58" t="str">
        <f>IFERROR(VLOOKUP(L1983,'Raw material list'!$A$3:$C$715,3,0),"")</f>
        <v>DRS3-1813</v>
      </c>
      <c r="L1983" s="59" t="s">
        <v>69</v>
      </c>
      <c r="M1983" s="80" t="s">
        <v>206</v>
      </c>
      <c r="N1983" s="40" t="str">
        <f>VLOOKUP(L1983,'Raw material list'!$A$3:$E$715,5,0)</f>
        <v>Ml</v>
      </c>
      <c r="O1983" s="80">
        <v>250</v>
      </c>
      <c r="P1983" s="299">
        <f t="shared" si="299"/>
        <v>250</v>
      </c>
      <c r="Q1983" s="80">
        <v>100</v>
      </c>
      <c r="R1983" s="80">
        <v>110</v>
      </c>
      <c r="S1983" s="80"/>
      <c r="T1983" s="105">
        <f t="shared" si="308"/>
        <v>2.2727272727272729</v>
      </c>
      <c r="U1983" s="105">
        <f t="shared" si="300"/>
        <v>2.2727272727272729</v>
      </c>
      <c r="V1983" s="104">
        <f>IFERROR(VLOOKUP(L1983,'Raw material list'!$A$2:$S$3102,6,0),0)</f>
        <v>8.0555555555555554E-3</v>
      </c>
      <c r="W1983" s="104">
        <f t="shared" si="301"/>
        <v>1.8308080808080808E-2</v>
      </c>
    </row>
    <row r="1984" spans="1:23" hidden="1" x14ac:dyDescent="0.55000000000000004">
      <c r="A1984" s="76" t="str">
        <f t="shared" si="313"/>
        <v>RCP-SMC-000146</v>
      </c>
      <c r="B1984" s="58" t="s">
        <v>35</v>
      </c>
      <c r="C1984" s="58" t="s">
        <v>10</v>
      </c>
      <c r="D1984" s="76" t="str">
        <f t="shared" si="314"/>
        <v>Molasses Dressing</v>
      </c>
      <c r="E1984" s="76" t="s">
        <v>1589</v>
      </c>
      <c r="F1984" s="76" t="s">
        <v>2077</v>
      </c>
      <c r="G1984" s="94" t="s">
        <v>1777</v>
      </c>
      <c r="H1984" s="107" t="s">
        <v>1794</v>
      </c>
      <c r="I1984" s="76"/>
      <c r="J1984" s="76"/>
      <c r="K1984" s="58" t="str">
        <f>IFERROR(VLOOKUP(L1984,'Raw material list'!$A$3:$C$715,3,0),"")</f>
        <v>DRS1-3880</v>
      </c>
      <c r="L1984" s="59" t="s">
        <v>1433</v>
      </c>
      <c r="M1984" s="80" t="s">
        <v>156</v>
      </c>
      <c r="N1984" s="40" t="str">
        <f>VLOOKUP(L1984,'Raw material list'!$A$3:$E$715,5,0)</f>
        <v xml:space="preserve">Gram </v>
      </c>
      <c r="O1984" s="80">
        <v>30</v>
      </c>
      <c r="P1984" s="299">
        <f t="shared" si="299"/>
        <v>30</v>
      </c>
      <c r="Q1984" s="80">
        <v>100</v>
      </c>
      <c r="R1984" s="80">
        <v>110</v>
      </c>
      <c r="S1984" s="80"/>
      <c r="T1984" s="105">
        <f t="shared" si="308"/>
        <v>0.27272727272727271</v>
      </c>
      <c r="U1984" s="105">
        <f t="shared" si="300"/>
        <v>0.27272727272727271</v>
      </c>
      <c r="V1984" s="104">
        <f>IFERROR(VLOOKUP(L1984,'Raw material list'!$A$2:$S$3102,6,0),0)</f>
        <v>5.0000000000000001E-4</v>
      </c>
      <c r="W1984" s="104">
        <f t="shared" si="301"/>
        <v>1.3636363636363637E-4</v>
      </c>
    </row>
    <row r="1985" spans="1:23" hidden="1" x14ac:dyDescent="0.55000000000000004">
      <c r="A1985" s="76" t="str">
        <f t="shared" si="313"/>
        <v>RCP-SMC-000146</v>
      </c>
      <c r="B1985" s="58" t="s">
        <v>35</v>
      </c>
      <c r="C1985" s="58" t="s">
        <v>10</v>
      </c>
      <c r="D1985" s="76" t="str">
        <f t="shared" si="314"/>
        <v>Molasses Dressing</v>
      </c>
      <c r="E1985" s="76" t="s">
        <v>1589</v>
      </c>
      <c r="F1985" s="76" t="s">
        <v>2077</v>
      </c>
      <c r="G1985" s="94" t="s">
        <v>1777</v>
      </c>
      <c r="H1985" s="107" t="s">
        <v>1794</v>
      </c>
      <c r="I1985" s="76"/>
      <c r="J1985" s="76"/>
      <c r="K1985" s="58" t="str">
        <f>IFERROR(VLOOKUP(L1985,'Raw material list'!$A$3:$C$715,3,0),"")</f>
        <v>DRS6-309</v>
      </c>
      <c r="L1985" s="59" t="s">
        <v>61</v>
      </c>
      <c r="M1985" s="80" t="s">
        <v>156</v>
      </c>
      <c r="N1985" s="40" t="str">
        <f>VLOOKUP(L1985,'Raw material list'!$A$3:$E$715,5,0)</f>
        <v xml:space="preserve">Gram </v>
      </c>
      <c r="O1985" s="80">
        <v>5</v>
      </c>
      <c r="P1985" s="299">
        <f t="shared" si="299"/>
        <v>5</v>
      </c>
      <c r="Q1985" s="80">
        <v>100</v>
      </c>
      <c r="R1985" s="80">
        <v>110</v>
      </c>
      <c r="S1985" s="80"/>
      <c r="T1985" s="105">
        <f t="shared" si="308"/>
        <v>4.5454545454545456E-2</v>
      </c>
      <c r="U1985" s="105">
        <f t="shared" si="300"/>
        <v>4.5454545454545456E-2</v>
      </c>
      <c r="V1985" s="104">
        <f>IFERROR(VLOOKUP(L1985,'Raw material list'!$A$2:$S$3102,6,0),0)</f>
        <v>2.8000000000000001E-2</v>
      </c>
      <c r="W1985" s="104">
        <f t="shared" si="301"/>
        <v>1.2727272727272728E-3</v>
      </c>
    </row>
    <row r="1986" spans="1:23" hidden="1" x14ac:dyDescent="0.55000000000000004">
      <c r="A1986" s="76" t="str">
        <f t="shared" si="313"/>
        <v>RCP-SMC-000146</v>
      </c>
      <c r="B1986" s="58" t="s">
        <v>35</v>
      </c>
      <c r="C1986" s="58" t="s">
        <v>10</v>
      </c>
      <c r="D1986" s="76" t="str">
        <f t="shared" si="314"/>
        <v>Molasses Dressing</v>
      </c>
      <c r="E1986" s="76" t="s">
        <v>1589</v>
      </c>
      <c r="F1986" s="76" t="s">
        <v>2077</v>
      </c>
      <c r="G1986" s="94" t="s">
        <v>1777</v>
      </c>
      <c r="H1986" s="107" t="s">
        <v>1794</v>
      </c>
      <c r="I1986" s="76"/>
      <c r="J1986" s="76"/>
      <c r="K1986" s="58" t="str">
        <f>IFERROR(VLOOKUP(L1986,'Raw material list'!$A$3:$C$715,3,0),"")</f>
        <v>DRS1-978</v>
      </c>
      <c r="L1986" s="59" t="s">
        <v>56</v>
      </c>
      <c r="M1986" s="80" t="s">
        <v>156</v>
      </c>
      <c r="N1986" s="40" t="str">
        <f>VLOOKUP(L1986,'Raw material list'!$A$3:$E$715,5,0)</f>
        <v xml:space="preserve">Gram </v>
      </c>
      <c r="O1986" s="80">
        <v>40</v>
      </c>
      <c r="P1986" s="299">
        <f t="shared" si="299"/>
        <v>40</v>
      </c>
      <c r="Q1986" s="80">
        <v>100</v>
      </c>
      <c r="R1986" s="80">
        <v>110</v>
      </c>
      <c r="S1986" s="80"/>
      <c r="T1986" s="105">
        <f t="shared" si="308"/>
        <v>0.36363636363636365</v>
      </c>
      <c r="U1986" s="105">
        <f t="shared" si="300"/>
        <v>0.36363636363636365</v>
      </c>
      <c r="V1986" s="104">
        <f>IFERROR(VLOOKUP(L1986,'Raw material list'!$A$2:$S$3102,6,0),0)</f>
        <v>2.3999999999999998E-3</v>
      </c>
      <c r="W1986" s="104">
        <f t="shared" si="301"/>
        <v>8.7272727272727263E-4</v>
      </c>
    </row>
    <row r="1987" spans="1:23" hidden="1" x14ac:dyDescent="0.55000000000000004">
      <c r="A1987" s="76" t="str">
        <f t="shared" si="313"/>
        <v>RCP-SMC-000146</v>
      </c>
      <c r="B1987" s="58" t="s">
        <v>35</v>
      </c>
      <c r="C1987" s="58" t="s">
        <v>10</v>
      </c>
      <c r="D1987" s="76" t="str">
        <f t="shared" si="314"/>
        <v>Molasses Dressing</v>
      </c>
      <c r="E1987" s="76" t="s">
        <v>1589</v>
      </c>
      <c r="F1987" s="76" t="s">
        <v>2077</v>
      </c>
      <c r="G1987" s="94" t="s">
        <v>1777</v>
      </c>
      <c r="H1987" s="107" t="s">
        <v>1794</v>
      </c>
      <c r="I1987" s="76"/>
      <c r="J1987" s="76"/>
      <c r="K1987" s="58" t="str">
        <f>IFERROR(VLOOKUP(L1987,'Raw material list'!$A$3:$C$715,3,0),"")</f>
        <v>DRS1-1549</v>
      </c>
      <c r="L1987" s="59" t="s">
        <v>294</v>
      </c>
      <c r="M1987" s="80" t="s">
        <v>156</v>
      </c>
      <c r="N1987" s="40" t="str">
        <f>VLOOKUP(L1987,'Raw material list'!$A$3:$E$715,5,0)</f>
        <v xml:space="preserve">Gram </v>
      </c>
      <c r="O1987" s="80">
        <v>200</v>
      </c>
      <c r="P1987" s="299">
        <f t="shared" si="299"/>
        <v>200</v>
      </c>
      <c r="Q1987" s="80">
        <v>100</v>
      </c>
      <c r="R1987" s="80">
        <v>110</v>
      </c>
      <c r="S1987" s="80"/>
      <c r="T1987" s="105">
        <f t="shared" si="308"/>
        <v>1.8181818181818181</v>
      </c>
      <c r="U1987" s="105">
        <f t="shared" si="300"/>
        <v>1.8181818181818181</v>
      </c>
      <c r="V1987" s="104">
        <f>IFERROR(VLOOKUP(L1987,'Raw material list'!$A$2:$S$3102,6,0),0)</f>
        <v>7.5966850828729279E-3</v>
      </c>
      <c r="W1987" s="104">
        <f t="shared" si="301"/>
        <v>1.3812154696132596E-2</v>
      </c>
    </row>
    <row r="1988" spans="1:23" hidden="1" x14ac:dyDescent="0.55000000000000004">
      <c r="A1988" s="76" t="str">
        <f t="shared" si="313"/>
        <v>RCP-SMC-000146</v>
      </c>
      <c r="B1988" s="58" t="s">
        <v>35</v>
      </c>
      <c r="C1988" s="58" t="s">
        <v>10</v>
      </c>
      <c r="D1988" s="76" t="str">
        <f t="shared" si="314"/>
        <v>Molasses Dressing</v>
      </c>
      <c r="E1988" s="76" t="s">
        <v>1589</v>
      </c>
      <c r="F1988" s="76" t="s">
        <v>2077</v>
      </c>
      <c r="G1988" s="94" t="s">
        <v>1777</v>
      </c>
      <c r="H1988" s="107" t="s">
        <v>1794</v>
      </c>
      <c r="I1988" s="76"/>
      <c r="J1988" s="76"/>
      <c r="K1988" s="58" t="str">
        <f>IFERROR(VLOOKUP(L1988,'Raw material list'!$A$3:$C$715,3,0),"")</f>
        <v>DRS1-1551</v>
      </c>
      <c r="L1988" s="59" t="s">
        <v>802</v>
      </c>
      <c r="M1988" s="80" t="s">
        <v>206</v>
      </c>
      <c r="N1988" s="40" t="str">
        <f>VLOOKUP(L1988,'Raw material list'!$A$3:$E$715,5,0)</f>
        <v>Ml</v>
      </c>
      <c r="O1988" s="80">
        <v>700</v>
      </c>
      <c r="P1988" s="299">
        <f t="shared" si="299"/>
        <v>700</v>
      </c>
      <c r="Q1988" s="80">
        <v>100</v>
      </c>
      <c r="R1988" s="80">
        <v>110</v>
      </c>
      <c r="S1988" s="80"/>
      <c r="T1988" s="105">
        <f t="shared" si="308"/>
        <v>6.3636363636363633</v>
      </c>
      <c r="U1988" s="105">
        <f t="shared" si="300"/>
        <v>6.3636363636363633</v>
      </c>
      <c r="V1988" s="104">
        <f>IFERROR(VLOOKUP(L1988,'Raw material list'!$A$2:$S$3102,6,0),0)</f>
        <v>1.7142857142857144E-2</v>
      </c>
      <c r="W1988" s="104">
        <f t="shared" si="301"/>
        <v>0.10909090909090909</v>
      </c>
    </row>
    <row r="1989" spans="1:23" hidden="1" x14ac:dyDescent="0.55000000000000004">
      <c r="A1989" s="76" t="s">
        <v>1733</v>
      </c>
      <c r="B1989" s="58" t="s">
        <v>35</v>
      </c>
      <c r="C1989" s="58" t="s">
        <v>10</v>
      </c>
      <c r="D1989" s="76" t="s">
        <v>1693</v>
      </c>
      <c r="E1989" s="76" t="s">
        <v>1589</v>
      </c>
      <c r="F1989" s="76" t="s">
        <v>2077</v>
      </c>
      <c r="G1989" s="94" t="s">
        <v>1777</v>
      </c>
      <c r="H1989" s="107" t="s">
        <v>1794</v>
      </c>
      <c r="I1989" s="76"/>
      <c r="J1989" s="76"/>
      <c r="K1989" s="58" t="str">
        <f>IFERROR(VLOOKUP(L1989,'Raw material list'!$A$3:$C$715,3,0),"")</f>
        <v>PRD1-209</v>
      </c>
      <c r="L1989" s="59" t="s">
        <v>86</v>
      </c>
      <c r="M1989" s="80" t="s">
        <v>156</v>
      </c>
      <c r="N1989" s="40" t="str">
        <f>VLOOKUP(L1989,'Raw material list'!$A$3:$E$715,5,0)</f>
        <v xml:space="preserve">Gram </v>
      </c>
      <c r="O1989" s="80">
        <v>1000</v>
      </c>
      <c r="P1989" s="299">
        <f t="shared" si="299"/>
        <v>1260.5042016806724</v>
      </c>
      <c r="Q1989" s="105">
        <v>79.333333333333329</v>
      </c>
      <c r="R1989" s="80">
        <v>90</v>
      </c>
      <c r="S1989" s="80"/>
      <c r="T1989" s="105">
        <f t="shared" si="308"/>
        <v>11.111111111111111</v>
      </c>
      <c r="U1989" s="105">
        <f t="shared" si="300"/>
        <v>14.00560224089636</v>
      </c>
      <c r="V1989" s="104">
        <f>IFERROR(VLOOKUP(L1989,'Raw material list'!$A$2:$S$3102,6,0),0)</f>
        <v>1.0088272383354349E-2</v>
      </c>
      <c r="W1989" s="104">
        <f t="shared" si="301"/>
        <v>0.14129233029908053</v>
      </c>
    </row>
    <row r="1990" spans="1:23" hidden="1" x14ac:dyDescent="0.55000000000000004">
      <c r="A1990" s="76" t="str">
        <f t="shared" ref="A1990:A1996" si="315">A1989</f>
        <v>RCP-SMC-000147</v>
      </c>
      <c r="B1990" s="58" t="s">
        <v>35</v>
      </c>
      <c r="C1990" s="58" t="s">
        <v>10</v>
      </c>
      <c r="D1990" s="76" t="str">
        <f t="shared" ref="D1990:D1996" si="316">D1989</f>
        <v>Tabouleh Lemon Sauce</v>
      </c>
      <c r="E1990" s="76" t="s">
        <v>1589</v>
      </c>
      <c r="F1990" s="76" t="s">
        <v>2077</v>
      </c>
      <c r="G1990" s="94" t="s">
        <v>1777</v>
      </c>
      <c r="H1990" s="107" t="s">
        <v>1794</v>
      </c>
      <c r="I1990" s="76"/>
      <c r="J1990" s="76"/>
      <c r="K1990" s="58" t="str">
        <f>IFERROR(VLOOKUP(L1990,'Raw material list'!$A$3:$C$715,3,0),"")</f>
        <v>TAP-00001</v>
      </c>
      <c r="L1990" s="59" t="s">
        <v>1405</v>
      </c>
      <c r="M1990" s="80" t="s">
        <v>206</v>
      </c>
      <c r="N1990" s="40" t="str">
        <f>VLOOKUP(L1990,'Raw material list'!$A$3:$E$715,5,0)</f>
        <v>Ml</v>
      </c>
      <c r="O1990" s="80">
        <v>1500</v>
      </c>
      <c r="P1990" s="299">
        <f t="shared" ref="P1990:P2053" si="317">O1990/Q1990*100</f>
        <v>1500</v>
      </c>
      <c r="Q1990" s="303">
        <v>100</v>
      </c>
      <c r="R1990" s="80">
        <v>90</v>
      </c>
      <c r="S1990" s="80"/>
      <c r="T1990" s="105">
        <f t="shared" si="308"/>
        <v>16.666666666666668</v>
      </c>
      <c r="U1990" s="105">
        <f t="shared" ref="U1990:U2053" si="318">IFERROR(P1990/R1990,0)</f>
        <v>16.666666666666668</v>
      </c>
      <c r="V1990" s="104">
        <f>IFERROR(VLOOKUP(L1990,'Raw material list'!$A$2:$S$3102,6,0),0)</f>
        <v>8.0000000000000007E-5</v>
      </c>
      <c r="W1990" s="104">
        <f t="shared" ref="W1990:W2053" si="319">IFERROR(V1990*U1990,0)</f>
        <v>1.3333333333333335E-3</v>
      </c>
    </row>
    <row r="1991" spans="1:23" hidden="1" x14ac:dyDescent="0.55000000000000004">
      <c r="A1991" s="76" t="str">
        <f t="shared" si="315"/>
        <v>RCP-SMC-000147</v>
      </c>
      <c r="B1991" s="58" t="s">
        <v>35</v>
      </c>
      <c r="C1991" s="58" t="s">
        <v>10</v>
      </c>
      <c r="D1991" s="76" t="str">
        <f t="shared" si="316"/>
        <v>Tabouleh Lemon Sauce</v>
      </c>
      <c r="E1991" s="76" t="s">
        <v>1589</v>
      </c>
      <c r="F1991" s="76" t="s">
        <v>2077</v>
      </c>
      <c r="G1991" s="94" t="s">
        <v>1777</v>
      </c>
      <c r="H1991" s="107" t="s">
        <v>1794</v>
      </c>
      <c r="I1991" s="76"/>
      <c r="J1991" s="76"/>
      <c r="K1991" s="58" t="str">
        <f>IFERROR(VLOOKUP(L1991,'Raw material list'!$A$3:$C$715,3,0),"")</f>
        <v>DRS1-3448</v>
      </c>
      <c r="L1991" s="59" t="s">
        <v>87</v>
      </c>
      <c r="M1991" s="80" t="s">
        <v>156</v>
      </c>
      <c r="N1991" s="40" t="str">
        <f>VLOOKUP(L1991,'Raw material list'!$A$3:$E$715,5,0)</f>
        <v xml:space="preserve">Gram </v>
      </c>
      <c r="O1991" s="80">
        <v>40</v>
      </c>
      <c r="P1991" s="299">
        <f t="shared" si="317"/>
        <v>40</v>
      </c>
      <c r="Q1991" s="80">
        <v>100</v>
      </c>
      <c r="R1991" s="80">
        <v>90</v>
      </c>
      <c r="S1991" s="80"/>
      <c r="T1991" s="105">
        <f t="shared" si="308"/>
        <v>0.44444444444444442</v>
      </c>
      <c r="U1991" s="105">
        <f t="shared" si="318"/>
        <v>0.44444444444444442</v>
      </c>
      <c r="V1991" s="104">
        <f>IFERROR(VLOOKUP(L1991,'Raw material list'!$A$2:$S$3102,6,0),0)</f>
        <v>5.0000000000000001E-3</v>
      </c>
      <c r="W1991" s="104">
        <f t="shared" si="319"/>
        <v>2.2222222222222222E-3</v>
      </c>
    </row>
    <row r="1992" spans="1:23" hidden="1" x14ac:dyDescent="0.55000000000000004">
      <c r="A1992" s="76" t="str">
        <f t="shared" si="315"/>
        <v>RCP-SMC-000147</v>
      </c>
      <c r="B1992" s="58" t="s">
        <v>35</v>
      </c>
      <c r="C1992" s="58" t="s">
        <v>10</v>
      </c>
      <c r="D1992" s="76" t="str">
        <f t="shared" si="316"/>
        <v>Tabouleh Lemon Sauce</v>
      </c>
      <c r="E1992" s="76" t="s">
        <v>1589</v>
      </c>
      <c r="F1992" s="76" t="s">
        <v>2077</v>
      </c>
      <c r="G1992" s="94" t="s">
        <v>1777</v>
      </c>
      <c r="H1992" s="107" t="s">
        <v>1794</v>
      </c>
      <c r="I1992" s="76"/>
      <c r="J1992" s="76"/>
      <c r="K1992" s="58" t="str">
        <f>IFERROR(VLOOKUP(L1992,'Raw material list'!$A$3:$C$715,3,0),"")</f>
        <v>DRS3-1615</v>
      </c>
      <c r="L1992" s="59" t="s">
        <v>50</v>
      </c>
      <c r="M1992" s="80" t="s">
        <v>206</v>
      </c>
      <c r="N1992" s="40" t="str">
        <f>VLOOKUP(L1992,'Raw material list'!$A$3:$E$715,5,0)</f>
        <v>Ml</v>
      </c>
      <c r="O1992" s="80">
        <v>350</v>
      </c>
      <c r="P1992" s="299">
        <f t="shared" si="317"/>
        <v>350</v>
      </c>
      <c r="Q1992" s="80">
        <v>100</v>
      </c>
      <c r="R1992" s="80">
        <v>90</v>
      </c>
      <c r="S1992" s="80"/>
      <c r="T1992" s="105">
        <f t="shared" si="308"/>
        <v>3.8888888888888888</v>
      </c>
      <c r="U1992" s="105">
        <f t="shared" si="318"/>
        <v>3.8888888888888888</v>
      </c>
      <c r="V1992" s="104">
        <f>IFERROR(VLOOKUP(L1992,'Raw material list'!$A$2:$S$3102,6,0),0)</f>
        <v>1.2E-2</v>
      </c>
      <c r="W1992" s="104">
        <f t="shared" si="319"/>
        <v>4.6666666666666669E-2</v>
      </c>
    </row>
    <row r="1993" spans="1:23" hidden="1" x14ac:dyDescent="0.55000000000000004">
      <c r="A1993" s="76" t="str">
        <f t="shared" si="315"/>
        <v>RCP-SMC-000147</v>
      </c>
      <c r="B1993" s="58" t="s">
        <v>35</v>
      </c>
      <c r="C1993" s="58" t="s">
        <v>10</v>
      </c>
      <c r="D1993" s="76" t="str">
        <f t="shared" si="316"/>
        <v>Tabouleh Lemon Sauce</v>
      </c>
      <c r="E1993" s="76" t="s">
        <v>1589</v>
      </c>
      <c r="F1993" s="76" t="s">
        <v>2077</v>
      </c>
      <c r="G1993" s="94" t="s">
        <v>1777</v>
      </c>
      <c r="H1993" s="107" t="s">
        <v>1794</v>
      </c>
      <c r="I1993" s="76"/>
      <c r="J1993" s="76"/>
      <c r="K1993" s="58" t="str">
        <f>IFERROR(VLOOKUP(L1993,'Raw material list'!$A$3:$C$715,3,0),"")</f>
        <v>DRS3-1813</v>
      </c>
      <c r="L1993" s="59" t="s">
        <v>69</v>
      </c>
      <c r="M1993" s="80" t="s">
        <v>206</v>
      </c>
      <c r="N1993" s="40" t="str">
        <f>VLOOKUP(L1993,'Raw material list'!$A$3:$E$715,5,0)</f>
        <v>Ml</v>
      </c>
      <c r="O1993" s="80">
        <v>300</v>
      </c>
      <c r="P1993" s="299">
        <f t="shared" si="317"/>
        <v>300</v>
      </c>
      <c r="Q1993" s="80">
        <v>100</v>
      </c>
      <c r="R1993" s="80">
        <v>90</v>
      </c>
      <c r="S1993" s="80"/>
      <c r="T1993" s="105">
        <f t="shared" si="308"/>
        <v>3.3333333333333335</v>
      </c>
      <c r="U1993" s="105">
        <f t="shared" si="318"/>
        <v>3.3333333333333335</v>
      </c>
      <c r="V1993" s="104">
        <f>IFERROR(VLOOKUP(L1993,'Raw material list'!$A$2:$S$3102,6,0),0)</f>
        <v>8.0555555555555554E-3</v>
      </c>
      <c r="W1993" s="104">
        <f t="shared" si="319"/>
        <v>2.6851851851851852E-2</v>
      </c>
    </row>
    <row r="1994" spans="1:23" hidden="1" x14ac:dyDescent="0.55000000000000004">
      <c r="A1994" s="76" t="str">
        <f t="shared" si="315"/>
        <v>RCP-SMC-000147</v>
      </c>
      <c r="B1994" s="58" t="s">
        <v>35</v>
      </c>
      <c r="C1994" s="58" t="s">
        <v>10</v>
      </c>
      <c r="D1994" s="76" t="str">
        <f t="shared" si="316"/>
        <v>Tabouleh Lemon Sauce</v>
      </c>
      <c r="E1994" s="76" t="s">
        <v>1589</v>
      </c>
      <c r="F1994" s="76" t="s">
        <v>2077</v>
      </c>
      <c r="G1994" s="94" t="s">
        <v>1777</v>
      </c>
      <c r="H1994" s="107" t="s">
        <v>1794</v>
      </c>
      <c r="I1994" s="76"/>
      <c r="J1994" s="76"/>
      <c r="K1994" s="58" t="str">
        <f>IFERROR(VLOOKUP(L1994,'Raw material list'!$A$3:$C$715,3,0),"")</f>
        <v>DRS1-3880</v>
      </c>
      <c r="L1994" s="59" t="s">
        <v>1433</v>
      </c>
      <c r="M1994" s="80" t="s">
        <v>156</v>
      </c>
      <c r="N1994" s="40" t="str">
        <f>VLOOKUP(L1994,'Raw material list'!$A$3:$E$715,5,0)</f>
        <v xml:space="preserve">Gram </v>
      </c>
      <c r="O1994" s="80">
        <v>30</v>
      </c>
      <c r="P1994" s="299">
        <f t="shared" si="317"/>
        <v>30</v>
      </c>
      <c r="Q1994" s="80">
        <v>100</v>
      </c>
      <c r="R1994" s="80">
        <v>90</v>
      </c>
      <c r="S1994" s="80"/>
      <c r="T1994" s="105">
        <f t="shared" si="308"/>
        <v>0.33333333333333331</v>
      </c>
      <c r="U1994" s="105">
        <f t="shared" si="318"/>
        <v>0.33333333333333331</v>
      </c>
      <c r="V1994" s="104">
        <f>IFERROR(VLOOKUP(L1994,'Raw material list'!$A$2:$S$3102,6,0),0)</f>
        <v>5.0000000000000001E-4</v>
      </c>
      <c r="W1994" s="104">
        <f t="shared" si="319"/>
        <v>1.6666666666666666E-4</v>
      </c>
    </row>
    <row r="1995" spans="1:23" hidden="1" x14ac:dyDescent="0.55000000000000004">
      <c r="A1995" s="76" t="str">
        <f t="shared" si="315"/>
        <v>RCP-SMC-000147</v>
      </c>
      <c r="B1995" s="58" t="s">
        <v>35</v>
      </c>
      <c r="C1995" s="58" t="s">
        <v>10</v>
      </c>
      <c r="D1995" s="76" t="str">
        <f t="shared" si="316"/>
        <v>Tabouleh Lemon Sauce</v>
      </c>
      <c r="E1995" s="76" t="s">
        <v>1589</v>
      </c>
      <c r="F1995" s="76" t="s">
        <v>2077</v>
      </c>
      <c r="G1995" s="94" t="s">
        <v>1777</v>
      </c>
      <c r="H1995" s="107" t="s">
        <v>1794</v>
      </c>
      <c r="I1995" s="76"/>
      <c r="J1995" s="76"/>
      <c r="K1995" s="58" t="str">
        <f>IFERROR(VLOOKUP(L1995,'Raw material list'!$A$3:$C$715,3,0),"")</f>
        <v>DRS6-309</v>
      </c>
      <c r="L1995" s="59" t="s">
        <v>61</v>
      </c>
      <c r="M1995" s="80" t="s">
        <v>156</v>
      </c>
      <c r="N1995" s="40" t="str">
        <f>VLOOKUP(L1995,'Raw material list'!$A$3:$E$715,5,0)</f>
        <v xml:space="preserve">Gram </v>
      </c>
      <c r="O1995" s="80">
        <v>5</v>
      </c>
      <c r="P1995" s="299">
        <f t="shared" si="317"/>
        <v>5</v>
      </c>
      <c r="Q1995" s="80">
        <v>100</v>
      </c>
      <c r="R1995" s="80">
        <v>90</v>
      </c>
      <c r="S1995" s="80"/>
      <c r="T1995" s="105">
        <f t="shared" si="308"/>
        <v>5.5555555555555552E-2</v>
      </c>
      <c r="U1995" s="105">
        <f t="shared" si="318"/>
        <v>5.5555555555555552E-2</v>
      </c>
      <c r="V1995" s="104">
        <f>IFERROR(VLOOKUP(L1995,'Raw material list'!$A$2:$S$3102,6,0),0)</f>
        <v>2.8000000000000001E-2</v>
      </c>
      <c r="W1995" s="104">
        <f t="shared" si="319"/>
        <v>1.5555555555555555E-3</v>
      </c>
    </row>
    <row r="1996" spans="1:23" hidden="1" x14ac:dyDescent="0.55000000000000004">
      <c r="A1996" s="76" t="str">
        <f t="shared" si="315"/>
        <v>RCP-SMC-000147</v>
      </c>
      <c r="B1996" s="58" t="s">
        <v>35</v>
      </c>
      <c r="C1996" s="58" t="s">
        <v>10</v>
      </c>
      <c r="D1996" s="76" t="str">
        <f t="shared" si="316"/>
        <v>Tabouleh Lemon Sauce</v>
      </c>
      <c r="E1996" s="76" t="s">
        <v>1589</v>
      </c>
      <c r="F1996" s="76" t="s">
        <v>2077</v>
      </c>
      <c r="G1996" s="94" t="s">
        <v>1777</v>
      </c>
      <c r="H1996" s="107" t="s">
        <v>1794</v>
      </c>
      <c r="I1996" s="76"/>
      <c r="J1996" s="76"/>
      <c r="K1996" s="58" t="str">
        <f>IFERROR(VLOOKUP(L1996,'Raw material list'!$A$3:$C$715,3,0),"")</f>
        <v>DRS1-978</v>
      </c>
      <c r="L1996" s="59" t="s">
        <v>56</v>
      </c>
      <c r="M1996" s="80" t="s">
        <v>156</v>
      </c>
      <c r="N1996" s="40" t="str">
        <f>VLOOKUP(L1996,'Raw material list'!$A$3:$E$715,5,0)</f>
        <v xml:space="preserve">Gram </v>
      </c>
      <c r="O1996" s="80">
        <v>40</v>
      </c>
      <c r="P1996" s="299">
        <f t="shared" si="317"/>
        <v>40</v>
      </c>
      <c r="Q1996" s="80">
        <v>100</v>
      </c>
      <c r="R1996" s="80">
        <v>90</v>
      </c>
      <c r="S1996" s="80"/>
      <c r="T1996" s="105">
        <f t="shared" si="308"/>
        <v>0.44444444444444442</v>
      </c>
      <c r="U1996" s="105">
        <f t="shared" si="318"/>
        <v>0.44444444444444442</v>
      </c>
      <c r="V1996" s="104">
        <f>IFERROR(VLOOKUP(L1996,'Raw material list'!$A$2:$S$3102,6,0),0)</f>
        <v>2.3999999999999998E-3</v>
      </c>
      <c r="W1996" s="104">
        <f t="shared" si="319"/>
        <v>1.0666666666666665E-3</v>
      </c>
    </row>
    <row r="1997" spans="1:23" x14ac:dyDescent="0.55000000000000004">
      <c r="A1997" s="76" t="s">
        <v>1741</v>
      </c>
      <c r="B1997" s="58" t="s">
        <v>35</v>
      </c>
      <c r="C1997" s="58" t="s">
        <v>10</v>
      </c>
      <c r="D1997" s="76" t="s">
        <v>1694</v>
      </c>
      <c r="E1997" s="107" t="s">
        <v>1507</v>
      </c>
      <c r="F1997" s="107" t="s">
        <v>2077</v>
      </c>
      <c r="G1997" s="94" t="s">
        <v>1777</v>
      </c>
      <c r="H1997" s="107" t="s">
        <v>1507</v>
      </c>
      <c r="I1997" s="76"/>
      <c r="J1997" s="76"/>
      <c r="K1997" s="58" t="str">
        <f>IFERROR(VLOOKUP(L1997,'Raw material list'!$A$3:$C$715,3,0),"")</f>
        <v>DRS1-58</v>
      </c>
      <c r="L1997" s="59" t="s">
        <v>779</v>
      </c>
      <c r="M1997" s="80" t="s">
        <v>156</v>
      </c>
      <c r="N1997" s="40" t="str">
        <f>VLOOKUP(L1997,'Raw material list'!$A$3:$E$715,5,0)</f>
        <v xml:space="preserve">Gram </v>
      </c>
      <c r="O1997" s="80">
        <v>3250</v>
      </c>
      <c r="P1997" s="299">
        <f t="shared" si="317"/>
        <v>3250</v>
      </c>
      <c r="Q1997" s="80">
        <v>100</v>
      </c>
      <c r="R1997" s="80">
        <v>90</v>
      </c>
      <c r="S1997" s="80"/>
      <c r="T1997" s="105">
        <f t="shared" si="308"/>
        <v>36.111111111111114</v>
      </c>
      <c r="U1997" s="105">
        <f t="shared" si="318"/>
        <v>36.111111111111114</v>
      </c>
      <c r="V1997" s="104">
        <f>IFERROR(VLOOKUP(L1997,'Raw material list'!$A$2:$S$3102,6,0),0)</f>
        <v>6.4814814814814813E-3</v>
      </c>
      <c r="W1997" s="104">
        <f t="shared" si="319"/>
        <v>0.23405349794238683</v>
      </c>
    </row>
    <row r="1998" spans="1:23" x14ac:dyDescent="0.55000000000000004">
      <c r="A1998" s="76" t="s">
        <v>1741</v>
      </c>
      <c r="B1998" s="58" t="s">
        <v>35</v>
      </c>
      <c r="C1998" s="58" t="s">
        <v>10</v>
      </c>
      <c r="D1998" s="76" t="str">
        <f t="shared" ref="D1998:D2003" si="320">D1997</f>
        <v>Thousand Island Sauce</v>
      </c>
      <c r="E1998" s="107" t="s">
        <v>1507</v>
      </c>
      <c r="F1998" s="107" t="s">
        <v>2077</v>
      </c>
      <c r="G1998" s="94" t="s">
        <v>1777</v>
      </c>
      <c r="H1998" s="107" t="s">
        <v>1507</v>
      </c>
      <c r="I1998" s="76"/>
      <c r="J1998" s="76"/>
      <c r="K1998" s="58" t="str">
        <f>IFERROR(VLOOKUP(L1998,'Raw material list'!$A$3:$C$715,3,0),"")</f>
        <v>DRS1-446</v>
      </c>
      <c r="L1998" s="59" t="s">
        <v>52</v>
      </c>
      <c r="M1998" s="80" t="s">
        <v>156</v>
      </c>
      <c r="N1998" s="40" t="str">
        <f>VLOOKUP(L1998,'Raw material list'!$A$3:$E$715,5,0)</f>
        <v xml:space="preserve">Gram </v>
      </c>
      <c r="O1998" s="80">
        <v>200</v>
      </c>
      <c r="P1998" s="299">
        <f t="shared" si="317"/>
        <v>200</v>
      </c>
      <c r="Q1998" s="80">
        <v>100</v>
      </c>
      <c r="R1998" s="80">
        <v>90</v>
      </c>
      <c r="S1998" s="80"/>
      <c r="T1998" s="105">
        <f t="shared" si="308"/>
        <v>2.2222222222222223</v>
      </c>
      <c r="U1998" s="105">
        <f t="shared" si="318"/>
        <v>2.2222222222222223</v>
      </c>
      <c r="V1998" s="104">
        <f>IFERROR(VLOOKUP(L1998,'Raw material list'!$A$2:$S$3102,6,0),0)</f>
        <v>1.2986807387862797E-2</v>
      </c>
      <c r="W1998" s="104">
        <f t="shared" si="319"/>
        <v>2.885957197302844E-2</v>
      </c>
    </row>
    <row r="1999" spans="1:23" x14ac:dyDescent="0.55000000000000004">
      <c r="A1999" s="76" t="s">
        <v>1741</v>
      </c>
      <c r="B1999" s="58" t="s">
        <v>35</v>
      </c>
      <c r="C1999" s="58" t="s">
        <v>10</v>
      </c>
      <c r="D1999" s="76" t="str">
        <f t="shared" si="320"/>
        <v>Thousand Island Sauce</v>
      </c>
      <c r="E1999" s="107" t="s">
        <v>1507</v>
      </c>
      <c r="F1999" s="107" t="s">
        <v>2077</v>
      </c>
      <c r="G1999" s="94" t="s">
        <v>1777</v>
      </c>
      <c r="H1999" s="107" t="s">
        <v>1507</v>
      </c>
      <c r="I1999" s="76"/>
      <c r="J1999" s="76"/>
      <c r="K1999" s="58" t="str">
        <f>IFERROR(VLOOKUP(L1999,'Raw material list'!$A$3:$C$715,3,0),"")</f>
        <v>DRS3-1813</v>
      </c>
      <c r="L1999" s="59" t="s">
        <v>69</v>
      </c>
      <c r="M1999" s="80" t="s">
        <v>206</v>
      </c>
      <c r="N1999" s="40" t="str">
        <f>VLOOKUP(L1999,'Raw material list'!$A$3:$E$715,5,0)</f>
        <v>Ml</v>
      </c>
      <c r="O1999" s="80">
        <v>500</v>
      </c>
      <c r="P1999" s="299">
        <f t="shared" si="317"/>
        <v>500</v>
      </c>
      <c r="Q1999" s="80">
        <v>100</v>
      </c>
      <c r="R1999" s="80">
        <v>90</v>
      </c>
      <c r="S1999" s="80"/>
      <c r="T1999" s="105">
        <f t="shared" si="308"/>
        <v>5.5555555555555554</v>
      </c>
      <c r="U1999" s="105">
        <f t="shared" si="318"/>
        <v>5.5555555555555554</v>
      </c>
      <c r="V1999" s="104">
        <f>IFERROR(VLOOKUP(L1999,'Raw material list'!$A$2:$S$3102,6,0),0)</f>
        <v>8.0555555555555554E-3</v>
      </c>
      <c r="W1999" s="104">
        <f t="shared" si="319"/>
        <v>4.4753086419753084E-2</v>
      </c>
    </row>
    <row r="2000" spans="1:23" x14ac:dyDescent="0.55000000000000004">
      <c r="A2000" s="76" t="s">
        <v>1741</v>
      </c>
      <c r="B2000" s="58" t="s">
        <v>35</v>
      </c>
      <c r="C2000" s="58" t="s">
        <v>10</v>
      </c>
      <c r="D2000" s="76" t="str">
        <f t="shared" si="320"/>
        <v>Thousand Island Sauce</v>
      </c>
      <c r="E2000" s="107" t="s">
        <v>1507</v>
      </c>
      <c r="F2000" s="107" t="s">
        <v>2077</v>
      </c>
      <c r="G2000" s="94" t="s">
        <v>1777</v>
      </c>
      <c r="H2000" s="107" t="s">
        <v>1507</v>
      </c>
      <c r="I2000" s="76"/>
      <c r="J2000" s="76"/>
      <c r="K2000" s="58" t="str">
        <f>IFERROR(VLOOKUP(L2000,'Raw material list'!$A$3:$C$715,3,0),"")</f>
        <v>PRD1-209</v>
      </c>
      <c r="L2000" s="59" t="s">
        <v>86</v>
      </c>
      <c r="M2000" s="80" t="s">
        <v>156</v>
      </c>
      <c r="N2000" s="40" t="str">
        <f>VLOOKUP(L2000,'Raw material list'!$A$3:$E$715,5,0)</f>
        <v xml:space="preserve">Gram </v>
      </c>
      <c r="O2000" s="80">
        <v>100</v>
      </c>
      <c r="P2000" s="299">
        <f t="shared" si="317"/>
        <v>126.05042016806725</v>
      </c>
      <c r="Q2000" s="105">
        <v>79.333333333333329</v>
      </c>
      <c r="R2000" s="80">
        <v>90</v>
      </c>
      <c r="S2000" s="80"/>
      <c r="T2000" s="105">
        <f t="shared" si="308"/>
        <v>1.1111111111111112</v>
      </c>
      <c r="U2000" s="105">
        <f t="shared" si="318"/>
        <v>1.400560224089636</v>
      </c>
      <c r="V2000" s="104">
        <f>IFERROR(VLOOKUP(L2000,'Raw material list'!$A$2:$S$3102,6,0),0)</f>
        <v>1.0088272383354349E-2</v>
      </c>
      <c r="W2000" s="104">
        <f t="shared" si="319"/>
        <v>1.4129233029908053E-2</v>
      </c>
    </row>
    <row r="2001" spans="1:23" x14ac:dyDescent="0.55000000000000004">
      <c r="A2001" s="76" t="s">
        <v>1741</v>
      </c>
      <c r="B2001" s="58" t="s">
        <v>35</v>
      </c>
      <c r="C2001" s="58" t="s">
        <v>10</v>
      </c>
      <c r="D2001" s="76" t="str">
        <f t="shared" si="320"/>
        <v>Thousand Island Sauce</v>
      </c>
      <c r="E2001" s="107" t="s">
        <v>1507</v>
      </c>
      <c r="F2001" s="107" t="s">
        <v>2077</v>
      </c>
      <c r="G2001" s="94" t="s">
        <v>1777</v>
      </c>
      <c r="H2001" s="107" t="s">
        <v>1507</v>
      </c>
      <c r="I2001" s="76"/>
      <c r="J2001" s="76"/>
      <c r="K2001" s="58" t="str">
        <f>IFERROR(VLOOKUP(L2001,'Raw material list'!$A$3:$C$715,3,0),"")</f>
        <v>DRS1-1039</v>
      </c>
      <c r="L2001" s="59" t="s">
        <v>110</v>
      </c>
      <c r="M2001" s="80" t="s">
        <v>156</v>
      </c>
      <c r="N2001" s="40" t="str">
        <f>VLOOKUP(L2001,'Raw material list'!$A$3:$E$715,5,0)</f>
        <v xml:space="preserve">Gram </v>
      </c>
      <c r="O2001" s="80">
        <v>750</v>
      </c>
      <c r="P2001" s="299">
        <f t="shared" si="317"/>
        <v>750</v>
      </c>
      <c r="Q2001" s="303">
        <v>100</v>
      </c>
      <c r="R2001" s="80">
        <v>90</v>
      </c>
      <c r="S2001" s="80"/>
      <c r="T2001" s="105">
        <f t="shared" si="308"/>
        <v>8.3333333333333339</v>
      </c>
      <c r="U2001" s="105">
        <f t="shared" si="318"/>
        <v>8.3333333333333339</v>
      </c>
      <c r="V2001" s="104">
        <f>IFERROR(VLOOKUP(L2001,'Raw material list'!$A$2:$S$3102,6,0),0)</f>
        <v>3.5000000000000001E-3</v>
      </c>
      <c r="W2001" s="104">
        <f t="shared" si="319"/>
        <v>2.9166666666666671E-2</v>
      </c>
    </row>
    <row r="2002" spans="1:23" x14ac:dyDescent="0.55000000000000004">
      <c r="A2002" s="76" t="s">
        <v>1741</v>
      </c>
      <c r="B2002" s="58" t="s">
        <v>35</v>
      </c>
      <c r="C2002" s="58" t="s">
        <v>10</v>
      </c>
      <c r="D2002" s="76" t="str">
        <f t="shared" si="320"/>
        <v>Thousand Island Sauce</v>
      </c>
      <c r="E2002" s="107" t="s">
        <v>1507</v>
      </c>
      <c r="F2002" s="107" t="s">
        <v>2077</v>
      </c>
      <c r="G2002" s="94" t="s">
        <v>1777</v>
      </c>
      <c r="H2002" s="107" t="s">
        <v>1507</v>
      </c>
      <c r="I2002" s="76"/>
      <c r="J2002" s="76"/>
      <c r="K2002" s="58" t="str">
        <f>IFERROR(VLOOKUP(L2002,'Raw material list'!$A$3:$C$715,3,0),"")</f>
        <v>DRS1-167</v>
      </c>
      <c r="L2002" s="59" t="s">
        <v>256</v>
      </c>
      <c r="M2002" s="80" t="s">
        <v>156</v>
      </c>
      <c r="N2002" s="40" t="str">
        <f>VLOOKUP(L2002,'Raw material list'!$A$3:$E$715,5,0)</f>
        <v xml:space="preserve">Gram </v>
      </c>
      <c r="O2002" s="80">
        <v>250</v>
      </c>
      <c r="P2002" s="299">
        <f t="shared" si="317"/>
        <v>250</v>
      </c>
      <c r="Q2002" s="80">
        <v>100</v>
      </c>
      <c r="R2002" s="80">
        <v>90</v>
      </c>
      <c r="S2002" s="80"/>
      <c r="T2002" s="105">
        <f t="shared" si="308"/>
        <v>2.7777777777777777</v>
      </c>
      <c r="U2002" s="105">
        <f t="shared" si="318"/>
        <v>2.7777777777777777</v>
      </c>
      <c r="V2002" s="104">
        <f>IFERROR(VLOOKUP(L2002,'Raw material list'!$A$2:$S$3102,6,0),0)</f>
        <v>1.29E-2</v>
      </c>
      <c r="W2002" s="104">
        <f t="shared" si="319"/>
        <v>3.5833333333333335E-2</v>
      </c>
    </row>
    <row r="2003" spans="1:23" x14ac:dyDescent="0.55000000000000004">
      <c r="A2003" s="76" t="s">
        <v>1741</v>
      </c>
      <c r="B2003" s="58" t="s">
        <v>35</v>
      </c>
      <c r="C2003" s="58" t="s">
        <v>10</v>
      </c>
      <c r="D2003" s="76" t="str">
        <f t="shared" si="320"/>
        <v>Thousand Island Sauce</v>
      </c>
      <c r="E2003" s="107" t="s">
        <v>1507</v>
      </c>
      <c r="F2003" s="107" t="s">
        <v>2077</v>
      </c>
      <c r="G2003" s="94" t="s">
        <v>1777</v>
      </c>
      <c r="H2003" s="107" t="s">
        <v>1507</v>
      </c>
      <c r="I2003" s="76"/>
      <c r="J2003" s="76"/>
      <c r="K2003" s="58" t="str">
        <f>IFERROR(VLOOKUP(L2003,'Raw material list'!$A$3:$C$715,3,0),"")</f>
        <v>DRS1-4227</v>
      </c>
      <c r="L2003" s="59" t="s">
        <v>204</v>
      </c>
      <c r="M2003" s="80" t="s">
        <v>206</v>
      </c>
      <c r="N2003" s="40" t="str">
        <f>VLOOKUP(L2003,'Raw material list'!$A$3:$E$715,5,0)</f>
        <v>Ml</v>
      </c>
      <c r="O2003" s="80">
        <v>100</v>
      </c>
      <c r="P2003" s="299">
        <f t="shared" si="317"/>
        <v>100</v>
      </c>
      <c r="Q2003" s="80">
        <v>100</v>
      </c>
      <c r="R2003" s="80">
        <v>90</v>
      </c>
      <c r="S2003" s="80"/>
      <c r="T2003" s="105">
        <f t="shared" si="308"/>
        <v>1.1111111111111112</v>
      </c>
      <c r="U2003" s="105">
        <f t="shared" si="318"/>
        <v>1.1111111111111112</v>
      </c>
      <c r="V2003" s="104">
        <f>IFERROR(VLOOKUP(L2003,'Raw material list'!$A$2:$S$3102,6,0),0)</f>
        <v>5.8139534883720929E-3</v>
      </c>
      <c r="W2003" s="104">
        <f t="shared" si="319"/>
        <v>6.4599483204134372E-3</v>
      </c>
    </row>
    <row r="2004" spans="1:23" hidden="1" x14ac:dyDescent="0.55000000000000004">
      <c r="A2004" s="76" t="s">
        <v>1735</v>
      </c>
      <c r="B2004" s="58" t="s">
        <v>35</v>
      </c>
      <c r="C2004" s="58" t="s">
        <v>10</v>
      </c>
      <c r="D2004" s="76" t="s">
        <v>1695</v>
      </c>
      <c r="E2004" s="76" t="s">
        <v>1589</v>
      </c>
      <c r="F2004" s="264" t="s">
        <v>2077</v>
      </c>
      <c r="G2004" s="94" t="s">
        <v>1778</v>
      </c>
      <c r="H2004" s="106" t="s">
        <v>1790</v>
      </c>
      <c r="I2004" s="76"/>
      <c r="J2004" s="76"/>
      <c r="K2004" s="58" t="str">
        <f>IFERROR(VLOOKUP(L2004,'Raw material list'!$A$3:$C$715,3,0),"")</f>
        <v>PRD1-213</v>
      </c>
      <c r="L2004" s="59" t="s">
        <v>1022</v>
      </c>
      <c r="M2004" s="80" t="s">
        <v>156</v>
      </c>
      <c r="N2004" s="40" t="str">
        <f>VLOOKUP(L2004,'Raw material list'!$A$3:$E$715,5,0)</f>
        <v xml:space="preserve">Gram </v>
      </c>
      <c r="O2004" s="80">
        <v>60</v>
      </c>
      <c r="P2004" s="299">
        <f t="shared" si="317"/>
        <v>81.081081081081081</v>
      </c>
      <c r="Q2004" s="105">
        <v>74</v>
      </c>
      <c r="R2004" s="80">
        <v>1</v>
      </c>
      <c r="S2004" s="80"/>
      <c r="T2004" s="105">
        <f t="shared" si="308"/>
        <v>60</v>
      </c>
      <c r="U2004" s="105">
        <f t="shared" si="318"/>
        <v>81.081081081081081</v>
      </c>
      <c r="V2004" s="104">
        <f>IFERROR(VLOOKUP(L2004,'Raw material list'!$A$2:$S$3102,6,0),0)</f>
        <v>1.2999999999999999E-2</v>
      </c>
      <c r="W2004" s="104">
        <f t="shared" si="319"/>
        <v>1.0540540540540539</v>
      </c>
    </row>
    <row r="2005" spans="1:23" hidden="1" x14ac:dyDescent="0.55000000000000004">
      <c r="A2005" s="76" t="str">
        <f t="shared" ref="A2005:A2007" si="321">A2004</f>
        <v>RCP-SMC-000149</v>
      </c>
      <c r="B2005" s="58" t="s">
        <v>35</v>
      </c>
      <c r="C2005" s="58" t="s">
        <v>10</v>
      </c>
      <c r="D2005" s="76" t="str">
        <f t="shared" ref="D2005:D2007" si="322">D2004</f>
        <v>Special Diet Salad For Soft Daily</v>
      </c>
      <c r="E2005" s="76" t="s">
        <v>1589</v>
      </c>
      <c r="F2005" s="76" t="s">
        <v>2077</v>
      </c>
      <c r="G2005" s="94" t="s">
        <v>1778</v>
      </c>
      <c r="H2005" s="106" t="s">
        <v>1790</v>
      </c>
      <c r="I2005" s="76"/>
      <c r="J2005" s="76"/>
      <c r="K2005" s="58" t="str">
        <f>IFERROR(VLOOKUP(L2005,'Raw material list'!$A$3:$C$715,3,0),"")</f>
        <v>PRD1-186</v>
      </c>
      <c r="L2005" s="59" t="s">
        <v>37</v>
      </c>
      <c r="M2005" s="80" t="s">
        <v>156</v>
      </c>
      <c r="N2005" s="40" t="str">
        <f>VLOOKUP(L2005,'Raw material list'!$A$3:$E$715,5,0)</f>
        <v xml:space="preserve">Gram </v>
      </c>
      <c r="O2005" s="80">
        <v>30</v>
      </c>
      <c r="P2005" s="299">
        <f t="shared" si="317"/>
        <v>36.734693877551017</v>
      </c>
      <c r="Q2005" s="105">
        <v>81.666666666666671</v>
      </c>
      <c r="R2005" s="80">
        <v>1</v>
      </c>
      <c r="S2005" s="80"/>
      <c r="T2005" s="105">
        <f t="shared" si="308"/>
        <v>30</v>
      </c>
      <c r="U2005" s="105">
        <f t="shared" si="318"/>
        <v>36.734693877551017</v>
      </c>
      <c r="V2005" s="104">
        <f>IFERROR(VLOOKUP(L2005,'Raw material list'!$A$2:$S$3102,6,0),0)</f>
        <v>5.8139534883720938E-3</v>
      </c>
      <c r="W2005" s="104">
        <f t="shared" si="319"/>
        <v>0.21357380161366873</v>
      </c>
    </row>
    <row r="2006" spans="1:23" hidden="1" x14ac:dyDescent="0.55000000000000004">
      <c r="A2006" s="76" t="str">
        <f t="shared" si="321"/>
        <v>RCP-SMC-000149</v>
      </c>
      <c r="B2006" s="58" t="s">
        <v>35</v>
      </c>
      <c r="C2006" s="58" t="s">
        <v>10</v>
      </c>
      <c r="D2006" s="76" t="str">
        <f t="shared" si="322"/>
        <v>Special Diet Salad For Soft Daily</v>
      </c>
      <c r="E2006" s="76" t="s">
        <v>1589</v>
      </c>
      <c r="F2006" s="76" t="s">
        <v>2077</v>
      </c>
      <c r="G2006" s="94" t="s">
        <v>1778</v>
      </c>
      <c r="H2006" s="106" t="s">
        <v>1790</v>
      </c>
      <c r="I2006" s="76"/>
      <c r="J2006" s="76"/>
      <c r="K2006" s="58" t="str">
        <f>IFERROR(VLOOKUP(L2006,'Raw material list'!$A$3:$C$715,3,0),"")</f>
        <v>PRD1-196</v>
      </c>
      <c r="L2006" s="59" t="s">
        <v>1003</v>
      </c>
      <c r="M2006" s="80" t="s">
        <v>156</v>
      </c>
      <c r="N2006" s="40" t="str">
        <f>VLOOKUP(L2006,'Raw material list'!$A$3:$E$715,5,0)</f>
        <v xml:space="preserve">Gram </v>
      </c>
      <c r="O2006" s="80">
        <v>30</v>
      </c>
      <c r="P2006" s="299">
        <f t="shared" si="317"/>
        <v>35.530990919857871</v>
      </c>
      <c r="Q2006" s="105">
        <v>84.433333333333337</v>
      </c>
      <c r="R2006" s="80">
        <v>1</v>
      </c>
      <c r="S2006" s="80"/>
      <c r="T2006" s="105">
        <f t="shared" si="308"/>
        <v>30</v>
      </c>
      <c r="U2006" s="105">
        <f t="shared" si="318"/>
        <v>35.530990919857871</v>
      </c>
      <c r="V2006" s="104">
        <f>IFERROR(VLOOKUP(L2006,'Raw material list'!$A$2:$S$3102,6,0),0)</f>
        <v>4.1469194312796203E-3</v>
      </c>
      <c r="W2006" s="104">
        <f t="shared" si="319"/>
        <v>0.14734415665817835</v>
      </c>
    </row>
    <row r="2007" spans="1:23" hidden="1" x14ac:dyDescent="0.55000000000000004">
      <c r="A2007" s="76" t="str">
        <f t="shared" si="321"/>
        <v>RCP-SMC-000149</v>
      </c>
      <c r="B2007" s="58" t="s">
        <v>35</v>
      </c>
      <c r="C2007" s="58" t="s">
        <v>10</v>
      </c>
      <c r="D2007" s="76" t="str">
        <f t="shared" si="322"/>
        <v>Special Diet Salad For Soft Daily</v>
      </c>
      <c r="E2007" s="76" t="s">
        <v>1589</v>
      </c>
      <c r="F2007" s="76" t="s">
        <v>2077</v>
      </c>
      <c r="G2007" s="94" t="s">
        <v>1778</v>
      </c>
      <c r="H2007" s="106" t="s">
        <v>1790</v>
      </c>
      <c r="I2007" s="76"/>
      <c r="J2007" s="76"/>
      <c r="K2007" s="58" t="str">
        <f>IFERROR(VLOOKUP(L2007,'Raw material list'!$A$3:$C$715,3,0),"")</f>
        <v>SUB-00003</v>
      </c>
      <c r="L2007" s="59" t="s">
        <v>1696</v>
      </c>
      <c r="M2007" s="80" t="s">
        <v>48</v>
      </c>
      <c r="N2007" s="40" t="str">
        <f>VLOOKUP(L2007,'Raw material list'!$A$3:$E$715,5,0)</f>
        <v>Each</v>
      </c>
      <c r="O2007" s="80">
        <v>1</v>
      </c>
      <c r="P2007" s="299">
        <f t="shared" si="317"/>
        <v>1</v>
      </c>
      <c r="Q2007" s="303">
        <v>100</v>
      </c>
      <c r="R2007" s="80">
        <v>1</v>
      </c>
      <c r="S2007" s="80"/>
      <c r="T2007" s="105">
        <f t="shared" si="308"/>
        <v>1</v>
      </c>
      <c r="U2007" s="105">
        <f t="shared" si="318"/>
        <v>1</v>
      </c>
      <c r="V2007" s="104">
        <f>IFERROR(VLOOKUP(L2007,'Raw material list'!$A$2:$S$3102,6,0),0)</f>
        <v>0.22</v>
      </c>
      <c r="W2007" s="104">
        <f t="shared" si="319"/>
        <v>0.22</v>
      </c>
    </row>
    <row r="2008" spans="1:23" hidden="1" x14ac:dyDescent="0.55000000000000004">
      <c r="A2008" s="76" t="s">
        <v>1736</v>
      </c>
      <c r="B2008" s="58" t="s">
        <v>35</v>
      </c>
      <c r="C2008" s="58" t="s">
        <v>10</v>
      </c>
      <c r="D2008" s="76" t="s">
        <v>1697</v>
      </c>
      <c r="E2008" s="76" t="s">
        <v>1589</v>
      </c>
      <c r="F2008" s="76" t="s">
        <v>2077</v>
      </c>
      <c r="G2008" s="94" t="s">
        <v>1778</v>
      </c>
      <c r="H2008" s="106" t="s">
        <v>1773</v>
      </c>
      <c r="I2008" s="76"/>
      <c r="J2008" s="76"/>
      <c r="K2008" s="58" t="str">
        <f>IFERROR(VLOOKUP(L2008,'Raw material list'!$A$3:$C$715,3,0),"")</f>
        <v>DRY2-1160</v>
      </c>
      <c r="L2008" s="59" t="s">
        <v>125</v>
      </c>
      <c r="M2008" s="80" t="s">
        <v>156</v>
      </c>
      <c r="N2008" s="40" t="str">
        <f>VLOOKUP(L2008,'Raw material list'!$A$3:$E$715,5,0)</f>
        <v xml:space="preserve">Gram </v>
      </c>
      <c r="O2008" s="80">
        <v>50000</v>
      </c>
      <c r="P2008" s="299">
        <f t="shared" si="317"/>
        <v>50000</v>
      </c>
      <c r="Q2008" s="80">
        <v>100</v>
      </c>
      <c r="R2008" s="80">
        <v>285</v>
      </c>
      <c r="S2008" s="80"/>
      <c r="T2008" s="105">
        <f t="shared" si="308"/>
        <v>175.43859649122808</v>
      </c>
      <c r="U2008" s="105">
        <f t="shared" si="318"/>
        <v>175.43859649122808</v>
      </c>
      <c r="V2008" s="104">
        <f>IFERROR(VLOOKUP(L2008,'Raw material list'!$A$2:$S$3102,6,0),0)</f>
        <v>4.4000000000000003E-3</v>
      </c>
      <c r="W2008" s="104">
        <f t="shared" si="319"/>
        <v>0.77192982456140358</v>
      </c>
    </row>
    <row r="2009" spans="1:23" hidden="1" x14ac:dyDescent="0.55000000000000004">
      <c r="A2009" s="76" t="str">
        <f>A2008</f>
        <v>RCP-SMC-000150</v>
      </c>
      <c r="B2009" s="58" t="s">
        <v>35</v>
      </c>
      <c r="C2009" s="58" t="s">
        <v>10</v>
      </c>
      <c r="D2009" s="76" t="str">
        <f>D2008</f>
        <v xml:space="preserve">Cucumber Yoghurt </v>
      </c>
      <c r="E2009" s="76" t="s">
        <v>1589</v>
      </c>
      <c r="F2009" s="76" t="s">
        <v>2077</v>
      </c>
      <c r="G2009" s="94" t="s">
        <v>1778</v>
      </c>
      <c r="H2009" s="106" t="s">
        <v>1773</v>
      </c>
      <c r="I2009" s="76"/>
      <c r="J2009" s="76"/>
      <c r="K2009" s="58" t="str">
        <f>IFERROR(VLOOKUP(L2009,'Raw material list'!$A$3:$C$715,3,0),"")</f>
        <v>PRD1-196</v>
      </c>
      <c r="L2009" s="59" t="s">
        <v>1003</v>
      </c>
      <c r="M2009" s="80" t="s">
        <v>156</v>
      </c>
      <c r="N2009" s="40" t="str">
        <f>VLOOKUP(L2009,'Raw material list'!$A$3:$E$715,5,0)</f>
        <v xml:space="preserve">Gram </v>
      </c>
      <c r="O2009" s="80">
        <v>8000</v>
      </c>
      <c r="P2009" s="299">
        <f t="shared" si="317"/>
        <v>9474.9309119621012</v>
      </c>
      <c r="Q2009" s="105">
        <v>84.433333333333337</v>
      </c>
      <c r="R2009" s="80">
        <v>285</v>
      </c>
      <c r="S2009" s="80"/>
      <c r="T2009" s="105">
        <f t="shared" si="308"/>
        <v>28.07017543859649</v>
      </c>
      <c r="U2009" s="105">
        <f t="shared" si="318"/>
        <v>33.245371620919656</v>
      </c>
      <c r="V2009" s="104">
        <f>IFERROR(VLOOKUP(L2009,'Raw material list'!$A$2:$S$3102,6,0),0)</f>
        <v>4.1469194312796203E-3</v>
      </c>
      <c r="W2009" s="104">
        <f t="shared" si="319"/>
        <v>0.13786587757490376</v>
      </c>
    </row>
    <row r="2010" spans="1:23" hidden="1" x14ac:dyDescent="0.55000000000000004">
      <c r="A2010" s="76" t="s">
        <v>1737</v>
      </c>
      <c r="B2010" s="58" t="s">
        <v>35</v>
      </c>
      <c r="C2010" s="58" t="s">
        <v>10</v>
      </c>
      <c r="D2010" s="76" t="s">
        <v>1698</v>
      </c>
      <c r="E2010" s="76" t="s">
        <v>1432</v>
      </c>
      <c r="F2010" s="76" t="s">
        <v>2077</v>
      </c>
      <c r="G2010" s="94" t="s">
        <v>1778</v>
      </c>
      <c r="H2010" s="106" t="s">
        <v>1774</v>
      </c>
      <c r="I2010" s="76"/>
      <c r="J2010" s="76"/>
      <c r="K2010" s="58" t="str">
        <f>IFERROR(VLOOKUP(L2010,'Raw material list'!$A$3:$C$715,3,0),"")</f>
        <v>PRD1-709</v>
      </c>
      <c r="L2010" s="59" t="s">
        <v>985</v>
      </c>
      <c r="M2010" s="80" t="s">
        <v>156</v>
      </c>
      <c r="N2010" s="40" t="str">
        <f>VLOOKUP(L2010,'Raw material list'!$A$3:$E$715,5,0)</f>
        <v xml:space="preserve">Gram </v>
      </c>
      <c r="O2010" s="80">
        <v>41000</v>
      </c>
      <c r="P2010" s="299">
        <f t="shared" si="317"/>
        <v>49003.984063745018</v>
      </c>
      <c r="Q2010" s="105">
        <v>83.666666666666671</v>
      </c>
      <c r="R2010" s="80">
        <v>360</v>
      </c>
      <c r="S2010" s="80"/>
      <c r="T2010" s="105">
        <f t="shared" si="308"/>
        <v>113.88888888888889</v>
      </c>
      <c r="U2010" s="105">
        <f t="shared" si="318"/>
        <v>136.12217795484727</v>
      </c>
      <c r="V2010" s="104">
        <f>IFERROR(VLOOKUP(L2010,'Raw material list'!$A$2:$S$3102,6,0),0)</f>
        <v>4.7789725209080054E-3</v>
      </c>
      <c r="W2010" s="104">
        <f t="shared" si="319"/>
        <v>0.65052414793236457</v>
      </c>
    </row>
    <row r="2011" spans="1:23" hidden="1" x14ac:dyDescent="0.55000000000000004">
      <c r="A2011" s="76" t="str">
        <f t="shared" ref="A2011:A2015" si="323">A2010</f>
        <v>RCP-SMC-000151</v>
      </c>
      <c r="B2011" s="58" t="s">
        <v>35</v>
      </c>
      <c r="C2011" s="58" t="s">
        <v>10</v>
      </c>
      <c r="D2011" s="76" t="str">
        <f t="shared" ref="D2011:D2015" si="324">D2010</f>
        <v>Beetroot Quinoa</v>
      </c>
      <c r="E2011" s="76" t="s">
        <v>1432</v>
      </c>
      <c r="F2011" s="76" t="s">
        <v>2077</v>
      </c>
      <c r="G2011" s="94" t="s">
        <v>1778</v>
      </c>
      <c r="H2011" s="106" t="s">
        <v>1774</v>
      </c>
      <c r="I2011" s="76"/>
      <c r="J2011" s="76"/>
      <c r="K2011" s="58" t="str">
        <f>IFERROR(VLOOKUP(L2011,'Raw material list'!$A$3:$C$715,3,0),"")</f>
        <v>DRS4-3332</v>
      </c>
      <c r="L2011" s="59" t="s">
        <v>677</v>
      </c>
      <c r="M2011" s="80" t="s">
        <v>156</v>
      </c>
      <c r="N2011" s="40" t="str">
        <f>VLOOKUP(L2011,'Raw material list'!$A$3:$E$715,5,0)</f>
        <v xml:space="preserve">Gram </v>
      </c>
      <c r="O2011" s="80">
        <v>10500</v>
      </c>
      <c r="P2011" s="299">
        <f t="shared" si="317"/>
        <v>10500</v>
      </c>
      <c r="Q2011" s="303">
        <v>100</v>
      </c>
      <c r="R2011" s="80">
        <v>360</v>
      </c>
      <c r="S2011" s="80"/>
      <c r="T2011" s="105">
        <f t="shared" si="308"/>
        <v>29.166666666666668</v>
      </c>
      <c r="U2011" s="105">
        <f t="shared" si="318"/>
        <v>29.166666666666668</v>
      </c>
      <c r="V2011" s="104">
        <f>IFERROR(VLOOKUP(L2011,'Raw material list'!$A$2:$S$3102,6,0),0)</f>
        <v>3.5000000000000003E-2</v>
      </c>
      <c r="W2011" s="104">
        <f t="shared" si="319"/>
        <v>1.0208333333333335</v>
      </c>
    </row>
    <row r="2012" spans="1:23" hidden="1" x14ac:dyDescent="0.55000000000000004">
      <c r="A2012" s="76" t="str">
        <f t="shared" si="323"/>
        <v>RCP-SMC-000151</v>
      </c>
      <c r="B2012" s="58" t="s">
        <v>35</v>
      </c>
      <c r="C2012" s="58" t="s">
        <v>10</v>
      </c>
      <c r="D2012" s="76" t="str">
        <f t="shared" si="324"/>
        <v>Beetroot Quinoa</v>
      </c>
      <c r="E2012" s="76" t="s">
        <v>1432</v>
      </c>
      <c r="F2012" s="76" t="s">
        <v>2077</v>
      </c>
      <c r="G2012" s="94" t="s">
        <v>1778</v>
      </c>
      <c r="H2012" s="106" t="s">
        <v>1774</v>
      </c>
      <c r="I2012" s="76"/>
      <c r="J2012" s="76"/>
      <c r="K2012" s="58" t="str">
        <f>IFERROR(VLOOKUP(L2012,'Raw material list'!$A$3:$C$715,3,0),"")</f>
        <v>PRD1-227</v>
      </c>
      <c r="L2012" s="59" t="s">
        <v>1038</v>
      </c>
      <c r="M2012" s="80" t="s">
        <v>156</v>
      </c>
      <c r="N2012" s="40" t="str">
        <f>VLOOKUP(L2012,'Raw material list'!$A$3:$E$715,5,0)</f>
        <v xml:space="preserve">Gram </v>
      </c>
      <c r="O2012" s="80">
        <v>1200</v>
      </c>
      <c r="P2012" s="299">
        <f t="shared" si="317"/>
        <v>3461.5384615384614</v>
      </c>
      <c r="Q2012" s="105">
        <v>34.666666666666671</v>
      </c>
      <c r="R2012" s="80">
        <v>360</v>
      </c>
      <c r="S2012" s="80"/>
      <c r="T2012" s="105">
        <f t="shared" si="308"/>
        <v>3.3333333333333335</v>
      </c>
      <c r="U2012" s="105">
        <f t="shared" si="318"/>
        <v>9.615384615384615</v>
      </c>
      <c r="V2012" s="104">
        <f>IFERROR(VLOOKUP(L2012,'Raw material list'!$A$2:$S$3102,6,0),0)</f>
        <v>1.5850144092219021E-2</v>
      </c>
      <c r="W2012" s="104">
        <f t="shared" si="319"/>
        <v>0.15240523165595213</v>
      </c>
    </row>
    <row r="2013" spans="1:23" hidden="1" x14ac:dyDescent="0.55000000000000004">
      <c r="A2013" s="76" t="str">
        <f t="shared" si="323"/>
        <v>RCP-SMC-000151</v>
      </c>
      <c r="B2013" s="58" t="s">
        <v>35</v>
      </c>
      <c r="C2013" s="58" t="s">
        <v>10</v>
      </c>
      <c r="D2013" s="76" t="str">
        <f t="shared" si="324"/>
        <v>Beetroot Quinoa</v>
      </c>
      <c r="E2013" s="76" t="s">
        <v>1432</v>
      </c>
      <c r="F2013" s="76" t="s">
        <v>2077</v>
      </c>
      <c r="G2013" s="94" t="s">
        <v>1778</v>
      </c>
      <c r="H2013" s="106" t="s">
        <v>1774</v>
      </c>
      <c r="I2013" s="76"/>
      <c r="J2013" s="76"/>
      <c r="K2013" s="58" t="str">
        <f>IFERROR(VLOOKUP(L2013,'Raw material list'!$A$3:$C$715,3,0),"")</f>
        <v>DRS3-1615</v>
      </c>
      <c r="L2013" s="59" t="s">
        <v>50</v>
      </c>
      <c r="M2013" s="80" t="s">
        <v>206</v>
      </c>
      <c r="N2013" s="40" t="str">
        <f>VLOOKUP(L2013,'Raw material list'!$A$3:$E$715,5,0)</f>
        <v>Ml</v>
      </c>
      <c r="O2013" s="80">
        <v>2000</v>
      </c>
      <c r="P2013" s="299">
        <f t="shared" si="317"/>
        <v>2000</v>
      </c>
      <c r="Q2013" s="303">
        <v>100</v>
      </c>
      <c r="R2013" s="80">
        <v>360</v>
      </c>
      <c r="S2013" s="80"/>
      <c r="T2013" s="105">
        <f t="shared" si="308"/>
        <v>5.5555555555555554</v>
      </c>
      <c r="U2013" s="105">
        <f t="shared" si="318"/>
        <v>5.5555555555555554</v>
      </c>
      <c r="V2013" s="104">
        <f>IFERROR(VLOOKUP(L2013,'Raw material list'!$A$2:$S$3102,6,0),0)</f>
        <v>1.2E-2</v>
      </c>
      <c r="W2013" s="104">
        <f t="shared" si="319"/>
        <v>6.6666666666666666E-2</v>
      </c>
    </row>
    <row r="2014" spans="1:23" hidden="1" x14ac:dyDescent="0.55000000000000004">
      <c r="A2014" s="76" t="str">
        <f t="shared" si="323"/>
        <v>RCP-SMC-000151</v>
      </c>
      <c r="B2014" s="58" t="s">
        <v>35</v>
      </c>
      <c r="C2014" s="58" t="s">
        <v>10</v>
      </c>
      <c r="D2014" s="76" t="str">
        <f t="shared" si="324"/>
        <v>Beetroot Quinoa</v>
      </c>
      <c r="E2014" s="76" t="s">
        <v>1432</v>
      </c>
      <c r="F2014" s="76" t="s">
        <v>2077</v>
      </c>
      <c r="G2014" s="94" t="s">
        <v>1778</v>
      </c>
      <c r="H2014" s="106" t="s">
        <v>1774</v>
      </c>
      <c r="I2014" s="76"/>
      <c r="J2014" s="76"/>
      <c r="K2014" s="58" t="str">
        <f>IFERROR(VLOOKUP(L2014,'Raw material list'!$A$3:$C$715,3,0),"")</f>
        <v>PRD3-4230</v>
      </c>
      <c r="L2014" s="59" t="s">
        <v>952</v>
      </c>
      <c r="M2014" s="80" t="s">
        <v>156</v>
      </c>
      <c r="N2014" s="40" t="str">
        <f>VLOOKUP(L2014,'Raw material list'!$A$3:$E$715,5,0)</f>
        <v xml:space="preserve">Gram </v>
      </c>
      <c r="O2014" s="80">
        <v>1500</v>
      </c>
      <c r="P2014" s="299">
        <f t="shared" si="317"/>
        <v>1500</v>
      </c>
      <c r="Q2014" s="80">
        <v>100</v>
      </c>
      <c r="R2014" s="80">
        <v>360</v>
      </c>
      <c r="S2014" s="80"/>
      <c r="T2014" s="105">
        <f t="shared" ref="T2014:T2049" si="325">IFERROR(O2014/R2014,0)</f>
        <v>4.166666666666667</v>
      </c>
      <c r="U2014" s="105">
        <f t="shared" si="318"/>
        <v>4.166666666666667</v>
      </c>
      <c r="V2014" s="104">
        <f>IFERROR(VLOOKUP(L2014,'Raw material list'!$A$2:$S$3102,6,0),0)</f>
        <v>3.7999999999999999E-2</v>
      </c>
      <c r="W2014" s="104">
        <f t="shared" si="319"/>
        <v>0.15833333333333335</v>
      </c>
    </row>
    <row r="2015" spans="1:23" hidden="1" x14ac:dyDescent="0.55000000000000004">
      <c r="A2015" s="76" t="str">
        <f t="shared" si="323"/>
        <v>RCP-SMC-000151</v>
      </c>
      <c r="B2015" s="58" t="s">
        <v>35</v>
      </c>
      <c r="C2015" s="58" t="s">
        <v>10</v>
      </c>
      <c r="D2015" s="76" t="str">
        <f t="shared" si="324"/>
        <v>Beetroot Quinoa</v>
      </c>
      <c r="E2015" s="76" t="s">
        <v>1432</v>
      </c>
      <c r="F2015" s="76" t="s">
        <v>2077</v>
      </c>
      <c r="G2015" s="94" t="s">
        <v>1778</v>
      </c>
      <c r="H2015" s="106" t="s">
        <v>1774</v>
      </c>
      <c r="I2015" s="76"/>
      <c r="J2015" s="76"/>
      <c r="K2015" s="58" t="str">
        <f>IFERROR(VLOOKUP(L2015,'Raw material list'!$A$3:$C$715,3,0),"")</f>
        <v>PRD1-209</v>
      </c>
      <c r="L2015" s="59" t="s">
        <v>86</v>
      </c>
      <c r="M2015" s="80" t="s">
        <v>156</v>
      </c>
      <c r="N2015" s="40" t="str">
        <f>VLOOKUP(L2015,'Raw material list'!$A$3:$E$715,5,0)</f>
        <v xml:space="preserve">Gram </v>
      </c>
      <c r="O2015" s="80">
        <v>5000</v>
      </c>
      <c r="P2015" s="299">
        <f t="shared" si="317"/>
        <v>6302.5210084033615</v>
      </c>
      <c r="Q2015" s="105">
        <v>79.333333333333329</v>
      </c>
      <c r="R2015" s="80">
        <v>360</v>
      </c>
      <c r="S2015" s="80"/>
      <c r="T2015" s="105">
        <f t="shared" si="325"/>
        <v>13.888888888888889</v>
      </c>
      <c r="U2015" s="105">
        <f t="shared" si="318"/>
        <v>17.50700280112045</v>
      </c>
      <c r="V2015" s="104">
        <f>IFERROR(VLOOKUP(L2015,'Raw material list'!$A$2:$S$3102,6,0),0)</f>
        <v>1.0088272383354349E-2</v>
      </c>
      <c r="W2015" s="104">
        <f t="shared" si="319"/>
        <v>0.17661541287385066</v>
      </c>
    </row>
    <row r="2016" spans="1:23" x14ac:dyDescent="0.55000000000000004">
      <c r="A2016" s="76" t="s">
        <v>1738</v>
      </c>
      <c r="B2016" s="58" t="s">
        <v>35</v>
      </c>
      <c r="C2016" s="58" t="s">
        <v>10</v>
      </c>
      <c r="D2016" s="76" t="s">
        <v>1699</v>
      </c>
      <c r="E2016" s="76" t="s">
        <v>1448</v>
      </c>
      <c r="F2016" s="76" t="s">
        <v>2077</v>
      </c>
      <c r="G2016" s="94" t="s">
        <v>1778</v>
      </c>
      <c r="H2016" s="106" t="s">
        <v>1774</v>
      </c>
      <c r="I2016" s="76"/>
      <c r="J2016" s="76"/>
      <c r="K2016" s="58" t="str">
        <f>IFERROR(VLOOKUP(L2016,'Raw material list'!$A$3:$C$715,3,0),"")</f>
        <v>PRD1-213</v>
      </c>
      <c r="L2016" s="59" t="s">
        <v>1022</v>
      </c>
      <c r="M2016" s="80" t="s">
        <v>156</v>
      </c>
      <c r="N2016" s="40" t="str">
        <f>VLOOKUP(L2016,'Raw material list'!$A$3:$E$715,5,0)</f>
        <v xml:space="preserve">Gram </v>
      </c>
      <c r="O2016" s="80">
        <v>70</v>
      </c>
      <c r="P2016" s="299">
        <f t="shared" si="317"/>
        <v>94.594594594594597</v>
      </c>
      <c r="Q2016" s="105">
        <v>74</v>
      </c>
      <c r="R2016" s="80">
        <v>1</v>
      </c>
      <c r="S2016" s="80"/>
      <c r="T2016" s="105">
        <f t="shared" si="325"/>
        <v>70</v>
      </c>
      <c r="U2016" s="105">
        <f t="shared" si="318"/>
        <v>94.594594594594597</v>
      </c>
      <c r="V2016" s="104">
        <f>IFERROR(VLOOKUP(L2016,'Raw material list'!$A$2:$S$3102,6,0),0)</f>
        <v>1.2999999999999999E-2</v>
      </c>
      <c r="W2016" s="104">
        <f t="shared" si="319"/>
        <v>1.2297297297297296</v>
      </c>
    </row>
    <row r="2017" spans="1:23" x14ac:dyDescent="0.55000000000000004">
      <c r="A2017" s="76" t="str">
        <f t="shared" ref="A2017:A2022" si="326">A2016</f>
        <v>RCP-SMC-000152</v>
      </c>
      <c r="B2017" s="58" t="s">
        <v>35</v>
      </c>
      <c r="C2017" s="58" t="s">
        <v>10</v>
      </c>
      <c r="D2017" s="76" t="str">
        <f t="shared" ref="D2017:D2022" si="327">D2016</f>
        <v>Fattouch Salad W molasses</v>
      </c>
      <c r="E2017" s="76" t="s">
        <v>1448</v>
      </c>
      <c r="F2017" s="76" t="s">
        <v>2077</v>
      </c>
      <c r="G2017" s="94" t="s">
        <v>1778</v>
      </c>
      <c r="H2017" s="106" t="s">
        <v>1774</v>
      </c>
      <c r="I2017" s="76"/>
      <c r="J2017" s="76"/>
      <c r="K2017" s="58" t="str">
        <f>IFERROR(VLOOKUP(L2017,'Raw material list'!$A$3:$C$715,3,0),"")</f>
        <v>PRD1-240</v>
      </c>
      <c r="L2017" s="59" t="s">
        <v>82</v>
      </c>
      <c r="M2017" s="80" t="s">
        <v>156</v>
      </c>
      <c r="N2017" s="40" t="str">
        <f>VLOOKUP(L2017,'Raw material list'!$A$3:$E$715,5,0)</f>
        <v xml:space="preserve">Gram </v>
      </c>
      <c r="O2017" s="80">
        <v>20</v>
      </c>
      <c r="P2017" s="299">
        <f t="shared" si="317"/>
        <v>29.55665024630542</v>
      </c>
      <c r="Q2017" s="105">
        <v>67.666666666666657</v>
      </c>
      <c r="R2017" s="80">
        <v>1</v>
      </c>
      <c r="S2017" s="80"/>
      <c r="T2017" s="105">
        <f t="shared" si="325"/>
        <v>20</v>
      </c>
      <c r="U2017" s="105">
        <f t="shared" si="318"/>
        <v>29.55665024630542</v>
      </c>
      <c r="V2017" s="104">
        <f>IFERROR(VLOOKUP(L2017,'Raw material list'!$A$2:$S$3102,6,0),0)</f>
        <v>1.3293943870014769E-2</v>
      </c>
      <c r="W2017" s="104">
        <f t="shared" si="319"/>
        <v>0.39292444936004245</v>
      </c>
    </row>
    <row r="2018" spans="1:23" x14ac:dyDescent="0.55000000000000004">
      <c r="A2018" s="76" t="str">
        <f t="shared" si="326"/>
        <v>RCP-SMC-000152</v>
      </c>
      <c r="B2018" s="58" t="s">
        <v>35</v>
      </c>
      <c r="C2018" s="58" t="s">
        <v>10</v>
      </c>
      <c r="D2018" s="76" t="str">
        <f t="shared" si="327"/>
        <v>Fattouch Salad W molasses</v>
      </c>
      <c r="E2018" s="76" t="s">
        <v>1448</v>
      </c>
      <c r="F2018" s="76" t="s">
        <v>2077</v>
      </c>
      <c r="G2018" s="94" t="s">
        <v>1778</v>
      </c>
      <c r="H2018" s="106" t="s">
        <v>1774</v>
      </c>
      <c r="I2018" s="76"/>
      <c r="J2018" s="76"/>
      <c r="K2018" s="58" t="str">
        <f>IFERROR(VLOOKUP(L2018,'Raw material list'!$A$3:$C$715,3,0),"")</f>
        <v>PRD1-196</v>
      </c>
      <c r="L2018" s="59" t="s">
        <v>1003</v>
      </c>
      <c r="M2018" s="80" t="s">
        <v>156</v>
      </c>
      <c r="N2018" s="40" t="str">
        <f>VLOOKUP(L2018,'Raw material list'!$A$3:$E$715,5,0)</f>
        <v xml:space="preserve">Gram </v>
      </c>
      <c r="O2018" s="80">
        <v>20</v>
      </c>
      <c r="P2018" s="299">
        <f t="shared" si="317"/>
        <v>23.687327279905247</v>
      </c>
      <c r="Q2018" s="105">
        <v>84.433333333333337</v>
      </c>
      <c r="R2018" s="80">
        <v>1</v>
      </c>
      <c r="S2018" s="80"/>
      <c r="T2018" s="105">
        <f t="shared" si="325"/>
        <v>20</v>
      </c>
      <c r="U2018" s="105">
        <f t="shared" si="318"/>
        <v>23.687327279905247</v>
      </c>
      <c r="V2018" s="104">
        <f>IFERROR(VLOOKUP(L2018,'Raw material list'!$A$2:$S$3102,6,0),0)</f>
        <v>4.1469194312796203E-3</v>
      </c>
      <c r="W2018" s="104">
        <f t="shared" si="319"/>
        <v>9.8229437772118899E-2</v>
      </c>
    </row>
    <row r="2019" spans="1:23" x14ac:dyDescent="0.55000000000000004">
      <c r="A2019" s="76" t="str">
        <f t="shared" si="326"/>
        <v>RCP-SMC-000152</v>
      </c>
      <c r="B2019" s="58" t="s">
        <v>35</v>
      </c>
      <c r="C2019" s="58" t="s">
        <v>10</v>
      </c>
      <c r="D2019" s="76" t="str">
        <f t="shared" si="327"/>
        <v>Fattouch Salad W molasses</v>
      </c>
      <c r="E2019" s="76" t="s">
        <v>1448</v>
      </c>
      <c r="F2019" s="76" t="s">
        <v>2077</v>
      </c>
      <c r="G2019" s="94" t="s">
        <v>1778</v>
      </c>
      <c r="H2019" s="106" t="s">
        <v>1774</v>
      </c>
      <c r="I2019" s="76"/>
      <c r="J2019" s="76"/>
      <c r="K2019" s="58" t="str">
        <f>IFERROR(VLOOKUP(L2019,'Raw material list'!$A$3:$C$715,3,0),"")</f>
        <v>PRD1-234</v>
      </c>
      <c r="L2019" s="59" t="s">
        <v>1048</v>
      </c>
      <c r="M2019" s="80" t="s">
        <v>156</v>
      </c>
      <c r="N2019" s="40" t="str">
        <f>VLOOKUP(L2019,'Raw material list'!$A$3:$E$715,5,0)</f>
        <v xml:space="preserve">Gram </v>
      </c>
      <c r="O2019" s="80">
        <v>15</v>
      </c>
      <c r="P2019" s="299">
        <f t="shared" si="317"/>
        <v>21.531100478468897</v>
      </c>
      <c r="Q2019" s="105">
        <v>69.666666666666671</v>
      </c>
      <c r="R2019" s="80">
        <v>1</v>
      </c>
      <c r="S2019" s="80"/>
      <c r="T2019" s="105">
        <f t="shared" si="325"/>
        <v>15</v>
      </c>
      <c r="U2019" s="105">
        <f t="shared" si="318"/>
        <v>21.531100478468897</v>
      </c>
      <c r="V2019" s="104">
        <f>IFERROR(VLOOKUP(L2019,'Raw material list'!$A$2:$S$3102,6,0),0)</f>
        <v>5.021520803443329E-3</v>
      </c>
      <c r="W2019" s="104">
        <f t="shared" si="319"/>
        <v>0.10811886897366019</v>
      </c>
    </row>
    <row r="2020" spans="1:23" x14ac:dyDescent="0.55000000000000004">
      <c r="A2020" s="76" t="str">
        <f t="shared" si="326"/>
        <v>RCP-SMC-000152</v>
      </c>
      <c r="B2020" s="58" t="s">
        <v>35</v>
      </c>
      <c r="C2020" s="58" t="s">
        <v>10</v>
      </c>
      <c r="D2020" s="76" t="str">
        <f t="shared" si="327"/>
        <v>Fattouch Salad W molasses</v>
      </c>
      <c r="E2020" s="76" t="s">
        <v>1448</v>
      </c>
      <c r="F2020" s="76" t="s">
        <v>2077</v>
      </c>
      <c r="G2020" s="94" t="s">
        <v>1778</v>
      </c>
      <c r="H2020" s="106" t="s">
        <v>1774</v>
      </c>
      <c r="I2020" s="76"/>
      <c r="J2020" s="76"/>
      <c r="K2020" s="58" t="str">
        <f>IFERROR(VLOOKUP(L2020,'Raw material list'!$A$3:$C$715,3,0),"")</f>
        <v>PRD1-573</v>
      </c>
      <c r="L2020" s="59" t="s">
        <v>1063</v>
      </c>
      <c r="M2020" s="80" t="s">
        <v>156</v>
      </c>
      <c r="N2020" s="40" t="str">
        <f>VLOOKUP(L2020,'Raw material list'!$A$3:$E$715,5,0)</f>
        <v xml:space="preserve">Gram </v>
      </c>
      <c r="O2020" s="80">
        <v>3</v>
      </c>
      <c r="P2020" s="299">
        <f t="shared" si="317"/>
        <v>4.10958904109589</v>
      </c>
      <c r="Q2020" s="105">
        <v>73</v>
      </c>
      <c r="R2020" s="80">
        <v>1</v>
      </c>
      <c r="S2020" s="80"/>
      <c r="T2020" s="105">
        <f t="shared" si="325"/>
        <v>3</v>
      </c>
      <c r="U2020" s="105">
        <f t="shared" si="318"/>
        <v>4.10958904109589</v>
      </c>
      <c r="V2020" s="104">
        <f>IFERROR(VLOOKUP(L2020,'Raw material list'!$A$2:$S$3102,6,0),0)</f>
        <v>5.4794520547945206E-3</v>
      </c>
      <c r="W2020" s="104">
        <f t="shared" si="319"/>
        <v>2.2518296115593917E-2</v>
      </c>
    </row>
    <row r="2021" spans="1:23" x14ac:dyDescent="0.55000000000000004">
      <c r="A2021" s="76" t="str">
        <f t="shared" si="326"/>
        <v>RCP-SMC-000152</v>
      </c>
      <c r="B2021" s="58" t="s">
        <v>35</v>
      </c>
      <c r="C2021" s="58" t="s">
        <v>10</v>
      </c>
      <c r="D2021" s="76" t="str">
        <f t="shared" si="327"/>
        <v>Fattouch Salad W molasses</v>
      </c>
      <c r="E2021" s="76" t="s">
        <v>1448</v>
      </c>
      <c r="F2021" s="76" t="s">
        <v>2077</v>
      </c>
      <c r="G2021" s="94" t="s">
        <v>1778</v>
      </c>
      <c r="H2021" s="106" t="s">
        <v>1774</v>
      </c>
      <c r="I2021" s="76"/>
      <c r="J2021" s="76"/>
      <c r="K2021" s="58" t="str">
        <f>IFERROR(VLOOKUP(L2021,'Raw material list'!$A$3:$C$715,3,0),"")</f>
        <v>PRD1-572</v>
      </c>
      <c r="L2021" s="59" t="s">
        <v>54</v>
      </c>
      <c r="M2021" s="80" t="s">
        <v>156</v>
      </c>
      <c r="N2021" s="40" t="str">
        <f>VLOOKUP(L2021,'Raw material list'!$A$3:$E$715,5,0)</f>
        <v xml:space="preserve">Gram </v>
      </c>
      <c r="O2021" s="80">
        <v>20</v>
      </c>
      <c r="P2021" s="299">
        <f t="shared" si="317"/>
        <v>22.667170381564031</v>
      </c>
      <c r="Q2021" s="105">
        <v>88.233333333333348</v>
      </c>
      <c r="R2021" s="80">
        <v>1</v>
      </c>
      <c r="S2021" s="80"/>
      <c r="T2021" s="105">
        <f t="shared" si="325"/>
        <v>20</v>
      </c>
      <c r="U2021" s="105">
        <f t="shared" si="318"/>
        <v>22.667170381564031</v>
      </c>
      <c r="V2021" s="104">
        <f>IFERROR(VLOOKUP(L2021,'Raw material list'!$A$2:$S$3102,6,0),0)</f>
        <v>4.5351473922902496E-3</v>
      </c>
      <c r="W2021" s="104">
        <f t="shared" si="319"/>
        <v>0.10279895864654889</v>
      </c>
    </row>
    <row r="2022" spans="1:23" x14ac:dyDescent="0.55000000000000004">
      <c r="A2022" s="76" t="str">
        <f t="shared" si="326"/>
        <v>RCP-SMC-000152</v>
      </c>
      <c r="B2022" s="58" t="s">
        <v>35</v>
      </c>
      <c r="C2022" s="58" t="s">
        <v>10</v>
      </c>
      <c r="D2022" s="76" t="str">
        <f t="shared" si="327"/>
        <v>Fattouch Salad W molasses</v>
      </c>
      <c r="E2022" s="76" t="s">
        <v>1448</v>
      </c>
      <c r="F2022" s="76" t="s">
        <v>2077</v>
      </c>
      <c r="G2022" s="94" t="s">
        <v>1778</v>
      </c>
      <c r="H2022" s="106" t="s">
        <v>1774</v>
      </c>
      <c r="I2022" s="76"/>
      <c r="J2022" s="76"/>
      <c r="K2022" s="58" t="str">
        <f>IFERROR(VLOOKUP(L2022,'Raw material list'!$A$3:$C$715,3,0),"")</f>
        <v>SUB-00004</v>
      </c>
      <c r="L2022" s="59" t="s">
        <v>1700</v>
      </c>
      <c r="M2022" s="80" t="s">
        <v>48</v>
      </c>
      <c r="N2022" s="40" t="str">
        <f>VLOOKUP(L2022,'Raw material list'!$A$3:$E$715,5,0)</f>
        <v>Each</v>
      </c>
      <c r="O2022" s="80">
        <v>1</v>
      </c>
      <c r="P2022" s="299">
        <f t="shared" si="317"/>
        <v>1</v>
      </c>
      <c r="Q2022" s="303">
        <v>100</v>
      </c>
      <c r="R2022" s="80">
        <v>1</v>
      </c>
      <c r="S2022" s="80"/>
      <c r="T2022" s="105">
        <f t="shared" si="325"/>
        <v>1</v>
      </c>
      <c r="U2022" s="105">
        <f t="shared" si="318"/>
        <v>1</v>
      </c>
      <c r="V2022" s="104">
        <f>IFERROR(VLOOKUP(L2022,'Raw material list'!$A$2:$S$3102,6,0),0)</f>
        <v>0.3</v>
      </c>
      <c r="W2022" s="104">
        <f t="shared" si="319"/>
        <v>0.3</v>
      </c>
    </row>
    <row r="2023" spans="1:23" x14ac:dyDescent="0.55000000000000004">
      <c r="A2023" s="76" t="s">
        <v>1739</v>
      </c>
      <c r="B2023" s="58" t="s">
        <v>35</v>
      </c>
      <c r="C2023" s="58" t="s">
        <v>10</v>
      </c>
      <c r="D2023" s="76" t="s">
        <v>1701</v>
      </c>
      <c r="E2023" s="76" t="s">
        <v>1467</v>
      </c>
      <c r="F2023" s="76" t="s">
        <v>2077</v>
      </c>
      <c r="G2023" s="94" t="s">
        <v>1778</v>
      </c>
      <c r="H2023" s="106" t="s">
        <v>1774</v>
      </c>
      <c r="I2023" s="76"/>
      <c r="J2023" s="76"/>
      <c r="K2023" s="58" t="str">
        <f>IFERROR(VLOOKUP(L2023,'Raw material list'!$A$3:$C$715,3,0),"")</f>
        <v>PRD1-709</v>
      </c>
      <c r="L2023" s="59" t="s">
        <v>985</v>
      </c>
      <c r="M2023" s="80" t="s">
        <v>156</v>
      </c>
      <c r="N2023" s="40" t="str">
        <f>VLOOKUP(L2023,'Raw material list'!$A$3:$E$715,5,0)</f>
        <v xml:space="preserve">Gram </v>
      </c>
      <c r="O2023" s="80">
        <v>40000</v>
      </c>
      <c r="P2023" s="299">
        <f t="shared" si="317"/>
        <v>47808.764940239038</v>
      </c>
      <c r="Q2023" s="105">
        <v>83.666666666666671</v>
      </c>
      <c r="R2023" s="80">
        <v>284</v>
      </c>
      <c r="S2023" s="80"/>
      <c r="T2023" s="105">
        <f t="shared" si="325"/>
        <v>140.8450704225352</v>
      </c>
      <c r="U2023" s="105">
        <f t="shared" si="318"/>
        <v>168.34072162056</v>
      </c>
      <c r="V2023" s="104">
        <f>IFERROR(VLOOKUP(L2023,'Raw material list'!$A$2:$S$3102,6,0),0)</f>
        <v>4.7789725209080054E-3</v>
      </c>
      <c r="W2023" s="104">
        <f t="shared" si="319"/>
        <v>0.80449568277448036</v>
      </c>
    </row>
    <row r="2024" spans="1:23" x14ac:dyDescent="0.55000000000000004">
      <c r="A2024" s="76" t="str">
        <f t="shared" ref="A2024:A2027" si="328">A2023</f>
        <v>RCP-SMC-000153</v>
      </c>
      <c r="B2024" s="58" t="s">
        <v>35</v>
      </c>
      <c r="C2024" s="58" t="s">
        <v>10</v>
      </c>
      <c r="D2024" s="76" t="str">
        <f t="shared" ref="D2024:D2027" si="329">D2023</f>
        <v>Beetroot Green Salad with Lemon Dressing</v>
      </c>
      <c r="E2024" s="76" t="s">
        <v>1467</v>
      </c>
      <c r="F2024" s="76" t="s">
        <v>2077</v>
      </c>
      <c r="G2024" s="94" t="s">
        <v>1778</v>
      </c>
      <c r="H2024" s="106" t="s">
        <v>1774</v>
      </c>
      <c r="I2024" s="76"/>
      <c r="J2024" s="76"/>
      <c r="K2024" s="58" t="str">
        <f>IFERROR(VLOOKUP(L2024,'Raw material list'!$A$3:$C$715,3,0),"")</f>
        <v>PRD1-186</v>
      </c>
      <c r="L2024" s="59" t="s">
        <v>37</v>
      </c>
      <c r="M2024" s="80" t="s">
        <v>156</v>
      </c>
      <c r="N2024" s="40" t="str">
        <f>VLOOKUP(L2024,'Raw material list'!$A$3:$E$715,5,0)</f>
        <v xml:space="preserve">Gram </v>
      </c>
      <c r="O2024" s="80">
        <v>11500</v>
      </c>
      <c r="P2024" s="299">
        <f t="shared" si="317"/>
        <v>14081.632653061222</v>
      </c>
      <c r="Q2024" s="105">
        <v>81.666666666666671</v>
      </c>
      <c r="R2024" s="80">
        <v>284</v>
      </c>
      <c r="S2024" s="80"/>
      <c r="T2024" s="105">
        <f t="shared" si="325"/>
        <v>40.492957746478872</v>
      </c>
      <c r="U2024" s="105">
        <f t="shared" si="318"/>
        <v>49.583213567116978</v>
      </c>
      <c r="V2024" s="104">
        <f>IFERROR(VLOOKUP(L2024,'Raw material list'!$A$2:$S$3102,6,0),0)</f>
        <v>5.8139534883720938E-3</v>
      </c>
      <c r="W2024" s="104">
        <f t="shared" si="319"/>
        <v>0.2882744974832383</v>
      </c>
    </row>
    <row r="2025" spans="1:23" x14ac:dyDescent="0.55000000000000004">
      <c r="A2025" s="76" t="str">
        <f t="shared" si="328"/>
        <v>RCP-SMC-000153</v>
      </c>
      <c r="B2025" s="58" t="s">
        <v>35</v>
      </c>
      <c r="C2025" s="58" t="s">
        <v>10</v>
      </c>
      <c r="D2025" s="76" t="str">
        <f t="shared" si="329"/>
        <v>Beetroot Green Salad with Lemon Dressing</v>
      </c>
      <c r="E2025" s="76" t="s">
        <v>1467</v>
      </c>
      <c r="F2025" s="76" t="s">
        <v>2077</v>
      </c>
      <c r="G2025" s="94" t="s">
        <v>1778</v>
      </c>
      <c r="H2025" s="106" t="s">
        <v>1774</v>
      </c>
      <c r="I2025" s="76"/>
      <c r="J2025" s="76"/>
      <c r="K2025" s="58" t="str">
        <f>IFERROR(VLOOKUP(L2025,'Raw material list'!$A$3:$C$715,3,0),"")</f>
        <v>DRS3-1615</v>
      </c>
      <c r="L2025" s="59" t="s">
        <v>50</v>
      </c>
      <c r="M2025" s="80" t="s">
        <v>206</v>
      </c>
      <c r="N2025" s="40" t="str">
        <f>VLOOKUP(L2025,'Raw material list'!$A$3:$E$715,5,0)</f>
        <v>Ml</v>
      </c>
      <c r="O2025" s="80">
        <v>1500</v>
      </c>
      <c r="P2025" s="299">
        <f t="shared" si="317"/>
        <v>1500</v>
      </c>
      <c r="Q2025" s="303">
        <v>100</v>
      </c>
      <c r="R2025" s="80">
        <v>284</v>
      </c>
      <c r="S2025" s="80"/>
      <c r="T2025" s="105">
        <f t="shared" si="325"/>
        <v>5.28169014084507</v>
      </c>
      <c r="U2025" s="105">
        <f t="shared" si="318"/>
        <v>5.28169014084507</v>
      </c>
      <c r="V2025" s="104">
        <f>IFERROR(VLOOKUP(L2025,'Raw material list'!$A$2:$S$3102,6,0),0)</f>
        <v>1.2E-2</v>
      </c>
      <c r="W2025" s="104">
        <f t="shared" si="319"/>
        <v>6.3380281690140844E-2</v>
      </c>
    </row>
    <row r="2026" spans="1:23" x14ac:dyDescent="0.55000000000000004">
      <c r="A2026" s="76" t="str">
        <f t="shared" si="328"/>
        <v>RCP-SMC-000153</v>
      </c>
      <c r="B2026" s="58" t="s">
        <v>35</v>
      </c>
      <c r="C2026" s="58" t="s">
        <v>10</v>
      </c>
      <c r="D2026" s="76" t="str">
        <f t="shared" si="329"/>
        <v>Beetroot Green Salad with Lemon Dressing</v>
      </c>
      <c r="E2026" s="76" t="s">
        <v>1467</v>
      </c>
      <c r="F2026" s="76" t="s">
        <v>2077</v>
      </c>
      <c r="G2026" s="94" t="s">
        <v>1778</v>
      </c>
      <c r="H2026" s="106" t="s">
        <v>1774</v>
      </c>
      <c r="I2026" s="76"/>
      <c r="J2026" s="76"/>
      <c r="K2026" s="58" t="str">
        <f>IFERROR(VLOOKUP(L2026,'Raw material list'!$A$3:$C$715,3,0),"")</f>
        <v>PRD1-227</v>
      </c>
      <c r="L2026" s="59" t="s">
        <v>1038</v>
      </c>
      <c r="M2026" s="80" t="s">
        <v>156</v>
      </c>
      <c r="N2026" s="40" t="str">
        <f>VLOOKUP(L2026,'Raw material list'!$A$3:$E$715,5,0)</f>
        <v xml:space="preserve">Gram </v>
      </c>
      <c r="O2026" s="80">
        <v>1500</v>
      </c>
      <c r="P2026" s="299">
        <f t="shared" si="317"/>
        <v>4326.9230769230762</v>
      </c>
      <c r="Q2026" s="105">
        <v>34.666666666666671</v>
      </c>
      <c r="R2026" s="80">
        <v>284</v>
      </c>
      <c r="S2026" s="80"/>
      <c r="T2026" s="105">
        <f t="shared" si="325"/>
        <v>5.28169014084507</v>
      </c>
      <c r="U2026" s="105">
        <f t="shared" si="318"/>
        <v>15.235644637053085</v>
      </c>
      <c r="V2026" s="104">
        <f>IFERROR(VLOOKUP(L2026,'Raw material list'!$A$2:$S$3102,6,0),0)</f>
        <v>1.5850144092219021E-2</v>
      </c>
      <c r="W2026" s="104">
        <f t="shared" si="319"/>
        <v>0.24148716283513535</v>
      </c>
    </row>
    <row r="2027" spans="1:23" x14ac:dyDescent="0.55000000000000004">
      <c r="A2027" s="76" t="str">
        <f t="shared" si="328"/>
        <v>RCP-SMC-000153</v>
      </c>
      <c r="B2027" s="58" t="s">
        <v>35</v>
      </c>
      <c r="C2027" s="58" t="s">
        <v>10</v>
      </c>
      <c r="D2027" s="76" t="str">
        <f t="shared" si="329"/>
        <v>Beetroot Green Salad with Lemon Dressing</v>
      </c>
      <c r="E2027" s="76" t="s">
        <v>1467</v>
      </c>
      <c r="F2027" s="76" t="s">
        <v>2077</v>
      </c>
      <c r="G2027" s="94" t="s">
        <v>1778</v>
      </c>
      <c r="H2027" s="106" t="s">
        <v>1774</v>
      </c>
      <c r="I2027" s="76"/>
      <c r="J2027" s="76"/>
      <c r="K2027" s="58" t="str">
        <f>IFERROR(VLOOKUP(L2027,'Raw material list'!$A$3:$C$715,3,0),"")</f>
        <v>SUB-00003</v>
      </c>
      <c r="L2027" s="59" t="s">
        <v>1696</v>
      </c>
      <c r="M2027" s="80" t="s">
        <v>48</v>
      </c>
      <c r="N2027" s="40" t="str">
        <f>VLOOKUP(L2027,'Raw material list'!$A$3:$E$715,5,0)</f>
        <v>Each</v>
      </c>
      <c r="O2027" s="80">
        <v>1</v>
      </c>
      <c r="P2027" s="299">
        <f t="shared" si="317"/>
        <v>1</v>
      </c>
      <c r="Q2027" s="303">
        <v>100</v>
      </c>
      <c r="R2027" s="80">
        <v>284</v>
      </c>
      <c r="S2027" s="80"/>
      <c r="T2027" s="105">
        <f t="shared" si="325"/>
        <v>3.5211267605633804E-3</v>
      </c>
      <c r="U2027" s="105">
        <f t="shared" si="318"/>
        <v>3.5211267605633804E-3</v>
      </c>
      <c r="V2027" s="104">
        <f>IFERROR(VLOOKUP(L2027,'Raw material list'!$A$2:$S$3102,6,0),0)</f>
        <v>0.22</v>
      </c>
      <c r="W2027" s="104">
        <f t="shared" si="319"/>
        <v>7.7464788732394365E-4</v>
      </c>
    </row>
    <row r="2028" spans="1:23" x14ac:dyDescent="0.55000000000000004">
      <c r="A2028" s="76" t="s">
        <v>1740</v>
      </c>
      <c r="B2028" s="58" t="s">
        <v>35</v>
      </c>
      <c r="C2028" s="58" t="s">
        <v>10</v>
      </c>
      <c r="D2028" s="76" t="s">
        <v>1702</v>
      </c>
      <c r="E2028" s="76" t="s">
        <v>1486</v>
      </c>
      <c r="F2028" s="76" t="s">
        <v>2077</v>
      </c>
      <c r="G2028" s="94" t="s">
        <v>1778</v>
      </c>
      <c r="H2028" s="106" t="s">
        <v>1774</v>
      </c>
      <c r="I2028" s="76"/>
      <c r="J2028" s="76"/>
      <c r="K2028" s="58" t="str">
        <f>IFERROR(VLOOKUP(L2028,'Raw material list'!$A$3:$C$715,3,0),"")</f>
        <v>PRD1-709</v>
      </c>
      <c r="L2028" s="59" t="s">
        <v>985</v>
      </c>
      <c r="M2028" s="80" t="s">
        <v>156</v>
      </c>
      <c r="N2028" s="40" t="str">
        <f>VLOOKUP(L2028,'Raw material list'!$A$3:$E$715,5,0)</f>
        <v xml:space="preserve">Gram </v>
      </c>
      <c r="O2028" s="80">
        <v>41000</v>
      </c>
      <c r="P2028" s="299">
        <f t="shared" si="317"/>
        <v>49003.984063745018</v>
      </c>
      <c r="Q2028" s="105">
        <v>83.666666666666671</v>
      </c>
      <c r="R2028" s="80">
        <v>360</v>
      </c>
      <c r="S2028" s="80"/>
      <c r="T2028" s="105">
        <f t="shared" si="325"/>
        <v>113.88888888888889</v>
      </c>
      <c r="U2028" s="105">
        <f t="shared" si="318"/>
        <v>136.12217795484727</v>
      </c>
      <c r="V2028" s="104">
        <f>IFERROR(VLOOKUP(L2028,'Raw material list'!$A$2:$S$3102,6,0),0)</f>
        <v>4.7789725209080054E-3</v>
      </c>
      <c r="W2028" s="104">
        <f t="shared" si="319"/>
        <v>0.65052414793236457</v>
      </c>
    </row>
    <row r="2029" spans="1:23" x14ac:dyDescent="0.55000000000000004">
      <c r="A2029" s="76" t="str">
        <f t="shared" ref="A2029:A2033" si="330">A2028</f>
        <v>RCP-SMC-000154</v>
      </c>
      <c r="B2029" s="58" t="s">
        <v>35</v>
      </c>
      <c r="C2029" s="58" t="s">
        <v>10</v>
      </c>
      <c r="D2029" s="76" t="str">
        <f t="shared" ref="D2029:D2033" si="331">D2028</f>
        <v>Beetroot Quinoa Salad</v>
      </c>
      <c r="E2029" s="76" t="s">
        <v>1486</v>
      </c>
      <c r="F2029" s="76" t="s">
        <v>2077</v>
      </c>
      <c r="G2029" s="94" t="s">
        <v>1778</v>
      </c>
      <c r="H2029" s="106" t="s">
        <v>1774</v>
      </c>
      <c r="I2029" s="76"/>
      <c r="J2029" s="76"/>
      <c r="K2029" s="58" t="str">
        <f>IFERROR(VLOOKUP(L2029,'Raw material list'!$A$3:$C$715,3,0),"")</f>
        <v>DRS4-3332</v>
      </c>
      <c r="L2029" s="59" t="s">
        <v>677</v>
      </c>
      <c r="M2029" s="80" t="s">
        <v>156</v>
      </c>
      <c r="N2029" s="40" t="str">
        <f>VLOOKUP(L2029,'Raw material list'!$A$3:$E$715,5,0)</f>
        <v xml:space="preserve">Gram </v>
      </c>
      <c r="O2029" s="80">
        <v>10500</v>
      </c>
      <c r="P2029" s="299">
        <f t="shared" si="317"/>
        <v>10500</v>
      </c>
      <c r="Q2029" s="303">
        <v>100</v>
      </c>
      <c r="R2029" s="80">
        <v>360</v>
      </c>
      <c r="S2029" s="80"/>
      <c r="T2029" s="105">
        <f t="shared" si="325"/>
        <v>29.166666666666668</v>
      </c>
      <c r="U2029" s="105">
        <f t="shared" si="318"/>
        <v>29.166666666666668</v>
      </c>
      <c r="V2029" s="104">
        <f>IFERROR(VLOOKUP(L2029,'Raw material list'!$A$2:$S$3102,6,0),0)</f>
        <v>3.5000000000000003E-2</v>
      </c>
      <c r="W2029" s="104">
        <f t="shared" si="319"/>
        <v>1.0208333333333335</v>
      </c>
    </row>
    <row r="2030" spans="1:23" x14ac:dyDescent="0.55000000000000004">
      <c r="A2030" s="76" t="str">
        <f t="shared" si="330"/>
        <v>RCP-SMC-000154</v>
      </c>
      <c r="B2030" s="58" t="s">
        <v>35</v>
      </c>
      <c r="C2030" s="58" t="s">
        <v>10</v>
      </c>
      <c r="D2030" s="76" t="str">
        <f t="shared" si="331"/>
        <v>Beetroot Quinoa Salad</v>
      </c>
      <c r="E2030" s="76" t="s">
        <v>1486</v>
      </c>
      <c r="F2030" s="76" t="s">
        <v>2077</v>
      </c>
      <c r="G2030" s="94" t="s">
        <v>1778</v>
      </c>
      <c r="H2030" s="106" t="s">
        <v>1774</v>
      </c>
      <c r="I2030" s="76"/>
      <c r="J2030" s="76"/>
      <c r="K2030" s="58" t="str">
        <f>IFERROR(VLOOKUP(L2030,'Raw material list'!$A$3:$C$715,3,0),"")</f>
        <v>PRD1-227</v>
      </c>
      <c r="L2030" s="59" t="s">
        <v>1038</v>
      </c>
      <c r="M2030" s="80" t="s">
        <v>156</v>
      </c>
      <c r="N2030" s="40" t="str">
        <f>VLOOKUP(L2030,'Raw material list'!$A$3:$E$715,5,0)</f>
        <v xml:space="preserve">Gram </v>
      </c>
      <c r="O2030" s="80">
        <v>1200</v>
      </c>
      <c r="P2030" s="299">
        <f t="shared" si="317"/>
        <v>3461.5384615384614</v>
      </c>
      <c r="Q2030" s="105">
        <v>34.666666666666671</v>
      </c>
      <c r="R2030" s="80">
        <v>360</v>
      </c>
      <c r="S2030" s="80"/>
      <c r="T2030" s="105">
        <f t="shared" si="325"/>
        <v>3.3333333333333335</v>
      </c>
      <c r="U2030" s="105">
        <f t="shared" si="318"/>
        <v>9.615384615384615</v>
      </c>
      <c r="V2030" s="104">
        <f>IFERROR(VLOOKUP(L2030,'Raw material list'!$A$2:$S$3102,6,0),0)</f>
        <v>1.5850144092219021E-2</v>
      </c>
      <c r="W2030" s="104">
        <f t="shared" si="319"/>
        <v>0.15240523165595213</v>
      </c>
    </row>
    <row r="2031" spans="1:23" x14ac:dyDescent="0.55000000000000004">
      <c r="A2031" s="76" t="str">
        <f t="shared" si="330"/>
        <v>RCP-SMC-000154</v>
      </c>
      <c r="B2031" s="58" t="s">
        <v>35</v>
      </c>
      <c r="C2031" s="58" t="s">
        <v>10</v>
      </c>
      <c r="D2031" s="76" t="str">
        <f t="shared" si="331"/>
        <v>Beetroot Quinoa Salad</v>
      </c>
      <c r="E2031" s="76" t="s">
        <v>1486</v>
      </c>
      <c r="F2031" s="76" t="s">
        <v>2077</v>
      </c>
      <c r="G2031" s="94" t="s">
        <v>1778</v>
      </c>
      <c r="H2031" s="106" t="s">
        <v>1774</v>
      </c>
      <c r="I2031" s="76"/>
      <c r="J2031" s="76"/>
      <c r="K2031" s="58" t="str">
        <f>IFERROR(VLOOKUP(L2031,'Raw material list'!$A$3:$C$715,3,0),"")</f>
        <v>DRS3-1615</v>
      </c>
      <c r="L2031" s="59" t="s">
        <v>50</v>
      </c>
      <c r="M2031" s="80" t="s">
        <v>206</v>
      </c>
      <c r="N2031" s="40" t="str">
        <f>VLOOKUP(L2031,'Raw material list'!$A$3:$E$715,5,0)</f>
        <v>Ml</v>
      </c>
      <c r="O2031" s="80">
        <v>2000</v>
      </c>
      <c r="P2031" s="299">
        <f t="shared" si="317"/>
        <v>2000</v>
      </c>
      <c r="Q2031" s="303">
        <v>100</v>
      </c>
      <c r="R2031" s="80">
        <v>360</v>
      </c>
      <c r="S2031" s="80"/>
      <c r="T2031" s="105">
        <f t="shared" si="325"/>
        <v>5.5555555555555554</v>
      </c>
      <c r="U2031" s="105">
        <f t="shared" si="318"/>
        <v>5.5555555555555554</v>
      </c>
      <c r="V2031" s="104">
        <f>IFERROR(VLOOKUP(L2031,'Raw material list'!$A$2:$S$3102,6,0),0)</f>
        <v>1.2E-2</v>
      </c>
      <c r="W2031" s="104">
        <f t="shared" si="319"/>
        <v>6.6666666666666666E-2</v>
      </c>
    </row>
    <row r="2032" spans="1:23" x14ac:dyDescent="0.55000000000000004">
      <c r="A2032" s="76" t="str">
        <f t="shared" si="330"/>
        <v>RCP-SMC-000154</v>
      </c>
      <c r="B2032" s="58" t="s">
        <v>35</v>
      </c>
      <c r="C2032" s="58" t="s">
        <v>10</v>
      </c>
      <c r="D2032" s="76" t="str">
        <f t="shared" si="331"/>
        <v>Beetroot Quinoa Salad</v>
      </c>
      <c r="E2032" s="76" t="s">
        <v>1486</v>
      </c>
      <c r="F2032" s="76" t="s">
        <v>2077</v>
      </c>
      <c r="G2032" s="94" t="s">
        <v>1778</v>
      </c>
      <c r="H2032" s="106" t="s">
        <v>1774</v>
      </c>
      <c r="I2032" s="76"/>
      <c r="J2032" s="76"/>
      <c r="K2032" s="58" t="str">
        <f>IFERROR(VLOOKUP(L2032,'Raw material list'!$A$3:$C$715,3,0),"")</f>
        <v>PRD3-4230</v>
      </c>
      <c r="L2032" s="59" t="s">
        <v>952</v>
      </c>
      <c r="M2032" s="80" t="s">
        <v>156</v>
      </c>
      <c r="N2032" s="40" t="str">
        <f>VLOOKUP(L2032,'Raw material list'!$A$3:$E$715,5,0)</f>
        <v xml:space="preserve">Gram </v>
      </c>
      <c r="O2032" s="80">
        <v>1500</v>
      </c>
      <c r="P2032" s="299">
        <f t="shared" si="317"/>
        <v>1500</v>
      </c>
      <c r="Q2032" s="80">
        <v>100</v>
      </c>
      <c r="R2032" s="80">
        <v>360</v>
      </c>
      <c r="S2032" s="80"/>
      <c r="T2032" s="105">
        <f t="shared" si="325"/>
        <v>4.166666666666667</v>
      </c>
      <c r="U2032" s="105">
        <f t="shared" si="318"/>
        <v>4.166666666666667</v>
      </c>
      <c r="V2032" s="104">
        <f>IFERROR(VLOOKUP(L2032,'Raw material list'!$A$2:$S$3102,6,0),0)</f>
        <v>3.7999999999999999E-2</v>
      </c>
      <c r="W2032" s="104">
        <f t="shared" si="319"/>
        <v>0.15833333333333335</v>
      </c>
    </row>
    <row r="2033" spans="1:23" x14ac:dyDescent="0.55000000000000004">
      <c r="A2033" s="76" t="str">
        <f t="shared" si="330"/>
        <v>RCP-SMC-000154</v>
      </c>
      <c r="B2033" s="58" t="s">
        <v>35</v>
      </c>
      <c r="C2033" s="58" t="s">
        <v>10</v>
      </c>
      <c r="D2033" s="76" t="str">
        <f t="shared" si="331"/>
        <v>Beetroot Quinoa Salad</v>
      </c>
      <c r="E2033" s="76" t="s">
        <v>1486</v>
      </c>
      <c r="F2033" s="76" t="s">
        <v>2077</v>
      </c>
      <c r="G2033" s="94" t="s">
        <v>1778</v>
      </c>
      <c r="H2033" s="106" t="s">
        <v>1774</v>
      </c>
      <c r="I2033" s="76"/>
      <c r="J2033" s="76"/>
      <c r="K2033" s="58" t="str">
        <f>IFERROR(VLOOKUP(L2033,'Raw material list'!$A$3:$C$715,3,0),"")</f>
        <v>PRD1-209</v>
      </c>
      <c r="L2033" s="59" t="s">
        <v>86</v>
      </c>
      <c r="M2033" s="80" t="s">
        <v>156</v>
      </c>
      <c r="N2033" s="40" t="str">
        <f>VLOOKUP(L2033,'Raw material list'!$A$3:$E$715,5,0)</f>
        <v xml:space="preserve">Gram </v>
      </c>
      <c r="O2033" s="80">
        <v>5000</v>
      </c>
      <c r="P2033" s="299">
        <f t="shared" si="317"/>
        <v>6302.5210084033615</v>
      </c>
      <c r="Q2033" s="105">
        <v>79.333333333333329</v>
      </c>
      <c r="R2033" s="80">
        <v>360</v>
      </c>
      <c r="S2033" s="80"/>
      <c r="T2033" s="105">
        <f t="shared" si="325"/>
        <v>13.888888888888889</v>
      </c>
      <c r="U2033" s="105">
        <f t="shared" si="318"/>
        <v>17.50700280112045</v>
      </c>
      <c r="V2033" s="104">
        <f>IFERROR(VLOOKUP(L2033,'Raw material list'!$A$2:$S$3102,6,0),0)</f>
        <v>1.0088272383354349E-2</v>
      </c>
      <c r="W2033" s="104">
        <f t="shared" si="319"/>
        <v>0.17661541287385066</v>
      </c>
    </row>
    <row r="2034" spans="1:23" x14ac:dyDescent="0.55000000000000004">
      <c r="A2034" s="76" t="s">
        <v>1741</v>
      </c>
      <c r="B2034" s="58" t="s">
        <v>35</v>
      </c>
      <c r="C2034" s="58" t="s">
        <v>10</v>
      </c>
      <c r="D2034" s="76" t="s">
        <v>1417</v>
      </c>
      <c r="E2034" s="76" t="s">
        <v>1507</v>
      </c>
      <c r="F2034" s="76" t="s">
        <v>2077</v>
      </c>
      <c r="G2034" s="94" t="s">
        <v>1778</v>
      </c>
      <c r="H2034" s="106" t="s">
        <v>1774</v>
      </c>
      <c r="I2034" s="76"/>
      <c r="J2034" s="76"/>
      <c r="K2034" s="58" t="str">
        <f>IFERROR(VLOOKUP(L2034,'Raw material list'!$A$3:$C$715,3,0),"")</f>
        <v>DRS1-1463</v>
      </c>
      <c r="L2034" s="59" t="s">
        <v>244</v>
      </c>
      <c r="M2034" s="80" t="s">
        <v>156</v>
      </c>
      <c r="N2034" s="40" t="str">
        <f>VLOOKUP(L2034,'Raw material list'!$A$3:$E$715,5,0)</f>
        <v xml:space="preserve">Gram </v>
      </c>
      <c r="O2034" s="80">
        <v>30</v>
      </c>
      <c r="P2034" s="299">
        <f t="shared" si="317"/>
        <v>30</v>
      </c>
      <c r="Q2034" s="303">
        <v>100</v>
      </c>
      <c r="R2034" s="80">
        <v>1</v>
      </c>
      <c r="S2034" s="80"/>
      <c r="T2034" s="105">
        <f t="shared" si="325"/>
        <v>30</v>
      </c>
      <c r="U2034" s="105">
        <f t="shared" si="318"/>
        <v>30</v>
      </c>
      <c r="V2034" s="104">
        <f>IFERROR(VLOOKUP(L2034,'Raw material list'!$A$2:$S$3102,6,0),0)</f>
        <v>0.01</v>
      </c>
      <c r="W2034" s="104">
        <f t="shared" si="319"/>
        <v>0.3</v>
      </c>
    </row>
    <row r="2035" spans="1:23" x14ac:dyDescent="0.55000000000000004">
      <c r="A2035" s="76" t="str">
        <f t="shared" ref="A2035:A2039" si="332">A2034</f>
        <v>RCP-SMC-000155</v>
      </c>
      <c r="B2035" s="58" t="s">
        <v>35</v>
      </c>
      <c r="C2035" s="58" t="s">
        <v>10</v>
      </c>
      <c r="D2035" s="76" t="str">
        <f t="shared" ref="D2035:D2039" si="333">D2034</f>
        <v>Mexican Salad</v>
      </c>
      <c r="E2035" s="76" t="s">
        <v>1507</v>
      </c>
      <c r="F2035" s="76" t="s">
        <v>2077</v>
      </c>
      <c r="G2035" s="94" t="s">
        <v>1778</v>
      </c>
      <c r="H2035" s="106" t="s">
        <v>1774</v>
      </c>
      <c r="I2035" s="76"/>
      <c r="J2035" s="76"/>
      <c r="K2035" s="58" t="str">
        <f>IFERROR(VLOOKUP(L2035,'Raw material list'!$A$3:$C$715,3,0),"")</f>
        <v>PRD1-213</v>
      </c>
      <c r="L2035" s="59" t="s">
        <v>1022</v>
      </c>
      <c r="M2035" s="80" t="s">
        <v>156</v>
      </c>
      <c r="N2035" s="40" t="str">
        <f>VLOOKUP(L2035,'Raw material list'!$A$3:$E$715,5,0)</f>
        <v xml:space="preserve">Gram </v>
      </c>
      <c r="O2035" s="80">
        <v>60</v>
      </c>
      <c r="P2035" s="299">
        <f t="shared" si="317"/>
        <v>81.081081081081081</v>
      </c>
      <c r="Q2035" s="105">
        <v>74</v>
      </c>
      <c r="R2035" s="80">
        <v>1</v>
      </c>
      <c r="S2035" s="80"/>
      <c r="T2035" s="105">
        <f t="shared" si="325"/>
        <v>60</v>
      </c>
      <c r="U2035" s="105">
        <f t="shared" si="318"/>
        <v>81.081081081081081</v>
      </c>
      <c r="V2035" s="104">
        <f>IFERROR(VLOOKUP(L2035,'Raw material list'!$A$2:$S$3102,6,0),0)</f>
        <v>1.2999999999999999E-2</v>
      </c>
      <c r="W2035" s="104">
        <f t="shared" si="319"/>
        <v>1.0540540540540539</v>
      </c>
    </row>
    <row r="2036" spans="1:23" x14ac:dyDescent="0.55000000000000004">
      <c r="A2036" s="76" t="str">
        <f t="shared" si="332"/>
        <v>RCP-SMC-000155</v>
      </c>
      <c r="B2036" s="58" t="s">
        <v>35</v>
      </c>
      <c r="C2036" s="58" t="s">
        <v>10</v>
      </c>
      <c r="D2036" s="76" t="str">
        <f t="shared" si="333"/>
        <v>Mexican Salad</v>
      </c>
      <c r="E2036" s="76" t="s">
        <v>1507</v>
      </c>
      <c r="F2036" s="76" t="s">
        <v>2077</v>
      </c>
      <c r="G2036" s="94" t="s">
        <v>1778</v>
      </c>
      <c r="H2036" s="106" t="s">
        <v>1774</v>
      </c>
      <c r="I2036" s="76"/>
      <c r="J2036" s="76"/>
      <c r="K2036" s="58" t="str">
        <f>IFERROR(VLOOKUP(L2036,'Raw material list'!$A$3:$C$715,3,0),"")</f>
        <v>DRS1-1359</v>
      </c>
      <c r="L2036" s="59" t="s">
        <v>217</v>
      </c>
      <c r="M2036" s="80" t="s">
        <v>156</v>
      </c>
      <c r="N2036" s="40" t="str">
        <f>VLOOKUP(L2036,'Raw material list'!$A$3:$E$715,5,0)</f>
        <v xml:space="preserve">Gram </v>
      </c>
      <c r="O2036" s="80">
        <v>30</v>
      </c>
      <c r="P2036" s="299">
        <f t="shared" si="317"/>
        <v>30</v>
      </c>
      <c r="Q2036" s="303">
        <v>100</v>
      </c>
      <c r="R2036" s="80">
        <v>1</v>
      </c>
      <c r="S2036" s="80"/>
      <c r="T2036" s="105">
        <f t="shared" si="325"/>
        <v>30</v>
      </c>
      <c r="U2036" s="105">
        <f t="shared" si="318"/>
        <v>30</v>
      </c>
      <c r="V2036" s="104">
        <f>IFERROR(VLOOKUP(L2036,'Raw material list'!$A$2:$S$3102,6,0),0)</f>
        <v>1.3899999999999999E-2</v>
      </c>
      <c r="W2036" s="104">
        <f t="shared" si="319"/>
        <v>0.41699999999999998</v>
      </c>
    </row>
    <row r="2037" spans="1:23" x14ac:dyDescent="0.55000000000000004">
      <c r="A2037" s="76" t="str">
        <f t="shared" si="332"/>
        <v>RCP-SMC-000155</v>
      </c>
      <c r="B2037" s="58" t="s">
        <v>35</v>
      </c>
      <c r="C2037" s="58" t="s">
        <v>10</v>
      </c>
      <c r="D2037" s="76" t="str">
        <f t="shared" si="333"/>
        <v>Mexican Salad</v>
      </c>
      <c r="E2037" s="76" t="s">
        <v>1507</v>
      </c>
      <c r="F2037" s="76" t="s">
        <v>2077</v>
      </c>
      <c r="G2037" s="94" t="s">
        <v>1778</v>
      </c>
      <c r="H2037" s="106" t="s">
        <v>1774</v>
      </c>
      <c r="I2037" s="76"/>
      <c r="J2037" s="76"/>
      <c r="K2037" s="58" t="str">
        <f>IFERROR(VLOOKUP(L2037,'Raw material list'!$A$3:$C$715,3,0),"")</f>
        <v>PRD1-240</v>
      </c>
      <c r="L2037" s="59" t="s">
        <v>82</v>
      </c>
      <c r="M2037" s="80" t="s">
        <v>156</v>
      </c>
      <c r="N2037" s="40" t="str">
        <f>VLOOKUP(L2037,'Raw material list'!$A$3:$E$715,5,0)</f>
        <v xml:space="preserve">Gram </v>
      </c>
      <c r="O2037" s="80">
        <v>35</v>
      </c>
      <c r="P2037" s="299">
        <f t="shared" si="317"/>
        <v>51.724137931034484</v>
      </c>
      <c r="Q2037" s="105">
        <v>67.666666666666657</v>
      </c>
      <c r="R2037" s="80">
        <v>1</v>
      </c>
      <c r="S2037" s="80"/>
      <c r="T2037" s="105">
        <f t="shared" si="325"/>
        <v>35</v>
      </c>
      <c r="U2037" s="105">
        <f t="shared" si="318"/>
        <v>51.724137931034484</v>
      </c>
      <c r="V2037" s="104">
        <f>IFERROR(VLOOKUP(L2037,'Raw material list'!$A$2:$S$3102,6,0),0)</f>
        <v>1.3293943870014769E-2</v>
      </c>
      <c r="W2037" s="104">
        <f t="shared" si="319"/>
        <v>0.68761778638007431</v>
      </c>
    </row>
    <row r="2038" spans="1:23" x14ac:dyDescent="0.55000000000000004">
      <c r="A2038" s="76" t="str">
        <f t="shared" si="332"/>
        <v>RCP-SMC-000155</v>
      </c>
      <c r="B2038" s="58" t="s">
        <v>35</v>
      </c>
      <c r="C2038" s="58" t="s">
        <v>10</v>
      </c>
      <c r="D2038" s="76" t="str">
        <f t="shared" si="333"/>
        <v>Mexican Salad</v>
      </c>
      <c r="E2038" s="76" t="s">
        <v>1507</v>
      </c>
      <c r="F2038" s="76" t="s">
        <v>2077</v>
      </c>
      <c r="G2038" s="94" t="s">
        <v>1778</v>
      </c>
      <c r="H2038" s="106" t="s">
        <v>1774</v>
      </c>
      <c r="I2038" s="76"/>
      <c r="J2038" s="76"/>
      <c r="K2038" s="58" t="str">
        <f>IFERROR(VLOOKUP(L2038,'Raw material list'!$A$3:$C$715,3,0),"")</f>
        <v>PRD1-572</v>
      </c>
      <c r="L2038" s="59" t="s">
        <v>54</v>
      </c>
      <c r="M2038" s="80" t="s">
        <v>156</v>
      </c>
      <c r="N2038" s="40" t="str">
        <f>VLOOKUP(L2038,'Raw material list'!$A$3:$E$715,5,0)</f>
        <v xml:space="preserve">Gram </v>
      </c>
      <c r="O2038" s="80">
        <v>35</v>
      </c>
      <c r="P2038" s="299">
        <f t="shared" si="317"/>
        <v>39.667548167737053</v>
      </c>
      <c r="Q2038" s="105">
        <v>88.233333333333348</v>
      </c>
      <c r="R2038" s="80">
        <v>1</v>
      </c>
      <c r="S2038" s="80"/>
      <c r="T2038" s="105">
        <f t="shared" si="325"/>
        <v>35</v>
      </c>
      <c r="U2038" s="105">
        <f t="shared" si="318"/>
        <v>39.667548167737053</v>
      </c>
      <c r="V2038" s="104">
        <f>IFERROR(VLOOKUP(L2038,'Raw material list'!$A$2:$S$3102,6,0),0)</f>
        <v>4.5351473922902496E-3</v>
      </c>
      <c r="W2038" s="104">
        <f t="shared" si="319"/>
        <v>0.17989817763146057</v>
      </c>
    </row>
    <row r="2039" spans="1:23" x14ac:dyDescent="0.55000000000000004">
      <c r="A2039" s="76" t="str">
        <f t="shared" si="332"/>
        <v>RCP-SMC-000155</v>
      </c>
      <c r="B2039" s="58" t="s">
        <v>35</v>
      </c>
      <c r="C2039" s="58" t="s">
        <v>10</v>
      </c>
      <c r="D2039" s="76" t="str">
        <f t="shared" si="333"/>
        <v>Mexican Salad</v>
      </c>
      <c r="E2039" s="76" t="s">
        <v>1507</v>
      </c>
      <c r="F2039" s="76" t="s">
        <v>2077</v>
      </c>
      <c r="G2039" s="94" t="s">
        <v>1778</v>
      </c>
      <c r="H2039" s="106" t="s">
        <v>1774</v>
      </c>
      <c r="I2039" s="76"/>
      <c r="J2039" s="76"/>
      <c r="K2039" s="58" t="str">
        <f>IFERROR(VLOOKUP(L2039,'Raw material list'!$A$3:$C$715,3,0),"")</f>
        <v>SUB-0005</v>
      </c>
      <c r="L2039" s="59" t="s">
        <v>1703</v>
      </c>
      <c r="M2039" s="80" t="s">
        <v>48</v>
      </c>
      <c r="N2039" s="40" t="str">
        <f>VLOOKUP(L2039,'Raw material list'!$A$3:$E$715,5,0)</f>
        <v>Each</v>
      </c>
      <c r="O2039" s="80">
        <v>1</v>
      </c>
      <c r="P2039" s="299">
        <f t="shared" si="317"/>
        <v>1</v>
      </c>
      <c r="Q2039" s="303">
        <v>100</v>
      </c>
      <c r="R2039" s="80">
        <v>1</v>
      </c>
      <c r="S2039" s="80"/>
      <c r="T2039" s="105">
        <f t="shared" si="325"/>
        <v>1</v>
      </c>
      <c r="U2039" s="105">
        <f t="shared" si="318"/>
        <v>1</v>
      </c>
      <c r="V2039" s="104">
        <f>IFERROR(VLOOKUP(L2039,'Raw material list'!$A$2:$S$3102,6,0),0)</f>
        <v>0.43</v>
      </c>
      <c r="W2039" s="104">
        <f t="shared" si="319"/>
        <v>0.43</v>
      </c>
    </row>
    <row r="2040" spans="1:23" x14ac:dyDescent="0.55000000000000004">
      <c r="A2040" s="94" t="s">
        <v>1742</v>
      </c>
      <c r="B2040" s="58" t="s">
        <v>35</v>
      </c>
      <c r="C2040" s="58" t="s">
        <v>10</v>
      </c>
      <c r="D2040" s="76" t="s">
        <v>1704</v>
      </c>
      <c r="E2040" s="76" t="s">
        <v>1535</v>
      </c>
      <c r="F2040" s="76" t="s">
        <v>2077</v>
      </c>
      <c r="G2040" s="94" t="s">
        <v>1778</v>
      </c>
      <c r="H2040" s="106" t="s">
        <v>1774</v>
      </c>
      <c r="I2040" s="76"/>
      <c r="J2040" s="76"/>
      <c r="K2040" s="58" t="str">
        <f>IFERROR(VLOOKUP(L2040,'Raw material list'!$A$3:$C$715,3,0),"")</f>
        <v>DRY1-342</v>
      </c>
      <c r="L2040" s="59" t="s">
        <v>351</v>
      </c>
      <c r="M2040" s="80" t="s">
        <v>156</v>
      </c>
      <c r="N2040" s="40" t="str">
        <f>VLOOKUP(L2040,'Raw material list'!$A$3:$E$715,5,0)</f>
        <v xml:space="preserve">Gram </v>
      </c>
      <c r="O2040" s="80">
        <v>20</v>
      </c>
      <c r="P2040" s="299">
        <f t="shared" si="317"/>
        <v>20</v>
      </c>
      <c r="Q2040" s="80">
        <v>100</v>
      </c>
      <c r="R2040" s="80">
        <v>1</v>
      </c>
      <c r="S2040" s="80"/>
      <c r="T2040" s="105">
        <f t="shared" si="325"/>
        <v>20</v>
      </c>
      <c r="U2040" s="105">
        <f t="shared" si="318"/>
        <v>20</v>
      </c>
      <c r="V2040" s="104">
        <f>IFERROR(VLOOKUP(L2040,'Raw material list'!$A$2:$S$3102,6,0),0)</f>
        <v>5.2999999999999999E-2</v>
      </c>
      <c r="W2040" s="104">
        <f t="shared" si="319"/>
        <v>1.06</v>
      </c>
    </row>
    <row r="2041" spans="1:23" x14ac:dyDescent="0.55000000000000004">
      <c r="A2041" s="76" t="str">
        <f t="shared" ref="A2041:A2042" si="334">A2040</f>
        <v>RCP-SMC-000156</v>
      </c>
      <c r="B2041" s="58" t="s">
        <v>35</v>
      </c>
      <c r="C2041" s="58" t="s">
        <v>10</v>
      </c>
      <c r="D2041" s="76" t="str">
        <f t="shared" ref="D2041:D2042" si="335">D2040</f>
        <v>Chicken Caesar Salad</v>
      </c>
      <c r="E2041" s="76" t="s">
        <v>1535</v>
      </c>
      <c r="F2041" s="76" t="s">
        <v>2077</v>
      </c>
      <c r="G2041" s="94" t="s">
        <v>1778</v>
      </c>
      <c r="H2041" s="106" t="s">
        <v>1774</v>
      </c>
      <c r="I2041" s="76"/>
      <c r="J2041" s="76"/>
      <c r="K2041" s="58" t="str">
        <f>IFERROR(VLOOKUP(L2041,'Raw material list'!$A$3:$C$715,3,0),"")</f>
        <v>PRD1-213</v>
      </c>
      <c r="L2041" s="59" t="s">
        <v>1022</v>
      </c>
      <c r="M2041" s="80" t="s">
        <v>156</v>
      </c>
      <c r="N2041" s="40" t="str">
        <f>VLOOKUP(L2041,'Raw material list'!$A$3:$E$715,5,0)</f>
        <v xml:space="preserve">Gram </v>
      </c>
      <c r="O2041" s="80">
        <v>70</v>
      </c>
      <c r="P2041" s="299">
        <f t="shared" si="317"/>
        <v>94.594594594594597</v>
      </c>
      <c r="Q2041" s="105">
        <v>74</v>
      </c>
      <c r="R2041" s="80">
        <v>1</v>
      </c>
      <c r="S2041" s="80"/>
      <c r="T2041" s="105">
        <f t="shared" si="325"/>
        <v>70</v>
      </c>
      <c r="U2041" s="105">
        <f t="shared" si="318"/>
        <v>94.594594594594597</v>
      </c>
      <c r="V2041" s="104">
        <f>IFERROR(VLOOKUP(L2041,'Raw material list'!$A$2:$S$3102,6,0),0)</f>
        <v>1.2999999999999999E-2</v>
      </c>
      <c r="W2041" s="104">
        <f t="shared" si="319"/>
        <v>1.2297297297297296</v>
      </c>
    </row>
    <row r="2042" spans="1:23" x14ac:dyDescent="0.55000000000000004">
      <c r="A2042" s="76" t="str">
        <f t="shared" si="334"/>
        <v>RCP-SMC-000156</v>
      </c>
      <c r="B2042" s="58" t="s">
        <v>35</v>
      </c>
      <c r="C2042" s="58" t="s">
        <v>10</v>
      </c>
      <c r="D2042" s="76" t="str">
        <f t="shared" si="335"/>
        <v>Chicken Caesar Salad</v>
      </c>
      <c r="E2042" s="76" t="s">
        <v>1535</v>
      </c>
      <c r="F2042" s="76" t="s">
        <v>2077</v>
      </c>
      <c r="G2042" s="94" t="s">
        <v>1778</v>
      </c>
      <c r="H2042" s="106" t="s">
        <v>1774</v>
      </c>
      <c r="I2042" s="76"/>
      <c r="J2042" s="76"/>
      <c r="K2042" s="58" t="str">
        <f>IFERROR(VLOOKUP(L2042,'Raw material list'!$A$3:$C$715,3,0),"")</f>
        <v>SUB-00001</v>
      </c>
      <c r="L2042" s="59" t="s">
        <v>1705</v>
      </c>
      <c r="M2042" s="80" t="s">
        <v>48</v>
      </c>
      <c r="N2042" s="40" t="str">
        <f>VLOOKUP(L2042,'Raw material list'!$A$3:$E$715,5,0)</f>
        <v>Each</v>
      </c>
      <c r="O2042" s="80">
        <v>1</v>
      </c>
      <c r="P2042" s="299">
        <f t="shared" si="317"/>
        <v>1</v>
      </c>
      <c r="Q2042" s="303">
        <v>100</v>
      </c>
      <c r="R2042" s="80">
        <v>1</v>
      </c>
      <c r="S2042" s="80"/>
      <c r="T2042" s="105">
        <f t="shared" si="325"/>
        <v>1</v>
      </c>
      <c r="U2042" s="105">
        <f t="shared" si="318"/>
        <v>1</v>
      </c>
      <c r="V2042" s="104">
        <f>IFERROR(VLOOKUP(L2042,'Raw material list'!$A$2:$S$3102,6,0),0)</f>
        <v>0.43841156975012852</v>
      </c>
      <c r="W2042" s="104">
        <f t="shared" si="319"/>
        <v>0.43841156975012852</v>
      </c>
    </row>
    <row r="2043" spans="1:23" x14ac:dyDescent="0.55000000000000004">
      <c r="A2043" s="94" t="s">
        <v>1783</v>
      </c>
      <c r="B2043" s="58" t="s">
        <v>35</v>
      </c>
      <c r="C2043" s="58" t="s">
        <v>10</v>
      </c>
      <c r="D2043" s="76" t="s">
        <v>1706</v>
      </c>
      <c r="E2043" s="76" t="s">
        <v>1536</v>
      </c>
      <c r="F2043" s="76" t="s">
        <v>2077</v>
      </c>
      <c r="G2043" s="94" t="s">
        <v>1778</v>
      </c>
      <c r="H2043" s="106" t="s">
        <v>1774</v>
      </c>
      <c r="I2043" s="76"/>
      <c r="J2043" s="76"/>
      <c r="K2043" s="58" t="str">
        <f>IFERROR(VLOOKUP(L2043,'Raw material list'!$A$3:$C$715,3,0),"")</f>
        <v>PRD1-213</v>
      </c>
      <c r="L2043" s="59" t="s">
        <v>1022</v>
      </c>
      <c r="M2043" s="80" t="s">
        <v>156</v>
      </c>
      <c r="N2043" s="40" t="str">
        <f>VLOOKUP(L2043,'Raw material list'!$A$3:$E$715,5,0)</f>
        <v xml:space="preserve">Gram </v>
      </c>
      <c r="O2043" s="80">
        <v>60</v>
      </c>
      <c r="P2043" s="299">
        <f t="shared" si="317"/>
        <v>81.081081081081081</v>
      </c>
      <c r="Q2043" s="105">
        <v>74</v>
      </c>
      <c r="R2043" s="80">
        <v>1</v>
      </c>
      <c r="S2043" s="80"/>
      <c r="T2043" s="105">
        <f t="shared" si="325"/>
        <v>60</v>
      </c>
      <c r="U2043" s="105">
        <f t="shared" si="318"/>
        <v>81.081081081081081</v>
      </c>
      <c r="V2043" s="104">
        <f>IFERROR(VLOOKUP(L2043,'Raw material list'!$A$2:$S$3102,6,0),0)</f>
        <v>1.2999999999999999E-2</v>
      </c>
      <c r="W2043" s="104">
        <f t="shared" si="319"/>
        <v>1.0540540540540539</v>
      </c>
    </row>
    <row r="2044" spans="1:23" x14ac:dyDescent="0.55000000000000004">
      <c r="A2044" s="76" t="str">
        <f t="shared" ref="A2044:A2049" si="336">A2043</f>
        <v>RCP-SMC-000157</v>
      </c>
      <c r="B2044" s="58" t="s">
        <v>35</v>
      </c>
      <c r="C2044" s="58" t="s">
        <v>10</v>
      </c>
      <c r="D2044" s="76" t="str">
        <f t="shared" ref="D2044:D2049" si="337">D2043</f>
        <v>Greek Salad With Lemon</v>
      </c>
      <c r="E2044" s="76" t="s">
        <v>1536</v>
      </c>
      <c r="F2044" s="76" t="s">
        <v>2077</v>
      </c>
      <c r="G2044" s="94" t="s">
        <v>1778</v>
      </c>
      <c r="H2044" s="106" t="s">
        <v>1774</v>
      </c>
      <c r="I2044" s="76"/>
      <c r="J2044" s="76"/>
      <c r="K2044" s="58" t="str">
        <f>IFERROR(VLOOKUP(L2044,'Raw material list'!$A$3:$C$715,3,0),"")</f>
        <v>DRY1-1846</v>
      </c>
      <c r="L2044" s="59" t="s">
        <v>1667</v>
      </c>
      <c r="M2044" s="80" t="s">
        <v>156</v>
      </c>
      <c r="N2044" s="40" t="str">
        <f>VLOOKUP(L2044,'Raw material list'!$A$3:$E$715,5,0)</f>
        <v xml:space="preserve">Gram </v>
      </c>
      <c r="O2044" s="80">
        <v>20</v>
      </c>
      <c r="P2044" s="299">
        <f t="shared" si="317"/>
        <v>20</v>
      </c>
      <c r="Q2044" s="303">
        <v>100</v>
      </c>
      <c r="R2044" s="80">
        <v>1</v>
      </c>
      <c r="S2044" s="80"/>
      <c r="T2044" s="105">
        <f t="shared" si="325"/>
        <v>20</v>
      </c>
      <c r="U2044" s="105">
        <f t="shared" si="318"/>
        <v>20</v>
      </c>
      <c r="V2044" s="104">
        <f>IFERROR(VLOOKUP(L2044,'Raw material list'!$A$2:$S$3102,6,0),0)</f>
        <v>8.5749999999999993E-3</v>
      </c>
      <c r="W2044" s="104">
        <f t="shared" si="319"/>
        <v>0.17149999999999999</v>
      </c>
    </row>
    <row r="2045" spans="1:23" x14ac:dyDescent="0.55000000000000004">
      <c r="A2045" s="76" t="str">
        <f t="shared" si="336"/>
        <v>RCP-SMC-000157</v>
      </c>
      <c r="B2045" s="58" t="s">
        <v>35</v>
      </c>
      <c r="C2045" s="58" t="s">
        <v>10</v>
      </c>
      <c r="D2045" s="76" t="str">
        <f t="shared" si="337"/>
        <v>Greek Salad With Lemon</v>
      </c>
      <c r="E2045" s="76" t="s">
        <v>1536</v>
      </c>
      <c r="F2045" s="76" t="s">
        <v>2077</v>
      </c>
      <c r="G2045" s="94" t="s">
        <v>1778</v>
      </c>
      <c r="H2045" s="106" t="s">
        <v>1774</v>
      </c>
      <c r="I2045" s="76"/>
      <c r="J2045" s="76"/>
      <c r="K2045" s="58" t="str">
        <f>IFERROR(VLOOKUP(L2045,'Raw material list'!$A$3:$C$715,3,0),"")</f>
        <v>PRD1-196</v>
      </c>
      <c r="L2045" s="59" t="s">
        <v>1003</v>
      </c>
      <c r="M2045" s="80" t="s">
        <v>156</v>
      </c>
      <c r="N2045" s="40" t="str">
        <f>VLOOKUP(L2045,'Raw material list'!$A$3:$E$715,5,0)</f>
        <v xml:space="preserve">Gram </v>
      </c>
      <c r="O2045" s="80">
        <v>20</v>
      </c>
      <c r="P2045" s="299">
        <f t="shared" si="317"/>
        <v>23.687327279905247</v>
      </c>
      <c r="Q2045" s="105">
        <v>84.433333333333337</v>
      </c>
      <c r="R2045" s="80">
        <v>1</v>
      </c>
      <c r="S2045" s="80"/>
      <c r="T2045" s="105">
        <f t="shared" si="325"/>
        <v>20</v>
      </c>
      <c r="U2045" s="105">
        <f t="shared" si="318"/>
        <v>23.687327279905247</v>
      </c>
      <c r="V2045" s="104">
        <f>IFERROR(VLOOKUP(L2045,'Raw material list'!$A$2:$S$3102,6,0),0)</f>
        <v>4.1469194312796203E-3</v>
      </c>
      <c r="W2045" s="104">
        <f t="shared" si="319"/>
        <v>9.8229437772118899E-2</v>
      </c>
    </row>
    <row r="2046" spans="1:23" x14ac:dyDescent="0.55000000000000004">
      <c r="A2046" s="76" t="str">
        <f t="shared" si="336"/>
        <v>RCP-SMC-000157</v>
      </c>
      <c r="B2046" s="58" t="s">
        <v>35</v>
      </c>
      <c r="C2046" s="58" t="s">
        <v>10</v>
      </c>
      <c r="D2046" s="76" t="str">
        <f t="shared" si="337"/>
        <v>Greek Salad With Lemon</v>
      </c>
      <c r="E2046" s="76" t="s">
        <v>1536</v>
      </c>
      <c r="F2046" s="76" t="s">
        <v>2077</v>
      </c>
      <c r="G2046" s="94" t="s">
        <v>1778</v>
      </c>
      <c r="H2046" s="106" t="s">
        <v>1774</v>
      </c>
      <c r="I2046" s="76"/>
      <c r="J2046" s="76"/>
      <c r="K2046" s="58" t="str">
        <f>IFERROR(VLOOKUP(L2046,'Raw material list'!$A$3:$C$715,3,0),"")</f>
        <v>PRD1-572</v>
      </c>
      <c r="L2046" s="59" t="s">
        <v>54</v>
      </c>
      <c r="M2046" s="80" t="s">
        <v>156</v>
      </c>
      <c r="N2046" s="40" t="str">
        <f>VLOOKUP(L2046,'Raw material list'!$A$3:$E$715,5,0)</f>
        <v xml:space="preserve">Gram </v>
      </c>
      <c r="O2046" s="80">
        <v>20</v>
      </c>
      <c r="P2046" s="299">
        <f t="shared" si="317"/>
        <v>22.667170381564031</v>
      </c>
      <c r="Q2046" s="105">
        <v>88.233333333333348</v>
      </c>
      <c r="R2046" s="80">
        <v>1</v>
      </c>
      <c r="S2046" s="80"/>
      <c r="T2046" s="105">
        <f t="shared" si="325"/>
        <v>20</v>
      </c>
      <c r="U2046" s="105">
        <f t="shared" si="318"/>
        <v>22.667170381564031</v>
      </c>
      <c r="V2046" s="104">
        <f>IFERROR(VLOOKUP(L2046,'Raw material list'!$A$2:$S$3102,6,0),0)</f>
        <v>4.5351473922902496E-3</v>
      </c>
      <c r="W2046" s="104">
        <f t="shared" si="319"/>
        <v>0.10279895864654889</v>
      </c>
    </row>
    <row r="2047" spans="1:23" x14ac:dyDescent="0.55000000000000004">
      <c r="A2047" s="76" t="str">
        <f t="shared" si="336"/>
        <v>RCP-SMC-000157</v>
      </c>
      <c r="B2047" s="58" t="s">
        <v>35</v>
      </c>
      <c r="C2047" s="58" t="s">
        <v>10</v>
      </c>
      <c r="D2047" s="76" t="str">
        <f t="shared" si="337"/>
        <v>Greek Salad With Lemon</v>
      </c>
      <c r="E2047" s="76" t="s">
        <v>1536</v>
      </c>
      <c r="F2047" s="76" t="s">
        <v>2077</v>
      </c>
      <c r="G2047" s="94" t="s">
        <v>1778</v>
      </c>
      <c r="H2047" s="106" t="s">
        <v>1774</v>
      </c>
      <c r="I2047" s="76"/>
      <c r="J2047" s="76"/>
      <c r="K2047" s="58" t="str">
        <f>IFERROR(VLOOKUP(L2047,'Raw material list'!$A$3:$C$715,3,0),"")</f>
        <v>DRS1-1768</v>
      </c>
      <c r="L2047" s="59" t="s">
        <v>236</v>
      </c>
      <c r="M2047" s="80" t="s">
        <v>156</v>
      </c>
      <c r="N2047" s="40" t="str">
        <f>VLOOKUP(L2047,'Raw material list'!$A$3:$E$715,5,0)</f>
        <v xml:space="preserve">Gram </v>
      </c>
      <c r="O2047" s="80">
        <v>15</v>
      </c>
      <c r="P2047" s="299">
        <f t="shared" si="317"/>
        <v>15</v>
      </c>
      <c r="Q2047" s="303">
        <v>100</v>
      </c>
      <c r="R2047" s="80">
        <v>1</v>
      </c>
      <c r="S2047" s="80"/>
      <c r="T2047" s="105">
        <f t="shared" si="325"/>
        <v>15</v>
      </c>
      <c r="U2047" s="105">
        <f t="shared" si="318"/>
        <v>15</v>
      </c>
      <c r="V2047" s="104">
        <f>IFERROR(VLOOKUP(L2047,'Raw material list'!$A$2:$S$3102,6,0),0)</f>
        <v>1.29E-2</v>
      </c>
      <c r="W2047" s="104">
        <f t="shared" si="319"/>
        <v>0.19350000000000001</v>
      </c>
    </row>
    <row r="2048" spans="1:23" x14ac:dyDescent="0.55000000000000004">
      <c r="A2048" s="76" t="str">
        <f t="shared" si="336"/>
        <v>RCP-SMC-000157</v>
      </c>
      <c r="B2048" s="58" t="s">
        <v>35</v>
      </c>
      <c r="C2048" s="58" t="s">
        <v>10</v>
      </c>
      <c r="D2048" s="76" t="str">
        <f t="shared" si="337"/>
        <v>Greek Salad With Lemon</v>
      </c>
      <c r="E2048" s="76" t="s">
        <v>1536</v>
      </c>
      <c r="F2048" s="76" t="s">
        <v>2077</v>
      </c>
      <c r="G2048" s="94" t="s">
        <v>1778</v>
      </c>
      <c r="H2048" s="107" t="s">
        <v>1774</v>
      </c>
      <c r="I2048" s="76"/>
      <c r="J2048" s="76"/>
      <c r="K2048" s="58" t="str">
        <f>IFERROR(VLOOKUP(L2048,'Raw material list'!$A$3:$C$715,3,0),"")</f>
        <v>PRD1-240</v>
      </c>
      <c r="L2048" s="59" t="s">
        <v>82</v>
      </c>
      <c r="M2048" s="80" t="s">
        <v>156</v>
      </c>
      <c r="N2048" s="40" t="str">
        <f>VLOOKUP(L2048,'Raw material list'!$A$3:$E$715,5,0)</f>
        <v xml:space="preserve">Gram </v>
      </c>
      <c r="O2048" s="80">
        <v>20</v>
      </c>
      <c r="P2048" s="299">
        <f t="shared" si="317"/>
        <v>29.55665024630542</v>
      </c>
      <c r="Q2048" s="105">
        <v>67.666666666666657</v>
      </c>
      <c r="R2048" s="80">
        <v>1</v>
      </c>
      <c r="S2048" s="80"/>
      <c r="T2048" s="105">
        <f t="shared" si="325"/>
        <v>20</v>
      </c>
      <c r="U2048" s="105">
        <f t="shared" si="318"/>
        <v>29.55665024630542</v>
      </c>
      <c r="V2048" s="104">
        <f>IFERROR(VLOOKUP(L2048,'Raw material list'!$A$2:$S$3102,6,0),0)</f>
        <v>1.3293943870014769E-2</v>
      </c>
      <c r="W2048" s="104">
        <f t="shared" si="319"/>
        <v>0.39292444936004245</v>
      </c>
    </row>
    <row r="2049" spans="1:23" x14ac:dyDescent="0.55000000000000004">
      <c r="A2049" s="76" t="str">
        <f t="shared" si="336"/>
        <v>RCP-SMC-000157</v>
      </c>
      <c r="B2049" s="58" t="s">
        <v>35</v>
      </c>
      <c r="C2049" s="58" t="s">
        <v>10</v>
      </c>
      <c r="D2049" s="76" t="str">
        <f t="shared" si="337"/>
        <v>Greek Salad With Lemon</v>
      </c>
      <c r="E2049" s="76" t="s">
        <v>1536</v>
      </c>
      <c r="F2049" s="76" t="s">
        <v>2077</v>
      </c>
      <c r="G2049" s="94" t="s">
        <v>1778</v>
      </c>
      <c r="H2049" s="106" t="s">
        <v>1774</v>
      </c>
      <c r="I2049" s="76"/>
      <c r="J2049" s="76"/>
      <c r="K2049" s="58" t="str">
        <f>IFERROR(VLOOKUP(L2049,'Raw material list'!$A$3:$C$715,3,0),"")</f>
        <v>SUB-00003</v>
      </c>
      <c r="L2049" s="59" t="s">
        <v>1696</v>
      </c>
      <c r="M2049" s="80" t="s">
        <v>48</v>
      </c>
      <c r="N2049" s="40" t="str">
        <f>VLOOKUP(L2049,'Raw material list'!$A$3:$E$715,5,0)</f>
        <v>Each</v>
      </c>
      <c r="O2049" s="80">
        <v>1</v>
      </c>
      <c r="P2049" s="299">
        <f t="shared" si="317"/>
        <v>1</v>
      </c>
      <c r="Q2049" s="303">
        <v>100</v>
      </c>
      <c r="R2049" s="80">
        <v>1</v>
      </c>
      <c r="S2049" s="80"/>
      <c r="T2049" s="105">
        <f t="shared" si="325"/>
        <v>1</v>
      </c>
      <c r="U2049" s="105">
        <f t="shared" si="318"/>
        <v>1</v>
      </c>
      <c r="V2049" s="104">
        <f>IFERROR(VLOOKUP(L2049,'Raw material list'!$A$2:$S$3102,6,0),0)</f>
        <v>0.22</v>
      </c>
      <c r="W2049" s="104">
        <f t="shared" si="319"/>
        <v>0.22</v>
      </c>
    </row>
    <row r="2050" spans="1:23" x14ac:dyDescent="0.55000000000000004">
      <c r="A2050" s="264" t="s">
        <v>2058</v>
      </c>
      <c r="B2050" s="58" t="s">
        <v>35</v>
      </c>
      <c r="C2050" s="58" t="s">
        <v>10</v>
      </c>
      <c r="D2050" s="76" t="s">
        <v>1839</v>
      </c>
      <c r="E2050" s="76" t="s">
        <v>1536</v>
      </c>
      <c r="F2050" s="76" t="s">
        <v>1666</v>
      </c>
      <c r="G2050" s="94" t="s">
        <v>1666</v>
      </c>
      <c r="H2050" s="106" t="s">
        <v>1666</v>
      </c>
      <c r="I2050" s="76"/>
      <c r="J2050" s="76"/>
      <c r="K2050" s="58" t="str">
        <f>IFERROR(VLOOKUP(L2050,'Raw material list'!$A$3:$C$715,3,0),"")</f>
        <v>DRS5-40</v>
      </c>
      <c r="L2050" s="59" t="s">
        <v>58</v>
      </c>
      <c r="M2050" s="80" t="s">
        <v>156</v>
      </c>
      <c r="N2050" s="40" t="str">
        <f>VLOOKUP(L2050,'Raw material list'!$A$3:$E$715,5,0)</f>
        <v xml:space="preserve">Gram </v>
      </c>
      <c r="O2050" s="80">
        <v>25000</v>
      </c>
      <c r="P2050" s="299">
        <f t="shared" si="317"/>
        <v>25000</v>
      </c>
      <c r="Q2050" s="80">
        <v>100</v>
      </c>
      <c r="R2050" s="80">
        <v>600</v>
      </c>
      <c r="S2050" s="80"/>
      <c r="T2050" s="105">
        <f t="shared" ref="T2050:T2109" si="338">IFERROR(O2050/R2050,0)</f>
        <v>41.666666666666664</v>
      </c>
      <c r="U2050" s="105">
        <f t="shared" si="318"/>
        <v>41.666666666666664</v>
      </c>
      <c r="V2050" s="104">
        <f>IFERROR(VLOOKUP(L2050,'Raw material list'!$A$2:$S$3102,6,0),0)</f>
        <v>7.7777777777777773E-4</v>
      </c>
      <c r="W2050" s="104">
        <f t="shared" si="319"/>
        <v>3.2407407407407406E-2</v>
      </c>
    </row>
    <row r="2051" spans="1:23" x14ac:dyDescent="0.55000000000000004">
      <c r="A2051" s="264" t="s">
        <v>2058</v>
      </c>
      <c r="B2051" s="58" t="s">
        <v>35</v>
      </c>
      <c r="C2051" s="58" t="s">
        <v>10</v>
      </c>
      <c r="D2051" s="76" t="s">
        <v>1839</v>
      </c>
      <c r="E2051" s="76" t="s">
        <v>1536</v>
      </c>
      <c r="F2051" s="76" t="s">
        <v>1666</v>
      </c>
      <c r="G2051" s="94" t="s">
        <v>1666</v>
      </c>
      <c r="H2051" s="106" t="s">
        <v>1666</v>
      </c>
      <c r="I2051" s="76"/>
      <c r="J2051" s="76"/>
      <c r="K2051" s="58" t="str">
        <f>IFERROR(VLOOKUP(L2051,'Raw material list'!$A$3:$C$715,3,0),"")</f>
        <v>DRS1-90</v>
      </c>
      <c r="L2051" s="59" t="s">
        <v>581</v>
      </c>
      <c r="M2051" s="80" t="s">
        <v>156</v>
      </c>
      <c r="N2051" s="40" t="str">
        <f>VLOOKUP(L2051,'Raw material list'!$A$3:$E$715,5,0)</f>
        <v xml:space="preserve">Gram </v>
      </c>
      <c r="O2051" s="80">
        <v>500</v>
      </c>
      <c r="P2051" s="299">
        <f t="shared" si="317"/>
        <v>500</v>
      </c>
      <c r="Q2051" s="80">
        <v>100</v>
      </c>
      <c r="R2051" s="80">
        <v>600</v>
      </c>
      <c r="S2051" s="80"/>
      <c r="T2051" s="105">
        <f t="shared" si="338"/>
        <v>0.83333333333333337</v>
      </c>
      <c r="U2051" s="105">
        <f t="shared" si="318"/>
        <v>0.83333333333333337</v>
      </c>
      <c r="V2051" s="104">
        <f>IFERROR(VLOOKUP(L2051,'Raw material list'!$A$2:$S$3102,6,0),0)</f>
        <v>1.4500000000000001E-2</v>
      </c>
      <c r="W2051" s="104">
        <f t="shared" si="319"/>
        <v>1.2083333333333335E-2</v>
      </c>
    </row>
    <row r="2052" spans="1:23" x14ac:dyDescent="0.55000000000000004">
      <c r="A2052" s="264" t="s">
        <v>2058</v>
      </c>
      <c r="B2052" s="58" t="s">
        <v>35</v>
      </c>
      <c r="C2052" s="58" t="s">
        <v>10</v>
      </c>
      <c r="D2052" s="76" t="s">
        <v>1839</v>
      </c>
      <c r="E2052" s="76" t="s">
        <v>1536</v>
      </c>
      <c r="F2052" s="76" t="s">
        <v>1666</v>
      </c>
      <c r="G2052" s="94" t="s">
        <v>1666</v>
      </c>
      <c r="H2052" s="106" t="s">
        <v>1666</v>
      </c>
      <c r="I2052" s="76"/>
      <c r="J2052" s="76"/>
      <c r="K2052" s="58" t="str">
        <f>IFERROR(VLOOKUP(L2052,'Raw material list'!$A$3:$C$715,3,0),"")</f>
        <v>DRS1-3880</v>
      </c>
      <c r="L2052" s="59" t="s">
        <v>1433</v>
      </c>
      <c r="M2052" s="80" t="s">
        <v>156</v>
      </c>
      <c r="N2052" s="40" t="str">
        <f>VLOOKUP(L2052,'Raw material list'!$A$3:$E$715,5,0)</f>
        <v xml:space="preserve">Gram </v>
      </c>
      <c r="O2052" s="80">
        <v>500</v>
      </c>
      <c r="P2052" s="299">
        <f t="shared" si="317"/>
        <v>500</v>
      </c>
      <c r="Q2052" s="80">
        <v>100</v>
      </c>
      <c r="R2052" s="80">
        <v>600</v>
      </c>
      <c r="S2052" s="80"/>
      <c r="T2052" s="105">
        <f t="shared" si="338"/>
        <v>0.83333333333333337</v>
      </c>
      <c r="U2052" s="105">
        <f t="shared" si="318"/>
        <v>0.83333333333333337</v>
      </c>
      <c r="V2052" s="104">
        <f>IFERROR(VLOOKUP(L2052,'Raw material list'!$A$2:$S$3102,6,0),0)</f>
        <v>5.0000000000000001E-4</v>
      </c>
      <c r="W2052" s="104">
        <f t="shared" si="319"/>
        <v>4.1666666666666669E-4</v>
      </c>
    </row>
    <row r="2053" spans="1:23" x14ac:dyDescent="0.55000000000000004">
      <c r="A2053" s="264" t="s">
        <v>2058</v>
      </c>
      <c r="B2053" s="58" t="s">
        <v>35</v>
      </c>
      <c r="C2053" s="58" t="s">
        <v>10</v>
      </c>
      <c r="D2053" s="76" t="s">
        <v>1839</v>
      </c>
      <c r="E2053" s="76" t="s">
        <v>1536</v>
      </c>
      <c r="F2053" s="76" t="s">
        <v>1666</v>
      </c>
      <c r="G2053" s="94" t="s">
        <v>1666</v>
      </c>
      <c r="H2053" s="106" t="s">
        <v>1666</v>
      </c>
      <c r="I2053" s="76"/>
      <c r="J2053" s="76"/>
      <c r="K2053" s="58" t="str">
        <f>IFERROR(VLOOKUP(L2053,'Raw material list'!$A$3:$C$715,3,0),"")</f>
        <v>DRS1-978</v>
      </c>
      <c r="L2053" s="59" t="s">
        <v>56</v>
      </c>
      <c r="M2053" s="80" t="s">
        <v>156</v>
      </c>
      <c r="N2053" s="40" t="str">
        <f>VLOOKUP(L2053,'Raw material list'!$A$3:$E$715,5,0)</f>
        <v xml:space="preserve">Gram </v>
      </c>
      <c r="O2053" s="80">
        <v>2500</v>
      </c>
      <c r="P2053" s="299">
        <f t="shared" si="317"/>
        <v>2500</v>
      </c>
      <c r="Q2053" s="80">
        <v>100</v>
      </c>
      <c r="R2053" s="80">
        <v>600</v>
      </c>
      <c r="S2053" s="80"/>
      <c r="T2053" s="105">
        <f t="shared" si="338"/>
        <v>4.166666666666667</v>
      </c>
      <c r="U2053" s="105">
        <f t="shared" si="318"/>
        <v>4.166666666666667</v>
      </c>
      <c r="V2053" s="104">
        <f>IFERROR(VLOOKUP(L2053,'Raw material list'!$A$2:$S$3102,6,0),0)</f>
        <v>2.3999999999999998E-3</v>
      </c>
      <c r="W2053" s="104">
        <f t="shared" si="319"/>
        <v>0.01</v>
      </c>
    </row>
    <row r="2054" spans="1:23" x14ac:dyDescent="0.55000000000000004">
      <c r="A2054" s="264" t="s">
        <v>2058</v>
      </c>
      <c r="B2054" s="58" t="s">
        <v>35</v>
      </c>
      <c r="C2054" s="58" t="s">
        <v>10</v>
      </c>
      <c r="D2054" s="76" t="s">
        <v>1839</v>
      </c>
      <c r="E2054" s="76" t="s">
        <v>1536</v>
      </c>
      <c r="F2054" s="76" t="s">
        <v>1666</v>
      </c>
      <c r="G2054" s="94" t="s">
        <v>1666</v>
      </c>
      <c r="H2054" s="106" t="s">
        <v>1666</v>
      </c>
      <c r="I2054" s="76"/>
      <c r="J2054" s="76"/>
      <c r="K2054" s="58" t="str">
        <f>IFERROR(VLOOKUP(L2054,'Raw material list'!$A$3:$C$715,3,0),"")</f>
        <v>DRS5-1325</v>
      </c>
      <c r="L2054" s="59" t="s">
        <v>625</v>
      </c>
      <c r="M2054" s="80" t="s">
        <v>156</v>
      </c>
      <c r="N2054" s="40" t="str">
        <f>VLOOKUP(L2054,'Raw material list'!$A$3:$E$715,5,0)</f>
        <v xml:space="preserve">Gram </v>
      </c>
      <c r="O2054" s="80">
        <v>100</v>
      </c>
      <c r="P2054" s="299">
        <f t="shared" ref="P2054:P2117" si="339">O2054/Q2054*100</f>
        <v>100</v>
      </c>
      <c r="Q2054" s="80">
        <v>100</v>
      </c>
      <c r="R2054" s="80">
        <v>600</v>
      </c>
      <c r="S2054" s="80"/>
      <c r="T2054" s="105">
        <f t="shared" si="338"/>
        <v>0.16666666666666666</v>
      </c>
      <c r="U2054" s="105">
        <f t="shared" ref="U2054:U2117" si="340">IFERROR(P2054/R2054,0)</f>
        <v>0.16666666666666666</v>
      </c>
      <c r="V2054" s="104">
        <f>IFERROR(VLOOKUP(L2054,'Raw material list'!$A$2:$S$3102,6,0),0)</f>
        <v>1.17E-2</v>
      </c>
      <c r="W2054" s="104">
        <f t="shared" ref="W2054:W2117" si="341">IFERROR(V2054*U2054,0)</f>
        <v>1.9499999999999999E-3</v>
      </c>
    </row>
    <row r="2055" spans="1:23" x14ac:dyDescent="0.55000000000000004">
      <c r="A2055" s="264" t="s">
        <v>2058</v>
      </c>
      <c r="B2055" s="58" t="s">
        <v>35</v>
      </c>
      <c r="C2055" s="58" t="s">
        <v>10</v>
      </c>
      <c r="D2055" s="76" t="s">
        <v>1839</v>
      </c>
      <c r="E2055" s="76" t="s">
        <v>1536</v>
      </c>
      <c r="F2055" s="76" t="s">
        <v>1666</v>
      </c>
      <c r="G2055" s="94" t="s">
        <v>1666</v>
      </c>
      <c r="H2055" s="106" t="s">
        <v>1666</v>
      </c>
      <c r="I2055" s="76"/>
      <c r="J2055" s="76"/>
      <c r="K2055" s="58" t="str">
        <f>IFERROR(VLOOKUP(L2055,'Raw material list'!$A$3:$C$715,3,0),"")</f>
        <v>DRY2-149</v>
      </c>
      <c r="L2055" s="59" t="s">
        <v>408</v>
      </c>
      <c r="M2055" s="80" t="s">
        <v>156</v>
      </c>
      <c r="N2055" s="40" t="str">
        <f>VLOOKUP(L2055,'Raw material list'!$A$3:$E$715,5,0)</f>
        <v xml:space="preserve">Gram </v>
      </c>
      <c r="O2055" s="80">
        <v>18000</v>
      </c>
      <c r="P2055" s="299">
        <f t="shared" si="339"/>
        <v>18000</v>
      </c>
      <c r="Q2055" s="80">
        <v>100</v>
      </c>
      <c r="R2055" s="80">
        <v>600</v>
      </c>
      <c r="S2055" s="80"/>
      <c r="T2055" s="105">
        <f t="shared" si="338"/>
        <v>30</v>
      </c>
      <c r="U2055" s="105">
        <f t="shared" si="340"/>
        <v>30</v>
      </c>
      <c r="V2055" s="104">
        <f>IFERROR(VLOOKUP(L2055,'Raw material list'!$A$2:$S$3102,6,0),0)</f>
        <v>1.0999999999999999E-2</v>
      </c>
      <c r="W2055" s="104">
        <f t="shared" si="341"/>
        <v>0.32999999999999996</v>
      </c>
    </row>
    <row r="2056" spans="1:23" x14ac:dyDescent="0.55000000000000004">
      <c r="A2056" s="264" t="s">
        <v>2058</v>
      </c>
      <c r="B2056" s="58" t="s">
        <v>35</v>
      </c>
      <c r="C2056" s="58" t="s">
        <v>10</v>
      </c>
      <c r="D2056" s="76" t="s">
        <v>1839</v>
      </c>
      <c r="E2056" s="76" t="s">
        <v>1536</v>
      </c>
      <c r="F2056" s="76" t="s">
        <v>1666</v>
      </c>
      <c r="G2056" s="94" t="s">
        <v>1666</v>
      </c>
      <c r="H2056" s="106" t="s">
        <v>1666</v>
      </c>
      <c r="I2056" s="76"/>
      <c r="J2056" s="76"/>
      <c r="K2056" s="58" t="str">
        <f>IFERROR(VLOOKUP(L2056,'Raw material list'!$A$3:$C$715,3,0),"")</f>
        <v>DRY2-1388</v>
      </c>
      <c r="L2056" s="59" t="s">
        <v>126</v>
      </c>
      <c r="M2056" s="80" t="s">
        <v>206</v>
      </c>
      <c r="N2056" s="40" t="str">
        <f>VLOOKUP(L2056,'Raw material list'!$A$3:$E$715,5,0)</f>
        <v>Ml</v>
      </c>
      <c r="O2056" s="80">
        <v>5000</v>
      </c>
      <c r="P2056" s="299">
        <f t="shared" si="339"/>
        <v>5000</v>
      </c>
      <c r="Q2056" s="80">
        <v>100</v>
      </c>
      <c r="R2056" s="80">
        <v>600</v>
      </c>
      <c r="S2056" s="80"/>
      <c r="T2056" s="105">
        <f t="shared" si="338"/>
        <v>8.3333333333333339</v>
      </c>
      <c r="U2056" s="105">
        <f t="shared" si="340"/>
        <v>8.3333333333333339</v>
      </c>
      <c r="V2056" s="104">
        <f>IFERROR(VLOOKUP(L2056,'Raw material list'!$A$2:$S$3102,6,0),0)</f>
        <v>4.2500000000000003E-3</v>
      </c>
      <c r="W2056" s="104">
        <f t="shared" si="341"/>
        <v>3.5416666666666673E-2</v>
      </c>
    </row>
    <row r="2057" spans="1:23" x14ac:dyDescent="0.55000000000000004">
      <c r="A2057" s="264" t="s">
        <v>2058</v>
      </c>
      <c r="B2057" s="58" t="s">
        <v>35</v>
      </c>
      <c r="C2057" s="58" t="s">
        <v>10</v>
      </c>
      <c r="D2057" s="76" t="s">
        <v>1839</v>
      </c>
      <c r="E2057" s="76" t="s">
        <v>1536</v>
      </c>
      <c r="F2057" s="76" t="s">
        <v>1666</v>
      </c>
      <c r="G2057" s="94" t="s">
        <v>1666</v>
      </c>
      <c r="H2057" s="106" t="s">
        <v>1666</v>
      </c>
      <c r="I2057" s="76"/>
      <c r="J2057" s="76"/>
      <c r="K2057" s="58" t="str">
        <f>IFERROR(VLOOKUP(L2057,'Raw material list'!$A$3:$C$715,3,0),"")</f>
        <v>TAP-00001</v>
      </c>
      <c r="L2057" s="59" t="s">
        <v>1405</v>
      </c>
      <c r="M2057" s="80" t="s">
        <v>206</v>
      </c>
      <c r="N2057" s="40" t="str">
        <f>VLOOKUP(L2057,'Raw material list'!$A$3:$E$715,5,0)</f>
        <v>Ml</v>
      </c>
      <c r="O2057" s="80">
        <v>7000</v>
      </c>
      <c r="P2057" s="299">
        <f t="shared" si="339"/>
        <v>7000</v>
      </c>
      <c r="Q2057" s="80">
        <v>100</v>
      </c>
      <c r="R2057" s="80">
        <v>600</v>
      </c>
      <c r="S2057" s="80"/>
      <c r="T2057" s="105">
        <f t="shared" si="338"/>
        <v>11.666666666666666</v>
      </c>
      <c r="U2057" s="105">
        <f t="shared" si="340"/>
        <v>11.666666666666666</v>
      </c>
      <c r="V2057" s="104">
        <f>IFERROR(VLOOKUP(L2057,'Raw material list'!$A$2:$S$3102,6,0),0)</f>
        <v>8.0000000000000007E-5</v>
      </c>
      <c r="W2057" s="104">
        <f t="shared" si="341"/>
        <v>9.3333333333333332E-4</v>
      </c>
    </row>
    <row r="2058" spans="1:23" x14ac:dyDescent="0.55000000000000004">
      <c r="A2058" s="264" t="s">
        <v>2058</v>
      </c>
      <c r="B2058" s="58" t="s">
        <v>35</v>
      </c>
      <c r="C2058" s="58" t="s">
        <v>10</v>
      </c>
      <c r="D2058" s="76" t="s">
        <v>1839</v>
      </c>
      <c r="E2058" s="76" t="s">
        <v>1536</v>
      </c>
      <c r="F2058" s="76" t="s">
        <v>1666</v>
      </c>
      <c r="G2058" s="94" t="s">
        <v>1666</v>
      </c>
      <c r="H2058" s="106" t="s">
        <v>1666</v>
      </c>
      <c r="I2058" s="76"/>
      <c r="J2058" s="76"/>
      <c r="K2058" s="58" t="str">
        <f>IFERROR(VLOOKUP(L2058,'Raw material list'!$A$3:$C$715,3,0),"")</f>
        <v>PLT1-37</v>
      </c>
      <c r="L2058" s="59" t="s">
        <v>861</v>
      </c>
      <c r="M2058" s="80" t="s">
        <v>48</v>
      </c>
      <c r="N2058" s="40" t="str">
        <f>VLOOKUP(L2058,'Raw material list'!$A$3:$E$715,5,0)</f>
        <v>Each</v>
      </c>
      <c r="O2058" s="80">
        <v>20</v>
      </c>
      <c r="P2058" s="299">
        <f t="shared" si="339"/>
        <v>20</v>
      </c>
      <c r="Q2058" s="80">
        <v>100</v>
      </c>
      <c r="R2058" s="80">
        <v>600</v>
      </c>
      <c r="S2058" s="80"/>
      <c r="T2058" s="105">
        <f t="shared" si="338"/>
        <v>3.3333333333333333E-2</v>
      </c>
      <c r="U2058" s="105">
        <f t="shared" si="340"/>
        <v>3.3333333333333333E-2</v>
      </c>
      <c r="V2058" s="104">
        <f>IFERROR(VLOOKUP(L2058,'Raw material list'!$A$2:$S$3102,6,0),0)</f>
        <v>0.48299999999999998</v>
      </c>
      <c r="W2058" s="104">
        <f t="shared" si="341"/>
        <v>1.61E-2</v>
      </c>
    </row>
    <row r="2059" spans="1:23" x14ac:dyDescent="0.55000000000000004">
      <c r="A2059" s="264" t="s">
        <v>2058</v>
      </c>
      <c r="B2059" s="58" t="s">
        <v>35</v>
      </c>
      <c r="C2059" s="58" t="s">
        <v>10</v>
      </c>
      <c r="D2059" s="76" t="s">
        <v>1839</v>
      </c>
      <c r="E2059" s="76" t="s">
        <v>1536</v>
      </c>
      <c r="F2059" s="76" t="s">
        <v>1666</v>
      </c>
      <c r="G2059" s="94" t="s">
        <v>1666</v>
      </c>
      <c r="H2059" s="106" t="s">
        <v>1666</v>
      </c>
      <c r="I2059" s="76"/>
      <c r="J2059" s="76"/>
      <c r="K2059" s="58" t="str">
        <f>IFERROR(VLOOKUP(L2059,'Raw material list'!$A$3:$C$715,3,0),"")</f>
        <v>DRY2-1388</v>
      </c>
      <c r="L2059" s="59" t="s">
        <v>126</v>
      </c>
      <c r="M2059" s="80" t="s">
        <v>206</v>
      </c>
      <c r="N2059" s="40" t="str">
        <f>VLOOKUP(L2059,'Raw material list'!$A$3:$E$715,5,0)</f>
        <v>Ml</v>
      </c>
      <c r="O2059" s="80">
        <v>1200</v>
      </c>
      <c r="P2059" s="299">
        <f t="shared" si="339"/>
        <v>1200</v>
      </c>
      <c r="Q2059" s="80">
        <v>100</v>
      </c>
      <c r="R2059" s="80">
        <v>600</v>
      </c>
      <c r="S2059" s="80"/>
      <c r="T2059" s="105">
        <f t="shared" si="338"/>
        <v>2</v>
      </c>
      <c r="U2059" s="105">
        <f t="shared" si="340"/>
        <v>2</v>
      </c>
      <c r="V2059" s="104">
        <f>IFERROR(VLOOKUP(L2059,'Raw material list'!$A$2:$S$3102,6,0),0)</f>
        <v>4.2500000000000003E-3</v>
      </c>
      <c r="W2059" s="104">
        <f t="shared" si="341"/>
        <v>8.5000000000000006E-3</v>
      </c>
    </row>
    <row r="2060" spans="1:23" x14ac:dyDescent="0.55000000000000004">
      <c r="A2060" s="264" t="s">
        <v>2058</v>
      </c>
      <c r="B2060" s="58" t="s">
        <v>35</v>
      </c>
      <c r="C2060" s="58" t="s">
        <v>10</v>
      </c>
      <c r="D2060" s="76" t="s">
        <v>1839</v>
      </c>
      <c r="E2060" s="76" t="s">
        <v>1536</v>
      </c>
      <c r="F2060" s="76" t="s">
        <v>1666</v>
      </c>
      <c r="G2060" s="94" t="s">
        <v>1666</v>
      </c>
      <c r="H2060" s="106" t="s">
        <v>1666</v>
      </c>
      <c r="I2060" s="76"/>
      <c r="J2060" s="76"/>
      <c r="K2060" s="58" t="str">
        <f>IFERROR(VLOOKUP(L2060,'Raw material list'!$A$3:$C$715,3,0),"")</f>
        <v>DRY2-1858</v>
      </c>
      <c r="L2060" s="59" t="s">
        <v>60</v>
      </c>
      <c r="M2060" s="80" t="s">
        <v>206</v>
      </c>
      <c r="N2060" s="40" t="str">
        <f>VLOOKUP(L2060,'Raw material list'!$A$3:$E$715,5,0)</f>
        <v>Ml</v>
      </c>
      <c r="O2060" s="80">
        <v>600</v>
      </c>
      <c r="P2060" s="299">
        <f t="shared" si="339"/>
        <v>600</v>
      </c>
      <c r="Q2060" s="80">
        <v>100</v>
      </c>
      <c r="R2060" s="80">
        <v>600</v>
      </c>
      <c r="S2060" s="80"/>
      <c r="T2060" s="105">
        <f t="shared" si="338"/>
        <v>1</v>
      </c>
      <c r="U2060" s="105">
        <f t="shared" si="340"/>
        <v>1</v>
      </c>
      <c r="V2060" s="104">
        <f>IFERROR(VLOOKUP(L2060,'Raw material list'!$A$2:$S$3102,6,0),0)</f>
        <v>9.8800000000000016E-3</v>
      </c>
      <c r="W2060" s="104">
        <f t="shared" si="341"/>
        <v>9.8800000000000016E-3</v>
      </c>
    </row>
    <row r="2061" spans="1:23" x14ac:dyDescent="0.55000000000000004">
      <c r="A2061" s="264" t="s">
        <v>2058</v>
      </c>
      <c r="B2061" s="58" t="s">
        <v>35</v>
      </c>
      <c r="C2061" s="58" t="s">
        <v>10</v>
      </c>
      <c r="D2061" s="76" t="s">
        <v>1839</v>
      </c>
      <c r="E2061" s="76" t="s">
        <v>1536</v>
      </c>
      <c r="F2061" s="76" t="s">
        <v>1666</v>
      </c>
      <c r="G2061" s="94" t="s">
        <v>1666</v>
      </c>
      <c r="H2061" s="106" t="s">
        <v>1666</v>
      </c>
      <c r="I2061" s="76"/>
      <c r="J2061" s="76"/>
      <c r="K2061" s="58" t="str">
        <f>IFERROR(VLOOKUP(L2061,'Raw material list'!$A$3:$C$715,3,0),"")</f>
        <v>DRS1-978</v>
      </c>
      <c r="L2061" s="59" t="s">
        <v>56</v>
      </c>
      <c r="M2061" s="80" t="s">
        <v>156</v>
      </c>
      <c r="N2061" s="40" t="str">
        <f>VLOOKUP(L2061,'Raw material list'!$A$3:$E$715,5,0)</f>
        <v xml:space="preserve">Gram </v>
      </c>
      <c r="O2061" s="80">
        <v>250</v>
      </c>
      <c r="P2061" s="299">
        <f t="shared" si="339"/>
        <v>250</v>
      </c>
      <c r="Q2061" s="80">
        <v>100</v>
      </c>
      <c r="R2061" s="80">
        <v>600</v>
      </c>
      <c r="S2061" s="80"/>
      <c r="T2061" s="105">
        <f t="shared" si="338"/>
        <v>0.41666666666666669</v>
      </c>
      <c r="U2061" s="105">
        <f t="shared" si="340"/>
        <v>0.41666666666666669</v>
      </c>
      <c r="V2061" s="104">
        <f>IFERROR(VLOOKUP(L2061,'Raw material list'!$A$2:$S$3102,6,0),0)</f>
        <v>2.3999999999999998E-3</v>
      </c>
      <c r="W2061" s="104">
        <f t="shared" si="341"/>
        <v>1E-3</v>
      </c>
    </row>
    <row r="2062" spans="1:23" x14ac:dyDescent="0.55000000000000004">
      <c r="A2062" s="264" t="s">
        <v>2058</v>
      </c>
      <c r="B2062" s="58" t="s">
        <v>35</v>
      </c>
      <c r="C2062" s="58" t="s">
        <v>10</v>
      </c>
      <c r="D2062" s="76" t="s">
        <v>1839</v>
      </c>
      <c r="E2062" s="76" t="s">
        <v>1536</v>
      </c>
      <c r="F2062" s="76" t="s">
        <v>1666</v>
      </c>
      <c r="G2062" s="94" t="s">
        <v>1666</v>
      </c>
      <c r="H2062" s="106" t="s">
        <v>1666</v>
      </c>
      <c r="I2062" s="76"/>
      <c r="J2062" s="76"/>
      <c r="K2062" s="58" t="str">
        <f>IFERROR(VLOOKUP(L2062,'Raw material list'!$A$3:$C$715,3,0),"")</f>
        <v>DRS1-1823</v>
      </c>
      <c r="L2062" s="59" t="s">
        <v>619</v>
      </c>
      <c r="M2062" s="80" t="s">
        <v>156</v>
      </c>
      <c r="N2062" s="40" t="str">
        <f>VLOOKUP(L2062,'Raw material list'!$A$3:$E$715,5,0)</f>
        <v xml:space="preserve">Gram </v>
      </c>
      <c r="O2062" s="80">
        <v>20</v>
      </c>
      <c r="P2062" s="299">
        <f t="shared" si="339"/>
        <v>20</v>
      </c>
      <c r="Q2062" s="80">
        <v>100</v>
      </c>
      <c r="R2062" s="80">
        <v>600</v>
      </c>
      <c r="S2062" s="80"/>
      <c r="T2062" s="105">
        <f t="shared" si="338"/>
        <v>3.3333333333333333E-2</v>
      </c>
      <c r="U2062" s="105">
        <f t="shared" si="340"/>
        <v>3.3333333333333333E-2</v>
      </c>
      <c r="V2062" s="104">
        <f>IFERROR(VLOOKUP(L2062,'Raw material list'!$A$2:$S$3102,6,0),0)</f>
        <v>4.9000000000000002E-2</v>
      </c>
      <c r="W2062" s="104">
        <f t="shared" si="341"/>
        <v>1.6333333333333334E-3</v>
      </c>
    </row>
    <row r="2063" spans="1:23" x14ac:dyDescent="0.55000000000000004">
      <c r="A2063" s="264" t="s">
        <v>2058</v>
      </c>
      <c r="B2063" s="58" t="s">
        <v>35</v>
      </c>
      <c r="C2063" s="58" t="s">
        <v>10</v>
      </c>
      <c r="D2063" s="76" t="s">
        <v>1839</v>
      </c>
      <c r="E2063" s="76" t="s">
        <v>1536</v>
      </c>
      <c r="F2063" s="76" t="s">
        <v>1666</v>
      </c>
      <c r="G2063" s="94" t="s">
        <v>1666</v>
      </c>
      <c r="H2063" s="106" t="s">
        <v>1666</v>
      </c>
      <c r="I2063" s="76"/>
      <c r="J2063" s="76"/>
      <c r="K2063" s="58" t="str">
        <f>IFERROR(VLOOKUP(L2063,'Raw material list'!$A$3:$C$715,3,0),"")</f>
        <v>DRY1-1846</v>
      </c>
      <c r="L2063" s="59" t="s">
        <v>1667</v>
      </c>
      <c r="M2063" s="80" t="s">
        <v>156</v>
      </c>
      <c r="N2063" s="40" t="str">
        <f>VLOOKUP(L2063,'Raw material list'!$A$3:$E$715,5,0)</f>
        <v xml:space="preserve">Gram </v>
      </c>
      <c r="O2063" s="80">
        <v>6000</v>
      </c>
      <c r="P2063" s="299">
        <f t="shared" si="339"/>
        <v>6000</v>
      </c>
      <c r="Q2063" s="80">
        <v>100</v>
      </c>
      <c r="R2063" s="80">
        <v>600</v>
      </c>
      <c r="S2063" s="80"/>
      <c r="T2063" s="105">
        <f t="shared" si="338"/>
        <v>10</v>
      </c>
      <c r="U2063" s="105">
        <f t="shared" si="340"/>
        <v>10</v>
      </c>
      <c r="V2063" s="104">
        <f>IFERROR(VLOOKUP(L2063,'Raw material list'!$A$2:$S$3102,6,0),0)</f>
        <v>8.5749999999999993E-3</v>
      </c>
      <c r="W2063" s="104">
        <f t="shared" si="341"/>
        <v>8.5749999999999993E-2</v>
      </c>
    </row>
    <row r="2064" spans="1:23" x14ac:dyDescent="0.55000000000000004">
      <c r="A2064" s="264" t="s">
        <v>2058</v>
      </c>
      <c r="B2064" s="58" t="s">
        <v>35</v>
      </c>
      <c r="C2064" s="58" t="s">
        <v>10</v>
      </c>
      <c r="D2064" s="76" t="s">
        <v>1839</v>
      </c>
      <c r="E2064" s="76" t="s">
        <v>1536</v>
      </c>
      <c r="F2064" s="76" t="s">
        <v>1666</v>
      </c>
      <c r="G2064" s="94" t="s">
        <v>1666</v>
      </c>
      <c r="H2064" s="106" t="s">
        <v>1666</v>
      </c>
      <c r="I2064" s="76"/>
      <c r="J2064" s="76"/>
      <c r="K2064" s="58" t="str">
        <f>IFERROR(VLOOKUP(L2064,'Raw material list'!$A$3:$C$715,3,0),"")</f>
        <v>DRS1-444</v>
      </c>
      <c r="L2064" s="59" t="s">
        <v>224</v>
      </c>
      <c r="M2064" s="80" t="s">
        <v>156</v>
      </c>
      <c r="N2064" s="40" t="str">
        <f>VLOOKUP(L2064,'Raw material list'!$A$3:$E$715,5,0)</f>
        <v xml:space="preserve">Gram </v>
      </c>
      <c r="O2064" s="80">
        <v>2350</v>
      </c>
      <c r="P2064" s="299">
        <f t="shared" si="339"/>
        <v>2350</v>
      </c>
      <c r="Q2064" s="80">
        <v>100</v>
      </c>
      <c r="R2064" s="80">
        <v>30</v>
      </c>
      <c r="S2064" s="80"/>
      <c r="T2064" s="105">
        <f t="shared" si="338"/>
        <v>78.333333333333329</v>
      </c>
      <c r="U2064" s="105">
        <f t="shared" si="340"/>
        <v>78.333333333333329</v>
      </c>
      <c r="V2064" s="104">
        <f>IFERROR(VLOOKUP(L2064,'Raw material list'!$A$2:$S$3102,6,0),0)</f>
        <v>8.8999999999999999E-3</v>
      </c>
      <c r="W2064" s="104">
        <f t="shared" si="341"/>
        <v>0.6971666666666666</v>
      </c>
    </row>
    <row r="2065" spans="1:23" x14ac:dyDescent="0.55000000000000004">
      <c r="A2065" s="264" t="s">
        <v>2058</v>
      </c>
      <c r="B2065" s="58" t="s">
        <v>35</v>
      </c>
      <c r="C2065" s="58" t="s">
        <v>10</v>
      </c>
      <c r="D2065" s="76" t="s">
        <v>1839</v>
      </c>
      <c r="E2065" s="76" t="s">
        <v>1536</v>
      </c>
      <c r="F2065" s="76" t="s">
        <v>1666</v>
      </c>
      <c r="G2065" s="94" t="s">
        <v>1666</v>
      </c>
      <c r="H2065" s="106" t="s">
        <v>1666</v>
      </c>
      <c r="I2065" s="76"/>
      <c r="J2065" s="76"/>
      <c r="K2065" s="58" t="str">
        <f>IFERROR(VLOOKUP(L2065,'Raw material list'!$A$3:$C$715,3,0),"")</f>
        <v>PRD1-572</v>
      </c>
      <c r="L2065" s="59" t="s">
        <v>54</v>
      </c>
      <c r="M2065" s="80" t="s">
        <v>156</v>
      </c>
      <c r="N2065" s="40" t="str">
        <f>VLOOKUP(L2065,'Raw material list'!$A$3:$E$715,5,0)</f>
        <v xml:space="preserve">Gram </v>
      </c>
      <c r="O2065" s="80">
        <v>200</v>
      </c>
      <c r="P2065" s="299">
        <f t="shared" si="339"/>
        <v>226.67170381564031</v>
      </c>
      <c r="Q2065" s="105">
        <v>88.233333333333348</v>
      </c>
      <c r="R2065" s="80">
        <v>30</v>
      </c>
      <c r="S2065" s="80"/>
      <c r="T2065" s="105">
        <f t="shared" si="338"/>
        <v>6.666666666666667</v>
      </c>
      <c r="U2065" s="105">
        <f t="shared" si="340"/>
        <v>7.5557234605213441</v>
      </c>
      <c r="V2065" s="104">
        <f>IFERROR(VLOOKUP(L2065,'Raw material list'!$A$2:$S$3102,6,0),0)</f>
        <v>4.5351473922902496E-3</v>
      </c>
      <c r="W2065" s="104">
        <f t="shared" si="341"/>
        <v>3.4266319548849636E-2</v>
      </c>
    </row>
    <row r="2066" spans="1:23" x14ac:dyDescent="0.55000000000000004">
      <c r="A2066" s="264" t="s">
        <v>2058</v>
      </c>
      <c r="B2066" s="58" t="s">
        <v>35</v>
      </c>
      <c r="C2066" s="58" t="s">
        <v>10</v>
      </c>
      <c r="D2066" s="76" t="s">
        <v>1839</v>
      </c>
      <c r="E2066" s="76" t="s">
        <v>1536</v>
      </c>
      <c r="F2066" s="76" t="s">
        <v>1666</v>
      </c>
      <c r="G2066" s="94" t="s">
        <v>1666</v>
      </c>
      <c r="H2066" s="106" t="s">
        <v>1666</v>
      </c>
      <c r="I2066" s="76"/>
      <c r="J2066" s="76"/>
      <c r="K2066" s="58" t="str">
        <f>IFERROR(VLOOKUP(L2066,'Raw material list'!$A$3:$C$715,3,0),"")</f>
        <v>PRD1-4265</v>
      </c>
      <c r="L2066" s="59" t="s">
        <v>38</v>
      </c>
      <c r="M2066" s="80" t="s">
        <v>156</v>
      </c>
      <c r="N2066" s="40" t="str">
        <f>VLOOKUP(L2066,'Raw material list'!$A$3:$E$715,5,0)</f>
        <v xml:space="preserve">Gram </v>
      </c>
      <c r="O2066" s="80">
        <v>125</v>
      </c>
      <c r="P2066" s="299">
        <f t="shared" si="339"/>
        <v>147.05882352941177</v>
      </c>
      <c r="Q2066" s="105">
        <v>85</v>
      </c>
      <c r="R2066" s="80">
        <v>30</v>
      </c>
      <c r="S2066" s="80"/>
      <c r="T2066" s="105">
        <f t="shared" si="338"/>
        <v>4.166666666666667</v>
      </c>
      <c r="U2066" s="105">
        <f t="shared" si="340"/>
        <v>4.9019607843137258</v>
      </c>
      <c r="V2066" s="104">
        <f>IFERROR(VLOOKUP(L2066,'Raw material list'!$A$2:$S$3102,6,0),0)</f>
        <v>3.529411764705882E-3</v>
      </c>
      <c r="W2066" s="104">
        <f t="shared" si="341"/>
        <v>1.7301038062283738E-2</v>
      </c>
    </row>
    <row r="2067" spans="1:23" x14ac:dyDescent="0.55000000000000004">
      <c r="A2067" s="264" t="s">
        <v>2058</v>
      </c>
      <c r="B2067" s="58" t="s">
        <v>35</v>
      </c>
      <c r="C2067" s="58" t="s">
        <v>10</v>
      </c>
      <c r="D2067" s="76" t="s">
        <v>1839</v>
      </c>
      <c r="E2067" s="76" t="s">
        <v>1536</v>
      </c>
      <c r="F2067" s="76" t="s">
        <v>1666</v>
      </c>
      <c r="G2067" s="94" t="s">
        <v>1666</v>
      </c>
      <c r="H2067" s="106" t="s">
        <v>1666</v>
      </c>
      <c r="I2067" s="76"/>
      <c r="J2067" s="76"/>
      <c r="K2067" s="58" t="str">
        <f>IFERROR(VLOOKUP(L2067,'Raw material list'!$A$3:$C$715,3,0),"")</f>
        <v>PRD1-195</v>
      </c>
      <c r="L2067" s="59" t="s">
        <v>90</v>
      </c>
      <c r="M2067" s="80" t="s">
        <v>156</v>
      </c>
      <c r="N2067" s="40" t="str">
        <f>VLOOKUP(L2067,'Raw material list'!$A$3:$E$715,5,0)</f>
        <v xml:space="preserve">Gram </v>
      </c>
      <c r="O2067" s="80">
        <v>100</v>
      </c>
      <c r="P2067" s="299">
        <f t="shared" si="339"/>
        <v>234.37499999999994</v>
      </c>
      <c r="Q2067" s="105">
        <v>42.666666666666671</v>
      </c>
      <c r="R2067" s="80">
        <v>30</v>
      </c>
      <c r="S2067" s="80"/>
      <c r="T2067" s="105">
        <f t="shared" si="338"/>
        <v>3.3333333333333335</v>
      </c>
      <c r="U2067" s="105">
        <f t="shared" si="340"/>
        <v>7.8124999999999982</v>
      </c>
      <c r="V2067" s="104">
        <f>IFERROR(VLOOKUP(L2067,'Raw material list'!$A$2:$S$3102,6,0),0)</f>
        <v>9.3676814988290415E-3</v>
      </c>
      <c r="W2067" s="104">
        <f t="shared" si="341"/>
        <v>7.3185011709601872E-2</v>
      </c>
    </row>
    <row r="2068" spans="1:23" x14ac:dyDescent="0.55000000000000004">
      <c r="A2068" s="264" t="s">
        <v>2058</v>
      </c>
      <c r="B2068" s="58" t="s">
        <v>35</v>
      </c>
      <c r="C2068" s="58" t="s">
        <v>10</v>
      </c>
      <c r="D2068" s="76" t="s">
        <v>1839</v>
      </c>
      <c r="E2068" s="76" t="s">
        <v>1536</v>
      </c>
      <c r="F2068" s="76" t="s">
        <v>1666</v>
      </c>
      <c r="G2068" s="94" t="s">
        <v>1666</v>
      </c>
      <c r="H2068" s="106" t="s">
        <v>1666</v>
      </c>
      <c r="I2068" s="76"/>
      <c r="J2068" s="76"/>
      <c r="K2068" s="58" t="str">
        <f>IFERROR(VLOOKUP(L2068,'Raw material list'!$A$3:$C$715,3,0),"")</f>
        <v>PRD1-4327</v>
      </c>
      <c r="L2068" s="59" t="s">
        <v>39</v>
      </c>
      <c r="M2068" s="80" t="s">
        <v>156</v>
      </c>
      <c r="N2068" s="40" t="str">
        <f>VLOOKUP(L2068,'Raw material list'!$A$3:$E$715,5,0)</f>
        <v xml:space="preserve">Gram </v>
      </c>
      <c r="O2068" s="80">
        <v>15</v>
      </c>
      <c r="P2068" s="299">
        <f t="shared" si="339"/>
        <v>18.072289156626507</v>
      </c>
      <c r="Q2068" s="105">
        <v>83</v>
      </c>
      <c r="R2068" s="80">
        <v>30</v>
      </c>
      <c r="S2068" s="80"/>
      <c r="T2068" s="105">
        <f t="shared" si="338"/>
        <v>0.5</v>
      </c>
      <c r="U2068" s="105">
        <f t="shared" si="340"/>
        <v>0.60240963855421692</v>
      </c>
      <c r="V2068" s="104">
        <f>IFERROR(VLOOKUP(L2068,'Raw material list'!$A$2:$S$3102,6,0),0)</f>
        <v>1.2999999999999999E-2</v>
      </c>
      <c r="W2068" s="104">
        <f t="shared" si="341"/>
        <v>7.8313253012048199E-3</v>
      </c>
    </row>
    <row r="2069" spans="1:23" x14ac:dyDescent="0.55000000000000004">
      <c r="A2069" s="264" t="s">
        <v>2058</v>
      </c>
      <c r="B2069" s="58" t="s">
        <v>35</v>
      </c>
      <c r="C2069" s="58" t="s">
        <v>10</v>
      </c>
      <c r="D2069" s="76" t="s">
        <v>1839</v>
      </c>
      <c r="E2069" s="76" t="s">
        <v>1536</v>
      </c>
      <c r="F2069" s="76" t="s">
        <v>1666</v>
      </c>
      <c r="G2069" s="94" t="s">
        <v>1666</v>
      </c>
      <c r="H2069" s="106" t="s">
        <v>1666</v>
      </c>
      <c r="I2069" s="76"/>
      <c r="J2069" s="76"/>
      <c r="K2069" s="58" t="str">
        <f>IFERROR(VLOOKUP(L2069,'Raw material list'!$A$3:$C$715,3,0),"")</f>
        <v>DRS6-733</v>
      </c>
      <c r="L2069" s="59" t="s">
        <v>45</v>
      </c>
      <c r="M2069" s="80" t="s">
        <v>156</v>
      </c>
      <c r="N2069" s="40" t="str">
        <f>VLOOKUP(L2069,'Raw material list'!$A$3:$E$715,5,0)</f>
        <v xml:space="preserve">Gram </v>
      </c>
      <c r="O2069" s="80">
        <v>15</v>
      </c>
      <c r="P2069" s="299">
        <f t="shared" si="339"/>
        <v>15</v>
      </c>
      <c r="Q2069" s="303">
        <v>100</v>
      </c>
      <c r="R2069" s="80">
        <v>30</v>
      </c>
      <c r="S2069" s="80"/>
      <c r="T2069" s="105">
        <f t="shared" si="338"/>
        <v>0.5</v>
      </c>
      <c r="U2069" s="105">
        <f t="shared" si="340"/>
        <v>0.5</v>
      </c>
      <c r="V2069" s="104">
        <f>IFERROR(VLOOKUP(L2069,'Raw material list'!$A$2:$S$3102,6,0),0)</f>
        <v>2.8000000000000001E-2</v>
      </c>
      <c r="W2069" s="104">
        <f t="shared" si="341"/>
        <v>1.4E-2</v>
      </c>
    </row>
    <row r="2070" spans="1:23" x14ac:dyDescent="0.55000000000000004">
      <c r="A2070" s="264" t="s">
        <v>2058</v>
      </c>
      <c r="B2070" s="58" t="s">
        <v>35</v>
      </c>
      <c r="C2070" s="58" t="s">
        <v>10</v>
      </c>
      <c r="D2070" s="76" t="s">
        <v>1839</v>
      </c>
      <c r="E2070" s="76" t="s">
        <v>1536</v>
      </c>
      <c r="F2070" s="76" t="s">
        <v>1666</v>
      </c>
      <c r="G2070" s="94" t="s">
        <v>1666</v>
      </c>
      <c r="H2070" s="106" t="s">
        <v>1666</v>
      </c>
      <c r="I2070" s="76"/>
      <c r="J2070" s="76"/>
      <c r="K2070" s="58" t="str">
        <f>IFERROR(VLOOKUP(L2070,'Raw material list'!$A$3:$C$715,3,0),"")</f>
        <v>DRS6-266</v>
      </c>
      <c r="L2070" s="59" t="s">
        <v>99</v>
      </c>
      <c r="M2070" s="80" t="s">
        <v>156</v>
      </c>
      <c r="N2070" s="40" t="str">
        <f>VLOOKUP(L2070,'Raw material list'!$A$3:$E$715,5,0)</f>
        <v xml:space="preserve">Gram </v>
      </c>
      <c r="O2070" s="80">
        <v>10</v>
      </c>
      <c r="P2070" s="299">
        <f t="shared" si="339"/>
        <v>10</v>
      </c>
      <c r="Q2070" s="80">
        <v>100</v>
      </c>
      <c r="R2070" s="80">
        <v>30</v>
      </c>
      <c r="S2070" s="80"/>
      <c r="T2070" s="105">
        <f t="shared" si="338"/>
        <v>0.33333333333333331</v>
      </c>
      <c r="U2070" s="105">
        <f t="shared" si="340"/>
        <v>0.33333333333333331</v>
      </c>
      <c r="V2070" s="104">
        <f>IFERROR(VLOOKUP(L2070,'Raw material list'!$A$2:$S$3102,6,0),0)</f>
        <v>1.4E-2</v>
      </c>
      <c r="W2070" s="104">
        <f t="shared" si="341"/>
        <v>4.6666666666666662E-3</v>
      </c>
    </row>
    <row r="2071" spans="1:23" x14ac:dyDescent="0.55000000000000004">
      <c r="A2071" s="264" t="s">
        <v>2058</v>
      </c>
      <c r="B2071" s="58" t="s">
        <v>35</v>
      </c>
      <c r="C2071" s="58" t="s">
        <v>10</v>
      </c>
      <c r="D2071" s="76" t="s">
        <v>1839</v>
      </c>
      <c r="E2071" s="76" t="s">
        <v>1536</v>
      </c>
      <c r="F2071" s="76" t="s">
        <v>1666</v>
      </c>
      <c r="G2071" s="94" t="s">
        <v>1666</v>
      </c>
      <c r="H2071" s="106" t="s">
        <v>1666</v>
      </c>
      <c r="I2071" s="76"/>
      <c r="J2071" s="76"/>
      <c r="K2071" s="58" t="str">
        <f>IFERROR(VLOOKUP(L2071,'Raw material list'!$A$3:$C$715,3,0),"")</f>
        <v>DRS6-1727</v>
      </c>
      <c r="L2071" s="59" t="s">
        <v>106</v>
      </c>
      <c r="M2071" s="80" t="s">
        <v>156</v>
      </c>
      <c r="N2071" s="40" t="str">
        <f>VLOOKUP(L2071,'Raw material list'!$A$3:$E$715,5,0)</f>
        <v xml:space="preserve">Gram </v>
      </c>
      <c r="O2071" s="80">
        <v>5</v>
      </c>
      <c r="P2071" s="299">
        <f t="shared" si="339"/>
        <v>5</v>
      </c>
      <c r="Q2071" s="80">
        <v>100</v>
      </c>
      <c r="R2071" s="80">
        <v>30</v>
      </c>
      <c r="S2071" s="80"/>
      <c r="T2071" s="105">
        <f t="shared" si="338"/>
        <v>0.16666666666666666</v>
      </c>
      <c r="U2071" s="105">
        <f t="shared" si="340"/>
        <v>0.16666666666666666</v>
      </c>
      <c r="V2071" s="104">
        <f>IFERROR(VLOOKUP(L2071,'Raw material list'!$A$2:$S$3102,6,0),0)</f>
        <v>2.5000000000000001E-2</v>
      </c>
      <c r="W2071" s="104">
        <f t="shared" si="341"/>
        <v>4.1666666666666666E-3</v>
      </c>
    </row>
    <row r="2072" spans="1:23" x14ac:dyDescent="0.55000000000000004">
      <c r="A2072" s="264" t="s">
        <v>2058</v>
      </c>
      <c r="B2072" s="58" t="s">
        <v>35</v>
      </c>
      <c r="C2072" s="58" t="s">
        <v>10</v>
      </c>
      <c r="D2072" s="76" t="s">
        <v>1839</v>
      </c>
      <c r="E2072" s="76" t="s">
        <v>1536</v>
      </c>
      <c r="F2072" s="76" t="s">
        <v>1666</v>
      </c>
      <c r="G2072" s="94" t="s">
        <v>1666</v>
      </c>
      <c r="H2072" s="106" t="s">
        <v>1666</v>
      </c>
      <c r="I2072" s="76"/>
      <c r="J2072" s="76"/>
      <c r="K2072" s="58" t="str">
        <f>IFERROR(VLOOKUP(L2072,'Raw material list'!$A$3:$C$715,3,0),"")</f>
        <v>DRS3-1615</v>
      </c>
      <c r="L2072" s="59" t="s">
        <v>50</v>
      </c>
      <c r="M2072" s="80" t="s">
        <v>206</v>
      </c>
      <c r="N2072" s="40" t="str">
        <f>VLOOKUP(L2072,'Raw material list'!$A$3:$E$715,5,0)</f>
        <v>Ml</v>
      </c>
      <c r="O2072" s="80">
        <v>150</v>
      </c>
      <c r="P2072" s="299">
        <f t="shared" si="339"/>
        <v>150</v>
      </c>
      <c r="Q2072" s="80">
        <v>100</v>
      </c>
      <c r="R2072" s="80">
        <v>30</v>
      </c>
      <c r="S2072" s="80"/>
      <c r="T2072" s="105">
        <f t="shared" si="338"/>
        <v>5</v>
      </c>
      <c r="U2072" s="105">
        <f t="shared" si="340"/>
        <v>5</v>
      </c>
      <c r="V2072" s="104">
        <f>IFERROR(VLOOKUP(L2072,'Raw material list'!$A$2:$S$3102,6,0),0)</f>
        <v>1.2E-2</v>
      </c>
      <c r="W2072" s="104">
        <f t="shared" si="341"/>
        <v>0.06</v>
      </c>
    </row>
    <row r="2073" spans="1:23" x14ac:dyDescent="0.55000000000000004">
      <c r="A2073" s="264" t="s">
        <v>2059</v>
      </c>
      <c r="B2073" s="58" t="s">
        <v>35</v>
      </c>
      <c r="C2073" s="58" t="s">
        <v>10</v>
      </c>
      <c r="D2073" s="76" t="s">
        <v>1841</v>
      </c>
      <c r="E2073" s="76"/>
      <c r="F2073" s="76" t="s">
        <v>1666</v>
      </c>
      <c r="G2073" s="94" t="s">
        <v>1666</v>
      </c>
      <c r="H2073" s="106" t="s">
        <v>1666</v>
      </c>
      <c r="I2073" s="76"/>
      <c r="J2073" s="76"/>
      <c r="K2073" s="58" t="str">
        <f>IFERROR(VLOOKUP(L2073,'Raw material list'!$A$3:$C$715,3,0),"")</f>
        <v>DRS1-444</v>
      </c>
      <c r="L2073" s="59" t="s">
        <v>224</v>
      </c>
      <c r="M2073" s="80" t="s">
        <v>156</v>
      </c>
      <c r="N2073" s="40" t="str">
        <f>VLOOKUP(L2073,'Raw material list'!$A$3:$E$715,5,0)</f>
        <v xml:space="preserve">Gram </v>
      </c>
      <c r="O2073" s="80">
        <v>2350</v>
      </c>
      <c r="P2073" s="299">
        <f t="shared" si="339"/>
        <v>2350</v>
      </c>
      <c r="Q2073" s="80">
        <v>100</v>
      </c>
      <c r="R2073" s="80">
        <v>30</v>
      </c>
      <c r="S2073" s="80"/>
      <c r="T2073" s="105">
        <f t="shared" si="338"/>
        <v>78.333333333333329</v>
      </c>
      <c r="U2073" s="105">
        <f t="shared" si="340"/>
        <v>78.333333333333329</v>
      </c>
      <c r="V2073" s="104">
        <f>IFERROR(VLOOKUP(L2073,'Raw material list'!$A$2:$S$3102,6,0),0)</f>
        <v>8.8999999999999999E-3</v>
      </c>
      <c r="W2073" s="104">
        <f t="shared" si="341"/>
        <v>0.6971666666666666</v>
      </c>
    </row>
    <row r="2074" spans="1:23" x14ac:dyDescent="0.55000000000000004">
      <c r="A2074" s="264" t="s">
        <v>2059</v>
      </c>
      <c r="B2074" s="58" t="s">
        <v>35</v>
      </c>
      <c r="C2074" s="58" t="s">
        <v>10</v>
      </c>
      <c r="D2074" s="76" t="s">
        <v>1841</v>
      </c>
      <c r="E2074" s="76"/>
      <c r="F2074" s="76" t="s">
        <v>1666</v>
      </c>
      <c r="G2074" s="94" t="s">
        <v>1666</v>
      </c>
      <c r="H2074" s="106" t="s">
        <v>1666</v>
      </c>
      <c r="I2074" s="76"/>
      <c r="J2074" s="76"/>
      <c r="K2074" s="58" t="str">
        <f>IFERROR(VLOOKUP(L2074,'Raw material list'!$A$3:$C$715,3,0),"")</f>
        <v>PRD1-572</v>
      </c>
      <c r="L2074" s="59" t="s">
        <v>54</v>
      </c>
      <c r="M2074" s="80" t="s">
        <v>156</v>
      </c>
      <c r="N2074" s="40" t="str">
        <f>VLOOKUP(L2074,'Raw material list'!$A$3:$E$715,5,0)</f>
        <v xml:space="preserve">Gram </v>
      </c>
      <c r="O2074" s="80">
        <v>200</v>
      </c>
      <c r="P2074" s="299">
        <f t="shared" si="339"/>
        <v>226.67170381564031</v>
      </c>
      <c r="Q2074" s="105">
        <v>88.233333333333348</v>
      </c>
      <c r="R2074" s="80">
        <v>30</v>
      </c>
      <c r="S2074" s="80"/>
      <c r="T2074" s="105">
        <f t="shared" si="338"/>
        <v>6.666666666666667</v>
      </c>
      <c r="U2074" s="105">
        <f t="shared" si="340"/>
        <v>7.5557234605213441</v>
      </c>
      <c r="V2074" s="104">
        <f>IFERROR(VLOOKUP(L2074,'Raw material list'!$A$2:$S$3102,6,0),0)</f>
        <v>4.5351473922902496E-3</v>
      </c>
      <c r="W2074" s="104">
        <f t="shared" si="341"/>
        <v>3.4266319548849636E-2</v>
      </c>
    </row>
    <row r="2075" spans="1:23" x14ac:dyDescent="0.55000000000000004">
      <c r="A2075" s="264" t="s">
        <v>2059</v>
      </c>
      <c r="B2075" s="58" t="s">
        <v>35</v>
      </c>
      <c r="C2075" s="58" t="s">
        <v>10</v>
      </c>
      <c r="D2075" s="76" t="s">
        <v>1841</v>
      </c>
      <c r="E2075" s="76"/>
      <c r="F2075" s="76" t="s">
        <v>1666</v>
      </c>
      <c r="G2075" s="94" t="s">
        <v>1666</v>
      </c>
      <c r="H2075" s="106" t="s">
        <v>1666</v>
      </c>
      <c r="I2075" s="76"/>
      <c r="J2075" s="76"/>
      <c r="K2075" s="58" t="str">
        <f>IFERROR(VLOOKUP(L2075,'Raw material list'!$A$3:$C$715,3,0),"")</f>
        <v>PRD1-4265</v>
      </c>
      <c r="L2075" s="59" t="s">
        <v>38</v>
      </c>
      <c r="M2075" s="80" t="s">
        <v>156</v>
      </c>
      <c r="N2075" s="40" t="str">
        <f>VLOOKUP(L2075,'Raw material list'!$A$3:$E$715,5,0)</f>
        <v xml:space="preserve">Gram </v>
      </c>
      <c r="O2075" s="80">
        <v>125</v>
      </c>
      <c r="P2075" s="299">
        <f t="shared" si="339"/>
        <v>147.05882352941177</v>
      </c>
      <c r="Q2075" s="105">
        <v>85</v>
      </c>
      <c r="R2075" s="80">
        <v>30</v>
      </c>
      <c r="S2075" s="80"/>
      <c r="T2075" s="105">
        <f t="shared" si="338"/>
        <v>4.166666666666667</v>
      </c>
      <c r="U2075" s="105">
        <f t="shared" si="340"/>
        <v>4.9019607843137258</v>
      </c>
      <c r="V2075" s="104">
        <f>IFERROR(VLOOKUP(L2075,'Raw material list'!$A$2:$S$3102,6,0),0)</f>
        <v>3.529411764705882E-3</v>
      </c>
      <c r="W2075" s="104">
        <f t="shared" si="341"/>
        <v>1.7301038062283738E-2</v>
      </c>
    </row>
    <row r="2076" spans="1:23" x14ac:dyDescent="0.55000000000000004">
      <c r="A2076" s="264" t="s">
        <v>2059</v>
      </c>
      <c r="B2076" s="58" t="s">
        <v>35</v>
      </c>
      <c r="C2076" s="58" t="s">
        <v>10</v>
      </c>
      <c r="D2076" s="76" t="s">
        <v>1841</v>
      </c>
      <c r="E2076" s="76"/>
      <c r="F2076" s="76" t="s">
        <v>1666</v>
      </c>
      <c r="G2076" s="94" t="s">
        <v>1666</v>
      </c>
      <c r="H2076" s="106" t="s">
        <v>1666</v>
      </c>
      <c r="I2076" s="76"/>
      <c r="J2076" s="76"/>
      <c r="K2076" s="58" t="str">
        <f>IFERROR(VLOOKUP(L2076,'Raw material list'!$A$3:$C$715,3,0),"")</f>
        <v>PRD1-195</v>
      </c>
      <c r="L2076" s="59" t="s">
        <v>90</v>
      </c>
      <c r="M2076" s="80" t="s">
        <v>156</v>
      </c>
      <c r="N2076" s="40" t="str">
        <f>VLOOKUP(L2076,'Raw material list'!$A$3:$E$715,5,0)</f>
        <v xml:space="preserve">Gram </v>
      </c>
      <c r="O2076" s="80">
        <v>100</v>
      </c>
      <c r="P2076" s="299">
        <f t="shared" si="339"/>
        <v>234.37499999999994</v>
      </c>
      <c r="Q2076" s="105">
        <v>42.666666666666671</v>
      </c>
      <c r="R2076" s="80">
        <v>30</v>
      </c>
      <c r="S2076" s="80"/>
      <c r="T2076" s="105">
        <f t="shared" si="338"/>
        <v>3.3333333333333335</v>
      </c>
      <c r="U2076" s="105">
        <f t="shared" si="340"/>
        <v>7.8124999999999982</v>
      </c>
      <c r="V2076" s="104">
        <f>IFERROR(VLOOKUP(L2076,'Raw material list'!$A$2:$S$3102,6,0),0)</f>
        <v>9.3676814988290415E-3</v>
      </c>
      <c r="W2076" s="104">
        <f t="shared" si="341"/>
        <v>7.3185011709601872E-2</v>
      </c>
    </row>
    <row r="2077" spans="1:23" x14ac:dyDescent="0.55000000000000004">
      <c r="A2077" s="264" t="s">
        <v>2059</v>
      </c>
      <c r="B2077" s="58" t="s">
        <v>35</v>
      </c>
      <c r="C2077" s="58" t="s">
        <v>10</v>
      </c>
      <c r="D2077" s="76" t="s">
        <v>1841</v>
      </c>
      <c r="E2077" s="76"/>
      <c r="F2077" s="76" t="s">
        <v>1666</v>
      </c>
      <c r="G2077" s="94" t="s">
        <v>1666</v>
      </c>
      <c r="H2077" s="106" t="s">
        <v>1666</v>
      </c>
      <c r="I2077" s="76"/>
      <c r="J2077" s="76"/>
      <c r="K2077" s="58" t="str">
        <f>IFERROR(VLOOKUP(L2077,'Raw material list'!$A$3:$C$715,3,0),"")</f>
        <v>PRD1-4327</v>
      </c>
      <c r="L2077" s="59" t="s">
        <v>39</v>
      </c>
      <c r="M2077" s="80" t="s">
        <v>156</v>
      </c>
      <c r="N2077" s="40" t="str">
        <f>VLOOKUP(L2077,'Raw material list'!$A$3:$E$715,5,0)</f>
        <v xml:space="preserve">Gram </v>
      </c>
      <c r="O2077" s="80">
        <v>15</v>
      </c>
      <c r="P2077" s="299">
        <f t="shared" si="339"/>
        <v>18.072289156626507</v>
      </c>
      <c r="Q2077" s="105">
        <v>83</v>
      </c>
      <c r="R2077" s="80">
        <v>30</v>
      </c>
      <c r="S2077" s="80"/>
      <c r="T2077" s="105">
        <f t="shared" si="338"/>
        <v>0.5</v>
      </c>
      <c r="U2077" s="105">
        <f t="shared" si="340"/>
        <v>0.60240963855421692</v>
      </c>
      <c r="V2077" s="104">
        <f>IFERROR(VLOOKUP(L2077,'Raw material list'!$A$2:$S$3102,6,0),0)</f>
        <v>1.2999999999999999E-2</v>
      </c>
      <c r="W2077" s="104">
        <f t="shared" si="341"/>
        <v>7.8313253012048199E-3</v>
      </c>
    </row>
    <row r="2078" spans="1:23" x14ac:dyDescent="0.55000000000000004">
      <c r="A2078" s="264" t="s">
        <v>2059</v>
      </c>
      <c r="B2078" s="58" t="s">
        <v>35</v>
      </c>
      <c r="C2078" s="58" t="s">
        <v>10</v>
      </c>
      <c r="D2078" s="76" t="s">
        <v>1841</v>
      </c>
      <c r="E2078" s="76"/>
      <c r="F2078" s="76" t="s">
        <v>1666</v>
      </c>
      <c r="G2078" s="94" t="s">
        <v>1666</v>
      </c>
      <c r="H2078" s="106" t="s">
        <v>1666</v>
      </c>
      <c r="I2078" s="76"/>
      <c r="J2078" s="76"/>
      <c r="K2078" s="58" t="str">
        <f>IFERROR(VLOOKUP(L2078,'Raw material list'!$A$3:$C$715,3,0),"")</f>
        <v>DRS6-733</v>
      </c>
      <c r="L2078" s="59" t="s">
        <v>45</v>
      </c>
      <c r="M2078" s="80" t="s">
        <v>156</v>
      </c>
      <c r="N2078" s="40" t="str">
        <f>VLOOKUP(L2078,'Raw material list'!$A$3:$E$715,5,0)</f>
        <v xml:space="preserve">Gram </v>
      </c>
      <c r="O2078" s="80">
        <v>15</v>
      </c>
      <c r="P2078" s="299">
        <f t="shared" si="339"/>
        <v>15</v>
      </c>
      <c r="Q2078" s="303">
        <v>100</v>
      </c>
      <c r="R2078" s="80">
        <v>30</v>
      </c>
      <c r="S2078" s="80"/>
      <c r="T2078" s="105">
        <f t="shared" si="338"/>
        <v>0.5</v>
      </c>
      <c r="U2078" s="105">
        <f t="shared" si="340"/>
        <v>0.5</v>
      </c>
      <c r="V2078" s="104">
        <f>IFERROR(VLOOKUP(L2078,'Raw material list'!$A$2:$S$3102,6,0),0)</f>
        <v>2.8000000000000001E-2</v>
      </c>
      <c r="W2078" s="104">
        <f t="shared" si="341"/>
        <v>1.4E-2</v>
      </c>
    </row>
    <row r="2079" spans="1:23" x14ac:dyDescent="0.55000000000000004">
      <c r="A2079" s="264" t="s">
        <v>2059</v>
      </c>
      <c r="B2079" s="58" t="s">
        <v>35</v>
      </c>
      <c r="C2079" s="58" t="s">
        <v>10</v>
      </c>
      <c r="D2079" s="76" t="s">
        <v>1841</v>
      </c>
      <c r="E2079" s="76"/>
      <c r="F2079" s="76" t="s">
        <v>1666</v>
      </c>
      <c r="G2079" s="94" t="s">
        <v>1666</v>
      </c>
      <c r="H2079" s="106" t="s">
        <v>1666</v>
      </c>
      <c r="I2079" s="76"/>
      <c r="J2079" s="76"/>
      <c r="K2079" s="58" t="str">
        <f>IFERROR(VLOOKUP(L2079,'Raw material list'!$A$3:$C$715,3,0),"")</f>
        <v>DRS6-266</v>
      </c>
      <c r="L2079" s="59" t="s">
        <v>99</v>
      </c>
      <c r="M2079" s="80" t="s">
        <v>156</v>
      </c>
      <c r="N2079" s="40" t="str">
        <f>VLOOKUP(L2079,'Raw material list'!$A$3:$E$715,5,0)</f>
        <v xml:space="preserve">Gram </v>
      </c>
      <c r="O2079" s="80">
        <v>10</v>
      </c>
      <c r="P2079" s="299">
        <f t="shared" si="339"/>
        <v>10</v>
      </c>
      <c r="Q2079" s="80">
        <v>100</v>
      </c>
      <c r="R2079" s="80">
        <v>30</v>
      </c>
      <c r="S2079" s="80"/>
      <c r="T2079" s="105">
        <f t="shared" si="338"/>
        <v>0.33333333333333331</v>
      </c>
      <c r="U2079" s="105">
        <f t="shared" si="340"/>
        <v>0.33333333333333331</v>
      </c>
      <c r="V2079" s="104">
        <f>IFERROR(VLOOKUP(L2079,'Raw material list'!$A$2:$S$3102,6,0),0)</f>
        <v>1.4E-2</v>
      </c>
      <c r="W2079" s="104">
        <f t="shared" si="341"/>
        <v>4.6666666666666662E-3</v>
      </c>
    </row>
    <row r="2080" spans="1:23" x14ac:dyDescent="0.55000000000000004">
      <c r="A2080" s="264" t="s">
        <v>2059</v>
      </c>
      <c r="B2080" s="58" t="s">
        <v>35</v>
      </c>
      <c r="C2080" s="58" t="s">
        <v>10</v>
      </c>
      <c r="D2080" s="76" t="s">
        <v>1841</v>
      </c>
      <c r="E2080" s="76"/>
      <c r="F2080" s="76" t="s">
        <v>1666</v>
      </c>
      <c r="G2080" s="94" t="s">
        <v>1666</v>
      </c>
      <c r="H2080" s="106" t="s">
        <v>1666</v>
      </c>
      <c r="I2080" s="76"/>
      <c r="J2080" s="76"/>
      <c r="K2080" s="58" t="str">
        <f>IFERROR(VLOOKUP(L2080,'Raw material list'!$A$3:$C$715,3,0),"")</f>
        <v>DRS6-1727</v>
      </c>
      <c r="L2080" s="59" t="s">
        <v>106</v>
      </c>
      <c r="M2080" s="80" t="s">
        <v>156</v>
      </c>
      <c r="N2080" s="40" t="str">
        <f>VLOOKUP(L2080,'Raw material list'!$A$3:$E$715,5,0)</f>
        <v xml:space="preserve">Gram </v>
      </c>
      <c r="O2080" s="80">
        <v>5</v>
      </c>
      <c r="P2080" s="299">
        <f t="shared" si="339"/>
        <v>5</v>
      </c>
      <c r="Q2080" s="80">
        <v>100</v>
      </c>
      <c r="R2080" s="80">
        <v>30</v>
      </c>
      <c r="S2080" s="80"/>
      <c r="T2080" s="105">
        <f t="shared" si="338"/>
        <v>0.16666666666666666</v>
      </c>
      <c r="U2080" s="105">
        <f t="shared" si="340"/>
        <v>0.16666666666666666</v>
      </c>
      <c r="V2080" s="104">
        <f>IFERROR(VLOOKUP(L2080,'Raw material list'!$A$2:$S$3102,6,0),0)</f>
        <v>2.5000000000000001E-2</v>
      </c>
      <c r="W2080" s="104">
        <f t="shared" si="341"/>
        <v>4.1666666666666666E-3</v>
      </c>
    </row>
    <row r="2081" spans="1:23" x14ac:dyDescent="0.55000000000000004">
      <c r="A2081" s="264" t="s">
        <v>2059</v>
      </c>
      <c r="B2081" s="58" t="s">
        <v>35</v>
      </c>
      <c r="C2081" s="58" t="s">
        <v>10</v>
      </c>
      <c r="D2081" s="76" t="s">
        <v>1841</v>
      </c>
      <c r="E2081" s="76"/>
      <c r="F2081" s="76" t="s">
        <v>1666</v>
      </c>
      <c r="G2081" s="94" t="s">
        <v>1666</v>
      </c>
      <c r="H2081" s="106" t="s">
        <v>1666</v>
      </c>
      <c r="I2081" s="76"/>
      <c r="J2081" s="76"/>
      <c r="K2081" s="58" t="str">
        <f>IFERROR(VLOOKUP(L2081,'Raw material list'!$A$3:$C$715,3,0),"")</f>
        <v>DRS3-1615</v>
      </c>
      <c r="L2081" s="59" t="s">
        <v>50</v>
      </c>
      <c r="M2081" s="80" t="s">
        <v>206</v>
      </c>
      <c r="N2081" s="40" t="str">
        <f>VLOOKUP(L2081,'Raw material list'!$A$3:$E$715,5,0)</f>
        <v>Ml</v>
      </c>
      <c r="O2081" s="80">
        <v>150</v>
      </c>
      <c r="P2081" s="299">
        <f t="shared" si="339"/>
        <v>150</v>
      </c>
      <c r="Q2081" s="80">
        <v>100</v>
      </c>
      <c r="R2081" s="80">
        <v>30</v>
      </c>
      <c r="S2081" s="80"/>
      <c r="T2081" s="105">
        <f t="shared" si="338"/>
        <v>5</v>
      </c>
      <c r="U2081" s="105">
        <f t="shared" si="340"/>
        <v>5</v>
      </c>
      <c r="V2081" s="104">
        <f>IFERROR(VLOOKUP(L2081,'Raw material list'!$A$2:$S$3102,6,0),0)</f>
        <v>1.2E-2</v>
      </c>
      <c r="W2081" s="104">
        <f t="shared" si="341"/>
        <v>0.06</v>
      </c>
    </row>
    <row r="2082" spans="1:23" x14ac:dyDescent="0.55000000000000004">
      <c r="A2082" s="264" t="s">
        <v>2059</v>
      </c>
      <c r="B2082" s="58" t="s">
        <v>35</v>
      </c>
      <c r="C2082" s="58" t="s">
        <v>10</v>
      </c>
      <c r="D2082" s="76" t="s">
        <v>1841</v>
      </c>
      <c r="E2082" s="76"/>
      <c r="F2082" s="76" t="s">
        <v>1666</v>
      </c>
      <c r="G2082" s="94" t="s">
        <v>1666</v>
      </c>
      <c r="H2082" s="106" t="s">
        <v>1666</v>
      </c>
      <c r="I2082" s="76"/>
      <c r="J2082" s="76"/>
      <c r="K2082" s="58" t="str">
        <f>IFERROR(VLOOKUP(L2082,'Raw material list'!$A$3:$C$715,3,0),"")</f>
        <v>DRY2-3401</v>
      </c>
      <c r="L2082" s="59" t="s">
        <v>422</v>
      </c>
      <c r="M2082" s="80" t="s">
        <v>156</v>
      </c>
      <c r="N2082" s="40" t="str">
        <f>VLOOKUP(L2082,'Raw material list'!$A$3:$E$715,5,0)</f>
        <v xml:space="preserve">Gram </v>
      </c>
      <c r="O2082" s="80">
        <v>100</v>
      </c>
      <c r="P2082" s="299">
        <f t="shared" si="339"/>
        <v>100</v>
      </c>
      <c r="Q2082" s="80">
        <v>100</v>
      </c>
      <c r="R2082" s="80">
        <v>1</v>
      </c>
      <c r="S2082" s="80"/>
      <c r="T2082" s="105">
        <f t="shared" si="338"/>
        <v>100</v>
      </c>
      <c r="U2082" s="105">
        <f t="shared" si="340"/>
        <v>100</v>
      </c>
      <c r="V2082" s="104">
        <f>IFERROR(VLOOKUP(L2082,'Raw material list'!$A$2:$S$3102,6,0),0)</f>
        <v>1.2272727272727272E-2</v>
      </c>
      <c r="W2082" s="104">
        <f t="shared" si="341"/>
        <v>1.2272727272727273</v>
      </c>
    </row>
    <row r="2083" spans="1:23" x14ac:dyDescent="0.55000000000000004">
      <c r="A2083" s="264" t="s">
        <v>2059</v>
      </c>
      <c r="B2083" s="58" t="s">
        <v>35</v>
      </c>
      <c r="C2083" s="58" t="s">
        <v>10</v>
      </c>
      <c r="D2083" s="76" t="s">
        <v>1841</v>
      </c>
      <c r="E2083" s="76"/>
      <c r="F2083" s="76" t="s">
        <v>1666</v>
      </c>
      <c r="G2083" s="94" t="s">
        <v>1666</v>
      </c>
      <c r="H2083" s="106" t="s">
        <v>1666</v>
      </c>
      <c r="I2083" s="76"/>
      <c r="J2083" s="76"/>
      <c r="K2083" s="58" t="str">
        <f>IFERROR(VLOOKUP(L2083,'Raw material list'!$A$3:$C$715,3,0),"")</f>
        <v>DRS3-1615</v>
      </c>
      <c r="L2083" s="59" t="s">
        <v>50</v>
      </c>
      <c r="M2083" s="80" t="s">
        <v>206</v>
      </c>
      <c r="N2083" s="40" t="str">
        <f>VLOOKUP(L2083,'Raw material list'!$A$3:$E$715,5,0)</f>
        <v>Ml</v>
      </c>
      <c r="O2083" s="80">
        <v>5</v>
      </c>
      <c r="P2083" s="299">
        <f t="shared" si="339"/>
        <v>5</v>
      </c>
      <c r="Q2083" s="80">
        <v>100</v>
      </c>
      <c r="R2083" s="80">
        <v>1</v>
      </c>
      <c r="S2083" s="80"/>
      <c r="T2083" s="105">
        <f t="shared" si="338"/>
        <v>5</v>
      </c>
      <c r="U2083" s="105">
        <f t="shared" si="340"/>
        <v>5</v>
      </c>
      <c r="V2083" s="104">
        <f>IFERROR(VLOOKUP(L2083,'Raw material list'!$A$2:$S$3102,6,0),0)</f>
        <v>1.2E-2</v>
      </c>
      <c r="W2083" s="104">
        <f t="shared" si="341"/>
        <v>0.06</v>
      </c>
    </row>
    <row r="2084" spans="1:23" x14ac:dyDescent="0.55000000000000004">
      <c r="A2084" s="264" t="s">
        <v>2059</v>
      </c>
      <c r="B2084" s="58" t="s">
        <v>35</v>
      </c>
      <c r="C2084" s="58" t="s">
        <v>10</v>
      </c>
      <c r="D2084" s="76" t="s">
        <v>1841</v>
      </c>
      <c r="E2084" s="76"/>
      <c r="F2084" s="76" t="s">
        <v>1666</v>
      </c>
      <c r="G2084" s="94" t="s">
        <v>1666</v>
      </c>
      <c r="H2084" s="106" t="s">
        <v>1666</v>
      </c>
      <c r="I2084" s="76"/>
      <c r="J2084" s="76"/>
      <c r="K2084" s="58" t="str">
        <f>IFERROR(VLOOKUP(L2084,'Raw material list'!$A$3:$C$715,3,0),"")</f>
        <v>DRS6-1570</v>
      </c>
      <c r="L2084" s="59" t="s">
        <v>51</v>
      </c>
      <c r="M2084" s="80" t="s">
        <v>156</v>
      </c>
      <c r="N2084" s="40" t="str">
        <f>VLOOKUP(L2084,'Raw material list'!$A$3:$E$715,5,0)</f>
        <v xml:space="preserve">Gram </v>
      </c>
      <c r="O2084" s="80">
        <v>0.25</v>
      </c>
      <c r="P2084" s="299">
        <f t="shared" si="339"/>
        <v>0.25</v>
      </c>
      <c r="Q2084" s="80">
        <v>100</v>
      </c>
      <c r="R2084" s="80">
        <v>1</v>
      </c>
      <c r="S2084" s="80"/>
      <c r="T2084" s="105">
        <f t="shared" si="338"/>
        <v>0.25</v>
      </c>
      <c r="U2084" s="105">
        <f t="shared" si="340"/>
        <v>0.25</v>
      </c>
      <c r="V2084" s="104">
        <f>IFERROR(VLOOKUP(L2084,'Raw material list'!$A$2:$S$3102,6,0),0)</f>
        <v>9.3526666666666654E-3</v>
      </c>
      <c r="W2084" s="104">
        <f t="shared" si="341"/>
        <v>2.3381666666666663E-3</v>
      </c>
    </row>
    <row r="2085" spans="1:23" hidden="1" x14ac:dyDescent="0.55000000000000004">
      <c r="A2085" s="264" t="s">
        <v>2060</v>
      </c>
      <c r="B2085" s="58" t="s">
        <v>35</v>
      </c>
      <c r="C2085" s="58" t="s">
        <v>10</v>
      </c>
      <c r="D2085" s="76" t="s">
        <v>1843</v>
      </c>
      <c r="E2085" s="76"/>
      <c r="F2085" s="76" t="s">
        <v>1666</v>
      </c>
      <c r="G2085" s="94" t="s">
        <v>1666</v>
      </c>
      <c r="H2085" s="106" t="s">
        <v>1666</v>
      </c>
      <c r="I2085" s="76"/>
      <c r="J2085" s="76"/>
      <c r="K2085" s="58" t="str">
        <f>IFERROR(VLOOKUP(L2085,'Raw material list'!$A$3:$C$715,3,0),"")</f>
        <v>DRY2-3401</v>
      </c>
      <c r="L2085" s="59" t="s">
        <v>422</v>
      </c>
      <c r="M2085" s="80" t="s">
        <v>156</v>
      </c>
      <c r="N2085" s="40" t="str">
        <f>VLOOKUP(L2085,'Raw material list'!$A$3:$E$715,5,0)</f>
        <v xml:space="preserve">Gram </v>
      </c>
      <c r="O2085" s="80">
        <v>100</v>
      </c>
      <c r="P2085" s="299">
        <f t="shared" si="339"/>
        <v>100</v>
      </c>
      <c r="Q2085" s="80">
        <v>100</v>
      </c>
      <c r="R2085" s="80">
        <v>1</v>
      </c>
      <c r="S2085" s="80"/>
      <c r="T2085" s="105">
        <f t="shared" si="338"/>
        <v>100</v>
      </c>
      <c r="U2085" s="105">
        <f t="shared" si="340"/>
        <v>100</v>
      </c>
      <c r="V2085" s="104">
        <f>IFERROR(VLOOKUP(L2085,'Raw material list'!$A$2:$S$3102,6,0),0)</f>
        <v>1.2272727272727272E-2</v>
      </c>
      <c r="W2085" s="104">
        <f t="shared" si="341"/>
        <v>1.2272727272727273</v>
      </c>
    </row>
    <row r="2086" spans="1:23" hidden="1" x14ac:dyDescent="0.55000000000000004">
      <c r="A2086" s="264" t="s">
        <v>2060</v>
      </c>
      <c r="B2086" s="58" t="s">
        <v>35</v>
      </c>
      <c r="C2086" s="58" t="s">
        <v>10</v>
      </c>
      <c r="D2086" s="76" t="s">
        <v>1843</v>
      </c>
      <c r="E2086" s="76"/>
      <c r="F2086" s="76" t="s">
        <v>1666</v>
      </c>
      <c r="G2086" s="94" t="s">
        <v>1666</v>
      </c>
      <c r="H2086" s="106" t="s">
        <v>1666</v>
      </c>
      <c r="I2086" s="76"/>
      <c r="J2086" s="76"/>
      <c r="K2086" s="58" t="str">
        <f>IFERROR(VLOOKUP(L2086,'Raw material list'!$A$3:$C$715,3,0),"")</f>
        <v>DRS3-1615</v>
      </c>
      <c r="L2086" s="59" t="s">
        <v>50</v>
      </c>
      <c r="M2086" s="80" t="s">
        <v>206</v>
      </c>
      <c r="N2086" s="40" t="str">
        <f>VLOOKUP(L2086,'Raw material list'!$A$3:$E$715,5,0)</f>
        <v>Ml</v>
      </c>
      <c r="O2086" s="80">
        <v>5</v>
      </c>
      <c r="P2086" s="299">
        <f t="shared" si="339"/>
        <v>5</v>
      </c>
      <c r="Q2086" s="80">
        <v>100</v>
      </c>
      <c r="R2086" s="80">
        <v>1</v>
      </c>
      <c r="S2086" s="80"/>
      <c r="T2086" s="105">
        <f t="shared" si="338"/>
        <v>5</v>
      </c>
      <c r="U2086" s="105">
        <f t="shared" si="340"/>
        <v>5</v>
      </c>
      <c r="V2086" s="104">
        <f>IFERROR(VLOOKUP(L2086,'Raw material list'!$A$2:$S$3102,6,0),0)</f>
        <v>1.2E-2</v>
      </c>
      <c r="W2086" s="104">
        <f t="shared" si="341"/>
        <v>0.06</v>
      </c>
    </row>
    <row r="2087" spans="1:23" hidden="1" x14ac:dyDescent="0.55000000000000004">
      <c r="A2087" s="264" t="s">
        <v>2060</v>
      </c>
      <c r="B2087" s="58" t="s">
        <v>35</v>
      </c>
      <c r="C2087" s="58" t="s">
        <v>10</v>
      </c>
      <c r="D2087" s="76" t="s">
        <v>1843</v>
      </c>
      <c r="E2087" s="76"/>
      <c r="F2087" s="76" t="s">
        <v>1666</v>
      </c>
      <c r="G2087" s="94" t="s">
        <v>1666</v>
      </c>
      <c r="H2087" s="106" t="s">
        <v>1666</v>
      </c>
      <c r="I2087" s="76"/>
      <c r="J2087" s="76"/>
      <c r="K2087" s="58" t="str">
        <f>IFERROR(VLOOKUP(L2087,'Raw material list'!$A$3:$C$715,3,0),"")</f>
        <v>DRS6-1570</v>
      </c>
      <c r="L2087" s="59" t="s">
        <v>51</v>
      </c>
      <c r="M2087" s="80" t="s">
        <v>156</v>
      </c>
      <c r="N2087" s="40" t="str">
        <f>VLOOKUP(L2087,'Raw material list'!$A$3:$E$715,5,0)</f>
        <v xml:space="preserve">Gram </v>
      </c>
      <c r="O2087" s="80">
        <v>0.25</v>
      </c>
      <c r="P2087" s="299">
        <f t="shared" si="339"/>
        <v>0.25</v>
      </c>
      <c r="Q2087" s="80">
        <v>100</v>
      </c>
      <c r="R2087" s="80">
        <v>1</v>
      </c>
      <c r="S2087" s="80"/>
      <c r="T2087" s="105">
        <f t="shared" si="338"/>
        <v>0.25</v>
      </c>
      <c r="U2087" s="105">
        <f t="shared" si="340"/>
        <v>0.25</v>
      </c>
      <c r="V2087" s="104">
        <f>IFERROR(VLOOKUP(L2087,'Raw material list'!$A$2:$S$3102,6,0),0)</f>
        <v>9.3526666666666654E-3</v>
      </c>
      <c r="W2087" s="104">
        <f t="shared" si="341"/>
        <v>2.3381666666666663E-3</v>
      </c>
    </row>
    <row r="2088" spans="1:23" hidden="1" x14ac:dyDescent="0.55000000000000004">
      <c r="A2088" s="264" t="s">
        <v>2060</v>
      </c>
      <c r="B2088" s="58" t="s">
        <v>35</v>
      </c>
      <c r="C2088" s="58" t="s">
        <v>10</v>
      </c>
      <c r="D2088" s="76" t="s">
        <v>1843</v>
      </c>
      <c r="E2088" s="76"/>
      <c r="F2088" s="76" t="s">
        <v>1666</v>
      </c>
      <c r="G2088" s="94" t="s">
        <v>1666</v>
      </c>
      <c r="H2088" s="106" t="s">
        <v>1666</v>
      </c>
      <c r="I2088" s="76"/>
      <c r="J2088" s="76"/>
      <c r="K2088" s="58" t="str">
        <f>IFERROR(VLOOKUP(L2088,'Raw material list'!$A$3:$C$715,3,0),"")</f>
        <v>PLT1-37</v>
      </c>
      <c r="L2088" s="59" t="s">
        <v>861</v>
      </c>
      <c r="M2088" s="80" t="s">
        <v>48</v>
      </c>
      <c r="N2088" s="40" t="str">
        <f>VLOOKUP(L2088,'Raw material list'!$A$3:$E$715,5,0)</f>
        <v>Each</v>
      </c>
      <c r="O2088" s="80">
        <v>1</v>
      </c>
      <c r="P2088" s="299">
        <f t="shared" si="339"/>
        <v>1</v>
      </c>
      <c r="Q2088" s="80">
        <v>100</v>
      </c>
      <c r="R2088" s="80">
        <v>1</v>
      </c>
      <c r="S2088" s="80"/>
      <c r="T2088" s="105">
        <f t="shared" si="338"/>
        <v>1</v>
      </c>
      <c r="U2088" s="105">
        <f t="shared" si="340"/>
        <v>1</v>
      </c>
      <c r="V2088" s="104">
        <f>IFERROR(VLOOKUP(L2088,'Raw material list'!$A$2:$S$3102,6,0),0)</f>
        <v>0.48299999999999998</v>
      </c>
      <c r="W2088" s="104">
        <f t="shared" si="341"/>
        <v>0.48299999999999998</v>
      </c>
    </row>
    <row r="2089" spans="1:23" hidden="1" x14ac:dyDescent="0.55000000000000004">
      <c r="A2089" s="264" t="s">
        <v>2060</v>
      </c>
      <c r="B2089" s="58" t="s">
        <v>35</v>
      </c>
      <c r="C2089" s="58" t="s">
        <v>10</v>
      </c>
      <c r="D2089" s="76" t="s">
        <v>1843</v>
      </c>
      <c r="E2089" s="76"/>
      <c r="F2089" s="76" t="s">
        <v>1666</v>
      </c>
      <c r="G2089" s="94" t="s">
        <v>1666</v>
      </c>
      <c r="H2089" s="106" t="s">
        <v>1666</v>
      </c>
      <c r="I2089" s="76"/>
      <c r="J2089" s="76"/>
      <c r="K2089" s="58" t="str">
        <f>IFERROR(VLOOKUP(L2089,'Raw material list'!$A$3:$C$715,3,0),"")</f>
        <v>DRS1-3880</v>
      </c>
      <c r="L2089" s="59" t="s">
        <v>1433</v>
      </c>
      <c r="M2089" s="80" t="s">
        <v>156</v>
      </c>
      <c r="N2089" s="40" t="str">
        <f>VLOOKUP(L2089,'Raw material list'!$A$3:$E$715,5,0)</f>
        <v xml:space="preserve">Gram </v>
      </c>
      <c r="O2089" s="80">
        <v>10</v>
      </c>
      <c r="P2089" s="299">
        <f t="shared" si="339"/>
        <v>10</v>
      </c>
      <c r="Q2089" s="80">
        <v>100</v>
      </c>
      <c r="R2089" s="80">
        <v>1</v>
      </c>
      <c r="S2089" s="80"/>
      <c r="T2089" s="105">
        <f t="shared" si="338"/>
        <v>10</v>
      </c>
      <c r="U2089" s="105">
        <f t="shared" si="340"/>
        <v>10</v>
      </c>
      <c r="V2089" s="104">
        <f>IFERROR(VLOOKUP(L2089,'Raw material list'!$A$2:$S$3102,6,0),0)</f>
        <v>5.0000000000000001E-4</v>
      </c>
      <c r="W2089" s="104">
        <f t="shared" si="341"/>
        <v>5.0000000000000001E-3</v>
      </c>
    </row>
    <row r="2090" spans="1:23" hidden="1" x14ac:dyDescent="0.55000000000000004">
      <c r="A2090" s="264" t="s">
        <v>2060</v>
      </c>
      <c r="B2090" s="58" t="s">
        <v>35</v>
      </c>
      <c r="C2090" s="58" t="s">
        <v>10</v>
      </c>
      <c r="D2090" s="76" t="s">
        <v>1843</v>
      </c>
      <c r="E2090" s="76"/>
      <c r="F2090" s="76" t="s">
        <v>1666</v>
      </c>
      <c r="G2090" s="94" t="s">
        <v>1666</v>
      </c>
      <c r="H2090" s="106" t="s">
        <v>1666</v>
      </c>
      <c r="I2090" s="76"/>
      <c r="J2090" s="76"/>
      <c r="K2090" s="58" t="str">
        <f>IFERROR(VLOOKUP(L2090,'Raw material list'!$A$3:$C$715,3,0),"")</f>
        <v>DRS1-1547</v>
      </c>
      <c r="L2090" s="59" t="s">
        <v>100</v>
      </c>
      <c r="M2090" s="80" t="s">
        <v>206</v>
      </c>
      <c r="N2090" s="40" t="str">
        <f>VLOOKUP(L2090,'Raw material list'!$A$3:$E$715,5,0)</f>
        <v>Ml</v>
      </c>
      <c r="O2090" s="80">
        <v>20</v>
      </c>
      <c r="P2090" s="299">
        <f t="shared" si="339"/>
        <v>20</v>
      </c>
      <c r="Q2090" s="80">
        <v>100</v>
      </c>
      <c r="R2090" s="80">
        <v>1</v>
      </c>
      <c r="S2090" s="80"/>
      <c r="T2090" s="105">
        <f t="shared" si="338"/>
        <v>20</v>
      </c>
      <c r="U2090" s="105">
        <f t="shared" si="340"/>
        <v>20</v>
      </c>
      <c r="V2090" s="104">
        <f>IFERROR(VLOOKUP(L2090,'Raw material list'!$A$2:$S$3102,6,0),0)</f>
        <v>2.3026315789473682E-3</v>
      </c>
      <c r="W2090" s="104">
        <f t="shared" si="341"/>
        <v>4.6052631578947366E-2</v>
      </c>
    </row>
    <row r="2091" spans="1:23" hidden="1" x14ac:dyDescent="0.55000000000000004">
      <c r="A2091" s="264" t="s">
        <v>2060</v>
      </c>
      <c r="B2091" s="58" t="s">
        <v>35</v>
      </c>
      <c r="C2091" s="58" t="s">
        <v>10</v>
      </c>
      <c r="D2091" s="76" t="s">
        <v>1843</v>
      </c>
      <c r="E2091" s="76"/>
      <c r="F2091" s="76" t="s">
        <v>1666</v>
      </c>
      <c r="G2091" s="94" t="s">
        <v>1666</v>
      </c>
      <c r="H2091" s="106" t="s">
        <v>1666</v>
      </c>
      <c r="I2091" s="76"/>
      <c r="J2091" s="76"/>
      <c r="K2091" s="58" t="str">
        <f>IFERROR(VLOOKUP(L2091,'Raw material list'!$A$3:$C$715,3,0),"")</f>
        <v>TAP-00001</v>
      </c>
      <c r="L2091" s="59" t="s">
        <v>1405</v>
      </c>
      <c r="M2091" s="80" t="s">
        <v>206</v>
      </c>
      <c r="N2091" s="40" t="str">
        <f>VLOOKUP(L2091,'Raw material list'!$A$3:$E$715,5,0)</f>
        <v>Ml</v>
      </c>
      <c r="O2091" s="80">
        <v>200</v>
      </c>
      <c r="P2091" s="299">
        <f t="shared" si="339"/>
        <v>200</v>
      </c>
      <c r="Q2091" s="80">
        <v>100</v>
      </c>
      <c r="R2091" s="80">
        <v>1</v>
      </c>
      <c r="S2091" s="80"/>
      <c r="T2091" s="105">
        <f t="shared" si="338"/>
        <v>200</v>
      </c>
      <c r="U2091" s="105">
        <f t="shared" si="340"/>
        <v>200</v>
      </c>
      <c r="V2091" s="104">
        <f>IFERROR(VLOOKUP(L2091,'Raw material list'!$A$2:$S$3102,6,0),0)</f>
        <v>8.0000000000000007E-5</v>
      </c>
      <c r="W2091" s="104">
        <f t="shared" si="341"/>
        <v>1.6E-2</v>
      </c>
    </row>
    <row r="2092" spans="1:23" hidden="1" x14ac:dyDescent="0.55000000000000004">
      <c r="A2092" s="264" t="s">
        <v>2061</v>
      </c>
      <c r="B2092" s="58" t="s">
        <v>35</v>
      </c>
      <c r="C2092" s="58" t="s">
        <v>10</v>
      </c>
      <c r="D2092" s="76" t="s">
        <v>1844</v>
      </c>
      <c r="E2092" s="76"/>
      <c r="F2092" s="76" t="s">
        <v>1666</v>
      </c>
      <c r="G2092" s="94" t="s">
        <v>1666</v>
      </c>
      <c r="H2092" s="106" t="s">
        <v>1666</v>
      </c>
      <c r="I2092" s="76"/>
      <c r="J2092" s="76"/>
      <c r="K2092" s="58" t="str">
        <f>IFERROR(VLOOKUP(L2092,'Raw material list'!$A$3:$C$715,3,0),"")</f>
        <v>DRS1-444</v>
      </c>
      <c r="L2092" s="59" t="s">
        <v>224</v>
      </c>
      <c r="M2092" s="80" t="s">
        <v>156</v>
      </c>
      <c r="N2092" s="40" t="str">
        <f>VLOOKUP(L2092,'Raw material list'!$A$3:$E$715,5,0)</f>
        <v xml:space="preserve">Gram </v>
      </c>
      <c r="O2092" s="80">
        <v>2350</v>
      </c>
      <c r="P2092" s="299">
        <f t="shared" si="339"/>
        <v>2350</v>
      </c>
      <c r="Q2092" s="80">
        <v>100</v>
      </c>
      <c r="R2092" s="80">
        <v>30</v>
      </c>
      <c r="S2092" s="80"/>
      <c r="T2092" s="105">
        <f t="shared" si="338"/>
        <v>78.333333333333329</v>
      </c>
      <c r="U2092" s="105">
        <f t="shared" si="340"/>
        <v>78.333333333333329</v>
      </c>
      <c r="V2092" s="104">
        <f>IFERROR(VLOOKUP(L2092,'Raw material list'!$A$2:$S$3102,6,0),0)</f>
        <v>8.8999999999999999E-3</v>
      </c>
      <c r="W2092" s="104">
        <f t="shared" si="341"/>
        <v>0.6971666666666666</v>
      </c>
    </row>
    <row r="2093" spans="1:23" hidden="1" x14ac:dyDescent="0.55000000000000004">
      <c r="A2093" s="264" t="s">
        <v>2061</v>
      </c>
      <c r="B2093" s="58" t="s">
        <v>35</v>
      </c>
      <c r="C2093" s="58" t="s">
        <v>10</v>
      </c>
      <c r="D2093" s="76" t="s">
        <v>1844</v>
      </c>
      <c r="E2093" s="76"/>
      <c r="F2093" s="76" t="s">
        <v>1666</v>
      </c>
      <c r="G2093" s="94" t="s">
        <v>1666</v>
      </c>
      <c r="H2093" s="106" t="s">
        <v>1666</v>
      </c>
      <c r="I2093" s="76"/>
      <c r="J2093" s="76"/>
      <c r="K2093" s="58" t="str">
        <f>IFERROR(VLOOKUP(L2093,'Raw material list'!$A$3:$C$715,3,0),"")</f>
        <v>PRD1-572</v>
      </c>
      <c r="L2093" s="59" t="s">
        <v>54</v>
      </c>
      <c r="M2093" s="80" t="s">
        <v>156</v>
      </c>
      <c r="N2093" s="40" t="str">
        <f>VLOOKUP(L2093,'Raw material list'!$A$3:$E$715,5,0)</f>
        <v xml:space="preserve">Gram </v>
      </c>
      <c r="O2093" s="80">
        <v>200</v>
      </c>
      <c r="P2093" s="299">
        <f t="shared" si="339"/>
        <v>226.67170381564031</v>
      </c>
      <c r="Q2093" s="105">
        <v>88.233333333333348</v>
      </c>
      <c r="R2093" s="80">
        <v>30</v>
      </c>
      <c r="S2093" s="80"/>
      <c r="T2093" s="105">
        <f t="shared" si="338"/>
        <v>6.666666666666667</v>
      </c>
      <c r="U2093" s="105">
        <f t="shared" si="340"/>
        <v>7.5557234605213441</v>
      </c>
      <c r="V2093" s="104">
        <f>IFERROR(VLOOKUP(L2093,'Raw material list'!$A$2:$S$3102,6,0),0)</f>
        <v>4.5351473922902496E-3</v>
      </c>
      <c r="W2093" s="104">
        <f t="shared" si="341"/>
        <v>3.4266319548849636E-2</v>
      </c>
    </row>
    <row r="2094" spans="1:23" hidden="1" x14ac:dyDescent="0.55000000000000004">
      <c r="A2094" s="264" t="s">
        <v>2061</v>
      </c>
      <c r="B2094" s="58" t="s">
        <v>35</v>
      </c>
      <c r="C2094" s="58" t="s">
        <v>10</v>
      </c>
      <c r="D2094" s="76" t="s">
        <v>1844</v>
      </c>
      <c r="E2094" s="76"/>
      <c r="F2094" s="76" t="s">
        <v>1666</v>
      </c>
      <c r="G2094" s="94" t="s">
        <v>1666</v>
      </c>
      <c r="H2094" s="106" t="s">
        <v>1666</v>
      </c>
      <c r="I2094" s="76"/>
      <c r="J2094" s="76"/>
      <c r="K2094" s="58" t="str">
        <f>IFERROR(VLOOKUP(L2094,'Raw material list'!$A$3:$C$715,3,0),"")</f>
        <v>PRD1-4265</v>
      </c>
      <c r="L2094" s="59" t="s">
        <v>38</v>
      </c>
      <c r="M2094" s="80" t="s">
        <v>156</v>
      </c>
      <c r="N2094" s="40" t="str">
        <f>VLOOKUP(L2094,'Raw material list'!$A$3:$E$715,5,0)</f>
        <v xml:space="preserve">Gram </v>
      </c>
      <c r="O2094" s="80">
        <v>125</v>
      </c>
      <c r="P2094" s="299">
        <f t="shared" si="339"/>
        <v>147.05882352941177</v>
      </c>
      <c r="Q2094" s="105">
        <v>85</v>
      </c>
      <c r="R2094" s="80">
        <v>30</v>
      </c>
      <c r="S2094" s="80"/>
      <c r="T2094" s="105">
        <f t="shared" si="338"/>
        <v>4.166666666666667</v>
      </c>
      <c r="U2094" s="105">
        <f t="shared" si="340"/>
        <v>4.9019607843137258</v>
      </c>
      <c r="V2094" s="104">
        <f>IFERROR(VLOOKUP(L2094,'Raw material list'!$A$2:$S$3102,6,0),0)</f>
        <v>3.529411764705882E-3</v>
      </c>
      <c r="W2094" s="104">
        <f t="shared" si="341"/>
        <v>1.7301038062283738E-2</v>
      </c>
    </row>
    <row r="2095" spans="1:23" hidden="1" x14ac:dyDescent="0.55000000000000004">
      <c r="A2095" s="264" t="s">
        <v>2061</v>
      </c>
      <c r="B2095" s="58" t="s">
        <v>35</v>
      </c>
      <c r="C2095" s="58" t="s">
        <v>10</v>
      </c>
      <c r="D2095" s="76" t="s">
        <v>1844</v>
      </c>
      <c r="E2095" s="76"/>
      <c r="F2095" s="76" t="s">
        <v>1666</v>
      </c>
      <c r="G2095" s="94" t="s">
        <v>1666</v>
      </c>
      <c r="H2095" s="106" t="s">
        <v>1666</v>
      </c>
      <c r="I2095" s="76"/>
      <c r="J2095" s="76"/>
      <c r="K2095" s="58" t="str">
        <f>IFERROR(VLOOKUP(L2095,'Raw material list'!$A$3:$C$715,3,0),"")</f>
        <v>PRD1-195</v>
      </c>
      <c r="L2095" s="59" t="s">
        <v>90</v>
      </c>
      <c r="M2095" s="80" t="s">
        <v>156</v>
      </c>
      <c r="N2095" s="40" t="str">
        <f>VLOOKUP(L2095,'Raw material list'!$A$3:$E$715,5,0)</f>
        <v xml:space="preserve">Gram </v>
      </c>
      <c r="O2095" s="80">
        <v>100</v>
      </c>
      <c r="P2095" s="299">
        <f t="shared" si="339"/>
        <v>234.37499999999994</v>
      </c>
      <c r="Q2095" s="105">
        <v>42.666666666666671</v>
      </c>
      <c r="R2095" s="80">
        <v>30</v>
      </c>
      <c r="S2095" s="80"/>
      <c r="T2095" s="105">
        <f t="shared" si="338"/>
        <v>3.3333333333333335</v>
      </c>
      <c r="U2095" s="105">
        <f t="shared" si="340"/>
        <v>7.8124999999999982</v>
      </c>
      <c r="V2095" s="104">
        <f>IFERROR(VLOOKUP(L2095,'Raw material list'!$A$2:$S$3102,6,0),0)</f>
        <v>9.3676814988290415E-3</v>
      </c>
      <c r="W2095" s="104">
        <f t="shared" si="341"/>
        <v>7.3185011709601872E-2</v>
      </c>
    </row>
    <row r="2096" spans="1:23" hidden="1" x14ac:dyDescent="0.55000000000000004">
      <c r="A2096" s="264" t="s">
        <v>2061</v>
      </c>
      <c r="B2096" s="58" t="s">
        <v>35</v>
      </c>
      <c r="C2096" s="58" t="s">
        <v>10</v>
      </c>
      <c r="D2096" s="76" t="s">
        <v>1844</v>
      </c>
      <c r="E2096" s="76"/>
      <c r="F2096" s="76" t="s">
        <v>1666</v>
      </c>
      <c r="G2096" s="94" t="s">
        <v>1666</v>
      </c>
      <c r="H2096" s="106" t="s">
        <v>1666</v>
      </c>
      <c r="I2096" s="76"/>
      <c r="J2096" s="76"/>
      <c r="K2096" s="58" t="str">
        <f>IFERROR(VLOOKUP(L2096,'Raw material list'!$A$3:$C$715,3,0),"")</f>
        <v>PRD1-4327</v>
      </c>
      <c r="L2096" s="59" t="s">
        <v>39</v>
      </c>
      <c r="M2096" s="80" t="s">
        <v>156</v>
      </c>
      <c r="N2096" s="40" t="str">
        <f>VLOOKUP(L2096,'Raw material list'!$A$3:$E$715,5,0)</f>
        <v xml:space="preserve">Gram </v>
      </c>
      <c r="O2096" s="80">
        <v>15</v>
      </c>
      <c r="P2096" s="299">
        <f t="shared" si="339"/>
        <v>18.072289156626507</v>
      </c>
      <c r="Q2096" s="105">
        <v>83</v>
      </c>
      <c r="R2096" s="80">
        <v>30</v>
      </c>
      <c r="S2096" s="80"/>
      <c r="T2096" s="105">
        <f t="shared" si="338"/>
        <v>0.5</v>
      </c>
      <c r="U2096" s="105">
        <f t="shared" si="340"/>
        <v>0.60240963855421692</v>
      </c>
      <c r="V2096" s="104">
        <f>IFERROR(VLOOKUP(L2096,'Raw material list'!$A$2:$S$3102,6,0),0)</f>
        <v>1.2999999999999999E-2</v>
      </c>
      <c r="W2096" s="104">
        <f t="shared" si="341"/>
        <v>7.8313253012048199E-3</v>
      </c>
    </row>
    <row r="2097" spans="1:23" hidden="1" x14ac:dyDescent="0.55000000000000004">
      <c r="A2097" s="264" t="s">
        <v>2061</v>
      </c>
      <c r="B2097" s="58" t="s">
        <v>35</v>
      </c>
      <c r="C2097" s="58" t="s">
        <v>10</v>
      </c>
      <c r="D2097" s="76" t="s">
        <v>1844</v>
      </c>
      <c r="E2097" s="76"/>
      <c r="F2097" s="76" t="s">
        <v>1666</v>
      </c>
      <c r="G2097" s="94" t="s">
        <v>1666</v>
      </c>
      <c r="H2097" s="106" t="s">
        <v>1666</v>
      </c>
      <c r="I2097" s="76"/>
      <c r="J2097" s="76"/>
      <c r="K2097" s="58" t="str">
        <f>IFERROR(VLOOKUP(L2097,'Raw material list'!$A$3:$C$715,3,0),"")</f>
        <v>DRS6-733</v>
      </c>
      <c r="L2097" s="59" t="s">
        <v>45</v>
      </c>
      <c r="M2097" s="80" t="s">
        <v>156</v>
      </c>
      <c r="N2097" s="40" t="str">
        <f>VLOOKUP(L2097,'Raw material list'!$A$3:$E$715,5,0)</f>
        <v xml:space="preserve">Gram </v>
      </c>
      <c r="O2097" s="80">
        <v>15</v>
      </c>
      <c r="P2097" s="299">
        <f t="shared" si="339"/>
        <v>15</v>
      </c>
      <c r="Q2097" s="303">
        <v>100</v>
      </c>
      <c r="R2097" s="80">
        <v>30</v>
      </c>
      <c r="S2097" s="80"/>
      <c r="T2097" s="105">
        <f t="shared" si="338"/>
        <v>0.5</v>
      </c>
      <c r="U2097" s="105">
        <f t="shared" si="340"/>
        <v>0.5</v>
      </c>
      <c r="V2097" s="104">
        <f>IFERROR(VLOOKUP(L2097,'Raw material list'!$A$2:$S$3102,6,0),0)</f>
        <v>2.8000000000000001E-2</v>
      </c>
      <c r="W2097" s="104">
        <f t="shared" si="341"/>
        <v>1.4E-2</v>
      </c>
    </row>
    <row r="2098" spans="1:23" hidden="1" x14ac:dyDescent="0.55000000000000004">
      <c r="A2098" s="264" t="s">
        <v>2061</v>
      </c>
      <c r="B2098" s="58" t="s">
        <v>35</v>
      </c>
      <c r="C2098" s="58" t="s">
        <v>10</v>
      </c>
      <c r="D2098" s="76" t="s">
        <v>1844</v>
      </c>
      <c r="E2098" s="76"/>
      <c r="F2098" s="76" t="s">
        <v>1666</v>
      </c>
      <c r="G2098" s="94" t="s">
        <v>1666</v>
      </c>
      <c r="H2098" s="106" t="s">
        <v>1666</v>
      </c>
      <c r="I2098" s="76"/>
      <c r="J2098" s="76"/>
      <c r="K2098" s="58" t="str">
        <f>IFERROR(VLOOKUP(L2098,'Raw material list'!$A$3:$C$715,3,0),"")</f>
        <v>DRS6-266</v>
      </c>
      <c r="L2098" s="59" t="s">
        <v>99</v>
      </c>
      <c r="M2098" s="80" t="s">
        <v>156</v>
      </c>
      <c r="N2098" s="40" t="str">
        <f>VLOOKUP(L2098,'Raw material list'!$A$3:$E$715,5,0)</f>
        <v xml:space="preserve">Gram </v>
      </c>
      <c r="O2098" s="80">
        <v>10</v>
      </c>
      <c r="P2098" s="299">
        <f t="shared" si="339"/>
        <v>10</v>
      </c>
      <c r="Q2098" s="80">
        <v>100</v>
      </c>
      <c r="R2098" s="80">
        <v>30</v>
      </c>
      <c r="S2098" s="80"/>
      <c r="T2098" s="105">
        <f t="shared" si="338"/>
        <v>0.33333333333333331</v>
      </c>
      <c r="U2098" s="105">
        <f t="shared" si="340"/>
        <v>0.33333333333333331</v>
      </c>
      <c r="V2098" s="104">
        <f>IFERROR(VLOOKUP(L2098,'Raw material list'!$A$2:$S$3102,6,0),0)</f>
        <v>1.4E-2</v>
      </c>
      <c r="W2098" s="104">
        <f t="shared" si="341"/>
        <v>4.6666666666666662E-3</v>
      </c>
    </row>
    <row r="2099" spans="1:23" hidden="1" x14ac:dyDescent="0.55000000000000004">
      <c r="A2099" s="264" t="s">
        <v>2061</v>
      </c>
      <c r="B2099" s="58" t="s">
        <v>35</v>
      </c>
      <c r="C2099" s="58" t="s">
        <v>10</v>
      </c>
      <c r="D2099" s="76" t="s">
        <v>1844</v>
      </c>
      <c r="E2099" s="76"/>
      <c r="F2099" s="76" t="s">
        <v>1666</v>
      </c>
      <c r="G2099" s="94" t="s">
        <v>1666</v>
      </c>
      <c r="H2099" s="106" t="s">
        <v>1666</v>
      </c>
      <c r="I2099" s="76"/>
      <c r="J2099" s="76"/>
      <c r="K2099" s="58" t="str">
        <f>IFERROR(VLOOKUP(L2099,'Raw material list'!$A$3:$C$715,3,0),"")</f>
        <v>DRS6-1727</v>
      </c>
      <c r="L2099" s="59" t="s">
        <v>106</v>
      </c>
      <c r="M2099" s="80" t="s">
        <v>156</v>
      </c>
      <c r="N2099" s="40" t="str">
        <f>VLOOKUP(L2099,'Raw material list'!$A$3:$E$715,5,0)</f>
        <v xml:space="preserve">Gram </v>
      </c>
      <c r="O2099" s="80">
        <v>5</v>
      </c>
      <c r="P2099" s="299">
        <f t="shared" si="339"/>
        <v>5</v>
      </c>
      <c r="Q2099" s="80">
        <v>100</v>
      </c>
      <c r="R2099" s="80">
        <v>30</v>
      </c>
      <c r="S2099" s="80"/>
      <c r="T2099" s="105">
        <f t="shared" si="338"/>
        <v>0.16666666666666666</v>
      </c>
      <c r="U2099" s="105">
        <f t="shared" si="340"/>
        <v>0.16666666666666666</v>
      </c>
      <c r="V2099" s="104">
        <f>IFERROR(VLOOKUP(L2099,'Raw material list'!$A$2:$S$3102,6,0),0)</f>
        <v>2.5000000000000001E-2</v>
      </c>
      <c r="W2099" s="104">
        <f t="shared" si="341"/>
        <v>4.1666666666666666E-3</v>
      </c>
    </row>
    <row r="2100" spans="1:23" hidden="1" x14ac:dyDescent="0.55000000000000004">
      <c r="A2100" s="264" t="s">
        <v>2061</v>
      </c>
      <c r="B2100" s="58" t="s">
        <v>35</v>
      </c>
      <c r="C2100" s="58" t="s">
        <v>10</v>
      </c>
      <c r="D2100" s="76" t="s">
        <v>1844</v>
      </c>
      <c r="E2100" s="76"/>
      <c r="F2100" s="76" t="s">
        <v>1666</v>
      </c>
      <c r="G2100" s="94" t="s">
        <v>1666</v>
      </c>
      <c r="H2100" s="106" t="s">
        <v>1666</v>
      </c>
      <c r="I2100" s="76"/>
      <c r="J2100" s="76"/>
      <c r="K2100" s="58" t="str">
        <f>IFERROR(VLOOKUP(L2100,'Raw material list'!$A$3:$C$715,3,0),"")</f>
        <v>DRS3-1615</v>
      </c>
      <c r="L2100" s="59" t="s">
        <v>50</v>
      </c>
      <c r="M2100" s="80" t="s">
        <v>206</v>
      </c>
      <c r="N2100" s="40" t="str">
        <f>VLOOKUP(L2100,'Raw material list'!$A$3:$E$715,5,0)</f>
        <v>Ml</v>
      </c>
      <c r="O2100" s="80">
        <v>150</v>
      </c>
      <c r="P2100" s="299">
        <f t="shared" si="339"/>
        <v>150</v>
      </c>
      <c r="Q2100" s="80">
        <v>100</v>
      </c>
      <c r="R2100" s="80">
        <v>30</v>
      </c>
      <c r="S2100" s="80"/>
      <c r="T2100" s="105">
        <f t="shared" si="338"/>
        <v>5</v>
      </c>
      <c r="U2100" s="105">
        <f t="shared" si="340"/>
        <v>5</v>
      </c>
      <c r="V2100" s="104">
        <f>IFERROR(VLOOKUP(L2100,'Raw material list'!$A$2:$S$3102,6,0),0)</f>
        <v>1.2E-2</v>
      </c>
      <c r="W2100" s="104">
        <f t="shared" si="341"/>
        <v>0.06</v>
      </c>
    </row>
    <row r="2101" spans="1:23" hidden="1" x14ac:dyDescent="0.55000000000000004">
      <c r="A2101" s="264" t="s">
        <v>2061</v>
      </c>
      <c r="B2101" s="58" t="s">
        <v>35</v>
      </c>
      <c r="C2101" s="58" t="s">
        <v>10</v>
      </c>
      <c r="D2101" s="76" t="s">
        <v>1844</v>
      </c>
      <c r="E2101" s="76"/>
      <c r="F2101" s="76" t="s">
        <v>1666</v>
      </c>
      <c r="G2101" s="94" t="s">
        <v>1666</v>
      </c>
      <c r="H2101" s="106" t="s">
        <v>1666</v>
      </c>
      <c r="I2101" s="76"/>
      <c r="J2101" s="76"/>
      <c r="K2101" s="58" t="str">
        <f>IFERROR(VLOOKUP(L2101,'Raw material list'!$A$3:$C$715,3,0),"")</f>
        <v>PLT1-37</v>
      </c>
      <c r="L2101" s="59" t="s">
        <v>861</v>
      </c>
      <c r="M2101" s="80" t="s">
        <v>48</v>
      </c>
      <c r="N2101" s="40" t="str">
        <f>VLOOKUP(L2101,'Raw material list'!$A$3:$E$715,5,0)</f>
        <v>Each</v>
      </c>
      <c r="O2101" s="80">
        <v>1</v>
      </c>
      <c r="P2101" s="299">
        <f t="shared" si="339"/>
        <v>1</v>
      </c>
      <c r="Q2101" s="80">
        <v>100</v>
      </c>
      <c r="R2101" s="80">
        <v>1</v>
      </c>
      <c r="S2101" s="80"/>
      <c r="T2101" s="105">
        <f t="shared" si="338"/>
        <v>1</v>
      </c>
      <c r="U2101" s="105">
        <f t="shared" si="340"/>
        <v>1</v>
      </c>
      <c r="V2101" s="104">
        <f>IFERROR(VLOOKUP(L2101,'Raw material list'!$A$2:$S$3102,6,0),0)</f>
        <v>0.48299999999999998</v>
      </c>
      <c r="W2101" s="104">
        <f t="shared" si="341"/>
        <v>0.48299999999999998</v>
      </c>
    </row>
    <row r="2102" spans="1:23" hidden="1" x14ac:dyDescent="0.55000000000000004">
      <c r="A2102" s="264" t="s">
        <v>2061</v>
      </c>
      <c r="B2102" s="58" t="s">
        <v>35</v>
      </c>
      <c r="C2102" s="58" t="s">
        <v>10</v>
      </c>
      <c r="D2102" s="76" t="s">
        <v>1844</v>
      </c>
      <c r="E2102" s="76"/>
      <c r="F2102" s="76" t="s">
        <v>1666</v>
      </c>
      <c r="G2102" s="94" t="s">
        <v>1666</v>
      </c>
      <c r="H2102" s="106" t="s">
        <v>1666</v>
      </c>
      <c r="I2102" s="76"/>
      <c r="J2102" s="76"/>
      <c r="K2102" s="58" t="str">
        <f>IFERROR(VLOOKUP(L2102,'Raw material list'!$A$3:$C$715,3,0),"")</f>
        <v>DRS1-3880</v>
      </c>
      <c r="L2102" s="59" t="s">
        <v>1433</v>
      </c>
      <c r="M2102" s="80" t="s">
        <v>156</v>
      </c>
      <c r="N2102" s="40" t="str">
        <f>VLOOKUP(L2102,'Raw material list'!$A$3:$E$715,5,0)</f>
        <v xml:space="preserve">Gram </v>
      </c>
      <c r="O2102" s="80">
        <v>10</v>
      </c>
      <c r="P2102" s="299">
        <f t="shared" si="339"/>
        <v>10</v>
      </c>
      <c r="Q2102" s="80">
        <v>100</v>
      </c>
      <c r="R2102" s="80">
        <v>1</v>
      </c>
      <c r="S2102" s="80"/>
      <c r="T2102" s="105">
        <f t="shared" si="338"/>
        <v>10</v>
      </c>
      <c r="U2102" s="105">
        <f t="shared" si="340"/>
        <v>10</v>
      </c>
      <c r="V2102" s="104">
        <f>IFERROR(VLOOKUP(L2102,'Raw material list'!$A$2:$S$3102,6,0),0)</f>
        <v>5.0000000000000001E-4</v>
      </c>
      <c r="W2102" s="104">
        <f t="shared" si="341"/>
        <v>5.0000000000000001E-3</v>
      </c>
    </row>
    <row r="2103" spans="1:23" hidden="1" x14ac:dyDescent="0.55000000000000004">
      <c r="A2103" s="264" t="s">
        <v>2061</v>
      </c>
      <c r="B2103" s="58" t="s">
        <v>35</v>
      </c>
      <c r="C2103" s="58" t="s">
        <v>10</v>
      </c>
      <c r="D2103" s="76" t="s">
        <v>1844</v>
      </c>
      <c r="E2103" s="76"/>
      <c r="F2103" s="76" t="s">
        <v>1666</v>
      </c>
      <c r="G2103" s="94" t="s">
        <v>1666</v>
      </c>
      <c r="H2103" s="106" t="s">
        <v>1666</v>
      </c>
      <c r="I2103" s="76"/>
      <c r="J2103" s="76"/>
      <c r="K2103" s="58" t="str">
        <f>IFERROR(VLOOKUP(L2103,'Raw material list'!$A$3:$C$715,3,0),"")</f>
        <v>DRS1-1547</v>
      </c>
      <c r="L2103" s="59" t="s">
        <v>100</v>
      </c>
      <c r="M2103" s="80" t="s">
        <v>206</v>
      </c>
      <c r="N2103" s="40" t="str">
        <f>VLOOKUP(L2103,'Raw material list'!$A$3:$E$715,5,0)</f>
        <v>Ml</v>
      </c>
      <c r="O2103" s="80">
        <v>20</v>
      </c>
      <c r="P2103" s="299">
        <f t="shared" si="339"/>
        <v>20</v>
      </c>
      <c r="Q2103" s="80">
        <v>100</v>
      </c>
      <c r="R2103" s="80">
        <v>1</v>
      </c>
      <c r="S2103" s="80"/>
      <c r="T2103" s="105">
        <f t="shared" si="338"/>
        <v>20</v>
      </c>
      <c r="U2103" s="105">
        <f t="shared" si="340"/>
        <v>20</v>
      </c>
      <c r="V2103" s="104">
        <f>IFERROR(VLOOKUP(L2103,'Raw material list'!$A$2:$S$3102,6,0),0)</f>
        <v>2.3026315789473682E-3</v>
      </c>
      <c r="W2103" s="104">
        <f t="shared" si="341"/>
        <v>4.6052631578947366E-2</v>
      </c>
    </row>
    <row r="2104" spans="1:23" hidden="1" x14ac:dyDescent="0.55000000000000004">
      <c r="A2104" s="264" t="s">
        <v>2061</v>
      </c>
      <c r="B2104" s="58" t="s">
        <v>35</v>
      </c>
      <c r="C2104" s="58" t="s">
        <v>10</v>
      </c>
      <c r="D2104" s="76" t="s">
        <v>1844</v>
      </c>
      <c r="E2104" s="76"/>
      <c r="F2104" s="76" t="s">
        <v>1666</v>
      </c>
      <c r="G2104" s="94" t="s">
        <v>1666</v>
      </c>
      <c r="H2104" s="106" t="s">
        <v>1666</v>
      </c>
      <c r="I2104" s="76"/>
      <c r="J2104" s="76"/>
      <c r="K2104" s="58" t="str">
        <f>IFERROR(VLOOKUP(L2104,'Raw material list'!$A$3:$C$715,3,0),"")</f>
        <v>TAP-00001</v>
      </c>
      <c r="L2104" s="59" t="s">
        <v>1405</v>
      </c>
      <c r="M2104" s="80" t="s">
        <v>206</v>
      </c>
      <c r="N2104" s="40" t="str">
        <f>VLOOKUP(L2104,'Raw material list'!$A$3:$E$715,5,0)</f>
        <v>Ml</v>
      </c>
      <c r="O2104" s="80">
        <v>200</v>
      </c>
      <c r="P2104" s="299">
        <f t="shared" si="339"/>
        <v>200</v>
      </c>
      <c r="Q2104" s="80">
        <v>100</v>
      </c>
      <c r="R2104" s="80">
        <v>1</v>
      </c>
      <c r="S2104" s="80"/>
      <c r="T2104" s="105">
        <f t="shared" si="338"/>
        <v>200</v>
      </c>
      <c r="U2104" s="105">
        <f t="shared" si="340"/>
        <v>200</v>
      </c>
      <c r="V2104" s="104">
        <f>IFERROR(VLOOKUP(L2104,'Raw material list'!$A$2:$S$3102,6,0),0)</f>
        <v>8.0000000000000007E-5</v>
      </c>
      <c r="W2104" s="104">
        <f t="shared" si="341"/>
        <v>1.6E-2</v>
      </c>
    </row>
    <row r="2105" spans="1:23" hidden="1" x14ac:dyDescent="0.55000000000000004">
      <c r="A2105" s="264" t="s">
        <v>2062</v>
      </c>
      <c r="B2105" s="58" t="s">
        <v>35</v>
      </c>
      <c r="C2105" s="58" t="s">
        <v>10</v>
      </c>
      <c r="D2105" s="76" t="s">
        <v>1846</v>
      </c>
      <c r="E2105" s="76"/>
      <c r="F2105" s="76" t="s">
        <v>1666</v>
      </c>
      <c r="G2105" s="94" t="s">
        <v>1666</v>
      </c>
      <c r="H2105" s="106" t="s">
        <v>1666</v>
      </c>
      <c r="I2105" s="76"/>
      <c r="J2105" s="76"/>
      <c r="K2105" s="58" t="str">
        <f>IFERROR(VLOOKUP(L2105,'Raw material list'!$A$3:$C$715,3,0),"")</f>
        <v>PLT1-37</v>
      </c>
      <c r="L2105" s="59" t="s">
        <v>861</v>
      </c>
      <c r="M2105" s="80" t="s">
        <v>48</v>
      </c>
      <c r="N2105" s="40" t="str">
        <f>VLOOKUP(L2105,'Raw material list'!$A$3:$E$715,5,0)</f>
        <v>Each</v>
      </c>
      <c r="O2105" s="80">
        <v>1</v>
      </c>
      <c r="P2105" s="299">
        <f t="shared" si="339"/>
        <v>1</v>
      </c>
      <c r="Q2105" s="80">
        <v>100</v>
      </c>
      <c r="R2105" s="80">
        <v>1</v>
      </c>
      <c r="S2105" s="80"/>
      <c r="T2105" s="105">
        <f t="shared" si="338"/>
        <v>1</v>
      </c>
      <c r="U2105" s="105">
        <f t="shared" si="340"/>
        <v>1</v>
      </c>
      <c r="V2105" s="104">
        <f>IFERROR(VLOOKUP(L2105,'Raw material list'!$A$2:$S$3102,6,0),0)</f>
        <v>0.48299999999999998</v>
      </c>
      <c r="W2105" s="104">
        <f t="shared" si="341"/>
        <v>0.48299999999999998</v>
      </c>
    </row>
    <row r="2106" spans="1:23" hidden="1" x14ac:dyDescent="0.55000000000000004">
      <c r="A2106" s="264" t="s">
        <v>2062</v>
      </c>
      <c r="B2106" s="58" t="s">
        <v>35</v>
      </c>
      <c r="C2106" s="58" t="s">
        <v>10</v>
      </c>
      <c r="D2106" s="76" t="s">
        <v>1846</v>
      </c>
      <c r="E2106" s="76"/>
      <c r="F2106" s="76" t="s">
        <v>1666</v>
      </c>
      <c r="G2106" s="94" t="s">
        <v>1666</v>
      </c>
      <c r="H2106" s="106" t="s">
        <v>1666</v>
      </c>
      <c r="I2106" s="76"/>
      <c r="J2106" s="76"/>
      <c r="K2106" s="58" t="str">
        <f>IFERROR(VLOOKUP(L2106,'Raw material list'!$A$3:$C$715,3,0),"")</f>
        <v>DRS1-3880</v>
      </c>
      <c r="L2106" s="59" t="s">
        <v>1433</v>
      </c>
      <c r="M2106" s="80" t="s">
        <v>156</v>
      </c>
      <c r="N2106" s="40" t="str">
        <f>VLOOKUP(L2106,'Raw material list'!$A$3:$E$715,5,0)</f>
        <v xml:space="preserve">Gram </v>
      </c>
      <c r="O2106" s="80">
        <v>10</v>
      </c>
      <c r="P2106" s="299">
        <f t="shared" si="339"/>
        <v>10</v>
      </c>
      <c r="Q2106" s="80">
        <v>100</v>
      </c>
      <c r="R2106" s="80">
        <v>1</v>
      </c>
      <c r="S2106" s="80"/>
      <c r="T2106" s="105">
        <f t="shared" si="338"/>
        <v>10</v>
      </c>
      <c r="U2106" s="105">
        <f t="shared" si="340"/>
        <v>10</v>
      </c>
      <c r="V2106" s="104">
        <f>IFERROR(VLOOKUP(L2106,'Raw material list'!$A$2:$S$3102,6,0),0)</f>
        <v>5.0000000000000001E-4</v>
      </c>
      <c r="W2106" s="104">
        <f t="shared" si="341"/>
        <v>5.0000000000000001E-3</v>
      </c>
    </row>
    <row r="2107" spans="1:23" hidden="1" x14ac:dyDescent="0.55000000000000004">
      <c r="A2107" s="264" t="s">
        <v>2062</v>
      </c>
      <c r="B2107" s="58" t="s">
        <v>35</v>
      </c>
      <c r="C2107" s="58" t="s">
        <v>10</v>
      </c>
      <c r="D2107" s="76" t="s">
        <v>1846</v>
      </c>
      <c r="E2107" s="76"/>
      <c r="F2107" s="76" t="s">
        <v>1666</v>
      </c>
      <c r="G2107" s="94" t="s">
        <v>1666</v>
      </c>
      <c r="H2107" s="106" t="s">
        <v>1666</v>
      </c>
      <c r="I2107" s="76"/>
      <c r="J2107" s="76"/>
      <c r="K2107" s="58" t="str">
        <f>IFERROR(VLOOKUP(L2107,'Raw material list'!$A$3:$C$715,3,0),"")</f>
        <v>DRS1-1547</v>
      </c>
      <c r="L2107" s="59" t="s">
        <v>100</v>
      </c>
      <c r="M2107" s="80" t="s">
        <v>206</v>
      </c>
      <c r="N2107" s="40" t="str">
        <f>VLOOKUP(L2107,'Raw material list'!$A$3:$E$715,5,0)</f>
        <v>Ml</v>
      </c>
      <c r="O2107" s="80">
        <v>20</v>
      </c>
      <c r="P2107" s="299">
        <f t="shared" si="339"/>
        <v>20</v>
      </c>
      <c r="Q2107" s="80">
        <v>100</v>
      </c>
      <c r="R2107" s="80">
        <v>1</v>
      </c>
      <c r="S2107" s="80"/>
      <c r="T2107" s="105">
        <f t="shared" si="338"/>
        <v>20</v>
      </c>
      <c r="U2107" s="105">
        <f t="shared" si="340"/>
        <v>20</v>
      </c>
      <c r="V2107" s="104">
        <f>IFERROR(VLOOKUP(L2107,'Raw material list'!$A$2:$S$3102,6,0),0)</f>
        <v>2.3026315789473682E-3</v>
      </c>
      <c r="W2107" s="104">
        <f t="shared" si="341"/>
        <v>4.6052631578947366E-2</v>
      </c>
    </row>
    <row r="2108" spans="1:23" hidden="1" x14ac:dyDescent="0.55000000000000004">
      <c r="A2108" s="264" t="s">
        <v>2062</v>
      </c>
      <c r="B2108" s="58" t="s">
        <v>35</v>
      </c>
      <c r="C2108" s="58" t="s">
        <v>10</v>
      </c>
      <c r="D2108" s="76" t="s">
        <v>1846</v>
      </c>
      <c r="E2108" s="76"/>
      <c r="F2108" s="76" t="s">
        <v>1666</v>
      </c>
      <c r="G2108" s="94" t="s">
        <v>1666</v>
      </c>
      <c r="H2108" s="106" t="s">
        <v>1666</v>
      </c>
      <c r="I2108" s="76"/>
      <c r="J2108" s="76"/>
      <c r="K2108" s="58" t="str">
        <f>IFERROR(VLOOKUP(L2108,'Raw material list'!$A$3:$C$715,3,0),"")</f>
        <v>TAP-00001</v>
      </c>
      <c r="L2108" s="59" t="s">
        <v>1405</v>
      </c>
      <c r="M2108" s="80" t="s">
        <v>206</v>
      </c>
      <c r="N2108" s="40" t="str">
        <f>VLOOKUP(L2108,'Raw material list'!$A$3:$E$715,5,0)</f>
        <v>Ml</v>
      </c>
      <c r="O2108" s="80">
        <v>200</v>
      </c>
      <c r="P2108" s="299">
        <f t="shared" si="339"/>
        <v>200</v>
      </c>
      <c r="Q2108" s="80">
        <v>100</v>
      </c>
      <c r="R2108" s="80">
        <v>1</v>
      </c>
      <c r="S2108" s="80"/>
      <c r="T2108" s="105">
        <f t="shared" si="338"/>
        <v>200</v>
      </c>
      <c r="U2108" s="105">
        <f t="shared" si="340"/>
        <v>200</v>
      </c>
      <c r="V2108" s="104">
        <f>IFERROR(VLOOKUP(L2108,'Raw material list'!$A$2:$S$3102,6,0),0)</f>
        <v>8.0000000000000007E-5</v>
      </c>
      <c r="W2108" s="104">
        <f t="shared" si="341"/>
        <v>1.6E-2</v>
      </c>
    </row>
    <row r="2109" spans="1:23" hidden="1" x14ac:dyDescent="0.55000000000000004">
      <c r="A2109" s="264" t="s">
        <v>2062</v>
      </c>
      <c r="B2109" s="58" t="s">
        <v>35</v>
      </c>
      <c r="C2109" s="58" t="s">
        <v>10</v>
      </c>
      <c r="D2109" s="76" t="s">
        <v>1846</v>
      </c>
      <c r="E2109" s="76"/>
      <c r="F2109" s="76" t="s">
        <v>1666</v>
      </c>
      <c r="G2109" s="94" t="s">
        <v>1666</v>
      </c>
      <c r="H2109" s="106" t="s">
        <v>1666</v>
      </c>
      <c r="I2109" s="76"/>
      <c r="J2109" s="76"/>
      <c r="K2109" s="58" t="str">
        <f>IFERROR(VLOOKUP(L2109,'Raw material list'!$A$3:$C$715,3,0),"")</f>
        <v>DRS1-824</v>
      </c>
      <c r="L2109" s="59" t="s">
        <v>234</v>
      </c>
      <c r="M2109" s="80" t="s">
        <v>156</v>
      </c>
      <c r="N2109" s="40" t="str">
        <f>VLOOKUP(L2109,'Raw material list'!$A$3:$E$715,5,0)</f>
        <v xml:space="preserve">Gram </v>
      </c>
      <c r="O2109" s="80">
        <v>200</v>
      </c>
      <c r="P2109" s="299">
        <f t="shared" si="339"/>
        <v>200</v>
      </c>
      <c r="Q2109" s="80">
        <v>100</v>
      </c>
      <c r="R2109" s="80">
        <v>15</v>
      </c>
      <c r="S2109" s="80"/>
      <c r="T2109" s="105">
        <f t="shared" si="338"/>
        <v>13.333333333333334</v>
      </c>
      <c r="U2109" s="105">
        <f t="shared" si="340"/>
        <v>13.333333333333334</v>
      </c>
      <c r="V2109" s="104">
        <f>IFERROR(VLOOKUP(L2109,'Raw material list'!$A$2:$S$3102,6,0),0)</f>
        <v>1.2919999999999999E-2</v>
      </c>
      <c r="W2109" s="104">
        <f t="shared" si="341"/>
        <v>0.17226666666666665</v>
      </c>
    </row>
    <row r="2110" spans="1:23" hidden="1" x14ac:dyDescent="0.55000000000000004">
      <c r="A2110" s="264" t="s">
        <v>2062</v>
      </c>
      <c r="B2110" s="58" t="s">
        <v>35</v>
      </c>
      <c r="C2110" s="58" t="s">
        <v>10</v>
      </c>
      <c r="D2110" s="76" t="s">
        <v>1846</v>
      </c>
      <c r="E2110" s="76"/>
      <c r="F2110" s="76" t="s">
        <v>1666</v>
      </c>
      <c r="G2110" s="94" t="s">
        <v>1666</v>
      </c>
      <c r="H2110" s="106" t="s">
        <v>1666</v>
      </c>
      <c r="I2110" s="76"/>
      <c r="J2110" s="76"/>
      <c r="K2110" s="58" t="str">
        <f>IFERROR(VLOOKUP(L2110,'Raw material list'!$A$3:$C$715,3,0),"")</f>
        <v>DRY2-1388</v>
      </c>
      <c r="L2110" s="59" t="s">
        <v>126</v>
      </c>
      <c r="M2110" s="80" t="s">
        <v>206</v>
      </c>
      <c r="N2110" s="40" t="str">
        <f>VLOOKUP(L2110,'Raw material list'!$A$3:$E$715,5,0)</f>
        <v>Ml</v>
      </c>
      <c r="O2110" s="80">
        <v>3000</v>
      </c>
      <c r="P2110" s="299">
        <f t="shared" si="339"/>
        <v>3000</v>
      </c>
      <c r="Q2110" s="80">
        <v>100</v>
      </c>
      <c r="R2110" s="80">
        <v>15</v>
      </c>
      <c r="S2110" s="80"/>
      <c r="T2110" s="105">
        <f t="shared" ref="T2110:T2122" si="342">IFERROR(O2110/R2110,0)</f>
        <v>200</v>
      </c>
      <c r="U2110" s="105">
        <f t="shared" si="340"/>
        <v>200</v>
      </c>
      <c r="V2110" s="104">
        <f>IFERROR(VLOOKUP(L2110,'Raw material list'!$A$2:$S$3102,6,0),0)</f>
        <v>4.2500000000000003E-3</v>
      </c>
      <c r="W2110" s="104">
        <f t="shared" si="341"/>
        <v>0.85000000000000009</v>
      </c>
    </row>
    <row r="2111" spans="1:23" hidden="1" x14ac:dyDescent="0.55000000000000004">
      <c r="A2111" s="264" t="s">
        <v>2062</v>
      </c>
      <c r="B2111" s="58" t="s">
        <v>35</v>
      </c>
      <c r="C2111" s="58" t="s">
        <v>10</v>
      </c>
      <c r="D2111" s="76" t="s">
        <v>1846</v>
      </c>
      <c r="E2111" s="76"/>
      <c r="F2111" s="76" t="s">
        <v>1666</v>
      </c>
      <c r="G2111" s="94" t="s">
        <v>1666</v>
      </c>
      <c r="H2111" s="106" t="s">
        <v>1666</v>
      </c>
      <c r="I2111" s="76"/>
      <c r="J2111" s="76"/>
      <c r="K2111" s="58" t="str">
        <f>IFERROR(VLOOKUP(L2111,'Raw material list'!$A$3:$C$715,3,0),"")</f>
        <v>DRS1-1823</v>
      </c>
      <c r="L2111" s="59" t="s">
        <v>619</v>
      </c>
      <c r="M2111" s="80" t="s">
        <v>156</v>
      </c>
      <c r="N2111" s="40" t="str">
        <f>VLOOKUP(L2111,'Raw material list'!$A$3:$E$715,5,0)</f>
        <v xml:space="preserve">Gram </v>
      </c>
      <c r="O2111" s="80">
        <v>2</v>
      </c>
      <c r="P2111" s="299">
        <f t="shared" si="339"/>
        <v>2</v>
      </c>
      <c r="Q2111" s="80">
        <v>100</v>
      </c>
      <c r="R2111" s="80">
        <v>15</v>
      </c>
      <c r="S2111" s="80"/>
      <c r="T2111" s="105">
        <f t="shared" si="342"/>
        <v>0.13333333333333333</v>
      </c>
      <c r="U2111" s="105">
        <f t="shared" si="340"/>
        <v>0.13333333333333333</v>
      </c>
      <c r="V2111" s="104">
        <f>IFERROR(VLOOKUP(L2111,'Raw material list'!$A$2:$S$3102,6,0),0)</f>
        <v>4.9000000000000002E-2</v>
      </c>
      <c r="W2111" s="104">
        <f t="shared" si="341"/>
        <v>6.5333333333333337E-3</v>
      </c>
    </row>
    <row r="2112" spans="1:23" hidden="1" x14ac:dyDescent="0.55000000000000004">
      <c r="A2112" s="264" t="s">
        <v>2062</v>
      </c>
      <c r="B2112" s="58" t="s">
        <v>35</v>
      </c>
      <c r="C2112" s="58" t="s">
        <v>10</v>
      </c>
      <c r="D2112" s="76" t="s">
        <v>1846</v>
      </c>
      <c r="E2112" s="76"/>
      <c r="F2112" s="76" t="s">
        <v>1666</v>
      </c>
      <c r="G2112" s="94" t="s">
        <v>1666</v>
      </c>
      <c r="H2112" s="106" t="s">
        <v>1666</v>
      </c>
      <c r="I2112" s="76"/>
      <c r="J2112" s="76"/>
      <c r="K2112" s="58" t="str">
        <f>IFERROR(VLOOKUP(L2112,'Raw material list'!$A$3:$C$715,3,0),"")</f>
        <v>DRS1-978</v>
      </c>
      <c r="L2112" s="59" t="s">
        <v>56</v>
      </c>
      <c r="M2112" s="80" t="s">
        <v>156</v>
      </c>
      <c r="N2112" s="40" t="str">
        <f>VLOOKUP(L2112,'Raw material list'!$A$3:$E$715,5,0)</f>
        <v xml:space="preserve">Gram </v>
      </c>
      <c r="O2112" s="80">
        <v>70</v>
      </c>
      <c r="P2112" s="299">
        <f t="shared" si="339"/>
        <v>70</v>
      </c>
      <c r="Q2112" s="80">
        <v>100</v>
      </c>
      <c r="R2112" s="80">
        <v>15</v>
      </c>
      <c r="S2112" s="80"/>
      <c r="T2112" s="105">
        <f t="shared" si="342"/>
        <v>4.666666666666667</v>
      </c>
      <c r="U2112" s="105">
        <f t="shared" si="340"/>
        <v>4.666666666666667</v>
      </c>
      <c r="V2112" s="104">
        <f>IFERROR(VLOOKUP(L2112,'Raw material list'!$A$2:$S$3102,6,0),0)</f>
        <v>2.3999999999999998E-3</v>
      </c>
      <c r="W2112" s="104">
        <f t="shared" si="341"/>
        <v>1.12E-2</v>
      </c>
    </row>
    <row r="2113" spans="1:23" hidden="1" x14ac:dyDescent="0.55000000000000004">
      <c r="A2113" s="264" t="s">
        <v>2062</v>
      </c>
      <c r="B2113" s="58" t="s">
        <v>35</v>
      </c>
      <c r="C2113" s="58" t="s">
        <v>10</v>
      </c>
      <c r="D2113" s="76" t="s">
        <v>1846</v>
      </c>
      <c r="E2113" s="76"/>
      <c r="F2113" s="76" t="s">
        <v>1666</v>
      </c>
      <c r="G2113" s="94" t="s">
        <v>1666</v>
      </c>
      <c r="H2113" s="106" t="s">
        <v>1666</v>
      </c>
      <c r="I2113" s="76"/>
      <c r="J2113" s="76"/>
      <c r="K2113" s="58" t="str">
        <f>IFERROR(VLOOKUP(L2113,'Raw material list'!$A$3:$C$715,3,0),"")</f>
        <v>DRS5-21</v>
      </c>
      <c r="L2113" s="59" t="s">
        <v>55</v>
      </c>
      <c r="M2113" s="80" t="s">
        <v>156</v>
      </c>
      <c r="N2113" s="40" t="str">
        <f>VLOOKUP(L2113,'Raw material list'!$A$3:$E$715,5,0)</f>
        <v xml:space="preserve">Gram </v>
      </c>
      <c r="O2113" s="80">
        <v>20</v>
      </c>
      <c r="P2113" s="299">
        <f t="shared" si="339"/>
        <v>20</v>
      </c>
      <c r="Q2113" s="80">
        <v>100</v>
      </c>
      <c r="R2113" s="80">
        <v>15</v>
      </c>
      <c r="S2113" s="80"/>
      <c r="T2113" s="105">
        <f t="shared" si="342"/>
        <v>1.3333333333333333</v>
      </c>
      <c r="U2113" s="105">
        <f t="shared" si="340"/>
        <v>1.3333333333333333</v>
      </c>
      <c r="V2113" s="104">
        <f>IFERROR(VLOOKUP(L2113,'Raw material list'!$A$2:$S$3102,6,0),0)</f>
        <v>2.0799999999999998E-3</v>
      </c>
      <c r="W2113" s="104">
        <f t="shared" si="341"/>
        <v>2.7733333333333329E-3</v>
      </c>
    </row>
    <row r="2114" spans="1:23" hidden="1" x14ac:dyDescent="0.55000000000000004">
      <c r="A2114" s="264" t="s">
        <v>2062</v>
      </c>
      <c r="B2114" s="58" t="s">
        <v>35</v>
      </c>
      <c r="C2114" s="58" t="s">
        <v>10</v>
      </c>
      <c r="D2114" s="76" t="s">
        <v>1846</v>
      </c>
      <c r="E2114" s="76"/>
      <c r="F2114" s="76" t="s">
        <v>1666</v>
      </c>
      <c r="G2114" s="94" t="s">
        <v>1666</v>
      </c>
      <c r="H2114" s="106" t="s">
        <v>1666</v>
      </c>
      <c r="I2114" s="76"/>
      <c r="J2114" s="76"/>
      <c r="K2114" s="58" t="str">
        <f>IFERROR(VLOOKUP(L2114,'Raw material list'!$A$3:$C$715,3,0),"")</f>
        <v>PRD3-1661</v>
      </c>
      <c r="L2114" s="59" t="s">
        <v>957</v>
      </c>
      <c r="M2114" s="80" t="s">
        <v>156</v>
      </c>
      <c r="N2114" s="40" t="str">
        <f>VLOOKUP(L2114,'Raw material list'!$A$3:$E$715,5,0)</f>
        <v xml:space="preserve">Gram </v>
      </c>
      <c r="O2114" s="80">
        <v>100</v>
      </c>
      <c r="P2114" s="299">
        <f t="shared" si="339"/>
        <v>100</v>
      </c>
      <c r="Q2114" s="80">
        <v>100</v>
      </c>
      <c r="R2114" s="80">
        <v>15</v>
      </c>
      <c r="S2114" s="80"/>
      <c r="T2114" s="105">
        <f t="shared" si="342"/>
        <v>6.666666666666667</v>
      </c>
      <c r="U2114" s="105">
        <f t="shared" si="340"/>
        <v>6.666666666666667</v>
      </c>
      <c r="V2114" s="104">
        <f>IFERROR(VLOOKUP(L2114,'Raw material list'!$A$2:$S$3102,6,0),0)</f>
        <v>3.9E-2</v>
      </c>
      <c r="W2114" s="104">
        <f t="shared" si="341"/>
        <v>0.26</v>
      </c>
    </row>
    <row r="2115" spans="1:23" hidden="1" x14ac:dyDescent="0.55000000000000004">
      <c r="A2115" s="264" t="s">
        <v>2063</v>
      </c>
      <c r="B2115" s="58" t="s">
        <v>35</v>
      </c>
      <c r="C2115" s="58" t="s">
        <v>10</v>
      </c>
      <c r="D2115" s="76" t="s">
        <v>1853</v>
      </c>
      <c r="E2115" s="76"/>
      <c r="F2115" s="76" t="s">
        <v>1666</v>
      </c>
      <c r="G2115" s="94" t="s">
        <v>1666</v>
      </c>
      <c r="H2115" s="106" t="s">
        <v>1666</v>
      </c>
      <c r="I2115" s="76"/>
      <c r="J2115" s="76"/>
      <c r="K2115" s="58" t="str">
        <f>IFERROR(VLOOKUP(L2115,'Raw material list'!$A$3:$C$715,3,0),"")</f>
        <v>DRS5-40</v>
      </c>
      <c r="L2115" s="59" t="s">
        <v>58</v>
      </c>
      <c r="M2115" s="80" t="s">
        <v>156</v>
      </c>
      <c r="N2115" s="40" t="str">
        <f>VLOOKUP(L2115,'Raw material list'!$A$3:$E$715,5,0)</f>
        <v xml:space="preserve">Gram </v>
      </c>
      <c r="O2115" s="80">
        <v>25000</v>
      </c>
      <c r="P2115" s="299">
        <f t="shared" si="339"/>
        <v>25000</v>
      </c>
      <c r="Q2115" s="80">
        <v>100</v>
      </c>
      <c r="R2115" s="80">
        <v>720</v>
      </c>
      <c r="S2115" s="80"/>
      <c r="T2115" s="105">
        <f t="shared" si="342"/>
        <v>34.722222222222221</v>
      </c>
      <c r="U2115" s="105">
        <f t="shared" si="340"/>
        <v>34.722222222222221</v>
      </c>
      <c r="V2115" s="104">
        <f>IFERROR(VLOOKUP(L2115,'Raw material list'!$A$2:$S$3102,6,0),0)</f>
        <v>7.7777777777777773E-4</v>
      </c>
      <c r="W2115" s="104">
        <f t="shared" si="341"/>
        <v>2.7006172839506171E-2</v>
      </c>
    </row>
    <row r="2116" spans="1:23" hidden="1" x14ac:dyDescent="0.55000000000000004">
      <c r="A2116" s="264" t="s">
        <v>2063</v>
      </c>
      <c r="B2116" s="58" t="s">
        <v>35</v>
      </c>
      <c r="C2116" s="58" t="s">
        <v>10</v>
      </c>
      <c r="D2116" s="76" t="s">
        <v>1853</v>
      </c>
      <c r="E2116" s="76"/>
      <c r="F2116" s="76" t="s">
        <v>1666</v>
      </c>
      <c r="G2116" s="94" t="s">
        <v>1666</v>
      </c>
      <c r="H2116" s="106" t="s">
        <v>1666</v>
      </c>
      <c r="I2116" s="76"/>
      <c r="J2116" s="76"/>
      <c r="K2116" s="58" t="str">
        <f>IFERROR(VLOOKUP(L2116,'Raw material list'!$A$3:$C$715,3,0),"")</f>
        <v>DRS1-90</v>
      </c>
      <c r="L2116" s="59" t="s">
        <v>581</v>
      </c>
      <c r="M2116" s="80" t="s">
        <v>156</v>
      </c>
      <c r="N2116" s="40" t="str">
        <f>VLOOKUP(L2116,'Raw material list'!$A$3:$E$715,5,0)</f>
        <v xml:space="preserve">Gram </v>
      </c>
      <c r="O2116" s="80">
        <v>500</v>
      </c>
      <c r="P2116" s="299">
        <f t="shared" si="339"/>
        <v>500</v>
      </c>
      <c r="Q2116" s="80">
        <v>100</v>
      </c>
      <c r="R2116" s="80">
        <v>720</v>
      </c>
      <c r="S2116" s="80"/>
      <c r="T2116" s="105">
        <f t="shared" si="342"/>
        <v>0.69444444444444442</v>
      </c>
      <c r="U2116" s="105">
        <f t="shared" si="340"/>
        <v>0.69444444444444442</v>
      </c>
      <c r="V2116" s="104">
        <f>IFERROR(VLOOKUP(L2116,'Raw material list'!$A$2:$S$3102,6,0),0)</f>
        <v>1.4500000000000001E-2</v>
      </c>
      <c r="W2116" s="104">
        <f t="shared" si="341"/>
        <v>1.0069444444444445E-2</v>
      </c>
    </row>
    <row r="2117" spans="1:23" hidden="1" x14ac:dyDescent="0.55000000000000004">
      <c r="A2117" s="264" t="s">
        <v>2063</v>
      </c>
      <c r="B2117" s="58" t="s">
        <v>35</v>
      </c>
      <c r="C2117" s="58" t="s">
        <v>10</v>
      </c>
      <c r="D2117" s="76" t="s">
        <v>1853</v>
      </c>
      <c r="E2117" s="76"/>
      <c r="F2117" s="76" t="s">
        <v>1666</v>
      </c>
      <c r="G2117" s="94" t="s">
        <v>1666</v>
      </c>
      <c r="H2117" s="106" t="s">
        <v>1666</v>
      </c>
      <c r="I2117" s="76"/>
      <c r="J2117" s="76"/>
      <c r="K2117" s="58" t="str">
        <f>IFERROR(VLOOKUP(L2117,'Raw material list'!$A$3:$C$715,3,0),"")</f>
        <v>DRS1-3880</v>
      </c>
      <c r="L2117" s="59" t="s">
        <v>1433</v>
      </c>
      <c r="M2117" s="80" t="s">
        <v>156</v>
      </c>
      <c r="N2117" s="40" t="str">
        <f>VLOOKUP(L2117,'Raw material list'!$A$3:$E$715,5,0)</f>
        <v xml:space="preserve">Gram </v>
      </c>
      <c r="O2117" s="80">
        <v>500</v>
      </c>
      <c r="P2117" s="299">
        <f t="shared" si="339"/>
        <v>500</v>
      </c>
      <c r="Q2117" s="80">
        <v>100</v>
      </c>
      <c r="R2117" s="80">
        <v>720</v>
      </c>
      <c r="S2117" s="80"/>
      <c r="T2117" s="105">
        <f t="shared" si="342"/>
        <v>0.69444444444444442</v>
      </c>
      <c r="U2117" s="105">
        <f t="shared" si="340"/>
        <v>0.69444444444444442</v>
      </c>
      <c r="V2117" s="104">
        <f>IFERROR(VLOOKUP(L2117,'Raw material list'!$A$2:$S$3102,6,0),0)</f>
        <v>5.0000000000000001E-4</v>
      </c>
      <c r="W2117" s="104">
        <f t="shared" si="341"/>
        <v>3.4722222222222224E-4</v>
      </c>
    </row>
    <row r="2118" spans="1:23" hidden="1" x14ac:dyDescent="0.55000000000000004">
      <c r="A2118" s="264" t="s">
        <v>2063</v>
      </c>
      <c r="B2118" s="58" t="s">
        <v>35</v>
      </c>
      <c r="C2118" s="58" t="s">
        <v>10</v>
      </c>
      <c r="D2118" s="76" t="s">
        <v>1853</v>
      </c>
      <c r="E2118" s="76"/>
      <c r="F2118" s="76" t="s">
        <v>1666</v>
      </c>
      <c r="G2118" s="94" t="s">
        <v>1666</v>
      </c>
      <c r="H2118" s="106" t="s">
        <v>1666</v>
      </c>
      <c r="I2118" s="76"/>
      <c r="J2118" s="76"/>
      <c r="K2118" s="58" t="str">
        <f>IFERROR(VLOOKUP(L2118,'Raw material list'!$A$3:$C$715,3,0),"")</f>
        <v>DRS1-978</v>
      </c>
      <c r="L2118" s="59" t="s">
        <v>56</v>
      </c>
      <c r="M2118" s="80" t="s">
        <v>156</v>
      </c>
      <c r="N2118" s="40" t="str">
        <f>VLOOKUP(L2118,'Raw material list'!$A$3:$E$715,5,0)</f>
        <v xml:space="preserve">Gram </v>
      </c>
      <c r="O2118" s="80">
        <v>2500</v>
      </c>
      <c r="P2118" s="299">
        <f t="shared" ref="P2118:P2181" si="343">O2118/Q2118*100</f>
        <v>2500</v>
      </c>
      <c r="Q2118" s="80">
        <v>100</v>
      </c>
      <c r="R2118" s="80">
        <v>720</v>
      </c>
      <c r="S2118" s="80"/>
      <c r="T2118" s="105">
        <f t="shared" si="342"/>
        <v>3.4722222222222223</v>
      </c>
      <c r="U2118" s="105">
        <f t="shared" ref="U2118:U2181" si="344">IFERROR(P2118/R2118,0)</f>
        <v>3.4722222222222223</v>
      </c>
      <c r="V2118" s="104">
        <f>IFERROR(VLOOKUP(L2118,'Raw material list'!$A$2:$S$3102,6,0),0)</f>
        <v>2.3999999999999998E-3</v>
      </c>
      <c r="W2118" s="104">
        <f t="shared" ref="W2118:W2181" si="345">IFERROR(V2118*U2118,0)</f>
        <v>8.3333333333333332E-3</v>
      </c>
    </row>
    <row r="2119" spans="1:23" hidden="1" x14ac:dyDescent="0.55000000000000004">
      <c r="A2119" s="264" t="s">
        <v>2063</v>
      </c>
      <c r="B2119" s="58" t="s">
        <v>35</v>
      </c>
      <c r="C2119" s="58" t="s">
        <v>10</v>
      </c>
      <c r="D2119" s="76" t="s">
        <v>1853</v>
      </c>
      <c r="E2119" s="76"/>
      <c r="F2119" s="76" t="s">
        <v>1666</v>
      </c>
      <c r="G2119" s="94" t="s">
        <v>1666</v>
      </c>
      <c r="H2119" s="106" t="s">
        <v>1666</v>
      </c>
      <c r="I2119" s="76"/>
      <c r="J2119" s="76"/>
      <c r="K2119" s="58" t="str">
        <f>IFERROR(VLOOKUP(L2119,'Raw material list'!$A$3:$C$715,3,0),"")</f>
        <v>DRY2-149</v>
      </c>
      <c r="L2119" s="59" t="s">
        <v>408</v>
      </c>
      <c r="M2119" s="80" t="s">
        <v>156</v>
      </c>
      <c r="N2119" s="40" t="str">
        <f>VLOOKUP(L2119,'Raw material list'!$A$3:$E$715,5,0)</f>
        <v xml:space="preserve">Gram </v>
      </c>
      <c r="O2119" s="80">
        <v>16000</v>
      </c>
      <c r="P2119" s="299">
        <f t="shared" si="343"/>
        <v>16000</v>
      </c>
      <c r="Q2119" s="80">
        <v>100</v>
      </c>
      <c r="R2119" s="80">
        <v>720</v>
      </c>
      <c r="S2119" s="80"/>
      <c r="T2119" s="105">
        <f t="shared" si="342"/>
        <v>22.222222222222221</v>
      </c>
      <c r="U2119" s="105">
        <f t="shared" si="344"/>
        <v>22.222222222222221</v>
      </c>
      <c r="V2119" s="104">
        <f>IFERROR(VLOOKUP(L2119,'Raw material list'!$A$2:$S$3102,6,0),0)</f>
        <v>1.0999999999999999E-2</v>
      </c>
      <c r="W2119" s="104">
        <f t="shared" si="345"/>
        <v>0.24444444444444441</v>
      </c>
    </row>
    <row r="2120" spans="1:23" hidden="1" x14ac:dyDescent="0.55000000000000004">
      <c r="A2120" s="264" t="s">
        <v>2063</v>
      </c>
      <c r="B2120" s="58" t="s">
        <v>35</v>
      </c>
      <c r="C2120" s="58" t="s">
        <v>10</v>
      </c>
      <c r="D2120" s="76" t="s">
        <v>1853</v>
      </c>
      <c r="E2120" s="76"/>
      <c r="F2120" s="76" t="s">
        <v>1666</v>
      </c>
      <c r="G2120" s="94" t="s">
        <v>1666</v>
      </c>
      <c r="H2120" s="106" t="s">
        <v>1666</v>
      </c>
      <c r="I2120" s="76"/>
      <c r="J2120" s="76"/>
      <c r="K2120" s="58" t="str">
        <f>IFERROR(VLOOKUP(L2120,'Raw material list'!$A$3:$C$715,3,0),"")</f>
        <v>TAP-00001</v>
      </c>
      <c r="L2120" s="59" t="s">
        <v>1405</v>
      </c>
      <c r="M2120" s="80" t="s">
        <v>206</v>
      </c>
      <c r="N2120" s="40" t="str">
        <f>VLOOKUP(L2120,'Raw material list'!$A$3:$E$715,5,0)</f>
        <v>Ml</v>
      </c>
      <c r="O2120" s="80">
        <v>7000</v>
      </c>
      <c r="P2120" s="299">
        <f t="shared" si="343"/>
        <v>7000</v>
      </c>
      <c r="Q2120" s="80">
        <v>100</v>
      </c>
      <c r="R2120" s="80">
        <v>720</v>
      </c>
      <c r="S2120" s="80"/>
      <c r="T2120" s="105">
        <f t="shared" si="342"/>
        <v>9.7222222222222214</v>
      </c>
      <c r="U2120" s="105">
        <f t="shared" si="344"/>
        <v>9.7222222222222214</v>
      </c>
      <c r="V2120" s="104">
        <f>IFERROR(VLOOKUP(L2120,'Raw material list'!$A$2:$S$3102,6,0),0)</f>
        <v>8.0000000000000007E-5</v>
      </c>
      <c r="W2120" s="104">
        <f t="shared" si="345"/>
        <v>7.7777777777777773E-4</v>
      </c>
    </row>
    <row r="2121" spans="1:23" hidden="1" x14ac:dyDescent="0.55000000000000004">
      <c r="A2121" s="264" t="s">
        <v>2063</v>
      </c>
      <c r="B2121" s="58" t="s">
        <v>35</v>
      </c>
      <c r="C2121" s="58" t="s">
        <v>10</v>
      </c>
      <c r="D2121" s="76" t="s">
        <v>1853</v>
      </c>
      <c r="E2121" s="76"/>
      <c r="F2121" s="76" t="s">
        <v>1666</v>
      </c>
      <c r="G2121" s="94" t="s">
        <v>1666</v>
      </c>
      <c r="H2121" s="106" t="s">
        <v>1666</v>
      </c>
      <c r="I2121" s="76"/>
      <c r="J2121" s="76"/>
      <c r="K2121" s="58" t="str">
        <f>IFERROR(VLOOKUP(L2121,'Raw material list'!$A$3:$C$715,3,0),"")</f>
        <v>DRY2-1388</v>
      </c>
      <c r="L2121" s="59" t="s">
        <v>126</v>
      </c>
      <c r="M2121" s="80" t="s">
        <v>206</v>
      </c>
      <c r="N2121" s="40" t="str">
        <f>VLOOKUP(L2121,'Raw material list'!$A$3:$E$715,5,0)</f>
        <v>Ml</v>
      </c>
      <c r="O2121" s="80">
        <v>5000</v>
      </c>
      <c r="P2121" s="299">
        <f t="shared" si="343"/>
        <v>5000</v>
      </c>
      <c r="Q2121" s="80">
        <v>100</v>
      </c>
      <c r="R2121" s="80">
        <v>720</v>
      </c>
      <c r="S2121" s="80"/>
      <c r="T2121" s="105">
        <f t="shared" si="342"/>
        <v>6.9444444444444446</v>
      </c>
      <c r="U2121" s="105">
        <f t="shared" si="344"/>
        <v>6.9444444444444446</v>
      </c>
      <c r="V2121" s="104">
        <f>IFERROR(VLOOKUP(L2121,'Raw material list'!$A$2:$S$3102,6,0),0)</f>
        <v>4.2500000000000003E-3</v>
      </c>
      <c r="W2121" s="104">
        <f t="shared" si="345"/>
        <v>2.9513888888888892E-2</v>
      </c>
    </row>
    <row r="2122" spans="1:23" hidden="1" x14ac:dyDescent="0.55000000000000004">
      <c r="A2122" s="264" t="s">
        <v>2063</v>
      </c>
      <c r="B2122" s="58" t="s">
        <v>35</v>
      </c>
      <c r="C2122" s="58" t="s">
        <v>10</v>
      </c>
      <c r="D2122" s="76" t="s">
        <v>1853</v>
      </c>
      <c r="E2122" s="76"/>
      <c r="F2122" s="76" t="s">
        <v>1666</v>
      </c>
      <c r="G2122" s="94" t="s">
        <v>1666</v>
      </c>
      <c r="H2122" s="106" t="s">
        <v>1666</v>
      </c>
      <c r="I2122" s="76"/>
      <c r="J2122" s="76"/>
      <c r="K2122" s="58" t="str">
        <f>IFERROR(VLOOKUP(L2122,'Raw material list'!$A$3:$C$715,3,0),"")</f>
        <v>DRS5-1325</v>
      </c>
      <c r="L2122" s="59" t="s">
        <v>625</v>
      </c>
      <c r="M2122" s="80" t="s">
        <v>156</v>
      </c>
      <c r="N2122" s="40" t="str">
        <f>VLOOKUP(L2122,'Raw material list'!$A$3:$E$715,5,0)</f>
        <v xml:space="preserve">Gram </v>
      </c>
      <c r="O2122" s="80">
        <v>100</v>
      </c>
      <c r="P2122" s="299">
        <f t="shared" si="343"/>
        <v>100</v>
      </c>
      <c r="Q2122" s="80">
        <v>100</v>
      </c>
      <c r="R2122" s="80">
        <v>720</v>
      </c>
      <c r="S2122" s="80"/>
      <c r="T2122" s="105">
        <f t="shared" si="342"/>
        <v>0.1388888888888889</v>
      </c>
      <c r="U2122" s="105">
        <f t="shared" si="344"/>
        <v>0.1388888888888889</v>
      </c>
      <c r="V2122" s="104">
        <f>IFERROR(VLOOKUP(L2122,'Raw material list'!$A$2:$S$3102,6,0),0)</f>
        <v>1.17E-2</v>
      </c>
      <c r="W2122" s="104">
        <f t="shared" si="345"/>
        <v>1.6250000000000001E-3</v>
      </c>
    </row>
    <row r="2123" spans="1:23" hidden="1" x14ac:dyDescent="0.55000000000000004">
      <c r="A2123" s="264" t="s">
        <v>2063</v>
      </c>
      <c r="B2123" s="58" t="s">
        <v>35</v>
      </c>
      <c r="C2123" s="58" t="s">
        <v>10</v>
      </c>
      <c r="D2123" s="76" t="s">
        <v>1853</v>
      </c>
      <c r="E2123" s="76"/>
      <c r="F2123" s="76" t="s">
        <v>1666</v>
      </c>
      <c r="G2123" s="94" t="s">
        <v>1666</v>
      </c>
      <c r="H2123" s="106" t="s">
        <v>1666</v>
      </c>
      <c r="I2123" s="76"/>
      <c r="J2123" s="76"/>
      <c r="K2123" s="58" t="str">
        <f>IFERROR(VLOOKUP(L2123,'Raw material list'!$A$3:$C$715,3,0),"")</f>
        <v>DRY2-1388</v>
      </c>
      <c r="L2123" s="59" t="s">
        <v>126</v>
      </c>
      <c r="M2123" s="80" t="s">
        <v>206</v>
      </c>
      <c r="N2123" s="40" t="str">
        <f>VLOOKUP(L2123,'Raw material list'!$A$3:$E$715,5,0)</f>
        <v>Ml</v>
      </c>
      <c r="O2123" s="80">
        <v>22000</v>
      </c>
      <c r="P2123" s="299">
        <f t="shared" si="343"/>
        <v>22000</v>
      </c>
      <c r="Q2123" s="80">
        <v>100</v>
      </c>
      <c r="R2123" s="80">
        <v>720</v>
      </c>
      <c r="S2123" s="80"/>
      <c r="T2123" s="105">
        <f t="shared" ref="T2123:T2183" si="346">IFERROR(O2123/R2123,0)</f>
        <v>30.555555555555557</v>
      </c>
      <c r="U2123" s="105">
        <f t="shared" si="344"/>
        <v>30.555555555555557</v>
      </c>
      <c r="V2123" s="104">
        <f>IFERROR(VLOOKUP(L2123,'Raw material list'!$A$2:$S$3102,6,0),0)</f>
        <v>4.2500000000000003E-3</v>
      </c>
      <c r="W2123" s="104">
        <f t="shared" si="345"/>
        <v>0.12986111111111112</v>
      </c>
    </row>
    <row r="2124" spans="1:23" hidden="1" x14ac:dyDescent="0.55000000000000004">
      <c r="A2124" s="264" t="s">
        <v>2063</v>
      </c>
      <c r="B2124" s="58" t="s">
        <v>35</v>
      </c>
      <c r="C2124" s="58" t="s">
        <v>10</v>
      </c>
      <c r="D2124" s="76" t="s">
        <v>1853</v>
      </c>
      <c r="E2124" s="76"/>
      <c r="F2124" s="76" t="s">
        <v>1666</v>
      </c>
      <c r="G2124" s="94" t="s">
        <v>1666</v>
      </c>
      <c r="H2124" s="106" t="s">
        <v>1666</v>
      </c>
      <c r="I2124" s="76"/>
      <c r="J2124" s="76"/>
      <c r="K2124" s="58" t="str">
        <f>IFERROR(VLOOKUP(L2124,'Raw material list'!$A$3:$C$715,3,0),"")</f>
        <v>DRS5-618</v>
      </c>
      <c r="L2124" s="59" t="s">
        <v>637</v>
      </c>
      <c r="M2124" s="80" t="s">
        <v>156</v>
      </c>
      <c r="N2124" s="40" t="str">
        <f>VLOOKUP(L2124,'Raw material list'!$A$3:$E$715,5,0)</f>
        <v xml:space="preserve">Gram </v>
      </c>
      <c r="O2124" s="80">
        <v>7700</v>
      </c>
      <c r="P2124" s="299">
        <f t="shared" si="343"/>
        <v>7700</v>
      </c>
      <c r="Q2124" s="80">
        <v>100</v>
      </c>
      <c r="R2124" s="80">
        <v>720</v>
      </c>
      <c r="S2124" s="80"/>
      <c r="T2124" s="105">
        <f t="shared" si="346"/>
        <v>10.694444444444445</v>
      </c>
      <c r="U2124" s="105">
        <f t="shared" si="344"/>
        <v>10.694444444444445</v>
      </c>
      <c r="V2124" s="104">
        <f>IFERROR(VLOOKUP(L2124,'Raw material list'!$A$2:$S$3102,6,0),0)</f>
        <v>1.5288888888888888E-2</v>
      </c>
      <c r="W2124" s="104">
        <f t="shared" si="345"/>
        <v>0.16350617283950616</v>
      </c>
    </row>
    <row r="2125" spans="1:23" hidden="1" x14ac:dyDescent="0.55000000000000004">
      <c r="A2125" s="264" t="s">
        <v>2063</v>
      </c>
      <c r="B2125" s="58" t="s">
        <v>35</v>
      </c>
      <c r="C2125" s="58" t="s">
        <v>10</v>
      </c>
      <c r="D2125" s="76" t="s">
        <v>1853</v>
      </c>
      <c r="E2125" s="76"/>
      <c r="F2125" s="76" t="s">
        <v>1666</v>
      </c>
      <c r="G2125" s="94" t="s">
        <v>1666</v>
      </c>
      <c r="H2125" s="106" t="s">
        <v>1666</v>
      </c>
      <c r="I2125" s="76"/>
      <c r="J2125" s="76"/>
      <c r="K2125" s="58" t="str">
        <f>IFERROR(VLOOKUP(L2125,'Raw material list'!$A$3:$C$715,3,0),"")</f>
        <v>PRD1-4390</v>
      </c>
      <c r="L2125" s="59" t="s">
        <v>987</v>
      </c>
      <c r="M2125" s="80" t="s">
        <v>156</v>
      </c>
      <c r="N2125" s="40" t="str">
        <f>VLOOKUP(L2125,'Raw material list'!$A$3:$E$715,5,0)</f>
        <v xml:space="preserve">Gram </v>
      </c>
      <c r="O2125" s="80">
        <v>7500</v>
      </c>
      <c r="P2125" s="299">
        <f t="shared" si="343"/>
        <v>7500</v>
      </c>
      <c r="Q2125" s="105">
        <v>100</v>
      </c>
      <c r="R2125" s="80">
        <v>720</v>
      </c>
      <c r="S2125" s="80"/>
      <c r="T2125" s="105">
        <f t="shared" si="346"/>
        <v>10.416666666666666</v>
      </c>
      <c r="U2125" s="105">
        <f t="shared" si="344"/>
        <v>10.416666666666666</v>
      </c>
      <c r="V2125" s="104">
        <f>IFERROR(VLOOKUP(L2125,'Raw material list'!$A$2:$S$3102,6,0),0)</f>
        <v>0.104</v>
      </c>
      <c r="W2125" s="104">
        <f t="shared" si="345"/>
        <v>1.0833333333333333</v>
      </c>
    </row>
    <row r="2126" spans="1:23" hidden="1" x14ac:dyDescent="0.55000000000000004">
      <c r="A2126" s="264" t="s">
        <v>2063</v>
      </c>
      <c r="B2126" s="58" t="s">
        <v>35</v>
      </c>
      <c r="C2126" s="58" t="s">
        <v>10</v>
      </c>
      <c r="D2126" s="76" t="s">
        <v>1853</v>
      </c>
      <c r="E2126" s="76"/>
      <c r="F2126" s="76" t="s">
        <v>1666</v>
      </c>
      <c r="G2126" s="94" t="s">
        <v>1666</v>
      </c>
      <c r="H2126" s="106" t="s">
        <v>1666</v>
      </c>
      <c r="I2126" s="76"/>
      <c r="J2126" s="76"/>
      <c r="K2126" s="58" t="str">
        <f>IFERROR(VLOOKUP(L2126,'Raw material list'!$A$3:$C$715,3,0),"")</f>
        <v>PLT1-37</v>
      </c>
      <c r="L2126" s="59" t="s">
        <v>861</v>
      </c>
      <c r="M2126" s="80" t="s">
        <v>48</v>
      </c>
      <c r="N2126" s="40" t="str">
        <f>VLOOKUP(L2126,'Raw material list'!$A$3:$E$715,5,0)</f>
        <v>Each</v>
      </c>
      <c r="O2126" s="80">
        <v>110</v>
      </c>
      <c r="P2126" s="299">
        <f t="shared" si="343"/>
        <v>110.00000000000001</v>
      </c>
      <c r="Q2126" s="303">
        <v>100</v>
      </c>
      <c r="R2126" s="80">
        <v>55</v>
      </c>
      <c r="S2126" s="80"/>
      <c r="T2126" s="105">
        <f t="shared" si="346"/>
        <v>2</v>
      </c>
      <c r="U2126" s="105">
        <f t="shared" si="344"/>
        <v>2.0000000000000004</v>
      </c>
      <c r="V2126" s="104">
        <f>IFERROR(VLOOKUP(L2126,'Raw material list'!$A$2:$S$3102,6,0),0)</f>
        <v>0.48299999999999998</v>
      </c>
      <c r="W2126" s="104">
        <f t="shared" si="345"/>
        <v>0.96600000000000019</v>
      </c>
    </row>
    <row r="2127" spans="1:23" hidden="1" x14ac:dyDescent="0.55000000000000004">
      <c r="A2127" s="264" t="s">
        <v>2063</v>
      </c>
      <c r="B2127" s="58" t="s">
        <v>35</v>
      </c>
      <c r="C2127" s="58" t="s">
        <v>10</v>
      </c>
      <c r="D2127" s="76" t="s">
        <v>1853</v>
      </c>
      <c r="E2127" s="76"/>
      <c r="F2127" s="76" t="s">
        <v>1666</v>
      </c>
      <c r="G2127" s="94" t="s">
        <v>1666</v>
      </c>
      <c r="H2127" s="106" t="s">
        <v>1666</v>
      </c>
      <c r="I2127" s="76"/>
      <c r="J2127" s="76"/>
      <c r="K2127" s="58" t="str">
        <f>IFERROR(VLOOKUP(L2127,'Raw material list'!$A$3:$C$715,3,0),"")</f>
        <v>PRD1-572</v>
      </c>
      <c r="L2127" s="59" t="s">
        <v>54</v>
      </c>
      <c r="M2127" s="80" t="s">
        <v>156</v>
      </c>
      <c r="N2127" s="40" t="str">
        <f>VLOOKUP(L2127,'Raw material list'!$A$3:$E$715,5,0)</f>
        <v xml:space="preserve">Gram </v>
      </c>
      <c r="O2127" s="80">
        <v>1000</v>
      </c>
      <c r="P2127" s="299">
        <f t="shared" si="343"/>
        <v>1133.3585190782014</v>
      </c>
      <c r="Q2127" s="105">
        <v>88.233333333333348</v>
      </c>
      <c r="R2127" s="80">
        <v>55</v>
      </c>
      <c r="S2127" s="80"/>
      <c r="T2127" s="105">
        <f t="shared" si="346"/>
        <v>18.181818181818183</v>
      </c>
      <c r="U2127" s="105">
        <f t="shared" si="344"/>
        <v>20.606518528694572</v>
      </c>
      <c r="V2127" s="104">
        <f>IFERROR(VLOOKUP(L2127,'Raw material list'!$A$2:$S$3102,6,0),0)</f>
        <v>4.5351473922902496E-3</v>
      </c>
      <c r="W2127" s="104">
        <f t="shared" si="345"/>
        <v>9.3453598769589905E-2</v>
      </c>
    </row>
    <row r="2128" spans="1:23" hidden="1" x14ac:dyDescent="0.55000000000000004">
      <c r="A2128" s="264" t="s">
        <v>2063</v>
      </c>
      <c r="B2128" s="58" t="s">
        <v>35</v>
      </c>
      <c r="C2128" s="58" t="s">
        <v>10</v>
      </c>
      <c r="D2128" s="76" t="s">
        <v>1853</v>
      </c>
      <c r="E2128" s="76"/>
      <c r="F2128" s="76" t="s">
        <v>1666</v>
      </c>
      <c r="G2128" s="94" t="s">
        <v>1666</v>
      </c>
      <c r="H2128" s="106" t="s">
        <v>1666</v>
      </c>
      <c r="I2128" s="76"/>
      <c r="J2128" s="76"/>
      <c r="K2128" s="58" t="str">
        <f>IFERROR(VLOOKUP(L2128,'Raw material list'!$A$3:$C$715,3,0),"")</f>
        <v>PRD1-4265</v>
      </c>
      <c r="L2128" s="59" t="s">
        <v>38</v>
      </c>
      <c r="M2128" s="80" t="s">
        <v>156</v>
      </c>
      <c r="N2128" s="40" t="str">
        <f>VLOOKUP(L2128,'Raw material list'!$A$3:$E$715,5,0)</f>
        <v xml:space="preserve">Gram </v>
      </c>
      <c r="O2128" s="80">
        <v>600</v>
      </c>
      <c r="P2128" s="299">
        <f t="shared" si="343"/>
        <v>705.88235294117646</v>
      </c>
      <c r="Q2128" s="105">
        <v>85</v>
      </c>
      <c r="R2128" s="80">
        <v>55</v>
      </c>
      <c r="S2128" s="80"/>
      <c r="T2128" s="105">
        <f t="shared" si="346"/>
        <v>10.909090909090908</v>
      </c>
      <c r="U2128" s="105">
        <f t="shared" si="344"/>
        <v>12.834224598930481</v>
      </c>
      <c r="V2128" s="104">
        <f>IFERROR(VLOOKUP(L2128,'Raw material list'!$A$2:$S$3102,6,0),0)</f>
        <v>3.529411764705882E-3</v>
      </c>
      <c r="W2128" s="104">
        <f t="shared" si="345"/>
        <v>4.5297263290342872E-2</v>
      </c>
    </row>
    <row r="2129" spans="1:23" hidden="1" x14ac:dyDescent="0.55000000000000004">
      <c r="A2129" s="264" t="s">
        <v>2063</v>
      </c>
      <c r="B2129" s="58" t="s">
        <v>35</v>
      </c>
      <c r="C2129" s="58" t="s">
        <v>10</v>
      </c>
      <c r="D2129" s="76" t="s">
        <v>1853</v>
      </c>
      <c r="E2129" s="76"/>
      <c r="F2129" s="76" t="s">
        <v>1666</v>
      </c>
      <c r="G2129" s="94" t="s">
        <v>1666</v>
      </c>
      <c r="H2129" s="106" t="s">
        <v>1666</v>
      </c>
      <c r="I2129" s="76"/>
      <c r="J2129" s="76"/>
      <c r="K2129" s="58" t="str">
        <f>IFERROR(VLOOKUP(L2129,'Raw material list'!$A$3:$C$715,3,0),"")</f>
        <v>PRD1-195</v>
      </c>
      <c r="L2129" s="59" t="s">
        <v>90</v>
      </c>
      <c r="M2129" s="80" t="s">
        <v>156</v>
      </c>
      <c r="N2129" s="40" t="str">
        <f>VLOOKUP(L2129,'Raw material list'!$A$3:$E$715,5,0)</f>
        <v xml:space="preserve">Gram </v>
      </c>
      <c r="O2129" s="80">
        <v>150</v>
      </c>
      <c r="P2129" s="299">
        <f t="shared" si="343"/>
        <v>351.56249999999994</v>
      </c>
      <c r="Q2129" s="105">
        <v>42.666666666666671</v>
      </c>
      <c r="R2129" s="80">
        <v>55</v>
      </c>
      <c r="S2129" s="80"/>
      <c r="T2129" s="105">
        <f t="shared" si="346"/>
        <v>2.7272727272727271</v>
      </c>
      <c r="U2129" s="105">
        <f t="shared" si="344"/>
        <v>6.3920454545454533</v>
      </c>
      <c r="V2129" s="104">
        <f>IFERROR(VLOOKUP(L2129,'Raw material list'!$A$2:$S$3102,6,0),0)</f>
        <v>9.3676814988290415E-3</v>
      </c>
      <c r="W2129" s="104">
        <f t="shared" si="345"/>
        <v>5.9878645944219711E-2</v>
      </c>
    </row>
    <row r="2130" spans="1:23" hidden="1" x14ac:dyDescent="0.55000000000000004">
      <c r="A2130" s="264" t="s">
        <v>2063</v>
      </c>
      <c r="B2130" s="58" t="s">
        <v>35</v>
      </c>
      <c r="C2130" s="58" t="s">
        <v>10</v>
      </c>
      <c r="D2130" s="76" t="s">
        <v>1853</v>
      </c>
      <c r="E2130" s="76"/>
      <c r="F2130" s="76" t="s">
        <v>1666</v>
      </c>
      <c r="G2130" s="94" t="s">
        <v>1666</v>
      </c>
      <c r="H2130" s="106" t="s">
        <v>1666</v>
      </c>
      <c r="I2130" s="76"/>
      <c r="J2130" s="76"/>
      <c r="K2130" s="58" t="str">
        <f>IFERROR(VLOOKUP(L2130,'Raw material list'!$A$3:$C$715,3,0),"")</f>
        <v>DRS1-3880</v>
      </c>
      <c r="L2130" s="59" t="s">
        <v>1433</v>
      </c>
      <c r="M2130" s="80" t="s">
        <v>156</v>
      </c>
      <c r="N2130" s="40" t="str">
        <f>VLOOKUP(L2130,'Raw material list'!$A$3:$E$715,5,0)</f>
        <v xml:space="preserve">Gram </v>
      </c>
      <c r="O2130" s="80">
        <v>15</v>
      </c>
      <c r="P2130" s="299">
        <f t="shared" si="343"/>
        <v>15</v>
      </c>
      <c r="Q2130" s="303">
        <v>100</v>
      </c>
      <c r="R2130" s="80">
        <v>55</v>
      </c>
      <c r="S2130" s="80"/>
      <c r="T2130" s="105">
        <f t="shared" si="346"/>
        <v>0.27272727272727271</v>
      </c>
      <c r="U2130" s="105">
        <f t="shared" si="344"/>
        <v>0.27272727272727271</v>
      </c>
      <c r="V2130" s="104">
        <f>IFERROR(VLOOKUP(L2130,'Raw material list'!$A$2:$S$3102,6,0),0)</f>
        <v>5.0000000000000001E-4</v>
      </c>
      <c r="W2130" s="104">
        <f t="shared" si="345"/>
        <v>1.3636363636363637E-4</v>
      </c>
    </row>
    <row r="2131" spans="1:23" hidden="1" x14ac:dyDescent="0.55000000000000004">
      <c r="A2131" s="264" t="s">
        <v>2063</v>
      </c>
      <c r="B2131" s="58" t="s">
        <v>35</v>
      </c>
      <c r="C2131" s="58" t="s">
        <v>10</v>
      </c>
      <c r="D2131" s="76" t="s">
        <v>1853</v>
      </c>
      <c r="E2131" s="76"/>
      <c r="F2131" s="76" t="s">
        <v>1666</v>
      </c>
      <c r="G2131" s="94" t="s">
        <v>1666</v>
      </c>
      <c r="H2131" s="106" t="s">
        <v>1666</v>
      </c>
      <c r="I2131" s="76"/>
      <c r="J2131" s="76"/>
      <c r="K2131" s="58" t="str">
        <f>IFERROR(VLOOKUP(L2131,'Raw material list'!$A$3:$C$715,3,0),"")</f>
        <v>DRS6-537</v>
      </c>
      <c r="L2131" s="59" t="s">
        <v>46</v>
      </c>
      <c r="M2131" s="80" t="s">
        <v>156</v>
      </c>
      <c r="N2131" s="40" t="str">
        <f>VLOOKUP(L2131,'Raw material list'!$A$3:$E$715,5,0)</f>
        <v xml:space="preserve">Gram </v>
      </c>
      <c r="O2131" s="80">
        <v>5</v>
      </c>
      <c r="P2131" s="299">
        <f t="shared" si="343"/>
        <v>5</v>
      </c>
      <c r="Q2131" s="80">
        <v>100</v>
      </c>
      <c r="R2131" s="80">
        <v>55</v>
      </c>
      <c r="S2131" s="80"/>
      <c r="T2131" s="105">
        <f t="shared" si="346"/>
        <v>9.0909090909090912E-2</v>
      </c>
      <c r="U2131" s="105">
        <f t="shared" si="344"/>
        <v>9.0909090909090912E-2</v>
      </c>
      <c r="V2131" s="104">
        <f>IFERROR(VLOOKUP(L2131,'Raw material list'!$A$2:$S$3102,6,0),0)</f>
        <v>3.5000000000000003E-2</v>
      </c>
      <c r="W2131" s="104">
        <f t="shared" si="345"/>
        <v>3.1818181818181824E-3</v>
      </c>
    </row>
    <row r="2132" spans="1:23" hidden="1" x14ac:dyDescent="0.55000000000000004">
      <c r="A2132" s="264" t="s">
        <v>2063</v>
      </c>
      <c r="B2132" s="58" t="s">
        <v>35</v>
      </c>
      <c r="C2132" s="58" t="s">
        <v>10</v>
      </c>
      <c r="D2132" s="76" t="s">
        <v>1853</v>
      </c>
      <c r="E2132" s="76"/>
      <c r="F2132" s="76" t="s">
        <v>1666</v>
      </c>
      <c r="G2132" s="94" t="s">
        <v>1666</v>
      </c>
      <c r="H2132" s="106" t="s">
        <v>1666</v>
      </c>
      <c r="I2132" s="76"/>
      <c r="J2132" s="76"/>
      <c r="K2132" s="58" t="str">
        <f>IFERROR(VLOOKUP(L2132,'Raw material list'!$A$3:$C$715,3,0),"")</f>
        <v>DRS6-266</v>
      </c>
      <c r="L2132" s="59" t="s">
        <v>99</v>
      </c>
      <c r="M2132" s="80" t="s">
        <v>156</v>
      </c>
      <c r="N2132" s="40" t="str">
        <f>VLOOKUP(L2132,'Raw material list'!$A$3:$E$715,5,0)</f>
        <v xml:space="preserve">Gram </v>
      </c>
      <c r="O2132" s="80">
        <v>10</v>
      </c>
      <c r="P2132" s="299">
        <f t="shared" si="343"/>
        <v>10</v>
      </c>
      <c r="Q2132" s="80">
        <v>100</v>
      </c>
      <c r="R2132" s="80">
        <v>55</v>
      </c>
      <c r="S2132" s="80"/>
      <c r="T2132" s="105">
        <f t="shared" si="346"/>
        <v>0.18181818181818182</v>
      </c>
      <c r="U2132" s="105">
        <f t="shared" si="344"/>
        <v>0.18181818181818182</v>
      </c>
      <c r="V2132" s="104">
        <f>IFERROR(VLOOKUP(L2132,'Raw material list'!$A$2:$S$3102,6,0),0)</f>
        <v>1.4E-2</v>
      </c>
      <c r="W2132" s="104">
        <f t="shared" si="345"/>
        <v>2.5454545454545456E-3</v>
      </c>
    </row>
    <row r="2133" spans="1:23" hidden="1" x14ac:dyDescent="0.55000000000000004">
      <c r="A2133" s="264" t="s">
        <v>2063</v>
      </c>
      <c r="B2133" s="58" t="s">
        <v>35</v>
      </c>
      <c r="C2133" s="58" t="s">
        <v>10</v>
      </c>
      <c r="D2133" s="76" t="s">
        <v>1853</v>
      </c>
      <c r="E2133" s="76"/>
      <c r="F2133" s="76" t="s">
        <v>1666</v>
      </c>
      <c r="G2133" s="94" t="s">
        <v>1666</v>
      </c>
      <c r="H2133" s="106" t="s">
        <v>1666</v>
      </c>
      <c r="I2133" s="76"/>
      <c r="J2133" s="76"/>
      <c r="K2133" s="58" t="str">
        <f>IFERROR(VLOOKUP(L2133,'Raw material list'!$A$3:$C$715,3,0),"")</f>
        <v>DRS1-1747</v>
      </c>
      <c r="L2133" s="59" t="s">
        <v>44</v>
      </c>
      <c r="M2133" s="80" t="s">
        <v>156</v>
      </c>
      <c r="N2133" s="40" t="str">
        <f>VLOOKUP(L2133,'Raw material list'!$A$3:$E$715,5,0)</f>
        <v xml:space="preserve">Gram </v>
      </c>
      <c r="O2133" s="80">
        <v>150</v>
      </c>
      <c r="P2133" s="299">
        <f t="shared" si="343"/>
        <v>150</v>
      </c>
      <c r="Q2133" s="80">
        <v>100</v>
      </c>
      <c r="R2133" s="80">
        <v>55</v>
      </c>
      <c r="S2133" s="80"/>
      <c r="T2133" s="105">
        <f t="shared" si="346"/>
        <v>2.7272727272727271</v>
      </c>
      <c r="U2133" s="105">
        <f t="shared" si="344"/>
        <v>2.7272727272727271</v>
      </c>
      <c r="V2133" s="104">
        <f>IFERROR(VLOOKUP(L2133,'Raw material list'!$A$2:$S$3102,6,0),0)</f>
        <v>5.185185185185185E-3</v>
      </c>
      <c r="W2133" s="104">
        <f t="shared" si="345"/>
        <v>1.4141414141414141E-2</v>
      </c>
    </row>
    <row r="2134" spans="1:23" hidden="1" x14ac:dyDescent="0.55000000000000004">
      <c r="A2134" s="264" t="s">
        <v>2063</v>
      </c>
      <c r="B2134" s="58" t="s">
        <v>35</v>
      </c>
      <c r="C2134" s="58" t="s">
        <v>10</v>
      </c>
      <c r="D2134" s="76" t="s">
        <v>1853</v>
      </c>
      <c r="E2134" s="76"/>
      <c r="F2134" s="76" t="s">
        <v>1666</v>
      </c>
      <c r="G2134" s="94" t="s">
        <v>1666</v>
      </c>
      <c r="H2134" s="106" t="s">
        <v>1666</v>
      </c>
      <c r="I2134" s="76"/>
      <c r="J2134" s="76"/>
      <c r="K2134" s="58" t="str">
        <f>IFERROR(VLOOKUP(L2134,'Raw material list'!$A$3:$C$715,3,0),"")</f>
        <v>DRS3-1615</v>
      </c>
      <c r="L2134" s="59" t="s">
        <v>50</v>
      </c>
      <c r="M2134" s="80" t="s">
        <v>206</v>
      </c>
      <c r="N2134" s="40" t="str">
        <f>VLOOKUP(L2134,'Raw material list'!$A$3:$E$715,5,0)</f>
        <v>Ml</v>
      </c>
      <c r="O2134" s="80">
        <v>150</v>
      </c>
      <c r="P2134" s="299">
        <f t="shared" si="343"/>
        <v>150</v>
      </c>
      <c r="Q2134" s="80">
        <v>100</v>
      </c>
      <c r="R2134" s="80">
        <v>55</v>
      </c>
      <c r="S2134" s="80"/>
      <c r="T2134" s="105">
        <f t="shared" si="346"/>
        <v>2.7272727272727271</v>
      </c>
      <c r="U2134" s="105">
        <f t="shared" si="344"/>
        <v>2.7272727272727271</v>
      </c>
      <c r="V2134" s="104">
        <f>IFERROR(VLOOKUP(L2134,'Raw material list'!$A$2:$S$3102,6,0),0)</f>
        <v>1.2E-2</v>
      </c>
      <c r="W2134" s="104">
        <f t="shared" si="345"/>
        <v>3.2727272727272723E-2</v>
      </c>
    </row>
    <row r="2135" spans="1:23" hidden="1" x14ac:dyDescent="0.55000000000000004">
      <c r="A2135" s="264" t="s">
        <v>2064</v>
      </c>
      <c r="B2135" s="58" t="s">
        <v>35</v>
      </c>
      <c r="C2135" s="58" t="s">
        <v>10</v>
      </c>
      <c r="D2135" s="76" t="s">
        <v>1855</v>
      </c>
      <c r="E2135" s="76"/>
      <c r="F2135" s="76" t="s">
        <v>1666</v>
      </c>
      <c r="G2135" s="94" t="s">
        <v>1666</v>
      </c>
      <c r="H2135" s="106" t="s">
        <v>1666</v>
      </c>
      <c r="I2135" s="76"/>
      <c r="J2135" s="76"/>
      <c r="K2135" s="58" t="str">
        <f>IFERROR(VLOOKUP(L2135,'Raw material list'!$A$3:$C$715,3,0),"")</f>
        <v>DRY2-3401</v>
      </c>
      <c r="L2135" s="59" t="s">
        <v>422</v>
      </c>
      <c r="M2135" s="80" t="s">
        <v>156</v>
      </c>
      <c r="N2135" s="40" t="str">
        <f>VLOOKUP(L2135,'Raw material list'!$A$3:$E$715,5,0)</f>
        <v xml:space="preserve">Gram </v>
      </c>
      <c r="O2135" s="80">
        <v>100</v>
      </c>
      <c r="P2135" s="299">
        <f t="shared" si="343"/>
        <v>100</v>
      </c>
      <c r="Q2135" s="80">
        <v>100</v>
      </c>
      <c r="R2135" s="80">
        <v>1</v>
      </c>
      <c r="S2135" s="80"/>
      <c r="T2135" s="105">
        <f t="shared" si="346"/>
        <v>100</v>
      </c>
      <c r="U2135" s="105">
        <f t="shared" si="344"/>
        <v>100</v>
      </c>
      <c r="V2135" s="104">
        <f>IFERROR(VLOOKUP(L2135,'Raw material list'!$A$2:$S$3102,6,0),0)</f>
        <v>1.2272727272727272E-2</v>
      </c>
      <c r="W2135" s="104">
        <f t="shared" si="345"/>
        <v>1.2272727272727273</v>
      </c>
    </row>
    <row r="2136" spans="1:23" hidden="1" x14ac:dyDescent="0.55000000000000004">
      <c r="A2136" s="264" t="s">
        <v>2064</v>
      </c>
      <c r="B2136" s="58" t="s">
        <v>35</v>
      </c>
      <c r="C2136" s="58" t="s">
        <v>10</v>
      </c>
      <c r="D2136" s="76" t="s">
        <v>1855</v>
      </c>
      <c r="E2136" s="76"/>
      <c r="F2136" s="76" t="s">
        <v>1666</v>
      </c>
      <c r="G2136" s="94" t="s">
        <v>1666</v>
      </c>
      <c r="H2136" s="106" t="s">
        <v>1666</v>
      </c>
      <c r="I2136" s="76"/>
      <c r="J2136" s="76"/>
      <c r="K2136" s="58" t="str">
        <f>IFERROR(VLOOKUP(L2136,'Raw material list'!$A$3:$C$715,3,0),"")</f>
        <v>DRS3-1615</v>
      </c>
      <c r="L2136" s="59" t="s">
        <v>50</v>
      </c>
      <c r="M2136" s="80" t="s">
        <v>206</v>
      </c>
      <c r="N2136" s="40" t="str">
        <f>VLOOKUP(L2136,'Raw material list'!$A$3:$E$715,5,0)</f>
        <v>Ml</v>
      </c>
      <c r="O2136" s="80">
        <v>5</v>
      </c>
      <c r="P2136" s="299">
        <f t="shared" si="343"/>
        <v>5</v>
      </c>
      <c r="Q2136" s="80">
        <v>100</v>
      </c>
      <c r="R2136" s="80">
        <v>1</v>
      </c>
      <c r="S2136" s="80"/>
      <c r="T2136" s="105">
        <f t="shared" si="346"/>
        <v>5</v>
      </c>
      <c r="U2136" s="105">
        <f t="shared" si="344"/>
        <v>5</v>
      </c>
      <c r="V2136" s="104">
        <f>IFERROR(VLOOKUP(L2136,'Raw material list'!$A$2:$S$3102,6,0),0)</f>
        <v>1.2E-2</v>
      </c>
      <c r="W2136" s="104">
        <f t="shared" si="345"/>
        <v>0.06</v>
      </c>
    </row>
    <row r="2137" spans="1:23" hidden="1" x14ac:dyDescent="0.55000000000000004">
      <c r="A2137" s="264" t="s">
        <v>2064</v>
      </c>
      <c r="B2137" s="58" t="s">
        <v>35</v>
      </c>
      <c r="C2137" s="58" t="s">
        <v>10</v>
      </c>
      <c r="D2137" s="76" t="s">
        <v>1855</v>
      </c>
      <c r="E2137" s="76"/>
      <c r="F2137" s="76" t="s">
        <v>1666</v>
      </c>
      <c r="G2137" s="94" t="s">
        <v>1666</v>
      </c>
      <c r="H2137" s="106" t="s">
        <v>1666</v>
      </c>
      <c r="I2137" s="76"/>
      <c r="J2137" s="76"/>
      <c r="K2137" s="58" t="str">
        <f>IFERROR(VLOOKUP(L2137,'Raw material list'!$A$3:$C$715,3,0),"")</f>
        <v>DRS6-1570</v>
      </c>
      <c r="L2137" s="59" t="s">
        <v>51</v>
      </c>
      <c r="M2137" s="80" t="s">
        <v>156</v>
      </c>
      <c r="N2137" s="40" t="str">
        <f>VLOOKUP(L2137,'Raw material list'!$A$3:$E$715,5,0)</f>
        <v xml:space="preserve">Gram </v>
      </c>
      <c r="O2137" s="80">
        <v>0.25</v>
      </c>
      <c r="P2137" s="299">
        <f t="shared" si="343"/>
        <v>0.25</v>
      </c>
      <c r="Q2137" s="80">
        <v>100</v>
      </c>
      <c r="R2137" s="80">
        <v>1</v>
      </c>
      <c r="S2137" s="80"/>
      <c r="T2137" s="105">
        <f t="shared" si="346"/>
        <v>0.25</v>
      </c>
      <c r="U2137" s="105">
        <f t="shared" si="344"/>
        <v>0.25</v>
      </c>
      <c r="V2137" s="104">
        <f>IFERROR(VLOOKUP(L2137,'Raw material list'!$A$2:$S$3102,6,0),0)</f>
        <v>9.3526666666666654E-3</v>
      </c>
      <c r="W2137" s="104">
        <f t="shared" si="345"/>
        <v>2.3381666666666663E-3</v>
      </c>
    </row>
    <row r="2138" spans="1:23" hidden="1" x14ac:dyDescent="0.55000000000000004">
      <c r="A2138" s="264" t="s">
        <v>2064</v>
      </c>
      <c r="B2138" s="58" t="s">
        <v>35</v>
      </c>
      <c r="C2138" s="58" t="s">
        <v>10</v>
      </c>
      <c r="D2138" s="76" t="s">
        <v>1855</v>
      </c>
      <c r="E2138" s="76"/>
      <c r="F2138" s="76" t="s">
        <v>1666</v>
      </c>
      <c r="G2138" s="94" t="s">
        <v>1666</v>
      </c>
      <c r="H2138" s="106" t="s">
        <v>1666</v>
      </c>
      <c r="I2138" s="76"/>
      <c r="J2138" s="76"/>
      <c r="K2138" s="58" t="str">
        <f>IFERROR(VLOOKUP(L2138,'Raw material list'!$A$3:$C$715,3,0),"")</f>
        <v>DRS1-824</v>
      </c>
      <c r="L2138" s="59" t="s">
        <v>234</v>
      </c>
      <c r="M2138" s="80" t="s">
        <v>156</v>
      </c>
      <c r="N2138" s="40" t="str">
        <f>VLOOKUP(L2138,'Raw material list'!$A$3:$E$715,5,0)</f>
        <v xml:space="preserve">Gram </v>
      </c>
      <c r="O2138" s="80">
        <v>200</v>
      </c>
      <c r="P2138" s="299">
        <f t="shared" si="343"/>
        <v>200</v>
      </c>
      <c r="Q2138" s="80">
        <v>100</v>
      </c>
      <c r="R2138" s="80">
        <v>15</v>
      </c>
      <c r="S2138" s="80"/>
      <c r="T2138" s="105">
        <f t="shared" si="346"/>
        <v>13.333333333333334</v>
      </c>
      <c r="U2138" s="105">
        <f t="shared" si="344"/>
        <v>13.333333333333334</v>
      </c>
      <c r="V2138" s="104">
        <f>IFERROR(VLOOKUP(L2138,'Raw material list'!$A$2:$S$3102,6,0),0)</f>
        <v>1.2919999999999999E-2</v>
      </c>
      <c r="W2138" s="104">
        <f t="shared" si="345"/>
        <v>0.17226666666666665</v>
      </c>
    </row>
    <row r="2139" spans="1:23" hidden="1" x14ac:dyDescent="0.55000000000000004">
      <c r="A2139" s="264" t="s">
        <v>2064</v>
      </c>
      <c r="B2139" s="58" t="s">
        <v>35</v>
      </c>
      <c r="C2139" s="58" t="s">
        <v>10</v>
      </c>
      <c r="D2139" s="76" t="s">
        <v>1855</v>
      </c>
      <c r="E2139" s="76"/>
      <c r="F2139" s="76" t="s">
        <v>1666</v>
      </c>
      <c r="G2139" s="94" t="s">
        <v>1666</v>
      </c>
      <c r="H2139" s="106" t="s">
        <v>1666</v>
      </c>
      <c r="I2139" s="76"/>
      <c r="J2139" s="76"/>
      <c r="K2139" s="58" t="str">
        <f>IFERROR(VLOOKUP(L2139,'Raw material list'!$A$3:$C$715,3,0),"")</f>
        <v>DRY2-1388</v>
      </c>
      <c r="L2139" s="59" t="s">
        <v>126</v>
      </c>
      <c r="M2139" s="80" t="s">
        <v>206</v>
      </c>
      <c r="N2139" s="40" t="str">
        <f>VLOOKUP(L2139,'Raw material list'!$A$3:$E$715,5,0)</f>
        <v>Ml</v>
      </c>
      <c r="O2139" s="80">
        <v>3000</v>
      </c>
      <c r="P2139" s="299">
        <f t="shared" si="343"/>
        <v>3000</v>
      </c>
      <c r="Q2139" s="80">
        <v>100</v>
      </c>
      <c r="R2139" s="80">
        <v>15</v>
      </c>
      <c r="S2139" s="80"/>
      <c r="T2139" s="105">
        <f t="shared" si="346"/>
        <v>200</v>
      </c>
      <c r="U2139" s="105">
        <f t="shared" si="344"/>
        <v>200</v>
      </c>
      <c r="V2139" s="104">
        <f>IFERROR(VLOOKUP(L2139,'Raw material list'!$A$2:$S$3102,6,0),0)</f>
        <v>4.2500000000000003E-3</v>
      </c>
      <c r="W2139" s="104">
        <f t="shared" si="345"/>
        <v>0.85000000000000009</v>
      </c>
    </row>
    <row r="2140" spans="1:23" hidden="1" x14ac:dyDescent="0.55000000000000004">
      <c r="A2140" s="264" t="s">
        <v>2064</v>
      </c>
      <c r="B2140" s="58" t="s">
        <v>35</v>
      </c>
      <c r="C2140" s="58" t="s">
        <v>10</v>
      </c>
      <c r="D2140" s="76" t="s">
        <v>1855</v>
      </c>
      <c r="E2140" s="76"/>
      <c r="F2140" s="76" t="s">
        <v>1666</v>
      </c>
      <c r="G2140" s="94" t="s">
        <v>1666</v>
      </c>
      <c r="H2140" s="106" t="s">
        <v>1666</v>
      </c>
      <c r="I2140" s="76"/>
      <c r="J2140" s="76"/>
      <c r="K2140" s="58" t="str">
        <f>IFERROR(VLOOKUP(L2140,'Raw material list'!$A$3:$C$715,3,0),"")</f>
        <v>DRS1-1823</v>
      </c>
      <c r="L2140" s="59" t="s">
        <v>619</v>
      </c>
      <c r="M2140" s="80" t="s">
        <v>156</v>
      </c>
      <c r="N2140" s="40" t="str">
        <f>VLOOKUP(L2140,'Raw material list'!$A$3:$E$715,5,0)</f>
        <v xml:space="preserve">Gram </v>
      </c>
      <c r="O2140" s="80">
        <v>2</v>
      </c>
      <c r="P2140" s="299">
        <f t="shared" si="343"/>
        <v>2</v>
      </c>
      <c r="Q2140" s="80">
        <v>100</v>
      </c>
      <c r="R2140" s="80">
        <v>15</v>
      </c>
      <c r="S2140" s="80"/>
      <c r="T2140" s="105">
        <f t="shared" si="346"/>
        <v>0.13333333333333333</v>
      </c>
      <c r="U2140" s="105">
        <f t="shared" si="344"/>
        <v>0.13333333333333333</v>
      </c>
      <c r="V2140" s="104">
        <f>IFERROR(VLOOKUP(L2140,'Raw material list'!$A$2:$S$3102,6,0),0)</f>
        <v>4.9000000000000002E-2</v>
      </c>
      <c r="W2140" s="104">
        <f t="shared" si="345"/>
        <v>6.5333333333333337E-3</v>
      </c>
    </row>
    <row r="2141" spans="1:23" hidden="1" x14ac:dyDescent="0.55000000000000004">
      <c r="A2141" s="264" t="s">
        <v>2064</v>
      </c>
      <c r="B2141" s="58" t="s">
        <v>35</v>
      </c>
      <c r="C2141" s="58" t="s">
        <v>10</v>
      </c>
      <c r="D2141" s="76" t="s">
        <v>1855</v>
      </c>
      <c r="E2141" s="76"/>
      <c r="F2141" s="76" t="s">
        <v>1666</v>
      </c>
      <c r="G2141" s="94" t="s">
        <v>1666</v>
      </c>
      <c r="H2141" s="106" t="s">
        <v>1666</v>
      </c>
      <c r="I2141" s="76"/>
      <c r="J2141" s="76"/>
      <c r="K2141" s="58" t="str">
        <f>IFERROR(VLOOKUP(L2141,'Raw material list'!$A$3:$C$715,3,0),"")</f>
        <v>DRS1-978</v>
      </c>
      <c r="L2141" s="59" t="s">
        <v>56</v>
      </c>
      <c r="M2141" s="80" t="s">
        <v>156</v>
      </c>
      <c r="N2141" s="40" t="str">
        <f>VLOOKUP(L2141,'Raw material list'!$A$3:$E$715,5,0)</f>
        <v xml:space="preserve">Gram </v>
      </c>
      <c r="O2141" s="80">
        <v>70</v>
      </c>
      <c r="P2141" s="299">
        <f t="shared" si="343"/>
        <v>70</v>
      </c>
      <c r="Q2141" s="80">
        <v>100</v>
      </c>
      <c r="R2141" s="80">
        <v>15</v>
      </c>
      <c r="S2141" s="80"/>
      <c r="T2141" s="105">
        <f t="shared" si="346"/>
        <v>4.666666666666667</v>
      </c>
      <c r="U2141" s="105">
        <f t="shared" si="344"/>
        <v>4.666666666666667</v>
      </c>
      <c r="V2141" s="104">
        <f>IFERROR(VLOOKUP(L2141,'Raw material list'!$A$2:$S$3102,6,0),0)</f>
        <v>2.3999999999999998E-3</v>
      </c>
      <c r="W2141" s="104">
        <f t="shared" si="345"/>
        <v>1.12E-2</v>
      </c>
    </row>
    <row r="2142" spans="1:23" hidden="1" x14ac:dyDescent="0.55000000000000004">
      <c r="A2142" s="264" t="s">
        <v>2064</v>
      </c>
      <c r="B2142" s="58" t="s">
        <v>35</v>
      </c>
      <c r="C2142" s="58" t="s">
        <v>10</v>
      </c>
      <c r="D2142" s="76" t="s">
        <v>1855</v>
      </c>
      <c r="E2142" s="76"/>
      <c r="F2142" s="76" t="s">
        <v>1666</v>
      </c>
      <c r="G2142" s="94" t="s">
        <v>1666</v>
      </c>
      <c r="H2142" s="106" t="s">
        <v>1666</v>
      </c>
      <c r="I2142" s="76"/>
      <c r="J2142" s="76"/>
      <c r="K2142" s="58" t="str">
        <f>IFERROR(VLOOKUP(L2142,'Raw material list'!$A$3:$C$715,3,0),"")</f>
        <v>DRS5-21</v>
      </c>
      <c r="L2142" s="59" t="s">
        <v>55</v>
      </c>
      <c r="M2142" s="80" t="s">
        <v>156</v>
      </c>
      <c r="N2142" s="40" t="str">
        <f>VLOOKUP(L2142,'Raw material list'!$A$3:$E$715,5,0)</f>
        <v xml:space="preserve">Gram </v>
      </c>
      <c r="O2142" s="80">
        <v>20</v>
      </c>
      <c r="P2142" s="299">
        <f t="shared" si="343"/>
        <v>20</v>
      </c>
      <c r="Q2142" s="80">
        <v>100</v>
      </c>
      <c r="R2142" s="80">
        <v>15</v>
      </c>
      <c r="S2142" s="80"/>
      <c r="T2142" s="105">
        <f t="shared" si="346"/>
        <v>1.3333333333333333</v>
      </c>
      <c r="U2142" s="105">
        <f t="shared" si="344"/>
        <v>1.3333333333333333</v>
      </c>
      <c r="V2142" s="104">
        <f>IFERROR(VLOOKUP(L2142,'Raw material list'!$A$2:$S$3102,6,0),0)</f>
        <v>2.0799999999999998E-3</v>
      </c>
      <c r="W2142" s="104">
        <f t="shared" si="345"/>
        <v>2.7733333333333329E-3</v>
      </c>
    </row>
    <row r="2143" spans="1:23" hidden="1" x14ac:dyDescent="0.55000000000000004">
      <c r="A2143" s="264" t="s">
        <v>2064</v>
      </c>
      <c r="B2143" s="58" t="s">
        <v>35</v>
      </c>
      <c r="C2143" s="58" t="s">
        <v>10</v>
      </c>
      <c r="D2143" s="76" t="s">
        <v>1855</v>
      </c>
      <c r="E2143" s="76"/>
      <c r="F2143" s="76" t="s">
        <v>1666</v>
      </c>
      <c r="G2143" s="94" t="s">
        <v>1666</v>
      </c>
      <c r="H2143" s="106" t="s">
        <v>1666</v>
      </c>
      <c r="I2143" s="76"/>
      <c r="J2143" s="76"/>
      <c r="K2143" s="58" t="str">
        <f>IFERROR(VLOOKUP(L2143,'Raw material list'!$A$3:$C$715,3,0),"")</f>
        <v>PRD3-1661</v>
      </c>
      <c r="L2143" s="59" t="s">
        <v>957</v>
      </c>
      <c r="M2143" s="80" t="s">
        <v>156</v>
      </c>
      <c r="N2143" s="40" t="str">
        <f>VLOOKUP(L2143,'Raw material list'!$A$3:$E$715,5,0)</f>
        <v xml:space="preserve">Gram </v>
      </c>
      <c r="O2143" s="80">
        <v>100</v>
      </c>
      <c r="P2143" s="299">
        <f t="shared" si="343"/>
        <v>100</v>
      </c>
      <c r="Q2143" s="80">
        <v>100</v>
      </c>
      <c r="R2143" s="80">
        <v>15</v>
      </c>
      <c r="S2143" s="80"/>
      <c r="T2143" s="105">
        <f t="shared" si="346"/>
        <v>6.666666666666667</v>
      </c>
      <c r="U2143" s="105">
        <f t="shared" si="344"/>
        <v>6.666666666666667</v>
      </c>
      <c r="V2143" s="104">
        <f>IFERROR(VLOOKUP(L2143,'Raw material list'!$A$2:$S$3102,6,0),0)</f>
        <v>3.9E-2</v>
      </c>
      <c r="W2143" s="104">
        <f t="shared" si="345"/>
        <v>0.26</v>
      </c>
    </row>
    <row r="2144" spans="1:23" hidden="1" x14ac:dyDescent="0.55000000000000004">
      <c r="A2144" s="264" t="s">
        <v>2065</v>
      </c>
      <c r="B2144" s="58" t="s">
        <v>35</v>
      </c>
      <c r="C2144" s="58" t="s">
        <v>10</v>
      </c>
      <c r="D2144" s="76" t="s">
        <v>2043</v>
      </c>
      <c r="E2144" s="76"/>
      <c r="F2144" s="76" t="s">
        <v>1666</v>
      </c>
      <c r="G2144" s="94" t="s">
        <v>1666</v>
      </c>
      <c r="H2144" s="106" t="s">
        <v>1666</v>
      </c>
      <c r="I2144" s="76"/>
      <c r="J2144" s="76"/>
      <c r="K2144" s="58" t="str">
        <f>IFERROR(VLOOKUP(L2144,'Raw material list'!$A$3:$C$715,3,0),"")</f>
        <v>DRS1-444</v>
      </c>
      <c r="L2144" s="59" t="s">
        <v>224</v>
      </c>
      <c r="M2144" s="80" t="s">
        <v>156</v>
      </c>
      <c r="N2144" s="40" t="str">
        <f>VLOOKUP(L2144,'Raw material list'!$A$3:$E$715,5,0)</f>
        <v xml:space="preserve">Gram </v>
      </c>
      <c r="O2144" s="80">
        <v>2350</v>
      </c>
      <c r="P2144" s="299">
        <f t="shared" si="343"/>
        <v>2350</v>
      </c>
      <c r="Q2144" s="80">
        <v>100</v>
      </c>
      <c r="R2144" s="80">
        <v>30</v>
      </c>
      <c r="S2144" s="80"/>
      <c r="T2144" s="105">
        <f t="shared" si="346"/>
        <v>78.333333333333329</v>
      </c>
      <c r="U2144" s="105">
        <f t="shared" si="344"/>
        <v>78.333333333333329</v>
      </c>
      <c r="V2144" s="104">
        <f>IFERROR(VLOOKUP(L2144,'Raw material list'!$A$2:$S$3102,6,0),0)</f>
        <v>8.8999999999999999E-3</v>
      </c>
      <c r="W2144" s="104">
        <f t="shared" si="345"/>
        <v>0.6971666666666666</v>
      </c>
    </row>
    <row r="2145" spans="1:23" hidden="1" x14ac:dyDescent="0.55000000000000004">
      <c r="A2145" s="264" t="s">
        <v>2065</v>
      </c>
      <c r="B2145" s="58" t="s">
        <v>35</v>
      </c>
      <c r="C2145" s="58" t="s">
        <v>10</v>
      </c>
      <c r="D2145" s="76" t="s">
        <v>2043</v>
      </c>
      <c r="E2145" s="76"/>
      <c r="F2145" s="76" t="s">
        <v>1666</v>
      </c>
      <c r="G2145" s="94" t="s">
        <v>1666</v>
      </c>
      <c r="H2145" s="106" t="s">
        <v>1666</v>
      </c>
      <c r="I2145" s="76"/>
      <c r="J2145" s="76"/>
      <c r="K2145" s="58" t="str">
        <f>IFERROR(VLOOKUP(L2145,'Raw material list'!$A$3:$C$715,3,0),"")</f>
        <v>PRD1-572</v>
      </c>
      <c r="L2145" s="59" t="s">
        <v>54</v>
      </c>
      <c r="M2145" s="80" t="s">
        <v>156</v>
      </c>
      <c r="N2145" s="40" t="str">
        <f>VLOOKUP(L2145,'Raw material list'!$A$3:$E$715,5,0)</f>
        <v xml:space="preserve">Gram </v>
      </c>
      <c r="O2145" s="80">
        <v>200</v>
      </c>
      <c r="P2145" s="299">
        <f t="shared" si="343"/>
        <v>226.67170381564031</v>
      </c>
      <c r="Q2145" s="105">
        <v>88.233333333333348</v>
      </c>
      <c r="R2145" s="80">
        <v>30</v>
      </c>
      <c r="S2145" s="80"/>
      <c r="T2145" s="105">
        <f t="shared" si="346"/>
        <v>6.666666666666667</v>
      </c>
      <c r="U2145" s="105">
        <f t="shared" si="344"/>
        <v>7.5557234605213441</v>
      </c>
      <c r="V2145" s="104">
        <f>IFERROR(VLOOKUP(L2145,'Raw material list'!$A$2:$S$3102,6,0),0)</f>
        <v>4.5351473922902496E-3</v>
      </c>
      <c r="W2145" s="104">
        <f t="shared" si="345"/>
        <v>3.4266319548849636E-2</v>
      </c>
    </row>
    <row r="2146" spans="1:23" hidden="1" x14ac:dyDescent="0.55000000000000004">
      <c r="A2146" s="264" t="s">
        <v>2065</v>
      </c>
      <c r="B2146" s="58" t="s">
        <v>35</v>
      </c>
      <c r="C2146" s="58" t="s">
        <v>10</v>
      </c>
      <c r="D2146" s="76" t="s">
        <v>2043</v>
      </c>
      <c r="E2146" s="76"/>
      <c r="F2146" s="76" t="s">
        <v>1666</v>
      </c>
      <c r="G2146" s="94" t="s">
        <v>1666</v>
      </c>
      <c r="H2146" s="106" t="s">
        <v>1666</v>
      </c>
      <c r="I2146" s="76"/>
      <c r="J2146" s="76"/>
      <c r="K2146" s="58" t="str">
        <f>IFERROR(VLOOKUP(L2146,'Raw material list'!$A$3:$C$715,3,0),"")</f>
        <v>PRD1-4265</v>
      </c>
      <c r="L2146" s="59" t="s">
        <v>38</v>
      </c>
      <c r="M2146" s="80" t="s">
        <v>156</v>
      </c>
      <c r="N2146" s="40" t="str">
        <f>VLOOKUP(L2146,'Raw material list'!$A$3:$E$715,5,0)</f>
        <v xml:space="preserve">Gram </v>
      </c>
      <c r="O2146" s="80">
        <v>125</v>
      </c>
      <c r="P2146" s="299">
        <f t="shared" si="343"/>
        <v>147.05882352941177</v>
      </c>
      <c r="Q2146" s="105">
        <v>85</v>
      </c>
      <c r="R2146" s="80">
        <v>30</v>
      </c>
      <c r="S2146" s="80"/>
      <c r="T2146" s="105">
        <f t="shared" si="346"/>
        <v>4.166666666666667</v>
      </c>
      <c r="U2146" s="105">
        <f t="shared" si="344"/>
        <v>4.9019607843137258</v>
      </c>
      <c r="V2146" s="104">
        <f>IFERROR(VLOOKUP(L2146,'Raw material list'!$A$2:$S$3102,6,0),0)</f>
        <v>3.529411764705882E-3</v>
      </c>
      <c r="W2146" s="104">
        <f t="shared" si="345"/>
        <v>1.7301038062283738E-2</v>
      </c>
    </row>
    <row r="2147" spans="1:23" hidden="1" x14ac:dyDescent="0.55000000000000004">
      <c r="A2147" s="264" t="s">
        <v>2065</v>
      </c>
      <c r="B2147" s="58" t="s">
        <v>35</v>
      </c>
      <c r="C2147" s="58" t="s">
        <v>10</v>
      </c>
      <c r="D2147" s="76" t="s">
        <v>2043</v>
      </c>
      <c r="E2147" s="76"/>
      <c r="F2147" s="76" t="s">
        <v>1666</v>
      </c>
      <c r="G2147" s="94" t="s">
        <v>1666</v>
      </c>
      <c r="H2147" s="106" t="s">
        <v>1666</v>
      </c>
      <c r="I2147" s="76"/>
      <c r="J2147" s="76"/>
      <c r="K2147" s="58" t="str">
        <f>IFERROR(VLOOKUP(L2147,'Raw material list'!$A$3:$C$715,3,0),"")</f>
        <v>PRD1-195</v>
      </c>
      <c r="L2147" s="59" t="s">
        <v>90</v>
      </c>
      <c r="M2147" s="80" t="s">
        <v>156</v>
      </c>
      <c r="N2147" s="40" t="str">
        <f>VLOOKUP(L2147,'Raw material list'!$A$3:$E$715,5,0)</f>
        <v xml:space="preserve">Gram </v>
      </c>
      <c r="O2147" s="80">
        <v>100</v>
      </c>
      <c r="P2147" s="299">
        <f t="shared" si="343"/>
        <v>234.37499999999994</v>
      </c>
      <c r="Q2147" s="105">
        <v>42.666666666666671</v>
      </c>
      <c r="R2147" s="80">
        <v>30</v>
      </c>
      <c r="S2147" s="80"/>
      <c r="T2147" s="105">
        <f t="shared" si="346"/>
        <v>3.3333333333333335</v>
      </c>
      <c r="U2147" s="105">
        <f t="shared" si="344"/>
        <v>7.8124999999999982</v>
      </c>
      <c r="V2147" s="104">
        <f>IFERROR(VLOOKUP(L2147,'Raw material list'!$A$2:$S$3102,6,0),0)</f>
        <v>9.3676814988290415E-3</v>
      </c>
      <c r="W2147" s="104">
        <f t="shared" si="345"/>
        <v>7.3185011709601872E-2</v>
      </c>
    </row>
    <row r="2148" spans="1:23" hidden="1" x14ac:dyDescent="0.55000000000000004">
      <c r="A2148" s="264" t="s">
        <v>2065</v>
      </c>
      <c r="B2148" s="58" t="s">
        <v>35</v>
      </c>
      <c r="C2148" s="58" t="s">
        <v>10</v>
      </c>
      <c r="D2148" s="76" t="s">
        <v>2043</v>
      </c>
      <c r="E2148" s="76"/>
      <c r="F2148" s="76" t="s">
        <v>1666</v>
      </c>
      <c r="G2148" s="94" t="s">
        <v>1666</v>
      </c>
      <c r="H2148" s="106" t="s">
        <v>1666</v>
      </c>
      <c r="I2148" s="76"/>
      <c r="J2148" s="76"/>
      <c r="K2148" s="58" t="str">
        <f>IFERROR(VLOOKUP(L2148,'Raw material list'!$A$3:$C$715,3,0),"")</f>
        <v>PRD1-4327</v>
      </c>
      <c r="L2148" s="59" t="s">
        <v>39</v>
      </c>
      <c r="M2148" s="80" t="s">
        <v>156</v>
      </c>
      <c r="N2148" s="40" t="str">
        <f>VLOOKUP(L2148,'Raw material list'!$A$3:$E$715,5,0)</f>
        <v xml:space="preserve">Gram </v>
      </c>
      <c r="O2148" s="80">
        <v>15</v>
      </c>
      <c r="P2148" s="299">
        <f t="shared" si="343"/>
        <v>18.072289156626507</v>
      </c>
      <c r="Q2148" s="105">
        <v>83</v>
      </c>
      <c r="R2148" s="80">
        <v>30</v>
      </c>
      <c r="S2148" s="80"/>
      <c r="T2148" s="105">
        <f t="shared" si="346"/>
        <v>0.5</v>
      </c>
      <c r="U2148" s="105">
        <f t="shared" si="344"/>
        <v>0.60240963855421692</v>
      </c>
      <c r="V2148" s="104">
        <f>IFERROR(VLOOKUP(L2148,'Raw material list'!$A$2:$S$3102,6,0),0)</f>
        <v>1.2999999999999999E-2</v>
      </c>
      <c r="W2148" s="104">
        <f t="shared" si="345"/>
        <v>7.8313253012048199E-3</v>
      </c>
    </row>
    <row r="2149" spans="1:23" hidden="1" x14ac:dyDescent="0.55000000000000004">
      <c r="A2149" s="264" t="s">
        <v>2065</v>
      </c>
      <c r="B2149" s="58" t="s">
        <v>35</v>
      </c>
      <c r="C2149" s="58" t="s">
        <v>10</v>
      </c>
      <c r="D2149" s="76" t="s">
        <v>2043</v>
      </c>
      <c r="E2149" s="76"/>
      <c r="F2149" s="76" t="s">
        <v>1666</v>
      </c>
      <c r="G2149" s="94" t="s">
        <v>1666</v>
      </c>
      <c r="H2149" s="106" t="s">
        <v>1666</v>
      </c>
      <c r="I2149" s="76"/>
      <c r="J2149" s="76"/>
      <c r="K2149" s="58" t="str">
        <f>IFERROR(VLOOKUP(L2149,'Raw material list'!$A$3:$C$715,3,0),"")</f>
        <v>DRS6-733</v>
      </c>
      <c r="L2149" s="59" t="s">
        <v>45</v>
      </c>
      <c r="M2149" s="80" t="s">
        <v>156</v>
      </c>
      <c r="N2149" s="40" t="str">
        <f>VLOOKUP(L2149,'Raw material list'!$A$3:$E$715,5,0)</f>
        <v xml:space="preserve">Gram </v>
      </c>
      <c r="O2149" s="80">
        <v>15</v>
      </c>
      <c r="P2149" s="299">
        <f t="shared" si="343"/>
        <v>15</v>
      </c>
      <c r="Q2149" s="303">
        <v>100</v>
      </c>
      <c r="R2149" s="80">
        <v>30</v>
      </c>
      <c r="S2149" s="80"/>
      <c r="T2149" s="105">
        <f t="shared" si="346"/>
        <v>0.5</v>
      </c>
      <c r="U2149" s="105">
        <f t="shared" si="344"/>
        <v>0.5</v>
      </c>
      <c r="V2149" s="104">
        <f>IFERROR(VLOOKUP(L2149,'Raw material list'!$A$2:$S$3102,6,0),0)</f>
        <v>2.8000000000000001E-2</v>
      </c>
      <c r="W2149" s="104">
        <f t="shared" si="345"/>
        <v>1.4E-2</v>
      </c>
    </row>
    <row r="2150" spans="1:23" hidden="1" x14ac:dyDescent="0.55000000000000004">
      <c r="A2150" s="264" t="s">
        <v>2065</v>
      </c>
      <c r="B2150" s="58" t="s">
        <v>35</v>
      </c>
      <c r="C2150" s="58" t="s">
        <v>10</v>
      </c>
      <c r="D2150" s="76" t="s">
        <v>2043</v>
      </c>
      <c r="E2150" s="76"/>
      <c r="F2150" s="76" t="s">
        <v>1666</v>
      </c>
      <c r="G2150" s="94" t="s">
        <v>1666</v>
      </c>
      <c r="H2150" s="106" t="s">
        <v>1666</v>
      </c>
      <c r="I2150" s="76"/>
      <c r="J2150" s="76"/>
      <c r="K2150" s="58" t="str">
        <f>IFERROR(VLOOKUP(L2150,'Raw material list'!$A$3:$C$715,3,0),"")</f>
        <v>DRS6-266</v>
      </c>
      <c r="L2150" s="59" t="s">
        <v>99</v>
      </c>
      <c r="M2150" s="80" t="s">
        <v>156</v>
      </c>
      <c r="N2150" s="40" t="str">
        <f>VLOOKUP(L2150,'Raw material list'!$A$3:$E$715,5,0)</f>
        <v xml:space="preserve">Gram </v>
      </c>
      <c r="O2150" s="80">
        <v>10</v>
      </c>
      <c r="P2150" s="299">
        <f t="shared" si="343"/>
        <v>10</v>
      </c>
      <c r="Q2150" s="80">
        <v>100</v>
      </c>
      <c r="R2150" s="80">
        <v>30</v>
      </c>
      <c r="S2150" s="80"/>
      <c r="T2150" s="105">
        <f t="shared" si="346"/>
        <v>0.33333333333333331</v>
      </c>
      <c r="U2150" s="105">
        <f t="shared" si="344"/>
        <v>0.33333333333333331</v>
      </c>
      <c r="V2150" s="104">
        <f>IFERROR(VLOOKUP(L2150,'Raw material list'!$A$2:$S$3102,6,0),0)</f>
        <v>1.4E-2</v>
      </c>
      <c r="W2150" s="104">
        <f t="shared" si="345"/>
        <v>4.6666666666666662E-3</v>
      </c>
    </row>
    <row r="2151" spans="1:23" hidden="1" x14ac:dyDescent="0.55000000000000004">
      <c r="A2151" s="264" t="s">
        <v>2065</v>
      </c>
      <c r="B2151" s="58" t="s">
        <v>35</v>
      </c>
      <c r="C2151" s="58" t="s">
        <v>10</v>
      </c>
      <c r="D2151" s="76" t="s">
        <v>2043</v>
      </c>
      <c r="E2151" s="76"/>
      <c r="F2151" s="76" t="s">
        <v>1666</v>
      </c>
      <c r="G2151" s="94" t="s">
        <v>1666</v>
      </c>
      <c r="H2151" s="106" t="s">
        <v>1666</v>
      </c>
      <c r="I2151" s="76"/>
      <c r="J2151" s="76"/>
      <c r="K2151" s="58" t="str">
        <f>IFERROR(VLOOKUP(L2151,'Raw material list'!$A$3:$C$715,3,0),"")</f>
        <v>DRS6-1727</v>
      </c>
      <c r="L2151" s="59" t="s">
        <v>106</v>
      </c>
      <c r="M2151" s="80" t="s">
        <v>156</v>
      </c>
      <c r="N2151" s="40" t="str">
        <f>VLOOKUP(L2151,'Raw material list'!$A$3:$E$715,5,0)</f>
        <v xml:space="preserve">Gram </v>
      </c>
      <c r="O2151" s="80">
        <v>5</v>
      </c>
      <c r="P2151" s="299">
        <f t="shared" si="343"/>
        <v>5</v>
      </c>
      <c r="Q2151" s="80">
        <v>100</v>
      </c>
      <c r="R2151" s="80">
        <v>30</v>
      </c>
      <c r="S2151" s="80"/>
      <c r="T2151" s="105">
        <f t="shared" si="346"/>
        <v>0.16666666666666666</v>
      </c>
      <c r="U2151" s="105">
        <f t="shared" si="344"/>
        <v>0.16666666666666666</v>
      </c>
      <c r="V2151" s="104">
        <f>IFERROR(VLOOKUP(L2151,'Raw material list'!$A$2:$S$3102,6,0),0)</f>
        <v>2.5000000000000001E-2</v>
      </c>
      <c r="W2151" s="104">
        <f t="shared" si="345"/>
        <v>4.1666666666666666E-3</v>
      </c>
    </row>
    <row r="2152" spans="1:23" hidden="1" x14ac:dyDescent="0.55000000000000004">
      <c r="A2152" s="264" t="s">
        <v>2065</v>
      </c>
      <c r="B2152" s="58" t="s">
        <v>35</v>
      </c>
      <c r="C2152" s="58" t="s">
        <v>10</v>
      </c>
      <c r="D2152" s="76" t="s">
        <v>2043</v>
      </c>
      <c r="E2152" s="76"/>
      <c r="F2152" s="76" t="s">
        <v>1666</v>
      </c>
      <c r="G2152" s="94" t="s">
        <v>1666</v>
      </c>
      <c r="H2152" s="106" t="s">
        <v>1666</v>
      </c>
      <c r="I2152" s="76"/>
      <c r="J2152" s="76"/>
      <c r="K2152" s="58" t="str">
        <f>IFERROR(VLOOKUP(L2152,'Raw material list'!$A$3:$C$715,3,0),"")</f>
        <v>DRS3-1615</v>
      </c>
      <c r="L2152" s="59" t="s">
        <v>50</v>
      </c>
      <c r="M2152" s="80" t="s">
        <v>206</v>
      </c>
      <c r="N2152" s="40" t="str">
        <f>VLOOKUP(L2152,'Raw material list'!$A$3:$E$715,5,0)</f>
        <v>Ml</v>
      </c>
      <c r="O2152" s="80">
        <v>10</v>
      </c>
      <c r="P2152" s="299">
        <f t="shared" si="343"/>
        <v>10</v>
      </c>
      <c r="Q2152" s="80">
        <v>100</v>
      </c>
      <c r="R2152" s="80">
        <v>30</v>
      </c>
      <c r="S2152" s="80"/>
      <c r="T2152" s="105">
        <f t="shared" si="346"/>
        <v>0.33333333333333331</v>
      </c>
      <c r="U2152" s="105">
        <f t="shared" si="344"/>
        <v>0.33333333333333331</v>
      </c>
      <c r="V2152" s="104">
        <f>IFERROR(VLOOKUP(L2152,'Raw material list'!$A$2:$S$3102,6,0),0)</f>
        <v>1.2E-2</v>
      </c>
      <c r="W2152" s="104">
        <f t="shared" si="345"/>
        <v>4.0000000000000001E-3</v>
      </c>
    </row>
    <row r="2153" spans="1:23" hidden="1" x14ac:dyDescent="0.55000000000000004">
      <c r="A2153" s="264" t="s">
        <v>2065</v>
      </c>
      <c r="B2153" s="58" t="s">
        <v>35</v>
      </c>
      <c r="C2153" s="58" t="s">
        <v>10</v>
      </c>
      <c r="D2153" s="76" t="s">
        <v>2043</v>
      </c>
      <c r="E2153" s="76"/>
      <c r="F2153" s="76" t="s">
        <v>1666</v>
      </c>
      <c r="G2153" s="94" t="s">
        <v>1666</v>
      </c>
      <c r="H2153" s="106" t="s">
        <v>1666</v>
      </c>
      <c r="I2153" s="76"/>
      <c r="J2153" s="76"/>
      <c r="K2153" s="58" t="str">
        <f>IFERROR(VLOOKUP(L2153,'Raw material list'!$A$3:$C$715,3,0),"")</f>
        <v>DRS1-3612</v>
      </c>
      <c r="L2153" s="59" t="s">
        <v>1683</v>
      </c>
      <c r="M2153" s="80" t="s">
        <v>156</v>
      </c>
      <c r="N2153" s="40" t="str">
        <f>VLOOKUP(L2153,'Raw material list'!$A$3:$E$715,5,0)</f>
        <v xml:space="preserve">Gram </v>
      </c>
      <c r="O2153" s="80">
        <v>60</v>
      </c>
      <c r="P2153" s="299">
        <f t="shared" si="343"/>
        <v>60</v>
      </c>
      <c r="Q2153" s="80">
        <v>100</v>
      </c>
      <c r="R2153" s="80">
        <v>1</v>
      </c>
      <c r="S2153" s="80"/>
      <c r="T2153" s="105">
        <f t="shared" si="346"/>
        <v>60</v>
      </c>
      <c r="U2153" s="105">
        <f t="shared" si="344"/>
        <v>60</v>
      </c>
      <c r="V2153" s="104">
        <f>IFERROR(VLOOKUP(L2153,'Raw material list'!$A$2:$S$3102,6,0),0)</f>
        <v>7.4999999999999997E-3</v>
      </c>
      <c r="W2153" s="104">
        <f t="shared" si="345"/>
        <v>0.44999999999999996</v>
      </c>
    </row>
    <row r="2154" spans="1:23" hidden="1" x14ac:dyDescent="0.55000000000000004">
      <c r="A2154" s="264" t="s">
        <v>2066</v>
      </c>
      <c r="B2154" s="58" t="s">
        <v>35</v>
      </c>
      <c r="C2154" s="58" t="s">
        <v>10</v>
      </c>
      <c r="D2154" s="76" t="s">
        <v>1858</v>
      </c>
      <c r="E2154" s="76"/>
      <c r="F2154" s="76" t="s">
        <v>1666</v>
      </c>
      <c r="G2154" s="94" t="s">
        <v>1666</v>
      </c>
      <c r="H2154" s="106" t="s">
        <v>1666</v>
      </c>
      <c r="I2154" s="76"/>
      <c r="J2154" s="76"/>
      <c r="K2154" s="58" t="str">
        <f>IFERROR(VLOOKUP(L2154,'Raw material list'!$A$3:$C$715,3,0),"")</f>
        <v>DRY2-3401</v>
      </c>
      <c r="L2154" s="59" t="s">
        <v>422</v>
      </c>
      <c r="M2154" s="80" t="s">
        <v>156</v>
      </c>
      <c r="N2154" s="40" t="str">
        <f>VLOOKUP(L2154,'Raw material list'!$A$3:$E$715,5,0)</f>
        <v xml:space="preserve">Gram </v>
      </c>
      <c r="O2154" s="80">
        <v>100</v>
      </c>
      <c r="P2154" s="299">
        <f t="shared" si="343"/>
        <v>100</v>
      </c>
      <c r="Q2154" s="80">
        <v>100</v>
      </c>
      <c r="R2154" s="80">
        <v>1</v>
      </c>
      <c r="S2154" s="80"/>
      <c r="T2154" s="105">
        <f t="shared" si="346"/>
        <v>100</v>
      </c>
      <c r="U2154" s="105">
        <f t="shared" si="344"/>
        <v>100</v>
      </c>
      <c r="V2154" s="104">
        <f>IFERROR(VLOOKUP(L2154,'Raw material list'!$A$2:$S$3102,6,0),0)</f>
        <v>1.2272727272727272E-2</v>
      </c>
      <c r="W2154" s="104">
        <f t="shared" si="345"/>
        <v>1.2272727272727273</v>
      </c>
    </row>
    <row r="2155" spans="1:23" hidden="1" x14ac:dyDescent="0.55000000000000004">
      <c r="A2155" s="264" t="s">
        <v>2066</v>
      </c>
      <c r="B2155" s="58" t="s">
        <v>35</v>
      </c>
      <c r="C2155" s="58" t="s">
        <v>10</v>
      </c>
      <c r="D2155" s="76" t="s">
        <v>1858</v>
      </c>
      <c r="E2155" s="76"/>
      <c r="F2155" s="76" t="s">
        <v>1666</v>
      </c>
      <c r="G2155" s="94" t="s">
        <v>1666</v>
      </c>
      <c r="H2155" s="106" t="s">
        <v>1666</v>
      </c>
      <c r="I2155" s="76"/>
      <c r="J2155" s="76"/>
      <c r="K2155" s="58" t="str">
        <f>IFERROR(VLOOKUP(L2155,'Raw material list'!$A$3:$C$715,3,0),"")</f>
        <v>DRS3-1615</v>
      </c>
      <c r="L2155" s="59" t="s">
        <v>50</v>
      </c>
      <c r="M2155" s="80" t="s">
        <v>206</v>
      </c>
      <c r="N2155" s="40" t="str">
        <f>VLOOKUP(L2155,'Raw material list'!$A$3:$E$715,5,0)</f>
        <v>Ml</v>
      </c>
      <c r="O2155" s="80">
        <v>5</v>
      </c>
      <c r="P2155" s="299">
        <f t="shared" si="343"/>
        <v>5</v>
      </c>
      <c r="Q2155" s="80">
        <v>100</v>
      </c>
      <c r="R2155" s="80">
        <v>1</v>
      </c>
      <c r="S2155" s="80"/>
      <c r="T2155" s="105">
        <f t="shared" si="346"/>
        <v>5</v>
      </c>
      <c r="U2155" s="105">
        <f t="shared" si="344"/>
        <v>5</v>
      </c>
      <c r="V2155" s="104">
        <f>IFERROR(VLOOKUP(L2155,'Raw material list'!$A$2:$S$3102,6,0),0)</f>
        <v>1.2E-2</v>
      </c>
      <c r="W2155" s="104">
        <f t="shared" si="345"/>
        <v>0.06</v>
      </c>
    </row>
    <row r="2156" spans="1:23" hidden="1" x14ac:dyDescent="0.55000000000000004">
      <c r="A2156" s="264" t="s">
        <v>2066</v>
      </c>
      <c r="B2156" s="58" t="s">
        <v>35</v>
      </c>
      <c r="C2156" s="58" t="s">
        <v>10</v>
      </c>
      <c r="D2156" s="76" t="s">
        <v>1858</v>
      </c>
      <c r="E2156" s="76"/>
      <c r="F2156" s="76" t="s">
        <v>1666</v>
      </c>
      <c r="G2156" s="94" t="s">
        <v>1666</v>
      </c>
      <c r="H2156" s="106" t="s">
        <v>1666</v>
      </c>
      <c r="I2156" s="76"/>
      <c r="J2156" s="76"/>
      <c r="K2156" s="58" t="str">
        <f>IFERROR(VLOOKUP(L2156,'Raw material list'!$A$3:$C$715,3,0),"")</f>
        <v>DRS6-1570</v>
      </c>
      <c r="L2156" s="59" t="s">
        <v>51</v>
      </c>
      <c r="M2156" s="80" t="s">
        <v>156</v>
      </c>
      <c r="N2156" s="40" t="str">
        <f>VLOOKUP(L2156,'Raw material list'!$A$3:$E$715,5,0)</f>
        <v xml:space="preserve">Gram </v>
      </c>
      <c r="O2156" s="80">
        <v>0.25</v>
      </c>
      <c r="P2156" s="299">
        <f t="shared" si="343"/>
        <v>0.25</v>
      </c>
      <c r="Q2156" s="80">
        <v>100</v>
      </c>
      <c r="R2156" s="80">
        <v>1</v>
      </c>
      <c r="S2156" s="80"/>
      <c r="T2156" s="105">
        <f t="shared" si="346"/>
        <v>0.25</v>
      </c>
      <c r="U2156" s="105">
        <f t="shared" si="344"/>
        <v>0.25</v>
      </c>
      <c r="V2156" s="104">
        <f>IFERROR(VLOOKUP(L2156,'Raw material list'!$A$2:$S$3102,6,0),0)</f>
        <v>9.3526666666666654E-3</v>
      </c>
      <c r="W2156" s="104">
        <f t="shared" si="345"/>
        <v>2.3381666666666663E-3</v>
      </c>
    </row>
    <row r="2157" spans="1:23" hidden="1" x14ac:dyDescent="0.55000000000000004">
      <c r="A2157" s="264" t="s">
        <v>2066</v>
      </c>
      <c r="B2157" s="58" t="s">
        <v>35</v>
      </c>
      <c r="C2157" s="58" t="s">
        <v>10</v>
      </c>
      <c r="D2157" s="76" t="s">
        <v>1858</v>
      </c>
      <c r="E2157" s="76"/>
      <c r="F2157" s="76" t="s">
        <v>1666</v>
      </c>
      <c r="G2157" s="94" t="s">
        <v>1666</v>
      </c>
      <c r="H2157" s="106" t="s">
        <v>1666</v>
      </c>
      <c r="I2157" s="76"/>
      <c r="J2157" s="76"/>
      <c r="K2157" s="58" t="str">
        <f>IFERROR(VLOOKUP(L2157,'Raw material list'!$A$3:$C$715,3,0),"")</f>
        <v>PLT2-3278</v>
      </c>
      <c r="L2157" s="59" t="s">
        <v>80</v>
      </c>
      <c r="M2157" s="80" t="s">
        <v>156</v>
      </c>
      <c r="N2157" s="40" t="str">
        <f>VLOOKUP(L2157,'Raw material list'!$A$3:$E$715,5,0)</f>
        <v xml:space="preserve">Gram </v>
      </c>
      <c r="O2157" s="80">
        <v>900</v>
      </c>
      <c r="P2157" s="299">
        <f t="shared" si="343"/>
        <v>1181.1023622047244</v>
      </c>
      <c r="Q2157" s="80">
        <v>76.2</v>
      </c>
      <c r="R2157" s="80">
        <v>45</v>
      </c>
      <c r="S2157" s="80"/>
      <c r="T2157" s="105">
        <f t="shared" si="346"/>
        <v>20</v>
      </c>
      <c r="U2157" s="105">
        <f t="shared" si="344"/>
        <v>26.246719160104988</v>
      </c>
      <c r="V2157" s="104">
        <f>IFERROR(VLOOKUP(L2157,'Raw material list'!$A$2:$S$3102,6,0),0)</f>
        <v>3.0357142857142853E-2</v>
      </c>
      <c r="W2157" s="104">
        <f t="shared" si="345"/>
        <v>0.79677540307461558</v>
      </c>
    </row>
    <row r="2158" spans="1:23" hidden="1" x14ac:dyDescent="0.55000000000000004">
      <c r="A2158" s="264" t="s">
        <v>2066</v>
      </c>
      <c r="B2158" s="58" t="s">
        <v>35</v>
      </c>
      <c r="C2158" s="58" t="s">
        <v>10</v>
      </c>
      <c r="D2158" s="76" t="s">
        <v>1858</v>
      </c>
      <c r="E2158" s="76"/>
      <c r="F2158" s="76" t="s">
        <v>1666</v>
      </c>
      <c r="G2158" s="94" t="s">
        <v>1666</v>
      </c>
      <c r="H2158" s="106" t="s">
        <v>1666</v>
      </c>
      <c r="I2158" s="76"/>
      <c r="J2158" s="76"/>
      <c r="K2158" s="58" t="str">
        <f>IFERROR(VLOOKUP(L2158,'Raw material list'!$A$3:$C$715,3,0),"")</f>
        <v>DRY1-1801</v>
      </c>
      <c r="L2158" s="59" t="s">
        <v>49</v>
      </c>
      <c r="M2158" s="80" t="s">
        <v>156</v>
      </c>
      <c r="N2158" s="40" t="str">
        <f>VLOOKUP(L2158,'Raw material list'!$A$3:$E$715,5,0)</f>
        <v xml:space="preserve">Gram </v>
      </c>
      <c r="O2158" s="80">
        <v>675</v>
      </c>
      <c r="P2158" s="299">
        <f t="shared" si="343"/>
        <v>675</v>
      </c>
      <c r="Q2158" s="80">
        <v>100</v>
      </c>
      <c r="R2158" s="80">
        <v>45</v>
      </c>
      <c r="S2158" s="80"/>
      <c r="T2158" s="105">
        <f t="shared" si="346"/>
        <v>15</v>
      </c>
      <c r="U2158" s="105">
        <f t="shared" si="344"/>
        <v>15</v>
      </c>
      <c r="V2158" s="104">
        <f>IFERROR(VLOOKUP(L2158,'Raw material list'!$A$2:$S$3102,6,0),0)</f>
        <v>2.5000000000000001E-2</v>
      </c>
      <c r="W2158" s="104">
        <f t="shared" si="345"/>
        <v>0.375</v>
      </c>
    </row>
    <row r="2159" spans="1:23" hidden="1" x14ac:dyDescent="0.55000000000000004">
      <c r="A2159" s="264" t="s">
        <v>2066</v>
      </c>
      <c r="B2159" s="58" t="s">
        <v>35</v>
      </c>
      <c r="C2159" s="58" t="s">
        <v>10</v>
      </c>
      <c r="D2159" s="76" t="s">
        <v>1858</v>
      </c>
      <c r="E2159" s="76"/>
      <c r="F2159" s="76" t="s">
        <v>1666</v>
      </c>
      <c r="G2159" s="94" t="s">
        <v>1666</v>
      </c>
      <c r="H2159" s="106" t="s">
        <v>1666</v>
      </c>
      <c r="I2159" s="76"/>
      <c r="J2159" s="76"/>
      <c r="K2159" s="58" t="str">
        <f>IFERROR(VLOOKUP(L2159,'Raw material list'!$A$3:$C$715,3,0),"")</f>
        <v>PRD1-240</v>
      </c>
      <c r="L2159" s="59" t="s">
        <v>82</v>
      </c>
      <c r="M2159" s="80" t="s">
        <v>156</v>
      </c>
      <c r="N2159" s="40" t="str">
        <f>VLOOKUP(L2159,'Raw material list'!$A$3:$E$715,5,0)</f>
        <v xml:space="preserve">Gram </v>
      </c>
      <c r="O2159" s="80">
        <v>100</v>
      </c>
      <c r="P2159" s="299">
        <f t="shared" si="343"/>
        <v>147.78325123152712</v>
      </c>
      <c r="Q2159" s="105">
        <v>67.666666666666657</v>
      </c>
      <c r="R2159" s="80">
        <v>45</v>
      </c>
      <c r="S2159" s="80"/>
      <c r="T2159" s="105">
        <f t="shared" si="346"/>
        <v>2.2222222222222223</v>
      </c>
      <c r="U2159" s="105">
        <f t="shared" si="344"/>
        <v>3.2840722495894914</v>
      </c>
      <c r="V2159" s="104">
        <f>IFERROR(VLOOKUP(L2159,'Raw material list'!$A$2:$S$3102,6,0),0)</f>
        <v>1.3293943870014769E-2</v>
      </c>
      <c r="W2159" s="104">
        <f t="shared" si="345"/>
        <v>4.3658272151115833E-2</v>
      </c>
    </row>
    <row r="2160" spans="1:23" hidden="1" x14ac:dyDescent="0.55000000000000004">
      <c r="A2160" s="264" t="s">
        <v>2066</v>
      </c>
      <c r="B2160" s="58" t="s">
        <v>35</v>
      </c>
      <c r="C2160" s="58" t="s">
        <v>10</v>
      </c>
      <c r="D2160" s="76" t="s">
        <v>1858</v>
      </c>
      <c r="E2160" s="76"/>
      <c r="F2160" s="76" t="s">
        <v>1666</v>
      </c>
      <c r="G2160" s="94" t="s">
        <v>1666</v>
      </c>
      <c r="H2160" s="106" t="s">
        <v>1666</v>
      </c>
      <c r="I2160" s="76"/>
      <c r="J2160" s="76"/>
      <c r="K2160" s="58" t="str">
        <f>IFERROR(VLOOKUP(L2160,'Raw material list'!$A$3:$C$715,3,0),"")</f>
        <v>PRD1-239</v>
      </c>
      <c r="L2160" s="59" t="s">
        <v>1056</v>
      </c>
      <c r="M2160" s="80" t="s">
        <v>156</v>
      </c>
      <c r="N2160" s="40" t="str">
        <f>VLOOKUP(L2160,'Raw material list'!$A$3:$E$715,5,0)</f>
        <v xml:space="preserve">Gram </v>
      </c>
      <c r="O2160" s="80">
        <v>100</v>
      </c>
      <c r="P2160" s="299">
        <f t="shared" si="343"/>
        <v>148.51485148514854</v>
      </c>
      <c r="Q2160" s="105">
        <v>67.333333333333329</v>
      </c>
      <c r="R2160" s="80">
        <v>45</v>
      </c>
      <c r="S2160" s="80"/>
      <c r="T2160" s="105">
        <f t="shared" si="346"/>
        <v>2.2222222222222223</v>
      </c>
      <c r="U2160" s="105">
        <f t="shared" si="344"/>
        <v>3.3003300330033007</v>
      </c>
      <c r="V2160" s="104">
        <f>IFERROR(VLOOKUP(L2160,'Raw material list'!$A$2:$S$3102,6,0),0)</f>
        <v>6.6864784546805346E-3</v>
      </c>
      <c r="W2160" s="104">
        <f t="shared" si="345"/>
        <v>2.2067585659011669E-2</v>
      </c>
    </row>
    <row r="2161" spans="1:23" hidden="1" x14ac:dyDescent="0.55000000000000004">
      <c r="A2161" s="264" t="s">
        <v>2066</v>
      </c>
      <c r="B2161" s="58" t="s">
        <v>35</v>
      </c>
      <c r="C2161" s="58" t="s">
        <v>10</v>
      </c>
      <c r="D2161" s="76" t="s">
        <v>1858</v>
      </c>
      <c r="E2161" s="76"/>
      <c r="F2161" s="76" t="s">
        <v>1666</v>
      </c>
      <c r="G2161" s="94" t="s">
        <v>1666</v>
      </c>
      <c r="H2161" s="106" t="s">
        <v>1666</v>
      </c>
      <c r="I2161" s="76"/>
      <c r="J2161" s="76"/>
      <c r="K2161" s="58" t="str">
        <f>IFERROR(VLOOKUP(L2161,'Raw material list'!$A$3:$C$715,3,0),"")</f>
        <v>DRY2-1008</v>
      </c>
      <c r="L2161" s="59" t="s">
        <v>57</v>
      </c>
      <c r="M2161" s="80" t="s">
        <v>156</v>
      </c>
      <c r="N2161" s="40" t="str">
        <f>VLOOKUP(L2161,'Raw material list'!$A$3:$E$715,5,0)</f>
        <v xml:space="preserve">Gram </v>
      </c>
      <c r="O2161" s="80">
        <v>50</v>
      </c>
      <c r="P2161" s="299">
        <f t="shared" si="343"/>
        <v>50</v>
      </c>
      <c r="Q2161" s="303">
        <v>100</v>
      </c>
      <c r="R2161" s="80">
        <v>45</v>
      </c>
      <c r="S2161" s="80"/>
      <c r="T2161" s="105">
        <f t="shared" si="346"/>
        <v>1.1111111111111112</v>
      </c>
      <c r="U2161" s="105">
        <f t="shared" si="344"/>
        <v>1.1111111111111112</v>
      </c>
      <c r="V2161" s="104">
        <f>IFERROR(VLOOKUP(L2161,'Raw material list'!$A$2:$S$3102,6,0),0)</f>
        <v>0.03</v>
      </c>
      <c r="W2161" s="104">
        <f t="shared" si="345"/>
        <v>3.3333333333333333E-2</v>
      </c>
    </row>
    <row r="2162" spans="1:23" hidden="1" x14ac:dyDescent="0.55000000000000004">
      <c r="A2162" s="264" t="s">
        <v>2066</v>
      </c>
      <c r="B2162" s="58" t="s">
        <v>35</v>
      </c>
      <c r="C2162" s="58" t="s">
        <v>10</v>
      </c>
      <c r="D2162" s="76" t="s">
        <v>1858</v>
      </c>
      <c r="E2162" s="76"/>
      <c r="F2162" s="76" t="s">
        <v>1666</v>
      </c>
      <c r="G2162" s="94" t="s">
        <v>1666</v>
      </c>
      <c r="H2162" s="106" t="s">
        <v>1666</v>
      </c>
      <c r="I2162" s="76"/>
      <c r="J2162" s="76"/>
      <c r="K2162" s="58" t="str">
        <f>IFERROR(VLOOKUP(L2162,'Raw material list'!$A$3:$C$715,3,0),"")</f>
        <v>DRS3-1813</v>
      </c>
      <c r="L2162" s="59" t="s">
        <v>69</v>
      </c>
      <c r="M2162" s="80" t="s">
        <v>206</v>
      </c>
      <c r="N2162" s="40" t="str">
        <f>VLOOKUP(L2162,'Raw material list'!$A$3:$E$715,5,0)</f>
        <v>Ml</v>
      </c>
      <c r="O2162" s="80">
        <v>50</v>
      </c>
      <c r="P2162" s="299">
        <f t="shared" si="343"/>
        <v>50</v>
      </c>
      <c r="Q2162" s="80">
        <v>100</v>
      </c>
      <c r="R2162" s="80">
        <v>45</v>
      </c>
      <c r="S2162" s="80"/>
      <c r="T2162" s="105">
        <f t="shared" si="346"/>
        <v>1.1111111111111112</v>
      </c>
      <c r="U2162" s="105">
        <f t="shared" si="344"/>
        <v>1.1111111111111112</v>
      </c>
      <c r="V2162" s="104">
        <f>IFERROR(VLOOKUP(L2162,'Raw material list'!$A$2:$S$3102,6,0),0)</f>
        <v>8.0555555555555554E-3</v>
      </c>
      <c r="W2162" s="104">
        <f t="shared" si="345"/>
        <v>8.9506172839506175E-3</v>
      </c>
    </row>
    <row r="2163" spans="1:23" hidden="1" x14ac:dyDescent="0.55000000000000004">
      <c r="A2163" s="264" t="s">
        <v>2066</v>
      </c>
      <c r="B2163" s="58" t="s">
        <v>35</v>
      </c>
      <c r="C2163" s="58" t="s">
        <v>10</v>
      </c>
      <c r="D2163" s="76" t="s">
        <v>1858</v>
      </c>
      <c r="E2163" s="76"/>
      <c r="F2163" s="76" t="s">
        <v>1666</v>
      </c>
      <c r="G2163" s="94" t="s">
        <v>1666</v>
      </c>
      <c r="H2163" s="106" t="s">
        <v>1666</v>
      </c>
      <c r="I2163" s="76"/>
      <c r="J2163" s="76"/>
      <c r="K2163" s="58" t="str">
        <f>IFERROR(VLOOKUP(L2163,'Raw material list'!$A$3:$C$715,3,0),"")</f>
        <v>PRD1-4265</v>
      </c>
      <c r="L2163" s="59" t="s">
        <v>38</v>
      </c>
      <c r="M2163" s="80" t="s">
        <v>156</v>
      </c>
      <c r="N2163" s="40" t="str">
        <f>VLOOKUP(L2163,'Raw material list'!$A$3:$E$715,5,0)</f>
        <v xml:space="preserve">Gram </v>
      </c>
      <c r="O2163" s="80">
        <v>35</v>
      </c>
      <c r="P2163" s="299">
        <f t="shared" si="343"/>
        <v>41.17647058823529</v>
      </c>
      <c r="Q2163" s="105">
        <v>85</v>
      </c>
      <c r="R2163" s="80">
        <v>45</v>
      </c>
      <c r="S2163" s="80"/>
      <c r="T2163" s="105">
        <f t="shared" si="346"/>
        <v>0.77777777777777779</v>
      </c>
      <c r="U2163" s="105">
        <f t="shared" si="344"/>
        <v>0.91503267973856195</v>
      </c>
      <c r="V2163" s="104">
        <f>IFERROR(VLOOKUP(L2163,'Raw material list'!$A$2:$S$3102,6,0),0)</f>
        <v>3.529411764705882E-3</v>
      </c>
      <c r="W2163" s="104">
        <f t="shared" si="345"/>
        <v>3.2295271049596302E-3</v>
      </c>
    </row>
    <row r="2164" spans="1:23" hidden="1" x14ac:dyDescent="0.55000000000000004">
      <c r="A2164" s="264" t="s">
        <v>2066</v>
      </c>
      <c r="B2164" s="58" t="s">
        <v>35</v>
      </c>
      <c r="C2164" s="58" t="s">
        <v>10</v>
      </c>
      <c r="D2164" s="76" t="s">
        <v>1858</v>
      </c>
      <c r="E2164" s="76"/>
      <c r="F2164" s="76" t="s">
        <v>1666</v>
      </c>
      <c r="G2164" s="94" t="s">
        <v>1666</v>
      </c>
      <c r="H2164" s="106" t="s">
        <v>1666</v>
      </c>
      <c r="I2164" s="76"/>
      <c r="J2164" s="76"/>
      <c r="K2164" s="58" t="str">
        <f>IFERROR(VLOOKUP(L2164,'Raw material list'!$A$3:$C$715,3,0),"")</f>
        <v>PRD1-4327</v>
      </c>
      <c r="L2164" s="59" t="s">
        <v>39</v>
      </c>
      <c r="M2164" s="80" t="s">
        <v>156</v>
      </c>
      <c r="N2164" s="40" t="str">
        <f>VLOOKUP(L2164,'Raw material list'!$A$3:$E$715,5,0)</f>
        <v xml:space="preserve">Gram </v>
      </c>
      <c r="O2164" s="80">
        <v>5</v>
      </c>
      <c r="P2164" s="299">
        <f t="shared" si="343"/>
        <v>6.024096385542169</v>
      </c>
      <c r="Q2164" s="105">
        <v>83</v>
      </c>
      <c r="R2164" s="80">
        <v>45</v>
      </c>
      <c r="S2164" s="80"/>
      <c r="T2164" s="105">
        <f t="shared" si="346"/>
        <v>0.1111111111111111</v>
      </c>
      <c r="U2164" s="105">
        <f t="shared" si="344"/>
        <v>0.13386880856760375</v>
      </c>
      <c r="V2164" s="104">
        <f>IFERROR(VLOOKUP(L2164,'Raw material list'!$A$2:$S$3102,6,0),0)</f>
        <v>1.2999999999999999E-2</v>
      </c>
      <c r="W2164" s="104">
        <f t="shared" si="345"/>
        <v>1.7402945113788486E-3</v>
      </c>
    </row>
    <row r="2165" spans="1:23" hidden="1" x14ac:dyDescent="0.55000000000000004">
      <c r="A2165" s="264" t="s">
        <v>2066</v>
      </c>
      <c r="B2165" s="58" t="s">
        <v>35</v>
      </c>
      <c r="C2165" s="58" t="s">
        <v>10</v>
      </c>
      <c r="D2165" s="76" t="s">
        <v>1858</v>
      </c>
      <c r="E2165" s="76"/>
      <c r="F2165" s="76" t="s">
        <v>1666</v>
      </c>
      <c r="G2165" s="94" t="s">
        <v>1666</v>
      </c>
      <c r="H2165" s="106" t="s">
        <v>1666</v>
      </c>
      <c r="I2165" s="76"/>
      <c r="J2165" s="76"/>
      <c r="K2165" s="58" t="str">
        <f>IFERROR(VLOOKUP(L2165,'Raw material list'!$A$3:$C$715,3,0),"")</f>
        <v>DRS5-980</v>
      </c>
      <c r="L2165" s="59" t="s">
        <v>446</v>
      </c>
      <c r="M2165" s="80" t="s">
        <v>156</v>
      </c>
      <c r="N2165" s="40" t="str">
        <f>VLOOKUP(L2165,'Raw material list'!$A$3:$E$715,5,0)</f>
        <v xml:space="preserve">Gram </v>
      </c>
      <c r="O2165" s="80">
        <v>1000</v>
      </c>
      <c r="P2165" s="299">
        <f t="shared" si="343"/>
        <v>1000</v>
      </c>
      <c r="Q2165" s="303">
        <v>100</v>
      </c>
      <c r="R2165" s="80">
        <v>45</v>
      </c>
      <c r="S2165" s="80"/>
      <c r="T2165" s="105">
        <f t="shared" si="346"/>
        <v>22.222222222222221</v>
      </c>
      <c r="U2165" s="105">
        <f t="shared" si="344"/>
        <v>22.222222222222221</v>
      </c>
      <c r="V2165" s="104">
        <f>IFERROR(VLOOKUP(L2165,'Raw material list'!$A$2:$S$3102,6,0),0)</f>
        <v>1E-3</v>
      </c>
      <c r="W2165" s="104">
        <f t="shared" si="345"/>
        <v>2.2222222222222223E-2</v>
      </c>
    </row>
    <row r="2166" spans="1:23" hidden="1" x14ac:dyDescent="0.55000000000000004">
      <c r="A2166" s="264" t="s">
        <v>2066</v>
      </c>
      <c r="B2166" s="58" t="s">
        <v>35</v>
      </c>
      <c r="C2166" s="58" t="s">
        <v>10</v>
      </c>
      <c r="D2166" s="76" t="s">
        <v>1858</v>
      </c>
      <c r="E2166" s="76"/>
      <c r="F2166" s="76" t="s">
        <v>1666</v>
      </c>
      <c r="G2166" s="94" t="s">
        <v>1666</v>
      </c>
      <c r="H2166" s="106" t="s">
        <v>1666</v>
      </c>
      <c r="I2166" s="76"/>
      <c r="J2166" s="76"/>
      <c r="K2166" s="58" t="str">
        <f>IFERROR(VLOOKUP(L2166,'Raw material list'!$A$3:$C$715,3,0),"")</f>
        <v>DRS1-3880</v>
      </c>
      <c r="L2166" s="59" t="s">
        <v>1433</v>
      </c>
      <c r="M2166" s="80" t="s">
        <v>156</v>
      </c>
      <c r="N2166" s="40" t="str">
        <f>VLOOKUP(L2166,'Raw material list'!$A$3:$E$715,5,0)</f>
        <v xml:space="preserve">Gram </v>
      </c>
      <c r="O2166" s="80">
        <v>10</v>
      </c>
      <c r="P2166" s="299">
        <f t="shared" si="343"/>
        <v>10</v>
      </c>
      <c r="Q2166" s="80">
        <v>100</v>
      </c>
      <c r="R2166" s="80">
        <v>45</v>
      </c>
      <c r="S2166" s="80"/>
      <c r="T2166" s="105">
        <f t="shared" si="346"/>
        <v>0.22222222222222221</v>
      </c>
      <c r="U2166" s="105">
        <f t="shared" si="344"/>
        <v>0.22222222222222221</v>
      </c>
      <c r="V2166" s="104">
        <f>IFERROR(VLOOKUP(L2166,'Raw material list'!$A$2:$S$3102,6,0),0)</f>
        <v>5.0000000000000001E-4</v>
      </c>
      <c r="W2166" s="104">
        <f t="shared" si="345"/>
        <v>1.111111111111111E-4</v>
      </c>
    </row>
    <row r="2167" spans="1:23" hidden="1" x14ac:dyDescent="0.55000000000000004">
      <c r="A2167" s="264" t="s">
        <v>2066</v>
      </c>
      <c r="B2167" s="58" t="s">
        <v>35</v>
      </c>
      <c r="C2167" s="58" t="s">
        <v>10</v>
      </c>
      <c r="D2167" s="76" t="s">
        <v>1858</v>
      </c>
      <c r="E2167" s="76"/>
      <c r="F2167" s="76" t="s">
        <v>1666</v>
      </c>
      <c r="G2167" s="94" t="s">
        <v>1666</v>
      </c>
      <c r="H2167" s="106" t="s">
        <v>1666</v>
      </c>
      <c r="I2167" s="76"/>
      <c r="J2167" s="76"/>
      <c r="K2167" s="58" t="str">
        <f>IFERROR(VLOOKUP(L2167,'Raw material list'!$A$3:$C$715,3,0),"")</f>
        <v>DRS1-90</v>
      </c>
      <c r="L2167" s="59" t="s">
        <v>581</v>
      </c>
      <c r="M2167" s="80" t="s">
        <v>156</v>
      </c>
      <c r="N2167" s="40" t="str">
        <f>VLOOKUP(L2167,'Raw material list'!$A$3:$E$715,5,0)</f>
        <v xml:space="preserve">Gram </v>
      </c>
      <c r="O2167" s="80">
        <v>10</v>
      </c>
      <c r="P2167" s="299">
        <f t="shared" si="343"/>
        <v>10</v>
      </c>
      <c r="Q2167" s="80">
        <v>100</v>
      </c>
      <c r="R2167" s="80">
        <v>45</v>
      </c>
      <c r="S2167" s="80"/>
      <c r="T2167" s="105">
        <f t="shared" si="346"/>
        <v>0.22222222222222221</v>
      </c>
      <c r="U2167" s="105">
        <f t="shared" si="344"/>
        <v>0.22222222222222221</v>
      </c>
      <c r="V2167" s="104">
        <f>IFERROR(VLOOKUP(L2167,'Raw material list'!$A$2:$S$3102,6,0),0)</f>
        <v>1.4500000000000001E-2</v>
      </c>
      <c r="W2167" s="104">
        <f t="shared" si="345"/>
        <v>3.2222222222222222E-3</v>
      </c>
    </row>
    <row r="2168" spans="1:23" hidden="1" x14ac:dyDescent="0.55000000000000004">
      <c r="A2168" s="264" t="s">
        <v>2066</v>
      </c>
      <c r="B2168" s="58" t="s">
        <v>35</v>
      </c>
      <c r="C2168" s="58" t="s">
        <v>10</v>
      </c>
      <c r="D2168" s="76" t="s">
        <v>1858</v>
      </c>
      <c r="E2168" s="76"/>
      <c r="F2168" s="76" t="s">
        <v>1666</v>
      </c>
      <c r="G2168" s="94" t="s">
        <v>1666</v>
      </c>
      <c r="H2168" s="106" t="s">
        <v>1666</v>
      </c>
      <c r="I2168" s="76"/>
      <c r="J2168" s="76"/>
      <c r="K2168" s="58" t="str">
        <f>IFERROR(VLOOKUP(L2168,'Raw material list'!$A$3:$C$715,3,0),"")</f>
        <v>DRS1-978</v>
      </c>
      <c r="L2168" s="59" t="s">
        <v>56</v>
      </c>
      <c r="M2168" s="80" t="s">
        <v>156</v>
      </c>
      <c r="N2168" s="40" t="str">
        <f>VLOOKUP(L2168,'Raw material list'!$A$3:$E$715,5,0)</f>
        <v xml:space="preserve">Gram </v>
      </c>
      <c r="O2168" s="80">
        <v>60</v>
      </c>
      <c r="P2168" s="299">
        <f t="shared" si="343"/>
        <v>60</v>
      </c>
      <c r="Q2168" s="80">
        <v>100</v>
      </c>
      <c r="R2168" s="80">
        <v>45</v>
      </c>
      <c r="S2168" s="80"/>
      <c r="T2168" s="105">
        <f t="shared" si="346"/>
        <v>1.3333333333333333</v>
      </c>
      <c r="U2168" s="105">
        <f t="shared" si="344"/>
        <v>1.3333333333333333</v>
      </c>
      <c r="V2168" s="104">
        <f>IFERROR(VLOOKUP(L2168,'Raw material list'!$A$2:$S$3102,6,0),0)</f>
        <v>2.3999999999999998E-3</v>
      </c>
      <c r="W2168" s="104">
        <f t="shared" si="345"/>
        <v>3.1999999999999997E-3</v>
      </c>
    </row>
    <row r="2169" spans="1:23" hidden="1" x14ac:dyDescent="0.55000000000000004">
      <c r="A2169" s="264" t="s">
        <v>2066</v>
      </c>
      <c r="B2169" s="58" t="s">
        <v>35</v>
      </c>
      <c r="C2169" s="58" t="s">
        <v>10</v>
      </c>
      <c r="D2169" s="76" t="s">
        <v>1858</v>
      </c>
      <c r="E2169" s="76"/>
      <c r="F2169" s="76" t="s">
        <v>1666</v>
      </c>
      <c r="G2169" s="94" t="s">
        <v>1666</v>
      </c>
      <c r="H2169" s="106" t="s">
        <v>1666</v>
      </c>
      <c r="I2169" s="76"/>
      <c r="J2169" s="76"/>
      <c r="K2169" s="58" t="str">
        <f>IFERROR(VLOOKUP(L2169,'Raw material list'!$A$3:$C$715,3,0),"")</f>
        <v>DRS5-59</v>
      </c>
      <c r="L2169" s="59" t="s">
        <v>59</v>
      </c>
      <c r="M2169" s="80" t="s">
        <v>156</v>
      </c>
      <c r="N2169" s="40" t="str">
        <f>VLOOKUP(L2169,'Raw material list'!$A$3:$E$715,5,0)</f>
        <v xml:space="preserve">Gram </v>
      </c>
      <c r="O2169" s="80">
        <v>60</v>
      </c>
      <c r="P2169" s="299">
        <f t="shared" si="343"/>
        <v>60</v>
      </c>
      <c r="Q2169" s="80">
        <v>100</v>
      </c>
      <c r="R2169" s="80">
        <v>45</v>
      </c>
      <c r="S2169" s="80"/>
      <c r="T2169" s="105">
        <f t="shared" si="346"/>
        <v>1.3333333333333333</v>
      </c>
      <c r="U2169" s="105">
        <f t="shared" si="344"/>
        <v>1.3333333333333333</v>
      </c>
      <c r="V2169" s="104">
        <f>IFERROR(VLOOKUP(L2169,'Raw material list'!$A$2:$S$3102,6,0),0)</f>
        <v>1.4319999999999999E-2</v>
      </c>
      <c r="W2169" s="104">
        <f t="shared" si="345"/>
        <v>1.909333333333333E-2</v>
      </c>
    </row>
    <row r="2170" spans="1:23" hidden="1" x14ac:dyDescent="0.55000000000000004">
      <c r="A2170" s="264" t="s">
        <v>2066</v>
      </c>
      <c r="B2170" s="58" t="s">
        <v>35</v>
      </c>
      <c r="C2170" s="58" t="s">
        <v>10</v>
      </c>
      <c r="D2170" s="76" t="s">
        <v>1858</v>
      </c>
      <c r="E2170" s="76"/>
      <c r="F2170" s="76" t="s">
        <v>1666</v>
      </c>
      <c r="G2170" s="94" t="s">
        <v>1666</v>
      </c>
      <c r="H2170" s="106" t="s">
        <v>1666</v>
      </c>
      <c r="I2170" s="76"/>
      <c r="J2170" s="76"/>
      <c r="K2170" s="58" t="str">
        <f>IFERROR(VLOOKUP(L2170,'Raw material list'!$A$3:$C$715,3,0),"")</f>
        <v>DRS3-1813</v>
      </c>
      <c r="L2170" s="59" t="s">
        <v>69</v>
      </c>
      <c r="M2170" s="80" t="s">
        <v>206</v>
      </c>
      <c r="N2170" s="40" t="str">
        <f>VLOOKUP(L2170,'Raw material list'!$A$3:$E$715,5,0)</f>
        <v>Ml</v>
      </c>
      <c r="O2170" s="80">
        <v>30</v>
      </c>
      <c r="P2170" s="299">
        <f t="shared" si="343"/>
        <v>30</v>
      </c>
      <c r="Q2170" s="80">
        <v>100</v>
      </c>
      <c r="R2170" s="80">
        <v>45</v>
      </c>
      <c r="S2170" s="80"/>
      <c r="T2170" s="105">
        <f t="shared" si="346"/>
        <v>0.66666666666666663</v>
      </c>
      <c r="U2170" s="105">
        <f t="shared" si="344"/>
        <v>0.66666666666666663</v>
      </c>
      <c r="V2170" s="104">
        <f>IFERROR(VLOOKUP(L2170,'Raw material list'!$A$2:$S$3102,6,0),0)</f>
        <v>8.0555555555555554E-3</v>
      </c>
      <c r="W2170" s="104">
        <f t="shared" si="345"/>
        <v>5.37037037037037E-3</v>
      </c>
    </row>
    <row r="2171" spans="1:23" hidden="1" x14ac:dyDescent="0.55000000000000004">
      <c r="A2171" s="264" t="s">
        <v>2066</v>
      </c>
      <c r="B2171" s="58" t="s">
        <v>35</v>
      </c>
      <c r="C2171" s="58" t="s">
        <v>10</v>
      </c>
      <c r="D2171" s="76" t="s">
        <v>1858</v>
      </c>
      <c r="E2171" s="76"/>
      <c r="F2171" s="76" t="s">
        <v>1666</v>
      </c>
      <c r="G2171" s="94" t="s">
        <v>1666</v>
      </c>
      <c r="H2171" s="106" t="s">
        <v>1666</v>
      </c>
      <c r="I2171" s="76"/>
      <c r="J2171" s="76"/>
      <c r="K2171" s="58" t="str">
        <f>IFERROR(VLOOKUP(L2171,'Raw material list'!$A$3:$C$715,3,0),"")</f>
        <v>DRY2-1008</v>
      </c>
      <c r="L2171" s="59" t="s">
        <v>57</v>
      </c>
      <c r="M2171" s="80" t="s">
        <v>156</v>
      </c>
      <c r="N2171" s="40" t="str">
        <f>VLOOKUP(L2171,'Raw material list'!$A$3:$E$715,5,0)</f>
        <v xml:space="preserve">Gram </v>
      </c>
      <c r="O2171" s="80">
        <v>30</v>
      </c>
      <c r="P2171" s="299">
        <f t="shared" si="343"/>
        <v>30</v>
      </c>
      <c r="Q2171" s="80">
        <v>100</v>
      </c>
      <c r="R2171" s="80">
        <v>45</v>
      </c>
      <c r="S2171" s="80"/>
      <c r="T2171" s="105">
        <f t="shared" si="346"/>
        <v>0.66666666666666663</v>
      </c>
      <c r="U2171" s="105">
        <f t="shared" si="344"/>
        <v>0.66666666666666663</v>
      </c>
      <c r="V2171" s="104">
        <f>IFERROR(VLOOKUP(L2171,'Raw material list'!$A$2:$S$3102,6,0),0)</f>
        <v>0.03</v>
      </c>
      <c r="W2171" s="104">
        <f t="shared" si="345"/>
        <v>1.9999999999999997E-2</v>
      </c>
    </row>
    <row r="2172" spans="1:23" hidden="1" x14ac:dyDescent="0.55000000000000004">
      <c r="A2172" s="264" t="s">
        <v>2066</v>
      </c>
      <c r="B2172" s="58" t="s">
        <v>35</v>
      </c>
      <c r="C2172" s="58" t="s">
        <v>10</v>
      </c>
      <c r="D2172" s="76" t="s">
        <v>1858</v>
      </c>
      <c r="E2172" s="76"/>
      <c r="F2172" s="76" t="s">
        <v>1666</v>
      </c>
      <c r="G2172" s="94" t="s">
        <v>1666</v>
      </c>
      <c r="H2172" s="106" t="s">
        <v>1666</v>
      </c>
      <c r="I2172" s="76"/>
      <c r="J2172" s="76"/>
      <c r="K2172" s="58" t="str">
        <f>IFERROR(VLOOKUP(L2172,'Raw material list'!$A$3:$C$715,3,0),"")</f>
        <v>TAP-00001</v>
      </c>
      <c r="L2172" s="59" t="s">
        <v>1405</v>
      </c>
      <c r="M2172" s="80" t="s">
        <v>206</v>
      </c>
      <c r="N2172" s="40" t="str">
        <f>VLOOKUP(L2172,'Raw material list'!$A$3:$E$715,5,0)</f>
        <v>Ml</v>
      </c>
      <c r="O2172" s="80">
        <v>500</v>
      </c>
      <c r="P2172" s="299">
        <f t="shared" si="343"/>
        <v>500</v>
      </c>
      <c r="Q2172" s="80">
        <v>100</v>
      </c>
      <c r="R2172" s="80">
        <v>45</v>
      </c>
      <c r="S2172" s="80"/>
      <c r="T2172" s="105">
        <f t="shared" si="346"/>
        <v>11.111111111111111</v>
      </c>
      <c r="U2172" s="105">
        <f t="shared" si="344"/>
        <v>11.111111111111111</v>
      </c>
      <c r="V2172" s="104">
        <f>IFERROR(VLOOKUP(L2172,'Raw material list'!$A$2:$S$3102,6,0),0)</f>
        <v>8.0000000000000007E-5</v>
      </c>
      <c r="W2172" s="104">
        <f t="shared" si="345"/>
        <v>8.8888888888888893E-4</v>
      </c>
    </row>
    <row r="2173" spans="1:23" hidden="1" x14ac:dyDescent="0.55000000000000004">
      <c r="A2173" s="264" t="s">
        <v>2066</v>
      </c>
      <c r="B2173" s="58" t="s">
        <v>35</v>
      </c>
      <c r="C2173" s="58" t="s">
        <v>10</v>
      </c>
      <c r="D2173" s="76" t="s">
        <v>1858</v>
      </c>
      <c r="E2173" s="76"/>
      <c r="F2173" s="76" t="s">
        <v>1666</v>
      </c>
      <c r="G2173" s="94" t="s">
        <v>1666</v>
      </c>
      <c r="H2173" s="106" t="s">
        <v>1666</v>
      </c>
      <c r="I2173" s="76"/>
      <c r="J2173" s="76"/>
      <c r="K2173" s="58" t="str">
        <f>IFERROR(VLOOKUP(L2173,'Raw material list'!$A$3:$C$715,3,0),"")</f>
        <v>DRY2-1008</v>
      </c>
      <c r="L2173" s="59" t="s">
        <v>57</v>
      </c>
      <c r="M2173" s="80" t="s">
        <v>156</v>
      </c>
      <c r="N2173" s="40" t="str">
        <f>VLOOKUP(L2173,'Raw material list'!$A$3:$E$715,5,0)</f>
        <v xml:space="preserve">Gram </v>
      </c>
      <c r="O2173" s="80">
        <v>20</v>
      </c>
      <c r="P2173" s="299">
        <f t="shared" si="343"/>
        <v>20</v>
      </c>
      <c r="Q2173" s="80">
        <v>100</v>
      </c>
      <c r="R2173" s="80">
        <v>45</v>
      </c>
      <c r="S2173" s="80"/>
      <c r="T2173" s="105">
        <f t="shared" si="346"/>
        <v>0.44444444444444442</v>
      </c>
      <c r="U2173" s="105">
        <f t="shared" si="344"/>
        <v>0.44444444444444442</v>
      </c>
      <c r="V2173" s="104">
        <f>IFERROR(VLOOKUP(L2173,'Raw material list'!$A$2:$S$3102,6,0),0)</f>
        <v>0.03</v>
      </c>
      <c r="W2173" s="104">
        <f t="shared" si="345"/>
        <v>1.3333333333333332E-2</v>
      </c>
    </row>
    <row r="2174" spans="1:23" hidden="1" x14ac:dyDescent="0.55000000000000004">
      <c r="A2174" s="264" t="s">
        <v>2066</v>
      </c>
      <c r="B2174" s="58" t="s">
        <v>35</v>
      </c>
      <c r="C2174" s="58" t="s">
        <v>10</v>
      </c>
      <c r="D2174" s="76" t="s">
        <v>1858</v>
      </c>
      <c r="E2174" s="76"/>
      <c r="F2174" s="76" t="s">
        <v>1666</v>
      </c>
      <c r="G2174" s="94" t="s">
        <v>1666</v>
      </c>
      <c r="H2174" s="106" t="s">
        <v>1666</v>
      </c>
      <c r="I2174" s="76"/>
      <c r="J2174" s="76"/>
      <c r="K2174" s="58" t="str">
        <f>IFERROR(VLOOKUP(L2174,'Raw material list'!$A$3:$C$715,3,0),"")</f>
        <v>DRS3-1813</v>
      </c>
      <c r="L2174" s="59" t="s">
        <v>69</v>
      </c>
      <c r="M2174" s="80" t="s">
        <v>206</v>
      </c>
      <c r="N2174" s="40" t="str">
        <f>VLOOKUP(L2174,'Raw material list'!$A$3:$E$715,5,0)</f>
        <v>Ml</v>
      </c>
      <c r="O2174" s="80">
        <v>20</v>
      </c>
      <c r="P2174" s="299">
        <f t="shared" si="343"/>
        <v>20</v>
      </c>
      <c r="Q2174" s="80">
        <v>100</v>
      </c>
      <c r="R2174" s="80">
        <v>45</v>
      </c>
      <c r="S2174" s="80"/>
      <c r="T2174" s="105">
        <f t="shared" si="346"/>
        <v>0.44444444444444442</v>
      </c>
      <c r="U2174" s="105">
        <f t="shared" si="344"/>
        <v>0.44444444444444442</v>
      </c>
      <c r="V2174" s="104">
        <f>IFERROR(VLOOKUP(L2174,'Raw material list'!$A$2:$S$3102,6,0),0)</f>
        <v>8.0555555555555554E-3</v>
      </c>
      <c r="W2174" s="104">
        <f t="shared" si="345"/>
        <v>3.5802469135802466E-3</v>
      </c>
    </row>
    <row r="2175" spans="1:23" hidden="1" x14ac:dyDescent="0.55000000000000004">
      <c r="A2175" s="264" t="s">
        <v>2066</v>
      </c>
      <c r="B2175" s="58" t="s">
        <v>35</v>
      </c>
      <c r="C2175" s="58" t="s">
        <v>10</v>
      </c>
      <c r="D2175" s="76" t="s">
        <v>1858</v>
      </c>
      <c r="E2175" s="76"/>
      <c r="F2175" s="76" t="s">
        <v>1666</v>
      </c>
      <c r="G2175" s="94" t="s">
        <v>1666</v>
      </c>
      <c r="H2175" s="106" t="s">
        <v>1666</v>
      </c>
      <c r="I2175" s="76"/>
      <c r="J2175" s="76"/>
      <c r="K2175" s="58" t="str">
        <f>IFERROR(VLOOKUP(L2175,'Raw material list'!$A$3:$C$715,3,0),"")</f>
        <v>DRS5-40</v>
      </c>
      <c r="L2175" s="59" t="s">
        <v>58</v>
      </c>
      <c r="M2175" s="80" t="s">
        <v>156</v>
      </c>
      <c r="N2175" s="40" t="str">
        <f>VLOOKUP(L2175,'Raw material list'!$A$3:$E$715,5,0)</f>
        <v xml:space="preserve">Gram </v>
      </c>
      <c r="O2175" s="80">
        <v>40</v>
      </c>
      <c r="P2175" s="299">
        <f t="shared" si="343"/>
        <v>40</v>
      </c>
      <c r="Q2175" s="80">
        <v>100</v>
      </c>
      <c r="R2175" s="80">
        <v>45</v>
      </c>
      <c r="S2175" s="80"/>
      <c r="T2175" s="105">
        <f t="shared" si="346"/>
        <v>0.88888888888888884</v>
      </c>
      <c r="U2175" s="105">
        <f t="shared" si="344"/>
        <v>0.88888888888888884</v>
      </c>
      <c r="V2175" s="104">
        <f>IFERROR(VLOOKUP(L2175,'Raw material list'!$A$2:$S$3102,6,0),0)</f>
        <v>7.7777777777777773E-4</v>
      </c>
      <c r="W2175" s="104">
        <f t="shared" si="345"/>
        <v>6.91358024691358E-4</v>
      </c>
    </row>
    <row r="2176" spans="1:23" hidden="1" x14ac:dyDescent="0.55000000000000004">
      <c r="A2176" s="264" t="s">
        <v>2066</v>
      </c>
      <c r="B2176" s="58" t="s">
        <v>35</v>
      </c>
      <c r="C2176" s="58" t="s">
        <v>10</v>
      </c>
      <c r="D2176" s="76" t="s">
        <v>1858</v>
      </c>
      <c r="E2176" s="76"/>
      <c r="F2176" s="76" t="s">
        <v>1666</v>
      </c>
      <c r="G2176" s="94" t="s">
        <v>1666</v>
      </c>
      <c r="H2176" s="106" t="s">
        <v>1666</v>
      </c>
      <c r="I2176" s="76"/>
      <c r="J2176" s="76"/>
      <c r="K2176" s="58" t="str">
        <f>IFERROR(VLOOKUP(L2176,'Raw material list'!$A$3:$C$715,3,0),"")</f>
        <v>TAP-00001</v>
      </c>
      <c r="L2176" s="59" t="s">
        <v>1405</v>
      </c>
      <c r="M2176" s="80" t="s">
        <v>206</v>
      </c>
      <c r="N2176" s="40" t="str">
        <f>VLOOKUP(L2176,'Raw material list'!$A$3:$E$715,5,0)</f>
        <v>Ml</v>
      </c>
      <c r="O2176" s="80">
        <v>450</v>
      </c>
      <c r="P2176" s="299">
        <f t="shared" si="343"/>
        <v>450</v>
      </c>
      <c r="Q2176" s="80">
        <v>100</v>
      </c>
      <c r="R2176" s="80">
        <v>45</v>
      </c>
      <c r="S2176" s="80"/>
      <c r="T2176" s="105">
        <f t="shared" si="346"/>
        <v>10</v>
      </c>
      <c r="U2176" s="105">
        <f t="shared" si="344"/>
        <v>10</v>
      </c>
      <c r="V2176" s="104">
        <f>IFERROR(VLOOKUP(L2176,'Raw material list'!$A$2:$S$3102,6,0),0)</f>
        <v>8.0000000000000007E-5</v>
      </c>
      <c r="W2176" s="104">
        <f t="shared" si="345"/>
        <v>8.0000000000000004E-4</v>
      </c>
    </row>
    <row r="2177" spans="1:23" hidden="1" x14ac:dyDescent="0.55000000000000004">
      <c r="A2177" s="264" t="s">
        <v>2066</v>
      </c>
      <c r="B2177" s="58" t="s">
        <v>35</v>
      </c>
      <c r="C2177" s="58" t="s">
        <v>10</v>
      </c>
      <c r="D2177" s="76" t="s">
        <v>1858</v>
      </c>
      <c r="E2177" s="76"/>
      <c r="F2177" s="76" t="s">
        <v>1666</v>
      </c>
      <c r="G2177" s="94" t="s">
        <v>1666</v>
      </c>
      <c r="H2177" s="106" t="s">
        <v>1666</v>
      </c>
      <c r="I2177" s="76"/>
      <c r="J2177" s="76"/>
      <c r="K2177" s="58" t="str">
        <f>IFERROR(VLOOKUP(L2177,'Raw material list'!$A$3:$C$715,3,0),"")</f>
        <v>DRS5-59</v>
      </c>
      <c r="L2177" s="59" t="s">
        <v>59</v>
      </c>
      <c r="M2177" s="80" t="s">
        <v>156</v>
      </c>
      <c r="N2177" s="40" t="str">
        <f>VLOOKUP(L2177,'Raw material list'!$A$3:$E$715,5,0)</f>
        <v xml:space="preserve">Gram </v>
      </c>
      <c r="O2177" s="80">
        <v>25</v>
      </c>
      <c r="P2177" s="299">
        <f t="shared" si="343"/>
        <v>25</v>
      </c>
      <c r="Q2177" s="80">
        <v>100</v>
      </c>
      <c r="R2177" s="80">
        <v>45</v>
      </c>
      <c r="S2177" s="80"/>
      <c r="T2177" s="105">
        <f t="shared" si="346"/>
        <v>0.55555555555555558</v>
      </c>
      <c r="U2177" s="105">
        <f t="shared" si="344"/>
        <v>0.55555555555555558</v>
      </c>
      <c r="V2177" s="104">
        <f>IFERROR(VLOOKUP(L2177,'Raw material list'!$A$2:$S$3102,6,0),0)</f>
        <v>1.4319999999999999E-2</v>
      </c>
      <c r="W2177" s="104">
        <f t="shared" si="345"/>
        <v>7.955555555555556E-3</v>
      </c>
    </row>
    <row r="2178" spans="1:23" hidden="1" x14ac:dyDescent="0.55000000000000004">
      <c r="A2178" s="264" t="s">
        <v>2066</v>
      </c>
      <c r="B2178" s="58" t="s">
        <v>35</v>
      </c>
      <c r="C2178" s="58" t="s">
        <v>10</v>
      </c>
      <c r="D2178" s="76" t="s">
        <v>1858</v>
      </c>
      <c r="E2178" s="76"/>
      <c r="F2178" s="76" t="s">
        <v>1666</v>
      </c>
      <c r="G2178" s="94" t="s">
        <v>1666</v>
      </c>
      <c r="H2178" s="106" t="s">
        <v>1666</v>
      </c>
      <c r="I2178" s="76"/>
      <c r="J2178" s="76"/>
      <c r="K2178" s="58" t="str">
        <f>IFERROR(VLOOKUP(L2178,'Raw material list'!$A$3:$C$715,3,0),"")</f>
        <v>DRS6-309</v>
      </c>
      <c r="L2178" s="59" t="s">
        <v>61</v>
      </c>
      <c r="M2178" s="80" t="s">
        <v>156</v>
      </c>
      <c r="N2178" s="40" t="str">
        <f>VLOOKUP(L2178,'Raw material list'!$A$3:$E$715,5,0)</f>
        <v xml:space="preserve">Gram </v>
      </c>
      <c r="O2178" s="80">
        <v>1</v>
      </c>
      <c r="P2178" s="299">
        <f t="shared" si="343"/>
        <v>1</v>
      </c>
      <c r="Q2178" s="80">
        <v>100</v>
      </c>
      <c r="R2178" s="80">
        <v>45</v>
      </c>
      <c r="S2178" s="80"/>
      <c r="T2178" s="105">
        <f t="shared" si="346"/>
        <v>2.2222222222222223E-2</v>
      </c>
      <c r="U2178" s="105">
        <f t="shared" si="344"/>
        <v>2.2222222222222223E-2</v>
      </c>
      <c r="V2178" s="104">
        <f>IFERROR(VLOOKUP(L2178,'Raw material list'!$A$2:$S$3102,6,0),0)</f>
        <v>2.8000000000000001E-2</v>
      </c>
      <c r="W2178" s="104">
        <f t="shared" si="345"/>
        <v>6.2222222222222225E-4</v>
      </c>
    </row>
    <row r="2179" spans="1:23" hidden="1" x14ac:dyDescent="0.55000000000000004">
      <c r="A2179" s="264" t="s">
        <v>2066</v>
      </c>
      <c r="B2179" s="58" t="s">
        <v>35</v>
      </c>
      <c r="C2179" s="58" t="s">
        <v>10</v>
      </c>
      <c r="D2179" s="76" t="s">
        <v>1858</v>
      </c>
      <c r="E2179" s="76"/>
      <c r="F2179" s="76" t="s">
        <v>1666</v>
      </c>
      <c r="G2179" s="94" t="s">
        <v>1666</v>
      </c>
      <c r="H2179" s="106" t="s">
        <v>1666</v>
      </c>
      <c r="I2179" s="76"/>
      <c r="J2179" s="76"/>
      <c r="K2179" s="58" t="str">
        <f>IFERROR(VLOOKUP(L2179,'Raw material list'!$A$3:$C$715,3,0),"")</f>
        <v>DRS1-1507</v>
      </c>
      <c r="L2179" s="59" t="s">
        <v>313</v>
      </c>
      <c r="M2179" s="80" t="s">
        <v>156</v>
      </c>
      <c r="N2179" s="40" t="str">
        <f>VLOOKUP(L2179,'Raw material list'!$A$3:$E$715,5,0)</f>
        <v xml:space="preserve">Gram </v>
      </c>
      <c r="O2179" s="80">
        <v>5</v>
      </c>
      <c r="P2179" s="299">
        <f t="shared" si="343"/>
        <v>5</v>
      </c>
      <c r="Q2179" s="80">
        <v>100</v>
      </c>
      <c r="R2179" s="80">
        <v>45</v>
      </c>
      <c r="S2179" s="80"/>
      <c r="T2179" s="105">
        <f t="shared" si="346"/>
        <v>0.1111111111111111</v>
      </c>
      <c r="U2179" s="105">
        <f t="shared" si="344"/>
        <v>0.1111111111111111</v>
      </c>
      <c r="V2179" s="104">
        <f>IFERROR(VLOOKUP(L2179,'Raw material list'!$A$2:$S$3102,6,0),0)</f>
        <v>3.5000000000000003E-2</v>
      </c>
      <c r="W2179" s="104">
        <f t="shared" si="345"/>
        <v>3.8888888888888892E-3</v>
      </c>
    </row>
    <row r="2180" spans="1:23" hidden="1" x14ac:dyDescent="0.55000000000000004">
      <c r="A2180" s="264" t="s">
        <v>2066</v>
      </c>
      <c r="B2180" s="58" t="s">
        <v>35</v>
      </c>
      <c r="C2180" s="58" t="s">
        <v>10</v>
      </c>
      <c r="D2180" s="76" t="s">
        <v>1858</v>
      </c>
      <c r="E2180" s="76"/>
      <c r="F2180" s="76" t="s">
        <v>1666</v>
      </c>
      <c r="G2180" s="94" t="s">
        <v>1666</v>
      </c>
      <c r="H2180" s="106" t="s">
        <v>1666</v>
      </c>
      <c r="I2180" s="76"/>
      <c r="J2180" s="76"/>
      <c r="K2180" s="58" t="str">
        <f>IFERROR(VLOOKUP(L2180,'Raw material list'!$A$3:$C$715,3,0),"")</f>
        <v>DRY2-1858</v>
      </c>
      <c r="L2180" s="59" t="s">
        <v>60</v>
      </c>
      <c r="M2180" s="80" t="s">
        <v>206</v>
      </c>
      <c r="N2180" s="40" t="str">
        <f>VLOOKUP(L2180,'Raw material list'!$A$3:$E$715,5,0)</f>
        <v>Ml</v>
      </c>
      <c r="O2180" s="80">
        <v>75</v>
      </c>
      <c r="P2180" s="299">
        <f t="shared" si="343"/>
        <v>75</v>
      </c>
      <c r="Q2180" s="80">
        <v>100</v>
      </c>
      <c r="R2180" s="80">
        <v>45</v>
      </c>
      <c r="S2180" s="80"/>
      <c r="T2180" s="105">
        <f t="shared" si="346"/>
        <v>1.6666666666666667</v>
      </c>
      <c r="U2180" s="105">
        <f t="shared" si="344"/>
        <v>1.6666666666666667</v>
      </c>
      <c r="V2180" s="104">
        <f>IFERROR(VLOOKUP(L2180,'Raw material list'!$A$2:$S$3102,6,0),0)</f>
        <v>9.8800000000000016E-3</v>
      </c>
      <c r="W2180" s="104">
        <f t="shared" si="345"/>
        <v>1.6466666666666671E-2</v>
      </c>
    </row>
    <row r="2181" spans="1:23" hidden="1" x14ac:dyDescent="0.55000000000000004">
      <c r="A2181" s="264" t="s">
        <v>2067</v>
      </c>
      <c r="B2181" s="58" t="s">
        <v>35</v>
      </c>
      <c r="C2181" s="58" t="s">
        <v>10</v>
      </c>
      <c r="D2181" s="76" t="s">
        <v>1859</v>
      </c>
      <c r="E2181" s="76"/>
      <c r="F2181" s="76" t="s">
        <v>1666</v>
      </c>
      <c r="G2181" s="94" t="s">
        <v>1666</v>
      </c>
      <c r="H2181" s="106" t="s">
        <v>1666</v>
      </c>
      <c r="I2181" s="76"/>
      <c r="J2181" s="76"/>
      <c r="K2181" s="58" t="str">
        <f>IFERROR(VLOOKUP(L2181,'Raw material list'!$A$3:$C$715,3,0),"")</f>
        <v>PLT1-37</v>
      </c>
      <c r="L2181" s="59" t="s">
        <v>861</v>
      </c>
      <c r="M2181" s="80" t="s">
        <v>48</v>
      </c>
      <c r="N2181" s="40" t="str">
        <f>VLOOKUP(L2181,'Raw material list'!$A$3:$E$715,5,0)</f>
        <v>Each</v>
      </c>
      <c r="O2181" s="80">
        <v>200</v>
      </c>
      <c r="P2181" s="299">
        <f t="shared" si="343"/>
        <v>200</v>
      </c>
      <c r="Q2181" s="80">
        <v>100</v>
      </c>
      <c r="R2181" s="80">
        <v>75</v>
      </c>
      <c r="S2181" s="80"/>
      <c r="T2181" s="105">
        <f t="shared" si="346"/>
        <v>2.6666666666666665</v>
      </c>
      <c r="U2181" s="105">
        <f t="shared" si="344"/>
        <v>2.6666666666666665</v>
      </c>
      <c r="V2181" s="104">
        <f>IFERROR(VLOOKUP(L2181,'Raw material list'!$A$2:$S$3102,6,0),0)</f>
        <v>0.48299999999999998</v>
      </c>
      <c r="W2181" s="104">
        <f t="shared" si="345"/>
        <v>1.2879999999999998</v>
      </c>
    </row>
    <row r="2182" spans="1:23" hidden="1" x14ac:dyDescent="0.55000000000000004">
      <c r="A2182" s="264" t="s">
        <v>2067</v>
      </c>
      <c r="B2182" s="58" t="s">
        <v>35</v>
      </c>
      <c r="C2182" s="58" t="s">
        <v>10</v>
      </c>
      <c r="D2182" s="76" t="s">
        <v>1859</v>
      </c>
      <c r="E2182" s="76"/>
      <c r="F2182" s="76" t="s">
        <v>1666</v>
      </c>
      <c r="G2182" s="94" t="s">
        <v>1666</v>
      </c>
      <c r="H2182" s="106" t="s">
        <v>1666</v>
      </c>
      <c r="I2182" s="76"/>
      <c r="J2182" s="76"/>
      <c r="K2182" s="58" t="str">
        <f>IFERROR(VLOOKUP(L2182,'Raw material list'!$A$3:$C$715,3,0),"")</f>
        <v>PRD1-240</v>
      </c>
      <c r="L2182" s="59" t="s">
        <v>82</v>
      </c>
      <c r="M2182" s="80" t="s">
        <v>156</v>
      </c>
      <c r="N2182" s="40" t="str">
        <f>VLOOKUP(L2182,'Raw material list'!$A$3:$E$715,5,0)</f>
        <v xml:space="preserve">Gram </v>
      </c>
      <c r="O2182" s="80">
        <v>250</v>
      </c>
      <c r="P2182" s="299">
        <f t="shared" ref="P2182:P2237" si="347">O2182/Q2182*100</f>
        <v>369.45812807881782</v>
      </c>
      <c r="Q2182" s="105">
        <v>67.666666666666657</v>
      </c>
      <c r="R2182" s="80">
        <v>75</v>
      </c>
      <c r="S2182" s="80"/>
      <c r="T2182" s="105">
        <f t="shared" si="346"/>
        <v>3.3333333333333335</v>
      </c>
      <c r="U2182" s="105">
        <f t="shared" ref="U2182:U2237" si="348">IFERROR(P2182/R2182,0)</f>
        <v>4.9261083743842375</v>
      </c>
      <c r="V2182" s="104">
        <f>IFERROR(VLOOKUP(L2182,'Raw material list'!$A$2:$S$3102,6,0),0)</f>
        <v>1.3293943870014769E-2</v>
      </c>
      <c r="W2182" s="104">
        <f t="shared" ref="W2182:W2237" si="349">IFERROR(V2182*U2182,0)</f>
        <v>6.548740822667376E-2</v>
      </c>
    </row>
    <row r="2183" spans="1:23" hidden="1" x14ac:dyDescent="0.55000000000000004">
      <c r="A2183" s="264" t="s">
        <v>2067</v>
      </c>
      <c r="B2183" s="58" t="s">
        <v>35</v>
      </c>
      <c r="C2183" s="58" t="s">
        <v>10</v>
      </c>
      <c r="D2183" s="76" t="s">
        <v>1859</v>
      </c>
      <c r="E2183" s="76"/>
      <c r="F2183" s="76" t="s">
        <v>1666</v>
      </c>
      <c r="G2183" s="94" t="s">
        <v>1666</v>
      </c>
      <c r="H2183" s="106" t="s">
        <v>1666</v>
      </c>
      <c r="I2183" s="76"/>
      <c r="J2183" s="76"/>
      <c r="K2183" s="58" t="str">
        <f>IFERROR(VLOOKUP(L2183,'Raw material list'!$A$3:$C$715,3,0),"")</f>
        <v>PRD1-239</v>
      </c>
      <c r="L2183" s="59" t="s">
        <v>1056</v>
      </c>
      <c r="M2183" s="80" t="s">
        <v>156</v>
      </c>
      <c r="N2183" s="40" t="str">
        <f>VLOOKUP(L2183,'Raw material list'!$A$3:$E$715,5,0)</f>
        <v xml:space="preserve">Gram </v>
      </c>
      <c r="O2183" s="80">
        <v>250</v>
      </c>
      <c r="P2183" s="299">
        <f t="shared" si="347"/>
        <v>371.28712871287132</v>
      </c>
      <c r="Q2183" s="105">
        <v>67.333333333333329</v>
      </c>
      <c r="R2183" s="80">
        <v>75</v>
      </c>
      <c r="S2183" s="80"/>
      <c r="T2183" s="105">
        <f t="shared" si="346"/>
        <v>3.3333333333333335</v>
      </c>
      <c r="U2183" s="105">
        <f t="shared" si="348"/>
        <v>4.9504950495049513</v>
      </c>
      <c r="V2183" s="104">
        <f>IFERROR(VLOOKUP(L2183,'Raw material list'!$A$2:$S$3102,6,0),0)</f>
        <v>6.6864784546805346E-3</v>
      </c>
      <c r="W2183" s="104">
        <f t="shared" si="349"/>
        <v>3.3101378488517505E-2</v>
      </c>
    </row>
    <row r="2184" spans="1:23" hidden="1" x14ac:dyDescent="0.55000000000000004">
      <c r="A2184" s="264" t="s">
        <v>2067</v>
      </c>
      <c r="B2184" s="58" t="s">
        <v>35</v>
      </c>
      <c r="C2184" s="58" t="s">
        <v>10</v>
      </c>
      <c r="D2184" s="76" t="s">
        <v>1859</v>
      </c>
      <c r="E2184" s="76"/>
      <c r="F2184" s="76" t="s">
        <v>1666</v>
      </c>
      <c r="G2184" s="94" t="s">
        <v>1666</v>
      </c>
      <c r="H2184" s="106" t="s">
        <v>1666</v>
      </c>
      <c r="I2184" s="76"/>
      <c r="J2184" s="76"/>
      <c r="K2184" s="58" t="str">
        <f>IFERROR(VLOOKUP(L2184,'Raw material list'!$A$3:$C$715,3,0),"")</f>
        <v>PRD1-241</v>
      </c>
      <c r="L2184" s="76" t="s">
        <v>1059</v>
      </c>
      <c r="M2184" s="80" t="s">
        <v>156</v>
      </c>
      <c r="N2184" s="40" t="str">
        <f>VLOOKUP(L2184,'Raw material list'!$A$3:$E$715,5,0)</f>
        <v xml:space="preserve">Gram </v>
      </c>
      <c r="O2184" s="80">
        <v>250</v>
      </c>
      <c r="P2184" s="299">
        <f t="shared" si="347"/>
        <v>366.38983878847091</v>
      </c>
      <c r="Q2184" s="105">
        <v>68.233333333333334</v>
      </c>
      <c r="R2184" s="80">
        <v>75</v>
      </c>
      <c r="S2184" s="80"/>
      <c r="T2184" s="105">
        <f t="shared" ref="T2184:T2227" si="350">IFERROR(O2184/R2184,0)</f>
        <v>3.3333333333333335</v>
      </c>
      <c r="U2184" s="105">
        <f t="shared" si="348"/>
        <v>4.8851978505129452</v>
      </c>
      <c r="V2184" s="104">
        <f>IFERROR(VLOOKUP(L2184,'Raw material list'!$A$2:$S$3102,6,0),0)</f>
        <v>1.3196480938416421E-2</v>
      </c>
      <c r="W2184" s="104">
        <f t="shared" si="349"/>
        <v>6.4467420314686955E-2</v>
      </c>
    </row>
    <row r="2185" spans="1:23" hidden="1" x14ac:dyDescent="0.55000000000000004">
      <c r="A2185" s="264" t="s">
        <v>2067</v>
      </c>
      <c r="B2185" s="58" t="s">
        <v>35</v>
      </c>
      <c r="C2185" s="58" t="s">
        <v>10</v>
      </c>
      <c r="D2185" s="76" t="s">
        <v>1859</v>
      </c>
      <c r="E2185" s="76"/>
      <c r="F2185" s="76" t="s">
        <v>1666</v>
      </c>
      <c r="G2185" s="94" t="s">
        <v>1666</v>
      </c>
      <c r="H2185" s="106" t="s">
        <v>1666</v>
      </c>
      <c r="I2185" s="76"/>
      <c r="J2185" s="76"/>
      <c r="K2185" s="58" t="str">
        <f>IFERROR(VLOOKUP(L2185,'Raw material list'!$A$3:$C$715,3,0),"")</f>
        <v>DRS1-3880</v>
      </c>
      <c r="L2185" s="76" t="s">
        <v>1433</v>
      </c>
      <c r="M2185" s="80" t="s">
        <v>156</v>
      </c>
      <c r="N2185" s="40" t="str">
        <f>VLOOKUP(L2185,'Raw material list'!$A$3:$E$715,5,0)</f>
        <v xml:space="preserve">Gram </v>
      </c>
      <c r="O2185" s="80">
        <v>20</v>
      </c>
      <c r="P2185" s="299">
        <f t="shared" si="347"/>
        <v>20</v>
      </c>
      <c r="Q2185" s="303">
        <v>100</v>
      </c>
      <c r="R2185" s="80">
        <v>75</v>
      </c>
      <c r="S2185" s="80"/>
      <c r="T2185" s="105">
        <f t="shared" si="350"/>
        <v>0.26666666666666666</v>
      </c>
      <c r="U2185" s="105">
        <f t="shared" si="348"/>
        <v>0.26666666666666666</v>
      </c>
      <c r="V2185" s="104">
        <f>IFERROR(VLOOKUP(L2185,'Raw material list'!$A$2:$S$3102,6,0),0)</f>
        <v>5.0000000000000001E-4</v>
      </c>
      <c r="W2185" s="104">
        <f t="shared" si="349"/>
        <v>1.3333333333333334E-4</v>
      </c>
    </row>
    <row r="2186" spans="1:23" hidden="1" x14ac:dyDescent="0.55000000000000004">
      <c r="A2186" s="264" t="s">
        <v>2067</v>
      </c>
      <c r="B2186" s="58" t="s">
        <v>35</v>
      </c>
      <c r="C2186" s="58" t="s">
        <v>10</v>
      </c>
      <c r="D2186" s="76" t="s">
        <v>1859</v>
      </c>
      <c r="E2186" s="76"/>
      <c r="F2186" s="76" t="s">
        <v>1666</v>
      </c>
      <c r="G2186" s="94" t="s">
        <v>1666</v>
      </c>
      <c r="H2186" s="106" t="s">
        <v>1666</v>
      </c>
      <c r="I2186" s="76"/>
      <c r="J2186" s="76"/>
      <c r="K2186" s="58" t="str">
        <f>IFERROR(VLOOKUP(L2186,'Raw material list'!$A$3:$C$715,3,0),"")</f>
        <v>DRS6-537</v>
      </c>
      <c r="L2186" s="76" t="s">
        <v>46</v>
      </c>
      <c r="M2186" s="80" t="s">
        <v>156</v>
      </c>
      <c r="N2186" s="40" t="str">
        <f>VLOOKUP(L2186,'Raw material list'!$A$3:$E$715,5,0)</f>
        <v xml:space="preserve">Gram </v>
      </c>
      <c r="O2186" s="80">
        <v>5</v>
      </c>
      <c r="P2186" s="299">
        <f t="shared" si="347"/>
        <v>5</v>
      </c>
      <c r="Q2186" s="80">
        <v>100</v>
      </c>
      <c r="R2186" s="80">
        <v>75</v>
      </c>
      <c r="S2186" s="80"/>
      <c r="T2186" s="105">
        <f t="shared" si="350"/>
        <v>6.6666666666666666E-2</v>
      </c>
      <c r="U2186" s="105">
        <f t="shared" si="348"/>
        <v>6.6666666666666666E-2</v>
      </c>
      <c r="V2186" s="104">
        <f>IFERROR(VLOOKUP(L2186,'Raw material list'!$A$2:$S$3102,6,0),0)</f>
        <v>3.5000000000000003E-2</v>
      </c>
      <c r="W2186" s="104">
        <f t="shared" si="349"/>
        <v>2.3333333333333335E-3</v>
      </c>
    </row>
    <row r="2187" spans="1:23" hidden="1" x14ac:dyDescent="0.55000000000000004">
      <c r="A2187" s="264" t="s">
        <v>2067</v>
      </c>
      <c r="B2187" s="58" t="s">
        <v>35</v>
      </c>
      <c r="C2187" s="58" t="s">
        <v>10</v>
      </c>
      <c r="D2187" s="76" t="s">
        <v>1859</v>
      </c>
      <c r="E2187" s="76"/>
      <c r="F2187" s="76" t="s">
        <v>1666</v>
      </c>
      <c r="G2187" s="94" t="s">
        <v>1666</v>
      </c>
      <c r="H2187" s="106" t="s">
        <v>1666</v>
      </c>
      <c r="I2187" s="76"/>
      <c r="J2187" s="76"/>
      <c r="K2187" s="58" t="str">
        <f>IFERROR(VLOOKUP(L2187,'Raw material list'!$A$3:$C$715,3,0),"")</f>
        <v>PRD1-4265</v>
      </c>
      <c r="L2187" s="76" t="s">
        <v>38</v>
      </c>
      <c r="M2187" s="80" t="s">
        <v>156</v>
      </c>
      <c r="N2187" s="40" t="str">
        <f>VLOOKUP(L2187,'Raw material list'!$A$3:$E$715,5,0)</f>
        <v xml:space="preserve">Gram </v>
      </c>
      <c r="O2187" s="80">
        <v>125</v>
      </c>
      <c r="P2187" s="299">
        <f t="shared" si="347"/>
        <v>147.05882352941177</v>
      </c>
      <c r="Q2187" s="105">
        <v>85</v>
      </c>
      <c r="R2187" s="80">
        <v>75</v>
      </c>
      <c r="S2187" s="80"/>
      <c r="T2187" s="105">
        <f t="shared" si="350"/>
        <v>1.6666666666666667</v>
      </c>
      <c r="U2187" s="105">
        <f t="shared" si="348"/>
        <v>1.9607843137254903</v>
      </c>
      <c r="V2187" s="104">
        <f>IFERROR(VLOOKUP(L2187,'Raw material list'!$A$2:$S$3102,6,0),0)</f>
        <v>3.529411764705882E-3</v>
      </c>
      <c r="W2187" s="104">
        <f t="shared" si="349"/>
        <v>6.920415224913495E-3</v>
      </c>
    </row>
    <row r="2188" spans="1:23" hidden="1" x14ac:dyDescent="0.55000000000000004">
      <c r="A2188" s="264" t="s">
        <v>2067</v>
      </c>
      <c r="B2188" s="58" t="s">
        <v>35</v>
      </c>
      <c r="C2188" s="58" t="s">
        <v>10</v>
      </c>
      <c r="D2188" s="76" t="s">
        <v>1859</v>
      </c>
      <c r="E2188" s="76"/>
      <c r="F2188" s="76" t="s">
        <v>1666</v>
      </c>
      <c r="G2188" s="94" t="s">
        <v>1666</v>
      </c>
      <c r="H2188" s="106" t="s">
        <v>1666</v>
      </c>
      <c r="I2188" s="76"/>
      <c r="J2188" s="76"/>
      <c r="K2188" s="58" t="str">
        <f>IFERROR(VLOOKUP(L2188,'Raw material list'!$A$3:$C$715,3,0),"")</f>
        <v>DRS1-607</v>
      </c>
      <c r="L2188" s="76" t="s">
        <v>250</v>
      </c>
      <c r="M2188" s="80" t="s">
        <v>156</v>
      </c>
      <c r="N2188" s="40" t="str">
        <f>VLOOKUP(L2188,'Raw material list'!$A$3:$E$715,5,0)</f>
        <v xml:space="preserve">Gram </v>
      </c>
      <c r="O2188" s="80">
        <v>150</v>
      </c>
      <c r="P2188" s="299">
        <f t="shared" si="347"/>
        <v>150</v>
      </c>
      <c r="Q2188" s="303">
        <v>100</v>
      </c>
      <c r="R2188" s="80">
        <v>75</v>
      </c>
      <c r="S2188" s="80"/>
      <c r="T2188" s="105">
        <f t="shared" si="350"/>
        <v>2</v>
      </c>
      <c r="U2188" s="105">
        <f t="shared" si="348"/>
        <v>2</v>
      </c>
      <c r="V2188" s="104">
        <f>IFERROR(VLOOKUP(L2188,'Raw material list'!$A$2:$S$3102,6,0),0)</f>
        <v>5.8823529411764705E-3</v>
      </c>
      <c r="W2188" s="104">
        <f t="shared" si="349"/>
        <v>1.1764705882352941E-2</v>
      </c>
    </row>
    <row r="2189" spans="1:23" hidden="1" x14ac:dyDescent="0.55000000000000004">
      <c r="A2189" s="264" t="s">
        <v>2067</v>
      </c>
      <c r="B2189" s="58" t="s">
        <v>35</v>
      </c>
      <c r="C2189" s="58" t="s">
        <v>10</v>
      </c>
      <c r="D2189" s="76" t="s">
        <v>1859</v>
      </c>
      <c r="E2189" s="76"/>
      <c r="F2189" s="76" t="s">
        <v>1666</v>
      </c>
      <c r="G2189" s="94" t="s">
        <v>1666</v>
      </c>
      <c r="H2189" s="106" t="s">
        <v>1666</v>
      </c>
      <c r="I2189" s="76"/>
      <c r="J2189" s="76"/>
      <c r="K2189" s="58" t="str">
        <f>IFERROR(VLOOKUP(L2189,'Raw material list'!$A$3:$C$715,3,0),"")</f>
        <v>PRD1-227</v>
      </c>
      <c r="L2189" s="76" t="s">
        <v>1038</v>
      </c>
      <c r="M2189" s="80" t="s">
        <v>156</v>
      </c>
      <c r="N2189" s="40" t="str">
        <f>VLOOKUP(L2189,'Raw material list'!$A$3:$E$715,5,0)</f>
        <v xml:space="preserve">Gram </v>
      </c>
      <c r="O2189" s="80">
        <v>50</v>
      </c>
      <c r="P2189" s="299">
        <f t="shared" si="347"/>
        <v>144.2307692307692</v>
      </c>
      <c r="Q2189" s="105">
        <v>34.666666666666671</v>
      </c>
      <c r="R2189" s="80">
        <v>75</v>
      </c>
      <c r="S2189" s="80"/>
      <c r="T2189" s="105">
        <f t="shared" si="350"/>
        <v>0.66666666666666663</v>
      </c>
      <c r="U2189" s="105">
        <f t="shared" si="348"/>
        <v>1.9230769230769227</v>
      </c>
      <c r="V2189" s="104">
        <f>IFERROR(VLOOKUP(L2189,'Raw material list'!$A$2:$S$3102,6,0),0)</f>
        <v>1.5850144092219021E-2</v>
      </c>
      <c r="W2189" s="104">
        <f t="shared" si="349"/>
        <v>3.0481046331190417E-2</v>
      </c>
    </row>
    <row r="2190" spans="1:23" hidden="1" x14ac:dyDescent="0.55000000000000004">
      <c r="A2190" s="264" t="s">
        <v>2067</v>
      </c>
      <c r="B2190" s="58" t="s">
        <v>35</v>
      </c>
      <c r="C2190" s="58" t="s">
        <v>10</v>
      </c>
      <c r="D2190" s="76" t="s">
        <v>1859</v>
      </c>
      <c r="E2190" s="76"/>
      <c r="F2190" s="76" t="s">
        <v>1666</v>
      </c>
      <c r="G2190" s="94" t="s">
        <v>1666</v>
      </c>
      <c r="H2190" s="106" t="s">
        <v>1666</v>
      </c>
      <c r="I2190" s="76"/>
      <c r="J2190" s="76"/>
      <c r="K2190" s="58" t="str">
        <f>IFERROR(VLOOKUP(L2190,'Raw material list'!$A$3:$C$715,3,0),"")</f>
        <v>DRS3-1813</v>
      </c>
      <c r="L2190" s="76" t="s">
        <v>69</v>
      </c>
      <c r="M2190" s="80" t="s">
        <v>206</v>
      </c>
      <c r="N2190" s="40" t="str">
        <f>VLOOKUP(L2190,'Raw material list'!$A$3:$E$715,5,0)</f>
        <v>Ml</v>
      </c>
      <c r="O2190" s="80">
        <v>100</v>
      </c>
      <c r="P2190" s="299">
        <f t="shared" si="347"/>
        <v>100</v>
      </c>
      <c r="Q2190" s="303">
        <v>100</v>
      </c>
      <c r="R2190" s="80">
        <v>75</v>
      </c>
      <c r="S2190" s="80"/>
      <c r="T2190" s="105">
        <f t="shared" si="350"/>
        <v>1.3333333333333333</v>
      </c>
      <c r="U2190" s="105">
        <f t="shared" si="348"/>
        <v>1.3333333333333333</v>
      </c>
      <c r="V2190" s="104">
        <f>IFERROR(VLOOKUP(L2190,'Raw material list'!$A$2:$S$3102,6,0),0)</f>
        <v>8.0555555555555554E-3</v>
      </c>
      <c r="W2190" s="104">
        <f t="shared" si="349"/>
        <v>1.074074074074074E-2</v>
      </c>
    </row>
    <row r="2191" spans="1:23" hidden="1" x14ac:dyDescent="0.55000000000000004">
      <c r="A2191" s="264" t="s">
        <v>2067</v>
      </c>
      <c r="B2191" s="58" t="s">
        <v>35</v>
      </c>
      <c r="C2191" s="58" t="s">
        <v>10</v>
      </c>
      <c r="D2191" s="76" t="s">
        <v>1859</v>
      </c>
      <c r="E2191" s="76"/>
      <c r="F2191" s="76" t="s">
        <v>1666</v>
      </c>
      <c r="G2191" s="94" t="s">
        <v>1666</v>
      </c>
      <c r="H2191" s="106" t="s">
        <v>1666</v>
      </c>
      <c r="I2191" s="76"/>
      <c r="J2191" s="76"/>
      <c r="K2191" s="58" t="str">
        <f>IFERROR(VLOOKUP(L2191,'Raw material list'!$A$3:$C$715,3,0),"")</f>
        <v>DRS5-40</v>
      </c>
      <c r="L2191" s="76" t="s">
        <v>58</v>
      </c>
      <c r="M2191" s="80" t="s">
        <v>156</v>
      </c>
      <c r="N2191" s="40" t="str">
        <f>VLOOKUP(L2191,'Raw material list'!$A$3:$E$715,5,0)</f>
        <v xml:space="preserve">Gram </v>
      </c>
      <c r="O2191" s="80">
        <v>25000</v>
      </c>
      <c r="P2191" s="299">
        <f t="shared" si="347"/>
        <v>25000</v>
      </c>
      <c r="Q2191" s="80">
        <v>100</v>
      </c>
      <c r="R2191" s="80">
        <v>600</v>
      </c>
      <c r="S2191" s="80"/>
      <c r="T2191" s="105">
        <f t="shared" si="350"/>
        <v>41.666666666666664</v>
      </c>
      <c r="U2191" s="105">
        <f t="shared" si="348"/>
        <v>41.666666666666664</v>
      </c>
      <c r="V2191" s="104">
        <f>IFERROR(VLOOKUP(L2191,'Raw material list'!$A$2:$S$3102,6,0),0)</f>
        <v>7.7777777777777773E-4</v>
      </c>
      <c r="W2191" s="104">
        <f t="shared" si="349"/>
        <v>3.2407407407407406E-2</v>
      </c>
    </row>
    <row r="2192" spans="1:23" hidden="1" x14ac:dyDescent="0.55000000000000004">
      <c r="A2192" s="264" t="s">
        <v>2067</v>
      </c>
      <c r="B2192" s="58" t="s">
        <v>35</v>
      </c>
      <c r="C2192" s="58" t="s">
        <v>10</v>
      </c>
      <c r="D2192" s="76" t="s">
        <v>1859</v>
      </c>
      <c r="E2192" s="76"/>
      <c r="F2192" s="76" t="s">
        <v>1666</v>
      </c>
      <c r="G2192" s="94" t="s">
        <v>1666</v>
      </c>
      <c r="H2192" s="106" t="s">
        <v>1666</v>
      </c>
      <c r="I2192" s="76"/>
      <c r="J2192" s="76"/>
      <c r="K2192" s="58" t="str">
        <f>IFERROR(VLOOKUP(L2192,'Raw material list'!$A$3:$C$715,3,0),"")</f>
        <v>DRS1-90</v>
      </c>
      <c r="L2192" s="76" t="s">
        <v>581</v>
      </c>
      <c r="M2192" s="80" t="s">
        <v>156</v>
      </c>
      <c r="N2192" s="40" t="str">
        <f>VLOOKUP(L2192,'Raw material list'!$A$3:$E$715,5,0)</f>
        <v xml:space="preserve">Gram </v>
      </c>
      <c r="O2192" s="80">
        <v>500</v>
      </c>
      <c r="P2192" s="299">
        <f t="shared" si="347"/>
        <v>500</v>
      </c>
      <c r="Q2192" s="80">
        <v>100</v>
      </c>
      <c r="R2192" s="80">
        <v>600</v>
      </c>
      <c r="S2192" s="80"/>
      <c r="T2192" s="105">
        <f t="shared" si="350"/>
        <v>0.83333333333333337</v>
      </c>
      <c r="U2192" s="105">
        <f t="shared" si="348"/>
        <v>0.83333333333333337</v>
      </c>
      <c r="V2192" s="104">
        <f>IFERROR(VLOOKUP(L2192,'Raw material list'!$A$2:$S$3102,6,0),0)</f>
        <v>1.4500000000000001E-2</v>
      </c>
      <c r="W2192" s="104">
        <f t="shared" si="349"/>
        <v>1.2083333333333335E-2</v>
      </c>
    </row>
    <row r="2193" spans="1:23" hidden="1" x14ac:dyDescent="0.55000000000000004">
      <c r="A2193" s="264" t="s">
        <v>2067</v>
      </c>
      <c r="B2193" s="58" t="s">
        <v>35</v>
      </c>
      <c r="C2193" s="58" t="s">
        <v>10</v>
      </c>
      <c r="D2193" s="76" t="s">
        <v>1859</v>
      </c>
      <c r="E2193" s="76"/>
      <c r="F2193" s="76" t="s">
        <v>1666</v>
      </c>
      <c r="G2193" s="94" t="s">
        <v>1666</v>
      </c>
      <c r="H2193" s="106" t="s">
        <v>1666</v>
      </c>
      <c r="I2193" s="76"/>
      <c r="J2193" s="76"/>
      <c r="K2193" s="58" t="str">
        <f>IFERROR(VLOOKUP(L2193,'Raw material list'!$A$3:$C$715,3,0),"")</f>
        <v>DRS1-3880</v>
      </c>
      <c r="L2193" s="76" t="s">
        <v>1433</v>
      </c>
      <c r="M2193" s="80" t="s">
        <v>156</v>
      </c>
      <c r="N2193" s="40" t="str">
        <f>VLOOKUP(L2193,'Raw material list'!$A$3:$E$715,5,0)</f>
        <v xml:space="preserve">Gram </v>
      </c>
      <c r="O2193" s="80">
        <v>500</v>
      </c>
      <c r="P2193" s="299">
        <f t="shared" si="347"/>
        <v>500</v>
      </c>
      <c r="Q2193" s="80">
        <v>100</v>
      </c>
      <c r="R2193" s="80">
        <v>600</v>
      </c>
      <c r="S2193" s="80"/>
      <c r="T2193" s="105">
        <f t="shared" si="350"/>
        <v>0.83333333333333337</v>
      </c>
      <c r="U2193" s="105">
        <f t="shared" si="348"/>
        <v>0.83333333333333337</v>
      </c>
      <c r="V2193" s="104">
        <f>IFERROR(VLOOKUP(L2193,'Raw material list'!$A$2:$S$3102,6,0),0)</f>
        <v>5.0000000000000001E-4</v>
      </c>
      <c r="W2193" s="104">
        <f t="shared" si="349"/>
        <v>4.1666666666666669E-4</v>
      </c>
    </row>
    <row r="2194" spans="1:23" hidden="1" x14ac:dyDescent="0.55000000000000004">
      <c r="A2194" s="264" t="s">
        <v>2067</v>
      </c>
      <c r="B2194" s="58" t="s">
        <v>35</v>
      </c>
      <c r="C2194" s="58" t="s">
        <v>10</v>
      </c>
      <c r="D2194" s="76" t="s">
        <v>1859</v>
      </c>
      <c r="E2194" s="76"/>
      <c r="F2194" s="76" t="s">
        <v>1666</v>
      </c>
      <c r="G2194" s="94" t="s">
        <v>1666</v>
      </c>
      <c r="H2194" s="106" t="s">
        <v>1666</v>
      </c>
      <c r="I2194" s="76"/>
      <c r="J2194" s="76"/>
      <c r="K2194" s="58" t="str">
        <f>IFERROR(VLOOKUP(L2194,'Raw material list'!$A$3:$C$715,3,0),"")</f>
        <v>DRS1-978</v>
      </c>
      <c r="L2194" s="76" t="s">
        <v>56</v>
      </c>
      <c r="M2194" s="80" t="s">
        <v>156</v>
      </c>
      <c r="N2194" s="40" t="str">
        <f>VLOOKUP(L2194,'Raw material list'!$A$3:$E$715,5,0)</f>
        <v xml:space="preserve">Gram </v>
      </c>
      <c r="O2194" s="80">
        <v>2500</v>
      </c>
      <c r="P2194" s="299">
        <f t="shared" si="347"/>
        <v>2500</v>
      </c>
      <c r="Q2194" s="80">
        <v>100</v>
      </c>
      <c r="R2194" s="80">
        <v>600</v>
      </c>
      <c r="S2194" s="80"/>
      <c r="T2194" s="105">
        <f t="shared" si="350"/>
        <v>4.166666666666667</v>
      </c>
      <c r="U2194" s="105">
        <f t="shared" si="348"/>
        <v>4.166666666666667</v>
      </c>
      <c r="V2194" s="104">
        <f>IFERROR(VLOOKUP(L2194,'Raw material list'!$A$2:$S$3102,6,0),0)</f>
        <v>2.3999999999999998E-3</v>
      </c>
      <c r="W2194" s="104">
        <f t="shared" si="349"/>
        <v>0.01</v>
      </c>
    </row>
    <row r="2195" spans="1:23" hidden="1" x14ac:dyDescent="0.55000000000000004">
      <c r="A2195" s="264" t="s">
        <v>2067</v>
      </c>
      <c r="B2195" s="58" t="s">
        <v>35</v>
      </c>
      <c r="C2195" s="58" t="s">
        <v>10</v>
      </c>
      <c r="D2195" s="76" t="s">
        <v>1859</v>
      </c>
      <c r="E2195" s="76"/>
      <c r="F2195" s="76" t="s">
        <v>1666</v>
      </c>
      <c r="G2195" s="94" t="s">
        <v>1666</v>
      </c>
      <c r="H2195" s="106" t="s">
        <v>1666</v>
      </c>
      <c r="I2195" s="76"/>
      <c r="J2195" s="76"/>
      <c r="K2195" s="58" t="str">
        <f>IFERROR(VLOOKUP(L2195,'Raw material list'!$A$3:$C$715,3,0),"")</f>
        <v>DRS5-1325</v>
      </c>
      <c r="L2195" s="76" t="s">
        <v>625</v>
      </c>
      <c r="M2195" s="80" t="s">
        <v>156</v>
      </c>
      <c r="N2195" s="40" t="str">
        <f>VLOOKUP(L2195,'Raw material list'!$A$3:$E$715,5,0)</f>
        <v xml:space="preserve">Gram </v>
      </c>
      <c r="O2195" s="80">
        <v>100</v>
      </c>
      <c r="P2195" s="299">
        <f t="shared" si="347"/>
        <v>100</v>
      </c>
      <c r="Q2195" s="80">
        <v>100</v>
      </c>
      <c r="R2195" s="80">
        <v>600</v>
      </c>
      <c r="S2195" s="80"/>
      <c r="T2195" s="105">
        <f t="shared" si="350"/>
        <v>0.16666666666666666</v>
      </c>
      <c r="U2195" s="105">
        <f t="shared" si="348"/>
        <v>0.16666666666666666</v>
      </c>
      <c r="V2195" s="104">
        <f>IFERROR(VLOOKUP(L2195,'Raw material list'!$A$2:$S$3102,6,0),0)</f>
        <v>1.17E-2</v>
      </c>
      <c r="W2195" s="104">
        <f t="shared" si="349"/>
        <v>1.9499999999999999E-3</v>
      </c>
    </row>
    <row r="2196" spans="1:23" hidden="1" x14ac:dyDescent="0.55000000000000004">
      <c r="A2196" s="264" t="s">
        <v>2067</v>
      </c>
      <c r="B2196" s="58" t="s">
        <v>35</v>
      </c>
      <c r="C2196" s="58" t="s">
        <v>10</v>
      </c>
      <c r="D2196" s="76" t="s">
        <v>1859</v>
      </c>
      <c r="E2196" s="76"/>
      <c r="F2196" s="76" t="s">
        <v>1666</v>
      </c>
      <c r="G2196" s="94" t="s">
        <v>1666</v>
      </c>
      <c r="H2196" s="106" t="s">
        <v>1666</v>
      </c>
      <c r="I2196" s="76"/>
      <c r="J2196" s="76"/>
      <c r="K2196" s="58" t="str">
        <f>IFERROR(VLOOKUP(L2196,'Raw material list'!$A$3:$C$715,3,0),"")</f>
        <v>DRY2-149</v>
      </c>
      <c r="L2196" s="76" t="s">
        <v>408</v>
      </c>
      <c r="M2196" s="80" t="s">
        <v>156</v>
      </c>
      <c r="N2196" s="40" t="str">
        <f>VLOOKUP(L2196,'Raw material list'!$A$3:$E$715,5,0)</f>
        <v xml:space="preserve">Gram </v>
      </c>
      <c r="O2196" s="80">
        <v>18000</v>
      </c>
      <c r="P2196" s="299">
        <f t="shared" si="347"/>
        <v>18000</v>
      </c>
      <c r="Q2196" s="80">
        <v>100</v>
      </c>
      <c r="R2196" s="80">
        <v>600</v>
      </c>
      <c r="S2196" s="80"/>
      <c r="T2196" s="105">
        <f t="shared" si="350"/>
        <v>30</v>
      </c>
      <c r="U2196" s="105">
        <f t="shared" si="348"/>
        <v>30</v>
      </c>
      <c r="V2196" s="104">
        <f>IFERROR(VLOOKUP(L2196,'Raw material list'!$A$2:$S$3102,6,0),0)</f>
        <v>1.0999999999999999E-2</v>
      </c>
      <c r="W2196" s="104">
        <f t="shared" si="349"/>
        <v>0.32999999999999996</v>
      </c>
    </row>
    <row r="2197" spans="1:23" hidden="1" x14ac:dyDescent="0.55000000000000004">
      <c r="A2197" s="264" t="s">
        <v>2067</v>
      </c>
      <c r="B2197" s="58" t="s">
        <v>35</v>
      </c>
      <c r="C2197" s="58" t="s">
        <v>10</v>
      </c>
      <c r="D2197" s="76" t="s">
        <v>1859</v>
      </c>
      <c r="E2197" s="76"/>
      <c r="F2197" s="76" t="s">
        <v>1666</v>
      </c>
      <c r="G2197" s="94" t="s">
        <v>1666</v>
      </c>
      <c r="H2197" s="106" t="s">
        <v>1666</v>
      </c>
      <c r="I2197" s="76"/>
      <c r="J2197" s="76"/>
      <c r="K2197" s="58" t="str">
        <f>IFERROR(VLOOKUP(L2197,'Raw material list'!$A$3:$C$715,3,0),"")</f>
        <v>DRY2-1388</v>
      </c>
      <c r="L2197" s="76" t="s">
        <v>126</v>
      </c>
      <c r="M2197" s="80" t="s">
        <v>206</v>
      </c>
      <c r="N2197" s="40" t="str">
        <f>VLOOKUP(L2197,'Raw material list'!$A$3:$E$715,5,0)</f>
        <v>Ml</v>
      </c>
      <c r="O2197" s="80">
        <v>5000</v>
      </c>
      <c r="P2197" s="299">
        <f t="shared" si="347"/>
        <v>5000</v>
      </c>
      <c r="Q2197" s="80">
        <v>100</v>
      </c>
      <c r="R2197" s="80">
        <v>600</v>
      </c>
      <c r="S2197" s="80"/>
      <c r="T2197" s="105">
        <f t="shared" si="350"/>
        <v>8.3333333333333339</v>
      </c>
      <c r="U2197" s="105">
        <f t="shared" si="348"/>
        <v>8.3333333333333339</v>
      </c>
      <c r="V2197" s="104">
        <f>IFERROR(VLOOKUP(L2197,'Raw material list'!$A$2:$S$3102,6,0),0)</f>
        <v>4.2500000000000003E-3</v>
      </c>
      <c r="W2197" s="104">
        <f t="shared" si="349"/>
        <v>3.5416666666666673E-2</v>
      </c>
    </row>
    <row r="2198" spans="1:23" hidden="1" x14ac:dyDescent="0.55000000000000004">
      <c r="A2198" s="264" t="s">
        <v>2067</v>
      </c>
      <c r="B2198" s="58" t="s">
        <v>35</v>
      </c>
      <c r="C2198" s="58" t="s">
        <v>10</v>
      </c>
      <c r="D2198" s="76" t="s">
        <v>1859</v>
      </c>
      <c r="E2198" s="76"/>
      <c r="F2198" s="76" t="s">
        <v>1666</v>
      </c>
      <c r="G2198" s="94" t="s">
        <v>1666</v>
      </c>
      <c r="H2198" s="106" t="s">
        <v>1666</v>
      </c>
      <c r="I2198" s="76"/>
      <c r="J2198" s="76"/>
      <c r="K2198" s="58" t="str">
        <f>IFERROR(VLOOKUP(L2198,'Raw material list'!$A$3:$C$715,3,0),"")</f>
        <v>TAP-00001</v>
      </c>
      <c r="L2198" s="76" t="s">
        <v>1405</v>
      </c>
      <c r="M2198" s="80" t="s">
        <v>206</v>
      </c>
      <c r="N2198" s="40" t="str">
        <f>VLOOKUP(L2198,'Raw material list'!$A$3:$E$715,5,0)</f>
        <v>Ml</v>
      </c>
      <c r="O2198" s="80">
        <v>7000</v>
      </c>
      <c r="P2198" s="299">
        <f t="shared" si="347"/>
        <v>7000</v>
      </c>
      <c r="Q2198" s="80">
        <v>100</v>
      </c>
      <c r="R2198" s="80">
        <v>600</v>
      </c>
      <c r="S2198" s="80"/>
      <c r="T2198" s="105">
        <f t="shared" si="350"/>
        <v>11.666666666666666</v>
      </c>
      <c r="U2198" s="105">
        <f t="shared" si="348"/>
        <v>11.666666666666666</v>
      </c>
      <c r="V2198" s="104">
        <f>IFERROR(VLOOKUP(L2198,'Raw material list'!$A$2:$S$3102,6,0),0)</f>
        <v>8.0000000000000007E-5</v>
      </c>
      <c r="W2198" s="104">
        <f t="shared" si="349"/>
        <v>9.3333333333333332E-4</v>
      </c>
    </row>
    <row r="2199" spans="1:23" hidden="1" x14ac:dyDescent="0.55000000000000004">
      <c r="A2199" s="264" t="s">
        <v>2067</v>
      </c>
      <c r="B2199" s="58" t="s">
        <v>35</v>
      </c>
      <c r="C2199" s="58" t="s">
        <v>10</v>
      </c>
      <c r="D2199" s="76" t="s">
        <v>1859</v>
      </c>
      <c r="E2199" s="76"/>
      <c r="F2199" s="76" t="s">
        <v>1666</v>
      </c>
      <c r="G2199" s="94" t="s">
        <v>1666</v>
      </c>
      <c r="H2199" s="106" t="s">
        <v>1666</v>
      </c>
      <c r="I2199" s="76"/>
      <c r="J2199" s="76"/>
      <c r="K2199" s="58" t="str">
        <f>IFERROR(VLOOKUP(L2199,'Raw material list'!$A$3:$C$715,3,0),"")</f>
        <v>PLT1-37</v>
      </c>
      <c r="L2199" s="76" t="s">
        <v>861</v>
      </c>
      <c r="M2199" s="80" t="s">
        <v>48</v>
      </c>
      <c r="N2199" s="40" t="str">
        <f>VLOOKUP(L2199,'Raw material list'!$A$3:$E$715,5,0)</f>
        <v>Each</v>
      </c>
      <c r="O2199" s="80">
        <v>20</v>
      </c>
      <c r="P2199" s="299">
        <f t="shared" si="347"/>
        <v>20</v>
      </c>
      <c r="Q2199" s="80">
        <v>100</v>
      </c>
      <c r="R2199" s="80">
        <v>600</v>
      </c>
      <c r="S2199" s="80"/>
      <c r="T2199" s="105">
        <f t="shared" si="350"/>
        <v>3.3333333333333333E-2</v>
      </c>
      <c r="U2199" s="105">
        <f t="shared" si="348"/>
        <v>3.3333333333333333E-2</v>
      </c>
      <c r="V2199" s="104">
        <f>IFERROR(VLOOKUP(L2199,'Raw material list'!$A$2:$S$3102,6,0),0)</f>
        <v>0.48299999999999998</v>
      </c>
      <c r="W2199" s="104">
        <f t="shared" si="349"/>
        <v>1.61E-2</v>
      </c>
    </row>
    <row r="2200" spans="1:23" hidden="1" x14ac:dyDescent="0.55000000000000004">
      <c r="A2200" s="264" t="s">
        <v>2067</v>
      </c>
      <c r="B2200" s="58" t="s">
        <v>35</v>
      </c>
      <c r="C2200" s="58" t="s">
        <v>10</v>
      </c>
      <c r="D2200" s="76" t="s">
        <v>1859</v>
      </c>
      <c r="E2200" s="76"/>
      <c r="F2200" s="76" t="s">
        <v>1666</v>
      </c>
      <c r="G2200" s="94" t="s">
        <v>1666</v>
      </c>
      <c r="H2200" s="106" t="s">
        <v>1666</v>
      </c>
      <c r="I2200" s="76"/>
      <c r="J2200" s="76"/>
      <c r="K2200" s="58" t="str">
        <f>IFERROR(VLOOKUP(L2200,'Raw material list'!$A$3:$C$715,3,0),"")</f>
        <v>DRY2-1388</v>
      </c>
      <c r="L2200" s="76" t="s">
        <v>126</v>
      </c>
      <c r="M2200" s="80" t="s">
        <v>206</v>
      </c>
      <c r="N2200" s="40" t="str">
        <f>VLOOKUP(L2200,'Raw material list'!$A$3:$E$715,5,0)</f>
        <v>Ml</v>
      </c>
      <c r="O2200" s="80">
        <v>1200</v>
      </c>
      <c r="P2200" s="299">
        <f t="shared" si="347"/>
        <v>1200</v>
      </c>
      <c r="Q2200" s="80">
        <v>100</v>
      </c>
      <c r="R2200" s="80">
        <v>600</v>
      </c>
      <c r="S2200" s="80"/>
      <c r="T2200" s="105">
        <f t="shared" si="350"/>
        <v>2</v>
      </c>
      <c r="U2200" s="105">
        <f t="shared" si="348"/>
        <v>2</v>
      </c>
      <c r="V2200" s="104">
        <f>IFERROR(VLOOKUP(L2200,'Raw material list'!$A$2:$S$3102,6,0),0)</f>
        <v>4.2500000000000003E-3</v>
      </c>
      <c r="W2200" s="104">
        <f t="shared" si="349"/>
        <v>8.5000000000000006E-3</v>
      </c>
    </row>
    <row r="2201" spans="1:23" hidden="1" x14ac:dyDescent="0.55000000000000004">
      <c r="A2201" s="264" t="s">
        <v>2067</v>
      </c>
      <c r="B2201" s="58" t="s">
        <v>35</v>
      </c>
      <c r="C2201" s="58" t="s">
        <v>10</v>
      </c>
      <c r="D2201" s="76" t="s">
        <v>1859</v>
      </c>
      <c r="E2201" s="76"/>
      <c r="F2201" s="76" t="s">
        <v>1666</v>
      </c>
      <c r="G2201" s="94" t="s">
        <v>1666</v>
      </c>
      <c r="H2201" s="106" t="s">
        <v>1666</v>
      </c>
      <c r="I2201" s="76"/>
      <c r="J2201" s="76"/>
      <c r="K2201" s="58" t="str">
        <f>IFERROR(VLOOKUP(L2201,'Raw material list'!$A$3:$C$715,3,0),"")</f>
        <v>DRY2-1858</v>
      </c>
      <c r="L2201" s="76" t="s">
        <v>60</v>
      </c>
      <c r="M2201" s="80" t="s">
        <v>206</v>
      </c>
      <c r="N2201" s="40" t="str">
        <f>VLOOKUP(L2201,'Raw material list'!$A$3:$E$715,5,0)</f>
        <v>Ml</v>
      </c>
      <c r="O2201" s="80">
        <v>600</v>
      </c>
      <c r="P2201" s="299">
        <f t="shared" si="347"/>
        <v>600</v>
      </c>
      <c r="Q2201" s="80">
        <v>100</v>
      </c>
      <c r="R2201" s="80">
        <v>600</v>
      </c>
      <c r="S2201" s="80"/>
      <c r="T2201" s="105">
        <f t="shared" si="350"/>
        <v>1</v>
      </c>
      <c r="U2201" s="105">
        <f t="shared" si="348"/>
        <v>1</v>
      </c>
      <c r="V2201" s="104">
        <f>IFERROR(VLOOKUP(L2201,'Raw material list'!$A$2:$S$3102,6,0),0)</f>
        <v>9.8800000000000016E-3</v>
      </c>
      <c r="W2201" s="104">
        <f t="shared" si="349"/>
        <v>9.8800000000000016E-3</v>
      </c>
    </row>
    <row r="2202" spans="1:23" hidden="1" x14ac:dyDescent="0.55000000000000004">
      <c r="A2202" s="264" t="s">
        <v>2067</v>
      </c>
      <c r="B2202" s="58" t="s">
        <v>35</v>
      </c>
      <c r="C2202" s="58" t="s">
        <v>10</v>
      </c>
      <c r="D2202" s="76" t="s">
        <v>1859</v>
      </c>
      <c r="E2202" s="76"/>
      <c r="F2202" s="76" t="s">
        <v>1666</v>
      </c>
      <c r="G2202" s="94" t="s">
        <v>1666</v>
      </c>
      <c r="H2202" s="106" t="s">
        <v>1666</v>
      </c>
      <c r="I2202" s="76"/>
      <c r="J2202" s="76"/>
      <c r="K2202" s="58" t="str">
        <f>IFERROR(VLOOKUP(L2202,'Raw material list'!$A$3:$C$715,3,0),"")</f>
        <v>DRS1-978</v>
      </c>
      <c r="L2202" s="76" t="s">
        <v>56</v>
      </c>
      <c r="M2202" s="80" t="s">
        <v>156</v>
      </c>
      <c r="N2202" s="40" t="str">
        <f>VLOOKUP(L2202,'Raw material list'!$A$3:$E$715,5,0)</f>
        <v xml:space="preserve">Gram </v>
      </c>
      <c r="O2202" s="80">
        <v>250</v>
      </c>
      <c r="P2202" s="299">
        <f t="shared" si="347"/>
        <v>250</v>
      </c>
      <c r="Q2202" s="80">
        <v>100</v>
      </c>
      <c r="R2202" s="80">
        <v>600</v>
      </c>
      <c r="S2202" s="80"/>
      <c r="T2202" s="105">
        <f t="shared" si="350"/>
        <v>0.41666666666666669</v>
      </c>
      <c r="U2202" s="105">
        <f t="shared" si="348"/>
        <v>0.41666666666666669</v>
      </c>
      <c r="V2202" s="104">
        <f>IFERROR(VLOOKUP(L2202,'Raw material list'!$A$2:$S$3102,6,0),0)</f>
        <v>2.3999999999999998E-3</v>
      </c>
      <c r="W2202" s="104">
        <f t="shared" si="349"/>
        <v>1E-3</v>
      </c>
    </row>
    <row r="2203" spans="1:23" hidden="1" x14ac:dyDescent="0.55000000000000004">
      <c r="A2203" s="264" t="s">
        <v>2067</v>
      </c>
      <c r="B2203" s="58" t="s">
        <v>35</v>
      </c>
      <c r="C2203" s="58" t="s">
        <v>10</v>
      </c>
      <c r="D2203" s="76" t="s">
        <v>1859</v>
      </c>
      <c r="E2203" s="76"/>
      <c r="F2203" s="76" t="s">
        <v>1666</v>
      </c>
      <c r="G2203" s="94" t="s">
        <v>1666</v>
      </c>
      <c r="H2203" s="106" t="s">
        <v>1666</v>
      </c>
      <c r="I2203" s="76"/>
      <c r="J2203" s="76"/>
      <c r="K2203" s="58" t="str">
        <f>IFERROR(VLOOKUP(L2203,'Raw material list'!$A$3:$C$715,3,0),"")</f>
        <v>DRS1-1823</v>
      </c>
      <c r="L2203" s="76" t="s">
        <v>619</v>
      </c>
      <c r="M2203" s="80" t="s">
        <v>156</v>
      </c>
      <c r="N2203" s="40" t="str">
        <f>VLOOKUP(L2203,'Raw material list'!$A$3:$E$715,5,0)</f>
        <v xml:space="preserve">Gram </v>
      </c>
      <c r="O2203" s="80">
        <v>20</v>
      </c>
      <c r="P2203" s="299">
        <f t="shared" si="347"/>
        <v>20</v>
      </c>
      <c r="Q2203" s="80">
        <v>100</v>
      </c>
      <c r="R2203" s="80">
        <v>600</v>
      </c>
      <c r="S2203" s="80"/>
      <c r="T2203" s="105">
        <f t="shared" si="350"/>
        <v>3.3333333333333333E-2</v>
      </c>
      <c r="U2203" s="105">
        <f t="shared" si="348"/>
        <v>3.3333333333333333E-2</v>
      </c>
      <c r="V2203" s="104">
        <f>IFERROR(VLOOKUP(L2203,'Raw material list'!$A$2:$S$3102,6,0),0)</f>
        <v>4.9000000000000002E-2</v>
      </c>
      <c r="W2203" s="104">
        <f t="shared" si="349"/>
        <v>1.6333333333333334E-3</v>
      </c>
    </row>
    <row r="2204" spans="1:23" hidden="1" x14ac:dyDescent="0.55000000000000004">
      <c r="A2204" s="264" t="s">
        <v>2067</v>
      </c>
      <c r="B2204" s="58" t="s">
        <v>35</v>
      </c>
      <c r="C2204" s="58" t="s">
        <v>10</v>
      </c>
      <c r="D2204" s="76" t="s">
        <v>1859</v>
      </c>
      <c r="E2204" s="76"/>
      <c r="F2204" s="76" t="s">
        <v>1666</v>
      </c>
      <c r="G2204" s="94" t="s">
        <v>1666</v>
      </c>
      <c r="H2204" s="106" t="s">
        <v>1666</v>
      </c>
      <c r="I2204" s="76"/>
      <c r="J2204" s="76"/>
      <c r="K2204" s="58" t="str">
        <f>IFERROR(VLOOKUP(L2204,'Raw material list'!$A$3:$C$715,3,0),"")</f>
        <v>DRS6-311</v>
      </c>
      <c r="L2204" s="76" t="s">
        <v>760</v>
      </c>
      <c r="M2204" s="80" t="s">
        <v>156</v>
      </c>
      <c r="N2204" s="40" t="str">
        <f>VLOOKUP(L2204,'Raw material list'!$A$3:$E$715,5,0)</f>
        <v xml:space="preserve">Gram </v>
      </c>
      <c r="O2204" s="80">
        <v>3000</v>
      </c>
      <c r="P2204" s="299">
        <f t="shared" si="347"/>
        <v>3000</v>
      </c>
      <c r="Q2204" s="80">
        <v>100</v>
      </c>
      <c r="R2204" s="80">
        <v>600</v>
      </c>
      <c r="S2204" s="80"/>
      <c r="T2204" s="105">
        <f t="shared" si="350"/>
        <v>5</v>
      </c>
      <c r="U2204" s="105">
        <f t="shared" si="348"/>
        <v>5</v>
      </c>
      <c r="V2204" s="104">
        <f>IFERROR(VLOOKUP(L2204,'Raw material list'!$A$2:$S$3102,6,0),0)</f>
        <v>0.03</v>
      </c>
      <c r="W2204" s="104">
        <f t="shared" si="349"/>
        <v>0.15</v>
      </c>
    </row>
    <row r="2205" spans="1:23" hidden="1" x14ac:dyDescent="0.55000000000000004">
      <c r="A2205" s="264" t="s">
        <v>2067</v>
      </c>
      <c r="B2205" s="58" t="s">
        <v>35</v>
      </c>
      <c r="C2205" s="58" t="s">
        <v>10</v>
      </c>
      <c r="D2205" s="76" t="s">
        <v>1859</v>
      </c>
      <c r="E2205" s="76"/>
      <c r="F2205" s="76" t="s">
        <v>1666</v>
      </c>
      <c r="G2205" s="94" t="s">
        <v>1666</v>
      </c>
      <c r="H2205" s="106" t="s">
        <v>1666</v>
      </c>
      <c r="I2205" s="76"/>
      <c r="J2205" s="76"/>
      <c r="K2205" s="58" t="str">
        <f>IFERROR(VLOOKUP(L2205,'Raw material list'!$A$3:$C$715,3,0),"")</f>
        <v>DRS6-1269</v>
      </c>
      <c r="L2205" s="76" t="s">
        <v>705</v>
      </c>
      <c r="M2205" s="80" t="s">
        <v>156</v>
      </c>
      <c r="N2205" s="40" t="str">
        <f>VLOOKUP(L2205,'Raw material list'!$A$3:$E$715,5,0)</f>
        <v xml:space="preserve">Gram </v>
      </c>
      <c r="O2205" s="80">
        <v>1200</v>
      </c>
      <c r="P2205" s="299">
        <f t="shared" si="347"/>
        <v>1200</v>
      </c>
      <c r="Q2205" s="80">
        <v>100</v>
      </c>
      <c r="R2205" s="80">
        <v>600</v>
      </c>
      <c r="S2205" s="80"/>
      <c r="T2205" s="105">
        <f t="shared" si="350"/>
        <v>2</v>
      </c>
      <c r="U2205" s="105">
        <f t="shared" si="348"/>
        <v>2</v>
      </c>
      <c r="V2205" s="104">
        <f>IFERROR(VLOOKUP(L2205,'Raw material list'!$A$2:$S$3102,6,0),0)</f>
        <v>0.03</v>
      </c>
      <c r="W2205" s="104">
        <f t="shared" si="349"/>
        <v>0.06</v>
      </c>
    </row>
    <row r="2206" spans="1:23" hidden="1" x14ac:dyDescent="0.55000000000000004">
      <c r="A2206" s="264" t="s">
        <v>2067</v>
      </c>
      <c r="B2206" s="58" t="s">
        <v>35</v>
      </c>
      <c r="C2206" s="58" t="s">
        <v>10</v>
      </c>
      <c r="D2206" s="76" t="s">
        <v>1859</v>
      </c>
      <c r="E2206" s="76"/>
      <c r="F2206" s="76" t="s">
        <v>1666</v>
      </c>
      <c r="G2206" s="94" t="s">
        <v>1666</v>
      </c>
      <c r="H2206" s="106" t="s">
        <v>1666</v>
      </c>
      <c r="I2206" s="76"/>
      <c r="J2206" s="76"/>
      <c r="K2206" s="58" t="str">
        <f>IFERROR(VLOOKUP(L2206,'Raw material list'!$A$3:$C$715,3,0),"")</f>
        <v>DRY2-1008</v>
      </c>
      <c r="L2206" s="76" t="s">
        <v>57</v>
      </c>
      <c r="M2206" s="80" t="s">
        <v>156</v>
      </c>
      <c r="N2206" s="40" t="str">
        <f>VLOOKUP(L2206,'Raw material list'!$A$3:$E$715,5,0)</f>
        <v xml:space="preserve">Gram </v>
      </c>
      <c r="O2206" s="80">
        <v>500</v>
      </c>
      <c r="P2206" s="299">
        <f t="shared" si="347"/>
        <v>500</v>
      </c>
      <c r="Q2206" s="80">
        <v>100</v>
      </c>
      <c r="R2206" s="80">
        <v>600</v>
      </c>
      <c r="S2206" s="80"/>
      <c r="T2206" s="105">
        <f t="shared" si="350"/>
        <v>0.83333333333333337</v>
      </c>
      <c r="U2206" s="105">
        <f t="shared" si="348"/>
        <v>0.83333333333333337</v>
      </c>
      <c r="V2206" s="104">
        <f>IFERROR(VLOOKUP(L2206,'Raw material list'!$A$2:$S$3102,6,0),0)</f>
        <v>0.03</v>
      </c>
      <c r="W2206" s="104">
        <f t="shared" si="349"/>
        <v>2.5000000000000001E-2</v>
      </c>
    </row>
    <row r="2207" spans="1:23" hidden="1" x14ac:dyDescent="0.55000000000000004">
      <c r="A2207" s="264" t="s">
        <v>2068</v>
      </c>
      <c r="B2207" s="58" t="s">
        <v>35</v>
      </c>
      <c r="C2207" s="58" t="s">
        <v>10</v>
      </c>
      <c r="D2207" s="76" t="s">
        <v>1860</v>
      </c>
      <c r="E2207" s="76"/>
      <c r="F2207" s="76" t="s">
        <v>1666</v>
      </c>
      <c r="G2207" s="94" t="s">
        <v>1666</v>
      </c>
      <c r="H2207" s="106" t="s">
        <v>1666</v>
      </c>
      <c r="I2207" s="76"/>
      <c r="J2207" s="76"/>
      <c r="K2207" s="58" t="str">
        <f>IFERROR(VLOOKUP(L2207,'Raw material list'!$A$3:$C$715,3,0),"")</f>
        <v>DRS1-444</v>
      </c>
      <c r="L2207" s="76" t="s">
        <v>224</v>
      </c>
      <c r="M2207" s="80" t="s">
        <v>156</v>
      </c>
      <c r="N2207" s="40" t="str">
        <f>VLOOKUP(L2207,'Raw material list'!$A$3:$E$715,5,0)</f>
        <v xml:space="preserve">Gram </v>
      </c>
      <c r="O2207" s="80">
        <v>2350</v>
      </c>
      <c r="P2207" s="299">
        <f t="shared" si="347"/>
        <v>2350</v>
      </c>
      <c r="Q2207" s="80">
        <v>100</v>
      </c>
      <c r="R2207" s="80">
        <v>30</v>
      </c>
      <c r="S2207" s="80"/>
      <c r="T2207" s="105">
        <f t="shared" si="350"/>
        <v>78.333333333333329</v>
      </c>
      <c r="U2207" s="105">
        <f t="shared" si="348"/>
        <v>78.333333333333329</v>
      </c>
      <c r="V2207" s="104">
        <f>IFERROR(VLOOKUP(L2207,'Raw material list'!$A$2:$S$3102,6,0),0)</f>
        <v>8.8999999999999999E-3</v>
      </c>
      <c r="W2207" s="104">
        <f t="shared" si="349"/>
        <v>0.6971666666666666</v>
      </c>
    </row>
    <row r="2208" spans="1:23" hidden="1" x14ac:dyDescent="0.55000000000000004">
      <c r="A2208" s="264" t="s">
        <v>2068</v>
      </c>
      <c r="B2208" s="58" t="s">
        <v>35</v>
      </c>
      <c r="C2208" s="58" t="s">
        <v>10</v>
      </c>
      <c r="D2208" s="76" t="s">
        <v>1860</v>
      </c>
      <c r="E2208" s="76"/>
      <c r="F2208" s="76" t="s">
        <v>1666</v>
      </c>
      <c r="G2208" s="94" t="s">
        <v>1666</v>
      </c>
      <c r="H2208" s="106" t="s">
        <v>1666</v>
      </c>
      <c r="I2208" s="76"/>
      <c r="J2208" s="76"/>
      <c r="K2208" s="58" t="str">
        <f>IFERROR(VLOOKUP(L2208,'Raw material list'!$A$3:$C$715,3,0),"")</f>
        <v>PRD1-572</v>
      </c>
      <c r="L2208" s="76" t="s">
        <v>54</v>
      </c>
      <c r="M2208" s="80" t="s">
        <v>156</v>
      </c>
      <c r="N2208" s="40" t="str">
        <f>VLOOKUP(L2208,'Raw material list'!$A$3:$E$715,5,0)</f>
        <v xml:space="preserve">Gram </v>
      </c>
      <c r="O2208" s="80">
        <v>200</v>
      </c>
      <c r="P2208" s="299">
        <f t="shared" si="347"/>
        <v>226.67170381564031</v>
      </c>
      <c r="Q2208" s="105">
        <v>88.233333333333348</v>
      </c>
      <c r="R2208" s="80">
        <v>30</v>
      </c>
      <c r="S2208" s="80"/>
      <c r="T2208" s="105">
        <f t="shared" si="350"/>
        <v>6.666666666666667</v>
      </c>
      <c r="U2208" s="105">
        <f t="shared" si="348"/>
        <v>7.5557234605213441</v>
      </c>
      <c r="V2208" s="104">
        <f>IFERROR(VLOOKUP(L2208,'Raw material list'!$A$2:$S$3102,6,0),0)</f>
        <v>4.5351473922902496E-3</v>
      </c>
      <c r="W2208" s="104">
        <f t="shared" si="349"/>
        <v>3.4266319548849636E-2</v>
      </c>
    </row>
    <row r="2209" spans="1:23" hidden="1" x14ac:dyDescent="0.55000000000000004">
      <c r="A2209" s="264" t="s">
        <v>2068</v>
      </c>
      <c r="B2209" s="58" t="s">
        <v>35</v>
      </c>
      <c r="C2209" s="58" t="s">
        <v>10</v>
      </c>
      <c r="D2209" s="76" t="s">
        <v>1860</v>
      </c>
      <c r="E2209" s="76"/>
      <c r="F2209" s="76" t="s">
        <v>1666</v>
      </c>
      <c r="G2209" s="94" t="s">
        <v>1666</v>
      </c>
      <c r="H2209" s="106" t="s">
        <v>1666</v>
      </c>
      <c r="I2209" s="76"/>
      <c r="J2209" s="76"/>
      <c r="K2209" s="58" t="str">
        <f>IFERROR(VLOOKUP(L2209,'Raw material list'!$A$3:$C$715,3,0),"")</f>
        <v>PRD1-4265</v>
      </c>
      <c r="L2209" s="76" t="s">
        <v>38</v>
      </c>
      <c r="M2209" s="80" t="s">
        <v>156</v>
      </c>
      <c r="N2209" s="40" t="str">
        <f>VLOOKUP(L2209,'Raw material list'!$A$3:$E$715,5,0)</f>
        <v xml:space="preserve">Gram </v>
      </c>
      <c r="O2209" s="80">
        <v>125</v>
      </c>
      <c r="P2209" s="299">
        <f t="shared" si="347"/>
        <v>147.05882352941177</v>
      </c>
      <c r="Q2209" s="105">
        <v>85</v>
      </c>
      <c r="R2209" s="80">
        <v>30</v>
      </c>
      <c r="S2209" s="80"/>
      <c r="T2209" s="105">
        <f t="shared" si="350"/>
        <v>4.166666666666667</v>
      </c>
      <c r="U2209" s="105">
        <f t="shared" si="348"/>
        <v>4.9019607843137258</v>
      </c>
      <c r="V2209" s="104">
        <f>IFERROR(VLOOKUP(L2209,'Raw material list'!$A$2:$S$3102,6,0),0)</f>
        <v>3.529411764705882E-3</v>
      </c>
      <c r="W2209" s="104">
        <f t="shared" si="349"/>
        <v>1.7301038062283738E-2</v>
      </c>
    </row>
    <row r="2210" spans="1:23" hidden="1" x14ac:dyDescent="0.55000000000000004">
      <c r="A2210" s="264" t="s">
        <v>2068</v>
      </c>
      <c r="B2210" s="58" t="s">
        <v>35</v>
      </c>
      <c r="C2210" s="58" t="s">
        <v>10</v>
      </c>
      <c r="D2210" s="76" t="s">
        <v>1860</v>
      </c>
      <c r="E2210" s="76"/>
      <c r="F2210" s="76" t="s">
        <v>1666</v>
      </c>
      <c r="G2210" s="94" t="s">
        <v>1666</v>
      </c>
      <c r="H2210" s="106" t="s">
        <v>1666</v>
      </c>
      <c r="I2210" s="76"/>
      <c r="J2210" s="76"/>
      <c r="K2210" s="58" t="str">
        <f>IFERROR(VLOOKUP(L2210,'Raw material list'!$A$3:$C$715,3,0),"")</f>
        <v>PRD1-195</v>
      </c>
      <c r="L2210" s="76" t="s">
        <v>90</v>
      </c>
      <c r="M2210" s="80" t="s">
        <v>156</v>
      </c>
      <c r="N2210" s="40" t="str">
        <f>VLOOKUP(L2210,'Raw material list'!$A$3:$E$715,5,0)</f>
        <v xml:space="preserve">Gram </v>
      </c>
      <c r="O2210" s="80">
        <v>100</v>
      </c>
      <c r="P2210" s="299">
        <f t="shared" si="347"/>
        <v>234.37499999999994</v>
      </c>
      <c r="Q2210" s="105">
        <v>42.666666666666671</v>
      </c>
      <c r="R2210" s="80">
        <v>30</v>
      </c>
      <c r="S2210" s="80"/>
      <c r="T2210" s="105">
        <f t="shared" si="350"/>
        <v>3.3333333333333335</v>
      </c>
      <c r="U2210" s="105">
        <f t="shared" si="348"/>
        <v>7.8124999999999982</v>
      </c>
      <c r="V2210" s="104">
        <f>IFERROR(VLOOKUP(L2210,'Raw material list'!$A$2:$S$3102,6,0),0)</f>
        <v>9.3676814988290415E-3</v>
      </c>
      <c r="W2210" s="104">
        <f t="shared" si="349"/>
        <v>7.3185011709601872E-2</v>
      </c>
    </row>
    <row r="2211" spans="1:23" hidden="1" x14ac:dyDescent="0.55000000000000004">
      <c r="A2211" s="264" t="s">
        <v>2068</v>
      </c>
      <c r="B2211" s="58" t="s">
        <v>35</v>
      </c>
      <c r="C2211" s="58" t="s">
        <v>10</v>
      </c>
      <c r="D2211" s="76" t="s">
        <v>1860</v>
      </c>
      <c r="E2211" s="76"/>
      <c r="F2211" s="76" t="s">
        <v>1666</v>
      </c>
      <c r="G2211" s="94" t="s">
        <v>1666</v>
      </c>
      <c r="H2211" s="106" t="s">
        <v>1666</v>
      </c>
      <c r="I2211" s="76"/>
      <c r="J2211" s="76"/>
      <c r="K2211" s="58" t="str">
        <f>IFERROR(VLOOKUP(L2211,'Raw material list'!$A$3:$C$715,3,0),"")</f>
        <v>PRD1-4327</v>
      </c>
      <c r="L2211" s="76" t="s">
        <v>39</v>
      </c>
      <c r="M2211" s="80" t="s">
        <v>156</v>
      </c>
      <c r="N2211" s="40" t="str">
        <f>VLOOKUP(L2211,'Raw material list'!$A$3:$E$715,5,0)</f>
        <v xml:space="preserve">Gram </v>
      </c>
      <c r="O2211" s="80">
        <v>15</v>
      </c>
      <c r="P2211" s="299">
        <f t="shared" si="347"/>
        <v>18.072289156626507</v>
      </c>
      <c r="Q2211" s="105">
        <v>83</v>
      </c>
      <c r="R2211" s="80">
        <v>30</v>
      </c>
      <c r="S2211" s="80"/>
      <c r="T2211" s="105">
        <f t="shared" si="350"/>
        <v>0.5</v>
      </c>
      <c r="U2211" s="105">
        <f t="shared" si="348"/>
        <v>0.60240963855421692</v>
      </c>
      <c r="V2211" s="104">
        <f>IFERROR(VLOOKUP(L2211,'Raw material list'!$A$2:$S$3102,6,0),0)</f>
        <v>1.2999999999999999E-2</v>
      </c>
      <c r="W2211" s="104">
        <f t="shared" si="349"/>
        <v>7.8313253012048199E-3</v>
      </c>
    </row>
    <row r="2212" spans="1:23" hidden="1" x14ac:dyDescent="0.55000000000000004">
      <c r="A2212" s="264" t="s">
        <v>2068</v>
      </c>
      <c r="B2212" s="58" t="s">
        <v>35</v>
      </c>
      <c r="C2212" s="58" t="s">
        <v>10</v>
      </c>
      <c r="D2212" s="76" t="s">
        <v>1860</v>
      </c>
      <c r="E2212" s="76"/>
      <c r="F2212" s="76" t="s">
        <v>1666</v>
      </c>
      <c r="G2212" s="94" t="s">
        <v>1666</v>
      </c>
      <c r="H2212" s="106" t="s">
        <v>1666</v>
      </c>
      <c r="I2212" s="76"/>
      <c r="J2212" s="76"/>
      <c r="K2212" s="58" t="str">
        <f>IFERROR(VLOOKUP(L2212,'Raw material list'!$A$3:$C$715,3,0),"")</f>
        <v>DRS6-733</v>
      </c>
      <c r="L2212" s="76" t="s">
        <v>45</v>
      </c>
      <c r="M2212" s="80" t="s">
        <v>156</v>
      </c>
      <c r="N2212" s="40" t="str">
        <f>VLOOKUP(L2212,'Raw material list'!$A$3:$E$715,5,0)</f>
        <v xml:space="preserve">Gram </v>
      </c>
      <c r="O2212" s="80">
        <v>15</v>
      </c>
      <c r="P2212" s="299">
        <f t="shared" si="347"/>
        <v>15</v>
      </c>
      <c r="Q2212" s="303">
        <v>100</v>
      </c>
      <c r="R2212" s="80">
        <v>30</v>
      </c>
      <c r="S2212" s="80"/>
      <c r="T2212" s="105">
        <f t="shared" si="350"/>
        <v>0.5</v>
      </c>
      <c r="U2212" s="105">
        <f t="shared" si="348"/>
        <v>0.5</v>
      </c>
      <c r="V2212" s="104">
        <f>IFERROR(VLOOKUP(L2212,'Raw material list'!$A$2:$S$3102,6,0),0)</f>
        <v>2.8000000000000001E-2</v>
      </c>
      <c r="W2212" s="104">
        <f t="shared" si="349"/>
        <v>1.4E-2</v>
      </c>
    </row>
    <row r="2213" spans="1:23" hidden="1" x14ac:dyDescent="0.55000000000000004">
      <c r="A2213" s="264" t="s">
        <v>2068</v>
      </c>
      <c r="B2213" s="58" t="s">
        <v>35</v>
      </c>
      <c r="C2213" s="58" t="s">
        <v>10</v>
      </c>
      <c r="D2213" s="76" t="s">
        <v>1860</v>
      </c>
      <c r="E2213" s="76"/>
      <c r="F2213" s="76" t="s">
        <v>1666</v>
      </c>
      <c r="G2213" s="94" t="s">
        <v>1666</v>
      </c>
      <c r="H2213" s="106" t="s">
        <v>1666</v>
      </c>
      <c r="I2213" s="76"/>
      <c r="J2213" s="76"/>
      <c r="K2213" s="58" t="str">
        <f>IFERROR(VLOOKUP(L2213,'Raw material list'!$A$3:$C$715,3,0),"")</f>
        <v>DRS6-266</v>
      </c>
      <c r="L2213" s="76" t="s">
        <v>99</v>
      </c>
      <c r="M2213" s="80" t="s">
        <v>156</v>
      </c>
      <c r="N2213" s="40" t="str">
        <f>VLOOKUP(L2213,'Raw material list'!$A$3:$E$715,5,0)</f>
        <v xml:space="preserve">Gram </v>
      </c>
      <c r="O2213" s="80">
        <v>10</v>
      </c>
      <c r="P2213" s="299">
        <f t="shared" si="347"/>
        <v>10</v>
      </c>
      <c r="Q2213" s="80">
        <v>100</v>
      </c>
      <c r="R2213" s="80">
        <v>30</v>
      </c>
      <c r="S2213" s="80"/>
      <c r="T2213" s="105">
        <f t="shared" si="350"/>
        <v>0.33333333333333331</v>
      </c>
      <c r="U2213" s="105">
        <f t="shared" si="348"/>
        <v>0.33333333333333331</v>
      </c>
      <c r="V2213" s="104">
        <f>IFERROR(VLOOKUP(L2213,'Raw material list'!$A$2:$S$3102,6,0),0)</f>
        <v>1.4E-2</v>
      </c>
      <c r="W2213" s="104">
        <f t="shared" si="349"/>
        <v>4.6666666666666662E-3</v>
      </c>
    </row>
    <row r="2214" spans="1:23" hidden="1" x14ac:dyDescent="0.55000000000000004">
      <c r="A2214" s="264" t="s">
        <v>2068</v>
      </c>
      <c r="B2214" s="58" t="s">
        <v>35</v>
      </c>
      <c r="C2214" s="58" t="s">
        <v>10</v>
      </c>
      <c r="D2214" s="76" t="s">
        <v>1860</v>
      </c>
      <c r="E2214" s="76"/>
      <c r="F2214" s="76" t="s">
        <v>1666</v>
      </c>
      <c r="G2214" s="94" t="s">
        <v>1666</v>
      </c>
      <c r="H2214" s="106" t="s">
        <v>1666</v>
      </c>
      <c r="I2214" s="76"/>
      <c r="J2214" s="76"/>
      <c r="K2214" s="58" t="str">
        <f>IFERROR(VLOOKUP(L2214,'Raw material list'!$A$3:$C$715,3,0),"")</f>
        <v>DRS6-1727</v>
      </c>
      <c r="L2214" s="76" t="s">
        <v>106</v>
      </c>
      <c r="M2214" s="80" t="s">
        <v>156</v>
      </c>
      <c r="N2214" s="40" t="str">
        <f>VLOOKUP(L2214,'Raw material list'!$A$3:$E$715,5,0)</f>
        <v xml:space="preserve">Gram </v>
      </c>
      <c r="O2214" s="80">
        <v>5</v>
      </c>
      <c r="P2214" s="299">
        <f t="shared" si="347"/>
        <v>5</v>
      </c>
      <c r="Q2214" s="80">
        <v>100</v>
      </c>
      <c r="R2214" s="80">
        <v>30</v>
      </c>
      <c r="S2214" s="80"/>
      <c r="T2214" s="105">
        <f t="shared" si="350"/>
        <v>0.16666666666666666</v>
      </c>
      <c r="U2214" s="105">
        <f t="shared" si="348"/>
        <v>0.16666666666666666</v>
      </c>
      <c r="V2214" s="104">
        <f>IFERROR(VLOOKUP(L2214,'Raw material list'!$A$2:$S$3102,6,0),0)</f>
        <v>2.5000000000000001E-2</v>
      </c>
      <c r="W2214" s="104">
        <f t="shared" si="349"/>
        <v>4.1666666666666666E-3</v>
      </c>
    </row>
    <row r="2215" spans="1:23" hidden="1" x14ac:dyDescent="0.55000000000000004">
      <c r="A2215" s="264" t="s">
        <v>2068</v>
      </c>
      <c r="B2215" s="58" t="s">
        <v>35</v>
      </c>
      <c r="C2215" s="58" t="s">
        <v>10</v>
      </c>
      <c r="D2215" s="76" t="s">
        <v>1860</v>
      </c>
      <c r="E2215" s="76"/>
      <c r="F2215" s="76" t="s">
        <v>1666</v>
      </c>
      <c r="G2215" s="94" t="s">
        <v>1666</v>
      </c>
      <c r="H2215" s="106" t="s">
        <v>1666</v>
      </c>
      <c r="I2215" s="76"/>
      <c r="J2215" s="76"/>
      <c r="K2215" s="58" t="str">
        <f>IFERROR(VLOOKUP(L2215,'Raw material list'!$A$3:$C$715,3,0),"")</f>
        <v>DRS3-1615</v>
      </c>
      <c r="L2215" s="76" t="s">
        <v>50</v>
      </c>
      <c r="M2215" s="80" t="s">
        <v>206</v>
      </c>
      <c r="N2215" s="40" t="str">
        <f>VLOOKUP(L2215,'Raw material list'!$A$3:$E$715,5,0)</f>
        <v>Ml</v>
      </c>
      <c r="O2215" s="80">
        <v>150</v>
      </c>
      <c r="P2215" s="299">
        <f t="shared" si="347"/>
        <v>150</v>
      </c>
      <c r="Q2215" s="80">
        <v>100</v>
      </c>
      <c r="R2215" s="80">
        <v>30</v>
      </c>
      <c r="S2215" s="80"/>
      <c r="T2215" s="105">
        <f t="shared" si="350"/>
        <v>5</v>
      </c>
      <c r="U2215" s="105">
        <f t="shared" si="348"/>
        <v>5</v>
      </c>
      <c r="V2215" s="104">
        <f>IFERROR(VLOOKUP(L2215,'Raw material list'!$A$2:$S$3102,6,0),0)</f>
        <v>1.2E-2</v>
      </c>
      <c r="W2215" s="104">
        <f t="shared" si="349"/>
        <v>0.06</v>
      </c>
    </row>
    <row r="2216" spans="1:23" hidden="1" x14ac:dyDescent="0.55000000000000004">
      <c r="A2216" s="264" t="s">
        <v>2068</v>
      </c>
      <c r="B2216" s="58" t="s">
        <v>35</v>
      </c>
      <c r="C2216" s="58" t="s">
        <v>10</v>
      </c>
      <c r="D2216" s="76" t="s">
        <v>1860</v>
      </c>
      <c r="E2216" s="76"/>
      <c r="F2216" s="76" t="s">
        <v>1666</v>
      </c>
      <c r="G2216" s="94" t="s">
        <v>1666</v>
      </c>
      <c r="H2216" s="106" t="s">
        <v>1666</v>
      </c>
      <c r="I2216" s="76"/>
      <c r="J2216" s="76"/>
      <c r="K2216" s="58" t="str">
        <f>IFERROR(VLOOKUP(L2216,'Raw material list'!$A$3:$C$715,3,0),"")</f>
        <v>DRS5-980</v>
      </c>
      <c r="L2216" s="76" t="s">
        <v>446</v>
      </c>
      <c r="M2216" s="80" t="s">
        <v>156</v>
      </c>
      <c r="N2216" s="40" t="str">
        <f>VLOOKUP(L2216,'Raw material list'!$A$3:$E$715,5,0)</f>
        <v xml:space="preserve">Gram </v>
      </c>
      <c r="O2216" s="80">
        <v>1000</v>
      </c>
      <c r="P2216" s="299">
        <f t="shared" si="347"/>
        <v>1000</v>
      </c>
      <c r="Q2216" s="80">
        <v>100</v>
      </c>
      <c r="R2216" s="80">
        <v>45</v>
      </c>
      <c r="S2216" s="80"/>
      <c r="T2216" s="105">
        <f t="shared" si="350"/>
        <v>22.222222222222221</v>
      </c>
      <c r="U2216" s="105">
        <f t="shared" si="348"/>
        <v>22.222222222222221</v>
      </c>
      <c r="V2216" s="104">
        <f>IFERROR(VLOOKUP(L2216,'Raw material list'!$A$2:$S$3102,6,0),0)</f>
        <v>1E-3</v>
      </c>
      <c r="W2216" s="104">
        <f t="shared" si="349"/>
        <v>2.2222222222222223E-2</v>
      </c>
    </row>
    <row r="2217" spans="1:23" hidden="1" x14ac:dyDescent="0.55000000000000004">
      <c r="A2217" s="264" t="s">
        <v>2068</v>
      </c>
      <c r="B2217" s="58" t="s">
        <v>35</v>
      </c>
      <c r="C2217" s="58" t="s">
        <v>10</v>
      </c>
      <c r="D2217" s="76" t="s">
        <v>1860</v>
      </c>
      <c r="E2217" s="76"/>
      <c r="F2217" s="76" t="s">
        <v>1666</v>
      </c>
      <c r="G2217" s="94" t="s">
        <v>1666</v>
      </c>
      <c r="H2217" s="106" t="s">
        <v>1666</v>
      </c>
      <c r="I2217" s="76"/>
      <c r="J2217" s="76"/>
      <c r="K2217" s="58" t="str">
        <f>IFERROR(VLOOKUP(L2217,'Raw material list'!$A$3:$C$715,3,0),"")</f>
        <v>DRS1-90</v>
      </c>
      <c r="L2217" s="76" t="s">
        <v>581</v>
      </c>
      <c r="M2217" s="80" t="s">
        <v>156</v>
      </c>
      <c r="N2217" s="40" t="str">
        <f>VLOOKUP(L2217,'Raw material list'!$A$3:$E$715,5,0)</f>
        <v xml:space="preserve">Gram </v>
      </c>
      <c r="O2217" s="80">
        <v>10</v>
      </c>
      <c r="P2217" s="299">
        <f t="shared" si="347"/>
        <v>10</v>
      </c>
      <c r="Q2217" s="80">
        <v>100</v>
      </c>
      <c r="R2217" s="80">
        <v>45</v>
      </c>
      <c r="S2217" s="80"/>
      <c r="T2217" s="105">
        <f t="shared" si="350"/>
        <v>0.22222222222222221</v>
      </c>
      <c r="U2217" s="105">
        <f t="shared" si="348"/>
        <v>0.22222222222222221</v>
      </c>
      <c r="V2217" s="104">
        <f>IFERROR(VLOOKUP(L2217,'Raw material list'!$A$2:$S$3102,6,0),0)</f>
        <v>1.4500000000000001E-2</v>
      </c>
      <c r="W2217" s="104">
        <f t="shared" si="349"/>
        <v>3.2222222222222222E-3</v>
      </c>
    </row>
    <row r="2218" spans="1:23" hidden="1" x14ac:dyDescent="0.55000000000000004">
      <c r="A2218" s="264" t="s">
        <v>2068</v>
      </c>
      <c r="B2218" s="58" t="s">
        <v>35</v>
      </c>
      <c r="C2218" s="58" t="s">
        <v>10</v>
      </c>
      <c r="D2218" s="76" t="s">
        <v>1860</v>
      </c>
      <c r="E2218" s="76"/>
      <c r="F2218" s="76" t="s">
        <v>1666</v>
      </c>
      <c r="G2218" s="94" t="s">
        <v>1666</v>
      </c>
      <c r="H2218" s="106" t="s">
        <v>1666</v>
      </c>
      <c r="I2218" s="76"/>
      <c r="J2218" s="76"/>
      <c r="K2218" s="58" t="str">
        <f>IFERROR(VLOOKUP(L2218,'Raw material list'!$A$3:$C$715,3,0),"")</f>
        <v>DRS1-3880</v>
      </c>
      <c r="L2218" s="76" t="s">
        <v>1433</v>
      </c>
      <c r="M2218" s="80" t="s">
        <v>156</v>
      </c>
      <c r="N2218" s="40" t="str">
        <f>VLOOKUP(L2218,'Raw material list'!$A$3:$E$715,5,0)</f>
        <v xml:space="preserve">Gram </v>
      </c>
      <c r="O2218" s="80">
        <v>10</v>
      </c>
      <c r="P2218" s="299">
        <f t="shared" si="347"/>
        <v>10</v>
      </c>
      <c r="Q2218" s="80">
        <v>100</v>
      </c>
      <c r="R2218" s="80">
        <v>45</v>
      </c>
      <c r="S2218" s="80"/>
      <c r="T2218" s="105">
        <f t="shared" si="350"/>
        <v>0.22222222222222221</v>
      </c>
      <c r="U2218" s="105">
        <f t="shared" si="348"/>
        <v>0.22222222222222221</v>
      </c>
      <c r="V2218" s="104">
        <f>IFERROR(VLOOKUP(L2218,'Raw material list'!$A$2:$S$3102,6,0),0)</f>
        <v>5.0000000000000001E-4</v>
      </c>
      <c r="W2218" s="104">
        <f t="shared" si="349"/>
        <v>1.111111111111111E-4</v>
      </c>
    </row>
    <row r="2219" spans="1:23" hidden="1" x14ac:dyDescent="0.55000000000000004">
      <c r="A2219" s="264" t="s">
        <v>2068</v>
      </c>
      <c r="B2219" s="58" t="s">
        <v>35</v>
      </c>
      <c r="C2219" s="58" t="s">
        <v>10</v>
      </c>
      <c r="D2219" s="76" t="s">
        <v>1860</v>
      </c>
      <c r="E2219" s="76"/>
      <c r="F2219" s="76" t="s">
        <v>1666</v>
      </c>
      <c r="G2219" s="94" t="s">
        <v>1666</v>
      </c>
      <c r="H2219" s="106" t="s">
        <v>1666</v>
      </c>
      <c r="I2219" s="76"/>
      <c r="J2219" s="76"/>
      <c r="K2219" s="58" t="str">
        <f>IFERROR(VLOOKUP(L2219,'Raw material list'!$A$3:$C$715,3,0),"")</f>
        <v>DRS1-978</v>
      </c>
      <c r="L2219" s="76" t="s">
        <v>56</v>
      </c>
      <c r="M2219" s="80" t="s">
        <v>156</v>
      </c>
      <c r="N2219" s="40" t="str">
        <f>VLOOKUP(L2219,'Raw material list'!$A$3:$E$715,5,0)</f>
        <v xml:space="preserve">Gram </v>
      </c>
      <c r="O2219" s="80">
        <v>60</v>
      </c>
      <c r="P2219" s="299">
        <f t="shared" si="347"/>
        <v>60</v>
      </c>
      <c r="Q2219" s="80">
        <v>100</v>
      </c>
      <c r="R2219" s="80">
        <v>45</v>
      </c>
      <c r="S2219" s="80"/>
      <c r="T2219" s="105">
        <f t="shared" si="350"/>
        <v>1.3333333333333333</v>
      </c>
      <c r="U2219" s="105">
        <f t="shared" si="348"/>
        <v>1.3333333333333333</v>
      </c>
      <c r="V2219" s="104">
        <f>IFERROR(VLOOKUP(L2219,'Raw material list'!$A$2:$S$3102,6,0),0)</f>
        <v>2.3999999999999998E-3</v>
      </c>
      <c r="W2219" s="104">
        <f t="shared" si="349"/>
        <v>3.1999999999999997E-3</v>
      </c>
    </row>
    <row r="2220" spans="1:23" hidden="1" x14ac:dyDescent="0.55000000000000004">
      <c r="A2220" s="264" t="s">
        <v>2068</v>
      </c>
      <c r="B2220" s="58" t="s">
        <v>35</v>
      </c>
      <c r="C2220" s="58" t="s">
        <v>10</v>
      </c>
      <c r="D2220" s="76" t="s">
        <v>1860</v>
      </c>
      <c r="E2220" s="76"/>
      <c r="F2220" s="76" t="s">
        <v>1666</v>
      </c>
      <c r="G2220" s="94" t="s">
        <v>1666</v>
      </c>
      <c r="H2220" s="106" t="s">
        <v>1666</v>
      </c>
      <c r="I2220" s="76"/>
      <c r="J2220" s="76"/>
      <c r="K2220" s="58" t="str">
        <f>IFERROR(VLOOKUP(L2220,'Raw material list'!$A$3:$C$715,3,0),"")</f>
        <v>DRS5-59</v>
      </c>
      <c r="L2220" s="76" t="s">
        <v>59</v>
      </c>
      <c r="M2220" s="80" t="s">
        <v>156</v>
      </c>
      <c r="N2220" s="40" t="str">
        <f>VLOOKUP(L2220,'Raw material list'!$A$3:$E$715,5,0)</f>
        <v xml:space="preserve">Gram </v>
      </c>
      <c r="O2220" s="80">
        <v>60</v>
      </c>
      <c r="P2220" s="299">
        <f t="shared" si="347"/>
        <v>60</v>
      </c>
      <c r="Q2220" s="80">
        <v>100</v>
      </c>
      <c r="R2220" s="80">
        <v>45</v>
      </c>
      <c r="S2220" s="80"/>
      <c r="T2220" s="105">
        <f t="shared" si="350"/>
        <v>1.3333333333333333</v>
      </c>
      <c r="U2220" s="105">
        <f t="shared" si="348"/>
        <v>1.3333333333333333</v>
      </c>
      <c r="V2220" s="104">
        <f>IFERROR(VLOOKUP(L2220,'Raw material list'!$A$2:$S$3102,6,0),0)</f>
        <v>1.4319999999999999E-2</v>
      </c>
      <c r="W2220" s="104">
        <f t="shared" si="349"/>
        <v>1.909333333333333E-2</v>
      </c>
    </row>
    <row r="2221" spans="1:23" hidden="1" x14ac:dyDescent="0.55000000000000004">
      <c r="A2221" s="264" t="s">
        <v>2068</v>
      </c>
      <c r="B2221" s="58" t="s">
        <v>35</v>
      </c>
      <c r="C2221" s="58" t="s">
        <v>10</v>
      </c>
      <c r="D2221" s="76" t="s">
        <v>1860</v>
      </c>
      <c r="E2221" s="76"/>
      <c r="F2221" s="76" t="s">
        <v>1666</v>
      </c>
      <c r="G2221" s="94" t="s">
        <v>1666</v>
      </c>
      <c r="H2221" s="106" t="s">
        <v>1666</v>
      </c>
      <c r="I2221" s="76"/>
      <c r="J2221" s="76"/>
      <c r="K2221" s="58" t="str">
        <f>IFERROR(VLOOKUP(L2221,'Raw material list'!$A$3:$C$715,3,0),"")</f>
        <v>DRS3-1813</v>
      </c>
      <c r="L2221" s="76" t="s">
        <v>69</v>
      </c>
      <c r="M2221" s="80" t="s">
        <v>206</v>
      </c>
      <c r="N2221" s="40" t="str">
        <f>VLOOKUP(L2221,'Raw material list'!$A$3:$E$715,5,0)</f>
        <v>Ml</v>
      </c>
      <c r="O2221" s="80">
        <v>30</v>
      </c>
      <c r="P2221" s="299">
        <f t="shared" si="347"/>
        <v>30</v>
      </c>
      <c r="Q2221" s="80">
        <v>100</v>
      </c>
      <c r="R2221" s="80">
        <v>45</v>
      </c>
      <c r="S2221" s="80"/>
      <c r="T2221" s="105">
        <f t="shared" si="350"/>
        <v>0.66666666666666663</v>
      </c>
      <c r="U2221" s="105">
        <f t="shared" si="348"/>
        <v>0.66666666666666663</v>
      </c>
      <c r="V2221" s="104">
        <f>IFERROR(VLOOKUP(L2221,'Raw material list'!$A$2:$S$3102,6,0),0)</f>
        <v>8.0555555555555554E-3</v>
      </c>
      <c r="W2221" s="104">
        <f t="shared" si="349"/>
        <v>5.37037037037037E-3</v>
      </c>
    </row>
    <row r="2222" spans="1:23" hidden="1" x14ac:dyDescent="0.55000000000000004">
      <c r="A2222" s="264" t="s">
        <v>2068</v>
      </c>
      <c r="B2222" s="58" t="s">
        <v>35</v>
      </c>
      <c r="C2222" s="58" t="s">
        <v>10</v>
      </c>
      <c r="D2222" s="76" t="s">
        <v>1860</v>
      </c>
      <c r="E2222" s="76"/>
      <c r="F2222" s="76" t="s">
        <v>1666</v>
      </c>
      <c r="G2222" s="94" t="s">
        <v>1666</v>
      </c>
      <c r="H2222" s="106" t="s">
        <v>1666</v>
      </c>
      <c r="I2222" s="76"/>
      <c r="J2222" s="76"/>
      <c r="K2222" s="58" t="str">
        <f>IFERROR(VLOOKUP(L2222,'Raw material list'!$A$3:$C$715,3,0),"")</f>
        <v>DRY2-1008</v>
      </c>
      <c r="L2222" s="76" t="s">
        <v>57</v>
      </c>
      <c r="M2222" s="80" t="s">
        <v>156</v>
      </c>
      <c r="N2222" s="40" t="str">
        <f>VLOOKUP(L2222,'Raw material list'!$A$3:$E$715,5,0)</f>
        <v xml:space="preserve">Gram </v>
      </c>
      <c r="O2222" s="80">
        <v>30</v>
      </c>
      <c r="P2222" s="299">
        <f t="shared" si="347"/>
        <v>30</v>
      </c>
      <c r="Q2222" s="80">
        <v>100</v>
      </c>
      <c r="R2222" s="80">
        <v>45</v>
      </c>
      <c r="S2222" s="80"/>
      <c r="T2222" s="105">
        <f t="shared" si="350"/>
        <v>0.66666666666666663</v>
      </c>
      <c r="U2222" s="105">
        <f t="shared" si="348"/>
        <v>0.66666666666666663</v>
      </c>
      <c r="V2222" s="104">
        <f>IFERROR(VLOOKUP(L2222,'Raw material list'!$A$2:$S$3102,6,0),0)</f>
        <v>0.03</v>
      </c>
      <c r="W2222" s="104">
        <f t="shared" si="349"/>
        <v>1.9999999999999997E-2</v>
      </c>
    </row>
    <row r="2223" spans="1:23" hidden="1" x14ac:dyDescent="0.55000000000000004">
      <c r="A2223" s="264" t="s">
        <v>2068</v>
      </c>
      <c r="B2223" s="58" t="s">
        <v>35</v>
      </c>
      <c r="C2223" s="58" t="s">
        <v>10</v>
      </c>
      <c r="D2223" s="76" t="s">
        <v>1860</v>
      </c>
      <c r="E2223" s="76"/>
      <c r="F2223" s="76" t="s">
        <v>1666</v>
      </c>
      <c r="G2223" s="94" t="s">
        <v>1666</v>
      </c>
      <c r="H2223" s="106" t="s">
        <v>1666</v>
      </c>
      <c r="I2223" s="76"/>
      <c r="J2223" s="76"/>
      <c r="K2223" s="58" t="str">
        <f>IFERROR(VLOOKUP(L2223,'Raw material list'!$A$3:$C$715,3,0),"")</f>
        <v>TAP-00001</v>
      </c>
      <c r="L2223" s="76" t="s">
        <v>1405</v>
      </c>
      <c r="M2223" s="80" t="s">
        <v>206</v>
      </c>
      <c r="N2223" s="40" t="str">
        <f>VLOOKUP(L2223,'Raw material list'!$A$3:$E$715,5,0)</f>
        <v>Ml</v>
      </c>
      <c r="O2223" s="80">
        <v>500</v>
      </c>
      <c r="P2223" s="299">
        <f t="shared" si="347"/>
        <v>500</v>
      </c>
      <c r="Q2223" s="80">
        <v>100</v>
      </c>
      <c r="R2223" s="80">
        <v>45</v>
      </c>
      <c r="S2223" s="80"/>
      <c r="T2223" s="105">
        <f t="shared" si="350"/>
        <v>11.111111111111111</v>
      </c>
      <c r="U2223" s="105">
        <f t="shared" si="348"/>
        <v>11.111111111111111</v>
      </c>
      <c r="V2223" s="104">
        <f>IFERROR(VLOOKUP(L2223,'Raw material list'!$A$2:$S$3102,6,0),0)</f>
        <v>8.0000000000000007E-5</v>
      </c>
      <c r="W2223" s="104">
        <f t="shared" si="349"/>
        <v>8.8888888888888893E-4</v>
      </c>
    </row>
    <row r="2224" spans="1:23" hidden="1" x14ac:dyDescent="0.55000000000000004">
      <c r="A2224" s="264" t="s">
        <v>2068</v>
      </c>
      <c r="B2224" s="58" t="s">
        <v>35</v>
      </c>
      <c r="C2224" s="58" t="s">
        <v>10</v>
      </c>
      <c r="D2224" s="76" t="s">
        <v>1860</v>
      </c>
      <c r="E2224" s="76"/>
      <c r="F2224" s="76" t="s">
        <v>1666</v>
      </c>
      <c r="G2224" s="94" t="s">
        <v>1666</v>
      </c>
      <c r="H2224" s="106" t="s">
        <v>1666</v>
      </c>
      <c r="I2224" s="76"/>
      <c r="J2224" s="76"/>
      <c r="K2224" s="58" t="str">
        <f>IFERROR(VLOOKUP(L2224,'Raw material list'!$A$3:$C$715,3,0),"")</f>
        <v>DRS1-3358</v>
      </c>
      <c r="L2224" s="76" t="s">
        <v>93</v>
      </c>
      <c r="M2224" s="80" t="s">
        <v>156</v>
      </c>
      <c r="N2224" s="40" t="str">
        <f>VLOOKUP(L2224,'Raw material list'!$A$3:$E$715,5,0)</f>
        <v xml:space="preserve">Gram </v>
      </c>
      <c r="O2224" s="80">
        <v>675</v>
      </c>
      <c r="P2224" s="299">
        <f t="shared" si="347"/>
        <v>675</v>
      </c>
      <c r="Q2224" s="80">
        <v>100</v>
      </c>
      <c r="R2224" s="80">
        <v>45</v>
      </c>
      <c r="S2224" s="80"/>
      <c r="T2224" s="105">
        <f t="shared" si="350"/>
        <v>15</v>
      </c>
      <c r="U2224" s="105">
        <f t="shared" si="348"/>
        <v>15</v>
      </c>
      <c r="V2224" s="104">
        <f>IFERROR(VLOOKUP(L2224,'Raw material list'!$A$2:$S$3102,6,0),0)</f>
        <v>1.2776666666666665E-2</v>
      </c>
      <c r="W2224" s="104">
        <f t="shared" si="349"/>
        <v>0.19164999999999999</v>
      </c>
    </row>
    <row r="2225" spans="1:23" hidden="1" x14ac:dyDescent="0.55000000000000004">
      <c r="A2225" s="264" t="s">
        <v>2068</v>
      </c>
      <c r="B2225" s="58" t="s">
        <v>35</v>
      </c>
      <c r="C2225" s="58" t="s">
        <v>10</v>
      </c>
      <c r="D2225" s="76" t="s">
        <v>1860</v>
      </c>
      <c r="E2225" s="76"/>
      <c r="F2225" s="76" t="s">
        <v>1666</v>
      </c>
      <c r="G2225" s="94" t="s">
        <v>1666</v>
      </c>
      <c r="H2225" s="106" t="s">
        <v>1666</v>
      </c>
      <c r="I2225" s="76"/>
      <c r="J2225" s="76"/>
      <c r="K2225" s="58" t="str">
        <f>IFERROR(VLOOKUP(L2225,'Raw material list'!$A$3:$C$715,3,0),"")</f>
        <v>DRY1-1801</v>
      </c>
      <c r="L2225" s="76" t="s">
        <v>49</v>
      </c>
      <c r="M2225" s="80" t="s">
        <v>156</v>
      </c>
      <c r="N2225" s="40" t="str">
        <f>VLOOKUP(L2225,'Raw material list'!$A$3:$E$715,5,0)</f>
        <v xml:space="preserve">Gram </v>
      </c>
      <c r="O2225" s="80">
        <v>675</v>
      </c>
      <c r="P2225" s="299">
        <f t="shared" si="347"/>
        <v>675</v>
      </c>
      <c r="Q2225" s="80">
        <v>100</v>
      </c>
      <c r="R2225" s="80">
        <v>45</v>
      </c>
      <c r="S2225" s="80"/>
      <c r="T2225" s="105">
        <f t="shared" si="350"/>
        <v>15</v>
      </c>
      <c r="U2225" s="105">
        <f t="shared" si="348"/>
        <v>15</v>
      </c>
      <c r="V2225" s="104">
        <f>IFERROR(VLOOKUP(L2225,'Raw material list'!$A$2:$S$3102,6,0),0)</f>
        <v>2.5000000000000001E-2</v>
      </c>
      <c r="W2225" s="104">
        <f t="shared" si="349"/>
        <v>0.375</v>
      </c>
    </row>
    <row r="2226" spans="1:23" hidden="1" x14ac:dyDescent="0.55000000000000004">
      <c r="A2226" s="264" t="s">
        <v>2068</v>
      </c>
      <c r="B2226" s="58" t="s">
        <v>35</v>
      </c>
      <c r="C2226" s="58" t="s">
        <v>10</v>
      </c>
      <c r="D2226" s="76" t="s">
        <v>1860</v>
      </c>
      <c r="E2226" s="76"/>
      <c r="F2226" s="76" t="s">
        <v>1666</v>
      </c>
      <c r="G2226" s="94" t="s">
        <v>1666</v>
      </c>
      <c r="H2226" s="106" t="s">
        <v>1666</v>
      </c>
      <c r="I2226" s="76"/>
      <c r="J2226" s="76"/>
      <c r="K2226" s="58" t="str">
        <f>IFERROR(VLOOKUP(L2226,'Raw material list'!$A$3:$C$715,3,0),"")</f>
        <v>PRD1-240</v>
      </c>
      <c r="L2226" s="76" t="s">
        <v>82</v>
      </c>
      <c r="M2226" s="80" t="s">
        <v>156</v>
      </c>
      <c r="N2226" s="40" t="str">
        <f>VLOOKUP(L2226,'Raw material list'!$A$3:$E$715,5,0)</f>
        <v xml:space="preserve">Gram </v>
      </c>
      <c r="O2226" s="80">
        <v>75</v>
      </c>
      <c r="P2226" s="299">
        <f t="shared" si="347"/>
        <v>110.83743842364532</v>
      </c>
      <c r="Q2226" s="105">
        <v>67.666666666666657</v>
      </c>
      <c r="R2226" s="80">
        <v>45</v>
      </c>
      <c r="S2226" s="80"/>
      <c r="T2226" s="105">
        <f t="shared" si="350"/>
        <v>1.6666666666666667</v>
      </c>
      <c r="U2226" s="105">
        <f t="shared" si="348"/>
        <v>2.4630541871921183</v>
      </c>
      <c r="V2226" s="104">
        <f>IFERROR(VLOOKUP(L2226,'Raw material list'!$A$2:$S$3102,6,0),0)</f>
        <v>1.3293943870014769E-2</v>
      </c>
      <c r="W2226" s="104">
        <f t="shared" si="349"/>
        <v>3.2743704113336873E-2</v>
      </c>
    </row>
    <row r="2227" spans="1:23" hidden="1" x14ac:dyDescent="0.55000000000000004">
      <c r="A2227" s="264" t="s">
        <v>2068</v>
      </c>
      <c r="B2227" s="58" t="s">
        <v>35</v>
      </c>
      <c r="C2227" s="58" t="s">
        <v>10</v>
      </c>
      <c r="D2227" s="76" t="s">
        <v>1860</v>
      </c>
      <c r="E2227" s="76"/>
      <c r="F2227" s="76" t="s">
        <v>1666</v>
      </c>
      <c r="G2227" s="94" t="s">
        <v>1666</v>
      </c>
      <c r="H2227" s="106" t="s">
        <v>1666</v>
      </c>
      <c r="I2227" s="76"/>
      <c r="J2227" s="76"/>
      <c r="K2227" s="58" t="str">
        <f>IFERROR(VLOOKUP(L2227,'Raw material list'!$A$3:$C$715,3,0),"")</f>
        <v>PRD1-241</v>
      </c>
      <c r="L2227" s="76" t="s">
        <v>1059</v>
      </c>
      <c r="M2227" s="80" t="s">
        <v>156</v>
      </c>
      <c r="N2227" s="40" t="str">
        <f>VLOOKUP(L2227,'Raw material list'!$A$3:$E$715,5,0)</f>
        <v xml:space="preserve">Gram </v>
      </c>
      <c r="O2227" s="80">
        <v>75</v>
      </c>
      <c r="P2227" s="299">
        <f t="shared" si="347"/>
        <v>109.91695163654127</v>
      </c>
      <c r="Q2227" s="105">
        <v>68.233333333333334</v>
      </c>
      <c r="R2227" s="80">
        <v>45</v>
      </c>
      <c r="S2227" s="80"/>
      <c r="T2227" s="105">
        <f t="shared" si="350"/>
        <v>1.6666666666666667</v>
      </c>
      <c r="U2227" s="105">
        <f t="shared" si="348"/>
        <v>2.4425989252564726</v>
      </c>
      <c r="V2227" s="104">
        <f>IFERROR(VLOOKUP(L2227,'Raw material list'!$A$2:$S$3102,6,0),0)</f>
        <v>1.3196480938416421E-2</v>
      </c>
      <c r="W2227" s="104">
        <f t="shared" si="349"/>
        <v>3.2233710157343477E-2</v>
      </c>
    </row>
    <row r="2228" spans="1:23" hidden="1" x14ac:dyDescent="0.55000000000000004">
      <c r="A2228" s="264" t="s">
        <v>2069</v>
      </c>
      <c r="B2228" s="58" t="s">
        <v>35</v>
      </c>
      <c r="C2228" s="58" t="s">
        <v>10</v>
      </c>
      <c r="D2228" s="76" t="s">
        <v>1861</v>
      </c>
      <c r="E2228" s="76"/>
      <c r="F2228" s="76" t="s">
        <v>1666</v>
      </c>
      <c r="G2228" s="94" t="s">
        <v>1666</v>
      </c>
      <c r="H2228" s="106" t="s">
        <v>1666</v>
      </c>
      <c r="I2228" s="76"/>
      <c r="J2228" s="76"/>
      <c r="K2228" s="58" t="str">
        <f>IFERROR(VLOOKUP(L2228,'Raw material list'!$A$3:$C$715,3,0),"")</f>
        <v>PLT1-37</v>
      </c>
      <c r="L2228" s="76" t="s">
        <v>861</v>
      </c>
      <c r="M2228" s="80" t="s">
        <v>48</v>
      </c>
      <c r="N2228" s="40" t="str">
        <f>VLOOKUP(L2228,'Raw material list'!$A$3:$E$715,5,0)</f>
        <v>Each</v>
      </c>
      <c r="O2228" s="80">
        <v>1</v>
      </c>
      <c r="P2228" s="299">
        <f t="shared" si="347"/>
        <v>1</v>
      </c>
      <c r="Q2228" s="303">
        <v>100</v>
      </c>
      <c r="R2228" s="80">
        <v>1</v>
      </c>
      <c r="S2228" s="80"/>
      <c r="T2228" s="105">
        <f t="shared" ref="T2228:T2237" si="351">IFERROR(O2228/R2228,0)</f>
        <v>1</v>
      </c>
      <c r="U2228" s="105">
        <f t="shared" si="348"/>
        <v>1</v>
      </c>
      <c r="V2228" s="104">
        <f>IFERROR(VLOOKUP(L2228,'Raw material list'!$A$2:$S$3102,6,0),0)</f>
        <v>0.48299999999999998</v>
      </c>
      <c r="W2228" s="104">
        <f t="shared" si="349"/>
        <v>0.48299999999999998</v>
      </c>
    </row>
    <row r="2229" spans="1:23" hidden="1" x14ac:dyDescent="0.55000000000000004">
      <c r="A2229" s="264" t="s">
        <v>2069</v>
      </c>
      <c r="B2229" s="58" t="s">
        <v>35</v>
      </c>
      <c r="C2229" s="58" t="s">
        <v>10</v>
      </c>
      <c r="D2229" s="76" t="s">
        <v>1861</v>
      </c>
      <c r="E2229" s="76"/>
      <c r="F2229" s="76" t="s">
        <v>1666</v>
      </c>
      <c r="G2229" s="94" t="s">
        <v>1666</v>
      </c>
      <c r="H2229" s="106" t="s">
        <v>1666</v>
      </c>
      <c r="I2229" s="76"/>
      <c r="J2229" s="76"/>
      <c r="K2229" s="58" t="str">
        <f>IFERROR(VLOOKUP(L2229,'Raw material list'!$A$3:$C$715,3,0),"")</f>
        <v>DRS1-3880</v>
      </c>
      <c r="L2229" s="76" t="s">
        <v>1433</v>
      </c>
      <c r="M2229" s="80" t="s">
        <v>156</v>
      </c>
      <c r="N2229" s="40" t="str">
        <f>VLOOKUP(L2229,'Raw material list'!$A$3:$E$715,5,0)</f>
        <v xml:space="preserve">Gram </v>
      </c>
      <c r="O2229" s="80">
        <v>10</v>
      </c>
      <c r="P2229" s="299">
        <f t="shared" si="347"/>
        <v>10</v>
      </c>
      <c r="Q2229" s="80">
        <v>100</v>
      </c>
      <c r="R2229" s="80">
        <v>1</v>
      </c>
      <c r="S2229" s="80"/>
      <c r="T2229" s="105">
        <f t="shared" si="351"/>
        <v>10</v>
      </c>
      <c r="U2229" s="105">
        <f t="shared" si="348"/>
        <v>10</v>
      </c>
      <c r="V2229" s="104">
        <f>IFERROR(VLOOKUP(L2229,'Raw material list'!$A$2:$S$3102,6,0),0)</f>
        <v>5.0000000000000001E-4</v>
      </c>
      <c r="W2229" s="104">
        <f t="shared" si="349"/>
        <v>5.0000000000000001E-3</v>
      </c>
    </row>
    <row r="2230" spans="1:23" hidden="1" x14ac:dyDescent="0.55000000000000004">
      <c r="A2230" s="264" t="s">
        <v>2069</v>
      </c>
      <c r="B2230" s="58" t="s">
        <v>35</v>
      </c>
      <c r="C2230" s="58" t="s">
        <v>10</v>
      </c>
      <c r="D2230" s="76" t="s">
        <v>1861</v>
      </c>
      <c r="E2230" s="76"/>
      <c r="F2230" s="76" t="s">
        <v>1666</v>
      </c>
      <c r="G2230" s="94" t="s">
        <v>1666</v>
      </c>
      <c r="H2230" s="106" t="s">
        <v>1666</v>
      </c>
      <c r="I2230" s="76"/>
      <c r="J2230" s="76"/>
      <c r="K2230" s="58" t="str">
        <f>IFERROR(VLOOKUP(L2230,'Raw material list'!$A$3:$C$715,3,0),"")</f>
        <v>DRS1-1547</v>
      </c>
      <c r="L2230" s="76" t="s">
        <v>100</v>
      </c>
      <c r="M2230" s="80" t="s">
        <v>206</v>
      </c>
      <c r="N2230" s="40" t="str">
        <f>VLOOKUP(L2230,'Raw material list'!$A$3:$E$715,5,0)</f>
        <v>Ml</v>
      </c>
      <c r="O2230" s="80">
        <v>20</v>
      </c>
      <c r="P2230" s="299">
        <f t="shared" si="347"/>
        <v>20</v>
      </c>
      <c r="Q2230" s="80">
        <v>100</v>
      </c>
      <c r="R2230" s="80">
        <v>1</v>
      </c>
      <c r="S2230" s="80"/>
      <c r="T2230" s="105">
        <f t="shared" si="351"/>
        <v>20</v>
      </c>
      <c r="U2230" s="105">
        <f t="shared" si="348"/>
        <v>20</v>
      </c>
      <c r="V2230" s="104">
        <f>IFERROR(VLOOKUP(L2230,'Raw material list'!$A$2:$S$3102,6,0),0)</f>
        <v>2.3026315789473682E-3</v>
      </c>
      <c r="W2230" s="104">
        <f t="shared" si="349"/>
        <v>4.6052631578947366E-2</v>
      </c>
    </row>
    <row r="2231" spans="1:23" hidden="1" x14ac:dyDescent="0.55000000000000004">
      <c r="A2231" s="264" t="s">
        <v>2069</v>
      </c>
      <c r="B2231" s="58" t="s">
        <v>35</v>
      </c>
      <c r="C2231" s="58" t="s">
        <v>10</v>
      </c>
      <c r="D2231" s="76" t="s">
        <v>1861</v>
      </c>
      <c r="E2231" s="76"/>
      <c r="F2231" s="76" t="s">
        <v>1666</v>
      </c>
      <c r="G2231" s="94" t="s">
        <v>1666</v>
      </c>
      <c r="H2231" s="106" t="s">
        <v>1666</v>
      </c>
      <c r="I2231" s="76"/>
      <c r="J2231" s="76"/>
      <c r="K2231" s="58" t="str">
        <f>IFERROR(VLOOKUP(L2231,'Raw material list'!$A$3:$C$715,3,0),"")</f>
        <v>TAP-00001</v>
      </c>
      <c r="L2231" s="76" t="s">
        <v>1405</v>
      </c>
      <c r="M2231" s="80" t="s">
        <v>206</v>
      </c>
      <c r="N2231" s="40" t="str">
        <f>VLOOKUP(L2231,'Raw material list'!$A$3:$E$715,5,0)</f>
        <v>Ml</v>
      </c>
      <c r="O2231" s="80">
        <v>200</v>
      </c>
      <c r="P2231" s="299">
        <f t="shared" si="347"/>
        <v>200</v>
      </c>
      <c r="Q2231" s="80">
        <v>100</v>
      </c>
      <c r="R2231" s="80">
        <v>1</v>
      </c>
      <c r="S2231" s="80"/>
      <c r="T2231" s="105">
        <f t="shared" si="351"/>
        <v>200</v>
      </c>
      <c r="U2231" s="105">
        <f t="shared" si="348"/>
        <v>200</v>
      </c>
      <c r="V2231" s="104">
        <f>IFERROR(VLOOKUP(L2231,'Raw material list'!$A$2:$S$3102,6,0),0)</f>
        <v>8.0000000000000007E-5</v>
      </c>
      <c r="W2231" s="104">
        <f t="shared" si="349"/>
        <v>1.6E-2</v>
      </c>
    </row>
    <row r="2232" spans="1:23" hidden="1" x14ac:dyDescent="0.55000000000000004">
      <c r="A2232" s="264" t="s">
        <v>2069</v>
      </c>
      <c r="B2232" s="58" t="s">
        <v>35</v>
      </c>
      <c r="C2232" s="58" t="s">
        <v>10</v>
      </c>
      <c r="D2232" s="76" t="s">
        <v>1861</v>
      </c>
      <c r="E2232" s="76"/>
      <c r="F2232" s="76" t="s">
        <v>1666</v>
      </c>
      <c r="G2232" s="94" t="s">
        <v>1666</v>
      </c>
      <c r="H2232" s="106" t="s">
        <v>1666</v>
      </c>
      <c r="I2232" s="76"/>
      <c r="J2232" s="76"/>
      <c r="K2232" s="58" t="str">
        <f>IFERROR(VLOOKUP(L2232,'Raw material list'!$A$3:$C$715,3,0),"")</f>
        <v>DRS1-824</v>
      </c>
      <c r="L2232" s="76" t="s">
        <v>234</v>
      </c>
      <c r="M2232" s="80" t="s">
        <v>156</v>
      </c>
      <c r="N2232" s="40" t="str">
        <f>VLOOKUP(L2232,'Raw material list'!$A$3:$E$715,5,0)</f>
        <v xml:space="preserve">Gram </v>
      </c>
      <c r="O2232" s="80">
        <v>200</v>
      </c>
      <c r="P2232" s="299">
        <f t="shared" si="347"/>
        <v>200</v>
      </c>
      <c r="Q2232" s="80">
        <v>100</v>
      </c>
      <c r="R2232" s="80">
        <v>15</v>
      </c>
      <c r="S2232" s="80"/>
      <c r="T2232" s="105">
        <f t="shared" si="351"/>
        <v>13.333333333333334</v>
      </c>
      <c r="U2232" s="105">
        <f t="shared" si="348"/>
        <v>13.333333333333334</v>
      </c>
      <c r="V2232" s="104">
        <f>IFERROR(VLOOKUP(L2232,'Raw material list'!$A$2:$S$3102,6,0),0)</f>
        <v>1.2919999999999999E-2</v>
      </c>
      <c r="W2232" s="104">
        <f t="shared" si="349"/>
        <v>0.17226666666666665</v>
      </c>
    </row>
    <row r="2233" spans="1:23" hidden="1" x14ac:dyDescent="0.55000000000000004">
      <c r="A2233" s="264" t="s">
        <v>2069</v>
      </c>
      <c r="B2233" s="58" t="s">
        <v>35</v>
      </c>
      <c r="C2233" s="58" t="s">
        <v>10</v>
      </c>
      <c r="D2233" s="76" t="s">
        <v>1861</v>
      </c>
      <c r="E2233" s="76"/>
      <c r="F2233" s="76" t="s">
        <v>1666</v>
      </c>
      <c r="G2233" s="94" t="s">
        <v>1666</v>
      </c>
      <c r="H2233" s="106" t="s">
        <v>1666</v>
      </c>
      <c r="I2233" s="76"/>
      <c r="J2233" s="76"/>
      <c r="K2233" s="58" t="str">
        <f>IFERROR(VLOOKUP(L2233,'Raw material list'!$A$3:$C$715,3,0),"")</f>
        <v>DRY2-1388</v>
      </c>
      <c r="L2233" s="76" t="s">
        <v>126</v>
      </c>
      <c r="M2233" s="80" t="s">
        <v>206</v>
      </c>
      <c r="N2233" s="40" t="str">
        <f>VLOOKUP(L2233,'Raw material list'!$A$3:$E$715,5,0)</f>
        <v>Ml</v>
      </c>
      <c r="O2233" s="80">
        <v>3000</v>
      </c>
      <c r="P2233" s="299">
        <f t="shared" si="347"/>
        <v>3000</v>
      </c>
      <c r="Q2233" s="80">
        <v>100</v>
      </c>
      <c r="R2233" s="80">
        <v>15</v>
      </c>
      <c r="S2233" s="80"/>
      <c r="T2233" s="105">
        <f t="shared" si="351"/>
        <v>200</v>
      </c>
      <c r="U2233" s="105">
        <f t="shared" si="348"/>
        <v>200</v>
      </c>
      <c r="V2233" s="104">
        <f>IFERROR(VLOOKUP(L2233,'Raw material list'!$A$2:$S$3102,6,0),0)</f>
        <v>4.2500000000000003E-3</v>
      </c>
      <c r="W2233" s="104">
        <f t="shared" si="349"/>
        <v>0.85000000000000009</v>
      </c>
    </row>
    <row r="2234" spans="1:23" hidden="1" x14ac:dyDescent="0.55000000000000004">
      <c r="A2234" s="264" t="s">
        <v>2069</v>
      </c>
      <c r="B2234" s="58" t="s">
        <v>35</v>
      </c>
      <c r="C2234" s="58" t="s">
        <v>10</v>
      </c>
      <c r="D2234" s="76" t="s">
        <v>1861</v>
      </c>
      <c r="E2234" s="76"/>
      <c r="F2234" s="76" t="s">
        <v>1666</v>
      </c>
      <c r="G2234" s="94" t="s">
        <v>1666</v>
      </c>
      <c r="H2234" s="106" t="s">
        <v>1666</v>
      </c>
      <c r="I2234" s="76"/>
      <c r="J2234" s="76"/>
      <c r="K2234" s="58" t="str">
        <f>IFERROR(VLOOKUP(L2234,'Raw material list'!$A$3:$C$715,3,0),"")</f>
        <v>DRS1-1823</v>
      </c>
      <c r="L2234" s="76" t="s">
        <v>619</v>
      </c>
      <c r="M2234" s="80" t="s">
        <v>156</v>
      </c>
      <c r="N2234" s="40" t="str">
        <f>VLOOKUP(L2234,'Raw material list'!$A$3:$E$715,5,0)</f>
        <v xml:space="preserve">Gram </v>
      </c>
      <c r="O2234" s="80">
        <v>2</v>
      </c>
      <c r="P2234" s="299">
        <f t="shared" si="347"/>
        <v>2</v>
      </c>
      <c r="Q2234" s="80">
        <v>100</v>
      </c>
      <c r="R2234" s="80">
        <v>15</v>
      </c>
      <c r="S2234" s="80"/>
      <c r="T2234" s="105">
        <f t="shared" si="351"/>
        <v>0.13333333333333333</v>
      </c>
      <c r="U2234" s="105">
        <f t="shared" si="348"/>
        <v>0.13333333333333333</v>
      </c>
      <c r="V2234" s="104">
        <f>IFERROR(VLOOKUP(L2234,'Raw material list'!$A$2:$S$3102,6,0),0)</f>
        <v>4.9000000000000002E-2</v>
      </c>
      <c r="W2234" s="104">
        <f t="shared" si="349"/>
        <v>6.5333333333333337E-3</v>
      </c>
    </row>
    <row r="2235" spans="1:23" hidden="1" x14ac:dyDescent="0.55000000000000004">
      <c r="A2235" s="264" t="s">
        <v>2069</v>
      </c>
      <c r="B2235" s="58" t="s">
        <v>35</v>
      </c>
      <c r="C2235" s="58" t="s">
        <v>10</v>
      </c>
      <c r="D2235" s="76" t="s">
        <v>1861</v>
      </c>
      <c r="E2235" s="76"/>
      <c r="F2235" s="76" t="s">
        <v>1666</v>
      </c>
      <c r="G2235" s="94" t="s">
        <v>1666</v>
      </c>
      <c r="H2235" s="106" t="s">
        <v>1666</v>
      </c>
      <c r="I2235" s="76"/>
      <c r="J2235" s="76"/>
      <c r="K2235" s="58" t="str">
        <f>IFERROR(VLOOKUP(L2235,'Raw material list'!$A$3:$C$715,3,0),"")</f>
        <v>DRS1-978</v>
      </c>
      <c r="L2235" s="76" t="s">
        <v>56</v>
      </c>
      <c r="M2235" s="80" t="s">
        <v>156</v>
      </c>
      <c r="N2235" s="40" t="str">
        <f>VLOOKUP(L2235,'Raw material list'!$A$3:$E$715,5,0)</f>
        <v xml:space="preserve">Gram </v>
      </c>
      <c r="O2235" s="80">
        <v>70</v>
      </c>
      <c r="P2235" s="299">
        <f t="shared" si="347"/>
        <v>70</v>
      </c>
      <c r="Q2235" s="80">
        <v>100</v>
      </c>
      <c r="R2235" s="80">
        <v>15</v>
      </c>
      <c r="S2235" s="80"/>
      <c r="T2235" s="105">
        <f t="shared" si="351"/>
        <v>4.666666666666667</v>
      </c>
      <c r="U2235" s="105">
        <f t="shared" si="348"/>
        <v>4.666666666666667</v>
      </c>
      <c r="V2235" s="104">
        <f>IFERROR(VLOOKUP(L2235,'Raw material list'!$A$2:$S$3102,6,0),0)</f>
        <v>2.3999999999999998E-3</v>
      </c>
      <c r="W2235" s="104">
        <f t="shared" si="349"/>
        <v>1.12E-2</v>
      </c>
    </row>
    <row r="2236" spans="1:23" hidden="1" x14ac:dyDescent="0.55000000000000004">
      <c r="A2236" s="264" t="s">
        <v>2069</v>
      </c>
      <c r="B2236" s="58" t="s">
        <v>35</v>
      </c>
      <c r="C2236" s="58" t="s">
        <v>10</v>
      </c>
      <c r="D2236" s="76" t="s">
        <v>1861</v>
      </c>
      <c r="E2236" s="76"/>
      <c r="F2236" s="76" t="s">
        <v>1666</v>
      </c>
      <c r="G2236" s="94" t="s">
        <v>1666</v>
      </c>
      <c r="H2236" s="106" t="s">
        <v>1666</v>
      </c>
      <c r="I2236" s="76"/>
      <c r="J2236" s="76"/>
      <c r="K2236" s="58" t="str">
        <f>IFERROR(VLOOKUP(L2236,'Raw material list'!$A$3:$C$715,3,0),"")</f>
        <v>DRS5-21</v>
      </c>
      <c r="L2236" s="76" t="s">
        <v>55</v>
      </c>
      <c r="M2236" s="80" t="s">
        <v>156</v>
      </c>
      <c r="N2236" s="40" t="str">
        <f>VLOOKUP(L2236,'Raw material list'!$A$3:$E$715,5,0)</f>
        <v xml:space="preserve">Gram </v>
      </c>
      <c r="O2236" s="80">
        <v>15</v>
      </c>
      <c r="P2236" s="299">
        <f t="shared" si="347"/>
        <v>15</v>
      </c>
      <c r="Q2236" s="80">
        <v>100</v>
      </c>
      <c r="R2236" s="80">
        <v>15</v>
      </c>
      <c r="S2236" s="80"/>
      <c r="T2236" s="105">
        <f t="shared" si="351"/>
        <v>1</v>
      </c>
      <c r="U2236" s="105">
        <f t="shared" si="348"/>
        <v>1</v>
      </c>
      <c r="V2236" s="104">
        <f>IFERROR(VLOOKUP(L2236,'Raw material list'!$A$2:$S$3102,6,0),0)</f>
        <v>2.0799999999999998E-3</v>
      </c>
      <c r="W2236" s="104">
        <f t="shared" si="349"/>
        <v>2.0799999999999998E-3</v>
      </c>
    </row>
    <row r="2237" spans="1:23" hidden="1" x14ac:dyDescent="0.55000000000000004">
      <c r="A2237" s="264" t="s">
        <v>2069</v>
      </c>
      <c r="B2237" s="58" t="s">
        <v>35</v>
      </c>
      <c r="C2237" s="58" t="s">
        <v>10</v>
      </c>
      <c r="D2237" s="76" t="s">
        <v>1861</v>
      </c>
      <c r="E2237" s="76"/>
      <c r="F2237" s="76" t="s">
        <v>1666</v>
      </c>
      <c r="G2237" s="94" t="s">
        <v>1666</v>
      </c>
      <c r="H2237" s="106" t="s">
        <v>1666</v>
      </c>
      <c r="I2237" s="76"/>
      <c r="J2237" s="76"/>
      <c r="K2237" s="58" t="str">
        <f>IFERROR(VLOOKUP(L2237,'Raw material list'!$A$3:$C$715,3,0),"")</f>
        <v>PRD3-1661</v>
      </c>
      <c r="L2237" s="76" t="s">
        <v>957</v>
      </c>
      <c r="M2237" s="80" t="s">
        <v>156</v>
      </c>
      <c r="N2237" s="40" t="str">
        <f>VLOOKUP(L2237,'Raw material list'!$A$3:$E$715,5,0)</f>
        <v xml:space="preserve">Gram </v>
      </c>
      <c r="O2237" s="80">
        <v>100</v>
      </c>
      <c r="P2237" s="299">
        <f t="shared" si="347"/>
        <v>100</v>
      </c>
      <c r="Q2237" s="80">
        <v>100</v>
      </c>
      <c r="R2237" s="80">
        <v>15</v>
      </c>
      <c r="S2237" s="80"/>
      <c r="T2237" s="105">
        <f t="shared" si="351"/>
        <v>6.666666666666667</v>
      </c>
      <c r="U2237" s="105">
        <f t="shared" si="348"/>
        <v>6.666666666666667</v>
      </c>
      <c r="V2237" s="104">
        <f>IFERROR(VLOOKUP(L2237,'Raw material list'!$A$2:$S$3102,6,0),0)</f>
        <v>3.9E-2</v>
      </c>
      <c r="W2237" s="104">
        <f t="shared" si="349"/>
        <v>0.26</v>
      </c>
    </row>
    <row r="2238" spans="1:23" s="66" customFormat="1" x14ac:dyDescent="0.55000000000000004">
      <c r="A2238" s="90"/>
      <c r="B2238" s="90"/>
      <c r="C2238" s="90"/>
      <c r="D2238" s="90"/>
      <c r="E2238" s="90"/>
      <c r="F2238" s="90"/>
      <c r="G2238" s="90"/>
      <c r="H2238" s="90"/>
      <c r="I2238" s="90"/>
      <c r="J2238" s="90"/>
      <c r="K2238" s="90"/>
      <c r="L2238" s="90"/>
      <c r="M2238" s="91"/>
      <c r="N2238" s="91"/>
      <c r="O2238" s="91"/>
      <c r="P2238" s="91"/>
      <c r="Q2238" s="105"/>
      <c r="R2238" s="91"/>
      <c r="S2238" s="91"/>
      <c r="T2238" s="105"/>
      <c r="U2238" s="105"/>
      <c r="V2238" s="104"/>
      <c r="W2238" s="104"/>
    </row>
    <row r="2239" spans="1:23" x14ac:dyDescent="0.55000000000000004">
      <c r="O2239" s="102">
        <f>SUBTOTAL(109,O5:O2238)</f>
        <v>228873.25</v>
      </c>
      <c r="P2239" s="103"/>
      <c r="R2239" s="103"/>
      <c r="S2239" s="103"/>
      <c r="T2239" s="102">
        <f>SUBTOTAL(109,T5:T2238)</f>
        <v>1459.0827073552427</v>
      </c>
      <c r="U2239" s="102"/>
      <c r="V2239" s="102">
        <f>SUBTOTAL(109,V5:V2238)</f>
        <v>3.0751787767312897</v>
      </c>
      <c r="W2239" s="102">
        <f>SUBTOTAL(109,W5:W2238)</f>
        <v>18.37544391809589</v>
      </c>
    </row>
    <row r="2244" spans="20:21" x14ac:dyDescent="0.55000000000000004">
      <c r="T2244" s="256"/>
      <c r="U2244" s="256"/>
    </row>
    <row r="2245" spans="20:21" x14ac:dyDescent="0.55000000000000004">
      <c r="T2245" s="256"/>
      <c r="U2245" s="256"/>
    </row>
  </sheetData>
  <autoFilter ref="A4:W2237" xr:uid="{00000000-0001-0000-0100-000000000000}">
    <filterColumn colId="0">
      <filters>
        <filter val="RCP-SMC-000152"/>
        <filter val="RCP-SMC-000153"/>
        <filter val="RCP-SMC-000154"/>
        <filter val="RCP-SMC-000155"/>
        <filter val="RCP-SMC-000156"/>
        <filter val="RCP-SMC-000157"/>
        <filter val="RCP-SMC-000158"/>
        <filter val="RCP-SMC-000159"/>
      </filters>
    </filterColumn>
  </autoFilter>
  <dataValidations disablePrompts="1" count="1">
    <dataValidation type="list" allowBlank="1" showInputMessage="1" showErrorMessage="1" sqref="L813" xr:uid="{00000000-0002-0000-0100-000000000000}">
      <formula1>#REF!</formula1>
    </dataValidation>
  </dataValidations>
  <pageMargins left="0.75" right="0.75" top="1" bottom="1" header="0.5" footer="0.5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100-000001000000}">
          <x14:formula1>
            <xm:f>'https://internationalspecializedfoo-my.sharepoint.com/personal/a_ahmed_isfc_com_sa/Documents/Desktop/Working-Recipe/SMC/Mr.Hadi Data/SMC/[SMC monday.xlsx]Raw material  (3)'!#REF!</xm:f>
          </x14:formula1>
          <xm:sqref>L698:L725</xm:sqref>
        </x14:dataValidation>
        <x14:dataValidation type="list" allowBlank="1" showInputMessage="1" showErrorMessage="1" xr:uid="{00000000-0002-0000-0100-000002000000}">
          <x14:formula1>
            <xm:f>'https://internationalspecializedfoo-my.sharepoint.com/personal/a_ahmed_isfc_com_sa/Documents/Desktop/Working-Recipe/SMC/Mr.Hadi Data/SMC/[Master Recipe -SMC Sunday.xlsx]Raw material  (3)'!#REF!</xm:f>
          </x14:formula1>
          <xm:sqref>L726:L756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XFD1085"/>
  <sheetViews>
    <sheetView showGridLines="0" workbookViewId="0">
      <selection activeCell="J129" sqref="J129"/>
    </sheetView>
  </sheetViews>
  <sheetFormatPr defaultColWidth="8.83984375" defaultRowHeight="14.4" x14ac:dyDescent="0.55000000000000004"/>
  <cols>
    <col min="1" max="1" width="30.20703125" style="4" customWidth="1"/>
    <col min="2" max="2" width="9.26171875" style="4" bestFit="1" customWidth="1"/>
    <col min="3" max="3" width="13.26171875" style="31" customWidth="1"/>
    <col min="4" max="4" width="30.62890625" style="4" customWidth="1"/>
    <col min="5" max="5" width="12.15625" style="4" customWidth="1"/>
    <col min="6" max="6" width="12.15625" style="32" customWidth="1"/>
    <col min="7" max="7" width="16" style="4" bestFit="1" customWidth="1"/>
    <col min="8" max="8" width="17.41796875" style="4" bestFit="1" customWidth="1"/>
    <col min="9" max="9" width="8.83984375" style="4" customWidth="1"/>
    <col min="10" max="16384" width="8.83984375" style="4"/>
  </cols>
  <sheetData>
    <row r="1" spans="1:8" ht="96" customHeight="1" thickBot="1" x14ac:dyDescent="0.6">
      <c r="A1" s="3"/>
      <c r="B1" s="3"/>
      <c r="C1" s="304" t="s">
        <v>136</v>
      </c>
      <c r="D1" s="305"/>
      <c r="E1" s="305"/>
      <c r="F1" s="305"/>
      <c r="G1" s="305"/>
      <c r="H1" s="306"/>
    </row>
    <row r="2" spans="1:8" ht="15" customHeight="1" thickBot="1" x14ac:dyDescent="0.6">
      <c r="A2" s="5" t="s">
        <v>137</v>
      </c>
      <c r="B2" s="6"/>
      <c r="C2" s="6" t="s">
        <v>138</v>
      </c>
      <c r="D2" s="6" t="s">
        <v>139</v>
      </c>
      <c r="E2" s="6" t="s">
        <v>140</v>
      </c>
      <c r="F2" s="7" t="s">
        <v>141</v>
      </c>
      <c r="G2" s="6" t="s">
        <v>142</v>
      </c>
      <c r="H2" s="8" t="s">
        <v>143</v>
      </c>
    </row>
    <row r="3" spans="1:8" ht="16.5" hidden="1" customHeight="1" x14ac:dyDescent="0.55000000000000004">
      <c r="A3" s="9" t="s">
        <v>144</v>
      </c>
      <c r="B3" s="10"/>
      <c r="C3" s="10" t="s">
        <v>145</v>
      </c>
      <c r="D3" s="10" t="s">
        <v>144</v>
      </c>
      <c r="E3" s="10" t="s">
        <v>48</v>
      </c>
      <c r="F3" s="11">
        <v>0.95</v>
      </c>
      <c r="G3" s="10" t="s">
        <v>146</v>
      </c>
      <c r="H3" s="12" t="s">
        <v>147</v>
      </c>
    </row>
    <row r="4" spans="1:8" ht="16.5" hidden="1" customHeight="1" x14ac:dyDescent="0.55000000000000004">
      <c r="A4" s="13" t="s">
        <v>148</v>
      </c>
      <c r="B4" s="14"/>
      <c r="C4" s="14" t="s">
        <v>149</v>
      </c>
      <c r="D4" s="14" t="s">
        <v>148</v>
      </c>
      <c r="E4" s="14" t="s">
        <v>48</v>
      </c>
      <c r="F4" s="15">
        <v>0.16666666666666666</v>
      </c>
      <c r="G4" s="14" t="s">
        <v>146</v>
      </c>
      <c r="H4" s="16" t="s">
        <v>147</v>
      </c>
    </row>
    <row r="5" spans="1:8" ht="16.5" hidden="1" customHeight="1" x14ac:dyDescent="0.55000000000000004">
      <c r="A5" s="13" t="s">
        <v>150</v>
      </c>
      <c r="B5" s="14"/>
      <c r="C5" s="14" t="s">
        <v>151</v>
      </c>
      <c r="D5" s="14" t="s">
        <v>150</v>
      </c>
      <c r="E5" s="14" t="s">
        <v>48</v>
      </c>
      <c r="F5" s="15">
        <v>0.14285714285714285</v>
      </c>
      <c r="G5" s="14" t="s">
        <v>146</v>
      </c>
      <c r="H5" s="16" t="s">
        <v>147</v>
      </c>
    </row>
    <row r="6" spans="1:8" ht="16.5" hidden="1" customHeight="1" x14ac:dyDescent="0.55000000000000004">
      <c r="A6" s="13" t="s">
        <v>152</v>
      </c>
      <c r="B6" s="14"/>
      <c r="C6" s="14" t="s">
        <v>153</v>
      </c>
      <c r="D6" s="14" t="s">
        <v>152</v>
      </c>
      <c r="E6" s="14" t="s">
        <v>48</v>
      </c>
      <c r="F6" s="15">
        <v>1</v>
      </c>
      <c r="G6" s="14" t="s">
        <v>146</v>
      </c>
      <c r="H6" s="16" t="s">
        <v>147</v>
      </c>
    </row>
    <row r="7" spans="1:8" ht="16.5" hidden="1" customHeight="1" x14ac:dyDescent="0.55000000000000004">
      <c r="A7" s="13" t="s">
        <v>154</v>
      </c>
      <c r="B7" s="14"/>
      <c r="C7" s="14" t="s">
        <v>155</v>
      </c>
      <c r="D7" s="14" t="s">
        <v>154</v>
      </c>
      <c r="E7" s="14" t="s">
        <v>156</v>
      </c>
      <c r="F7" s="15">
        <v>2.1999999999999999E-2</v>
      </c>
      <c r="G7" s="14" t="s">
        <v>146</v>
      </c>
      <c r="H7" s="16" t="s">
        <v>147</v>
      </c>
    </row>
    <row r="8" spans="1:8" ht="16.5" hidden="1" customHeight="1" x14ac:dyDescent="0.55000000000000004">
      <c r="A8" s="13" t="s">
        <v>157</v>
      </c>
      <c r="B8" s="14"/>
      <c r="C8" s="14" t="s">
        <v>158</v>
      </c>
      <c r="D8" s="14" t="s">
        <v>157</v>
      </c>
      <c r="E8" s="14" t="s">
        <v>48</v>
      </c>
      <c r="F8" s="15">
        <v>1</v>
      </c>
      <c r="G8" s="14" t="s">
        <v>146</v>
      </c>
      <c r="H8" s="16" t="s">
        <v>147</v>
      </c>
    </row>
    <row r="9" spans="1:8" ht="16.5" hidden="1" customHeight="1" x14ac:dyDescent="0.55000000000000004">
      <c r="A9" s="13" t="s">
        <v>159</v>
      </c>
      <c r="B9" s="14"/>
      <c r="C9" s="14" t="s">
        <v>160</v>
      </c>
      <c r="D9" s="14" t="s">
        <v>159</v>
      </c>
      <c r="E9" s="14" t="s">
        <v>48</v>
      </c>
      <c r="F9" s="15">
        <v>0.55833333333333335</v>
      </c>
      <c r="G9" s="14" t="s">
        <v>146</v>
      </c>
      <c r="H9" s="16" t="s">
        <v>147</v>
      </c>
    </row>
    <row r="10" spans="1:8" ht="16.5" hidden="1" customHeight="1" x14ac:dyDescent="0.55000000000000004">
      <c r="A10" s="13" t="s">
        <v>161</v>
      </c>
      <c r="B10" s="14"/>
      <c r="C10" s="14" t="s">
        <v>162</v>
      </c>
      <c r="D10" s="14" t="s">
        <v>161</v>
      </c>
      <c r="E10" s="14" t="s">
        <v>48</v>
      </c>
      <c r="F10" s="15">
        <v>0.12</v>
      </c>
      <c r="G10" s="14" t="s">
        <v>146</v>
      </c>
      <c r="H10" s="16" t="s">
        <v>147</v>
      </c>
    </row>
    <row r="11" spans="1:8" ht="16.5" hidden="1" customHeight="1" x14ac:dyDescent="0.55000000000000004">
      <c r="A11" s="13" t="s">
        <v>163</v>
      </c>
      <c r="B11" s="14"/>
      <c r="C11" s="14" t="s">
        <v>164</v>
      </c>
      <c r="D11" s="14" t="s">
        <v>163</v>
      </c>
      <c r="E11" s="14" t="s">
        <v>165</v>
      </c>
      <c r="F11" s="15">
        <v>0.22222222222222221</v>
      </c>
      <c r="G11" s="14" t="s">
        <v>146</v>
      </c>
      <c r="H11" s="16" t="s">
        <v>147</v>
      </c>
    </row>
    <row r="12" spans="1:8" ht="16.5" hidden="1" customHeight="1" x14ac:dyDescent="0.55000000000000004">
      <c r="A12" s="13" t="s">
        <v>1768</v>
      </c>
      <c r="B12" s="14"/>
      <c r="C12" s="14" t="s">
        <v>1323</v>
      </c>
      <c r="D12" s="13" t="s">
        <v>1768</v>
      </c>
      <c r="E12" s="14" t="s">
        <v>48</v>
      </c>
      <c r="F12" s="15">
        <f>6/1000</f>
        <v>6.0000000000000001E-3</v>
      </c>
      <c r="G12" s="14"/>
      <c r="H12" s="16"/>
    </row>
    <row r="13" spans="1:8" ht="16.5" hidden="1" customHeight="1" x14ac:dyDescent="0.55000000000000004">
      <c r="A13" s="13" t="s">
        <v>166</v>
      </c>
      <c r="B13" s="14"/>
      <c r="C13" s="14" t="s">
        <v>167</v>
      </c>
      <c r="D13" s="14" t="s">
        <v>166</v>
      </c>
      <c r="E13" s="14" t="s">
        <v>165</v>
      </c>
      <c r="F13" s="15">
        <v>0.16666666666666666</v>
      </c>
      <c r="G13" s="14" t="s">
        <v>146</v>
      </c>
      <c r="H13" s="16" t="s">
        <v>147</v>
      </c>
    </row>
    <row r="14" spans="1:8" ht="16.5" hidden="1" customHeight="1" x14ac:dyDescent="0.55000000000000004">
      <c r="A14" s="13" t="s">
        <v>168</v>
      </c>
      <c r="B14" s="14"/>
      <c r="C14" s="14" t="s">
        <v>169</v>
      </c>
      <c r="D14" s="14" t="s">
        <v>168</v>
      </c>
      <c r="E14" s="14" t="s">
        <v>48</v>
      </c>
      <c r="F14" s="15">
        <v>4.78</v>
      </c>
      <c r="G14" s="14" t="s">
        <v>146</v>
      </c>
      <c r="H14" s="16" t="s">
        <v>147</v>
      </c>
    </row>
    <row r="15" spans="1:8" ht="16.5" hidden="1" customHeight="1" x14ac:dyDescent="0.55000000000000004">
      <c r="A15" s="13" t="s">
        <v>170</v>
      </c>
      <c r="B15" s="14"/>
      <c r="C15" s="14" t="s">
        <v>171</v>
      </c>
      <c r="D15" s="14" t="s">
        <v>170</v>
      </c>
      <c r="E15" s="14" t="s">
        <v>156</v>
      </c>
      <c r="F15" s="15">
        <v>1.366E-2</v>
      </c>
      <c r="G15" s="14" t="s">
        <v>1434</v>
      </c>
      <c r="H15" s="16" t="s">
        <v>147</v>
      </c>
    </row>
    <row r="16" spans="1:8" ht="16.5" hidden="1" customHeight="1" x14ac:dyDescent="0.55000000000000004">
      <c r="A16" s="13" t="s">
        <v>173</v>
      </c>
      <c r="B16" s="14"/>
      <c r="C16" s="14" t="s">
        <v>174</v>
      </c>
      <c r="D16" s="14" t="s">
        <v>173</v>
      </c>
      <c r="E16" s="14" t="s">
        <v>48</v>
      </c>
      <c r="F16" s="15">
        <v>0.44444444444444442</v>
      </c>
      <c r="G16" s="14" t="s">
        <v>146</v>
      </c>
      <c r="H16" s="16" t="s">
        <v>147</v>
      </c>
    </row>
    <row r="17" spans="1:8" ht="16.5" hidden="1" customHeight="1" x14ac:dyDescent="0.55000000000000004">
      <c r="A17" s="13" t="s">
        <v>175</v>
      </c>
      <c r="B17" s="14"/>
      <c r="C17" s="14" t="s">
        <v>176</v>
      </c>
      <c r="D17" s="14" t="s">
        <v>175</v>
      </c>
      <c r="E17" s="14" t="s">
        <v>156</v>
      </c>
      <c r="F17" s="15">
        <v>1.2999999999999999E-2</v>
      </c>
      <c r="G17" s="14" t="s">
        <v>146</v>
      </c>
      <c r="H17" s="16" t="s">
        <v>147</v>
      </c>
    </row>
    <row r="18" spans="1:8" ht="16.5" hidden="1" customHeight="1" x14ac:dyDescent="0.55000000000000004">
      <c r="A18" s="13" t="s">
        <v>177</v>
      </c>
      <c r="B18" s="14"/>
      <c r="C18" s="14" t="s">
        <v>178</v>
      </c>
      <c r="D18" s="14" t="s">
        <v>177</v>
      </c>
      <c r="E18" s="14" t="s">
        <v>48</v>
      </c>
      <c r="F18" s="15">
        <v>0.84126984126984128</v>
      </c>
      <c r="G18" s="14" t="s">
        <v>146</v>
      </c>
      <c r="H18" s="16" t="s">
        <v>147</v>
      </c>
    </row>
    <row r="19" spans="1:8" ht="16.5" hidden="1" customHeight="1" x14ac:dyDescent="0.55000000000000004">
      <c r="A19" s="13" t="s">
        <v>179</v>
      </c>
      <c r="B19" s="14"/>
      <c r="C19" s="14" t="s">
        <v>180</v>
      </c>
      <c r="D19" s="14" t="s">
        <v>179</v>
      </c>
      <c r="E19" s="14" t="s">
        <v>48</v>
      </c>
      <c r="F19" s="15">
        <v>0.625</v>
      </c>
      <c r="G19" s="14" t="s">
        <v>172</v>
      </c>
      <c r="H19" s="16" t="s">
        <v>147</v>
      </c>
    </row>
    <row r="20" spans="1:8" ht="16.5" hidden="1" customHeight="1" x14ac:dyDescent="0.55000000000000004">
      <c r="A20" s="13" t="s">
        <v>101</v>
      </c>
      <c r="B20" s="14"/>
      <c r="C20" s="14" t="s">
        <v>181</v>
      </c>
      <c r="D20" s="14" t="s">
        <v>101</v>
      </c>
      <c r="E20" s="14" t="s">
        <v>48</v>
      </c>
      <c r="F20" s="15">
        <v>0.83333333333333337</v>
      </c>
      <c r="G20" s="14" t="s">
        <v>172</v>
      </c>
      <c r="H20" s="16" t="s">
        <v>147</v>
      </c>
    </row>
    <row r="21" spans="1:8" ht="16.5" hidden="1" customHeight="1" x14ac:dyDescent="0.55000000000000004">
      <c r="A21" s="13" t="s">
        <v>182</v>
      </c>
      <c r="B21" s="14"/>
      <c r="C21" s="14" t="s">
        <v>183</v>
      </c>
      <c r="D21" s="14" t="s">
        <v>182</v>
      </c>
      <c r="E21" s="14" t="s">
        <v>156</v>
      </c>
      <c r="F21" s="17">
        <v>6.6666666666666671E-3</v>
      </c>
      <c r="G21" s="14" t="s">
        <v>172</v>
      </c>
      <c r="H21" s="16" t="s">
        <v>147</v>
      </c>
    </row>
    <row r="22" spans="1:8" ht="16.5" hidden="1" customHeight="1" x14ac:dyDescent="0.55000000000000004">
      <c r="A22" s="13" t="s">
        <v>184</v>
      </c>
      <c r="B22" s="14"/>
      <c r="C22" s="14" t="s">
        <v>185</v>
      </c>
      <c r="D22" s="14" t="s">
        <v>184</v>
      </c>
      <c r="E22" s="14" t="s">
        <v>156</v>
      </c>
      <c r="F22" s="15">
        <v>0.01</v>
      </c>
      <c r="G22" s="14" t="s">
        <v>172</v>
      </c>
      <c r="H22" s="16" t="s">
        <v>147</v>
      </c>
    </row>
    <row r="23" spans="1:8" ht="16.5" hidden="1" customHeight="1" x14ac:dyDescent="0.55000000000000004">
      <c r="A23" s="13" t="s">
        <v>186</v>
      </c>
      <c r="B23" s="14"/>
      <c r="C23" s="14" t="s">
        <v>187</v>
      </c>
      <c r="D23" s="14" t="s">
        <v>186</v>
      </c>
      <c r="E23" s="14" t="s">
        <v>48</v>
      </c>
      <c r="F23" s="15">
        <v>0.96666666666666656</v>
      </c>
      <c r="G23" s="18" t="s">
        <v>172</v>
      </c>
      <c r="H23" s="19" t="s">
        <v>147</v>
      </c>
    </row>
    <row r="24" spans="1:8" ht="16.5" hidden="1" customHeight="1" x14ac:dyDescent="0.55000000000000004">
      <c r="A24" s="13" t="s">
        <v>188</v>
      </c>
      <c r="B24" s="14"/>
      <c r="C24" s="14" t="s">
        <v>189</v>
      </c>
      <c r="D24" s="14" t="s">
        <v>188</v>
      </c>
      <c r="E24" s="14" t="s">
        <v>48</v>
      </c>
      <c r="F24" s="15">
        <v>0.96</v>
      </c>
      <c r="G24" s="18" t="s">
        <v>172</v>
      </c>
      <c r="H24" s="19" t="s">
        <v>147</v>
      </c>
    </row>
    <row r="25" spans="1:8" ht="16.5" hidden="1" customHeight="1" x14ac:dyDescent="0.55000000000000004">
      <c r="A25" s="13" t="s">
        <v>190</v>
      </c>
      <c r="B25" s="14"/>
      <c r="C25" s="14" t="s">
        <v>191</v>
      </c>
      <c r="D25" s="14" t="s">
        <v>190</v>
      </c>
      <c r="E25" s="14" t="s">
        <v>48</v>
      </c>
      <c r="F25" s="15">
        <v>3</v>
      </c>
      <c r="G25" s="18" t="s">
        <v>172</v>
      </c>
      <c r="H25" s="19" t="s">
        <v>147</v>
      </c>
    </row>
    <row r="26" spans="1:8" ht="16.5" hidden="1" customHeight="1" x14ac:dyDescent="0.55000000000000004">
      <c r="A26" s="13" t="s">
        <v>192</v>
      </c>
      <c r="B26" s="14"/>
      <c r="C26" s="14" t="s">
        <v>193</v>
      </c>
      <c r="D26" s="14" t="s">
        <v>192</v>
      </c>
      <c r="E26" s="14" t="s">
        <v>156</v>
      </c>
      <c r="F26" s="15">
        <v>1.413E-2</v>
      </c>
      <c r="G26" s="18" t="s">
        <v>172</v>
      </c>
      <c r="H26" s="19" t="s">
        <v>147</v>
      </c>
    </row>
    <row r="27" spans="1:8" ht="16.5" hidden="1" customHeight="1" x14ac:dyDescent="0.55000000000000004">
      <c r="A27" s="13" t="s">
        <v>194</v>
      </c>
      <c r="B27" s="14"/>
      <c r="C27" s="14" t="s">
        <v>195</v>
      </c>
      <c r="D27" s="14" t="s">
        <v>194</v>
      </c>
      <c r="E27" s="14" t="s">
        <v>156</v>
      </c>
      <c r="F27" s="15">
        <v>2.5500000000000002E-2</v>
      </c>
      <c r="G27" s="18" t="s">
        <v>172</v>
      </c>
      <c r="H27" s="19" t="s">
        <v>147</v>
      </c>
    </row>
    <row r="28" spans="1:8" ht="16.5" hidden="1" customHeight="1" x14ac:dyDescent="0.55000000000000004">
      <c r="A28" s="13" t="s">
        <v>196</v>
      </c>
      <c r="B28" s="14"/>
      <c r="C28" s="14" t="s">
        <v>197</v>
      </c>
      <c r="D28" s="14" t="s">
        <v>196</v>
      </c>
      <c r="E28" s="14" t="s">
        <v>156</v>
      </c>
      <c r="F28" s="15">
        <v>1.9175000000000001E-2</v>
      </c>
      <c r="G28" s="18" t="s">
        <v>172</v>
      </c>
      <c r="H28" s="19" t="s">
        <v>147</v>
      </c>
    </row>
    <row r="29" spans="1:8" ht="16.5" hidden="1" customHeight="1" x14ac:dyDescent="0.55000000000000004">
      <c r="A29" s="13" t="s">
        <v>198</v>
      </c>
      <c r="B29" s="14"/>
      <c r="C29" s="14" t="s">
        <v>199</v>
      </c>
      <c r="D29" s="14" t="s">
        <v>198</v>
      </c>
      <c r="E29" s="14" t="s">
        <v>48</v>
      </c>
      <c r="F29" s="15">
        <v>0.38</v>
      </c>
      <c r="G29" s="18" t="s">
        <v>200</v>
      </c>
      <c r="H29" s="19" t="s">
        <v>201</v>
      </c>
    </row>
    <row r="30" spans="1:8" ht="16.5" hidden="1" customHeight="1" x14ac:dyDescent="0.55000000000000004">
      <c r="A30" s="13" t="s">
        <v>202</v>
      </c>
      <c r="B30" s="14"/>
      <c r="C30" s="14" t="s">
        <v>203</v>
      </c>
      <c r="D30" s="14" t="s">
        <v>202</v>
      </c>
      <c r="E30" s="14" t="s">
        <v>156</v>
      </c>
      <c r="F30" s="15">
        <v>1.9823788546255508E-2</v>
      </c>
      <c r="G30" s="18" t="s">
        <v>200</v>
      </c>
      <c r="H30" s="19" t="s">
        <v>201</v>
      </c>
    </row>
    <row r="31" spans="1:8" ht="16.5" hidden="1" customHeight="1" x14ac:dyDescent="0.55000000000000004">
      <c r="A31" s="13" t="s">
        <v>204</v>
      </c>
      <c r="B31" s="14"/>
      <c r="C31" s="14" t="s">
        <v>205</v>
      </c>
      <c r="D31" s="14" t="s">
        <v>204</v>
      </c>
      <c r="E31" s="14" t="s">
        <v>206</v>
      </c>
      <c r="F31" s="15">
        <v>5.8139534883720929E-3</v>
      </c>
      <c r="G31" s="18" t="s">
        <v>200</v>
      </c>
      <c r="H31" s="19" t="s">
        <v>201</v>
      </c>
    </row>
    <row r="32" spans="1:8" ht="16.5" hidden="1" customHeight="1" x14ac:dyDescent="0.55000000000000004">
      <c r="A32" s="13" t="s">
        <v>67</v>
      </c>
      <c r="B32" s="14"/>
      <c r="C32" s="14" t="s">
        <v>207</v>
      </c>
      <c r="D32" s="14" t="s">
        <v>67</v>
      </c>
      <c r="E32" s="14" t="s">
        <v>156</v>
      </c>
      <c r="F32" s="15">
        <v>4.4441666666666664E-2</v>
      </c>
      <c r="G32" s="18" t="s">
        <v>200</v>
      </c>
      <c r="H32" s="19" t="s">
        <v>201</v>
      </c>
    </row>
    <row r="33" spans="1:8" ht="16.5" hidden="1" customHeight="1" x14ac:dyDescent="0.55000000000000004">
      <c r="A33" s="13" t="s">
        <v>208</v>
      </c>
      <c r="B33" s="14"/>
      <c r="C33" s="14" t="s">
        <v>209</v>
      </c>
      <c r="D33" s="14" t="s">
        <v>208</v>
      </c>
      <c r="E33" s="14" t="s">
        <v>156</v>
      </c>
      <c r="F33" s="15">
        <v>9.4666666666666666E-3</v>
      </c>
      <c r="G33" s="18" t="s">
        <v>200</v>
      </c>
      <c r="H33" s="19" t="s">
        <v>201</v>
      </c>
    </row>
    <row r="34" spans="1:8" ht="16.5" hidden="1" customHeight="1" x14ac:dyDescent="0.55000000000000004">
      <c r="A34" s="13" t="s">
        <v>115</v>
      </c>
      <c r="B34" s="14"/>
      <c r="C34" s="14" t="s">
        <v>210</v>
      </c>
      <c r="D34" s="14" t="s">
        <v>115</v>
      </c>
      <c r="E34" s="14" t="s">
        <v>156</v>
      </c>
      <c r="F34" s="15">
        <v>2.67632241813602E-2</v>
      </c>
      <c r="G34" s="18" t="s">
        <v>200</v>
      </c>
      <c r="H34" s="19" t="s">
        <v>201</v>
      </c>
    </row>
    <row r="35" spans="1:8" ht="16.5" hidden="1" customHeight="1" x14ac:dyDescent="0.55000000000000004">
      <c r="A35" s="13" t="s">
        <v>211</v>
      </c>
      <c r="B35" s="14"/>
      <c r="C35" s="14" t="s">
        <v>212</v>
      </c>
      <c r="D35" s="14" t="s">
        <v>211</v>
      </c>
      <c r="E35" s="14" t="s">
        <v>156</v>
      </c>
      <c r="F35" s="15">
        <v>2.403846153846154E-2</v>
      </c>
      <c r="G35" s="18" t="s">
        <v>200</v>
      </c>
      <c r="H35" s="19" t="s">
        <v>201</v>
      </c>
    </row>
    <row r="36" spans="1:8" ht="16.5" hidden="1" customHeight="1" x14ac:dyDescent="0.55000000000000004">
      <c r="A36" s="13" t="s">
        <v>213</v>
      </c>
      <c r="B36" s="14"/>
      <c r="C36" s="14" t="s">
        <v>214</v>
      </c>
      <c r="D36" s="14" t="s">
        <v>213</v>
      </c>
      <c r="E36" s="14" t="s">
        <v>156</v>
      </c>
      <c r="F36" s="15">
        <v>4.5600000000000002E-2</v>
      </c>
      <c r="G36" s="18" t="s">
        <v>200</v>
      </c>
      <c r="H36" s="19" t="s">
        <v>201</v>
      </c>
    </row>
    <row r="37" spans="1:8" ht="16.5" hidden="1" customHeight="1" x14ac:dyDescent="0.55000000000000004">
      <c r="A37" s="13" t="s">
        <v>215</v>
      </c>
      <c r="B37" s="14"/>
      <c r="C37" s="14" t="s">
        <v>216</v>
      </c>
      <c r="D37" s="14" t="s">
        <v>215</v>
      </c>
      <c r="E37" s="14" t="s">
        <v>156</v>
      </c>
      <c r="F37" s="15">
        <v>6.4000000000000003E-3</v>
      </c>
      <c r="G37" s="18" t="s">
        <v>200</v>
      </c>
      <c r="H37" s="19" t="s">
        <v>201</v>
      </c>
    </row>
    <row r="38" spans="1:8" ht="16.5" hidden="1" customHeight="1" x14ac:dyDescent="0.55000000000000004">
      <c r="A38" s="13" t="s">
        <v>217</v>
      </c>
      <c r="B38" s="14"/>
      <c r="C38" s="14" t="s">
        <v>218</v>
      </c>
      <c r="D38" s="14" t="s">
        <v>217</v>
      </c>
      <c r="E38" s="14" t="s">
        <v>156</v>
      </c>
      <c r="F38" s="15">
        <v>1.3899999999999999E-2</v>
      </c>
      <c r="G38" s="18" t="s">
        <v>200</v>
      </c>
      <c r="H38" s="19" t="s">
        <v>201</v>
      </c>
    </row>
    <row r="39" spans="1:8" ht="16.5" hidden="1" customHeight="1" x14ac:dyDescent="0.55000000000000004">
      <c r="A39" s="13" t="s">
        <v>219</v>
      </c>
      <c r="B39" s="14"/>
      <c r="C39" s="14" t="s">
        <v>220</v>
      </c>
      <c r="D39" s="14" t="s">
        <v>219</v>
      </c>
      <c r="E39" s="14" t="s">
        <v>156</v>
      </c>
      <c r="F39" s="15">
        <v>8.6E-3</v>
      </c>
      <c r="G39" s="18" t="s">
        <v>200</v>
      </c>
      <c r="H39" s="19" t="s">
        <v>201</v>
      </c>
    </row>
    <row r="40" spans="1:8" ht="16.5" hidden="1" customHeight="1" x14ac:dyDescent="0.55000000000000004">
      <c r="A40" s="13" t="s">
        <v>120</v>
      </c>
      <c r="B40" s="14"/>
      <c r="C40" s="14" t="s">
        <v>221</v>
      </c>
      <c r="D40" s="14" t="s">
        <v>120</v>
      </c>
      <c r="E40" s="14" t="s">
        <v>156</v>
      </c>
      <c r="F40" s="15">
        <v>6.0000000000000001E-3</v>
      </c>
      <c r="G40" s="18" t="s">
        <v>200</v>
      </c>
      <c r="H40" s="19" t="s">
        <v>201</v>
      </c>
    </row>
    <row r="41" spans="1:8" ht="16.5" hidden="1" customHeight="1" x14ac:dyDescent="0.55000000000000004">
      <c r="A41" s="13" t="s">
        <v>222</v>
      </c>
      <c r="B41" s="14"/>
      <c r="C41" s="14" t="s">
        <v>223</v>
      </c>
      <c r="D41" s="14" t="s">
        <v>222</v>
      </c>
      <c r="E41" s="14" t="s">
        <v>156</v>
      </c>
      <c r="F41" s="15">
        <v>2.0629722921914357E-2</v>
      </c>
      <c r="G41" s="18" t="s">
        <v>200</v>
      </c>
      <c r="H41" s="19" t="s">
        <v>201</v>
      </c>
    </row>
    <row r="42" spans="1:8" ht="16.5" hidden="1" customHeight="1" x14ac:dyDescent="0.55000000000000004">
      <c r="A42" s="13" t="s">
        <v>224</v>
      </c>
      <c r="B42" s="14"/>
      <c r="C42" s="14" t="s">
        <v>225</v>
      </c>
      <c r="D42" s="14" t="s">
        <v>224</v>
      </c>
      <c r="E42" s="14" t="s">
        <v>156</v>
      </c>
      <c r="F42" s="15">
        <v>8.8999999999999999E-3</v>
      </c>
      <c r="G42" s="18" t="s">
        <v>200</v>
      </c>
      <c r="H42" s="19" t="s">
        <v>201</v>
      </c>
    </row>
    <row r="43" spans="1:8" ht="16.5" hidden="1" customHeight="1" x14ac:dyDescent="0.55000000000000004">
      <c r="A43" s="13" t="s">
        <v>226</v>
      </c>
      <c r="B43" s="14"/>
      <c r="C43" s="14" t="s">
        <v>227</v>
      </c>
      <c r="D43" s="14" t="s">
        <v>226</v>
      </c>
      <c r="E43" s="14" t="s">
        <v>156</v>
      </c>
      <c r="F43" s="15">
        <v>5.0643750000000001E-2</v>
      </c>
      <c r="G43" s="18" t="s">
        <v>200</v>
      </c>
      <c r="H43" s="19" t="s">
        <v>201</v>
      </c>
    </row>
    <row r="44" spans="1:8" ht="16.5" hidden="1" customHeight="1" x14ac:dyDescent="0.55000000000000004">
      <c r="A44" s="13" t="s">
        <v>228</v>
      </c>
      <c r="B44" s="14"/>
      <c r="C44" s="14" t="s">
        <v>229</v>
      </c>
      <c r="D44" s="14" t="s">
        <v>228</v>
      </c>
      <c r="E44" s="14" t="s">
        <v>156</v>
      </c>
      <c r="F44" s="15">
        <v>1.3125E-2</v>
      </c>
      <c r="G44" s="18" t="s">
        <v>200</v>
      </c>
      <c r="H44" s="19" t="s">
        <v>201</v>
      </c>
    </row>
    <row r="45" spans="1:8" ht="16.5" hidden="1" customHeight="1" x14ac:dyDescent="0.55000000000000004">
      <c r="A45" s="13" t="s">
        <v>230</v>
      </c>
      <c r="B45" s="14"/>
      <c r="C45" s="14" t="s">
        <v>231</v>
      </c>
      <c r="D45" s="14" t="s">
        <v>230</v>
      </c>
      <c r="E45" s="14" t="s">
        <v>156</v>
      </c>
      <c r="F45" s="15">
        <v>7.1999999999999998E-3</v>
      </c>
      <c r="G45" s="18" t="s">
        <v>200</v>
      </c>
      <c r="H45" s="19" t="s">
        <v>201</v>
      </c>
    </row>
    <row r="46" spans="1:8" ht="16.5" hidden="1" customHeight="1" x14ac:dyDescent="0.55000000000000004">
      <c r="A46" s="13" t="s">
        <v>232</v>
      </c>
      <c r="B46" s="14"/>
      <c r="C46" s="14" t="s">
        <v>233</v>
      </c>
      <c r="D46" s="14" t="s">
        <v>232</v>
      </c>
      <c r="E46" s="14" t="s">
        <v>156</v>
      </c>
      <c r="F46" s="15">
        <v>1.4999999999999999E-2</v>
      </c>
      <c r="G46" s="18" t="s">
        <v>200</v>
      </c>
      <c r="H46" s="19" t="s">
        <v>201</v>
      </c>
    </row>
    <row r="47" spans="1:8" ht="16.5" hidden="1" customHeight="1" x14ac:dyDescent="0.55000000000000004">
      <c r="A47" s="13" t="s">
        <v>234</v>
      </c>
      <c r="B47" s="14"/>
      <c r="C47" s="14" t="s">
        <v>235</v>
      </c>
      <c r="D47" s="14" t="s">
        <v>234</v>
      </c>
      <c r="E47" s="14" t="s">
        <v>156</v>
      </c>
      <c r="F47" s="15">
        <v>1.2919999999999999E-2</v>
      </c>
      <c r="G47" s="18" t="s">
        <v>200</v>
      </c>
      <c r="H47" s="19" t="s">
        <v>201</v>
      </c>
    </row>
    <row r="48" spans="1:8" ht="16.5" hidden="1" customHeight="1" x14ac:dyDescent="0.55000000000000004">
      <c r="A48" s="13" t="s">
        <v>236</v>
      </c>
      <c r="B48" s="14"/>
      <c r="C48" s="14" t="s">
        <v>237</v>
      </c>
      <c r="D48" s="14" t="s">
        <v>236</v>
      </c>
      <c r="E48" s="14" t="s">
        <v>156</v>
      </c>
      <c r="F48" s="15">
        <v>1.29E-2</v>
      </c>
      <c r="G48" s="18" t="s">
        <v>200</v>
      </c>
      <c r="H48" s="19" t="s">
        <v>201</v>
      </c>
    </row>
    <row r="49" spans="1:8" ht="16.5" hidden="1" customHeight="1" x14ac:dyDescent="0.55000000000000004">
      <c r="A49" s="13" t="s">
        <v>238</v>
      </c>
      <c r="B49" s="14"/>
      <c r="C49" s="14" t="s">
        <v>239</v>
      </c>
      <c r="D49" s="14" t="s">
        <v>238</v>
      </c>
      <c r="E49" s="14" t="s">
        <v>156</v>
      </c>
      <c r="F49" s="15">
        <v>1.29E-2</v>
      </c>
      <c r="G49" s="18" t="s">
        <v>200</v>
      </c>
      <c r="H49" s="19" t="s">
        <v>201</v>
      </c>
    </row>
    <row r="50" spans="1:8" ht="16.5" hidden="1" customHeight="1" x14ac:dyDescent="0.55000000000000004">
      <c r="A50" s="13" t="s">
        <v>240</v>
      </c>
      <c r="B50" s="14"/>
      <c r="C50" s="14" t="s">
        <v>241</v>
      </c>
      <c r="D50" s="13" t="s">
        <v>240</v>
      </c>
      <c r="E50" s="14" t="s">
        <v>156</v>
      </c>
      <c r="F50" s="15">
        <v>1.4500000000000001E-2</v>
      </c>
      <c r="G50" s="18" t="s">
        <v>200</v>
      </c>
      <c r="H50" s="19" t="s">
        <v>201</v>
      </c>
    </row>
    <row r="51" spans="1:8" ht="16.5" hidden="1" customHeight="1" x14ac:dyDescent="0.55000000000000004">
      <c r="A51" s="13" t="s">
        <v>242</v>
      </c>
      <c r="B51" s="14"/>
      <c r="C51" s="14" t="s">
        <v>243</v>
      </c>
      <c r="D51" s="14" t="s">
        <v>242</v>
      </c>
      <c r="E51" s="14" t="s">
        <v>156</v>
      </c>
      <c r="F51" s="15">
        <v>5.8823529411764705E-3</v>
      </c>
      <c r="G51" s="18" t="s">
        <v>200</v>
      </c>
      <c r="H51" s="19" t="s">
        <v>201</v>
      </c>
    </row>
    <row r="52" spans="1:8" ht="16.5" hidden="1" customHeight="1" x14ac:dyDescent="0.55000000000000004">
      <c r="A52" s="13" t="s">
        <v>244</v>
      </c>
      <c r="B52" s="14"/>
      <c r="C52" s="14" t="s">
        <v>245</v>
      </c>
      <c r="D52" s="14" t="s">
        <v>244</v>
      </c>
      <c r="E52" s="14" t="s">
        <v>156</v>
      </c>
      <c r="F52" s="15">
        <v>0.01</v>
      </c>
      <c r="G52" s="18" t="s">
        <v>200</v>
      </c>
      <c r="H52" s="19" t="s">
        <v>201</v>
      </c>
    </row>
    <row r="53" spans="1:8" ht="16.5" hidden="1" customHeight="1" x14ac:dyDescent="0.55000000000000004">
      <c r="A53" s="13" t="s">
        <v>246</v>
      </c>
      <c r="B53" s="14"/>
      <c r="C53" s="14" t="s">
        <v>247</v>
      </c>
      <c r="D53" s="14" t="s">
        <v>246</v>
      </c>
      <c r="E53" s="14" t="s">
        <v>206</v>
      </c>
      <c r="F53" s="15">
        <v>6.7999999999999996E-3</v>
      </c>
      <c r="G53" s="18" t="s">
        <v>200</v>
      </c>
      <c r="H53" s="19" t="s">
        <v>201</v>
      </c>
    </row>
    <row r="54" spans="1:8" ht="16.5" hidden="1" customHeight="1" x14ac:dyDescent="0.55000000000000004">
      <c r="A54" s="13" t="s">
        <v>93</v>
      </c>
      <c r="B54" s="14"/>
      <c r="C54" s="14" t="s">
        <v>248</v>
      </c>
      <c r="D54" s="14" t="s">
        <v>93</v>
      </c>
      <c r="E54" s="14" t="s">
        <v>156</v>
      </c>
      <c r="F54" s="15">
        <v>1.2776666666666665E-2</v>
      </c>
      <c r="G54" s="18" t="s">
        <v>200</v>
      </c>
      <c r="H54" s="19" t="s">
        <v>201</v>
      </c>
    </row>
    <row r="55" spans="1:8" ht="16.5" hidden="1" customHeight="1" x14ac:dyDescent="0.55000000000000004">
      <c r="A55" s="13" t="s">
        <v>44</v>
      </c>
      <c r="B55" s="14"/>
      <c r="C55" s="14" t="s">
        <v>249</v>
      </c>
      <c r="D55" s="14" t="s">
        <v>44</v>
      </c>
      <c r="E55" s="14" t="s">
        <v>156</v>
      </c>
      <c r="F55" s="15">
        <v>5.185185185185185E-3</v>
      </c>
      <c r="G55" s="18" t="s">
        <v>200</v>
      </c>
      <c r="H55" s="19" t="s">
        <v>201</v>
      </c>
    </row>
    <row r="56" spans="1:8" ht="16.5" hidden="1" customHeight="1" x14ac:dyDescent="0.55000000000000004">
      <c r="A56" s="13" t="s">
        <v>250</v>
      </c>
      <c r="B56" s="14"/>
      <c r="C56" s="14" t="s">
        <v>251</v>
      </c>
      <c r="D56" s="14" t="s">
        <v>250</v>
      </c>
      <c r="E56" s="14" t="s">
        <v>156</v>
      </c>
      <c r="F56" s="15">
        <v>5.8823529411764705E-3</v>
      </c>
      <c r="G56" s="18" t="s">
        <v>200</v>
      </c>
      <c r="H56" s="19" t="s">
        <v>201</v>
      </c>
    </row>
    <row r="57" spans="1:8" ht="16.5" hidden="1" customHeight="1" x14ac:dyDescent="0.55000000000000004">
      <c r="A57" s="13" t="s">
        <v>252</v>
      </c>
      <c r="B57" s="14"/>
      <c r="C57" s="14" t="s">
        <v>253</v>
      </c>
      <c r="D57" s="14" t="s">
        <v>252</v>
      </c>
      <c r="E57" s="14" t="s">
        <v>156</v>
      </c>
      <c r="F57" s="15">
        <v>6.7999999999999996E-3</v>
      </c>
      <c r="G57" s="18" t="s">
        <v>200</v>
      </c>
      <c r="H57" s="19" t="s">
        <v>201</v>
      </c>
    </row>
    <row r="58" spans="1:8" ht="16.5" hidden="1" customHeight="1" x14ac:dyDescent="0.55000000000000004">
      <c r="A58" s="13" t="s">
        <v>124</v>
      </c>
      <c r="B58" s="14"/>
      <c r="C58" s="14" t="s">
        <v>254</v>
      </c>
      <c r="D58" s="14" t="s">
        <v>124</v>
      </c>
      <c r="E58" s="14" t="s">
        <v>156</v>
      </c>
      <c r="F58" s="15">
        <v>2.0400000000000001E-2</v>
      </c>
      <c r="G58" s="18" t="s">
        <v>200</v>
      </c>
      <c r="H58" s="19" t="s">
        <v>201</v>
      </c>
    </row>
    <row r="59" spans="1:8" ht="16.5" hidden="1" customHeight="1" x14ac:dyDescent="0.55000000000000004">
      <c r="A59" s="13" t="s">
        <v>40</v>
      </c>
      <c r="B59" s="14"/>
      <c r="C59" s="14" t="s">
        <v>255</v>
      </c>
      <c r="D59" s="14" t="s">
        <v>40</v>
      </c>
      <c r="E59" s="14" t="s">
        <v>156</v>
      </c>
      <c r="F59" s="15">
        <v>2.8475E-2</v>
      </c>
      <c r="G59" s="18" t="s">
        <v>200</v>
      </c>
      <c r="H59" s="19" t="s">
        <v>201</v>
      </c>
    </row>
    <row r="60" spans="1:8" ht="16.5" hidden="1" customHeight="1" x14ac:dyDescent="0.55000000000000004">
      <c r="A60" s="20" t="s">
        <v>256</v>
      </c>
      <c r="B60" s="14"/>
      <c r="C60" s="14" t="s">
        <v>257</v>
      </c>
      <c r="D60" s="21" t="s">
        <v>256</v>
      </c>
      <c r="E60" s="14" t="s">
        <v>156</v>
      </c>
      <c r="F60" s="15">
        <v>1.29E-2</v>
      </c>
      <c r="G60" s="18" t="s">
        <v>200</v>
      </c>
      <c r="H60" s="19" t="s">
        <v>201</v>
      </c>
    </row>
    <row r="61" spans="1:8" ht="16.5" hidden="1" customHeight="1" x14ac:dyDescent="0.55000000000000004">
      <c r="A61" s="20" t="s">
        <v>258</v>
      </c>
      <c r="B61" s="14"/>
      <c r="C61" s="14" t="s">
        <v>259</v>
      </c>
      <c r="D61" s="21" t="s">
        <v>258</v>
      </c>
      <c r="E61" s="14" t="s">
        <v>48</v>
      </c>
      <c r="F61" s="15">
        <v>0.35</v>
      </c>
      <c r="G61" s="18" t="s">
        <v>200</v>
      </c>
      <c r="H61" s="19" t="s">
        <v>201</v>
      </c>
    </row>
    <row r="62" spans="1:8" ht="16.5" hidden="1" customHeight="1" x14ac:dyDescent="0.55000000000000004">
      <c r="A62" s="20" t="s">
        <v>260</v>
      </c>
      <c r="B62" s="14"/>
      <c r="C62" s="14" t="s">
        <v>261</v>
      </c>
      <c r="D62" s="21" t="s">
        <v>260</v>
      </c>
      <c r="E62" s="14" t="s">
        <v>206</v>
      </c>
      <c r="F62" s="15">
        <v>1.9709090909090909E-2</v>
      </c>
      <c r="G62" s="18" t="s">
        <v>200</v>
      </c>
      <c r="H62" s="19" t="s">
        <v>201</v>
      </c>
    </row>
    <row r="63" spans="1:8" ht="16.5" hidden="1" customHeight="1" x14ac:dyDescent="0.55000000000000004">
      <c r="A63" s="20" t="s">
        <v>74</v>
      </c>
      <c r="B63" s="14"/>
      <c r="C63" s="14" t="s">
        <v>262</v>
      </c>
      <c r="D63" s="21" t="s">
        <v>74</v>
      </c>
      <c r="E63" s="14" t="s">
        <v>156</v>
      </c>
      <c r="F63" s="15">
        <v>2.0799999999999999E-2</v>
      </c>
      <c r="G63" s="18" t="s">
        <v>200</v>
      </c>
      <c r="H63" s="19" t="s">
        <v>201</v>
      </c>
    </row>
    <row r="64" spans="1:8" ht="16.5" hidden="1" customHeight="1" x14ac:dyDescent="0.55000000000000004">
      <c r="A64" s="42" t="s">
        <v>263</v>
      </c>
      <c r="B64" s="43"/>
      <c r="C64" s="43" t="s">
        <v>264</v>
      </c>
      <c r="D64" s="42" t="s">
        <v>263</v>
      </c>
      <c r="E64" s="43" t="s">
        <v>156</v>
      </c>
      <c r="F64" s="44">
        <v>1.2666666666666666E-2</v>
      </c>
      <c r="G64" s="43" t="s">
        <v>200</v>
      </c>
      <c r="H64" s="45" t="s">
        <v>201</v>
      </c>
    </row>
    <row r="65" spans="1:8" ht="16.5" hidden="1" customHeight="1" x14ac:dyDescent="0.55000000000000004">
      <c r="A65" s="20" t="s">
        <v>265</v>
      </c>
      <c r="B65" s="14"/>
      <c r="C65" s="14" t="s">
        <v>266</v>
      </c>
      <c r="D65" s="21" t="s">
        <v>265</v>
      </c>
      <c r="E65" s="14" t="s">
        <v>156</v>
      </c>
      <c r="F65" s="15">
        <v>4.2000000000000003E-2</v>
      </c>
      <c r="G65" s="18" t="s">
        <v>200</v>
      </c>
      <c r="H65" s="19" t="s">
        <v>201</v>
      </c>
    </row>
    <row r="66" spans="1:8" ht="16.5" hidden="1" customHeight="1" x14ac:dyDescent="0.55000000000000004">
      <c r="A66" s="20" t="s">
        <v>267</v>
      </c>
      <c r="B66" s="14"/>
      <c r="C66" s="14" t="s">
        <v>268</v>
      </c>
      <c r="D66" s="21" t="s">
        <v>267</v>
      </c>
      <c r="E66" s="14" t="s">
        <v>156</v>
      </c>
      <c r="F66" s="15">
        <v>3.7699999999999997E-2</v>
      </c>
      <c r="G66" s="18" t="s">
        <v>200</v>
      </c>
      <c r="H66" s="19" t="s">
        <v>201</v>
      </c>
    </row>
    <row r="67" spans="1:8" ht="16.5" hidden="1" customHeight="1" x14ac:dyDescent="0.55000000000000004">
      <c r="A67" s="20" t="s">
        <v>269</v>
      </c>
      <c r="B67" s="14"/>
      <c r="C67" s="14" t="s">
        <v>270</v>
      </c>
      <c r="D67" s="21" t="s">
        <v>269</v>
      </c>
      <c r="E67" s="14" t="s">
        <v>156</v>
      </c>
      <c r="F67" s="15">
        <v>2.3900000000000001E-2</v>
      </c>
      <c r="G67" s="18" t="s">
        <v>200</v>
      </c>
      <c r="H67" s="19" t="s">
        <v>201</v>
      </c>
    </row>
    <row r="68" spans="1:8" ht="16.5" hidden="1" customHeight="1" x14ac:dyDescent="0.55000000000000004">
      <c r="A68" s="35" t="s">
        <v>271</v>
      </c>
      <c r="B68" s="14"/>
      <c r="C68" s="14" t="s">
        <v>272</v>
      </c>
      <c r="D68" s="20" t="s">
        <v>271</v>
      </c>
      <c r="E68" s="14" t="s">
        <v>156</v>
      </c>
      <c r="F68" s="15">
        <v>7.4999999999999997E-2</v>
      </c>
      <c r="G68" s="18" t="s">
        <v>200</v>
      </c>
      <c r="H68" s="19" t="s">
        <v>201</v>
      </c>
    </row>
    <row r="69" spans="1:8" ht="16.5" hidden="1" customHeight="1" x14ac:dyDescent="0.55000000000000004">
      <c r="A69" s="20" t="s">
        <v>273</v>
      </c>
      <c r="B69" s="14"/>
      <c r="C69" s="14" t="s">
        <v>274</v>
      </c>
      <c r="D69" s="21" t="s">
        <v>273</v>
      </c>
      <c r="E69" s="14" t="s">
        <v>156</v>
      </c>
      <c r="F69" s="15">
        <v>8.4000000000000005E-2</v>
      </c>
      <c r="G69" s="18" t="s">
        <v>200</v>
      </c>
      <c r="H69" s="19" t="s">
        <v>201</v>
      </c>
    </row>
    <row r="70" spans="1:8" ht="16.5" hidden="1" customHeight="1" x14ac:dyDescent="0.55000000000000004">
      <c r="A70" s="20" t="s">
        <v>275</v>
      </c>
      <c r="B70" s="14"/>
      <c r="C70" s="14" t="s">
        <v>276</v>
      </c>
      <c r="D70" s="21" t="s">
        <v>275</v>
      </c>
      <c r="E70" s="14" t="s">
        <v>156</v>
      </c>
      <c r="F70" s="15">
        <v>9.4000000000000004E-3</v>
      </c>
      <c r="G70" s="18" t="s">
        <v>200</v>
      </c>
      <c r="H70" s="19" t="s">
        <v>201</v>
      </c>
    </row>
    <row r="71" spans="1:8" ht="16.5" hidden="1" customHeight="1" x14ac:dyDescent="0.55000000000000004">
      <c r="A71" s="20" t="s">
        <v>117</v>
      </c>
      <c r="B71" s="14"/>
      <c r="C71" s="14" t="s">
        <v>277</v>
      </c>
      <c r="D71" s="21" t="s">
        <v>117</v>
      </c>
      <c r="E71" s="14" t="s">
        <v>156</v>
      </c>
      <c r="F71" s="15">
        <v>0.04</v>
      </c>
      <c r="G71" s="18" t="s">
        <v>200</v>
      </c>
      <c r="H71" s="19" t="s">
        <v>201</v>
      </c>
    </row>
    <row r="72" spans="1:8" ht="16.5" hidden="1" customHeight="1" x14ac:dyDescent="0.55000000000000004">
      <c r="A72" s="20" t="s">
        <v>278</v>
      </c>
      <c r="B72" s="14"/>
      <c r="C72" s="14" t="s">
        <v>279</v>
      </c>
      <c r="D72" s="21" t="s">
        <v>278</v>
      </c>
      <c r="E72" s="14" t="s">
        <v>156</v>
      </c>
      <c r="F72" s="15">
        <v>0.52</v>
      </c>
      <c r="G72" s="18" t="s">
        <v>200</v>
      </c>
      <c r="H72" s="19" t="s">
        <v>201</v>
      </c>
    </row>
    <row r="73" spans="1:8" ht="16.5" hidden="1" customHeight="1" x14ac:dyDescent="0.55000000000000004">
      <c r="A73" s="20" t="s">
        <v>280</v>
      </c>
      <c r="B73" s="14"/>
      <c r="C73" s="14" t="s">
        <v>281</v>
      </c>
      <c r="D73" s="21" t="s">
        <v>280</v>
      </c>
      <c r="E73" s="14" t="s">
        <v>156</v>
      </c>
      <c r="F73" s="15">
        <v>0.32500000000000001</v>
      </c>
      <c r="G73" s="18" t="s">
        <v>200</v>
      </c>
      <c r="H73" s="19" t="s">
        <v>201</v>
      </c>
    </row>
    <row r="74" spans="1:8" ht="16.5" hidden="1" customHeight="1" x14ac:dyDescent="0.55000000000000004">
      <c r="A74" s="20" t="s">
        <v>282</v>
      </c>
      <c r="B74" s="14"/>
      <c r="C74" s="14" t="s">
        <v>283</v>
      </c>
      <c r="D74" s="21" t="s">
        <v>282</v>
      </c>
      <c r="E74" s="14" t="s">
        <v>156</v>
      </c>
      <c r="F74" s="15">
        <v>0.38</v>
      </c>
      <c r="G74" s="18" t="s">
        <v>200</v>
      </c>
      <c r="H74" s="19" t="s">
        <v>201</v>
      </c>
    </row>
    <row r="75" spans="1:8" ht="16.5" hidden="1" customHeight="1" x14ac:dyDescent="0.55000000000000004">
      <c r="A75" s="20" t="s">
        <v>284</v>
      </c>
      <c r="B75" s="14"/>
      <c r="C75" s="14" t="s">
        <v>285</v>
      </c>
      <c r="D75" s="21" t="s">
        <v>284</v>
      </c>
      <c r="E75" s="14" t="s">
        <v>156</v>
      </c>
      <c r="F75" s="15">
        <v>1.78E-2</v>
      </c>
      <c r="G75" s="18" t="s">
        <v>200</v>
      </c>
      <c r="H75" s="19" t="s">
        <v>201</v>
      </c>
    </row>
    <row r="76" spans="1:8" ht="16.5" hidden="1" customHeight="1" x14ac:dyDescent="0.55000000000000004">
      <c r="A76" s="20" t="s">
        <v>286</v>
      </c>
      <c r="B76" s="14"/>
      <c r="C76" s="14" t="s">
        <v>287</v>
      </c>
      <c r="D76" s="21" t="s">
        <v>286</v>
      </c>
      <c r="E76" s="14" t="s">
        <v>156</v>
      </c>
      <c r="F76" s="15">
        <v>2.3800000000000002E-2</v>
      </c>
      <c r="G76" s="18" t="s">
        <v>200</v>
      </c>
      <c r="H76" s="19" t="s">
        <v>201</v>
      </c>
    </row>
    <row r="77" spans="1:8" ht="16.5" hidden="1" customHeight="1" x14ac:dyDescent="0.55000000000000004">
      <c r="A77" s="20" t="s">
        <v>288</v>
      </c>
      <c r="B77" s="14"/>
      <c r="C77" s="14" t="s">
        <v>289</v>
      </c>
      <c r="D77" s="20" t="s">
        <v>288</v>
      </c>
      <c r="E77" s="14" t="s">
        <v>156</v>
      </c>
      <c r="F77" s="15">
        <v>0.89708333333333334</v>
      </c>
      <c r="G77" s="18" t="s">
        <v>200</v>
      </c>
      <c r="H77" s="19" t="s">
        <v>201</v>
      </c>
    </row>
    <row r="78" spans="1:8" ht="16.5" hidden="1" customHeight="1" x14ac:dyDescent="0.55000000000000004">
      <c r="A78" s="20" t="s">
        <v>290</v>
      </c>
      <c r="B78" s="14"/>
      <c r="C78" s="14" t="s">
        <v>291</v>
      </c>
      <c r="D78" s="21" t="s">
        <v>290</v>
      </c>
      <c r="E78" s="14" t="s">
        <v>206</v>
      </c>
      <c r="F78" s="15">
        <v>0.10666666666666667</v>
      </c>
      <c r="G78" s="18" t="s">
        <v>200</v>
      </c>
      <c r="H78" s="19" t="s">
        <v>201</v>
      </c>
    </row>
    <row r="79" spans="1:8" ht="16.5" hidden="1" customHeight="1" x14ac:dyDescent="0.55000000000000004">
      <c r="A79" s="20" t="s">
        <v>292</v>
      </c>
      <c r="B79" s="14"/>
      <c r="C79" s="14" t="s">
        <v>293</v>
      </c>
      <c r="D79" s="21" t="s">
        <v>292</v>
      </c>
      <c r="E79" s="14" t="s">
        <v>156</v>
      </c>
      <c r="F79" s="15">
        <v>9.5649999999999999E-2</v>
      </c>
      <c r="G79" s="18" t="s">
        <v>200</v>
      </c>
      <c r="H79" s="19" t="s">
        <v>201</v>
      </c>
    </row>
    <row r="80" spans="1:8" ht="16.5" hidden="1" customHeight="1" x14ac:dyDescent="0.55000000000000004">
      <c r="A80" s="20" t="s">
        <v>294</v>
      </c>
      <c r="B80" s="14"/>
      <c r="C80" s="14" t="s">
        <v>295</v>
      </c>
      <c r="D80" s="21" t="s">
        <v>294</v>
      </c>
      <c r="E80" s="14" t="s">
        <v>156</v>
      </c>
      <c r="F80" s="15">
        <v>7.5966850828729279E-3</v>
      </c>
      <c r="G80" s="18" t="s">
        <v>200</v>
      </c>
      <c r="H80" s="19" t="s">
        <v>201</v>
      </c>
    </row>
    <row r="81" spans="1:8" ht="16.5" hidden="1" customHeight="1" x14ac:dyDescent="0.55000000000000004">
      <c r="A81" s="20" t="s">
        <v>296</v>
      </c>
      <c r="B81" s="14"/>
      <c r="C81" s="14" t="s">
        <v>297</v>
      </c>
      <c r="D81" s="21" t="s">
        <v>296</v>
      </c>
      <c r="E81" s="14" t="s">
        <v>156</v>
      </c>
      <c r="F81" s="15">
        <v>3.7297979797979795E-2</v>
      </c>
      <c r="G81" s="18" t="s">
        <v>200</v>
      </c>
      <c r="H81" s="19" t="s">
        <v>201</v>
      </c>
    </row>
    <row r="82" spans="1:8" ht="16.5" hidden="1" customHeight="1" x14ac:dyDescent="0.55000000000000004">
      <c r="A82" s="20" t="s">
        <v>298</v>
      </c>
      <c r="B82" s="14"/>
      <c r="C82" s="14" t="s">
        <v>299</v>
      </c>
      <c r="D82" s="21" t="s">
        <v>298</v>
      </c>
      <c r="E82" s="14" t="s">
        <v>156</v>
      </c>
      <c r="F82" s="15">
        <v>1.1577777777777777E-2</v>
      </c>
      <c r="G82" s="18" t="s">
        <v>200</v>
      </c>
      <c r="H82" s="19" t="s">
        <v>201</v>
      </c>
    </row>
    <row r="83" spans="1:8" ht="16.5" hidden="1" customHeight="1" x14ac:dyDescent="0.55000000000000004">
      <c r="A83" s="20" t="s">
        <v>300</v>
      </c>
      <c r="B83" s="14"/>
      <c r="C83" s="14" t="s">
        <v>301</v>
      </c>
      <c r="D83" s="21" t="s">
        <v>300</v>
      </c>
      <c r="E83" s="14" t="s">
        <v>206</v>
      </c>
      <c r="F83" s="15">
        <v>1.9746121297602257E-2</v>
      </c>
      <c r="G83" s="18" t="s">
        <v>200</v>
      </c>
      <c r="H83" s="19" t="s">
        <v>201</v>
      </c>
    </row>
    <row r="84" spans="1:8" ht="16.5" hidden="1" customHeight="1" x14ac:dyDescent="0.55000000000000004">
      <c r="A84" s="20" t="s">
        <v>302</v>
      </c>
      <c r="B84" s="14"/>
      <c r="C84" s="14" t="s">
        <v>303</v>
      </c>
      <c r="D84" s="21" t="s">
        <v>302</v>
      </c>
      <c r="E84" s="14" t="s">
        <v>156</v>
      </c>
      <c r="F84" s="15">
        <v>1.125E-2</v>
      </c>
      <c r="G84" s="18" t="s">
        <v>200</v>
      </c>
      <c r="H84" s="19" t="s">
        <v>201</v>
      </c>
    </row>
    <row r="85" spans="1:8" ht="16.5" hidden="1" customHeight="1" x14ac:dyDescent="0.55000000000000004">
      <c r="A85" s="20" t="s">
        <v>304</v>
      </c>
      <c r="B85" s="14"/>
      <c r="C85" s="14" t="s">
        <v>305</v>
      </c>
      <c r="D85" s="21" t="s">
        <v>304</v>
      </c>
      <c r="E85" s="14" t="s">
        <v>156</v>
      </c>
      <c r="F85" s="15">
        <v>6.8750000000000006E-2</v>
      </c>
      <c r="G85" s="18" t="s">
        <v>200</v>
      </c>
      <c r="H85" s="19" t="s">
        <v>201</v>
      </c>
    </row>
    <row r="86" spans="1:8" ht="16.5" hidden="1" customHeight="1" x14ac:dyDescent="0.55000000000000004">
      <c r="A86" s="20" t="s">
        <v>112</v>
      </c>
      <c r="B86" s="14"/>
      <c r="C86" s="14" t="s">
        <v>306</v>
      </c>
      <c r="D86" s="21" t="s">
        <v>112</v>
      </c>
      <c r="E86" s="14" t="s">
        <v>156</v>
      </c>
      <c r="F86" s="15">
        <v>7.6491803278688521E-3</v>
      </c>
      <c r="G86" s="18" t="s">
        <v>200</v>
      </c>
      <c r="H86" s="19" t="s">
        <v>201</v>
      </c>
    </row>
    <row r="87" spans="1:8" ht="16.5" hidden="1" customHeight="1" x14ac:dyDescent="0.55000000000000004">
      <c r="A87" s="20" t="s">
        <v>307</v>
      </c>
      <c r="B87" s="14"/>
      <c r="C87" s="14" t="s">
        <v>308</v>
      </c>
      <c r="D87" s="21" t="s">
        <v>307</v>
      </c>
      <c r="E87" s="14" t="s">
        <v>156</v>
      </c>
      <c r="F87" s="15">
        <v>2.8000000000000001E-2</v>
      </c>
      <c r="G87" s="18" t="s">
        <v>200</v>
      </c>
      <c r="H87" s="19" t="s">
        <v>201</v>
      </c>
    </row>
    <row r="88" spans="1:8" ht="16.5" hidden="1" customHeight="1" x14ac:dyDescent="0.55000000000000004">
      <c r="A88" s="20" t="s">
        <v>309</v>
      </c>
      <c r="B88" s="14"/>
      <c r="C88" s="14" t="s">
        <v>310</v>
      </c>
      <c r="D88" s="21" t="s">
        <v>309</v>
      </c>
      <c r="E88" s="14" t="s">
        <v>156</v>
      </c>
      <c r="F88" s="15">
        <v>5.7674418604651161E-2</v>
      </c>
      <c r="G88" s="18" t="s">
        <v>200</v>
      </c>
      <c r="H88" s="19" t="s">
        <v>201</v>
      </c>
    </row>
    <row r="89" spans="1:8" ht="16.5" hidden="1" customHeight="1" x14ac:dyDescent="0.55000000000000004">
      <c r="A89" s="20" t="s">
        <v>311</v>
      </c>
      <c r="B89" s="14"/>
      <c r="C89" s="14" t="s">
        <v>312</v>
      </c>
      <c r="D89" s="21" t="s">
        <v>311</v>
      </c>
      <c r="E89" s="14" t="s">
        <v>156</v>
      </c>
      <c r="F89" s="15">
        <v>9.1931216931216923E-3</v>
      </c>
      <c r="G89" s="18" t="s">
        <v>200</v>
      </c>
      <c r="H89" s="19" t="s">
        <v>201</v>
      </c>
    </row>
    <row r="90" spans="1:8" ht="16.5" hidden="1" customHeight="1" x14ac:dyDescent="0.55000000000000004">
      <c r="A90" s="20" t="s">
        <v>1433</v>
      </c>
      <c r="B90" s="14"/>
      <c r="C90" s="14" t="s">
        <v>1403</v>
      </c>
      <c r="D90" s="21" t="s">
        <v>1433</v>
      </c>
      <c r="E90" s="14" t="s">
        <v>156</v>
      </c>
      <c r="F90" s="84">
        <v>5.0000000000000001E-4</v>
      </c>
      <c r="G90" s="18" t="s">
        <v>200</v>
      </c>
      <c r="H90" s="19" t="s">
        <v>201</v>
      </c>
    </row>
    <row r="91" spans="1:8" ht="16.5" hidden="1" customHeight="1" x14ac:dyDescent="0.55000000000000004">
      <c r="A91" s="20" t="s">
        <v>313</v>
      </c>
      <c r="B91" s="14"/>
      <c r="C91" s="14" t="s">
        <v>314</v>
      </c>
      <c r="D91" s="21" t="s">
        <v>313</v>
      </c>
      <c r="E91" s="14" t="s">
        <v>156</v>
      </c>
      <c r="F91" s="15">
        <v>3.5000000000000003E-2</v>
      </c>
      <c r="G91" s="18" t="s">
        <v>200</v>
      </c>
      <c r="H91" s="19" t="s">
        <v>201</v>
      </c>
    </row>
    <row r="92" spans="1:8" ht="16.5" hidden="1" customHeight="1" x14ac:dyDescent="0.55000000000000004">
      <c r="A92" s="20" t="s">
        <v>52</v>
      </c>
      <c r="B92" s="14"/>
      <c r="C92" s="14" t="s">
        <v>315</v>
      </c>
      <c r="D92" s="20" t="s">
        <v>52</v>
      </c>
      <c r="E92" s="14" t="s">
        <v>156</v>
      </c>
      <c r="F92" s="15">
        <v>1.2986807387862797E-2</v>
      </c>
      <c r="G92" s="18" t="s">
        <v>200</v>
      </c>
      <c r="H92" s="19" t="s">
        <v>201</v>
      </c>
    </row>
    <row r="93" spans="1:8" ht="16.5" hidden="1" customHeight="1" x14ac:dyDescent="0.55000000000000004">
      <c r="A93" s="20" t="s">
        <v>316</v>
      </c>
      <c r="B93" s="14"/>
      <c r="C93" s="14" t="s">
        <v>317</v>
      </c>
      <c r="D93" s="21" t="s">
        <v>316</v>
      </c>
      <c r="E93" s="14" t="s">
        <v>156</v>
      </c>
      <c r="F93" s="15">
        <v>6.8440000000000001E-2</v>
      </c>
      <c r="G93" s="18" t="s">
        <v>200</v>
      </c>
      <c r="H93" s="19" t="s">
        <v>201</v>
      </c>
    </row>
    <row r="94" spans="1:8" ht="16.5" hidden="1" customHeight="1" x14ac:dyDescent="0.55000000000000004">
      <c r="A94" s="20" t="s">
        <v>318</v>
      </c>
      <c r="B94" s="14"/>
      <c r="C94" s="14" t="s">
        <v>319</v>
      </c>
      <c r="D94" s="21" t="s">
        <v>318</v>
      </c>
      <c r="E94" s="14" t="s">
        <v>156</v>
      </c>
      <c r="F94" s="15">
        <v>4.5333333333333337E-2</v>
      </c>
      <c r="G94" s="18" t="s">
        <v>200</v>
      </c>
      <c r="H94" s="19" t="s">
        <v>201</v>
      </c>
    </row>
    <row r="95" spans="1:8" ht="16.5" hidden="1" customHeight="1" x14ac:dyDescent="0.55000000000000004">
      <c r="A95" s="20" t="s">
        <v>320</v>
      </c>
      <c r="B95" s="14"/>
      <c r="C95" s="14" t="s">
        <v>321</v>
      </c>
      <c r="D95" s="21" t="s">
        <v>320</v>
      </c>
      <c r="E95" s="14" t="s">
        <v>156</v>
      </c>
      <c r="F95" s="15">
        <v>4.7489823609226595E-3</v>
      </c>
      <c r="G95" s="18" t="s">
        <v>200</v>
      </c>
      <c r="H95" s="19" t="s">
        <v>201</v>
      </c>
    </row>
    <row r="96" spans="1:8" ht="16.5" hidden="1" customHeight="1" x14ac:dyDescent="0.55000000000000004">
      <c r="A96" s="20" t="s">
        <v>322</v>
      </c>
      <c r="B96" s="14"/>
      <c r="C96" s="14" t="s">
        <v>323</v>
      </c>
      <c r="D96" s="21" t="s">
        <v>322</v>
      </c>
      <c r="E96" s="14" t="s">
        <v>156</v>
      </c>
      <c r="F96" s="15">
        <v>1.149</v>
      </c>
      <c r="G96" s="18" t="s">
        <v>200</v>
      </c>
      <c r="H96" s="19" t="s">
        <v>201</v>
      </c>
    </row>
    <row r="97" spans="1:8" ht="16.5" hidden="1" customHeight="1" x14ac:dyDescent="0.55000000000000004">
      <c r="A97" s="20" t="s">
        <v>324</v>
      </c>
      <c r="B97" s="14"/>
      <c r="C97" s="14" t="s">
        <v>325</v>
      </c>
      <c r="D97" s="21" t="s">
        <v>324</v>
      </c>
      <c r="E97" s="14" t="s">
        <v>156</v>
      </c>
      <c r="F97" s="15">
        <v>8.8105726872246701E-2</v>
      </c>
      <c r="G97" s="18" t="s">
        <v>200</v>
      </c>
      <c r="H97" s="19" t="s">
        <v>201</v>
      </c>
    </row>
    <row r="98" spans="1:8" ht="16.5" hidden="1" customHeight="1" x14ac:dyDescent="0.55000000000000004">
      <c r="A98" s="20" t="s">
        <v>326</v>
      </c>
      <c r="B98" s="14"/>
      <c r="C98" s="14" t="s">
        <v>327</v>
      </c>
      <c r="D98" s="21" t="s">
        <v>326</v>
      </c>
      <c r="E98" s="14" t="s">
        <v>156</v>
      </c>
      <c r="F98" s="15">
        <v>2.53E-2</v>
      </c>
      <c r="G98" s="18" t="s">
        <v>200</v>
      </c>
      <c r="H98" s="19" t="s">
        <v>201</v>
      </c>
    </row>
    <row r="99" spans="1:8" ht="16.5" hidden="1" customHeight="1" x14ac:dyDescent="0.55000000000000004">
      <c r="A99" s="20" t="s">
        <v>88</v>
      </c>
      <c r="B99" s="14"/>
      <c r="C99" s="14" t="s">
        <v>328</v>
      </c>
      <c r="D99" s="21" t="s">
        <v>88</v>
      </c>
      <c r="E99" s="14" t="s">
        <v>156</v>
      </c>
      <c r="F99" s="15">
        <v>3.6754545454545456E-2</v>
      </c>
      <c r="G99" s="18" t="s">
        <v>200</v>
      </c>
      <c r="H99" s="19" t="s">
        <v>201</v>
      </c>
    </row>
    <row r="100" spans="1:8" ht="16.5" hidden="1" customHeight="1" x14ac:dyDescent="0.55000000000000004">
      <c r="A100" s="20" t="s">
        <v>329</v>
      </c>
      <c r="B100" s="14"/>
      <c r="C100" s="14" t="s">
        <v>330</v>
      </c>
      <c r="D100" s="21" t="s">
        <v>329</v>
      </c>
      <c r="E100" s="14" t="s">
        <v>156</v>
      </c>
      <c r="F100" s="15">
        <v>6.6666666666666666E-2</v>
      </c>
      <c r="G100" s="18" t="s">
        <v>200</v>
      </c>
      <c r="H100" s="19" t="s">
        <v>201</v>
      </c>
    </row>
    <row r="101" spans="1:8" ht="16.5" hidden="1" customHeight="1" x14ac:dyDescent="0.55000000000000004">
      <c r="A101" s="20" t="s">
        <v>331</v>
      </c>
      <c r="B101" s="14"/>
      <c r="C101" s="14" t="s">
        <v>332</v>
      </c>
      <c r="D101" s="21" t="s">
        <v>331</v>
      </c>
      <c r="E101" s="14" t="s">
        <v>156</v>
      </c>
      <c r="F101" s="15">
        <v>1.5556666666666667E-2</v>
      </c>
      <c r="G101" s="18" t="s">
        <v>333</v>
      </c>
      <c r="H101" s="19" t="s">
        <v>334</v>
      </c>
    </row>
    <row r="102" spans="1:8" ht="16.5" hidden="1" customHeight="1" x14ac:dyDescent="0.55000000000000004">
      <c r="A102" s="20" t="s">
        <v>335</v>
      </c>
      <c r="B102" s="14"/>
      <c r="C102" s="14" t="s">
        <v>336</v>
      </c>
      <c r="D102" s="21" t="s">
        <v>335</v>
      </c>
      <c r="E102" s="14" t="s">
        <v>156</v>
      </c>
      <c r="F102" s="15">
        <v>3.1E-2</v>
      </c>
      <c r="G102" s="18" t="s">
        <v>146</v>
      </c>
      <c r="H102" s="19" t="s">
        <v>337</v>
      </c>
    </row>
    <row r="103" spans="1:8" ht="16.5" hidden="1" customHeight="1" x14ac:dyDescent="0.55000000000000004">
      <c r="A103" s="20" t="s">
        <v>338</v>
      </c>
      <c r="B103" s="14"/>
      <c r="C103" s="14" t="s">
        <v>339</v>
      </c>
      <c r="D103" s="21" t="s">
        <v>338</v>
      </c>
      <c r="E103" s="14" t="s">
        <v>156</v>
      </c>
      <c r="F103" s="15">
        <v>3.7499999999999999E-2</v>
      </c>
      <c r="G103" s="18" t="s">
        <v>146</v>
      </c>
      <c r="H103" s="19" t="s">
        <v>337</v>
      </c>
    </row>
    <row r="104" spans="1:8" ht="16.5" hidden="1" customHeight="1" x14ac:dyDescent="0.55000000000000004">
      <c r="A104" s="20" t="s">
        <v>102</v>
      </c>
      <c r="B104" s="14"/>
      <c r="C104" s="14" t="s">
        <v>340</v>
      </c>
      <c r="D104" s="21" t="s">
        <v>102</v>
      </c>
      <c r="E104" s="14" t="s">
        <v>156</v>
      </c>
      <c r="F104" s="15">
        <v>2.3E-2</v>
      </c>
      <c r="G104" s="18" t="s">
        <v>146</v>
      </c>
      <c r="H104" s="19" t="s">
        <v>337</v>
      </c>
    </row>
    <row r="105" spans="1:8" ht="16.5" hidden="1" customHeight="1" x14ac:dyDescent="0.55000000000000004">
      <c r="A105" s="20" t="s">
        <v>341</v>
      </c>
      <c r="B105" s="14"/>
      <c r="C105" s="14" t="s">
        <v>342</v>
      </c>
      <c r="D105" s="21" t="s">
        <v>341</v>
      </c>
      <c r="E105" s="14" t="s">
        <v>156</v>
      </c>
      <c r="F105" s="15">
        <v>2.8009090909090907E-2</v>
      </c>
      <c r="G105" s="18" t="s">
        <v>146</v>
      </c>
      <c r="H105" s="19" t="s">
        <v>337</v>
      </c>
    </row>
    <row r="106" spans="1:8" ht="16.5" hidden="1" customHeight="1" x14ac:dyDescent="0.55000000000000004">
      <c r="A106" s="20" t="s">
        <v>343</v>
      </c>
      <c r="B106" s="14"/>
      <c r="C106" s="14" t="s">
        <v>344</v>
      </c>
      <c r="D106" s="21" t="s">
        <v>343</v>
      </c>
      <c r="E106" s="14" t="s">
        <v>156</v>
      </c>
      <c r="F106" s="15">
        <v>3.6999999999999998E-2</v>
      </c>
      <c r="G106" s="18" t="s">
        <v>146</v>
      </c>
      <c r="H106" s="19" t="s">
        <v>337</v>
      </c>
    </row>
    <row r="107" spans="1:8" ht="16.5" hidden="1" customHeight="1" x14ac:dyDescent="0.55000000000000004">
      <c r="A107" s="20" t="s">
        <v>345</v>
      </c>
      <c r="B107" s="14"/>
      <c r="C107" s="14" t="s">
        <v>346</v>
      </c>
      <c r="D107" s="21" t="s">
        <v>345</v>
      </c>
      <c r="E107" s="14" t="s">
        <v>156</v>
      </c>
      <c r="F107" s="15">
        <v>2.3E-2</v>
      </c>
      <c r="G107" s="18" t="s">
        <v>146</v>
      </c>
      <c r="H107" s="19" t="s">
        <v>337</v>
      </c>
    </row>
    <row r="108" spans="1:8" ht="16.5" hidden="1" customHeight="1" x14ac:dyDescent="0.55000000000000004">
      <c r="A108" s="20" t="s">
        <v>49</v>
      </c>
      <c r="B108" s="14"/>
      <c r="C108" s="14" t="s">
        <v>347</v>
      </c>
      <c r="D108" s="21" t="s">
        <v>49</v>
      </c>
      <c r="E108" s="14" t="s">
        <v>156</v>
      </c>
      <c r="F108" s="15">
        <v>2.5000000000000001E-2</v>
      </c>
      <c r="G108" s="18" t="s">
        <v>146</v>
      </c>
      <c r="H108" s="19" t="s">
        <v>337</v>
      </c>
    </row>
    <row r="109" spans="1:8" ht="16.5" hidden="1" customHeight="1" x14ac:dyDescent="0.55000000000000004">
      <c r="A109" s="20" t="s">
        <v>348</v>
      </c>
      <c r="B109" s="14"/>
      <c r="C109" s="14" t="s">
        <v>349</v>
      </c>
      <c r="D109" s="21" t="s">
        <v>348</v>
      </c>
      <c r="E109" s="14" t="s">
        <v>156</v>
      </c>
      <c r="F109" s="15">
        <v>6.5000000000000002E-2</v>
      </c>
      <c r="G109" s="18" t="s">
        <v>146</v>
      </c>
      <c r="H109" s="19" t="s">
        <v>337</v>
      </c>
    </row>
    <row r="110" spans="1:8" ht="16.5" hidden="1" customHeight="1" x14ac:dyDescent="0.55000000000000004">
      <c r="A110" s="20" t="s">
        <v>63</v>
      </c>
      <c r="B110" s="14"/>
      <c r="C110" s="14" t="s">
        <v>350</v>
      </c>
      <c r="D110" s="21" t="s">
        <v>63</v>
      </c>
      <c r="E110" s="14" t="s">
        <v>156</v>
      </c>
      <c r="F110" s="15">
        <v>5.5E-2</v>
      </c>
      <c r="G110" s="18" t="s">
        <v>146</v>
      </c>
      <c r="H110" s="19" t="s">
        <v>337</v>
      </c>
    </row>
    <row r="111" spans="1:8" ht="16.5" hidden="1" customHeight="1" x14ac:dyDescent="0.55000000000000004">
      <c r="A111" s="20" t="s">
        <v>351</v>
      </c>
      <c r="B111" s="14"/>
      <c r="C111" s="14" t="s">
        <v>352</v>
      </c>
      <c r="D111" s="21" t="s">
        <v>351</v>
      </c>
      <c r="E111" s="14" t="s">
        <v>156</v>
      </c>
      <c r="F111" s="15">
        <v>5.2999999999999999E-2</v>
      </c>
      <c r="G111" s="18" t="s">
        <v>146</v>
      </c>
      <c r="H111" s="19" t="s">
        <v>337</v>
      </c>
    </row>
    <row r="112" spans="1:8" ht="16.5" hidden="1" customHeight="1" x14ac:dyDescent="0.55000000000000004">
      <c r="A112" s="20" t="s">
        <v>353</v>
      </c>
      <c r="B112" s="14"/>
      <c r="C112" s="14" t="s">
        <v>354</v>
      </c>
      <c r="D112" s="21" t="s">
        <v>353</v>
      </c>
      <c r="E112" s="14" t="s">
        <v>48</v>
      </c>
      <c r="F112" s="15">
        <v>0.43342999999999998</v>
      </c>
      <c r="G112" s="18" t="s">
        <v>146</v>
      </c>
      <c r="H112" s="19" t="s">
        <v>337</v>
      </c>
    </row>
    <row r="113" spans="1:8" ht="16.5" hidden="1" customHeight="1" x14ac:dyDescent="0.55000000000000004">
      <c r="A113" s="20" t="s">
        <v>355</v>
      </c>
      <c r="B113" s="14"/>
      <c r="C113" s="14" t="s">
        <v>356</v>
      </c>
      <c r="D113" s="21" t="s">
        <v>355</v>
      </c>
      <c r="E113" s="14" t="s">
        <v>156</v>
      </c>
      <c r="F113" s="15">
        <v>3.9E-2</v>
      </c>
      <c r="G113" s="18" t="s">
        <v>146</v>
      </c>
      <c r="H113" s="19" t="s">
        <v>337</v>
      </c>
    </row>
    <row r="114" spans="1:8" ht="16.5" hidden="1" customHeight="1" x14ac:dyDescent="0.55000000000000004">
      <c r="A114" s="20" t="s">
        <v>357</v>
      </c>
      <c r="B114" s="14"/>
      <c r="C114" s="14" t="s">
        <v>358</v>
      </c>
      <c r="D114" s="21" t="s">
        <v>357</v>
      </c>
      <c r="E114" s="14" t="s">
        <v>156</v>
      </c>
      <c r="F114" s="15">
        <v>7.1620000000000003E-2</v>
      </c>
      <c r="G114" s="18" t="s">
        <v>146</v>
      </c>
      <c r="H114" s="19" t="s">
        <v>337</v>
      </c>
    </row>
    <row r="115" spans="1:8" ht="16.5" hidden="1" customHeight="1" x14ac:dyDescent="0.55000000000000004">
      <c r="A115" s="20" t="s">
        <v>359</v>
      </c>
      <c r="B115" s="14"/>
      <c r="C115" s="14" t="s">
        <v>360</v>
      </c>
      <c r="D115" s="21" t="s">
        <v>359</v>
      </c>
      <c r="E115" s="14" t="s">
        <v>156</v>
      </c>
      <c r="F115" s="15">
        <v>1.3599999999999999E-2</v>
      </c>
      <c r="G115" s="18" t="s">
        <v>146</v>
      </c>
      <c r="H115" s="19" t="s">
        <v>337</v>
      </c>
    </row>
    <row r="116" spans="1:8" ht="16.5" hidden="1" customHeight="1" x14ac:dyDescent="0.55000000000000004">
      <c r="A116" s="20" t="s">
        <v>361</v>
      </c>
      <c r="B116" s="14"/>
      <c r="C116" s="14" t="s">
        <v>362</v>
      </c>
      <c r="D116" s="21" t="s">
        <v>361</v>
      </c>
      <c r="E116" s="14" t="s">
        <v>48</v>
      </c>
      <c r="F116" s="15">
        <v>0.21425</v>
      </c>
      <c r="G116" s="18" t="s">
        <v>200</v>
      </c>
      <c r="H116" s="19" t="s">
        <v>363</v>
      </c>
    </row>
    <row r="117" spans="1:8" ht="16.5" hidden="1" customHeight="1" x14ac:dyDescent="0.55000000000000004">
      <c r="A117" s="20" t="s">
        <v>364</v>
      </c>
      <c r="B117" s="14"/>
      <c r="C117" s="14" t="s">
        <v>365</v>
      </c>
      <c r="D117" s="21" t="s">
        <v>364</v>
      </c>
      <c r="E117" s="14" t="s">
        <v>156</v>
      </c>
      <c r="F117" s="15">
        <v>7.7100000000000002E-2</v>
      </c>
      <c r="G117" s="18" t="s">
        <v>200</v>
      </c>
      <c r="H117" s="19" t="s">
        <v>363</v>
      </c>
    </row>
    <row r="118" spans="1:8" ht="16.5" hidden="1" customHeight="1" x14ac:dyDescent="0.55000000000000004">
      <c r="A118" s="20" t="s">
        <v>366</v>
      </c>
      <c r="B118" s="14"/>
      <c r="C118" s="14" t="s">
        <v>367</v>
      </c>
      <c r="D118" s="21" t="s">
        <v>366</v>
      </c>
      <c r="E118" s="14" t="s">
        <v>156</v>
      </c>
      <c r="F118" s="15">
        <v>0.35048000000000001</v>
      </c>
      <c r="G118" s="18" t="s">
        <v>200</v>
      </c>
      <c r="H118" s="19" t="s">
        <v>363</v>
      </c>
    </row>
    <row r="119" spans="1:8" ht="16.5" customHeight="1" x14ac:dyDescent="0.55000000000000004">
      <c r="A119" s="20" t="s">
        <v>368</v>
      </c>
      <c r="B119" s="14"/>
      <c r="C119" s="14" t="s">
        <v>369</v>
      </c>
      <c r="D119" s="21" t="s">
        <v>368</v>
      </c>
      <c r="E119" s="14" t="s">
        <v>156</v>
      </c>
      <c r="F119" s="15">
        <v>8.745E-2</v>
      </c>
      <c r="G119" s="18" t="s">
        <v>200</v>
      </c>
      <c r="H119" s="19" t="s">
        <v>363</v>
      </c>
    </row>
    <row r="120" spans="1:8" ht="16.5" hidden="1" customHeight="1" x14ac:dyDescent="0.55000000000000004">
      <c r="A120" s="20" t="s">
        <v>370</v>
      </c>
      <c r="B120" s="14"/>
      <c r="C120" s="14" t="s">
        <v>371</v>
      </c>
      <c r="D120" s="21" t="s">
        <v>370</v>
      </c>
      <c r="E120" s="14" t="s">
        <v>48</v>
      </c>
      <c r="F120" s="15">
        <v>1.1320000000000001</v>
      </c>
      <c r="G120" s="18" t="s">
        <v>200</v>
      </c>
      <c r="H120" s="19" t="s">
        <v>363</v>
      </c>
    </row>
    <row r="121" spans="1:8" ht="16.5" hidden="1" customHeight="1" x14ac:dyDescent="0.55000000000000004">
      <c r="A121" s="20" t="s">
        <v>372</v>
      </c>
      <c r="B121" s="14"/>
      <c r="C121" s="14" t="s">
        <v>373</v>
      </c>
      <c r="D121" s="21" t="s">
        <v>372</v>
      </c>
      <c r="E121" s="14" t="s">
        <v>48</v>
      </c>
      <c r="F121" s="15">
        <v>0.57479999999999998</v>
      </c>
      <c r="G121" s="18" t="s">
        <v>200</v>
      </c>
      <c r="H121" s="19" t="s">
        <v>363</v>
      </c>
    </row>
    <row r="122" spans="1:8" ht="16.5" hidden="1" customHeight="1" x14ac:dyDescent="0.55000000000000004">
      <c r="A122" s="20" t="s">
        <v>374</v>
      </c>
      <c r="B122" s="14"/>
      <c r="C122" s="14" t="s">
        <v>375</v>
      </c>
      <c r="D122" s="21" t="s">
        <v>374</v>
      </c>
      <c r="E122" s="14" t="s">
        <v>156</v>
      </c>
      <c r="F122" s="15">
        <v>8.4949999999999998E-2</v>
      </c>
      <c r="G122" s="18" t="s">
        <v>200</v>
      </c>
      <c r="H122" s="19" t="s">
        <v>363</v>
      </c>
    </row>
    <row r="123" spans="1:8" ht="16.5" hidden="1" customHeight="1" x14ac:dyDescent="0.55000000000000004">
      <c r="A123" s="20" t="s">
        <v>376</v>
      </c>
      <c r="B123" s="14"/>
      <c r="C123" s="14" t="s">
        <v>377</v>
      </c>
      <c r="D123" s="21" t="s">
        <v>376</v>
      </c>
      <c r="E123" s="14" t="s">
        <v>48</v>
      </c>
      <c r="F123" s="15">
        <v>3.2</v>
      </c>
      <c r="G123" s="18" t="s">
        <v>200</v>
      </c>
      <c r="H123" s="19" t="s">
        <v>363</v>
      </c>
    </row>
    <row r="124" spans="1:8" ht="16.5" customHeight="1" x14ac:dyDescent="0.55000000000000004">
      <c r="A124" s="20" t="s">
        <v>378</v>
      </c>
      <c r="B124" s="14"/>
      <c r="C124" s="14" t="s">
        <v>379</v>
      </c>
      <c r="D124" s="21" t="s">
        <v>378</v>
      </c>
      <c r="E124" s="14" t="s">
        <v>48</v>
      </c>
      <c r="F124" s="15">
        <v>0.34449999999999997</v>
      </c>
      <c r="G124" s="18" t="s">
        <v>200</v>
      </c>
      <c r="H124" s="19" t="s">
        <v>363</v>
      </c>
    </row>
    <row r="125" spans="1:8" ht="16.5" customHeight="1" x14ac:dyDescent="0.55000000000000004">
      <c r="A125" s="20" t="s">
        <v>380</v>
      </c>
      <c r="B125" s="14"/>
      <c r="C125" s="14" t="s">
        <v>381</v>
      </c>
      <c r="D125" s="21" t="s">
        <v>380</v>
      </c>
      <c r="E125" s="14" t="s">
        <v>48</v>
      </c>
      <c r="F125" s="15">
        <v>9.4399999999999998E-2</v>
      </c>
      <c r="G125" s="18" t="s">
        <v>200</v>
      </c>
      <c r="H125" s="19" t="s">
        <v>363</v>
      </c>
    </row>
    <row r="126" spans="1:8" ht="16.5" customHeight="1" x14ac:dyDescent="0.55000000000000004">
      <c r="A126" s="20" t="s">
        <v>382</v>
      </c>
      <c r="B126" s="14"/>
      <c r="C126" s="14" t="s">
        <v>383</v>
      </c>
      <c r="D126" s="21" t="s">
        <v>382</v>
      </c>
      <c r="E126" s="14" t="s">
        <v>48</v>
      </c>
      <c r="F126" s="15">
        <v>0.56679999999999997</v>
      </c>
      <c r="G126" s="18" t="s">
        <v>200</v>
      </c>
      <c r="H126" s="19" t="s">
        <v>363</v>
      </c>
    </row>
    <row r="127" spans="1:8" ht="16.5" customHeight="1" x14ac:dyDescent="0.55000000000000004">
      <c r="A127" s="20" t="s">
        <v>384</v>
      </c>
      <c r="B127" s="14"/>
      <c r="C127" s="14" t="s">
        <v>385</v>
      </c>
      <c r="D127" s="21" t="s">
        <v>384</v>
      </c>
      <c r="E127" s="14" t="s">
        <v>48</v>
      </c>
      <c r="F127" s="15">
        <v>0.56679999999999997</v>
      </c>
      <c r="G127" s="18" t="s">
        <v>200</v>
      </c>
      <c r="H127" s="19" t="s">
        <v>363</v>
      </c>
    </row>
    <row r="128" spans="1:8" ht="16.5" customHeight="1" x14ac:dyDescent="0.55000000000000004">
      <c r="A128" s="20" t="s">
        <v>386</v>
      </c>
      <c r="B128" s="14"/>
      <c r="C128" s="14" t="s">
        <v>387</v>
      </c>
      <c r="D128" s="21" t="s">
        <v>386</v>
      </c>
      <c r="E128" s="14" t="s">
        <v>48</v>
      </c>
      <c r="F128" s="15">
        <v>0.56679999999999997</v>
      </c>
      <c r="G128" s="18" t="s">
        <v>200</v>
      </c>
      <c r="H128" s="19" t="s">
        <v>363</v>
      </c>
    </row>
    <row r="129" spans="1:11" ht="16.5" customHeight="1" x14ac:dyDescent="0.55000000000000004">
      <c r="A129" s="20" t="s">
        <v>388</v>
      </c>
      <c r="B129" s="14"/>
      <c r="C129" s="14" t="s">
        <v>389</v>
      </c>
      <c r="D129" s="21" t="s">
        <v>388</v>
      </c>
      <c r="E129" s="14" t="s">
        <v>48</v>
      </c>
      <c r="F129" s="15">
        <v>0.56679999999999997</v>
      </c>
      <c r="G129" s="18" t="s">
        <v>200</v>
      </c>
      <c r="H129" s="19" t="s">
        <v>363</v>
      </c>
    </row>
    <row r="130" spans="1:11" ht="16.5" hidden="1" customHeight="1" x14ac:dyDescent="0.55000000000000004">
      <c r="A130" s="20" t="s">
        <v>390</v>
      </c>
      <c r="B130" s="14"/>
      <c r="C130" s="14" t="s">
        <v>391</v>
      </c>
      <c r="D130" s="21" t="s">
        <v>390</v>
      </c>
      <c r="E130" s="14" t="s">
        <v>156</v>
      </c>
      <c r="F130" s="15">
        <v>0.10176</v>
      </c>
      <c r="G130" s="18" t="s">
        <v>200</v>
      </c>
      <c r="H130" s="19" t="s">
        <v>363</v>
      </c>
    </row>
    <row r="131" spans="1:11" ht="16.5" hidden="1" customHeight="1" x14ac:dyDescent="0.55000000000000004">
      <c r="A131" s="20" t="s">
        <v>392</v>
      </c>
      <c r="B131" s="14"/>
      <c r="C131" s="14" t="s">
        <v>393</v>
      </c>
      <c r="D131" s="21" t="s">
        <v>392</v>
      </c>
      <c r="E131" s="14" t="s">
        <v>156</v>
      </c>
      <c r="F131" s="15">
        <v>7.5459999999999999E-2</v>
      </c>
      <c r="G131" s="18" t="s">
        <v>200</v>
      </c>
      <c r="H131" s="19" t="s">
        <v>363</v>
      </c>
    </row>
    <row r="132" spans="1:11" ht="16.5" hidden="1" customHeight="1" x14ac:dyDescent="0.55000000000000004">
      <c r="A132" s="20" t="s">
        <v>394</v>
      </c>
      <c r="B132" s="14"/>
      <c r="C132" s="14" t="s">
        <v>395</v>
      </c>
      <c r="D132" s="21" t="s">
        <v>394</v>
      </c>
      <c r="E132" s="14" t="s">
        <v>156</v>
      </c>
      <c r="F132" s="15">
        <v>6.087E-2</v>
      </c>
      <c r="G132" s="18" t="s">
        <v>200</v>
      </c>
      <c r="H132" s="19" t="s">
        <v>363</v>
      </c>
    </row>
    <row r="133" spans="1:11" ht="16.5" hidden="1" customHeight="1" x14ac:dyDescent="0.55000000000000004">
      <c r="A133" s="20" t="s">
        <v>396</v>
      </c>
      <c r="B133" s="14"/>
      <c r="C133" s="14" t="s">
        <v>397</v>
      </c>
      <c r="D133" s="21" t="s">
        <v>396</v>
      </c>
      <c r="E133" s="14" t="s">
        <v>156</v>
      </c>
      <c r="F133" s="15">
        <v>7.5459999999999999E-2</v>
      </c>
      <c r="G133" s="18" t="s">
        <v>200</v>
      </c>
      <c r="H133" s="19" t="s">
        <v>363</v>
      </c>
    </row>
    <row r="134" spans="1:11" ht="16.5" hidden="1" customHeight="1" x14ac:dyDescent="0.55000000000000004">
      <c r="A134" s="20" t="s">
        <v>398</v>
      </c>
      <c r="B134" s="14"/>
      <c r="C134" s="14" t="s">
        <v>399</v>
      </c>
      <c r="D134" s="21" t="s">
        <v>398</v>
      </c>
      <c r="E134" s="14" t="s">
        <v>156</v>
      </c>
      <c r="F134" s="15">
        <v>5.5659999999999994E-2</v>
      </c>
      <c r="G134" s="18" t="s">
        <v>200</v>
      </c>
      <c r="H134" s="19" t="s">
        <v>363</v>
      </c>
    </row>
    <row r="135" spans="1:11" ht="16.5" hidden="1" customHeight="1" x14ac:dyDescent="0.55000000000000004">
      <c r="A135" s="20" t="s">
        <v>400</v>
      </c>
      <c r="B135" s="14"/>
      <c r="C135" s="14" t="s">
        <v>401</v>
      </c>
      <c r="D135" s="21" t="s">
        <v>400</v>
      </c>
      <c r="E135" s="14" t="s">
        <v>48</v>
      </c>
      <c r="F135" s="15">
        <v>0.69599999999999995</v>
      </c>
      <c r="G135" s="18" t="s">
        <v>200</v>
      </c>
      <c r="H135" s="19" t="s">
        <v>363</v>
      </c>
    </row>
    <row r="136" spans="1:11" ht="16.5" hidden="1" customHeight="1" x14ac:dyDescent="0.55000000000000004">
      <c r="A136" s="20" t="s">
        <v>402</v>
      </c>
      <c r="B136" s="14"/>
      <c r="C136" s="14" t="s">
        <v>403</v>
      </c>
      <c r="D136" s="21" t="s">
        <v>402</v>
      </c>
      <c r="E136" s="14" t="s">
        <v>156</v>
      </c>
      <c r="F136" s="15">
        <v>0.13100000000000001</v>
      </c>
      <c r="G136" s="18" t="s">
        <v>200</v>
      </c>
      <c r="H136" s="19" t="s">
        <v>363</v>
      </c>
    </row>
    <row r="137" spans="1:11" ht="16.5" hidden="1" customHeight="1" x14ac:dyDescent="0.55000000000000004">
      <c r="A137" s="20" t="s">
        <v>405</v>
      </c>
      <c r="B137" s="14"/>
      <c r="C137" s="14" t="s">
        <v>406</v>
      </c>
      <c r="D137" s="21" t="s">
        <v>405</v>
      </c>
      <c r="E137" s="14" t="s">
        <v>156</v>
      </c>
      <c r="F137" s="15">
        <v>1.1599999999999999E-2</v>
      </c>
      <c r="G137" s="18" t="s">
        <v>146</v>
      </c>
      <c r="H137" s="19" t="s">
        <v>333</v>
      </c>
    </row>
    <row r="138" spans="1:11" ht="16.5" hidden="1" customHeight="1" x14ac:dyDescent="0.55000000000000004">
      <c r="A138" s="20" t="s">
        <v>57</v>
      </c>
      <c r="B138" s="14"/>
      <c r="C138" s="14" t="s">
        <v>407</v>
      </c>
      <c r="D138" s="21" t="s">
        <v>57</v>
      </c>
      <c r="E138" s="14" t="s">
        <v>156</v>
      </c>
      <c r="F138" s="15">
        <v>0.03</v>
      </c>
      <c r="G138" s="18" t="s">
        <v>146</v>
      </c>
      <c r="H138" s="19" t="s">
        <v>333</v>
      </c>
      <c r="K138" s="4" t="s">
        <v>404</v>
      </c>
    </row>
    <row r="139" spans="1:11" ht="16.5" hidden="1" customHeight="1" x14ac:dyDescent="0.55000000000000004">
      <c r="A139" s="20" t="s">
        <v>408</v>
      </c>
      <c r="B139" s="14"/>
      <c r="C139" s="14" t="s">
        <v>409</v>
      </c>
      <c r="D139" s="21" t="s">
        <v>408</v>
      </c>
      <c r="E139" s="14" t="s">
        <v>156</v>
      </c>
      <c r="F139" s="15">
        <v>1.0999999999999999E-2</v>
      </c>
      <c r="G139" s="18" t="s">
        <v>146</v>
      </c>
      <c r="H139" s="19" t="s">
        <v>333</v>
      </c>
    </row>
    <row r="140" spans="1:11" ht="16.5" hidden="1" customHeight="1" x14ac:dyDescent="0.55000000000000004">
      <c r="A140" s="20" t="s">
        <v>410</v>
      </c>
      <c r="B140" s="14"/>
      <c r="C140" s="14" t="s">
        <v>411</v>
      </c>
      <c r="D140" s="21" t="s">
        <v>410</v>
      </c>
      <c r="E140" s="14" t="s">
        <v>48</v>
      </c>
      <c r="F140" s="15">
        <v>0.44259999999999999</v>
      </c>
      <c r="G140" s="18" t="s">
        <v>146</v>
      </c>
      <c r="H140" s="19" t="s">
        <v>333</v>
      </c>
    </row>
    <row r="141" spans="1:11" ht="16.5" hidden="1" customHeight="1" x14ac:dyDescent="0.55000000000000004">
      <c r="A141" s="20" t="s">
        <v>412</v>
      </c>
      <c r="B141" s="14"/>
      <c r="C141" s="14" t="s">
        <v>413</v>
      </c>
      <c r="D141" s="21" t="s">
        <v>412</v>
      </c>
      <c r="E141" s="14" t="s">
        <v>48</v>
      </c>
      <c r="F141" s="15">
        <v>0.33333333333333331</v>
      </c>
      <c r="G141" s="18" t="s">
        <v>146</v>
      </c>
      <c r="H141" s="19" t="s">
        <v>333</v>
      </c>
    </row>
    <row r="142" spans="1:11" ht="16.5" hidden="1" customHeight="1" x14ac:dyDescent="0.55000000000000004">
      <c r="A142" s="20" t="s">
        <v>60</v>
      </c>
      <c r="B142" s="14"/>
      <c r="C142" s="14" t="s">
        <v>414</v>
      </c>
      <c r="D142" s="21" t="s">
        <v>60</v>
      </c>
      <c r="E142" s="14" t="s">
        <v>206</v>
      </c>
      <c r="F142" s="15">
        <v>9.8800000000000016E-3</v>
      </c>
      <c r="G142" s="18" t="s">
        <v>146</v>
      </c>
      <c r="H142" s="19" t="s">
        <v>333</v>
      </c>
    </row>
    <row r="143" spans="1:11" ht="16.5" hidden="1" customHeight="1" x14ac:dyDescent="0.55000000000000004">
      <c r="A143" s="20" t="s">
        <v>65</v>
      </c>
      <c r="B143" s="14"/>
      <c r="C143" s="14" t="s">
        <v>415</v>
      </c>
      <c r="D143" s="20" t="s">
        <v>65</v>
      </c>
      <c r="E143" s="14" t="s">
        <v>206</v>
      </c>
      <c r="F143" s="15">
        <v>2.0829999999999998E-2</v>
      </c>
      <c r="G143" s="18" t="s">
        <v>146</v>
      </c>
      <c r="H143" s="19" t="s">
        <v>333</v>
      </c>
    </row>
    <row r="144" spans="1:11" ht="16.5" hidden="1" customHeight="1" x14ac:dyDescent="0.55000000000000004">
      <c r="A144" s="20" t="s">
        <v>416</v>
      </c>
      <c r="B144" s="14"/>
      <c r="C144" s="14" t="s">
        <v>417</v>
      </c>
      <c r="D144" s="21" t="s">
        <v>416</v>
      </c>
      <c r="E144" s="14" t="s">
        <v>48</v>
      </c>
      <c r="F144" s="15">
        <v>0.83</v>
      </c>
      <c r="G144" s="18" t="s">
        <v>146</v>
      </c>
      <c r="H144" s="19" t="s">
        <v>333</v>
      </c>
    </row>
    <row r="145" spans="1:8" ht="16.5" hidden="1" customHeight="1" x14ac:dyDescent="0.55000000000000004">
      <c r="A145" s="20" t="s">
        <v>418</v>
      </c>
      <c r="B145" s="14"/>
      <c r="C145" s="14" t="s">
        <v>419</v>
      </c>
      <c r="D145" s="21" t="s">
        <v>418</v>
      </c>
      <c r="E145" s="14" t="s">
        <v>48</v>
      </c>
      <c r="F145" s="15">
        <v>0.83</v>
      </c>
      <c r="G145" s="18" t="s">
        <v>146</v>
      </c>
      <c r="H145" s="19" t="s">
        <v>333</v>
      </c>
    </row>
    <row r="146" spans="1:8" ht="16.5" hidden="1" customHeight="1" x14ac:dyDescent="0.55000000000000004">
      <c r="A146" s="20" t="s">
        <v>420</v>
      </c>
      <c r="B146" s="14"/>
      <c r="C146" s="14" t="s">
        <v>421</v>
      </c>
      <c r="D146" s="21" t="s">
        <v>420</v>
      </c>
      <c r="E146" s="14" t="s">
        <v>206</v>
      </c>
      <c r="F146" s="15">
        <v>2.1749999999999999E-2</v>
      </c>
      <c r="G146" s="18" t="s">
        <v>146</v>
      </c>
      <c r="H146" s="19" t="s">
        <v>333</v>
      </c>
    </row>
    <row r="147" spans="1:8" ht="16.5" hidden="1" customHeight="1" x14ac:dyDescent="0.55000000000000004">
      <c r="A147" s="20" t="s">
        <v>422</v>
      </c>
      <c r="B147" s="14"/>
      <c r="C147" s="14" t="s">
        <v>423</v>
      </c>
      <c r="D147" s="21" t="s">
        <v>422</v>
      </c>
      <c r="E147" s="14" t="s">
        <v>156</v>
      </c>
      <c r="F147" s="15">
        <v>1.2272727272727272E-2</v>
      </c>
      <c r="G147" s="18" t="s">
        <v>146</v>
      </c>
      <c r="H147" s="19" t="s">
        <v>333</v>
      </c>
    </row>
    <row r="148" spans="1:8" ht="16.5" hidden="1" customHeight="1" x14ac:dyDescent="0.55000000000000004">
      <c r="A148" s="20" t="s">
        <v>1405</v>
      </c>
      <c r="B148" s="14"/>
      <c r="C148" s="14" t="s">
        <v>1435</v>
      </c>
      <c r="D148" s="21" t="s">
        <v>1405</v>
      </c>
      <c r="E148" s="14" t="s">
        <v>206</v>
      </c>
      <c r="F148" s="15">
        <v>8.0000000000000007E-5</v>
      </c>
      <c r="G148" s="18" t="s">
        <v>833</v>
      </c>
      <c r="H148" s="19" t="s">
        <v>833</v>
      </c>
    </row>
    <row r="149" spans="1:8" ht="16.5" hidden="1" customHeight="1" x14ac:dyDescent="0.55000000000000004">
      <c r="A149" s="20" t="s">
        <v>424</v>
      </c>
      <c r="B149" s="14"/>
      <c r="C149" s="14" t="s">
        <v>425</v>
      </c>
      <c r="D149" s="21" t="s">
        <v>424</v>
      </c>
      <c r="E149" s="14" t="s">
        <v>48</v>
      </c>
      <c r="F149" s="15">
        <v>0.56000000000000005</v>
      </c>
      <c r="G149" s="18" t="s">
        <v>146</v>
      </c>
      <c r="H149" s="19" t="s">
        <v>333</v>
      </c>
    </row>
    <row r="150" spans="1:8" ht="16.5" hidden="1" customHeight="1" x14ac:dyDescent="0.55000000000000004">
      <c r="A150" s="20" t="s">
        <v>426</v>
      </c>
      <c r="B150" s="14"/>
      <c r="C150" s="14" t="s">
        <v>427</v>
      </c>
      <c r="D150" s="21" t="s">
        <v>426</v>
      </c>
      <c r="E150" s="14" t="s">
        <v>48</v>
      </c>
      <c r="F150" s="15">
        <v>19.75</v>
      </c>
      <c r="G150" s="18" t="s">
        <v>146</v>
      </c>
      <c r="H150" s="19" t="s">
        <v>333</v>
      </c>
    </row>
    <row r="151" spans="1:8" ht="16.5" hidden="1" customHeight="1" x14ac:dyDescent="0.55000000000000004">
      <c r="A151" s="20" t="s">
        <v>126</v>
      </c>
      <c r="B151" s="14"/>
      <c r="C151" s="14" t="s">
        <v>428</v>
      </c>
      <c r="D151" s="21" t="s">
        <v>126</v>
      </c>
      <c r="E151" s="14" t="s">
        <v>206</v>
      </c>
      <c r="F151" s="15">
        <v>4.2500000000000003E-3</v>
      </c>
      <c r="G151" s="18" t="s">
        <v>146</v>
      </c>
      <c r="H151" s="19" t="s">
        <v>333</v>
      </c>
    </row>
    <row r="152" spans="1:8" ht="16.5" hidden="1" customHeight="1" x14ac:dyDescent="0.55000000000000004">
      <c r="A152" s="20" t="s">
        <v>429</v>
      </c>
      <c r="B152" s="14"/>
      <c r="C152" s="14" t="s">
        <v>430</v>
      </c>
      <c r="D152" s="21" t="s">
        <v>429</v>
      </c>
      <c r="E152" s="14" t="s">
        <v>206</v>
      </c>
      <c r="F152" s="15">
        <v>1.0966666666666667</v>
      </c>
      <c r="G152" s="18" t="s">
        <v>146</v>
      </c>
      <c r="H152" s="19" t="s">
        <v>333</v>
      </c>
    </row>
    <row r="153" spans="1:8" ht="16.5" hidden="1" customHeight="1" x14ac:dyDescent="0.55000000000000004">
      <c r="A153" s="20" t="s">
        <v>125</v>
      </c>
      <c r="B153" s="14"/>
      <c r="C153" s="14" t="s">
        <v>431</v>
      </c>
      <c r="D153" s="21" t="s">
        <v>125</v>
      </c>
      <c r="E153" s="14" t="s">
        <v>156</v>
      </c>
      <c r="F153" s="15">
        <v>4.4000000000000003E-3</v>
      </c>
      <c r="G153" s="18" t="s">
        <v>146</v>
      </c>
      <c r="H153" s="19" t="s">
        <v>333</v>
      </c>
    </row>
    <row r="154" spans="1:8" ht="16.5" hidden="1" customHeight="1" x14ac:dyDescent="0.55000000000000004">
      <c r="A154" s="20" t="s">
        <v>432</v>
      </c>
      <c r="B154" s="14"/>
      <c r="C154" s="14" t="s">
        <v>433</v>
      </c>
      <c r="D154" s="21" t="s">
        <v>432</v>
      </c>
      <c r="E154" s="14" t="s">
        <v>48</v>
      </c>
      <c r="F154" s="15">
        <v>1.65</v>
      </c>
      <c r="G154" s="18" t="s">
        <v>146</v>
      </c>
      <c r="H154" s="19" t="s">
        <v>333</v>
      </c>
    </row>
    <row r="155" spans="1:8" ht="16.5" hidden="1" customHeight="1" x14ac:dyDescent="0.55000000000000004">
      <c r="A155" s="20" t="s">
        <v>434</v>
      </c>
      <c r="B155" s="14"/>
      <c r="C155" s="14" t="s">
        <v>435</v>
      </c>
      <c r="D155" s="21" t="s">
        <v>434</v>
      </c>
      <c r="E155" s="14" t="s">
        <v>156</v>
      </c>
      <c r="F155" s="15">
        <v>6.0000000000000001E-3</v>
      </c>
      <c r="G155" s="18" t="s">
        <v>200</v>
      </c>
      <c r="H155" s="19" t="s">
        <v>436</v>
      </c>
    </row>
    <row r="156" spans="1:8" ht="16.5" hidden="1" customHeight="1" x14ac:dyDescent="0.55000000000000004">
      <c r="A156" s="20" t="s">
        <v>437</v>
      </c>
      <c r="B156" s="14"/>
      <c r="C156" s="14" t="s">
        <v>438</v>
      </c>
      <c r="D156" s="21" t="s">
        <v>437</v>
      </c>
      <c r="E156" s="14" t="s">
        <v>156</v>
      </c>
      <c r="F156" s="15">
        <v>6.0000000000000001E-3</v>
      </c>
      <c r="G156" s="18" t="s">
        <v>200</v>
      </c>
      <c r="H156" s="19" t="s">
        <v>436</v>
      </c>
    </row>
    <row r="157" spans="1:8" ht="16.5" hidden="1" customHeight="1" x14ac:dyDescent="0.55000000000000004">
      <c r="A157" s="13" t="s">
        <v>439</v>
      </c>
      <c r="B157" s="14"/>
      <c r="C157" s="14" t="s">
        <v>440</v>
      </c>
      <c r="D157" s="14" t="s">
        <v>439</v>
      </c>
      <c r="E157" s="14" t="s">
        <v>156</v>
      </c>
      <c r="F157" s="15">
        <v>6.0000000000000001E-3</v>
      </c>
      <c r="G157" s="14" t="s">
        <v>200</v>
      </c>
      <c r="H157" s="19" t="s">
        <v>436</v>
      </c>
    </row>
    <row r="158" spans="1:8" ht="16.5" hidden="1" customHeight="1" x14ac:dyDescent="0.55000000000000004">
      <c r="A158" s="13" t="s">
        <v>441</v>
      </c>
      <c r="B158" s="14"/>
      <c r="C158" s="14" t="s">
        <v>442</v>
      </c>
      <c r="D158" s="14" t="s">
        <v>441</v>
      </c>
      <c r="E158" s="14" t="s">
        <v>156</v>
      </c>
      <c r="F158" s="15">
        <v>6.0770000000000005E-2</v>
      </c>
      <c r="G158" s="14" t="s">
        <v>200</v>
      </c>
      <c r="H158" s="19" t="s">
        <v>436</v>
      </c>
    </row>
    <row r="159" spans="1:8" ht="16.5" hidden="1" customHeight="1" x14ac:dyDescent="0.55000000000000004">
      <c r="A159" s="13" t="s">
        <v>134</v>
      </c>
      <c r="B159" s="14"/>
      <c r="C159" s="14" t="s">
        <v>443</v>
      </c>
      <c r="D159" s="14" t="s">
        <v>134</v>
      </c>
      <c r="E159" s="14" t="s">
        <v>156</v>
      </c>
      <c r="F159" s="15">
        <v>1.2857142857142857E-2</v>
      </c>
      <c r="G159" s="14" t="s">
        <v>200</v>
      </c>
      <c r="H159" s="19" t="s">
        <v>436</v>
      </c>
    </row>
    <row r="160" spans="1:8" ht="16.5" hidden="1" customHeight="1" x14ac:dyDescent="0.55000000000000004">
      <c r="A160" s="13" t="s">
        <v>444</v>
      </c>
      <c r="B160" s="14"/>
      <c r="C160" s="14" t="s">
        <v>445</v>
      </c>
      <c r="D160" s="14" t="s">
        <v>444</v>
      </c>
      <c r="E160" s="14" t="s">
        <v>156</v>
      </c>
      <c r="F160" s="15">
        <v>1E-3</v>
      </c>
      <c r="G160" s="14" t="s">
        <v>200</v>
      </c>
      <c r="H160" s="19" t="s">
        <v>436</v>
      </c>
    </row>
    <row r="161" spans="1:8" ht="16.5" hidden="1" customHeight="1" x14ac:dyDescent="0.55000000000000004">
      <c r="A161" s="13" t="s">
        <v>446</v>
      </c>
      <c r="B161" s="14"/>
      <c r="C161" s="14" t="s">
        <v>447</v>
      </c>
      <c r="D161" s="14" t="s">
        <v>446</v>
      </c>
      <c r="E161" s="14" t="s">
        <v>156</v>
      </c>
      <c r="F161" s="15">
        <v>1E-3</v>
      </c>
      <c r="G161" s="14" t="s">
        <v>200</v>
      </c>
      <c r="H161" s="19" t="s">
        <v>436</v>
      </c>
    </row>
    <row r="162" spans="1:8" ht="16.5" hidden="1" customHeight="1" x14ac:dyDescent="0.55000000000000004">
      <c r="A162" s="13" t="s">
        <v>55</v>
      </c>
      <c r="B162" s="14"/>
      <c r="C162" s="14" t="s">
        <v>448</v>
      </c>
      <c r="D162" s="14" t="s">
        <v>55</v>
      </c>
      <c r="E162" s="14" t="s">
        <v>156</v>
      </c>
      <c r="F162" s="15">
        <v>2.0799999999999998E-3</v>
      </c>
      <c r="G162" s="14" t="s">
        <v>200</v>
      </c>
      <c r="H162" s="19" t="s">
        <v>436</v>
      </c>
    </row>
    <row r="163" spans="1:8" ht="16.5" hidden="1" customHeight="1" x14ac:dyDescent="0.55000000000000004">
      <c r="A163" s="13" t="s">
        <v>58</v>
      </c>
      <c r="B163" s="14"/>
      <c r="C163" s="14" t="s">
        <v>449</v>
      </c>
      <c r="D163" s="14" t="s">
        <v>58</v>
      </c>
      <c r="E163" s="14" t="s">
        <v>156</v>
      </c>
      <c r="F163" s="15">
        <v>7.7777777777777773E-4</v>
      </c>
      <c r="G163" s="14" t="s">
        <v>200</v>
      </c>
      <c r="H163" s="19" t="s">
        <v>436</v>
      </c>
    </row>
    <row r="164" spans="1:8" ht="16.5" hidden="1" customHeight="1" x14ac:dyDescent="0.55000000000000004">
      <c r="A164" s="13" t="s">
        <v>450</v>
      </c>
      <c r="B164" s="14"/>
      <c r="C164" s="14" t="s">
        <v>451</v>
      </c>
      <c r="D164" s="14" t="s">
        <v>450</v>
      </c>
      <c r="E164" s="14" t="s">
        <v>156</v>
      </c>
      <c r="F164" s="15">
        <v>4.0000000000000001E-3</v>
      </c>
      <c r="G164" s="14" t="s">
        <v>200</v>
      </c>
      <c r="H164" s="19" t="s">
        <v>436</v>
      </c>
    </row>
    <row r="165" spans="1:8" ht="16.5" hidden="1" customHeight="1" x14ac:dyDescent="0.55000000000000004">
      <c r="A165" s="13" t="s">
        <v>64</v>
      </c>
      <c r="B165" s="14"/>
      <c r="C165" s="14" t="s">
        <v>452</v>
      </c>
      <c r="D165" s="14" t="s">
        <v>64</v>
      </c>
      <c r="E165" s="14" t="s">
        <v>156</v>
      </c>
      <c r="F165" s="15">
        <v>0.02</v>
      </c>
      <c r="G165" s="14" t="s">
        <v>200</v>
      </c>
      <c r="H165" s="19" t="s">
        <v>436</v>
      </c>
    </row>
    <row r="166" spans="1:8" ht="16.5" hidden="1" customHeight="1" x14ac:dyDescent="0.55000000000000004">
      <c r="A166" s="13" t="s">
        <v>59</v>
      </c>
      <c r="B166" s="14"/>
      <c r="C166" s="14" t="s">
        <v>453</v>
      </c>
      <c r="D166" s="14" t="s">
        <v>59</v>
      </c>
      <c r="E166" s="14" t="s">
        <v>156</v>
      </c>
      <c r="F166" s="15">
        <v>1.4319999999999999E-2</v>
      </c>
      <c r="G166" s="14" t="s">
        <v>200</v>
      </c>
      <c r="H166" s="19" t="s">
        <v>436</v>
      </c>
    </row>
    <row r="167" spans="1:8" ht="16.5" hidden="1" customHeight="1" x14ac:dyDescent="0.55000000000000004">
      <c r="A167" s="13" t="s">
        <v>454</v>
      </c>
      <c r="B167" s="14"/>
      <c r="C167" s="14" t="s">
        <v>455</v>
      </c>
      <c r="D167" s="14" t="s">
        <v>454</v>
      </c>
      <c r="E167" s="14" t="s">
        <v>156</v>
      </c>
      <c r="F167" s="15">
        <v>1.6E-2</v>
      </c>
      <c r="G167" s="14" t="s">
        <v>200</v>
      </c>
      <c r="H167" s="19" t="s">
        <v>436</v>
      </c>
    </row>
    <row r="168" spans="1:8" ht="16.5" hidden="1" customHeight="1" x14ac:dyDescent="0.55000000000000004">
      <c r="A168" s="13" t="s">
        <v>456</v>
      </c>
      <c r="B168" s="14"/>
      <c r="C168" s="14" t="s">
        <v>457</v>
      </c>
      <c r="D168" s="14" t="s">
        <v>456</v>
      </c>
      <c r="E168" s="14" t="s">
        <v>156</v>
      </c>
      <c r="F168" s="15">
        <v>1.9E-2</v>
      </c>
      <c r="G168" s="14" t="s">
        <v>200</v>
      </c>
      <c r="H168" s="19" t="s">
        <v>436</v>
      </c>
    </row>
    <row r="169" spans="1:8" ht="16.5" hidden="1" customHeight="1" x14ac:dyDescent="0.55000000000000004">
      <c r="A169" s="13" t="s">
        <v>458</v>
      </c>
      <c r="B169" s="14"/>
      <c r="C169" s="14" t="s">
        <v>459</v>
      </c>
      <c r="D169" s="14" t="s">
        <v>458</v>
      </c>
      <c r="E169" s="14" t="s">
        <v>206</v>
      </c>
      <c r="F169" s="15">
        <v>1.8260000000000002E-2</v>
      </c>
      <c r="G169" s="14" t="s">
        <v>460</v>
      </c>
      <c r="H169" s="19" t="s">
        <v>461</v>
      </c>
    </row>
    <row r="170" spans="1:8" ht="16.5" hidden="1" customHeight="1" x14ac:dyDescent="0.55000000000000004">
      <c r="A170" s="13" t="s">
        <v>462</v>
      </c>
      <c r="B170" s="14"/>
      <c r="C170" s="14" t="s">
        <v>463</v>
      </c>
      <c r="D170" s="14" t="s">
        <v>462</v>
      </c>
      <c r="E170" s="14" t="s">
        <v>48</v>
      </c>
      <c r="F170" s="15">
        <v>1.1100000000000001</v>
      </c>
      <c r="G170" s="14" t="s">
        <v>460</v>
      </c>
      <c r="H170" s="19" t="s">
        <v>461</v>
      </c>
    </row>
    <row r="171" spans="1:8" ht="16.5" hidden="1" customHeight="1" x14ac:dyDescent="0.55000000000000004">
      <c r="A171" s="13" t="s">
        <v>464</v>
      </c>
      <c r="B171" s="14"/>
      <c r="C171" s="14" t="s">
        <v>465</v>
      </c>
      <c r="D171" s="14" t="s">
        <v>464</v>
      </c>
      <c r="E171" s="14" t="s">
        <v>48</v>
      </c>
      <c r="F171" s="15">
        <v>0.98</v>
      </c>
      <c r="G171" s="14" t="s">
        <v>460</v>
      </c>
      <c r="H171" s="19" t="s">
        <v>461</v>
      </c>
    </row>
    <row r="172" spans="1:8" ht="16.5" hidden="1" customHeight="1" x14ac:dyDescent="0.55000000000000004">
      <c r="A172" s="13" t="s">
        <v>466</v>
      </c>
      <c r="B172" s="14"/>
      <c r="C172" s="14" t="s">
        <v>467</v>
      </c>
      <c r="D172" s="14" t="s">
        <v>466</v>
      </c>
      <c r="E172" s="14" t="s">
        <v>48</v>
      </c>
      <c r="F172" s="15">
        <v>1.24</v>
      </c>
      <c r="G172" s="14" t="s">
        <v>460</v>
      </c>
      <c r="H172" s="19" t="s">
        <v>461</v>
      </c>
    </row>
    <row r="173" spans="1:8" ht="16.5" hidden="1" customHeight="1" x14ac:dyDescent="0.55000000000000004">
      <c r="A173" s="13" t="s">
        <v>468</v>
      </c>
      <c r="B173" s="14"/>
      <c r="C173" s="14" t="s">
        <v>469</v>
      </c>
      <c r="D173" s="14" t="s">
        <v>468</v>
      </c>
      <c r="E173" s="14" t="s">
        <v>48</v>
      </c>
      <c r="F173" s="15">
        <v>0.98</v>
      </c>
      <c r="G173" s="14" t="s">
        <v>460</v>
      </c>
      <c r="H173" s="19" t="s">
        <v>461</v>
      </c>
    </row>
    <row r="174" spans="1:8" ht="16.5" hidden="1" customHeight="1" x14ac:dyDescent="0.55000000000000004">
      <c r="A174" s="13" t="s">
        <v>470</v>
      </c>
      <c r="B174" s="14"/>
      <c r="C174" s="14" t="s">
        <v>471</v>
      </c>
      <c r="D174" s="14" t="s">
        <v>470</v>
      </c>
      <c r="E174" s="14" t="s">
        <v>48</v>
      </c>
      <c r="F174" s="15">
        <v>1.31</v>
      </c>
      <c r="G174" s="14" t="s">
        <v>460</v>
      </c>
      <c r="H174" s="16" t="s">
        <v>461</v>
      </c>
    </row>
    <row r="175" spans="1:8" ht="16.5" hidden="1" customHeight="1" x14ac:dyDescent="0.55000000000000004">
      <c r="A175" s="13" t="s">
        <v>472</v>
      </c>
      <c r="B175" s="14"/>
      <c r="C175" s="14" t="s">
        <v>473</v>
      </c>
      <c r="D175" s="14" t="s">
        <v>472</v>
      </c>
      <c r="E175" s="14" t="s">
        <v>48</v>
      </c>
      <c r="F175" s="15">
        <v>0.98</v>
      </c>
      <c r="G175" s="14" t="s">
        <v>460</v>
      </c>
      <c r="H175" s="16" t="s">
        <v>461</v>
      </c>
    </row>
    <row r="176" spans="1:8" ht="16.5" hidden="1" customHeight="1" x14ac:dyDescent="0.55000000000000004">
      <c r="A176" s="13" t="s">
        <v>111</v>
      </c>
      <c r="B176" s="14"/>
      <c r="C176" s="14" t="s">
        <v>474</v>
      </c>
      <c r="D176" s="14" t="s">
        <v>111</v>
      </c>
      <c r="E176" s="14" t="s">
        <v>48</v>
      </c>
      <c r="F176" s="15">
        <v>0.98</v>
      </c>
      <c r="G176" s="14" t="s">
        <v>460</v>
      </c>
      <c r="H176" s="16" t="s">
        <v>461</v>
      </c>
    </row>
    <row r="177" spans="1:8" ht="16.5" hidden="1" customHeight="1" x14ac:dyDescent="0.55000000000000004">
      <c r="A177" s="13" t="s">
        <v>475</v>
      </c>
      <c r="B177" s="14"/>
      <c r="C177" s="14" t="s">
        <v>476</v>
      </c>
      <c r="D177" s="14" t="s">
        <v>475</v>
      </c>
      <c r="E177" s="14" t="s">
        <v>48</v>
      </c>
      <c r="F177" s="15">
        <v>1.17</v>
      </c>
      <c r="G177" s="14" t="s">
        <v>460</v>
      </c>
      <c r="H177" s="16" t="s">
        <v>461</v>
      </c>
    </row>
    <row r="178" spans="1:8" ht="16.5" hidden="1" customHeight="1" x14ac:dyDescent="0.55000000000000004">
      <c r="A178" s="13" t="s">
        <v>477</v>
      </c>
      <c r="B178" s="14"/>
      <c r="C178" s="14" t="s">
        <v>478</v>
      </c>
      <c r="D178" s="14" t="s">
        <v>477</v>
      </c>
      <c r="E178" s="14" t="s">
        <v>48</v>
      </c>
      <c r="F178" s="15">
        <v>1.1599999999999999</v>
      </c>
      <c r="G178" s="14" t="s">
        <v>460</v>
      </c>
      <c r="H178" s="16" t="s">
        <v>461</v>
      </c>
    </row>
    <row r="179" spans="1:8" ht="16.5" hidden="1" customHeight="1" x14ac:dyDescent="0.55000000000000004">
      <c r="A179" s="13" t="s">
        <v>479</v>
      </c>
      <c r="B179" s="14"/>
      <c r="C179" s="14" t="s">
        <v>480</v>
      </c>
      <c r="D179" s="14" t="s">
        <v>479</v>
      </c>
      <c r="E179" s="14" t="s">
        <v>48</v>
      </c>
      <c r="F179" s="15">
        <v>2.2400000000000002</v>
      </c>
      <c r="G179" s="14" t="s">
        <v>460</v>
      </c>
      <c r="H179" s="16" t="s">
        <v>461</v>
      </c>
    </row>
    <row r="180" spans="1:8" ht="16.5" hidden="1" customHeight="1" x14ac:dyDescent="0.55000000000000004">
      <c r="A180" s="13" t="s">
        <v>481</v>
      </c>
      <c r="B180" s="14"/>
      <c r="C180" s="14" t="s">
        <v>482</v>
      </c>
      <c r="D180" s="14" t="s">
        <v>481</v>
      </c>
      <c r="E180" s="14" t="s">
        <v>48</v>
      </c>
      <c r="F180" s="15">
        <v>1.57</v>
      </c>
      <c r="G180" s="14" t="s">
        <v>460</v>
      </c>
      <c r="H180" s="16" t="s">
        <v>461</v>
      </c>
    </row>
    <row r="181" spans="1:8" ht="16.5" hidden="1" customHeight="1" x14ac:dyDescent="0.55000000000000004">
      <c r="A181" s="13" t="s">
        <v>483</v>
      </c>
      <c r="B181" s="14"/>
      <c r="C181" s="14" t="s">
        <v>484</v>
      </c>
      <c r="D181" s="14" t="s">
        <v>483</v>
      </c>
      <c r="E181" s="14" t="s">
        <v>48</v>
      </c>
      <c r="F181" s="15">
        <v>1.79</v>
      </c>
      <c r="G181" s="14" t="s">
        <v>460</v>
      </c>
      <c r="H181" s="16" t="s">
        <v>461</v>
      </c>
    </row>
    <row r="182" spans="1:8" ht="16.5" hidden="1" customHeight="1" x14ac:dyDescent="0.55000000000000004">
      <c r="A182" s="13" t="s">
        <v>485</v>
      </c>
      <c r="B182" s="14"/>
      <c r="C182" s="14" t="s">
        <v>486</v>
      </c>
      <c r="D182" s="14" t="s">
        <v>485</v>
      </c>
      <c r="E182" s="14" t="s">
        <v>156</v>
      </c>
      <c r="F182" s="15">
        <v>6.0000000000000001E-3</v>
      </c>
      <c r="G182" s="14" t="s">
        <v>200</v>
      </c>
      <c r="H182" s="16" t="s">
        <v>487</v>
      </c>
    </row>
    <row r="183" spans="1:8" ht="16.5" hidden="1" customHeight="1" x14ac:dyDescent="0.55000000000000004">
      <c r="A183" s="13" t="s">
        <v>488</v>
      </c>
      <c r="B183" s="14"/>
      <c r="C183" s="14" t="s">
        <v>489</v>
      </c>
      <c r="D183" s="14" t="s">
        <v>488</v>
      </c>
      <c r="E183" s="14" t="s">
        <v>156</v>
      </c>
      <c r="F183" s="15">
        <v>1.2E-2</v>
      </c>
      <c r="G183" s="14" t="s">
        <v>200</v>
      </c>
      <c r="H183" s="16" t="s">
        <v>487</v>
      </c>
    </row>
    <row r="184" spans="1:8" ht="16.5" hidden="1" customHeight="1" x14ac:dyDescent="0.55000000000000004">
      <c r="A184" s="13" t="s">
        <v>98</v>
      </c>
      <c r="B184" s="14"/>
      <c r="C184" s="14" t="s">
        <v>490</v>
      </c>
      <c r="D184" s="14" t="s">
        <v>98</v>
      </c>
      <c r="E184" s="14" t="s">
        <v>156</v>
      </c>
      <c r="F184" s="15">
        <v>7.0000000000000001E-3</v>
      </c>
      <c r="G184" s="14" t="s">
        <v>200</v>
      </c>
      <c r="H184" s="16" t="s">
        <v>487</v>
      </c>
    </row>
    <row r="185" spans="1:8" ht="16.5" hidden="1" customHeight="1" x14ac:dyDescent="0.55000000000000004">
      <c r="A185" s="13" t="s">
        <v>491</v>
      </c>
      <c r="B185" s="14"/>
      <c r="C185" s="14" t="s">
        <v>492</v>
      </c>
      <c r="D185" s="14" t="s">
        <v>491</v>
      </c>
      <c r="E185" s="14" t="s">
        <v>156</v>
      </c>
      <c r="F185" s="15">
        <v>4.7999999999999996E-3</v>
      </c>
      <c r="G185" s="14" t="s">
        <v>200</v>
      </c>
      <c r="H185" s="16" t="s">
        <v>487</v>
      </c>
    </row>
    <row r="186" spans="1:8" ht="16.5" hidden="1" customHeight="1" x14ac:dyDescent="0.55000000000000004">
      <c r="A186" s="13" t="s">
        <v>493</v>
      </c>
      <c r="B186" s="14"/>
      <c r="C186" s="14" t="s">
        <v>494</v>
      </c>
      <c r="D186" s="14" t="s">
        <v>493</v>
      </c>
      <c r="E186" s="14" t="s">
        <v>156</v>
      </c>
      <c r="F186" s="15">
        <v>8.3333333333333332E-3</v>
      </c>
      <c r="G186" s="14" t="s">
        <v>200</v>
      </c>
      <c r="H186" s="16" t="s">
        <v>487</v>
      </c>
    </row>
    <row r="187" spans="1:8" ht="16.5" hidden="1" customHeight="1" x14ac:dyDescent="0.55000000000000004">
      <c r="A187" s="13" t="s">
        <v>495</v>
      </c>
      <c r="B187" s="14"/>
      <c r="C187" s="14" t="s">
        <v>496</v>
      </c>
      <c r="D187" s="14" t="s">
        <v>495</v>
      </c>
      <c r="E187" s="14" t="s">
        <v>156</v>
      </c>
      <c r="F187" s="15">
        <v>8.3333333333333332E-3</v>
      </c>
      <c r="G187" s="14" t="s">
        <v>200</v>
      </c>
      <c r="H187" s="16" t="s">
        <v>487</v>
      </c>
    </row>
    <row r="188" spans="1:8" hidden="1" x14ac:dyDescent="0.55000000000000004">
      <c r="A188" s="22" t="s">
        <v>497</v>
      </c>
      <c r="B188" s="14"/>
      <c r="C188" s="14" t="s">
        <v>498</v>
      </c>
      <c r="D188" s="23" t="s">
        <v>497</v>
      </c>
      <c r="E188" s="14" t="s">
        <v>156</v>
      </c>
      <c r="F188" s="15">
        <v>4.2666666666666669E-3</v>
      </c>
      <c r="G188" s="14" t="s">
        <v>200</v>
      </c>
      <c r="H188" s="16" t="s">
        <v>487</v>
      </c>
    </row>
    <row r="189" spans="1:8" hidden="1" x14ac:dyDescent="0.55000000000000004">
      <c r="A189" s="22" t="s">
        <v>499</v>
      </c>
      <c r="B189" s="14"/>
      <c r="C189" s="14" t="s">
        <v>500</v>
      </c>
      <c r="D189" s="23" t="s">
        <v>499</v>
      </c>
      <c r="E189" s="14" t="s">
        <v>156</v>
      </c>
      <c r="F189" s="15">
        <v>4.2999999999999997E-2</v>
      </c>
      <c r="G189" s="14" t="s">
        <v>200</v>
      </c>
      <c r="H189" s="16" t="s">
        <v>501</v>
      </c>
    </row>
    <row r="190" spans="1:8" hidden="1" x14ac:dyDescent="0.55000000000000004">
      <c r="A190" s="22" t="s">
        <v>502</v>
      </c>
      <c r="B190" s="14"/>
      <c r="C190" s="14" t="s">
        <v>503</v>
      </c>
      <c r="D190" s="23" t="s">
        <v>502</v>
      </c>
      <c r="E190" s="14" t="s">
        <v>156</v>
      </c>
      <c r="F190" s="15">
        <v>4.2999999999999997E-2</v>
      </c>
      <c r="G190" s="14" t="s">
        <v>200</v>
      </c>
      <c r="H190" s="16" t="s">
        <v>501</v>
      </c>
    </row>
    <row r="191" spans="1:8" hidden="1" x14ac:dyDescent="0.55000000000000004">
      <c r="A191" s="22" t="s">
        <v>504</v>
      </c>
      <c r="B191" s="14"/>
      <c r="C191" s="14" t="s">
        <v>505</v>
      </c>
      <c r="D191" s="23" t="s">
        <v>504</v>
      </c>
      <c r="E191" s="14" t="s">
        <v>156</v>
      </c>
      <c r="F191" s="15">
        <v>0.04</v>
      </c>
      <c r="G191" s="14" t="s">
        <v>200</v>
      </c>
      <c r="H191" s="16" t="s">
        <v>501</v>
      </c>
    </row>
    <row r="192" spans="1:8" hidden="1" x14ac:dyDescent="0.55000000000000004">
      <c r="A192" s="22" t="s">
        <v>506</v>
      </c>
      <c r="B192" s="14"/>
      <c r="C192" s="14" t="s">
        <v>507</v>
      </c>
      <c r="D192" s="23" t="s">
        <v>506</v>
      </c>
      <c r="E192" s="14" t="s">
        <v>156</v>
      </c>
      <c r="F192" s="15">
        <v>3.1219999999999998E-2</v>
      </c>
      <c r="G192" s="14" t="s">
        <v>200</v>
      </c>
      <c r="H192" s="16" t="s">
        <v>501</v>
      </c>
    </row>
    <row r="193" spans="1:8" hidden="1" x14ac:dyDescent="0.55000000000000004">
      <c r="A193" s="22" t="s">
        <v>508</v>
      </c>
      <c r="B193" s="14"/>
      <c r="C193" s="14" t="s">
        <v>509</v>
      </c>
      <c r="D193" s="23" t="s">
        <v>508</v>
      </c>
      <c r="E193" s="14" t="s">
        <v>156</v>
      </c>
      <c r="F193" s="15">
        <v>4.2000000000000003E-2</v>
      </c>
      <c r="G193" s="14" t="s">
        <v>200</v>
      </c>
      <c r="H193" s="16" t="s">
        <v>501</v>
      </c>
    </row>
    <row r="194" spans="1:8" hidden="1" x14ac:dyDescent="0.55000000000000004">
      <c r="A194" s="22" t="s">
        <v>510</v>
      </c>
      <c r="B194" s="14"/>
      <c r="C194" s="14" t="s">
        <v>511</v>
      </c>
      <c r="D194" s="23" t="s">
        <v>510</v>
      </c>
      <c r="E194" s="14" t="s">
        <v>156</v>
      </c>
      <c r="F194" s="15">
        <v>0.10923999999999999</v>
      </c>
      <c r="G194" s="14" t="s">
        <v>200</v>
      </c>
      <c r="H194" s="16" t="s">
        <v>501</v>
      </c>
    </row>
    <row r="195" spans="1:8" hidden="1" x14ac:dyDescent="0.55000000000000004">
      <c r="A195" s="22" t="s">
        <v>512</v>
      </c>
      <c r="B195" s="14"/>
      <c r="C195" s="14" t="s">
        <v>513</v>
      </c>
      <c r="D195" s="23" t="s">
        <v>512</v>
      </c>
      <c r="E195" s="14" t="s">
        <v>156</v>
      </c>
      <c r="F195" s="15">
        <v>9.5000000000000001E-2</v>
      </c>
      <c r="G195" s="14" t="s">
        <v>200</v>
      </c>
      <c r="H195" s="16" t="s">
        <v>501</v>
      </c>
    </row>
    <row r="196" spans="1:8" hidden="1" x14ac:dyDescent="0.55000000000000004">
      <c r="A196" s="22" t="s">
        <v>514</v>
      </c>
      <c r="B196" s="14"/>
      <c r="C196" s="14" t="s">
        <v>515</v>
      </c>
      <c r="D196" s="23" t="s">
        <v>514</v>
      </c>
      <c r="E196" s="14" t="s">
        <v>156</v>
      </c>
      <c r="F196" s="15">
        <v>0.17499999999999999</v>
      </c>
      <c r="G196" s="14" t="s">
        <v>200</v>
      </c>
      <c r="H196" s="16" t="s">
        <v>501</v>
      </c>
    </row>
    <row r="197" spans="1:8" hidden="1" x14ac:dyDescent="0.55000000000000004">
      <c r="A197" s="22" t="s">
        <v>516</v>
      </c>
      <c r="B197" s="14"/>
      <c r="C197" s="14" t="s">
        <v>517</v>
      </c>
      <c r="D197" s="23" t="s">
        <v>516</v>
      </c>
      <c r="E197" s="14" t="s">
        <v>156</v>
      </c>
      <c r="F197" s="15">
        <v>6.9000000000000006E-2</v>
      </c>
      <c r="G197" s="14" t="s">
        <v>200</v>
      </c>
      <c r="H197" s="16" t="s">
        <v>501</v>
      </c>
    </row>
    <row r="198" spans="1:8" hidden="1" x14ac:dyDescent="0.55000000000000004">
      <c r="A198" s="22" t="s">
        <v>518</v>
      </c>
      <c r="B198" s="14"/>
      <c r="C198" s="14" t="s">
        <v>519</v>
      </c>
      <c r="D198" s="23" t="s">
        <v>518</v>
      </c>
      <c r="E198" s="14" t="s">
        <v>156</v>
      </c>
      <c r="F198" s="15">
        <v>0.155</v>
      </c>
      <c r="G198" s="14" t="s">
        <v>200</v>
      </c>
      <c r="H198" s="16" t="s">
        <v>501</v>
      </c>
    </row>
    <row r="199" spans="1:8" hidden="1" x14ac:dyDescent="0.55000000000000004">
      <c r="A199" s="22" t="s">
        <v>520</v>
      </c>
      <c r="B199" s="14"/>
      <c r="C199" s="14" t="s">
        <v>521</v>
      </c>
      <c r="D199" s="23" t="s">
        <v>520</v>
      </c>
      <c r="E199" s="14" t="s">
        <v>156</v>
      </c>
      <c r="F199" s="15">
        <v>6.6500000000000005E-3</v>
      </c>
      <c r="G199" s="14" t="s">
        <v>200</v>
      </c>
      <c r="H199" s="16" t="s">
        <v>501</v>
      </c>
    </row>
    <row r="200" spans="1:8" hidden="1" x14ac:dyDescent="0.55000000000000004">
      <c r="A200" s="22" t="s">
        <v>522</v>
      </c>
      <c r="B200" s="14"/>
      <c r="C200" s="14" t="s">
        <v>523</v>
      </c>
      <c r="D200" s="23" t="s">
        <v>522</v>
      </c>
      <c r="E200" s="14" t="s">
        <v>156</v>
      </c>
      <c r="F200" s="15">
        <v>3.5000000000000003E-2</v>
      </c>
      <c r="G200" s="14" t="s">
        <v>200</v>
      </c>
      <c r="H200" s="16" t="s">
        <v>501</v>
      </c>
    </row>
    <row r="201" spans="1:8" hidden="1" x14ac:dyDescent="0.55000000000000004">
      <c r="A201" s="22" t="s">
        <v>69</v>
      </c>
      <c r="B201" s="14"/>
      <c r="C201" s="14" t="s">
        <v>524</v>
      </c>
      <c r="D201" s="23" t="s">
        <v>69</v>
      </c>
      <c r="E201" s="14" t="s">
        <v>206</v>
      </c>
      <c r="F201" s="15">
        <v>8.0555555555555554E-3</v>
      </c>
      <c r="G201" s="14" t="s">
        <v>200</v>
      </c>
      <c r="H201" s="16" t="s">
        <v>525</v>
      </c>
    </row>
    <row r="202" spans="1:8" hidden="1" x14ac:dyDescent="0.55000000000000004">
      <c r="A202" s="22" t="s">
        <v>50</v>
      </c>
      <c r="B202" s="14"/>
      <c r="C202" s="14" t="s">
        <v>526</v>
      </c>
      <c r="D202" s="23" t="s">
        <v>50</v>
      </c>
      <c r="E202" s="14" t="s">
        <v>206</v>
      </c>
      <c r="F202" s="15">
        <v>1.2E-2</v>
      </c>
      <c r="G202" s="14" t="s">
        <v>200</v>
      </c>
      <c r="H202" s="16" t="s">
        <v>525</v>
      </c>
    </row>
    <row r="203" spans="1:8" hidden="1" x14ac:dyDescent="0.55000000000000004">
      <c r="A203" s="22" t="s">
        <v>527</v>
      </c>
      <c r="B203" s="14"/>
      <c r="C203" s="14" t="s">
        <v>528</v>
      </c>
      <c r="D203" s="23" t="s">
        <v>527</v>
      </c>
      <c r="E203" s="14" t="s">
        <v>206</v>
      </c>
      <c r="F203" s="15">
        <v>3.6718750000000001E-2</v>
      </c>
      <c r="G203" s="14" t="s">
        <v>200</v>
      </c>
      <c r="H203" s="16" t="s">
        <v>525</v>
      </c>
    </row>
    <row r="204" spans="1:8" hidden="1" x14ac:dyDescent="0.55000000000000004">
      <c r="A204" s="22" t="s">
        <v>529</v>
      </c>
      <c r="B204" s="14"/>
      <c r="C204" s="14" t="s">
        <v>530</v>
      </c>
      <c r="D204" s="23" t="s">
        <v>529</v>
      </c>
      <c r="E204" s="14" t="s">
        <v>206</v>
      </c>
      <c r="F204" s="15">
        <v>6.8888888888888888E-3</v>
      </c>
      <c r="G204" s="14" t="s">
        <v>200</v>
      </c>
      <c r="H204" s="16" t="s">
        <v>525</v>
      </c>
    </row>
    <row r="205" spans="1:8" hidden="1" x14ac:dyDescent="0.55000000000000004">
      <c r="A205" s="22" t="s">
        <v>531</v>
      </c>
      <c r="B205" s="14"/>
      <c r="C205" s="14" t="s">
        <v>532</v>
      </c>
      <c r="D205" s="23" t="s">
        <v>531</v>
      </c>
      <c r="E205" s="14" t="s">
        <v>206</v>
      </c>
      <c r="F205" s="15">
        <v>0.17599999999999999</v>
      </c>
      <c r="G205" s="14" t="s">
        <v>200</v>
      </c>
      <c r="H205" s="16" t="s">
        <v>525</v>
      </c>
    </row>
    <row r="206" spans="1:8" hidden="1" x14ac:dyDescent="0.55000000000000004">
      <c r="A206" s="22" t="s">
        <v>533</v>
      </c>
      <c r="B206" s="14"/>
      <c r="C206" s="14" t="s">
        <v>534</v>
      </c>
      <c r="D206" s="23" t="s">
        <v>533</v>
      </c>
      <c r="E206" s="14" t="s">
        <v>206</v>
      </c>
      <c r="F206" s="15">
        <v>7.3529411764705881E-3</v>
      </c>
      <c r="G206" s="14" t="s">
        <v>200</v>
      </c>
      <c r="H206" s="16" t="s">
        <v>525</v>
      </c>
    </row>
    <row r="207" spans="1:8" hidden="1" x14ac:dyDescent="0.55000000000000004">
      <c r="A207" s="22" t="s">
        <v>85</v>
      </c>
      <c r="B207" s="14"/>
      <c r="C207" s="14" t="s">
        <v>535</v>
      </c>
      <c r="D207" s="23" t="s">
        <v>85</v>
      </c>
      <c r="E207" s="14" t="s">
        <v>156</v>
      </c>
      <c r="F207" s="15">
        <v>2.502202643171806E-2</v>
      </c>
      <c r="G207" s="14" t="s">
        <v>200</v>
      </c>
      <c r="H207" s="16" t="s">
        <v>536</v>
      </c>
    </row>
    <row r="208" spans="1:8" hidden="1" x14ac:dyDescent="0.55000000000000004">
      <c r="A208" s="22" t="s">
        <v>537</v>
      </c>
      <c r="B208" s="14"/>
      <c r="C208" s="14" t="s">
        <v>538</v>
      </c>
      <c r="D208" s="23" t="s">
        <v>537</v>
      </c>
      <c r="E208" s="14" t="s">
        <v>156</v>
      </c>
      <c r="F208" s="15">
        <v>3.5000000000000003E-2</v>
      </c>
      <c r="G208" s="14" t="s">
        <v>172</v>
      </c>
      <c r="H208" s="16" t="s">
        <v>536</v>
      </c>
    </row>
    <row r="209" spans="1:8" hidden="1" x14ac:dyDescent="0.55000000000000004">
      <c r="A209" s="22" t="s">
        <v>539</v>
      </c>
      <c r="B209" s="14"/>
      <c r="C209" s="14" t="s">
        <v>540</v>
      </c>
      <c r="D209" s="23" t="s">
        <v>539</v>
      </c>
      <c r="E209" s="14" t="s">
        <v>156</v>
      </c>
      <c r="F209" s="15">
        <v>3.4799999999999998E-2</v>
      </c>
      <c r="G209" s="14" t="s">
        <v>200</v>
      </c>
      <c r="H209" s="16" t="s">
        <v>536</v>
      </c>
    </row>
    <row r="210" spans="1:8" hidden="1" x14ac:dyDescent="0.55000000000000004">
      <c r="A210" s="22" t="s">
        <v>97</v>
      </c>
      <c r="B210" s="14"/>
      <c r="C210" s="14" t="s">
        <v>541</v>
      </c>
      <c r="D210" s="23" t="s">
        <v>97</v>
      </c>
      <c r="E210" s="14" t="s">
        <v>156</v>
      </c>
      <c r="F210" s="15">
        <v>8.0299999999999989E-3</v>
      </c>
      <c r="G210" s="14" t="s">
        <v>200</v>
      </c>
      <c r="H210" s="16" t="s">
        <v>536</v>
      </c>
    </row>
    <row r="211" spans="1:8" hidden="1" x14ac:dyDescent="0.55000000000000004">
      <c r="A211" s="22" t="s">
        <v>542</v>
      </c>
      <c r="B211" s="14"/>
      <c r="C211" s="14" t="s">
        <v>543</v>
      </c>
      <c r="D211" s="23" t="s">
        <v>542</v>
      </c>
      <c r="E211" s="14" t="s">
        <v>156</v>
      </c>
      <c r="F211" s="15">
        <v>9.2222222222222237E-3</v>
      </c>
      <c r="G211" s="14" t="s">
        <v>200</v>
      </c>
      <c r="H211" s="16" t="s">
        <v>536</v>
      </c>
    </row>
    <row r="212" spans="1:8" hidden="1" x14ac:dyDescent="0.55000000000000004">
      <c r="A212" s="22" t="s">
        <v>544</v>
      </c>
      <c r="B212" s="14"/>
      <c r="C212" s="14" t="s">
        <v>545</v>
      </c>
      <c r="D212" s="23" t="s">
        <v>544</v>
      </c>
      <c r="E212" s="14" t="s">
        <v>156</v>
      </c>
      <c r="F212" s="15">
        <v>8.911111111111111E-3</v>
      </c>
      <c r="G212" s="14" t="s">
        <v>200</v>
      </c>
      <c r="H212" s="16" t="s">
        <v>536</v>
      </c>
    </row>
    <row r="213" spans="1:8" hidden="1" x14ac:dyDescent="0.55000000000000004">
      <c r="A213" s="22" t="s">
        <v>546</v>
      </c>
      <c r="B213" s="14"/>
      <c r="C213" s="14" t="s">
        <v>547</v>
      </c>
      <c r="D213" s="23" t="s">
        <v>546</v>
      </c>
      <c r="E213" s="14" t="s">
        <v>156</v>
      </c>
      <c r="F213" s="15">
        <v>2.07E-2</v>
      </c>
      <c r="G213" s="14" t="s">
        <v>200</v>
      </c>
      <c r="H213" s="16" t="s">
        <v>536</v>
      </c>
    </row>
    <row r="214" spans="1:8" hidden="1" x14ac:dyDescent="0.55000000000000004">
      <c r="A214" s="22" t="s">
        <v>548</v>
      </c>
      <c r="B214" s="14"/>
      <c r="C214" s="24" t="s">
        <v>549</v>
      </c>
      <c r="D214" s="23" t="s">
        <v>548</v>
      </c>
      <c r="E214" s="14" t="s">
        <v>156</v>
      </c>
      <c r="F214" s="15">
        <v>9.2666666666666661E-3</v>
      </c>
      <c r="G214" s="14" t="s">
        <v>200</v>
      </c>
      <c r="H214" s="16" t="s">
        <v>536</v>
      </c>
    </row>
    <row r="215" spans="1:8" hidden="1" x14ac:dyDescent="0.55000000000000004">
      <c r="A215" s="22" t="s">
        <v>47</v>
      </c>
      <c r="B215" s="14"/>
      <c r="C215" s="24" t="s">
        <v>550</v>
      </c>
      <c r="D215" s="23" t="s">
        <v>47</v>
      </c>
      <c r="E215" s="14" t="s">
        <v>156</v>
      </c>
      <c r="F215" s="15">
        <v>2.666E-2</v>
      </c>
      <c r="G215" s="14" t="s">
        <v>200</v>
      </c>
      <c r="H215" s="16" t="s">
        <v>536</v>
      </c>
    </row>
    <row r="216" spans="1:8" hidden="1" x14ac:dyDescent="0.55000000000000004">
      <c r="A216" s="22" t="s">
        <v>551</v>
      </c>
      <c r="B216" s="14"/>
      <c r="C216" s="14" t="s">
        <v>552</v>
      </c>
      <c r="D216" s="23" t="s">
        <v>551</v>
      </c>
      <c r="E216" s="14" t="s">
        <v>156</v>
      </c>
      <c r="F216" s="15">
        <v>1.7500000000000002E-2</v>
      </c>
      <c r="G216" s="14" t="s">
        <v>200</v>
      </c>
      <c r="H216" s="16" t="s">
        <v>536</v>
      </c>
    </row>
    <row r="217" spans="1:8" ht="13.5" hidden="1" customHeight="1" x14ac:dyDescent="0.55000000000000004">
      <c r="A217" s="13" t="s">
        <v>553</v>
      </c>
      <c r="B217" s="14"/>
      <c r="C217" s="14" t="s">
        <v>554</v>
      </c>
      <c r="D217" s="14" t="s">
        <v>553</v>
      </c>
      <c r="E217" s="14" t="s">
        <v>156</v>
      </c>
      <c r="F217" s="15">
        <v>1.6E-2</v>
      </c>
      <c r="G217" s="14" t="s">
        <v>200</v>
      </c>
      <c r="H217" s="16" t="s">
        <v>536</v>
      </c>
    </row>
    <row r="218" spans="1:8" ht="13.5" hidden="1" customHeight="1" x14ac:dyDescent="0.55000000000000004">
      <c r="A218" s="13" t="s">
        <v>555</v>
      </c>
      <c r="B218" s="14"/>
      <c r="C218" s="14" t="s">
        <v>556</v>
      </c>
      <c r="D218" s="14" t="s">
        <v>555</v>
      </c>
      <c r="E218" s="14" t="s">
        <v>156</v>
      </c>
      <c r="F218" s="15">
        <v>9.2222222222222237E-3</v>
      </c>
      <c r="G218" s="14" t="s">
        <v>200</v>
      </c>
      <c r="H218" s="16" t="s">
        <v>536</v>
      </c>
    </row>
    <row r="219" spans="1:8" ht="13.5" hidden="1" customHeight="1" x14ac:dyDescent="0.55000000000000004">
      <c r="A219" s="13" t="s">
        <v>107</v>
      </c>
      <c r="B219" s="14"/>
      <c r="C219" s="14" t="s">
        <v>557</v>
      </c>
      <c r="D219" s="14" t="s">
        <v>107</v>
      </c>
      <c r="E219" s="14" t="s">
        <v>156</v>
      </c>
      <c r="F219" s="15">
        <v>8.0299999999999989E-3</v>
      </c>
      <c r="G219" s="14" t="s">
        <v>200</v>
      </c>
      <c r="H219" s="16" t="s">
        <v>536</v>
      </c>
    </row>
    <row r="220" spans="1:8" ht="13.5" hidden="1" customHeight="1" x14ac:dyDescent="0.55000000000000004">
      <c r="A220" s="13" t="s">
        <v>558</v>
      </c>
      <c r="B220" s="14"/>
      <c r="C220" s="14" t="s">
        <v>559</v>
      </c>
      <c r="D220" s="14" t="s">
        <v>558</v>
      </c>
      <c r="E220" s="14" t="s">
        <v>156</v>
      </c>
      <c r="F220" s="15">
        <v>8.911111111111111E-3</v>
      </c>
      <c r="G220" s="14" t="s">
        <v>200</v>
      </c>
      <c r="H220" s="16" t="s">
        <v>536</v>
      </c>
    </row>
    <row r="221" spans="1:8" ht="13.5" hidden="1" customHeight="1" x14ac:dyDescent="0.55000000000000004">
      <c r="A221" s="13" t="s">
        <v>118</v>
      </c>
      <c r="B221" s="14"/>
      <c r="C221" s="14" t="s">
        <v>560</v>
      </c>
      <c r="D221" s="14" t="s">
        <v>118</v>
      </c>
      <c r="E221" s="14" t="s">
        <v>156</v>
      </c>
      <c r="F221" s="15">
        <v>8.911111111111111E-3</v>
      </c>
      <c r="G221" s="14" t="s">
        <v>200</v>
      </c>
      <c r="H221" s="16" t="s">
        <v>536</v>
      </c>
    </row>
    <row r="222" spans="1:8" ht="13.5" hidden="1" customHeight="1" x14ac:dyDescent="0.55000000000000004">
      <c r="A222" s="13" t="s">
        <v>561</v>
      </c>
      <c r="B222" s="14"/>
      <c r="C222" s="14" t="s">
        <v>562</v>
      </c>
      <c r="D222" s="14" t="s">
        <v>561</v>
      </c>
      <c r="E222" s="14" t="s">
        <v>156</v>
      </c>
      <c r="F222" s="15">
        <v>8.8222222222222226E-3</v>
      </c>
      <c r="G222" s="14" t="s">
        <v>200</v>
      </c>
      <c r="H222" s="16" t="s">
        <v>536</v>
      </c>
    </row>
    <row r="223" spans="1:8" ht="13.5" hidden="1" customHeight="1" x14ac:dyDescent="0.55000000000000004">
      <c r="A223" s="13" t="s">
        <v>94</v>
      </c>
      <c r="B223" s="14"/>
      <c r="C223" s="14" t="s">
        <v>563</v>
      </c>
      <c r="D223" s="14" t="s">
        <v>94</v>
      </c>
      <c r="E223" s="14" t="s">
        <v>156</v>
      </c>
      <c r="F223" s="15">
        <v>1.1066666666666667E-2</v>
      </c>
      <c r="G223" s="14" t="s">
        <v>200</v>
      </c>
      <c r="H223" s="16" t="s">
        <v>536</v>
      </c>
    </row>
    <row r="224" spans="1:8" ht="13.5" hidden="1" customHeight="1" x14ac:dyDescent="0.55000000000000004">
      <c r="A224" s="13" t="s">
        <v>564</v>
      </c>
      <c r="B224" s="14"/>
      <c r="C224" s="14" t="s">
        <v>565</v>
      </c>
      <c r="D224" s="14" t="s">
        <v>564</v>
      </c>
      <c r="E224" s="14" t="s">
        <v>156</v>
      </c>
      <c r="F224" s="15">
        <v>2.3480176211453745E-2</v>
      </c>
      <c r="G224" s="14" t="s">
        <v>200</v>
      </c>
      <c r="H224" s="16" t="s">
        <v>536</v>
      </c>
    </row>
    <row r="225" spans="1:8" ht="13.5" hidden="1" customHeight="1" x14ac:dyDescent="0.55000000000000004">
      <c r="A225" s="13" t="s">
        <v>566</v>
      </c>
      <c r="B225" s="14"/>
      <c r="C225" s="14" t="s">
        <v>567</v>
      </c>
      <c r="D225" s="14" t="s">
        <v>566</v>
      </c>
      <c r="E225" s="14" t="s">
        <v>156</v>
      </c>
      <c r="F225" s="15">
        <v>1.0500000000000001E-2</v>
      </c>
      <c r="G225" s="14" t="s">
        <v>200</v>
      </c>
      <c r="H225" s="16" t="s">
        <v>568</v>
      </c>
    </row>
    <row r="226" spans="1:8" ht="13.5" hidden="1" customHeight="1" x14ac:dyDescent="0.55000000000000004">
      <c r="A226" s="13" t="s">
        <v>569</v>
      </c>
      <c r="B226" s="14"/>
      <c r="C226" s="14" t="s">
        <v>570</v>
      </c>
      <c r="D226" s="14" t="s">
        <v>569</v>
      </c>
      <c r="E226" s="14" t="s">
        <v>156</v>
      </c>
      <c r="F226" s="15">
        <v>1.0500000000000001E-2</v>
      </c>
      <c r="G226" s="14" t="s">
        <v>200</v>
      </c>
      <c r="H226" s="16" t="s">
        <v>568</v>
      </c>
    </row>
    <row r="227" spans="1:8" ht="13.5" hidden="1" customHeight="1" x14ac:dyDescent="0.55000000000000004">
      <c r="A227" s="13" t="s">
        <v>571</v>
      </c>
      <c r="B227" s="14"/>
      <c r="C227" s="14" t="s">
        <v>572</v>
      </c>
      <c r="D227" s="14" t="s">
        <v>571</v>
      </c>
      <c r="E227" s="14" t="s">
        <v>156</v>
      </c>
      <c r="F227" s="15">
        <v>4.3999999999999997E-2</v>
      </c>
      <c r="G227" s="14" t="s">
        <v>200</v>
      </c>
      <c r="H227" s="16" t="s">
        <v>568</v>
      </c>
    </row>
    <row r="228" spans="1:8" ht="13.5" hidden="1" customHeight="1" x14ac:dyDescent="0.55000000000000004">
      <c r="A228" s="13" t="s">
        <v>573</v>
      </c>
      <c r="B228" s="14"/>
      <c r="C228" s="14" t="s">
        <v>574</v>
      </c>
      <c r="D228" s="14" t="s">
        <v>573</v>
      </c>
      <c r="E228" s="14" t="s">
        <v>156</v>
      </c>
      <c r="F228" s="15">
        <v>1.0500000000000001E-2</v>
      </c>
      <c r="G228" s="14" t="s">
        <v>200</v>
      </c>
      <c r="H228" s="16" t="s">
        <v>568</v>
      </c>
    </row>
    <row r="229" spans="1:8" ht="13.5" hidden="1" customHeight="1" x14ac:dyDescent="0.55000000000000004">
      <c r="A229" s="13" t="s">
        <v>575</v>
      </c>
      <c r="B229" s="14"/>
      <c r="C229" s="14" t="s">
        <v>576</v>
      </c>
      <c r="D229" s="14" t="s">
        <v>575</v>
      </c>
      <c r="E229" s="14" t="s">
        <v>156</v>
      </c>
      <c r="F229" s="15">
        <v>0.44</v>
      </c>
      <c r="G229" s="14" t="s">
        <v>200</v>
      </c>
      <c r="H229" s="16" t="s">
        <v>568</v>
      </c>
    </row>
    <row r="230" spans="1:8" ht="13.5" hidden="1" customHeight="1" x14ac:dyDescent="0.55000000000000004">
      <c r="A230" s="13" t="s">
        <v>577</v>
      </c>
      <c r="B230" s="14"/>
      <c r="C230" s="14" t="s">
        <v>578</v>
      </c>
      <c r="D230" s="14" t="s">
        <v>577</v>
      </c>
      <c r="E230" s="14" t="s">
        <v>156</v>
      </c>
      <c r="F230" s="15">
        <v>5.8000000000000003E-2</v>
      </c>
      <c r="G230" s="14" t="s">
        <v>200</v>
      </c>
      <c r="H230" s="16" t="s">
        <v>568</v>
      </c>
    </row>
    <row r="231" spans="1:8" ht="13.5" hidden="1" customHeight="1" x14ac:dyDescent="0.55000000000000004">
      <c r="A231" s="13" t="s">
        <v>579</v>
      </c>
      <c r="B231" s="14"/>
      <c r="C231" s="14" t="s">
        <v>580</v>
      </c>
      <c r="D231" s="14" t="s">
        <v>579</v>
      </c>
      <c r="E231" s="14" t="s">
        <v>156</v>
      </c>
      <c r="F231" s="15">
        <v>2.3329999999999997E-2</v>
      </c>
      <c r="G231" s="14" t="s">
        <v>200</v>
      </c>
      <c r="H231" s="16" t="s">
        <v>568</v>
      </c>
    </row>
    <row r="232" spans="1:8" ht="13.5" hidden="1" customHeight="1" x14ac:dyDescent="0.55000000000000004">
      <c r="A232" s="13" t="s">
        <v>581</v>
      </c>
      <c r="B232" s="14"/>
      <c r="C232" s="14" t="s">
        <v>582</v>
      </c>
      <c r="D232" s="14" t="s">
        <v>581</v>
      </c>
      <c r="E232" s="14" t="s">
        <v>156</v>
      </c>
      <c r="F232" s="15">
        <v>1.4500000000000001E-2</v>
      </c>
      <c r="G232" s="14" t="s">
        <v>200</v>
      </c>
      <c r="H232" s="16" t="s">
        <v>568</v>
      </c>
    </row>
    <row r="233" spans="1:8" ht="13.5" hidden="1" customHeight="1" x14ac:dyDescent="0.55000000000000004">
      <c r="A233" s="13" t="s">
        <v>583</v>
      </c>
      <c r="B233" s="14"/>
      <c r="C233" s="14" t="s">
        <v>584</v>
      </c>
      <c r="D233" s="14" t="s">
        <v>583</v>
      </c>
      <c r="E233" s="14" t="s">
        <v>156</v>
      </c>
      <c r="F233" s="15">
        <v>3.7999999999999999E-2</v>
      </c>
      <c r="G233" s="14" t="s">
        <v>200</v>
      </c>
      <c r="H233" s="16" t="s">
        <v>568</v>
      </c>
    </row>
    <row r="234" spans="1:8" ht="13.5" hidden="1" customHeight="1" x14ac:dyDescent="0.55000000000000004">
      <c r="A234" s="13" t="s">
        <v>585</v>
      </c>
      <c r="B234" s="14"/>
      <c r="C234" s="14" t="s">
        <v>586</v>
      </c>
      <c r="D234" s="14" t="s">
        <v>585</v>
      </c>
      <c r="E234" s="14" t="s">
        <v>156</v>
      </c>
      <c r="F234" s="15">
        <v>8.9999999999999993E-3</v>
      </c>
      <c r="G234" s="14" t="s">
        <v>200</v>
      </c>
      <c r="H234" s="16" t="s">
        <v>568</v>
      </c>
    </row>
    <row r="235" spans="1:8" ht="13.5" hidden="1" customHeight="1" x14ac:dyDescent="0.55000000000000004">
      <c r="A235" s="13" t="s">
        <v>587</v>
      </c>
      <c r="B235" s="14"/>
      <c r="C235" s="14" t="s">
        <v>588</v>
      </c>
      <c r="D235" s="14" t="s">
        <v>587</v>
      </c>
      <c r="E235" s="14" t="s">
        <v>206</v>
      </c>
      <c r="F235" s="15">
        <v>0.16250000000000001</v>
      </c>
      <c r="G235" s="14" t="s">
        <v>200</v>
      </c>
      <c r="H235" s="16" t="s">
        <v>568</v>
      </c>
    </row>
    <row r="236" spans="1:8" ht="13.5" hidden="1" customHeight="1" x14ac:dyDescent="0.55000000000000004">
      <c r="A236" s="13" t="s">
        <v>589</v>
      </c>
      <c r="B236" s="14"/>
      <c r="C236" s="14" t="s">
        <v>590</v>
      </c>
      <c r="D236" s="14" t="s">
        <v>589</v>
      </c>
      <c r="E236" s="14" t="s">
        <v>206</v>
      </c>
      <c r="F236" s="15">
        <v>0.12083333333333333</v>
      </c>
      <c r="G236" s="14" t="s">
        <v>200</v>
      </c>
      <c r="H236" s="16" t="s">
        <v>568</v>
      </c>
    </row>
    <row r="237" spans="1:8" ht="13.5" hidden="1" customHeight="1" x14ac:dyDescent="0.55000000000000004">
      <c r="A237" s="13" t="s">
        <v>591</v>
      </c>
      <c r="B237" s="14"/>
      <c r="C237" s="14" t="s">
        <v>592</v>
      </c>
      <c r="D237" s="14" t="s">
        <v>591</v>
      </c>
      <c r="E237" s="14" t="s">
        <v>206</v>
      </c>
      <c r="F237" s="15">
        <v>8.7499999999999994E-2</v>
      </c>
      <c r="G237" s="14" t="s">
        <v>200</v>
      </c>
      <c r="H237" s="16" t="s">
        <v>568</v>
      </c>
    </row>
    <row r="238" spans="1:8" ht="13.5" hidden="1" customHeight="1" x14ac:dyDescent="0.55000000000000004">
      <c r="A238" s="13" t="s">
        <v>593</v>
      </c>
      <c r="B238" s="14"/>
      <c r="C238" s="14" t="s">
        <v>594</v>
      </c>
      <c r="D238" s="14" t="s">
        <v>593</v>
      </c>
      <c r="E238" s="14" t="s">
        <v>206</v>
      </c>
      <c r="F238" s="15">
        <v>0.12083333333333333</v>
      </c>
      <c r="G238" s="14" t="s">
        <v>200</v>
      </c>
      <c r="H238" s="16" t="s">
        <v>568</v>
      </c>
    </row>
    <row r="239" spans="1:8" ht="13.5" hidden="1" customHeight="1" x14ac:dyDescent="0.55000000000000004">
      <c r="A239" s="13" t="s">
        <v>595</v>
      </c>
      <c r="B239" s="14"/>
      <c r="C239" s="14" t="s">
        <v>596</v>
      </c>
      <c r="D239" s="14" t="s">
        <v>595</v>
      </c>
      <c r="E239" s="14" t="s">
        <v>156</v>
      </c>
      <c r="F239" s="15">
        <v>1.6500000000000001E-2</v>
      </c>
      <c r="G239" s="14" t="s">
        <v>200</v>
      </c>
      <c r="H239" s="16" t="s">
        <v>568</v>
      </c>
    </row>
    <row r="240" spans="1:8" ht="13.5" hidden="1" customHeight="1" x14ac:dyDescent="0.55000000000000004">
      <c r="A240" s="13" t="s">
        <v>597</v>
      </c>
      <c r="B240" s="14"/>
      <c r="C240" s="14" t="s">
        <v>598</v>
      </c>
      <c r="D240" s="14" t="s">
        <v>597</v>
      </c>
      <c r="E240" s="14" t="s">
        <v>156</v>
      </c>
      <c r="F240" s="15">
        <v>2.0375000000000001E-2</v>
      </c>
      <c r="G240" s="14" t="s">
        <v>200</v>
      </c>
      <c r="H240" s="16" t="s">
        <v>568</v>
      </c>
    </row>
    <row r="241" spans="1:8" ht="13.5" hidden="1" customHeight="1" x14ac:dyDescent="0.55000000000000004">
      <c r="A241" s="13" t="s">
        <v>599</v>
      </c>
      <c r="B241" s="14"/>
      <c r="C241" s="14" t="s">
        <v>600</v>
      </c>
      <c r="D241" s="14" t="s">
        <v>599</v>
      </c>
      <c r="E241" s="14" t="s">
        <v>156</v>
      </c>
      <c r="F241" s="15">
        <v>5.3666666666666668E-2</v>
      </c>
      <c r="G241" s="14" t="s">
        <v>200</v>
      </c>
      <c r="H241" s="16" t="s">
        <v>568</v>
      </c>
    </row>
    <row r="242" spans="1:8" ht="13.5" hidden="1" customHeight="1" x14ac:dyDescent="0.55000000000000004">
      <c r="A242" s="13" t="s">
        <v>601</v>
      </c>
      <c r="B242" s="14"/>
      <c r="C242" s="14" t="s">
        <v>602</v>
      </c>
      <c r="D242" s="14" t="s">
        <v>601</v>
      </c>
      <c r="E242" s="14" t="s">
        <v>156</v>
      </c>
      <c r="F242" s="15">
        <v>2.955E-2</v>
      </c>
      <c r="G242" s="14" t="s">
        <v>200</v>
      </c>
      <c r="H242" s="16" t="s">
        <v>568</v>
      </c>
    </row>
    <row r="243" spans="1:8" ht="13.5" hidden="1" customHeight="1" x14ac:dyDescent="0.55000000000000004">
      <c r="A243" s="13" t="s">
        <v>603</v>
      </c>
      <c r="B243" s="14"/>
      <c r="C243" s="14" t="s">
        <v>604</v>
      </c>
      <c r="D243" s="14" t="s">
        <v>603</v>
      </c>
      <c r="E243" s="14" t="s">
        <v>156</v>
      </c>
      <c r="F243" s="15">
        <v>3.2226666666666667E-2</v>
      </c>
      <c r="G243" s="14" t="s">
        <v>200</v>
      </c>
      <c r="H243" s="16" t="s">
        <v>568</v>
      </c>
    </row>
    <row r="244" spans="1:8" ht="13.5" hidden="1" customHeight="1" x14ac:dyDescent="0.55000000000000004">
      <c r="A244" s="13" t="s">
        <v>605</v>
      </c>
      <c r="B244" s="14"/>
      <c r="C244" s="14" t="s">
        <v>606</v>
      </c>
      <c r="D244" s="14" t="s">
        <v>605</v>
      </c>
      <c r="E244" s="14" t="s">
        <v>156</v>
      </c>
      <c r="F244" s="15">
        <v>0.01</v>
      </c>
      <c r="G244" s="14" t="s">
        <v>200</v>
      </c>
      <c r="H244" s="16" t="s">
        <v>568</v>
      </c>
    </row>
    <row r="245" spans="1:8" ht="13.5" hidden="1" customHeight="1" x14ac:dyDescent="0.55000000000000004">
      <c r="A245" s="13" t="s">
        <v>607</v>
      </c>
      <c r="B245" s="14"/>
      <c r="C245" s="14" t="s">
        <v>608</v>
      </c>
      <c r="D245" s="14" t="s">
        <v>607</v>
      </c>
      <c r="E245" s="14" t="s">
        <v>156</v>
      </c>
      <c r="F245" s="15">
        <v>2.2333333333333334E-2</v>
      </c>
      <c r="G245" s="14" t="s">
        <v>200</v>
      </c>
      <c r="H245" s="16" t="s">
        <v>568</v>
      </c>
    </row>
    <row r="246" spans="1:8" ht="13.5" hidden="1" customHeight="1" x14ac:dyDescent="0.55000000000000004">
      <c r="A246" s="13" t="s">
        <v>609</v>
      </c>
      <c r="B246" s="14"/>
      <c r="C246" s="14" t="s">
        <v>610</v>
      </c>
      <c r="D246" s="14" t="s">
        <v>609</v>
      </c>
      <c r="E246" s="14" t="s">
        <v>156</v>
      </c>
      <c r="F246" s="15">
        <v>3.2500000000000001E-2</v>
      </c>
      <c r="G246" s="14" t="s">
        <v>200</v>
      </c>
      <c r="H246" s="16" t="s">
        <v>568</v>
      </c>
    </row>
    <row r="247" spans="1:8" ht="13.5" hidden="1" customHeight="1" x14ac:dyDescent="0.55000000000000004">
      <c r="A247" s="13" t="s">
        <v>611</v>
      </c>
      <c r="B247" s="14"/>
      <c r="C247" s="14" t="s">
        <v>612</v>
      </c>
      <c r="D247" s="14" t="s">
        <v>611</v>
      </c>
      <c r="E247" s="14" t="s">
        <v>156</v>
      </c>
      <c r="F247" s="15">
        <v>2.7E-2</v>
      </c>
      <c r="G247" s="14" t="s">
        <v>200</v>
      </c>
      <c r="H247" s="16" t="s">
        <v>568</v>
      </c>
    </row>
    <row r="248" spans="1:8" ht="13.5" hidden="1" customHeight="1" x14ac:dyDescent="0.55000000000000004">
      <c r="A248" s="13" t="s">
        <v>613</v>
      </c>
      <c r="B248" s="14"/>
      <c r="C248" s="14" t="s">
        <v>614</v>
      </c>
      <c r="D248" s="14" t="s">
        <v>613</v>
      </c>
      <c r="E248" s="14" t="s">
        <v>156</v>
      </c>
      <c r="F248" s="15">
        <v>2.4264705882352942E-2</v>
      </c>
      <c r="G248" s="14" t="s">
        <v>200</v>
      </c>
      <c r="H248" s="16" t="s">
        <v>568</v>
      </c>
    </row>
    <row r="249" spans="1:8" ht="13.5" customHeight="1" x14ac:dyDescent="0.55000000000000004">
      <c r="A249" s="13" t="s">
        <v>615</v>
      </c>
      <c r="B249" s="14"/>
      <c r="C249" s="14" t="s">
        <v>616</v>
      </c>
      <c r="D249" s="14" t="s">
        <v>615</v>
      </c>
      <c r="E249" s="14" t="s">
        <v>156</v>
      </c>
      <c r="F249" s="15" t="e">
        <v>#DIV/0!</v>
      </c>
      <c r="G249" s="14" t="s">
        <v>200</v>
      </c>
      <c r="H249" s="16" t="s">
        <v>568</v>
      </c>
    </row>
    <row r="250" spans="1:8" ht="13.5" hidden="1" customHeight="1" x14ac:dyDescent="0.55000000000000004">
      <c r="A250" s="13" t="s">
        <v>617</v>
      </c>
      <c r="B250" s="14"/>
      <c r="C250" s="14" t="s">
        <v>618</v>
      </c>
      <c r="D250" s="14" t="s">
        <v>617</v>
      </c>
      <c r="E250" s="14" t="s">
        <v>156</v>
      </c>
      <c r="F250" s="15">
        <v>1.8599999999999998E-2</v>
      </c>
      <c r="G250" s="14" t="s">
        <v>200</v>
      </c>
      <c r="H250" s="16" t="s">
        <v>568</v>
      </c>
    </row>
    <row r="251" spans="1:8" ht="13.5" hidden="1" customHeight="1" x14ac:dyDescent="0.55000000000000004">
      <c r="A251" s="13" t="s">
        <v>619</v>
      </c>
      <c r="B251" s="14"/>
      <c r="C251" s="14" t="s">
        <v>620</v>
      </c>
      <c r="D251" s="14" t="s">
        <v>619</v>
      </c>
      <c r="E251" s="14" t="s">
        <v>156</v>
      </c>
      <c r="F251" s="15">
        <v>4.9000000000000002E-2</v>
      </c>
      <c r="G251" s="14" t="s">
        <v>200</v>
      </c>
      <c r="H251" s="16" t="s">
        <v>568</v>
      </c>
    </row>
    <row r="252" spans="1:8" ht="13.5" hidden="1" customHeight="1" x14ac:dyDescent="0.55000000000000004">
      <c r="A252" s="13" t="s">
        <v>621</v>
      </c>
      <c r="B252" s="14"/>
      <c r="C252" s="14" t="s">
        <v>622</v>
      </c>
      <c r="D252" s="14" t="s">
        <v>621</v>
      </c>
      <c r="E252" s="14" t="s">
        <v>156</v>
      </c>
      <c r="F252" s="15">
        <v>4.2000000000000003E-2</v>
      </c>
      <c r="G252" s="14" t="s">
        <v>200</v>
      </c>
      <c r="H252" s="16" t="s">
        <v>568</v>
      </c>
    </row>
    <row r="253" spans="1:8" ht="13.5" hidden="1" customHeight="1" x14ac:dyDescent="0.55000000000000004">
      <c r="A253" s="13" t="s">
        <v>623</v>
      </c>
      <c r="B253" s="14"/>
      <c r="C253" s="14" t="s">
        <v>624</v>
      </c>
      <c r="D253" s="14" t="s">
        <v>623</v>
      </c>
      <c r="E253" s="14" t="s">
        <v>156</v>
      </c>
      <c r="F253" s="15">
        <v>0.3</v>
      </c>
      <c r="G253" s="14" t="s">
        <v>200</v>
      </c>
      <c r="H253" s="16" t="s">
        <v>568</v>
      </c>
    </row>
    <row r="254" spans="1:8" ht="13.5" hidden="1" customHeight="1" x14ac:dyDescent="0.55000000000000004">
      <c r="A254" s="13" t="s">
        <v>625</v>
      </c>
      <c r="B254" s="14"/>
      <c r="C254" s="14" t="s">
        <v>626</v>
      </c>
      <c r="D254" s="14" t="s">
        <v>625</v>
      </c>
      <c r="E254" s="14" t="s">
        <v>156</v>
      </c>
      <c r="F254" s="15">
        <v>1.17E-2</v>
      </c>
      <c r="G254" s="14" t="s">
        <v>200</v>
      </c>
      <c r="H254" s="16" t="s">
        <v>568</v>
      </c>
    </row>
    <row r="255" spans="1:8" ht="13.5" hidden="1" customHeight="1" x14ac:dyDescent="0.55000000000000004">
      <c r="A255" s="13" t="s">
        <v>627</v>
      </c>
      <c r="B255" s="14"/>
      <c r="C255" s="14" t="s">
        <v>628</v>
      </c>
      <c r="D255" s="14" t="s">
        <v>627</v>
      </c>
      <c r="E255" s="14" t="s">
        <v>156</v>
      </c>
      <c r="F255" s="15">
        <v>1.1900000000000001E-2</v>
      </c>
      <c r="G255" s="14" t="s">
        <v>200</v>
      </c>
      <c r="H255" s="16" t="s">
        <v>568</v>
      </c>
    </row>
    <row r="256" spans="1:8" ht="13.5" hidden="1" customHeight="1" x14ac:dyDescent="0.55000000000000004">
      <c r="A256" s="13" t="s">
        <v>629</v>
      </c>
      <c r="B256" s="14"/>
      <c r="C256" s="14" t="s">
        <v>630</v>
      </c>
      <c r="D256" s="14" t="s">
        <v>629</v>
      </c>
      <c r="E256" s="14" t="s">
        <v>156</v>
      </c>
      <c r="F256" s="15">
        <v>8.5000000000000006E-3</v>
      </c>
      <c r="G256" s="14" t="s">
        <v>200</v>
      </c>
      <c r="H256" s="16" t="s">
        <v>568</v>
      </c>
    </row>
    <row r="257" spans="1:8" ht="13.5" hidden="1" customHeight="1" x14ac:dyDescent="0.55000000000000004">
      <c r="A257" s="13" t="s">
        <v>631</v>
      </c>
      <c r="B257" s="14"/>
      <c r="C257" s="14" t="s">
        <v>632</v>
      </c>
      <c r="D257" s="14" t="s">
        <v>631</v>
      </c>
      <c r="E257" s="14" t="s">
        <v>156</v>
      </c>
      <c r="F257" s="15">
        <v>3.7999999999999999E-2</v>
      </c>
      <c r="G257" s="14" t="s">
        <v>200</v>
      </c>
      <c r="H257" s="16" t="s">
        <v>568</v>
      </c>
    </row>
    <row r="258" spans="1:8" ht="13.5" hidden="1" customHeight="1" x14ac:dyDescent="0.55000000000000004">
      <c r="A258" s="13" t="s">
        <v>633</v>
      </c>
      <c r="B258" s="14"/>
      <c r="C258" s="14" t="s">
        <v>634</v>
      </c>
      <c r="D258" s="14" t="s">
        <v>633</v>
      </c>
      <c r="E258" s="14" t="s">
        <v>156</v>
      </c>
      <c r="F258" s="15">
        <v>1.9E-2</v>
      </c>
      <c r="G258" s="14" t="s">
        <v>200</v>
      </c>
      <c r="H258" s="16" t="s">
        <v>568</v>
      </c>
    </row>
    <row r="259" spans="1:8" ht="13.5" hidden="1" customHeight="1" x14ac:dyDescent="0.55000000000000004">
      <c r="A259" s="13" t="s">
        <v>635</v>
      </c>
      <c r="B259" s="14"/>
      <c r="C259" s="14" t="s">
        <v>636</v>
      </c>
      <c r="D259" s="14" t="s">
        <v>635</v>
      </c>
      <c r="E259" s="14" t="s">
        <v>156</v>
      </c>
      <c r="F259" s="15">
        <v>2.3E-2</v>
      </c>
      <c r="G259" s="14" t="s">
        <v>200</v>
      </c>
      <c r="H259" s="16" t="s">
        <v>568</v>
      </c>
    </row>
    <row r="260" spans="1:8" ht="13.5" hidden="1" customHeight="1" x14ac:dyDescent="0.55000000000000004">
      <c r="A260" s="13" t="s">
        <v>637</v>
      </c>
      <c r="B260" s="14"/>
      <c r="C260" s="14" t="s">
        <v>638</v>
      </c>
      <c r="D260" s="14" t="s">
        <v>637</v>
      </c>
      <c r="E260" s="14" t="s">
        <v>156</v>
      </c>
      <c r="F260" s="15">
        <v>1.5288888888888888E-2</v>
      </c>
      <c r="G260" s="14" t="s">
        <v>200</v>
      </c>
      <c r="H260" s="16" t="s">
        <v>568</v>
      </c>
    </row>
    <row r="261" spans="1:8" ht="13.5" hidden="1" customHeight="1" x14ac:dyDescent="0.55000000000000004">
      <c r="A261" s="13" t="s">
        <v>639</v>
      </c>
      <c r="B261" s="14"/>
      <c r="C261" s="14" t="s">
        <v>640</v>
      </c>
      <c r="D261" s="14" t="s">
        <v>639</v>
      </c>
      <c r="E261" s="14" t="s">
        <v>156</v>
      </c>
      <c r="F261" s="15">
        <v>0.01</v>
      </c>
      <c r="G261" s="14" t="s">
        <v>200</v>
      </c>
      <c r="H261" s="16" t="s">
        <v>568</v>
      </c>
    </row>
    <row r="262" spans="1:8" ht="13.5" hidden="1" customHeight="1" x14ac:dyDescent="0.55000000000000004">
      <c r="A262" s="13" t="s">
        <v>641</v>
      </c>
      <c r="B262" s="14"/>
      <c r="C262" s="14" t="s">
        <v>642</v>
      </c>
      <c r="D262" s="14" t="s">
        <v>641</v>
      </c>
      <c r="E262" s="14" t="s">
        <v>156</v>
      </c>
      <c r="F262" s="15">
        <v>3.15E-2</v>
      </c>
      <c r="G262" s="14" t="s">
        <v>200</v>
      </c>
      <c r="H262" s="16" t="s">
        <v>568</v>
      </c>
    </row>
    <row r="263" spans="1:8" ht="13.5" hidden="1" customHeight="1" x14ac:dyDescent="0.55000000000000004">
      <c r="A263" s="13" t="s">
        <v>643</v>
      </c>
      <c r="B263" s="14"/>
      <c r="C263" s="14" t="s">
        <v>644</v>
      </c>
      <c r="D263" s="14" t="s">
        <v>643</v>
      </c>
      <c r="E263" s="14" t="s">
        <v>156</v>
      </c>
      <c r="F263" s="15">
        <v>1.2083333333333333E-2</v>
      </c>
      <c r="G263" s="14" t="s">
        <v>200</v>
      </c>
      <c r="H263" s="16" t="s">
        <v>568</v>
      </c>
    </row>
    <row r="264" spans="1:8" ht="13.5" hidden="1" customHeight="1" x14ac:dyDescent="0.55000000000000004">
      <c r="A264" s="13" t="s">
        <v>645</v>
      </c>
      <c r="B264" s="14"/>
      <c r="C264" s="14" t="s">
        <v>646</v>
      </c>
      <c r="D264" s="14" t="s">
        <v>645</v>
      </c>
      <c r="E264" s="14" t="s">
        <v>156</v>
      </c>
      <c r="F264" s="15">
        <v>6.8799999999999998E-3</v>
      </c>
      <c r="G264" s="14" t="s">
        <v>200</v>
      </c>
      <c r="H264" s="16" t="s">
        <v>568</v>
      </c>
    </row>
    <row r="265" spans="1:8" ht="13.5" hidden="1" customHeight="1" x14ac:dyDescent="0.55000000000000004">
      <c r="A265" s="13" t="s">
        <v>647</v>
      </c>
      <c r="B265" s="14"/>
      <c r="C265" s="14" t="s">
        <v>648</v>
      </c>
      <c r="D265" s="14" t="s">
        <v>647</v>
      </c>
      <c r="E265" s="14" t="s">
        <v>156</v>
      </c>
      <c r="F265" s="15">
        <v>5.8799999999999998E-3</v>
      </c>
      <c r="G265" s="14" t="s">
        <v>200</v>
      </c>
      <c r="H265" s="16" t="s">
        <v>568</v>
      </c>
    </row>
    <row r="266" spans="1:8" ht="13.5" hidden="1" customHeight="1" x14ac:dyDescent="0.55000000000000004">
      <c r="A266" s="13" t="s">
        <v>649</v>
      </c>
      <c r="B266" s="14"/>
      <c r="C266" s="14" t="s">
        <v>650</v>
      </c>
      <c r="D266" s="14" t="s">
        <v>649</v>
      </c>
      <c r="E266" s="14" t="s">
        <v>156</v>
      </c>
      <c r="F266" s="15">
        <v>6.0000000000000001E-3</v>
      </c>
      <c r="G266" s="14" t="s">
        <v>200</v>
      </c>
      <c r="H266" s="16" t="s">
        <v>651</v>
      </c>
    </row>
    <row r="267" spans="1:8" ht="13.5" hidden="1" customHeight="1" x14ac:dyDescent="0.55000000000000004">
      <c r="A267" s="13" t="s">
        <v>652</v>
      </c>
      <c r="B267" s="14"/>
      <c r="C267" s="14" t="s">
        <v>653</v>
      </c>
      <c r="D267" s="14" t="s">
        <v>652</v>
      </c>
      <c r="E267" s="14" t="s">
        <v>156</v>
      </c>
      <c r="F267" s="15">
        <v>6.0000000000000001E-3</v>
      </c>
      <c r="G267" s="14" t="s">
        <v>200</v>
      </c>
      <c r="H267" s="16" t="s">
        <v>651</v>
      </c>
    </row>
    <row r="268" spans="1:8" ht="13.5" hidden="1" customHeight="1" x14ac:dyDescent="0.55000000000000004">
      <c r="A268" s="13" t="s">
        <v>654</v>
      </c>
      <c r="B268" s="14"/>
      <c r="C268" s="14" t="s">
        <v>655</v>
      </c>
      <c r="D268" s="14" t="s">
        <v>654</v>
      </c>
      <c r="E268" s="14" t="s">
        <v>156</v>
      </c>
      <c r="F268" s="15">
        <v>6.0000000000000001E-3</v>
      </c>
      <c r="G268" s="14" t="s">
        <v>200</v>
      </c>
      <c r="H268" s="16" t="s">
        <v>651</v>
      </c>
    </row>
    <row r="269" spans="1:8" ht="13.5" hidden="1" customHeight="1" x14ac:dyDescent="0.55000000000000004">
      <c r="A269" s="13" t="s">
        <v>42</v>
      </c>
      <c r="B269" s="14"/>
      <c r="C269" s="14" t="s">
        <v>656</v>
      </c>
      <c r="D269" s="14" t="s">
        <v>42</v>
      </c>
      <c r="E269" s="14" t="s">
        <v>156</v>
      </c>
      <c r="F269" s="15">
        <v>6.0000000000000001E-3</v>
      </c>
      <c r="G269" s="14" t="s">
        <v>200</v>
      </c>
      <c r="H269" s="16" t="s">
        <v>651</v>
      </c>
    </row>
    <row r="270" spans="1:8" ht="13.5" hidden="1" customHeight="1" x14ac:dyDescent="0.55000000000000004">
      <c r="A270" s="13" t="s">
        <v>657</v>
      </c>
      <c r="B270" s="14"/>
      <c r="C270" s="14" t="s">
        <v>658</v>
      </c>
      <c r="D270" s="14" t="s">
        <v>657</v>
      </c>
      <c r="E270" s="14" t="s">
        <v>156</v>
      </c>
      <c r="F270" s="15">
        <v>6.0000000000000001E-3</v>
      </c>
      <c r="G270" s="14" t="s">
        <v>200</v>
      </c>
      <c r="H270" s="16" t="s">
        <v>651</v>
      </c>
    </row>
    <row r="271" spans="1:8" ht="13.5" hidden="1" customHeight="1" x14ac:dyDescent="0.55000000000000004">
      <c r="A271" s="13" t="s">
        <v>659</v>
      </c>
      <c r="B271" s="14"/>
      <c r="C271" s="14" t="s">
        <v>660</v>
      </c>
      <c r="D271" s="14" t="s">
        <v>659</v>
      </c>
      <c r="E271" s="14" t="s">
        <v>156</v>
      </c>
      <c r="F271" s="15">
        <v>1.6E-2</v>
      </c>
      <c r="G271" s="14" t="s">
        <v>200</v>
      </c>
      <c r="H271" s="16" t="s">
        <v>651</v>
      </c>
    </row>
    <row r="272" spans="1:8" ht="13.5" hidden="1" customHeight="1" x14ac:dyDescent="0.55000000000000004">
      <c r="A272" s="13" t="s">
        <v>661</v>
      </c>
      <c r="B272" s="14"/>
      <c r="C272" s="14" t="s">
        <v>662</v>
      </c>
      <c r="D272" s="14" t="s">
        <v>661</v>
      </c>
      <c r="E272" s="14" t="s">
        <v>156</v>
      </c>
      <c r="F272" s="15">
        <v>3.5999999999999999E-3</v>
      </c>
      <c r="G272" s="14" t="s">
        <v>200</v>
      </c>
      <c r="H272" s="16" t="s">
        <v>651</v>
      </c>
    </row>
    <row r="273" spans="1:8" ht="13.5" hidden="1" customHeight="1" x14ac:dyDescent="0.55000000000000004">
      <c r="A273" s="13" t="s">
        <v>663</v>
      </c>
      <c r="B273" s="14"/>
      <c r="C273" s="14" t="s">
        <v>664</v>
      </c>
      <c r="D273" s="14" t="s">
        <v>663</v>
      </c>
      <c r="E273" s="14" t="s">
        <v>156</v>
      </c>
      <c r="F273" s="15">
        <v>6.4999999999999997E-3</v>
      </c>
      <c r="G273" s="14" t="s">
        <v>200</v>
      </c>
      <c r="H273" s="16" t="s">
        <v>651</v>
      </c>
    </row>
    <row r="274" spans="1:8" ht="13.5" hidden="1" customHeight="1" x14ac:dyDescent="0.55000000000000004">
      <c r="A274" s="13" t="s">
        <v>72</v>
      </c>
      <c r="B274" s="14"/>
      <c r="C274" s="14" t="s">
        <v>665</v>
      </c>
      <c r="D274" s="14" t="s">
        <v>72</v>
      </c>
      <c r="E274" s="14" t="s">
        <v>156</v>
      </c>
      <c r="F274" s="15">
        <v>5.7499999999999999E-3</v>
      </c>
      <c r="G274" s="14" t="s">
        <v>200</v>
      </c>
      <c r="H274" s="16" t="s">
        <v>651</v>
      </c>
    </row>
    <row r="275" spans="1:8" ht="13.5" hidden="1" customHeight="1" x14ac:dyDescent="0.55000000000000004">
      <c r="A275" s="13" t="s">
        <v>43</v>
      </c>
      <c r="B275" s="14"/>
      <c r="C275" s="14" t="s">
        <v>666</v>
      </c>
      <c r="D275" s="14" t="s">
        <v>43</v>
      </c>
      <c r="E275" s="14" t="s">
        <v>156</v>
      </c>
      <c r="F275" s="15">
        <v>6.4999999999999997E-3</v>
      </c>
      <c r="G275" s="14" t="s">
        <v>200</v>
      </c>
      <c r="H275" s="16" t="s">
        <v>651</v>
      </c>
    </row>
    <row r="276" spans="1:8" ht="13.5" hidden="1" customHeight="1" x14ac:dyDescent="0.55000000000000004">
      <c r="A276" s="13" t="s">
        <v>127</v>
      </c>
      <c r="B276" s="14"/>
      <c r="C276" s="14" t="s">
        <v>667</v>
      </c>
      <c r="D276" s="14" t="s">
        <v>127</v>
      </c>
      <c r="E276" s="14" t="s">
        <v>156</v>
      </c>
      <c r="F276" s="15">
        <v>4.7499999999999999E-3</v>
      </c>
      <c r="G276" s="14" t="s">
        <v>200</v>
      </c>
      <c r="H276" s="16" t="s">
        <v>651</v>
      </c>
    </row>
    <row r="277" spans="1:8" ht="13.5" hidden="1" customHeight="1" x14ac:dyDescent="0.55000000000000004">
      <c r="A277" s="13" t="s">
        <v>668</v>
      </c>
      <c r="B277" s="14"/>
      <c r="C277" s="14" t="s">
        <v>669</v>
      </c>
      <c r="D277" s="14" t="s">
        <v>668</v>
      </c>
      <c r="E277" s="14" t="s">
        <v>156</v>
      </c>
      <c r="F277" s="15">
        <v>1.239E-2</v>
      </c>
      <c r="G277" s="14" t="s">
        <v>200</v>
      </c>
      <c r="H277" s="16" t="s">
        <v>651</v>
      </c>
    </row>
    <row r="278" spans="1:8" ht="13.5" hidden="1" customHeight="1" x14ac:dyDescent="0.55000000000000004">
      <c r="A278" s="13" t="s">
        <v>670</v>
      </c>
      <c r="B278" s="14"/>
      <c r="C278" s="14" t="s">
        <v>671</v>
      </c>
      <c r="D278" s="14" t="s">
        <v>670</v>
      </c>
      <c r="E278" s="14" t="s">
        <v>156</v>
      </c>
      <c r="F278" s="15">
        <v>5.0000000000000001E-3</v>
      </c>
      <c r="G278" s="14" t="s">
        <v>200</v>
      </c>
      <c r="H278" s="16" t="s">
        <v>672</v>
      </c>
    </row>
    <row r="279" spans="1:8" ht="13.5" hidden="1" customHeight="1" x14ac:dyDescent="0.55000000000000004">
      <c r="A279" s="13" t="s">
        <v>673</v>
      </c>
      <c r="B279" s="14"/>
      <c r="C279" s="14" t="s">
        <v>674</v>
      </c>
      <c r="D279" s="14" t="s">
        <v>673</v>
      </c>
      <c r="E279" s="14" t="s">
        <v>156</v>
      </c>
      <c r="F279" s="15">
        <v>3.5000000000000003E-2</v>
      </c>
      <c r="G279" s="14" t="s">
        <v>200</v>
      </c>
      <c r="H279" s="16" t="s">
        <v>672</v>
      </c>
    </row>
    <row r="280" spans="1:8" ht="13.5" hidden="1" customHeight="1" x14ac:dyDescent="0.55000000000000004">
      <c r="A280" s="13" t="s">
        <v>675</v>
      </c>
      <c r="B280" s="14"/>
      <c r="C280" s="14" t="s">
        <v>676</v>
      </c>
      <c r="D280" s="14" t="s">
        <v>675</v>
      </c>
      <c r="E280" s="14" t="s">
        <v>156</v>
      </c>
      <c r="F280" s="15">
        <v>3.7999999999999999E-2</v>
      </c>
      <c r="G280" s="14" t="s">
        <v>200</v>
      </c>
      <c r="H280" s="16" t="s">
        <v>672</v>
      </c>
    </row>
    <row r="281" spans="1:8" ht="13.5" hidden="1" customHeight="1" x14ac:dyDescent="0.55000000000000004">
      <c r="A281" s="13" t="s">
        <v>677</v>
      </c>
      <c r="B281" s="14"/>
      <c r="C281" s="14" t="s">
        <v>678</v>
      </c>
      <c r="D281" s="14" t="s">
        <v>677</v>
      </c>
      <c r="E281" s="14" t="s">
        <v>156</v>
      </c>
      <c r="F281" s="15">
        <v>3.5000000000000003E-2</v>
      </c>
      <c r="G281" s="14" t="s">
        <v>200</v>
      </c>
      <c r="H281" s="16" t="s">
        <v>672</v>
      </c>
    </row>
    <row r="282" spans="1:8" ht="13.5" hidden="1" customHeight="1" x14ac:dyDescent="0.55000000000000004">
      <c r="A282" s="13" t="s">
        <v>679</v>
      </c>
      <c r="B282" s="14"/>
      <c r="C282" s="14" t="s">
        <v>680</v>
      </c>
      <c r="D282" s="14" t="s">
        <v>679</v>
      </c>
      <c r="E282" s="14" t="s">
        <v>156</v>
      </c>
      <c r="F282" s="15">
        <v>2.4E-2</v>
      </c>
      <c r="G282" s="14" t="s">
        <v>200</v>
      </c>
      <c r="H282" s="16" t="s">
        <v>672</v>
      </c>
    </row>
    <row r="283" spans="1:8" ht="13.5" hidden="1" customHeight="1" x14ac:dyDescent="0.55000000000000004">
      <c r="A283" s="13" t="s">
        <v>681</v>
      </c>
      <c r="B283" s="14"/>
      <c r="C283" s="14" t="s">
        <v>682</v>
      </c>
      <c r="D283" s="14" t="s">
        <v>681</v>
      </c>
      <c r="E283" s="14" t="s">
        <v>156</v>
      </c>
      <c r="F283" s="15">
        <v>0.02</v>
      </c>
      <c r="G283" s="14" t="s">
        <v>200</v>
      </c>
      <c r="H283" s="16" t="s">
        <v>672</v>
      </c>
    </row>
    <row r="284" spans="1:8" ht="13.5" hidden="1" customHeight="1" x14ac:dyDescent="0.55000000000000004">
      <c r="A284" s="13" t="s">
        <v>1408</v>
      </c>
      <c r="B284" s="14"/>
      <c r="C284" s="14" t="s">
        <v>1436</v>
      </c>
      <c r="D284" s="14" t="s">
        <v>1408</v>
      </c>
      <c r="E284" s="14" t="s">
        <v>156</v>
      </c>
      <c r="F284" s="15">
        <v>0.18</v>
      </c>
      <c r="G284" s="14" t="s">
        <v>200</v>
      </c>
      <c r="H284" s="16" t="s">
        <v>672</v>
      </c>
    </row>
    <row r="285" spans="1:8" ht="13.5" hidden="1" customHeight="1" x14ac:dyDescent="0.55000000000000004">
      <c r="A285" s="13" t="s">
        <v>683</v>
      </c>
      <c r="B285" s="14"/>
      <c r="C285" s="14" t="s">
        <v>684</v>
      </c>
      <c r="D285" s="14" t="s">
        <v>683</v>
      </c>
      <c r="E285" s="14" t="s">
        <v>156</v>
      </c>
      <c r="F285" s="15">
        <v>1.4999999999999999E-2</v>
      </c>
      <c r="G285" s="14" t="s">
        <v>200</v>
      </c>
      <c r="H285" s="16" t="s">
        <v>672</v>
      </c>
    </row>
    <row r="286" spans="1:8" ht="13.5" hidden="1" customHeight="1" x14ac:dyDescent="0.55000000000000004">
      <c r="A286" s="13" t="s">
        <v>1437</v>
      </c>
      <c r="B286" s="14"/>
      <c r="C286" s="14" t="s">
        <v>1438</v>
      </c>
      <c r="D286" s="14" t="s">
        <v>1437</v>
      </c>
      <c r="E286" s="14" t="s">
        <v>156</v>
      </c>
      <c r="F286" s="15">
        <v>6.5000000000000002E-2</v>
      </c>
      <c r="G286" s="14" t="s">
        <v>200</v>
      </c>
      <c r="H286" s="16" t="s">
        <v>672</v>
      </c>
    </row>
    <row r="287" spans="1:8" ht="13.5" hidden="1" customHeight="1" x14ac:dyDescent="0.55000000000000004">
      <c r="A287" s="13" t="s">
        <v>685</v>
      </c>
      <c r="B287" s="14"/>
      <c r="C287" s="14" t="s">
        <v>686</v>
      </c>
      <c r="D287" s="14" t="s">
        <v>685</v>
      </c>
      <c r="E287" s="14" t="s">
        <v>156</v>
      </c>
      <c r="F287" s="15">
        <v>0.01</v>
      </c>
      <c r="G287" s="14" t="s">
        <v>200</v>
      </c>
      <c r="H287" s="16" t="s">
        <v>672</v>
      </c>
    </row>
    <row r="288" spans="1:8" ht="13.5" hidden="1" customHeight="1" x14ac:dyDescent="0.55000000000000004">
      <c r="A288" s="13" t="s">
        <v>687</v>
      </c>
      <c r="B288" s="14"/>
      <c r="C288" s="14" t="s">
        <v>688</v>
      </c>
      <c r="D288" s="14" t="s">
        <v>687</v>
      </c>
      <c r="E288" s="14" t="s">
        <v>156</v>
      </c>
      <c r="F288" s="15">
        <v>2.8000000000000001E-2</v>
      </c>
      <c r="G288" s="14" t="s">
        <v>200</v>
      </c>
      <c r="H288" s="16" t="s">
        <v>672</v>
      </c>
    </row>
    <row r="289" spans="1:8" ht="13.5" hidden="1" customHeight="1" x14ac:dyDescent="0.55000000000000004">
      <c r="A289" s="13" t="s">
        <v>689</v>
      </c>
      <c r="B289" s="14"/>
      <c r="C289" s="14" t="s">
        <v>690</v>
      </c>
      <c r="D289" s="14" t="s">
        <v>689</v>
      </c>
      <c r="E289" s="14" t="s">
        <v>156</v>
      </c>
      <c r="F289" s="15">
        <v>1.4999999999999999E-2</v>
      </c>
      <c r="G289" s="14" t="s">
        <v>200</v>
      </c>
      <c r="H289" s="16" t="s">
        <v>672</v>
      </c>
    </row>
    <row r="290" spans="1:8" ht="13.5" hidden="1" customHeight="1" x14ac:dyDescent="0.55000000000000004">
      <c r="A290" s="13" t="s">
        <v>691</v>
      </c>
      <c r="B290" s="14"/>
      <c r="C290" s="14" t="s">
        <v>692</v>
      </c>
      <c r="D290" s="14" t="s">
        <v>691</v>
      </c>
      <c r="E290" s="14" t="s">
        <v>156</v>
      </c>
      <c r="F290" s="15">
        <v>8.1390000000000004E-3</v>
      </c>
      <c r="G290" s="14" t="s">
        <v>200</v>
      </c>
      <c r="H290" s="16" t="s">
        <v>693</v>
      </c>
    </row>
    <row r="291" spans="1:8" ht="13.5" hidden="1" customHeight="1" x14ac:dyDescent="0.55000000000000004">
      <c r="A291" s="13" t="s">
        <v>694</v>
      </c>
      <c r="B291" s="14"/>
      <c r="C291" s="14" t="s">
        <v>695</v>
      </c>
      <c r="D291" s="14" t="s">
        <v>694</v>
      </c>
      <c r="E291" s="14" t="s">
        <v>156</v>
      </c>
      <c r="F291" s="15">
        <v>0.08</v>
      </c>
      <c r="G291" s="14" t="s">
        <v>200</v>
      </c>
      <c r="H291" s="16" t="s">
        <v>693</v>
      </c>
    </row>
    <row r="292" spans="1:8" ht="13.5" hidden="1" customHeight="1" x14ac:dyDescent="0.55000000000000004">
      <c r="A292" s="13" t="s">
        <v>696</v>
      </c>
      <c r="B292" s="14"/>
      <c r="C292" s="14" t="s">
        <v>697</v>
      </c>
      <c r="D292" s="14" t="s">
        <v>696</v>
      </c>
      <c r="E292" s="14" t="s">
        <v>156</v>
      </c>
      <c r="F292" s="15">
        <v>1.2E-2</v>
      </c>
      <c r="G292" s="14" t="s">
        <v>200</v>
      </c>
      <c r="H292" s="16" t="s">
        <v>693</v>
      </c>
    </row>
    <row r="293" spans="1:8" ht="13.5" hidden="1" customHeight="1" x14ac:dyDescent="0.55000000000000004">
      <c r="A293" s="13" t="s">
        <v>698</v>
      </c>
      <c r="B293" s="14"/>
      <c r="C293" s="14" t="s">
        <v>699</v>
      </c>
      <c r="D293" s="14" t="s">
        <v>698</v>
      </c>
      <c r="E293" s="14" t="s">
        <v>156</v>
      </c>
      <c r="F293" s="15">
        <v>3.5424999999999998E-2</v>
      </c>
      <c r="G293" s="14" t="s">
        <v>200</v>
      </c>
      <c r="H293" s="16" t="s">
        <v>693</v>
      </c>
    </row>
    <row r="294" spans="1:8" ht="13.5" hidden="1" customHeight="1" x14ac:dyDescent="0.55000000000000004">
      <c r="A294" s="13" t="s">
        <v>51</v>
      </c>
      <c r="B294" s="14"/>
      <c r="C294" s="14" t="s">
        <v>700</v>
      </c>
      <c r="D294" s="14" t="s">
        <v>51</v>
      </c>
      <c r="E294" s="14" t="s">
        <v>156</v>
      </c>
      <c r="F294" s="15">
        <v>9.3526666666666654E-3</v>
      </c>
      <c r="G294" s="14" t="s">
        <v>200</v>
      </c>
      <c r="H294" s="16" t="s">
        <v>693</v>
      </c>
    </row>
    <row r="295" spans="1:8" ht="13.5" hidden="1" customHeight="1" x14ac:dyDescent="0.55000000000000004">
      <c r="A295" s="13" t="s">
        <v>701</v>
      </c>
      <c r="B295" s="14"/>
      <c r="C295" s="14" t="s">
        <v>702</v>
      </c>
      <c r="D295" s="14" t="s">
        <v>701</v>
      </c>
      <c r="E295" s="14" t="s">
        <v>156</v>
      </c>
      <c r="F295" s="15">
        <v>0.19315673289183222</v>
      </c>
      <c r="G295" s="14" t="s">
        <v>200</v>
      </c>
      <c r="H295" s="16" t="s">
        <v>693</v>
      </c>
    </row>
    <row r="296" spans="1:8" ht="13.5" hidden="1" customHeight="1" x14ac:dyDescent="0.55000000000000004">
      <c r="A296" s="13" t="s">
        <v>703</v>
      </c>
      <c r="B296" s="14"/>
      <c r="C296" s="14" t="s">
        <v>704</v>
      </c>
      <c r="D296" s="14" t="s">
        <v>703</v>
      </c>
      <c r="E296" s="14" t="s">
        <v>156</v>
      </c>
      <c r="F296" s="15">
        <v>2.8000000000000001E-2</v>
      </c>
      <c r="G296" s="14" t="s">
        <v>200</v>
      </c>
      <c r="H296" s="16" t="s">
        <v>693</v>
      </c>
    </row>
    <row r="297" spans="1:8" ht="13.5" hidden="1" customHeight="1" x14ac:dyDescent="0.55000000000000004">
      <c r="A297" s="13" t="s">
        <v>705</v>
      </c>
      <c r="B297" s="14"/>
      <c r="C297" s="14" t="s">
        <v>706</v>
      </c>
      <c r="D297" s="14" t="s">
        <v>705</v>
      </c>
      <c r="E297" s="14" t="s">
        <v>156</v>
      </c>
      <c r="F297" s="15">
        <v>0.03</v>
      </c>
      <c r="G297" s="14" t="s">
        <v>200</v>
      </c>
      <c r="H297" s="16" t="s">
        <v>693</v>
      </c>
    </row>
    <row r="298" spans="1:8" ht="13.5" hidden="1" customHeight="1" x14ac:dyDescent="0.55000000000000004">
      <c r="A298" s="13" t="s">
        <v>1407</v>
      </c>
      <c r="B298" s="14"/>
      <c r="C298" s="14" t="s">
        <v>1404</v>
      </c>
      <c r="D298" s="14" t="s">
        <v>1407</v>
      </c>
      <c r="E298" s="14" t="s">
        <v>156</v>
      </c>
      <c r="F298" s="84">
        <v>8.0000000000000002E-3</v>
      </c>
      <c r="G298" s="14" t="s">
        <v>200</v>
      </c>
      <c r="H298" s="16" t="s">
        <v>693</v>
      </c>
    </row>
    <row r="299" spans="1:8" ht="13.5" hidden="1" customHeight="1" x14ac:dyDescent="0.55000000000000004">
      <c r="A299" s="13" t="s">
        <v>1406</v>
      </c>
      <c r="B299" s="14"/>
      <c r="C299" s="14" t="s">
        <v>1439</v>
      </c>
      <c r="D299" s="14" t="s">
        <v>1406</v>
      </c>
      <c r="E299" s="14" t="s">
        <v>156</v>
      </c>
      <c r="F299" s="15">
        <v>1.4E-2</v>
      </c>
      <c r="G299" s="14" t="s">
        <v>200</v>
      </c>
      <c r="H299" s="16" t="s">
        <v>693</v>
      </c>
    </row>
    <row r="300" spans="1:8" ht="13.5" hidden="1" customHeight="1" x14ac:dyDescent="0.55000000000000004">
      <c r="A300" s="13" t="s">
        <v>707</v>
      </c>
      <c r="B300" s="14"/>
      <c r="C300" s="14" t="s">
        <v>708</v>
      </c>
      <c r="D300" s="14" t="s">
        <v>707</v>
      </c>
      <c r="E300" s="14" t="s">
        <v>156</v>
      </c>
      <c r="F300" s="15">
        <v>3.7999999999999999E-2</v>
      </c>
      <c r="G300" s="14" t="s">
        <v>200</v>
      </c>
      <c r="H300" s="16" t="s">
        <v>693</v>
      </c>
    </row>
    <row r="301" spans="1:8" ht="13.5" hidden="1" customHeight="1" x14ac:dyDescent="0.55000000000000004">
      <c r="A301" s="13" t="s">
        <v>709</v>
      </c>
      <c r="B301" s="14"/>
      <c r="C301" s="14" t="s">
        <v>710</v>
      </c>
      <c r="D301" s="14" t="s">
        <v>709</v>
      </c>
      <c r="E301" s="14" t="s">
        <v>156</v>
      </c>
      <c r="F301" s="15">
        <v>0.05</v>
      </c>
      <c r="G301" s="14" t="s">
        <v>200</v>
      </c>
      <c r="H301" s="16" t="s">
        <v>693</v>
      </c>
    </row>
    <row r="302" spans="1:8" ht="13.5" hidden="1" customHeight="1" x14ac:dyDescent="0.55000000000000004">
      <c r="A302" s="13" t="s">
        <v>95</v>
      </c>
      <c r="B302" s="14"/>
      <c r="C302" s="14" t="s">
        <v>711</v>
      </c>
      <c r="D302" s="14" t="s">
        <v>95</v>
      </c>
      <c r="E302" s="14" t="s">
        <v>156</v>
      </c>
      <c r="F302" s="15">
        <v>7.963636363636363E-2</v>
      </c>
      <c r="G302" s="14" t="s">
        <v>200</v>
      </c>
      <c r="H302" s="16" t="s">
        <v>693</v>
      </c>
    </row>
    <row r="303" spans="1:8" ht="13.5" hidden="1" customHeight="1" x14ac:dyDescent="0.55000000000000004">
      <c r="A303" s="13" t="s">
        <v>712</v>
      </c>
      <c r="B303" s="14"/>
      <c r="C303" s="14" t="s">
        <v>713</v>
      </c>
      <c r="D303" s="14" t="s">
        <v>712</v>
      </c>
      <c r="E303" s="14" t="s">
        <v>156</v>
      </c>
      <c r="F303" s="15">
        <v>3.2689999999999997E-2</v>
      </c>
      <c r="G303" s="14" t="s">
        <v>200</v>
      </c>
      <c r="H303" s="16" t="s">
        <v>693</v>
      </c>
    </row>
    <row r="304" spans="1:8" ht="13.5" hidden="1" customHeight="1" x14ac:dyDescent="0.55000000000000004">
      <c r="A304" s="13" t="s">
        <v>131</v>
      </c>
      <c r="B304" s="14"/>
      <c r="C304" s="14" t="s">
        <v>714</v>
      </c>
      <c r="D304" s="14" t="s">
        <v>131</v>
      </c>
      <c r="E304" s="14" t="s">
        <v>156</v>
      </c>
      <c r="F304" s="84">
        <v>1.6E-2</v>
      </c>
      <c r="G304" s="14" t="s">
        <v>200</v>
      </c>
      <c r="H304" s="16" t="s">
        <v>693</v>
      </c>
    </row>
    <row r="305" spans="1:8" ht="13.5" hidden="1" customHeight="1" x14ac:dyDescent="0.55000000000000004">
      <c r="A305" s="13" t="s">
        <v>122</v>
      </c>
      <c r="B305" s="14"/>
      <c r="C305" s="14" t="s">
        <v>715</v>
      </c>
      <c r="D305" s="14" t="s">
        <v>122</v>
      </c>
      <c r="E305" s="14" t="s">
        <v>156</v>
      </c>
      <c r="F305" s="15">
        <v>3.2000000000000001E-2</v>
      </c>
      <c r="G305" s="14" t="s">
        <v>200</v>
      </c>
      <c r="H305" s="16" t="s">
        <v>693</v>
      </c>
    </row>
    <row r="306" spans="1:8" ht="13.5" hidden="1" customHeight="1" x14ac:dyDescent="0.55000000000000004">
      <c r="A306" s="13" t="s">
        <v>716</v>
      </c>
      <c r="B306" s="14"/>
      <c r="C306" s="14" t="s">
        <v>717</v>
      </c>
      <c r="D306" s="14" t="s">
        <v>716</v>
      </c>
      <c r="E306" s="14" t="s">
        <v>156</v>
      </c>
      <c r="F306" s="15">
        <v>1.04E-2</v>
      </c>
      <c r="G306" s="14" t="s">
        <v>200</v>
      </c>
      <c r="H306" s="16" t="s">
        <v>693</v>
      </c>
    </row>
    <row r="307" spans="1:8" hidden="1" x14ac:dyDescent="0.55000000000000004">
      <c r="A307" s="13" t="s">
        <v>718</v>
      </c>
      <c r="B307" s="14"/>
      <c r="C307" s="14" t="s">
        <v>719</v>
      </c>
      <c r="D307" s="14" t="s">
        <v>718</v>
      </c>
      <c r="E307" s="14" t="s">
        <v>156</v>
      </c>
      <c r="F307" s="15">
        <v>3.7999999999999999E-2</v>
      </c>
      <c r="G307" s="14" t="s">
        <v>200</v>
      </c>
      <c r="H307" s="16" t="s">
        <v>693</v>
      </c>
    </row>
    <row r="308" spans="1:8" hidden="1" x14ac:dyDescent="0.55000000000000004">
      <c r="A308" s="13" t="s">
        <v>130</v>
      </c>
      <c r="B308" s="14"/>
      <c r="C308" s="14" t="s">
        <v>720</v>
      </c>
      <c r="D308" s="14" t="s">
        <v>130</v>
      </c>
      <c r="E308" s="14" t="s">
        <v>156</v>
      </c>
      <c r="F308" s="15">
        <v>4.4999999999999998E-2</v>
      </c>
      <c r="G308" s="14" t="s">
        <v>200</v>
      </c>
      <c r="H308" s="16" t="s">
        <v>693</v>
      </c>
    </row>
    <row r="309" spans="1:8" hidden="1" x14ac:dyDescent="0.55000000000000004">
      <c r="A309" s="13" t="s">
        <v>721</v>
      </c>
      <c r="B309" s="14"/>
      <c r="C309" s="14" t="s">
        <v>722</v>
      </c>
      <c r="D309" s="14" t="s">
        <v>721</v>
      </c>
      <c r="E309" s="14" t="s">
        <v>156</v>
      </c>
      <c r="F309" s="15">
        <v>2.5999999999999999E-2</v>
      </c>
      <c r="G309" s="14" t="s">
        <v>200</v>
      </c>
      <c r="H309" s="16" t="s">
        <v>693</v>
      </c>
    </row>
    <row r="310" spans="1:8" hidden="1" x14ac:dyDescent="0.55000000000000004">
      <c r="A310" s="13" t="s">
        <v>121</v>
      </c>
      <c r="B310" s="14"/>
      <c r="C310" s="14" t="s">
        <v>723</v>
      </c>
      <c r="D310" s="14" t="s">
        <v>121</v>
      </c>
      <c r="E310" s="14" t="s">
        <v>156</v>
      </c>
      <c r="F310" s="15">
        <v>4.8000000000000001E-2</v>
      </c>
      <c r="G310" s="14" t="s">
        <v>200</v>
      </c>
      <c r="H310" s="16" t="s">
        <v>693</v>
      </c>
    </row>
    <row r="311" spans="1:8" ht="28.8" hidden="1" x14ac:dyDescent="0.55000000000000004">
      <c r="A311" s="13" t="s">
        <v>724</v>
      </c>
      <c r="B311" s="14"/>
      <c r="C311" s="14" t="s">
        <v>725</v>
      </c>
      <c r="D311" s="14" t="s">
        <v>724</v>
      </c>
      <c r="E311" s="14" t="s">
        <v>156</v>
      </c>
      <c r="F311" s="15">
        <v>3.3039647577092511E-2</v>
      </c>
      <c r="G311" s="14" t="s">
        <v>200</v>
      </c>
      <c r="H311" s="16" t="s">
        <v>693</v>
      </c>
    </row>
    <row r="312" spans="1:8" hidden="1" x14ac:dyDescent="0.55000000000000004">
      <c r="A312" s="13" t="s">
        <v>726</v>
      </c>
      <c r="B312" s="14"/>
      <c r="C312" s="14" t="s">
        <v>727</v>
      </c>
      <c r="D312" s="14" t="s">
        <v>726</v>
      </c>
      <c r="E312" s="14" t="s">
        <v>156</v>
      </c>
      <c r="F312" s="15">
        <v>8.5000000000000006E-2</v>
      </c>
      <c r="G312" s="14" t="s">
        <v>200</v>
      </c>
      <c r="H312" s="16" t="s">
        <v>693</v>
      </c>
    </row>
    <row r="313" spans="1:8" hidden="1" x14ac:dyDescent="0.55000000000000004">
      <c r="A313" s="13" t="s">
        <v>106</v>
      </c>
      <c r="B313" s="14"/>
      <c r="C313" s="14" t="s">
        <v>728</v>
      </c>
      <c r="D313" s="14" t="s">
        <v>106</v>
      </c>
      <c r="E313" s="14" t="s">
        <v>156</v>
      </c>
      <c r="F313" s="15">
        <v>2.5000000000000001E-2</v>
      </c>
      <c r="G313" s="14" t="s">
        <v>200</v>
      </c>
      <c r="H313" s="16" t="s">
        <v>693</v>
      </c>
    </row>
    <row r="314" spans="1:8" hidden="1" x14ac:dyDescent="0.55000000000000004">
      <c r="A314" s="13" t="s">
        <v>61</v>
      </c>
      <c r="B314" s="14"/>
      <c r="C314" s="14" t="s">
        <v>729</v>
      </c>
      <c r="D314" s="14" t="s">
        <v>61</v>
      </c>
      <c r="E314" s="14" t="s">
        <v>156</v>
      </c>
      <c r="F314" s="15">
        <v>2.8000000000000001E-2</v>
      </c>
      <c r="G314" s="14" t="s">
        <v>200</v>
      </c>
      <c r="H314" s="16" t="s">
        <v>693</v>
      </c>
    </row>
    <row r="315" spans="1:8" ht="28.8" hidden="1" x14ac:dyDescent="0.55000000000000004">
      <c r="A315" s="13" t="s">
        <v>730</v>
      </c>
      <c r="B315" s="14"/>
      <c r="C315" s="14" t="s">
        <v>731</v>
      </c>
      <c r="D315" s="14" t="s">
        <v>730</v>
      </c>
      <c r="E315" s="14" t="s">
        <v>156</v>
      </c>
      <c r="F315" s="15">
        <v>2.5000000000000001E-2</v>
      </c>
      <c r="G315" s="14" t="s">
        <v>200</v>
      </c>
      <c r="H315" s="16" t="s">
        <v>693</v>
      </c>
    </row>
    <row r="316" spans="1:8" hidden="1" x14ac:dyDescent="0.55000000000000004">
      <c r="A316" s="13" t="s">
        <v>732</v>
      </c>
      <c r="B316" s="14"/>
      <c r="C316" s="14" t="s">
        <v>733</v>
      </c>
      <c r="D316" s="14" t="s">
        <v>732</v>
      </c>
      <c r="E316" s="14" t="s">
        <v>156</v>
      </c>
      <c r="F316" s="15">
        <v>8.6999999999999994E-2</v>
      </c>
      <c r="G316" s="14" t="s">
        <v>200</v>
      </c>
      <c r="H316" s="16" t="s">
        <v>693</v>
      </c>
    </row>
    <row r="317" spans="1:8" hidden="1" x14ac:dyDescent="0.55000000000000004">
      <c r="A317" s="13" t="s">
        <v>92</v>
      </c>
      <c r="B317" s="14"/>
      <c r="C317" s="14" t="s">
        <v>734</v>
      </c>
      <c r="D317" s="14" t="s">
        <v>92</v>
      </c>
      <c r="E317" s="14" t="s">
        <v>156</v>
      </c>
      <c r="F317" s="15">
        <v>3.5000000000000003E-2</v>
      </c>
      <c r="G317" s="14" t="s">
        <v>200</v>
      </c>
      <c r="H317" s="16" t="s">
        <v>693</v>
      </c>
    </row>
    <row r="318" spans="1:8" hidden="1" x14ac:dyDescent="0.55000000000000004">
      <c r="A318" s="13" t="s">
        <v>735</v>
      </c>
      <c r="B318" s="14"/>
      <c r="C318" s="14" t="s">
        <v>736</v>
      </c>
      <c r="D318" s="14" t="s">
        <v>735</v>
      </c>
      <c r="E318" s="14" t="s">
        <v>156</v>
      </c>
      <c r="F318" s="15">
        <v>7.9199999999999993E-2</v>
      </c>
      <c r="G318" s="14" t="s">
        <v>200</v>
      </c>
      <c r="H318" s="16" t="s">
        <v>693</v>
      </c>
    </row>
    <row r="319" spans="1:8" hidden="1" x14ac:dyDescent="0.55000000000000004">
      <c r="A319" s="13" t="s">
        <v>73</v>
      </c>
      <c r="B319" s="14"/>
      <c r="C319" s="14" t="s">
        <v>737</v>
      </c>
      <c r="D319" s="14" t="s">
        <v>73</v>
      </c>
      <c r="E319" s="14" t="s">
        <v>156</v>
      </c>
      <c r="F319" s="15">
        <v>1.2500000000000001E-2</v>
      </c>
      <c r="G319" s="14" t="s">
        <v>200</v>
      </c>
      <c r="H319" s="16" t="s">
        <v>693</v>
      </c>
    </row>
    <row r="320" spans="1:8" hidden="1" x14ac:dyDescent="0.55000000000000004">
      <c r="A320" s="13" t="s">
        <v>738</v>
      </c>
      <c r="B320" s="14"/>
      <c r="C320" s="14" t="s">
        <v>739</v>
      </c>
      <c r="D320" s="14" t="s">
        <v>738</v>
      </c>
      <c r="E320" s="14" t="s">
        <v>156</v>
      </c>
      <c r="F320" s="15">
        <v>2.1739999999999999E-2</v>
      </c>
      <c r="G320" s="14" t="s">
        <v>200</v>
      </c>
      <c r="H320" s="16" t="s">
        <v>693</v>
      </c>
    </row>
    <row r="321" spans="1:8" hidden="1" x14ac:dyDescent="0.55000000000000004">
      <c r="A321" s="13" t="s">
        <v>740</v>
      </c>
      <c r="B321" s="14"/>
      <c r="C321" s="14" t="s">
        <v>741</v>
      </c>
      <c r="D321" s="14" t="s">
        <v>740</v>
      </c>
      <c r="E321" s="14" t="s">
        <v>156</v>
      </c>
      <c r="F321" s="15">
        <v>0.13</v>
      </c>
      <c r="G321" s="14" t="s">
        <v>200</v>
      </c>
      <c r="H321" s="16" t="s">
        <v>693</v>
      </c>
    </row>
    <row r="322" spans="1:8" hidden="1" x14ac:dyDescent="0.55000000000000004">
      <c r="A322" s="13" t="s">
        <v>96</v>
      </c>
      <c r="B322" s="14"/>
      <c r="C322" s="14" t="s">
        <v>742</v>
      </c>
      <c r="D322" s="14" t="s">
        <v>96</v>
      </c>
      <c r="E322" s="14" t="s">
        <v>156</v>
      </c>
      <c r="F322" s="15">
        <v>0.16</v>
      </c>
      <c r="G322" s="14" t="s">
        <v>200</v>
      </c>
      <c r="H322" s="16" t="s">
        <v>693</v>
      </c>
    </row>
    <row r="323" spans="1:8" hidden="1" x14ac:dyDescent="0.55000000000000004">
      <c r="A323" s="13" t="s">
        <v>62</v>
      </c>
      <c r="B323" s="14"/>
      <c r="C323" s="14" t="s">
        <v>743</v>
      </c>
      <c r="D323" s="14" t="s">
        <v>62</v>
      </c>
      <c r="E323" s="14" t="s">
        <v>156</v>
      </c>
      <c r="F323" s="15">
        <v>0.02</v>
      </c>
      <c r="G323" s="14" t="s">
        <v>200</v>
      </c>
      <c r="H323" s="16" t="s">
        <v>693</v>
      </c>
    </row>
    <row r="324" spans="1:8" hidden="1" x14ac:dyDescent="0.55000000000000004">
      <c r="A324" s="13" t="s">
        <v>76</v>
      </c>
      <c r="B324" s="14"/>
      <c r="C324" s="14" t="s">
        <v>744</v>
      </c>
      <c r="D324" s="14" t="s">
        <v>76</v>
      </c>
      <c r="E324" s="14" t="s">
        <v>156</v>
      </c>
      <c r="F324" s="15">
        <v>5.5E-2</v>
      </c>
      <c r="G324" s="14" t="s">
        <v>200</v>
      </c>
      <c r="H324" s="16" t="s">
        <v>693</v>
      </c>
    </row>
    <row r="325" spans="1:8" hidden="1" x14ac:dyDescent="0.55000000000000004">
      <c r="A325" s="13" t="s">
        <v>99</v>
      </c>
      <c r="B325" s="14"/>
      <c r="C325" s="14" t="s">
        <v>745</v>
      </c>
      <c r="D325" s="14" t="s">
        <v>99</v>
      </c>
      <c r="E325" s="14" t="s">
        <v>156</v>
      </c>
      <c r="F325" s="15">
        <v>1.4E-2</v>
      </c>
      <c r="G325" s="14" t="s">
        <v>200</v>
      </c>
      <c r="H325" s="16" t="s">
        <v>693</v>
      </c>
    </row>
    <row r="326" spans="1:8" hidden="1" x14ac:dyDescent="0.55000000000000004">
      <c r="A326" s="13" t="s">
        <v>746</v>
      </c>
      <c r="B326" s="14"/>
      <c r="C326" s="14" t="s">
        <v>747</v>
      </c>
      <c r="D326" s="14" t="s">
        <v>746</v>
      </c>
      <c r="E326" s="14" t="s">
        <v>156</v>
      </c>
      <c r="F326" s="15">
        <v>1.4E-2</v>
      </c>
      <c r="G326" s="14" t="s">
        <v>200</v>
      </c>
      <c r="H326" s="16" t="s">
        <v>693</v>
      </c>
    </row>
    <row r="327" spans="1:8" hidden="1" x14ac:dyDescent="0.55000000000000004">
      <c r="A327" s="13" t="s">
        <v>45</v>
      </c>
      <c r="B327" s="14"/>
      <c r="C327" s="14" t="s">
        <v>748</v>
      </c>
      <c r="D327" s="14" t="s">
        <v>45</v>
      </c>
      <c r="E327" s="14" t="s">
        <v>156</v>
      </c>
      <c r="F327" s="15">
        <v>2.8000000000000001E-2</v>
      </c>
      <c r="G327" s="14" t="s">
        <v>200</v>
      </c>
      <c r="H327" s="16" t="s">
        <v>693</v>
      </c>
    </row>
    <row r="328" spans="1:8" hidden="1" x14ac:dyDescent="0.55000000000000004">
      <c r="A328" s="13" t="s">
        <v>749</v>
      </c>
      <c r="B328" s="14"/>
      <c r="C328" s="14" t="s">
        <v>750</v>
      </c>
      <c r="D328" s="14" t="s">
        <v>749</v>
      </c>
      <c r="E328" s="14" t="s">
        <v>156</v>
      </c>
      <c r="F328" s="15">
        <v>0.03</v>
      </c>
      <c r="G328" s="14" t="s">
        <v>200</v>
      </c>
      <c r="H328" s="16" t="s">
        <v>693</v>
      </c>
    </row>
    <row r="329" spans="1:8" hidden="1" x14ac:dyDescent="0.55000000000000004">
      <c r="A329" s="13" t="s">
        <v>751</v>
      </c>
      <c r="B329" s="14"/>
      <c r="C329" s="14" t="s">
        <v>752</v>
      </c>
      <c r="D329" s="14" t="s">
        <v>751</v>
      </c>
      <c r="E329" s="14" t="s">
        <v>156</v>
      </c>
      <c r="F329" s="15">
        <v>1.4E-2</v>
      </c>
      <c r="G329" s="14" t="s">
        <v>200</v>
      </c>
      <c r="H329" s="16" t="s">
        <v>693</v>
      </c>
    </row>
    <row r="330" spans="1:8" hidden="1" x14ac:dyDescent="0.55000000000000004">
      <c r="A330" s="13" t="s">
        <v>753</v>
      </c>
      <c r="B330" s="14"/>
      <c r="C330" s="14" t="s">
        <v>754</v>
      </c>
      <c r="D330" s="14" t="s">
        <v>753</v>
      </c>
      <c r="E330" s="14" t="s">
        <v>156</v>
      </c>
      <c r="F330" s="15">
        <v>3.5999999999999997E-2</v>
      </c>
      <c r="G330" s="14" t="s">
        <v>200</v>
      </c>
      <c r="H330" s="16" t="s">
        <v>693</v>
      </c>
    </row>
    <row r="331" spans="1:8" hidden="1" x14ac:dyDescent="0.55000000000000004">
      <c r="A331" s="13" t="s">
        <v>46</v>
      </c>
      <c r="B331" s="14"/>
      <c r="C331" s="14" t="s">
        <v>755</v>
      </c>
      <c r="D331" s="14" t="s">
        <v>46</v>
      </c>
      <c r="E331" s="14" t="s">
        <v>156</v>
      </c>
      <c r="F331" s="15">
        <v>3.5000000000000003E-2</v>
      </c>
      <c r="G331" s="14" t="s">
        <v>200</v>
      </c>
      <c r="H331" s="16" t="s">
        <v>693</v>
      </c>
    </row>
    <row r="332" spans="1:8" hidden="1" x14ac:dyDescent="0.55000000000000004">
      <c r="A332" s="13" t="s">
        <v>756</v>
      </c>
      <c r="B332" s="14"/>
      <c r="C332" s="14" t="s">
        <v>757</v>
      </c>
      <c r="D332" s="14" t="s">
        <v>756</v>
      </c>
      <c r="E332" s="14" t="s">
        <v>156</v>
      </c>
      <c r="F332" s="15">
        <v>8.0000000000000002E-3</v>
      </c>
      <c r="G332" s="14" t="s">
        <v>200</v>
      </c>
      <c r="H332" s="16" t="s">
        <v>693</v>
      </c>
    </row>
    <row r="333" spans="1:8" hidden="1" x14ac:dyDescent="0.55000000000000004">
      <c r="A333" s="13" t="s">
        <v>758</v>
      </c>
      <c r="B333" s="14"/>
      <c r="C333" s="14" t="s">
        <v>759</v>
      </c>
      <c r="D333" s="14" t="s">
        <v>758</v>
      </c>
      <c r="E333" s="14" t="s">
        <v>156</v>
      </c>
      <c r="F333" s="15">
        <v>2.1100000000000001E-2</v>
      </c>
      <c r="G333" s="14" t="s">
        <v>200</v>
      </c>
      <c r="H333" s="16" t="s">
        <v>693</v>
      </c>
    </row>
    <row r="334" spans="1:8" hidden="1" x14ac:dyDescent="0.55000000000000004">
      <c r="A334" s="13" t="s">
        <v>760</v>
      </c>
      <c r="B334" s="14"/>
      <c r="C334" s="14" t="s">
        <v>761</v>
      </c>
      <c r="D334" s="14" t="s">
        <v>760</v>
      </c>
      <c r="E334" s="14" t="s">
        <v>156</v>
      </c>
      <c r="F334" s="15">
        <v>0.03</v>
      </c>
      <c r="G334" s="14" t="s">
        <v>200</v>
      </c>
      <c r="H334" s="16" t="s">
        <v>693</v>
      </c>
    </row>
    <row r="335" spans="1:8" hidden="1" x14ac:dyDescent="0.55000000000000004">
      <c r="A335" s="13" t="s">
        <v>87</v>
      </c>
      <c r="B335" s="14"/>
      <c r="C335" s="14" t="s">
        <v>1743</v>
      </c>
      <c r="D335" s="14" t="s">
        <v>87</v>
      </c>
      <c r="E335" s="14" t="s">
        <v>156</v>
      </c>
      <c r="F335" s="15">
        <v>5.0000000000000001E-3</v>
      </c>
      <c r="G335" s="14" t="s">
        <v>200</v>
      </c>
      <c r="H335" s="16" t="s">
        <v>693</v>
      </c>
    </row>
    <row r="336" spans="1:8" hidden="1" x14ac:dyDescent="0.55000000000000004">
      <c r="A336" s="13" t="s">
        <v>56</v>
      </c>
      <c r="B336" s="14"/>
      <c r="C336" s="14" t="s">
        <v>762</v>
      </c>
      <c r="D336" s="14" t="s">
        <v>56</v>
      </c>
      <c r="E336" s="14" t="s">
        <v>156</v>
      </c>
      <c r="F336" s="15">
        <v>2.3999999999999998E-3</v>
      </c>
      <c r="G336" s="14" t="s">
        <v>200</v>
      </c>
      <c r="H336" s="16" t="s">
        <v>763</v>
      </c>
    </row>
    <row r="337" spans="1:8" hidden="1" x14ac:dyDescent="0.55000000000000004">
      <c r="A337" s="13" t="s">
        <v>114</v>
      </c>
      <c r="B337" s="14"/>
      <c r="C337" s="14" t="s">
        <v>764</v>
      </c>
      <c r="D337" s="14" t="s">
        <v>114</v>
      </c>
      <c r="E337" s="14" t="s">
        <v>156</v>
      </c>
      <c r="F337" s="15">
        <v>2.1411245865490629E-2</v>
      </c>
      <c r="G337" s="14" t="s">
        <v>200</v>
      </c>
      <c r="H337" s="16" t="s">
        <v>763</v>
      </c>
    </row>
    <row r="338" spans="1:8" hidden="1" x14ac:dyDescent="0.55000000000000004">
      <c r="A338" s="13" t="s">
        <v>765</v>
      </c>
      <c r="B338" s="14"/>
      <c r="C338" s="14" t="s">
        <v>766</v>
      </c>
      <c r="D338" s="14" t="s">
        <v>765</v>
      </c>
      <c r="E338" s="14" t="s">
        <v>48</v>
      </c>
      <c r="F338" s="15">
        <v>3.5000000000000003E-2</v>
      </c>
      <c r="G338" s="14" t="s">
        <v>200</v>
      </c>
      <c r="H338" s="16" t="s">
        <v>763</v>
      </c>
    </row>
    <row r="339" spans="1:8" ht="15" hidden="1" customHeight="1" x14ac:dyDescent="0.55000000000000004">
      <c r="A339" s="13" t="s">
        <v>767</v>
      </c>
      <c r="B339" s="14"/>
      <c r="C339" s="14" t="s">
        <v>768</v>
      </c>
      <c r="D339" s="14" t="s">
        <v>767</v>
      </c>
      <c r="E339" s="14" t="s">
        <v>48</v>
      </c>
      <c r="F339" s="15">
        <v>3.5000000000000003E-2</v>
      </c>
      <c r="G339" s="14" t="s">
        <v>200</v>
      </c>
      <c r="H339" s="16" t="s">
        <v>763</v>
      </c>
    </row>
    <row r="340" spans="1:8" ht="15" hidden="1" customHeight="1" x14ac:dyDescent="0.55000000000000004">
      <c r="A340" s="13" t="s">
        <v>769</v>
      </c>
      <c r="B340" s="14"/>
      <c r="C340" s="14" t="s">
        <v>770</v>
      </c>
      <c r="D340" s="14" t="s">
        <v>769</v>
      </c>
      <c r="E340" s="14" t="s">
        <v>48</v>
      </c>
      <c r="F340" s="15">
        <v>0.20420000000000002</v>
      </c>
      <c r="G340" s="14" t="s">
        <v>200</v>
      </c>
      <c r="H340" s="16" t="s">
        <v>763</v>
      </c>
    </row>
    <row r="341" spans="1:8" ht="15" hidden="1" customHeight="1" x14ac:dyDescent="0.55000000000000004">
      <c r="A341" s="13" t="s">
        <v>771</v>
      </c>
      <c r="B341" s="14"/>
      <c r="C341" s="14" t="s">
        <v>772</v>
      </c>
      <c r="D341" s="14" t="s">
        <v>771</v>
      </c>
      <c r="E341" s="14" t="s">
        <v>156</v>
      </c>
      <c r="F341" s="15">
        <v>7.0849999999999996E-2</v>
      </c>
      <c r="G341" s="14" t="s">
        <v>200</v>
      </c>
      <c r="H341" s="16" t="s">
        <v>763</v>
      </c>
    </row>
    <row r="342" spans="1:8" ht="15" hidden="1" customHeight="1" x14ac:dyDescent="0.55000000000000004">
      <c r="A342" s="13" t="s">
        <v>773</v>
      </c>
      <c r="B342" s="14"/>
      <c r="C342" s="14" t="s">
        <v>774</v>
      </c>
      <c r="D342" s="14" t="s">
        <v>773</v>
      </c>
      <c r="E342" s="14" t="s">
        <v>156</v>
      </c>
      <c r="F342" s="15">
        <v>9.1931216931216923E-3</v>
      </c>
      <c r="G342" s="14" t="s">
        <v>200</v>
      </c>
      <c r="H342" s="16" t="s">
        <v>775</v>
      </c>
    </row>
    <row r="343" spans="1:8" ht="15" hidden="1" customHeight="1" x14ac:dyDescent="0.55000000000000004">
      <c r="A343" s="13" t="s">
        <v>110</v>
      </c>
      <c r="B343" s="14"/>
      <c r="C343" s="14" t="s">
        <v>776</v>
      </c>
      <c r="D343" s="14" t="s">
        <v>110</v>
      </c>
      <c r="E343" s="14" t="s">
        <v>156</v>
      </c>
      <c r="F343" s="15">
        <v>3.5000000000000001E-3</v>
      </c>
      <c r="G343" s="14" t="s">
        <v>200</v>
      </c>
      <c r="H343" s="16" t="s">
        <v>775</v>
      </c>
    </row>
    <row r="344" spans="1:8" ht="15" hidden="1" customHeight="1" x14ac:dyDescent="0.55000000000000004">
      <c r="A344" s="13" t="s">
        <v>777</v>
      </c>
      <c r="B344" s="14"/>
      <c r="C344" s="14" t="s">
        <v>778</v>
      </c>
      <c r="D344" s="14" t="s">
        <v>777</v>
      </c>
      <c r="E344" s="14" t="s">
        <v>48</v>
      </c>
      <c r="F344" s="15">
        <v>4.8000000000000001E-2</v>
      </c>
      <c r="G344" s="14" t="s">
        <v>200</v>
      </c>
      <c r="H344" s="16" t="s">
        <v>775</v>
      </c>
    </row>
    <row r="345" spans="1:8" ht="15" hidden="1" customHeight="1" x14ac:dyDescent="0.55000000000000004">
      <c r="A345" s="13" t="s">
        <v>779</v>
      </c>
      <c r="B345" s="14"/>
      <c r="C345" s="14" t="s">
        <v>780</v>
      </c>
      <c r="D345" s="14" t="s">
        <v>779</v>
      </c>
      <c r="E345" s="14" t="s">
        <v>156</v>
      </c>
      <c r="F345" s="15">
        <v>6.4814814814814813E-3</v>
      </c>
      <c r="G345" s="14" t="s">
        <v>200</v>
      </c>
      <c r="H345" s="16" t="s">
        <v>775</v>
      </c>
    </row>
    <row r="346" spans="1:8" ht="15" hidden="1" customHeight="1" x14ac:dyDescent="0.55000000000000004">
      <c r="A346" s="13" t="s">
        <v>781</v>
      </c>
      <c r="B346" s="14"/>
      <c r="C346" s="14" t="s">
        <v>782</v>
      </c>
      <c r="D346" s="14" t="s">
        <v>781</v>
      </c>
      <c r="E346" s="14" t="s">
        <v>206</v>
      </c>
      <c r="F346" s="15">
        <v>2.8660000000000001E-2</v>
      </c>
      <c r="G346" s="14" t="s">
        <v>200</v>
      </c>
      <c r="H346" s="16" t="s">
        <v>775</v>
      </c>
    </row>
    <row r="347" spans="1:8" ht="15" hidden="1" customHeight="1" x14ac:dyDescent="0.55000000000000004">
      <c r="A347" s="13" t="s">
        <v>783</v>
      </c>
      <c r="B347" s="14"/>
      <c r="C347" s="14" t="s">
        <v>784</v>
      </c>
      <c r="D347" s="14" t="s">
        <v>783</v>
      </c>
      <c r="E347" s="14" t="s">
        <v>206</v>
      </c>
      <c r="F347" s="15">
        <v>1.9709090909090909E-2</v>
      </c>
      <c r="G347" s="14" t="s">
        <v>200</v>
      </c>
      <c r="H347" s="16" t="s">
        <v>775</v>
      </c>
    </row>
    <row r="348" spans="1:8" ht="15" hidden="1" customHeight="1" x14ac:dyDescent="0.55000000000000004">
      <c r="A348" s="13" t="s">
        <v>785</v>
      </c>
      <c r="B348" s="14"/>
      <c r="C348" s="14" t="s">
        <v>786</v>
      </c>
      <c r="D348" s="14" t="s">
        <v>785</v>
      </c>
      <c r="E348" s="14" t="s">
        <v>206</v>
      </c>
      <c r="F348" s="15">
        <v>1.2045454545454547E-2</v>
      </c>
      <c r="G348" s="14" t="s">
        <v>200</v>
      </c>
      <c r="H348" s="16" t="s">
        <v>775</v>
      </c>
    </row>
    <row r="349" spans="1:8" ht="15" hidden="1" customHeight="1" x14ac:dyDescent="0.55000000000000004">
      <c r="A349" s="13" t="s">
        <v>787</v>
      </c>
      <c r="B349" s="14"/>
      <c r="C349" s="14" t="s">
        <v>788</v>
      </c>
      <c r="D349" s="14" t="s">
        <v>787</v>
      </c>
      <c r="E349" s="14" t="s">
        <v>206</v>
      </c>
      <c r="F349" s="15">
        <v>5.8016877637130804E-3</v>
      </c>
      <c r="G349" s="14" t="s">
        <v>200</v>
      </c>
      <c r="H349" s="16" t="s">
        <v>775</v>
      </c>
    </row>
    <row r="350" spans="1:8" ht="15" hidden="1" customHeight="1" x14ac:dyDescent="0.55000000000000004">
      <c r="A350" s="13" t="s">
        <v>83</v>
      </c>
      <c r="B350" s="14"/>
      <c r="C350" s="14" t="s">
        <v>789</v>
      </c>
      <c r="D350" s="14" t="s">
        <v>83</v>
      </c>
      <c r="E350" s="14" t="s">
        <v>206</v>
      </c>
      <c r="F350" s="15">
        <v>1.805E-2</v>
      </c>
      <c r="G350" s="14" t="s">
        <v>200</v>
      </c>
      <c r="H350" s="16" t="s">
        <v>775</v>
      </c>
    </row>
    <row r="351" spans="1:8" ht="15" hidden="1" customHeight="1" x14ac:dyDescent="0.55000000000000004">
      <c r="A351" s="13" t="s">
        <v>135</v>
      </c>
      <c r="B351" s="14"/>
      <c r="C351" s="14" t="s">
        <v>790</v>
      </c>
      <c r="D351" s="14" t="s">
        <v>135</v>
      </c>
      <c r="E351" s="14" t="s">
        <v>206</v>
      </c>
      <c r="F351" s="15">
        <v>1.4885714285714285E-2</v>
      </c>
      <c r="G351" s="14" t="s">
        <v>200</v>
      </c>
      <c r="H351" s="19" t="s">
        <v>775</v>
      </c>
    </row>
    <row r="352" spans="1:8" ht="15" hidden="1" customHeight="1" x14ac:dyDescent="0.55000000000000004">
      <c r="A352" s="13" t="s">
        <v>791</v>
      </c>
      <c r="B352" s="14"/>
      <c r="C352" s="14" t="s">
        <v>792</v>
      </c>
      <c r="D352" s="14" t="s">
        <v>791</v>
      </c>
      <c r="E352" s="14" t="s">
        <v>206</v>
      </c>
      <c r="F352" s="15">
        <v>3.9548022598870053E-2</v>
      </c>
      <c r="G352" s="14" t="s">
        <v>200</v>
      </c>
      <c r="H352" s="19" t="s">
        <v>775</v>
      </c>
    </row>
    <row r="353" spans="1:8" ht="15" hidden="1" customHeight="1" x14ac:dyDescent="0.55000000000000004">
      <c r="A353" s="13" t="s">
        <v>793</v>
      </c>
      <c r="B353" s="14"/>
      <c r="C353" s="14" t="s">
        <v>794</v>
      </c>
      <c r="D353" s="14" t="s">
        <v>793</v>
      </c>
      <c r="E353" s="14" t="s">
        <v>206</v>
      </c>
      <c r="F353" s="15">
        <v>1.8518518518518517E-2</v>
      </c>
      <c r="G353" s="14" t="s">
        <v>200</v>
      </c>
      <c r="H353" s="19" t="s">
        <v>775</v>
      </c>
    </row>
    <row r="354" spans="1:8" ht="15" hidden="1" customHeight="1" x14ac:dyDescent="0.55000000000000004">
      <c r="A354" s="13" t="s">
        <v>84</v>
      </c>
      <c r="B354" s="14"/>
      <c r="C354" s="14" t="s">
        <v>795</v>
      </c>
      <c r="D354" s="14" t="s">
        <v>84</v>
      </c>
      <c r="E354" s="14" t="s">
        <v>206</v>
      </c>
      <c r="F354" s="15">
        <v>2.3579999999999997E-2</v>
      </c>
      <c r="G354" s="14" t="s">
        <v>200</v>
      </c>
      <c r="H354" s="19" t="s">
        <v>775</v>
      </c>
    </row>
    <row r="355" spans="1:8" ht="15" hidden="1" customHeight="1" x14ac:dyDescent="0.55000000000000004">
      <c r="A355" s="13" t="s">
        <v>796</v>
      </c>
      <c r="B355" s="14"/>
      <c r="C355" s="14" t="s">
        <v>797</v>
      </c>
      <c r="D355" s="14" t="s">
        <v>796</v>
      </c>
      <c r="E355" s="14" t="s">
        <v>206</v>
      </c>
      <c r="F355" s="15">
        <v>2.3142857142857142E-2</v>
      </c>
      <c r="G355" s="14" t="s">
        <v>200</v>
      </c>
      <c r="H355" s="19" t="s">
        <v>775</v>
      </c>
    </row>
    <row r="356" spans="1:8" ht="15" hidden="1" customHeight="1" x14ac:dyDescent="0.55000000000000004">
      <c r="A356" s="13" t="s">
        <v>798</v>
      </c>
      <c r="B356" s="14"/>
      <c r="C356" s="14" t="s">
        <v>799</v>
      </c>
      <c r="D356" s="14" t="s">
        <v>798</v>
      </c>
      <c r="E356" s="14" t="s">
        <v>206</v>
      </c>
      <c r="F356" s="15">
        <v>1.4731707317073172E-2</v>
      </c>
      <c r="G356" s="14" t="s">
        <v>200</v>
      </c>
      <c r="H356" s="19" t="s">
        <v>775</v>
      </c>
    </row>
    <row r="357" spans="1:8" ht="15" customHeight="1" x14ac:dyDescent="0.55000000000000004">
      <c r="A357" s="13" t="s">
        <v>800</v>
      </c>
      <c r="B357" s="14"/>
      <c r="C357" s="14" t="s">
        <v>801</v>
      </c>
      <c r="D357" s="14" t="s">
        <v>800</v>
      </c>
      <c r="E357" s="14" t="s">
        <v>206</v>
      </c>
      <c r="F357" s="15">
        <v>3.6723163841807911E-2</v>
      </c>
      <c r="G357" s="14" t="s">
        <v>200</v>
      </c>
      <c r="H357" s="19" t="s">
        <v>775</v>
      </c>
    </row>
    <row r="358" spans="1:8" ht="15" hidden="1" customHeight="1" x14ac:dyDescent="0.55000000000000004">
      <c r="A358" s="13" t="s">
        <v>802</v>
      </c>
      <c r="B358" s="14"/>
      <c r="C358" s="14" t="s">
        <v>803</v>
      </c>
      <c r="D358" s="14" t="s">
        <v>802</v>
      </c>
      <c r="E358" s="14" t="s">
        <v>206</v>
      </c>
      <c r="F358" s="15">
        <v>1.7142857142857144E-2</v>
      </c>
      <c r="G358" s="14" t="s">
        <v>200</v>
      </c>
      <c r="H358" s="19" t="s">
        <v>775</v>
      </c>
    </row>
    <row r="359" spans="1:8" hidden="1" x14ac:dyDescent="0.55000000000000004">
      <c r="A359" s="13" t="s">
        <v>89</v>
      </c>
      <c r="B359" s="14"/>
      <c r="C359" s="14" t="s">
        <v>804</v>
      </c>
      <c r="D359" s="14" t="s">
        <v>89</v>
      </c>
      <c r="E359" s="14" t="s">
        <v>156</v>
      </c>
      <c r="F359" s="15">
        <v>1.0999999999999999E-2</v>
      </c>
      <c r="G359" s="14" t="s">
        <v>200</v>
      </c>
      <c r="H359" s="19" t="s">
        <v>775</v>
      </c>
    </row>
    <row r="360" spans="1:8" hidden="1" x14ac:dyDescent="0.55000000000000004">
      <c r="A360" s="13" t="s">
        <v>805</v>
      </c>
      <c r="B360" s="14"/>
      <c r="C360" s="14" t="s">
        <v>806</v>
      </c>
      <c r="D360" s="14" t="s">
        <v>805</v>
      </c>
      <c r="E360" s="14" t="s">
        <v>156</v>
      </c>
      <c r="F360" s="15">
        <v>3.2500000000000001E-2</v>
      </c>
      <c r="G360" s="14" t="s">
        <v>200</v>
      </c>
      <c r="H360" s="19" t="s">
        <v>775</v>
      </c>
    </row>
    <row r="361" spans="1:8" hidden="1" x14ac:dyDescent="0.55000000000000004">
      <c r="A361" s="13" t="s">
        <v>807</v>
      </c>
      <c r="B361" s="14"/>
      <c r="C361" s="14" t="s">
        <v>808</v>
      </c>
      <c r="D361" s="14" t="s">
        <v>807</v>
      </c>
      <c r="E361" s="14" t="s">
        <v>156</v>
      </c>
      <c r="F361" s="15">
        <v>0.14000000000000001</v>
      </c>
      <c r="G361" s="14" t="s">
        <v>200</v>
      </c>
      <c r="H361" s="19" t="s">
        <v>775</v>
      </c>
    </row>
    <row r="362" spans="1:8" hidden="1" x14ac:dyDescent="0.55000000000000004">
      <c r="A362" s="13" t="s">
        <v>809</v>
      </c>
      <c r="B362" s="14"/>
      <c r="C362" s="14" t="s">
        <v>810</v>
      </c>
      <c r="D362" s="14" t="s">
        <v>809</v>
      </c>
      <c r="E362" s="14" t="s">
        <v>206</v>
      </c>
      <c r="F362" s="15">
        <v>2.8340000000000001E-2</v>
      </c>
      <c r="G362" s="14" t="s">
        <v>200</v>
      </c>
      <c r="H362" s="19" t="s">
        <v>775</v>
      </c>
    </row>
    <row r="363" spans="1:8" hidden="1" x14ac:dyDescent="0.55000000000000004">
      <c r="A363" s="13" t="s">
        <v>811</v>
      </c>
      <c r="B363" s="14"/>
      <c r="C363" s="14" t="s">
        <v>812</v>
      </c>
      <c r="D363" s="14" t="s">
        <v>811</v>
      </c>
      <c r="E363" s="14" t="s">
        <v>206</v>
      </c>
      <c r="F363" s="15">
        <v>1.681E-3</v>
      </c>
      <c r="G363" s="14" t="s">
        <v>200</v>
      </c>
      <c r="H363" s="19" t="s">
        <v>775</v>
      </c>
    </row>
    <row r="364" spans="1:8" hidden="1" x14ac:dyDescent="0.55000000000000004">
      <c r="A364" s="13" t="s">
        <v>100</v>
      </c>
      <c r="B364" s="14"/>
      <c r="C364" s="14" t="s">
        <v>813</v>
      </c>
      <c r="D364" s="14" t="s">
        <v>100</v>
      </c>
      <c r="E364" s="14" t="s">
        <v>206</v>
      </c>
      <c r="F364" s="15">
        <v>2.3026315789473682E-3</v>
      </c>
      <c r="G364" s="14" t="s">
        <v>200</v>
      </c>
      <c r="H364" s="19" t="s">
        <v>775</v>
      </c>
    </row>
    <row r="365" spans="1:8" hidden="1" x14ac:dyDescent="0.55000000000000004">
      <c r="A365" s="13" t="s">
        <v>814</v>
      </c>
      <c r="B365" s="14"/>
      <c r="C365" s="14" t="s">
        <v>815</v>
      </c>
      <c r="D365" s="14" t="s">
        <v>814</v>
      </c>
      <c r="E365" s="14" t="s">
        <v>48</v>
      </c>
      <c r="F365" s="15">
        <v>2.39</v>
      </c>
      <c r="G365" s="14" t="s">
        <v>460</v>
      </c>
      <c r="H365" s="19" t="s">
        <v>816</v>
      </c>
    </row>
    <row r="366" spans="1:8" hidden="1" x14ac:dyDescent="0.55000000000000004">
      <c r="A366" s="13" t="s">
        <v>817</v>
      </c>
      <c r="B366" s="14"/>
      <c r="C366" s="14" t="s">
        <v>818</v>
      </c>
      <c r="D366" s="14" t="s">
        <v>817</v>
      </c>
      <c r="E366" s="14" t="s">
        <v>48</v>
      </c>
      <c r="F366" s="15">
        <v>2.39</v>
      </c>
      <c r="G366" s="14" t="s">
        <v>460</v>
      </c>
      <c r="H366" s="19" t="s">
        <v>816</v>
      </c>
    </row>
    <row r="367" spans="1:8" hidden="1" x14ac:dyDescent="0.55000000000000004">
      <c r="A367" s="13" t="s">
        <v>819</v>
      </c>
      <c r="B367" s="14"/>
      <c r="C367" s="14" t="s">
        <v>820</v>
      </c>
      <c r="D367" s="14" t="s">
        <v>819</v>
      </c>
      <c r="E367" s="14" t="s">
        <v>48</v>
      </c>
      <c r="F367" s="15">
        <v>2.39</v>
      </c>
      <c r="G367" s="14" t="s">
        <v>460</v>
      </c>
      <c r="H367" s="19" t="s">
        <v>816</v>
      </c>
    </row>
    <row r="368" spans="1:8" hidden="1" x14ac:dyDescent="0.55000000000000004">
      <c r="A368" s="13" t="s">
        <v>821</v>
      </c>
      <c r="B368" s="14"/>
      <c r="C368" s="14" t="s">
        <v>822</v>
      </c>
      <c r="D368" s="14" t="s">
        <v>821</v>
      </c>
      <c r="E368" s="14" t="s">
        <v>48</v>
      </c>
      <c r="F368" s="15">
        <v>2.39</v>
      </c>
      <c r="G368" s="14" t="s">
        <v>460</v>
      </c>
      <c r="H368" s="19" t="s">
        <v>816</v>
      </c>
    </row>
    <row r="369" spans="1:8" hidden="1" x14ac:dyDescent="0.55000000000000004">
      <c r="A369" s="13" t="s">
        <v>823</v>
      </c>
      <c r="B369" s="14"/>
      <c r="C369" s="14" t="s">
        <v>824</v>
      </c>
      <c r="D369" s="14" t="s">
        <v>823</v>
      </c>
      <c r="E369" s="14" t="s">
        <v>48</v>
      </c>
      <c r="F369" s="15">
        <v>2.17</v>
      </c>
      <c r="G369" s="14" t="s">
        <v>460</v>
      </c>
      <c r="H369" s="19" t="s">
        <v>816</v>
      </c>
    </row>
    <row r="370" spans="1:8" hidden="1" x14ac:dyDescent="0.55000000000000004">
      <c r="A370" s="13" t="s">
        <v>825</v>
      </c>
      <c r="B370" s="14"/>
      <c r="C370" s="14" t="s">
        <v>826</v>
      </c>
      <c r="D370" s="14" t="s">
        <v>825</v>
      </c>
      <c r="E370" s="14" t="s">
        <v>48</v>
      </c>
      <c r="F370" s="15">
        <v>1.63</v>
      </c>
      <c r="G370" s="14" t="s">
        <v>460</v>
      </c>
      <c r="H370" s="19" t="s">
        <v>816</v>
      </c>
    </row>
    <row r="371" spans="1:8" hidden="1" x14ac:dyDescent="0.55000000000000004">
      <c r="A371" s="13" t="s">
        <v>827</v>
      </c>
      <c r="B371" s="14"/>
      <c r="C371" s="14" t="s">
        <v>828</v>
      </c>
      <c r="D371" s="14" t="s">
        <v>827</v>
      </c>
      <c r="E371" s="14" t="s">
        <v>48</v>
      </c>
      <c r="F371" s="15">
        <v>1.95</v>
      </c>
      <c r="G371" s="14" t="s">
        <v>460</v>
      </c>
      <c r="H371" s="19" t="s">
        <v>816</v>
      </c>
    </row>
    <row r="372" spans="1:8" hidden="1" x14ac:dyDescent="0.55000000000000004">
      <c r="A372" s="13" t="s">
        <v>829</v>
      </c>
      <c r="B372" s="14"/>
      <c r="C372" s="14" t="s">
        <v>830</v>
      </c>
      <c r="D372" s="14" t="s">
        <v>829</v>
      </c>
      <c r="E372" s="14" t="s">
        <v>48</v>
      </c>
      <c r="F372" s="15">
        <v>1.95</v>
      </c>
      <c r="G372" s="14" t="s">
        <v>460</v>
      </c>
      <c r="H372" s="19" t="s">
        <v>816</v>
      </c>
    </row>
    <row r="373" spans="1:8" ht="28.8" hidden="1" x14ac:dyDescent="0.55000000000000004">
      <c r="A373" s="13" t="s">
        <v>458</v>
      </c>
      <c r="B373" s="14"/>
      <c r="C373" s="14" t="s">
        <v>459</v>
      </c>
      <c r="D373" s="14" t="s">
        <v>458</v>
      </c>
      <c r="E373" s="14" t="s">
        <v>206</v>
      </c>
      <c r="F373" s="15">
        <v>1.8260000000000002E-2</v>
      </c>
      <c r="G373" s="14" t="s">
        <v>460</v>
      </c>
      <c r="H373" s="19" t="s">
        <v>461</v>
      </c>
    </row>
    <row r="374" spans="1:8" hidden="1" x14ac:dyDescent="0.55000000000000004">
      <c r="A374" s="13" t="s">
        <v>462</v>
      </c>
      <c r="B374" s="14"/>
      <c r="C374" s="14" t="s">
        <v>463</v>
      </c>
      <c r="D374" s="14" t="s">
        <v>462</v>
      </c>
      <c r="E374" s="14" t="s">
        <v>48</v>
      </c>
      <c r="F374" s="15">
        <v>1.1100000000000001</v>
      </c>
      <c r="G374" s="14" t="s">
        <v>460</v>
      </c>
      <c r="H374" s="19" t="s">
        <v>461</v>
      </c>
    </row>
    <row r="375" spans="1:8" hidden="1" x14ac:dyDescent="0.55000000000000004">
      <c r="A375" s="13" t="s">
        <v>464</v>
      </c>
      <c r="B375" s="14"/>
      <c r="C375" s="14" t="s">
        <v>465</v>
      </c>
      <c r="D375" s="14" t="s">
        <v>464</v>
      </c>
      <c r="E375" s="14" t="s">
        <v>48</v>
      </c>
      <c r="F375" s="15">
        <v>0.98</v>
      </c>
      <c r="G375" s="14" t="s">
        <v>460</v>
      </c>
      <c r="H375" s="19" t="s">
        <v>461</v>
      </c>
    </row>
    <row r="376" spans="1:8" hidden="1" x14ac:dyDescent="0.55000000000000004">
      <c r="A376" s="13" t="s">
        <v>466</v>
      </c>
      <c r="B376" s="14"/>
      <c r="C376" s="14" t="s">
        <v>467</v>
      </c>
      <c r="D376" s="14" t="s">
        <v>466</v>
      </c>
      <c r="E376" s="14" t="s">
        <v>48</v>
      </c>
      <c r="F376" s="15">
        <v>1.24</v>
      </c>
      <c r="G376" s="14" t="s">
        <v>460</v>
      </c>
      <c r="H376" s="19" t="s">
        <v>461</v>
      </c>
    </row>
    <row r="377" spans="1:8" hidden="1" x14ac:dyDescent="0.55000000000000004">
      <c r="A377" s="13" t="s">
        <v>468</v>
      </c>
      <c r="B377" s="14"/>
      <c r="C377" s="14" t="s">
        <v>469</v>
      </c>
      <c r="D377" s="14" t="s">
        <v>468</v>
      </c>
      <c r="E377" s="14" t="s">
        <v>48</v>
      </c>
      <c r="F377" s="15">
        <v>0.98</v>
      </c>
      <c r="G377" s="14" t="s">
        <v>460</v>
      </c>
      <c r="H377" s="19" t="s">
        <v>461</v>
      </c>
    </row>
    <row r="378" spans="1:8" hidden="1" x14ac:dyDescent="0.55000000000000004">
      <c r="A378" s="13" t="s">
        <v>470</v>
      </c>
      <c r="B378" s="14"/>
      <c r="C378" s="14" t="s">
        <v>471</v>
      </c>
      <c r="D378" s="14" t="s">
        <v>470</v>
      </c>
      <c r="E378" s="14" t="s">
        <v>48</v>
      </c>
      <c r="F378" s="15">
        <v>1.31</v>
      </c>
      <c r="G378" s="14" t="s">
        <v>460</v>
      </c>
      <c r="H378" s="19" t="s">
        <v>461</v>
      </c>
    </row>
    <row r="379" spans="1:8" hidden="1" x14ac:dyDescent="0.55000000000000004">
      <c r="A379" s="13" t="s">
        <v>472</v>
      </c>
      <c r="B379" s="14"/>
      <c r="C379" s="14" t="s">
        <v>473</v>
      </c>
      <c r="D379" s="14" t="s">
        <v>472</v>
      </c>
      <c r="E379" s="14" t="s">
        <v>48</v>
      </c>
      <c r="F379" s="15">
        <v>0.98</v>
      </c>
      <c r="G379" s="14" t="s">
        <v>460</v>
      </c>
      <c r="H379" s="19" t="s">
        <v>461</v>
      </c>
    </row>
    <row r="380" spans="1:8" hidden="1" x14ac:dyDescent="0.55000000000000004">
      <c r="A380" s="13" t="s">
        <v>111</v>
      </c>
      <c r="B380" s="14"/>
      <c r="C380" s="14" t="s">
        <v>474</v>
      </c>
      <c r="D380" s="14" t="s">
        <v>111</v>
      </c>
      <c r="E380" s="14" t="s">
        <v>48</v>
      </c>
      <c r="F380" s="15">
        <v>0.98</v>
      </c>
      <c r="G380" s="14" t="s">
        <v>460</v>
      </c>
      <c r="H380" s="19" t="s">
        <v>461</v>
      </c>
    </row>
    <row r="381" spans="1:8" hidden="1" x14ac:dyDescent="0.55000000000000004">
      <c r="A381" s="13" t="s">
        <v>475</v>
      </c>
      <c r="B381" s="14"/>
      <c r="C381" s="14" t="s">
        <v>476</v>
      </c>
      <c r="D381" s="14" t="s">
        <v>475</v>
      </c>
      <c r="E381" s="14" t="s">
        <v>48</v>
      </c>
      <c r="F381" s="15">
        <v>1.17</v>
      </c>
      <c r="G381" s="14" t="s">
        <v>460</v>
      </c>
      <c r="H381" s="19" t="s">
        <v>461</v>
      </c>
    </row>
    <row r="382" spans="1:8" hidden="1" x14ac:dyDescent="0.55000000000000004">
      <c r="A382" s="13" t="s">
        <v>477</v>
      </c>
      <c r="B382" s="14"/>
      <c r="C382" s="14" t="s">
        <v>478</v>
      </c>
      <c r="D382" s="14" t="s">
        <v>477</v>
      </c>
      <c r="E382" s="14" t="s">
        <v>48</v>
      </c>
      <c r="F382" s="15">
        <v>1.1599999999999999</v>
      </c>
      <c r="G382" s="14" t="s">
        <v>460</v>
      </c>
      <c r="H382" s="19" t="s">
        <v>461</v>
      </c>
    </row>
    <row r="383" spans="1:8" hidden="1" x14ac:dyDescent="0.55000000000000004">
      <c r="A383" s="13" t="s">
        <v>479</v>
      </c>
      <c r="B383" s="14"/>
      <c r="C383" s="14" t="s">
        <v>480</v>
      </c>
      <c r="D383" s="14" t="s">
        <v>479</v>
      </c>
      <c r="E383" s="14" t="s">
        <v>48</v>
      </c>
      <c r="F383" s="15">
        <v>2.2400000000000002</v>
      </c>
      <c r="G383" s="14" t="s">
        <v>460</v>
      </c>
      <c r="H383" s="19" t="s">
        <v>461</v>
      </c>
    </row>
    <row r="384" spans="1:8" hidden="1" x14ac:dyDescent="0.55000000000000004">
      <c r="A384" s="13" t="s">
        <v>481</v>
      </c>
      <c r="B384" s="14"/>
      <c r="C384" s="14" t="s">
        <v>482</v>
      </c>
      <c r="D384" s="14" t="s">
        <v>481</v>
      </c>
      <c r="E384" s="14" t="s">
        <v>48</v>
      </c>
      <c r="F384" s="15">
        <v>1.57</v>
      </c>
      <c r="G384" s="14" t="s">
        <v>460</v>
      </c>
      <c r="H384" s="19" t="s">
        <v>461</v>
      </c>
    </row>
    <row r="385" spans="1:8" hidden="1" x14ac:dyDescent="0.55000000000000004">
      <c r="A385" s="13" t="s">
        <v>483</v>
      </c>
      <c r="B385" s="14"/>
      <c r="C385" s="14" t="s">
        <v>484</v>
      </c>
      <c r="D385" s="14" t="s">
        <v>483</v>
      </c>
      <c r="E385" s="14" t="s">
        <v>48</v>
      </c>
      <c r="F385" s="15">
        <v>1.79</v>
      </c>
      <c r="G385" s="14" t="s">
        <v>460</v>
      </c>
      <c r="H385" s="19" t="s">
        <v>461</v>
      </c>
    </row>
    <row r="386" spans="1:8" hidden="1" x14ac:dyDescent="0.55000000000000004">
      <c r="A386" s="13" t="s">
        <v>831</v>
      </c>
      <c r="B386" s="14"/>
      <c r="C386" s="14" t="s">
        <v>832</v>
      </c>
      <c r="D386" s="14" t="s">
        <v>831</v>
      </c>
      <c r="E386" s="14" t="s">
        <v>48</v>
      </c>
      <c r="F386" s="15">
        <v>2.08</v>
      </c>
      <c r="G386" s="14" t="s">
        <v>460</v>
      </c>
      <c r="H386" s="19" t="s">
        <v>833</v>
      </c>
    </row>
    <row r="387" spans="1:8" hidden="1" x14ac:dyDescent="0.55000000000000004">
      <c r="A387" s="42" t="s">
        <v>41</v>
      </c>
      <c r="B387" s="43"/>
      <c r="C387" s="43" t="s">
        <v>834</v>
      </c>
      <c r="D387" s="42" t="s">
        <v>41</v>
      </c>
      <c r="E387" s="43" t="s">
        <v>48</v>
      </c>
      <c r="F387" s="44">
        <v>0.17208333333333334</v>
      </c>
      <c r="G387" s="43" t="s">
        <v>460</v>
      </c>
      <c r="H387" s="45" t="s">
        <v>833</v>
      </c>
    </row>
    <row r="388" spans="1:8" hidden="1" x14ac:dyDescent="0.55000000000000004">
      <c r="A388" s="13" t="s">
        <v>835</v>
      </c>
      <c r="B388" s="14"/>
      <c r="C388" s="14" t="s">
        <v>836</v>
      </c>
      <c r="D388" s="14" t="s">
        <v>835</v>
      </c>
      <c r="E388" s="14" t="s">
        <v>48</v>
      </c>
      <c r="F388" s="15">
        <v>0.38</v>
      </c>
      <c r="G388" s="14" t="s">
        <v>460</v>
      </c>
      <c r="H388" s="19" t="s">
        <v>833</v>
      </c>
    </row>
    <row r="389" spans="1:8" hidden="1" x14ac:dyDescent="0.55000000000000004">
      <c r="A389" s="13" t="s">
        <v>837</v>
      </c>
      <c r="B389" s="14"/>
      <c r="C389" s="14"/>
      <c r="D389" s="13" t="s">
        <v>837</v>
      </c>
      <c r="E389" s="14" t="s">
        <v>48</v>
      </c>
      <c r="F389" s="15">
        <v>0.38750000000000001</v>
      </c>
      <c r="G389" s="14" t="s">
        <v>460</v>
      </c>
      <c r="H389" s="19" t="s">
        <v>833</v>
      </c>
    </row>
    <row r="390" spans="1:8" hidden="1" x14ac:dyDescent="0.55000000000000004">
      <c r="A390" s="13" t="s">
        <v>838</v>
      </c>
      <c r="B390" s="14"/>
      <c r="C390" s="14"/>
      <c r="D390" s="14" t="s">
        <v>838</v>
      </c>
      <c r="E390" s="14" t="s">
        <v>156</v>
      </c>
      <c r="F390" s="15">
        <v>3.9711191335740068E-2</v>
      </c>
      <c r="G390" s="14" t="s">
        <v>172</v>
      </c>
      <c r="H390" s="19" t="s">
        <v>839</v>
      </c>
    </row>
    <row r="391" spans="1:8" hidden="1" x14ac:dyDescent="0.55000000000000004">
      <c r="A391" s="13" t="s">
        <v>840</v>
      </c>
      <c r="B391" s="14"/>
      <c r="C391" s="14" t="s">
        <v>841</v>
      </c>
      <c r="D391" s="14" t="s">
        <v>840</v>
      </c>
      <c r="E391" s="14" t="s">
        <v>156</v>
      </c>
      <c r="F391" s="15">
        <v>4.3090000000000003E-2</v>
      </c>
      <c r="G391" s="14" t="s">
        <v>172</v>
      </c>
      <c r="H391" s="19" t="s">
        <v>839</v>
      </c>
    </row>
    <row r="392" spans="1:8" hidden="1" x14ac:dyDescent="0.55000000000000004">
      <c r="A392" s="13" t="s">
        <v>109</v>
      </c>
      <c r="B392" s="14"/>
      <c r="C392" s="14" t="s">
        <v>842</v>
      </c>
      <c r="D392" s="14" t="s">
        <v>109</v>
      </c>
      <c r="E392" s="14" t="s">
        <v>156</v>
      </c>
      <c r="F392" s="15">
        <v>3.2786885245901641E-2</v>
      </c>
      <c r="G392" s="14" t="s">
        <v>172</v>
      </c>
      <c r="H392" s="19" t="s">
        <v>839</v>
      </c>
    </row>
    <row r="393" spans="1:8" hidden="1" x14ac:dyDescent="0.55000000000000004">
      <c r="A393" s="13" t="s">
        <v>843</v>
      </c>
      <c r="B393" s="14"/>
      <c r="C393" s="14" t="s">
        <v>844</v>
      </c>
      <c r="D393" s="14" t="s">
        <v>843</v>
      </c>
      <c r="E393" s="14" t="s">
        <v>156</v>
      </c>
      <c r="F393" s="15">
        <v>3.1E-2</v>
      </c>
      <c r="G393" s="14" t="s">
        <v>172</v>
      </c>
      <c r="H393" s="19" t="s">
        <v>839</v>
      </c>
    </row>
    <row r="394" spans="1:8" hidden="1" x14ac:dyDescent="0.55000000000000004">
      <c r="A394" s="13" t="s">
        <v>845</v>
      </c>
      <c r="B394" s="14"/>
      <c r="C394" s="14" t="s">
        <v>846</v>
      </c>
      <c r="D394" s="14" t="s">
        <v>845</v>
      </c>
      <c r="E394" s="14" t="s">
        <v>156</v>
      </c>
      <c r="F394" s="15">
        <v>9.3198992443324927E-2</v>
      </c>
      <c r="G394" s="14" t="s">
        <v>172</v>
      </c>
      <c r="H394" s="19" t="s">
        <v>839</v>
      </c>
    </row>
    <row r="395" spans="1:8" hidden="1" x14ac:dyDescent="0.55000000000000004">
      <c r="A395" s="13" t="s">
        <v>847</v>
      </c>
      <c r="B395" s="14"/>
      <c r="C395" s="14" t="s">
        <v>848</v>
      </c>
      <c r="D395" s="14" t="s">
        <v>847</v>
      </c>
      <c r="E395" s="14" t="s">
        <v>156</v>
      </c>
      <c r="F395" s="15">
        <v>0.14499999999999999</v>
      </c>
      <c r="G395" s="14" t="s">
        <v>172</v>
      </c>
      <c r="H395" s="19" t="s">
        <v>839</v>
      </c>
    </row>
    <row r="396" spans="1:8" hidden="1" x14ac:dyDescent="0.55000000000000004">
      <c r="A396" s="13" t="s">
        <v>849</v>
      </c>
      <c r="B396" s="14"/>
      <c r="C396" s="14" t="s">
        <v>850</v>
      </c>
      <c r="D396" s="14" t="s">
        <v>849</v>
      </c>
      <c r="E396" s="14" t="s">
        <v>156</v>
      </c>
      <c r="F396" s="15">
        <v>2.5000000000000001E-2</v>
      </c>
      <c r="G396" s="14" t="s">
        <v>172</v>
      </c>
      <c r="H396" s="19" t="s">
        <v>839</v>
      </c>
    </row>
    <row r="397" spans="1:8" hidden="1" x14ac:dyDescent="0.55000000000000004">
      <c r="A397" s="13" t="s">
        <v>851</v>
      </c>
      <c r="B397" s="14"/>
      <c r="C397" s="14" t="s">
        <v>852</v>
      </c>
      <c r="D397" s="14" t="s">
        <v>853</v>
      </c>
      <c r="E397" s="14" t="s">
        <v>156</v>
      </c>
      <c r="F397" s="15">
        <v>0.115</v>
      </c>
      <c r="G397" s="14" t="s">
        <v>172</v>
      </c>
      <c r="H397" s="19" t="s">
        <v>839</v>
      </c>
    </row>
    <row r="398" spans="1:8" hidden="1" x14ac:dyDescent="0.55000000000000004">
      <c r="A398" s="13" t="s">
        <v>854</v>
      </c>
      <c r="B398" s="14"/>
      <c r="C398" s="14" t="s">
        <v>855</v>
      </c>
      <c r="D398" s="14" t="s">
        <v>854</v>
      </c>
      <c r="E398" s="14" t="s">
        <v>156</v>
      </c>
      <c r="F398" s="15">
        <v>7.7499999999999999E-2</v>
      </c>
      <c r="G398" s="14" t="s">
        <v>172</v>
      </c>
      <c r="H398" s="19" t="s">
        <v>839</v>
      </c>
    </row>
    <row r="399" spans="1:8" hidden="1" x14ac:dyDescent="0.55000000000000004">
      <c r="A399" s="13" t="s">
        <v>856</v>
      </c>
      <c r="B399" s="14"/>
      <c r="C399" s="14" t="s">
        <v>857</v>
      </c>
      <c r="D399" s="14" t="s">
        <v>856</v>
      </c>
      <c r="E399" s="14" t="s">
        <v>156</v>
      </c>
      <c r="F399" s="15">
        <v>9.5000000000000001E-2</v>
      </c>
      <c r="G399" s="14" t="s">
        <v>172</v>
      </c>
      <c r="H399" s="19" t="s">
        <v>839</v>
      </c>
    </row>
    <row r="400" spans="1:8" hidden="1" x14ac:dyDescent="0.55000000000000004">
      <c r="A400" s="13" t="s">
        <v>858</v>
      </c>
      <c r="B400" s="14"/>
      <c r="C400" s="14" t="s">
        <v>859</v>
      </c>
      <c r="D400" s="14" t="s">
        <v>858</v>
      </c>
      <c r="E400" s="14" t="s">
        <v>156</v>
      </c>
      <c r="F400" s="15">
        <v>2.7E-2</v>
      </c>
      <c r="G400" s="14" t="s">
        <v>172</v>
      </c>
      <c r="H400" s="19" t="s">
        <v>860</v>
      </c>
    </row>
    <row r="401" spans="1:8" hidden="1" x14ac:dyDescent="0.55000000000000004">
      <c r="A401" s="13" t="s">
        <v>861</v>
      </c>
      <c r="B401" s="14"/>
      <c r="C401" s="14" t="s">
        <v>862</v>
      </c>
      <c r="D401" s="14" t="s">
        <v>861</v>
      </c>
      <c r="E401" s="14" t="s">
        <v>48</v>
      </c>
      <c r="F401" s="15">
        <v>0.48299999999999998</v>
      </c>
      <c r="G401" s="14" t="s">
        <v>146</v>
      </c>
      <c r="H401" s="19" t="s">
        <v>860</v>
      </c>
    </row>
    <row r="402" spans="1:8" hidden="1" x14ac:dyDescent="0.55000000000000004">
      <c r="A402" s="13" t="s">
        <v>77</v>
      </c>
      <c r="B402" s="14"/>
      <c r="C402" s="14" t="s">
        <v>863</v>
      </c>
      <c r="D402" s="14" t="s">
        <v>77</v>
      </c>
      <c r="E402" s="14" t="s">
        <v>156</v>
      </c>
      <c r="F402" s="15">
        <v>1.3730000000000001E-2</v>
      </c>
      <c r="G402" s="14" t="s">
        <v>172</v>
      </c>
      <c r="H402" s="19" t="s">
        <v>860</v>
      </c>
    </row>
    <row r="403" spans="1:8" hidden="1" x14ac:dyDescent="0.55000000000000004">
      <c r="A403" s="13" t="s">
        <v>864</v>
      </c>
      <c r="B403" s="14"/>
      <c r="C403" s="14" t="s">
        <v>865</v>
      </c>
      <c r="D403" s="14" t="s">
        <v>864</v>
      </c>
      <c r="E403" s="14" t="s">
        <v>156</v>
      </c>
      <c r="F403" s="15">
        <v>0.05</v>
      </c>
      <c r="G403" s="14" t="s">
        <v>172</v>
      </c>
      <c r="H403" s="19" t="s">
        <v>860</v>
      </c>
    </row>
    <row r="404" spans="1:8" hidden="1" x14ac:dyDescent="0.55000000000000004">
      <c r="A404" s="13" t="s">
        <v>866</v>
      </c>
      <c r="B404" s="14"/>
      <c r="C404" s="14" t="s">
        <v>867</v>
      </c>
      <c r="D404" s="14" t="s">
        <v>866</v>
      </c>
      <c r="E404" s="14" t="s">
        <v>156</v>
      </c>
      <c r="F404" s="15">
        <v>1.4500000000000001E-2</v>
      </c>
      <c r="G404" s="14" t="s">
        <v>172</v>
      </c>
      <c r="H404" s="19" t="s">
        <v>860</v>
      </c>
    </row>
    <row r="405" spans="1:8" hidden="1" x14ac:dyDescent="0.55000000000000004">
      <c r="A405" s="13" t="s">
        <v>868</v>
      </c>
      <c r="B405" s="14"/>
      <c r="C405" s="14" t="s">
        <v>869</v>
      </c>
      <c r="D405" s="14" t="s">
        <v>868</v>
      </c>
      <c r="E405" s="14" t="s">
        <v>156</v>
      </c>
      <c r="F405" s="15">
        <v>2.185792349726776E-2</v>
      </c>
      <c r="G405" s="14" t="s">
        <v>172</v>
      </c>
      <c r="H405" s="19" t="s">
        <v>860</v>
      </c>
    </row>
    <row r="406" spans="1:8" hidden="1" x14ac:dyDescent="0.55000000000000004">
      <c r="A406" s="13" t="s">
        <v>105</v>
      </c>
      <c r="B406" s="14"/>
      <c r="C406" s="14" t="s">
        <v>870</v>
      </c>
      <c r="D406" s="14" t="s">
        <v>105</v>
      </c>
      <c r="E406" s="14" t="s">
        <v>156</v>
      </c>
      <c r="F406" s="15">
        <v>1.4166666666666666E-2</v>
      </c>
      <c r="G406" s="14" t="s">
        <v>172</v>
      </c>
      <c r="H406" s="19" t="s">
        <v>860</v>
      </c>
    </row>
    <row r="407" spans="1:8" hidden="1" x14ac:dyDescent="0.55000000000000004">
      <c r="A407" s="13" t="s">
        <v>80</v>
      </c>
      <c r="B407" s="14"/>
      <c r="C407" s="14" t="s">
        <v>871</v>
      </c>
      <c r="D407" s="14" t="s">
        <v>80</v>
      </c>
      <c r="E407" s="14" t="s">
        <v>156</v>
      </c>
      <c r="F407" s="15">
        <v>3.0357142857142853E-2</v>
      </c>
      <c r="G407" s="14" t="s">
        <v>172</v>
      </c>
      <c r="H407" s="19" t="s">
        <v>860</v>
      </c>
    </row>
    <row r="408" spans="1:8" hidden="1" x14ac:dyDescent="0.55000000000000004">
      <c r="A408" s="13" t="s">
        <v>872</v>
      </c>
      <c r="B408" s="14"/>
      <c r="C408" s="14" t="s">
        <v>873</v>
      </c>
      <c r="D408" s="14" t="s">
        <v>872</v>
      </c>
      <c r="E408" s="14" t="s">
        <v>156</v>
      </c>
      <c r="F408" s="15">
        <v>1.095E-2</v>
      </c>
      <c r="G408" s="14" t="s">
        <v>172</v>
      </c>
      <c r="H408" s="19" t="s">
        <v>860</v>
      </c>
    </row>
    <row r="409" spans="1:8" hidden="1" x14ac:dyDescent="0.55000000000000004">
      <c r="A409" s="13" t="s">
        <v>874</v>
      </c>
      <c r="B409" s="14"/>
      <c r="C409" s="14" t="s">
        <v>875</v>
      </c>
      <c r="D409" s="14" t="s">
        <v>874</v>
      </c>
      <c r="E409" s="14" t="s">
        <v>156</v>
      </c>
      <c r="F409" s="15">
        <v>1.478E-2</v>
      </c>
      <c r="G409" s="14" t="s">
        <v>172</v>
      </c>
      <c r="H409" s="19" t="s">
        <v>860</v>
      </c>
    </row>
    <row r="410" spans="1:8" hidden="1" x14ac:dyDescent="0.55000000000000004">
      <c r="A410" s="13" t="s">
        <v>876</v>
      </c>
      <c r="B410" s="14"/>
      <c r="C410" s="14" t="s">
        <v>877</v>
      </c>
      <c r="D410" s="14" t="s">
        <v>878</v>
      </c>
      <c r="E410" s="14" t="s">
        <v>156</v>
      </c>
      <c r="F410" s="15">
        <v>1.43E-2</v>
      </c>
      <c r="G410" s="14" t="s">
        <v>172</v>
      </c>
      <c r="H410" s="19" t="s">
        <v>860</v>
      </c>
    </row>
    <row r="411" spans="1:8" hidden="1" x14ac:dyDescent="0.55000000000000004">
      <c r="A411" s="13" t="s">
        <v>879</v>
      </c>
      <c r="B411" s="14"/>
      <c r="C411" s="14" t="s">
        <v>880</v>
      </c>
      <c r="D411" s="14" t="s">
        <v>879</v>
      </c>
      <c r="E411" s="14" t="s">
        <v>156</v>
      </c>
      <c r="F411" s="15">
        <v>2.1999999999999999E-2</v>
      </c>
      <c r="G411" s="14" t="s">
        <v>172</v>
      </c>
      <c r="H411" s="19" t="s">
        <v>860</v>
      </c>
    </row>
    <row r="412" spans="1:8" hidden="1" x14ac:dyDescent="0.55000000000000004">
      <c r="A412" s="13" t="s">
        <v>881</v>
      </c>
      <c r="B412" s="14"/>
      <c r="C412" s="14" t="s">
        <v>882</v>
      </c>
      <c r="D412" s="14" t="s">
        <v>881</v>
      </c>
      <c r="E412" s="14" t="s">
        <v>156</v>
      </c>
      <c r="F412" s="15">
        <v>0.2</v>
      </c>
      <c r="G412" s="14" t="s">
        <v>172</v>
      </c>
      <c r="H412" s="19" t="s">
        <v>883</v>
      </c>
    </row>
    <row r="413" spans="1:8" hidden="1" x14ac:dyDescent="0.55000000000000004">
      <c r="A413" s="13" t="s">
        <v>884</v>
      </c>
      <c r="B413" s="14"/>
      <c r="C413" s="14" t="s">
        <v>885</v>
      </c>
      <c r="D413" s="14" t="s">
        <v>884</v>
      </c>
      <c r="E413" s="14" t="s">
        <v>156</v>
      </c>
      <c r="F413" s="15">
        <v>0.05</v>
      </c>
      <c r="G413" s="14" t="s">
        <v>172</v>
      </c>
      <c r="H413" s="19" t="s">
        <v>883</v>
      </c>
    </row>
    <row r="414" spans="1:8" hidden="1" x14ac:dyDescent="0.55000000000000004">
      <c r="A414" s="13" t="s">
        <v>68</v>
      </c>
      <c r="B414" s="14"/>
      <c r="C414" s="14" t="s">
        <v>886</v>
      </c>
      <c r="D414" s="14" t="s">
        <v>68</v>
      </c>
      <c r="E414" s="14" t="s">
        <v>156</v>
      </c>
      <c r="F414" s="15">
        <v>0.15</v>
      </c>
      <c r="G414" s="14" t="s">
        <v>172</v>
      </c>
      <c r="H414" s="19" t="s">
        <v>883</v>
      </c>
    </row>
    <row r="415" spans="1:8" hidden="1" x14ac:dyDescent="0.55000000000000004">
      <c r="A415" s="13" t="s">
        <v>887</v>
      </c>
      <c r="B415" s="14"/>
      <c r="C415" s="14" t="s">
        <v>888</v>
      </c>
      <c r="D415" s="14" t="s">
        <v>887</v>
      </c>
      <c r="E415" s="14" t="s">
        <v>156</v>
      </c>
      <c r="F415" s="15">
        <v>4.2000000000000003E-2</v>
      </c>
      <c r="G415" s="14" t="s">
        <v>172</v>
      </c>
      <c r="H415" s="19" t="s">
        <v>883</v>
      </c>
    </row>
    <row r="416" spans="1:8" hidden="1" x14ac:dyDescent="0.55000000000000004">
      <c r="A416" s="13" t="s">
        <v>889</v>
      </c>
      <c r="B416" s="14"/>
      <c r="C416" s="14" t="s">
        <v>890</v>
      </c>
      <c r="D416" s="14" t="s">
        <v>889</v>
      </c>
      <c r="E416" s="14" t="s">
        <v>156</v>
      </c>
      <c r="F416" s="15">
        <v>2.9000000000000001E-2</v>
      </c>
      <c r="G416" s="14" t="s">
        <v>172</v>
      </c>
      <c r="H416" s="19" t="s">
        <v>883</v>
      </c>
    </row>
    <row r="417" spans="1:8" hidden="1" x14ac:dyDescent="0.55000000000000004">
      <c r="A417" s="13" t="s">
        <v>891</v>
      </c>
      <c r="B417" s="14"/>
      <c r="C417" s="14" t="s">
        <v>892</v>
      </c>
      <c r="D417" s="14" t="s">
        <v>891</v>
      </c>
      <c r="E417" s="14" t="s">
        <v>156</v>
      </c>
      <c r="F417" s="15">
        <v>0.02</v>
      </c>
      <c r="G417" s="14" t="s">
        <v>172</v>
      </c>
      <c r="H417" s="19" t="s">
        <v>883</v>
      </c>
    </row>
    <row r="418" spans="1:8" hidden="1" x14ac:dyDescent="0.55000000000000004">
      <c r="A418" s="13" t="s">
        <v>893</v>
      </c>
      <c r="B418" s="14"/>
      <c r="C418" s="14" t="s">
        <v>894</v>
      </c>
      <c r="D418" s="14" t="s">
        <v>893</v>
      </c>
      <c r="E418" s="14" t="s">
        <v>156</v>
      </c>
      <c r="F418" s="15">
        <v>2.6109999999999998E-2</v>
      </c>
      <c r="G418" s="14" t="s">
        <v>172</v>
      </c>
      <c r="H418" s="19" t="s">
        <v>883</v>
      </c>
    </row>
    <row r="419" spans="1:8" hidden="1" x14ac:dyDescent="0.55000000000000004">
      <c r="A419" s="13" t="s">
        <v>895</v>
      </c>
      <c r="B419" s="14"/>
      <c r="C419" s="14" t="s">
        <v>896</v>
      </c>
      <c r="D419" s="14" t="s">
        <v>895</v>
      </c>
      <c r="E419" s="14" t="s">
        <v>156</v>
      </c>
      <c r="F419" s="15">
        <v>2.75E-2</v>
      </c>
      <c r="G419" s="14" t="s">
        <v>172</v>
      </c>
      <c r="H419" s="19" t="s">
        <v>883</v>
      </c>
    </row>
    <row r="420" spans="1:8" hidden="1" x14ac:dyDescent="0.55000000000000004">
      <c r="A420" s="13" t="s">
        <v>53</v>
      </c>
      <c r="B420" s="14"/>
      <c r="C420" s="14" t="s">
        <v>897</v>
      </c>
      <c r="D420" s="13" t="s">
        <v>53</v>
      </c>
      <c r="E420" s="14" t="s">
        <v>156</v>
      </c>
      <c r="F420" s="15">
        <v>4.2630057803468215E-2</v>
      </c>
      <c r="G420" s="14" t="s">
        <v>172</v>
      </c>
      <c r="H420" s="19" t="s">
        <v>883</v>
      </c>
    </row>
    <row r="421" spans="1:8" hidden="1" x14ac:dyDescent="0.55000000000000004">
      <c r="A421" s="13" t="s">
        <v>113</v>
      </c>
      <c r="B421" s="14"/>
      <c r="C421" s="14" t="s">
        <v>898</v>
      </c>
      <c r="D421" s="14" t="s">
        <v>113</v>
      </c>
      <c r="E421" s="14" t="s">
        <v>156</v>
      </c>
      <c r="F421" s="15">
        <v>8.4705882352941173E-2</v>
      </c>
      <c r="G421" s="14" t="s">
        <v>172</v>
      </c>
      <c r="H421" s="19" t="s">
        <v>883</v>
      </c>
    </row>
    <row r="422" spans="1:8" hidden="1" x14ac:dyDescent="0.55000000000000004">
      <c r="A422" s="13" t="s">
        <v>899</v>
      </c>
      <c r="B422" s="14"/>
      <c r="C422" s="14" t="s">
        <v>900</v>
      </c>
      <c r="D422" s="14" t="s">
        <v>899</v>
      </c>
      <c r="E422" s="14" t="s">
        <v>156</v>
      </c>
      <c r="F422" s="15">
        <v>0.02</v>
      </c>
      <c r="G422" s="14" t="s">
        <v>172</v>
      </c>
      <c r="H422" s="19" t="s">
        <v>883</v>
      </c>
    </row>
    <row r="423" spans="1:8" hidden="1" x14ac:dyDescent="0.55000000000000004">
      <c r="A423" s="13" t="s">
        <v>901</v>
      </c>
      <c r="B423" s="14"/>
      <c r="C423" s="14" t="s">
        <v>902</v>
      </c>
      <c r="D423" s="14" t="s">
        <v>901</v>
      </c>
      <c r="E423" s="14" t="s">
        <v>48</v>
      </c>
      <c r="F423" s="15">
        <v>1.04</v>
      </c>
      <c r="G423" s="14" t="s">
        <v>172</v>
      </c>
      <c r="H423" s="19" t="s">
        <v>883</v>
      </c>
    </row>
    <row r="424" spans="1:8" hidden="1" x14ac:dyDescent="0.55000000000000004">
      <c r="A424" s="13" t="s">
        <v>903</v>
      </c>
      <c r="B424" s="14"/>
      <c r="C424" s="14" t="s">
        <v>904</v>
      </c>
      <c r="D424" s="14" t="s">
        <v>903</v>
      </c>
      <c r="E424" s="14" t="s">
        <v>156</v>
      </c>
      <c r="F424" s="15">
        <v>1.6E-2</v>
      </c>
      <c r="G424" s="14" t="s">
        <v>172</v>
      </c>
      <c r="H424" s="19" t="s">
        <v>883</v>
      </c>
    </row>
    <row r="425" spans="1:8" hidden="1" x14ac:dyDescent="0.55000000000000004">
      <c r="A425" s="13" t="s">
        <v>905</v>
      </c>
      <c r="B425" s="14"/>
      <c r="C425" s="14" t="s">
        <v>906</v>
      </c>
      <c r="D425" s="14" t="s">
        <v>905</v>
      </c>
      <c r="E425" s="14" t="s">
        <v>156</v>
      </c>
      <c r="F425" s="15">
        <v>6.2E-2</v>
      </c>
      <c r="G425" s="14" t="s">
        <v>172</v>
      </c>
      <c r="H425" s="19" t="s">
        <v>883</v>
      </c>
    </row>
    <row r="426" spans="1:8" hidden="1" x14ac:dyDescent="0.55000000000000004">
      <c r="A426" s="13" t="s">
        <v>907</v>
      </c>
      <c r="B426" s="14"/>
      <c r="C426" s="14" t="s">
        <v>908</v>
      </c>
      <c r="D426" s="14" t="s">
        <v>907</v>
      </c>
      <c r="E426" s="14" t="s">
        <v>156</v>
      </c>
      <c r="F426" s="15">
        <v>5.5E-2</v>
      </c>
      <c r="G426" s="14" t="s">
        <v>172</v>
      </c>
      <c r="H426" s="19" t="s">
        <v>883</v>
      </c>
    </row>
    <row r="427" spans="1:8" hidden="1" x14ac:dyDescent="0.55000000000000004">
      <c r="A427" s="13" t="s">
        <v>909</v>
      </c>
      <c r="B427" s="14"/>
      <c r="C427" s="14" t="s">
        <v>910</v>
      </c>
      <c r="D427" s="14" t="s">
        <v>909</v>
      </c>
      <c r="E427" s="14" t="s">
        <v>156</v>
      </c>
      <c r="F427" s="15">
        <v>8.7272727272727266E-2</v>
      </c>
      <c r="G427" s="14" t="s">
        <v>172</v>
      </c>
      <c r="H427" s="19" t="s">
        <v>883</v>
      </c>
    </row>
    <row r="428" spans="1:8" hidden="1" x14ac:dyDescent="0.55000000000000004">
      <c r="A428" s="13" t="s">
        <v>66</v>
      </c>
      <c r="B428" s="14"/>
      <c r="C428" s="14" t="s">
        <v>911</v>
      </c>
      <c r="D428" s="14" t="s">
        <v>66</v>
      </c>
      <c r="E428" s="14" t="s">
        <v>156</v>
      </c>
      <c r="F428" s="15">
        <v>2.3699999999999999E-2</v>
      </c>
      <c r="G428" s="14" t="s">
        <v>172</v>
      </c>
      <c r="H428" s="19" t="s">
        <v>883</v>
      </c>
    </row>
    <row r="429" spans="1:8" hidden="1" x14ac:dyDescent="0.55000000000000004">
      <c r="A429" s="13" t="s">
        <v>103</v>
      </c>
      <c r="B429" s="14"/>
      <c r="C429" s="14" t="s">
        <v>912</v>
      </c>
      <c r="D429" s="14" t="s">
        <v>103</v>
      </c>
      <c r="E429" s="14" t="s">
        <v>156</v>
      </c>
      <c r="F429" s="15">
        <v>3.2000000000000001E-2</v>
      </c>
      <c r="G429" s="14" t="s">
        <v>913</v>
      </c>
      <c r="H429" s="19" t="s">
        <v>914</v>
      </c>
    </row>
    <row r="430" spans="1:8" hidden="1" x14ac:dyDescent="0.55000000000000004">
      <c r="A430" s="13" t="s">
        <v>915</v>
      </c>
      <c r="B430" s="14"/>
      <c r="C430" s="14" t="s">
        <v>916</v>
      </c>
      <c r="D430" s="14" t="s">
        <v>915</v>
      </c>
      <c r="E430" s="14" t="s">
        <v>156</v>
      </c>
      <c r="F430" s="15">
        <v>0.11666666666666667</v>
      </c>
      <c r="G430" s="14" t="s">
        <v>200</v>
      </c>
      <c r="H430" s="19" t="s">
        <v>914</v>
      </c>
    </row>
    <row r="431" spans="1:8" hidden="1" x14ac:dyDescent="0.55000000000000004">
      <c r="A431" s="13" t="s">
        <v>917</v>
      </c>
      <c r="B431" s="14"/>
      <c r="C431" s="14" t="s">
        <v>918</v>
      </c>
      <c r="D431" s="14" t="s">
        <v>917</v>
      </c>
      <c r="E431" s="14" t="s">
        <v>156</v>
      </c>
      <c r="F431" s="15">
        <v>0.06</v>
      </c>
      <c r="G431" s="14" t="s">
        <v>200</v>
      </c>
      <c r="H431" s="19" t="s">
        <v>914</v>
      </c>
    </row>
    <row r="432" spans="1:8" hidden="1" x14ac:dyDescent="0.55000000000000004">
      <c r="A432" s="13" t="s">
        <v>919</v>
      </c>
      <c r="B432" s="14"/>
      <c r="C432" s="14" t="s">
        <v>920</v>
      </c>
      <c r="D432" s="14" t="s">
        <v>919</v>
      </c>
      <c r="E432" s="14" t="s">
        <v>156</v>
      </c>
      <c r="F432" s="15">
        <v>0.03</v>
      </c>
      <c r="G432" s="14" t="s">
        <v>200</v>
      </c>
      <c r="H432" s="19" t="s">
        <v>914</v>
      </c>
    </row>
    <row r="433" spans="1:8" hidden="1" x14ac:dyDescent="0.55000000000000004">
      <c r="A433" s="13" t="s">
        <v>921</v>
      </c>
      <c r="B433" s="14"/>
      <c r="C433" s="14" t="s">
        <v>922</v>
      </c>
      <c r="D433" s="14" t="s">
        <v>921</v>
      </c>
      <c r="E433" s="14" t="s">
        <v>48</v>
      </c>
      <c r="F433" s="15">
        <v>3.73</v>
      </c>
      <c r="G433" s="14" t="s">
        <v>146</v>
      </c>
      <c r="H433" s="19" t="s">
        <v>914</v>
      </c>
    </row>
    <row r="434" spans="1:8" hidden="1" x14ac:dyDescent="0.55000000000000004">
      <c r="A434" s="13" t="s">
        <v>923</v>
      </c>
      <c r="B434" s="14"/>
      <c r="C434" s="14" t="s">
        <v>924</v>
      </c>
      <c r="D434" s="14" t="s">
        <v>923</v>
      </c>
      <c r="E434" s="14" t="s">
        <v>156</v>
      </c>
      <c r="F434" s="15">
        <v>3.2000000000000001E-2</v>
      </c>
      <c r="G434" s="14" t="s">
        <v>172</v>
      </c>
      <c r="H434" s="19" t="s">
        <v>914</v>
      </c>
    </row>
    <row r="435" spans="1:8" hidden="1" x14ac:dyDescent="0.55000000000000004">
      <c r="A435" s="13" t="s">
        <v>925</v>
      </c>
      <c r="B435" s="14"/>
      <c r="C435" s="14" t="s">
        <v>926</v>
      </c>
      <c r="D435" s="14" t="s">
        <v>925</v>
      </c>
      <c r="E435" s="14" t="s">
        <v>156</v>
      </c>
      <c r="F435" s="15">
        <v>2.1755555555555552E-2</v>
      </c>
      <c r="G435" s="14" t="s">
        <v>172</v>
      </c>
      <c r="H435" s="19" t="s">
        <v>914</v>
      </c>
    </row>
    <row r="436" spans="1:8" hidden="1" x14ac:dyDescent="0.55000000000000004">
      <c r="A436" s="13" t="s">
        <v>927</v>
      </c>
      <c r="B436" s="14"/>
      <c r="C436" s="14" t="s">
        <v>928</v>
      </c>
      <c r="D436" s="14" t="s">
        <v>927</v>
      </c>
      <c r="E436" s="14" t="s">
        <v>156</v>
      </c>
      <c r="F436" s="15">
        <v>1.2E-2</v>
      </c>
      <c r="G436" s="14" t="s">
        <v>172</v>
      </c>
      <c r="H436" s="19" t="s">
        <v>914</v>
      </c>
    </row>
    <row r="437" spans="1:8" hidden="1" x14ac:dyDescent="0.55000000000000004">
      <c r="A437" s="13" t="s">
        <v>929</v>
      </c>
      <c r="B437" s="14"/>
      <c r="C437" s="14" t="s">
        <v>930</v>
      </c>
      <c r="D437" s="14" t="s">
        <v>929</v>
      </c>
      <c r="E437" s="14" t="s">
        <v>156</v>
      </c>
      <c r="F437" s="15">
        <v>2.245714285714286E-2</v>
      </c>
      <c r="G437" s="14" t="s">
        <v>172</v>
      </c>
      <c r="H437" s="19" t="s">
        <v>914</v>
      </c>
    </row>
    <row r="438" spans="1:8" hidden="1" x14ac:dyDescent="0.55000000000000004">
      <c r="A438" s="13" t="s">
        <v>128</v>
      </c>
      <c r="B438" s="14"/>
      <c r="C438" s="14" t="s">
        <v>931</v>
      </c>
      <c r="D438" s="14" t="s">
        <v>128</v>
      </c>
      <c r="E438" s="14" t="s">
        <v>156</v>
      </c>
      <c r="F438" s="15">
        <v>2.5000000000000001E-2</v>
      </c>
      <c r="G438" s="14" t="s">
        <v>172</v>
      </c>
      <c r="H438" s="19" t="s">
        <v>914</v>
      </c>
    </row>
    <row r="439" spans="1:8" hidden="1" x14ac:dyDescent="0.55000000000000004">
      <c r="A439" s="13" t="s">
        <v>932</v>
      </c>
      <c r="B439" s="14"/>
      <c r="C439" s="14" t="s">
        <v>933</v>
      </c>
      <c r="D439" s="14" t="s">
        <v>932</v>
      </c>
      <c r="E439" s="14" t="s">
        <v>156</v>
      </c>
      <c r="F439" s="15">
        <v>4.4999999999999997E-3</v>
      </c>
      <c r="G439" s="14" t="s">
        <v>172</v>
      </c>
      <c r="H439" s="19" t="s">
        <v>914</v>
      </c>
    </row>
    <row r="440" spans="1:8" hidden="1" x14ac:dyDescent="0.55000000000000004">
      <c r="A440" s="13" t="s">
        <v>934</v>
      </c>
      <c r="B440" s="14"/>
      <c r="C440" s="14" t="s">
        <v>935</v>
      </c>
      <c r="D440" s="14" t="s">
        <v>934</v>
      </c>
      <c r="E440" s="14" t="s">
        <v>156</v>
      </c>
      <c r="F440" s="15">
        <v>5.4000000000000003E-3</v>
      </c>
      <c r="G440" s="14" t="s">
        <v>172</v>
      </c>
      <c r="H440" s="19" t="s">
        <v>914</v>
      </c>
    </row>
    <row r="441" spans="1:8" hidden="1" x14ac:dyDescent="0.55000000000000004">
      <c r="A441" s="13" t="s">
        <v>123</v>
      </c>
      <c r="B441" s="14"/>
      <c r="C441" s="14" t="s">
        <v>936</v>
      </c>
      <c r="D441" s="14" t="s">
        <v>123</v>
      </c>
      <c r="E441" s="14" t="s">
        <v>156</v>
      </c>
      <c r="F441" s="15">
        <v>8.2249999999999997E-3</v>
      </c>
      <c r="G441" s="14" t="s">
        <v>172</v>
      </c>
      <c r="H441" s="19" t="s">
        <v>914</v>
      </c>
    </row>
    <row r="442" spans="1:8" hidden="1" x14ac:dyDescent="0.55000000000000004">
      <c r="A442" s="13" t="s">
        <v>133</v>
      </c>
      <c r="B442" s="14"/>
      <c r="C442" s="14" t="s">
        <v>937</v>
      </c>
      <c r="D442" s="14" t="s">
        <v>133</v>
      </c>
      <c r="E442" s="14" t="s">
        <v>156</v>
      </c>
      <c r="F442" s="15">
        <v>1.40625E-2</v>
      </c>
      <c r="G442" s="14" t="s">
        <v>172</v>
      </c>
      <c r="H442" s="19" t="s">
        <v>914</v>
      </c>
    </row>
    <row r="443" spans="1:8" hidden="1" x14ac:dyDescent="0.55000000000000004">
      <c r="A443" s="13" t="s">
        <v>938</v>
      </c>
      <c r="B443" s="14"/>
      <c r="C443" s="14" t="s">
        <v>939</v>
      </c>
      <c r="D443" s="14" t="s">
        <v>938</v>
      </c>
      <c r="E443" s="14" t="s">
        <v>156</v>
      </c>
      <c r="F443" s="15">
        <v>5.4999999999999997E-3</v>
      </c>
      <c r="G443" s="14" t="s">
        <v>172</v>
      </c>
      <c r="H443" s="19" t="s">
        <v>914</v>
      </c>
    </row>
    <row r="444" spans="1:8" hidden="1" x14ac:dyDescent="0.55000000000000004">
      <c r="A444" s="13" t="s">
        <v>940</v>
      </c>
      <c r="B444" s="14"/>
      <c r="C444" s="14" t="s">
        <v>941</v>
      </c>
      <c r="D444" s="14" t="s">
        <v>940</v>
      </c>
      <c r="E444" s="14" t="s">
        <v>156</v>
      </c>
      <c r="F444" s="15">
        <v>6.2500000000000003E-3</v>
      </c>
      <c r="G444" s="14" t="s">
        <v>172</v>
      </c>
      <c r="H444" s="19" t="s">
        <v>914</v>
      </c>
    </row>
    <row r="445" spans="1:8" hidden="1" x14ac:dyDescent="0.55000000000000004">
      <c r="A445" s="13" t="s">
        <v>942</v>
      </c>
      <c r="B445" s="14"/>
      <c r="C445" s="14" t="s">
        <v>943</v>
      </c>
      <c r="D445" s="14" t="s">
        <v>942</v>
      </c>
      <c r="E445" s="14" t="s">
        <v>156</v>
      </c>
      <c r="F445" s="15">
        <v>0.01</v>
      </c>
      <c r="G445" s="14" t="s">
        <v>172</v>
      </c>
      <c r="H445" s="19" t="s">
        <v>914</v>
      </c>
    </row>
    <row r="446" spans="1:8" hidden="1" x14ac:dyDescent="0.55000000000000004">
      <c r="A446" s="13" t="s">
        <v>129</v>
      </c>
      <c r="B446" s="14"/>
      <c r="C446" s="14" t="s">
        <v>944</v>
      </c>
      <c r="D446" s="14" t="s">
        <v>129</v>
      </c>
      <c r="E446" s="14" t="s">
        <v>156</v>
      </c>
      <c r="F446" s="15">
        <v>1.3125E-2</v>
      </c>
      <c r="G446" s="14" t="s">
        <v>172</v>
      </c>
      <c r="H446" s="19" t="s">
        <v>914</v>
      </c>
    </row>
    <row r="447" spans="1:8" hidden="1" x14ac:dyDescent="0.55000000000000004">
      <c r="A447" s="13" t="s">
        <v>108</v>
      </c>
      <c r="B447" s="14"/>
      <c r="C447" s="14" t="s">
        <v>945</v>
      </c>
      <c r="D447" s="14" t="s">
        <v>108</v>
      </c>
      <c r="E447" s="14" t="s">
        <v>156</v>
      </c>
      <c r="F447" s="15">
        <v>1.40625E-2</v>
      </c>
      <c r="G447" s="14" t="s">
        <v>172</v>
      </c>
      <c r="H447" s="19" t="s">
        <v>914</v>
      </c>
    </row>
    <row r="448" spans="1:8" hidden="1" x14ac:dyDescent="0.55000000000000004">
      <c r="A448" s="13" t="s">
        <v>946</v>
      </c>
      <c r="B448" s="14"/>
      <c r="C448" s="14" t="s">
        <v>947</v>
      </c>
      <c r="D448" s="14" t="s">
        <v>946</v>
      </c>
      <c r="E448" s="14" t="s">
        <v>156</v>
      </c>
      <c r="F448" s="15">
        <v>4.4999999999999998E-2</v>
      </c>
      <c r="G448" s="14" t="s">
        <v>172</v>
      </c>
      <c r="H448" s="19" t="s">
        <v>914</v>
      </c>
    </row>
    <row r="449" spans="1:8" hidden="1" x14ac:dyDescent="0.55000000000000004">
      <c r="A449" s="13" t="s">
        <v>948</v>
      </c>
      <c r="B449" s="14"/>
      <c r="C449" s="14" t="s">
        <v>949</v>
      </c>
      <c r="D449" s="14" t="s">
        <v>948</v>
      </c>
      <c r="E449" s="14" t="s">
        <v>156</v>
      </c>
      <c r="F449" s="15">
        <v>5.875E-3</v>
      </c>
      <c r="G449" s="14" t="s">
        <v>172</v>
      </c>
      <c r="H449" s="19" t="s">
        <v>914</v>
      </c>
    </row>
    <row r="450" spans="1:8" hidden="1" x14ac:dyDescent="0.55000000000000004">
      <c r="A450" s="13" t="s">
        <v>950</v>
      </c>
      <c r="B450" s="14"/>
      <c r="C450" s="14" t="s">
        <v>951</v>
      </c>
      <c r="D450" s="14" t="s">
        <v>950</v>
      </c>
      <c r="E450" s="14" t="s">
        <v>156</v>
      </c>
      <c r="F450" s="15">
        <v>4.2000000000000003E-2</v>
      </c>
      <c r="G450" s="14" t="s">
        <v>200</v>
      </c>
      <c r="H450" s="19" t="s">
        <v>914</v>
      </c>
    </row>
    <row r="451" spans="1:8" hidden="1" x14ac:dyDescent="0.55000000000000004">
      <c r="A451" s="13" t="s">
        <v>952</v>
      </c>
      <c r="B451" s="14"/>
      <c r="C451" s="14" t="s">
        <v>953</v>
      </c>
      <c r="D451" s="14" t="s">
        <v>952</v>
      </c>
      <c r="E451" s="14" t="s">
        <v>156</v>
      </c>
      <c r="F451" s="15">
        <v>3.7999999999999999E-2</v>
      </c>
      <c r="G451" s="14" t="s">
        <v>200</v>
      </c>
      <c r="H451" s="19" t="s">
        <v>914</v>
      </c>
    </row>
    <row r="452" spans="1:8" hidden="1" x14ac:dyDescent="0.55000000000000004">
      <c r="A452" s="13" t="s">
        <v>75</v>
      </c>
      <c r="B452" s="14"/>
      <c r="C452" s="14" t="s">
        <v>954</v>
      </c>
      <c r="D452" s="14" t="s">
        <v>75</v>
      </c>
      <c r="E452" s="14" t="s">
        <v>156</v>
      </c>
      <c r="F452" s="15">
        <v>1.2E-2</v>
      </c>
      <c r="G452" s="14" t="s">
        <v>200</v>
      </c>
      <c r="H452" s="19" t="s">
        <v>914</v>
      </c>
    </row>
    <row r="453" spans="1:8" hidden="1" x14ac:dyDescent="0.55000000000000004">
      <c r="A453" s="13" t="s">
        <v>955</v>
      </c>
      <c r="B453" s="14"/>
      <c r="C453" s="14" t="s">
        <v>956</v>
      </c>
      <c r="D453" s="14" t="s">
        <v>955</v>
      </c>
      <c r="E453" s="14" t="s">
        <v>156</v>
      </c>
      <c r="F453" s="15">
        <v>0.03</v>
      </c>
      <c r="G453" s="14" t="s">
        <v>200</v>
      </c>
      <c r="H453" s="19" t="s">
        <v>914</v>
      </c>
    </row>
    <row r="454" spans="1:8" hidden="1" x14ac:dyDescent="0.55000000000000004">
      <c r="A454" s="13" t="s">
        <v>957</v>
      </c>
      <c r="B454" s="14"/>
      <c r="C454" s="14" t="s">
        <v>958</v>
      </c>
      <c r="D454" s="14" t="s">
        <v>957</v>
      </c>
      <c r="E454" s="14" t="s">
        <v>156</v>
      </c>
      <c r="F454" s="15">
        <v>3.9E-2</v>
      </c>
      <c r="G454" s="14" t="s">
        <v>200</v>
      </c>
      <c r="H454" s="19" t="s">
        <v>914</v>
      </c>
    </row>
    <row r="455" spans="1:8" hidden="1" x14ac:dyDescent="0.55000000000000004">
      <c r="A455" s="13" t="s">
        <v>959</v>
      </c>
      <c r="B455" s="14"/>
      <c r="C455" s="14" t="s">
        <v>960</v>
      </c>
      <c r="D455" s="14" t="s">
        <v>959</v>
      </c>
      <c r="E455" s="14" t="s">
        <v>156</v>
      </c>
      <c r="F455" s="15">
        <v>0.3</v>
      </c>
      <c r="G455" s="14" t="s">
        <v>200</v>
      </c>
      <c r="H455" s="19" t="s">
        <v>914</v>
      </c>
    </row>
    <row r="456" spans="1:8" hidden="1" x14ac:dyDescent="0.55000000000000004">
      <c r="A456" s="13" t="s">
        <v>961</v>
      </c>
      <c r="B456" s="14"/>
      <c r="C456" s="14" t="s">
        <v>962</v>
      </c>
      <c r="D456" s="14" t="s">
        <v>961</v>
      </c>
      <c r="E456" s="14" t="s">
        <v>156</v>
      </c>
      <c r="F456" s="15">
        <v>3.7999999999999999E-2</v>
      </c>
      <c r="G456" s="14" t="s">
        <v>200</v>
      </c>
      <c r="H456" s="19" t="s">
        <v>914</v>
      </c>
    </row>
    <row r="457" spans="1:8" hidden="1" x14ac:dyDescent="0.55000000000000004">
      <c r="A457" s="13" t="s">
        <v>963</v>
      </c>
      <c r="B457" s="14"/>
      <c r="C457" s="14" t="s">
        <v>964</v>
      </c>
      <c r="D457" s="14" t="s">
        <v>963</v>
      </c>
      <c r="E457" s="14" t="s">
        <v>156</v>
      </c>
      <c r="F457" s="15">
        <v>5.3100000000000001E-2</v>
      </c>
      <c r="G457" s="14" t="s">
        <v>200</v>
      </c>
      <c r="H457" s="19" t="s">
        <v>914</v>
      </c>
    </row>
    <row r="458" spans="1:8" hidden="1" x14ac:dyDescent="0.55000000000000004">
      <c r="A458" s="13" t="s">
        <v>965</v>
      </c>
      <c r="B458" s="14"/>
      <c r="C458" s="14" t="s">
        <v>966</v>
      </c>
      <c r="D458" s="14" t="s">
        <v>965</v>
      </c>
      <c r="E458" s="14" t="s">
        <v>156</v>
      </c>
      <c r="F458" s="15">
        <v>2.5999999999999999E-2</v>
      </c>
      <c r="G458" s="14" t="s">
        <v>200</v>
      </c>
      <c r="H458" s="19" t="s">
        <v>914</v>
      </c>
    </row>
    <row r="459" spans="1:8" hidden="1" x14ac:dyDescent="0.55000000000000004">
      <c r="A459" s="13" t="s">
        <v>967</v>
      </c>
      <c r="B459" s="14"/>
      <c r="C459" s="14" t="s">
        <v>968</v>
      </c>
      <c r="D459" s="14" t="s">
        <v>967</v>
      </c>
      <c r="E459" s="14" t="s">
        <v>156</v>
      </c>
      <c r="F459" s="15">
        <v>7.0000000000000001E-3</v>
      </c>
      <c r="G459" s="14" t="s">
        <v>146</v>
      </c>
      <c r="H459" s="19" t="s">
        <v>914</v>
      </c>
    </row>
    <row r="460" spans="1:8" hidden="1" x14ac:dyDescent="0.55000000000000004">
      <c r="A460" s="13" t="s">
        <v>969</v>
      </c>
      <c r="B460" s="14"/>
      <c r="C460" s="14" t="s">
        <v>970</v>
      </c>
      <c r="D460" s="14" t="s">
        <v>969</v>
      </c>
      <c r="E460" s="14" t="s">
        <v>156</v>
      </c>
      <c r="F460" s="15">
        <v>7.8624078624078622E-2</v>
      </c>
      <c r="G460" s="14" t="s">
        <v>146</v>
      </c>
      <c r="H460" s="19" t="s">
        <v>914</v>
      </c>
    </row>
    <row r="461" spans="1:8" hidden="1" x14ac:dyDescent="0.55000000000000004">
      <c r="A461" s="13" t="s">
        <v>971</v>
      </c>
      <c r="B461" s="14"/>
      <c r="C461" s="14" t="s">
        <v>972</v>
      </c>
      <c r="D461" s="14" t="s">
        <v>971</v>
      </c>
      <c r="E461" s="14" t="s">
        <v>156</v>
      </c>
      <c r="F461" s="15">
        <v>0.04</v>
      </c>
      <c r="G461" s="14" t="s">
        <v>146</v>
      </c>
      <c r="H461" s="19" t="s">
        <v>914</v>
      </c>
    </row>
    <row r="462" spans="1:8" hidden="1" x14ac:dyDescent="0.55000000000000004">
      <c r="A462" s="13" t="s">
        <v>973</v>
      </c>
      <c r="B462" s="14"/>
      <c r="C462" s="14" t="s">
        <v>974</v>
      </c>
      <c r="D462" s="14" t="s">
        <v>973</v>
      </c>
      <c r="E462" s="14" t="s">
        <v>156</v>
      </c>
      <c r="F462" s="15">
        <v>4.9382716049382715E-3</v>
      </c>
      <c r="G462" s="14" t="s">
        <v>146</v>
      </c>
      <c r="H462" s="19" t="s">
        <v>914</v>
      </c>
    </row>
    <row r="463" spans="1:8" hidden="1" x14ac:dyDescent="0.55000000000000004">
      <c r="A463" s="13" t="s">
        <v>975</v>
      </c>
      <c r="B463" s="14"/>
      <c r="C463" s="14" t="s">
        <v>976</v>
      </c>
      <c r="D463" s="14" t="s">
        <v>975</v>
      </c>
      <c r="E463" s="14" t="s">
        <v>156</v>
      </c>
      <c r="F463" s="15">
        <v>7.717041800643086E-2</v>
      </c>
      <c r="G463" s="14" t="s">
        <v>146</v>
      </c>
      <c r="H463" s="19" t="s">
        <v>914</v>
      </c>
    </row>
    <row r="464" spans="1:8" hidden="1" x14ac:dyDescent="0.55000000000000004">
      <c r="A464" s="13" t="s">
        <v>977</v>
      </c>
      <c r="B464" s="14"/>
      <c r="C464" s="14" t="s">
        <v>978</v>
      </c>
      <c r="D464" s="14" t="s">
        <v>977</v>
      </c>
      <c r="E464" s="14" t="s">
        <v>156</v>
      </c>
      <c r="F464" s="15">
        <v>7.4226804123711326E-2</v>
      </c>
      <c r="G464" s="14" t="s">
        <v>146</v>
      </c>
      <c r="H464" s="19" t="s">
        <v>914</v>
      </c>
    </row>
    <row r="465" spans="1:8" hidden="1" x14ac:dyDescent="0.55000000000000004">
      <c r="A465" s="13" t="s">
        <v>979</v>
      </c>
      <c r="B465" s="14"/>
      <c r="C465" s="14" t="s">
        <v>980</v>
      </c>
      <c r="D465" s="14" t="s">
        <v>979</v>
      </c>
      <c r="E465" s="14" t="s">
        <v>156</v>
      </c>
      <c r="F465" s="15">
        <v>5.8616647127784291E-3</v>
      </c>
      <c r="G465" s="14" t="s">
        <v>146</v>
      </c>
      <c r="H465" s="19" t="s">
        <v>914</v>
      </c>
    </row>
    <row r="466" spans="1:8" hidden="1" x14ac:dyDescent="0.55000000000000004">
      <c r="A466" s="13" t="s">
        <v>981</v>
      </c>
      <c r="B466" s="14"/>
      <c r="C466" s="14" t="s">
        <v>982</v>
      </c>
      <c r="D466" s="14" t="s">
        <v>981</v>
      </c>
      <c r="E466" s="14" t="s">
        <v>156</v>
      </c>
      <c r="F466" s="15">
        <v>8.9999999999999993E-3</v>
      </c>
      <c r="G466" s="14" t="s">
        <v>146</v>
      </c>
      <c r="H466" s="19" t="s">
        <v>914</v>
      </c>
    </row>
    <row r="467" spans="1:8" hidden="1" x14ac:dyDescent="0.55000000000000004">
      <c r="A467" s="13" t="s">
        <v>983</v>
      </c>
      <c r="B467" s="14"/>
      <c r="C467" s="14" t="s">
        <v>984</v>
      </c>
      <c r="D467" s="14" t="s">
        <v>983</v>
      </c>
      <c r="E467" s="14" t="s">
        <v>156</v>
      </c>
      <c r="F467" s="15">
        <v>0.104</v>
      </c>
      <c r="G467" s="14" t="s">
        <v>146</v>
      </c>
      <c r="H467" s="19" t="s">
        <v>914</v>
      </c>
    </row>
    <row r="468" spans="1:8" hidden="1" x14ac:dyDescent="0.55000000000000004">
      <c r="A468" s="13" t="s">
        <v>985</v>
      </c>
      <c r="B468" s="14"/>
      <c r="C468" s="14" t="s">
        <v>986</v>
      </c>
      <c r="D468" s="14" t="s">
        <v>985</v>
      </c>
      <c r="E468" s="14" t="s">
        <v>156</v>
      </c>
      <c r="F468" s="15">
        <v>4.7789725209080054E-3</v>
      </c>
      <c r="G468" s="14" t="s">
        <v>146</v>
      </c>
      <c r="H468" s="19" t="s">
        <v>914</v>
      </c>
    </row>
    <row r="469" spans="1:8" hidden="1" x14ac:dyDescent="0.55000000000000004">
      <c r="A469" s="13" t="s">
        <v>987</v>
      </c>
      <c r="B469" s="14"/>
      <c r="C469" s="14" t="s">
        <v>988</v>
      </c>
      <c r="D469" s="14" t="s">
        <v>987</v>
      </c>
      <c r="E469" s="14" t="s">
        <v>156</v>
      </c>
      <c r="F469" s="15">
        <v>0.104</v>
      </c>
      <c r="G469" s="14" t="s">
        <v>146</v>
      </c>
      <c r="H469" s="19" t="s">
        <v>914</v>
      </c>
    </row>
    <row r="470" spans="1:8" hidden="1" x14ac:dyDescent="0.55000000000000004">
      <c r="A470" s="13" t="s">
        <v>989</v>
      </c>
      <c r="B470" s="14"/>
      <c r="C470" s="14" t="s">
        <v>990</v>
      </c>
      <c r="D470" s="14" t="s">
        <v>989</v>
      </c>
      <c r="E470" s="14" t="s">
        <v>156</v>
      </c>
      <c r="F470" s="15">
        <v>1.7789072426937738E-2</v>
      </c>
      <c r="G470" s="14" t="s">
        <v>146</v>
      </c>
      <c r="H470" s="19" t="s">
        <v>914</v>
      </c>
    </row>
    <row r="471" spans="1:8" hidden="1" x14ac:dyDescent="0.55000000000000004">
      <c r="A471" s="13" t="s">
        <v>79</v>
      </c>
      <c r="B471" s="14"/>
      <c r="C471" s="14" t="s">
        <v>991</v>
      </c>
      <c r="D471" s="14" t="s">
        <v>79</v>
      </c>
      <c r="E471" s="14" t="s">
        <v>156</v>
      </c>
      <c r="F471" s="15">
        <v>4.4576523031203555E-3</v>
      </c>
      <c r="G471" s="14" t="s">
        <v>146</v>
      </c>
      <c r="H471" s="19" t="s">
        <v>914</v>
      </c>
    </row>
    <row r="472" spans="1:8" hidden="1" x14ac:dyDescent="0.55000000000000004">
      <c r="A472" s="13" t="s">
        <v>992</v>
      </c>
      <c r="B472" s="14"/>
      <c r="C472" s="14" t="s">
        <v>993</v>
      </c>
      <c r="D472" s="14" t="s">
        <v>992</v>
      </c>
      <c r="E472" s="14" t="s">
        <v>156</v>
      </c>
      <c r="F472" s="15">
        <v>4.4929396662387669E-3</v>
      </c>
      <c r="G472" s="14" t="s">
        <v>146</v>
      </c>
      <c r="H472" s="19" t="s">
        <v>914</v>
      </c>
    </row>
    <row r="473" spans="1:8" hidden="1" x14ac:dyDescent="0.55000000000000004">
      <c r="A473" s="13" t="s">
        <v>132</v>
      </c>
      <c r="B473" s="14"/>
      <c r="C473" s="14" t="s">
        <v>994</v>
      </c>
      <c r="D473" s="14" t="s">
        <v>132</v>
      </c>
      <c r="E473" s="14" t="s">
        <v>156</v>
      </c>
      <c r="F473" s="15">
        <v>6.1417322834645665E-3</v>
      </c>
      <c r="G473" s="14" t="s">
        <v>146</v>
      </c>
      <c r="H473" s="19" t="s">
        <v>914</v>
      </c>
    </row>
    <row r="474" spans="1:8" hidden="1" x14ac:dyDescent="0.55000000000000004">
      <c r="A474" s="13" t="s">
        <v>37</v>
      </c>
      <c r="B474" s="14"/>
      <c r="C474" s="14" t="s">
        <v>995</v>
      </c>
      <c r="D474" s="14" t="s">
        <v>37</v>
      </c>
      <c r="E474" s="14" t="s">
        <v>156</v>
      </c>
      <c r="F474" s="15">
        <v>5.8139534883720938E-3</v>
      </c>
      <c r="G474" s="14" t="s">
        <v>146</v>
      </c>
      <c r="H474" s="19" t="s">
        <v>914</v>
      </c>
    </row>
    <row r="475" spans="1:8" hidden="1" x14ac:dyDescent="0.55000000000000004">
      <c r="A475" s="13" t="s">
        <v>996</v>
      </c>
      <c r="B475" s="14"/>
      <c r="C475" s="14" t="s">
        <v>997</v>
      </c>
      <c r="D475" s="14" t="s">
        <v>996</v>
      </c>
      <c r="E475" s="14" t="s">
        <v>156</v>
      </c>
      <c r="F475" s="15">
        <v>2.4971623155505111E-2</v>
      </c>
      <c r="G475" s="14" t="s">
        <v>146</v>
      </c>
      <c r="H475" s="19" t="s">
        <v>914</v>
      </c>
    </row>
    <row r="476" spans="1:8" hidden="1" x14ac:dyDescent="0.55000000000000004">
      <c r="A476" s="13" t="s">
        <v>998</v>
      </c>
      <c r="B476" s="14"/>
      <c r="C476" s="14" t="s">
        <v>999</v>
      </c>
      <c r="D476" s="14" t="s">
        <v>998</v>
      </c>
      <c r="E476" s="14" t="s">
        <v>156</v>
      </c>
      <c r="F476" s="15">
        <v>1.4E-2</v>
      </c>
      <c r="G476" s="14" t="s">
        <v>146</v>
      </c>
      <c r="H476" s="19" t="s">
        <v>914</v>
      </c>
    </row>
    <row r="477" spans="1:8" hidden="1" x14ac:dyDescent="0.55000000000000004">
      <c r="A477" s="13" t="s">
        <v>1000</v>
      </c>
      <c r="B477" s="14"/>
      <c r="C477" s="14" t="s">
        <v>1001</v>
      </c>
      <c r="D477" s="14" t="s">
        <v>1000</v>
      </c>
      <c r="E477" s="14" t="s">
        <v>156</v>
      </c>
      <c r="F477" s="15">
        <v>0.11</v>
      </c>
      <c r="G477" s="14" t="s">
        <v>146</v>
      </c>
      <c r="H477" s="19" t="s">
        <v>914</v>
      </c>
    </row>
    <row r="478" spans="1:8" hidden="1" x14ac:dyDescent="0.55000000000000004">
      <c r="A478" s="13" t="s">
        <v>90</v>
      </c>
      <c r="B478" s="14"/>
      <c r="C478" s="14" t="s">
        <v>1002</v>
      </c>
      <c r="D478" s="14" t="s">
        <v>90</v>
      </c>
      <c r="E478" s="14" t="s">
        <v>156</v>
      </c>
      <c r="F478" s="15">
        <v>9.3676814988290415E-3</v>
      </c>
      <c r="G478" s="14" t="s">
        <v>146</v>
      </c>
      <c r="H478" s="19" t="s">
        <v>914</v>
      </c>
    </row>
    <row r="479" spans="1:8" hidden="1" x14ac:dyDescent="0.55000000000000004">
      <c r="A479" s="13" t="s">
        <v>1003</v>
      </c>
      <c r="B479" s="14"/>
      <c r="C479" s="14" t="s">
        <v>1004</v>
      </c>
      <c r="D479" s="14" t="s">
        <v>1003</v>
      </c>
      <c r="E479" s="14" t="s">
        <v>156</v>
      </c>
      <c r="F479" s="15">
        <v>4.1469194312796203E-3</v>
      </c>
      <c r="G479" s="14" t="s">
        <v>146</v>
      </c>
      <c r="H479" s="19" t="s">
        <v>914</v>
      </c>
    </row>
    <row r="480" spans="1:8" hidden="1" x14ac:dyDescent="0.55000000000000004">
      <c r="A480" s="13" t="s">
        <v>1005</v>
      </c>
      <c r="B480" s="14"/>
      <c r="C480" s="14" t="s">
        <v>1006</v>
      </c>
      <c r="D480" s="14" t="s">
        <v>1005</v>
      </c>
      <c r="E480" s="14" t="s">
        <v>156</v>
      </c>
      <c r="F480" s="15">
        <v>4.8409405255878286E-2</v>
      </c>
      <c r="G480" s="14" t="s">
        <v>146</v>
      </c>
      <c r="H480" s="19" t="s">
        <v>914</v>
      </c>
    </row>
    <row r="481" spans="1:8" hidden="1" x14ac:dyDescent="0.55000000000000004">
      <c r="A481" s="13" t="s">
        <v>91</v>
      </c>
      <c r="B481" s="14"/>
      <c r="C481" s="14" t="s">
        <v>1007</v>
      </c>
      <c r="D481" s="14" t="s">
        <v>91</v>
      </c>
      <c r="E481" s="14" t="s">
        <v>156</v>
      </c>
      <c r="F481" s="15">
        <v>1.1428571428571429E-2</v>
      </c>
      <c r="G481" s="14" t="s">
        <v>146</v>
      </c>
      <c r="H481" s="19" t="s">
        <v>914</v>
      </c>
    </row>
    <row r="482" spans="1:8" hidden="1" x14ac:dyDescent="0.55000000000000004">
      <c r="A482" s="13" t="s">
        <v>104</v>
      </c>
      <c r="B482" s="14"/>
      <c r="C482" s="14" t="s">
        <v>1008</v>
      </c>
      <c r="D482" s="14" t="s">
        <v>104</v>
      </c>
      <c r="E482" s="14" t="s">
        <v>156</v>
      </c>
      <c r="F482" s="15">
        <v>4.2857142857142868E-3</v>
      </c>
      <c r="G482" s="14" t="s">
        <v>146</v>
      </c>
      <c r="H482" s="19" t="s">
        <v>914</v>
      </c>
    </row>
    <row r="483" spans="1:8" hidden="1" x14ac:dyDescent="0.55000000000000004">
      <c r="A483" s="13" t="s">
        <v>39</v>
      </c>
      <c r="B483" s="14"/>
      <c r="C483" s="14" t="s">
        <v>1009</v>
      </c>
      <c r="D483" s="14" t="s">
        <v>39</v>
      </c>
      <c r="E483" s="14" t="s">
        <v>156</v>
      </c>
      <c r="F483" s="15">
        <v>1.2999999999999999E-2</v>
      </c>
      <c r="G483" s="14" t="s">
        <v>146</v>
      </c>
      <c r="H483" s="19" t="s">
        <v>914</v>
      </c>
    </row>
    <row r="484" spans="1:8" hidden="1" x14ac:dyDescent="0.55000000000000004">
      <c r="A484" s="13" t="s">
        <v>81</v>
      </c>
      <c r="B484" s="14"/>
      <c r="C484" s="14" t="s">
        <v>1010</v>
      </c>
      <c r="D484" s="14" t="s">
        <v>81</v>
      </c>
      <c r="E484" s="14" t="s">
        <v>156</v>
      </c>
      <c r="F484" s="15">
        <v>8.4337349397590362E-3</v>
      </c>
      <c r="G484" s="14" t="s">
        <v>146</v>
      </c>
      <c r="H484" s="19" t="s">
        <v>914</v>
      </c>
    </row>
    <row r="485" spans="1:8" hidden="1" x14ac:dyDescent="0.55000000000000004">
      <c r="A485" s="13" t="s">
        <v>1011</v>
      </c>
      <c r="B485" s="14"/>
      <c r="C485" s="14" t="s">
        <v>1012</v>
      </c>
      <c r="D485" s="14" t="s">
        <v>1011</v>
      </c>
      <c r="E485" s="14" t="s">
        <v>156</v>
      </c>
      <c r="F485" s="15">
        <v>1.2591815320041971E-2</v>
      </c>
      <c r="G485" s="14" t="s">
        <v>146</v>
      </c>
      <c r="H485" s="19" t="s">
        <v>914</v>
      </c>
    </row>
    <row r="486" spans="1:8" hidden="1" x14ac:dyDescent="0.55000000000000004">
      <c r="A486" s="13" t="s">
        <v>78</v>
      </c>
      <c r="B486" s="14"/>
      <c r="C486" s="14" t="s">
        <v>1013</v>
      </c>
      <c r="D486" s="14" t="s">
        <v>78</v>
      </c>
      <c r="E486" s="14" t="s">
        <v>156</v>
      </c>
      <c r="F486" s="15">
        <v>7.0588235294117641E-3</v>
      </c>
      <c r="G486" s="14" t="s">
        <v>146</v>
      </c>
      <c r="H486" s="19" t="s">
        <v>914</v>
      </c>
    </row>
    <row r="487" spans="1:8" hidden="1" x14ac:dyDescent="0.55000000000000004">
      <c r="A487" s="13" t="s">
        <v>1014</v>
      </c>
      <c r="B487" s="14"/>
      <c r="C487" s="14" t="s">
        <v>1015</v>
      </c>
      <c r="D487" s="14" t="s">
        <v>1014</v>
      </c>
      <c r="E487" s="14" t="s">
        <v>156</v>
      </c>
      <c r="F487" s="15">
        <v>5.3846153846153849E-2</v>
      </c>
      <c r="G487" s="14" t="s">
        <v>146</v>
      </c>
      <c r="H487" s="19" t="s">
        <v>914</v>
      </c>
    </row>
    <row r="488" spans="1:8" hidden="1" x14ac:dyDescent="0.55000000000000004">
      <c r="A488" s="13" t="s">
        <v>1016</v>
      </c>
      <c r="B488" s="14"/>
      <c r="C488" s="14" t="s">
        <v>1017</v>
      </c>
      <c r="D488" s="14" t="s">
        <v>1016</v>
      </c>
      <c r="E488" s="14" t="s">
        <v>156</v>
      </c>
      <c r="F488" s="15">
        <v>1.6417910447761194E-2</v>
      </c>
      <c r="G488" s="14" t="s">
        <v>146</v>
      </c>
      <c r="H488" s="19" t="s">
        <v>914</v>
      </c>
    </row>
    <row r="489" spans="1:8" hidden="1" x14ac:dyDescent="0.55000000000000004">
      <c r="A489" s="13" t="s">
        <v>119</v>
      </c>
      <c r="B489" s="14"/>
      <c r="C489" s="14" t="s">
        <v>1018</v>
      </c>
      <c r="D489" s="14" t="s">
        <v>119</v>
      </c>
      <c r="E489" s="14" t="s">
        <v>156</v>
      </c>
      <c r="F489" s="15">
        <v>0.02</v>
      </c>
      <c r="G489" s="14" t="s">
        <v>146</v>
      </c>
      <c r="H489" s="19" t="s">
        <v>914</v>
      </c>
    </row>
    <row r="490" spans="1:8" hidden="1" x14ac:dyDescent="0.55000000000000004">
      <c r="A490" s="13" t="s">
        <v>86</v>
      </c>
      <c r="B490" s="14"/>
      <c r="C490" s="14" t="s">
        <v>1019</v>
      </c>
      <c r="D490" s="14" t="s">
        <v>86</v>
      </c>
      <c r="E490" s="14" t="s">
        <v>156</v>
      </c>
      <c r="F490" s="15">
        <v>1.0088272383354349E-2</v>
      </c>
      <c r="G490" s="14" t="s">
        <v>146</v>
      </c>
      <c r="H490" s="19" t="s">
        <v>914</v>
      </c>
    </row>
    <row r="491" spans="1:8" hidden="1" x14ac:dyDescent="0.55000000000000004">
      <c r="A491" s="13" t="s">
        <v>1020</v>
      </c>
      <c r="B491" s="14"/>
      <c r="C491" s="14" t="s">
        <v>1021</v>
      </c>
      <c r="D491" s="14" t="s">
        <v>1020</v>
      </c>
      <c r="E491" s="14" t="s">
        <v>156</v>
      </c>
      <c r="F491" s="15">
        <v>0.04</v>
      </c>
      <c r="G491" s="14" t="s">
        <v>146</v>
      </c>
      <c r="H491" s="19" t="s">
        <v>914</v>
      </c>
    </row>
    <row r="492" spans="1:8" hidden="1" x14ac:dyDescent="0.55000000000000004">
      <c r="A492" s="13" t="s">
        <v>1022</v>
      </c>
      <c r="B492" s="14"/>
      <c r="C492" s="14" t="s">
        <v>1023</v>
      </c>
      <c r="D492" s="14" t="s">
        <v>1022</v>
      </c>
      <c r="E492" s="14" t="s">
        <v>156</v>
      </c>
      <c r="F492" s="88">
        <v>1.2999999999999999E-2</v>
      </c>
      <c r="G492" s="14" t="s">
        <v>146</v>
      </c>
      <c r="H492" s="19" t="s">
        <v>914</v>
      </c>
    </row>
    <row r="493" spans="1:8" hidden="1" x14ac:dyDescent="0.55000000000000004">
      <c r="A493" s="13" t="s">
        <v>1024</v>
      </c>
      <c r="B493" s="14"/>
      <c r="C493" s="14" t="s">
        <v>1025</v>
      </c>
      <c r="D493" s="14" t="s">
        <v>1024</v>
      </c>
      <c r="E493" s="14" t="s">
        <v>156</v>
      </c>
      <c r="F493" s="15">
        <v>5.741626794258374E-2</v>
      </c>
      <c r="G493" s="14" t="s">
        <v>146</v>
      </c>
      <c r="H493" s="19" t="s">
        <v>914</v>
      </c>
    </row>
    <row r="494" spans="1:8" hidden="1" x14ac:dyDescent="0.55000000000000004">
      <c r="A494" s="13" t="s">
        <v>1026</v>
      </c>
      <c r="B494" s="14"/>
      <c r="C494" s="14" t="s">
        <v>1027</v>
      </c>
      <c r="D494" s="14" t="s">
        <v>1026</v>
      </c>
      <c r="E494" s="14" t="s">
        <v>156</v>
      </c>
      <c r="F494" s="15">
        <v>4.0000000000000001E-3</v>
      </c>
      <c r="G494" s="14" t="s">
        <v>146</v>
      </c>
      <c r="H494" s="19" t="s">
        <v>914</v>
      </c>
    </row>
    <row r="495" spans="1:8" hidden="1" x14ac:dyDescent="0.55000000000000004">
      <c r="A495" s="13" t="s">
        <v>1028</v>
      </c>
      <c r="B495" s="14"/>
      <c r="C495" s="14" t="s">
        <v>1029</v>
      </c>
      <c r="D495" s="14" t="s">
        <v>1028</v>
      </c>
      <c r="E495" s="14" t="s">
        <v>156</v>
      </c>
      <c r="F495" s="15">
        <v>6.8846815834767653E-3</v>
      </c>
      <c r="G495" s="14" t="s">
        <v>146</v>
      </c>
      <c r="H495" s="19" t="s">
        <v>914</v>
      </c>
    </row>
    <row r="496" spans="1:8" hidden="1" x14ac:dyDescent="0.55000000000000004">
      <c r="A496" s="13" t="s">
        <v>1030</v>
      </c>
      <c r="B496" s="14"/>
      <c r="C496" s="14" t="s">
        <v>1031</v>
      </c>
      <c r="D496" s="14" t="s">
        <v>1030</v>
      </c>
      <c r="E496" s="14" t="s">
        <v>156</v>
      </c>
      <c r="F496" s="15">
        <v>1.0465116279069767E-2</v>
      </c>
      <c r="G496" s="14" t="s">
        <v>146</v>
      </c>
      <c r="H496" s="19" t="s">
        <v>914</v>
      </c>
    </row>
    <row r="497" spans="1:8" hidden="1" x14ac:dyDescent="0.55000000000000004">
      <c r="A497" s="13" t="s">
        <v>71</v>
      </c>
      <c r="B497" s="14"/>
      <c r="C497" s="14" t="s">
        <v>1032</v>
      </c>
      <c r="D497" s="14" t="s">
        <v>71</v>
      </c>
      <c r="E497" s="14" t="s">
        <v>156</v>
      </c>
      <c r="F497" s="15">
        <v>2.3231256599788808E-2</v>
      </c>
      <c r="G497" s="14" t="s">
        <v>146</v>
      </c>
      <c r="H497" s="19" t="s">
        <v>914</v>
      </c>
    </row>
    <row r="498" spans="1:8" hidden="1" x14ac:dyDescent="0.55000000000000004">
      <c r="A498" s="13" t="s">
        <v>1033</v>
      </c>
      <c r="B498" s="14"/>
      <c r="C498" s="14" t="s">
        <v>1034</v>
      </c>
      <c r="D498" s="14" t="s">
        <v>1033</v>
      </c>
      <c r="E498" s="14" t="s">
        <v>156</v>
      </c>
      <c r="F498" s="15">
        <v>3.3684210526315796E-2</v>
      </c>
      <c r="G498" s="14" t="s">
        <v>146</v>
      </c>
      <c r="H498" s="19" t="s">
        <v>914</v>
      </c>
    </row>
    <row r="499" spans="1:8" hidden="1" x14ac:dyDescent="0.55000000000000004">
      <c r="A499" s="13" t="s">
        <v>38</v>
      </c>
      <c r="B499" s="14"/>
      <c r="C499" s="14" t="s">
        <v>1035</v>
      </c>
      <c r="D499" s="14" t="s">
        <v>38</v>
      </c>
      <c r="E499" s="14" t="s">
        <v>156</v>
      </c>
      <c r="F499" s="15">
        <v>3.529411764705882E-3</v>
      </c>
      <c r="G499" s="14" t="s">
        <v>146</v>
      </c>
      <c r="H499" s="19" t="s">
        <v>914</v>
      </c>
    </row>
    <row r="500" spans="1:8" hidden="1" x14ac:dyDescent="0.55000000000000004">
      <c r="A500" s="13" t="s">
        <v>1036</v>
      </c>
      <c r="B500" s="14"/>
      <c r="C500" s="14" t="s">
        <v>1037</v>
      </c>
      <c r="D500" s="14" t="s">
        <v>1036</v>
      </c>
      <c r="E500" s="14" t="s">
        <v>156</v>
      </c>
      <c r="F500" s="15">
        <v>9.3457943925233621E-3</v>
      </c>
      <c r="G500" s="14" t="s">
        <v>146</v>
      </c>
      <c r="H500" s="19" t="s">
        <v>914</v>
      </c>
    </row>
    <row r="501" spans="1:8" hidden="1" x14ac:dyDescent="0.55000000000000004">
      <c r="A501" s="13" t="s">
        <v>1038</v>
      </c>
      <c r="B501" s="14"/>
      <c r="C501" s="14" t="s">
        <v>1039</v>
      </c>
      <c r="D501" s="14" t="s">
        <v>1038</v>
      </c>
      <c r="E501" s="14" t="s">
        <v>156</v>
      </c>
      <c r="F501" s="15">
        <v>1.5850144092219021E-2</v>
      </c>
      <c r="G501" s="14" t="s">
        <v>146</v>
      </c>
      <c r="H501" s="19" t="s">
        <v>914</v>
      </c>
    </row>
    <row r="502" spans="1:8" hidden="1" x14ac:dyDescent="0.55000000000000004">
      <c r="A502" s="13" t="s">
        <v>1040</v>
      </c>
      <c r="B502" s="14"/>
      <c r="C502" s="14" t="s">
        <v>1041</v>
      </c>
      <c r="D502" s="14" t="s">
        <v>1040</v>
      </c>
      <c r="E502" s="14" t="s">
        <v>156</v>
      </c>
      <c r="F502" s="15">
        <v>1.4981273408239699E-2</v>
      </c>
      <c r="G502" s="14" t="s">
        <v>146</v>
      </c>
      <c r="H502" s="19" t="s">
        <v>914</v>
      </c>
    </row>
    <row r="503" spans="1:8" hidden="1" x14ac:dyDescent="0.55000000000000004">
      <c r="A503" s="13" t="s">
        <v>116</v>
      </c>
      <c r="B503" s="14"/>
      <c r="C503" s="14" t="s">
        <v>1042</v>
      </c>
      <c r="D503" s="14" t="s">
        <v>116</v>
      </c>
      <c r="E503" s="14" t="s">
        <v>156</v>
      </c>
      <c r="F503" s="15">
        <v>4.4444444444444444E-3</v>
      </c>
      <c r="G503" s="14" t="s">
        <v>146</v>
      </c>
      <c r="H503" s="19" t="s">
        <v>914</v>
      </c>
    </row>
    <row r="504" spans="1:8" hidden="1" x14ac:dyDescent="0.55000000000000004">
      <c r="A504" s="13" t="s">
        <v>1043</v>
      </c>
      <c r="B504" s="14"/>
      <c r="C504" s="14" t="s">
        <v>1044</v>
      </c>
      <c r="D504" s="14" t="s">
        <v>1043</v>
      </c>
      <c r="E504" s="14" t="s">
        <v>156</v>
      </c>
      <c r="F504" s="15">
        <v>1.9431988041853511E-2</v>
      </c>
      <c r="G504" s="14" t="s">
        <v>146</v>
      </c>
      <c r="H504" s="19" t="s">
        <v>914</v>
      </c>
    </row>
    <row r="505" spans="1:8" hidden="1" x14ac:dyDescent="0.55000000000000004">
      <c r="A505" s="13" t="s">
        <v>70</v>
      </c>
      <c r="B505" s="14"/>
      <c r="C505" s="14" t="s">
        <v>1045</v>
      </c>
      <c r="D505" s="14" t="s">
        <v>70</v>
      </c>
      <c r="E505" s="14" t="s">
        <v>156</v>
      </c>
      <c r="F505" s="15">
        <v>3.3738191632928472E-3</v>
      </c>
      <c r="G505" s="14" t="s">
        <v>146</v>
      </c>
      <c r="H505" s="19" t="s">
        <v>914</v>
      </c>
    </row>
    <row r="506" spans="1:8" hidden="1" x14ac:dyDescent="0.55000000000000004">
      <c r="A506" s="13" t="s">
        <v>1046</v>
      </c>
      <c r="B506" s="14"/>
      <c r="C506" s="14" t="s">
        <v>1047</v>
      </c>
      <c r="D506" s="14" t="s">
        <v>1046</v>
      </c>
      <c r="E506" s="14" t="s">
        <v>156</v>
      </c>
      <c r="F506" s="15">
        <v>9.6618357487922701E-3</v>
      </c>
      <c r="G506" s="14" t="s">
        <v>146</v>
      </c>
      <c r="H506" s="19" t="s">
        <v>914</v>
      </c>
    </row>
    <row r="507" spans="1:8" hidden="1" x14ac:dyDescent="0.55000000000000004">
      <c r="A507" s="13" t="s">
        <v>1048</v>
      </c>
      <c r="B507" s="14"/>
      <c r="C507" s="14" t="s">
        <v>1049</v>
      </c>
      <c r="D507" s="14" t="s">
        <v>1048</v>
      </c>
      <c r="E507" s="14" t="s">
        <v>156</v>
      </c>
      <c r="F507" s="15">
        <v>5.021520803443329E-3</v>
      </c>
      <c r="G507" s="14" t="s">
        <v>146</v>
      </c>
      <c r="H507" s="19" t="s">
        <v>914</v>
      </c>
    </row>
    <row r="508" spans="1:8" hidden="1" x14ac:dyDescent="0.55000000000000004">
      <c r="A508" s="13" t="s">
        <v>1050</v>
      </c>
      <c r="B508" s="14"/>
      <c r="C508" s="14" t="s">
        <v>1051</v>
      </c>
      <c r="D508" s="14" t="s">
        <v>1050</v>
      </c>
      <c r="E508" s="14" t="s">
        <v>156</v>
      </c>
      <c r="F508" s="15">
        <v>0.104</v>
      </c>
      <c r="G508" s="14" t="s">
        <v>146</v>
      </c>
      <c r="H508" s="19" t="s">
        <v>914</v>
      </c>
    </row>
    <row r="509" spans="1:8" hidden="1" x14ac:dyDescent="0.55000000000000004">
      <c r="A509" s="13" t="s">
        <v>1052</v>
      </c>
      <c r="B509" s="14"/>
      <c r="C509" s="14" t="s">
        <v>1053</v>
      </c>
      <c r="D509" s="14" t="s">
        <v>1052</v>
      </c>
      <c r="E509" s="14" t="s">
        <v>156</v>
      </c>
      <c r="F509" s="15">
        <v>1.2383900928792569E-2</v>
      </c>
      <c r="G509" s="14" t="s">
        <v>146</v>
      </c>
      <c r="H509" s="19" t="s">
        <v>914</v>
      </c>
    </row>
    <row r="510" spans="1:8" hidden="1" x14ac:dyDescent="0.55000000000000004">
      <c r="A510" s="13" t="s">
        <v>1054</v>
      </c>
      <c r="B510" s="14"/>
      <c r="C510" s="14" t="s">
        <v>1055</v>
      </c>
      <c r="D510" s="14" t="s">
        <v>1054</v>
      </c>
      <c r="E510" s="14" t="s">
        <v>156</v>
      </c>
      <c r="F510" s="15">
        <v>0.09</v>
      </c>
      <c r="G510" s="14" t="s">
        <v>146</v>
      </c>
      <c r="H510" s="19" t="s">
        <v>914</v>
      </c>
    </row>
    <row r="511" spans="1:8" hidden="1" x14ac:dyDescent="0.55000000000000004">
      <c r="A511" s="13" t="s">
        <v>1056</v>
      </c>
      <c r="B511" s="14"/>
      <c r="C511" s="14" t="s">
        <v>1057</v>
      </c>
      <c r="D511" s="14" t="s">
        <v>1056</v>
      </c>
      <c r="E511" s="14" t="s">
        <v>156</v>
      </c>
      <c r="F511" s="15">
        <v>6.6864784546805346E-3</v>
      </c>
      <c r="G511" s="14" t="s">
        <v>146</v>
      </c>
      <c r="H511" s="19" t="s">
        <v>914</v>
      </c>
    </row>
    <row r="512" spans="1:8" hidden="1" x14ac:dyDescent="0.55000000000000004">
      <c r="A512" s="13" t="s">
        <v>82</v>
      </c>
      <c r="B512" s="14"/>
      <c r="C512" s="14" t="s">
        <v>1058</v>
      </c>
      <c r="D512" s="14" t="s">
        <v>82</v>
      </c>
      <c r="E512" s="14" t="s">
        <v>156</v>
      </c>
      <c r="F512" s="15">
        <v>1.3293943870014769E-2</v>
      </c>
      <c r="G512" s="14" t="s">
        <v>146</v>
      </c>
      <c r="H512" s="19" t="s">
        <v>914</v>
      </c>
    </row>
    <row r="513" spans="1:8" hidden="1" x14ac:dyDescent="0.55000000000000004">
      <c r="A513" s="13" t="s">
        <v>1059</v>
      </c>
      <c r="B513" s="14"/>
      <c r="C513" s="14" t="s">
        <v>1060</v>
      </c>
      <c r="D513" s="14" t="s">
        <v>1059</v>
      </c>
      <c r="E513" s="14" t="s">
        <v>156</v>
      </c>
      <c r="F513" s="15">
        <v>1.3196480938416421E-2</v>
      </c>
      <c r="G513" s="14" t="s">
        <v>146</v>
      </c>
      <c r="H513" s="19" t="s">
        <v>914</v>
      </c>
    </row>
    <row r="514" spans="1:8" hidden="1" x14ac:dyDescent="0.55000000000000004">
      <c r="A514" s="13" t="s">
        <v>1061</v>
      </c>
      <c r="B514" s="14"/>
      <c r="C514" s="14" t="s">
        <v>1062</v>
      </c>
      <c r="D514" s="14" t="s">
        <v>1061</v>
      </c>
      <c r="E514" s="14" t="s">
        <v>156</v>
      </c>
      <c r="F514" s="15">
        <v>1.1428571428571429E-2</v>
      </c>
      <c r="G514" s="14" t="s">
        <v>146</v>
      </c>
      <c r="H514" s="19" t="s">
        <v>914</v>
      </c>
    </row>
    <row r="515" spans="1:8" hidden="1" x14ac:dyDescent="0.55000000000000004">
      <c r="A515" s="13" t="s">
        <v>1063</v>
      </c>
      <c r="B515" s="14"/>
      <c r="C515" s="14" t="s">
        <v>1064</v>
      </c>
      <c r="D515" s="14" t="s">
        <v>1063</v>
      </c>
      <c r="E515" s="14" t="s">
        <v>156</v>
      </c>
      <c r="F515" s="15">
        <v>5.4794520547945206E-3</v>
      </c>
      <c r="G515" s="14" t="s">
        <v>146</v>
      </c>
      <c r="H515" s="19" t="s">
        <v>914</v>
      </c>
    </row>
    <row r="516" spans="1:8" hidden="1" x14ac:dyDescent="0.55000000000000004">
      <c r="A516" s="13" t="s">
        <v>1065</v>
      </c>
      <c r="B516" s="14"/>
      <c r="C516" s="14" t="s">
        <v>1066</v>
      </c>
      <c r="D516" s="14" t="s">
        <v>1065</v>
      </c>
      <c r="E516" s="14" t="s">
        <v>156</v>
      </c>
      <c r="F516" s="15">
        <v>6.553079947575359E-2</v>
      </c>
      <c r="G516" s="14" t="s">
        <v>146</v>
      </c>
      <c r="H516" s="19" t="s">
        <v>914</v>
      </c>
    </row>
    <row r="517" spans="1:8" hidden="1" x14ac:dyDescent="0.55000000000000004">
      <c r="A517" s="13" t="s">
        <v>1067</v>
      </c>
      <c r="B517" s="14"/>
      <c r="C517" s="14" t="s">
        <v>1068</v>
      </c>
      <c r="D517" s="14" t="s">
        <v>1067</v>
      </c>
      <c r="E517" s="14" t="s">
        <v>156</v>
      </c>
      <c r="F517" s="15">
        <v>6.4562410329985663E-3</v>
      </c>
      <c r="G517" s="14" t="s">
        <v>146</v>
      </c>
      <c r="H517" s="19" t="s">
        <v>914</v>
      </c>
    </row>
    <row r="518" spans="1:8" hidden="1" x14ac:dyDescent="0.55000000000000004">
      <c r="A518" s="13" t="s">
        <v>1069</v>
      </c>
      <c r="B518" s="14"/>
      <c r="C518" s="14" t="s">
        <v>1070</v>
      </c>
      <c r="D518" s="14" t="s">
        <v>1069</v>
      </c>
      <c r="E518" s="14" t="s">
        <v>156</v>
      </c>
      <c r="F518" s="15">
        <v>0.09</v>
      </c>
      <c r="G518" s="14" t="s">
        <v>146</v>
      </c>
      <c r="H518" s="19" t="s">
        <v>914</v>
      </c>
    </row>
    <row r="519" spans="1:8" hidden="1" x14ac:dyDescent="0.55000000000000004">
      <c r="A519" s="42" t="s">
        <v>54</v>
      </c>
      <c r="B519" s="43"/>
      <c r="C519" s="43" t="s">
        <v>1071</v>
      </c>
      <c r="D519" s="42" t="s">
        <v>54</v>
      </c>
      <c r="E519" s="43" t="s">
        <v>156</v>
      </c>
      <c r="F519" s="44">
        <v>4.5351473922902496E-3</v>
      </c>
      <c r="G519" s="43" t="s">
        <v>146</v>
      </c>
      <c r="H519" s="45" t="s">
        <v>914</v>
      </c>
    </row>
    <row r="520" spans="1:8" hidden="1" x14ac:dyDescent="0.55000000000000004">
      <c r="A520" s="46" t="s">
        <v>1072</v>
      </c>
      <c r="B520" s="47"/>
      <c r="C520" s="48" t="s">
        <v>1073</v>
      </c>
      <c r="D520" s="49" t="s">
        <v>1072</v>
      </c>
      <c r="E520" s="49" t="s">
        <v>156</v>
      </c>
      <c r="F520" s="49">
        <v>5.7142857142857143E-3</v>
      </c>
      <c r="G520" s="49" t="s">
        <v>146</v>
      </c>
      <c r="H520" s="49" t="s">
        <v>914</v>
      </c>
    </row>
    <row r="521" spans="1:8" ht="28.8" hidden="1" x14ac:dyDescent="0.55000000000000004">
      <c r="A521" s="42" t="s">
        <v>1074</v>
      </c>
      <c r="B521" s="43"/>
      <c r="C521" s="43" t="s">
        <v>1075</v>
      </c>
      <c r="D521" s="43" t="s">
        <v>1074</v>
      </c>
      <c r="E521" s="43" t="s">
        <v>48</v>
      </c>
      <c r="F521" s="44">
        <v>0.32</v>
      </c>
      <c r="G521" s="43" t="s">
        <v>1076</v>
      </c>
      <c r="H521" s="50" t="s">
        <v>1077</v>
      </c>
    </row>
    <row r="522" spans="1:8" hidden="1" x14ac:dyDescent="0.55000000000000004">
      <c r="A522" s="51" t="s">
        <v>1078</v>
      </c>
      <c r="B522" s="43"/>
      <c r="C522" s="43" t="s">
        <v>1079</v>
      </c>
      <c r="D522" s="51" t="s">
        <v>1078</v>
      </c>
      <c r="E522" s="43" t="s">
        <v>48</v>
      </c>
      <c r="F522" s="44">
        <v>0.46</v>
      </c>
      <c r="G522" s="52" t="s">
        <v>1076</v>
      </c>
      <c r="H522" s="50" t="s">
        <v>1077</v>
      </c>
    </row>
    <row r="523" spans="1:8" ht="28.8" hidden="1" x14ac:dyDescent="0.55000000000000004">
      <c r="A523" s="13" t="s">
        <v>1080</v>
      </c>
      <c r="B523" s="14"/>
      <c r="C523" s="14" t="s">
        <v>1081</v>
      </c>
      <c r="D523" s="14" t="s">
        <v>1080</v>
      </c>
      <c r="E523" s="14" t="s">
        <v>48</v>
      </c>
      <c r="F523" s="15">
        <v>0.78</v>
      </c>
      <c r="G523" s="14" t="s">
        <v>1076</v>
      </c>
      <c r="H523" s="19" t="s">
        <v>1077</v>
      </c>
    </row>
    <row r="524" spans="1:8" ht="28.9" hidden="1" customHeight="1" x14ac:dyDescent="0.55000000000000004">
      <c r="A524" s="13" t="s">
        <v>1082</v>
      </c>
      <c r="B524" s="14"/>
      <c r="C524" s="14" t="s">
        <v>1083</v>
      </c>
      <c r="D524" s="14" t="s">
        <v>1082</v>
      </c>
      <c r="E524" s="14" t="s">
        <v>48</v>
      </c>
      <c r="F524" s="15">
        <v>5.8000000000000003E-2</v>
      </c>
      <c r="G524" s="14" t="s">
        <v>1076</v>
      </c>
      <c r="H524" s="19" t="s">
        <v>1077</v>
      </c>
    </row>
    <row r="525" spans="1:8" ht="28.8" hidden="1" x14ac:dyDescent="0.55000000000000004">
      <c r="A525" s="13" t="s">
        <v>1084</v>
      </c>
      <c r="B525" s="14"/>
      <c r="C525" s="14" t="s">
        <v>1085</v>
      </c>
      <c r="D525" s="14" t="s">
        <v>1084</v>
      </c>
      <c r="E525" s="14" t="s">
        <v>48</v>
      </c>
      <c r="F525" s="15">
        <v>0.5</v>
      </c>
      <c r="G525" s="14" t="s">
        <v>1076</v>
      </c>
      <c r="H525" s="19" t="s">
        <v>1077</v>
      </c>
    </row>
    <row r="526" spans="1:8" ht="28.9" hidden="1" customHeight="1" x14ac:dyDescent="0.55000000000000004">
      <c r="A526" s="13" t="s">
        <v>1086</v>
      </c>
      <c r="B526" s="14"/>
      <c r="C526" s="14" t="s">
        <v>1087</v>
      </c>
      <c r="D526" s="14" t="s">
        <v>1086</v>
      </c>
      <c r="E526" s="14" t="s">
        <v>48</v>
      </c>
      <c r="F526" s="15">
        <v>0.30625000000000002</v>
      </c>
      <c r="G526" s="14" t="s">
        <v>1076</v>
      </c>
      <c r="H526" s="19" t="s">
        <v>1077</v>
      </c>
    </row>
    <row r="527" spans="1:8" hidden="1" x14ac:dyDescent="0.55000000000000004">
      <c r="A527" s="13" t="s">
        <v>1088</v>
      </c>
      <c r="B527" s="14"/>
      <c r="C527" s="14" t="s">
        <v>1089</v>
      </c>
      <c r="D527" s="14" t="s">
        <v>1088</v>
      </c>
      <c r="E527" s="14" t="s">
        <v>48</v>
      </c>
      <c r="F527" s="15">
        <v>0.24166666666666667</v>
      </c>
      <c r="G527" s="14" t="s">
        <v>1076</v>
      </c>
      <c r="H527" s="19" t="s">
        <v>1077</v>
      </c>
    </row>
    <row r="528" spans="1:8" ht="28.9" hidden="1" customHeight="1" x14ac:dyDescent="0.55000000000000004">
      <c r="A528" s="13" t="s">
        <v>1090</v>
      </c>
      <c r="B528" s="14"/>
      <c r="C528" s="14" t="s">
        <v>1091</v>
      </c>
      <c r="D528" s="14" t="s">
        <v>1090</v>
      </c>
      <c r="E528" s="14" t="s">
        <v>48</v>
      </c>
      <c r="F528" s="15">
        <v>0.25</v>
      </c>
      <c r="G528" s="14" t="s">
        <v>1076</v>
      </c>
      <c r="H528" s="19" t="s">
        <v>1077</v>
      </c>
    </row>
    <row r="529" spans="1:8" hidden="1" x14ac:dyDescent="0.55000000000000004">
      <c r="A529" s="13" t="s">
        <v>1092</v>
      </c>
      <c r="B529" s="14"/>
      <c r="C529" s="14" t="s">
        <v>1093</v>
      </c>
      <c r="D529" s="14" t="s">
        <v>1092</v>
      </c>
      <c r="E529" s="14" t="s">
        <v>48</v>
      </c>
      <c r="F529" s="15">
        <v>0.11</v>
      </c>
      <c r="G529" s="14" t="s">
        <v>1076</v>
      </c>
      <c r="H529" s="19" t="s">
        <v>1077</v>
      </c>
    </row>
    <row r="530" spans="1:8" ht="28.8" hidden="1" x14ac:dyDescent="0.55000000000000004">
      <c r="A530" s="13" t="s">
        <v>1094</v>
      </c>
      <c r="B530" s="14"/>
      <c r="C530" s="14" t="s">
        <v>1095</v>
      </c>
      <c r="D530" s="14" t="s">
        <v>1094</v>
      </c>
      <c r="E530" s="14" t="s">
        <v>48</v>
      </c>
      <c r="F530" s="15">
        <v>0.13750000000000001</v>
      </c>
      <c r="G530" s="14" t="s">
        <v>1076</v>
      </c>
      <c r="H530" s="19" t="s">
        <v>1077</v>
      </c>
    </row>
    <row r="531" spans="1:8" ht="28.8" hidden="1" x14ac:dyDescent="0.55000000000000004">
      <c r="A531" s="13" t="s">
        <v>1096</v>
      </c>
      <c r="B531" s="14"/>
      <c r="C531" s="14" t="s">
        <v>1097</v>
      </c>
      <c r="D531" s="14" t="s">
        <v>1096</v>
      </c>
      <c r="E531" s="14" t="s">
        <v>48</v>
      </c>
      <c r="F531" s="15">
        <v>0.1075</v>
      </c>
      <c r="G531" s="14" t="s">
        <v>1076</v>
      </c>
      <c r="H531" s="19" t="s">
        <v>1077</v>
      </c>
    </row>
    <row r="532" spans="1:8" hidden="1" x14ac:dyDescent="0.55000000000000004">
      <c r="A532" s="13" t="s">
        <v>1098</v>
      </c>
      <c r="B532" s="14"/>
      <c r="C532" s="14" t="s">
        <v>1099</v>
      </c>
      <c r="D532" s="14" t="s">
        <v>1098</v>
      </c>
      <c r="E532" s="14" t="s">
        <v>48</v>
      </c>
      <c r="F532" s="15">
        <v>5.8999999999999997E-2</v>
      </c>
      <c r="G532" s="14" t="s">
        <v>1076</v>
      </c>
      <c r="H532" s="19" t="s">
        <v>1077</v>
      </c>
    </row>
    <row r="533" spans="1:8" hidden="1" x14ac:dyDescent="0.55000000000000004">
      <c r="A533" s="13" t="s">
        <v>1100</v>
      </c>
      <c r="B533" s="14"/>
      <c r="C533" s="14" t="s">
        <v>1101</v>
      </c>
      <c r="D533" s="14" t="s">
        <v>1100</v>
      </c>
      <c r="E533" s="14" t="s">
        <v>48</v>
      </c>
      <c r="F533" s="15">
        <v>6.7500000000000004E-2</v>
      </c>
      <c r="G533" s="14" t="s">
        <v>1076</v>
      </c>
      <c r="H533" s="19" t="s">
        <v>1077</v>
      </c>
    </row>
    <row r="534" spans="1:8" ht="28.9" hidden="1" customHeight="1" x14ac:dyDescent="0.55000000000000004">
      <c r="A534" s="13" t="s">
        <v>1102</v>
      </c>
      <c r="B534" s="14"/>
      <c r="C534" s="14" t="s">
        <v>1103</v>
      </c>
      <c r="D534" s="14" t="s">
        <v>1102</v>
      </c>
      <c r="E534" s="14" t="s">
        <v>48</v>
      </c>
      <c r="F534" s="15">
        <v>0.13250000000000001</v>
      </c>
      <c r="G534" s="14" t="s">
        <v>1076</v>
      </c>
      <c r="H534" s="19" t="s">
        <v>1077</v>
      </c>
    </row>
    <row r="535" spans="1:8" hidden="1" x14ac:dyDescent="0.55000000000000004">
      <c r="A535" s="13" t="s">
        <v>1104</v>
      </c>
      <c r="B535" s="14"/>
      <c r="C535" s="14" t="s">
        <v>1105</v>
      </c>
      <c r="D535" s="14" t="s">
        <v>1104</v>
      </c>
      <c r="E535" s="14" t="s">
        <v>48</v>
      </c>
      <c r="F535" s="15">
        <v>6.45E-3</v>
      </c>
      <c r="G535" s="14" t="s">
        <v>1076</v>
      </c>
      <c r="H535" s="19" t="s">
        <v>1077</v>
      </c>
    </row>
    <row r="536" spans="1:8" hidden="1" x14ac:dyDescent="0.55000000000000004">
      <c r="A536" s="13" t="s">
        <v>1106</v>
      </c>
      <c r="B536" s="14"/>
      <c r="C536" s="14" t="s">
        <v>1107</v>
      </c>
      <c r="D536" s="14" t="s">
        <v>1106</v>
      </c>
      <c r="E536" s="14" t="s">
        <v>48</v>
      </c>
      <c r="F536" s="15">
        <v>5.3333333333333337E-2</v>
      </c>
      <c r="G536" s="14" t="s">
        <v>1076</v>
      </c>
      <c r="H536" s="19" t="s">
        <v>1077</v>
      </c>
    </row>
    <row r="537" spans="1:8" hidden="1" x14ac:dyDescent="0.55000000000000004">
      <c r="A537" s="13" t="s">
        <v>1108</v>
      </c>
      <c r="B537" s="14"/>
      <c r="C537" s="14" t="s">
        <v>1109</v>
      </c>
      <c r="D537" s="14" t="s">
        <v>1108</v>
      </c>
      <c r="E537" s="14" t="s">
        <v>48</v>
      </c>
      <c r="F537" s="15">
        <v>6.5333333333333327E-2</v>
      </c>
      <c r="G537" s="14" t="s">
        <v>1076</v>
      </c>
      <c r="H537" s="19" t="s">
        <v>1077</v>
      </c>
    </row>
    <row r="538" spans="1:8" hidden="1" x14ac:dyDescent="0.55000000000000004">
      <c r="A538" s="13" t="s">
        <v>1110</v>
      </c>
      <c r="B538" s="14"/>
      <c r="C538" s="14" t="s">
        <v>1111</v>
      </c>
      <c r="D538" s="14" t="s">
        <v>1110</v>
      </c>
      <c r="E538" s="14" t="s">
        <v>48</v>
      </c>
      <c r="F538" s="15">
        <v>0.19</v>
      </c>
      <c r="G538" s="14" t="s">
        <v>1076</v>
      </c>
      <c r="H538" s="19" t="s">
        <v>1077</v>
      </c>
    </row>
    <row r="539" spans="1:8" ht="43.2" hidden="1" x14ac:dyDescent="0.55000000000000004">
      <c r="A539" s="13" t="s">
        <v>1112</v>
      </c>
      <c r="B539" s="14"/>
      <c r="C539" s="14" t="s">
        <v>1113</v>
      </c>
      <c r="D539" s="14" t="s">
        <v>1112</v>
      </c>
      <c r="E539" s="14" t="s">
        <v>48</v>
      </c>
      <c r="F539" s="15">
        <v>1.9</v>
      </c>
      <c r="G539" s="14" t="s">
        <v>1076</v>
      </c>
      <c r="H539" s="19" t="s">
        <v>1077</v>
      </c>
    </row>
    <row r="540" spans="1:8" hidden="1" x14ac:dyDescent="0.55000000000000004">
      <c r="A540" s="13" t="s">
        <v>1114</v>
      </c>
      <c r="B540" s="14"/>
      <c r="C540" s="14" t="s">
        <v>1115</v>
      </c>
      <c r="D540" s="14" t="s">
        <v>1114</v>
      </c>
      <c r="E540" s="14" t="s">
        <v>48</v>
      </c>
      <c r="F540" s="15">
        <v>0.4</v>
      </c>
      <c r="G540" s="14" t="s">
        <v>1076</v>
      </c>
      <c r="H540" s="19" t="s">
        <v>1077</v>
      </c>
    </row>
    <row r="541" spans="1:8" hidden="1" x14ac:dyDescent="0.55000000000000004">
      <c r="A541" s="87" t="s">
        <v>1116</v>
      </c>
      <c r="B541" s="14"/>
      <c r="C541" s="14" t="s">
        <v>1117</v>
      </c>
      <c r="D541" s="14" t="s">
        <v>1116</v>
      </c>
      <c r="E541" s="14" t="s">
        <v>48</v>
      </c>
      <c r="F541" s="15">
        <v>0.46666666666666667</v>
      </c>
      <c r="G541" s="14" t="s">
        <v>1076</v>
      </c>
      <c r="H541" s="19" t="s">
        <v>1077</v>
      </c>
    </row>
    <row r="542" spans="1:8" hidden="1" x14ac:dyDescent="0.55000000000000004">
      <c r="A542" s="13" t="s">
        <v>1118</v>
      </c>
      <c r="B542" s="14"/>
      <c r="C542" s="14" t="s">
        <v>1119</v>
      </c>
      <c r="D542" s="14" t="s">
        <v>1118</v>
      </c>
      <c r="E542" s="14" t="s">
        <v>48</v>
      </c>
      <c r="F542" s="15">
        <v>0.32</v>
      </c>
      <c r="G542" s="14" t="s">
        <v>1076</v>
      </c>
      <c r="H542" s="19" t="s">
        <v>1077</v>
      </c>
    </row>
    <row r="543" spans="1:8" hidden="1" x14ac:dyDescent="0.55000000000000004">
      <c r="A543" s="13" t="s">
        <v>1120</v>
      </c>
      <c r="B543" s="14"/>
      <c r="C543" s="14" t="s">
        <v>1121</v>
      </c>
      <c r="D543" s="14" t="s">
        <v>1120</v>
      </c>
      <c r="E543" s="14" t="s">
        <v>48</v>
      </c>
      <c r="F543" s="15">
        <v>0.4</v>
      </c>
      <c r="G543" s="14" t="s">
        <v>1076</v>
      </c>
      <c r="H543" s="19" t="s">
        <v>1077</v>
      </c>
    </row>
    <row r="544" spans="1:8" hidden="1" x14ac:dyDescent="0.55000000000000004">
      <c r="A544" s="13" t="s">
        <v>1122</v>
      </c>
      <c r="B544" s="14"/>
      <c r="C544" s="14" t="s">
        <v>1123</v>
      </c>
      <c r="D544" s="14" t="s">
        <v>1122</v>
      </c>
      <c r="E544" s="14" t="s">
        <v>48</v>
      </c>
      <c r="F544" s="15">
        <v>0.36</v>
      </c>
      <c r="G544" s="14" t="s">
        <v>1076</v>
      </c>
      <c r="H544" s="19" t="s">
        <v>1077</v>
      </c>
    </row>
    <row r="545" spans="1:8" hidden="1" x14ac:dyDescent="0.55000000000000004">
      <c r="A545" s="13" t="s">
        <v>1124</v>
      </c>
      <c r="B545" s="14"/>
      <c r="C545" s="14" t="s">
        <v>1125</v>
      </c>
      <c r="D545" s="14" t="s">
        <v>1124</v>
      </c>
      <c r="E545" s="14" t="s">
        <v>48</v>
      </c>
      <c r="F545" s="15">
        <v>0.115</v>
      </c>
      <c r="G545" s="14" t="s">
        <v>1076</v>
      </c>
      <c r="H545" s="19" t="s">
        <v>1077</v>
      </c>
    </row>
    <row r="546" spans="1:8" ht="28.8" hidden="1" x14ac:dyDescent="0.55000000000000004">
      <c r="A546" s="13" t="s">
        <v>1126</v>
      </c>
      <c r="B546" s="14"/>
      <c r="C546" s="14" t="s">
        <v>1127</v>
      </c>
      <c r="D546" s="14" t="s">
        <v>1126</v>
      </c>
      <c r="E546" s="14" t="s">
        <v>48</v>
      </c>
      <c r="F546" s="15">
        <v>0.93333333333333335</v>
      </c>
      <c r="G546" s="14" t="s">
        <v>1076</v>
      </c>
      <c r="H546" s="19" t="s">
        <v>1077</v>
      </c>
    </row>
    <row r="547" spans="1:8" ht="28.8" hidden="1" x14ac:dyDescent="0.55000000000000004">
      <c r="A547" s="13" t="s">
        <v>1128</v>
      </c>
      <c r="B547" s="14"/>
      <c r="C547" s="14" t="s">
        <v>1129</v>
      </c>
      <c r="D547" s="14" t="s">
        <v>1128</v>
      </c>
      <c r="E547" s="14" t="s">
        <v>48</v>
      </c>
      <c r="F547" s="15">
        <v>0.38</v>
      </c>
      <c r="G547" s="14" t="s">
        <v>1076</v>
      </c>
      <c r="H547" s="19" t="s">
        <v>1077</v>
      </c>
    </row>
    <row r="548" spans="1:8" ht="28.8" hidden="1" x14ac:dyDescent="0.55000000000000004">
      <c r="A548" s="13" t="s">
        <v>1130</v>
      </c>
      <c r="B548" s="14"/>
      <c r="C548" s="14" t="s">
        <v>1131</v>
      </c>
      <c r="D548" s="14" t="s">
        <v>1130</v>
      </c>
      <c r="E548" s="14" t="s">
        <v>48</v>
      </c>
      <c r="F548" s="15">
        <v>0.43</v>
      </c>
      <c r="G548" s="14" t="s">
        <v>1076</v>
      </c>
      <c r="H548" s="19" t="s">
        <v>1077</v>
      </c>
    </row>
    <row r="549" spans="1:8" hidden="1" x14ac:dyDescent="0.55000000000000004">
      <c r="A549" s="13" t="s">
        <v>1132</v>
      </c>
      <c r="B549" s="14"/>
      <c r="C549" s="14" t="s">
        <v>1133</v>
      </c>
      <c r="D549" s="14" t="s">
        <v>1132</v>
      </c>
      <c r="E549" s="14" t="s">
        <v>48</v>
      </c>
      <c r="F549" s="15">
        <v>0.18</v>
      </c>
      <c r="G549" s="14" t="s">
        <v>1076</v>
      </c>
      <c r="H549" s="19" t="s">
        <v>1077</v>
      </c>
    </row>
    <row r="550" spans="1:8" hidden="1" x14ac:dyDescent="0.55000000000000004">
      <c r="A550" s="13" t="s">
        <v>1134</v>
      </c>
      <c r="B550" s="14"/>
      <c r="C550" s="14" t="s">
        <v>1135</v>
      </c>
      <c r="D550" s="14" t="s">
        <v>1134</v>
      </c>
      <c r="E550" s="14" t="s">
        <v>48</v>
      </c>
      <c r="F550" s="15">
        <v>5.8888888888888888E-3</v>
      </c>
      <c r="G550" s="14" t="s">
        <v>1076</v>
      </c>
      <c r="H550" s="19" t="s">
        <v>1077</v>
      </c>
    </row>
    <row r="551" spans="1:8" ht="28.8" hidden="1" x14ac:dyDescent="0.55000000000000004">
      <c r="A551" s="13" t="s">
        <v>1136</v>
      </c>
      <c r="B551" s="14"/>
      <c r="C551" s="14" t="s">
        <v>1137</v>
      </c>
      <c r="D551" s="14" t="s">
        <v>1136</v>
      </c>
      <c r="E551" s="14" t="s">
        <v>48</v>
      </c>
      <c r="F551" s="15">
        <v>0.85</v>
      </c>
      <c r="G551" s="14" t="s">
        <v>1076</v>
      </c>
      <c r="H551" s="19" t="s">
        <v>1077</v>
      </c>
    </row>
    <row r="552" spans="1:8" hidden="1" x14ac:dyDescent="0.55000000000000004">
      <c r="A552" s="13" t="s">
        <v>1138</v>
      </c>
      <c r="B552" s="14"/>
      <c r="C552" s="14" t="s">
        <v>1139</v>
      </c>
      <c r="D552" s="14" t="s">
        <v>1138</v>
      </c>
      <c r="E552" s="14" t="s">
        <v>48</v>
      </c>
      <c r="F552" s="15">
        <v>0.18</v>
      </c>
      <c r="G552" s="14" t="s">
        <v>1076</v>
      </c>
      <c r="H552" s="19" t="s">
        <v>1077</v>
      </c>
    </row>
    <row r="553" spans="1:8" ht="28.8" hidden="1" x14ac:dyDescent="0.55000000000000004">
      <c r="A553" s="13" t="s">
        <v>1140</v>
      </c>
      <c r="B553" s="14"/>
      <c r="C553" s="14" t="s">
        <v>1141</v>
      </c>
      <c r="D553" s="14" t="s">
        <v>1140</v>
      </c>
      <c r="E553" s="14" t="s">
        <v>48</v>
      </c>
      <c r="F553" s="15">
        <v>0.35</v>
      </c>
      <c r="G553" s="14" t="s">
        <v>1076</v>
      </c>
      <c r="H553" s="19" t="s">
        <v>1077</v>
      </c>
    </row>
    <row r="554" spans="1:8" ht="28.9" hidden="1" customHeight="1" x14ac:dyDescent="0.55000000000000004">
      <c r="A554" s="13" t="s">
        <v>1142</v>
      </c>
      <c r="B554" s="14"/>
      <c r="C554" s="14" t="s">
        <v>1143</v>
      </c>
      <c r="D554" s="14" t="s">
        <v>1142</v>
      </c>
      <c r="E554" s="14" t="s">
        <v>48</v>
      </c>
      <c r="F554" s="15">
        <v>0.35</v>
      </c>
      <c r="G554" s="14" t="s">
        <v>1076</v>
      </c>
      <c r="H554" s="19" t="s">
        <v>1077</v>
      </c>
    </row>
    <row r="555" spans="1:8" ht="28.8" hidden="1" x14ac:dyDescent="0.55000000000000004">
      <c r="A555" s="13" t="s">
        <v>1144</v>
      </c>
      <c r="B555" s="14"/>
      <c r="C555" s="14" t="s">
        <v>1145</v>
      </c>
      <c r="D555" s="14" t="s">
        <v>1144</v>
      </c>
      <c r="E555" s="14" t="s">
        <v>48</v>
      </c>
      <c r="F555" s="15">
        <v>0.31</v>
      </c>
      <c r="G555" s="14" t="s">
        <v>1076</v>
      </c>
      <c r="H555" s="19" t="s">
        <v>1077</v>
      </c>
    </row>
    <row r="556" spans="1:8" ht="28.8" hidden="1" x14ac:dyDescent="0.55000000000000004">
      <c r="A556" s="13" t="s">
        <v>1146</v>
      </c>
      <c r="B556" s="14"/>
      <c r="C556" s="14" t="s">
        <v>1147</v>
      </c>
      <c r="D556" s="14" t="s">
        <v>1146</v>
      </c>
      <c r="E556" s="14" t="s">
        <v>48</v>
      </c>
      <c r="F556" s="15">
        <v>0.38</v>
      </c>
      <c r="G556" s="14" t="s">
        <v>1076</v>
      </c>
      <c r="H556" s="19" t="s">
        <v>1077</v>
      </c>
    </row>
    <row r="557" spans="1:8" hidden="1" x14ac:dyDescent="0.55000000000000004">
      <c r="A557" s="13" t="s">
        <v>1148</v>
      </c>
      <c r="B557" s="14"/>
      <c r="C557" s="14" t="s">
        <v>1149</v>
      </c>
      <c r="D557" s="14" t="s">
        <v>1148</v>
      </c>
      <c r="E557" s="14" t="s">
        <v>48</v>
      </c>
      <c r="F557" s="15">
        <v>0.31</v>
      </c>
      <c r="G557" s="14" t="s">
        <v>1076</v>
      </c>
      <c r="H557" s="19" t="s">
        <v>1077</v>
      </c>
    </row>
    <row r="558" spans="1:8" ht="28.8" hidden="1" x14ac:dyDescent="0.55000000000000004">
      <c r="A558" s="13" t="s">
        <v>1150</v>
      </c>
      <c r="B558" s="14"/>
      <c r="C558" s="14" t="s">
        <v>1151</v>
      </c>
      <c r="D558" s="14" t="s">
        <v>1150</v>
      </c>
      <c r="E558" s="14" t="s">
        <v>48</v>
      </c>
      <c r="F558" s="15">
        <v>0.31</v>
      </c>
      <c r="G558" s="14" t="s">
        <v>1076</v>
      </c>
      <c r="H558" s="19" t="s">
        <v>1077</v>
      </c>
    </row>
    <row r="559" spans="1:8" ht="28.8" hidden="1" x14ac:dyDescent="0.55000000000000004">
      <c r="A559" s="13" t="s">
        <v>1152</v>
      </c>
      <c r="B559" s="14"/>
      <c r="C559" s="14" t="s">
        <v>1153</v>
      </c>
      <c r="D559" s="14" t="s">
        <v>1152</v>
      </c>
      <c r="E559" s="14" t="s">
        <v>48</v>
      </c>
      <c r="F559" s="15">
        <v>0.26</v>
      </c>
      <c r="G559" s="14" t="s">
        <v>1076</v>
      </c>
      <c r="H559" s="19" t="s">
        <v>1077</v>
      </c>
    </row>
    <row r="560" spans="1:8" hidden="1" x14ac:dyDescent="0.55000000000000004">
      <c r="A560" s="13" t="s">
        <v>1154</v>
      </c>
      <c r="B560" s="14"/>
      <c r="C560" s="14" t="s">
        <v>1155</v>
      </c>
      <c r="D560" s="14" t="s">
        <v>1154</v>
      </c>
      <c r="E560" s="14" t="s">
        <v>48</v>
      </c>
      <c r="F560" s="15">
        <v>0.21</v>
      </c>
      <c r="G560" s="14" t="s">
        <v>1076</v>
      </c>
      <c r="H560" s="19" t="s">
        <v>1077</v>
      </c>
    </row>
    <row r="561" spans="1:8" hidden="1" x14ac:dyDescent="0.55000000000000004">
      <c r="A561" s="13" t="s">
        <v>1156</v>
      </c>
      <c r="B561" s="14"/>
      <c r="C561" s="14" t="s">
        <v>1157</v>
      </c>
      <c r="D561" s="14" t="s">
        <v>1156</v>
      </c>
      <c r="E561" s="14" t="s">
        <v>48</v>
      </c>
      <c r="F561" s="15">
        <v>0.73333333333333328</v>
      </c>
      <c r="G561" s="14" t="s">
        <v>1076</v>
      </c>
      <c r="H561" s="19" t="s">
        <v>1077</v>
      </c>
    </row>
    <row r="562" spans="1:8" ht="28.8" hidden="1" x14ac:dyDescent="0.55000000000000004">
      <c r="A562" s="13" t="s">
        <v>1158</v>
      </c>
      <c r="B562" s="14"/>
      <c r="C562" s="14" t="s">
        <v>1159</v>
      </c>
      <c r="D562" s="14" t="s">
        <v>1158</v>
      </c>
      <c r="E562" s="14" t="s">
        <v>48</v>
      </c>
      <c r="F562" s="15">
        <v>0.5</v>
      </c>
      <c r="G562" s="14" t="s">
        <v>1076</v>
      </c>
      <c r="H562" s="19" t="s">
        <v>1077</v>
      </c>
    </row>
    <row r="563" spans="1:8" ht="28.8" hidden="1" x14ac:dyDescent="0.55000000000000004">
      <c r="A563" s="13" t="s">
        <v>1160</v>
      </c>
      <c r="B563" s="14"/>
      <c r="C563" s="14" t="s">
        <v>1161</v>
      </c>
      <c r="D563" s="14" t="s">
        <v>1160</v>
      </c>
      <c r="E563" s="14" t="s">
        <v>48</v>
      </c>
      <c r="F563" s="15">
        <v>0.6333333333333333</v>
      </c>
      <c r="G563" s="14" t="s">
        <v>1076</v>
      </c>
      <c r="H563" s="19" t="s">
        <v>1077</v>
      </c>
    </row>
    <row r="564" spans="1:8" ht="28.8" hidden="1" x14ac:dyDescent="0.55000000000000004">
      <c r="A564" s="13" t="s">
        <v>1162</v>
      </c>
      <c r="B564" s="14"/>
      <c r="C564" s="14" t="s">
        <v>1163</v>
      </c>
      <c r="D564" s="14" t="s">
        <v>1162</v>
      </c>
      <c r="E564" s="14" t="s">
        <v>48</v>
      </c>
      <c r="F564" s="15">
        <v>0.51666666666666672</v>
      </c>
      <c r="G564" s="14" t="s">
        <v>1076</v>
      </c>
      <c r="H564" s="19" t="s">
        <v>1077</v>
      </c>
    </row>
    <row r="565" spans="1:8" hidden="1" x14ac:dyDescent="0.55000000000000004">
      <c r="A565" s="13" t="s">
        <v>1164</v>
      </c>
      <c r="B565" s="14"/>
      <c r="C565" s="14" t="s">
        <v>1165</v>
      </c>
      <c r="D565" s="14" t="s">
        <v>1164</v>
      </c>
      <c r="E565" s="14" t="s">
        <v>48</v>
      </c>
      <c r="F565" s="15">
        <v>0.17</v>
      </c>
      <c r="G565" s="14" t="s">
        <v>1076</v>
      </c>
      <c r="H565" s="19" t="s">
        <v>1077</v>
      </c>
    </row>
    <row r="566" spans="1:8" ht="28.8" hidden="1" x14ac:dyDescent="0.55000000000000004">
      <c r="A566" s="13" t="s">
        <v>1166</v>
      </c>
      <c r="B566" s="14"/>
      <c r="C566" s="14" t="s">
        <v>1167</v>
      </c>
      <c r="D566" s="14" t="s">
        <v>1166</v>
      </c>
      <c r="E566" s="14" t="s">
        <v>48</v>
      </c>
      <c r="F566" s="15">
        <v>0.75</v>
      </c>
      <c r="G566" s="14" t="s">
        <v>1076</v>
      </c>
      <c r="H566" s="19" t="s">
        <v>1077</v>
      </c>
    </row>
    <row r="567" spans="1:8" ht="43.2" hidden="1" x14ac:dyDescent="0.55000000000000004">
      <c r="A567" s="13" t="s">
        <v>1168</v>
      </c>
      <c r="B567" s="14"/>
      <c r="C567" s="14" t="s">
        <v>1169</v>
      </c>
      <c r="D567" s="14" t="s">
        <v>1168</v>
      </c>
      <c r="E567" s="14" t="s">
        <v>48</v>
      </c>
      <c r="F567" s="15">
        <v>0.8</v>
      </c>
      <c r="G567" s="14" t="s">
        <v>1076</v>
      </c>
      <c r="H567" s="19" t="s">
        <v>1077</v>
      </c>
    </row>
    <row r="568" spans="1:8" ht="43.2" hidden="1" x14ac:dyDescent="0.55000000000000004">
      <c r="A568" s="13" t="s">
        <v>1170</v>
      </c>
      <c r="B568" s="14"/>
      <c r="C568" s="14" t="s">
        <v>1171</v>
      </c>
      <c r="D568" s="14" t="s">
        <v>1170</v>
      </c>
      <c r="E568" s="14" t="s">
        <v>48</v>
      </c>
      <c r="F568" s="15">
        <v>0.6</v>
      </c>
      <c r="G568" s="14" t="s">
        <v>1076</v>
      </c>
      <c r="H568" s="19" t="s">
        <v>1077</v>
      </c>
    </row>
    <row r="569" spans="1:8" ht="28.9" hidden="1" customHeight="1" x14ac:dyDescent="0.55000000000000004">
      <c r="A569" s="13" t="s">
        <v>1172</v>
      </c>
      <c r="B569" s="14"/>
      <c r="C569" s="14" t="s">
        <v>1173</v>
      </c>
      <c r="D569" s="14" t="s">
        <v>1172</v>
      </c>
      <c r="E569" s="14" t="s">
        <v>48</v>
      </c>
      <c r="F569" s="15">
        <v>0.8</v>
      </c>
      <c r="G569" s="14" t="s">
        <v>1076</v>
      </c>
      <c r="H569" s="19" t="s">
        <v>1077</v>
      </c>
    </row>
    <row r="570" spans="1:8" ht="28.9" hidden="1" customHeight="1" x14ac:dyDescent="0.55000000000000004">
      <c r="A570" s="13" t="s">
        <v>1174</v>
      </c>
      <c r="B570" s="14"/>
      <c r="C570" s="14" t="s">
        <v>1175</v>
      </c>
      <c r="D570" s="14" t="s">
        <v>1174</v>
      </c>
      <c r="E570" s="14" t="s">
        <v>48</v>
      </c>
      <c r="F570" s="15">
        <v>0.215</v>
      </c>
      <c r="G570" s="14" t="s">
        <v>1076</v>
      </c>
      <c r="H570" s="19" t="s">
        <v>1077</v>
      </c>
    </row>
    <row r="571" spans="1:8" ht="28.9" hidden="1" customHeight="1" x14ac:dyDescent="0.55000000000000004">
      <c r="A571" s="13" t="s">
        <v>1176</v>
      </c>
      <c r="B571" s="14"/>
      <c r="C571" s="14" t="s">
        <v>1177</v>
      </c>
      <c r="D571" s="14" t="s">
        <v>1176</v>
      </c>
      <c r="E571" s="14" t="s">
        <v>48</v>
      </c>
      <c r="F571" s="15">
        <v>0.75</v>
      </c>
      <c r="G571" s="14" t="s">
        <v>1076</v>
      </c>
      <c r="H571" s="19" t="s">
        <v>1077</v>
      </c>
    </row>
    <row r="572" spans="1:8" ht="28.8" hidden="1" x14ac:dyDescent="0.55000000000000004">
      <c r="A572" s="13" t="s">
        <v>1178</v>
      </c>
      <c r="B572" s="14"/>
      <c r="C572" s="14" t="s">
        <v>1179</v>
      </c>
      <c r="D572" s="14" t="s">
        <v>1178</v>
      </c>
      <c r="E572" s="14" t="s">
        <v>48</v>
      </c>
      <c r="F572" s="15">
        <v>0.86</v>
      </c>
      <c r="G572" s="14" t="s">
        <v>1076</v>
      </c>
      <c r="H572" s="19" t="s">
        <v>1077</v>
      </c>
    </row>
    <row r="573" spans="1:8" ht="28.9" hidden="1" customHeight="1" x14ac:dyDescent="0.55000000000000004">
      <c r="A573" s="13" t="s">
        <v>1180</v>
      </c>
      <c r="B573" s="14"/>
      <c r="C573" s="14" t="s">
        <v>1181</v>
      </c>
      <c r="D573" s="14" t="s">
        <v>1180</v>
      </c>
      <c r="E573" s="14" t="s">
        <v>48</v>
      </c>
      <c r="F573" s="15">
        <v>2.0384615384615383</v>
      </c>
      <c r="G573" s="14" t="s">
        <v>1076</v>
      </c>
      <c r="H573" s="19" t="s">
        <v>1077</v>
      </c>
    </row>
    <row r="574" spans="1:8" ht="28.8" hidden="1" x14ac:dyDescent="0.55000000000000004">
      <c r="A574" s="13" t="s">
        <v>1182</v>
      </c>
      <c r="B574" s="14"/>
      <c r="C574" s="14" t="s">
        <v>1183</v>
      </c>
      <c r="D574" s="14" t="s">
        <v>1182</v>
      </c>
      <c r="E574" s="14" t="s">
        <v>48</v>
      </c>
      <c r="F574" s="15">
        <v>0.57999999999999996</v>
      </c>
      <c r="G574" s="14" t="s">
        <v>1076</v>
      </c>
      <c r="H574" s="19" t="s">
        <v>1077</v>
      </c>
    </row>
    <row r="575" spans="1:8" ht="28.8" hidden="1" x14ac:dyDescent="0.55000000000000004">
      <c r="A575" s="13" t="s">
        <v>1184</v>
      </c>
      <c r="B575" s="14"/>
      <c r="C575" s="14" t="s">
        <v>1185</v>
      </c>
      <c r="D575" s="14" t="s">
        <v>1184</v>
      </c>
      <c r="E575" s="14" t="s">
        <v>48</v>
      </c>
      <c r="F575" s="15">
        <v>1.719E-2</v>
      </c>
      <c r="G575" s="14" t="s">
        <v>1076</v>
      </c>
      <c r="H575" s="19" t="s">
        <v>1077</v>
      </c>
    </row>
    <row r="576" spans="1:8" hidden="1" x14ac:dyDescent="0.55000000000000004">
      <c r="A576" s="13" t="s">
        <v>1186</v>
      </c>
      <c r="B576" s="14"/>
      <c r="C576" s="14" t="s">
        <v>1187</v>
      </c>
      <c r="D576" s="14" t="s">
        <v>1186</v>
      </c>
      <c r="E576" s="14" t="s">
        <v>48</v>
      </c>
      <c r="F576" s="15">
        <v>5.4999999999999997E-3</v>
      </c>
      <c r="G576" s="14" t="s">
        <v>1076</v>
      </c>
      <c r="H576" s="19" t="s">
        <v>1077</v>
      </c>
    </row>
    <row r="577" spans="1:8" ht="28.9" hidden="1" customHeight="1" x14ac:dyDescent="0.55000000000000004">
      <c r="A577" s="13" t="s">
        <v>1188</v>
      </c>
      <c r="B577" s="14"/>
      <c r="C577" s="14" t="s">
        <v>1189</v>
      </c>
      <c r="D577" s="14" t="s">
        <v>1188</v>
      </c>
      <c r="E577" s="14" t="s">
        <v>48</v>
      </c>
      <c r="F577" s="15">
        <v>2.4E-2</v>
      </c>
      <c r="G577" s="14" t="s">
        <v>1076</v>
      </c>
      <c r="H577" s="19" t="s">
        <v>1077</v>
      </c>
    </row>
    <row r="578" spans="1:8" ht="28.8" hidden="1" x14ac:dyDescent="0.55000000000000004">
      <c r="A578" s="13" t="s">
        <v>1190</v>
      </c>
      <c r="B578" s="14"/>
      <c r="C578" s="14" t="s">
        <v>1191</v>
      </c>
      <c r="D578" s="14" t="s">
        <v>1190</v>
      </c>
      <c r="E578" s="14" t="s">
        <v>48</v>
      </c>
      <c r="F578" s="15">
        <v>7.5999999999999998E-2</v>
      </c>
      <c r="G578" s="14" t="s">
        <v>1076</v>
      </c>
      <c r="H578" s="19" t="s">
        <v>1077</v>
      </c>
    </row>
    <row r="579" spans="1:8" hidden="1" x14ac:dyDescent="0.55000000000000004">
      <c r="A579" s="13" t="s">
        <v>1192</v>
      </c>
      <c r="B579" s="14"/>
      <c r="C579" s="14" t="s">
        <v>1193</v>
      </c>
      <c r="D579" s="14" t="s">
        <v>1192</v>
      </c>
      <c r="E579" s="14" t="s">
        <v>48</v>
      </c>
      <c r="F579" s="15">
        <v>7.0000000000000007E-2</v>
      </c>
      <c r="G579" s="14" t="s">
        <v>1076</v>
      </c>
      <c r="H579" s="19" t="s">
        <v>1077</v>
      </c>
    </row>
    <row r="580" spans="1:8" hidden="1" x14ac:dyDescent="0.55000000000000004">
      <c r="A580" s="13" t="s">
        <v>1194</v>
      </c>
      <c r="B580" s="14"/>
      <c r="C580" s="14" t="s">
        <v>1195</v>
      </c>
      <c r="D580" s="14" t="s">
        <v>1194</v>
      </c>
      <c r="E580" s="14" t="s">
        <v>48</v>
      </c>
      <c r="F580" s="15">
        <v>3.5000000000000003E-2</v>
      </c>
      <c r="G580" s="14" t="s">
        <v>1076</v>
      </c>
      <c r="H580" s="19" t="s">
        <v>1077</v>
      </c>
    </row>
    <row r="581" spans="1:8" hidden="1" x14ac:dyDescent="0.55000000000000004">
      <c r="A581" s="13" t="s">
        <v>1196</v>
      </c>
      <c r="B581" s="14"/>
      <c r="C581" s="14" t="s">
        <v>1197</v>
      </c>
      <c r="D581" s="14" t="s">
        <v>1196</v>
      </c>
      <c r="E581" s="14" t="s">
        <v>48</v>
      </c>
      <c r="F581" s="15">
        <v>7.4999999999999997E-2</v>
      </c>
      <c r="G581" s="14" t="s">
        <v>1076</v>
      </c>
      <c r="H581" s="19" t="s">
        <v>1077</v>
      </c>
    </row>
    <row r="582" spans="1:8" hidden="1" x14ac:dyDescent="0.55000000000000004">
      <c r="A582" s="13" t="s">
        <v>1198</v>
      </c>
      <c r="B582" s="14"/>
      <c r="C582" s="14" t="s">
        <v>1199</v>
      </c>
      <c r="D582" s="14" t="s">
        <v>1198</v>
      </c>
      <c r="E582" s="14" t="s">
        <v>48</v>
      </c>
      <c r="F582" s="15">
        <v>0.2</v>
      </c>
      <c r="G582" s="14" t="s">
        <v>1076</v>
      </c>
      <c r="H582" s="19" t="s">
        <v>1077</v>
      </c>
    </row>
    <row r="583" spans="1:8" ht="43.2" hidden="1" x14ac:dyDescent="0.55000000000000004">
      <c r="A583" s="13" t="s">
        <v>1200</v>
      </c>
      <c r="B583" s="14"/>
      <c r="C583" s="14" t="s">
        <v>1201</v>
      </c>
      <c r="D583" s="14" t="s">
        <v>1200</v>
      </c>
      <c r="E583" s="14" t="s">
        <v>48</v>
      </c>
      <c r="F583" s="15">
        <v>0.23400000000000001</v>
      </c>
      <c r="G583" s="14" t="s">
        <v>1076</v>
      </c>
      <c r="H583" s="19" t="s">
        <v>1077</v>
      </c>
    </row>
    <row r="584" spans="1:8" ht="28.8" hidden="1" x14ac:dyDescent="0.55000000000000004">
      <c r="A584" s="87" t="s">
        <v>1202</v>
      </c>
      <c r="B584" s="14"/>
      <c r="C584" s="14" t="s">
        <v>1203</v>
      </c>
      <c r="D584" s="14" t="s">
        <v>1202</v>
      </c>
      <c r="E584" s="14" t="s">
        <v>48</v>
      </c>
      <c r="F584" s="15">
        <v>0.34</v>
      </c>
      <c r="G584" s="14" t="s">
        <v>1076</v>
      </c>
      <c r="H584" s="19" t="s">
        <v>1077</v>
      </c>
    </row>
    <row r="585" spans="1:8" ht="28.8" hidden="1" x14ac:dyDescent="0.55000000000000004">
      <c r="A585" s="13" t="s">
        <v>1204</v>
      </c>
      <c r="B585" s="14"/>
      <c r="C585" s="14" t="s">
        <v>1205</v>
      </c>
      <c r="D585" s="14" t="s">
        <v>1204</v>
      </c>
      <c r="E585" s="14" t="s">
        <v>48</v>
      </c>
      <c r="F585" s="15">
        <v>0.185</v>
      </c>
      <c r="G585" s="14" t="s">
        <v>1076</v>
      </c>
      <c r="H585" s="19" t="s">
        <v>1077</v>
      </c>
    </row>
    <row r="586" spans="1:8" ht="28.9" hidden="1" customHeight="1" x14ac:dyDescent="0.55000000000000004">
      <c r="A586" s="13" t="s">
        <v>1206</v>
      </c>
      <c r="B586" s="14"/>
      <c r="C586" s="14" t="s">
        <v>1207</v>
      </c>
      <c r="D586" s="14" t="s">
        <v>1206</v>
      </c>
      <c r="E586" s="14" t="s">
        <v>48</v>
      </c>
      <c r="F586" s="15">
        <v>7.0000000000000007E-2</v>
      </c>
      <c r="G586" s="14" t="s">
        <v>1076</v>
      </c>
      <c r="H586" s="19" t="s">
        <v>1077</v>
      </c>
    </row>
    <row r="587" spans="1:8" hidden="1" x14ac:dyDescent="0.55000000000000004">
      <c r="A587" s="13" t="s">
        <v>1208</v>
      </c>
      <c r="B587" s="14"/>
      <c r="C587" s="14" t="s">
        <v>1209</v>
      </c>
      <c r="D587" s="14" t="s">
        <v>1208</v>
      </c>
      <c r="E587" s="14" t="s">
        <v>48</v>
      </c>
      <c r="F587" s="15">
        <v>0.16500000000000001</v>
      </c>
      <c r="G587" s="14" t="s">
        <v>1076</v>
      </c>
      <c r="H587" s="19" t="s">
        <v>1077</v>
      </c>
    </row>
    <row r="588" spans="1:8" ht="43.2" hidden="1" x14ac:dyDescent="0.55000000000000004">
      <c r="A588" s="13" t="s">
        <v>1210</v>
      </c>
      <c r="B588" s="14"/>
      <c r="C588" s="14" t="s">
        <v>1211</v>
      </c>
      <c r="D588" s="14" t="s">
        <v>1210</v>
      </c>
      <c r="E588" s="14" t="s">
        <v>48</v>
      </c>
      <c r="F588" s="15">
        <v>0.77500000000000002</v>
      </c>
      <c r="G588" s="14" t="s">
        <v>1076</v>
      </c>
      <c r="H588" s="19" t="s">
        <v>1077</v>
      </c>
    </row>
    <row r="589" spans="1:8" ht="28.8" hidden="1" x14ac:dyDescent="0.55000000000000004">
      <c r="A589" s="13" t="s">
        <v>1212</v>
      </c>
      <c r="B589" s="14"/>
      <c r="C589" s="14" t="s">
        <v>1213</v>
      </c>
      <c r="D589" s="14" t="s">
        <v>1212</v>
      </c>
      <c r="E589" s="14" t="s">
        <v>48</v>
      </c>
      <c r="F589" s="15">
        <v>0.83199999999999996</v>
      </c>
      <c r="G589" s="14" t="s">
        <v>1076</v>
      </c>
      <c r="H589" s="19" t="s">
        <v>1077</v>
      </c>
    </row>
    <row r="590" spans="1:8" ht="43.2" hidden="1" x14ac:dyDescent="0.55000000000000004">
      <c r="A590" s="13" t="s">
        <v>1214</v>
      </c>
      <c r="B590" s="14"/>
      <c r="C590" s="14" t="s">
        <v>1215</v>
      </c>
      <c r="D590" s="14" t="s">
        <v>1214</v>
      </c>
      <c r="E590" s="14" t="s">
        <v>48</v>
      </c>
      <c r="F590" s="15">
        <v>0.34</v>
      </c>
      <c r="G590" s="14" t="s">
        <v>1076</v>
      </c>
      <c r="H590" s="19" t="s">
        <v>1077</v>
      </c>
    </row>
    <row r="591" spans="1:8" ht="28.9" hidden="1" customHeight="1" x14ac:dyDescent="0.55000000000000004">
      <c r="A591" s="13" t="s">
        <v>1216</v>
      </c>
      <c r="B591" s="14"/>
      <c r="C591" s="14" t="s">
        <v>1217</v>
      </c>
      <c r="D591" s="14" t="s">
        <v>1216</v>
      </c>
      <c r="E591" s="14" t="s">
        <v>48</v>
      </c>
      <c r="F591" s="15">
        <v>0.67200000000000004</v>
      </c>
      <c r="G591" s="14" t="s">
        <v>1076</v>
      </c>
      <c r="H591" s="19" t="s">
        <v>1077</v>
      </c>
    </row>
    <row r="592" spans="1:8" ht="28.9" hidden="1" customHeight="1" x14ac:dyDescent="0.55000000000000004">
      <c r="A592" s="13" t="s">
        <v>1218</v>
      </c>
      <c r="B592" s="14"/>
      <c r="C592" s="14" t="s">
        <v>1219</v>
      </c>
      <c r="D592" s="14" t="s">
        <v>1218</v>
      </c>
      <c r="E592" s="14" t="s">
        <v>48</v>
      </c>
      <c r="F592" s="15">
        <v>0.32</v>
      </c>
      <c r="G592" s="14" t="s">
        <v>1076</v>
      </c>
      <c r="H592" s="19" t="s">
        <v>1077</v>
      </c>
    </row>
    <row r="593" spans="1:8" ht="28.9" hidden="1" customHeight="1" x14ac:dyDescent="0.55000000000000004">
      <c r="A593" s="87" t="s">
        <v>1767</v>
      </c>
      <c r="B593" s="14"/>
      <c r="C593" s="14" t="s">
        <v>1766</v>
      </c>
      <c r="D593" s="13" t="s">
        <v>1765</v>
      </c>
      <c r="E593" s="14" t="s">
        <v>48</v>
      </c>
      <c r="F593" s="15">
        <v>0.14499999999999999</v>
      </c>
      <c r="G593" s="14"/>
      <c r="H593" s="19"/>
    </row>
    <row r="594" spans="1:8" ht="28.9" hidden="1" customHeight="1" x14ac:dyDescent="0.55000000000000004">
      <c r="A594" s="13" t="s">
        <v>1220</v>
      </c>
      <c r="B594" s="14"/>
      <c r="C594" s="14" t="s">
        <v>1221</v>
      </c>
      <c r="D594" s="14" t="s">
        <v>1220</v>
      </c>
      <c r="E594" s="14" t="s">
        <v>48</v>
      </c>
      <c r="F594" s="15">
        <v>0.28999999999999998</v>
      </c>
      <c r="G594" s="14" t="s">
        <v>1076</v>
      </c>
      <c r="H594" s="19" t="s">
        <v>1077</v>
      </c>
    </row>
    <row r="595" spans="1:8" hidden="1" x14ac:dyDescent="0.55000000000000004">
      <c r="A595" s="13" t="s">
        <v>1222</v>
      </c>
      <c r="B595" s="14"/>
      <c r="C595" s="14" t="s">
        <v>1223</v>
      </c>
      <c r="D595" s="14" t="s">
        <v>1222</v>
      </c>
      <c r="E595" s="14" t="s">
        <v>48</v>
      </c>
      <c r="F595" s="15">
        <v>0.21</v>
      </c>
      <c r="G595" s="14" t="s">
        <v>1076</v>
      </c>
      <c r="H595" s="19" t="s">
        <v>1077</v>
      </c>
    </row>
    <row r="596" spans="1:8" ht="28.8" hidden="1" x14ac:dyDescent="0.55000000000000004">
      <c r="A596" s="13" t="s">
        <v>1224</v>
      </c>
      <c r="B596" s="14"/>
      <c r="C596" s="14" t="s">
        <v>1225</v>
      </c>
      <c r="D596" s="14" t="s">
        <v>1224</v>
      </c>
      <c r="E596" s="14" t="s">
        <v>48</v>
      </c>
      <c r="F596" s="15">
        <v>0.28000000000000003</v>
      </c>
      <c r="G596" s="14" t="s">
        <v>1076</v>
      </c>
      <c r="H596" s="19" t="s">
        <v>1077</v>
      </c>
    </row>
    <row r="597" spans="1:8" ht="28.8" hidden="1" x14ac:dyDescent="0.55000000000000004">
      <c r="A597" s="13" t="s">
        <v>1226</v>
      </c>
      <c r="B597" s="14"/>
      <c r="C597" s="14" t="s">
        <v>1227</v>
      </c>
      <c r="D597" s="14" t="s">
        <v>1226</v>
      </c>
      <c r="E597" s="14" t="s">
        <v>48</v>
      </c>
      <c r="F597" s="15">
        <v>0.2</v>
      </c>
      <c r="G597" s="14" t="s">
        <v>1076</v>
      </c>
      <c r="H597" s="19" t="s">
        <v>1077</v>
      </c>
    </row>
    <row r="598" spans="1:8" hidden="1" x14ac:dyDescent="0.55000000000000004">
      <c r="A598" s="13" t="s">
        <v>1228</v>
      </c>
      <c r="B598" s="14"/>
      <c r="C598" s="14" t="s">
        <v>1229</v>
      </c>
      <c r="D598" s="14" t="s">
        <v>1228</v>
      </c>
      <c r="E598" s="14" t="s">
        <v>48</v>
      </c>
      <c r="F598" s="15">
        <v>0.9</v>
      </c>
      <c r="G598" s="14" t="s">
        <v>1076</v>
      </c>
      <c r="H598" s="19" t="s">
        <v>1077</v>
      </c>
    </row>
    <row r="599" spans="1:8" ht="28.8" hidden="1" x14ac:dyDescent="0.55000000000000004">
      <c r="A599" s="13" t="s">
        <v>1230</v>
      </c>
      <c r="B599" s="14"/>
      <c r="C599" s="14" t="s">
        <v>1231</v>
      </c>
      <c r="D599" s="14" t="s">
        <v>1230</v>
      </c>
      <c r="E599" s="14" t="s">
        <v>48</v>
      </c>
      <c r="F599" s="15">
        <v>0.224</v>
      </c>
      <c r="G599" s="14" t="s">
        <v>1076</v>
      </c>
      <c r="H599" s="19" t="s">
        <v>1077</v>
      </c>
    </row>
    <row r="600" spans="1:8" ht="28.8" hidden="1" x14ac:dyDescent="0.55000000000000004">
      <c r="A600" s="13" t="s">
        <v>1232</v>
      </c>
      <c r="B600" s="14"/>
      <c r="C600" s="14" t="s">
        <v>1233</v>
      </c>
      <c r="D600" s="14" t="s">
        <v>1232</v>
      </c>
      <c r="E600" s="14" t="s">
        <v>48</v>
      </c>
      <c r="F600" s="15">
        <v>0.26</v>
      </c>
      <c r="G600" s="14" t="s">
        <v>1076</v>
      </c>
      <c r="H600" s="19" t="s">
        <v>1077</v>
      </c>
    </row>
    <row r="601" spans="1:8" ht="28.8" hidden="1" x14ac:dyDescent="0.55000000000000004">
      <c r="A601" s="87" t="s">
        <v>1234</v>
      </c>
      <c r="B601" s="14"/>
      <c r="C601" s="14" t="s">
        <v>1235</v>
      </c>
      <c r="D601" s="14" t="s">
        <v>1234</v>
      </c>
      <c r="E601" s="14" t="s">
        <v>48</v>
      </c>
      <c r="F601" s="15">
        <v>0.39200000000000002</v>
      </c>
      <c r="G601" s="14" t="s">
        <v>1076</v>
      </c>
      <c r="H601" s="19" t="s">
        <v>1077</v>
      </c>
    </row>
    <row r="602" spans="1:8" ht="28.9" hidden="1" customHeight="1" x14ac:dyDescent="0.55000000000000004">
      <c r="A602" s="13" t="s">
        <v>1236</v>
      </c>
      <c r="B602" s="14"/>
      <c r="C602" s="14" t="s">
        <v>1237</v>
      </c>
      <c r="D602" s="14" t="s">
        <v>1236</v>
      </c>
      <c r="E602" s="14" t="s">
        <v>48</v>
      </c>
      <c r="F602" s="15">
        <v>0.27</v>
      </c>
      <c r="G602" s="14" t="s">
        <v>1076</v>
      </c>
      <c r="H602" s="19" t="s">
        <v>1077</v>
      </c>
    </row>
    <row r="603" spans="1:8" ht="28.8" hidden="1" x14ac:dyDescent="0.55000000000000004">
      <c r="A603" s="13" t="s">
        <v>1238</v>
      </c>
      <c r="B603" s="14"/>
      <c r="C603" s="14" t="s">
        <v>1239</v>
      </c>
      <c r="D603" s="14" t="s">
        <v>1238</v>
      </c>
      <c r="E603" s="14" t="s">
        <v>48</v>
      </c>
      <c r="F603" s="15">
        <v>0.224</v>
      </c>
      <c r="G603" s="14" t="s">
        <v>1076</v>
      </c>
      <c r="H603" s="19" t="s">
        <v>1077</v>
      </c>
    </row>
    <row r="604" spans="1:8" ht="28.8" hidden="1" x14ac:dyDescent="0.55000000000000004">
      <c r="A604" s="13" t="s">
        <v>1240</v>
      </c>
      <c r="B604" s="14"/>
      <c r="C604" s="14" t="s">
        <v>1241</v>
      </c>
      <c r="D604" s="14" t="s">
        <v>1240</v>
      </c>
      <c r="E604" s="14" t="s">
        <v>48</v>
      </c>
      <c r="F604" s="15">
        <v>0.25</v>
      </c>
      <c r="G604" s="14" t="s">
        <v>1076</v>
      </c>
      <c r="H604" s="19" t="s">
        <v>1077</v>
      </c>
    </row>
    <row r="605" spans="1:8" ht="28.8" hidden="1" x14ac:dyDescent="0.55000000000000004">
      <c r="A605" s="13" t="s">
        <v>1242</v>
      </c>
      <c r="B605" s="14"/>
      <c r="C605" s="14" t="s">
        <v>1243</v>
      </c>
      <c r="D605" s="14" t="s">
        <v>1242</v>
      </c>
      <c r="E605" s="14" t="s">
        <v>48</v>
      </c>
      <c r="F605" s="15">
        <v>0.35</v>
      </c>
      <c r="G605" s="14" t="s">
        <v>1076</v>
      </c>
      <c r="H605" s="19" t="s">
        <v>1077</v>
      </c>
    </row>
    <row r="606" spans="1:8" hidden="1" x14ac:dyDescent="0.55000000000000004">
      <c r="A606" s="13" t="s">
        <v>1244</v>
      </c>
      <c r="B606" s="14"/>
      <c r="C606" s="14" t="s">
        <v>1245</v>
      </c>
      <c r="D606" s="14" t="s">
        <v>1244</v>
      </c>
      <c r="E606" s="14" t="s">
        <v>48</v>
      </c>
      <c r="F606" s="15">
        <v>0.155</v>
      </c>
      <c r="G606" s="14" t="s">
        <v>1076</v>
      </c>
      <c r="H606" s="19" t="s">
        <v>1077</v>
      </c>
    </row>
    <row r="607" spans="1:8" ht="28.9" hidden="1" customHeight="1" x14ac:dyDescent="0.55000000000000004">
      <c r="A607" s="13" t="s">
        <v>1246</v>
      </c>
      <c r="B607" s="14"/>
      <c r="C607" s="14" t="s">
        <v>1247</v>
      </c>
      <c r="D607" s="14" t="s">
        <v>1246</v>
      </c>
      <c r="E607" s="14" t="s">
        <v>48</v>
      </c>
      <c r="F607" s="15">
        <v>0.21249999999999999</v>
      </c>
      <c r="G607" s="14" t="s">
        <v>1076</v>
      </c>
      <c r="H607" s="19" t="s">
        <v>1077</v>
      </c>
    </row>
    <row r="608" spans="1:8" ht="28.9" hidden="1" customHeight="1" x14ac:dyDescent="0.55000000000000004">
      <c r="A608" s="13" t="s">
        <v>1248</v>
      </c>
      <c r="B608" s="14"/>
      <c r="C608" s="14" t="s">
        <v>1249</v>
      </c>
      <c r="D608" s="14" t="s">
        <v>1248</v>
      </c>
      <c r="E608" s="14" t="s">
        <v>48</v>
      </c>
      <c r="F608" s="15">
        <v>0.21249999999999999</v>
      </c>
      <c r="G608" s="14" t="s">
        <v>1076</v>
      </c>
      <c r="H608" s="19" t="s">
        <v>1077</v>
      </c>
    </row>
    <row r="609" spans="1:8" ht="28.8" hidden="1" x14ac:dyDescent="0.55000000000000004">
      <c r="A609" s="13" t="s">
        <v>1250</v>
      </c>
      <c r="B609" s="14"/>
      <c r="C609" s="14" t="s">
        <v>1251</v>
      </c>
      <c r="D609" s="14" t="s">
        <v>1250</v>
      </c>
      <c r="E609" s="14"/>
      <c r="F609" s="15">
        <v>0.53333333333333333</v>
      </c>
      <c r="G609" s="14" t="s">
        <v>1076</v>
      </c>
      <c r="H609" s="19" t="s">
        <v>1077</v>
      </c>
    </row>
    <row r="610" spans="1:8" ht="28.8" hidden="1" x14ac:dyDescent="0.55000000000000004">
      <c r="A610" s="13" t="s">
        <v>1252</v>
      </c>
      <c r="B610" s="14"/>
      <c r="C610" s="14" t="s">
        <v>1253</v>
      </c>
      <c r="D610" s="14" t="s">
        <v>1252</v>
      </c>
      <c r="E610" s="14" t="s">
        <v>48</v>
      </c>
      <c r="F610" s="15">
        <v>0.66666666666666663</v>
      </c>
      <c r="G610" s="14" t="s">
        <v>1076</v>
      </c>
      <c r="H610" s="19" t="s">
        <v>1077</v>
      </c>
    </row>
    <row r="611" spans="1:8" ht="43.2" hidden="1" x14ac:dyDescent="0.55000000000000004">
      <c r="A611" s="13" t="s">
        <v>1254</v>
      </c>
      <c r="B611" s="14"/>
      <c r="C611" s="14" t="s">
        <v>1255</v>
      </c>
      <c r="D611" s="14" t="s">
        <v>1254</v>
      </c>
      <c r="E611" s="14" t="s">
        <v>48</v>
      </c>
      <c r="F611" s="15">
        <v>0.57999999999999996</v>
      </c>
      <c r="G611" s="14" t="s">
        <v>1076</v>
      </c>
      <c r="H611" s="19" t="s">
        <v>1077</v>
      </c>
    </row>
    <row r="612" spans="1:8" ht="28.9" hidden="1" customHeight="1" x14ac:dyDescent="0.55000000000000004">
      <c r="A612" s="13" t="s">
        <v>1256</v>
      </c>
      <c r="B612" s="14"/>
      <c r="C612" s="14" t="s">
        <v>1257</v>
      </c>
      <c r="D612" s="14" t="s">
        <v>1256</v>
      </c>
      <c r="E612" s="14" t="s">
        <v>48</v>
      </c>
      <c r="F612" s="15">
        <v>0.87</v>
      </c>
      <c r="G612" s="14" t="s">
        <v>1076</v>
      </c>
      <c r="H612" s="19" t="s">
        <v>1077</v>
      </c>
    </row>
    <row r="613" spans="1:8" ht="28.9" hidden="1" customHeight="1" x14ac:dyDescent="0.55000000000000004">
      <c r="A613" s="13" t="s">
        <v>1258</v>
      </c>
      <c r="B613" s="14"/>
      <c r="C613" s="14" t="s">
        <v>1259</v>
      </c>
      <c r="D613" s="14" t="s">
        <v>1258</v>
      </c>
      <c r="E613" s="14" t="s">
        <v>48</v>
      </c>
      <c r="F613" s="15">
        <v>1.1666666666666667</v>
      </c>
      <c r="G613" s="14" t="s">
        <v>1076</v>
      </c>
      <c r="H613" s="19" t="s">
        <v>1077</v>
      </c>
    </row>
    <row r="614" spans="1:8" ht="28.9" hidden="1" customHeight="1" x14ac:dyDescent="0.55000000000000004">
      <c r="A614" s="13" t="s">
        <v>1260</v>
      </c>
      <c r="B614" s="14"/>
      <c r="C614" s="14" t="s">
        <v>1261</v>
      </c>
      <c r="D614" s="14" t="s">
        <v>1260</v>
      </c>
      <c r="E614" s="14" t="s">
        <v>48</v>
      </c>
      <c r="F614" s="15">
        <v>0.65</v>
      </c>
      <c r="G614" s="14" t="s">
        <v>1076</v>
      </c>
      <c r="H614" s="19" t="s">
        <v>1077</v>
      </c>
    </row>
    <row r="615" spans="1:8" ht="28.9" hidden="1" customHeight="1" x14ac:dyDescent="0.55000000000000004">
      <c r="A615" s="13" t="s">
        <v>1262</v>
      </c>
      <c r="B615" s="14"/>
      <c r="C615" s="14" t="s">
        <v>1263</v>
      </c>
      <c r="D615" s="14" t="s">
        <v>1262</v>
      </c>
      <c r="E615" s="14" t="s">
        <v>48</v>
      </c>
      <c r="F615" s="15">
        <v>0.8666666666666667</v>
      </c>
      <c r="G615" s="14" t="s">
        <v>1076</v>
      </c>
      <c r="H615" s="19" t="s">
        <v>1077</v>
      </c>
    </row>
    <row r="616" spans="1:8" ht="28.9" hidden="1" customHeight="1" x14ac:dyDescent="0.55000000000000004">
      <c r="A616" s="13" t="s">
        <v>1264</v>
      </c>
      <c r="B616" s="14"/>
      <c r="C616" s="14" t="s">
        <v>1265</v>
      </c>
      <c r="D616" s="14" t="s">
        <v>1264</v>
      </c>
      <c r="E616" s="14" t="s">
        <v>48</v>
      </c>
      <c r="F616" s="15">
        <v>0.434</v>
      </c>
      <c r="G616" s="14" t="s">
        <v>1076</v>
      </c>
      <c r="H616" s="19" t="s">
        <v>1077</v>
      </c>
    </row>
    <row r="617" spans="1:8" ht="28.9" hidden="1" customHeight="1" x14ac:dyDescent="0.55000000000000004">
      <c r="A617" s="13" t="s">
        <v>1266</v>
      </c>
      <c r="B617" s="14"/>
      <c r="C617" s="14" t="s">
        <v>1267</v>
      </c>
      <c r="D617" s="14" t="s">
        <v>1266</v>
      </c>
      <c r="E617" s="14" t="s">
        <v>48</v>
      </c>
      <c r="F617" s="15">
        <v>3.8</v>
      </c>
      <c r="G617" s="14" t="s">
        <v>1076</v>
      </c>
      <c r="H617" s="19" t="s">
        <v>1077</v>
      </c>
    </row>
    <row r="618" spans="1:8" ht="28.9" hidden="1" customHeight="1" x14ac:dyDescent="0.55000000000000004">
      <c r="A618" s="13" t="s">
        <v>1268</v>
      </c>
      <c r="B618" s="14"/>
      <c r="C618" s="14" t="s">
        <v>1269</v>
      </c>
      <c r="D618" s="14" t="s">
        <v>1268</v>
      </c>
      <c r="E618" s="14" t="s">
        <v>48</v>
      </c>
      <c r="F618" s="15">
        <v>1.85</v>
      </c>
      <c r="G618" s="14" t="s">
        <v>1076</v>
      </c>
      <c r="H618" s="19" t="s">
        <v>1077</v>
      </c>
    </row>
    <row r="619" spans="1:8" ht="28.9" hidden="1" customHeight="1" x14ac:dyDescent="0.55000000000000004">
      <c r="A619" s="13" t="s">
        <v>1270</v>
      </c>
      <c r="B619" s="14"/>
      <c r="C619" s="14" t="s">
        <v>1271</v>
      </c>
      <c r="D619" s="14" t="s">
        <v>1270</v>
      </c>
      <c r="E619" s="14" t="s">
        <v>48</v>
      </c>
      <c r="F619" s="15">
        <v>1.1951041666666666</v>
      </c>
      <c r="G619" s="14" t="s">
        <v>1076</v>
      </c>
      <c r="H619" s="19" t="s">
        <v>1077</v>
      </c>
    </row>
    <row r="620" spans="1:8" ht="28.9" hidden="1" customHeight="1" x14ac:dyDescent="0.55000000000000004">
      <c r="A620" s="87" t="s">
        <v>1272</v>
      </c>
      <c r="B620" s="14"/>
      <c r="C620" s="14" t="s">
        <v>1273</v>
      </c>
      <c r="D620" s="14" t="s">
        <v>1272</v>
      </c>
      <c r="E620" s="14" t="s">
        <v>48</v>
      </c>
      <c r="F620" s="15">
        <v>0.17499999999999999</v>
      </c>
      <c r="G620" s="14" t="s">
        <v>1076</v>
      </c>
      <c r="H620" s="19" t="s">
        <v>1077</v>
      </c>
    </row>
    <row r="621" spans="1:8" ht="28.9" hidden="1" customHeight="1" x14ac:dyDescent="0.55000000000000004">
      <c r="A621" s="13" t="s">
        <v>1274</v>
      </c>
      <c r="B621" s="14"/>
      <c r="C621" s="14" t="s">
        <v>1275</v>
      </c>
      <c r="D621" s="14" t="s">
        <v>1274</v>
      </c>
      <c r="E621" s="14" t="s">
        <v>48</v>
      </c>
      <c r="F621" s="15">
        <v>0.37</v>
      </c>
      <c r="G621" s="14" t="s">
        <v>1076</v>
      </c>
      <c r="H621" s="19" t="s">
        <v>1077</v>
      </c>
    </row>
    <row r="622" spans="1:8" hidden="1" x14ac:dyDescent="0.55000000000000004">
      <c r="A622" s="13" t="s">
        <v>1276</v>
      </c>
      <c r="B622" s="14"/>
      <c r="C622" s="14" t="s">
        <v>1277</v>
      </c>
      <c r="D622" s="14" t="s">
        <v>1276</v>
      </c>
      <c r="E622" s="14" t="s">
        <v>48</v>
      </c>
      <c r="F622" s="15">
        <v>0.44</v>
      </c>
      <c r="G622" s="14" t="s">
        <v>1076</v>
      </c>
      <c r="H622" s="19" t="s">
        <v>1077</v>
      </c>
    </row>
    <row r="623" spans="1:8" ht="28.8" hidden="1" x14ac:dyDescent="0.55000000000000004">
      <c r="A623" s="13" t="s">
        <v>1278</v>
      </c>
      <c r="B623" s="14"/>
      <c r="C623" s="14" t="s">
        <v>1279</v>
      </c>
      <c r="D623" s="14" t="s">
        <v>1278</v>
      </c>
      <c r="E623" s="14" t="s">
        <v>48</v>
      </c>
      <c r="F623" s="15">
        <v>3.1428571428571428</v>
      </c>
      <c r="G623" s="14" t="s">
        <v>1076</v>
      </c>
      <c r="H623" s="19" t="s">
        <v>1077</v>
      </c>
    </row>
    <row r="624" spans="1:8" ht="28.8" hidden="1" x14ac:dyDescent="0.55000000000000004">
      <c r="A624" s="13" t="s">
        <v>1280</v>
      </c>
      <c r="B624" s="14"/>
      <c r="C624" s="14" t="s">
        <v>1281</v>
      </c>
      <c r="D624" s="14" t="s">
        <v>1280</v>
      </c>
      <c r="E624" s="14" t="s">
        <v>48</v>
      </c>
      <c r="F624" s="15">
        <v>2.5714285714285716</v>
      </c>
      <c r="G624" s="14" t="s">
        <v>1076</v>
      </c>
      <c r="H624" s="19" t="s">
        <v>1077</v>
      </c>
    </row>
    <row r="625" spans="1:8" ht="28.8" hidden="1" x14ac:dyDescent="0.55000000000000004">
      <c r="A625" s="13" t="s">
        <v>1282</v>
      </c>
      <c r="B625" s="14"/>
      <c r="C625" s="14" t="s">
        <v>1283</v>
      </c>
      <c r="D625" s="14" t="s">
        <v>1282</v>
      </c>
      <c r="E625" s="14" t="s">
        <v>48</v>
      </c>
      <c r="F625" s="15">
        <v>1.3194444444444444</v>
      </c>
      <c r="G625" s="14" t="s">
        <v>1076</v>
      </c>
      <c r="H625" s="19" t="s">
        <v>1077</v>
      </c>
    </row>
    <row r="626" spans="1:8" ht="28.8" hidden="1" x14ac:dyDescent="0.55000000000000004">
      <c r="A626" s="13" t="s">
        <v>1284</v>
      </c>
      <c r="B626" s="14"/>
      <c r="C626" s="14" t="s">
        <v>1285</v>
      </c>
      <c r="D626" s="14" t="s">
        <v>1284</v>
      </c>
      <c r="E626" s="14" t="s">
        <v>48</v>
      </c>
      <c r="F626" s="15">
        <v>0.27333333333333332</v>
      </c>
      <c r="G626" s="14" t="s">
        <v>1076</v>
      </c>
      <c r="H626" s="19" t="s">
        <v>1077</v>
      </c>
    </row>
    <row r="627" spans="1:8" ht="28.8" hidden="1" x14ac:dyDescent="0.55000000000000004">
      <c r="A627" s="13" t="s">
        <v>1286</v>
      </c>
      <c r="B627" s="14"/>
      <c r="C627" s="14" t="s">
        <v>1287</v>
      </c>
      <c r="D627" s="14" t="s">
        <v>1286</v>
      </c>
      <c r="E627" s="14" t="s">
        <v>48</v>
      </c>
      <c r="F627" s="15">
        <v>0.108</v>
      </c>
      <c r="G627" s="14" t="s">
        <v>1076</v>
      </c>
      <c r="H627" s="19" t="s">
        <v>1077</v>
      </c>
    </row>
    <row r="628" spans="1:8" hidden="1" x14ac:dyDescent="0.55000000000000004">
      <c r="A628" s="13" t="s">
        <v>1288</v>
      </c>
      <c r="B628" s="14"/>
      <c r="C628" s="14" t="s">
        <v>1289</v>
      </c>
      <c r="D628" s="14" t="s">
        <v>1288</v>
      </c>
      <c r="E628" s="14" t="s">
        <v>48</v>
      </c>
      <c r="F628" s="15">
        <v>3.5000000000000003E-2</v>
      </c>
      <c r="G628" s="14" t="s">
        <v>1076</v>
      </c>
      <c r="H628" s="19" t="s">
        <v>1077</v>
      </c>
    </row>
    <row r="629" spans="1:8" hidden="1" x14ac:dyDescent="0.55000000000000004">
      <c r="A629" s="13" t="s">
        <v>1290</v>
      </c>
      <c r="B629" s="14"/>
      <c r="C629" s="14" t="s">
        <v>1291</v>
      </c>
      <c r="D629" s="14" t="s">
        <v>1290</v>
      </c>
      <c r="E629" s="14" t="s">
        <v>48</v>
      </c>
      <c r="F629" s="15">
        <v>7.0000000000000007E-2</v>
      </c>
      <c r="G629" s="14" t="s">
        <v>1076</v>
      </c>
      <c r="H629" s="19" t="s">
        <v>1077</v>
      </c>
    </row>
    <row r="630" spans="1:8" hidden="1" x14ac:dyDescent="0.55000000000000004">
      <c r="A630" s="13" t="s">
        <v>1292</v>
      </c>
      <c r="B630" s="14"/>
      <c r="C630" s="14" t="s">
        <v>1293</v>
      </c>
      <c r="D630" s="14" t="s">
        <v>1292</v>
      </c>
      <c r="E630" s="14" t="s">
        <v>48</v>
      </c>
      <c r="F630" s="15">
        <v>0.03</v>
      </c>
      <c r="G630" s="14" t="s">
        <v>1076</v>
      </c>
      <c r="H630" s="19" t="s">
        <v>1077</v>
      </c>
    </row>
    <row r="631" spans="1:8" hidden="1" x14ac:dyDescent="0.55000000000000004">
      <c r="A631" s="13" t="s">
        <v>1294</v>
      </c>
      <c r="B631" s="14"/>
      <c r="C631" s="14" t="s">
        <v>1295</v>
      </c>
      <c r="D631" s="14" t="s">
        <v>1294</v>
      </c>
      <c r="E631" s="14" t="s">
        <v>48</v>
      </c>
      <c r="F631" s="15">
        <v>0.08</v>
      </c>
      <c r="G631" s="14" t="s">
        <v>1076</v>
      </c>
      <c r="H631" s="19" t="s">
        <v>1077</v>
      </c>
    </row>
    <row r="632" spans="1:8" hidden="1" x14ac:dyDescent="0.55000000000000004">
      <c r="A632" s="13" t="s">
        <v>1296</v>
      </c>
      <c r="B632" s="14"/>
      <c r="C632" s="14" t="s">
        <v>1297</v>
      </c>
      <c r="D632" s="14" t="s">
        <v>1296</v>
      </c>
      <c r="E632" s="14" t="s">
        <v>48</v>
      </c>
      <c r="F632" s="15">
        <v>3.5999999999999997E-2</v>
      </c>
      <c r="G632" s="14" t="s">
        <v>1076</v>
      </c>
      <c r="H632" s="19" t="s">
        <v>1077</v>
      </c>
    </row>
    <row r="633" spans="1:8" hidden="1" x14ac:dyDescent="0.55000000000000004">
      <c r="A633" s="13" t="s">
        <v>1298</v>
      </c>
      <c r="B633" s="14"/>
      <c r="C633" s="14" t="s">
        <v>1299</v>
      </c>
      <c r="D633" s="14" t="s">
        <v>1298</v>
      </c>
      <c r="E633" s="14" t="s">
        <v>48</v>
      </c>
      <c r="F633" s="15">
        <v>7.0000000000000007E-2</v>
      </c>
      <c r="G633" s="14" t="s">
        <v>1076</v>
      </c>
      <c r="H633" s="19" t="s">
        <v>1077</v>
      </c>
    </row>
    <row r="634" spans="1:8" x14ac:dyDescent="0.55000000000000004">
      <c r="A634" s="13" t="s">
        <v>1300</v>
      </c>
      <c r="B634" s="14"/>
      <c r="C634" s="14" t="s">
        <v>1301</v>
      </c>
      <c r="D634" s="14" t="s">
        <v>1300</v>
      </c>
      <c r="E634" s="14" t="s">
        <v>48</v>
      </c>
      <c r="F634" s="15">
        <v>2.3E-2</v>
      </c>
      <c r="G634" s="14" t="s">
        <v>1076</v>
      </c>
      <c r="H634" s="19" t="s">
        <v>1077</v>
      </c>
    </row>
    <row r="635" spans="1:8" hidden="1" x14ac:dyDescent="0.55000000000000004">
      <c r="A635" s="13" t="s">
        <v>1302</v>
      </c>
      <c r="B635" s="14"/>
      <c r="C635" s="14" t="s">
        <v>1303</v>
      </c>
      <c r="D635" s="14" t="s">
        <v>1302</v>
      </c>
      <c r="E635" s="14" t="s">
        <v>48</v>
      </c>
      <c r="F635" s="15">
        <v>2.8000000000000001E-2</v>
      </c>
      <c r="G635" s="14" t="s">
        <v>1076</v>
      </c>
      <c r="H635" s="19" t="s">
        <v>1077</v>
      </c>
    </row>
    <row r="636" spans="1:8" hidden="1" x14ac:dyDescent="0.55000000000000004">
      <c r="A636" s="13" t="s">
        <v>1304</v>
      </c>
      <c r="B636" s="14"/>
      <c r="C636" s="14" t="s">
        <v>1305</v>
      </c>
      <c r="D636" s="14" t="s">
        <v>1304</v>
      </c>
      <c r="E636" s="14" t="s">
        <v>48</v>
      </c>
      <c r="F636" s="15">
        <v>7.5999999999999998E-2</v>
      </c>
      <c r="G636" s="14" t="s">
        <v>1076</v>
      </c>
      <c r="H636" s="19" t="s">
        <v>1077</v>
      </c>
    </row>
    <row r="637" spans="1:8" hidden="1" x14ac:dyDescent="0.55000000000000004">
      <c r="A637" s="13" t="s">
        <v>1306</v>
      </c>
      <c r="B637" s="14"/>
      <c r="C637" s="14" t="s">
        <v>1307</v>
      </c>
      <c r="D637" s="14" t="s">
        <v>1306</v>
      </c>
      <c r="E637" s="14" t="s">
        <v>48</v>
      </c>
      <c r="F637" s="15">
        <v>7.0000000000000007E-2</v>
      </c>
      <c r="G637" s="14" t="s">
        <v>1076</v>
      </c>
      <c r="H637" s="19" t="s">
        <v>1077</v>
      </c>
    </row>
    <row r="638" spans="1:8" hidden="1" x14ac:dyDescent="0.55000000000000004">
      <c r="A638" s="13" t="s">
        <v>1308</v>
      </c>
      <c r="B638" s="14"/>
      <c r="C638" s="14" t="s">
        <v>1309</v>
      </c>
      <c r="D638" s="14" t="s">
        <v>1308</v>
      </c>
      <c r="E638" s="14" t="s">
        <v>48</v>
      </c>
      <c r="F638" s="15">
        <v>7.5999999999999998E-2</v>
      </c>
      <c r="G638" s="14" t="s">
        <v>1076</v>
      </c>
      <c r="H638" s="19" t="s">
        <v>1077</v>
      </c>
    </row>
    <row r="639" spans="1:8" hidden="1" x14ac:dyDescent="0.55000000000000004">
      <c r="A639" s="13" t="s">
        <v>1310</v>
      </c>
      <c r="B639" s="14"/>
      <c r="C639" s="14" t="s">
        <v>1311</v>
      </c>
      <c r="D639" s="14" t="s">
        <v>1310</v>
      </c>
      <c r="E639" s="14" t="s">
        <v>48</v>
      </c>
      <c r="F639" s="15">
        <v>3.4500000000000003E-2</v>
      </c>
      <c r="G639" s="14" t="s">
        <v>1076</v>
      </c>
      <c r="H639" s="19" t="s">
        <v>1077</v>
      </c>
    </row>
    <row r="640" spans="1:8" hidden="1" x14ac:dyDescent="0.55000000000000004">
      <c r="A640" s="13" t="s">
        <v>1312</v>
      </c>
      <c r="B640" s="14"/>
      <c r="C640" s="14" t="s">
        <v>1313</v>
      </c>
      <c r="D640" s="14" t="s">
        <v>1312</v>
      </c>
      <c r="E640" s="14" t="s">
        <v>48</v>
      </c>
      <c r="F640" s="15">
        <v>3.4500000000000003E-2</v>
      </c>
      <c r="G640" s="14" t="s">
        <v>1076</v>
      </c>
      <c r="H640" s="19" t="s">
        <v>1077</v>
      </c>
    </row>
    <row r="641" spans="1:8" ht="28.8" hidden="1" x14ac:dyDescent="0.55000000000000004">
      <c r="A641" s="13" t="s">
        <v>1314</v>
      </c>
      <c r="B641" s="14"/>
      <c r="C641" s="14" t="s">
        <v>1315</v>
      </c>
      <c r="D641" s="14" t="s">
        <v>1314</v>
      </c>
      <c r="E641" s="14" t="s">
        <v>48</v>
      </c>
      <c r="F641" s="15">
        <v>7.0000000000000007E-2</v>
      </c>
      <c r="G641" s="14" t="s">
        <v>1076</v>
      </c>
      <c r="H641" s="19" t="s">
        <v>1077</v>
      </c>
    </row>
    <row r="642" spans="1:8" hidden="1" x14ac:dyDescent="0.55000000000000004">
      <c r="A642" s="13" t="s">
        <v>1316</v>
      </c>
      <c r="B642" s="14"/>
      <c r="C642" s="14" t="s">
        <v>1317</v>
      </c>
      <c r="D642" s="14" t="s">
        <v>1316</v>
      </c>
      <c r="E642" s="14" t="s">
        <v>48</v>
      </c>
      <c r="F642" s="15">
        <v>7.0000000000000007E-2</v>
      </c>
      <c r="G642" s="14" t="s">
        <v>1076</v>
      </c>
      <c r="H642" s="19" t="s">
        <v>1077</v>
      </c>
    </row>
    <row r="643" spans="1:8" hidden="1" x14ac:dyDescent="0.55000000000000004">
      <c r="A643" s="13" t="s">
        <v>1318</v>
      </c>
      <c r="B643" s="14"/>
      <c r="C643" s="14" t="s">
        <v>1319</v>
      </c>
      <c r="D643" s="14" t="s">
        <v>1318</v>
      </c>
      <c r="E643" s="14" t="s">
        <v>48</v>
      </c>
      <c r="F643" s="15">
        <v>0.05</v>
      </c>
      <c r="G643" s="14" t="s">
        <v>1076</v>
      </c>
      <c r="H643" s="19" t="s">
        <v>1077</v>
      </c>
    </row>
    <row r="644" spans="1:8" hidden="1" x14ac:dyDescent="0.55000000000000004">
      <c r="A644" s="13" t="s">
        <v>1320</v>
      </c>
      <c r="B644" s="14"/>
      <c r="C644" s="14" t="s">
        <v>1321</v>
      </c>
      <c r="D644" s="14" t="s">
        <v>1320</v>
      </c>
      <c r="E644" s="14" t="s">
        <v>48</v>
      </c>
      <c r="F644" s="15">
        <v>2.7820000000000001E-2</v>
      </c>
      <c r="G644" s="14" t="s">
        <v>1076</v>
      </c>
      <c r="H644" s="19" t="s">
        <v>1077</v>
      </c>
    </row>
    <row r="645" spans="1:8" hidden="1" x14ac:dyDescent="0.55000000000000004">
      <c r="A645" s="13" t="s">
        <v>1322</v>
      </c>
      <c r="B645" s="14"/>
      <c r="C645" s="14" t="s">
        <v>1323</v>
      </c>
      <c r="D645" s="14" t="s">
        <v>1322</v>
      </c>
      <c r="E645" s="14" t="s">
        <v>48</v>
      </c>
      <c r="F645" s="15">
        <v>7.3899999999999999E-3</v>
      </c>
      <c r="G645" s="14" t="s">
        <v>1076</v>
      </c>
      <c r="H645" s="19" t="s">
        <v>1077</v>
      </c>
    </row>
    <row r="646" spans="1:8" hidden="1" x14ac:dyDescent="0.55000000000000004">
      <c r="A646" s="13" t="s">
        <v>1324</v>
      </c>
      <c r="B646" s="14"/>
      <c r="C646" s="14" t="s">
        <v>1325</v>
      </c>
      <c r="D646" s="14" t="s">
        <v>1324</v>
      </c>
      <c r="E646" s="14" t="s">
        <v>48</v>
      </c>
      <c r="F646" s="15">
        <v>7.3899999999999999E-3</v>
      </c>
      <c r="G646" s="14" t="s">
        <v>1076</v>
      </c>
      <c r="H646" s="19" t="s">
        <v>1077</v>
      </c>
    </row>
    <row r="647" spans="1:8" hidden="1" x14ac:dyDescent="0.55000000000000004">
      <c r="A647" s="13" t="s">
        <v>1326</v>
      </c>
      <c r="B647" s="14"/>
      <c r="C647" s="14" t="s">
        <v>1327</v>
      </c>
      <c r="D647" s="14" t="s">
        <v>1326</v>
      </c>
      <c r="E647" s="14" t="s">
        <v>48</v>
      </c>
      <c r="F647" s="15">
        <v>0.2</v>
      </c>
      <c r="G647" s="14" t="s">
        <v>1076</v>
      </c>
      <c r="H647" s="19" t="s">
        <v>1077</v>
      </c>
    </row>
    <row r="648" spans="1:8" hidden="1" x14ac:dyDescent="0.55000000000000004">
      <c r="A648" s="13" t="s">
        <v>1328</v>
      </c>
      <c r="B648" s="14"/>
      <c r="C648" s="14" t="s">
        <v>1329</v>
      </c>
      <c r="D648" s="14" t="s">
        <v>1328</v>
      </c>
      <c r="E648" s="14" t="s">
        <v>48</v>
      </c>
      <c r="F648" s="15">
        <v>0.2</v>
      </c>
      <c r="G648" s="14" t="s">
        <v>1076</v>
      </c>
      <c r="H648" s="19" t="s">
        <v>1077</v>
      </c>
    </row>
    <row r="649" spans="1:8" ht="28.8" hidden="1" x14ac:dyDescent="0.55000000000000004">
      <c r="A649" s="13" t="s">
        <v>1330</v>
      </c>
      <c r="B649" s="14"/>
      <c r="C649" s="14" t="s">
        <v>1331</v>
      </c>
      <c r="D649" s="14" t="s">
        <v>1330</v>
      </c>
      <c r="E649" s="14" t="s">
        <v>48</v>
      </c>
      <c r="F649" s="15">
        <v>0.2</v>
      </c>
      <c r="G649" s="14" t="s">
        <v>1076</v>
      </c>
      <c r="H649" s="19" t="s">
        <v>1077</v>
      </c>
    </row>
    <row r="650" spans="1:8" hidden="1" x14ac:dyDescent="0.55000000000000004">
      <c r="A650" s="13" t="s">
        <v>1332</v>
      </c>
      <c r="B650" s="14"/>
      <c r="C650" s="14" t="s">
        <v>1333</v>
      </c>
      <c r="D650" s="14" t="s">
        <v>1332</v>
      </c>
      <c r="E650" s="14" t="s">
        <v>48</v>
      </c>
      <c r="F650" s="15">
        <v>0.09</v>
      </c>
      <c r="G650" s="14" t="s">
        <v>1076</v>
      </c>
      <c r="H650" s="19" t="s">
        <v>1077</v>
      </c>
    </row>
    <row r="651" spans="1:8" hidden="1" x14ac:dyDescent="0.55000000000000004">
      <c r="A651" s="13" t="s">
        <v>1334</v>
      </c>
      <c r="B651" s="14"/>
      <c r="C651" s="14" t="s">
        <v>1335</v>
      </c>
      <c r="D651" s="14" t="s">
        <v>1334</v>
      </c>
      <c r="E651" s="14" t="s">
        <v>48</v>
      </c>
      <c r="F651" s="15">
        <v>0.15</v>
      </c>
      <c r="G651" s="14" t="s">
        <v>1076</v>
      </c>
      <c r="H651" s="19" t="s">
        <v>1077</v>
      </c>
    </row>
    <row r="652" spans="1:8" hidden="1" x14ac:dyDescent="0.55000000000000004">
      <c r="A652" s="13" t="s">
        <v>1336</v>
      </c>
      <c r="B652" s="14"/>
      <c r="C652" s="14" t="s">
        <v>1337</v>
      </c>
      <c r="D652" s="14" t="s">
        <v>1336</v>
      </c>
      <c r="E652" s="14" t="s">
        <v>48</v>
      </c>
      <c r="F652" s="15">
        <v>0.15</v>
      </c>
      <c r="G652" s="14" t="s">
        <v>1076</v>
      </c>
      <c r="H652" s="19" t="s">
        <v>1077</v>
      </c>
    </row>
    <row r="653" spans="1:8" hidden="1" x14ac:dyDescent="0.55000000000000004">
      <c r="A653" s="13" t="s">
        <v>1338</v>
      </c>
      <c r="B653" s="14"/>
      <c r="C653" s="14" t="s">
        <v>1339</v>
      </c>
      <c r="D653" s="14" t="s">
        <v>1338</v>
      </c>
      <c r="E653" s="14" t="s">
        <v>48</v>
      </c>
      <c r="F653" s="15">
        <v>0.4</v>
      </c>
      <c r="G653" s="14" t="s">
        <v>1076</v>
      </c>
      <c r="H653" s="19" t="s">
        <v>1077</v>
      </c>
    </row>
    <row r="654" spans="1:8" hidden="1" x14ac:dyDescent="0.55000000000000004">
      <c r="A654" s="13" t="s">
        <v>1340</v>
      </c>
      <c r="B654" s="14"/>
      <c r="C654" s="14" t="s">
        <v>1341</v>
      </c>
      <c r="D654" s="14" t="s">
        <v>1340</v>
      </c>
      <c r="E654" s="14" t="s">
        <v>48</v>
      </c>
      <c r="F654" s="15">
        <v>0.2</v>
      </c>
      <c r="G654" s="14" t="s">
        <v>1076</v>
      </c>
      <c r="H654" s="19" t="s">
        <v>1077</v>
      </c>
    </row>
    <row r="655" spans="1:8" ht="28.8" hidden="1" x14ac:dyDescent="0.55000000000000004">
      <c r="A655" s="13" t="s">
        <v>1342</v>
      </c>
      <c r="B655" s="14"/>
      <c r="C655" s="14" t="s">
        <v>1343</v>
      </c>
      <c r="D655" s="14" t="s">
        <v>1342</v>
      </c>
      <c r="E655" s="14" t="s">
        <v>48</v>
      </c>
      <c r="F655" s="15">
        <v>1.6E-2</v>
      </c>
      <c r="G655" s="14" t="s">
        <v>1076</v>
      </c>
      <c r="H655" s="19" t="s">
        <v>1077</v>
      </c>
    </row>
    <row r="656" spans="1:8" hidden="1" x14ac:dyDescent="0.55000000000000004">
      <c r="A656" s="13" t="s">
        <v>1705</v>
      </c>
      <c r="B656" s="14"/>
      <c r="C656" s="14" t="s">
        <v>1744</v>
      </c>
      <c r="D656" s="14" t="s">
        <v>1705</v>
      </c>
      <c r="E656" s="14" t="s">
        <v>48</v>
      </c>
      <c r="F656" s="15">
        <v>0.43841156975012852</v>
      </c>
      <c r="G656" s="14" t="s">
        <v>1745</v>
      </c>
      <c r="H656" s="19" t="s">
        <v>1746</v>
      </c>
    </row>
    <row r="657" spans="1:16384" hidden="1" x14ac:dyDescent="0.55000000000000004">
      <c r="A657" s="13" t="s">
        <v>1700</v>
      </c>
      <c r="B657" s="14"/>
      <c r="C657" s="14" t="s">
        <v>1747</v>
      </c>
      <c r="D657" s="14" t="s">
        <v>1700</v>
      </c>
      <c r="E657" s="14" t="s">
        <v>48</v>
      </c>
      <c r="F657" s="15">
        <v>0.3</v>
      </c>
      <c r="G657" s="14" t="s">
        <v>1745</v>
      </c>
      <c r="H657" s="19" t="s">
        <v>1746</v>
      </c>
    </row>
    <row r="658" spans="1:16384" s="86" customFormat="1" hidden="1" x14ac:dyDescent="0.55000000000000004">
      <c r="A658" s="82" t="s">
        <v>1703</v>
      </c>
      <c r="B658" s="83"/>
      <c r="C658" s="83" t="s">
        <v>1748</v>
      </c>
      <c r="D658" s="83" t="s">
        <v>1703</v>
      </c>
      <c r="E658" s="83" t="s">
        <v>48</v>
      </c>
      <c r="F658" s="84">
        <v>0.43</v>
      </c>
      <c r="G658" s="83" t="s">
        <v>1745</v>
      </c>
      <c r="H658" s="85" t="s">
        <v>1746</v>
      </c>
    </row>
    <row r="659" spans="1:16384" hidden="1" x14ac:dyDescent="0.55000000000000004">
      <c r="A659" s="13" t="s">
        <v>1588</v>
      </c>
      <c r="B659" s="14"/>
      <c r="C659" s="14" t="s">
        <v>1749</v>
      </c>
      <c r="D659" s="14" t="s">
        <v>1588</v>
      </c>
      <c r="E659" s="14" t="s">
        <v>156</v>
      </c>
      <c r="F659" s="15">
        <v>2.5999999999999999E-2</v>
      </c>
      <c r="G659" s="14" t="s">
        <v>200</v>
      </c>
      <c r="H659" s="19" t="s">
        <v>1750</v>
      </c>
    </row>
    <row r="660" spans="1:16384" hidden="1" x14ac:dyDescent="0.55000000000000004">
      <c r="A660" s="13" t="s">
        <v>1587</v>
      </c>
      <c r="B660" s="14"/>
      <c r="C660" s="14" t="s">
        <v>1751</v>
      </c>
      <c r="D660" s="14" t="s">
        <v>1587</v>
      </c>
      <c r="E660" s="14" t="s">
        <v>156</v>
      </c>
      <c r="F660" s="15">
        <v>7.7999999999999996E-3</v>
      </c>
      <c r="G660" s="14" t="s">
        <v>200</v>
      </c>
      <c r="H660" s="19" t="s">
        <v>568</v>
      </c>
    </row>
    <row r="661" spans="1:16384" hidden="1" x14ac:dyDescent="0.55000000000000004">
      <c r="A661" s="13" t="s">
        <v>1667</v>
      </c>
      <c r="B661" s="14"/>
      <c r="C661" s="14" t="s">
        <v>1752</v>
      </c>
      <c r="D661" s="14" t="s">
        <v>1667</v>
      </c>
      <c r="E661" s="14" t="s">
        <v>156</v>
      </c>
      <c r="F661" s="15">
        <v>8.5749999999999993E-3</v>
      </c>
      <c r="G661" s="14" t="s">
        <v>146</v>
      </c>
      <c r="H661" s="19" t="s">
        <v>333</v>
      </c>
    </row>
    <row r="662" spans="1:16384" hidden="1" x14ac:dyDescent="0.55000000000000004">
      <c r="A662" s="13" t="s">
        <v>1453</v>
      </c>
      <c r="B662" s="14"/>
      <c r="C662" s="14" t="s">
        <v>1753</v>
      </c>
      <c r="D662" s="14" t="s">
        <v>1453</v>
      </c>
      <c r="E662" s="14" t="s">
        <v>156</v>
      </c>
      <c r="F662" s="15">
        <v>2.4500000000000001E-2</v>
      </c>
      <c r="G662" s="14" t="s">
        <v>146</v>
      </c>
      <c r="H662" s="19" t="s">
        <v>337</v>
      </c>
    </row>
    <row r="663" spans="1:16384" hidden="1" x14ac:dyDescent="0.55000000000000004">
      <c r="A663" s="13" t="s">
        <v>1451</v>
      </c>
      <c r="B663" s="14"/>
      <c r="C663" s="14" t="s">
        <v>1755</v>
      </c>
      <c r="D663" s="14" t="s">
        <v>1451</v>
      </c>
      <c r="E663" s="14" t="s">
        <v>156</v>
      </c>
      <c r="F663" s="15">
        <v>4.8886666666666669E-2</v>
      </c>
      <c r="G663" s="14" t="s">
        <v>200</v>
      </c>
      <c r="H663" s="19" t="s">
        <v>201</v>
      </c>
    </row>
    <row r="664" spans="1:16384" hidden="1" x14ac:dyDescent="0.55000000000000004">
      <c r="A664" s="13" t="s">
        <v>1490</v>
      </c>
      <c r="B664" s="14"/>
      <c r="C664" s="14" t="s">
        <v>1756</v>
      </c>
      <c r="D664" s="14" t="s">
        <v>1490</v>
      </c>
      <c r="E664" s="14" t="s">
        <v>156</v>
      </c>
      <c r="F664" s="15">
        <v>7.0000000000000001E-3</v>
      </c>
      <c r="G664" s="14" t="s">
        <v>146</v>
      </c>
      <c r="H664" s="19" t="s">
        <v>914</v>
      </c>
    </row>
    <row r="665" spans="1:16384" hidden="1" x14ac:dyDescent="0.55000000000000004">
      <c r="A665" s="13" t="s">
        <v>1541</v>
      </c>
      <c r="B665" s="14"/>
      <c r="C665" s="14" t="s">
        <v>1757</v>
      </c>
      <c r="D665" s="14" t="s">
        <v>1541</v>
      </c>
      <c r="E665" s="14" t="s">
        <v>156</v>
      </c>
      <c r="F665" s="15">
        <v>0.04</v>
      </c>
      <c r="G665" s="14" t="s">
        <v>146</v>
      </c>
      <c r="H665" s="19" t="s">
        <v>914</v>
      </c>
    </row>
    <row r="666" spans="1:16384" hidden="1" x14ac:dyDescent="0.55000000000000004">
      <c r="A666" s="13" t="s">
        <v>1624</v>
      </c>
      <c r="B666" s="14"/>
      <c r="C666" s="14" t="s">
        <v>937</v>
      </c>
      <c r="D666" s="14" t="s">
        <v>1624</v>
      </c>
      <c r="E666" s="14" t="s">
        <v>156</v>
      </c>
      <c r="F666" s="15">
        <v>4.4999999999999997E-3</v>
      </c>
      <c r="G666" s="14" t="s">
        <v>172</v>
      </c>
      <c r="H666" s="19" t="s">
        <v>914</v>
      </c>
    </row>
    <row r="667" spans="1:16384" hidden="1" x14ac:dyDescent="0.55000000000000004">
      <c r="A667" s="13" t="s">
        <v>1470</v>
      </c>
      <c r="B667" s="14"/>
      <c r="C667" s="14" t="s">
        <v>1758</v>
      </c>
      <c r="D667" s="14" t="s">
        <v>1470</v>
      </c>
      <c r="E667" s="14" t="s">
        <v>156</v>
      </c>
      <c r="F667" s="15">
        <v>1.0500000000000001E-2</v>
      </c>
      <c r="G667" s="14" t="s">
        <v>172</v>
      </c>
      <c r="H667" s="19" t="s">
        <v>914</v>
      </c>
    </row>
    <row r="668" spans="1:16384" hidden="1" x14ac:dyDescent="0.55000000000000004">
      <c r="A668" s="13" t="s">
        <v>1696</v>
      </c>
      <c r="B668" s="14"/>
      <c r="C668" s="14" t="s">
        <v>1759</v>
      </c>
      <c r="D668" s="14" t="s">
        <v>1696</v>
      </c>
      <c r="E668" s="14" t="s">
        <v>48</v>
      </c>
      <c r="F668" s="15">
        <v>0.22</v>
      </c>
      <c r="G668" s="14" t="s">
        <v>1745</v>
      </c>
      <c r="H668" s="19" t="s">
        <v>1746</v>
      </c>
    </row>
    <row r="669" spans="1:16384" hidden="1" x14ac:dyDescent="0.55000000000000004">
      <c r="A669" s="13" t="s">
        <v>1583</v>
      </c>
      <c r="B669" s="14"/>
      <c r="C669" s="14" t="s">
        <v>1760</v>
      </c>
      <c r="D669" s="14" t="s">
        <v>1583</v>
      </c>
      <c r="E669" s="14" t="s">
        <v>156</v>
      </c>
      <c r="F669" s="15">
        <v>3.3320000000000002E-2</v>
      </c>
      <c r="G669" s="14" t="s">
        <v>200</v>
      </c>
      <c r="H669" s="19" t="s">
        <v>672</v>
      </c>
    </row>
    <row r="670" spans="1:16384" hidden="1" x14ac:dyDescent="0.55000000000000004">
      <c r="A670" s="13" t="s">
        <v>1683</v>
      </c>
      <c r="B670" s="14"/>
      <c r="C670" s="14" t="s">
        <v>1761</v>
      </c>
      <c r="D670" s="14" t="s">
        <v>1683</v>
      </c>
      <c r="E670" t="s">
        <v>156</v>
      </c>
      <c r="F670" s="15">
        <v>7.4999999999999997E-3</v>
      </c>
      <c r="G670" s="14" t="s">
        <v>200</v>
      </c>
      <c r="H670" s="19" t="s">
        <v>775</v>
      </c>
    </row>
    <row r="671" spans="1:16384" hidden="1" x14ac:dyDescent="0.55000000000000004">
      <c r="A671" t="s">
        <v>1450</v>
      </c>
      <c r="B671"/>
      <c r="C671" t="s">
        <v>1762</v>
      </c>
      <c r="D671" t="s">
        <v>1450</v>
      </c>
      <c r="E671" t="s">
        <v>156</v>
      </c>
      <c r="F671">
        <v>0.125</v>
      </c>
      <c r="G671" t="s">
        <v>200</v>
      </c>
      <c r="H671" t="s">
        <v>672</v>
      </c>
      <c r="I671" t="str">
        <f>IFERROR(VLOOKUP(J671,'[3]Raw material  (3)'!H653:Z3729,3,0),"")</f>
        <v/>
      </c>
      <c r="J671" t="str">
        <f>IFERROR(VLOOKUP(K671,'[3]Raw material  (3)'!I653:AA3729,3,0),"")</f>
        <v/>
      </c>
      <c r="K671" t="str">
        <f>IFERROR(VLOOKUP(L671,'[3]Raw material  (3)'!J653:AB3729,3,0),"")</f>
        <v/>
      </c>
      <c r="L671" t="str">
        <f>IFERROR(VLOOKUP(M671,'[3]Raw material  (3)'!K653:AC3729,3,0),"")</f>
        <v/>
      </c>
      <c r="M671" t="str">
        <f>IFERROR(VLOOKUP(N671,'[3]Raw material  (3)'!L653:AD3729,3,0),"")</f>
        <v/>
      </c>
      <c r="N671" t="str">
        <f>IFERROR(VLOOKUP(O671,'[3]Raw material  (3)'!M653:AE3729,3,0),"")</f>
        <v/>
      </c>
      <c r="O671" t="str">
        <f>IFERROR(VLOOKUP(P671,'[3]Raw material  (3)'!N653:AF3729,3,0),"")</f>
        <v/>
      </c>
      <c r="P671" t="str">
        <f>IFERROR(VLOOKUP(Q671,'[3]Raw material  (3)'!O653:AG3729,3,0),"")</f>
        <v/>
      </c>
      <c r="Q671" t="str">
        <f>IFERROR(VLOOKUP(R671,'[3]Raw material  (3)'!P653:AH3729,3,0),"")</f>
        <v/>
      </c>
      <c r="R671" t="str">
        <f>IFERROR(VLOOKUP(S671,'[3]Raw material  (3)'!Q653:AI3729,3,0),"")</f>
        <v/>
      </c>
      <c r="S671" t="str">
        <f>IFERROR(VLOOKUP(T671,'[3]Raw material  (3)'!R653:AJ3729,3,0),"")</f>
        <v/>
      </c>
      <c r="T671" t="str">
        <f>IFERROR(VLOOKUP(U671,'[3]Raw material  (3)'!S653:AK3729,3,0),"")</f>
        <v/>
      </c>
      <c r="U671" t="str">
        <f>IFERROR(VLOOKUP(V671,'[3]Raw material  (3)'!T653:AL3729,3,0),"")</f>
        <v/>
      </c>
      <c r="V671" t="str">
        <f>IFERROR(VLOOKUP(W671,'[3]Raw material  (3)'!U653:AM3729,3,0),"")</f>
        <v/>
      </c>
      <c r="W671" t="str">
        <f>IFERROR(VLOOKUP(X671,'[3]Raw material  (3)'!V653:AN3729,3,0),"")</f>
        <v/>
      </c>
      <c r="X671" t="str">
        <f>IFERROR(VLOOKUP(Y671,'[3]Raw material  (3)'!W653:AO3729,3,0),"")</f>
        <v/>
      </c>
      <c r="Y671" t="str">
        <f>IFERROR(VLOOKUP(Z671,'[3]Raw material  (3)'!X653:AP3729,3,0),"")</f>
        <v/>
      </c>
      <c r="Z671" t="str">
        <f>IFERROR(VLOOKUP(AA671,'[3]Raw material  (3)'!Y653:AQ3729,3,0),"")</f>
        <v/>
      </c>
      <c r="AA671" t="str">
        <f>IFERROR(VLOOKUP(AB671,'[3]Raw material  (3)'!Z653:AR3729,3,0),"")</f>
        <v/>
      </c>
      <c r="AB671" t="str">
        <f>IFERROR(VLOOKUP(AC671,'[3]Raw material  (3)'!AA653:AS3729,3,0),"")</f>
        <v/>
      </c>
      <c r="AC671" t="str">
        <f>IFERROR(VLOOKUP(AD671,'[3]Raw material  (3)'!AB653:AT3729,3,0),"")</f>
        <v/>
      </c>
      <c r="AD671" t="str">
        <f>IFERROR(VLOOKUP(AE671,'[3]Raw material  (3)'!AC653:AU3729,3,0),"")</f>
        <v/>
      </c>
      <c r="AE671" t="str">
        <f>IFERROR(VLOOKUP(AF671,'[3]Raw material  (3)'!AD653:AV3729,3,0),"")</f>
        <v/>
      </c>
      <c r="AF671" t="str">
        <f>IFERROR(VLOOKUP(AG671,'[3]Raw material  (3)'!AE653:AW3729,3,0),"")</f>
        <v/>
      </c>
      <c r="AG671" t="str">
        <f>IFERROR(VLOOKUP(AH671,'[3]Raw material  (3)'!AF653:AX3729,3,0),"")</f>
        <v/>
      </c>
      <c r="AH671" t="str">
        <f>IFERROR(VLOOKUP(AI671,'[3]Raw material  (3)'!AG653:AY3729,3,0),"")</f>
        <v/>
      </c>
      <c r="AI671" t="str">
        <f>IFERROR(VLOOKUP(AJ671,'[3]Raw material  (3)'!AH653:AZ3729,3,0),"")</f>
        <v/>
      </c>
      <c r="AJ671" t="str">
        <f>IFERROR(VLOOKUP(AK671,'[3]Raw material  (3)'!AI653:BA3729,3,0),"")</f>
        <v/>
      </c>
      <c r="AK671" t="str">
        <f>IFERROR(VLOOKUP(AL671,'[3]Raw material  (3)'!AJ653:BB3729,3,0),"")</f>
        <v/>
      </c>
      <c r="AL671" t="str">
        <f>IFERROR(VLOOKUP(AM671,'[3]Raw material  (3)'!AK653:BC3729,3,0),"")</f>
        <v/>
      </c>
      <c r="AM671" t="str">
        <f>IFERROR(VLOOKUP(AN671,'[3]Raw material  (3)'!AL653:BD3729,3,0),"")</f>
        <v/>
      </c>
      <c r="AN671" t="str">
        <f>IFERROR(VLOOKUP(AO671,'[3]Raw material  (3)'!AM653:BE3729,3,0),"")</f>
        <v/>
      </c>
      <c r="AO671" t="str">
        <f>IFERROR(VLOOKUP(AP671,'[3]Raw material  (3)'!AN653:BF3729,3,0),"")</f>
        <v/>
      </c>
      <c r="AP671" t="str">
        <f>IFERROR(VLOOKUP(AQ671,'[3]Raw material  (3)'!AO653:BG3729,3,0),"")</f>
        <v/>
      </c>
      <c r="AQ671" t="str">
        <f>IFERROR(VLOOKUP(AR671,'[3]Raw material  (3)'!AP653:BH3729,3,0),"")</f>
        <v/>
      </c>
      <c r="AR671" t="str">
        <f>IFERROR(VLOOKUP(AS671,'[3]Raw material  (3)'!AQ653:BI3729,3,0),"")</f>
        <v/>
      </c>
      <c r="AS671" t="str">
        <f>IFERROR(VLOOKUP(AT671,'[3]Raw material  (3)'!AR653:BJ3729,3,0),"")</f>
        <v/>
      </c>
      <c r="AT671" t="str">
        <f>IFERROR(VLOOKUP(AU671,'[3]Raw material  (3)'!AS653:BK3729,3,0),"")</f>
        <v/>
      </c>
      <c r="AU671" t="str">
        <f>IFERROR(VLOOKUP(AV671,'[3]Raw material  (3)'!AT653:BL3729,3,0),"")</f>
        <v/>
      </c>
      <c r="AV671" t="str">
        <f>IFERROR(VLOOKUP(AW671,'[3]Raw material  (3)'!AU653:BM3729,3,0),"")</f>
        <v/>
      </c>
      <c r="AW671" t="str">
        <f>IFERROR(VLOOKUP(AX671,'[3]Raw material  (3)'!AV653:BN3729,3,0),"")</f>
        <v/>
      </c>
      <c r="AX671" t="str">
        <f>IFERROR(VLOOKUP(AY671,'[3]Raw material  (3)'!AW653:BO3729,3,0),"")</f>
        <v/>
      </c>
      <c r="AY671" t="str">
        <f>IFERROR(VLOOKUP(AZ671,'[3]Raw material  (3)'!AX653:BP3729,3,0),"")</f>
        <v/>
      </c>
      <c r="AZ671" t="str">
        <f>IFERROR(VLOOKUP(BA671,'[3]Raw material  (3)'!AY653:BQ3729,3,0),"")</f>
        <v/>
      </c>
      <c r="BA671" t="str">
        <f>IFERROR(VLOOKUP(BB671,'[3]Raw material  (3)'!AZ653:BR3729,3,0),"")</f>
        <v/>
      </c>
      <c r="BB671" t="str">
        <f>IFERROR(VLOOKUP(BC671,'[3]Raw material  (3)'!BA653:BS3729,3,0),"")</f>
        <v/>
      </c>
      <c r="BC671" t="str">
        <f>IFERROR(VLOOKUP(BD671,'[3]Raw material  (3)'!BB653:BT3729,3,0),"")</f>
        <v/>
      </c>
      <c r="BD671" t="str">
        <f>IFERROR(VLOOKUP(BE671,'[3]Raw material  (3)'!BC653:BU3729,3,0),"")</f>
        <v/>
      </c>
      <c r="BE671" t="str">
        <f>IFERROR(VLOOKUP(BF671,'[3]Raw material  (3)'!BD653:BV3729,3,0),"")</f>
        <v/>
      </c>
      <c r="BF671" t="str">
        <f>IFERROR(VLOOKUP(BG671,'[3]Raw material  (3)'!BE653:BW3729,3,0),"")</f>
        <v/>
      </c>
      <c r="BG671" t="str">
        <f>IFERROR(VLOOKUP(BH671,'[3]Raw material  (3)'!BF653:BX3729,3,0),"")</f>
        <v/>
      </c>
      <c r="BH671" t="str">
        <f>IFERROR(VLOOKUP(BI671,'[3]Raw material  (3)'!BG653:BY3729,3,0),"")</f>
        <v/>
      </c>
      <c r="BI671" t="str">
        <f>IFERROR(VLOOKUP(BJ671,'[3]Raw material  (3)'!BH653:BZ3729,3,0),"")</f>
        <v/>
      </c>
      <c r="BJ671" t="str">
        <f>IFERROR(VLOOKUP(BK671,'[3]Raw material  (3)'!BI653:CA3729,3,0),"")</f>
        <v/>
      </c>
      <c r="BK671" t="str">
        <f>IFERROR(VLOOKUP(BL671,'[3]Raw material  (3)'!BJ653:CB3729,3,0),"")</f>
        <v/>
      </c>
      <c r="BL671" t="str">
        <f>IFERROR(VLOOKUP(BM671,'[3]Raw material  (3)'!BK653:CC3729,3,0),"")</f>
        <v/>
      </c>
      <c r="BM671" t="str">
        <f>IFERROR(VLOOKUP(BN671,'[3]Raw material  (3)'!BL653:CD3729,3,0),"")</f>
        <v/>
      </c>
      <c r="BN671" t="str">
        <f>IFERROR(VLOOKUP(BO671,'[3]Raw material  (3)'!BM653:CE3729,3,0),"")</f>
        <v/>
      </c>
      <c r="BO671" t="str">
        <f>IFERROR(VLOOKUP(BP671,'[3]Raw material  (3)'!BN653:CF3729,3,0),"")</f>
        <v/>
      </c>
      <c r="BP671" t="str">
        <f>IFERROR(VLOOKUP(BQ671,'[3]Raw material  (3)'!BO653:CG3729,3,0),"")</f>
        <v/>
      </c>
      <c r="BQ671" t="str">
        <f>IFERROR(VLOOKUP(BR671,'[3]Raw material  (3)'!BP653:CH3729,3,0),"")</f>
        <v/>
      </c>
      <c r="BR671" t="str">
        <f>IFERROR(VLOOKUP(BS671,'[3]Raw material  (3)'!BQ653:CI3729,3,0),"")</f>
        <v/>
      </c>
      <c r="BS671" t="str">
        <f>IFERROR(VLOOKUP(BT671,'[3]Raw material  (3)'!BR653:CJ3729,3,0),"")</f>
        <v/>
      </c>
      <c r="BT671" t="str">
        <f>IFERROR(VLOOKUP(BU671,'[3]Raw material  (3)'!BS653:CK3729,3,0),"")</f>
        <v/>
      </c>
      <c r="BU671" t="str">
        <f>IFERROR(VLOOKUP(BV671,'[3]Raw material  (3)'!BT653:CL3729,3,0),"")</f>
        <v/>
      </c>
      <c r="BV671" t="str">
        <f>IFERROR(VLOOKUP(BW671,'[3]Raw material  (3)'!BU653:CM3729,3,0),"")</f>
        <v/>
      </c>
      <c r="BW671" t="str">
        <f>IFERROR(VLOOKUP(BX671,'[3]Raw material  (3)'!BV653:CN3729,3,0),"")</f>
        <v/>
      </c>
      <c r="BX671" t="str">
        <f>IFERROR(VLOOKUP(BY671,'[3]Raw material  (3)'!BW653:CO3729,3,0),"")</f>
        <v/>
      </c>
      <c r="BY671" t="str">
        <f>IFERROR(VLOOKUP(BZ671,'[3]Raw material  (3)'!BX653:CP3729,3,0),"")</f>
        <v/>
      </c>
      <c r="BZ671" t="str">
        <f>IFERROR(VLOOKUP(CA671,'[3]Raw material  (3)'!BY653:CQ3729,3,0),"")</f>
        <v/>
      </c>
      <c r="CA671" t="str">
        <f>IFERROR(VLOOKUP(CB671,'[3]Raw material  (3)'!BZ653:CR3729,3,0),"")</f>
        <v/>
      </c>
      <c r="CB671" t="str">
        <f>IFERROR(VLOOKUP(CC671,'[3]Raw material  (3)'!CA653:CS3729,3,0),"")</f>
        <v/>
      </c>
      <c r="CC671" t="str">
        <f>IFERROR(VLOOKUP(CD671,'[3]Raw material  (3)'!CB653:CT3729,3,0),"")</f>
        <v/>
      </c>
      <c r="CD671" t="str">
        <f>IFERROR(VLOOKUP(CE671,'[3]Raw material  (3)'!CC653:CU3729,3,0),"")</f>
        <v/>
      </c>
      <c r="CE671" t="str">
        <f>IFERROR(VLOOKUP(CF671,'[3]Raw material  (3)'!CD653:CV3729,3,0),"")</f>
        <v/>
      </c>
      <c r="CF671" t="str">
        <f>IFERROR(VLOOKUP(CG671,'[3]Raw material  (3)'!CE653:CW3729,3,0),"")</f>
        <v/>
      </c>
      <c r="CG671" t="str">
        <f>IFERROR(VLOOKUP(CH671,'[3]Raw material  (3)'!CF653:CX3729,3,0),"")</f>
        <v/>
      </c>
      <c r="CH671" t="str">
        <f>IFERROR(VLOOKUP(CI671,'[3]Raw material  (3)'!CG653:CY3729,3,0),"")</f>
        <v/>
      </c>
      <c r="CI671" t="str">
        <f>IFERROR(VLOOKUP(CJ671,'[3]Raw material  (3)'!CH653:CZ3729,3,0),"")</f>
        <v/>
      </c>
      <c r="CJ671" t="str">
        <f>IFERROR(VLOOKUP(CK671,'[3]Raw material  (3)'!CI653:DA3729,3,0),"")</f>
        <v/>
      </c>
      <c r="CK671" t="str">
        <f>IFERROR(VLOOKUP(CL671,'[3]Raw material  (3)'!CJ653:DB3729,3,0),"")</f>
        <v/>
      </c>
      <c r="CL671" t="str">
        <f>IFERROR(VLOOKUP(CM671,'[3]Raw material  (3)'!CK653:DC3729,3,0),"")</f>
        <v/>
      </c>
      <c r="CM671" t="str">
        <f>IFERROR(VLOOKUP(CN671,'[3]Raw material  (3)'!CL653:DD3729,3,0),"")</f>
        <v/>
      </c>
      <c r="CN671" t="str">
        <f>IFERROR(VLOOKUP(CO671,'[3]Raw material  (3)'!CM653:DE3729,3,0),"")</f>
        <v/>
      </c>
      <c r="CO671" t="str">
        <f>IFERROR(VLOOKUP(CP671,'[3]Raw material  (3)'!CN653:DF3729,3,0),"")</f>
        <v/>
      </c>
      <c r="CP671" t="str">
        <f>IFERROR(VLOOKUP(CQ671,'[3]Raw material  (3)'!CO653:DG3729,3,0),"")</f>
        <v/>
      </c>
      <c r="CQ671" t="str">
        <f>IFERROR(VLOOKUP(CR671,'[3]Raw material  (3)'!CP653:DH3729,3,0),"")</f>
        <v/>
      </c>
      <c r="CR671" t="str">
        <f>IFERROR(VLOOKUP(CS671,'[3]Raw material  (3)'!CQ653:DI3729,3,0),"")</f>
        <v/>
      </c>
      <c r="CS671" t="str">
        <f>IFERROR(VLOOKUP(CT671,'[3]Raw material  (3)'!CR653:DJ3729,3,0),"")</f>
        <v/>
      </c>
      <c r="CT671" t="str">
        <f>IFERROR(VLOOKUP(CU671,'[3]Raw material  (3)'!CS653:DK3729,3,0),"")</f>
        <v/>
      </c>
      <c r="CU671" t="str">
        <f>IFERROR(VLOOKUP(CV671,'[3]Raw material  (3)'!CT653:DL3729,3,0),"")</f>
        <v/>
      </c>
      <c r="CV671" t="str">
        <f>IFERROR(VLOOKUP(CW671,'[3]Raw material  (3)'!CU653:DM3729,3,0),"")</f>
        <v/>
      </c>
      <c r="CW671" t="str">
        <f>IFERROR(VLOOKUP(CX671,'[3]Raw material  (3)'!CV653:DN3729,3,0),"")</f>
        <v/>
      </c>
      <c r="CX671" t="str">
        <f>IFERROR(VLOOKUP(CY671,'[3]Raw material  (3)'!CW653:DO3729,3,0),"")</f>
        <v/>
      </c>
      <c r="CY671" t="str">
        <f>IFERROR(VLOOKUP(CZ671,'[3]Raw material  (3)'!CX653:DP3729,3,0),"")</f>
        <v/>
      </c>
      <c r="CZ671" t="str">
        <f>IFERROR(VLOOKUP(DA671,'[3]Raw material  (3)'!CY653:DQ3729,3,0),"")</f>
        <v/>
      </c>
      <c r="DA671" t="str">
        <f>IFERROR(VLOOKUP(DB671,'[3]Raw material  (3)'!CZ653:DR3729,3,0),"")</f>
        <v/>
      </c>
      <c r="DB671" t="str">
        <f>IFERROR(VLOOKUP(DC671,'[3]Raw material  (3)'!DA653:DS3729,3,0),"")</f>
        <v/>
      </c>
      <c r="DC671" t="str">
        <f>IFERROR(VLOOKUP(DD671,'[3]Raw material  (3)'!DB653:DT3729,3,0),"")</f>
        <v/>
      </c>
      <c r="DD671" t="str">
        <f>IFERROR(VLOOKUP(DE671,'[3]Raw material  (3)'!DC653:DU3729,3,0),"")</f>
        <v/>
      </c>
      <c r="DE671" t="str">
        <f>IFERROR(VLOOKUP(DF671,'[3]Raw material  (3)'!DD653:DV3729,3,0),"")</f>
        <v/>
      </c>
      <c r="DF671" t="str">
        <f>IFERROR(VLOOKUP(DG671,'[3]Raw material  (3)'!DE653:DW3729,3,0),"")</f>
        <v/>
      </c>
      <c r="DG671" t="str">
        <f>IFERROR(VLOOKUP(DH671,'[3]Raw material  (3)'!DF653:DX3729,3,0),"")</f>
        <v/>
      </c>
      <c r="DH671" t="str">
        <f>IFERROR(VLOOKUP(DI671,'[3]Raw material  (3)'!DG653:DY3729,3,0),"")</f>
        <v/>
      </c>
      <c r="DI671" t="str">
        <f>IFERROR(VLOOKUP(DJ671,'[3]Raw material  (3)'!DH653:DZ3729,3,0),"")</f>
        <v/>
      </c>
      <c r="DJ671" t="str">
        <f>IFERROR(VLOOKUP(DK671,'[3]Raw material  (3)'!DI653:EA3729,3,0),"")</f>
        <v/>
      </c>
      <c r="DK671" t="str">
        <f>IFERROR(VLOOKUP(DL671,'[3]Raw material  (3)'!DJ653:EB3729,3,0),"")</f>
        <v/>
      </c>
      <c r="DL671" t="str">
        <f>IFERROR(VLOOKUP(DM671,'[3]Raw material  (3)'!DK653:EC3729,3,0),"")</f>
        <v/>
      </c>
      <c r="DM671" t="str">
        <f>IFERROR(VLOOKUP(DN671,'[3]Raw material  (3)'!DL653:ED3729,3,0),"")</f>
        <v/>
      </c>
      <c r="DN671" t="str">
        <f>IFERROR(VLOOKUP(DO671,'[3]Raw material  (3)'!DM653:EE3729,3,0),"")</f>
        <v/>
      </c>
      <c r="DO671" t="str">
        <f>IFERROR(VLOOKUP(DP671,'[3]Raw material  (3)'!DN653:EF3729,3,0),"")</f>
        <v/>
      </c>
      <c r="DP671" t="str">
        <f>IFERROR(VLOOKUP(DQ671,'[3]Raw material  (3)'!DO653:EG3729,3,0),"")</f>
        <v/>
      </c>
      <c r="DQ671" t="str">
        <f>IFERROR(VLOOKUP(DR671,'[3]Raw material  (3)'!DP653:EH3729,3,0),"")</f>
        <v/>
      </c>
      <c r="DR671" t="str">
        <f>IFERROR(VLOOKUP(DS671,'[3]Raw material  (3)'!DQ653:EI3729,3,0),"")</f>
        <v/>
      </c>
      <c r="DS671" t="str">
        <f>IFERROR(VLOOKUP(DT671,'[3]Raw material  (3)'!DR653:EJ3729,3,0),"")</f>
        <v/>
      </c>
      <c r="DT671" t="str">
        <f>IFERROR(VLOOKUP(DU671,'[3]Raw material  (3)'!DS653:EK3729,3,0),"")</f>
        <v/>
      </c>
      <c r="DU671" t="str">
        <f>IFERROR(VLOOKUP(DV671,'[3]Raw material  (3)'!DT653:EL3729,3,0),"")</f>
        <v/>
      </c>
      <c r="DV671" t="str">
        <f>IFERROR(VLOOKUP(DW671,'[3]Raw material  (3)'!DU653:EM3729,3,0),"")</f>
        <v/>
      </c>
      <c r="DW671" t="str">
        <f>IFERROR(VLOOKUP(DX671,'[3]Raw material  (3)'!DV653:EN3729,3,0),"")</f>
        <v/>
      </c>
      <c r="DX671" t="str">
        <f>IFERROR(VLOOKUP(DY671,'[3]Raw material  (3)'!DW653:EO3729,3,0),"")</f>
        <v/>
      </c>
      <c r="DY671" t="str">
        <f>IFERROR(VLOOKUP(DZ671,'[3]Raw material  (3)'!DX653:EP3729,3,0),"")</f>
        <v/>
      </c>
      <c r="DZ671" t="str">
        <f>IFERROR(VLOOKUP(EA671,'[3]Raw material  (3)'!DY653:EQ3729,3,0),"")</f>
        <v/>
      </c>
      <c r="EA671" t="str">
        <f>IFERROR(VLOOKUP(EB671,'[3]Raw material  (3)'!DZ653:ER3729,3,0),"")</f>
        <v/>
      </c>
      <c r="EB671" t="str">
        <f>IFERROR(VLOOKUP(EC671,'[3]Raw material  (3)'!EA653:ES3729,3,0),"")</f>
        <v/>
      </c>
      <c r="EC671" t="str">
        <f>IFERROR(VLOOKUP(ED671,'[3]Raw material  (3)'!EB653:ET3729,3,0),"")</f>
        <v/>
      </c>
      <c r="ED671" t="str">
        <f>IFERROR(VLOOKUP(EE671,'[3]Raw material  (3)'!EC653:EU3729,3,0),"")</f>
        <v/>
      </c>
      <c r="EE671" t="str">
        <f>IFERROR(VLOOKUP(EF671,'[3]Raw material  (3)'!ED653:EV3729,3,0),"")</f>
        <v/>
      </c>
      <c r="EF671" t="str">
        <f>IFERROR(VLOOKUP(EG671,'[3]Raw material  (3)'!EE653:EW3729,3,0),"")</f>
        <v/>
      </c>
      <c r="EG671" t="str">
        <f>IFERROR(VLOOKUP(EH671,'[3]Raw material  (3)'!EF653:EX3729,3,0),"")</f>
        <v/>
      </c>
      <c r="EH671" t="str">
        <f>IFERROR(VLOOKUP(EI671,'[3]Raw material  (3)'!EG653:EY3729,3,0),"")</f>
        <v/>
      </c>
      <c r="EI671" t="str">
        <f>IFERROR(VLOOKUP(EJ671,'[3]Raw material  (3)'!EH653:EZ3729,3,0),"")</f>
        <v/>
      </c>
      <c r="EJ671" t="str">
        <f>IFERROR(VLOOKUP(EK671,'[3]Raw material  (3)'!EI653:FA3729,3,0),"")</f>
        <v/>
      </c>
      <c r="EK671" t="str">
        <f>IFERROR(VLOOKUP(EL671,'[3]Raw material  (3)'!EJ653:FB3729,3,0),"")</f>
        <v/>
      </c>
      <c r="EL671" t="str">
        <f>IFERROR(VLOOKUP(EM671,'[3]Raw material  (3)'!EK653:FC3729,3,0),"")</f>
        <v/>
      </c>
      <c r="EM671" t="str">
        <f>IFERROR(VLOOKUP(EN671,'[3]Raw material  (3)'!EL653:FD3729,3,0),"")</f>
        <v/>
      </c>
      <c r="EN671" t="str">
        <f>IFERROR(VLOOKUP(EO671,'[3]Raw material  (3)'!EM653:FE3729,3,0),"")</f>
        <v/>
      </c>
      <c r="EO671" t="str">
        <f>IFERROR(VLOOKUP(EP671,'[3]Raw material  (3)'!EN653:FF3729,3,0),"")</f>
        <v/>
      </c>
      <c r="EP671" t="str">
        <f>IFERROR(VLOOKUP(EQ671,'[3]Raw material  (3)'!EO653:FG3729,3,0),"")</f>
        <v/>
      </c>
      <c r="EQ671" t="str">
        <f>IFERROR(VLOOKUP(ER671,'[3]Raw material  (3)'!EP653:FH3729,3,0),"")</f>
        <v/>
      </c>
      <c r="ER671" t="str">
        <f>IFERROR(VLOOKUP(ES671,'[3]Raw material  (3)'!EQ653:FI3729,3,0),"")</f>
        <v/>
      </c>
      <c r="ES671" t="str">
        <f>IFERROR(VLOOKUP(ET671,'[3]Raw material  (3)'!ER653:FJ3729,3,0),"")</f>
        <v/>
      </c>
      <c r="ET671" t="str">
        <f>IFERROR(VLOOKUP(EU671,'[3]Raw material  (3)'!ES653:FK3729,3,0),"")</f>
        <v/>
      </c>
      <c r="EU671" t="str">
        <f>IFERROR(VLOOKUP(EV671,'[3]Raw material  (3)'!ET653:FL3729,3,0),"")</f>
        <v/>
      </c>
      <c r="EV671" t="str">
        <f>IFERROR(VLOOKUP(EW671,'[3]Raw material  (3)'!EU653:FM3729,3,0),"")</f>
        <v/>
      </c>
      <c r="EW671" t="str">
        <f>IFERROR(VLOOKUP(EX671,'[3]Raw material  (3)'!EV653:FN3729,3,0),"")</f>
        <v/>
      </c>
      <c r="EX671" t="str">
        <f>IFERROR(VLOOKUP(EY671,'[3]Raw material  (3)'!EW653:FO3729,3,0),"")</f>
        <v/>
      </c>
      <c r="EY671" t="str">
        <f>IFERROR(VLOOKUP(EZ671,'[3]Raw material  (3)'!EX653:FP3729,3,0),"")</f>
        <v/>
      </c>
      <c r="EZ671" t="str">
        <f>IFERROR(VLOOKUP(FA671,'[3]Raw material  (3)'!EY653:FQ3729,3,0),"")</f>
        <v/>
      </c>
      <c r="FA671" t="str">
        <f>IFERROR(VLOOKUP(FB671,'[3]Raw material  (3)'!EZ653:FR3729,3,0),"")</f>
        <v/>
      </c>
      <c r="FB671" t="str">
        <f>IFERROR(VLOOKUP(FC671,'[3]Raw material  (3)'!FA653:FS3729,3,0),"")</f>
        <v/>
      </c>
      <c r="FC671" t="str">
        <f>IFERROR(VLOOKUP(FD671,'[3]Raw material  (3)'!FB653:FT3729,3,0),"")</f>
        <v/>
      </c>
      <c r="FD671" t="str">
        <f>IFERROR(VLOOKUP(FE671,'[3]Raw material  (3)'!FC653:FU3729,3,0),"")</f>
        <v/>
      </c>
      <c r="FE671" t="str">
        <f>IFERROR(VLOOKUP(FF671,'[3]Raw material  (3)'!FD653:FV3729,3,0),"")</f>
        <v/>
      </c>
      <c r="FF671" t="str">
        <f>IFERROR(VLOOKUP(FG671,'[3]Raw material  (3)'!FE653:FW3729,3,0),"")</f>
        <v/>
      </c>
      <c r="FG671" t="str">
        <f>IFERROR(VLOOKUP(FH671,'[3]Raw material  (3)'!FF653:FX3729,3,0),"")</f>
        <v/>
      </c>
      <c r="FH671" t="str">
        <f>IFERROR(VLOOKUP(FI671,'[3]Raw material  (3)'!FG653:FY3729,3,0),"")</f>
        <v/>
      </c>
      <c r="FI671" t="str">
        <f>IFERROR(VLOOKUP(FJ671,'[3]Raw material  (3)'!FH653:FZ3729,3,0),"")</f>
        <v/>
      </c>
      <c r="FJ671" t="str">
        <f>IFERROR(VLOOKUP(FK671,'[3]Raw material  (3)'!FI653:GA3729,3,0),"")</f>
        <v/>
      </c>
      <c r="FK671" t="str">
        <f>IFERROR(VLOOKUP(FL671,'[3]Raw material  (3)'!FJ653:GB3729,3,0),"")</f>
        <v/>
      </c>
      <c r="FL671" t="str">
        <f>IFERROR(VLOOKUP(FM671,'[3]Raw material  (3)'!FK653:GC3729,3,0),"")</f>
        <v/>
      </c>
      <c r="FM671" t="str">
        <f>IFERROR(VLOOKUP(FN671,'[3]Raw material  (3)'!FL653:GD3729,3,0),"")</f>
        <v/>
      </c>
      <c r="FN671" t="str">
        <f>IFERROR(VLOOKUP(FO671,'[3]Raw material  (3)'!FM653:GE3729,3,0),"")</f>
        <v/>
      </c>
      <c r="FO671" t="str">
        <f>IFERROR(VLOOKUP(FP671,'[3]Raw material  (3)'!FN653:GF3729,3,0),"")</f>
        <v/>
      </c>
      <c r="FP671" t="str">
        <f>IFERROR(VLOOKUP(FQ671,'[3]Raw material  (3)'!FO653:GG3729,3,0),"")</f>
        <v/>
      </c>
      <c r="FQ671" t="str">
        <f>IFERROR(VLOOKUP(FR671,'[3]Raw material  (3)'!FP653:GH3729,3,0),"")</f>
        <v/>
      </c>
      <c r="FR671" t="str">
        <f>IFERROR(VLOOKUP(FS671,'[3]Raw material  (3)'!FQ653:GI3729,3,0),"")</f>
        <v/>
      </c>
      <c r="FS671" t="str">
        <f>IFERROR(VLOOKUP(FT671,'[3]Raw material  (3)'!FR653:GJ3729,3,0),"")</f>
        <v/>
      </c>
      <c r="FT671" t="str">
        <f>IFERROR(VLOOKUP(FU671,'[3]Raw material  (3)'!FS653:GK3729,3,0),"")</f>
        <v/>
      </c>
      <c r="FU671" t="str">
        <f>IFERROR(VLOOKUP(FV671,'[3]Raw material  (3)'!FT653:GL3729,3,0),"")</f>
        <v/>
      </c>
      <c r="FV671" t="str">
        <f>IFERROR(VLOOKUP(FW671,'[3]Raw material  (3)'!FU653:GM3729,3,0),"")</f>
        <v/>
      </c>
      <c r="FW671" t="str">
        <f>IFERROR(VLOOKUP(FX671,'[3]Raw material  (3)'!FV653:GN3729,3,0),"")</f>
        <v/>
      </c>
      <c r="FX671" t="str">
        <f>IFERROR(VLOOKUP(FY671,'[3]Raw material  (3)'!FW653:GO3729,3,0),"")</f>
        <v/>
      </c>
      <c r="FY671" t="str">
        <f>IFERROR(VLOOKUP(FZ671,'[3]Raw material  (3)'!FX653:GP3729,3,0),"")</f>
        <v/>
      </c>
      <c r="FZ671" t="str">
        <f>IFERROR(VLOOKUP(GA671,'[3]Raw material  (3)'!FY653:GQ3729,3,0),"")</f>
        <v/>
      </c>
      <c r="GA671" t="str">
        <f>IFERROR(VLOOKUP(GB671,'[3]Raw material  (3)'!FZ653:GR3729,3,0),"")</f>
        <v/>
      </c>
      <c r="GB671" t="str">
        <f>IFERROR(VLOOKUP(GC671,'[3]Raw material  (3)'!GA653:GS3729,3,0),"")</f>
        <v/>
      </c>
      <c r="GC671" t="str">
        <f>IFERROR(VLOOKUP(GD671,'[3]Raw material  (3)'!GB653:GT3729,3,0),"")</f>
        <v/>
      </c>
      <c r="GD671" t="str">
        <f>IFERROR(VLOOKUP(GE671,'[3]Raw material  (3)'!GC653:GU3729,3,0),"")</f>
        <v/>
      </c>
      <c r="GE671" t="str">
        <f>IFERROR(VLOOKUP(GF671,'[3]Raw material  (3)'!GD653:GV3729,3,0),"")</f>
        <v/>
      </c>
      <c r="GF671" t="str">
        <f>IFERROR(VLOOKUP(GG671,'[3]Raw material  (3)'!GE653:GW3729,3,0),"")</f>
        <v/>
      </c>
      <c r="GG671" t="str">
        <f>IFERROR(VLOOKUP(GH671,'[3]Raw material  (3)'!GF653:GX3729,3,0),"")</f>
        <v/>
      </c>
      <c r="GH671" t="str">
        <f>IFERROR(VLOOKUP(GI671,'[3]Raw material  (3)'!GG653:GY3729,3,0),"")</f>
        <v/>
      </c>
      <c r="GI671" t="str">
        <f>IFERROR(VLOOKUP(GJ671,'[3]Raw material  (3)'!GH653:GZ3729,3,0),"")</f>
        <v/>
      </c>
      <c r="GJ671" t="str">
        <f>IFERROR(VLOOKUP(GK671,'[3]Raw material  (3)'!GI653:HA3729,3,0),"")</f>
        <v/>
      </c>
      <c r="GK671" t="str">
        <f>IFERROR(VLOOKUP(GL671,'[3]Raw material  (3)'!GJ653:HB3729,3,0),"")</f>
        <v/>
      </c>
      <c r="GL671" t="str">
        <f>IFERROR(VLOOKUP(GM671,'[3]Raw material  (3)'!GK653:HC3729,3,0),"")</f>
        <v/>
      </c>
      <c r="GM671" t="str">
        <f>IFERROR(VLOOKUP(GN671,'[3]Raw material  (3)'!GL653:HD3729,3,0),"")</f>
        <v/>
      </c>
      <c r="GN671" t="str">
        <f>IFERROR(VLOOKUP(GO671,'[3]Raw material  (3)'!GM653:HE3729,3,0),"")</f>
        <v/>
      </c>
      <c r="GO671" t="str">
        <f>IFERROR(VLOOKUP(GP671,'[3]Raw material  (3)'!GN653:HF3729,3,0),"")</f>
        <v/>
      </c>
      <c r="GP671" t="str">
        <f>IFERROR(VLOOKUP(GQ671,'[3]Raw material  (3)'!GO653:HG3729,3,0),"")</f>
        <v/>
      </c>
      <c r="GQ671" t="str">
        <f>IFERROR(VLOOKUP(GR671,'[3]Raw material  (3)'!GP653:HH3729,3,0),"")</f>
        <v/>
      </c>
      <c r="GR671" t="str">
        <f>IFERROR(VLOOKUP(GS671,'[3]Raw material  (3)'!GQ653:HI3729,3,0),"")</f>
        <v/>
      </c>
      <c r="GS671" t="str">
        <f>IFERROR(VLOOKUP(GT671,'[3]Raw material  (3)'!GR653:HJ3729,3,0),"")</f>
        <v/>
      </c>
      <c r="GT671" t="str">
        <f>IFERROR(VLOOKUP(GU671,'[3]Raw material  (3)'!GS653:HK3729,3,0),"")</f>
        <v/>
      </c>
      <c r="GU671" t="str">
        <f>IFERROR(VLOOKUP(GV671,'[3]Raw material  (3)'!GT653:HL3729,3,0),"")</f>
        <v/>
      </c>
      <c r="GV671" t="str">
        <f>IFERROR(VLOOKUP(GW671,'[3]Raw material  (3)'!GU653:HM3729,3,0),"")</f>
        <v/>
      </c>
      <c r="GW671" t="str">
        <f>IFERROR(VLOOKUP(GX671,'[3]Raw material  (3)'!GV653:HN3729,3,0),"")</f>
        <v/>
      </c>
      <c r="GX671" t="str">
        <f>IFERROR(VLOOKUP(GY671,'[3]Raw material  (3)'!GW653:HO3729,3,0),"")</f>
        <v/>
      </c>
      <c r="GY671" t="str">
        <f>IFERROR(VLOOKUP(GZ671,'[3]Raw material  (3)'!GX653:HP3729,3,0),"")</f>
        <v/>
      </c>
      <c r="GZ671" t="str">
        <f>IFERROR(VLOOKUP(HA671,'[3]Raw material  (3)'!GY653:HQ3729,3,0),"")</f>
        <v/>
      </c>
      <c r="HA671" t="str">
        <f>IFERROR(VLOOKUP(HB671,'[3]Raw material  (3)'!GZ653:HR3729,3,0),"")</f>
        <v/>
      </c>
      <c r="HB671" t="str">
        <f>IFERROR(VLOOKUP(HC671,'[3]Raw material  (3)'!HA653:HS3729,3,0),"")</f>
        <v/>
      </c>
      <c r="HC671" t="str">
        <f>IFERROR(VLOOKUP(HD671,'[3]Raw material  (3)'!HB653:HT3729,3,0),"")</f>
        <v/>
      </c>
      <c r="HD671" t="str">
        <f>IFERROR(VLOOKUP(HE671,'[3]Raw material  (3)'!HC653:HU3729,3,0),"")</f>
        <v/>
      </c>
      <c r="HE671" t="str">
        <f>IFERROR(VLOOKUP(HF671,'[3]Raw material  (3)'!HD653:HV3729,3,0),"")</f>
        <v/>
      </c>
      <c r="HF671" t="str">
        <f>IFERROR(VLOOKUP(HG671,'[3]Raw material  (3)'!HE653:HW3729,3,0),"")</f>
        <v/>
      </c>
      <c r="HG671" t="str">
        <f>IFERROR(VLOOKUP(HH671,'[3]Raw material  (3)'!HF653:HX3729,3,0),"")</f>
        <v/>
      </c>
      <c r="HH671" t="str">
        <f>IFERROR(VLOOKUP(HI671,'[3]Raw material  (3)'!HG653:HY3729,3,0),"")</f>
        <v/>
      </c>
      <c r="HI671" t="str">
        <f>IFERROR(VLOOKUP(HJ671,'[3]Raw material  (3)'!HH653:HZ3729,3,0),"")</f>
        <v/>
      </c>
      <c r="HJ671" t="str">
        <f>IFERROR(VLOOKUP(HK671,'[3]Raw material  (3)'!HI653:IA3729,3,0),"")</f>
        <v/>
      </c>
      <c r="HK671" t="str">
        <f>IFERROR(VLOOKUP(HL671,'[3]Raw material  (3)'!HJ653:IB3729,3,0),"")</f>
        <v/>
      </c>
      <c r="HL671" t="str">
        <f>IFERROR(VLOOKUP(HM671,'[3]Raw material  (3)'!HK653:IC3729,3,0),"")</f>
        <v/>
      </c>
      <c r="HM671" t="str">
        <f>IFERROR(VLOOKUP(HN671,'[3]Raw material  (3)'!HL653:ID3729,3,0),"")</f>
        <v/>
      </c>
      <c r="HN671" t="str">
        <f>IFERROR(VLOOKUP(HO671,'[3]Raw material  (3)'!HM653:IE3729,3,0),"")</f>
        <v/>
      </c>
      <c r="HO671" t="str">
        <f>IFERROR(VLOOKUP(HP671,'[3]Raw material  (3)'!HN653:IF3729,3,0),"")</f>
        <v/>
      </c>
      <c r="HP671" t="str">
        <f>IFERROR(VLOOKUP(HQ671,'[3]Raw material  (3)'!HO653:IG3729,3,0),"")</f>
        <v/>
      </c>
      <c r="HQ671" t="str">
        <f>IFERROR(VLOOKUP(HR671,'[3]Raw material  (3)'!HP653:IH3729,3,0),"")</f>
        <v/>
      </c>
      <c r="HR671" t="str">
        <f>IFERROR(VLOOKUP(HS671,'[3]Raw material  (3)'!HQ653:II3729,3,0),"")</f>
        <v/>
      </c>
      <c r="HS671" t="str">
        <f>IFERROR(VLOOKUP(HT671,'[3]Raw material  (3)'!HR653:IJ3729,3,0),"")</f>
        <v/>
      </c>
      <c r="HT671" t="str">
        <f>IFERROR(VLOOKUP(HU671,'[3]Raw material  (3)'!HS653:IK3729,3,0),"")</f>
        <v/>
      </c>
      <c r="HU671" t="str">
        <f>IFERROR(VLOOKUP(HV671,'[3]Raw material  (3)'!HT653:IL3729,3,0),"")</f>
        <v/>
      </c>
      <c r="HV671" t="str">
        <f>IFERROR(VLOOKUP(HW671,'[3]Raw material  (3)'!HU653:IM3729,3,0),"")</f>
        <v/>
      </c>
      <c r="HW671" t="str">
        <f>IFERROR(VLOOKUP(HX671,'[3]Raw material  (3)'!HV653:IN3729,3,0),"")</f>
        <v/>
      </c>
      <c r="HX671" t="str">
        <f>IFERROR(VLOOKUP(HY671,'[3]Raw material  (3)'!HW653:IO3729,3,0),"")</f>
        <v/>
      </c>
      <c r="HY671" t="str">
        <f>IFERROR(VLOOKUP(HZ671,'[3]Raw material  (3)'!HX653:IP3729,3,0),"")</f>
        <v/>
      </c>
      <c r="HZ671" t="str">
        <f>IFERROR(VLOOKUP(IA671,'[3]Raw material  (3)'!HY653:IQ3729,3,0),"")</f>
        <v/>
      </c>
      <c r="IA671" t="str">
        <f>IFERROR(VLOOKUP(IB671,'[3]Raw material  (3)'!HZ653:IR3729,3,0),"")</f>
        <v/>
      </c>
      <c r="IB671" t="str">
        <f>IFERROR(VLOOKUP(IC671,'[3]Raw material  (3)'!IA653:IS3729,3,0),"")</f>
        <v/>
      </c>
      <c r="IC671" t="str">
        <f>IFERROR(VLOOKUP(ID671,'[3]Raw material  (3)'!IB653:IT3729,3,0),"")</f>
        <v/>
      </c>
      <c r="ID671" t="str">
        <f>IFERROR(VLOOKUP(IE671,'[3]Raw material  (3)'!IC653:IU3729,3,0),"")</f>
        <v/>
      </c>
      <c r="IE671" t="str">
        <f>IFERROR(VLOOKUP(IF671,'[3]Raw material  (3)'!ID653:IV3729,3,0),"")</f>
        <v/>
      </c>
      <c r="IF671" t="str">
        <f>IFERROR(VLOOKUP(IG671,'[3]Raw material  (3)'!IE653:IW3729,3,0),"")</f>
        <v/>
      </c>
      <c r="IG671" t="str">
        <f>IFERROR(VLOOKUP(IH671,'[3]Raw material  (3)'!IF653:IX3729,3,0),"")</f>
        <v/>
      </c>
      <c r="IH671" t="str">
        <f>IFERROR(VLOOKUP(II671,'[3]Raw material  (3)'!IG653:IY3729,3,0),"")</f>
        <v/>
      </c>
      <c r="II671" t="str">
        <f>IFERROR(VLOOKUP(IJ671,'[3]Raw material  (3)'!IH653:IZ3729,3,0),"")</f>
        <v/>
      </c>
      <c r="IJ671" t="str">
        <f>IFERROR(VLOOKUP(IK671,'[3]Raw material  (3)'!II653:JA3729,3,0),"")</f>
        <v/>
      </c>
      <c r="IK671" t="str">
        <f>IFERROR(VLOOKUP(IL671,'[3]Raw material  (3)'!IJ653:JB3729,3,0),"")</f>
        <v/>
      </c>
      <c r="IL671" t="str">
        <f>IFERROR(VLOOKUP(IM671,'[3]Raw material  (3)'!IK653:JC3729,3,0),"")</f>
        <v/>
      </c>
      <c r="IM671" t="str">
        <f>IFERROR(VLOOKUP(IN671,'[3]Raw material  (3)'!IL653:JD3729,3,0),"")</f>
        <v/>
      </c>
      <c r="IN671" t="str">
        <f>IFERROR(VLOOKUP(IO671,'[3]Raw material  (3)'!IM653:JE3729,3,0),"")</f>
        <v/>
      </c>
      <c r="IO671" t="str">
        <f>IFERROR(VLOOKUP(IP671,'[3]Raw material  (3)'!IN653:JF3729,3,0),"")</f>
        <v/>
      </c>
      <c r="IP671" t="str">
        <f>IFERROR(VLOOKUP(IQ671,'[3]Raw material  (3)'!IO653:JG3729,3,0),"")</f>
        <v/>
      </c>
      <c r="IQ671" t="str">
        <f>IFERROR(VLOOKUP(IR671,'[3]Raw material  (3)'!IP653:JH3729,3,0),"")</f>
        <v/>
      </c>
      <c r="IR671" t="str">
        <f>IFERROR(VLOOKUP(IS671,'[3]Raw material  (3)'!IQ653:JI3729,3,0),"")</f>
        <v/>
      </c>
      <c r="IS671" t="str">
        <f>IFERROR(VLOOKUP(IT671,'[3]Raw material  (3)'!IR653:JJ3729,3,0),"")</f>
        <v/>
      </c>
      <c r="IT671" t="str">
        <f>IFERROR(VLOOKUP(IU671,'[3]Raw material  (3)'!IS653:JK3729,3,0),"")</f>
        <v/>
      </c>
      <c r="IU671" t="str">
        <f>IFERROR(VLOOKUP(IV671,'[3]Raw material  (3)'!IT653:JL3729,3,0),"")</f>
        <v/>
      </c>
      <c r="IV671" t="str">
        <f>IFERROR(VLOOKUP(IW671,'[3]Raw material  (3)'!IU653:JM3729,3,0),"")</f>
        <v/>
      </c>
      <c r="IW671" t="str">
        <f>IFERROR(VLOOKUP(IX671,'[3]Raw material  (3)'!IV653:JN3729,3,0),"")</f>
        <v/>
      </c>
      <c r="IX671" t="str">
        <f>IFERROR(VLOOKUP(IY671,'[3]Raw material  (3)'!IW653:JO3729,3,0),"")</f>
        <v/>
      </c>
      <c r="IY671" t="str">
        <f>IFERROR(VLOOKUP(IZ671,'[3]Raw material  (3)'!IX653:JP3729,3,0),"")</f>
        <v/>
      </c>
      <c r="IZ671" t="str">
        <f>IFERROR(VLOOKUP(JA671,'[3]Raw material  (3)'!IY653:JQ3729,3,0),"")</f>
        <v/>
      </c>
      <c r="JA671" t="str">
        <f>IFERROR(VLOOKUP(JB671,'[3]Raw material  (3)'!IZ653:JR3729,3,0),"")</f>
        <v/>
      </c>
      <c r="JB671" t="str">
        <f>IFERROR(VLOOKUP(JC671,'[3]Raw material  (3)'!JA653:JS3729,3,0),"")</f>
        <v/>
      </c>
      <c r="JC671" t="str">
        <f>IFERROR(VLOOKUP(JD671,'[3]Raw material  (3)'!JB653:JT3729,3,0),"")</f>
        <v/>
      </c>
      <c r="JD671" t="str">
        <f>IFERROR(VLOOKUP(JE671,'[3]Raw material  (3)'!JC653:JU3729,3,0),"")</f>
        <v/>
      </c>
      <c r="JE671" t="str">
        <f>IFERROR(VLOOKUP(JF671,'[3]Raw material  (3)'!JD653:JV3729,3,0),"")</f>
        <v/>
      </c>
      <c r="JF671" t="str">
        <f>IFERROR(VLOOKUP(JG671,'[3]Raw material  (3)'!JE653:JW3729,3,0),"")</f>
        <v/>
      </c>
      <c r="JG671" t="str">
        <f>IFERROR(VLOOKUP(JH671,'[3]Raw material  (3)'!JF653:JX3729,3,0),"")</f>
        <v/>
      </c>
      <c r="JH671" t="str">
        <f>IFERROR(VLOOKUP(JI671,'[3]Raw material  (3)'!JG653:JY3729,3,0),"")</f>
        <v/>
      </c>
      <c r="JI671" t="str">
        <f>IFERROR(VLOOKUP(JJ671,'[3]Raw material  (3)'!JH653:JZ3729,3,0),"")</f>
        <v/>
      </c>
      <c r="JJ671" t="str">
        <f>IFERROR(VLOOKUP(JK671,'[3]Raw material  (3)'!JI653:KA3729,3,0),"")</f>
        <v/>
      </c>
      <c r="JK671" t="str">
        <f>IFERROR(VLOOKUP(JL671,'[3]Raw material  (3)'!JJ653:KB3729,3,0),"")</f>
        <v/>
      </c>
      <c r="JL671" t="str">
        <f>IFERROR(VLOOKUP(JM671,'[3]Raw material  (3)'!JK653:KC3729,3,0),"")</f>
        <v/>
      </c>
      <c r="JM671" t="str">
        <f>IFERROR(VLOOKUP(JN671,'[3]Raw material  (3)'!JL653:KD3729,3,0),"")</f>
        <v/>
      </c>
      <c r="JN671" t="str">
        <f>IFERROR(VLOOKUP(JO671,'[3]Raw material  (3)'!JM653:KE3729,3,0),"")</f>
        <v/>
      </c>
      <c r="JO671" t="str">
        <f>IFERROR(VLOOKUP(JP671,'[3]Raw material  (3)'!JN653:KF3729,3,0),"")</f>
        <v/>
      </c>
      <c r="JP671" t="str">
        <f>IFERROR(VLOOKUP(JQ671,'[3]Raw material  (3)'!JO653:KG3729,3,0),"")</f>
        <v/>
      </c>
      <c r="JQ671" t="str">
        <f>IFERROR(VLOOKUP(JR671,'[3]Raw material  (3)'!JP653:KH3729,3,0),"")</f>
        <v/>
      </c>
      <c r="JR671" t="str">
        <f>IFERROR(VLOOKUP(JS671,'[3]Raw material  (3)'!JQ653:KI3729,3,0),"")</f>
        <v/>
      </c>
      <c r="JS671" t="str">
        <f>IFERROR(VLOOKUP(JT671,'[3]Raw material  (3)'!JR653:KJ3729,3,0),"")</f>
        <v/>
      </c>
      <c r="JT671" t="str">
        <f>IFERROR(VLOOKUP(JU671,'[3]Raw material  (3)'!JS653:KK3729,3,0),"")</f>
        <v/>
      </c>
      <c r="JU671" t="str">
        <f>IFERROR(VLOOKUP(JV671,'[3]Raw material  (3)'!JT653:KL3729,3,0),"")</f>
        <v/>
      </c>
      <c r="JV671" t="str">
        <f>IFERROR(VLOOKUP(JW671,'[3]Raw material  (3)'!JU653:KM3729,3,0),"")</f>
        <v/>
      </c>
      <c r="JW671" t="str">
        <f>IFERROR(VLOOKUP(JX671,'[3]Raw material  (3)'!JV653:KN3729,3,0),"")</f>
        <v/>
      </c>
      <c r="JX671" t="str">
        <f>IFERROR(VLOOKUP(JY671,'[3]Raw material  (3)'!JW653:KO3729,3,0),"")</f>
        <v/>
      </c>
      <c r="JY671" t="str">
        <f>IFERROR(VLOOKUP(JZ671,'[3]Raw material  (3)'!JX653:KP3729,3,0),"")</f>
        <v/>
      </c>
      <c r="JZ671" t="str">
        <f>IFERROR(VLOOKUP(KA671,'[3]Raw material  (3)'!JY653:KQ3729,3,0),"")</f>
        <v/>
      </c>
      <c r="KA671" t="str">
        <f>IFERROR(VLOOKUP(KB671,'[3]Raw material  (3)'!JZ653:KR3729,3,0),"")</f>
        <v/>
      </c>
      <c r="KB671" t="str">
        <f>IFERROR(VLOOKUP(KC671,'[3]Raw material  (3)'!KA653:KS3729,3,0),"")</f>
        <v/>
      </c>
      <c r="KC671" t="str">
        <f>IFERROR(VLOOKUP(KD671,'[3]Raw material  (3)'!KB653:KT3729,3,0),"")</f>
        <v/>
      </c>
      <c r="KD671" t="str">
        <f>IFERROR(VLOOKUP(KE671,'[3]Raw material  (3)'!KC653:KU3729,3,0),"")</f>
        <v/>
      </c>
      <c r="KE671" t="str">
        <f>IFERROR(VLOOKUP(KF671,'[3]Raw material  (3)'!KD653:KV3729,3,0),"")</f>
        <v/>
      </c>
      <c r="KF671" t="str">
        <f>IFERROR(VLOOKUP(KG671,'[3]Raw material  (3)'!KE653:KW3729,3,0),"")</f>
        <v/>
      </c>
      <c r="KG671" t="str">
        <f>IFERROR(VLOOKUP(KH671,'[3]Raw material  (3)'!KF653:KX3729,3,0),"")</f>
        <v/>
      </c>
      <c r="KH671" t="str">
        <f>IFERROR(VLOOKUP(KI671,'[3]Raw material  (3)'!KG653:KY3729,3,0),"")</f>
        <v/>
      </c>
      <c r="KI671" t="str">
        <f>IFERROR(VLOOKUP(KJ671,'[3]Raw material  (3)'!KH653:KZ3729,3,0),"")</f>
        <v/>
      </c>
      <c r="KJ671" t="str">
        <f>IFERROR(VLOOKUP(KK671,'[3]Raw material  (3)'!KI653:LA3729,3,0),"")</f>
        <v/>
      </c>
      <c r="KK671" t="str">
        <f>IFERROR(VLOOKUP(KL671,'[3]Raw material  (3)'!KJ653:LB3729,3,0),"")</f>
        <v/>
      </c>
      <c r="KL671" t="str">
        <f>IFERROR(VLOOKUP(KM671,'[3]Raw material  (3)'!KK653:LC3729,3,0),"")</f>
        <v/>
      </c>
      <c r="KM671" t="str">
        <f>IFERROR(VLOOKUP(KN671,'[3]Raw material  (3)'!KL653:LD3729,3,0),"")</f>
        <v/>
      </c>
      <c r="KN671" t="str">
        <f>IFERROR(VLOOKUP(KO671,'[3]Raw material  (3)'!KM653:LE3729,3,0),"")</f>
        <v/>
      </c>
      <c r="KO671" t="str">
        <f>IFERROR(VLOOKUP(KP671,'[3]Raw material  (3)'!KN653:LF3729,3,0),"")</f>
        <v/>
      </c>
      <c r="KP671" t="str">
        <f>IFERROR(VLOOKUP(KQ671,'[3]Raw material  (3)'!KO653:LG3729,3,0),"")</f>
        <v/>
      </c>
      <c r="KQ671" t="str">
        <f>IFERROR(VLOOKUP(KR671,'[3]Raw material  (3)'!KP653:LH3729,3,0),"")</f>
        <v/>
      </c>
      <c r="KR671" t="str">
        <f>IFERROR(VLOOKUP(KS671,'[3]Raw material  (3)'!KQ653:LI3729,3,0),"")</f>
        <v/>
      </c>
      <c r="KS671" t="str">
        <f>IFERROR(VLOOKUP(KT671,'[3]Raw material  (3)'!KR653:LJ3729,3,0),"")</f>
        <v/>
      </c>
      <c r="KT671" t="str">
        <f>IFERROR(VLOOKUP(KU671,'[3]Raw material  (3)'!KS653:LK3729,3,0),"")</f>
        <v/>
      </c>
      <c r="KU671" t="str">
        <f>IFERROR(VLOOKUP(KV671,'[3]Raw material  (3)'!KT653:LL3729,3,0),"")</f>
        <v/>
      </c>
      <c r="KV671" t="str">
        <f>IFERROR(VLOOKUP(KW671,'[3]Raw material  (3)'!KU653:LM3729,3,0),"")</f>
        <v/>
      </c>
      <c r="KW671" t="str">
        <f>IFERROR(VLOOKUP(KX671,'[3]Raw material  (3)'!KV653:LN3729,3,0),"")</f>
        <v/>
      </c>
      <c r="KX671" t="str">
        <f>IFERROR(VLOOKUP(KY671,'[3]Raw material  (3)'!KW653:LO3729,3,0),"")</f>
        <v/>
      </c>
      <c r="KY671" t="str">
        <f>IFERROR(VLOOKUP(KZ671,'[3]Raw material  (3)'!KX653:LP3729,3,0),"")</f>
        <v/>
      </c>
      <c r="KZ671" t="str">
        <f>IFERROR(VLOOKUP(LA671,'[3]Raw material  (3)'!KY653:LQ3729,3,0),"")</f>
        <v/>
      </c>
      <c r="LA671" t="str">
        <f>IFERROR(VLOOKUP(LB671,'[3]Raw material  (3)'!KZ653:LR3729,3,0),"")</f>
        <v/>
      </c>
      <c r="LB671" t="str">
        <f>IFERROR(VLOOKUP(LC671,'[3]Raw material  (3)'!LA653:LS3729,3,0),"")</f>
        <v/>
      </c>
      <c r="LC671" t="str">
        <f>IFERROR(VLOOKUP(LD671,'[3]Raw material  (3)'!LB653:LT3729,3,0),"")</f>
        <v/>
      </c>
      <c r="LD671" t="str">
        <f>IFERROR(VLOOKUP(LE671,'[3]Raw material  (3)'!LC653:LU3729,3,0),"")</f>
        <v/>
      </c>
      <c r="LE671" t="str">
        <f>IFERROR(VLOOKUP(LF671,'[3]Raw material  (3)'!LD653:LV3729,3,0),"")</f>
        <v/>
      </c>
      <c r="LF671" t="str">
        <f>IFERROR(VLOOKUP(LG671,'[3]Raw material  (3)'!LE653:LW3729,3,0),"")</f>
        <v/>
      </c>
      <c r="LG671" t="str">
        <f>IFERROR(VLOOKUP(LH671,'[3]Raw material  (3)'!LF653:LX3729,3,0),"")</f>
        <v/>
      </c>
      <c r="LH671" t="str">
        <f>IFERROR(VLOOKUP(LI671,'[3]Raw material  (3)'!LG653:LY3729,3,0),"")</f>
        <v/>
      </c>
      <c r="LI671" t="str">
        <f>IFERROR(VLOOKUP(LJ671,'[3]Raw material  (3)'!LH653:LZ3729,3,0),"")</f>
        <v/>
      </c>
      <c r="LJ671" t="str">
        <f>IFERROR(VLOOKUP(LK671,'[3]Raw material  (3)'!LI653:MA3729,3,0),"")</f>
        <v/>
      </c>
      <c r="LK671" t="str">
        <f>IFERROR(VLOOKUP(LL671,'[3]Raw material  (3)'!LJ653:MB3729,3,0),"")</f>
        <v/>
      </c>
      <c r="LL671" t="str">
        <f>IFERROR(VLOOKUP(LM671,'[3]Raw material  (3)'!LK653:MC3729,3,0),"")</f>
        <v/>
      </c>
      <c r="LM671" t="str">
        <f>IFERROR(VLOOKUP(LN671,'[3]Raw material  (3)'!LL653:MD3729,3,0),"")</f>
        <v/>
      </c>
      <c r="LN671" t="str">
        <f>IFERROR(VLOOKUP(LO671,'[3]Raw material  (3)'!LM653:ME3729,3,0),"")</f>
        <v/>
      </c>
      <c r="LO671" t="str">
        <f>IFERROR(VLOOKUP(LP671,'[3]Raw material  (3)'!LN653:MF3729,3,0),"")</f>
        <v/>
      </c>
      <c r="LP671" t="str">
        <f>IFERROR(VLOOKUP(LQ671,'[3]Raw material  (3)'!LO653:MG3729,3,0),"")</f>
        <v/>
      </c>
      <c r="LQ671" t="str">
        <f>IFERROR(VLOOKUP(LR671,'[3]Raw material  (3)'!LP653:MH3729,3,0),"")</f>
        <v/>
      </c>
      <c r="LR671" t="str">
        <f>IFERROR(VLOOKUP(LS671,'[3]Raw material  (3)'!LQ653:MI3729,3,0),"")</f>
        <v/>
      </c>
      <c r="LS671" t="str">
        <f>IFERROR(VLOOKUP(LT671,'[3]Raw material  (3)'!LR653:MJ3729,3,0),"")</f>
        <v/>
      </c>
      <c r="LT671" t="str">
        <f>IFERROR(VLOOKUP(LU671,'[3]Raw material  (3)'!LS653:MK3729,3,0),"")</f>
        <v/>
      </c>
      <c r="LU671" t="str">
        <f>IFERROR(VLOOKUP(LV671,'[3]Raw material  (3)'!LT653:ML3729,3,0),"")</f>
        <v/>
      </c>
      <c r="LV671" t="str">
        <f>IFERROR(VLOOKUP(LW671,'[3]Raw material  (3)'!LU653:MM3729,3,0),"")</f>
        <v/>
      </c>
      <c r="LW671" t="str">
        <f>IFERROR(VLOOKUP(LX671,'[3]Raw material  (3)'!LV653:MN3729,3,0),"")</f>
        <v/>
      </c>
      <c r="LX671" t="str">
        <f>IFERROR(VLOOKUP(LY671,'[3]Raw material  (3)'!LW653:MO3729,3,0),"")</f>
        <v/>
      </c>
      <c r="LY671" t="str">
        <f>IFERROR(VLOOKUP(LZ671,'[3]Raw material  (3)'!LX653:MP3729,3,0),"")</f>
        <v/>
      </c>
      <c r="LZ671" t="str">
        <f>IFERROR(VLOOKUP(MA671,'[3]Raw material  (3)'!LY653:MQ3729,3,0),"")</f>
        <v/>
      </c>
      <c r="MA671" t="str">
        <f>IFERROR(VLOOKUP(MB671,'[3]Raw material  (3)'!LZ653:MR3729,3,0),"")</f>
        <v/>
      </c>
      <c r="MB671" t="str">
        <f>IFERROR(VLOOKUP(MC671,'[3]Raw material  (3)'!MA653:MS3729,3,0),"")</f>
        <v/>
      </c>
      <c r="MC671" t="str">
        <f>IFERROR(VLOOKUP(MD671,'[3]Raw material  (3)'!MB653:MT3729,3,0),"")</f>
        <v/>
      </c>
      <c r="MD671" t="str">
        <f>IFERROR(VLOOKUP(ME671,'[3]Raw material  (3)'!MC653:MU3729,3,0),"")</f>
        <v/>
      </c>
      <c r="ME671" t="str">
        <f>IFERROR(VLOOKUP(MF671,'[3]Raw material  (3)'!MD653:MV3729,3,0),"")</f>
        <v/>
      </c>
      <c r="MF671" t="str">
        <f>IFERROR(VLOOKUP(MG671,'[3]Raw material  (3)'!ME653:MW3729,3,0),"")</f>
        <v/>
      </c>
      <c r="MG671" t="str">
        <f>IFERROR(VLOOKUP(MH671,'[3]Raw material  (3)'!MF653:MX3729,3,0),"")</f>
        <v/>
      </c>
      <c r="MH671" t="str">
        <f>IFERROR(VLOOKUP(MI671,'[3]Raw material  (3)'!MG653:MY3729,3,0),"")</f>
        <v/>
      </c>
      <c r="MI671" t="str">
        <f>IFERROR(VLOOKUP(MJ671,'[3]Raw material  (3)'!MH653:MZ3729,3,0),"")</f>
        <v/>
      </c>
      <c r="MJ671" t="str">
        <f>IFERROR(VLOOKUP(MK671,'[3]Raw material  (3)'!MI653:NA3729,3,0),"")</f>
        <v/>
      </c>
      <c r="MK671" t="str">
        <f>IFERROR(VLOOKUP(ML671,'[3]Raw material  (3)'!MJ653:NB3729,3,0),"")</f>
        <v/>
      </c>
      <c r="ML671" t="str">
        <f>IFERROR(VLOOKUP(MM671,'[3]Raw material  (3)'!MK653:NC3729,3,0),"")</f>
        <v/>
      </c>
      <c r="MM671" t="str">
        <f>IFERROR(VLOOKUP(MN671,'[3]Raw material  (3)'!ML653:ND3729,3,0),"")</f>
        <v/>
      </c>
      <c r="MN671" t="str">
        <f>IFERROR(VLOOKUP(MO671,'[3]Raw material  (3)'!MM653:NE3729,3,0),"")</f>
        <v/>
      </c>
      <c r="MO671" t="str">
        <f>IFERROR(VLOOKUP(MP671,'[3]Raw material  (3)'!MN653:NF3729,3,0),"")</f>
        <v/>
      </c>
      <c r="MP671" t="str">
        <f>IFERROR(VLOOKUP(MQ671,'[3]Raw material  (3)'!MO653:NG3729,3,0),"")</f>
        <v/>
      </c>
      <c r="MQ671" t="str">
        <f>IFERROR(VLOOKUP(MR671,'[3]Raw material  (3)'!MP653:NH3729,3,0),"")</f>
        <v/>
      </c>
      <c r="MR671" t="str">
        <f>IFERROR(VLOOKUP(MS671,'[3]Raw material  (3)'!MQ653:NI3729,3,0),"")</f>
        <v/>
      </c>
      <c r="MS671" t="str">
        <f>IFERROR(VLOOKUP(MT671,'[3]Raw material  (3)'!MR653:NJ3729,3,0),"")</f>
        <v/>
      </c>
      <c r="MT671" t="str">
        <f>IFERROR(VLOOKUP(MU671,'[3]Raw material  (3)'!MS653:NK3729,3,0),"")</f>
        <v/>
      </c>
      <c r="MU671" t="str">
        <f>IFERROR(VLOOKUP(MV671,'[3]Raw material  (3)'!MT653:NL3729,3,0),"")</f>
        <v/>
      </c>
      <c r="MV671" t="str">
        <f>IFERROR(VLOOKUP(MW671,'[3]Raw material  (3)'!MU653:NM3729,3,0),"")</f>
        <v/>
      </c>
      <c r="MW671" t="str">
        <f>IFERROR(VLOOKUP(MX671,'[3]Raw material  (3)'!MV653:NN3729,3,0),"")</f>
        <v/>
      </c>
      <c r="MX671" t="str">
        <f>IFERROR(VLOOKUP(MY671,'[3]Raw material  (3)'!MW653:NO3729,3,0),"")</f>
        <v/>
      </c>
      <c r="MY671" t="str">
        <f>IFERROR(VLOOKUP(MZ671,'[3]Raw material  (3)'!MX653:NP3729,3,0),"")</f>
        <v/>
      </c>
      <c r="MZ671" t="str">
        <f>IFERROR(VLOOKUP(NA671,'[3]Raw material  (3)'!MY653:NQ3729,3,0),"")</f>
        <v/>
      </c>
      <c r="NA671" t="str">
        <f>IFERROR(VLOOKUP(NB671,'[3]Raw material  (3)'!MZ653:NR3729,3,0),"")</f>
        <v/>
      </c>
      <c r="NB671" t="str">
        <f>IFERROR(VLOOKUP(NC671,'[3]Raw material  (3)'!NA653:NS3729,3,0),"")</f>
        <v/>
      </c>
      <c r="NC671" t="str">
        <f>IFERROR(VLOOKUP(ND671,'[3]Raw material  (3)'!NB653:NT3729,3,0),"")</f>
        <v/>
      </c>
      <c r="ND671" t="str">
        <f>IFERROR(VLOOKUP(NE671,'[3]Raw material  (3)'!NC653:NU3729,3,0),"")</f>
        <v/>
      </c>
      <c r="NE671" t="str">
        <f>IFERROR(VLOOKUP(NF671,'[3]Raw material  (3)'!ND653:NV3729,3,0),"")</f>
        <v/>
      </c>
      <c r="NF671" t="str">
        <f>IFERROR(VLOOKUP(NG671,'[3]Raw material  (3)'!NE653:NW3729,3,0),"")</f>
        <v/>
      </c>
      <c r="NG671" t="str">
        <f>IFERROR(VLOOKUP(NH671,'[3]Raw material  (3)'!NF653:NX3729,3,0),"")</f>
        <v/>
      </c>
      <c r="NH671" t="str">
        <f>IFERROR(VLOOKUP(NI671,'[3]Raw material  (3)'!NG653:NY3729,3,0),"")</f>
        <v/>
      </c>
      <c r="NI671" t="str">
        <f>IFERROR(VLOOKUP(NJ671,'[3]Raw material  (3)'!NH653:NZ3729,3,0),"")</f>
        <v/>
      </c>
      <c r="NJ671" t="str">
        <f>IFERROR(VLOOKUP(NK671,'[3]Raw material  (3)'!NI653:OA3729,3,0),"")</f>
        <v/>
      </c>
      <c r="NK671" t="str">
        <f>IFERROR(VLOOKUP(NL671,'[3]Raw material  (3)'!NJ653:OB3729,3,0),"")</f>
        <v/>
      </c>
      <c r="NL671" t="str">
        <f>IFERROR(VLOOKUP(NM671,'[3]Raw material  (3)'!NK653:OC3729,3,0),"")</f>
        <v/>
      </c>
      <c r="NM671" t="str">
        <f>IFERROR(VLOOKUP(NN671,'[3]Raw material  (3)'!NL653:OD3729,3,0),"")</f>
        <v/>
      </c>
      <c r="NN671" t="str">
        <f>IFERROR(VLOOKUP(NO671,'[3]Raw material  (3)'!NM653:OE3729,3,0),"")</f>
        <v/>
      </c>
      <c r="NO671" t="str">
        <f>IFERROR(VLOOKUP(NP671,'[3]Raw material  (3)'!NN653:OF3729,3,0),"")</f>
        <v/>
      </c>
      <c r="NP671" t="str">
        <f>IFERROR(VLOOKUP(NQ671,'[3]Raw material  (3)'!NO653:OG3729,3,0),"")</f>
        <v/>
      </c>
      <c r="NQ671" t="str">
        <f>IFERROR(VLOOKUP(NR671,'[3]Raw material  (3)'!NP653:OH3729,3,0),"")</f>
        <v/>
      </c>
      <c r="NR671" t="str">
        <f>IFERROR(VLOOKUP(NS671,'[3]Raw material  (3)'!NQ653:OI3729,3,0),"")</f>
        <v/>
      </c>
      <c r="NS671" t="str">
        <f>IFERROR(VLOOKUP(NT671,'[3]Raw material  (3)'!NR653:OJ3729,3,0),"")</f>
        <v/>
      </c>
      <c r="NT671" t="str">
        <f>IFERROR(VLOOKUP(NU671,'[3]Raw material  (3)'!NS653:OK3729,3,0),"")</f>
        <v/>
      </c>
      <c r="NU671" t="str">
        <f>IFERROR(VLOOKUP(NV671,'[3]Raw material  (3)'!NT653:OL3729,3,0),"")</f>
        <v/>
      </c>
      <c r="NV671" t="str">
        <f>IFERROR(VLOOKUP(NW671,'[3]Raw material  (3)'!NU653:OM3729,3,0),"")</f>
        <v/>
      </c>
      <c r="NW671" t="str">
        <f>IFERROR(VLOOKUP(NX671,'[3]Raw material  (3)'!NV653:ON3729,3,0),"")</f>
        <v/>
      </c>
      <c r="NX671" t="str">
        <f>IFERROR(VLOOKUP(NY671,'[3]Raw material  (3)'!NW653:OO3729,3,0),"")</f>
        <v/>
      </c>
      <c r="NY671" t="str">
        <f>IFERROR(VLOOKUP(NZ671,'[3]Raw material  (3)'!NX653:OP3729,3,0),"")</f>
        <v/>
      </c>
      <c r="NZ671" t="str">
        <f>IFERROR(VLOOKUP(OA671,'[3]Raw material  (3)'!NY653:OQ3729,3,0),"")</f>
        <v/>
      </c>
      <c r="OA671" t="str">
        <f>IFERROR(VLOOKUP(OB671,'[3]Raw material  (3)'!NZ653:OR3729,3,0),"")</f>
        <v/>
      </c>
      <c r="OB671" t="str">
        <f>IFERROR(VLOOKUP(OC671,'[3]Raw material  (3)'!OA653:OS3729,3,0),"")</f>
        <v/>
      </c>
      <c r="OC671" t="str">
        <f>IFERROR(VLOOKUP(OD671,'[3]Raw material  (3)'!OB653:OT3729,3,0),"")</f>
        <v/>
      </c>
      <c r="OD671" t="str">
        <f>IFERROR(VLOOKUP(OE671,'[3]Raw material  (3)'!OC653:OU3729,3,0),"")</f>
        <v/>
      </c>
      <c r="OE671" t="str">
        <f>IFERROR(VLOOKUP(OF671,'[3]Raw material  (3)'!OD653:OV3729,3,0),"")</f>
        <v/>
      </c>
      <c r="OF671" t="str">
        <f>IFERROR(VLOOKUP(OG671,'[3]Raw material  (3)'!OE653:OW3729,3,0),"")</f>
        <v/>
      </c>
      <c r="OG671" t="str">
        <f>IFERROR(VLOOKUP(OH671,'[3]Raw material  (3)'!OF653:OX3729,3,0),"")</f>
        <v/>
      </c>
      <c r="OH671" t="str">
        <f>IFERROR(VLOOKUP(OI671,'[3]Raw material  (3)'!OG653:OY3729,3,0),"")</f>
        <v/>
      </c>
      <c r="OI671" t="str">
        <f>IFERROR(VLOOKUP(OJ671,'[3]Raw material  (3)'!OH653:OZ3729,3,0),"")</f>
        <v/>
      </c>
      <c r="OJ671" t="str">
        <f>IFERROR(VLOOKUP(OK671,'[3]Raw material  (3)'!OI653:PA3729,3,0),"")</f>
        <v/>
      </c>
      <c r="OK671" t="str">
        <f>IFERROR(VLOOKUP(OL671,'[3]Raw material  (3)'!OJ653:PB3729,3,0),"")</f>
        <v/>
      </c>
      <c r="OL671" t="str">
        <f>IFERROR(VLOOKUP(OM671,'[3]Raw material  (3)'!OK653:PC3729,3,0),"")</f>
        <v/>
      </c>
      <c r="OM671" t="str">
        <f>IFERROR(VLOOKUP(ON671,'[3]Raw material  (3)'!OL653:PD3729,3,0),"")</f>
        <v/>
      </c>
      <c r="ON671" t="str">
        <f>IFERROR(VLOOKUP(OO671,'[3]Raw material  (3)'!OM653:PE3729,3,0),"")</f>
        <v/>
      </c>
      <c r="OO671" t="str">
        <f>IFERROR(VLOOKUP(OP671,'[3]Raw material  (3)'!ON653:PF3729,3,0),"")</f>
        <v/>
      </c>
      <c r="OP671" t="str">
        <f>IFERROR(VLOOKUP(OQ671,'[3]Raw material  (3)'!OO653:PG3729,3,0),"")</f>
        <v/>
      </c>
      <c r="OQ671" t="str">
        <f>IFERROR(VLOOKUP(OR671,'[3]Raw material  (3)'!OP653:PH3729,3,0),"")</f>
        <v/>
      </c>
      <c r="OR671" t="str">
        <f>IFERROR(VLOOKUP(OS671,'[3]Raw material  (3)'!OQ653:PI3729,3,0),"")</f>
        <v/>
      </c>
      <c r="OS671" t="str">
        <f>IFERROR(VLOOKUP(OT671,'[3]Raw material  (3)'!OR653:PJ3729,3,0),"")</f>
        <v/>
      </c>
      <c r="OT671" t="str">
        <f>IFERROR(VLOOKUP(OU671,'[3]Raw material  (3)'!OS653:PK3729,3,0),"")</f>
        <v/>
      </c>
      <c r="OU671" t="str">
        <f>IFERROR(VLOOKUP(OV671,'[3]Raw material  (3)'!OT653:PL3729,3,0),"")</f>
        <v/>
      </c>
      <c r="OV671" t="str">
        <f>IFERROR(VLOOKUP(OW671,'[3]Raw material  (3)'!OU653:PM3729,3,0),"")</f>
        <v/>
      </c>
      <c r="OW671" t="str">
        <f>IFERROR(VLOOKUP(OX671,'[3]Raw material  (3)'!OV653:PN3729,3,0),"")</f>
        <v/>
      </c>
      <c r="OX671" t="str">
        <f>IFERROR(VLOOKUP(OY671,'[3]Raw material  (3)'!OW653:PO3729,3,0),"")</f>
        <v/>
      </c>
      <c r="OY671" t="str">
        <f>IFERROR(VLOOKUP(OZ671,'[3]Raw material  (3)'!OX653:PP3729,3,0),"")</f>
        <v/>
      </c>
      <c r="OZ671" t="str">
        <f>IFERROR(VLOOKUP(PA671,'[3]Raw material  (3)'!OY653:PQ3729,3,0),"")</f>
        <v/>
      </c>
      <c r="PA671" t="str">
        <f>IFERROR(VLOOKUP(PB671,'[3]Raw material  (3)'!OZ653:PR3729,3,0),"")</f>
        <v/>
      </c>
      <c r="PB671" t="str">
        <f>IFERROR(VLOOKUP(PC671,'[3]Raw material  (3)'!PA653:PS3729,3,0),"")</f>
        <v/>
      </c>
      <c r="PC671" t="str">
        <f>IFERROR(VLOOKUP(PD671,'[3]Raw material  (3)'!PB653:PT3729,3,0),"")</f>
        <v/>
      </c>
      <c r="PD671" t="str">
        <f>IFERROR(VLOOKUP(PE671,'[3]Raw material  (3)'!PC653:PU3729,3,0),"")</f>
        <v/>
      </c>
      <c r="PE671" t="str">
        <f>IFERROR(VLOOKUP(PF671,'[3]Raw material  (3)'!PD653:PV3729,3,0),"")</f>
        <v/>
      </c>
      <c r="PF671" t="str">
        <f>IFERROR(VLOOKUP(PG671,'[3]Raw material  (3)'!PE653:PW3729,3,0),"")</f>
        <v/>
      </c>
      <c r="PG671" t="str">
        <f>IFERROR(VLOOKUP(PH671,'[3]Raw material  (3)'!PF653:PX3729,3,0),"")</f>
        <v/>
      </c>
      <c r="PH671" t="str">
        <f>IFERROR(VLOOKUP(PI671,'[3]Raw material  (3)'!PG653:PY3729,3,0),"")</f>
        <v/>
      </c>
      <c r="PI671" t="str">
        <f>IFERROR(VLOOKUP(PJ671,'[3]Raw material  (3)'!PH653:PZ3729,3,0),"")</f>
        <v/>
      </c>
      <c r="PJ671" t="str">
        <f>IFERROR(VLOOKUP(PK671,'[3]Raw material  (3)'!PI653:QA3729,3,0),"")</f>
        <v/>
      </c>
      <c r="PK671" t="str">
        <f>IFERROR(VLOOKUP(PL671,'[3]Raw material  (3)'!PJ653:QB3729,3,0),"")</f>
        <v/>
      </c>
      <c r="PL671" t="str">
        <f>IFERROR(VLOOKUP(PM671,'[3]Raw material  (3)'!PK653:QC3729,3,0),"")</f>
        <v/>
      </c>
      <c r="PM671" t="str">
        <f>IFERROR(VLOOKUP(PN671,'[3]Raw material  (3)'!PL653:QD3729,3,0),"")</f>
        <v/>
      </c>
      <c r="PN671" t="str">
        <f>IFERROR(VLOOKUP(PO671,'[3]Raw material  (3)'!PM653:QE3729,3,0),"")</f>
        <v/>
      </c>
      <c r="PO671" t="str">
        <f>IFERROR(VLOOKUP(PP671,'[3]Raw material  (3)'!PN653:QF3729,3,0),"")</f>
        <v/>
      </c>
      <c r="PP671" t="str">
        <f>IFERROR(VLOOKUP(PQ671,'[3]Raw material  (3)'!PO653:QG3729,3,0),"")</f>
        <v/>
      </c>
      <c r="PQ671" t="str">
        <f>IFERROR(VLOOKUP(PR671,'[3]Raw material  (3)'!PP653:QH3729,3,0),"")</f>
        <v/>
      </c>
      <c r="PR671" t="str">
        <f>IFERROR(VLOOKUP(PS671,'[3]Raw material  (3)'!PQ653:QI3729,3,0),"")</f>
        <v/>
      </c>
      <c r="PS671" t="str">
        <f>IFERROR(VLOOKUP(PT671,'[3]Raw material  (3)'!PR653:QJ3729,3,0),"")</f>
        <v/>
      </c>
      <c r="PT671" t="str">
        <f>IFERROR(VLOOKUP(PU671,'[3]Raw material  (3)'!PS653:QK3729,3,0),"")</f>
        <v/>
      </c>
      <c r="PU671" t="str">
        <f>IFERROR(VLOOKUP(PV671,'[3]Raw material  (3)'!PT653:QL3729,3,0),"")</f>
        <v/>
      </c>
      <c r="PV671" t="str">
        <f>IFERROR(VLOOKUP(PW671,'[3]Raw material  (3)'!PU653:QM3729,3,0),"")</f>
        <v/>
      </c>
      <c r="PW671" t="str">
        <f>IFERROR(VLOOKUP(PX671,'[3]Raw material  (3)'!PV653:QN3729,3,0),"")</f>
        <v/>
      </c>
      <c r="PX671" t="str">
        <f>IFERROR(VLOOKUP(PY671,'[3]Raw material  (3)'!PW653:QO3729,3,0),"")</f>
        <v/>
      </c>
      <c r="PY671" t="str">
        <f>IFERROR(VLOOKUP(PZ671,'[3]Raw material  (3)'!PX653:QP3729,3,0),"")</f>
        <v/>
      </c>
      <c r="PZ671" t="str">
        <f>IFERROR(VLOOKUP(QA671,'[3]Raw material  (3)'!PY653:QQ3729,3,0),"")</f>
        <v/>
      </c>
      <c r="QA671" t="str">
        <f>IFERROR(VLOOKUP(QB671,'[3]Raw material  (3)'!PZ653:QR3729,3,0),"")</f>
        <v/>
      </c>
      <c r="QB671" t="str">
        <f>IFERROR(VLOOKUP(QC671,'[3]Raw material  (3)'!QA653:QS3729,3,0),"")</f>
        <v/>
      </c>
      <c r="QC671" t="str">
        <f>IFERROR(VLOOKUP(QD671,'[3]Raw material  (3)'!QB653:QT3729,3,0),"")</f>
        <v/>
      </c>
      <c r="QD671" t="str">
        <f>IFERROR(VLOOKUP(QE671,'[3]Raw material  (3)'!QC653:QU3729,3,0),"")</f>
        <v/>
      </c>
      <c r="QE671" t="str">
        <f>IFERROR(VLOOKUP(QF671,'[3]Raw material  (3)'!QD653:QV3729,3,0),"")</f>
        <v/>
      </c>
      <c r="QF671" t="str">
        <f>IFERROR(VLOOKUP(QG671,'[3]Raw material  (3)'!QE653:QW3729,3,0),"")</f>
        <v/>
      </c>
      <c r="QG671" t="str">
        <f>IFERROR(VLOOKUP(QH671,'[3]Raw material  (3)'!QF653:QX3729,3,0),"")</f>
        <v/>
      </c>
      <c r="QH671" t="str">
        <f>IFERROR(VLOOKUP(QI671,'[3]Raw material  (3)'!QG653:QY3729,3,0),"")</f>
        <v/>
      </c>
      <c r="QI671" t="str">
        <f>IFERROR(VLOOKUP(QJ671,'[3]Raw material  (3)'!QH653:QZ3729,3,0),"")</f>
        <v/>
      </c>
      <c r="QJ671" t="str">
        <f>IFERROR(VLOOKUP(QK671,'[3]Raw material  (3)'!QI653:RA3729,3,0),"")</f>
        <v/>
      </c>
      <c r="QK671" t="str">
        <f>IFERROR(VLOOKUP(QL671,'[3]Raw material  (3)'!QJ653:RB3729,3,0),"")</f>
        <v/>
      </c>
      <c r="QL671" t="str">
        <f>IFERROR(VLOOKUP(QM671,'[3]Raw material  (3)'!QK653:RC3729,3,0),"")</f>
        <v/>
      </c>
      <c r="QM671" t="str">
        <f>IFERROR(VLOOKUP(QN671,'[3]Raw material  (3)'!QL653:RD3729,3,0),"")</f>
        <v/>
      </c>
      <c r="QN671" t="str">
        <f>IFERROR(VLOOKUP(QO671,'[3]Raw material  (3)'!QM653:RE3729,3,0),"")</f>
        <v/>
      </c>
      <c r="QO671" t="str">
        <f>IFERROR(VLOOKUP(QP671,'[3]Raw material  (3)'!QN653:RF3729,3,0),"")</f>
        <v/>
      </c>
      <c r="QP671" t="str">
        <f>IFERROR(VLOOKUP(QQ671,'[3]Raw material  (3)'!QO653:RG3729,3,0),"")</f>
        <v/>
      </c>
      <c r="QQ671" t="str">
        <f>IFERROR(VLOOKUP(QR671,'[3]Raw material  (3)'!QP653:RH3729,3,0),"")</f>
        <v/>
      </c>
      <c r="QR671" t="str">
        <f>IFERROR(VLOOKUP(QS671,'[3]Raw material  (3)'!QQ653:RI3729,3,0),"")</f>
        <v/>
      </c>
      <c r="QS671" t="str">
        <f>IFERROR(VLOOKUP(QT671,'[3]Raw material  (3)'!QR653:RJ3729,3,0),"")</f>
        <v/>
      </c>
      <c r="QT671" t="str">
        <f>IFERROR(VLOOKUP(QU671,'[3]Raw material  (3)'!QS653:RK3729,3,0),"")</f>
        <v/>
      </c>
      <c r="QU671" t="str">
        <f>IFERROR(VLOOKUP(QV671,'[3]Raw material  (3)'!QT653:RL3729,3,0),"")</f>
        <v/>
      </c>
      <c r="QV671" t="str">
        <f>IFERROR(VLOOKUP(QW671,'[3]Raw material  (3)'!QU653:RM3729,3,0),"")</f>
        <v/>
      </c>
      <c r="QW671" t="str">
        <f>IFERROR(VLOOKUP(QX671,'[3]Raw material  (3)'!QV653:RN3729,3,0),"")</f>
        <v/>
      </c>
      <c r="QX671" t="str">
        <f>IFERROR(VLOOKUP(QY671,'[3]Raw material  (3)'!QW653:RO3729,3,0),"")</f>
        <v/>
      </c>
      <c r="QY671" t="str">
        <f>IFERROR(VLOOKUP(QZ671,'[3]Raw material  (3)'!QX653:RP3729,3,0),"")</f>
        <v/>
      </c>
      <c r="QZ671" t="str">
        <f>IFERROR(VLOOKUP(RA671,'[3]Raw material  (3)'!QY653:RQ3729,3,0),"")</f>
        <v/>
      </c>
      <c r="RA671" t="str">
        <f>IFERROR(VLOOKUP(RB671,'[3]Raw material  (3)'!QZ653:RR3729,3,0),"")</f>
        <v/>
      </c>
      <c r="RB671" t="str">
        <f>IFERROR(VLOOKUP(RC671,'[3]Raw material  (3)'!RA653:RS3729,3,0),"")</f>
        <v/>
      </c>
      <c r="RC671" t="str">
        <f>IFERROR(VLOOKUP(RD671,'[3]Raw material  (3)'!RB653:RT3729,3,0),"")</f>
        <v/>
      </c>
      <c r="RD671" t="str">
        <f>IFERROR(VLOOKUP(RE671,'[3]Raw material  (3)'!RC653:RU3729,3,0),"")</f>
        <v/>
      </c>
      <c r="RE671" t="str">
        <f>IFERROR(VLOOKUP(RF671,'[3]Raw material  (3)'!RD653:RV3729,3,0),"")</f>
        <v/>
      </c>
      <c r="RF671" t="str">
        <f>IFERROR(VLOOKUP(RG671,'[3]Raw material  (3)'!RE653:RW3729,3,0),"")</f>
        <v/>
      </c>
      <c r="RG671" t="str">
        <f>IFERROR(VLOOKUP(RH671,'[3]Raw material  (3)'!RF653:RX3729,3,0),"")</f>
        <v/>
      </c>
      <c r="RH671" t="str">
        <f>IFERROR(VLOOKUP(RI671,'[3]Raw material  (3)'!RG653:RY3729,3,0),"")</f>
        <v/>
      </c>
      <c r="RI671" t="str">
        <f>IFERROR(VLOOKUP(RJ671,'[3]Raw material  (3)'!RH653:RZ3729,3,0),"")</f>
        <v/>
      </c>
      <c r="RJ671" t="str">
        <f>IFERROR(VLOOKUP(RK671,'[3]Raw material  (3)'!RI653:SA3729,3,0),"")</f>
        <v/>
      </c>
      <c r="RK671" t="str">
        <f>IFERROR(VLOOKUP(RL671,'[3]Raw material  (3)'!RJ653:SB3729,3,0),"")</f>
        <v/>
      </c>
      <c r="RL671" t="str">
        <f>IFERROR(VLOOKUP(RM671,'[3]Raw material  (3)'!RK653:SC3729,3,0),"")</f>
        <v/>
      </c>
      <c r="RM671" t="str">
        <f>IFERROR(VLOOKUP(RN671,'[3]Raw material  (3)'!RL653:SD3729,3,0),"")</f>
        <v/>
      </c>
      <c r="RN671" t="str">
        <f>IFERROR(VLOOKUP(RO671,'[3]Raw material  (3)'!RM653:SE3729,3,0),"")</f>
        <v/>
      </c>
      <c r="RO671" t="str">
        <f>IFERROR(VLOOKUP(RP671,'[3]Raw material  (3)'!RN653:SF3729,3,0),"")</f>
        <v/>
      </c>
      <c r="RP671" t="str">
        <f>IFERROR(VLOOKUP(RQ671,'[3]Raw material  (3)'!RO653:SG3729,3,0),"")</f>
        <v/>
      </c>
      <c r="RQ671" t="str">
        <f>IFERROR(VLOOKUP(RR671,'[3]Raw material  (3)'!RP653:SH3729,3,0),"")</f>
        <v/>
      </c>
      <c r="RR671" t="str">
        <f>IFERROR(VLOOKUP(RS671,'[3]Raw material  (3)'!RQ653:SI3729,3,0),"")</f>
        <v/>
      </c>
      <c r="RS671" t="str">
        <f>IFERROR(VLOOKUP(RT671,'[3]Raw material  (3)'!RR653:SJ3729,3,0),"")</f>
        <v/>
      </c>
      <c r="RT671" t="str">
        <f>IFERROR(VLOOKUP(RU671,'[3]Raw material  (3)'!RS653:SK3729,3,0),"")</f>
        <v/>
      </c>
      <c r="RU671" t="str">
        <f>IFERROR(VLOOKUP(RV671,'[3]Raw material  (3)'!RT653:SL3729,3,0),"")</f>
        <v/>
      </c>
      <c r="RV671" t="str">
        <f>IFERROR(VLOOKUP(RW671,'[3]Raw material  (3)'!RU653:SM3729,3,0),"")</f>
        <v/>
      </c>
      <c r="RW671" t="str">
        <f>IFERROR(VLOOKUP(RX671,'[3]Raw material  (3)'!RV653:SN3729,3,0),"")</f>
        <v/>
      </c>
      <c r="RX671" t="str">
        <f>IFERROR(VLOOKUP(RY671,'[3]Raw material  (3)'!RW653:SO3729,3,0),"")</f>
        <v/>
      </c>
      <c r="RY671" t="str">
        <f>IFERROR(VLOOKUP(RZ671,'[3]Raw material  (3)'!RX653:SP3729,3,0),"")</f>
        <v/>
      </c>
      <c r="RZ671" t="str">
        <f>IFERROR(VLOOKUP(SA671,'[3]Raw material  (3)'!RY653:SQ3729,3,0),"")</f>
        <v/>
      </c>
      <c r="SA671" t="str">
        <f>IFERROR(VLOOKUP(SB671,'[3]Raw material  (3)'!RZ653:SR3729,3,0),"")</f>
        <v/>
      </c>
      <c r="SB671" t="str">
        <f>IFERROR(VLOOKUP(SC671,'[3]Raw material  (3)'!SA653:SS3729,3,0),"")</f>
        <v/>
      </c>
      <c r="SC671" t="str">
        <f>IFERROR(VLOOKUP(SD671,'[3]Raw material  (3)'!SB653:ST3729,3,0),"")</f>
        <v/>
      </c>
      <c r="SD671" t="str">
        <f>IFERROR(VLOOKUP(SE671,'[3]Raw material  (3)'!SC653:SU3729,3,0),"")</f>
        <v/>
      </c>
      <c r="SE671" t="str">
        <f>IFERROR(VLOOKUP(SF671,'[3]Raw material  (3)'!SD653:SV3729,3,0),"")</f>
        <v/>
      </c>
      <c r="SF671" t="str">
        <f>IFERROR(VLOOKUP(SG671,'[3]Raw material  (3)'!SE653:SW3729,3,0),"")</f>
        <v/>
      </c>
      <c r="SG671" t="str">
        <f>IFERROR(VLOOKUP(SH671,'[3]Raw material  (3)'!SF653:SX3729,3,0),"")</f>
        <v/>
      </c>
      <c r="SH671" t="str">
        <f>IFERROR(VLOOKUP(SI671,'[3]Raw material  (3)'!SG653:SY3729,3,0),"")</f>
        <v/>
      </c>
      <c r="SI671" t="str">
        <f>IFERROR(VLOOKUP(SJ671,'[3]Raw material  (3)'!SH653:SZ3729,3,0),"")</f>
        <v/>
      </c>
      <c r="SJ671" t="str">
        <f>IFERROR(VLOOKUP(SK671,'[3]Raw material  (3)'!SI653:TA3729,3,0),"")</f>
        <v/>
      </c>
      <c r="SK671" t="str">
        <f>IFERROR(VLOOKUP(SL671,'[3]Raw material  (3)'!SJ653:TB3729,3,0),"")</f>
        <v/>
      </c>
      <c r="SL671" t="str">
        <f>IFERROR(VLOOKUP(SM671,'[3]Raw material  (3)'!SK653:TC3729,3,0),"")</f>
        <v/>
      </c>
      <c r="SM671" t="str">
        <f>IFERROR(VLOOKUP(SN671,'[3]Raw material  (3)'!SL653:TD3729,3,0),"")</f>
        <v/>
      </c>
      <c r="SN671" t="str">
        <f>IFERROR(VLOOKUP(SO671,'[3]Raw material  (3)'!SM653:TE3729,3,0),"")</f>
        <v/>
      </c>
      <c r="SO671" t="str">
        <f>IFERROR(VLOOKUP(SP671,'[3]Raw material  (3)'!SN653:TF3729,3,0),"")</f>
        <v/>
      </c>
      <c r="SP671" t="str">
        <f>IFERROR(VLOOKUP(SQ671,'[3]Raw material  (3)'!SO653:TG3729,3,0),"")</f>
        <v/>
      </c>
      <c r="SQ671" t="str">
        <f>IFERROR(VLOOKUP(SR671,'[3]Raw material  (3)'!SP653:TH3729,3,0),"")</f>
        <v/>
      </c>
      <c r="SR671" t="str">
        <f>IFERROR(VLOOKUP(SS671,'[3]Raw material  (3)'!SQ653:TI3729,3,0),"")</f>
        <v/>
      </c>
      <c r="SS671" t="str">
        <f>IFERROR(VLOOKUP(ST671,'[3]Raw material  (3)'!SR653:TJ3729,3,0),"")</f>
        <v/>
      </c>
      <c r="ST671" t="str">
        <f>IFERROR(VLOOKUP(SU671,'[3]Raw material  (3)'!SS653:TK3729,3,0),"")</f>
        <v/>
      </c>
      <c r="SU671" t="str">
        <f>IFERROR(VLOOKUP(SV671,'[3]Raw material  (3)'!ST653:TL3729,3,0),"")</f>
        <v/>
      </c>
      <c r="SV671" t="str">
        <f>IFERROR(VLOOKUP(SW671,'[3]Raw material  (3)'!SU653:TM3729,3,0),"")</f>
        <v/>
      </c>
      <c r="SW671" t="str">
        <f>IFERROR(VLOOKUP(SX671,'[3]Raw material  (3)'!SV653:TN3729,3,0),"")</f>
        <v/>
      </c>
      <c r="SX671" t="str">
        <f>IFERROR(VLOOKUP(SY671,'[3]Raw material  (3)'!SW653:TO3729,3,0),"")</f>
        <v/>
      </c>
      <c r="SY671" t="str">
        <f>IFERROR(VLOOKUP(SZ671,'[3]Raw material  (3)'!SX653:TP3729,3,0),"")</f>
        <v/>
      </c>
      <c r="SZ671" t="str">
        <f>IFERROR(VLOOKUP(TA671,'[3]Raw material  (3)'!SY653:TQ3729,3,0),"")</f>
        <v/>
      </c>
      <c r="TA671" t="str">
        <f>IFERROR(VLOOKUP(TB671,'[3]Raw material  (3)'!SZ653:TR3729,3,0),"")</f>
        <v/>
      </c>
      <c r="TB671" t="str">
        <f>IFERROR(VLOOKUP(TC671,'[3]Raw material  (3)'!TA653:TS3729,3,0),"")</f>
        <v/>
      </c>
      <c r="TC671" t="str">
        <f>IFERROR(VLOOKUP(TD671,'[3]Raw material  (3)'!TB653:TT3729,3,0),"")</f>
        <v/>
      </c>
      <c r="TD671" t="str">
        <f>IFERROR(VLOOKUP(TE671,'[3]Raw material  (3)'!TC653:TU3729,3,0),"")</f>
        <v/>
      </c>
      <c r="TE671" t="str">
        <f>IFERROR(VLOOKUP(TF671,'[3]Raw material  (3)'!TD653:TV3729,3,0),"")</f>
        <v/>
      </c>
      <c r="TF671" t="str">
        <f>IFERROR(VLOOKUP(TG671,'[3]Raw material  (3)'!TE653:TW3729,3,0),"")</f>
        <v/>
      </c>
      <c r="TG671" t="str">
        <f>IFERROR(VLOOKUP(TH671,'[3]Raw material  (3)'!TF653:TX3729,3,0),"")</f>
        <v/>
      </c>
      <c r="TH671" t="str">
        <f>IFERROR(VLOOKUP(TI671,'[3]Raw material  (3)'!TG653:TY3729,3,0),"")</f>
        <v/>
      </c>
      <c r="TI671" t="str">
        <f>IFERROR(VLOOKUP(TJ671,'[3]Raw material  (3)'!TH653:TZ3729,3,0),"")</f>
        <v/>
      </c>
      <c r="TJ671" t="str">
        <f>IFERROR(VLOOKUP(TK671,'[3]Raw material  (3)'!TI653:UA3729,3,0),"")</f>
        <v/>
      </c>
      <c r="TK671" t="str">
        <f>IFERROR(VLOOKUP(TL671,'[3]Raw material  (3)'!TJ653:UB3729,3,0),"")</f>
        <v/>
      </c>
      <c r="TL671" t="str">
        <f>IFERROR(VLOOKUP(TM671,'[3]Raw material  (3)'!TK653:UC3729,3,0),"")</f>
        <v/>
      </c>
      <c r="TM671" t="str">
        <f>IFERROR(VLOOKUP(TN671,'[3]Raw material  (3)'!TL653:UD3729,3,0),"")</f>
        <v/>
      </c>
      <c r="TN671" t="str">
        <f>IFERROR(VLOOKUP(TO671,'[3]Raw material  (3)'!TM653:UE3729,3,0),"")</f>
        <v/>
      </c>
      <c r="TO671" t="str">
        <f>IFERROR(VLOOKUP(TP671,'[3]Raw material  (3)'!TN653:UF3729,3,0),"")</f>
        <v/>
      </c>
      <c r="TP671" t="str">
        <f>IFERROR(VLOOKUP(TQ671,'[3]Raw material  (3)'!TO653:UG3729,3,0),"")</f>
        <v/>
      </c>
      <c r="TQ671" t="str">
        <f>IFERROR(VLOOKUP(TR671,'[3]Raw material  (3)'!TP653:UH3729,3,0),"")</f>
        <v/>
      </c>
      <c r="TR671" t="str">
        <f>IFERROR(VLOOKUP(TS671,'[3]Raw material  (3)'!TQ653:UI3729,3,0),"")</f>
        <v/>
      </c>
      <c r="TS671" t="str">
        <f>IFERROR(VLOOKUP(TT671,'[3]Raw material  (3)'!TR653:UJ3729,3,0),"")</f>
        <v/>
      </c>
      <c r="TT671" t="str">
        <f>IFERROR(VLOOKUP(TU671,'[3]Raw material  (3)'!TS653:UK3729,3,0),"")</f>
        <v/>
      </c>
      <c r="TU671" t="str">
        <f>IFERROR(VLOOKUP(TV671,'[3]Raw material  (3)'!TT653:UL3729,3,0),"")</f>
        <v/>
      </c>
      <c r="TV671" t="str">
        <f>IFERROR(VLOOKUP(TW671,'[3]Raw material  (3)'!TU653:UM3729,3,0),"")</f>
        <v/>
      </c>
      <c r="TW671" t="str">
        <f>IFERROR(VLOOKUP(TX671,'[3]Raw material  (3)'!TV653:UN3729,3,0),"")</f>
        <v/>
      </c>
      <c r="TX671" t="str">
        <f>IFERROR(VLOOKUP(TY671,'[3]Raw material  (3)'!TW653:UO3729,3,0),"")</f>
        <v/>
      </c>
      <c r="TY671" t="str">
        <f>IFERROR(VLOOKUP(TZ671,'[3]Raw material  (3)'!TX653:UP3729,3,0),"")</f>
        <v/>
      </c>
      <c r="TZ671" t="str">
        <f>IFERROR(VLOOKUP(UA671,'[3]Raw material  (3)'!TY653:UQ3729,3,0),"")</f>
        <v/>
      </c>
      <c r="UA671" t="str">
        <f>IFERROR(VLOOKUP(UB671,'[3]Raw material  (3)'!TZ653:UR3729,3,0),"")</f>
        <v/>
      </c>
      <c r="UB671" t="str">
        <f>IFERROR(VLOOKUP(UC671,'[3]Raw material  (3)'!UA653:US3729,3,0),"")</f>
        <v/>
      </c>
      <c r="UC671" t="str">
        <f>IFERROR(VLOOKUP(UD671,'[3]Raw material  (3)'!UB653:UT3729,3,0),"")</f>
        <v/>
      </c>
      <c r="UD671" t="str">
        <f>IFERROR(VLOOKUP(UE671,'[3]Raw material  (3)'!UC653:UU3729,3,0),"")</f>
        <v/>
      </c>
      <c r="UE671" t="str">
        <f>IFERROR(VLOOKUP(UF671,'[3]Raw material  (3)'!UD653:UV3729,3,0),"")</f>
        <v/>
      </c>
      <c r="UF671" t="str">
        <f>IFERROR(VLOOKUP(UG671,'[3]Raw material  (3)'!UE653:UW3729,3,0),"")</f>
        <v/>
      </c>
      <c r="UG671" t="str">
        <f>IFERROR(VLOOKUP(UH671,'[3]Raw material  (3)'!UF653:UX3729,3,0),"")</f>
        <v/>
      </c>
      <c r="UH671" t="str">
        <f>IFERROR(VLOOKUP(UI671,'[3]Raw material  (3)'!UG653:UY3729,3,0),"")</f>
        <v/>
      </c>
      <c r="UI671" t="str">
        <f>IFERROR(VLOOKUP(UJ671,'[3]Raw material  (3)'!UH653:UZ3729,3,0),"")</f>
        <v/>
      </c>
      <c r="UJ671" t="str">
        <f>IFERROR(VLOOKUP(UK671,'[3]Raw material  (3)'!UI653:VA3729,3,0),"")</f>
        <v/>
      </c>
      <c r="UK671" t="str">
        <f>IFERROR(VLOOKUP(UL671,'[3]Raw material  (3)'!UJ653:VB3729,3,0),"")</f>
        <v/>
      </c>
      <c r="UL671" t="str">
        <f>IFERROR(VLOOKUP(UM671,'[3]Raw material  (3)'!UK653:VC3729,3,0),"")</f>
        <v/>
      </c>
      <c r="UM671" t="str">
        <f>IFERROR(VLOOKUP(UN671,'[3]Raw material  (3)'!UL653:VD3729,3,0),"")</f>
        <v/>
      </c>
      <c r="UN671" t="str">
        <f>IFERROR(VLOOKUP(UO671,'[3]Raw material  (3)'!UM653:VE3729,3,0),"")</f>
        <v/>
      </c>
      <c r="UO671" t="str">
        <f>IFERROR(VLOOKUP(UP671,'[3]Raw material  (3)'!UN653:VF3729,3,0),"")</f>
        <v/>
      </c>
      <c r="UP671" t="str">
        <f>IFERROR(VLOOKUP(UQ671,'[3]Raw material  (3)'!UO653:VG3729,3,0),"")</f>
        <v/>
      </c>
      <c r="UQ671" t="str">
        <f>IFERROR(VLOOKUP(UR671,'[3]Raw material  (3)'!UP653:VH3729,3,0),"")</f>
        <v/>
      </c>
      <c r="UR671" t="str">
        <f>IFERROR(VLOOKUP(US671,'[3]Raw material  (3)'!UQ653:VI3729,3,0),"")</f>
        <v/>
      </c>
      <c r="US671" t="str">
        <f>IFERROR(VLOOKUP(UT671,'[3]Raw material  (3)'!UR653:VJ3729,3,0),"")</f>
        <v/>
      </c>
      <c r="UT671" t="str">
        <f>IFERROR(VLOOKUP(UU671,'[3]Raw material  (3)'!US653:VK3729,3,0),"")</f>
        <v/>
      </c>
      <c r="UU671" t="str">
        <f>IFERROR(VLOOKUP(UV671,'[3]Raw material  (3)'!UT653:VL3729,3,0),"")</f>
        <v/>
      </c>
      <c r="UV671" t="str">
        <f>IFERROR(VLOOKUP(UW671,'[3]Raw material  (3)'!UU653:VM3729,3,0),"")</f>
        <v/>
      </c>
      <c r="UW671" t="str">
        <f>IFERROR(VLOOKUP(UX671,'[3]Raw material  (3)'!UV653:VN3729,3,0),"")</f>
        <v/>
      </c>
      <c r="UX671" t="str">
        <f>IFERROR(VLOOKUP(UY671,'[3]Raw material  (3)'!UW653:VO3729,3,0),"")</f>
        <v/>
      </c>
      <c r="UY671" t="str">
        <f>IFERROR(VLOOKUP(UZ671,'[3]Raw material  (3)'!UX653:VP3729,3,0),"")</f>
        <v/>
      </c>
      <c r="UZ671" t="str">
        <f>IFERROR(VLOOKUP(VA671,'[3]Raw material  (3)'!UY653:VQ3729,3,0),"")</f>
        <v/>
      </c>
      <c r="VA671" t="str">
        <f>IFERROR(VLOOKUP(VB671,'[3]Raw material  (3)'!UZ653:VR3729,3,0),"")</f>
        <v/>
      </c>
      <c r="VB671" t="str">
        <f>IFERROR(VLOOKUP(VC671,'[3]Raw material  (3)'!VA653:VS3729,3,0),"")</f>
        <v/>
      </c>
      <c r="VC671" t="str">
        <f>IFERROR(VLOOKUP(VD671,'[3]Raw material  (3)'!VB653:VT3729,3,0),"")</f>
        <v/>
      </c>
      <c r="VD671" t="str">
        <f>IFERROR(VLOOKUP(VE671,'[3]Raw material  (3)'!VC653:VU3729,3,0),"")</f>
        <v/>
      </c>
      <c r="VE671" t="str">
        <f>IFERROR(VLOOKUP(VF671,'[3]Raw material  (3)'!VD653:VV3729,3,0),"")</f>
        <v/>
      </c>
      <c r="VF671" t="str">
        <f>IFERROR(VLOOKUP(VG671,'[3]Raw material  (3)'!VE653:VW3729,3,0),"")</f>
        <v/>
      </c>
      <c r="VG671" t="str">
        <f>IFERROR(VLOOKUP(VH671,'[3]Raw material  (3)'!VF653:VX3729,3,0),"")</f>
        <v/>
      </c>
      <c r="VH671" t="str">
        <f>IFERROR(VLOOKUP(VI671,'[3]Raw material  (3)'!VG653:VY3729,3,0),"")</f>
        <v/>
      </c>
      <c r="VI671" t="str">
        <f>IFERROR(VLOOKUP(VJ671,'[3]Raw material  (3)'!VH653:VZ3729,3,0),"")</f>
        <v/>
      </c>
      <c r="VJ671" t="str">
        <f>IFERROR(VLOOKUP(VK671,'[3]Raw material  (3)'!VI653:WA3729,3,0),"")</f>
        <v/>
      </c>
      <c r="VK671" t="str">
        <f>IFERROR(VLOOKUP(VL671,'[3]Raw material  (3)'!VJ653:WB3729,3,0),"")</f>
        <v/>
      </c>
      <c r="VL671" t="str">
        <f>IFERROR(VLOOKUP(VM671,'[3]Raw material  (3)'!VK653:WC3729,3,0),"")</f>
        <v/>
      </c>
      <c r="VM671" t="str">
        <f>IFERROR(VLOOKUP(VN671,'[3]Raw material  (3)'!VL653:WD3729,3,0),"")</f>
        <v/>
      </c>
      <c r="VN671" t="str">
        <f>IFERROR(VLOOKUP(VO671,'[3]Raw material  (3)'!VM653:WE3729,3,0),"")</f>
        <v/>
      </c>
      <c r="VO671" t="str">
        <f>IFERROR(VLOOKUP(VP671,'[3]Raw material  (3)'!VN653:WF3729,3,0),"")</f>
        <v/>
      </c>
      <c r="VP671" t="str">
        <f>IFERROR(VLOOKUP(VQ671,'[3]Raw material  (3)'!VO653:WG3729,3,0),"")</f>
        <v/>
      </c>
      <c r="VQ671" t="str">
        <f>IFERROR(VLOOKUP(VR671,'[3]Raw material  (3)'!VP653:WH3729,3,0),"")</f>
        <v/>
      </c>
      <c r="VR671" t="str">
        <f>IFERROR(VLOOKUP(VS671,'[3]Raw material  (3)'!VQ653:WI3729,3,0),"")</f>
        <v/>
      </c>
      <c r="VS671" t="str">
        <f>IFERROR(VLOOKUP(VT671,'[3]Raw material  (3)'!VR653:WJ3729,3,0),"")</f>
        <v/>
      </c>
      <c r="VT671" t="str">
        <f>IFERROR(VLOOKUP(VU671,'[3]Raw material  (3)'!VS653:WK3729,3,0),"")</f>
        <v/>
      </c>
      <c r="VU671" t="str">
        <f>IFERROR(VLOOKUP(VV671,'[3]Raw material  (3)'!VT653:WL3729,3,0),"")</f>
        <v/>
      </c>
      <c r="VV671" t="str">
        <f>IFERROR(VLOOKUP(VW671,'[3]Raw material  (3)'!VU653:WM3729,3,0),"")</f>
        <v/>
      </c>
      <c r="VW671" t="str">
        <f>IFERROR(VLOOKUP(VX671,'[3]Raw material  (3)'!VV653:WN3729,3,0),"")</f>
        <v/>
      </c>
      <c r="VX671" t="str">
        <f>IFERROR(VLOOKUP(VY671,'[3]Raw material  (3)'!VW653:WO3729,3,0),"")</f>
        <v/>
      </c>
      <c r="VY671" t="str">
        <f>IFERROR(VLOOKUP(VZ671,'[3]Raw material  (3)'!VX653:WP3729,3,0),"")</f>
        <v/>
      </c>
      <c r="VZ671" t="str">
        <f>IFERROR(VLOOKUP(WA671,'[3]Raw material  (3)'!VY653:WQ3729,3,0),"")</f>
        <v/>
      </c>
      <c r="WA671" t="str">
        <f>IFERROR(VLOOKUP(WB671,'[3]Raw material  (3)'!VZ653:WR3729,3,0),"")</f>
        <v/>
      </c>
      <c r="WB671" t="str">
        <f>IFERROR(VLOOKUP(WC671,'[3]Raw material  (3)'!WA653:WS3729,3,0),"")</f>
        <v/>
      </c>
      <c r="WC671" t="str">
        <f>IFERROR(VLOOKUP(WD671,'[3]Raw material  (3)'!WB653:WT3729,3,0),"")</f>
        <v/>
      </c>
      <c r="WD671" t="str">
        <f>IFERROR(VLOOKUP(WE671,'[3]Raw material  (3)'!WC653:WU3729,3,0),"")</f>
        <v/>
      </c>
      <c r="WE671" t="str">
        <f>IFERROR(VLOOKUP(WF671,'[3]Raw material  (3)'!WD653:WV3729,3,0),"")</f>
        <v/>
      </c>
      <c r="WF671" t="str">
        <f>IFERROR(VLOOKUP(WG671,'[3]Raw material  (3)'!WE653:WW3729,3,0),"")</f>
        <v/>
      </c>
      <c r="WG671" t="str">
        <f>IFERROR(VLOOKUP(WH671,'[3]Raw material  (3)'!WF653:WX3729,3,0),"")</f>
        <v/>
      </c>
      <c r="WH671" t="str">
        <f>IFERROR(VLOOKUP(WI671,'[3]Raw material  (3)'!WG653:WY3729,3,0),"")</f>
        <v/>
      </c>
      <c r="WI671" t="str">
        <f>IFERROR(VLOOKUP(WJ671,'[3]Raw material  (3)'!WH653:WZ3729,3,0),"")</f>
        <v/>
      </c>
      <c r="WJ671" t="str">
        <f>IFERROR(VLOOKUP(WK671,'[3]Raw material  (3)'!WI653:XA3729,3,0),"")</f>
        <v/>
      </c>
      <c r="WK671" t="str">
        <f>IFERROR(VLOOKUP(WL671,'[3]Raw material  (3)'!WJ653:XB3729,3,0),"")</f>
        <v/>
      </c>
      <c r="WL671" t="str">
        <f>IFERROR(VLOOKUP(WM671,'[3]Raw material  (3)'!WK653:XC3729,3,0),"")</f>
        <v/>
      </c>
      <c r="WM671" t="str">
        <f>IFERROR(VLOOKUP(WN671,'[3]Raw material  (3)'!WL653:XD3729,3,0),"")</f>
        <v/>
      </c>
      <c r="WN671" t="str">
        <f>IFERROR(VLOOKUP(WO671,'[3]Raw material  (3)'!WM653:XE3729,3,0),"")</f>
        <v/>
      </c>
      <c r="WO671" t="str">
        <f>IFERROR(VLOOKUP(WP671,'[3]Raw material  (3)'!WN653:XF3729,3,0),"")</f>
        <v/>
      </c>
      <c r="WP671" t="str">
        <f>IFERROR(VLOOKUP(WQ671,'[3]Raw material  (3)'!WO653:XG3729,3,0),"")</f>
        <v/>
      </c>
      <c r="WQ671" t="str">
        <f>IFERROR(VLOOKUP(WR671,'[3]Raw material  (3)'!WP653:XH3729,3,0),"")</f>
        <v/>
      </c>
      <c r="WR671" t="str">
        <f>IFERROR(VLOOKUP(WS671,'[3]Raw material  (3)'!WQ653:XI3729,3,0),"")</f>
        <v/>
      </c>
      <c r="WS671" t="str">
        <f>IFERROR(VLOOKUP(WT671,'[3]Raw material  (3)'!WR653:XJ3729,3,0),"")</f>
        <v/>
      </c>
      <c r="WT671" t="str">
        <f>IFERROR(VLOOKUP(WU671,'[3]Raw material  (3)'!WS653:XK3729,3,0),"")</f>
        <v/>
      </c>
      <c r="WU671" t="str">
        <f>IFERROR(VLOOKUP(WV671,'[3]Raw material  (3)'!WT653:XL3729,3,0),"")</f>
        <v/>
      </c>
      <c r="WV671" t="str">
        <f>IFERROR(VLOOKUP(WW671,'[3]Raw material  (3)'!WU653:XM3729,3,0),"")</f>
        <v/>
      </c>
      <c r="WW671" t="str">
        <f>IFERROR(VLOOKUP(WX671,'[3]Raw material  (3)'!WV653:XN3729,3,0),"")</f>
        <v/>
      </c>
      <c r="WX671" t="str">
        <f>IFERROR(VLOOKUP(WY671,'[3]Raw material  (3)'!WW653:XO3729,3,0),"")</f>
        <v/>
      </c>
      <c r="WY671" t="str">
        <f>IFERROR(VLOOKUP(WZ671,'[3]Raw material  (3)'!WX653:XP3729,3,0),"")</f>
        <v/>
      </c>
      <c r="WZ671" t="str">
        <f>IFERROR(VLOOKUP(XA671,'[3]Raw material  (3)'!WY653:XQ3729,3,0),"")</f>
        <v/>
      </c>
      <c r="XA671" t="str">
        <f>IFERROR(VLOOKUP(XB671,'[3]Raw material  (3)'!WZ653:XR3729,3,0),"")</f>
        <v/>
      </c>
      <c r="XB671" t="str">
        <f>IFERROR(VLOOKUP(XC671,'[3]Raw material  (3)'!XA653:XS3729,3,0),"")</f>
        <v/>
      </c>
      <c r="XC671" t="str">
        <f>IFERROR(VLOOKUP(XD671,'[3]Raw material  (3)'!XB653:XT3729,3,0),"")</f>
        <v/>
      </c>
      <c r="XD671" t="str">
        <f>IFERROR(VLOOKUP(XE671,'[3]Raw material  (3)'!XC653:XU3729,3,0),"")</f>
        <v/>
      </c>
      <c r="XE671" t="str">
        <f>IFERROR(VLOOKUP(XF671,'[3]Raw material  (3)'!XD653:XV3729,3,0),"")</f>
        <v/>
      </c>
      <c r="XF671" t="str">
        <f>IFERROR(VLOOKUP(XG671,'[3]Raw material  (3)'!XE653:XW3729,3,0),"")</f>
        <v/>
      </c>
      <c r="XG671" t="str">
        <f>IFERROR(VLOOKUP(XH671,'[3]Raw material  (3)'!XF653:XX3729,3,0),"")</f>
        <v/>
      </c>
      <c r="XH671" t="str">
        <f>IFERROR(VLOOKUP(XI671,'[3]Raw material  (3)'!XG653:XY3729,3,0),"")</f>
        <v/>
      </c>
      <c r="XI671" t="str">
        <f>IFERROR(VLOOKUP(XJ671,'[3]Raw material  (3)'!XH653:XZ3729,3,0),"")</f>
        <v/>
      </c>
      <c r="XJ671" t="str">
        <f>IFERROR(VLOOKUP(XK671,'[3]Raw material  (3)'!XI653:YA3729,3,0),"")</f>
        <v/>
      </c>
      <c r="XK671" t="str">
        <f>IFERROR(VLOOKUP(XL671,'[3]Raw material  (3)'!XJ653:YB3729,3,0),"")</f>
        <v/>
      </c>
      <c r="XL671" t="str">
        <f>IFERROR(VLOOKUP(XM671,'[3]Raw material  (3)'!XK653:YC3729,3,0),"")</f>
        <v/>
      </c>
      <c r="XM671" t="str">
        <f>IFERROR(VLOOKUP(XN671,'[3]Raw material  (3)'!XL653:YD3729,3,0),"")</f>
        <v/>
      </c>
      <c r="XN671" t="str">
        <f>IFERROR(VLOOKUP(XO671,'[3]Raw material  (3)'!XM653:YE3729,3,0),"")</f>
        <v/>
      </c>
      <c r="XO671" t="str">
        <f>IFERROR(VLOOKUP(XP671,'[3]Raw material  (3)'!XN653:YF3729,3,0),"")</f>
        <v/>
      </c>
      <c r="XP671" t="str">
        <f>IFERROR(VLOOKUP(XQ671,'[3]Raw material  (3)'!XO653:YG3729,3,0),"")</f>
        <v/>
      </c>
      <c r="XQ671" t="str">
        <f>IFERROR(VLOOKUP(XR671,'[3]Raw material  (3)'!XP653:YH3729,3,0),"")</f>
        <v/>
      </c>
      <c r="XR671" t="str">
        <f>IFERROR(VLOOKUP(XS671,'[3]Raw material  (3)'!XQ653:YI3729,3,0),"")</f>
        <v/>
      </c>
      <c r="XS671" t="str">
        <f>IFERROR(VLOOKUP(XT671,'[3]Raw material  (3)'!XR653:YJ3729,3,0),"")</f>
        <v/>
      </c>
      <c r="XT671" t="str">
        <f>IFERROR(VLOOKUP(XU671,'[3]Raw material  (3)'!XS653:YK3729,3,0),"")</f>
        <v/>
      </c>
      <c r="XU671" t="str">
        <f>IFERROR(VLOOKUP(XV671,'[3]Raw material  (3)'!XT653:YL3729,3,0),"")</f>
        <v/>
      </c>
      <c r="XV671" t="str">
        <f>IFERROR(VLOOKUP(XW671,'[3]Raw material  (3)'!XU653:YM3729,3,0),"")</f>
        <v/>
      </c>
      <c r="XW671" t="str">
        <f>IFERROR(VLOOKUP(XX671,'[3]Raw material  (3)'!XV653:YN3729,3,0),"")</f>
        <v/>
      </c>
      <c r="XX671" t="str">
        <f>IFERROR(VLOOKUP(XY671,'[3]Raw material  (3)'!XW653:YO3729,3,0),"")</f>
        <v/>
      </c>
      <c r="XY671" t="str">
        <f>IFERROR(VLOOKUP(XZ671,'[3]Raw material  (3)'!XX653:YP3729,3,0),"")</f>
        <v/>
      </c>
      <c r="XZ671" t="str">
        <f>IFERROR(VLOOKUP(YA671,'[3]Raw material  (3)'!XY653:YQ3729,3,0),"")</f>
        <v/>
      </c>
      <c r="YA671" t="str">
        <f>IFERROR(VLOOKUP(YB671,'[3]Raw material  (3)'!XZ653:YR3729,3,0),"")</f>
        <v/>
      </c>
      <c r="YB671" t="str">
        <f>IFERROR(VLOOKUP(YC671,'[3]Raw material  (3)'!YA653:YS3729,3,0),"")</f>
        <v/>
      </c>
      <c r="YC671" t="str">
        <f>IFERROR(VLOOKUP(YD671,'[3]Raw material  (3)'!YB653:YT3729,3,0),"")</f>
        <v/>
      </c>
      <c r="YD671" t="str">
        <f>IFERROR(VLOOKUP(YE671,'[3]Raw material  (3)'!YC653:YU3729,3,0),"")</f>
        <v/>
      </c>
      <c r="YE671" t="str">
        <f>IFERROR(VLOOKUP(YF671,'[3]Raw material  (3)'!YD653:YV3729,3,0),"")</f>
        <v/>
      </c>
      <c r="YF671" t="str">
        <f>IFERROR(VLOOKUP(YG671,'[3]Raw material  (3)'!YE653:YW3729,3,0),"")</f>
        <v/>
      </c>
      <c r="YG671" t="str">
        <f>IFERROR(VLOOKUP(YH671,'[3]Raw material  (3)'!YF653:YX3729,3,0),"")</f>
        <v/>
      </c>
      <c r="YH671" t="str">
        <f>IFERROR(VLOOKUP(YI671,'[3]Raw material  (3)'!YG653:YY3729,3,0),"")</f>
        <v/>
      </c>
      <c r="YI671" t="str">
        <f>IFERROR(VLOOKUP(YJ671,'[3]Raw material  (3)'!YH653:YZ3729,3,0),"")</f>
        <v/>
      </c>
      <c r="YJ671" t="str">
        <f>IFERROR(VLOOKUP(YK671,'[3]Raw material  (3)'!YI653:ZA3729,3,0),"")</f>
        <v/>
      </c>
      <c r="YK671" t="str">
        <f>IFERROR(VLOOKUP(YL671,'[3]Raw material  (3)'!YJ653:ZB3729,3,0),"")</f>
        <v/>
      </c>
      <c r="YL671" t="str">
        <f>IFERROR(VLOOKUP(YM671,'[3]Raw material  (3)'!YK653:ZC3729,3,0),"")</f>
        <v/>
      </c>
      <c r="YM671" t="str">
        <f>IFERROR(VLOOKUP(YN671,'[3]Raw material  (3)'!YL653:ZD3729,3,0),"")</f>
        <v/>
      </c>
      <c r="YN671" t="str">
        <f>IFERROR(VLOOKUP(YO671,'[3]Raw material  (3)'!YM653:ZE3729,3,0),"")</f>
        <v/>
      </c>
      <c r="YO671" t="str">
        <f>IFERROR(VLOOKUP(YP671,'[3]Raw material  (3)'!YN653:ZF3729,3,0),"")</f>
        <v/>
      </c>
      <c r="YP671" t="str">
        <f>IFERROR(VLOOKUP(YQ671,'[3]Raw material  (3)'!YO653:ZG3729,3,0),"")</f>
        <v/>
      </c>
      <c r="YQ671" t="str">
        <f>IFERROR(VLOOKUP(YR671,'[3]Raw material  (3)'!YP653:ZH3729,3,0),"")</f>
        <v/>
      </c>
      <c r="YR671" t="str">
        <f>IFERROR(VLOOKUP(YS671,'[3]Raw material  (3)'!YQ653:ZI3729,3,0),"")</f>
        <v/>
      </c>
      <c r="YS671" t="str">
        <f>IFERROR(VLOOKUP(YT671,'[3]Raw material  (3)'!YR653:ZJ3729,3,0),"")</f>
        <v/>
      </c>
      <c r="YT671" t="str">
        <f>IFERROR(VLOOKUP(YU671,'[3]Raw material  (3)'!YS653:ZK3729,3,0),"")</f>
        <v/>
      </c>
      <c r="YU671" t="str">
        <f>IFERROR(VLOOKUP(YV671,'[3]Raw material  (3)'!YT653:ZL3729,3,0),"")</f>
        <v/>
      </c>
      <c r="YV671" t="str">
        <f>IFERROR(VLOOKUP(YW671,'[3]Raw material  (3)'!YU653:ZM3729,3,0),"")</f>
        <v/>
      </c>
      <c r="YW671" t="str">
        <f>IFERROR(VLOOKUP(YX671,'[3]Raw material  (3)'!YV653:ZN3729,3,0),"")</f>
        <v/>
      </c>
      <c r="YX671" t="str">
        <f>IFERROR(VLOOKUP(YY671,'[3]Raw material  (3)'!YW653:ZO3729,3,0),"")</f>
        <v/>
      </c>
      <c r="YY671" t="str">
        <f>IFERROR(VLOOKUP(YZ671,'[3]Raw material  (3)'!YX653:ZP3729,3,0),"")</f>
        <v/>
      </c>
      <c r="YZ671" t="str">
        <f>IFERROR(VLOOKUP(ZA671,'[3]Raw material  (3)'!YY653:ZQ3729,3,0),"")</f>
        <v/>
      </c>
      <c r="ZA671" t="str">
        <f>IFERROR(VLOOKUP(ZB671,'[3]Raw material  (3)'!YZ653:ZR3729,3,0),"")</f>
        <v/>
      </c>
      <c r="ZB671" t="str">
        <f>IFERROR(VLOOKUP(ZC671,'[3]Raw material  (3)'!ZA653:ZS3729,3,0),"")</f>
        <v/>
      </c>
      <c r="ZC671" t="str">
        <f>IFERROR(VLOOKUP(ZD671,'[3]Raw material  (3)'!ZB653:ZT3729,3,0),"")</f>
        <v/>
      </c>
      <c r="ZD671" t="str">
        <f>IFERROR(VLOOKUP(ZE671,'[3]Raw material  (3)'!ZC653:ZU3729,3,0),"")</f>
        <v/>
      </c>
      <c r="ZE671" t="str">
        <f>IFERROR(VLOOKUP(ZF671,'[3]Raw material  (3)'!ZD653:ZV3729,3,0),"")</f>
        <v/>
      </c>
      <c r="ZF671" t="str">
        <f>IFERROR(VLOOKUP(ZG671,'[3]Raw material  (3)'!ZE653:ZW3729,3,0),"")</f>
        <v/>
      </c>
      <c r="ZG671" t="str">
        <f>IFERROR(VLOOKUP(ZH671,'[3]Raw material  (3)'!ZF653:ZX3729,3,0),"")</f>
        <v/>
      </c>
      <c r="ZH671" t="str">
        <f>IFERROR(VLOOKUP(ZI671,'[3]Raw material  (3)'!ZG653:ZY3729,3,0),"")</f>
        <v/>
      </c>
      <c r="ZI671" t="str">
        <f>IFERROR(VLOOKUP(ZJ671,'[3]Raw material  (3)'!ZH653:ZZ3729,3,0),"")</f>
        <v/>
      </c>
      <c r="ZJ671" t="str">
        <f>IFERROR(VLOOKUP(ZK671,'[3]Raw material  (3)'!ZI653:AAA3729,3,0),"")</f>
        <v/>
      </c>
      <c r="ZK671" t="str">
        <f>IFERROR(VLOOKUP(ZL671,'[3]Raw material  (3)'!ZJ653:AAB3729,3,0),"")</f>
        <v/>
      </c>
      <c r="ZL671" t="str">
        <f>IFERROR(VLOOKUP(ZM671,'[3]Raw material  (3)'!ZK653:AAC3729,3,0),"")</f>
        <v/>
      </c>
      <c r="ZM671" t="str">
        <f>IFERROR(VLOOKUP(ZN671,'[3]Raw material  (3)'!ZL653:AAD3729,3,0),"")</f>
        <v/>
      </c>
      <c r="ZN671" t="str">
        <f>IFERROR(VLOOKUP(ZO671,'[3]Raw material  (3)'!ZM653:AAE3729,3,0),"")</f>
        <v/>
      </c>
      <c r="ZO671" t="str">
        <f>IFERROR(VLOOKUP(ZP671,'[3]Raw material  (3)'!ZN653:AAF3729,3,0),"")</f>
        <v/>
      </c>
      <c r="ZP671" t="str">
        <f>IFERROR(VLOOKUP(ZQ671,'[3]Raw material  (3)'!ZO653:AAG3729,3,0),"")</f>
        <v/>
      </c>
      <c r="ZQ671" t="str">
        <f>IFERROR(VLOOKUP(ZR671,'[3]Raw material  (3)'!ZP653:AAH3729,3,0),"")</f>
        <v/>
      </c>
      <c r="ZR671" t="str">
        <f>IFERROR(VLOOKUP(ZS671,'[3]Raw material  (3)'!ZQ653:AAI3729,3,0),"")</f>
        <v/>
      </c>
      <c r="ZS671" t="str">
        <f>IFERROR(VLOOKUP(ZT671,'[3]Raw material  (3)'!ZR653:AAJ3729,3,0),"")</f>
        <v/>
      </c>
      <c r="ZT671" t="str">
        <f>IFERROR(VLOOKUP(ZU671,'[3]Raw material  (3)'!ZS653:AAK3729,3,0),"")</f>
        <v/>
      </c>
      <c r="ZU671" t="str">
        <f>IFERROR(VLOOKUP(ZV671,'[3]Raw material  (3)'!ZT653:AAL3729,3,0),"")</f>
        <v/>
      </c>
      <c r="ZV671" t="str">
        <f>IFERROR(VLOOKUP(ZW671,'[3]Raw material  (3)'!ZU653:AAM3729,3,0),"")</f>
        <v/>
      </c>
      <c r="ZW671" t="str">
        <f>IFERROR(VLOOKUP(ZX671,'[3]Raw material  (3)'!ZV653:AAN3729,3,0),"")</f>
        <v/>
      </c>
      <c r="ZX671" t="str">
        <f>IFERROR(VLOOKUP(ZY671,'[3]Raw material  (3)'!ZW653:AAO3729,3,0),"")</f>
        <v/>
      </c>
      <c r="ZY671" t="str">
        <f>IFERROR(VLOOKUP(ZZ671,'[3]Raw material  (3)'!ZX653:AAP3729,3,0),"")</f>
        <v/>
      </c>
      <c r="ZZ671" t="str">
        <f>IFERROR(VLOOKUP(AAA671,'[3]Raw material  (3)'!ZY653:AAQ3729,3,0),"")</f>
        <v/>
      </c>
      <c r="AAA671" t="str">
        <f>IFERROR(VLOOKUP(AAB671,'[3]Raw material  (3)'!ZZ653:AAR3729,3,0),"")</f>
        <v/>
      </c>
      <c r="AAB671" t="str">
        <f>IFERROR(VLOOKUP(AAC671,'[3]Raw material  (3)'!AAA653:AAS3729,3,0),"")</f>
        <v/>
      </c>
      <c r="AAC671" t="str">
        <f>IFERROR(VLOOKUP(AAD671,'[3]Raw material  (3)'!AAB653:AAT3729,3,0),"")</f>
        <v/>
      </c>
      <c r="AAD671" t="str">
        <f>IFERROR(VLOOKUP(AAE671,'[3]Raw material  (3)'!AAC653:AAU3729,3,0),"")</f>
        <v/>
      </c>
      <c r="AAE671" t="str">
        <f>IFERROR(VLOOKUP(AAF671,'[3]Raw material  (3)'!AAD653:AAV3729,3,0),"")</f>
        <v/>
      </c>
      <c r="AAF671" t="str">
        <f>IFERROR(VLOOKUP(AAG671,'[3]Raw material  (3)'!AAE653:AAW3729,3,0),"")</f>
        <v/>
      </c>
      <c r="AAG671" t="str">
        <f>IFERROR(VLOOKUP(AAH671,'[3]Raw material  (3)'!AAF653:AAX3729,3,0),"")</f>
        <v/>
      </c>
      <c r="AAH671" t="str">
        <f>IFERROR(VLOOKUP(AAI671,'[3]Raw material  (3)'!AAG653:AAY3729,3,0),"")</f>
        <v/>
      </c>
      <c r="AAI671" t="str">
        <f>IFERROR(VLOOKUP(AAJ671,'[3]Raw material  (3)'!AAH653:AAZ3729,3,0),"")</f>
        <v/>
      </c>
      <c r="AAJ671" t="str">
        <f>IFERROR(VLOOKUP(AAK671,'[3]Raw material  (3)'!AAI653:ABA3729,3,0),"")</f>
        <v/>
      </c>
      <c r="AAK671" t="str">
        <f>IFERROR(VLOOKUP(AAL671,'[3]Raw material  (3)'!AAJ653:ABB3729,3,0),"")</f>
        <v/>
      </c>
      <c r="AAL671" t="str">
        <f>IFERROR(VLOOKUP(AAM671,'[3]Raw material  (3)'!AAK653:ABC3729,3,0),"")</f>
        <v/>
      </c>
      <c r="AAM671" t="str">
        <f>IFERROR(VLOOKUP(AAN671,'[3]Raw material  (3)'!AAL653:ABD3729,3,0),"")</f>
        <v/>
      </c>
      <c r="AAN671" t="str">
        <f>IFERROR(VLOOKUP(AAO671,'[3]Raw material  (3)'!AAM653:ABE3729,3,0),"")</f>
        <v/>
      </c>
      <c r="AAO671" t="str">
        <f>IFERROR(VLOOKUP(AAP671,'[3]Raw material  (3)'!AAN653:ABF3729,3,0),"")</f>
        <v/>
      </c>
      <c r="AAP671" t="str">
        <f>IFERROR(VLOOKUP(AAQ671,'[3]Raw material  (3)'!AAO653:ABG3729,3,0),"")</f>
        <v/>
      </c>
      <c r="AAQ671" t="str">
        <f>IFERROR(VLOOKUP(AAR671,'[3]Raw material  (3)'!AAP653:ABH3729,3,0),"")</f>
        <v/>
      </c>
      <c r="AAR671" t="str">
        <f>IFERROR(VLOOKUP(AAS671,'[3]Raw material  (3)'!AAQ653:ABI3729,3,0),"")</f>
        <v/>
      </c>
      <c r="AAS671" t="str">
        <f>IFERROR(VLOOKUP(AAT671,'[3]Raw material  (3)'!AAR653:ABJ3729,3,0),"")</f>
        <v/>
      </c>
      <c r="AAT671" t="str">
        <f>IFERROR(VLOOKUP(AAU671,'[3]Raw material  (3)'!AAS653:ABK3729,3,0),"")</f>
        <v/>
      </c>
      <c r="AAU671" t="str">
        <f>IFERROR(VLOOKUP(AAV671,'[3]Raw material  (3)'!AAT653:ABL3729,3,0),"")</f>
        <v/>
      </c>
      <c r="AAV671" t="str">
        <f>IFERROR(VLOOKUP(AAW671,'[3]Raw material  (3)'!AAU653:ABM3729,3,0),"")</f>
        <v/>
      </c>
      <c r="AAW671" t="str">
        <f>IFERROR(VLOOKUP(AAX671,'[3]Raw material  (3)'!AAV653:ABN3729,3,0),"")</f>
        <v/>
      </c>
      <c r="AAX671" t="str">
        <f>IFERROR(VLOOKUP(AAY671,'[3]Raw material  (3)'!AAW653:ABO3729,3,0),"")</f>
        <v/>
      </c>
      <c r="AAY671" t="str">
        <f>IFERROR(VLOOKUP(AAZ671,'[3]Raw material  (3)'!AAX653:ABP3729,3,0),"")</f>
        <v/>
      </c>
      <c r="AAZ671" t="str">
        <f>IFERROR(VLOOKUP(ABA671,'[3]Raw material  (3)'!AAY653:ABQ3729,3,0),"")</f>
        <v/>
      </c>
      <c r="ABA671" t="str">
        <f>IFERROR(VLOOKUP(ABB671,'[3]Raw material  (3)'!AAZ653:ABR3729,3,0),"")</f>
        <v/>
      </c>
      <c r="ABB671" t="str">
        <f>IFERROR(VLOOKUP(ABC671,'[3]Raw material  (3)'!ABA653:ABS3729,3,0),"")</f>
        <v/>
      </c>
      <c r="ABC671" t="str">
        <f>IFERROR(VLOOKUP(ABD671,'[3]Raw material  (3)'!ABB653:ABT3729,3,0),"")</f>
        <v/>
      </c>
      <c r="ABD671" t="str">
        <f>IFERROR(VLOOKUP(ABE671,'[3]Raw material  (3)'!ABC653:ABU3729,3,0),"")</f>
        <v/>
      </c>
      <c r="ABE671" t="str">
        <f>IFERROR(VLOOKUP(ABF671,'[3]Raw material  (3)'!ABD653:ABV3729,3,0),"")</f>
        <v/>
      </c>
      <c r="ABF671" t="str">
        <f>IFERROR(VLOOKUP(ABG671,'[3]Raw material  (3)'!ABE653:ABW3729,3,0),"")</f>
        <v/>
      </c>
      <c r="ABG671" t="str">
        <f>IFERROR(VLOOKUP(ABH671,'[3]Raw material  (3)'!ABF653:ABX3729,3,0),"")</f>
        <v/>
      </c>
      <c r="ABH671" t="str">
        <f>IFERROR(VLOOKUP(ABI671,'[3]Raw material  (3)'!ABG653:ABY3729,3,0),"")</f>
        <v/>
      </c>
      <c r="ABI671" t="str">
        <f>IFERROR(VLOOKUP(ABJ671,'[3]Raw material  (3)'!ABH653:ABZ3729,3,0),"")</f>
        <v/>
      </c>
      <c r="ABJ671" t="str">
        <f>IFERROR(VLOOKUP(ABK671,'[3]Raw material  (3)'!ABI653:ACA3729,3,0),"")</f>
        <v/>
      </c>
      <c r="ABK671" t="str">
        <f>IFERROR(VLOOKUP(ABL671,'[3]Raw material  (3)'!ABJ653:ACB3729,3,0),"")</f>
        <v/>
      </c>
      <c r="ABL671" t="str">
        <f>IFERROR(VLOOKUP(ABM671,'[3]Raw material  (3)'!ABK653:ACC3729,3,0),"")</f>
        <v/>
      </c>
      <c r="ABM671" t="str">
        <f>IFERROR(VLOOKUP(ABN671,'[3]Raw material  (3)'!ABL653:ACD3729,3,0),"")</f>
        <v/>
      </c>
      <c r="ABN671" t="str">
        <f>IFERROR(VLOOKUP(ABO671,'[3]Raw material  (3)'!ABM653:ACE3729,3,0),"")</f>
        <v/>
      </c>
      <c r="ABO671" t="str">
        <f>IFERROR(VLOOKUP(ABP671,'[3]Raw material  (3)'!ABN653:ACF3729,3,0),"")</f>
        <v/>
      </c>
      <c r="ABP671" t="str">
        <f>IFERROR(VLOOKUP(ABQ671,'[3]Raw material  (3)'!ABO653:ACG3729,3,0),"")</f>
        <v/>
      </c>
      <c r="ABQ671" t="str">
        <f>IFERROR(VLOOKUP(ABR671,'[3]Raw material  (3)'!ABP653:ACH3729,3,0),"")</f>
        <v/>
      </c>
      <c r="ABR671" t="str">
        <f>IFERROR(VLOOKUP(ABS671,'[3]Raw material  (3)'!ABQ653:ACI3729,3,0),"")</f>
        <v/>
      </c>
      <c r="ABS671" t="str">
        <f>IFERROR(VLOOKUP(ABT671,'[3]Raw material  (3)'!ABR653:ACJ3729,3,0),"")</f>
        <v/>
      </c>
      <c r="ABT671" t="str">
        <f>IFERROR(VLOOKUP(ABU671,'[3]Raw material  (3)'!ABS653:ACK3729,3,0),"")</f>
        <v/>
      </c>
      <c r="ABU671" t="str">
        <f>IFERROR(VLOOKUP(ABV671,'[3]Raw material  (3)'!ABT653:ACL3729,3,0),"")</f>
        <v/>
      </c>
      <c r="ABV671" t="str">
        <f>IFERROR(VLOOKUP(ABW671,'[3]Raw material  (3)'!ABU653:ACM3729,3,0),"")</f>
        <v/>
      </c>
      <c r="ABW671" t="str">
        <f>IFERROR(VLOOKUP(ABX671,'[3]Raw material  (3)'!ABV653:ACN3729,3,0),"")</f>
        <v/>
      </c>
      <c r="ABX671" t="str">
        <f>IFERROR(VLOOKUP(ABY671,'[3]Raw material  (3)'!ABW653:ACO3729,3,0),"")</f>
        <v/>
      </c>
      <c r="ABY671" t="str">
        <f>IFERROR(VLOOKUP(ABZ671,'[3]Raw material  (3)'!ABX653:ACP3729,3,0),"")</f>
        <v/>
      </c>
      <c r="ABZ671" t="str">
        <f>IFERROR(VLOOKUP(ACA671,'[3]Raw material  (3)'!ABY653:ACQ3729,3,0),"")</f>
        <v/>
      </c>
      <c r="ACA671" t="str">
        <f>IFERROR(VLOOKUP(ACB671,'[3]Raw material  (3)'!ABZ653:ACR3729,3,0),"")</f>
        <v/>
      </c>
      <c r="ACB671" t="str">
        <f>IFERROR(VLOOKUP(ACC671,'[3]Raw material  (3)'!ACA653:ACS3729,3,0),"")</f>
        <v/>
      </c>
      <c r="ACC671" t="str">
        <f>IFERROR(VLOOKUP(ACD671,'[3]Raw material  (3)'!ACB653:ACT3729,3,0),"")</f>
        <v/>
      </c>
      <c r="ACD671" t="str">
        <f>IFERROR(VLOOKUP(ACE671,'[3]Raw material  (3)'!ACC653:ACU3729,3,0),"")</f>
        <v/>
      </c>
      <c r="ACE671" t="str">
        <f>IFERROR(VLOOKUP(ACF671,'[3]Raw material  (3)'!ACD653:ACV3729,3,0),"")</f>
        <v/>
      </c>
      <c r="ACF671" t="str">
        <f>IFERROR(VLOOKUP(ACG671,'[3]Raw material  (3)'!ACE653:ACW3729,3,0),"")</f>
        <v/>
      </c>
      <c r="ACG671" t="str">
        <f>IFERROR(VLOOKUP(ACH671,'[3]Raw material  (3)'!ACF653:ACX3729,3,0),"")</f>
        <v/>
      </c>
      <c r="ACH671" t="str">
        <f>IFERROR(VLOOKUP(ACI671,'[3]Raw material  (3)'!ACG653:ACY3729,3,0),"")</f>
        <v/>
      </c>
      <c r="ACI671" t="str">
        <f>IFERROR(VLOOKUP(ACJ671,'[3]Raw material  (3)'!ACH653:ACZ3729,3,0),"")</f>
        <v/>
      </c>
      <c r="ACJ671" t="str">
        <f>IFERROR(VLOOKUP(ACK671,'[3]Raw material  (3)'!ACI653:ADA3729,3,0),"")</f>
        <v/>
      </c>
      <c r="ACK671" t="str">
        <f>IFERROR(VLOOKUP(ACL671,'[3]Raw material  (3)'!ACJ653:ADB3729,3,0),"")</f>
        <v/>
      </c>
      <c r="ACL671" t="str">
        <f>IFERROR(VLOOKUP(ACM671,'[3]Raw material  (3)'!ACK653:ADC3729,3,0),"")</f>
        <v/>
      </c>
      <c r="ACM671" t="str">
        <f>IFERROR(VLOOKUP(ACN671,'[3]Raw material  (3)'!ACL653:ADD3729,3,0),"")</f>
        <v/>
      </c>
      <c r="ACN671" t="str">
        <f>IFERROR(VLOOKUP(ACO671,'[3]Raw material  (3)'!ACM653:ADE3729,3,0),"")</f>
        <v/>
      </c>
      <c r="ACO671" t="str">
        <f>IFERROR(VLOOKUP(ACP671,'[3]Raw material  (3)'!ACN653:ADF3729,3,0),"")</f>
        <v/>
      </c>
      <c r="ACP671" t="str">
        <f>IFERROR(VLOOKUP(ACQ671,'[3]Raw material  (3)'!ACO653:ADG3729,3,0),"")</f>
        <v/>
      </c>
      <c r="ACQ671" t="str">
        <f>IFERROR(VLOOKUP(ACR671,'[3]Raw material  (3)'!ACP653:ADH3729,3,0),"")</f>
        <v/>
      </c>
      <c r="ACR671" t="str">
        <f>IFERROR(VLOOKUP(ACS671,'[3]Raw material  (3)'!ACQ653:ADI3729,3,0),"")</f>
        <v/>
      </c>
      <c r="ACS671" t="str">
        <f>IFERROR(VLOOKUP(ACT671,'[3]Raw material  (3)'!ACR653:ADJ3729,3,0),"")</f>
        <v/>
      </c>
      <c r="ACT671" t="str">
        <f>IFERROR(VLOOKUP(ACU671,'[3]Raw material  (3)'!ACS653:ADK3729,3,0),"")</f>
        <v/>
      </c>
      <c r="ACU671" t="str">
        <f>IFERROR(VLOOKUP(ACV671,'[3]Raw material  (3)'!ACT653:ADL3729,3,0),"")</f>
        <v/>
      </c>
      <c r="ACV671" t="str">
        <f>IFERROR(VLOOKUP(ACW671,'[3]Raw material  (3)'!ACU653:ADM3729,3,0),"")</f>
        <v/>
      </c>
      <c r="ACW671" t="str">
        <f>IFERROR(VLOOKUP(ACX671,'[3]Raw material  (3)'!ACV653:ADN3729,3,0),"")</f>
        <v/>
      </c>
      <c r="ACX671" t="str">
        <f>IFERROR(VLOOKUP(ACY671,'[3]Raw material  (3)'!ACW653:ADO3729,3,0),"")</f>
        <v/>
      </c>
      <c r="ACY671" t="str">
        <f>IFERROR(VLOOKUP(ACZ671,'[3]Raw material  (3)'!ACX653:ADP3729,3,0),"")</f>
        <v/>
      </c>
      <c r="ACZ671" t="str">
        <f>IFERROR(VLOOKUP(ADA671,'[3]Raw material  (3)'!ACY653:ADQ3729,3,0),"")</f>
        <v/>
      </c>
      <c r="ADA671" t="str">
        <f>IFERROR(VLOOKUP(ADB671,'[3]Raw material  (3)'!ACZ653:ADR3729,3,0),"")</f>
        <v/>
      </c>
      <c r="ADB671" t="str">
        <f>IFERROR(VLOOKUP(ADC671,'[3]Raw material  (3)'!ADA653:ADS3729,3,0),"")</f>
        <v/>
      </c>
      <c r="ADC671" t="str">
        <f>IFERROR(VLOOKUP(ADD671,'[3]Raw material  (3)'!ADB653:ADT3729,3,0),"")</f>
        <v/>
      </c>
      <c r="ADD671" t="str">
        <f>IFERROR(VLOOKUP(ADE671,'[3]Raw material  (3)'!ADC653:ADU3729,3,0),"")</f>
        <v/>
      </c>
      <c r="ADE671" t="str">
        <f>IFERROR(VLOOKUP(ADF671,'[3]Raw material  (3)'!ADD653:ADV3729,3,0),"")</f>
        <v/>
      </c>
      <c r="ADF671" t="str">
        <f>IFERROR(VLOOKUP(ADG671,'[3]Raw material  (3)'!ADE653:ADW3729,3,0),"")</f>
        <v/>
      </c>
      <c r="ADG671" t="str">
        <f>IFERROR(VLOOKUP(ADH671,'[3]Raw material  (3)'!ADF653:ADX3729,3,0),"")</f>
        <v/>
      </c>
      <c r="ADH671" t="str">
        <f>IFERROR(VLOOKUP(ADI671,'[3]Raw material  (3)'!ADG653:ADY3729,3,0),"")</f>
        <v/>
      </c>
      <c r="ADI671" t="str">
        <f>IFERROR(VLOOKUP(ADJ671,'[3]Raw material  (3)'!ADH653:ADZ3729,3,0),"")</f>
        <v/>
      </c>
      <c r="ADJ671" t="str">
        <f>IFERROR(VLOOKUP(ADK671,'[3]Raw material  (3)'!ADI653:AEA3729,3,0),"")</f>
        <v/>
      </c>
      <c r="ADK671" t="str">
        <f>IFERROR(VLOOKUP(ADL671,'[3]Raw material  (3)'!ADJ653:AEB3729,3,0),"")</f>
        <v/>
      </c>
      <c r="ADL671" t="str">
        <f>IFERROR(VLOOKUP(ADM671,'[3]Raw material  (3)'!ADK653:AEC3729,3,0),"")</f>
        <v/>
      </c>
      <c r="ADM671" t="str">
        <f>IFERROR(VLOOKUP(ADN671,'[3]Raw material  (3)'!ADL653:AED3729,3,0),"")</f>
        <v/>
      </c>
      <c r="ADN671" t="str">
        <f>IFERROR(VLOOKUP(ADO671,'[3]Raw material  (3)'!ADM653:AEE3729,3,0),"")</f>
        <v/>
      </c>
      <c r="ADO671" t="str">
        <f>IFERROR(VLOOKUP(ADP671,'[3]Raw material  (3)'!ADN653:AEF3729,3,0),"")</f>
        <v/>
      </c>
      <c r="ADP671" t="str">
        <f>IFERROR(VLOOKUP(ADQ671,'[3]Raw material  (3)'!ADO653:AEG3729,3,0),"")</f>
        <v/>
      </c>
      <c r="ADQ671" t="str">
        <f>IFERROR(VLOOKUP(ADR671,'[3]Raw material  (3)'!ADP653:AEH3729,3,0),"")</f>
        <v/>
      </c>
      <c r="ADR671" t="str">
        <f>IFERROR(VLOOKUP(ADS671,'[3]Raw material  (3)'!ADQ653:AEI3729,3,0),"")</f>
        <v/>
      </c>
      <c r="ADS671" t="str">
        <f>IFERROR(VLOOKUP(ADT671,'[3]Raw material  (3)'!ADR653:AEJ3729,3,0),"")</f>
        <v/>
      </c>
      <c r="ADT671" t="str">
        <f>IFERROR(VLOOKUP(ADU671,'[3]Raw material  (3)'!ADS653:AEK3729,3,0),"")</f>
        <v/>
      </c>
      <c r="ADU671" t="str">
        <f>IFERROR(VLOOKUP(ADV671,'[3]Raw material  (3)'!ADT653:AEL3729,3,0),"")</f>
        <v/>
      </c>
      <c r="ADV671" t="str">
        <f>IFERROR(VLOOKUP(ADW671,'[3]Raw material  (3)'!ADU653:AEM3729,3,0),"")</f>
        <v/>
      </c>
      <c r="ADW671" t="str">
        <f>IFERROR(VLOOKUP(ADX671,'[3]Raw material  (3)'!ADV653:AEN3729,3,0),"")</f>
        <v/>
      </c>
      <c r="ADX671" t="str">
        <f>IFERROR(VLOOKUP(ADY671,'[3]Raw material  (3)'!ADW653:AEO3729,3,0),"")</f>
        <v/>
      </c>
      <c r="ADY671" t="str">
        <f>IFERROR(VLOOKUP(ADZ671,'[3]Raw material  (3)'!ADX653:AEP3729,3,0),"")</f>
        <v/>
      </c>
      <c r="ADZ671" t="str">
        <f>IFERROR(VLOOKUP(AEA671,'[3]Raw material  (3)'!ADY653:AEQ3729,3,0),"")</f>
        <v/>
      </c>
      <c r="AEA671" t="str">
        <f>IFERROR(VLOOKUP(AEB671,'[3]Raw material  (3)'!ADZ653:AER3729,3,0),"")</f>
        <v/>
      </c>
      <c r="AEB671" t="str">
        <f>IFERROR(VLOOKUP(AEC671,'[3]Raw material  (3)'!AEA653:AES3729,3,0),"")</f>
        <v/>
      </c>
      <c r="AEC671" t="str">
        <f>IFERROR(VLOOKUP(AED671,'[3]Raw material  (3)'!AEB653:AET3729,3,0),"")</f>
        <v/>
      </c>
      <c r="AED671" t="str">
        <f>IFERROR(VLOOKUP(AEE671,'[3]Raw material  (3)'!AEC653:AEU3729,3,0),"")</f>
        <v/>
      </c>
      <c r="AEE671" t="str">
        <f>IFERROR(VLOOKUP(AEF671,'[3]Raw material  (3)'!AED653:AEV3729,3,0),"")</f>
        <v/>
      </c>
      <c r="AEF671" t="str">
        <f>IFERROR(VLOOKUP(AEG671,'[3]Raw material  (3)'!AEE653:AEW3729,3,0),"")</f>
        <v/>
      </c>
      <c r="AEG671" t="str">
        <f>IFERROR(VLOOKUP(AEH671,'[3]Raw material  (3)'!AEF653:AEX3729,3,0),"")</f>
        <v/>
      </c>
      <c r="AEH671" t="str">
        <f>IFERROR(VLOOKUP(AEI671,'[3]Raw material  (3)'!AEG653:AEY3729,3,0),"")</f>
        <v/>
      </c>
      <c r="AEI671" t="str">
        <f>IFERROR(VLOOKUP(AEJ671,'[3]Raw material  (3)'!AEH653:AEZ3729,3,0),"")</f>
        <v/>
      </c>
      <c r="AEJ671" t="str">
        <f>IFERROR(VLOOKUP(AEK671,'[3]Raw material  (3)'!AEI653:AFA3729,3,0),"")</f>
        <v/>
      </c>
      <c r="AEK671" t="str">
        <f>IFERROR(VLOOKUP(AEL671,'[3]Raw material  (3)'!AEJ653:AFB3729,3,0),"")</f>
        <v/>
      </c>
      <c r="AEL671" t="str">
        <f>IFERROR(VLOOKUP(AEM671,'[3]Raw material  (3)'!AEK653:AFC3729,3,0),"")</f>
        <v/>
      </c>
      <c r="AEM671" t="str">
        <f>IFERROR(VLOOKUP(AEN671,'[3]Raw material  (3)'!AEL653:AFD3729,3,0),"")</f>
        <v/>
      </c>
      <c r="AEN671" t="str">
        <f>IFERROR(VLOOKUP(AEO671,'[3]Raw material  (3)'!AEM653:AFE3729,3,0),"")</f>
        <v/>
      </c>
      <c r="AEO671" t="str">
        <f>IFERROR(VLOOKUP(AEP671,'[3]Raw material  (3)'!AEN653:AFF3729,3,0),"")</f>
        <v/>
      </c>
      <c r="AEP671" t="str">
        <f>IFERROR(VLOOKUP(AEQ671,'[3]Raw material  (3)'!AEO653:AFG3729,3,0),"")</f>
        <v/>
      </c>
      <c r="AEQ671" t="str">
        <f>IFERROR(VLOOKUP(AER671,'[3]Raw material  (3)'!AEP653:AFH3729,3,0),"")</f>
        <v/>
      </c>
      <c r="AER671" t="str">
        <f>IFERROR(VLOOKUP(AES671,'[3]Raw material  (3)'!AEQ653:AFI3729,3,0),"")</f>
        <v/>
      </c>
      <c r="AES671" t="str">
        <f>IFERROR(VLOOKUP(AET671,'[3]Raw material  (3)'!AER653:AFJ3729,3,0),"")</f>
        <v/>
      </c>
      <c r="AET671" t="str">
        <f>IFERROR(VLOOKUP(AEU671,'[3]Raw material  (3)'!AES653:AFK3729,3,0),"")</f>
        <v/>
      </c>
      <c r="AEU671" t="str">
        <f>IFERROR(VLOOKUP(AEV671,'[3]Raw material  (3)'!AET653:AFL3729,3,0),"")</f>
        <v/>
      </c>
      <c r="AEV671" t="str">
        <f>IFERROR(VLOOKUP(AEW671,'[3]Raw material  (3)'!AEU653:AFM3729,3,0),"")</f>
        <v/>
      </c>
      <c r="AEW671" t="str">
        <f>IFERROR(VLOOKUP(AEX671,'[3]Raw material  (3)'!AEV653:AFN3729,3,0),"")</f>
        <v/>
      </c>
      <c r="AEX671" t="str">
        <f>IFERROR(VLOOKUP(AEY671,'[3]Raw material  (3)'!AEW653:AFO3729,3,0),"")</f>
        <v/>
      </c>
      <c r="AEY671" t="str">
        <f>IFERROR(VLOOKUP(AEZ671,'[3]Raw material  (3)'!AEX653:AFP3729,3,0),"")</f>
        <v/>
      </c>
      <c r="AEZ671" t="str">
        <f>IFERROR(VLOOKUP(AFA671,'[3]Raw material  (3)'!AEY653:AFQ3729,3,0),"")</f>
        <v/>
      </c>
      <c r="AFA671" t="str">
        <f>IFERROR(VLOOKUP(AFB671,'[3]Raw material  (3)'!AEZ653:AFR3729,3,0),"")</f>
        <v/>
      </c>
      <c r="AFB671" t="str">
        <f>IFERROR(VLOOKUP(AFC671,'[3]Raw material  (3)'!AFA653:AFS3729,3,0),"")</f>
        <v/>
      </c>
      <c r="AFC671" t="str">
        <f>IFERROR(VLOOKUP(AFD671,'[3]Raw material  (3)'!AFB653:AFT3729,3,0),"")</f>
        <v/>
      </c>
      <c r="AFD671" t="str">
        <f>IFERROR(VLOOKUP(AFE671,'[3]Raw material  (3)'!AFC653:AFU3729,3,0),"")</f>
        <v/>
      </c>
      <c r="AFE671" t="str">
        <f>IFERROR(VLOOKUP(AFF671,'[3]Raw material  (3)'!AFD653:AFV3729,3,0),"")</f>
        <v/>
      </c>
      <c r="AFF671" t="str">
        <f>IFERROR(VLOOKUP(AFG671,'[3]Raw material  (3)'!AFE653:AFW3729,3,0),"")</f>
        <v/>
      </c>
      <c r="AFG671" t="str">
        <f>IFERROR(VLOOKUP(AFH671,'[3]Raw material  (3)'!AFF653:AFX3729,3,0),"")</f>
        <v/>
      </c>
      <c r="AFH671" t="str">
        <f>IFERROR(VLOOKUP(AFI671,'[3]Raw material  (3)'!AFG653:AFY3729,3,0),"")</f>
        <v/>
      </c>
      <c r="AFI671" t="str">
        <f>IFERROR(VLOOKUP(AFJ671,'[3]Raw material  (3)'!AFH653:AFZ3729,3,0),"")</f>
        <v/>
      </c>
      <c r="AFJ671" t="str">
        <f>IFERROR(VLOOKUP(AFK671,'[3]Raw material  (3)'!AFI653:AGA3729,3,0),"")</f>
        <v/>
      </c>
      <c r="AFK671" t="str">
        <f>IFERROR(VLOOKUP(AFL671,'[3]Raw material  (3)'!AFJ653:AGB3729,3,0),"")</f>
        <v/>
      </c>
      <c r="AFL671" t="str">
        <f>IFERROR(VLOOKUP(AFM671,'[3]Raw material  (3)'!AFK653:AGC3729,3,0),"")</f>
        <v/>
      </c>
      <c r="AFM671" t="str">
        <f>IFERROR(VLOOKUP(AFN671,'[3]Raw material  (3)'!AFL653:AGD3729,3,0),"")</f>
        <v/>
      </c>
      <c r="AFN671" t="str">
        <f>IFERROR(VLOOKUP(AFO671,'[3]Raw material  (3)'!AFM653:AGE3729,3,0),"")</f>
        <v/>
      </c>
      <c r="AFO671" t="str">
        <f>IFERROR(VLOOKUP(AFP671,'[3]Raw material  (3)'!AFN653:AGF3729,3,0),"")</f>
        <v/>
      </c>
      <c r="AFP671" t="str">
        <f>IFERROR(VLOOKUP(AFQ671,'[3]Raw material  (3)'!AFO653:AGG3729,3,0),"")</f>
        <v/>
      </c>
      <c r="AFQ671" t="str">
        <f>IFERROR(VLOOKUP(AFR671,'[3]Raw material  (3)'!AFP653:AGH3729,3,0),"")</f>
        <v/>
      </c>
      <c r="AFR671" t="str">
        <f>IFERROR(VLOOKUP(AFS671,'[3]Raw material  (3)'!AFQ653:AGI3729,3,0),"")</f>
        <v/>
      </c>
      <c r="AFS671" t="str">
        <f>IFERROR(VLOOKUP(AFT671,'[3]Raw material  (3)'!AFR653:AGJ3729,3,0),"")</f>
        <v/>
      </c>
      <c r="AFT671" t="str">
        <f>IFERROR(VLOOKUP(AFU671,'[3]Raw material  (3)'!AFS653:AGK3729,3,0),"")</f>
        <v/>
      </c>
      <c r="AFU671" t="str">
        <f>IFERROR(VLOOKUP(AFV671,'[3]Raw material  (3)'!AFT653:AGL3729,3,0),"")</f>
        <v/>
      </c>
      <c r="AFV671" t="str">
        <f>IFERROR(VLOOKUP(AFW671,'[3]Raw material  (3)'!AFU653:AGM3729,3,0),"")</f>
        <v/>
      </c>
      <c r="AFW671" t="str">
        <f>IFERROR(VLOOKUP(AFX671,'[3]Raw material  (3)'!AFV653:AGN3729,3,0),"")</f>
        <v/>
      </c>
      <c r="AFX671" t="str">
        <f>IFERROR(VLOOKUP(AFY671,'[3]Raw material  (3)'!AFW653:AGO3729,3,0),"")</f>
        <v/>
      </c>
      <c r="AFY671" t="str">
        <f>IFERROR(VLOOKUP(AFZ671,'[3]Raw material  (3)'!AFX653:AGP3729,3,0),"")</f>
        <v/>
      </c>
      <c r="AFZ671" t="str">
        <f>IFERROR(VLOOKUP(AGA671,'[3]Raw material  (3)'!AFY653:AGQ3729,3,0),"")</f>
        <v/>
      </c>
      <c r="AGA671" t="str">
        <f>IFERROR(VLOOKUP(AGB671,'[3]Raw material  (3)'!AFZ653:AGR3729,3,0),"")</f>
        <v/>
      </c>
      <c r="AGB671" t="str">
        <f>IFERROR(VLOOKUP(AGC671,'[3]Raw material  (3)'!AGA653:AGS3729,3,0),"")</f>
        <v/>
      </c>
      <c r="AGC671" t="str">
        <f>IFERROR(VLOOKUP(AGD671,'[3]Raw material  (3)'!AGB653:AGT3729,3,0),"")</f>
        <v/>
      </c>
      <c r="AGD671" t="str">
        <f>IFERROR(VLOOKUP(AGE671,'[3]Raw material  (3)'!AGC653:AGU3729,3,0),"")</f>
        <v/>
      </c>
      <c r="AGE671" t="str">
        <f>IFERROR(VLOOKUP(AGF671,'[3]Raw material  (3)'!AGD653:AGV3729,3,0),"")</f>
        <v/>
      </c>
      <c r="AGF671" t="str">
        <f>IFERROR(VLOOKUP(AGG671,'[3]Raw material  (3)'!AGE653:AGW3729,3,0),"")</f>
        <v/>
      </c>
      <c r="AGG671" t="str">
        <f>IFERROR(VLOOKUP(AGH671,'[3]Raw material  (3)'!AGF653:AGX3729,3,0),"")</f>
        <v/>
      </c>
      <c r="AGH671" t="str">
        <f>IFERROR(VLOOKUP(AGI671,'[3]Raw material  (3)'!AGG653:AGY3729,3,0),"")</f>
        <v/>
      </c>
      <c r="AGI671" t="str">
        <f>IFERROR(VLOOKUP(AGJ671,'[3]Raw material  (3)'!AGH653:AGZ3729,3,0),"")</f>
        <v/>
      </c>
      <c r="AGJ671" t="str">
        <f>IFERROR(VLOOKUP(AGK671,'[3]Raw material  (3)'!AGI653:AHA3729,3,0),"")</f>
        <v/>
      </c>
      <c r="AGK671" t="str">
        <f>IFERROR(VLOOKUP(AGL671,'[3]Raw material  (3)'!AGJ653:AHB3729,3,0),"")</f>
        <v/>
      </c>
      <c r="AGL671" t="str">
        <f>IFERROR(VLOOKUP(AGM671,'[3]Raw material  (3)'!AGK653:AHC3729,3,0),"")</f>
        <v/>
      </c>
      <c r="AGM671" t="str">
        <f>IFERROR(VLOOKUP(AGN671,'[3]Raw material  (3)'!AGL653:AHD3729,3,0),"")</f>
        <v/>
      </c>
      <c r="AGN671" t="str">
        <f>IFERROR(VLOOKUP(AGO671,'[3]Raw material  (3)'!AGM653:AHE3729,3,0),"")</f>
        <v/>
      </c>
      <c r="AGO671" t="str">
        <f>IFERROR(VLOOKUP(AGP671,'[3]Raw material  (3)'!AGN653:AHF3729,3,0),"")</f>
        <v/>
      </c>
      <c r="AGP671" t="str">
        <f>IFERROR(VLOOKUP(AGQ671,'[3]Raw material  (3)'!AGO653:AHG3729,3,0),"")</f>
        <v/>
      </c>
      <c r="AGQ671" t="str">
        <f>IFERROR(VLOOKUP(AGR671,'[3]Raw material  (3)'!AGP653:AHH3729,3,0),"")</f>
        <v/>
      </c>
      <c r="AGR671" t="str">
        <f>IFERROR(VLOOKUP(AGS671,'[3]Raw material  (3)'!AGQ653:AHI3729,3,0),"")</f>
        <v/>
      </c>
      <c r="AGS671" t="str">
        <f>IFERROR(VLOOKUP(AGT671,'[3]Raw material  (3)'!AGR653:AHJ3729,3,0),"")</f>
        <v/>
      </c>
      <c r="AGT671" t="str">
        <f>IFERROR(VLOOKUP(AGU671,'[3]Raw material  (3)'!AGS653:AHK3729,3,0),"")</f>
        <v/>
      </c>
      <c r="AGU671" t="str">
        <f>IFERROR(VLOOKUP(AGV671,'[3]Raw material  (3)'!AGT653:AHL3729,3,0),"")</f>
        <v/>
      </c>
      <c r="AGV671" t="str">
        <f>IFERROR(VLOOKUP(AGW671,'[3]Raw material  (3)'!AGU653:AHM3729,3,0),"")</f>
        <v/>
      </c>
      <c r="AGW671" t="str">
        <f>IFERROR(VLOOKUP(AGX671,'[3]Raw material  (3)'!AGV653:AHN3729,3,0),"")</f>
        <v/>
      </c>
      <c r="AGX671" t="str">
        <f>IFERROR(VLOOKUP(AGY671,'[3]Raw material  (3)'!AGW653:AHO3729,3,0),"")</f>
        <v/>
      </c>
      <c r="AGY671" t="str">
        <f>IFERROR(VLOOKUP(AGZ671,'[3]Raw material  (3)'!AGX653:AHP3729,3,0),"")</f>
        <v/>
      </c>
      <c r="AGZ671" t="str">
        <f>IFERROR(VLOOKUP(AHA671,'[3]Raw material  (3)'!AGY653:AHQ3729,3,0),"")</f>
        <v/>
      </c>
      <c r="AHA671" t="str">
        <f>IFERROR(VLOOKUP(AHB671,'[3]Raw material  (3)'!AGZ653:AHR3729,3,0),"")</f>
        <v/>
      </c>
      <c r="AHB671" t="str">
        <f>IFERROR(VLOOKUP(AHC671,'[3]Raw material  (3)'!AHA653:AHS3729,3,0),"")</f>
        <v/>
      </c>
      <c r="AHC671" t="str">
        <f>IFERROR(VLOOKUP(AHD671,'[3]Raw material  (3)'!AHB653:AHT3729,3,0),"")</f>
        <v/>
      </c>
      <c r="AHD671" t="str">
        <f>IFERROR(VLOOKUP(AHE671,'[3]Raw material  (3)'!AHC653:AHU3729,3,0),"")</f>
        <v/>
      </c>
      <c r="AHE671" t="str">
        <f>IFERROR(VLOOKUP(AHF671,'[3]Raw material  (3)'!AHD653:AHV3729,3,0),"")</f>
        <v/>
      </c>
      <c r="AHF671" t="str">
        <f>IFERROR(VLOOKUP(AHG671,'[3]Raw material  (3)'!AHE653:AHW3729,3,0),"")</f>
        <v/>
      </c>
      <c r="AHG671" t="str">
        <f>IFERROR(VLOOKUP(AHH671,'[3]Raw material  (3)'!AHF653:AHX3729,3,0),"")</f>
        <v/>
      </c>
      <c r="AHH671" t="str">
        <f>IFERROR(VLOOKUP(AHI671,'[3]Raw material  (3)'!AHG653:AHY3729,3,0),"")</f>
        <v/>
      </c>
      <c r="AHI671" t="str">
        <f>IFERROR(VLOOKUP(AHJ671,'[3]Raw material  (3)'!AHH653:AHZ3729,3,0),"")</f>
        <v/>
      </c>
      <c r="AHJ671" t="str">
        <f>IFERROR(VLOOKUP(AHK671,'[3]Raw material  (3)'!AHI653:AIA3729,3,0),"")</f>
        <v/>
      </c>
      <c r="AHK671" t="str">
        <f>IFERROR(VLOOKUP(AHL671,'[3]Raw material  (3)'!AHJ653:AIB3729,3,0),"")</f>
        <v/>
      </c>
      <c r="AHL671" t="str">
        <f>IFERROR(VLOOKUP(AHM671,'[3]Raw material  (3)'!AHK653:AIC3729,3,0),"")</f>
        <v/>
      </c>
      <c r="AHM671" t="str">
        <f>IFERROR(VLOOKUP(AHN671,'[3]Raw material  (3)'!AHL653:AID3729,3,0),"")</f>
        <v/>
      </c>
      <c r="AHN671" t="str">
        <f>IFERROR(VLOOKUP(AHO671,'[3]Raw material  (3)'!AHM653:AIE3729,3,0),"")</f>
        <v/>
      </c>
      <c r="AHO671" t="str">
        <f>IFERROR(VLOOKUP(AHP671,'[3]Raw material  (3)'!AHN653:AIF3729,3,0),"")</f>
        <v/>
      </c>
      <c r="AHP671" t="str">
        <f>IFERROR(VLOOKUP(AHQ671,'[3]Raw material  (3)'!AHO653:AIG3729,3,0),"")</f>
        <v/>
      </c>
      <c r="AHQ671" t="str">
        <f>IFERROR(VLOOKUP(AHR671,'[3]Raw material  (3)'!AHP653:AIH3729,3,0),"")</f>
        <v/>
      </c>
      <c r="AHR671" t="str">
        <f>IFERROR(VLOOKUP(AHS671,'[3]Raw material  (3)'!AHQ653:AII3729,3,0),"")</f>
        <v/>
      </c>
      <c r="AHS671" t="str">
        <f>IFERROR(VLOOKUP(AHT671,'[3]Raw material  (3)'!AHR653:AIJ3729,3,0),"")</f>
        <v/>
      </c>
      <c r="AHT671" t="str">
        <f>IFERROR(VLOOKUP(AHU671,'[3]Raw material  (3)'!AHS653:AIK3729,3,0),"")</f>
        <v/>
      </c>
      <c r="AHU671" t="str">
        <f>IFERROR(VLOOKUP(AHV671,'[3]Raw material  (3)'!AHT653:AIL3729,3,0),"")</f>
        <v/>
      </c>
      <c r="AHV671" t="str">
        <f>IFERROR(VLOOKUP(AHW671,'[3]Raw material  (3)'!AHU653:AIM3729,3,0),"")</f>
        <v/>
      </c>
      <c r="AHW671" t="str">
        <f>IFERROR(VLOOKUP(AHX671,'[3]Raw material  (3)'!AHV653:AIN3729,3,0),"")</f>
        <v/>
      </c>
      <c r="AHX671" t="str">
        <f>IFERROR(VLOOKUP(AHY671,'[3]Raw material  (3)'!AHW653:AIO3729,3,0),"")</f>
        <v/>
      </c>
      <c r="AHY671" t="str">
        <f>IFERROR(VLOOKUP(AHZ671,'[3]Raw material  (3)'!AHX653:AIP3729,3,0),"")</f>
        <v/>
      </c>
      <c r="AHZ671" t="str">
        <f>IFERROR(VLOOKUP(AIA671,'[3]Raw material  (3)'!AHY653:AIQ3729,3,0),"")</f>
        <v/>
      </c>
      <c r="AIA671" t="str">
        <f>IFERROR(VLOOKUP(AIB671,'[3]Raw material  (3)'!AHZ653:AIR3729,3,0),"")</f>
        <v/>
      </c>
      <c r="AIB671" t="str">
        <f>IFERROR(VLOOKUP(AIC671,'[3]Raw material  (3)'!AIA653:AIS3729,3,0),"")</f>
        <v/>
      </c>
      <c r="AIC671" t="str">
        <f>IFERROR(VLOOKUP(AID671,'[3]Raw material  (3)'!AIB653:AIT3729,3,0),"")</f>
        <v/>
      </c>
      <c r="AID671" t="str">
        <f>IFERROR(VLOOKUP(AIE671,'[3]Raw material  (3)'!AIC653:AIU3729,3,0),"")</f>
        <v/>
      </c>
      <c r="AIE671" t="str">
        <f>IFERROR(VLOOKUP(AIF671,'[3]Raw material  (3)'!AID653:AIV3729,3,0),"")</f>
        <v/>
      </c>
      <c r="AIF671" t="str">
        <f>IFERROR(VLOOKUP(AIG671,'[3]Raw material  (3)'!AIE653:AIW3729,3,0),"")</f>
        <v/>
      </c>
      <c r="AIG671" t="str">
        <f>IFERROR(VLOOKUP(AIH671,'[3]Raw material  (3)'!AIF653:AIX3729,3,0),"")</f>
        <v/>
      </c>
      <c r="AIH671" t="str">
        <f>IFERROR(VLOOKUP(AII671,'[3]Raw material  (3)'!AIG653:AIY3729,3,0),"")</f>
        <v/>
      </c>
      <c r="AII671" t="str">
        <f>IFERROR(VLOOKUP(AIJ671,'[3]Raw material  (3)'!AIH653:AIZ3729,3,0),"")</f>
        <v/>
      </c>
      <c r="AIJ671" t="str">
        <f>IFERROR(VLOOKUP(AIK671,'[3]Raw material  (3)'!AII653:AJA3729,3,0),"")</f>
        <v/>
      </c>
      <c r="AIK671" t="str">
        <f>IFERROR(VLOOKUP(AIL671,'[3]Raw material  (3)'!AIJ653:AJB3729,3,0),"")</f>
        <v/>
      </c>
      <c r="AIL671" t="str">
        <f>IFERROR(VLOOKUP(AIM671,'[3]Raw material  (3)'!AIK653:AJC3729,3,0),"")</f>
        <v/>
      </c>
      <c r="AIM671" t="str">
        <f>IFERROR(VLOOKUP(AIN671,'[3]Raw material  (3)'!AIL653:AJD3729,3,0),"")</f>
        <v/>
      </c>
      <c r="AIN671" t="str">
        <f>IFERROR(VLOOKUP(AIO671,'[3]Raw material  (3)'!AIM653:AJE3729,3,0),"")</f>
        <v/>
      </c>
      <c r="AIO671" t="str">
        <f>IFERROR(VLOOKUP(AIP671,'[3]Raw material  (3)'!AIN653:AJF3729,3,0),"")</f>
        <v/>
      </c>
      <c r="AIP671" t="str">
        <f>IFERROR(VLOOKUP(AIQ671,'[3]Raw material  (3)'!AIO653:AJG3729,3,0),"")</f>
        <v/>
      </c>
      <c r="AIQ671" t="str">
        <f>IFERROR(VLOOKUP(AIR671,'[3]Raw material  (3)'!AIP653:AJH3729,3,0),"")</f>
        <v/>
      </c>
      <c r="AIR671" t="str">
        <f>IFERROR(VLOOKUP(AIS671,'[3]Raw material  (3)'!AIQ653:AJI3729,3,0),"")</f>
        <v/>
      </c>
      <c r="AIS671" t="str">
        <f>IFERROR(VLOOKUP(AIT671,'[3]Raw material  (3)'!AIR653:AJJ3729,3,0),"")</f>
        <v/>
      </c>
      <c r="AIT671" t="str">
        <f>IFERROR(VLOOKUP(AIU671,'[3]Raw material  (3)'!AIS653:AJK3729,3,0),"")</f>
        <v/>
      </c>
      <c r="AIU671" t="str">
        <f>IFERROR(VLOOKUP(AIV671,'[3]Raw material  (3)'!AIT653:AJL3729,3,0),"")</f>
        <v/>
      </c>
      <c r="AIV671" t="str">
        <f>IFERROR(VLOOKUP(AIW671,'[3]Raw material  (3)'!AIU653:AJM3729,3,0),"")</f>
        <v/>
      </c>
      <c r="AIW671" t="str">
        <f>IFERROR(VLOOKUP(AIX671,'[3]Raw material  (3)'!AIV653:AJN3729,3,0),"")</f>
        <v/>
      </c>
      <c r="AIX671" t="str">
        <f>IFERROR(VLOOKUP(AIY671,'[3]Raw material  (3)'!AIW653:AJO3729,3,0),"")</f>
        <v/>
      </c>
      <c r="AIY671" t="str">
        <f>IFERROR(VLOOKUP(AIZ671,'[3]Raw material  (3)'!AIX653:AJP3729,3,0),"")</f>
        <v/>
      </c>
      <c r="AIZ671" t="str">
        <f>IFERROR(VLOOKUP(AJA671,'[3]Raw material  (3)'!AIY653:AJQ3729,3,0),"")</f>
        <v/>
      </c>
      <c r="AJA671" t="str">
        <f>IFERROR(VLOOKUP(AJB671,'[3]Raw material  (3)'!AIZ653:AJR3729,3,0),"")</f>
        <v/>
      </c>
      <c r="AJB671" t="str">
        <f>IFERROR(VLOOKUP(AJC671,'[3]Raw material  (3)'!AJA653:AJS3729,3,0),"")</f>
        <v/>
      </c>
      <c r="AJC671" t="str">
        <f>IFERROR(VLOOKUP(AJD671,'[3]Raw material  (3)'!AJB653:AJT3729,3,0),"")</f>
        <v/>
      </c>
      <c r="AJD671" t="str">
        <f>IFERROR(VLOOKUP(AJE671,'[3]Raw material  (3)'!AJC653:AJU3729,3,0),"")</f>
        <v/>
      </c>
      <c r="AJE671" t="str">
        <f>IFERROR(VLOOKUP(AJF671,'[3]Raw material  (3)'!AJD653:AJV3729,3,0),"")</f>
        <v/>
      </c>
      <c r="AJF671" t="str">
        <f>IFERROR(VLOOKUP(AJG671,'[3]Raw material  (3)'!AJE653:AJW3729,3,0),"")</f>
        <v/>
      </c>
      <c r="AJG671" t="str">
        <f>IFERROR(VLOOKUP(AJH671,'[3]Raw material  (3)'!AJF653:AJX3729,3,0),"")</f>
        <v/>
      </c>
      <c r="AJH671" t="str">
        <f>IFERROR(VLOOKUP(AJI671,'[3]Raw material  (3)'!AJG653:AJY3729,3,0),"")</f>
        <v/>
      </c>
      <c r="AJI671" t="str">
        <f>IFERROR(VLOOKUP(AJJ671,'[3]Raw material  (3)'!AJH653:AJZ3729,3,0),"")</f>
        <v/>
      </c>
      <c r="AJJ671" t="str">
        <f>IFERROR(VLOOKUP(AJK671,'[3]Raw material  (3)'!AJI653:AKA3729,3,0),"")</f>
        <v/>
      </c>
      <c r="AJK671" t="str">
        <f>IFERROR(VLOOKUP(AJL671,'[3]Raw material  (3)'!AJJ653:AKB3729,3,0),"")</f>
        <v/>
      </c>
      <c r="AJL671" t="str">
        <f>IFERROR(VLOOKUP(AJM671,'[3]Raw material  (3)'!AJK653:AKC3729,3,0),"")</f>
        <v/>
      </c>
      <c r="AJM671" t="str">
        <f>IFERROR(VLOOKUP(AJN671,'[3]Raw material  (3)'!AJL653:AKD3729,3,0),"")</f>
        <v/>
      </c>
      <c r="AJN671" t="str">
        <f>IFERROR(VLOOKUP(AJO671,'[3]Raw material  (3)'!AJM653:AKE3729,3,0),"")</f>
        <v/>
      </c>
      <c r="AJO671" t="str">
        <f>IFERROR(VLOOKUP(AJP671,'[3]Raw material  (3)'!AJN653:AKF3729,3,0),"")</f>
        <v/>
      </c>
      <c r="AJP671" t="str">
        <f>IFERROR(VLOOKUP(AJQ671,'[3]Raw material  (3)'!AJO653:AKG3729,3,0),"")</f>
        <v/>
      </c>
      <c r="AJQ671" t="str">
        <f>IFERROR(VLOOKUP(AJR671,'[3]Raw material  (3)'!AJP653:AKH3729,3,0),"")</f>
        <v/>
      </c>
      <c r="AJR671" t="str">
        <f>IFERROR(VLOOKUP(AJS671,'[3]Raw material  (3)'!AJQ653:AKI3729,3,0),"")</f>
        <v/>
      </c>
      <c r="AJS671" t="str">
        <f>IFERROR(VLOOKUP(AJT671,'[3]Raw material  (3)'!AJR653:AKJ3729,3,0),"")</f>
        <v/>
      </c>
      <c r="AJT671" t="str">
        <f>IFERROR(VLOOKUP(AJU671,'[3]Raw material  (3)'!AJS653:AKK3729,3,0),"")</f>
        <v/>
      </c>
      <c r="AJU671" t="str">
        <f>IFERROR(VLOOKUP(AJV671,'[3]Raw material  (3)'!AJT653:AKL3729,3,0),"")</f>
        <v/>
      </c>
      <c r="AJV671" t="str">
        <f>IFERROR(VLOOKUP(AJW671,'[3]Raw material  (3)'!AJU653:AKM3729,3,0),"")</f>
        <v/>
      </c>
      <c r="AJW671" t="str">
        <f>IFERROR(VLOOKUP(AJX671,'[3]Raw material  (3)'!AJV653:AKN3729,3,0),"")</f>
        <v/>
      </c>
      <c r="AJX671" t="str">
        <f>IFERROR(VLOOKUP(AJY671,'[3]Raw material  (3)'!AJW653:AKO3729,3,0),"")</f>
        <v/>
      </c>
      <c r="AJY671" t="str">
        <f>IFERROR(VLOOKUP(AJZ671,'[3]Raw material  (3)'!AJX653:AKP3729,3,0),"")</f>
        <v/>
      </c>
      <c r="AJZ671" t="str">
        <f>IFERROR(VLOOKUP(AKA671,'[3]Raw material  (3)'!AJY653:AKQ3729,3,0),"")</f>
        <v/>
      </c>
      <c r="AKA671" t="str">
        <f>IFERROR(VLOOKUP(AKB671,'[3]Raw material  (3)'!AJZ653:AKR3729,3,0),"")</f>
        <v/>
      </c>
      <c r="AKB671" t="str">
        <f>IFERROR(VLOOKUP(AKC671,'[3]Raw material  (3)'!AKA653:AKS3729,3,0),"")</f>
        <v/>
      </c>
      <c r="AKC671" t="str">
        <f>IFERROR(VLOOKUP(AKD671,'[3]Raw material  (3)'!AKB653:AKT3729,3,0),"")</f>
        <v/>
      </c>
      <c r="AKD671" t="str">
        <f>IFERROR(VLOOKUP(AKE671,'[3]Raw material  (3)'!AKC653:AKU3729,3,0),"")</f>
        <v/>
      </c>
      <c r="AKE671" t="str">
        <f>IFERROR(VLOOKUP(AKF671,'[3]Raw material  (3)'!AKD653:AKV3729,3,0),"")</f>
        <v/>
      </c>
      <c r="AKF671" t="str">
        <f>IFERROR(VLOOKUP(AKG671,'[3]Raw material  (3)'!AKE653:AKW3729,3,0),"")</f>
        <v/>
      </c>
      <c r="AKG671" t="str">
        <f>IFERROR(VLOOKUP(AKH671,'[3]Raw material  (3)'!AKF653:AKX3729,3,0),"")</f>
        <v/>
      </c>
      <c r="AKH671" t="str">
        <f>IFERROR(VLOOKUP(AKI671,'[3]Raw material  (3)'!AKG653:AKY3729,3,0),"")</f>
        <v/>
      </c>
      <c r="AKI671" t="str">
        <f>IFERROR(VLOOKUP(AKJ671,'[3]Raw material  (3)'!AKH653:AKZ3729,3,0),"")</f>
        <v/>
      </c>
      <c r="AKJ671" t="str">
        <f>IFERROR(VLOOKUP(AKK671,'[3]Raw material  (3)'!AKI653:ALA3729,3,0),"")</f>
        <v/>
      </c>
      <c r="AKK671" t="str">
        <f>IFERROR(VLOOKUP(AKL671,'[3]Raw material  (3)'!AKJ653:ALB3729,3,0),"")</f>
        <v/>
      </c>
      <c r="AKL671" t="str">
        <f>IFERROR(VLOOKUP(AKM671,'[3]Raw material  (3)'!AKK653:ALC3729,3,0),"")</f>
        <v/>
      </c>
      <c r="AKM671" t="str">
        <f>IFERROR(VLOOKUP(AKN671,'[3]Raw material  (3)'!AKL653:ALD3729,3,0),"")</f>
        <v/>
      </c>
      <c r="AKN671" t="str">
        <f>IFERROR(VLOOKUP(AKO671,'[3]Raw material  (3)'!AKM653:ALE3729,3,0),"")</f>
        <v/>
      </c>
      <c r="AKO671" t="str">
        <f>IFERROR(VLOOKUP(AKP671,'[3]Raw material  (3)'!AKN653:ALF3729,3,0),"")</f>
        <v/>
      </c>
      <c r="AKP671" t="str">
        <f>IFERROR(VLOOKUP(AKQ671,'[3]Raw material  (3)'!AKO653:ALG3729,3,0),"")</f>
        <v/>
      </c>
      <c r="AKQ671" t="str">
        <f>IFERROR(VLOOKUP(AKR671,'[3]Raw material  (3)'!AKP653:ALH3729,3,0),"")</f>
        <v/>
      </c>
      <c r="AKR671" t="str">
        <f>IFERROR(VLOOKUP(AKS671,'[3]Raw material  (3)'!AKQ653:ALI3729,3,0),"")</f>
        <v/>
      </c>
      <c r="AKS671" t="str">
        <f>IFERROR(VLOOKUP(AKT671,'[3]Raw material  (3)'!AKR653:ALJ3729,3,0),"")</f>
        <v/>
      </c>
      <c r="AKT671" t="str">
        <f>IFERROR(VLOOKUP(AKU671,'[3]Raw material  (3)'!AKS653:ALK3729,3,0),"")</f>
        <v/>
      </c>
      <c r="AKU671" t="str">
        <f>IFERROR(VLOOKUP(AKV671,'[3]Raw material  (3)'!AKT653:ALL3729,3,0),"")</f>
        <v/>
      </c>
      <c r="AKV671" t="str">
        <f>IFERROR(VLOOKUP(AKW671,'[3]Raw material  (3)'!AKU653:ALM3729,3,0),"")</f>
        <v/>
      </c>
      <c r="AKW671" t="str">
        <f>IFERROR(VLOOKUP(AKX671,'[3]Raw material  (3)'!AKV653:ALN3729,3,0),"")</f>
        <v/>
      </c>
      <c r="AKX671" t="str">
        <f>IFERROR(VLOOKUP(AKY671,'[3]Raw material  (3)'!AKW653:ALO3729,3,0),"")</f>
        <v/>
      </c>
      <c r="AKY671" t="str">
        <f>IFERROR(VLOOKUP(AKZ671,'[3]Raw material  (3)'!AKX653:ALP3729,3,0),"")</f>
        <v/>
      </c>
      <c r="AKZ671" t="str">
        <f>IFERROR(VLOOKUP(ALA671,'[3]Raw material  (3)'!AKY653:ALQ3729,3,0),"")</f>
        <v/>
      </c>
      <c r="ALA671" t="str">
        <f>IFERROR(VLOOKUP(ALB671,'[3]Raw material  (3)'!AKZ653:ALR3729,3,0),"")</f>
        <v/>
      </c>
      <c r="ALB671" t="str">
        <f>IFERROR(VLOOKUP(ALC671,'[3]Raw material  (3)'!ALA653:ALS3729,3,0),"")</f>
        <v/>
      </c>
      <c r="ALC671" t="str">
        <f>IFERROR(VLOOKUP(ALD671,'[3]Raw material  (3)'!ALB653:ALT3729,3,0),"")</f>
        <v/>
      </c>
      <c r="ALD671" t="str">
        <f>IFERROR(VLOOKUP(ALE671,'[3]Raw material  (3)'!ALC653:ALU3729,3,0),"")</f>
        <v/>
      </c>
      <c r="ALE671" t="str">
        <f>IFERROR(VLOOKUP(ALF671,'[3]Raw material  (3)'!ALD653:ALV3729,3,0),"")</f>
        <v/>
      </c>
      <c r="ALF671" t="str">
        <f>IFERROR(VLOOKUP(ALG671,'[3]Raw material  (3)'!ALE653:ALW3729,3,0),"")</f>
        <v/>
      </c>
      <c r="ALG671" t="str">
        <f>IFERROR(VLOOKUP(ALH671,'[3]Raw material  (3)'!ALF653:ALX3729,3,0),"")</f>
        <v/>
      </c>
      <c r="ALH671" t="str">
        <f>IFERROR(VLOOKUP(ALI671,'[3]Raw material  (3)'!ALG653:ALY3729,3,0),"")</f>
        <v/>
      </c>
      <c r="ALI671" t="str">
        <f>IFERROR(VLOOKUP(ALJ671,'[3]Raw material  (3)'!ALH653:ALZ3729,3,0),"")</f>
        <v/>
      </c>
      <c r="ALJ671" t="str">
        <f>IFERROR(VLOOKUP(ALK671,'[3]Raw material  (3)'!ALI653:AMA3729,3,0),"")</f>
        <v/>
      </c>
      <c r="ALK671" t="str">
        <f>IFERROR(VLOOKUP(ALL671,'[3]Raw material  (3)'!ALJ653:AMB3729,3,0),"")</f>
        <v/>
      </c>
      <c r="ALL671" t="str">
        <f>IFERROR(VLOOKUP(ALM671,'[3]Raw material  (3)'!ALK653:AMC3729,3,0),"")</f>
        <v/>
      </c>
      <c r="ALM671" t="str">
        <f>IFERROR(VLOOKUP(ALN671,'[3]Raw material  (3)'!ALL653:AMD3729,3,0),"")</f>
        <v/>
      </c>
      <c r="ALN671" t="str">
        <f>IFERROR(VLOOKUP(ALO671,'[3]Raw material  (3)'!ALM653:AME3729,3,0),"")</f>
        <v/>
      </c>
      <c r="ALO671" t="str">
        <f>IFERROR(VLOOKUP(ALP671,'[3]Raw material  (3)'!ALN653:AMF3729,3,0),"")</f>
        <v/>
      </c>
      <c r="ALP671" t="str">
        <f>IFERROR(VLOOKUP(ALQ671,'[3]Raw material  (3)'!ALO653:AMG3729,3,0),"")</f>
        <v/>
      </c>
      <c r="ALQ671" t="str">
        <f>IFERROR(VLOOKUP(ALR671,'[3]Raw material  (3)'!ALP653:AMH3729,3,0),"")</f>
        <v/>
      </c>
      <c r="ALR671" t="str">
        <f>IFERROR(VLOOKUP(ALS671,'[3]Raw material  (3)'!ALQ653:AMI3729,3,0),"")</f>
        <v/>
      </c>
      <c r="ALS671" t="str">
        <f>IFERROR(VLOOKUP(ALT671,'[3]Raw material  (3)'!ALR653:AMJ3729,3,0),"")</f>
        <v/>
      </c>
      <c r="ALT671" t="str">
        <f>IFERROR(VLOOKUP(ALU671,'[3]Raw material  (3)'!ALS653:AMK3729,3,0),"")</f>
        <v/>
      </c>
      <c r="ALU671" t="str">
        <f>IFERROR(VLOOKUP(ALV671,'[3]Raw material  (3)'!ALT653:AML3729,3,0),"")</f>
        <v/>
      </c>
      <c r="ALV671" t="str">
        <f>IFERROR(VLOOKUP(ALW671,'[3]Raw material  (3)'!ALU653:AMM3729,3,0),"")</f>
        <v/>
      </c>
      <c r="ALW671" t="str">
        <f>IFERROR(VLOOKUP(ALX671,'[3]Raw material  (3)'!ALV653:AMN3729,3,0),"")</f>
        <v/>
      </c>
      <c r="ALX671" t="str">
        <f>IFERROR(VLOOKUP(ALY671,'[3]Raw material  (3)'!ALW653:AMO3729,3,0),"")</f>
        <v/>
      </c>
      <c r="ALY671" t="str">
        <f>IFERROR(VLOOKUP(ALZ671,'[3]Raw material  (3)'!ALX653:AMP3729,3,0),"")</f>
        <v/>
      </c>
      <c r="ALZ671" t="str">
        <f>IFERROR(VLOOKUP(AMA671,'[3]Raw material  (3)'!ALY653:AMQ3729,3,0),"")</f>
        <v/>
      </c>
      <c r="AMA671" t="str">
        <f>IFERROR(VLOOKUP(AMB671,'[3]Raw material  (3)'!ALZ653:AMR3729,3,0),"")</f>
        <v/>
      </c>
      <c r="AMB671" t="str">
        <f>IFERROR(VLOOKUP(AMC671,'[3]Raw material  (3)'!AMA653:AMS3729,3,0),"")</f>
        <v/>
      </c>
      <c r="AMC671" t="str">
        <f>IFERROR(VLOOKUP(AMD671,'[3]Raw material  (3)'!AMB653:AMT3729,3,0),"")</f>
        <v/>
      </c>
      <c r="AMD671" t="str">
        <f>IFERROR(VLOOKUP(AME671,'[3]Raw material  (3)'!AMC653:AMU3729,3,0),"")</f>
        <v/>
      </c>
      <c r="AME671" t="str">
        <f>IFERROR(VLOOKUP(AMF671,'[3]Raw material  (3)'!AMD653:AMV3729,3,0),"")</f>
        <v/>
      </c>
      <c r="AMF671" t="str">
        <f>IFERROR(VLOOKUP(AMG671,'[3]Raw material  (3)'!AME653:AMW3729,3,0),"")</f>
        <v/>
      </c>
      <c r="AMG671" t="str">
        <f>IFERROR(VLOOKUP(AMH671,'[3]Raw material  (3)'!AMF653:AMX3729,3,0),"")</f>
        <v/>
      </c>
      <c r="AMH671" t="str">
        <f>IFERROR(VLOOKUP(AMI671,'[3]Raw material  (3)'!AMG653:AMY3729,3,0),"")</f>
        <v/>
      </c>
      <c r="AMI671" t="str">
        <f>IFERROR(VLOOKUP(AMJ671,'[3]Raw material  (3)'!AMH653:AMZ3729,3,0),"")</f>
        <v/>
      </c>
      <c r="AMJ671" t="str">
        <f>IFERROR(VLOOKUP(AMK671,'[3]Raw material  (3)'!AMI653:ANA3729,3,0),"")</f>
        <v/>
      </c>
      <c r="AMK671" t="str">
        <f>IFERROR(VLOOKUP(AML671,'[3]Raw material  (3)'!AMJ653:ANB3729,3,0),"")</f>
        <v/>
      </c>
      <c r="AML671" t="str">
        <f>IFERROR(VLOOKUP(AMM671,'[3]Raw material  (3)'!AMK653:ANC3729,3,0),"")</f>
        <v/>
      </c>
      <c r="AMM671" t="str">
        <f>IFERROR(VLOOKUP(AMN671,'[3]Raw material  (3)'!AML653:AND3729,3,0),"")</f>
        <v/>
      </c>
      <c r="AMN671" t="str">
        <f>IFERROR(VLOOKUP(AMO671,'[3]Raw material  (3)'!AMM653:ANE3729,3,0),"")</f>
        <v/>
      </c>
      <c r="AMO671" t="str">
        <f>IFERROR(VLOOKUP(AMP671,'[3]Raw material  (3)'!AMN653:ANF3729,3,0),"")</f>
        <v/>
      </c>
      <c r="AMP671" t="str">
        <f>IFERROR(VLOOKUP(AMQ671,'[3]Raw material  (3)'!AMO653:ANG3729,3,0),"")</f>
        <v/>
      </c>
      <c r="AMQ671" t="str">
        <f>IFERROR(VLOOKUP(AMR671,'[3]Raw material  (3)'!AMP653:ANH3729,3,0),"")</f>
        <v/>
      </c>
      <c r="AMR671" t="str">
        <f>IFERROR(VLOOKUP(AMS671,'[3]Raw material  (3)'!AMQ653:ANI3729,3,0),"")</f>
        <v/>
      </c>
      <c r="AMS671" t="str">
        <f>IFERROR(VLOOKUP(AMT671,'[3]Raw material  (3)'!AMR653:ANJ3729,3,0),"")</f>
        <v/>
      </c>
      <c r="AMT671" t="str">
        <f>IFERROR(VLOOKUP(AMU671,'[3]Raw material  (3)'!AMS653:ANK3729,3,0),"")</f>
        <v/>
      </c>
      <c r="AMU671" t="str">
        <f>IFERROR(VLOOKUP(AMV671,'[3]Raw material  (3)'!AMT653:ANL3729,3,0),"")</f>
        <v/>
      </c>
      <c r="AMV671" t="str">
        <f>IFERROR(VLOOKUP(AMW671,'[3]Raw material  (3)'!AMU653:ANM3729,3,0),"")</f>
        <v/>
      </c>
      <c r="AMW671" t="str">
        <f>IFERROR(VLOOKUP(AMX671,'[3]Raw material  (3)'!AMV653:ANN3729,3,0),"")</f>
        <v/>
      </c>
      <c r="AMX671" t="str">
        <f>IFERROR(VLOOKUP(AMY671,'[3]Raw material  (3)'!AMW653:ANO3729,3,0),"")</f>
        <v/>
      </c>
      <c r="AMY671" t="str">
        <f>IFERROR(VLOOKUP(AMZ671,'[3]Raw material  (3)'!AMX653:ANP3729,3,0),"")</f>
        <v/>
      </c>
      <c r="AMZ671" t="str">
        <f>IFERROR(VLOOKUP(ANA671,'[3]Raw material  (3)'!AMY653:ANQ3729,3,0),"")</f>
        <v/>
      </c>
      <c r="ANA671" t="str">
        <f>IFERROR(VLOOKUP(ANB671,'[3]Raw material  (3)'!AMZ653:ANR3729,3,0),"")</f>
        <v/>
      </c>
      <c r="ANB671" t="str">
        <f>IFERROR(VLOOKUP(ANC671,'[3]Raw material  (3)'!ANA653:ANS3729,3,0),"")</f>
        <v/>
      </c>
      <c r="ANC671" t="str">
        <f>IFERROR(VLOOKUP(AND671,'[3]Raw material  (3)'!ANB653:ANT3729,3,0),"")</f>
        <v/>
      </c>
      <c r="AND671" t="str">
        <f>IFERROR(VLOOKUP(ANE671,'[3]Raw material  (3)'!ANC653:ANU3729,3,0),"")</f>
        <v/>
      </c>
      <c r="ANE671" t="str">
        <f>IFERROR(VLOOKUP(ANF671,'[3]Raw material  (3)'!AND653:ANV3729,3,0),"")</f>
        <v/>
      </c>
      <c r="ANF671" t="str">
        <f>IFERROR(VLOOKUP(ANG671,'[3]Raw material  (3)'!ANE653:ANW3729,3,0),"")</f>
        <v/>
      </c>
      <c r="ANG671" t="str">
        <f>IFERROR(VLOOKUP(ANH671,'[3]Raw material  (3)'!ANF653:ANX3729,3,0),"")</f>
        <v/>
      </c>
      <c r="ANH671" t="str">
        <f>IFERROR(VLOOKUP(ANI671,'[3]Raw material  (3)'!ANG653:ANY3729,3,0),"")</f>
        <v/>
      </c>
      <c r="ANI671" t="str">
        <f>IFERROR(VLOOKUP(ANJ671,'[3]Raw material  (3)'!ANH653:ANZ3729,3,0),"")</f>
        <v/>
      </c>
      <c r="ANJ671" t="str">
        <f>IFERROR(VLOOKUP(ANK671,'[3]Raw material  (3)'!ANI653:AOA3729,3,0),"")</f>
        <v/>
      </c>
      <c r="ANK671" t="str">
        <f>IFERROR(VLOOKUP(ANL671,'[3]Raw material  (3)'!ANJ653:AOB3729,3,0),"")</f>
        <v/>
      </c>
      <c r="ANL671" t="str">
        <f>IFERROR(VLOOKUP(ANM671,'[3]Raw material  (3)'!ANK653:AOC3729,3,0),"")</f>
        <v/>
      </c>
      <c r="ANM671" t="str">
        <f>IFERROR(VLOOKUP(ANN671,'[3]Raw material  (3)'!ANL653:AOD3729,3,0),"")</f>
        <v/>
      </c>
      <c r="ANN671" t="str">
        <f>IFERROR(VLOOKUP(ANO671,'[3]Raw material  (3)'!ANM653:AOE3729,3,0),"")</f>
        <v/>
      </c>
      <c r="ANO671" t="str">
        <f>IFERROR(VLOOKUP(ANP671,'[3]Raw material  (3)'!ANN653:AOF3729,3,0),"")</f>
        <v/>
      </c>
      <c r="ANP671" t="str">
        <f>IFERROR(VLOOKUP(ANQ671,'[3]Raw material  (3)'!ANO653:AOG3729,3,0),"")</f>
        <v/>
      </c>
      <c r="ANQ671" t="str">
        <f>IFERROR(VLOOKUP(ANR671,'[3]Raw material  (3)'!ANP653:AOH3729,3,0),"")</f>
        <v/>
      </c>
      <c r="ANR671" t="str">
        <f>IFERROR(VLOOKUP(ANS671,'[3]Raw material  (3)'!ANQ653:AOI3729,3,0),"")</f>
        <v/>
      </c>
      <c r="ANS671" t="str">
        <f>IFERROR(VLOOKUP(ANT671,'[3]Raw material  (3)'!ANR653:AOJ3729,3,0),"")</f>
        <v/>
      </c>
      <c r="ANT671" t="str">
        <f>IFERROR(VLOOKUP(ANU671,'[3]Raw material  (3)'!ANS653:AOK3729,3,0),"")</f>
        <v/>
      </c>
      <c r="ANU671" t="str">
        <f>IFERROR(VLOOKUP(ANV671,'[3]Raw material  (3)'!ANT653:AOL3729,3,0),"")</f>
        <v/>
      </c>
      <c r="ANV671" t="str">
        <f>IFERROR(VLOOKUP(ANW671,'[3]Raw material  (3)'!ANU653:AOM3729,3,0),"")</f>
        <v/>
      </c>
      <c r="ANW671" t="str">
        <f>IFERROR(VLOOKUP(ANX671,'[3]Raw material  (3)'!ANV653:AON3729,3,0),"")</f>
        <v/>
      </c>
      <c r="ANX671" t="str">
        <f>IFERROR(VLOOKUP(ANY671,'[3]Raw material  (3)'!ANW653:AOO3729,3,0),"")</f>
        <v/>
      </c>
      <c r="ANY671" t="str">
        <f>IFERROR(VLOOKUP(ANZ671,'[3]Raw material  (3)'!ANX653:AOP3729,3,0),"")</f>
        <v/>
      </c>
      <c r="ANZ671" t="str">
        <f>IFERROR(VLOOKUP(AOA671,'[3]Raw material  (3)'!ANY653:AOQ3729,3,0),"")</f>
        <v/>
      </c>
      <c r="AOA671" t="str">
        <f>IFERROR(VLOOKUP(AOB671,'[3]Raw material  (3)'!ANZ653:AOR3729,3,0),"")</f>
        <v/>
      </c>
      <c r="AOB671" t="str">
        <f>IFERROR(VLOOKUP(AOC671,'[3]Raw material  (3)'!AOA653:AOS3729,3,0),"")</f>
        <v/>
      </c>
      <c r="AOC671" t="str">
        <f>IFERROR(VLOOKUP(AOD671,'[3]Raw material  (3)'!AOB653:AOT3729,3,0),"")</f>
        <v/>
      </c>
      <c r="AOD671" t="str">
        <f>IFERROR(VLOOKUP(AOE671,'[3]Raw material  (3)'!AOC653:AOU3729,3,0),"")</f>
        <v/>
      </c>
      <c r="AOE671" t="str">
        <f>IFERROR(VLOOKUP(AOF671,'[3]Raw material  (3)'!AOD653:AOV3729,3,0),"")</f>
        <v/>
      </c>
      <c r="AOF671" t="str">
        <f>IFERROR(VLOOKUP(AOG671,'[3]Raw material  (3)'!AOE653:AOW3729,3,0),"")</f>
        <v/>
      </c>
      <c r="AOG671" t="str">
        <f>IFERROR(VLOOKUP(AOH671,'[3]Raw material  (3)'!AOF653:AOX3729,3,0),"")</f>
        <v/>
      </c>
      <c r="AOH671" t="str">
        <f>IFERROR(VLOOKUP(AOI671,'[3]Raw material  (3)'!AOG653:AOY3729,3,0),"")</f>
        <v/>
      </c>
      <c r="AOI671" t="str">
        <f>IFERROR(VLOOKUP(AOJ671,'[3]Raw material  (3)'!AOH653:AOZ3729,3,0),"")</f>
        <v/>
      </c>
      <c r="AOJ671" t="str">
        <f>IFERROR(VLOOKUP(AOK671,'[3]Raw material  (3)'!AOI653:APA3729,3,0),"")</f>
        <v/>
      </c>
      <c r="AOK671" t="str">
        <f>IFERROR(VLOOKUP(AOL671,'[3]Raw material  (3)'!AOJ653:APB3729,3,0),"")</f>
        <v/>
      </c>
      <c r="AOL671" t="str">
        <f>IFERROR(VLOOKUP(AOM671,'[3]Raw material  (3)'!AOK653:APC3729,3,0),"")</f>
        <v/>
      </c>
      <c r="AOM671" t="str">
        <f>IFERROR(VLOOKUP(AON671,'[3]Raw material  (3)'!AOL653:APD3729,3,0),"")</f>
        <v/>
      </c>
      <c r="AON671" t="str">
        <f>IFERROR(VLOOKUP(AOO671,'[3]Raw material  (3)'!AOM653:APE3729,3,0),"")</f>
        <v/>
      </c>
      <c r="AOO671" t="str">
        <f>IFERROR(VLOOKUP(AOP671,'[3]Raw material  (3)'!AON653:APF3729,3,0),"")</f>
        <v/>
      </c>
      <c r="AOP671" t="str">
        <f>IFERROR(VLOOKUP(AOQ671,'[3]Raw material  (3)'!AOO653:APG3729,3,0),"")</f>
        <v/>
      </c>
      <c r="AOQ671" t="str">
        <f>IFERROR(VLOOKUP(AOR671,'[3]Raw material  (3)'!AOP653:APH3729,3,0),"")</f>
        <v/>
      </c>
      <c r="AOR671" t="str">
        <f>IFERROR(VLOOKUP(AOS671,'[3]Raw material  (3)'!AOQ653:API3729,3,0),"")</f>
        <v/>
      </c>
      <c r="AOS671" t="str">
        <f>IFERROR(VLOOKUP(AOT671,'[3]Raw material  (3)'!AOR653:APJ3729,3,0),"")</f>
        <v/>
      </c>
      <c r="AOT671" t="str">
        <f>IFERROR(VLOOKUP(AOU671,'[3]Raw material  (3)'!AOS653:APK3729,3,0),"")</f>
        <v/>
      </c>
      <c r="AOU671" t="str">
        <f>IFERROR(VLOOKUP(AOV671,'[3]Raw material  (3)'!AOT653:APL3729,3,0),"")</f>
        <v/>
      </c>
      <c r="AOV671" t="str">
        <f>IFERROR(VLOOKUP(AOW671,'[3]Raw material  (3)'!AOU653:APM3729,3,0),"")</f>
        <v/>
      </c>
      <c r="AOW671" t="str">
        <f>IFERROR(VLOOKUP(AOX671,'[3]Raw material  (3)'!AOV653:APN3729,3,0),"")</f>
        <v/>
      </c>
      <c r="AOX671" t="str">
        <f>IFERROR(VLOOKUP(AOY671,'[3]Raw material  (3)'!AOW653:APO3729,3,0),"")</f>
        <v/>
      </c>
      <c r="AOY671" t="str">
        <f>IFERROR(VLOOKUP(AOZ671,'[3]Raw material  (3)'!AOX653:APP3729,3,0),"")</f>
        <v/>
      </c>
      <c r="AOZ671" t="str">
        <f>IFERROR(VLOOKUP(APA671,'[3]Raw material  (3)'!AOY653:APQ3729,3,0),"")</f>
        <v/>
      </c>
      <c r="APA671" t="str">
        <f>IFERROR(VLOOKUP(APB671,'[3]Raw material  (3)'!AOZ653:APR3729,3,0),"")</f>
        <v/>
      </c>
      <c r="APB671" t="str">
        <f>IFERROR(VLOOKUP(APC671,'[3]Raw material  (3)'!APA653:APS3729,3,0),"")</f>
        <v/>
      </c>
      <c r="APC671" t="str">
        <f>IFERROR(VLOOKUP(APD671,'[3]Raw material  (3)'!APB653:APT3729,3,0),"")</f>
        <v/>
      </c>
      <c r="APD671" t="str">
        <f>IFERROR(VLOOKUP(APE671,'[3]Raw material  (3)'!APC653:APU3729,3,0),"")</f>
        <v/>
      </c>
      <c r="APE671" t="str">
        <f>IFERROR(VLOOKUP(APF671,'[3]Raw material  (3)'!APD653:APV3729,3,0),"")</f>
        <v/>
      </c>
      <c r="APF671" t="str">
        <f>IFERROR(VLOOKUP(APG671,'[3]Raw material  (3)'!APE653:APW3729,3,0),"")</f>
        <v/>
      </c>
      <c r="APG671" t="str">
        <f>IFERROR(VLOOKUP(APH671,'[3]Raw material  (3)'!APF653:APX3729,3,0),"")</f>
        <v/>
      </c>
      <c r="APH671" t="str">
        <f>IFERROR(VLOOKUP(API671,'[3]Raw material  (3)'!APG653:APY3729,3,0),"")</f>
        <v/>
      </c>
      <c r="API671" t="str">
        <f>IFERROR(VLOOKUP(APJ671,'[3]Raw material  (3)'!APH653:APZ3729,3,0),"")</f>
        <v/>
      </c>
      <c r="APJ671" t="str">
        <f>IFERROR(VLOOKUP(APK671,'[3]Raw material  (3)'!API653:AQA3729,3,0),"")</f>
        <v/>
      </c>
      <c r="APK671" t="str">
        <f>IFERROR(VLOOKUP(APL671,'[3]Raw material  (3)'!APJ653:AQB3729,3,0),"")</f>
        <v/>
      </c>
      <c r="APL671" t="str">
        <f>IFERROR(VLOOKUP(APM671,'[3]Raw material  (3)'!APK653:AQC3729,3,0),"")</f>
        <v/>
      </c>
      <c r="APM671" t="str">
        <f>IFERROR(VLOOKUP(APN671,'[3]Raw material  (3)'!APL653:AQD3729,3,0),"")</f>
        <v/>
      </c>
      <c r="APN671" t="str">
        <f>IFERROR(VLOOKUP(APO671,'[3]Raw material  (3)'!APM653:AQE3729,3,0),"")</f>
        <v/>
      </c>
      <c r="APO671" t="str">
        <f>IFERROR(VLOOKUP(APP671,'[3]Raw material  (3)'!APN653:AQF3729,3,0),"")</f>
        <v/>
      </c>
      <c r="APP671" t="str">
        <f>IFERROR(VLOOKUP(APQ671,'[3]Raw material  (3)'!APO653:AQG3729,3,0),"")</f>
        <v/>
      </c>
      <c r="APQ671" t="str">
        <f>IFERROR(VLOOKUP(APR671,'[3]Raw material  (3)'!APP653:AQH3729,3,0),"")</f>
        <v/>
      </c>
      <c r="APR671" t="str">
        <f>IFERROR(VLOOKUP(APS671,'[3]Raw material  (3)'!APQ653:AQI3729,3,0),"")</f>
        <v/>
      </c>
      <c r="APS671" t="str">
        <f>IFERROR(VLOOKUP(APT671,'[3]Raw material  (3)'!APR653:AQJ3729,3,0),"")</f>
        <v/>
      </c>
      <c r="APT671" t="str">
        <f>IFERROR(VLOOKUP(APU671,'[3]Raw material  (3)'!APS653:AQK3729,3,0),"")</f>
        <v/>
      </c>
      <c r="APU671" t="str">
        <f>IFERROR(VLOOKUP(APV671,'[3]Raw material  (3)'!APT653:AQL3729,3,0),"")</f>
        <v/>
      </c>
      <c r="APV671" t="str">
        <f>IFERROR(VLOOKUP(APW671,'[3]Raw material  (3)'!APU653:AQM3729,3,0),"")</f>
        <v/>
      </c>
      <c r="APW671" t="str">
        <f>IFERROR(VLOOKUP(APX671,'[3]Raw material  (3)'!APV653:AQN3729,3,0),"")</f>
        <v/>
      </c>
      <c r="APX671" t="str">
        <f>IFERROR(VLOOKUP(APY671,'[3]Raw material  (3)'!APW653:AQO3729,3,0),"")</f>
        <v/>
      </c>
      <c r="APY671" t="str">
        <f>IFERROR(VLOOKUP(APZ671,'[3]Raw material  (3)'!APX653:AQP3729,3,0),"")</f>
        <v/>
      </c>
      <c r="APZ671" t="str">
        <f>IFERROR(VLOOKUP(AQA671,'[3]Raw material  (3)'!APY653:AQQ3729,3,0),"")</f>
        <v/>
      </c>
      <c r="AQA671" t="str">
        <f>IFERROR(VLOOKUP(AQB671,'[3]Raw material  (3)'!APZ653:AQR3729,3,0),"")</f>
        <v/>
      </c>
      <c r="AQB671" t="str">
        <f>IFERROR(VLOOKUP(AQC671,'[3]Raw material  (3)'!AQA653:AQS3729,3,0),"")</f>
        <v/>
      </c>
      <c r="AQC671" t="str">
        <f>IFERROR(VLOOKUP(AQD671,'[3]Raw material  (3)'!AQB653:AQT3729,3,0),"")</f>
        <v/>
      </c>
      <c r="AQD671" t="str">
        <f>IFERROR(VLOOKUP(AQE671,'[3]Raw material  (3)'!AQC653:AQU3729,3,0),"")</f>
        <v/>
      </c>
      <c r="AQE671" t="str">
        <f>IFERROR(VLOOKUP(AQF671,'[3]Raw material  (3)'!AQD653:AQV3729,3,0),"")</f>
        <v/>
      </c>
      <c r="AQF671" t="str">
        <f>IFERROR(VLOOKUP(AQG671,'[3]Raw material  (3)'!AQE653:AQW3729,3,0),"")</f>
        <v/>
      </c>
      <c r="AQG671" t="str">
        <f>IFERROR(VLOOKUP(AQH671,'[3]Raw material  (3)'!AQF653:AQX3729,3,0),"")</f>
        <v/>
      </c>
      <c r="AQH671" t="str">
        <f>IFERROR(VLOOKUP(AQI671,'[3]Raw material  (3)'!AQG653:AQY3729,3,0),"")</f>
        <v/>
      </c>
      <c r="AQI671" t="str">
        <f>IFERROR(VLOOKUP(AQJ671,'[3]Raw material  (3)'!AQH653:AQZ3729,3,0),"")</f>
        <v/>
      </c>
      <c r="AQJ671" t="str">
        <f>IFERROR(VLOOKUP(AQK671,'[3]Raw material  (3)'!AQI653:ARA3729,3,0),"")</f>
        <v/>
      </c>
      <c r="AQK671" t="str">
        <f>IFERROR(VLOOKUP(AQL671,'[3]Raw material  (3)'!AQJ653:ARB3729,3,0),"")</f>
        <v/>
      </c>
      <c r="AQL671" t="str">
        <f>IFERROR(VLOOKUP(AQM671,'[3]Raw material  (3)'!AQK653:ARC3729,3,0),"")</f>
        <v/>
      </c>
      <c r="AQM671" t="str">
        <f>IFERROR(VLOOKUP(AQN671,'[3]Raw material  (3)'!AQL653:ARD3729,3,0),"")</f>
        <v/>
      </c>
      <c r="AQN671" t="str">
        <f>IFERROR(VLOOKUP(AQO671,'[3]Raw material  (3)'!AQM653:ARE3729,3,0),"")</f>
        <v/>
      </c>
      <c r="AQO671" t="str">
        <f>IFERROR(VLOOKUP(AQP671,'[3]Raw material  (3)'!AQN653:ARF3729,3,0),"")</f>
        <v/>
      </c>
      <c r="AQP671" t="str">
        <f>IFERROR(VLOOKUP(AQQ671,'[3]Raw material  (3)'!AQO653:ARG3729,3,0),"")</f>
        <v/>
      </c>
      <c r="AQQ671" t="str">
        <f>IFERROR(VLOOKUP(AQR671,'[3]Raw material  (3)'!AQP653:ARH3729,3,0),"")</f>
        <v/>
      </c>
      <c r="AQR671" t="str">
        <f>IFERROR(VLOOKUP(AQS671,'[3]Raw material  (3)'!AQQ653:ARI3729,3,0),"")</f>
        <v/>
      </c>
      <c r="AQS671" t="str">
        <f>IFERROR(VLOOKUP(AQT671,'[3]Raw material  (3)'!AQR653:ARJ3729,3,0),"")</f>
        <v/>
      </c>
      <c r="AQT671" t="str">
        <f>IFERROR(VLOOKUP(AQU671,'[3]Raw material  (3)'!AQS653:ARK3729,3,0),"")</f>
        <v/>
      </c>
      <c r="AQU671" t="str">
        <f>IFERROR(VLOOKUP(AQV671,'[3]Raw material  (3)'!AQT653:ARL3729,3,0),"")</f>
        <v/>
      </c>
      <c r="AQV671" t="str">
        <f>IFERROR(VLOOKUP(AQW671,'[3]Raw material  (3)'!AQU653:ARM3729,3,0),"")</f>
        <v/>
      </c>
      <c r="AQW671" t="str">
        <f>IFERROR(VLOOKUP(AQX671,'[3]Raw material  (3)'!AQV653:ARN3729,3,0),"")</f>
        <v/>
      </c>
      <c r="AQX671" t="str">
        <f>IFERROR(VLOOKUP(AQY671,'[3]Raw material  (3)'!AQW653:ARO3729,3,0),"")</f>
        <v/>
      </c>
      <c r="AQY671" t="str">
        <f>IFERROR(VLOOKUP(AQZ671,'[3]Raw material  (3)'!AQX653:ARP3729,3,0),"")</f>
        <v/>
      </c>
      <c r="AQZ671" t="str">
        <f>IFERROR(VLOOKUP(ARA671,'[3]Raw material  (3)'!AQY653:ARQ3729,3,0),"")</f>
        <v/>
      </c>
      <c r="ARA671" t="str">
        <f>IFERROR(VLOOKUP(ARB671,'[3]Raw material  (3)'!AQZ653:ARR3729,3,0),"")</f>
        <v/>
      </c>
      <c r="ARB671" t="str">
        <f>IFERROR(VLOOKUP(ARC671,'[3]Raw material  (3)'!ARA653:ARS3729,3,0),"")</f>
        <v/>
      </c>
      <c r="ARC671" t="str">
        <f>IFERROR(VLOOKUP(ARD671,'[3]Raw material  (3)'!ARB653:ART3729,3,0),"")</f>
        <v/>
      </c>
      <c r="ARD671" t="str">
        <f>IFERROR(VLOOKUP(ARE671,'[3]Raw material  (3)'!ARC653:ARU3729,3,0),"")</f>
        <v/>
      </c>
      <c r="ARE671" t="str">
        <f>IFERROR(VLOOKUP(ARF671,'[3]Raw material  (3)'!ARD653:ARV3729,3,0),"")</f>
        <v/>
      </c>
      <c r="ARF671" t="str">
        <f>IFERROR(VLOOKUP(ARG671,'[3]Raw material  (3)'!ARE653:ARW3729,3,0),"")</f>
        <v/>
      </c>
      <c r="ARG671" t="str">
        <f>IFERROR(VLOOKUP(ARH671,'[3]Raw material  (3)'!ARF653:ARX3729,3,0),"")</f>
        <v/>
      </c>
      <c r="ARH671" t="str">
        <f>IFERROR(VLOOKUP(ARI671,'[3]Raw material  (3)'!ARG653:ARY3729,3,0),"")</f>
        <v/>
      </c>
      <c r="ARI671" t="str">
        <f>IFERROR(VLOOKUP(ARJ671,'[3]Raw material  (3)'!ARH653:ARZ3729,3,0),"")</f>
        <v/>
      </c>
      <c r="ARJ671" t="str">
        <f>IFERROR(VLOOKUP(ARK671,'[3]Raw material  (3)'!ARI653:ASA3729,3,0),"")</f>
        <v/>
      </c>
      <c r="ARK671" t="str">
        <f>IFERROR(VLOOKUP(ARL671,'[3]Raw material  (3)'!ARJ653:ASB3729,3,0),"")</f>
        <v/>
      </c>
      <c r="ARL671" t="str">
        <f>IFERROR(VLOOKUP(ARM671,'[3]Raw material  (3)'!ARK653:ASC3729,3,0),"")</f>
        <v/>
      </c>
      <c r="ARM671" t="str">
        <f>IFERROR(VLOOKUP(ARN671,'[3]Raw material  (3)'!ARL653:ASD3729,3,0),"")</f>
        <v/>
      </c>
      <c r="ARN671" t="str">
        <f>IFERROR(VLOOKUP(ARO671,'[3]Raw material  (3)'!ARM653:ASE3729,3,0),"")</f>
        <v/>
      </c>
      <c r="ARO671" t="str">
        <f>IFERROR(VLOOKUP(ARP671,'[3]Raw material  (3)'!ARN653:ASF3729,3,0),"")</f>
        <v/>
      </c>
      <c r="ARP671" t="str">
        <f>IFERROR(VLOOKUP(ARQ671,'[3]Raw material  (3)'!ARO653:ASG3729,3,0),"")</f>
        <v/>
      </c>
      <c r="ARQ671" t="str">
        <f>IFERROR(VLOOKUP(ARR671,'[3]Raw material  (3)'!ARP653:ASH3729,3,0),"")</f>
        <v/>
      </c>
      <c r="ARR671" t="str">
        <f>IFERROR(VLOOKUP(ARS671,'[3]Raw material  (3)'!ARQ653:ASI3729,3,0),"")</f>
        <v/>
      </c>
      <c r="ARS671" t="str">
        <f>IFERROR(VLOOKUP(ART671,'[3]Raw material  (3)'!ARR653:ASJ3729,3,0),"")</f>
        <v/>
      </c>
      <c r="ART671" t="str">
        <f>IFERROR(VLOOKUP(ARU671,'[3]Raw material  (3)'!ARS653:ASK3729,3,0),"")</f>
        <v/>
      </c>
      <c r="ARU671" t="str">
        <f>IFERROR(VLOOKUP(ARV671,'[3]Raw material  (3)'!ART653:ASL3729,3,0),"")</f>
        <v/>
      </c>
      <c r="ARV671" t="str">
        <f>IFERROR(VLOOKUP(ARW671,'[3]Raw material  (3)'!ARU653:ASM3729,3,0),"")</f>
        <v/>
      </c>
      <c r="ARW671" t="str">
        <f>IFERROR(VLOOKUP(ARX671,'[3]Raw material  (3)'!ARV653:ASN3729,3,0),"")</f>
        <v/>
      </c>
      <c r="ARX671" t="str">
        <f>IFERROR(VLOOKUP(ARY671,'[3]Raw material  (3)'!ARW653:ASO3729,3,0),"")</f>
        <v/>
      </c>
      <c r="ARY671" t="str">
        <f>IFERROR(VLOOKUP(ARZ671,'[3]Raw material  (3)'!ARX653:ASP3729,3,0),"")</f>
        <v/>
      </c>
      <c r="ARZ671" t="str">
        <f>IFERROR(VLOOKUP(ASA671,'[3]Raw material  (3)'!ARY653:ASQ3729,3,0),"")</f>
        <v/>
      </c>
      <c r="ASA671" t="str">
        <f>IFERROR(VLOOKUP(ASB671,'[3]Raw material  (3)'!ARZ653:ASR3729,3,0),"")</f>
        <v/>
      </c>
      <c r="ASB671" t="str">
        <f>IFERROR(VLOOKUP(ASC671,'[3]Raw material  (3)'!ASA653:ASS3729,3,0),"")</f>
        <v/>
      </c>
      <c r="ASC671" t="str">
        <f>IFERROR(VLOOKUP(ASD671,'[3]Raw material  (3)'!ASB653:AST3729,3,0),"")</f>
        <v/>
      </c>
      <c r="ASD671" t="str">
        <f>IFERROR(VLOOKUP(ASE671,'[3]Raw material  (3)'!ASC653:ASU3729,3,0),"")</f>
        <v/>
      </c>
      <c r="ASE671" t="str">
        <f>IFERROR(VLOOKUP(ASF671,'[3]Raw material  (3)'!ASD653:ASV3729,3,0),"")</f>
        <v/>
      </c>
      <c r="ASF671" t="str">
        <f>IFERROR(VLOOKUP(ASG671,'[3]Raw material  (3)'!ASE653:ASW3729,3,0),"")</f>
        <v/>
      </c>
      <c r="ASG671" t="str">
        <f>IFERROR(VLOOKUP(ASH671,'[3]Raw material  (3)'!ASF653:ASX3729,3,0),"")</f>
        <v/>
      </c>
      <c r="ASH671" t="str">
        <f>IFERROR(VLOOKUP(ASI671,'[3]Raw material  (3)'!ASG653:ASY3729,3,0),"")</f>
        <v/>
      </c>
      <c r="ASI671" t="str">
        <f>IFERROR(VLOOKUP(ASJ671,'[3]Raw material  (3)'!ASH653:ASZ3729,3,0),"")</f>
        <v/>
      </c>
      <c r="ASJ671" t="str">
        <f>IFERROR(VLOOKUP(ASK671,'[3]Raw material  (3)'!ASI653:ATA3729,3,0),"")</f>
        <v/>
      </c>
      <c r="ASK671" t="str">
        <f>IFERROR(VLOOKUP(ASL671,'[3]Raw material  (3)'!ASJ653:ATB3729,3,0),"")</f>
        <v/>
      </c>
      <c r="ASL671" t="str">
        <f>IFERROR(VLOOKUP(ASM671,'[3]Raw material  (3)'!ASK653:ATC3729,3,0),"")</f>
        <v/>
      </c>
      <c r="ASM671" t="str">
        <f>IFERROR(VLOOKUP(ASN671,'[3]Raw material  (3)'!ASL653:ATD3729,3,0),"")</f>
        <v/>
      </c>
      <c r="ASN671" t="str">
        <f>IFERROR(VLOOKUP(ASO671,'[3]Raw material  (3)'!ASM653:ATE3729,3,0),"")</f>
        <v/>
      </c>
      <c r="ASO671" t="str">
        <f>IFERROR(VLOOKUP(ASP671,'[3]Raw material  (3)'!ASN653:ATF3729,3,0),"")</f>
        <v/>
      </c>
      <c r="ASP671" t="str">
        <f>IFERROR(VLOOKUP(ASQ671,'[3]Raw material  (3)'!ASO653:ATG3729,3,0),"")</f>
        <v/>
      </c>
      <c r="ASQ671" t="str">
        <f>IFERROR(VLOOKUP(ASR671,'[3]Raw material  (3)'!ASP653:ATH3729,3,0),"")</f>
        <v/>
      </c>
      <c r="ASR671" t="str">
        <f>IFERROR(VLOOKUP(ASS671,'[3]Raw material  (3)'!ASQ653:ATI3729,3,0),"")</f>
        <v/>
      </c>
      <c r="ASS671" t="str">
        <f>IFERROR(VLOOKUP(AST671,'[3]Raw material  (3)'!ASR653:ATJ3729,3,0),"")</f>
        <v/>
      </c>
      <c r="AST671" t="str">
        <f>IFERROR(VLOOKUP(ASU671,'[3]Raw material  (3)'!ASS653:ATK3729,3,0),"")</f>
        <v/>
      </c>
      <c r="ASU671" t="str">
        <f>IFERROR(VLOOKUP(ASV671,'[3]Raw material  (3)'!AST653:ATL3729,3,0),"")</f>
        <v/>
      </c>
      <c r="ASV671" t="str">
        <f>IFERROR(VLOOKUP(ASW671,'[3]Raw material  (3)'!ASU653:ATM3729,3,0),"")</f>
        <v/>
      </c>
      <c r="ASW671" t="str">
        <f>IFERROR(VLOOKUP(ASX671,'[3]Raw material  (3)'!ASV653:ATN3729,3,0),"")</f>
        <v/>
      </c>
      <c r="ASX671" t="str">
        <f>IFERROR(VLOOKUP(ASY671,'[3]Raw material  (3)'!ASW653:ATO3729,3,0),"")</f>
        <v/>
      </c>
      <c r="ASY671" t="str">
        <f>IFERROR(VLOOKUP(ASZ671,'[3]Raw material  (3)'!ASX653:ATP3729,3,0),"")</f>
        <v/>
      </c>
      <c r="ASZ671" t="str">
        <f>IFERROR(VLOOKUP(ATA671,'[3]Raw material  (3)'!ASY653:ATQ3729,3,0),"")</f>
        <v/>
      </c>
      <c r="ATA671" t="str">
        <f>IFERROR(VLOOKUP(ATB671,'[3]Raw material  (3)'!ASZ653:ATR3729,3,0),"")</f>
        <v/>
      </c>
      <c r="ATB671" t="str">
        <f>IFERROR(VLOOKUP(ATC671,'[3]Raw material  (3)'!ATA653:ATS3729,3,0),"")</f>
        <v/>
      </c>
      <c r="ATC671" t="str">
        <f>IFERROR(VLOOKUP(ATD671,'[3]Raw material  (3)'!ATB653:ATT3729,3,0),"")</f>
        <v/>
      </c>
      <c r="ATD671" t="str">
        <f>IFERROR(VLOOKUP(ATE671,'[3]Raw material  (3)'!ATC653:ATU3729,3,0),"")</f>
        <v/>
      </c>
      <c r="ATE671" t="str">
        <f>IFERROR(VLOOKUP(ATF671,'[3]Raw material  (3)'!ATD653:ATV3729,3,0),"")</f>
        <v/>
      </c>
      <c r="ATF671" t="str">
        <f>IFERROR(VLOOKUP(ATG671,'[3]Raw material  (3)'!ATE653:ATW3729,3,0),"")</f>
        <v/>
      </c>
      <c r="ATG671" t="str">
        <f>IFERROR(VLOOKUP(ATH671,'[3]Raw material  (3)'!ATF653:ATX3729,3,0),"")</f>
        <v/>
      </c>
      <c r="ATH671" t="str">
        <f>IFERROR(VLOOKUP(ATI671,'[3]Raw material  (3)'!ATG653:ATY3729,3,0),"")</f>
        <v/>
      </c>
      <c r="ATI671" t="str">
        <f>IFERROR(VLOOKUP(ATJ671,'[3]Raw material  (3)'!ATH653:ATZ3729,3,0),"")</f>
        <v/>
      </c>
      <c r="ATJ671" t="str">
        <f>IFERROR(VLOOKUP(ATK671,'[3]Raw material  (3)'!ATI653:AUA3729,3,0),"")</f>
        <v/>
      </c>
      <c r="ATK671" t="str">
        <f>IFERROR(VLOOKUP(ATL671,'[3]Raw material  (3)'!ATJ653:AUB3729,3,0),"")</f>
        <v/>
      </c>
      <c r="ATL671" t="str">
        <f>IFERROR(VLOOKUP(ATM671,'[3]Raw material  (3)'!ATK653:AUC3729,3,0),"")</f>
        <v/>
      </c>
      <c r="ATM671" t="str">
        <f>IFERROR(VLOOKUP(ATN671,'[3]Raw material  (3)'!ATL653:AUD3729,3,0),"")</f>
        <v/>
      </c>
      <c r="ATN671" t="str">
        <f>IFERROR(VLOOKUP(ATO671,'[3]Raw material  (3)'!ATM653:AUE3729,3,0),"")</f>
        <v/>
      </c>
      <c r="ATO671" t="str">
        <f>IFERROR(VLOOKUP(ATP671,'[3]Raw material  (3)'!ATN653:AUF3729,3,0),"")</f>
        <v/>
      </c>
      <c r="ATP671" t="str">
        <f>IFERROR(VLOOKUP(ATQ671,'[3]Raw material  (3)'!ATO653:AUG3729,3,0),"")</f>
        <v/>
      </c>
      <c r="ATQ671" t="str">
        <f>IFERROR(VLOOKUP(ATR671,'[3]Raw material  (3)'!ATP653:AUH3729,3,0),"")</f>
        <v/>
      </c>
      <c r="ATR671" t="str">
        <f>IFERROR(VLOOKUP(ATS671,'[3]Raw material  (3)'!ATQ653:AUI3729,3,0),"")</f>
        <v/>
      </c>
      <c r="ATS671" t="str">
        <f>IFERROR(VLOOKUP(ATT671,'[3]Raw material  (3)'!ATR653:AUJ3729,3,0),"")</f>
        <v/>
      </c>
      <c r="ATT671" t="str">
        <f>IFERROR(VLOOKUP(ATU671,'[3]Raw material  (3)'!ATS653:AUK3729,3,0),"")</f>
        <v/>
      </c>
      <c r="ATU671" t="str">
        <f>IFERROR(VLOOKUP(ATV671,'[3]Raw material  (3)'!ATT653:AUL3729,3,0),"")</f>
        <v/>
      </c>
      <c r="ATV671" t="str">
        <f>IFERROR(VLOOKUP(ATW671,'[3]Raw material  (3)'!ATU653:AUM3729,3,0),"")</f>
        <v/>
      </c>
      <c r="ATW671" t="str">
        <f>IFERROR(VLOOKUP(ATX671,'[3]Raw material  (3)'!ATV653:AUN3729,3,0),"")</f>
        <v/>
      </c>
      <c r="ATX671" t="str">
        <f>IFERROR(VLOOKUP(ATY671,'[3]Raw material  (3)'!ATW653:AUO3729,3,0),"")</f>
        <v/>
      </c>
      <c r="ATY671" t="str">
        <f>IFERROR(VLOOKUP(ATZ671,'[3]Raw material  (3)'!ATX653:AUP3729,3,0),"")</f>
        <v/>
      </c>
      <c r="ATZ671" t="str">
        <f>IFERROR(VLOOKUP(AUA671,'[3]Raw material  (3)'!ATY653:AUQ3729,3,0),"")</f>
        <v/>
      </c>
      <c r="AUA671" t="str">
        <f>IFERROR(VLOOKUP(AUB671,'[3]Raw material  (3)'!ATZ653:AUR3729,3,0),"")</f>
        <v/>
      </c>
      <c r="AUB671" t="str">
        <f>IFERROR(VLOOKUP(AUC671,'[3]Raw material  (3)'!AUA653:AUS3729,3,0),"")</f>
        <v/>
      </c>
      <c r="AUC671" t="str">
        <f>IFERROR(VLOOKUP(AUD671,'[3]Raw material  (3)'!AUB653:AUT3729,3,0),"")</f>
        <v/>
      </c>
      <c r="AUD671" t="str">
        <f>IFERROR(VLOOKUP(AUE671,'[3]Raw material  (3)'!AUC653:AUU3729,3,0),"")</f>
        <v/>
      </c>
      <c r="AUE671" t="str">
        <f>IFERROR(VLOOKUP(AUF671,'[3]Raw material  (3)'!AUD653:AUV3729,3,0),"")</f>
        <v/>
      </c>
      <c r="AUF671" t="str">
        <f>IFERROR(VLOOKUP(AUG671,'[3]Raw material  (3)'!AUE653:AUW3729,3,0),"")</f>
        <v/>
      </c>
      <c r="AUG671" t="str">
        <f>IFERROR(VLOOKUP(AUH671,'[3]Raw material  (3)'!AUF653:AUX3729,3,0),"")</f>
        <v/>
      </c>
      <c r="AUH671" t="str">
        <f>IFERROR(VLOOKUP(AUI671,'[3]Raw material  (3)'!AUG653:AUY3729,3,0),"")</f>
        <v/>
      </c>
      <c r="AUI671" t="str">
        <f>IFERROR(VLOOKUP(AUJ671,'[3]Raw material  (3)'!AUH653:AUZ3729,3,0),"")</f>
        <v/>
      </c>
      <c r="AUJ671" t="str">
        <f>IFERROR(VLOOKUP(AUK671,'[3]Raw material  (3)'!AUI653:AVA3729,3,0),"")</f>
        <v/>
      </c>
      <c r="AUK671" t="str">
        <f>IFERROR(VLOOKUP(AUL671,'[3]Raw material  (3)'!AUJ653:AVB3729,3,0),"")</f>
        <v/>
      </c>
      <c r="AUL671" t="str">
        <f>IFERROR(VLOOKUP(AUM671,'[3]Raw material  (3)'!AUK653:AVC3729,3,0),"")</f>
        <v/>
      </c>
      <c r="AUM671" t="str">
        <f>IFERROR(VLOOKUP(AUN671,'[3]Raw material  (3)'!AUL653:AVD3729,3,0),"")</f>
        <v/>
      </c>
      <c r="AUN671" t="str">
        <f>IFERROR(VLOOKUP(AUO671,'[3]Raw material  (3)'!AUM653:AVE3729,3,0),"")</f>
        <v/>
      </c>
      <c r="AUO671" t="str">
        <f>IFERROR(VLOOKUP(AUP671,'[3]Raw material  (3)'!AUN653:AVF3729,3,0),"")</f>
        <v/>
      </c>
      <c r="AUP671" t="str">
        <f>IFERROR(VLOOKUP(AUQ671,'[3]Raw material  (3)'!AUO653:AVG3729,3,0),"")</f>
        <v/>
      </c>
      <c r="AUQ671" t="str">
        <f>IFERROR(VLOOKUP(AUR671,'[3]Raw material  (3)'!AUP653:AVH3729,3,0),"")</f>
        <v/>
      </c>
      <c r="AUR671" t="str">
        <f>IFERROR(VLOOKUP(AUS671,'[3]Raw material  (3)'!AUQ653:AVI3729,3,0),"")</f>
        <v/>
      </c>
      <c r="AUS671" t="str">
        <f>IFERROR(VLOOKUP(AUT671,'[3]Raw material  (3)'!AUR653:AVJ3729,3,0),"")</f>
        <v/>
      </c>
      <c r="AUT671" t="str">
        <f>IFERROR(VLOOKUP(AUU671,'[3]Raw material  (3)'!AUS653:AVK3729,3,0),"")</f>
        <v/>
      </c>
      <c r="AUU671" t="str">
        <f>IFERROR(VLOOKUP(AUV671,'[3]Raw material  (3)'!AUT653:AVL3729,3,0),"")</f>
        <v/>
      </c>
      <c r="AUV671" t="str">
        <f>IFERROR(VLOOKUP(AUW671,'[3]Raw material  (3)'!AUU653:AVM3729,3,0),"")</f>
        <v/>
      </c>
      <c r="AUW671" t="str">
        <f>IFERROR(VLOOKUP(AUX671,'[3]Raw material  (3)'!AUV653:AVN3729,3,0),"")</f>
        <v/>
      </c>
      <c r="AUX671" t="str">
        <f>IFERROR(VLOOKUP(AUY671,'[3]Raw material  (3)'!AUW653:AVO3729,3,0),"")</f>
        <v/>
      </c>
      <c r="AUY671" t="str">
        <f>IFERROR(VLOOKUP(AUZ671,'[3]Raw material  (3)'!AUX653:AVP3729,3,0),"")</f>
        <v/>
      </c>
      <c r="AUZ671" t="str">
        <f>IFERROR(VLOOKUP(AVA671,'[3]Raw material  (3)'!AUY653:AVQ3729,3,0),"")</f>
        <v/>
      </c>
      <c r="AVA671" t="str">
        <f>IFERROR(VLOOKUP(AVB671,'[3]Raw material  (3)'!AUZ653:AVR3729,3,0),"")</f>
        <v/>
      </c>
      <c r="AVB671" t="str">
        <f>IFERROR(VLOOKUP(AVC671,'[3]Raw material  (3)'!AVA653:AVS3729,3,0),"")</f>
        <v/>
      </c>
      <c r="AVC671" t="str">
        <f>IFERROR(VLOOKUP(AVD671,'[3]Raw material  (3)'!AVB653:AVT3729,3,0),"")</f>
        <v/>
      </c>
      <c r="AVD671" t="str">
        <f>IFERROR(VLOOKUP(AVE671,'[3]Raw material  (3)'!AVC653:AVU3729,3,0),"")</f>
        <v/>
      </c>
      <c r="AVE671" t="str">
        <f>IFERROR(VLOOKUP(AVF671,'[3]Raw material  (3)'!AVD653:AVV3729,3,0),"")</f>
        <v/>
      </c>
      <c r="AVF671" t="str">
        <f>IFERROR(VLOOKUP(AVG671,'[3]Raw material  (3)'!AVE653:AVW3729,3,0),"")</f>
        <v/>
      </c>
      <c r="AVG671" t="str">
        <f>IFERROR(VLOOKUP(AVH671,'[3]Raw material  (3)'!AVF653:AVX3729,3,0),"")</f>
        <v/>
      </c>
      <c r="AVH671" t="str">
        <f>IFERROR(VLOOKUP(AVI671,'[3]Raw material  (3)'!AVG653:AVY3729,3,0),"")</f>
        <v/>
      </c>
      <c r="AVI671" t="str">
        <f>IFERROR(VLOOKUP(AVJ671,'[3]Raw material  (3)'!AVH653:AVZ3729,3,0),"")</f>
        <v/>
      </c>
      <c r="AVJ671" t="str">
        <f>IFERROR(VLOOKUP(AVK671,'[3]Raw material  (3)'!AVI653:AWA3729,3,0),"")</f>
        <v/>
      </c>
      <c r="AVK671" t="str">
        <f>IFERROR(VLOOKUP(AVL671,'[3]Raw material  (3)'!AVJ653:AWB3729,3,0),"")</f>
        <v/>
      </c>
      <c r="AVL671" t="str">
        <f>IFERROR(VLOOKUP(AVM671,'[3]Raw material  (3)'!AVK653:AWC3729,3,0),"")</f>
        <v/>
      </c>
      <c r="AVM671" t="str">
        <f>IFERROR(VLOOKUP(AVN671,'[3]Raw material  (3)'!AVL653:AWD3729,3,0),"")</f>
        <v/>
      </c>
      <c r="AVN671" t="str">
        <f>IFERROR(VLOOKUP(AVO671,'[3]Raw material  (3)'!AVM653:AWE3729,3,0),"")</f>
        <v/>
      </c>
      <c r="AVO671" t="str">
        <f>IFERROR(VLOOKUP(AVP671,'[3]Raw material  (3)'!AVN653:AWF3729,3,0),"")</f>
        <v/>
      </c>
      <c r="AVP671" t="str">
        <f>IFERROR(VLOOKUP(AVQ671,'[3]Raw material  (3)'!AVO653:AWG3729,3,0),"")</f>
        <v/>
      </c>
      <c r="AVQ671" t="str">
        <f>IFERROR(VLOOKUP(AVR671,'[3]Raw material  (3)'!AVP653:AWH3729,3,0),"")</f>
        <v/>
      </c>
      <c r="AVR671" t="str">
        <f>IFERROR(VLOOKUP(AVS671,'[3]Raw material  (3)'!AVQ653:AWI3729,3,0),"")</f>
        <v/>
      </c>
      <c r="AVS671" t="str">
        <f>IFERROR(VLOOKUP(AVT671,'[3]Raw material  (3)'!AVR653:AWJ3729,3,0),"")</f>
        <v/>
      </c>
      <c r="AVT671" t="str">
        <f>IFERROR(VLOOKUP(AVU671,'[3]Raw material  (3)'!AVS653:AWK3729,3,0),"")</f>
        <v/>
      </c>
      <c r="AVU671" t="str">
        <f>IFERROR(VLOOKUP(AVV671,'[3]Raw material  (3)'!AVT653:AWL3729,3,0),"")</f>
        <v/>
      </c>
      <c r="AVV671" t="str">
        <f>IFERROR(VLOOKUP(AVW671,'[3]Raw material  (3)'!AVU653:AWM3729,3,0),"")</f>
        <v/>
      </c>
      <c r="AVW671" t="str">
        <f>IFERROR(VLOOKUP(AVX671,'[3]Raw material  (3)'!AVV653:AWN3729,3,0),"")</f>
        <v/>
      </c>
      <c r="AVX671" t="str">
        <f>IFERROR(VLOOKUP(AVY671,'[3]Raw material  (3)'!AVW653:AWO3729,3,0),"")</f>
        <v/>
      </c>
      <c r="AVY671" t="str">
        <f>IFERROR(VLOOKUP(AVZ671,'[3]Raw material  (3)'!AVX653:AWP3729,3,0),"")</f>
        <v/>
      </c>
      <c r="AVZ671" t="str">
        <f>IFERROR(VLOOKUP(AWA671,'[3]Raw material  (3)'!AVY653:AWQ3729,3,0),"")</f>
        <v/>
      </c>
      <c r="AWA671" t="str">
        <f>IFERROR(VLOOKUP(AWB671,'[3]Raw material  (3)'!AVZ653:AWR3729,3,0),"")</f>
        <v/>
      </c>
      <c r="AWB671" t="str">
        <f>IFERROR(VLOOKUP(AWC671,'[3]Raw material  (3)'!AWA653:AWS3729,3,0),"")</f>
        <v/>
      </c>
      <c r="AWC671" t="str">
        <f>IFERROR(VLOOKUP(AWD671,'[3]Raw material  (3)'!AWB653:AWT3729,3,0),"")</f>
        <v/>
      </c>
      <c r="AWD671" t="str">
        <f>IFERROR(VLOOKUP(AWE671,'[3]Raw material  (3)'!AWC653:AWU3729,3,0),"")</f>
        <v/>
      </c>
      <c r="AWE671" t="str">
        <f>IFERROR(VLOOKUP(AWF671,'[3]Raw material  (3)'!AWD653:AWV3729,3,0),"")</f>
        <v/>
      </c>
      <c r="AWF671" t="str">
        <f>IFERROR(VLOOKUP(AWG671,'[3]Raw material  (3)'!AWE653:AWW3729,3,0),"")</f>
        <v/>
      </c>
      <c r="AWG671" t="str">
        <f>IFERROR(VLOOKUP(AWH671,'[3]Raw material  (3)'!AWF653:AWX3729,3,0),"")</f>
        <v/>
      </c>
      <c r="AWH671" t="str">
        <f>IFERROR(VLOOKUP(AWI671,'[3]Raw material  (3)'!AWG653:AWY3729,3,0),"")</f>
        <v/>
      </c>
      <c r="AWI671" t="str">
        <f>IFERROR(VLOOKUP(AWJ671,'[3]Raw material  (3)'!AWH653:AWZ3729,3,0),"")</f>
        <v/>
      </c>
      <c r="AWJ671" t="str">
        <f>IFERROR(VLOOKUP(AWK671,'[3]Raw material  (3)'!AWI653:AXA3729,3,0),"")</f>
        <v/>
      </c>
      <c r="AWK671" t="str">
        <f>IFERROR(VLOOKUP(AWL671,'[3]Raw material  (3)'!AWJ653:AXB3729,3,0),"")</f>
        <v/>
      </c>
      <c r="AWL671" t="str">
        <f>IFERROR(VLOOKUP(AWM671,'[3]Raw material  (3)'!AWK653:AXC3729,3,0),"")</f>
        <v/>
      </c>
      <c r="AWM671" t="str">
        <f>IFERROR(VLOOKUP(AWN671,'[3]Raw material  (3)'!AWL653:AXD3729,3,0),"")</f>
        <v/>
      </c>
      <c r="AWN671" t="str">
        <f>IFERROR(VLOOKUP(AWO671,'[3]Raw material  (3)'!AWM653:AXE3729,3,0),"")</f>
        <v/>
      </c>
      <c r="AWO671" t="str">
        <f>IFERROR(VLOOKUP(AWP671,'[3]Raw material  (3)'!AWN653:AXF3729,3,0),"")</f>
        <v/>
      </c>
      <c r="AWP671" t="str">
        <f>IFERROR(VLOOKUP(AWQ671,'[3]Raw material  (3)'!AWO653:AXG3729,3,0),"")</f>
        <v/>
      </c>
      <c r="AWQ671" t="str">
        <f>IFERROR(VLOOKUP(AWR671,'[3]Raw material  (3)'!AWP653:AXH3729,3,0),"")</f>
        <v/>
      </c>
      <c r="AWR671" t="str">
        <f>IFERROR(VLOOKUP(AWS671,'[3]Raw material  (3)'!AWQ653:AXI3729,3,0),"")</f>
        <v/>
      </c>
      <c r="AWS671" t="str">
        <f>IFERROR(VLOOKUP(AWT671,'[3]Raw material  (3)'!AWR653:AXJ3729,3,0),"")</f>
        <v/>
      </c>
      <c r="AWT671" t="str">
        <f>IFERROR(VLOOKUP(AWU671,'[3]Raw material  (3)'!AWS653:AXK3729,3,0),"")</f>
        <v/>
      </c>
      <c r="AWU671" t="str">
        <f>IFERROR(VLOOKUP(AWV671,'[3]Raw material  (3)'!AWT653:AXL3729,3,0),"")</f>
        <v/>
      </c>
      <c r="AWV671" t="str">
        <f>IFERROR(VLOOKUP(AWW671,'[3]Raw material  (3)'!AWU653:AXM3729,3,0),"")</f>
        <v/>
      </c>
      <c r="AWW671" t="str">
        <f>IFERROR(VLOOKUP(AWX671,'[3]Raw material  (3)'!AWV653:AXN3729,3,0),"")</f>
        <v/>
      </c>
      <c r="AWX671" t="str">
        <f>IFERROR(VLOOKUP(AWY671,'[3]Raw material  (3)'!AWW653:AXO3729,3,0),"")</f>
        <v/>
      </c>
      <c r="AWY671" t="str">
        <f>IFERROR(VLOOKUP(AWZ671,'[3]Raw material  (3)'!AWX653:AXP3729,3,0),"")</f>
        <v/>
      </c>
      <c r="AWZ671" t="str">
        <f>IFERROR(VLOOKUP(AXA671,'[3]Raw material  (3)'!AWY653:AXQ3729,3,0),"")</f>
        <v/>
      </c>
      <c r="AXA671" t="str">
        <f>IFERROR(VLOOKUP(AXB671,'[3]Raw material  (3)'!AWZ653:AXR3729,3,0),"")</f>
        <v/>
      </c>
      <c r="AXB671" t="str">
        <f>IFERROR(VLOOKUP(AXC671,'[3]Raw material  (3)'!AXA653:AXS3729,3,0),"")</f>
        <v/>
      </c>
      <c r="AXC671" t="str">
        <f>IFERROR(VLOOKUP(AXD671,'[3]Raw material  (3)'!AXB653:AXT3729,3,0),"")</f>
        <v/>
      </c>
      <c r="AXD671" t="str">
        <f>IFERROR(VLOOKUP(AXE671,'[3]Raw material  (3)'!AXC653:AXU3729,3,0),"")</f>
        <v/>
      </c>
      <c r="AXE671" t="str">
        <f>IFERROR(VLOOKUP(AXF671,'[3]Raw material  (3)'!AXD653:AXV3729,3,0),"")</f>
        <v/>
      </c>
      <c r="AXF671" t="str">
        <f>IFERROR(VLOOKUP(AXG671,'[3]Raw material  (3)'!AXE653:AXW3729,3,0),"")</f>
        <v/>
      </c>
      <c r="AXG671" t="str">
        <f>IFERROR(VLOOKUP(AXH671,'[3]Raw material  (3)'!AXF653:AXX3729,3,0),"")</f>
        <v/>
      </c>
      <c r="AXH671" t="str">
        <f>IFERROR(VLOOKUP(AXI671,'[3]Raw material  (3)'!AXG653:AXY3729,3,0),"")</f>
        <v/>
      </c>
      <c r="AXI671" t="str">
        <f>IFERROR(VLOOKUP(AXJ671,'[3]Raw material  (3)'!AXH653:AXZ3729,3,0),"")</f>
        <v/>
      </c>
      <c r="AXJ671" t="str">
        <f>IFERROR(VLOOKUP(AXK671,'[3]Raw material  (3)'!AXI653:AYA3729,3,0),"")</f>
        <v/>
      </c>
      <c r="AXK671" t="str">
        <f>IFERROR(VLOOKUP(AXL671,'[3]Raw material  (3)'!AXJ653:AYB3729,3,0),"")</f>
        <v/>
      </c>
      <c r="AXL671" t="str">
        <f>IFERROR(VLOOKUP(AXM671,'[3]Raw material  (3)'!AXK653:AYC3729,3,0),"")</f>
        <v/>
      </c>
      <c r="AXM671" t="str">
        <f>IFERROR(VLOOKUP(AXN671,'[3]Raw material  (3)'!AXL653:AYD3729,3,0),"")</f>
        <v/>
      </c>
      <c r="AXN671" t="str">
        <f>IFERROR(VLOOKUP(AXO671,'[3]Raw material  (3)'!AXM653:AYE3729,3,0),"")</f>
        <v/>
      </c>
      <c r="AXO671" t="str">
        <f>IFERROR(VLOOKUP(AXP671,'[3]Raw material  (3)'!AXN653:AYF3729,3,0),"")</f>
        <v/>
      </c>
      <c r="AXP671" t="str">
        <f>IFERROR(VLOOKUP(AXQ671,'[3]Raw material  (3)'!AXO653:AYG3729,3,0),"")</f>
        <v/>
      </c>
      <c r="AXQ671" t="str">
        <f>IFERROR(VLOOKUP(AXR671,'[3]Raw material  (3)'!AXP653:AYH3729,3,0),"")</f>
        <v/>
      </c>
      <c r="AXR671" t="str">
        <f>IFERROR(VLOOKUP(AXS671,'[3]Raw material  (3)'!AXQ653:AYI3729,3,0),"")</f>
        <v/>
      </c>
      <c r="AXS671" t="str">
        <f>IFERROR(VLOOKUP(AXT671,'[3]Raw material  (3)'!AXR653:AYJ3729,3,0),"")</f>
        <v/>
      </c>
      <c r="AXT671" t="str">
        <f>IFERROR(VLOOKUP(AXU671,'[3]Raw material  (3)'!AXS653:AYK3729,3,0),"")</f>
        <v/>
      </c>
      <c r="AXU671" t="str">
        <f>IFERROR(VLOOKUP(AXV671,'[3]Raw material  (3)'!AXT653:AYL3729,3,0),"")</f>
        <v/>
      </c>
      <c r="AXV671" t="str">
        <f>IFERROR(VLOOKUP(AXW671,'[3]Raw material  (3)'!AXU653:AYM3729,3,0),"")</f>
        <v/>
      </c>
      <c r="AXW671" t="str">
        <f>IFERROR(VLOOKUP(AXX671,'[3]Raw material  (3)'!AXV653:AYN3729,3,0),"")</f>
        <v/>
      </c>
      <c r="AXX671" t="str">
        <f>IFERROR(VLOOKUP(AXY671,'[3]Raw material  (3)'!AXW653:AYO3729,3,0),"")</f>
        <v/>
      </c>
      <c r="AXY671" t="str">
        <f>IFERROR(VLOOKUP(AXZ671,'[3]Raw material  (3)'!AXX653:AYP3729,3,0),"")</f>
        <v/>
      </c>
      <c r="AXZ671" t="str">
        <f>IFERROR(VLOOKUP(AYA671,'[3]Raw material  (3)'!AXY653:AYQ3729,3,0),"")</f>
        <v/>
      </c>
      <c r="AYA671" t="str">
        <f>IFERROR(VLOOKUP(AYB671,'[3]Raw material  (3)'!AXZ653:AYR3729,3,0),"")</f>
        <v/>
      </c>
      <c r="AYB671" t="str">
        <f>IFERROR(VLOOKUP(AYC671,'[3]Raw material  (3)'!AYA653:AYS3729,3,0),"")</f>
        <v/>
      </c>
      <c r="AYC671" t="str">
        <f>IFERROR(VLOOKUP(AYD671,'[3]Raw material  (3)'!AYB653:AYT3729,3,0),"")</f>
        <v/>
      </c>
      <c r="AYD671" t="str">
        <f>IFERROR(VLOOKUP(AYE671,'[3]Raw material  (3)'!AYC653:AYU3729,3,0),"")</f>
        <v/>
      </c>
      <c r="AYE671" t="str">
        <f>IFERROR(VLOOKUP(AYF671,'[3]Raw material  (3)'!AYD653:AYV3729,3,0),"")</f>
        <v/>
      </c>
      <c r="AYF671" t="str">
        <f>IFERROR(VLOOKUP(AYG671,'[3]Raw material  (3)'!AYE653:AYW3729,3,0),"")</f>
        <v/>
      </c>
      <c r="AYG671" t="str">
        <f>IFERROR(VLOOKUP(AYH671,'[3]Raw material  (3)'!AYF653:AYX3729,3,0),"")</f>
        <v/>
      </c>
      <c r="AYH671" t="str">
        <f>IFERROR(VLOOKUP(AYI671,'[3]Raw material  (3)'!AYG653:AYY3729,3,0),"")</f>
        <v/>
      </c>
      <c r="AYI671" t="str">
        <f>IFERROR(VLOOKUP(AYJ671,'[3]Raw material  (3)'!AYH653:AYZ3729,3,0),"")</f>
        <v/>
      </c>
      <c r="AYJ671" t="str">
        <f>IFERROR(VLOOKUP(AYK671,'[3]Raw material  (3)'!AYI653:AZA3729,3,0),"")</f>
        <v/>
      </c>
      <c r="AYK671" t="str">
        <f>IFERROR(VLOOKUP(AYL671,'[3]Raw material  (3)'!AYJ653:AZB3729,3,0),"")</f>
        <v/>
      </c>
      <c r="AYL671" t="str">
        <f>IFERROR(VLOOKUP(AYM671,'[3]Raw material  (3)'!AYK653:AZC3729,3,0),"")</f>
        <v/>
      </c>
      <c r="AYM671" t="str">
        <f>IFERROR(VLOOKUP(AYN671,'[3]Raw material  (3)'!AYL653:AZD3729,3,0),"")</f>
        <v/>
      </c>
      <c r="AYN671" t="str">
        <f>IFERROR(VLOOKUP(AYO671,'[3]Raw material  (3)'!AYM653:AZE3729,3,0),"")</f>
        <v/>
      </c>
      <c r="AYO671" t="str">
        <f>IFERROR(VLOOKUP(AYP671,'[3]Raw material  (3)'!AYN653:AZF3729,3,0),"")</f>
        <v/>
      </c>
      <c r="AYP671" t="str">
        <f>IFERROR(VLOOKUP(AYQ671,'[3]Raw material  (3)'!AYO653:AZG3729,3,0),"")</f>
        <v/>
      </c>
      <c r="AYQ671" t="str">
        <f>IFERROR(VLOOKUP(AYR671,'[3]Raw material  (3)'!AYP653:AZH3729,3,0),"")</f>
        <v/>
      </c>
      <c r="AYR671" t="str">
        <f>IFERROR(VLOOKUP(AYS671,'[3]Raw material  (3)'!AYQ653:AZI3729,3,0),"")</f>
        <v/>
      </c>
      <c r="AYS671" t="str">
        <f>IFERROR(VLOOKUP(AYT671,'[3]Raw material  (3)'!AYR653:AZJ3729,3,0),"")</f>
        <v/>
      </c>
      <c r="AYT671" t="str">
        <f>IFERROR(VLOOKUP(AYU671,'[3]Raw material  (3)'!AYS653:AZK3729,3,0),"")</f>
        <v/>
      </c>
      <c r="AYU671" t="str">
        <f>IFERROR(VLOOKUP(AYV671,'[3]Raw material  (3)'!AYT653:AZL3729,3,0),"")</f>
        <v/>
      </c>
      <c r="AYV671" t="str">
        <f>IFERROR(VLOOKUP(AYW671,'[3]Raw material  (3)'!AYU653:AZM3729,3,0),"")</f>
        <v/>
      </c>
      <c r="AYW671" t="str">
        <f>IFERROR(VLOOKUP(AYX671,'[3]Raw material  (3)'!AYV653:AZN3729,3,0),"")</f>
        <v/>
      </c>
      <c r="AYX671" t="str">
        <f>IFERROR(VLOOKUP(AYY671,'[3]Raw material  (3)'!AYW653:AZO3729,3,0),"")</f>
        <v/>
      </c>
      <c r="AYY671" t="str">
        <f>IFERROR(VLOOKUP(AYZ671,'[3]Raw material  (3)'!AYX653:AZP3729,3,0),"")</f>
        <v/>
      </c>
      <c r="AYZ671" t="str">
        <f>IFERROR(VLOOKUP(AZA671,'[3]Raw material  (3)'!AYY653:AZQ3729,3,0),"")</f>
        <v/>
      </c>
      <c r="AZA671" t="str">
        <f>IFERROR(VLOOKUP(AZB671,'[3]Raw material  (3)'!AYZ653:AZR3729,3,0),"")</f>
        <v/>
      </c>
      <c r="AZB671" t="str">
        <f>IFERROR(VLOOKUP(AZC671,'[3]Raw material  (3)'!AZA653:AZS3729,3,0),"")</f>
        <v/>
      </c>
      <c r="AZC671" t="str">
        <f>IFERROR(VLOOKUP(AZD671,'[3]Raw material  (3)'!AZB653:AZT3729,3,0),"")</f>
        <v/>
      </c>
      <c r="AZD671" t="str">
        <f>IFERROR(VLOOKUP(AZE671,'[3]Raw material  (3)'!AZC653:AZU3729,3,0),"")</f>
        <v/>
      </c>
      <c r="AZE671" t="str">
        <f>IFERROR(VLOOKUP(AZF671,'[3]Raw material  (3)'!AZD653:AZV3729,3,0),"")</f>
        <v/>
      </c>
      <c r="AZF671" t="str">
        <f>IFERROR(VLOOKUP(AZG671,'[3]Raw material  (3)'!AZE653:AZW3729,3,0),"")</f>
        <v/>
      </c>
      <c r="AZG671" t="str">
        <f>IFERROR(VLOOKUP(AZH671,'[3]Raw material  (3)'!AZF653:AZX3729,3,0),"")</f>
        <v/>
      </c>
      <c r="AZH671" t="str">
        <f>IFERROR(VLOOKUP(AZI671,'[3]Raw material  (3)'!AZG653:AZY3729,3,0),"")</f>
        <v/>
      </c>
      <c r="AZI671" t="str">
        <f>IFERROR(VLOOKUP(AZJ671,'[3]Raw material  (3)'!AZH653:AZZ3729,3,0),"")</f>
        <v/>
      </c>
      <c r="AZJ671" t="str">
        <f>IFERROR(VLOOKUP(AZK671,'[3]Raw material  (3)'!AZI653:BAA3729,3,0),"")</f>
        <v/>
      </c>
      <c r="AZK671" t="str">
        <f>IFERROR(VLOOKUP(AZL671,'[3]Raw material  (3)'!AZJ653:BAB3729,3,0),"")</f>
        <v/>
      </c>
      <c r="AZL671" t="str">
        <f>IFERROR(VLOOKUP(AZM671,'[3]Raw material  (3)'!AZK653:BAC3729,3,0),"")</f>
        <v/>
      </c>
      <c r="AZM671" t="str">
        <f>IFERROR(VLOOKUP(AZN671,'[3]Raw material  (3)'!AZL653:BAD3729,3,0),"")</f>
        <v/>
      </c>
      <c r="AZN671" t="str">
        <f>IFERROR(VLOOKUP(AZO671,'[3]Raw material  (3)'!AZM653:BAE3729,3,0),"")</f>
        <v/>
      </c>
      <c r="AZO671" t="str">
        <f>IFERROR(VLOOKUP(AZP671,'[3]Raw material  (3)'!AZN653:BAF3729,3,0),"")</f>
        <v/>
      </c>
      <c r="AZP671" t="str">
        <f>IFERROR(VLOOKUP(AZQ671,'[3]Raw material  (3)'!AZO653:BAG3729,3,0),"")</f>
        <v/>
      </c>
      <c r="AZQ671" t="str">
        <f>IFERROR(VLOOKUP(AZR671,'[3]Raw material  (3)'!AZP653:BAH3729,3,0),"")</f>
        <v/>
      </c>
      <c r="AZR671" t="str">
        <f>IFERROR(VLOOKUP(AZS671,'[3]Raw material  (3)'!AZQ653:BAI3729,3,0),"")</f>
        <v/>
      </c>
      <c r="AZS671" t="str">
        <f>IFERROR(VLOOKUP(AZT671,'[3]Raw material  (3)'!AZR653:BAJ3729,3,0),"")</f>
        <v/>
      </c>
      <c r="AZT671" t="str">
        <f>IFERROR(VLOOKUP(AZU671,'[3]Raw material  (3)'!AZS653:BAK3729,3,0),"")</f>
        <v/>
      </c>
      <c r="AZU671" t="str">
        <f>IFERROR(VLOOKUP(AZV671,'[3]Raw material  (3)'!AZT653:BAL3729,3,0),"")</f>
        <v/>
      </c>
      <c r="AZV671" t="str">
        <f>IFERROR(VLOOKUP(AZW671,'[3]Raw material  (3)'!AZU653:BAM3729,3,0),"")</f>
        <v/>
      </c>
      <c r="AZW671" t="str">
        <f>IFERROR(VLOOKUP(AZX671,'[3]Raw material  (3)'!AZV653:BAN3729,3,0),"")</f>
        <v/>
      </c>
      <c r="AZX671" t="str">
        <f>IFERROR(VLOOKUP(AZY671,'[3]Raw material  (3)'!AZW653:BAO3729,3,0),"")</f>
        <v/>
      </c>
      <c r="AZY671" t="str">
        <f>IFERROR(VLOOKUP(AZZ671,'[3]Raw material  (3)'!AZX653:BAP3729,3,0),"")</f>
        <v/>
      </c>
      <c r="AZZ671" t="str">
        <f>IFERROR(VLOOKUP(BAA671,'[3]Raw material  (3)'!AZY653:BAQ3729,3,0),"")</f>
        <v/>
      </c>
      <c r="BAA671" t="str">
        <f>IFERROR(VLOOKUP(BAB671,'[3]Raw material  (3)'!AZZ653:BAR3729,3,0),"")</f>
        <v/>
      </c>
      <c r="BAB671" t="str">
        <f>IFERROR(VLOOKUP(BAC671,'[3]Raw material  (3)'!BAA653:BAS3729,3,0),"")</f>
        <v/>
      </c>
      <c r="BAC671" t="str">
        <f>IFERROR(VLOOKUP(BAD671,'[3]Raw material  (3)'!BAB653:BAT3729,3,0),"")</f>
        <v/>
      </c>
      <c r="BAD671" t="str">
        <f>IFERROR(VLOOKUP(BAE671,'[3]Raw material  (3)'!BAC653:BAU3729,3,0),"")</f>
        <v/>
      </c>
      <c r="BAE671" t="str">
        <f>IFERROR(VLOOKUP(BAF671,'[3]Raw material  (3)'!BAD653:BAV3729,3,0),"")</f>
        <v/>
      </c>
      <c r="BAF671" t="str">
        <f>IFERROR(VLOOKUP(BAG671,'[3]Raw material  (3)'!BAE653:BAW3729,3,0),"")</f>
        <v/>
      </c>
      <c r="BAG671" t="str">
        <f>IFERROR(VLOOKUP(BAH671,'[3]Raw material  (3)'!BAF653:BAX3729,3,0),"")</f>
        <v/>
      </c>
      <c r="BAH671" t="str">
        <f>IFERROR(VLOOKUP(BAI671,'[3]Raw material  (3)'!BAG653:BAY3729,3,0),"")</f>
        <v/>
      </c>
      <c r="BAI671" t="str">
        <f>IFERROR(VLOOKUP(BAJ671,'[3]Raw material  (3)'!BAH653:BAZ3729,3,0),"")</f>
        <v/>
      </c>
      <c r="BAJ671" t="str">
        <f>IFERROR(VLOOKUP(BAK671,'[3]Raw material  (3)'!BAI653:BBA3729,3,0),"")</f>
        <v/>
      </c>
      <c r="BAK671" t="str">
        <f>IFERROR(VLOOKUP(BAL671,'[3]Raw material  (3)'!BAJ653:BBB3729,3,0),"")</f>
        <v/>
      </c>
      <c r="BAL671" t="str">
        <f>IFERROR(VLOOKUP(BAM671,'[3]Raw material  (3)'!BAK653:BBC3729,3,0),"")</f>
        <v/>
      </c>
      <c r="BAM671" t="str">
        <f>IFERROR(VLOOKUP(BAN671,'[3]Raw material  (3)'!BAL653:BBD3729,3,0),"")</f>
        <v/>
      </c>
      <c r="BAN671" t="str">
        <f>IFERROR(VLOOKUP(BAO671,'[3]Raw material  (3)'!BAM653:BBE3729,3,0),"")</f>
        <v/>
      </c>
      <c r="BAO671" t="str">
        <f>IFERROR(VLOOKUP(BAP671,'[3]Raw material  (3)'!BAN653:BBF3729,3,0),"")</f>
        <v/>
      </c>
      <c r="BAP671" t="str">
        <f>IFERROR(VLOOKUP(BAQ671,'[3]Raw material  (3)'!BAO653:BBG3729,3,0),"")</f>
        <v/>
      </c>
      <c r="BAQ671" t="str">
        <f>IFERROR(VLOOKUP(BAR671,'[3]Raw material  (3)'!BAP653:BBH3729,3,0),"")</f>
        <v/>
      </c>
      <c r="BAR671" t="str">
        <f>IFERROR(VLOOKUP(BAS671,'[3]Raw material  (3)'!BAQ653:BBI3729,3,0),"")</f>
        <v/>
      </c>
      <c r="BAS671" t="str">
        <f>IFERROR(VLOOKUP(BAT671,'[3]Raw material  (3)'!BAR653:BBJ3729,3,0),"")</f>
        <v/>
      </c>
      <c r="BAT671" t="str">
        <f>IFERROR(VLOOKUP(BAU671,'[3]Raw material  (3)'!BAS653:BBK3729,3,0),"")</f>
        <v/>
      </c>
      <c r="BAU671" t="str">
        <f>IFERROR(VLOOKUP(BAV671,'[3]Raw material  (3)'!BAT653:BBL3729,3,0),"")</f>
        <v/>
      </c>
      <c r="BAV671" t="str">
        <f>IFERROR(VLOOKUP(BAW671,'[3]Raw material  (3)'!BAU653:BBM3729,3,0),"")</f>
        <v/>
      </c>
      <c r="BAW671" t="str">
        <f>IFERROR(VLOOKUP(BAX671,'[3]Raw material  (3)'!BAV653:BBN3729,3,0),"")</f>
        <v/>
      </c>
      <c r="BAX671" t="str">
        <f>IFERROR(VLOOKUP(BAY671,'[3]Raw material  (3)'!BAW653:BBO3729,3,0),"")</f>
        <v/>
      </c>
      <c r="BAY671" t="str">
        <f>IFERROR(VLOOKUP(BAZ671,'[3]Raw material  (3)'!BAX653:BBP3729,3,0),"")</f>
        <v/>
      </c>
      <c r="BAZ671" t="str">
        <f>IFERROR(VLOOKUP(BBA671,'[3]Raw material  (3)'!BAY653:BBQ3729,3,0),"")</f>
        <v/>
      </c>
      <c r="BBA671" t="str">
        <f>IFERROR(VLOOKUP(BBB671,'[3]Raw material  (3)'!BAZ653:BBR3729,3,0),"")</f>
        <v/>
      </c>
      <c r="BBB671" t="str">
        <f>IFERROR(VLOOKUP(BBC671,'[3]Raw material  (3)'!BBA653:BBS3729,3,0),"")</f>
        <v/>
      </c>
      <c r="BBC671" t="str">
        <f>IFERROR(VLOOKUP(BBD671,'[3]Raw material  (3)'!BBB653:BBT3729,3,0),"")</f>
        <v/>
      </c>
      <c r="BBD671" t="str">
        <f>IFERROR(VLOOKUP(BBE671,'[3]Raw material  (3)'!BBC653:BBU3729,3,0),"")</f>
        <v/>
      </c>
      <c r="BBE671" t="str">
        <f>IFERROR(VLOOKUP(BBF671,'[3]Raw material  (3)'!BBD653:BBV3729,3,0),"")</f>
        <v/>
      </c>
      <c r="BBF671" t="str">
        <f>IFERROR(VLOOKUP(BBG671,'[3]Raw material  (3)'!BBE653:BBW3729,3,0),"")</f>
        <v/>
      </c>
      <c r="BBG671" t="str">
        <f>IFERROR(VLOOKUP(BBH671,'[3]Raw material  (3)'!BBF653:BBX3729,3,0),"")</f>
        <v/>
      </c>
      <c r="BBH671" t="str">
        <f>IFERROR(VLOOKUP(BBI671,'[3]Raw material  (3)'!BBG653:BBY3729,3,0),"")</f>
        <v/>
      </c>
      <c r="BBI671" t="str">
        <f>IFERROR(VLOOKUP(BBJ671,'[3]Raw material  (3)'!BBH653:BBZ3729,3,0),"")</f>
        <v/>
      </c>
      <c r="BBJ671" t="str">
        <f>IFERROR(VLOOKUP(BBK671,'[3]Raw material  (3)'!BBI653:BCA3729,3,0),"")</f>
        <v/>
      </c>
      <c r="BBK671" t="str">
        <f>IFERROR(VLOOKUP(BBL671,'[3]Raw material  (3)'!BBJ653:BCB3729,3,0),"")</f>
        <v/>
      </c>
      <c r="BBL671" t="str">
        <f>IFERROR(VLOOKUP(BBM671,'[3]Raw material  (3)'!BBK653:BCC3729,3,0),"")</f>
        <v/>
      </c>
      <c r="BBM671" t="str">
        <f>IFERROR(VLOOKUP(BBN671,'[3]Raw material  (3)'!BBL653:BCD3729,3,0),"")</f>
        <v/>
      </c>
      <c r="BBN671" t="str">
        <f>IFERROR(VLOOKUP(BBO671,'[3]Raw material  (3)'!BBM653:BCE3729,3,0),"")</f>
        <v/>
      </c>
      <c r="BBO671" t="str">
        <f>IFERROR(VLOOKUP(BBP671,'[3]Raw material  (3)'!BBN653:BCF3729,3,0),"")</f>
        <v/>
      </c>
      <c r="BBP671" t="str">
        <f>IFERROR(VLOOKUP(BBQ671,'[3]Raw material  (3)'!BBO653:BCG3729,3,0),"")</f>
        <v/>
      </c>
      <c r="BBQ671" t="str">
        <f>IFERROR(VLOOKUP(BBR671,'[3]Raw material  (3)'!BBP653:BCH3729,3,0),"")</f>
        <v/>
      </c>
      <c r="BBR671" t="str">
        <f>IFERROR(VLOOKUP(BBS671,'[3]Raw material  (3)'!BBQ653:BCI3729,3,0),"")</f>
        <v/>
      </c>
      <c r="BBS671" t="str">
        <f>IFERROR(VLOOKUP(BBT671,'[3]Raw material  (3)'!BBR653:BCJ3729,3,0),"")</f>
        <v/>
      </c>
      <c r="BBT671" t="str">
        <f>IFERROR(VLOOKUP(BBU671,'[3]Raw material  (3)'!BBS653:BCK3729,3,0),"")</f>
        <v/>
      </c>
      <c r="BBU671" t="str">
        <f>IFERROR(VLOOKUP(BBV671,'[3]Raw material  (3)'!BBT653:BCL3729,3,0),"")</f>
        <v/>
      </c>
      <c r="BBV671" t="str">
        <f>IFERROR(VLOOKUP(BBW671,'[3]Raw material  (3)'!BBU653:BCM3729,3,0),"")</f>
        <v/>
      </c>
      <c r="BBW671" t="str">
        <f>IFERROR(VLOOKUP(BBX671,'[3]Raw material  (3)'!BBV653:BCN3729,3,0),"")</f>
        <v/>
      </c>
      <c r="BBX671" t="str">
        <f>IFERROR(VLOOKUP(BBY671,'[3]Raw material  (3)'!BBW653:BCO3729,3,0),"")</f>
        <v/>
      </c>
      <c r="BBY671" t="str">
        <f>IFERROR(VLOOKUP(BBZ671,'[3]Raw material  (3)'!BBX653:BCP3729,3,0),"")</f>
        <v/>
      </c>
      <c r="BBZ671" t="str">
        <f>IFERROR(VLOOKUP(BCA671,'[3]Raw material  (3)'!BBY653:BCQ3729,3,0),"")</f>
        <v/>
      </c>
      <c r="BCA671" t="str">
        <f>IFERROR(VLOOKUP(BCB671,'[3]Raw material  (3)'!BBZ653:BCR3729,3,0),"")</f>
        <v/>
      </c>
      <c r="BCB671" t="str">
        <f>IFERROR(VLOOKUP(BCC671,'[3]Raw material  (3)'!BCA653:BCS3729,3,0),"")</f>
        <v/>
      </c>
      <c r="BCC671" t="str">
        <f>IFERROR(VLOOKUP(BCD671,'[3]Raw material  (3)'!BCB653:BCT3729,3,0),"")</f>
        <v/>
      </c>
      <c r="BCD671" t="str">
        <f>IFERROR(VLOOKUP(BCE671,'[3]Raw material  (3)'!BCC653:BCU3729,3,0),"")</f>
        <v/>
      </c>
      <c r="BCE671" t="str">
        <f>IFERROR(VLOOKUP(BCF671,'[3]Raw material  (3)'!BCD653:BCV3729,3,0),"")</f>
        <v/>
      </c>
      <c r="BCF671" t="str">
        <f>IFERROR(VLOOKUP(BCG671,'[3]Raw material  (3)'!BCE653:BCW3729,3,0),"")</f>
        <v/>
      </c>
      <c r="BCG671" t="str">
        <f>IFERROR(VLOOKUP(BCH671,'[3]Raw material  (3)'!BCF653:BCX3729,3,0),"")</f>
        <v/>
      </c>
      <c r="BCH671" t="str">
        <f>IFERROR(VLOOKUP(BCI671,'[3]Raw material  (3)'!BCG653:BCY3729,3,0),"")</f>
        <v/>
      </c>
      <c r="BCI671" t="str">
        <f>IFERROR(VLOOKUP(BCJ671,'[3]Raw material  (3)'!BCH653:BCZ3729,3,0),"")</f>
        <v/>
      </c>
      <c r="BCJ671" t="str">
        <f>IFERROR(VLOOKUP(BCK671,'[3]Raw material  (3)'!BCI653:BDA3729,3,0),"")</f>
        <v/>
      </c>
      <c r="BCK671" t="str">
        <f>IFERROR(VLOOKUP(BCL671,'[3]Raw material  (3)'!BCJ653:BDB3729,3,0),"")</f>
        <v/>
      </c>
      <c r="BCL671" t="str">
        <f>IFERROR(VLOOKUP(BCM671,'[3]Raw material  (3)'!BCK653:BDC3729,3,0),"")</f>
        <v/>
      </c>
      <c r="BCM671" t="str">
        <f>IFERROR(VLOOKUP(BCN671,'[3]Raw material  (3)'!BCL653:BDD3729,3,0),"")</f>
        <v/>
      </c>
      <c r="BCN671" t="str">
        <f>IFERROR(VLOOKUP(BCO671,'[3]Raw material  (3)'!BCM653:BDE3729,3,0),"")</f>
        <v/>
      </c>
      <c r="BCO671" t="str">
        <f>IFERROR(VLOOKUP(BCP671,'[3]Raw material  (3)'!BCN653:BDF3729,3,0),"")</f>
        <v/>
      </c>
      <c r="BCP671" t="str">
        <f>IFERROR(VLOOKUP(BCQ671,'[3]Raw material  (3)'!BCO653:BDG3729,3,0),"")</f>
        <v/>
      </c>
      <c r="BCQ671" t="str">
        <f>IFERROR(VLOOKUP(BCR671,'[3]Raw material  (3)'!BCP653:BDH3729,3,0),"")</f>
        <v/>
      </c>
      <c r="BCR671" t="str">
        <f>IFERROR(VLOOKUP(BCS671,'[3]Raw material  (3)'!BCQ653:BDI3729,3,0),"")</f>
        <v/>
      </c>
      <c r="BCS671" t="str">
        <f>IFERROR(VLOOKUP(BCT671,'[3]Raw material  (3)'!BCR653:BDJ3729,3,0),"")</f>
        <v/>
      </c>
      <c r="BCT671" t="str">
        <f>IFERROR(VLOOKUP(BCU671,'[3]Raw material  (3)'!BCS653:BDK3729,3,0),"")</f>
        <v/>
      </c>
      <c r="BCU671" t="str">
        <f>IFERROR(VLOOKUP(BCV671,'[3]Raw material  (3)'!BCT653:BDL3729,3,0),"")</f>
        <v/>
      </c>
      <c r="BCV671" t="str">
        <f>IFERROR(VLOOKUP(BCW671,'[3]Raw material  (3)'!BCU653:BDM3729,3,0),"")</f>
        <v/>
      </c>
      <c r="BCW671" t="str">
        <f>IFERROR(VLOOKUP(BCX671,'[3]Raw material  (3)'!BCV653:BDN3729,3,0),"")</f>
        <v/>
      </c>
      <c r="BCX671" t="str">
        <f>IFERROR(VLOOKUP(BCY671,'[3]Raw material  (3)'!BCW653:BDO3729,3,0),"")</f>
        <v/>
      </c>
      <c r="BCY671" t="str">
        <f>IFERROR(VLOOKUP(BCZ671,'[3]Raw material  (3)'!BCX653:BDP3729,3,0),"")</f>
        <v/>
      </c>
      <c r="BCZ671" t="str">
        <f>IFERROR(VLOOKUP(BDA671,'[3]Raw material  (3)'!BCY653:BDQ3729,3,0),"")</f>
        <v/>
      </c>
      <c r="BDA671" t="str">
        <f>IFERROR(VLOOKUP(BDB671,'[3]Raw material  (3)'!BCZ653:BDR3729,3,0),"")</f>
        <v/>
      </c>
      <c r="BDB671" t="str">
        <f>IFERROR(VLOOKUP(BDC671,'[3]Raw material  (3)'!BDA653:BDS3729,3,0),"")</f>
        <v/>
      </c>
      <c r="BDC671" t="str">
        <f>IFERROR(VLOOKUP(BDD671,'[3]Raw material  (3)'!BDB653:BDT3729,3,0),"")</f>
        <v/>
      </c>
      <c r="BDD671" t="str">
        <f>IFERROR(VLOOKUP(BDE671,'[3]Raw material  (3)'!BDC653:BDU3729,3,0),"")</f>
        <v/>
      </c>
      <c r="BDE671" t="str">
        <f>IFERROR(VLOOKUP(BDF671,'[3]Raw material  (3)'!BDD653:BDV3729,3,0),"")</f>
        <v/>
      </c>
      <c r="BDF671" t="str">
        <f>IFERROR(VLOOKUP(BDG671,'[3]Raw material  (3)'!BDE653:BDW3729,3,0),"")</f>
        <v/>
      </c>
      <c r="BDG671" t="str">
        <f>IFERROR(VLOOKUP(BDH671,'[3]Raw material  (3)'!BDF653:BDX3729,3,0),"")</f>
        <v/>
      </c>
      <c r="BDH671" t="str">
        <f>IFERROR(VLOOKUP(BDI671,'[3]Raw material  (3)'!BDG653:BDY3729,3,0),"")</f>
        <v/>
      </c>
      <c r="BDI671" t="str">
        <f>IFERROR(VLOOKUP(BDJ671,'[3]Raw material  (3)'!BDH653:BDZ3729,3,0),"")</f>
        <v/>
      </c>
      <c r="BDJ671" t="str">
        <f>IFERROR(VLOOKUP(BDK671,'[3]Raw material  (3)'!BDI653:BEA3729,3,0),"")</f>
        <v/>
      </c>
      <c r="BDK671" t="str">
        <f>IFERROR(VLOOKUP(BDL671,'[3]Raw material  (3)'!BDJ653:BEB3729,3,0),"")</f>
        <v/>
      </c>
      <c r="BDL671" t="str">
        <f>IFERROR(VLOOKUP(BDM671,'[3]Raw material  (3)'!BDK653:BEC3729,3,0),"")</f>
        <v/>
      </c>
      <c r="BDM671" t="str">
        <f>IFERROR(VLOOKUP(BDN671,'[3]Raw material  (3)'!BDL653:BED3729,3,0),"")</f>
        <v/>
      </c>
      <c r="BDN671" t="str">
        <f>IFERROR(VLOOKUP(BDO671,'[3]Raw material  (3)'!BDM653:BEE3729,3,0),"")</f>
        <v/>
      </c>
      <c r="BDO671" t="str">
        <f>IFERROR(VLOOKUP(BDP671,'[3]Raw material  (3)'!BDN653:BEF3729,3,0),"")</f>
        <v/>
      </c>
      <c r="BDP671" t="str">
        <f>IFERROR(VLOOKUP(BDQ671,'[3]Raw material  (3)'!BDO653:BEG3729,3,0),"")</f>
        <v/>
      </c>
      <c r="BDQ671" t="str">
        <f>IFERROR(VLOOKUP(BDR671,'[3]Raw material  (3)'!BDP653:BEH3729,3,0),"")</f>
        <v/>
      </c>
      <c r="BDR671" t="str">
        <f>IFERROR(VLOOKUP(BDS671,'[3]Raw material  (3)'!BDQ653:BEI3729,3,0),"")</f>
        <v/>
      </c>
      <c r="BDS671" t="str">
        <f>IFERROR(VLOOKUP(BDT671,'[3]Raw material  (3)'!BDR653:BEJ3729,3,0),"")</f>
        <v/>
      </c>
      <c r="BDT671" t="str">
        <f>IFERROR(VLOOKUP(BDU671,'[3]Raw material  (3)'!BDS653:BEK3729,3,0),"")</f>
        <v/>
      </c>
      <c r="BDU671" t="str">
        <f>IFERROR(VLOOKUP(BDV671,'[3]Raw material  (3)'!BDT653:BEL3729,3,0),"")</f>
        <v/>
      </c>
      <c r="BDV671" t="str">
        <f>IFERROR(VLOOKUP(BDW671,'[3]Raw material  (3)'!BDU653:BEM3729,3,0),"")</f>
        <v/>
      </c>
      <c r="BDW671" t="str">
        <f>IFERROR(VLOOKUP(BDX671,'[3]Raw material  (3)'!BDV653:BEN3729,3,0),"")</f>
        <v/>
      </c>
      <c r="BDX671" t="str">
        <f>IFERROR(VLOOKUP(BDY671,'[3]Raw material  (3)'!BDW653:BEO3729,3,0),"")</f>
        <v/>
      </c>
      <c r="BDY671" t="str">
        <f>IFERROR(VLOOKUP(BDZ671,'[3]Raw material  (3)'!BDX653:BEP3729,3,0),"")</f>
        <v/>
      </c>
      <c r="BDZ671" t="str">
        <f>IFERROR(VLOOKUP(BEA671,'[3]Raw material  (3)'!BDY653:BEQ3729,3,0),"")</f>
        <v/>
      </c>
      <c r="BEA671" t="str">
        <f>IFERROR(VLOOKUP(BEB671,'[3]Raw material  (3)'!BDZ653:BER3729,3,0),"")</f>
        <v/>
      </c>
      <c r="BEB671" t="str">
        <f>IFERROR(VLOOKUP(BEC671,'[3]Raw material  (3)'!BEA653:BES3729,3,0),"")</f>
        <v/>
      </c>
      <c r="BEC671" t="str">
        <f>IFERROR(VLOOKUP(BED671,'[3]Raw material  (3)'!BEB653:BET3729,3,0),"")</f>
        <v/>
      </c>
      <c r="BED671" t="str">
        <f>IFERROR(VLOOKUP(BEE671,'[3]Raw material  (3)'!BEC653:BEU3729,3,0),"")</f>
        <v/>
      </c>
      <c r="BEE671" t="str">
        <f>IFERROR(VLOOKUP(BEF671,'[3]Raw material  (3)'!BED653:BEV3729,3,0),"")</f>
        <v/>
      </c>
      <c r="BEF671" t="str">
        <f>IFERROR(VLOOKUP(BEG671,'[3]Raw material  (3)'!BEE653:BEW3729,3,0),"")</f>
        <v/>
      </c>
      <c r="BEG671" t="str">
        <f>IFERROR(VLOOKUP(BEH671,'[3]Raw material  (3)'!BEF653:BEX3729,3,0),"")</f>
        <v/>
      </c>
      <c r="BEH671" t="str">
        <f>IFERROR(VLOOKUP(BEI671,'[3]Raw material  (3)'!BEG653:BEY3729,3,0),"")</f>
        <v/>
      </c>
      <c r="BEI671" t="str">
        <f>IFERROR(VLOOKUP(BEJ671,'[3]Raw material  (3)'!BEH653:BEZ3729,3,0),"")</f>
        <v/>
      </c>
      <c r="BEJ671" t="str">
        <f>IFERROR(VLOOKUP(BEK671,'[3]Raw material  (3)'!BEI653:BFA3729,3,0),"")</f>
        <v/>
      </c>
      <c r="BEK671" t="str">
        <f>IFERROR(VLOOKUP(BEL671,'[3]Raw material  (3)'!BEJ653:BFB3729,3,0),"")</f>
        <v/>
      </c>
      <c r="BEL671" t="str">
        <f>IFERROR(VLOOKUP(BEM671,'[3]Raw material  (3)'!BEK653:BFC3729,3,0),"")</f>
        <v/>
      </c>
      <c r="BEM671" t="str">
        <f>IFERROR(VLOOKUP(BEN671,'[3]Raw material  (3)'!BEL653:BFD3729,3,0),"")</f>
        <v/>
      </c>
      <c r="BEN671" t="str">
        <f>IFERROR(VLOOKUP(BEO671,'[3]Raw material  (3)'!BEM653:BFE3729,3,0),"")</f>
        <v/>
      </c>
      <c r="BEO671" t="str">
        <f>IFERROR(VLOOKUP(BEP671,'[3]Raw material  (3)'!BEN653:BFF3729,3,0),"")</f>
        <v/>
      </c>
      <c r="BEP671" t="str">
        <f>IFERROR(VLOOKUP(BEQ671,'[3]Raw material  (3)'!BEO653:BFG3729,3,0),"")</f>
        <v/>
      </c>
      <c r="BEQ671" t="str">
        <f>IFERROR(VLOOKUP(BER671,'[3]Raw material  (3)'!BEP653:BFH3729,3,0),"")</f>
        <v/>
      </c>
      <c r="BER671" t="str">
        <f>IFERROR(VLOOKUP(BES671,'[3]Raw material  (3)'!BEQ653:BFI3729,3,0),"")</f>
        <v/>
      </c>
      <c r="BES671" t="str">
        <f>IFERROR(VLOOKUP(BET671,'[3]Raw material  (3)'!BER653:BFJ3729,3,0),"")</f>
        <v/>
      </c>
      <c r="BET671" t="str">
        <f>IFERROR(VLOOKUP(BEU671,'[3]Raw material  (3)'!BES653:BFK3729,3,0),"")</f>
        <v/>
      </c>
      <c r="BEU671" t="str">
        <f>IFERROR(VLOOKUP(BEV671,'[3]Raw material  (3)'!BET653:BFL3729,3,0),"")</f>
        <v/>
      </c>
      <c r="BEV671" t="str">
        <f>IFERROR(VLOOKUP(BEW671,'[3]Raw material  (3)'!BEU653:BFM3729,3,0),"")</f>
        <v/>
      </c>
      <c r="BEW671" t="str">
        <f>IFERROR(VLOOKUP(BEX671,'[3]Raw material  (3)'!BEV653:BFN3729,3,0),"")</f>
        <v/>
      </c>
      <c r="BEX671" t="str">
        <f>IFERROR(VLOOKUP(BEY671,'[3]Raw material  (3)'!BEW653:BFO3729,3,0),"")</f>
        <v/>
      </c>
      <c r="BEY671" t="str">
        <f>IFERROR(VLOOKUP(BEZ671,'[3]Raw material  (3)'!BEX653:BFP3729,3,0),"")</f>
        <v/>
      </c>
      <c r="BEZ671" t="str">
        <f>IFERROR(VLOOKUP(BFA671,'[3]Raw material  (3)'!BEY653:BFQ3729,3,0),"")</f>
        <v/>
      </c>
      <c r="BFA671" t="str">
        <f>IFERROR(VLOOKUP(BFB671,'[3]Raw material  (3)'!BEZ653:BFR3729,3,0),"")</f>
        <v/>
      </c>
      <c r="BFB671" t="str">
        <f>IFERROR(VLOOKUP(BFC671,'[3]Raw material  (3)'!BFA653:BFS3729,3,0),"")</f>
        <v/>
      </c>
      <c r="BFC671" t="str">
        <f>IFERROR(VLOOKUP(BFD671,'[3]Raw material  (3)'!BFB653:BFT3729,3,0),"")</f>
        <v/>
      </c>
      <c r="BFD671" t="str">
        <f>IFERROR(VLOOKUP(BFE671,'[3]Raw material  (3)'!BFC653:BFU3729,3,0),"")</f>
        <v/>
      </c>
      <c r="BFE671" t="str">
        <f>IFERROR(VLOOKUP(BFF671,'[3]Raw material  (3)'!BFD653:BFV3729,3,0),"")</f>
        <v/>
      </c>
      <c r="BFF671" t="str">
        <f>IFERROR(VLOOKUP(BFG671,'[3]Raw material  (3)'!BFE653:BFW3729,3,0),"")</f>
        <v/>
      </c>
      <c r="BFG671" t="str">
        <f>IFERROR(VLOOKUP(BFH671,'[3]Raw material  (3)'!BFF653:BFX3729,3,0),"")</f>
        <v/>
      </c>
      <c r="BFH671" t="str">
        <f>IFERROR(VLOOKUP(BFI671,'[3]Raw material  (3)'!BFG653:BFY3729,3,0),"")</f>
        <v/>
      </c>
      <c r="BFI671" t="str">
        <f>IFERROR(VLOOKUP(BFJ671,'[3]Raw material  (3)'!BFH653:BFZ3729,3,0),"")</f>
        <v/>
      </c>
      <c r="BFJ671" t="str">
        <f>IFERROR(VLOOKUP(BFK671,'[3]Raw material  (3)'!BFI653:BGA3729,3,0),"")</f>
        <v/>
      </c>
      <c r="BFK671" t="str">
        <f>IFERROR(VLOOKUP(BFL671,'[3]Raw material  (3)'!BFJ653:BGB3729,3,0),"")</f>
        <v/>
      </c>
      <c r="BFL671" t="str">
        <f>IFERROR(VLOOKUP(BFM671,'[3]Raw material  (3)'!BFK653:BGC3729,3,0),"")</f>
        <v/>
      </c>
      <c r="BFM671" t="str">
        <f>IFERROR(VLOOKUP(BFN671,'[3]Raw material  (3)'!BFL653:BGD3729,3,0),"")</f>
        <v/>
      </c>
      <c r="BFN671" t="str">
        <f>IFERROR(VLOOKUP(BFO671,'[3]Raw material  (3)'!BFM653:BGE3729,3,0),"")</f>
        <v/>
      </c>
      <c r="BFO671" t="str">
        <f>IFERROR(VLOOKUP(BFP671,'[3]Raw material  (3)'!BFN653:BGF3729,3,0),"")</f>
        <v/>
      </c>
      <c r="BFP671" t="str">
        <f>IFERROR(VLOOKUP(BFQ671,'[3]Raw material  (3)'!BFO653:BGG3729,3,0),"")</f>
        <v/>
      </c>
      <c r="BFQ671" t="str">
        <f>IFERROR(VLOOKUP(BFR671,'[3]Raw material  (3)'!BFP653:BGH3729,3,0),"")</f>
        <v/>
      </c>
      <c r="BFR671" t="str">
        <f>IFERROR(VLOOKUP(BFS671,'[3]Raw material  (3)'!BFQ653:BGI3729,3,0),"")</f>
        <v/>
      </c>
      <c r="BFS671" t="str">
        <f>IFERROR(VLOOKUP(BFT671,'[3]Raw material  (3)'!BFR653:BGJ3729,3,0),"")</f>
        <v/>
      </c>
      <c r="BFT671" t="str">
        <f>IFERROR(VLOOKUP(BFU671,'[3]Raw material  (3)'!BFS653:BGK3729,3,0),"")</f>
        <v/>
      </c>
      <c r="BFU671" t="str">
        <f>IFERROR(VLOOKUP(BFV671,'[3]Raw material  (3)'!BFT653:BGL3729,3,0),"")</f>
        <v/>
      </c>
      <c r="BFV671" t="str">
        <f>IFERROR(VLOOKUP(BFW671,'[3]Raw material  (3)'!BFU653:BGM3729,3,0),"")</f>
        <v/>
      </c>
      <c r="BFW671" t="str">
        <f>IFERROR(VLOOKUP(BFX671,'[3]Raw material  (3)'!BFV653:BGN3729,3,0),"")</f>
        <v/>
      </c>
      <c r="BFX671" t="str">
        <f>IFERROR(VLOOKUP(BFY671,'[3]Raw material  (3)'!BFW653:BGO3729,3,0),"")</f>
        <v/>
      </c>
      <c r="BFY671" t="str">
        <f>IFERROR(VLOOKUP(BFZ671,'[3]Raw material  (3)'!BFX653:BGP3729,3,0),"")</f>
        <v/>
      </c>
      <c r="BFZ671" t="str">
        <f>IFERROR(VLOOKUP(BGA671,'[3]Raw material  (3)'!BFY653:BGQ3729,3,0),"")</f>
        <v/>
      </c>
      <c r="BGA671" t="str">
        <f>IFERROR(VLOOKUP(BGB671,'[3]Raw material  (3)'!BFZ653:BGR3729,3,0),"")</f>
        <v/>
      </c>
      <c r="BGB671" t="str">
        <f>IFERROR(VLOOKUP(BGC671,'[3]Raw material  (3)'!BGA653:BGS3729,3,0),"")</f>
        <v/>
      </c>
      <c r="BGC671" t="str">
        <f>IFERROR(VLOOKUP(BGD671,'[3]Raw material  (3)'!BGB653:BGT3729,3,0),"")</f>
        <v/>
      </c>
      <c r="BGD671" t="str">
        <f>IFERROR(VLOOKUP(BGE671,'[3]Raw material  (3)'!BGC653:BGU3729,3,0),"")</f>
        <v/>
      </c>
      <c r="BGE671" t="str">
        <f>IFERROR(VLOOKUP(BGF671,'[3]Raw material  (3)'!BGD653:BGV3729,3,0),"")</f>
        <v/>
      </c>
      <c r="BGF671" t="str">
        <f>IFERROR(VLOOKUP(BGG671,'[3]Raw material  (3)'!BGE653:BGW3729,3,0),"")</f>
        <v/>
      </c>
      <c r="BGG671" t="str">
        <f>IFERROR(VLOOKUP(BGH671,'[3]Raw material  (3)'!BGF653:BGX3729,3,0),"")</f>
        <v/>
      </c>
      <c r="BGH671" t="str">
        <f>IFERROR(VLOOKUP(BGI671,'[3]Raw material  (3)'!BGG653:BGY3729,3,0),"")</f>
        <v/>
      </c>
      <c r="BGI671" t="str">
        <f>IFERROR(VLOOKUP(BGJ671,'[3]Raw material  (3)'!BGH653:BGZ3729,3,0),"")</f>
        <v/>
      </c>
      <c r="BGJ671" t="str">
        <f>IFERROR(VLOOKUP(BGK671,'[3]Raw material  (3)'!BGI653:BHA3729,3,0),"")</f>
        <v/>
      </c>
      <c r="BGK671" t="str">
        <f>IFERROR(VLOOKUP(BGL671,'[3]Raw material  (3)'!BGJ653:BHB3729,3,0),"")</f>
        <v/>
      </c>
      <c r="BGL671" t="str">
        <f>IFERROR(VLOOKUP(BGM671,'[3]Raw material  (3)'!BGK653:BHC3729,3,0),"")</f>
        <v/>
      </c>
      <c r="BGM671" t="str">
        <f>IFERROR(VLOOKUP(BGN671,'[3]Raw material  (3)'!BGL653:BHD3729,3,0),"")</f>
        <v/>
      </c>
      <c r="BGN671" t="str">
        <f>IFERROR(VLOOKUP(BGO671,'[3]Raw material  (3)'!BGM653:BHE3729,3,0),"")</f>
        <v/>
      </c>
      <c r="BGO671" t="str">
        <f>IFERROR(VLOOKUP(BGP671,'[3]Raw material  (3)'!BGN653:BHF3729,3,0),"")</f>
        <v/>
      </c>
      <c r="BGP671" t="str">
        <f>IFERROR(VLOOKUP(BGQ671,'[3]Raw material  (3)'!BGO653:BHG3729,3,0),"")</f>
        <v/>
      </c>
      <c r="BGQ671" t="str">
        <f>IFERROR(VLOOKUP(BGR671,'[3]Raw material  (3)'!BGP653:BHH3729,3,0),"")</f>
        <v/>
      </c>
      <c r="BGR671" t="str">
        <f>IFERROR(VLOOKUP(BGS671,'[3]Raw material  (3)'!BGQ653:BHI3729,3,0),"")</f>
        <v/>
      </c>
      <c r="BGS671" t="str">
        <f>IFERROR(VLOOKUP(BGT671,'[3]Raw material  (3)'!BGR653:BHJ3729,3,0),"")</f>
        <v/>
      </c>
      <c r="BGT671" t="str">
        <f>IFERROR(VLOOKUP(BGU671,'[3]Raw material  (3)'!BGS653:BHK3729,3,0),"")</f>
        <v/>
      </c>
      <c r="BGU671" t="str">
        <f>IFERROR(VLOOKUP(BGV671,'[3]Raw material  (3)'!BGT653:BHL3729,3,0),"")</f>
        <v/>
      </c>
      <c r="BGV671" t="str">
        <f>IFERROR(VLOOKUP(BGW671,'[3]Raw material  (3)'!BGU653:BHM3729,3,0),"")</f>
        <v/>
      </c>
      <c r="BGW671" t="str">
        <f>IFERROR(VLOOKUP(BGX671,'[3]Raw material  (3)'!BGV653:BHN3729,3,0),"")</f>
        <v/>
      </c>
      <c r="BGX671" t="str">
        <f>IFERROR(VLOOKUP(BGY671,'[3]Raw material  (3)'!BGW653:BHO3729,3,0),"")</f>
        <v/>
      </c>
      <c r="BGY671" t="str">
        <f>IFERROR(VLOOKUP(BGZ671,'[3]Raw material  (3)'!BGX653:BHP3729,3,0),"")</f>
        <v/>
      </c>
      <c r="BGZ671" t="str">
        <f>IFERROR(VLOOKUP(BHA671,'[3]Raw material  (3)'!BGY653:BHQ3729,3,0),"")</f>
        <v/>
      </c>
      <c r="BHA671" t="str">
        <f>IFERROR(VLOOKUP(BHB671,'[3]Raw material  (3)'!BGZ653:BHR3729,3,0),"")</f>
        <v/>
      </c>
      <c r="BHB671" t="str">
        <f>IFERROR(VLOOKUP(BHC671,'[3]Raw material  (3)'!BHA653:BHS3729,3,0),"")</f>
        <v/>
      </c>
      <c r="BHC671" t="str">
        <f>IFERROR(VLOOKUP(BHD671,'[3]Raw material  (3)'!BHB653:BHT3729,3,0),"")</f>
        <v/>
      </c>
      <c r="BHD671" t="str">
        <f>IFERROR(VLOOKUP(BHE671,'[3]Raw material  (3)'!BHC653:BHU3729,3,0),"")</f>
        <v/>
      </c>
      <c r="BHE671" t="str">
        <f>IFERROR(VLOOKUP(BHF671,'[3]Raw material  (3)'!BHD653:BHV3729,3,0),"")</f>
        <v/>
      </c>
      <c r="BHF671" t="str">
        <f>IFERROR(VLOOKUP(BHG671,'[3]Raw material  (3)'!BHE653:BHW3729,3,0),"")</f>
        <v/>
      </c>
      <c r="BHG671" t="str">
        <f>IFERROR(VLOOKUP(BHH671,'[3]Raw material  (3)'!BHF653:BHX3729,3,0),"")</f>
        <v/>
      </c>
      <c r="BHH671" t="str">
        <f>IFERROR(VLOOKUP(BHI671,'[3]Raw material  (3)'!BHG653:BHY3729,3,0),"")</f>
        <v/>
      </c>
      <c r="BHI671" t="str">
        <f>IFERROR(VLOOKUP(BHJ671,'[3]Raw material  (3)'!BHH653:BHZ3729,3,0),"")</f>
        <v/>
      </c>
      <c r="BHJ671" t="str">
        <f>IFERROR(VLOOKUP(BHK671,'[3]Raw material  (3)'!BHI653:BIA3729,3,0),"")</f>
        <v/>
      </c>
      <c r="BHK671" t="str">
        <f>IFERROR(VLOOKUP(BHL671,'[3]Raw material  (3)'!BHJ653:BIB3729,3,0),"")</f>
        <v/>
      </c>
      <c r="BHL671" t="str">
        <f>IFERROR(VLOOKUP(BHM671,'[3]Raw material  (3)'!BHK653:BIC3729,3,0),"")</f>
        <v/>
      </c>
      <c r="BHM671" t="str">
        <f>IFERROR(VLOOKUP(BHN671,'[3]Raw material  (3)'!BHL653:BID3729,3,0),"")</f>
        <v/>
      </c>
      <c r="BHN671" t="str">
        <f>IFERROR(VLOOKUP(BHO671,'[3]Raw material  (3)'!BHM653:BIE3729,3,0),"")</f>
        <v/>
      </c>
      <c r="BHO671" t="str">
        <f>IFERROR(VLOOKUP(BHP671,'[3]Raw material  (3)'!BHN653:BIF3729,3,0),"")</f>
        <v/>
      </c>
      <c r="BHP671" t="str">
        <f>IFERROR(VLOOKUP(BHQ671,'[3]Raw material  (3)'!BHO653:BIG3729,3,0),"")</f>
        <v/>
      </c>
      <c r="BHQ671" t="str">
        <f>IFERROR(VLOOKUP(BHR671,'[3]Raw material  (3)'!BHP653:BIH3729,3,0),"")</f>
        <v/>
      </c>
      <c r="BHR671" t="str">
        <f>IFERROR(VLOOKUP(BHS671,'[3]Raw material  (3)'!BHQ653:BII3729,3,0),"")</f>
        <v/>
      </c>
      <c r="BHS671" t="str">
        <f>IFERROR(VLOOKUP(BHT671,'[3]Raw material  (3)'!BHR653:BIJ3729,3,0),"")</f>
        <v/>
      </c>
      <c r="BHT671" t="str">
        <f>IFERROR(VLOOKUP(BHU671,'[3]Raw material  (3)'!BHS653:BIK3729,3,0),"")</f>
        <v/>
      </c>
      <c r="BHU671" t="str">
        <f>IFERROR(VLOOKUP(BHV671,'[3]Raw material  (3)'!BHT653:BIL3729,3,0),"")</f>
        <v/>
      </c>
      <c r="BHV671" t="str">
        <f>IFERROR(VLOOKUP(BHW671,'[3]Raw material  (3)'!BHU653:BIM3729,3,0),"")</f>
        <v/>
      </c>
      <c r="BHW671" t="str">
        <f>IFERROR(VLOOKUP(BHX671,'[3]Raw material  (3)'!BHV653:BIN3729,3,0),"")</f>
        <v/>
      </c>
      <c r="BHX671" t="str">
        <f>IFERROR(VLOOKUP(BHY671,'[3]Raw material  (3)'!BHW653:BIO3729,3,0),"")</f>
        <v/>
      </c>
      <c r="BHY671" t="str">
        <f>IFERROR(VLOOKUP(BHZ671,'[3]Raw material  (3)'!BHX653:BIP3729,3,0),"")</f>
        <v/>
      </c>
      <c r="BHZ671" t="str">
        <f>IFERROR(VLOOKUP(BIA671,'[3]Raw material  (3)'!BHY653:BIQ3729,3,0),"")</f>
        <v/>
      </c>
      <c r="BIA671" t="str">
        <f>IFERROR(VLOOKUP(BIB671,'[3]Raw material  (3)'!BHZ653:BIR3729,3,0),"")</f>
        <v/>
      </c>
      <c r="BIB671" t="str">
        <f>IFERROR(VLOOKUP(BIC671,'[3]Raw material  (3)'!BIA653:BIS3729,3,0),"")</f>
        <v/>
      </c>
      <c r="BIC671" t="str">
        <f>IFERROR(VLOOKUP(BID671,'[3]Raw material  (3)'!BIB653:BIT3729,3,0),"")</f>
        <v/>
      </c>
      <c r="BID671" t="str">
        <f>IFERROR(VLOOKUP(BIE671,'[3]Raw material  (3)'!BIC653:BIU3729,3,0),"")</f>
        <v/>
      </c>
      <c r="BIE671" t="str">
        <f>IFERROR(VLOOKUP(BIF671,'[3]Raw material  (3)'!BID653:BIV3729,3,0),"")</f>
        <v/>
      </c>
      <c r="BIF671" t="str">
        <f>IFERROR(VLOOKUP(BIG671,'[3]Raw material  (3)'!BIE653:BIW3729,3,0),"")</f>
        <v/>
      </c>
      <c r="BIG671" t="str">
        <f>IFERROR(VLOOKUP(BIH671,'[3]Raw material  (3)'!BIF653:BIX3729,3,0),"")</f>
        <v/>
      </c>
      <c r="BIH671" t="str">
        <f>IFERROR(VLOOKUP(BII671,'[3]Raw material  (3)'!BIG653:BIY3729,3,0),"")</f>
        <v/>
      </c>
      <c r="BII671" t="str">
        <f>IFERROR(VLOOKUP(BIJ671,'[3]Raw material  (3)'!BIH653:BIZ3729,3,0),"")</f>
        <v/>
      </c>
      <c r="BIJ671" t="str">
        <f>IFERROR(VLOOKUP(BIK671,'[3]Raw material  (3)'!BII653:BJA3729,3,0),"")</f>
        <v/>
      </c>
      <c r="BIK671" t="str">
        <f>IFERROR(VLOOKUP(BIL671,'[3]Raw material  (3)'!BIJ653:BJB3729,3,0),"")</f>
        <v/>
      </c>
      <c r="BIL671" t="str">
        <f>IFERROR(VLOOKUP(BIM671,'[3]Raw material  (3)'!BIK653:BJC3729,3,0),"")</f>
        <v/>
      </c>
      <c r="BIM671" t="str">
        <f>IFERROR(VLOOKUP(BIN671,'[3]Raw material  (3)'!BIL653:BJD3729,3,0),"")</f>
        <v/>
      </c>
      <c r="BIN671" t="str">
        <f>IFERROR(VLOOKUP(BIO671,'[3]Raw material  (3)'!BIM653:BJE3729,3,0),"")</f>
        <v/>
      </c>
      <c r="BIO671" t="str">
        <f>IFERROR(VLOOKUP(BIP671,'[3]Raw material  (3)'!BIN653:BJF3729,3,0),"")</f>
        <v/>
      </c>
      <c r="BIP671" t="str">
        <f>IFERROR(VLOOKUP(BIQ671,'[3]Raw material  (3)'!BIO653:BJG3729,3,0),"")</f>
        <v/>
      </c>
      <c r="BIQ671" t="str">
        <f>IFERROR(VLOOKUP(BIR671,'[3]Raw material  (3)'!BIP653:BJH3729,3,0),"")</f>
        <v/>
      </c>
      <c r="BIR671" t="str">
        <f>IFERROR(VLOOKUP(BIS671,'[3]Raw material  (3)'!BIQ653:BJI3729,3,0),"")</f>
        <v/>
      </c>
      <c r="BIS671" t="str">
        <f>IFERROR(VLOOKUP(BIT671,'[3]Raw material  (3)'!BIR653:BJJ3729,3,0),"")</f>
        <v/>
      </c>
      <c r="BIT671" t="str">
        <f>IFERROR(VLOOKUP(BIU671,'[3]Raw material  (3)'!BIS653:BJK3729,3,0),"")</f>
        <v/>
      </c>
      <c r="BIU671" t="str">
        <f>IFERROR(VLOOKUP(BIV671,'[3]Raw material  (3)'!BIT653:BJL3729,3,0),"")</f>
        <v/>
      </c>
      <c r="BIV671" t="str">
        <f>IFERROR(VLOOKUP(BIW671,'[3]Raw material  (3)'!BIU653:BJM3729,3,0),"")</f>
        <v/>
      </c>
      <c r="BIW671" t="str">
        <f>IFERROR(VLOOKUP(BIX671,'[3]Raw material  (3)'!BIV653:BJN3729,3,0),"")</f>
        <v/>
      </c>
      <c r="BIX671" t="str">
        <f>IFERROR(VLOOKUP(BIY671,'[3]Raw material  (3)'!BIW653:BJO3729,3,0),"")</f>
        <v/>
      </c>
      <c r="BIY671" t="str">
        <f>IFERROR(VLOOKUP(BIZ671,'[3]Raw material  (3)'!BIX653:BJP3729,3,0),"")</f>
        <v/>
      </c>
      <c r="BIZ671" t="str">
        <f>IFERROR(VLOOKUP(BJA671,'[3]Raw material  (3)'!BIY653:BJQ3729,3,0),"")</f>
        <v/>
      </c>
      <c r="BJA671" t="str">
        <f>IFERROR(VLOOKUP(BJB671,'[3]Raw material  (3)'!BIZ653:BJR3729,3,0),"")</f>
        <v/>
      </c>
      <c r="BJB671" t="str">
        <f>IFERROR(VLOOKUP(BJC671,'[3]Raw material  (3)'!BJA653:BJS3729,3,0),"")</f>
        <v/>
      </c>
      <c r="BJC671" t="str">
        <f>IFERROR(VLOOKUP(BJD671,'[3]Raw material  (3)'!BJB653:BJT3729,3,0),"")</f>
        <v/>
      </c>
      <c r="BJD671" t="str">
        <f>IFERROR(VLOOKUP(BJE671,'[3]Raw material  (3)'!BJC653:BJU3729,3,0),"")</f>
        <v/>
      </c>
      <c r="BJE671" t="str">
        <f>IFERROR(VLOOKUP(BJF671,'[3]Raw material  (3)'!BJD653:BJV3729,3,0),"")</f>
        <v/>
      </c>
      <c r="BJF671" t="str">
        <f>IFERROR(VLOOKUP(BJG671,'[3]Raw material  (3)'!BJE653:BJW3729,3,0),"")</f>
        <v/>
      </c>
      <c r="BJG671" t="str">
        <f>IFERROR(VLOOKUP(BJH671,'[3]Raw material  (3)'!BJF653:BJX3729,3,0),"")</f>
        <v/>
      </c>
      <c r="BJH671" t="str">
        <f>IFERROR(VLOOKUP(BJI671,'[3]Raw material  (3)'!BJG653:BJY3729,3,0),"")</f>
        <v/>
      </c>
      <c r="BJI671" t="str">
        <f>IFERROR(VLOOKUP(BJJ671,'[3]Raw material  (3)'!BJH653:BJZ3729,3,0),"")</f>
        <v/>
      </c>
      <c r="BJJ671" t="str">
        <f>IFERROR(VLOOKUP(BJK671,'[3]Raw material  (3)'!BJI653:BKA3729,3,0),"")</f>
        <v/>
      </c>
      <c r="BJK671" t="str">
        <f>IFERROR(VLOOKUP(BJL671,'[3]Raw material  (3)'!BJJ653:BKB3729,3,0),"")</f>
        <v/>
      </c>
      <c r="BJL671" t="str">
        <f>IFERROR(VLOOKUP(BJM671,'[3]Raw material  (3)'!BJK653:BKC3729,3,0),"")</f>
        <v/>
      </c>
      <c r="BJM671" t="str">
        <f>IFERROR(VLOOKUP(BJN671,'[3]Raw material  (3)'!BJL653:BKD3729,3,0),"")</f>
        <v/>
      </c>
      <c r="BJN671" t="str">
        <f>IFERROR(VLOOKUP(BJO671,'[3]Raw material  (3)'!BJM653:BKE3729,3,0),"")</f>
        <v/>
      </c>
      <c r="BJO671" t="str">
        <f>IFERROR(VLOOKUP(BJP671,'[3]Raw material  (3)'!BJN653:BKF3729,3,0),"")</f>
        <v/>
      </c>
      <c r="BJP671" t="str">
        <f>IFERROR(VLOOKUP(BJQ671,'[3]Raw material  (3)'!BJO653:BKG3729,3,0),"")</f>
        <v/>
      </c>
      <c r="BJQ671" t="str">
        <f>IFERROR(VLOOKUP(BJR671,'[3]Raw material  (3)'!BJP653:BKH3729,3,0),"")</f>
        <v/>
      </c>
      <c r="BJR671" t="str">
        <f>IFERROR(VLOOKUP(BJS671,'[3]Raw material  (3)'!BJQ653:BKI3729,3,0),"")</f>
        <v/>
      </c>
      <c r="BJS671" t="str">
        <f>IFERROR(VLOOKUP(BJT671,'[3]Raw material  (3)'!BJR653:BKJ3729,3,0),"")</f>
        <v/>
      </c>
      <c r="BJT671" t="str">
        <f>IFERROR(VLOOKUP(BJU671,'[3]Raw material  (3)'!BJS653:BKK3729,3,0),"")</f>
        <v/>
      </c>
      <c r="BJU671" t="str">
        <f>IFERROR(VLOOKUP(BJV671,'[3]Raw material  (3)'!BJT653:BKL3729,3,0),"")</f>
        <v/>
      </c>
      <c r="BJV671" t="str">
        <f>IFERROR(VLOOKUP(BJW671,'[3]Raw material  (3)'!BJU653:BKM3729,3,0),"")</f>
        <v/>
      </c>
      <c r="BJW671" t="str">
        <f>IFERROR(VLOOKUP(BJX671,'[3]Raw material  (3)'!BJV653:BKN3729,3,0),"")</f>
        <v/>
      </c>
      <c r="BJX671" t="str">
        <f>IFERROR(VLOOKUP(BJY671,'[3]Raw material  (3)'!BJW653:BKO3729,3,0),"")</f>
        <v/>
      </c>
      <c r="BJY671" t="str">
        <f>IFERROR(VLOOKUP(BJZ671,'[3]Raw material  (3)'!BJX653:BKP3729,3,0),"")</f>
        <v/>
      </c>
      <c r="BJZ671" t="str">
        <f>IFERROR(VLOOKUP(BKA671,'[3]Raw material  (3)'!BJY653:BKQ3729,3,0),"")</f>
        <v/>
      </c>
      <c r="BKA671" t="str">
        <f>IFERROR(VLOOKUP(BKB671,'[3]Raw material  (3)'!BJZ653:BKR3729,3,0),"")</f>
        <v/>
      </c>
      <c r="BKB671" t="str">
        <f>IFERROR(VLOOKUP(BKC671,'[3]Raw material  (3)'!BKA653:BKS3729,3,0),"")</f>
        <v/>
      </c>
      <c r="BKC671" t="str">
        <f>IFERROR(VLOOKUP(BKD671,'[3]Raw material  (3)'!BKB653:BKT3729,3,0),"")</f>
        <v/>
      </c>
      <c r="BKD671" t="str">
        <f>IFERROR(VLOOKUP(BKE671,'[3]Raw material  (3)'!BKC653:BKU3729,3,0),"")</f>
        <v/>
      </c>
      <c r="BKE671" t="str">
        <f>IFERROR(VLOOKUP(BKF671,'[3]Raw material  (3)'!BKD653:BKV3729,3,0),"")</f>
        <v/>
      </c>
      <c r="BKF671" t="str">
        <f>IFERROR(VLOOKUP(BKG671,'[3]Raw material  (3)'!BKE653:BKW3729,3,0),"")</f>
        <v/>
      </c>
      <c r="BKG671" t="str">
        <f>IFERROR(VLOOKUP(BKH671,'[3]Raw material  (3)'!BKF653:BKX3729,3,0),"")</f>
        <v/>
      </c>
      <c r="BKH671" t="str">
        <f>IFERROR(VLOOKUP(BKI671,'[3]Raw material  (3)'!BKG653:BKY3729,3,0),"")</f>
        <v/>
      </c>
      <c r="BKI671" t="str">
        <f>IFERROR(VLOOKUP(BKJ671,'[3]Raw material  (3)'!BKH653:BKZ3729,3,0),"")</f>
        <v/>
      </c>
      <c r="BKJ671" t="str">
        <f>IFERROR(VLOOKUP(BKK671,'[3]Raw material  (3)'!BKI653:BLA3729,3,0),"")</f>
        <v/>
      </c>
      <c r="BKK671" t="str">
        <f>IFERROR(VLOOKUP(BKL671,'[3]Raw material  (3)'!BKJ653:BLB3729,3,0),"")</f>
        <v/>
      </c>
      <c r="BKL671" t="str">
        <f>IFERROR(VLOOKUP(BKM671,'[3]Raw material  (3)'!BKK653:BLC3729,3,0),"")</f>
        <v/>
      </c>
      <c r="BKM671" t="str">
        <f>IFERROR(VLOOKUP(BKN671,'[3]Raw material  (3)'!BKL653:BLD3729,3,0),"")</f>
        <v/>
      </c>
      <c r="BKN671" t="str">
        <f>IFERROR(VLOOKUP(BKO671,'[3]Raw material  (3)'!BKM653:BLE3729,3,0),"")</f>
        <v/>
      </c>
      <c r="BKO671" t="str">
        <f>IFERROR(VLOOKUP(BKP671,'[3]Raw material  (3)'!BKN653:BLF3729,3,0),"")</f>
        <v/>
      </c>
      <c r="BKP671" t="str">
        <f>IFERROR(VLOOKUP(BKQ671,'[3]Raw material  (3)'!BKO653:BLG3729,3,0),"")</f>
        <v/>
      </c>
      <c r="BKQ671" t="str">
        <f>IFERROR(VLOOKUP(BKR671,'[3]Raw material  (3)'!BKP653:BLH3729,3,0),"")</f>
        <v/>
      </c>
      <c r="BKR671" t="str">
        <f>IFERROR(VLOOKUP(BKS671,'[3]Raw material  (3)'!BKQ653:BLI3729,3,0),"")</f>
        <v/>
      </c>
      <c r="BKS671" t="str">
        <f>IFERROR(VLOOKUP(BKT671,'[3]Raw material  (3)'!BKR653:BLJ3729,3,0),"")</f>
        <v/>
      </c>
      <c r="BKT671" t="str">
        <f>IFERROR(VLOOKUP(BKU671,'[3]Raw material  (3)'!BKS653:BLK3729,3,0),"")</f>
        <v/>
      </c>
      <c r="BKU671" t="str">
        <f>IFERROR(VLOOKUP(BKV671,'[3]Raw material  (3)'!BKT653:BLL3729,3,0),"")</f>
        <v/>
      </c>
      <c r="BKV671" t="str">
        <f>IFERROR(VLOOKUP(BKW671,'[3]Raw material  (3)'!BKU653:BLM3729,3,0),"")</f>
        <v/>
      </c>
      <c r="BKW671" t="str">
        <f>IFERROR(VLOOKUP(BKX671,'[3]Raw material  (3)'!BKV653:BLN3729,3,0),"")</f>
        <v/>
      </c>
      <c r="BKX671" t="str">
        <f>IFERROR(VLOOKUP(BKY671,'[3]Raw material  (3)'!BKW653:BLO3729,3,0),"")</f>
        <v/>
      </c>
      <c r="BKY671" t="str">
        <f>IFERROR(VLOOKUP(BKZ671,'[3]Raw material  (3)'!BKX653:BLP3729,3,0),"")</f>
        <v/>
      </c>
      <c r="BKZ671" t="str">
        <f>IFERROR(VLOOKUP(BLA671,'[3]Raw material  (3)'!BKY653:BLQ3729,3,0),"")</f>
        <v/>
      </c>
      <c r="BLA671" t="str">
        <f>IFERROR(VLOOKUP(BLB671,'[3]Raw material  (3)'!BKZ653:BLR3729,3,0),"")</f>
        <v/>
      </c>
      <c r="BLB671" t="str">
        <f>IFERROR(VLOOKUP(BLC671,'[3]Raw material  (3)'!BLA653:BLS3729,3,0),"")</f>
        <v/>
      </c>
      <c r="BLC671" t="str">
        <f>IFERROR(VLOOKUP(BLD671,'[3]Raw material  (3)'!BLB653:BLT3729,3,0),"")</f>
        <v/>
      </c>
      <c r="BLD671" t="str">
        <f>IFERROR(VLOOKUP(BLE671,'[3]Raw material  (3)'!BLC653:BLU3729,3,0),"")</f>
        <v/>
      </c>
      <c r="BLE671" t="str">
        <f>IFERROR(VLOOKUP(BLF671,'[3]Raw material  (3)'!BLD653:BLV3729,3,0),"")</f>
        <v/>
      </c>
      <c r="BLF671" t="str">
        <f>IFERROR(VLOOKUP(BLG671,'[3]Raw material  (3)'!BLE653:BLW3729,3,0),"")</f>
        <v/>
      </c>
      <c r="BLG671" t="str">
        <f>IFERROR(VLOOKUP(BLH671,'[3]Raw material  (3)'!BLF653:BLX3729,3,0),"")</f>
        <v/>
      </c>
      <c r="BLH671" t="str">
        <f>IFERROR(VLOOKUP(BLI671,'[3]Raw material  (3)'!BLG653:BLY3729,3,0),"")</f>
        <v/>
      </c>
      <c r="BLI671" t="str">
        <f>IFERROR(VLOOKUP(BLJ671,'[3]Raw material  (3)'!BLH653:BLZ3729,3,0),"")</f>
        <v/>
      </c>
      <c r="BLJ671" t="str">
        <f>IFERROR(VLOOKUP(BLK671,'[3]Raw material  (3)'!BLI653:BMA3729,3,0),"")</f>
        <v/>
      </c>
      <c r="BLK671" t="str">
        <f>IFERROR(VLOOKUP(BLL671,'[3]Raw material  (3)'!BLJ653:BMB3729,3,0),"")</f>
        <v/>
      </c>
      <c r="BLL671" t="str">
        <f>IFERROR(VLOOKUP(BLM671,'[3]Raw material  (3)'!BLK653:BMC3729,3,0),"")</f>
        <v/>
      </c>
      <c r="BLM671" t="str">
        <f>IFERROR(VLOOKUP(BLN671,'[3]Raw material  (3)'!BLL653:BMD3729,3,0),"")</f>
        <v/>
      </c>
      <c r="BLN671" t="str">
        <f>IFERROR(VLOOKUP(BLO671,'[3]Raw material  (3)'!BLM653:BME3729,3,0),"")</f>
        <v/>
      </c>
      <c r="BLO671" t="str">
        <f>IFERROR(VLOOKUP(BLP671,'[3]Raw material  (3)'!BLN653:BMF3729,3,0),"")</f>
        <v/>
      </c>
      <c r="BLP671" t="str">
        <f>IFERROR(VLOOKUP(BLQ671,'[3]Raw material  (3)'!BLO653:BMG3729,3,0),"")</f>
        <v/>
      </c>
      <c r="BLQ671" t="str">
        <f>IFERROR(VLOOKUP(BLR671,'[3]Raw material  (3)'!BLP653:BMH3729,3,0),"")</f>
        <v/>
      </c>
      <c r="BLR671" t="str">
        <f>IFERROR(VLOOKUP(BLS671,'[3]Raw material  (3)'!BLQ653:BMI3729,3,0),"")</f>
        <v/>
      </c>
      <c r="BLS671" t="str">
        <f>IFERROR(VLOOKUP(BLT671,'[3]Raw material  (3)'!BLR653:BMJ3729,3,0),"")</f>
        <v/>
      </c>
      <c r="BLT671" t="str">
        <f>IFERROR(VLOOKUP(BLU671,'[3]Raw material  (3)'!BLS653:BMK3729,3,0),"")</f>
        <v/>
      </c>
      <c r="BLU671" t="str">
        <f>IFERROR(VLOOKUP(BLV671,'[3]Raw material  (3)'!BLT653:BML3729,3,0),"")</f>
        <v/>
      </c>
      <c r="BLV671" t="str">
        <f>IFERROR(VLOOKUP(BLW671,'[3]Raw material  (3)'!BLU653:BMM3729,3,0),"")</f>
        <v/>
      </c>
      <c r="BLW671" t="str">
        <f>IFERROR(VLOOKUP(BLX671,'[3]Raw material  (3)'!BLV653:BMN3729,3,0),"")</f>
        <v/>
      </c>
      <c r="BLX671" t="str">
        <f>IFERROR(VLOOKUP(BLY671,'[3]Raw material  (3)'!BLW653:BMO3729,3,0),"")</f>
        <v/>
      </c>
      <c r="BLY671" t="str">
        <f>IFERROR(VLOOKUP(BLZ671,'[3]Raw material  (3)'!BLX653:BMP3729,3,0),"")</f>
        <v/>
      </c>
      <c r="BLZ671" t="str">
        <f>IFERROR(VLOOKUP(BMA671,'[3]Raw material  (3)'!BLY653:BMQ3729,3,0),"")</f>
        <v/>
      </c>
      <c r="BMA671" t="str">
        <f>IFERROR(VLOOKUP(BMB671,'[3]Raw material  (3)'!BLZ653:BMR3729,3,0),"")</f>
        <v/>
      </c>
      <c r="BMB671" t="str">
        <f>IFERROR(VLOOKUP(BMC671,'[3]Raw material  (3)'!BMA653:BMS3729,3,0),"")</f>
        <v/>
      </c>
      <c r="BMC671" t="str">
        <f>IFERROR(VLOOKUP(BMD671,'[3]Raw material  (3)'!BMB653:BMT3729,3,0),"")</f>
        <v/>
      </c>
      <c r="BMD671" t="str">
        <f>IFERROR(VLOOKUP(BME671,'[3]Raw material  (3)'!BMC653:BMU3729,3,0),"")</f>
        <v/>
      </c>
      <c r="BME671" t="str">
        <f>IFERROR(VLOOKUP(BMF671,'[3]Raw material  (3)'!BMD653:BMV3729,3,0),"")</f>
        <v/>
      </c>
      <c r="BMF671" t="str">
        <f>IFERROR(VLOOKUP(BMG671,'[3]Raw material  (3)'!BME653:BMW3729,3,0),"")</f>
        <v/>
      </c>
      <c r="BMG671" t="str">
        <f>IFERROR(VLOOKUP(BMH671,'[3]Raw material  (3)'!BMF653:BMX3729,3,0),"")</f>
        <v/>
      </c>
      <c r="BMH671" t="str">
        <f>IFERROR(VLOOKUP(BMI671,'[3]Raw material  (3)'!BMG653:BMY3729,3,0),"")</f>
        <v/>
      </c>
      <c r="BMI671" t="str">
        <f>IFERROR(VLOOKUP(BMJ671,'[3]Raw material  (3)'!BMH653:BMZ3729,3,0),"")</f>
        <v/>
      </c>
      <c r="BMJ671" t="str">
        <f>IFERROR(VLOOKUP(BMK671,'[3]Raw material  (3)'!BMI653:BNA3729,3,0),"")</f>
        <v/>
      </c>
      <c r="BMK671" t="str">
        <f>IFERROR(VLOOKUP(BML671,'[3]Raw material  (3)'!BMJ653:BNB3729,3,0),"")</f>
        <v/>
      </c>
      <c r="BML671" t="str">
        <f>IFERROR(VLOOKUP(BMM671,'[3]Raw material  (3)'!BMK653:BNC3729,3,0),"")</f>
        <v/>
      </c>
      <c r="BMM671" t="str">
        <f>IFERROR(VLOOKUP(BMN671,'[3]Raw material  (3)'!BML653:BND3729,3,0),"")</f>
        <v/>
      </c>
      <c r="BMN671" t="str">
        <f>IFERROR(VLOOKUP(BMO671,'[3]Raw material  (3)'!BMM653:BNE3729,3,0),"")</f>
        <v/>
      </c>
      <c r="BMO671" t="str">
        <f>IFERROR(VLOOKUP(BMP671,'[3]Raw material  (3)'!BMN653:BNF3729,3,0),"")</f>
        <v/>
      </c>
      <c r="BMP671" t="str">
        <f>IFERROR(VLOOKUP(BMQ671,'[3]Raw material  (3)'!BMO653:BNG3729,3,0),"")</f>
        <v/>
      </c>
      <c r="BMQ671" t="str">
        <f>IFERROR(VLOOKUP(BMR671,'[3]Raw material  (3)'!BMP653:BNH3729,3,0),"")</f>
        <v/>
      </c>
      <c r="BMR671" t="str">
        <f>IFERROR(VLOOKUP(BMS671,'[3]Raw material  (3)'!BMQ653:BNI3729,3,0),"")</f>
        <v/>
      </c>
      <c r="BMS671" t="str">
        <f>IFERROR(VLOOKUP(BMT671,'[3]Raw material  (3)'!BMR653:BNJ3729,3,0),"")</f>
        <v/>
      </c>
      <c r="BMT671" t="str">
        <f>IFERROR(VLOOKUP(BMU671,'[3]Raw material  (3)'!BMS653:BNK3729,3,0),"")</f>
        <v/>
      </c>
      <c r="BMU671" t="str">
        <f>IFERROR(VLOOKUP(BMV671,'[3]Raw material  (3)'!BMT653:BNL3729,3,0),"")</f>
        <v/>
      </c>
      <c r="BMV671" t="str">
        <f>IFERROR(VLOOKUP(BMW671,'[3]Raw material  (3)'!BMU653:BNM3729,3,0),"")</f>
        <v/>
      </c>
      <c r="BMW671" t="str">
        <f>IFERROR(VLOOKUP(BMX671,'[3]Raw material  (3)'!BMV653:BNN3729,3,0),"")</f>
        <v/>
      </c>
      <c r="BMX671" t="str">
        <f>IFERROR(VLOOKUP(BMY671,'[3]Raw material  (3)'!BMW653:BNO3729,3,0),"")</f>
        <v/>
      </c>
      <c r="BMY671" t="str">
        <f>IFERROR(VLOOKUP(BMZ671,'[3]Raw material  (3)'!BMX653:BNP3729,3,0),"")</f>
        <v/>
      </c>
      <c r="BMZ671" t="str">
        <f>IFERROR(VLOOKUP(BNA671,'[3]Raw material  (3)'!BMY653:BNQ3729,3,0),"")</f>
        <v/>
      </c>
      <c r="BNA671" t="str">
        <f>IFERROR(VLOOKUP(BNB671,'[3]Raw material  (3)'!BMZ653:BNR3729,3,0),"")</f>
        <v/>
      </c>
      <c r="BNB671" t="str">
        <f>IFERROR(VLOOKUP(BNC671,'[3]Raw material  (3)'!BNA653:BNS3729,3,0),"")</f>
        <v/>
      </c>
      <c r="BNC671" t="str">
        <f>IFERROR(VLOOKUP(BND671,'[3]Raw material  (3)'!BNB653:BNT3729,3,0),"")</f>
        <v/>
      </c>
      <c r="BND671" t="str">
        <f>IFERROR(VLOOKUP(BNE671,'[3]Raw material  (3)'!BNC653:BNU3729,3,0),"")</f>
        <v/>
      </c>
      <c r="BNE671" t="str">
        <f>IFERROR(VLOOKUP(BNF671,'[3]Raw material  (3)'!BND653:BNV3729,3,0),"")</f>
        <v/>
      </c>
      <c r="BNF671" t="str">
        <f>IFERROR(VLOOKUP(BNG671,'[3]Raw material  (3)'!BNE653:BNW3729,3,0),"")</f>
        <v/>
      </c>
      <c r="BNG671" t="str">
        <f>IFERROR(VLOOKUP(BNH671,'[3]Raw material  (3)'!BNF653:BNX3729,3,0),"")</f>
        <v/>
      </c>
      <c r="BNH671" t="str">
        <f>IFERROR(VLOOKUP(BNI671,'[3]Raw material  (3)'!BNG653:BNY3729,3,0),"")</f>
        <v/>
      </c>
      <c r="BNI671" t="str">
        <f>IFERROR(VLOOKUP(BNJ671,'[3]Raw material  (3)'!BNH653:BNZ3729,3,0),"")</f>
        <v/>
      </c>
      <c r="BNJ671" t="str">
        <f>IFERROR(VLOOKUP(BNK671,'[3]Raw material  (3)'!BNI653:BOA3729,3,0),"")</f>
        <v/>
      </c>
      <c r="BNK671" t="str">
        <f>IFERROR(VLOOKUP(BNL671,'[3]Raw material  (3)'!BNJ653:BOB3729,3,0),"")</f>
        <v/>
      </c>
      <c r="BNL671" t="str">
        <f>IFERROR(VLOOKUP(BNM671,'[3]Raw material  (3)'!BNK653:BOC3729,3,0),"")</f>
        <v/>
      </c>
      <c r="BNM671" t="str">
        <f>IFERROR(VLOOKUP(BNN671,'[3]Raw material  (3)'!BNL653:BOD3729,3,0),"")</f>
        <v/>
      </c>
      <c r="BNN671" t="str">
        <f>IFERROR(VLOOKUP(BNO671,'[3]Raw material  (3)'!BNM653:BOE3729,3,0),"")</f>
        <v/>
      </c>
      <c r="BNO671" t="str">
        <f>IFERROR(VLOOKUP(BNP671,'[3]Raw material  (3)'!BNN653:BOF3729,3,0),"")</f>
        <v/>
      </c>
      <c r="BNP671" t="str">
        <f>IFERROR(VLOOKUP(BNQ671,'[3]Raw material  (3)'!BNO653:BOG3729,3,0),"")</f>
        <v/>
      </c>
      <c r="BNQ671" t="str">
        <f>IFERROR(VLOOKUP(BNR671,'[3]Raw material  (3)'!BNP653:BOH3729,3,0),"")</f>
        <v/>
      </c>
      <c r="BNR671" t="str">
        <f>IFERROR(VLOOKUP(BNS671,'[3]Raw material  (3)'!BNQ653:BOI3729,3,0),"")</f>
        <v/>
      </c>
      <c r="BNS671" t="str">
        <f>IFERROR(VLOOKUP(BNT671,'[3]Raw material  (3)'!BNR653:BOJ3729,3,0),"")</f>
        <v/>
      </c>
      <c r="BNT671" t="str">
        <f>IFERROR(VLOOKUP(BNU671,'[3]Raw material  (3)'!BNS653:BOK3729,3,0),"")</f>
        <v/>
      </c>
      <c r="BNU671" t="str">
        <f>IFERROR(VLOOKUP(BNV671,'[3]Raw material  (3)'!BNT653:BOL3729,3,0),"")</f>
        <v/>
      </c>
      <c r="BNV671" t="str">
        <f>IFERROR(VLOOKUP(BNW671,'[3]Raw material  (3)'!BNU653:BOM3729,3,0),"")</f>
        <v/>
      </c>
      <c r="BNW671" t="str">
        <f>IFERROR(VLOOKUP(BNX671,'[3]Raw material  (3)'!BNV653:BON3729,3,0),"")</f>
        <v/>
      </c>
      <c r="BNX671" t="str">
        <f>IFERROR(VLOOKUP(BNY671,'[3]Raw material  (3)'!BNW653:BOO3729,3,0),"")</f>
        <v/>
      </c>
      <c r="BNY671" t="str">
        <f>IFERROR(VLOOKUP(BNZ671,'[3]Raw material  (3)'!BNX653:BOP3729,3,0),"")</f>
        <v/>
      </c>
      <c r="BNZ671" t="str">
        <f>IFERROR(VLOOKUP(BOA671,'[3]Raw material  (3)'!BNY653:BOQ3729,3,0),"")</f>
        <v/>
      </c>
      <c r="BOA671" t="str">
        <f>IFERROR(VLOOKUP(BOB671,'[3]Raw material  (3)'!BNZ653:BOR3729,3,0),"")</f>
        <v/>
      </c>
      <c r="BOB671" t="str">
        <f>IFERROR(VLOOKUP(BOC671,'[3]Raw material  (3)'!BOA653:BOS3729,3,0),"")</f>
        <v/>
      </c>
      <c r="BOC671" t="str">
        <f>IFERROR(VLOOKUP(BOD671,'[3]Raw material  (3)'!BOB653:BOT3729,3,0),"")</f>
        <v/>
      </c>
      <c r="BOD671" t="str">
        <f>IFERROR(VLOOKUP(BOE671,'[3]Raw material  (3)'!BOC653:BOU3729,3,0),"")</f>
        <v/>
      </c>
      <c r="BOE671" t="str">
        <f>IFERROR(VLOOKUP(BOF671,'[3]Raw material  (3)'!BOD653:BOV3729,3,0),"")</f>
        <v/>
      </c>
      <c r="BOF671" t="str">
        <f>IFERROR(VLOOKUP(BOG671,'[3]Raw material  (3)'!BOE653:BOW3729,3,0),"")</f>
        <v/>
      </c>
      <c r="BOG671" t="str">
        <f>IFERROR(VLOOKUP(BOH671,'[3]Raw material  (3)'!BOF653:BOX3729,3,0),"")</f>
        <v/>
      </c>
      <c r="BOH671" t="str">
        <f>IFERROR(VLOOKUP(BOI671,'[3]Raw material  (3)'!BOG653:BOY3729,3,0),"")</f>
        <v/>
      </c>
      <c r="BOI671" t="str">
        <f>IFERROR(VLOOKUP(BOJ671,'[3]Raw material  (3)'!BOH653:BOZ3729,3,0),"")</f>
        <v/>
      </c>
      <c r="BOJ671" t="str">
        <f>IFERROR(VLOOKUP(BOK671,'[3]Raw material  (3)'!BOI653:BPA3729,3,0),"")</f>
        <v/>
      </c>
      <c r="BOK671" t="str">
        <f>IFERROR(VLOOKUP(BOL671,'[3]Raw material  (3)'!BOJ653:BPB3729,3,0),"")</f>
        <v/>
      </c>
      <c r="BOL671" t="str">
        <f>IFERROR(VLOOKUP(BOM671,'[3]Raw material  (3)'!BOK653:BPC3729,3,0),"")</f>
        <v/>
      </c>
      <c r="BOM671" t="str">
        <f>IFERROR(VLOOKUP(BON671,'[3]Raw material  (3)'!BOL653:BPD3729,3,0),"")</f>
        <v/>
      </c>
      <c r="BON671" t="str">
        <f>IFERROR(VLOOKUP(BOO671,'[3]Raw material  (3)'!BOM653:BPE3729,3,0),"")</f>
        <v/>
      </c>
      <c r="BOO671" t="str">
        <f>IFERROR(VLOOKUP(BOP671,'[3]Raw material  (3)'!BON653:BPF3729,3,0),"")</f>
        <v/>
      </c>
      <c r="BOP671" t="str">
        <f>IFERROR(VLOOKUP(BOQ671,'[3]Raw material  (3)'!BOO653:BPG3729,3,0),"")</f>
        <v/>
      </c>
      <c r="BOQ671" t="str">
        <f>IFERROR(VLOOKUP(BOR671,'[3]Raw material  (3)'!BOP653:BPH3729,3,0),"")</f>
        <v/>
      </c>
      <c r="BOR671" t="str">
        <f>IFERROR(VLOOKUP(BOS671,'[3]Raw material  (3)'!BOQ653:BPI3729,3,0),"")</f>
        <v/>
      </c>
      <c r="BOS671" t="str">
        <f>IFERROR(VLOOKUP(BOT671,'[3]Raw material  (3)'!BOR653:BPJ3729,3,0),"")</f>
        <v/>
      </c>
      <c r="BOT671" t="str">
        <f>IFERROR(VLOOKUP(BOU671,'[3]Raw material  (3)'!BOS653:BPK3729,3,0),"")</f>
        <v/>
      </c>
      <c r="BOU671" t="str">
        <f>IFERROR(VLOOKUP(BOV671,'[3]Raw material  (3)'!BOT653:BPL3729,3,0),"")</f>
        <v/>
      </c>
      <c r="BOV671" t="str">
        <f>IFERROR(VLOOKUP(BOW671,'[3]Raw material  (3)'!BOU653:BPM3729,3,0),"")</f>
        <v/>
      </c>
      <c r="BOW671" t="str">
        <f>IFERROR(VLOOKUP(BOX671,'[3]Raw material  (3)'!BOV653:BPN3729,3,0),"")</f>
        <v/>
      </c>
      <c r="BOX671" t="str">
        <f>IFERROR(VLOOKUP(BOY671,'[3]Raw material  (3)'!BOW653:BPO3729,3,0),"")</f>
        <v/>
      </c>
      <c r="BOY671" t="str">
        <f>IFERROR(VLOOKUP(BOZ671,'[3]Raw material  (3)'!BOX653:BPP3729,3,0),"")</f>
        <v/>
      </c>
      <c r="BOZ671" t="str">
        <f>IFERROR(VLOOKUP(BPA671,'[3]Raw material  (3)'!BOY653:BPQ3729,3,0),"")</f>
        <v/>
      </c>
      <c r="BPA671" t="str">
        <f>IFERROR(VLOOKUP(BPB671,'[3]Raw material  (3)'!BOZ653:BPR3729,3,0),"")</f>
        <v/>
      </c>
      <c r="BPB671" t="str">
        <f>IFERROR(VLOOKUP(BPC671,'[3]Raw material  (3)'!BPA653:BPS3729,3,0),"")</f>
        <v/>
      </c>
      <c r="BPC671" t="str">
        <f>IFERROR(VLOOKUP(BPD671,'[3]Raw material  (3)'!BPB653:BPT3729,3,0),"")</f>
        <v/>
      </c>
      <c r="BPD671" t="str">
        <f>IFERROR(VLOOKUP(BPE671,'[3]Raw material  (3)'!BPC653:BPU3729,3,0),"")</f>
        <v/>
      </c>
      <c r="BPE671" t="str">
        <f>IFERROR(VLOOKUP(BPF671,'[3]Raw material  (3)'!BPD653:BPV3729,3,0),"")</f>
        <v/>
      </c>
      <c r="BPF671" t="str">
        <f>IFERROR(VLOOKUP(BPG671,'[3]Raw material  (3)'!BPE653:BPW3729,3,0),"")</f>
        <v/>
      </c>
      <c r="BPG671" t="str">
        <f>IFERROR(VLOOKUP(BPH671,'[3]Raw material  (3)'!BPF653:BPX3729,3,0),"")</f>
        <v/>
      </c>
      <c r="BPH671" t="str">
        <f>IFERROR(VLOOKUP(BPI671,'[3]Raw material  (3)'!BPG653:BPY3729,3,0),"")</f>
        <v/>
      </c>
      <c r="BPI671" t="str">
        <f>IFERROR(VLOOKUP(BPJ671,'[3]Raw material  (3)'!BPH653:BPZ3729,3,0),"")</f>
        <v/>
      </c>
      <c r="BPJ671" t="str">
        <f>IFERROR(VLOOKUP(BPK671,'[3]Raw material  (3)'!BPI653:BQA3729,3,0),"")</f>
        <v/>
      </c>
      <c r="BPK671" t="str">
        <f>IFERROR(VLOOKUP(BPL671,'[3]Raw material  (3)'!BPJ653:BQB3729,3,0),"")</f>
        <v/>
      </c>
      <c r="BPL671" t="str">
        <f>IFERROR(VLOOKUP(BPM671,'[3]Raw material  (3)'!BPK653:BQC3729,3,0),"")</f>
        <v/>
      </c>
      <c r="BPM671" t="str">
        <f>IFERROR(VLOOKUP(BPN671,'[3]Raw material  (3)'!BPL653:BQD3729,3,0),"")</f>
        <v/>
      </c>
      <c r="BPN671" t="str">
        <f>IFERROR(VLOOKUP(BPO671,'[3]Raw material  (3)'!BPM653:BQE3729,3,0),"")</f>
        <v/>
      </c>
      <c r="BPO671" t="str">
        <f>IFERROR(VLOOKUP(BPP671,'[3]Raw material  (3)'!BPN653:BQF3729,3,0),"")</f>
        <v/>
      </c>
      <c r="BPP671" t="str">
        <f>IFERROR(VLOOKUP(BPQ671,'[3]Raw material  (3)'!BPO653:BQG3729,3,0),"")</f>
        <v/>
      </c>
      <c r="BPQ671" t="str">
        <f>IFERROR(VLOOKUP(BPR671,'[3]Raw material  (3)'!BPP653:BQH3729,3,0),"")</f>
        <v/>
      </c>
      <c r="BPR671" t="str">
        <f>IFERROR(VLOOKUP(BPS671,'[3]Raw material  (3)'!BPQ653:BQI3729,3,0),"")</f>
        <v/>
      </c>
      <c r="BPS671" t="str">
        <f>IFERROR(VLOOKUP(BPT671,'[3]Raw material  (3)'!BPR653:BQJ3729,3,0),"")</f>
        <v/>
      </c>
      <c r="BPT671" t="str">
        <f>IFERROR(VLOOKUP(BPU671,'[3]Raw material  (3)'!BPS653:BQK3729,3,0),"")</f>
        <v/>
      </c>
      <c r="BPU671" t="str">
        <f>IFERROR(VLOOKUP(BPV671,'[3]Raw material  (3)'!BPT653:BQL3729,3,0),"")</f>
        <v/>
      </c>
      <c r="BPV671" t="str">
        <f>IFERROR(VLOOKUP(BPW671,'[3]Raw material  (3)'!BPU653:BQM3729,3,0),"")</f>
        <v/>
      </c>
      <c r="BPW671" t="str">
        <f>IFERROR(VLOOKUP(BPX671,'[3]Raw material  (3)'!BPV653:BQN3729,3,0),"")</f>
        <v/>
      </c>
      <c r="BPX671" t="str">
        <f>IFERROR(VLOOKUP(BPY671,'[3]Raw material  (3)'!BPW653:BQO3729,3,0),"")</f>
        <v/>
      </c>
      <c r="BPY671" t="str">
        <f>IFERROR(VLOOKUP(BPZ671,'[3]Raw material  (3)'!BPX653:BQP3729,3,0),"")</f>
        <v/>
      </c>
      <c r="BPZ671" t="str">
        <f>IFERROR(VLOOKUP(BQA671,'[3]Raw material  (3)'!BPY653:BQQ3729,3,0),"")</f>
        <v/>
      </c>
      <c r="BQA671" t="str">
        <f>IFERROR(VLOOKUP(BQB671,'[3]Raw material  (3)'!BPZ653:BQR3729,3,0),"")</f>
        <v/>
      </c>
      <c r="BQB671" t="str">
        <f>IFERROR(VLOOKUP(BQC671,'[3]Raw material  (3)'!BQA653:BQS3729,3,0),"")</f>
        <v/>
      </c>
      <c r="BQC671" t="str">
        <f>IFERROR(VLOOKUP(BQD671,'[3]Raw material  (3)'!BQB653:BQT3729,3,0),"")</f>
        <v/>
      </c>
      <c r="BQD671" t="str">
        <f>IFERROR(VLOOKUP(BQE671,'[3]Raw material  (3)'!BQC653:BQU3729,3,0),"")</f>
        <v/>
      </c>
      <c r="BQE671" t="str">
        <f>IFERROR(VLOOKUP(BQF671,'[3]Raw material  (3)'!BQD653:BQV3729,3,0),"")</f>
        <v/>
      </c>
      <c r="BQF671" t="str">
        <f>IFERROR(VLOOKUP(BQG671,'[3]Raw material  (3)'!BQE653:BQW3729,3,0),"")</f>
        <v/>
      </c>
      <c r="BQG671" t="str">
        <f>IFERROR(VLOOKUP(BQH671,'[3]Raw material  (3)'!BQF653:BQX3729,3,0),"")</f>
        <v/>
      </c>
      <c r="BQH671" t="str">
        <f>IFERROR(VLOOKUP(BQI671,'[3]Raw material  (3)'!BQG653:BQY3729,3,0),"")</f>
        <v/>
      </c>
      <c r="BQI671" t="str">
        <f>IFERROR(VLOOKUP(BQJ671,'[3]Raw material  (3)'!BQH653:BQZ3729,3,0),"")</f>
        <v/>
      </c>
      <c r="BQJ671" t="str">
        <f>IFERROR(VLOOKUP(BQK671,'[3]Raw material  (3)'!BQI653:BRA3729,3,0),"")</f>
        <v/>
      </c>
      <c r="BQK671" t="str">
        <f>IFERROR(VLOOKUP(BQL671,'[3]Raw material  (3)'!BQJ653:BRB3729,3,0),"")</f>
        <v/>
      </c>
      <c r="BQL671" t="str">
        <f>IFERROR(VLOOKUP(BQM671,'[3]Raw material  (3)'!BQK653:BRC3729,3,0),"")</f>
        <v/>
      </c>
      <c r="BQM671" t="str">
        <f>IFERROR(VLOOKUP(BQN671,'[3]Raw material  (3)'!BQL653:BRD3729,3,0),"")</f>
        <v/>
      </c>
      <c r="BQN671" t="str">
        <f>IFERROR(VLOOKUP(BQO671,'[3]Raw material  (3)'!BQM653:BRE3729,3,0),"")</f>
        <v/>
      </c>
      <c r="BQO671" t="str">
        <f>IFERROR(VLOOKUP(BQP671,'[3]Raw material  (3)'!BQN653:BRF3729,3,0),"")</f>
        <v/>
      </c>
      <c r="BQP671" t="str">
        <f>IFERROR(VLOOKUP(BQQ671,'[3]Raw material  (3)'!BQO653:BRG3729,3,0),"")</f>
        <v/>
      </c>
      <c r="BQQ671" t="str">
        <f>IFERROR(VLOOKUP(BQR671,'[3]Raw material  (3)'!BQP653:BRH3729,3,0),"")</f>
        <v/>
      </c>
      <c r="BQR671" t="str">
        <f>IFERROR(VLOOKUP(BQS671,'[3]Raw material  (3)'!BQQ653:BRI3729,3,0),"")</f>
        <v/>
      </c>
      <c r="BQS671" t="str">
        <f>IFERROR(VLOOKUP(BQT671,'[3]Raw material  (3)'!BQR653:BRJ3729,3,0),"")</f>
        <v/>
      </c>
      <c r="BQT671" t="str">
        <f>IFERROR(VLOOKUP(BQU671,'[3]Raw material  (3)'!BQS653:BRK3729,3,0),"")</f>
        <v/>
      </c>
      <c r="BQU671" t="str">
        <f>IFERROR(VLOOKUP(BQV671,'[3]Raw material  (3)'!BQT653:BRL3729,3,0),"")</f>
        <v/>
      </c>
      <c r="BQV671" t="str">
        <f>IFERROR(VLOOKUP(BQW671,'[3]Raw material  (3)'!BQU653:BRM3729,3,0),"")</f>
        <v/>
      </c>
      <c r="BQW671" t="str">
        <f>IFERROR(VLOOKUP(BQX671,'[3]Raw material  (3)'!BQV653:BRN3729,3,0),"")</f>
        <v/>
      </c>
      <c r="BQX671" t="str">
        <f>IFERROR(VLOOKUP(BQY671,'[3]Raw material  (3)'!BQW653:BRO3729,3,0),"")</f>
        <v/>
      </c>
      <c r="BQY671" t="str">
        <f>IFERROR(VLOOKUP(BQZ671,'[3]Raw material  (3)'!BQX653:BRP3729,3,0),"")</f>
        <v/>
      </c>
      <c r="BQZ671" t="str">
        <f>IFERROR(VLOOKUP(BRA671,'[3]Raw material  (3)'!BQY653:BRQ3729,3,0),"")</f>
        <v/>
      </c>
      <c r="BRA671" t="str">
        <f>IFERROR(VLOOKUP(BRB671,'[3]Raw material  (3)'!BQZ653:BRR3729,3,0),"")</f>
        <v/>
      </c>
      <c r="BRB671" t="str">
        <f>IFERROR(VLOOKUP(BRC671,'[3]Raw material  (3)'!BRA653:BRS3729,3,0),"")</f>
        <v/>
      </c>
      <c r="BRC671" t="str">
        <f>IFERROR(VLOOKUP(BRD671,'[3]Raw material  (3)'!BRB653:BRT3729,3,0),"")</f>
        <v/>
      </c>
      <c r="BRD671" t="str">
        <f>IFERROR(VLOOKUP(BRE671,'[3]Raw material  (3)'!BRC653:BRU3729,3,0),"")</f>
        <v/>
      </c>
      <c r="BRE671" t="str">
        <f>IFERROR(VLOOKUP(BRF671,'[3]Raw material  (3)'!BRD653:BRV3729,3,0),"")</f>
        <v/>
      </c>
      <c r="BRF671" t="str">
        <f>IFERROR(VLOOKUP(BRG671,'[3]Raw material  (3)'!BRE653:BRW3729,3,0),"")</f>
        <v/>
      </c>
      <c r="BRG671" t="str">
        <f>IFERROR(VLOOKUP(BRH671,'[3]Raw material  (3)'!BRF653:BRX3729,3,0),"")</f>
        <v/>
      </c>
      <c r="BRH671" t="str">
        <f>IFERROR(VLOOKUP(BRI671,'[3]Raw material  (3)'!BRG653:BRY3729,3,0),"")</f>
        <v/>
      </c>
      <c r="BRI671" t="str">
        <f>IFERROR(VLOOKUP(BRJ671,'[3]Raw material  (3)'!BRH653:BRZ3729,3,0),"")</f>
        <v/>
      </c>
      <c r="BRJ671" t="str">
        <f>IFERROR(VLOOKUP(BRK671,'[3]Raw material  (3)'!BRI653:BSA3729,3,0),"")</f>
        <v/>
      </c>
      <c r="BRK671" t="str">
        <f>IFERROR(VLOOKUP(BRL671,'[3]Raw material  (3)'!BRJ653:BSB3729,3,0),"")</f>
        <v/>
      </c>
      <c r="BRL671" t="str">
        <f>IFERROR(VLOOKUP(BRM671,'[3]Raw material  (3)'!BRK653:BSC3729,3,0),"")</f>
        <v/>
      </c>
      <c r="BRM671" t="str">
        <f>IFERROR(VLOOKUP(BRN671,'[3]Raw material  (3)'!BRL653:BSD3729,3,0),"")</f>
        <v/>
      </c>
      <c r="BRN671" t="str">
        <f>IFERROR(VLOOKUP(BRO671,'[3]Raw material  (3)'!BRM653:BSE3729,3,0),"")</f>
        <v/>
      </c>
      <c r="BRO671" t="str">
        <f>IFERROR(VLOOKUP(BRP671,'[3]Raw material  (3)'!BRN653:BSF3729,3,0),"")</f>
        <v/>
      </c>
      <c r="BRP671" t="str">
        <f>IFERROR(VLOOKUP(BRQ671,'[3]Raw material  (3)'!BRO653:BSG3729,3,0),"")</f>
        <v/>
      </c>
      <c r="BRQ671" t="str">
        <f>IFERROR(VLOOKUP(BRR671,'[3]Raw material  (3)'!BRP653:BSH3729,3,0),"")</f>
        <v/>
      </c>
      <c r="BRR671" t="str">
        <f>IFERROR(VLOOKUP(BRS671,'[3]Raw material  (3)'!BRQ653:BSI3729,3,0),"")</f>
        <v/>
      </c>
      <c r="BRS671" t="str">
        <f>IFERROR(VLOOKUP(BRT671,'[3]Raw material  (3)'!BRR653:BSJ3729,3,0),"")</f>
        <v/>
      </c>
      <c r="BRT671" t="str">
        <f>IFERROR(VLOOKUP(BRU671,'[3]Raw material  (3)'!BRS653:BSK3729,3,0),"")</f>
        <v/>
      </c>
      <c r="BRU671" t="str">
        <f>IFERROR(VLOOKUP(BRV671,'[3]Raw material  (3)'!BRT653:BSL3729,3,0),"")</f>
        <v/>
      </c>
      <c r="BRV671" t="str">
        <f>IFERROR(VLOOKUP(BRW671,'[3]Raw material  (3)'!BRU653:BSM3729,3,0),"")</f>
        <v/>
      </c>
      <c r="BRW671" t="str">
        <f>IFERROR(VLOOKUP(BRX671,'[3]Raw material  (3)'!BRV653:BSN3729,3,0),"")</f>
        <v/>
      </c>
      <c r="BRX671" t="str">
        <f>IFERROR(VLOOKUP(BRY671,'[3]Raw material  (3)'!BRW653:BSO3729,3,0),"")</f>
        <v/>
      </c>
      <c r="BRY671" t="str">
        <f>IFERROR(VLOOKUP(BRZ671,'[3]Raw material  (3)'!BRX653:BSP3729,3,0),"")</f>
        <v/>
      </c>
      <c r="BRZ671" t="str">
        <f>IFERROR(VLOOKUP(BSA671,'[3]Raw material  (3)'!BRY653:BSQ3729,3,0),"")</f>
        <v/>
      </c>
      <c r="BSA671" t="str">
        <f>IFERROR(VLOOKUP(BSB671,'[3]Raw material  (3)'!BRZ653:BSR3729,3,0),"")</f>
        <v/>
      </c>
      <c r="BSB671" t="str">
        <f>IFERROR(VLOOKUP(BSC671,'[3]Raw material  (3)'!BSA653:BSS3729,3,0),"")</f>
        <v/>
      </c>
      <c r="BSC671" t="str">
        <f>IFERROR(VLOOKUP(BSD671,'[3]Raw material  (3)'!BSB653:BST3729,3,0),"")</f>
        <v/>
      </c>
      <c r="BSD671" t="str">
        <f>IFERROR(VLOOKUP(BSE671,'[3]Raw material  (3)'!BSC653:BSU3729,3,0),"")</f>
        <v/>
      </c>
      <c r="BSE671" t="str">
        <f>IFERROR(VLOOKUP(BSF671,'[3]Raw material  (3)'!BSD653:BSV3729,3,0),"")</f>
        <v/>
      </c>
      <c r="BSF671" t="str">
        <f>IFERROR(VLOOKUP(BSG671,'[3]Raw material  (3)'!BSE653:BSW3729,3,0),"")</f>
        <v/>
      </c>
      <c r="BSG671" t="str">
        <f>IFERROR(VLOOKUP(BSH671,'[3]Raw material  (3)'!BSF653:BSX3729,3,0),"")</f>
        <v/>
      </c>
      <c r="BSH671" t="str">
        <f>IFERROR(VLOOKUP(BSI671,'[3]Raw material  (3)'!BSG653:BSY3729,3,0),"")</f>
        <v/>
      </c>
      <c r="BSI671" t="str">
        <f>IFERROR(VLOOKUP(BSJ671,'[3]Raw material  (3)'!BSH653:BSZ3729,3,0),"")</f>
        <v/>
      </c>
      <c r="BSJ671" t="str">
        <f>IFERROR(VLOOKUP(BSK671,'[3]Raw material  (3)'!BSI653:BTA3729,3,0),"")</f>
        <v/>
      </c>
      <c r="BSK671" t="str">
        <f>IFERROR(VLOOKUP(BSL671,'[3]Raw material  (3)'!BSJ653:BTB3729,3,0),"")</f>
        <v/>
      </c>
      <c r="BSL671" t="str">
        <f>IFERROR(VLOOKUP(BSM671,'[3]Raw material  (3)'!BSK653:BTC3729,3,0),"")</f>
        <v/>
      </c>
      <c r="BSM671" t="str">
        <f>IFERROR(VLOOKUP(BSN671,'[3]Raw material  (3)'!BSL653:BTD3729,3,0),"")</f>
        <v/>
      </c>
      <c r="BSN671" t="str">
        <f>IFERROR(VLOOKUP(BSO671,'[3]Raw material  (3)'!BSM653:BTE3729,3,0),"")</f>
        <v/>
      </c>
      <c r="BSO671" t="str">
        <f>IFERROR(VLOOKUP(BSP671,'[3]Raw material  (3)'!BSN653:BTF3729,3,0),"")</f>
        <v/>
      </c>
      <c r="BSP671" t="str">
        <f>IFERROR(VLOOKUP(BSQ671,'[3]Raw material  (3)'!BSO653:BTG3729,3,0),"")</f>
        <v/>
      </c>
      <c r="BSQ671" t="str">
        <f>IFERROR(VLOOKUP(BSR671,'[3]Raw material  (3)'!BSP653:BTH3729,3,0),"")</f>
        <v/>
      </c>
      <c r="BSR671" t="str">
        <f>IFERROR(VLOOKUP(BSS671,'[3]Raw material  (3)'!BSQ653:BTI3729,3,0),"")</f>
        <v/>
      </c>
      <c r="BSS671" t="str">
        <f>IFERROR(VLOOKUP(BST671,'[3]Raw material  (3)'!BSR653:BTJ3729,3,0),"")</f>
        <v/>
      </c>
      <c r="BST671" t="str">
        <f>IFERROR(VLOOKUP(BSU671,'[3]Raw material  (3)'!BSS653:BTK3729,3,0),"")</f>
        <v/>
      </c>
      <c r="BSU671" t="str">
        <f>IFERROR(VLOOKUP(BSV671,'[3]Raw material  (3)'!BST653:BTL3729,3,0),"")</f>
        <v/>
      </c>
      <c r="BSV671" t="str">
        <f>IFERROR(VLOOKUP(BSW671,'[3]Raw material  (3)'!BSU653:BTM3729,3,0),"")</f>
        <v/>
      </c>
      <c r="BSW671" t="str">
        <f>IFERROR(VLOOKUP(BSX671,'[3]Raw material  (3)'!BSV653:BTN3729,3,0),"")</f>
        <v/>
      </c>
      <c r="BSX671" t="str">
        <f>IFERROR(VLOOKUP(BSY671,'[3]Raw material  (3)'!BSW653:BTO3729,3,0),"")</f>
        <v/>
      </c>
      <c r="BSY671" t="str">
        <f>IFERROR(VLOOKUP(BSZ671,'[3]Raw material  (3)'!BSX653:BTP3729,3,0),"")</f>
        <v/>
      </c>
      <c r="BSZ671" t="str">
        <f>IFERROR(VLOOKUP(BTA671,'[3]Raw material  (3)'!BSY653:BTQ3729,3,0),"")</f>
        <v/>
      </c>
      <c r="BTA671" t="str">
        <f>IFERROR(VLOOKUP(BTB671,'[3]Raw material  (3)'!BSZ653:BTR3729,3,0),"")</f>
        <v/>
      </c>
      <c r="BTB671" t="str">
        <f>IFERROR(VLOOKUP(BTC671,'[3]Raw material  (3)'!BTA653:BTS3729,3,0),"")</f>
        <v/>
      </c>
      <c r="BTC671" t="str">
        <f>IFERROR(VLOOKUP(BTD671,'[3]Raw material  (3)'!BTB653:BTT3729,3,0),"")</f>
        <v/>
      </c>
      <c r="BTD671" t="str">
        <f>IFERROR(VLOOKUP(BTE671,'[3]Raw material  (3)'!BTC653:BTU3729,3,0),"")</f>
        <v/>
      </c>
      <c r="BTE671" t="str">
        <f>IFERROR(VLOOKUP(BTF671,'[3]Raw material  (3)'!BTD653:BTV3729,3,0),"")</f>
        <v/>
      </c>
      <c r="BTF671" t="str">
        <f>IFERROR(VLOOKUP(BTG671,'[3]Raw material  (3)'!BTE653:BTW3729,3,0),"")</f>
        <v/>
      </c>
      <c r="BTG671" t="str">
        <f>IFERROR(VLOOKUP(BTH671,'[3]Raw material  (3)'!BTF653:BTX3729,3,0),"")</f>
        <v/>
      </c>
      <c r="BTH671" t="str">
        <f>IFERROR(VLOOKUP(BTI671,'[3]Raw material  (3)'!BTG653:BTY3729,3,0),"")</f>
        <v/>
      </c>
      <c r="BTI671" t="str">
        <f>IFERROR(VLOOKUP(BTJ671,'[3]Raw material  (3)'!BTH653:BTZ3729,3,0),"")</f>
        <v/>
      </c>
      <c r="BTJ671" t="str">
        <f>IFERROR(VLOOKUP(BTK671,'[3]Raw material  (3)'!BTI653:BUA3729,3,0),"")</f>
        <v/>
      </c>
      <c r="BTK671" t="str">
        <f>IFERROR(VLOOKUP(BTL671,'[3]Raw material  (3)'!BTJ653:BUB3729,3,0),"")</f>
        <v/>
      </c>
      <c r="BTL671" t="str">
        <f>IFERROR(VLOOKUP(BTM671,'[3]Raw material  (3)'!BTK653:BUC3729,3,0),"")</f>
        <v/>
      </c>
      <c r="BTM671" t="str">
        <f>IFERROR(VLOOKUP(BTN671,'[3]Raw material  (3)'!BTL653:BUD3729,3,0),"")</f>
        <v/>
      </c>
      <c r="BTN671" t="str">
        <f>IFERROR(VLOOKUP(BTO671,'[3]Raw material  (3)'!BTM653:BUE3729,3,0),"")</f>
        <v/>
      </c>
      <c r="BTO671" t="str">
        <f>IFERROR(VLOOKUP(BTP671,'[3]Raw material  (3)'!BTN653:BUF3729,3,0),"")</f>
        <v/>
      </c>
      <c r="BTP671" t="str">
        <f>IFERROR(VLOOKUP(BTQ671,'[3]Raw material  (3)'!BTO653:BUG3729,3,0),"")</f>
        <v/>
      </c>
      <c r="BTQ671" t="str">
        <f>IFERROR(VLOOKUP(BTR671,'[3]Raw material  (3)'!BTP653:BUH3729,3,0),"")</f>
        <v/>
      </c>
      <c r="BTR671" t="str">
        <f>IFERROR(VLOOKUP(BTS671,'[3]Raw material  (3)'!BTQ653:BUI3729,3,0),"")</f>
        <v/>
      </c>
      <c r="BTS671" t="str">
        <f>IFERROR(VLOOKUP(BTT671,'[3]Raw material  (3)'!BTR653:BUJ3729,3,0),"")</f>
        <v/>
      </c>
      <c r="BTT671" t="str">
        <f>IFERROR(VLOOKUP(BTU671,'[3]Raw material  (3)'!BTS653:BUK3729,3,0),"")</f>
        <v/>
      </c>
      <c r="BTU671" t="str">
        <f>IFERROR(VLOOKUP(BTV671,'[3]Raw material  (3)'!BTT653:BUL3729,3,0),"")</f>
        <v/>
      </c>
      <c r="BTV671" t="str">
        <f>IFERROR(VLOOKUP(BTW671,'[3]Raw material  (3)'!BTU653:BUM3729,3,0),"")</f>
        <v/>
      </c>
      <c r="BTW671" t="str">
        <f>IFERROR(VLOOKUP(BTX671,'[3]Raw material  (3)'!BTV653:BUN3729,3,0),"")</f>
        <v/>
      </c>
      <c r="BTX671" t="str">
        <f>IFERROR(VLOOKUP(BTY671,'[3]Raw material  (3)'!BTW653:BUO3729,3,0),"")</f>
        <v/>
      </c>
      <c r="BTY671" t="str">
        <f>IFERROR(VLOOKUP(BTZ671,'[3]Raw material  (3)'!BTX653:BUP3729,3,0),"")</f>
        <v/>
      </c>
      <c r="BTZ671" t="str">
        <f>IFERROR(VLOOKUP(BUA671,'[3]Raw material  (3)'!BTY653:BUQ3729,3,0),"")</f>
        <v/>
      </c>
      <c r="BUA671" t="str">
        <f>IFERROR(VLOOKUP(BUB671,'[3]Raw material  (3)'!BTZ653:BUR3729,3,0),"")</f>
        <v/>
      </c>
      <c r="BUB671" t="str">
        <f>IFERROR(VLOOKUP(BUC671,'[3]Raw material  (3)'!BUA653:BUS3729,3,0),"")</f>
        <v/>
      </c>
      <c r="BUC671" t="str">
        <f>IFERROR(VLOOKUP(BUD671,'[3]Raw material  (3)'!BUB653:BUT3729,3,0),"")</f>
        <v/>
      </c>
      <c r="BUD671" t="str">
        <f>IFERROR(VLOOKUP(BUE671,'[3]Raw material  (3)'!BUC653:BUU3729,3,0),"")</f>
        <v/>
      </c>
      <c r="BUE671" t="str">
        <f>IFERROR(VLOOKUP(BUF671,'[3]Raw material  (3)'!BUD653:BUV3729,3,0),"")</f>
        <v/>
      </c>
      <c r="BUF671" t="str">
        <f>IFERROR(VLOOKUP(BUG671,'[3]Raw material  (3)'!BUE653:BUW3729,3,0),"")</f>
        <v/>
      </c>
      <c r="BUG671" t="str">
        <f>IFERROR(VLOOKUP(BUH671,'[3]Raw material  (3)'!BUF653:BUX3729,3,0),"")</f>
        <v/>
      </c>
      <c r="BUH671" t="str">
        <f>IFERROR(VLOOKUP(BUI671,'[3]Raw material  (3)'!BUG653:BUY3729,3,0),"")</f>
        <v/>
      </c>
      <c r="BUI671" t="str">
        <f>IFERROR(VLOOKUP(BUJ671,'[3]Raw material  (3)'!BUH653:BUZ3729,3,0),"")</f>
        <v/>
      </c>
      <c r="BUJ671" t="str">
        <f>IFERROR(VLOOKUP(BUK671,'[3]Raw material  (3)'!BUI653:BVA3729,3,0),"")</f>
        <v/>
      </c>
      <c r="BUK671" t="str">
        <f>IFERROR(VLOOKUP(BUL671,'[3]Raw material  (3)'!BUJ653:BVB3729,3,0),"")</f>
        <v/>
      </c>
      <c r="BUL671" t="str">
        <f>IFERROR(VLOOKUP(BUM671,'[3]Raw material  (3)'!BUK653:BVC3729,3,0),"")</f>
        <v/>
      </c>
      <c r="BUM671" t="str">
        <f>IFERROR(VLOOKUP(BUN671,'[3]Raw material  (3)'!BUL653:BVD3729,3,0),"")</f>
        <v/>
      </c>
      <c r="BUN671" t="str">
        <f>IFERROR(VLOOKUP(BUO671,'[3]Raw material  (3)'!BUM653:BVE3729,3,0),"")</f>
        <v/>
      </c>
      <c r="BUO671" t="str">
        <f>IFERROR(VLOOKUP(BUP671,'[3]Raw material  (3)'!BUN653:BVF3729,3,0),"")</f>
        <v/>
      </c>
      <c r="BUP671" t="str">
        <f>IFERROR(VLOOKUP(BUQ671,'[3]Raw material  (3)'!BUO653:BVG3729,3,0),"")</f>
        <v/>
      </c>
      <c r="BUQ671" t="str">
        <f>IFERROR(VLOOKUP(BUR671,'[3]Raw material  (3)'!BUP653:BVH3729,3,0),"")</f>
        <v/>
      </c>
      <c r="BUR671" t="str">
        <f>IFERROR(VLOOKUP(BUS671,'[3]Raw material  (3)'!BUQ653:BVI3729,3,0),"")</f>
        <v/>
      </c>
      <c r="BUS671" t="str">
        <f>IFERROR(VLOOKUP(BUT671,'[3]Raw material  (3)'!BUR653:BVJ3729,3,0),"")</f>
        <v/>
      </c>
      <c r="BUT671" t="str">
        <f>IFERROR(VLOOKUP(BUU671,'[3]Raw material  (3)'!BUS653:BVK3729,3,0),"")</f>
        <v/>
      </c>
      <c r="BUU671" t="str">
        <f>IFERROR(VLOOKUP(BUV671,'[3]Raw material  (3)'!BUT653:BVL3729,3,0),"")</f>
        <v/>
      </c>
      <c r="BUV671" t="str">
        <f>IFERROR(VLOOKUP(BUW671,'[3]Raw material  (3)'!BUU653:BVM3729,3,0),"")</f>
        <v/>
      </c>
      <c r="BUW671" t="str">
        <f>IFERROR(VLOOKUP(BUX671,'[3]Raw material  (3)'!BUV653:BVN3729,3,0),"")</f>
        <v/>
      </c>
      <c r="BUX671" t="str">
        <f>IFERROR(VLOOKUP(BUY671,'[3]Raw material  (3)'!BUW653:BVO3729,3,0),"")</f>
        <v/>
      </c>
      <c r="BUY671" t="str">
        <f>IFERROR(VLOOKUP(BUZ671,'[3]Raw material  (3)'!BUX653:BVP3729,3,0),"")</f>
        <v/>
      </c>
      <c r="BUZ671" t="str">
        <f>IFERROR(VLOOKUP(BVA671,'[3]Raw material  (3)'!BUY653:BVQ3729,3,0),"")</f>
        <v/>
      </c>
      <c r="BVA671" t="str">
        <f>IFERROR(VLOOKUP(BVB671,'[3]Raw material  (3)'!BUZ653:BVR3729,3,0),"")</f>
        <v/>
      </c>
      <c r="BVB671" t="str">
        <f>IFERROR(VLOOKUP(BVC671,'[3]Raw material  (3)'!BVA653:BVS3729,3,0),"")</f>
        <v/>
      </c>
      <c r="BVC671" t="str">
        <f>IFERROR(VLOOKUP(BVD671,'[3]Raw material  (3)'!BVB653:BVT3729,3,0),"")</f>
        <v/>
      </c>
      <c r="BVD671" t="str">
        <f>IFERROR(VLOOKUP(BVE671,'[3]Raw material  (3)'!BVC653:BVU3729,3,0),"")</f>
        <v/>
      </c>
      <c r="BVE671" t="str">
        <f>IFERROR(VLOOKUP(BVF671,'[3]Raw material  (3)'!BVD653:BVV3729,3,0),"")</f>
        <v/>
      </c>
      <c r="BVF671" t="str">
        <f>IFERROR(VLOOKUP(BVG671,'[3]Raw material  (3)'!BVE653:BVW3729,3,0),"")</f>
        <v/>
      </c>
      <c r="BVG671" t="str">
        <f>IFERROR(VLOOKUP(BVH671,'[3]Raw material  (3)'!BVF653:BVX3729,3,0),"")</f>
        <v/>
      </c>
      <c r="BVH671" t="str">
        <f>IFERROR(VLOOKUP(BVI671,'[3]Raw material  (3)'!BVG653:BVY3729,3,0),"")</f>
        <v/>
      </c>
      <c r="BVI671" t="str">
        <f>IFERROR(VLOOKUP(BVJ671,'[3]Raw material  (3)'!BVH653:BVZ3729,3,0),"")</f>
        <v/>
      </c>
      <c r="BVJ671" t="str">
        <f>IFERROR(VLOOKUP(BVK671,'[3]Raw material  (3)'!BVI653:BWA3729,3,0),"")</f>
        <v/>
      </c>
      <c r="BVK671" t="str">
        <f>IFERROR(VLOOKUP(BVL671,'[3]Raw material  (3)'!BVJ653:BWB3729,3,0),"")</f>
        <v/>
      </c>
      <c r="BVL671" t="str">
        <f>IFERROR(VLOOKUP(BVM671,'[3]Raw material  (3)'!BVK653:BWC3729,3,0),"")</f>
        <v/>
      </c>
      <c r="BVM671" t="str">
        <f>IFERROR(VLOOKUP(BVN671,'[3]Raw material  (3)'!BVL653:BWD3729,3,0),"")</f>
        <v/>
      </c>
      <c r="BVN671" t="str">
        <f>IFERROR(VLOOKUP(BVO671,'[3]Raw material  (3)'!BVM653:BWE3729,3,0),"")</f>
        <v/>
      </c>
      <c r="BVO671" t="str">
        <f>IFERROR(VLOOKUP(BVP671,'[3]Raw material  (3)'!BVN653:BWF3729,3,0),"")</f>
        <v/>
      </c>
      <c r="BVP671" t="str">
        <f>IFERROR(VLOOKUP(BVQ671,'[3]Raw material  (3)'!BVO653:BWG3729,3,0),"")</f>
        <v/>
      </c>
      <c r="BVQ671" t="str">
        <f>IFERROR(VLOOKUP(BVR671,'[3]Raw material  (3)'!BVP653:BWH3729,3,0),"")</f>
        <v/>
      </c>
      <c r="BVR671" t="str">
        <f>IFERROR(VLOOKUP(BVS671,'[3]Raw material  (3)'!BVQ653:BWI3729,3,0),"")</f>
        <v/>
      </c>
      <c r="BVS671" t="str">
        <f>IFERROR(VLOOKUP(BVT671,'[3]Raw material  (3)'!BVR653:BWJ3729,3,0),"")</f>
        <v/>
      </c>
      <c r="BVT671" t="str">
        <f>IFERROR(VLOOKUP(BVU671,'[3]Raw material  (3)'!BVS653:BWK3729,3,0),"")</f>
        <v/>
      </c>
      <c r="BVU671" t="str">
        <f>IFERROR(VLOOKUP(BVV671,'[3]Raw material  (3)'!BVT653:BWL3729,3,0),"")</f>
        <v/>
      </c>
      <c r="BVV671" t="str">
        <f>IFERROR(VLOOKUP(BVW671,'[3]Raw material  (3)'!BVU653:BWM3729,3,0),"")</f>
        <v/>
      </c>
      <c r="BVW671" t="str">
        <f>IFERROR(VLOOKUP(BVX671,'[3]Raw material  (3)'!BVV653:BWN3729,3,0),"")</f>
        <v/>
      </c>
      <c r="BVX671" t="str">
        <f>IFERROR(VLOOKUP(BVY671,'[3]Raw material  (3)'!BVW653:BWO3729,3,0),"")</f>
        <v/>
      </c>
      <c r="BVY671" t="str">
        <f>IFERROR(VLOOKUP(BVZ671,'[3]Raw material  (3)'!BVX653:BWP3729,3,0),"")</f>
        <v/>
      </c>
      <c r="BVZ671" t="str">
        <f>IFERROR(VLOOKUP(BWA671,'[3]Raw material  (3)'!BVY653:BWQ3729,3,0),"")</f>
        <v/>
      </c>
      <c r="BWA671" t="str">
        <f>IFERROR(VLOOKUP(BWB671,'[3]Raw material  (3)'!BVZ653:BWR3729,3,0),"")</f>
        <v/>
      </c>
      <c r="BWB671" t="str">
        <f>IFERROR(VLOOKUP(BWC671,'[3]Raw material  (3)'!BWA653:BWS3729,3,0),"")</f>
        <v/>
      </c>
      <c r="BWC671" t="str">
        <f>IFERROR(VLOOKUP(BWD671,'[3]Raw material  (3)'!BWB653:BWT3729,3,0),"")</f>
        <v/>
      </c>
      <c r="BWD671" t="str">
        <f>IFERROR(VLOOKUP(BWE671,'[3]Raw material  (3)'!BWC653:BWU3729,3,0),"")</f>
        <v/>
      </c>
      <c r="BWE671" t="str">
        <f>IFERROR(VLOOKUP(BWF671,'[3]Raw material  (3)'!BWD653:BWV3729,3,0),"")</f>
        <v/>
      </c>
      <c r="BWF671" t="str">
        <f>IFERROR(VLOOKUP(BWG671,'[3]Raw material  (3)'!BWE653:BWW3729,3,0),"")</f>
        <v/>
      </c>
      <c r="BWG671" t="str">
        <f>IFERROR(VLOOKUP(BWH671,'[3]Raw material  (3)'!BWF653:BWX3729,3,0),"")</f>
        <v/>
      </c>
      <c r="BWH671" t="str">
        <f>IFERROR(VLOOKUP(BWI671,'[3]Raw material  (3)'!BWG653:BWY3729,3,0),"")</f>
        <v/>
      </c>
      <c r="BWI671" t="str">
        <f>IFERROR(VLOOKUP(BWJ671,'[3]Raw material  (3)'!BWH653:BWZ3729,3,0),"")</f>
        <v/>
      </c>
      <c r="BWJ671" t="str">
        <f>IFERROR(VLOOKUP(BWK671,'[3]Raw material  (3)'!BWI653:BXA3729,3,0),"")</f>
        <v/>
      </c>
      <c r="BWK671" t="str">
        <f>IFERROR(VLOOKUP(BWL671,'[3]Raw material  (3)'!BWJ653:BXB3729,3,0),"")</f>
        <v/>
      </c>
      <c r="BWL671" t="str">
        <f>IFERROR(VLOOKUP(BWM671,'[3]Raw material  (3)'!BWK653:BXC3729,3,0),"")</f>
        <v/>
      </c>
      <c r="BWM671" t="str">
        <f>IFERROR(VLOOKUP(BWN671,'[3]Raw material  (3)'!BWL653:BXD3729,3,0),"")</f>
        <v/>
      </c>
      <c r="BWN671" t="str">
        <f>IFERROR(VLOOKUP(BWO671,'[3]Raw material  (3)'!BWM653:BXE3729,3,0),"")</f>
        <v/>
      </c>
      <c r="BWO671" t="str">
        <f>IFERROR(VLOOKUP(BWP671,'[3]Raw material  (3)'!BWN653:BXF3729,3,0),"")</f>
        <v/>
      </c>
      <c r="BWP671" t="str">
        <f>IFERROR(VLOOKUP(BWQ671,'[3]Raw material  (3)'!BWO653:BXG3729,3,0),"")</f>
        <v/>
      </c>
      <c r="BWQ671" t="str">
        <f>IFERROR(VLOOKUP(BWR671,'[3]Raw material  (3)'!BWP653:BXH3729,3,0),"")</f>
        <v/>
      </c>
      <c r="BWR671" t="str">
        <f>IFERROR(VLOOKUP(BWS671,'[3]Raw material  (3)'!BWQ653:BXI3729,3,0),"")</f>
        <v/>
      </c>
      <c r="BWS671" t="str">
        <f>IFERROR(VLOOKUP(BWT671,'[3]Raw material  (3)'!BWR653:BXJ3729,3,0),"")</f>
        <v/>
      </c>
      <c r="BWT671" t="str">
        <f>IFERROR(VLOOKUP(BWU671,'[3]Raw material  (3)'!BWS653:BXK3729,3,0),"")</f>
        <v/>
      </c>
      <c r="BWU671" t="str">
        <f>IFERROR(VLOOKUP(BWV671,'[3]Raw material  (3)'!BWT653:BXL3729,3,0),"")</f>
        <v/>
      </c>
      <c r="BWV671" t="str">
        <f>IFERROR(VLOOKUP(BWW671,'[3]Raw material  (3)'!BWU653:BXM3729,3,0),"")</f>
        <v/>
      </c>
      <c r="BWW671" t="str">
        <f>IFERROR(VLOOKUP(BWX671,'[3]Raw material  (3)'!BWV653:BXN3729,3,0),"")</f>
        <v/>
      </c>
      <c r="BWX671" t="str">
        <f>IFERROR(VLOOKUP(BWY671,'[3]Raw material  (3)'!BWW653:BXO3729,3,0),"")</f>
        <v/>
      </c>
      <c r="BWY671" t="str">
        <f>IFERROR(VLOOKUP(BWZ671,'[3]Raw material  (3)'!BWX653:BXP3729,3,0),"")</f>
        <v/>
      </c>
      <c r="BWZ671" t="str">
        <f>IFERROR(VLOOKUP(BXA671,'[3]Raw material  (3)'!BWY653:BXQ3729,3,0),"")</f>
        <v/>
      </c>
      <c r="BXA671" t="str">
        <f>IFERROR(VLOOKUP(BXB671,'[3]Raw material  (3)'!BWZ653:BXR3729,3,0),"")</f>
        <v/>
      </c>
      <c r="BXB671" t="str">
        <f>IFERROR(VLOOKUP(BXC671,'[3]Raw material  (3)'!BXA653:BXS3729,3,0),"")</f>
        <v/>
      </c>
      <c r="BXC671" t="str">
        <f>IFERROR(VLOOKUP(BXD671,'[3]Raw material  (3)'!BXB653:BXT3729,3,0),"")</f>
        <v/>
      </c>
      <c r="BXD671" t="str">
        <f>IFERROR(VLOOKUP(BXE671,'[3]Raw material  (3)'!BXC653:BXU3729,3,0),"")</f>
        <v/>
      </c>
      <c r="BXE671" t="str">
        <f>IFERROR(VLOOKUP(BXF671,'[3]Raw material  (3)'!BXD653:BXV3729,3,0),"")</f>
        <v/>
      </c>
      <c r="BXF671" t="str">
        <f>IFERROR(VLOOKUP(BXG671,'[3]Raw material  (3)'!BXE653:BXW3729,3,0),"")</f>
        <v/>
      </c>
      <c r="BXG671" t="str">
        <f>IFERROR(VLOOKUP(BXH671,'[3]Raw material  (3)'!BXF653:BXX3729,3,0),"")</f>
        <v/>
      </c>
      <c r="BXH671" t="str">
        <f>IFERROR(VLOOKUP(BXI671,'[3]Raw material  (3)'!BXG653:BXY3729,3,0),"")</f>
        <v/>
      </c>
      <c r="BXI671" t="str">
        <f>IFERROR(VLOOKUP(BXJ671,'[3]Raw material  (3)'!BXH653:BXZ3729,3,0),"")</f>
        <v/>
      </c>
      <c r="BXJ671" t="str">
        <f>IFERROR(VLOOKUP(BXK671,'[3]Raw material  (3)'!BXI653:BYA3729,3,0),"")</f>
        <v/>
      </c>
      <c r="BXK671" t="str">
        <f>IFERROR(VLOOKUP(BXL671,'[3]Raw material  (3)'!BXJ653:BYB3729,3,0),"")</f>
        <v/>
      </c>
      <c r="BXL671" t="str">
        <f>IFERROR(VLOOKUP(BXM671,'[3]Raw material  (3)'!BXK653:BYC3729,3,0),"")</f>
        <v/>
      </c>
      <c r="BXM671" t="str">
        <f>IFERROR(VLOOKUP(BXN671,'[3]Raw material  (3)'!BXL653:BYD3729,3,0),"")</f>
        <v/>
      </c>
      <c r="BXN671" t="str">
        <f>IFERROR(VLOOKUP(BXO671,'[3]Raw material  (3)'!BXM653:BYE3729,3,0),"")</f>
        <v/>
      </c>
      <c r="BXO671" t="str">
        <f>IFERROR(VLOOKUP(BXP671,'[3]Raw material  (3)'!BXN653:BYF3729,3,0),"")</f>
        <v/>
      </c>
      <c r="BXP671" t="str">
        <f>IFERROR(VLOOKUP(BXQ671,'[3]Raw material  (3)'!BXO653:BYG3729,3,0),"")</f>
        <v/>
      </c>
      <c r="BXQ671" t="str">
        <f>IFERROR(VLOOKUP(BXR671,'[3]Raw material  (3)'!BXP653:BYH3729,3,0),"")</f>
        <v/>
      </c>
      <c r="BXR671" t="str">
        <f>IFERROR(VLOOKUP(BXS671,'[3]Raw material  (3)'!BXQ653:BYI3729,3,0),"")</f>
        <v/>
      </c>
      <c r="BXS671" t="str">
        <f>IFERROR(VLOOKUP(BXT671,'[3]Raw material  (3)'!BXR653:BYJ3729,3,0),"")</f>
        <v/>
      </c>
      <c r="BXT671" t="str">
        <f>IFERROR(VLOOKUP(BXU671,'[3]Raw material  (3)'!BXS653:BYK3729,3,0),"")</f>
        <v/>
      </c>
      <c r="BXU671" t="str">
        <f>IFERROR(VLOOKUP(BXV671,'[3]Raw material  (3)'!BXT653:BYL3729,3,0),"")</f>
        <v/>
      </c>
      <c r="BXV671" t="str">
        <f>IFERROR(VLOOKUP(BXW671,'[3]Raw material  (3)'!BXU653:BYM3729,3,0),"")</f>
        <v/>
      </c>
      <c r="BXW671" t="str">
        <f>IFERROR(VLOOKUP(BXX671,'[3]Raw material  (3)'!BXV653:BYN3729,3,0),"")</f>
        <v/>
      </c>
      <c r="BXX671" t="str">
        <f>IFERROR(VLOOKUP(BXY671,'[3]Raw material  (3)'!BXW653:BYO3729,3,0),"")</f>
        <v/>
      </c>
      <c r="BXY671" t="str">
        <f>IFERROR(VLOOKUP(BXZ671,'[3]Raw material  (3)'!BXX653:BYP3729,3,0),"")</f>
        <v/>
      </c>
      <c r="BXZ671" t="str">
        <f>IFERROR(VLOOKUP(BYA671,'[3]Raw material  (3)'!BXY653:BYQ3729,3,0),"")</f>
        <v/>
      </c>
      <c r="BYA671" t="str">
        <f>IFERROR(VLOOKUP(BYB671,'[3]Raw material  (3)'!BXZ653:BYR3729,3,0),"")</f>
        <v/>
      </c>
      <c r="BYB671" t="str">
        <f>IFERROR(VLOOKUP(BYC671,'[3]Raw material  (3)'!BYA653:BYS3729,3,0),"")</f>
        <v/>
      </c>
      <c r="BYC671" t="str">
        <f>IFERROR(VLOOKUP(BYD671,'[3]Raw material  (3)'!BYB653:BYT3729,3,0),"")</f>
        <v/>
      </c>
      <c r="BYD671" t="str">
        <f>IFERROR(VLOOKUP(BYE671,'[3]Raw material  (3)'!BYC653:BYU3729,3,0),"")</f>
        <v/>
      </c>
      <c r="BYE671" t="str">
        <f>IFERROR(VLOOKUP(BYF671,'[3]Raw material  (3)'!BYD653:BYV3729,3,0),"")</f>
        <v/>
      </c>
      <c r="BYF671" t="str">
        <f>IFERROR(VLOOKUP(BYG671,'[3]Raw material  (3)'!BYE653:BYW3729,3,0),"")</f>
        <v/>
      </c>
      <c r="BYG671" t="str">
        <f>IFERROR(VLOOKUP(BYH671,'[3]Raw material  (3)'!BYF653:BYX3729,3,0),"")</f>
        <v/>
      </c>
      <c r="BYH671" t="str">
        <f>IFERROR(VLOOKUP(BYI671,'[3]Raw material  (3)'!BYG653:BYY3729,3,0),"")</f>
        <v/>
      </c>
      <c r="BYI671" t="str">
        <f>IFERROR(VLOOKUP(BYJ671,'[3]Raw material  (3)'!BYH653:BYZ3729,3,0),"")</f>
        <v/>
      </c>
      <c r="BYJ671" t="str">
        <f>IFERROR(VLOOKUP(BYK671,'[3]Raw material  (3)'!BYI653:BZA3729,3,0),"")</f>
        <v/>
      </c>
      <c r="BYK671" t="str">
        <f>IFERROR(VLOOKUP(BYL671,'[3]Raw material  (3)'!BYJ653:BZB3729,3,0),"")</f>
        <v/>
      </c>
      <c r="BYL671" t="str">
        <f>IFERROR(VLOOKUP(BYM671,'[3]Raw material  (3)'!BYK653:BZC3729,3,0),"")</f>
        <v/>
      </c>
      <c r="BYM671" t="str">
        <f>IFERROR(VLOOKUP(BYN671,'[3]Raw material  (3)'!BYL653:BZD3729,3,0),"")</f>
        <v/>
      </c>
      <c r="BYN671" t="str">
        <f>IFERROR(VLOOKUP(BYO671,'[3]Raw material  (3)'!BYM653:BZE3729,3,0),"")</f>
        <v/>
      </c>
      <c r="BYO671" t="str">
        <f>IFERROR(VLOOKUP(BYP671,'[3]Raw material  (3)'!BYN653:BZF3729,3,0),"")</f>
        <v/>
      </c>
      <c r="BYP671" t="str">
        <f>IFERROR(VLOOKUP(BYQ671,'[3]Raw material  (3)'!BYO653:BZG3729,3,0),"")</f>
        <v/>
      </c>
      <c r="BYQ671" t="str">
        <f>IFERROR(VLOOKUP(BYR671,'[3]Raw material  (3)'!BYP653:BZH3729,3,0),"")</f>
        <v/>
      </c>
      <c r="BYR671" t="str">
        <f>IFERROR(VLOOKUP(BYS671,'[3]Raw material  (3)'!BYQ653:BZI3729,3,0),"")</f>
        <v/>
      </c>
      <c r="BYS671" t="str">
        <f>IFERROR(VLOOKUP(BYT671,'[3]Raw material  (3)'!BYR653:BZJ3729,3,0),"")</f>
        <v/>
      </c>
      <c r="BYT671" t="str">
        <f>IFERROR(VLOOKUP(BYU671,'[3]Raw material  (3)'!BYS653:BZK3729,3,0),"")</f>
        <v/>
      </c>
      <c r="BYU671" t="str">
        <f>IFERROR(VLOOKUP(BYV671,'[3]Raw material  (3)'!BYT653:BZL3729,3,0),"")</f>
        <v/>
      </c>
      <c r="BYV671" t="str">
        <f>IFERROR(VLOOKUP(BYW671,'[3]Raw material  (3)'!BYU653:BZM3729,3,0),"")</f>
        <v/>
      </c>
      <c r="BYW671" t="str">
        <f>IFERROR(VLOOKUP(BYX671,'[3]Raw material  (3)'!BYV653:BZN3729,3,0),"")</f>
        <v/>
      </c>
      <c r="BYX671" t="str">
        <f>IFERROR(VLOOKUP(BYY671,'[3]Raw material  (3)'!BYW653:BZO3729,3,0),"")</f>
        <v/>
      </c>
      <c r="BYY671" t="str">
        <f>IFERROR(VLOOKUP(BYZ671,'[3]Raw material  (3)'!BYX653:BZP3729,3,0),"")</f>
        <v/>
      </c>
      <c r="BYZ671" t="str">
        <f>IFERROR(VLOOKUP(BZA671,'[3]Raw material  (3)'!BYY653:BZQ3729,3,0),"")</f>
        <v/>
      </c>
      <c r="BZA671" t="str">
        <f>IFERROR(VLOOKUP(BZB671,'[3]Raw material  (3)'!BYZ653:BZR3729,3,0),"")</f>
        <v/>
      </c>
      <c r="BZB671" t="str">
        <f>IFERROR(VLOOKUP(BZC671,'[3]Raw material  (3)'!BZA653:BZS3729,3,0),"")</f>
        <v/>
      </c>
      <c r="BZC671" t="str">
        <f>IFERROR(VLOOKUP(BZD671,'[3]Raw material  (3)'!BZB653:BZT3729,3,0),"")</f>
        <v/>
      </c>
      <c r="BZD671" t="str">
        <f>IFERROR(VLOOKUP(BZE671,'[3]Raw material  (3)'!BZC653:BZU3729,3,0),"")</f>
        <v/>
      </c>
      <c r="BZE671" t="str">
        <f>IFERROR(VLOOKUP(BZF671,'[3]Raw material  (3)'!BZD653:BZV3729,3,0),"")</f>
        <v/>
      </c>
      <c r="BZF671" t="str">
        <f>IFERROR(VLOOKUP(BZG671,'[3]Raw material  (3)'!BZE653:BZW3729,3,0),"")</f>
        <v/>
      </c>
      <c r="BZG671" t="str">
        <f>IFERROR(VLOOKUP(BZH671,'[3]Raw material  (3)'!BZF653:BZX3729,3,0),"")</f>
        <v/>
      </c>
      <c r="BZH671" t="str">
        <f>IFERROR(VLOOKUP(BZI671,'[3]Raw material  (3)'!BZG653:BZY3729,3,0),"")</f>
        <v/>
      </c>
      <c r="BZI671" t="str">
        <f>IFERROR(VLOOKUP(BZJ671,'[3]Raw material  (3)'!BZH653:BZZ3729,3,0),"")</f>
        <v/>
      </c>
      <c r="BZJ671" t="str">
        <f>IFERROR(VLOOKUP(BZK671,'[3]Raw material  (3)'!BZI653:CAA3729,3,0),"")</f>
        <v/>
      </c>
      <c r="BZK671" t="str">
        <f>IFERROR(VLOOKUP(BZL671,'[3]Raw material  (3)'!BZJ653:CAB3729,3,0),"")</f>
        <v/>
      </c>
      <c r="BZL671" t="str">
        <f>IFERROR(VLOOKUP(BZM671,'[3]Raw material  (3)'!BZK653:CAC3729,3,0),"")</f>
        <v/>
      </c>
      <c r="BZM671" t="str">
        <f>IFERROR(VLOOKUP(BZN671,'[3]Raw material  (3)'!BZL653:CAD3729,3,0),"")</f>
        <v/>
      </c>
      <c r="BZN671" t="str">
        <f>IFERROR(VLOOKUP(BZO671,'[3]Raw material  (3)'!BZM653:CAE3729,3,0),"")</f>
        <v/>
      </c>
      <c r="BZO671" t="str">
        <f>IFERROR(VLOOKUP(BZP671,'[3]Raw material  (3)'!BZN653:CAF3729,3,0),"")</f>
        <v/>
      </c>
      <c r="BZP671" t="str">
        <f>IFERROR(VLOOKUP(BZQ671,'[3]Raw material  (3)'!BZO653:CAG3729,3,0),"")</f>
        <v/>
      </c>
      <c r="BZQ671" t="str">
        <f>IFERROR(VLOOKUP(BZR671,'[3]Raw material  (3)'!BZP653:CAH3729,3,0),"")</f>
        <v/>
      </c>
      <c r="BZR671" t="str">
        <f>IFERROR(VLOOKUP(BZS671,'[3]Raw material  (3)'!BZQ653:CAI3729,3,0),"")</f>
        <v/>
      </c>
      <c r="BZS671" t="str">
        <f>IFERROR(VLOOKUP(BZT671,'[3]Raw material  (3)'!BZR653:CAJ3729,3,0),"")</f>
        <v/>
      </c>
      <c r="BZT671" t="str">
        <f>IFERROR(VLOOKUP(BZU671,'[3]Raw material  (3)'!BZS653:CAK3729,3,0),"")</f>
        <v/>
      </c>
      <c r="BZU671" t="str">
        <f>IFERROR(VLOOKUP(BZV671,'[3]Raw material  (3)'!BZT653:CAL3729,3,0),"")</f>
        <v/>
      </c>
      <c r="BZV671" t="str">
        <f>IFERROR(VLOOKUP(BZW671,'[3]Raw material  (3)'!BZU653:CAM3729,3,0),"")</f>
        <v/>
      </c>
      <c r="BZW671" t="str">
        <f>IFERROR(VLOOKUP(BZX671,'[3]Raw material  (3)'!BZV653:CAN3729,3,0),"")</f>
        <v/>
      </c>
      <c r="BZX671" t="str">
        <f>IFERROR(VLOOKUP(BZY671,'[3]Raw material  (3)'!BZW653:CAO3729,3,0),"")</f>
        <v/>
      </c>
      <c r="BZY671" t="str">
        <f>IFERROR(VLOOKUP(BZZ671,'[3]Raw material  (3)'!BZX653:CAP3729,3,0),"")</f>
        <v/>
      </c>
      <c r="BZZ671" t="str">
        <f>IFERROR(VLOOKUP(CAA671,'[3]Raw material  (3)'!BZY653:CAQ3729,3,0),"")</f>
        <v/>
      </c>
      <c r="CAA671" t="str">
        <f>IFERROR(VLOOKUP(CAB671,'[3]Raw material  (3)'!BZZ653:CAR3729,3,0),"")</f>
        <v/>
      </c>
      <c r="CAB671" t="str">
        <f>IFERROR(VLOOKUP(CAC671,'[3]Raw material  (3)'!CAA653:CAS3729,3,0),"")</f>
        <v/>
      </c>
      <c r="CAC671" t="str">
        <f>IFERROR(VLOOKUP(CAD671,'[3]Raw material  (3)'!CAB653:CAT3729,3,0),"")</f>
        <v/>
      </c>
      <c r="CAD671" t="str">
        <f>IFERROR(VLOOKUP(CAE671,'[3]Raw material  (3)'!CAC653:CAU3729,3,0),"")</f>
        <v/>
      </c>
      <c r="CAE671" t="str">
        <f>IFERROR(VLOOKUP(CAF671,'[3]Raw material  (3)'!CAD653:CAV3729,3,0),"")</f>
        <v/>
      </c>
      <c r="CAF671" t="str">
        <f>IFERROR(VLOOKUP(CAG671,'[3]Raw material  (3)'!CAE653:CAW3729,3,0),"")</f>
        <v/>
      </c>
      <c r="CAG671" t="str">
        <f>IFERROR(VLOOKUP(CAH671,'[3]Raw material  (3)'!CAF653:CAX3729,3,0),"")</f>
        <v/>
      </c>
      <c r="CAH671" t="str">
        <f>IFERROR(VLOOKUP(CAI671,'[3]Raw material  (3)'!CAG653:CAY3729,3,0),"")</f>
        <v/>
      </c>
      <c r="CAI671" t="str">
        <f>IFERROR(VLOOKUP(CAJ671,'[3]Raw material  (3)'!CAH653:CAZ3729,3,0),"")</f>
        <v/>
      </c>
      <c r="CAJ671" t="str">
        <f>IFERROR(VLOOKUP(CAK671,'[3]Raw material  (3)'!CAI653:CBA3729,3,0),"")</f>
        <v/>
      </c>
      <c r="CAK671" t="str">
        <f>IFERROR(VLOOKUP(CAL671,'[3]Raw material  (3)'!CAJ653:CBB3729,3,0),"")</f>
        <v/>
      </c>
      <c r="CAL671" t="str">
        <f>IFERROR(VLOOKUP(CAM671,'[3]Raw material  (3)'!CAK653:CBC3729,3,0),"")</f>
        <v/>
      </c>
      <c r="CAM671" t="str">
        <f>IFERROR(VLOOKUP(CAN671,'[3]Raw material  (3)'!CAL653:CBD3729,3,0),"")</f>
        <v/>
      </c>
      <c r="CAN671" t="str">
        <f>IFERROR(VLOOKUP(CAO671,'[3]Raw material  (3)'!CAM653:CBE3729,3,0),"")</f>
        <v/>
      </c>
      <c r="CAO671" t="str">
        <f>IFERROR(VLOOKUP(CAP671,'[3]Raw material  (3)'!CAN653:CBF3729,3,0),"")</f>
        <v/>
      </c>
      <c r="CAP671" t="str">
        <f>IFERROR(VLOOKUP(CAQ671,'[3]Raw material  (3)'!CAO653:CBG3729,3,0),"")</f>
        <v/>
      </c>
      <c r="CAQ671" t="str">
        <f>IFERROR(VLOOKUP(CAR671,'[3]Raw material  (3)'!CAP653:CBH3729,3,0),"")</f>
        <v/>
      </c>
      <c r="CAR671" t="str">
        <f>IFERROR(VLOOKUP(CAS671,'[3]Raw material  (3)'!CAQ653:CBI3729,3,0),"")</f>
        <v/>
      </c>
      <c r="CAS671" t="str">
        <f>IFERROR(VLOOKUP(CAT671,'[3]Raw material  (3)'!CAR653:CBJ3729,3,0),"")</f>
        <v/>
      </c>
      <c r="CAT671" t="str">
        <f>IFERROR(VLOOKUP(CAU671,'[3]Raw material  (3)'!CAS653:CBK3729,3,0),"")</f>
        <v/>
      </c>
      <c r="CAU671" t="str">
        <f>IFERROR(VLOOKUP(CAV671,'[3]Raw material  (3)'!CAT653:CBL3729,3,0),"")</f>
        <v/>
      </c>
      <c r="CAV671" t="str">
        <f>IFERROR(VLOOKUP(CAW671,'[3]Raw material  (3)'!CAU653:CBM3729,3,0),"")</f>
        <v/>
      </c>
      <c r="CAW671" t="str">
        <f>IFERROR(VLOOKUP(CAX671,'[3]Raw material  (3)'!CAV653:CBN3729,3,0),"")</f>
        <v/>
      </c>
      <c r="CAX671" t="str">
        <f>IFERROR(VLOOKUP(CAY671,'[3]Raw material  (3)'!CAW653:CBO3729,3,0),"")</f>
        <v/>
      </c>
      <c r="CAY671" t="str">
        <f>IFERROR(VLOOKUP(CAZ671,'[3]Raw material  (3)'!CAX653:CBP3729,3,0),"")</f>
        <v/>
      </c>
      <c r="CAZ671" t="str">
        <f>IFERROR(VLOOKUP(CBA671,'[3]Raw material  (3)'!CAY653:CBQ3729,3,0),"")</f>
        <v/>
      </c>
      <c r="CBA671" t="str">
        <f>IFERROR(VLOOKUP(CBB671,'[3]Raw material  (3)'!CAZ653:CBR3729,3,0),"")</f>
        <v/>
      </c>
      <c r="CBB671" t="str">
        <f>IFERROR(VLOOKUP(CBC671,'[3]Raw material  (3)'!CBA653:CBS3729,3,0),"")</f>
        <v/>
      </c>
      <c r="CBC671" t="str">
        <f>IFERROR(VLOOKUP(CBD671,'[3]Raw material  (3)'!CBB653:CBT3729,3,0),"")</f>
        <v/>
      </c>
      <c r="CBD671" t="str">
        <f>IFERROR(VLOOKUP(CBE671,'[3]Raw material  (3)'!CBC653:CBU3729,3,0),"")</f>
        <v/>
      </c>
      <c r="CBE671" t="str">
        <f>IFERROR(VLOOKUP(CBF671,'[3]Raw material  (3)'!CBD653:CBV3729,3,0),"")</f>
        <v/>
      </c>
      <c r="CBF671" t="str">
        <f>IFERROR(VLOOKUP(CBG671,'[3]Raw material  (3)'!CBE653:CBW3729,3,0),"")</f>
        <v/>
      </c>
      <c r="CBG671" t="str">
        <f>IFERROR(VLOOKUP(CBH671,'[3]Raw material  (3)'!CBF653:CBX3729,3,0),"")</f>
        <v/>
      </c>
      <c r="CBH671" t="str">
        <f>IFERROR(VLOOKUP(CBI671,'[3]Raw material  (3)'!CBG653:CBY3729,3,0),"")</f>
        <v/>
      </c>
      <c r="CBI671" t="str">
        <f>IFERROR(VLOOKUP(CBJ671,'[3]Raw material  (3)'!CBH653:CBZ3729,3,0),"")</f>
        <v/>
      </c>
      <c r="CBJ671" t="str">
        <f>IFERROR(VLOOKUP(CBK671,'[3]Raw material  (3)'!CBI653:CCA3729,3,0),"")</f>
        <v/>
      </c>
      <c r="CBK671" t="str">
        <f>IFERROR(VLOOKUP(CBL671,'[3]Raw material  (3)'!CBJ653:CCB3729,3,0),"")</f>
        <v/>
      </c>
      <c r="CBL671" t="str">
        <f>IFERROR(VLOOKUP(CBM671,'[3]Raw material  (3)'!CBK653:CCC3729,3,0),"")</f>
        <v/>
      </c>
      <c r="CBM671" t="str">
        <f>IFERROR(VLOOKUP(CBN671,'[3]Raw material  (3)'!CBL653:CCD3729,3,0),"")</f>
        <v/>
      </c>
      <c r="CBN671" t="str">
        <f>IFERROR(VLOOKUP(CBO671,'[3]Raw material  (3)'!CBM653:CCE3729,3,0),"")</f>
        <v/>
      </c>
      <c r="CBO671" t="str">
        <f>IFERROR(VLOOKUP(CBP671,'[3]Raw material  (3)'!CBN653:CCF3729,3,0),"")</f>
        <v/>
      </c>
      <c r="CBP671" t="str">
        <f>IFERROR(VLOOKUP(CBQ671,'[3]Raw material  (3)'!CBO653:CCG3729,3,0),"")</f>
        <v/>
      </c>
      <c r="CBQ671" t="str">
        <f>IFERROR(VLOOKUP(CBR671,'[3]Raw material  (3)'!CBP653:CCH3729,3,0),"")</f>
        <v/>
      </c>
      <c r="CBR671" t="str">
        <f>IFERROR(VLOOKUP(CBS671,'[3]Raw material  (3)'!CBQ653:CCI3729,3,0),"")</f>
        <v/>
      </c>
      <c r="CBS671" t="str">
        <f>IFERROR(VLOOKUP(CBT671,'[3]Raw material  (3)'!CBR653:CCJ3729,3,0),"")</f>
        <v/>
      </c>
      <c r="CBT671" t="str">
        <f>IFERROR(VLOOKUP(CBU671,'[3]Raw material  (3)'!CBS653:CCK3729,3,0),"")</f>
        <v/>
      </c>
      <c r="CBU671" t="str">
        <f>IFERROR(VLOOKUP(CBV671,'[3]Raw material  (3)'!CBT653:CCL3729,3,0),"")</f>
        <v/>
      </c>
      <c r="CBV671" t="str">
        <f>IFERROR(VLOOKUP(CBW671,'[3]Raw material  (3)'!CBU653:CCM3729,3,0),"")</f>
        <v/>
      </c>
      <c r="CBW671" t="str">
        <f>IFERROR(VLOOKUP(CBX671,'[3]Raw material  (3)'!CBV653:CCN3729,3,0),"")</f>
        <v/>
      </c>
      <c r="CBX671" t="str">
        <f>IFERROR(VLOOKUP(CBY671,'[3]Raw material  (3)'!CBW653:CCO3729,3,0),"")</f>
        <v/>
      </c>
      <c r="CBY671" t="str">
        <f>IFERROR(VLOOKUP(CBZ671,'[3]Raw material  (3)'!CBX653:CCP3729,3,0),"")</f>
        <v/>
      </c>
      <c r="CBZ671" t="str">
        <f>IFERROR(VLOOKUP(CCA671,'[3]Raw material  (3)'!CBY653:CCQ3729,3,0),"")</f>
        <v/>
      </c>
      <c r="CCA671" t="str">
        <f>IFERROR(VLOOKUP(CCB671,'[3]Raw material  (3)'!CBZ653:CCR3729,3,0),"")</f>
        <v/>
      </c>
      <c r="CCB671" t="str">
        <f>IFERROR(VLOOKUP(CCC671,'[3]Raw material  (3)'!CCA653:CCS3729,3,0),"")</f>
        <v/>
      </c>
      <c r="CCC671" t="str">
        <f>IFERROR(VLOOKUP(CCD671,'[3]Raw material  (3)'!CCB653:CCT3729,3,0),"")</f>
        <v/>
      </c>
      <c r="CCD671" t="str">
        <f>IFERROR(VLOOKUP(CCE671,'[3]Raw material  (3)'!CCC653:CCU3729,3,0),"")</f>
        <v/>
      </c>
      <c r="CCE671" t="str">
        <f>IFERROR(VLOOKUP(CCF671,'[3]Raw material  (3)'!CCD653:CCV3729,3,0),"")</f>
        <v/>
      </c>
      <c r="CCF671" t="str">
        <f>IFERROR(VLOOKUP(CCG671,'[3]Raw material  (3)'!CCE653:CCW3729,3,0),"")</f>
        <v/>
      </c>
      <c r="CCG671" t="str">
        <f>IFERROR(VLOOKUP(CCH671,'[3]Raw material  (3)'!CCF653:CCX3729,3,0),"")</f>
        <v/>
      </c>
      <c r="CCH671" t="str">
        <f>IFERROR(VLOOKUP(CCI671,'[3]Raw material  (3)'!CCG653:CCY3729,3,0),"")</f>
        <v/>
      </c>
      <c r="CCI671" t="str">
        <f>IFERROR(VLOOKUP(CCJ671,'[3]Raw material  (3)'!CCH653:CCZ3729,3,0),"")</f>
        <v/>
      </c>
      <c r="CCJ671" t="str">
        <f>IFERROR(VLOOKUP(CCK671,'[3]Raw material  (3)'!CCI653:CDA3729,3,0),"")</f>
        <v/>
      </c>
      <c r="CCK671" t="str">
        <f>IFERROR(VLOOKUP(CCL671,'[3]Raw material  (3)'!CCJ653:CDB3729,3,0),"")</f>
        <v/>
      </c>
      <c r="CCL671" t="str">
        <f>IFERROR(VLOOKUP(CCM671,'[3]Raw material  (3)'!CCK653:CDC3729,3,0),"")</f>
        <v/>
      </c>
      <c r="CCM671" t="str">
        <f>IFERROR(VLOOKUP(CCN671,'[3]Raw material  (3)'!CCL653:CDD3729,3,0),"")</f>
        <v/>
      </c>
      <c r="CCN671" t="str">
        <f>IFERROR(VLOOKUP(CCO671,'[3]Raw material  (3)'!CCM653:CDE3729,3,0),"")</f>
        <v/>
      </c>
      <c r="CCO671" t="str">
        <f>IFERROR(VLOOKUP(CCP671,'[3]Raw material  (3)'!CCN653:CDF3729,3,0),"")</f>
        <v/>
      </c>
      <c r="CCP671" t="str">
        <f>IFERROR(VLOOKUP(CCQ671,'[3]Raw material  (3)'!CCO653:CDG3729,3,0),"")</f>
        <v/>
      </c>
      <c r="CCQ671" t="str">
        <f>IFERROR(VLOOKUP(CCR671,'[3]Raw material  (3)'!CCP653:CDH3729,3,0),"")</f>
        <v/>
      </c>
      <c r="CCR671" t="str">
        <f>IFERROR(VLOOKUP(CCS671,'[3]Raw material  (3)'!CCQ653:CDI3729,3,0),"")</f>
        <v/>
      </c>
      <c r="CCS671" t="str">
        <f>IFERROR(VLOOKUP(CCT671,'[3]Raw material  (3)'!CCR653:CDJ3729,3,0),"")</f>
        <v/>
      </c>
      <c r="CCT671" t="str">
        <f>IFERROR(VLOOKUP(CCU671,'[3]Raw material  (3)'!CCS653:CDK3729,3,0),"")</f>
        <v/>
      </c>
      <c r="CCU671" t="str">
        <f>IFERROR(VLOOKUP(CCV671,'[3]Raw material  (3)'!CCT653:CDL3729,3,0),"")</f>
        <v/>
      </c>
      <c r="CCV671" t="str">
        <f>IFERROR(VLOOKUP(CCW671,'[3]Raw material  (3)'!CCU653:CDM3729,3,0),"")</f>
        <v/>
      </c>
      <c r="CCW671" t="str">
        <f>IFERROR(VLOOKUP(CCX671,'[3]Raw material  (3)'!CCV653:CDN3729,3,0),"")</f>
        <v/>
      </c>
      <c r="CCX671" t="str">
        <f>IFERROR(VLOOKUP(CCY671,'[3]Raw material  (3)'!CCW653:CDO3729,3,0),"")</f>
        <v/>
      </c>
      <c r="CCY671" t="str">
        <f>IFERROR(VLOOKUP(CCZ671,'[3]Raw material  (3)'!CCX653:CDP3729,3,0),"")</f>
        <v/>
      </c>
      <c r="CCZ671" t="str">
        <f>IFERROR(VLOOKUP(CDA671,'[3]Raw material  (3)'!CCY653:CDQ3729,3,0),"")</f>
        <v/>
      </c>
      <c r="CDA671" t="str">
        <f>IFERROR(VLOOKUP(CDB671,'[3]Raw material  (3)'!CCZ653:CDR3729,3,0),"")</f>
        <v/>
      </c>
      <c r="CDB671" t="str">
        <f>IFERROR(VLOOKUP(CDC671,'[3]Raw material  (3)'!CDA653:CDS3729,3,0),"")</f>
        <v/>
      </c>
      <c r="CDC671" t="str">
        <f>IFERROR(VLOOKUP(CDD671,'[3]Raw material  (3)'!CDB653:CDT3729,3,0),"")</f>
        <v/>
      </c>
      <c r="CDD671" t="str">
        <f>IFERROR(VLOOKUP(CDE671,'[3]Raw material  (3)'!CDC653:CDU3729,3,0),"")</f>
        <v/>
      </c>
      <c r="CDE671" t="str">
        <f>IFERROR(VLOOKUP(CDF671,'[3]Raw material  (3)'!CDD653:CDV3729,3,0),"")</f>
        <v/>
      </c>
      <c r="CDF671" t="str">
        <f>IFERROR(VLOOKUP(CDG671,'[3]Raw material  (3)'!CDE653:CDW3729,3,0),"")</f>
        <v/>
      </c>
      <c r="CDG671" t="str">
        <f>IFERROR(VLOOKUP(CDH671,'[3]Raw material  (3)'!CDF653:CDX3729,3,0),"")</f>
        <v/>
      </c>
      <c r="CDH671" t="str">
        <f>IFERROR(VLOOKUP(CDI671,'[3]Raw material  (3)'!CDG653:CDY3729,3,0),"")</f>
        <v/>
      </c>
      <c r="CDI671" t="str">
        <f>IFERROR(VLOOKUP(CDJ671,'[3]Raw material  (3)'!CDH653:CDZ3729,3,0),"")</f>
        <v/>
      </c>
      <c r="CDJ671" t="str">
        <f>IFERROR(VLOOKUP(CDK671,'[3]Raw material  (3)'!CDI653:CEA3729,3,0),"")</f>
        <v/>
      </c>
      <c r="CDK671" t="str">
        <f>IFERROR(VLOOKUP(CDL671,'[3]Raw material  (3)'!CDJ653:CEB3729,3,0),"")</f>
        <v/>
      </c>
      <c r="CDL671" t="str">
        <f>IFERROR(VLOOKUP(CDM671,'[3]Raw material  (3)'!CDK653:CEC3729,3,0),"")</f>
        <v/>
      </c>
      <c r="CDM671" t="str">
        <f>IFERROR(VLOOKUP(CDN671,'[3]Raw material  (3)'!CDL653:CED3729,3,0),"")</f>
        <v/>
      </c>
      <c r="CDN671" t="str">
        <f>IFERROR(VLOOKUP(CDO671,'[3]Raw material  (3)'!CDM653:CEE3729,3,0),"")</f>
        <v/>
      </c>
      <c r="CDO671" t="str">
        <f>IFERROR(VLOOKUP(CDP671,'[3]Raw material  (3)'!CDN653:CEF3729,3,0),"")</f>
        <v/>
      </c>
      <c r="CDP671" t="str">
        <f>IFERROR(VLOOKUP(CDQ671,'[3]Raw material  (3)'!CDO653:CEG3729,3,0),"")</f>
        <v/>
      </c>
      <c r="CDQ671" t="str">
        <f>IFERROR(VLOOKUP(CDR671,'[3]Raw material  (3)'!CDP653:CEH3729,3,0),"")</f>
        <v/>
      </c>
      <c r="CDR671" t="str">
        <f>IFERROR(VLOOKUP(CDS671,'[3]Raw material  (3)'!CDQ653:CEI3729,3,0),"")</f>
        <v/>
      </c>
      <c r="CDS671" t="str">
        <f>IFERROR(VLOOKUP(CDT671,'[3]Raw material  (3)'!CDR653:CEJ3729,3,0),"")</f>
        <v/>
      </c>
      <c r="CDT671" t="str">
        <f>IFERROR(VLOOKUP(CDU671,'[3]Raw material  (3)'!CDS653:CEK3729,3,0),"")</f>
        <v/>
      </c>
      <c r="CDU671" t="str">
        <f>IFERROR(VLOOKUP(CDV671,'[3]Raw material  (3)'!CDT653:CEL3729,3,0),"")</f>
        <v/>
      </c>
      <c r="CDV671" t="str">
        <f>IFERROR(VLOOKUP(CDW671,'[3]Raw material  (3)'!CDU653:CEM3729,3,0),"")</f>
        <v/>
      </c>
      <c r="CDW671" t="str">
        <f>IFERROR(VLOOKUP(CDX671,'[3]Raw material  (3)'!CDV653:CEN3729,3,0),"")</f>
        <v/>
      </c>
      <c r="CDX671" t="str">
        <f>IFERROR(VLOOKUP(CDY671,'[3]Raw material  (3)'!CDW653:CEO3729,3,0),"")</f>
        <v/>
      </c>
      <c r="CDY671" t="str">
        <f>IFERROR(VLOOKUP(CDZ671,'[3]Raw material  (3)'!CDX653:CEP3729,3,0),"")</f>
        <v/>
      </c>
      <c r="CDZ671" t="str">
        <f>IFERROR(VLOOKUP(CEA671,'[3]Raw material  (3)'!CDY653:CEQ3729,3,0),"")</f>
        <v/>
      </c>
      <c r="CEA671" t="str">
        <f>IFERROR(VLOOKUP(CEB671,'[3]Raw material  (3)'!CDZ653:CER3729,3,0),"")</f>
        <v/>
      </c>
      <c r="CEB671" t="str">
        <f>IFERROR(VLOOKUP(CEC671,'[3]Raw material  (3)'!CEA653:CES3729,3,0),"")</f>
        <v/>
      </c>
      <c r="CEC671" t="str">
        <f>IFERROR(VLOOKUP(CED671,'[3]Raw material  (3)'!CEB653:CET3729,3,0),"")</f>
        <v/>
      </c>
      <c r="CED671" t="str">
        <f>IFERROR(VLOOKUP(CEE671,'[3]Raw material  (3)'!CEC653:CEU3729,3,0),"")</f>
        <v/>
      </c>
      <c r="CEE671" t="str">
        <f>IFERROR(VLOOKUP(CEF671,'[3]Raw material  (3)'!CED653:CEV3729,3,0),"")</f>
        <v/>
      </c>
      <c r="CEF671" t="str">
        <f>IFERROR(VLOOKUP(CEG671,'[3]Raw material  (3)'!CEE653:CEW3729,3,0),"")</f>
        <v/>
      </c>
      <c r="CEG671" t="str">
        <f>IFERROR(VLOOKUP(CEH671,'[3]Raw material  (3)'!CEF653:CEX3729,3,0),"")</f>
        <v/>
      </c>
      <c r="CEH671" t="str">
        <f>IFERROR(VLOOKUP(CEI671,'[3]Raw material  (3)'!CEG653:CEY3729,3,0),"")</f>
        <v/>
      </c>
      <c r="CEI671" t="str">
        <f>IFERROR(VLOOKUP(CEJ671,'[3]Raw material  (3)'!CEH653:CEZ3729,3,0),"")</f>
        <v/>
      </c>
      <c r="CEJ671" t="str">
        <f>IFERROR(VLOOKUP(CEK671,'[3]Raw material  (3)'!CEI653:CFA3729,3,0),"")</f>
        <v/>
      </c>
      <c r="CEK671" t="str">
        <f>IFERROR(VLOOKUP(CEL671,'[3]Raw material  (3)'!CEJ653:CFB3729,3,0),"")</f>
        <v/>
      </c>
      <c r="CEL671" t="str">
        <f>IFERROR(VLOOKUP(CEM671,'[3]Raw material  (3)'!CEK653:CFC3729,3,0),"")</f>
        <v/>
      </c>
      <c r="CEM671" t="str">
        <f>IFERROR(VLOOKUP(CEN671,'[3]Raw material  (3)'!CEL653:CFD3729,3,0),"")</f>
        <v/>
      </c>
      <c r="CEN671" t="str">
        <f>IFERROR(VLOOKUP(CEO671,'[3]Raw material  (3)'!CEM653:CFE3729,3,0),"")</f>
        <v/>
      </c>
      <c r="CEO671" t="str">
        <f>IFERROR(VLOOKUP(CEP671,'[3]Raw material  (3)'!CEN653:CFF3729,3,0),"")</f>
        <v/>
      </c>
      <c r="CEP671" t="str">
        <f>IFERROR(VLOOKUP(CEQ671,'[3]Raw material  (3)'!CEO653:CFG3729,3,0),"")</f>
        <v/>
      </c>
      <c r="CEQ671" t="str">
        <f>IFERROR(VLOOKUP(CER671,'[3]Raw material  (3)'!CEP653:CFH3729,3,0),"")</f>
        <v/>
      </c>
      <c r="CER671" t="str">
        <f>IFERROR(VLOOKUP(CES671,'[3]Raw material  (3)'!CEQ653:CFI3729,3,0),"")</f>
        <v/>
      </c>
      <c r="CES671" t="str">
        <f>IFERROR(VLOOKUP(CET671,'[3]Raw material  (3)'!CER653:CFJ3729,3,0),"")</f>
        <v/>
      </c>
      <c r="CET671" t="str">
        <f>IFERROR(VLOOKUP(CEU671,'[3]Raw material  (3)'!CES653:CFK3729,3,0),"")</f>
        <v/>
      </c>
      <c r="CEU671" t="str">
        <f>IFERROR(VLOOKUP(CEV671,'[3]Raw material  (3)'!CET653:CFL3729,3,0),"")</f>
        <v/>
      </c>
      <c r="CEV671" t="str">
        <f>IFERROR(VLOOKUP(CEW671,'[3]Raw material  (3)'!CEU653:CFM3729,3,0),"")</f>
        <v/>
      </c>
      <c r="CEW671" t="str">
        <f>IFERROR(VLOOKUP(CEX671,'[3]Raw material  (3)'!CEV653:CFN3729,3,0),"")</f>
        <v/>
      </c>
      <c r="CEX671" t="str">
        <f>IFERROR(VLOOKUP(CEY671,'[3]Raw material  (3)'!CEW653:CFO3729,3,0),"")</f>
        <v/>
      </c>
      <c r="CEY671" t="str">
        <f>IFERROR(VLOOKUP(CEZ671,'[3]Raw material  (3)'!CEX653:CFP3729,3,0),"")</f>
        <v/>
      </c>
      <c r="CEZ671" t="str">
        <f>IFERROR(VLOOKUP(CFA671,'[3]Raw material  (3)'!CEY653:CFQ3729,3,0),"")</f>
        <v/>
      </c>
      <c r="CFA671" t="str">
        <f>IFERROR(VLOOKUP(CFB671,'[3]Raw material  (3)'!CEZ653:CFR3729,3,0),"")</f>
        <v/>
      </c>
      <c r="CFB671" t="str">
        <f>IFERROR(VLOOKUP(CFC671,'[3]Raw material  (3)'!CFA653:CFS3729,3,0),"")</f>
        <v/>
      </c>
      <c r="CFC671" t="str">
        <f>IFERROR(VLOOKUP(CFD671,'[3]Raw material  (3)'!CFB653:CFT3729,3,0),"")</f>
        <v/>
      </c>
      <c r="CFD671" t="str">
        <f>IFERROR(VLOOKUP(CFE671,'[3]Raw material  (3)'!CFC653:CFU3729,3,0),"")</f>
        <v/>
      </c>
      <c r="CFE671" t="str">
        <f>IFERROR(VLOOKUP(CFF671,'[3]Raw material  (3)'!CFD653:CFV3729,3,0),"")</f>
        <v/>
      </c>
      <c r="CFF671" t="str">
        <f>IFERROR(VLOOKUP(CFG671,'[3]Raw material  (3)'!CFE653:CFW3729,3,0),"")</f>
        <v/>
      </c>
      <c r="CFG671" t="str">
        <f>IFERROR(VLOOKUP(CFH671,'[3]Raw material  (3)'!CFF653:CFX3729,3,0),"")</f>
        <v/>
      </c>
      <c r="CFH671" t="str">
        <f>IFERROR(VLOOKUP(CFI671,'[3]Raw material  (3)'!CFG653:CFY3729,3,0),"")</f>
        <v/>
      </c>
      <c r="CFI671" t="str">
        <f>IFERROR(VLOOKUP(CFJ671,'[3]Raw material  (3)'!CFH653:CFZ3729,3,0),"")</f>
        <v/>
      </c>
      <c r="CFJ671" t="str">
        <f>IFERROR(VLOOKUP(CFK671,'[3]Raw material  (3)'!CFI653:CGA3729,3,0),"")</f>
        <v/>
      </c>
      <c r="CFK671" t="str">
        <f>IFERROR(VLOOKUP(CFL671,'[3]Raw material  (3)'!CFJ653:CGB3729,3,0),"")</f>
        <v/>
      </c>
      <c r="CFL671" t="str">
        <f>IFERROR(VLOOKUP(CFM671,'[3]Raw material  (3)'!CFK653:CGC3729,3,0),"")</f>
        <v/>
      </c>
      <c r="CFM671" t="str">
        <f>IFERROR(VLOOKUP(CFN671,'[3]Raw material  (3)'!CFL653:CGD3729,3,0),"")</f>
        <v/>
      </c>
      <c r="CFN671" t="str">
        <f>IFERROR(VLOOKUP(CFO671,'[3]Raw material  (3)'!CFM653:CGE3729,3,0),"")</f>
        <v/>
      </c>
      <c r="CFO671" t="str">
        <f>IFERROR(VLOOKUP(CFP671,'[3]Raw material  (3)'!CFN653:CGF3729,3,0),"")</f>
        <v/>
      </c>
      <c r="CFP671" t="str">
        <f>IFERROR(VLOOKUP(CFQ671,'[3]Raw material  (3)'!CFO653:CGG3729,3,0),"")</f>
        <v/>
      </c>
      <c r="CFQ671" t="str">
        <f>IFERROR(VLOOKUP(CFR671,'[3]Raw material  (3)'!CFP653:CGH3729,3,0),"")</f>
        <v/>
      </c>
      <c r="CFR671" t="str">
        <f>IFERROR(VLOOKUP(CFS671,'[3]Raw material  (3)'!CFQ653:CGI3729,3,0),"")</f>
        <v/>
      </c>
      <c r="CFS671" t="str">
        <f>IFERROR(VLOOKUP(CFT671,'[3]Raw material  (3)'!CFR653:CGJ3729,3,0),"")</f>
        <v/>
      </c>
      <c r="CFT671" t="str">
        <f>IFERROR(VLOOKUP(CFU671,'[3]Raw material  (3)'!CFS653:CGK3729,3,0),"")</f>
        <v/>
      </c>
      <c r="CFU671" t="str">
        <f>IFERROR(VLOOKUP(CFV671,'[3]Raw material  (3)'!CFT653:CGL3729,3,0),"")</f>
        <v/>
      </c>
      <c r="CFV671" t="str">
        <f>IFERROR(VLOOKUP(CFW671,'[3]Raw material  (3)'!CFU653:CGM3729,3,0),"")</f>
        <v/>
      </c>
      <c r="CFW671" t="str">
        <f>IFERROR(VLOOKUP(CFX671,'[3]Raw material  (3)'!CFV653:CGN3729,3,0),"")</f>
        <v/>
      </c>
      <c r="CFX671" t="str">
        <f>IFERROR(VLOOKUP(CFY671,'[3]Raw material  (3)'!CFW653:CGO3729,3,0),"")</f>
        <v/>
      </c>
      <c r="CFY671" t="str">
        <f>IFERROR(VLOOKUP(CFZ671,'[3]Raw material  (3)'!CFX653:CGP3729,3,0),"")</f>
        <v/>
      </c>
      <c r="CFZ671" t="str">
        <f>IFERROR(VLOOKUP(CGA671,'[3]Raw material  (3)'!CFY653:CGQ3729,3,0),"")</f>
        <v/>
      </c>
      <c r="CGA671" t="str">
        <f>IFERROR(VLOOKUP(CGB671,'[3]Raw material  (3)'!CFZ653:CGR3729,3,0),"")</f>
        <v/>
      </c>
      <c r="CGB671" t="str">
        <f>IFERROR(VLOOKUP(CGC671,'[3]Raw material  (3)'!CGA653:CGS3729,3,0),"")</f>
        <v/>
      </c>
      <c r="CGC671" t="str">
        <f>IFERROR(VLOOKUP(CGD671,'[3]Raw material  (3)'!CGB653:CGT3729,3,0),"")</f>
        <v/>
      </c>
      <c r="CGD671" t="str">
        <f>IFERROR(VLOOKUP(CGE671,'[3]Raw material  (3)'!CGC653:CGU3729,3,0),"")</f>
        <v/>
      </c>
      <c r="CGE671" t="str">
        <f>IFERROR(VLOOKUP(CGF671,'[3]Raw material  (3)'!CGD653:CGV3729,3,0),"")</f>
        <v/>
      </c>
      <c r="CGF671" t="str">
        <f>IFERROR(VLOOKUP(CGG671,'[3]Raw material  (3)'!CGE653:CGW3729,3,0),"")</f>
        <v/>
      </c>
      <c r="CGG671" t="str">
        <f>IFERROR(VLOOKUP(CGH671,'[3]Raw material  (3)'!CGF653:CGX3729,3,0),"")</f>
        <v/>
      </c>
      <c r="CGH671" t="str">
        <f>IFERROR(VLOOKUP(CGI671,'[3]Raw material  (3)'!CGG653:CGY3729,3,0),"")</f>
        <v/>
      </c>
      <c r="CGI671" t="str">
        <f>IFERROR(VLOOKUP(CGJ671,'[3]Raw material  (3)'!CGH653:CGZ3729,3,0),"")</f>
        <v/>
      </c>
      <c r="CGJ671" t="str">
        <f>IFERROR(VLOOKUP(CGK671,'[3]Raw material  (3)'!CGI653:CHA3729,3,0),"")</f>
        <v/>
      </c>
      <c r="CGK671" t="str">
        <f>IFERROR(VLOOKUP(CGL671,'[3]Raw material  (3)'!CGJ653:CHB3729,3,0),"")</f>
        <v/>
      </c>
      <c r="CGL671" t="str">
        <f>IFERROR(VLOOKUP(CGM671,'[3]Raw material  (3)'!CGK653:CHC3729,3,0),"")</f>
        <v/>
      </c>
      <c r="CGM671" t="str">
        <f>IFERROR(VLOOKUP(CGN671,'[3]Raw material  (3)'!CGL653:CHD3729,3,0),"")</f>
        <v/>
      </c>
      <c r="CGN671" t="str">
        <f>IFERROR(VLOOKUP(CGO671,'[3]Raw material  (3)'!CGM653:CHE3729,3,0),"")</f>
        <v/>
      </c>
      <c r="CGO671" t="str">
        <f>IFERROR(VLOOKUP(CGP671,'[3]Raw material  (3)'!CGN653:CHF3729,3,0),"")</f>
        <v/>
      </c>
      <c r="CGP671" t="str">
        <f>IFERROR(VLOOKUP(CGQ671,'[3]Raw material  (3)'!CGO653:CHG3729,3,0),"")</f>
        <v/>
      </c>
      <c r="CGQ671" t="str">
        <f>IFERROR(VLOOKUP(CGR671,'[3]Raw material  (3)'!CGP653:CHH3729,3,0),"")</f>
        <v/>
      </c>
      <c r="CGR671" t="str">
        <f>IFERROR(VLOOKUP(CGS671,'[3]Raw material  (3)'!CGQ653:CHI3729,3,0),"")</f>
        <v/>
      </c>
      <c r="CGS671" t="str">
        <f>IFERROR(VLOOKUP(CGT671,'[3]Raw material  (3)'!CGR653:CHJ3729,3,0),"")</f>
        <v/>
      </c>
      <c r="CGT671" t="str">
        <f>IFERROR(VLOOKUP(CGU671,'[3]Raw material  (3)'!CGS653:CHK3729,3,0),"")</f>
        <v/>
      </c>
      <c r="CGU671" t="str">
        <f>IFERROR(VLOOKUP(CGV671,'[3]Raw material  (3)'!CGT653:CHL3729,3,0),"")</f>
        <v/>
      </c>
      <c r="CGV671" t="str">
        <f>IFERROR(VLOOKUP(CGW671,'[3]Raw material  (3)'!CGU653:CHM3729,3,0),"")</f>
        <v/>
      </c>
      <c r="CGW671" t="str">
        <f>IFERROR(VLOOKUP(CGX671,'[3]Raw material  (3)'!CGV653:CHN3729,3,0),"")</f>
        <v/>
      </c>
      <c r="CGX671" t="str">
        <f>IFERROR(VLOOKUP(CGY671,'[3]Raw material  (3)'!CGW653:CHO3729,3,0),"")</f>
        <v/>
      </c>
      <c r="CGY671" t="str">
        <f>IFERROR(VLOOKUP(CGZ671,'[3]Raw material  (3)'!CGX653:CHP3729,3,0),"")</f>
        <v/>
      </c>
      <c r="CGZ671" t="str">
        <f>IFERROR(VLOOKUP(CHA671,'[3]Raw material  (3)'!CGY653:CHQ3729,3,0),"")</f>
        <v/>
      </c>
      <c r="CHA671" t="str">
        <f>IFERROR(VLOOKUP(CHB671,'[3]Raw material  (3)'!CGZ653:CHR3729,3,0),"")</f>
        <v/>
      </c>
      <c r="CHB671" t="str">
        <f>IFERROR(VLOOKUP(CHC671,'[3]Raw material  (3)'!CHA653:CHS3729,3,0),"")</f>
        <v/>
      </c>
      <c r="CHC671" t="str">
        <f>IFERROR(VLOOKUP(CHD671,'[3]Raw material  (3)'!CHB653:CHT3729,3,0),"")</f>
        <v/>
      </c>
      <c r="CHD671" t="str">
        <f>IFERROR(VLOOKUP(CHE671,'[3]Raw material  (3)'!CHC653:CHU3729,3,0),"")</f>
        <v/>
      </c>
      <c r="CHE671" t="str">
        <f>IFERROR(VLOOKUP(CHF671,'[3]Raw material  (3)'!CHD653:CHV3729,3,0),"")</f>
        <v/>
      </c>
      <c r="CHF671" t="str">
        <f>IFERROR(VLOOKUP(CHG671,'[3]Raw material  (3)'!CHE653:CHW3729,3,0),"")</f>
        <v/>
      </c>
      <c r="CHG671" t="str">
        <f>IFERROR(VLOOKUP(CHH671,'[3]Raw material  (3)'!CHF653:CHX3729,3,0),"")</f>
        <v/>
      </c>
      <c r="CHH671" t="str">
        <f>IFERROR(VLOOKUP(CHI671,'[3]Raw material  (3)'!CHG653:CHY3729,3,0),"")</f>
        <v/>
      </c>
      <c r="CHI671" t="str">
        <f>IFERROR(VLOOKUP(CHJ671,'[3]Raw material  (3)'!CHH653:CHZ3729,3,0),"")</f>
        <v/>
      </c>
      <c r="CHJ671" t="str">
        <f>IFERROR(VLOOKUP(CHK671,'[3]Raw material  (3)'!CHI653:CIA3729,3,0),"")</f>
        <v/>
      </c>
      <c r="CHK671" t="str">
        <f>IFERROR(VLOOKUP(CHL671,'[3]Raw material  (3)'!CHJ653:CIB3729,3,0),"")</f>
        <v/>
      </c>
      <c r="CHL671" t="str">
        <f>IFERROR(VLOOKUP(CHM671,'[3]Raw material  (3)'!CHK653:CIC3729,3,0),"")</f>
        <v/>
      </c>
      <c r="CHM671" t="str">
        <f>IFERROR(VLOOKUP(CHN671,'[3]Raw material  (3)'!CHL653:CID3729,3,0),"")</f>
        <v/>
      </c>
      <c r="CHN671" t="str">
        <f>IFERROR(VLOOKUP(CHO671,'[3]Raw material  (3)'!CHM653:CIE3729,3,0),"")</f>
        <v/>
      </c>
      <c r="CHO671" t="str">
        <f>IFERROR(VLOOKUP(CHP671,'[3]Raw material  (3)'!CHN653:CIF3729,3,0),"")</f>
        <v/>
      </c>
      <c r="CHP671" t="str">
        <f>IFERROR(VLOOKUP(CHQ671,'[3]Raw material  (3)'!CHO653:CIG3729,3,0),"")</f>
        <v/>
      </c>
      <c r="CHQ671" t="str">
        <f>IFERROR(VLOOKUP(CHR671,'[3]Raw material  (3)'!CHP653:CIH3729,3,0),"")</f>
        <v/>
      </c>
      <c r="CHR671" t="str">
        <f>IFERROR(VLOOKUP(CHS671,'[3]Raw material  (3)'!CHQ653:CII3729,3,0),"")</f>
        <v/>
      </c>
      <c r="CHS671" t="str">
        <f>IFERROR(VLOOKUP(CHT671,'[3]Raw material  (3)'!CHR653:CIJ3729,3,0),"")</f>
        <v/>
      </c>
      <c r="CHT671" t="str">
        <f>IFERROR(VLOOKUP(CHU671,'[3]Raw material  (3)'!CHS653:CIK3729,3,0),"")</f>
        <v/>
      </c>
      <c r="CHU671" t="str">
        <f>IFERROR(VLOOKUP(CHV671,'[3]Raw material  (3)'!CHT653:CIL3729,3,0),"")</f>
        <v/>
      </c>
      <c r="CHV671" t="str">
        <f>IFERROR(VLOOKUP(CHW671,'[3]Raw material  (3)'!CHU653:CIM3729,3,0),"")</f>
        <v/>
      </c>
      <c r="CHW671" t="str">
        <f>IFERROR(VLOOKUP(CHX671,'[3]Raw material  (3)'!CHV653:CIN3729,3,0),"")</f>
        <v/>
      </c>
      <c r="CHX671" t="str">
        <f>IFERROR(VLOOKUP(CHY671,'[3]Raw material  (3)'!CHW653:CIO3729,3,0),"")</f>
        <v/>
      </c>
      <c r="CHY671" t="str">
        <f>IFERROR(VLOOKUP(CHZ671,'[3]Raw material  (3)'!CHX653:CIP3729,3,0),"")</f>
        <v/>
      </c>
      <c r="CHZ671" t="str">
        <f>IFERROR(VLOOKUP(CIA671,'[3]Raw material  (3)'!CHY653:CIQ3729,3,0),"")</f>
        <v/>
      </c>
      <c r="CIA671" t="str">
        <f>IFERROR(VLOOKUP(CIB671,'[3]Raw material  (3)'!CHZ653:CIR3729,3,0),"")</f>
        <v/>
      </c>
      <c r="CIB671" t="str">
        <f>IFERROR(VLOOKUP(CIC671,'[3]Raw material  (3)'!CIA653:CIS3729,3,0),"")</f>
        <v/>
      </c>
      <c r="CIC671" t="str">
        <f>IFERROR(VLOOKUP(CID671,'[3]Raw material  (3)'!CIB653:CIT3729,3,0),"")</f>
        <v/>
      </c>
      <c r="CID671" t="str">
        <f>IFERROR(VLOOKUP(CIE671,'[3]Raw material  (3)'!CIC653:CIU3729,3,0),"")</f>
        <v/>
      </c>
      <c r="CIE671" t="str">
        <f>IFERROR(VLOOKUP(CIF671,'[3]Raw material  (3)'!CID653:CIV3729,3,0),"")</f>
        <v/>
      </c>
      <c r="CIF671" t="str">
        <f>IFERROR(VLOOKUP(CIG671,'[3]Raw material  (3)'!CIE653:CIW3729,3,0),"")</f>
        <v/>
      </c>
      <c r="CIG671" t="str">
        <f>IFERROR(VLOOKUP(CIH671,'[3]Raw material  (3)'!CIF653:CIX3729,3,0),"")</f>
        <v/>
      </c>
      <c r="CIH671" t="str">
        <f>IFERROR(VLOOKUP(CII671,'[3]Raw material  (3)'!CIG653:CIY3729,3,0),"")</f>
        <v/>
      </c>
      <c r="CII671" t="str">
        <f>IFERROR(VLOOKUP(CIJ671,'[3]Raw material  (3)'!CIH653:CIZ3729,3,0),"")</f>
        <v/>
      </c>
      <c r="CIJ671" t="str">
        <f>IFERROR(VLOOKUP(CIK671,'[3]Raw material  (3)'!CII653:CJA3729,3,0),"")</f>
        <v/>
      </c>
      <c r="CIK671" t="str">
        <f>IFERROR(VLOOKUP(CIL671,'[3]Raw material  (3)'!CIJ653:CJB3729,3,0),"")</f>
        <v/>
      </c>
      <c r="CIL671" t="str">
        <f>IFERROR(VLOOKUP(CIM671,'[3]Raw material  (3)'!CIK653:CJC3729,3,0),"")</f>
        <v/>
      </c>
      <c r="CIM671" t="str">
        <f>IFERROR(VLOOKUP(CIN671,'[3]Raw material  (3)'!CIL653:CJD3729,3,0),"")</f>
        <v/>
      </c>
      <c r="CIN671" t="str">
        <f>IFERROR(VLOOKUP(CIO671,'[3]Raw material  (3)'!CIM653:CJE3729,3,0),"")</f>
        <v/>
      </c>
      <c r="CIO671" t="str">
        <f>IFERROR(VLOOKUP(CIP671,'[3]Raw material  (3)'!CIN653:CJF3729,3,0),"")</f>
        <v/>
      </c>
      <c r="CIP671" t="str">
        <f>IFERROR(VLOOKUP(CIQ671,'[3]Raw material  (3)'!CIO653:CJG3729,3,0),"")</f>
        <v/>
      </c>
      <c r="CIQ671" t="str">
        <f>IFERROR(VLOOKUP(CIR671,'[3]Raw material  (3)'!CIP653:CJH3729,3,0),"")</f>
        <v/>
      </c>
      <c r="CIR671" t="str">
        <f>IFERROR(VLOOKUP(CIS671,'[3]Raw material  (3)'!CIQ653:CJI3729,3,0),"")</f>
        <v/>
      </c>
      <c r="CIS671" t="str">
        <f>IFERROR(VLOOKUP(CIT671,'[3]Raw material  (3)'!CIR653:CJJ3729,3,0),"")</f>
        <v/>
      </c>
      <c r="CIT671" t="str">
        <f>IFERROR(VLOOKUP(CIU671,'[3]Raw material  (3)'!CIS653:CJK3729,3,0),"")</f>
        <v/>
      </c>
      <c r="CIU671" t="str">
        <f>IFERROR(VLOOKUP(CIV671,'[3]Raw material  (3)'!CIT653:CJL3729,3,0),"")</f>
        <v/>
      </c>
      <c r="CIV671" t="str">
        <f>IFERROR(VLOOKUP(CIW671,'[3]Raw material  (3)'!CIU653:CJM3729,3,0),"")</f>
        <v/>
      </c>
      <c r="CIW671" t="str">
        <f>IFERROR(VLOOKUP(CIX671,'[3]Raw material  (3)'!CIV653:CJN3729,3,0),"")</f>
        <v/>
      </c>
      <c r="CIX671" t="str">
        <f>IFERROR(VLOOKUP(CIY671,'[3]Raw material  (3)'!CIW653:CJO3729,3,0),"")</f>
        <v/>
      </c>
      <c r="CIY671" t="str">
        <f>IFERROR(VLOOKUP(CIZ671,'[3]Raw material  (3)'!CIX653:CJP3729,3,0),"")</f>
        <v/>
      </c>
      <c r="CIZ671" t="str">
        <f>IFERROR(VLOOKUP(CJA671,'[3]Raw material  (3)'!CIY653:CJQ3729,3,0),"")</f>
        <v/>
      </c>
      <c r="CJA671" t="str">
        <f>IFERROR(VLOOKUP(CJB671,'[3]Raw material  (3)'!CIZ653:CJR3729,3,0),"")</f>
        <v/>
      </c>
      <c r="CJB671" t="str">
        <f>IFERROR(VLOOKUP(CJC671,'[3]Raw material  (3)'!CJA653:CJS3729,3,0),"")</f>
        <v/>
      </c>
      <c r="CJC671" t="str">
        <f>IFERROR(VLOOKUP(CJD671,'[3]Raw material  (3)'!CJB653:CJT3729,3,0),"")</f>
        <v/>
      </c>
      <c r="CJD671" t="str">
        <f>IFERROR(VLOOKUP(CJE671,'[3]Raw material  (3)'!CJC653:CJU3729,3,0),"")</f>
        <v/>
      </c>
      <c r="CJE671" t="str">
        <f>IFERROR(VLOOKUP(CJF671,'[3]Raw material  (3)'!CJD653:CJV3729,3,0),"")</f>
        <v/>
      </c>
      <c r="CJF671" t="str">
        <f>IFERROR(VLOOKUP(CJG671,'[3]Raw material  (3)'!CJE653:CJW3729,3,0),"")</f>
        <v/>
      </c>
      <c r="CJG671" t="str">
        <f>IFERROR(VLOOKUP(CJH671,'[3]Raw material  (3)'!CJF653:CJX3729,3,0),"")</f>
        <v/>
      </c>
      <c r="CJH671" t="str">
        <f>IFERROR(VLOOKUP(CJI671,'[3]Raw material  (3)'!CJG653:CJY3729,3,0),"")</f>
        <v/>
      </c>
      <c r="CJI671" t="str">
        <f>IFERROR(VLOOKUP(CJJ671,'[3]Raw material  (3)'!CJH653:CJZ3729,3,0),"")</f>
        <v/>
      </c>
      <c r="CJJ671" t="str">
        <f>IFERROR(VLOOKUP(CJK671,'[3]Raw material  (3)'!CJI653:CKA3729,3,0),"")</f>
        <v/>
      </c>
      <c r="CJK671" t="str">
        <f>IFERROR(VLOOKUP(CJL671,'[3]Raw material  (3)'!CJJ653:CKB3729,3,0),"")</f>
        <v/>
      </c>
      <c r="CJL671" t="str">
        <f>IFERROR(VLOOKUP(CJM671,'[3]Raw material  (3)'!CJK653:CKC3729,3,0),"")</f>
        <v/>
      </c>
      <c r="CJM671" t="str">
        <f>IFERROR(VLOOKUP(CJN671,'[3]Raw material  (3)'!CJL653:CKD3729,3,0),"")</f>
        <v/>
      </c>
      <c r="CJN671" t="str">
        <f>IFERROR(VLOOKUP(CJO671,'[3]Raw material  (3)'!CJM653:CKE3729,3,0),"")</f>
        <v/>
      </c>
      <c r="CJO671" t="str">
        <f>IFERROR(VLOOKUP(CJP671,'[3]Raw material  (3)'!CJN653:CKF3729,3,0),"")</f>
        <v/>
      </c>
      <c r="CJP671" t="str">
        <f>IFERROR(VLOOKUP(CJQ671,'[3]Raw material  (3)'!CJO653:CKG3729,3,0),"")</f>
        <v/>
      </c>
      <c r="CJQ671" t="str">
        <f>IFERROR(VLOOKUP(CJR671,'[3]Raw material  (3)'!CJP653:CKH3729,3,0),"")</f>
        <v/>
      </c>
      <c r="CJR671" t="str">
        <f>IFERROR(VLOOKUP(CJS671,'[3]Raw material  (3)'!CJQ653:CKI3729,3,0),"")</f>
        <v/>
      </c>
      <c r="CJS671" t="str">
        <f>IFERROR(VLOOKUP(CJT671,'[3]Raw material  (3)'!CJR653:CKJ3729,3,0),"")</f>
        <v/>
      </c>
      <c r="CJT671" t="str">
        <f>IFERROR(VLOOKUP(CJU671,'[3]Raw material  (3)'!CJS653:CKK3729,3,0),"")</f>
        <v/>
      </c>
      <c r="CJU671" t="str">
        <f>IFERROR(VLOOKUP(CJV671,'[3]Raw material  (3)'!CJT653:CKL3729,3,0),"")</f>
        <v/>
      </c>
      <c r="CJV671" t="str">
        <f>IFERROR(VLOOKUP(CJW671,'[3]Raw material  (3)'!CJU653:CKM3729,3,0),"")</f>
        <v/>
      </c>
      <c r="CJW671" t="str">
        <f>IFERROR(VLOOKUP(CJX671,'[3]Raw material  (3)'!CJV653:CKN3729,3,0),"")</f>
        <v/>
      </c>
      <c r="CJX671" t="str">
        <f>IFERROR(VLOOKUP(CJY671,'[3]Raw material  (3)'!CJW653:CKO3729,3,0),"")</f>
        <v/>
      </c>
      <c r="CJY671" t="str">
        <f>IFERROR(VLOOKUP(CJZ671,'[3]Raw material  (3)'!CJX653:CKP3729,3,0),"")</f>
        <v/>
      </c>
      <c r="CJZ671" t="str">
        <f>IFERROR(VLOOKUP(CKA671,'[3]Raw material  (3)'!CJY653:CKQ3729,3,0),"")</f>
        <v/>
      </c>
      <c r="CKA671" t="str">
        <f>IFERROR(VLOOKUP(CKB671,'[3]Raw material  (3)'!CJZ653:CKR3729,3,0),"")</f>
        <v/>
      </c>
      <c r="CKB671" t="str">
        <f>IFERROR(VLOOKUP(CKC671,'[3]Raw material  (3)'!CKA653:CKS3729,3,0),"")</f>
        <v/>
      </c>
      <c r="CKC671" t="str">
        <f>IFERROR(VLOOKUP(CKD671,'[3]Raw material  (3)'!CKB653:CKT3729,3,0),"")</f>
        <v/>
      </c>
      <c r="CKD671" t="str">
        <f>IFERROR(VLOOKUP(CKE671,'[3]Raw material  (3)'!CKC653:CKU3729,3,0),"")</f>
        <v/>
      </c>
      <c r="CKE671" t="str">
        <f>IFERROR(VLOOKUP(CKF671,'[3]Raw material  (3)'!CKD653:CKV3729,3,0),"")</f>
        <v/>
      </c>
      <c r="CKF671" t="str">
        <f>IFERROR(VLOOKUP(CKG671,'[3]Raw material  (3)'!CKE653:CKW3729,3,0),"")</f>
        <v/>
      </c>
      <c r="CKG671" t="str">
        <f>IFERROR(VLOOKUP(CKH671,'[3]Raw material  (3)'!CKF653:CKX3729,3,0),"")</f>
        <v/>
      </c>
      <c r="CKH671" t="str">
        <f>IFERROR(VLOOKUP(CKI671,'[3]Raw material  (3)'!CKG653:CKY3729,3,0),"")</f>
        <v/>
      </c>
      <c r="CKI671" t="str">
        <f>IFERROR(VLOOKUP(CKJ671,'[3]Raw material  (3)'!CKH653:CKZ3729,3,0),"")</f>
        <v/>
      </c>
      <c r="CKJ671" t="str">
        <f>IFERROR(VLOOKUP(CKK671,'[3]Raw material  (3)'!CKI653:CLA3729,3,0),"")</f>
        <v/>
      </c>
      <c r="CKK671" t="str">
        <f>IFERROR(VLOOKUP(CKL671,'[3]Raw material  (3)'!CKJ653:CLB3729,3,0),"")</f>
        <v/>
      </c>
      <c r="CKL671" t="str">
        <f>IFERROR(VLOOKUP(CKM671,'[3]Raw material  (3)'!CKK653:CLC3729,3,0),"")</f>
        <v/>
      </c>
      <c r="CKM671" t="str">
        <f>IFERROR(VLOOKUP(CKN671,'[3]Raw material  (3)'!CKL653:CLD3729,3,0),"")</f>
        <v/>
      </c>
      <c r="CKN671" t="str">
        <f>IFERROR(VLOOKUP(CKO671,'[3]Raw material  (3)'!CKM653:CLE3729,3,0),"")</f>
        <v/>
      </c>
      <c r="CKO671" t="str">
        <f>IFERROR(VLOOKUP(CKP671,'[3]Raw material  (3)'!CKN653:CLF3729,3,0),"")</f>
        <v/>
      </c>
      <c r="CKP671" t="str">
        <f>IFERROR(VLOOKUP(CKQ671,'[3]Raw material  (3)'!CKO653:CLG3729,3,0),"")</f>
        <v/>
      </c>
      <c r="CKQ671" t="str">
        <f>IFERROR(VLOOKUP(CKR671,'[3]Raw material  (3)'!CKP653:CLH3729,3,0),"")</f>
        <v/>
      </c>
      <c r="CKR671" t="str">
        <f>IFERROR(VLOOKUP(CKS671,'[3]Raw material  (3)'!CKQ653:CLI3729,3,0),"")</f>
        <v/>
      </c>
      <c r="CKS671" t="str">
        <f>IFERROR(VLOOKUP(CKT671,'[3]Raw material  (3)'!CKR653:CLJ3729,3,0),"")</f>
        <v/>
      </c>
      <c r="CKT671" t="str">
        <f>IFERROR(VLOOKUP(CKU671,'[3]Raw material  (3)'!CKS653:CLK3729,3,0),"")</f>
        <v/>
      </c>
      <c r="CKU671" t="str">
        <f>IFERROR(VLOOKUP(CKV671,'[3]Raw material  (3)'!CKT653:CLL3729,3,0),"")</f>
        <v/>
      </c>
      <c r="CKV671" t="str">
        <f>IFERROR(VLOOKUP(CKW671,'[3]Raw material  (3)'!CKU653:CLM3729,3,0),"")</f>
        <v/>
      </c>
      <c r="CKW671" t="str">
        <f>IFERROR(VLOOKUP(CKX671,'[3]Raw material  (3)'!CKV653:CLN3729,3,0),"")</f>
        <v/>
      </c>
      <c r="CKX671" t="str">
        <f>IFERROR(VLOOKUP(CKY671,'[3]Raw material  (3)'!CKW653:CLO3729,3,0),"")</f>
        <v/>
      </c>
      <c r="CKY671" t="str">
        <f>IFERROR(VLOOKUP(CKZ671,'[3]Raw material  (3)'!CKX653:CLP3729,3,0),"")</f>
        <v/>
      </c>
      <c r="CKZ671" t="str">
        <f>IFERROR(VLOOKUP(CLA671,'[3]Raw material  (3)'!CKY653:CLQ3729,3,0),"")</f>
        <v/>
      </c>
      <c r="CLA671" t="str">
        <f>IFERROR(VLOOKUP(CLB671,'[3]Raw material  (3)'!CKZ653:CLR3729,3,0),"")</f>
        <v/>
      </c>
      <c r="CLB671" t="str">
        <f>IFERROR(VLOOKUP(CLC671,'[3]Raw material  (3)'!CLA653:CLS3729,3,0),"")</f>
        <v/>
      </c>
      <c r="CLC671" t="str">
        <f>IFERROR(VLOOKUP(CLD671,'[3]Raw material  (3)'!CLB653:CLT3729,3,0),"")</f>
        <v/>
      </c>
      <c r="CLD671" t="str">
        <f>IFERROR(VLOOKUP(CLE671,'[3]Raw material  (3)'!CLC653:CLU3729,3,0),"")</f>
        <v/>
      </c>
      <c r="CLE671" t="str">
        <f>IFERROR(VLOOKUP(CLF671,'[3]Raw material  (3)'!CLD653:CLV3729,3,0),"")</f>
        <v/>
      </c>
      <c r="CLF671" t="str">
        <f>IFERROR(VLOOKUP(CLG671,'[3]Raw material  (3)'!CLE653:CLW3729,3,0),"")</f>
        <v/>
      </c>
      <c r="CLG671" t="str">
        <f>IFERROR(VLOOKUP(CLH671,'[3]Raw material  (3)'!CLF653:CLX3729,3,0),"")</f>
        <v/>
      </c>
      <c r="CLH671" t="str">
        <f>IFERROR(VLOOKUP(CLI671,'[3]Raw material  (3)'!CLG653:CLY3729,3,0),"")</f>
        <v/>
      </c>
      <c r="CLI671" t="str">
        <f>IFERROR(VLOOKUP(CLJ671,'[3]Raw material  (3)'!CLH653:CLZ3729,3,0),"")</f>
        <v/>
      </c>
      <c r="CLJ671" t="str">
        <f>IFERROR(VLOOKUP(CLK671,'[3]Raw material  (3)'!CLI653:CMA3729,3,0),"")</f>
        <v/>
      </c>
      <c r="CLK671" t="str">
        <f>IFERROR(VLOOKUP(CLL671,'[3]Raw material  (3)'!CLJ653:CMB3729,3,0),"")</f>
        <v/>
      </c>
      <c r="CLL671" t="str">
        <f>IFERROR(VLOOKUP(CLM671,'[3]Raw material  (3)'!CLK653:CMC3729,3,0),"")</f>
        <v/>
      </c>
      <c r="CLM671" t="str">
        <f>IFERROR(VLOOKUP(CLN671,'[3]Raw material  (3)'!CLL653:CMD3729,3,0),"")</f>
        <v/>
      </c>
      <c r="CLN671" t="str">
        <f>IFERROR(VLOOKUP(CLO671,'[3]Raw material  (3)'!CLM653:CME3729,3,0),"")</f>
        <v/>
      </c>
      <c r="CLO671" t="str">
        <f>IFERROR(VLOOKUP(CLP671,'[3]Raw material  (3)'!CLN653:CMF3729,3,0),"")</f>
        <v/>
      </c>
      <c r="CLP671" t="str">
        <f>IFERROR(VLOOKUP(CLQ671,'[3]Raw material  (3)'!CLO653:CMG3729,3,0),"")</f>
        <v/>
      </c>
      <c r="CLQ671" t="str">
        <f>IFERROR(VLOOKUP(CLR671,'[3]Raw material  (3)'!CLP653:CMH3729,3,0),"")</f>
        <v/>
      </c>
      <c r="CLR671" t="str">
        <f>IFERROR(VLOOKUP(CLS671,'[3]Raw material  (3)'!CLQ653:CMI3729,3,0),"")</f>
        <v/>
      </c>
      <c r="CLS671" t="str">
        <f>IFERROR(VLOOKUP(CLT671,'[3]Raw material  (3)'!CLR653:CMJ3729,3,0),"")</f>
        <v/>
      </c>
      <c r="CLT671" t="str">
        <f>IFERROR(VLOOKUP(CLU671,'[3]Raw material  (3)'!CLS653:CMK3729,3,0),"")</f>
        <v/>
      </c>
      <c r="CLU671" t="str">
        <f>IFERROR(VLOOKUP(CLV671,'[3]Raw material  (3)'!CLT653:CML3729,3,0),"")</f>
        <v/>
      </c>
      <c r="CLV671" t="str">
        <f>IFERROR(VLOOKUP(CLW671,'[3]Raw material  (3)'!CLU653:CMM3729,3,0),"")</f>
        <v/>
      </c>
      <c r="CLW671" t="str">
        <f>IFERROR(VLOOKUP(CLX671,'[3]Raw material  (3)'!CLV653:CMN3729,3,0),"")</f>
        <v/>
      </c>
      <c r="CLX671" t="str">
        <f>IFERROR(VLOOKUP(CLY671,'[3]Raw material  (3)'!CLW653:CMO3729,3,0),"")</f>
        <v/>
      </c>
      <c r="CLY671" t="str">
        <f>IFERROR(VLOOKUP(CLZ671,'[3]Raw material  (3)'!CLX653:CMP3729,3,0),"")</f>
        <v/>
      </c>
      <c r="CLZ671" t="str">
        <f>IFERROR(VLOOKUP(CMA671,'[3]Raw material  (3)'!CLY653:CMQ3729,3,0),"")</f>
        <v/>
      </c>
      <c r="CMA671" t="str">
        <f>IFERROR(VLOOKUP(CMB671,'[3]Raw material  (3)'!CLZ653:CMR3729,3,0),"")</f>
        <v/>
      </c>
      <c r="CMB671" t="str">
        <f>IFERROR(VLOOKUP(CMC671,'[3]Raw material  (3)'!CMA653:CMS3729,3,0),"")</f>
        <v/>
      </c>
      <c r="CMC671" t="str">
        <f>IFERROR(VLOOKUP(CMD671,'[3]Raw material  (3)'!CMB653:CMT3729,3,0),"")</f>
        <v/>
      </c>
      <c r="CMD671" t="str">
        <f>IFERROR(VLOOKUP(CME671,'[3]Raw material  (3)'!CMC653:CMU3729,3,0),"")</f>
        <v/>
      </c>
      <c r="CME671" t="str">
        <f>IFERROR(VLOOKUP(CMF671,'[3]Raw material  (3)'!CMD653:CMV3729,3,0),"")</f>
        <v/>
      </c>
      <c r="CMF671" t="str">
        <f>IFERROR(VLOOKUP(CMG671,'[3]Raw material  (3)'!CME653:CMW3729,3,0),"")</f>
        <v/>
      </c>
      <c r="CMG671" t="str">
        <f>IFERROR(VLOOKUP(CMH671,'[3]Raw material  (3)'!CMF653:CMX3729,3,0),"")</f>
        <v/>
      </c>
      <c r="CMH671" t="str">
        <f>IFERROR(VLOOKUP(CMI671,'[3]Raw material  (3)'!CMG653:CMY3729,3,0),"")</f>
        <v/>
      </c>
      <c r="CMI671" t="str">
        <f>IFERROR(VLOOKUP(CMJ671,'[3]Raw material  (3)'!CMH653:CMZ3729,3,0),"")</f>
        <v/>
      </c>
      <c r="CMJ671" t="str">
        <f>IFERROR(VLOOKUP(CMK671,'[3]Raw material  (3)'!CMI653:CNA3729,3,0),"")</f>
        <v/>
      </c>
      <c r="CMK671" t="str">
        <f>IFERROR(VLOOKUP(CML671,'[3]Raw material  (3)'!CMJ653:CNB3729,3,0),"")</f>
        <v/>
      </c>
      <c r="CML671" t="str">
        <f>IFERROR(VLOOKUP(CMM671,'[3]Raw material  (3)'!CMK653:CNC3729,3,0),"")</f>
        <v/>
      </c>
      <c r="CMM671" t="str">
        <f>IFERROR(VLOOKUP(CMN671,'[3]Raw material  (3)'!CML653:CND3729,3,0),"")</f>
        <v/>
      </c>
      <c r="CMN671" t="str">
        <f>IFERROR(VLOOKUP(CMO671,'[3]Raw material  (3)'!CMM653:CNE3729,3,0),"")</f>
        <v/>
      </c>
      <c r="CMO671" t="str">
        <f>IFERROR(VLOOKUP(CMP671,'[3]Raw material  (3)'!CMN653:CNF3729,3,0),"")</f>
        <v/>
      </c>
      <c r="CMP671" t="str">
        <f>IFERROR(VLOOKUP(CMQ671,'[3]Raw material  (3)'!CMO653:CNG3729,3,0),"")</f>
        <v/>
      </c>
      <c r="CMQ671" t="str">
        <f>IFERROR(VLOOKUP(CMR671,'[3]Raw material  (3)'!CMP653:CNH3729,3,0),"")</f>
        <v/>
      </c>
      <c r="CMR671" t="str">
        <f>IFERROR(VLOOKUP(CMS671,'[3]Raw material  (3)'!CMQ653:CNI3729,3,0),"")</f>
        <v/>
      </c>
      <c r="CMS671" t="str">
        <f>IFERROR(VLOOKUP(CMT671,'[3]Raw material  (3)'!CMR653:CNJ3729,3,0),"")</f>
        <v/>
      </c>
      <c r="CMT671" t="str">
        <f>IFERROR(VLOOKUP(CMU671,'[3]Raw material  (3)'!CMS653:CNK3729,3,0),"")</f>
        <v/>
      </c>
      <c r="CMU671" t="str">
        <f>IFERROR(VLOOKUP(CMV671,'[3]Raw material  (3)'!CMT653:CNL3729,3,0),"")</f>
        <v/>
      </c>
      <c r="CMV671" t="str">
        <f>IFERROR(VLOOKUP(CMW671,'[3]Raw material  (3)'!CMU653:CNM3729,3,0),"")</f>
        <v/>
      </c>
      <c r="CMW671" t="str">
        <f>IFERROR(VLOOKUP(CMX671,'[3]Raw material  (3)'!CMV653:CNN3729,3,0),"")</f>
        <v/>
      </c>
      <c r="CMX671" t="str">
        <f>IFERROR(VLOOKUP(CMY671,'[3]Raw material  (3)'!CMW653:CNO3729,3,0),"")</f>
        <v/>
      </c>
      <c r="CMY671" t="str">
        <f>IFERROR(VLOOKUP(CMZ671,'[3]Raw material  (3)'!CMX653:CNP3729,3,0),"")</f>
        <v/>
      </c>
      <c r="CMZ671" t="str">
        <f>IFERROR(VLOOKUP(CNA671,'[3]Raw material  (3)'!CMY653:CNQ3729,3,0),"")</f>
        <v/>
      </c>
      <c r="CNA671" t="str">
        <f>IFERROR(VLOOKUP(CNB671,'[3]Raw material  (3)'!CMZ653:CNR3729,3,0),"")</f>
        <v/>
      </c>
      <c r="CNB671" t="str">
        <f>IFERROR(VLOOKUP(CNC671,'[3]Raw material  (3)'!CNA653:CNS3729,3,0),"")</f>
        <v/>
      </c>
      <c r="CNC671" t="str">
        <f>IFERROR(VLOOKUP(CND671,'[3]Raw material  (3)'!CNB653:CNT3729,3,0),"")</f>
        <v/>
      </c>
      <c r="CND671" t="str">
        <f>IFERROR(VLOOKUP(CNE671,'[3]Raw material  (3)'!CNC653:CNU3729,3,0),"")</f>
        <v/>
      </c>
      <c r="CNE671" t="str">
        <f>IFERROR(VLOOKUP(CNF671,'[3]Raw material  (3)'!CND653:CNV3729,3,0),"")</f>
        <v/>
      </c>
      <c r="CNF671" t="str">
        <f>IFERROR(VLOOKUP(CNG671,'[3]Raw material  (3)'!CNE653:CNW3729,3,0),"")</f>
        <v/>
      </c>
      <c r="CNG671" t="str">
        <f>IFERROR(VLOOKUP(CNH671,'[3]Raw material  (3)'!CNF653:CNX3729,3,0),"")</f>
        <v/>
      </c>
      <c r="CNH671" t="str">
        <f>IFERROR(VLOOKUP(CNI671,'[3]Raw material  (3)'!CNG653:CNY3729,3,0),"")</f>
        <v/>
      </c>
      <c r="CNI671" t="str">
        <f>IFERROR(VLOOKUP(CNJ671,'[3]Raw material  (3)'!CNH653:CNZ3729,3,0),"")</f>
        <v/>
      </c>
      <c r="CNJ671" t="str">
        <f>IFERROR(VLOOKUP(CNK671,'[3]Raw material  (3)'!CNI653:COA3729,3,0),"")</f>
        <v/>
      </c>
      <c r="CNK671" t="str">
        <f>IFERROR(VLOOKUP(CNL671,'[3]Raw material  (3)'!CNJ653:COB3729,3,0),"")</f>
        <v/>
      </c>
      <c r="CNL671" t="str">
        <f>IFERROR(VLOOKUP(CNM671,'[3]Raw material  (3)'!CNK653:COC3729,3,0),"")</f>
        <v/>
      </c>
      <c r="CNM671" t="str">
        <f>IFERROR(VLOOKUP(CNN671,'[3]Raw material  (3)'!CNL653:COD3729,3,0),"")</f>
        <v/>
      </c>
      <c r="CNN671" t="str">
        <f>IFERROR(VLOOKUP(CNO671,'[3]Raw material  (3)'!CNM653:COE3729,3,0),"")</f>
        <v/>
      </c>
      <c r="CNO671" t="str">
        <f>IFERROR(VLOOKUP(CNP671,'[3]Raw material  (3)'!CNN653:COF3729,3,0),"")</f>
        <v/>
      </c>
      <c r="CNP671" t="str">
        <f>IFERROR(VLOOKUP(CNQ671,'[3]Raw material  (3)'!CNO653:COG3729,3,0),"")</f>
        <v/>
      </c>
      <c r="CNQ671" t="str">
        <f>IFERROR(VLOOKUP(CNR671,'[3]Raw material  (3)'!CNP653:COH3729,3,0),"")</f>
        <v/>
      </c>
      <c r="CNR671" t="str">
        <f>IFERROR(VLOOKUP(CNS671,'[3]Raw material  (3)'!CNQ653:COI3729,3,0),"")</f>
        <v/>
      </c>
      <c r="CNS671" t="str">
        <f>IFERROR(VLOOKUP(CNT671,'[3]Raw material  (3)'!CNR653:COJ3729,3,0),"")</f>
        <v/>
      </c>
      <c r="CNT671" t="str">
        <f>IFERROR(VLOOKUP(CNU671,'[3]Raw material  (3)'!CNS653:COK3729,3,0),"")</f>
        <v/>
      </c>
      <c r="CNU671" t="str">
        <f>IFERROR(VLOOKUP(CNV671,'[3]Raw material  (3)'!CNT653:COL3729,3,0),"")</f>
        <v/>
      </c>
      <c r="CNV671" t="str">
        <f>IFERROR(VLOOKUP(CNW671,'[3]Raw material  (3)'!CNU653:COM3729,3,0),"")</f>
        <v/>
      </c>
      <c r="CNW671" t="str">
        <f>IFERROR(VLOOKUP(CNX671,'[3]Raw material  (3)'!CNV653:CON3729,3,0),"")</f>
        <v/>
      </c>
      <c r="CNX671" t="str">
        <f>IFERROR(VLOOKUP(CNY671,'[3]Raw material  (3)'!CNW653:COO3729,3,0),"")</f>
        <v/>
      </c>
      <c r="CNY671" t="str">
        <f>IFERROR(VLOOKUP(CNZ671,'[3]Raw material  (3)'!CNX653:COP3729,3,0),"")</f>
        <v/>
      </c>
      <c r="CNZ671" t="str">
        <f>IFERROR(VLOOKUP(COA671,'[3]Raw material  (3)'!CNY653:COQ3729,3,0),"")</f>
        <v/>
      </c>
      <c r="COA671" t="str">
        <f>IFERROR(VLOOKUP(COB671,'[3]Raw material  (3)'!CNZ653:COR3729,3,0),"")</f>
        <v/>
      </c>
      <c r="COB671" t="str">
        <f>IFERROR(VLOOKUP(COC671,'[3]Raw material  (3)'!COA653:COS3729,3,0),"")</f>
        <v/>
      </c>
      <c r="COC671" t="str">
        <f>IFERROR(VLOOKUP(COD671,'[3]Raw material  (3)'!COB653:COT3729,3,0),"")</f>
        <v/>
      </c>
      <c r="COD671" t="str">
        <f>IFERROR(VLOOKUP(COE671,'[3]Raw material  (3)'!COC653:COU3729,3,0),"")</f>
        <v/>
      </c>
      <c r="COE671" t="str">
        <f>IFERROR(VLOOKUP(COF671,'[3]Raw material  (3)'!COD653:COV3729,3,0),"")</f>
        <v/>
      </c>
      <c r="COF671" t="str">
        <f>IFERROR(VLOOKUP(COG671,'[3]Raw material  (3)'!COE653:COW3729,3,0),"")</f>
        <v/>
      </c>
      <c r="COG671" t="str">
        <f>IFERROR(VLOOKUP(COH671,'[3]Raw material  (3)'!COF653:COX3729,3,0),"")</f>
        <v/>
      </c>
      <c r="COH671" t="str">
        <f>IFERROR(VLOOKUP(COI671,'[3]Raw material  (3)'!COG653:COY3729,3,0),"")</f>
        <v/>
      </c>
      <c r="COI671" t="str">
        <f>IFERROR(VLOOKUP(COJ671,'[3]Raw material  (3)'!COH653:COZ3729,3,0),"")</f>
        <v/>
      </c>
      <c r="COJ671" t="str">
        <f>IFERROR(VLOOKUP(COK671,'[3]Raw material  (3)'!COI653:CPA3729,3,0),"")</f>
        <v/>
      </c>
      <c r="COK671" t="str">
        <f>IFERROR(VLOOKUP(COL671,'[3]Raw material  (3)'!COJ653:CPB3729,3,0),"")</f>
        <v/>
      </c>
      <c r="COL671" t="str">
        <f>IFERROR(VLOOKUP(COM671,'[3]Raw material  (3)'!COK653:CPC3729,3,0),"")</f>
        <v/>
      </c>
      <c r="COM671" t="str">
        <f>IFERROR(VLOOKUP(CON671,'[3]Raw material  (3)'!COL653:CPD3729,3,0),"")</f>
        <v/>
      </c>
      <c r="CON671" t="str">
        <f>IFERROR(VLOOKUP(COO671,'[3]Raw material  (3)'!COM653:CPE3729,3,0),"")</f>
        <v/>
      </c>
      <c r="COO671" t="str">
        <f>IFERROR(VLOOKUP(COP671,'[3]Raw material  (3)'!CON653:CPF3729,3,0),"")</f>
        <v/>
      </c>
      <c r="COP671" t="str">
        <f>IFERROR(VLOOKUP(COQ671,'[3]Raw material  (3)'!COO653:CPG3729,3,0),"")</f>
        <v/>
      </c>
      <c r="COQ671" t="str">
        <f>IFERROR(VLOOKUP(COR671,'[3]Raw material  (3)'!COP653:CPH3729,3,0),"")</f>
        <v/>
      </c>
      <c r="COR671" t="str">
        <f>IFERROR(VLOOKUP(COS671,'[3]Raw material  (3)'!COQ653:CPI3729,3,0),"")</f>
        <v/>
      </c>
      <c r="COS671" t="str">
        <f>IFERROR(VLOOKUP(COT671,'[3]Raw material  (3)'!COR653:CPJ3729,3,0),"")</f>
        <v/>
      </c>
      <c r="COT671" t="str">
        <f>IFERROR(VLOOKUP(COU671,'[3]Raw material  (3)'!COS653:CPK3729,3,0),"")</f>
        <v/>
      </c>
      <c r="COU671" t="str">
        <f>IFERROR(VLOOKUP(COV671,'[3]Raw material  (3)'!COT653:CPL3729,3,0),"")</f>
        <v/>
      </c>
      <c r="COV671" t="str">
        <f>IFERROR(VLOOKUP(COW671,'[3]Raw material  (3)'!COU653:CPM3729,3,0),"")</f>
        <v/>
      </c>
      <c r="COW671" t="str">
        <f>IFERROR(VLOOKUP(COX671,'[3]Raw material  (3)'!COV653:CPN3729,3,0),"")</f>
        <v/>
      </c>
      <c r="COX671" t="str">
        <f>IFERROR(VLOOKUP(COY671,'[3]Raw material  (3)'!COW653:CPO3729,3,0),"")</f>
        <v/>
      </c>
      <c r="COY671" t="str">
        <f>IFERROR(VLOOKUP(COZ671,'[3]Raw material  (3)'!COX653:CPP3729,3,0),"")</f>
        <v/>
      </c>
      <c r="COZ671" t="str">
        <f>IFERROR(VLOOKUP(CPA671,'[3]Raw material  (3)'!COY653:CPQ3729,3,0),"")</f>
        <v/>
      </c>
      <c r="CPA671" t="str">
        <f>IFERROR(VLOOKUP(CPB671,'[3]Raw material  (3)'!COZ653:CPR3729,3,0),"")</f>
        <v/>
      </c>
      <c r="CPB671" t="str">
        <f>IFERROR(VLOOKUP(CPC671,'[3]Raw material  (3)'!CPA653:CPS3729,3,0),"")</f>
        <v/>
      </c>
      <c r="CPC671" t="str">
        <f>IFERROR(VLOOKUP(CPD671,'[3]Raw material  (3)'!CPB653:CPT3729,3,0),"")</f>
        <v/>
      </c>
      <c r="CPD671" t="str">
        <f>IFERROR(VLOOKUP(CPE671,'[3]Raw material  (3)'!CPC653:CPU3729,3,0),"")</f>
        <v/>
      </c>
      <c r="CPE671" t="str">
        <f>IFERROR(VLOOKUP(CPF671,'[3]Raw material  (3)'!CPD653:CPV3729,3,0),"")</f>
        <v/>
      </c>
      <c r="CPF671" t="str">
        <f>IFERROR(VLOOKUP(CPG671,'[3]Raw material  (3)'!CPE653:CPW3729,3,0),"")</f>
        <v/>
      </c>
      <c r="CPG671" t="str">
        <f>IFERROR(VLOOKUP(CPH671,'[3]Raw material  (3)'!CPF653:CPX3729,3,0),"")</f>
        <v/>
      </c>
      <c r="CPH671" t="str">
        <f>IFERROR(VLOOKUP(CPI671,'[3]Raw material  (3)'!CPG653:CPY3729,3,0),"")</f>
        <v/>
      </c>
      <c r="CPI671" t="str">
        <f>IFERROR(VLOOKUP(CPJ671,'[3]Raw material  (3)'!CPH653:CPZ3729,3,0),"")</f>
        <v/>
      </c>
      <c r="CPJ671" t="str">
        <f>IFERROR(VLOOKUP(CPK671,'[3]Raw material  (3)'!CPI653:CQA3729,3,0),"")</f>
        <v/>
      </c>
      <c r="CPK671" t="str">
        <f>IFERROR(VLOOKUP(CPL671,'[3]Raw material  (3)'!CPJ653:CQB3729,3,0),"")</f>
        <v/>
      </c>
      <c r="CPL671" t="str">
        <f>IFERROR(VLOOKUP(CPM671,'[3]Raw material  (3)'!CPK653:CQC3729,3,0),"")</f>
        <v/>
      </c>
      <c r="CPM671" t="str">
        <f>IFERROR(VLOOKUP(CPN671,'[3]Raw material  (3)'!CPL653:CQD3729,3,0),"")</f>
        <v/>
      </c>
      <c r="CPN671" t="str">
        <f>IFERROR(VLOOKUP(CPO671,'[3]Raw material  (3)'!CPM653:CQE3729,3,0),"")</f>
        <v/>
      </c>
      <c r="CPO671" t="str">
        <f>IFERROR(VLOOKUP(CPP671,'[3]Raw material  (3)'!CPN653:CQF3729,3,0),"")</f>
        <v/>
      </c>
      <c r="CPP671" t="str">
        <f>IFERROR(VLOOKUP(CPQ671,'[3]Raw material  (3)'!CPO653:CQG3729,3,0),"")</f>
        <v/>
      </c>
      <c r="CPQ671" t="str">
        <f>IFERROR(VLOOKUP(CPR671,'[3]Raw material  (3)'!CPP653:CQH3729,3,0),"")</f>
        <v/>
      </c>
      <c r="CPR671" t="str">
        <f>IFERROR(VLOOKUP(CPS671,'[3]Raw material  (3)'!CPQ653:CQI3729,3,0),"")</f>
        <v/>
      </c>
      <c r="CPS671" t="str">
        <f>IFERROR(VLOOKUP(CPT671,'[3]Raw material  (3)'!CPR653:CQJ3729,3,0),"")</f>
        <v/>
      </c>
      <c r="CPT671" t="str">
        <f>IFERROR(VLOOKUP(CPU671,'[3]Raw material  (3)'!CPS653:CQK3729,3,0),"")</f>
        <v/>
      </c>
      <c r="CPU671" t="str">
        <f>IFERROR(VLOOKUP(CPV671,'[3]Raw material  (3)'!CPT653:CQL3729,3,0),"")</f>
        <v/>
      </c>
      <c r="CPV671" t="str">
        <f>IFERROR(VLOOKUP(CPW671,'[3]Raw material  (3)'!CPU653:CQM3729,3,0),"")</f>
        <v/>
      </c>
      <c r="CPW671" t="str">
        <f>IFERROR(VLOOKUP(CPX671,'[3]Raw material  (3)'!CPV653:CQN3729,3,0),"")</f>
        <v/>
      </c>
      <c r="CPX671" t="str">
        <f>IFERROR(VLOOKUP(CPY671,'[3]Raw material  (3)'!CPW653:CQO3729,3,0),"")</f>
        <v/>
      </c>
      <c r="CPY671" t="str">
        <f>IFERROR(VLOOKUP(CPZ671,'[3]Raw material  (3)'!CPX653:CQP3729,3,0),"")</f>
        <v/>
      </c>
      <c r="CPZ671" t="str">
        <f>IFERROR(VLOOKUP(CQA671,'[3]Raw material  (3)'!CPY653:CQQ3729,3,0),"")</f>
        <v/>
      </c>
      <c r="CQA671" t="str">
        <f>IFERROR(VLOOKUP(CQB671,'[3]Raw material  (3)'!CPZ653:CQR3729,3,0),"")</f>
        <v/>
      </c>
      <c r="CQB671" t="str">
        <f>IFERROR(VLOOKUP(CQC671,'[3]Raw material  (3)'!CQA653:CQS3729,3,0),"")</f>
        <v/>
      </c>
      <c r="CQC671" t="str">
        <f>IFERROR(VLOOKUP(CQD671,'[3]Raw material  (3)'!CQB653:CQT3729,3,0),"")</f>
        <v/>
      </c>
      <c r="CQD671" t="str">
        <f>IFERROR(VLOOKUP(CQE671,'[3]Raw material  (3)'!CQC653:CQU3729,3,0),"")</f>
        <v/>
      </c>
      <c r="CQE671" t="str">
        <f>IFERROR(VLOOKUP(CQF671,'[3]Raw material  (3)'!CQD653:CQV3729,3,0),"")</f>
        <v/>
      </c>
      <c r="CQF671" t="str">
        <f>IFERROR(VLOOKUP(CQG671,'[3]Raw material  (3)'!CQE653:CQW3729,3,0),"")</f>
        <v/>
      </c>
      <c r="CQG671" t="str">
        <f>IFERROR(VLOOKUP(CQH671,'[3]Raw material  (3)'!CQF653:CQX3729,3,0),"")</f>
        <v/>
      </c>
      <c r="CQH671" t="str">
        <f>IFERROR(VLOOKUP(CQI671,'[3]Raw material  (3)'!CQG653:CQY3729,3,0),"")</f>
        <v/>
      </c>
      <c r="CQI671" t="str">
        <f>IFERROR(VLOOKUP(CQJ671,'[3]Raw material  (3)'!CQH653:CQZ3729,3,0),"")</f>
        <v/>
      </c>
      <c r="CQJ671" t="str">
        <f>IFERROR(VLOOKUP(CQK671,'[3]Raw material  (3)'!CQI653:CRA3729,3,0),"")</f>
        <v/>
      </c>
      <c r="CQK671" t="str">
        <f>IFERROR(VLOOKUP(CQL671,'[3]Raw material  (3)'!CQJ653:CRB3729,3,0),"")</f>
        <v/>
      </c>
      <c r="CQL671" t="str">
        <f>IFERROR(VLOOKUP(CQM671,'[3]Raw material  (3)'!CQK653:CRC3729,3,0),"")</f>
        <v/>
      </c>
      <c r="CQM671" t="str">
        <f>IFERROR(VLOOKUP(CQN671,'[3]Raw material  (3)'!CQL653:CRD3729,3,0),"")</f>
        <v/>
      </c>
      <c r="CQN671" t="str">
        <f>IFERROR(VLOOKUP(CQO671,'[3]Raw material  (3)'!CQM653:CRE3729,3,0),"")</f>
        <v/>
      </c>
      <c r="CQO671" t="str">
        <f>IFERROR(VLOOKUP(CQP671,'[3]Raw material  (3)'!CQN653:CRF3729,3,0),"")</f>
        <v/>
      </c>
      <c r="CQP671" t="str">
        <f>IFERROR(VLOOKUP(CQQ671,'[3]Raw material  (3)'!CQO653:CRG3729,3,0),"")</f>
        <v/>
      </c>
      <c r="CQQ671" t="str">
        <f>IFERROR(VLOOKUP(CQR671,'[3]Raw material  (3)'!CQP653:CRH3729,3,0),"")</f>
        <v/>
      </c>
      <c r="CQR671" t="str">
        <f>IFERROR(VLOOKUP(CQS671,'[3]Raw material  (3)'!CQQ653:CRI3729,3,0),"")</f>
        <v/>
      </c>
      <c r="CQS671" t="str">
        <f>IFERROR(VLOOKUP(CQT671,'[3]Raw material  (3)'!CQR653:CRJ3729,3,0),"")</f>
        <v/>
      </c>
      <c r="CQT671" t="str">
        <f>IFERROR(VLOOKUP(CQU671,'[3]Raw material  (3)'!CQS653:CRK3729,3,0),"")</f>
        <v/>
      </c>
      <c r="CQU671" t="str">
        <f>IFERROR(VLOOKUP(CQV671,'[3]Raw material  (3)'!CQT653:CRL3729,3,0),"")</f>
        <v/>
      </c>
      <c r="CQV671" t="str">
        <f>IFERROR(VLOOKUP(CQW671,'[3]Raw material  (3)'!CQU653:CRM3729,3,0),"")</f>
        <v/>
      </c>
      <c r="CQW671" t="str">
        <f>IFERROR(VLOOKUP(CQX671,'[3]Raw material  (3)'!CQV653:CRN3729,3,0),"")</f>
        <v/>
      </c>
      <c r="CQX671" t="str">
        <f>IFERROR(VLOOKUP(CQY671,'[3]Raw material  (3)'!CQW653:CRO3729,3,0),"")</f>
        <v/>
      </c>
      <c r="CQY671" t="str">
        <f>IFERROR(VLOOKUP(CQZ671,'[3]Raw material  (3)'!CQX653:CRP3729,3,0),"")</f>
        <v/>
      </c>
      <c r="CQZ671" t="str">
        <f>IFERROR(VLOOKUP(CRA671,'[3]Raw material  (3)'!CQY653:CRQ3729,3,0),"")</f>
        <v/>
      </c>
      <c r="CRA671" t="str">
        <f>IFERROR(VLOOKUP(CRB671,'[3]Raw material  (3)'!CQZ653:CRR3729,3,0),"")</f>
        <v/>
      </c>
      <c r="CRB671" t="str">
        <f>IFERROR(VLOOKUP(CRC671,'[3]Raw material  (3)'!CRA653:CRS3729,3,0),"")</f>
        <v/>
      </c>
      <c r="CRC671" t="str">
        <f>IFERROR(VLOOKUP(CRD671,'[3]Raw material  (3)'!CRB653:CRT3729,3,0),"")</f>
        <v/>
      </c>
      <c r="CRD671" t="str">
        <f>IFERROR(VLOOKUP(CRE671,'[3]Raw material  (3)'!CRC653:CRU3729,3,0),"")</f>
        <v/>
      </c>
      <c r="CRE671" t="str">
        <f>IFERROR(VLOOKUP(CRF671,'[3]Raw material  (3)'!CRD653:CRV3729,3,0),"")</f>
        <v/>
      </c>
      <c r="CRF671" t="str">
        <f>IFERROR(VLOOKUP(CRG671,'[3]Raw material  (3)'!CRE653:CRW3729,3,0),"")</f>
        <v/>
      </c>
      <c r="CRG671" t="str">
        <f>IFERROR(VLOOKUP(CRH671,'[3]Raw material  (3)'!CRF653:CRX3729,3,0),"")</f>
        <v/>
      </c>
      <c r="CRH671" t="str">
        <f>IFERROR(VLOOKUP(CRI671,'[3]Raw material  (3)'!CRG653:CRY3729,3,0),"")</f>
        <v/>
      </c>
      <c r="CRI671" t="str">
        <f>IFERROR(VLOOKUP(CRJ671,'[3]Raw material  (3)'!CRH653:CRZ3729,3,0),"")</f>
        <v/>
      </c>
      <c r="CRJ671" t="str">
        <f>IFERROR(VLOOKUP(CRK671,'[3]Raw material  (3)'!CRI653:CSA3729,3,0),"")</f>
        <v/>
      </c>
      <c r="CRK671" t="str">
        <f>IFERROR(VLOOKUP(CRL671,'[3]Raw material  (3)'!CRJ653:CSB3729,3,0),"")</f>
        <v/>
      </c>
      <c r="CRL671" t="str">
        <f>IFERROR(VLOOKUP(CRM671,'[3]Raw material  (3)'!CRK653:CSC3729,3,0),"")</f>
        <v/>
      </c>
      <c r="CRM671" t="str">
        <f>IFERROR(VLOOKUP(CRN671,'[3]Raw material  (3)'!CRL653:CSD3729,3,0),"")</f>
        <v/>
      </c>
      <c r="CRN671" t="str">
        <f>IFERROR(VLOOKUP(CRO671,'[3]Raw material  (3)'!CRM653:CSE3729,3,0),"")</f>
        <v/>
      </c>
      <c r="CRO671" t="str">
        <f>IFERROR(VLOOKUP(CRP671,'[3]Raw material  (3)'!CRN653:CSF3729,3,0),"")</f>
        <v/>
      </c>
      <c r="CRP671" t="str">
        <f>IFERROR(VLOOKUP(CRQ671,'[3]Raw material  (3)'!CRO653:CSG3729,3,0),"")</f>
        <v/>
      </c>
      <c r="CRQ671" t="str">
        <f>IFERROR(VLOOKUP(CRR671,'[3]Raw material  (3)'!CRP653:CSH3729,3,0),"")</f>
        <v/>
      </c>
      <c r="CRR671" t="str">
        <f>IFERROR(VLOOKUP(CRS671,'[3]Raw material  (3)'!CRQ653:CSI3729,3,0),"")</f>
        <v/>
      </c>
      <c r="CRS671" t="str">
        <f>IFERROR(VLOOKUP(CRT671,'[3]Raw material  (3)'!CRR653:CSJ3729,3,0),"")</f>
        <v/>
      </c>
      <c r="CRT671" t="str">
        <f>IFERROR(VLOOKUP(CRU671,'[3]Raw material  (3)'!CRS653:CSK3729,3,0),"")</f>
        <v/>
      </c>
      <c r="CRU671" t="str">
        <f>IFERROR(VLOOKUP(CRV671,'[3]Raw material  (3)'!CRT653:CSL3729,3,0),"")</f>
        <v/>
      </c>
      <c r="CRV671" t="str">
        <f>IFERROR(VLOOKUP(CRW671,'[3]Raw material  (3)'!CRU653:CSM3729,3,0),"")</f>
        <v/>
      </c>
      <c r="CRW671" t="str">
        <f>IFERROR(VLOOKUP(CRX671,'[3]Raw material  (3)'!CRV653:CSN3729,3,0),"")</f>
        <v/>
      </c>
      <c r="CRX671" t="str">
        <f>IFERROR(VLOOKUP(CRY671,'[3]Raw material  (3)'!CRW653:CSO3729,3,0),"")</f>
        <v/>
      </c>
      <c r="CRY671" t="str">
        <f>IFERROR(VLOOKUP(CRZ671,'[3]Raw material  (3)'!CRX653:CSP3729,3,0),"")</f>
        <v/>
      </c>
      <c r="CRZ671" t="str">
        <f>IFERROR(VLOOKUP(CSA671,'[3]Raw material  (3)'!CRY653:CSQ3729,3,0),"")</f>
        <v/>
      </c>
      <c r="CSA671" t="str">
        <f>IFERROR(VLOOKUP(CSB671,'[3]Raw material  (3)'!CRZ653:CSR3729,3,0),"")</f>
        <v/>
      </c>
      <c r="CSB671" t="str">
        <f>IFERROR(VLOOKUP(CSC671,'[3]Raw material  (3)'!CSA653:CSS3729,3,0),"")</f>
        <v/>
      </c>
      <c r="CSC671" t="str">
        <f>IFERROR(VLOOKUP(CSD671,'[3]Raw material  (3)'!CSB653:CST3729,3,0),"")</f>
        <v/>
      </c>
      <c r="CSD671" t="str">
        <f>IFERROR(VLOOKUP(CSE671,'[3]Raw material  (3)'!CSC653:CSU3729,3,0),"")</f>
        <v/>
      </c>
      <c r="CSE671" t="str">
        <f>IFERROR(VLOOKUP(CSF671,'[3]Raw material  (3)'!CSD653:CSV3729,3,0),"")</f>
        <v/>
      </c>
      <c r="CSF671" t="str">
        <f>IFERROR(VLOOKUP(CSG671,'[3]Raw material  (3)'!CSE653:CSW3729,3,0),"")</f>
        <v/>
      </c>
      <c r="CSG671" t="str">
        <f>IFERROR(VLOOKUP(CSH671,'[3]Raw material  (3)'!CSF653:CSX3729,3,0),"")</f>
        <v/>
      </c>
      <c r="CSH671" t="str">
        <f>IFERROR(VLOOKUP(CSI671,'[3]Raw material  (3)'!CSG653:CSY3729,3,0),"")</f>
        <v/>
      </c>
      <c r="CSI671" t="str">
        <f>IFERROR(VLOOKUP(CSJ671,'[3]Raw material  (3)'!CSH653:CSZ3729,3,0),"")</f>
        <v/>
      </c>
      <c r="CSJ671" t="str">
        <f>IFERROR(VLOOKUP(CSK671,'[3]Raw material  (3)'!CSI653:CTA3729,3,0),"")</f>
        <v/>
      </c>
      <c r="CSK671" t="str">
        <f>IFERROR(VLOOKUP(CSL671,'[3]Raw material  (3)'!CSJ653:CTB3729,3,0),"")</f>
        <v/>
      </c>
      <c r="CSL671" t="str">
        <f>IFERROR(VLOOKUP(CSM671,'[3]Raw material  (3)'!CSK653:CTC3729,3,0),"")</f>
        <v/>
      </c>
      <c r="CSM671" t="str">
        <f>IFERROR(VLOOKUP(CSN671,'[3]Raw material  (3)'!CSL653:CTD3729,3,0),"")</f>
        <v/>
      </c>
      <c r="CSN671" t="str">
        <f>IFERROR(VLOOKUP(CSO671,'[3]Raw material  (3)'!CSM653:CTE3729,3,0),"")</f>
        <v/>
      </c>
      <c r="CSO671" t="str">
        <f>IFERROR(VLOOKUP(CSP671,'[3]Raw material  (3)'!CSN653:CTF3729,3,0),"")</f>
        <v/>
      </c>
      <c r="CSP671" t="str">
        <f>IFERROR(VLOOKUP(CSQ671,'[3]Raw material  (3)'!CSO653:CTG3729,3,0),"")</f>
        <v/>
      </c>
      <c r="CSQ671" t="str">
        <f>IFERROR(VLOOKUP(CSR671,'[3]Raw material  (3)'!CSP653:CTH3729,3,0),"")</f>
        <v/>
      </c>
      <c r="CSR671" t="str">
        <f>IFERROR(VLOOKUP(CSS671,'[3]Raw material  (3)'!CSQ653:CTI3729,3,0),"")</f>
        <v/>
      </c>
      <c r="CSS671" t="str">
        <f>IFERROR(VLOOKUP(CST671,'[3]Raw material  (3)'!CSR653:CTJ3729,3,0),"")</f>
        <v/>
      </c>
      <c r="CST671" t="str">
        <f>IFERROR(VLOOKUP(CSU671,'[3]Raw material  (3)'!CSS653:CTK3729,3,0),"")</f>
        <v/>
      </c>
      <c r="CSU671" t="str">
        <f>IFERROR(VLOOKUP(CSV671,'[3]Raw material  (3)'!CST653:CTL3729,3,0),"")</f>
        <v/>
      </c>
      <c r="CSV671" t="str">
        <f>IFERROR(VLOOKUP(CSW671,'[3]Raw material  (3)'!CSU653:CTM3729,3,0),"")</f>
        <v/>
      </c>
      <c r="CSW671" t="str">
        <f>IFERROR(VLOOKUP(CSX671,'[3]Raw material  (3)'!CSV653:CTN3729,3,0),"")</f>
        <v/>
      </c>
      <c r="CSX671" t="str">
        <f>IFERROR(VLOOKUP(CSY671,'[3]Raw material  (3)'!CSW653:CTO3729,3,0),"")</f>
        <v/>
      </c>
      <c r="CSY671" t="str">
        <f>IFERROR(VLOOKUP(CSZ671,'[3]Raw material  (3)'!CSX653:CTP3729,3,0),"")</f>
        <v/>
      </c>
      <c r="CSZ671" t="str">
        <f>IFERROR(VLOOKUP(CTA671,'[3]Raw material  (3)'!CSY653:CTQ3729,3,0),"")</f>
        <v/>
      </c>
      <c r="CTA671" t="str">
        <f>IFERROR(VLOOKUP(CTB671,'[3]Raw material  (3)'!CSZ653:CTR3729,3,0),"")</f>
        <v/>
      </c>
      <c r="CTB671" t="str">
        <f>IFERROR(VLOOKUP(CTC671,'[3]Raw material  (3)'!CTA653:CTS3729,3,0),"")</f>
        <v/>
      </c>
      <c r="CTC671" t="str">
        <f>IFERROR(VLOOKUP(CTD671,'[3]Raw material  (3)'!CTB653:CTT3729,3,0),"")</f>
        <v/>
      </c>
      <c r="CTD671" t="str">
        <f>IFERROR(VLOOKUP(CTE671,'[3]Raw material  (3)'!CTC653:CTU3729,3,0),"")</f>
        <v/>
      </c>
      <c r="CTE671" t="str">
        <f>IFERROR(VLOOKUP(CTF671,'[3]Raw material  (3)'!CTD653:CTV3729,3,0),"")</f>
        <v/>
      </c>
      <c r="CTF671" t="str">
        <f>IFERROR(VLOOKUP(CTG671,'[3]Raw material  (3)'!CTE653:CTW3729,3,0),"")</f>
        <v/>
      </c>
      <c r="CTG671" t="str">
        <f>IFERROR(VLOOKUP(CTH671,'[3]Raw material  (3)'!CTF653:CTX3729,3,0),"")</f>
        <v/>
      </c>
      <c r="CTH671" t="str">
        <f>IFERROR(VLOOKUP(CTI671,'[3]Raw material  (3)'!CTG653:CTY3729,3,0),"")</f>
        <v/>
      </c>
      <c r="CTI671" t="str">
        <f>IFERROR(VLOOKUP(CTJ671,'[3]Raw material  (3)'!CTH653:CTZ3729,3,0),"")</f>
        <v/>
      </c>
      <c r="CTJ671" t="str">
        <f>IFERROR(VLOOKUP(CTK671,'[3]Raw material  (3)'!CTI653:CUA3729,3,0),"")</f>
        <v/>
      </c>
      <c r="CTK671" t="str">
        <f>IFERROR(VLOOKUP(CTL671,'[3]Raw material  (3)'!CTJ653:CUB3729,3,0),"")</f>
        <v/>
      </c>
      <c r="CTL671" t="str">
        <f>IFERROR(VLOOKUP(CTM671,'[3]Raw material  (3)'!CTK653:CUC3729,3,0),"")</f>
        <v/>
      </c>
      <c r="CTM671" t="str">
        <f>IFERROR(VLOOKUP(CTN671,'[3]Raw material  (3)'!CTL653:CUD3729,3,0),"")</f>
        <v/>
      </c>
      <c r="CTN671" t="str">
        <f>IFERROR(VLOOKUP(CTO671,'[3]Raw material  (3)'!CTM653:CUE3729,3,0),"")</f>
        <v/>
      </c>
      <c r="CTO671" t="str">
        <f>IFERROR(VLOOKUP(CTP671,'[3]Raw material  (3)'!CTN653:CUF3729,3,0),"")</f>
        <v/>
      </c>
      <c r="CTP671" t="str">
        <f>IFERROR(VLOOKUP(CTQ671,'[3]Raw material  (3)'!CTO653:CUG3729,3,0),"")</f>
        <v/>
      </c>
      <c r="CTQ671" t="str">
        <f>IFERROR(VLOOKUP(CTR671,'[3]Raw material  (3)'!CTP653:CUH3729,3,0),"")</f>
        <v/>
      </c>
      <c r="CTR671" t="str">
        <f>IFERROR(VLOOKUP(CTS671,'[3]Raw material  (3)'!CTQ653:CUI3729,3,0),"")</f>
        <v/>
      </c>
      <c r="CTS671" t="str">
        <f>IFERROR(VLOOKUP(CTT671,'[3]Raw material  (3)'!CTR653:CUJ3729,3,0),"")</f>
        <v/>
      </c>
      <c r="CTT671" t="str">
        <f>IFERROR(VLOOKUP(CTU671,'[3]Raw material  (3)'!CTS653:CUK3729,3,0),"")</f>
        <v/>
      </c>
      <c r="CTU671" t="str">
        <f>IFERROR(VLOOKUP(CTV671,'[3]Raw material  (3)'!CTT653:CUL3729,3,0),"")</f>
        <v/>
      </c>
      <c r="CTV671" t="str">
        <f>IFERROR(VLOOKUP(CTW671,'[3]Raw material  (3)'!CTU653:CUM3729,3,0),"")</f>
        <v/>
      </c>
      <c r="CTW671" t="str">
        <f>IFERROR(VLOOKUP(CTX671,'[3]Raw material  (3)'!CTV653:CUN3729,3,0),"")</f>
        <v/>
      </c>
      <c r="CTX671" t="str">
        <f>IFERROR(VLOOKUP(CTY671,'[3]Raw material  (3)'!CTW653:CUO3729,3,0),"")</f>
        <v/>
      </c>
      <c r="CTY671" t="str">
        <f>IFERROR(VLOOKUP(CTZ671,'[3]Raw material  (3)'!CTX653:CUP3729,3,0),"")</f>
        <v/>
      </c>
      <c r="CTZ671" t="str">
        <f>IFERROR(VLOOKUP(CUA671,'[3]Raw material  (3)'!CTY653:CUQ3729,3,0),"")</f>
        <v/>
      </c>
      <c r="CUA671" t="str">
        <f>IFERROR(VLOOKUP(CUB671,'[3]Raw material  (3)'!CTZ653:CUR3729,3,0),"")</f>
        <v/>
      </c>
      <c r="CUB671" t="str">
        <f>IFERROR(VLOOKUP(CUC671,'[3]Raw material  (3)'!CUA653:CUS3729,3,0),"")</f>
        <v/>
      </c>
      <c r="CUC671" t="str">
        <f>IFERROR(VLOOKUP(CUD671,'[3]Raw material  (3)'!CUB653:CUT3729,3,0),"")</f>
        <v/>
      </c>
      <c r="CUD671" t="str">
        <f>IFERROR(VLOOKUP(CUE671,'[3]Raw material  (3)'!CUC653:CUU3729,3,0),"")</f>
        <v/>
      </c>
      <c r="CUE671" t="str">
        <f>IFERROR(VLOOKUP(CUF671,'[3]Raw material  (3)'!CUD653:CUV3729,3,0),"")</f>
        <v/>
      </c>
      <c r="CUF671" t="str">
        <f>IFERROR(VLOOKUP(CUG671,'[3]Raw material  (3)'!CUE653:CUW3729,3,0),"")</f>
        <v/>
      </c>
      <c r="CUG671" t="str">
        <f>IFERROR(VLOOKUP(CUH671,'[3]Raw material  (3)'!CUF653:CUX3729,3,0),"")</f>
        <v/>
      </c>
      <c r="CUH671" t="str">
        <f>IFERROR(VLOOKUP(CUI671,'[3]Raw material  (3)'!CUG653:CUY3729,3,0),"")</f>
        <v/>
      </c>
      <c r="CUI671" t="str">
        <f>IFERROR(VLOOKUP(CUJ671,'[3]Raw material  (3)'!CUH653:CUZ3729,3,0),"")</f>
        <v/>
      </c>
      <c r="CUJ671" t="str">
        <f>IFERROR(VLOOKUP(CUK671,'[3]Raw material  (3)'!CUI653:CVA3729,3,0),"")</f>
        <v/>
      </c>
      <c r="CUK671" t="str">
        <f>IFERROR(VLOOKUP(CUL671,'[3]Raw material  (3)'!CUJ653:CVB3729,3,0),"")</f>
        <v/>
      </c>
      <c r="CUL671" t="str">
        <f>IFERROR(VLOOKUP(CUM671,'[3]Raw material  (3)'!CUK653:CVC3729,3,0),"")</f>
        <v/>
      </c>
      <c r="CUM671" t="str">
        <f>IFERROR(VLOOKUP(CUN671,'[3]Raw material  (3)'!CUL653:CVD3729,3,0),"")</f>
        <v/>
      </c>
      <c r="CUN671" t="str">
        <f>IFERROR(VLOOKUP(CUO671,'[3]Raw material  (3)'!CUM653:CVE3729,3,0),"")</f>
        <v/>
      </c>
      <c r="CUO671" t="str">
        <f>IFERROR(VLOOKUP(CUP671,'[3]Raw material  (3)'!CUN653:CVF3729,3,0),"")</f>
        <v/>
      </c>
      <c r="CUP671" t="str">
        <f>IFERROR(VLOOKUP(CUQ671,'[3]Raw material  (3)'!CUO653:CVG3729,3,0),"")</f>
        <v/>
      </c>
      <c r="CUQ671" t="str">
        <f>IFERROR(VLOOKUP(CUR671,'[3]Raw material  (3)'!CUP653:CVH3729,3,0),"")</f>
        <v/>
      </c>
      <c r="CUR671" t="str">
        <f>IFERROR(VLOOKUP(CUS671,'[3]Raw material  (3)'!CUQ653:CVI3729,3,0),"")</f>
        <v/>
      </c>
      <c r="CUS671" t="str">
        <f>IFERROR(VLOOKUP(CUT671,'[3]Raw material  (3)'!CUR653:CVJ3729,3,0),"")</f>
        <v/>
      </c>
      <c r="CUT671" t="str">
        <f>IFERROR(VLOOKUP(CUU671,'[3]Raw material  (3)'!CUS653:CVK3729,3,0),"")</f>
        <v/>
      </c>
      <c r="CUU671" t="str">
        <f>IFERROR(VLOOKUP(CUV671,'[3]Raw material  (3)'!CUT653:CVL3729,3,0),"")</f>
        <v/>
      </c>
      <c r="CUV671" t="str">
        <f>IFERROR(VLOOKUP(CUW671,'[3]Raw material  (3)'!CUU653:CVM3729,3,0),"")</f>
        <v/>
      </c>
      <c r="CUW671" t="str">
        <f>IFERROR(VLOOKUP(CUX671,'[3]Raw material  (3)'!CUV653:CVN3729,3,0),"")</f>
        <v/>
      </c>
      <c r="CUX671" t="str">
        <f>IFERROR(VLOOKUP(CUY671,'[3]Raw material  (3)'!CUW653:CVO3729,3,0),"")</f>
        <v/>
      </c>
      <c r="CUY671" t="str">
        <f>IFERROR(VLOOKUP(CUZ671,'[3]Raw material  (3)'!CUX653:CVP3729,3,0),"")</f>
        <v/>
      </c>
      <c r="CUZ671" t="str">
        <f>IFERROR(VLOOKUP(CVA671,'[3]Raw material  (3)'!CUY653:CVQ3729,3,0),"")</f>
        <v/>
      </c>
      <c r="CVA671" t="str">
        <f>IFERROR(VLOOKUP(CVB671,'[3]Raw material  (3)'!CUZ653:CVR3729,3,0),"")</f>
        <v/>
      </c>
      <c r="CVB671" t="str">
        <f>IFERROR(VLOOKUP(CVC671,'[3]Raw material  (3)'!CVA653:CVS3729,3,0),"")</f>
        <v/>
      </c>
      <c r="CVC671" t="str">
        <f>IFERROR(VLOOKUP(CVD671,'[3]Raw material  (3)'!CVB653:CVT3729,3,0),"")</f>
        <v/>
      </c>
      <c r="CVD671" t="str">
        <f>IFERROR(VLOOKUP(CVE671,'[3]Raw material  (3)'!CVC653:CVU3729,3,0),"")</f>
        <v/>
      </c>
      <c r="CVE671" t="str">
        <f>IFERROR(VLOOKUP(CVF671,'[3]Raw material  (3)'!CVD653:CVV3729,3,0),"")</f>
        <v/>
      </c>
      <c r="CVF671" t="str">
        <f>IFERROR(VLOOKUP(CVG671,'[3]Raw material  (3)'!CVE653:CVW3729,3,0),"")</f>
        <v/>
      </c>
      <c r="CVG671" t="str">
        <f>IFERROR(VLOOKUP(CVH671,'[3]Raw material  (3)'!CVF653:CVX3729,3,0),"")</f>
        <v/>
      </c>
      <c r="CVH671" t="str">
        <f>IFERROR(VLOOKUP(CVI671,'[3]Raw material  (3)'!CVG653:CVY3729,3,0),"")</f>
        <v/>
      </c>
      <c r="CVI671" t="str">
        <f>IFERROR(VLOOKUP(CVJ671,'[3]Raw material  (3)'!CVH653:CVZ3729,3,0),"")</f>
        <v/>
      </c>
      <c r="CVJ671" t="str">
        <f>IFERROR(VLOOKUP(CVK671,'[3]Raw material  (3)'!CVI653:CWA3729,3,0),"")</f>
        <v/>
      </c>
      <c r="CVK671" t="str">
        <f>IFERROR(VLOOKUP(CVL671,'[3]Raw material  (3)'!CVJ653:CWB3729,3,0),"")</f>
        <v/>
      </c>
      <c r="CVL671" t="str">
        <f>IFERROR(VLOOKUP(CVM671,'[3]Raw material  (3)'!CVK653:CWC3729,3,0),"")</f>
        <v/>
      </c>
      <c r="CVM671" t="str">
        <f>IFERROR(VLOOKUP(CVN671,'[3]Raw material  (3)'!CVL653:CWD3729,3,0),"")</f>
        <v/>
      </c>
      <c r="CVN671" t="str">
        <f>IFERROR(VLOOKUP(CVO671,'[3]Raw material  (3)'!CVM653:CWE3729,3,0),"")</f>
        <v/>
      </c>
      <c r="CVO671" t="str">
        <f>IFERROR(VLOOKUP(CVP671,'[3]Raw material  (3)'!CVN653:CWF3729,3,0),"")</f>
        <v/>
      </c>
      <c r="CVP671" t="str">
        <f>IFERROR(VLOOKUP(CVQ671,'[3]Raw material  (3)'!CVO653:CWG3729,3,0),"")</f>
        <v/>
      </c>
      <c r="CVQ671" t="str">
        <f>IFERROR(VLOOKUP(CVR671,'[3]Raw material  (3)'!CVP653:CWH3729,3,0),"")</f>
        <v/>
      </c>
      <c r="CVR671" t="str">
        <f>IFERROR(VLOOKUP(CVS671,'[3]Raw material  (3)'!CVQ653:CWI3729,3,0),"")</f>
        <v/>
      </c>
      <c r="CVS671" t="str">
        <f>IFERROR(VLOOKUP(CVT671,'[3]Raw material  (3)'!CVR653:CWJ3729,3,0),"")</f>
        <v/>
      </c>
      <c r="CVT671" t="str">
        <f>IFERROR(VLOOKUP(CVU671,'[3]Raw material  (3)'!CVS653:CWK3729,3,0),"")</f>
        <v/>
      </c>
      <c r="CVU671" t="str">
        <f>IFERROR(VLOOKUP(CVV671,'[3]Raw material  (3)'!CVT653:CWL3729,3,0),"")</f>
        <v/>
      </c>
      <c r="CVV671" t="str">
        <f>IFERROR(VLOOKUP(CVW671,'[3]Raw material  (3)'!CVU653:CWM3729,3,0),"")</f>
        <v/>
      </c>
      <c r="CVW671" t="str">
        <f>IFERROR(VLOOKUP(CVX671,'[3]Raw material  (3)'!CVV653:CWN3729,3,0),"")</f>
        <v/>
      </c>
      <c r="CVX671" t="str">
        <f>IFERROR(VLOOKUP(CVY671,'[3]Raw material  (3)'!CVW653:CWO3729,3,0),"")</f>
        <v/>
      </c>
      <c r="CVY671" t="str">
        <f>IFERROR(VLOOKUP(CVZ671,'[3]Raw material  (3)'!CVX653:CWP3729,3,0),"")</f>
        <v/>
      </c>
      <c r="CVZ671" t="str">
        <f>IFERROR(VLOOKUP(CWA671,'[3]Raw material  (3)'!CVY653:CWQ3729,3,0),"")</f>
        <v/>
      </c>
      <c r="CWA671" t="str">
        <f>IFERROR(VLOOKUP(CWB671,'[3]Raw material  (3)'!CVZ653:CWR3729,3,0),"")</f>
        <v/>
      </c>
      <c r="CWB671" t="str">
        <f>IFERROR(VLOOKUP(CWC671,'[3]Raw material  (3)'!CWA653:CWS3729,3,0),"")</f>
        <v/>
      </c>
      <c r="CWC671" t="str">
        <f>IFERROR(VLOOKUP(CWD671,'[3]Raw material  (3)'!CWB653:CWT3729,3,0),"")</f>
        <v/>
      </c>
      <c r="CWD671" t="str">
        <f>IFERROR(VLOOKUP(CWE671,'[3]Raw material  (3)'!CWC653:CWU3729,3,0),"")</f>
        <v/>
      </c>
      <c r="CWE671" t="str">
        <f>IFERROR(VLOOKUP(CWF671,'[3]Raw material  (3)'!CWD653:CWV3729,3,0),"")</f>
        <v/>
      </c>
      <c r="CWF671" t="str">
        <f>IFERROR(VLOOKUP(CWG671,'[3]Raw material  (3)'!CWE653:CWW3729,3,0),"")</f>
        <v/>
      </c>
      <c r="CWG671" t="str">
        <f>IFERROR(VLOOKUP(CWH671,'[3]Raw material  (3)'!CWF653:CWX3729,3,0),"")</f>
        <v/>
      </c>
      <c r="CWH671" t="str">
        <f>IFERROR(VLOOKUP(CWI671,'[3]Raw material  (3)'!CWG653:CWY3729,3,0),"")</f>
        <v/>
      </c>
      <c r="CWI671" t="str">
        <f>IFERROR(VLOOKUP(CWJ671,'[3]Raw material  (3)'!CWH653:CWZ3729,3,0),"")</f>
        <v/>
      </c>
      <c r="CWJ671" t="str">
        <f>IFERROR(VLOOKUP(CWK671,'[3]Raw material  (3)'!CWI653:CXA3729,3,0),"")</f>
        <v/>
      </c>
      <c r="CWK671" t="str">
        <f>IFERROR(VLOOKUP(CWL671,'[3]Raw material  (3)'!CWJ653:CXB3729,3,0),"")</f>
        <v/>
      </c>
      <c r="CWL671" t="str">
        <f>IFERROR(VLOOKUP(CWM671,'[3]Raw material  (3)'!CWK653:CXC3729,3,0),"")</f>
        <v/>
      </c>
      <c r="CWM671" t="str">
        <f>IFERROR(VLOOKUP(CWN671,'[3]Raw material  (3)'!CWL653:CXD3729,3,0),"")</f>
        <v/>
      </c>
      <c r="CWN671" t="str">
        <f>IFERROR(VLOOKUP(CWO671,'[3]Raw material  (3)'!CWM653:CXE3729,3,0),"")</f>
        <v/>
      </c>
      <c r="CWO671" t="str">
        <f>IFERROR(VLOOKUP(CWP671,'[3]Raw material  (3)'!CWN653:CXF3729,3,0),"")</f>
        <v/>
      </c>
      <c r="CWP671" t="str">
        <f>IFERROR(VLOOKUP(CWQ671,'[3]Raw material  (3)'!CWO653:CXG3729,3,0),"")</f>
        <v/>
      </c>
      <c r="CWQ671" t="str">
        <f>IFERROR(VLOOKUP(CWR671,'[3]Raw material  (3)'!CWP653:CXH3729,3,0),"")</f>
        <v/>
      </c>
      <c r="CWR671" t="str">
        <f>IFERROR(VLOOKUP(CWS671,'[3]Raw material  (3)'!CWQ653:CXI3729,3,0),"")</f>
        <v/>
      </c>
      <c r="CWS671" t="str">
        <f>IFERROR(VLOOKUP(CWT671,'[3]Raw material  (3)'!CWR653:CXJ3729,3,0),"")</f>
        <v/>
      </c>
      <c r="CWT671" t="str">
        <f>IFERROR(VLOOKUP(CWU671,'[3]Raw material  (3)'!CWS653:CXK3729,3,0),"")</f>
        <v/>
      </c>
      <c r="CWU671" t="str">
        <f>IFERROR(VLOOKUP(CWV671,'[3]Raw material  (3)'!CWT653:CXL3729,3,0),"")</f>
        <v/>
      </c>
      <c r="CWV671" t="str">
        <f>IFERROR(VLOOKUP(CWW671,'[3]Raw material  (3)'!CWU653:CXM3729,3,0),"")</f>
        <v/>
      </c>
      <c r="CWW671" t="str">
        <f>IFERROR(VLOOKUP(CWX671,'[3]Raw material  (3)'!CWV653:CXN3729,3,0),"")</f>
        <v/>
      </c>
      <c r="CWX671" t="str">
        <f>IFERROR(VLOOKUP(CWY671,'[3]Raw material  (3)'!CWW653:CXO3729,3,0),"")</f>
        <v/>
      </c>
      <c r="CWY671" t="str">
        <f>IFERROR(VLOOKUP(CWZ671,'[3]Raw material  (3)'!CWX653:CXP3729,3,0),"")</f>
        <v/>
      </c>
      <c r="CWZ671" t="str">
        <f>IFERROR(VLOOKUP(CXA671,'[3]Raw material  (3)'!CWY653:CXQ3729,3,0),"")</f>
        <v/>
      </c>
      <c r="CXA671" t="str">
        <f>IFERROR(VLOOKUP(CXB671,'[3]Raw material  (3)'!CWZ653:CXR3729,3,0),"")</f>
        <v/>
      </c>
      <c r="CXB671" t="str">
        <f>IFERROR(VLOOKUP(CXC671,'[3]Raw material  (3)'!CXA653:CXS3729,3,0),"")</f>
        <v/>
      </c>
      <c r="CXC671" t="str">
        <f>IFERROR(VLOOKUP(CXD671,'[3]Raw material  (3)'!CXB653:CXT3729,3,0),"")</f>
        <v/>
      </c>
      <c r="CXD671" t="str">
        <f>IFERROR(VLOOKUP(CXE671,'[3]Raw material  (3)'!CXC653:CXU3729,3,0),"")</f>
        <v/>
      </c>
      <c r="CXE671" t="str">
        <f>IFERROR(VLOOKUP(CXF671,'[3]Raw material  (3)'!CXD653:CXV3729,3,0),"")</f>
        <v/>
      </c>
      <c r="CXF671" t="str">
        <f>IFERROR(VLOOKUP(CXG671,'[3]Raw material  (3)'!CXE653:CXW3729,3,0),"")</f>
        <v/>
      </c>
      <c r="CXG671" t="str">
        <f>IFERROR(VLOOKUP(CXH671,'[3]Raw material  (3)'!CXF653:CXX3729,3,0),"")</f>
        <v/>
      </c>
      <c r="CXH671" t="str">
        <f>IFERROR(VLOOKUP(CXI671,'[3]Raw material  (3)'!CXG653:CXY3729,3,0),"")</f>
        <v/>
      </c>
      <c r="CXI671" t="str">
        <f>IFERROR(VLOOKUP(CXJ671,'[3]Raw material  (3)'!CXH653:CXZ3729,3,0),"")</f>
        <v/>
      </c>
      <c r="CXJ671" t="str">
        <f>IFERROR(VLOOKUP(CXK671,'[3]Raw material  (3)'!CXI653:CYA3729,3,0),"")</f>
        <v/>
      </c>
      <c r="CXK671" t="str">
        <f>IFERROR(VLOOKUP(CXL671,'[3]Raw material  (3)'!CXJ653:CYB3729,3,0),"")</f>
        <v/>
      </c>
      <c r="CXL671" t="str">
        <f>IFERROR(VLOOKUP(CXM671,'[3]Raw material  (3)'!CXK653:CYC3729,3,0),"")</f>
        <v/>
      </c>
      <c r="CXM671" t="str">
        <f>IFERROR(VLOOKUP(CXN671,'[3]Raw material  (3)'!CXL653:CYD3729,3,0),"")</f>
        <v/>
      </c>
      <c r="CXN671" t="str">
        <f>IFERROR(VLOOKUP(CXO671,'[3]Raw material  (3)'!CXM653:CYE3729,3,0),"")</f>
        <v/>
      </c>
      <c r="CXO671" t="str">
        <f>IFERROR(VLOOKUP(CXP671,'[3]Raw material  (3)'!CXN653:CYF3729,3,0),"")</f>
        <v/>
      </c>
      <c r="CXP671" t="str">
        <f>IFERROR(VLOOKUP(CXQ671,'[3]Raw material  (3)'!CXO653:CYG3729,3,0),"")</f>
        <v/>
      </c>
      <c r="CXQ671" t="str">
        <f>IFERROR(VLOOKUP(CXR671,'[3]Raw material  (3)'!CXP653:CYH3729,3,0),"")</f>
        <v/>
      </c>
      <c r="CXR671" t="str">
        <f>IFERROR(VLOOKUP(CXS671,'[3]Raw material  (3)'!CXQ653:CYI3729,3,0),"")</f>
        <v/>
      </c>
      <c r="CXS671" t="str">
        <f>IFERROR(VLOOKUP(CXT671,'[3]Raw material  (3)'!CXR653:CYJ3729,3,0),"")</f>
        <v/>
      </c>
      <c r="CXT671" t="str">
        <f>IFERROR(VLOOKUP(CXU671,'[3]Raw material  (3)'!CXS653:CYK3729,3,0),"")</f>
        <v/>
      </c>
      <c r="CXU671" t="str">
        <f>IFERROR(VLOOKUP(CXV671,'[3]Raw material  (3)'!CXT653:CYL3729,3,0),"")</f>
        <v/>
      </c>
      <c r="CXV671" t="str">
        <f>IFERROR(VLOOKUP(CXW671,'[3]Raw material  (3)'!CXU653:CYM3729,3,0),"")</f>
        <v/>
      </c>
      <c r="CXW671" t="str">
        <f>IFERROR(VLOOKUP(CXX671,'[3]Raw material  (3)'!CXV653:CYN3729,3,0),"")</f>
        <v/>
      </c>
      <c r="CXX671" t="str">
        <f>IFERROR(VLOOKUP(CXY671,'[3]Raw material  (3)'!CXW653:CYO3729,3,0),"")</f>
        <v/>
      </c>
      <c r="CXY671" t="str">
        <f>IFERROR(VLOOKUP(CXZ671,'[3]Raw material  (3)'!CXX653:CYP3729,3,0),"")</f>
        <v/>
      </c>
      <c r="CXZ671" t="str">
        <f>IFERROR(VLOOKUP(CYA671,'[3]Raw material  (3)'!CXY653:CYQ3729,3,0),"")</f>
        <v/>
      </c>
      <c r="CYA671" t="str">
        <f>IFERROR(VLOOKUP(CYB671,'[3]Raw material  (3)'!CXZ653:CYR3729,3,0),"")</f>
        <v/>
      </c>
      <c r="CYB671" t="str">
        <f>IFERROR(VLOOKUP(CYC671,'[3]Raw material  (3)'!CYA653:CYS3729,3,0),"")</f>
        <v/>
      </c>
      <c r="CYC671" t="str">
        <f>IFERROR(VLOOKUP(CYD671,'[3]Raw material  (3)'!CYB653:CYT3729,3,0),"")</f>
        <v/>
      </c>
      <c r="CYD671" t="str">
        <f>IFERROR(VLOOKUP(CYE671,'[3]Raw material  (3)'!CYC653:CYU3729,3,0),"")</f>
        <v/>
      </c>
      <c r="CYE671" t="str">
        <f>IFERROR(VLOOKUP(CYF671,'[3]Raw material  (3)'!CYD653:CYV3729,3,0),"")</f>
        <v/>
      </c>
      <c r="CYF671" t="str">
        <f>IFERROR(VLOOKUP(CYG671,'[3]Raw material  (3)'!CYE653:CYW3729,3,0),"")</f>
        <v/>
      </c>
      <c r="CYG671" t="str">
        <f>IFERROR(VLOOKUP(CYH671,'[3]Raw material  (3)'!CYF653:CYX3729,3,0),"")</f>
        <v/>
      </c>
      <c r="CYH671" t="str">
        <f>IFERROR(VLOOKUP(CYI671,'[3]Raw material  (3)'!CYG653:CYY3729,3,0),"")</f>
        <v/>
      </c>
      <c r="CYI671" t="str">
        <f>IFERROR(VLOOKUP(CYJ671,'[3]Raw material  (3)'!CYH653:CYZ3729,3,0),"")</f>
        <v/>
      </c>
      <c r="CYJ671" t="str">
        <f>IFERROR(VLOOKUP(CYK671,'[3]Raw material  (3)'!CYI653:CZA3729,3,0),"")</f>
        <v/>
      </c>
      <c r="CYK671" t="str">
        <f>IFERROR(VLOOKUP(CYL671,'[3]Raw material  (3)'!CYJ653:CZB3729,3,0),"")</f>
        <v/>
      </c>
      <c r="CYL671" t="str">
        <f>IFERROR(VLOOKUP(CYM671,'[3]Raw material  (3)'!CYK653:CZC3729,3,0),"")</f>
        <v/>
      </c>
      <c r="CYM671" t="str">
        <f>IFERROR(VLOOKUP(CYN671,'[3]Raw material  (3)'!CYL653:CZD3729,3,0),"")</f>
        <v/>
      </c>
      <c r="CYN671" t="str">
        <f>IFERROR(VLOOKUP(CYO671,'[3]Raw material  (3)'!CYM653:CZE3729,3,0),"")</f>
        <v/>
      </c>
      <c r="CYO671" t="str">
        <f>IFERROR(VLOOKUP(CYP671,'[3]Raw material  (3)'!CYN653:CZF3729,3,0),"")</f>
        <v/>
      </c>
      <c r="CYP671" t="str">
        <f>IFERROR(VLOOKUP(CYQ671,'[3]Raw material  (3)'!CYO653:CZG3729,3,0),"")</f>
        <v/>
      </c>
      <c r="CYQ671" t="str">
        <f>IFERROR(VLOOKUP(CYR671,'[3]Raw material  (3)'!CYP653:CZH3729,3,0),"")</f>
        <v/>
      </c>
      <c r="CYR671" t="str">
        <f>IFERROR(VLOOKUP(CYS671,'[3]Raw material  (3)'!CYQ653:CZI3729,3,0),"")</f>
        <v/>
      </c>
      <c r="CYS671" t="str">
        <f>IFERROR(VLOOKUP(CYT671,'[3]Raw material  (3)'!CYR653:CZJ3729,3,0),"")</f>
        <v/>
      </c>
      <c r="CYT671" t="str">
        <f>IFERROR(VLOOKUP(CYU671,'[3]Raw material  (3)'!CYS653:CZK3729,3,0),"")</f>
        <v/>
      </c>
      <c r="CYU671" t="str">
        <f>IFERROR(VLOOKUP(CYV671,'[3]Raw material  (3)'!CYT653:CZL3729,3,0),"")</f>
        <v/>
      </c>
      <c r="CYV671" t="str">
        <f>IFERROR(VLOOKUP(CYW671,'[3]Raw material  (3)'!CYU653:CZM3729,3,0),"")</f>
        <v/>
      </c>
      <c r="CYW671" t="str">
        <f>IFERROR(VLOOKUP(CYX671,'[3]Raw material  (3)'!CYV653:CZN3729,3,0),"")</f>
        <v/>
      </c>
      <c r="CYX671" t="str">
        <f>IFERROR(VLOOKUP(CYY671,'[3]Raw material  (3)'!CYW653:CZO3729,3,0),"")</f>
        <v/>
      </c>
      <c r="CYY671" t="str">
        <f>IFERROR(VLOOKUP(CYZ671,'[3]Raw material  (3)'!CYX653:CZP3729,3,0),"")</f>
        <v/>
      </c>
      <c r="CYZ671" t="str">
        <f>IFERROR(VLOOKUP(CZA671,'[3]Raw material  (3)'!CYY653:CZQ3729,3,0),"")</f>
        <v/>
      </c>
      <c r="CZA671" t="str">
        <f>IFERROR(VLOOKUP(CZB671,'[3]Raw material  (3)'!CYZ653:CZR3729,3,0),"")</f>
        <v/>
      </c>
      <c r="CZB671" t="str">
        <f>IFERROR(VLOOKUP(CZC671,'[3]Raw material  (3)'!CZA653:CZS3729,3,0),"")</f>
        <v/>
      </c>
      <c r="CZC671" t="str">
        <f>IFERROR(VLOOKUP(CZD671,'[3]Raw material  (3)'!CZB653:CZT3729,3,0),"")</f>
        <v/>
      </c>
      <c r="CZD671" t="str">
        <f>IFERROR(VLOOKUP(CZE671,'[3]Raw material  (3)'!CZC653:CZU3729,3,0),"")</f>
        <v/>
      </c>
      <c r="CZE671" t="str">
        <f>IFERROR(VLOOKUP(CZF671,'[3]Raw material  (3)'!CZD653:CZV3729,3,0),"")</f>
        <v/>
      </c>
      <c r="CZF671" t="str">
        <f>IFERROR(VLOOKUP(CZG671,'[3]Raw material  (3)'!CZE653:CZW3729,3,0),"")</f>
        <v/>
      </c>
      <c r="CZG671" t="str">
        <f>IFERROR(VLOOKUP(CZH671,'[3]Raw material  (3)'!CZF653:CZX3729,3,0),"")</f>
        <v/>
      </c>
      <c r="CZH671" t="str">
        <f>IFERROR(VLOOKUP(CZI671,'[3]Raw material  (3)'!CZG653:CZY3729,3,0),"")</f>
        <v/>
      </c>
      <c r="CZI671" t="str">
        <f>IFERROR(VLOOKUP(CZJ671,'[3]Raw material  (3)'!CZH653:CZZ3729,3,0),"")</f>
        <v/>
      </c>
      <c r="CZJ671" t="str">
        <f>IFERROR(VLOOKUP(CZK671,'[3]Raw material  (3)'!CZI653:DAA3729,3,0),"")</f>
        <v/>
      </c>
      <c r="CZK671" t="str">
        <f>IFERROR(VLOOKUP(CZL671,'[3]Raw material  (3)'!CZJ653:DAB3729,3,0),"")</f>
        <v/>
      </c>
      <c r="CZL671" t="str">
        <f>IFERROR(VLOOKUP(CZM671,'[3]Raw material  (3)'!CZK653:DAC3729,3,0),"")</f>
        <v/>
      </c>
      <c r="CZM671" t="str">
        <f>IFERROR(VLOOKUP(CZN671,'[3]Raw material  (3)'!CZL653:DAD3729,3,0),"")</f>
        <v/>
      </c>
      <c r="CZN671" t="str">
        <f>IFERROR(VLOOKUP(CZO671,'[3]Raw material  (3)'!CZM653:DAE3729,3,0),"")</f>
        <v/>
      </c>
      <c r="CZO671" t="str">
        <f>IFERROR(VLOOKUP(CZP671,'[3]Raw material  (3)'!CZN653:DAF3729,3,0),"")</f>
        <v/>
      </c>
      <c r="CZP671" t="str">
        <f>IFERROR(VLOOKUP(CZQ671,'[3]Raw material  (3)'!CZO653:DAG3729,3,0),"")</f>
        <v/>
      </c>
      <c r="CZQ671" t="str">
        <f>IFERROR(VLOOKUP(CZR671,'[3]Raw material  (3)'!CZP653:DAH3729,3,0),"")</f>
        <v/>
      </c>
      <c r="CZR671" t="str">
        <f>IFERROR(VLOOKUP(CZS671,'[3]Raw material  (3)'!CZQ653:DAI3729,3,0),"")</f>
        <v/>
      </c>
      <c r="CZS671" t="str">
        <f>IFERROR(VLOOKUP(CZT671,'[3]Raw material  (3)'!CZR653:DAJ3729,3,0),"")</f>
        <v/>
      </c>
      <c r="CZT671" t="str">
        <f>IFERROR(VLOOKUP(CZU671,'[3]Raw material  (3)'!CZS653:DAK3729,3,0),"")</f>
        <v/>
      </c>
      <c r="CZU671" t="str">
        <f>IFERROR(VLOOKUP(CZV671,'[3]Raw material  (3)'!CZT653:DAL3729,3,0),"")</f>
        <v/>
      </c>
      <c r="CZV671" t="str">
        <f>IFERROR(VLOOKUP(CZW671,'[3]Raw material  (3)'!CZU653:DAM3729,3,0),"")</f>
        <v/>
      </c>
      <c r="CZW671" t="str">
        <f>IFERROR(VLOOKUP(CZX671,'[3]Raw material  (3)'!CZV653:DAN3729,3,0),"")</f>
        <v/>
      </c>
      <c r="CZX671" t="str">
        <f>IFERROR(VLOOKUP(CZY671,'[3]Raw material  (3)'!CZW653:DAO3729,3,0),"")</f>
        <v/>
      </c>
      <c r="CZY671" t="str">
        <f>IFERROR(VLOOKUP(CZZ671,'[3]Raw material  (3)'!CZX653:DAP3729,3,0),"")</f>
        <v/>
      </c>
      <c r="CZZ671" t="str">
        <f>IFERROR(VLOOKUP(DAA671,'[3]Raw material  (3)'!CZY653:DAQ3729,3,0),"")</f>
        <v/>
      </c>
      <c r="DAA671" t="str">
        <f>IFERROR(VLOOKUP(DAB671,'[3]Raw material  (3)'!CZZ653:DAR3729,3,0),"")</f>
        <v/>
      </c>
      <c r="DAB671" t="str">
        <f>IFERROR(VLOOKUP(DAC671,'[3]Raw material  (3)'!DAA653:DAS3729,3,0),"")</f>
        <v/>
      </c>
      <c r="DAC671" t="str">
        <f>IFERROR(VLOOKUP(DAD671,'[3]Raw material  (3)'!DAB653:DAT3729,3,0),"")</f>
        <v/>
      </c>
      <c r="DAD671" t="str">
        <f>IFERROR(VLOOKUP(DAE671,'[3]Raw material  (3)'!DAC653:DAU3729,3,0),"")</f>
        <v/>
      </c>
      <c r="DAE671" t="str">
        <f>IFERROR(VLOOKUP(DAF671,'[3]Raw material  (3)'!DAD653:DAV3729,3,0),"")</f>
        <v/>
      </c>
      <c r="DAF671" t="str">
        <f>IFERROR(VLOOKUP(DAG671,'[3]Raw material  (3)'!DAE653:DAW3729,3,0),"")</f>
        <v/>
      </c>
      <c r="DAG671" t="str">
        <f>IFERROR(VLOOKUP(DAH671,'[3]Raw material  (3)'!DAF653:DAX3729,3,0),"")</f>
        <v/>
      </c>
      <c r="DAH671" t="str">
        <f>IFERROR(VLOOKUP(DAI671,'[3]Raw material  (3)'!DAG653:DAY3729,3,0),"")</f>
        <v/>
      </c>
      <c r="DAI671" t="str">
        <f>IFERROR(VLOOKUP(DAJ671,'[3]Raw material  (3)'!DAH653:DAZ3729,3,0),"")</f>
        <v/>
      </c>
      <c r="DAJ671" t="str">
        <f>IFERROR(VLOOKUP(DAK671,'[3]Raw material  (3)'!DAI653:DBA3729,3,0),"")</f>
        <v/>
      </c>
      <c r="DAK671" t="str">
        <f>IFERROR(VLOOKUP(DAL671,'[3]Raw material  (3)'!DAJ653:DBB3729,3,0),"")</f>
        <v/>
      </c>
      <c r="DAL671" t="str">
        <f>IFERROR(VLOOKUP(DAM671,'[3]Raw material  (3)'!DAK653:DBC3729,3,0),"")</f>
        <v/>
      </c>
      <c r="DAM671" t="str">
        <f>IFERROR(VLOOKUP(DAN671,'[3]Raw material  (3)'!DAL653:DBD3729,3,0),"")</f>
        <v/>
      </c>
      <c r="DAN671" t="str">
        <f>IFERROR(VLOOKUP(DAO671,'[3]Raw material  (3)'!DAM653:DBE3729,3,0),"")</f>
        <v/>
      </c>
      <c r="DAO671" t="str">
        <f>IFERROR(VLOOKUP(DAP671,'[3]Raw material  (3)'!DAN653:DBF3729,3,0),"")</f>
        <v/>
      </c>
      <c r="DAP671" t="str">
        <f>IFERROR(VLOOKUP(DAQ671,'[3]Raw material  (3)'!DAO653:DBG3729,3,0),"")</f>
        <v/>
      </c>
      <c r="DAQ671" t="str">
        <f>IFERROR(VLOOKUP(DAR671,'[3]Raw material  (3)'!DAP653:DBH3729,3,0),"")</f>
        <v/>
      </c>
      <c r="DAR671" t="str">
        <f>IFERROR(VLOOKUP(DAS671,'[3]Raw material  (3)'!DAQ653:DBI3729,3,0),"")</f>
        <v/>
      </c>
      <c r="DAS671" t="str">
        <f>IFERROR(VLOOKUP(DAT671,'[3]Raw material  (3)'!DAR653:DBJ3729,3,0),"")</f>
        <v/>
      </c>
      <c r="DAT671" t="str">
        <f>IFERROR(VLOOKUP(DAU671,'[3]Raw material  (3)'!DAS653:DBK3729,3,0),"")</f>
        <v/>
      </c>
      <c r="DAU671" t="str">
        <f>IFERROR(VLOOKUP(DAV671,'[3]Raw material  (3)'!DAT653:DBL3729,3,0),"")</f>
        <v/>
      </c>
      <c r="DAV671" t="str">
        <f>IFERROR(VLOOKUP(DAW671,'[3]Raw material  (3)'!DAU653:DBM3729,3,0),"")</f>
        <v/>
      </c>
      <c r="DAW671" t="str">
        <f>IFERROR(VLOOKUP(DAX671,'[3]Raw material  (3)'!DAV653:DBN3729,3,0),"")</f>
        <v/>
      </c>
      <c r="DAX671" t="str">
        <f>IFERROR(VLOOKUP(DAY671,'[3]Raw material  (3)'!DAW653:DBO3729,3,0),"")</f>
        <v/>
      </c>
      <c r="DAY671" t="str">
        <f>IFERROR(VLOOKUP(DAZ671,'[3]Raw material  (3)'!DAX653:DBP3729,3,0),"")</f>
        <v/>
      </c>
      <c r="DAZ671" t="str">
        <f>IFERROR(VLOOKUP(DBA671,'[3]Raw material  (3)'!DAY653:DBQ3729,3,0),"")</f>
        <v/>
      </c>
      <c r="DBA671" t="str">
        <f>IFERROR(VLOOKUP(DBB671,'[3]Raw material  (3)'!DAZ653:DBR3729,3,0),"")</f>
        <v/>
      </c>
      <c r="DBB671" t="str">
        <f>IFERROR(VLOOKUP(DBC671,'[3]Raw material  (3)'!DBA653:DBS3729,3,0),"")</f>
        <v/>
      </c>
      <c r="DBC671" t="str">
        <f>IFERROR(VLOOKUP(DBD671,'[3]Raw material  (3)'!DBB653:DBT3729,3,0),"")</f>
        <v/>
      </c>
      <c r="DBD671" t="str">
        <f>IFERROR(VLOOKUP(DBE671,'[3]Raw material  (3)'!DBC653:DBU3729,3,0),"")</f>
        <v/>
      </c>
      <c r="DBE671" t="str">
        <f>IFERROR(VLOOKUP(DBF671,'[3]Raw material  (3)'!DBD653:DBV3729,3,0),"")</f>
        <v/>
      </c>
      <c r="DBF671" t="str">
        <f>IFERROR(VLOOKUP(DBG671,'[3]Raw material  (3)'!DBE653:DBW3729,3,0),"")</f>
        <v/>
      </c>
      <c r="DBG671" t="str">
        <f>IFERROR(VLOOKUP(DBH671,'[3]Raw material  (3)'!DBF653:DBX3729,3,0),"")</f>
        <v/>
      </c>
      <c r="DBH671" t="str">
        <f>IFERROR(VLOOKUP(DBI671,'[3]Raw material  (3)'!DBG653:DBY3729,3,0),"")</f>
        <v/>
      </c>
      <c r="DBI671" t="str">
        <f>IFERROR(VLOOKUP(DBJ671,'[3]Raw material  (3)'!DBH653:DBZ3729,3,0),"")</f>
        <v/>
      </c>
      <c r="DBJ671" t="str">
        <f>IFERROR(VLOOKUP(DBK671,'[3]Raw material  (3)'!DBI653:DCA3729,3,0),"")</f>
        <v/>
      </c>
      <c r="DBK671" t="str">
        <f>IFERROR(VLOOKUP(DBL671,'[3]Raw material  (3)'!DBJ653:DCB3729,3,0),"")</f>
        <v/>
      </c>
      <c r="DBL671" t="str">
        <f>IFERROR(VLOOKUP(DBM671,'[3]Raw material  (3)'!DBK653:DCC3729,3,0),"")</f>
        <v/>
      </c>
      <c r="DBM671" t="str">
        <f>IFERROR(VLOOKUP(DBN671,'[3]Raw material  (3)'!DBL653:DCD3729,3,0),"")</f>
        <v/>
      </c>
      <c r="DBN671" t="str">
        <f>IFERROR(VLOOKUP(DBO671,'[3]Raw material  (3)'!DBM653:DCE3729,3,0),"")</f>
        <v/>
      </c>
      <c r="DBO671" t="str">
        <f>IFERROR(VLOOKUP(DBP671,'[3]Raw material  (3)'!DBN653:DCF3729,3,0),"")</f>
        <v/>
      </c>
      <c r="DBP671" t="str">
        <f>IFERROR(VLOOKUP(DBQ671,'[3]Raw material  (3)'!DBO653:DCG3729,3,0),"")</f>
        <v/>
      </c>
      <c r="DBQ671" t="str">
        <f>IFERROR(VLOOKUP(DBR671,'[3]Raw material  (3)'!DBP653:DCH3729,3,0),"")</f>
        <v/>
      </c>
      <c r="DBR671" t="str">
        <f>IFERROR(VLOOKUP(DBS671,'[3]Raw material  (3)'!DBQ653:DCI3729,3,0),"")</f>
        <v/>
      </c>
      <c r="DBS671" t="str">
        <f>IFERROR(VLOOKUP(DBT671,'[3]Raw material  (3)'!DBR653:DCJ3729,3,0),"")</f>
        <v/>
      </c>
      <c r="DBT671" t="str">
        <f>IFERROR(VLOOKUP(DBU671,'[3]Raw material  (3)'!DBS653:DCK3729,3,0),"")</f>
        <v/>
      </c>
      <c r="DBU671" t="str">
        <f>IFERROR(VLOOKUP(DBV671,'[3]Raw material  (3)'!DBT653:DCL3729,3,0),"")</f>
        <v/>
      </c>
      <c r="DBV671" t="str">
        <f>IFERROR(VLOOKUP(DBW671,'[3]Raw material  (3)'!DBU653:DCM3729,3,0),"")</f>
        <v/>
      </c>
      <c r="DBW671" t="str">
        <f>IFERROR(VLOOKUP(DBX671,'[3]Raw material  (3)'!DBV653:DCN3729,3,0),"")</f>
        <v/>
      </c>
      <c r="DBX671" t="str">
        <f>IFERROR(VLOOKUP(DBY671,'[3]Raw material  (3)'!DBW653:DCO3729,3,0),"")</f>
        <v/>
      </c>
      <c r="DBY671" t="str">
        <f>IFERROR(VLOOKUP(DBZ671,'[3]Raw material  (3)'!DBX653:DCP3729,3,0),"")</f>
        <v/>
      </c>
      <c r="DBZ671" t="str">
        <f>IFERROR(VLOOKUP(DCA671,'[3]Raw material  (3)'!DBY653:DCQ3729,3,0),"")</f>
        <v/>
      </c>
      <c r="DCA671" t="str">
        <f>IFERROR(VLOOKUP(DCB671,'[3]Raw material  (3)'!DBZ653:DCR3729,3,0),"")</f>
        <v/>
      </c>
      <c r="DCB671" t="str">
        <f>IFERROR(VLOOKUP(DCC671,'[3]Raw material  (3)'!DCA653:DCS3729,3,0),"")</f>
        <v/>
      </c>
      <c r="DCC671" t="str">
        <f>IFERROR(VLOOKUP(DCD671,'[3]Raw material  (3)'!DCB653:DCT3729,3,0),"")</f>
        <v/>
      </c>
      <c r="DCD671" t="str">
        <f>IFERROR(VLOOKUP(DCE671,'[3]Raw material  (3)'!DCC653:DCU3729,3,0),"")</f>
        <v/>
      </c>
      <c r="DCE671" t="str">
        <f>IFERROR(VLOOKUP(DCF671,'[3]Raw material  (3)'!DCD653:DCV3729,3,0),"")</f>
        <v/>
      </c>
      <c r="DCF671" t="str">
        <f>IFERROR(VLOOKUP(DCG671,'[3]Raw material  (3)'!DCE653:DCW3729,3,0),"")</f>
        <v/>
      </c>
      <c r="DCG671" t="str">
        <f>IFERROR(VLOOKUP(DCH671,'[3]Raw material  (3)'!DCF653:DCX3729,3,0),"")</f>
        <v/>
      </c>
      <c r="DCH671" t="str">
        <f>IFERROR(VLOOKUP(DCI671,'[3]Raw material  (3)'!DCG653:DCY3729,3,0),"")</f>
        <v/>
      </c>
      <c r="DCI671" t="str">
        <f>IFERROR(VLOOKUP(DCJ671,'[3]Raw material  (3)'!DCH653:DCZ3729,3,0),"")</f>
        <v/>
      </c>
      <c r="DCJ671" t="str">
        <f>IFERROR(VLOOKUP(DCK671,'[3]Raw material  (3)'!DCI653:DDA3729,3,0),"")</f>
        <v/>
      </c>
      <c r="DCK671" t="str">
        <f>IFERROR(VLOOKUP(DCL671,'[3]Raw material  (3)'!DCJ653:DDB3729,3,0),"")</f>
        <v/>
      </c>
      <c r="DCL671" t="str">
        <f>IFERROR(VLOOKUP(DCM671,'[3]Raw material  (3)'!DCK653:DDC3729,3,0),"")</f>
        <v/>
      </c>
      <c r="DCM671" t="str">
        <f>IFERROR(VLOOKUP(DCN671,'[3]Raw material  (3)'!DCL653:DDD3729,3,0),"")</f>
        <v/>
      </c>
      <c r="DCN671" t="str">
        <f>IFERROR(VLOOKUP(DCO671,'[3]Raw material  (3)'!DCM653:DDE3729,3,0),"")</f>
        <v/>
      </c>
      <c r="DCO671" t="str">
        <f>IFERROR(VLOOKUP(DCP671,'[3]Raw material  (3)'!DCN653:DDF3729,3,0),"")</f>
        <v/>
      </c>
      <c r="DCP671" t="str">
        <f>IFERROR(VLOOKUP(DCQ671,'[3]Raw material  (3)'!DCO653:DDG3729,3,0),"")</f>
        <v/>
      </c>
      <c r="DCQ671" t="str">
        <f>IFERROR(VLOOKUP(DCR671,'[3]Raw material  (3)'!DCP653:DDH3729,3,0),"")</f>
        <v/>
      </c>
      <c r="DCR671" t="str">
        <f>IFERROR(VLOOKUP(DCS671,'[3]Raw material  (3)'!DCQ653:DDI3729,3,0),"")</f>
        <v/>
      </c>
      <c r="DCS671" t="str">
        <f>IFERROR(VLOOKUP(DCT671,'[3]Raw material  (3)'!DCR653:DDJ3729,3,0),"")</f>
        <v/>
      </c>
      <c r="DCT671" t="str">
        <f>IFERROR(VLOOKUP(DCU671,'[3]Raw material  (3)'!DCS653:DDK3729,3,0),"")</f>
        <v/>
      </c>
      <c r="DCU671" t="str">
        <f>IFERROR(VLOOKUP(DCV671,'[3]Raw material  (3)'!DCT653:DDL3729,3,0),"")</f>
        <v/>
      </c>
      <c r="DCV671" t="str">
        <f>IFERROR(VLOOKUP(DCW671,'[3]Raw material  (3)'!DCU653:DDM3729,3,0),"")</f>
        <v/>
      </c>
      <c r="DCW671" t="str">
        <f>IFERROR(VLOOKUP(DCX671,'[3]Raw material  (3)'!DCV653:DDN3729,3,0),"")</f>
        <v/>
      </c>
      <c r="DCX671" t="str">
        <f>IFERROR(VLOOKUP(DCY671,'[3]Raw material  (3)'!DCW653:DDO3729,3,0),"")</f>
        <v/>
      </c>
      <c r="DCY671" t="str">
        <f>IFERROR(VLOOKUP(DCZ671,'[3]Raw material  (3)'!DCX653:DDP3729,3,0),"")</f>
        <v/>
      </c>
      <c r="DCZ671" t="str">
        <f>IFERROR(VLOOKUP(DDA671,'[3]Raw material  (3)'!DCY653:DDQ3729,3,0),"")</f>
        <v/>
      </c>
      <c r="DDA671" t="str">
        <f>IFERROR(VLOOKUP(DDB671,'[3]Raw material  (3)'!DCZ653:DDR3729,3,0),"")</f>
        <v/>
      </c>
      <c r="DDB671" t="str">
        <f>IFERROR(VLOOKUP(DDC671,'[3]Raw material  (3)'!DDA653:DDS3729,3,0),"")</f>
        <v/>
      </c>
      <c r="DDC671" t="str">
        <f>IFERROR(VLOOKUP(DDD671,'[3]Raw material  (3)'!DDB653:DDT3729,3,0),"")</f>
        <v/>
      </c>
      <c r="DDD671" t="str">
        <f>IFERROR(VLOOKUP(DDE671,'[3]Raw material  (3)'!DDC653:DDU3729,3,0),"")</f>
        <v/>
      </c>
      <c r="DDE671" t="str">
        <f>IFERROR(VLOOKUP(DDF671,'[3]Raw material  (3)'!DDD653:DDV3729,3,0),"")</f>
        <v/>
      </c>
      <c r="DDF671" t="str">
        <f>IFERROR(VLOOKUP(DDG671,'[3]Raw material  (3)'!DDE653:DDW3729,3,0),"")</f>
        <v/>
      </c>
      <c r="DDG671" t="str">
        <f>IFERROR(VLOOKUP(DDH671,'[3]Raw material  (3)'!DDF653:DDX3729,3,0),"")</f>
        <v/>
      </c>
      <c r="DDH671" t="str">
        <f>IFERROR(VLOOKUP(DDI671,'[3]Raw material  (3)'!DDG653:DDY3729,3,0),"")</f>
        <v/>
      </c>
      <c r="DDI671" t="str">
        <f>IFERROR(VLOOKUP(DDJ671,'[3]Raw material  (3)'!DDH653:DDZ3729,3,0),"")</f>
        <v/>
      </c>
      <c r="DDJ671" t="str">
        <f>IFERROR(VLOOKUP(DDK671,'[3]Raw material  (3)'!DDI653:DEA3729,3,0),"")</f>
        <v/>
      </c>
      <c r="DDK671" t="str">
        <f>IFERROR(VLOOKUP(DDL671,'[3]Raw material  (3)'!DDJ653:DEB3729,3,0),"")</f>
        <v/>
      </c>
      <c r="DDL671" t="str">
        <f>IFERROR(VLOOKUP(DDM671,'[3]Raw material  (3)'!DDK653:DEC3729,3,0),"")</f>
        <v/>
      </c>
      <c r="DDM671" t="str">
        <f>IFERROR(VLOOKUP(DDN671,'[3]Raw material  (3)'!DDL653:DED3729,3,0),"")</f>
        <v/>
      </c>
      <c r="DDN671" t="str">
        <f>IFERROR(VLOOKUP(DDO671,'[3]Raw material  (3)'!DDM653:DEE3729,3,0),"")</f>
        <v/>
      </c>
      <c r="DDO671" t="str">
        <f>IFERROR(VLOOKUP(DDP671,'[3]Raw material  (3)'!DDN653:DEF3729,3,0),"")</f>
        <v/>
      </c>
      <c r="DDP671" t="str">
        <f>IFERROR(VLOOKUP(DDQ671,'[3]Raw material  (3)'!DDO653:DEG3729,3,0),"")</f>
        <v/>
      </c>
      <c r="DDQ671" t="str">
        <f>IFERROR(VLOOKUP(DDR671,'[3]Raw material  (3)'!DDP653:DEH3729,3,0),"")</f>
        <v/>
      </c>
      <c r="DDR671" t="str">
        <f>IFERROR(VLOOKUP(DDS671,'[3]Raw material  (3)'!DDQ653:DEI3729,3,0),"")</f>
        <v/>
      </c>
      <c r="DDS671" t="str">
        <f>IFERROR(VLOOKUP(DDT671,'[3]Raw material  (3)'!DDR653:DEJ3729,3,0),"")</f>
        <v/>
      </c>
      <c r="DDT671" t="str">
        <f>IFERROR(VLOOKUP(DDU671,'[3]Raw material  (3)'!DDS653:DEK3729,3,0),"")</f>
        <v/>
      </c>
      <c r="DDU671" t="str">
        <f>IFERROR(VLOOKUP(DDV671,'[3]Raw material  (3)'!DDT653:DEL3729,3,0),"")</f>
        <v/>
      </c>
      <c r="DDV671" t="str">
        <f>IFERROR(VLOOKUP(DDW671,'[3]Raw material  (3)'!DDU653:DEM3729,3,0),"")</f>
        <v/>
      </c>
      <c r="DDW671" t="str">
        <f>IFERROR(VLOOKUP(DDX671,'[3]Raw material  (3)'!DDV653:DEN3729,3,0),"")</f>
        <v/>
      </c>
      <c r="DDX671" t="str">
        <f>IFERROR(VLOOKUP(DDY671,'[3]Raw material  (3)'!DDW653:DEO3729,3,0),"")</f>
        <v/>
      </c>
      <c r="DDY671" t="str">
        <f>IFERROR(VLOOKUP(DDZ671,'[3]Raw material  (3)'!DDX653:DEP3729,3,0),"")</f>
        <v/>
      </c>
      <c r="DDZ671" t="str">
        <f>IFERROR(VLOOKUP(DEA671,'[3]Raw material  (3)'!DDY653:DEQ3729,3,0),"")</f>
        <v/>
      </c>
      <c r="DEA671" t="str">
        <f>IFERROR(VLOOKUP(DEB671,'[3]Raw material  (3)'!DDZ653:DER3729,3,0),"")</f>
        <v/>
      </c>
      <c r="DEB671" t="str">
        <f>IFERROR(VLOOKUP(DEC671,'[3]Raw material  (3)'!DEA653:DES3729,3,0),"")</f>
        <v/>
      </c>
      <c r="DEC671" t="str">
        <f>IFERROR(VLOOKUP(DED671,'[3]Raw material  (3)'!DEB653:DET3729,3,0),"")</f>
        <v/>
      </c>
      <c r="DED671" t="str">
        <f>IFERROR(VLOOKUP(DEE671,'[3]Raw material  (3)'!DEC653:DEU3729,3,0),"")</f>
        <v/>
      </c>
      <c r="DEE671" t="str">
        <f>IFERROR(VLOOKUP(DEF671,'[3]Raw material  (3)'!DED653:DEV3729,3,0),"")</f>
        <v/>
      </c>
      <c r="DEF671" t="str">
        <f>IFERROR(VLOOKUP(DEG671,'[3]Raw material  (3)'!DEE653:DEW3729,3,0),"")</f>
        <v/>
      </c>
      <c r="DEG671" t="str">
        <f>IFERROR(VLOOKUP(DEH671,'[3]Raw material  (3)'!DEF653:DEX3729,3,0),"")</f>
        <v/>
      </c>
      <c r="DEH671" t="str">
        <f>IFERROR(VLOOKUP(DEI671,'[3]Raw material  (3)'!DEG653:DEY3729,3,0),"")</f>
        <v/>
      </c>
      <c r="DEI671" t="str">
        <f>IFERROR(VLOOKUP(DEJ671,'[3]Raw material  (3)'!DEH653:DEZ3729,3,0),"")</f>
        <v/>
      </c>
      <c r="DEJ671" t="str">
        <f>IFERROR(VLOOKUP(DEK671,'[3]Raw material  (3)'!DEI653:DFA3729,3,0),"")</f>
        <v/>
      </c>
      <c r="DEK671" t="str">
        <f>IFERROR(VLOOKUP(DEL671,'[3]Raw material  (3)'!DEJ653:DFB3729,3,0),"")</f>
        <v/>
      </c>
      <c r="DEL671" t="str">
        <f>IFERROR(VLOOKUP(DEM671,'[3]Raw material  (3)'!DEK653:DFC3729,3,0),"")</f>
        <v/>
      </c>
      <c r="DEM671" t="str">
        <f>IFERROR(VLOOKUP(DEN671,'[3]Raw material  (3)'!DEL653:DFD3729,3,0),"")</f>
        <v/>
      </c>
      <c r="DEN671" t="str">
        <f>IFERROR(VLOOKUP(DEO671,'[3]Raw material  (3)'!DEM653:DFE3729,3,0),"")</f>
        <v/>
      </c>
      <c r="DEO671" t="str">
        <f>IFERROR(VLOOKUP(DEP671,'[3]Raw material  (3)'!DEN653:DFF3729,3,0),"")</f>
        <v/>
      </c>
      <c r="DEP671" t="str">
        <f>IFERROR(VLOOKUP(DEQ671,'[3]Raw material  (3)'!DEO653:DFG3729,3,0),"")</f>
        <v/>
      </c>
      <c r="DEQ671" t="str">
        <f>IFERROR(VLOOKUP(DER671,'[3]Raw material  (3)'!DEP653:DFH3729,3,0),"")</f>
        <v/>
      </c>
      <c r="DER671" t="str">
        <f>IFERROR(VLOOKUP(DES671,'[3]Raw material  (3)'!DEQ653:DFI3729,3,0),"")</f>
        <v/>
      </c>
      <c r="DES671" t="str">
        <f>IFERROR(VLOOKUP(DET671,'[3]Raw material  (3)'!DER653:DFJ3729,3,0),"")</f>
        <v/>
      </c>
      <c r="DET671" t="str">
        <f>IFERROR(VLOOKUP(DEU671,'[3]Raw material  (3)'!DES653:DFK3729,3,0),"")</f>
        <v/>
      </c>
      <c r="DEU671" t="str">
        <f>IFERROR(VLOOKUP(DEV671,'[3]Raw material  (3)'!DET653:DFL3729,3,0),"")</f>
        <v/>
      </c>
      <c r="DEV671" t="str">
        <f>IFERROR(VLOOKUP(DEW671,'[3]Raw material  (3)'!DEU653:DFM3729,3,0),"")</f>
        <v/>
      </c>
      <c r="DEW671" t="str">
        <f>IFERROR(VLOOKUP(DEX671,'[3]Raw material  (3)'!DEV653:DFN3729,3,0),"")</f>
        <v/>
      </c>
      <c r="DEX671" t="str">
        <f>IFERROR(VLOOKUP(DEY671,'[3]Raw material  (3)'!DEW653:DFO3729,3,0),"")</f>
        <v/>
      </c>
      <c r="DEY671" t="str">
        <f>IFERROR(VLOOKUP(DEZ671,'[3]Raw material  (3)'!DEX653:DFP3729,3,0),"")</f>
        <v/>
      </c>
      <c r="DEZ671" t="str">
        <f>IFERROR(VLOOKUP(DFA671,'[3]Raw material  (3)'!DEY653:DFQ3729,3,0),"")</f>
        <v/>
      </c>
      <c r="DFA671" t="str">
        <f>IFERROR(VLOOKUP(DFB671,'[3]Raw material  (3)'!DEZ653:DFR3729,3,0),"")</f>
        <v/>
      </c>
      <c r="DFB671" t="str">
        <f>IFERROR(VLOOKUP(DFC671,'[3]Raw material  (3)'!DFA653:DFS3729,3,0),"")</f>
        <v/>
      </c>
      <c r="DFC671" t="str">
        <f>IFERROR(VLOOKUP(DFD671,'[3]Raw material  (3)'!DFB653:DFT3729,3,0),"")</f>
        <v/>
      </c>
      <c r="DFD671" t="str">
        <f>IFERROR(VLOOKUP(DFE671,'[3]Raw material  (3)'!DFC653:DFU3729,3,0),"")</f>
        <v/>
      </c>
      <c r="DFE671" t="str">
        <f>IFERROR(VLOOKUP(DFF671,'[3]Raw material  (3)'!DFD653:DFV3729,3,0),"")</f>
        <v/>
      </c>
      <c r="DFF671" t="str">
        <f>IFERROR(VLOOKUP(DFG671,'[3]Raw material  (3)'!DFE653:DFW3729,3,0),"")</f>
        <v/>
      </c>
      <c r="DFG671" t="str">
        <f>IFERROR(VLOOKUP(DFH671,'[3]Raw material  (3)'!DFF653:DFX3729,3,0),"")</f>
        <v/>
      </c>
      <c r="DFH671" t="str">
        <f>IFERROR(VLOOKUP(DFI671,'[3]Raw material  (3)'!DFG653:DFY3729,3,0),"")</f>
        <v/>
      </c>
      <c r="DFI671" t="str">
        <f>IFERROR(VLOOKUP(DFJ671,'[3]Raw material  (3)'!DFH653:DFZ3729,3,0),"")</f>
        <v/>
      </c>
      <c r="DFJ671" t="str">
        <f>IFERROR(VLOOKUP(DFK671,'[3]Raw material  (3)'!DFI653:DGA3729,3,0),"")</f>
        <v/>
      </c>
      <c r="DFK671" t="str">
        <f>IFERROR(VLOOKUP(DFL671,'[3]Raw material  (3)'!DFJ653:DGB3729,3,0),"")</f>
        <v/>
      </c>
      <c r="DFL671" t="str">
        <f>IFERROR(VLOOKUP(DFM671,'[3]Raw material  (3)'!DFK653:DGC3729,3,0),"")</f>
        <v/>
      </c>
      <c r="DFM671" t="str">
        <f>IFERROR(VLOOKUP(DFN671,'[3]Raw material  (3)'!DFL653:DGD3729,3,0),"")</f>
        <v/>
      </c>
      <c r="DFN671" t="str">
        <f>IFERROR(VLOOKUP(DFO671,'[3]Raw material  (3)'!DFM653:DGE3729,3,0),"")</f>
        <v/>
      </c>
      <c r="DFO671" t="str">
        <f>IFERROR(VLOOKUP(DFP671,'[3]Raw material  (3)'!DFN653:DGF3729,3,0),"")</f>
        <v/>
      </c>
      <c r="DFP671" t="str">
        <f>IFERROR(VLOOKUP(DFQ671,'[3]Raw material  (3)'!DFO653:DGG3729,3,0),"")</f>
        <v/>
      </c>
      <c r="DFQ671" t="str">
        <f>IFERROR(VLOOKUP(DFR671,'[3]Raw material  (3)'!DFP653:DGH3729,3,0),"")</f>
        <v/>
      </c>
      <c r="DFR671" t="str">
        <f>IFERROR(VLOOKUP(DFS671,'[3]Raw material  (3)'!DFQ653:DGI3729,3,0),"")</f>
        <v/>
      </c>
      <c r="DFS671" t="str">
        <f>IFERROR(VLOOKUP(DFT671,'[3]Raw material  (3)'!DFR653:DGJ3729,3,0),"")</f>
        <v/>
      </c>
      <c r="DFT671" t="str">
        <f>IFERROR(VLOOKUP(DFU671,'[3]Raw material  (3)'!DFS653:DGK3729,3,0),"")</f>
        <v/>
      </c>
      <c r="DFU671" t="str">
        <f>IFERROR(VLOOKUP(DFV671,'[3]Raw material  (3)'!DFT653:DGL3729,3,0),"")</f>
        <v/>
      </c>
      <c r="DFV671" t="str">
        <f>IFERROR(VLOOKUP(DFW671,'[3]Raw material  (3)'!DFU653:DGM3729,3,0),"")</f>
        <v/>
      </c>
      <c r="DFW671" t="str">
        <f>IFERROR(VLOOKUP(DFX671,'[3]Raw material  (3)'!DFV653:DGN3729,3,0),"")</f>
        <v/>
      </c>
      <c r="DFX671" t="str">
        <f>IFERROR(VLOOKUP(DFY671,'[3]Raw material  (3)'!DFW653:DGO3729,3,0),"")</f>
        <v/>
      </c>
      <c r="DFY671" t="str">
        <f>IFERROR(VLOOKUP(DFZ671,'[3]Raw material  (3)'!DFX653:DGP3729,3,0),"")</f>
        <v/>
      </c>
      <c r="DFZ671" t="str">
        <f>IFERROR(VLOOKUP(DGA671,'[3]Raw material  (3)'!DFY653:DGQ3729,3,0),"")</f>
        <v/>
      </c>
      <c r="DGA671" t="str">
        <f>IFERROR(VLOOKUP(DGB671,'[3]Raw material  (3)'!DFZ653:DGR3729,3,0),"")</f>
        <v/>
      </c>
      <c r="DGB671" t="str">
        <f>IFERROR(VLOOKUP(DGC671,'[3]Raw material  (3)'!DGA653:DGS3729,3,0),"")</f>
        <v/>
      </c>
      <c r="DGC671" t="str">
        <f>IFERROR(VLOOKUP(DGD671,'[3]Raw material  (3)'!DGB653:DGT3729,3,0),"")</f>
        <v/>
      </c>
      <c r="DGD671" t="str">
        <f>IFERROR(VLOOKUP(DGE671,'[3]Raw material  (3)'!DGC653:DGU3729,3,0),"")</f>
        <v/>
      </c>
      <c r="DGE671" t="str">
        <f>IFERROR(VLOOKUP(DGF671,'[3]Raw material  (3)'!DGD653:DGV3729,3,0),"")</f>
        <v/>
      </c>
      <c r="DGF671" t="str">
        <f>IFERROR(VLOOKUP(DGG671,'[3]Raw material  (3)'!DGE653:DGW3729,3,0),"")</f>
        <v/>
      </c>
      <c r="DGG671" t="str">
        <f>IFERROR(VLOOKUP(DGH671,'[3]Raw material  (3)'!DGF653:DGX3729,3,0),"")</f>
        <v/>
      </c>
      <c r="DGH671" t="str">
        <f>IFERROR(VLOOKUP(DGI671,'[3]Raw material  (3)'!DGG653:DGY3729,3,0),"")</f>
        <v/>
      </c>
      <c r="DGI671" t="str">
        <f>IFERROR(VLOOKUP(DGJ671,'[3]Raw material  (3)'!DGH653:DGZ3729,3,0),"")</f>
        <v/>
      </c>
      <c r="DGJ671" t="str">
        <f>IFERROR(VLOOKUP(DGK671,'[3]Raw material  (3)'!DGI653:DHA3729,3,0),"")</f>
        <v/>
      </c>
      <c r="DGK671" t="str">
        <f>IFERROR(VLOOKUP(DGL671,'[3]Raw material  (3)'!DGJ653:DHB3729,3,0),"")</f>
        <v/>
      </c>
      <c r="DGL671" t="str">
        <f>IFERROR(VLOOKUP(DGM671,'[3]Raw material  (3)'!DGK653:DHC3729,3,0),"")</f>
        <v/>
      </c>
      <c r="DGM671" t="str">
        <f>IFERROR(VLOOKUP(DGN671,'[3]Raw material  (3)'!DGL653:DHD3729,3,0),"")</f>
        <v/>
      </c>
      <c r="DGN671" t="str">
        <f>IFERROR(VLOOKUP(DGO671,'[3]Raw material  (3)'!DGM653:DHE3729,3,0),"")</f>
        <v/>
      </c>
      <c r="DGO671" t="str">
        <f>IFERROR(VLOOKUP(DGP671,'[3]Raw material  (3)'!DGN653:DHF3729,3,0),"")</f>
        <v/>
      </c>
      <c r="DGP671" t="str">
        <f>IFERROR(VLOOKUP(DGQ671,'[3]Raw material  (3)'!DGO653:DHG3729,3,0),"")</f>
        <v/>
      </c>
      <c r="DGQ671" t="str">
        <f>IFERROR(VLOOKUP(DGR671,'[3]Raw material  (3)'!DGP653:DHH3729,3,0),"")</f>
        <v/>
      </c>
      <c r="DGR671" t="str">
        <f>IFERROR(VLOOKUP(DGS671,'[3]Raw material  (3)'!DGQ653:DHI3729,3,0),"")</f>
        <v/>
      </c>
      <c r="DGS671" t="str">
        <f>IFERROR(VLOOKUP(DGT671,'[3]Raw material  (3)'!DGR653:DHJ3729,3,0),"")</f>
        <v/>
      </c>
      <c r="DGT671" t="str">
        <f>IFERROR(VLOOKUP(DGU671,'[3]Raw material  (3)'!DGS653:DHK3729,3,0),"")</f>
        <v/>
      </c>
      <c r="DGU671" t="str">
        <f>IFERROR(VLOOKUP(DGV671,'[3]Raw material  (3)'!DGT653:DHL3729,3,0),"")</f>
        <v/>
      </c>
      <c r="DGV671" t="str">
        <f>IFERROR(VLOOKUP(DGW671,'[3]Raw material  (3)'!DGU653:DHM3729,3,0),"")</f>
        <v/>
      </c>
      <c r="DGW671" t="str">
        <f>IFERROR(VLOOKUP(DGX671,'[3]Raw material  (3)'!DGV653:DHN3729,3,0),"")</f>
        <v/>
      </c>
      <c r="DGX671" t="str">
        <f>IFERROR(VLOOKUP(DGY671,'[3]Raw material  (3)'!DGW653:DHO3729,3,0),"")</f>
        <v/>
      </c>
      <c r="DGY671" t="str">
        <f>IFERROR(VLOOKUP(DGZ671,'[3]Raw material  (3)'!DGX653:DHP3729,3,0),"")</f>
        <v/>
      </c>
      <c r="DGZ671" t="str">
        <f>IFERROR(VLOOKUP(DHA671,'[3]Raw material  (3)'!DGY653:DHQ3729,3,0),"")</f>
        <v/>
      </c>
      <c r="DHA671" t="str">
        <f>IFERROR(VLOOKUP(DHB671,'[3]Raw material  (3)'!DGZ653:DHR3729,3,0),"")</f>
        <v/>
      </c>
      <c r="DHB671" t="str">
        <f>IFERROR(VLOOKUP(DHC671,'[3]Raw material  (3)'!DHA653:DHS3729,3,0),"")</f>
        <v/>
      </c>
      <c r="DHC671" t="str">
        <f>IFERROR(VLOOKUP(DHD671,'[3]Raw material  (3)'!DHB653:DHT3729,3,0),"")</f>
        <v/>
      </c>
      <c r="DHD671" t="str">
        <f>IFERROR(VLOOKUP(DHE671,'[3]Raw material  (3)'!DHC653:DHU3729,3,0),"")</f>
        <v/>
      </c>
      <c r="DHE671" t="str">
        <f>IFERROR(VLOOKUP(DHF671,'[3]Raw material  (3)'!DHD653:DHV3729,3,0),"")</f>
        <v/>
      </c>
      <c r="DHF671" t="str">
        <f>IFERROR(VLOOKUP(DHG671,'[3]Raw material  (3)'!DHE653:DHW3729,3,0),"")</f>
        <v/>
      </c>
      <c r="DHG671" t="str">
        <f>IFERROR(VLOOKUP(DHH671,'[3]Raw material  (3)'!DHF653:DHX3729,3,0),"")</f>
        <v/>
      </c>
      <c r="DHH671" t="str">
        <f>IFERROR(VLOOKUP(DHI671,'[3]Raw material  (3)'!DHG653:DHY3729,3,0),"")</f>
        <v/>
      </c>
      <c r="DHI671" t="str">
        <f>IFERROR(VLOOKUP(DHJ671,'[3]Raw material  (3)'!DHH653:DHZ3729,3,0),"")</f>
        <v/>
      </c>
      <c r="DHJ671" t="str">
        <f>IFERROR(VLOOKUP(DHK671,'[3]Raw material  (3)'!DHI653:DIA3729,3,0),"")</f>
        <v/>
      </c>
      <c r="DHK671" t="str">
        <f>IFERROR(VLOOKUP(DHL671,'[3]Raw material  (3)'!DHJ653:DIB3729,3,0),"")</f>
        <v/>
      </c>
      <c r="DHL671" t="str">
        <f>IFERROR(VLOOKUP(DHM671,'[3]Raw material  (3)'!DHK653:DIC3729,3,0),"")</f>
        <v/>
      </c>
      <c r="DHM671" t="str">
        <f>IFERROR(VLOOKUP(DHN671,'[3]Raw material  (3)'!DHL653:DID3729,3,0),"")</f>
        <v/>
      </c>
      <c r="DHN671" t="str">
        <f>IFERROR(VLOOKUP(DHO671,'[3]Raw material  (3)'!DHM653:DIE3729,3,0),"")</f>
        <v/>
      </c>
      <c r="DHO671" t="str">
        <f>IFERROR(VLOOKUP(DHP671,'[3]Raw material  (3)'!DHN653:DIF3729,3,0),"")</f>
        <v/>
      </c>
      <c r="DHP671" t="str">
        <f>IFERROR(VLOOKUP(DHQ671,'[3]Raw material  (3)'!DHO653:DIG3729,3,0),"")</f>
        <v/>
      </c>
      <c r="DHQ671" t="str">
        <f>IFERROR(VLOOKUP(DHR671,'[3]Raw material  (3)'!DHP653:DIH3729,3,0),"")</f>
        <v/>
      </c>
      <c r="DHR671" t="str">
        <f>IFERROR(VLOOKUP(DHS671,'[3]Raw material  (3)'!DHQ653:DII3729,3,0),"")</f>
        <v/>
      </c>
      <c r="DHS671" t="str">
        <f>IFERROR(VLOOKUP(DHT671,'[3]Raw material  (3)'!DHR653:DIJ3729,3,0),"")</f>
        <v/>
      </c>
      <c r="DHT671" t="str">
        <f>IFERROR(VLOOKUP(DHU671,'[3]Raw material  (3)'!DHS653:DIK3729,3,0),"")</f>
        <v/>
      </c>
      <c r="DHU671" t="str">
        <f>IFERROR(VLOOKUP(DHV671,'[3]Raw material  (3)'!DHT653:DIL3729,3,0),"")</f>
        <v/>
      </c>
      <c r="DHV671" t="str">
        <f>IFERROR(VLOOKUP(DHW671,'[3]Raw material  (3)'!DHU653:DIM3729,3,0),"")</f>
        <v/>
      </c>
      <c r="DHW671" t="str">
        <f>IFERROR(VLOOKUP(DHX671,'[3]Raw material  (3)'!DHV653:DIN3729,3,0),"")</f>
        <v/>
      </c>
      <c r="DHX671" t="str">
        <f>IFERROR(VLOOKUP(DHY671,'[3]Raw material  (3)'!DHW653:DIO3729,3,0),"")</f>
        <v/>
      </c>
      <c r="DHY671" t="str">
        <f>IFERROR(VLOOKUP(DHZ671,'[3]Raw material  (3)'!DHX653:DIP3729,3,0),"")</f>
        <v/>
      </c>
      <c r="DHZ671" t="str">
        <f>IFERROR(VLOOKUP(DIA671,'[3]Raw material  (3)'!DHY653:DIQ3729,3,0),"")</f>
        <v/>
      </c>
      <c r="DIA671" t="str">
        <f>IFERROR(VLOOKUP(DIB671,'[3]Raw material  (3)'!DHZ653:DIR3729,3,0),"")</f>
        <v/>
      </c>
      <c r="DIB671" t="str">
        <f>IFERROR(VLOOKUP(DIC671,'[3]Raw material  (3)'!DIA653:DIS3729,3,0),"")</f>
        <v/>
      </c>
      <c r="DIC671" t="str">
        <f>IFERROR(VLOOKUP(DID671,'[3]Raw material  (3)'!DIB653:DIT3729,3,0),"")</f>
        <v/>
      </c>
      <c r="DID671" t="str">
        <f>IFERROR(VLOOKUP(DIE671,'[3]Raw material  (3)'!DIC653:DIU3729,3,0),"")</f>
        <v/>
      </c>
      <c r="DIE671" t="str">
        <f>IFERROR(VLOOKUP(DIF671,'[3]Raw material  (3)'!DID653:DIV3729,3,0),"")</f>
        <v/>
      </c>
      <c r="DIF671" t="str">
        <f>IFERROR(VLOOKUP(DIG671,'[3]Raw material  (3)'!DIE653:DIW3729,3,0),"")</f>
        <v/>
      </c>
      <c r="DIG671" t="str">
        <f>IFERROR(VLOOKUP(DIH671,'[3]Raw material  (3)'!DIF653:DIX3729,3,0),"")</f>
        <v/>
      </c>
      <c r="DIH671" t="str">
        <f>IFERROR(VLOOKUP(DII671,'[3]Raw material  (3)'!DIG653:DIY3729,3,0),"")</f>
        <v/>
      </c>
      <c r="DII671" t="str">
        <f>IFERROR(VLOOKUP(DIJ671,'[3]Raw material  (3)'!DIH653:DIZ3729,3,0),"")</f>
        <v/>
      </c>
      <c r="DIJ671" t="str">
        <f>IFERROR(VLOOKUP(DIK671,'[3]Raw material  (3)'!DII653:DJA3729,3,0),"")</f>
        <v/>
      </c>
      <c r="DIK671" t="str">
        <f>IFERROR(VLOOKUP(DIL671,'[3]Raw material  (3)'!DIJ653:DJB3729,3,0),"")</f>
        <v/>
      </c>
      <c r="DIL671" t="str">
        <f>IFERROR(VLOOKUP(DIM671,'[3]Raw material  (3)'!DIK653:DJC3729,3,0),"")</f>
        <v/>
      </c>
      <c r="DIM671" t="str">
        <f>IFERROR(VLOOKUP(DIN671,'[3]Raw material  (3)'!DIL653:DJD3729,3,0),"")</f>
        <v/>
      </c>
      <c r="DIN671" t="str">
        <f>IFERROR(VLOOKUP(DIO671,'[3]Raw material  (3)'!DIM653:DJE3729,3,0),"")</f>
        <v/>
      </c>
      <c r="DIO671" t="str">
        <f>IFERROR(VLOOKUP(DIP671,'[3]Raw material  (3)'!DIN653:DJF3729,3,0),"")</f>
        <v/>
      </c>
      <c r="DIP671" t="str">
        <f>IFERROR(VLOOKUP(DIQ671,'[3]Raw material  (3)'!DIO653:DJG3729,3,0),"")</f>
        <v/>
      </c>
      <c r="DIQ671" t="str">
        <f>IFERROR(VLOOKUP(DIR671,'[3]Raw material  (3)'!DIP653:DJH3729,3,0),"")</f>
        <v/>
      </c>
      <c r="DIR671" t="str">
        <f>IFERROR(VLOOKUP(DIS671,'[3]Raw material  (3)'!DIQ653:DJI3729,3,0),"")</f>
        <v/>
      </c>
      <c r="DIS671" t="str">
        <f>IFERROR(VLOOKUP(DIT671,'[3]Raw material  (3)'!DIR653:DJJ3729,3,0),"")</f>
        <v/>
      </c>
      <c r="DIT671" t="str">
        <f>IFERROR(VLOOKUP(DIU671,'[3]Raw material  (3)'!DIS653:DJK3729,3,0),"")</f>
        <v/>
      </c>
      <c r="DIU671" t="str">
        <f>IFERROR(VLOOKUP(DIV671,'[3]Raw material  (3)'!DIT653:DJL3729,3,0),"")</f>
        <v/>
      </c>
      <c r="DIV671" t="str">
        <f>IFERROR(VLOOKUP(DIW671,'[3]Raw material  (3)'!DIU653:DJM3729,3,0),"")</f>
        <v/>
      </c>
      <c r="DIW671" t="str">
        <f>IFERROR(VLOOKUP(DIX671,'[3]Raw material  (3)'!DIV653:DJN3729,3,0),"")</f>
        <v/>
      </c>
      <c r="DIX671" t="str">
        <f>IFERROR(VLOOKUP(DIY671,'[3]Raw material  (3)'!DIW653:DJO3729,3,0),"")</f>
        <v/>
      </c>
      <c r="DIY671" t="str">
        <f>IFERROR(VLOOKUP(DIZ671,'[3]Raw material  (3)'!DIX653:DJP3729,3,0),"")</f>
        <v/>
      </c>
      <c r="DIZ671" t="str">
        <f>IFERROR(VLOOKUP(DJA671,'[3]Raw material  (3)'!DIY653:DJQ3729,3,0),"")</f>
        <v/>
      </c>
      <c r="DJA671" t="str">
        <f>IFERROR(VLOOKUP(DJB671,'[3]Raw material  (3)'!DIZ653:DJR3729,3,0),"")</f>
        <v/>
      </c>
      <c r="DJB671" t="str">
        <f>IFERROR(VLOOKUP(DJC671,'[3]Raw material  (3)'!DJA653:DJS3729,3,0),"")</f>
        <v/>
      </c>
      <c r="DJC671" t="str">
        <f>IFERROR(VLOOKUP(DJD671,'[3]Raw material  (3)'!DJB653:DJT3729,3,0),"")</f>
        <v/>
      </c>
      <c r="DJD671" t="str">
        <f>IFERROR(VLOOKUP(DJE671,'[3]Raw material  (3)'!DJC653:DJU3729,3,0),"")</f>
        <v/>
      </c>
      <c r="DJE671" t="str">
        <f>IFERROR(VLOOKUP(DJF671,'[3]Raw material  (3)'!DJD653:DJV3729,3,0),"")</f>
        <v/>
      </c>
      <c r="DJF671" t="str">
        <f>IFERROR(VLOOKUP(DJG671,'[3]Raw material  (3)'!DJE653:DJW3729,3,0),"")</f>
        <v/>
      </c>
      <c r="DJG671" t="str">
        <f>IFERROR(VLOOKUP(DJH671,'[3]Raw material  (3)'!DJF653:DJX3729,3,0),"")</f>
        <v/>
      </c>
      <c r="DJH671" t="str">
        <f>IFERROR(VLOOKUP(DJI671,'[3]Raw material  (3)'!DJG653:DJY3729,3,0),"")</f>
        <v/>
      </c>
      <c r="DJI671" t="str">
        <f>IFERROR(VLOOKUP(DJJ671,'[3]Raw material  (3)'!DJH653:DJZ3729,3,0),"")</f>
        <v/>
      </c>
      <c r="DJJ671" t="str">
        <f>IFERROR(VLOOKUP(DJK671,'[3]Raw material  (3)'!DJI653:DKA3729,3,0),"")</f>
        <v/>
      </c>
      <c r="DJK671" t="str">
        <f>IFERROR(VLOOKUP(DJL671,'[3]Raw material  (3)'!DJJ653:DKB3729,3,0),"")</f>
        <v/>
      </c>
      <c r="DJL671" t="str">
        <f>IFERROR(VLOOKUP(DJM671,'[3]Raw material  (3)'!DJK653:DKC3729,3,0),"")</f>
        <v/>
      </c>
      <c r="DJM671" t="str">
        <f>IFERROR(VLOOKUP(DJN671,'[3]Raw material  (3)'!DJL653:DKD3729,3,0),"")</f>
        <v/>
      </c>
      <c r="DJN671" t="str">
        <f>IFERROR(VLOOKUP(DJO671,'[3]Raw material  (3)'!DJM653:DKE3729,3,0),"")</f>
        <v/>
      </c>
      <c r="DJO671" t="str">
        <f>IFERROR(VLOOKUP(DJP671,'[3]Raw material  (3)'!DJN653:DKF3729,3,0),"")</f>
        <v/>
      </c>
      <c r="DJP671" t="str">
        <f>IFERROR(VLOOKUP(DJQ671,'[3]Raw material  (3)'!DJO653:DKG3729,3,0),"")</f>
        <v/>
      </c>
      <c r="DJQ671" t="str">
        <f>IFERROR(VLOOKUP(DJR671,'[3]Raw material  (3)'!DJP653:DKH3729,3,0),"")</f>
        <v/>
      </c>
      <c r="DJR671" t="str">
        <f>IFERROR(VLOOKUP(DJS671,'[3]Raw material  (3)'!DJQ653:DKI3729,3,0),"")</f>
        <v/>
      </c>
      <c r="DJS671" t="str">
        <f>IFERROR(VLOOKUP(DJT671,'[3]Raw material  (3)'!DJR653:DKJ3729,3,0),"")</f>
        <v/>
      </c>
      <c r="DJT671" t="str">
        <f>IFERROR(VLOOKUP(DJU671,'[3]Raw material  (3)'!DJS653:DKK3729,3,0),"")</f>
        <v/>
      </c>
      <c r="DJU671" t="str">
        <f>IFERROR(VLOOKUP(DJV671,'[3]Raw material  (3)'!DJT653:DKL3729,3,0),"")</f>
        <v/>
      </c>
      <c r="DJV671" t="str">
        <f>IFERROR(VLOOKUP(DJW671,'[3]Raw material  (3)'!DJU653:DKM3729,3,0),"")</f>
        <v/>
      </c>
      <c r="DJW671" t="str">
        <f>IFERROR(VLOOKUP(DJX671,'[3]Raw material  (3)'!DJV653:DKN3729,3,0),"")</f>
        <v/>
      </c>
      <c r="DJX671" t="str">
        <f>IFERROR(VLOOKUP(DJY671,'[3]Raw material  (3)'!DJW653:DKO3729,3,0),"")</f>
        <v/>
      </c>
      <c r="DJY671" t="str">
        <f>IFERROR(VLOOKUP(DJZ671,'[3]Raw material  (3)'!DJX653:DKP3729,3,0),"")</f>
        <v/>
      </c>
      <c r="DJZ671" t="str">
        <f>IFERROR(VLOOKUP(DKA671,'[3]Raw material  (3)'!DJY653:DKQ3729,3,0),"")</f>
        <v/>
      </c>
      <c r="DKA671" t="str">
        <f>IFERROR(VLOOKUP(DKB671,'[3]Raw material  (3)'!DJZ653:DKR3729,3,0),"")</f>
        <v/>
      </c>
      <c r="DKB671" t="str">
        <f>IFERROR(VLOOKUP(DKC671,'[3]Raw material  (3)'!DKA653:DKS3729,3,0),"")</f>
        <v/>
      </c>
      <c r="DKC671" t="str">
        <f>IFERROR(VLOOKUP(DKD671,'[3]Raw material  (3)'!DKB653:DKT3729,3,0),"")</f>
        <v/>
      </c>
      <c r="DKD671" t="str">
        <f>IFERROR(VLOOKUP(DKE671,'[3]Raw material  (3)'!DKC653:DKU3729,3,0),"")</f>
        <v/>
      </c>
      <c r="DKE671" t="str">
        <f>IFERROR(VLOOKUP(DKF671,'[3]Raw material  (3)'!DKD653:DKV3729,3,0),"")</f>
        <v/>
      </c>
      <c r="DKF671" t="str">
        <f>IFERROR(VLOOKUP(DKG671,'[3]Raw material  (3)'!DKE653:DKW3729,3,0),"")</f>
        <v/>
      </c>
      <c r="DKG671" t="str">
        <f>IFERROR(VLOOKUP(DKH671,'[3]Raw material  (3)'!DKF653:DKX3729,3,0),"")</f>
        <v/>
      </c>
      <c r="DKH671" t="str">
        <f>IFERROR(VLOOKUP(DKI671,'[3]Raw material  (3)'!DKG653:DKY3729,3,0),"")</f>
        <v/>
      </c>
      <c r="DKI671" t="str">
        <f>IFERROR(VLOOKUP(DKJ671,'[3]Raw material  (3)'!DKH653:DKZ3729,3,0),"")</f>
        <v/>
      </c>
      <c r="DKJ671" t="str">
        <f>IFERROR(VLOOKUP(DKK671,'[3]Raw material  (3)'!DKI653:DLA3729,3,0),"")</f>
        <v/>
      </c>
      <c r="DKK671" t="str">
        <f>IFERROR(VLOOKUP(DKL671,'[3]Raw material  (3)'!DKJ653:DLB3729,3,0),"")</f>
        <v/>
      </c>
      <c r="DKL671" t="str">
        <f>IFERROR(VLOOKUP(DKM671,'[3]Raw material  (3)'!DKK653:DLC3729,3,0),"")</f>
        <v/>
      </c>
      <c r="DKM671" t="str">
        <f>IFERROR(VLOOKUP(DKN671,'[3]Raw material  (3)'!DKL653:DLD3729,3,0),"")</f>
        <v/>
      </c>
      <c r="DKN671" t="str">
        <f>IFERROR(VLOOKUP(DKO671,'[3]Raw material  (3)'!DKM653:DLE3729,3,0),"")</f>
        <v/>
      </c>
      <c r="DKO671" t="str">
        <f>IFERROR(VLOOKUP(DKP671,'[3]Raw material  (3)'!DKN653:DLF3729,3,0),"")</f>
        <v/>
      </c>
      <c r="DKP671" t="str">
        <f>IFERROR(VLOOKUP(DKQ671,'[3]Raw material  (3)'!DKO653:DLG3729,3,0),"")</f>
        <v/>
      </c>
      <c r="DKQ671" t="str">
        <f>IFERROR(VLOOKUP(DKR671,'[3]Raw material  (3)'!DKP653:DLH3729,3,0),"")</f>
        <v/>
      </c>
      <c r="DKR671" t="str">
        <f>IFERROR(VLOOKUP(DKS671,'[3]Raw material  (3)'!DKQ653:DLI3729,3,0),"")</f>
        <v/>
      </c>
      <c r="DKS671" t="str">
        <f>IFERROR(VLOOKUP(DKT671,'[3]Raw material  (3)'!DKR653:DLJ3729,3,0),"")</f>
        <v/>
      </c>
      <c r="DKT671" t="str">
        <f>IFERROR(VLOOKUP(DKU671,'[3]Raw material  (3)'!DKS653:DLK3729,3,0),"")</f>
        <v/>
      </c>
      <c r="DKU671" t="str">
        <f>IFERROR(VLOOKUP(DKV671,'[3]Raw material  (3)'!DKT653:DLL3729,3,0),"")</f>
        <v/>
      </c>
      <c r="DKV671" t="str">
        <f>IFERROR(VLOOKUP(DKW671,'[3]Raw material  (3)'!DKU653:DLM3729,3,0),"")</f>
        <v/>
      </c>
      <c r="DKW671" t="str">
        <f>IFERROR(VLOOKUP(DKX671,'[3]Raw material  (3)'!DKV653:DLN3729,3,0),"")</f>
        <v/>
      </c>
      <c r="DKX671" t="str">
        <f>IFERROR(VLOOKUP(DKY671,'[3]Raw material  (3)'!DKW653:DLO3729,3,0),"")</f>
        <v/>
      </c>
      <c r="DKY671" t="str">
        <f>IFERROR(VLOOKUP(DKZ671,'[3]Raw material  (3)'!DKX653:DLP3729,3,0),"")</f>
        <v/>
      </c>
      <c r="DKZ671" t="str">
        <f>IFERROR(VLOOKUP(DLA671,'[3]Raw material  (3)'!DKY653:DLQ3729,3,0),"")</f>
        <v/>
      </c>
      <c r="DLA671" t="str">
        <f>IFERROR(VLOOKUP(DLB671,'[3]Raw material  (3)'!DKZ653:DLR3729,3,0),"")</f>
        <v/>
      </c>
      <c r="DLB671" t="str">
        <f>IFERROR(VLOOKUP(DLC671,'[3]Raw material  (3)'!DLA653:DLS3729,3,0),"")</f>
        <v/>
      </c>
      <c r="DLC671" t="str">
        <f>IFERROR(VLOOKUP(DLD671,'[3]Raw material  (3)'!DLB653:DLT3729,3,0),"")</f>
        <v/>
      </c>
      <c r="DLD671" t="str">
        <f>IFERROR(VLOOKUP(DLE671,'[3]Raw material  (3)'!DLC653:DLU3729,3,0),"")</f>
        <v/>
      </c>
      <c r="DLE671" t="str">
        <f>IFERROR(VLOOKUP(DLF671,'[3]Raw material  (3)'!DLD653:DLV3729,3,0),"")</f>
        <v/>
      </c>
      <c r="DLF671" t="str">
        <f>IFERROR(VLOOKUP(DLG671,'[3]Raw material  (3)'!DLE653:DLW3729,3,0),"")</f>
        <v/>
      </c>
      <c r="DLG671" t="str">
        <f>IFERROR(VLOOKUP(DLH671,'[3]Raw material  (3)'!DLF653:DLX3729,3,0),"")</f>
        <v/>
      </c>
      <c r="DLH671" t="str">
        <f>IFERROR(VLOOKUP(DLI671,'[3]Raw material  (3)'!DLG653:DLY3729,3,0),"")</f>
        <v/>
      </c>
      <c r="DLI671" t="str">
        <f>IFERROR(VLOOKUP(DLJ671,'[3]Raw material  (3)'!DLH653:DLZ3729,3,0),"")</f>
        <v/>
      </c>
      <c r="DLJ671" t="str">
        <f>IFERROR(VLOOKUP(DLK671,'[3]Raw material  (3)'!DLI653:DMA3729,3,0),"")</f>
        <v/>
      </c>
      <c r="DLK671" t="str">
        <f>IFERROR(VLOOKUP(DLL671,'[3]Raw material  (3)'!DLJ653:DMB3729,3,0),"")</f>
        <v/>
      </c>
      <c r="DLL671" t="str">
        <f>IFERROR(VLOOKUP(DLM671,'[3]Raw material  (3)'!DLK653:DMC3729,3,0),"")</f>
        <v/>
      </c>
      <c r="DLM671" t="str">
        <f>IFERROR(VLOOKUP(DLN671,'[3]Raw material  (3)'!DLL653:DMD3729,3,0),"")</f>
        <v/>
      </c>
      <c r="DLN671" t="str">
        <f>IFERROR(VLOOKUP(DLO671,'[3]Raw material  (3)'!DLM653:DME3729,3,0),"")</f>
        <v/>
      </c>
      <c r="DLO671" t="str">
        <f>IFERROR(VLOOKUP(DLP671,'[3]Raw material  (3)'!DLN653:DMF3729,3,0),"")</f>
        <v/>
      </c>
      <c r="DLP671" t="str">
        <f>IFERROR(VLOOKUP(DLQ671,'[3]Raw material  (3)'!DLO653:DMG3729,3,0),"")</f>
        <v/>
      </c>
      <c r="DLQ671" t="str">
        <f>IFERROR(VLOOKUP(DLR671,'[3]Raw material  (3)'!DLP653:DMH3729,3,0),"")</f>
        <v/>
      </c>
      <c r="DLR671" t="str">
        <f>IFERROR(VLOOKUP(DLS671,'[3]Raw material  (3)'!DLQ653:DMI3729,3,0),"")</f>
        <v/>
      </c>
      <c r="DLS671" t="str">
        <f>IFERROR(VLOOKUP(DLT671,'[3]Raw material  (3)'!DLR653:DMJ3729,3,0),"")</f>
        <v/>
      </c>
      <c r="DLT671" t="str">
        <f>IFERROR(VLOOKUP(DLU671,'[3]Raw material  (3)'!DLS653:DMK3729,3,0),"")</f>
        <v/>
      </c>
      <c r="DLU671" t="str">
        <f>IFERROR(VLOOKUP(DLV671,'[3]Raw material  (3)'!DLT653:DML3729,3,0),"")</f>
        <v/>
      </c>
      <c r="DLV671" t="str">
        <f>IFERROR(VLOOKUP(DLW671,'[3]Raw material  (3)'!DLU653:DMM3729,3,0),"")</f>
        <v/>
      </c>
      <c r="DLW671" t="str">
        <f>IFERROR(VLOOKUP(DLX671,'[3]Raw material  (3)'!DLV653:DMN3729,3,0),"")</f>
        <v/>
      </c>
      <c r="DLX671" t="str">
        <f>IFERROR(VLOOKUP(DLY671,'[3]Raw material  (3)'!DLW653:DMO3729,3,0),"")</f>
        <v/>
      </c>
      <c r="DLY671" t="str">
        <f>IFERROR(VLOOKUP(DLZ671,'[3]Raw material  (3)'!DLX653:DMP3729,3,0),"")</f>
        <v/>
      </c>
      <c r="DLZ671" t="str">
        <f>IFERROR(VLOOKUP(DMA671,'[3]Raw material  (3)'!DLY653:DMQ3729,3,0),"")</f>
        <v/>
      </c>
      <c r="DMA671" t="str">
        <f>IFERROR(VLOOKUP(DMB671,'[3]Raw material  (3)'!DLZ653:DMR3729,3,0),"")</f>
        <v/>
      </c>
      <c r="DMB671" t="str">
        <f>IFERROR(VLOOKUP(DMC671,'[3]Raw material  (3)'!DMA653:DMS3729,3,0),"")</f>
        <v/>
      </c>
      <c r="DMC671" t="str">
        <f>IFERROR(VLOOKUP(DMD671,'[3]Raw material  (3)'!DMB653:DMT3729,3,0),"")</f>
        <v/>
      </c>
      <c r="DMD671" t="str">
        <f>IFERROR(VLOOKUP(DME671,'[3]Raw material  (3)'!DMC653:DMU3729,3,0),"")</f>
        <v/>
      </c>
      <c r="DME671" t="str">
        <f>IFERROR(VLOOKUP(DMF671,'[3]Raw material  (3)'!DMD653:DMV3729,3,0),"")</f>
        <v/>
      </c>
      <c r="DMF671" t="str">
        <f>IFERROR(VLOOKUP(DMG671,'[3]Raw material  (3)'!DME653:DMW3729,3,0),"")</f>
        <v/>
      </c>
      <c r="DMG671" t="str">
        <f>IFERROR(VLOOKUP(DMH671,'[3]Raw material  (3)'!DMF653:DMX3729,3,0),"")</f>
        <v/>
      </c>
      <c r="DMH671" t="str">
        <f>IFERROR(VLOOKUP(DMI671,'[3]Raw material  (3)'!DMG653:DMY3729,3,0),"")</f>
        <v/>
      </c>
      <c r="DMI671" t="str">
        <f>IFERROR(VLOOKUP(DMJ671,'[3]Raw material  (3)'!DMH653:DMZ3729,3,0),"")</f>
        <v/>
      </c>
      <c r="DMJ671" t="str">
        <f>IFERROR(VLOOKUP(DMK671,'[3]Raw material  (3)'!DMI653:DNA3729,3,0),"")</f>
        <v/>
      </c>
      <c r="DMK671" t="str">
        <f>IFERROR(VLOOKUP(DML671,'[3]Raw material  (3)'!DMJ653:DNB3729,3,0),"")</f>
        <v/>
      </c>
      <c r="DML671" t="str">
        <f>IFERROR(VLOOKUP(DMM671,'[3]Raw material  (3)'!DMK653:DNC3729,3,0),"")</f>
        <v/>
      </c>
      <c r="DMM671" t="str">
        <f>IFERROR(VLOOKUP(DMN671,'[3]Raw material  (3)'!DML653:DND3729,3,0),"")</f>
        <v/>
      </c>
      <c r="DMN671" t="str">
        <f>IFERROR(VLOOKUP(DMO671,'[3]Raw material  (3)'!DMM653:DNE3729,3,0),"")</f>
        <v/>
      </c>
      <c r="DMO671" t="str">
        <f>IFERROR(VLOOKUP(DMP671,'[3]Raw material  (3)'!DMN653:DNF3729,3,0),"")</f>
        <v/>
      </c>
      <c r="DMP671" t="str">
        <f>IFERROR(VLOOKUP(DMQ671,'[3]Raw material  (3)'!DMO653:DNG3729,3,0),"")</f>
        <v/>
      </c>
      <c r="DMQ671" t="str">
        <f>IFERROR(VLOOKUP(DMR671,'[3]Raw material  (3)'!DMP653:DNH3729,3,0),"")</f>
        <v/>
      </c>
      <c r="DMR671" t="str">
        <f>IFERROR(VLOOKUP(DMS671,'[3]Raw material  (3)'!DMQ653:DNI3729,3,0),"")</f>
        <v/>
      </c>
      <c r="DMS671" t="str">
        <f>IFERROR(VLOOKUP(DMT671,'[3]Raw material  (3)'!DMR653:DNJ3729,3,0),"")</f>
        <v/>
      </c>
      <c r="DMT671" t="str">
        <f>IFERROR(VLOOKUP(DMU671,'[3]Raw material  (3)'!DMS653:DNK3729,3,0),"")</f>
        <v/>
      </c>
      <c r="DMU671" t="str">
        <f>IFERROR(VLOOKUP(DMV671,'[3]Raw material  (3)'!DMT653:DNL3729,3,0),"")</f>
        <v/>
      </c>
      <c r="DMV671" t="str">
        <f>IFERROR(VLOOKUP(DMW671,'[3]Raw material  (3)'!DMU653:DNM3729,3,0),"")</f>
        <v/>
      </c>
      <c r="DMW671" t="str">
        <f>IFERROR(VLOOKUP(DMX671,'[3]Raw material  (3)'!DMV653:DNN3729,3,0),"")</f>
        <v/>
      </c>
      <c r="DMX671" t="str">
        <f>IFERROR(VLOOKUP(DMY671,'[3]Raw material  (3)'!DMW653:DNO3729,3,0),"")</f>
        <v/>
      </c>
      <c r="DMY671" t="str">
        <f>IFERROR(VLOOKUP(DMZ671,'[3]Raw material  (3)'!DMX653:DNP3729,3,0),"")</f>
        <v/>
      </c>
      <c r="DMZ671" t="str">
        <f>IFERROR(VLOOKUP(DNA671,'[3]Raw material  (3)'!DMY653:DNQ3729,3,0),"")</f>
        <v/>
      </c>
      <c r="DNA671" t="str">
        <f>IFERROR(VLOOKUP(DNB671,'[3]Raw material  (3)'!DMZ653:DNR3729,3,0),"")</f>
        <v/>
      </c>
      <c r="DNB671" t="str">
        <f>IFERROR(VLOOKUP(DNC671,'[3]Raw material  (3)'!DNA653:DNS3729,3,0),"")</f>
        <v/>
      </c>
      <c r="DNC671" t="str">
        <f>IFERROR(VLOOKUP(DND671,'[3]Raw material  (3)'!DNB653:DNT3729,3,0),"")</f>
        <v/>
      </c>
      <c r="DND671" t="str">
        <f>IFERROR(VLOOKUP(DNE671,'[3]Raw material  (3)'!DNC653:DNU3729,3,0),"")</f>
        <v/>
      </c>
      <c r="DNE671" t="str">
        <f>IFERROR(VLOOKUP(DNF671,'[3]Raw material  (3)'!DND653:DNV3729,3,0),"")</f>
        <v/>
      </c>
      <c r="DNF671" t="str">
        <f>IFERROR(VLOOKUP(DNG671,'[3]Raw material  (3)'!DNE653:DNW3729,3,0),"")</f>
        <v/>
      </c>
      <c r="DNG671" t="str">
        <f>IFERROR(VLOOKUP(DNH671,'[3]Raw material  (3)'!DNF653:DNX3729,3,0),"")</f>
        <v/>
      </c>
      <c r="DNH671" t="str">
        <f>IFERROR(VLOOKUP(DNI671,'[3]Raw material  (3)'!DNG653:DNY3729,3,0),"")</f>
        <v/>
      </c>
      <c r="DNI671" t="str">
        <f>IFERROR(VLOOKUP(DNJ671,'[3]Raw material  (3)'!DNH653:DNZ3729,3,0),"")</f>
        <v/>
      </c>
      <c r="DNJ671" t="str">
        <f>IFERROR(VLOOKUP(DNK671,'[3]Raw material  (3)'!DNI653:DOA3729,3,0),"")</f>
        <v/>
      </c>
      <c r="DNK671" t="str">
        <f>IFERROR(VLOOKUP(DNL671,'[3]Raw material  (3)'!DNJ653:DOB3729,3,0),"")</f>
        <v/>
      </c>
      <c r="DNL671" t="str">
        <f>IFERROR(VLOOKUP(DNM671,'[3]Raw material  (3)'!DNK653:DOC3729,3,0),"")</f>
        <v/>
      </c>
      <c r="DNM671" t="str">
        <f>IFERROR(VLOOKUP(DNN671,'[3]Raw material  (3)'!DNL653:DOD3729,3,0),"")</f>
        <v/>
      </c>
      <c r="DNN671" t="str">
        <f>IFERROR(VLOOKUP(DNO671,'[3]Raw material  (3)'!DNM653:DOE3729,3,0),"")</f>
        <v/>
      </c>
      <c r="DNO671" t="str">
        <f>IFERROR(VLOOKUP(DNP671,'[3]Raw material  (3)'!DNN653:DOF3729,3,0),"")</f>
        <v/>
      </c>
      <c r="DNP671" t="str">
        <f>IFERROR(VLOOKUP(DNQ671,'[3]Raw material  (3)'!DNO653:DOG3729,3,0),"")</f>
        <v/>
      </c>
      <c r="DNQ671" t="str">
        <f>IFERROR(VLOOKUP(DNR671,'[3]Raw material  (3)'!DNP653:DOH3729,3,0),"")</f>
        <v/>
      </c>
      <c r="DNR671" t="str">
        <f>IFERROR(VLOOKUP(DNS671,'[3]Raw material  (3)'!DNQ653:DOI3729,3,0),"")</f>
        <v/>
      </c>
      <c r="DNS671" t="str">
        <f>IFERROR(VLOOKUP(DNT671,'[3]Raw material  (3)'!DNR653:DOJ3729,3,0),"")</f>
        <v/>
      </c>
      <c r="DNT671" t="str">
        <f>IFERROR(VLOOKUP(DNU671,'[3]Raw material  (3)'!DNS653:DOK3729,3,0),"")</f>
        <v/>
      </c>
      <c r="DNU671" t="str">
        <f>IFERROR(VLOOKUP(DNV671,'[3]Raw material  (3)'!DNT653:DOL3729,3,0),"")</f>
        <v/>
      </c>
      <c r="DNV671" t="str">
        <f>IFERROR(VLOOKUP(DNW671,'[3]Raw material  (3)'!DNU653:DOM3729,3,0),"")</f>
        <v/>
      </c>
      <c r="DNW671" t="str">
        <f>IFERROR(VLOOKUP(DNX671,'[3]Raw material  (3)'!DNV653:DON3729,3,0),"")</f>
        <v/>
      </c>
      <c r="DNX671" t="str">
        <f>IFERROR(VLOOKUP(DNY671,'[3]Raw material  (3)'!DNW653:DOO3729,3,0),"")</f>
        <v/>
      </c>
      <c r="DNY671" t="str">
        <f>IFERROR(VLOOKUP(DNZ671,'[3]Raw material  (3)'!DNX653:DOP3729,3,0),"")</f>
        <v/>
      </c>
      <c r="DNZ671" t="str">
        <f>IFERROR(VLOOKUP(DOA671,'[3]Raw material  (3)'!DNY653:DOQ3729,3,0),"")</f>
        <v/>
      </c>
      <c r="DOA671" t="str">
        <f>IFERROR(VLOOKUP(DOB671,'[3]Raw material  (3)'!DNZ653:DOR3729,3,0),"")</f>
        <v/>
      </c>
      <c r="DOB671" t="str">
        <f>IFERROR(VLOOKUP(DOC671,'[3]Raw material  (3)'!DOA653:DOS3729,3,0),"")</f>
        <v/>
      </c>
      <c r="DOC671" t="str">
        <f>IFERROR(VLOOKUP(DOD671,'[3]Raw material  (3)'!DOB653:DOT3729,3,0),"")</f>
        <v/>
      </c>
      <c r="DOD671" t="str">
        <f>IFERROR(VLOOKUP(DOE671,'[3]Raw material  (3)'!DOC653:DOU3729,3,0),"")</f>
        <v/>
      </c>
      <c r="DOE671" t="str">
        <f>IFERROR(VLOOKUP(DOF671,'[3]Raw material  (3)'!DOD653:DOV3729,3,0),"")</f>
        <v/>
      </c>
      <c r="DOF671" t="str">
        <f>IFERROR(VLOOKUP(DOG671,'[3]Raw material  (3)'!DOE653:DOW3729,3,0),"")</f>
        <v/>
      </c>
      <c r="DOG671" t="str">
        <f>IFERROR(VLOOKUP(DOH671,'[3]Raw material  (3)'!DOF653:DOX3729,3,0),"")</f>
        <v/>
      </c>
      <c r="DOH671" t="str">
        <f>IFERROR(VLOOKUP(DOI671,'[3]Raw material  (3)'!DOG653:DOY3729,3,0),"")</f>
        <v/>
      </c>
      <c r="DOI671" t="str">
        <f>IFERROR(VLOOKUP(DOJ671,'[3]Raw material  (3)'!DOH653:DOZ3729,3,0),"")</f>
        <v/>
      </c>
      <c r="DOJ671" t="str">
        <f>IFERROR(VLOOKUP(DOK671,'[3]Raw material  (3)'!DOI653:DPA3729,3,0),"")</f>
        <v/>
      </c>
      <c r="DOK671" t="str">
        <f>IFERROR(VLOOKUP(DOL671,'[3]Raw material  (3)'!DOJ653:DPB3729,3,0),"")</f>
        <v/>
      </c>
      <c r="DOL671" t="str">
        <f>IFERROR(VLOOKUP(DOM671,'[3]Raw material  (3)'!DOK653:DPC3729,3,0),"")</f>
        <v/>
      </c>
      <c r="DOM671" t="str">
        <f>IFERROR(VLOOKUP(DON671,'[3]Raw material  (3)'!DOL653:DPD3729,3,0),"")</f>
        <v/>
      </c>
      <c r="DON671" t="str">
        <f>IFERROR(VLOOKUP(DOO671,'[3]Raw material  (3)'!DOM653:DPE3729,3,0),"")</f>
        <v/>
      </c>
      <c r="DOO671" t="str">
        <f>IFERROR(VLOOKUP(DOP671,'[3]Raw material  (3)'!DON653:DPF3729,3,0),"")</f>
        <v/>
      </c>
      <c r="DOP671" t="str">
        <f>IFERROR(VLOOKUP(DOQ671,'[3]Raw material  (3)'!DOO653:DPG3729,3,0),"")</f>
        <v/>
      </c>
      <c r="DOQ671" t="str">
        <f>IFERROR(VLOOKUP(DOR671,'[3]Raw material  (3)'!DOP653:DPH3729,3,0),"")</f>
        <v/>
      </c>
      <c r="DOR671" t="str">
        <f>IFERROR(VLOOKUP(DOS671,'[3]Raw material  (3)'!DOQ653:DPI3729,3,0),"")</f>
        <v/>
      </c>
      <c r="DOS671" t="str">
        <f>IFERROR(VLOOKUP(DOT671,'[3]Raw material  (3)'!DOR653:DPJ3729,3,0),"")</f>
        <v/>
      </c>
      <c r="DOT671" t="str">
        <f>IFERROR(VLOOKUP(DOU671,'[3]Raw material  (3)'!DOS653:DPK3729,3,0),"")</f>
        <v/>
      </c>
      <c r="DOU671" t="str">
        <f>IFERROR(VLOOKUP(DOV671,'[3]Raw material  (3)'!DOT653:DPL3729,3,0),"")</f>
        <v/>
      </c>
      <c r="DOV671" t="str">
        <f>IFERROR(VLOOKUP(DOW671,'[3]Raw material  (3)'!DOU653:DPM3729,3,0),"")</f>
        <v/>
      </c>
      <c r="DOW671" t="str">
        <f>IFERROR(VLOOKUP(DOX671,'[3]Raw material  (3)'!DOV653:DPN3729,3,0),"")</f>
        <v/>
      </c>
      <c r="DOX671" t="str">
        <f>IFERROR(VLOOKUP(DOY671,'[3]Raw material  (3)'!DOW653:DPO3729,3,0),"")</f>
        <v/>
      </c>
      <c r="DOY671" t="str">
        <f>IFERROR(VLOOKUP(DOZ671,'[3]Raw material  (3)'!DOX653:DPP3729,3,0),"")</f>
        <v/>
      </c>
      <c r="DOZ671" t="str">
        <f>IFERROR(VLOOKUP(DPA671,'[3]Raw material  (3)'!DOY653:DPQ3729,3,0),"")</f>
        <v/>
      </c>
      <c r="DPA671" t="str">
        <f>IFERROR(VLOOKUP(DPB671,'[3]Raw material  (3)'!DOZ653:DPR3729,3,0),"")</f>
        <v/>
      </c>
      <c r="DPB671" t="str">
        <f>IFERROR(VLOOKUP(DPC671,'[3]Raw material  (3)'!DPA653:DPS3729,3,0),"")</f>
        <v/>
      </c>
      <c r="DPC671" t="str">
        <f>IFERROR(VLOOKUP(DPD671,'[3]Raw material  (3)'!DPB653:DPT3729,3,0),"")</f>
        <v/>
      </c>
      <c r="DPD671" t="str">
        <f>IFERROR(VLOOKUP(DPE671,'[3]Raw material  (3)'!DPC653:DPU3729,3,0),"")</f>
        <v/>
      </c>
      <c r="DPE671" t="str">
        <f>IFERROR(VLOOKUP(DPF671,'[3]Raw material  (3)'!DPD653:DPV3729,3,0),"")</f>
        <v/>
      </c>
      <c r="DPF671" t="str">
        <f>IFERROR(VLOOKUP(DPG671,'[3]Raw material  (3)'!DPE653:DPW3729,3,0),"")</f>
        <v/>
      </c>
      <c r="DPG671" t="str">
        <f>IFERROR(VLOOKUP(DPH671,'[3]Raw material  (3)'!DPF653:DPX3729,3,0),"")</f>
        <v/>
      </c>
      <c r="DPH671" t="str">
        <f>IFERROR(VLOOKUP(DPI671,'[3]Raw material  (3)'!DPG653:DPY3729,3,0),"")</f>
        <v/>
      </c>
      <c r="DPI671" t="str">
        <f>IFERROR(VLOOKUP(DPJ671,'[3]Raw material  (3)'!DPH653:DPZ3729,3,0),"")</f>
        <v/>
      </c>
      <c r="DPJ671" t="str">
        <f>IFERROR(VLOOKUP(DPK671,'[3]Raw material  (3)'!DPI653:DQA3729,3,0),"")</f>
        <v/>
      </c>
      <c r="DPK671" t="str">
        <f>IFERROR(VLOOKUP(DPL671,'[3]Raw material  (3)'!DPJ653:DQB3729,3,0),"")</f>
        <v/>
      </c>
      <c r="DPL671" t="str">
        <f>IFERROR(VLOOKUP(DPM671,'[3]Raw material  (3)'!DPK653:DQC3729,3,0),"")</f>
        <v/>
      </c>
      <c r="DPM671" t="str">
        <f>IFERROR(VLOOKUP(DPN671,'[3]Raw material  (3)'!DPL653:DQD3729,3,0),"")</f>
        <v/>
      </c>
      <c r="DPN671" t="str">
        <f>IFERROR(VLOOKUP(DPO671,'[3]Raw material  (3)'!DPM653:DQE3729,3,0),"")</f>
        <v/>
      </c>
      <c r="DPO671" t="str">
        <f>IFERROR(VLOOKUP(DPP671,'[3]Raw material  (3)'!DPN653:DQF3729,3,0),"")</f>
        <v/>
      </c>
      <c r="DPP671" t="str">
        <f>IFERROR(VLOOKUP(DPQ671,'[3]Raw material  (3)'!DPO653:DQG3729,3,0),"")</f>
        <v/>
      </c>
      <c r="DPQ671" t="str">
        <f>IFERROR(VLOOKUP(DPR671,'[3]Raw material  (3)'!DPP653:DQH3729,3,0),"")</f>
        <v/>
      </c>
      <c r="DPR671" t="str">
        <f>IFERROR(VLOOKUP(DPS671,'[3]Raw material  (3)'!DPQ653:DQI3729,3,0),"")</f>
        <v/>
      </c>
      <c r="DPS671" t="str">
        <f>IFERROR(VLOOKUP(DPT671,'[3]Raw material  (3)'!DPR653:DQJ3729,3,0),"")</f>
        <v/>
      </c>
      <c r="DPT671" t="str">
        <f>IFERROR(VLOOKUP(DPU671,'[3]Raw material  (3)'!DPS653:DQK3729,3,0),"")</f>
        <v/>
      </c>
      <c r="DPU671" t="str">
        <f>IFERROR(VLOOKUP(DPV671,'[3]Raw material  (3)'!DPT653:DQL3729,3,0),"")</f>
        <v/>
      </c>
      <c r="DPV671" t="str">
        <f>IFERROR(VLOOKUP(DPW671,'[3]Raw material  (3)'!DPU653:DQM3729,3,0),"")</f>
        <v/>
      </c>
      <c r="DPW671" t="str">
        <f>IFERROR(VLOOKUP(DPX671,'[3]Raw material  (3)'!DPV653:DQN3729,3,0),"")</f>
        <v/>
      </c>
      <c r="DPX671" t="str">
        <f>IFERROR(VLOOKUP(DPY671,'[3]Raw material  (3)'!DPW653:DQO3729,3,0),"")</f>
        <v/>
      </c>
      <c r="DPY671" t="str">
        <f>IFERROR(VLOOKUP(DPZ671,'[3]Raw material  (3)'!DPX653:DQP3729,3,0),"")</f>
        <v/>
      </c>
      <c r="DPZ671" t="str">
        <f>IFERROR(VLOOKUP(DQA671,'[3]Raw material  (3)'!DPY653:DQQ3729,3,0),"")</f>
        <v/>
      </c>
      <c r="DQA671" t="str">
        <f>IFERROR(VLOOKUP(DQB671,'[3]Raw material  (3)'!DPZ653:DQR3729,3,0),"")</f>
        <v/>
      </c>
      <c r="DQB671" t="str">
        <f>IFERROR(VLOOKUP(DQC671,'[3]Raw material  (3)'!DQA653:DQS3729,3,0),"")</f>
        <v/>
      </c>
      <c r="DQC671" t="str">
        <f>IFERROR(VLOOKUP(DQD671,'[3]Raw material  (3)'!DQB653:DQT3729,3,0),"")</f>
        <v/>
      </c>
      <c r="DQD671" t="str">
        <f>IFERROR(VLOOKUP(DQE671,'[3]Raw material  (3)'!DQC653:DQU3729,3,0),"")</f>
        <v/>
      </c>
      <c r="DQE671" t="str">
        <f>IFERROR(VLOOKUP(DQF671,'[3]Raw material  (3)'!DQD653:DQV3729,3,0),"")</f>
        <v/>
      </c>
      <c r="DQF671" t="str">
        <f>IFERROR(VLOOKUP(DQG671,'[3]Raw material  (3)'!DQE653:DQW3729,3,0),"")</f>
        <v/>
      </c>
      <c r="DQG671" t="str">
        <f>IFERROR(VLOOKUP(DQH671,'[3]Raw material  (3)'!DQF653:DQX3729,3,0),"")</f>
        <v/>
      </c>
      <c r="DQH671" t="str">
        <f>IFERROR(VLOOKUP(DQI671,'[3]Raw material  (3)'!DQG653:DQY3729,3,0),"")</f>
        <v/>
      </c>
      <c r="DQI671" t="str">
        <f>IFERROR(VLOOKUP(DQJ671,'[3]Raw material  (3)'!DQH653:DQZ3729,3,0),"")</f>
        <v/>
      </c>
      <c r="DQJ671" t="str">
        <f>IFERROR(VLOOKUP(DQK671,'[3]Raw material  (3)'!DQI653:DRA3729,3,0),"")</f>
        <v/>
      </c>
      <c r="DQK671" t="str">
        <f>IFERROR(VLOOKUP(DQL671,'[3]Raw material  (3)'!DQJ653:DRB3729,3,0),"")</f>
        <v/>
      </c>
      <c r="DQL671" t="str">
        <f>IFERROR(VLOOKUP(DQM671,'[3]Raw material  (3)'!DQK653:DRC3729,3,0),"")</f>
        <v/>
      </c>
      <c r="DQM671" t="str">
        <f>IFERROR(VLOOKUP(DQN671,'[3]Raw material  (3)'!DQL653:DRD3729,3,0),"")</f>
        <v/>
      </c>
      <c r="DQN671" t="str">
        <f>IFERROR(VLOOKUP(DQO671,'[3]Raw material  (3)'!DQM653:DRE3729,3,0),"")</f>
        <v/>
      </c>
      <c r="DQO671" t="str">
        <f>IFERROR(VLOOKUP(DQP671,'[3]Raw material  (3)'!DQN653:DRF3729,3,0),"")</f>
        <v/>
      </c>
      <c r="DQP671" t="str">
        <f>IFERROR(VLOOKUP(DQQ671,'[3]Raw material  (3)'!DQO653:DRG3729,3,0),"")</f>
        <v/>
      </c>
      <c r="DQQ671" t="str">
        <f>IFERROR(VLOOKUP(DQR671,'[3]Raw material  (3)'!DQP653:DRH3729,3,0),"")</f>
        <v/>
      </c>
      <c r="DQR671" t="str">
        <f>IFERROR(VLOOKUP(DQS671,'[3]Raw material  (3)'!DQQ653:DRI3729,3,0),"")</f>
        <v/>
      </c>
      <c r="DQS671" t="str">
        <f>IFERROR(VLOOKUP(DQT671,'[3]Raw material  (3)'!DQR653:DRJ3729,3,0),"")</f>
        <v/>
      </c>
      <c r="DQT671" t="str">
        <f>IFERROR(VLOOKUP(DQU671,'[3]Raw material  (3)'!DQS653:DRK3729,3,0),"")</f>
        <v/>
      </c>
      <c r="DQU671" t="str">
        <f>IFERROR(VLOOKUP(DQV671,'[3]Raw material  (3)'!DQT653:DRL3729,3,0),"")</f>
        <v/>
      </c>
      <c r="DQV671" t="str">
        <f>IFERROR(VLOOKUP(DQW671,'[3]Raw material  (3)'!DQU653:DRM3729,3,0),"")</f>
        <v/>
      </c>
      <c r="DQW671" t="str">
        <f>IFERROR(VLOOKUP(DQX671,'[3]Raw material  (3)'!DQV653:DRN3729,3,0),"")</f>
        <v/>
      </c>
      <c r="DQX671" t="str">
        <f>IFERROR(VLOOKUP(DQY671,'[3]Raw material  (3)'!DQW653:DRO3729,3,0),"")</f>
        <v/>
      </c>
      <c r="DQY671" t="str">
        <f>IFERROR(VLOOKUP(DQZ671,'[3]Raw material  (3)'!DQX653:DRP3729,3,0),"")</f>
        <v/>
      </c>
      <c r="DQZ671" t="str">
        <f>IFERROR(VLOOKUP(DRA671,'[3]Raw material  (3)'!DQY653:DRQ3729,3,0),"")</f>
        <v/>
      </c>
      <c r="DRA671" t="str">
        <f>IFERROR(VLOOKUP(DRB671,'[3]Raw material  (3)'!DQZ653:DRR3729,3,0),"")</f>
        <v/>
      </c>
      <c r="DRB671" t="str">
        <f>IFERROR(VLOOKUP(DRC671,'[3]Raw material  (3)'!DRA653:DRS3729,3,0),"")</f>
        <v/>
      </c>
      <c r="DRC671" t="str">
        <f>IFERROR(VLOOKUP(DRD671,'[3]Raw material  (3)'!DRB653:DRT3729,3,0),"")</f>
        <v/>
      </c>
      <c r="DRD671" t="str">
        <f>IFERROR(VLOOKUP(DRE671,'[3]Raw material  (3)'!DRC653:DRU3729,3,0),"")</f>
        <v/>
      </c>
      <c r="DRE671" t="str">
        <f>IFERROR(VLOOKUP(DRF671,'[3]Raw material  (3)'!DRD653:DRV3729,3,0),"")</f>
        <v/>
      </c>
      <c r="DRF671" t="str">
        <f>IFERROR(VLOOKUP(DRG671,'[3]Raw material  (3)'!DRE653:DRW3729,3,0),"")</f>
        <v/>
      </c>
      <c r="DRG671" t="str">
        <f>IFERROR(VLOOKUP(DRH671,'[3]Raw material  (3)'!DRF653:DRX3729,3,0),"")</f>
        <v/>
      </c>
      <c r="DRH671" t="str">
        <f>IFERROR(VLOOKUP(DRI671,'[3]Raw material  (3)'!DRG653:DRY3729,3,0),"")</f>
        <v/>
      </c>
      <c r="DRI671" t="str">
        <f>IFERROR(VLOOKUP(DRJ671,'[3]Raw material  (3)'!DRH653:DRZ3729,3,0),"")</f>
        <v/>
      </c>
      <c r="DRJ671" t="str">
        <f>IFERROR(VLOOKUP(DRK671,'[3]Raw material  (3)'!DRI653:DSA3729,3,0),"")</f>
        <v/>
      </c>
      <c r="DRK671" t="str">
        <f>IFERROR(VLOOKUP(DRL671,'[3]Raw material  (3)'!DRJ653:DSB3729,3,0),"")</f>
        <v/>
      </c>
      <c r="DRL671" t="str">
        <f>IFERROR(VLOOKUP(DRM671,'[3]Raw material  (3)'!DRK653:DSC3729,3,0),"")</f>
        <v/>
      </c>
      <c r="DRM671" t="str">
        <f>IFERROR(VLOOKUP(DRN671,'[3]Raw material  (3)'!DRL653:DSD3729,3,0),"")</f>
        <v/>
      </c>
      <c r="DRN671" t="str">
        <f>IFERROR(VLOOKUP(DRO671,'[3]Raw material  (3)'!DRM653:DSE3729,3,0),"")</f>
        <v/>
      </c>
      <c r="DRO671" t="str">
        <f>IFERROR(VLOOKUP(DRP671,'[3]Raw material  (3)'!DRN653:DSF3729,3,0),"")</f>
        <v/>
      </c>
      <c r="DRP671" t="str">
        <f>IFERROR(VLOOKUP(DRQ671,'[3]Raw material  (3)'!DRO653:DSG3729,3,0),"")</f>
        <v/>
      </c>
      <c r="DRQ671" t="str">
        <f>IFERROR(VLOOKUP(DRR671,'[3]Raw material  (3)'!DRP653:DSH3729,3,0),"")</f>
        <v/>
      </c>
      <c r="DRR671" t="str">
        <f>IFERROR(VLOOKUP(DRS671,'[3]Raw material  (3)'!DRQ653:DSI3729,3,0),"")</f>
        <v/>
      </c>
      <c r="DRS671" t="str">
        <f>IFERROR(VLOOKUP(DRT671,'[3]Raw material  (3)'!DRR653:DSJ3729,3,0),"")</f>
        <v/>
      </c>
      <c r="DRT671" t="str">
        <f>IFERROR(VLOOKUP(DRU671,'[3]Raw material  (3)'!DRS653:DSK3729,3,0),"")</f>
        <v/>
      </c>
      <c r="DRU671" t="str">
        <f>IFERROR(VLOOKUP(DRV671,'[3]Raw material  (3)'!DRT653:DSL3729,3,0),"")</f>
        <v/>
      </c>
      <c r="DRV671" t="str">
        <f>IFERROR(VLOOKUP(DRW671,'[3]Raw material  (3)'!DRU653:DSM3729,3,0),"")</f>
        <v/>
      </c>
      <c r="DRW671" t="str">
        <f>IFERROR(VLOOKUP(DRX671,'[3]Raw material  (3)'!DRV653:DSN3729,3,0),"")</f>
        <v/>
      </c>
      <c r="DRX671" t="str">
        <f>IFERROR(VLOOKUP(DRY671,'[3]Raw material  (3)'!DRW653:DSO3729,3,0),"")</f>
        <v/>
      </c>
      <c r="DRY671" t="str">
        <f>IFERROR(VLOOKUP(DRZ671,'[3]Raw material  (3)'!DRX653:DSP3729,3,0),"")</f>
        <v/>
      </c>
      <c r="DRZ671" t="str">
        <f>IFERROR(VLOOKUP(DSA671,'[3]Raw material  (3)'!DRY653:DSQ3729,3,0),"")</f>
        <v/>
      </c>
      <c r="DSA671" t="str">
        <f>IFERROR(VLOOKUP(DSB671,'[3]Raw material  (3)'!DRZ653:DSR3729,3,0),"")</f>
        <v/>
      </c>
      <c r="DSB671" t="str">
        <f>IFERROR(VLOOKUP(DSC671,'[3]Raw material  (3)'!DSA653:DSS3729,3,0),"")</f>
        <v/>
      </c>
      <c r="DSC671" t="str">
        <f>IFERROR(VLOOKUP(DSD671,'[3]Raw material  (3)'!DSB653:DST3729,3,0),"")</f>
        <v/>
      </c>
      <c r="DSD671" t="str">
        <f>IFERROR(VLOOKUP(DSE671,'[3]Raw material  (3)'!DSC653:DSU3729,3,0),"")</f>
        <v/>
      </c>
      <c r="DSE671" t="str">
        <f>IFERROR(VLOOKUP(DSF671,'[3]Raw material  (3)'!DSD653:DSV3729,3,0),"")</f>
        <v/>
      </c>
      <c r="DSF671" t="str">
        <f>IFERROR(VLOOKUP(DSG671,'[3]Raw material  (3)'!DSE653:DSW3729,3,0),"")</f>
        <v/>
      </c>
      <c r="DSG671" t="str">
        <f>IFERROR(VLOOKUP(DSH671,'[3]Raw material  (3)'!DSF653:DSX3729,3,0),"")</f>
        <v/>
      </c>
      <c r="DSH671" t="str">
        <f>IFERROR(VLOOKUP(DSI671,'[3]Raw material  (3)'!DSG653:DSY3729,3,0),"")</f>
        <v/>
      </c>
      <c r="DSI671" t="str">
        <f>IFERROR(VLOOKUP(DSJ671,'[3]Raw material  (3)'!DSH653:DSZ3729,3,0),"")</f>
        <v/>
      </c>
      <c r="DSJ671" t="str">
        <f>IFERROR(VLOOKUP(DSK671,'[3]Raw material  (3)'!DSI653:DTA3729,3,0),"")</f>
        <v/>
      </c>
      <c r="DSK671" t="str">
        <f>IFERROR(VLOOKUP(DSL671,'[3]Raw material  (3)'!DSJ653:DTB3729,3,0),"")</f>
        <v/>
      </c>
      <c r="DSL671" t="str">
        <f>IFERROR(VLOOKUP(DSM671,'[3]Raw material  (3)'!DSK653:DTC3729,3,0),"")</f>
        <v/>
      </c>
      <c r="DSM671" t="str">
        <f>IFERROR(VLOOKUP(DSN671,'[3]Raw material  (3)'!DSL653:DTD3729,3,0),"")</f>
        <v/>
      </c>
      <c r="DSN671" t="str">
        <f>IFERROR(VLOOKUP(DSO671,'[3]Raw material  (3)'!DSM653:DTE3729,3,0),"")</f>
        <v/>
      </c>
      <c r="DSO671" t="str">
        <f>IFERROR(VLOOKUP(DSP671,'[3]Raw material  (3)'!DSN653:DTF3729,3,0),"")</f>
        <v/>
      </c>
      <c r="DSP671" t="str">
        <f>IFERROR(VLOOKUP(DSQ671,'[3]Raw material  (3)'!DSO653:DTG3729,3,0),"")</f>
        <v/>
      </c>
      <c r="DSQ671" t="str">
        <f>IFERROR(VLOOKUP(DSR671,'[3]Raw material  (3)'!DSP653:DTH3729,3,0),"")</f>
        <v/>
      </c>
      <c r="DSR671" t="str">
        <f>IFERROR(VLOOKUP(DSS671,'[3]Raw material  (3)'!DSQ653:DTI3729,3,0),"")</f>
        <v/>
      </c>
      <c r="DSS671" t="str">
        <f>IFERROR(VLOOKUP(DST671,'[3]Raw material  (3)'!DSR653:DTJ3729,3,0),"")</f>
        <v/>
      </c>
      <c r="DST671" t="str">
        <f>IFERROR(VLOOKUP(DSU671,'[3]Raw material  (3)'!DSS653:DTK3729,3,0),"")</f>
        <v/>
      </c>
      <c r="DSU671" t="str">
        <f>IFERROR(VLOOKUP(DSV671,'[3]Raw material  (3)'!DST653:DTL3729,3,0),"")</f>
        <v/>
      </c>
      <c r="DSV671" t="str">
        <f>IFERROR(VLOOKUP(DSW671,'[3]Raw material  (3)'!DSU653:DTM3729,3,0),"")</f>
        <v/>
      </c>
      <c r="DSW671" t="str">
        <f>IFERROR(VLOOKUP(DSX671,'[3]Raw material  (3)'!DSV653:DTN3729,3,0),"")</f>
        <v/>
      </c>
      <c r="DSX671" t="str">
        <f>IFERROR(VLOOKUP(DSY671,'[3]Raw material  (3)'!DSW653:DTO3729,3,0),"")</f>
        <v/>
      </c>
      <c r="DSY671" t="str">
        <f>IFERROR(VLOOKUP(DSZ671,'[3]Raw material  (3)'!DSX653:DTP3729,3,0),"")</f>
        <v/>
      </c>
      <c r="DSZ671" t="str">
        <f>IFERROR(VLOOKUP(DTA671,'[3]Raw material  (3)'!DSY653:DTQ3729,3,0),"")</f>
        <v/>
      </c>
      <c r="DTA671" t="str">
        <f>IFERROR(VLOOKUP(DTB671,'[3]Raw material  (3)'!DSZ653:DTR3729,3,0),"")</f>
        <v/>
      </c>
      <c r="DTB671" t="str">
        <f>IFERROR(VLOOKUP(DTC671,'[3]Raw material  (3)'!DTA653:DTS3729,3,0),"")</f>
        <v/>
      </c>
      <c r="DTC671" t="str">
        <f>IFERROR(VLOOKUP(DTD671,'[3]Raw material  (3)'!DTB653:DTT3729,3,0),"")</f>
        <v/>
      </c>
      <c r="DTD671" t="str">
        <f>IFERROR(VLOOKUP(DTE671,'[3]Raw material  (3)'!DTC653:DTU3729,3,0),"")</f>
        <v/>
      </c>
      <c r="DTE671" t="str">
        <f>IFERROR(VLOOKUP(DTF671,'[3]Raw material  (3)'!DTD653:DTV3729,3,0),"")</f>
        <v/>
      </c>
      <c r="DTF671" t="str">
        <f>IFERROR(VLOOKUP(DTG671,'[3]Raw material  (3)'!DTE653:DTW3729,3,0),"")</f>
        <v/>
      </c>
      <c r="DTG671" t="str">
        <f>IFERROR(VLOOKUP(DTH671,'[3]Raw material  (3)'!DTF653:DTX3729,3,0),"")</f>
        <v/>
      </c>
      <c r="DTH671" t="str">
        <f>IFERROR(VLOOKUP(DTI671,'[3]Raw material  (3)'!DTG653:DTY3729,3,0),"")</f>
        <v/>
      </c>
      <c r="DTI671" t="str">
        <f>IFERROR(VLOOKUP(DTJ671,'[3]Raw material  (3)'!DTH653:DTZ3729,3,0),"")</f>
        <v/>
      </c>
      <c r="DTJ671" t="str">
        <f>IFERROR(VLOOKUP(DTK671,'[3]Raw material  (3)'!DTI653:DUA3729,3,0),"")</f>
        <v/>
      </c>
      <c r="DTK671" t="str">
        <f>IFERROR(VLOOKUP(DTL671,'[3]Raw material  (3)'!DTJ653:DUB3729,3,0),"")</f>
        <v/>
      </c>
      <c r="DTL671" t="str">
        <f>IFERROR(VLOOKUP(DTM671,'[3]Raw material  (3)'!DTK653:DUC3729,3,0),"")</f>
        <v/>
      </c>
      <c r="DTM671" t="str">
        <f>IFERROR(VLOOKUP(DTN671,'[3]Raw material  (3)'!DTL653:DUD3729,3,0),"")</f>
        <v/>
      </c>
      <c r="DTN671" t="str">
        <f>IFERROR(VLOOKUP(DTO671,'[3]Raw material  (3)'!DTM653:DUE3729,3,0),"")</f>
        <v/>
      </c>
      <c r="DTO671" t="str">
        <f>IFERROR(VLOOKUP(DTP671,'[3]Raw material  (3)'!DTN653:DUF3729,3,0),"")</f>
        <v/>
      </c>
      <c r="DTP671" t="str">
        <f>IFERROR(VLOOKUP(DTQ671,'[3]Raw material  (3)'!DTO653:DUG3729,3,0),"")</f>
        <v/>
      </c>
      <c r="DTQ671" t="str">
        <f>IFERROR(VLOOKUP(DTR671,'[3]Raw material  (3)'!DTP653:DUH3729,3,0),"")</f>
        <v/>
      </c>
      <c r="DTR671" t="str">
        <f>IFERROR(VLOOKUP(DTS671,'[3]Raw material  (3)'!DTQ653:DUI3729,3,0),"")</f>
        <v/>
      </c>
      <c r="DTS671" t="str">
        <f>IFERROR(VLOOKUP(DTT671,'[3]Raw material  (3)'!DTR653:DUJ3729,3,0),"")</f>
        <v/>
      </c>
      <c r="DTT671" t="str">
        <f>IFERROR(VLOOKUP(DTU671,'[3]Raw material  (3)'!DTS653:DUK3729,3,0),"")</f>
        <v/>
      </c>
      <c r="DTU671" t="str">
        <f>IFERROR(VLOOKUP(DTV671,'[3]Raw material  (3)'!DTT653:DUL3729,3,0),"")</f>
        <v/>
      </c>
      <c r="DTV671" t="str">
        <f>IFERROR(VLOOKUP(DTW671,'[3]Raw material  (3)'!DTU653:DUM3729,3,0),"")</f>
        <v/>
      </c>
      <c r="DTW671" t="str">
        <f>IFERROR(VLOOKUP(DTX671,'[3]Raw material  (3)'!DTV653:DUN3729,3,0),"")</f>
        <v/>
      </c>
      <c r="DTX671" t="str">
        <f>IFERROR(VLOOKUP(DTY671,'[3]Raw material  (3)'!DTW653:DUO3729,3,0),"")</f>
        <v/>
      </c>
      <c r="DTY671" t="str">
        <f>IFERROR(VLOOKUP(DTZ671,'[3]Raw material  (3)'!DTX653:DUP3729,3,0),"")</f>
        <v/>
      </c>
      <c r="DTZ671" t="str">
        <f>IFERROR(VLOOKUP(DUA671,'[3]Raw material  (3)'!DTY653:DUQ3729,3,0),"")</f>
        <v/>
      </c>
      <c r="DUA671" t="str">
        <f>IFERROR(VLOOKUP(DUB671,'[3]Raw material  (3)'!DTZ653:DUR3729,3,0),"")</f>
        <v/>
      </c>
      <c r="DUB671" t="str">
        <f>IFERROR(VLOOKUP(DUC671,'[3]Raw material  (3)'!DUA653:DUS3729,3,0),"")</f>
        <v/>
      </c>
      <c r="DUC671" t="str">
        <f>IFERROR(VLOOKUP(DUD671,'[3]Raw material  (3)'!DUB653:DUT3729,3,0),"")</f>
        <v/>
      </c>
      <c r="DUD671" t="str">
        <f>IFERROR(VLOOKUP(DUE671,'[3]Raw material  (3)'!DUC653:DUU3729,3,0),"")</f>
        <v/>
      </c>
      <c r="DUE671" t="str">
        <f>IFERROR(VLOOKUP(DUF671,'[3]Raw material  (3)'!DUD653:DUV3729,3,0),"")</f>
        <v/>
      </c>
      <c r="DUF671" t="str">
        <f>IFERROR(VLOOKUP(DUG671,'[3]Raw material  (3)'!DUE653:DUW3729,3,0),"")</f>
        <v/>
      </c>
      <c r="DUG671" t="str">
        <f>IFERROR(VLOOKUP(DUH671,'[3]Raw material  (3)'!DUF653:DUX3729,3,0),"")</f>
        <v/>
      </c>
      <c r="DUH671" t="str">
        <f>IFERROR(VLOOKUP(DUI671,'[3]Raw material  (3)'!DUG653:DUY3729,3,0),"")</f>
        <v/>
      </c>
      <c r="DUI671" t="str">
        <f>IFERROR(VLOOKUP(DUJ671,'[3]Raw material  (3)'!DUH653:DUZ3729,3,0),"")</f>
        <v/>
      </c>
      <c r="DUJ671" t="str">
        <f>IFERROR(VLOOKUP(DUK671,'[3]Raw material  (3)'!DUI653:DVA3729,3,0),"")</f>
        <v/>
      </c>
      <c r="DUK671" t="str">
        <f>IFERROR(VLOOKUP(DUL671,'[3]Raw material  (3)'!DUJ653:DVB3729,3,0),"")</f>
        <v/>
      </c>
      <c r="DUL671" t="str">
        <f>IFERROR(VLOOKUP(DUM671,'[3]Raw material  (3)'!DUK653:DVC3729,3,0),"")</f>
        <v/>
      </c>
      <c r="DUM671" t="str">
        <f>IFERROR(VLOOKUP(DUN671,'[3]Raw material  (3)'!DUL653:DVD3729,3,0),"")</f>
        <v/>
      </c>
      <c r="DUN671" t="str">
        <f>IFERROR(VLOOKUP(DUO671,'[3]Raw material  (3)'!DUM653:DVE3729,3,0),"")</f>
        <v/>
      </c>
      <c r="DUO671" t="str">
        <f>IFERROR(VLOOKUP(DUP671,'[3]Raw material  (3)'!DUN653:DVF3729,3,0),"")</f>
        <v/>
      </c>
      <c r="DUP671" t="str">
        <f>IFERROR(VLOOKUP(DUQ671,'[3]Raw material  (3)'!DUO653:DVG3729,3,0),"")</f>
        <v/>
      </c>
      <c r="DUQ671" t="str">
        <f>IFERROR(VLOOKUP(DUR671,'[3]Raw material  (3)'!DUP653:DVH3729,3,0),"")</f>
        <v/>
      </c>
      <c r="DUR671" t="str">
        <f>IFERROR(VLOOKUP(DUS671,'[3]Raw material  (3)'!DUQ653:DVI3729,3,0),"")</f>
        <v/>
      </c>
      <c r="DUS671" t="str">
        <f>IFERROR(VLOOKUP(DUT671,'[3]Raw material  (3)'!DUR653:DVJ3729,3,0),"")</f>
        <v/>
      </c>
      <c r="DUT671" t="str">
        <f>IFERROR(VLOOKUP(DUU671,'[3]Raw material  (3)'!DUS653:DVK3729,3,0),"")</f>
        <v/>
      </c>
      <c r="DUU671" t="str">
        <f>IFERROR(VLOOKUP(DUV671,'[3]Raw material  (3)'!DUT653:DVL3729,3,0),"")</f>
        <v/>
      </c>
      <c r="DUV671" t="str">
        <f>IFERROR(VLOOKUP(DUW671,'[3]Raw material  (3)'!DUU653:DVM3729,3,0),"")</f>
        <v/>
      </c>
      <c r="DUW671" t="str">
        <f>IFERROR(VLOOKUP(DUX671,'[3]Raw material  (3)'!DUV653:DVN3729,3,0),"")</f>
        <v/>
      </c>
      <c r="DUX671" t="str">
        <f>IFERROR(VLOOKUP(DUY671,'[3]Raw material  (3)'!DUW653:DVO3729,3,0),"")</f>
        <v/>
      </c>
      <c r="DUY671" t="str">
        <f>IFERROR(VLOOKUP(DUZ671,'[3]Raw material  (3)'!DUX653:DVP3729,3,0),"")</f>
        <v/>
      </c>
      <c r="DUZ671" t="str">
        <f>IFERROR(VLOOKUP(DVA671,'[3]Raw material  (3)'!DUY653:DVQ3729,3,0),"")</f>
        <v/>
      </c>
      <c r="DVA671" t="str">
        <f>IFERROR(VLOOKUP(DVB671,'[3]Raw material  (3)'!DUZ653:DVR3729,3,0),"")</f>
        <v/>
      </c>
      <c r="DVB671" t="str">
        <f>IFERROR(VLOOKUP(DVC671,'[3]Raw material  (3)'!DVA653:DVS3729,3,0),"")</f>
        <v/>
      </c>
      <c r="DVC671" t="str">
        <f>IFERROR(VLOOKUP(DVD671,'[3]Raw material  (3)'!DVB653:DVT3729,3,0),"")</f>
        <v/>
      </c>
      <c r="DVD671" t="str">
        <f>IFERROR(VLOOKUP(DVE671,'[3]Raw material  (3)'!DVC653:DVU3729,3,0),"")</f>
        <v/>
      </c>
      <c r="DVE671" t="str">
        <f>IFERROR(VLOOKUP(DVF671,'[3]Raw material  (3)'!DVD653:DVV3729,3,0),"")</f>
        <v/>
      </c>
      <c r="DVF671" t="str">
        <f>IFERROR(VLOOKUP(DVG671,'[3]Raw material  (3)'!DVE653:DVW3729,3,0),"")</f>
        <v/>
      </c>
      <c r="DVG671" t="str">
        <f>IFERROR(VLOOKUP(DVH671,'[3]Raw material  (3)'!DVF653:DVX3729,3,0),"")</f>
        <v/>
      </c>
      <c r="DVH671" t="str">
        <f>IFERROR(VLOOKUP(DVI671,'[3]Raw material  (3)'!DVG653:DVY3729,3,0),"")</f>
        <v/>
      </c>
      <c r="DVI671" t="str">
        <f>IFERROR(VLOOKUP(DVJ671,'[3]Raw material  (3)'!DVH653:DVZ3729,3,0),"")</f>
        <v/>
      </c>
      <c r="DVJ671" t="str">
        <f>IFERROR(VLOOKUP(DVK671,'[3]Raw material  (3)'!DVI653:DWA3729,3,0),"")</f>
        <v/>
      </c>
      <c r="DVK671" t="str">
        <f>IFERROR(VLOOKUP(DVL671,'[3]Raw material  (3)'!DVJ653:DWB3729,3,0),"")</f>
        <v/>
      </c>
      <c r="DVL671" t="str">
        <f>IFERROR(VLOOKUP(DVM671,'[3]Raw material  (3)'!DVK653:DWC3729,3,0),"")</f>
        <v/>
      </c>
      <c r="DVM671" t="str">
        <f>IFERROR(VLOOKUP(DVN671,'[3]Raw material  (3)'!DVL653:DWD3729,3,0),"")</f>
        <v/>
      </c>
      <c r="DVN671" t="str">
        <f>IFERROR(VLOOKUP(DVO671,'[3]Raw material  (3)'!DVM653:DWE3729,3,0),"")</f>
        <v/>
      </c>
      <c r="DVO671" t="str">
        <f>IFERROR(VLOOKUP(DVP671,'[3]Raw material  (3)'!DVN653:DWF3729,3,0),"")</f>
        <v/>
      </c>
      <c r="DVP671" t="str">
        <f>IFERROR(VLOOKUP(DVQ671,'[3]Raw material  (3)'!DVO653:DWG3729,3,0),"")</f>
        <v/>
      </c>
      <c r="DVQ671" t="str">
        <f>IFERROR(VLOOKUP(DVR671,'[3]Raw material  (3)'!DVP653:DWH3729,3,0),"")</f>
        <v/>
      </c>
      <c r="DVR671" t="str">
        <f>IFERROR(VLOOKUP(DVS671,'[3]Raw material  (3)'!DVQ653:DWI3729,3,0),"")</f>
        <v/>
      </c>
      <c r="DVS671" t="str">
        <f>IFERROR(VLOOKUP(DVT671,'[3]Raw material  (3)'!DVR653:DWJ3729,3,0),"")</f>
        <v/>
      </c>
      <c r="DVT671" t="str">
        <f>IFERROR(VLOOKUP(DVU671,'[3]Raw material  (3)'!DVS653:DWK3729,3,0),"")</f>
        <v/>
      </c>
      <c r="DVU671" t="str">
        <f>IFERROR(VLOOKUP(DVV671,'[3]Raw material  (3)'!DVT653:DWL3729,3,0),"")</f>
        <v/>
      </c>
      <c r="DVV671" t="str">
        <f>IFERROR(VLOOKUP(DVW671,'[3]Raw material  (3)'!DVU653:DWM3729,3,0),"")</f>
        <v/>
      </c>
      <c r="DVW671" t="str">
        <f>IFERROR(VLOOKUP(DVX671,'[3]Raw material  (3)'!DVV653:DWN3729,3,0),"")</f>
        <v/>
      </c>
      <c r="DVX671" t="str">
        <f>IFERROR(VLOOKUP(DVY671,'[3]Raw material  (3)'!DVW653:DWO3729,3,0),"")</f>
        <v/>
      </c>
      <c r="DVY671" t="str">
        <f>IFERROR(VLOOKUP(DVZ671,'[3]Raw material  (3)'!DVX653:DWP3729,3,0),"")</f>
        <v/>
      </c>
      <c r="DVZ671" t="str">
        <f>IFERROR(VLOOKUP(DWA671,'[3]Raw material  (3)'!DVY653:DWQ3729,3,0),"")</f>
        <v/>
      </c>
      <c r="DWA671" t="str">
        <f>IFERROR(VLOOKUP(DWB671,'[3]Raw material  (3)'!DVZ653:DWR3729,3,0),"")</f>
        <v/>
      </c>
      <c r="DWB671" t="str">
        <f>IFERROR(VLOOKUP(DWC671,'[3]Raw material  (3)'!DWA653:DWS3729,3,0),"")</f>
        <v/>
      </c>
      <c r="DWC671" t="str">
        <f>IFERROR(VLOOKUP(DWD671,'[3]Raw material  (3)'!DWB653:DWT3729,3,0),"")</f>
        <v/>
      </c>
      <c r="DWD671" t="str">
        <f>IFERROR(VLOOKUP(DWE671,'[3]Raw material  (3)'!DWC653:DWU3729,3,0),"")</f>
        <v/>
      </c>
      <c r="DWE671" t="str">
        <f>IFERROR(VLOOKUP(DWF671,'[3]Raw material  (3)'!DWD653:DWV3729,3,0),"")</f>
        <v/>
      </c>
      <c r="DWF671" t="str">
        <f>IFERROR(VLOOKUP(DWG671,'[3]Raw material  (3)'!DWE653:DWW3729,3,0),"")</f>
        <v/>
      </c>
      <c r="DWG671" t="str">
        <f>IFERROR(VLOOKUP(DWH671,'[3]Raw material  (3)'!DWF653:DWX3729,3,0),"")</f>
        <v/>
      </c>
      <c r="DWH671" t="str">
        <f>IFERROR(VLOOKUP(DWI671,'[3]Raw material  (3)'!DWG653:DWY3729,3,0),"")</f>
        <v/>
      </c>
      <c r="DWI671" t="str">
        <f>IFERROR(VLOOKUP(DWJ671,'[3]Raw material  (3)'!DWH653:DWZ3729,3,0),"")</f>
        <v/>
      </c>
      <c r="DWJ671" t="str">
        <f>IFERROR(VLOOKUP(DWK671,'[3]Raw material  (3)'!DWI653:DXA3729,3,0),"")</f>
        <v/>
      </c>
      <c r="DWK671" t="str">
        <f>IFERROR(VLOOKUP(DWL671,'[3]Raw material  (3)'!DWJ653:DXB3729,3,0),"")</f>
        <v/>
      </c>
      <c r="DWL671" t="str">
        <f>IFERROR(VLOOKUP(DWM671,'[3]Raw material  (3)'!DWK653:DXC3729,3,0),"")</f>
        <v/>
      </c>
      <c r="DWM671" t="str">
        <f>IFERROR(VLOOKUP(DWN671,'[3]Raw material  (3)'!DWL653:DXD3729,3,0),"")</f>
        <v/>
      </c>
      <c r="DWN671" t="str">
        <f>IFERROR(VLOOKUP(DWO671,'[3]Raw material  (3)'!DWM653:DXE3729,3,0),"")</f>
        <v/>
      </c>
      <c r="DWO671" t="str">
        <f>IFERROR(VLOOKUP(DWP671,'[3]Raw material  (3)'!DWN653:DXF3729,3,0),"")</f>
        <v/>
      </c>
      <c r="DWP671" t="str">
        <f>IFERROR(VLOOKUP(DWQ671,'[3]Raw material  (3)'!DWO653:DXG3729,3,0),"")</f>
        <v/>
      </c>
      <c r="DWQ671" t="str">
        <f>IFERROR(VLOOKUP(DWR671,'[3]Raw material  (3)'!DWP653:DXH3729,3,0),"")</f>
        <v/>
      </c>
      <c r="DWR671" t="str">
        <f>IFERROR(VLOOKUP(DWS671,'[3]Raw material  (3)'!DWQ653:DXI3729,3,0),"")</f>
        <v/>
      </c>
      <c r="DWS671" t="str">
        <f>IFERROR(VLOOKUP(DWT671,'[3]Raw material  (3)'!DWR653:DXJ3729,3,0),"")</f>
        <v/>
      </c>
      <c r="DWT671" t="str">
        <f>IFERROR(VLOOKUP(DWU671,'[3]Raw material  (3)'!DWS653:DXK3729,3,0),"")</f>
        <v/>
      </c>
      <c r="DWU671" t="str">
        <f>IFERROR(VLOOKUP(DWV671,'[3]Raw material  (3)'!DWT653:DXL3729,3,0),"")</f>
        <v/>
      </c>
      <c r="DWV671" t="str">
        <f>IFERROR(VLOOKUP(DWW671,'[3]Raw material  (3)'!DWU653:DXM3729,3,0),"")</f>
        <v/>
      </c>
      <c r="DWW671" t="str">
        <f>IFERROR(VLOOKUP(DWX671,'[3]Raw material  (3)'!DWV653:DXN3729,3,0),"")</f>
        <v/>
      </c>
      <c r="DWX671" t="str">
        <f>IFERROR(VLOOKUP(DWY671,'[3]Raw material  (3)'!DWW653:DXO3729,3,0),"")</f>
        <v/>
      </c>
      <c r="DWY671" t="str">
        <f>IFERROR(VLOOKUP(DWZ671,'[3]Raw material  (3)'!DWX653:DXP3729,3,0),"")</f>
        <v/>
      </c>
      <c r="DWZ671" t="str">
        <f>IFERROR(VLOOKUP(DXA671,'[3]Raw material  (3)'!DWY653:DXQ3729,3,0),"")</f>
        <v/>
      </c>
      <c r="DXA671" t="str">
        <f>IFERROR(VLOOKUP(DXB671,'[3]Raw material  (3)'!DWZ653:DXR3729,3,0),"")</f>
        <v/>
      </c>
      <c r="DXB671" t="str">
        <f>IFERROR(VLOOKUP(DXC671,'[3]Raw material  (3)'!DXA653:DXS3729,3,0),"")</f>
        <v/>
      </c>
      <c r="DXC671" t="str">
        <f>IFERROR(VLOOKUP(DXD671,'[3]Raw material  (3)'!DXB653:DXT3729,3,0),"")</f>
        <v/>
      </c>
      <c r="DXD671" t="str">
        <f>IFERROR(VLOOKUP(DXE671,'[3]Raw material  (3)'!DXC653:DXU3729,3,0),"")</f>
        <v/>
      </c>
      <c r="DXE671" t="str">
        <f>IFERROR(VLOOKUP(DXF671,'[3]Raw material  (3)'!DXD653:DXV3729,3,0),"")</f>
        <v/>
      </c>
      <c r="DXF671" t="str">
        <f>IFERROR(VLOOKUP(DXG671,'[3]Raw material  (3)'!DXE653:DXW3729,3,0),"")</f>
        <v/>
      </c>
      <c r="DXG671" t="str">
        <f>IFERROR(VLOOKUP(DXH671,'[3]Raw material  (3)'!DXF653:DXX3729,3,0),"")</f>
        <v/>
      </c>
      <c r="DXH671" t="str">
        <f>IFERROR(VLOOKUP(DXI671,'[3]Raw material  (3)'!DXG653:DXY3729,3,0),"")</f>
        <v/>
      </c>
      <c r="DXI671" t="str">
        <f>IFERROR(VLOOKUP(DXJ671,'[3]Raw material  (3)'!DXH653:DXZ3729,3,0),"")</f>
        <v/>
      </c>
      <c r="DXJ671" t="str">
        <f>IFERROR(VLOOKUP(DXK671,'[3]Raw material  (3)'!DXI653:DYA3729,3,0),"")</f>
        <v/>
      </c>
      <c r="DXK671" t="str">
        <f>IFERROR(VLOOKUP(DXL671,'[3]Raw material  (3)'!DXJ653:DYB3729,3,0),"")</f>
        <v/>
      </c>
      <c r="DXL671" t="str">
        <f>IFERROR(VLOOKUP(DXM671,'[3]Raw material  (3)'!DXK653:DYC3729,3,0),"")</f>
        <v/>
      </c>
      <c r="DXM671" t="str">
        <f>IFERROR(VLOOKUP(DXN671,'[3]Raw material  (3)'!DXL653:DYD3729,3,0),"")</f>
        <v/>
      </c>
      <c r="DXN671" t="str">
        <f>IFERROR(VLOOKUP(DXO671,'[3]Raw material  (3)'!DXM653:DYE3729,3,0),"")</f>
        <v/>
      </c>
      <c r="DXO671" t="str">
        <f>IFERROR(VLOOKUP(DXP671,'[3]Raw material  (3)'!DXN653:DYF3729,3,0),"")</f>
        <v/>
      </c>
      <c r="DXP671" t="str">
        <f>IFERROR(VLOOKUP(DXQ671,'[3]Raw material  (3)'!DXO653:DYG3729,3,0),"")</f>
        <v/>
      </c>
      <c r="DXQ671" t="str">
        <f>IFERROR(VLOOKUP(DXR671,'[3]Raw material  (3)'!DXP653:DYH3729,3,0),"")</f>
        <v/>
      </c>
      <c r="DXR671" t="str">
        <f>IFERROR(VLOOKUP(DXS671,'[3]Raw material  (3)'!DXQ653:DYI3729,3,0),"")</f>
        <v/>
      </c>
      <c r="DXS671" t="str">
        <f>IFERROR(VLOOKUP(DXT671,'[3]Raw material  (3)'!DXR653:DYJ3729,3,0),"")</f>
        <v/>
      </c>
      <c r="DXT671" t="str">
        <f>IFERROR(VLOOKUP(DXU671,'[3]Raw material  (3)'!DXS653:DYK3729,3,0),"")</f>
        <v/>
      </c>
      <c r="DXU671" t="str">
        <f>IFERROR(VLOOKUP(DXV671,'[3]Raw material  (3)'!DXT653:DYL3729,3,0),"")</f>
        <v/>
      </c>
      <c r="DXV671" t="str">
        <f>IFERROR(VLOOKUP(DXW671,'[3]Raw material  (3)'!DXU653:DYM3729,3,0),"")</f>
        <v/>
      </c>
      <c r="DXW671" t="str">
        <f>IFERROR(VLOOKUP(DXX671,'[3]Raw material  (3)'!DXV653:DYN3729,3,0),"")</f>
        <v/>
      </c>
      <c r="DXX671" t="str">
        <f>IFERROR(VLOOKUP(DXY671,'[3]Raw material  (3)'!DXW653:DYO3729,3,0),"")</f>
        <v/>
      </c>
      <c r="DXY671" t="str">
        <f>IFERROR(VLOOKUP(DXZ671,'[3]Raw material  (3)'!DXX653:DYP3729,3,0),"")</f>
        <v/>
      </c>
      <c r="DXZ671" t="str">
        <f>IFERROR(VLOOKUP(DYA671,'[3]Raw material  (3)'!DXY653:DYQ3729,3,0),"")</f>
        <v/>
      </c>
      <c r="DYA671" t="str">
        <f>IFERROR(VLOOKUP(DYB671,'[3]Raw material  (3)'!DXZ653:DYR3729,3,0),"")</f>
        <v/>
      </c>
      <c r="DYB671" t="str">
        <f>IFERROR(VLOOKUP(DYC671,'[3]Raw material  (3)'!DYA653:DYS3729,3,0),"")</f>
        <v/>
      </c>
      <c r="DYC671" t="str">
        <f>IFERROR(VLOOKUP(DYD671,'[3]Raw material  (3)'!DYB653:DYT3729,3,0),"")</f>
        <v/>
      </c>
      <c r="DYD671" t="str">
        <f>IFERROR(VLOOKUP(DYE671,'[3]Raw material  (3)'!DYC653:DYU3729,3,0),"")</f>
        <v/>
      </c>
      <c r="DYE671" t="str">
        <f>IFERROR(VLOOKUP(DYF671,'[3]Raw material  (3)'!DYD653:DYV3729,3,0),"")</f>
        <v/>
      </c>
      <c r="DYF671" t="str">
        <f>IFERROR(VLOOKUP(DYG671,'[3]Raw material  (3)'!DYE653:DYW3729,3,0),"")</f>
        <v/>
      </c>
      <c r="DYG671" t="str">
        <f>IFERROR(VLOOKUP(DYH671,'[3]Raw material  (3)'!DYF653:DYX3729,3,0),"")</f>
        <v/>
      </c>
      <c r="DYH671" t="str">
        <f>IFERROR(VLOOKUP(DYI671,'[3]Raw material  (3)'!DYG653:DYY3729,3,0),"")</f>
        <v/>
      </c>
      <c r="DYI671" t="str">
        <f>IFERROR(VLOOKUP(DYJ671,'[3]Raw material  (3)'!DYH653:DYZ3729,3,0),"")</f>
        <v/>
      </c>
      <c r="DYJ671" t="str">
        <f>IFERROR(VLOOKUP(DYK671,'[3]Raw material  (3)'!DYI653:DZA3729,3,0),"")</f>
        <v/>
      </c>
      <c r="DYK671" t="str">
        <f>IFERROR(VLOOKUP(DYL671,'[3]Raw material  (3)'!DYJ653:DZB3729,3,0),"")</f>
        <v/>
      </c>
      <c r="DYL671" t="str">
        <f>IFERROR(VLOOKUP(DYM671,'[3]Raw material  (3)'!DYK653:DZC3729,3,0),"")</f>
        <v/>
      </c>
      <c r="DYM671" t="str">
        <f>IFERROR(VLOOKUP(DYN671,'[3]Raw material  (3)'!DYL653:DZD3729,3,0),"")</f>
        <v/>
      </c>
      <c r="DYN671" t="str">
        <f>IFERROR(VLOOKUP(DYO671,'[3]Raw material  (3)'!DYM653:DZE3729,3,0),"")</f>
        <v/>
      </c>
      <c r="DYO671" t="str">
        <f>IFERROR(VLOOKUP(DYP671,'[3]Raw material  (3)'!DYN653:DZF3729,3,0),"")</f>
        <v/>
      </c>
      <c r="DYP671" t="str">
        <f>IFERROR(VLOOKUP(DYQ671,'[3]Raw material  (3)'!DYO653:DZG3729,3,0),"")</f>
        <v/>
      </c>
      <c r="DYQ671" t="str">
        <f>IFERROR(VLOOKUP(DYR671,'[3]Raw material  (3)'!DYP653:DZH3729,3,0),"")</f>
        <v/>
      </c>
      <c r="DYR671" t="str">
        <f>IFERROR(VLOOKUP(DYS671,'[3]Raw material  (3)'!DYQ653:DZI3729,3,0),"")</f>
        <v/>
      </c>
      <c r="DYS671" t="str">
        <f>IFERROR(VLOOKUP(DYT671,'[3]Raw material  (3)'!DYR653:DZJ3729,3,0),"")</f>
        <v/>
      </c>
      <c r="DYT671" t="str">
        <f>IFERROR(VLOOKUP(DYU671,'[3]Raw material  (3)'!DYS653:DZK3729,3,0),"")</f>
        <v/>
      </c>
      <c r="DYU671" t="str">
        <f>IFERROR(VLOOKUP(DYV671,'[3]Raw material  (3)'!DYT653:DZL3729,3,0),"")</f>
        <v/>
      </c>
      <c r="DYV671" t="str">
        <f>IFERROR(VLOOKUP(DYW671,'[3]Raw material  (3)'!DYU653:DZM3729,3,0),"")</f>
        <v/>
      </c>
      <c r="DYW671" t="str">
        <f>IFERROR(VLOOKUP(DYX671,'[3]Raw material  (3)'!DYV653:DZN3729,3,0),"")</f>
        <v/>
      </c>
      <c r="DYX671" t="str">
        <f>IFERROR(VLOOKUP(DYY671,'[3]Raw material  (3)'!DYW653:DZO3729,3,0),"")</f>
        <v/>
      </c>
      <c r="DYY671" t="str">
        <f>IFERROR(VLOOKUP(DYZ671,'[3]Raw material  (3)'!DYX653:DZP3729,3,0),"")</f>
        <v/>
      </c>
      <c r="DYZ671" t="str">
        <f>IFERROR(VLOOKUP(DZA671,'[3]Raw material  (3)'!DYY653:DZQ3729,3,0),"")</f>
        <v/>
      </c>
      <c r="DZA671" t="str">
        <f>IFERROR(VLOOKUP(DZB671,'[3]Raw material  (3)'!DYZ653:DZR3729,3,0),"")</f>
        <v/>
      </c>
      <c r="DZB671" t="str">
        <f>IFERROR(VLOOKUP(DZC671,'[3]Raw material  (3)'!DZA653:DZS3729,3,0),"")</f>
        <v/>
      </c>
      <c r="DZC671" t="str">
        <f>IFERROR(VLOOKUP(DZD671,'[3]Raw material  (3)'!DZB653:DZT3729,3,0),"")</f>
        <v/>
      </c>
      <c r="DZD671" t="str">
        <f>IFERROR(VLOOKUP(DZE671,'[3]Raw material  (3)'!DZC653:DZU3729,3,0),"")</f>
        <v/>
      </c>
      <c r="DZE671" t="str">
        <f>IFERROR(VLOOKUP(DZF671,'[3]Raw material  (3)'!DZD653:DZV3729,3,0),"")</f>
        <v/>
      </c>
      <c r="DZF671" t="str">
        <f>IFERROR(VLOOKUP(DZG671,'[3]Raw material  (3)'!DZE653:DZW3729,3,0),"")</f>
        <v/>
      </c>
      <c r="DZG671" t="str">
        <f>IFERROR(VLOOKUP(DZH671,'[3]Raw material  (3)'!DZF653:DZX3729,3,0),"")</f>
        <v/>
      </c>
      <c r="DZH671" t="str">
        <f>IFERROR(VLOOKUP(DZI671,'[3]Raw material  (3)'!DZG653:DZY3729,3,0),"")</f>
        <v/>
      </c>
      <c r="DZI671" t="str">
        <f>IFERROR(VLOOKUP(DZJ671,'[3]Raw material  (3)'!DZH653:DZZ3729,3,0),"")</f>
        <v/>
      </c>
      <c r="DZJ671" t="str">
        <f>IFERROR(VLOOKUP(DZK671,'[3]Raw material  (3)'!DZI653:EAA3729,3,0),"")</f>
        <v/>
      </c>
      <c r="DZK671" t="str">
        <f>IFERROR(VLOOKUP(DZL671,'[3]Raw material  (3)'!DZJ653:EAB3729,3,0),"")</f>
        <v/>
      </c>
      <c r="DZL671" t="str">
        <f>IFERROR(VLOOKUP(DZM671,'[3]Raw material  (3)'!DZK653:EAC3729,3,0),"")</f>
        <v/>
      </c>
      <c r="DZM671" t="str">
        <f>IFERROR(VLOOKUP(DZN671,'[3]Raw material  (3)'!DZL653:EAD3729,3,0),"")</f>
        <v/>
      </c>
      <c r="DZN671" t="str">
        <f>IFERROR(VLOOKUP(DZO671,'[3]Raw material  (3)'!DZM653:EAE3729,3,0),"")</f>
        <v/>
      </c>
      <c r="DZO671" t="str">
        <f>IFERROR(VLOOKUP(DZP671,'[3]Raw material  (3)'!DZN653:EAF3729,3,0),"")</f>
        <v/>
      </c>
      <c r="DZP671" t="str">
        <f>IFERROR(VLOOKUP(DZQ671,'[3]Raw material  (3)'!DZO653:EAG3729,3,0),"")</f>
        <v/>
      </c>
      <c r="DZQ671" t="str">
        <f>IFERROR(VLOOKUP(DZR671,'[3]Raw material  (3)'!DZP653:EAH3729,3,0),"")</f>
        <v/>
      </c>
      <c r="DZR671" t="str">
        <f>IFERROR(VLOOKUP(DZS671,'[3]Raw material  (3)'!DZQ653:EAI3729,3,0),"")</f>
        <v/>
      </c>
      <c r="DZS671" t="str">
        <f>IFERROR(VLOOKUP(DZT671,'[3]Raw material  (3)'!DZR653:EAJ3729,3,0),"")</f>
        <v/>
      </c>
      <c r="DZT671" t="str">
        <f>IFERROR(VLOOKUP(DZU671,'[3]Raw material  (3)'!DZS653:EAK3729,3,0),"")</f>
        <v/>
      </c>
      <c r="DZU671" t="str">
        <f>IFERROR(VLOOKUP(DZV671,'[3]Raw material  (3)'!DZT653:EAL3729,3,0),"")</f>
        <v/>
      </c>
      <c r="DZV671" t="str">
        <f>IFERROR(VLOOKUP(DZW671,'[3]Raw material  (3)'!DZU653:EAM3729,3,0),"")</f>
        <v/>
      </c>
      <c r="DZW671" t="str">
        <f>IFERROR(VLOOKUP(DZX671,'[3]Raw material  (3)'!DZV653:EAN3729,3,0),"")</f>
        <v/>
      </c>
      <c r="DZX671" t="str">
        <f>IFERROR(VLOOKUP(DZY671,'[3]Raw material  (3)'!DZW653:EAO3729,3,0),"")</f>
        <v/>
      </c>
      <c r="DZY671" t="str">
        <f>IFERROR(VLOOKUP(DZZ671,'[3]Raw material  (3)'!DZX653:EAP3729,3,0),"")</f>
        <v/>
      </c>
      <c r="DZZ671" t="str">
        <f>IFERROR(VLOOKUP(EAA671,'[3]Raw material  (3)'!DZY653:EAQ3729,3,0),"")</f>
        <v/>
      </c>
      <c r="EAA671" t="str">
        <f>IFERROR(VLOOKUP(EAB671,'[3]Raw material  (3)'!DZZ653:EAR3729,3,0),"")</f>
        <v/>
      </c>
      <c r="EAB671" t="str">
        <f>IFERROR(VLOOKUP(EAC671,'[3]Raw material  (3)'!EAA653:EAS3729,3,0),"")</f>
        <v/>
      </c>
      <c r="EAC671" t="str">
        <f>IFERROR(VLOOKUP(EAD671,'[3]Raw material  (3)'!EAB653:EAT3729,3,0),"")</f>
        <v/>
      </c>
      <c r="EAD671" t="str">
        <f>IFERROR(VLOOKUP(EAE671,'[3]Raw material  (3)'!EAC653:EAU3729,3,0),"")</f>
        <v/>
      </c>
      <c r="EAE671" t="str">
        <f>IFERROR(VLOOKUP(EAF671,'[3]Raw material  (3)'!EAD653:EAV3729,3,0),"")</f>
        <v/>
      </c>
      <c r="EAF671" t="str">
        <f>IFERROR(VLOOKUP(EAG671,'[3]Raw material  (3)'!EAE653:EAW3729,3,0),"")</f>
        <v/>
      </c>
      <c r="EAG671" t="str">
        <f>IFERROR(VLOOKUP(EAH671,'[3]Raw material  (3)'!EAF653:EAX3729,3,0),"")</f>
        <v/>
      </c>
      <c r="EAH671" t="str">
        <f>IFERROR(VLOOKUP(EAI671,'[3]Raw material  (3)'!EAG653:EAY3729,3,0),"")</f>
        <v/>
      </c>
      <c r="EAI671" t="str">
        <f>IFERROR(VLOOKUP(EAJ671,'[3]Raw material  (3)'!EAH653:EAZ3729,3,0),"")</f>
        <v/>
      </c>
      <c r="EAJ671" t="str">
        <f>IFERROR(VLOOKUP(EAK671,'[3]Raw material  (3)'!EAI653:EBA3729,3,0),"")</f>
        <v/>
      </c>
      <c r="EAK671" t="str">
        <f>IFERROR(VLOOKUP(EAL671,'[3]Raw material  (3)'!EAJ653:EBB3729,3,0),"")</f>
        <v/>
      </c>
      <c r="EAL671" t="str">
        <f>IFERROR(VLOOKUP(EAM671,'[3]Raw material  (3)'!EAK653:EBC3729,3,0),"")</f>
        <v/>
      </c>
      <c r="EAM671" t="str">
        <f>IFERROR(VLOOKUP(EAN671,'[3]Raw material  (3)'!EAL653:EBD3729,3,0),"")</f>
        <v/>
      </c>
      <c r="EAN671" t="str">
        <f>IFERROR(VLOOKUP(EAO671,'[3]Raw material  (3)'!EAM653:EBE3729,3,0),"")</f>
        <v/>
      </c>
      <c r="EAO671" t="str">
        <f>IFERROR(VLOOKUP(EAP671,'[3]Raw material  (3)'!EAN653:EBF3729,3,0),"")</f>
        <v/>
      </c>
      <c r="EAP671" t="str">
        <f>IFERROR(VLOOKUP(EAQ671,'[3]Raw material  (3)'!EAO653:EBG3729,3,0),"")</f>
        <v/>
      </c>
      <c r="EAQ671" t="str">
        <f>IFERROR(VLOOKUP(EAR671,'[3]Raw material  (3)'!EAP653:EBH3729,3,0),"")</f>
        <v/>
      </c>
      <c r="EAR671" t="str">
        <f>IFERROR(VLOOKUP(EAS671,'[3]Raw material  (3)'!EAQ653:EBI3729,3,0),"")</f>
        <v/>
      </c>
      <c r="EAS671" t="str">
        <f>IFERROR(VLOOKUP(EAT671,'[3]Raw material  (3)'!EAR653:EBJ3729,3,0),"")</f>
        <v/>
      </c>
      <c r="EAT671" t="str">
        <f>IFERROR(VLOOKUP(EAU671,'[3]Raw material  (3)'!EAS653:EBK3729,3,0),"")</f>
        <v/>
      </c>
      <c r="EAU671" t="str">
        <f>IFERROR(VLOOKUP(EAV671,'[3]Raw material  (3)'!EAT653:EBL3729,3,0),"")</f>
        <v/>
      </c>
      <c r="EAV671" t="str">
        <f>IFERROR(VLOOKUP(EAW671,'[3]Raw material  (3)'!EAU653:EBM3729,3,0),"")</f>
        <v/>
      </c>
      <c r="EAW671" t="str">
        <f>IFERROR(VLOOKUP(EAX671,'[3]Raw material  (3)'!EAV653:EBN3729,3,0),"")</f>
        <v/>
      </c>
      <c r="EAX671" t="str">
        <f>IFERROR(VLOOKUP(EAY671,'[3]Raw material  (3)'!EAW653:EBO3729,3,0),"")</f>
        <v/>
      </c>
      <c r="EAY671" t="str">
        <f>IFERROR(VLOOKUP(EAZ671,'[3]Raw material  (3)'!EAX653:EBP3729,3,0),"")</f>
        <v/>
      </c>
      <c r="EAZ671" t="str">
        <f>IFERROR(VLOOKUP(EBA671,'[3]Raw material  (3)'!EAY653:EBQ3729,3,0),"")</f>
        <v/>
      </c>
      <c r="EBA671" t="str">
        <f>IFERROR(VLOOKUP(EBB671,'[3]Raw material  (3)'!EAZ653:EBR3729,3,0),"")</f>
        <v/>
      </c>
      <c r="EBB671" t="str">
        <f>IFERROR(VLOOKUP(EBC671,'[3]Raw material  (3)'!EBA653:EBS3729,3,0),"")</f>
        <v/>
      </c>
      <c r="EBC671" t="str">
        <f>IFERROR(VLOOKUP(EBD671,'[3]Raw material  (3)'!EBB653:EBT3729,3,0),"")</f>
        <v/>
      </c>
      <c r="EBD671" t="str">
        <f>IFERROR(VLOOKUP(EBE671,'[3]Raw material  (3)'!EBC653:EBU3729,3,0),"")</f>
        <v/>
      </c>
      <c r="EBE671" t="str">
        <f>IFERROR(VLOOKUP(EBF671,'[3]Raw material  (3)'!EBD653:EBV3729,3,0),"")</f>
        <v/>
      </c>
      <c r="EBF671" t="str">
        <f>IFERROR(VLOOKUP(EBG671,'[3]Raw material  (3)'!EBE653:EBW3729,3,0),"")</f>
        <v/>
      </c>
      <c r="EBG671" t="str">
        <f>IFERROR(VLOOKUP(EBH671,'[3]Raw material  (3)'!EBF653:EBX3729,3,0),"")</f>
        <v/>
      </c>
      <c r="EBH671" t="str">
        <f>IFERROR(VLOOKUP(EBI671,'[3]Raw material  (3)'!EBG653:EBY3729,3,0),"")</f>
        <v/>
      </c>
      <c r="EBI671" t="str">
        <f>IFERROR(VLOOKUP(EBJ671,'[3]Raw material  (3)'!EBH653:EBZ3729,3,0),"")</f>
        <v/>
      </c>
      <c r="EBJ671" t="str">
        <f>IFERROR(VLOOKUP(EBK671,'[3]Raw material  (3)'!EBI653:ECA3729,3,0),"")</f>
        <v/>
      </c>
      <c r="EBK671" t="str">
        <f>IFERROR(VLOOKUP(EBL671,'[3]Raw material  (3)'!EBJ653:ECB3729,3,0),"")</f>
        <v/>
      </c>
      <c r="EBL671" t="str">
        <f>IFERROR(VLOOKUP(EBM671,'[3]Raw material  (3)'!EBK653:ECC3729,3,0),"")</f>
        <v/>
      </c>
      <c r="EBM671" t="str">
        <f>IFERROR(VLOOKUP(EBN671,'[3]Raw material  (3)'!EBL653:ECD3729,3,0),"")</f>
        <v/>
      </c>
      <c r="EBN671" t="str">
        <f>IFERROR(VLOOKUP(EBO671,'[3]Raw material  (3)'!EBM653:ECE3729,3,0),"")</f>
        <v/>
      </c>
      <c r="EBO671" t="str">
        <f>IFERROR(VLOOKUP(EBP671,'[3]Raw material  (3)'!EBN653:ECF3729,3,0),"")</f>
        <v/>
      </c>
      <c r="EBP671" t="str">
        <f>IFERROR(VLOOKUP(EBQ671,'[3]Raw material  (3)'!EBO653:ECG3729,3,0),"")</f>
        <v/>
      </c>
      <c r="EBQ671" t="str">
        <f>IFERROR(VLOOKUP(EBR671,'[3]Raw material  (3)'!EBP653:ECH3729,3,0),"")</f>
        <v/>
      </c>
      <c r="EBR671" t="str">
        <f>IFERROR(VLOOKUP(EBS671,'[3]Raw material  (3)'!EBQ653:ECI3729,3,0),"")</f>
        <v/>
      </c>
      <c r="EBS671" t="str">
        <f>IFERROR(VLOOKUP(EBT671,'[3]Raw material  (3)'!EBR653:ECJ3729,3,0),"")</f>
        <v/>
      </c>
      <c r="EBT671" t="str">
        <f>IFERROR(VLOOKUP(EBU671,'[3]Raw material  (3)'!EBS653:ECK3729,3,0),"")</f>
        <v/>
      </c>
      <c r="EBU671" t="str">
        <f>IFERROR(VLOOKUP(EBV671,'[3]Raw material  (3)'!EBT653:ECL3729,3,0),"")</f>
        <v/>
      </c>
      <c r="EBV671" t="str">
        <f>IFERROR(VLOOKUP(EBW671,'[3]Raw material  (3)'!EBU653:ECM3729,3,0),"")</f>
        <v/>
      </c>
      <c r="EBW671" t="str">
        <f>IFERROR(VLOOKUP(EBX671,'[3]Raw material  (3)'!EBV653:ECN3729,3,0),"")</f>
        <v/>
      </c>
      <c r="EBX671" t="str">
        <f>IFERROR(VLOOKUP(EBY671,'[3]Raw material  (3)'!EBW653:ECO3729,3,0),"")</f>
        <v/>
      </c>
      <c r="EBY671" t="str">
        <f>IFERROR(VLOOKUP(EBZ671,'[3]Raw material  (3)'!EBX653:ECP3729,3,0),"")</f>
        <v/>
      </c>
      <c r="EBZ671" t="str">
        <f>IFERROR(VLOOKUP(ECA671,'[3]Raw material  (3)'!EBY653:ECQ3729,3,0),"")</f>
        <v/>
      </c>
      <c r="ECA671" t="str">
        <f>IFERROR(VLOOKUP(ECB671,'[3]Raw material  (3)'!EBZ653:ECR3729,3,0),"")</f>
        <v/>
      </c>
      <c r="ECB671" t="str">
        <f>IFERROR(VLOOKUP(ECC671,'[3]Raw material  (3)'!ECA653:ECS3729,3,0),"")</f>
        <v/>
      </c>
      <c r="ECC671" t="str">
        <f>IFERROR(VLOOKUP(ECD671,'[3]Raw material  (3)'!ECB653:ECT3729,3,0),"")</f>
        <v/>
      </c>
      <c r="ECD671" t="str">
        <f>IFERROR(VLOOKUP(ECE671,'[3]Raw material  (3)'!ECC653:ECU3729,3,0),"")</f>
        <v/>
      </c>
      <c r="ECE671" t="str">
        <f>IFERROR(VLOOKUP(ECF671,'[3]Raw material  (3)'!ECD653:ECV3729,3,0),"")</f>
        <v/>
      </c>
      <c r="ECF671" t="str">
        <f>IFERROR(VLOOKUP(ECG671,'[3]Raw material  (3)'!ECE653:ECW3729,3,0),"")</f>
        <v/>
      </c>
      <c r="ECG671" t="str">
        <f>IFERROR(VLOOKUP(ECH671,'[3]Raw material  (3)'!ECF653:ECX3729,3,0),"")</f>
        <v/>
      </c>
      <c r="ECH671" t="str">
        <f>IFERROR(VLOOKUP(ECI671,'[3]Raw material  (3)'!ECG653:ECY3729,3,0),"")</f>
        <v/>
      </c>
      <c r="ECI671" t="str">
        <f>IFERROR(VLOOKUP(ECJ671,'[3]Raw material  (3)'!ECH653:ECZ3729,3,0),"")</f>
        <v/>
      </c>
      <c r="ECJ671" t="str">
        <f>IFERROR(VLOOKUP(ECK671,'[3]Raw material  (3)'!ECI653:EDA3729,3,0),"")</f>
        <v/>
      </c>
      <c r="ECK671" t="str">
        <f>IFERROR(VLOOKUP(ECL671,'[3]Raw material  (3)'!ECJ653:EDB3729,3,0),"")</f>
        <v/>
      </c>
      <c r="ECL671" t="str">
        <f>IFERROR(VLOOKUP(ECM671,'[3]Raw material  (3)'!ECK653:EDC3729,3,0),"")</f>
        <v/>
      </c>
      <c r="ECM671" t="str">
        <f>IFERROR(VLOOKUP(ECN671,'[3]Raw material  (3)'!ECL653:EDD3729,3,0),"")</f>
        <v/>
      </c>
      <c r="ECN671" t="str">
        <f>IFERROR(VLOOKUP(ECO671,'[3]Raw material  (3)'!ECM653:EDE3729,3,0),"")</f>
        <v/>
      </c>
      <c r="ECO671" t="str">
        <f>IFERROR(VLOOKUP(ECP671,'[3]Raw material  (3)'!ECN653:EDF3729,3,0),"")</f>
        <v/>
      </c>
      <c r="ECP671" t="str">
        <f>IFERROR(VLOOKUP(ECQ671,'[3]Raw material  (3)'!ECO653:EDG3729,3,0),"")</f>
        <v/>
      </c>
      <c r="ECQ671" t="str">
        <f>IFERROR(VLOOKUP(ECR671,'[3]Raw material  (3)'!ECP653:EDH3729,3,0),"")</f>
        <v/>
      </c>
      <c r="ECR671" t="str">
        <f>IFERROR(VLOOKUP(ECS671,'[3]Raw material  (3)'!ECQ653:EDI3729,3,0),"")</f>
        <v/>
      </c>
      <c r="ECS671" t="str">
        <f>IFERROR(VLOOKUP(ECT671,'[3]Raw material  (3)'!ECR653:EDJ3729,3,0),"")</f>
        <v/>
      </c>
      <c r="ECT671" t="str">
        <f>IFERROR(VLOOKUP(ECU671,'[3]Raw material  (3)'!ECS653:EDK3729,3,0),"")</f>
        <v/>
      </c>
      <c r="ECU671" t="str">
        <f>IFERROR(VLOOKUP(ECV671,'[3]Raw material  (3)'!ECT653:EDL3729,3,0),"")</f>
        <v/>
      </c>
      <c r="ECV671" t="str">
        <f>IFERROR(VLOOKUP(ECW671,'[3]Raw material  (3)'!ECU653:EDM3729,3,0),"")</f>
        <v/>
      </c>
      <c r="ECW671" t="str">
        <f>IFERROR(VLOOKUP(ECX671,'[3]Raw material  (3)'!ECV653:EDN3729,3,0),"")</f>
        <v/>
      </c>
      <c r="ECX671" t="str">
        <f>IFERROR(VLOOKUP(ECY671,'[3]Raw material  (3)'!ECW653:EDO3729,3,0),"")</f>
        <v/>
      </c>
      <c r="ECY671" t="str">
        <f>IFERROR(VLOOKUP(ECZ671,'[3]Raw material  (3)'!ECX653:EDP3729,3,0),"")</f>
        <v/>
      </c>
      <c r="ECZ671" t="str">
        <f>IFERROR(VLOOKUP(EDA671,'[3]Raw material  (3)'!ECY653:EDQ3729,3,0),"")</f>
        <v/>
      </c>
      <c r="EDA671" t="str">
        <f>IFERROR(VLOOKUP(EDB671,'[3]Raw material  (3)'!ECZ653:EDR3729,3,0),"")</f>
        <v/>
      </c>
      <c r="EDB671" t="str">
        <f>IFERROR(VLOOKUP(EDC671,'[3]Raw material  (3)'!EDA653:EDS3729,3,0),"")</f>
        <v/>
      </c>
      <c r="EDC671" t="str">
        <f>IFERROR(VLOOKUP(EDD671,'[3]Raw material  (3)'!EDB653:EDT3729,3,0),"")</f>
        <v/>
      </c>
      <c r="EDD671" t="str">
        <f>IFERROR(VLOOKUP(EDE671,'[3]Raw material  (3)'!EDC653:EDU3729,3,0),"")</f>
        <v/>
      </c>
      <c r="EDE671" t="str">
        <f>IFERROR(VLOOKUP(EDF671,'[3]Raw material  (3)'!EDD653:EDV3729,3,0),"")</f>
        <v/>
      </c>
      <c r="EDF671" t="str">
        <f>IFERROR(VLOOKUP(EDG671,'[3]Raw material  (3)'!EDE653:EDW3729,3,0),"")</f>
        <v/>
      </c>
      <c r="EDG671" t="str">
        <f>IFERROR(VLOOKUP(EDH671,'[3]Raw material  (3)'!EDF653:EDX3729,3,0),"")</f>
        <v/>
      </c>
      <c r="EDH671" t="str">
        <f>IFERROR(VLOOKUP(EDI671,'[3]Raw material  (3)'!EDG653:EDY3729,3,0),"")</f>
        <v/>
      </c>
      <c r="EDI671" t="str">
        <f>IFERROR(VLOOKUP(EDJ671,'[3]Raw material  (3)'!EDH653:EDZ3729,3,0),"")</f>
        <v/>
      </c>
      <c r="EDJ671" t="str">
        <f>IFERROR(VLOOKUP(EDK671,'[3]Raw material  (3)'!EDI653:EEA3729,3,0),"")</f>
        <v/>
      </c>
      <c r="EDK671" t="str">
        <f>IFERROR(VLOOKUP(EDL671,'[3]Raw material  (3)'!EDJ653:EEB3729,3,0),"")</f>
        <v/>
      </c>
      <c r="EDL671" t="str">
        <f>IFERROR(VLOOKUP(EDM671,'[3]Raw material  (3)'!EDK653:EEC3729,3,0),"")</f>
        <v/>
      </c>
      <c r="EDM671" t="str">
        <f>IFERROR(VLOOKUP(EDN671,'[3]Raw material  (3)'!EDL653:EED3729,3,0),"")</f>
        <v/>
      </c>
      <c r="EDN671" t="str">
        <f>IFERROR(VLOOKUP(EDO671,'[3]Raw material  (3)'!EDM653:EEE3729,3,0),"")</f>
        <v/>
      </c>
      <c r="EDO671" t="str">
        <f>IFERROR(VLOOKUP(EDP671,'[3]Raw material  (3)'!EDN653:EEF3729,3,0),"")</f>
        <v/>
      </c>
      <c r="EDP671" t="str">
        <f>IFERROR(VLOOKUP(EDQ671,'[3]Raw material  (3)'!EDO653:EEG3729,3,0),"")</f>
        <v/>
      </c>
      <c r="EDQ671" t="str">
        <f>IFERROR(VLOOKUP(EDR671,'[3]Raw material  (3)'!EDP653:EEH3729,3,0),"")</f>
        <v/>
      </c>
      <c r="EDR671" t="str">
        <f>IFERROR(VLOOKUP(EDS671,'[3]Raw material  (3)'!EDQ653:EEI3729,3,0),"")</f>
        <v/>
      </c>
      <c r="EDS671" t="str">
        <f>IFERROR(VLOOKUP(EDT671,'[3]Raw material  (3)'!EDR653:EEJ3729,3,0),"")</f>
        <v/>
      </c>
      <c r="EDT671" t="str">
        <f>IFERROR(VLOOKUP(EDU671,'[3]Raw material  (3)'!EDS653:EEK3729,3,0),"")</f>
        <v/>
      </c>
      <c r="EDU671" t="str">
        <f>IFERROR(VLOOKUP(EDV671,'[3]Raw material  (3)'!EDT653:EEL3729,3,0),"")</f>
        <v/>
      </c>
      <c r="EDV671" t="str">
        <f>IFERROR(VLOOKUP(EDW671,'[3]Raw material  (3)'!EDU653:EEM3729,3,0),"")</f>
        <v/>
      </c>
      <c r="EDW671" t="str">
        <f>IFERROR(VLOOKUP(EDX671,'[3]Raw material  (3)'!EDV653:EEN3729,3,0),"")</f>
        <v/>
      </c>
      <c r="EDX671" t="str">
        <f>IFERROR(VLOOKUP(EDY671,'[3]Raw material  (3)'!EDW653:EEO3729,3,0),"")</f>
        <v/>
      </c>
      <c r="EDY671" t="str">
        <f>IFERROR(VLOOKUP(EDZ671,'[3]Raw material  (3)'!EDX653:EEP3729,3,0),"")</f>
        <v/>
      </c>
      <c r="EDZ671" t="str">
        <f>IFERROR(VLOOKUP(EEA671,'[3]Raw material  (3)'!EDY653:EEQ3729,3,0),"")</f>
        <v/>
      </c>
      <c r="EEA671" t="str">
        <f>IFERROR(VLOOKUP(EEB671,'[3]Raw material  (3)'!EDZ653:EER3729,3,0),"")</f>
        <v/>
      </c>
      <c r="EEB671" t="str">
        <f>IFERROR(VLOOKUP(EEC671,'[3]Raw material  (3)'!EEA653:EES3729,3,0),"")</f>
        <v/>
      </c>
      <c r="EEC671" t="str">
        <f>IFERROR(VLOOKUP(EED671,'[3]Raw material  (3)'!EEB653:EET3729,3,0),"")</f>
        <v/>
      </c>
      <c r="EED671" t="str">
        <f>IFERROR(VLOOKUP(EEE671,'[3]Raw material  (3)'!EEC653:EEU3729,3,0),"")</f>
        <v/>
      </c>
      <c r="EEE671" t="str">
        <f>IFERROR(VLOOKUP(EEF671,'[3]Raw material  (3)'!EED653:EEV3729,3,0),"")</f>
        <v/>
      </c>
      <c r="EEF671" t="str">
        <f>IFERROR(VLOOKUP(EEG671,'[3]Raw material  (3)'!EEE653:EEW3729,3,0),"")</f>
        <v/>
      </c>
      <c r="EEG671" t="str">
        <f>IFERROR(VLOOKUP(EEH671,'[3]Raw material  (3)'!EEF653:EEX3729,3,0),"")</f>
        <v/>
      </c>
      <c r="EEH671" t="str">
        <f>IFERROR(VLOOKUP(EEI671,'[3]Raw material  (3)'!EEG653:EEY3729,3,0),"")</f>
        <v/>
      </c>
      <c r="EEI671" t="str">
        <f>IFERROR(VLOOKUP(EEJ671,'[3]Raw material  (3)'!EEH653:EEZ3729,3,0),"")</f>
        <v/>
      </c>
      <c r="EEJ671" t="str">
        <f>IFERROR(VLOOKUP(EEK671,'[3]Raw material  (3)'!EEI653:EFA3729,3,0),"")</f>
        <v/>
      </c>
      <c r="EEK671" t="str">
        <f>IFERROR(VLOOKUP(EEL671,'[3]Raw material  (3)'!EEJ653:EFB3729,3,0),"")</f>
        <v/>
      </c>
      <c r="EEL671" t="str">
        <f>IFERROR(VLOOKUP(EEM671,'[3]Raw material  (3)'!EEK653:EFC3729,3,0),"")</f>
        <v/>
      </c>
      <c r="EEM671" t="str">
        <f>IFERROR(VLOOKUP(EEN671,'[3]Raw material  (3)'!EEL653:EFD3729,3,0),"")</f>
        <v/>
      </c>
      <c r="EEN671" t="str">
        <f>IFERROR(VLOOKUP(EEO671,'[3]Raw material  (3)'!EEM653:EFE3729,3,0),"")</f>
        <v/>
      </c>
      <c r="EEO671" t="str">
        <f>IFERROR(VLOOKUP(EEP671,'[3]Raw material  (3)'!EEN653:EFF3729,3,0),"")</f>
        <v/>
      </c>
      <c r="EEP671" t="str">
        <f>IFERROR(VLOOKUP(EEQ671,'[3]Raw material  (3)'!EEO653:EFG3729,3,0),"")</f>
        <v/>
      </c>
      <c r="EEQ671" t="str">
        <f>IFERROR(VLOOKUP(EER671,'[3]Raw material  (3)'!EEP653:EFH3729,3,0),"")</f>
        <v/>
      </c>
      <c r="EER671" t="str">
        <f>IFERROR(VLOOKUP(EES671,'[3]Raw material  (3)'!EEQ653:EFI3729,3,0),"")</f>
        <v/>
      </c>
      <c r="EES671" t="str">
        <f>IFERROR(VLOOKUP(EET671,'[3]Raw material  (3)'!EER653:EFJ3729,3,0),"")</f>
        <v/>
      </c>
      <c r="EET671" t="str">
        <f>IFERROR(VLOOKUP(EEU671,'[3]Raw material  (3)'!EES653:EFK3729,3,0),"")</f>
        <v/>
      </c>
      <c r="EEU671" t="str">
        <f>IFERROR(VLOOKUP(EEV671,'[3]Raw material  (3)'!EET653:EFL3729,3,0),"")</f>
        <v/>
      </c>
      <c r="EEV671" t="str">
        <f>IFERROR(VLOOKUP(EEW671,'[3]Raw material  (3)'!EEU653:EFM3729,3,0),"")</f>
        <v/>
      </c>
      <c r="EEW671" t="str">
        <f>IFERROR(VLOOKUP(EEX671,'[3]Raw material  (3)'!EEV653:EFN3729,3,0),"")</f>
        <v/>
      </c>
      <c r="EEX671" t="str">
        <f>IFERROR(VLOOKUP(EEY671,'[3]Raw material  (3)'!EEW653:EFO3729,3,0),"")</f>
        <v/>
      </c>
      <c r="EEY671" t="str">
        <f>IFERROR(VLOOKUP(EEZ671,'[3]Raw material  (3)'!EEX653:EFP3729,3,0),"")</f>
        <v/>
      </c>
      <c r="EEZ671" t="str">
        <f>IFERROR(VLOOKUP(EFA671,'[3]Raw material  (3)'!EEY653:EFQ3729,3,0),"")</f>
        <v/>
      </c>
      <c r="EFA671" t="str">
        <f>IFERROR(VLOOKUP(EFB671,'[3]Raw material  (3)'!EEZ653:EFR3729,3,0),"")</f>
        <v/>
      </c>
      <c r="EFB671" t="str">
        <f>IFERROR(VLOOKUP(EFC671,'[3]Raw material  (3)'!EFA653:EFS3729,3,0),"")</f>
        <v/>
      </c>
      <c r="EFC671" t="str">
        <f>IFERROR(VLOOKUP(EFD671,'[3]Raw material  (3)'!EFB653:EFT3729,3,0),"")</f>
        <v/>
      </c>
      <c r="EFD671" t="str">
        <f>IFERROR(VLOOKUP(EFE671,'[3]Raw material  (3)'!EFC653:EFU3729,3,0),"")</f>
        <v/>
      </c>
      <c r="EFE671" t="str">
        <f>IFERROR(VLOOKUP(EFF671,'[3]Raw material  (3)'!EFD653:EFV3729,3,0),"")</f>
        <v/>
      </c>
      <c r="EFF671" t="str">
        <f>IFERROR(VLOOKUP(EFG671,'[3]Raw material  (3)'!EFE653:EFW3729,3,0),"")</f>
        <v/>
      </c>
      <c r="EFG671" t="str">
        <f>IFERROR(VLOOKUP(EFH671,'[3]Raw material  (3)'!EFF653:EFX3729,3,0),"")</f>
        <v/>
      </c>
      <c r="EFH671" t="str">
        <f>IFERROR(VLOOKUP(EFI671,'[3]Raw material  (3)'!EFG653:EFY3729,3,0),"")</f>
        <v/>
      </c>
      <c r="EFI671" t="str">
        <f>IFERROR(VLOOKUP(EFJ671,'[3]Raw material  (3)'!EFH653:EFZ3729,3,0),"")</f>
        <v/>
      </c>
      <c r="EFJ671" t="str">
        <f>IFERROR(VLOOKUP(EFK671,'[3]Raw material  (3)'!EFI653:EGA3729,3,0),"")</f>
        <v/>
      </c>
      <c r="EFK671" t="str">
        <f>IFERROR(VLOOKUP(EFL671,'[3]Raw material  (3)'!EFJ653:EGB3729,3,0),"")</f>
        <v/>
      </c>
      <c r="EFL671" t="str">
        <f>IFERROR(VLOOKUP(EFM671,'[3]Raw material  (3)'!EFK653:EGC3729,3,0),"")</f>
        <v/>
      </c>
      <c r="EFM671" t="str">
        <f>IFERROR(VLOOKUP(EFN671,'[3]Raw material  (3)'!EFL653:EGD3729,3,0),"")</f>
        <v/>
      </c>
      <c r="EFN671" t="str">
        <f>IFERROR(VLOOKUP(EFO671,'[3]Raw material  (3)'!EFM653:EGE3729,3,0),"")</f>
        <v/>
      </c>
      <c r="EFO671" t="str">
        <f>IFERROR(VLOOKUP(EFP671,'[3]Raw material  (3)'!EFN653:EGF3729,3,0),"")</f>
        <v/>
      </c>
      <c r="EFP671" t="str">
        <f>IFERROR(VLOOKUP(EFQ671,'[3]Raw material  (3)'!EFO653:EGG3729,3,0),"")</f>
        <v/>
      </c>
      <c r="EFQ671" t="str">
        <f>IFERROR(VLOOKUP(EFR671,'[3]Raw material  (3)'!EFP653:EGH3729,3,0),"")</f>
        <v/>
      </c>
      <c r="EFR671" t="str">
        <f>IFERROR(VLOOKUP(EFS671,'[3]Raw material  (3)'!EFQ653:EGI3729,3,0),"")</f>
        <v/>
      </c>
      <c r="EFS671" t="str">
        <f>IFERROR(VLOOKUP(EFT671,'[3]Raw material  (3)'!EFR653:EGJ3729,3,0),"")</f>
        <v/>
      </c>
      <c r="EFT671" t="str">
        <f>IFERROR(VLOOKUP(EFU671,'[3]Raw material  (3)'!EFS653:EGK3729,3,0),"")</f>
        <v/>
      </c>
      <c r="EFU671" t="str">
        <f>IFERROR(VLOOKUP(EFV671,'[3]Raw material  (3)'!EFT653:EGL3729,3,0),"")</f>
        <v/>
      </c>
      <c r="EFV671" t="str">
        <f>IFERROR(VLOOKUP(EFW671,'[3]Raw material  (3)'!EFU653:EGM3729,3,0),"")</f>
        <v/>
      </c>
      <c r="EFW671" t="str">
        <f>IFERROR(VLOOKUP(EFX671,'[3]Raw material  (3)'!EFV653:EGN3729,3,0),"")</f>
        <v/>
      </c>
      <c r="EFX671" t="str">
        <f>IFERROR(VLOOKUP(EFY671,'[3]Raw material  (3)'!EFW653:EGO3729,3,0),"")</f>
        <v/>
      </c>
      <c r="EFY671" t="str">
        <f>IFERROR(VLOOKUP(EFZ671,'[3]Raw material  (3)'!EFX653:EGP3729,3,0),"")</f>
        <v/>
      </c>
      <c r="EFZ671" t="str">
        <f>IFERROR(VLOOKUP(EGA671,'[3]Raw material  (3)'!EFY653:EGQ3729,3,0),"")</f>
        <v/>
      </c>
      <c r="EGA671" t="str">
        <f>IFERROR(VLOOKUP(EGB671,'[3]Raw material  (3)'!EFZ653:EGR3729,3,0),"")</f>
        <v/>
      </c>
      <c r="EGB671" t="str">
        <f>IFERROR(VLOOKUP(EGC671,'[3]Raw material  (3)'!EGA653:EGS3729,3,0),"")</f>
        <v/>
      </c>
      <c r="EGC671" t="str">
        <f>IFERROR(VLOOKUP(EGD671,'[3]Raw material  (3)'!EGB653:EGT3729,3,0),"")</f>
        <v/>
      </c>
      <c r="EGD671" t="str">
        <f>IFERROR(VLOOKUP(EGE671,'[3]Raw material  (3)'!EGC653:EGU3729,3,0),"")</f>
        <v/>
      </c>
      <c r="EGE671" t="str">
        <f>IFERROR(VLOOKUP(EGF671,'[3]Raw material  (3)'!EGD653:EGV3729,3,0),"")</f>
        <v/>
      </c>
      <c r="EGF671" t="str">
        <f>IFERROR(VLOOKUP(EGG671,'[3]Raw material  (3)'!EGE653:EGW3729,3,0),"")</f>
        <v/>
      </c>
      <c r="EGG671" t="str">
        <f>IFERROR(VLOOKUP(EGH671,'[3]Raw material  (3)'!EGF653:EGX3729,3,0),"")</f>
        <v/>
      </c>
      <c r="EGH671" t="str">
        <f>IFERROR(VLOOKUP(EGI671,'[3]Raw material  (3)'!EGG653:EGY3729,3,0),"")</f>
        <v/>
      </c>
      <c r="EGI671" t="str">
        <f>IFERROR(VLOOKUP(EGJ671,'[3]Raw material  (3)'!EGH653:EGZ3729,3,0),"")</f>
        <v/>
      </c>
      <c r="EGJ671" t="str">
        <f>IFERROR(VLOOKUP(EGK671,'[3]Raw material  (3)'!EGI653:EHA3729,3,0),"")</f>
        <v/>
      </c>
      <c r="EGK671" t="str">
        <f>IFERROR(VLOOKUP(EGL671,'[3]Raw material  (3)'!EGJ653:EHB3729,3,0),"")</f>
        <v/>
      </c>
      <c r="EGL671" t="str">
        <f>IFERROR(VLOOKUP(EGM671,'[3]Raw material  (3)'!EGK653:EHC3729,3,0),"")</f>
        <v/>
      </c>
      <c r="EGM671" t="str">
        <f>IFERROR(VLOOKUP(EGN671,'[3]Raw material  (3)'!EGL653:EHD3729,3,0),"")</f>
        <v/>
      </c>
      <c r="EGN671" t="str">
        <f>IFERROR(VLOOKUP(EGO671,'[3]Raw material  (3)'!EGM653:EHE3729,3,0),"")</f>
        <v/>
      </c>
      <c r="EGO671" t="str">
        <f>IFERROR(VLOOKUP(EGP671,'[3]Raw material  (3)'!EGN653:EHF3729,3,0),"")</f>
        <v/>
      </c>
      <c r="EGP671" t="str">
        <f>IFERROR(VLOOKUP(EGQ671,'[3]Raw material  (3)'!EGO653:EHG3729,3,0),"")</f>
        <v/>
      </c>
      <c r="EGQ671" t="str">
        <f>IFERROR(VLOOKUP(EGR671,'[3]Raw material  (3)'!EGP653:EHH3729,3,0),"")</f>
        <v/>
      </c>
      <c r="EGR671" t="str">
        <f>IFERROR(VLOOKUP(EGS671,'[3]Raw material  (3)'!EGQ653:EHI3729,3,0),"")</f>
        <v/>
      </c>
      <c r="EGS671" t="str">
        <f>IFERROR(VLOOKUP(EGT671,'[3]Raw material  (3)'!EGR653:EHJ3729,3,0),"")</f>
        <v/>
      </c>
      <c r="EGT671" t="str">
        <f>IFERROR(VLOOKUP(EGU671,'[3]Raw material  (3)'!EGS653:EHK3729,3,0),"")</f>
        <v/>
      </c>
      <c r="EGU671" t="str">
        <f>IFERROR(VLOOKUP(EGV671,'[3]Raw material  (3)'!EGT653:EHL3729,3,0),"")</f>
        <v/>
      </c>
      <c r="EGV671" t="str">
        <f>IFERROR(VLOOKUP(EGW671,'[3]Raw material  (3)'!EGU653:EHM3729,3,0),"")</f>
        <v/>
      </c>
      <c r="EGW671" t="str">
        <f>IFERROR(VLOOKUP(EGX671,'[3]Raw material  (3)'!EGV653:EHN3729,3,0),"")</f>
        <v/>
      </c>
      <c r="EGX671" t="str">
        <f>IFERROR(VLOOKUP(EGY671,'[3]Raw material  (3)'!EGW653:EHO3729,3,0),"")</f>
        <v/>
      </c>
      <c r="EGY671" t="str">
        <f>IFERROR(VLOOKUP(EGZ671,'[3]Raw material  (3)'!EGX653:EHP3729,3,0),"")</f>
        <v/>
      </c>
      <c r="EGZ671" t="str">
        <f>IFERROR(VLOOKUP(EHA671,'[3]Raw material  (3)'!EGY653:EHQ3729,3,0),"")</f>
        <v/>
      </c>
      <c r="EHA671" t="str">
        <f>IFERROR(VLOOKUP(EHB671,'[3]Raw material  (3)'!EGZ653:EHR3729,3,0),"")</f>
        <v/>
      </c>
      <c r="EHB671" t="str">
        <f>IFERROR(VLOOKUP(EHC671,'[3]Raw material  (3)'!EHA653:EHS3729,3,0),"")</f>
        <v/>
      </c>
      <c r="EHC671" t="str">
        <f>IFERROR(VLOOKUP(EHD671,'[3]Raw material  (3)'!EHB653:EHT3729,3,0),"")</f>
        <v/>
      </c>
      <c r="EHD671" t="str">
        <f>IFERROR(VLOOKUP(EHE671,'[3]Raw material  (3)'!EHC653:EHU3729,3,0),"")</f>
        <v/>
      </c>
      <c r="EHE671" t="str">
        <f>IFERROR(VLOOKUP(EHF671,'[3]Raw material  (3)'!EHD653:EHV3729,3,0),"")</f>
        <v/>
      </c>
      <c r="EHF671" t="str">
        <f>IFERROR(VLOOKUP(EHG671,'[3]Raw material  (3)'!EHE653:EHW3729,3,0),"")</f>
        <v/>
      </c>
      <c r="EHG671" t="str">
        <f>IFERROR(VLOOKUP(EHH671,'[3]Raw material  (3)'!EHF653:EHX3729,3,0),"")</f>
        <v/>
      </c>
      <c r="EHH671" t="str">
        <f>IFERROR(VLOOKUP(EHI671,'[3]Raw material  (3)'!EHG653:EHY3729,3,0),"")</f>
        <v/>
      </c>
      <c r="EHI671" t="str">
        <f>IFERROR(VLOOKUP(EHJ671,'[3]Raw material  (3)'!EHH653:EHZ3729,3,0),"")</f>
        <v/>
      </c>
      <c r="EHJ671" t="str">
        <f>IFERROR(VLOOKUP(EHK671,'[3]Raw material  (3)'!EHI653:EIA3729,3,0),"")</f>
        <v/>
      </c>
      <c r="EHK671" t="str">
        <f>IFERROR(VLOOKUP(EHL671,'[3]Raw material  (3)'!EHJ653:EIB3729,3,0),"")</f>
        <v/>
      </c>
      <c r="EHL671" t="str">
        <f>IFERROR(VLOOKUP(EHM671,'[3]Raw material  (3)'!EHK653:EIC3729,3,0),"")</f>
        <v/>
      </c>
      <c r="EHM671" t="str">
        <f>IFERROR(VLOOKUP(EHN671,'[3]Raw material  (3)'!EHL653:EID3729,3,0),"")</f>
        <v/>
      </c>
      <c r="EHN671" t="str">
        <f>IFERROR(VLOOKUP(EHO671,'[3]Raw material  (3)'!EHM653:EIE3729,3,0),"")</f>
        <v/>
      </c>
      <c r="EHO671" t="str">
        <f>IFERROR(VLOOKUP(EHP671,'[3]Raw material  (3)'!EHN653:EIF3729,3,0),"")</f>
        <v/>
      </c>
      <c r="EHP671" t="str">
        <f>IFERROR(VLOOKUP(EHQ671,'[3]Raw material  (3)'!EHO653:EIG3729,3,0),"")</f>
        <v/>
      </c>
      <c r="EHQ671" t="str">
        <f>IFERROR(VLOOKUP(EHR671,'[3]Raw material  (3)'!EHP653:EIH3729,3,0),"")</f>
        <v/>
      </c>
      <c r="EHR671" t="str">
        <f>IFERROR(VLOOKUP(EHS671,'[3]Raw material  (3)'!EHQ653:EII3729,3,0),"")</f>
        <v/>
      </c>
      <c r="EHS671" t="str">
        <f>IFERROR(VLOOKUP(EHT671,'[3]Raw material  (3)'!EHR653:EIJ3729,3,0),"")</f>
        <v/>
      </c>
      <c r="EHT671" t="str">
        <f>IFERROR(VLOOKUP(EHU671,'[3]Raw material  (3)'!EHS653:EIK3729,3,0),"")</f>
        <v/>
      </c>
      <c r="EHU671" t="str">
        <f>IFERROR(VLOOKUP(EHV671,'[3]Raw material  (3)'!EHT653:EIL3729,3,0),"")</f>
        <v/>
      </c>
      <c r="EHV671" t="str">
        <f>IFERROR(VLOOKUP(EHW671,'[3]Raw material  (3)'!EHU653:EIM3729,3,0),"")</f>
        <v/>
      </c>
      <c r="EHW671" t="str">
        <f>IFERROR(VLOOKUP(EHX671,'[3]Raw material  (3)'!EHV653:EIN3729,3,0),"")</f>
        <v/>
      </c>
      <c r="EHX671" t="str">
        <f>IFERROR(VLOOKUP(EHY671,'[3]Raw material  (3)'!EHW653:EIO3729,3,0),"")</f>
        <v/>
      </c>
      <c r="EHY671" t="str">
        <f>IFERROR(VLOOKUP(EHZ671,'[3]Raw material  (3)'!EHX653:EIP3729,3,0),"")</f>
        <v/>
      </c>
      <c r="EHZ671" t="str">
        <f>IFERROR(VLOOKUP(EIA671,'[3]Raw material  (3)'!EHY653:EIQ3729,3,0),"")</f>
        <v/>
      </c>
      <c r="EIA671" t="str">
        <f>IFERROR(VLOOKUP(EIB671,'[3]Raw material  (3)'!EHZ653:EIR3729,3,0),"")</f>
        <v/>
      </c>
      <c r="EIB671" t="str">
        <f>IFERROR(VLOOKUP(EIC671,'[3]Raw material  (3)'!EIA653:EIS3729,3,0),"")</f>
        <v/>
      </c>
      <c r="EIC671" t="str">
        <f>IFERROR(VLOOKUP(EID671,'[3]Raw material  (3)'!EIB653:EIT3729,3,0),"")</f>
        <v/>
      </c>
      <c r="EID671" t="str">
        <f>IFERROR(VLOOKUP(EIE671,'[3]Raw material  (3)'!EIC653:EIU3729,3,0),"")</f>
        <v/>
      </c>
      <c r="EIE671" t="str">
        <f>IFERROR(VLOOKUP(EIF671,'[3]Raw material  (3)'!EID653:EIV3729,3,0),"")</f>
        <v/>
      </c>
      <c r="EIF671" t="str">
        <f>IFERROR(VLOOKUP(EIG671,'[3]Raw material  (3)'!EIE653:EIW3729,3,0),"")</f>
        <v/>
      </c>
      <c r="EIG671" t="str">
        <f>IFERROR(VLOOKUP(EIH671,'[3]Raw material  (3)'!EIF653:EIX3729,3,0),"")</f>
        <v/>
      </c>
      <c r="EIH671" t="str">
        <f>IFERROR(VLOOKUP(EII671,'[3]Raw material  (3)'!EIG653:EIY3729,3,0),"")</f>
        <v/>
      </c>
      <c r="EII671" t="str">
        <f>IFERROR(VLOOKUP(EIJ671,'[3]Raw material  (3)'!EIH653:EIZ3729,3,0),"")</f>
        <v/>
      </c>
      <c r="EIJ671" t="str">
        <f>IFERROR(VLOOKUP(EIK671,'[3]Raw material  (3)'!EII653:EJA3729,3,0),"")</f>
        <v/>
      </c>
      <c r="EIK671" t="str">
        <f>IFERROR(VLOOKUP(EIL671,'[3]Raw material  (3)'!EIJ653:EJB3729,3,0),"")</f>
        <v/>
      </c>
      <c r="EIL671" t="str">
        <f>IFERROR(VLOOKUP(EIM671,'[3]Raw material  (3)'!EIK653:EJC3729,3,0),"")</f>
        <v/>
      </c>
      <c r="EIM671" t="str">
        <f>IFERROR(VLOOKUP(EIN671,'[3]Raw material  (3)'!EIL653:EJD3729,3,0),"")</f>
        <v/>
      </c>
      <c r="EIN671" t="str">
        <f>IFERROR(VLOOKUP(EIO671,'[3]Raw material  (3)'!EIM653:EJE3729,3,0),"")</f>
        <v/>
      </c>
      <c r="EIO671" t="str">
        <f>IFERROR(VLOOKUP(EIP671,'[3]Raw material  (3)'!EIN653:EJF3729,3,0),"")</f>
        <v/>
      </c>
      <c r="EIP671" t="str">
        <f>IFERROR(VLOOKUP(EIQ671,'[3]Raw material  (3)'!EIO653:EJG3729,3,0),"")</f>
        <v/>
      </c>
      <c r="EIQ671" t="str">
        <f>IFERROR(VLOOKUP(EIR671,'[3]Raw material  (3)'!EIP653:EJH3729,3,0),"")</f>
        <v/>
      </c>
      <c r="EIR671" t="str">
        <f>IFERROR(VLOOKUP(EIS671,'[3]Raw material  (3)'!EIQ653:EJI3729,3,0),"")</f>
        <v/>
      </c>
      <c r="EIS671" t="str">
        <f>IFERROR(VLOOKUP(EIT671,'[3]Raw material  (3)'!EIR653:EJJ3729,3,0),"")</f>
        <v/>
      </c>
      <c r="EIT671" t="str">
        <f>IFERROR(VLOOKUP(EIU671,'[3]Raw material  (3)'!EIS653:EJK3729,3,0),"")</f>
        <v/>
      </c>
      <c r="EIU671" t="str">
        <f>IFERROR(VLOOKUP(EIV671,'[3]Raw material  (3)'!EIT653:EJL3729,3,0),"")</f>
        <v/>
      </c>
      <c r="EIV671" t="str">
        <f>IFERROR(VLOOKUP(EIW671,'[3]Raw material  (3)'!EIU653:EJM3729,3,0),"")</f>
        <v/>
      </c>
      <c r="EIW671" t="str">
        <f>IFERROR(VLOOKUP(EIX671,'[3]Raw material  (3)'!EIV653:EJN3729,3,0),"")</f>
        <v/>
      </c>
      <c r="EIX671" t="str">
        <f>IFERROR(VLOOKUP(EIY671,'[3]Raw material  (3)'!EIW653:EJO3729,3,0),"")</f>
        <v/>
      </c>
      <c r="EIY671" t="str">
        <f>IFERROR(VLOOKUP(EIZ671,'[3]Raw material  (3)'!EIX653:EJP3729,3,0),"")</f>
        <v/>
      </c>
      <c r="EIZ671" t="str">
        <f>IFERROR(VLOOKUP(EJA671,'[3]Raw material  (3)'!EIY653:EJQ3729,3,0),"")</f>
        <v/>
      </c>
      <c r="EJA671" t="str">
        <f>IFERROR(VLOOKUP(EJB671,'[3]Raw material  (3)'!EIZ653:EJR3729,3,0),"")</f>
        <v/>
      </c>
      <c r="EJB671" t="str">
        <f>IFERROR(VLOOKUP(EJC671,'[3]Raw material  (3)'!EJA653:EJS3729,3,0),"")</f>
        <v/>
      </c>
      <c r="EJC671" t="str">
        <f>IFERROR(VLOOKUP(EJD671,'[3]Raw material  (3)'!EJB653:EJT3729,3,0),"")</f>
        <v/>
      </c>
      <c r="EJD671" t="str">
        <f>IFERROR(VLOOKUP(EJE671,'[3]Raw material  (3)'!EJC653:EJU3729,3,0),"")</f>
        <v/>
      </c>
      <c r="EJE671" t="str">
        <f>IFERROR(VLOOKUP(EJF671,'[3]Raw material  (3)'!EJD653:EJV3729,3,0),"")</f>
        <v/>
      </c>
      <c r="EJF671" t="str">
        <f>IFERROR(VLOOKUP(EJG671,'[3]Raw material  (3)'!EJE653:EJW3729,3,0),"")</f>
        <v/>
      </c>
      <c r="EJG671" t="str">
        <f>IFERROR(VLOOKUP(EJH671,'[3]Raw material  (3)'!EJF653:EJX3729,3,0),"")</f>
        <v/>
      </c>
      <c r="EJH671" t="str">
        <f>IFERROR(VLOOKUP(EJI671,'[3]Raw material  (3)'!EJG653:EJY3729,3,0),"")</f>
        <v/>
      </c>
      <c r="EJI671" t="str">
        <f>IFERROR(VLOOKUP(EJJ671,'[3]Raw material  (3)'!EJH653:EJZ3729,3,0),"")</f>
        <v/>
      </c>
      <c r="EJJ671" t="str">
        <f>IFERROR(VLOOKUP(EJK671,'[3]Raw material  (3)'!EJI653:EKA3729,3,0),"")</f>
        <v/>
      </c>
      <c r="EJK671" t="str">
        <f>IFERROR(VLOOKUP(EJL671,'[3]Raw material  (3)'!EJJ653:EKB3729,3,0),"")</f>
        <v/>
      </c>
      <c r="EJL671" t="str">
        <f>IFERROR(VLOOKUP(EJM671,'[3]Raw material  (3)'!EJK653:EKC3729,3,0),"")</f>
        <v/>
      </c>
      <c r="EJM671" t="str">
        <f>IFERROR(VLOOKUP(EJN671,'[3]Raw material  (3)'!EJL653:EKD3729,3,0),"")</f>
        <v/>
      </c>
      <c r="EJN671" t="str">
        <f>IFERROR(VLOOKUP(EJO671,'[3]Raw material  (3)'!EJM653:EKE3729,3,0),"")</f>
        <v/>
      </c>
      <c r="EJO671" t="str">
        <f>IFERROR(VLOOKUP(EJP671,'[3]Raw material  (3)'!EJN653:EKF3729,3,0),"")</f>
        <v/>
      </c>
      <c r="EJP671" t="str">
        <f>IFERROR(VLOOKUP(EJQ671,'[3]Raw material  (3)'!EJO653:EKG3729,3,0),"")</f>
        <v/>
      </c>
      <c r="EJQ671" t="str">
        <f>IFERROR(VLOOKUP(EJR671,'[3]Raw material  (3)'!EJP653:EKH3729,3,0),"")</f>
        <v/>
      </c>
      <c r="EJR671" t="str">
        <f>IFERROR(VLOOKUP(EJS671,'[3]Raw material  (3)'!EJQ653:EKI3729,3,0),"")</f>
        <v/>
      </c>
      <c r="EJS671" t="str">
        <f>IFERROR(VLOOKUP(EJT671,'[3]Raw material  (3)'!EJR653:EKJ3729,3,0),"")</f>
        <v/>
      </c>
      <c r="EJT671" t="str">
        <f>IFERROR(VLOOKUP(EJU671,'[3]Raw material  (3)'!EJS653:EKK3729,3,0),"")</f>
        <v/>
      </c>
      <c r="EJU671" t="str">
        <f>IFERROR(VLOOKUP(EJV671,'[3]Raw material  (3)'!EJT653:EKL3729,3,0),"")</f>
        <v/>
      </c>
      <c r="EJV671" t="str">
        <f>IFERROR(VLOOKUP(EJW671,'[3]Raw material  (3)'!EJU653:EKM3729,3,0),"")</f>
        <v/>
      </c>
      <c r="EJW671" t="str">
        <f>IFERROR(VLOOKUP(EJX671,'[3]Raw material  (3)'!EJV653:EKN3729,3,0),"")</f>
        <v/>
      </c>
      <c r="EJX671" t="str">
        <f>IFERROR(VLOOKUP(EJY671,'[3]Raw material  (3)'!EJW653:EKO3729,3,0),"")</f>
        <v/>
      </c>
      <c r="EJY671" t="str">
        <f>IFERROR(VLOOKUP(EJZ671,'[3]Raw material  (3)'!EJX653:EKP3729,3,0),"")</f>
        <v/>
      </c>
      <c r="EJZ671" t="str">
        <f>IFERROR(VLOOKUP(EKA671,'[3]Raw material  (3)'!EJY653:EKQ3729,3,0),"")</f>
        <v/>
      </c>
      <c r="EKA671" t="str">
        <f>IFERROR(VLOOKUP(EKB671,'[3]Raw material  (3)'!EJZ653:EKR3729,3,0),"")</f>
        <v/>
      </c>
      <c r="EKB671" t="str">
        <f>IFERROR(VLOOKUP(EKC671,'[3]Raw material  (3)'!EKA653:EKS3729,3,0),"")</f>
        <v/>
      </c>
      <c r="EKC671" t="str">
        <f>IFERROR(VLOOKUP(EKD671,'[3]Raw material  (3)'!EKB653:EKT3729,3,0),"")</f>
        <v/>
      </c>
      <c r="EKD671" t="str">
        <f>IFERROR(VLOOKUP(EKE671,'[3]Raw material  (3)'!EKC653:EKU3729,3,0),"")</f>
        <v/>
      </c>
      <c r="EKE671" t="str">
        <f>IFERROR(VLOOKUP(EKF671,'[3]Raw material  (3)'!EKD653:EKV3729,3,0),"")</f>
        <v/>
      </c>
      <c r="EKF671" t="str">
        <f>IFERROR(VLOOKUP(EKG671,'[3]Raw material  (3)'!EKE653:EKW3729,3,0),"")</f>
        <v/>
      </c>
      <c r="EKG671" t="str">
        <f>IFERROR(VLOOKUP(EKH671,'[3]Raw material  (3)'!EKF653:EKX3729,3,0),"")</f>
        <v/>
      </c>
      <c r="EKH671" t="str">
        <f>IFERROR(VLOOKUP(EKI671,'[3]Raw material  (3)'!EKG653:EKY3729,3,0),"")</f>
        <v/>
      </c>
      <c r="EKI671" t="str">
        <f>IFERROR(VLOOKUP(EKJ671,'[3]Raw material  (3)'!EKH653:EKZ3729,3,0),"")</f>
        <v/>
      </c>
      <c r="EKJ671" t="str">
        <f>IFERROR(VLOOKUP(EKK671,'[3]Raw material  (3)'!EKI653:ELA3729,3,0),"")</f>
        <v/>
      </c>
      <c r="EKK671" t="str">
        <f>IFERROR(VLOOKUP(EKL671,'[3]Raw material  (3)'!EKJ653:ELB3729,3,0),"")</f>
        <v/>
      </c>
      <c r="EKL671" t="str">
        <f>IFERROR(VLOOKUP(EKM671,'[3]Raw material  (3)'!EKK653:ELC3729,3,0),"")</f>
        <v/>
      </c>
      <c r="EKM671" t="str">
        <f>IFERROR(VLOOKUP(EKN671,'[3]Raw material  (3)'!EKL653:ELD3729,3,0),"")</f>
        <v/>
      </c>
      <c r="EKN671" t="str">
        <f>IFERROR(VLOOKUP(EKO671,'[3]Raw material  (3)'!EKM653:ELE3729,3,0),"")</f>
        <v/>
      </c>
      <c r="EKO671" t="str">
        <f>IFERROR(VLOOKUP(EKP671,'[3]Raw material  (3)'!EKN653:ELF3729,3,0),"")</f>
        <v/>
      </c>
      <c r="EKP671" t="str">
        <f>IFERROR(VLOOKUP(EKQ671,'[3]Raw material  (3)'!EKO653:ELG3729,3,0),"")</f>
        <v/>
      </c>
      <c r="EKQ671" t="str">
        <f>IFERROR(VLOOKUP(EKR671,'[3]Raw material  (3)'!EKP653:ELH3729,3,0),"")</f>
        <v/>
      </c>
      <c r="EKR671" t="str">
        <f>IFERROR(VLOOKUP(EKS671,'[3]Raw material  (3)'!EKQ653:ELI3729,3,0),"")</f>
        <v/>
      </c>
      <c r="EKS671" t="str">
        <f>IFERROR(VLOOKUP(EKT671,'[3]Raw material  (3)'!EKR653:ELJ3729,3,0),"")</f>
        <v/>
      </c>
      <c r="EKT671" t="str">
        <f>IFERROR(VLOOKUP(EKU671,'[3]Raw material  (3)'!EKS653:ELK3729,3,0),"")</f>
        <v/>
      </c>
      <c r="EKU671" t="str">
        <f>IFERROR(VLOOKUP(EKV671,'[3]Raw material  (3)'!EKT653:ELL3729,3,0),"")</f>
        <v/>
      </c>
      <c r="EKV671" t="str">
        <f>IFERROR(VLOOKUP(EKW671,'[3]Raw material  (3)'!EKU653:ELM3729,3,0),"")</f>
        <v/>
      </c>
      <c r="EKW671" t="str">
        <f>IFERROR(VLOOKUP(EKX671,'[3]Raw material  (3)'!EKV653:ELN3729,3,0),"")</f>
        <v/>
      </c>
      <c r="EKX671" t="str">
        <f>IFERROR(VLOOKUP(EKY671,'[3]Raw material  (3)'!EKW653:ELO3729,3,0),"")</f>
        <v/>
      </c>
      <c r="EKY671" t="str">
        <f>IFERROR(VLOOKUP(EKZ671,'[3]Raw material  (3)'!EKX653:ELP3729,3,0),"")</f>
        <v/>
      </c>
      <c r="EKZ671" t="str">
        <f>IFERROR(VLOOKUP(ELA671,'[3]Raw material  (3)'!EKY653:ELQ3729,3,0),"")</f>
        <v/>
      </c>
      <c r="ELA671" t="str">
        <f>IFERROR(VLOOKUP(ELB671,'[3]Raw material  (3)'!EKZ653:ELR3729,3,0),"")</f>
        <v/>
      </c>
      <c r="ELB671" t="str">
        <f>IFERROR(VLOOKUP(ELC671,'[3]Raw material  (3)'!ELA653:ELS3729,3,0),"")</f>
        <v/>
      </c>
      <c r="ELC671" t="str">
        <f>IFERROR(VLOOKUP(ELD671,'[3]Raw material  (3)'!ELB653:ELT3729,3,0),"")</f>
        <v/>
      </c>
      <c r="ELD671" t="str">
        <f>IFERROR(VLOOKUP(ELE671,'[3]Raw material  (3)'!ELC653:ELU3729,3,0),"")</f>
        <v/>
      </c>
      <c r="ELE671" t="str">
        <f>IFERROR(VLOOKUP(ELF671,'[3]Raw material  (3)'!ELD653:ELV3729,3,0),"")</f>
        <v/>
      </c>
      <c r="ELF671" t="str">
        <f>IFERROR(VLOOKUP(ELG671,'[3]Raw material  (3)'!ELE653:ELW3729,3,0),"")</f>
        <v/>
      </c>
      <c r="ELG671" t="str">
        <f>IFERROR(VLOOKUP(ELH671,'[3]Raw material  (3)'!ELF653:ELX3729,3,0),"")</f>
        <v/>
      </c>
      <c r="ELH671" t="str">
        <f>IFERROR(VLOOKUP(ELI671,'[3]Raw material  (3)'!ELG653:ELY3729,3,0),"")</f>
        <v/>
      </c>
      <c r="ELI671" t="str">
        <f>IFERROR(VLOOKUP(ELJ671,'[3]Raw material  (3)'!ELH653:ELZ3729,3,0),"")</f>
        <v/>
      </c>
      <c r="ELJ671" t="str">
        <f>IFERROR(VLOOKUP(ELK671,'[3]Raw material  (3)'!ELI653:EMA3729,3,0),"")</f>
        <v/>
      </c>
      <c r="ELK671" t="str">
        <f>IFERROR(VLOOKUP(ELL671,'[3]Raw material  (3)'!ELJ653:EMB3729,3,0),"")</f>
        <v/>
      </c>
      <c r="ELL671" t="str">
        <f>IFERROR(VLOOKUP(ELM671,'[3]Raw material  (3)'!ELK653:EMC3729,3,0),"")</f>
        <v/>
      </c>
      <c r="ELM671" t="str">
        <f>IFERROR(VLOOKUP(ELN671,'[3]Raw material  (3)'!ELL653:EMD3729,3,0),"")</f>
        <v/>
      </c>
      <c r="ELN671" t="str">
        <f>IFERROR(VLOOKUP(ELO671,'[3]Raw material  (3)'!ELM653:EME3729,3,0),"")</f>
        <v/>
      </c>
      <c r="ELO671" t="str">
        <f>IFERROR(VLOOKUP(ELP671,'[3]Raw material  (3)'!ELN653:EMF3729,3,0),"")</f>
        <v/>
      </c>
      <c r="ELP671" t="str">
        <f>IFERROR(VLOOKUP(ELQ671,'[3]Raw material  (3)'!ELO653:EMG3729,3,0),"")</f>
        <v/>
      </c>
      <c r="ELQ671" t="str">
        <f>IFERROR(VLOOKUP(ELR671,'[3]Raw material  (3)'!ELP653:EMH3729,3,0),"")</f>
        <v/>
      </c>
      <c r="ELR671" t="str">
        <f>IFERROR(VLOOKUP(ELS671,'[3]Raw material  (3)'!ELQ653:EMI3729,3,0),"")</f>
        <v/>
      </c>
      <c r="ELS671" t="str">
        <f>IFERROR(VLOOKUP(ELT671,'[3]Raw material  (3)'!ELR653:EMJ3729,3,0),"")</f>
        <v/>
      </c>
      <c r="ELT671" t="str">
        <f>IFERROR(VLOOKUP(ELU671,'[3]Raw material  (3)'!ELS653:EMK3729,3,0),"")</f>
        <v/>
      </c>
      <c r="ELU671" t="str">
        <f>IFERROR(VLOOKUP(ELV671,'[3]Raw material  (3)'!ELT653:EML3729,3,0),"")</f>
        <v/>
      </c>
      <c r="ELV671" t="str">
        <f>IFERROR(VLOOKUP(ELW671,'[3]Raw material  (3)'!ELU653:EMM3729,3,0),"")</f>
        <v/>
      </c>
      <c r="ELW671" t="str">
        <f>IFERROR(VLOOKUP(ELX671,'[3]Raw material  (3)'!ELV653:EMN3729,3,0),"")</f>
        <v/>
      </c>
      <c r="ELX671" t="str">
        <f>IFERROR(VLOOKUP(ELY671,'[3]Raw material  (3)'!ELW653:EMO3729,3,0),"")</f>
        <v/>
      </c>
      <c r="ELY671" t="str">
        <f>IFERROR(VLOOKUP(ELZ671,'[3]Raw material  (3)'!ELX653:EMP3729,3,0),"")</f>
        <v/>
      </c>
      <c r="ELZ671" t="str">
        <f>IFERROR(VLOOKUP(EMA671,'[3]Raw material  (3)'!ELY653:EMQ3729,3,0),"")</f>
        <v/>
      </c>
      <c r="EMA671" t="str">
        <f>IFERROR(VLOOKUP(EMB671,'[3]Raw material  (3)'!ELZ653:EMR3729,3,0),"")</f>
        <v/>
      </c>
      <c r="EMB671" t="str">
        <f>IFERROR(VLOOKUP(EMC671,'[3]Raw material  (3)'!EMA653:EMS3729,3,0),"")</f>
        <v/>
      </c>
      <c r="EMC671" t="str">
        <f>IFERROR(VLOOKUP(EMD671,'[3]Raw material  (3)'!EMB653:EMT3729,3,0),"")</f>
        <v/>
      </c>
      <c r="EMD671" t="str">
        <f>IFERROR(VLOOKUP(EME671,'[3]Raw material  (3)'!EMC653:EMU3729,3,0),"")</f>
        <v/>
      </c>
      <c r="EME671" t="str">
        <f>IFERROR(VLOOKUP(EMF671,'[3]Raw material  (3)'!EMD653:EMV3729,3,0),"")</f>
        <v/>
      </c>
      <c r="EMF671" t="str">
        <f>IFERROR(VLOOKUP(EMG671,'[3]Raw material  (3)'!EME653:EMW3729,3,0),"")</f>
        <v/>
      </c>
      <c r="EMG671" t="str">
        <f>IFERROR(VLOOKUP(EMH671,'[3]Raw material  (3)'!EMF653:EMX3729,3,0),"")</f>
        <v/>
      </c>
      <c r="EMH671" t="str">
        <f>IFERROR(VLOOKUP(EMI671,'[3]Raw material  (3)'!EMG653:EMY3729,3,0),"")</f>
        <v/>
      </c>
      <c r="EMI671" t="str">
        <f>IFERROR(VLOOKUP(EMJ671,'[3]Raw material  (3)'!EMH653:EMZ3729,3,0),"")</f>
        <v/>
      </c>
      <c r="EMJ671" t="str">
        <f>IFERROR(VLOOKUP(EMK671,'[3]Raw material  (3)'!EMI653:ENA3729,3,0),"")</f>
        <v/>
      </c>
      <c r="EMK671" t="str">
        <f>IFERROR(VLOOKUP(EML671,'[3]Raw material  (3)'!EMJ653:ENB3729,3,0),"")</f>
        <v/>
      </c>
      <c r="EML671" t="str">
        <f>IFERROR(VLOOKUP(EMM671,'[3]Raw material  (3)'!EMK653:ENC3729,3,0),"")</f>
        <v/>
      </c>
      <c r="EMM671" t="str">
        <f>IFERROR(VLOOKUP(EMN671,'[3]Raw material  (3)'!EML653:END3729,3,0),"")</f>
        <v/>
      </c>
      <c r="EMN671" t="str">
        <f>IFERROR(VLOOKUP(EMO671,'[3]Raw material  (3)'!EMM653:ENE3729,3,0),"")</f>
        <v/>
      </c>
      <c r="EMO671" t="str">
        <f>IFERROR(VLOOKUP(EMP671,'[3]Raw material  (3)'!EMN653:ENF3729,3,0),"")</f>
        <v/>
      </c>
      <c r="EMP671" t="str">
        <f>IFERROR(VLOOKUP(EMQ671,'[3]Raw material  (3)'!EMO653:ENG3729,3,0),"")</f>
        <v/>
      </c>
      <c r="EMQ671" t="str">
        <f>IFERROR(VLOOKUP(EMR671,'[3]Raw material  (3)'!EMP653:ENH3729,3,0),"")</f>
        <v/>
      </c>
      <c r="EMR671" t="str">
        <f>IFERROR(VLOOKUP(EMS671,'[3]Raw material  (3)'!EMQ653:ENI3729,3,0),"")</f>
        <v/>
      </c>
      <c r="EMS671" t="str">
        <f>IFERROR(VLOOKUP(EMT671,'[3]Raw material  (3)'!EMR653:ENJ3729,3,0),"")</f>
        <v/>
      </c>
      <c r="EMT671" t="str">
        <f>IFERROR(VLOOKUP(EMU671,'[3]Raw material  (3)'!EMS653:ENK3729,3,0),"")</f>
        <v/>
      </c>
      <c r="EMU671" t="str">
        <f>IFERROR(VLOOKUP(EMV671,'[3]Raw material  (3)'!EMT653:ENL3729,3,0),"")</f>
        <v/>
      </c>
      <c r="EMV671" t="str">
        <f>IFERROR(VLOOKUP(EMW671,'[3]Raw material  (3)'!EMU653:ENM3729,3,0),"")</f>
        <v/>
      </c>
      <c r="EMW671" t="str">
        <f>IFERROR(VLOOKUP(EMX671,'[3]Raw material  (3)'!EMV653:ENN3729,3,0),"")</f>
        <v/>
      </c>
      <c r="EMX671" t="str">
        <f>IFERROR(VLOOKUP(EMY671,'[3]Raw material  (3)'!EMW653:ENO3729,3,0),"")</f>
        <v/>
      </c>
      <c r="EMY671" t="str">
        <f>IFERROR(VLOOKUP(EMZ671,'[3]Raw material  (3)'!EMX653:ENP3729,3,0),"")</f>
        <v/>
      </c>
      <c r="EMZ671" t="str">
        <f>IFERROR(VLOOKUP(ENA671,'[3]Raw material  (3)'!EMY653:ENQ3729,3,0),"")</f>
        <v/>
      </c>
      <c r="ENA671" t="str">
        <f>IFERROR(VLOOKUP(ENB671,'[3]Raw material  (3)'!EMZ653:ENR3729,3,0),"")</f>
        <v/>
      </c>
      <c r="ENB671" t="str">
        <f>IFERROR(VLOOKUP(ENC671,'[3]Raw material  (3)'!ENA653:ENS3729,3,0),"")</f>
        <v/>
      </c>
      <c r="ENC671" t="str">
        <f>IFERROR(VLOOKUP(END671,'[3]Raw material  (3)'!ENB653:ENT3729,3,0),"")</f>
        <v/>
      </c>
      <c r="END671" t="str">
        <f>IFERROR(VLOOKUP(ENE671,'[3]Raw material  (3)'!ENC653:ENU3729,3,0),"")</f>
        <v/>
      </c>
      <c r="ENE671" t="str">
        <f>IFERROR(VLOOKUP(ENF671,'[3]Raw material  (3)'!END653:ENV3729,3,0),"")</f>
        <v/>
      </c>
      <c r="ENF671" t="str">
        <f>IFERROR(VLOOKUP(ENG671,'[3]Raw material  (3)'!ENE653:ENW3729,3,0),"")</f>
        <v/>
      </c>
      <c r="ENG671" t="str">
        <f>IFERROR(VLOOKUP(ENH671,'[3]Raw material  (3)'!ENF653:ENX3729,3,0),"")</f>
        <v/>
      </c>
      <c r="ENH671" t="str">
        <f>IFERROR(VLOOKUP(ENI671,'[3]Raw material  (3)'!ENG653:ENY3729,3,0),"")</f>
        <v/>
      </c>
      <c r="ENI671" t="str">
        <f>IFERROR(VLOOKUP(ENJ671,'[3]Raw material  (3)'!ENH653:ENZ3729,3,0),"")</f>
        <v/>
      </c>
      <c r="ENJ671" t="str">
        <f>IFERROR(VLOOKUP(ENK671,'[3]Raw material  (3)'!ENI653:EOA3729,3,0),"")</f>
        <v/>
      </c>
      <c r="ENK671" t="str">
        <f>IFERROR(VLOOKUP(ENL671,'[3]Raw material  (3)'!ENJ653:EOB3729,3,0),"")</f>
        <v/>
      </c>
      <c r="ENL671" t="str">
        <f>IFERROR(VLOOKUP(ENM671,'[3]Raw material  (3)'!ENK653:EOC3729,3,0),"")</f>
        <v/>
      </c>
      <c r="ENM671" t="str">
        <f>IFERROR(VLOOKUP(ENN671,'[3]Raw material  (3)'!ENL653:EOD3729,3,0),"")</f>
        <v/>
      </c>
      <c r="ENN671" t="str">
        <f>IFERROR(VLOOKUP(ENO671,'[3]Raw material  (3)'!ENM653:EOE3729,3,0),"")</f>
        <v/>
      </c>
      <c r="ENO671" t="str">
        <f>IFERROR(VLOOKUP(ENP671,'[3]Raw material  (3)'!ENN653:EOF3729,3,0),"")</f>
        <v/>
      </c>
      <c r="ENP671" t="str">
        <f>IFERROR(VLOOKUP(ENQ671,'[3]Raw material  (3)'!ENO653:EOG3729,3,0),"")</f>
        <v/>
      </c>
      <c r="ENQ671" t="str">
        <f>IFERROR(VLOOKUP(ENR671,'[3]Raw material  (3)'!ENP653:EOH3729,3,0),"")</f>
        <v/>
      </c>
      <c r="ENR671" t="str">
        <f>IFERROR(VLOOKUP(ENS671,'[3]Raw material  (3)'!ENQ653:EOI3729,3,0),"")</f>
        <v/>
      </c>
      <c r="ENS671" t="str">
        <f>IFERROR(VLOOKUP(ENT671,'[3]Raw material  (3)'!ENR653:EOJ3729,3,0),"")</f>
        <v/>
      </c>
      <c r="ENT671" t="str">
        <f>IFERROR(VLOOKUP(ENU671,'[3]Raw material  (3)'!ENS653:EOK3729,3,0),"")</f>
        <v/>
      </c>
      <c r="ENU671" t="str">
        <f>IFERROR(VLOOKUP(ENV671,'[3]Raw material  (3)'!ENT653:EOL3729,3,0),"")</f>
        <v/>
      </c>
      <c r="ENV671" t="str">
        <f>IFERROR(VLOOKUP(ENW671,'[3]Raw material  (3)'!ENU653:EOM3729,3,0),"")</f>
        <v/>
      </c>
      <c r="ENW671" t="str">
        <f>IFERROR(VLOOKUP(ENX671,'[3]Raw material  (3)'!ENV653:EON3729,3,0),"")</f>
        <v/>
      </c>
      <c r="ENX671" t="str">
        <f>IFERROR(VLOOKUP(ENY671,'[3]Raw material  (3)'!ENW653:EOO3729,3,0),"")</f>
        <v/>
      </c>
      <c r="ENY671" t="str">
        <f>IFERROR(VLOOKUP(ENZ671,'[3]Raw material  (3)'!ENX653:EOP3729,3,0),"")</f>
        <v/>
      </c>
      <c r="ENZ671" t="str">
        <f>IFERROR(VLOOKUP(EOA671,'[3]Raw material  (3)'!ENY653:EOQ3729,3,0),"")</f>
        <v/>
      </c>
      <c r="EOA671" t="str">
        <f>IFERROR(VLOOKUP(EOB671,'[3]Raw material  (3)'!ENZ653:EOR3729,3,0),"")</f>
        <v/>
      </c>
      <c r="EOB671" t="str">
        <f>IFERROR(VLOOKUP(EOC671,'[3]Raw material  (3)'!EOA653:EOS3729,3,0),"")</f>
        <v/>
      </c>
      <c r="EOC671" t="str">
        <f>IFERROR(VLOOKUP(EOD671,'[3]Raw material  (3)'!EOB653:EOT3729,3,0),"")</f>
        <v/>
      </c>
      <c r="EOD671" t="str">
        <f>IFERROR(VLOOKUP(EOE671,'[3]Raw material  (3)'!EOC653:EOU3729,3,0),"")</f>
        <v/>
      </c>
      <c r="EOE671" t="str">
        <f>IFERROR(VLOOKUP(EOF671,'[3]Raw material  (3)'!EOD653:EOV3729,3,0),"")</f>
        <v/>
      </c>
      <c r="EOF671" t="str">
        <f>IFERROR(VLOOKUP(EOG671,'[3]Raw material  (3)'!EOE653:EOW3729,3,0),"")</f>
        <v/>
      </c>
      <c r="EOG671" t="str">
        <f>IFERROR(VLOOKUP(EOH671,'[3]Raw material  (3)'!EOF653:EOX3729,3,0),"")</f>
        <v/>
      </c>
      <c r="EOH671" t="str">
        <f>IFERROR(VLOOKUP(EOI671,'[3]Raw material  (3)'!EOG653:EOY3729,3,0),"")</f>
        <v/>
      </c>
      <c r="EOI671" t="str">
        <f>IFERROR(VLOOKUP(EOJ671,'[3]Raw material  (3)'!EOH653:EOZ3729,3,0),"")</f>
        <v/>
      </c>
      <c r="EOJ671" t="str">
        <f>IFERROR(VLOOKUP(EOK671,'[3]Raw material  (3)'!EOI653:EPA3729,3,0),"")</f>
        <v/>
      </c>
      <c r="EOK671" t="str">
        <f>IFERROR(VLOOKUP(EOL671,'[3]Raw material  (3)'!EOJ653:EPB3729,3,0),"")</f>
        <v/>
      </c>
      <c r="EOL671" t="str">
        <f>IFERROR(VLOOKUP(EOM671,'[3]Raw material  (3)'!EOK653:EPC3729,3,0),"")</f>
        <v/>
      </c>
      <c r="EOM671" t="str">
        <f>IFERROR(VLOOKUP(EON671,'[3]Raw material  (3)'!EOL653:EPD3729,3,0),"")</f>
        <v/>
      </c>
      <c r="EON671" t="str">
        <f>IFERROR(VLOOKUP(EOO671,'[3]Raw material  (3)'!EOM653:EPE3729,3,0),"")</f>
        <v/>
      </c>
      <c r="EOO671" t="str">
        <f>IFERROR(VLOOKUP(EOP671,'[3]Raw material  (3)'!EON653:EPF3729,3,0),"")</f>
        <v/>
      </c>
      <c r="EOP671" t="str">
        <f>IFERROR(VLOOKUP(EOQ671,'[3]Raw material  (3)'!EOO653:EPG3729,3,0),"")</f>
        <v/>
      </c>
      <c r="EOQ671" t="str">
        <f>IFERROR(VLOOKUP(EOR671,'[3]Raw material  (3)'!EOP653:EPH3729,3,0),"")</f>
        <v/>
      </c>
      <c r="EOR671" t="str">
        <f>IFERROR(VLOOKUP(EOS671,'[3]Raw material  (3)'!EOQ653:EPI3729,3,0),"")</f>
        <v/>
      </c>
      <c r="EOS671" t="str">
        <f>IFERROR(VLOOKUP(EOT671,'[3]Raw material  (3)'!EOR653:EPJ3729,3,0),"")</f>
        <v/>
      </c>
      <c r="EOT671" t="str">
        <f>IFERROR(VLOOKUP(EOU671,'[3]Raw material  (3)'!EOS653:EPK3729,3,0),"")</f>
        <v/>
      </c>
      <c r="EOU671" t="str">
        <f>IFERROR(VLOOKUP(EOV671,'[3]Raw material  (3)'!EOT653:EPL3729,3,0),"")</f>
        <v/>
      </c>
      <c r="EOV671" t="str">
        <f>IFERROR(VLOOKUP(EOW671,'[3]Raw material  (3)'!EOU653:EPM3729,3,0),"")</f>
        <v/>
      </c>
      <c r="EOW671" t="str">
        <f>IFERROR(VLOOKUP(EOX671,'[3]Raw material  (3)'!EOV653:EPN3729,3,0),"")</f>
        <v/>
      </c>
      <c r="EOX671" t="str">
        <f>IFERROR(VLOOKUP(EOY671,'[3]Raw material  (3)'!EOW653:EPO3729,3,0),"")</f>
        <v/>
      </c>
      <c r="EOY671" t="str">
        <f>IFERROR(VLOOKUP(EOZ671,'[3]Raw material  (3)'!EOX653:EPP3729,3,0),"")</f>
        <v/>
      </c>
      <c r="EOZ671" t="str">
        <f>IFERROR(VLOOKUP(EPA671,'[3]Raw material  (3)'!EOY653:EPQ3729,3,0),"")</f>
        <v/>
      </c>
      <c r="EPA671" t="str">
        <f>IFERROR(VLOOKUP(EPB671,'[3]Raw material  (3)'!EOZ653:EPR3729,3,0),"")</f>
        <v/>
      </c>
      <c r="EPB671" t="str">
        <f>IFERROR(VLOOKUP(EPC671,'[3]Raw material  (3)'!EPA653:EPS3729,3,0),"")</f>
        <v/>
      </c>
      <c r="EPC671" t="str">
        <f>IFERROR(VLOOKUP(EPD671,'[3]Raw material  (3)'!EPB653:EPT3729,3,0),"")</f>
        <v/>
      </c>
      <c r="EPD671" t="str">
        <f>IFERROR(VLOOKUP(EPE671,'[3]Raw material  (3)'!EPC653:EPU3729,3,0),"")</f>
        <v/>
      </c>
      <c r="EPE671" t="str">
        <f>IFERROR(VLOOKUP(EPF671,'[3]Raw material  (3)'!EPD653:EPV3729,3,0),"")</f>
        <v/>
      </c>
      <c r="EPF671" t="str">
        <f>IFERROR(VLOOKUP(EPG671,'[3]Raw material  (3)'!EPE653:EPW3729,3,0),"")</f>
        <v/>
      </c>
      <c r="EPG671" t="str">
        <f>IFERROR(VLOOKUP(EPH671,'[3]Raw material  (3)'!EPF653:EPX3729,3,0),"")</f>
        <v/>
      </c>
      <c r="EPH671" t="str">
        <f>IFERROR(VLOOKUP(EPI671,'[3]Raw material  (3)'!EPG653:EPY3729,3,0),"")</f>
        <v/>
      </c>
      <c r="EPI671" t="str">
        <f>IFERROR(VLOOKUP(EPJ671,'[3]Raw material  (3)'!EPH653:EPZ3729,3,0),"")</f>
        <v/>
      </c>
      <c r="EPJ671" t="str">
        <f>IFERROR(VLOOKUP(EPK671,'[3]Raw material  (3)'!EPI653:EQA3729,3,0),"")</f>
        <v/>
      </c>
      <c r="EPK671" t="str">
        <f>IFERROR(VLOOKUP(EPL671,'[3]Raw material  (3)'!EPJ653:EQB3729,3,0),"")</f>
        <v/>
      </c>
      <c r="EPL671" t="str">
        <f>IFERROR(VLOOKUP(EPM671,'[3]Raw material  (3)'!EPK653:EQC3729,3,0),"")</f>
        <v/>
      </c>
      <c r="EPM671" t="str">
        <f>IFERROR(VLOOKUP(EPN671,'[3]Raw material  (3)'!EPL653:EQD3729,3,0),"")</f>
        <v/>
      </c>
      <c r="EPN671" t="str">
        <f>IFERROR(VLOOKUP(EPO671,'[3]Raw material  (3)'!EPM653:EQE3729,3,0),"")</f>
        <v/>
      </c>
      <c r="EPO671" t="str">
        <f>IFERROR(VLOOKUP(EPP671,'[3]Raw material  (3)'!EPN653:EQF3729,3,0),"")</f>
        <v/>
      </c>
      <c r="EPP671" t="str">
        <f>IFERROR(VLOOKUP(EPQ671,'[3]Raw material  (3)'!EPO653:EQG3729,3,0),"")</f>
        <v/>
      </c>
      <c r="EPQ671" t="str">
        <f>IFERROR(VLOOKUP(EPR671,'[3]Raw material  (3)'!EPP653:EQH3729,3,0),"")</f>
        <v/>
      </c>
      <c r="EPR671" t="str">
        <f>IFERROR(VLOOKUP(EPS671,'[3]Raw material  (3)'!EPQ653:EQI3729,3,0),"")</f>
        <v/>
      </c>
      <c r="EPS671" t="str">
        <f>IFERROR(VLOOKUP(EPT671,'[3]Raw material  (3)'!EPR653:EQJ3729,3,0),"")</f>
        <v/>
      </c>
      <c r="EPT671" t="str">
        <f>IFERROR(VLOOKUP(EPU671,'[3]Raw material  (3)'!EPS653:EQK3729,3,0),"")</f>
        <v/>
      </c>
      <c r="EPU671" t="str">
        <f>IFERROR(VLOOKUP(EPV671,'[3]Raw material  (3)'!EPT653:EQL3729,3,0),"")</f>
        <v/>
      </c>
      <c r="EPV671" t="str">
        <f>IFERROR(VLOOKUP(EPW671,'[3]Raw material  (3)'!EPU653:EQM3729,3,0),"")</f>
        <v/>
      </c>
      <c r="EPW671" t="str">
        <f>IFERROR(VLOOKUP(EPX671,'[3]Raw material  (3)'!EPV653:EQN3729,3,0),"")</f>
        <v/>
      </c>
      <c r="EPX671" t="str">
        <f>IFERROR(VLOOKUP(EPY671,'[3]Raw material  (3)'!EPW653:EQO3729,3,0),"")</f>
        <v/>
      </c>
      <c r="EPY671" t="str">
        <f>IFERROR(VLOOKUP(EPZ671,'[3]Raw material  (3)'!EPX653:EQP3729,3,0),"")</f>
        <v/>
      </c>
      <c r="EPZ671" t="str">
        <f>IFERROR(VLOOKUP(EQA671,'[3]Raw material  (3)'!EPY653:EQQ3729,3,0),"")</f>
        <v/>
      </c>
      <c r="EQA671" t="str">
        <f>IFERROR(VLOOKUP(EQB671,'[3]Raw material  (3)'!EPZ653:EQR3729,3,0),"")</f>
        <v/>
      </c>
      <c r="EQB671" t="str">
        <f>IFERROR(VLOOKUP(EQC671,'[3]Raw material  (3)'!EQA653:EQS3729,3,0),"")</f>
        <v/>
      </c>
      <c r="EQC671" t="str">
        <f>IFERROR(VLOOKUP(EQD671,'[3]Raw material  (3)'!EQB653:EQT3729,3,0),"")</f>
        <v/>
      </c>
      <c r="EQD671" t="str">
        <f>IFERROR(VLOOKUP(EQE671,'[3]Raw material  (3)'!EQC653:EQU3729,3,0),"")</f>
        <v/>
      </c>
      <c r="EQE671" t="str">
        <f>IFERROR(VLOOKUP(EQF671,'[3]Raw material  (3)'!EQD653:EQV3729,3,0),"")</f>
        <v/>
      </c>
      <c r="EQF671" t="str">
        <f>IFERROR(VLOOKUP(EQG671,'[3]Raw material  (3)'!EQE653:EQW3729,3,0),"")</f>
        <v/>
      </c>
      <c r="EQG671" t="str">
        <f>IFERROR(VLOOKUP(EQH671,'[3]Raw material  (3)'!EQF653:EQX3729,3,0),"")</f>
        <v/>
      </c>
      <c r="EQH671" t="str">
        <f>IFERROR(VLOOKUP(EQI671,'[3]Raw material  (3)'!EQG653:EQY3729,3,0),"")</f>
        <v/>
      </c>
      <c r="EQI671" t="str">
        <f>IFERROR(VLOOKUP(EQJ671,'[3]Raw material  (3)'!EQH653:EQZ3729,3,0),"")</f>
        <v/>
      </c>
      <c r="EQJ671" t="str">
        <f>IFERROR(VLOOKUP(EQK671,'[3]Raw material  (3)'!EQI653:ERA3729,3,0),"")</f>
        <v/>
      </c>
      <c r="EQK671" t="str">
        <f>IFERROR(VLOOKUP(EQL671,'[3]Raw material  (3)'!EQJ653:ERB3729,3,0),"")</f>
        <v/>
      </c>
      <c r="EQL671" t="str">
        <f>IFERROR(VLOOKUP(EQM671,'[3]Raw material  (3)'!EQK653:ERC3729,3,0),"")</f>
        <v/>
      </c>
      <c r="EQM671" t="str">
        <f>IFERROR(VLOOKUP(EQN671,'[3]Raw material  (3)'!EQL653:ERD3729,3,0),"")</f>
        <v/>
      </c>
      <c r="EQN671" t="str">
        <f>IFERROR(VLOOKUP(EQO671,'[3]Raw material  (3)'!EQM653:ERE3729,3,0),"")</f>
        <v/>
      </c>
      <c r="EQO671" t="str">
        <f>IFERROR(VLOOKUP(EQP671,'[3]Raw material  (3)'!EQN653:ERF3729,3,0),"")</f>
        <v/>
      </c>
      <c r="EQP671" t="str">
        <f>IFERROR(VLOOKUP(EQQ671,'[3]Raw material  (3)'!EQO653:ERG3729,3,0),"")</f>
        <v/>
      </c>
      <c r="EQQ671" t="str">
        <f>IFERROR(VLOOKUP(EQR671,'[3]Raw material  (3)'!EQP653:ERH3729,3,0),"")</f>
        <v/>
      </c>
      <c r="EQR671" t="str">
        <f>IFERROR(VLOOKUP(EQS671,'[3]Raw material  (3)'!EQQ653:ERI3729,3,0),"")</f>
        <v/>
      </c>
      <c r="EQS671" t="str">
        <f>IFERROR(VLOOKUP(EQT671,'[3]Raw material  (3)'!EQR653:ERJ3729,3,0),"")</f>
        <v/>
      </c>
      <c r="EQT671" t="str">
        <f>IFERROR(VLOOKUP(EQU671,'[3]Raw material  (3)'!EQS653:ERK3729,3,0),"")</f>
        <v/>
      </c>
      <c r="EQU671" t="str">
        <f>IFERROR(VLOOKUP(EQV671,'[3]Raw material  (3)'!EQT653:ERL3729,3,0),"")</f>
        <v/>
      </c>
      <c r="EQV671" t="str">
        <f>IFERROR(VLOOKUP(EQW671,'[3]Raw material  (3)'!EQU653:ERM3729,3,0),"")</f>
        <v/>
      </c>
      <c r="EQW671" t="str">
        <f>IFERROR(VLOOKUP(EQX671,'[3]Raw material  (3)'!EQV653:ERN3729,3,0),"")</f>
        <v/>
      </c>
      <c r="EQX671" t="str">
        <f>IFERROR(VLOOKUP(EQY671,'[3]Raw material  (3)'!EQW653:ERO3729,3,0),"")</f>
        <v/>
      </c>
      <c r="EQY671" t="str">
        <f>IFERROR(VLOOKUP(EQZ671,'[3]Raw material  (3)'!EQX653:ERP3729,3,0),"")</f>
        <v/>
      </c>
      <c r="EQZ671" t="str">
        <f>IFERROR(VLOOKUP(ERA671,'[3]Raw material  (3)'!EQY653:ERQ3729,3,0),"")</f>
        <v/>
      </c>
      <c r="ERA671" t="str">
        <f>IFERROR(VLOOKUP(ERB671,'[3]Raw material  (3)'!EQZ653:ERR3729,3,0),"")</f>
        <v/>
      </c>
      <c r="ERB671" t="str">
        <f>IFERROR(VLOOKUP(ERC671,'[3]Raw material  (3)'!ERA653:ERS3729,3,0),"")</f>
        <v/>
      </c>
      <c r="ERC671" t="str">
        <f>IFERROR(VLOOKUP(ERD671,'[3]Raw material  (3)'!ERB653:ERT3729,3,0),"")</f>
        <v/>
      </c>
      <c r="ERD671" t="str">
        <f>IFERROR(VLOOKUP(ERE671,'[3]Raw material  (3)'!ERC653:ERU3729,3,0),"")</f>
        <v/>
      </c>
      <c r="ERE671" t="str">
        <f>IFERROR(VLOOKUP(ERF671,'[3]Raw material  (3)'!ERD653:ERV3729,3,0),"")</f>
        <v/>
      </c>
      <c r="ERF671" t="str">
        <f>IFERROR(VLOOKUP(ERG671,'[3]Raw material  (3)'!ERE653:ERW3729,3,0),"")</f>
        <v/>
      </c>
      <c r="ERG671" t="str">
        <f>IFERROR(VLOOKUP(ERH671,'[3]Raw material  (3)'!ERF653:ERX3729,3,0),"")</f>
        <v/>
      </c>
      <c r="ERH671" t="str">
        <f>IFERROR(VLOOKUP(ERI671,'[3]Raw material  (3)'!ERG653:ERY3729,3,0),"")</f>
        <v/>
      </c>
      <c r="ERI671" t="str">
        <f>IFERROR(VLOOKUP(ERJ671,'[3]Raw material  (3)'!ERH653:ERZ3729,3,0),"")</f>
        <v/>
      </c>
      <c r="ERJ671" t="str">
        <f>IFERROR(VLOOKUP(ERK671,'[3]Raw material  (3)'!ERI653:ESA3729,3,0),"")</f>
        <v/>
      </c>
      <c r="ERK671" t="str">
        <f>IFERROR(VLOOKUP(ERL671,'[3]Raw material  (3)'!ERJ653:ESB3729,3,0),"")</f>
        <v/>
      </c>
      <c r="ERL671" t="str">
        <f>IFERROR(VLOOKUP(ERM671,'[3]Raw material  (3)'!ERK653:ESC3729,3,0),"")</f>
        <v/>
      </c>
      <c r="ERM671" t="str">
        <f>IFERROR(VLOOKUP(ERN671,'[3]Raw material  (3)'!ERL653:ESD3729,3,0),"")</f>
        <v/>
      </c>
      <c r="ERN671" t="str">
        <f>IFERROR(VLOOKUP(ERO671,'[3]Raw material  (3)'!ERM653:ESE3729,3,0),"")</f>
        <v/>
      </c>
      <c r="ERO671" t="str">
        <f>IFERROR(VLOOKUP(ERP671,'[3]Raw material  (3)'!ERN653:ESF3729,3,0),"")</f>
        <v/>
      </c>
      <c r="ERP671" t="str">
        <f>IFERROR(VLOOKUP(ERQ671,'[3]Raw material  (3)'!ERO653:ESG3729,3,0),"")</f>
        <v/>
      </c>
      <c r="ERQ671" t="str">
        <f>IFERROR(VLOOKUP(ERR671,'[3]Raw material  (3)'!ERP653:ESH3729,3,0),"")</f>
        <v/>
      </c>
      <c r="ERR671" t="str">
        <f>IFERROR(VLOOKUP(ERS671,'[3]Raw material  (3)'!ERQ653:ESI3729,3,0),"")</f>
        <v/>
      </c>
      <c r="ERS671" t="str">
        <f>IFERROR(VLOOKUP(ERT671,'[3]Raw material  (3)'!ERR653:ESJ3729,3,0),"")</f>
        <v/>
      </c>
      <c r="ERT671" t="str">
        <f>IFERROR(VLOOKUP(ERU671,'[3]Raw material  (3)'!ERS653:ESK3729,3,0),"")</f>
        <v/>
      </c>
      <c r="ERU671" t="str">
        <f>IFERROR(VLOOKUP(ERV671,'[3]Raw material  (3)'!ERT653:ESL3729,3,0),"")</f>
        <v/>
      </c>
      <c r="ERV671" t="str">
        <f>IFERROR(VLOOKUP(ERW671,'[3]Raw material  (3)'!ERU653:ESM3729,3,0),"")</f>
        <v/>
      </c>
      <c r="ERW671" t="str">
        <f>IFERROR(VLOOKUP(ERX671,'[3]Raw material  (3)'!ERV653:ESN3729,3,0),"")</f>
        <v/>
      </c>
      <c r="ERX671" t="str">
        <f>IFERROR(VLOOKUP(ERY671,'[3]Raw material  (3)'!ERW653:ESO3729,3,0),"")</f>
        <v/>
      </c>
      <c r="ERY671" t="str">
        <f>IFERROR(VLOOKUP(ERZ671,'[3]Raw material  (3)'!ERX653:ESP3729,3,0),"")</f>
        <v/>
      </c>
      <c r="ERZ671" t="str">
        <f>IFERROR(VLOOKUP(ESA671,'[3]Raw material  (3)'!ERY653:ESQ3729,3,0),"")</f>
        <v/>
      </c>
      <c r="ESA671" t="str">
        <f>IFERROR(VLOOKUP(ESB671,'[3]Raw material  (3)'!ERZ653:ESR3729,3,0),"")</f>
        <v/>
      </c>
      <c r="ESB671" t="str">
        <f>IFERROR(VLOOKUP(ESC671,'[3]Raw material  (3)'!ESA653:ESS3729,3,0),"")</f>
        <v/>
      </c>
      <c r="ESC671" t="str">
        <f>IFERROR(VLOOKUP(ESD671,'[3]Raw material  (3)'!ESB653:EST3729,3,0),"")</f>
        <v/>
      </c>
      <c r="ESD671" t="str">
        <f>IFERROR(VLOOKUP(ESE671,'[3]Raw material  (3)'!ESC653:ESU3729,3,0),"")</f>
        <v/>
      </c>
      <c r="ESE671" t="str">
        <f>IFERROR(VLOOKUP(ESF671,'[3]Raw material  (3)'!ESD653:ESV3729,3,0),"")</f>
        <v/>
      </c>
      <c r="ESF671" t="str">
        <f>IFERROR(VLOOKUP(ESG671,'[3]Raw material  (3)'!ESE653:ESW3729,3,0),"")</f>
        <v/>
      </c>
      <c r="ESG671" t="str">
        <f>IFERROR(VLOOKUP(ESH671,'[3]Raw material  (3)'!ESF653:ESX3729,3,0),"")</f>
        <v/>
      </c>
      <c r="ESH671" t="str">
        <f>IFERROR(VLOOKUP(ESI671,'[3]Raw material  (3)'!ESG653:ESY3729,3,0),"")</f>
        <v/>
      </c>
      <c r="ESI671" t="str">
        <f>IFERROR(VLOOKUP(ESJ671,'[3]Raw material  (3)'!ESH653:ESZ3729,3,0),"")</f>
        <v/>
      </c>
      <c r="ESJ671" t="str">
        <f>IFERROR(VLOOKUP(ESK671,'[3]Raw material  (3)'!ESI653:ETA3729,3,0),"")</f>
        <v/>
      </c>
      <c r="ESK671" t="str">
        <f>IFERROR(VLOOKUP(ESL671,'[3]Raw material  (3)'!ESJ653:ETB3729,3,0),"")</f>
        <v/>
      </c>
      <c r="ESL671" t="str">
        <f>IFERROR(VLOOKUP(ESM671,'[3]Raw material  (3)'!ESK653:ETC3729,3,0),"")</f>
        <v/>
      </c>
      <c r="ESM671" t="str">
        <f>IFERROR(VLOOKUP(ESN671,'[3]Raw material  (3)'!ESL653:ETD3729,3,0),"")</f>
        <v/>
      </c>
      <c r="ESN671" t="str">
        <f>IFERROR(VLOOKUP(ESO671,'[3]Raw material  (3)'!ESM653:ETE3729,3,0),"")</f>
        <v/>
      </c>
      <c r="ESO671" t="str">
        <f>IFERROR(VLOOKUP(ESP671,'[3]Raw material  (3)'!ESN653:ETF3729,3,0),"")</f>
        <v/>
      </c>
      <c r="ESP671" t="str">
        <f>IFERROR(VLOOKUP(ESQ671,'[3]Raw material  (3)'!ESO653:ETG3729,3,0),"")</f>
        <v/>
      </c>
      <c r="ESQ671" t="str">
        <f>IFERROR(VLOOKUP(ESR671,'[3]Raw material  (3)'!ESP653:ETH3729,3,0),"")</f>
        <v/>
      </c>
      <c r="ESR671" t="str">
        <f>IFERROR(VLOOKUP(ESS671,'[3]Raw material  (3)'!ESQ653:ETI3729,3,0),"")</f>
        <v/>
      </c>
      <c r="ESS671" t="str">
        <f>IFERROR(VLOOKUP(EST671,'[3]Raw material  (3)'!ESR653:ETJ3729,3,0),"")</f>
        <v/>
      </c>
      <c r="EST671" t="str">
        <f>IFERROR(VLOOKUP(ESU671,'[3]Raw material  (3)'!ESS653:ETK3729,3,0),"")</f>
        <v/>
      </c>
      <c r="ESU671" t="str">
        <f>IFERROR(VLOOKUP(ESV671,'[3]Raw material  (3)'!EST653:ETL3729,3,0),"")</f>
        <v/>
      </c>
      <c r="ESV671" t="str">
        <f>IFERROR(VLOOKUP(ESW671,'[3]Raw material  (3)'!ESU653:ETM3729,3,0),"")</f>
        <v/>
      </c>
      <c r="ESW671" t="str">
        <f>IFERROR(VLOOKUP(ESX671,'[3]Raw material  (3)'!ESV653:ETN3729,3,0),"")</f>
        <v/>
      </c>
      <c r="ESX671" t="str">
        <f>IFERROR(VLOOKUP(ESY671,'[3]Raw material  (3)'!ESW653:ETO3729,3,0),"")</f>
        <v/>
      </c>
      <c r="ESY671" t="str">
        <f>IFERROR(VLOOKUP(ESZ671,'[3]Raw material  (3)'!ESX653:ETP3729,3,0),"")</f>
        <v/>
      </c>
      <c r="ESZ671" t="str">
        <f>IFERROR(VLOOKUP(ETA671,'[3]Raw material  (3)'!ESY653:ETQ3729,3,0),"")</f>
        <v/>
      </c>
      <c r="ETA671" t="str">
        <f>IFERROR(VLOOKUP(ETB671,'[3]Raw material  (3)'!ESZ653:ETR3729,3,0),"")</f>
        <v/>
      </c>
      <c r="ETB671" t="str">
        <f>IFERROR(VLOOKUP(ETC671,'[3]Raw material  (3)'!ETA653:ETS3729,3,0),"")</f>
        <v/>
      </c>
      <c r="ETC671" t="str">
        <f>IFERROR(VLOOKUP(ETD671,'[3]Raw material  (3)'!ETB653:ETT3729,3,0),"")</f>
        <v/>
      </c>
      <c r="ETD671" t="str">
        <f>IFERROR(VLOOKUP(ETE671,'[3]Raw material  (3)'!ETC653:ETU3729,3,0),"")</f>
        <v/>
      </c>
      <c r="ETE671" t="str">
        <f>IFERROR(VLOOKUP(ETF671,'[3]Raw material  (3)'!ETD653:ETV3729,3,0),"")</f>
        <v/>
      </c>
      <c r="ETF671" t="str">
        <f>IFERROR(VLOOKUP(ETG671,'[3]Raw material  (3)'!ETE653:ETW3729,3,0),"")</f>
        <v/>
      </c>
      <c r="ETG671" t="str">
        <f>IFERROR(VLOOKUP(ETH671,'[3]Raw material  (3)'!ETF653:ETX3729,3,0),"")</f>
        <v/>
      </c>
      <c r="ETH671" t="str">
        <f>IFERROR(VLOOKUP(ETI671,'[3]Raw material  (3)'!ETG653:ETY3729,3,0),"")</f>
        <v/>
      </c>
      <c r="ETI671" t="str">
        <f>IFERROR(VLOOKUP(ETJ671,'[3]Raw material  (3)'!ETH653:ETZ3729,3,0),"")</f>
        <v/>
      </c>
      <c r="ETJ671" t="str">
        <f>IFERROR(VLOOKUP(ETK671,'[3]Raw material  (3)'!ETI653:EUA3729,3,0),"")</f>
        <v/>
      </c>
      <c r="ETK671" t="str">
        <f>IFERROR(VLOOKUP(ETL671,'[3]Raw material  (3)'!ETJ653:EUB3729,3,0),"")</f>
        <v/>
      </c>
      <c r="ETL671" t="str">
        <f>IFERROR(VLOOKUP(ETM671,'[3]Raw material  (3)'!ETK653:EUC3729,3,0),"")</f>
        <v/>
      </c>
      <c r="ETM671" t="str">
        <f>IFERROR(VLOOKUP(ETN671,'[3]Raw material  (3)'!ETL653:EUD3729,3,0),"")</f>
        <v/>
      </c>
      <c r="ETN671" t="str">
        <f>IFERROR(VLOOKUP(ETO671,'[3]Raw material  (3)'!ETM653:EUE3729,3,0),"")</f>
        <v/>
      </c>
      <c r="ETO671" t="str">
        <f>IFERROR(VLOOKUP(ETP671,'[3]Raw material  (3)'!ETN653:EUF3729,3,0),"")</f>
        <v/>
      </c>
      <c r="ETP671" t="str">
        <f>IFERROR(VLOOKUP(ETQ671,'[3]Raw material  (3)'!ETO653:EUG3729,3,0),"")</f>
        <v/>
      </c>
      <c r="ETQ671" t="str">
        <f>IFERROR(VLOOKUP(ETR671,'[3]Raw material  (3)'!ETP653:EUH3729,3,0),"")</f>
        <v/>
      </c>
      <c r="ETR671" t="str">
        <f>IFERROR(VLOOKUP(ETS671,'[3]Raw material  (3)'!ETQ653:EUI3729,3,0),"")</f>
        <v/>
      </c>
      <c r="ETS671" t="str">
        <f>IFERROR(VLOOKUP(ETT671,'[3]Raw material  (3)'!ETR653:EUJ3729,3,0),"")</f>
        <v/>
      </c>
      <c r="ETT671" t="str">
        <f>IFERROR(VLOOKUP(ETU671,'[3]Raw material  (3)'!ETS653:EUK3729,3,0),"")</f>
        <v/>
      </c>
      <c r="ETU671" t="str">
        <f>IFERROR(VLOOKUP(ETV671,'[3]Raw material  (3)'!ETT653:EUL3729,3,0),"")</f>
        <v/>
      </c>
      <c r="ETV671" t="str">
        <f>IFERROR(VLOOKUP(ETW671,'[3]Raw material  (3)'!ETU653:EUM3729,3,0),"")</f>
        <v/>
      </c>
      <c r="ETW671" t="str">
        <f>IFERROR(VLOOKUP(ETX671,'[3]Raw material  (3)'!ETV653:EUN3729,3,0),"")</f>
        <v/>
      </c>
      <c r="ETX671" t="str">
        <f>IFERROR(VLOOKUP(ETY671,'[3]Raw material  (3)'!ETW653:EUO3729,3,0),"")</f>
        <v/>
      </c>
      <c r="ETY671" t="str">
        <f>IFERROR(VLOOKUP(ETZ671,'[3]Raw material  (3)'!ETX653:EUP3729,3,0),"")</f>
        <v/>
      </c>
      <c r="ETZ671" t="str">
        <f>IFERROR(VLOOKUP(EUA671,'[3]Raw material  (3)'!ETY653:EUQ3729,3,0),"")</f>
        <v/>
      </c>
      <c r="EUA671" t="str">
        <f>IFERROR(VLOOKUP(EUB671,'[3]Raw material  (3)'!ETZ653:EUR3729,3,0),"")</f>
        <v/>
      </c>
      <c r="EUB671" t="str">
        <f>IFERROR(VLOOKUP(EUC671,'[3]Raw material  (3)'!EUA653:EUS3729,3,0),"")</f>
        <v/>
      </c>
      <c r="EUC671" t="str">
        <f>IFERROR(VLOOKUP(EUD671,'[3]Raw material  (3)'!EUB653:EUT3729,3,0),"")</f>
        <v/>
      </c>
      <c r="EUD671" t="str">
        <f>IFERROR(VLOOKUP(EUE671,'[3]Raw material  (3)'!EUC653:EUU3729,3,0),"")</f>
        <v/>
      </c>
      <c r="EUE671" t="str">
        <f>IFERROR(VLOOKUP(EUF671,'[3]Raw material  (3)'!EUD653:EUV3729,3,0),"")</f>
        <v/>
      </c>
      <c r="EUF671" t="str">
        <f>IFERROR(VLOOKUP(EUG671,'[3]Raw material  (3)'!EUE653:EUW3729,3,0),"")</f>
        <v/>
      </c>
      <c r="EUG671" t="str">
        <f>IFERROR(VLOOKUP(EUH671,'[3]Raw material  (3)'!EUF653:EUX3729,3,0),"")</f>
        <v/>
      </c>
      <c r="EUH671" t="str">
        <f>IFERROR(VLOOKUP(EUI671,'[3]Raw material  (3)'!EUG653:EUY3729,3,0),"")</f>
        <v/>
      </c>
      <c r="EUI671" t="str">
        <f>IFERROR(VLOOKUP(EUJ671,'[3]Raw material  (3)'!EUH653:EUZ3729,3,0),"")</f>
        <v/>
      </c>
      <c r="EUJ671" t="str">
        <f>IFERROR(VLOOKUP(EUK671,'[3]Raw material  (3)'!EUI653:EVA3729,3,0),"")</f>
        <v/>
      </c>
      <c r="EUK671" t="str">
        <f>IFERROR(VLOOKUP(EUL671,'[3]Raw material  (3)'!EUJ653:EVB3729,3,0),"")</f>
        <v/>
      </c>
      <c r="EUL671" t="str">
        <f>IFERROR(VLOOKUP(EUM671,'[3]Raw material  (3)'!EUK653:EVC3729,3,0),"")</f>
        <v/>
      </c>
      <c r="EUM671" t="str">
        <f>IFERROR(VLOOKUP(EUN671,'[3]Raw material  (3)'!EUL653:EVD3729,3,0),"")</f>
        <v/>
      </c>
      <c r="EUN671" t="str">
        <f>IFERROR(VLOOKUP(EUO671,'[3]Raw material  (3)'!EUM653:EVE3729,3,0),"")</f>
        <v/>
      </c>
      <c r="EUO671" t="str">
        <f>IFERROR(VLOOKUP(EUP671,'[3]Raw material  (3)'!EUN653:EVF3729,3,0),"")</f>
        <v/>
      </c>
      <c r="EUP671" t="str">
        <f>IFERROR(VLOOKUP(EUQ671,'[3]Raw material  (3)'!EUO653:EVG3729,3,0),"")</f>
        <v/>
      </c>
      <c r="EUQ671" t="str">
        <f>IFERROR(VLOOKUP(EUR671,'[3]Raw material  (3)'!EUP653:EVH3729,3,0),"")</f>
        <v/>
      </c>
      <c r="EUR671" t="str">
        <f>IFERROR(VLOOKUP(EUS671,'[3]Raw material  (3)'!EUQ653:EVI3729,3,0),"")</f>
        <v/>
      </c>
      <c r="EUS671" t="str">
        <f>IFERROR(VLOOKUP(EUT671,'[3]Raw material  (3)'!EUR653:EVJ3729,3,0),"")</f>
        <v/>
      </c>
      <c r="EUT671" t="str">
        <f>IFERROR(VLOOKUP(EUU671,'[3]Raw material  (3)'!EUS653:EVK3729,3,0),"")</f>
        <v/>
      </c>
      <c r="EUU671" t="str">
        <f>IFERROR(VLOOKUP(EUV671,'[3]Raw material  (3)'!EUT653:EVL3729,3,0),"")</f>
        <v/>
      </c>
      <c r="EUV671" t="str">
        <f>IFERROR(VLOOKUP(EUW671,'[3]Raw material  (3)'!EUU653:EVM3729,3,0),"")</f>
        <v/>
      </c>
      <c r="EUW671" t="str">
        <f>IFERROR(VLOOKUP(EUX671,'[3]Raw material  (3)'!EUV653:EVN3729,3,0),"")</f>
        <v/>
      </c>
      <c r="EUX671" t="str">
        <f>IFERROR(VLOOKUP(EUY671,'[3]Raw material  (3)'!EUW653:EVO3729,3,0),"")</f>
        <v/>
      </c>
      <c r="EUY671" t="str">
        <f>IFERROR(VLOOKUP(EUZ671,'[3]Raw material  (3)'!EUX653:EVP3729,3,0),"")</f>
        <v/>
      </c>
      <c r="EUZ671" t="str">
        <f>IFERROR(VLOOKUP(EVA671,'[3]Raw material  (3)'!EUY653:EVQ3729,3,0),"")</f>
        <v/>
      </c>
      <c r="EVA671" t="str">
        <f>IFERROR(VLOOKUP(EVB671,'[3]Raw material  (3)'!EUZ653:EVR3729,3,0),"")</f>
        <v/>
      </c>
      <c r="EVB671" t="str">
        <f>IFERROR(VLOOKUP(EVC671,'[3]Raw material  (3)'!EVA653:EVS3729,3,0),"")</f>
        <v/>
      </c>
      <c r="EVC671" t="str">
        <f>IFERROR(VLOOKUP(EVD671,'[3]Raw material  (3)'!EVB653:EVT3729,3,0),"")</f>
        <v/>
      </c>
      <c r="EVD671" t="str">
        <f>IFERROR(VLOOKUP(EVE671,'[3]Raw material  (3)'!EVC653:EVU3729,3,0),"")</f>
        <v/>
      </c>
      <c r="EVE671" t="str">
        <f>IFERROR(VLOOKUP(EVF671,'[3]Raw material  (3)'!EVD653:EVV3729,3,0),"")</f>
        <v/>
      </c>
      <c r="EVF671" t="str">
        <f>IFERROR(VLOOKUP(EVG671,'[3]Raw material  (3)'!EVE653:EVW3729,3,0),"")</f>
        <v/>
      </c>
      <c r="EVG671" t="str">
        <f>IFERROR(VLOOKUP(EVH671,'[3]Raw material  (3)'!EVF653:EVX3729,3,0),"")</f>
        <v/>
      </c>
      <c r="EVH671" t="str">
        <f>IFERROR(VLOOKUP(EVI671,'[3]Raw material  (3)'!EVG653:EVY3729,3,0),"")</f>
        <v/>
      </c>
      <c r="EVI671" t="str">
        <f>IFERROR(VLOOKUP(EVJ671,'[3]Raw material  (3)'!EVH653:EVZ3729,3,0),"")</f>
        <v/>
      </c>
      <c r="EVJ671" t="str">
        <f>IFERROR(VLOOKUP(EVK671,'[3]Raw material  (3)'!EVI653:EWA3729,3,0),"")</f>
        <v/>
      </c>
      <c r="EVK671" t="str">
        <f>IFERROR(VLOOKUP(EVL671,'[3]Raw material  (3)'!EVJ653:EWB3729,3,0),"")</f>
        <v/>
      </c>
      <c r="EVL671" t="str">
        <f>IFERROR(VLOOKUP(EVM671,'[3]Raw material  (3)'!EVK653:EWC3729,3,0),"")</f>
        <v/>
      </c>
      <c r="EVM671" t="str">
        <f>IFERROR(VLOOKUP(EVN671,'[3]Raw material  (3)'!EVL653:EWD3729,3,0),"")</f>
        <v/>
      </c>
      <c r="EVN671" t="str">
        <f>IFERROR(VLOOKUP(EVO671,'[3]Raw material  (3)'!EVM653:EWE3729,3,0),"")</f>
        <v/>
      </c>
      <c r="EVO671" t="str">
        <f>IFERROR(VLOOKUP(EVP671,'[3]Raw material  (3)'!EVN653:EWF3729,3,0),"")</f>
        <v/>
      </c>
      <c r="EVP671" t="str">
        <f>IFERROR(VLOOKUP(EVQ671,'[3]Raw material  (3)'!EVO653:EWG3729,3,0),"")</f>
        <v/>
      </c>
      <c r="EVQ671" t="str">
        <f>IFERROR(VLOOKUP(EVR671,'[3]Raw material  (3)'!EVP653:EWH3729,3,0),"")</f>
        <v/>
      </c>
      <c r="EVR671" t="str">
        <f>IFERROR(VLOOKUP(EVS671,'[3]Raw material  (3)'!EVQ653:EWI3729,3,0),"")</f>
        <v/>
      </c>
      <c r="EVS671" t="str">
        <f>IFERROR(VLOOKUP(EVT671,'[3]Raw material  (3)'!EVR653:EWJ3729,3,0),"")</f>
        <v/>
      </c>
      <c r="EVT671" t="str">
        <f>IFERROR(VLOOKUP(EVU671,'[3]Raw material  (3)'!EVS653:EWK3729,3,0),"")</f>
        <v/>
      </c>
      <c r="EVU671" t="str">
        <f>IFERROR(VLOOKUP(EVV671,'[3]Raw material  (3)'!EVT653:EWL3729,3,0),"")</f>
        <v/>
      </c>
      <c r="EVV671" t="str">
        <f>IFERROR(VLOOKUP(EVW671,'[3]Raw material  (3)'!EVU653:EWM3729,3,0),"")</f>
        <v/>
      </c>
      <c r="EVW671" t="str">
        <f>IFERROR(VLOOKUP(EVX671,'[3]Raw material  (3)'!EVV653:EWN3729,3,0),"")</f>
        <v/>
      </c>
      <c r="EVX671" t="str">
        <f>IFERROR(VLOOKUP(EVY671,'[3]Raw material  (3)'!EVW653:EWO3729,3,0),"")</f>
        <v/>
      </c>
      <c r="EVY671" t="str">
        <f>IFERROR(VLOOKUP(EVZ671,'[3]Raw material  (3)'!EVX653:EWP3729,3,0),"")</f>
        <v/>
      </c>
      <c r="EVZ671" t="str">
        <f>IFERROR(VLOOKUP(EWA671,'[3]Raw material  (3)'!EVY653:EWQ3729,3,0),"")</f>
        <v/>
      </c>
      <c r="EWA671" t="str">
        <f>IFERROR(VLOOKUP(EWB671,'[3]Raw material  (3)'!EVZ653:EWR3729,3,0),"")</f>
        <v/>
      </c>
      <c r="EWB671" t="str">
        <f>IFERROR(VLOOKUP(EWC671,'[3]Raw material  (3)'!EWA653:EWS3729,3,0),"")</f>
        <v/>
      </c>
      <c r="EWC671" t="str">
        <f>IFERROR(VLOOKUP(EWD671,'[3]Raw material  (3)'!EWB653:EWT3729,3,0),"")</f>
        <v/>
      </c>
      <c r="EWD671" t="str">
        <f>IFERROR(VLOOKUP(EWE671,'[3]Raw material  (3)'!EWC653:EWU3729,3,0),"")</f>
        <v/>
      </c>
      <c r="EWE671" t="str">
        <f>IFERROR(VLOOKUP(EWF671,'[3]Raw material  (3)'!EWD653:EWV3729,3,0),"")</f>
        <v/>
      </c>
      <c r="EWF671" t="str">
        <f>IFERROR(VLOOKUP(EWG671,'[3]Raw material  (3)'!EWE653:EWW3729,3,0),"")</f>
        <v/>
      </c>
      <c r="EWG671" t="str">
        <f>IFERROR(VLOOKUP(EWH671,'[3]Raw material  (3)'!EWF653:EWX3729,3,0),"")</f>
        <v/>
      </c>
      <c r="EWH671" t="str">
        <f>IFERROR(VLOOKUP(EWI671,'[3]Raw material  (3)'!EWG653:EWY3729,3,0),"")</f>
        <v/>
      </c>
      <c r="EWI671" t="str">
        <f>IFERROR(VLOOKUP(EWJ671,'[3]Raw material  (3)'!EWH653:EWZ3729,3,0),"")</f>
        <v/>
      </c>
      <c r="EWJ671" t="str">
        <f>IFERROR(VLOOKUP(EWK671,'[3]Raw material  (3)'!EWI653:EXA3729,3,0),"")</f>
        <v/>
      </c>
      <c r="EWK671" t="str">
        <f>IFERROR(VLOOKUP(EWL671,'[3]Raw material  (3)'!EWJ653:EXB3729,3,0),"")</f>
        <v/>
      </c>
      <c r="EWL671" t="str">
        <f>IFERROR(VLOOKUP(EWM671,'[3]Raw material  (3)'!EWK653:EXC3729,3,0),"")</f>
        <v/>
      </c>
      <c r="EWM671" t="str">
        <f>IFERROR(VLOOKUP(EWN671,'[3]Raw material  (3)'!EWL653:EXD3729,3,0),"")</f>
        <v/>
      </c>
      <c r="EWN671" t="str">
        <f>IFERROR(VLOOKUP(EWO671,'[3]Raw material  (3)'!EWM653:EXE3729,3,0),"")</f>
        <v/>
      </c>
      <c r="EWO671" t="str">
        <f>IFERROR(VLOOKUP(EWP671,'[3]Raw material  (3)'!EWN653:EXF3729,3,0),"")</f>
        <v/>
      </c>
      <c r="EWP671" t="str">
        <f>IFERROR(VLOOKUP(EWQ671,'[3]Raw material  (3)'!EWO653:EXG3729,3,0),"")</f>
        <v/>
      </c>
      <c r="EWQ671" t="str">
        <f>IFERROR(VLOOKUP(EWR671,'[3]Raw material  (3)'!EWP653:EXH3729,3,0),"")</f>
        <v/>
      </c>
      <c r="EWR671" t="str">
        <f>IFERROR(VLOOKUP(EWS671,'[3]Raw material  (3)'!EWQ653:EXI3729,3,0),"")</f>
        <v/>
      </c>
      <c r="EWS671" t="str">
        <f>IFERROR(VLOOKUP(EWT671,'[3]Raw material  (3)'!EWR653:EXJ3729,3,0),"")</f>
        <v/>
      </c>
      <c r="EWT671" t="str">
        <f>IFERROR(VLOOKUP(EWU671,'[3]Raw material  (3)'!EWS653:EXK3729,3,0),"")</f>
        <v/>
      </c>
      <c r="EWU671" t="str">
        <f>IFERROR(VLOOKUP(EWV671,'[3]Raw material  (3)'!EWT653:EXL3729,3,0),"")</f>
        <v/>
      </c>
      <c r="EWV671" t="str">
        <f>IFERROR(VLOOKUP(EWW671,'[3]Raw material  (3)'!EWU653:EXM3729,3,0),"")</f>
        <v/>
      </c>
      <c r="EWW671" t="str">
        <f>IFERROR(VLOOKUP(EWX671,'[3]Raw material  (3)'!EWV653:EXN3729,3,0),"")</f>
        <v/>
      </c>
      <c r="EWX671" t="str">
        <f>IFERROR(VLOOKUP(EWY671,'[3]Raw material  (3)'!EWW653:EXO3729,3,0),"")</f>
        <v/>
      </c>
      <c r="EWY671" t="str">
        <f>IFERROR(VLOOKUP(EWZ671,'[3]Raw material  (3)'!EWX653:EXP3729,3,0),"")</f>
        <v/>
      </c>
      <c r="EWZ671" t="str">
        <f>IFERROR(VLOOKUP(EXA671,'[3]Raw material  (3)'!EWY653:EXQ3729,3,0),"")</f>
        <v/>
      </c>
      <c r="EXA671" t="str">
        <f>IFERROR(VLOOKUP(EXB671,'[3]Raw material  (3)'!EWZ653:EXR3729,3,0),"")</f>
        <v/>
      </c>
      <c r="EXB671" t="str">
        <f>IFERROR(VLOOKUP(EXC671,'[3]Raw material  (3)'!EXA653:EXS3729,3,0),"")</f>
        <v/>
      </c>
      <c r="EXC671" t="str">
        <f>IFERROR(VLOOKUP(EXD671,'[3]Raw material  (3)'!EXB653:EXT3729,3,0),"")</f>
        <v/>
      </c>
      <c r="EXD671" t="str">
        <f>IFERROR(VLOOKUP(EXE671,'[3]Raw material  (3)'!EXC653:EXU3729,3,0),"")</f>
        <v/>
      </c>
      <c r="EXE671" t="str">
        <f>IFERROR(VLOOKUP(EXF671,'[3]Raw material  (3)'!EXD653:EXV3729,3,0),"")</f>
        <v/>
      </c>
      <c r="EXF671" t="str">
        <f>IFERROR(VLOOKUP(EXG671,'[3]Raw material  (3)'!EXE653:EXW3729,3,0),"")</f>
        <v/>
      </c>
      <c r="EXG671" t="str">
        <f>IFERROR(VLOOKUP(EXH671,'[3]Raw material  (3)'!EXF653:EXX3729,3,0),"")</f>
        <v/>
      </c>
      <c r="EXH671" t="str">
        <f>IFERROR(VLOOKUP(EXI671,'[3]Raw material  (3)'!EXG653:EXY3729,3,0),"")</f>
        <v/>
      </c>
      <c r="EXI671" t="str">
        <f>IFERROR(VLOOKUP(EXJ671,'[3]Raw material  (3)'!EXH653:EXZ3729,3,0),"")</f>
        <v/>
      </c>
      <c r="EXJ671" t="str">
        <f>IFERROR(VLOOKUP(EXK671,'[3]Raw material  (3)'!EXI653:EYA3729,3,0),"")</f>
        <v/>
      </c>
      <c r="EXK671" t="str">
        <f>IFERROR(VLOOKUP(EXL671,'[3]Raw material  (3)'!EXJ653:EYB3729,3,0),"")</f>
        <v/>
      </c>
      <c r="EXL671" t="str">
        <f>IFERROR(VLOOKUP(EXM671,'[3]Raw material  (3)'!EXK653:EYC3729,3,0),"")</f>
        <v/>
      </c>
      <c r="EXM671" t="str">
        <f>IFERROR(VLOOKUP(EXN671,'[3]Raw material  (3)'!EXL653:EYD3729,3,0),"")</f>
        <v/>
      </c>
      <c r="EXN671" t="str">
        <f>IFERROR(VLOOKUP(EXO671,'[3]Raw material  (3)'!EXM653:EYE3729,3,0),"")</f>
        <v/>
      </c>
      <c r="EXO671" t="str">
        <f>IFERROR(VLOOKUP(EXP671,'[3]Raw material  (3)'!EXN653:EYF3729,3,0),"")</f>
        <v/>
      </c>
      <c r="EXP671" t="str">
        <f>IFERROR(VLOOKUP(EXQ671,'[3]Raw material  (3)'!EXO653:EYG3729,3,0),"")</f>
        <v/>
      </c>
      <c r="EXQ671" t="str">
        <f>IFERROR(VLOOKUP(EXR671,'[3]Raw material  (3)'!EXP653:EYH3729,3,0),"")</f>
        <v/>
      </c>
      <c r="EXR671" t="str">
        <f>IFERROR(VLOOKUP(EXS671,'[3]Raw material  (3)'!EXQ653:EYI3729,3,0),"")</f>
        <v/>
      </c>
      <c r="EXS671" t="str">
        <f>IFERROR(VLOOKUP(EXT671,'[3]Raw material  (3)'!EXR653:EYJ3729,3,0),"")</f>
        <v/>
      </c>
      <c r="EXT671" t="str">
        <f>IFERROR(VLOOKUP(EXU671,'[3]Raw material  (3)'!EXS653:EYK3729,3,0),"")</f>
        <v/>
      </c>
      <c r="EXU671" t="str">
        <f>IFERROR(VLOOKUP(EXV671,'[3]Raw material  (3)'!EXT653:EYL3729,3,0),"")</f>
        <v/>
      </c>
      <c r="EXV671" t="str">
        <f>IFERROR(VLOOKUP(EXW671,'[3]Raw material  (3)'!EXU653:EYM3729,3,0),"")</f>
        <v/>
      </c>
      <c r="EXW671" t="str">
        <f>IFERROR(VLOOKUP(EXX671,'[3]Raw material  (3)'!EXV653:EYN3729,3,0),"")</f>
        <v/>
      </c>
      <c r="EXX671" t="str">
        <f>IFERROR(VLOOKUP(EXY671,'[3]Raw material  (3)'!EXW653:EYO3729,3,0),"")</f>
        <v/>
      </c>
      <c r="EXY671" t="str">
        <f>IFERROR(VLOOKUP(EXZ671,'[3]Raw material  (3)'!EXX653:EYP3729,3,0),"")</f>
        <v/>
      </c>
      <c r="EXZ671" t="str">
        <f>IFERROR(VLOOKUP(EYA671,'[3]Raw material  (3)'!EXY653:EYQ3729,3,0),"")</f>
        <v/>
      </c>
      <c r="EYA671" t="str">
        <f>IFERROR(VLOOKUP(EYB671,'[3]Raw material  (3)'!EXZ653:EYR3729,3,0),"")</f>
        <v/>
      </c>
      <c r="EYB671" t="str">
        <f>IFERROR(VLOOKUP(EYC671,'[3]Raw material  (3)'!EYA653:EYS3729,3,0),"")</f>
        <v/>
      </c>
      <c r="EYC671" t="str">
        <f>IFERROR(VLOOKUP(EYD671,'[3]Raw material  (3)'!EYB653:EYT3729,3,0),"")</f>
        <v/>
      </c>
      <c r="EYD671" t="str">
        <f>IFERROR(VLOOKUP(EYE671,'[3]Raw material  (3)'!EYC653:EYU3729,3,0),"")</f>
        <v/>
      </c>
      <c r="EYE671" t="str">
        <f>IFERROR(VLOOKUP(EYF671,'[3]Raw material  (3)'!EYD653:EYV3729,3,0),"")</f>
        <v/>
      </c>
      <c r="EYF671" t="str">
        <f>IFERROR(VLOOKUP(EYG671,'[3]Raw material  (3)'!EYE653:EYW3729,3,0),"")</f>
        <v/>
      </c>
      <c r="EYG671" t="str">
        <f>IFERROR(VLOOKUP(EYH671,'[3]Raw material  (3)'!EYF653:EYX3729,3,0),"")</f>
        <v/>
      </c>
      <c r="EYH671" t="str">
        <f>IFERROR(VLOOKUP(EYI671,'[3]Raw material  (3)'!EYG653:EYY3729,3,0),"")</f>
        <v/>
      </c>
      <c r="EYI671" t="str">
        <f>IFERROR(VLOOKUP(EYJ671,'[3]Raw material  (3)'!EYH653:EYZ3729,3,0),"")</f>
        <v/>
      </c>
      <c r="EYJ671" t="str">
        <f>IFERROR(VLOOKUP(EYK671,'[3]Raw material  (3)'!EYI653:EZA3729,3,0),"")</f>
        <v/>
      </c>
      <c r="EYK671" t="str">
        <f>IFERROR(VLOOKUP(EYL671,'[3]Raw material  (3)'!EYJ653:EZB3729,3,0),"")</f>
        <v/>
      </c>
      <c r="EYL671" t="str">
        <f>IFERROR(VLOOKUP(EYM671,'[3]Raw material  (3)'!EYK653:EZC3729,3,0),"")</f>
        <v/>
      </c>
      <c r="EYM671" t="str">
        <f>IFERROR(VLOOKUP(EYN671,'[3]Raw material  (3)'!EYL653:EZD3729,3,0),"")</f>
        <v/>
      </c>
      <c r="EYN671" t="str">
        <f>IFERROR(VLOOKUP(EYO671,'[3]Raw material  (3)'!EYM653:EZE3729,3,0),"")</f>
        <v/>
      </c>
      <c r="EYO671" t="str">
        <f>IFERROR(VLOOKUP(EYP671,'[3]Raw material  (3)'!EYN653:EZF3729,3,0),"")</f>
        <v/>
      </c>
      <c r="EYP671" t="str">
        <f>IFERROR(VLOOKUP(EYQ671,'[3]Raw material  (3)'!EYO653:EZG3729,3,0),"")</f>
        <v/>
      </c>
      <c r="EYQ671" t="str">
        <f>IFERROR(VLOOKUP(EYR671,'[3]Raw material  (3)'!EYP653:EZH3729,3,0),"")</f>
        <v/>
      </c>
      <c r="EYR671" t="str">
        <f>IFERROR(VLOOKUP(EYS671,'[3]Raw material  (3)'!EYQ653:EZI3729,3,0),"")</f>
        <v/>
      </c>
      <c r="EYS671" t="str">
        <f>IFERROR(VLOOKUP(EYT671,'[3]Raw material  (3)'!EYR653:EZJ3729,3,0),"")</f>
        <v/>
      </c>
      <c r="EYT671" t="str">
        <f>IFERROR(VLOOKUP(EYU671,'[3]Raw material  (3)'!EYS653:EZK3729,3,0),"")</f>
        <v/>
      </c>
      <c r="EYU671" t="str">
        <f>IFERROR(VLOOKUP(EYV671,'[3]Raw material  (3)'!EYT653:EZL3729,3,0),"")</f>
        <v/>
      </c>
      <c r="EYV671" t="str">
        <f>IFERROR(VLOOKUP(EYW671,'[3]Raw material  (3)'!EYU653:EZM3729,3,0),"")</f>
        <v/>
      </c>
      <c r="EYW671" t="str">
        <f>IFERROR(VLOOKUP(EYX671,'[3]Raw material  (3)'!EYV653:EZN3729,3,0),"")</f>
        <v/>
      </c>
      <c r="EYX671" t="str">
        <f>IFERROR(VLOOKUP(EYY671,'[3]Raw material  (3)'!EYW653:EZO3729,3,0),"")</f>
        <v/>
      </c>
      <c r="EYY671" t="str">
        <f>IFERROR(VLOOKUP(EYZ671,'[3]Raw material  (3)'!EYX653:EZP3729,3,0),"")</f>
        <v/>
      </c>
      <c r="EYZ671" t="str">
        <f>IFERROR(VLOOKUP(EZA671,'[3]Raw material  (3)'!EYY653:EZQ3729,3,0),"")</f>
        <v/>
      </c>
      <c r="EZA671" t="str">
        <f>IFERROR(VLOOKUP(EZB671,'[3]Raw material  (3)'!EYZ653:EZR3729,3,0),"")</f>
        <v/>
      </c>
      <c r="EZB671" t="str">
        <f>IFERROR(VLOOKUP(EZC671,'[3]Raw material  (3)'!EZA653:EZS3729,3,0),"")</f>
        <v/>
      </c>
      <c r="EZC671" t="str">
        <f>IFERROR(VLOOKUP(EZD671,'[3]Raw material  (3)'!EZB653:EZT3729,3,0),"")</f>
        <v/>
      </c>
      <c r="EZD671" t="str">
        <f>IFERROR(VLOOKUP(EZE671,'[3]Raw material  (3)'!EZC653:EZU3729,3,0),"")</f>
        <v/>
      </c>
      <c r="EZE671" t="str">
        <f>IFERROR(VLOOKUP(EZF671,'[3]Raw material  (3)'!EZD653:EZV3729,3,0),"")</f>
        <v/>
      </c>
      <c r="EZF671" t="str">
        <f>IFERROR(VLOOKUP(EZG671,'[3]Raw material  (3)'!EZE653:EZW3729,3,0),"")</f>
        <v/>
      </c>
      <c r="EZG671" t="str">
        <f>IFERROR(VLOOKUP(EZH671,'[3]Raw material  (3)'!EZF653:EZX3729,3,0),"")</f>
        <v/>
      </c>
      <c r="EZH671" t="str">
        <f>IFERROR(VLOOKUP(EZI671,'[3]Raw material  (3)'!EZG653:EZY3729,3,0),"")</f>
        <v/>
      </c>
      <c r="EZI671" t="str">
        <f>IFERROR(VLOOKUP(EZJ671,'[3]Raw material  (3)'!EZH653:EZZ3729,3,0),"")</f>
        <v/>
      </c>
      <c r="EZJ671" t="str">
        <f>IFERROR(VLOOKUP(EZK671,'[3]Raw material  (3)'!EZI653:FAA3729,3,0),"")</f>
        <v/>
      </c>
      <c r="EZK671" t="str">
        <f>IFERROR(VLOOKUP(EZL671,'[3]Raw material  (3)'!EZJ653:FAB3729,3,0),"")</f>
        <v/>
      </c>
      <c r="EZL671" t="str">
        <f>IFERROR(VLOOKUP(EZM671,'[3]Raw material  (3)'!EZK653:FAC3729,3,0),"")</f>
        <v/>
      </c>
      <c r="EZM671" t="str">
        <f>IFERROR(VLOOKUP(EZN671,'[3]Raw material  (3)'!EZL653:FAD3729,3,0),"")</f>
        <v/>
      </c>
      <c r="EZN671" t="str">
        <f>IFERROR(VLOOKUP(EZO671,'[3]Raw material  (3)'!EZM653:FAE3729,3,0),"")</f>
        <v/>
      </c>
      <c r="EZO671" t="str">
        <f>IFERROR(VLOOKUP(EZP671,'[3]Raw material  (3)'!EZN653:FAF3729,3,0),"")</f>
        <v/>
      </c>
      <c r="EZP671" t="str">
        <f>IFERROR(VLOOKUP(EZQ671,'[3]Raw material  (3)'!EZO653:FAG3729,3,0),"")</f>
        <v/>
      </c>
      <c r="EZQ671" t="str">
        <f>IFERROR(VLOOKUP(EZR671,'[3]Raw material  (3)'!EZP653:FAH3729,3,0),"")</f>
        <v/>
      </c>
      <c r="EZR671" t="str">
        <f>IFERROR(VLOOKUP(EZS671,'[3]Raw material  (3)'!EZQ653:FAI3729,3,0),"")</f>
        <v/>
      </c>
      <c r="EZS671" t="str">
        <f>IFERROR(VLOOKUP(EZT671,'[3]Raw material  (3)'!EZR653:FAJ3729,3,0),"")</f>
        <v/>
      </c>
      <c r="EZT671" t="str">
        <f>IFERROR(VLOOKUP(EZU671,'[3]Raw material  (3)'!EZS653:FAK3729,3,0),"")</f>
        <v/>
      </c>
      <c r="EZU671" t="str">
        <f>IFERROR(VLOOKUP(EZV671,'[3]Raw material  (3)'!EZT653:FAL3729,3,0),"")</f>
        <v/>
      </c>
      <c r="EZV671" t="str">
        <f>IFERROR(VLOOKUP(EZW671,'[3]Raw material  (3)'!EZU653:FAM3729,3,0),"")</f>
        <v/>
      </c>
      <c r="EZW671" t="str">
        <f>IFERROR(VLOOKUP(EZX671,'[3]Raw material  (3)'!EZV653:FAN3729,3,0),"")</f>
        <v/>
      </c>
      <c r="EZX671" t="str">
        <f>IFERROR(VLOOKUP(EZY671,'[3]Raw material  (3)'!EZW653:FAO3729,3,0),"")</f>
        <v/>
      </c>
      <c r="EZY671" t="str">
        <f>IFERROR(VLOOKUP(EZZ671,'[3]Raw material  (3)'!EZX653:FAP3729,3,0),"")</f>
        <v/>
      </c>
      <c r="EZZ671" t="str">
        <f>IFERROR(VLOOKUP(FAA671,'[3]Raw material  (3)'!EZY653:FAQ3729,3,0),"")</f>
        <v/>
      </c>
      <c r="FAA671" t="str">
        <f>IFERROR(VLOOKUP(FAB671,'[3]Raw material  (3)'!EZZ653:FAR3729,3,0),"")</f>
        <v/>
      </c>
      <c r="FAB671" t="str">
        <f>IFERROR(VLOOKUP(FAC671,'[3]Raw material  (3)'!FAA653:FAS3729,3,0),"")</f>
        <v/>
      </c>
      <c r="FAC671" t="str">
        <f>IFERROR(VLOOKUP(FAD671,'[3]Raw material  (3)'!FAB653:FAT3729,3,0),"")</f>
        <v/>
      </c>
      <c r="FAD671" t="str">
        <f>IFERROR(VLOOKUP(FAE671,'[3]Raw material  (3)'!FAC653:FAU3729,3,0),"")</f>
        <v/>
      </c>
      <c r="FAE671" t="str">
        <f>IFERROR(VLOOKUP(FAF671,'[3]Raw material  (3)'!FAD653:FAV3729,3,0),"")</f>
        <v/>
      </c>
      <c r="FAF671" t="str">
        <f>IFERROR(VLOOKUP(FAG671,'[3]Raw material  (3)'!FAE653:FAW3729,3,0),"")</f>
        <v/>
      </c>
      <c r="FAG671" t="str">
        <f>IFERROR(VLOOKUP(FAH671,'[3]Raw material  (3)'!FAF653:FAX3729,3,0),"")</f>
        <v/>
      </c>
      <c r="FAH671" t="str">
        <f>IFERROR(VLOOKUP(FAI671,'[3]Raw material  (3)'!FAG653:FAY3729,3,0),"")</f>
        <v/>
      </c>
      <c r="FAI671" t="str">
        <f>IFERROR(VLOOKUP(FAJ671,'[3]Raw material  (3)'!FAH653:FAZ3729,3,0),"")</f>
        <v/>
      </c>
      <c r="FAJ671" t="str">
        <f>IFERROR(VLOOKUP(FAK671,'[3]Raw material  (3)'!FAI653:FBA3729,3,0),"")</f>
        <v/>
      </c>
      <c r="FAK671" t="str">
        <f>IFERROR(VLOOKUP(FAL671,'[3]Raw material  (3)'!FAJ653:FBB3729,3,0),"")</f>
        <v/>
      </c>
      <c r="FAL671" t="str">
        <f>IFERROR(VLOOKUP(FAM671,'[3]Raw material  (3)'!FAK653:FBC3729,3,0),"")</f>
        <v/>
      </c>
      <c r="FAM671" t="str">
        <f>IFERROR(VLOOKUP(FAN671,'[3]Raw material  (3)'!FAL653:FBD3729,3,0),"")</f>
        <v/>
      </c>
      <c r="FAN671" t="str">
        <f>IFERROR(VLOOKUP(FAO671,'[3]Raw material  (3)'!FAM653:FBE3729,3,0),"")</f>
        <v/>
      </c>
      <c r="FAO671" t="str">
        <f>IFERROR(VLOOKUP(FAP671,'[3]Raw material  (3)'!FAN653:FBF3729,3,0),"")</f>
        <v/>
      </c>
      <c r="FAP671" t="str">
        <f>IFERROR(VLOOKUP(FAQ671,'[3]Raw material  (3)'!FAO653:FBG3729,3,0),"")</f>
        <v/>
      </c>
      <c r="FAQ671" t="str">
        <f>IFERROR(VLOOKUP(FAR671,'[3]Raw material  (3)'!FAP653:FBH3729,3,0),"")</f>
        <v/>
      </c>
      <c r="FAR671" t="str">
        <f>IFERROR(VLOOKUP(FAS671,'[3]Raw material  (3)'!FAQ653:FBI3729,3,0),"")</f>
        <v/>
      </c>
      <c r="FAS671" t="str">
        <f>IFERROR(VLOOKUP(FAT671,'[3]Raw material  (3)'!FAR653:FBJ3729,3,0),"")</f>
        <v/>
      </c>
      <c r="FAT671" t="str">
        <f>IFERROR(VLOOKUP(FAU671,'[3]Raw material  (3)'!FAS653:FBK3729,3,0),"")</f>
        <v/>
      </c>
      <c r="FAU671" t="str">
        <f>IFERROR(VLOOKUP(FAV671,'[3]Raw material  (3)'!FAT653:FBL3729,3,0),"")</f>
        <v/>
      </c>
      <c r="FAV671" t="str">
        <f>IFERROR(VLOOKUP(FAW671,'[3]Raw material  (3)'!FAU653:FBM3729,3,0),"")</f>
        <v/>
      </c>
      <c r="FAW671" t="str">
        <f>IFERROR(VLOOKUP(FAX671,'[3]Raw material  (3)'!FAV653:FBN3729,3,0),"")</f>
        <v/>
      </c>
      <c r="FAX671" t="str">
        <f>IFERROR(VLOOKUP(FAY671,'[3]Raw material  (3)'!FAW653:FBO3729,3,0),"")</f>
        <v/>
      </c>
      <c r="FAY671" t="str">
        <f>IFERROR(VLOOKUP(FAZ671,'[3]Raw material  (3)'!FAX653:FBP3729,3,0),"")</f>
        <v/>
      </c>
      <c r="FAZ671" t="str">
        <f>IFERROR(VLOOKUP(FBA671,'[3]Raw material  (3)'!FAY653:FBQ3729,3,0),"")</f>
        <v/>
      </c>
      <c r="FBA671" t="str">
        <f>IFERROR(VLOOKUP(FBB671,'[3]Raw material  (3)'!FAZ653:FBR3729,3,0),"")</f>
        <v/>
      </c>
      <c r="FBB671" t="str">
        <f>IFERROR(VLOOKUP(FBC671,'[3]Raw material  (3)'!FBA653:FBS3729,3,0),"")</f>
        <v/>
      </c>
      <c r="FBC671" t="str">
        <f>IFERROR(VLOOKUP(FBD671,'[3]Raw material  (3)'!FBB653:FBT3729,3,0),"")</f>
        <v/>
      </c>
      <c r="FBD671" t="str">
        <f>IFERROR(VLOOKUP(FBE671,'[3]Raw material  (3)'!FBC653:FBU3729,3,0),"")</f>
        <v/>
      </c>
      <c r="FBE671" t="str">
        <f>IFERROR(VLOOKUP(FBF671,'[3]Raw material  (3)'!FBD653:FBV3729,3,0),"")</f>
        <v/>
      </c>
      <c r="FBF671" t="str">
        <f>IFERROR(VLOOKUP(FBG671,'[3]Raw material  (3)'!FBE653:FBW3729,3,0),"")</f>
        <v/>
      </c>
      <c r="FBG671" t="str">
        <f>IFERROR(VLOOKUP(FBH671,'[3]Raw material  (3)'!FBF653:FBX3729,3,0),"")</f>
        <v/>
      </c>
      <c r="FBH671" t="str">
        <f>IFERROR(VLOOKUP(FBI671,'[3]Raw material  (3)'!FBG653:FBY3729,3,0),"")</f>
        <v/>
      </c>
      <c r="FBI671" t="str">
        <f>IFERROR(VLOOKUP(FBJ671,'[3]Raw material  (3)'!FBH653:FBZ3729,3,0),"")</f>
        <v/>
      </c>
      <c r="FBJ671" t="str">
        <f>IFERROR(VLOOKUP(FBK671,'[3]Raw material  (3)'!FBI653:FCA3729,3,0),"")</f>
        <v/>
      </c>
      <c r="FBK671" t="str">
        <f>IFERROR(VLOOKUP(FBL671,'[3]Raw material  (3)'!FBJ653:FCB3729,3,0),"")</f>
        <v/>
      </c>
      <c r="FBL671" t="str">
        <f>IFERROR(VLOOKUP(FBM671,'[3]Raw material  (3)'!FBK653:FCC3729,3,0),"")</f>
        <v/>
      </c>
      <c r="FBM671" t="str">
        <f>IFERROR(VLOOKUP(FBN671,'[3]Raw material  (3)'!FBL653:FCD3729,3,0),"")</f>
        <v/>
      </c>
      <c r="FBN671" t="str">
        <f>IFERROR(VLOOKUP(FBO671,'[3]Raw material  (3)'!FBM653:FCE3729,3,0),"")</f>
        <v/>
      </c>
      <c r="FBO671" t="str">
        <f>IFERROR(VLOOKUP(FBP671,'[3]Raw material  (3)'!FBN653:FCF3729,3,0),"")</f>
        <v/>
      </c>
      <c r="FBP671" t="str">
        <f>IFERROR(VLOOKUP(FBQ671,'[3]Raw material  (3)'!FBO653:FCG3729,3,0),"")</f>
        <v/>
      </c>
      <c r="FBQ671" t="str">
        <f>IFERROR(VLOOKUP(FBR671,'[3]Raw material  (3)'!FBP653:FCH3729,3,0),"")</f>
        <v/>
      </c>
      <c r="FBR671" t="str">
        <f>IFERROR(VLOOKUP(FBS671,'[3]Raw material  (3)'!FBQ653:FCI3729,3,0),"")</f>
        <v/>
      </c>
      <c r="FBS671" t="str">
        <f>IFERROR(VLOOKUP(FBT671,'[3]Raw material  (3)'!FBR653:FCJ3729,3,0),"")</f>
        <v/>
      </c>
      <c r="FBT671" t="str">
        <f>IFERROR(VLOOKUP(FBU671,'[3]Raw material  (3)'!FBS653:FCK3729,3,0),"")</f>
        <v/>
      </c>
      <c r="FBU671" t="str">
        <f>IFERROR(VLOOKUP(FBV671,'[3]Raw material  (3)'!FBT653:FCL3729,3,0),"")</f>
        <v/>
      </c>
      <c r="FBV671" t="str">
        <f>IFERROR(VLOOKUP(FBW671,'[3]Raw material  (3)'!FBU653:FCM3729,3,0),"")</f>
        <v/>
      </c>
      <c r="FBW671" t="str">
        <f>IFERROR(VLOOKUP(FBX671,'[3]Raw material  (3)'!FBV653:FCN3729,3,0),"")</f>
        <v/>
      </c>
      <c r="FBX671" t="str">
        <f>IFERROR(VLOOKUP(FBY671,'[3]Raw material  (3)'!FBW653:FCO3729,3,0),"")</f>
        <v/>
      </c>
      <c r="FBY671" t="str">
        <f>IFERROR(VLOOKUP(FBZ671,'[3]Raw material  (3)'!FBX653:FCP3729,3,0),"")</f>
        <v/>
      </c>
      <c r="FBZ671" t="str">
        <f>IFERROR(VLOOKUP(FCA671,'[3]Raw material  (3)'!FBY653:FCQ3729,3,0),"")</f>
        <v/>
      </c>
      <c r="FCA671" t="str">
        <f>IFERROR(VLOOKUP(FCB671,'[3]Raw material  (3)'!FBZ653:FCR3729,3,0),"")</f>
        <v/>
      </c>
      <c r="FCB671" t="str">
        <f>IFERROR(VLOOKUP(FCC671,'[3]Raw material  (3)'!FCA653:FCS3729,3,0),"")</f>
        <v/>
      </c>
      <c r="FCC671" t="str">
        <f>IFERROR(VLOOKUP(FCD671,'[3]Raw material  (3)'!FCB653:FCT3729,3,0),"")</f>
        <v/>
      </c>
      <c r="FCD671" t="str">
        <f>IFERROR(VLOOKUP(FCE671,'[3]Raw material  (3)'!FCC653:FCU3729,3,0),"")</f>
        <v/>
      </c>
      <c r="FCE671" t="str">
        <f>IFERROR(VLOOKUP(FCF671,'[3]Raw material  (3)'!FCD653:FCV3729,3,0),"")</f>
        <v/>
      </c>
      <c r="FCF671" t="str">
        <f>IFERROR(VLOOKUP(FCG671,'[3]Raw material  (3)'!FCE653:FCW3729,3,0),"")</f>
        <v/>
      </c>
      <c r="FCG671" t="str">
        <f>IFERROR(VLOOKUP(FCH671,'[3]Raw material  (3)'!FCF653:FCX3729,3,0),"")</f>
        <v/>
      </c>
      <c r="FCH671" t="str">
        <f>IFERROR(VLOOKUP(FCI671,'[3]Raw material  (3)'!FCG653:FCY3729,3,0),"")</f>
        <v/>
      </c>
      <c r="FCI671" t="str">
        <f>IFERROR(VLOOKUP(FCJ671,'[3]Raw material  (3)'!FCH653:FCZ3729,3,0),"")</f>
        <v/>
      </c>
      <c r="FCJ671" t="str">
        <f>IFERROR(VLOOKUP(FCK671,'[3]Raw material  (3)'!FCI653:FDA3729,3,0),"")</f>
        <v/>
      </c>
      <c r="FCK671" t="str">
        <f>IFERROR(VLOOKUP(FCL671,'[3]Raw material  (3)'!FCJ653:FDB3729,3,0),"")</f>
        <v/>
      </c>
      <c r="FCL671" t="str">
        <f>IFERROR(VLOOKUP(FCM671,'[3]Raw material  (3)'!FCK653:FDC3729,3,0),"")</f>
        <v/>
      </c>
      <c r="FCM671" t="str">
        <f>IFERROR(VLOOKUP(FCN671,'[3]Raw material  (3)'!FCL653:FDD3729,3,0),"")</f>
        <v/>
      </c>
      <c r="FCN671" t="str">
        <f>IFERROR(VLOOKUP(FCO671,'[3]Raw material  (3)'!FCM653:FDE3729,3,0),"")</f>
        <v/>
      </c>
      <c r="FCO671" t="str">
        <f>IFERROR(VLOOKUP(FCP671,'[3]Raw material  (3)'!FCN653:FDF3729,3,0),"")</f>
        <v/>
      </c>
      <c r="FCP671" t="str">
        <f>IFERROR(VLOOKUP(FCQ671,'[3]Raw material  (3)'!FCO653:FDG3729,3,0),"")</f>
        <v/>
      </c>
      <c r="FCQ671" t="str">
        <f>IFERROR(VLOOKUP(FCR671,'[3]Raw material  (3)'!FCP653:FDH3729,3,0),"")</f>
        <v/>
      </c>
      <c r="FCR671" t="str">
        <f>IFERROR(VLOOKUP(FCS671,'[3]Raw material  (3)'!FCQ653:FDI3729,3,0),"")</f>
        <v/>
      </c>
      <c r="FCS671" t="str">
        <f>IFERROR(VLOOKUP(FCT671,'[3]Raw material  (3)'!FCR653:FDJ3729,3,0),"")</f>
        <v/>
      </c>
      <c r="FCT671" t="str">
        <f>IFERROR(VLOOKUP(FCU671,'[3]Raw material  (3)'!FCS653:FDK3729,3,0),"")</f>
        <v/>
      </c>
      <c r="FCU671" t="str">
        <f>IFERROR(VLOOKUP(FCV671,'[3]Raw material  (3)'!FCT653:FDL3729,3,0),"")</f>
        <v/>
      </c>
      <c r="FCV671" t="str">
        <f>IFERROR(VLOOKUP(FCW671,'[3]Raw material  (3)'!FCU653:FDM3729,3,0),"")</f>
        <v/>
      </c>
      <c r="FCW671" t="str">
        <f>IFERROR(VLOOKUP(FCX671,'[3]Raw material  (3)'!FCV653:FDN3729,3,0),"")</f>
        <v/>
      </c>
      <c r="FCX671" t="str">
        <f>IFERROR(VLOOKUP(FCY671,'[3]Raw material  (3)'!FCW653:FDO3729,3,0),"")</f>
        <v/>
      </c>
      <c r="FCY671" t="str">
        <f>IFERROR(VLOOKUP(FCZ671,'[3]Raw material  (3)'!FCX653:FDP3729,3,0),"")</f>
        <v/>
      </c>
      <c r="FCZ671" t="str">
        <f>IFERROR(VLOOKUP(FDA671,'[3]Raw material  (3)'!FCY653:FDQ3729,3,0),"")</f>
        <v/>
      </c>
      <c r="FDA671" t="str">
        <f>IFERROR(VLOOKUP(FDB671,'[3]Raw material  (3)'!FCZ653:FDR3729,3,0),"")</f>
        <v/>
      </c>
      <c r="FDB671" t="str">
        <f>IFERROR(VLOOKUP(FDC671,'[3]Raw material  (3)'!FDA653:FDS3729,3,0),"")</f>
        <v/>
      </c>
      <c r="FDC671" t="str">
        <f>IFERROR(VLOOKUP(FDD671,'[3]Raw material  (3)'!FDB653:FDT3729,3,0),"")</f>
        <v/>
      </c>
      <c r="FDD671" t="str">
        <f>IFERROR(VLOOKUP(FDE671,'[3]Raw material  (3)'!FDC653:FDU3729,3,0),"")</f>
        <v/>
      </c>
      <c r="FDE671" t="str">
        <f>IFERROR(VLOOKUP(FDF671,'[3]Raw material  (3)'!FDD653:FDV3729,3,0),"")</f>
        <v/>
      </c>
      <c r="FDF671" t="str">
        <f>IFERROR(VLOOKUP(FDG671,'[3]Raw material  (3)'!FDE653:FDW3729,3,0),"")</f>
        <v/>
      </c>
      <c r="FDG671" t="str">
        <f>IFERROR(VLOOKUP(FDH671,'[3]Raw material  (3)'!FDF653:FDX3729,3,0),"")</f>
        <v/>
      </c>
      <c r="FDH671" t="str">
        <f>IFERROR(VLOOKUP(FDI671,'[3]Raw material  (3)'!FDG653:FDY3729,3,0),"")</f>
        <v/>
      </c>
      <c r="FDI671" t="str">
        <f>IFERROR(VLOOKUP(FDJ671,'[3]Raw material  (3)'!FDH653:FDZ3729,3,0),"")</f>
        <v/>
      </c>
      <c r="FDJ671" t="str">
        <f>IFERROR(VLOOKUP(FDK671,'[3]Raw material  (3)'!FDI653:FEA3729,3,0),"")</f>
        <v/>
      </c>
      <c r="FDK671" t="str">
        <f>IFERROR(VLOOKUP(FDL671,'[3]Raw material  (3)'!FDJ653:FEB3729,3,0),"")</f>
        <v/>
      </c>
      <c r="FDL671" t="str">
        <f>IFERROR(VLOOKUP(FDM671,'[3]Raw material  (3)'!FDK653:FEC3729,3,0),"")</f>
        <v/>
      </c>
      <c r="FDM671" t="str">
        <f>IFERROR(VLOOKUP(FDN671,'[3]Raw material  (3)'!FDL653:FED3729,3,0),"")</f>
        <v/>
      </c>
      <c r="FDN671" t="str">
        <f>IFERROR(VLOOKUP(FDO671,'[3]Raw material  (3)'!FDM653:FEE3729,3,0),"")</f>
        <v/>
      </c>
      <c r="FDO671" t="str">
        <f>IFERROR(VLOOKUP(FDP671,'[3]Raw material  (3)'!FDN653:FEF3729,3,0),"")</f>
        <v/>
      </c>
      <c r="FDP671" t="str">
        <f>IFERROR(VLOOKUP(FDQ671,'[3]Raw material  (3)'!FDO653:FEG3729,3,0),"")</f>
        <v/>
      </c>
      <c r="FDQ671" t="str">
        <f>IFERROR(VLOOKUP(FDR671,'[3]Raw material  (3)'!FDP653:FEH3729,3,0),"")</f>
        <v/>
      </c>
      <c r="FDR671" t="str">
        <f>IFERROR(VLOOKUP(FDS671,'[3]Raw material  (3)'!FDQ653:FEI3729,3,0),"")</f>
        <v/>
      </c>
      <c r="FDS671" t="str">
        <f>IFERROR(VLOOKUP(FDT671,'[3]Raw material  (3)'!FDR653:FEJ3729,3,0),"")</f>
        <v/>
      </c>
      <c r="FDT671" t="str">
        <f>IFERROR(VLOOKUP(FDU671,'[3]Raw material  (3)'!FDS653:FEK3729,3,0),"")</f>
        <v/>
      </c>
      <c r="FDU671" t="str">
        <f>IFERROR(VLOOKUP(FDV671,'[3]Raw material  (3)'!FDT653:FEL3729,3,0),"")</f>
        <v/>
      </c>
      <c r="FDV671" t="str">
        <f>IFERROR(VLOOKUP(FDW671,'[3]Raw material  (3)'!FDU653:FEM3729,3,0),"")</f>
        <v/>
      </c>
      <c r="FDW671" t="str">
        <f>IFERROR(VLOOKUP(FDX671,'[3]Raw material  (3)'!FDV653:FEN3729,3,0),"")</f>
        <v/>
      </c>
      <c r="FDX671" t="str">
        <f>IFERROR(VLOOKUP(FDY671,'[3]Raw material  (3)'!FDW653:FEO3729,3,0),"")</f>
        <v/>
      </c>
      <c r="FDY671" t="str">
        <f>IFERROR(VLOOKUP(FDZ671,'[3]Raw material  (3)'!FDX653:FEP3729,3,0),"")</f>
        <v/>
      </c>
      <c r="FDZ671" t="str">
        <f>IFERROR(VLOOKUP(FEA671,'[3]Raw material  (3)'!FDY653:FEQ3729,3,0),"")</f>
        <v/>
      </c>
      <c r="FEA671" t="str">
        <f>IFERROR(VLOOKUP(FEB671,'[3]Raw material  (3)'!FDZ653:FER3729,3,0),"")</f>
        <v/>
      </c>
      <c r="FEB671" t="str">
        <f>IFERROR(VLOOKUP(FEC671,'[3]Raw material  (3)'!FEA653:FES3729,3,0),"")</f>
        <v/>
      </c>
      <c r="FEC671" t="str">
        <f>IFERROR(VLOOKUP(FED671,'[3]Raw material  (3)'!FEB653:FET3729,3,0),"")</f>
        <v/>
      </c>
      <c r="FED671" t="str">
        <f>IFERROR(VLOOKUP(FEE671,'[3]Raw material  (3)'!FEC653:FEU3729,3,0),"")</f>
        <v/>
      </c>
      <c r="FEE671" t="str">
        <f>IFERROR(VLOOKUP(FEF671,'[3]Raw material  (3)'!FED653:FEV3729,3,0),"")</f>
        <v/>
      </c>
      <c r="FEF671" t="str">
        <f>IFERROR(VLOOKUP(FEG671,'[3]Raw material  (3)'!FEE653:FEW3729,3,0),"")</f>
        <v/>
      </c>
      <c r="FEG671" t="str">
        <f>IFERROR(VLOOKUP(FEH671,'[3]Raw material  (3)'!FEF653:FEX3729,3,0),"")</f>
        <v/>
      </c>
      <c r="FEH671" t="str">
        <f>IFERROR(VLOOKUP(FEI671,'[3]Raw material  (3)'!FEG653:FEY3729,3,0),"")</f>
        <v/>
      </c>
      <c r="FEI671" t="str">
        <f>IFERROR(VLOOKUP(FEJ671,'[3]Raw material  (3)'!FEH653:FEZ3729,3,0),"")</f>
        <v/>
      </c>
      <c r="FEJ671" t="str">
        <f>IFERROR(VLOOKUP(FEK671,'[3]Raw material  (3)'!FEI653:FFA3729,3,0),"")</f>
        <v/>
      </c>
      <c r="FEK671" t="str">
        <f>IFERROR(VLOOKUP(FEL671,'[3]Raw material  (3)'!FEJ653:FFB3729,3,0),"")</f>
        <v/>
      </c>
      <c r="FEL671" t="str">
        <f>IFERROR(VLOOKUP(FEM671,'[3]Raw material  (3)'!FEK653:FFC3729,3,0),"")</f>
        <v/>
      </c>
      <c r="FEM671" t="str">
        <f>IFERROR(VLOOKUP(FEN671,'[3]Raw material  (3)'!FEL653:FFD3729,3,0),"")</f>
        <v/>
      </c>
      <c r="FEN671" t="str">
        <f>IFERROR(VLOOKUP(FEO671,'[3]Raw material  (3)'!FEM653:FFE3729,3,0),"")</f>
        <v/>
      </c>
      <c r="FEO671" t="str">
        <f>IFERROR(VLOOKUP(FEP671,'[3]Raw material  (3)'!FEN653:FFF3729,3,0),"")</f>
        <v/>
      </c>
      <c r="FEP671" t="str">
        <f>IFERROR(VLOOKUP(FEQ671,'[3]Raw material  (3)'!FEO653:FFG3729,3,0),"")</f>
        <v/>
      </c>
      <c r="FEQ671" t="str">
        <f>IFERROR(VLOOKUP(FER671,'[3]Raw material  (3)'!FEP653:FFH3729,3,0),"")</f>
        <v/>
      </c>
      <c r="FER671" t="str">
        <f>IFERROR(VLOOKUP(FES671,'[3]Raw material  (3)'!FEQ653:FFI3729,3,0),"")</f>
        <v/>
      </c>
      <c r="FES671" t="str">
        <f>IFERROR(VLOOKUP(FET671,'[3]Raw material  (3)'!FER653:FFJ3729,3,0),"")</f>
        <v/>
      </c>
      <c r="FET671" t="str">
        <f>IFERROR(VLOOKUP(FEU671,'[3]Raw material  (3)'!FES653:FFK3729,3,0),"")</f>
        <v/>
      </c>
      <c r="FEU671" t="str">
        <f>IFERROR(VLOOKUP(FEV671,'[3]Raw material  (3)'!FET653:FFL3729,3,0),"")</f>
        <v/>
      </c>
      <c r="FEV671" t="str">
        <f>IFERROR(VLOOKUP(FEW671,'[3]Raw material  (3)'!FEU653:FFM3729,3,0),"")</f>
        <v/>
      </c>
      <c r="FEW671" t="str">
        <f>IFERROR(VLOOKUP(FEX671,'[3]Raw material  (3)'!FEV653:FFN3729,3,0),"")</f>
        <v/>
      </c>
      <c r="FEX671" t="str">
        <f>IFERROR(VLOOKUP(FEY671,'[3]Raw material  (3)'!FEW653:FFO3729,3,0),"")</f>
        <v/>
      </c>
      <c r="FEY671" t="str">
        <f>IFERROR(VLOOKUP(FEZ671,'[3]Raw material  (3)'!FEX653:FFP3729,3,0),"")</f>
        <v/>
      </c>
      <c r="FEZ671" t="str">
        <f>IFERROR(VLOOKUP(FFA671,'[3]Raw material  (3)'!FEY653:FFQ3729,3,0),"")</f>
        <v/>
      </c>
      <c r="FFA671" t="str">
        <f>IFERROR(VLOOKUP(FFB671,'[3]Raw material  (3)'!FEZ653:FFR3729,3,0),"")</f>
        <v/>
      </c>
      <c r="FFB671" t="str">
        <f>IFERROR(VLOOKUP(FFC671,'[3]Raw material  (3)'!FFA653:FFS3729,3,0),"")</f>
        <v/>
      </c>
      <c r="FFC671" t="str">
        <f>IFERROR(VLOOKUP(FFD671,'[3]Raw material  (3)'!FFB653:FFT3729,3,0),"")</f>
        <v/>
      </c>
      <c r="FFD671" t="str">
        <f>IFERROR(VLOOKUP(FFE671,'[3]Raw material  (3)'!FFC653:FFU3729,3,0),"")</f>
        <v/>
      </c>
      <c r="FFE671" t="str">
        <f>IFERROR(VLOOKUP(FFF671,'[3]Raw material  (3)'!FFD653:FFV3729,3,0),"")</f>
        <v/>
      </c>
      <c r="FFF671" t="str">
        <f>IFERROR(VLOOKUP(FFG671,'[3]Raw material  (3)'!FFE653:FFW3729,3,0),"")</f>
        <v/>
      </c>
      <c r="FFG671" t="str">
        <f>IFERROR(VLOOKUP(FFH671,'[3]Raw material  (3)'!FFF653:FFX3729,3,0),"")</f>
        <v/>
      </c>
      <c r="FFH671" t="str">
        <f>IFERROR(VLOOKUP(FFI671,'[3]Raw material  (3)'!FFG653:FFY3729,3,0),"")</f>
        <v/>
      </c>
      <c r="FFI671" t="str">
        <f>IFERROR(VLOOKUP(FFJ671,'[3]Raw material  (3)'!FFH653:FFZ3729,3,0),"")</f>
        <v/>
      </c>
      <c r="FFJ671" t="str">
        <f>IFERROR(VLOOKUP(FFK671,'[3]Raw material  (3)'!FFI653:FGA3729,3,0),"")</f>
        <v/>
      </c>
      <c r="FFK671" t="str">
        <f>IFERROR(VLOOKUP(FFL671,'[3]Raw material  (3)'!FFJ653:FGB3729,3,0),"")</f>
        <v/>
      </c>
      <c r="FFL671" t="str">
        <f>IFERROR(VLOOKUP(FFM671,'[3]Raw material  (3)'!FFK653:FGC3729,3,0),"")</f>
        <v/>
      </c>
      <c r="FFM671" t="str">
        <f>IFERROR(VLOOKUP(FFN671,'[3]Raw material  (3)'!FFL653:FGD3729,3,0),"")</f>
        <v/>
      </c>
      <c r="FFN671" t="str">
        <f>IFERROR(VLOOKUP(FFO671,'[3]Raw material  (3)'!FFM653:FGE3729,3,0),"")</f>
        <v/>
      </c>
      <c r="FFO671" t="str">
        <f>IFERROR(VLOOKUP(FFP671,'[3]Raw material  (3)'!FFN653:FGF3729,3,0),"")</f>
        <v/>
      </c>
      <c r="FFP671" t="str">
        <f>IFERROR(VLOOKUP(FFQ671,'[3]Raw material  (3)'!FFO653:FGG3729,3,0),"")</f>
        <v/>
      </c>
      <c r="FFQ671" t="str">
        <f>IFERROR(VLOOKUP(FFR671,'[3]Raw material  (3)'!FFP653:FGH3729,3,0),"")</f>
        <v/>
      </c>
      <c r="FFR671" t="str">
        <f>IFERROR(VLOOKUP(FFS671,'[3]Raw material  (3)'!FFQ653:FGI3729,3,0),"")</f>
        <v/>
      </c>
      <c r="FFS671" t="str">
        <f>IFERROR(VLOOKUP(FFT671,'[3]Raw material  (3)'!FFR653:FGJ3729,3,0),"")</f>
        <v/>
      </c>
      <c r="FFT671" t="str">
        <f>IFERROR(VLOOKUP(FFU671,'[3]Raw material  (3)'!FFS653:FGK3729,3,0),"")</f>
        <v/>
      </c>
      <c r="FFU671" t="str">
        <f>IFERROR(VLOOKUP(FFV671,'[3]Raw material  (3)'!FFT653:FGL3729,3,0),"")</f>
        <v/>
      </c>
      <c r="FFV671" t="str">
        <f>IFERROR(VLOOKUP(FFW671,'[3]Raw material  (3)'!FFU653:FGM3729,3,0),"")</f>
        <v/>
      </c>
      <c r="FFW671" t="str">
        <f>IFERROR(VLOOKUP(FFX671,'[3]Raw material  (3)'!FFV653:FGN3729,3,0),"")</f>
        <v/>
      </c>
      <c r="FFX671" t="str">
        <f>IFERROR(VLOOKUP(FFY671,'[3]Raw material  (3)'!FFW653:FGO3729,3,0),"")</f>
        <v/>
      </c>
      <c r="FFY671" t="str">
        <f>IFERROR(VLOOKUP(FFZ671,'[3]Raw material  (3)'!FFX653:FGP3729,3,0),"")</f>
        <v/>
      </c>
      <c r="FFZ671" t="str">
        <f>IFERROR(VLOOKUP(FGA671,'[3]Raw material  (3)'!FFY653:FGQ3729,3,0),"")</f>
        <v/>
      </c>
      <c r="FGA671" t="str">
        <f>IFERROR(VLOOKUP(FGB671,'[3]Raw material  (3)'!FFZ653:FGR3729,3,0),"")</f>
        <v/>
      </c>
      <c r="FGB671" t="str">
        <f>IFERROR(VLOOKUP(FGC671,'[3]Raw material  (3)'!FGA653:FGS3729,3,0),"")</f>
        <v/>
      </c>
      <c r="FGC671" t="str">
        <f>IFERROR(VLOOKUP(FGD671,'[3]Raw material  (3)'!FGB653:FGT3729,3,0),"")</f>
        <v/>
      </c>
      <c r="FGD671" t="str">
        <f>IFERROR(VLOOKUP(FGE671,'[3]Raw material  (3)'!FGC653:FGU3729,3,0),"")</f>
        <v/>
      </c>
      <c r="FGE671" t="str">
        <f>IFERROR(VLOOKUP(FGF671,'[3]Raw material  (3)'!FGD653:FGV3729,3,0),"")</f>
        <v/>
      </c>
      <c r="FGF671" t="str">
        <f>IFERROR(VLOOKUP(FGG671,'[3]Raw material  (3)'!FGE653:FGW3729,3,0),"")</f>
        <v/>
      </c>
      <c r="FGG671" t="str">
        <f>IFERROR(VLOOKUP(FGH671,'[3]Raw material  (3)'!FGF653:FGX3729,3,0),"")</f>
        <v/>
      </c>
      <c r="FGH671" t="str">
        <f>IFERROR(VLOOKUP(FGI671,'[3]Raw material  (3)'!FGG653:FGY3729,3,0),"")</f>
        <v/>
      </c>
      <c r="FGI671" t="str">
        <f>IFERROR(VLOOKUP(FGJ671,'[3]Raw material  (3)'!FGH653:FGZ3729,3,0),"")</f>
        <v/>
      </c>
      <c r="FGJ671" t="str">
        <f>IFERROR(VLOOKUP(FGK671,'[3]Raw material  (3)'!FGI653:FHA3729,3,0),"")</f>
        <v/>
      </c>
      <c r="FGK671" t="str">
        <f>IFERROR(VLOOKUP(FGL671,'[3]Raw material  (3)'!FGJ653:FHB3729,3,0),"")</f>
        <v/>
      </c>
      <c r="FGL671" t="str">
        <f>IFERROR(VLOOKUP(FGM671,'[3]Raw material  (3)'!FGK653:FHC3729,3,0),"")</f>
        <v/>
      </c>
      <c r="FGM671" t="str">
        <f>IFERROR(VLOOKUP(FGN671,'[3]Raw material  (3)'!FGL653:FHD3729,3,0),"")</f>
        <v/>
      </c>
      <c r="FGN671" t="str">
        <f>IFERROR(VLOOKUP(FGO671,'[3]Raw material  (3)'!FGM653:FHE3729,3,0),"")</f>
        <v/>
      </c>
      <c r="FGO671" t="str">
        <f>IFERROR(VLOOKUP(FGP671,'[3]Raw material  (3)'!FGN653:FHF3729,3,0),"")</f>
        <v/>
      </c>
      <c r="FGP671" t="str">
        <f>IFERROR(VLOOKUP(FGQ671,'[3]Raw material  (3)'!FGO653:FHG3729,3,0),"")</f>
        <v/>
      </c>
      <c r="FGQ671" t="str">
        <f>IFERROR(VLOOKUP(FGR671,'[3]Raw material  (3)'!FGP653:FHH3729,3,0),"")</f>
        <v/>
      </c>
      <c r="FGR671" t="str">
        <f>IFERROR(VLOOKUP(FGS671,'[3]Raw material  (3)'!FGQ653:FHI3729,3,0),"")</f>
        <v/>
      </c>
      <c r="FGS671" t="str">
        <f>IFERROR(VLOOKUP(FGT671,'[3]Raw material  (3)'!FGR653:FHJ3729,3,0),"")</f>
        <v/>
      </c>
      <c r="FGT671" t="str">
        <f>IFERROR(VLOOKUP(FGU671,'[3]Raw material  (3)'!FGS653:FHK3729,3,0),"")</f>
        <v/>
      </c>
      <c r="FGU671" t="str">
        <f>IFERROR(VLOOKUP(FGV671,'[3]Raw material  (3)'!FGT653:FHL3729,3,0),"")</f>
        <v/>
      </c>
      <c r="FGV671" t="str">
        <f>IFERROR(VLOOKUP(FGW671,'[3]Raw material  (3)'!FGU653:FHM3729,3,0),"")</f>
        <v/>
      </c>
      <c r="FGW671" t="str">
        <f>IFERROR(VLOOKUP(FGX671,'[3]Raw material  (3)'!FGV653:FHN3729,3,0),"")</f>
        <v/>
      </c>
      <c r="FGX671" t="str">
        <f>IFERROR(VLOOKUP(FGY671,'[3]Raw material  (3)'!FGW653:FHO3729,3,0),"")</f>
        <v/>
      </c>
      <c r="FGY671" t="str">
        <f>IFERROR(VLOOKUP(FGZ671,'[3]Raw material  (3)'!FGX653:FHP3729,3,0),"")</f>
        <v/>
      </c>
      <c r="FGZ671" t="str">
        <f>IFERROR(VLOOKUP(FHA671,'[3]Raw material  (3)'!FGY653:FHQ3729,3,0),"")</f>
        <v/>
      </c>
      <c r="FHA671" t="str">
        <f>IFERROR(VLOOKUP(FHB671,'[3]Raw material  (3)'!FGZ653:FHR3729,3,0),"")</f>
        <v/>
      </c>
      <c r="FHB671" t="str">
        <f>IFERROR(VLOOKUP(FHC671,'[3]Raw material  (3)'!FHA653:FHS3729,3,0),"")</f>
        <v/>
      </c>
      <c r="FHC671" t="str">
        <f>IFERROR(VLOOKUP(FHD671,'[3]Raw material  (3)'!FHB653:FHT3729,3,0),"")</f>
        <v/>
      </c>
      <c r="FHD671" t="str">
        <f>IFERROR(VLOOKUP(FHE671,'[3]Raw material  (3)'!FHC653:FHU3729,3,0),"")</f>
        <v/>
      </c>
      <c r="FHE671" t="str">
        <f>IFERROR(VLOOKUP(FHF671,'[3]Raw material  (3)'!FHD653:FHV3729,3,0),"")</f>
        <v/>
      </c>
      <c r="FHF671" t="str">
        <f>IFERROR(VLOOKUP(FHG671,'[3]Raw material  (3)'!FHE653:FHW3729,3,0),"")</f>
        <v/>
      </c>
      <c r="FHG671" t="str">
        <f>IFERROR(VLOOKUP(FHH671,'[3]Raw material  (3)'!FHF653:FHX3729,3,0),"")</f>
        <v/>
      </c>
      <c r="FHH671" t="str">
        <f>IFERROR(VLOOKUP(FHI671,'[3]Raw material  (3)'!FHG653:FHY3729,3,0),"")</f>
        <v/>
      </c>
      <c r="FHI671" t="str">
        <f>IFERROR(VLOOKUP(FHJ671,'[3]Raw material  (3)'!FHH653:FHZ3729,3,0),"")</f>
        <v/>
      </c>
      <c r="FHJ671" t="str">
        <f>IFERROR(VLOOKUP(FHK671,'[3]Raw material  (3)'!FHI653:FIA3729,3,0),"")</f>
        <v/>
      </c>
      <c r="FHK671" t="str">
        <f>IFERROR(VLOOKUP(FHL671,'[3]Raw material  (3)'!FHJ653:FIB3729,3,0),"")</f>
        <v/>
      </c>
      <c r="FHL671" t="str">
        <f>IFERROR(VLOOKUP(FHM671,'[3]Raw material  (3)'!FHK653:FIC3729,3,0),"")</f>
        <v/>
      </c>
      <c r="FHM671" t="str">
        <f>IFERROR(VLOOKUP(FHN671,'[3]Raw material  (3)'!FHL653:FID3729,3,0),"")</f>
        <v/>
      </c>
      <c r="FHN671" t="str">
        <f>IFERROR(VLOOKUP(FHO671,'[3]Raw material  (3)'!FHM653:FIE3729,3,0),"")</f>
        <v/>
      </c>
      <c r="FHO671" t="str">
        <f>IFERROR(VLOOKUP(FHP671,'[3]Raw material  (3)'!FHN653:FIF3729,3,0),"")</f>
        <v/>
      </c>
      <c r="FHP671" t="str">
        <f>IFERROR(VLOOKUP(FHQ671,'[3]Raw material  (3)'!FHO653:FIG3729,3,0),"")</f>
        <v/>
      </c>
      <c r="FHQ671" t="str">
        <f>IFERROR(VLOOKUP(FHR671,'[3]Raw material  (3)'!FHP653:FIH3729,3,0),"")</f>
        <v/>
      </c>
      <c r="FHR671" t="str">
        <f>IFERROR(VLOOKUP(FHS671,'[3]Raw material  (3)'!FHQ653:FII3729,3,0),"")</f>
        <v/>
      </c>
      <c r="FHS671" t="str">
        <f>IFERROR(VLOOKUP(FHT671,'[3]Raw material  (3)'!FHR653:FIJ3729,3,0),"")</f>
        <v/>
      </c>
      <c r="FHT671" t="str">
        <f>IFERROR(VLOOKUP(FHU671,'[3]Raw material  (3)'!FHS653:FIK3729,3,0),"")</f>
        <v/>
      </c>
      <c r="FHU671" t="str">
        <f>IFERROR(VLOOKUP(FHV671,'[3]Raw material  (3)'!FHT653:FIL3729,3,0),"")</f>
        <v/>
      </c>
      <c r="FHV671" t="str">
        <f>IFERROR(VLOOKUP(FHW671,'[3]Raw material  (3)'!FHU653:FIM3729,3,0),"")</f>
        <v/>
      </c>
      <c r="FHW671" t="str">
        <f>IFERROR(VLOOKUP(FHX671,'[3]Raw material  (3)'!FHV653:FIN3729,3,0),"")</f>
        <v/>
      </c>
      <c r="FHX671" t="str">
        <f>IFERROR(VLOOKUP(FHY671,'[3]Raw material  (3)'!FHW653:FIO3729,3,0),"")</f>
        <v/>
      </c>
      <c r="FHY671" t="str">
        <f>IFERROR(VLOOKUP(FHZ671,'[3]Raw material  (3)'!FHX653:FIP3729,3,0),"")</f>
        <v/>
      </c>
      <c r="FHZ671" t="str">
        <f>IFERROR(VLOOKUP(FIA671,'[3]Raw material  (3)'!FHY653:FIQ3729,3,0),"")</f>
        <v/>
      </c>
      <c r="FIA671" t="str">
        <f>IFERROR(VLOOKUP(FIB671,'[3]Raw material  (3)'!FHZ653:FIR3729,3,0),"")</f>
        <v/>
      </c>
      <c r="FIB671" t="str">
        <f>IFERROR(VLOOKUP(FIC671,'[3]Raw material  (3)'!FIA653:FIS3729,3,0),"")</f>
        <v/>
      </c>
      <c r="FIC671" t="str">
        <f>IFERROR(VLOOKUP(FID671,'[3]Raw material  (3)'!FIB653:FIT3729,3,0),"")</f>
        <v/>
      </c>
      <c r="FID671" t="str">
        <f>IFERROR(VLOOKUP(FIE671,'[3]Raw material  (3)'!FIC653:FIU3729,3,0),"")</f>
        <v/>
      </c>
      <c r="FIE671" t="str">
        <f>IFERROR(VLOOKUP(FIF671,'[3]Raw material  (3)'!FID653:FIV3729,3,0),"")</f>
        <v/>
      </c>
      <c r="FIF671" t="str">
        <f>IFERROR(VLOOKUP(FIG671,'[3]Raw material  (3)'!FIE653:FIW3729,3,0),"")</f>
        <v/>
      </c>
      <c r="FIG671" t="str">
        <f>IFERROR(VLOOKUP(FIH671,'[3]Raw material  (3)'!FIF653:FIX3729,3,0),"")</f>
        <v/>
      </c>
      <c r="FIH671" t="str">
        <f>IFERROR(VLOOKUP(FII671,'[3]Raw material  (3)'!FIG653:FIY3729,3,0),"")</f>
        <v/>
      </c>
      <c r="FII671" t="str">
        <f>IFERROR(VLOOKUP(FIJ671,'[3]Raw material  (3)'!FIH653:FIZ3729,3,0),"")</f>
        <v/>
      </c>
      <c r="FIJ671" t="str">
        <f>IFERROR(VLOOKUP(FIK671,'[3]Raw material  (3)'!FII653:FJA3729,3,0),"")</f>
        <v/>
      </c>
      <c r="FIK671" t="str">
        <f>IFERROR(VLOOKUP(FIL671,'[3]Raw material  (3)'!FIJ653:FJB3729,3,0),"")</f>
        <v/>
      </c>
      <c r="FIL671" t="str">
        <f>IFERROR(VLOOKUP(FIM671,'[3]Raw material  (3)'!FIK653:FJC3729,3,0),"")</f>
        <v/>
      </c>
      <c r="FIM671" t="str">
        <f>IFERROR(VLOOKUP(FIN671,'[3]Raw material  (3)'!FIL653:FJD3729,3,0),"")</f>
        <v/>
      </c>
      <c r="FIN671" t="str">
        <f>IFERROR(VLOOKUP(FIO671,'[3]Raw material  (3)'!FIM653:FJE3729,3,0),"")</f>
        <v/>
      </c>
      <c r="FIO671" t="str">
        <f>IFERROR(VLOOKUP(FIP671,'[3]Raw material  (3)'!FIN653:FJF3729,3,0),"")</f>
        <v/>
      </c>
      <c r="FIP671" t="str">
        <f>IFERROR(VLOOKUP(FIQ671,'[3]Raw material  (3)'!FIO653:FJG3729,3,0),"")</f>
        <v/>
      </c>
      <c r="FIQ671" t="str">
        <f>IFERROR(VLOOKUP(FIR671,'[3]Raw material  (3)'!FIP653:FJH3729,3,0),"")</f>
        <v/>
      </c>
      <c r="FIR671" t="str">
        <f>IFERROR(VLOOKUP(FIS671,'[3]Raw material  (3)'!FIQ653:FJI3729,3,0),"")</f>
        <v/>
      </c>
      <c r="FIS671" t="str">
        <f>IFERROR(VLOOKUP(FIT671,'[3]Raw material  (3)'!FIR653:FJJ3729,3,0),"")</f>
        <v/>
      </c>
      <c r="FIT671" t="str">
        <f>IFERROR(VLOOKUP(FIU671,'[3]Raw material  (3)'!FIS653:FJK3729,3,0),"")</f>
        <v/>
      </c>
      <c r="FIU671" t="str">
        <f>IFERROR(VLOOKUP(FIV671,'[3]Raw material  (3)'!FIT653:FJL3729,3,0),"")</f>
        <v/>
      </c>
      <c r="FIV671" t="str">
        <f>IFERROR(VLOOKUP(FIW671,'[3]Raw material  (3)'!FIU653:FJM3729,3,0),"")</f>
        <v/>
      </c>
      <c r="FIW671" t="str">
        <f>IFERROR(VLOOKUP(FIX671,'[3]Raw material  (3)'!FIV653:FJN3729,3,0),"")</f>
        <v/>
      </c>
      <c r="FIX671" t="str">
        <f>IFERROR(VLOOKUP(FIY671,'[3]Raw material  (3)'!FIW653:FJO3729,3,0),"")</f>
        <v/>
      </c>
      <c r="FIY671" t="str">
        <f>IFERROR(VLOOKUP(FIZ671,'[3]Raw material  (3)'!FIX653:FJP3729,3,0),"")</f>
        <v/>
      </c>
      <c r="FIZ671" t="str">
        <f>IFERROR(VLOOKUP(FJA671,'[3]Raw material  (3)'!FIY653:FJQ3729,3,0),"")</f>
        <v/>
      </c>
      <c r="FJA671" t="str">
        <f>IFERROR(VLOOKUP(FJB671,'[3]Raw material  (3)'!FIZ653:FJR3729,3,0),"")</f>
        <v/>
      </c>
      <c r="FJB671" t="str">
        <f>IFERROR(VLOOKUP(FJC671,'[3]Raw material  (3)'!FJA653:FJS3729,3,0),"")</f>
        <v/>
      </c>
      <c r="FJC671" t="str">
        <f>IFERROR(VLOOKUP(FJD671,'[3]Raw material  (3)'!FJB653:FJT3729,3,0),"")</f>
        <v/>
      </c>
      <c r="FJD671" t="str">
        <f>IFERROR(VLOOKUP(FJE671,'[3]Raw material  (3)'!FJC653:FJU3729,3,0),"")</f>
        <v/>
      </c>
      <c r="FJE671" t="str">
        <f>IFERROR(VLOOKUP(FJF671,'[3]Raw material  (3)'!FJD653:FJV3729,3,0),"")</f>
        <v/>
      </c>
      <c r="FJF671" t="str">
        <f>IFERROR(VLOOKUP(FJG671,'[3]Raw material  (3)'!FJE653:FJW3729,3,0),"")</f>
        <v/>
      </c>
      <c r="FJG671" t="str">
        <f>IFERROR(VLOOKUP(FJH671,'[3]Raw material  (3)'!FJF653:FJX3729,3,0),"")</f>
        <v/>
      </c>
      <c r="FJH671" t="str">
        <f>IFERROR(VLOOKUP(FJI671,'[3]Raw material  (3)'!FJG653:FJY3729,3,0),"")</f>
        <v/>
      </c>
      <c r="FJI671" t="str">
        <f>IFERROR(VLOOKUP(FJJ671,'[3]Raw material  (3)'!FJH653:FJZ3729,3,0),"")</f>
        <v/>
      </c>
      <c r="FJJ671" t="str">
        <f>IFERROR(VLOOKUP(FJK671,'[3]Raw material  (3)'!FJI653:FKA3729,3,0),"")</f>
        <v/>
      </c>
      <c r="FJK671" t="str">
        <f>IFERROR(VLOOKUP(FJL671,'[3]Raw material  (3)'!FJJ653:FKB3729,3,0),"")</f>
        <v/>
      </c>
      <c r="FJL671" t="str">
        <f>IFERROR(VLOOKUP(FJM671,'[3]Raw material  (3)'!FJK653:FKC3729,3,0),"")</f>
        <v/>
      </c>
      <c r="FJM671" t="str">
        <f>IFERROR(VLOOKUP(FJN671,'[3]Raw material  (3)'!FJL653:FKD3729,3,0),"")</f>
        <v/>
      </c>
      <c r="FJN671" t="str">
        <f>IFERROR(VLOOKUP(FJO671,'[3]Raw material  (3)'!FJM653:FKE3729,3,0),"")</f>
        <v/>
      </c>
      <c r="FJO671" t="str">
        <f>IFERROR(VLOOKUP(FJP671,'[3]Raw material  (3)'!FJN653:FKF3729,3,0),"")</f>
        <v/>
      </c>
      <c r="FJP671" t="str">
        <f>IFERROR(VLOOKUP(FJQ671,'[3]Raw material  (3)'!FJO653:FKG3729,3,0),"")</f>
        <v/>
      </c>
      <c r="FJQ671" t="str">
        <f>IFERROR(VLOOKUP(FJR671,'[3]Raw material  (3)'!FJP653:FKH3729,3,0),"")</f>
        <v/>
      </c>
      <c r="FJR671" t="str">
        <f>IFERROR(VLOOKUP(FJS671,'[3]Raw material  (3)'!FJQ653:FKI3729,3,0),"")</f>
        <v/>
      </c>
      <c r="FJS671" t="str">
        <f>IFERROR(VLOOKUP(FJT671,'[3]Raw material  (3)'!FJR653:FKJ3729,3,0),"")</f>
        <v/>
      </c>
      <c r="FJT671" t="str">
        <f>IFERROR(VLOOKUP(FJU671,'[3]Raw material  (3)'!FJS653:FKK3729,3,0),"")</f>
        <v/>
      </c>
      <c r="FJU671" t="str">
        <f>IFERROR(VLOOKUP(FJV671,'[3]Raw material  (3)'!FJT653:FKL3729,3,0),"")</f>
        <v/>
      </c>
      <c r="FJV671" t="str">
        <f>IFERROR(VLOOKUP(FJW671,'[3]Raw material  (3)'!FJU653:FKM3729,3,0),"")</f>
        <v/>
      </c>
      <c r="FJW671" t="str">
        <f>IFERROR(VLOOKUP(FJX671,'[3]Raw material  (3)'!FJV653:FKN3729,3,0),"")</f>
        <v/>
      </c>
      <c r="FJX671" t="str">
        <f>IFERROR(VLOOKUP(FJY671,'[3]Raw material  (3)'!FJW653:FKO3729,3,0),"")</f>
        <v/>
      </c>
      <c r="FJY671" t="str">
        <f>IFERROR(VLOOKUP(FJZ671,'[3]Raw material  (3)'!FJX653:FKP3729,3,0),"")</f>
        <v/>
      </c>
      <c r="FJZ671" t="str">
        <f>IFERROR(VLOOKUP(FKA671,'[3]Raw material  (3)'!FJY653:FKQ3729,3,0),"")</f>
        <v/>
      </c>
      <c r="FKA671" t="str">
        <f>IFERROR(VLOOKUP(FKB671,'[3]Raw material  (3)'!FJZ653:FKR3729,3,0),"")</f>
        <v/>
      </c>
      <c r="FKB671" t="str">
        <f>IFERROR(VLOOKUP(FKC671,'[3]Raw material  (3)'!FKA653:FKS3729,3,0),"")</f>
        <v/>
      </c>
      <c r="FKC671" t="str">
        <f>IFERROR(VLOOKUP(FKD671,'[3]Raw material  (3)'!FKB653:FKT3729,3,0),"")</f>
        <v/>
      </c>
      <c r="FKD671" t="str">
        <f>IFERROR(VLOOKUP(FKE671,'[3]Raw material  (3)'!FKC653:FKU3729,3,0),"")</f>
        <v/>
      </c>
      <c r="FKE671" t="str">
        <f>IFERROR(VLOOKUP(FKF671,'[3]Raw material  (3)'!FKD653:FKV3729,3,0),"")</f>
        <v/>
      </c>
      <c r="FKF671" t="str">
        <f>IFERROR(VLOOKUP(FKG671,'[3]Raw material  (3)'!FKE653:FKW3729,3,0),"")</f>
        <v/>
      </c>
      <c r="FKG671" t="str">
        <f>IFERROR(VLOOKUP(FKH671,'[3]Raw material  (3)'!FKF653:FKX3729,3,0),"")</f>
        <v/>
      </c>
      <c r="FKH671" t="str">
        <f>IFERROR(VLOOKUP(FKI671,'[3]Raw material  (3)'!FKG653:FKY3729,3,0),"")</f>
        <v/>
      </c>
      <c r="FKI671" t="str">
        <f>IFERROR(VLOOKUP(FKJ671,'[3]Raw material  (3)'!FKH653:FKZ3729,3,0),"")</f>
        <v/>
      </c>
      <c r="FKJ671" t="str">
        <f>IFERROR(VLOOKUP(FKK671,'[3]Raw material  (3)'!FKI653:FLA3729,3,0),"")</f>
        <v/>
      </c>
      <c r="FKK671" t="str">
        <f>IFERROR(VLOOKUP(FKL671,'[3]Raw material  (3)'!FKJ653:FLB3729,3,0),"")</f>
        <v/>
      </c>
      <c r="FKL671" t="str">
        <f>IFERROR(VLOOKUP(FKM671,'[3]Raw material  (3)'!FKK653:FLC3729,3,0),"")</f>
        <v/>
      </c>
      <c r="FKM671" t="str">
        <f>IFERROR(VLOOKUP(FKN671,'[3]Raw material  (3)'!FKL653:FLD3729,3,0),"")</f>
        <v/>
      </c>
      <c r="FKN671" t="str">
        <f>IFERROR(VLOOKUP(FKO671,'[3]Raw material  (3)'!FKM653:FLE3729,3,0),"")</f>
        <v/>
      </c>
      <c r="FKO671" t="str">
        <f>IFERROR(VLOOKUP(FKP671,'[3]Raw material  (3)'!FKN653:FLF3729,3,0),"")</f>
        <v/>
      </c>
      <c r="FKP671" t="str">
        <f>IFERROR(VLOOKUP(FKQ671,'[3]Raw material  (3)'!FKO653:FLG3729,3,0),"")</f>
        <v/>
      </c>
      <c r="FKQ671" t="str">
        <f>IFERROR(VLOOKUP(FKR671,'[3]Raw material  (3)'!FKP653:FLH3729,3,0),"")</f>
        <v/>
      </c>
      <c r="FKR671" t="str">
        <f>IFERROR(VLOOKUP(FKS671,'[3]Raw material  (3)'!FKQ653:FLI3729,3,0),"")</f>
        <v/>
      </c>
      <c r="FKS671" t="str">
        <f>IFERROR(VLOOKUP(FKT671,'[3]Raw material  (3)'!FKR653:FLJ3729,3,0),"")</f>
        <v/>
      </c>
      <c r="FKT671" t="str">
        <f>IFERROR(VLOOKUP(FKU671,'[3]Raw material  (3)'!FKS653:FLK3729,3,0),"")</f>
        <v/>
      </c>
      <c r="FKU671" t="str">
        <f>IFERROR(VLOOKUP(FKV671,'[3]Raw material  (3)'!FKT653:FLL3729,3,0),"")</f>
        <v/>
      </c>
      <c r="FKV671" t="str">
        <f>IFERROR(VLOOKUP(FKW671,'[3]Raw material  (3)'!FKU653:FLM3729,3,0),"")</f>
        <v/>
      </c>
      <c r="FKW671" t="str">
        <f>IFERROR(VLOOKUP(FKX671,'[3]Raw material  (3)'!FKV653:FLN3729,3,0),"")</f>
        <v/>
      </c>
      <c r="FKX671" t="str">
        <f>IFERROR(VLOOKUP(FKY671,'[3]Raw material  (3)'!FKW653:FLO3729,3,0),"")</f>
        <v/>
      </c>
      <c r="FKY671" t="str">
        <f>IFERROR(VLOOKUP(FKZ671,'[3]Raw material  (3)'!FKX653:FLP3729,3,0),"")</f>
        <v/>
      </c>
      <c r="FKZ671" t="str">
        <f>IFERROR(VLOOKUP(FLA671,'[3]Raw material  (3)'!FKY653:FLQ3729,3,0),"")</f>
        <v/>
      </c>
      <c r="FLA671" t="str">
        <f>IFERROR(VLOOKUP(FLB671,'[3]Raw material  (3)'!FKZ653:FLR3729,3,0),"")</f>
        <v/>
      </c>
      <c r="FLB671" t="str">
        <f>IFERROR(VLOOKUP(FLC671,'[3]Raw material  (3)'!FLA653:FLS3729,3,0),"")</f>
        <v/>
      </c>
      <c r="FLC671" t="str">
        <f>IFERROR(VLOOKUP(FLD671,'[3]Raw material  (3)'!FLB653:FLT3729,3,0),"")</f>
        <v/>
      </c>
      <c r="FLD671" t="str">
        <f>IFERROR(VLOOKUP(FLE671,'[3]Raw material  (3)'!FLC653:FLU3729,3,0),"")</f>
        <v/>
      </c>
      <c r="FLE671" t="str">
        <f>IFERROR(VLOOKUP(FLF671,'[3]Raw material  (3)'!FLD653:FLV3729,3,0),"")</f>
        <v/>
      </c>
      <c r="FLF671" t="str">
        <f>IFERROR(VLOOKUP(FLG671,'[3]Raw material  (3)'!FLE653:FLW3729,3,0),"")</f>
        <v/>
      </c>
      <c r="FLG671" t="str">
        <f>IFERROR(VLOOKUP(FLH671,'[3]Raw material  (3)'!FLF653:FLX3729,3,0),"")</f>
        <v/>
      </c>
      <c r="FLH671" t="str">
        <f>IFERROR(VLOOKUP(FLI671,'[3]Raw material  (3)'!FLG653:FLY3729,3,0),"")</f>
        <v/>
      </c>
      <c r="FLI671" t="str">
        <f>IFERROR(VLOOKUP(FLJ671,'[3]Raw material  (3)'!FLH653:FLZ3729,3,0),"")</f>
        <v/>
      </c>
      <c r="FLJ671" t="str">
        <f>IFERROR(VLOOKUP(FLK671,'[3]Raw material  (3)'!FLI653:FMA3729,3,0),"")</f>
        <v/>
      </c>
      <c r="FLK671" t="str">
        <f>IFERROR(VLOOKUP(FLL671,'[3]Raw material  (3)'!FLJ653:FMB3729,3,0),"")</f>
        <v/>
      </c>
      <c r="FLL671" t="str">
        <f>IFERROR(VLOOKUP(FLM671,'[3]Raw material  (3)'!FLK653:FMC3729,3,0),"")</f>
        <v/>
      </c>
      <c r="FLM671" t="str">
        <f>IFERROR(VLOOKUP(FLN671,'[3]Raw material  (3)'!FLL653:FMD3729,3,0),"")</f>
        <v/>
      </c>
      <c r="FLN671" t="str">
        <f>IFERROR(VLOOKUP(FLO671,'[3]Raw material  (3)'!FLM653:FME3729,3,0),"")</f>
        <v/>
      </c>
      <c r="FLO671" t="str">
        <f>IFERROR(VLOOKUP(FLP671,'[3]Raw material  (3)'!FLN653:FMF3729,3,0),"")</f>
        <v/>
      </c>
      <c r="FLP671" t="str">
        <f>IFERROR(VLOOKUP(FLQ671,'[3]Raw material  (3)'!FLO653:FMG3729,3,0),"")</f>
        <v/>
      </c>
      <c r="FLQ671" t="str">
        <f>IFERROR(VLOOKUP(FLR671,'[3]Raw material  (3)'!FLP653:FMH3729,3,0),"")</f>
        <v/>
      </c>
      <c r="FLR671" t="str">
        <f>IFERROR(VLOOKUP(FLS671,'[3]Raw material  (3)'!FLQ653:FMI3729,3,0),"")</f>
        <v/>
      </c>
      <c r="FLS671" t="str">
        <f>IFERROR(VLOOKUP(FLT671,'[3]Raw material  (3)'!FLR653:FMJ3729,3,0),"")</f>
        <v/>
      </c>
      <c r="FLT671" t="str">
        <f>IFERROR(VLOOKUP(FLU671,'[3]Raw material  (3)'!FLS653:FMK3729,3,0),"")</f>
        <v/>
      </c>
      <c r="FLU671" t="str">
        <f>IFERROR(VLOOKUP(FLV671,'[3]Raw material  (3)'!FLT653:FML3729,3,0),"")</f>
        <v/>
      </c>
      <c r="FLV671" t="str">
        <f>IFERROR(VLOOKUP(FLW671,'[3]Raw material  (3)'!FLU653:FMM3729,3,0),"")</f>
        <v/>
      </c>
      <c r="FLW671" t="str">
        <f>IFERROR(VLOOKUP(FLX671,'[3]Raw material  (3)'!FLV653:FMN3729,3,0),"")</f>
        <v/>
      </c>
      <c r="FLX671" t="str">
        <f>IFERROR(VLOOKUP(FLY671,'[3]Raw material  (3)'!FLW653:FMO3729,3,0),"")</f>
        <v/>
      </c>
      <c r="FLY671" t="str">
        <f>IFERROR(VLOOKUP(FLZ671,'[3]Raw material  (3)'!FLX653:FMP3729,3,0),"")</f>
        <v/>
      </c>
      <c r="FLZ671" t="str">
        <f>IFERROR(VLOOKUP(FMA671,'[3]Raw material  (3)'!FLY653:FMQ3729,3,0),"")</f>
        <v/>
      </c>
      <c r="FMA671" t="str">
        <f>IFERROR(VLOOKUP(FMB671,'[3]Raw material  (3)'!FLZ653:FMR3729,3,0),"")</f>
        <v/>
      </c>
      <c r="FMB671" t="str">
        <f>IFERROR(VLOOKUP(FMC671,'[3]Raw material  (3)'!FMA653:FMS3729,3,0),"")</f>
        <v/>
      </c>
      <c r="FMC671" t="str">
        <f>IFERROR(VLOOKUP(FMD671,'[3]Raw material  (3)'!FMB653:FMT3729,3,0),"")</f>
        <v/>
      </c>
      <c r="FMD671" t="str">
        <f>IFERROR(VLOOKUP(FME671,'[3]Raw material  (3)'!FMC653:FMU3729,3,0),"")</f>
        <v/>
      </c>
      <c r="FME671" t="str">
        <f>IFERROR(VLOOKUP(FMF671,'[3]Raw material  (3)'!FMD653:FMV3729,3,0),"")</f>
        <v/>
      </c>
      <c r="FMF671" t="str">
        <f>IFERROR(VLOOKUP(FMG671,'[3]Raw material  (3)'!FME653:FMW3729,3,0),"")</f>
        <v/>
      </c>
      <c r="FMG671" t="str">
        <f>IFERROR(VLOOKUP(FMH671,'[3]Raw material  (3)'!FMF653:FMX3729,3,0),"")</f>
        <v/>
      </c>
      <c r="FMH671" t="str">
        <f>IFERROR(VLOOKUP(FMI671,'[3]Raw material  (3)'!FMG653:FMY3729,3,0),"")</f>
        <v/>
      </c>
      <c r="FMI671" t="str">
        <f>IFERROR(VLOOKUP(FMJ671,'[3]Raw material  (3)'!FMH653:FMZ3729,3,0),"")</f>
        <v/>
      </c>
      <c r="FMJ671" t="str">
        <f>IFERROR(VLOOKUP(FMK671,'[3]Raw material  (3)'!FMI653:FNA3729,3,0),"")</f>
        <v/>
      </c>
      <c r="FMK671" t="str">
        <f>IFERROR(VLOOKUP(FML671,'[3]Raw material  (3)'!FMJ653:FNB3729,3,0),"")</f>
        <v/>
      </c>
      <c r="FML671" t="str">
        <f>IFERROR(VLOOKUP(FMM671,'[3]Raw material  (3)'!FMK653:FNC3729,3,0),"")</f>
        <v/>
      </c>
      <c r="FMM671" t="str">
        <f>IFERROR(VLOOKUP(FMN671,'[3]Raw material  (3)'!FML653:FND3729,3,0),"")</f>
        <v/>
      </c>
      <c r="FMN671" t="str">
        <f>IFERROR(VLOOKUP(FMO671,'[3]Raw material  (3)'!FMM653:FNE3729,3,0),"")</f>
        <v/>
      </c>
      <c r="FMO671" t="str">
        <f>IFERROR(VLOOKUP(FMP671,'[3]Raw material  (3)'!FMN653:FNF3729,3,0),"")</f>
        <v/>
      </c>
      <c r="FMP671" t="str">
        <f>IFERROR(VLOOKUP(FMQ671,'[3]Raw material  (3)'!FMO653:FNG3729,3,0),"")</f>
        <v/>
      </c>
      <c r="FMQ671" t="str">
        <f>IFERROR(VLOOKUP(FMR671,'[3]Raw material  (3)'!FMP653:FNH3729,3,0),"")</f>
        <v/>
      </c>
      <c r="FMR671" t="str">
        <f>IFERROR(VLOOKUP(FMS671,'[3]Raw material  (3)'!FMQ653:FNI3729,3,0),"")</f>
        <v/>
      </c>
      <c r="FMS671" t="str">
        <f>IFERROR(VLOOKUP(FMT671,'[3]Raw material  (3)'!FMR653:FNJ3729,3,0),"")</f>
        <v/>
      </c>
      <c r="FMT671" t="str">
        <f>IFERROR(VLOOKUP(FMU671,'[3]Raw material  (3)'!FMS653:FNK3729,3,0),"")</f>
        <v/>
      </c>
      <c r="FMU671" t="str">
        <f>IFERROR(VLOOKUP(FMV671,'[3]Raw material  (3)'!FMT653:FNL3729,3,0),"")</f>
        <v/>
      </c>
      <c r="FMV671" t="str">
        <f>IFERROR(VLOOKUP(FMW671,'[3]Raw material  (3)'!FMU653:FNM3729,3,0),"")</f>
        <v/>
      </c>
      <c r="FMW671" t="str">
        <f>IFERROR(VLOOKUP(FMX671,'[3]Raw material  (3)'!FMV653:FNN3729,3,0),"")</f>
        <v/>
      </c>
      <c r="FMX671" t="str">
        <f>IFERROR(VLOOKUP(FMY671,'[3]Raw material  (3)'!FMW653:FNO3729,3,0),"")</f>
        <v/>
      </c>
      <c r="FMY671" t="str">
        <f>IFERROR(VLOOKUP(FMZ671,'[3]Raw material  (3)'!FMX653:FNP3729,3,0),"")</f>
        <v/>
      </c>
      <c r="FMZ671" t="str">
        <f>IFERROR(VLOOKUP(FNA671,'[3]Raw material  (3)'!FMY653:FNQ3729,3,0),"")</f>
        <v/>
      </c>
      <c r="FNA671" t="str">
        <f>IFERROR(VLOOKUP(FNB671,'[3]Raw material  (3)'!FMZ653:FNR3729,3,0),"")</f>
        <v/>
      </c>
      <c r="FNB671" t="str">
        <f>IFERROR(VLOOKUP(FNC671,'[3]Raw material  (3)'!FNA653:FNS3729,3,0),"")</f>
        <v/>
      </c>
      <c r="FNC671" t="str">
        <f>IFERROR(VLOOKUP(FND671,'[3]Raw material  (3)'!FNB653:FNT3729,3,0),"")</f>
        <v/>
      </c>
      <c r="FND671" t="str">
        <f>IFERROR(VLOOKUP(FNE671,'[3]Raw material  (3)'!FNC653:FNU3729,3,0),"")</f>
        <v/>
      </c>
      <c r="FNE671" t="str">
        <f>IFERROR(VLOOKUP(FNF671,'[3]Raw material  (3)'!FND653:FNV3729,3,0),"")</f>
        <v/>
      </c>
      <c r="FNF671" t="str">
        <f>IFERROR(VLOOKUP(FNG671,'[3]Raw material  (3)'!FNE653:FNW3729,3,0),"")</f>
        <v/>
      </c>
      <c r="FNG671" t="str">
        <f>IFERROR(VLOOKUP(FNH671,'[3]Raw material  (3)'!FNF653:FNX3729,3,0),"")</f>
        <v/>
      </c>
      <c r="FNH671" t="str">
        <f>IFERROR(VLOOKUP(FNI671,'[3]Raw material  (3)'!FNG653:FNY3729,3,0),"")</f>
        <v/>
      </c>
      <c r="FNI671" t="str">
        <f>IFERROR(VLOOKUP(FNJ671,'[3]Raw material  (3)'!FNH653:FNZ3729,3,0),"")</f>
        <v/>
      </c>
      <c r="FNJ671" t="str">
        <f>IFERROR(VLOOKUP(FNK671,'[3]Raw material  (3)'!FNI653:FOA3729,3,0),"")</f>
        <v/>
      </c>
      <c r="FNK671" t="str">
        <f>IFERROR(VLOOKUP(FNL671,'[3]Raw material  (3)'!FNJ653:FOB3729,3,0),"")</f>
        <v/>
      </c>
      <c r="FNL671" t="str">
        <f>IFERROR(VLOOKUP(FNM671,'[3]Raw material  (3)'!FNK653:FOC3729,3,0),"")</f>
        <v/>
      </c>
      <c r="FNM671" t="str">
        <f>IFERROR(VLOOKUP(FNN671,'[3]Raw material  (3)'!FNL653:FOD3729,3,0),"")</f>
        <v/>
      </c>
      <c r="FNN671" t="str">
        <f>IFERROR(VLOOKUP(FNO671,'[3]Raw material  (3)'!FNM653:FOE3729,3,0),"")</f>
        <v/>
      </c>
      <c r="FNO671" t="str">
        <f>IFERROR(VLOOKUP(FNP671,'[3]Raw material  (3)'!FNN653:FOF3729,3,0),"")</f>
        <v/>
      </c>
      <c r="FNP671" t="str">
        <f>IFERROR(VLOOKUP(FNQ671,'[3]Raw material  (3)'!FNO653:FOG3729,3,0),"")</f>
        <v/>
      </c>
      <c r="FNQ671" t="str">
        <f>IFERROR(VLOOKUP(FNR671,'[3]Raw material  (3)'!FNP653:FOH3729,3,0),"")</f>
        <v/>
      </c>
      <c r="FNR671" t="str">
        <f>IFERROR(VLOOKUP(FNS671,'[3]Raw material  (3)'!FNQ653:FOI3729,3,0),"")</f>
        <v/>
      </c>
      <c r="FNS671" t="str">
        <f>IFERROR(VLOOKUP(FNT671,'[3]Raw material  (3)'!FNR653:FOJ3729,3,0),"")</f>
        <v/>
      </c>
      <c r="FNT671" t="str">
        <f>IFERROR(VLOOKUP(FNU671,'[3]Raw material  (3)'!FNS653:FOK3729,3,0),"")</f>
        <v/>
      </c>
      <c r="FNU671" t="str">
        <f>IFERROR(VLOOKUP(FNV671,'[3]Raw material  (3)'!FNT653:FOL3729,3,0),"")</f>
        <v/>
      </c>
      <c r="FNV671" t="str">
        <f>IFERROR(VLOOKUP(FNW671,'[3]Raw material  (3)'!FNU653:FOM3729,3,0),"")</f>
        <v/>
      </c>
      <c r="FNW671" t="str">
        <f>IFERROR(VLOOKUP(FNX671,'[3]Raw material  (3)'!FNV653:FON3729,3,0),"")</f>
        <v/>
      </c>
      <c r="FNX671" t="str">
        <f>IFERROR(VLOOKUP(FNY671,'[3]Raw material  (3)'!FNW653:FOO3729,3,0),"")</f>
        <v/>
      </c>
      <c r="FNY671" t="str">
        <f>IFERROR(VLOOKUP(FNZ671,'[3]Raw material  (3)'!FNX653:FOP3729,3,0),"")</f>
        <v/>
      </c>
      <c r="FNZ671" t="str">
        <f>IFERROR(VLOOKUP(FOA671,'[3]Raw material  (3)'!FNY653:FOQ3729,3,0),"")</f>
        <v/>
      </c>
      <c r="FOA671" t="str">
        <f>IFERROR(VLOOKUP(FOB671,'[3]Raw material  (3)'!FNZ653:FOR3729,3,0),"")</f>
        <v/>
      </c>
      <c r="FOB671" t="str">
        <f>IFERROR(VLOOKUP(FOC671,'[3]Raw material  (3)'!FOA653:FOS3729,3,0),"")</f>
        <v/>
      </c>
      <c r="FOC671" t="str">
        <f>IFERROR(VLOOKUP(FOD671,'[3]Raw material  (3)'!FOB653:FOT3729,3,0),"")</f>
        <v/>
      </c>
      <c r="FOD671" t="str">
        <f>IFERROR(VLOOKUP(FOE671,'[3]Raw material  (3)'!FOC653:FOU3729,3,0),"")</f>
        <v/>
      </c>
      <c r="FOE671" t="str">
        <f>IFERROR(VLOOKUP(FOF671,'[3]Raw material  (3)'!FOD653:FOV3729,3,0),"")</f>
        <v/>
      </c>
      <c r="FOF671" t="str">
        <f>IFERROR(VLOOKUP(FOG671,'[3]Raw material  (3)'!FOE653:FOW3729,3,0),"")</f>
        <v/>
      </c>
      <c r="FOG671" t="str">
        <f>IFERROR(VLOOKUP(FOH671,'[3]Raw material  (3)'!FOF653:FOX3729,3,0),"")</f>
        <v/>
      </c>
      <c r="FOH671" t="str">
        <f>IFERROR(VLOOKUP(FOI671,'[3]Raw material  (3)'!FOG653:FOY3729,3,0),"")</f>
        <v/>
      </c>
      <c r="FOI671" t="str">
        <f>IFERROR(VLOOKUP(FOJ671,'[3]Raw material  (3)'!FOH653:FOZ3729,3,0),"")</f>
        <v/>
      </c>
      <c r="FOJ671" t="str">
        <f>IFERROR(VLOOKUP(FOK671,'[3]Raw material  (3)'!FOI653:FPA3729,3,0),"")</f>
        <v/>
      </c>
      <c r="FOK671" t="str">
        <f>IFERROR(VLOOKUP(FOL671,'[3]Raw material  (3)'!FOJ653:FPB3729,3,0),"")</f>
        <v/>
      </c>
      <c r="FOL671" t="str">
        <f>IFERROR(VLOOKUP(FOM671,'[3]Raw material  (3)'!FOK653:FPC3729,3,0),"")</f>
        <v/>
      </c>
      <c r="FOM671" t="str">
        <f>IFERROR(VLOOKUP(FON671,'[3]Raw material  (3)'!FOL653:FPD3729,3,0),"")</f>
        <v/>
      </c>
      <c r="FON671" t="str">
        <f>IFERROR(VLOOKUP(FOO671,'[3]Raw material  (3)'!FOM653:FPE3729,3,0),"")</f>
        <v/>
      </c>
      <c r="FOO671" t="str">
        <f>IFERROR(VLOOKUP(FOP671,'[3]Raw material  (3)'!FON653:FPF3729,3,0),"")</f>
        <v/>
      </c>
      <c r="FOP671" t="str">
        <f>IFERROR(VLOOKUP(FOQ671,'[3]Raw material  (3)'!FOO653:FPG3729,3,0),"")</f>
        <v/>
      </c>
      <c r="FOQ671" t="str">
        <f>IFERROR(VLOOKUP(FOR671,'[3]Raw material  (3)'!FOP653:FPH3729,3,0),"")</f>
        <v/>
      </c>
      <c r="FOR671" t="str">
        <f>IFERROR(VLOOKUP(FOS671,'[3]Raw material  (3)'!FOQ653:FPI3729,3,0),"")</f>
        <v/>
      </c>
      <c r="FOS671" t="str">
        <f>IFERROR(VLOOKUP(FOT671,'[3]Raw material  (3)'!FOR653:FPJ3729,3,0),"")</f>
        <v/>
      </c>
      <c r="FOT671" t="str">
        <f>IFERROR(VLOOKUP(FOU671,'[3]Raw material  (3)'!FOS653:FPK3729,3,0),"")</f>
        <v/>
      </c>
      <c r="FOU671" t="str">
        <f>IFERROR(VLOOKUP(FOV671,'[3]Raw material  (3)'!FOT653:FPL3729,3,0),"")</f>
        <v/>
      </c>
      <c r="FOV671" t="str">
        <f>IFERROR(VLOOKUP(FOW671,'[3]Raw material  (3)'!FOU653:FPM3729,3,0),"")</f>
        <v/>
      </c>
      <c r="FOW671" t="str">
        <f>IFERROR(VLOOKUP(FOX671,'[3]Raw material  (3)'!FOV653:FPN3729,3,0),"")</f>
        <v/>
      </c>
      <c r="FOX671" t="str">
        <f>IFERROR(VLOOKUP(FOY671,'[3]Raw material  (3)'!FOW653:FPO3729,3,0),"")</f>
        <v/>
      </c>
      <c r="FOY671" t="str">
        <f>IFERROR(VLOOKUP(FOZ671,'[3]Raw material  (3)'!FOX653:FPP3729,3,0),"")</f>
        <v/>
      </c>
      <c r="FOZ671" t="str">
        <f>IFERROR(VLOOKUP(FPA671,'[3]Raw material  (3)'!FOY653:FPQ3729,3,0),"")</f>
        <v/>
      </c>
      <c r="FPA671" t="str">
        <f>IFERROR(VLOOKUP(FPB671,'[3]Raw material  (3)'!FOZ653:FPR3729,3,0),"")</f>
        <v/>
      </c>
      <c r="FPB671" t="str">
        <f>IFERROR(VLOOKUP(FPC671,'[3]Raw material  (3)'!FPA653:FPS3729,3,0),"")</f>
        <v/>
      </c>
      <c r="FPC671" t="str">
        <f>IFERROR(VLOOKUP(FPD671,'[3]Raw material  (3)'!FPB653:FPT3729,3,0),"")</f>
        <v/>
      </c>
      <c r="FPD671" t="str">
        <f>IFERROR(VLOOKUP(FPE671,'[3]Raw material  (3)'!FPC653:FPU3729,3,0),"")</f>
        <v/>
      </c>
      <c r="FPE671" t="str">
        <f>IFERROR(VLOOKUP(FPF671,'[3]Raw material  (3)'!FPD653:FPV3729,3,0),"")</f>
        <v/>
      </c>
      <c r="FPF671" t="str">
        <f>IFERROR(VLOOKUP(FPG671,'[3]Raw material  (3)'!FPE653:FPW3729,3,0),"")</f>
        <v/>
      </c>
      <c r="FPG671" t="str">
        <f>IFERROR(VLOOKUP(FPH671,'[3]Raw material  (3)'!FPF653:FPX3729,3,0),"")</f>
        <v/>
      </c>
      <c r="FPH671" t="str">
        <f>IFERROR(VLOOKUP(FPI671,'[3]Raw material  (3)'!FPG653:FPY3729,3,0),"")</f>
        <v/>
      </c>
      <c r="FPI671" t="str">
        <f>IFERROR(VLOOKUP(FPJ671,'[3]Raw material  (3)'!FPH653:FPZ3729,3,0),"")</f>
        <v/>
      </c>
      <c r="FPJ671" t="str">
        <f>IFERROR(VLOOKUP(FPK671,'[3]Raw material  (3)'!FPI653:FQA3729,3,0),"")</f>
        <v/>
      </c>
      <c r="FPK671" t="str">
        <f>IFERROR(VLOOKUP(FPL671,'[3]Raw material  (3)'!FPJ653:FQB3729,3,0),"")</f>
        <v/>
      </c>
      <c r="FPL671" t="str">
        <f>IFERROR(VLOOKUP(FPM671,'[3]Raw material  (3)'!FPK653:FQC3729,3,0),"")</f>
        <v/>
      </c>
      <c r="FPM671" t="str">
        <f>IFERROR(VLOOKUP(FPN671,'[3]Raw material  (3)'!FPL653:FQD3729,3,0),"")</f>
        <v/>
      </c>
      <c r="FPN671" t="str">
        <f>IFERROR(VLOOKUP(FPO671,'[3]Raw material  (3)'!FPM653:FQE3729,3,0),"")</f>
        <v/>
      </c>
      <c r="FPO671" t="str">
        <f>IFERROR(VLOOKUP(FPP671,'[3]Raw material  (3)'!FPN653:FQF3729,3,0),"")</f>
        <v/>
      </c>
      <c r="FPP671" t="str">
        <f>IFERROR(VLOOKUP(FPQ671,'[3]Raw material  (3)'!FPO653:FQG3729,3,0),"")</f>
        <v/>
      </c>
      <c r="FPQ671" t="str">
        <f>IFERROR(VLOOKUP(FPR671,'[3]Raw material  (3)'!FPP653:FQH3729,3,0),"")</f>
        <v/>
      </c>
      <c r="FPR671" t="str">
        <f>IFERROR(VLOOKUP(FPS671,'[3]Raw material  (3)'!FPQ653:FQI3729,3,0),"")</f>
        <v/>
      </c>
      <c r="FPS671" t="str">
        <f>IFERROR(VLOOKUP(FPT671,'[3]Raw material  (3)'!FPR653:FQJ3729,3,0),"")</f>
        <v/>
      </c>
      <c r="FPT671" t="str">
        <f>IFERROR(VLOOKUP(FPU671,'[3]Raw material  (3)'!FPS653:FQK3729,3,0),"")</f>
        <v/>
      </c>
      <c r="FPU671" t="str">
        <f>IFERROR(VLOOKUP(FPV671,'[3]Raw material  (3)'!FPT653:FQL3729,3,0),"")</f>
        <v/>
      </c>
      <c r="FPV671" t="str">
        <f>IFERROR(VLOOKUP(FPW671,'[3]Raw material  (3)'!FPU653:FQM3729,3,0),"")</f>
        <v/>
      </c>
      <c r="FPW671" t="str">
        <f>IFERROR(VLOOKUP(FPX671,'[3]Raw material  (3)'!FPV653:FQN3729,3,0),"")</f>
        <v/>
      </c>
      <c r="FPX671" t="str">
        <f>IFERROR(VLOOKUP(FPY671,'[3]Raw material  (3)'!FPW653:FQO3729,3,0),"")</f>
        <v/>
      </c>
      <c r="FPY671" t="str">
        <f>IFERROR(VLOOKUP(FPZ671,'[3]Raw material  (3)'!FPX653:FQP3729,3,0),"")</f>
        <v/>
      </c>
      <c r="FPZ671" t="str">
        <f>IFERROR(VLOOKUP(FQA671,'[3]Raw material  (3)'!FPY653:FQQ3729,3,0),"")</f>
        <v/>
      </c>
      <c r="FQA671" t="str">
        <f>IFERROR(VLOOKUP(FQB671,'[3]Raw material  (3)'!FPZ653:FQR3729,3,0),"")</f>
        <v/>
      </c>
      <c r="FQB671" t="str">
        <f>IFERROR(VLOOKUP(FQC671,'[3]Raw material  (3)'!FQA653:FQS3729,3,0),"")</f>
        <v/>
      </c>
      <c r="FQC671" t="str">
        <f>IFERROR(VLOOKUP(FQD671,'[3]Raw material  (3)'!FQB653:FQT3729,3,0),"")</f>
        <v/>
      </c>
      <c r="FQD671" t="str">
        <f>IFERROR(VLOOKUP(FQE671,'[3]Raw material  (3)'!FQC653:FQU3729,3,0),"")</f>
        <v/>
      </c>
      <c r="FQE671" t="str">
        <f>IFERROR(VLOOKUP(FQF671,'[3]Raw material  (3)'!FQD653:FQV3729,3,0),"")</f>
        <v/>
      </c>
      <c r="FQF671" t="str">
        <f>IFERROR(VLOOKUP(FQG671,'[3]Raw material  (3)'!FQE653:FQW3729,3,0),"")</f>
        <v/>
      </c>
      <c r="FQG671" t="str">
        <f>IFERROR(VLOOKUP(FQH671,'[3]Raw material  (3)'!FQF653:FQX3729,3,0),"")</f>
        <v/>
      </c>
      <c r="FQH671" t="str">
        <f>IFERROR(VLOOKUP(FQI671,'[3]Raw material  (3)'!FQG653:FQY3729,3,0),"")</f>
        <v/>
      </c>
      <c r="FQI671" t="str">
        <f>IFERROR(VLOOKUP(FQJ671,'[3]Raw material  (3)'!FQH653:FQZ3729,3,0),"")</f>
        <v/>
      </c>
      <c r="FQJ671" t="str">
        <f>IFERROR(VLOOKUP(FQK671,'[3]Raw material  (3)'!FQI653:FRA3729,3,0),"")</f>
        <v/>
      </c>
      <c r="FQK671" t="str">
        <f>IFERROR(VLOOKUP(FQL671,'[3]Raw material  (3)'!FQJ653:FRB3729,3,0),"")</f>
        <v/>
      </c>
      <c r="FQL671" t="str">
        <f>IFERROR(VLOOKUP(FQM671,'[3]Raw material  (3)'!FQK653:FRC3729,3,0),"")</f>
        <v/>
      </c>
      <c r="FQM671" t="str">
        <f>IFERROR(VLOOKUP(FQN671,'[3]Raw material  (3)'!FQL653:FRD3729,3,0),"")</f>
        <v/>
      </c>
      <c r="FQN671" t="str">
        <f>IFERROR(VLOOKUP(FQO671,'[3]Raw material  (3)'!FQM653:FRE3729,3,0),"")</f>
        <v/>
      </c>
      <c r="FQO671" t="str">
        <f>IFERROR(VLOOKUP(FQP671,'[3]Raw material  (3)'!FQN653:FRF3729,3,0),"")</f>
        <v/>
      </c>
      <c r="FQP671" t="str">
        <f>IFERROR(VLOOKUP(FQQ671,'[3]Raw material  (3)'!FQO653:FRG3729,3,0),"")</f>
        <v/>
      </c>
      <c r="FQQ671" t="str">
        <f>IFERROR(VLOOKUP(FQR671,'[3]Raw material  (3)'!FQP653:FRH3729,3,0),"")</f>
        <v/>
      </c>
      <c r="FQR671" t="str">
        <f>IFERROR(VLOOKUP(FQS671,'[3]Raw material  (3)'!FQQ653:FRI3729,3,0),"")</f>
        <v/>
      </c>
      <c r="FQS671" t="str">
        <f>IFERROR(VLOOKUP(FQT671,'[3]Raw material  (3)'!FQR653:FRJ3729,3,0),"")</f>
        <v/>
      </c>
      <c r="FQT671" t="str">
        <f>IFERROR(VLOOKUP(FQU671,'[3]Raw material  (3)'!FQS653:FRK3729,3,0),"")</f>
        <v/>
      </c>
      <c r="FQU671" t="str">
        <f>IFERROR(VLOOKUP(FQV671,'[3]Raw material  (3)'!FQT653:FRL3729,3,0),"")</f>
        <v/>
      </c>
      <c r="FQV671" t="str">
        <f>IFERROR(VLOOKUP(FQW671,'[3]Raw material  (3)'!FQU653:FRM3729,3,0),"")</f>
        <v/>
      </c>
      <c r="FQW671" t="str">
        <f>IFERROR(VLOOKUP(FQX671,'[3]Raw material  (3)'!FQV653:FRN3729,3,0),"")</f>
        <v/>
      </c>
      <c r="FQX671" t="str">
        <f>IFERROR(VLOOKUP(FQY671,'[3]Raw material  (3)'!FQW653:FRO3729,3,0),"")</f>
        <v/>
      </c>
      <c r="FQY671" t="str">
        <f>IFERROR(VLOOKUP(FQZ671,'[3]Raw material  (3)'!FQX653:FRP3729,3,0),"")</f>
        <v/>
      </c>
      <c r="FQZ671" t="str">
        <f>IFERROR(VLOOKUP(FRA671,'[3]Raw material  (3)'!FQY653:FRQ3729,3,0),"")</f>
        <v/>
      </c>
      <c r="FRA671" t="str">
        <f>IFERROR(VLOOKUP(FRB671,'[3]Raw material  (3)'!FQZ653:FRR3729,3,0),"")</f>
        <v/>
      </c>
      <c r="FRB671" t="str">
        <f>IFERROR(VLOOKUP(FRC671,'[3]Raw material  (3)'!FRA653:FRS3729,3,0),"")</f>
        <v/>
      </c>
      <c r="FRC671" t="str">
        <f>IFERROR(VLOOKUP(FRD671,'[3]Raw material  (3)'!FRB653:FRT3729,3,0),"")</f>
        <v/>
      </c>
      <c r="FRD671" t="str">
        <f>IFERROR(VLOOKUP(FRE671,'[3]Raw material  (3)'!FRC653:FRU3729,3,0),"")</f>
        <v/>
      </c>
      <c r="FRE671" t="str">
        <f>IFERROR(VLOOKUP(FRF671,'[3]Raw material  (3)'!FRD653:FRV3729,3,0),"")</f>
        <v/>
      </c>
      <c r="FRF671" t="str">
        <f>IFERROR(VLOOKUP(FRG671,'[3]Raw material  (3)'!FRE653:FRW3729,3,0),"")</f>
        <v/>
      </c>
      <c r="FRG671" t="str">
        <f>IFERROR(VLOOKUP(FRH671,'[3]Raw material  (3)'!FRF653:FRX3729,3,0),"")</f>
        <v/>
      </c>
      <c r="FRH671" t="str">
        <f>IFERROR(VLOOKUP(FRI671,'[3]Raw material  (3)'!FRG653:FRY3729,3,0),"")</f>
        <v/>
      </c>
      <c r="FRI671" t="str">
        <f>IFERROR(VLOOKUP(FRJ671,'[3]Raw material  (3)'!FRH653:FRZ3729,3,0),"")</f>
        <v/>
      </c>
      <c r="FRJ671" t="str">
        <f>IFERROR(VLOOKUP(FRK671,'[3]Raw material  (3)'!FRI653:FSA3729,3,0),"")</f>
        <v/>
      </c>
      <c r="FRK671" t="str">
        <f>IFERROR(VLOOKUP(FRL671,'[3]Raw material  (3)'!FRJ653:FSB3729,3,0),"")</f>
        <v/>
      </c>
      <c r="FRL671" t="str">
        <f>IFERROR(VLOOKUP(FRM671,'[3]Raw material  (3)'!FRK653:FSC3729,3,0),"")</f>
        <v/>
      </c>
      <c r="FRM671" t="str">
        <f>IFERROR(VLOOKUP(FRN671,'[3]Raw material  (3)'!FRL653:FSD3729,3,0),"")</f>
        <v/>
      </c>
      <c r="FRN671" t="str">
        <f>IFERROR(VLOOKUP(FRO671,'[3]Raw material  (3)'!FRM653:FSE3729,3,0),"")</f>
        <v/>
      </c>
      <c r="FRO671" t="str">
        <f>IFERROR(VLOOKUP(FRP671,'[3]Raw material  (3)'!FRN653:FSF3729,3,0),"")</f>
        <v/>
      </c>
      <c r="FRP671" t="str">
        <f>IFERROR(VLOOKUP(FRQ671,'[3]Raw material  (3)'!FRO653:FSG3729,3,0),"")</f>
        <v/>
      </c>
      <c r="FRQ671" t="str">
        <f>IFERROR(VLOOKUP(FRR671,'[3]Raw material  (3)'!FRP653:FSH3729,3,0),"")</f>
        <v/>
      </c>
      <c r="FRR671" t="str">
        <f>IFERROR(VLOOKUP(FRS671,'[3]Raw material  (3)'!FRQ653:FSI3729,3,0),"")</f>
        <v/>
      </c>
      <c r="FRS671" t="str">
        <f>IFERROR(VLOOKUP(FRT671,'[3]Raw material  (3)'!FRR653:FSJ3729,3,0),"")</f>
        <v/>
      </c>
      <c r="FRT671" t="str">
        <f>IFERROR(VLOOKUP(FRU671,'[3]Raw material  (3)'!FRS653:FSK3729,3,0),"")</f>
        <v/>
      </c>
      <c r="FRU671" t="str">
        <f>IFERROR(VLOOKUP(FRV671,'[3]Raw material  (3)'!FRT653:FSL3729,3,0),"")</f>
        <v/>
      </c>
      <c r="FRV671" t="str">
        <f>IFERROR(VLOOKUP(FRW671,'[3]Raw material  (3)'!FRU653:FSM3729,3,0),"")</f>
        <v/>
      </c>
      <c r="FRW671" t="str">
        <f>IFERROR(VLOOKUP(FRX671,'[3]Raw material  (3)'!FRV653:FSN3729,3,0),"")</f>
        <v/>
      </c>
      <c r="FRX671" t="str">
        <f>IFERROR(VLOOKUP(FRY671,'[3]Raw material  (3)'!FRW653:FSO3729,3,0),"")</f>
        <v/>
      </c>
      <c r="FRY671" t="str">
        <f>IFERROR(VLOOKUP(FRZ671,'[3]Raw material  (3)'!FRX653:FSP3729,3,0),"")</f>
        <v/>
      </c>
      <c r="FRZ671" t="str">
        <f>IFERROR(VLOOKUP(FSA671,'[3]Raw material  (3)'!FRY653:FSQ3729,3,0),"")</f>
        <v/>
      </c>
      <c r="FSA671" t="str">
        <f>IFERROR(VLOOKUP(FSB671,'[3]Raw material  (3)'!FRZ653:FSR3729,3,0),"")</f>
        <v/>
      </c>
      <c r="FSB671" t="str">
        <f>IFERROR(VLOOKUP(FSC671,'[3]Raw material  (3)'!FSA653:FSS3729,3,0),"")</f>
        <v/>
      </c>
      <c r="FSC671" t="str">
        <f>IFERROR(VLOOKUP(FSD671,'[3]Raw material  (3)'!FSB653:FST3729,3,0),"")</f>
        <v/>
      </c>
      <c r="FSD671" t="str">
        <f>IFERROR(VLOOKUP(FSE671,'[3]Raw material  (3)'!FSC653:FSU3729,3,0),"")</f>
        <v/>
      </c>
      <c r="FSE671" t="str">
        <f>IFERROR(VLOOKUP(FSF671,'[3]Raw material  (3)'!FSD653:FSV3729,3,0),"")</f>
        <v/>
      </c>
      <c r="FSF671" t="str">
        <f>IFERROR(VLOOKUP(FSG671,'[3]Raw material  (3)'!FSE653:FSW3729,3,0),"")</f>
        <v/>
      </c>
      <c r="FSG671" t="str">
        <f>IFERROR(VLOOKUP(FSH671,'[3]Raw material  (3)'!FSF653:FSX3729,3,0),"")</f>
        <v/>
      </c>
      <c r="FSH671" t="str">
        <f>IFERROR(VLOOKUP(FSI671,'[3]Raw material  (3)'!FSG653:FSY3729,3,0),"")</f>
        <v/>
      </c>
      <c r="FSI671" t="str">
        <f>IFERROR(VLOOKUP(FSJ671,'[3]Raw material  (3)'!FSH653:FSZ3729,3,0),"")</f>
        <v/>
      </c>
      <c r="FSJ671" t="str">
        <f>IFERROR(VLOOKUP(FSK671,'[3]Raw material  (3)'!FSI653:FTA3729,3,0),"")</f>
        <v/>
      </c>
      <c r="FSK671" t="str">
        <f>IFERROR(VLOOKUP(FSL671,'[3]Raw material  (3)'!FSJ653:FTB3729,3,0),"")</f>
        <v/>
      </c>
      <c r="FSL671" t="str">
        <f>IFERROR(VLOOKUP(FSM671,'[3]Raw material  (3)'!FSK653:FTC3729,3,0),"")</f>
        <v/>
      </c>
      <c r="FSM671" t="str">
        <f>IFERROR(VLOOKUP(FSN671,'[3]Raw material  (3)'!FSL653:FTD3729,3,0),"")</f>
        <v/>
      </c>
      <c r="FSN671" t="str">
        <f>IFERROR(VLOOKUP(FSO671,'[3]Raw material  (3)'!FSM653:FTE3729,3,0),"")</f>
        <v/>
      </c>
      <c r="FSO671" t="str">
        <f>IFERROR(VLOOKUP(FSP671,'[3]Raw material  (3)'!FSN653:FTF3729,3,0),"")</f>
        <v/>
      </c>
      <c r="FSP671" t="str">
        <f>IFERROR(VLOOKUP(FSQ671,'[3]Raw material  (3)'!FSO653:FTG3729,3,0),"")</f>
        <v/>
      </c>
      <c r="FSQ671" t="str">
        <f>IFERROR(VLOOKUP(FSR671,'[3]Raw material  (3)'!FSP653:FTH3729,3,0),"")</f>
        <v/>
      </c>
      <c r="FSR671" t="str">
        <f>IFERROR(VLOOKUP(FSS671,'[3]Raw material  (3)'!FSQ653:FTI3729,3,0),"")</f>
        <v/>
      </c>
      <c r="FSS671" t="str">
        <f>IFERROR(VLOOKUP(FST671,'[3]Raw material  (3)'!FSR653:FTJ3729,3,0),"")</f>
        <v/>
      </c>
      <c r="FST671" t="str">
        <f>IFERROR(VLOOKUP(FSU671,'[3]Raw material  (3)'!FSS653:FTK3729,3,0),"")</f>
        <v/>
      </c>
      <c r="FSU671" t="str">
        <f>IFERROR(VLOOKUP(FSV671,'[3]Raw material  (3)'!FST653:FTL3729,3,0),"")</f>
        <v/>
      </c>
      <c r="FSV671" t="str">
        <f>IFERROR(VLOOKUP(FSW671,'[3]Raw material  (3)'!FSU653:FTM3729,3,0),"")</f>
        <v/>
      </c>
      <c r="FSW671" t="str">
        <f>IFERROR(VLOOKUP(FSX671,'[3]Raw material  (3)'!FSV653:FTN3729,3,0),"")</f>
        <v/>
      </c>
      <c r="FSX671" t="str">
        <f>IFERROR(VLOOKUP(FSY671,'[3]Raw material  (3)'!FSW653:FTO3729,3,0),"")</f>
        <v/>
      </c>
      <c r="FSY671" t="str">
        <f>IFERROR(VLOOKUP(FSZ671,'[3]Raw material  (3)'!FSX653:FTP3729,3,0),"")</f>
        <v/>
      </c>
      <c r="FSZ671" t="str">
        <f>IFERROR(VLOOKUP(FTA671,'[3]Raw material  (3)'!FSY653:FTQ3729,3,0),"")</f>
        <v/>
      </c>
      <c r="FTA671" t="str">
        <f>IFERROR(VLOOKUP(FTB671,'[3]Raw material  (3)'!FSZ653:FTR3729,3,0),"")</f>
        <v/>
      </c>
      <c r="FTB671" t="str">
        <f>IFERROR(VLOOKUP(FTC671,'[3]Raw material  (3)'!FTA653:FTS3729,3,0),"")</f>
        <v/>
      </c>
      <c r="FTC671" t="str">
        <f>IFERROR(VLOOKUP(FTD671,'[3]Raw material  (3)'!FTB653:FTT3729,3,0),"")</f>
        <v/>
      </c>
      <c r="FTD671" t="str">
        <f>IFERROR(VLOOKUP(FTE671,'[3]Raw material  (3)'!FTC653:FTU3729,3,0),"")</f>
        <v/>
      </c>
      <c r="FTE671" t="str">
        <f>IFERROR(VLOOKUP(FTF671,'[3]Raw material  (3)'!FTD653:FTV3729,3,0),"")</f>
        <v/>
      </c>
      <c r="FTF671" t="str">
        <f>IFERROR(VLOOKUP(FTG671,'[3]Raw material  (3)'!FTE653:FTW3729,3,0),"")</f>
        <v/>
      </c>
      <c r="FTG671" t="str">
        <f>IFERROR(VLOOKUP(FTH671,'[3]Raw material  (3)'!FTF653:FTX3729,3,0),"")</f>
        <v/>
      </c>
      <c r="FTH671" t="str">
        <f>IFERROR(VLOOKUP(FTI671,'[3]Raw material  (3)'!FTG653:FTY3729,3,0),"")</f>
        <v/>
      </c>
      <c r="FTI671" t="str">
        <f>IFERROR(VLOOKUP(FTJ671,'[3]Raw material  (3)'!FTH653:FTZ3729,3,0),"")</f>
        <v/>
      </c>
      <c r="FTJ671" t="str">
        <f>IFERROR(VLOOKUP(FTK671,'[3]Raw material  (3)'!FTI653:FUA3729,3,0),"")</f>
        <v/>
      </c>
      <c r="FTK671" t="str">
        <f>IFERROR(VLOOKUP(FTL671,'[3]Raw material  (3)'!FTJ653:FUB3729,3,0),"")</f>
        <v/>
      </c>
      <c r="FTL671" t="str">
        <f>IFERROR(VLOOKUP(FTM671,'[3]Raw material  (3)'!FTK653:FUC3729,3,0),"")</f>
        <v/>
      </c>
      <c r="FTM671" t="str">
        <f>IFERROR(VLOOKUP(FTN671,'[3]Raw material  (3)'!FTL653:FUD3729,3,0),"")</f>
        <v/>
      </c>
      <c r="FTN671" t="str">
        <f>IFERROR(VLOOKUP(FTO671,'[3]Raw material  (3)'!FTM653:FUE3729,3,0),"")</f>
        <v/>
      </c>
      <c r="FTO671" t="str">
        <f>IFERROR(VLOOKUP(FTP671,'[3]Raw material  (3)'!FTN653:FUF3729,3,0),"")</f>
        <v/>
      </c>
      <c r="FTP671" t="str">
        <f>IFERROR(VLOOKUP(FTQ671,'[3]Raw material  (3)'!FTO653:FUG3729,3,0),"")</f>
        <v/>
      </c>
      <c r="FTQ671" t="str">
        <f>IFERROR(VLOOKUP(FTR671,'[3]Raw material  (3)'!FTP653:FUH3729,3,0),"")</f>
        <v/>
      </c>
      <c r="FTR671" t="str">
        <f>IFERROR(VLOOKUP(FTS671,'[3]Raw material  (3)'!FTQ653:FUI3729,3,0),"")</f>
        <v/>
      </c>
      <c r="FTS671" t="str">
        <f>IFERROR(VLOOKUP(FTT671,'[3]Raw material  (3)'!FTR653:FUJ3729,3,0),"")</f>
        <v/>
      </c>
      <c r="FTT671" t="str">
        <f>IFERROR(VLOOKUP(FTU671,'[3]Raw material  (3)'!FTS653:FUK3729,3,0),"")</f>
        <v/>
      </c>
      <c r="FTU671" t="str">
        <f>IFERROR(VLOOKUP(FTV671,'[3]Raw material  (3)'!FTT653:FUL3729,3,0),"")</f>
        <v/>
      </c>
      <c r="FTV671" t="str">
        <f>IFERROR(VLOOKUP(FTW671,'[3]Raw material  (3)'!FTU653:FUM3729,3,0),"")</f>
        <v/>
      </c>
      <c r="FTW671" t="str">
        <f>IFERROR(VLOOKUP(FTX671,'[3]Raw material  (3)'!FTV653:FUN3729,3,0),"")</f>
        <v/>
      </c>
      <c r="FTX671" t="str">
        <f>IFERROR(VLOOKUP(FTY671,'[3]Raw material  (3)'!FTW653:FUO3729,3,0),"")</f>
        <v/>
      </c>
      <c r="FTY671" t="str">
        <f>IFERROR(VLOOKUP(FTZ671,'[3]Raw material  (3)'!FTX653:FUP3729,3,0),"")</f>
        <v/>
      </c>
      <c r="FTZ671" t="str">
        <f>IFERROR(VLOOKUP(FUA671,'[3]Raw material  (3)'!FTY653:FUQ3729,3,0),"")</f>
        <v/>
      </c>
      <c r="FUA671" t="str">
        <f>IFERROR(VLOOKUP(FUB671,'[3]Raw material  (3)'!FTZ653:FUR3729,3,0),"")</f>
        <v/>
      </c>
      <c r="FUB671" t="str">
        <f>IFERROR(VLOOKUP(FUC671,'[3]Raw material  (3)'!FUA653:FUS3729,3,0),"")</f>
        <v/>
      </c>
      <c r="FUC671" t="str">
        <f>IFERROR(VLOOKUP(FUD671,'[3]Raw material  (3)'!FUB653:FUT3729,3,0),"")</f>
        <v/>
      </c>
      <c r="FUD671" t="str">
        <f>IFERROR(VLOOKUP(FUE671,'[3]Raw material  (3)'!FUC653:FUU3729,3,0),"")</f>
        <v/>
      </c>
      <c r="FUE671" t="str">
        <f>IFERROR(VLOOKUP(FUF671,'[3]Raw material  (3)'!FUD653:FUV3729,3,0),"")</f>
        <v/>
      </c>
      <c r="FUF671" t="str">
        <f>IFERROR(VLOOKUP(FUG671,'[3]Raw material  (3)'!FUE653:FUW3729,3,0),"")</f>
        <v/>
      </c>
      <c r="FUG671" t="str">
        <f>IFERROR(VLOOKUP(FUH671,'[3]Raw material  (3)'!FUF653:FUX3729,3,0),"")</f>
        <v/>
      </c>
      <c r="FUH671" t="str">
        <f>IFERROR(VLOOKUP(FUI671,'[3]Raw material  (3)'!FUG653:FUY3729,3,0),"")</f>
        <v/>
      </c>
      <c r="FUI671" t="str">
        <f>IFERROR(VLOOKUP(FUJ671,'[3]Raw material  (3)'!FUH653:FUZ3729,3,0),"")</f>
        <v/>
      </c>
      <c r="FUJ671" t="str">
        <f>IFERROR(VLOOKUP(FUK671,'[3]Raw material  (3)'!FUI653:FVA3729,3,0),"")</f>
        <v/>
      </c>
      <c r="FUK671" t="str">
        <f>IFERROR(VLOOKUP(FUL671,'[3]Raw material  (3)'!FUJ653:FVB3729,3,0),"")</f>
        <v/>
      </c>
      <c r="FUL671" t="str">
        <f>IFERROR(VLOOKUP(FUM671,'[3]Raw material  (3)'!FUK653:FVC3729,3,0),"")</f>
        <v/>
      </c>
      <c r="FUM671" t="str">
        <f>IFERROR(VLOOKUP(FUN671,'[3]Raw material  (3)'!FUL653:FVD3729,3,0),"")</f>
        <v/>
      </c>
      <c r="FUN671" t="str">
        <f>IFERROR(VLOOKUP(FUO671,'[3]Raw material  (3)'!FUM653:FVE3729,3,0),"")</f>
        <v/>
      </c>
      <c r="FUO671" t="str">
        <f>IFERROR(VLOOKUP(FUP671,'[3]Raw material  (3)'!FUN653:FVF3729,3,0),"")</f>
        <v/>
      </c>
      <c r="FUP671" t="str">
        <f>IFERROR(VLOOKUP(FUQ671,'[3]Raw material  (3)'!FUO653:FVG3729,3,0),"")</f>
        <v/>
      </c>
      <c r="FUQ671" t="str">
        <f>IFERROR(VLOOKUP(FUR671,'[3]Raw material  (3)'!FUP653:FVH3729,3,0),"")</f>
        <v/>
      </c>
      <c r="FUR671" t="str">
        <f>IFERROR(VLOOKUP(FUS671,'[3]Raw material  (3)'!FUQ653:FVI3729,3,0),"")</f>
        <v/>
      </c>
      <c r="FUS671" t="str">
        <f>IFERROR(VLOOKUP(FUT671,'[3]Raw material  (3)'!FUR653:FVJ3729,3,0),"")</f>
        <v/>
      </c>
      <c r="FUT671" t="str">
        <f>IFERROR(VLOOKUP(FUU671,'[3]Raw material  (3)'!FUS653:FVK3729,3,0),"")</f>
        <v/>
      </c>
      <c r="FUU671" t="str">
        <f>IFERROR(VLOOKUP(FUV671,'[3]Raw material  (3)'!FUT653:FVL3729,3,0),"")</f>
        <v/>
      </c>
      <c r="FUV671" t="str">
        <f>IFERROR(VLOOKUP(FUW671,'[3]Raw material  (3)'!FUU653:FVM3729,3,0),"")</f>
        <v/>
      </c>
      <c r="FUW671" t="str">
        <f>IFERROR(VLOOKUP(FUX671,'[3]Raw material  (3)'!FUV653:FVN3729,3,0),"")</f>
        <v/>
      </c>
      <c r="FUX671" t="str">
        <f>IFERROR(VLOOKUP(FUY671,'[3]Raw material  (3)'!FUW653:FVO3729,3,0),"")</f>
        <v/>
      </c>
      <c r="FUY671" t="str">
        <f>IFERROR(VLOOKUP(FUZ671,'[3]Raw material  (3)'!FUX653:FVP3729,3,0),"")</f>
        <v/>
      </c>
      <c r="FUZ671" t="str">
        <f>IFERROR(VLOOKUP(FVA671,'[3]Raw material  (3)'!FUY653:FVQ3729,3,0),"")</f>
        <v/>
      </c>
      <c r="FVA671" t="str">
        <f>IFERROR(VLOOKUP(FVB671,'[3]Raw material  (3)'!FUZ653:FVR3729,3,0),"")</f>
        <v/>
      </c>
      <c r="FVB671" t="str">
        <f>IFERROR(VLOOKUP(FVC671,'[3]Raw material  (3)'!FVA653:FVS3729,3,0),"")</f>
        <v/>
      </c>
      <c r="FVC671" t="str">
        <f>IFERROR(VLOOKUP(FVD671,'[3]Raw material  (3)'!FVB653:FVT3729,3,0),"")</f>
        <v/>
      </c>
      <c r="FVD671" t="str">
        <f>IFERROR(VLOOKUP(FVE671,'[3]Raw material  (3)'!FVC653:FVU3729,3,0),"")</f>
        <v/>
      </c>
      <c r="FVE671" t="str">
        <f>IFERROR(VLOOKUP(FVF671,'[3]Raw material  (3)'!FVD653:FVV3729,3,0),"")</f>
        <v/>
      </c>
      <c r="FVF671" t="str">
        <f>IFERROR(VLOOKUP(FVG671,'[3]Raw material  (3)'!FVE653:FVW3729,3,0),"")</f>
        <v/>
      </c>
      <c r="FVG671" t="str">
        <f>IFERROR(VLOOKUP(FVH671,'[3]Raw material  (3)'!FVF653:FVX3729,3,0),"")</f>
        <v/>
      </c>
      <c r="FVH671" t="str">
        <f>IFERROR(VLOOKUP(FVI671,'[3]Raw material  (3)'!FVG653:FVY3729,3,0),"")</f>
        <v/>
      </c>
      <c r="FVI671" t="str">
        <f>IFERROR(VLOOKUP(FVJ671,'[3]Raw material  (3)'!FVH653:FVZ3729,3,0),"")</f>
        <v/>
      </c>
      <c r="FVJ671" t="str">
        <f>IFERROR(VLOOKUP(FVK671,'[3]Raw material  (3)'!FVI653:FWA3729,3,0),"")</f>
        <v/>
      </c>
      <c r="FVK671" t="str">
        <f>IFERROR(VLOOKUP(FVL671,'[3]Raw material  (3)'!FVJ653:FWB3729,3,0),"")</f>
        <v/>
      </c>
      <c r="FVL671" t="str">
        <f>IFERROR(VLOOKUP(FVM671,'[3]Raw material  (3)'!FVK653:FWC3729,3,0),"")</f>
        <v/>
      </c>
      <c r="FVM671" t="str">
        <f>IFERROR(VLOOKUP(FVN671,'[3]Raw material  (3)'!FVL653:FWD3729,3,0),"")</f>
        <v/>
      </c>
      <c r="FVN671" t="str">
        <f>IFERROR(VLOOKUP(FVO671,'[3]Raw material  (3)'!FVM653:FWE3729,3,0),"")</f>
        <v/>
      </c>
      <c r="FVO671" t="str">
        <f>IFERROR(VLOOKUP(FVP671,'[3]Raw material  (3)'!FVN653:FWF3729,3,0),"")</f>
        <v/>
      </c>
      <c r="FVP671" t="str">
        <f>IFERROR(VLOOKUP(FVQ671,'[3]Raw material  (3)'!FVO653:FWG3729,3,0),"")</f>
        <v/>
      </c>
      <c r="FVQ671" t="str">
        <f>IFERROR(VLOOKUP(FVR671,'[3]Raw material  (3)'!FVP653:FWH3729,3,0),"")</f>
        <v/>
      </c>
      <c r="FVR671" t="str">
        <f>IFERROR(VLOOKUP(FVS671,'[3]Raw material  (3)'!FVQ653:FWI3729,3,0),"")</f>
        <v/>
      </c>
      <c r="FVS671" t="str">
        <f>IFERROR(VLOOKUP(FVT671,'[3]Raw material  (3)'!FVR653:FWJ3729,3,0),"")</f>
        <v/>
      </c>
      <c r="FVT671" t="str">
        <f>IFERROR(VLOOKUP(FVU671,'[3]Raw material  (3)'!FVS653:FWK3729,3,0),"")</f>
        <v/>
      </c>
      <c r="FVU671" t="str">
        <f>IFERROR(VLOOKUP(FVV671,'[3]Raw material  (3)'!FVT653:FWL3729,3,0),"")</f>
        <v/>
      </c>
      <c r="FVV671" t="str">
        <f>IFERROR(VLOOKUP(FVW671,'[3]Raw material  (3)'!FVU653:FWM3729,3,0),"")</f>
        <v/>
      </c>
      <c r="FVW671" t="str">
        <f>IFERROR(VLOOKUP(FVX671,'[3]Raw material  (3)'!FVV653:FWN3729,3,0),"")</f>
        <v/>
      </c>
      <c r="FVX671" t="str">
        <f>IFERROR(VLOOKUP(FVY671,'[3]Raw material  (3)'!FVW653:FWO3729,3,0),"")</f>
        <v/>
      </c>
      <c r="FVY671" t="str">
        <f>IFERROR(VLOOKUP(FVZ671,'[3]Raw material  (3)'!FVX653:FWP3729,3,0),"")</f>
        <v/>
      </c>
      <c r="FVZ671" t="str">
        <f>IFERROR(VLOOKUP(FWA671,'[3]Raw material  (3)'!FVY653:FWQ3729,3,0),"")</f>
        <v/>
      </c>
      <c r="FWA671" t="str">
        <f>IFERROR(VLOOKUP(FWB671,'[3]Raw material  (3)'!FVZ653:FWR3729,3,0),"")</f>
        <v/>
      </c>
      <c r="FWB671" t="str">
        <f>IFERROR(VLOOKUP(FWC671,'[3]Raw material  (3)'!FWA653:FWS3729,3,0),"")</f>
        <v/>
      </c>
      <c r="FWC671" t="str">
        <f>IFERROR(VLOOKUP(FWD671,'[3]Raw material  (3)'!FWB653:FWT3729,3,0),"")</f>
        <v/>
      </c>
      <c r="FWD671" t="str">
        <f>IFERROR(VLOOKUP(FWE671,'[3]Raw material  (3)'!FWC653:FWU3729,3,0),"")</f>
        <v/>
      </c>
      <c r="FWE671" t="str">
        <f>IFERROR(VLOOKUP(FWF671,'[3]Raw material  (3)'!FWD653:FWV3729,3,0),"")</f>
        <v/>
      </c>
      <c r="FWF671" t="str">
        <f>IFERROR(VLOOKUP(FWG671,'[3]Raw material  (3)'!FWE653:FWW3729,3,0),"")</f>
        <v/>
      </c>
      <c r="FWG671" t="str">
        <f>IFERROR(VLOOKUP(FWH671,'[3]Raw material  (3)'!FWF653:FWX3729,3,0),"")</f>
        <v/>
      </c>
      <c r="FWH671" t="str">
        <f>IFERROR(VLOOKUP(FWI671,'[3]Raw material  (3)'!FWG653:FWY3729,3,0),"")</f>
        <v/>
      </c>
      <c r="FWI671" t="str">
        <f>IFERROR(VLOOKUP(FWJ671,'[3]Raw material  (3)'!FWH653:FWZ3729,3,0),"")</f>
        <v/>
      </c>
      <c r="FWJ671" t="str">
        <f>IFERROR(VLOOKUP(FWK671,'[3]Raw material  (3)'!FWI653:FXA3729,3,0),"")</f>
        <v/>
      </c>
      <c r="FWK671" t="str">
        <f>IFERROR(VLOOKUP(FWL671,'[3]Raw material  (3)'!FWJ653:FXB3729,3,0),"")</f>
        <v/>
      </c>
      <c r="FWL671" t="str">
        <f>IFERROR(VLOOKUP(FWM671,'[3]Raw material  (3)'!FWK653:FXC3729,3,0),"")</f>
        <v/>
      </c>
      <c r="FWM671" t="str">
        <f>IFERROR(VLOOKUP(FWN671,'[3]Raw material  (3)'!FWL653:FXD3729,3,0),"")</f>
        <v/>
      </c>
      <c r="FWN671" t="str">
        <f>IFERROR(VLOOKUP(FWO671,'[3]Raw material  (3)'!FWM653:FXE3729,3,0),"")</f>
        <v/>
      </c>
      <c r="FWO671" t="str">
        <f>IFERROR(VLOOKUP(FWP671,'[3]Raw material  (3)'!FWN653:FXF3729,3,0),"")</f>
        <v/>
      </c>
      <c r="FWP671" t="str">
        <f>IFERROR(VLOOKUP(FWQ671,'[3]Raw material  (3)'!FWO653:FXG3729,3,0),"")</f>
        <v/>
      </c>
      <c r="FWQ671" t="str">
        <f>IFERROR(VLOOKUP(FWR671,'[3]Raw material  (3)'!FWP653:FXH3729,3,0),"")</f>
        <v/>
      </c>
      <c r="FWR671" t="str">
        <f>IFERROR(VLOOKUP(FWS671,'[3]Raw material  (3)'!FWQ653:FXI3729,3,0),"")</f>
        <v/>
      </c>
      <c r="FWS671" t="str">
        <f>IFERROR(VLOOKUP(FWT671,'[3]Raw material  (3)'!FWR653:FXJ3729,3,0),"")</f>
        <v/>
      </c>
      <c r="FWT671" t="str">
        <f>IFERROR(VLOOKUP(FWU671,'[3]Raw material  (3)'!FWS653:FXK3729,3,0),"")</f>
        <v/>
      </c>
      <c r="FWU671" t="str">
        <f>IFERROR(VLOOKUP(FWV671,'[3]Raw material  (3)'!FWT653:FXL3729,3,0),"")</f>
        <v/>
      </c>
      <c r="FWV671" t="str">
        <f>IFERROR(VLOOKUP(FWW671,'[3]Raw material  (3)'!FWU653:FXM3729,3,0),"")</f>
        <v/>
      </c>
      <c r="FWW671" t="str">
        <f>IFERROR(VLOOKUP(FWX671,'[3]Raw material  (3)'!FWV653:FXN3729,3,0),"")</f>
        <v/>
      </c>
      <c r="FWX671" t="str">
        <f>IFERROR(VLOOKUP(FWY671,'[3]Raw material  (3)'!FWW653:FXO3729,3,0),"")</f>
        <v/>
      </c>
      <c r="FWY671" t="str">
        <f>IFERROR(VLOOKUP(FWZ671,'[3]Raw material  (3)'!FWX653:FXP3729,3,0),"")</f>
        <v/>
      </c>
      <c r="FWZ671" t="str">
        <f>IFERROR(VLOOKUP(FXA671,'[3]Raw material  (3)'!FWY653:FXQ3729,3,0),"")</f>
        <v/>
      </c>
      <c r="FXA671" t="str">
        <f>IFERROR(VLOOKUP(FXB671,'[3]Raw material  (3)'!FWZ653:FXR3729,3,0),"")</f>
        <v/>
      </c>
      <c r="FXB671" t="str">
        <f>IFERROR(VLOOKUP(FXC671,'[3]Raw material  (3)'!FXA653:FXS3729,3,0),"")</f>
        <v/>
      </c>
      <c r="FXC671" t="str">
        <f>IFERROR(VLOOKUP(FXD671,'[3]Raw material  (3)'!FXB653:FXT3729,3,0),"")</f>
        <v/>
      </c>
      <c r="FXD671" t="str">
        <f>IFERROR(VLOOKUP(FXE671,'[3]Raw material  (3)'!FXC653:FXU3729,3,0),"")</f>
        <v/>
      </c>
      <c r="FXE671" t="str">
        <f>IFERROR(VLOOKUP(FXF671,'[3]Raw material  (3)'!FXD653:FXV3729,3,0),"")</f>
        <v/>
      </c>
      <c r="FXF671" t="str">
        <f>IFERROR(VLOOKUP(FXG671,'[3]Raw material  (3)'!FXE653:FXW3729,3,0),"")</f>
        <v/>
      </c>
      <c r="FXG671" t="str">
        <f>IFERROR(VLOOKUP(FXH671,'[3]Raw material  (3)'!FXF653:FXX3729,3,0),"")</f>
        <v/>
      </c>
      <c r="FXH671" t="str">
        <f>IFERROR(VLOOKUP(FXI671,'[3]Raw material  (3)'!FXG653:FXY3729,3,0),"")</f>
        <v/>
      </c>
      <c r="FXI671" t="str">
        <f>IFERROR(VLOOKUP(FXJ671,'[3]Raw material  (3)'!FXH653:FXZ3729,3,0),"")</f>
        <v/>
      </c>
      <c r="FXJ671" t="str">
        <f>IFERROR(VLOOKUP(FXK671,'[3]Raw material  (3)'!FXI653:FYA3729,3,0),"")</f>
        <v/>
      </c>
      <c r="FXK671" t="str">
        <f>IFERROR(VLOOKUP(FXL671,'[3]Raw material  (3)'!FXJ653:FYB3729,3,0),"")</f>
        <v/>
      </c>
      <c r="FXL671" t="str">
        <f>IFERROR(VLOOKUP(FXM671,'[3]Raw material  (3)'!FXK653:FYC3729,3,0),"")</f>
        <v/>
      </c>
      <c r="FXM671" t="str">
        <f>IFERROR(VLOOKUP(FXN671,'[3]Raw material  (3)'!FXL653:FYD3729,3,0),"")</f>
        <v/>
      </c>
      <c r="FXN671" t="str">
        <f>IFERROR(VLOOKUP(FXO671,'[3]Raw material  (3)'!FXM653:FYE3729,3,0),"")</f>
        <v/>
      </c>
      <c r="FXO671" t="str">
        <f>IFERROR(VLOOKUP(FXP671,'[3]Raw material  (3)'!FXN653:FYF3729,3,0),"")</f>
        <v/>
      </c>
      <c r="FXP671" t="str">
        <f>IFERROR(VLOOKUP(FXQ671,'[3]Raw material  (3)'!FXO653:FYG3729,3,0),"")</f>
        <v/>
      </c>
      <c r="FXQ671" t="str">
        <f>IFERROR(VLOOKUP(FXR671,'[3]Raw material  (3)'!FXP653:FYH3729,3,0),"")</f>
        <v/>
      </c>
      <c r="FXR671" t="str">
        <f>IFERROR(VLOOKUP(FXS671,'[3]Raw material  (3)'!FXQ653:FYI3729,3,0),"")</f>
        <v/>
      </c>
      <c r="FXS671" t="str">
        <f>IFERROR(VLOOKUP(FXT671,'[3]Raw material  (3)'!FXR653:FYJ3729,3,0),"")</f>
        <v/>
      </c>
      <c r="FXT671" t="str">
        <f>IFERROR(VLOOKUP(FXU671,'[3]Raw material  (3)'!FXS653:FYK3729,3,0),"")</f>
        <v/>
      </c>
      <c r="FXU671" t="str">
        <f>IFERROR(VLOOKUP(FXV671,'[3]Raw material  (3)'!FXT653:FYL3729,3,0),"")</f>
        <v/>
      </c>
      <c r="FXV671" t="str">
        <f>IFERROR(VLOOKUP(FXW671,'[3]Raw material  (3)'!FXU653:FYM3729,3,0),"")</f>
        <v/>
      </c>
      <c r="FXW671" t="str">
        <f>IFERROR(VLOOKUP(FXX671,'[3]Raw material  (3)'!FXV653:FYN3729,3,0),"")</f>
        <v/>
      </c>
      <c r="FXX671" t="str">
        <f>IFERROR(VLOOKUP(FXY671,'[3]Raw material  (3)'!FXW653:FYO3729,3,0),"")</f>
        <v/>
      </c>
      <c r="FXY671" t="str">
        <f>IFERROR(VLOOKUP(FXZ671,'[3]Raw material  (3)'!FXX653:FYP3729,3,0),"")</f>
        <v/>
      </c>
      <c r="FXZ671" t="str">
        <f>IFERROR(VLOOKUP(FYA671,'[3]Raw material  (3)'!FXY653:FYQ3729,3,0),"")</f>
        <v/>
      </c>
      <c r="FYA671" t="str">
        <f>IFERROR(VLOOKUP(FYB671,'[3]Raw material  (3)'!FXZ653:FYR3729,3,0),"")</f>
        <v/>
      </c>
      <c r="FYB671" t="str">
        <f>IFERROR(VLOOKUP(FYC671,'[3]Raw material  (3)'!FYA653:FYS3729,3,0),"")</f>
        <v/>
      </c>
      <c r="FYC671" t="str">
        <f>IFERROR(VLOOKUP(FYD671,'[3]Raw material  (3)'!FYB653:FYT3729,3,0),"")</f>
        <v/>
      </c>
      <c r="FYD671" t="str">
        <f>IFERROR(VLOOKUP(FYE671,'[3]Raw material  (3)'!FYC653:FYU3729,3,0),"")</f>
        <v/>
      </c>
      <c r="FYE671" t="str">
        <f>IFERROR(VLOOKUP(FYF671,'[3]Raw material  (3)'!FYD653:FYV3729,3,0),"")</f>
        <v/>
      </c>
      <c r="FYF671" t="str">
        <f>IFERROR(VLOOKUP(FYG671,'[3]Raw material  (3)'!FYE653:FYW3729,3,0),"")</f>
        <v/>
      </c>
      <c r="FYG671" t="str">
        <f>IFERROR(VLOOKUP(FYH671,'[3]Raw material  (3)'!FYF653:FYX3729,3,0),"")</f>
        <v/>
      </c>
      <c r="FYH671" t="str">
        <f>IFERROR(VLOOKUP(FYI671,'[3]Raw material  (3)'!FYG653:FYY3729,3,0),"")</f>
        <v/>
      </c>
      <c r="FYI671" t="str">
        <f>IFERROR(VLOOKUP(FYJ671,'[3]Raw material  (3)'!FYH653:FYZ3729,3,0),"")</f>
        <v/>
      </c>
      <c r="FYJ671" t="str">
        <f>IFERROR(VLOOKUP(FYK671,'[3]Raw material  (3)'!FYI653:FZA3729,3,0),"")</f>
        <v/>
      </c>
      <c r="FYK671" t="str">
        <f>IFERROR(VLOOKUP(FYL671,'[3]Raw material  (3)'!FYJ653:FZB3729,3,0),"")</f>
        <v/>
      </c>
      <c r="FYL671" t="str">
        <f>IFERROR(VLOOKUP(FYM671,'[3]Raw material  (3)'!FYK653:FZC3729,3,0),"")</f>
        <v/>
      </c>
      <c r="FYM671" t="str">
        <f>IFERROR(VLOOKUP(FYN671,'[3]Raw material  (3)'!FYL653:FZD3729,3,0),"")</f>
        <v/>
      </c>
      <c r="FYN671" t="str">
        <f>IFERROR(VLOOKUP(FYO671,'[3]Raw material  (3)'!FYM653:FZE3729,3,0),"")</f>
        <v/>
      </c>
      <c r="FYO671" t="str">
        <f>IFERROR(VLOOKUP(FYP671,'[3]Raw material  (3)'!FYN653:FZF3729,3,0),"")</f>
        <v/>
      </c>
      <c r="FYP671" t="str">
        <f>IFERROR(VLOOKUP(FYQ671,'[3]Raw material  (3)'!FYO653:FZG3729,3,0),"")</f>
        <v/>
      </c>
      <c r="FYQ671" t="str">
        <f>IFERROR(VLOOKUP(FYR671,'[3]Raw material  (3)'!FYP653:FZH3729,3,0),"")</f>
        <v/>
      </c>
      <c r="FYR671" t="str">
        <f>IFERROR(VLOOKUP(FYS671,'[3]Raw material  (3)'!FYQ653:FZI3729,3,0),"")</f>
        <v/>
      </c>
      <c r="FYS671" t="str">
        <f>IFERROR(VLOOKUP(FYT671,'[3]Raw material  (3)'!FYR653:FZJ3729,3,0),"")</f>
        <v/>
      </c>
      <c r="FYT671" t="str">
        <f>IFERROR(VLOOKUP(FYU671,'[3]Raw material  (3)'!FYS653:FZK3729,3,0),"")</f>
        <v/>
      </c>
      <c r="FYU671" t="str">
        <f>IFERROR(VLOOKUP(FYV671,'[3]Raw material  (3)'!FYT653:FZL3729,3,0),"")</f>
        <v/>
      </c>
      <c r="FYV671" t="str">
        <f>IFERROR(VLOOKUP(FYW671,'[3]Raw material  (3)'!FYU653:FZM3729,3,0),"")</f>
        <v/>
      </c>
      <c r="FYW671" t="str">
        <f>IFERROR(VLOOKUP(FYX671,'[3]Raw material  (3)'!FYV653:FZN3729,3,0),"")</f>
        <v/>
      </c>
      <c r="FYX671" t="str">
        <f>IFERROR(VLOOKUP(FYY671,'[3]Raw material  (3)'!FYW653:FZO3729,3,0),"")</f>
        <v/>
      </c>
      <c r="FYY671" t="str">
        <f>IFERROR(VLOOKUP(FYZ671,'[3]Raw material  (3)'!FYX653:FZP3729,3,0),"")</f>
        <v/>
      </c>
      <c r="FYZ671" t="str">
        <f>IFERROR(VLOOKUP(FZA671,'[3]Raw material  (3)'!FYY653:FZQ3729,3,0),"")</f>
        <v/>
      </c>
      <c r="FZA671" t="str">
        <f>IFERROR(VLOOKUP(FZB671,'[3]Raw material  (3)'!FYZ653:FZR3729,3,0),"")</f>
        <v/>
      </c>
      <c r="FZB671" t="str">
        <f>IFERROR(VLOOKUP(FZC671,'[3]Raw material  (3)'!FZA653:FZS3729,3,0),"")</f>
        <v/>
      </c>
      <c r="FZC671" t="str">
        <f>IFERROR(VLOOKUP(FZD671,'[3]Raw material  (3)'!FZB653:FZT3729,3,0),"")</f>
        <v/>
      </c>
      <c r="FZD671" t="str">
        <f>IFERROR(VLOOKUP(FZE671,'[3]Raw material  (3)'!FZC653:FZU3729,3,0),"")</f>
        <v/>
      </c>
      <c r="FZE671" t="str">
        <f>IFERROR(VLOOKUP(FZF671,'[3]Raw material  (3)'!FZD653:FZV3729,3,0),"")</f>
        <v/>
      </c>
      <c r="FZF671" t="str">
        <f>IFERROR(VLOOKUP(FZG671,'[3]Raw material  (3)'!FZE653:FZW3729,3,0),"")</f>
        <v/>
      </c>
      <c r="FZG671" t="str">
        <f>IFERROR(VLOOKUP(FZH671,'[3]Raw material  (3)'!FZF653:FZX3729,3,0),"")</f>
        <v/>
      </c>
      <c r="FZH671" t="str">
        <f>IFERROR(VLOOKUP(FZI671,'[3]Raw material  (3)'!FZG653:FZY3729,3,0),"")</f>
        <v/>
      </c>
      <c r="FZI671" t="str">
        <f>IFERROR(VLOOKUP(FZJ671,'[3]Raw material  (3)'!FZH653:FZZ3729,3,0),"")</f>
        <v/>
      </c>
      <c r="FZJ671" t="str">
        <f>IFERROR(VLOOKUP(FZK671,'[3]Raw material  (3)'!FZI653:GAA3729,3,0),"")</f>
        <v/>
      </c>
      <c r="FZK671" t="str">
        <f>IFERROR(VLOOKUP(FZL671,'[3]Raw material  (3)'!FZJ653:GAB3729,3,0),"")</f>
        <v/>
      </c>
      <c r="FZL671" t="str">
        <f>IFERROR(VLOOKUP(FZM671,'[3]Raw material  (3)'!FZK653:GAC3729,3,0),"")</f>
        <v/>
      </c>
      <c r="FZM671" t="str">
        <f>IFERROR(VLOOKUP(FZN671,'[3]Raw material  (3)'!FZL653:GAD3729,3,0),"")</f>
        <v/>
      </c>
      <c r="FZN671" t="str">
        <f>IFERROR(VLOOKUP(FZO671,'[3]Raw material  (3)'!FZM653:GAE3729,3,0),"")</f>
        <v/>
      </c>
      <c r="FZO671" t="str">
        <f>IFERROR(VLOOKUP(FZP671,'[3]Raw material  (3)'!FZN653:GAF3729,3,0),"")</f>
        <v/>
      </c>
      <c r="FZP671" t="str">
        <f>IFERROR(VLOOKUP(FZQ671,'[3]Raw material  (3)'!FZO653:GAG3729,3,0),"")</f>
        <v/>
      </c>
      <c r="FZQ671" t="str">
        <f>IFERROR(VLOOKUP(FZR671,'[3]Raw material  (3)'!FZP653:GAH3729,3,0),"")</f>
        <v/>
      </c>
      <c r="FZR671" t="str">
        <f>IFERROR(VLOOKUP(FZS671,'[3]Raw material  (3)'!FZQ653:GAI3729,3,0),"")</f>
        <v/>
      </c>
      <c r="FZS671" t="str">
        <f>IFERROR(VLOOKUP(FZT671,'[3]Raw material  (3)'!FZR653:GAJ3729,3,0),"")</f>
        <v/>
      </c>
      <c r="FZT671" t="str">
        <f>IFERROR(VLOOKUP(FZU671,'[3]Raw material  (3)'!FZS653:GAK3729,3,0),"")</f>
        <v/>
      </c>
      <c r="FZU671" t="str">
        <f>IFERROR(VLOOKUP(FZV671,'[3]Raw material  (3)'!FZT653:GAL3729,3,0),"")</f>
        <v/>
      </c>
      <c r="FZV671" t="str">
        <f>IFERROR(VLOOKUP(FZW671,'[3]Raw material  (3)'!FZU653:GAM3729,3,0),"")</f>
        <v/>
      </c>
      <c r="FZW671" t="str">
        <f>IFERROR(VLOOKUP(FZX671,'[3]Raw material  (3)'!FZV653:GAN3729,3,0),"")</f>
        <v/>
      </c>
      <c r="FZX671" t="str">
        <f>IFERROR(VLOOKUP(FZY671,'[3]Raw material  (3)'!FZW653:GAO3729,3,0),"")</f>
        <v/>
      </c>
      <c r="FZY671" t="str">
        <f>IFERROR(VLOOKUP(FZZ671,'[3]Raw material  (3)'!FZX653:GAP3729,3,0),"")</f>
        <v/>
      </c>
      <c r="FZZ671" t="str">
        <f>IFERROR(VLOOKUP(GAA671,'[3]Raw material  (3)'!FZY653:GAQ3729,3,0),"")</f>
        <v/>
      </c>
      <c r="GAA671" t="str">
        <f>IFERROR(VLOOKUP(GAB671,'[3]Raw material  (3)'!FZZ653:GAR3729,3,0),"")</f>
        <v/>
      </c>
      <c r="GAB671" t="str">
        <f>IFERROR(VLOOKUP(GAC671,'[3]Raw material  (3)'!GAA653:GAS3729,3,0),"")</f>
        <v/>
      </c>
      <c r="GAC671" t="str">
        <f>IFERROR(VLOOKUP(GAD671,'[3]Raw material  (3)'!GAB653:GAT3729,3,0),"")</f>
        <v/>
      </c>
      <c r="GAD671" t="str">
        <f>IFERROR(VLOOKUP(GAE671,'[3]Raw material  (3)'!GAC653:GAU3729,3,0),"")</f>
        <v/>
      </c>
      <c r="GAE671" t="str">
        <f>IFERROR(VLOOKUP(GAF671,'[3]Raw material  (3)'!GAD653:GAV3729,3,0),"")</f>
        <v/>
      </c>
      <c r="GAF671" t="str">
        <f>IFERROR(VLOOKUP(GAG671,'[3]Raw material  (3)'!GAE653:GAW3729,3,0),"")</f>
        <v/>
      </c>
      <c r="GAG671" t="str">
        <f>IFERROR(VLOOKUP(GAH671,'[3]Raw material  (3)'!GAF653:GAX3729,3,0),"")</f>
        <v/>
      </c>
      <c r="GAH671" t="str">
        <f>IFERROR(VLOOKUP(GAI671,'[3]Raw material  (3)'!GAG653:GAY3729,3,0),"")</f>
        <v/>
      </c>
      <c r="GAI671" t="str">
        <f>IFERROR(VLOOKUP(GAJ671,'[3]Raw material  (3)'!GAH653:GAZ3729,3,0),"")</f>
        <v/>
      </c>
      <c r="GAJ671" t="str">
        <f>IFERROR(VLOOKUP(GAK671,'[3]Raw material  (3)'!GAI653:GBA3729,3,0),"")</f>
        <v/>
      </c>
      <c r="GAK671" t="str">
        <f>IFERROR(VLOOKUP(GAL671,'[3]Raw material  (3)'!GAJ653:GBB3729,3,0),"")</f>
        <v/>
      </c>
      <c r="GAL671" t="str">
        <f>IFERROR(VLOOKUP(GAM671,'[3]Raw material  (3)'!GAK653:GBC3729,3,0),"")</f>
        <v/>
      </c>
      <c r="GAM671" t="str">
        <f>IFERROR(VLOOKUP(GAN671,'[3]Raw material  (3)'!GAL653:GBD3729,3,0),"")</f>
        <v/>
      </c>
      <c r="GAN671" t="str">
        <f>IFERROR(VLOOKUP(GAO671,'[3]Raw material  (3)'!GAM653:GBE3729,3,0),"")</f>
        <v/>
      </c>
      <c r="GAO671" t="str">
        <f>IFERROR(VLOOKUP(GAP671,'[3]Raw material  (3)'!GAN653:GBF3729,3,0),"")</f>
        <v/>
      </c>
      <c r="GAP671" t="str">
        <f>IFERROR(VLOOKUP(GAQ671,'[3]Raw material  (3)'!GAO653:GBG3729,3,0),"")</f>
        <v/>
      </c>
      <c r="GAQ671" t="str">
        <f>IFERROR(VLOOKUP(GAR671,'[3]Raw material  (3)'!GAP653:GBH3729,3,0),"")</f>
        <v/>
      </c>
      <c r="GAR671" t="str">
        <f>IFERROR(VLOOKUP(GAS671,'[3]Raw material  (3)'!GAQ653:GBI3729,3,0),"")</f>
        <v/>
      </c>
      <c r="GAS671" t="str">
        <f>IFERROR(VLOOKUP(GAT671,'[3]Raw material  (3)'!GAR653:GBJ3729,3,0),"")</f>
        <v/>
      </c>
      <c r="GAT671" t="str">
        <f>IFERROR(VLOOKUP(GAU671,'[3]Raw material  (3)'!GAS653:GBK3729,3,0),"")</f>
        <v/>
      </c>
      <c r="GAU671" t="str">
        <f>IFERROR(VLOOKUP(GAV671,'[3]Raw material  (3)'!GAT653:GBL3729,3,0),"")</f>
        <v/>
      </c>
      <c r="GAV671" t="str">
        <f>IFERROR(VLOOKUP(GAW671,'[3]Raw material  (3)'!GAU653:GBM3729,3,0),"")</f>
        <v/>
      </c>
      <c r="GAW671" t="str">
        <f>IFERROR(VLOOKUP(GAX671,'[3]Raw material  (3)'!GAV653:GBN3729,3,0),"")</f>
        <v/>
      </c>
      <c r="GAX671" t="str">
        <f>IFERROR(VLOOKUP(GAY671,'[3]Raw material  (3)'!GAW653:GBO3729,3,0),"")</f>
        <v/>
      </c>
      <c r="GAY671" t="str">
        <f>IFERROR(VLOOKUP(GAZ671,'[3]Raw material  (3)'!GAX653:GBP3729,3,0),"")</f>
        <v/>
      </c>
      <c r="GAZ671" t="str">
        <f>IFERROR(VLOOKUP(GBA671,'[3]Raw material  (3)'!GAY653:GBQ3729,3,0),"")</f>
        <v/>
      </c>
      <c r="GBA671" t="str">
        <f>IFERROR(VLOOKUP(GBB671,'[3]Raw material  (3)'!GAZ653:GBR3729,3,0),"")</f>
        <v/>
      </c>
      <c r="GBB671" t="str">
        <f>IFERROR(VLOOKUP(GBC671,'[3]Raw material  (3)'!GBA653:GBS3729,3,0),"")</f>
        <v/>
      </c>
      <c r="GBC671" t="str">
        <f>IFERROR(VLOOKUP(GBD671,'[3]Raw material  (3)'!GBB653:GBT3729,3,0),"")</f>
        <v/>
      </c>
      <c r="GBD671" t="str">
        <f>IFERROR(VLOOKUP(GBE671,'[3]Raw material  (3)'!GBC653:GBU3729,3,0),"")</f>
        <v/>
      </c>
      <c r="GBE671" t="str">
        <f>IFERROR(VLOOKUP(GBF671,'[3]Raw material  (3)'!GBD653:GBV3729,3,0),"")</f>
        <v/>
      </c>
      <c r="GBF671" t="str">
        <f>IFERROR(VLOOKUP(GBG671,'[3]Raw material  (3)'!GBE653:GBW3729,3,0),"")</f>
        <v/>
      </c>
      <c r="GBG671" t="str">
        <f>IFERROR(VLOOKUP(GBH671,'[3]Raw material  (3)'!GBF653:GBX3729,3,0),"")</f>
        <v/>
      </c>
      <c r="GBH671" t="str">
        <f>IFERROR(VLOOKUP(GBI671,'[3]Raw material  (3)'!GBG653:GBY3729,3,0),"")</f>
        <v/>
      </c>
      <c r="GBI671" t="str">
        <f>IFERROR(VLOOKUP(GBJ671,'[3]Raw material  (3)'!GBH653:GBZ3729,3,0),"")</f>
        <v/>
      </c>
      <c r="GBJ671" t="str">
        <f>IFERROR(VLOOKUP(GBK671,'[3]Raw material  (3)'!GBI653:GCA3729,3,0),"")</f>
        <v/>
      </c>
      <c r="GBK671" t="str">
        <f>IFERROR(VLOOKUP(GBL671,'[3]Raw material  (3)'!GBJ653:GCB3729,3,0),"")</f>
        <v/>
      </c>
      <c r="GBL671" t="str">
        <f>IFERROR(VLOOKUP(GBM671,'[3]Raw material  (3)'!GBK653:GCC3729,3,0),"")</f>
        <v/>
      </c>
      <c r="GBM671" t="str">
        <f>IFERROR(VLOOKUP(GBN671,'[3]Raw material  (3)'!GBL653:GCD3729,3,0),"")</f>
        <v/>
      </c>
      <c r="GBN671" t="str">
        <f>IFERROR(VLOOKUP(GBO671,'[3]Raw material  (3)'!GBM653:GCE3729,3,0),"")</f>
        <v/>
      </c>
      <c r="GBO671" t="str">
        <f>IFERROR(VLOOKUP(GBP671,'[3]Raw material  (3)'!GBN653:GCF3729,3,0),"")</f>
        <v/>
      </c>
      <c r="GBP671" t="str">
        <f>IFERROR(VLOOKUP(GBQ671,'[3]Raw material  (3)'!GBO653:GCG3729,3,0),"")</f>
        <v/>
      </c>
      <c r="GBQ671" t="str">
        <f>IFERROR(VLOOKUP(GBR671,'[3]Raw material  (3)'!GBP653:GCH3729,3,0),"")</f>
        <v/>
      </c>
      <c r="GBR671" t="str">
        <f>IFERROR(VLOOKUP(GBS671,'[3]Raw material  (3)'!GBQ653:GCI3729,3,0),"")</f>
        <v/>
      </c>
      <c r="GBS671" t="str">
        <f>IFERROR(VLOOKUP(GBT671,'[3]Raw material  (3)'!GBR653:GCJ3729,3,0),"")</f>
        <v/>
      </c>
      <c r="GBT671" t="str">
        <f>IFERROR(VLOOKUP(GBU671,'[3]Raw material  (3)'!GBS653:GCK3729,3,0),"")</f>
        <v/>
      </c>
      <c r="GBU671" t="str">
        <f>IFERROR(VLOOKUP(GBV671,'[3]Raw material  (3)'!GBT653:GCL3729,3,0),"")</f>
        <v/>
      </c>
      <c r="GBV671" t="str">
        <f>IFERROR(VLOOKUP(GBW671,'[3]Raw material  (3)'!GBU653:GCM3729,3,0),"")</f>
        <v/>
      </c>
      <c r="GBW671" t="str">
        <f>IFERROR(VLOOKUP(GBX671,'[3]Raw material  (3)'!GBV653:GCN3729,3,0),"")</f>
        <v/>
      </c>
      <c r="GBX671" t="str">
        <f>IFERROR(VLOOKUP(GBY671,'[3]Raw material  (3)'!GBW653:GCO3729,3,0),"")</f>
        <v/>
      </c>
      <c r="GBY671" t="str">
        <f>IFERROR(VLOOKUP(GBZ671,'[3]Raw material  (3)'!GBX653:GCP3729,3,0),"")</f>
        <v/>
      </c>
      <c r="GBZ671" t="str">
        <f>IFERROR(VLOOKUP(GCA671,'[3]Raw material  (3)'!GBY653:GCQ3729,3,0),"")</f>
        <v/>
      </c>
      <c r="GCA671" t="str">
        <f>IFERROR(VLOOKUP(GCB671,'[3]Raw material  (3)'!GBZ653:GCR3729,3,0),"")</f>
        <v/>
      </c>
      <c r="GCB671" t="str">
        <f>IFERROR(VLOOKUP(GCC671,'[3]Raw material  (3)'!GCA653:GCS3729,3,0),"")</f>
        <v/>
      </c>
      <c r="GCC671" t="str">
        <f>IFERROR(VLOOKUP(GCD671,'[3]Raw material  (3)'!GCB653:GCT3729,3,0),"")</f>
        <v/>
      </c>
      <c r="GCD671" t="str">
        <f>IFERROR(VLOOKUP(GCE671,'[3]Raw material  (3)'!GCC653:GCU3729,3,0),"")</f>
        <v/>
      </c>
      <c r="GCE671" t="str">
        <f>IFERROR(VLOOKUP(GCF671,'[3]Raw material  (3)'!GCD653:GCV3729,3,0),"")</f>
        <v/>
      </c>
      <c r="GCF671" t="str">
        <f>IFERROR(VLOOKUP(GCG671,'[3]Raw material  (3)'!GCE653:GCW3729,3,0),"")</f>
        <v/>
      </c>
      <c r="GCG671" t="str">
        <f>IFERROR(VLOOKUP(GCH671,'[3]Raw material  (3)'!GCF653:GCX3729,3,0),"")</f>
        <v/>
      </c>
      <c r="GCH671" t="str">
        <f>IFERROR(VLOOKUP(GCI671,'[3]Raw material  (3)'!GCG653:GCY3729,3,0),"")</f>
        <v/>
      </c>
      <c r="GCI671" t="str">
        <f>IFERROR(VLOOKUP(GCJ671,'[3]Raw material  (3)'!GCH653:GCZ3729,3,0),"")</f>
        <v/>
      </c>
      <c r="GCJ671" t="str">
        <f>IFERROR(VLOOKUP(GCK671,'[3]Raw material  (3)'!GCI653:GDA3729,3,0),"")</f>
        <v/>
      </c>
      <c r="GCK671" t="str">
        <f>IFERROR(VLOOKUP(GCL671,'[3]Raw material  (3)'!GCJ653:GDB3729,3,0),"")</f>
        <v/>
      </c>
      <c r="GCL671" t="str">
        <f>IFERROR(VLOOKUP(GCM671,'[3]Raw material  (3)'!GCK653:GDC3729,3,0),"")</f>
        <v/>
      </c>
      <c r="GCM671" t="str">
        <f>IFERROR(VLOOKUP(GCN671,'[3]Raw material  (3)'!GCL653:GDD3729,3,0),"")</f>
        <v/>
      </c>
      <c r="GCN671" t="str">
        <f>IFERROR(VLOOKUP(GCO671,'[3]Raw material  (3)'!GCM653:GDE3729,3,0),"")</f>
        <v/>
      </c>
      <c r="GCO671" t="str">
        <f>IFERROR(VLOOKUP(GCP671,'[3]Raw material  (3)'!GCN653:GDF3729,3,0),"")</f>
        <v/>
      </c>
      <c r="GCP671" t="str">
        <f>IFERROR(VLOOKUP(GCQ671,'[3]Raw material  (3)'!GCO653:GDG3729,3,0),"")</f>
        <v/>
      </c>
      <c r="GCQ671" t="str">
        <f>IFERROR(VLOOKUP(GCR671,'[3]Raw material  (3)'!GCP653:GDH3729,3,0),"")</f>
        <v/>
      </c>
      <c r="GCR671" t="str">
        <f>IFERROR(VLOOKUP(GCS671,'[3]Raw material  (3)'!GCQ653:GDI3729,3,0),"")</f>
        <v/>
      </c>
      <c r="GCS671" t="str">
        <f>IFERROR(VLOOKUP(GCT671,'[3]Raw material  (3)'!GCR653:GDJ3729,3,0),"")</f>
        <v/>
      </c>
      <c r="GCT671" t="str">
        <f>IFERROR(VLOOKUP(GCU671,'[3]Raw material  (3)'!GCS653:GDK3729,3,0),"")</f>
        <v/>
      </c>
      <c r="GCU671" t="str">
        <f>IFERROR(VLOOKUP(GCV671,'[3]Raw material  (3)'!GCT653:GDL3729,3,0),"")</f>
        <v/>
      </c>
      <c r="GCV671" t="str">
        <f>IFERROR(VLOOKUP(GCW671,'[3]Raw material  (3)'!GCU653:GDM3729,3,0),"")</f>
        <v/>
      </c>
      <c r="GCW671" t="str">
        <f>IFERROR(VLOOKUP(GCX671,'[3]Raw material  (3)'!GCV653:GDN3729,3,0),"")</f>
        <v/>
      </c>
      <c r="GCX671" t="str">
        <f>IFERROR(VLOOKUP(GCY671,'[3]Raw material  (3)'!GCW653:GDO3729,3,0),"")</f>
        <v/>
      </c>
      <c r="GCY671" t="str">
        <f>IFERROR(VLOOKUP(GCZ671,'[3]Raw material  (3)'!GCX653:GDP3729,3,0),"")</f>
        <v/>
      </c>
      <c r="GCZ671" t="str">
        <f>IFERROR(VLOOKUP(GDA671,'[3]Raw material  (3)'!GCY653:GDQ3729,3,0),"")</f>
        <v/>
      </c>
      <c r="GDA671" t="str">
        <f>IFERROR(VLOOKUP(GDB671,'[3]Raw material  (3)'!GCZ653:GDR3729,3,0),"")</f>
        <v/>
      </c>
      <c r="GDB671" t="str">
        <f>IFERROR(VLOOKUP(GDC671,'[3]Raw material  (3)'!GDA653:GDS3729,3,0),"")</f>
        <v/>
      </c>
      <c r="GDC671" t="str">
        <f>IFERROR(VLOOKUP(GDD671,'[3]Raw material  (3)'!GDB653:GDT3729,3,0),"")</f>
        <v/>
      </c>
      <c r="GDD671" t="str">
        <f>IFERROR(VLOOKUP(GDE671,'[3]Raw material  (3)'!GDC653:GDU3729,3,0),"")</f>
        <v/>
      </c>
      <c r="GDE671" t="str">
        <f>IFERROR(VLOOKUP(GDF671,'[3]Raw material  (3)'!GDD653:GDV3729,3,0),"")</f>
        <v/>
      </c>
      <c r="GDF671" t="str">
        <f>IFERROR(VLOOKUP(GDG671,'[3]Raw material  (3)'!GDE653:GDW3729,3,0),"")</f>
        <v/>
      </c>
      <c r="GDG671" t="str">
        <f>IFERROR(VLOOKUP(GDH671,'[3]Raw material  (3)'!GDF653:GDX3729,3,0),"")</f>
        <v/>
      </c>
      <c r="GDH671" t="str">
        <f>IFERROR(VLOOKUP(GDI671,'[3]Raw material  (3)'!GDG653:GDY3729,3,0),"")</f>
        <v/>
      </c>
      <c r="GDI671" t="str">
        <f>IFERROR(VLOOKUP(GDJ671,'[3]Raw material  (3)'!GDH653:GDZ3729,3,0),"")</f>
        <v/>
      </c>
      <c r="GDJ671" t="str">
        <f>IFERROR(VLOOKUP(GDK671,'[3]Raw material  (3)'!GDI653:GEA3729,3,0),"")</f>
        <v/>
      </c>
      <c r="GDK671" t="str">
        <f>IFERROR(VLOOKUP(GDL671,'[3]Raw material  (3)'!GDJ653:GEB3729,3,0),"")</f>
        <v/>
      </c>
      <c r="GDL671" t="str">
        <f>IFERROR(VLOOKUP(GDM671,'[3]Raw material  (3)'!GDK653:GEC3729,3,0),"")</f>
        <v/>
      </c>
      <c r="GDM671" t="str">
        <f>IFERROR(VLOOKUP(GDN671,'[3]Raw material  (3)'!GDL653:GED3729,3,0),"")</f>
        <v/>
      </c>
      <c r="GDN671" t="str">
        <f>IFERROR(VLOOKUP(GDO671,'[3]Raw material  (3)'!GDM653:GEE3729,3,0),"")</f>
        <v/>
      </c>
      <c r="GDO671" t="str">
        <f>IFERROR(VLOOKUP(GDP671,'[3]Raw material  (3)'!GDN653:GEF3729,3,0),"")</f>
        <v/>
      </c>
      <c r="GDP671" t="str">
        <f>IFERROR(VLOOKUP(GDQ671,'[3]Raw material  (3)'!GDO653:GEG3729,3,0),"")</f>
        <v/>
      </c>
      <c r="GDQ671" t="str">
        <f>IFERROR(VLOOKUP(GDR671,'[3]Raw material  (3)'!GDP653:GEH3729,3,0),"")</f>
        <v/>
      </c>
      <c r="GDR671" t="str">
        <f>IFERROR(VLOOKUP(GDS671,'[3]Raw material  (3)'!GDQ653:GEI3729,3,0),"")</f>
        <v/>
      </c>
      <c r="GDS671" t="str">
        <f>IFERROR(VLOOKUP(GDT671,'[3]Raw material  (3)'!GDR653:GEJ3729,3,0),"")</f>
        <v/>
      </c>
      <c r="GDT671" t="str">
        <f>IFERROR(VLOOKUP(GDU671,'[3]Raw material  (3)'!GDS653:GEK3729,3,0),"")</f>
        <v/>
      </c>
      <c r="GDU671" t="str">
        <f>IFERROR(VLOOKUP(GDV671,'[3]Raw material  (3)'!GDT653:GEL3729,3,0),"")</f>
        <v/>
      </c>
      <c r="GDV671" t="str">
        <f>IFERROR(VLOOKUP(GDW671,'[3]Raw material  (3)'!GDU653:GEM3729,3,0),"")</f>
        <v/>
      </c>
      <c r="GDW671" t="str">
        <f>IFERROR(VLOOKUP(GDX671,'[3]Raw material  (3)'!GDV653:GEN3729,3,0),"")</f>
        <v/>
      </c>
      <c r="GDX671" t="str">
        <f>IFERROR(VLOOKUP(GDY671,'[3]Raw material  (3)'!GDW653:GEO3729,3,0),"")</f>
        <v/>
      </c>
      <c r="GDY671" t="str">
        <f>IFERROR(VLOOKUP(GDZ671,'[3]Raw material  (3)'!GDX653:GEP3729,3,0),"")</f>
        <v/>
      </c>
      <c r="GDZ671" t="str">
        <f>IFERROR(VLOOKUP(GEA671,'[3]Raw material  (3)'!GDY653:GEQ3729,3,0),"")</f>
        <v/>
      </c>
      <c r="GEA671" t="str">
        <f>IFERROR(VLOOKUP(GEB671,'[3]Raw material  (3)'!GDZ653:GER3729,3,0),"")</f>
        <v/>
      </c>
      <c r="GEB671" t="str">
        <f>IFERROR(VLOOKUP(GEC671,'[3]Raw material  (3)'!GEA653:GES3729,3,0),"")</f>
        <v/>
      </c>
      <c r="GEC671" t="str">
        <f>IFERROR(VLOOKUP(GED671,'[3]Raw material  (3)'!GEB653:GET3729,3,0),"")</f>
        <v/>
      </c>
      <c r="GED671" t="str">
        <f>IFERROR(VLOOKUP(GEE671,'[3]Raw material  (3)'!GEC653:GEU3729,3,0),"")</f>
        <v/>
      </c>
      <c r="GEE671" t="str">
        <f>IFERROR(VLOOKUP(GEF671,'[3]Raw material  (3)'!GED653:GEV3729,3,0),"")</f>
        <v/>
      </c>
      <c r="GEF671" t="str">
        <f>IFERROR(VLOOKUP(GEG671,'[3]Raw material  (3)'!GEE653:GEW3729,3,0),"")</f>
        <v/>
      </c>
      <c r="GEG671" t="str">
        <f>IFERROR(VLOOKUP(GEH671,'[3]Raw material  (3)'!GEF653:GEX3729,3,0),"")</f>
        <v/>
      </c>
      <c r="GEH671" t="str">
        <f>IFERROR(VLOOKUP(GEI671,'[3]Raw material  (3)'!GEG653:GEY3729,3,0),"")</f>
        <v/>
      </c>
      <c r="GEI671" t="str">
        <f>IFERROR(VLOOKUP(GEJ671,'[3]Raw material  (3)'!GEH653:GEZ3729,3,0),"")</f>
        <v/>
      </c>
      <c r="GEJ671" t="str">
        <f>IFERROR(VLOOKUP(GEK671,'[3]Raw material  (3)'!GEI653:GFA3729,3,0),"")</f>
        <v/>
      </c>
      <c r="GEK671" t="str">
        <f>IFERROR(VLOOKUP(GEL671,'[3]Raw material  (3)'!GEJ653:GFB3729,3,0),"")</f>
        <v/>
      </c>
      <c r="GEL671" t="str">
        <f>IFERROR(VLOOKUP(GEM671,'[3]Raw material  (3)'!GEK653:GFC3729,3,0),"")</f>
        <v/>
      </c>
      <c r="GEM671" t="str">
        <f>IFERROR(VLOOKUP(GEN671,'[3]Raw material  (3)'!GEL653:GFD3729,3,0),"")</f>
        <v/>
      </c>
      <c r="GEN671" t="str">
        <f>IFERROR(VLOOKUP(GEO671,'[3]Raw material  (3)'!GEM653:GFE3729,3,0),"")</f>
        <v/>
      </c>
      <c r="GEO671" t="str">
        <f>IFERROR(VLOOKUP(GEP671,'[3]Raw material  (3)'!GEN653:GFF3729,3,0),"")</f>
        <v/>
      </c>
      <c r="GEP671" t="str">
        <f>IFERROR(VLOOKUP(GEQ671,'[3]Raw material  (3)'!GEO653:GFG3729,3,0),"")</f>
        <v/>
      </c>
      <c r="GEQ671" t="str">
        <f>IFERROR(VLOOKUP(GER671,'[3]Raw material  (3)'!GEP653:GFH3729,3,0),"")</f>
        <v/>
      </c>
      <c r="GER671" t="str">
        <f>IFERROR(VLOOKUP(GES671,'[3]Raw material  (3)'!GEQ653:GFI3729,3,0),"")</f>
        <v/>
      </c>
      <c r="GES671" t="str">
        <f>IFERROR(VLOOKUP(GET671,'[3]Raw material  (3)'!GER653:GFJ3729,3,0),"")</f>
        <v/>
      </c>
      <c r="GET671" t="str">
        <f>IFERROR(VLOOKUP(GEU671,'[3]Raw material  (3)'!GES653:GFK3729,3,0),"")</f>
        <v/>
      </c>
      <c r="GEU671" t="str">
        <f>IFERROR(VLOOKUP(GEV671,'[3]Raw material  (3)'!GET653:GFL3729,3,0),"")</f>
        <v/>
      </c>
      <c r="GEV671" t="str">
        <f>IFERROR(VLOOKUP(GEW671,'[3]Raw material  (3)'!GEU653:GFM3729,3,0),"")</f>
        <v/>
      </c>
      <c r="GEW671" t="str">
        <f>IFERROR(VLOOKUP(GEX671,'[3]Raw material  (3)'!GEV653:GFN3729,3,0),"")</f>
        <v/>
      </c>
      <c r="GEX671" t="str">
        <f>IFERROR(VLOOKUP(GEY671,'[3]Raw material  (3)'!GEW653:GFO3729,3,0),"")</f>
        <v/>
      </c>
      <c r="GEY671" t="str">
        <f>IFERROR(VLOOKUP(GEZ671,'[3]Raw material  (3)'!GEX653:GFP3729,3,0),"")</f>
        <v/>
      </c>
      <c r="GEZ671" t="str">
        <f>IFERROR(VLOOKUP(GFA671,'[3]Raw material  (3)'!GEY653:GFQ3729,3,0),"")</f>
        <v/>
      </c>
      <c r="GFA671" t="str">
        <f>IFERROR(VLOOKUP(GFB671,'[3]Raw material  (3)'!GEZ653:GFR3729,3,0),"")</f>
        <v/>
      </c>
      <c r="GFB671" t="str">
        <f>IFERROR(VLOOKUP(GFC671,'[3]Raw material  (3)'!GFA653:GFS3729,3,0),"")</f>
        <v/>
      </c>
      <c r="GFC671" t="str">
        <f>IFERROR(VLOOKUP(GFD671,'[3]Raw material  (3)'!GFB653:GFT3729,3,0),"")</f>
        <v/>
      </c>
      <c r="GFD671" t="str">
        <f>IFERROR(VLOOKUP(GFE671,'[3]Raw material  (3)'!GFC653:GFU3729,3,0),"")</f>
        <v/>
      </c>
      <c r="GFE671" t="str">
        <f>IFERROR(VLOOKUP(GFF671,'[3]Raw material  (3)'!GFD653:GFV3729,3,0),"")</f>
        <v/>
      </c>
      <c r="GFF671" t="str">
        <f>IFERROR(VLOOKUP(GFG671,'[3]Raw material  (3)'!GFE653:GFW3729,3,0),"")</f>
        <v/>
      </c>
      <c r="GFG671" t="str">
        <f>IFERROR(VLOOKUP(GFH671,'[3]Raw material  (3)'!GFF653:GFX3729,3,0),"")</f>
        <v/>
      </c>
      <c r="GFH671" t="str">
        <f>IFERROR(VLOOKUP(GFI671,'[3]Raw material  (3)'!GFG653:GFY3729,3,0),"")</f>
        <v/>
      </c>
      <c r="GFI671" t="str">
        <f>IFERROR(VLOOKUP(GFJ671,'[3]Raw material  (3)'!GFH653:GFZ3729,3,0),"")</f>
        <v/>
      </c>
      <c r="GFJ671" t="str">
        <f>IFERROR(VLOOKUP(GFK671,'[3]Raw material  (3)'!GFI653:GGA3729,3,0),"")</f>
        <v/>
      </c>
      <c r="GFK671" t="str">
        <f>IFERROR(VLOOKUP(GFL671,'[3]Raw material  (3)'!GFJ653:GGB3729,3,0),"")</f>
        <v/>
      </c>
      <c r="GFL671" t="str">
        <f>IFERROR(VLOOKUP(GFM671,'[3]Raw material  (3)'!GFK653:GGC3729,3,0),"")</f>
        <v/>
      </c>
      <c r="GFM671" t="str">
        <f>IFERROR(VLOOKUP(GFN671,'[3]Raw material  (3)'!GFL653:GGD3729,3,0),"")</f>
        <v/>
      </c>
      <c r="GFN671" t="str">
        <f>IFERROR(VLOOKUP(GFO671,'[3]Raw material  (3)'!GFM653:GGE3729,3,0),"")</f>
        <v/>
      </c>
      <c r="GFO671" t="str">
        <f>IFERROR(VLOOKUP(GFP671,'[3]Raw material  (3)'!GFN653:GGF3729,3,0),"")</f>
        <v/>
      </c>
      <c r="GFP671" t="str">
        <f>IFERROR(VLOOKUP(GFQ671,'[3]Raw material  (3)'!GFO653:GGG3729,3,0),"")</f>
        <v/>
      </c>
      <c r="GFQ671" t="str">
        <f>IFERROR(VLOOKUP(GFR671,'[3]Raw material  (3)'!GFP653:GGH3729,3,0),"")</f>
        <v/>
      </c>
      <c r="GFR671" t="str">
        <f>IFERROR(VLOOKUP(GFS671,'[3]Raw material  (3)'!GFQ653:GGI3729,3,0),"")</f>
        <v/>
      </c>
      <c r="GFS671" t="str">
        <f>IFERROR(VLOOKUP(GFT671,'[3]Raw material  (3)'!GFR653:GGJ3729,3,0),"")</f>
        <v/>
      </c>
      <c r="GFT671" t="str">
        <f>IFERROR(VLOOKUP(GFU671,'[3]Raw material  (3)'!GFS653:GGK3729,3,0),"")</f>
        <v/>
      </c>
      <c r="GFU671" t="str">
        <f>IFERROR(VLOOKUP(GFV671,'[3]Raw material  (3)'!GFT653:GGL3729,3,0),"")</f>
        <v/>
      </c>
      <c r="GFV671" t="str">
        <f>IFERROR(VLOOKUP(GFW671,'[3]Raw material  (3)'!GFU653:GGM3729,3,0),"")</f>
        <v/>
      </c>
      <c r="GFW671" t="str">
        <f>IFERROR(VLOOKUP(GFX671,'[3]Raw material  (3)'!GFV653:GGN3729,3,0),"")</f>
        <v/>
      </c>
      <c r="GFX671" t="str">
        <f>IFERROR(VLOOKUP(GFY671,'[3]Raw material  (3)'!GFW653:GGO3729,3,0),"")</f>
        <v/>
      </c>
      <c r="GFY671" t="str">
        <f>IFERROR(VLOOKUP(GFZ671,'[3]Raw material  (3)'!GFX653:GGP3729,3,0),"")</f>
        <v/>
      </c>
      <c r="GFZ671" t="str">
        <f>IFERROR(VLOOKUP(GGA671,'[3]Raw material  (3)'!GFY653:GGQ3729,3,0),"")</f>
        <v/>
      </c>
      <c r="GGA671" t="str">
        <f>IFERROR(VLOOKUP(GGB671,'[3]Raw material  (3)'!GFZ653:GGR3729,3,0),"")</f>
        <v/>
      </c>
      <c r="GGB671" t="str">
        <f>IFERROR(VLOOKUP(GGC671,'[3]Raw material  (3)'!GGA653:GGS3729,3,0),"")</f>
        <v/>
      </c>
      <c r="GGC671" t="str">
        <f>IFERROR(VLOOKUP(GGD671,'[3]Raw material  (3)'!GGB653:GGT3729,3,0),"")</f>
        <v/>
      </c>
      <c r="GGD671" t="str">
        <f>IFERROR(VLOOKUP(GGE671,'[3]Raw material  (3)'!GGC653:GGU3729,3,0),"")</f>
        <v/>
      </c>
      <c r="GGE671" t="str">
        <f>IFERROR(VLOOKUP(GGF671,'[3]Raw material  (3)'!GGD653:GGV3729,3,0),"")</f>
        <v/>
      </c>
      <c r="GGF671" t="str">
        <f>IFERROR(VLOOKUP(GGG671,'[3]Raw material  (3)'!GGE653:GGW3729,3,0),"")</f>
        <v/>
      </c>
      <c r="GGG671" t="str">
        <f>IFERROR(VLOOKUP(GGH671,'[3]Raw material  (3)'!GGF653:GGX3729,3,0),"")</f>
        <v/>
      </c>
      <c r="GGH671" t="str">
        <f>IFERROR(VLOOKUP(GGI671,'[3]Raw material  (3)'!GGG653:GGY3729,3,0),"")</f>
        <v/>
      </c>
      <c r="GGI671" t="str">
        <f>IFERROR(VLOOKUP(GGJ671,'[3]Raw material  (3)'!GGH653:GGZ3729,3,0),"")</f>
        <v/>
      </c>
      <c r="GGJ671" t="str">
        <f>IFERROR(VLOOKUP(GGK671,'[3]Raw material  (3)'!GGI653:GHA3729,3,0),"")</f>
        <v/>
      </c>
      <c r="GGK671" t="str">
        <f>IFERROR(VLOOKUP(GGL671,'[3]Raw material  (3)'!GGJ653:GHB3729,3,0),"")</f>
        <v/>
      </c>
      <c r="GGL671" t="str">
        <f>IFERROR(VLOOKUP(GGM671,'[3]Raw material  (3)'!GGK653:GHC3729,3,0),"")</f>
        <v/>
      </c>
      <c r="GGM671" t="str">
        <f>IFERROR(VLOOKUP(GGN671,'[3]Raw material  (3)'!GGL653:GHD3729,3,0),"")</f>
        <v/>
      </c>
      <c r="GGN671" t="str">
        <f>IFERROR(VLOOKUP(GGO671,'[3]Raw material  (3)'!GGM653:GHE3729,3,0),"")</f>
        <v/>
      </c>
      <c r="GGO671" t="str">
        <f>IFERROR(VLOOKUP(GGP671,'[3]Raw material  (3)'!GGN653:GHF3729,3,0),"")</f>
        <v/>
      </c>
      <c r="GGP671" t="str">
        <f>IFERROR(VLOOKUP(GGQ671,'[3]Raw material  (3)'!GGO653:GHG3729,3,0),"")</f>
        <v/>
      </c>
      <c r="GGQ671" t="str">
        <f>IFERROR(VLOOKUP(GGR671,'[3]Raw material  (3)'!GGP653:GHH3729,3,0),"")</f>
        <v/>
      </c>
      <c r="GGR671" t="str">
        <f>IFERROR(VLOOKUP(GGS671,'[3]Raw material  (3)'!GGQ653:GHI3729,3,0),"")</f>
        <v/>
      </c>
      <c r="GGS671" t="str">
        <f>IFERROR(VLOOKUP(GGT671,'[3]Raw material  (3)'!GGR653:GHJ3729,3,0),"")</f>
        <v/>
      </c>
      <c r="GGT671" t="str">
        <f>IFERROR(VLOOKUP(GGU671,'[3]Raw material  (3)'!GGS653:GHK3729,3,0),"")</f>
        <v/>
      </c>
      <c r="GGU671" t="str">
        <f>IFERROR(VLOOKUP(GGV671,'[3]Raw material  (3)'!GGT653:GHL3729,3,0),"")</f>
        <v/>
      </c>
      <c r="GGV671" t="str">
        <f>IFERROR(VLOOKUP(GGW671,'[3]Raw material  (3)'!GGU653:GHM3729,3,0),"")</f>
        <v/>
      </c>
      <c r="GGW671" t="str">
        <f>IFERROR(VLOOKUP(GGX671,'[3]Raw material  (3)'!GGV653:GHN3729,3,0),"")</f>
        <v/>
      </c>
      <c r="GGX671" t="str">
        <f>IFERROR(VLOOKUP(GGY671,'[3]Raw material  (3)'!GGW653:GHO3729,3,0),"")</f>
        <v/>
      </c>
      <c r="GGY671" t="str">
        <f>IFERROR(VLOOKUP(GGZ671,'[3]Raw material  (3)'!GGX653:GHP3729,3,0),"")</f>
        <v/>
      </c>
      <c r="GGZ671" t="str">
        <f>IFERROR(VLOOKUP(GHA671,'[3]Raw material  (3)'!GGY653:GHQ3729,3,0),"")</f>
        <v/>
      </c>
      <c r="GHA671" t="str">
        <f>IFERROR(VLOOKUP(GHB671,'[3]Raw material  (3)'!GGZ653:GHR3729,3,0),"")</f>
        <v/>
      </c>
      <c r="GHB671" t="str">
        <f>IFERROR(VLOOKUP(GHC671,'[3]Raw material  (3)'!GHA653:GHS3729,3,0),"")</f>
        <v/>
      </c>
      <c r="GHC671" t="str">
        <f>IFERROR(VLOOKUP(GHD671,'[3]Raw material  (3)'!GHB653:GHT3729,3,0),"")</f>
        <v/>
      </c>
      <c r="GHD671" t="str">
        <f>IFERROR(VLOOKUP(GHE671,'[3]Raw material  (3)'!GHC653:GHU3729,3,0),"")</f>
        <v/>
      </c>
      <c r="GHE671" t="str">
        <f>IFERROR(VLOOKUP(GHF671,'[3]Raw material  (3)'!GHD653:GHV3729,3,0),"")</f>
        <v/>
      </c>
      <c r="GHF671" t="str">
        <f>IFERROR(VLOOKUP(GHG671,'[3]Raw material  (3)'!GHE653:GHW3729,3,0),"")</f>
        <v/>
      </c>
      <c r="GHG671" t="str">
        <f>IFERROR(VLOOKUP(GHH671,'[3]Raw material  (3)'!GHF653:GHX3729,3,0),"")</f>
        <v/>
      </c>
      <c r="GHH671" t="str">
        <f>IFERROR(VLOOKUP(GHI671,'[3]Raw material  (3)'!GHG653:GHY3729,3,0),"")</f>
        <v/>
      </c>
      <c r="GHI671" t="str">
        <f>IFERROR(VLOOKUP(GHJ671,'[3]Raw material  (3)'!GHH653:GHZ3729,3,0),"")</f>
        <v/>
      </c>
      <c r="GHJ671" t="str">
        <f>IFERROR(VLOOKUP(GHK671,'[3]Raw material  (3)'!GHI653:GIA3729,3,0),"")</f>
        <v/>
      </c>
      <c r="GHK671" t="str">
        <f>IFERROR(VLOOKUP(GHL671,'[3]Raw material  (3)'!GHJ653:GIB3729,3,0),"")</f>
        <v/>
      </c>
      <c r="GHL671" t="str">
        <f>IFERROR(VLOOKUP(GHM671,'[3]Raw material  (3)'!GHK653:GIC3729,3,0),"")</f>
        <v/>
      </c>
      <c r="GHM671" t="str">
        <f>IFERROR(VLOOKUP(GHN671,'[3]Raw material  (3)'!GHL653:GID3729,3,0),"")</f>
        <v/>
      </c>
      <c r="GHN671" t="str">
        <f>IFERROR(VLOOKUP(GHO671,'[3]Raw material  (3)'!GHM653:GIE3729,3,0),"")</f>
        <v/>
      </c>
      <c r="GHO671" t="str">
        <f>IFERROR(VLOOKUP(GHP671,'[3]Raw material  (3)'!GHN653:GIF3729,3,0),"")</f>
        <v/>
      </c>
      <c r="GHP671" t="str">
        <f>IFERROR(VLOOKUP(GHQ671,'[3]Raw material  (3)'!GHO653:GIG3729,3,0),"")</f>
        <v/>
      </c>
      <c r="GHQ671" t="str">
        <f>IFERROR(VLOOKUP(GHR671,'[3]Raw material  (3)'!GHP653:GIH3729,3,0),"")</f>
        <v/>
      </c>
      <c r="GHR671" t="str">
        <f>IFERROR(VLOOKUP(GHS671,'[3]Raw material  (3)'!GHQ653:GII3729,3,0),"")</f>
        <v/>
      </c>
      <c r="GHS671" t="str">
        <f>IFERROR(VLOOKUP(GHT671,'[3]Raw material  (3)'!GHR653:GIJ3729,3,0),"")</f>
        <v/>
      </c>
      <c r="GHT671" t="str">
        <f>IFERROR(VLOOKUP(GHU671,'[3]Raw material  (3)'!GHS653:GIK3729,3,0),"")</f>
        <v/>
      </c>
      <c r="GHU671" t="str">
        <f>IFERROR(VLOOKUP(GHV671,'[3]Raw material  (3)'!GHT653:GIL3729,3,0),"")</f>
        <v/>
      </c>
      <c r="GHV671" t="str">
        <f>IFERROR(VLOOKUP(GHW671,'[3]Raw material  (3)'!GHU653:GIM3729,3,0),"")</f>
        <v/>
      </c>
      <c r="GHW671" t="str">
        <f>IFERROR(VLOOKUP(GHX671,'[3]Raw material  (3)'!GHV653:GIN3729,3,0),"")</f>
        <v/>
      </c>
      <c r="GHX671" t="str">
        <f>IFERROR(VLOOKUP(GHY671,'[3]Raw material  (3)'!GHW653:GIO3729,3,0),"")</f>
        <v/>
      </c>
      <c r="GHY671" t="str">
        <f>IFERROR(VLOOKUP(GHZ671,'[3]Raw material  (3)'!GHX653:GIP3729,3,0),"")</f>
        <v/>
      </c>
      <c r="GHZ671" t="str">
        <f>IFERROR(VLOOKUP(GIA671,'[3]Raw material  (3)'!GHY653:GIQ3729,3,0),"")</f>
        <v/>
      </c>
      <c r="GIA671" t="str">
        <f>IFERROR(VLOOKUP(GIB671,'[3]Raw material  (3)'!GHZ653:GIR3729,3,0),"")</f>
        <v/>
      </c>
      <c r="GIB671" t="str">
        <f>IFERROR(VLOOKUP(GIC671,'[3]Raw material  (3)'!GIA653:GIS3729,3,0),"")</f>
        <v/>
      </c>
      <c r="GIC671" t="str">
        <f>IFERROR(VLOOKUP(GID671,'[3]Raw material  (3)'!GIB653:GIT3729,3,0),"")</f>
        <v/>
      </c>
      <c r="GID671" t="str">
        <f>IFERROR(VLOOKUP(GIE671,'[3]Raw material  (3)'!GIC653:GIU3729,3,0),"")</f>
        <v/>
      </c>
      <c r="GIE671" t="str">
        <f>IFERROR(VLOOKUP(GIF671,'[3]Raw material  (3)'!GID653:GIV3729,3,0),"")</f>
        <v/>
      </c>
      <c r="GIF671" t="str">
        <f>IFERROR(VLOOKUP(GIG671,'[3]Raw material  (3)'!GIE653:GIW3729,3,0),"")</f>
        <v/>
      </c>
      <c r="GIG671" t="str">
        <f>IFERROR(VLOOKUP(GIH671,'[3]Raw material  (3)'!GIF653:GIX3729,3,0),"")</f>
        <v/>
      </c>
      <c r="GIH671" t="str">
        <f>IFERROR(VLOOKUP(GII671,'[3]Raw material  (3)'!GIG653:GIY3729,3,0),"")</f>
        <v/>
      </c>
      <c r="GII671" t="str">
        <f>IFERROR(VLOOKUP(GIJ671,'[3]Raw material  (3)'!GIH653:GIZ3729,3,0),"")</f>
        <v/>
      </c>
      <c r="GIJ671" t="str">
        <f>IFERROR(VLOOKUP(GIK671,'[3]Raw material  (3)'!GII653:GJA3729,3,0),"")</f>
        <v/>
      </c>
      <c r="GIK671" t="str">
        <f>IFERROR(VLOOKUP(GIL671,'[3]Raw material  (3)'!GIJ653:GJB3729,3,0),"")</f>
        <v/>
      </c>
      <c r="GIL671" t="str">
        <f>IFERROR(VLOOKUP(GIM671,'[3]Raw material  (3)'!GIK653:GJC3729,3,0),"")</f>
        <v/>
      </c>
      <c r="GIM671" t="str">
        <f>IFERROR(VLOOKUP(GIN671,'[3]Raw material  (3)'!GIL653:GJD3729,3,0),"")</f>
        <v/>
      </c>
      <c r="GIN671" t="str">
        <f>IFERROR(VLOOKUP(GIO671,'[3]Raw material  (3)'!GIM653:GJE3729,3,0),"")</f>
        <v/>
      </c>
      <c r="GIO671" t="str">
        <f>IFERROR(VLOOKUP(GIP671,'[3]Raw material  (3)'!GIN653:GJF3729,3,0),"")</f>
        <v/>
      </c>
      <c r="GIP671" t="str">
        <f>IFERROR(VLOOKUP(GIQ671,'[3]Raw material  (3)'!GIO653:GJG3729,3,0),"")</f>
        <v/>
      </c>
      <c r="GIQ671" t="str">
        <f>IFERROR(VLOOKUP(GIR671,'[3]Raw material  (3)'!GIP653:GJH3729,3,0),"")</f>
        <v/>
      </c>
      <c r="GIR671" t="str">
        <f>IFERROR(VLOOKUP(GIS671,'[3]Raw material  (3)'!GIQ653:GJI3729,3,0),"")</f>
        <v/>
      </c>
      <c r="GIS671" t="str">
        <f>IFERROR(VLOOKUP(GIT671,'[3]Raw material  (3)'!GIR653:GJJ3729,3,0),"")</f>
        <v/>
      </c>
      <c r="GIT671" t="str">
        <f>IFERROR(VLOOKUP(GIU671,'[3]Raw material  (3)'!GIS653:GJK3729,3,0),"")</f>
        <v/>
      </c>
      <c r="GIU671" t="str">
        <f>IFERROR(VLOOKUP(GIV671,'[3]Raw material  (3)'!GIT653:GJL3729,3,0),"")</f>
        <v/>
      </c>
      <c r="GIV671" t="str">
        <f>IFERROR(VLOOKUP(GIW671,'[3]Raw material  (3)'!GIU653:GJM3729,3,0),"")</f>
        <v/>
      </c>
      <c r="GIW671" t="str">
        <f>IFERROR(VLOOKUP(GIX671,'[3]Raw material  (3)'!GIV653:GJN3729,3,0),"")</f>
        <v/>
      </c>
      <c r="GIX671" t="str">
        <f>IFERROR(VLOOKUP(GIY671,'[3]Raw material  (3)'!GIW653:GJO3729,3,0),"")</f>
        <v/>
      </c>
      <c r="GIY671" t="str">
        <f>IFERROR(VLOOKUP(GIZ671,'[3]Raw material  (3)'!GIX653:GJP3729,3,0),"")</f>
        <v/>
      </c>
      <c r="GIZ671" t="str">
        <f>IFERROR(VLOOKUP(GJA671,'[3]Raw material  (3)'!GIY653:GJQ3729,3,0),"")</f>
        <v/>
      </c>
      <c r="GJA671" t="str">
        <f>IFERROR(VLOOKUP(GJB671,'[3]Raw material  (3)'!GIZ653:GJR3729,3,0),"")</f>
        <v/>
      </c>
      <c r="GJB671" t="str">
        <f>IFERROR(VLOOKUP(GJC671,'[3]Raw material  (3)'!GJA653:GJS3729,3,0),"")</f>
        <v/>
      </c>
      <c r="GJC671" t="str">
        <f>IFERROR(VLOOKUP(GJD671,'[3]Raw material  (3)'!GJB653:GJT3729,3,0),"")</f>
        <v/>
      </c>
      <c r="GJD671" t="str">
        <f>IFERROR(VLOOKUP(GJE671,'[3]Raw material  (3)'!GJC653:GJU3729,3,0),"")</f>
        <v/>
      </c>
      <c r="GJE671" t="str">
        <f>IFERROR(VLOOKUP(GJF671,'[3]Raw material  (3)'!GJD653:GJV3729,3,0),"")</f>
        <v/>
      </c>
      <c r="GJF671" t="str">
        <f>IFERROR(VLOOKUP(GJG671,'[3]Raw material  (3)'!GJE653:GJW3729,3,0),"")</f>
        <v/>
      </c>
      <c r="GJG671" t="str">
        <f>IFERROR(VLOOKUP(GJH671,'[3]Raw material  (3)'!GJF653:GJX3729,3,0),"")</f>
        <v/>
      </c>
      <c r="GJH671" t="str">
        <f>IFERROR(VLOOKUP(GJI671,'[3]Raw material  (3)'!GJG653:GJY3729,3,0),"")</f>
        <v/>
      </c>
      <c r="GJI671" t="str">
        <f>IFERROR(VLOOKUP(GJJ671,'[3]Raw material  (3)'!GJH653:GJZ3729,3,0),"")</f>
        <v/>
      </c>
      <c r="GJJ671" t="str">
        <f>IFERROR(VLOOKUP(GJK671,'[3]Raw material  (3)'!GJI653:GKA3729,3,0),"")</f>
        <v/>
      </c>
      <c r="GJK671" t="str">
        <f>IFERROR(VLOOKUP(GJL671,'[3]Raw material  (3)'!GJJ653:GKB3729,3,0),"")</f>
        <v/>
      </c>
      <c r="GJL671" t="str">
        <f>IFERROR(VLOOKUP(GJM671,'[3]Raw material  (3)'!GJK653:GKC3729,3,0),"")</f>
        <v/>
      </c>
      <c r="GJM671" t="str">
        <f>IFERROR(VLOOKUP(GJN671,'[3]Raw material  (3)'!GJL653:GKD3729,3,0),"")</f>
        <v/>
      </c>
      <c r="GJN671" t="str">
        <f>IFERROR(VLOOKUP(GJO671,'[3]Raw material  (3)'!GJM653:GKE3729,3,0),"")</f>
        <v/>
      </c>
      <c r="GJO671" t="str">
        <f>IFERROR(VLOOKUP(GJP671,'[3]Raw material  (3)'!GJN653:GKF3729,3,0),"")</f>
        <v/>
      </c>
      <c r="GJP671" t="str">
        <f>IFERROR(VLOOKUP(GJQ671,'[3]Raw material  (3)'!GJO653:GKG3729,3,0),"")</f>
        <v/>
      </c>
      <c r="GJQ671" t="str">
        <f>IFERROR(VLOOKUP(GJR671,'[3]Raw material  (3)'!GJP653:GKH3729,3,0),"")</f>
        <v/>
      </c>
      <c r="GJR671" t="str">
        <f>IFERROR(VLOOKUP(GJS671,'[3]Raw material  (3)'!GJQ653:GKI3729,3,0),"")</f>
        <v/>
      </c>
      <c r="GJS671" t="str">
        <f>IFERROR(VLOOKUP(GJT671,'[3]Raw material  (3)'!GJR653:GKJ3729,3,0),"")</f>
        <v/>
      </c>
      <c r="GJT671" t="str">
        <f>IFERROR(VLOOKUP(GJU671,'[3]Raw material  (3)'!GJS653:GKK3729,3,0),"")</f>
        <v/>
      </c>
      <c r="GJU671" t="str">
        <f>IFERROR(VLOOKUP(GJV671,'[3]Raw material  (3)'!GJT653:GKL3729,3,0),"")</f>
        <v/>
      </c>
      <c r="GJV671" t="str">
        <f>IFERROR(VLOOKUP(GJW671,'[3]Raw material  (3)'!GJU653:GKM3729,3,0),"")</f>
        <v/>
      </c>
      <c r="GJW671" t="str">
        <f>IFERROR(VLOOKUP(GJX671,'[3]Raw material  (3)'!GJV653:GKN3729,3,0),"")</f>
        <v/>
      </c>
      <c r="GJX671" t="str">
        <f>IFERROR(VLOOKUP(GJY671,'[3]Raw material  (3)'!GJW653:GKO3729,3,0),"")</f>
        <v/>
      </c>
      <c r="GJY671" t="str">
        <f>IFERROR(VLOOKUP(GJZ671,'[3]Raw material  (3)'!GJX653:GKP3729,3,0),"")</f>
        <v/>
      </c>
      <c r="GJZ671" t="str">
        <f>IFERROR(VLOOKUP(GKA671,'[3]Raw material  (3)'!GJY653:GKQ3729,3,0),"")</f>
        <v/>
      </c>
      <c r="GKA671" t="str">
        <f>IFERROR(VLOOKUP(GKB671,'[3]Raw material  (3)'!GJZ653:GKR3729,3,0),"")</f>
        <v/>
      </c>
      <c r="GKB671" t="str">
        <f>IFERROR(VLOOKUP(GKC671,'[3]Raw material  (3)'!GKA653:GKS3729,3,0),"")</f>
        <v/>
      </c>
      <c r="GKC671" t="str">
        <f>IFERROR(VLOOKUP(GKD671,'[3]Raw material  (3)'!GKB653:GKT3729,3,0),"")</f>
        <v/>
      </c>
      <c r="GKD671" t="str">
        <f>IFERROR(VLOOKUP(GKE671,'[3]Raw material  (3)'!GKC653:GKU3729,3,0),"")</f>
        <v/>
      </c>
      <c r="GKE671" t="str">
        <f>IFERROR(VLOOKUP(GKF671,'[3]Raw material  (3)'!GKD653:GKV3729,3,0),"")</f>
        <v/>
      </c>
      <c r="GKF671" t="str">
        <f>IFERROR(VLOOKUP(GKG671,'[3]Raw material  (3)'!GKE653:GKW3729,3,0),"")</f>
        <v/>
      </c>
      <c r="GKG671" t="str">
        <f>IFERROR(VLOOKUP(GKH671,'[3]Raw material  (3)'!GKF653:GKX3729,3,0),"")</f>
        <v/>
      </c>
      <c r="GKH671" t="str">
        <f>IFERROR(VLOOKUP(GKI671,'[3]Raw material  (3)'!GKG653:GKY3729,3,0),"")</f>
        <v/>
      </c>
      <c r="GKI671" t="str">
        <f>IFERROR(VLOOKUP(GKJ671,'[3]Raw material  (3)'!GKH653:GKZ3729,3,0),"")</f>
        <v/>
      </c>
      <c r="GKJ671" t="str">
        <f>IFERROR(VLOOKUP(GKK671,'[3]Raw material  (3)'!GKI653:GLA3729,3,0),"")</f>
        <v/>
      </c>
      <c r="GKK671" t="str">
        <f>IFERROR(VLOOKUP(GKL671,'[3]Raw material  (3)'!GKJ653:GLB3729,3,0),"")</f>
        <v/>
      </c>
      <c r="GKL671" t="str">
        <f>IFERROR(VLOOKUP(GKM671,'[3]Raw material  (3)'!GKK653:GLC3729,3,0),"")</f>
        <v/>
      </c>
      <c r="GKM671" t="str">
        <f>IFERROR(VLOOKUP(GKN671,'[3]Raw material  (3)'!GKL653:GLD3729,3,0),"")</f>
        <v/>
      </c>
      <c r="GKN671" t="str">
        <f>IFERROR(VLOOKUP(GKO671,'[3]Raw material  (3)'!GKM653:GLE3729,3,0),"")</f>
        <v/>
      </c>
      <c r="GKO671" t="str">
        <f>IFERROR(VLOOKUP(GKP671,'[3]Raw material  (3)'!GKN653:GLF3729,3,0),"")</f>
        <v/>
      </c>
      <c r="GKP671" t="str">
        <f>IFERROR(VLOOKUP(GKQ671,'[3]Raw material  (3)'!GKO653:GLG3729,3,0),"")</f>
        <v/>
      </c>
      <c r="GKQ671" t="str">
        <f>IFERROR(VLOOKUP(GKR671,'[3]Raw material  (3)'!GKP653:GLH3729,3,0),"")</f>
        <v/>
      </c>
      <c r="GKR671" t="str">
        <f>IFERROR(VLOOKUP(GKS671,'[3]Raw material  (3)'!GKQ653:GLI3729,3,0),"")</f>
        <v/>
      </c>
      <c r="GKS671" t="str">
        <f>IFERROR(VLOOKUP(GKT671,'[3]Raw material  (3)'!GKR653:GLJ3729,3,0),"")</f>
        <v/>
      </c>
      <c r="GKT671" t="str">
        <f>IFERROR(VLOOKUP(GKU671,'[3]Raw material  (3)'!GKS653:GLK3729,3,0),"")</f>
        <v/>
      </c>
      <c r="GKU671" t="str">
        <f>IFERROR(VLOOKUP(GKV671,'[3]Raw material  (3)'!GKT653:GLL3729,3,0),"")</f>
        <v/>
      </c>
      <c r="GKV671" t="str">
        <f>IFERROR(VLOOKUP(GKW671,'[3]Raw material  (3)'!GKU653:GLM3729,3,0),"")</f>
        <v/>
      </c>
      <c r="GKW671" t="str">
        <f>IFERROR(VLOOKUP(GKX671,'[3]Raw material  (3)'!GKV653:GLN3729,3,0),"")</f>
        <v/>
      </c>
      <c r="GKX671" t="str">
        <f>IFERROR(VLOOKUP(GKY671,'[3]Raw material  (3)'!GKW653:GLO3729,3,0),"")</f>
        <v/>
      </c>
      <c r="GKY671" t="str">
        <f>IFERROR(VLOOKUP(GKZ671,'[3]Raw material  (3)'!GKX653:GLP3729,3,0),"")</f>
        <v/>
      </c>
      <c r="GKZ671" t="str">
        <f>IFERROR(VLOOKUP(GLA671,'[3]Raw material  (3)'!GKY653:GLQ3729,3,0),"")</f>
        <v/>
      </c>
      <c r="GLA671" t="str">
        <f>IFERROR(VLOOKUP(GLB671,'[3]Raw material  (3)'!GKZ653:GLR3729,3,0),"")</f>
        <v/>
      </c>
      <c r="GLB671" t="str">
        <f>IFERROR(VLOOKUP(GLC671,'[3]Raw material  (3)'!GLA653:GLS3729,3,0),"")</f>
        <v/>
      </c>
      <c r="GLC671" t="str">
        <f>IFERROR(VLOOKUP(GLD671,'[3]Raw material  (3)'!GLB653:GLT3729,3,0),"")</f>
        <v/>
      </c>
      <c r="GLD671" t="str">
        <f>IFERROR(VLOOKUP(GLE671,'[3]Raw material  (3)'!GLC653:GLU3729,3,0),"")</f>
        <v/>
      </c>
      <c r="GLE671" t="str">
        <f>IFERROR(VLOOKUP(GLF671,'[3]Raw material  (3)'!GLD653:GLV3729,3,0),"")</f>
        <v/>
      </c>
      <c r="GLF671" t="str">
        <f>IFERROR(VLOOKUP(GLG671,'[3]Raw material  (3)'!GLE653:GLW3729,3,0),"")</f>
        <v/>
      </c>
      <c r="GLG671" t="str">
        <f>IFERROR(VLOOKUP(GLH671,'[3]Raw material  (3)'!GLF653:GLX3729,3,0),"")</f>
        <v/>
      </c>
      <c r="GLH671" t="str">
        <f>IFERROR(VLOOKUP(GLI671,'[3]Raw material  (3)'!GLG653:GLY3729,3,0),"")</f>
        <v/>
      </c>
      <c r="GLI671" t="str">
        <f>IFERROR(VLOOKUP(GLJ671,'[3]Raw material  (3)'!GLH653:GLZ3729,3,0),"")</f>
        <v/>
      </c>
      <c r="GLJ671" t="str">
        <f>IFERROR(VLOOKUP(GLK671,'[3]Raw material  (3)'!GLI653:GMA3729,3,0),"")</f>
        <v/>
      </c>
      <c r="GLK671" t="str">
        <f>IFERROR(VLOOKUP(GLL671,'[3]Raw material  (3)'!GLJ653:GMB3729,3,0),"")</f>
        <v/>
      </c>
      <c r="GLL671" t="str">
        <f>IFERROR(VLOOKUP(GLM671,'[3]Raw material  (3)'!GLK653:GMC3729,3,0),"")</f>
        <v/>
      </c>
      <c r="GLM671" t="str">
        <f>IFERROR(VLOOKUP(GLN671,'[3]Raw material  (3)'!GLL653:GMD3729,3,0),"")</f>
        <v/>
      </c>
      <c r="GLN671" t="str">
        <f>IFERROR(VLOOKUP(GLO671,'[3]Raw material  (3)'!GLM653:GME3729,3,0),"")</f>
        <v/>
      </c>
      <c r="GLO671" t="str">
        <f>IFERROR(VLOOKUP(GLP671,'[3]Raw material  (3)'!GLN653:GMF3729,3,0),"")</f>
        <v/>
      </c>
      <c r="GLP671" t="str">
        <f>IFERROR(VLOOKUP(GLQ671,'[3]Raw material  (3)'!GLO653:GMG3729,3,0),"")</f>
        <v/>
      </c>
      <c r="GLQ671" t="str">
        <f>IFERROR(VLOOKUP(GLR671,'[3]Raw material  (3)'!GLP653:GMH3729,3,0),"")</f>
        <v/>
      </c>
      <c r="GLR671" t="str">
        <f>IFERROR(VLOOKUP(GLS671,'[3]Raw material  (3)'!GLQ653:GMI3729,3,0),"")</f>
        <v/>
      </c>
      <c r="GLS671" t="str">
        <f>IFERROR(VLOOKUP(GLT671,'[3]Raw material  (3)'!GLR653:GMJ3729,3,0),"")</f>
        <v/>
      </c>
      <c r="GLT671" t="str">
        <f>IFERROR(VLOOKUP(GLU671,'[3]Raw material  (3)'!GLS653:GMK3729,3,0),"")</f>
        <v/>
      </c>
      <c r="GLU671" t="str">
        <f>IFERROR(VLOOKUP(GLV671,'[3]Raw material  (3)'!GLT653:GML3729,3,0),"")</f>
        <v/>
      </c>
      <c r="GLV671" t="str">
        <f>IFERROR(VLOOKUP(GLW671,'[3]Raw material  (3)'!GLU653:GMM3729,3,0),"")</f>
        <v/>
      </c>
      <c r="GLW671" t="str">
        <f>IFERROR(VLOOKUP(GLX671,'[3]Raw material  (3)'!GLV653:GMN3729,3,0),"")</f>
        <v/>
      </c>
      <c r="GLX671" t="str">
        <f>IFERROR(VLOOKUP(GLY671,'[3]Raw material  (3)'!GLW653:GMO3729,3,0),"")</f>
        <v/>
      </c>
      <c r="GLY671" t="str">
        <f>IFERROR(VLOOKUP(GLZ671,'[3]Raw material  (3)'!GLX653:GMP3729,3,0),"")</f>
        <v/>
      </c>
      <c r="GLZ671" t="str">
        <f>IFERROR(VLOOKUP(GMA671,'[3]Raw material  (3)'!GLY653:GMQ3729,3,0),"")</f>
        <v/>
      </c>
      <c r="GMA671" t="str">
        <f>IFERROR(VLOOKUP(GMB671,'[3]Raw material  (3)'!GLZ653:GMR3729,3,0),"")</f>
        <v/>
      </c>
      <c r="GMB671" t="str">
        <f>IFERROR(VLOOKUP(GMC671,'[3]Raw material  (3)'!GMA653:GMS3729,3,0),"")</f>
        <v/>
      </c>
      <c r="GMC671" t="str">
        <f>IFERROR(VLOOKUP(GMD671,'[3]Raw material  (3)'!GMB653:GMT3729,3,0),"")</f>
        <v/>
      </c>
      <c r="GMD671" t="str">
        <f>IFERROR(VLOOKUP(GME671,'[3]Raw material  (3)'!GMC653:GMU3729,3,0),"")</f>
        <v/>
      </c>
      <c r="GME671" t="str">
        <f>IFERROR(VLOOKUP(GMF671,'[3]Raw material  (3)'!GMD653:GMV3729,3,0),"")</f>
        <v/>
      </c>
      <c r="GMF671" t="str">
        <f>IFERROR(VLOOKUP(GMG671,'[3]Raw material  (3)'!GME653:GMW3729,3,0),"")</f>
        <v/>
      </c>
      <c r="GMG671" t="str">
        <f>IFERROR(VLOOKUP(GMH671,'[3]Raw material  (3)'!GMF653:GMX3729,3,0),"")</f>
        <v/>
      </c>
      <c r="GMH671" t="str">
        <f>IFERROR(VLOOKUP(GMI671,'[3]Raw material  (3)'!GMG653:GMY3729,3,0),"")</f>
        <v/>
      </c>
      <c r="GMI671" t="str">
        <f>IFERROR(VLOOKUP(GMJ671,'[3]Raw material  (3)'!GMH653:GMZ3729,3,0),"")</f>
        <v/>
      </c>
      <c r="GMJ671" t="str">
        <f>IFERROR(VLOOKUP(GMK671,'[3]Raw material  (3)'!GMI653:GNA3729,3,0),"")</f>
        <v/>
      </c>
      <c r="GMK671" t="str">
        <f>IFERROR(VLOOKUP(GML671,'[3]Raw material  (3)'!GMJ653:GNB3729,3,0),"")</f>
        <v/>
      </c>
      <c r="GML671" t="str">
        <f>IFERROR(VLOOKUP(GMM671,'[3]Raw material  (3)'!GMK653:GNC3729,3,0),"")</f>
        <v/>
      </c>
      <c r="GMM671" t="str">
        <f>IFERROR(VLOOKUP(GMN671,'[3]Raw material  (3)'!GML653:GND3729,3,0),"")</f>
        <v/>
      </c>
      <c r="GMN671" t="str">
        <f>IFERROR(VLOOKUP(GMO671,'[3]Raw material  (3)'!GMM653:GNE3729,3,0),"")</f>
        <v/>
      </c>
      <c r="GMO671" t="str">
        <f>IFERROR(VLOOKUP(GMP671,'[3]Raw material  (3)'!GMN653:GNF3729,3,0),"")</f>
        <v/>
      </c>
      <c r="GMP671" t="str">
        <f>IFERROR(VLOOKUP(GMQ671,'[3]Raw material  (3)'!GMO653:GNG3729,3,0),"")</f>
        <v/>
      </c>
      <c r="GMQ671" t="str">
        <f>IFERROR(VLOOKUP(GMR671,'[3]Raw material  (3)'!GMP653:GNH3729,3,0),"")</f>
        <v/>
      </c>
      <c r="GMR671" t="str">
        <f>IFERROR(VLOOKUP(GMS671,'[3]Raw material  (3)'!GMQ653:GNI3729,3,0),"")</f>
        <v/>
      </c>
      <c r="GMS671" t="str">
        <f>IFERROR(VLOOKUP(GMT671,'[3]Raw material  (3)'!GMR653:GNJ3729,3,0),"")</f>
        <v/>
      </c>
      <c r="GMT671" t="str">
        <f>IFERROR(VLOOKUP(GMU671,'[3]Raw material  (3)'!GMS653:GNK3729,3,0),"")</f>
        <v/>
      </c>
      <c r="GMU671" t="str">
        <f>IFERROR(VLOOKUP(GMV671,'[3]Raw material  (3)'!GMT653:GNL3729,3,0),"")</f>
        <v/>
      </c>
      <c r="GMV671" t="str">
        <f>IFERROR(VLOOKUP(GMW671,'[3]Raw material  (3)'!GMU653:GNM3729,3,0),"")</f>
        <v/>
      </c>
      <c r="GMW671" t="str">
        <f>IFERROR(VLOOKUP(GMX671,'[3]Raw material  (3)'!GMV653:GNN3729,3,0),"")</f>
        <v/>
      </c>
      <c r="GMX671" t="str">
        <f>IFERROR(VLOOKUP(GMY671,'[3]Raw material  (3)'!GMW653:GNO3729,3,0),"")</f>
        <v/>
      </c>
      <c r="GMY671" t="str">
        <f>IFERROR(VLOOKUP(GMZ671,'[3]Raw material  (3)'!GMX653:GNP3729,3,0),"")</f>
        <v/>
      </c>
      <c r="GMZ671" t="str">
        <f>IFERROR(VLOOKUP(GNA671,'[3]Raw material  (3)'!GMY653:GNQ3729,3,0),"")</f>
        <v/>
      </c>
      <c r="GNA671" t="str">
        <f>IFERROR(VLOOKUP(GNB671,'[3]Raw material  (3)'!GMZ653:GNR3729,3,0),"")</f>
        <v/>
      </c>
      <c r="GNB671" t="str">
        <f>IFERROR(VLOOKUP(GNC671,'[3]Raw material  (3)'!GNA653:GNS3729,3,0),"")</f>
        <v/>
      </c>
      <c r="GNC671" t="str">
        <f>IFERROR(VLOOKUP(GND671,'[3]Raw material  (3)'!GNB653:GNT3729,3,0),"")</f>
        <v/>
      </c>
      <c r="GND671" t="str">
        <f>IFERROR(VLOOKUP(GNE671,'[3]Raw material  (3)'!GNC653:GNU3729,3,0),"")</f>
        <v/>
      </c>
      <c r="GNE671" t="str">
        <f>IFERROR(VLOOKUP(GNF671,'[3]Raw material  (3)'!GND653:GNV3729,3,0),"")</f>
        <v/>
      </c>
      <c r="GNF671" t="str">
        <f>IFERROR(VLOOKUP(GNG671,'[3]Raw material  (3)'!GNE653:GNW3729,3,0),"")</f>
        <v/>
      </c>
      <c r="GNG671" t="str">
        <f>IFERROR(VLOOKUP(GNH671,'[3]Raw material  (3)'!GNF653:GNX3729,3,0),"")</f>
        <v/>
      </c>
      <c r="GNH671" t="str">
        <f>IFERROR(VLOOKUP(GNI671,'[3]Raw material  (3)'!GNG653:GNY3729,3,0),"")</f>
        <v/>
      </c>
      <c r="GNI671" t="str">
        <f>IFERROR(VLOOKUP(GNJ671,'[3]Raw material  (3)'!GNH653:GNZ3729,3,0),"")</f>
        <v/>
      </c>
      <c r="GNJ671" t="str">
        <f>IFERROR(VLOOKUP(GNK671,'[3]Raw material  (3)'!GNI653:GOA3729,3,0),"")</f>
        <v/>
      </c>
      <c r="GNK671" t="str">
        <f>IFERROR(VLOOKUP(GNL671,'[3]Raw material  (3)'!GNJ653:GOB3729,3,0),"")</f>
        <v/>
      </c>
      <c r="GNL671" t="str">
        <f>IFERROR(VLOOKUP(GNM671,'[3]Raw material  (3)'!GNK653:GOC3729,3,0),"")</f>
        <v/>
      </c>
      <c r="GNM671" t="str">
        <f>IFERROR(VLOOKUP(GNN671,'[3]Raw material  (3)'!GNL653:GOD3729,3,0),"")</f>
        <v/>
      </c>
      <c r="GNN671" t="str">
        <f>IFERROR(VLOOKUP(GNO671,'[3]Raw material  (3)'!GNM653:GOE3729,3,0),"")</f>
        <v/>
      </c>
      <c r="GNO671" t="str">
        <f>IFERROR(VLOOKUP(GNP671,'[3]Raw material  (3)'!GNN653:GOF3729,3,0),"")</f>
        <v/>
      </c>
      <c r="GNP671" t="str">
        <f>IFERROR(VLOOKUP(GNQ671,'[3]Raw material  (3)'!GNO653:GOG3729,3,0),"")</f>
        <v/>
      </c>
      <c r="GNQ671" t="str">
        <f>IFERROR(VLOOKUP(GNR671,'[3]Raw material  (3)'!GNP653:GOH3729,3,0),"")</f>
        <v/>
      </c>
      <c r="GNR671" t="str">
        <f>IFERROR(VLOOKUP(GNS671,'[3]Raw material  (3)'!GNQ653:GOI3729,3,0),"")</f>
        <v/>
      </c>
      <c r="GNS671" t="str">
        <f>IFERROR(VLOOKUP(GNT671,'[3]Raw material  (3)'!GNR653:GOJ3729,3,0),"")</f>
        <v/>
      </c>
      <c r="GNT671" t="str">
        <f>IFERROR(VLOOKUP(GNU671,'[3]Raw material  (3)'!GNS653:GOK3729,3,0),"")</f>
        <v/>
      </c>
      <c r="GNU671" t="str">
        <f>IFERROR(VLOOKUP(GNV671,'[3]Raw material  (3)'!GNT653:GOL3729,3,0),"")</f>
        <v/>
      </c>
      <c r="GNV671" t="str">
        <f>IFERROR(VLOOKUP(GNW671,'[3]Raw material  (3)'!GNU653:GOM3729,3,0),"")</f>
        <v/>
      </c>
      <c r="GNW671" t="str">
        <f>IFERROR(VLOOKUP(GNX671,'[3]Raw material  (3)'!GNV653:GON3729,3,0),"")</f>
        <v/>
      </c>
      <c r="GNX671" t="str">
        <f>IFERROR(VLOOKUP(GNY671,'[3]Raw material  (3)'!GNW653:GOO3729,3,0),"")</f>
        <v/>
      </c>
      <c r="GNY671" t="str">
        <f>IFERROR(VLOOKUP(GNZ671,'[3]Raw material  (3)'!GNX653:GOP3729,3,0),"")</f>
        <v/>
      </c>
      <c r="GNZ671" t="str">
        <f>IFERROR(VLOOKUP(GOA671,'[3]Raw material  (3)'!GNY653:GOQ3729,3,0),"")</f>
        <v/>
      </c>
      <c r="GOA671" t="str">
        <f>IFERROR(VLOOKUP(GOB671,'[3]Raw material  (3)'!GNZ653:GOR3729,3,0),"")</f>
        <v/>
      </c>
      <c r="GOB671" t="str">
        <f>IFERROR(VLOOKUP(GOC671,'[3]Raw material  (3)'!GOA653:GOS3729,3,0),"")</f>
        <v/>
      </c>
      <c r="GOC671" t="str">
        <f>IFERROR(VLOOKUP(GOD671,'[3]Raw material  (3)'!GOB653:GOT3729,3,0),"")</f>
        <v/>
      </c>
      <c r="GOD671" t="str">
        <f>IFERROR(VLOOKUP(GOE671,'[3]Raw material  (3)'!GOC653:GOU3729,3,0),"")</f>
        <v/>
      </c>
      <c r="GOE671" t="str">
        <f>IFERROR(VLOOKUP(GOF671,'[3]Raw material  (3)'!GOD653:GOV3729,3,0),"")</f>
        <v/>
      </c>
      <c r="GOF671" t="str">
        <f>IFERROR(VLOOKUP(GOG671,'[3]Raw material  (3)'!GOE653:GOW3729,3,0),"")</f>
        <v/>
      </c>
      <c r="GOG671" t="str">
        <f>IFERROR(VLOOKUP(GOH671,'[3]Raw material  (3)'!GOF653:GOX3729,3,0),"")</f>
        <v/>
      </c>
      <c r="GOH671" t="str">
        <f>IFERROR(VLOOKUP(GOI671,'[3]Raw material  (3)'!GOG653:GOY3729,3,0),"")</f>
        <v/>
      </c>
      <c r="GOI671" t="str">
        <f>IFERROR(VLOOKUP(GOJ671,'[3]Raw material  (3)'!GOH653:GOZ3729,3,0),"")</f>
        <v/>
      </c>
      <c r="GOJ671" t="str">
        <f>IFERROR(VLOOKUP(GOK671,'[3]Raw material  (3)'!GOI653:GPA3729,3,0),"")</f>
        <v/>
      </c>
      <c r="GOK671" t="str">
        <f>IFERROR(VLOOKUP(GOL671,'[3]Raw material  (3)'!GOJ653:GPB3729,3,0),"")</f>
        <v/>
      </c>
      <c r="GOL671" t="str">
        <f>IFERROR(VLOOKUP(GOM671,'[3]Raw material  (3)'!GOK653:GPC3729,3,0),"")</f>
        <v/>
      </c>
      <c r="GOM671" t="str">
        <f>IFERROR(VLOOKUP(GON671,'[3]Raw material  (3)'!GOL653:GPD3729,3,0),"")</f>
        <v/>
      </c>
      <c r="GON671" t="str">
        <f>IFERROR(VLOOKUP(GOO671,'[3]Raw material  (3)'!GOM653:GPE3729,3,0),"")</f>
        <v/>
      </c>
      <c r="GOO671" t="str">
        <f>IFERROR(VLOOKUP(GOP671,'[3]Raw material  (3)'!GON653:GPF3729,3,0),"")</f>
        <v/>
      </c>
      <c r="GOP671" t="str">
        <f>IFERROR(VLOOKUP(GOQ671,'[3]Raw material  (3)'!GOO653:GPG3729,3,0),"")</f>
        <v/>
      </c>
      <c r="GOQ671" t="str">
        <f>IFERROR(VLOOKUP(GOR671,'[3]Raw material  (3)'!GOP653:GPH3729,3,0),"")</f>
        <v/>
      </c>
      <c r="GOR671" t="str">
        <f>IFERROR(VLOOKUP(GOS671,'[3]Raw material  (3)'!GOQ653:GPI3729,3,0),"")</f>
        <v/>
      </c>
      <c r="GOS671" t="str">
        <f>IFERROR(VLOOKUP(GOT671,'[3]Raw material  (3)'!GOR653:GPJ3729,3,0),"")</f>
        <v/>
      </c>
      <c r="GOT671" t="str">
        <f>IFERROR(VLOOKUP(GOU671,'[3]Raw material  (3)'!GOS653:GPK3729,3,0),"")</f>
        <v/>
      </c>
      <c r="GOU671" t="str">
        <f>IFERROR(VLOOKUP(GOV671,'[3]Raw material  (3)'!GOT653:GPL3729,3,0),"")</f>
        <v/>
      </c>
      <c r="GOV671" t="str">
        <f>IFERROR(VLOOKUP(GOW671,'[3]Raw material  (3)'!GOU653:GPM3729,3,0),"")</f>
        <v/>
      </c>
      <c r="GOW671" t="str">
        <f>IFERROR(VLOOKUP(GOX671,'[3]Raw material  (3)'!GOV653:GPN3729,3,0),"")</f>
        <v/>
      </c>
      <c r="GOX671" t="str">
        <f>IFERROR(VLOOKUP(GOY671,'[3]Raw material  (3)'!GOW653:GPO3729,3,0),"")</f>
        <v/>
      </c>
      <c r="GOY671" t="str">
        <f>IFERROR(VLOOKUP(GOZ671,'[3]Raw material  (3)'!GOX653:GPP3729,3,0),"")</f>
        <v/>
      </c>
      <c r="GOZ671" t="str">
        <f>IFERROR(VLOOKUP(GPA671,'[3]Raw material  (3)'!GOY653:GPQ3729,3,0),"")</f>
        <v/>
      </c>
      <c r="GPA671" t="str">
        <f>IFERROR(VLOOKUP(GPB671,'[3]Raw material  (3)'!GOZ653:GPR3729,3,0),"")</f>
        <v/>
      </c>
      <c r="GPB671" t="str">
        <f>IFERROR(VLOOKUP(GPC671,'[3]Raw material  (3)'!GPA653:GPS3729,3,0),"")</f>
        <v/>
      </c>
      <c r="GPC671" t="str">
        <f>IFERROR(VLOOKUP(GPD671,'[3]Raw material  (3)'!GPB653:GPT3729,3,0),"")</f>
        <v/>
      </c>
      <c r="GPD671" t="str">
        <f>IFERROR(VLOOKUP(GPE671,'[3]Raw material  (3)'!GPC653:GPU3729,3,0),"")</f>
        <v/>
      </c>
      <c r="GPE671" t="str">
        <f>IFERROR(VLOOKUP(GPF671,'[3]Raw material  (3)'!GPD653:GPV3729,3,0),"")</f>
        <v/>
      </c>
      <c r="GPF671" t="str">
        <f>IFERROR(VLOOKUP(GPG671,'[3]Raw material  (3)'!GPE653:GPW3729,3,0),"")</f>
        <v/>
      </c>
      <c r="GPG671" t="str">
        <f>IFERROR(VLOOKUP(GPH671,'[3]Raw material  (3)'!GPF653:GPX3729,3,0),"")</f>
        <v/>
      </c>
      <c r="GPH671" t="str">
        <f>IFERROR(VLOOKUP(GPI671,'[3]Raw material  (3)'!GPG653:GPY3729,3,0),"")</f>
        <v/>
      </c>
      <c r="GPI671" t="str">
        <f>IFERROR(VLOOKUP(GPJ671,'[3]Raw material  (3)'!GPH653:GPZ3729,3,0),"")</f>
        <v/>
      </c>
      <c r="GPJ671" t="str">
        <f>IFERROR(VLOOKUP(GPK671,'[3]Raw material  (3)'!GPI653:GQA3729,3,0),"")</f>
        <v/>
      </c>
      <c r="GPK671" t="str">
        <f>IFERROR(VLOOKUP(GPL671,'[3]Raw material  (3)'!GPJ653:GQB3729,3,0),"")</f>
        <v/>
      </c>
      <c r="GPL671" t="str">
        <f>IFERROR(VLOOKUP(GPM671,'[3]Raw material  (3)'!GPK653:GQC3729,3,0),"")</f>
        <v/>
      </c>
      <c r="GPM671" t="str">
        <f>IFERROR(VLOOKUP(GPN671,'[3]Raw material  (3)'!GPL653:GQD3729,3,0),"")</f>
        <v/>
      </c>
      <c r="GPN671" t="str">
        <f>IFERROR(VLOOKUP(GPO671,'[3]Raw material  (3)'!GPM653:GQE3729,3,0),"")</f>
        <v/>
      </c>
      <c r="GPO671" t="str">
        <f>IFERROR(VLOOKUP(GPP671,'[3]Raw material  (3)'!GPN653:GQF3729,3,0),"")</f>
        <v/>
      </c>
      <c r="GPP671" t="str">
        <f>IFERROR(VLOOKUP(GPQ671,'[3]Raw material  (3)'!GPO653:GQG3729,3,0),"")</f>
        <v/>
      </c>
      <c r="GPQ671" t="str">
        <f>IFERROR(VLOOKUP(GPR671,'[3]Raw material  (3)'!GPP653:GQH3729,3,0),"")</f>
        <v/>
      </c>
      <c r="GPR671" t="str">
        <f>IFERROR(VLOOKUP(GPS671,'[3]Raw material  (3)'!GPQ653:GQI3729,3,0),"")</f>
        <v/>
      </c>
      <c r="GPS671" t="str">
        <f>IFERROR(VLOOKUP(GPT671,'[3]Raw material  (3)'!GPR653:GQJ3729,3,0),"")</f>
        <v/>
      </c>
      <c r="GPT671" t="str">
        <f>IFERROR(VLOOKUP(GPU671,'[3]Raw material  (3)'!GPS653:GQK3729,3,0),"")</f>
        <v/>
      </c>
      <c r="GPU671" t="str">
        <f>IFERROR(VLOOKUP(GPV671,'[3]Raw material  (3)'!GPT653:GQL3729,3,0),"")</f>
        <v/>
      </c>
      <c r="GPV671" t="str">
        <f>IFERROR(VLOOKUP(GPW671,'[3]Raw material  (3)'!GPU653:GQM3729,3,0),"")</f>
        <v/>
      </c>
      <c r="GPW671" t="str">
        <f>IFERROR(VLOOKUP(GPX671,'[3]Raw material  (3)'!GPV653:GQN3729,3,0),"")</f>
        <v/>
      </c>
      <c r="GPX671" t="str">
        <f>IFERROR(VLOOKUP(GPY671,'[3]Raw material  (3)'!GPW653:GQO3729,3,0),"")</f>
        <v/>
      </c>
      <c r="GPY671" t="str">
        <f>IFERROR(VLOOKUP(GPZ671,'[3]Raw material  (3)'!GPX653:GQP3729,3,0),"")</f>
        <v/>
      </c>
      <c r="GPZ671" t="str">
        <f>IFERROR(VLOOKUP(GQA671,'[3]Raw material  (3)'!GPY653:GQQ3729,3,0),"")</f>
        <v/>
      </c>
      <c r="GQA671" t="str">
        <f>IFERROR(VLOOKUP(GQB671,'[3]Raw material  (3)'!GPZ653:GQR3729,3,0),"")</f>
        <v/>
      </c>
      <c r="GQB671" t="str">
        <f>IFERROR(VLOOKUP(GQC671,'[3]Raw material  (3)'!GQA653:GQS3729,3,0),"")</f>
        <v/>
      </c>
      <c r="GQC671" t="str">
        <f>IFERROR(VLOOKUP(GQD671,'[3]Raw material  (3)'!GQB653:GQT3729,3,0),"")</f>
        <v/>
      </c>
      <c r="GQD671" t="str">
        <f>IFERROR(VLOOKUP(GQE671,'[3]Raw material  (3)'!GQC653:GQU3729,3,0),"")</f>
        <v/>
      </c>
      <c r="GQE671" t="str">
        <f>IFERROR(VLOOKUP(GQF671,'[3]Raw material  (3)'!GQD653:GQV3729,3,0),"")</f>
        <v/>
      </c>
      <c r="GQF671" t="str">
        <f>IFERROR(VLOOKUP(GQG671,'[3]Raw material  (3)'!GQE653:GQW3729,3,0),"")</f>
        <v/>
      </c>
      <c r="GQG671" t="str">
        <f>IFERROR(VLOOKUP(GQH671,'[3]Raw material  (3)'!GQF653:GQX3729,3,0),"")</f>
        <v/>
      </c>
      <c r="GQH671" t="str">
        <f>IFERROR(VLOOKUP(GQI671,'[3]Raw material  (3)'!GQG653:GQY3729,3,0),"")</f>
        <v/>
      </c>
      <c r="GQI671" t="str">
        <f>IFERROR(VLOOKUP(GQJ671,'[3]Raw material  (3)'!GQH653:GQZ3729,3,0),"")</f>
        <v/>
      </c>
      <c r="GQJ671" t="str">
        <f>IFERROR(VLOOKUP(GQK671,'[3]Raw material  (3)'!GQI653:GRA3729,3,0),"")</f>
        <v/>
      </c>
      <c r="GQK671" t="str">
        <f>IFERROR(VLOOKUP(GQL671,'[3]Raw material  (3)'!GQJ653:GRB3729,3,0),"")</f>
        <v/>
      </c>
      <c r="GQL671" t="str">
        <f>IFERROR(VLOOKUP(GQM671,'[3]Raw material  (3)'!GQK653:GRC3729,3,0),"")</f>
        <v/>
      </c>
      <c r="GQM671" t="str">
        <f>IFERROR(VLOOKUP(GQN671,'[3]Raw material  (3)'!GQL653:GRD3729,3,0),"")</f>
        <v/>
      </c>
      <c r="GQN671" t="str">
        <f>IFERROR(VLOOKUP(GQO671,'[3]Raw material  (3)'!GQM653:GRE3729,3,0),"")</f>
        <v/>
      </c>
      <c r="GQO671" t="str">
        <f>IFERROR(VLOOKUP(GQP671,'[3]Raw material  (3)'!GQN653:GRF3729,3,0),"")</f>
        <v/>
      </c>
      <c r="GQP671" t="str">
        <f>IFERROR(VLOOKUP(GQQ671,'[3]Raw material  (3)'!GQO653:GRG3729,3,0),"")</f>
        <v/>
      </c>
      <c r="GQQ671" t="str">
        <f>IFERROR(VLOOKUP(GQR671,'[3]Raw material  (3)'!GQP653:GRH3729,3,0),"")</f>
        <v/>
      </c>
      <c r="GQR671" t="str">
        <f>IFERROR(VLOOKUP(GQS671,'[3]Raw material  (3)'!GQQ653:GRI3729,3,0),"")</f>
        <v/>
      </c>
      <c r="GQS671" t="str">
        <f>IFERROR(VLOOKUP(GQT671,'[3]Raw material  (3)'!GQR653:GRJ3729,3,0),"")</f>
        <v/>
      </c>
      <c r="GQT671" t="str">
        <f>IFERROR(VLOOKUP(GQU671,'[3]Raw material  (3)'!GQS653:GRK3729,3,0),"")</f>
        <v/>
      </c>
      <c r="GQU671" t="str">
        <f>IFERROR(VLOOKUP(GQV671,'[3]Raw material  (3)'!GQT653:GRL3729,3,0),"")</f>
        <v/>
      </c>
      <c r="GQV671" t="str">
        <f>IFERROR(VLOOKUP(GQW671,'[3]Raw material  (3)'!GQU653:GRM3729,3,0),"")</f>
        <v/>
      </c>
      <c r="GQW671" t="str">
        <f>IFERROR(VLOOKUP(GQX671,'[3]Raw material  (3)'!GQV653:GRN3729,3,0),"")</f>
        <v/>
      </c>
      <c r="GQX671" t="str">
        <f>IFERROR(VLOOKUP(GQY671,'[3]Raw material  (3)'!GQW653:GRO3729,3,0),"")</f>
        <v/>
      </c>
      <c r="GQY671" t="str">
        <f>IFERROR(VLOOKUP(GQZ671,'[3]Raw material  (3)'!GQX653:GRP3729,3,0),"")</f>
        <v/>
      </c>
      <c r="GQZ671" t="str">
        <f>IFERROR(VLOOKUP(GRA671,'[3]Raw material  (3)'!GQY653:GRQ3729,3,0),"")</f>
        <v/>
      </c>
      <c r="GRA671" t="str">
        <f>IFERROR(VLOOKUP(GRB671,'[3]Raw material  (3)'!GQZ653:GRR3729,3,0),"")</f>
        <v/>
      </c>
      <c r="GRB671" t="str">
        <f>IFERROR(VLOOKUP(GRC671,'[3]Raw material  (3)'!GRA653:GRS3729,3,0),"")</f>
        <v/>
      </c>
      <c r="GRC671" t="str">
        <f>IFERROR(VLOOKUP(GRD671,'[3]Raw material  (3)'!GRB653:GRT3729,3,0),"")</f>
        <v/>
      </c>
      <c r="GRD671" t="str">
        <f>IFERROR(VLOOKUP(GRE671,'[3]Raw material  (3)'!GRC653:GRU3729,3,0),"")</f>
        <v/>
      </c>
      <c r="GRE671" t="str">
        <f>IFERROR(VLOOKUP(GRF671,'[3]Raw material  (3)'!GRD653:GRV3729,3,0),"")</f>
        <v/>
      </c>
      <c r="GRF671" t="str">
        <f>IFERROR(VLOOKUP(GRG671,'[3]Raw material  (3)'!GRE653:GRW3729,3,0),"")</f>
        <v/>
      </c>
      <c r="GRG671" t="str">
        <f>IFERROR(VLOOKUP(GRH671,'[3]Raw material  (3)'!GRF653:GRX3729,3,0),"")</f>
        <v/>
      </c>
      <c r="GRH671" t="str">
        <f>IFERROR(VLOOKUP(GRI671,'[3]Raw material  (3)'!GRG653:GRY3729,3,0),"")</f>
        <v/>
      </c>
      <c r="GRI671" t="str">
        <f>IFERROR(VLOOKUP(GRJ671,'[3]Raw material  (3)'!GRH653:GRZ3729,3,0),"")</f>
        <v/>
      </c>
      <c r="GRJ671" t="str">
        <f>IFERROR(VLOOKUP(GRK671,'[3]Raw material  (3)'!GRI653:GSA3729,3,0),"")</f>
        <v/>
      </c>
      <c r="GRK671" t="str">
        <f>IFERROR(VLOOKUP(GRL671,'[3]Raw material  (3)'!GRJ653:GSB3729,3,0),"")</f>
        <v/>
      </c>
      <c r="GRL671" t="str">
        <f>IFERROR(VLOOKUP(GRM671,'[3]Raw material  (3)'!GRK653:GSC3729,3,0),"")</f>
        <v/>
      </c>
      <c r="GRM671" t="str">
        <f>IFERROR(VLOOKUP(GRN671,'[3]Raw material  (3)'!GRL653:GSD3729,3,0),"")</f>
        <v/>
      </c>
      <c r="GRN671" t="str">
        <f>IFERROR(VLOOKUP(GRO671,'[3]Raw material  (3)'!GRM653:GSE3729,3,0),"")</f>
        <v/>
      </c>
      <c r="GRO671" t="str">
        <f>IFERROR(VLOOKUP(GRP671,'[3]Raw material  (3)'!GRN653:GSF3729,3,0),"")</f>
        <v/>
      </c>
      <c r="GRP671" t="str">
        <f>IFERROR(VLOOKUP(GRQ671,'[3]Raw material  (3)'!GRO653:GSG3729,3,0),"")</f>
        <v/>
      </c>
      <c r="GRQ671" t="str">
        <f>IFERROR(VLOOKUP(GRR671,'[3]Raw material  (3)'!GRP653:GSH3729,3,0),"")</f>
        <v/>
      </c>
      <c r="GRR671" t="str">
        <f>IFERROR(VLOOKUP(GRS671,'[3]Raw material  (3)'!GRQ653:GSI3729,3,0),"")</f>
        <v/>
      </c>
      <c r="GRS671" t="str">
        <f>IFERROR(VLOOKUP(GRT671,'[3]Raw material  (3)'!GRR653:GSJ3729,3,0),"")</f>
        <v/>
      </c>
      <c r="GRT671" t="str">
        <f>IFERROR(VLOOKUP(GRU671,'[3]Raw material  (3)'!GRS653:GSK3729,3,0),"")</f>
        <v/>
      </c>
      <c r="GRU671" t="str">
        <f>IFERROR(VLOOKUP(GRV671,'[3]Raw material  (3)'!GRT653:GSL3729,3,0),"")</f>
        <v/>
      </c>
      <c r="GRV671" t="str">
        <f>IFERROR(VLOOKUP(GRW671,'[3]Raw material  (3)'!GRU653:GSM3729,3,0),"")</f>
        <v/>
      </c>
      <c r="GRW671" t="str">
        <f>IFERROR(VLOOKUP(GRX671,'[3]Raw material  (3)'!GRV653:GSN3729,3,0),"")</f>
        <v/>
      </c>
      <c r="GRX671" t="str">
        <f>IFERROR(VLOOKUP(GRY671,'[3]Raw material  (3)'!GRW653:GSO3729,3,0),"")</f>
        <v/>
      </c>
      <c r="GRY671" t="str">
        <f>IFERROR(VLOOKUP(GRZ671,'[3]Raw material  (3)'!GRX653:GSP3729,3,0),"")</f>
        <v/>
      </c>
      <c r="GRZ671" t="str">
        <f>IFERROR(VLOOKUP(GSA671,'[3]Raw material  (3)'!GRY653:GSQ3729,3,0),"")</f>
        <v/>
      </c>
      <c r="GSA671" t="str">
        <f>IFERROR(VLOOKUP(GSB671,'[3]Raw material  (3)'!GRZ653:GSR3729,3,0),"")</f>
        <v/>
      </c>
      <c r="GSB671" t="str">
        <f>IFERROR(VLOOKUP(GSC671,'[3]Raw material  (3)'!GSA653:GSS3729,3,0),"")</f>
        <v/>
      </c>
      <c r="GSC671" t="str">
        <f>IFERROR(VLOOKUP(GSD671,'[3]Raw material  (3)'!GSB653:GST3729,3,0),"")</f>
        <v/>
      </c>
      <c r="GSD671" t="str">
        <f>IFERROR(VLOOKUP(GSE671,'[3]Raw material  (3)'!GSC653:GSU3729,3,0),"")</f>
        <v/>
      </c>
      <c r="GSE671" t="str">
        <f>IFERROR(VLOOKUP(GSF671,'[3]Raw material  (3)'!GSD653:GSV3729,3,0),"")</f>
        <v/>
      </c>
      <c r="GSF671" t="str">
        <f>IFERROR(VLOOKUP(GSG671,'[3]Raw material  (3)'!GSE653:GSW3729,3,0),"")</f>
        <v/>
      </c>
      <c r="GSG671" t="str">
        <f>IFERROR(VLOOKUP(GSH671,'[3]Raw material  (3)'!GSF653:GSX3729,3,0),"")</f>
        <v/>
      </c>
      <c r="GSH671" t="str">
        <f>IFERROR(VLOOKUP(GSI671,'[3]Raw material  (3)'!GSG653:GSY3729,3,0),"")</f>
        <v/>
      </c>
      <c r="GSI671" t="str">
        <f>IFERROR(VLOOKUP(GSJ671,'[3]Raw material  (3)'!GSH653:GSZ3729,3,0),"")</f>
        <v/>
      </c>
      <c r="GSJ671" t="str">
        <f>IFERROR(VLOOKUP(GSK671,'[3]Raw material  (3)'!GSI653:GTA3729,3,0),"")</f>
        <v/>
      </c>
      <c r="GSK671" t="str">
        <f>IFERROR(VLOOKUP(GSL671,'[3]Raw material  (3)'!GSJ653:GTB3729,3,0),"")</f>
        <v/>
      </c>
      <c r="GSL671" t="str">
        <f>IFERROR(VLOOKUP(GSM671,'[3]Raw material  (3)'!GSK653:GTC3729,3,0),"")</f>
        <v/>
      </c>
      <c r="GSM671" t="str">
        <f>IFERROR(VLOOKUP(GSN671,'[3]Raw material  (3)'!GSL653:GTD3729,3,0),"")</f>
        <v/>
      </c>
      <c r="GSN671" t="str">
        <f>IFERROR(VLOOKUP(GSO671,'[3]Raw material  (3)'!GSM653:GTE3729,3,0),"")</f>
        <v/>
      </c>
      <c r="GSO671" t="str">
        <f>IFERROR(VLOOKUP(GSP671,'[3]Raw material  (3)'!GSN653:GTF3729,3,0),"")</f>
        <v/>
      </c>
      <c r="GSP671" t="str">
        <f>IFERROR(VLOOKUP(GSQ671,'[3]Raw material  (3)'!GSO653:GTG3729,3,0),"")</f>
        <v/>
      </c>
      <c r="GSQ671" t="str">
        <f>IFERROR(VLOOKUP(GSR671,'[3]Raw material  (3)'!GSP653:GTH3729,3,0),"")</f>
        <v/>
      </c>
      <c r="GSR671" t="str">
        <f>IFERROR(VLOOKUP(GSS671,'[3]Raw material  (3)'!GSQ653:GTI3729,3,0),"")</f>
        <v/>
      </c>
      <c r="GSS671" t="str">
        <f>IFERROR(VLOOKUP(GST671,'[3]Raw material  (3)'!GSR653:GTJ3729,3,0),"")</f>
        <v/>
      </c>
      <c r="GST671" t="str">
        <f>IFERROR(VLOOKUP(GSU671,'[3]Raw material  (3)'!GSS653:GTK3729,3,0),"")</f>
        <v/>
      </c>
      <c r="GSU671" t="str">
        <f>IFERROR(VLOOKUP(GSV671,'[3]Raw material  (3)'!GST653:GTL3729,3,0),"")</f>
        <v/>
      </c>
      <c r="GSV671" t="str">
        <f>IFERROR(VLOOKUP(GSW671,'[3]Raw material  (3)'!GSU653:GTM3729,3,0),"")</f>
        <v/>
      </c>
      <c r="GSW671" t="str">
        <f>IFERROR(VLOOKUP(GSX671,'[3]Raw material  (3)'!GSV653:GTN3729,3,0),"")</f>
        <v/>
      </c>
      <c r="GSX671" t="str">
        <f>IFERROR(VLOOKUP(GSY671,'[3]Raw material  (3)'!GSW653:GTO3729,3,0),"")</f>
        <v/>
      </c>
      <c r="GSY671" t="str">
        <f>IFERROR(VLOOKUP(GSZ671,'[3]Raw material  (3)'!GSX653:GTP3729,3,0),"")</f>
        <v/>
      </c>
      <c r="GSZ671" t="str">
        <f>IFERROR(VLOOKUP(GTA671,'[3]Raw material  (3)'!GSY653:GTQ3729,3,0),"")</f>
        <v/>
      </c>
      <c r="GTA671" t="str">
        <f>IFERROR(VLOOKUP(GTB671,'[3]Raw material  (3)'!GSZ653:GTR3729,3,0),"")</f>
        <v/>
      </c>
      <c r="GTB671" t="str">
        <f>IFERROR(VLOOKUP(GTC671,'[3]Raw material  (3)'!GTA653:GTS3729,3,0),"")</f>
        <v/>
      </c>
      <c r="GTC671" t="str">
        <f>IFERROR(VLOOKUP(GTD671,'[3]Raw material  (3)'!GTB653:GTT3729,3,0),"")</f>
        <v/>
      </c>
      <c r="GTD671" t="str">
        <f>IFERROR(VLOOKUP(GTE671,'[3]Raw material  (3)'!GTC653:GTU3729,3,0),"")</f>
        <v/>
      </c>
      <c r="GTE671" t="str">
        <f>IFERROR(VLOOKUP(GTF671,'[3]Raw material  (3)'!GTD653:GTV3729,3,0),"")</f>
        <v/>
      </c>
      <c r="GTF671" t="str">
        <f>IFERROR(VLOOKUP(GTG671,'[3]Raw material  (3)'!GTE653:GTW3729,3,0),"")</f>
        <v/>
      </c>
      <c r="GTG671" t="str">
        <f>IFERROR(VLOOKUP(GTH671,'[3]Raw material  (3)'!GTF653:GTX3729,3,0),"")</f>
        <v/>
      </c>
      <c r="GTH671" t="str">
        <f>IFERROR(VLOOKUP(GTI671,'[3]Raw material  (3)'!GTG653:GTY3729,3,0),"")</f>
        <v/>
      </c>
      <c r="GTI671" t="str">
        <f>IFERROR(VLOOKUP(GTJ671,'[3]Raw material  (3)'!GTH653:GTZ3729,3,0),"")</f>
        <v/>
      </c>
      <c r="GTJ671" t="str">
        <f>IFERROR(VLOOKUP(GTK671,'[3]Raw material  (3)'!GTI653:GUA3729,3,0),"")</f>
        <v/>
      </c>
      <c r="GTK671" t="str">
        <f>IFERROR(VLOOKUP(GTL671,'[3]Raw material  (3)'!GTJ653:GUB3729,3,0),"")</f>
        <v/>
      </c>
      <c r="GTL671" t="str">
        <f>IFERROR(VLOOKUP(GTM671,'[3]Raw material  (3)'!GTK653:GUC3729,3,0),"")</f>
        <v/>
      </c>
      <c r="GTM671" t="str">
        <f>IFERROR(VLOOKUP(GTN671,'[3]Raw material  (3)'!GTL653:GUD3729,3,0),"")</f>
        <v/>
      </c>
      <c r="GTN671" t="str">
        <f>IFERROR(VLOOKUP(GTO671,'[3]Raw material  (3)'!GTM653:GUE3729,3,0),"")</f>
        <v/>
      </c>
      <c r="GTO671" t="str">
        <f>IFERROR(VLOOKUP(GTP671,'[3]Raw material  (3)'!GTN653:GUF3729,3,0),"")</f>
        <v/>
      </c>
      <c r="GTP671" t="str">
        <f>IFERROR(VLOOKUP(GTQ671,'[3]Raw material  (3)'!GTO653:GUG3729,3,0),"")</f>
        <v/>
      </c>
      <c r="GTQ671" t="str">
        <f>IFERROR(VLOOKUP(GTR671,'[3]Raw material  (3)'!GTP653:GUH3729,3,0),"")</f>
        <v/>
      </c>
      <c r="GTR671" t="str">
        <f>IFERROR(VLOOKUP(GTS671,'[3]Raw material  (3)'!GTQ653:GUI3729,3,0),"")</f>
        <v/>
      </c>
      <c r="GTS671" t="str">
        <f>IFERROR(VLOOKUP(GTT671,'[3]Raw material  (3)'!GTR653:GUJ3729,3,0),"")</f>
        <v/>
      </c>
      <c r="GTT671" t="str">
        <f>IFERROR(VLOOKUP(GTU671,'[3]Raw material  (3)'!GTS653:GUK3729,3,0),"")</f>
        <v/>
      </c>
      <c r="GTU671" t="str">
        <f>IFERROR(VLOOKUP(GTV671,'[3]Raw material  (3)'!GTT653:GUL3729,3,0),"")</f>
        <v/>
      </c>
      <c r="GTV671" t="str">
        <f>IFERROR(VLOOKUP(GTW671,'[3]Raw material  (3)'!GTU653:GUM3729,3,0),"")</f>
        <v/>
      </c>
      <c r="GTW671" t="str">
        <f>IFERROR(VLOOKUP(GTX671,'[3]Raw material  (3)'!GTV653:GUN3729,3,0),"")</f>
        <v/>
      </c>
      <c r="GTX671" t="str">
        <f>IFERROR(VLOOKUP(GTY671,'[3]Raw material  (3)'!GTW653:GUO3729,3,0),"")</f>
        <v/>
      </c>
      <c r="GTY671" t="str">
        <f>IFERROR(VLOOKUP(GTZ671,'[3]Raw material  (3)'!GTX653:GUP3729,3,0),"")</f>
        <v/>
      </c>
      <c r="GTZ671" t="str">
        <f>IFERROR(VLOOKUP(GUA671,'[3]Raw material  (3)'!GTY653:GUQ3729,3,0),"")</f>
        <v/>
      </c>
      <c r="GUA671" t="str">
        <f>IFERROR(VLOOKUP(GUB671,'[3]Raw material  (3)'!GTZ653:GUR3729,3,0),"")</f>
        <v/>
      </c>
      <c r="GUB671" t="str">
        <f>IFERROR(VLOOKUP(GUC671,'[3]Raw material  (3)'!GUA653:GUS3729,3,0),"")</f>
        <v/>
      </c>
      <c r="GUC671" t="str">
        <f>IFERROR(VLOOKUP(GUD671,'[3]Raw material  (3)'!GUB653:GUT3729,3,0),"")</f>
        <v/>
      </c>
      <c r="GUD671" t="str">
        <f>IFERROR(VLOOKUP(GUE671,'[3]Raw material  (3)'!GUC653:GUU3729,3,0),"")</f>
        <v/>
      </c>
      <c r="GUE671" t="str">
        <f>IFERROR(VLOOKUP(GUF671,'[3]Raw material  (3)'!GUD653:GUV3729,3,0),"")</f>
        <v/>
      </c>
      <c r="GUF671" t="str">
        <f>IFERROR(VLOOKUP(GUG671,'[3]Raw material  (3)'!GUE653:GUW3729,3,0),"")</f>
        <v/>
      </c>
      <c r="GUG671" t="str">
        <f>IFERROR(VLOOKUP(GUH671,'[3]Raw material  (3)'!GUF653:GUX3729,3,0),"")</f>
        <v/>
      </c>
      <c r="GUH671" t="str">
        <f>IFERROR(VLOOKUP(GUI671,'[3]Raw material  (3)'!GUG653:GUY3729,3,0),"")</f>
        <v/>
      </c>
      <c r="GUI671" t="str">
        <f>IFERROR(VLOOKUP(GUJ671,'[3]Raw material  (3)'!GUH653:GUZ3729,3,0),"")</f>
        <v/>
      </c>
      <c r="GUJ671" t="str">
        <f>IFERROR(VLOOKUP(GUK671,'[3]Raw material  (3)'!GUI653:GVA3729,3,0),"")</f>
        <v/>
      </c>
      <c r="GUK671" t="str">
        <f>IFERROR(VLOOKUP(GUL671,'[3]Raw material  (3)'!GUJ653:GVB3729,3,0),"")</f>
        <v/>
      </c>
      <c r="GUL671" t="str">
        <f>IFERROR(VLOOKUP(GUM671,'[3]Raw material  (3)'!GUK653:GVC3729,3,0),"")</f>
        <v/>
      </c>
      <c r="GUM671" t="str">
        <f>IFERROR(VLOOKUP(GUN671,'[3]Raw material  (3)'!GUL653:GVD3729,3,0),"")</f>
        <v/>
      </c>
      <c r="GUN671" t="str">
        <f>IFERROR(VLOOKUP(GUO671,'[3]Raw material  (3)'!GUM653:GVE3729,3,0),"")</f>
        <v/>
      </c>
      <c r="GUO671" t="str">
        <f>IFERROR(VLOOKUP(GUP671,'[3]Raw material  (3)'!GUN653:GVF3729,3,0),"")</f>
        <v/>
      </c>
      <c r="GUP671" t="str">
        <f>IFERROR(VLOOKUP(GUQ671,'[3]Raw material  (3)'!GUO653:GVG3729,3,0),"")</f>
        <v/>
      </c>
      <c r="GUQ671" t="str">
        <f>IFERROR(VLOOKUP(GUR671,'[3]Raw material  (3)'!GUP653:GVH3729,3,0),"")</f>
        <v/>
      </c>
      <c r="GUR671" t="str">
        <f>IFERROR(VLOOKUP(GUS671,'[3]Raw material  (3)'!GUQ653:GVI3729,3,0),"")</f>
        <v/>
      </c>
      <c r="GUS671" t="str">
        <f>IFERROR(VLOOKUP(GUT671,'[3]Raw material  (3)'!GUR653:GVJ3729,3,0),"")</f>
        <v/>
      </c>
      <c r="GUT671" t="str">
        <f>IFERROR(VLOOKUP(GUU671,'[3]Raw material  (3)'!GUS653:GVK3729,3,0),"")</f>
        <v/>
      </c>
      <c r="GUU671" t="str">
        <f>IFERROR(VLOOKUP(GUV671,'[3]Raw material  (3)'!GUT653:GVL3729,3,0),"")</f>
        <v/>
      </c>
      <c r="GUV671" t="str">
        <f>IFERROR(VLOOKUP(GUW671,'[3]Raw material  (3)'!GUU653:GVM3729,3,0),"")</f>
        <v/>
      </c>
      <c r="GUW671" t="str">
        <f>IFERROR(VLOOKUP(GUX671,'[3]Raw material  (3)'!GUV653:GVN3729,3,0),"")</f>
        <v/>
      </c>
      <c r="GUX671" t="str">
        <f>IFERROR(VLOOKUP(GUY671,'[3]Raw material  (3)'!GUW653:GVO3729,3,0),"")</f>
        <v/>
      </c>
      <c r="GUY671" t="str">
        <f>IFERROR(VLOOKUP(GUZ671,'[3]Raw material  (3)'!GUX653:GVP3729,3,0),"")</f>
        <v/>
      </c>
      <c r="GUZ671" t="str">
        <f>IFERROR(VLOOKUP(GVA671,'[3]Raw material  (3)'!GUY653:GVQ3729,3,0),"")</f>
        <v/>
      </c>
      <c r="GVA671" t="str">
        <f>IFERROR(VLOOKUP(GVB671,'[3]Raw material  (3)'!GUZ653:GVR3729,3,0),"")</f>
        <v/>
      </c>
      <c r="GVB671" t="str">
        <f>IFERROR(VLOOKUP(GVC671,'[3]Raw material  (3)'!GVA653:GVS3729,3,0),"")</f>
        <v/>
      </c>
      <c r="GVC671" t="str">
        <f>IFERROR(VLOOKUP(GVD671,'[3]Raw material  (3)'!GVB653:GVT3729,3,0),"")</f>
        <v/>
      </c>
      <c r="GVD671" t="str">
        <f>IFERROR(VLOOKUP(GVE671,'[3]Raw material  (3)'!GVC653:GVU3729,3,0),"")</f>
        <v/>
      </c>
      <c r="GVE671" t="str">
        <f>IFERROR(VLOOKUP(GVF671,'[3]Raw material  (3)'!GVD653:GVV3729,3,0),"")</f>
        <v/>
      </c>
      <c r="GVF671" t="str">
        <f>IFERROR(VLOOKUP(GVG671,'[3]Raw material  (3)'!GVE653:GVW3729,3,0),"")</f>
        <v/>
      </c>
      <c r="GVG671" t="str">
        <f>IFERROR(VLOOKUP(GVH671,'[3]Raw material  (3)'!GVF653:GVX3729,3,0),"")</f>
        <v/>
      </c>
      <c r="GVH671" t="str">
        <f>IFERROR(VLOOKUP(GVI671,'[3]Raw material  (3)'!GVG653:GVY3729,3,0),"")</f>
        <v/>
      </c>
      <c r="GVI671" t="str">
        <f>IFERROR(VLOOKUP(GVJ671,'[3]Raw material  (3)'!GVH653:GVZ3729,3,0),"")</f>
        <v/>
      </c>
      <c r="GVJ671" t="str">
        <f>IFERROR(VLOOKUP(GVK671,'[3]Raw material  (3)'!GVI653:GWA3729,3,0),"")</f>
        <v/>
      </c>
      <c r="GVK671" t="str">
        <f>IFERROR(VLOOKUP(GVL671,'[3]Raw material  (3)'!GVJ653:GWB3729,3,0),"")</f>
        <v/>
      </c>
      <c r="GVL671" t="str">
        <f>IFERROR(VLOOKUP(GVM671,'[3]Raw material  (3)'!GVK653:GWC3729,3,0),"")</f>
        <v/>
      </c>
      <c r="GVM671" t="str">
        <f>IFERROR(VLOOKUP(GVN671,'[3]Raw material  (3)'!GVL653:GWD3729,3,0),"")</f>
        <v/>
      </c>
      <c r="GVN671" t="str">
        <f>IFERROR(VLOOKUP(GVO671,'[3]Raw material  (3)'!GVM653:GWE3729,3,0),"")</f>
        <v/>
      </c>
      <c r="GVO671" t="str">
        <f>IFERROR(VLOOKUP(GVP671,'[3]Raw material  (3)'!GVN653:GWF3729,3,0),"")</f>
        <v/>
      </c>
      <c r="GVP671" t="str">
        <f>IFERROR(VLOOKUP(GVQ671,'[3]Raw material  (3)'!GVO653:GWG3729,3,0),"")</f>
        <v/>
      </c>
      <c r="GVQ671" t="str">
        <f>IFERROR(VLOOKUP(GVR671,'[3]Raw material  (3)'!GVP653:GWH3729,3,0),"")</f>
        <v/>
      </c>
      <c r="GVR671" t="str">
        <f>IFERROR(VLOOKUP(GVS671,'[3]Raw material  (3)'!GVQ653:GWI3729,3,0),"")</f>
        <v/>
      </c>
      <c r="GVS671" t="str">
        <f>IFERROR(VLOOKUP(GVT671,'[3]Raw material  (3)'!GVR653:GWJ3729,3,0),"")</f>
        <v/>
      </c>
      <c r="GVT671" t="str">
        <f>IFERROR(VLOOKUP(GVU671,'[3]Raw material  (3)'!GVS653:GWK3729,3,0),"")</f>
        <v/>
      </c>
      <c r="GVU671" t="str">
        <f>IFERROR(VLOOKUP(GVV671,'[3]Raw material  (3)'!GVT653:GWL3729,3,0),"")</f>
        <v/>
      </c>
      <c r="GVV671" t="str">
        <f>IFERROR(VLOOKUP(GVW671,'[3]Raw material  (3)'!GVU653:GWM3729,3,0),"")</f>
        <v/>
      </c>
      <c r="GVW671" t="str">
        <f>IFERROR(VLOOKUP(GVX671,'[3]Raw material  (3)'!GVV653:GWN3729,3,0),"")</f>
        <v/>
      </c>
      <c r="GVX671" t="str">
        <f>IFERROR(VLOOKUP(GVY671,'[3]Raw material  (3)'!GVW653:GWO3729,3,0),"")</f>
        <v/>
      </c>
      <c r="GVY671" t="str">
        <f>IFERROR(VLOOKUP(GVZ671,'[3]Raw material  (3)'!GVX653:GWP3729,3,0),"")</f>
        <v/>
      </c>
      <c r="GVZ671" t="str">
        <f>IFERROR(VLOOKUP(GWA671,'[3]Raw material  (3)'!GVY653:GWQ3729,3,0),"")</f>
        <v/>
      </c>
      <c r="GWA671" t="str">
        <f>IFERROR(VLOOKUP(GWB671,'[3]Raw material  (3)'!GVZ653:GWR3729,3,0),"")</f>
        <v/>
      </c>
      <c r="GWB671" t="str">
        <f>IFERROR(VLOOKUP(GWC671,'[3]Raw material  (3)'!GWA653:GWS3729,3,0),"")</f>
        <v/>
      </c>
      <c r="GWC671" t="str">
        <f>IFERROR(VLOOKUP(GWD671,'[3]Raw material  (3)'!GWB653:GWT3729,3,0),"")</f>
        <v/>
      </c>
      <c r="GWD671" t="str">
        <f>IFERROR(VLOOKUP(GWE671,'[3]Raw material  (3)'!GWC653:GWU3729,3,0),"")</f>
        <v/>
      </c>
      <c r="GWE671" t="str">
        <f>IFERROR(VLOOKUP(GWF671,'[3]Raw material  (3)'!GWD653:GWV3729,3,0),"")</f>
        <v/>
      </c>
      <c r="GWF671" t="str">
        <f>IFERROR(VLOOKUP(GWG671,'[3]Raw material  (3)'!GWE653:GWW3729,3,0),"")</f>
        <v/>
      </c>
      <c r="GWG671" t="str">
        <f>IFERROR(VLOOKUP(GWH671,'[3]Raw material  (3)'!GWF653:GWX3729,3,0),"")</f>
        <v/>
      </c>
      <c r="GWH671" t="str">
        <f>IFERROR(VLOOKUP(GWI671,'[3]Raw material  (3)'!GWG653:GWY3729,3,0),"")</f>
        <v/>
      </c>
      <c r="GWI671" t="str">
        <f>IFERROR(VLOOKUP(GWJ671,'[3]Raw material  (3)'!GWH653:GWZ3729,3,0),"")</f>
        <v/>
      </c>
      <c r="GWJ671" t="str">
        <f>IFERROR(VLOOKUP(GWK671,'[3]Raw material  (3)'!GWI653:GXA3729,3,0),"")</f>
        <v/>
      </c>
      <c r="GWK671" t="str">
        <f>IFERROR(VLOOKUP(GWL671,'[3]Raw material  (3)'!GWJ653:GXB3729,3,0),"")</f>
        <v/>
      </c>
      <c r="GWL671" t="str">
        <f>IFERROR(VLOOKUP(GWM671,'[3]Raw material  (3)'!GWK653:GXC3729,3,0),"")</f>
        <v/>
      </c>
      <c r="GWM671" t="str">
        <f>IFERROR(VLOOKUP(GWN671,'[3]Raw material  (3)'!GWL653:GXD3729,3,0),"")</f>
        <v/>
      </c>
      <c r="GWN671" t="str">
        <f>IFERROR(VLOOKUP(GWO671,'[3]Raw material  (3)'!GWM653:GXE3729,3,0),"")</f>
        <v/>
      </c>
      <c r="GWO671" t="str">
        <f>IFERROR(VLOOKUP(GWP671,'[3]Raw material  (3)'!GWN653:GXF3729,3,0),"")</f>
        <v/>
      </c>
      <c r="GWP671" t="str">
        <f>IFERROR(VLOOKUP(GWQ671,'[3]Raw material  (3)'!GWO653:GXG3729,3,0),"")</f>
        <v/>
      </c>
      <c r="GWQ671" t="str">
        <f>IFERROR(VLOOKUP(GWR671,'[3]Raw material  (3)'!GWP653:GXH3729,3,0),"")</f>
        <v/>
      </c>
      <c r="GWR671" t="str">
        <f>IFERROR(VLOOKUP(GWS671,'[3]Raw material  (3)'!GWQ653:GXI3729,3,0),"")</f>
        <v/>
      </c>
      <c r="GWS671" t="str">
        <f>IFERROR(VLOOKUP(GWT671,'[3]Raw material  (3)'!GWR653:GXJ3729,3,0),"")</f>
        <v/>
      </c>
      <c r="GWT671" t="str">
        <f>IFERROR(VLOOKUP(GWU671,'[3]Raw material  (3)'!GWS653:GXK3729,3,0),"")</f>
        <v/>
      </c>
      <c r="GWU671" t="str">
        <f>IFERROR(VLOOKUP(GWV671,'[3]Raw material  (3)'!GWT653:GXL3729,3,0),"")</f>
        <v/>
      </c>
      <c r="GWV671" t="str">
        <f>IFERROR(VLOOKUP(GWW671,'[3]Raw material  (3)'!GWU653:GXM3729,3,0),"")</f>
        <v/>
      </c>
      <c r="GWW671" t="str">
        <f>IFERROR(VLOOKUP(GWX671,'[3]Raw material  (3)'!GWV653:GXN3729,3,0),"")</f>
        <v/>
      </c>
      <c r="GWX671" t="str">
        <f>IFERROR(VLOOKUP(GWY671,'[3]Raw material  (3)'!GWW653:GXO3729,3,0),"")</f>
        <v/>
      </c>
      <c r="GWY671" t="str">
        <f>IFERROR(VLOOKUP(GWZ671,'[3]Raw material  (3)'!GWX653:GXP3729,3,0),"")</f>
        <v/>
      </c>
      <c r="GWZ671" t="str">
        <f>IFERROR(VLOOKUP(GXA671,'[3]Raw material  (3)'!GWY653:GXQ3729,3,0),"")</f>
        <v/>
      </c>
      <c r="GXA671" t="str">
        <f>IFERROR(VLOOKUP(GXB671,'[3]Raw material  (3)'!GWZ653:GXR3729,3,0),"")</f>
        <v/>
      </c>
      <c r="GXB671" t="str">
        <f>IFERROR(VLOOKUP(GXC671,'[3]Raw material  (3)'!GXA653:GXS3729,3,0),"")</f>
        <v/>
      </c>
      <c r="GXC671" t="str">
        <f>IFERROR(VLOOKUP(GXD671,'[3]Raw material  (3)'!GXB653:GXT3729,3,0),"")</f>
        <v/>
      </c>
      <c r="GXD671" t="str">
        <f>IFERROR(VLOOKUP(GXE671,'[3]Raw material  (3)'!GXC653:GXU3729,3,0),"")</f>
        <v/>
      </c>
      <c r="GXE671" t="str">
        <f>IFERROR(VLOOKUP(GXF671,'[3]Raw material  (3)'!GXD653:GXV3729,3,0),"")</f>
        <v/>
      </c>
      <c r="GXF671" t="str">
        <f>IFERROR(VLOOKUP(GXG671,'[3]Raw material  (3)'!GXE653:GXW3729,3,0),"")</f>
        <v/>
      </c>
      <c r="GXG671" t="str">
        <f>IFERROR(VLOOKUP(GXH671,'[3]Raw material  (3)'!GXF653:GXX3729,3,0),"")</f>
        <v/>
      </c>
      <c r="GXH671" t="str">
        <f>IFERROR(VLOOKUP(GXI671,'[3]Raw material  (3)'!GXG653:GXY3729,3,0),"")</f>
        <v/>
      </c>
      <c r="GXI671" t="str">
        <f>IFERROR(VLOOKUP(GXJ671,'[3]Raw material  (3)'!GXH653:GXZ3729,3,0),"")</f>
        <v/>
      </c>
      <c r="GXJ671" t="str">
        <f>IFERROR(VLOOKUP(GXK671,'[3]Raw material  (3)'!GXI653:GYA3729,3,0),"")</f>
        <v/>
      </c>
      <c r="GXK671" t="str">
        <f>IFERROR(VLOOKUP(GXL671,'[3]Raw material  (3)'!GXJ653:GYB3729,3,0),"")</f>
        <v/>
      </c>
      <c r="GXL671" t="str">
        <f>IFERROR(VLOOKUP(GXM671,'[3]Raw material  (3)'!GXK653:GYC3729,3,0),"")</f>
        <v/>
      </c>
      <c r="GXM671" t="str">
        <f>IFERROR(VLOOKUP(GXN671,'[3]Raw material  (3)'!GXL653:GYD3729,3,0),"")</f>
        <v/>
      </c>
      <c r="GXN671" t="str">
        <f>IFERROR(VLOOKUP(GXO671,'[3]Raw material  (3)'!GXM653:GYE3729,3,0),"")</f>
        <v/>
      </c>
      <c r="GXO671" t="str">
        <f>IFERROR(VLOOKUP(GXP671,'[3]Raw material  (3)'!GXN653:GYF3729,3,0),"")</f>
        <v/>
      </c>
      <c r="GXP671" t="str">
        <f>IFERROR(VLOOKUP(GXQ671,'[3]Raw material  (3)'!GXO653:GYG3729,3,0),"")</f>
        <v/>
      </c>
      <c r="GXQ671" t="str">
        <f>IFERROR(VLOOKUP(GXR671,'[3]Raw material  (3)'!GXP653:GYH3729,3,0),"")</f>
        <v/>
      </c>
      <c r="GXR671" t="str">
        <f>IFERROR(VLOOKUP(GXS671,'[3]Raw material  (3)'!GXQ653:GYI3729,3,0),"")</f>
        <v/>
      </c>
      <c r="GXS671" t="str">
        <f>IFERROR(VLOOKUP(GXT671,'[3]Raw material  (3)'!GXR653:GYJ3729,3,0),"")</f>
        <v/>
      </c>
      <c r="GXT671" t="str">
        <f>IFERROR(VLOOKUP(GXU671,'[3]Raw material  (3)'!GXS653:GYK3729,3,0),"")</f>
        <v/>
      </c>
      <c r="GXU671" t="str">
        <f>IFERROR(VLOOKUP(GXV671,'[3]Raw material  (3)'!GXT653:GYL3729,3,0),"")</f>
        <v/>
      </c>
      <c r="GXV671" t="str">
        <f>IFERROR(VLOOKUP(GXW671,'[3]Raw material  (3)'!GXU653:GYM3729,3,0),"")</f>
        <v/>
      </c>
      <c r="GXW671" t="str">
        <f>IFERROR(VLOOKUP(GXX671,'[3]Raw material  (3)'!GXV653:GYN3729,3,0),"")</f>
        <v/>
      </c>
      <c r="GXX671" t="str">
        <f>IFERROR(VLOOKUP(GXY671,'[3]Raw material  (3)'!GXW653:GYO3729,3,0),"")</f>
        <v/>
      </c>
      <c r="GXY671" t="str">
        <f>IFERROR(VLOOKUP(GXZ671,'[3]Raw material  (3)'!GXX653:GYP3729,3,0),"")</f>
        <v/>
      </c>
      <c r="GXZ671" t="str">
        <f>IFERROR(VLOOKUP(GYA671,'[3]Raw material  (3)'!GXY653:GYQ3729,3,0),"")</f>
        <v/>
      </c>
      <c r="GYA671" t="str">
        <f>IFERROR(VLOOKUP(GYB671,'[3]Raw material  (3)'!GXZ653:GYR3729,3,0),"")</f>
        <v/>
      </c>
      <c r="GYB671" t="str">
        <f>IFERROR(VLOOKUP(GYC671,'[3]Raw material  (3)'!GYA653:GYS3729,3,0),"")</f>
        <v/>
      </c>
      <c r="GYC671" t="str">
        <f>IFERROR(VLOOKUP(GYD671,'[3]Raw material  (3)'!GYB653:GYT3729,3,0),"")</f>
        <v/>
      </c>
      <c r="GYD671" t="str">
        <f>IFERROR(VLOOKUP(GYE671,'[3]Raw material  (3)'!GYC653:GYU3729,3,0),"")</f>
        <v/>
      </c>
      <c r="GYE671" t="str">
        <f>IFERROR(VLOOKUP(GYF671,'[3]Raw material  (3)'!GYD653:GYV3729,3,0),"")</f>
        <v/>
      </c>
      <c r="GYF671" t="str">
        <f>IFERROR(VLOOKUP(GYG671,'[3]Raw material  (3)'!GYE653:GYW3729,3,0),"")</f>
        <v/>
      </c>
      <c r="GYG671" t="str">
        <f>IFERROR(VLOOKUP(GYH671,'[3]Raw material  (3)'!GYF653:GYX3729,3,0),"")</f>
        <v/>
      </c>
      <c r="GYH671" t="str">
        <f>IFERROR(VLOOKUP(GYI671,'[3]Raw material  (3)'!GYG653:GYY3729,3,0),"")</f>
        <v/>
      </c>
      <c r="GYI671" t="str">
        <f>IFERROR(VLOOKUP(GYJ671,'[3]Raw material  (3)'!GYH653:GYZ3729,3,0),"")</f>
        <v/>
      </c>
      <c r="GYJ671" t="str">
        <f>IFERROR(VLOOKUP(GYK671,'[3]Raw material  (3)'!GYI653:GZA3729,3,0),"")</f>
        <v/>
      </c>
      <c r="GYK671" t="str">
        <f>IFERROR(VLOOKUP(GYL671,'[3]Raw material  (3)'!GYJ653:GZB3729,3,0),"")</f>
        <v/>
      </c>
      <c r="GYL671" t="str">
        <f>IFERROR(VLOOKUP(GYM671,'[3]Raw material  (3)'!GYK653:GZC3729,3,0),"")</f>
        <v/>
      </c>
      <c r="GYM671" t="str">
        <f>IFERROR(VLOOKUP(GYN671,'[3]Raw material  (3)'!GYL653:GZD3729,3,0),"")</f>
        <v/>
      </c>
      <c r="GYN671" t="str">
        <f>IFERROR(VLOOKUP(GYO671,'[3]Raw material  (3)'!GYM653:GZE3729,3,0),"")</f>
        <v/>
      </c>
      <c r="GYO671" t="str">
        <f>IFERROR(VLOOKUP(GYP671,'[3]Raw material  (3)'!GYN653:GZF3729,3,0),"")</f>
        <v/>
      </c>
      <c r="GYP671" t="str">
        <f>IFERROR(VLOOKUP(GYQ671,'[3]Raw material  (3)'!GYO653:GZG3729,3,0),"")</f>
        <v/>
      </c>
      <c r="GYQ671" t="str">
        <f>IFERROR(VLOOKUP(GYR671,'[3]Raw material  (3)'!GYP653:GZH3729,3,0),"")</f>
        <v/>
      </c>
      <c r="GYR671" t="str">
        <f>IFERROR(VLOOKUP(GYS671,'[3]Raw material  (3)'!GYQ653:GZI3729,3,0),"")</f>
        <v/>
      </c>
      <c r="GYS671" t="str">
        <f>IFERROR(VLOOKUP(GYT671,'[3]Raw material  (3)'!GYR653:GZJ3729,3,0),"")</f>
        <v/>
      </c>
      <c r="GYT671" t="str">
        <f>IFERROR(VLOOKUP(GYU671,'[3]Raw material  (3)'!GYS653:GZK3729,3,0),"")</f>
        <v/>
      </c>
      <c r="GYU671" t="str">
        <f>IFERROR(VLOOKUP(GYV671,'[3]Raw material  (3)'!GYT653:GZL3729,3,0),"")</f>
        <v/>
      </c>
      <c r="GYV671" t="str">
        <f>IFERROR(VLOOKUP(GYW671,'[3]Raw material  (3)'!GYU653:GZM3729,3,0),"")</f>
        <v/>
      </c>
      <c r="GYW671" t="str">
        <f>IFERROR(VLOOKUP(GYX671,'[3]Raw material  (3)'!GYV653:GZN3729,3,0),"")</f>
        <v/>
      </c>
      <c r="GYX671" t="str">
        <f>IFERROR(VLOOKUP(GYY671,'[3]Raw material  (3)'!GYW653:GZO3729,3,0),"")</f>
        <v/>
      </c>
      <c r="GYY671" t="str">
        <f>IFERROR(VLOOKUP(GYZ671,'[3]Raw material  (3)'!GYX653:GZP3729,3,0),"")</f>
        <v/>
      </c>
      <c r="GYZ671" t="str">
        <f>IFERROR(VLOOKUP(GZA671,'[3]Raw material  (3)'!GYY653:GZQ3729,3,0),"")</f>
        <v/>
      </c>
      <c r="GZA671" t="str">
        <f>IFERROR(VLOOKUP(GZB671,'[3]Raw material  (3)'!GYZ653:GZR3729,3,0),"")</f>
        <v/>
      </c>
      <c r="GZB671" t="str">
        <f>IFERROR(VLOOKUP(GZC671,'[3]Raw material  (3)'!GZA653:GZS3729,3,0),"")</f>
        <v/>
      </c>
      <c r="GZC671" t="str">
        <f>IFERROR(VLOOKUP(GZD671,'[3]Raw material  (3)'!GZB653:GZT3729,3,0),"")</f>
        <v/>
      </c>
      <c r="GZD671" t="str">
        <f>IFERROR(VLOOKUP(GZE671,'[3]Raw material  (3)'!GZC653:GZU3729,3,0),"")</f>
        <v/>
      </c>
      <c r="GZE671" t="str">
        <f>IFERROR(VLOOKUP(GZF671,'[3]Raw material  (3)'!GZD653:GZV3729,3,0),"")</f>
        <v/>
      </c>
      <c r="GZF671" t="str">
        <f>IFERROR(VLOOKUP(GZG671,'[3]Raw material  (3)'!GZE653:GZW3729,3,0),"")</f>
        <v/>
      </c>
      <c r="GZG671" t="str">
        <f>IFERROR(VLOOKUP(GZH671,'[3]Raw material  (3)'!GZF653:GZX3729,3,0),"")</f>
        <v/>
      </c>
      <c r="GZH671" t="str">
        <f>IFERROR(VLOOKUP(GZI671,'[3]Raw material  (3)'!GZG653:GZY3729,3,0),"")</f>
        <v/>
      </c>
      <c r="GZI671" t="str">
        <f>IFERROR(VLOOKUP(GZJ671,'[3]Raw material  (3)'!GZH653:GZZ3729,3,0),"")</f>
        <v/>
      </c>
      <c r="GZJ671" t="str">
        <f>IFERROR(VLOOKUP(GZK671,'[3]Raw material  (3)'!GZI653:HAA3729,3,0),"")</f>
        <v/>
      </c>
      <c r="GZK671" t="str">
        <f>IFERROR(VLOOKUP(GZL671,'[3]Raw material  (3)'!GZJ653:HAB3729,3,0),"")</f>
        <v/>
      </c>
      <c r="GZL671" t="str">
        <f>IFERROR(VLOOKUP(GZM671,'[3]Raw material  (3)'!GZK653:HAC3729,3,0),"")</f>
        <v/>
      </c>
      <c r="GZM671" t="str">
        <f>IFERROR(VLOOKUP(GZN671,'[3]Raw material  (3)'!GZL653:HAD3729,3,0),"")</f>
        <v/>
      </c>
      <c r="GZN671" t="str">
        <f>IFERROR(VLOOKUP(GZO671,'[3]Raw material  (3)'!GZM653:HAE3729,3,0),"")</f>
        <v/>
      </c>
      <c r="GZO671" t="str">
        <f>IFERROR(VLOOKUP(GZP671,'[3]Raw material  (3)'!GZN653:HAF3729,3,0),"")</f>
        <v/>
      </c>
      <c r="GZP671" t="str">
        <f>IFERROR(VLOOKUP(GZQ671,'[3]Raw material  (3)'!GZO653:HAG3729,3,0),"")</f>
        <v/>
      </c>
      <c r="GZQ671" t="str">
        <f>IFERROR(VLOOKUP(GZR671,'[3]Raw material  (3)'!GZP653:HAH3729,3,0),"")</f>
        <v/>
      </c>
      <c r="GZR671" t="str">
        <f>IFERROR(VLOOKUP(GZS671,'[3]Raw material  (3)'!GZQ653:HAI3729,3,0),"")</f>
        <v/>
      </c>
      <c r="GZS671" t="str">
        <f>IFERROR(VLOOKUP(GZT671,'[3]Raw material  (3)'!GZR653:HAJ3729,3,0),"")</f>
        <v/>
      </c>
      <c r="GZT671" t="str">
        <f>IFERROR(VLOOKUP(GZU671,'[3]Raw material  (3)'!GZS653:HAK3729,3,0),"")</f>
        <v/>
      </c>
      <c r="GZU671" t="str">
        <f>IFERROR(VLOOKUP(GZV671,'[3]Raw material  (3)'!GZT653:HAL3729,3,0),"")</f>
        <v/>
      </c>
      <c r="GZV671" t="str">
        <f>IFERROR(VLOOKUP(GZW671,'[3]Raw material  (3)'!GZU653:HAM3729,3,0),"")</f>
        <v/>
      </c>
      <c r="GZW671" t="str">
        <f>IFERROR(VLOOKUP(GZX671,'[3]Raw material  (3)'!GZV653:HAN3729,3,0),"")</f>
        <v/>
      </c>
      <c r="GZX671" t="str">
        <f>IFERROR(VLOOKUP(GZY671,'[3]Raw material  (3)'!GZW653:HAO3729,3,0),"")</f>
        <v/>
      </c>
      <c r="GZY671" t="str">
        <f>IFERROR(VLOOKUP(GZZ671,'[3]Raw material  (3)'!GZX653:HAP3729,3,0),"")</f>
        <v/>
      </c>
      <c r="GZZ671" t="str">
        <f>IFERROR(VLOOKUP(HAA671,'[3]Raw material  (3)'!GZY653:HAQ3729,3,0),"")</f>
        <v/>
      </c>
      <c r="HAA671" t="str">
        <f>IFERROR(VLOOKUP(HAB671,'[3]Raw material  (3)'!GZZ653:HAR3729,3,0),"")</f>
        <v/>
      </c>
      <c r="HAB671" t="str">
        <f>IFERROR(VLOOKUP(HAC671,'[3]Raw material  (3)'!HAA653:HAS3729,3,0),"")</f>
        <v/>
      </c>
      <c r="HAC671" t="str">
        <f>IFERROR(VLOOKUP(HAD671,'[3]Raw material  (3)'!HAB653:HAT3729,3,0),"")</f>
        <v/>
      </c>
      <c r="HAD671" t="str">
        <f>IFERROR(VLOOKUP(HAE671,'[3]Raw material  (3)'!HAC653:HAU3729,3,0),"")</f>
        <v/>
      </c>
      <c r="HAE671" t="str">
        <f>IFERROR(VLOOKUP(HAF671,'[3]Raw material  (3)'!HAD653:HAV3729,3,0),"")</f>
        <v/>
      </c>
      <c r="HAF671" t="str">
        <f>IFERROR(VLOOKUP(HAG671,'[3]Raw material  (3)'!HAE653:HAW3729,3,0),"")</f>
        <v/>
      </c>
      <c r="HAG671" t="str">
        <f>IFERROR(VLOOKUP(HAH671,'[3]Raw material  (3)'!HAF653:HAX3729,3,0),"")</f>
        <v/>
      </c>
      <c r="HAH671" t="str">
        <f>IFERROR(VLOOKUP(HAI671,'[3]Raw material  (3)'!HAG653:HAY3729,3,0),"")</f>
        <v/>
      </c>
      <c r="HAI671" t="str">
        <f>IFERROR(VLOOKUP(HAJ671,'[3]Raw material  (3)'!HAH653:HAZ3729,3,0),"")</f>
        <v/>
      </c>
      <c r="HAJ671" t="str">
        <f>IFERROR(VLOOKUP(HAK671,'[3]Raw material  (3)'!HAI653:HBA3729,3,0),"")</f>
        <v/>
      </c>
      <c r="HAK671" t="str">
        <f>IFERROR(VLOOKUP(HAL671,'[3]Raw material  (3)'!HAJ653:HBB3729,3,0),"")</f>
        <v/>
      </c>
      <c r="HAL671" t="str">
        <f>IFERROR(VLOOKUP(HAM671,'[3]Raw material  (3)'!HAK653:HBC3729,3,0),"")</f>
        <v/>
      </c>
      <c r="HAM671" t="str">
        <f>IFERROR(VLOOKUP(HAN671,'[3]Raw material  (3)'!HAL653:HBD3729,3,0),"")</f>
        <v/>
      </c>
      <c r="HAN671" t="str">
        <f>IFERROR(VLOOKUP(HAO671,'[3]Raw material  (3)'!HAM653:HBE3729,3,0),"")</f>
        <v/>
      </c>
      <c r="HAO671" t="str">
        <f>IFERROR(VLOOKUP(HAP671,'[3]Raw material  (3)'!HAN653:HBF3729,3,0),"")</f>
        <v/>
      </c>
      <c r="HAP671" t="str">
        <f>IFERROR(VLOOKUP(HAQ671,'[3]Raw material  (3)'!HAO653:HBG3729,3,0),"")</f>
        <v/>
      </c>
      <c r="HAQ671" t="str">
        <f>IFERROR(VLOOKUP(HAR671,'[3]Raw material  (3)'!HAP653:HBH3729,3,0),"")</f>
        <v/>
      </c>
      <c r="HAR671" t="str">
        <f>IFERROR(VLOOKUP(HAS671,'[3]Raw material  (3)'!HAQ653:HBI3729,3,0),"")</f>
        <v/>
      </c>
      <c r="HAS671" t="str">
        <f>IFERROR(VLOOKUP(HAT671,'[3]Raw material  (3)'!HAR653:HBJ3729,3,0),"")</f>
        <v/>
      </c>
      <c r="HAT671" t="str">
        <f>IFERROR(VLOOKUP(HAU671,'[3]Raw material  (3)'!HAS653:HBK3729,3,0),"")</f>
        <v/>
      </c>
      <c r="HAU671" t="str">
        <f>IFERROR(VLOOKUP(HAV671,'[3]Raw material  (3)'!HAT653:HBL3729,3,0),"")</f>
        <v/>
      </c>
      <c r="HAV671" t="str">
        <f>IFERROR(VLOOKUP(HAW671,'[3]Raw material  (3)'!HAU653:HBM3729,3,0),"")</f>
        <v/>
      </c>
      <c r="HAW671" t="str">
        <f>IFERROR(VLOOKUP(HAX671,'[3]Raw material  (3)'!HAV653:HBN3729,3,0),"")</f>
        <v/>
      </c>
      <c r="HAX671" t="str">
        <f>IFERROR(VLOOKUP(HAY671,'[3]Raw material  (3)'!HAW653:HBO3729,3,0),"")</f>
        <v/>
      </c>
      <c r="HAY671" t="str">
        <f>IFERROR(VLOOKUP(HAZ671,'[3]Raw material  (3)'!HAX653:HBP3729,3,0),"")</f>
        <v/>
      </c>
      <c r="HAZ671" t="str">
        <f>IFERROR(VLOOKUP(HBA671,'[3]Raw material  (3)'!HAY653:HBQ3729,3,0),"")</f>
        <v/>
      </c>
      <c r="HBA671" t="str">
        <f>IFERROR(VLOOKUP(HBB671,'[3]Raw material  (3)'!HAZ653:HBR3729,3,0),"")</f>
        <v/>
      </c>
      <c r="HBB671" t="str">
        <f>IFERROR(VLOOKUP(HBC671,'[3]Raw material  (3)'!HBA653:HBS3729,3,0),"")</f>
        <v/>
      </c>
      <c r="HBC671" t="str">
        <f>IFERROR(VLOOKUP(HBD671,'[3]Raw material  (3)'!HBB653:HBT3729,3,0),"")</f>
        <v/>
      </c>
      <c r="HBD671" t="str">
        <f>IFERROR(VLOOKUP(HBE671,'[3]Raw material  (3)'!HBC653:HBU3729,3,0),"")</f>
        <v/>
      </c>
      <c r="HBE671" t="str">
        <f>IFERROR(VLOOKUP(HBF671,'[3]Raw material  (3)'!HBD653:HBV3729,3,0),"")</f>
        <v/>
      </c>
      <c r="HBF671" t="str">
        <f>IFERROR(VLOOKUP(HBG671,'[3]Raw material  (3)'!HBE653:HBW3729,3,0),"")</f>
        <v/>
      </c>
      <c r="HBG671" t="str">
        <f>IFERROR(VLOOKUP(HBH671,'[3]Raw material  (3)'!HBF653:HBX3729,3,0),"")</f>
        <v/>
      </c>
      <c r="HBH671" t="str">
        <f>IFERROR(VLOOKUP(HBI671,'[3]Raw material  (3)'!HBG653:HBY3729,3,0),"")</f>
        <v/>
      </c>
      <c r="HBI671" t="str">
        <f>IFERROR(VLOOKUP(HBJ671,'[3]Raw material  (3)'!HBH653:HBZ3729,3,0),"")</f>
        <v/>
      </c>
      <c r="HBJ671" t="str">
        <f>IFERROR(VLOOKUP(HBK671,'[3]Raw material  (3)'!HBI653:HCA3729,3,0),"")</f>
        <v/>
      </c>
      <c r="HBK671" t="str">
        <f>IFERROR(VLOOKUP(HBL671,'[3]Raw material  (3)'!HBJ653:HCB3729,3,0),"")</f>
        <v/>
      </c>
      <c r="HBL671" t="str">
        <f>IFERROR(VLOOKUP(HBM671,'[3]Raw material  (3)'!HBK653:HCC3729,3,0),"")</f>
        <v/>
      </c>
      <c r="HBM671" t="str">
        <f>IFERROR(VLOOKUP(HBN671,'[3]Raw material  (3)'!HBL653:HCD3729,3,0),"")</f>
        <v/>
      </c>
      <c r="HBN671" t="str">
        <f>IFERROR(VLOOKUP(HBO671,'[3]Raw material  (3)'!HBM653:HCE3729,3,0),"")</f>
        <v/>
      </c>
      <c r="HBO671" t="str">
        <f>IFERROR(VLOOKUP(HBP671,'[3]Raw material  (3)'!HBN653:HCF3729,3,0),"")</f>
        <v/>
      </c>
      <c r="HBP671" t="str">
        <f>IFERROR(VLOOKUP(HBQ671,'[3]Raw material  (3)'!HBO653:HCG3729,3,0),"")</f>
        <v/>
      </c>
      <c r="HBQ671" t="str">
        <f>IFERROR(VLOOKUP(HBR671,'[3]Raw material  (3)'!HBP653:HCH3729,3,0),"")</f>
        <v/>
      </c>
      <c r="HBR671" t="str">
        <f>IFERROR(VLOOKUP(HBS671,'[3]Raw material  (3)'!HBQ653:HCI3729,3,0),"")</f>
        <v/>
      </c>
      <c r="HBS671" t="str">
        <f>IFERROR(VLOOKUP(HBT671,'[3]Raw material  (3)'!HBR653:HCJ3729,3,0),"")</f>
        <v/>
      </c>
      <c r="HBT671" t="str">
        <f>IFERROR(VLOOKUP(HBU671,'[3]Raw material  (3)'!HBS653:HCK3729,3,0),"")</f>
        <v/>
      </c>
      <c r="HBU671" t="str">
        <f>IFERROR(VLOOKUP(HBV671,'[3]Raw material  (3)'!HBT653:HCL3729,3,0),"")</f>
        <v/>
      </c>
      <c r="HBV671" t="str">
        <f>IFERROR(VLOOKUP(HBW671,'[3]Raw material  (3)'!HBU653:HCM3729,3,0),"")</f>
        <v/>
      </c>
      <c r="HBW671" t="str">
        <f>IFERROR(VLOOKUP(HBX671,'[3]Raw material  (3)'!HBV653:HCN3729,3,0),"")</f>
        <v/>
      </c>
      <c r="HBX671" t="str">
        <f>IFERROR(VLOOKUP(HBY671,'[3]Raw material  (3)'!HBW653:HCO3729,3,0),"")</f>
        <v/>
      </c>
      <c r="HBY671" t="str">
        <f>IFERROR(VLOOKUP(HBZ671,'[3]Raw material  (3)'!HBX653:HCP3729,3,0),"")</f>
        <v/>
      </c>
      <c r="HBZ671" t="str">
        <f>IFERROR(VLOOKUP(HCA671,'[3]Raw material  (3)'!HBY653:HCQ3729,3,0),"")</f>
        <v/>
      </c>
      <c r="HCA671" t="str">
        <f>IFERROR(VLOOKUP(HCB671,'[3]Raw material  (3)'!HBZ653:HCR3729,3,0),"")</f>
        <v/>
      </c>
      <c r="HCB671" t="str">
        <f>IFERROR(VLOOKUP(HCC671,'[3]Raw material  (3)'!HCA653:HCS3729,3,0),"")</f>
        <v/>
      </c>
      <c r="HCC671" t="str">
        <f>IFERROR(VLOOKUP(HCD671,'[3]Raw material  (3)'!HCB653:HCT3729,3,0),"")</f>
        <v/>
      </c>
      <c r="HCD671" t="str">
        <f>IFERROR(VLOOKUP(HCE671,'[3]Raw material  (3)'!HCC653:HCU3729,3,0),"")</f>
        <v/>
      </c>
      <c r="HCE671" t="str">
        <f>IFERROR(VLOOKUP(HCF671,'[3]Raw material  (3)'!HCD653:HCV3729,3,0),"")</f>
        <v/>
      </c>
      <c r="HCF671" t="str">
        <f>IFERROR(VLOOKUP(HCG671,'[3]Raw material  (3)'!HCE653:HCW3729,3,0),"")</f>
        <v/>
      </c>
      <c r="HCG671" t="str">
        <f>IFERROR(VLOOKUP(HCH671,'[3]Raw material  (3)'!HCF653:HCX3729,3,0),"")</f>
        <v/>
      </c>
      <c r="HCH671" t="str">
        <f>IFERROR(VLOOKUP(HCI671,'[3]Raw material  (3)'!HCG653:HCY3729,3,0),"")</f>
        <v/>
      </c>
      <c r="HCI671" t="str">
        <f>IFERROR(VLOOKUP(HCJ671,'[3]Raw material  (3)'!HCH653:HCZ3729,3,0),"")</f>
        <v/>
      </c>
      <c r="HCJ671" t="str">
        <f>IFERROR(VLOOKUP(HCK671,'[3]Raw material  (3)'!HCI653:HDA3729,3,0),"")</f>
        <v/>
      </c>
      <c r="HCK671" t="str">
        <f>IFERROR(VLOOKUP(HCL671,'[3]Raw material  (3)'!HCJ653:HDB3729,3,0),"")</f>
        <v/>
      </c>
      <c r="HCL671" t="str">
        <f>IFERROR(VLOOKUP(HCM671,'[3]Raw material  (3)'!HCK653:HDC3729,3,0),"")</f>
        <v/>
      </c>
      <c r="HCM671" t="str">
        <f>IFERROR(VLOOKUP(HCN671,'[3]Raw material  (3)'!HCL653:HDD3729,3,0),"")</f>
        <v/>
      </c>
      <c r="HCN671" t="str">
        <f>IFERROR(VLOOKUP(HCO671,'[3]Raw material  (3)'!HCM653:HDE3729,3,0),"")</f>
        <v/>
      </c>
      <c r="HCO671" t="str">
        <f>IFERROR(VLOOKUP(HCP671,'[3]Raw material  (3)'!HCN653:HDF3729,3,0),"")</f>
        <v/>
      </c>
      <c r="HCP671" t="str">
        <f>IFERROR(VLOOKUP(HCQ671,'[3]Raw material  (3)'!HCO653:HDG3729,3,0),"")</f>
        <v/>
      </c>
      <c r="HCQ671" t="str">
        <f>IFERROR(VLOOKUP(HCR671,'[3]Raw material  (3)'!HCP653:HDH3729,3,0),"")</f>
        <v/>
      </c>
      <c r="HCR671" t="str">
        <f>IFERROR(VLOOKUP(HCS671,'[3]Raw material  (3)'!HCQ653:HDI3729,3,0),"")</f>
        <v/>
      </c>
      <c r="HCS671" t="str">
        <f>IFERROR(VLOOKUP(HCT671,'[3]Raw material  (3)'!HCR653:HDJ3729,3,0),"")</f>
        <v/>
      </c>
      <c r="HCT671" t="str">
        <f>IFERROR(VLOOKUP(HCU671,'[3]Raw material  (3)'!HCS653:HDK3729,3,0),"")</f>
        <v/>
      </c>
      <c r="HCU671" t="str">
        <f>IFERROR(VLOOKUP(HCV671,'[3]Raw material  (3)'!HCT653:HDL3729,3,0),"")</f>
        <v/>
      </c>
      <c r="HCV671" t="str">
        <f>IFERROR(VLOOKUP(HCW671,'[3]Raw material  (3)'!HCU653:HDM3729,3,0),"")</f>
        <v/>
      </c>
      <c r="HCW671" t="str">
        <f>IFERROR(VLOOKUP(HCX671,'[3]Raw material  (3)'!HCV653:HDN3729,3,0),"")</f>
        <v/>
      </c>
      <c r="HCX671" t="str">
        <f>IFERROR(VLOOKUP(HCY671,'[3]Raw material  (3)'!HCW653:HDO3729,3,0),"")</f>
        <v/>
      </c>
      <c r="HCY671" t="str">
        <f>IFERROR(VLOOKUP(HCZ671,'[3]Raw material  (3)'!HCX653:HDP3729,3,0),"")</f>
        <v/>
      </c>
      <c r="HCZ671" t="str">
        <f>IFERROR(VLOOKUP(HDA671,'[3]Raw material  (3)'!HCY653:HDQ3729,3,0),"")</f>
        <v/>
      </c>
      <c r="HDA671" t="str">
        <f>IFERROR(VLOOKUP(HDB671,'[3]Raw material  (3)'!HCZ653:HDR3729,3,0),"")</f>
        <v/>
      </c>
      <c r="HDB671" t="str">
        <f>IFERROR(VLOOKUP(HDC671,'[3]Raw material  (3)'!HDA653:HDS3729,3,0),"")</f>
        <v/>
      </c>
      <c r="HDC671" t="str">
        <f>IFERROR(VLOOKUP(HDD671,'[3]Raw material  (3)'!HDB653:HDT3729,3,0),"")</f>
        <v/>
      </c>
      <c r="HDD671" t="str">
        <f>IFERROR(VLOOKUP(HDE671,'[3]Raw material  (3)'!HDC653:HDU3729,3,0),"")</f>
        <v/>
      </c>
      <c r="HDE671" t="str">
        <f>IFERROR(VLOOKUP(HDF671,'[3]Raw material  (3)'!HDD653:HDV3729,3,0),"")</f>
        <v/>
      </c>
      <c r="HDF671" t="str">
        <f>IFERROR(VLOOKUP(HDG671,'[3]Raw material  (3)'!HDE653:HDW3729,3,0),"")</f>
        <v/>
      </c>
      <c r="HDG671" t="str">
        <f>IFERROR(VLOOKUP(HDH671,'[3]Raw material  (3)'!HDF653:HDX3729,3,0),"")</f>
        <v/>
      </c>
      <c r="HDH671" t="str">
        <f>IFERROR(VLOOKUP(HDI671,'[3]Raw material  (3)'!HDG653:HDY3729,3,0),"")</f>
        <v/>
      </c>
      <c r="HDI671" t="str">
        <f>IFERROR(VLOOKUP(HDJ671,'[3]Raw material  (3)'!HDH653:HDZ3729,3,0),"")</f>
        <v/>
      </c>
      <c r="HDJ671" t="str">
        <f>IFERROR(VLOOKUP(HDK671,'[3]Raw material  (3)'!HDI653:HEA3729,3,0),"")</f>
        <v/>
      </c>
      <c r="HDK671" t="str">
        <f>IFERROR(VLOOKUP(HDL671,'[3]Raw material  (3)'!HDJ653:HEB3729,3,0),"")</f>
        <v/>
      </c>
      <c r="HDL671" t="str">
        <f>IFERROR(VLOOKUP(HDM671,'[3]Raw material  (3)'!HDK653:HEC3729,3,0),"")</f>
        <v/>
      </c>
      <c r="HDM671" t="str">
        <f>IFERROR(VLOOKUP(HDN671,'[3]Raw material  (3)'!HDL653:HED3729,3,0),"")</f>
        <v/>
      </c>
      <c r="HDN671" t="str">
        <f>IFERROR(VLOOKUP(HDO671,'[3]Raw material  (3)'!HDM653:HEE3729,3,0),"")</f>
        <v/>
      </c>
      <c r="HDO671" t="str">
        <f>IFERROR(VLOOKUP(HDP671,'[3]Raw material  (3)'!HDN653:HEF3729,3,0),"")</f>
        <v/>
      </c>
      <c r="HDP671" t="str">
        <f>IFERROR(VLOOKUP(HDQ671,'[3]Raw material  (3)'!HDO653:HEG3729,3,0),"")</f>
        <v/>
      </c>
      <c r="HDQ671" t="str">
        <f>IFERROR(VLOOKUP(HDR671,'[3]Raw material  (3)'!HDP653:HEH3729,3,0),"")</f>
        <v/>
      </c>
      <c r="HDR671" t="str">
        <f>IFERROR(VLOOKUP(HDS671,'[3]Raw material  (3)'!HDQ653:HEI3729,3,0),"")</f>
        <v/>
      </c>
      <c r="HDS671" t="str">
        <f>IFERROR(VLOOKUP(HDT671,'[3]Raw material  (3)'!HDR653:HEJ3729,3,0),"")</f>
        <v/>
      </c>
      <c r="HDT671" t="str">
        <f>IFERROR(VLOOKUP(HDU671,'[3]Raw material  (3)'!HDS653:HEK3729,3,0),"")</f>
        <v/>
      </c>
      <c r="HDU671" t="str">
        <f>IFERROR(VLOOKUP(HDV671,'[3]Raw material  (3)'!HDT653:HEL3729,3,0),"")</f>
        <v/>
      </c>
      <c r="HDV671" t="str">
        <f>IFERROR(VLOOKUP(HDW671,'[3]Raw material  (3)'!HDU653:HEM3729,3,0),"")</f>
        <v/>
      </c>
      <c r="HDW671" t="str">
        <f>IFERROR(VLOOKUP(HDX671,'[3]Raw material  (3)'!HDV653:HEN3729,3,0),"")</f>
        <v/>
      </c>
      <c r="HDX671" t="str">
        <f>IFERROR(VLOOKUP(HDY671,'[3]Raw material  (3)'!HDW653:HEO3729,3,0),"")</f>
        <v/>
      </c>
      <c r="HDY671" t="str">
        <f>IFERROR(VLOOKUP(HDZ671,'[3]Raw material  (3)'!HDX653:HEP3729,3,0),"")</f>
        <v/>
      </c>
      <c r="HDZ671" t="str">
        <f>IFERROR(VLOOKUP(HEA671,'[3]Raw material  (3)'!HDY653:HEQ3729,3,0),"")</f>
        <v/>
      </c>
      <c r="HEA671" t="str">
        <f>IFERROR(VLOOKUP(HEB671,'[3]Raw material  (3)'!HDZ653:HER3729,3,0),"")</f>
        <v/>
      </c>
      <c r="HEB671" t="str">
        <f>IFERROR(VLOOKUP(HEC671,'[3]Raw material  (3)'!HEA653:HES3729,3,0),"")</f>
        <v/>
      </c>
      <c r="HEC671" t="str">
        <f>IFERROR(VLOOKUP(HED671,'[3]Raw material  (3)'!HEB653:HET3729,3,0),"")</f>
        <v/>
      </c>
      <c r="HED671" t="str">
        <f>IFERROR(VLOOKUP(HEE671,'[3]Raw material  (3)'!HEC653:HEU3729,3,0),"")</f>
        <v/>
      </c>
      <c r="HEE671" t="str">
        <f>IFERROR(VLOOKUP(HEF671,'[3]Raw material  (3)'!HED653:HEV3729,3,0),"")</f>
        <v/>
      </c>
      <c r="HEF671" t="str">
        <f>IFERROR(VLOOKUP(HEG671,'[3]Raw material  (3)'!HEE653:HEW3729,3,0),"")</f>
        <v/>
      </c>
      <c r="HEG671" t="str">
        <f>IFERROR(VLOOKUP(HEH671,'[3]Raw material  (3)'!HEF653:HEX3729,3,0),"")</f>
        <v/>
      </c>
      <c r="HEH671" t="str">
        <f>IFERROR(VLOOKUP(HEI671,'[3]Raw material  (3)'!HEG653:HEY3729,3,0),"")</f>
        <v/>
      </c>
      <c r="HEI671" t="str">
        <f>IFERROR(VLOOKUP(HEJ671,'[3]Raw material  (3)'!HEH653:HEZ3729,3,0),"")</f>
        <v/>
      </c>
      <c r="HEJ671" t="str">
        <f>IFERROR(VLOOKUP(HEK671,'[3]Raw material  (3)'!HEI653:HFA3729,3,0),"")</f>
        <v/>
      </c>
      <c r="HEK671" t="str">
        <f>IFERROR(VLOOKUP(HEL671,'[3]Raw material  (3)'!HEJ653:HFB3729,3,0),"")</f>
        <v/>
      </c>
      <c r="HEL671" t="str">
        <f>IFERROR(VLOOKUP(HEM671,'[3]Raw material  (3)'!HEK653:HFC3729,3,0),"")</f>
        <v/>
      </c>
      <c r="HEM671" t="str">
        <f>IFERROR(VLOOKUP(HEN671,'[3]Raw material  (3)'!HEL653:HFD3729,3,0),"")</f>
        <v/>
      </c>
      <c r="HEN671" t="str">
        <f>IFERROR(VLOOKUP(HEO671,'[3]Raw material  (3)'!HEM653:HFE3729,3,0),"")</f>
        <v/>
      </c>
      <c r="HEO671" t="str">
        <f>IFERROR(VLOOKUP(HEP671,'[3]Raw material  (3)'!HEN653:HFF3729,3,0),"")</f>
        <v/>
      </c>
      <c r="HEP671" t="str">
        <f>IFERROR(VLOOKUP(HEQ671,'[3]Raw material  (3)'!HEO653:HFG3729,3,0),"")</f>
        <v/>
      </c>
      <c r="HEQ671" t="str">
        <f>IFERROR(VLOOKUP(HER671,'[3]Raw material  (3)'!HEP653:HFH3729,3,0),"")</f>
        <v/>
      </c>
      <c r="HER671" t="str">
        <f>IFERROR(VLOOKUP(HES671,'[3]Raw material  (3)'!HEQ653:HFI3729,3,0),"")</f>
        <v/>
      </c>
      <c r="HES671" t="str">
        <f>IFERROR(VLOOKUP(HET671,'[3]Raw material  (3)'!HER653:HFJ3729,3,0),"")</f>
        <v/>
      </c>
      <c r="HET671" t="str">
        <f>IFERROR(VLOOKUP(HEU671,'[3]Raw material  (3)'!HES653:HFK3729,3,0),"")</f>
        <v/>
      </c>
      <c r="HEU671" t="str">
        <f>IFERROR(VLOOKUP(HEV671,'[3]Raw material  (3)'!HET653:HFL3729,3,0),"")</f>
        <v/>
      </c>
      <c r="HEV671" t="str">
        <f>IFERROR(VLOOKUP(HEW671,'[3]Raw material  (3)'!HEU653:HFM3729,3,0),"")</f>
        <v/>
      </c>
      <c r="HEW671" t="str">
        <f>IFERROR(VLOOKUP(HEX671,'[3]Raw material  (3)'!HEV653:HFN3729,3,0),"")</f>
        <v/>
      </c>
      <c r="HEX671" t="str">
        <f>IFERROR(VLOOKUP(HEY671,'[3]Raw material  (3)'!HEW653:HFO3729,3,0),"")</f>
        <v/>
      </c>
      <c r="HEY671" t="str">
        <f>IFERROR(VLOOKUP(HEZ671,'[3]Raw material  (3)'!HEX653:HFP3729,3,0),"")</f>
        <v/>
      </c>
      <c r="HEZ671" t="str">
        <f>IFERROR(VLOOKUP(HFA671,'[3]Raw material  (3)'!HEY653:HFQ3729,3,0),"")</f>
        <v/>
      </c>
      <c r="HFA671" t="str">
        <f>IFERROR(VLOOKUP(HFB671,'[3]Raw material  (3)'!HEZ653:HFR3729,3,0),"")</f>
        <v/>
      </c>
      <c r="HFB671" t="str">
        <f>IFERROR(VLOOKUP(HFC671,'[3]Raw material  (3)'!HFA653:HFS3729,3,0),"")</f>
        <v/>
      </c>
      <c r="HFC671" t="str">
        <f>IFERROR(VLOOKUP(HFD671,'[3]Raw material  (3)'!HFB653:HFT3729,3,0),"")</f>
        <v/>
      </c>
      <c r="HFD671" t="str">
        <f>IFERROR(VLOOKUP(HFE671,'[3]Raw material  (3)'!HFC653:HFU3729,3,0),"")</f>
        <v/>
      </c>
      <c r="HFE671" t="str">
        <f>IFERROR(VLOOKUP(HFF671,'[3]Raw material  (3)'!HFD653:HFV3729,3,0),"")</f>
        <v/>
      </c>
      <c r="HFF671" t="str">
        <f>IFERROR(VLOOKUP(HFG671,'[3]Raw material  (3)'!HFE653:HFW3729,3,0),"")</f>
        <v/>
      </c>
      <c r="HFG671" t="str">
        <f>IFERROR(VLOOKUP(HFH671,'[3]Raw material  (3)'!HFF653:HFX3729,3,0),"")</f>
        <v/>
      </c>
      <c r="HFH671" t="str">
        <f>IFERROR(VLOOKUP(HFI671,'[3]Raw material  (3)'!HFG653:HFY3729,3,0),"")</f>
        <v/>
      </c>
      <c r="HFI671" t="str">
        <f>IFERROR(VLOOKUP(HFJ671,'[3]Raw material  (3)'!HFH653:HFZ3729,3,0),"")</f>
        <v/>
      </c>
      <c r="HFJ671" t="str">
        <f>IFERROR(VLOOKUP(HFK671,'[3]Raw material  (3)'!HFI653:HGA3729,3,0),"")</f>
        <v/>
      </c>
      <c r="HFK671" t="str">
        <f>IFERROR(VLOOKUP(HFL671,'[3]Raw material  (3)'!HFJ653:HGB3729,3,0),"")</f>
        <v/>
      </c>
      <c r="HFL671" t="str">
        <f>IFERROR(VLOOKUP(HFM671,'[3]Raw material  (3)'!HFK653:HGC3729,3,0),"")</f>
        <v/>
      </c>
      <c r="HFM671" t="str">
        <f>IFERROR(VLOOKUP(HFN671,'[3]Raw material  (3)'!HFL653:HGD3729,3,0),"")</f>
        <v/>
      </c>
      <c r="HFN671" t="str">
        <f>IFERROR(VLOOKUP(HFO671,'[3]Raw material  (3)'!HFM653:HGE3729,3,0),"")</f>
        <v/>
      </c>
      <c r="HFO671" t="str">
        <f>IFERROR(VLOOKUP(HFP671,'[3]Raw material  (3)'!HFN653:HGF3729,3,0),"")</f>
        <v/>
      </c>
      <c r="HFP671" t="str">
        <f>IFERROR(VLOOKUP(HFQ671,'[3]Raw material  (3)'!HFO653:HGG3729,3,0),"")</f>
        <v/>
      </c>
      <c r="HFQ671" t="str">
        <f>IFERROR(VLOOKUP(HFR671,'[3]Raw material  (3)'!HFP653:HGH3729,3,0),"")</f>
        <v/>
      </c>
      <c r="HFR671" t="str">
        <f>IFERROR(VLOOKUP(HFS671,'[3]Raw material  (3)'!HFQ653:HGI3729,3,0),"")</f>
        <v/>
      </c>
      <c r="HFS671" t="str">
        <f>IFERROR(VLOOKUP(HFT671,'[3]Raw material  (3)'!HFR653:HGJ3729,3,0),"")</f>
        <v/>
      </c>
      <c r="HFT671" t="str">
        <f>IFERROR(VLOOKUP(HFU671,'[3]Raw material  (3)'!HFS653:HGK3729,3,0),"")</f>
        <v/>
      </c>
      <c r="HFU671" t="str">
        <f>IFERROR(VLOOKUP(HFV671,'[3]Raw material  (3)'!HFT653:HGL3729,3,0),"")</f>
        <v/>
      </c>
      <c r="HFV671" t="str">
        <f>IFERROR(VLOOKUP(HFW671,'[3]Raw material  (3)'!HFU653:HGM3729,3,0),"")</f>
        <v/>
      </c>
      <c r="HFW671" t="str">
        <f>IFERROR(VLOOKUP(HFX671,'[3]Raw material  (3)'!HFV653:HGN3729,3,0),"")</f>
        <v/>
      </c>
      <c r="HFX671" t="str">
        <f>IFERROR(VLOOKUP(HFY671,'[3]Raw material  (3)'!HFW653:HGO3729,3,0),"")</f>
        <v/>
      </c>
      <c r="HFY671" t="str">
        <f>IFERROR(VLOOKUP(HFZ671,'[3]Raw material  (3)'!HFX653:HGP3729,3,0),"")</f>
        <v/>
      </c>
      <c r="HFZ671" t="str">
        <f>IFERROR(VLOOKUP(HGA671,'[3]Raw material  (3)'!HFY653:HGQ3729,3,0),"")</f>
        <v/>
      </c>
      <c r="HGA671" t="str">
        <f>IFERROR(VLOOKUP(HGB671,'[3]Raw material  (3)'!HFZ653:HGR3729,3,0),"")</f>
        <v/>
      </c>
      <c r="HGB671" t="str">
        <f>IFERROR(VLOOKUP(HGC671,'[3]Raw material  (3)'!HGA653:HGS3729,3,0),"")</f>
        <v/>
      </c>
      <c r="HGC671" t="str">
        <f>IFERROR(VLOOKUP(HGD671,'[3]Raw material  (3)'!HGB653:HGT3729,3,0),"")</f>
        <v/>
      </c>
      <c r="HGD671" t="str">
        <f>IFERROR(VLOOKUP(HGE671,'[3]Raw material  (3)'!HGC653:HGU3729,3,0),"")</f>
        <v/>
      </c>
      <c r="HGE671" t="str">
        <f>IFERROR(VLOOKUP(HGF671,'[3]Raw material  (3)'!HGD653:HGV3729,3,0),"")</f>
        <v/>
      </c>
      <c r="HGF671" t="str">
        <f>IFERROR(VLOOKUP(HGG671,'[3]Raw material  (3)'!HGE653:HGW3729,3,0),"")</f>
        <v/>
      </c>
      <c r="HGG671" t="str">
        <f>IFERROR(VLOOKUP(HGH671,'[3]Raw material  (3)'!HGF653:HGX3729,3,0),"")</f>
        <v/>
      </c>
      <c r="HGH671" t="str">
        <f>IFERROR(VLOOKUP(HGI671,'[3]Raw material  (3)'!HGG653:HGY3729,3,0),"")</f>
        <v/>
      </c>
      <c r="HGI671" t="str">
        <f>IFERROR(VLOOKUP(HGJ671,'[3]Raw material  (3)'!HGH653:HGZ3729,3,0),"")</f>
        <v/>
      </c>
      <c r="HGJ671" t="str">
        <f>IFERROR(VLOOKUP(HGK671,'[3]Raw material  (3)'!HGI653:HHA3729,3,0),"")</f>
        <v/>
      </c>
      <c r="HGK671" t="str">
        <f>IFERROR(VLOOKUP(HGL671,'[3]Raw material  (3)'!HGJ653:HHB3729,3,0),"")</f>
        <v/>
      </c>
      <c r="HGL671" t="str">
        <f>IFERROR(VLOOKUP(HGM671,'[3]Raw material  (3)'!HGK653:HHC3729,3,0),"")</f>
        <v/>
      </c>
      <c r="HGM671" t="str">
        <f>IFERROR(VLOOKUP(HGN671,'[3]Raw material  (3)'!HGL653:HHD3729,3,0),"")</f>
        <v/>
      </c>
      <c r="HGN671" t="str">
        <f>IFERROR(VLOOKUP(HGO671,'[3]Raw material  (3)'!HGM653:HHE3729,3,0),"")</f>
        <v/>
      </c>
      <c r="HGO671" t="str">
        <f>IFERROR(VLOOKUP(HGP671,'[3]Raw material  (3)'!HGN653:HHF3729,3,0),"")</f>
        <v/>
      </c>
      <c r="HGP671" t="str">
        <f>IFERROR(VLOOKUP(HGQ671,'[3]Raw material  (3)'!HGO653:HHG3729,3,0),"")</f>
        <v/>
      </c>
      <c r="HGQ671" t="str">
        <f>IFERROR(VLOOKUP(HGR671,'[3]Raw material  (3)'!HGP653:HHH3729,3,0),"")</f>
        <v/>
      </c>
      <c r="HGR671" t="str">
        <f>IFERROR(VLOOKUP(HGS671,'[3]Raw material  (3)'!HGQ653:HHI3729,3,0),"")</f>
        <v/>
      </c>
      <c r="HGS671" t="str">
        <f>IFERROR(VLOOKUP(HGT671,'[3]Raw material  (3)'!HGR653:HHJ3729,3,0),"")</f>
        <v/>
      </c>
      <c r="HGT671" t="str">
        <f>IFERROR(VLOOKUP(HGU671,'[3]Raw material  (3)'!HGS653:HHK3729,3,0),"")</f>
        <v/>
      </c>
      <c r="HGU671" t="str">
        <f>IFERROR(VLOOKUP(HGV671,'[3]Raw material  (3)'!HGT653:HHL3729,3,0),"")</f>
        <v/>
      </c>
      <c r="HGV671" t="str">
        <f>IFERROR(VLOOKUP(HGW671,'[3]Raw material  (3)'!HGU653:HHM3729,3,0),"")</f>
        <v/>
      </c>
      <c r="HGW671" t="str">
        <f>IFERROR(VLOOKUP(HGX671,'[3]Raw material  (3)'!HGV653:HHN3729,3,0),"")</f>
        <v/>
      </c>
      <c r="HGX671" t="str">
        <f>IFERROR(VLOOKUP(HGY671,'[3]Raw material  (3)'!HGW653:HHO3729,3,0),"")</f>
        <v/>
      </c>
      <c r="HGY671" t="str">
        <f>IFERROR(VLOOKUP(HGZ671,'[3]Raw material  (3)'!HGX653:HHP3729,3,0),"")</f>
        <v/>
      </c>
      <c r="HGZ671" t="str">
        <f>IFERROR(VLOOKUP(HHA671,'[3]Raw material  (3)'!HGY653:HHQ3729,3,0),"")</f>
        <v/>
      </c>
      <c r="HHA671" t="str">
        <f>IFERROR(VLOOKUP(HHB671,'[3]Raw material  (3)'!HGZ653:HHR3729,3,0),"")</f>
        <v/>
      </c>
      <c r="HHB671" t="str">
        <f>IFERROR(VLOOKUP(HHC671,'[3]Raw material  (3)'!HHA653:HHS3729,3,0),"")</f>
        <v/>
      </c>
      <c r="HHC671" t="str">
        <f>IFERROR(VLOOKUP(HHD671,'[3]Raw material  (3)'!HHB653:HHT3729,3,0),"")</f>
        <v/>
      </c>
      <c r="HHD671" t="str">
        <f>IFERROR(VLOOKUP(HHE671,'[3]Raw material  (3)'!HHC653:HHU3729,3,0),"")</f>
        <v/>
      </c>
      <c r="HHE671" t="str">
        <f>IFERROR(VLOOKUP(HHF671,'[3]Raw material  (3)'!HHD653:HHV3729,3,0),"")</f>
        <v/>
      </c>
      <c r="HHF671" t="str">
        <f>IFERROR(VLOOKUP(HHG671,'[3]Raw material  (3)'!HHE653:HHW3729,3,0),"")</f>
        <v/>
      </c>
      <c r="HHG671" t="str">
        <f>IFERROR(VLOOKUP(HHH671,'[3]Raw material  (3)'!HHF653:HHX3729,3,0),"")</f>
        <v/>
      </c>
      <c r="HHH671" t="str">
        <f>IFERROR(VLOOKUP(HHI671,'[3]Raw material  (3)'!HHG653:HHY3729,3,0),"")</f>
        <v/>
      </c>
      <c r="HHI671" t="str">
        <f>IFERROR(VLOOKUP(HHJ671,'[3]Raw material  (3)'!HHH653:HHZ3729,3,0),"")</f>
        <v/>
      </c>
      <c r="HHJ671" t="str">
        <f>IFERROR(VLOOKUP(HHK671,'[3]Raw material  (3)'!HHI653:HIA3729,3,0),"")</f>
        <v/>
      </c>
      <c r="HHK671" t="str">
        <f>IFERROR(VLOOKUP(HHL671,'[3]Raw material  (3)'!HHJ653:HIB3729,3,0),"")</f>
        <v/>
      </c>
      <c r="HHL671" t="str">
        <f>IFERROR(VLOOKUP(HHM671,'[3]Raw material  (3)'!HHK653:HIC3729,3,0),"")</f>
        <v/>
      </c>
      <c r="HHM671" t="str">
        <f>IFERROR(VLOOKUP(HHN671,'[3]Raw material  (3)'!HHL653:HID3729,3,0),"")</f>
        <v/>
      </c>
      <c r="HHN671" t="str">
        <f>IFERROR(VLOOKUP(HHO671,'[3]Raw material  (3)'!HHM653:HIE3729,3,0),"")</f>
        <v/>
      </c>
      <c r="HHO671" t="str">
        <f>IFERROR(VLOOKUP(HHP671,'[3]Raw material  (3)'!HHN653:HIF3729,3,0),"")</f>
        <v/>
      </c>
      <c r="HHP671" t="str">
        <f>IFERROR(VLOOKUP(HHQ671,'[3]Raw material  (3)'!HHO653:HIG3729,3,0),"")</f>
        <v/>
      </c>
      <c r="HHQ671" t="str">
        <f>IFERROR(VLOOKUP(HHR671,'[3]Raw material  (3)'!HHP653:HIH3729,3,0),"")</f>
        <v/>
      </c>
      <c r="HHR671" t="str">
        <f>IFERROR(VLOOKUP(HHS671,'[3]Raw material  (3)'!HHQ653:HII3729,3,0),"")</f>
        <v/>
      </c>
      <c r="HHS671" t="str">
        <f>IFERROR(VLOOKUP(HHT671,'[3]Raw material  (3)'!HHR653:HIJ3729,3,0),"")</f>
        <v/>
      </c>
      <c r="HHT671" t="str">
        <f>IFERROR(VLOOKUP(HHU671,'[3]Raw material  (3)'!HHS653:HIK3729,3,0),"")</f>
        <v/>
      </c>
      <c r="HHU671" t="str">
        <f>IFERROR(VLOOKUP(HHV671,'[3]Raw material  (3)'!HHT653:HIL3729,3,0),"")</f>
        <v/>
      </c>
      <c r="HHV671" t="str">
        <f>IFERROR(VLOOKUP(HHW671,'[3]Raw material  (3)'!HHU653:HIM3729,3,0),"")</f>
        <v/>
      </c>
      <c r="HHW671" t="str">
        <f>IFERROR(VLOOKUP(HHX671,'[3]Raw material  (3)'!HHV653:HIN3729,3,0),"")</f>
        <v/>
      </c>
      <c r="HHX671" t="str">
        <f>IFERROR(VLOOKUP(HHY671,'[3]Raw material  (3)'!HHW653:HIO3729,3,0),"")</f>
        <v/>
      </c>
      <c r="HHY671" t="str">
        <f>IFERROR(VLOOKUP(HHZ671,'[3]Raw material  (3)'!HHX653:HIP3729,3,0),"")</f>
        <v/>
      </c>
      <c r="HHZ671" t="str">
        <f>IFERROR(VLOOKUP(HIA671,'[3]Raw material  (3)'!HHY653:HIQ3729,3,0),"")</f>
        <v/>
      </c>
      <c r="HIA671" t="str">
        <f>IFERROR(VLOOKUP(HIB671,'[3]Raw material  (3)'!HHZ653:HIR3729,3,0),"")</f>
        <v/>
      </c>
      <c r="HIB671" t="str">
        <f>IFERROR(VLOOKUP(HIC671,'[3]Raw material  (3)'!HIA653:HIS3729,3,0),"")</f>
        <v/>
      </c>
      <c r="HIC671" t="str">
        <f>IFERROR(VLOOKUP(HID671,'[3]Raw material  (3)'!HIB653:HIT3729,3,0),"")</f>
        <v/>
      </c>
      <c r="HID671" t="str">
        <f>IFERROR(VLOOKUP(HIE671,'[3]Raw material  (3)'!HIC653:HIU3729,3,0),"")</f>
        <v/>
      </c>
      <c r="HIE671" t="str">
        <f>IFERROR(VLOOKUP(HIF671,'[3]Raw material  (3)'!HID653:HIV3729,3,0),"")</f>
        <v/>
      </c>
      <c r="HIF671" t="str">
        <f>IFERROR(VLOOKUP(HIG671,'[3]Raw material  (3)'!HIE653:HIW3729,3,0),"")</f>
        <v/>
      </c>
      <c r="HIG671" t="str">
        <f>IFERROR(VLOOKUP(HIH671,'[3]Raw material  (3)'!HIF653:HIX3729,3,0),"")</f>
        <v/>
      </c>
      <c r="HIH671" t="str">
        <f>IFERROR(VLOOKUP(HII671,'[3]Raw material  (3)'!HIG653:HIY3729,3,0),"")</f>
        <v/>
      </c>
      <c r="HII671" t="str">
        <f>IFERROR(VLOOKUP(HIJ671,'[3]Raw material  (3)'!HIH653:HIZ3729,3,0),"")</f>
        <v/>
      </c>
      <c r="HIJ671" t="str">
        <f>IFERROR(VLOOKUP(HIK671,'[3]Raw material  (3)'!HII653:HJA3729,3,0),"")</f>
        <v/>
      </c>
      <c r="HIK671" t="str">
        <f>IFERROR(VLOOKUP(HIL671,'[3]Raw material  (3)'!HIJ653:HJB3729,3,0),"")</f>
        <v/>
      </c>
      <c r="HIL671" t="str">
        <f>IFERROR(VLOOKUP(HIM671,'[3]Raw material  (3)'!HIK653:HJC3729,3,0),"")</f>
        <v/>
      </c>
      <c r="HIM671" t="str">
        <f>IFERROR(VLOOKUP(HIN671,'[3]Raw material  (3)'!HIL653:HJD3729,3,0),"")</f>
        <v/>
      </c>
      <c r="HIN671" t="str">
        <f>IFERROR(VLOOKUP(HIO671,'[3]Raw material  (3)'!HIM653:HJE3729,3,0),"")</f>
        <v/>
      </c>
      <c r="HIO671" t="str">
        <f>IFERROR(VLOOKUP(HIP671,'[3]Raw material  (3)'!HIN653:HJF3729,3,0),"")</f>
        <v/>
      </c>
      <c r="HIP671" t="str">
        <f>IFERROR(VLOOKUP(HIQ671,'[3]Raw material  (3)'!HIO653:HJG3729,3,0),"")</f>
        <v/>
      </c>
      <c r="HIQ671" t="str">
        <f>IFERROR(VLOOKUP(HIR671,'[3]Raw material  (3)'!HIP653:HJH3729,3,0),"")</f>
        <v/>
      </c>
      <c r="HIR671" t="str">
        <f>IFERROR(VLOOKUP(HIS671,'[3]Raw material  (3)'!HIQ653:HJI3729,3,0),"")</f>
        <v/>
      </c>
      <c r="HIS671" t="str">
        <f>IFERROR(VLOOKUP(HIT671,'[3]Raw material  (3)'!HIR653:HJJ3729,3,0),"")</f>
        <v/>
      </c>
      <c r="HIT671" t="str">
        <f>IFERROR(VLOOKUP(HIU671,'[3]Raw material  (3)'!HIS653:HJK3729,3,0),"")</f>
        <v/>
      </c>
      <c r="HIU671" t="str">
        <f>IFERROR(VLOOKUP(HIV671,'[3]Raw material  (3)'!HIT653:HJL3729,3,0),"")</f>
        <v/>
      </c>
      <c r="HIV671" t="str">
        <f>IFERROR(VLOOKUP(HIW671,'[3]Raw material  (3)'!HIU653:HJM3729,3,0),"")</f>
        <v/>
      </c>
      <c r="HIW671" t="str">
        <f>IFERROR(VLOOKUP(HIX671,'[3]Raw material  (3)'!HIV653:HJN3729,3,0),"")</f>
        <v/>
      </c>
      <c r="HIX671" t="str">
        <f>IFERROR(VLOOKUP(HIY671,'[3]Raw material  (3)'!HIW653:HJO3729,3,0),"")</f>
        <v/>
      </c>
      <c r="HIY671" t="str">
        <f>IFERROR(VLOOKUP(HIZ671,'[3]Raw material  (3)'!HIX653:HJP3729,3,0),"")</f>
        <v/>
      </c>
      <c r="HIZ671" t="str">
        <f>IFERROR(VLOOKUP(HJA671,'[3]Raw material  (3)'!HIY653:HJQ3729,3,0),"")</f>
        <v/>
      </c>
      <c r="HJA671" t="str">
        <f>IFERROR(VLOOKUP(HJB671,'[3]Raw material  (3)'!HIZ653:HJR3729,3,0),"")</f>
        <v/>
      </c>
      <c r="HJB671" t="str">
        <f>IFERROR(VLOOKUP(HJC671,'[3]Raw material  (3)'!HJA653:HJS3729,3,0),"")</f>
        <v/>
      </c>
      <c r="HJC671" t="str">
        <f>IFERROR(VLOOKUP(HJD671,'[3]Raw material  (3)'!HJB653:HJT3729,3,0),"")</f>
        <v/>
      </c>
      <c r="HJD671" t="str">
        <f>IFERROR(VLOOKUP(HJE671,'[3]Raw material  (3)'!HJC653:HJU3729,3,0),"")</f>
        <v/>
      </c>
      <c r="HJE671" t="str">
        <f>IFERROR(VLOOKUP(HJF671,'[3]Raw material  (3)'!HJD653:HJV3729,3,0),"")</f>
        <v/>
      </c>
      <c r="HJF671" t="str">
        <f>IFERROR(VLOOKUP(HJG671,'[3]Raw material  (3)'!HJE653:HJW3729,3,0),"")</f>
        <v/>
      </c>
      <c r="HJG671" t="str">
        <f>IFERROR(VLOOKUP(HJH671,'[3]Raw material  (3)'!HJF653:HJX3729,3,0),"")</f>
        <v/>
      </c>
      <c r="HJH671" t="str">
        <f>IFERROR(VLOOKUP(HJI671,'[3]Raw material  (3)'!HJG653:HJY3729,3,0),"")</f>
        <v/>
      </c>
      <c r="HJI671" t="str">
        <f>IFERROR(VLOOKUP(HJJ671,'[3]Raw material  (3)'!HJH653:HJZ3729,3,0),"")</f>
        <v/>
      </c>
      <c r="HJJ671" t="str">
        <f>IFERROR(VLOOKUP(HJK671,'[3]Raw material  (3)'!HJI653:HKA3729,3,0),"")</f>
        <v/>
      </c>
      <c r="HJK671" t="str">
        <f>IFERROR(VLOOKUP(HJL671,'[3]Raw material  (3)'!HJJ653:HKB3729,3,0),"")</f>
        <v/>
      </c>
      <c r="HJL671" t="str">
        <f>IFERROR(VLOOKUP(HJM671,'[3]Raw material  (3)'!HJK653:HKC3729,3,0),"")</f>
        <v/>
      </c>
      <c r="HJM671" t="str">
        <f>IFERROR(VLOOKUP(HJN671,'[3]Raw material  (3)'!HJL653:HKD3729,3,0),"")</f>
        <v/>
      </c>
      <c r="HJN671" t="str">
        <f>IFERROR(VLOOKUP(HJO671,'[3]Raw material  (3)'!HJM653:HKE3729,3,0),"")</f>
        <v/>
      </c>
      <c r="HJO671" t="str">
        <f>IFERROR(VLOOKUP(HJP671,'[3]Raw material  (3)'!HJN653:HKF3729,3,0),"")</f>
        <v/>
      </c>
      <c r="HJP671" t="str">
        <f>IFERROR(VLOOKUP(HJQ671,'[3]Raw material  (3)'!HJO653:HKG3729,3,0),"")</f>
        <v/>
      </c>
      <c r="HJQ671" t="str">
        <f>IFERROR(VLOOKUP(HJR671,'[3]Raw material  (3)'!HJP653:HKH3729,3,0),"")</f>
        <v/>
      </c>
      <c r="HJR671" t="str">
        <f>IFERROR(VLOOKUP(HJS671,'[3]Raw material  (3)'!HJQ653:HKI3729,3,0),"")</f>
        <v/>
      </c>
      <c r="HJS671" t="str">
        <f>IFERROR(VLOOKUP(HJT671,'[3]Raw material  (3)'!HJR653:HKJ3729,3,0),"")</f>
        <v/>
      </c>
      <c r="HJT671" t="str">
        <f>IFERROR(VLOOKUP(HJU671,'[3]Raw material  (3)'!HJS653:HKK3729,3,0),"")</f>
        <v/>
      </c>
      <c r="HJU671" t="str">
        <f>IFERROR(VLOOKUP(HJV671,'[3]Raw material  (3)'!HJT653:HKL3729,3,0),"")</f>
        <v/>
      </c>
      <c r="HJV671" t="str">
        <f>IFERROR(VLOOKUP(HJW671,'[3]Raw material  (3)'!HJU653:HKM3729,3,0),"")</f>
        <v/>
      </c>
      <c r="HJW671" t="str">
        <f>IFERROR(VLOOKUP(HJX671,'[3]Raw material  (3)'!HJV653:HKN3729,3,0),"")</f>
        <v/>
      </c>
      <c r="HJX671" t="str">
        <f>IFERROR(VLOOKUP(HJY671,'[3]Raw material  (3)'!HJW653:HKO3729,3,0),"")</f>
        <v/>
      </c>
      <c r="HJY671" t="str">
        <f>IFERROR(VLOOKUP(HJZ671,'[3]Raw material  (3)'!HJX653:HKP3729,3,0),"")</f>
        <v/>
      </c>
      <c r="HJZ671" t="str">
        <f>IFERROR(VLOOKUP(HKA671,'[3]Raw material  (3)'!HJY653:HKQ3729,3,0),"")</f>
        <v/>
      </c>
      <c r="HKA671" t="str">
        <f>IFERROR(VLOOKUP(HKB671,'[3]Raw material  (3)'!HJZ653:HKR3729,3,0),"")</f>
        <v/>
      </c>
      <c r="HKB671" t="str">
        <f>IFERROR(VLOOKUP(HKC671,'[3]Raw material  (3)'!HKA653:HKS3729,3,0),"")</f>
        <v/>
      </c>
      <c r="HKC671" t="str">
        <f>IFERROR(VLOOKUP(HKD671,'[3]Raw material  (3)'!HKB653:HKT3729,3,0),"")</f>
        <v/>
      </c>
      <c r="HKD671" t="str">
        <f>IFERROR(VLOOKUP(HKE671,'[3]Raw material  (3)'!HKC653:HKU3729,3,0),"")</f>
        <v/>
      </c>
      <c r="HKE671" t="str">
        <f>IFERROR(VLOOKUP(HKF671,'[3]Raw material  (3)'!HKD653:HKV3729,3,0),"")</f>
        <v/>
      </c>
      <c r="HKF671" t="str">
        <f>IFERROR(VLOOKUP(HKG671,'[3]Raw material  (3)'!HKE653:HKW3729,3,0),"")</f>
        <v/>
      </c>
      <c r="HKG671" t="str">
        <f>IFERROR(VLOOKUP(HKH671,'[3]Raw material  (3)'!HKF653:HKX3729,3,0),"")</f>
        <v/>
      </c>
      <c r="HKH671" t="str">
        <f>IFERROR(VLOOKUP(HKI671,'[3]Raw material  (3)'!HKG653:HKY3729,3,0),"")</f>
        <v/>
      </c>
      <c r="HKI671" t="str">
        <f>IFERROR(VLOOKUP(HKJ671,'[3]Raw material  (3)'!HKH653:HKZ3729,3,0),"")</f>
        <v/>
      </c>
      <c r="HKJ671" t="str">
        <f>IFERROR(VLOOKUP(HKK671,'[3]Raw material  (3)'!HKI653:HLA3729,3,0),"")</f>
        <v/>
      </c>
      <c r="HKK671" t="str">
        <f>IFERROR(VLOOKUP(HKL671,'[3]Raw material  (3)'!HKJ653:HLB3729,3,0),"")</f>
        <v/>
      </c>
      <c r="HKL671" t="str">
        <f>IFERROR(VLOOKUP(HKM671,'[3]Raw material  (3)'!HKK653:HLC3729,3,0),"")</f>
        <v/>
      </c>
      <c r="HKM671" t="str">
        <f>IFERROR(VLOOKUP(HKN671,'[3]Raw material  (3)'!HKL653:HLD3729,3,0),"")</f>
        <v/>
      </c>
      <c r="HKN671" t="str">
        <f>IFERROR(VLOOKUP(HKO671,'[3]Raw material  (3)'!HKM653:HLE3729,3,0),"")</f>
        <v/>
      </c>
      <c r="HKO671" t="str">
        <f>IFERROR(VLOOKUP(HKP671,'[3]Raw material  (3)'!HKN653:HLF3729,3,0),"")</f>
        <v/>
      </c>
      <c r="HKP671" t="str">
        <f>IFERROR(VLOOKUP(HKQ671,'[3]Raw material  (3)'!HKO653:HLG3729,3,0),"")</f>
        <v/>
      </c>
      <c r="HKQ671" t="str">
        <f>IFERROR(VLOOKUP(HKR671,'[3]Raw material  (3)'!HKP653:HLH3729,3,0),"")</f>
        <v/>
      </c>
      <c r="HKR671" t="str">
        <f>IFERROR(VLOOKUP(HKS671,'[3]Raw material  (3)'!HKQ653:HLI3729,3,0),"")</f>
        <v/>
      </c>
      <c r="HKS671" t="str">
        <f>IFERROR(VLOOKUP(HKT671,'[3]Raw material  (3)'!HKR653:HLJ3729,3,0),"")</f>
        <v/>
      </c>
      <c r="HKT671" t="str">
        <f>IFERROR(VLOOKUP(HKU671,'[3]Raw material  (3)'!HKS653:HLK3729,3,0),"")</f>
        <v/>
      </c>
      <c r="HKU671" t="str">
        <f>IFERROR(VLOOKUP(HKV671,'[3]Raw material  (3)'!HKT653:HLL3729,3,0),"")</f>
        <v/>
      </c>
      <c r="HKV671" t="str">
        <f>IFERROR(VLOOKUP(HKW671,'[3]Raw material  (3)'!HKU653:HLM3729,3,0),"")</f>
        <v/>
      </c>
      <c r="HKW671" t="str">
        <f>IFERROR(VLOOKUP(HKX671,'[3]Raw material  (3)'!HKV653:HLN3729,3,0),"")</f>
        <v/>
      </c>
      <c r="HKX671" t="str">
        <f>IFERROR(VLOOKUP(HKY671,'[3]Raw material  (3)'!HKW653:HLO3729,3,0),"")</f>
        <v/>
      </c>
      <c r="HKY671" t="str">
        <f>IFERROR(VLOOKUP(HKZ671,'[3]Raw material  (3)'!HKX653:HLP3729,3,0),"")</f>
        <v/>
      </c>
      <c r="HKZ671" t="str">
        <f>IFERROR(VLOOKUP(HLA671,'[3]Raw material  (3)'!HKY653:HLQ3729,3,0),"")</f>
        <v/>
      </c>
      <c r="HLA671" t="str">
        <f>IFERROR(VLOOKUP(HLB671,'[3]Raw material  (3)'!HKZ653:HLR3729,3,0),"")</f>
        <v/>
      </c>
      <c r="HLB671" t="str">
        <f>IFERROR(VLOOKUP(HLC671,'[3]Raw material  (3)'!HLA653:HLS3729,3,0),"")</f>
        <v/>
      </c>
      <c r="HLC671" t="str">
        <f>IFERROR(VLOOKUP(HLD671,'[3]Raw material  (3)'!HLB653:HLT3729,3,0),"")</f>
        <v/>
      </c>
      <c r="HLD671" t="str">
        <f>IFERROR(VLOOKUP(HLE671,'[3]Raw material  (3)'!HLC653:HLU3729,3,0),"")</f>
        <v/>
      </c>
      <c r="HLE671" t="str">
        <f>IFERROR(VLOOKUP(HLF671,'[3]Raw material  (3)'!HLD653:HLV3729,3,0),"")</f>
        <v/>
      </c>
      <c r="HLF671" t="str">
        <f>IFERROR(VLOOKUP(HLG671,'[3]Raw material  (3)'!HLE653:HLW3729,3,0),"")</f>
        <v/>
      </c>
      <c r="HLG671" t="str">
        <f>IFERROR(VLOOKUP(HLH671,'[3]Raw material  (3)'!HLF653:HLX3729,3,0),"")</f>
        <v/>
      </c>
      <c r="HLH671" t="str">
        <f>IFERROR(VLOOKUP(HLI671,'[3]Raw material  (3)'!HLG653:HLY3729,3,0),"")</f>
        <v/>
      </c>
      <c r="HLI671" t="str">
        <f>IFERROR(VLOOKUP(HLJ671,'[3]Raw material  (3)'!HLH653:HLZ3729,3,0),"")</f>
        <v/>
      </c>
      <c r="HLJ671" t="str">
        <f>IFERROR(VLOOKUP(HLK671,'[3]Raw material  (3)'!HLI653:HMA3729,3,0),"")</f>
        <v/>
      </c>
      <c r="HLK671" t="str">
        <f>IFERROR(VLOOKUP(HLL671,'[3]Raw material  (3)'!HLJ653:HMB3729,3,0),"")</f>
        <v/>
      </c>
      <c r="HLL671" t="str">
        <f>IFERROR(VLOOKUP(HLM671,'[3]Raw material  (3)'!HLK653:HMC3729,3,0),"")</f>
        <v/>
      </c>
      <c r="HLM671" t="str">
        <f>IFERROR(VLOOKUP(HLN671,'[3]Raw material  (3)'!HLL653:HMD3729,3,0),"")</f>
        <v/>
      </c>
      <c r="HLN671" t="str">
        <f>IFERROR(VLOOKUP(HLO671,'[3]Raw material  (3)'!HLM653:HME3729,3,0),"")</f>
        <v/>
      </c>
      <c r="HLO671" t="str">
        <f>IFERROR(VLOOKUP(HLP671,'[3]Raw material  (3)'!HLN653:HMF3729,3,0),"")</f>
        <v/>
      </c>
      <c r="HLP671" t="str">
        <f>IFERROR(VLOOKUP(HLQ671,'[3]Raw material  (3)'!HLO653:HMG3729,3,0),"")</f>
        <v/>
      </c>
      <c r="HLQ671" t="str">
        <f>IFERROR(VLOOKUP(HLR671,'[3]Raw material  (3)'!HLP653:HMH3729,3,0),"")</f>
        <v/>
      </c>
      <c r="HLR671" t="str">
        <f>IFERROR(VLOOKUP(HLS671,'[3]Raw material  (3)'!HLQ653:HMI3729,3,0),"")</f>
        <v/>
      </c>
      <c r="HLS671" t="str">
        <f>IFERROR(VLOOKUP(HLT671,'[3]Raw material  (3)'!HLR653:HMJ3729,3,0),"")</f>
        <v/>
      </c>
      <c r="HLT671" t="str">
        <f>IFERROR(VLOOKUP(HLU671,'[3]Raw material  (3)'!HLS653:HMK3729,3,0),"")</f>
        <v/>
      </c>
      <c r="HLU671" t="str">
        <f>IFERROR(VLOOKUP(HLV671,'[3]Raw material  (3)'!HLT653:HML3729,3,0),"")</f>
        <v/>
      </c>
      <c r="HLV671" t="str">
        <f>IFERROR(VLOOKUP(HLW671,'[3]Raw material  (3)'!HLU653:HMM3729,3,0),"")</f>
        <v/>
      </c>
      <c r="HLW671" t="str">
        <f>IFERROR(VLOOKUP(HLX671,'[3]Raw material  (3)'!HLV653:HMN3729,3,0),"")</f>
        <v/>
      </c>
      <c r="HLX671" t="str">
        <f>IFERROR(VLOOKUP(HLY671,'[3]Raw material  (3)'!HLW653:HMO3729,3,0),"")</f>
        <v/>
      </c>
      <c r="HLY671" t="str">
        <f>IFERROR(VLOOKUP(HLZ671,'[3]Raw material  (3)'!HLX653:HMP3729,3,0),"")</f>
        <v/>
      </c>
      <c r="HLZ671" t="str">
        <f>IFERROR(VLOOKUP(HMA671,'[3]Raw material  (3)'!HLY653:HMQ3729,3,0),"")</f>
        <v/>
      </c>
      <c r="HMA671" t="str">
        <f>IFERROR(VLOOKUP(HMB671,'[3]Raw material  (3)'!HLZ653:HMR3729,3,0),"")</f>
        <v/>
      </c>
      <c r="HMB671" t="str">
        <f>IFERROR(VLOOKUP(HMC671,'[3]Raw material  (3)'!HMA653:HMS3729,3,0),"")</f>
        <v/>
      </c>
      <c r="HMC671" t="str">
        <f>IFERROR(VLOOKUP(HMD671,'[3]Raw material  (3)'!HMB653:HMT3729,3,0),"")</f>
        <v/>
      </c>
      <c r="HMD671" t="str">
        <f>IFERROR(VLOOKUP(HME671,'[3]Raw material  (3)'!HMC653:HMU3729,3,0),"")</f>
        <v/>
      </c>
      <c r="HME671" t="str">
        <f>IFERROR(VLOOKUP(HMF671,'[3]Raw material  (3)'!HMD653:HMV3729,3,0),"")</f>
        <v/>
      </c>
      <c r="HMF671" t="str">
        <f>IFERROR(VLOOKUP(HMG671,'[3]Raw material  (3)'!HME653:HMW3729,3,0),"")</f>
        <v/>
      </c>
      <c r="HMG671" t="str">
        <f>IFERROR(VLOOKUP(HMH671,'[3]Raw material  (3)'!HMF653:HMX3729,3,0),"")</f>
        <v/>
      </c>
      <c r="HMH671" t="str">
        <f>IFERROR(VLOOKUP(HMI671,'[3]Raw material  (3)'!HMG653:HMY3729,3,0),"")</f>
        <v/>
      </c>
      <c r="HMI671" t="str">
        <f>IFERROR(VLOOKUP(HMJ671,'[3]Raw material  (3)'!HMH653:HMZ3729,3,0),"")</f>
        <v/>
      </c>
      <c r="HMJ671" t="str">
        <f>IFERROR(VLOOKUP(HMK671,'[3]Raw material  (3)'!HMI653:HNA3729,3,0),"")</f>
        <v/>
      </c>
      <c r="HMK671" t="str">
        <f>IFERROR(VLOOKUP(HML671,'[3]Raw material  (3)'!HMJ653:HNB3729,3,0),"")</f>
        <v/>
      </c>
      <c r="HML671" t="str">
        <f>IFERROR(VLOOKUP(HMM671,'[3]Raw material  (3)'!HMK653:HNC3729,3,0),"")</f>
        <v/>
      </c>
      <c r="HMM671" t="str">
        <f>IFERROR(VLOOKUP(HMN671,'[3]Raw material  (3)'!HML653:HND3729,3,0),"")</f>
        <v/>
      </c>
      <c r="HMN671" t="str">
        <f>IFERROR(VLOOKUP(HMO671,'[3]Raw material  (3)'!HMM653:HNE3729,3,0),"")</f>
        <v/>
      </c>
      <c r="HMO671" t="str">
        <f>IFERROR(VLOOKUP(HMP671,'[3]Raw material  (3)'!HMN653:HNF3729,3,0),"")</f>
        <v/>
      </c>
      <c r="HMP671" t="str">
        <f>IFERROR(VLOOKUP(HMQ671,'[3]Raw material  (3)'!HMO653:HNG3729,3,0),"")</f>
        <v/>
      </c>
      <c r="HMQ671" t="str">
        <f>IFERROR(VLOOKUP(HMR671,'[3]Raw material  (3)'!HMP653:HNH3729,3,0),"")</f>
        <v/>
      </c>
      <c r="HMR671" t="str">
        <f>IFERROR(VLOOKUP(HMS671,'[3]Raw material  (3)'!HMQ653:HNI3729,3,0),"")</f>
        <v/>
      </c>
      <c r="HMS671" t="str">
        <f>IFERROR(VLOOKUP(HMT671,'[3]Raw material  (3)'!HMR653:HNJ3729,3,0),"")</f>
        <v/>
      </c>
      <c r="HMT671" t="str">
        <f>IFERROR(VLOOKUP(HMU671,'[3]Raw material  (3)'!HMS653:HNK3729,3,0),"")</f>
        <v/>
      </c>
      <c r="HMU671" t="str">
        <f>IFERROR(VLOOKUP(HMV671,'[3]Raw material  (3)'!HMT653:HNL3729,3,0),"")</f>
        <v/>
      </c>
      <c r="HMV671" t="str">
        <f>IFERROR(VLOOKUP(HMW671,'[3]Raw material  (3)'!HMU653:HNM3729,3,0),"")</f>
        <v/>
      </c>
      <c r="HMW671" t="str">
        <f>IFERROR(VLOOKUP(HMX671,'[3]Raw material  (3)'!HMV653:HNN3729,3,0),"")</f>
        <v/>
      </c>
      <c r="HMX671" t="str">
        <f>IFERROR(VLOOKUP(HMY671,'[3]Raw material  (3)'!HMW653:HNO3729,3,0),"")</f>
        <v/>
      </c>
      <c r="HMY671" t="str">
        <f>IFERROR(VLOOKUP(HMZ671,'[3]Raw material  (3)'!HMX653:HNP3729,3,0),"")</f>
        <v/>
      </c>
      <c r="HMZ671" t="str">
        <f>IFERROR(VLOOKUP(HNA671,'[3]Raw material  (3)'!HMY653:HNQ3729,3,0),"")</f>
        <v/>
      </c>
      <c r="HNA671" t="str">
        <f>IFERROR(VLOOKUP(HNB671,'[3]Raw material  (3)'!HMZ653:HNR3729,3,0),"")</f>
        <v/>
      </c>
      <c r="HNB671" t="str">
        <f>IFERROR(VLOOKUP(HNC671,'[3]Raw material  (3)'!HNA653:HNS3729,3,0),"")</f>
        <v/>
      </c>
      <c r="HNC671" t="str">
        <f>IFERROR(VLOOKUP(HND671,'[3]Raw material  (3)'!HNB653:HNT3729,3,0),"")</f>
        <v/>
      </c>
      <c r="HND671" t="str">
        <f>IFERROR(VLOOKUP(HNE671,'[3]Raw material  (3)'!HNC653:HNU3729,3,0),"")</f>
        <v/>
      </c>
      <c r="HNE671" t="str">
        <f>IFERROR(VLOOKUP(HNF671,'[3]Raw material  (3)'!HND653:HNV3729,3,0),"")</f>
        <v/>
      </c>
      <c r="HNF671" t="str">
        <f>IFERROR(VLOOKUP(HNG671,'[3]Raw material  (3)'!HNE653:HNW3729,3,0),"")</f>
        <v/>
      </c>
      <c r="HNG671" t="str">
        <f>IFERROR(VLOOKUP(HNH671,'[3]Raw material  (3)'!HNF653:HNX3729,3,0),"")</f>
        <v/>
      </c>
      <c r="HNH671" t="str">
        <f>IFERROR(VLOOKUP(HNI671,'[3]Raw material  (3)'!HNG653:HNY3729,3,0),"")</f>
        <v/>
      </c>
      <c r="HNI671" t="str">
        <f>IFERROR(VLOOKUP(HNJ671,'[3]Raw material  (3)'!HNH653:HNZ3729,3,0),"")</f>
        <v/>
      </c>
      <c r="HNJ671" t="str">
        <f>IFERROR(VLOOKUP(HNK671,'[3]Raw material  (3)'!HNI653:HOA3729,3,0),"")</f>
        <v/>
      </c>
      <c r="HNK671" t="str">
        <f>IFERROR(VLOOKUP(HNL671,'[3]Raw material  (3)'!HNJ653:HOB3729,3,0),"")</f>
        <v/>
      </c>
      <c r="HNL671" t="str">
        <f>IFERROR(VLOOKUP(HNM671,'[3]Raw material  (3)'!HNK653:HOC3729,3,0),"")</f>
        <v/>
      </c>
      <c r="HNM671" t="str">
        <f>IFERROR(VLOOKUP(HNN671,'[3]Raw material  (3)'!HNL653:HOD3729,3,0),"")</f>
        <v/>
      </c>
      <c r="HNN671" t="str">
        <f>IFERROR(VLOOKUP(HNO671,'[3]Raw material  (3)'!HNM653:HOE3729,3,0),"")</f>
        <v/>
      </c>
      <c r="HNO671" t="str">
        <f>IFERROR(VLOOKUP(HNP671,'[3]Raw material  (3)'!HNN653:HOF3729,3,0),"")</f>
        <v/>
      </c>
      <c r="HNP671" t="str">
        <f>IFERROR(VLOOKUP(HNQ671,'[3]Raw material  (3)'!HNO653:HOG3729,3,0),"")</f>
        <v/>
      </c>
      <c r="HNQ671" t="str">
        <f>IFERROR(VLOOKUP(HNR671,'[3]Raw material  (3)'!HNP653:HOH3729,3,0),"")</f>
        <v/>
      </c>
      <c r="HNR671" t="str">
        <f>IFERROR(VLOOKUP(HNS671,'[3]Raw material  (3)'!HNQ653:HOI3729,3,0),"")</f>
        <v/>
      </c>
      <c r="HNS671" t="str">
        <f>IFERROR(VLOOKUP(HNT671,'[3]Raw material  (3)'!HNR653:HOJ3729,3,0),"")</f>
        <v/>
      </c>
      <c r="HNT671" t="str">
        <f>IFERROR(VLOOKUP(HNU671,'[3]Raw material  (3)'!HNS653:HOK3729,3,0),"")</f>
        <v/>
      </c>
      <c r="HNU671" t="str">
        <f>IFERROR(VLOOKUP(HNV671,'[3]Raw material  (3)'!HNT653:HOL3729,3,0),"")</f>
        <v/>
      </c>
      <c r="HNV671" t="str">
        <f>IFERROR(VLOOKUP(HNW671,'[3]Raw material  (3)'!HNU653:HOM3729,3,0),"")</f>
        <v/>
      </c>
      <c r="HNW671" t="str">
        <f>IFERROR(VLOOKUP(HNX671,'[3]Raw material  (3)'!HNV653:HON3729,3,0),"")</f>
        <v/>
      </c>
      <c r="HNX671" t="str">
        <f>IFERROR(VLOOKUP(HNY671,'[3]Raw material  (3)'!HNW653:HOO3729,3,0),"")</f>
        <v/>
      </c>
      <c r="HNY671" t="str">
        <f>IFERROR(VLOOKUP(HNZ671,'[3]Raw material  (3)'!HNX653:HOP3729,3,0),"")</f>
        <v/>
      </c>
      <c r="HNZ671" t="str">
        <f>IFERROR(VLOOKUP(HOA671,'[3]Raw material  (3)'!HNY653:HOQ3729,3,0),"")</f>
        <v/>
      </c>
      <c r="HOA671" t="str">
        <f>IFERROR(VLOOKUP(HOB671,'[3]Raw material  (3)'!HNZ653:HOR3729,3,0),"")</f>
        <v/>
      </c>
      <c r="HOB671" t="str">
        <f>IFERROR(VLOOKUP(HOC671,'[3]Raw material  (3)'!HOA653:HOS3729,3,0),"")</f>
        <v/>
      </c>
      <c r="HOC671" t="str">
        <f>IFERROR(VLOOKUP(HOD671,'[3]Raw material  (3)'!HOB653:HOT3729,3,0),"")</f>
        <v/>
      </c>
      <c r="HOD671" t="str">
        <f>IFERROR(VLOOKUP(HOE671,'[3]Raw material  (3)'!HOC653:HOU3729,3,0),"")</f>
        <v/>
      </c>
      <c r="HOE671" t="str">
        <f>IFERROR(VLOOKUP(HOF671,'[3]Raw material  (3)'!HOD653:HOV3729,3,0),"")</f>
        <v/>
      </c>
      <c r="HOF671" t="str">
        <f>IFERROR(VLOOKUP(HOG671,'[3]Raw material  (3)'!HOE653:HOW3729,3,0),"")</f>
        <v/>
      </c>
      <c r="HOG671" t="str">
        <f>IFERROR(VLOOKUP(HOH671,'[3]Raw material  (3)'!HOF653:HOX3729,3,0),"")</f>
        <v/>
      </c>
      <c r="HOH671" t="str">
        <f>IFERROR(VLOOKUP(HOI671,'[3]Raw material  (3)'!HOG653:HOY3729,3,0),"")</f>
        <v/>
      </c>
      <c r="HOI671" t="str">
        <f>IFERROR(VLOOKUP(HOJ671,'[3]Raw material  (3)'!HOH653:HOZ3729,3,0),"")</f>
        <v/>
      </c>
      <c r="HOJ671" t="str">
        <f>IFERROR(VLOOKUP(HOK671,'[3]Raw material  (3)'!HOI653:HPA3729,3,0),"")</f>
        <v/>
      </c>
      <c r="HOK671" t="str">
        <f>IFERROR(VLOOKUP(HOL671,'[3]Raw material  (3)'!HOJ653:HPB3729,3,0),"")</f>
        <v/>
      </c>
      <c r="HOL671" t="str">
        <f>IFERROR(VLOOKUP(HOM671,'[3]Raw material  (3)'!HOK653:HPC3729,3,0),"")</f>
        <v/>
      </c>
      <c r="HOM671" t="str">
        <f>IFERROR(VLOOKUP(HON671,'[3]Raw material  (3)'!HOL653:HPD3729,3,0),"")</f>
        <v/>
      </c>
      <c r="HON671" t="str">
        <f>IFERROR(VLOOKUP(HOO671,'[3]Raw material  (3)'!HOM653:HPE3729,3,0),"")</f>
        <v/>
      </c>
      <c r="HOO671" t="str">
        <f>IFERROR(VLOOKUP(HOP671,'[3]Raw material  (3)'!HON653:HPF3729,3,0),"")</f>
        <v/>
      </c>
      <c r="HOP671" t="str">
        <f>IFERROR(VLOOKUP(HOQ671,'[3]Raw material  (3)'!HOO653:HPG3729,3,0),"")</f>
        <v/>
      </c>
      <c r="HOQ671" t="str">
        <f>IFERROR(VLOOKUP(HOR671,'[3]Raw material  (3)'!HOP653:HPH3729,3,0),"")</f>
        <v/>
      </c>
      <c r="HOR671" t="str">
        <f>IFERROR(VLOOKUP(HOS671,'[3]Raw material  (3)'!HOQ653:HPI3729,3,0),"")</f>
        <v/>
      </c>
      <c r="HOS671" t="str">
        <f>IFERROR(VLOOKUP(HOT671,'[3]Raw material  (3)'!HOR653:HPJ3729,3,0),"")</f>
        <v/>
      </c>
      <c r="HOT671" t="str">
        <f>IFERROR(VLOOKUP(HOU671,'[3]Raw material  (3)'!HOS653:HPK3729,3,0),"")</f>
        <v/>
      </c>
      <c r="HOU671" t="str">
        <f>IFERROR(VLOOKUP(HOV671,'[3]Raw material  (3)'!HOT653:HPL3729,3,0),"")</f>
        <v/>
      </c>
      <c r="HOV671" t="str">
        <f>IFERROR(VLOOKUP(HOW671,'[3]Raw material  (3)'!HOU653:HPM3729,3,0),"")</f>
        <v/>
      </c>
      <c r="HOW671" t="str">
        <f>IFERROR(VLOOKUP(HOX671,'[3]Raw material  (3)'!HOV653:HPN3729,3,0),"")</f>
        <v/>
      </c>
      <c r="HOX671" t="str">
        <f>IFERROR(VLOOKUP(HOY671,'[3]Raw material  (3)'!HOW653:HPO3729,3,0),"")</f>
        <v/>
      </c>
      <c r="HOY671" t="str">
        <f>IFERROR(VLOOKUP(HOZ671,'[3]Raw material  (3)'!HOX653:HPP3729,3,0),"")</f>
        <v/>
      </c>
      <c r="HOZ671" t="str">
        <f>IFERROR(VLOOKUP(HPA671,'[3]Raw material  (3)'!HOY653:HPQ3729,3,0),"")</f>
        <v/>
      </c>
      <c r="HPA671" t="str">
        <f>IFERROR(VLOOKUP(HPB671,'[3]Raw material  (3)'!HOZ653:HPR3729,3,0),"")</f>
        <v/>
      </c>
      <c r="HPB671" t="str">
        <f>IFERROR(VLOOKUP(HPC671,'[3]Raw material  (3)'!HPA653:HPS3729,3,0),"")</f>
        <v/>
      </c>
      <c r="HPC671" t="str">
        <f>IFERROR(VLOOKUP(HPD671,'[3]Raw material  (3)'!HPB653:HPT3729,3,0),"")</f>
        <v/>
      </c>
      <c r="HPD671" t="str">
        <f>IFERROR(VLOOKUP(HPE671,'[3]Raw material  (3)'!HPC653:HPU3729,3,0),"")</f>
        <v/>
      </c>
      <c r="HPE671" t="str">
        <f>IFERROR(VLOOKUP(HPF671,'[3]Raw material  (3)'!HPD653:HPV3729,3,0),"")</f>
        <v/>
      </c>
      <c r="HPF671" t="str">
        <f>IFERROR(VLOOKUP(HPG671,'[3]Raw material  (3)'!HPE653:HPW3729,3,0),"")</f>
        <v/>
      </c>
      <c r="HPG671" t="str">
        <f>IFERROR(VLOOKUP(HPH671,'[3]Raw material  (3)'!HPF653:HPX3729,3,0),"")</f>
        <v/>
      </c>
      <c r="HPH671" t="str">
        <f>IFERROR(VLOOKUP(HPI671,'[3]Raw material  (3)'!HPG653:HPY3729,3,0),"")</f>
        <v/>
      </c>
      <c r="HPI671" t="str">
        <f>IFERROR(VLOOKUP(HPJ671,'[3]Raw material  (3)'!HPH653:HPZ3729,3,0),"")</f>
        <v/>
      </c>
      <c r="HPJ671" t="str">
        <f>IFERROR(VLOOKUP(HPK671,'[3]Raw material  (3)'!HPI653:HQA3729,3,0),"")</f>
        <v/>
      </c>
      <c r="HPK671" t="str">
        <f>IFERROR(VLOOKUP(HPL671,'[3]Raw material  (3)'!HPJ653:HQB3729,3,0),"")</f>
        <v/>
      </c>
      <c r="HPL671" t="str">
        <f>IFERROR(VLOOKUP(HPM671,'[3]Raw material  (3)'!HPK653:HQC3729,3,0),"")</f>
        <v/>
      </c>
      <c r="HPM671" t="str">
        <f>IFERROR(VLOOKUP(HPN671,'[3]Raw material  (3)'!HPL653:HQD3729,3,0),"")</f>
        <v/>
      </c>
      <c r="HPN671" t="str">
        <f>IFERROR(VLOOKUP(HPO671,'[3]Raw material  (3)'!HPM653:HQE3729,3,0),"")</f>
        <v/>
      </c>
      <c r="HPO671" t="str">
        <f>IFERROR(VLOOKUP(HPP671,'[3]Raw material  (3)'!HPN653:HQF3729,3,0),"")</f>
        <v/>
      </c>
      <c r="HPP671" t="str">
        <f>IFERROR(VLOOKUP(HPQ671,'[3]Raw material  (3)'!HPO653:HQG3729,3,0),"")</f>
        <v/>
      </c>
      <c r="HPQ671" t="str">
        <f>IFERROR(VLOOKUP(HPR671,'[3]Raw material  (3)'!HPP653:HQH3729,3,0),"")</f>
        <v/>
      </c>
      <c r="HPR671" t="str">
        <f>IFERROR(VLOOKUP(HPS671,'[3]Raw material  (3)'!HPQ653:HQI3729,3,0),"")</f>
        <v/>
      </c>
      <c r="HPS671" t="str">
        <f>IFERROR(VLOOKUP(HPT671,'[3]Raw material  (3)'!HPR653:HQJ3729,3,0),"")</f>
        <v/>
      </c>
      <c r="HPT671" t="str">
        <f>IFERROR(VLOOKUP(HPU671,'[3]Raw material  (3)'!HPS653:HQK3729,3,0),"")</f>
        <v/>
      </c>
      <c r="HPU671" t="str">
        <f>IFERROR(VLOOKUP(HPV671,'[3]Raw material  (3)'!HPT653:HQL3729,3,0),"")</f>
        <v/>
      </c>
      <c r="HPV671" t="str">
        <f>IFERROR(VLOOKUP(HPW671,'[3]Raw material  (3)'!HPU653:HQM3729,3,0),"")</f>
        <v/>
      </c>
      <c r="HPW671" t="str">
        <f>IFERROR(VLOOKUP(HPX671,'[3]Raw material  (3)'!HPV653:HQN3729,3,0),"")</f>
        <v/>
      </c>
      <c r="HPX671" t="str">
        <f>IFERROR(VLOOKUP(HPY671,'[3]Raw material  (3)'!HPW653:HQO3729,3,0),"")</f>
        <v/>
      </c>
      <c r="HPY671" t="str">
        <f>IFERROR(VLOOKUP(HPZ671,'[3]Raw material  (3)'!HPX653:HQP3729,3,0),"")</f>
        <v/>
      </c>
      <c r="HPZ671" t="str">
        <f>IFERROR(VLOOKUP(HQA671,'[3]Raw material  (3)'!HPY653:HQQ3729,3,0),"")</f>
        <v/>
      </c>
      <c r="HQA671" t="str">
        <f>IFERROR(VLOOKUP(HQB671,'[3]Raw material  (3)'!HPZ653:HQR3729,3,0),"")</f>
        <v/>
      </c>
      <c r="HQB671" t="str">
        <f>IFERROR(VLOOKUP(HQC671,'[3]Raw material  (3)'!HQA653:HQS3729,3,0),"")</f>
        <v/>
      </c>
      <c r="HQC671" t="str">
        <f>IFERROR(VLOOKUP(HQD671,'[3]Raw material  (3)'!HQB653:HQT3729,3,0),"")</f>
        <v/>
      </c>
      <c r="HQD671" t="str">
        <f>IFERROR(VLOOKUP(HQE671,'[3]Raw material  (3)'!HQC653:HQU3729,3,0),"")</f>
        <v/>
      </c>
      <c r="HQE671" t="str">
        <f>IFERROR(VLOOKUP(HQF671,'[3]Raw material  (3)'!HQD653:HQV3729,3,0),"")</f>
        <v/>
      </c>
      <c r="HQF671" t="str">
        <f>IFERROR(VLOOKUP(HQG671,'[3]Raw material  (3)'!HQE653:HQW3729,3,0),"")</f>
        <v/>
      </c>
      <c r="HQG671" t="str">
        <f>IFERROR(VLOOKUP(HQH671,'[3]Raw material  (3)'!HQF653:HQX3729,3,0),"")</f>
        <v/>
      </c>
      <c r="HQH671" t="str">
        <f>IFERROR(VLOOKUP(HQI671,'[3]Raw material  (3)'!HQG653:HQY3729,3,0),"")</f>
        <v/>
      </c>
      <c r="HQI671" t="str">
        <f>IFERROR(VLOOKUP(HQJ671,'[3]Raw material  (3)'!HQH653:HQZ3729,3,0),"")</f>
        <v/>
      </c>
      <c r="HQJ671" t="str">
        <f>IFERROR(VLOOKUP(HQK671,'[3]Raw material  (3)'!HQI653:HRA3729,3,0),"")</f>
        <v/>
      </c>
      <c r="HQK671" t="str">
        <f>IFERROR(VLOOKUP(HQL671,'[3]Raw material  (3)'!HQJ653:HRB3729,3,0),"")</f>
        <v/>
      </c>
      <c r="HQL671" t="str">
        <f>IFERROR(VLOOKUP(HQM671,'[3]Raw material  (3)'!HQK653:HRC3729,3,0),"")</f>
        <v/>
      </c>
      <c r="HQM671" t="str">
        <f>IFERROR(VLOOKUP(HQN671,'[3]Raw material  (3)'!HQL653:HRD3729,3,0),"")</f>
        <v/>
      </c>
      <c r="HQN671" t="str">
        <f>IFERROR(VLOOKUP(HQO671,'[3]Raw material  (3)'!HQM653:HRE3729,3,0),"")</f>
        <v/>
      </c>
      <c r="HQO671" t="str">
        <f>IFERROR(VLOOKUP(HQP671,'[3]Raw material  (3)'!HQN653:HRF3729,3,0),"")</f>
        <v/>
      </c>
      <c r="HQP671" t="str">
        <f>IFERROR(VLOOKUP(HQQ671,'[3]Raw material  (3)'!HQO653:HRG3729,3,0),"")</f>
        <v/>
      </c>
      <c r="HQQ671" t="str">
        <f>IFERROR(VLOOKUP(HQR671,'[3]Raw material  (3)'!HQP653:HRH3729,3,0),"")</f>
        <v/>
      </c>
      <c r="HQR671" t="str">
        <f>IFERROR(VLOOKUP(HQS671,'[3]Raw material  (3)'!HQQ653:HRI3729,3,0),"")</f>
        <v/>
      </c>
      <c r="HQS671" t="str">
        <f>IFERROR(VLOOKUP(HQT671,'[3]Raw material  (3)'!HQR653:HRJ3729,3,0),"")</f>
        <v/>
      </c>
      <c r="HQT671" t="str">
        <f>IFERROR(VLOOKUP(HQU671,'[3]Raw material  (3)'!HQS653:HRK3729,3,0),"")</f>
        <v/>
      </c>
      <c r="HQU671" t="str">
        <f>IFERROR(VLOOKUP(HQV671,'[3]Raw material  (3)'!HQT653:HRL3729,3,0),"")</f>
        <v/>
      </c>
      <c r="HQV671" t="str">
        <f>IFERROR(VLOOKUP(HQW671,'[3]Raw material  (3)'!HQU653:HRM3729,3,0),"")</f>
        <v/>
      </c>
      <c r="HQW671" t="str">
        <f>IFERROR(VLOOKUP(HQX671,'[3]Raw material  (3)'!HQV653:HRN3729,3,0),"")</f>
        <v/>
      </c>
      <c r="HQX671" t="str">
        <f>IFERROR(VLOOKUP(HQY671,'[3]Raw material  (3)'!HQW653:HRO3729,3,0),"")</f>
        <v/>
      </c>
      <c r="HQY671" t="str">
        <f>IFERROR(VLOOKUP(HQZ671,'[3]Raw material  (3)'!HQX653:HRP3729,3,0),"")</f>
        <v/>
      </c>
      <c r="HQZ671" t="str">
        <f>IFERROR(VLOOKUP(HRA671,'[3]Raw material  (3)'!HQY653:HRQ3729,3,0),"")</f>
        <v/>
      </c>
      <c r="HRA671" t="str">
        <f>IFERROR(VLOOKUP(HRB671,'[3]Raw material  (3)'!HQZ653:HRR3729,3,0),"")</f>
        <v/>
      </c>
      <c r="HRB671" t="str">
        <f>IFERROR(VLOOKUP(HRC671,'[3]Raw material  (3)'!HRA653:HRS3729,3,0),"")</f>
        <v/>
      </c>
      <c r="HRC671" t="str">
        <f>IFERROR(VLOOKUP(HRD671,'[3]Raw material  (3)'!HRB653:HRT3729,3,0),"")</f>
        <v/>
      </c>
      <c r="HRD671" t="str">
        <f>IFERROR(VLOOKUP(HRE671,'[3]Raw material  (3)'!HRC653:HRU3729,3,0),"")</f>
        <v/>
      </c>
      <c r="HRE671" t="str">
        <f>IFERROR(VLOOKUP(HRF671,'[3]Raw material  (3)'!HRD653:HRV3729,3,0),"")</f>
        <v/>
      </c>
      <c r="HRF671" t="str">
        <f>IFERROR(VLOOKUP(HRG671,'[3]Raw material  (3)'!HRE653:HRW3729,3,0),"")</f>
        <v/>
      </c>
      <c r="HRG671" t="str">
        <f>IFERROR(VLOOKUP(HRH671,'[3]Raw material  (3)'!HRF653:HRX3729,3,0),"")</f>
        <v/>
      </c>
      <c r="HRH671" t="str">
        <f>IFERROR(VLOOKUP(HRI671,'[3]Raw material  (3)'!HRG653:HRY3729,3,0),"")</f>
        <v/>
      </c>
      <c r="HRI671" t="str">
        <f>IFERROR(VLOOKUP(HRJ671,'[3]Raw material  (3)'!HRH653:HRZ3729,3,0),"")</f>
        <v/>
      </c>
      <c r="HRJ671" t="str">
        <f>IFERROR(VLOOKUP(HRK671,'[3]Raw material  (3)'!HRI653:HSA3729,3,0),"")</f>
        <v/>
      </c>
      <c r="HRK671" t="str">
        <f>IFERROR(VLOOKUP(HRL671,'[3]Raw material  (3)'!HRJ653:HSB3729,3,0),"")</f>
        <v/>
      </c>
      <c r="HRL671" t="str">
        <f>IFERROR(VLOOKUP(HRM671,'[3]Raw material  (3)'!HRK653:HSC3729,3,0),"")</f>
        <v/>
      </c>
      <c r="HRM671" t="str">
        <f>IFERROR(VLOOKUP(HRN671,'[3]Raw material  (3)'!HRL653:HSD3729,3,0),"")</f>
        <v/>
      </c>
      <c r="HRN671" t="str">
        <f>IFERROR(VLOOKUP(HRO671,'[3]Raw material  (3)'!HRM653:HSE3729,3,0),"")</f>
        <v/>
      </c>
      <c r="HRO671" t="str">
        <f>IFERROR(VLOOKUP(HRP671,'[3]Raw material  (3)'!HRN653:HSF3729,3,0),"")</f>
        <v/>
      </c>
      <c r="HRP671" t="str">
        <f>IFERROR(VLOOKUP(HRQ671,'[3]Raw material  (3)'!HRO653:HSG3729,3,0),"")</f>
        <v/>
      </c>
      <c r="HRQ671" t="str">
        <f>IFERROR(VLOOKUP(HRR671,'[3]Raw material  (3)'!HRP653:HSH3729,3,0),"")</f>
        <v/>
      </c>
      <c r="HRR671" t="str">
        <f>IFERROR(VLOOKUP(HRS671,'[3]Raw material  (3)'!HRQ653:HSI3729,3,0),"")</f>
        <v/>
      </c>
      <c r="HRS671" t="str">
        <f>IFERROR(VLOOKUP(HRT671,'[3]Raw material  (3)'!HRR653:HSJ3729,3,0),"")</f>
        <v/>
      </c>
      <c r="HRT671" t="str">
        <f>IFERROR(VLOOKUP(HRU671,'[3]Raw material  (3)'!HRS653:HSK3729,3,0),"")</f>
        <v/>
      </c>
      <c r="HRU671" t="str">
        <f>IFERROR(VLOOKUP(HRV671,'[3]Raw material  (3)'!HRT653:HSL3729,3,0),"")</f>
        <v/>
      </c>
      <c r="HRV671" t="str">
        <f>IFERROR(VLOOKUP(HRW671,'[3]Raw material  (3)'!HRU653:HSM3729,3,0),"")</f>
        <v/>
      </c>
      <c r="HRW671" t="str">
        <f>IFERROR(VLOOKUP(HRX671,'[3]Raw material  (3)'!HRV653:HSN3729,3,0),"")</f>
        <v/>
      </c>
      <c r="HRX671" t="str">
        <f>IFERROR(VLOOKUP(HRY671,'[3]Raw material  (3)'!HRW653:HSO3729,3,0),"")</f>
        <v/>
      </c>
      <c r="HRY671" t="str">
        <f>IFERROR(VLOOKUP(HRZ671,'[3]Raw material  (3)'!HRX653:HSP3729,3,0),"")</f>
        <v/>
      </c>
      <c r="HRZ671" t="str">
        <f>IFERROR(VLOOKUP(HSA671,'[3]Raw material  (3)'!HRY653:HSQ3729,3,0),"")</f>
        <v/>
      </c>
      <c r="HSA671" t="str">
        <f>IFERROR(VLOOKUP(HSB671,'[3]Raw material  (3)'!HRZ653:HSR3729,3,0),"")</f>
        <v/>
      </c>
      <c r="HSB671" t="str">
        <f>IFERROR(VLOOKUP(HSC671,'[3]Raw material  (3)'!HSA653:HSS3729,3,0),"")</f>
        <v/>
      </c>
      <c r="HSC671" t="str">
        <f>IFERROR(VLOOKUP(HSD671,'[3]Raw material  (3)'!HSB653:HST3729,3,0),"")</f>
        <v/>
      </c>
      <c r="HSD671" t="str">
        <f>IFERROR(VLOOKUP(HSE671,'[3]Raw material  (3)'!HSC653:HSU3729,3,0),"")</f>
        <v/>
      </c>
      <c r="HSE671" t="str">
        <f>IFERROR(VLOOKUP(HSF671,'[3]Raw material  (3)'!HSD653:HSV3729,3,0),"")</f>
        <v/>
      </c>
      <c r="HSF671" t="str">
        <f>IFERROR(VLOOKUP(HSG671,'[3]Raw material  (3)'!HSE653:HSW3729,3,0),"")</f>
        <v/>
      </c>
      <c r="HSG671" t="str">
        <f>IFERROR(VLOOKUP(HSH671,'[3]Raw material  (3)'!HSF653:HSX3729,3,0),"")</f>
        <v/>
      </c>
      <c r="HSH671" t="str">
        <f>IFERROR(VLOOKUP(HSI671,'[3]Raw material  (3)'!HSG653:HSY3729,3,0),"")</f>
        <v/>
      </c>
      <c r="HSI671" t="str">
        <f>IFERROR(VLOOKUP(HSJ671,'[3]Raw material  (3)'!HSH653:HSZ3729,3,0),"")</f>
        <v/>
      </c>
      <c r="HSJ671" t="str">
        <f>IFERROR(VLOOKUP(HSK671,'[3]Raw material  (3)'!HSI653:HTA3729,3,0),"")</f>
        <v/>
      </c>
      <c r="HSK671" t="str">
        <f>IFERROR(VLOOKUP(HSL671,'[3]Raw material  (3)'!HSJ653:HTB3729,3,0),"")</f>
        <v/>
      </c>
      <c r="HSL671" t="str">
        <f>IFERROR(VLOOKUP(HSM671,'[3]Raw material  (3)'!HSK653:HTC3729,3,0),"")</f>
        <v/>
      </c>
      <c r="HSM671" t="str">
        <f>IFERROR(VLOOKUP(HSN671,'[3]Raw material  (3)'!HSL653:HTD3729,3,0),"")</f>
        <v/>
      </c>
      <c r="HSN671" t="str">
        <f>IFERROR(VLOOKUP(HSO671,'[3]Raw material  (3)'!HSM653:HTE3729,3,0),"")</f>
        <v/>
      </c>
      <c r="HSO671" t="str">
        <f>IFERROR(VLOOKUP(HSP671,'[3]Raw material  (3)'!HSN653:HTF3729,3,0),"")</f>
        <v/>
      </c>
      <c r="HSP671" t="str">
        <f>IFERROR(VLOOKUP(HSQ671,'[3]Raw material  (3)'!HSO653:HTG3729,3,0),"")</f>
        <v/>
      </c>
      <c r="HSQ671" t="str">
        <f>IFERROR(VLOOKUP(HSR671,'[3]Raw material  (3)'!HSP653:HTH3729,3,0),"")</f>
        <v/>
      </c>
      <c r="HSR671" t="str">
        <f>IFERROR(VLOOKUP(HSS671,'[3]Raw material  (3)'!HSQ653:HTI3729,3,0),"")</f>
        <v/>
      </c>
      <c r="HSS671" t="str">
        <f>IFERROR(VLOOKUP(HST671,'[3]Raw material  (3)'!HSR653:HTJ3729,3,0),"")</f>
        <v/>
      </c>
      <c r="HST671" t="str">
        <f>IFERROR(VLOOKUP(HSU671,'[3]Raw material  (3)'!HSS653:HTK3729,3,0),"")</f>
        <v/>
      </c>
      <c r="HSU671" t="str">
        <f>IFERROR(VLOOKUP(HSV671,'[3]Raw material  (3)'!HST653:HTL3729,3,0),"")</f>
        <v/>
      </c>
      <c r="HSV671" t="str">
        <f>IFERROR(VLOOKUP(HSW671,'[3]Raw material  (3)'!HSU653:HTM3729,3,0),"")</f>
        <v/>
      </c>
      <c r="HSW671" t="str">
        <f>IFERROR(VLOOKUP(HSX671,'[3]Raw material  (3)'!HSV653:HTN3729,3,0),"")</f>
        <v/>
      </c>
      <c r="HSX671" t="str">
        <f>IFERROR(VLOOKUP(HSY671,'[3]Raw material  (3)'!HSW653:HTO3729,3,0),"")</f>
        <v/>
      </c>
      <c r="HSY671" t="str">
        <f>IFERROR(VLOOKUP(HSZ671,'[3]Raw material  (3)'!HSX653:HTP3729,3,0),"")</f>
        <v/>
      </c>
      <c r="HSZ671" t="str">
        <f>IFERROR(VLOOKUP(HTA671,'[3]Raw material  (3)'!HSY653:HTQ3729,3,0),"")</f>
        <v/>
      </c>
      <c r="HTA671" t="str">
        <f>IFERROR(VLOOKUP(HTB671,'[3]Raw material  (3)'!HSZ653:HTR3729,3,0),"")</f>
        <v/>
      </c>
      <c r="HTB671" t="str">
        <f>IFERROR(VLOOKUP(HTC671,'[3]Raw material  (3)'!HTA653:HTS3729,3,0),"")</f>
        <v/>
      </c>
      <c r="HTC671" t="str">
        <f>IFERROR(VLOOKUP(HTD671,'[3]Raw material  (3)'!HTB653:HTT3729,3,0),"")</f>
        <v/>
      </c>
      <c r="HTD671" t="str">
        <f>IFERROR(VLOOKUP(HTE671,'[3]Raw material  (3)'!HTC653:HTU3729,3,0),"")</f>
        <v/>
      </c>
      <c r="HTE671" t="str">
        <f>IFERROR(VLOOKUP(HTF671,'[3]Raw material  (3)'!HTD653:HTV3729,3,0),"")</f>
        <v/>
      </c>
      <c r="HTF671" t="str">
        <f>IFERROR(VLOOKUP(HTG671,'[3]Raw material  (3)'!HTE653:HTW3729,3,0),"")</f>
        <v/>
      </c>
      <c r="HTG671" t="str">
        <f>IFERROR(VLOOKUP(HTH671,'[3]Raw material  (3)'!HTF653:HTX3729,3,0),"")</f>
        <v/>
      </c>
      <c r="HTH671" t="str">
        <f>IFERROR(VLOOKUP(HTI671,'[3]Raw material  (3)'!HTG653:HTY3729,3,0),"")</f>
        <v/>
      </c>
      <c r="HTI671" t="str">
        <f>IFERROR(VLOOKUP(HTJ671,'[3]Raw material  (3)'!HTH653:HTZ3729,3,0),"")</f>
        <v/>
      </c>
      <c r="HTJ671" t="str">
        <f>IFERROR(VLOOKUP(HTK671,'[3]Raw material  (3)'!HTI653:HUA3729,3,0),"")</f>
        <v/>
      </c>
      <c r="HTK671" t="str">
        <f>IFERROR(VLOOKUP(HTL671,'[3]Raw material  (3)'!HTJ653:HUB3729,3,0),"")</f>
        <v/>
      </c>
      <c r="HTL671" t="str">
        <f>IFERROR(VLOOKUP(HTM671,'[3]Raw material  (3)'!HTK653:HUC3729,3,0),"")</f>
        <v/>
      </c>
      <c r="HTM671" t="str">
        <f>IFERROR(VLOOKUP(HTN671,'[3]Raw material  (3)'!HTL653:HUD3729,3,0),"")</f>
        <v/>
      </c>
      <c r="HTN671" t="str">
        <f>IFERROR(VLOOKUP(HTO671,'[3]Raw material  (3)'!HTM653:HUE3729,3,0),"")</f>
        <v/>
      </c>
      <c r="HTO671" t="str">
        <f>IFERROR(VLOOKUP(HTP671,'[3]Raw material  (3)'!HTN653:HUF3729,3,0),"")</f>
        <v/>
      </c>
      <c r="HTP671" t="str">
        <f>IFERROR(VLOOKUP(HTQ671,'[3]Raw material  (3)'!HTO653:HUG3729,3,0),"")</f>
        <v/>
      </c>
      <c r="HTQ671" t="str">
        <f>IFERROR(VLOOKUP(HTR671,'[3]Raw material  (3)'!HTP653:HUH3729,3,0),"")</f>
        <v/>
      </c>
      <c r="HTR671" t="str">
        <f>IFERROR(VLOOKUP(HTS671,'[3]Raw material  (3)'!HTQ653:HUI3729,3,0),"")</f>
        <v/>
      </c>
      <c r="HTS671" t="str">
        <f>IFERROR(VLOOKUP(HTT671,'[3]Raw material  (3)'!HTR653:HUJ3729,3,0),"")</f>
        <v/>
      </c>
      <c r="HTT671" t="str">
        <f>IFERROR(VLOOKUP(HTU671,'[3]Raw material  (3)'!HTS653:HUK3729,3,0),"")</f>
        <v/>
      </c>
      <c r="HTU671" t="str">
        <f>IFERROR(VLOOKUP(HTV671,'[3]Raw material  (3)'!HTT653:HUL3729,3,0),"")</f>
        <v/>
      </c>
      <c r="HTV671" t="str">
        <f>IFERROR(VLOOKUP(HTW671,'[3]Raw material  (3)'!HTU653:HUM3729,3,0),"")</f>
        <v/>
      </c>
      <c r="HTW671" t="str">
        <f>IFERROR(VLOOKUP(HTX671,'[3]Raw material  (3)'!HTV653:HUN3729,3,0),"")</f>
        <v/>
      </c>
      <c r="HTX671" t="str">
        <f>IFERROR(VLOOKUP(HTY671,'[3]Raw material  (3)'!HTW653:HUO3729,3,0),"")</f>
        <v/>
      </c>
      <c r="HTY671" t="str">
        <f>IFERROR(VLOOKUP(HTZ671,'[3]Raw material  (3)'!HTX653:HUP3729,3,0),"")</f>
        <v/>
      </c>
      <c r="HTZ671" t="str">
        <f>IFERROR(VLOOKUP(HUA671,'[3]Raw material  (3)'!HTY653:HUQ3729,3,0),"")</f>
        <v/>
      </c>
      <c r="HUA671" t="str">
        <f>IFERROR(VLOOKUP(HUB671,'[3]Raw material  (3)'!HTZ653:HUR3729,3,0),"")</f>
        <v/>
      </c>
      <c r="HUB671" t="str">
        <f>IFERROR(VLOOKUP(HUC671,'[3]Raw material  (3)'!HUA653:HUS3729,3,0),"")</f>
        <v/>
      </c>
      <c r="HUC671" t="str">
        <f>IFERROR(VLOOKUP(HUD671,'[3]Raw material  (3)'!HUB653:HUT3729,3,0),"")</f>
        <v/>
      </c>
      <c r="HUD671" t="str">
        <f>IFERROR(VLOOKUP(HUE671,'[3]Raw material  (3)'!HUC653:HUU3729,3,0),"")</f>
        <v/>
      </c>
      <c r="HUE671" t="str">
        <f>IFERROR(VLOOKUP(HUF671,'[3]Raw material  (3)'!HUD653:HUV3729,3,0),"")</f>
        <v/>
      </c>
      <c r="HUF671" t="str">
        <f>IFERROR(VLOOKUP(HUG671,'[3]Raw material  (3)'!HUE653:HUW3729,3,0),"")</f>
        <v/>
      </c>
      <c r="HUG671" t="str">
        <f>IFERROR(VLOOKUP(HUH671,'[3]Raw material  (3)'!HUF653:HUX3729,3,0),"")</f>
        <v/>
      </c>
      <c r="HUH671" t="str">
        <f>IFERROR(VLOOKUP(HUI671,'[3]Raw material  (3)'!HUG653:HUY3729,3,0),"")</f>
        <v/>
      </c>
      <c r="HUI671" t="str">
        <f>IFERROR(VLOOKUP(HUJ671,'[3]Raw material  (3)'!HUH653:HUZ3729,3,0),"")</f>
        <v/>
      </c>
      <c r="HUJ671" t="str">
        <f>IFERROR(VLOOKUP(HUK671,'[3]Raw material  (3)'!HUI653:HVA3729,3,0),"")</f>
        <v/>
      </c>
      <c r="HUK671" t="str">
        <f>IFERROR(VLOOKUP(HUL671,'[3]Raw material  (3)'!HUJ653:HVB3729,3,0),"")</f>
        <v/>
      </c>
      <c r="HUL671" t="str">
        <f>IFERROR(VLOOKUP(HUM671,'[3]Raw material  (3)'!HUK653:HVC3729,3,0),"")</f>
        <v/>
      </c>
      <c r="HUM671" t="str">
        <f>IFERROR(VLOOKUP(HUN671,'[3]Raw material  (3)'!HUL653:HVD3729,3,0),"")</f>
        <v/>
      </c>
      <c r="HUN671" t="str">
        <f>IFERROR(VLOOKUP(HUO671,'[3]Raw material  (3)'!HUM653:HVE3729,3,0),"")</f>
        <v/>
      </c>
      <c r="HUO671" t="str">
        <f>IFERROR(VLOOKUP(HUP671,'[3]Raw material  (3)'!HUN653:HVF3729,3,0),"")</f>
        <v/>
      </c>
      <c r="HUP671" t="str">
        <f>IFERROR(VLOOKUP(HUQ671,'[3]Raw material  (3)'!HUO653:HVG3729,3,0),"")</f>
        <v/>
      </c>
      <c r="HUQ671" t="str">
        <f>IFERROR(VLOOKUP(HUR671,'[3]Raw material  (3)'!HUP653:HVH3729,3,0),"")</f>
        <v/>
      </c>
      <c r="HUR671" t="str">
        <f>IFERROR(VLOOKUP(HUS671,'[3]Raw material  (3)'!HUQ653:HVI3729,3,0),"")</f>
        <v/>
      </c>
      <c r="HUS671" t="str">
        <f>IFERROR(VLOOKUP(HUT671,'[3]Raw material  (3)'!HUR653:HVJ3729,3,0),"")</f>
        <v/>
      </c>
      <c r="HUT671" t="str">
        <f>IFERROR(VLOOKUP(HUU671,'[3]Raw material  (3)'!HUS653:HVK3729,3,0),"")</f>
        <v/>
      </c>
      <c r="HUU671" t="str">
        <f>IFERROR(VLOOKUP(HUV671,'[3]Raw material  (3)'!HUT653:HVL3729,3,0),"")</f>
        <v/>
      </c>
      <c r="HUV671" t="str">
        <f>IFERROR(VLOOKUP(HUW671,'[3]Raw material  (3)'!HUU653:HVM3729,3,0),"")</f>
        <v/>
      </c>
      <c r="HUW671" t="str">
        <f>IFERROR(VLOOKUP(HUX671,'[3]Raw material  (3)'!HUV653:HVN3729,3,0),"")</f>
        <v/>
      </c>
      <c r="HUX671" t="str">
        <f>IFERROR(VLOOKUP(HUY671,'[3]Raw material  (3)'!HUW653:HVO3729,3,0),"")</f>
        <v/>
      </c>
      <c r="HUY671" t="str">
        <f>IFERROR(VLOOKUP(HUZ671,'[3]Raw material  (3)'!HUX653:HVP3729,3,0),"")</f>
        <v/>
      </c>
      <c r="HUZ671" t="str">
        <f>IFERROR(VLOOKUP(HVA671,'[3]Raw material  (3)'!HUY653:HVQ3729,3,0),"")</f>
        <v/>
      </c>
      <c r="HVA671" t="str">
        <f>IFERROR(VLOOKUP(HVB671,'[3]Raw material  (3)'!HUZ653:HVR3729,3,0),"")</f>
        <v/>
      </c>
      <c r="HVB671" t="str">
        <f>IFERROR(VLOOKUP(HVC671,'[3]Raw material  (3)'!HVA653:HVS3729,3,0),"")</f>
        <v/>
      </c>
      <c r="HVC671" t="str">
        <f>IFERROR(VLOOKUP(HVD671,'[3]Raw material  (3)'!HVB653:HVT3729,3,0),"")</f>
        <v/>
      </c>
      <c r="HVD671" t="str">
        <f>IFERROR(VLOOKUP(HVE671,'[3]Raw material  (3)'!HVC653:HVU3729,3,0),"")</f>
        <v/>
      </c>
      <c r="HVE671" t="str">
        <f>IFERROR(VLOOKUP(HVF671,'[3]Raw material  (3)'!HVD653:HVV3729,3,0),"")</f>
        <v/>
      </c>
      <c r="HVF671" t="str">
        <f>IFERROR(VLOOKUP(HVG671,'[3]Raw material  (3)'!HVE653:HVW3729,3,0),"")</f>
        <v/>
      </c>
      <c r="HVG671" t="str">
        <f>IFERROR(VLOOKUP(HVH671,'[3]Raw material  (3)'!HVF653:HVX3729,3,0),"")</f>
        <v/>
      </c>
      <c r="HVH671" t="str">
        <f>IFERROR(VLOOKUP(HVI671,'[3]Raw material  (3)'!HVG653:HVY3729,3,0),"")</f>
        <v/>
      </c>
      <c r="HVI671" t="str">
        <f>IFERROR(VLOOKUP(HVJ671,'[3]Raw material  (3)'!HVH653:HVZ3729,3,0),"")</f>
        <v/>
      </c>
      <c r="HVJ671" t="str">
        <f>IFERROR(VLOOKUP(HVK671,'[3]Raw material  (3)'!HVI653:HWA3729,3,0),"")</f>
        <v/>
      </c>
      <c r="HVK671" t="str">
        <f>IFERROR(VLOOKUP(HVL671,'[3]Raw material  (3)'!HVJ653:HWB3729,3,0),"")</f>
        <v/>
      </c>
      <c r="HVL671" t="str">
        <f>IFERROR(VLOOKUP(HVM671,'[3]Raw material  (3)'!HVK653:HWC3729,3,0),"")</f>
        <v/>
      </c>
      <c r="HVM671" t="str">
        <f>IFERROR(VLOOKUP(HVN671,'[3]Raw material  (3)'!HVL653:HWD3729,3,0),"")</f>
        <v/>
      </c>
      <c r="HVN671" t="str">
        <f>IFERROR(VLOOKUP(HVO671,'[3]Raw material  (3)'!HVM653:HWE3729,3,0),"")</f>
        <v/>
      </c>
      <c r="HVO671" t="str">
        <f>IFERROR(VLOOKUP(HVP671,'[3]Raw material  (3)'!HVN653:HWF3729,3,0),"")</f>
        <v/>
      </c>
      <c r="HVP671" t="str">
        <f>IFERROR(VLOOKUP(HVQ671,'[3]Raw material  (3)'!HVO653:HWG3729,3,0),"")</f>
        <v/>
      </c>
      <c r="HVQ671" t="str">
        <f>IFERROR(VLOOKUP(HVR671,'[3]Raw material  (3)'!HVP653:HWH3729,3,0),"")</f>
        <v/>
      </c>
      <c r="HVR671" t="str">
        <f>IFERROR(VLOOKUP(HVS671,'[3]Raw material  (3)'!HVQ653:HWI3729,3,0),"")</f>
        <v/>
      </c>
      <c r="HVS671" t="str">
        <f>IFERROR(VLOOKUP(HVT671,'[3]Raw material  (3)'!HVR653:HWJ3729,3,0),"")</f>
        <v/>
      </c>
      <c r="HVT671" t="str">
        <f>IFERROR(VLOOKUP(HVU671,'[3]Raw material  (3)'!HVS653:HWK3729,3,0),"")</f>
        <v/>
      </c>
      <c r="HVU671" t="str">
        <f>IFERROR(VLOOKUP(HVV671,'[3]Raw material  (3)'!HVT653:HWL3729,3,0),"")</f>
        <v/>
      </c>
      <c r="HVV671" t="str">
        <f>IFERROR(VLOOKUP(HVW671,'[3]Raw material  (3)'!HVU653:HWM3729,3,0),"")</f>
        <v/>
      </c>
      <c r="HVW671" t="str">
        <f>IFERROR(VLOOKUP(HVX671,'[3]Raw material  (3)'!HVV653:HWN3729,3,0),"")</f>
        <v/>
      </c>
      <c r="HVX671" t="str">
        <f>IFERROR(VLOOKUP(HVY671,'[3]Raw material  (3)'!HVW653:HWO3729,3,0),"")</f>
        <v/>
      </c>
      <c r="HVY671" t="str">
        <f>IFERROR(VLOOKUP(HVZ671,'[3]Raw material  (3)'!HVX653:HWP3729,3,0),"")</f>
        <v/>
      </c>
      <c r="HVZ671" t="str">
        <f>IFERROR(VLOOKUP(HWA671,'[3]Raw material  (3)'!HVY653:HWQ3729,3,0),"")</f>
        <v/>
      </c>
      <c r="HWA671" t="str">
        <f>IFERROR(VLOOKUP(HWB671,'[3]Raw material  (3)'!HVZ653:HWR3729,3,0),"")</f>
        <v/>
      </c>
      <c r="HWB671" t="str">
        <f>IFERROR(VLOOKUP(HWC671,'[3]Raw material  (3)'!HWA653:HWS3729,3,0),"")</f>
        <v/>
      </c>
      <c r="HWC671" t="str">
        <f>IFERROR(VLOOKUP(HWD671,'[3]Raw material  (3)'!HWB653:HWT3729,3,0),"")</f>
        <v/>
      </c>
      <c r="HWD671" t="str">
        <f>IFERROR(VLOOKUP(HWE671,'[3]Raw material  (3)'!HWC653:HWU3729,3,0),"")</f>
        <v/>
      </c>
      <c r="HWE671" t="str">
        <f>IFERROR(VLOOKUP(HWF671,'[3]Raw material  (3)'!HWD653:HWV3729,3,0),"")</f>
        <v/>
      </c>
      <c r="HWF671" t="str">
        <f>IFERROR(VLOOKUP(HWG671,'[3]Raw material  (3)'!HWE653:HWW3729,3,0),"")</f>
        <v/>
      </c>
      <c r="HWG671" t="str">
        <f>IFERROR(VLOOKUP(HWH671,'[3]Raw material  (3)'!HWF653:HWX3729,3,0),"")</f>
        <v/>
      </c>
      <c r="HWH671" t="str">
        <f>IFERROR(VLOOKUP(HWI671,'[3]Raw material  (3)'!HWG653:HWY3729,3,0),"")</f>
        <v/>
      </c>
      <c r="HWI671" t="str">
        <f>IFERROR(VLOOKUP(HWJ671,'[3]Raw material  (3)'!HWH653:HWZ3729,3,0),"")</f>
        <v/>
      </c>
      <c r="HWJ671" t="str">
        <f>IFERROR(VLOOKUP(HWK671,'[3]Raw material  (3)'!HWI653:HXA3729,3,0),"")</f>
        <v/>
      </c>
      <c r="HWK671" t="str">
        <f>IFERROR(VLOOKUP(HWL671,'[3]Raw material  (3)'!HWJ653:HXB3729,3,0),"")</f>
        <v/>
      </c>
      <c r="HWL671" t="str">
        <f>IFERROR(VLOOKUP(HWM671,'[3]Raw material  (3)'!HWK653:HXC3729,3,0),"")</f>
        <v/>
      </c>
      <c r="HWM671" t="str">
        <f>IFERROR(VLOOKUP(HWN671,'[3]Raw material  (3)'!HWL653:HXD3729,3,0),"")</f>
        <v/>
      </c>
      <c r="HWN671" t="str">
        <f>IFERROR(VLOOKUP(HWO671,'[3]Raw material  (3)'!HWM653:HXE3729,3,0),"")</f>
        <v/>
      </c>
      <c r="HWO671" t="str">
        <f>IFERROR(VLOOKUP(HWP671,'[3]Raw material  (3)'!HWN653:HXF3729,3,0),"")</f>
        <v/>
      </c>
      <c r="HWP671" t="str">
        <f>IFERROR(VLOOKUP(HWQ671,'[3]Raw material  (3)'!HWO653:HXG3729,3,0),"")</f>
        <v/>
      </c>
      <c r="HWQ671" t="str">
        <f>IFERROR(VLOOKUP(HWR671,'[3]Raw material  (3)'!HWP653:HXH3729,3,0),"")</f>
        <v/>
      </c>
      <c r="HWR671" t="str">
        <f>IFERROR(VLOOKUP(HWS671,'[3]Raw material  (3)'!HWQ653:HXI3729,3,0),"")</f>
        <v/>
      </c>
      <c r="HWS671" t="str">
        <f>IFERROR(VLOOKUP(HWT671,'[3]Raw material  (3)'!HWR653:HXJ3729,3,0),"")</f>
        <v/>
      </c>
      <c r="HWT671" t="str">
        <f>IFERROR(VLOOKUP(HWU671,'[3]Raw material  (3)'!HWS653:HXK3729,3,0),"")</f>
        <v/>
      </c>
      <c r="HWU671" t="str">
        <f>IFERROR(VLOOKUP(HWV671,'[3]Raw material  (3)'!HWT653:HXL3729,3,0),"")</f>
        <v/>
      </c>
      <c r="HWV671" t="str">
        <f>IFERROR(VLOOKUP(HWW671,'[3]Raw material  (3)'!HWU653:HXM3729,3,0),"")</f>
        <v/>
      </c>
      <c r="HWW671" t="str">
        <f>IFERROR(VLOOKUP(HWX671,'[3]Raw material  (3)'!HWV653:HXN3729,3,0),"")</f>
        <v/>
      </c>
      <c r="HWX671" t="str">
        <f>IFERROR(VLOOKUP(HWY671,'[3]Raw material  (3)'!HWW653:HXO3729,3,0),"")</f>
        <v/>
      </c>
      <c r="HWY671" t="str">
        <f>IFERROR(VLOOKUP(HWZ671,'[3]Raw material  (3)'!HWX653:HXP3729,3,0),"")</f>
        <v/>
      </c>
      <c r="HWZ671" t="str">
        <f>IFERROR(VLOOKUP(HXA671,'[3]Raw material  (3)'!HWY653:HXQ3729,3,0),"")</f>
        <v/>
      </c>
      <c r="HXA671" t="str">
        <f>IFERROR(VLOOKUP(HXB671,'[3]Raw material  (3)'!HWZ653:HXR3729,3,0),"")</f>
        <v/>
      </c>
      <c r="HXB671" t="str">
        <f>IFERROR(VLOOKUP(HXC671,'[3]Raw material  (3)'!HXA653:HXS3729,3,0),"")</f>
        <v/>
      </c>
      <c r="HXC671" t="str">
        <f>IFERROR(VLOOKUP(HXD671,'[3]Raw material  (3)'!HXB653:HXT3729,3,0),"")</f>
        <v/>
      </c>
      <c r="HXD671" t="str">
        <f>IFERROR(VLOOKUP(HXE671,'[3]Raw material  (3)'!HXC653:HXU3729,3,0),"")</f>
        <v/>
      </c>
      <c r="HXE671" t="str">
        <f>IFERROR(VLOOKUP(HXF671,'[3]Raw material  (3)'!HXD653:HXV3729,3,0),"")</f>
        <v/>
      </c>
      <c r="HXF671" t="str">
        <f>IFERROR(VLOOKUP(HXG671,'[3]Raw material  (3)'!HXE653:HXW3729,3,0),"")</f>
        <v/>
      </c>
      <c r="HXG671" t="str">
        <f>IFERROR(VLOOKUP(HXH671,'[3]Raw material  (3)'!HXF653:HXX3729,3,0),"")</f>
        <v/>
      </c>
      <c r="HXH671" t="str">
        <f>IFERROR(VLOOKUP(HXI671,'[3]Raw material  (3)'!HXG653:HXY3729,3,0),"")</f>
        <v/>
      </c>
      <c r="HXI671" t="str">
        <f>IFERROR(VLOOKUP(HXJ671,'[3]Raw material  (3)'!HXH653:HXZ3729,3,0),"")</f>
        <v/>
      </c>
      <c r="HXJ671" t="str">
        <f>IFERROR(VLOOKUP(HXK671,'[3]Raw material  (3)'!HXI653:HYA3729,3,0),"")</f>
        <v/>
      </c>
      <c r="HXK671" t="str">
        <f>IFERROR(VLOOKUP(HXL671,'[3]Raw material  (3)'!HXJ653:HYB3729,3,0),"")</f>
        <v/>
      </c>
      <c r="HXL671" t="str">
        <f>IFERROR(VLOOKUP(HXM671,'[3]Raw material  (3)'!HXK653:HYC3729,3,0),"")</f>
        <v/>
      </c>
      <c r="HXM671" t="str">
        <f>IFERROR(VLOOKUP(HXN671,'[3]Raw material  (3)'!HXL653:HYD3729,3,0),"")</f>
        <v/>
      </c>
      <c r="HXN671" t="str">
        <f>IFERROR(VLOOKUP(HXO671,'[3]Raw material  (3)'!HXM653:HYE3729,3,0),"")</f>
        <v/>
      </c>
      <c r="HXO671" t="str">
        <f>IFERROR(VLOOKUP(HXP671,'[3]Raw material  (3)'!HXN653:HYF3729,3,0),"")</f>
        <v/>
      </c>
      <c r="HXP671" t="str">
        <f>IFERROR(VLOOKUP(HXQ671,'[3]Raw material  (3)'!HXO653:HYG3729,3,0),"")</f>
        <v/>
      </c>
      <c r="HXQ671" t="str">
        <f>IFERROR(VLOOKUP(HXR671,'[3]Raw material  (3)'!HXP653:HYH3729,3,0),"")</f>
        <v/>
      </c>
      <c r="HXR671" t="str">
        <f>IFERROR(VLOOKUP(HXS671,'[3]Raw material  (3)'!HXQ653:HYI3729,3,0),"")</f>
        <v/>
      </c>
      <c r="HXS671" t="str">
        <f>IFERROR(VLOOKUP(HXT671,'[3]Raw material  (3)'!HXR653:HYJ3729,3,0),"")</f>
        <v/>
      </c>
      <c r="HXT671" t="str">
        <f>IFERROR(VLOOKUP(HXU671,'[3]Raw material  (3)'!HXS653:HYK3729,3,0),"")</f>
        <v/>
      </c>
      <c r="HXU671" t="str">
        <f>IFERROR(VLOOKUP(HXV671,'[3]Raw material  (3)'!HXT653:HYL3729,3,0),"")</f>
        <v/>
      </c>
      <c r="HXV671" t="str">
        <f>IFERROR(VLOOKUP(HXW671,'[3]Raw material  (3)'!HXU653:HYM3729,3,0),"")</f>
        <v/>
      </c>
      <c r="HXW671" t="str">
        <f>IFERROR(VLOOKUP(HXX671,'[3]Raw material  (3)'!HXV653:HYN3729,3,0),"")</f>
        <v/>
      </c>
      <c r="HXX671" t="str">
        <f>IFERROR(VLOOKUP(HXY671,'[3]Raw material  (3)'!HXW653:HYO3729,3,0),"")</f>
        <v/>
      </c>
      <c r="HXY671" t="str">
        <f>IFERROR(VLOOKUP(HXZ671,'[3]Raw material  (3)'!HXX653:HYP3729,3,0),"")</f>
        <v/>
      </c>
      <c r="HXZ671" t="str">
        <f>IFERROR(VLOOKUP(HYA671,'[3]Raw material  (3)'!HXY653:HYQ3729,3,0),"")</f>
        <v/>
      </c>
      <c r="HYA671" t="str">
        <f>IFERROR(VLOOKUP(HYB671,'[3]Raw material  (3)'!HXZ653:HYR3729,3,0),"")</f>
        <v/>
      </c>
      <c r="HYB671" t="str">
        <f>IFERROR(VLOOKUP(HYC671,'[3]Raw material  (3)'!HYA653:HYS3729,3,0),"")</f>
        <v/>
      </c>
      <c r="HYC671" t="str">
        <f>IFERROR(VLOOKUP(HYD671,'[3]Raw material  (3)'!HYB653:HYT3729,3,0),"")</f>
        <v/>
      </c>
      <c r="HYD671" t="str">
        <f>IFERROR(VLOOKUP(HYE671,'[3]Raw material  (3)'!HYC653:HYU3729,3,0),"")</f>
        <v/>
      </c>
      <c r="HYE671" t="str">
        <f>IFERROR(VLOOKUP(HYF671,'[3]Raw material  (3)'!HYD653:HYV3729,3,0),"")</f>
        <v/>
      </c>
      <c r="HYF671" t="str">
        <f>IFERROR(VLOOKUP(HYG671,'[3]Raw material  (3)'!HYE653:HYW3729,3,0),"")</f>
        <v/>
      </c>
      <c r="HYG671" t="str">
        <f>IFERROR(VLOOKUP(HYH671,'[3]Raw material  (3)'!HYF653:HYX3729,3,0),"")</f>
        <v/>
      </c>
      <c r="HYH671" t="str">
        <f>IFERROR(VLOOKUP(HYI671,'[3]Raw material  (3)'!HYG653:HYY3729,3,0),"")</f>
        <v/>
      </c>
      <c r="HYI671" t="str">
        <f>IFERROR(VLOOKUP(HYJ671,'[3]Raw material  (3)'!HYH653:HYZ3729,3,0),"")</f>
        <v/>
      </c>
      <c r="HYJ671" t="str">
        <f>IFERROR(VLOOKUP(HYK671,'[3]Raw material  (3)'!HYI653:HZA3729,3,0),"")</f>
        <v/>
      </c>
      <c r="HYK671" t="str">
        <f>IFERROR(VLOOKUP(HYL671,'[3]Raw material  (3)'!HYJ653:HZB3729,3,0),"")</f>
        <v/>
      </c>
      <c r="HYL671" t="str">
        <f>IFERROR(VLOOKUP(HYM671,'[3]Raw material  (3)'!HYK653:HZC3729,3,0),"")</f>
        <v/>
      </c>
      <c r="HYM671" t="str">
        <f>IFERROR(VLOOKUP(HYN671,'[3]Raw material  (3)'!HYL653:HZD3729,3,0),"")</f>
        <v/>
      </c>
      <c r="HYN671" t="str">
        <f>IFERROR(VLOOKUP(HYO671,'[3]Raw material  (3)'!HYM653:HZE3729,3,0),"")</f>
        <v/>
      </c>
      <c r="HYO671" t="str">
        <f>IFERROR(VLOOKUP(HYP671,'[3]Raw material  (3)'!HYN653:HZF3729,3,0),"")</f>
        <v/>
      </c>
      <c r="HYP671" t="str">
        <f>IFERROR(VLOOKUP(HYQ671,'[3]Raw material  (3)'!HYO653:HZG3729,3,0),"")</f>
        <v/>
      </c>
      <c r="HYQ671" t="str">
        <f>IFERROR(VLOOKUP(HYR671,'[3]Raw material  (3)'!HYP653:HZH3729,3,0),"")</f>
        <v/>
      </c>
      <c r="HYR671" t="str">
        <f>IFERROR(VLOOKUP(HYS671,'[3]Raw material  (3)'!HYQ653:HZI3729,3,0),"")</f>
        <v/>
      </c>
      <c r="HYS671" t="str">
        <f>IFERROR(VLOOKUP(HYT671,'[3]Raw material  (3)'!HYR653:HZJ3729,3,0),"")</f>
        <v/>
      </c>
      <c r="HYT671" t="str">
        <f>IFERROR(VLOOKUP(HYU671,'[3]Raw material  (3)'!HYS653:HZK3729,3,0),"")</f>
        <v/>
      </c>
      <c r="HYU671" t="str">
        <f>IFERROR(VLOOKUP(HYV671,'[3]Raw material  (3)'!HYT653:HZL3729,3,0),"")</f>
        <v/>
      </c>
      <c r="HYV671" t="str">
        <f>IFERROR(VLOOKUP(HYW671,'[3]Raw material  (3)'!HYU653:HZM3729,3,0),"")</f>
        <v/>
      </c>
      <c r="HYW671" t="str">
        <f>IFERROR(VLOOKUP(HYX671,'[3]Raw material  (3)'!HYV653:HZN3729,3,0),"")</f>
        <v/>
      </c>
      <c r="HYX671" t="str">
        <f>IFERROR(VLOOKUP(HYY671,'[3]Raw material  (3)'!HYW653:HZO3729,3,0),"")</f>
        <v/>
      </c>
      <c r="HYY671" t="str">
        <f>IFERROR(VLOOKUP(HYZ671,'[3]Raw material  (3)'!HYX653:HZP3729,3,0),"")</f>
        <v/>
      </c>
      <c r="HYZ671" t="str">
        <f>IFERROR(VLOOKUP(HZA671,'[3]Raw material  (3)'!HYY653:HZQ3729,3,0),"")</f>
        <v/>
      </c>
      <c r="HZA671" t="str">
        <f>IFERROR(VLOOKUP(HZB671,'[3]Raw material  (3)'!HYZ653:HZR3729,3,0),"")</f>
        <v/>
      </c>
      <c r="HZB671" t="str">
        <f>IFERROR(VLOOKUP(HZC671,'[3]Raw material  (3)'!HZA653:HZS3729,3,0),"")</f>
        <v/>
      </c>
      <c r="HZC671" t="str">
        <f>IFERROR(VLOOKUP(HZD671,'[3]Raw material  (3)'!HZB653:HZT3729,3,0),"")</f>
        <v/>
      </c>
      <c r="HZD671" t="str">
        <f>IFERROR(VLOOKUP(HZE671,'[3]Raw material  (3)'!HZC653:HZU3729,3,0),"")</f>
        <v/>
      </c>
      <c r="HZE671" t="str">
        <f>IFERROR(VLOOKUP(HZF671,'[3]Raw material  (3)'!HZD653:HZV3729,3,0),"")</f>
        <v/>
      </c>
      <c r="HZF671" t="str">
        <f>IFERROR(VLOOKUP(HZG671,'[3]Raw material  (3)'!HZE653:HZW3729,3,0),"")</f>
        <v/>
      </c>
      <c r="HZG671" t="str">
        <f>IFERROR(VLOOKUP(HZH671,'[3]Raw material  (3)'!HZF653:HZX3729,3,0),"")</f>
        <v/>
      </c>
      <c r="HZH671" t="str">
        <f>IFERROR(VLOOKUP(HZI671,'[3]Raw material  (3)'!HZG653:HZY3729,3,0),"")</f>
        <v/>
      </c>
      <c r="HZI671" t="str">
        <f>IFERROR(VLOOKUP(HZJ671,'[3]Raw material  (3)'!HZH653:HZZ3729,3,0),"")</f>
        <v/>
      </c>
      <c r="HZJ671" t="str">
        <f>IFERROR(VLOOKUP(HZK671,'[3]Raw material  (3)'!HZI653:IAA3729,3,0),"")</f>
        <v/>
      </c>
      <c r="HZK671" t="str">
        <f>IFERROR(VLOOKUP(HZL671,'[3]Raw material  (3)'!HZJ653:IAB3729,3,0),"")</f>
        <v/>
      </c>
      <c r="HZL671" t="str">
        <f>IFERROR(VLOOKUP(HZM671,'[3]Raw material  (3)'!HZK653:IAC3729,3,0),"")</f>
        <v/>
      </c>
      <c r="HZM671" t="str">
        <f>IFERROR(VLOOKUP(HZN671,'[3]Raw material  (3)'!HZL653:IAD3729,3,0),"")</f>
        <v/>
      </c>
      <c r="HZN671" t="str">
        <f>IFERROR(VLOOKUP(HZO671,'[3]Raw material  (3)'!HZM653:IAE3729,3,0),"")</f>
        <v/>
      </c>
      <c r="HZO671" t="str">
        <f>IFERROR(VLOOKUP(HZP671,'[3]Raw material  (3)'!HZN653:IAF3729,3,0),"")</f>
        <v/>
      </c>
      <c r="HZP671" t="str">
        <f>IFERROR(VLOOKUP(HZQ671,'[3]Raw material  (3)'!HZO653:IAG3729,3,0),"")</f>
        <v/>
      </c>
      <c r="HZQ671" t="str">
        <f>IFERROR(VLOOKUP(HZR671,'[3]Raw material  (3)'!HZP653:IAH3729,3,0),"")</f>
        <v/>
      </c>
      <c r="HZR671" t="str">
        <f>IFERROR(VLOOKUP(HZS671,'[3]Raw material  (3)'!HZQ653:IAI3729,3,0),"")</f>
        <v/>
      </c>
      <c r="HZS671" t="str">
        <f>IFERROR(VLOOKUP(HZT671,'[3]Raw material  (3)'!HZR653:IAJ3729,3,0),"")</f>
        <v/>
      </c>
      <c r="HZT671" t="str">
        <f>IFERROR(VLOOKUP(HZU671,'[3]Raw material  (3)'!HZS653:IAK3729,3,0),"")</f>
        <v/>
      </c>
      <c r="HZU671" t="str">
        <f>IFERROR(VLOOKUP(HZV671,'[3]Raw material  (3)'!HZT653:IAL3729,3,0),"")</f>
        <v/>
      </c>
      <c r="HZV671" t="str">
        <f>IFERROR(VLOOKUP(HZW671,'[3]Raw material  (3)'!HZU653:IAM3729,3,0),"")</f>
        <v/>
      </c>
      <c r="HZW671" t="str">
        <f>IFERROR(VLOOKUP(HZX671,'[3]Raw material  (3)'!HZV653:IAN3729,3,0),"")</f>
        <v/>
      </c>
      <c r="HZX671" t="str">
        <f>IFERROR(VLOOKUP(HZY671,'[3]Raw material  (3)'!HZW653:IAO3729,3,0),"")</f>
        <v/>
      </c>
      <c r="HZY671" t="str">
        <f>IFERROR(VLOOKUP(HZZ671,'[3]Raw material  (3)'!HZX653:IAP3729,3,0),"")</f>
        <v/>
      </c>
      <c r="HZZ671" t="str">
        <f>IFERROR(VLOOKUP(IAA671,'[3]Raw material  (3)'!HZY653:IAQ3729,3,0),"")</f>
        <v/>
      </c>
      <c r="IAA671" t="str">
        <f>IFERROR(VLOOKUP(IAB671,'[3]Raw material  (3)'!HZZ653:IAR3729,3,0),"")</f>
        <v/>
      </c>
      <c r="IAB671" t="str">
        <f>IFERROR(VLOOKUP(IAC671,'[3]Raw material  (3)'!IAA653:IAS3729,3,0),"")</f>
        <v/>
      </c>
      <c r="IAC671" t="str">
        <f>IFERROR(VLOOKUP(IAD671,'[3]Raw material  (3)'!IAB653:IAT3729,3,0),"")</f>
        <v/>
      </c>
      <c r="IAD671" t="str">
        <f>IFERROR(VLOOKUP(IAE671,'[3]Raw material  (3)'!IAC653:IAU3729,3,0),"")</f>
        <v/>
      </c>
      <c r="IAE671" t="str">
        <f>IFERROR(VLOOKUP(IAF671,'[3]Raw material  (3)'!IAD653:IAV3729,3,0),"")</f>
        <v/>
      </c>
      <c r="IAF671" t="str">
        <f>IFERROR(VLOOKUP(IAG671,'[3]Raw material  (3)'!IAE653:IAW3729,3,0),"")</f>
        <v/>
      </c>
      <c r="IAG671" t="str">
        <f>IFERROR(VLOOKUP(IAH671,'[3]Raw material  (3)'!IAF653:IAX3729,3,0),"")</f>
        <v/>
      </c>
      <c r="IAH671" t="str">
        <f>IFERROR(VLOOKUP(IAI671,'[3]Raw material  (3)'!IAG653:IAY3729,3,0),"")</f>
        <v/>
      </c>
      <c r="IAI671" t="str">
        <f>IFERROR(VLOOKUP(IAJ671,'[3]Raw material  (3)'!IAH653:IAZ3729,3,0),"")</f>
        <v/>
      </c>
      <c r="IAJ671" t="str">
        <f>IFERROR(VLOOKUP(IAK671,'[3]Raw material  (3)'!IAI653:IBA3729,3,0),"")</f>
        <v/>
      </c>
      <c r="IAK671" t="str">
        <f>IFERROR(VLOOKUP(IAL671,'[3]Raw material  (3)'!IAJ653:IBB3729,3,0),"")</f>
        <v/>
      </c>
      <c r="IAL671" t="str">
        <f>IFERROR(VLOOKUP(IAM671,'[3]Raw material  (3)'!IAK653:IBC3729,3,0),"")</f>
        <v/>
      </c>
      <c r="IAM671" t="str">
        <f>IFERROR(VLOOKUP(IAN671,'[3]Raw material  (3)'!IAL653:IBD3729,3,0),"")</f>
        <v/>
      </c>
      <c r="IAN671" t="str">
        <f>IFERROR(VLOOKUP(IAO671,'[3]Raw material  (3)'!IAM653:IBE3729,3,0),"")</f>
        <v/>
      </c>
      <c r="IAO671" t="str">
        <f>IFERROR(VLOOKUP(IAP671,'[3]Raw material  (3)'!IAN653:IBF3729,3,0),"")</f>
        <v/>
      </c>
      <c r="IAP671" t="str">
        <f>IFERROR(VLOOKUP(IAQ671,'[3]Raw material  (3)'!IAO653:IBG3729,3,0),"")</f>
        <v/>
      </c>
      <c r="IAQ671" t="str">
        <f>IFERROR(VLOOKUP(IAR671,'[3]Raw material  (3)'!IAP653:IBH3729,3,0),"")</f>
        <v/>
      </c>
      <c r="IAR671" t="str">
        <f>IFERROR(VLOOKUP(IAS671,'[3]Raw material  (3)'!IAQ653:IBI3729,3,0),"")</f>
        <v/>
      </c>
      <c r="IAS671" t="str">
        <f>IFERROR(VLOOKUP(IAT671,'[3]Raw material  (3)'!IAR653:IBJ3729,3,0),"")</f>
        <v/>
      </c>
      <c r="IAT671" t="str">
        <f>IFERROR(VLOOKUP(IAU671,'[3]Raw material  (3)'!IAS653:IBK3729,3,0),"")</f>
        <v/>
      </c>
      <c r="IAU671" t="str">
        <f>IFERROR(VLOOKUP(IAV671,'[3]Raw material  (3)'!IAT653:IBL3729,3,0),"")</f>
        <v/>
      </c>
      <c r="IAV671" t="str">
        <f>IFERROR(VLOOKUP(IAW671,'[3]Raw material  (3)'!IAU653:IBM3729,3,0),"")</f>
        <v/>
      </c>
      <c r="IAW671" t="str">
        <f>IFERROR(VLOOKUP(IAX671,'[3]Raw material  (3)'!IAV653:IBN3729,3,0),"")</f>
        <v/>
      </c>
      <c r="IAX671" t="str">
        <f>IFERROR(VLOOKUP(IAY671,'[3]Raw material  (3)'!IAW653:IBO3729,3,0),"")</f>
        <v/>
      </c>
      <c r="IAY671" t="str">
        <f>IFERROR(VLOOKUP(IAZ671,'[3]Raw material  (3)'!IAX653:IBP3729,3,0),"")</f>
        <v/>
      </c>
      <c r="IAZ671" t="str">
        <f>IFERROR(VLOOKUP(IBA671,'[3]Raw material  (3)'!IAY653:IBQ3729,3,0),"")</f>
        <v/>
      </c>
      <c r="IBA671" t="str">
        <f>IFERROR(VLOOKUP(IBB671,'[3]Raw material  (3)'!IAZ653:IBR3729,3,0),"")</f>
        <v/>
      </c>
      <c r="IBB671" t="str">
        <f>IFERROR(VLOOKUP(IBC671,'[3]Raw material  (3)'!IBA653:IBS3729,3,0),"")</f>
        <v/>
      </c>
      <c r="IBC671" t="str">
        <f>IFERROR(VLOOKUP(IBD671,'[3]Raw material  (3)'!IBB653:IBT3729,3,0),"")</f>
        <v/>
      </c>
      <c r="IBD671" t="str">
        <f>IFERROR(VLOOKUP(IBE671,'[3]Raw material  (3)'!IBC653:IBU3729,3,0),"")</f>
        <v/>
      </c>
      <c r="IBE671" t="str">
        <f>IFERROR(VLOOKUP(IBF671,'[3]Raw material  (3)'!IBD653:IBV3729,3,0),"")</f>
        <v/>
      </c>
      <c r="IBF671" t="str">
        <f>IFERROR(VLOOKUP(IBG671,'[3]Raw material  (3)'!IBE653:IBW3729,3,0),"")</f>
        <v/>
      </c>
      <c r="IBG671" t="str">
        <f>IFERROR(VLOOKUP(IBH671,'[3]Raw material  (3)'!IBF653:IBX3729,3,0),"")</f>
        <v/>
      </c>
      <c r="IBH671" t="str">
        <f>IFERROR(VLOOKUP(IBI671,'[3]Raw material  (3)'!IBG653:IBY3729,3,0),"")</f>
        <v/>
      </c>
      <c r="IBI671" t="str">
        <f>IFERROR(VLOOKUP(IBJ671,'[3]Raw material  (3)'!IBH653:IBZ3729,3,0),"")</f>
        <v/>
      </c>
      <c r="IBJ671" t="str">
        <f>IFERROR(VLOOKUP(IBK671,'[3]Raw material  (3)'!IBI653:ICA3729,3,0),"")</f>
        <v/>
      </c>
      <c r="IBK671" t="str">
        <f>IFERROR(VLOOKUP(IBL671,'[3]Raw material  (3)'!IBJ653:ICB3729,3,0),"")</f>
        <v/>
      </c>
      <c r="IBL671" t="str">
        <f>IFERROR(VLOOKUP(IBM671,'[3]Raw material  (3)'!IBK653:ICC3729,3,0),"")</f>
        <v/>
      </c>
      <c r="IBM671" t="str">
        <f>IFERROR(VLOOKUP(IBN671,'[3]Raw material  (3)'!IBL653:ICD3729,3,0),"")</f>
        <v/>
      </c>
      <c r="IBN671" t="str">
        <f>IFERROR(VLOOKUP(IBO671,'[3]Raw material  (3)'!IBM653:ICE3729,3,0),"")</f>
        <v/>
      </c>
      <c r="IBO671" t="str">
        <f>IFERROR(VLOOKUP(IBP671,'[3]Raw material  (3)'!IBN653:ICF3729,3,0),"")</f>
        <v/>
      </c>
      <c r="IBP671" t="str">
        <f>IFERROR(VLOOKUP(IBQ671,'[3]Raw material  (3)'!IBO653:ICG3729,3,0),"")</f>
        <v/>
      </c>
      <c r="IBQ671" t="str">
        <f>IFERROR(VLOOKUP(IBR671,'[3]Raw material  (3)'!IBP653:ICH3729,3,0),"")</f>
        <v/>
      </c>
      <c r="IBR671" t="str">
        <f>IFERROR(VLOOKUP(IBS671,'[3]Raw material  (3)'!IBQ653:ICI3729,3,0),"")</f>
        <v/>
      </c>
      <c r="IBS671" t="str">
        <f>IFERROR(VLOOKUP(IBT671,'[3]Raw material  (3)'!IBR653:ICJ3729,3,0),"")</f>
        <v/>
      </c>
      <c r="IBT671" t="str">
        <f>IFERROR(VLOOKUP(IBU671,'[3]Raw material  (3)'!IBS653:ICK3729,3,0),"")</f>
        <v/>
      </c>
      <c r="IBU671" t="str">
        <f>IFERROR(VLOOKUP(IBV671,'[3]Raw material  (3)'!IBT653:ICL3729,3,0),"")</f>
        <v/>
      </c>
      <c r="IBV671" t="str">
        <f>IFERROR(VLOOKUP(IBW671,'[3]Raw material  (3)'!IBU653:ICM3729,3,0),"")</f>
        <v/>
      </c>
      <c r="IBW671" t="str">
        <f>IFERROR(VLOOKUP(IBX671,'[3]Raw material  (3)'!IBV653:ICN3729,3,0),"")</f>
        <v/>
      </c>
      <c r="IBX671" t="str">
        <f>IFERROR(VLOOKUP(IBY671,'[3]Raw material  (3)'!IBW653:ICO3729,3,0),"")</f>
        <v/>
      </c>
      <c r="IBY671" t="str">
        <f>IFERROR(VLOOKUP(IBZ671,'[3]Raw material  (3)'!IBX653:ICP3729,3,0),"")</f>
        <v/>
      </c>
      <c r="IBZ671" t="str">
        <f>IFERROR(VLOOKUP(ICA671,'[3]Raw material  (3)'!IBY653:ICQ3729,3,0),"")</f>
        <v/>
      </c>
      <c r="ICA671" t="str">
        <f>IFERROR(VLOOKUP(ICB671,'[3]Raw material  (3)'!IBZ653:ICR3729,3,0),"")</f>
        <v/>
      </c>
      <c r="ICB671" t="str">
        <f>IFERROR(VLOOKUP(ICC671,'[3]Raw material  (3)'!ICA653:ICS3729,3,0),"")</f>
        <v/>
      </c>
      <c r="ICC671" t="str">
        <f>IFERROR(VLOOKUP(ICD671,'[3]Raw material  (3)'!ICB653:ICT3729,3,0),"")</f>
        <v/>
      </c>
      <c r="ICD671" t="str">
        <f>IFERROR(VLOOKUP(ICE671,'[3]Raw material  (3)'!ICC653:ICU3729,3,0),"")</f>
        <v/>
      </c>
      <c r="ICE671" t="str">
        <f>IFERROR(VLOOKUP(ICF671,'[3]Raw material  (3)'!ICD653:ICV3729,3,0),"")</f>
        <v/>
      </c>
      <c r="ICF671" t="str">
        <f>IFERROR(VLOOKUP(ICG671,'[3]Raw material  (3)'!ICE653:ICW3729,3,0),"")</f>
        <v/>
      </c>
      <c r="ICG671" t="str">
        <f>IFERROR(VLOOKUP(ICH671,'[3]Raw material  (3)'!ICF653:ICX3729,3,0),"")</f>
        <v/>
      </c>
      <c r="ICH671" t="str">
        <f>IFERROR(VLOOKUP(ICI671,'[3]Raw material  (3)'!ICG653:ICY3729,3,0),"")</f>
        <v/>
      </c>
      <c r="ICI671" t="str">
        <f>IFERROR(VLOOKUP(ICJ671,'[3]Raw material  (3)'!ICH653:ICZ3729,3,0),"")</f>
        <v/>
      </c>
      <c r="ICJ671" t="str">
        <f>IFERROR(VLOOKUP(ICK671,'[3]Raw material  (3)'!ICI653:IDA3729,3,0),"")</f>
        <v/>
      </c>
      <c r="ICK671" t="str">
        <f>IFERROR(VLOOKUP(ICL671,'[3]Raw material  (3)'!ICJ653:IDB3729,3,0),"")</f>
        <v/>
      </c>
      <c r="ICL671" t="str">
        <f>IFERROR(VLOOKUP(ICM671,'[3]Raw material  (3)'!ICK653:IDC3729,3,0),"")</f>
        <v/>
      </c>
      <c r="ICM671" t="str">
        <f>IFERROR(VLOOKUP(ICN671,'[3]Raw material  (3)'!ICL653:IDD3729,3,0),"")</f>
        <v/>
      </c>
      <c r="ICN671" t="str">
        <f>IFERROR(VLOOKUP(ICO671,'[3]Raw material  (3)'!ICM653:IDE3729,3,0),"")</f>
        <v/>
      </c>
      <c r="ICO671" t="str">
        <f>IFERROR(VLOOKUP(ICP671,'[3]Raw material  (3)'!ICN653:IDF3729,3,0),"")</f>
        <v/>
      </c>
      <c r="ICP671" t="str">
        <f>IFERROR(VLOOKUP(ICQ671,'[3]Raw material  (3)'!ICO653:IDG3729,3,0),"")</f>
        <v/>
      </c>
      <c r="ICQ671" t="str">
        <f>IFERROR(VLOOKUP(ICR671,'[3]Raw material  (3)'!ICP653:IDH3729,3,0),"")</f>
        <v/>
      </c>
      <c r="ICR671" t="str">
        <f>IFERROR(VLOOKUP(ICS671,'[3]Raw material  (3)'!ICQ653:IDI3729,3,0),"")</f>
        <v/>
      </c>
      <c r="ICS671" t="str">
        <f>IFERROR(VLOOKUP(ICT671,'[3]Raw material  (3)'!ICR653:IDJ3729,3,0),"")</f>
        <v/>
      </c>
      <c r="ICT671" t="str">
        <f>IFERROR(VLOOKUP(ICU671,'[3]Raw material  (3)'!ICS653:IDK3729,3,0),"")</f>
        <v/>
      </c>
      <c r="ICU671" t="str">
        <f>IFERROR(VLOOKUP(ICV671,'[3]Raw material  (3)'!ICT653:IDL3729,3,0),"")</f>
        <v/>
      </c>
      <c r="ICV671" t="str">
        <f>IFERROR(VLOOKUP(ICW671,'[3]Raw material  (3)'!ICU653:IDM3729,3,0),"")</f>
        <v/>
      </c>
      <c r="ICW671" t="str">
        <f>IFERROR(VLOOKUP(ICX671,'[3]Raw material  (3)'!ICV653:IDN3729,3,0),"")</f>
        <v/>
      </c>
      <c r="ICX671" t="str">
        <f>IFERROR(VLOOKUP(ICY671,'[3]Raw material  (3)'!ICW653:IDO3729,3,0),"")</f>
        <v/>
      </c>
      <c r="ICY671" t="str">
        <f>IFERROR(VLOOKUP(ICZ671,'[3]Raw material  (3)'!ICX653:IDP3729,3,0),"")</f>
        <v/>
      </c>
      <c r="ICZ671" t="str">
        <f>IFERROR(VLOOKUP(IDA671,'[3]Raw material  (3)'!ICY653:IDQ3729,3,0),"")</f>
        <v/>
      </c>
      <c r="IDA671" t="str">
        <f>IFERROR(VLOOKUP(IDB671,'[3]Raw material  (3)'!ICZ653:IDR3729,3,0),"")</f>
        <v/>
      </c>
      <c r="IDB671" t="str">
        <f>IFERROR(VLOOKUP(IDC671,'[3]Raw material  (3)'!IDA653:IDS3729,3,0),"")</f>
        <v/>
      </c>
      <c r="IDC671" t="str">
        <f>IFERROR(VLOOKUP(IDD671,'[3]Raw material  (3)'!IDB653:IDT3729,3,0),"")</f>
        <v/>
      </c>
      <c r="IDD671" t="str">
        <f>IFERROR(VLOOKUP(IDE671,'[3]Raw material  (3)'!IDC653:IDU3729,3,0),"")</f>
        <v/>
      </c>
      <c r="IDE671" t="str">
        <f>IFERROR(VLOOKUP(IDF671,'[3]Raw material  (3)'!IDD653:IDV3729,3,0),"")</f>
        <v/>
      </c>
      <c r="IDF671" t="str">
        <f>IFERROR(VLOOKUP(IDG671,'[3]Raw material  (3)'!IDE653:IDW3729,3,0),"")</f>
        <v/>
      </c>
      <c r="IDG671" t="str">
        <f>IFERROR(VLOOKUP(IDH671,'[3]Raw material  (3)'!IDF653:IDX3729,3,0),"")</f>
        <v/>
      </c>
      <c r="IDH671" t="str">
        <f>IFERROR(VLOOKUP(IDI671,'[3]Raw material  (3)'!IDG653:IDY3729,3,0),"")</f>
        <v/>
      </c>
      <c r="IDI671" t="str">
        <f>IFERROR(VLOOKUP(IDJ671,'[3]Raw material  (3)'!IDH653:IDZ3729,3,0),"")</f>
        <v/>
      </c>
      <c r="IDJ671" t="str">
        <f>IFERROR(VLOOKUP(IDK671,'[3]Raw material  (3)'!IDI653:IEA3729,3,0),"")</f>
        <v/>
      </c>
      <c r="IDK671" t="str">
        <f>IFERROR(VLOOKUP(IDL671,'[3]Raw material  (3)'!IDJ653:IEB3729,3,0),"")</f>
        <v/>
      </c>
      <c r="IDL671" t="str">
        <f>IFERROR(VLOOKUP(IDM671,'[3]Raw material  (3)'!IDK653:IEC3729,3,0),"")</f>
        <v/>
      </c>
      <c r="IDM671" t="str">
        <f>IFERROR(VLOOKUP(IDN671,'[3]Raw material  (3)'!IDL653:IED3729,3,0),"")</f>
        <v/>
      </c>
      <c r="IDN671" t="str">
        <f>IFERROR(VLOOKUP(IDO671,'[3]Raw material  (3)'!IDM653:IEE3729,3,0),"")</f>
        <v/>
      </c>
      <c r="IDO671" t="str">
        <f>IFERROR(VLOOKUP(IDP671,'[3]Raw material  (3)'!IDN653:IEF3729,3,0),"")</f>
        <v/>
      </c>
      <c r="IDP671" t="str">
        <f>IFERROR(VLOOKUP(IDQ671,'[3]Raw material  (3)'!IDO653:IEG3729,3,0),"")</f>
        <v/>
      </c>
      <c r="IDQ671" t="str">
        <f>IFERROR(VLOOKUP(IDR671,'[3]Raw material  (3)'!IDP653:IEH3729,3,0),"")</f>
        <v/>
      </c>
      <c r="IDR671" t="str">
        <f>IFERROR(VLOOKUP(IDS671,'[3]Raw material  (3)'!IDQ653:IEI3729,3,0),"")</f>
        <v/>
      </c>
      <c r="IDS671" t="str">
        <f>IFERROR(VLOOKUP(IDT671,'[3]Raw material  (3)'!IDR653:IEJ3729,3,0),"")</f>
        <v/>
      </c>
      <c r="IDT671" t="str">
        <f>IFERROR(VLOOKUP(IDU671,'[3]Raw material  (3)'!IDS653:IEK3729,3,0),"")</f>
        <v/>
      </c>
      <c r="IDU671" t="str">
        <f>IFERROR(VLOOKUP(IDV671,'[3]Raw material  (3)'!IDT653:IEL3729,3,0),"")</f>
        <v/>
      </c>
      <c r="IDV671" t="str">
        <f>IFERROR(VLOOKUP(IDW671,'[3]Raw material  (3)'!IDU653:IEM3729,3,0),"")</f>
        <v/>
      </c>
      <c r="IDW671" t="str">
        <f>IFERROR(VLOOKUP(IDX671,'[3]Raw material  (3)'!IDV653:IEN3729,3,0),"")</f>
        <v/>
      </c>
      <c r="IDX671" t="str">
        <f>IFERROR(VLOOKUP(IDY671,'[3]Raw material  (3)'!IDW653:IEO3729,3,0),"")</f>
        <v/>
      </c>
      <c r="IDY671" t="str">
        <f>IFERROR(VLOOKUP(IDZ671,'[3]Raw material  (3)'!IDX653:IEP3729,3,0),"")</f>
        <v/>
      </c>
      <c r="IDZ671" t="str">
        <f>IFERROR(VLOOKUP(IEA671,'[3]Raw material  (3)'!IDY653:IEQ3729,3,0),"")</f>
        <v/>
      </c>
      <c r="IEA671" t="str">
        <f>IFERROR(VLOOKUP(IEB671,'[3]Raw material  (3)'!IDZ653:IER3729,3,0),"")</f>
        <v/>
      </c>
      <c r="IEB671" t="str">
        <f>IFERROR(VLOOKUP(IEC671,'[3]Raw material  (3)'!IEA653:IES3729,3,0),"")</f>
        <v/>
      </c>
      <c r="IEC671" t="str">
        <f>IFERROR(VLOOKUP(IED671,'[3]Raw material  (3)'!IEB653:IET3729,3,0),"")</f>
        <v/>
      </c>
      <c r="IED671" t="str">
        <f>IFERROR(VLOOKUP(IEE671,'[3]Raw material  (3)'!IEC653:IEU3729,3,0),"")</f>
        <v/>
      </c>
      <c r="IEE671" t="str">
        <f>IFERROR(VLOOKUP(IEF671,'[3]Raw material  (3)'!IED653:IEV3729,3,0),"")</f>
        <v/>
      </c>
      <c r="IEF671" t="str">
        <f>IFERROR(VLOOKUP(IEG671,'[3]Raw material  (3)'!IEE653:IEW3729,3,0),"")</f>
        <v/>
      </c>
      <c r="IEG671" t="str">
        <f>IFERROR(VLOOKUP(IEH671,'[3]Raw material  (3)'!IEF653:IEX3729,3,0),"")</f>
        <v/>
      </c>
      <c r="IEH671" t="str">
        <f>IFERROR(VLOOKUP(IEI671,'[3]Raw material  (3)'!IEG653:IEY3729,3,0),"")</f>
        <v/>
      </c>
      <c r="IEI671" t="str">
        <f>IFERROR(VLOOKUP(IEJ671,'[3]Raw material  (3)'!IEH653:IEZ3729,3,0),"")</f>
        <v/>
      </c>
      <c r="IEJ671" t="str">
        <f>IFERROR(VLOOKUP(IEK671,'[3]Raw material  (3)'!IEI653:IFA3729,3,0),"")</f>
        <v/>
      </c>
      <c r="IEK671" t="str">
        <f>IFERROR(VLOOKUP(IEL671,'[3]Raw material  (3)'!IEJ653:IFB3729,3,0),"")</f>
        <v/>
      </c>
      <c r="IEL671" t="str">
        <f>IFERROR(VLOOKUP(IEM671,'[3]Raw material  (3)'!IEK653:IFC3729,3,0),"")</f>
        <v/>
      </c>
      <c r="IEM671" t="str">
        <f>IFERROR(VLOOKUP(IEN671,'[3]Raw material  (3)'!IEL653:IFD3729,3,0),"")</f>
        <v/>
      </c>
      <c r="IEN671" t="str">
        <f>IFERROR(VLOOKUP(IEO671,'[3]Raw material  (3)'!IEM653:IFE3729,3,0),"")</f>
        <v/>
      </c>
      <c r="IEO671" t="str">
        <f>IFERROR(VLOOKUP(IEP671,'[3]Raw material  (3)'!IEN653:IFF3729,3,0),"")</f>
        <v/>
      </c>
      <c r="IEP671" t="str">
        <f>IFERROR(VLOOKUP(IEQ671,'[3]Raw material  (3)'!IEO653:IFG3729,3,0),"")</f>
        <v/>
      </c>
      <c r="IEQ671" t="str">
        <f>IFERROR(VLOOKUP(IER671,'[3]Raw material  (3)'!IEP653:IFH3729,3,0),"")</f>
        <v/>
      </c>
      <c r="IER671" t="str">
        <f>IFERROR(VLOOKUP(IES671,'[3]Raw material  (3)'!IEQ653:IFI3729,3,0),"")</f>
        <v/>
      </c>
      <c r="IES671" t="str">
        <f>IFERROR(VLOOKUP(IET671,'[3]Raw material  (3)'!IER653:IFJ3729,3,0),"")</f>
        <v/>
      </c>
      <c r="IET671" t="str">
        <f>IFERROR(VLOOKUP(IEU671,'[3]Raw material  (3)'!IES653:IFK3729,3,0),"")</f>
        <v/>
      </c>
      <c r="IEU671" t="str">
        <f>IFERROR(VLOOKUP(IEV671,'[3]Raw material  (3)'!IET653:IFL3729,3,0),"")</f>
        <v/>
      </c>
      <c r="IEV671" t="str">
        <f>IFERROR(VLOOKUP(IEW671,'[3]Raw material  (3)'!IEU653:IFM3729,3,0),"")</f>
        <v/>
      </c>
      <c r="IEW671" t="str">
        <f>IFERROR(VLOOKUP(IEX671,'[3]Raw material  (3)'!IEV653:IFN3729,3,0),"")</f>
        <v/>
      </c>
      <c r="IEX671" t="str">
        <f>IFERROR(VLOOKUP(IEY671,'[3]Raw material  (3)'!IEW653:IFO3729,3,0),"")</f>
        <v/>
      </c>
      <c r="IEY671" t="str">
        <f>IFERROR(VLOOKUP(IEZ671,'[3]Raw material  (3)'!IEX653:IFP3729,3,0),"")</f>
        <v/>
      </c>
      <c r="IEZ671" t="str">
        <f>IFERROR(VLOOKUP(IFA671,'[3]Raw material  (3)'!IEY653:IFQ3729,3,0),"")</f>
        <v/>
      </c>
      <c r="IFA671" t="str">
        <f>IFERROR(VLOOKUP(IFB671,'[3]Raw material  (3)'!IEZ653:IFR3729,3,0),"")</f>
        <v/>
      </c>
      <c r="IFB671" t="str">
        <f>IFERROR(VLOOKUP(IFC671,'[3]Raw material  (3)'!IFA653:IFS3729,3,0),"")</f>
        <v/>
      </c>
      <c r="IFC671" t="str">
        <f>IFERROR(VLOOKUP(IFD671,'[3]Raw material  (3)'!IFB653:IFT3729,3,0),"")</f>
        <v/>
      </c>
      <c r="IFD671" t="str">
        <f>IFERROR(VLOOKUP(IFE671,'[3]Raw material  (3)'!IFC653:IFU3729,3,0),"")</f>
        <v/>
      </c>
      <c r="IFE671" t="str">
        <f>IFERROR(VLOOKUP(IFF671,'[3]Raw material  (3)'!IFD653:IFV3729,3,0),"")</f>
        <v/>
      </c>
      <c r="IFF671" t="str">
        <f>IFERROR(VLOOKUP(IFG671,'[3]Raw material  (3)'!IFE653:IFW3729,3,0),"")</f>
        <v/>
      </c>
      <c r="IFG671" t="str">
        <f>IFERROR(VLOOKUP(IFH671,'[3]Raw material  (3)'!IFF653:IFX3729,3,0),"")</f>
        <v/>
      </c>
      <c r="IFH671" t="str">
        <f>IFERROR(VLOOKUP(IFI671,'[3]Raw material  (3)'!IFG653:IFY3729,3,0),"")</f>
        <v/>
      </c>
      <c r="IFI671" t="str">
        <f>IFERROR(VLOOKUP(IFJ671,'[3]Raw material  (3)'!IFH653:IFZ3729,3,0),"")</f>
        <v/>
      </c>
      <c r="IFJ671" t="str">
        <f>IFERROR(VLOOKUP(IFK671,'[3]Raw material  (3)'!IFI653:IGA3729,3,0),"")</f>
        <v/>
      </c>
      <c r="IFK671" t="str">
        <f>IFERROR(VLOOKUP(IFL671,'[3]Raw material  (3)'!IFJ653:IGB3729,3,0),"")</f>
        <v/>
      </c>
      <c r="IFL671" t="str">
        <f>IFERROR(VLOOKUP(IFM671,'[3]Raw material  (3)'!IFK653:IGC3729,3,0),"")</f>
        <v/>
      </c>
      <c r="IFM671" t="str">
        <f>IFERROR(VLOOKUP(IFN671,'[3]Raw material  (3)'!IFL653:IGD3729,3,0),"")</f>
        <v/>
      </c>
      <c r="IFN671" t="str">
        <f>IFERROR(VLOOKUP(IFO671,'[3]Raw material  (3)'!IFM653:IGE3729,3,0),"")</f>
        <v/>
      </c>
      <c r="IFO671" t="str">
        <f>IFERROR(VLOOKUP(IFP671,'[3]Raw material  (3)'!IFN653:IGF3729,3,0),"")</f>
        <v/>
      </c>
      <c r="IFP671" t="str">
        <f>IFERROR(VLOOKUP(IFQ671,'[3]Raw material  (3)'!IFO653:IGG3729,3,0),"")</f>
        <v/>
      </c>
      <c r="IFQ671" t="str">
        <f>IFERROR(VLOOKUP(IFR671,'[3]Raw material  (3)'!IFP653:IGH3729,3,0),"")</f>
        <v/>
      </c>
      <c r="IFR671" t="str">
        <f>IFERROR(VLOOKUP(IFS671,'[3]Raw material  (3)'!IFQ653:IGI3729,3,0),"")</f>
        <v/>
      </c>
      <c r="IFS671" t="str">
        <f>IFERROR(VLOOKUP(IFT671,'[3]Raw material  (3)'!IFR653:IGJ3729,3,0),"")</f>
        <v/>
      </c>
      <c r="IFT671" t="str">
        <f>IFERROR(VLOOKUP(IFU671,'[3]Raw material  (3)'!IFS653:IGK3729,3,0),"")</f>
        <v/>
      </c>
      <c r="IFU671" t="str">
        <f>IFERROR(VLOOKUP(IFV671,'[3]Raw material  (3)'!IFT653:IGL3729,3,0),"")</f>
        <v/>
      </c>
      <c r="IFV671" t="str">
        <f>IFERROR(VLOOKUP(IFW671,'[3]Raw material  (3)'!IFU653:IGM3729,3,0),"")</f>
        <v/>
      </c>
      <c r="IFW671" t="str">
        <f>IFERROR(VLOOKUP(IFX671,'[3]Raw material  (3)'!IFV653:IGN3729,3,0),"")</f>
        <v/>
      </c>
      <c r="IFX671" t="str">
        <f>IFERROR(VLOOKUP(IFY671,'[3]Raw material  (3)'!IFW653:IGO3729,3,0),"")</f>
        <v/>
      </c>
      <c r="IFY671" t="str">
        <f>IFERROR(VLOOKUP(IFZ671,'[3]Raw material  (3)'!IFX653:IGP3729,3,0),"")</f>
        <v/>
      </c>
      <c r="IFZ671" t="str">
        <f>IFERROR(VLOOKUP(IGA671,'[3]Raw material  (3)'!IFY653:IGQ3729,3,0),"")</f>
        <v/>
      </c>
      <c r="IGA671" t="str">
        <f>IFERROR(VLOOKUP(IGB671,'[3]Raw material  (3)'!IFZ653:IGR3729,3,0),"")</f>
        <v/>
      </c>
      <c r="IGB671" t="str">
        <f>IFERROR(VLOOKUP(IGC671,'[3]Raw material  (3)'!IGA653:IGS3729,3,0),"")</f>
        <v/>
      </c>
      <c r="IGC671" t="str">
        <f>IFERROR(VLOOKUP(IGD671,'[3]Raw material  (3)'!IGB653:IGT3729,3,0),"")</f>
        <v/>
      </c>
      <c r="IGD671" t="str">
        <f>IFERROR(VLOOKUP(IGE671,'[3]Raw material  (3)'!IGC653:IGU3729,3,0),"")</f>
        <v/>
      </c>
      <c r="IGE671" t="str">
        <f>IFERROR(VLOOKUP(IGF671,'[3]Raw material  (3)'!IGD653:IGV3729,3,0),"")</f>
        <v/>
      </c>
      <c r="IGF671" t="str">
        <f>IFERROR(VLOOKUP(IGG671,'[3]Raw material  (3)'!IGE653:IGW3729,3,0),"")</f>
        <v/>
      </c>
      <c r="IGG671" t="str">
        <f>IFERROR(VLOOKUP(IGH671,'[3]Raw material  (3)'!IGF653:IGX3729,3,0),"")</f>
        <v/>
      </c>
      <c r="IGH671" t="str">
        <f>IFERROR(VLOOKUP(IGI671,'[3]Raw material  (3)'!IGG653:IGY3729,3,0),"")</f>
        <v/>
      </c>
      <c r="IGI671" t="str">
        <f>IFERROR(VLOOKUP(IGJ671,'[3]Raw material  (3)'!IGH653:IGZ3729,3,0),"")</f>
        <v/>
      </c>
      <c r="IGJ671" t="str">
        <f>IFERROR(VLOOKUP(IGK671,'[3]Raw material  (3)'!IGI653:IHA3729,3,0),"")</f>
        <v/>
      </c>
      <c r="IGK671" t="str">
        <f>IFERROR(VLOOKUP(IGL671,'[3]Raw material  (3)'!IGJ653:IHB3729,3,0),"")</f>
        <v/>
      </c>
      <c r="IGL671" t="str">
        <f>IFERROR(VLOOKUP(IGM671,'[3]Raw material  (3)'!IGK653:IHC3729,3,0),"")</f>
        <v/>
      </c>
      <c r="IGM671" t="str">
        <f>IFERROR(VLOOKUP(IGN671,'[3]Raw material  (3)'!IGL653:IHD3729,3,0),"")</f>
        <v/>
      </c>
      <c r="IGN671" t="str">
        <f>IFERROR(VLOOKUP(IGO671,'[3]Raw material  (3)'!IGM653:IHE3729,3,0),"")</f>
        <v/>
      </c>
      <c r="IGO671" t="str">
        <f>IFERROR(VLOOKUP(IGP671,'[3]Raw material  (3)'!IGN653:IHF3729,3,0),"")</f>
        <v/>
      </c>
      <c r="IGP671" t="str">
        <f>IFERROR(VLOOKUP(IGQ671,'[3]Raw material  (3)'!IGO653:IHG3729,3,0),"")</f>
        <v/>
      </c>
      <c r="IGQ671" t="str">
        <f>IFERROR(VLOOKUP(IGR671,'[3]Raw material  (3)'!IGP653:IHH3729,3,0),"")</f>
        <v/>
      </c>
      <c r="IGR671" t="str">
        <f>IFERROR(VLOOKUP(IGS671,'[3]Raw material  (3)'!IGQ653:IHI3729,3,0),"")</f>
        <v/>
      </c>
      <c r="IGS671" t="str">
        <f>IFERROR(VLOOKUP(IGT671,'[3]Raw material  (3)'!IGR653:IHJ3729,3,0),"")</f>
        <v/>
      </c>
      <c r="IGT671" t="str">
        <f>IFERROR(VLOOKUP(IGU671,'[3]Raw material  (3)'!IGS653:IHK3729,3,0),"")</f>
        <v/>
      </c>
      <c r="IGU671" t="str">
        <f>IFERROR(VLOOKUP(IGV671,'[3]Raw material  (3)'!IGT653:IHL3729,3,0),"")</f>
        <v/>
      </c>
      <c r="IGV671" t="str">
        <f>IFERROR(VLOOKUP(IGW671,'[3]Raw material  (3)'!IGU653:IHM3729,3,0),"")</f>
        <v/>
      </c>
      <c r="IGW671" t="str">
        <f>IFERROR(VLOOKUP(IGX671,'[3]Raw material  (3)'!IGV653:IHN3729,3,0),"")</f>
        <v/>
      </c>
      <c r="IGX671" t="str">
        <f>IFERROR(VLOOKUP(IGY671,'[3]Raw material  (3)'!IGW653:IHO3729,3,0),"")</f>
        <v/>
      </c>
      <c r="IGY671" t="str">
        <f>IFERROR(VLOOKUP(IGZ671,'[3]Raw material  (3)'!IGX653:IHP3729,3,0),"")</f>
        <v/>
      </c>
      <c r="IGZ671" t="str">
        <f>IFERROR(VLOOKUP(IHA671,'[3]Raw material  (3)'!IGY653:IHQ3729,3,0),"")</f>
        <v/>
      </c>
      <c r="IHA671" t="str">
        <f>IFERROR(VLOOKUP(IHB671,'[3]Raw material  (3)'!IGZ653:IHR3729,3,0),"")</f>
        <v/>
      </c>
      <c r="IHB671" t="str">
        <f>IFERROR(VLOOKUP(IHC671,'[3]Raw material  (3)'!IHA653:IHS3729,3,0),"")</f>
        <v/>
      </c>
      <c r="IHC671" t="str">
        <f>IFERROR(VLOOKUP(IHD671,'[3]Raw material  (3)'!IHB653:IHT3729,3,0),"")</f>
        <v/>
      </c>
      <c r="IHD671" t="str">
        <f>IFERROR(VLOOKUP(IHE671,'[3]Raw material  (3)'!IHC653:IHU3729,3,0),"")</f>
        <v/>
      </c>
      <c r="IHE671" t="str">
        <f>IFERROR(VLOOKUP(IHF671,'[3]Raw material  (3)'!IHD653:IHV3729,3,0),"")</f>
        <v/>
      </c>
      <c r="IHF671" t="str">
        <f>IFERROR(VLOOKUP(IHG671,'[3]Raw material  (3)'!IHE653:IHW3729,3,0),"")</f>
        <v/>
      </c>
      <c r="IHG671" t="str">
        <f>IFERROR(VLOOKUP(IHH671,'[3]Raw material  (3)'!IHF653:IHX3729,3,0),"")</f>
        <v/>
      </c>
      <c r="IHH671" t="str">
        <f>IFERROR(VLOOKUP(IHI671,'[3]Raw material  (3)'!IHG653:IHY3729,3,0),"")</f>
        <v/>
      </c>
      <c r="IHI671" t="str">
        <f>IFERROR(VLOOKUP(IHJ671,'[3]Raw material  (3)'!IHH653:IHZ3729,3,0),"")</f>
        <v/>
      </c>
      <c r="IHJ671" t="str">
        <f>IFERROR(VLOOKUP(IHK671,'[3]Raw material  (3)'!IHI653:IIA3729,3,0),"")</f>
        <v/>
      </c>
      <c r="IHK671" t="str">
        <f>IFERROR(VLOOKUP(IHL671,'[3]Raw material  (3)'!IHJ653:IIB3729,3,0),"")</f>
        <v/>
      </c>
      <c r="IHL671" t="str">
        <f>IFERROR(VLOOKUP(IHM671,'[3]Raw material  (3)'!IHK653:IIC3729,3,0),"")</f>
        <v/>
      </c>
      <c r="IHM671" t="str">
        <f>IFERROR(VLOOKUP(IHN671,'[3]Raw material  (3)'!IHL653:IID3729,3,0),"")</f>
        <v/>
      </c>
      <c r="IHN671" t="str">
        <f>IFERROR(VLOOKUP(IHO671,'[3]Raw material  (3)'!IHM653:IIE3729,3,0),"")</f>
        <v/>
      </c>
      <c r="IHO671" t="str">
        <f>IFERROR(VLOOKUP(IHP671,'[3]Raw material  (3)'!IHN653:IIF3729,3,0),"")</f>
        <v/>
      </c>
      <c r="IHP671" t="str">
        <f>IFERROR(VLOOKUP(IHQ671,'[3]Raw material  (3)'!IHO653:IIG3729,3,0),"")</f>
        <v/>
      </c>
      <c r="IHQ671" t="str">
        <f>IFERROR(VLOOKUP(IHR671,'[3]Raw material  (3)'!IHP653:IIH3729,3,0),"")</f>
        <v/>
      </c>
      <c r="IHR671" t="str">
        <f>IFERROR(VLOOKUP(IHS671,'[3]Raw material  (3)'!IHQ653:III3729,3,0),"")</f>
        <v/>
      </c>
      <c r="IHS671" t="str">
        <f>IFERROR(VLOOKUP(IHT671,'[3]Raw material  (3)'!IHR653:IIJ3729,3,0),"")</f>
        <v/>
      </c>
      <c r="IHT671" t="str">
        <f>IFERROR(VLOOKUP(IHU671,'[3]Raw material  (3)'!IHS653:IIK3729,3,0),"")</f>
        <v/>
      </c>
      <c r="IHU671" t="str">
        <f>IFERROR(VLOOKUP(IHV671,'[3]Raw material  (3)'!IHT653:IIL3729,3,0),"")</f>
        <v/>
      </c>
      <c r="IHV671" t="str">
        <f>IFERROR(VLOOKUP(IHW671,'[3]Raw material  (3)'!IHU653:IIM3729,3,0),"")</f>
        <v/>
      </c>
      <c r="IHW671" t="str">
        <f>IFERROR(VLOOKUP(IHX671,'[3]Raw material  (3)'!IHV653:IIN3729,3,0),"")</f>
        <v/>
      </c>
      <c r="IHX671" t="str">
        <f>IFERROR(VLOOKUP(IHY671,'[3]Raw material  (3)'!IHW653:IIO3729,3,0),"")</f>
        <v/>
      </c>
      <c r="IHY671" t="str">
        <f>IFERROR(VLOOKUP(IHZ671,'[3]Raw material  (3)'!IHX653:IIP3729,3,0),"")</f>
        <v/>
      </c>
      <c r="IHZ671" t="str">
        <f>IFERROR(VLOOKUP(IIA671,'[3]Raw material  (3)'!IHY653:IIQ3729,3,0),"")</f>
        <v/>
      </c>
      <c r="IIA671" t="str">
        <f>IFERROR(VLOOKUP(IIB671,'[3]Raw material  (3)'!IHZ653:IIR3729,3,0),"")</f>
        <v/>
      </c>
      <c r="IIB671" t="str">
        <f>IFERROR(VLOOKUP(IIC671,'[3]Raw material  (3)'!IIA653:IIS3729,3,0),"")</f>
        <v/>
      </c>
      <c r="IIC671" t="str">
        <f>IFERROR(VLOOKUP(IID671,'[3]Raw material  (3)'!IIB653:IIT3729,3,0),"")</f>
        <v/>
      </c>
      <c r="IID671" t="str">
        <f>IFERROR(VLOOKUP(IIE671,'[3]Raw material  (3)'!IIC653:IIU3729,3,0),"")</f>
        <v/>
      </c>
      <c r="IIE671" t="str">
        <f>IFERROR(VLOOKUP(IIF671,'[3]Raw material  (3)'!IID653:IIV3729,3,0),"")</f>
        <v/>
      </c>
      <c r="IIF671" t="str">
        <f>IFERROR(VLOOKUP(IIG671,'[3]Raw material  (3)'!IIE653:IIW3729,3,0),"")</f>
        <v/>
      </c>
      <c r="IIG671" t="str">
        <f>IFERROR(VLOOKUP(IIH671,'[3]Raw material  (3)'!IIF653:IIX3729,3,0),"")</f>
        <v/>
      </c>
      <c r="IIH671" t="str">
        <f>IFERROR(VLOOKUP(III671,'[3]Raw material  (3)'!IIG653:IIY3729,3,0),"")</f>
        <v/>
      </c>
      <c r="III671" t="str">
        <f>IFERROR(VLOOKUP(IIJ671,'[3]Raw material  (3)'!IIH653:IIZ3729,3,0),"")</f>
        <v/>
      </c>
      <c r="IIJ671" t="str">
        <f>IFERROR(VLOOKUP(IIK671,'[3]Raw material  (3)'!III653:IJA3729,3,0),"")</f>
        <v/>
      </c>
      <c r="IIK671" t="str">
        <f>IFERROR(VLOOKUP(IIL671,'[3]Raw material  (3)'!IIJ653:IJB3729,3,0),"")</f>
        <v/>
      </c>
      <c r="IIL671" t="str">
        <f>IFERROR(VLOOKUP(IIM671,'[3]Raw material  (3)'!IIK653:IJC3729,3,0),"")</f>
        <v/>
      </c>
      <c r="IIM671" t="str">
        <f>IFERROR(VLOOKUP(IIN671,'[3]Raw material  (3)'!IIL653:IJD3729,3,0),"")</f>
        <v/>
      </c>
      <c r="IIN671" t="str">
        <f>IFERROR(VLOOKUP(IIO671,'[3]Raw material  (3)'!IIM653:IJE3729,3,0),"")</f>
        <v/>
      </c>
      <c r="IIO671" t="str">
        <f>IFERROR(VLOOKUP(IIP671,'[3]Raw material  (3)'!IIN653:IJF3729,3,0),"")</f>
        <v/>
      </c>
      <c r="IIP671" t="str">
        <f>IFERROR(VLOOKUP(IIQ671,'[3]Raw material  (3)'!IIO653:IJG3729,3,0),"")</f>
        <v/>
      </c>
      <c r="IIQ671" t="str">
        <f>IFERROR(VLOOKUP(IIR671,'[3]Raw material  (3)'!IIP653:IJH3729,3,0),"")</f>
        <v/>
      </c>
      <c r="IIR671" t="str">
        <f>IFERROR(VLOOKUP(IIS671,'[3]Raw material  (3)'!IIQ653:IJI3729,3,0),"")</f>
        <v/>
      </c>
      <c r="IIS671" t="str">
        <f>IFERROR(VLOOKUP(IIT671,'[3]Raw material  (3)'!IIR653:IJJ3729,3,0),"")</f>
        <v/>
      </c>
      <c r="IIT671" t="str">
        <f>IFERROR(VLOOKUP(IIU671,'[3]Raw material  (3)'!IIS653:IJK3729,3,0),"")</f>
        <v/>
      </c>
      <c r="IIU671" t="str">
        <f>IFERROR(VLOOKUP(IIV671,'[3]Raw material  (3)'!IIT653:IJL3729,3,0),"")</f>
        <v/>
      </c>
      <c r="IIV671" t="str">
        <f>IFERROR(VLOOKUP(IIW671,'[3]Raw material  (3)'!IIU653:IJM3729,3,0),"")</f>
        <v/>
      </c>
      <c r="IIW671" t="str">
        <f>IFERROR(VLOOKUP(IIX671,'[3]Raw material  (3)'!IIV653:IJN3729,3,0),"")</f>
        <v/>
      </c>
      <c r="IIX671" t="str">
        <f>IFERROR(VLOOKUP(IIY671,'[3]Raw material  (3)'!IIW653:IJO3729,3,0),"")</f>
        <v/>
      </c>
      <c r="IIY671" t="str">
        <f>IFERROR(VLOOKUP(IIZ671,'[3]Raw material  (3)'!IIX653:IJP3729,3,0),"")</f>
        <v/>
      </c>
      <c r="IIZ671" t="str">
        <f>IFERROR(VLOOKUP(IJA671,'[3]Raw material  (3)'!IIY653:IJQ3729,3,0),"")</f>
        <v/>
      </c>
      <c r="IJA671" t="str">
        <f>IFERROR(VLOOKUP(IJB671,'[3]Raw material  (3)'!IIZ653:IJR3729,3,0),"")</f>
        <v/>
      </c>
      <c r="IJB671" t="str">
        <f>IFERROR(VLOOKUP(IJC671,'[3]Raw material  (3)'!IJA653:IJS3729,3,0),"")</f>
        <v/>
      </c>
      <c r="IJC671" t="str">
        <f>IFERROR(VLOOKUP(IJD671,'[3]Raw material  (3)'!IJB653:IJT3729,3,0),"")</f>
        <v/>
      </c>
      <c r="IJD671" t="str">
        <f>IFERROR(VLOOKUP(IJE671,'[3]Raw material  (3)'!IJC653:IJU3729,3,0),"")</f>
        <v/>
      </c>
      <c r="IJE671" t="str">
        <f>IFERROR(VLOOKUP(IJF671,'[3]Raw material  (3)'!IJD653:IJV3729,3,0),"")</f>
        <v/>
      </c>
      <c r="IJF671" t="str">
        <f>IFERROR(VLOOKUP(IJG671,'[3]Raw material  (3)'!IJE653:IJW3729,3,0),"")</f>
        <v/>
      </c>
      <c r="IJG671" t="str">
        <f>IFERROR(VLOOKUP(IJH671,'[3]Raw material  (3)'!IJF653:IJX3729,3,0),"")</f>
        <v/>
      </c>
      <c r="IJH671" t="str">
        <f>IFERROR(VLOOKUP(IJI671,'[3]Raw material  (3)'!IJG653:IJY3729,3,0),"")</f>
        <v/>
      </c>
      <c r="IJI671" t="str">
        <f>IFERROR(VLOOKUP(IJJ671,'[3]Raw material  (3)'!IJH653:IJZ3729,3,0),"")</f>
        <v/>
      </c>
      <c r="IJJ671" t="str">
        <f>IFERROR(VLOOKUP(IJK671,'[3]Raw material  (3)'!IJI653:IKA3729,3,0),"")</f>
        <v/>
      </c>
      <c r="IJK671" t="str">
        <f>IFERROR(VLOOKUP(IJL671,'[3]Raw material  (3)'!IJJ653:IKB3729,3,0),"")</f>
        <v/>
      </c>
      <c r="IJL671" t="str">
        <f>IFERROR(VLOOKUP(IJM671,'[3]Raw material  (3)'!IJK653:IKC3729,3,0),"")</f>
        <v/>
      </c>
      <c r="IJM671" t="str">
        <f>IFERROR(VLOOKUP(IJN671,'[3]Raw material  (3)'!IJL653:IKD3729,3,0),"")</f>
        <v/>
      </c>
      <c r="IJN671" t="str">
        <f>IFERROR(VLOOKUP(IJO671,'[3]Raw material  (3)'!IJM653:IKE3729,3,0),"")</f>
        <v/>
      </c>
      <c r="IJO671" t="str">
        <f>IFERROR(VLOOKUP(IJP671,'[3]Raw material  (3)'!IJN653:IKF3729,3,0),"")</f>
        <v/>
      </c>
      <c r="IJP671" t="str">
        <f>IFERROR(VLOOKUP(IJQ671,'[3]Raw material  (3)'!IJO653:IKG3729,3,0),"")</f>
        <v/>
      </c>
      <c r="IJQ671" t="str">
        <f>IFERROR(VLOOKUP(IJR671,'[3]Raw material  (3)'!IJP653:IKH3729,3,0),"")</f>
        <v/>
      </c>
      <c r="IJR671" t="str">
        <f>IFERROR(VLOOKUP(IJS671,'[3]Raw material  (3)'!IJQ653:IKI3729,3,0),"")</f>
        <v/>
      </c>
      <c r="IJS671" t="str">
        <f>IFERROR(VLOOKUP(IJT671,'[3]Raw material  (3)'!IJR653:IKJ3729,3,0),"")</f>
        <v/>
      </c>
      <c r="IJT671" t="str">
        <f>IFERROR(VLOOKUP(IJU671,'[3]Raw material  (3)'!IJS653:IKK3729,3,0),"")</f>
        <v/>
      </c>
      <c r="IJU671" t="str">
        <f>IFERROR(VLOOKUP(IJV671,'[3]Raw material  (3)'!IJT653:IKL3729,3,0),"")</f>
        <v/>
      </c>
      <c r="IJV671" t="str">
        <f>IFERROR(VLOOKUP(IJW671,'[3]Raw material  (3)'!IJU653:IKM3729,3,0),"")</f>
        <v/>
      </c>
      <c r="IJW671" t="str">
        <f>IFERROR(VLOOKUP(IJX671,'[3]Raw material  (3)'!IJV653:IKN3729,3,0),"")</f>
        <v/>
      </c>
      <c r="IJX671" t="str">
        <f>IFERROR(VLOOKUP(IJY671,'[3]Raw material  (3)'!IJW653:IKO3729,3,0),"")</f>
        <v/>
      </c>
      <c r="IJY671" t="str">
        <f>IFERROR(VLOOKUP(IJZ671,'[3]Raw material  (3)'!IJX653:IKP3729,3,0),"")</f>
        <v/>
      </c>
      <c r="IJZ671" t="str">
        <f>IFERROR(VLOOKUP(IKA671,'[3]Raw material  (3)'!IJY653:IKQ3729,3,0),"")</f>
        <v/>
      </c>
      <c r="IKA671" t="str">
        <f>IFERROR(VLOOKUP(IKB671,'[3]Raw material  (3)'!IJZ653:IKR3729,3,0),"")</f>
        <v/>
      </c>
      <c r="IKB671" t="str">
        <f>IFERROR(VLOOKUP(IKC671,'[3]Raw material  (3)'!IKA653:IKS3729,3,0),"")</f>
        <v/>
      </c>
      <c r="IKC671" t="str">
        <f>IFERROR(VLOOKUP(IKD671,'[3]Raw material  (3)'!IKB653:IKT3729,3,0),"")</f>
        <v/>
      </c>
      <c r="IKD671" t="str">
        <f>IFERROR(VLOOKUP(IKE671,'[3]Raw material  (3)'!IKC653:IKU3729,3,0),"")</f>
        <v/>
      </c>
      <c r="IKE671" t="str">
        <f>IFERROR(VLOOKUP(IKF671,'[3]Raw material  (3)'!IKD653:IKV3729,3,0),"")</f>
        <v/>
      </c>
      <c r="IKF671" t="str">
        <f>IFERROR(VLOOKUP(IKG671,'[3]Raw material  (3)'!IKE653:IKW3729,3,0),"")</f>
        <v/>
      </c>
      <c r="IKG671" t="str">
        <f>IFERROR(VLOOKUP(IKH671,'[3]Raw material  (3)'!IKF653:IKX3729,3,0),"")</f>
        <v/>
      </c>
      <c r="IKH671" t="str">
        <f>IFERROR(VLOOKUP(IKI671,'[3]Raw material  (3)'!IKG653:IKY3729,3,0),"")</f>
        <v/>
      </c>
      <c r="IKI671" t="str">
        <f>IFERROR(VLOOKUP(IKJ671,'[3]Raw material  (3)'!IKH653:IKZ3729,3,0),"")</f>
        <v/>
      </c>
      <c r="IKJ671" t="str">
        <f>IFERROR(VLOOKUP(IKK671,'[3]Raw material  (3)'!IKI653:ILA3729,3,0),"")</f>
        <v/>
      </c>
      <c r="IKK671" t="str">
        <f>IFERROR(VLOOKUP(IKL671,'[3]Raw material  (3)'!IKJ653:ILB3729,3,0),"")</f>
        <v/>
      </c>
      <c r="IKL671" t="str">
        <f>IFERROR(VLOOKUP(IKM671,'[3]Raw material  (3)'!IKK653:ILC3729,3,0),"")</f>
        <v/>
      </c>
      <c r="IKM671" t="str">
        <f>IFERROR(VLOOKUP(IKN671,'[3]Raw material  (3)'!IKL653:ILD3729,3,0),"")</f>
        <v/>
      </c>
      <c r="IKN671" t="str">
        <f>IFERROR(VLOOKUP(IKO671,'[3]Raw material  (3)'!IKM653:ILE3729,3,0),"")</f>
        <v/>
      </c>
      <c r="IKO671" t="str">
        <f>IFERROR(VLOOKUP(IKP671,'[3]Raw material  (3)'!IKN653:ILF3729,3,0),"")</f>
        <v/>
      </c>
      <c r="IKP671" t="str">
        <f>IFERROR(VLOOKUP(IKQ671,'[3]Raw material  (3)'!IKO653:ILG3729,3,0),"")</f>
        <v/>
      </c>
      <c r="IKQ671" t="str">
        <f>IFERROR(VLOOKUP(IKR671,'[3]Raw material  (3)'!IKP653:ILH3729,3,0),"")</f>
        <v/>
      </c>
      <c r="IKR671" t="str">
        <f>IFERROR(VLOOKUP(IKS671,'[3]Raw material  (3)'!IKQ653:ILI3729,3,0),"")</f>
        <v/>
      </c>
      <c r="IKS671" t="str">
        <f>IFERROR(VLOOKUP(IKT671,'[3]Raw material  (3)'!IKR653:ILJ3729,3,0),"")</f>
        <v/>
      </c>
      <c r="IKT671" t="str">
        <f>IFERROR(VLOOKUP(IKU671,'[3]Raw material  (3)'!IKS653:ILK3729,3,0),"")</f>
        <v/>
      </c>
      <c r="IKU671" t="str">
        <f>IFERROR(VLOOKUP(IKV671,'[3]Raw material  (3)'!IKT653:ILL3729,3,0),"")</f>
        <v/>
      </c>
      <c r="IKV671" t="str">
        <f>IFERROR(VLOOKUP(IKW671,'[3]Raw material  (3)'!IKU653:ILM3729,3,0),"")</f>
        <v/>
      </c>
      <c r="IKW671" t="str">
        <f>IFERROR(VLOOKUP(IKX671,'[3]Raw material  (3)'!IKV653:ILN3729,3,0),"")</f>
        <v/>
      </c>
      <c r="IKX671" t="str">
        <f>IFERROR(VLOOKUP(IKY671,'[3]Raw material  (3)'!IKW653:ILO3729,3,0),"")</f>
        <v/>
      </c>
      <c r="IKY671" t="str">
        <f>IFERROR(VLOOKUP(IKZ671,'[3]Raw material  (3)'!IKX653:ILP3729,3,0),"")</f>
        <v/>
      </c>
      <c r="IKZ671" t="str">
        <f>IFERROR(VLOOKUP(ILA671,'[3]Raw material  (3)'!IKY653:ILQ3729,3,0),"")</f>
        <v/>
      </c>
      <c r="ILA671" t="str">
        <f>IFERROR(VLOOKUP(ILB671,'[3]Raw material  (3)'!IKZ653:ILR3729,3,0),"")</f>
        <v/>
      </c>
      <c r="ILB671" t="str">
        <f>IFERROR(VLOOKUP(ILC671,'[3]Raw material  (3)'!ILA653:ILS3729,3,0),"")</f>
        <v/>
      </c>
      <c r="ILC671" t="str">
        <f>IFERROR(VLOOKUP(ILD671,'[3]Raw material  (3)'!ILB653:ILT3729,3,0),"")</f>
        <v/>
      </c>
      <c r="ILD671" t="str">
        <f>IFERROR(VLOOKUP(ILE671,'[3]Raw material  (3)'!ILC653:ILU3729,3,0),"")</f>
        <v/>
      </c>
      <c r="ILE671" t="str">
        <f>IFERROR(VLOOKUP(ILF671,'[3]Raw material  (3)'!ILD653:ILV3729,3,0),"")</f>
        <v/>
      </c>
      <c r="ILF671" t="str">
        <f>IFERROR(VLOOKUP(ILG671,'[3]Raw material  (3)'!ILE653:ILW3729,3,0),"")</f>
        <v/>
      </c>
      <c r="ILG671" t="str">
        <f>IFERROR(VLOOKUP(ILH671,'[3]Raw material  (3)'!ILF653:ILX3729,3,0),"")</f>
        <v/>
      </c>
      <c r="ILH671" t="str">
        <f>IFERROR(VLOOKUP(ILI671,'[3]Raw material  (3)'!ILG653:ILY3729,3,0),"")</f>
        <v/>
      </c>
      <c r="ILI671" t="str">
        <f>IFERROR(VLOOKUP(ILJ671,'[3]Raw material  (3)'!ILH653:ILZ3729,3,0),"")</f>
        <v/>
      </c>
      <c r="ILJ671" t="str">
        <f>IFERROR(VLOOKUP(ILK671,'[3]Raw material  (3)'!ILI653:IMA3729,3,0),"")</f>
        <v/>
      </c>
      <c r="ILK671" t="str">
        <f>IFERROR(VLOOKUP(ILL671,'[3]Raw material  (3)'!ILJ653:IMB3729,3,0),"")</f>
        <v/>
      </c>
      <c r="ILL671" t="str">
        <f>IFERROR(VLOOKUP(ILM671,'[3]Raw material  (3)'!ILK653:IMC3729,3,0),"")</f>
        <v/>
      </c>
      <c r="ILM671" t="str">
        <f>IFERROR(VLOOKUP(ILN671,'[3]Raw material  (3)'!ILL653:IMD3729,3,0),"")</f>
        <v/>
      </c>
      <c r="ILN671" t="str">
        <f>IFERROR(VLOOKUP(ILO671,'[3]Raw material  (3)'!ILM653:IME3729,3,0),"")</f>
        <v/>
      </c>
      <c r="ILO671" t="str">
        <f>IFERROR(VLOOKUP(ILP671,'[3]Raw material  (3)'!ILN653:IMF3729,3,0),"")</f>
        <v/>
      </c>
      <c r="ILP671" t="str">
        <f>IFERROR(VLOOKUP(ILQ671,'[3]Raw material  (3)'!ILO653:IMG3729,3,0),"")</f>
        <v/>
      </c>
      <c r="ILQ671" t="str">
        <f>IFERROR(VLOOKUP(ILR671,'[3]Raw material  (3)'!ILP653:IMH3729,3,0),"")</f>
        <v/>
      </c>
      <c r="ILR671" t="str">
        <f>IFERROR(VLOOKUP(ILS671,'[3]Raw material  (3)'!ILQ653:IMI3729,3,0),"")</f>
        <v/>
      </c>
      <c r="ILS671" t="str">
        <f>IFERROR(VLOOKUP(ILT671,'[3]Raw material  (3)'!ILR653:IMJ3729,3,0),"")</f>
        <v/>
      </c>
      <c r="ILT671" t="str">
        <f>IFERROR(VLOOKUP(ILU671,'[3]Raw material  (3)'!ILS653:IMK3729,3,0),"")</f>
        <v/>
      </c>
      <c r="ILU671" t="str">
        <f>IFERROR(VLOOKUP(ILV671,'[3]Raw material  (3)'!ILT653:IML3729,3,0),"")</f>
        <v/>
      </c>
      <c r="ILV671" t="str">
        <f>IFERROR(VLOOKUP(ILW671,'[3]Raw material  (3)'!ILU653:IMM3729,3,0),"")</f>
        <v/>
      </c>
      <c r="ILW671" t="str">
        <f>IFERROR(VLOOKUP(ILX671,'[3]Raw material  (3)'!ILV653:IMN3729,3,0),"")</f>
        <v/>
      </c>
      <c r="ILX671" t="str">
        <f>IFERROR(VLOOKUP(ILY671,'[3]Raw material  (3)'!ILW653:IMO3729,3,0),"")</f>
        <v/>
      </c>
      <c r="ILY671" t="str">
        <f>IFERROR(VLOOKUP(ILZ671,'[3]Raw material  (3)'!ILX653:IMP3729,3,0),"")</f>
        <v/>
      </c>
      <c r="ILZ671" t="str">
        <f>IFERROR(VLOOKUP(IMA671,'[3]Raw material  (3)'!ILY653:IMQ3729,3,0),"")</f>
        <v/>
      </c>
      <c r="IMA671" t="str">
        <f>IFERROR(VLOOKUP(IMB671,'[3]Raw material  (3)'!ILZ653:IMR3729,3,0),"")</f>
        <v/>
      </c>
      <c r="IMB671" t="str">
        <f>IFERROR(VLOOKUP(IMC671,'[3]Raw material  (3)'!IMA653:IMS3729,3,0),"")</f>
        <v/>
      </c>
      <c r="IMC671" t="str">
        <f>IFERROR(VLOOKUP(IMD671,'[3]Raw material  (3)'!IMB653:IMT3729,3,0),"")</f>
        <v/>
      </c>
      <c r="IMD671" t="str">
        <f>IFERROR(VLOOKUP(IME671,'[3]Raw material  (3)'!IMC653:IMU3729,3,0),"")</f>
        <v/>
      </c>
      <c r="IME671" t="str">
        <f>IFERROR(VLOOKUP(IMF671,'[3]Raw material  (3)'!IMD653:IMV3729,3,0),"")</f>
        <v/>
      </c>
      <c r="IMF671" t="str">
        <f>IFERROR(VLOOKUP(IMG671,'[3]Raw material  (3)'!IME653:IMW3729,3,0),"")</f>
        <v/>
      </c>
      <c r="IMG671" t="str">
        <f>IFERROR(VLOOKUP(IMH671,'[3]Raw material  (3)'!IMF653:IMX3729,3,0),"")</f>
        <v/>
      </c>
      <c r="IMH671" t="str">
        <f>IFERROR(VLOOKUP(IMI671,'[3]Raw material  (3)'!IMG653:IMY3729,3,0),"")</f>
        <v/>
      </c>
      <c r="IMI671" t="str">
        <f>IFERROR(VLOOKUP(IMJ671,'[3]Raw material  (3)'!IMH653:IMZ3729,3,0),"")</f>
        <v/>
      </c>
      <c r="IMJ671" t="str">
        <f>IFERROR(VLOOKUP(IMK671,'[3]Raw material  (3)'!IMI653:INA3729,3,0),"")</f>
        <v/>
      </c>
      <c r="IMK671" t="str">
        <f>IFERROR(VLOOKUP(IML671,'[3]Raw material  (3)'!IMJ653:INB3729,3,0),"")</f>
        <v/>
      </c>
      <c r="IML671" t="str">
        <f>IFERROR(VLOOKUP(IMM671,'[3]Raw material  (3)'!IMK653:INC3729,3,0),"")</f>
        <v/>
      </c>
      <c r="IMM671" t="str">
        <f>IFERROR(VLOOKUP(IMN671,'[3]Raw material  (3)'!IML653:IND3729,3,0),"")</f>
        <v/>
      </c>
      <c r="IMN671" t="str">
        <f>IFERROR(VLOOKUP(IMO671,'[3]Raw material  (3)'!IMM653:INE3729,3,0),"")</f>
        <v/>
      </c>
      <c r="IMO671" t="str">
        <f>IFERROR(VLOOKUP(IMP671,'[3]Raw material  (3)'!IMN653:INF3729,3,0),"")</f>
        <v/>
      </c>
      <c r="IMP671" t="str">
        <f>IFERROR(VLOOKUP(IMQ671,'[3]Raw material  (3)'!IMO653:ING3729,3,0),"")</f>
        <v/>
      </c>
      <c r="IMQ671" t="str">
        <f>IFERROR(VLOOKUP(IMR671,'[3]Raw material  (3)'!IMP653:INH3729,3,0),"")</f>
        <v/>
      </c>
      <c r="IMR671" t="str">
        <f>IFERROR(VLOOKUP(IMS671,'[3]Raw material  (3)'!IMQ653:INI3729,3,0),"")</f>
        <v/>
      </c>
      <c r="IMS671" t="str">
        <f>IFERROR(VLOOKUP(IMT671,'[3]Raw material  (3)'!IMR653:INJ3729,3,0),"")</f>
        <v/>
      </c>
      <c r="IMT671" t="str">
        <f>IFERROR(VLOOKUP(IMU671,'[3]Raw material  (3)'!IMS653:INK3729,3,0),"")</f>
        <v/>
      </c>
      <c r="IMU671" t="str">
        <f>IFERROR(VLOOKUP(IMV671,'[3]Raw material  (3)'!IMT653:INL3729,3,0),"")</f>
        <v/>
      </c>
      <c r="IMV671" t="str">
        <f>IFERROR(VLOOKUP(IMW671,'[3]Raw material  (3)'!IMU653:INM3729,3,0),"")</f>
        <v/>
      </c>
      <c r="IMW671" t="str">
        <f>IFERROR(VLOOKUP(IMX671,'[3]Raw material  (3)'!IMV653:INN3729,3,0),"")</f>
        <v/>
      </c>
      <c r="IMX671" t="str">
        <f>IFERROR(VLOOKUP(IMY671,'[3]Raw material  (3)'!IMW653:INO3729,3,0),"")</f>
        <v/>
      </c>
      <c r="IMY671" t="str">
        <f>IFERROR(VLOOKUP(IMZ671,'[3]Raw material  (3)'!IMX653:INP3729,3,0),"")</f>
        <v/>
      </c>
      <c r="IMZ671" t="str">
        <f>IFERROR(VLOOKUP(INA671,'[3]Raw material  (3)'!IMY653:INQ3729,3,0),"")</f>
        <v/>
      </c>
      <c r="INA671" t="str">
        <f>IFERROR(VLOOKUP(INB671,'[3]Raw material  (3)'!IMZ653:INR3729,3,0),"")</f>
        <v/>
      </c>
      <c r="INB671" t="str">
        <f>IFERROR(VLOOKUP(INC671,'[3]Raw material  (3)'!INA653:INS3729,3,0),"")</f>
        <v/>
      </c>
      <c r="INC671" t="str">
        <f>IFERROR(VLOOKUP(IND671,'[3]Raw material  (3)'!INB653:INT3729,3,0),"")</f>
        <v/>
      </c>
      <c r="IND671" t="str">
        <f>IFERROR(VLOOKUP(INE671,'[3]Raw material  (3)'!INC653:INU3729,3,0),"")</f>
        <v/>
      </c>
      <c r="INE671" t="str">
        <f>IFERROR(VLOOKUP(INF671,'[3]Raw material  (3)'!IND653:INV3729,3,0),"")</f>
        <v/>
      </c>
      <c r="INF671" t="str">
        <f>IFERROR(VLOOKUP(ING671,'[3]Raw material  (3)'!INE653:INW3729,3,0),"")</f>
        <v/>
      </c>
      <c r="ING671" t="str">
        <f>IFERROR(VLOOKUP(INH671,'[3]Raw material  (3)'!INF653:INX3729,3,0),"")</f>
        <v/>
      </c>
      <c r="INH671" t="str">
        <f>IFERROR(VLOOKUP(INI671,'[3]Raw material  (3)'!ING653:INY3729,3,0),"")</f>
        <v/>
      </c>
      <c r="INI671" t="str">
        <f>IFERROR(VLOOKUP(INJ671,'[3]Raw material  (3)'!INH653:INZ3729,3,0),"")</f>
        <v/>
      </c>
      <c r="INJ671" t="str">
        <f>IFERROR(VLOOKUP(INK671,'[3]Raw material  (3)'!INI653:IOA3729,3,0),"")</f>
        <v/>
      </c>
      <c r="INK671" t="str">
        <f>IFERROR(VLOOKUP(INL671,'[3]Raw material  (3)'!INJ653:IOB3729,3,0),"")</f>
        <v/>
      </c>
      <c r="INL671" t="str">
        <f>IFERROR(VLOOKUP(INM671,'[3]Raw material  (3)'!INK653:IOC3729,3,0),"")</f>
        <v/>
      </c>
      <c r="INM671" t="str">
        <f>IFERROR(VLOOKUP(INN671,'[3]Raw material  (3)'!INL653:IOD3729,3,0),"")</f>
        <v/>
      </c>
      <c r="INN671" t="str">
        <f>IFERROR(VLOOKUP(INO671,'[3]Raw material  (3)'!INM653:IOE3729,3,0),"")</f>
        <v/>
      </c>
      <c r="INO671" t="str">
        <f>IFERROR(VLOOKUP(INP671,'[3]Raw material  (3)'!INN653:IOF3729,3,0),"")</f>
        <v/>
      </c>
      <c r="INP671" t="str">
        <f>IFERROR(VLOOKUP(INQ671,'[3]Raw material  (3)'!INO653:IOG3729,3,0),"")</f>
        <v/>
      </c>
      <c r="INQ671" t="str">
        <f>IFERROR(VLOOKUP(INR671,'[3]Raw material  (3)'!INP653:IOH3729,3,0),"")</f>
        <v/>
      </c>
      <c r="INR671" t="str">
        <f>IFERROR(VLOOKUP(INS671,'[3]Raw material  (3)'!INQ653:IOI3729,3,0),"")</f>
        <v/>
      </c>
      <c r="INS671" t="str">
        <f>IFERROR(VLOOKUP(INT671,'[3]Raw material  (3)'!INR653:IOJ3729,3,0),"")</f>
        <v/>
      </c>
      <c r="INT671" t="str">
        <f>IFERROR(VLOOKUP(INU671,'[3]Raw material  (3)'!INS653:IOK3729,3,0),"")</f>
        <v/>
      </c>
      <c r="INU671" t="str">
        <f>IFERROR(VLOOKUP(INV671,'[3]Raw material  (3)'!INT653:IOL3729,3,0),"")</f>
        <v/>
      </c>
      <c r="INV671" t="str">
        <f>IFERROR(VLOOKUP(INW671,'[3]Raw material  (3)'!INU653:IOM3729,3,0),"")</f>
        <v/>
      </c>
      <c r="INW671" t="str">
        <f>IFERROR(VLOOKUP(INX671,'[3]Raw material  (3)'!INV653:ION3729,3,0),"")</f>
        <v/>
      </c>
      <c r="INX671" t="str">
        <f>IFERROR(VLOOKUP(INY671,'[3]Raw material  (3)'!INW653:IOO3729,3,0),"")</f>
        <v/>
      </c>
      <c r="INY671" t="str">
        <f>IFERROR(VLOOKUP(INZ671,'[3]Raw material  (3)'!INX653:IOP3729,3,0),"")</f>
        <v/>
      </c>
      <c r="INZ671" t="str">
        <f>IFERROR(VLOOKUP(IOA671,'[3]Raw material  (3)'!INY653:IOQ3729,3,0),"")</f>
        <v/>
      </c>
      <c r="IOA671" t="str">
        <f>IFERROR(VLOOKUP(IOB671,'[3]Raw material  (3)'!INZ653:IOR3729,3,0),"")</f>
        <v/>
      </c>
      <c r="IOB671" t="str">
        <f>IFERROR(VLOOKUP(IOC671,'[3]Raw material  (3)'!IOA653:IOS3729,3,0),"")</f>
        <v/>
      </c>
      <c r="IOC671" t="str">
        <f>IFERROR(VLOOKUP(IOD671,'[3]Raw material  (3)'!IOB653:IOT3729,3,0),"")</f>
        <v/>
      </c>
      <c r="IOD671" t="str">
        <f>IFERROR(VLOOKUP(IOE671,'[3]Raw material  (3)'!IOC653:IOU3729,3,0),"")</f>
        <v/>
      </c>
      <c r="IOE671" t="str">
        <f>IFERROR(VLOOKUP(IOF671,'[3]Raw material  (3)'!IOD653:IOV3729,3,0),"")</f>
        <v/>
      </c>
      <c r="IOF671" t="str">
        <f>IFERROR(VLOOKUP(IOG671,'[3]Raw material  (3)'!IOE653:IOW3729,3,0),"")</f>
        <v/>
      </c>
      <c r="IOG671" t="str">
        <f>IFERROR(VLOOKUP(IOH671,'[3]Raw material  (3)'!IOF653:IOX3729,3,0),"")</f>
        <v/>
      </c>
      <c r="IOH671" t="str">
        <f>IFERROR(VLOOKUP(IOI671,'[3]Raw material  (3)'!IOG653:IOY3729,3,0),"")</f>
        <v/>
      </c>
      <c r="IOI671" t="str">
        <f>IFERROR(VLOOKUP(IOJ671,'[3]Raw material  (3)'!IOH653:IOZ3729,3,0),"")</f>
        <v/>
      </c>
      <c r="IOJ671" t="str">
        <f>IFERROR(VLOOKUP(IOK671,'[3]Raw material  (3)'!IOI653:IPA3729,3,0),"")</f>
        <v/>
      </c>
      <c r="IOK671" t="str">
        <f>IFERROR(VLOOKUP(IOL671,'[3]Raw material  (3)'!IOJ653:IPB3729,3,0),"")</f>
        <v/>
      </c>
      <c r="IOL671" t="str">
        <f>IFERROR(VLOOKUP(IOM671,'[3]Raw material  (3)'!IOK653:IPC3729,3,0),"")</f>
        <v/>
      </c>
      <c r="IOM671" t="str">
        <f>IFERROR(VLOOKUP(ION671,'[3]Raw material  (3)'!IOL653:IPD3729,3,0),"")</f>
        <v/>
      </c>
      <c r="ION671" t="str">
        <f>IFERROR(VLOOKUP(IOO671,'[3]Raw material  (3)'!IOM653:IPE3729,3,0),"")</f>
        <v/>
      </c>
      <c r="IOO671" t="str">
        <f>IFERROR(VLOOKUP(IOP671,'[3]Raw material  (3)'!ION653:IPF3729,3,0),"")</f>
        <v/>
      </c>
      <c r="IOP671" t="str">
        <f>IFERROR(VLOOKUP(IOQ671,'[3]Raw material  (3)'!IOO653:IPG3729,3,0),"")</f>
        <v/>
      </c>
      <c r="IOQ671" t="str">
        <f>IFERROR(VLOOKUP(IOR671,'[3]Raw material  (3)'!IOP653:IPH3729,3,0),"")</f>
        <v/>
      </c>
      <c r="IOR671" t="str">
        <f>IFERROR(VLOOKUP(IOS671,'[3]Raw material  (3)'!IOQ653:IPI3729,3,0),"")</f>
        <v/>
      </c>
      <c r="IOS671" t="str">
        <f>IFERROR(VLOOKUP(IOT671,'[3]Raw material  (3)'!IOR653:IPJ3729,3,0),"")</f>
        <v/>
      </c>
      <c r="IOT671" t="str">
        <f>IFERROR(VLOOKUP(IOU671,'[3]Raw material  (3)'!IOS653:IPK3729,3,0),"")</f>
        <v/>
      </c>
      <c r="IOU671" t="str">
        <f>IFERROR(VLOOKUP(IOV671,'[3]Raw material  (3)'!IOT653:IPL3729,3,0),"")</f>
        <v/>
      </c>
      <c r="IOV671" t="str">
        <f>IFERROR(VLOOKUP(IOW671,'[3]Raw material  (3)'!IOU653:IPM3729,3,0),"")</f>
        <v/>
      </c>
      <c r="IOW671" t="str">
        <f>IFERROR(VLOOKUP(IOX671,'[3]Raw material  (3)'!IOV653:IPN3729,3,0),"")</f>
        <v/>
      </c>
      <c r="IOX671" t="str">
        <f>IFERROR(VLOOKUP(IOY671,'[3]Raw material  (3)'!IOW653:IPO3729,3,0),"")</f>
        <v/>
      </c>
      <c r="IOY671" t="str">
        <f>IFERROR(VLOOKUP(IOZ671,'[3]Raw material  (3)'!IOX653:IPP3729,3,0),"")</f>
        <v/>
      </c>
      <c r="IOZ671" t="str">
        <f>IFERROR(VLOOKUP(IPA671,'[3]Raw material  (3)'!IOY653:IPQ3729,3,0),"")</f>
        <v/>
      </c>
      <c r="IPA671" t="str">
        <f>IFERROR(VLOOKUP(IPB671,'[3]Raw material  (3)'!IOZ653:IPR3729,3,0),"")</f>
        <v/>
      </c>
      <c r="IPB671" t="str">
        <f>IFERROR(VLOOKUP(IPC671,'[3]Raw material  (3)'!IPA653:IPS3729,3,0),"")</f>
        <v/>
      </c>
      <c r="IPC671" t="str">
        <f>IFERROR(VLOOKUP(IPD671,'[3]Raw material  (3)'!IPB653:IPT3729,3,0),"")</f>
        <v/>
      </c>
      <c r="IPD671" t="str">
        <f>IFERROR(VLOOKUP(IPE671,'[3]Raw material  (3)'!IPC653:IPU3729,3,0),"")</f>
        <v/>
      </c>
      <c r="IPE671" t="str">
        <f>IFERROR(VLOOKUP(IPF671,'[3]Raw material  (3)'!IPD653:IPV3729,3,0),"")</f>
        <v/>
      </c>
      <c r="IPF671" t="str">
        <f>IFERROR(VLOOKUP(IPG671,'[3]Raw material  (3)'!IPE653:IPW3729,3,0),"")</f>
        <v/>
      </c>
      <c r="IPG671" t="str">
        <f>IFERROR(VLOOKUP(IPH671,'[3]Raw material  (3)'!IPF653:IPX3729,3,0),"")</f>
        <v/>
      </c>
      <c r="IPH671" t="str">
        <f>IFERROR(VLOOKUP(IPI671,'[3]Raw material  (3)'!IPG653:IPY3729,3,0),"")</f>
        <v/>
      </c>
      <c r="IPI671" t="str">
        <f>IFERROR(VLOOKUP(IPJ671,'[3]Raw material  (3)'!IPH653:IPZ3729,3,0),"")</f>
        <v/>
      </c>
      <c r="IPJ671" t="str">
        <f>IFERROR(VLOOKUP(IPK671,'[3]Raw material  (3)'!IPI653:IQA3729,3,0),"")</f>
        <v/>
      </c>
      <c r="IPK671" t="str">
        <f>IFERROR(VLOOKUP(IPL671,'[3]Raw material  (3)'!IPJ653:IQB3729,3,0),"")</f>
        <v/>
      </c>
      <c r="IPL671" t="str">
        <f>IFERROR(VLOOKUP(IPM671,'[3]Raw material  (3)'!IPK653:IQC3729,3,0),"")</f>
        <v/>
      </c>
      <c r="IPM671" t="str">
        <f>IFERROR(VLOOKUP(IPN671,'[3]Raw material  (3)'!IPL653:IQD3729,3,0),"")</f>
        <v/>
      </c>
      <c r="IPN671" t="str">
        <f>IFERROR(VLOOKUP(IPO671,'[3]Raw material  (3)'!IPM653:IQE3729,3,0),"")</f>
        <v/>
      </c>
      <c r="IPO671" t="str">
        <f>IFERROR(VLOOKUP(IPP671,'[3]Raw material  (3)'!IPN653:IQF3729,3,0),"")</f>
        <v/>
      </c>
      <c r="IPP671" t="str">
        <f>IFERROR(VLOOKUP(IPQ671,'[3]Raw material  (3)'!IPO653:IQG3729,3,0),"")</f>
        <v/>
      </c>
      <c r="IPQ671" t="str">
        <f>IFERROR(VLOOKUP(IPR671,'[3]Raw material  (3)'!IPP653:IQH3729,3,0),"")</f>
        <v/>
      </c>
      <c r="IPR671" t="str">
        <f>IFERROR(VLOOKUP(IPS671,'[3]Raw material  (3)'!IPQ653:IQI3729,3,0),"")</f>
        <v/>
      </c>
      <c r="IPS671" t="str">
        <f>IFERROR(VLOOKUP(IPT671,'[3]Raw material  (3)'!IPR653:IQJ3729,3,0),"")</f>
        <v/>
      </c>
      <c r="IPT671" t="str">
        <f>IFERROR(VLOOKUP(IPU671,'[3]Raw material  (3)'!IPS653:IQK3729,3,0),"")</f>
        <v/>
      </c>
      <c r="IPU671" t="str">
        <f>IFERROR(VLOOKUP(IPV671,'[3]Raw material  (3)'!IPT653:IQL3729,3,0),"")</f>
        <v/>
      </c>
      <c r="IPV671" t="str">
        <f>IFERROR(VLOOKUP(IPW671,'[3]Raw material  (3)'!IPU653:IQM3729,3,0),"")</f>
        <v/>
      </c>
      <c r="IPW671" t="str">
        <f>IFERROR(VLOOKUP(IPX671,'[3]Raw material  (3)'!IPV653:IQN3729,3,0),"")</f>
        <v/>
      </c>
      <c r="IPX671" t="str">
        <f>IFERROR(VLOOKUP(IPY671,'[3]Raw material  (3)'!IPW653:IQO3729,3,0),"")</f>
        <v/>
      </c>
      <c r="IPY671" t="str">
        <f>IFERROR(VLOOKUP(IPZ671,'[3]Raw material  (3)'!IPX653:IQP3729,3,0),"")</f>
        <v/>
      </c>
      <c r="IPZ671" t="str">
        <f>IFERROR(VLOOKUP(IQA671,'[3]Raw material  (3)'!IPY653:IQQ3729,3,0),"")</f>
        <v/>
      </c>
      <c r="IQA671" t="str">
        <f>IFERROR(VLOOKUP(IQB671,'[3]Raw material  (3)'!IPZ653:IQR3729,3,0),"")</f>
        <v/>
      </c>
      <c r="IQB671" t="str">
        <f>IFERROR(VLOOKUP(IQC671,'[3]Raw material  (3)'!IQA653:IQS3729,3,0),"")</f>
        <v/>
      </c>
      <c r="IQC671" t="str">
        <f>IFERROR(VLOOKUP(IQD671,'[3]Raw material  (3)'!IQB653:IQT3729,3,0),"")</f>
        <v/>
      </c>
      <c r="IQD671" t="str">
        <f>IFERROR(VLOOKUP(IQE671,'[3]Raw material  (3)'!IQC653:IQU3729,3,0),"")</f>
        <v/>
      </c>
      <c r="IQE671" t="str">
        <f>IFERROR(VLOOKUP(IQF671,'[3]Raw material  (3)'!IQD653:IQV3729,3,0),"")</f>
        <v/>
      </c>
      <c r="IQF671" t="str">
        <f>IFERROR(VLOOKUP(IQG671,'[3]Raw material  (3)'!IQE653:IQW3729,3,0),"")</f>
        <v/>
      </c>
      <c r="IQG671" t="str">
        <f>IFERROR(VLOOKUP(IQH671,'[3]Raw material  (3)'!IQF653:IQX3729,3,0),"")</f>
        <v/>
      </c>
      <c r="IQH671" t="str">
        <f>IFERROR(VLOOKUP(IQI671,'[3]Raw material  (3)'!IQG653:IQY3729,3,0),"")</f>
        <v/>
      </c>
      <c r="IQI671" t="str">
        <f>IFERROR(VLOOKUP(IQJ671,'[3]Raw material  (3)'!IQH653:IQZ3729,3,0),"")</f>
        <v/>
      </c>
      <c r="IQJ671" t="str">
        <f>IFERROR(VLOOKUP(IQK671,'[3]Raw material  (3)'!IQI653:IRA3729,3,0),"")</f>
        <v/>
      </c>
      <c r="IQK671" t="str">
        <f>IFERROR(VLOOKUP(IQL671,'[3]Raw material  (3)'!IQJ653:IRB3729,3,0),"")</f>
        <v/>
      </c>
      <c r="IQL671" t="str">
        <f>IFERROR(VLOOKUP(IQM671,'[3]Raw material  (3)'!IQK653:IRC3729,3,0),"")</f>
        <v/>
      </c>
      <c r="IQM671" t="str">
        <f>IFERROR(VLOOKUP(IQN671,'[3]Raw material  (3)'!IQL653:IRD3729,3,0),"")</f>
        <v/>
      </c>
      <c r="IQN671" t="str">
        <f>IFERROR(VLOOKUP(IQO671,'[3]Raw material  (3)'!IQM653:IRE3729,3,0),"")</f>
        <v/>
      </c>
      <c r="IQO671" t="str">
        <f>IFERROR(VLOOKUP(IQP671,'[3]Raw material  (3)'!IQN653:IRF3729,3,0),"")</f>
        <v/>
      </c>
      <c r="IQP671" t="str">
        <f>IFERROR(VLOOKUP(IQQ671,'[3]Raw material  (3)'!IQO653:IRG3729,3,0),"")</f>
        <v/>
      </c>
      <c r="IQQ671" t="str">
        <f>IFERROR(VLOOKUP(IQR671,'[3]Raw material  (3)'!IQP653:IRH3729,3,0),"")</f>
        <v/>
      </c>
      <c r="IQR671" t="str">
        <f>IFERROR(VLOOKUP(IQS671,'[3]Raw material  (3)'!IQQ653:IRI3729,3,0),"")</f>
        <v/>
      </c>
      <c r="IQS671" t="str">
        <f>IFERROR(VLOOKUP(IQT671,'[3]Raw material  (3)'!IQR653:IRJ3729,3,0),"")</f>
        <v/>
      </c>
      <c r="IQT671" t="str">
        <f>IFERROR(VLOOKUP(IQU671,'[3]Raw material  (3)'!IQS653:IRK3729,3,0),"")</f>
        <v/>
      </c>
      <c r="IQU671" t="str">
        <f>IFERROR(VLOOKUP(IQV671,'[3]Raw material  (3)'!IQT653:IRL3729,3,0),"")</f>
        <v/>
      </c>
      <c r="IQV671" t="str">
        <f>IFERROR(VLOOKUP(IQW671,'[3]Raw material  (3)'!IQU653:IRM3729,3,0),"")</f>
        <v/>
      </c>
      <c r="IQW671" t="str">
        <f>IFERROR(VLOOKUP(IQX671,'[3]Raw material  (3)'!IQV653:IRN3729,3,0),"")</f>
        <v/>
      </c>
      <c r="IQX671" t="str">
        <f>IFERROR(VLOOKUP(IQY671,'[3]Raw material  (3)'!IQW653:IRO3729,3,0),"")</f>
        <v/>
      </c>
      <c r="IQY671" t="str">
        <f>IFERROR(VLOOKUP(IQZ671,'[3]Raw material  (3)'!IQX653:IRP3729,3,0),"")</f>
        <v/>
      </c>
      <c r="IQZ671" t="str">
        <f>IFERROR(VLOOKUP(IRA671,'[3]Raw material  (3)'!IQY653:IRQ3729,3,0),"")</f>
        <v/>
      </c>
      <c r="IRA671" t="str">
        <f>IFERROR(VLOOKUP(IRB671,'[3]Raw material  (3)'!IQZ653:IRR3729,3,0),"")</f>
        <v/>
      </c>
      <c r="IRB671" t="str">
        <f>IFERROR(VLOOKUP(IRC671,'[3]Raw material  (3)'!IRA653:IRS3729,3,0),"")</f>
        <v/>
      </c>
      <c r="IRC671" t="str">
        <f>IFERROR(VLOOKUP(IRD671,'[3]Raw material  (3)'!IRB653:IRT3729,3,0),"")</f>
        <v/>
      </c>
      <c r="IRD671" t="str">
        <f>IFERROR(VLOOKUP(IRE671,'[3]Raw material  (3)'!IRC653:IRU3729,3,0),"")</f>
        <v/>
      </c>
      <c r="IRE671" t="str">
        <f>IFERROR(VLOOKUP(IRF671,'[3]Raw material  (3)'!IRD653:IRV3729,3,0),"")</f>
        <v/>
      </c>
      <c r="IRF671" t="str">
        <f>IFERROR(VLOOKUP(IRG671,'[3]Raw material  (3)'!IRE653:IRW3729,3,0),"")</f>
        <v/>
      </c>
      <c r="IRG671" t="str">
        <f>IFERROR(VLOOKUP(IRH671,'[3]Raw material  (3)'!IRF653:IRX3729,3,0),"")</f>
        <v/>
      </c>
      <c r="IRH671" t="str">
        <f>IFERROR(VLOOKUP(IRI671,'[3]Raw material  (3)'!IRG653:IRY3729,3,0),"")</f>
        <v/>
      </c>
      <c r="IRI671" t="str">
        <f>IFERROR(VLOOKUP(IRJ671,'[3]Raw material  (3)'!IRH653:IRZ3729,3,0),"")</f>
        <v/>
      </c>
      <c r="IRJ671" t="str">
        <f>IFERROR(VLOOKUP(IRK671,'[3]Raw material  (3)'!IRI653:ISA3729,3,0),"")</f>
        <v/>
      </c>
      <c r="IRK671" t="str">
        <f>IFERROR(VLOOKUP(IRL671,'[3]Raw material  (3)'!IRJ653:ISB3729,3,0),"")</f>
        <v/>
      </c>
      <c r="IRL671" t="str">
        <f>IFERROR(VLOOKUP(IRM671,'[3]Raw material  (3)'!IRK653:ISC3729,3,0),"")</f>
        <v/>
      </c>
      <c r="IRM671" t="str">
        <f>IFERROR(VLOOKUP(IRN671,'[3]Raw material  (3)'!IRL653:ISD3729,3,0),"")</f>
        <v/>
      </c>
      <c r="IRN671" t="str">
        <f>IFERROR(VLOOKUP(IRO671,'[3]Raw material  (3)'!IRM653:ISE3729,3,0),"")</f>
        <v/>
      </c>
      <c r="IRO671" t="str">
        <f>IFERROR(VLOOKUP(IRP671,'[3]Raw material  (3)'!IRN653:ISF3729,3,0),"")</f>
        <v/>
      </c>
      <c r="IRP671" t="str">
        <f>IFERROR(VLOOKUP(IRQ671,'[3]Raw material  (3)'!IRO653:ISG3729,3,0),"")</f>
        <v/>
      </c>
      <c r="IRQ671" t="str">
        <f>IFERROR(VLOOKUP(IRR671,'[3]Raw material  (3)'!IRP653:ISH3729,3,0),"")</f>
        <v/>
      </c>
      <c r="IRR671" t="str">
        <f>IFERROR(VLOOKUP(IRS671,'[3]Raw material  (3)'!IRQ653:ISI3729,3,0),"")</f>
        <v/>
      </c>
      <c r="IRS671" t="str">
        <f>IFERROR(VLOOKUP(IRT671,'[3]Raw material  (3)'!IRR653:ISJ3729,3,0),"")</f>
        <v/>
      </c>
      <c r="IRT671" t="str">
        <f>IFERROR(VLOOKUP(IRU671,'[3]Raw material  (3)'!IRS653:ISK3729,3,0),"")</f>
        <v/>
      </c>
      <c r="IRU671" t="str">
        <f>IFERROR(VLOOKUP(IRV671,'[3]Raw material  (3)'!IRT653:ISL3729,3,0),"")</f>
        <v/>
      </c>
      <c r="IRV671" t="str">
        <f>IFERROR(VLOOKUP(IRW671,'[3]Raw material  (3)'!IRU653:ISM3729,3,0),"")</f>
        <v/>
      </c>
      <c r="IRW671" t="str">
        <f>IFERROR(VLOOKUP(IRX671,'[3]Raw material  (3)'!IRV653:ISN3729,3,0),"")</f>
        <v/>
      </c>
      <c r="IRX671" t="str">
        <f>IFERROR(VLOOKUP(IRY671,'[3]Raw material  (3)'!IRW653:ISO3729,3,0),"")</f>
        <v/>
      </c>
      <c r="IRY671" t="str">
        <f>IFERROR(VLOOKUP(IRZ671,'[3]Raw material  (3)'!IRX653:ISP3729,3,0),"")</f>
        <v/>
      </c>
      <c r="IRZ671" t="str">
        <f>IFERROR(VLOOKUP(ISA671,'[3]Raw material  (3)'!IRY653:ISQ3729,3,0),"")</f>
        <v/>
      </c>
      <c r="ISA671" t="str">
        <f>IFERROR(VLOOKUP(ISB671,'[3]Raw material  (3)'!IRZ653:ISR3729,3,0),"")</f>
        <v/>
      </c>
      <c r="ISB671" t="str">
        <f>IFERROR(VLOOKUP(ISC671,'[3]Raw material  (3)'!ISA653:ISS3729,3,0),"")</f>
        <v/>
      </c>
      <c r="ISC671" t="str">
        <f>IFERROR(VLOOKUP(ISD671,'[3]Raw material  (3)'!ISB653:IST3729,3,0),"")</f>
        <v/>
      </c>
      <c r="ISD671" t="str">
        <f>IFERROR(VLOOKUP(ISE671,'[3]Raw material  (3)'!ISC653:ISU3729,3,0),"")</f>
        <v/>
      </c>
      <c r="ISE671" t="str">
        <f>IFERROR(VLOOKUP(ISF671,'[3]Raw material  (3)'!ISD653:ISV3729,3,0),"")</f>
        <v/>
      </c>
      <c r="ISF671" t="str">
        <f>IFERROR(VLOOKUP(ISG671,'[3]Raw material  (3)'!ISE653:ISW3729,3,0),"")</f>
        <v/>
      </c>
      <c r="ISG671" t="str">
        <f>IFERROR(VLOOKUP(ISH671,'[3]Raw material  (3)'!ISF653:ISX3729,3,0),"")</f>
        <v/>
      </c>
      <c r="ISH671" t="str">
        <f>IFERROR(VLOOKUP(ISI671,'[3]Raw material  (3)'!ISG653:ISY3729,3,0),"")</f>
        <v/>
      </c>
      <c r="ISI671" t="str">
        <f>IFERROR(VLOOKUP(ISJ671,'[3]Raw material  (3)'!ISH653:ISZ3729,3,0),"")</f>
        <v/>
      </c>
      <c r="ISJ671" t="str">
        <f>IFERROR(VLOOKUP(ISK671,'[3]Raw material  (3)'!ISI653:ITA3729,3,0),"")</f>
        <v/>
      </c>
      <c r="ISK671" t="str">
        <f>IFERROR(VLOOKUP(ISL671,'[3]Raw material  (3)'!ISJ653:ITB3729,3,0),"")</f>
        <v/>
      </c>
      <c r="ISL671" t="str">
        <f>IFERROR(VLOOKUP(ISM671,'[3]Raw material  (3)'!ISK653:ITC3729,3,0),"")</f>
        <v/>
      </c>
      <c r="ISM671" t="str">
        <f>IFERROR(VLOOKUP(ISN671,'[3]Raw material  (3)'!ISL653:ITD3729,3,0),"")</f>
        <v/>
      </c>
      <c r="ISN671" t="str">
        <f>IFERROR(VLOOKUP(ISO671,'[3]Raw material  (3)'!ISM653:ITE3729,3,0),"")</f>
        <v/>
      </c>
      <c r="ISO671" t="str">
        <f>IFERROR(VLOOKUP(ISP671,'[3]Raw material  (3)'!ISN653:ITF3729,3,0),"")</f>
        <v/>
      </c>
      <c r="ISP671" t="str">
        <f>IFERROR(VLOOKUP(ISQ671,'[3]Raw material  (3)'!ISO653:ITG3729,3,0),"")</f>
        <v/>
      </c>
      <c r="ISQ671" t="str">
        <f>IFERROR(VLOOKUP(ISR671,'[3]Raw material  (3)'!ISP653:ITH3729,3,0),"")</f>
        <v/>
      </c>
      <c r="ISR671" t="str">
        <f>IFERROR(VLOOKUP(ISS671,'[3]Raw material  (3)'!ISQ653:ITI3729,3,0),"")</f>
        <v/>
      </c>
      <c r="ISS671" t="str">
        <f>IFERROR(VLOOKUP(IST671,'[3]Raw material  (3)'!ISR653:ITJ3729,3,0),"")</f>
        <v/>
      </c>
      <c r="IST671" t="str">
        <f>IFERROR(VLOOKUP(ISU671,'[3]Raw material  (3)'!ISS653:ITK3729,3,0),"")</f>
        <v/>
      </c>
      <c r="ISU671" t="str">
        <f>IFERROR(VLOOKUP(ISV671,'[3]Raw material  (3)'!IST653:ITL3729,3,0),"")</f>
        <v/>
      </c>
      <c r="ISV671" t="str">
        <f>IFERROR(VLOOKUP(ISW671,'[3]Raw material  (3)'!ISU653:ITM3729,3,0),"")</f>
        <v/>
      </c>
      <c r="ISW671" t="str">
        <f>IFERROR(VLOOKUP(ISX671,'[3]Raw material  (3)'!ISV653:ITN3729,3,0),"")</f>
        <v/>
      </c>
      <c r="ISX671" t="str">
        <f>IFERROR(VLOOKUP(ISY671,'[3]Raw material  (3)'!ISW653:ITO3729,3,0),"")</f>
        <v/>
      </c>
      <c r="ISY671" t="str">
        <f>IFERROR(VLOOKUP(ISZ671,'[3]Raw material  (3)'!ISX653:ITP3729,3,0),"")</f>
        <v/>
      </c>
      <c r="ISZ671" t="str">
        <f>IFERROR(VLOOKUP(ITA671,'[3]Raw material  (3)'!ISY653:ITQ3729,3,0),"")</f>
        <v/>
      </c>
      <c r="ITA671" t="str">
        <f>IFERROR(VLOOKUP(ITB671,'[3]Raw material  (3)'!ISZ653:ITR3729,3,0),"")</f>
        <v/>
      </c>
      <c r="ITB671" t="str">
        <f>IFERROR(VLOOKUP(ITC671,'[3]Raw material  (3)'!ITA653:ITS3729,3,0),"")</f>
        <v/>
      </c>
      <c r="ITC671" t="str">
        <f>IFERROR(VLOOKUP(ITD671,'[3]Raw material  (3)'!ITB653:ITT3729,3,0),"")</f>
        <v/>
      </c>
      <c r="ITD671" t="str">
        <f>IFERROR(VLOOKUP(ITE671,'[3]Raw material  (3)'!ITC653:ITU3729,3,0),"")</f>
        <v/>
      </c>
      <c r="ITE671" t="str">
        <f>IFERROR(VLOOKUP(ITF671,'[3]Raw material  (3)'!ITD653:ITV3729,3,0),"")</f>
        <v/>
      </c>
      <c r="ITF671" t="str">
        <f>IFERROR(VLOOKUP(ITG671,'[3]Raw material  (3)'!ITE653:ITW3729,3,0),"")</f>
        <v/>
      </c>
      <c r="ITG671" t="str">
        <f>IFERROR(VLOOKUP(ITH671,'[3]Raw material  (3)'!ITF653:ITX3729,3,0),"")</f>
        <v/>
      </c>
      <c r="ITH671" t="str">
        <f>IFERROR(VLOOKUP(ITI671,'[3]Raw material  (3)'!ITG653:ITY3729,3,0),"")</f>
        <v/>
      </c>
      <c r="ITI671" t="str">
        <f>IFERROR(VLOOKUP(ITJ671,'[3]Raw material  (3)'!ITH653:ITZ3729,3,0),"")</f>
        <v/>
      </c>
      <c r="ITJ671" t="str">
        <f>IFERROR(VLOOKUP(ITK671,'[3]Raw material  (3)'!ITI653:IUA3729,3,0),"")</f>
        <v/>
      </c>
      <c r="ITK671" t="str">
        <f>IFERROR(VLOOKUP(ITL671,'[3]Raw material  (3)'!ITJ653:IUB3729,3,0),"")</f>
        <v/>
      </c>
      <c r="ITL671" t="str">
        <f>IFERROR(VLOOKUP(ITM671,'[3]Raw material  (3)'!ITK653:IUC3729,3,0),"")</f>
        <v/>
      </c>
      <c r="ITM671" t="str">
        <f>IFERROR(VLOOKUP(ITN671,'[3]Raw material  (3)'!ITL653:IUD3729,3,0),"")</f>
        <v/>
      </c>
      <c r="ITN671" t="str">
        <f>IFERROR(VLOOKUP(ITO671,'[3]Raw material  (3)'!ITM653:IUE3729,3,0),"")</f>
        <v/>
      </c>
      <c r="ITO671" t="str">
        <f>IFERROR(VLOOKUP(ITP671,'[3]Raw material  (3)'!ITN653:IUF3729,3,0),"")</f>
        <v/>
      </c>
      <c r="ITP671" t="str">
        <f>IFERROR(VLOOKUP(ITQ671,'[3]Raw material  (3)'!ITO653:IUG3729,3,0),"")</f>
        <v/>
      </c>
      <c r="ITQ671" t="str">
        <f>IFERROR(VLOOKUP(ITR671,'[3]Raw material  (3)'!ITP653:IUH3729,3,0),"")</f>
        <v/>
      </c>
      <c r="ITR671" t="str">
        <f>IFERROR(VLOOKUP(ITS671,'[3]Raw material  (3)'!ITQ653:IUI3729,3,0),"")</f>
        <v/>
      </c>
      <c r="ITS671" t="str">
        <f>IFERROR(VLOOKUP(ITT671,'[3]Raw material  (3)'!ITR653:IUJ3729,3,0),"")</f>
        <v/>
      </c>
      <c r="ITT671" t="str">
        <f>IFERROR(VLOOKUP(ITU671,'[3]Raw material  (3)'!ITS653:IUK3729,3,0),"")</f>
        <v/>
      </c>
      <c r="ITU671" t="str">
        <f>IFERROR(VLOOKUP(ITV671,'[3]Raw material  (3)'!ITT653:IUL3729,3,0),"")</f>
        <v/>
      </c>
      <c r="ITV671" t="str">
        <f>IFERROR(VLOOKUP(ITW671,'[3]Raw material  (3)'!ITU653:IUM3729,3,0),"")</f>
        <v/>
      </c>
      <c r="ITW671" t="str">
        <f>IFERROR(VLOOKUP(ITX671,'[3]Raw material  (3)'!ITV653:IUN3729,3,0),"")</f>
        <v/>
      </c>
      <c r="ITX671" t="str">
        <f>IFERROR(VLOOKUP(ITY671,'[3]Raw material  (3)'!ITW653:IUO3729,3,0),"")</f>
        <v/>
      </c>
      <c r="ITY671" t="str">
        <f>IFERROR(VLOOKUP(ITZ671,'[3]Raw material  (3)'!ITX653:IUP3729,3,0),"")</f>
        <v/>
      </c>
      <c r="ITZ671" t="str">
        <f>IFERROR(VLOOKUP(IUA671,'[3]Raw material  (3)'!ITY653:IUQ3729,3,0),"")</f>
        <v/>
      </c>
      <c r="IUA671" t="str">
        <f>IFERROR(VLOOKUP(IUB671,'[3]Raw material  (3)'!ITZ653:IUR3729,3,0),"")</f>
        <v/>
      </c>
      <c r="IUB671" t="str">
        <f>IFERROR(VLOOKUP(IUC671,'[3]Raw material  (3)'!IUA653:IUS3729,3,0),"")</f>
        <v/>
      </c>
      <c r="IUC671" t="str">
        <f>IFERROR(VLOOKUP(IUD671,'[3]Raw material  (3)'!IUB653:IUT3729,3,0),"")</f>
        <v/>
      </c>
      <c r="IUD671" t="str">
        <f>IFERROR(VLOOKUP(IUE671,'[3]Raw material  (3)'!IUC653:IUU3729,3,0),"")</f>
        <v/>
      </c>
      <c r="IUE671" t="str">
        <f>IFERROR(VLOOKUP(IUF671,'[3]Raw material  (3)'!IUD653:IUV3729,3,0),"")</f>
        <v/>
      </c>
      <c r="IUF671" t="str">
        <f>IFERROR(VLOOKUP(IUG671,'[3]Raw material  (3)'!IUE653:IUW3729,3,0),"")</f>
        <v/>
      </c>
      <c r="IUG671" t="str">
        <f>IFERROR(VLOOKUP(IUH671,'[3]Raw material  (3)'!IUF653:IUX3729,3,0),"")</f>
        <v/>
      </c>
      <c r="IUH671" t="str">
        <f>IFERROR(VLOOKUP(IUI671,'[3]Raw material  (3)'!IUG653:IUY3729,3,0),"")</f>
        <v/>
      </c>
      <c r="IUI671" t="str">
        <f>IFERROR(VLOOKUP(IUJ671,'[3]Raw material  (3)'!IUH653:IUZ3729,3,0),"")</f>
        <v/>
      </c>
      <c r="IUJ671" t="str">
        <f>IFERROR(VLOOKUP(IUK671,'[3]Raw material  (3)'!IUI653:IVA3729,3,0),"")</f>
        <v/>
      </c>
      <c r="IUK671" t="str">
        <f>IFERROR(VLOOKUP(IUL671,'[3]Raw material  (3)'!IUJ653:IVB3729,3,0),"")</f>
        <v/>
      </c>
      <c r="IUL671" t="str">
        <f>IFERROR(VLOOKUP(IUM671,'[3]Raw material  (3)'!IUK653:IVC3729,3,0),"")</f>
        <v/>
      </c>
      <c r="IUM671" t="str">
        <f>IFERROR(VLOOKUP(IUN671,'[3]Raw material  (3)'!IUL653:IVD3729,3,0),"")</f>
        <v/>
      </c>
      <c r="IUN671" t="str">
        <f>IFERROR(VLOOKUP(IUO671,'[3]Raw material  (3)'!IUM653:IVE3729,3,0),"")</f>
        <v/>
      </c>
      <c r="IUO671" t="str">
        <f>IFERROR(VLOOKUP(IUP671,'[3]Raw material  (3)'!IUN653:IVF3729,3,0),"")</f>
        <v/>
      </c>
      <c r="IUP671" t="str">
        <f>IFERROR(VLOOKUP(IUQ671,'[3]Raw material  (3)'!IUO653:IVG3729,3,0),"")</f>
        <v/>
      </c>
      <c r="IUQ671" t="str">
        <f>IFERROR(VLOOKUP(IUR671,'[3]Raw material  (3)'!IUP653:IVH3729,3,0),"")</f>
        <v/>
      </c>
      <c r="IUR671" t="str">
        <f>IFERROR(VLOOKUP(IUS671,'[3]Raw material  (3)'!IUQ653:IVI3729,3,0),"")</f>
        <v/>
      </c>
      <c r="IUS671" t="str">
        <f>IFERROR(VLOOKUP(IUT671,'[3]Raw material  (3)'!IUR653:IVJ3729,3,0),"")</f>
        <v/>
      </c>
      <c r="IUT671" t="str">
        <f>IFERROR(VLOOKUP(IUU671,'[3]Raw material  (3)'!IUS653:IVK3729,3,0),"")</f>
        <v/>
      </c>
      <c r="IUU671" t="str">
        <f>IFERROR(VLOOKUP(IUV671,'[3]Raw material  (3)'!IUT653:IVL3729,3,0),"")</f>
        <v/>
      </c>
      <c r="IUV671" t="str">
        <f>IFERROR(VLOOKUP(IUW671,'[3]Raw material  (3)'!IUU653:IVM3729,3,0),"")</f>
        <v/>
      </c>
      <c r="IUW671" t="str">
        <f>IFERROR(VLOOKUP(IUX671,'[3]Raw material  (3)'!IUV653:IVN3729,3,0),"")</f>
        <v/>
      </c>
      <c r="IUX671" t="str">
        <f>IFERROR(VLOOKUP(IUY671,'[3]Raw material  (3)'!IUW653:IVO3729,3,0),"")</f>
        <v/>
      </c>
      <c r="IUY671" t="str">
        <f>IFERROR(VLOOKUP(IUZ671,'[3]Raw material  (3)'!IUX653:IVP3729,3,0),"")</f>
        <v/>
      </c>
      <c r="IUZ671" t="str">
        <f>IFERROR(VLOOKUP(IVA671,'[3]Raw material  (3)'!IUY653:IVQ3729,3,0),"")</f>
        <v/>
      </c>
      <c r="IVA671" t="str">
        <f>IFERROR(VLOOKUP(IVB671,'[3]Raw material  (3)'!IUZ653:IVR3729,3,0),"")</f>
        <v/>
      </c>
      <c r="IVB671" t="str">
        <f>IFERROR(VLOOKUP(IVC671,'[3]Raw material  (3)'!IVA653:IVS3729,3,0),"")</f>
        <v/>
      </c>
      <c r="IVC671" t="str">
        <f>IFERROR(VLOOKUP(IVD671,'[3]Raw material  (3)'!IVB653:IVT3729,3,0),"")</f>
        <v/>
      </c>
      <c r="IVD671" t="str">
        <f>IFERROR(VLOOKUP(IVE671,'[3]Raw material  (3)'!IVC653:IVU3729,3,0),"")</f>
        <v/>
      </c>
      <c r="IVE671" t="str">
        <f>IFERROR(VLOOKUP(IVF671,'[3]Raw material  (3)'!IVD653:IVV3729,3,0),"")</f>
        <v/>
      </c>
      <c r="IVF671" t="str">
        <f>IFERROR(VLOOKUP(IVG671,'[3]Raw material  (3)'!IVE653:IVW3729,3,0),"")</f>
        <v/>
      </c>
      <c r="IVG671" t="str">
        <f>IFERROR(VLOOKUP(IVH671,'[3]Raw material  (3)'!IVF653:IVX3729,3,0),"")</f>
        <v/>
      </c>
      <c r="IVH671" t="str">
        <f>IFERROR(VLOOKUP(IVI671,'[3]Raw material  (3)'!IVG653:IVY3729,3,0),"")</f>
        <v/>
      </c>
      <c r="IVI671" t="str">
        <f>IFERROR(VLOOKUP(IVJ671,'[3]Raw material  (3)'!IVH653:IVZ3729,3,0),"")</f>
        <v/>
      </c>
      <c r="IVJ671" t="str">
        <f>IFERROR(VLOOKUP(IVK671,'[3]Raw material  (3)'!IVI653:IWA3729,3,0),"")</f>
        <v/>
      </c>
      <c r="IVK671" t="str">
        <f>IFERROR(VLOOKUP(IVL671,'[3]Raw material  (3)'!IVJ653:IWB3729,3,0),"")</f>
        <v/>
      </c>
      <c r="IVL671" t="str">
        <f>IFERROR(VLOOKUP(IVM671,'[3]Raw material  (3)'!IVK653:IWC3729,3,0),"")</f>
        <v/>
      </c>
      <c r="IVM671" t="str">
        <f>IFERROR(VLOOKUP(IVN671,'[3]Raw material  (3)'!IVL653:IWD3729,3,0),"")</f>
        <v/>
      </c>
      <c r="IVN671" t="str">
        <f>IFERROR(VLOOKUP(IVO671,'[3]Raw material  (3)'!IVM653:IWE3729,3,0),"")</f>
        <v/>
      </c>
      <c r="IVO671" t="str">
        <f>IFERROR(VLOOKUP(IVP671,'[3]Raw material  (3)'!IVN653:IWF3729,3,0),"")</f>
        <v/>
      </c>
      <c r="IVP671" t="str">
        <f>IFERROR(VLOOKUP(IVQ671,'[3]Raw material  (3)'!IVO653:IWG3729,3,0),"")</f>
        <v/>
      </c>
      <c r="IVQ671" t="str">
        <f>IFERROR(VLOOKUP(IVR671,'[3]Raw material  (3)'!IVP653:IWH3729,3,0),"")</f>
        <v/>
      </c>
      <c r="IVR671" t="str">
        <f>IFERROR(VLOOKUP(IVS671,'[3]Raw material  (3)'!IVQ653:IWI3729,3,0),"")</f>
        <v/>
      </c>
      <c r="IVS671" t="str">
        <f>IFERROR(VLOOKUP(IVT671,'[3]Raw material  (3)'!IVR653:IWJ3729,3,0),"")</f>
        <v/>
      </c>
      <c r="IVT671" t="str">
        <f>IFERROR(VLOOKUP(IVU671,'[3]Raw material  (3)'!IVS653:IWK3729,3,0),"")</f>
        <v/>
      </c>
      <c r="IVU671" t="str">
        <f>IFERROR(VLOOKUP(IVV671,'[3]Raw material  (3)'!IVT653:IWL3729,3,0),"")</f>
        <v/>
      </c>
      <c r="IVV671" t="str">
        <f>IFERROR(VLOOKUP(IVW671,'[3]Raw material  (3)'!IVU653:IWM3729,3,0),"")</f>
        <v/>
      </c>
      <c r="IVW671" t="str">
        <f>IFERROR(VLOOKUP(IVX671,'[3]Raw material  (3)'!IVV653:IWN3729,3,0),"")</f>
        <v/>
      </c>
      <c r="IVX671" t="str">
        <f>IFERROR(VLOOKUP(IVY671,'[3]Raw material  (3)'!IVW653:IWO3729,3,0),"")</f>
        <v/>
      </c>
      <c r="IVY671" t="str">
        <f>IFERROR(VLOOKUP(IVZ671,'[3]Raw material  (3)'!IVX653:IWP3729,3,0),"")</f>
        <v/>
      </c>
      <c r="IVZ671" t="str">
        <f>IFERROR(VLOOKUP(IWA671,'[3]Raw material  (3)'!IVY653:IWQ3729,3,0),"")</f>
        <v/>
      </c>
      <c r="IWA671" t="str">
        <f>IFERROR(VLOOKUP(IWB671,'[3]Raw material  (3)'!IVZ653:IWR3729,3,0),"")</f>
        <v/>
      </c>
      <c r="IWB671" t="str">
        <f>IFERROR(VLOOKUP(IWC671,'[3]Raw material  (3)'!IWA653:IWS3729,3,0),"")</f>
        <v/>
      </c>
      <c r="IWC671" t="str">
        <f>IFERROR(VLOOKUP(IWD671,'[3]Raw material  (3)'!IWB653:IWT3729,3,0),"")</f>
        <v/>
      </c>
      <c r="IWD671" t="str">
        <f>IFERROR(VLOOKUP(IWE671,'[3]Raw material  (3)'!IWC653:IWU3729,3,0),"")</f>
        <v/>
      </c>
      <c r="IWE671" t="str">
        <f>IFERROR(VLOOKUP(IWF671,'[3]Raw material  (3)'!IWD653:IWV3729,3,0),"")</f>
        <v/>
      </c>
      <c r="IWF671" t="str">
        <f>IFERROR(VLOOKUP(IWG671,'[3]Raw material  (3)'!IWE653:IWW3729,3,0),"")</f>
        <v/>
      </c>
      <c r="IWG671" t="str">
        <f>IFERROR(VLOOKUP(IWH671,'[3]Raw material  (3)'!IWF653:IWX3729,3,0),"")</f>
        <v/>
      </c>
      <c r="IWH671" t="str">
        <f>IFERROR(VLOOKUP(IWI671,'[3]Raw material  (3)'!IWG653:IWY3729,3,0),"")</f>
        <v/>
      </c>
      <c r="IWI671" t="str">
        <f>IFERROR(VLOOKUP(IWJ671,'[3]Raw material  (3)'!IWH653:IWZ3729,3,0),"")</f>
        <v/>
      </c>
      <c r="IWJ671" t="str">
        <f>IFERROR(VLOOKUP(IWK671,'[3]Raw material  (3)'!IWI653:IXA3729,3,0),"")</f>
        <v/>
      </c>
      <c r="IWK671" t="str">
        <f>IFERROR(VLOOKUP(IWL671,'[3]Raw material  (3)'!IWJ653:IXB3729,3,0),"")</f>
        <v/>
      </c>
      <c r="IWL671" t="str">
        <f>IFERROR(VLOOKUP(IWM671,'[3]Raw material  (3)'!IWK653:IXC3729,3,0),"")</f>
        <v/>
      </c>
      <c r="IWM671" t="str">
        <f>IFERROR(VLOOKUP(IWN671,'[3]Raw material  (3)'!IWL653:IXD3729,3,0),"")</f>
        <v/>
      </c>
      <c r="IWN671" t="str">
        <f>IFERROR(VLOOKUP(IWO671,'[3]Raw material  (3)'!IWM653:IXE3729,3,0),"")</f>
        <v/>
      </c>
      <c r="IWO671" t="str">
        <f>IFERROR(VLOOKUP(IWP671,'[3]Raw material  (3)'!IWN653:IXF3729,3,0),"")</f>
        <v/>
      </c>
      <c r="IWP671" t="str">
        <f>IFERROR(VLOOKUP(IWQ671,'[3]Raw material  (3)'!IWO653:IXG3729,3,0),"")</f>
        <v/>
      </c>
      <c r="IWQ671" t="str">
        <f>IFERROR(VLOOKUP(IWR671,'[3]Raw material  (3)'!IWP653:IXH3729,3,0),"")</f>
        <v/>
      </c>
      <c r="IWR671" t="str">
        <f>IFERROR(VLOOKUP(IWS671,'[3]Raw material  (3)'!IWQ653:IXI3729,3,0),"")</f>
        <v/>
      </c>
      <c r="IWS671" t="str">
        <f>IFERROR(VLOOKUP(IWT671,'[3]Raw material  (3)'!IWR653:IXJ3729,3,0),"")</f>
        <v/>
      </c>
      <c r="IWT671" t="str">
        <f>IFERROR(VLOOKUP(IWU671,'[3]Raw material  (3)'!IWS653:IXK3729,3,0),"")</f>
        <v/>
      </c>
      <c r="IWU671" t="str">
        <f>IFERROR(VLOOKUP(IWV671,'[3]Raw material  (3)'!IWT653:IXL3729,3,0),"")</f>
        <v/>
      </c>
      <c r="IWV671" t="str">
        <f>IFERROR(VLOOKUP(IWW671,'[3]Raw material  (3)'!IWU653:IXM3729,3,0),"")</f>
        <v/>
      </c>
      <c r="IWW671" t="str">
        <f>IFERROR(VLOOKUP(IWX671,'[3]Raw material  (3)'!IWV653:IXN3729,3,0),"")</f>
        <v/>
      </c>
      <c r="IWX671" t="str">
        <f>IFERROR(VLOOKUP(IWY671,'[3]Raw material  (3)'!IWW653:IXO3729,3,0),"")</f>
        <v/>
      </c>
      <c r="IWY671" t="str">
        <f>IFERROR(VLOOKUP(IWZ671,'[3]Raw material  (3)'!IWX653:IXP3729,3,0),"")</f>
        <v/>
      </c>
      <c r="IWZ671" t="str">
        <f>IFERROR(VLOOKUP(IXA671,'[3]Raw material  (3)'!IWY653:IXQ3729,3,0),"")</f>
        <v/>
      </c>
      <c r="IXA671" t="str">
        <f>IFERROR(VLOOKUP(IXB671,'[3]Raw material  (3)'!IWZ653:IXR3729,3,0),"")</f>
        <v/>
      </c>
      <c r="IXB671" t="str">
        <f>IFERROR(VLOOKUP(IXC671,'[3]Raw material  (3)'!IXA653:IXS3729,3,0),"")</f>
        <v/>
      </c>
      <c r="IXC671" t="str">
        <f>IFERROR(VLOOKUP(IXD671,'[3]Raw material  (3)'!IXB653:IXT3729,3,0),"")</f>
        <v/>
      </c>
      <c r="IXD671" t="str">
        <f>IFERROR(VLOOKUP(IXE671,'[3]Raw material  (3)'!IXC653:IXU3729,3,0),"")</f>
        <v/>
      </c>
      <c r="IXE671" t="str">
        <f>IFERROR(VLOOKUP(IXF671,'[3]Raw material  (3)'!IXD653:IXV3729,3,0),"")</f>
        <v/>
      </c>
      <c r="IXF671" t="str">
        <f>IFERROR(VLOOKUP(IXG671,'[3]Raw material  (3)'!IXE653:IXW3729,3,0),"")</f>
        <v/>
      </c>
      <c r="IXG671" t="str">
        <f>IFERROR(VLOOKUP(IXH671,'[3]Raw material  (3)'!IXF653:IXX3729,3,0),"")</f>
        <v/>
      </c>
      <c r="IXH671" t="str">
        <f>IFERROR(VLOOKUP(IXI671,'[3]Raw material  (3)'!IXG653:IXY3729,3,0),"")</f>
        <v/>
      </c>
      <c r="IXI671" t="str">
        <f>IFERROR(VLOOKUP(IXJ671,'[3]Raw material  (3)'!IXH653:IXZ3729,3,0),"")</f>
        <v/>
      </c>
      <c r="IXJ671" t="str">
        <f>IFERROR(VLOOKUP(IXK671,'[3]Raw material  (3)'!IXI653:IYA3729,3,0),"")</f>
        <v/>
      </c>
      <c r="IXK671" t="str">
        <f>IFERROR(VLOOKUP(IXL671,'[3]Raw material  (3)'!IXJ653:IYB3729,3,0),"")</f>
        <v/>
      </c>
      <c r="IXL671" t="str">
        <f>IFERROR(VLOOKUP(IXM671,'[3]Raw material  (3)'!IXK653:IYC3729,3,0),"")</f>
        <v/>
      </c>
      <c r="IXM671" t="str">
        <f>IFERROR(VLOOKUP(IXN671,'[3]Raw material  (3)'!IXL653:IYD3729,3,0),"")</f>
        <v/>
      </c>
      <c r="IXN671" t="str">
        <f>IFERROR(VLOOKUP(IXO671,'[3]Raw material  (3)'!IXM653:IYE3729,3,0),"")</f>
        <v/>
      </c>
      <c r="IXO671" t="str">
        <f>IFERROR(VLOOKUP(IXP671,'[3]Raw material  (3)'!IXN653:IYF3729,3,0),"")</f>
        <v/>
      </c>
      <c r="IXP671" t="str">
        <f>IFERROR(VLOOKUP(IXQ671,'[3]Raw material  (3)'!IXO653:IYG3729,3,0),"")</f>
        <v/>
      </c>
      <c r="IXQ671" t="str">
        <f>IFERROR(VLOOKUP(IXR671,'[3]Raw material  (3)'!IXP653:IYH3729,3,0),"")</f>
        <v/>
      </c>
      <c r="IXR671" t="str">
        <f>IFERROR(VLOOKUP(IXS671,'[3]Raw material  (3)'!IXQ653:IYI3729,3,0),"")</f>
        <v/>
      </c>
      <c r="IXS671" t="str">
        <f>IFERROR(VLOOKUP(IXT671,'[3]Raw material  (3)'!IXR653:IYJ3729,3,0),"")</f>
        <v/>
      </c>
      <c r="IXT671" t="str">
        <f>IFERROR(VLOOKUP(IXU671,'[3]Raw material  (3)'!IXS653:IYK3729,3,0),"")</f>
        <v/>
      </c>
      <c r="IXU671" t="str">
        <f>IFERROR(VLOOKUP(IXV671,'[3]Raw material  (3)'!IXT653:IYL3729,3,0),"")</f>
        <v/>
      </c>
      <c r="IXV671" t="str">
        <f>IFERROR(VLOOKUP(IXW671,'[3]Raw material  (3)'!IXU653:IYM3729,3,0),"")</f>
        <v/>
      </c>
      <c r="IXW671" t="str">
        <f>IFERROR(VLOOKUP(IXX671,'[3]Raw material  (3)'!IXV653:IYN3729,3,0),"")</f>
        <v/>
      </c>
      <c r="IXX671" t="str">
        <f>IFERROR(VLOOKUP(IXY671,'[3]Raw material  (3)'!IXW653:IYO3729,3,0),"")</f>
        <v/>
      </c>
      <c r="IXY671" t="str">
        <f>IFERROR(VLOOKUP(IXZ671,'[3]Raw material  (3)'!IXX653:IYP3729,3,0),"")</f>
        <v/>
      </c>
      <c r="IXZ671" t="str">
        <f>IFERROR(VLOOKUP(IYA671,'[3]Raw material  (3)'!IXY653:IYQ3729,3,0),"")</f>
        <v/>
      </c>
      <c r="IYA671" t="str">
        <f>IFERROR(VLOOKUP(IYB671,'[3]Raw material  (3)'!IXZ653:IYR3729,3,0),"")</f>
        <v/>
      </c>
      <c r="IYB671" t="str">
        <f>IFERROR(VLOOKUP(IYC671,'[3]Raw material  (3)'!IYA653:IYS3729,3,0),"")</f>
        <v/>
      </c>
      <c r="IYC671" t="str">
        <f>IFERROR(VLOOKUP(IYD671,'[3]Raw material  (3)'!IYB653:IYT3729,3,0),"")</f>
        <v/>
      </c>
      <c r="IYD671" t="str">
        <f>IFERROR(VLOOKUP(IYE671,'[3]Raw material  (3)'!IYC653:IYU3729,3,0),"")</f>
        <v/>
      </c>
      <c r="IYE671" t="str">
        <f>IFERROR(VLOOKUP(IYF671,'[3]Raw material  (3)'!IYD653:IYV3729,3,0),"")</f>
        <v/>
      </c>
      <c r="IYF671" t="str">
        <f>IFERROR(VLOOKUP(IYG671,'[3]Raw material  (3)'!IYE653:IYW3729,3,0),"")</f>
        <v/>
      </c>
      <c r="IYG671" t="str">
        <f>IFERROR(VLOOKUP(IYH671,'[3]Raw material  (3)'!IYF653:IYX3729,3,0),"")</f>
        <v/>
      </c>
      <c r="IYH671" t="str">
        <f>IFERROR(VLOOKUP(IYI671,'[3]Raw material  (3)'!IYG653:IYY3729,3,0),"")</f>
        <v/>
      </c>
      <c r="IYI671" t="str">
        <f>IFERROR(VLOOKUP(IYJ671,'[3]Raw material  (3)'!IYH653:IYZ3729,3,0),"")</f>
        <v/>
      </c>
      <c r="IYJ671" t="str">
        <f>IFERROR(VLOOKUP(IYK671,'[3]Raw material  (3)'!IYI653:IZA3729,3,0),"")</f>
        <v/>
      </c>
      <c r="IYK671" t="str">
        <f>IFERROR(VLOOKUP(IYL671,'[3]Raw material  (3)'!IYJ653:IZB3729,3,0),"")</f>
        <v/>
      </c>
      <c r="IYL671" t="str">
        <f>IFERROR(VLOOKUP(IYM671,'[3]Raw material  (3)'!IYK653:IZC3729,3,0),"")</f>
        <v/>
      </c>
      <c r="IYM671" t="str">
        <f>IFERROR(VLOOKUP(IYN671,'[3]Raw material  (3)'!IYL653:IZD3729,3,0),"")</f>
        <v/>
      </c>
      <c r="IYN671" t="str">
        <f>IFERROR(VLOOKUP(IYO671,'[3]Raw material  (3)'!IYM653:IZE3729,3,0),"")</f>
        <v/>
      </c>
      <c r="IYO671" t="str">
        <f>IFERROR(VLOOKUP(IYP671,'[3]Raw material  (3)'!IYN653:IZF3729,3,0),"")</f>
        <v/>
      </c>
      <c r="IYP671" t="str">
        <f>IFERROR(VLOOKUP(IYQ671,'[3]Raw material  (3)'!IYO653:IZG3729,3,0),"")</f>
        <v/>
      </c>
      <c r="IYQ671" t="str">
        <f>IFERROR(VLOOKUP(IYR671,'[3]Raw material  (3)'!IYP653:IZH3729,3,0),"")</f>
        <v/>
      </c>
      <c r="IYR671" t="str">
        <f>IFERROR(VLOOKUP(IYS671,'[3]Raw material  (3)'!IYQ653:IZI3729,3,0),"")</f>
        <v/>
      </c>
      <c r="IYS671" t="str">
        <f>IFERROR(VLOOKUP(IYT671,'[3]Raw material  (3)'!IYR653:IZJ3729,3,0),"")</f>
        <v/>
      </c>
      <c r="IYT671" t="str">
        <f>IFERROR(VLOOKUP(IYU671,'[3]Raw material  (3)'!IYS653:IZK3729,3,0),"")</f>
        <v/>
      </c>
      <c r="IYU671" t="str">
        <f>IFERROR(VLOOKUP(IYV671,'[3]Raw material  (3)'!IYT653:IZL3729,3,0),"")</f>
        <v/>
      </c>
      <c r="IYV671" t="str">
        <f>IFERROR(VLOOKUP(IYW671,'[3]Raw material  (3)'!IYU653:IZM3729,3,0),"")</f>
        <v/>
      </c>
      <c r="IYW671" t="str">
        <f>IFERROR(VLOOKUP(IYX671,'[3]Raw material  (3)'!IYV653:IZN3729,3,0),"")</f>
        <v/>
      </c>
      <c r="IYX671" t="str">
        <f>IFERROR(VLOOKUP(IYY671,'[3]Raw material  (3)'!IYW653:IZO3729,3,0),"")</f>
        <v/>
      </c>
      <c r="IYY671" t="str">
        <f>IFERROR(VLOOKUP(IYZ671,'[3]Raw material  (3)'!IYX653:IZP3729,3,0),"")</f>
        <v/>
      </c>
      <c r="IYZ671" t="str">
        <f>IFERROR(VLOOKUP(IZA671,'[3]Raw material  (3)'!IYY653:IZQ3729,3,0),"")</f>
        <v/>
      </c>
      <c r="IZA671" t="str">
        <f>IFERROR(VLOOKUP(IZB671,'[3]Raw material  (3)'!IYZ653:IZR3729,3,0),"")</f>
        <v/>
      </c>
      <c r="IZB671" t="str">
        <f>IFERROR(VLOOKUP(IZC671,'[3]Raw material  (3)'!IZA653:IZS3729,3,0),"")</f>
        <v/>
      </c>
      <c r="IZC671" t="str">
        <f>IFERROR(VLOOKUP(IZD671,'[3]Raw material  (3)'!IZB653:IZT3729,3,0),"")</f>
        <v/>
      </c>
      <c r="IZD671" t="str">
        <f>IFERROR(VLOOKUP(IZE671,'[3]Raw material  (3)'!IZC653:IZU3729,3,0),"")</f>
        <v/>
      </c>
      <c r="IZE671" t="str">
        <f>IFERROR(VLOOKUP(IZF671,'[3]Raw material  (3)'!IZD653:IZV3729,3,0),"")</f>
        <v/>
      </c>
      <c r="IZF671" t="str">
        <f>IFERROR(VLOOKUP(IZG671,'[3]Raw material  (3)'!IZE653:IZW3729,3,0),"")</f>
        <v/>
      </c>
      <c r="IZG671" t="str">
        <f>IFERROR(VLOOKUP(IZH671,'[3]Raw material  (3)'!IZF653:IZX3729,3,0),"")</f>
        <v/>
      </c>
      <c r="IZH671" t="str">
        <f>IFERROR(VLOOKUP(IZI671,'[3]Raw material  (3)'!IZG653:IZY3729,3,0),"")</f>
        <v/>
      </c>
      <c r="IZI671" t="str">
        <f>IFERROR(VLOOKUP(IZJ671,'[3]Raw material  (3)'!IZH653:IZZ3729,3,0),"")</f>
        <v/>
      </c>
      <c r="IZJ671" t="str">
        <f>IFERROR(VLOOKUP(IZK671,'[3]Raw material  (3)'!IZI653:JAA3729,3,0),"")</f>
        <v/>
      </c>
      <c r="IZK671" t="str">
        <f>IFERROR(VLOOKUP(IZL671,'[3]Raw material  (3)'!IZJ653:JAB3729,3,0),"")</f>
        <v/>
      </c>
      <c r="IZL671" t="str">
        <f>IFERROR(VLOOKUP(IZM671,'[3]Raw material  (3)'!IZK653:JAC3729,3,0),"")</f>
        <v/>
      </c>
      <c r="IZM671" t="str">
        <f>IFERROR(VLOOKUP(IZN671,'[3]Raw material  (3)'!IZL653:JAD3729,3,0),"")</f>
        <v/>
      </c>
      <c r="IZN671" t="str">
        <f>IFERROR(VLOOKUP(IZO671,'[3]Raw material  (3)'!IZM653:JAE3729,3,0),"")</f>
        <v/>
      </c>
      <c r="IZO671" t="str">
        <f>IFERROR(VLOOKUP(IZP671,'[3]Raw material  (3)'!IZN653:JAF3729,3,0),"")</f>
        <v/>
      </c>
      <c r="IZP671" t="str">
        <f>IFERROR(VLOOKUP(IZQ671,'[3]Raw material  (3)'!IZO653:JAG3729,3,0),"")</f>
        <v/>
      </c>
      <c r="IZQ671" t="str">
        <f>IFERROR(VLOOKUP(IZR671,'[3]Raw material  (3)'!IZP653:JAH3729,3,0),"")</f>
        <v/>
      </c>
      <c r="IZR671" t="str">
        <f>IFERROR(VLOOKUP(IZS671,'[3]Raw material  (3)'!IZQ653:JAI3729,3,0),"")</f>
        <v/>
      </c>
      <c r="IZS671" t="str">
        <f>IFERROR(VLOOKUP(IZT671,'[3]Raw material  (3)'!IZR653:JAJ3729,3,0),"")</f>
        <v/>
      </c>
      <c r="IZT671" t="str">
        <f>IFERROR(VLOOKUP(IZU671,'[3]Raw material  (3)'!IZS653:JAK3729,3,0),"")</f>
        <v/>
      </c>
      <c r="IZU671" t="str">
        <f>IFERROR(VLOOKUP(IZV671,'[3]Raw material  (3)'!IZT653:JAL3729,3,0),"")</f>
        <v/>
      </c>
      <c r="IZV671" t="str">
        <f>IFERROR(VLOOKUP(IZW671,'[3]Raw material  (3)'!IZU653:JAM3729,3,0),"")</f>
        <v/>
      </c>
      <c r="IZW671" t="str">
        <f>IFERROR(VLOOKUP(IZX671,'[3]Raw material  (3)'!IZV653:JAN3729,3,0),"")</f>
        <v/>
      </c>
      <c r="IZX671" t="str">
        <f>IFERROR(VLOOKUP(IZY671,'[3]Raw material  (3)'!IZW653:JAO3729,3,0),"")</f>
        <v/>
      </c>
      <c r="IZY671" t="str">
        <f>IFERROR(VLOOKUP(IZZ671,'[3]Raw material  (3)'!IZX653:JAP3729,3,0),"")</f>
        <v/>
      </c>
      <c r="IZZ671" t="str">
        <f>IFERROR(VLOOKUP(JAA671,'[3]Raw material  (3)'!IZY653:JAQ3729,3,0),"")</f>
        <v/>
      </c>
      <c r="JAA671" t="str">
        <f>IFERROR(VLOOKUP(JAB671,'[3]Raw material  (3)'!IZZ653:JAR3729,3,0),"")</f>
        <v/>
      </c>
      <c r="JAB671" t="str">
        <f>IFERROR(VLOOKUP(JAC671,'[3]Raw material  (3)'!JAA653:JAS3729,3,0),"")</f>
        <v/>
      </c>
      <c r="JAC671" t="str">
        <f>IFERROR(VLOOKUP(JAD671,'[3]Raw material  (3)'!JAB653:JAT3729,3,0),"")</f>
        <v/>
      </c>
      <c r="JAD671" t="str">
        <f>IFERROR(VLOOKUP(JAE671,'[3]Raw material  (3)'!JAC653:JAU3729,3,0),"")</f>
        <v/>
      </c>
      <c r="JAE671" t="str">
        <f>IFERROR(VLOOKUP(JAF671,'[3]Raw material  (3)'!JAD653:JAV3729,3,0),"")</f>
        <v/>
      </c>
      <c r="JAF671" t="str">
        <f>IFERROR(VLOOKUP(JAG671,'[3]Raw material  (3)'!JAE653:JAW3729,3,0),"")</f>
        <v/>
      </c>
      <c r="JAG671" t="str">
        <f>IFERROR(VLOOKUP(JAH671,'[3]Raw material  (3)'!JAF653:JAX3729,3,0),"")</f>
        <v/>
      </c>
      <c r="JAH671" t="str">
        <f>IFERROR(VLOOKUP(JAI671,'[3]Raw material  (3)'!JAG653:JAY3729,3,0),"")</f>
        <v/>
      </c>
      <c r="JAI671" t="str">
        <f>IFERROR(VLOOKUP(JAJ671,'[3]Raw material  (3)'!JAH653:JAZ3729,3,0),"")</f>
        <v/>
      </c>
      <c r="JAJ671" t="str">
        <f>IFERROR(VLOOKUP(JAK671,'[3]Raw material  (3)'!JAI653:JBA3729,3,0),"")</f>
        <v/>
      </c>
      <c r="JAK671" t="str">
        <f>IFERROR(VLOOKUP(JAL671,'[3]Raw material  (3)'!JAJ653:JBB3729,3,0),"")</f>
        <v/>
      </c>
      <c r="JAL671" t="str">
        <f>IFERROR(VLOOKUP(JAM671,'[3]Raw material  (3)'!JAK653:JBC3729,3,0),"")</f>
        <v/>
      </c>
      <c r="JAM671" t="str">
        <f>IFERROR(VLOOKUP(JAN671,'[3]Raw material  (3)'!JAL653:JBD3729,3,0),"")</f>
        <v/>
      </c>
      <c r="JAN671" t="str">
        <f>IFERROR(VLOOKUP(JAO671,'[3]Raw material  (3)'!JAM653:JBE3729,3,0),"")</f>
        <v/>
      </c>
      <c r="JAO671" t="str">
        <f>IFERROR(VLOOKUP(JAP671,'[3]Raw material  (3)'!JAN653:JBF3729,3,0),"")</f>
        <v/>
      </c>
      <c r="JAP671" t="str">
        <f>IFERROR(VLOOKUP(JAQ671,'[3]Raw material  (3)'!JAO653:JBG3729,3,0),"")</f>
        <v/>
      </c>
      <c r="JAQ671" t="str">
        <f>IFERROR(VLOOKUP(JAR671,'[3]Raw material  (3)'!JAP653:JBH3729,3,0),"")</f>
        <v/>
      </c>
      <c r="JAR671" t="str">
        <f>IFERROR(VLOOKUP(JAS671,'[3]Raw material  (3)'!JAQ653:JBI3729,3,0),"")</f>
        <v/>
      </c>
      <c r="JAS671" t="str">
        <f>IFERROR(VLOOKUP(JAT671,'[3]Raw material  (3)'!JAR653:JBJ3729,3,0),"")</f>
        <v/>
      </c>
      <c r="JAT671" t="str">
        <f>IFERROR(VLOOKUP(JAU671,'[3]Raw material  (3)'!JAS653:JBK3729,3,0),"")</f>
        <v/>
      </c>
      <c r="JAU671" t="str">
        <f>IFERROR(VLOOKUP(JAV671,'[3]Raw material  (3)'!JAT653:JBL3729,3,0),"")</f>
        <v/>
      </c>
      <c r="JAV671" t="str">
        <f>IFERROR(VLOOKUP(JAW671,'[3]Raw material  (3)'!JAU653:JBM3729,3,0),"")</f>
        <v/>
      </c>
      <c r="JAW671" t="str">
        <f>IFERROR(VLOOKUP(JAX671,'[3]Raw material  (3)'!JAV653:JBN3729,3,0),"")</f>
        <v/>
      </c>
      <c r="JAX671" t="str">
        <f>IFERROR(VLOOKUP(JAY671,'[3]Raw material  (3)'!JAW653:JBO3729,3,0),"")</f>
        <v/>
      </c>
      <c r="JAY671" t="str">
        <f>IFERROR(VLOOKUP(JAZ671,'[3]Raw material  (3)'!JAX653:JBP3729,3,0),"")</f>
        <v/>
      </c>
      <c r="JAZ671" t="str">
        <f>IFERROR(VLOOKUP(JBA671,'[3]Raw material  (3)'!JAY653:JBQ3729,3,0),"")</f>
        <v/>
      </c>
      <c r="JBA671" t="str">
        <f>IFERROR(VLOOKUP(JBB671,'[3]Raw material  (3)'!JAZ653:JBR3729,3,0),"")</f>
        <v/>
      </c>
      <c r="JBB671" t="str">
        <f>IFERROR(VLOOKUP(JBC671,'[3]Raw material  (3)'!JBA653:JBS3729,3,0),"")</f>
        <v/>
      </c>
      <c r="JBC671" t="str">
        <f>IFERROR(VLOOKUP(JBD671,'[3]Raw material  (3)'!JBB653:JBT3729,3,0),"")</f>
        <v/>
      </c>
      <c r="JBD671" t="str">
        <f>IFERROR(VLOOKUP(JBE671,'[3]Raw material  (3)'!JBC653:JBU3729,3,0),"")</f>
        <v/>
      </c>
      <c r="JBE671" t="str">
        <f>IFERROR(VLOOKUP(JBF671,'[3]Raw material  (3)'!JBD653:JBV3729,3,0),"")</f>
        <v/>
      </c>
      <c r="JBF671" t="str">
        <f>IFERROR(VLOOKUP(JBG671,'[3]Raw material  (3)'!JBE653:JBW3729,3,0),"")</f>
        <v/>
      </c>
      <c r="JBG671" t="str">
        <f>IFERROR(VLOOKUP(JBH671,'[3]Raw material  (3)'!JBF653:JBX3729,3,0),"")</f>
        <v/>
      </c>
      <c r="JBH671" t="str">
        <f>IFERROR(VLOOKUP(JBI671,'[3]Raw material  (3)'!JBG653:JBY3729,3,0),"")</f>
        <v/>
      </c>
      <c r="JBI671" t="str">
        <f>IFERROR(VLOOKUP(JBJ671,'[3]Raw material  (3)'!JBH653:JBZ3729,3,0),"")</f>
        <v/>
      </c>
      <c r="JBJ671" t="str">
        <f>IFERROR(VLOOKUP(JBK671,'[3]Raw material  (3)'!JBI653:JCA3729,3,0),"")</f>
        <v/>
      </c>
      <c r="JBK671" t="str">
        <f>IFERROR(VLOOKUP(JBL671,'[3]Raw material  (3)'!JBJ653:JCB3729,3,0),"")</f>
        <v/>
      </c>
      <c r="JBL671" t="str">
        <f>IFERROR(VLOOKUP(JBM671,'[3]Raw material  (3)'!JBK653:JCC3729,3,0),"")</f>
        <v/>
      </c>
      <c r="JBM671" t="str">
        <f>IFERROR(VLOOKUP(JBN671,'[3]Raw material  (3)'!JBL653:JCD3729,3,0),"")</f>
        <v/>
      </c>
      <c r="JBN671" t="str">
        <f>IFERROR(VLOOKUP(JBO671,'[3]Raw material  (3)'!JBM653:JCE3729,3,0),"")</f>
        <v/>
      </c>
      <c r="JBO671" t="str">
        <f>IFERROR(VLOOKUP(JBP671,'[3]Raw material  (3)'!JBN653:JCF3729,3,0),"")</f>
        <v/>
      </c>
      <c r="JBP671" t="str">
        <f>IFERROR(VLOOKUP(JBQ671,'[3]Raw material  (3)'!JBO653:JCG3729,3,0),"")</f>
        <v/>
      </c>
      <c r="JBQ671" t="str">
        <f>IFERROR(VLOOKUP(JBR671,'[3]Raw material  (3)'!JBP653:JCH3729,3,0),"")</f>
        <v/>
      </c>
      <c r="JBR671" t="str">
        <f>IFERROR(VLOOKUP(JBS671,'[3]Raw material  (3)'!JBQ653:JCI3729,3,0),"")</f>
        <v/>
      </c>
      <c r="JBS671" t="str">
        <f>IFERROR(VLOOKUP(JBT671,'[3]Raw material  (3)'!JBR653:JCJ3729,3,0),"")</f>
        <v/>
      </c>
      <c r="JBT671" t="str">
        <f>IFERROR(VLOOKUP(JBU671,'[3]Raw material  (3)'!JBS653:JCK3729,3,0),"")</f>
        <v/>
      </c>
      <c r="JBU671" t="str">
        <f>IFERROR(VLOOKUP(JBV671,'[3]Raw material  (3)'!JBT653:JCL3729,3,0),"")</f>
        <v/>
      </c>
      <c r="JBV671" t="str">
        <f>IFERROR(VLOOKUP(JBW671,'[3]Raw material  (3)'!JBU653:JCM3729,3,0),"")</f>
        <v/>
      </c>
      <c r="JBW671" t="str">
        <f>IFERROR(VLOOKUP(JBX671,'[3]Raw material  (3)'!JBV653:JCN3729,3,0),"")</f>
        <v/>
      </c>
      <c r="JBX671" t="str">
        <f>IFERROR(VLOOKUP(JBY671,'[3]Raw material  (3)'!JBW653:JCO3729,3,0),"")</f>
        <v/>
      </c>
      <c r="JBY671" t="str">
        <f>IFERROR(VLOOKUP(JBZ671,'[3]Raw material  (3)'!JBX653:JCP3729,3,0),"")</f>
        <v/>
      </c>
      <c r="JBZ671" t="str">
        <f>IFERROR(VLOOKUP(JCA671,'[3]Raw material  (3)'!JBY653:JCQ3729,3,0),"")</f>
        <v/>
      </c>
      <c r="JCA671" t="str">
        <f>IFERROR(VLOOKUP(JCB671,'[3]Raw material  (3)'!JBZ653:JCR3729,3,0),"")</f>
        <v/>
      </c>
      <c r="JCB671" t="str">
        <f>IFERROR(VLOOKUP(JCC671,'[3]Raw material  (3)'!JCA653:JCS3729,3,0),"")</f>
        <v/>
      </c>
      <c r="JCC671" t="str">
        <f>IFERROR(VLOOKUP(JCD671,'[3]Raw material  (3)'!JCB653:JCT3729,3,0),"")</f>
        <v/>
      </c>
      <c r="JCD671" t="str">
        <f>IFERROR(VLOOKUP(JCE671,'[3]Raw material  (3)'!JCC653:JCU3729,3,0),"")</f>
        <v/>
      </c>
      <c r="JCE671" t="str">
        <f>IFERROR(VLOOKUP(JCF671,'[3]Raw material  (3)'!JCD653:JCV3729,3,0),"")</f>
        <v/>
      </c>
      <c r="JCF671" t="str">
        <f>IFERROR(VLOOKUP(JCG671,'[3]Raw material  (3)'!JCE653:JCW3729,3,0),"")</f>
        <v/>
      </c>
      <c r="JCG671" t="str">
        <f>IFERROR(VLOOKUP(JCH671,'[3]Raw material  (3)'!JCF653:JCX3729,3,0),"")</f>
        <v/>
      </c>
      <c r="JCH671" t="str">
        <f>IFERROR(VLOOKUP(JCI671,'[3]Raw material  (3)'!JCG653:JCY3729,3,0),"")</f>
        <v/>
      </c>
      <c r="JCI671" t="str">
        <f>IFERROR(VLOOKUP(JCJ671,'[3]Raw material  (3)'!JCH653:JCZ3729,3,0),"")</f>
        <v/>
      </c>
      <c r="JCJ671" t="str">
        <f>IFERROR(VLOOKUP(JCK671,'[3]Raw material  (3)'!JCI653:JDA3729,3,0),"")</f>
        <v/>
      </c>
      <c r="JCK671" t="str">
        <f>IFERROR(VLOOKUP(JCL671,'[3]Raw material  (3)'!JCJ653:JDB3729,3,0),"")</f>
        <v/>
      </c>
      <c r="JCL671" t="str">
        <f>IFERROR(VLOOKUP(JCM671,'[3]Raw material  (3)'!JCK653:JDC3729,3,0),"")</f>
        <v/>
      </c>
      <c r="JCM671" t="str">
        <f>IFERROR(VLOOKUP(JCN671,'[3]Raw material  (3)'!JCL653:JDD3729,3,0),"")</f>
        <v/>
      </c>
      <c r="JCN671" t="str">
        <f>IFERROR(VLOOKUP(JCO671,'[3]Raw material  (3)'!JCM653:JDE3729,3,0),"")</f>
        <v/>
      </c>
      <c r="JCO671" t="str">
        <f>IFERROR(VLOOKUP(JCP671,'[3]Raw material  (3)'!JCN653:JDF3729,3,0),"")</f>
        <v/>
      </c>
      <c r="JCP671" t="str">
        <f>IFERROR(VLOOKUP(JCQ671,'[3]Raw material  (3)'!JCO653:JDG3729,3,0),"")</f>
        <v/>
      </c>
      <c r="JCQ671" t="str">
        <f>IFERROR(VLOOKUP(JCR671,'[3]Raw material  (3)'!JCP653:JDH3729,3,0),"")</f>
        <v/>
      </c>
      <c r="JCR671" t="str">
        <f>IFERROR(VLOOKUP(JCS671,'[3]Raw material  (3)'!JCQ653:JDI3729,3,0),"")</f>
        <v/>
      </c>
      <c r="JCS671" t="str">
        <f>IFERROR(VLOOKUP(JCT671,'[3]Raw material  (3)'!JCR653:JDJ3729,3,0),"")</f>
        <v/>
      </c>
      <c r="JCT671" t="str">
        <f>IFERROR(VLOOKUP(JCU671,'[3]Raw material  (3)'!JCS653:JDK3729,3,0),"")</f>
        <v/>
      </c>
      <c r="JCU671" t="str">
        <f>IFERROR(VLOOKUP(JCV671,'[3]Raw material  (3)'!JCT653:JDL3729,3,0),"")</f>
        <v/>
      </c>
      <c r="JCV671" t="str">
        <f>IFERROR(VLOOKUP(JCW671,'[3]Raw material  (3)'!JCU653:JDM3729,3,0),"")</f>
        <v/>
      </c>
      <c r="JCW671" t="str">
        <f>IFERROR(VLOOKUP(JCX671,'[3]Raw material  (3)'!JCV653:JDN3729,3,0),"")</f>
        <v/>
      </c>
      <c r="JCX671" t="str">
        <f>IFERROR(VLOOKUP(JCY671,'[3]Raw material  (3)'!JCW653:JDO3729,3,0),"")</f>
        <v/>
      </c>
      <c r="JCY671" t="str">
        <f>IFERROR(VLOOKUP(JCZ671,'[3]Raw material  (3)'!JCX653:JDP3729,3,0),"")</f>
        <v/>
      </c>
      <c r="JCZ671" t="str">
        <f>IFERROR(VLOOKUP(JDA671,'[3]Raw material  (3)'!JCY653:JDQ3729,3,0),"")</f>
        <v/>
      </c>
      <c r="JDA671" t="str">
        <f>IFERROR(VLOOKUP(JDB671,'[3]Raw material  (3)'!JCZ653:JDR3729,3,0),"")</f>
        <v/>
      </c>
      <c r="JDB671" t="str">
        <f>IFERROR(VLOOKUP(JDC671,'[3]Raw material  (3)'!JDA653:JDS3729,3,0),"")</f>
        <v/>
      </c>
      <c r="JDC671" t="str">
        <f>IFERROR(VLOOKUP(JDD671,'[3]Raw material  (3)'!JDB653:JDT3729,3,0),"")</f>
        <v/>
      </c>
      <c r="JDD671" t="str">
        <f>IFERROR(VLOOKUP(JDE671,'[3]Raw material  (3)'!JDC653:JDU3729,3,0),"")</f>
        <v/>
      </c>
      <c r="JDE671" t="str">
        <f>IFERROR(VLOOKUP(JDF671,'[3]Raw material  (3)'!JDD653:JDV3729,3,0),"")</f>
        <v/>
      </c>
      <c r="JDF671" t="str">
        <f>IFERROR(VLOOKUP(JDG671,'[3]Raw material  (3)'!JDE653:JDW3729,3,0),"")</f>
        <v/>
      </c>
      <c r="JDG671" t="str">
        <f>IFERROR(VLOOKUP(JDH671,'[3]Raw material  (3)'!JDF653:JDX3729,3,0),"")</f>
        <v/>
      </c>
      <c r="JDH671" t="str">
        <f>IFERROR(VLOOKUP(JDI671,'[3]Raw material  (3)'!JDG653:JDY3729,3,0),"")</f>
        <v/>
      </c>
      <c r="JDI671" t="str">
        <f>IFERROR(VLOOKUP(JDJ671,'[3]Raw material  (3)'!JDH653:JDZ3729,3,0),"")</f>
        <v/>
      </c>
      <c r="JDJ671" t="str">
        <f>IFERROR(VLOOKUP(JDK671,'[3]Raw material  (3)'!JDI653:JEA3729,3,0),"")</f>
        <v/>
      </c>
      <c r="JDK671" t="str">
        <f>IFERROR(VLOOKUP(JDL671,'[3]Raw material  (3)'!JDJ653:JEB3729,3,0),"")</f>
        <v/>
      </c>
      <c r="JDL671" t="str">
        <f>IFERROR(VLOOKUP(JDM671,'[3]Raw material  (3)'!JDK653:JEC3729,3,0),"")</f>
        <v/>
      </c>
      <c r="JDM671" t="str">
        <f>IFERROR(VLOOKUP(JDN671,'[3]Raw material  (3)'!JDL653:JED3729,3,0),"")</f>
        <v/>
      </c>
      <c r="JDN671" t="str">
        <f>IFERROR(VLOOKUP(JDO671,'[3]Raw material  (3)'!JDM653:JEE3729,3,0),"")</f>
        <v/>
      </c>
      <c r="JDO671" t="str">
        <f>IFERROR(VLOOKUP(JDP671,'[3]Raw material  (3)'!JDN653:JEF3729,3,0),"")</f>
        <v/>
      </c>
      <c r="JDP671" t="str">
        <f>IFERROR(VLOOKUP(JDQ671,'[3]Raw material  (3)'!JDO653:JEG3729,3,0),"")</f>
        <v/>
      </c>
      <c r="JDQ671" t="str">
        <f>IFERROR(VLOOKUP(JDR671,'[3]Raw material  (3)'!JDP653:JEH3729,3,0),"")</f>
        <v/>
      </c>
      <c r="JDR671" t="str">
        <f>IFERROR(VLOOKUP(JDS671,'[3]Raw material  (3)'!JDQ653:JEI3729,3,0),"")</f>
        <v/>
      </c>
      <c r="JDS671" t="str">
        <f>IFERROR(VLOOKUP(JDT671,'[3]Raw material  (3)'!JDR653:JEJ3729,3,0),"")</f>
        <v/>
      </c>
      <c r="JDT671" t="str">
        <f>IFERROR(VLOOKUP(JDU671,'[3]Raw material  (3)'!JDS653:JEK3729,3,0),"")</f>
        <v/>
      </c>
      <c r="JDU671" t="str">
        <f>IFERROR(VLOOKUP(JDV671,'[3]Raw material  (3)'!JDT653:JEL3729,3,0),"")</f>
        <v/>
      </c>
      <c r="JDV671" t="str">
        <f>IFERROR(VLOOKUP(JDW671,'[3]Raw material  (3)'!JDU653:JEM3729,3,0),"")</f>
        <v/>
      </c>
      <c r="JDW671" t="str">
        <f>IFERROR(VLOOKUP(JDX671,'[3]Raw material  (3)'!JDV653:JEN3729,3,0),"")</f>
        <v/>
      </c>
      <c r="JDX671" t="str">
        <f>IFERROR(VLOOKUP(JDY671,'[3]Raw material  (3)'!JDW653:JEO3729,3,0),"")</f>
        <v/>
      </c>
      <c r="JDY671" t="str">
        <f>IFERROR(VLOOKUP(JDZ671,'[3]Raw material  (3)'!JDX653:JEP3729,3,0),"")</f>
        <v/>
      </c>
      <c r="JDZ671" t="str">
        <f>IFERROR(VLOOKUP(JEA671,'[3]Raw material  (3)'!JDY653:JEQ3729,3,0),"")</f>
        <v/>
      </c>
      <c r="JEA671" t="str">
        <f>IFERROR(VLOOKUP(JEB671,'[3]Raw material  (3)'!JDZ653:JER3729,3,0),"")</f>
        <v/>
      </c>
      <c r="JEB671" t="str">
        <f>IFERROR(VLOOKUP(JEC671,'[3]Raw material  (3)'!JEA653:JES3729,3,0),"")</f>
        <v/>
      </c>
      <c r="JEC671" t="str">
        <f>IFERROR(VLOOKUP(JED671,'[3]Raw material  (3)'!JEB653:JET3729,3,0),"")</f>
        <v/>
      </c>
      <c r="JED671" t="str">
        <f>IFERROR(VLOOKUP(JEE671,'[3]Raw material  (3)'!JEC653:JEU3729,3,0),"")</f>
        <v/>
      </c>
      <c r="JEE671" t="str">
        <f>IFERROR(VLOOKUP(JEF671,'[3]Raw material  (3)'!JED653:JEV3729,3,0),"")</f>
        <v/>
      </c>
      <c r="JEF671" t="str">
        <f>IFERROR(VLOOKUP(JEG671,'[3]Raw material  (3)'!JEE653:JEW3729,3,0),"")</f>
        <v/>
      </c>
      <c r="JEG671" t="str">
        <f>IFERROR(VLOOKUP(JEH671,'[3]Raw material  (3)'!JEF653:JEX3729,3,0),"")</f>
        <v/>
      </c>
      <c r="JEH671" t="str">
        <f>IFERROR(VLOOKUP(JEI671,'[3]Raw material  (3)'!JEG653:JEY3729,3,0),"")</f>
        <v/>
      </c>
      <c r="JEI671" t="str">
        <f>IFERROR(VLOOKUP(JEJ671,'[3]Raw material  (3)'!JEH653:JEZ3729,3,0),"")</f>
        <v/>
      </c>
      <c r="JEJ671" t="str">
        <f>IFERROR(VLOOKUP(JEK671,'[3]Raw material  (3)'!JEI653:JFA3729,3,0),"")</f>
        <v/>
      </c>
      <c r="JEK671" t="str">
        <f>IFERROR(VLOOKUP(JEL671,'[3]Raw material  (3)'!JEJ653:JFB3729,3,0),"")</f>
        <v/>
      </c>
      <c r="JEL671" t="str">
        <f>IFERROR(VLOOKUP(JEM671,'[3]Raw material  (3)'!JEK653:JFC3729,3,0),"")</f>
        <v/>
      </c>
      <c r="JEM671" t="str">
        <f>IFERROR(VLOOKUP(JEN671,'[3]Raw material  (3)'!JEL653:JFD3729,3,0),"")</f>
        <v/>
      </c>
      <c r="JEN671" t="str">
        <f>IFERROR(VLOOKUP(JEO671,'[3]Raw material  (3)'!JEM653:JFE3729,3,0),"")</f>
        <v/>
      </c>
      <c r="JEO671" t="str">
        <f>IFERROR(VLOOKUP(JEP671,'[3]Raw material  (3)'!JEN653:JFF3729,3,0),"")</f>
        <v/>
      </c>
      <c r="JEP671" t="str">
        <f>IFERROR(VLOOKUP(JEQ671,'[3]Raw material  (3)'!JEO653:JFG3729,3,0),"")</f>
        <v/>
      </c>
      <c r="JEQ671" t="str">
        <f>IFERROR(VLOOKUP(JER671,'[3]Raw material  (3)'!JEP653:JFH3729,3,0),"")</f>
        <v/>
      </c>
      <c r="JER671" t="str">
        <f>IFERROR(VLOOKUP(JES671,'[3]Raw material  (3)'!JEQ653:JFI3729,3,0),"")</f>
        <v/>
      </c>
      <c r="JES671" t="str">
        <f>IFERROR(VLOOKUP(JET671,'[3]Raw material  (3)'!JER653:JFJ3729,3,0),"")</f>
        <v/>
      </c>
      <c r="JET671" t="str">
        <f>IFERROR(VLOOKUP(JEU671,'[3]Raw material  (3)'!JES653:JFK3729,3,0),"")</f>
        <v/>
      </c>
      <c r="JEU671" t="str">
        <f>IFERROR(VLOOKUP(JEV671,'[3]Raw material  (3)'!JET653:JFL3729,3,0),"")</f>
        <v/>
      </c>
      <c r="JEV671" t="str">
        <f>IFERROR(VLOOKUP(JEW671,'[3]Raw material  (3)'!JEU653:JFM3729,3,0),"")</f>
        <v/>
      </c>
      <c r="JEW671" t="str">
        <f>IFERROR(VLOOKUP(JEX671,'[3]Raw material  (3)'!JEV653:JFN3729,3,0),"")</f>
        <v/>
      </c>
      <c r="JEX671" t="str">
        <f>IFERROR(VLOOKUP(JEY671,'[3]Raw material  (3)'!JEW653:JFO3729,3,0),"")</f>
        <v/>
      </c>
      <c r="JEY671" t="str">
        <f>IFERROR(VLOOKUP(JEZ671,'[3]Raw material  (3)'!JEX653:JFP3729,3,0),"")</f>
        <v/>
      </c>
      <c r="JEZ671" t="str">
        <f>IFERROR(VLOOKUP(JFA671,'[3]Raw material  (3)'!JEY653:JFQ3729,3,0),"")</f>
        <v/>
      </c>
      <c r="JFA671" t="str">
        <f>IFERROR(VLOOKUP(JFB671,'[3]Raw material  (3)'!JEZ653:JFR3729,3,0),"")</f>
        <v/>
      </c>
      <c r="JFB671" t="str">
        <f>IFERROR(VLOOKUP(JFC671,'[3]Raw material  (3)'!JFA653:JFS3729,3,0),"")</f>
        <v/>
      </c>
      <c r="JFC671" t="str">
        <f>IFERROR(VLOOKUP(JFD671,'[3]Raw material  (3)'!JFB653:JFT3729,3,0),"")</f>
        <v/>
      </c>
      <c r="JFD671" t="str">
        <f>IFERROR(VLOOKUP(JFE671,'[3]Raw material  (3)'!JFC653:JFU3729,3,0),"")</f>
        <v/>
      </c>
      <c r="JFE671" t="str">
        <f>IFERROR(VLOOKUP(JFF671,'[3]Raw material  (3)'!JFD653:JFV3729,3,0),"")</f>
        <v/>
      </c>
      <c r="JFF671" t="str">
        <f>IFERROR(VLOOKUP(JFG671,'[3]Raw material  (3)'!JFE653:JFW3729,3,0),"")</f>
        <v/>
      </c>
      <c r="JFG671" t="str">
        <f>IFERROR(VLOOKUP(JFH671,'[3]Raw material  (3)'!JFF653:JFX3729,3,0),"")</f>
        <v/>
      </c>
      <c r="JFH671" t="str">
        <f>IFERROR(VLOOKUP(JFI671,'[3]Raw material  (3)'!JFG653:JFY3729,3,0),"")</f>
        <v/>
      </c>
      <c r="JFI671" t="str">
        <f>IFERROR(VLOOKUP(JFJ671,'[3]Raw material  (3)'!JFH653:JFZ3729,3,0),"")</f>
        <v/>
      </c>
      <c r="JFJ671" t="str">
        <f>IFERROR(VLOOKUP(JFK671,'[3]Raw material  (3)'!JFI653:JGA3729,3,0),"")</f>
        <v/>
      </c>
      <c r="JFK671" t="str">
        <f>IFERROR(VLOOKUP(JFL671,'[3]Raw material  (3)'!JFJ653:JGB3729,3,0),"")</f>
        <v/>
      </c>
      <c r="JFL671" t="str">
        <f>IFERROR(VLOOKUP(JFM671,'[3]Raw material  (3)'!JFK653:JGC3729,3,0),"")</f>
        <v/>
      </c>
      <c r="JFM671" t="str">
        <f>IFERROR(VLOOKUP(JFN671,'[3]Raw material  (3)'!JFL653:JGD3729,3,0),"")</f>
        <v/>
      </c>
      <c r="JFN671" t="str">
        <f>IFERROR(VLOOKUP(JFO671,'[3]Raw material  (3)'!JFM653:JGE3729,3,0),"")</f>
        <v/>
      </c>
      <c r="JFO671" t="str">
        <f>IFERROR(VLOOKUP(JFP671,'[3]Raw material  (3)'!JFN653:JGF3729,3,0),"")</f>
        <v/>
      </c>
      <c r="JFP671" t="str">
        <f>IFERROR(VLOOKUP(JFQ671,'[3]Raw material  (3)'!JFO653:JGG3729,3,0),"")</f>
        <v/>
      </c>
      <c r="JFQ671" t="str">
        <f>IFERROR(VLOOKUP(JFR671,'[3]Raw material  (3)'!JFP653:JGH3729,3,0),"")</f>
        <v/>
      </c>
      <c r="JFR671" t="str">
        <f>IFERROR(VLOOKUP(JFS671,'[3]Raw material  (3)'!JFQ653:JGI3729,3,0),"")</f>
        <v/>
      </c>
      <c r="JFS671" t="str">
        <f>IFERROR(VLOOKUP(JFT671,'[3]Raw material  (3)'!JFR653:JGJ3729,3,0),"")</f>
        <v/>
      </c>
      <c r="JFT671" t="str">
        <f>IFERROR(VLOOKUP(JFU671,'[3]Raw material  (3)'!JFS653:JGK3729,3,0),"")</f>
        <v/>
      </c>
      <c r="JFU671" t="str">
        <f>IFERROR(VLOOKUP(JFV671,'[3]Raw material  (3)'!JFT653:JGL3729,3,0),"")</f>
        <v/>
      </c>
      <c r="JFV671" t="str">
        <f>IFERROR(VLOOKUP(JFW671,'[3]Raw material  (3)'!JFU653:JGM3729,3,0),"")</f>
        <v/>
      </c>
      <c r="JFW671" t="str">
        <f>IFERROR(VLOOKUP(JFX671,'[3]Raw material  (3)'!JFV653:JGN3729,3,0),"")</f>
        <v/>
      </c>
      <c r="JFX671" t="str">
        <f>IFERROR(VLOOKUP(JFY671,'[3]Raw material  (3)'!JFW653:JGO3729,3,0),"")</f>
        <v/>
      </c>
      <c r="JFY671" t="str">
        <f>IFERROR(VLOOKUP(JFZ671,'[3]Raw material  (3)'!JFX653:JGP3729,3,0),"")</f>
        <v/>
      </c>
      <c r="JFZ671" t="str">
        <f>IFERROR(VLOOKUP(JGA671,'[3]Raw material  (3)'!JFY653:JGQ3729,3,0),"")</f>
        <v/>
      </c>
      <c r="JGA671" t="str">
        <f>IFERROR(VLOOKUP(JGB671,'[3]Raw material  (3)'!JFZ653:JGR3729,3,0),"")</f>
        <v/>
      </c>
      <c r="JGB671" t="str">
        <f>IFERROR(VLOOKUP(JGC671,'[3]Raw material  (3)'!JGA653:JGS3729,3,0),"")</f>
        <v/>
      </c>
      <c r="JGC671" t="str">
        <f>IFERROR(VLOOKUP(JGD671,'[3]Raw material  (3)'!JGB653:JGT3729,3,0),"")</f>
        <v/>
      </c>
      <c r="JGD671" t="str">
        <f>IFERROR(VLOOKUP(JGE671,'[3]Raw material  (3)'!JGC653:JGU3729,3,0),"")</f>
        <v/>
      </c>
      <c r="JGE671" t="str">
        <f>IFERROR(VLOOKUP(JGF671,'[3]Raw material  (3)'!JGD653:JGV3729,3,0),"")</f>
        <v/>
      </c>
      <c r="JGF671" t="str">
        <f>IFERROR(VLOOKUP(JGG671,'[3]Raw material  (3)'!JGE653:JGW3729,3,0),"")</f>
        <v/>
      </c>
      <c r="JGG671" t="str">
        <f>IFERROR(VLOOKUP(JGH671,'[3]Raw material  (3)'!JGF653:JGX3729,3,0),"")</f>
        <v/>
      </c>
      <c r="JGH671" t="str">
        <f>IFERROR(VLOOKUP(JGI671,'[3]Raw material  (3)'!JGG653:JGY3729,3,0),"")</f>
        <v/>
      </c>
      <c r="JGI671" t="str">
        <f>IFERROR(VLOOKUP(JGJ671,'[3]Raw material  (3)'!JGH653:JGZ3729,3,0),"")</f>
        <v/>
      </c>
      <c r="JGJ671" t="str">
        <f>IFERROR(VLOOKUP(JGK671,'[3]Raw material  (3)'!JGI653:JHA3729,3,0),"")</f>
        <v/>
      </c>
      <c r="JGK671" t="str">
        <f>IFERROR(VLOOKUP(JGL671,'[3]Raw material  (3)'!JGJ653:JHB3729,3,0),"")</f>
        <v/>
      </c>
      <c r="JGL671" t="str">
        <f>IFERROR(VLOOKUP(JGM671,'[3]Raw material  (3)'!JGK653:JHC3729,3,0),"")</f>
        <v/>
      </c>
      <c r="JGM671" t="str">
        <f>IFERROR(VLOOKUP(JGN671,'[3]Raw material  (3)'!JGL653:JHD3729,3,0),"")</f>
        <v/>
      </c>
      <c r="JGN671" t="str">
        <f>IFERROR(VLOOKUP(JGO671,'[3]Raw material  (3)'!JGM653:JHE3729,3,0),"")</f>
        <v/>
      </c>
      <c r="JGO671" t="str">
        <f>IFERROR(VLOOKUP(JGP671,'[3]Raw material  (3)'!JGN653:JHF3729,3,0),"")</f>
        <v/>
      </c>
      <c r="JGP671" t="str">
        <f>IFERROR(VLOOKUP(JGQ671,'[3]Raw material  (3)'!JGO653:JHG3729,3,0),"")</f>
        <v/>
      </c>
      <c r="JGQ671" t="str">
        <f>IFERROR(VLOOKUP(JGR671,'[3]Raw material  (3)'!JGP653:JHH3729,3,0),"")</f>
        <v/>
      </c>
      <c r="JGR671" t="str">
        <f>IFERROR(VLOOKUP(JGS671,'[3]Raw material  (3)'!JGQ653:JHI3729,3,0),"")</f>
        <v/>
      </c>
      <c r="JGS671" t="str">
        <f>IFERROR(VLOOKUP(JGT671,'[3]Raw material  (3)'!JGR653:JHJ3729,3,0),"")</f>
        <v/>
      </c>
      <c r="JGT671" t="str">
        <f>IFERROR(VLOOKUP(JGU671,'[3]Raw material  (3)'!JGS653:JHK3729,3,0),"")</f>
        <v/>
      </c>
      <c r="JGU671" t="str">
        <f>IFERROR(VLOOKUP(JGV671,'[3]Raw material  (3)'!JGT653:JHL3729,3,0),"")</f>
        <v/>
      </c>
      <c r="JGV671" t="str">
        <f>IFERROR(VLOOKUP(JGW671,'[3]Raw material  (3)'!JGU653:JHM3729,3,0),"")</f>
        <v/>
      </c>
      <c r="JGW671" t="str">
        <f>IFERROR(VLOOKUP(JGX671,'[3]Raw material  (3)'!JGV653:JHN3729,3,0),"")</f>
        <v/>
      </c>
      <c r="JGX671" t="str">
        <f>IFERROR(VLOOKUP(JGY671,'[3]Raw material  (3)'!JGW653:JHO3729,3,0),"")</f>
        <v/>
      </c>
      <c r="JGY671" t="str">
        <f>IFERROR(VLOOKUP(JGZ671,'[3]Raw material  (3)'!JGX653:JHP3729,3,0),"")</f>
        <v/>
      </c>
      <c r="JGZ671" t="str">
        <f>IFERROR(VLOOKUP(JHA671,'[3]Raw material  (3)'!JGY653:JHQ3729,3,0),"")</f>
        <v/>
      </c>
      <c r="JHA671" t="str">
        <f>IFERROR(VLOOKUP(JHB671,'[3]Raw material  (3)'!JGZ653:JHR3729,3,0),"")</f>
        <v/>
      </c>
      <c r="JHB671" t="str">
        <f>IFERROR(VLOOKUP(JHC671,'[3]Raw material  (3)'!JHA653:JHS3729,3,0),"")</f>
        <v/>
      </c>
      <c r="JHC671" t="str">
        <f>IFERROR(VLOOKUP(JHD671,'[3]Raw material  (3)'!JHB653:JHT3729,3,0),"")</f>
        <v/>
      </c>
      <c r="JHD671" t="str">
        <f>IFERROR(VLOOKUP(JHE671,'[3]Raw material  (3)'!JHC653:JHU3729,3,0),"")</f>
        <v/>
      </c>
      <c r="JHE671" t="str">
        <f>IFERROR(VLOOKUP(JHF671,'[3]Raw material  (3)'!JHD653:JHV3729,3,0),"")</f>
        <v/>
      </c>
      <c r="JHF671" t="str">
        <f>IFERROR(VLOOKUP(JHG671,'[3]Raw material  (3)'!JHE653:JHW3729,3,0),"")</f>
        <v/>
      </c>
      <c r="JHG671" t="str">
        <f>IFERROR(VLOOKUP(JHH671,'[3]Raw material  (3)'!JHF653:JHX3729,3,0),"")</f>
        <v/>
      </c>
      <c r="JHH671" t="str">
        <f>IFERROR(VLOOKUP(JHI671,'[3]Raw material  (3)'!JHG653:JHY3729,3,0),"")</f>
        <v/>
      </c>
      <c r="JHI671" t="str">
        <f>IFERROR(VLOOKUP(JHJ671,'[3]Raw material  (3)'!JHH653:JHZ3729,3,0),"")</f>
        <v/>
      </c>
      <c r="JHJ671" t="str">
        <f>IFERROR(VLOOKUP(JHK671,'[3]Raw material  (3)'!JHI653:JIA3729,3,0),"")</f>
        <v/>
      </c>
      <c r="JHK671" t="str">
        <f>IFERROR(VLOOKUP(JHL671,'[3]Raw material  (3)'!JHJ653:JIB3729,3,0),"")</f>
        <v/>
      </c>
      <c r="JHL671" t="str">
        <f>IFERROR(VLOOKUP(JHM671,'[3]Raw material  (3)'!JHK653:JIC3729,3,0),"")</f>
        <v/>
      </c>
      <c r="JHM671" t="str">
        <f>IFERROR(VLOOKUP(JHN671,'[3]Raw material  (3)'!JHL653:JID3729,3,0),"")</f>
        <v/>
      </c>
      <c r="JHN671" t="str">
        <f>IFERROR(VLOOKUP(JHO671,'[3]Raw material  (3)'!JHM653:JIE3729,3,0),"")</f>
        <v/>
      </c>
      <c r="JHO671" t="str">
        <f>IFERROR(VLOOKUP(JHP671,'[3]Raw material  (3)'!JHN653:JIF3729,3,0),"")</f>
        <v/>
      </c>
      <c r="JHP671" t="str">
        <f>IFERROR(VLOOKUP(JHQ671,'[3]Raw material  (3)'!JHO653:JIG3729,3,0),"")</f>
        <v/>
      </c>
      <c r="JHQ671" t="str">
        <f>IFERROR(VLOOKUP(JHR671,'[3]Raw material  (3)'!JHP653:JIH3729,3,0),"")</f>
        <v/>
      </c>
      <c r="JHR671" t="str">
        <f>IFERROR(VLOOKUP(JHS671,'[3]Raw material  (3)'!JHQ653:JII3729,3,0),"")</f>
        <v/>
      </c>
      <c r="JHS671" t="str">
        <f>IFERROR(VLOOKUP(JHT671,'[3]Raw material  (3)'!JHR653:JIJ3729,3,0),"")</f>
        <v/>
      </c>
      <c r="JHT671" t="str">
        <f>IFERROR(VLOOKUP(JHU671,'[3]Raw material  (3)'!JHS653:JIK3729,3,0),"")</f>
        <v/>
      </c>
      <c r="JHU671" t="str">
        <f>IFERROR(VLOOKUP(JHV671,'[3]Raw material  (3)'!JHT653:JIL3729,3,0),"")</f>
        <v/>
      </c>
      <c r="JHV671" t="str">
        <f>IFERROR(VLOOKUP(JHW671,'[3]Raw material  (3)'!JHU653:JIM3729,3,0),"")</f>
        <v/>
      </c>
      <c r="JHW671" t="str">
        <f>IFERROR(VLOOKUP(JHX671,'[3]Raw material  (3)'!JHV653:JIN3729,3,0),"")</f>
        <v/>
      </c>
      <c r="JHX671" t="str">
        <f>IFERROR(VLOOKUP(JHY671,'[3]Raw material  (3)'!JHW653:JIO3729,3,0),"")</f>
        <v/>
      </c>
      <c r="JHY671" t="str">
        <f>IFERROR(VLOOKUP(JHZ671,'[3]Raw material  (3)'!JHX653:JIP3729,3,0),"")</f>
        <v/>
      </c>
      <c r="JHZ671" t="str">
        <f>IFERROR(VLOOKUP(JIA671,'[3]Raw material  (3)'!JHY653:JIQ3729,3,0),"")</f>
        <v/>
      </c>
      <c r="JIA671" t="str">
        <f>IFERROR(VLOOKUP(JIB671,'[3]Raw material  (3)'!JHZ653:JIR3729,3,0),"")</f>
        <v/>
      </c>
      <c r="JIB671" t="str">
        <f>IFERROR(VLOOKUP(JIC671,'[3]Raw material  (3)'!JIA653:JIS3729,3,0),"")</f>
        <v/>
      </c>
      <c r="JIC671" t="str">
        <f>IFERROR(VLOOKUP(JID671,'[3]Raw material  (3)'!JIB653:JIT3729,3,0),"")</f>
        <v/>
      </c>
      <c r="JID671" t="str">
        <f>IFERROR(VLOOKUP(JIE671,'[3]Raw material  (3)'!JIC653:JIU3729,3,0),"")</f>
        <v/>
      </c>
      <c r="JIE671" t="str">
        <f>IFERROR(VLOOKUP(JIF671,'[3]Raw material  (3)'!JID653:JIV3729,3,0),"")</f>
        <v/>
      </c>
      <c r="JIF671" t="str">
        <f>IFERROR(VLOOKUP(JIG671,'[3]Raw material  (3)'!JIE653:JIW3729,3,0),"")</f>
        <v/>
      </c>
      <c r="JIG671" t="str">
        <f>IFERROR(VLOOKUP(JIH671,'[3]Raw material  (3)'!JIF653:JIX3729,3,0),"")</f>
        <v/>
      </c>
      <c r="JIH671" t="str">
        <f>IFERROR(VLOOKUP(JII671,'[3]Raw material  (3)'!JIG653:JIY3729,3,0),"")</f>
        <v/>
      </c>
      <c r="JII671" t="str">
        <f>IFERROR(VLOOKUP(JIJ671,'[3]Raw material  (3)'!JIH653:JIZ3729,3,0),"")</f>
        <v/>
      </c>
      <c r="JIJ671" t="str">
        <f>IFERROR(VLOOKUP(JIK671,'[3]Raw material  (3)'!JII653:JJA3729,3,0),"")</f>
        <v/>
      </c>
      <c r="JIK671" t="str">
        <f>IFERROR(VLOOKUP(JIL671,'[3]Raw material  (3)'!JIJ653:JJB3729,3,0),"")</f>
        <v/>
      </c>
      <c r="JIL671" t="str">
        <f>IFERROR(VLOOKUP(JIM671,'[3]Raw material  (3)'!JIK653:JJC3729,3,0),"")</f>
        <v/>
      </c>
      <c r="JIM671" t="str">
        <f>IFERROR(VLOOKUP(JIN671,'[3]Raw material  (3)'!JIL653:JJD3729,3,0),"")</f>
        <v/>
      </c>
      <c r="JIN671" t="str">
        <f>IFERROR(VLOOKUP(JIO671,'[3]Raw material  (3)'!JIM653:JJE3729,3,0),"")</f>
        <v/>
      </c>
      <c r="JIO671" t="str">
        <f>IFERROR(VLOOKUP(JIP671,'[3]Raw material  (3)'!JIN653:JJF3729,3,0),"")</f>
        <v/>
      </c>
      <c r="JIP671" t="str">
        <f>IFERROR(VLOOKUP(JIQ671,'[3]Raw material  (3)'!JIO653:JJG3729,3,0),"")</f>
        <v/>
      </c>
      <c r="JIQ671" t="str">
        <f>IFERROR(VLOOKUP(JIR671,'[3]Raw material  (3)'!JIP653:JJH3729,3,0),"")</f>
        <v/>
      </c>
      <c r="JIR671" t="str">
        <f>IFERROR(VLOOKUP(JIS671,'[3]Raw material  (3)'!JIQ653:JJI3729,3,0),"")</f>
        <v/>
      </c>
      <c r="JIS671" t="str">
        <f>IFERROR(VLOOKUP(JIT671,'[3]Raw material  (3)'!JIR653:JJJ3729,3,0),"")</f>
        <v/>
      </c>
      <c r="JIT671" t="str">
        <f>IFERROR(VLOOKUP(JIU671,'[3]Raw material  (3)'!JIS653:JJK3729,3,0),"")</f>
        <v/>
      </c>
      <c r="JIU671" t="str">
        <f>IFERROR(VLOOKUP(JIV671,'[3]Raw material  (3)'!JIT653:JJL3729,3,0),"")</f>
        <v/>
      </c>
      <c r="JIV671" t="str">
        <f>IFERROR(VLOOKUP(JIW671,'[3]Raw material  (3)'!JIU653:JJM3729,3,0),"")</f>
        <v/>
      </c>
      <c r="JIW671" t="str">
        <f>IFERROR(VLOOKUP(JIX671,'[3]Raw material  (3)'!JIV653:JJN3729,3,0),"")</f>
        <v/>
      </c>
      <c r="JIX671" t="str">
        <f>IFERROR(VLOOKUP(JIY671,'[3]Raw material  (3)'!JIW653:JJO3729,3,0),"")</f>
        <v/>
      </c>
      <c r="JIY671" t="str">
        <f>IFERROR(VLOOKUP(JIZ671,'[3]Raw material  (3)'!JIX653:JJP3729,3,0),"")</f>
        <v/>
      </c>
      <c r="JIZ671" t="str">
        <f>IFERROR(VLOOKUP(JJA671,'[3]Raw material  (3)'!JIY653:JJQ3729,3,0),"")</f>
        <v/>
      </c>
      <c r="JJA671" t="str">
        <f>IFERROR(VLOOKUP(JJB671,'[3]Raw material  (3)'!JIZ653:JJR3729,3,0),"")</f>
        <v/>
      </c>
      <c r="JJB671" t="str">
        <f>IFERROR(VLOOKUP(JJC671,'[3]Raw material  (3)'!JJA653:JJS3729,3,0),"")</f>
        <v/>
      </c>
      <c r="JJC671" t="str">
        <f>IFERROR(VLOOKUP(JJD671,'[3]Raw material  (3)'!JJB653:JJT3729,3,0),"")</f>
        <v/>
      </c>
      <c r="JJD671" t="str">
        <f>IFERROR(VLOOKUP(JJE671,'[3]Raw material  (3)'!JJC653:JJU3729,3,0),"")</f>
        <v/>
      </c>
      <c r="JJE671" t="str">
        <f>IFERROR(VLOOKUP(JJF671,'[3]Raw material  (3)'!JJD653:JJV3729,3,0),"")</f>
        <v/>
      </c>
      <c r="JJF671" t="str">
        <f>IFERROR(VLOOKUP(JJG671,'[3]Raw material  (3)'!JJE653:JJW3729,3,0),"")</f>
        <v/>
      </c>
      <c r="JJG671" t="str">
        <f>IFERROR(VLOOKUP(JJH671,'[3]Raw material  (3)'!JJF653:JJX3729,3,0),"")</f>
        <v/>
      </c>
      <c r="JJH671" t="str">
        <f>IFERROR(VLOOKUP(JJI671,'[3]Raw material  (3)'!JJG653:JJY3729,3,0),"")</f>
        <v/>
      </c>
      <c r="JJI671" t="str">
        <f>IFERROR(VLOOKUP(JJJ671,'[3]Raw material  (3)'!JJH653:JJZ3729,3,0),"")</f>
        <v/>
      </c>
      <c r="JJJ671" t="str">
        <f>IFERROR(VLOOKUP(JJK671,'[3]Raw material  (3)'!JJI653:JKA3729,3,0),"")</f>
        <v/>
      </c>
      <c r="JJK671" t="str">
        <f>IFERROR(VLOOKUP(JJL671,'[3]Raw material  (3)'!JJJ653:JKB3729,3,0),"")</f>
        <v/>
      </c>
      <c r="JJL671" t="str">
        <f>IFERROR(VLOOKUP(JJM671,'[3]Raw material  (3)'!JJK653:JKC3729,3,0),"")</f>
        <v/>
      </c>
      <c r="JJM671" t="str">
        <f>IFERROR(VLOOKUP(JJN671,'[3]Raw material  (3)'!JJL653:JKD3729,3,0),"")</f>
        <v/>
      </c>
      <c r="JJN671" t="str">
        <f>IFERROR(VLOOKUP(JJO671,'[3]Raw material  (3)'!JJM653:JKE3729,3,0),"")</f>
        <v/>
      </c>
      <c r="JJO671" t="str">
        <f>IFERROR(VLOOKUP(JJP671,'[3]Raw material  (3)'!JJN653:JKF3729,3,0),"")</f>
        <v/>
      </c>
      <c r="JJP671" t="str">
        <f>IFERROR(VLOOKUP(JJQ671,'[3]Raw material  (3)'!JJO653:JKG3729,3,0),"")</f>
        <v/>
      </c>
      <c r="JJQ671" t="str">
        <f>IFERROR(VLOOKUP(JJR671,'[3]Raw material  (3)'!JJP653:JKH3729,3,0),"")</f>
        <v/>
      </c>
      <c r="JJR671" t="str">
        <f>IFERROR(VLOOKUP(JJS671,'[3]Raw material  (3)'!JJQ653:JKI3729,3,0),"")</f>
        <v/>
      </c>
      <c r="JJS671" t="str">
        <f>IFERROR(VLOOKUP(JJT671,'[3]Raw material  (3)'!JJR653:JKJ3729,3,0),"")</f>
        <v/>
      </c>
      <c r="JJT671" t="str">
        <f>IFERROR(VLOOKUP(JJU671,'[3]Raw material  (3)'!JJS653:JKK3729,3,0),"")</f>
        <v/>
      </c>
      <c r="JJU671" t="str">
        <f>IFERROR(VLOOKUP(JJV671,'[3]Raw material  (3)'!JJT653:JKL3729,3,0),"")</f>
        <v/>
      </c>
      <c r="JJV671" t="str">
        <f>IFERROR(VLOOKUP(JJW671,'[3]Raw material  (3)'!JJU653:JKM3729,3,0),"")</f>
        <v/>
      </c>
      <c r="JJW671" t="str">
        <f>IFERROR(VLOOKUP(JJX671,'[3]Raw material  (3)'!JJV653:JKN3729,3,0),"")</f>
        <v/>
      </c>
      <c r="JJX671" t="str">
        <f>IFERROR(VLOOKUP(JJY671,'[3]Raw material  (3)'!JJW653:JKO3729,3,0),"")</f>
        <v/>
      </c>
      <c r="JJY671" t="str">
        <f>IFERROR(VLOOKUP(JJZ671,'[3]Raw material  (3)'!JJX653:JKP3729,3,0),"")</f>
        <v/>
      </c>
      <c r="JJZ671" t="str">
        <f>IFERROR(VLOOKUP(JKA671,'[3]Raw material  (3)'!JJY653:JKQ3729,3,0),"")</f>
        <v/>
      </c>
      <c r="JKA671" t="str">
        <f>IFERROR(VLOOKUP(JKB671,'[3]Raw material  (3)'!JJZ653:JKR3729,3,0),"")</f>
        <v/>
      </c>
      <c r="JKB671" t="str">
        <f>IFERROR(VLOOKUP(JKC671,'[3]Raw material  (3)'!JKA653:JKS3729,3,0),"")</f>
        <v/>
      </c>
      <c r="JKC671" t="str">
        <f>IFERROR(VLOOKUP(JKD671,'[3]Raw material  (3)'!JKB653:JKT3729,3,0),"")</f>
        <v/>
      </c>
      <c r="JKD671" t="str">
        <f>IFERROR(VLOOKUP(JKE671,'[3]Raw material  (3)'!JKC653:JKU3729,3,0),"")</f>
        <v/>
      </c>
      <c r="JKE671" t="str">
        <f>IFERROR(VLOOKUP(JKF671,'[3]Raw material  (3)'!JKD653:JKV3729,3,0),"")</f>
        <v/>
      </c>
      <c r="JKF671" t="str">
        <f>IFERROR(VLOOKUP(JKG671,'[3]Raw material  (3)'!JKE653:JKW3729,3,0),"")</f>
        <v/>
      </c>
      <c r="JKG671" t="str">
        <f>IFERROR(VLOOKUP(JKH671,'[3]Raw material  (3)'!JKF653:JKX3729,3,0),"")</f>
        <v/>
      </c>
      <c r="JKH671" t="str">
        <f>IFERROR(VLOOKUP(JKI671,'[3]Raw material  (3)'!JKG653:JKY3729,3,0),"")</f>
        <v/>
      </c>
      <c r="JKI671" t="str">
        <f>IFERROR(VLOOKUP(JKJ671,'[3]Raw material  (3)'!JKH653:JKZ3729,3,0),"")</f>
        <v/>
      </c>
      <c r="JKJ671" t="str">
        <f>IFERROR(VLOOKUP(JKK671,'[3]Raw material  (3)'!JKI653:JLA3729,3,0),"")</f>
        <v/>
      </c>
      <c r="JKK671" t="str">
        <f>IFERROR(VLOOKUP(JKL671,'[3]Raw material  (3)'!JKJ653:JLB3729,3,0),"")</f>
        <v/>
      </c>
      <c r="JKL671" t="str">
        <f>IFERROR(VLOOKUP(JKM671,'[3]Raw material  (3)'!JKK653:JLC3729,3,0),"")</f>
        <v/>
      </c>
      <c r="JKM671" t="str">
        <f>IFERROR(VLOOKUP(JKN671,'[3]Raw material  (3)'!JKL653:JLD3729,3,0),"")</f>
        <v/>
      </c>
      <c r="JKN671" t="str">
        <f>IFERROR(VLOOKUP(JKO671,'[3]Raw material  (3)'!JKM653:JLE3729,3,0),"")</f>
        <v/>
      </c>
      <c r="JKO671" t="str">
        <f>IFERROR(VLOOKUP(JKP671,'[3]Raw material  (3)'!JKN653:JLF3729,3,0),"")</f>
        <v/>
      </c>
      <c r="JKP671" t="str">
        <f>IFERROR(VLOOKUP(JKQ671,'[3]Raw material  (3)'!JKO653:JLG3729,3,0),"")</f>
        <v/>
      </c>
      <c r="JKQ671" t="str">
        <f>IFERROR(VLOOKUP(JKR671,'[3]Raw material  (3)'!JKP653:JLH3729,3,0),"")</f>
        <v/>
      </c>
      <c r="JKR671" t="str">
        <f>IFERROR(VLOOKUP(JKS671,'[3]Raw material  (3)'!JKQ653:JLI3729,3,0),"")</f>
        <v/>
      </c>
      <c r="JKS671" t="str">
        <f>IFERROR(VLOOKUP(JKT671,'[3]Raw material  (3)'!JKR653:JLJ3729,3,0),"")</f>
        <v/>
      </c>
      <c r="JKT671" t="str">
        <f>IFERROR(VLOOKUP(JKU671,'[3]Raw material  (3)'!JKS653:JLK3729,3,0),"")</f>
        <v/>
      </c>
      <c r="JKU671" t="str">
        <f>IFERROR(VLOOKUP(JKV671,'[3]Raw material  (3)'!JKT653:JLL3729,3,0),"")</f>
        <v/>
      </c>
      <c r="JKV671" t="str">
        <f>IFERROR(VLOOKUP(JKW671,'[3]Raw material  (3)'!JKU653:JLM3729,3,0),"")</f>
        <v/>
      </c>
      <c r="JKW671" t="str">
        <f>IFERROR(VLOOKUP(JKX671,'[3]Raw material  (3)'!JKV653:JLN3729,3,0),"")</f>
        <v/>
      </c>
      <c r="JKX671" t="str">
        <f>IFERROR(VLOOKUP(JKY671,'[3]Raw material  (3)'!JKW653:JLO3729,3,0),"")</f>
        <v/>
      </c>
      <c r="JKY671" t="str">
        <f>IFERROR(VLOOKUP(JKZ671,'[3]Raw material  (3)'!JKX653:JLP3729,3,0),"")</f>
        <v/>
      </c>
      <c r="JKZ671" t="str">
        <f>IFERROR(VLOOKUP(JLA671,'[3]Raw material  (3)'!JKY653:JLQ3729,3,0),"")</f>
        <v/>
      </c>
      <c r="JLA671" t="str">
        <f>IFERROR(VLOOKUP(JLB671,'[3]Raw material  (3)'!JKZ653:JLR3729,3,0),"")</f>
        <v/>
      </c>
      <c r="JLB671" t="str">
        <f>IFERROR(VLOOKUP(JLC671,'[3]Raw material  (3)'!JLA653:JLS3729,3,0),"")</f>
        <v/>
      </c>
      <c r="JLC671" t="str">
        <f>IFERROR(VLOOKUP(JLD671,'[3]Raw material  (3)'!JLB653:JLT3729,3,0),"")</f>
        <v/>
      </c>
      <c r="JLD671" t="str">
        <f>IFERROR(VLOOKUP(JLE671,'[3]Raw material  (3)'!JLC653:JLU3729,3,0),"")</f>
        <v/>
      </c>
      <c r="JLE671" t="str">
        <f>IFERROR(VLOOKUP(JLF671,'[3]Raw material  (3)'!JLD653:JLV3729,3,0),"")</f>
        <v/>
      </c>
      <c r="JLF671" t="str">
        <f>IFERROR(VLOOKUP(JLG671,'[3]Raw material  (3)'!JLE653:JLW3729,3,0),"")</f>
        <v/>
      </c>
      <c r="JLG671" t="str">
        <f>IFERROR(VLOOKUP(JLH671,'[3]Raw material  (3)'!JLF653:JLX3729,3,0),"")</f>
        <v/>
      </c>
      <c r="JLH671" t="str">
        <f>IFERROR(VLOOKUP(JLI671,'[3]Raw material  (3)'!JLG653:JLY3729,3,0),"")</f>
        <v/>
      </c>
      <c r="JLI671" t="str">
        <f>IFERROR(VLOOKUP(JLJ671,'[3]Raw material  (3)'!JLH653:JLZ3729,3,0),"")</f>
        <v/>
      </c>
      <c r="JLJ671" t="str">
        <f>IFERROR(VLOOKUP(JLK671,'[3]Raw material  (3)'!JLI653:JMA3729,3,0),"")</f>
        <v/>
      </c>
      <c r="JLK671" t="str">
        <f>IFERROR(VLOOKUP(JLL671,'[3]Raw material  (3)'!JLJ653:JMB3729,3,0),"")</f>
        <v/>
      </c>
      <c r="JLL671" t="str">
        <f>IFERROR(VLOOKUP(JLM671,'[3]Raw material  (3)'!JLK653:JMC3729,3,0),"")</f>
        <v/>
      </c>
      <c r="JLM671" t="str">
        <f>IFERROR(VLOOKUP(JLN671,'[3]Raw material  (3)'!JLL653:JMD3729,3,0),"")</f>
        <v/>
      </c>
      <c r="JLN671" t="str">
        <f>IFERROR(VLOOKUP(JLO671,'[3]Raw material  (3)'!JLM653:JME3729,3,0),"")</f>
        <v/>
      </c>
      <c r="JLO671" t="str">
        <f>IFERROR(VLOOKUP(JLP671,'[3]Raw material  (3)'!JLN653:JMF3729,3,0),"")</f>
        <v/>
      </c>
      <c r="JLP671" t="str">
        <f>IFERROR(VLOOKUP(JLQ671,'[3]Raw material  (3)'!JLO653:JMG3729,3,0),"")</f>
        <v/>
      </c>
      <c r="JLQ671" t="str">
        <f>IFERROR(VLOOKUP(JLR671,'[3]Raw material  (3)'!JLP653:JMH3729,3,0),"")</f>
        <v/>
      </c>
      <c r="JLR671" t="str">
        <f>IFERROR(VLOOKUP(JLS671,'[3]Raw material  (3)'!JLQ653:JMI3729,3,0),"")</f>
        <v/>
      </c>
      <c r="JLS671" t="str">
        <f>IFERROR(VLOOKUP(JLT671,'[3]Raw material  (3)'!JLR653:JMJ3729,3,0),"")</f>
        <v/>
      </c>
      <c r="JLT671" t="str">
        <f>IFERROR(VLOOKUP(JLU671,'[3]Raw material  (3)'!JLS653:JMK3729,3,0),"")</f>
        <v/>
      </c>
      <c r="JLU671" t="str">
        <f>IFERROR(VLOOKUP(JLV671,'[3]Raw material  (3)'!JLT653:JML3729,3,0),"")</f>
        <v/>
      </c>
      <c r="JLV671" t="str">
        <f>IFERROR(VLOOKUP(JLW671,'[3]Raw material  (3)'!JLU653:JMM3729,3,0),"")</f>
        <v/>
      </c>
      <c r="JLW671" t="str">
        <f>IFERROR(VLOOKUP(JLX671,'[3]Raw material  (3)'!JLV653:JMN3729,3,0),"")</f>
        <v/>
      </c>
      <c r="JLX671" t="str">
        <f>IFERROR(VLOOKUP(JLY671,'[3]Raw material  (3)'!JLW653:JMO3729,3,0),"")</f>
        <v/>
      </c>
      <c r="JLY671" t="str">
        <f>IFERROR(VLOOKUP(JLZ671,'[3]Raw material  (3)'!JLX653:JMP3729,3,0),"")</f>
        <v/>
      </c>
      <c r="JLZ671" t="str">
        <f>IFERROR(VLOOKUP(JMA671,'[3]Raw material  (3)'!JLY653:JMQ3729,3,0),"")</f>
        <v/>
      </c>
      <c r="JMA671" t="str">
        <f>IFERROR(VLOOKUP(JMB671,'[3]Raw material  (3)'!JLZ653:JMR3729,3,0),"")</f>
        <v/>
      </c>
      <c r="JMB671" t="str">
        <f>IFERROR(VLOOKUP(JMC671,'[3]Raw material  (3)'!JMA653:JMS3729,3,0),"")</f>
        <v/>
      </c>
      <c r="JMC671" t="str">
        <f>IFERROR(VLOOKUP(JMD671,'[3]Raw material  (3)'!JMB653:JMT3729,3,0),"")</f>
        <v/>
      </c>
      <c r="JMD671" t="str">
        <f>IFERROR(VLOOKUP(JME671,'[3]Raw material  (3)'!JMC653:JMU3729,3,0),"")</f>
        <v/>
      </c>
      <c r="JME671" t="str">
        <f>IFERROR(VLOOKUP(JMF671,'[3]Raw material  (3)'!JMD653:JMV3729,3,0),"")</f>
        <v/>
      </c>
      <c r="JMF671" t="str">
        <f>IFERROR(VLOOKUP(JMG671,'[3]Raw material  (3)'!JME653:JMW3729,3,0),"")</f>
        <v/>
      </c>
      <c r="JMG671" t="str">
        <f>IFERROR(VLOOKUP(JMH671,'[3]Raw material  (3)'!JMF653:JMX3729,3,0),"")</f>
        <v/>
      </c>
      <c r="JMH671" t="str">
        <f>IFERROR(VLOOKUP(JMI671,'[3]Raw material  (3)'!JMG653:JMY3729,3,0),"")</f>
        <v/>
      </c>
      <c r="JMI671" t="str">
        <f>IFERROR(VLOOKUP(JMJ671,'[3]Raw material  (3)'!JMH653:JMZ3729,3,0),"")</f>
        <v/>
      </c>
      <c r="JMJ671" t="str">
        <f>IFERROR(VLOOKUP(JMK671,'[3]Raw material  (3)'!JMI653:JNA3729,3,0),"")</f>
        <v/>
      </c>
      <c r="JMK671" t="str">
        <f>IFERROR(VLOOKUP(JML671,'[3]Raw material  (3)'!JMJ653:JNB3729,3,0),"")</f>
        <v/>
      </c>
      <c r="JML671" t="str">
        <f>IFERROR(VLOOKUP(JMM671,'[3]Raw material  (3)'!JMK653:JNC3729,3,0),"")</f>
        <v/>
      </c>
      <c r="JMM671" t="str">
        <f>IFERROR(VLOOKUP(JMN671,'[3]Raw material  (3)'!JML653:JND3729,3,0),"")</f>
        <v/>
      </c>
      <c r="JMN671" t="str">
        <f>IFERROR(VLOOKUP(JMO671,'[3]Raw material  (3)'!JMM653:JNE3729,3,0),"")</f>
        <v/>
      </c>
      <c r="JMO671" t="str">
        <f>IFERROR(VLOOKUP(JMP671,'[3]Raw material  (3)'!JMN653:JNF3729,3,0),"")</f>
        <v/>
      </c>
      <c r="JMP671" t="str">
        <f>IFERROR(VLOOKUP(JMQ671,'[3]Raw material  (3)'!JMO653:JNG3729,3,0),"")</f>
        <v/>
      </c>
      <c r="JMQ671" t="str">
        <f>IFERROR(VLOOKUP(JMR671,'[3]Raw material  (3)'!JMP653:JNH3729,3,0),"")</f>
        <v/>
      </c>
      <c r="JMR671" t="str">
        <f>IFERROR(VLOOKUP(JMS671,'[3]Raw material  (3)'!JMQ653:JNI3729,3,0),"")</f>
        <v/>
      </c>
      <c r="JMS671" t="str">
        <f>IFERROR(VLOOKUP(JMT671,'[3]Raw material  (3)'!JMR653:JNJ3729,3,0),"")</f>
        <v/>
      </c>
      <c r="JMT671" t="str">
        <f>IFERROR(VLOOKUP(JMU671,'[3]Raw material  (3)'!JMS653:JNK3729,3,0),"")</f>
        <v/>
      </c>
      <c r="JMU671" t="str">
        <f>IFERROR(VLOOKUP(JMV671,'[3]Raw material  (3)'!JMT653:JNL3729,3,0),"")</f>
        <v/>
      </c>
      <c r="JMV671" t="str">
        <f>IFERROR(VLOOKUP(JMW671,'[3]Raw material  (3)'!JMU653:JNM3729,3,0),"")</f>
        <v/>
      </c>
      <c r="JMW671" t="str">
        <f>IFERROR(VLOOKUP(JMX671,'[3]Raw material  (3)'!JMV653:JNN3729,3,0),"")</f>
        <v/>
      </c>
      <c r="JMX671" t="str">
        <f>IFERROR(VLOOKUP(JMY671,'[3]Raw material  (3)'!JMW653:JNO3729,3,0),"")</f>
        <v/>
      </c>
      <c r="JMY671" t="str">
        <f>IFERROR(VLOOKUP(JMZ671,'[3]Raw material  (3)'!JMX653:JNP3729,3,0),"")</f>
        <v/>
      </c>
      <c r="JMZ671" t="str">
        <f>IFERROR(VLOOKUP(JNA671,'[3]Raw material  (3)'!JMY653:JNQ3729,3,0),"")</f>
        <v/>
      </c>
      <c r="JNA671" t="str">
        <f>IFERROR(VLOOKUP(JNB671,'[3]Raw material  (3)'!JMZ653:JNR3729,3,0),"")</f>
        <v/>
      </c>
      <c r="JNB671" t="str">
        <f>IFERROR(VLOOKUP(JNC671,'[3]Raw material  (3)'!JNA653:JNS3729,3,0),"")</f>
        <v/>
      </c>
      <c r="JNC671" t="str">
        <f>IFERROR(VLOOKUP(JND671,'[3]Raw material  (3)'!JNB653:JNT3729,3,0),"")</f>
        <v/>
      </c>
      <c r="JND671" t="str">
        <f>IFERROR(VLOOKUP(JNE671,'[3]Raw material  (3)'!JNC653:JNU3729,3,0),"")</f>
        <v/>
      </c>
      <c r="JNE671" t="str">
        <f>IFERROR(VLOOKUP(JNF671,'[3]Raw material  (3)'!JND653:JNV3729,3,0),"")</f>
        <v/>
      </c>
      <c r="JNF671" t="str">
        <f>IFERROR(VLOOKUP(JNG671,'[3]Raw material  (3)'!JNE653:JNW3729,3,0),"")</f>
        <v/>
      </c>
      <c r="JNG671" t="str">
        <f>IFERROR(VLOOKUP(JNH671,'[3]Raw material  (3)'!JNF653:JNX3729,3,0),"")</f>
        <v/>
      </c>
      <c r="JNH671" t="str">
        <f>IFERROR(VLOOKUP(JNI671,'[3]Raw material  (3)'!JNG653:JNY3729,3,0),"")</f>
        <v/>
      </c>
      <c r="JNI671" t="str">
        <f>IFERROR(VLOOKUP(JNJ671,'[3]Raw material  (3)'!JNH653:JNZ3729,3,0),"")</f>
        <v/>
      </c>
      <c r="JNJ671" t="str">
        <f>IFERROR(VLOOKUP(JNK671,'[3]Raw material  (3)'!JNI653:JOA3729,3,0),"")</f>
        <v/>
      </c>
      <c r="JNK671" t="str">
        <f>IFERROR(VLOOKUP(JNL671,'[3]Raw material  (3)'!JNJ653:JOB3729,3,0),"")</f>
        <v/>
      </c>
      <c r="JNL671" t="str">
        <f>IFERROR(VLOOKUP(JNM671,'[3]Raw material  (3)'!JNK653:JOC3729,3,0),"")</f>
        <v/>
      </c>
      <c r="JNM671" t="str">
        <f>IFERROR(VLOOKUP(JNN671,'[3]Raw material  (3)'!JNL653:JOD3729,3,0),"")</f>
        <v/>
      </c>
      <c r="JNN671" t="str">
        <f>IFERROR(VLOOKUP(JNO671,'[3]Raw material  (3)'!JNM653:JOE3729,3,0),"")</f>
        <v/>
      </c>
      <c r="JNO671" t="str">
        <f>IFERROR(VLOOKUP(JNP671,'[3]Raw material  (3)'!JNN653:JOF3729,3,0),"")</f>
        <v/>
      </c>
      <c r="JNP671" t="str">
        <f>IFERROR(VLOOKUP(JNQ671,'[3]Raw material  (3)'!JNO653:JOG3729,3,0),"")</f>
        <v/>
      </c>
      <c r="JNQ671" t="str">
        <f>IFERROR(VLOOKUP(JNR671,'[3]Raw material  (3)'!JNP653:JOH3729,3,0),"")</f>
        <v/>
      </c>
      <c r="JNR671" t="str">
        <f>IFERROR(VLOOKUP(JNS671,'[3]Raw material  (3)'!JNQ653:JOI3729,3,0),"")</f>
        <v/>
      </c>
      <c r="JNS671" t="str">
        <f>IFERROR(VLOOKUP(JNT671,'[3]Raw material  (3)'!JNR653:JOJ3729,3,0),"")</f>
        <v/>
      </c>
      <c r="JNT671" t="str">
        <f>IFERROR(VLOOKUP(JNU671,'[3]Raw material  (3)'!JNS653:JOK3729,3,0),"")</f>
        <v/>
      </c>
      <c r="JNU671" t="str">
        <f>IFERROR(VLOOKUP(JNV671,'[3]Raw material  (3)'!JNT653:JOL3729,3,0),"")</f>
        <v/>
      </c>
      <c r="JNV671" t="str">
        <f>IFERROR(VLOOKUP(JNW671,'[3]Raw material  (3)'!JNU653:JOM3729,3,0),"")</f>
        <v/>
      </c>
      <c r="JNW671" t="str">
        <f>IFERROR(VLOOKUP(JNX671,'[3]Raw material  (3)'!JNV653:JON3729,3,0),"")</f>
        <v/>
      </c>
      <c r="JNX671" t="str">
        <f>IFERROR(VLOOKUP(JNY671,'[3]Raw material  (3)'!JNW653:JOO3729,3,0),"")</f>
        <v/>
      </c>
      <c r="JNY671" t="str">
        <f>IFERROR(VLOOKUP(JNZ671,'[3]Raw material  (3)'!JNX653:JOP3729,3,0),"")</f>
        <v/>
      </c>
      <c r="JNZ671" t="str">
        <f>IFERROR(VLOOKUP(JOA671,'[3]Raw material  (3)'!JNY653:JOQ3729,3,0),"")</f>
        <v/>
      </c>
      <c r="JOA671" t="str">
        <f>IFERROR(VLOOKUP(JOB671,'[3]Raw material  (3)'!JNZ653:JOR3729,3,0),"")</f>
        <v/>
      </c>
      <c r="JOB671" t="str">
        <f>IFERROR(VLOOKUP(JOC671,'[3]Raw material  (3)'!JOA653:JOS3729,3,0),"")</f>
        <v/>
      </c>
      <c r="JOC671" t="str">
        <f>IFERROR(VLOOKUP(JOD671,'[3]Raw material  (3)'!JOB653:JOT3729,3,0),"")</f>
        <v/>
      </c>
      <c r="JOD671" t="str">
        <f>IFERROR(VLOOKUP(JOE671,'[3]Raw material  (3)'!JOC653:JOU3729,3,0),"")</f>
        <v/>
      </c>
      <c r="JOE671" t="str">
        <f>IFERROR(VLOOKUP(JOF671,'[3]Raw material  (3)'!JOD653:JOV3729,3,0),"")</f>
        <v/>
      </c>
      <c r="JOF671" t="str">
        <f>IFERROR(VLOOKUP(JOG671,'[3]Raw material  (3)'!JOE653:JOW3729,3,0),"")</f>
        <v/>
      </c>
      <c r="JOG671" t="str">
        <f>IFERROR(VLOOKUP(JOH671,'[3]Raw material  (3)'!JOF653:JOX3729,3,0),"")</f>
        <v/>
      </c>
      <c r="JOH671" t="str">
        <f>IFERROR(VLOOKUP(JOI671,'[3]Raw material  (3)'!JOG653:JOY3729,3,0),"")</f>
        <v/>
      </c>
      <c r="JOI671" t="str">
        <f>IFERROR(VLOOKUP(JOJ671,'[3]Raw material  (3)'!JOH653:JOZ3729,3,0),"")</f>
        <v/>
      </c>
      <c r="JOJ671" t="str">
        <f>IFERROR(VLOOKUP(JOK671,'[3]Raw material  (3)'!JOI653:JPA3729,3,0),"")</f>
        <v/>
      </c>
      <c r="JOK671" t="str">
        <f>IFERROR(VLOOKUP(JOL671,'[3]Raw material  (3)'!JOJ653:JPB3729,3,0),"")</f>
        <v/>
      </c>
      <c r="JOL671" t="str">
        <f>IFERROR(VLOOKUP(JOM671,'[3]Raw material  (3)'!JOK653:JPC3729,3,0),"")</f>
        <v/>
      </c>
      <c r="JOM671" t="str">
        <f>IFERROR(VLOOKUP(JON671,'[3]Raw material  (3)'!JOL653:JPD3729,3,0),"")</f>
        <v/>
      </c>
      <c r="JON671" t="str">
        <f>IFERROR(VLOOKUP(JOO671,'[3]Raw material  (3)'!JOM653:JPE3729,3,0),"")</f>
        <v/>
      </c>
      <c r="JOO671" t="str">
        <f>IFERROR(VLOOKUP(JOP671,'[3]Raw material  (3)'!JON653:JPF3729,3,0),"")</f>
        <v/>
      </c>
      <c r="JOP671" t="str">
        <f>IFERROR(VLOOKUP(JOQ671,'[3]Raw material  (3)'!JOO653:JPG3729,3,0),"")</f>
        <v/>
      </c>
      <c r="JOQ671" t="str">
        <f>IFERROR(VLOOKUP(JOR671,'[3]Raw material  (3)'!JOP653:JPH3729,3,0),"")</f>
        <v/>
      </c>
      <c r="JOR671" t="str">
        <f>IFERROR(VLOOKUP(JOS671,'[3]Raw material  (3)'!JOQ653:JPI3729,3,0),"")</f>
        <v/>
      </c>
      <c r="JOS671" t="str">
        <f>IFERROR(VLOOKUP(JOT671,'[3]Raw material  (3)'!JOR653:JPJ3729,3,0),"")</f>
        <v/>
      </c>
      <c r="JOT671" t="str">
        <f>IFERROR(VLOOKUP(JOU671,'[3]Raw material  (3)'!JOS653:JPK3729,3,0),"")</f>
        <v/>
      </c>
      <c r="JOU671" t="str">
        <f>IFERROR(VLOOKUP(JOV671,'[3]Raw material  (3)'!JOT653:JPL3729,3,0),"")</f>
        <v/>
      </c>
      <c r="JOV671" t="str">
        <f>IFERROR(VLOOKUP(JOW671,'[3]Raw material  (3)'!JOU653:JPM3729,3,0),"")</f>
        <v/>
      </c>
      <c r="JOW671" t="str">
        <f>IFERROR(VLOOKUP(JOX671,'[3]Raw material  (3)'!JOV653:JPN3729,3,0),"")</f>
        <v/>
      </c>
      <c r="JOX671" t="str">
        <f>IFERROR(VLOOKUP(JOY671,'[3]Raw material  (3)'!JOW653:JPO3729,3,0),"")</f>
        <v/>
      </c>
      <c r="JOY671" t="str">
        <f>IFERROR(VLOOKUP(JOZ671,'[3]Raw material  (3)'!JOX653:JPP3729,3,0),"")</f>
        <v/>
      </c>
      <c r="JOZ671" t="str">
        <f>IFERROR(VLOOKUP(JPA671,'[3]Raw material  (3)'!JOY653:JPQ3729,3,0),"")</f>
        <v/>
      </c>
      <c r="JPA671" t="str">
        <f>IFERROR(VLOOKUP(JPB671,'[3]Raw material  (3)'!JOZ653:JPR3729,3,0),"")</f>
        <v/>
      </c>
      <c r="JPB671" t="str">
        <f>IFERROR(VLOOKUP(JPC671,'[3]Raw material  (3)'!JPA653:JPS3729,3,0),"")</f>
        <v/>
      </c>
      <c r="JPC671" t="str">
        <f>IFERROR(VLOOKUP(JPD671,'[3]Raw material  (3)'!JPB653:JPT3729,3,0),"")</f>
        <v/>
      </c>
      <c r="JPD671" t="str">
        <f>IFERROR(VLOOKUP(JPE671,'[3]Raw material  (3)'!JPC653:JPU3729,3,0),"")</f>
        <v/>
      </c>
      <c r="JPE671" t="str">
        <f>IFERROR(VLOOKUP(JPF671,'[3]Raw material  (3)'!JPD653:JPV3729,3,0),"")</f>
        <v/>
      </c>
      <c r="JPF671" t="str">
        <f>IFERROR(VLOOKUP(JPG671,'[3]Raw material  (3)'!JPE653:JPW3729,3,0),"")</f>
        <v/>
      </c>
      <c r="JPG671" t="str">
        <f>IFERROR(VLOOKUP(JPH671,'[3]Raw material  (3)'!JPF653:JPX3729,3,0),"")</f>
        <v/>
      </c>
      <c r="JPH671" t="str">
        <f>IFERROR(VLOOKUP(JPI671,'[3]Raw material  (3)'!JPG653:JPY3729,3,0),"")</f>
        <v/>
      </c>
      <c r="JPI671" t="str">
        <f>IFERROR(VLOOKUP(JPJ671,'[3]Raw material  (3)'!JPH653:JPZ3729,3,0),"")</f>
        <v/>
      </c>
      <c r="JPJ671" t="str">
        <f>IFERROR(VLOOKUP(JPK671,'[3]Raw material  (3)'!JPI653:JQA3729,3,0),"")</f>
        <v/>
      </c>
      <c r="JPK671" t="str">
        <f>IFERROR(VLOOKUP(JPL671,'[3]Raw material  (3)'!JPJ653:JQB3729,3,0),"")</f>
        <v/>
      </c>
      <c r="JPL671" t="str">
        <f>IFERROR(VLOOKUP(JPM671,'[3]Raw material  (3)'!JPK653:JQC3729,3,0),"")</f>
        <v/>
      </c>
      <c r="JPM671" t="str">
        <f>IFERROR(VLOOKUP(JPN671,'[3]Raw material  (3)'!JPL653:JQD3729,3,0),"")</f>
        <v/>
      </c>
      <c r="JPN671" t="str">
        <f>IFERROR(VLOOKUP(JPO671,'[3]Raw material  (3)'!JPM653:JQE3729,3,0),"")</f>
        <v/>
      </c>
      <c r="JPO671" t="str">
        <f>IFERROR(VLOOKUP(JPP671,'[3]Raw material  (3)'!JPN653:JQF3729,3,0),"")</f>
        <v/>
      </c>
      <c r="JPP671" t="str">
        <f>IFERROR(VLOOKUP(JPQ671,'[3]Raw material  (3)'!JPO653:JQG3729,3,0),"")</f>
        <v/>
      </c>
      <c r="JPQ671" t="str">
        <f>IFERROR(VLOOKUP(JPR671,'[3]Raw material  (3)'!JPP653:JQH3729,3,0),"")</f>
        <v/>
      </c>
      <c r="JPR671" t="str">
        <f>IFERROR(VLOOKUP(JPS671,'[3]Raw material  (3)'!JPQ653:JQI3729,3,0),"")</f>
        <v/>
      </c>
      <c r="JPS671" t="str">
        <f>IFERROR(VLOOKUP(JPT671,'[3]Raw material  (3)'!JPR653:JQJ3729,3,0),"")</f>
        <v/>
      </c>
      <c r="JPT671" t="str">
        <f>IFERROR(VLOOKUP(JPU671,'[3]Raw material  (3)'!JPS653:JQK3729,3,0),"")</f>
        <v/>
      </c>
      <c r="JPU671" t="str">
        <f>IFERROR(VLOOKUP(JPV671,'[3]Raw material  (3)'!JPT653:JQL3729,3,0),"")</f>
        <v/>
      </c>
      <c r="JPV671" t="str">
        <f>IFERROR(VLOOKUP(JPW671,'[3]Raw material  (3)'!JPU653:JQM3729,3,0),"")</f>
        <v/>
      </c>
      <c r="JPW671" t="str">
        <f>IFERROR(VLOOKUP(JPX671,'[3]Raw material  (3)'!JPV653:JQN3729,3,0),"")</f>
        <v/>
      </c>
      <c r="JPX671" t="str">
        <f>IFERROR(VLOOKUP(JPY671,'[3]Raw material  (3)'!JPW653:JQO3729,3,0),"")</f>
        <v/>
      </c>
      <c r="JPY671" t="str">
        <f>IFERROR(VLOOKUP(JPZ671,'[3]Raw material  (3)'!JPX653:JQP3729,3,0),"")</f>
        <v/>
      </c>
      <c r="JPZ671" t="str">
        <f>IFERROR(VLOOKUP(JQA671,'[3]Raw material  (3)'!JPY653:JQQ3729,3,0),"")</f>
        <v/>
      </c>
      <c r="JQA671" t="str">
        <f>IFERROR(VLOOKUP(JQB671,'[3]Raw material  (3)'!JPZ653:JQR3729,3,0),"")</f>
        <v/>
      </c>
      <c r="JQB671" t="str">
        <f>IFERROR(VLOOKUP(JQC671,'[3]Raw material  (3)'!JQA653:JQS3729,3,0),"")</f>
        <v/>
      </c>
      <c r="JQC671" t="str">
        <f>IFERROR(VLOOKUP(JQD671,'[3]Raw material  (3)'!JQB653:JQT3729,3,0),"")</f>
        <v/>
      </c>
      <c r="JQD671" t="str">
        <f>IFERROR(VLOOKUP(JQE671,'[3]Raw material  (3)'!JQC653:JQU3729,3,0),"")</f>
        <v/>
      </c>
      <c r="JQE671" t="str">
        <f>IFERROR(VLOOKUP(JQF671,'[3]Raw material  (3)'!JQD653:JQV3729,3,0),"")</f>
        <v/>
      </c>
      <c r="JQF671" t="str">
        <f>IFERROR(VLOOKUP(JQG671,'[3]Raw material  (3)'!JQE653:JQW3729,3,0),"")</f>
        <v/>
      </c>
      <c r="JQG671" t="str">
        <f>IFERROR(VLOOKUP(JQH671,'[3]Raw material  (3)'!JQF653:JQX3729,3,0),"")</f>
        <v/>
      </c>
      <c r="JQH671" t="str">
        <f>IFERROR(VLOOKUP(JQI671,'[3]Raw material  (3)'!JQG653:JQY3729,3,0),"")</f>
        <v/>
      </c>
      <c r="JQI671" t="str">
        <f>IFERROR(VLOOKUP(JQJ671,'[3]Raw material  (3)'!JQH653:JQZ3729,3,0),"")</f>
        <v/>
      </c>
      <c r="JQJ671" t="str">
        <f>IFERROR(VLOOKUP(JQK671,'[3]Raw material  (3)'!JQI653:JRA3729,3,0),"")</f>
        <v/>
      </c>
      <c r="JQK671" t="str">
        <f>IFERROR(VLOOKUP(JQL671,'[3]Raw material  (3)'!JQJ653:JRB3729,3,0),"")</f>
        <v/>
      </c>
      <c r="JQL671" t="str">
        <f>IFERROR(VLOOKUP(JQM671,'[3]Raw material  (3)'!JQK653:JRC3729,3,0),"")</f>
        <v/>
      </c>
      <c r="JQM671" t="str">
        <f>IFERROR(VLOOKUP(JQN671,'[3]Raw material  (3)'!JQL653:JRD3729,3,0),"")</f>
        <v/>
      </c>
      <c r="JQN671" t="str">
        <f>IFERROR(VLOOKUP(JQO671,'[3]Raw material  (3)'!JQM653:JRE3729,3,0),"")</f>
        <v/>
      </c>
      <c r="JQO671" t="str">
        <f>IFERROR(VLOOKUP(JQP671,'[3]Raw material  (3)'!JQN653:JRF3729,3,0),"")</f>
        <v/>
      </c>
      <c r="JQP671" t="str">
        <f>IFERROR(VLOOKUP(JQQ671,'[3]Raw material  (3)'!JQO653:JRG3729,3,0),"")</f>
        <v/>
      </c>
      <c r="JQQ671" t="str">
        <f>IFERROR(VLOOKUP(JQR671,'[3]Raw material  (3)'!JQP653:JRH3729,3,0),"")</f>
        <v/>
      </c>
      <c r="JQR671" t="str">
        <f>IFERROR(VLOOKUP(JQS671,'[3]Raw material  (3)'!JQQ653:JRI3729,3,0),"")</f>
        <v/>
      </c>
      <c r="JQS671" t="str">
        <f>IFERROR(VLOOKUP(JQT671,'[3]Raw material  (3)'!JQR653:JRJ3729,3,0),"")</f>
        <v/>
      </c>
      <c r="JQT671" t="str">
        <f>IFERROR(VLOOKUP(JQU671,'[3]Raw material  (3)'!JQS653:JRK3729,3,0),"")</f>
        <v/>
      </c>
      <c r="JQU671" t="str">
        <f>IFERROR(VLOOKUP(JQV671,'[3]Raw material  (3)'!JQT653:JRL3729,3,0),"")</f>
        <v/>
      </c>
      <c r="JQV671" t="str">
        <f>IFERROR(VLOOKUP(JQW671,'[3]Raw material  (3)'!JQU653:JRM3729,3,0),"")</f>
        <v/>
      </c>
      <c r="JQW671" t="str">
        <f>IFERROR(VLOOKUP(JQX671,'[3]Raw material  (3)'!JQV653:JRN3729,3,0),"")</f>
        <v/>
      </c>
      <c r="JQX671" t="str">
        <f>IFERROR(VLOOKUP(JQY671,'[3]Raw material  (3)'!JQW653:JRO3729,3,0),"")</f>
        <v/>
      </c>
      <c r="JQY671" t="str">
        <f>IFERROR(VLOOKUP(JQZ671,'[3]Raw material  (3)'!JQX653:JRP3729,3,0),"")</f>
        <v/>
      </c>
      <c r="JQZ671" t="str">
        <f>IFERROR(VLOOKUP(JRA671,'[3]Raw material  (3)'!JQY653:JRQ3729,3,0),"")</f>
        <v/>
      </c>
      <c r="JRA671" t="str">
        <f>IFERROR(VLOOKUP(JRB671,'[3]Raw material  (3)'!JQZ653:JRR3729,3,0),"")</f>
        <v/>
      </c>
      <c r="JRB671" t="str">
        <f>IFERROR(VLOOKUP(JRC671,'[3]Raw material  (3)'!JRA653:JRS3729,3,0),"")</f>
        <v/>
      </c>
      <c r="JRC671" t="str">
        <f>IFERROR(VLOOKUP(JRD671,'[3]Raw material  (3)'!JRB653:JRT3729,3,0),"")</f>
        <v/>
      </c>
      <c r="JRD671" t="str">
        <f>IFERROR(VLOOKUP(JRE671,'[3]Raw material  (3)'!JRC653:JRU3729,3,0),"")</f>
        <v/>
      </c>
      <c r="JRE671" t="str">
        <f>IFERROR(VLOOKUP(JRF671,'[3]Raw material  (3)'!JRD653:JRV3729,3,0),"")</f>
        <v/>
      </c>
      <c r="JRF671" t="str">
        <f>IFERROR(VLOOKUP(JRG671,'[3]Raw material  (3)'!JRE653:JRW3729,3,0),"")</f>
        <v/>
      </c>
      <c r="JRG671" t="str">
        <f>IFERROR(VLOOKUP(JRH671,'[3]Raw material  (3)'!JRF653:JRX3729,3,0),"")</f>
        <v/>
      </c>
      <c r="JRH671" t="str">
        <f>IFERROR(VLOOKUP(JRI671,'[3]Raw material  (3)'!JRG653:JRY3729,3,0),"")</f>
        <v/>
      </c>
      <c r="JRI671" t="str">
        <f>IFERROR(VLOOKUP(JRJ671,'[3]Raw material  (3)'!JRH653:JRZ3729,3,0),"")</f>
        <v/>
      </c>
      <c r="JRJ671" t="str">
        <f>IFERROR(VLOOKUP(JRK671,'[3]Raw material  (3)'!JRI653:JSA3729,3,0),"")</f>
        <v/>
      </c>
      <c r="JRK671" t="str">
        <f>IFERROR(VLOOKUP(JRL671,'[3]Raw material  (3)'!JRJ653:JSB3729,3,0),"")</f>
        <v/>
      </c>
      <c r="JRL671" t="str">
        <f>IFERROR(VLOOKUP(JRM671,'[3]Raw material  (3)'!JRK653:JSC3729,3,0),"")</f>
        <v/>
      </c>
      <c r="JRM671" t="str">
        <f>IFERROR(VLOOKUP(JRN671,'[3]Raw material  (3)'!JRL653:JSD3729,3,0),"")</f>
        <v/>
      </c>
      <c r="JRN671" t="str">
        <f>IFERROR(VLOOKUP(JRO671,'[3]Raw material  (3)'!JRM653:JSE3729,3,0),"")</f>
        <v/>
      </c>
      <c r="JRO671" t="str">
        <f>IFERROR(VLOOKUP(JRP671,'[3]Raw material  (3)'!JRN653:JSF3729,3,0),"")</f>
        <v/>
      </c>
      <c r="JRP671" t="str">
        <f>IFERROR(VLOOKUP(JRQ671,'[3]Raw material  (3)'!JRO653:JSG3729,3,0),"")</f>
        <v/>
      </c>
      <c r="JRQ671" t="str">
        <f>IFERROR(VLOOKUP(JRR671,'[3]Raw material  (3)'!JRP653:JSH3729,3,0),"")</f>
        <v/>
      </c>
      <c r="JRR671" t="str">
        <f>IFERROR(VLOOKUP(JRS671,'[3]Raw material  (3)'!JRQ653:JSI3729,3,0),"")</f>
        <v/>
      </c>
      <c r="JRS671" t="str">
        <f>IFERROR(VLOOKUP(JRT671,'[3]Raw material  (3)'!JRR653:JSJ3729,3,0),"")</f>
        <v/>
      </c>
      <c r="JRT671" t="str">
        <f>IFERROR(VLOOKUP(JRU671,'[3]Raw material  (3)'!JRS653:JSK3729,3,0),"")</f>
        <v/>
      </c>
      <c r="JRU671" t="str">
        <f>IFERROR(VLOOKUP(JRV671,'[3]Raw material  (3)'!JRT653:JSL3729,3,0),"")</f>
        <v/>
      </c>
      <c r="JRV671" t="str">
        <f>IFERROR(VLOOKUP(JRW671,'[3]Raw material  (3)'!JRU653:JSM3729,3,0),"")</f>
        <v/>
      </c>
      <c r="JRW671" t="str">
        <f>IFERROR(VLOOKUP(JRX671,'[3]Raw material  (3)'!JRV653:JSN3729,3,0),"")</f>
        <v/>
      </c>
      <c r="JRX671" t="str">
        <f>IFERROR(VLOOKUP(JRY671,'[3]Raw material  (3)'!JRW653:JSO3729,3,0),"")</f>
        <v/>
      </c>
      <c r="JRY671" t="str">
        <f>IFERROR(VLOOKUP(JRZ671,'[3]Raw material  (3)'!JRX653:JSP3729,3,0),"")</f>
        <v/>
      </c>
      <c r="JRZ671" t="str">
        <f>IFERROR(VLOOKUP(JSA671,'[3]Raw material  (3)'!JRY653:JSQ3729,3,0),"")</f>
        <v/>
      </c>
      <c r="JSA671" t="str">
        <f>IFERROR(VLOOKUP(JSB671,'[3]Raw material  (3)'!JRZ653:JSR3729,3,0),"")</f>
        <v/>
      </c>
      <c r="JSB671" t="str">
        <f>IFERROR(VLOOKUP(JSC671,'[3]Raw material  (3)'!JSA653:JSS3729,3,0),"")</f>
        <v/>
      </c>
      <c r="JSC671" t="str">
        <f>IFERROR(VLOOKUP(JSD671,'[3]Raw material  (3)'!JSB653:JST3729,3,0),"")</f>
        <v/>
      </c>
      <c r="JSD671" t="str">
        <f>IFERROR(VLOOKUP(JSE671,'[3]Raw material  (3)'!JSC653:JSU3729,3,0),"")</f>
        <v/>
      </c>
      <c r="JSE671" t="str">
        <f>IFERROR(VLOOKUP(JSF671,'[3]Raw material  (3)'!JSD653:JSV3729,3,0),"")</f>
        <v/>
      </c>
      <c r="JSF671" t="str">
        <f>IFERROR(VLOOKUP(JSG671,'[3]Raw material  (3)'!JSE653:JSW3729,3,0),"")</f>
        <v/>
      </c>
      <c r="JSG671" t="str">
        <f>IFERROR(VLOOKUP(JSH671,'[3]Raw material  (3)'!JSF653:JSX3729,3,0),"")</f>
        <v/>
      </c>
      <c r="JSH671" t="str">
        <f>IFERROR(VLOOKUP(JSI671,'[3]Raw material  (3)'!JSG653:JSY3729,3,0),"")</f>
        <v/>
      </c>
      <c r="JSI671" t="str">
        <f>IFERROR(VLOOKUP(JSJ671,'[3]Raw material  (3)'!JSH653:JSZ3729,3,0),"")</f>
        <v/>
      </c>
      <c r="JSJ671" t="str">
        <f>IFERROR(VLOOKUP(JSK671,'[3]Raw material  (3)'!JSI653:JTA3729,3,0),"")</f>
        <v/>
      </c>
      <c r="JSK671" t="str">
        <f>IFERROR(VLOOKUP(JSL671,'[3]Raw material  (3)'!JSJ653:JTB3729,3,0),"")</f>
        <v/>
      </c>
      <c r="JSL671" t="str">
        <f>IFERROR(VLOOKUP(JSM671,'[3]Raw material  (3)'!JSK653:JTC3729,3,0),"")</f>
        <v/>
      </c>
      <c r="JSM671" t="str">
        <f>IFERROR(VLOOKUP(JSN671,'[3]Raw material  (3)'!JSL653:JTD3729,3,0),"")</f>
        <v/>
      </c>
      <c r="JSN671" t="str">
        <f>IFERROR(VLOOKUP(JSO671,'[3]Raw material  (3)'!JSM653:JTE3729,3,0),"")</f>
        <v/>
      </c>
      <c r="JSO671" t="str">
        <f>IFERROR(VLOOKUP(JSP671,'[3]Raw material  (3)'!JSN653:JTF3729,3,0),"")</f>
        <v/>
      </c>
      <c r="JSP671" t="str">
        <f>IFERROR(VLOOKUP(JSQ671,'[3]Raw material  (3)'!JSO653:JTG3729,3,0),"")</f>
        <v/>
      </c>
      <c r="JSQ671" t="str">
        <f>IFERROR(VLOOKUP(JSR671,'[3]Raw material  (3)'!JSP653:JTH3729,3,0),"")</f>
        <v/>
      </c>
      <c r="JSR671" t="str">
        <f>IFERROR(VLOOKUP(JSS671,'[3]Raw material  (3)'!JSQ653:JTI3729,3,0),"")</f>
        <v/>
      </c>
      <c r="JSS671" t="str">
        <f>IFERROR(VLOOKUP(JST671,'[3]Raw material  (3)'!JSR653:JTJ3729,3,0),"")</f>
        <v/>
      </c>
      <c r="JST671" t="str">
        <f>IFERROR(VLOOKUP(JSU671,'[3]Raw material  (3)'!JSS653:JTK3729,3,0),"")</f>
        <v/>
      </c>
      <c r="JSU671" t="str">
        <f>IFERROR(VLOOKUP(JSV671,'[3]Raw material  (3)'!JST653:JTL3729,3,0),"")</f>
        <v/>
      </c>
      <c r="JSV671" t="str">
        <f>IFERROR(VLOOKUP(JSW671,'[3]Raw material  (3)'!JSU653:JTM3729,3,0),"")</f>
        <v/>
      </c>
      <c r="JSW671" t="str">
        <f>IFERROR(VLOOKUP(JSX671,'[3]Raw material  (3)'!JSV653:JTN3729,3,0),"")</f>
        <v/>
      </c>
      <c r="JSX671" t="str">
        <f>IFERROR(VLOOKUP(JSY671,'[3]Raw material  (3)'!JSW653:JTO3729,3,0),"")</f>
        <v/>
      </c>
      <c r="JSY671" t="str">
        <f>IFERROR(VLOOKUP(JSZ671,'[3]Raw material  (3)'!JSX653:JTP3729,3,0),"")</f>
        <v/>
      </c>
      <c r="JSZ671" t="str">
        <f>IFERROR(VLOOKUP(JTA671,'[3]Raw material  (3)'!JSY653:JTQ3729,3,0),"")</f>
        <v/>
      </c>
      <c r="JTA671" t="str">
        <f>IFERROR(VLOOKUP(JTB671,'[3]Raw material  (3)'!JSZ653:JTR3729,3,0),"")</f>
        <v/>
      </c>
      <c r="JTB671" t="str">
        <f>IFERROR(VLOOKUP(JTC671,'[3]Raw material  (3)'!JTA653:JTS3729,3,0),"")</f>
        <v/>
      </c>
      <c r="JTC671" t="str">
        <f>IFERROR(VLOOKUP(JTD671,'[3]Raw material  (3)'!JTB653:JTT3729,3,0),"")</f>
        <v/>
      </c>
      <c r="JTD671" t="str">
        <f>IFERROR(VLOOKUP(JTE671,'[3]Raw material  (3)'!JTC653:JTU3729,3,0),"")</f>
        <v/>
      </c>
      <c r="JTE671" t="str">
        <f>IFERROR(VLOOKUP(JTF671,'[3]Raw material  (3)'!JTD653:JTV3729,3,0),"")</f>
        <v/>
      </c>
      <c r="JTF671" t="str">
        <f>IFERROR(VLOOKUP(JTG671,'[3]Raw material  (3)'!JTE653:JTW3729,3,0),"")</f>
        <v/>
      </c>
      <c r="JTG671" t="str">
        <f>IFERROR(VLOOKUP(JTH671,'[3]Raw material  (3)'!JTF653:JTX3729,3,0),"")</f>
        <v/>
      </c>
      <c r="JTH671" t="str">
        <f>IFERROR(VLOOKUP(JTI671,'[3]Raw material  (3)'!JTG653:JTY3729,3,0),"")</f>
        <v/>
      </c>
      <c r="JTI671" t="str">
        <f>IFERROR(VLOOKUP(JTJ671,'[3]Raw material  (3)'!JTH653:JTZ3729,3,0),"")</f>
        <v/>
      </c>
      <c r="JTJ671" t="str">
        <f>IFERROR(VLOOKUP(JTK671,'[3]Raw material  (3)'!JTI653:JUA3729,3,0),"")</f>
        <v/>
      </c>
      <c r="JTK671" t="str">
        <f>IFERROR(VLOOKUP(JTL671,'[3]Raw material  (3)'!JTJ653:JUB3729,3,0),"")</f>
        <v/>
      </c>
      <c r="JTL671" t="str">
        <f>IFERROR(VLOOKUP(JTM671,'[3]Raw material  (3)'!JTK653:JUC3729,3,0),"")</f>
        <v/>
      </c>
      <c r="JTM671" t="str">
        <f>IFERROR(VLOOKUP(JTN671,'[3]Raw material  (3)'!JTL653:JUD3729,3,0),"")</f>
        <v/>
      </c>
      <c r="JTN671" t="str">
        <f>IFERROR(VLOOKUP(JTO671,'[3]Raw material  (3)'!JTM653:JUE3729,3,0),"")</f>
        <v/>
      </c>
      <c r="JTO671" t="str">
        <f>IFERROR(VLOOKUP(JTP671,'[3]Raw material  (3)'!JTN653:JUF3729,3,0),"")</f>
        <v/>
      </c>
      <c r="JTP671" t="str">
        <f>IFERROR(VLOOKUP(JTQ671,'[3]Raw material  (3)'!JTO653:JUG3729,3,0),"")</f>
        <v/>
      </c>
      <c r="JTQ671" t="str">
        <f>IFERROR(VLOOKUP(JTR671,'[3]Raw material  (3)'!JTP653:JUH3729,3,0),"")</f>
        <v/>
      </c>
      <c r="JTR671" t="str">
        <f>IFERROR(VLOOKUP(JTS671,'[3]Raw material  (3)'!JTQ653:JUI3729,3,0),"")</f>
        <v/>
      </c>
      <c r="JTS671" t="str">
        <f>IFERROR(VLOOKUP(JTT671,'[3]Raw material  (3)'!JTR653:JUJ3729,3,0),"")</f>
        <v/>
      </c>
      <c r="JTT671" t="str">
        <f>IFERROR(VLOOKUP(JTU671,'[3]Raw material  (3)'!JTS653:JUK3729,3,0),"")</f>
        <v/>
      </c>
      <c r="JTU671" t="str">
        <f>IFERROR(VLOOKUP(JTV671,'[3]Raw material  (3)'!JTT653:JUL3729,3,0),"")</f>
        <v/>
      </c>
      <c r="JTV671" t="str">
        <f>IFERROR(VLOOKUP(JTW671,'[3]Raw material  (3)'!JTU653:JUM3729,3,0),"")</f>
        <v/>
      </c>
      <c r="JTW671" t="str">
        <f>IFERROR(VLOOKUP(JTX671,'[3]Raw material  (3)'!JTV653:JUN3729,3,0),"")</f>
        <v/>
      </c>
      <c r="JTX671" t="str">
        <f>IFERROR(VLOOKUP(JTY671,'[3]Raw material  (3)'!JTW653:JUO3729,3,0),"")</f>
        <v/>
      </c>
      <c r="JTY671" t="str">
        <f>IFERROR(VLOOKUP(JTZ671,'[3]Raw material  (3)'!JTX653:JUP3729,3,0),"")</f>
        <v/>
      </c>
      <c r="JTZ671" t="str">
        <f>IFERROR(VLOOKUP(JUA671,'[3]Raw material  (3)'!JTY653:JUQ3729,3,0),"")</f>
        <v/>
      </c>
      <c r="JUA671" t="str">
        <f>IFERROR(VLOOKUP(JUB671,'[3]Raw material  (3)'!JTZ653:JUR3729,3,0),"")</f>
        <v/>
      </c>
      <c r="JUB671" t="str">
        <f>IFERROR(VLOOKUP(JUC671,'[3]Raw material  (3)'!JUA653:JUS3729,3,0),"")</f>
        <v/>
      </c>
      <c r="JUC671" t="str">
        <f>IFERROR(VLOOKUP(JUD671,'[3]Raw material  (3)'!JUB653:JUT3729,3,0),"")</f>
        <v/>
      </c>
      <c r="JUD671" t="str">
        <f>IFERROR(VLOOKUP(JUE671,'[3]Raw material  (3)'!JUC653:JUU3729,3,0),"")</f>
        <v/>
      </c>
      <c r="JUE671" t="str">
        <f>IFERROR(VLOOKUP(JUF671,'[3]Raw material  (3)'!JUD653:JUV3729,3,0),"")</f>
        <v/>
      </c>
      <c r="JUF671" t="str">
        <f>IFERROR(VLOOKUP(JUG671,'[3]Raw material  (3)'!JUE653:JUW3729,3,0),"")</f>
        <v/>
      </c>
      <c r="JUG671" t="str">
        <f>IFERROR(VLOOKUP(JUH671,'[3]Raw material  (3)'!JUF653:JUX3729,3,0),"")</f>
        <v/>
      </c>
      <c r="JUH671" t="str">
        <f>IFERROR(VLOOKUP(JUI671,'[3]Raw material  (3)'!JUG653:JUY3729,3,0),"")</f>
        <v/>
      </c>
      <c r="JUI671" t="str">
        <f>IFERROR(VLOOKUP(JUJ671,'[3]Raw material  (3)'!JUH653:JUZ3729,3,0),"")</f>
        <v/>
      </c>
      <c r="JUJ671" t="str">
        <f>IFERROR(VLOOKUP(JUK671,'[3]Raw material  (3)'!JUI653:JVA3729,3,0),"")</f>
        <v/>
      </c>
      <c r="JUK671" t="str">
        <f>IFERROR(VLOOKUP(JUL671,'[3]Raw material  (3)'!JUJ653:JVB3729,3,0),"")</f>
        <v/>
      </c>
      <c r="JUL671" t="str">
        <f>IFERROR(VLOOKUP(JUM671,'[3]Raw material  (3)'!JUK653:JVC3729,3,0),"")</f>
        <v/>
      </c>
      <c r="JUM671" t="str">
        <f>IFERROR(VLOOKUP(JUN671,'[3]Raw material  (3)'!JUL653:JVD3729,3,0),"")</f>
        <v/>
      </c>
      <c r="JUN671" t="str">
        <f>IFERROR(VLOOKUP(JUO671,'[3]Raw material  (3)'!JUM653:JVE3729,3,0),"")</f>
        <v/>
      </c>
      <c r="JUO671" t="str">
        <f>IFERROR(VLOOKUP(JUP671,'[3]Raw material  (3)'!JUN653:JVF3729,3,0),"")</f>
        <v/>
      </c>
      <c r="JUP671" t="str">
        <f>IFERROR(VLOOKUP(JUQ671,'[3]Raw material  (3)'!JUO653:JVG3729,3,0),"")</f>
        <v/>
      </c>
      <c r="JUQ671" t="str">
        <f>IFERROR(VLOOKUP(JUR671,'[3]Raw material  (3)'!JUP653:JVH3729,3,0),"")</f>
        <v/>
      </c>
      <c r="JUR671" t="str">
        <f>IFERROR(VLOOKUP(JUS671,'[3]Raw material  (3)'!JUQ653:JVI3729,3,0),"")</f>
        <v/>
      </c>
      <c r="JUS671" t="str">
        <f>IFERROR(VLOOKUP(JUT671,'[3]Raw material  (3)'!JUR653:JVJ3729,3,0),"")</f>
        <v/>
      </c>
      <c r="JUT671" t="str">
        <f>IFERROR(VLOOKUP(JUU671,'[3]Raw material  (3)'!JUS653:JVK3729,3,0),"")</f>
        <v/>
      </c>
      <c r="JUU671" t="str">
        <f>IFERROR(VLOOKUP(JUV671,'[3]Raw material  (3)'!JUT653:JVL3729,3,0),"")</f>
        <v/>
      </c>
      <c r="JUV671" t="str">
        <f>IFERROR(VLOOKUP(JUW671,'[3]Raw material  (3)'!JUU653:JVM3729,3,0),"")</f>
        <v/>
      </c>
      <c r="JUW671" t="str">
        <f>IFERROR(VLOOKUP(JUX671,'[3]Raw material  (3)'!JUV653:JVN3729,3,0),"")</f>
        <v/>
      </c>
      <c r="JUX671" t="str">
        <f>IFERROR(VLOOKUP(JUY671,'[3]Raw material  (3)'!JUW653:JVO3729,3,0),"")</f>
        <v/>
      </c>
      <c r="JUY671" t="str">
        <f>IFERROR(VLOOKUP(JUZ671,'[3]Raw material  (3)'!JUX653:JVP3729,3,0),"")</f>
        <v/>
      </c>
      <c r="JUZ671" t="str">
        <f>IFERROR(VLOOKUP(JVA671,'[3]Raw material  (3)'!JUY653:JVQ3729,3,0),"")</f>
        <v/>
      </c>
      <c r="JVA671" t="str">
        <f>IFERROR(VLOOKUP(JVB671,'[3]Raw material  (3)'!JUZ653:JVR3729,3,0),"")</f>
        <v/>
      </c>
      <c r="JVB671" t="str">
        <f>IFERROR(VLOOKUP(JVC671,'[3]Raw material  (3)'!JVA653:JVS3729,3,0),"")</f>
        <v/>
      </c>
      <c r="JVC671" t="str">
        <f>IFERROR(VLOOKUP(JVD671,'[3]Raw material  (3)'!JVB653:JVT3729,3,0),"")</f>
        <v/>
      </c>
      <c r="JVD671" t="str">
        <f>IFERROR(VLOOKUP(JVE671,'[3]Raw material  (3)'!JVC653:JVU3729,3,0),"")</f>
        <v/>
      </c>
      <c r="JVE671" t="str">
        <f>IFERROR(VLOOKUP(JVF671,'[3]Raw material  (3)'!JVD653:JVV3729,3,0),"")</f>
        <v/>
      </c>
      <c r="JVF671" t="str">
        <f>IFERROR(VLOOKUP(JVG671,'[3]Raw material  (3)'!JVE653:JVW3729,3,0),"")</f>
        <v/>
      </c>
      <c r="JVG671" t="str">
        <f>IFERROR(VLOOKUP(JVH671,'[3]Raw material  (3)'!JVF653:JVX3729,3,0),"")</f>
        <v/>
      </c>
      <c r="JVH671" t="str">
        <f>IFERROR(VLOOKUP(JVI671,'[3]Raw material  (3)'!JVG653:JVY3729,3,0),"")</f>
        <v/>
      </c>
      <c r="JVI671" t="str">
        <f>IFERROR(VLOOKUP(JVJ671,'[3]Raw material  (3)'!JVH653:JVZ3729,3,0),"")</f>
        <v/>
      </c>
      <c r="JVJ671" t="str">
        <f>IFERROR(VLOOKUP(JVK671,'[3]Raw material  (3)'!JVI653:JWA3729,3,0),"")</f>
        <v/>
      </c>
      <c r="JVK671" t="str">
        <f>IFERROR(VLOOKUP(JVL671,'[3]Raw material  (3)'!JVJ653:JWB3729,3,0),"")</f>
        <v/>
      </c>
      <c r="JVL671" t="str">
        <f>IFERROR(VLOOKUP(JVM671,'[3]Raw material  (3)'!JVK653:JWC3729,3,0),"")</f>
        <v/>
      </c>
      <c r="JVM671" t="str">
        <f>IFERROR(VLOOKUP(JVN671,'[3]Raw material  (3)'!JVL653:JWD3729,3,0),"")</f>
        <v/>
      </c>
      <c r="JVN671" t="str">
        <f>IFERROR(VLOOKUP(JVO671,'[3]Raw material  (3)'!JVM653:JWE3729,3,0),"")</f>
        <v/>
      </c>
      <c r="JVO671" t="str">
        <f>IFERROR(VLOOKUP(JVP671,'[3]Raw material  (3)'!JVN653:JWF3729,3,0),"")</f>
        <v/>
      </c>
      <c r="JVP671" t="str">
        <f>IFERROR(VLOOKUP(JVQ671,'[3]Raw material  (3)'!JVO653:JWG3729,3,0),"")</f>
        <v/>
      </c>
      <c r="JVQ671" t="str">
        <f>IFERROR(VLOOKUP(JVR671,'[3]Raw material  (3)'!JVP653:JWH3729,3,0),"")</f>
        <v/>
      </c>
      <c r="JVR671" t="str">
        <f>IFERROR(VLOOKUP(JVS671,'[3]Raw material  (3)'!JVQ653:JWI3729,3,0),"")</f>
        <v/>
      </c>
      <c r="JVS671" t="str">
        <f>IFERROR(VLOOKUP(JVT671,'[3]Raw material  (3)'!JVR653:JWJ3729,3,0),"")</f>
        <v/>
      </c>
      <c r="JVT671" t="str">
        <f>IFERROR(VLOOKUP(JVU671,'[3]Raw material  (3)'!JVS653:JWK3729,3,0),"")</f>
        <v/>
      </c>
      <c r="JVU671" t="str">
        <f>IFERROR(VLOOKUP(JVV671,'[3]Raw material  (3)'!JVT653:JWL3729,3,0),"")</f>
        <v/>
      </c>
      <c r="JVV671" t="str">
        <f>IFERROR(VLOOKUP(JVW671,'[3]Raw material  (3)'!JVU653:JWM3729,3,0),"")</f>
        <v/>
      </c>
      <c r="JVW671" t="str">
        <f>IFERROR(VLOOKUP(JVX671,'[3]Raw material  (3)'!JVV653:JWN3729,3,0),"")</f>
        <v/>
      </c>
      <c r="JVX671" t="str">
        <f>IFERROR(VLOOKUP(JVY671,'[3]Raw material  (3)'!JVW653:JWO3729,3,0),"")</f>
        <v/>
      </c>
      <c r="JVY671" t="str">
        <f>IFERROR(VLOOKUP(JVZ671,'[3]Raw material  (3)'!JVX653:JWP3729,3,0),"")</f>
        <v/>
      </c>
      <c r="JVZ671" t="str">
        <f>IFERROR(VLOOKUP(JWA671,'[3]Raw material  (3)'!JVY653:JWQ3729,3,0),"")</f>
        <v/>
      </c>
      <c r="JWA671" t="str">
        <f>IFERROR(VLOOKUP(JWB671,'[3]Raw material  (3)'!JVZ653:JWR3729,3,0),"")</f>
        <v/>
      </c>
      <c r="JWB671" t="str">
        <f>IFERROR(VLOOKUP(JWC671,'[3]Raw material  (3)'!JWA653:JWS3729,3,0),"")</f>
        <v/>
      </c>
      <c r="JWC671" t="str">
        <f>IFERROR(VLOOKUP(JWD671,'[3]Raw material  (3)'!JWB653:JWT3729,3,0),"")</f>
        <v/>
      </c>
      <c r="JWD671" t="str">
        <f>IFERROR(VLOOKUP(JWE671,'[3]Raw material  (3)'!JWC653:JWU3729,3,0),"")</f>
        <v/>
      </c>
      <c r="JWE671" t="str">
        <f>IFERROR(VLOOKUP(JWF671,'[3]Raw material  (3)'!JWD653:JWV3729,3,0),"")</f>
        <v/>
      </c>
      <c r="JWF671" t="str">
        <f>IFERROR(VLOOKUP(JWG671,'[3]Raw material  (3)'!JWE653:JWW3729,3,0),"")</f>
        <v/>
      </c>
      <c r="JWG671" t="str">
        <f>IFERROR(VLOOKUP(JWH671,'[3]Raw material  (3)'!JWF653:JWX3729,3,0),"")</f>
        <v/>
      </c>
      <c r="JWH671" t="str">
        <f>IFERROR(VLOOKUP(JWI671,'[3]Raw material  (3)'!JWG653:JWY3729,3,0),"")</f>
        <v/>
      </c>
      <c r="JWI671" t="str">
        <f>IFERROR(VLOOKUP(JWJ671,'[3]Raw material  (3)'!JWH653:JWZ3729,3,0),"")</f>
        <v/>
      </c>
      <c r="JWJ671" t="str">
        <f>IFERROR(VLOOKUP(JWK671,'[3]Raw material  (3)'!JWI653:JXA3729,3,0),"")</f>
        <v/>
      </c>
      <c r="JWK671" t="str">
        <f>IFERROR(VLOOKUP(JWL671,'[3]Raw material  (3)'!JWJ653:JXB3729,3,0),"")</f>
        <v/>
      </c>
      <c r="JWL671" t="str">
        <f>IFERROR(VLOOKUP(JWM671,'[3]Raw material  (3)'!JWK653:JXC3729,3,0),"")</f>
        <v/>
      </c>
      <c r="JWM671" t="str">
        <f>IFERROR(VLOOKUP(JWN671,'[3]Raw material  (3)'!JWL653:JXD3729,3,0),"")</f>
        <v/>
      </c>
      <c r="JWN671" t="str">
        <f>IFERROR(VLOOKUP(JWO671,'[3]Raw material  (3)'!JWM653:JXE3729,3,0),"")</f>
        <v/>
      </c>
      <c r="JWO671" t="str">
        <f>IFERROR(VLOOKUP(JWP671,'[3]Raw material  (3)'!JWN653:JXF3729,3,0),"")</f>
        <v/>
      </c>
      <c r="JWP671" t="str">
        <f>IFERROR(VLOOKUP(JWQ671,'[3]Raw material  (3)'!JWO653:JXG3729,3,0),"")</f>
        <v/>
      </c>
      <c r="JWQ671" t="str">
        <f>IFERROR(VLOOKUP(JWR671,'[3]Raw material  (3)'!JWP653:JXH3729,3,0),"")</f>
        <v/>
      </c>
      <c r="JWR671" t="str">
        <f>IFERROR(VLOOKUP(JWS671,'[3]Raw material  (3)'!JWQ653:JXI3729,3,0),"")</f>
        <v/>
      </c>
      <c r="JWS671" t="str">
        <f>IFERROR(VLOOKUP(JWT671,'[3]Raw material  (3)'!JWR653:JXJ3729,3,0),"")</f>
        <v/>
      </c>
      <c r="JWT671" t="str">
        <f>IFERROR(VLOOKUP(JWU671,'[3]Raw material  (3)'!JWS653:JXK3729,3,0),"")</f>
        <v/>
      </c>
      <c r="JWU671" t="str">
        <f>IFERROR(VLOOKUP(JWV671,'[3]Raw material  (3)'!JWT653:JXL3729,3,0),"")</f>
        <v/>
      </c>
      <c r="JWV671" t="str">
        <f>IFERROR(VLOOKUP(JWW671,'[3]Raw material  (3)'!JWU653:JXM3729,3,0),"")</f>
        <v/>
      </c>
      <c r="JWW671" t="str">
        <f>IFERROR(VLOOKUP(JWX671,'[3]Raw material  (3)'!JWV653:JXN3729,3,0),"")</f>
        <v/>
      </c>
      <c r="JWX671" t="str">
        <f>IFERROR(VLOOKUP(JWY671,'[3]Raw material  (3)'!JWW653:JXO3729,3,0),"")</f>
        <v/>
      </c>
      <c r="JWY671" t="str">
        <f>IFERROR(VLOOKUP(JWZ671,'[3]Raw material  (3)'!JWX653:JXP3729,3,0),"")</f>
        <v/>
      </c>
      <c r="JWZ671" t="str">
        <f>IFERROR(VLOOKUP(JXA671,'[3]Raw material  (3)'!JWY653:JXQ3729,3,0),"")</f>
        <v/>
      </c>
      <c r="JXA671" t="str">
        <f>IFERROR(VLOOKUP(JXB671,'[3]Raw material  (3)'!JWZ653:JXR3729,3,0),"")</f>
        <v/>
      </c>
      <c r="JXB671" t="str">
        <f>IFERROR(VLOOKUP(JXC671,'[3]Raw material  (3)'!JXA653:JXS3729,3,0),"")</f>
        <v/>
      </c>
      <c r="JXC671" t="str">
        <f>IFERROR(VLOOKUP(JXD671,'[3]Raw material  (3)'!JXB653:JXT3729,3,0),"")</f>
        <v/>
      </c>
      <c r="JXD671" t="str">
        <f>IFERROR(VLOOKUP(JXE671,'[3]Raw material  (3)'!JXC653:JXU3729,3,0),"")</f>
        <v/>
      </c>
      <c r="JXE671" t="str">
        <f>IFERROR(VLOOKUP(JXF671,'[3]Raw material  (3)'!JXD653:JXV3729,3,0),"")</f>
        <v/>
      </c>
      <c r="JXF671" t="str">
        <f>IFERROR(VLOOKUP(JXG671,'[3]Raw material  (3)'!JXE653:JXW3729,3,0),"")</f>
        <v/>
      </c>
      <c r="JXG671" t="str">
        <f>IFERROR(VLOOKUP(JXH671,'[3]Raw material  (3)'!JXF653:JXX3729,3,0),"")</f>
        <v/>
      </c>
      <c r="JXH671" t="str">
        <f>IFERROR(VLOOKUP(JXI671,'[3]Raw material  (3)'!JXG653:JXY3729,3,0),"")</f>
        <v/>
      </c>
      <c r="JXI671" t="str">
        <f>IFERROR(VLOOKUP(JXJ671,'[3]Raw material  (3)'!JXH653:JXZ3729,3,0),"")</f>
        <v/>
      </c>
      <c r="JXJ671" t="str">
        <f>IFERROR(VLOOKUP(JXK671,'[3]Raw material  (3)'!JXI653:JYA3729,3,0),"")</f>
        <v/>
      </c>
      <c r="JXK671" t="str">
        <f>IFERROR(VLOOKUP(JXL671,'[3]Raw material  (3)'!JXJ653:JYB3729,3,0),"")</f>
        <v/>
      </c>
      <c r="JXL671" t="str">
        <f>IFERROR(VLOOKUP(JXM671,'[3]Raw material  (3)'!JXK653:JYC3729,3,0),"")</f>
        <v/>
      </c>
      <c r="JXM671" t="str">
        <f>IFERROR(VLOOKUP(JXN671,'[3]Raw material  (3)'!JXL653:JYD3729,3,0),"")</f>
        <v/>
      </c>
      <c r="JXN671" t="str">
        <f>IFERROR(VLOOKUP(JXO671,'[3]Raw material  (3)'!JXM653:JYE3729,3,0),"")</f>
        <v/>
      </c>
      <c r="JXO671" t="str">
        <f>IFERROR(VLOOKUP(JXP671,'[3]Raw material  (3)'!JXN653:JYF3729,3,0),"")</f>
        <v/>
      </c>
      <c r="JXP671" t="str">
        <f>IFERROR(VLOOKUP(JXQ671,'[3]Raw material  (3)'!JXO653:JYG3729,3,0),"")</f>
        <v/>
      </c>
      <c r="JXQ671" t="str">
        <f>IFERROR(VLOOKUP(JXR671,'[3]Raw material  (3)'!JXP653:JYH3729,3,0),"")</f>
        <v/>
      </c>
      <c r="JXR671" t="str">
        <f>IFERROR(VLOOKUP(JXS671,'[3]Raw material  (3)'!JXQ653:JYI3729,3,0),"")</f>
        <v/>
      </c>
      <c r="JXS671" t="str">
        <f>IFERROR(VLOOKUP(JXT671,'[3]Raw material  (3)'!JXR653:JYJ3729,3,0),"")</f>
        <v/>
      </c>
      <c r="JXT671" t="str">
        <f>IFERROR(VLOOKUP(JXU671,'[3]Raw material  (3)'!JXS653:JYK3729,3,0),"")</f>
        <v/>
      </c>
      <c r="JXU671" t="str">
        <f>IFERROR(VLOOKUP(JXV671,'[3]Raw material  (3)'!JXT653:JYL3729,3,0),"")</f>
        <v/>
      </c>
      <c r="JXV671" t="str">
        <f>IFERROR(VLOOKUP(JXW671,'[3]Raw material  (3)'!JXU653:JYM3729,3,0),"")</f>
        <v/>
      </c>
      <c r="JXW671" t="str">
        <f>IFERROR(VLOOKUP(JXX671,'[3]Raw material  (3)'!JXV653:JYN3729,3,0),"")</f>
        <v/>
      </c>
      <c r="JXX671" t="str">
        <f>IFERROR(VLOOKUP(JXY671,'[3]Raw material  (3)'!JXW653:JYO3729,3,0),"")</f>
        <v/>
      </c>
      <c r="JXY671" t="str">
        <f>IFERROR(VLOOKUP(JXZ671,'[3]Raw material  (3)'!JXX653:JYP3729,3,0),"")</f>
        <v/>
      </c>
      <c r="JXZ671" t="str">
        <f>IFERROR(VLOOKUP(JYA671,'[3]Raw material  (3)'!JXY653:JYQ3729,3,0),"")</f>
        <v/>
      </c>
      <c r="JYA671" t="str">
        <f>IFERROR(VLOOKUP(JYB671,'[3]Raw material  (3)'!JXZ653:JYR3729,3,0),"")</f>
        <v/>
      </c>
      <c r="JYB671" t="str">
        <f>IFERROR(VLOOKUP(JYC671,'[3]Raw material  (3)'!JYA653:JYS3729,3,0),"")</f>
        <v/>
      </c>
      <c r="JYC671" t="str">
        <f>IFERROR(VLOOKUP(JYD671,'[3]Raw material  (3)'!JYB653:JYT3729,3,0),"")</f>
        <v/>
      </c>
      <c r="JYD671" t="str">
        <f>IFERROR(VLOOKUP(JYE671,'[3]Raw material  (3)'!JYC653:JYU3729,3,0),"")</f>
        <v/>
      </c>
      <c r="JYE671" t="str">
        <f>IFERROR(VLOOKUP(JYF671,'[3]Raw material  (3)'!JYD653:JYV3729,3,0),"")</f>
        <v/>
      </c>
      <c r="JYF671" t="str">
        <f>IFERROR(VLOOKUP(JYG671,'[3]Raw material  (3)'!JYE653:JYW3729,3,0),"")</f>
        <v/>
      </c>
      <c r="JYG671" t="str">
        <f>IFERROR(VLOOKUP(JYH671,'[3]Raw material  (3)'!JYF653:JYX3729,3,0),"")</f>
        <v/>
      </c>
      <c r="JYH671" t="str">
        <f>IFERROR(VLOOKUP(JYI671,'[3]Raw material  (3)'!JYG653:JYY3729,3,0),"")</f>
        <v/>
      </c>
      <c r="JYI671" t="str">
        <f>IFERROR(VLOOKUP(JYJ671,'[3]Raw material  (3)'!JYH653:JYZ3729,3,0),"")</f>
        <v/>
      </c>
      <c r="JYJ671" t="str">
        <f>IFERROR(VLOOKUP(JYK671,'[3]Raw material  (3)'!JYI653:JZA3729,3,0),"")</f>
        <v/>
      </c>
      <c r="JYK671" t="str">
        <f>IFERROR(VLOOKUP(JYL671,'[3]Raw material  (3)'!JYJ653:JZB3729,3,0),"")</f>
        <v/>
      </c>
      <c r="JYL671" t="str">
        <f>IFERROR(VLOOKUP(JYM671,'[3]Raw material  (3)'!JYK653:JZC3729,3,0),"")</f>
        <v/>
      </c>
      <c r="JYM671" t="str">
        <f>IFERROR(VLOOKUP(JYN671,'[3]Raw material  (3)'!JYL653:JZD3729,3,0),"")</f>
        <v/>
      </c>
      <c r="JYN671" t="str">
        <f>IFERROR(VLOOKUP(JYO671,'[3]Raw material  (3)'!JYM653:JZE3729,3,0),"")</f>
        <v/>
      </c>
      <c r="JYO671" t="str">
        <f>IFERROR(VLOOKUP(JYP671,'[3]Raw material  (3)'!JYN653:JZF3729,3,0),"")</f>
        <v/>
      </c>
      <c r="JYP671" t="str">
        <f>IFERROR(VLOOKUP(JYQ671,'[3]Raw material  (3)'!JYO653:JZG3729,3,0),"")</f>
        <v/>
      </c>
      <c r="JYQ671" t="str">
        <f>IFERROR(VLOOKUP(JYR671,'[3]Raw material  (3)'!JYP653:JZH3729,3,0),"")</f>
        <v/>
      </c>
      <c r="JYR671" t="str">
        <f>IFERROR(VLOOKUP(JYS671,'[3]Raw material  (3)'!JYQ653:JZI3729,3,0),"")</f>
        <v/>
      </c>
      <c r="JYS671" t="str">
        <f>IFERROR(VLOOKUP(JYT671,'[3]Raw material  (3)'!JYR653:JZJ3729,3,0),"")</f>
        <v/>
      </c>
      <c r="JYT671" t="str">
        <f>IFERROR(VLOOKUP(JYU671,'[3]Raw material  (3)'!JYS653:JZK3729,3,0),"")</f>
        <v/>
      </c>
      <c r="JYU671" t="str">
        <f>IFERROR(VLOOKUP(JYV671,'[3]Raw material  (3)'!JYT653:JZL3729,3,0),"")</f>
        <v/>
      </c>
      <c r="JYV671" t="str">
        <f>IFERROR(VLOOKUP(JYW671,'[3]Raw material  (3)'!JYU653:JZM3729,3,0),"")</f>
        <v/>
      </c>
      <c r="JYW671" t="str">
        <f>IFERROR(VLOOKUP(JYX671,'[3]Raw material  (3)'!JYV653:JZN3729,3,0),"")</f>
        <v/>
      </c>
      <c r="JYX671" t="str">
        <f>IFERROR(VLOOKUP(JYY671,'[3]Raw material  (3)'!JYW653:JZO3729,3,0),"")</f>
        <v/>
      </c>
      <c r="JYY671" t="str">
        <f>IFERROR(VLOOKUP(JYZ671,'[3]Raw material  (3)'!JYX653:JZP3729,3,0),"")</f>
        <v/>
      </c>
      <c r="JYZ671" t="str">
        <f>IFERROR(VLOOKUP(JZA671,'[3]Raw material  (3)'!JYY653:JZQ3729,3,0),"")</f>
        <v/>
      </c>
      <c r="JZA671" t="str">
        <f>IFERROR(VLOOKUP(JZB671,'[3]Raw material  (3)'!JYZ653:JZR3729,3,0),"")</f>
        <v/>
      </c>
      <c r="JZB671" t="str">
        <f>IFERROR(VLOOKUP(JZC671,'[3]Raw material  (3)'!JZA653:JZS3729,3,0),"")</f>
        <v/>
      </c>
      <c r="JZC671" t="str">
        <f>IFERROR(VLOOKUP(JZD671,'[3]Raw material  (3)'!JZB653:JZT3729,3,0),"")</f>
        <v/>
      </c>
      <c r="JZD671" t="str">
        <f>IFERROR(VLOOKUP(JZE671,'[3]Raw material  (3)'!JZC653:JZU3729,3,0),"")</f>
        <v/>
      </c>
      <c r="JZE671" t="str">
        <f>IFERROR(VLOOKUP(JZF671,'[3]Raw material  (3)'!JZD653:JZV3729,3,0),"")</f>
        <v/>
      </c>
      <c r="JZF671" t="str">
        <f>IFERROR(VLOOKUP(JZG671,'[3]Raw material  (3)'!JZE653:JZW3729,3,0),"")</f>
        <v/>
      </c>
      <c r="JZG671" t="str">
        <f>IFERROR(VLOOKUP(JZH671,'[3]Raw material  (3)'!JZF653:JZX3729,3,0),"")</f>
        <v/>
      </c>
      <c r="JZH671" t="str">
        <f>IFERROR(VLOOKUP(JZI671,'[3]Raw material  (3)'!JZG653:JZY3729,3,0),"")</f>
        <v/>
      </c>
      <c r="JZI671" t="str">
        <f>IFERROR(VLOOKUP(JZJ671,'[3]Raw material  (3)'!JZH653:JZZ3729,3,0),"")</f>
        <v/>
      </c>
      <c r="JZJ671" t="str">
        <f>IFERROR(VLOOKUP(JZK671,'[3]Raw material  (3)'!JZI653:KAA3729,3,0),"")</f>
        <v/>
      </c>
      <c r="JZK671" t="str">
        <f>IFERROR(VLOOKUP(JZL671,'[3]Raw material  (3)'!JZJ653:KAB3729,3,0),"")</f>
        <v/>
      </c>
      <c r="JZL671" t="str">
        <f>IFERROR(VLOOKUP(JZM671,'[3]Raw material  (3)'!JZK653:KAC3729,3,0),"")</f>
        <v/>
      </c>
      <c r="JZM671" t="str">
        <f>IFERROR(VLOOKUP(JZN671,'[3]Raw material  (3)'!JZL653:KAD3729,3,0),"")</f>
        <v/>
      </c>
      <c r="JZN671" t="str">
        <f>IFERROR(VLOOKUP(JZO671,'[3]Raw material  (3)'!JZM653:KAE3729,3,0),"")</f>
        <v/>
      </c>
      <c r="JZO671" t="str">
        <f>IFERROR(VLOOKUP(JZP671,'[3]Raw material  (3)'!JZN653:KAF3729,3,0),"")</f>
        <v/>
      </c>
      <c r="JZP671" t="str">
        <f>IFERROR(VLOOKUP(JZQ671,'[3]Raw material  (3)'!JZO653:KAG3729,3,0),"")</f>
        <v/>
      </c>
      <c r="JZQ671" t="str">
        <f>IFERROR(VLOOKUP(JZR671,'[3]Raw material  (3)'!JZP653:KAH3729,3,0),"")</f>
        <v/>
      </c>
      <c r="JZR671" t="str">
        <f>IFERROR(VLOOKUP(JZS671,'[3]Raw material  (3)'!JZQ653:KAI3729,3,0),"")</f>
        <v/>
      </c>
      <c r="JZS671" t="str">
        <f>IFERROR(VLOOKUP(JZT671,'[3]Raw material  (3)'!JZR653:KAJ3729,3,0),"")</f>
        <v/>
      </c>
      <c r="JZT671" t="str">
        <f>IFERROR(VLOOKUP(JZU671,'[3]Raw material  (3)'!JZS653:KAK3729,3,0),"")</f>
        <v/>
      </c>
      <c r="JZU671" t="str">
        <f>IFERROR(VLOOKUP(JZV671,'[3]Raw material  (3)'!JZT653:KAL3729,3,0),"")</f>
        <v/>
      </c>
      <c r="JZV671" t="str">
        <f>IFERROR(VLOOKUP(JZW671,'[3]Raw material  (3)'!JZU653:KAM3729,3,0),"")</f>
        <v/>
      </c>
      <c r="JZW671" t="str">
        <f>IFERROR(VLOOKUP(JZX671,'[3]Raw material  (3)'!JZV653:KAN3729,3,0),"")</f>
        <v/>
      </c>
      <c r="JZX671" t="str">
        <f>IFERROR(VLOOKUP(JZY671,'[3]Raw material  (3)'!JZW653:KAO3729,3,0),"")</f>
        <v/>
      </c>
      <c r="JZY671" t="str">
        <f>IFERROR(VLOOKUP(JZZ671,'[3]Raw material  (3)'!JZX653:KAP3729,3,0),"")</f>
        <v/>
      </c>
      <c r="JZZ671" t="str">
        <f>IFERROR(VLOOKUP(KAA671,'[3]Raw material  (3)'!JZY653:KAQ3729,3,0),"")</f>
        <v/>
      </c>
      <c r="KAA671" t="str">
        <f>IFERROR(VLOOKUP(KAB671,'[3]Raw material  (3)'!JZZ653:KAR3729,3,0),"")</f>
        <v/>
      </c>
      <c r="KAB671" t="str">
        <f>IFERROR(VLOOKUP(KAC671,'[3]Raw material  (3)'!KAA653:KAS3729,3,0),"")</f>
        <v/>
      </c>
      <c r="KAC671" t="str">
        <f>IFERROR(VLOOKUP(KAD671,'[3]Raw material  (3)'!KAB653:KAT3729,3,0),"")</f>
        <v/>
      </c>
      <c r="KAD671" t="str">
        <f>IFERROR(VLOOKUP(KAE671,'[3]Raw material  (3)'!KAC653:KAU3729,3,0),"")</f>
        <v/>
      </c>
      <c r="KAE671" t="str">
        <f>IFERROR(VLOOKUP(KAF671,'[3]Raw material  (3)'!KAD653:KAV3729,3,0),"")</f>
        <v/>
      </c>
      <c r="KAF671" t="str">
        <f>IFERROR(VLOOKUP(KAG671,'[3]Raw material  (3)'!KAE653:KAW3729,3,0),"")</f>
        <v/>
      </c>
      <c r="KAG671" t="str">
        <f>IFERROR(VLOOKUP(KAH671,'[3]Raw material  (3)'!KAF653:KAX3729,3,0),"")</f>
        <v/>
      </c>
      <c r="KAH671" t="str">
        <f>IFERROR(VLOOKUP(KAI671,'[3]Raw material  (3)'!KAG653:KAY3729,3,0),"")</f>
        <v/>
      </c>
      <c r="KAI671" t="str">
        <f>IFERROR(VLOOKUP(KAJ671,'[3]Raw material  (3)'!KAH653:KAZ3729,3,0),"")</f>
        <v/>
      </c>
      <c r="KAJ671" t="str">
        <f>IFERROR(VLOOKUP(KAK671,'[3]Raw material  (3)'!KAI653:KBA3729,3,0),"")</f>
        <v/>
      </c>
      <c r="KAK671" t="str">
        <f>IFERROR(VLOOKUP(KAL671,'[3]Raw material  (3)'!KAJ653:KBB3729,3,0),"")</f>
        <v/>
      </c>
      <c r="KAL671" t="str">
        <f>IFERROR(VLOOKUP(KAM671,'[3]Raw material  (3)'!KAK653:KBC3729,3,0),"")</f>
        <v/>
      </c>
      <c r="KAM671" t="str">
        <f>IFERROR(VLOOKUP(KAN671,'[3]Raw material  (3)'!KAL653:KBD3729,3,0),"")</f>
        <v/>
      </c>
      <c r="KAN671" t="str">
        <f>IFERROR(VLOOKUP(KAO671,'[3]Raw material  (3)'!KAM653:KBE3729,3,0),"")</f>
        <v/>
      </c>
      <c r="KAO671" t="str">
        <f>IFERROR(VLOOKUP(KAP671,'[3]Raw material  (3)'!KAN653:KBF3729,3,0),"")</f>
        <v/>
      </c>
      <c r="KAP671" t="str">
        <f>IFERROR(VLOOKUP(KAQ671,'[3]Raw material  (3)'!KAO653:KBG3729,3,0),"")</f>
        <v/>
      </c>
      <c r="KAQ671" t="str">
        <f>IFERROR(VLOOKUP(KAR671,'[3]Raw material  (3)'!KAP653:KBH3729,3,0),"")</f>
        <v/>
      </c>
      <c r="KAR671" t="str">
        <f>IFERROR(VLOOKUP(KAS671,'[3]Raw material  (3)'!KAQ653:KBI3729,3,0),"")</f>
        <v/>
      </c>
      <c r="KAS671" t="str">
        <f>IFERROR(VLOOKUP(KAT671,'[3]Raw material  (3)'!KAR653:KBJ3729,3,0),"")</f>
        <v/>
      </c>
      <c r="KAT671" t="str">
        <f>IFERROR(VLOOKUP(KAU671,'[3]Raw material  (3)'!KAS653:KBK3729,3,0),"")</f>
        <v/>
      </c>
      <c r="KAU671" t="str">
        <f>IFERROR(VLOOKUP(KAV671,'[3]Raw material  (3)'!KAT653:KBL3729,3,0),"")</f>
        <v/>
      </c>
      <c r="KAV671" t="str">
        <f>IFERROR(VLOOKUP(KAW671,'[3]Raw material  (3)'!KAU653:KBM3729,3,0),"")</f>
        <v/>
      </c>
      <c r="KAW671" t="str">
        <f>IFERROR(VLOOKUP(KAX671,'[3]Raw material  (3)'!KAV653:KBN3729,3,0),"")</f>
        <v/>
      </c>
      <c r="KAX671" t="str">
        <f>IFERROR(VLOOKUP(KAY671,'[3]Raw material  (3)'!KAW653:KBO3729,3,0),"")</f>
        <v/>
      </c>
      <c r="KAY671" t="str">
        <f>IFERROR(VLOOKUP(KAZ671,'[3]Raw material  (3)'!KAX653:KBP3729,3,0),"")</f>
        <v/>
      </c>
      <c r="KAZ671" t="str">
        <f>IFERROR(VLOOKUP(KBA671,'[3]Raw material  (3)'!KAY653:KBQ3729,3,0),"")</f>
        <v/>
      </c>
      <c r="KBA671" t="str">
        <f>IFERROR(VLOOKUP(KBB671,'[3]Raw material  (3)'!KAZ653:KBR3729,3,0),"")</f>
        <v/>
      </c>
      <c r="KBB671" t="str">
        <f>IFERROR(VLOOKUP(KBC671,'[3]Raw material  (3)'!KBA653:KBS3729,3,0),"")</f>
        <v/>
      </c>
      <c r="KBC671" t="str">
        <f>IFERROR(VLOOKUP(KBD671,'[3]Raw material  (3)'!KBB653:KBT3729,3,0),"")</f>
        <v/>
      </c>
      <c r="KBD671" t="str">
        <f>IFERROR(VLOOKUP(KBE671,'[3]Raw material  (3)'!KBC653:KBU3729,3,0),"")</f>
        <v/>
      </c>
      <c r="KBE671" t="str">
        <f>IFERROR(VLOOKUP(KBF671,'[3]Raw material  (3)'!KBD653:KBV3729,3,0),"")</f>
        <v/>
      </c>
      <c r="KBF671" t="str">
        <f>IFERROR(VLOOKUP(KBG671,'[3]Raw material  (3)'!KBE653:KBW3729,3,0),"")</f>
        <v/>
      </c>
      <c r="KBG671" t="str">
        <f>IFERROR(VLOOKUP(KBH671,'[3]Raw material  (3)'!KBF653:KBX3729,3,0),"")</f>
        <v/>
      </c>
      <c r="KBH671" t="str">
        <f>IFERROR(VLOOKUP(KBI671,'[3]Raw material  (3)'!KBG653:KBY3729,3,0),"")</f>
        <v/>
      </c>
      <c r="KBI671" t="str">
        <f>IFERROR(VLOOKUP(KBJ671,'[3]Raw material  (3)'!KBH653:KBZ3729,3,0),"")</f>
        <v/>
      </c>
      <c r="KBJ671" t="str">
        <f>IFERROR(VLOOKUP(KBK671,'[3]Raw material  (3)'!KBI653:KCA3729,3,0),"")</f>
        <v/>
      </c>
      <c r="KBK671" t="str">
        <f>IFERROR(VLOOKUP(KBL671,'[3]Raw material  (3)'!KBJ653:KCB3729,3,0),"")</f>
        <v/>
      </c>
      <c r="KBL671" t="str">
        <f>IFERROR(VLOOKUP(KBM671,'[3]Raw material  (3)'!KBK653:KCC3729,3,0),"")</f>
        <v/>
      </c>
      <c r="KBM671" t="str">
        <f>IFERROR(VLOOKUP(KBN671,'[3]Raw material  (3)'!KBL653:KCD3729,3,0),"")</f>
        <v/>
      </c>
      <c r="KBN671" t="str">
        <f>IFERROR(VLOOKUP(KBO671,'[3]Raw material  (3)'!KBM653:KCE3729,3,0),"")</f>
        <v/>
      </c>
      <c r="KBO671" t="str">
        <f>IFERROR(VLOOKUP(KBP671,'[3]Raw material  (3)'!KBN653:KCF3729,3,0),"")</f>
        <v/>
      </c>
      <c r="KBP671" t="str">
        <f>IFERROR(VLOOKUP(KBQ671,'[3]Raw material  (3)'!KBO653:KCG3729,3,0),"")</f>
        <v/>
      </c>
      <c r="KBQ671" t="str">
        <f>IFERROR(VLOOKUP(KBR671,'[3]Raw material  (3)'!KBP653:KCH3729,3,0),"")</f>
        <v/>
      </c>
      <c r="KBR671" t="str">
        <f>IFERROR(VLOOKUP(KBS671,'[3]Raw material  (3)'!KBQ653:KCI3729,3,0),"")</f>
        <v/>
      </c>
      <c r="KBS671" t="str">
        <f>IFERROR(VLOOKUP(KBT671,'[3]Raw material  (3)'!KBR653:KCJ3729,3,0),"")</f>
        <v/>
      </c>
      <c r="KBT671" t="str">
        <f>IFERROR(VLOOKUP(KBU671,'[3]Raw material  (3)'!KBS653:KCK3729,3,0),"")</f>
        <v/>
      </c>
      <c r="KBU671" t="str">
        <f>IFERROR(VLOOKUP(KBV671,'[3]Raw material  (3)'!KBT653:KCL3729,3,0),"")</f>
        <v/>
      </c>
      <c r="KBV671" t="str">
        <f>IFERROR(VLOOKUP(KBW671,'[3]Raw material  (3)'!KBU653:KCM3729,3,0),"")</f>
        <v/>
      </c>
      <c r="KBW671" t="str">
        <f>IFERROR(VLOOKUP(KBX671,'[3]Raw material  (3)'!KBV653:KCN3729,3,0),"")</f>
        <v/>
      </c>
      <c r="KBX671" t="str">
        <f>IFERROR(VLOOKUP(KBY671,'[3]Raw material  (3)'!KBW653:KCO3729,3,0),"")</f>
        <v/>
      </c>
      <c r="KBY671" t="str">
        <f>IFERROR(VLOOKUP(KBZ671,'[3]Raw material  (3)'!KBX653:KCP3729,3,0),"")</f>
        <v/>
      </c>
      <c r="KBZ671" t="str">
        <f>IFERROR(VLOOKUP(KCA671,'[3]Raw material  (3)'!KBY653:KCQ3729,3,0),"")</f>
        <v/>
      </c>
      <c r="KCA671" t="str">
        <f>IFERROR(VLOOKUP(KCB671,'[3]Raw material  (3)'!KBZ653:KCR3729,3,0),"")</f>
        <v/>
      </c>
      <c r="KCB671" t="str">
        <f>IFERROR(VLOOKUP(KCC671,'[3]Raw material  (3)'!KCA653:KCS3729,3,0),"")</f>
        <v/>
      </c>
      <c r="KCC671" t="str">
        <f>IFERROR(VLOOKUP(KCD671,'[3]Raw material  (3)'!KCB653:KCT3729,3,0),"")</f>
        <v/>
      </c>
      <c r="KCD671" t="str">
        <f>IFERROR(VLOOKUP(KCE671,'[3]Raw material  (3)'!KCC653:KCU3729,3,0),"")</f>
        <v/>
      </c>
      <c r="KCE671" t="str">
        <f>IFERROR(VLOOKUP(KCF671,'[3]Raw material  (3)'!KCD653:KCV3729,3,0),"")</f>
        <v/>
      </c>
      <c r="KCF671" t="str">
        <f>IFERROR(VLOOKUP(KCG671,'[3]Raw material  (3)'!KCE653:KCW3729,3,0),"")</f>
        <v/>
      </c>
      <c r="KCG671" t="str">
        <f>IFERROR(VLOOKUP(KCH671,'[3]Raw material  (3)'!KCF653:KCX3729,3,0),"")</f>
        <v/>
      </c>
      <c r="KCH671" t="str">
        <f>IFERROR(VLOOKUP(KCI671,'[3]Raw material  (3)'!KCG653:KCY3729,3,0),"")</f>
        <v/>
      </c>
      <c r="KCI671" t="str">
        <f>IFERROR(VLOOKUP(KCJ671,'[3]Raw material  (3)'!KCH653:KCZ3729,3,0),"")</f>
        <v/>
      </c>
      <c r="KCJ671" t="str">
        <f>IFERROR(VLOOKUP(KCK671,'[3]Raw material  (3)'!KCI653:KDA3729,3,0),"")</f>
        <v/>
      </c>
      <c r="KCK671" t="str">
        <f>IFERROR(VLOOKUP(KCL671,'[3]Raw material  (3)'!KCJ653:KDB3729,3,0),"")</f>
        <v/>
      </c>
      <c r="KCL671" t="str">
        <f>IFERROR(VLOOKUP(KCM671,'[3]Raw material  (3)'!KCK653:KDC3729,3,0),"")</f>
        <v/>
      </c>
      <c r="KCM671" t="str">
        <f>IFERROR(VLOOKUP(KCN671,'[3]Raw material  (3)'!KCL653:KDD3729,3,0),"")</f>
        <v/>
      </c>
      <c r="KCN671" t="str">
        <f>IFERROR(VLOOKUP(KCO671,'[3]Raw material  (3)'!KCM653:KDE3729,3,0),"")</f>
        <v/>
      </c>
      <c r="KCO671" t="str">
        <f>IFERROR(VLOOKUP(KCP671,'[3]Raw material  (3)'!KCN653:KDF3729,3,0),"")</f>
        <v/>
      </c>
      <c r="KCP671" t="str">
        <f>IFERROR(VLOOKUP(KCQ671,'[3]Raw material  (3)'!KCO653:KDG3729,3,0),"")</f>
        <v/>
      </c>
      <c r="KCQ671" t="str">
        <f>IFERROR(VLOOKUP(KCR671,'[3]Raw material  (3)'!KCP653:KDH3729,3,0),"")</f>
        <v/>
      </c>
      <c r="KCR671" t="str">
        <f>IFERROR(VLOOKUP(KCS671,'[3]Raw material  (3)'!KCQ653:KDI3729,3,0),"")</f>
        <v/>
      </c>
      <c r="KCS671" t="str">
        <f>IFERROR(VLOOKUP(KCT671,'[3]Raw material  (3)'!KCR653:KDJ3729,3,0),"")</f>
        <v/>
      </c>
      <c r="KCT671" t="str">
        <f>IFERROR(VLOOKUP(KCU671,'[3]Raw material  (3)'!KCS653:KDK3729,3,0),"")</f>
        <v/>
      </c>
      <c r="KCU671" t="str">
        <f>IFERROR(VLOOKUP(KCV671,'[3]Raw material  (3)'!KCT653:KDL3729,3,0),"")</f>
        <v/>
      </c>
      <c r="KCV671" t="str">
        <f>IFERROR(VLOOKUP(KCW671,'[3]Raw material  (3)'!KCU653:KDM3729,3,0),"")</f>
        <v/>
      </c>
      <c r="KCW671" t="str">
        <f>IFERROR(VLOOKUP(KCX671,'[3]Raw material  (3)'!KCV653:KDN3729,3,0),"")</f>
        <v/>
      </c>
      <c r="KCX671" t="str">
        <f>IFERROR(VLOOKUP(KCY671,'[3]Raw material  (3)'!KCW653:KDO3729,3,0),"")</f>
        <v/>
      </c>
      <c r="KCY671" t="str">
        <f>IFERROR(VLOOKUP(KCZ671,'[3]Raw material  (3)'!KCX653:KDP3729,3,0),"")</f>
        <v/>
      </c>
      <c r="KCZ671" t="str">
        <f>IFERROR(VLOOKUP(KDA671,'[3]Raw material  (3)'!KCY653:KDQ3729,3,0),"")</f>
        <v/>
      </c>
      <c r="KDA671" t="str">
        <f>IFERROR(VLOOKUP(KDB671,'[3]Raw material  (3)'!KCZ653:KDR3729,3,0),"")</f>
        <v/>
      </c>
      <c r="KDB671" t="str">
        <f>IFERROR(VLOOKUP(KDC671,'[3]Raw material  (3)'!KDA653:KDS3729,3,0),"")</f>
        <v/>
      </c>
      <c r="KDC671" t="str">
        <f>IFERROR(VLOOKUP(KDD671,'[3]Raw material  (3)'!KDB653:KDT3729,3,0),"")</f>
        <v/>
      </c>
      <c r="KDD671" t="str">
        <f>IFERROR(VLOOKUP(KDE671,'[3]Raw material  (3)'!KDC653:KDU3729,3,0),"")</f>
        <v/>
      </c>
      <c r="KDE671" t="str">
        <f>IFERROR(VLOOKUP(KDF671,'[3]Raw material  (3)'!KDD653:KDV3729,3,0),"")</f>
        <v/>
      </c>
      <c r="KDF671" t="str">
        <f>IFERROR(VLOOKUP(KDG671,'[3]Raw material  (3)'!KDE653:KDW3729,3,0),"")</f>
        <v/>
      </c>
      <c r="KDG671" t="str">
        <f>IFERROR(VLOOKUP(KDH671,'[3]Raw material  (3)'!KDF653:KDX3729,3,0),"")</f>
        <v/>
      </c>
      <c r="KDH671" t="str">
        <f>IFERROR(VLOOKUP(KDI671,'[3]Raw material  (3)'!KDG653:KDY3729,3,0),"")</f>
        <v/>
      </c>
      <c r="KDI671" t="str">
        <f>IFERROR(VLOOKUP(KDJ671,'[3]Raw material  (3)'!KDH653:KDZ3729,3,0),"")</f>
        <v/>
      </c>
      <c r="KDJ671" t="str">
        <f>IFERROR(VLOOKUP(KDK671,'[3]Raw material  (3)'!KDI653:KEA3729,3,0),"")</f>
        <v/>
      </c>
      <c r="KDK671" t="str">
        <f>IFERROR(VLOOKUP(KDL671,'[3]Raw material  (3)'!KDJ653:KEB3729,3,0),"")</f>
        <v/>
      </c>
      <c r="KDL671" t="str">
        <f>IFERROR(VLOOKUP(KDM671,'[3]Raw material  (3)'!KDK653:KEC3729,3,0),"")</f>
        <v/>
      </c>
      <c r="KDM671" t="str">
        <f>IFERROR(VLOOKUP(KDN671,'[3]Raw material  (3)'!KDL653:KED3729,3,0),"")</f>
        <v/>
      </c>
      <c r="KDN671" t="str">
        <f>IFERROR(VLOOKUP(KDO671,'[3]Raw material  (3)'!KDM653:KEE3729,3,0),"")</f>
        <v/>
      </c>
      <c r="KDO671" t="str">
        <f>IFERROR(VLOOKUP(KDP671,'[3]Raw material  (3)'!KDN653:KEF3729,3,0),"")</f>
        <v/>
      </c>
      <c r="KDP671" t="str">
        <f>IFERROR(VLOOKUP(KDQ671,'[3]Raw material  (3)'!KDO653:KEG3729,3,0),"")</f>
        <v/>
      </c>
      <c r="KDQ671" t="str">
        <f>IFERROR(VLOOKUP(KDR671,'[3]Raw material  (3)'!KDP653:KEH3729,3,0),"")</f>
        <v/>
      </c>
      <c r="KDR671" t="str">
        <f>IFERROR(VLOOKUP(KDS671,'[3]Raw material  (3)'!KDQ653:KEI3729,3,0),"")</f>
        <v/>
      </c>
      <c r="KDS671" t="str">
        <f>IFERROR(VLOOKUP(KDT671,'[3]Raw material  (3)'!KDR653:KEJ3729,3,0),"")</f>
        <v/>
      </c>
      <c r="KDT671" t="str">
        <f>IFERROR(VLOOKUP(KDU671,'[3]Raw material  (3)'!KDS653:KEK3729,3,0),"")</f>
        <v/>
      </c>
      <c r="KDU671" t="str">
        <f>IFERROR(VLOOKUP(KDV671,'[3]Raw material  (3)'!KDT653:KEL3729,3,0),"")</f>
        <v/>
      </c>
      <c r="KDV671" t="str">
        <f>IFERROR(VLOOKUP(KDW671,'[3]Raw material  (3)'!KDU653:KEM3729,3,0),"")</f>
        <v/>
      </c>
      <c r="KDW671" t="str">
        <f>IFERROR(VLOOKUP(KDX671,'[3]Raw material  (3)'!KDV653:KEN3729,3,0),"")</f>
        <v/>
      </c>
      <c r="KDX671" t="str">
        <f>IFERROR(VLOOKUP(KDY671,'[3]Raw material  (3)'!KDW653:KEO3729,3,0),"")</f>
        <v/>
      </c>
      <c r="KDY671" t="str">
        <f>IFERROR(VLOOKUP(KDZ671,'[3]Raw material  (3)'!KDX653:KEP3729,3,0),"")</f>
        <v/>
      </c>
      <c r="KDZ671" t="str">
        <f>IFERROR(VLOOKUP(KEA671,'[3]Raw material  (3)'!KDY653:KEQ3729,3,0),"")</f>
        <v/>
      </c>
      <c r="KEA671" t="str">
        <f>IFERROR(VLOOKUP(KEB671,'[3]Raw material  (3)'!KDZ653:KER3729,3,0),"")</f>
        <v/>
      </c>
      <c r="KEB671" t="str">
        <f>IFERROR(VLOOKUP(KEC671,'[3]Raw material  (3)'!KEA653:KES3729,3,0),"")</f>
        <v/>
      </c>
      <c r="KEC671" t="str">
        <f>IFERROR(VLOOKUP(KED671,'[3]Raw material  (3)'!KEB653:KET3729,3,0),"")</f>
        <v/>
      </c>
      <c r="KED671" t="str">
        <f>IFERROR(VLOOKUP(KEE671,'[3]Raw material  (3)'!KEC653:KEU3729,3,0),"")</f>
        <v/>
      </c>
      <c r="KEE671" t="str">
        <f>IFERROR(VLOOKUP(KEF671,'[3]Raw material  (3)'!KED653:KEV3729,3,0),"")</f>
        <v/>
      </c>
      <c r="KEF671" t="str">
        <f>IFERROR(VLOOKUP(KEG671,'[3]Raw material  (3)'!KEE653:KEW3729,3,0),"")</f>
        <v/>
      </c>
      <c r="KEG671" t="str">
        <f>IFERROR(VLOOKUP(KEH671,'[3]Raw material  (3)'!KEF653:KEX3729,3,0),"")</f>
        <v/>
      </c>
      <c r="KEH671" t="str">
        <f>IFERROR(VLOOKUP(KEI671,'[3]Raw material  (3)'!KEG653:KEY3729,3,0),"")</f>
        <v/>
      </c>
      <c r="KEI671" t="str">
        <f>IFERROR(VLOOKUP(KEJ671,'[3]Raw material  (3)'!KEH653:KEZ3729,3,0),"")</f>
        <v/>
      </c>
      <c r="KEJ671" t="str">
        <f>IFERROR(VLOOKUP(KEK671,'[3]Raw material  (3)'!KEI653:KFA3729,3,0),"")</f>
        <v/>
      </c>
      <c r="KEK671" t="str">
        <f>IFERROR(VLOOKUP(KEL671,'[3]Raw material  (3)'!KEJ653:KFB3729,3,0),"")</f>
        <v/>
      </c>
      <c r="KEL671" t="str">
        <f>IFERROR(VLOOKUP(KEM671,'[3]Raw material  (3)'!KEK653:KFC3729,3,0),"")</f>
        <v/>
      </c>
      <c r="KEM671" t="str">
        <f>IFERROR(VLOOKUP(KEN671,'[3]Raw material  (3)'!KEL653:KFD3729,3,0),"")</f>
        <v/>
      </c>
      <c r="KEN671" t="str">
        <f>IFERROR(VLOOKUP(KEO671,'[3]Raw material  (3)'!KEM653:KFE3729,3,0),"")</f>
        <v/>
      </c>
      <c r="KEO671" t="str">
        <f>IFERROR(VLOOKUP(KEP671,'[3]Raw material  (3)'!KEN653:KFF3729,3,0),"")</f>
        <v/>
      </c>
      <c r="KEP671" t="str">
        <f>IFERROR(VLOOKUP(KEQ671,'[3]Raw material  (3)'!KEO653:KFG3729,3,0),"")</f>
        <v/>
      </c>
      <c r="KEQ671" t="str">
        <f>IFERROR(VLOOKUP(KER671,'[3]Raw material  (3)'!KEP653:KFH3729,3,0),"")</f>
        <v/>
      </c>
      <c r="KER671" t="str">
        <f>IFERROR(VLOOKUP(KES671,'[3]Raw material  (3)'!KEQ653:KFI3729,3,0),"")</f>
        <v/>
      </c>
      <c r="KES671" t="str">
        <f>IFERROR(VLOOKUP(KET671,'[3]Raw material  (3)'!KER653:KFJ3729,3,0),"")</f>
        <v/>
      </c>
      <c r="KET671" t="str">
        <f>IFERROR(VLOOKUP(KEU671,'[3]Raw material  (3)'!KES653:KFK3729,3,0),"")</f>
        <v/>
      </c>
      <c r="KEU671" t="str">
        <f>IFERROR(VLOOKUP(KEV671,'[3]Raw material  (3)'!KET653:KFL3729,3,0),"")</f>
        <v/>
      </c>
      <c r="KEV671" t="str">
        <f>IFERROR(VLOOKUP(KEW671,'[3]Raw material  (3)'!KEU653:KFM3729,3,0),"")</f>
        <v/>
      </c>
      <c r="KEW671" t="str">
        <f>IFERROR(VLOOKUP(KEX671,'[3]Raw material  (3)'!KEV653:KFN3729,3,0),"")</f>
        <v/>
      </c>
      <c r="KEX671" t="str">
        <f>IFERROR(VLOOKUP(KEY671,'[3]Raw material  (3)'!KEW653:KFO3729,3,0),"")</f>
        <v/>
      </c>
      <c r="KEY671" t="str">
        <f>IFERROR(VLOOKUP(KEZ671,'[3]Raw material  (3)'!KEX653:KFP3729,3,0),"")</f>
        <v/>
      </c>
      <c r="KEZ671" t="str">
        <f>IFERROR(VLOOKUP(KFA671,'[3]Raw material  (3)'!KEY653:KFQ3729,3,0),"")</f>
        <v/>
      </c>
      <c r="KFA671" t="str">
        <f>IFERROR(VLOOKUP(KFB671,'[3]Raw material  (3)'!KEZ653:KFR3729,3,0),"")</f>
        <v/>
      </c>
      <c r="KFB671" t="str">
        <f>IFERROR(VLOOKUP(KFC671,'[3]Raw material  (3)'!KFA653:KFS3729,3,0),"")</f>
        <v/>
      </c>
      <c r="KFC671" t="str">
        <f>IFERROR(VLOOKUP(KFD671,'[3]Raw material  (3)'!KFB653:KFT3729,3,0),"")</f>
        <v/>
      </c>
      <c r="KFD671" t="str">
        <f>IFERROR(VLOOKUP(KFE671,'[3]Raw material  (3)'!KFC653:KFU3729,3,0),"")</f>
        <v/>
      </c>
      <c r="KFE671" t="str">
        <f>IFERROR(VLOOKUP(KFF671,'[3]Raw material  (3)'!KFD653:KFV3729,3,0),"")</f>
        <v/>
      </c>
      <c r="KFF671" t="str">
        <f>IFERROR(VLOOKUP(KFG671,'[3]Raw material  (3)'!KFE653:KFW3729,3,0),"")</f>
        <v/>
      </c>
      <c r="KFG671" t="str">
        <f>IFERROR(VLOOKUP(KFH671,'[3]Raw material  (3)'!KFF653:KFX3729,3,0),"")</f>
        <v/>
      </c>
      <c r="KFH671" t="str">
        <f>IFERROR(VLOOKUP(KFI671,'[3]Raw material  (3)'!KFG653:KFY3729,3,0),"")</f>
        <v/>
      </c>
      <c r="KFI671" t="str">
        <f>IFERROR(VLOOKUP(KFJ671,'[3]Raw material  (3)'!KFH653:KFZ3729,3,0),"")</f>
        <v/>
      </c>
      <c r="KFJ671" t="str">
        <f>IFERROR(VLOOKUP(KFK671,'[3]Raw material  (3)'!KFI653:KGA3729,3,0),"")</f>
        <v/>
      </c>
      <c r="KFK671" t="str">
        <f>IFERROR(VLOOKUP(KFL671,'[3]Raw material  (3)'!KFJ653:KGB3729,3,0),"")</f>
        <v/>
      </c>
      <c r="KFL671" t="str">
        <f>IFERROR(VLOOKUP(KFM671,'[3]Raw material  (3)'!KFK653:KGC3729,3,0),"")</f>
        <v/>
      </c>
      <c r="KFM671" t="str">
        <f>IFERROR(VLOOKUP(KFN671,'[3]Raw material  (3)'!KFL653:KGD3729,3,0),"")</f>
        <v/>
      </c>
      <c r="KFN671" t="str">
        <f>IFERROR(VLOOKUP(KFO671,'[3]Raw material  (3)'!KFM653:KGE3729,3,0),"")</f>
        <v/>
      </c>
      <c r="KFO671" t="str">
        <f>IFERROR(VLOOKUP(KFP671,'[3]Raw material  (3)'!KFN653:KGF3729,3,0),"")</f>
        <v/>
      </c>
      <c r="KFP671" t="str">
        <f>IFERROR(VLOOKUP(KFQ671,'[3]Raw material  (3)'!KFO653:KGG3729,3,0),"")</f>
        <v/>
      </c>
      <c r="KFQ671" t="str">
        <f>IFERROR(VLOOKUP(KFR671,'[3]Raw material  (3)'!KFP653:KGH3729,3,0),"")</f>
        <v/>
      </c>
      <c r="KFR671" t="str">
        <f>IFERROR(VLOOKUP(KFS671,'[3]Raw material  (3)'!KFQ653:KGI3729,3,0),"")</f>
        <v/>
      </c>
      <c r="KFS671" t="str">
        <f>IFERROR(VLOOKUP(KFT671,'[3]Raw material  (3)'!KFR653:KGJ3729,3,0),"")</f>
        <v/>
      </c>
      <c r="KFT671" t="str">
        <f>IFERROR(VLOOKUP(KFU671,'[3]Raw material  (3)'!KFS653:KGK3729,3,0),"")</f>
        <v/>
      </c>
      <c r="KFU671" t="str">
        <f>IFERROR(VLOOKUP(KFV671,'[3]Raw material  (3)'!KFT653:KGL3729,3,0),"")</f>
        <v/>
      </c>
      <c r="KFV671" t="str">
        <f>IFERROR(VLOOKUP(KFW671,'[3]Raw material  (3)'!KFU653:KGM3729,3,0),"")</f>
        <v/>
      </c>
      <c r="KFW671" t="str">
        <f>IFERROR(VLOOKUP(KFX671,'[3]Raw material  (3)'!KFV653:KGN3729,3,0),"")</f>
        <v/>
      </c>
      <c r="KFX671" t="str">
        <f>IFERROR(VLOOKUP(KFY671,'[3]Raw material  (3)'!KFW653:KGO3729,3,0),"")</f>
        <v/>
      </c>
      <c r="KFY671" t="str">
        <f>IFERROR(VLOOKUP(KFZ671,'[3]Raw material  (3)'!KFX653:KGP3729,3,0),"")</f>
        <v/>
      </c>
      <c r="KFZ671" t="str">
        <f>IFERROR(VLOOKUP(KGA671,'[3]Raw material  (3)'!KFY653:KGQ3729,3,0),"")</f>
        <v/>
      </c>
      <c r="KGA671" t="str">
        <f>IFERROR(VLOOKUP(KGB671,'[3]Raw material  (3)'!KFZ653:KGR3729,3,0),"")</f>
        <v/>
      </c>
      <c r="KGB671" t="str">
        <f>IFERROR(VLOOKUP(KGC671,'[3]Raw material  (3)'!KGA653:KGS3729,3,0),"")</f>
        <v/>
      </c>
      <c r="KGC671" t="str">
        <f>IFERROR(VLOOKUP(KGD671,'[3]Raw material  (3)'!KGB653:KGT3729,3,0),"")</f>
        <v/>
      </c>
      <c r="KGD671" t="str">
        <f>IFERROR(VLOOKUP(KGE671,'[3]Raw material  (3)'!KGC653:KGU3729,3,0),"")</f>
        <v/>
      </c>
      <c r="KGE671" t="str">
        <f>IFERROR(VLOOKUP(KGF671,'[3]Raw material  (3)'!KGD653:KGV3729,3,0),"")</f>
        <v/>
      </c>
      <c r="KGF671" t="str">
        <f>IFERROR(VLOOKUP(KGG671,'[3]Raw material  (3)'!KGE653:KGW3729,3,0),"")</f>
        <v/>
      </c>
      <c r="KGG671" t="str">
        <f>IFERROR(VLOOKUP(KGH671,'[3]Raw material  (3)'!KGF653:KGX3729,3,0),"")</f>
        <v/>
      </c>
      <c r="KGH671" t="str">
        <f>IFERROR(VLOOKUP(KGI671,'[3]Raw material  (3)'!KGG653:KGY3729,3,0),"")</f>
        <v/>
      </c>
      <c r="KGI671" t="str">
        <f>IFERROR(VLOOKUP(KGJ671,'[3]Raw material  (3)'!KGH653:KGZ3729,3,0),"")</f>
        <v/>
      </c>
      <c r="KGJ671" t="str">
        <f>IFERROR(VLOOKUP(KGK671,'[3]Raw material  (3)'!KGI653:KHA3729,3,0),"")</f>
        <v/>
      </c>
      <c r="KGK671" t="str">
        <f>IFERROR(VLOOKUP(KGL671,'[3]Raw material  (3)'!KGJ653:KHB3729,3,0),"")</f>
        <v/>
      </c>
      <c r="KGL671" t="str">
        <f>IFERROR(VLOOKUP(KGM671,'[3]Raw material  (3)'!KGK653:KHC3729,3,0),"")</f>
        <v/>
      </c>
      <c r="KGM671" t="str">
        <f>IFERROR(VLOOKUP(KGN671,'[3]Raw material  (3)'!KGL653:KHD3729,3,0),"")</f>
        <v/>
      </c>
      <c r="KGN671" t="str">
        <f>IFERROR(VLOOKUP(KGO671,'[3]Raw material  (3)'!KGM653:KHE3729,3,0),"")</f>
        <v/>
      </c>
      <c r="KGO671" t="str">
        <f>IFERROR(VLOOKUP(KGP671,'[3]Raw material  (3)'!KGN653:KHF3729,3,0),"")</f>
        <v/>
      </c>
      <c r="KGP671" t="str">
        <f>IFERROR(VLOOKUP(KGQ671,'[3]Raw material  (3)'!KGO653:KHG3729,3,0),"")</f>
        <v/>
      </c>
      <c r="KGQ671" t="str">
        <f>IFERROR(VLOOKUP(KGR671,'[3]Raw material  (3)'!KGP653:KHH3729,3,0),"")</f>
        <v/>
      </c>
      <c r="KGR671" t="str">
        <f>IFERROR(VLOOKUP(KGS671,'[3]Raw material  (3)'!KGQ653:KHI3729,3,0),"")</f>
        <v/>
      </c>
      <c r="KGS671" t="str">
        <f>IFERROR(VLOOKUP(KGT671,'[3]Raw material  (3)'!KGR653:KHJ3729,3,0),"")</f>
        <v/>
      </c>
      <c r="KGT671" t="str">
        <f>IFERROR(VLOOKUP(KGU671,'[3]Raw material  (3)'!KGS653:KHK3729,3,0),"")</f>
        <v/>
      </c>
      <c r="KGU671" t="str">
        <f>IFERROR(VLOOKUP(KGV671,'[3]Raw material  (3)'!KGT653:KHL3729,3,0),"")</f>
        <v/>
      </c>
      <c r="KGV671" t="str">
        <f>IFERROR(VLOOKUP(KGW671,'[3]Raw material  (3)'!KGU653:KHM3729,3,0),"")</f>
        <v/>
      </c>
      <c r="KGW671" t="str">
        <f>IFERROR(VLOOKUP(KGX671,'[3]Raw material  (3)'!KGV653:KHN3729,3,0),"")</f>
        <v/>
      </c>
      <c r="KGX671" t="str">
        <f>IFERROR(VLOOKUP(KGY671,'[3]Raw material  (3)'!KGW653:KHO3729,3,0),"")</f>
        <v/>
      </c>
      <c r="KGY671" t="str">
        <f>IFERROR(VLOOKUP(KGZ671,'[3]Raw material  (3)'!KGX653:KHP3729,3,0),"")</f>
        <v/>
      </c>
      <c r="KGZ671" t="str">
        <f>IFERROR(VLOOKUP(KHA671,'[3]Raw material  (3)'!KGY653:KHQ3729,3,0),"")</f>
        <v/>
      </c>
      <c r="KHA671" t="str">
        <f>IFERROR(VLOOKUP(KHB671,'[3]Raw material  (3)'!KGZ653:KHR3729,3,0),"")</f>
        <v/>
      </c>
      <c r="KHB671" t="str">
        <f>IFERROR(VLOOKUP(KHC671,'[3]Raw material  (3)'!KHA653:KHS3729,3,0),"")</f>
        <v/>
      </c>
      <c r="KHC671" t="str">
        <f>IFERROR(VLOOKUP(KHD671,'[3]Raw material  (3)'!KHB653:KHT3729,3,0),"")</f>
        <v/>
      </c>
      <c r="KHD671" t="str">
        <f>IFERROR(VLOOKUP(KHE671,'[3]Raw material  (3)'!KHC653:KHU3729,3,0),"")</f>
        <v/>
      </c>
      <c r="KHE671" t="str">
        <f>IFERROR(VLOOKUP(KHF671,'[3]Raw material  (3)'!KHD653:KHV3729,3,0),"")</f>
        <v/>
      </c>
      <c r="KHF671" t="str">
        <f>IFERROR(VLOOKUP(KHG671,'[3]Raw material  (3)'!KHE653:KHW3729,3,0),"")</f>
        <v/>
      </c>
      <c r="KHG671" t="str">
        <f>IFERROR(VLOOKUP(KHH671,'[3]Raw material  (3)'!KHF653:KHX3729,3,0),"")</f>
        <v/>
      </c>
      <c r="KHH671" t="str">
        <f>IFERROR(VLOOKUP(KHI671,'[3]Raw material  (3)'!KHG653:KHY3729,3,0),"")</f>
        <v/>
      </c>
      <c r="KHI671" t="str">
        <f>IFERROR(VLOOKUP(KHJ671,'[3]Raw material  (3)'!KHH653:KHZ3729,3,0),"")</f>
        <v/>
      </c>
      <c r="KHJ671" t="str">
        <f>IFERROR(VLOOKUP(KHK671,'[3]Raw material  (3)'!KHI653:KIA3729,3,0),"")</f>
        <v/>
      </c>
      <c r="KHK671" t="str">
        <f>IFERROR(VLOOKUP(KHL671,'[3]Raw material  (3)'!KHJ653:KIB3729,3,0),"")</f>
        <v/>
      </c>
      <c r="KHL671" t="str">
        <f>IFERROR(VLOOKUP(KHM671,'[3]Raw material  (3)'!KHK653:KIC3729,3,0),"")</f>
        <v/>
      </c>
      <c r="KHM671" t="str">
        <f>IFERROR(VLOOKUP(KHN671,'[3]Raw material  (3)'!KHL653:KID3729,3,0),"")</f>
        <v/>
      </c>
      <c r="KHN671" t="str">
        <f>IFERROR(VLOOKUP(KHO671,'[3]Raw material  (3)'!KHM653:KIE3729,3,0),"")</f>
        <v/>
      </c>
      <c r="KHO671" t="str">
        <f>IFERROR(VLOOKUP(KHP671,'[3]Raw material  (3)'!KHN653:KIF3729,3,0),"")</f>
        <v/>
      </c>
      <c r="KHP671" t="str">
        <f>IFERROR(VLOOKUP(KHQ671,'[3]Raw material  (3)'!KHO653:KIG3729,3,0),"")</f>
        <v/>
      </c>
      <c r="KHQ671" t="str">
        <f>IFERROR(VLOOKUP(KHR671,'[3]Raw material  (3)'!KHP653:KIH3729,3,0),"")</f>
        <v/>
      </c>
      <c r="KHR671" t="str">
        <f>IFERROR(VLOOKUP(KHS671,'[3]Raw material  (3)'!KHQ653:KII3729,3,0),"")</f>
        <v/>
      </c>
      <c r="KHS671" t="str">
        <f>IFERROR(VLOOKUP(KHT671,'[3]Raw material  (3)'!KHR653:KIJ3729,3,0),"")</f>
        <v/>
      </c>
      <c r="KHT671" t="str">
        <f>IFERROR(VLOOKUP(KHU671,'[3]Raw material  (3)'!KHS653:KIK3729,3,0),"")</f>
        <v/>
      </c>
      <c r="KHU671" t="str">
        <f>IFERROR(VLOOKUP(KHV671,'[3]Raw material  (3)'!KHT653:KIL3729,3,0),"")</f>
        <v/>
      </c>
      <c r="KHV671" t="str">
        <f>IFERROR(VLOOKUP(KHW671,'[3]Raw material  (3)'!KHU653:KIM3729,3,0),"")</f>
        <v/>
      </c>
      <c r="KHW671" t="str">
        <f>IFERROR(VLOOKUP(KHX671,'[3]Raw material  (3)'!KHV653:KIN3729,3,0),"")</f>
        <v/>
      </c>
      <c r="KHX671" t="str">
        <f>IFERROR(VLOOKUP(KHY671,'[3]Raw material  (3)'!KHW653:KIO3729,3,0),"")</f>
        <v/>
      </c>
      <c r="KHY671" t="str">
        <f>IFERROR(VLOOKUP(KHZ671,'[3]Raw material  (3)'!KHX653:KIP3729,3,0),"")</f>
        <v/>
      </c>
      <c r="KHZ671" t="str">
        <f>IFERROR(VLOOKUP(KIA671,'[3]Raw material  (3)'!KHY653:KIQ3729,3,0),"")</f>
        <v/>
      </c>
      <c r="KIA671" t="str">
        <f>IFERROR(VLOOKUP(KIB671,'[3]Raw material  (3)'!KHZ653:KIR3729,3,0),"")</f>
        <v/>
      </c>
      <c r="KIB671" t="str">
        <f>IFERROR(VLOOKUP(KIC671,'[3]Raw material  (3)'!KIA653:KIS3729,3,0),"")</f>
        <v/>
      </c>
      <c r="KIC671" t="str">
        <f>IFERROR(VLOOKUP(KID671,'[3]Raw material  (3)'!KIB653:KIT3729,3,0),"")</f>
        <v/>
      </c>
      <c r="KID671" t="str">
        <f>IFERROR(VLOOKUP(KIE671,'[3]Raw material  (3)'!KIC653:KIU3729,3,0),"")</f>
        <v/>
      </c>
      <c r="KIE671" t="str">
        <f>IFERROR(VLOOKUP(KIF671,'[3]Raw material  (3)'!KID653:KIV3729,3,0),"")</f>
        <v/>
      </c>
      <c r="KIF671" t="str">
        <f>IFERROR(VLOOKUP(KIG671,'[3]Raw material  (3)'!KIE653:KIW3729,3,0),"")</f>
        <v/>
      </c>
      <c r="KIG671" t="str">
        <f>IFERROR(VLOOKUP(KIH671,'[3]Raw material  (3)'!KIF653:KIX3729,3,0),"")</f>
        <v/>
      </c>
      <c r="KIH671" t="str">
        <f>IFERROR(VLOOKUP(KII671,'[3]Raw material  (3)'!KIG653:KIY3729,3,0),"")</f>
        <v/>
      </c>
      <c r="KII671" t="str">
        <f>IFERROR(VLOOKUP(KIJ671,'[3]Raw material  (3)'!KIH653:KIZ3729,3,0),"")</f>
        <v/>
      </c>
      <c r="KIJ671" t="str">
        <f>IFERROR(VLOOKUP(KIK671,'[3]Raw material  (3)'!KII653:KJA3729,3,0),"")</f>
        <v/>
      </c>
      <c r="KIK671" t="str">
        <f>IFERROR(VLOOKUP(KIL671,'[3]Raw material  (3)'!KIJ653:KJB3729,3,0),"")</f>
        <v/>
      </c>
      <c r="KIL671" t="str">
        <f>IFERROR(VLOOKUP(KIM671,'[3]Raw material  (3)'!KIK653:KJC3729,3,0),"")</f>
        <v/>
      </c>
      <c r="KIM671" t="str">
        <f>IFERROR(VLOOKUP(KIN671,'[3]Raw material  (3)'!KIL653:KJD3729,3,0),"")</f>
        <v/>
      </c>
      <c r="KIN671" t="str">
        <f>IFERROR(VLOOKUP(KIO671,'[3]Raw material  (3)'!KIM653:KJE3729,3,0),"")</f>
        <v/>
      </c>
      <c r="KIO671" t="str">
        <f>IFERROR(VLOOKUP(KIP671,'[3]Raw material  (3)'!KIN653:KJF3729,3,0),"")</f>
        <v/>
      </c>
      <c r="KIP671" t="str">
        <f>IFERROR(VLOOKUP(KIQ671,'[3]Raw material  (3)'!KIO653:KJG3729,3,0),"")</f>
        <v/>
      </c>
      <c r="KIQ671" t="str">
        <f>IFERROR(VLOOKUP(KIR671,'[3]Raw material  (3)'!KIP653:KJH3729,3,0),"")</f>
        <v/>
      </c>
      <c r="KIR671" t="str">
        <f>IFERROR(VLOOKUP(KIS671,'[3]Raw material  (3)'!KIQ653:KJI3729,3,0),"")</f>
        <v/>
      </c>
      <c r="KIS671" t="str">
        <f>IFERROR(VLOOKUP(KIT671,'[3]Raw material  (3)'!KIR653:KJJ3729,3,0),"")</f>
        <v/>
      </c>
      <c r="KIT671" t="str">
        <f>IFERROR(VLOOKUP(KIU671,'[3]Raw material  (3)'!KIS653:KJK3729,3,0),"")</f>
        <v/>
      </c>
      <c r="KIU671" t="str">
        <f>IFERROR(VLOOKUP(KIV671,'[3]Raw material  (3)'!KIT653:KJL3729,3,0),"")</f>
        <v/>
      </c>
      <c r="KIV671" t="str">
        <f>IFERROR(VLOOKUP(KIW671,'[3]Raw material  (3)'!KIU653:KJM3729,3,0),"")</f>
        <v/>
      </c>
      <c r="KIW671" t="str">
        <f>IFERROR(VLOOKUP(KIX671,'[3]Raw material  (3)'!KIV653:KJN3729,3,0),"")</f>
        <v/>
      </c>
      <c r="KIX671" t="str">
        <f>IFERROR(VLOOKUP(KIY671,'[3]Raw material  (3)'!KIW653:KJO3729,3,0),"")</f>
        <v/>
      </c>
      <c r="KIY671" t="str">
        <f>IFERROR(VLOOKUP(KIZ671,'[3]Raw material  (3)'!KIX653:KJP3729,3,0),"")</f>
        <v/>
      </c>
      <c r="KIZ671" t="str">
        <f>IFERROR(VLOOKUP(KJA671,'[3]Raw material  (3)'!KIY653:KJQ3729,3,0),"")</f>
        <v/>
      </c>
      <c r="KJA671" t="str">
        <f>IFERROR(VLOOKUP(KJB671,'[3]Raw material  (3)'!KIZ653:KJR3729,3,0),"")</f>
        <v/>
      </c>
      <c r="KJB671" t="str">
        <f>IFERROR(VLOOKUP(KJC671,'[3]Raw material  (3)'!KJA653:KJS3729,3,0),"")</f>
        <v/>
      </c>
      <c r="KJC671" t="str">
        <f>IFERROR(VLOOKUP(KJD671,'[3]Raw material  (3)'!KJB653:KJT3729,3,0),"")</f>
        <v/>
      </c>
      <c r="KJD671" t="str">
        <f>IFERROR(VLOOKUP(KJE671,'[3]Raw material  (3)'!KJC653:KJU3729,3,0),"")</f>
        <v/>
      </c>
      <c r="KJE671" t="str">
        <f>IFERROR(VLOOKUP(KJF671,'[3]Raw material  (3)'!KJD653:KJV3729,3,0),"")</f>
        <v/>
      </c>
      <c r="KJF671" t="str">
        <f>IFERROR(VLOOKUP(KJG671,'[3]Raw material  (3)'!KJE653:KJW3729,3,0),"")</f>
        <v/>
      </c>
      <c r="KJG671" t="str">
        <f>IFERROR(VLOOKUP(KJH671,'[3]Raw material  (3)'!KJF653:KJX3729,3,0),"")</f>
        <v/>
      </c>
      <c r="KJH671" t="str">
        <f>IFERROR(VLOOKUP(KJI671,'[3]Raw material  (3)'!KJG653:KJY3729,3,0),"")</f>
        <v/>
      </c>
      <c r="KJI671" t="str">
        <f>IFERROR(VLOOKUP(KJJ671,'[3]Raw material  (3)'!KJH653:KJZ3729,3,0),"")</f>
        <v/>
      </c>
      <c r="KJJ671" t="str">
        <f>IFERROR(VLOOKUP(KJK671,'[3]Raw material  (3)'!KJI653:KKA3729,3,0),"")</f>
        <v/>
      </c>
      <c r="KJK671" t="str">
        <f>IFERROR(VLOOKUP(KJL671,'[3]Raw material  (3)'!KJJ653:KKB3729,3,0),"")</f>
        <v/>
      </c>
      <c r="KJL671" t="str">
        <f>IFERROR(VLOOKUP(KJM671,'[3]Raw material  (3)'!KJK653:KKC3729,3,0),"")</f>
        <v/>
      </c>
      <c r="KJM671" t="str">
        <f>IFERROR(VLOOKUP(KJN671,'[3]Raw material  (3)'!KJL653:KKD3729,3,0),"")</f>
        <v/>
      </c>
      <c r="KJN671" t="str">
        <f>IFERROR(VLOOKUP(KJO671,'[3]Raw material  (3)'!KJM653:KKE3729,3,0),"")</f>
        <v/>
      </c>
      <c r="KJO671" t="str">
        <f>IFERROR(VLOOKUP(KJP671,'[3]Raw material  (3)'!KJN653:KKF3729,3,0),"")</f>
        <v/>
      </c>
      <c r="KJP671" t="str">
        <f>IFERROR(VLOOKUP(KJQ671,'[3]Raw material  (3)'!KJO653:KKG3729,3,0),"")</f>
        <v/>
      </c>
      <c r="KJQ671" t="str">
        <f>IFERROR(VLOOKUP(KJR671,'[3]Raw material  (3)'!KJP653:KKH3729,3,0),"")</f>
        <v/>
      </c>
      <c r="KJR671" t="str">
        <f>IFERROR(VLOOKUP(KJS671,'[3]Raw material  (3)'!KJQ653:KKI3729,3,0),"")</f>
        <v/>
      </c>
      <c r="KJS671" t="str">
        <f>IFERROR(VLOOKUP(KJT671,'[3]Raw material  (3)'!KJR653:KKJ3729,3,0),"")</f>
        <v/>
      </c>
      <c r="KJT671" t="str">
        <f>IFERROR(VLOOKUP(KJU671,'[3]Raw material  (3)'!KJS653:KKK3729,3,0),"")</f>
        <v/>
      </c>
      <c r="KJU671" t="str">
        <f>IFERROR(VLOOKUP(KJV671,'[3]Raw material  (3)'!KJT653:KKL3729,3,0),"")</f>
        <v/>
      </c>
      <c r="KJV671" t="str">
        <f>IFERROR(VLOOKUP(KJW671,'[3]Raw material  (3)'!KJU653:KKM3729,3,0),"")</f>
        <v/>
      </c>
      <c r="KJW671" t="str">
        <f>IFERROR(VLOOKUP(KJX671,'[3]Raw material  (3)'!KJV653:KKN3729,3,0),"")</f>
        <v/>
      </c>
      <c r="KJX671" t="str">
        <f>IFERROR(VLOOKUP(KJY671,'[3]Raw material  (3)'!KJW653:KKO3729,3,0),"")</f>
        <v/>
      </c>
      <c r="KJY671" t="str">
        <f>IFERROR(VLOOKUP(KJZ671,'[3]Raw material  (3)'!KJX653:KKP3729,3,0),"")</f>
        <v/>
      </c>
      <c r="KJZ671" t="str">
        <f>IFERROR(VLOOKUP(KKA671,'[3]Raw material  (3)'!KJY653:KKQ3729,3,0),"")</f>
        <v/>
      </c>
      <c r="KKA671" t="str">
        <f>IFERROR(VLOOKUP(KKB671,'[3]Raw material  (3)'!KJZ653:KKR3729,3,0),"")</f>
        <v/>
      </c>
      <c r="KKB671" t="str">
        <f>IFERROR(VLOOKUP(KKC671,'[3]Raw material  (3)'!KKA653:KKS3729,3,0),"")</f>
        <v/>
      </c>
      <c r="KKC671" t="str">
        <f>IFERROR(VLOOKUP(KKD671,'[3]Raw material  (3)'!KKB653:KKT3729,3,0),"")</f>
        <v/>
      </c>
      <c r="KKD671" t="str">
        <f>IFERROR(VLOOKUP(KKE671,'[3]Raw material  (3)'!KKC653:KKU3729,3,0),"")</f>
        <v/>
      </c>
      <c r="KKE671" t="str">
        <f>IFERROR(VLOOKUP(KKF671,'[3]Raw material  (3)'!KKD653:KKV3729,3,0),"")</f>
        <v/>
      </c>
      <c r="KKF671" t="str">
        <f>IFERROR(VLOOKUP(KKG671,'[3]Raw material  (3)'!KKE653:KKW3729,3,0),"")</f>
        <v/>
      </c>
      <c r="KKG671" t="str">
        <f>IFERROR(VLOOKUP(KKH671,'[3]Raw material  (3)'!KKF653:KKX3729,3,0),"")</f>
        <v/>
      </c>
      <c r="KKH671" t="str">
        <f>IFERROR(VLOOKUP(KKI671,'[3]Raw material  (3)'!KKG653:KKY3729,3,0),"")</f>
        <v/>
      </c>
      <c r="KKI671" t="str">
        <f>IFERROR(VLOOKUP(KKJ671,'[3]Raw material  (3)'!KKH653:KKZ3729,3,0),"")</f>
        <v/>
      </c>
      <c r="KKJ671" t="str">
        <f>IFERROR(VLOOKUP(KKK671,'[3]Raw material  (3)'!KKI653:KLA3729,3,0),"")</f>
        <v/>
      </c>
      <c r="KKK671" t="str">
        <f>IFERROR(VLOOKUP(KKL671,'[3]Raw material  (3)'!KKJ653:KLB3729,3,0),"")</f>
        <v/>
      </c>
      <c r="KKL671" t="str">
        <f>IFERROR(VLOOKUP(KKM671,'[3]Raw material  (3)'!KKK653:KLC3729,3,0),"")</f>
        <v/>
      </c>
      <c r="KKM671" t="str">
        <f>IFERROR(VLOOKUP(KKN671,'[3]Raw material  (3)'!KKL653:KLD3729,3,0),"")</f>
        <v/>
      </c>
      <c r="KKN671" t="str">
        <f>IFERROR(VLOOKUP(KKO671,'[3]Raw material  (3)'!KKM653:KLE3729,3,0),"")</f>
        <v/>
      </c>
      <c r="KKO671" t="str">
        <f>IFERROR(VLOOKUP(KKP671,'[3]Raw material  (3)'!KKN653:KLF3729,3,0),"")</f>
        <v/>
      </c>
      <c r="KKP671" t="str">
        <f>IFERROR(VLOOKUP(KKQ671,'[3]Raw material  (3)'!KKO653:KLG3729,3,0),"")</f>
        <v/>
      </c>
      <c r="KKQ671" t="str">
        <f>IFERROR(VLOOKUP(KKR671,'[3]Raw material  (3)'!KKP653:KLH3729,3,0),"")</f>
        <v/>
      </c>
      <c r="KKR671" t="str">
        <f>IFERROR(VLOOKUP(KKS671,'[3]Raw material  (3)'!KKQ653:KLI3729,3,0),"")</f>
        <v/>
      </c>
      <c r="KKS671" t="str">
        <f>IFERROR(VLOOKUP(KKT671,'[3]Raw material  (3)'!KKR653:KLJ3729,3,0),"")</f>
        <v/>
      </c>
      <c r="KKT671" t="str">
        <f>IFERROR(VLOOKUP(KKU671,'[3]Raw material  (3)'!KKS653:KLK3729,3,0),"")</f>
        <v/>
      </c>
      <c r="KKU671" t="str">
        <f>IFERROR(VLOOKUP(KKV671,'[3]Raw material  (3)'!KKT653:KLL3729,3,0),"")</f>
        <v/>
      </c>
      <c r="KKV671" t="str">
        <f>IFERROR(VLOOKUP(KKW671,'[3]Raw material  (3)'!KKU653:KLM3729,3,0),"")</f>
        <v/>
      </c>
      <c r="KKW671" t="str">
        <f>IFERROR(VLOOKUP(KKX671,'[3]Raw material  (3)'!KKV653:KLN3729,3,0),"")</f>
        <v/>
      </c>
      <c r="KKX671" t="str">
        <f>IFERROR(VLOOKUP(KKY671,'[3]Raw material  (3)'!KKW653:KLO3729,3,0),"")</f>
        <v/>
      </c>
      <c r="KKY671" t="str">
        <f>IFERROR(VLOOKUP(KKZ671,'[3]Raw material  (3)'!KKX653:KLP3729,3,0),"")</f>
        <v/>
      </c>
      <c r="KKZ671" t="str">
        <f>IFERROR(VLOOKUP(KLA671,'[3]Raw material  (3)'!KKY653:KLQ3729,3,0),"")</f>
        <v/>
      </c>
      <c r="KLA671" t="str">
        <f>IFERROR(VLOOKUP(KLB671,'[3]Raw material  (3)'!KKZ653:KLR3729,3,0),"")</f>
        <v/>
      </c>
      <c r="KLB671" t="str">
        <f>IFERROR(VLOOKUP(KLC671,'[3]Raw material  (3)'!KLA653:KLS3729,3,0),"")</f>
        <v/>
      </c>
      <c r="KLC671" t="str">
        <f>IFERROR(VLOOKUP(KLD671,'[3]Raw material  (3)'!KLB653:KLT3729,3,0),"")</f>
        <v/>
      </c>
      <c r="KLD671" t="str">
        <f>IFERROR(VLOOKUP(KLE671,'[3]Raw material  (3)'!KLC653:KLU3729,3,0),"")</f>
        <v/>
      </c>
      <c r="KLE671" t="str">
        <f>IFERROR(VLOOKUP(KLF671,'[3]Raw material  (3)'!KLD653:KLV3729,3,0),"")</f>
        <v/>
      </c>
      <c r="KLF671" t="str">
        <f>IFERROR(VLOOKUP(KLG671,'[3]Raw material  (3)'!KLE653:KLW3729,3,0),"")</f>
        <v/>
      </c>
      <c r="KLG671" t="str">
        <f>IFERROR(VLOOKUP(KLH671,'[3]Raw material  (3)'!KLF653:KLX3729,3,0),"")</f>
        <v/>
      </c>
      <c r="KLH671" t="str">
        <f>IFERROR(VLOOKUP(KLI671,'[3]Raw material  (3)'!KLG653:KLY3729,3,0),"")</f>
        <v/>
      </c>
      <c r="KLI671" t="str">
        <f>IFERROR(VLOOKUP(KLJ671,'[3]Raw material  (3)'!KLH653:KLZ3729,3,0),"")</f>
        <v/>
      </c>
      <c r="KLJ671" t="str">
        <f>IFERROR(VLOOKUP(KLK671,'[3]Raw material  (3)'!KLI653:KMA3729,3,0),"")</f>
        <v/>
      </c>
      <c r="KLK671" t="str">
        <f>IFERROR(VLOOKUP(KLL671,'[3]Raw material  (3)'!KLJ653:KMB3729,3,0),"")</f>
        <v/>
      </c>
      <c r="KLL671" t="str">
        <f>IFERROR(VLOOKUP(KLM671,'[3]Raw material  (3)'!KLK653:KMC3729,3,0),"")</f>
        <v/>
      </c>
      <c r="KLM671" t="str">
        <f>IFERROR(VLOOKUP(KLN671,'[3]Raw material  (3)'!KLL653:KMD3729,3,0),"")</f>
        <v/>
      </c>
      <c r="KLN671" t="str">
        <f>IFERROR(VLOOKUP(KLO671,'[3]Raw material  (3)'!KLM653:KME3729,3,0),"")</f>
        <v/>
      </c>
      <c r="KLO671" t="str">
        <f>IFERROR(VLOOKUP(KLP671,'[3]Raw material  (3)'!KLN653:KMF3729,3,0),"")</f>
        <v/>
      </c>
      <c r="KLP671" t="str">
        <f>IFERROR(VLOOKUP(KLQ671,'[3]Raw material  (3)'!KLO653:KMG3729,3,0),"")</f>
        <v/>
      </c>
      <c r="KLQ671" t="str">
        <f>IFERROR(VLOOKUP(KLR671,'[3]Raw material  (3)'!KLP653:KMH3729,3,0),"")</f>
        <v/>
      </c>
      <c r="KLR671" t="str">
        <f>IFERROR(VLOOKUP(KLS671,'[3]Raw material  (3)'!KLQ653:KMI3729,3,0),"")</f>
        <v/>
      </c>
      <c r="KLS671" t="str">
        <f>IFERROR(VLOOKUP(KLT671,'[3]Raw material  (3)'!KLR653:KMJ3729,3,0),"")</f>
        <v/>
      </c>
      <c r="KLT671" t="str">
        <f>IFERROR(VLOOKUP(KLU671,'[3]Raw material  (3)'!KLS653:KMK3729,3,0),"")</f>
        <v/>
      </c>
      <c r="KLU671" t="str">
        <f>IFERROR(VLOOKUP(KLV671,'[3]Raw material  (3)'!KLT653:KML3729,3,0),"")</f>
        <v/>
      </c>
      <c r="KLV671" t="str">
        <f>IFERROR(VLOOKUP(KLW671,'[3]Raw material  (3)'!KLU653:KMM3729,3,0),"")</f>
        <v/>
      </c>
      <c r="KLW671" t="str">
        <f>IFERROR(VLOOKUP(KLX671,'[3]Raw material  (3)'!KLV653:KMN3729,3,0),"")</f>
        <v/>
      </c>
      <c r="KLX671" t="str">
        <f>IFERROR(VLOOKUP(KLY671,'[3]Raw material  (3)'!KLW653:KMO3729,3,0),"")</f>
        <v/>
      </c>
      <c r="KLY671" t="str">
        <f>IFERROR(VLOOKUP(KLZ671,'[3]Raw material  (3)'!KLX653:KMP3729,3,0),"")</f>
        <v/>
      </c>
      <c r="KLZ671" t="str">
        <f>IFERROR(VLOOKUP(KMA671,'[3]Raw material  (3)'!KLY653:KMQ3729,3,0),"")</f>
        <v/>
      </c>
      <c r="KMA671" t="str">
        <f>IFERROR(VLOOKUP(KMB671,'[3]Raw material  (3)'!KLZ653:KMR3729,3,0),"")</f>
        <v/>
      </c>
      <c r="KMB671" t="str">
        <f>IFERROR(VLOOKUP(KMC671,'[3]Raw material  (3)'!KMA653:KMS3729,3,0),"")</f>
        <v/>
      </c>
      <c r="KMC671" t="str">
        <f>IFERROR(VLOOKUP(KMD671,'[3]Raw material  (3)'!KMB653:KMT3729,3,0),"")</f>
        <v/>
      </c>
      <c r="KMD671" t="str">
        <f>IFERROR(VLOOKUP(KME671,'[3]Raw material  (3)'!KMC653:KMU3729,3,0),"")</f>
        <v/>
      </c>
      <c r="KME671" t="str">
        <f>IFERROR(VLOOKUP(KMF671,'[3]Raw material  (3)'!KMD653:KMV3729,3,0),"")</f>
        <v/>
      </c>
      <c r="KMF671" t="str">
        <f>IFERROR(VLOOKUP(KMG671,'[3]Raw material  (3)'!KME653:KMW3729,3,0),"")</f>
        <v/>
      </c>
      <c r="KMG671" t="str">
        <f>IFERROR(VLOOKUP(KMH671,'[3]Raw material  (3)'!KMF653:KMX3729,3,0),"")</f>
        <v/>
      </c>
      <c r="KMH671" t="str">
        <f>IFERROR(VLOOKUP(KMI671,'[3]Raw material  (3)'!KMG653:KMY3729,3,0),"")</f>
        <v/>
      </c>
      <c r="KMI671" t="str">
        <f>IFERROR(VLOOKUP(KMJ671,'[3]Raw material  (3)'!KMH653:KMZ3729,3,0),"")</f>
        <v/>
      </c>
      <c r="KMJ671" t="str">
        <f>IFERROR(VLOOKUP(KMK671,'[3]Raw material  (3)'!KMI653:KNA3729,3,0),"")</f>
        <v/>
      </c>
      <c r="KMK671" t="str">
        <f>IFERROR(VLOOKUP(KML671,'[3]Raw material  (3)'!KMJ653:KNB3729,3,0),"")</f>
        <v/>
      </c>
      <c r="KML671" t="str">
        <f>IFERROR(VLOOKUP(KMM671,'[3]Raw material  (3)'!KMK653:KNC3729,3,0),"")</f>
        <v/>
      </c>
      <c r="KMM671" t="str">
        <f>IFERROR(VLOOKUP(KMN671,'[3]Raw material  (3)'!KML653:KND3729,3,0),"")</f>
        <v/>
      </c>
      <c r="KMN671" t="str">
        <f>IFERROR(VLOOKUP(KMO671,'[3]Raw material  (3)'!KMM653:KNE3729,3,0),"")</f>
        <v/>
      </c>
      <c r="KMO671" t="str">
        <f>IFERROR(VLOOKUP(KMP671,'[3]Raw material  (3)'!KMN653:KNF3729,3,0),"")</f>
        <v/>
      </c>
      <c r="KMP671" t="str">
        <f>IFERROR(VLOOKUP(KMQ671,'[3]Raw material  (3)'!KMO653:KNG3729,3,0),"")</f>
        <v/>
      </c>
      <c r="KMQ671" t="str">
        <f>IFERROR(VLOOKUP(KMR671,'[3]Raw material  (3)'!KMP653:KNH3729,3,0),"")</f>
        <v/>
      </c>
      <c r="KMR671" t="str">
        <f>IFERROR(VLOOKUP(KMS671,'[3]Raw material  (3)'!KMQ653:KNI3729,3,0),"")</f>
        <v/>
      </c>
      <c r="KMS671" t="str">
        <f>IFERROR(VLOOKUP(KMT671,'[3]Raw material  (3)'!KMR653:KNJ3729,3,0),"")</f>
        <v/>
      </c>
      <c r="KMT671" t="str">
        <f>IFERROR(VLOOKUP(KMU671,'[3]Raw material  (3)'!KMS653:KNK3729,3,0),"")</f>
        <v/>
      </c>
      <c r="KMU671" t="str">
        <f>IFERROR(VLOOKUP(KMV671,'[3]Raw material  (3)'!KMT653:KNL3729,3,0),"")</f>
        <v/>
      </c>
      <c r="KMV671" t="str">
        <f>IFERROR(VLOOKUP(KMW671,'[3]Raw material  (3)'!KMU653:KNM3729,3,0),"")</f>
        <v/>
      </c>
      <c r="KMW671" t="str">
        <f>IFERROR(VLOOKUP(KMX671,'[3]Raw material  (3)'!KMV653:KNN3729,3,0),"")</f>
        <v/>
      </c>
      <c r="KMX671" t="str">
        <f>IFERROR(VLOOKUP(KMY671,'[3]Raw material  (3)'!KMW653:KNO3729,3,0),"")</f>
        <v/>
      </c>
      <c r="KMY671" t="str">
        <f>IFERROR(VLOOKUP(KMZ671,'[3]Raw material  (3)'!KMX653:KNP3729,3,0),"")</f>
        <v/>
      </c>
      <c r="KMZ671" t="str">
        <f>IFERROR(VLOOKUP(KNA671,'[3]Raw material  (3)'!KMY653:KNQ3729,3,0),"")</f>
        <v/>
      </c>
      <c r="KNA671" t="str">
        <f>IFERROR(VLOOKUP(KNB671,'[3]Raw material  (3)'!KMZ653:KNR3729,3,0),"")</f>
        <v/>
      </c>
      <c r="KNB671" t="str">
        <f>IFERROR(VLOOKUP(KNC671,'[3]Raw material  (3)'!KNA653:KNS3729,3,0),"")</f>
        <v/>
      </c>
      <c r="KNC671" t="str">
        <f>IFERROR(VLOOKUP(KND671,'[3]Raw material  (3)'!KNB653:KNT3729,3,0),"")</f>
        <v/>
      </c>
      <c r="KND671" t="str">
        <f>IFERROR(VLOOKUP(KNE671,'[3]Raw material  (3)'!KNC653:KNU3729,3,0),"")</f>
        <v/>
      </c>
      <c r="KNE671" t="str">
        <f>IFERROR(VLOOKUP(KNF671,'[3]Raw material  (3)'!KND653:KNV3729,3,0),"")</f>
        <v/>
      </c>
      <c r="KNF671" t="str">
        <f>IFERROR(VLOOKUP(KNG671,'[3]Raw material  (3)'!KNE653:KNW3729,3,0),"")</f>
        <v/>
      </c>
      <c r="KNG671" t="str">
        <f>IFERROR(VLOOKUP(KNH671,'[3]Raw material  (3)'!KNF653:KNX3729,3,0),"")</f>
        <v/>
      </c>
      <c r="KNH671" t="str">
        <f>IFERROR(VLOOKUP(KNI671,'[3]Raw material  (3)'!KNG653:KNY3729,3,0),"")</f>
        <v/>
      </c>
      <c r="KNI671" t="str">
        <f>IFERROR(VLOOKUP(KNJ671,'[3]Raw material  (3)'!KNH653:KNZ3729,3,0),"")</f>
        <v/>
      </c>
      <c r="KNJ671" t="str">
        <f>IFERROR(VLOOKUP(KNK671,'[3]Raw material  (3)'!KNI653:KOA3729,3,0),"")</f>
        <v/>
      </c>
      <c r="KNK671" t="str">
        <f>IFERROR(VLOOKUP(KNL671,'[3]Raw material  (3)'!KNJ653:KOB3729,3,0),"")</f>
        <v/>
      </c>
      <c r="KNL671" t="str">
        <f>IFERROR(VLOOKUP(KNM671,'[3]Raw material  (3)'!KNK653:KOC3729,3,0),"")</f>
        <v/>
      </c>
      <c r="KNM671" t="str">
        <f>IFERROR(VLOOKUP(KNN671,'[3]Raw material  (3)'!KNL653:KOD3729,3,0),"")</f>
        <v/>
      </c>
      <c r="KNN671" t="str">
        <f>IFERROR(VLOOKUP(KNO671,'[3]Raw material  (3)'!KNM653:KOE3729,3,0),"")</f>
        <v/>
      </c>
      <c r="KNO671" t="str">
        <f>IFERROR(VLOOKUP(KNP671,'[3]Raw material  (3)'!KNN653:KOF3729,3,0),"")</f>
        <v/>
      </c>
      <c r="KNP671" t="str">
        <f>IFERROR(VLOOKUP(KNQ671,'[3]Raw material  (3)'!KNO653:KOG3729,3,0),"")</f>
        <v/>
      </c>
      <c r="KNQ671" t="str">
        <f>IFERROR(VLOOKUP(KNR671,'[3]Raw material  (3)'!KNP653:KOH3729,3,0),"")</f>
        <v/>
      </c>
      <c r="KNR671" t="str">
        <f>IFERROR(VLOOKUP(KNS671,'[3]Raw material  (3)'!KNQ653:KOI3729,3,0),"")</f>
        <v/>
      </c>
      <c r="KNS671" t="str">
        <f>IFERROR(VLOOKUP(KNT671,'[3]Raw material  (3)'!KNR653:KOJ3729,3,0),"")</f>
        <v/>
      </c>
      <c r="KNT671" t="str">
        <f>IFERROR(VLOOKUP(KNU671,'[3]Raw material  (3)'!KNS653:KOK3729,3,0),"")</f>
        <v/>
      </c>
      <c r="KNU671" t="str">
        <f>IFERROR(VLOOKUP(KNV671,'[3]Raw material  (3)'!KNT653:KOL3729,3,0),"")</f>
        <v/>
      </c>
      <c r="KNV671" t="str">
        <f>IFERROR(VLOOKUP(KNW671,'[3]Raw material  (3)'!KNU653:KOM3729,3,0),"")</f>
        <v/>
      </c>
      <c r="KNW671" t="str">
        <f>IFERROR(VLOOKUP(KNX671,'[3]Raw material  (3)'!KNV653:KON3729,3,0),"")</f>
        <v/>
      </c>
      <c r="KNX671" t="str">
        <f>IFERROR(VLOOKUP(KNY671,'[3]Raw material  (3)'!KNW653:KOO3729,3,0),"")</f>
        <v/>
      </c>
      <c r="KNY671" t="str">
        <f>IFERROR(VLOOKUP(KNZ671,'[3]Raw material  (3)'!KNX653:KOP3729,3,0),"")</f>
        <v/>
      </c>
      <c r="KNZ671" t="str">
        <f>IFERROR(VLOOKUP(KOA671,'[3]Raw material  (3)'!KNY653:KOQ3729,3,0),"")</f>
        <v/>
      </c>
      <c r="KOA671" t="str">
        <f>IFERROR(VLOOKUP(KOB671,'[3]Raw material  (3)'!KNZ653:KOR3729,3,0),"")</f>
        <v/>
      </c>
      <c r="KOB671" t="str">
        <f>IFERROR(VLOOKUP(KOC671,'[3]Raw material  (3)'!KOA653:KOS3729,3,0),"")</f>
        <v/>
      </c>
      <c r="KOC671" t="str">
        <f>IFERROR(VLOOKUP(KOD671,'[3]Raw material  (3)'!KOB653:KOT3729,3,0),"")</f>
        <v/>
      </c>
      <c r="KOD671" t="str">
        <f>IFERROR(VLOOKUP(KOE671,'[3]Raw material  (3)'!KOC653:KOU3729,3,0),"")</f>
        <v/>
      </c>
      <c r="KOE671" t="str">
        <f>IFERROR(VLOOKUP(KOF671,'[3]Raw material  (3)'!KOD653:KOV3729,3,0),"")</f>
        <v/>
      </c>
      <c r="KOF671" t="str">
        <f>IFERROR(VLOOKUP(KOG671,'[3]Raw material  (3)'!KOE653:KOW3729,3,0),"")</f>
        <v/>
      </c>
      <c r="KOG671" t="str">
        <f>IFERROR(VLOOKUP(KOH671,'[3]Raw material  (3)'!KOF653:KOX3729,3,0),"")</f>
        <v/>
      </c>
      <c r="KOH671" t="str">
        <f>IFERROR(VLOOKUP(KOI671,'[3]Raw material  (3)'!KOG653:KOY3729,3,0),"")</f>
        <v/>
      </c>
      <c r="KOI671" t="str">
        <f>IFERROR(VLOOKUP(KOJ671,'[3]Raw material  (3)'!KOH653:KOZ3729,3,0),"")</f>
        <v/>
      </c>
      <c r="KOJ671" t="str">
        <f>IFERROR(VLOOKUP(KOK671,'[3]Raw material  (3)'!KOI653:KPA3729,3,0),"")</f>
        <v/>
      </c>
      <c r="KOK671" t="str">
        <f>IFERROR(VLOOKUP(KOL671,'[3]Raw material  (3)'!KOJ653:KPB3729,3,0),"")</f>
        <v/>
      </c>
      <c r="KOL671" t="str">
        <f>IFERROR(VLOOKUP(KOM671,'[3]Raw material  (3)'!KOK653:KPC3729,3,0),"")</f>
        <v/>
      </c>
      <c r="KOM671" t="str">
        <f>IFERROR(VLOOKUP(KON671,'[3]Raw material  (3)'!KOL653:KPD3729,3,0),"")</f>
        <v/>
      </c>
      <c r="KON671" t="str">
        <f>IFERROR(VLOOKUP(KOO671,'[3]Raw material  (3)'!KOM653:KPE3729,3,0),"")</f>
        <v/>
      </c>
      <c r="KOO671" t="str">
        <f>IFERROR(VLOOKUP(KOP671,'[3]Raw material  (3)'!KON653:KPF3729,3,0),"")</f>
        <v/>
      </c>
      <c r="KOP671" t="str">
        <f>IFERROR(VLOOKUP(KOQ671,'[3]Raw material  (3)'!KOO653:KPG3729,3,0),"")</f>
        <v/>
      </c>
      <c r="KOQ671" t="str">
        <f>IFERROR(VLOOKUP(KOR671,'[3]Raw material  (3)'!KOP653:KPH3729,3,0),"")</f>
        <v/>
      </c>
      <c r="KOR671" t="str">
        <f>IFERROR(VLOOKUP(KOS671,'[3]Raw material  (3)'!KOQ653:KPI3729,3,0),"")</f>
        <v/>
      </c>
      <c r="KOS671" t="str">
        <f>IFERROR(VLOOKUP(KOT671,'[3]Raw material  (3)'!KOR653:KPJ3729,3,0),"")</f>
        <v/>
      </c>
      <c r="KOT671" t="str">
        <f>IFERROR(VLOOKUP(KOU671,'[3]Raw material  (3)'!KOS653:KPK3729,3,0),"")</f>
        <v/>
      </c>
      <c r="KOU671" t="str">
        <f>IFERROR(VLOOKUP(KOV671,'[3]Raw material  (3)'!KOT653:KPL3729,3,0),"")</f>
        <v/>
      </c>
      <c r="KOV671" t="str">
        <f>IFERROR(VLOOKUP(KOW671,'[3]Raw material  (3)'!KOU653:KPM3729,3,0),"")</f>
        <v/>
      </c>
      <c r="KOW671" t="str">
        <f>IFERROR(VLOOKUP(KOX671,'[3]Raw material  (3)'!KOV653:KPN3729,3,0),"")</f>
        <v/>
      </c>
      <c r="KOX671" t="str">
        <f>IFERROR(VLOOKUP(KOY671,'[3]Raw material  (3)'!KOW653:KPO3729,3,0),"")</f>
        <v/>
      </c>
      <c r="KOY671" t="str">
        <f>IFERROR(VLOOKUP(KOZ671,'[3]Raw material  (3)'!KOX653:KPP3729,3,0),"")</f>
        <v/>
      </c>
      <c r="KOZ671" t="str">
        <f>IFERROR(VLOOKUP(KPA671,'[3]Raw material  (3)'!KOY653:KPQ3729,3,0),"")</f>
        <v/>
      </c>
      <c r="KPA671" t="str">
        <f>IFERROR(VLOOKUP(KPB671,'[3]Raw material  (3)'!KOZ653:KPR3729,3,0),"")</f>
        <v/>
      </c>
      <c r="KPB671" t="str">
        <f>IFERROR(VLOOKUP(KPC671,'[3]Raw material  (3)'!KPA653:KPS3729,3,0),"")</f>
        <v/>
      </c>
      <c r="KPC671" t="str">
        <f>IFERROR(VLOOKUP(KPD671,'[3]Raw material  (3)'!KPB653:KPT3729,3,0),"")</f>
        <v/>
      </c>
      <c r="KPD671" t="str">
        <f>IFERROR(VLOOKUP(KPE671,'[3]Raw material  (3)'!KPC653:KPU3729,3,0),"")</f>
        <v/>
      </c>
      <c r="KPE671" t="str">
        <f>IFERROR(VLOOKUP(KPF671,'[3]Raw material  (3)'!KPD653:KPV3729,3,0),"")</f>
        <v/>
      </c>
      <c r="KPF671" t="str">
        <f>IFERROR(VLOOKUP(KPG671,'[3]Raw material  (3)'!KPE653:KPW3729,3,0),"")</f>
        <v/>
      </c>
      <c r="KPG671" t="str">
        <f>IFERROR(VLOOKUP(KPH671,'[3]Raw material  (3)'!KPF653:KPX3729,3,0),"")</f>
        <v/>
      </c>
      <c r="KPH671" t="str">
        <f>IFERROR(VLOOKUP(KPI671,'[3]Raw material  (3)'!KPG653:KPY3729,3,0),"")</f>
        <v/>
      </c>
      <c r="KPI671" t="str">
        <f>IFERROR(VLOOKUP(KPJ671,'[3]Raw material  (3)'!KPH653:KPZ3729,3,0),"")</f>
        <v/>
      </c>
      <c r="KPJ671" t="str">
        <f>IFERROR(VLOOKUP(KPK671,'[3]Raw material  (3)'!KPI653:KQA3729,3,0),"")</f>
        <v/>
      </c>
      <c r="KPK671" t="str">
        <f>IFERROR(VLOOKUP(KPL671,'[3]Raw material  (3)'!KPJ653:KQB3729,3,0),"")</f>
        <v/>
      </c>
      <c r="KPL671" t="str">
        <f>IFERROR(VLOOKUP(KPM671,'[3]Raw material  (3)'!KPK653:KQC3729,3,0),"")</f>
        <v/>
      </c>
      <c r="KPM671" t="str">
        <f>IFERROR(VLOOKUP(KPN671,'[3]Raw material  (3)'!KPL653:KQD3729,3,0),"")</f>
        <v/>
      </c>
      <c r="KPN671" t="str">
        <f>IFERROR(VLOOKUP(KPO671,'[3]Raw material  (3)'!KPM653:KQE3729,3,0),"")</f>
        <v/>
      </c>
      <c r="KPO671" t="str">
        <f>IFERROR(VLOOKUP(KPP671,'[3]Raw material  (3)'!KPN653:KQF3729,3,0),"")</f>
        <v/>
      </c>
      <c r="KPP671" t="str">
        <f>IFERROR(VLOOKUP(KPQ671,'[3]Raw material  (3)'!KPO653:KQG3729,3,0),"")</f>
        <v/>
      </c>
      <c r="KPQ671" t="str">
        <f>IFERROR(VLOOKUP(KPR671,'[3]Raw material  (3)'!KPP653:KQH3729,3,0),"")</f>
        <v/>
      </c>
      <c r="KPR671" t="str">
        <f>IFERROR(VLOOKUP(KPS671,'[3]Raw material  (3)'!KPQ653:KQI3729,3,0),"")</f>
        <v/>
      </c>
      <c r="KPS671" t="str">
        <f>IFERROR(VLOOKUP(KPT671,'[3]Raw material  (3)'!KPR653:KQJ3729,3,0),"")</f>
        <v/>
      </c>
      <c r="KPT671" t="str">
        <f>IFERROR(VLOOKUP(KPU671,'[3]Raw material  (3)'!KPS653:KQK3729,3,0),"")</f>
        <v/>
      </c>
      <c r="KPU671" t="str">
        <f>IFERROR(VLOOKUP(KPV671,'[3]Raw material  (3)'!KPT653:KQL3729,3,0),"")</f>
        <v/>
      </c>
      <c r="KPV671" t="str">
        <f>IFERROR(VLOOKUP(KPW671,'[3]Raw material  (3)'!KPU653:KQM3729,3,0),"")</f>
        <v/>
      </c>
      <c r="KPW671" t="str">
        <f>IFERROR(VLOOKUP(KPX671,'[3]Raw material  (3)'!KPV653:KQN3729,3,0),"")</f>
        <v/>
      </c>
      <c r="KPX671" t="str">
        <f>IFERROR(VLOOKUP(KPY671,'[3]Raw material  (3)'!KPW653:KQO3729,3,0),"")</f>
        <v/>
      </c>
      <c r="KPY671" t="str">
        <f>IFERROR(VLOOKUP(KPZ671,'[3]Raw material  (3)'!KPX653:KQP3729,3,0),"")</f>
        <v/>
      </c>
      <c r="KPZ671" t="str">
        <f>IFERROR(VLOOKUP(KQA671,'[3]Raw material  (3)'!KPY653:KQQ3729,3,0),"")</f>
        <v/>
      </c>
      <c r="KQA671" t="str">
        <f>IFERROR(VLOOKUP(KQB671,'[3]Raw material  (3)'!KPZ653:KQR3729,3,0),"")</f>
        <v/>
      </c>
      <c r="KQB671" t="str">
        <f>IFERROR(VLOOKUP(KQC671,'[3]Raw material  (3)'!KQA653:KQS3729,3,0),"")</f>
        <v/>
      </c>
      <c r="KQC671" t="str">
        <f>IFERROR(VLOOKUP(KQD671,'[3]Raw material  (3)'!KQB653:KQT3729,3,0),"")</f>
        <v/>
      </c>
      <c r="KQD671" t="str">
        <f>IFERROR(VLOOKUP(KQE671,'[3]Raw material  (3)'!KQC653:KQU3729,3,0),"")</f>
        <v/>
      </c>
      <c r="KQE671" t="str">
        <f>IFERROR(VLOOKUP(KQF671,'[3]Raw material  (3)'!KQD653:KQV3729,3,0),"")</f>
        <v/>
      </c>
      <c r="KQF671" t="str">
        <f>IFERROR(VLOOKUP(KQG671,'[3]Raw material  (3)'!KQE653:KQW3729,3,0),"")</f>
        <v/>
      </c>
      <c r="KQG671" t="str">
        <f>IFERROR(VLOOKUP(KQH671,'[3]Raw material  (3)'!KQF653:KQX3729,3,0),"")</f>
        <v/>
      </c>
      <c r="KQH671" t="str">
        <f>IFERROR(VLOOKUP(KQI671,'[3]Raw material  (3)'!KQG653:KQY3729,3,0),"")</f>
        <v/>
      </c>
      <c r="KQI671" t="str">
        <f>IFERROR(VLOOKUP(KQJ671,'[3]Raw material  (3)'!KQH653:KQZ3729,3,0),"")</f>
        <v/>
      </c>
      <c r="KQJ671" t="str">
        <f>IFERROR(VLOOKUP(KQK671,'[3]Raw material  (3)'!KQI653:KRA3729,3,0),"")</f>
        <v/>
      </c>
      <c r="KQK671" t="str">
        <f>IFERROR(VLOOKUP(KQL671,'[3]Raw material  (3)'!KQJ653:KRB3729,3,0),"")</f>
        <v/>
      </c>
      <c r="KQL671" t="str">
        <f>IFERROR(VLOOKUP(KQM671,'[3]Raw material  (3)'!KQK653:KRC3729,3,0),"")</f>
        <v/>
      </c>
      <c r="KQM671" t="str">
        <f>IFERROR(VLOOKUP(KQN671,'[3]Raw material  (3)'!KQL653:KRD3729,3,0),"")</f>
        <v/>
      </c>
      <c r="KQN671" t="str">
        <f>IFERROR(VLOOKUP(KQO671,'[3]Raw material  (3)'!KQM653:KRE3729,3,0),"")</f>
        <v/>
      </c>
      <c r="KQO671" t="str">
        <f>IFERROR(VLOOKUP(KQP671,'[3]Raw material  (3)'!KQN653:KRF3729,3,0),"")</f>
        <v/>
      </c>
      <c r="KQP671" t="str">
        <f>IFERROR(VLOOKUP(KQQ671,'[3]Raw material  (3)'!KQO653:KRG3729,3,0),"")</f>
        <v/>
      </c>
      <c r="KQQ671" t="str">
        <f>IFERROR(VLOOKUP(KQR671,'[3]Raw material  (3)'!KQP653:KRH3729,3,0),"")</f>
        <v/>
      </c>
      <c r="KQR671" t="str">
        <f>IFERROR(VLOOKUP(KQS671,'[3]Raw material  (3)'!KQQ653:KRI3729,3,0),"")</f>
        <v/>
      </c>
      <c r="KQS671" t="str">
        <f>IFERROR(VLOOKUP(KQT671,'[3]Raw material  (3)'!KQR653:KRJ3729,3,0),"")</f>
        <v/>
      </c>
      <c r="KQT671" t="str">
        <f>IFERROR(VLOOKUP(KQU671,'[3]Raw material  (3)'!KQS653:KRK3729,3,0),"")</f>
        <v/>
      </c>
      <c r="KQU671" t="str">
        <f>IFERROR(VLOOKUP(KQV671,'[3]Raw material  (3)'!KQT653:KRL3729,3,0),"")</f>
        <v/>
      </c>
      <c r="KQV671" t="str">
        <f>IFERROR(VLOOKUP(KQW671,'[3]Raw material  (3)'!KQU653:KRM3729,3,0),"")</f>
        <v/>
      </c>
      <c r="KQW671" t="str">
        <f>IFERROR(VLOOKUP(KQX671,'[3]Raw material  (3)'!KQV653:KRN3729,3,0),"")</f>
        <v/>
      </c>
      <c r="KQX671" t="str">
        <f>IFERROR(VLOOKUP(KQY671,'[3]Raw material  (3)'!KQW653:KRO3729,3,0),"")</f>
        <v/>
      </c>
      <c r="KQY671" t="str">
        <f>IFERROR(VLOOKUP(KQZ671,'[3]Raw material  (3)'!KQX653:KRP3729,3,0),"")</f>
        <v/>
      </c>
      <c r="KQZ671" t="str">
        <f>IFERROR(VLOOKUP(KRA671,'[3]Raw material  (3)'!KQY653:KRQ3729,3,0),"")</f>
        <v/>
      </c>
      <c r="KRA671" t="str">
        <f>IFERROR(VLOOKUP(KRB671,'[3]Raw material  (3)'!KQZ653:KRR3729,3,0),"")</f>
        <v/>
      </c>
      <c r="KRB671" t="str">
        <f>IFERROR(VLOOKUP(KRC671,'[3]Raw material  (3)'!KRA653:KRS3729,3,0),"")</f>
        <v/>
      </c>
      <c r="KRC671" t="str">
        <f>IFERROR(VLOOKUP(KRD671,'[3]Raw material  (3)'!KRB653:KRT3729,3,0),"")</f>
        <v/>
      </c>
      <c r="KRD671" t="str">
        <f>IFERROR(VLOOKUP(KRE671,'[3]Raw material  (3)'!KRC653:KRU3729,3,0),"")</f>
        <v/>
      </c>
      <c r="KRE671" t="str">
        <f>IFERROR(VLOOKUP(KRF671,'[3]Raw material  (3)'!KRD653:KRV3729,3,0),"")</f>
        <v/>
      </c>
      <c r="KRF671" t="str">
        <f>IFERROR(VLOOKUP(KRG671,'[3]Raw material  (3)'!KRE653:KRW3729,3,0),"")</f>
        <v/>
      </c>
      <c r="KRG671" t="str">
        <f>IFERROR(VLOOKUP(KRH671,'[3]Raw material  (3)'!KRF653:KRX3729,3,0),"")</f>
        <v/>
      </c>
      <c r="KRH671" t="str">
        <f>IFERROR(VLOOKUP(KRI671,'[3]Raw material  (3)'!KRG653:KRY3729,3,0),"")</f>
        <v/>
      </c>
      <c r="KRI671" t="str">
        <f>IFERROR(VLOOKUP(KRJ671,'[3]Raw material  (3)'!KRH653:KRZ3729,3,0),"")</f>
        <v/>
      </c>
      <c r="KRJ671" t="str">
        <f>IFERROR(VLOOKUP(KRK671,'[3]Raw material  (3)'!KRI653:KSA3729,3,0),"")</f>
        <v/>
      </c>
      <c r="KRK671" t="str">
        <f>IFERROR(VLOOKUP(KRL671,'[3]Raw material  (3)'!KRJ653:KSB3729,3,0),"")</f>
        <v/>
      </c>
      <c r="KRL671" t="str">
        <f>IFERROR(VLOOKUP(KRM671,'[3]Raw material  (3)'!KRK653:KSC3729,3,0),"")</f>
        <v/>
      </c>
      <c r="KRM671" t="str">
        <f>IFERROR(VLOOKUP(KRN671,'[3]Raw material  (3)'!KRL653:KSD3729,3,0),"")</f>
        <v/>
      </c>
      <c r="KRN671" t="str">
        <f>IFERROR(VLOOKUP(KRO671,'[3]Raw material  (3)'!KRM653:KSE3729,3,0),"")</f>
        <v/>
      </c>
      <c r="KRO671" t="str">
        <f>IFERROR(VLOOKUP(KRP671,'[3]Raw material  (3)'!KRN653:KSF3729,3,0),"")</f>
        <v/>
      </c>
      <c r="KRP671" t="str">
        <f>IFERROR(VLOOKUP(KRQ671,'[3]Raw material  (3)'!KRO653:KSG3729,3,0),"")</f>
        <v/>
      </c>
      <c r="KRQ671" t="str">
        <f>IFERROR(VLOOKUP(KRR671,'[3]Raw material  (3)'!KRP653:KSH3729,3,0),"")</f>
        <v/>
      </c>
      <c r="KRR671" t="str">
        <f>IFERROR(VLOOKUP(KRS671,'[3]Raw material  (3)'!KRQ653:KSI3729,3,0),"")</f>
        <v/>
      </c>
      <c r="KRS671" t="str">
        <f>IFERROR(VLOOKUP(KRT671,'[3]Raw material  (3)'!KRR653:KSJ3729,3,0),"")</f>
        <v/>
      </c>
      <c r="KRT671" t="str">
        <f>IFERROR(VLOOKUP(KRU671,'[3]Raw material  (3)'!KRS653:KSK3729,3,0),"")</f>
        <v/>
      </c>
      <c r="KRU671" t="str">
        <f>IFERROR(VLOOKUP(KRV671,'[3]Raw material  (3)'!KRT653:KSL3729,3,0),"")</f>
        <v/>
      </c>
      <c r="KRV671" t="str">
        <f>IFERROR(VLOOKUP(KRW671,'[3]Raw material  (3)'!KRU653:KSM3729,3,0),"")</f>
        <v/>
      </c>
      <c r="KRW671" t="str">
        <f>IFERROR(VLOOKUP(KRX671,'[3]Raw material  (3)'!KRV653:KSN3729,3,0),"")</f>
        <v/>
      </c>
      <c r="KRX671" t="str">
        <f>IFERROR(VLOOKUP(KRY671,'[3]Raw material  (3)'!KRW653:KSO3729,3,0),"")</f>
        <v/>
      </c>
      <c r="KRY671" t="str">
        <f>IFERROR(VLOOKUP(KRZ671,'[3]Raw material  (3)'!KRX653:KSP3729,3,0),"")</f>
        <v/>
      </c>
      <c r="KRZ671" t="str">
        <f>IFERROR(VLOOKUP(KSA671,'[3]Raw material  (3)'!KRY653:KSQ3729,3,0),"")</f>
        <v/>
      </c>
      <c r="KSA671" t="str">
        <f>IFERROR(VLOOKUP(KSB671,'[3]Raw material  (3)'!KRZ653:KSR3729,3,0),"")</f>
        <v/>
      </c>
      <c r="KSB671" t="str">
        <f>IFERROR(VLOOKUP(KSC671,'[3]Raw material  (3)'!KSA653:KSS3729,3,0),"")</f>
        <v/>
      </c>
      <c r="KSC671" t="str">
        <f>IFERROR(VLOOKUP(KSD671,'[3]Raw material  (3)'!KSB653:KST3729,3,0),"")</f>
        <v/>
      </c>
      <c r="KSD671" t="str">
        <f>IFERROR(VLOOKUP(KSE671,'[3]Raw material  (3)'!KSC653:KSU3729,3,0),"")</f>
        <v/>
      </c>
      <c r="KSE671" t="str">
        <f>IFERROR(VLOOKUP(KSF671,'[3]Raw material  (3)'!KSD653:KSV3729,3,0),"")</f>
        <v/>
      </c>
      <c r="KSF671" t="str">
        <f>IFERROR(VLOOKUP(KSG671,'[3]Raw material  (3)'!KSE653:KSW3729,3,0),"")</f>
        <v/>
      </c>
      <c r="KSG671" t="str">
        <f>IFERROR(VLOOKUP(KSH671,'[3]Raw material  (3)'!KSF653:KSX3729,3,0),"")</f>
        <v/>
      </c>
      <c r="KSH671" t="str">
        <f>IFERROR(VLOOKUP(KSI671,'[3]Raw material  (3)'!KSG653:KSY3729,3,0),"")</f>
        <v/>
      </c>
      <c r="KSI671" t="str">
        <f>IFERROR(VLOOKUP(KSJ671,'[3]Raw material  (3)'!KSH653:KSZ3729,3,0),"")</f>
        <v/>
      </c>
      <c r="KSJ671" t="str">
        <f>IFERROR(VLOOKUP(KSK671,'[3]Raw material  (3)'!KSI653:KTA3729,3,0),"")</f>
        <v/>
      </c>
      <c r="KSK671" t="str">
        <f>IFERROR(VLOOKUP(KSL671,'[3]Raw material  (3)'!KSJ653:KTB3729,3,0),"")</f>
        <v/>
      </c>
      <c r="KSL671" t="str">
        <f>IFERROR(VLOOKUP(KSM671,'[3]Raw material  (3)'!KSK653:KTC3729,3,0),"")</f>
        <v/>
      </c>
      <c r="KSM671" t="str">
        <f>IFERROR(VLOOKUP(KSN671,'[3]Raw material  (3)'!KSL653:KTD3729,3,0),"")</f>
        <v/>
      </c>
      <c r="KSN671" t="str">
        <f>IFERROR(VLOOKUP(KSO671,'[3]Raw material  (3)'!KSM653:KTE3729,3,0),"")</f>
        <v/>
      </c>
      <c r="KSO671" t="str">
        <f>IFERROR(VLOOKUP(KSP671,'[3]Raw material  (3)'!KSN653:KTF3729,3,0),"")</f>
        <v/>
      </c>
      <c r="KSP671" t="str">
        <f>IFERROR(VLOOKUP(KSQ671,'[3]Raw material  (3)'!KSO653:KTG3729,3,0),"")</f>
        <v/>
      </c>
      <c r="KSQ671" t="str">
        <f>IFERROR(VLOOKUP(KSR671,'[3]Raw material  (3)'!KSP653:KTH3729,3,0),"")</f>
        <v/>
      </c>
      <c r="KSR671" t="str">
        <f>IFERROR(VLOOKUP(KSS671,'[3]Raw material  (3)'!KSQ653:KTI3729,3,0),"")</f>
        <v/>
      </c>
      <c r="KSS671" t="str">
        <f>IFERROR(VLOOKUP(KST671,'[3]Raw material  (3)'!KSR653:KTJ3729,3,0),"")</f>
        <v/>
      </c>
      <c r="KST671" t="str">
        <f>IFERROR(VLOOKUP(KSU671,'[3]Raw material  (3)'!KSS653:KTK3729,3,0),"")</f>
        <v/>
      </c>
      <c r="KSU671" t="str">
        <f>IFERROR(VLOOKUP(KSV671,'[3]Raw material  (3)'!KST653:KTL3729,3,0),"")</f>
        <v/>
      </c>
      <c r="KSV671" t="str">
        <f>IFERROR(VLOOKUP(KSW671,'[3]Raw material  (3)'!KSU653:KTM3729,3,0),"")</f>
        <v/>
      </c>
      <c r="KSW671" t="str">
        <f>IFERROR(VLOOKUP(KSX671,'[3]Raw material  (3)'!KSV653:KTN3729,3,0),"")</f>
        <v/>
      </c>
      <c r="KSX671" t="str">
        <f>IFERROR(VLOOKUP(KSY671,'[3]Raw material  (3)'!KSW653:KTO3729,3,0),"")</f>
        <v/>
      </c>
      <c r="KSY671" t="str">
        <f>IFERROR(VLOOKUP(KSZ671,'[3]Raw material  (3)'!KSX653:KTP3729,3,0),"")</f>
        <v/>
      </c>
      <c r="KSZ671" t="str">
        <f>IFERROR(VLOOKUP(KTA671,'[3]Raw material  (3)'!KSY653:KTQ3729,3,0),"")</f>
        <v/>
      </c>
      <c r="KTA671" t="str">
        <f>IFERROR(VLOOKUP(KTB671,'[3]Raw material  (3)'!KSZ653:KTR3729,3,0),"")</f>
        <v/>
      </c>
      <c r="KTB671" t="str">
        <f>IFERROR(VLOOKUP(KTC671,'[3]Raw material  (3)'!KTA653:KTS3729,3,0),"")</f>
        <v/>
      </c>
      <c r="KTC671" t="str">
        <f>IFERROR(VLOOKUP(KTD671,'[3]Raw material  (3)'!KTB653:KTT3729,3,0),"")</f>
        <v/>
      </c>
      <c r="KTD671" t="str">
        <f>IFERROR(VLOOKUP(KTE671,'[3]Raw material  (3)'!KTC653:KTU3729,3,0),"")</f>
        <v/>
      </c>
      <c r="KTE671" t="str">
        <f>IFERROR(VLOOKUP(KTF671,'[3]Raw material  (3)'!KTD653:KTV3729,3,0),"")</f>
        <v/>
      </c>
      <c r="KTF671" t="str">
        <f>IFERROR(VLOOKUP(KTG671,'[3]Raw material  (3)'!KTE653:KTW3729,3,0),"")</f>
        <v/>
      </c>
      <c r="KTG671" t="str">
        <f>IFERROR(VLOOKUP(KTH671,'[3]Raw material  (3)'!KTF653:KTX3729,3,0),"")</f>
        <v/>
      </c>
      <c r="KTH671" t="str">
        <f>IFERROR(VLOOKUP(KTI671,'[3]Raw material  (3)'!KTG653:KTY3729,3,0),"")</f>
        <v/>
      </c>
      <c r="KTI671" t="str">
        <f>IFERROR(VLOOKUP(KTJ671,'[3]Raw material  (3)'!KTH653:KTZ3729,3,0),"")</f>
        <v/>
      </c>
      <c r="KTJ671" t="str">
        <f>IFERROR(VLOOKUP(KTK671,'[3]Raw material  (3)'!KTI653:KUA3729,3,0),"")</f>
        <v/>
      </c>
      <c r="KTK671" t="str">
        <f>IFERROR(VLOOKUP(KTL671,'[3]Raw material  (3)'!KTJ653:KUB3729,3,0),"")</f>
        <v/>
      </c>
      <c r="KTL671" t="str">
        <f>IFERROR(VLOOKUP(KTM671,'[3]Raw material  (3)'!KTK653:KUC3729,3,0),"")</f>
        <v/>
      </c>
      <c r="KTM671" t="str">
        <f>IFERROR(VLOOKUP(KTN671,'[3]Raw material  (3)'!KTL653:KUD3729,3,0),"")</f>
        <v/>
      </c>
      <c r="KTN671" t="str">
        <f>IFERROR(VLOOKUP(KTO671,'[3]Raw material  (3)'!KTM653:KUE3729,3,0),"")</f>
        <v/>
      </c>
      <c r="KTO671" t="str">
        <f>IFERROR(VLOOKUP(KTP671,'[3]Raw material  (3)'!KTN653:KUF3729,3,0),"")</f>
        <v/>
      </c>
      <c r="KTP671" t="str">
        <f>IFERROR(VLOOKUP(KTQ671,'[3]Raw material  (3)'!KTO653:KUG3729,3,0),"")</f>
        <v/>
      </c>
      <c r="KTQ671" t="str">
        <f>IFERROR(VLOOKUP(KTR671,'[3]Raw material  (3)'!KTP653:KUH3729,3,0),"")</f>
        <v/>
      </c>
      <c r="KTR671" t="str">
        <f>IFERROR(VLOOKUP(KTS671,'[3]Raw material  (3)'!KTQ653:KUI3729,3,0),"")</f>
        <v/>
      </c>
      <c r="KTS671" t="str">
        <f>IFERROR(VLOOKUP(KTT671,'[3]Raw material  (3)'!KTR653:KUJ3729,3,0),"")</f>
        <v/>
      </c>
      <c r="KTT671" t="str">
        <f>IFERROR(VLOOKUP(KTU671,'[3]Raw material  (3)'!KTS653:KUK3729,3,0),"")</f>
        <v/>
      </c>
      <c r="KTU671" t="str">
        <f>IFERROR(VLOOKUP(KTV671,'[3]Raw material  (3)'!KTT653:KUL3729,3,0),"")</f>
        <v/>
      </c>
      <c r="KTV671" t="str">
        <f>IFERROR(VLOOKUP(KTW671,'[3]Raw material  (3)'!KTU653:KUM3729,3,0),"")</f>
        <v/>
      </c>
      <c r="KTW671" t="str">
        <f>IFERROR(VLOOKUP(KTX671,'[3]Raw material  (3)'!KTV653:KUN3729,3,0),"")</f>
        <v/>
      </c>
      <c r="KTX671" t="str">
        <f>IFERROR(VLOOKUP(KTY671,'[3]Raw material  (3)'!KTW653:KUO3729,3,0),"")</f>
        <v/>
      </c>
      <c r="KTY671" t="str">
        <f>IFERROR(VLOOKUP(KTZ671,'[3]Raw material  (3)'!KTX653:KUP3729,3,0),"")</f>
        <v/>
      </c>
      <c r="KTZ671" t="str">
        <f>IFERROR(VLOOKUP(KUA671,'[3]Raw material  (3)'!KTY653:KUQ3729,3,0),"")</f>
        <v/>
      </c>
      <c r="KUA671" t="str">
        <f>IFERROR(VLOOKUP(KUB671,'[3]Raw material  (3)'!KTZ653:KUR3729,3,0),"")</f>
        <v/>
      </c>
      <c r="KUB671" t="str">
        <f>IFERROR(VLOOKUP(KUC671,'[3]Raw material  (3)'!KUA653:KUS3729,3,0),"")</f>
        <v/>
      </c>
      <c r="KUC671" t="str">
        <f>IFERROR(VLOOKUP(KUD671,'[3]Raw material  (3)'!KUB653:KUT3729,3,0),"")</f>
        <v/>
      </c>
      <c r="KUD671" t="str">
        <f>IFERROR(VLOOKUP(KUE671,'[3]Raw material  (3)'!KUC653:KUU3729,3,0),"")</f>
        <v/>
      </c>
      <c r="KUE671" t="str">
        <f>IFERROR(VLOOKUP(KUF671,'[3]Raw material  (3)'!KUD653:KUV3729,3,0),"")</f>
        <v/>
      </c>
      <c r="KUF671" t="str">
        <f>IFERROR(VLOOKUP(KUG671,'[3]Raw material  (3)'!KUE653:KUW3729,3,0),"")</f>
        <v/>
      </c>
      <c r="KUG671" t="str">
        <f>IFERROR(VLOOKUP(KUH671,'[3]Raw material  (3)'!KUF653:KUX3729,3,0),"")</f>
        <v/>
      </c>
      <c r="KUH671" t="str">
        <f>IFERROR(VLOOKUP(KUI671,'[3]Raw material  (3)'!KUG653:KUY3729,3,0),"")</f>
        <v/>
      </c>
      <c r="KUI671" t="str">
        <f>IFERROR(VLOOKUP(KUJ671,'[3]Raw material  (3)'!KUH653:KUZ3729,3,0),"")</f>
        <v/>
      </c>
      <c r="KUJ671" t="str">
        <f>IFERROR(VLOOKUP(KUK671,'[3]Raw material  (3)'!KUI653:KVA3729,3,0),"")</f>
        <v/>
      </c>
      <c r="KUK671" t="str">
        <f>IFERROR(VLOOKUP(KUL671,'[3]Raw material  (3)'!KUJ653:KVB3729,3,0),"")</f>
        <v/>
      </c>
      <c r="KUL671" t="str">
        <f>IFERROR(VLOOKUP(KUM671,'[3]Raw material  (3)'!KUK653:KVC3729,3,0),"")</f>
        <v/>
      </c>
      <c r="KUM671" t="str">
        <f>IFERROR(VLOOKUP(KUN671,'[3]Raw material  (3)'!KUL653:KVD3729,3,0),"")</f>
        <v/>
      </c>
      <c r="KUN671" t="str">
        <f>IFERROR(VLOOKUP(KUO671,'[3]Raw material  (3)'!KUM653:KVE3729,3,0),"")</f>
        <v/>
      </c>
      <c r="KUO671" t="str">
        <f>IFERROR(VLOOKUP(KUP671,'[3]Raw material  (3)'!KUN653:KVF3729,3,0),"")</f>
        <v/>
      </c>
      <c r="KUP671" t="str">
        <f>IFERROR(VLOOKUP(KUQ671,'[3]Raw material  (3)'!KUO653:KVG3729,3,0),"")</f>
        <v/>
      </c>
      <c r="KUQ671" t="str">
        <f>IFERROR(VLOOKUP(KUR671,'[3]Raw material  (3)'!KUP653:KVH3729,3,0),"")</f>
        <v/>
      </c>
      <c r="KUR671" t="str">
        <f>IFERROR(VLOOKUP(KUS671,'[3]Raw material  (3)'!KUQ653:KVI3729,3,0),"")</f>
        <v/>
      </c>
      <c r="KUS671" t="str">
        <f>IFERROR(VLOOKUP(KUT671,'[3]Raw material  (3)'!KUR653:KVJ3729,3,0),"")</f>
        <v/>
      </c>
      <c r="KUT671" t="str">
        <f>IFERROR(VLOOKUP(KUU671,'[3]Raw material  (3)'!KUS653:KVK3729,3,0),"")</f>
        <v/>
      </c>
      <c r="KUU671" t="str">
        <f>IFERROR(VLOOKUP(KUV671,'[3]Raw material  (3)'!KUT653:KVL3729,3,0),"")</f>
        <v/>
      </c>
      <c r="KUV671" t="str">
        <f>IFERROR(VLOOKUP(KUW671,'[3]Raw material  (3)'!KUU653:KVM3729,3,0),"")</f>
        <v/>
      </c>
      <c r="KUW671" t="str">
        <f>IFERROR(VLOOKUP(KUX671,'[3]Raw material  (3)'!KUV653:KVN3729,3,0),"")</f>
        <v/>
      </c>
      <c r="KUX671" t="str">
        <f>IFERROR(VLOOKUP(KUY671,'[3]Raw material  (3)'!KUW653:KVO3729,3,0),"")</f>
        <v/>
      </c>
      <c r="KUY671" t="str">
        <f>IFERROR(VLOOKUP(KUZ671,'[3]Raw material  (3)'!KUX653:KVP3729,3,0),"")</f>
        <v/>
      </c>
      <c r="KUZ671" t="str">
        <f>IFERROR(VLOOKUP(KVA671,'[3]Raw material  (3)'!KUY653:KVQ3729,3,0),"")</f>
        <v/>
      </c>
      <c r="KVA671" t="str">
        <f>IFERROR(VLOOKUP(KVB671,'[3]Raw material  (3)'!KUZ653:KVR3729,3,0),"")</f>
        <v/>
      </c>
      <c r="KVB671" t="str">
        <f>IFERROR(VLOOKUP(KVC671,'[3]Raw material  (3)'!KVA653:KVS3729,3,0),"")</f>
        <v/>
      </c>
      <c r="KVC671" t="str">
        <f>IFERROR(VLOOKUP(KVD671,'[3]Raw material  (3)'!KVB653:KVT3729,3,0),"")</f>
        <v/>
      </c>
      <c r="KVD671" t="str">
        <f>IFERROR(VLOOKUP(KVE671,'[3]Raw material  (3)'!KVC653:KVU3729,3,0),"")</f>
        <v/>
      </c>
      <c r="KVE671" t="str">
        <f>IFERROR(VLOOKUP(KVF671,'[3]Raw material  (3)'!KVD653:KVV3729,3,0),"")</f>
        <v/>
      </c>
      <c r="KVF671" t="str">
        <f>IFERROR(VLOOKUP(KVG671,'[3]Raw material  (3)'!KVE653:KVW3729,3,0),"")</f>
        <v/>
      </c>
      <c r="KVG671" t="str">
        <f>IFERROR(VLOOKUP(KVH671,'[3]Raw material  (3)'!KVF653:KVX3729,3,0),"")</f>
        <v/>
      </c>
      <c r="KVH671" t="str">
        <f>IFERROR(VLOOKUP(KVI671,'[3]Raw material  (3)'!KVG653:KVY3729,3,0),"")</f>
        <v/>
      </c>
      <c r="KVI671" t="str">
        <f>IFERROR(VLOOKUP(KVJ671,'[3]Raw material  (3)'!KVH653:KVZ3729,3,0),"")</f>
        <v/>
      </c>
      <c r="KVJ671" t="str">
        <f>IFERROR(VLOOKUP(KVK671,'[3]Raw material  (3)'!KVI653:KWA3729,3,0),"")</f>
        <v/>
      </c>
      <c r="KVK671" t="str">
        <f>IFERROR(VLOOKUP(KVL671,'[3]Raw material  (3)'!KVJ653:KWB3729,3,0),"")</f>
        <v/>
      </c>
      <c r="KVL671" t="str">
        <f>IFERROR(VLOOKUP(KVM671,'[3]Raw material  (3)'!KVK653:KWC3729,3,0),"")</f>
        <v/>
      </c>
      <c r="KVM671" t="str">
        <f>IFERROR(VLOOKUP(KVN671,'[3]Raw material  (3)'!KVL653:KWD3729,3,0),"")</f>
        <v/>
      </c>
      <c r="KVN671" t="str">
        <f>IFERROR(VLOOKUP(KVO671,'[3]Raw material  (3)'!KVM653:KWE3729,3,0),"")</f>
        <v/>
      </c>
      <c r="KVO671" t="str">
        <f>IFERROR(VLOOKUP(KVP671,'[3]Raw material  (3)'!KVN653:KWF3729,3,0),"")</f>
        <v/>
      </c>
      <c r="KVP671" t="str">
        <f>IFERROR(VLOOKUP(KVQ671,'[3]Raw material  (3)'!KVO653:KWG3729,3,0),"")</f>
        <v/>
      </c>
      <c r="KVQ671" t="str">
        <f>IFERROR(VLOOKUP(KVR671,'[3]Raw material  (3)'!KVP653:KWH3729,3,0),"")</f>
        <v/>
      </c>
      <c r="KVR671" t="str">
        <f>IFERROR(VLOOKUP(KVS671,'[3]Raw material  (3)'!KVQ653:KWI3729,3,0),"")</f>
        <v/>
      </c>
      <c r="KVS671" t="str">
        <f>IFERROR(VLOOKUP(KVT671,'[3]Raw material  (3)'!KVR653:KWJ3729,3,0),"")</f>
        <v/>
      </c>
      <c r="KVT671" t="str">
        <f>IFERROR(VLOOKUP(KVU671,'[3]Raw material  (3)'!KVS653:KWK3729,3,0),"")</f>
        <v/>
      </c>
      <c r="KVU671" t="str">
        <f>IFERROR(VLOOKUP(KVV671,'[3]Raw material  (3)'!KVT653:KWL3729,3,0),"")</f>
        <v/>
      </c>
      <c r="KVV671" t="str">
        <f>IFERROR(VLOOKUP(KVW671,'[3]Raw material  (3)'!KVU653:KWM3729,3,0),"")</f>
        <v/>
      </c>
      <c r="KVW671" t="str">
        <f>IFERROR(VLOOKUP(KVX671,'[3]Raw material  (3)'!KVV653:KWN3729,3,0),"")</f>
        <v/>
      </c>
      <c r="KVX671" t="str">
        <f>IFERROR(VLOOKUP(KVY671,'[3]Raw material  (3)'!KVW653:KWO3729,3,0),"")</f>
        <v/>
      </c>
      <c r="KVY671" t="str">
        <f>IFERROR(VLOOKUP(KVZ671,'[3]Raw material  (3)'!KVX653:KWP3729,3,0),"")</f>
        <v/>
      </c>
      <c r="KVZ671" t="str">
        <f>IFERROR(VLOOKUP(KWA671,'[3]Raw material  (3)'!KVY653:KWQ3729,3,0),"")</f>
        <v/>
      </c>
      <c r="KWA671" t="str">
        <f>IFERROR(VLOOKUP(KWB671,'[3]Raw material  (3)'!KVZ653:KWR3729,3,0),"")</f>
        <v/>
      </c>
      <c r="KWB671" t="str">
        <f>IFERROR(VLOOKUP(KWC671,'[3]Raw material  (3)'!KWA653:KWS3729,3,0),"")</f>
        <v/>
      </c>
      <c r="KWC671" t="str">
        <f>IFERROR(VLOOKUP(KWD671,'[3]Raw material  (3)'!KWB653:KWT3729,3,0),"")</f>
        <v/>
      </c>
      <c r="KWD671" t="str">
        <f>IFERROR(VLOOKUP(KWE671,'[3]Raw material  (3)'!KWC653:KWU3729,3,0),"")</f>
        <v/>
      </c>
      <c r="KWE671" t="str">
        <f>IFERROR(VLOOKUP(KWF671,'[3]Raw material  (3)'!KWD653:KWV3729,3,0),"")</f>
        <v/>
      </c>
      <c r="KWF671" t="str">
        <f>IFERROR(VLOOKUP(KWG671,'[3]Raw material  (3)'!KWE653:KWW3729,3,0),"")</f>
        <v/>
      </c>
      <c r="KWG671" t="str">
        <f>IFERROR(VLOOKUP(KWH671,'[3]Raw material  (3)'!KWF653:KWX3729,3,0),"")</f>
        <v/>
      </c>
      <c r="KWH671" t="str">
        <f>IFERROR(VLOOKUP(KWI671,'[3]Raw material  (3)'!KWG653:KWY3729,3,0),"")</f>
        <v/>
      </c>
      <c r="KWI671" t="str">
        <f>IFERROR(VLOOKUP(KWJ671,'[3]Raw material  (3)'!KWH653:KWZ3729,3,0),"")</f>
        <v/>
      </c>
      <c r="KWJ671" t="str">
        <f>IFERROR(VLOOKUP(KWK671,'[3]Raw material  (3)'!KWI653:KXA3729,3,0),"")</f>
        <v/>
      </c>
      <c r="KWK671" t="str">
        <f>IFERROR(VLOOKUP(KWL671,'[3]Raw material  (3)'!KWJ653:KXB3729,3,0),"")</f>
        <v/>
      </c>
      <c r="KWL671" t="str">
        <f>IFERROR(VLOOKUP(KWM671,'[3]Raw material  (3)'!KWK653:KXC3729,3,0),"")</f>
        <v/>
      </c>
      <c r="KWM671" t="str">
        <f>IFERROR(VLOOKUP(KWN671,'[3]Raw material  (3)'!KWL653:KXD3729,3,0),"")</f>
        <v/>
      </c>
      <c r="KWN671" t="str">
        <f>IFERROR(VLOOKUP(KWO671,'[3]Raw material  (3)'!KWM653:KXE3729,3,0),"")</f>
        <v/>
      </c>
      <c r="KWO671" t="str">
        <f>IFERROR(VLOOKUP(KWP671,'[3]Raw material  (3)'!KWN653:KXF3729,3,0),"")</f>
        <v/>
      </c>
      <c r="KWP671" t="str">
        <f>IFERROR(VLOOKUP(KWQ671,'[3]Raw material  (3)'!KWO653:KXG3729,3,0),"")</f>
        <v/>
      </c>
      <c r="KWQ671" t="str">
        <f>IFERROR(VLOOKUP(KWR671,'[3]Raw material  (3)'!KWP653:KXH3729,3,0),"")</f>
        <v/>
      </c>
      <c r="KWR671" t="str">
        <f>IFERROR(VLOOKUP(KWS671,'[3]Raw material  (3)'!KWQ653:KXI3729,3,0),"")</f>
        <v/>
      </c>
      <c r="KWS671" t="str">
        <f>IFERROR(VLOOKUP(KWT671,'[3]Raw material  (3)'!KWR653:KXJ3729,3,0),"")</f>
        <v/>
      </c>
      <c r="KWT671" t="str">
        <f>IFERROR(VLOOKUP(KWU671,'[3]Raw material  (3)'!KWS653:KXK3729,3,0),"")</f>
        <v/>
      </c>
      <c r="KWU671" t="str">
        <f>IFERROR(VLOOKUP(KWV671,'[3]Raw material  (3)'!KWT653:KXL3729,3,0),"")</f>
        <v/>
      </c>
      <c r="KWV671" t="str">
        <f>IFERROR(VLOOKUP(KWW671,'[3]Raw material  (3)'!KWU653:KXM3729,3,0),"")</f>
        <v/>
      </c>
      <c r="KWW671" t="str">
        <f>IFERROR(VLOOKUP(KWX671,'[3]Raw material  (3)'!KWV653:KXN3729,3,0),"")</f>
        <v/>
      </c>
      <c r="KWX671" t="str">
        <f>IFERROR(VLOOKUP(KWY671,'[3]Raw material  (3)'!KWW653:KXO3729,3,0),"")</f>
        <v/>
      </c>
      <c r="KWY671" t="str">
        <f>IFERROR(VLOOKUP(KWZ671,'[3]Raw material  (3)'!KWX653:KXP3729,3,0),"")</f>
        <v/>
      </c>
      <c r="KWZ671" t="str">
        <f>IFERROR(VLOOKUP(KXA671,'[3]Raw material  (3)'!KWY653:KXQ3729,3,0),"")</f>
        <v/>
      </c>
      <c r="KXA671" t="str">
        <f>IFERROR(VLOOKUP(KXB671,'[3]Raw material  (3)'!KWZ653:KXR3729,3,0),"")</f>
        <v/>
      </c>
      <c r="KXB671" t="str">
        <f>IFERROR(VLOOKUP(KXC671,'[3]Raw material  (3)'!KXA653:KXS3729,3,0),"")</f>
        <v/>
      </c>
      <c r="KXC671" t="str">
        <f>IFERROR(VLOOKUP(KXD671,'[3]Raw material  (3)'!KXB653:KXT3729,3,0),"")</f>
        <v/>
      </c>
      <c r="KXD671" t="str">
        <f>IFERROR(VLOOKUP(KXE671,'[3]Raw material  (3)'!KXC653:KXU3729,3,0),"")</f>
        <v/>
      </c>
      <c r="KXE671" t="str">
        <f>IFERROR(VLOOKUP(KXF671,'[3]Raw material  (3)'!KXD653:KXV3729,3,0),"")</f>
        <v/>
      </c>
      <c r="KXF671" t="str">
        <f>IFERROR(VLOOKUP(KXG671,'[3]Raw material  (3)'!KXE653:KXW3729,3,0),"")</f>
        <v/>
      </c>
      <c r="KXG671" t="str">
        <f>IFERROR(VLOOKUP(KXH671,'[3]Raw material  (3)'!KXF653:KXX3729,3,0),"")</f>
        <v/>
      </c>
      <c r="KXH671" t="str">
        <f>IFERROR(VLOOKUP(KXI671,'[3]Raw material  (3)'!KXG653:KXY3729,3,0),"")</f>
        <v/>
      </c>
      <c r="KXI671" t="str">
        <f>IFERROR(VLOOKUP(KXJ671,'[3]Raw material  (3)'!KXH653:KXZ3729,3,0),"")</f>
        <v/>
      </c>
      <c r="KXJ671" t="str">
        <f>IFERROR(VLOOKUP(KXK671,'[3]Raw material  (3)'!KXI653:KYA3729,3,0),"")</f>
        <v/>
      </c>
      <c r="KXK671" t="str">
        <f>IFERROR(VLOOKUP(KXL671,'[3]Raw material  (3)'!KXJ653:KYB3729,3,0),"")</f>
        <v/>
      </c>
      <c r="KXL671" t="str">
        <f>IFERROR(VLOOKUP(KXM671,'[3]Raw material  (3)'!KXK653:KYC3729,3,0),"")</f>
        <v/>
      </c>
      <c r="KXM671" t="str">
        <f>IFERROR(VLOOKUP(KXN671,'[3]Raw material  (3)'!KXL653:KYD3729,3,0),"")</f>
        <v/>
      </c>
      <c r="KXN671" t="str">
        <f>IFERROR(VLOOKUP(KXO671,'[3]Raw material  (3)'!KXM653:KYE3729,3,0),"")</f>
        <v/>
      </c>
      <c r="KXO671" t="str">
        <f>IFERROR(VLOOKUP(KXP671,'[3]Raw material  (3)'!KXN653:KYF3729,3,0),"")</f>
        <v/>
      </c>
      <c r="KXP671" t="str">
        <f>IFERROR(VLOOKUP(KXQ671,'[3]Raw material  (3)'!KXO653:KYG3729,3,0),"")</f>
        <v/>
      </c>
      <c r="KXQ671" t="str">
        <f>IFERROR(VLOOKUP(KXR671,'[3]Raw material  (3)'!KXP653:KYH3729,3,0),"")</f>
        <v/>
      </c>
      <c r="KXR671" t="str">
        <f>IFERROR(VLOOKUP(KXS671,'[3]Raw material  (3)'!KXQ653:KYI3729,3,0),"")</f>
        <v/>
      </c>
      <c r="KXS671" t="str">
        <f>IFERROR(VLOOKUP(KXT671,'[3]Raw material  (3)'!KXR653:KYJ3729,3,0),"")</f>
        <v/>
      </c>
      <c r="KXT671" t="str">
        <f>IFERROR(VLOOKUP(KXU671,'[3]Raw material  (3)'!KXS653:KYK3729,3,0),"")</f>
        <v/>
      </c>
      <c r="KXU671" t="str">
        <f>IFERROR(VLOOKUP(KXV671,'[3]Raw material  (3)'!KXT653:KYL3729,3,0),"")</f>
        <v/>
      </c>
      <c r="KXV671" t="str">
        <f>IFERROR(VLOOKUP(KXW671,'[3]Raw material  (3)'!KXU653:KYM3729,3,0),"")</f>
        <v/>
      </c>
      <c r="KXW671" t="str">
        <f>IFERROR(VLOOKUP(KXX671,'[3]Raw material  (3)'!KXV653:KYN3729,3,0),"")</f>
        <v/>
      </c>
      <c r="KXX671" t="str">
        <f>IFERROR(VLOOKUP(KXY671,'[3]Raw material  (3)'!KXW653:KYO3729,3,0),"")</f>
        <v/>
      </c>
      <c r="KXY671" t="str">
        <f>IFERROR(VLOOKUP(KXZ671,'[3]Raw material  (3)'!KXX653:KYP3729,3,0),"")</f>
        <v/>
      </c>
      <c r="KXZ671" t="str">
        <f>IFERROR(VLOOKUP(KYA671,'[3]Raw material  (3)'!KXY653:KYQ3729,3,0),"")</f>
        <v/>
      </c>
      <c r="KYA671" t="str">
        <f>IFERROR(VLOOKUP(KYB671,'[3]Raw material  (3)'!KXZ653:KYR3729,3,0),"")</f>
        <v/>
      </c>
      <c r="KYB671" t="str">
        <f>IFERROR(VLOOKUP(KYC671,'[3]Raw material  (3)'!KYA653:KYS3729,3,0),"")</f>
        <v/>
      </c>
      <c r="KYC671" t="str">
        <f>IFERROR(VLOOKUP(KYD671,'[3]Raw material  (3)'!KYB653:KYT3729,3,0),"")</f>
        <v/>
      </c>
      <c r="KYD671" t="str">
        <f>IFERROR(VLOOKUP(KYE671,'[3]Raw material  (3)'!KYC653:KYU3729,3,0),"")</f>
        <v/>
      </c>
      <c r="KYE671" t="str">
        <f>IFERROR(VLOOKUP(KYF671,'[3]Raw material  (3)'!KYD653:KYV3729,3,0),"")</f>
        <v/>
      </c>
      <c r="KYF671" t="str">
        <f>IFERROR(VLOOKUP(KYG671,'[3]Raw material  (3)'!KYE653:KYW3729,3,0),"")</f>
        <v/>
      </c>
      <c r="KYG671" t="str">
        <f>IFERROR(VLOOKUP(KYH671,'[3]Raw material  (3)'!KYF653:KYX3729,3,0),"")</f>
        <v/>
      </c>
      <c r="KYH671" t="str">
        <f>IFERROR(VLOOKUP(KYI671,'[3]Raw material  (3)'!KYG653:KYY3729,3,0),"")</f>
        <v/>
      </c>
      <c r="KYI671" t="str">
        <f>IFERROR(VLOOKUP(KYJ671,'[3]Raw material  (3)'!KYH653:KYZ3729,3,0),"")</f>
        <v/>
      </c>
      <c r="KYJ671" t="str">
        <f>IFERROR(VLOOKUP(KYK671,'[3]Raw material  (3)'!KYI653:KZA3729,3,0),"")</f>
        <v/>
      </c>
      <c r="KYK671" t="str">
        <f>IFERROR(VLOOKUP(KYL671,'[3]Raw material  (3)'!KYJ653:KZB3729,3,0),"")</f>
        <v/>
      </c>
      <c r="KYL671" t="str">
        <f>IFERROR(VLOOKUP(KYM671,'[3]Raw material  (3)'!KYK653:KZC3729,3,0),"")</f>
        <v/>
      </c>
      <c r="KYM671" t="str">
        <f>IFERROR(VLOOKUP(KYN671,'[3]Raw material  (3)'!KYL653:KZD3729,3,0),"")</f>
        <v/>
      </c>
      <c r="KYN671" t="str">
        <f>IFERROR(VLOOKUP(KYO671,'[3]Raw material  (3)'!KYM653:KZE3729,3,0),"")</f>
        <v/>
      </c>
      <c r="KYO671" t="str">
        <f>IFERROR(VLOOKUP(KYP671,'[3]Raw material  (3)'!KYN653:KZF3729,3,0),"")</f>
        <v/>
      </c>
      <c r="KYP671" t="str">
        <f>IFERROR(VLOOKUP(KYQ671,'[3]Raw material  (3)'!KYO653:KZG3729,3,0),"")</f>
        <v/>
      </c>
      <c r="KYQ671" t="str">
        <f>IFERROR(VLOOKUP(KYR671,'[3]Raw material  (3)'!KYP653:KZH3729,3,0),"")</f>
        <v/>
      </c>
      <c r="KYR671" t="str">
        <f>IFERROR(VLOOKUP(KYS671,'[3]Raw material  (3)'!KYQ653:KZI3729,3,0),"")</f>
        <v/>
      </c>
      <c r="KYS671" t="str">
        <f>IFERROR(VLOOKUP(KYT671,'[3]Raw material  (3)'!KYR653:KZJ3729,3,0),"")</f>
        <v/>
      </c>
      <c r="KYT671" t="str">
        <f>IFERROR(VLOOKUP(KYU671,'[3]Raw material  (3)'!KYS653:KZK3729,3,0),"")</f>
        <v/>
      </c>
      <c r="KYU671" t="str">
        <f>IFERROR(VLOOKUP(KYV671,'[3]Raw material  (3)'!KYT653:KZL3729,3,0),"")</f>
        <v/>
      </c>
      <c r="KYV671" t="str">
        <f>IFERROR(VLOOKUP(KYW671,'[3]Raw material  (3)'!KYU653:KZM3729,3,0),"")</f>
        <v/>
      </c>
      <c r="KYW671" t="str">
        <f>IFERROR(VLOOKUP(KYX671,'[3]Raw material  (3)'!KYV653:KZN3729,3,0),"")</f>
        <v/>
      </c>
      <c r="KYX671" t="str">
        <f>IFERROR(VLOOKUP(KYY671,'[3]Raw material  (3)'!KYW653:KZO3729,3,0),"")</f>
        <v/>
      </c>
      <c r="KYY671" t="str">
        <f>IFERROR(VLOOKUP(KYZ671,'[3]Raw material  (3)'!KYX653:KZP3729,3,0),"")</f>
        <v/>
      </c>
      <c r="KYZ671" t="str">
        <f>IFERROR(VLOOKUP(KZA671,'[3]Raw material  (3)'!KYY653:KZQ3729,3,0),"")</f>
        <v/>
      </c>
      <c r="KZA671" t="str">
        <f>IFERROR(VLOOKUP(KZB671,'[3]Raw material  (3)'!KYZ653:KZR3729,3,0),"")</f>
        <v/>
      </c>
      <c r="KZB671" t="str">
        <f>IFERROR(VLOOKUP(KZC671,'[3]Raw material  (3)'!KZA653:KZS3729,3,0),"")</f>
        <v/>
      </c>
      <c r="KZC671" t="str">
        <f>IFERROR(VLOOKUP(KZD671,'[3]Raw material  (3)'!KZB653:KZT3729,3,0),"")</f>
        <v/>
      </c>
      <c r="KZD671" t="str">
        <f>IFERROR(VLOOKUP(KZE671,'[3]Raw material  (3)'!KZC653:KZU3729,3,0),"")</f>
        <v/>
      </c>
      <c r="KZE671" t="str">
        <f>IFERROR(VLOOKUP(KZF671,'[3]Raw material  (3)'!KZD653:KZV3729,3,0),"")</f>
        <v/>
      </c>
      <c r="KZF671" t="str">
        <f>IFERROR(VLOOKUP(KZG671,'[3]Raw material  (3)'!KZE653:KZW3729,3,0),"")</f>
        <v/>
      </c>
      <c r="KZG671" t="str">
        <f>IFERROR(VLOOKUP(KZH671,'[3]Raw material  (3)'!KZF653:KZX3729,3,0),"")</f>
        <v/>
      </c>
      <c r="KZH671" t="str">
        <f>IFERROR(VLOOKUP(KZI671,'[3]Raw material  (3)'!KZG653:KZY3729,3,0),"")</f>
        <v/>
      </c>
      <c r="KZI671" t="str">
        <f>IFERROR(VLOOKUP(KZJ671,'[3]Raw material  (3)'!KZH653:KZZ3729,3,0),"")</f>
        <v/>
      </c>
      <c r="KZJ671" t="str">
        <f>IFERROR(VLOOKUP(KZK671,'[3]Raw material  (3)'!KZI653:LAA3729,3,0),"")</f>
        <v/>
      </c>
      <c r="KZK671" t="str">
        <f>IFERROR(VLOOKUP(KZL671,'[3]Raw material  (3)'!KZJ653:LAB3729,3,0),"")</f>
        <v/>
      </c>
      <c r="KZL671" t="str">
        <f>IFERROR(VLOOKUP(KZM671,'[3]Raw material  (3)'!KZK653:LAC3729,3,0),"")</f>
        <v/>
      </c>
      <c r="KZM671" t="str">
        <f>IFERROR(VLOOKUP(KZN671,'[3]Raw material  (3)'!KZL653:LAD3729,3,0),"")</f>
        <v/>
      </c>
      <c r="KZN671" t="str">
        <f>IFERROR(VLOOKUP(KZO671,'[3]Raw material  (3)'!KZM653:LAE3729,3,0),"")</f>
        <v/>
      </c>
      <c r="KZO671" t="str">
        <f>IFERROR(VLOOKUP(KZP671,'[3]Raw material  (3)'!KZN653:LAF3729,3,0),"")</f>
        <v/>
      </c>
      <c r="KZP671" t="str">
        <f>IFERROR(VLOOKUP(KZQ671,'[3]Raw material  (3)'!KZO653:LAG3729,3,0),"")</f>
        <v/>
      </c>
      <c r="KZQ671" t="str">
        <f>IFERROR(VLOOKUP(KZR671,'[3]Raw material  (3)'!KZP653:LAH3729,3,0),"")</f>
        <v/>
      </c>
      <c r="KZR671" t="str">
        <f>IFERROR(VLOOKUP(KZS671,'[3]Raw material  (3)'!KZQ653:LAI3729,3,0),"")</f>
        <v/>
      </c>
      <c r="KZS671" t="str">
        <f>IFERROR(VLOOKUP(KZT671,'[3]Raw material  (3)'!KZR653:LAJ3729,3,0),"")</f>
        <v/>
      </c>
      <c r="KZT671" t="str">
        <f>IFERROR(VLOOKUP(KZU671,'[3]Raw material  (3)'!KZS653:LAK3729,3,0),"")</f>
        <v/>
      </c>
      <c r="KZU671" t="str">
        <f>IFERROR(VLOOKUP(KZV671,'[3]Raw material  (3)'!KZT653:LAL3729,3,0),"")</f>
        <v/>
      </c>
      <c r="KZV671" t="str">
        <f>IFERROR(VLOOKUP(KZW671,'[3]Raw material  (3)'!KZU653:LAM3729,3,0),"")</f>
        <v/>
      </c>
      <c r="KZW671" t="str">
        <f>IFERROR(VLOOKUP(KZX671,'[3]Raw material  (3)'!KZV653:LAN3729,3,0),"")</f>
        <v/>
      </c>
      <c r="KZX671" t="str">
        <f>IFERROR(VLOOKUP(KZY671,'[3]Raw material  (3)'!KZW653:LAO3729,3,0),"")</f>
        <v/>
      </c>
      <c r="KZY671" t="str">
        <f>IFERROR(VLOOKUP(KZZ671,'[3]Raw material  (3)'!KZX653:LAP3729,3,0),"")</f>
        <v/>
      </c>
      <c r="KZZ671" t="str">
        <f>IFERROR(VLOOKUP(LAA671,'[3]Raw material  (3)'!KZY653:LAQ3729,3,0),"")</f>
        <v/>
      </c>
      <c r="LAA671" t="str">
        <f>IFERROR(VLOOKUP(LAB671,'[3]Raw material  (3)'!KZZ653:LAR3729,3,0),"")</f>
        <v/>
      </c>
      <c r="LAB671" t="str">
        <f>IFERROR(VLOOKUP(LAC671,'[3]Raw material  (3)'!LAA653:LAS3729,3,0),"")</f>
        <v/>
      </c>
      <c r="LAC671" t="str">
        <f>IFERROR(VLOOKUP(LAD671,'[3]Raw material  (3)'!LAB653:LAT3729,3,0),"")</f>
        <v/>
      </c>
      <c r="LAD671" t="str">
        <f>IFERROR(VLOOKUP(LAE671,'[3]Raw material  (3)'!LAC653:LAU3729,3,0),"")</f>
        <v/>
      </c>
      <c r="LAE671" t="str">
        <f>IFERROR(VLOOKUP(LAF671,'[3]Raw material  (3)'!LAD653:LAV3729,3,0),"")</f>
        <v/>
      </c>
      <c r="LAF671" t="str">
        <f>IFERROR(VLOOKUP(LAG671,'[3]Raw material  (3)'!LAE653:LAW3729,3,0),"")</f>
        <v/>
      </c>
      <c r="LAG671" t="str">
        <f>IFERROR(VLOOKUP(LAH671,'[3]Raw material  (3)'!LAF653:LAX3729,3,0),"")</f>
        <v/>
      </c>
      <c r="LAH671" t="str">
        <f>IFERROR(VLOOKUP(LAI671,'[3]Raw material  (3)'!LAG653:LAY3729,3,0),"")</f>
        <v/>
      </c>
      <c r="LAI671" t="str">
        <f>IFERROR(VLOOKUP(LAJ671,'[3]Raw material  (3)'!LAH653:LAZ3729,3,0),"")</f>
        <v/>
      </c>
      <c r="LAJ671" t="str">
        <f>IFERROR(VLOOKUP(LAK671,'[3]Raw material  (3)'!LAI653:LBA3729,3,0),"")</f>
        <v/>
      </c>
      <c r="LAK671" t="str">
        <f>IFERROR(VLOOKUP(LAL671,'[3]Raw material  (3)'!LAJ653:LBB3729,3,0),"")</f>
        <v/>
      </c>
      <c r="LAL671" t="str">
        <f>IFERROR(VLOOKUP(LAM671,'[3]Raw material  (3)'!LAK653:LBC3729,3,0),"")</f>
        <v/>
      </c>
      <c r="LAM671" t="str">
        <f>IFERROR(VLOOKUP(LAN671,'[3]Raw material  (3)'!LAL653:LBD3729,3,0),"")</f>
        <v/>
      </c>
      <c r="LAN671" t="str">
        <f>IFERROR(VLOOKUP(LAO671,'[3]Raw material  (3)'!LAM653:LBE3729,3,0),"")</f>
        <v/>
      </c>
      <c r="LAO671" t="str">
        <f>IFERROR(VLOOKUP(LAP671,'[3]Raw material  (3)'!LAN653:LBF3729,3,0),"")</f>
        <v/>
      </c>
      <c r="LAP671" t="str">
        <f>IFERROR(VLOOKUP(LAQ671,'[3]Raw material  (3)'!LAO653:LBG3729,3,0),"")</f>
        <v/>
      </c>
      <c r="LAQ671" t="str">
        <f>IFERROR(VLOOKUP(LAR671,'[3]Raw material  (3)'!LAP653:LBH3729,3,0),"")</f>
        <v/>
      </c>
      <c r="LAR671" t="str">
        <f>IFERROR(VLOOKUP(LAS671,'[3]Raw material  (3)'!LAQ653:LBI3729,3,0),"")</f>
        <v/>
      </c>
      <c r="LAS671" t="str">
        <f>IFERROR(VLOOKUP(LAT671,'[3]Raw material  (3)'!LAR653:LBJ3729,3,0),"")</f>
        <v/>
      </c>
      <c r="LAT671" t="str">
        <f>IFERROR(VLOOKUP(LAU671,'[3]Raw material  (3)'!LAS653:LBK3729,3,0),"")</f>
        <v/>
      </c>
      <c r="LAU671" t="str">
        <f>IFERROR(VLOOKUP(LAV671,'[3]Raw material  (3)'!LAT653:LBL3729,3,0),"")</f>
        <v/>
      </c>
      <c r="LAV671" t="str">
        <f>IFERROR(VLOOKUP(LAW671,'[3]Raw material  (3)'!LAU653:LBM3729,3,0),"")</f>
        <v/>
      </c>
      <c r="LAW671" t="str">
        <f>IFERROR(VLOOKUP(LAX671,'[3]Raw material  (3)'!LAV653:LBN3729,3,0),"")</f>
        <v/>
      </c>
      <c r="LAX671" t="str">
        <f>IFERROR(VLOOKUP(LAY671,'[3]Raw material  (3)'!LAW653:LBO3729,3,0),"")</f>
        <v/>
      </c>
      <c r="LAY671" t="str">
        <f>IFERROR(VLOOKUP(LAZ671,'[3]Raw material  (3)'!LAX653:LBP3729,3,0),"")</f>
        <v/>
      </c>
      <c r="LAZ671" t="str">
        <f>IFERROR(VLOOKUP(LBA671,'[3]Raw material  (3)'!LAY653:LBQ3729,3,0),"")</f>
        <v/>
      </c>
      <c r="LBA671" t="str">
        <f>IFERROR(VLOOKUP(LBB671,'[3]Raw material  (3)'!LAZ653:LBR3729,3,0),"")</f>
        <v/>
      </c>
      <c r="LBB671" t="str">
        <f>IFERROR(VLOOKUP(LBC671,'[3]Raw material  (3)'!LBA653:LBS3729,3,0),"")</f>
        <v/>
      </c>
      <c r="LBC671" t="str">
        <f>IFERROR(VLOOKUP(LBD671,'[3]Raw material  (3)'!LBB653:LBT3729,3,0),"")</f>
        <v/>
      </c>
      <c r="LBD671" t="str">
        <f>IFERROR(VLOOKUP(LBE671,'[3]Raw material  (3)'!LBC653:LBU3729,3,0),"")</f>
        <v/>
      </c>
      <c r="LBE671" t="str">
        <f>IFERROR(VLOOKUP(LBF671,'[3]Raw material  (3)'!LBD653:LBV3729,3,0),"")</f>
        <v/>
      </c>
      <c r="LBF671" t="str">
        <f>IFERROR(VLOOKUP(LBG671,'[3]Raw material  (3)'!LBE653:LBW3729,3,0),"")</f>
        <v/>
      </c>
      <c r="LBG671" t="str">
        <f>IFERROR(VLOOKUP(LBH671,'[3]Raw material  (3)'!LBF653:LBX3729,3,0),"")</f>
        <v/>
      </c>
      <c r="LBH671" t="str">
        <f>IFERROR(VLOOKUP(LBI671,'[3]Raw material  (3)'!LBG653:LBY3729,3,0),"")</f>
        <v/>
      </c>
      <c r="LBI671" t="str">
        <f>IFERROR(VLOOKUP(LBJ671,'[3]Raw material  (3)'!LBH653:LBZ3729,3,0),"")</f>
        <v/>
      </c>
      <c r="LBJ671" t="str">
        <f>IFERROR(VLOOKUP(LBK671,'[3]Raw material  (3)'!LBI653:LCA3729,3,0),"")</f>
        <v/>
      </c>
      <c r="LBK671" t="str">
        <f>IFERROR(VLOOKUP(LBL671,'[3]Raw material  (3)'!LBJ653:LCB3729,3,0),"")</f>
        <v/>
      </c>
      <c r="LBL671" t="str">
        <f>IFERROR(VLOOKUP(LBM671,'[3]Raw material  (3)'!LBK653:LCC3729,3,0),"")</f>
        <v/>
      </c>
      <c r="LBM671" t="str">
        <f>IFERROR(VLOOKUP(LBN671,'[3]Raw material  (3)'!LBL653:LCD3729,3,0),"")</f>
        <v/>
      </c>
      <c r="LBN671" t="str">
        <f>IFERROR(VLOOKUP(LBO671,'[3]Raw material  (3)'!LBM653:LCE3729,3,0),"")</f>
        <v/>
      </c>
      <c r="LBO671" t="str">
        <f>IFERROR(VLOOKUP(LBP671,'[3]Raw material  (3)'!LBN653:LCF3729,3,0),"")</f>
        <v/>
      </c>
      <c r="LBP671" t="str">
        <f>IFERROR(VLOOKUP(LBQ671,'[3]Raw material  (3)'!LBO653:LCG3729,3,0),"")</f>
        <v/>
      </c>
      <c r="LBQ671" t="str">
        <f>IFERROR(VLOOKUP(LBR671,'[3]Raw material  (3)'!LBP653:LCH3729,3,0),"")</f>
        <v/>
      </c>
      <c r="LBR671" t="str">
        <f>IFERROR(VLOOKUP(LBS671,'[3]Raw material  (3)'!LBQ653:LCI3729,3,0),"")</f>
        <v/>
      </c>
      <c r="LBS671" t="str">
        <f>IFERROR(VLOOKUP(LBT671,'[3]Raw material  (3)'!LBR653:LCJ3729,3,0),"")</f>
        <v/>
      </c>
      <c r="LBT671" t="str">
        <f>IFERROR(VLOOKUP(LBU671,'[3]Raw material  (3)'!LBS653:LCK3729,3,0),"")</f>
        <v/>
      </c>
      <c r="LBU671" t="str">
        <f>IFERROR(VLOOKUP(LBV671,'[3]Raw material  (3)'!LBT653:LCL3729,3,0),"")</f>
        <v/>
      </c>
      <c r="LBV671" t="str">
        <f>IFERROR(VLOOKUP(LBW671,'[3]Raw material  (3)'!LBU653:LCM3729,3,0),"")</f>
        <v/>
      </c>
      <c r="LBW671" t="str">
        <f>IFERROR(VLOOKUP(LBX671,'[3]Raw material  (3)'!LBV653:LCN3729,3,0),"")</f>
        <v/>
      </c>
      <c r="LBX671" t="str">
        <f>IFERROR(VLOOKUP(LBY671,'[3]Raw material  (3)'!LBW653:LCO3729,3,0),"")</f>
        <v/>
      </c>
      <c r="LBY671" t="str">
        <f>IFERROR(VLOOKUP(LBZ671,'[3]Raw material  (3)'!LBX653:LCP3729,3,0),"")</f>
        <v/>
      </c>
      <c r="LBZ671" t="str">
        <f>IFERROR(VLOOKUP(LCA671,'[3]Raw material  (3)'!LBY653:LCQ3729,3,0),"")</f>
        <v/>
      </c>
      <c r="LCA671" t="str">
        <f>IFERROR(VLOOKUP(LCB671,'[3]Raw material  (3)'!LBZ653:LCR3729,3,0),"")</f>
        <v/>
      </c>
      <c r="LCB671" t="str">
        <f>IFERROR(VLOOKUP(LCC671,'[3]Raw material  (3)'!LCA653:LCS3729,3,0),"")</f>
        <v/>
      </c>
      <c r="LCC671" t="str">
        <f>IFERROR(VLOOKUP(LCD671,'[3]Raw material  (3)'!LCB653:LCT3729,3,0),"")</f>
        <v/>
      </c>
      <c r="LCD671" t="str">
        <f>IFERROR(VLOOKUP(LCE671,'[3]Raw material  (3)'!LCC653:LCU3729,3,0),"")</f>
        <v/>
      </c>
      <c r="LCE671" t="str">
        <f>IFERROR(VLOOKUP(LCF671,'[3]Raw material  (3)'!LCD653:LCV3729,3,0),"")</f>
        <v/>
      </c>
      <c r="LCF671" t="str">
        <f>IFERROR(VLOOKUP(LCG671,'[3]Raw material  (3)'!LCE653:LCW3729,3,0),"")</f>
        <v/>
      </c>
      <c r="LCG671" t="str">
        <f>IFERROR(VLOOKUP(LCH671,'[3]Raw material  (3)'!LCF653:LCX3729,3,0),"")</f>
        <v/>
      </c>
      <c r="LCH671" t="str">
        <f>IFERROR(VLOOKUP(LCI671,'[3]Raw material  (3)'!LCG653:LCY3729,3,0),"")</f>
        <v/>
      </c>
      <c r="LCI671" t="str">
        <f>IFERROR(VLOOKUP(LCJ671,'[3]Raw material  (3)'!LCH653:LCZ3729,3,0),"")</f>
        <v/>
      </c>
      <c r="LCJ671" t="str">
        <f>IFERROR(VLOOKUP(LCK671,'[3]Raw material  (3)'!LCI653:LDA3729,3,0),"")</f>
        <v/>
      </c>
      <c r="LCK671" t="str">
        <f>IFERROR(VLOOKUP(LCL671,'[3]Raw material  (3)'!LCJ653:LDB3729,3,0),"")</f>
        <v/>
      </c>
      <c r="LCL671" t="str">
        <f>IFERROR(VLOOKUP(LCM671,'[3]Raw material  (3)'!LCK653:LDC3729,3,0),"")</f>
        <v/>
      </c>
      <c r="LCM671" t="str">
        <f>IFERROR(VLOOKUP(LCN671,'[3]Raw material  (3)'!LCL653:LDD3729,3,0),"")</f>
        <v/>
      </c>
      <c r="LCN671" t="str">
        <f>IFERROR(VLOOKUP(LCO671,'[3]Raw material  (3)'!LCM653:LDE3729,3,0),"")</f>
        <v/>
      </c>
      <c r="LCO671" t="str">
        <f>IFERROR(VLOOKUP(LCP671,'[3]Raw material  (3)'!LCN653:LDF3729,3,0),"")</f>
        <v/>
      </c>
      <c r="LCP671" t="str">
        <f>IFERROR(VLOOKUP(LCQ671,'[3]Raw material  (3)'!LCO653:LDG3729,3,0),"")</f>
        <v/>
      </c>
      <c r="LCQ671" t="str">
        <f>IFERROR(VLOOKUP(LCR671,'[3]Raw material  (3)'!LCP653:LDH3729,3,0),"")</f>
        <v/>
      </c>
      <c r="LCR671" t="str">
        <f>IFERROR(VLOOKUP(LCS671,'[3]Raw material  (3)'!LCQ653:LDI3729,3,0),"")</f>
        <v/>
      </c>
      <c r="LCS671" t="str">
        <f>IFERROR(VLOOKUP(LCT671,'[3]Raw material  (3)'!LCR653:LDJ3729,3,0),"")</f>
        <v/>
      </c>
      <c r="LCT671" t="str">
        <f>IFERROR(VLOOKUP(LCU671,'[3]Raw material  (3)'!LCS653:LDK3729,3,0),"")</f>
        <v/>
      </c>
      <c r="LCU671" t="str">
        <f>IFERROR(VLOOKUP(LCV671,'[3]Raw material  (3)'!LCT653:LDL3729,3,0),"")</f>
        <v/>
      </c>
      <c r="LCV671" t="str">
        <f>IFERROR(VLOOKUP(LCW671,'[3]Raw material  (3)'!LCU653:LDM3729,3,0),"")</f>
        <v/>
      </c>
      <c r="LCW671" t="str">
        <f>IFERROR(VLOOKUP(LCX671,'[3]Raw material  (3)'!LCV653:LDN3729,3,0),"")</f>
        <v/>
      </c>
      <c r="LCX671" t="str">
        <f>IFERROR(VLOOKUP(LCY671,'[3]Raw material  (3)'!LCW653:LDO3729,3,0),"")</f>
        <v/>
      </c>
      <c r="LCY671" t="str">
        <f>IFERROR(VLOOKUP(LCZ671,'[3]Raw material  (3)'!LCX653:LDP3729,3,0),"")</f>
        <v/>
      </c>
      <c r="LCZ671" t="str">
        <f>IFERROR(VLOOKUP(LDA671,'[3]Raw material  (3)'!LCY653:LDQ3729,3,0),"")</f>
        <v/>
      </c>
      <c r="LDA671" t="str">
        <f>IFERROR(VLOOKUP(LDB671,'[3]Raw material  (3)'!LCZ653:LDR3729,3,0),"")</f>
        <v/>
      </c>
      <c r="LDB671" t="str">
        <f>IFERROR(VLOOKUP(LDC671,'[3]Raw material  (3)'!LDA653:LDS3729,3,0),"")</f>
        <v/>
      </c>
      <c r="LDC671" t="str">
        <f>IFERROR(VLOOKUP(LDD671,'[3]Raw material  (3)'!LDB653:LDT3729,3,0),"")</f>
        <v/>
      </c>
      <c r="LDD671" t="str">
        <f>IFERROR(VLOOKUP(LDE671,'[3]Raw material  (3)'!LDC653:LDU3729,3,0),"")</f>
        <v/>
      </c>
      <c r="LDE671" t="str">
        <f>IFERROR(VLOOKUP(LDF671,'[3]Raw material  (3)'!LDD653:LDV3729,3,0),"")</f>
        <v/>
      </c>
      <c r="LDF671" t="str">
        <f>IFERROR(VLOOKUP(LDG671,'[3]Raw material  (3)'!LDE653:LDW3729,3,0),"")</f>
        <v/>
      </c>
      <c r="LDG671" t="str">
        <f>IFERROR(VLOOKUP(LDH671,'[3]Raw material  (3)'!LDF653:LDX3729,3,0),"")</f>
        <v/>
      </c>
      <c r="LDH671" t="str">
        <f>IFERROR(VLOOKUP(LDI671,'[3]Raw material  (3)'!LDG653:LDY3729,3,0),"")</f>
        <v/>
      </c>
      <c r="LDI671" t="str">
        <f>IFERROR(VLOOKUP(LDJ671,'[3]Raw material  (3)'!LDH653:LDZ3729,3,0),"")</f>
        <v/>
      </c>
      <c r="LDJ671" t="str">
        <f>IFERROR(VLOOKUP(LDK671,'[3]Raw material  (3)'!LDI653:LEA3729,3,0),"")</f>
        <v/>
      </c>
      <c r="LDK671" t="str">
        <f>IFERROR(VLOOKUP(LDL671,'[3]Raw material  (3)'!LDJ653:LEB3729,3,0),"")</f>
        <v/>
      </c>
      <c r="LDL671" t="str">
        <f>IFERROR(VLOOKUP(LDM671,'[3]Raw material  (3)'!LDK653:LEC3729,3,0),"")</f>
        <v/>
      </c>
      <c r="LDM671" t="str">
        <f>IFERROR(VLOOKUP(LDN671,'[3]Raw material  (3)'!LDL653:LED3729,3,0),"")</f>
        <v/>
      </c>
      <c r="LDN671" t="str">
        <f>IFERROR(VLOOKUP(LDO671,'[3]Raw material  (3)'!LDM653:LEE3729,3,0),"")</f>
        <v/>
      </c>
      <c r="LDO671" t="str">
        <f>IFERROR(VLOOKUP(LDP671,'[3]Raw material  (3)'!LDN653:LEF3729,3,0),"")</f>
        <v/>
      </c>
      <c r="LDP671" t="str">
        <f>IFERROR(VLOOKUP(LDQ671,'[3]Raw material  (3)'!LDO653:LEG3729,3,0),"")</f>
        <v/>
      </c>
      <c r="LDQ671" t="str">
        <f>IFERROR(VLOOKUP(LDR671,'[3]Raw material  (3)'!LDP653:LEH3729,3,0),"")</f>
        <v/>
      </c>
      <c r="LDR671" t="str">
        <f>IFERROR(VLOOKUP(LDS671,'[3]Raw material  (3)'!LDQ653:LEI3729,3,0),"")</f>
        <v/>
      </c>
      <c r="LDS671" t="str">
        <f>IFERROR(VLOOKUP(LDT671,'[3]Raw material  (3)'!LDR653:LEJ3729,3,0),"")</f>
        <v/>
      </c>
      <c r="LDT671" t="str">
        <f>IFERROR(VLOOKUP(LDU671,'[3]Raw material  (3)'!LDS653:LEK3729,3,0),"")</f>
        <v/>
      </c>
      <c r="LDU671" t="str">
        <f>IFERROR(VLOOKUP(LDV671,'[3]Raw material  (3)'!LDT653:LEL3729,3,0),"")</f>
        <v/>
      </c>
      <c r="LDV671" t="str">
        <f>IFERROR(VLOOKUP(LDW671,'[3]Raw material  (3)'!LDU653:LEM3729,3,0),"")</f>
        <v/>
      </c>
      <c r="LDW671" t="str">
        <f>IFERROR(VLOOKUP(LDX671,'[3]Raw material  (3)'!LDV653:LEN3729,3,0),"")</f>
        <v/>
      </c>
      <c r="LDX671" t="str">
        <f>IFERROR(VLOOKUP(LDY671,'[3]Raw material  (3)'!LDW653:LEO3729,3,0),"")</f>
        <v/>
      </c>
      <c r="LDY671" t="str">
        <f>IFERROR(VLOOKUP(LDZ671,'[3]Raw material  (3)'!LDX653:LEP3729,3,0),"")</f>
        <v/>
      </c>
      <c r="LDZ671" t="str">
        <f>IFERROR(VLOOKUP(LEA671,'[3]Raw material  (3)'!LDY653:LEQ3729,3,0),"")</f>
        <v/>
      </c>
      <c r="LEA671" t="str">
        <f>IFERROR(VLOOKUP(LEB671,'[3]Raw material  (3)'!LDZ653:LER3729,3,0),"")</f>
        <v/>
      </c>
      <c r="LEB671" t="str">
        <f>IFERROR(VLOOKUP(LEC671,'[3]Raw material  (3)'!LEA653:LES3729,3,0),"")</f>
        <v/>
      </c>
      <c r="LEC671" t="str">
        <f>IFERROR(VLOOKUP(LED671,'[3]Raw material  (3)'!LEB653:LET3729,3,0),"")</f>
        <v/>
      </c>
      <c r="LED671" t="str">
        <f>IFERROR(VLOOKUP(LEE671,'[3]Raw material  (3)'!LEC653:LEU3729,3,0),"")</f>
        <v/>
      </c>
      <c r="LEE671" t="str">
        <f>IFERROR(VLOOKUP(LEF671,'[3]Raw material  (3)'!LED653:LEV3729,3,0),"")</f>
        <v/>
      </c>
      <c r="LEF671" t="str">
        <f>IFERROR(VLOOKUP(LEG671,'[3]Raw material  (3)'!LEE653:LEW3729,3,0),"")</f>
        <v/>
      </c>
      <c r="LEG671" t="str">
        <f>IFERROR(VLOOKUP(LEH671,'[3]Raw material  (3)'!LEF653:LEX3729,3,0),"")</f>
        <v/>
      </c>
      <c r="LEH671" t="str">
        <f>IFERROR(VLOOKUP(LEI671,'[3]Raw material  (3)'!LEG653:LEY3729,3,0),"")</f>
        <v/>
      </c>
      <c r="LEI671" t="str">
        <f>IFERROR(VLOOKUP(LEJ671,'[3]Raw material  (3)'!LEH653:LEZ3729,3,0),"")</f>
        <v/>
      </c>
      <c r="LEJ671" t="str">
        <f>IFERROR(VLOOKUP(LEK671,'[3]Raw material  (3)'!LEI653:LFA3729,3,0),"")</f>
        <v/>
      </c>
      <c r="LEK671" t="str">
        <f>IFERROR(VLOOKUP(LEL671,'[3]Raw material  (3)'!LEJ653:LFB3729,3,0),"")</f>
        <v/>
      </c>
      <c r="LEL671" t="str">
        <f>IFERROR(VLOOKUP(LEM671,'[3]Raw material  (3)'!LEK653:LFC3729,3,0),"")</f>
        <v/>
      </c>
      <c r="LEM671" t="str">
        <f>IFERROR(VLOOKUP(LEN671,'[3]Raw material  (3)'!LEL653:LFD3729,3,0),"")</f>
        <v/>
      </c>
      <c r="LEN671" t="str">
        <f>IFERROR(VLOOKUP(LEO671,'[3]Raw material  (3)'!LEM653:LFE3729,3,0),"")</f>
        <v/>
      </c>
      <c r="LEO671" t="str">
        <f>IFERROR(VLOOKUP(LEP671,'[3]Raw material  (3)'!LEN653:LFF3729,3,0),"")</f>
        <v/>
      </c>
      <c r="LEP671" t="str">
        <f>IFERROR(VLOOKUP(LEQ671,'[3]Raw material  (3)'!LEO653:LFG3729,3,0),"")</f>
        <v/>
      </c>
      <c r="LEQ671" t="str">
        <f>IFERROR(VLOOKUP(LER671,'[3]Raw material  (3)'!LEP653:LFH3729,3,0),"")</f>
        <v/>
      </c>
      <c r="LER671" t="str">
        <f>IFERROR(VLOOKUP(LES671,'[3]Raw material  (3)'!LEQ653:LFI3729,3,0),"")</f>
        <v/>
      </c>
      <c r="LES671" t="str">
        <f>IFERROR(VLOOKUP(LET671,'[3]Raw material  (3)'!LER653:LFJ3729,3,0),"")</f>
        <v/>
      </c>
      <c r="LET671" t="str">
        <f>IFERROR(VLOOKUP(LEU671,'[3]Raw material  (3)'!LES653:LFK3729,3,0),"")</f>
        <v/>
      </c>
      <c r="LEU671" t="str">
        <f>IFERROR(VLOOKUP(LEV671,'[3]Raw material  (3)'!LET653:LFL3729,3,0),"")</f>
        <v/>
      </c>
      <c r="LEV671" t="str">
        <f>IFERROR(VLOOKUP(LEW671,'[3]Raw material  (3)'!LEU653:LFM3729,3,0),"")</f>
        <v/>
      </c>
      <c r="LEW671" t="str">
        <f>IFERROR(VLOOKUP(LEX671,'[3]Raw material  (3)'!LEV653:LFN3729,3,0),"")</f>
        <v/>
      </c>
      <c r="LEX671" t="str">
        <f>IFERROR(VLOOKUP(LEY671,'[3]Raw material  (3)'!LEW653:LFO3729,3,0),"")</f>
        <v/>
      </c>
      <c r="LEY671" t="str">
        <f>IFERROR(VLOOKUP(LEZ671,'[3]Raw material  (3)'!LEX653:LFP3729,3,0),"")</f>
        <v/>
      </c>
      <c r="LEZ671" t="str">
        <f>IFERROR(VLOOKUP(LFA671,'[3]Raw material  (3)'!LEY653:LFQ3729,3,0),"")</f>
        <v/>
      </c>
      <c r="LFA671" t="str">
        <f>IFERROR(VLOOKUP(LFB671,'[3]Raw material  (3)'!LEZ653:LFR3729,3,0),"")</f>
        <v/>
      </c>
      <c r="LFB671" t="str">
        <f>IFERROR(VLOOKUP(LFC671,'[3]Raw material  (3)'!LFA653:LFS3729,3,0),"")</f>
        <v/>
      </c>
      <c r="LFC671" t="str">
        <f>IFERROR(VLOOKUP(LFD671,'[3]Raw material  (3)'!LFB653:LFT3729,3,0),"")</f>
        <v/>
      </c>
      <c r="LFD671" t="str">
        <f>IFERROR(VLOOKUP(LFE671,'[3]Raw material  (3)'!LFC653:LFU3729,3,0),"")</f>
        <v/>
      </c>
      <c r="LFE671" t="str">
        <f>IFERROR(VLOOKUP(LFF671,'[3]Raw material  (3)'!LFD653:LFV3729,3,0),"")</f>
        <v/>
      </c>
      <c r="LFF671" t="str">
        <f>IFERROR(VLOOKUP(LFG671,'[3]Raw material  (3)'!LFE653:LFW3729,3,0),"")</f>
        <v/>
      </c>
      <c r="LFG671" t="str">
        <f>IFERROR(VLOOKUP(LFH671,'[3]Raw material  (3)'!LFF653:LFX3729,3,0),"")</f>
        <v/>
      </c>
      <c r="LFH671" t="str">
        <f>IFERROR(VLOOKUP(LFI671,'[3]Raw material  (3)'!LFG653:LFY3729,3,0),"")</f>
        <v/>
      </c>
      <c r="LFI671" t="str">
        <f>IFERROR(VLOOKUP(LFJ671,'[3]Raw material  (3)'!LFH653:LFZ3729,3,0),"")</f>
        <v/>
      </c>
      <c r="LFJ671" t="str">
        <f>IFERROR(VLOOKUP(LFK671,'[3]Raw material  (3)'!LFI653:LGA3729,3,0),"")</f>
        <v/>
      </c>
      <c r="LFK671" t="str">
        <f>IFERROR(VLOOKUP(LFL671,'[3]Raw material  (3)'!LFJ653:LGB3729,3,0),"")</f>
        <v/>
      </c>
      <c r="LFL671" t="str">
        <f>IFERROR(VLOOKUP(LFM671,'[3]Raw material  (3)'!LFK653:LGC3729,3,0),"")</f>
        <v/>
      </c>
      <c r="LFM671" t="str">
        <f>IFERROR(VLOOKUP(LFN671,'[3]Raw material  (3)'!LFL653:LGD3729,3,0),"")</f>
        <v/>
      </c>
      <c r="LFN671" t="str">
        <f>IFERROR(VLOOKUP(LFO671,'[3]Raw material  (3)'!LFM653:LGE3729,3,0),"")</f>
        <v/>
      </c>
      <c r="LFO671" t="str">
        <f>IFERROR(VLOOKUP(LFP671,'[3]Raw material  (3)'!LFN653:LGF3729,3,0),"")</f>
        <v/>
      </c>
      <c r="LFP671" t="str">
        <f>IFERROR(VLOOKUP(LFQ671,'[3]Raw material  (3)'!LFO653:LGG3729,3,0),"")</f>
        <v/>
      </c>
      <c r="LFQ671" t="str">
        <f>IFERROR(VLOOKUP(LFR671,'[3]Raw material  (3)'!LFP653:LGH3729,3,0),"")</f>
        <v/>
      </c>
      <c r="LFR671" t="str">
        <f>IFERROR(VLOOKUP(LFS671,'[3]Raw material  (3)'!LFQ653:LGI3729,3,0),"")</f>
        <v/>
      </c>
      <c r="LFS671" t="str">
        <f>IFERROR(VLOOKUP(LFT671,'[3]Raw material  (3)'!LFR653:LGJ3729,3,0),"")</f>
        <v/>
      </c>
      <c r="LFT671" t="str">
        <f>IFERROR(VLOOKUP(LFU671,'[3]Raw material  (3)'!LFS653:LGK3729,3,0),"")</f>
        <v/>
      </c>
      <c r="LFU671" t="str">
        <f>IFERROR(VLOOKUP(LFV671,'[3]Raw material  (3)'!LFT653:LGL3729,3,0),"")</f>
        <v/>
      </c>
      <c r="LFV671" t="str">
        <f>IFERROR(VLOOKUP(LFW671,'[3]Raw material  (3)'!LFU653:LGM3729,3,0),"")</f>
        <v/>
      </c>
      <c r="LFW671" t="str">
        <f>IFERROR(VLOOKUP(LFX671,'[3]Raw material  (3)'!LFV653:LGN3729,3,0),"")</f>
        <v/>
      </c>
      <c r="LFX671" t="str">
        <f>IFERROR(VLOOKUP(LFY671,'[3]Raw material  (3)'!LFW653:LGO3729,3,0),"")</f>
        <v/>
      </c>
      <c r="LFY671" t="str">
        <f>IFERROR(VLOOKUP(LFZ671,'[3]Raw material  (3)'!LFX653:LGP3729,3,0),"")</f>
        <v/>
      </c>
      <c r="LFZ671" t="str">
        <f>IFERROR(VLOOKUP(LGA671,'[3]Raw material  (3)'!LFY653:LGQ3729,3,0),"")</f>
        <v/>
      </c>
      <c r="LGA671" t="str">
        <f>IFERROR(VLOOKUP(LGB671,'[3]Raw material  (3)'!LFZ653:LGR3729,3,0),"")</f>
        <v/>
      </c>
      <c r="LGB671" t="str">
        <f>IFERROR(VLOOKUP(LGC671,'[3]Raw material  (3)'!LGA653:LGS3729,3,0),"")</f>
        <v/>
      </c>
      <c r="LGC671" t="str">
        <f>IFERROR(VLOOKUP(LGD671,'[3]Raw material  (3)'!LGB653:LGT3729,3,0),"")</f>
        <v/>
      </c>
      <c r="LGD671" t="str">
        <f>IFERROR(VLOOKUP(LGE671,'[3]Raw material  (3)'!LGC653:LGU3729,3,0),"")</f>
        <v/>
      </c>
      <c r="LGE671" t="str">
        <f>IFERROR(VLOOKUP(LGF671,'[3]Raw material  (3)'!LGD653:LGV3729,3,0),"")</f>
        <v/>
      </c>
      <c r="LGF671" t="str">
        <f>IFERROR(VLOOKUP(LGG671,'[3]Raw material  (3)'!LGE653:LGW3729,3,0),"")</f>
        <v/>
      </c>
      <c r="LGG671" t="str">
        <f>IFERROR(VLOOKUP(LGH671,'[3]Raw material  (3)'!LGF653:LGX3729,3,0),"")</f>
        <v/>
      </c>
      <c r="LGH671" t="str">
        <f>IFERROR(VLOOKUP(LGI671,'[3]Raw material  (3)'!LGG653:LGY3729,3,0),"")</f>
        <v/>
      </c>
      <c r="LGI671" t="str">
        <f>IFERROR(VLOOKUP(LGJ671,'[3]Raw material  (3)'!LGH653:LGZ3729,3,0),"")</f>
        <v/>
      </c>
      <c r="LGJ671" t="str">
        <f>IFERROR(VLOOKUP(LGK671,'[3]Raw material  (3)'!LGI653:LHA3729,3,0),"")</f>
        <v/>
      </c>
      <c r="LGK671" t="str">
        <f>IFERROR(VLOOKUP(LGL671,'[3]Raw material  (3)'!LGJ653:LHB3729,3,0),"")</f>
        <v/>
      </c>
      <c r="LGL671" t="str">
        <f>IFERROR(VLOOKUP(LGM671,'[3]Raw material  (3)'!LGK653:LHC3729,3,0),"")</f>
        <v/>
      </c>
      <c r="LGM671" t="str">
        <f>IFERROR(VLOOKUP(LGN671,'[3]Raw material  (3)'!LGL653:LHD3729,3,0),"")</f>
        <v/>
      </c>
      <c r="LGN671" t="str">
        <f>IFERROR(VLOOKUP(LGO671,'[3]Raw material  (3)'!LGM653:LHE3729,3,0),"")</f>
        <v/>
      </c>
      <c r="LGO671" t="str">
        <f>IFERROR(VLOOKUP(LGP671,'[3]Raw material  (3)'!LGN653:LHF3729,3,0),"")</f>
        <v/>
      </c>
      <c r="LGP671" t="str">
        <f>IFERROR(VLOOKUP(LGQ671,'[3]Raw material  (3)'!LGO653:LHG3729,3,0),"")</f>
        <v/>
      </c>
      <c r="LGQ671" t="str">
        <f>IFERROR(VLOOKUP(LGR671,'[3]Raw material  (3)'!LGP653:LHH3729,3,0),"")</f>
        <v/>
      </c>
      <c r="LGR671" t="str">
        <f>IFERROR(VLOOKUP(LGS671,'[3]Raw material  (3)'!LGQ653:LHI3729,3,0),"")</f>
        <v/>
      </c>
      <c r="LGS671" t="str">
        <f>IFERROR(VLOOKUP(LGT671,'[3]Raw material  (3)'!LGR653:LHJ3729,3,0),"")</f>
        <v/>
      </c>
      <c r="LGT671" t="str">
        <f>IFERROR(VLOOKUP(LGU671,'[3]Raw material  (3)'!LGS653:LHK3729,3,0),"")</f>
        <v/>
      </c>
      <c r="LGU671" t="str">
        <f>IFERROR(VLOOKUP(LGV671,'[3]Raw material  (3)'!LGT653:LHL3729,3,0),"")</f>
        <v/>
      </c>
      <c r="LGV671" t="str">
        <f>IFERROR(VLOOKUP(LGW671,'[3]Raw material  (3)'!LGU653:LHM3729,3,0),"")</f>
        <v/>
      </c>
      <c r="LGW671" t="str">
        <f>IFERROR(VLOOKUP(LGX671,'[3]Raw material  (3)'!LGV653:LHN3729,3,0),"")</f>
        <v/>
      </c>
      <c r="LGX671" t="str">
        <f>IFERROR(VLOOKUP(LGY671,'[3]Raw material  (3)'!LGW653:LHO3729,3,0),"")</f>
        <v/>
      </c>
      <c r="LGY671" t="str">
        <f>IFERROR(VLOOKUP(LGZ671,'[3]Raw material  (3)'!LGX653:LHP3729,3,0),"")</f>
        <v/>
      </c>
      <c r="LGZ671" t="str">
        <f>IFERROR(VLOOKUP(LHA671,'[3]Raw material  (3)'!LGY653:LHQ3729,3,0),"")</f>
        <v/>
      </c>
      <c r="LHA671" t="str">
        <f>IFERROR(VLOOKUP(LHB671,'[3]Raw material  (3)'!LGZ653:LHR3729,3,0),"")</f>
        <v/>
      </c>
      <c r="LHB671" t="str">
        <f>IFERROR(VLOOKUP(LHC671,'[3]Raw material  (3)'!LHA653:LHS3729,3,0),"")</f>
        <v/>
      </c>
      <c r="LHC671" t="str">
        <f>IFERROR(VLOOKUP(LHD671,'[3]Raw material  (3)'!LHB653:LHT3729,3,0),"")</f>
        <v/>
      </c>
      <c r="LHD671" t="str">
        <f>IFERROR(VLOOKUP(LHE671,'[3]Raw material  (3)'!LHC653:LHU3729,3,0),"")</f>
        <v/>
      </c>
      <c r="LHE671" t="str">
        <f>IFERROR(VLOOKUP(LHF671,'[3]Raw material  (3)'!LHD653:LHV3729,3,0),"")</f>
        <v/>
      </c>
      <c r="LHF671" t="str">
        <f>IFERROR(VLOOKUP(LHG671,'[3]Raw material  (3)'!LHE653:LHW3729,3,0),"")</f>
        <v/>
      </c>
      <c r="LHG671" t="str">
        <f>IFERROR(VLOOKUP(LHH671,'[3]Raw material  (3)'!LHF653:LHX3729,3,0),"")</f>
        <v/>
      </c>
      <c r="LHH671" t="str">
        <f>IFERROR(VLOOKUP(LHI671,'[3]Raw material  (3)'!LHG653:LHY3729,3,0),"")</f>
        <v/>
      </c>
      <c r="LHI671" t="str">
        <f>IFERROR(VLOOKUP(LHJ671,'[3]Raw material  (3)'!LHH653:LHZ3729,3,0),"")</f>
        <v/>
      </c>
      <c r="LHJ671" t="str">
        <f>IFERROR(VLOOKUP(LHK671,'[3]Raw material  (3)'!LHI653:LIA3729,3,0),"")</f>
        <v/>
      </c>
      <c r="LHK671" t="str">
        <f>IFERROR(VLOOKUP(LHL671,'[3]Raw material  (3)'!LHJ653:LIB3729,3,0),"")</f>
        <v/>
      </c>
      <c r="LHL671" t="str">
        <f>IFERROR(VLOOKUP(LHM671,'[3]Raw material  (3)'!LHK653:LIC3729,3,0),"")</f>
        <v/>
      </c>
      <c r="LHM671" t="str">
        <f>IFERROR(VLOOKUP(LHN671,'[3]Raw material  (3)'!LHL653:LID3729,3,0),"")</f>
        <v/>
      </c>
      <c r="LHN671" t="str">
        <f>IFERROR(VLOOKUP(LHO671,'[3]Raw material  (3)'!LHM653:LIE3729,3,0),"")</f>
        <v/>
      </c>
      <c r="LHO671" t="str">
        <f>IFERROR(VLOOKUP(LHP671,'[3]Raw material  (3)'!LHN653:LIF3729,3,0),"")</f>
        <v/>
      </c>
      <c r="LHP671" t="str">
        <f>IFERROR(VLOOKUP(LHQ671,'[3]Raw material  (3)'!LHO653:LIG3729,3,0),"")</f>
        <v/>
      </c>
      <c r="LHQ671" t="str">
        <f>IFERROR(VLOOKUP(LHR671,'[3]Raw material  (3)'!LHP653:LIH3729,3,0),"")</f>
        <v/>
      </c>
      <c r="LHR671" t="str">
        <f>IFERROR(VLOOKUP(LHS671,'[3]Raw material  (3)'!LHQ653:LII3729,3,0),"")</f>
        <v/>
      </c>
      <c r="LHS671" t="str">
        <f>IFERROR(VLOOKUP(LHT671,'[3]Raw material  (3)'!LHR653:LIJ3729,3,0),"")</f>
        <v/>
      </c>
      <c r="LHT671" t="str">
        <f>IFERROR(VLOOKUP(LHU671,'[3]Raw material  (3)'!LHS653:LIK3729,3,0),"")</f>
        <v/>
      </c>
      <c r="LHU671" t="str">
        <f>IFERROR(VLOOKUP(LHV671,'[3]Raw material  (3)'!LHT653:LIL3729,3,0),"")</f>
        <v/>
      </c>
      <c r="LHV671" t="str">
        <f>IFERROR(VLOOKUP(LHW671,'[3]Raw material  (3)'!LHU653:LIM3729,3,0),"")</f>
        <v/>
      </c>
      <c r="LHW671" t="str">
        <f>IFERROR(VLOOKUP(LHX671,'[3]Raw material  (3)'!LHV653:LIN3729,3,0),"")</f>
        <v/>
      </c>
      <c r="LHX671" t="str">
        <f>IFERROR(VLOOKUP(LHY671,'[3]Raw material  (3)'!LHW653:LIO3729,3,0),"")</f>
        <v/>
      </c>
      <c r="LHY671" t="str">
        <f>IFERROR(VLOOKUP(LHZ671,'[3]Raw material  (3)'!LHX653:LIP3729,3,0),"")</f>
        <v/>
      </c>
      <c r="LHZ671" t="str">
        <f>IFERROR(VLOOKUP(LIA671,'[3]Raw material  (3)'!LHY653:LIQ3729,3,0),"")</f>
        <v/>
      </c>
      <c r="LIA671" t="str">
        <f>IFERROR(VLOOKUP(LIB671,'[3]Raw material  (3)'!LHZ653:LIR3729,3,0),"")</f>
        <v/>
      </c>
      <c r="LIB671" t="str">
        <f>IFERROR(VLOOKUP(LIC671,'[3]Raw material  (3)'!LIA653:LIS3729,3,0),"")</f>
        <v/>
      </c>
      <c r="LIC671" t="str">
        <f>IFERROR(VLOOKUP(LID671,'[3]Raw material  (3)'!LIB653:LIT3729,3,0),"")</f>
        <v/>
      </c>
      <c r="LID671" t="str">
        <f>IFERROR(VLOOKUP(LIE671,'[3]Raw material  (3)'!LIC653:LIU3729,3,0),"")</f>
        <v/>
      </c>
      <c r="LIE671" t="str">
        <f>IFERROR(VLOOKUP(LIF671,'[3]Raw material  (3)'!LID653:LIV3729,3,0),"")</f>
        <v/>
      </c>
      <c r="LIF671" t="str">
        <f>IFERROR(VLOOKUP(LIG671,'[3]Raw material  (3)'!LIE653:LIW3729,3,0),"")</f>
        <v/>
      </c>
      <c r="LIG671" t="str">
        <f>IFERROR(VLOOKUP(LIH671,'[3]Raw material  (3)'!LIF653:LIX3729,3,0),"")</f>
        <v/>
      </c>
      <c r="LIH671" t="str">
        <f>IFERROR(VLOOKUP(LII671,'[3]Raw material  (3)'!LIG653:LIY3729,3,0),"")</f>
        <v/>
      </c>
      <c r="LII671" t="str">
        <f>IFERROR(VLOOKUP(LIJ671,'[3]Raw material  (3)'!LIH653:LIZ3729,3,0),"")</f>
        <v/>
      </c>
      <c r="LIJ671" t="str">
        <f>IFERROR(VLOOKUP(LIK671,'[3]Raw material  (3)'!LII653:LJA3729,3,0),"")</f>
        <v/>
      </c>
      <c r="LIK671" t="str">
        <f>IFERROR(VLOOKUP(LIL671,'[3]Raw material  (3)'!LIJ653:LJB3729,3,0),"")</f>
        <v/>
      </c>
      <c r="LIL671" t="str">
        <f>IFERROR(VLOOKUP(LIM671,'[3]Raw material  (3)'!LIK653:LJC3729,3,0),"")</f>
        <v/>
      </c>
      <c r="LIM671" t="str">
        <f>IFERROR(VLOOKUP(LIN671,'[3]Raw material  (3)'!LIL653:LJD3729,3,0),"")</f>
        <v/>
      </c>
      <c r="LIN671" t="str">
        <f>IFERROR(VLOOKUP(LIO671,'[3]Raw material  (3)'!LIM653:LJE3729,3,0),"")</f>
        <v/>
      </c>
      <c r="LIO671" t="str">
        <f>IFERROR(VLOOKUP(LIP671,'[3]Raw material  (3)'!LIN653:LJF3729,3,0),"")</f>
        <v/>
      </c>
      <c r="LIP671" t="str">
        <f>IFERROR(VLOOKUP(LIQ671,'[3]Raw material  (3)'!LIO653:LJG3729,3,0),"")</f>
        <v/>
      </c>
      <c r="LIQ671" t="str">
        <f>IFERROR(VLOOKUP(LIR671,'[3]Raw material  (3)'!LIP653:LJH3729,3,0),"")</f>
        <v/>
      </c>
      <c r="LIR671" t="str">
        <f>IFERROR(VLOOKUP(LIS671,'[3]Raw material  (3)'!LIQ653:LJI3729,3,0),"")</f>
        <v/>
      </c>
      <c r="LIS671" t="str">
        <f>IFERROR(VLOOKUP(LIT671,'[3]Raw material  (3)'!LIR653:LJJ3729,3,0),"")</f>
        <v/>
      </c>
      <c r="LIT671" t="str">
        <f>IFERROR(VLOOKUP(LIU671,'[3]Raw material  (3)'!LIS653:LJK3729,3,0),"")</f>
        <v/>
      </c>
      <c r="LIU671" t="str">
        <f>IFERROR(VLOOKUP(LIV671,'[3]Raw material  (3)'!LIT653:LJL3729,3,0),"")</f>
        <v/>
      </c>
      <c r="LIV671" t="str">
        <f>IFERROR(VLOOKUP(LIW671,'[3]Raw material  (3)'!LIU653:LJM3729,3,0),"")</f>
        <v/>
      </c>
      <c r="LIW671" t="str">
        <f>IFERROR(VLOOKUP(LIX671,'[3]Raw material  (3)'!LIV653:LJN3729,3,0),"")</f>
        <v/>
      </c>
      <c r="LIX671" t="str">
        <f>IFERROR(VLOOKUP(LIY671,'[3]Raw material  (3)'!LIW653:LJO3729,3,0),"")</f>
        <v/>
      </c>
      <c r="LIY671" t="str">
        <f>IFERROR(VLOOKUP(LIZ671,'[3]Raw material  (3)'!LIX653:LJP3729,3,0),"")</f>
        <v/>
      </c>
      <c r="LIZ671" t="str">
        <f>IFERROR(VLOOKUP(LJA671,'[3]Raw material  (3)'!LIY653:LJQ3729,3,0),"")</f>
        <v/>
      </c>
      <c r="LJA671" t="str">
        <f>IFERROR(VLOOKUP(LJB671,'[3]Raw material  (3)'!LIZ653:LJR3729,3,0),"")</f>
        <v/>
      </c>
      <c r="LJB671" t="str">
        <f>IFERROR(VLOOKUP(LJC671,'[3]Raw material  (3)'!LJA653:LJS3729,3,0),"")</f>
        <v/>
      </c>
      <c r="LJC671" t="str">
        <f>IFERROR(VLOOKUP(LJD671,'[3]Raw material  (3)'!LJB653:LJT3729,3,0),"")</f>
        <v/>
      </c>
      <c r="LJD671" t="str">
        <f>IFERROR(VLOOKUP(LJE671,'[3]Raw material  (3)'!LJC653:LJU3729,3,0),"")</f>
        <v/>
      </c>
      <c r="LJE671" t="str">
        <f>IFERROR(VLOOKUP(LJF671,'[3]Raw material  (3)'!LJD653:LJV3729,3,0),"")</f>
        <v/>
      </c>
      <c r="LJF671" t="str">
        <f>IFERROR(VLOOKUP(LJG671,'[3]Raw material  (3)'!LJE653:LJW3729,3,0),"")</f>
        <v/>
      </c>
      <c r="LJG671" t="str">
        <f>IFERROR(VLOOKUP(LJH671,'[3]Raw material  (3)'!LJF653:LJX3729,3,0),"")</f>
        <v/>
      </c>
      <c r="LJH671" t="str">
        <f>IFERROR(VLOOKUP(LJI671,'[3]Raw material  (3)'!LJG653:LJY3729,3,0),"")</f>
        <v/>
      </c>
      <c r="LJI671" t="str">
        <f>IFERROR(VLOOKUP(LJJ671,'[3]Raw material  (3)'!LJH653:LJZ3729,3,0),"")</f>
        <v/>
      </c>
      <c r="LJJ671" t="str">
        <f>IFERROR(VLOOKUP(LJK671,'[3]Raw material  (3)'!LJI653:LKA3729,3,0),"")</f>
        <v/>
      </c>
      <c r="LJK671" t="str">
        <f>IFERROR(VLOOKUP(LJL671,'[3]Raw material  (3)'!LJJ653:LKB3729,3,0),"")</f>
        <v/>
      </c>
      <c r="LJL671" t="str">
        <f>IFERROR(VLOOKUP(LJM671,'[3]Raw material  (3)'!LJK653:LKC3729,3,0),"")</f>
        <v/>
      </c>
      <c r="LJM671" t="str">
        <f>IFERROR(VLOOKUP(LJN671,'[3]Raw material  (3)'!LJL653:LKD3729,3,0),"")</f>
        <v/>
      </c>
      <c r="LJN671" t="str">
        <f>IFERROR(VLOOKUP(LJO671,'[3]Raw material  (3)'!LJM653:LKE3729,3,0),"")</f>
        <v/>
      </c>
      <c r="LJO671" t="str">
        <f>IFERROR(VLOOKUP(LJP671,'[3]Raw material  (3)'!LJN653:LKF3729,3,0),"")</f>
        <v/>
      </c>
      <c r="LJP671" t="str">
        <f>IFERROR(VLOOKUP(LJQ671,'[3]Raw material  (3)'!LJO653:LKG3729,3,0),"")</f>
        <v/>
      </c>
      <c r="LJQ671" t="str">
        <f>IFERROR(VLOOKUP(LJR671,'[3]Raw material  (3)'!LJP653:LKH3729,3,0),"")</f>
        <v/>
      </c>
      <c r="LJR671" t="str">
        <f>IFERROR(VLOOKUP(LJS671,'[3]Raw material  (3)'!LJQ653:LKI3729,3,0),"")</f>
        <v/>
      </c>
      <c r="LJS671" t="str">
        <f>IFERROR(VLOOKUP(LJT671,'[3]Raw material  (3)'!LJR653:LKJ3729,3,0),"")</f>
        <v/>
      </c>
      <c r="LJT671" t="str">
        <f>IFERROR(VLOOKUP(LJU671,'[3]Raw material  (3)'!LJS653:LKK3729,3,0),"")</f>
        <v/>
      </c>
      <c r="LJU671" t="str">
        <f>IFERROR(VLOOKUP(LJV671,'[3]Raw material  (3)'!LJT653:LKL3729,3,0),"")</f>
        <v/>
      </c>
      <c r="LJV671" t="str">
        <f>IFERROR(VLOOKUP(LJW671,'[3]Raw material  (3)'!LJU653:LKM3729,3,0),"")</f>
        <v/>
      </c>
      <c r="LJW671" t="str">
        <f>IFERROR(VLOOKUP(LJX671,'[3]Raw material  (3)'!LJV653:LKN3729,3,0),"")</f>
        <v/>
      </c>
      <c r="LJX671" t="str">
        <f>IFERROR(VLOOKUP(LJY671,'[3]Raw material  (3)'!LJW653:LKO3729,3,0),"")</f>
        <v/>
      </c>
      <c r="LJY671" t="str">
        <f>IFERROR(VLOOKUP(LJZ671,'[3]Raw material  (3)'!LJX653:LKP3729,3,0),"")</f>
        <v/>
      </c>
      <c r="LJZ671" t="str">
        <f>IFERROR(VLOOKUP(LKA671,'[3]Raw material  (3)'!LJY653:LKQ3729,3,0),"")</f>
        <v/>
      </c>
      <c r="LKA671" t="str">
        <f>IFERROR(VLOOKUP(LKB671,'[3]Raw material  (3)'!LJZ653:LKR3729,3,0),"")</f>
        <v/>
      </c>
      <c r="LKB671" t="str">
        <f>IFERROR(VLOOKUP(LKC671,'[3]Raw material  (3)'!LKA653:LKS3729,3,0),"")</f>
        <v/>
      </c>
      <c r="LKC671" t="str">
        <f>IFERROR(VLOOKUP(LKD671,'[3]Raw material  (3)'!LKB653:LKT3729,3,0),"")</f>
        <v/>
      </c>
      <c r="LKD671" t="str">
        <f>IFERROR(VLOOKUP(LKE671,'[3]Raw material  (3)'!LKC653:LKU3729,3,0),"")</f>
        <v/>
      </c>
      <c r="LKE671" t="str">
        <f>IFERROR(VLOOKUP(LKF671,'[3]Raw material  (3)'!LKD653:LKV3729,3,0),"")</f>
        <v/>
      </c>
      <c r="LKF671" t="str">
        <f>IFERROR(VLOOKUP(LKG671,'[3]Raw material  (3)'!LKE653:LKW3729,3,0),"")</f>
        <v/>
      </c>
      <c r="LKG671" t="str">
        <f>IFERROR(VLOOKUP(LKH671,'[3]Raw material  (3)'!LKF653:LKX3729,3,0),"")</f>
        <v/>
      </c>
      <c r="LKH671" t="str">
        <f>IFERROR(VLOOKUP(LKI671,'[3]Raw material  (3)'!LKG653:LKY3729,3,0),"")</f>
        <v/>
      </c>
      <c r="LKI671" t="str">
        <f>IFERROR(VLOOKUP(LKJ671,'[3]Raw material  (3)'!LKH653:LKZ3729,3,0),"")</f>
        <v/>
      </c>
      <c r="LKJ671" t="str">
        <f>IFERROR(VLOOKUP(LKK671,'[3]Raw material  (3)'!LKI653:LLA3729,3,0),"")</f>
        <v/>
      </c>
      <c r="LKK671" t="str">
        <f>IFERROR(VLOOKUP(LKL671,'[3]Raw material  (3)'!LKJ653:LLB3729,3,0),"")</f>
        <v/>
      </c>
      <c r="LKL671" t="str">
        <f>IFERROR(VLOOKUP(LKM671,'[3]Raw material  (3)'!LKK653:LLC3729,3,0),"")</f>
        <v/>
      </c>
      <c r="LKM671" t="str">
        <f>IFERROR(VLOOKUP(LKN671,'[3]Raw material  (3)'!LKL653:LLD3729,3,0),"")</f>
        <v/>
      </c>
      <c r="LKN671" t="str">
        <f>IFERROR(VLOOKUP(LKO671,'[3]Raw material  (3)'!LKM653:LLE3729,3,0),"")</f>
        <v/>
      </c>
      <c r="LKO671" t="str">
        <f>IFERROR(VLOOKUP(LKP671,'[3]Raw material  (3)'!LKN653:LLF3729,3,0),"")</f>
        <v/>
      </c>
      <c r="LKP671" t="str">
        <f>IFERROR(VLOOKUP(LKQ671,'[3]Raw material  (3)'!LKO653:LLG3729,3,0),"")</f>
        <v/>
      </c>
      <c r="LKQ671" t="str">
        <f>IFERROR(VLOOKUP(LKR671,'[3]Raw material  (3)'!LKP653:LLH3729,3,0),"")</f>
        <v/>
      </c>
      <c r="LKR671" t="str">
        <f>IFERROR(VLOOKUP(LKS671,'[3]Raw material  (3)'!LKQ653:LLI3729,3,0),"")</f>
        <v/>
      </c>
      <c r="LKS671" t="str">
        <f>IFERROR(VLOOKUP(LKT671,'[3]Raw material  (3)'!LKR653:LLJ3729,3,0),"")</f>
        <v/>
      </c>
      <c r="LKT671" t="str">
        <f>IFERROR(VLOOKUP(LKU671,'[3]Raw material  (3)'!LKS653:LLK3729,3,0),"")</f>
        <v/>
      </c>
      <c r="LKU671" t="str">
        <f>IFERROR(VLOOKUP(LKV671,'[3]Raw material  (3)'!LKT653:LLL3729,3,0),"")</f>
        <v/>
      </c>
      <c r="LKV671" t="str">
        <f>IFERROR(VLOOKUP(LKW671,'[3]Raw material  (3)'!LKU653:LLM3729,3,0),"")</f>
        <v/>
      </c>
      <c r="LKW671" t="str">
        <f>IFERROR(VLOOKUP(LKX671,'[3]Raw material  (3)'!LKV653:LLN3729,3,0),"")</f>
        <v/>
      </c>
      <c r="LKX671" t="str">
        <f>IFERROR(VLOOKUP(LKY671,'[3]Raw material  (3)'!LKW653:LLO3729,3,0),"")</f>
        <v/>
      </c>
      <c r="LKY671" t="str">
        <f>IFERROR(VLOOKUP(LKZ671,'[3]Raw material  (3)'!LKX653:LLP3729,3,0),"")</f>
        <v/>
      </c>
      <c r="LKZ671" t="str">
        <f>IFERROR(VLOOKUP(LLA671,'[3]Raw material  (3)'!LKY653:LLQ3729,3,0),"")</f>
        <v/>
      </c>
      <c r="LLA671" t="str">
        <f>IFERROR(VLOOKUP(LLB671,'[3]Raw material  (3)'!LKZ653:LLR3729,3,0),"")</f>
        <v/>
      </c>
      <c r="LLB671" t="str">
        <f>IFERROR(VLOOKUP(LLC671,'[3]Raw material  (3)'!LLA653:LLS3729,3,0),"")</f>
        <v/>
      </c>
      <c r="LLC671" t="str">
        <f>IFERROR(VLOOKUP(LLD671,'[3]Raw material  (3)'!LLB653:LLT3729,3,0),"")</f>
        <v/>
      </c>
      <c r="LLD671" t="str">
        <f>IFERROR(VLOOKUP(LLE671,'[3]Raw material  (3)'!LLC653:LLU3729,3,0),"")</f>
        <v/>
      </c>
      <c r="LLE671" t="str">
        <f>IFERROR(VLOOKUP(LLF671,'[3]Raw material  (3)'!LLD653:LLV3729,3,0),"")</f>
        <v/>
      </c>
      <c r="LLF671" t="str">
        <f>IFERROR(VLOOKUP(LLG671,'[3]Raw material  (3)'!LLE653:LLW3729,3,0),"")</f>
        <v/>
      </c>
      <c r="LLG671" t="str">
        <f>IFERROR(VLOOKUP(LLH671,'[3]Raw material  (3)'!LLF653:LLX3729,3,0),"")</f>
        <v/>
      </c>
      <c r="LLH671" t="str">
        <f>IFERROR(VLOOKUP(LLI671,'[3]Raw material  (3)'!LLG653:LLY3729,3,0),"")</f>
        <v/>
      </c>
      <c r="LLI671" t="str">
        <f>IFERROR(VLOOKUP(LLJ671,'[3]Raw material  (3)'!LLH653:LLZ3729,3,0),"")</f>
        <v/>
      </c>
      <c r="LLJ671" t="str">
        <f>IFERROR(VLOOKUP(LLK671,'[3]Raw material  (3)'!LLI653:LMA3729,3,0),"")</f>
        <v/>
      </c>
      <c r="LLK671" t="str">
        <f>IFERROR(VLOOKUP(LLL671,'[3]Raw material  (3)'!LLJ653:LMB3729,3,0),"")</f>
        <v/>
      </c>
      <c r="LLL671" t="str">
        <f>IFERROR(VLOOKUP(LLM671,'[3]Raw material  (3)'!LLK653:LMC3729,3,0),"")</f>
        <v/>
      </c>
      <c r="LLM671" t="str">
        <f>IFERROR(VLOOKUP(LLN671,'[3]Raw material  (3)'!LLL653:LMD3729,3,0),"")</f>
        <v/>
      </c>
      <c r="LLN671" t="str">
        <f>IFERROR(VLOOKUP(LLO671,'[3]Raw material  (3)'!LLM653:LME3729,3,0),"")</f>
        <v/>
      </c>
      <c r="LLO671" t="str">
        <f>IFERROR(VLOOKUP(LLP671,'[3]Raw material  (3)'!LLN653:LMF3729,3,0),"")</f>
        <v/>
      </c>
      <c r="LLP671" t="str">
        <f>IFERROR(VLOOKUP(LLQ671,'[3]Raw material  (3)'!LLO653:LMG3729,3,0),"")</f>
        <v/>
      </c>
      <c r="LLQ671" t="str">
        <f>IFERROR(VLOOKUP(LLR671,'[3]Raw material  (3)'!LLP653:LMH3729,3,0),"")</f>
        <v/>
      </c>
      <c r="LLR671" t="str">
        <f>IFERROR(VLOOKUP(LLS671,'[3]Raw material  (3)'!LLQ653:LMI3729,3,0),"")</f>
        <v/>
      </c>
      <c r="LLS671" t="str">
        <f>IFERROR(VLOOKUP(LLT671,'[3]Raw material  (3)'!LLR653:LMJ3729,3,0),"")</f>
        <v/>
      </c>
      <c r="LLT671" t="str">
        <f>IFERROR(VLOOKUP(LLU671,'[3]Raw material  (3)'!LLS653:LMK3729,3,0),"")</f>
        <v/>
      </c>
      <c r="LLU671" t="str">
        <f>IFERROR(VLOOKUP(LLV671,'[3]Raw material  (3)'!LLT653:LML3729,3,0),"")</f>
        <v/>
      </c>
      <c r="LLV671" t="str">
        <f>IFERROR(VLOOKUP(LLW671,'[3]Raw material  (3)'!LLU653:LMM3729,3,0),"")</f>
        <v/>
      </c>
      <c r="LLW671" t="str">
        <f>IFERROR(VLOOKUP(LLX671,'[3]Raw material  (3)'!LLV653:LMN3729,3,0),"")</f>
        <v/>
      </c>
      <c r="LLX671" t="str">
        <f>IFERROR(VLOOKUP(LLY671,'[3]Raw material  (3)'!LLW653:LMO3729,3,0),"")</f>
        <v/>
      </c>
      <c r="LLY671" t="str">
        <f>IFERROR(VLOOKUP(LLZ671,'[3]Raw material  (3)'!LLX653:LMP3729,3,0),"")</f>
        <v/>
      </c>
      <c r="LLZ671" t="str">
        <f>IFERROR(VLOOKUP(LMA671,'[3]Raw material  (3)'!LLY653:LMQ3729,3,0),"")</f>
        <v/>
      </c>
      <c r="LMA671" t="str">
        <f>IFERROR(VLOOKUP(LMB671,'[3]Raw material  (3)'!LLZ653:LMR3729,3,0),"")</f>
        <v/>
      </c>
      <c r="LMB671" t="str">
        <f>IFERROR(VLOOKUP(LMC671,'[3]Raw material  (3)'!LMA653:LMS3729,3,0),"")</f>
        <v/>
      </c>
      <c r="LMC671" t="str">
        <f>IFERROR(VLOOKUP(LMD671,'[3]Raw material  (3)'!LMB653:LMT3729,3,0),"")</f>
        <v/>
      </c>
      <c r="LMD671" t="str">
        <f>IFERROR(VLOOKUP(LME671,'[3]Raw material  (3)'!LMC653:LMU3729,3,0),"")</f>
        <v/>
      </c>
      <c r="LME671" t="str">
        <f>IFERROR(VLOOKUP(LMF671,'[3]Raw material  (3)'!LMD653:LMV3729,3,0),"")</f>
        <v/>
      </c>
      <c r="LMF671" t="str">
        <f>IFERROR(VLOOKUP(LMG671,'[3]Raw material  (3)'!LME653:LMW3729,3,0),"")</f>
        <v/>
      </c>
      <c r="LMG671" t="str">
        <f>IFERROR(VLOOKUP(LMH671,'[3]Raw material  (3)'!LMF653:LMX3729,3,0),"")</f>
        <v/>
      </c>
      <c r="LMH671" t="str">
        <f>IFERROR(VLOOKUP(LMI671,'[3]Raw material  (3)'!LMG653:LMY3729,3,0),"")</f>
        <v/>
      </c>
      <c r="LMI671" t="str">
        <f>IFERROR(VLOOKUP(LMJ671,'[3]Raw material  (3)'!LMH653:LMZ3729,3,0),"")</f>
        <v/>
      </c>
      <c r="LMJ671" t="str">
        <f>IFERROR(VLOOKUP(LMK671,'[3]Raw material  (3)'!LMI653:LNA3729,3,0),"")</f>
        <v/>
      </c>
      <c r="LMK671" t="str">
        <f>IFERROR(VLOOKUP(LML671,'[3]Raw material  (3)'!LMJ653:LNB3729,3,0),"")</f>
        <v/>
      </c>
      <c r="LML671" t="str">
        <f>IFERROR(VLOOKUP(LMM671,'[3]Raw material  (3)'!LMK653:LNC3729,3,0),"")</f>
        <v/>
      </c>
      <c r="LMM671" t="str">
        <f>IFERROR(VLOOKUP(LMN671,'[3]Raw material  (3)'!LML653:LND3729,3,0),"")</f>
        <v/>
      </c>
      <c r="LMN671" t="str">
        <f>IFERROR(VLOOKUP(LMO671,'[3]Raw material  (3)'!LMM653:LNE3729,3,0),"")</f>
        <v/>
      </c>
      <c r="LMO671" t="str">
        <f>IFERROR(VLOOKUP(LMP671,'[3]Raw material  (3)'!LMN653:LNF3729,3,0),"")</f>
        <v/>
      </c>
      <c r="LMP671" t="str">
        <f>IFERROR(VLOOKUP(LMQ671,'[3]Raw material  (3)'!LMO653:LNG3729,3,0),"")</f>
        <v/>
      </c>
      <c r="LMQ671" t="str">
        <f>IFERROR(VLOOKUP(LMR671,'[3]Raw material  (3)'!LMP653:LNH3729,3,0),"")</f>
        <v/>
      </c>
      <c r="LMR671" t="str">
        <f>IFERROR(VLOOKUP(LMS671,'[3]Raw material  (3)'!LMQ653:LNI3729,3,0),"")</f>
        <v/>
      </c>
      <c r="LMS671" t="str">
        <f>IFERROR(VLOOKUP(LMT671,'[3]Raw material  (3)'!LMR653:LNJ3729,3,0),"")</f>
        <v/>
      </c>
      <c r="LMT671" t="str">
        <f>IFERROR(VLOOKUP(LMU671,'[3]Raw material  (3)'!LMS653:LNK3729,3,0),"")</f>
        <v/>
      </c>
      <c r="LMU671" t="str">
        <f>IFERROR(VLOOKUP(LMV671,'[3]Raw material  (3)'!LMT653:LNL3729,3,0),"")</f>
        <v/>
      </c>
      <c r="LMV671" t="str">
        <f>IFERROR(VLOOKUP(LMW671,'[3]Raw material  (3)'!LMU653:LNM3729,3,0),"")</f>
        <v/>
      </c>
      <c r="LMW671" t="str">
        <f>IFERROR(VLOOKUP(LMX671,'[3]Raw material  (3)'!LMV653:LNN3729,3,0),"")</f>
        <v/>
      </c>
      <c r="LMX671" t="str">
        <f>IFERROR(VLOOKUP(LMY671,'[3]Raw material  (3)'!LMW653:LNO3729,3,0),"")</f>
        <v/>
      </c>
      <c r="LMY671" t="str">
        <f>IFERROR(VLOOKUP(LMZ671,'[3]Raw material  (3)'!LMX653:LNP3729,3,0),"")</f>
        <v/>
      </c>
      <c r="LMZ671" t="str">
        <f>IFERROR(VLOOKUP(LNA671,'[3]Raw material  (3)'!LMY653:LNQ3729,3,0),"")</f>
        <v/>
      </c>
      <c r="LNA671" t="str">
        <f>IFERROR(VLOOKUP(LNB671,'[3]Raw material  (3)'!LMZ653:LNR3729,3,0),"")</f>
        <v/>
      </c>
      <c r="LNB671" t="str">
        <f>IFERROR(VLOOKUP(LNC671,'[3]Raw material  (3)'!LNA653:LNS3729,3,0),"")</f>
        <v/>
      </c>
      <c r="LNC671" t="str">
        <f>IFERROR(VLOOKUP(LND671,'[3]Raw material  (3)'!LNB653:LNT3729,3,0),"")</f>
        <v/>
      </c>
      <c r="LND671" t="str">
        <f>IFERROR(VLOOKUP(LNE671,'[3]Raw material  (3)'!LNC653:LNU3729,3,0),"")</f>
        <v/>
      </c>
      <c r="LNE671" t="str">
        <f>IFERROR(VLOOKUP(LNF671,'[3]Raw material  (3)'!LND653:LNV3729,3,0),"")</f>
        <v/>
      </c>
      <c r="LNF671" t="str">
        <f>IFERROR(VLOOKUP(LNG671,'[3]Raw material  (3)'!LNE653:LNW3729,3,0),"")</f>
        <v/>
      </c>
      <c r="LNG671" t="str">
        <f>IFERROR(VLOOKUP(LNH671,'[3]Raw material  (3)'!LNF653:LNX3729,3,0),"")</f>
        <v/>
      </c>
      <c r="LNH671" t="str">
        <f>IFERROR(VLOOKUP(LNI671,'[3]Raw material  (3)'!LNG653:LNY3729,3,0),"")</f>
        <v/>
      </c>
      <c r="LNI671" t="str">
        <f>IFERROR(VLOOKUP(LNJ671,'[3]Raw material  (3)'!LNH653:LNZ3729,3,0),"")</f>
        <v/>
      </c>
      <c r="LNJ671" t="str">
        <f>IFERROR(VLOOKUP(LNK671,'[3]Raw material  (3)'!LNI653:LOA3729,3,0),"")</f>
        <v/>
      </c>
      <c r="LNK671" t="str">
        <f>IFERROR(VLOOKUP(LNL671,'[3]Raw material  (3)'!LNJ653:LOB3729,3,0),"")</f>
        <v/>
      </c>
      <c r="LNL671" t="str">
        <f>IFERROR(VLOOKUP(LNM671,'[3]Raw material  (3)'!LNK653:LOC3729,3,0),"")</f>
        <v/>
      </c>
      <c r="LNM671" t="str">
        <f>IFERROR(VLOOKUP(LNN671,'[3]Raw material  (3)'!LNL653:LOD3729,3,0),"")</f>
        <v/>
      </c>
      <c r="LNN671" t="str">
        <f>IFERROR(VLOOKUP(LNO671,'[3]Raw material  (3)'!LNM653:LOE3729,3,0),"")</f>
        <v/>
      </c>
      <c r="LNO671" t="str">
        <f>IFERROR(VLOOKUP(LNP671,'[3]Raw material  (3)'!LNN653:LOF3729,3,0),"")</f>
        <v/>
      </c>
      <c r="LNP671" t="str">
        <f>IFERROR(VLOOKUP(LNQ671,'[3]Raw material  (3)'!LNO653:LOG3729,3,0),"")</f>
        <v/>
      </c>
      <c r="LNQ671" t="str">
        <f>IFERROR(VLOOKUP(LNR671,'[3]Raw material  (3)'!LNP653:LOH3729,3,0),"")</f>
        <v/>
      </c>
      <c r="LNR671" t="str">
        <f>IFERROR(VLOOKUP(LNS671,'[3]Raw material  (3)'!LNQ653:LOI3729,3,0),"")</f>
        <v/>
      </c>
      <c r="LNS671" t="str">
        <f>IFERROR(VLOOKUP(LNT671,'[3]Raw material  (3)'!LNR653:LOJ3729,3,0),"")</f>
        <v/>
      </c>
      <c r="LNT671" t="str">
        <f>IFERROR(VLOOKUP(LNU671,'[3]Raw material  (3)'!LNS653:LOK3729,3,0),"")</f>
        <v/>
      </c>
      <c r="LNU671" t="str">
        <f>IFERROR(VLOOKUP(LNV671,'[3]Raw material  (3)'!LNT653:LOL3729,3,0),"")</f>
        <v/>
      </c>
      <c r="LNV671" t="str">
        <f>IFERROR(VLOOKUP(LNW671,'[3]Raw material  (3)'!LNU653:LOM3729,3,0),"")</f>
        <v/>
      </c>
      <c r="LNW671" t="str">
        <f>IFERROR(VLOOKUP(LNX671,'[3]Raw material  (3)'!LNV653:LON3729,3,0),"")</f>
        <v/>
      </c>
      <c r="LNX671" t="str">
        <f>IFERROR(VLOOKUP(LNY671,'[3]Raw material  (3)'!LNW653:LOO3729,3,0),"")</f>
        <v/>
      </c>
      <c r="LNY671" t="str">
        <f>IFERROR(VLOOKUP(LNZ671,'[3]Raw material  (3)'!LNX653:LOP3729,3,0),"")</f>
        <v/>
      </c>
      <c r="LNZ671" t="str">
        <f>IFERROR(VLOOKUP(LOA671,'[3]Raw material  (3)'!LNY653:LOQ3729,3,0),"")</f>
        <v/>
      </c>
      <c r="LOA671" t="str">
        <f>IFERROR(VLOOKUP(LOB671,'[3]Raw material  (3)'!LNZ653:LOR3729,3,0),"")</f>
        <v/>
      </c>
      <c r="LOB671" t="str">
        <f>IFERROR(VLOOKUP(LOC671,'[3]Raw material  (3)'!LOA653:LOS3729,3,0),"")</f>
        <v/>
      </c>
      <c r="LOC671" t="str">
        <f>IFERROR(VLOOKUP(LOD671,'[3]Raw material  (3)'!LOB653:LOT3729,3,0),"")</f>
        <v/>
      </c>
      <c r="LOD671" t="str">
        <f>IFERROR(VLOOKUP(LOE671,'[3]Raw material  (3)'!LOC653:LOU3729,3,0),"")</f>
        <v/>
      </c>
      <c r="LOE671" t="str">
        <f>IFERROR(VLOOKUP(LOF671,'[3]Raw material  (3)'!LOD653:LOV3729,3,0),"")</f>
        <v/>
      </c>
      <c r="LOF671" t="str">
        <f>IFERROR(VLOOKUP(LOG671,'[3]Raw material  (3)'!LOE653:LOW3729,3,0),"")</f>
        <v/>
      </c>
      <c r="LOG671" t="str">
        <f>IFERROR(VLOOKUP(LOH671,'[3]Raw material  (3)'!LOF653:LOX3729,3,0),"")</f>
        <v/>
      </c>
      <c r="LOH671" t="str">
        <f>IFERROR(VLOOKUP(LOI671,'[3]Raw material  (3)'!LOG653:LOY3729,3,0),"")</f>
        <v/>
      </c>
      <c r="LOI671" t="str">
        <f>IFERROR(VLOOKUP(LOJ671,'[3]Raw material  (3)'!LOH653:LOZ3729,3,0),"")</f>
        <v/>
      </c>
      <c r="LOJ671" t="str">
        <f>IFERROR(VLOOKUP(LOK671,'[3]Raw material  (3)'!LOI653:LPA3729,3,0),"")</f>
        <v/>
      </c>
      <c r="LOK671" t="str">
        <f>IFERROR(VLOOKUP(LOL671,'[3]Raw material  (3)'!LOJ653:LPB3729,3,0),"")</f>
        <v/>
      </c>
      <c r="LOL671" t="str">
        <f>IFERROR(VLOOKUP(LOM671,'[3]Raw material  (3)'!LOK653:LPC3729,3,0),"")</f>
        <v/>
      </c>
      <c r="LOM671" t="str">
        <f>IFERROR(VLOOKUP(LON671,'[3]Raw material  (3)'!LOL653:LPD3729,3,0),"")</f>
        <v/>
      </c>
      <c r="LON671" t="str">
        <f>IFERROR(VLOOKUP(LOO671,'[3]Raw material  (3)'!LOM653:LPE3729,3,0),"")</f>
        <v/>
      </c>
      <c r="LOO671" t="str">
        <f>IFERROR(VLOOKUP(LOP671,'[3]Raw material  (3)'!LON653:LPF3729,3,0),"")</f>
        <v/>
      </c>
      <c r="LOP671" t="str">
        <f>IFERROR(VLOOKUP(LOQ671,'[3]Raw material  (3)'!LOO653:LPG3729,3,0),"")</f>
        <v/>
      </c>
      <c r="LOQ671" t="str">
        <f>IFERROR(VLOOKUP(LOR671,'[3]Raw material  (3)'!LOP653:LPH3729,3,0),"")</f>
        <v/>
      </c>
      <c r="LOR671" t="str">
        <f>IFERROR(VLOOKUP(LOS671,'[3]Raw material  (3)'!LOQ653:LPI3729,3,0),"")</f>
        <v/>
      </c>
      <c r="LOS671" t="str">
        <f>IFERROR(VLOOKUP(LOT671,'[3]Raw material  (3)'!LOR653:LPJ3729,3,0),"")</f>
        <v/>
      </c>
      <c r="LOT671" t="str">
        <f>IFERROR(VLOOKUP(LOU671,'[3]Raw material  (3)'!LOS653:LPK3729,3,0),"")</f>
        <v/>
      </c>
      <c r="LOU671" t="str">
        <f>IFERROR(VLOOKUP(LOV671,'[3]Raw material  (3)'!LOT653:LPL3729,3,0),"")</f>
        <v/>
      </c>
      <c r="LOV671" t="str">
        <f>IFERROR(VLOOKUP(LOW671,'[3]Raw material  (3)'!LOU653:LPM3729,3,0),"")</f>
        <v/>
      </c>
      <c r="LOW671" t="str">
        <f>IFERROR(VLOOKUP(LOX671,'[3]Raw material  (3)'!LOV653:LPN3729,3,0),"")</f>
        <v/>
      </c>
      <c r="LOX671" t="str">
        <f>IFERROR(VLOOKUP(LOY671,'[3]Raw material  (3)'!LOW653:LPO3729,3,0),"")</f>
        <v/>
      </c>
      <c r="LOY671" t="str">
        <f>IFERROR(VLOOKUP(LOZ671,'[3]Raw material  (3)'!LOX653:LPP3729,3,0),"")</f>
        <v/>
      </c>
      <c r="LOZ671" t="str">
        <f>IFERROR(VLOOKUP(LPA671,'[3]Raw material  (3)'!LOY653:LPQ3729,3,0),"")</f>
        <v/>
      </c>
      <c r="LPA671" t="str">
        <f>IFERROR(VLOOKUP(LPB671,'[3]Raw material  (3)'!LOZ653:LPR3729,3,0),"")</f>
        <v/>
      </c>
      <c r="LPB671" t="str">
        <f>IFERROR(VLOOKUP(LPC671,'[3]Raw material  (3)'!LPA653:LPS3729,3,0),"")</f>
        <v/>
      </c>
      <c r="LPC671" t="str">
        <f>IFERROR(VLOOKUP(LPD671,'[3]Raw material  (3)'!LPB653:LPT3729,3,0),"")</f>
        <v/>
      </c>
      <c r="LPD671" t="str">
        <f>IFERROR(VLOOKUP(LPE671,'[3]Raw material  (3)'!LPC653:LPU3729,3,0),"")</f>
        <v/>
      </c>
      <c r="LPE671" t="str">
        <f>IFERROR(VLOOKUP(LPF671,'[3]Raw material  (3)'!LPD653:LPV3729,3,0),"")</f>
        <v/>
      </c>
      <c r="LPF671" t="str">
        <f>IFERROR(VLOOKUP(LPG671,'[3]Raw material  (3)'!LPE653:LPW3729,3,0),"")</f>
        <v/>
      </c>
      <c r="LPG671" t="str">
        <f>IFERROR(VLOOKUP(LPH671,'[3]Raw material  (3)'!LPF653:LPX3729,3,0),"")</f>
        <v/>
      </c>
      <c r="LPH671" t="str">
        <f>IFERROR(VLOOKUP(LPI671,'[3]Raw material  (3)'!LPG653:LPY3729,3,0),"")</f>
        <v/>
      </c>
      <c r="LPI671" t="str">
        <f>IFERROR(VLOOKUP(LPJ671,'[3]Raw material  (3)'!LPH653:LPZ3729,3,0),"")</f>
        <v/>
      </c>
      <c r="LPJ671" t="str">
        <f>IFERROR(VLOOKUP(LPK671,'[3]Raw material  (3)'!LPI653:LQA3729,3,0),"")</f>
        <v/>
      </c>
      <c r="LPK671" t="str">
        <f>IFERROR(VLOOKUP(LPL671,'[3]Raw material  (3)'!LPJ653:LQB3729,3,0),"")</f>
        <v/>
      </c>
      <c r="LPL671" t="str">
        <f>IFERROR(VLOOKUP(LPM671,'[3]Raw material  (3)'!LPK653:LQC3729,3,0),"")</f>
        <v/>
      </c>
      <c r="LPM671" t="str">
        <f>IFERROR(VLOOKUP(LPN671,'[3]Raw material  (3)'!LPL653:LQD3729,3,0),"")</f>
        <v/>
      </c>
      <c r="LPN671" t="str">
        <f>IFERROR(VLOOKUP(LPO671,'[3]Raw material  (3)'!LPM653:LQE3729,3,0),"")</f>
        <v/>
      </c>
      <c r="LPO671" t="str">
        <f>IFERROR(VLOOKUP(LPP671,'[3]Raw material  (3)'!LPN653:LQF3729,3,0),"")</f>
        <v/>
      </c>
      <c r="LPP671" t="str">
        <f>IFERROR(VLOOKUP(LPQ671,'[3]Raw material  (3)'!LPO653:LQG3729,3,0),"")</f>
        <v/>
      </c>
      <c r="LPQ671" t="str">
        <f>IFERROR(VLOOKUP(LPR671,'[3]Raw material  (3)'!LPP653:LQH3729,3,0),"")</f>
        <v/>
      </c>
      <c r="LPR671" t="str">
        <f>IFERROR(VLOOKUP(LPS671,'[3]Raw material  (3)'!LPQ653:LQI3729,3,0),"")</f>
        <v/>
      </c>
      <c r="LPS671" t="str">
        <f>IFERROR(VLOOKUP(LPT671,'[3]Raw material  (3)'!LPR653:LQJ3729,3,0),"")</f>
        <v/>
      </c>
      <c r="LPT671" t="str">
        <f>IFERROR(VLOOKUP(LPU671,'[3]Raw material  (3)'!LPS653:LQK3729,3,0),"")</f>
        <v/>
      </c>
      <c r="LPU671" t="str">
        <f>IFERROR(VLOOKUP(LPV671,'[3]Raw material  (3)'!LPT653:LQL3729,3,0),"")</f>
        <v/>
      </c>
      <c r="LPV671" t="str">
        <f>IFERROR(VLOOKUP(LPW671,'[3]Raw material  (3)'!LPU653:LQM3729,3,0),"")</f>
        <v/>
      </c>
      <c r="LPW671" t="str">
        <f>IFERROR(VLOOKUP(LPX671,'[3]Raw material  (3)'!LPV653:LQN3729,3,0),"")</f>
        <v/>
      </c>
      <c r="LPX671" t="str">
        <f>IFERROR(VLOOKUP(LPY671,'[3]Raw material  (3)'!LPW653:LQO3729,3,0),"")</f>
        <v/>
      </c>
      <c r="LPY671" t="str">
        <f>IFERROR(VLOOKUP(LPZ671,'[3]Raw material  (3)'!LPX653:LQP3729,3,0),"")</f>
        <v/>
      </c>
      <c r="LPZ671" t="str">
        <f>IFERROR(VLOOKUP(LQA671,'[3]Raw material  (3)'!LPY653:LQQ3729,3,0),"")</f>
        <v/>
      </c>
      <c r="LQA671" t="str">
        <f>IFERROR(VLOOKUP(LQB671,'[3]Raw material  (3)'!LPZ653:LQR3729,3,0),"")</f>
        <v/>
      </c>
      <c r="LQB671" t="str">
        <f>IFERROR(VLOOKUP(LQC671,'[3]Raw material  (3)'!LQA653:LQS3729,3,0),"")</f>
        <v/>
      </c>
      <c r="LQC671" t="str">
        <f>IFERROR(VLOOKUP(LQD671,'[3]Raw material  (3)'!LQB653:LQT3729,3,0),"")</f>
        <v/>
      </c>
      <c r="LQD671" t="str">
        <f>IFERROR(VLOOKUP(LQE671,'[3]Raw material  (3)'!LQC653:LQU3729,3,0),"")</f>
        <v/>
      </c>
      <c r="LQE671" t="str">
        <f>IFERROR(VLOOKUP(LQF671,'[3]Raw material  (3)'!LQD653:LQV3729,3,0),"")</f>
        <v/>
      </c>
      <c r="LQF671" t="str">
        <f>IFERROR(VLOOKUP(LQG671,'[3]Raw material  (3)'!LQE653:LQW3729,3,0),"")</f>
        <v/>
      </c>
      <c r="LQG671" t="str">
        <f>IFERROR(VLOOKUP(LQH671,'[3]Raw material  (3)'!LQF653:LQX3729,3,0),"")</f>
        <v/>
      </c>
      <c r="LQH671" t="str">
        <f>IFERROR(VLOOKUP(LQI671,'[3]Raw material  (3)'!LQG653:LQY3729,3,0),"")</f>
        <v/>
      </c>
      <c r="LQI671" t="str">
        <f>IFERROR(VLOOKUP(LQJ671,'[3]Raw material  (3)'!LQH653:LQZ3729,3,0),"")</f>
        <v/>
      </c>
      <c r="LQJ671" t="str">
        <f>IFERROR(VLOOKUP(LQK671,'[3]Raw material  (3)'!LQI653:LRA3729,3,0),"")</f>
        <v/>
      </c>
      <c r="LQK671" t="str">
        <f>IFERROR(VLOOKUP(LQL671,'[3]Raw material  (3)'!LQJ653:LRB3729,3,0),"")</f>
        <v/>
      </c>
      <c r="LQL671" t="str">
        <f>IFERROR(VLOOKUP(LQM671,'[3]Raw material  (3)'!LQK653:LRC3729,3,0),"")</f>
        <v/>
      </c>
      <c r="LQM671" t="str">
        <f>IFERROR(VLOOKUP(LQN671,'[3]Raw material  (3)'!LQL653:LRD3729,3,0),"")</f>
        <v/>
      </c>
      <c r="LQN671" t="str">
        <f>IFERROR(VLOOKUP(LQO671,'[3]Raw material  (3)'!LQM653:LRE3729,3,0),"")</f>
        <v/>
      </c>
      <c r="LQO671" t="str">
        <f>IFERROR(VLOOKUP(LQP671,'[3]Raw material  (3)'!LQN653:LRF3729,3,0),"")</f>
        <v/>
      </c>
      <c r="LQP671" t="str">
        <f>IFERROR(VLOOKUP(LQQ671,'[3]Raw material  (3)'!LQO653:LRG3729,3,0),"")</f>
        <v/>
      </c>
      <c r="LQQ671" t="str">
        <f>IFERROR(VLOOKUP(LQR671,'[3]Raw material  (3)'!LQP653:LRH3729,3,0),"")</f>
        <v/>
      </c>
      <c r="LQR671" t="str">
        <f>IFERROR(VLOOKUP(LQS671,'[3]Raw material  (3)'!LQQ653:LRI3729,3,0),"")</f>
        <v/>
      </c>
      <c r="LQS671" t="str">
        <f>IFERROR(VLOOKUP(LQT671,'[3]Raw material  (3)'!LQR653:LRJ3729,3,0),"")</f>
        <v/>
      </c>
      <c r="LQT671" t="str">
        <f>IFERROR(VLOOKUP(LQU671,'[3]Raw material  (3)'!LQS653:LRK3729,3,0),"")</f>
        <v/>
      </c>
      <c r="LQU671" t="str">
        <f>IFERROR(VLOOKUP(LQV671,'[3]Raw material  (3)'!LQT653:LRL3729,3,0),"")</f>
        <v/>
      </c>
      <c r="LQV671" t="str">
        <f>IFERROR(VLOOKUP(LQW671,'[3]Raw material  (3)'!LQU653:LRM3729,3,0),"")</f>
        <v/>
      </c>
      <c r="LQW671" t="str">
        <f>IFERROR(VLOOKUP(LQX671,'[3]Raw material  (3)'!LQV653:LRN3729,3,0),"")</f>
        <v/>
      </c>
      <c r="LQX671" t="str">
        <f>IFERROR(VLOOKUP(LQY671,'[3]Raw material  (3)'!LQW653:LRO3729,3,0),"")</f>
        <v/>
      </c>
      <c r="LQY671" t="str">
        <f>IFERROR(VLOOKUP(LQZ671,'[3]Raw material  (3)'!LQX653:LRP3729,3,0),"")</f>
        <v/>
      </c>
      <c r="LQZ671" t="str">
        <f>IFERROR(VLOOKUP(LRA671,'[3]Raw material  (3)'!LQY653:LRQ3729,3,0),"")</f>
        <v/>
      </c>
      <c r="LRA671" t="str">
        <f>IFERROR(VLOOKUP(LRB671,'[3]Raw material  (3)'!LQZ653:LRR3729,3,0),"")</f>
        <v/>
      </c>
      <c r="LRB671" t="str">
        <f>IFERROR(VLOOKUP(LRC671,'[3]Raw material  (3)'!LRA653:LRS3729,3,0),"")</f>
        <v/>
      </c>
      <c r="LRC671" t="str">
        <f>IFERROR(VLOOKUP(LRD671,'[3]Raw material  (3)'!LRB653:LRT3729,3,0),"")</f>
        <v/>
      </c>
      <c r="LRD671" t="str">
        <f>IFERROR(VLOOKUP(LRE671,'[3]Raw material  (3)'!LRC653:LRU3729,3,0),"")</f>
        <v/>
      </c>
      <c r="LRE671" t="str">
        <f>IFERROR(VLOOKUP(LRF671,'[3]Raw material  (3)'!LRD653:LRV3729,3,0),"")</f>
        <v/>
      </c>
      <c r="LRF671" t="str">
        <f>IFERROR(VLOOKUP(LRG671,'[3]Raw material  (3)'!LRE653:LRW3729,3,0),"")</f>
        <v/>
      </c>
      <c r="LRG671" t="str">
        <f>IFERROR(VLOOKUP(LRH671,'[3]Raw material  (3)'!LRF653:LRX3729,3,0),"")</f>
        <v/>
      </c>
      <c r="LRH671" t="str">
        <f>IFERROR(VLOOKUP(LRI671,'[3]Raw material  (3)'!LRG653:LRY3729,3,0),"")</f>
        <v/>
      </c>
      <c r="LRI671" t="str">
        <f>IFERROR(VLOOKUP(LRJ671,'[3]Raw material  (3)'!LRH653:LRZ3729,3,0),"")</f>
        <v/>
      </c>
      <c r="LRJ671" t="str">
        <f>IFERROR(VLOOKUP(LRK671,'[3]Raw material  (3)'!LRI653:LSA3729,3,0),"")</f>
        <v/>
      </c>
      <c r="LRK671" t="str">
        <f>IFERROR(VLOOKUP(LRL671,'[3]Raw material  (3)'!LRJ653:LSB3729,3,0),"")</f>
        <v/>
      </c>
      <c r="LRL671" t="str">
        <f>IFERROR(VLOOKUP(LRM671,'[3]Raw material  (3)'!LRK653:LSC3729,3,0),"")</f>
        <v/>
      </c>
      <c r="LRM671" t="str">
        <f>IFERROR(VLOOKUP(LRN671,'[3]Raw material  (3)'!LRL653:LSD3729,3,0),"")</f>
        <v/>
      </c>
      <c r="LRN671" t="str">
        <f>IFERROR(VLOOKUP(LRO671,'[3]Raw material  (3)'!LRM653:LSE3729,3,0),"")</f>
        <v/>
      </c>
      <c r="LRO671" t="str">
        <f>IFERROR(VLOOKUP(LRP671,'[3]Raw material  (3)'!LRN653:LSF3729,3,0),"")</f>
        <v/>
      </c>
      <c r="LRP671" t="str">
        <f>IFERROR(VLOOKUP(LRQ671,'[3]Raw material  (3)'!LRO653:LSG3729,3,0),"")</f>
        <v/>
      </c>
      <c r="LRQ671" t="str">
        <f>IFERROR(VLOOKUP(LRR671,'[3]Raw material  (3)'!LRP653:LSH3729,3,0),"")</f>
        <v/>
      </c>
      <c r="LRR671" t="str">
        <f>IFERROR(VLOOKUP(LRS671,'[3]Raw material  (3)'!LRQ653:LSI3729,3,0),"")</f>
        <v/>
      </c>
      <c r="LRS671" t="str">
        <f>IFERROR(VLOOKUP(LRT671,'[3]Raw material  (3)'!LRR653:LSJ3729,3,0),"")</f>
        <v/>
      </c>
      <c r="LRT671" t="str">
        <f>IFERROR(VLOOKUP(LRU671,'[3]Raw material  (3)'!LRS653:LSK3729,3,0),"")</f>
        <v/>
      </c>
      <c r="LRU671" t="str">
        <f>IFERROR(VLOOKUP(LRV671,'[3]Raw material  (3)'!LRT653:LSL3729,3,0),"")</f>
        <v/>
      </c>
      <c r="LRV671" t="str">
        <f>IFERROR(VLOOKUP(LRW671,'[3]Raw material  (3)'!LRU653:LSM3729,3,0),"")</f>
        <v/>
      </c>
      <c r="LRW671" t="str">
        <f>IFERROR(VLOOKUP(LRX671,'[3]Raw material  (3)'!LRV653:LSN3729,3,0),"")</f>
        <v/>
      </c>
      <c r="LRX671" t="str">
        <f>IFERROR(VLOOKUP(LRY671,'[3]Raw material  (3)'!LRW653:LSO3729,3,0),"")</f>
        <v/>
      </c>
      <c r="LRY671" t="str">
        <f>IFERROR(VLOOKUP(LRZ671,'[3]Raw material  (3)'!LRX653:LSP3729,3,0),"")</f>
        <v/>
      </c>
      <c r="LRZ671" t="str">
        <f>IFERROR(VLOOKUP(LSA671,'[3]Raw material  (3)'!LRY653:LSQ3729,3,0),"")</f>
        <v/>
      </c>
      <c r="LSA671" t="str">
        <f>IFERROR(VLOOKUP(LSB671,'[3]Raw material  (3)'!LRZ653:LSR3729,3,0),"")</f>
        <v/>
      </c>
      <c r="LSB671" t="str">
        <f>IFERROR(VLOOKUP(LSC671,'[3]Raw material  (3)'!LSA653:LSS3729,3,0),"")</f>
        <v/>
      </c>
      <c r="LSC671" t="str">
        <f>IFERROR(VLOOKUP(LSD671,'[3]Raw material  (3)'!LSB653:LST3729,3,0),"")</f>
        <v/>
      </c>
      <c r="LSD671" t="str">
        <f>IFERROR(VLOOKUP(LSE671,'[3]Raw material  (3)'!LSC653:LSU3729,3,0),"")</f>
        <v/>
      </c>
      <c r="LSE671" t="str">
        <f>IFERROR(VLOOKUP(LSF671,'[3]Raw material  (3)'!LSD653:LSV3729,3,0),"")</f>
        <v/>
      </c>
      <c r="LSF671" t="str">
        <f>IFERROR(VLOOKUP(LSG671,'[3]Raw material  (3)'!LSE653:LSW3729,3,0),"")</f>
        <v/>
      </c>
      <c r="LSG671" t="str">
        <f>IFERROR(VLOOKUP(LSH671,'[3]Raw material  (3)'!LSF653:LSX3729,3,0),"")</f>
        <v/>
      </c>
      <c r="LSH671" t="str">
        <f>IFERROR(VLOOKUP(LSI671,'[3]Raw material  (3)'!LSG653:LSY3729,3,0),"")</f>
        <v/>
      </c>
      <c r="LSI671" t="str">
        <f>IFERROR(VLOOKUP(LSJ671,'[3]Raw material  (3)'!LSH653:LSZ3729,3,0),"")</f>
        <v/>
      </c>
      <c r="LSJ671" t="str">
        <f>IFERROR(VLOOKUP(LSK671,'[3]Raw material  (3)'!LSI653:LTA3729,3,0),"")</f>
        <v/>
      </c>
      <c r="LSK671" t="str">
        <f>IFERROR(VLOOKUP(LSL671,'[3]Raw material  (3)'!LSJ653:LTB3729,3,0),"")</f>
        <v/>
      </c>
      <c r="LSL671" t="str">
        <f>IFERROR(VLOOKUP(LSM671,'[3]Raw material  (3)'!LSK653:LTC3729,3,0),"")</f>
        <v/>
      </c>
      <c r="LSM671" t="str">
        <f>IFERROR(VLOOKUP(LSN671,'[3]Raw material  (3)'!LSL653:LTD3729,3,0),"")</f>
        <v/>
      </c>
      <c r="LSN671" t="str">
        <f>IFERROR(VLOOKUP(LSO671,'[3]Raw material  (3)'!LSM653:LTE3729,3,0),"")</f>
        <v/>
      </c>
      <c r="LSO671" t="str">
        <f>IFERROR(VLOOKUP(LSP671,'[3]Raw material  (3)'!LSN653:LTF3729,3,0),"")</f>
        <v/>
      </c>
      <c r="LSP671" t="str">
        <f>IFERROR(VLOOKUP(LSQ671,'[3]Raw material  (3)'!LSO653:LTG3729,3,0),"")</f>
        <v/>
      </c>
      <c r="LSQ671" t="str">
        <f>IFERROR(VLOOKUP(LSR671,'[3]Raw material  (3)'!LSP653:LTH3729,3,0),"")</f>
        <v/>
      </c>
      <c r="LSR671" t="str">
        <f>IFERROR(VLOOKUP(LSS671,'[3]Raw material  (3)'!LSQ653:LTI3729,3,0),"")</f>
        <v/>
      </c>
      <c r="LSS671" t="str">
        <f>IFERROR(VLOOKUP(LST671,'[3]Raw material  (3)'!LSR653:LTJ3729,3,0),"")</f>
        <v/>
      </c>
      <c r="LST671" t="str">
        <f>IFERROR(VLOOKUP(LSU671,'[3]Raw material  (3)'!LSS653:LTK3729,3,0),"")</f>
        <v/>
      </c>
      <c r="LSU671" t="str">
        <f>IFERROR(VLOOKUP(LSV671,'[3]Raw material  (3)'!LST653:LTL3729,3,0),"")</f>
        <v/>
      </c>
      <c r="LSV671" t="str">
        <f>IFERROR(VLOOKUP(LSW671,'[3]Raw material  (3)'!LSU653:LTM3729,3,0),"")</f>
        <v/>
      </c>
      <c r="LSW671" t="str">
        <f>IFERROR(VLOOKUP(LSX671,'[3]Raw material  (3)'!LSV653:LTN3729,3,0),"")</f>
        <v/>
      </c>
      <c r="LSX671" t="str">
        <f>IFERROR(VLOOKUP(LSY671,'[3]Raw material  (3)'!LSW653:LTO3729,3,0),"")</f>
        <v/>
      </c>
      <c r="LSY671" t="str">
        <f>IFERROR(VLOOKUP(LSZ671,'[3]Raw material  (3)'!LSX653:LTP3729,3,0),"")</f>
        <v/>
      </c>
      <c r="LSZ671" t="str">
        <f>IFERROR(VLOOKUP(LTA671,'[3]Raw material  (3)'!LSY653:LTQ3729,3,0),"")</f>
        <v/>
      </c>
      <c r="LTA671" t="str">
        <f>IFERROR(VLOOKUP(LTB671,'[3]Raw material  (3)'!LSZ653:LTR3729,3,0),"")</f>
        <v/>
      </c>
      <c r="LTB671" t="str">
        <f>IFERROR(VLOOKUP(LTC671,'[3]Raw material  (3)'!LTA653:LTS3729,3,0),"")</f>
        <v/>
      </c>
      <c r="LTC671" t="str">
        <f>IFERROR(VLOOKUP(LTD671,'[3]Raw material  (3)'!LTB653:LTT3729,3,0),"")</f>
        <v/>
      </c>
      <c r="LTD671" t="str">
        <f>IFERROR(VLOOKUP(LTE671,'[3]Raw material  (3)'!LTC653:LTU3729,3,0),"")</f>
        <v/>
      </c>
      <c r="LTE671" t="str">
        <f>IFERROR(VLOOKUP(LTF671,'[3]Raw material  (3)'!LTD653:LTV3729,3,0),"")</f>
        <v/>
      </c>
      <c r="LTF671" t="str">
        <f>IFERROR(VLOOKUP(LTG671,'[3]Raw material  (3)'!LTE653:LTW3729,3,0),"")</f>
        <v/>
      </c>
      <c r="LTG671" t="str">
        <f>IFERROR(VLOOKUP(LTH671,'[3]Raw material  (3)'!LTF653:LTX3729,3,0),"")</f>
        <v/>
      </c>
      <c r="LTH671" t="str">
        <f>IFERROR(VLOOKUP(LTI671,'[3]Raw material  (3)'!LTG653:LTY3729,3,0),"")</f>
        <v/>
      </c>
      <c r="LTI671" t="str">
        <f>IFERROR(VLOOKUP(LTJ671,'[3]Raw material  (3)'!LTH653:LTZ3729,3,0),"")</f>
        <v/>
      </c>
      <c r="LTJ671" t="str">
        <f>IFERROR(VLOOKUP(LTK671,'[3]Raw material  (3)'!LTI653:LUA3729,3,0),"")</f>
        <v/>
      </c>
      <c r="LTK671" t="str">
        <f>IFERROR(VLOOKUP(LTL671,'[3]Raw material  (3)'!LTJ653:LUB3729,3,0),"")</f>
        <v/>
      </c>
      <c r="LTL671" t="str">
        <f>IFERROR(VLOOKUP(LTM671,'[3]Raw material  (3)'!LTK653:LUC3729,3,0),"")</f>
        <v/>
      </c>
      <c r="LTM671" t="str">
        <f>IFERROR(VLOOKUP(LTN671,'[3]Raw material  (3)'!LTL653:LUD3729,3,0),"")</f>
        <v/>
      </c>
      <c r="LTN671" t="str">
        <f>IFERROR(VLOOKUP(LTO671,'[3]Raw material  (3)'!LTM653:LUE3729,3,0),"")</f>
        <v/>
      </c>
      <c r="LTO671" t="str">
        <f>IFERROR(VLOOKUP(LTP671,'[3]Raw material  (3)'!LTN653:LUF3729,3,0),"")</f>
        <v/>
      </c>
      <c r="LTP671" t="str">
        <f>IFERROR(VLOOKUP(LTQ671,'[3]Raw material  (3)'!LTO653:LUG3729,3,0),"")</f>
        <v/>
      </c>
      <c r="LTQ671" t="str">
        <f>IFERROR(VLOOKUP(LTR671,'[3]Raw material  (3)'!LTP653:LUH3729,3,0),"")</f>
        <v/>
      </c>
      <c r="LTR671" t="str">
        <f>IFERROR(VLOOKUP(LTS671,'[3]Raw material  (3)'!LTQ653:LUI3729,3,0),"")</f>
        <v/>
      </c>
      <c r="LTS671" t="str">
        <f>IFERROR(VLOOKUP(LTT671,'[3]Raw material  (3)'!LTR653:LUJ3729,3,0),"")</f>
        <v/>
      </c>
      <c r="LTT671" t="str">
        <f>IFERROR(VLOOKUP(LTU671,'[3]Raw material  (3)'!LTS653:LUK3729,3,0),"")</f>
        <v/>
      </c>
      <c r="LTU671" t="str">
        <f>IFERROR(VLOOKUP(LTV671,'[3]Raw material  (3)'!LTT653:LUL3729,3,0),"")</f>
        <v/>
      </c>
      <c r="LTV671" t="str">
        <f>IFERROR(VLOOKUP(LTW671,'[3]Raw material  (3)'!LTU653:LUM3729,3,0),"")</f>
        <v/>
      </c>
      <c r="LTW671" t="str">
        <f>IFERROR(VLOOKUP(LTX671,'[3]Raw material  (3)'!LTV653:LUN3729,3,0),"")</f>
        <v/>
      </c>
      <c r="LTX671" t="str">
        <f>IFERROR(VLOOKUP(LTY671,'[3]Raw material  (3)'!LTW653:LUO3729,3,0),"")</f>
        <v/>
      </c>
      <c r="LTY671" t="str">
        <f>IFERROR(VLOOKUP(LTZ671,'[3]Raw material  (3)'!LTX653:LUP3729,3,0),"")</f>
        <v/>
      </c>
      <c r="LTZ671" t="str">
        <f>IFERROR(VLOOKUP(LUA671,'[3]Raw material  (3)'!LTY653:LUQ3729,3,0),"")</f>
        <v/>
      </c>
      <c r="LUA671" t="str">
        <f>IFERROR(VLOOKUP(LUB671,'[3]Raw material  (3)'!LTZ653:LUR3729,3,0),"")</f>
        <v/>
      </c>
      <c r="LUB671" t="str">
        <f>IFERROR(VLOOKUP(LUC671,'[3]Raw material  (3)'!LUA653:LUS3729,3,0),"")</f>
        <v/>
      </c>
      <c r="LUC671" t="str">
        <f>IFERROR(VLOOKUP(LUD671,'[3]Raw material  (3)'!LUB653:LUT3729,3,0),"")</f>
        <v/>
      </c>
      <c r="LUD671" t="str">
        <f>IFERROR(VLOOKUP(LUE671,'[3]Raw material  (3)'!LUC653:LUU3729,3,0),"")</f>
        <v/>
      </c>
      <c r="LUE671" t="str">
        <f>IFERROR(VLOOKUP(LUF671,'[3]Raw material  (3)'!LUD653:LUV3729,3,0),"")</f>
        <v/>
      </c>
      <c r="LUF671" t="str">
        <f>IFERROR(VLOOKUP(LUG671,'[3]Raw material  (3)'!LUE653:LUW3729,3,0),"")</f>
        <v/>
      </c>
      <c r="LUG671" t="str">
        <f>IFERROR(VLOOKUP(LUH671,'[3]Raw material  (3)'!LUF653:LUX3729,3,0),"")</f>
        <v/>
      </c>
      <c r="LUH671" t="str">
        <f>IFERROR(VLOOKUP(LUI671,'[3]Raw material  (3)'!LUG653:LUY3729,3,0),"")</f>
        <v/>
      </c>
      <c r="LUI671" t="str">
        <f>IFERROR(VLOOKUP(LUJ671,'[3]Raw material  (3)'!LUH653:LUZ3729,3,0),"")</f>
        <v/>
      </c>
      <c r="LUJ671" t="str">
        <f>IFERROR(VLOOKUP(LUK671,'[3]Raw material  (3)'!LUI653:LVA3729,3,0),"")</f>
        <v/>
      </c>
      <c r="LUK671" t="str">
        <f>IFERROR(VLOOKUP(LUL671,'[3]Raw material  (3)'!LUJ653:LVB3729,3,0),"")</f>
        <v/>
      </c>
      <c r="LUL671" t="str">
        <f>IFERROR(VLOOKUP(LUM671,'[3]Raw material  (3)'!LUK653:LVC3729,3,0),"")</f>
        <v/>
      </c>
      <c r="LUM671" t="str">
        <f>IFERROR(VLOOKUP(LUN671,'[3]Raw material  (3)'!LUL653:LVD3729,3,0),"")</f>
        <v/>
      </c>
      <c r="LUN671" t="str">
        <f>IFERROR(VLOOKUP(LUO671,'[3]Raw material  (3)'!LUM653:LVE3729,3,0),"")</f>
        <v/>
      </c>
      <c r="LUO671" t="str">
        <f>IFERROR(VLOOKUP(LUP671,'[3]Raw material  (3)'!LUN653:LVF3729,3,0),"")</f>
        <v/>
      </c>
      <c r="LUP671" t="str">
        <f>IFERROR(VLOOKUP(LUQ671,'[3]Raw material  (3)'!LUO653:LVG3729,3,0),"")</f>
        <v/>
      </c>
      <c r="LUQ671" t="str">
        <f>IFERROR(VLOOKUP(LUR671,'[3]Raw material  (3)'!LUP653:LVH3729,3,0),"")</f>
        <v/>
      </c>
      <c r="LUR671" t="str">
        <f>IFERROR(VLOOKUP(LUS671,'[3]Raw material  (3)'!LUQ653:LVI3729,3,0),"")</f>
        <v/>
      </c>
      <c r="LUS671" t="str">
        <f>IFERROR(VLOOKUP(LUT671,'[3]Raw material  (3)'!LUR653:LVJ3729,3,0),"")</f>
        <v/>
      </c>
      <c r="LUT671" t="str">
        <f>IFERROR(VLOOKUP(LUU671,'[3]Raw material  (3)'!LUS653:LVK3729,3,0),"")</f>
        <v/>
      </c>
      <c r="LUU671" t="str">
        <f>IFERROR(VLOOKUP(LUV671,'[3]Raw material  (3)'!LUT653:LVL3729,3,0),"")</f>
        <v/>
      </c>
      <c r="LUV671" t="str">
        <f>IFERROR(VLOOKUP(LUW671,'[3]Raw material  (3)'!LUU653:LVM3729,3,0),"")</f>
        <v/>
      </c>
      <c r="LUW671" t="str">
        <f>IFERROR(VLOOKUP(LUX671,'[3]Raw material  (3)'!LUV653:LVN3729,3,0),"")</f>
        <v/>
      </c>
      <c r="LUX671" t="str">
        <f>IFERROR(VLOOKUP(LUY671,'[3]Raw material  (3)'!LUW653:LVO3729,3,0),"")</f>
        <v/>
      </c>
      <c r="LUY671" t="str">
        <f>IFERROR(VLOOKUP(LUZ671,'[3]Raw material  (3)'!LUX653:LVP3729,3,0),"")</f>
        <v/>
      </c>
      <c r="LUZ671" t="str">
        <f>IFERROR(VLOOKUP(LVA671,'[3]Raw material  (3)'!LUY653:LVQ3729,3,0),"")</f>
        <v/>
      </c>
      <c r="LVA671" t="str">
        <f>IFERROR(VLOOKUP(LVB671,'[3]Raw material  (3)'!LUZ653:LVR3729,3,0),"")</f>
        <v/>
      </c>
      <c r="LVB671" t="str">
        <f>IFERROR(VLOOKUP(LVC671,'[3]Raw material  (3)'!LVA653:LVS3729,3,0),"")</f>
        <v/>
      </c>
      <c r="LVC671" t="str">
        <f>IFERROR(VLOOKUP(LVD671,'[3]Raw material  (3)'!LVB653:LVT3729,3,0),"")</f>
        <v/>
      </c>
      <c r="LVD671" t="str">
        <f>IFERROR(VLOOKUP(LVE671,'[3]Raw material  (3)'!LVC653:LVU3729,3,0),"")</f>
        <v/>
      </c>
      <c r="LVE671" t="str">
        <f>IFERROR(VLOOKUP(LVF671,'[3]Raw material  (3)'!LVD653:LVV3729,3,0),"")</f>
        <v/>
      </c>
      <c r="LVF671" t="str">
        <f>IFERROR(VLOOKUP(LVG671,'[3]Raw material  (3)'!LVE653:LVW3729,3,0),"")</f>
        <v/>
      </c>
      <c r="LVG671" t="str">
        <f>IFERROR(VLOOKUP(LVH671,'[3]Raw material  (3)'!LVF653:LVX3729,3,0),"")</f>
        <v/>
      </c>
      <c r="LVH671" t="str">
        <f>IFERROR(VLOOKUP(LVI671,'[3]Raw material  (3)'!LVG653:LVY3729,3,0),"")</f>
        <v/>
      </c>
      <c r="LVI671" t="str">
        <f>IFERROR(VLOOKUP(LVJ671,'[3]Raw material  (3)'!LVH653:LVZ3729,3,0),"")</f>
        <v/>
      </c>
      <c r="LVJ671" t="str">
        <f>IFERROR(VLOOKUP(LVK671,'[3]Raw material  (3)'!LVI653:LWA3729,3,0),"")</f>
        <v/>
      </c>
      <c r="LVK671" t="str">
        <f>IFERROR(VLOOKUP(LVL671,'[3]Raw material  (3)'!LVJ653:LWB3729,3,0),"")</f>
        <v/>
      </c>
      <c r="LVL671" t="str">
        <f>IFERROR(VLOOKUP(LVM671,'[3]Raw material  (3)'!LVK653:LWC3729,3,0),"")</f>
        <v/>
      </c>
      <c r="LVM671" t="str">
        <f>IFERROR(VLOOKUP(LVN671,'[3]Raw material  (3)'!LVL653:LWD3729,3,0),"")</f>
        <v/>
      </c>
      <c r="LVN671" t="str">
        <f>IFERROR(VLOOKUP(LVO671,'[3]Raw material  (3)'!LVM653:LWE3729,3,0),"")</f>
        <v/>
      </c>
      <c r="LVO671" t="str">
        <f>IFERROR(VLOOKUP(LVP671,'[3]Raw material  (3)'!LVN653:LWF3729,3,0),"")</f>
        <v/>
      </c>
      <c r="LVP671" t="str">
        <f>IFERROR(VLOOKUP(LVQ671,'[3]Raw material  (3)'!LVO653:LWG3729,3,0),"")</f>
        <v/>
      </c>
      <c r="LVQ671" t="str">
        <f>IFERROR(VLOOKUP(LVR671,'[3]Raw material  (3)'!LVP653:LWH3729,3,0),"")</f>
        <v/>
      </c>
      <c r="LVR671" t="str">
        <f>IFERROR(VLOOKUP(LVS671,'[3]Raw material  (3)'!LVQ653:LWI3729,3,0),"")</f>
        <v/>
      </c>
      <c r="LVS671" t="str">
        <f>IFERROR(VLOOKUP(LVT671,'[3]Raw material  (3)'!LVR653:LWJ3729,3,0),"")</f>
        <v/>
      </c>
      <c r="LVT671" t="str">
        <f>IFERROR(VLOOKUP(LVU671,'[3]Raw material  (3)'!LVS653:LWK3729,3,0),"")</f>
        <v/>
      </c>
      <c r="LVU671" t="str">
        <f>IFERROR(VLOOKUP(LVV671,'[3]Raw material  (3)'!LVT653:LWL3729,3,0),"")</f>
        <v/>
      </c>
      <c r="LVV671" t="str">
        <f>IFERROR(VLOOKUP(LVW671,'[3]Raw material  (3)'!LVU653:LWM3729,3,0),"")</f>
        <v/>
      </c>
      <c r="LVW671" t="str">
        <f>IFERROR(VLOOKUP(LVX671,'[3]Raw material  (3)'!LVV653:LWN3729,3,0),"")</f>
        <v/>
      </c>
      <c r="LVX671" t="str">
        <f>IFERROR(VLOOKUP(LVY671,'[3]Raw material  (3)'!LVW653:LWO3729,3,0),"")</f>
        <v/>
      </c>
      <c r="LVY671" t="str">
        <f>IFERROR(VLOOKUP(LVZ671,'[3]Raw material  (3)'!LVX653:LWP3729,3,0),"")</f>
        <v/>
      </c>
      <c r="LVZ671" t="str">
        <f>IFERROR(VLOOKUP(LWA671,'[3]Raw material  (3)'!LVY653:LWQ3729,3,0),"")</f>
        <v/>
      </c>
      <c r="LWA671" t="str">
        <f>IFERROR(VLOOKUP(LWB671,'[3]Raw material  (3)'!LVZ653:LWR3729,3,0),"")</f>
        <v/>
      </c>
      <c r="LWB671" t="str">
        <f>IFERROR(VLOOKUP(LWC671,'[3]Raw material  (3)'!LWA653:LWS3729,3,0),"")</f>
        <v/>
      </c>
      <c r="LWC671" t="str">
        <f>IFERROR(VLOOKUP(LWD671,'[3]Raw material  (3)'!LWB653:LWT3729,3,0),"")</f>
        <v/>
      </c>
      <c r="LWD671" t="str">
        <f>IFERROR(VLOOKUP(LWE671,'[3]Raw material  (3)'!LWC653:LWU3729,3,0),"")</f>
        <v/>
      </c>
      <c r="LWE671" t="str">
        <f>IFERROR(VLOOKUP(LWF671,'[3]Raw material  (3)'!LWD653:LWV3729,3,0),"")</f>
        <v/>
      </c>
      <c r="LWF671" t="str">
        <f>IFERROR(VLOOKUP(LWG671,'[3]Raw material  (3)'!LWE653:LWW3729,3,0),"")</f>
        <v/>
      </c>
      <c r="LWG671" t="str">
        <f>IFERROR(VLOOKUP(LWH671,'[3]Raw material  (3)'!LWF653:LWX3729,3,0),"")</f>
        <v/>
      </c>
      <c r="LWH671" t="str">
        <f>IFERROR(VLOOKUP(LWI671,'[3]Raw material  (3)'!LWG653:LWY3729,3,0),"")</f>
        <v/>
      </c>
      <c r="LWI671" t="str">
        <f>IFERROR(VLOOKUP(LWJ671,'[3]Raw material  (3)'!LWH653:LWZ3729,3,0),"")</f>
        <v/>
      </c>
      <c r="LWJ671" t="str">
        <f>IFERROR(VLOOKUP(LWK671,'[3]Raw material  (3)'!LWI653:LXA3729,3,0),"")</f>
        <v/>
      </c>
      <c r="LWK671" t="str">
        <f>IFERROR(VLOOKUP(LWL671,'[3]Raw material  (3)'!LWJ653:LXB3729,3,0),"")</f>
        <v/>
      </c>
      <c r="LWL671" t="str">
        <f>IFERROR(VLOOKUP(LWM671,'[3]Raw material  (3)'!LWK653:LXC3729,3,0),"")</f>
        <v/>
      </c>
      <c r="LWM671" t="str">
        <f>IFERROR(VLOOKUP(LWN671,'[3]Raw material  (3)'!LWL653:LXD3729,3,0),"")</f>
        <v/>
      </c>
      <c r="LWN671" t="str">
        <f>IFERROR(VLOOKUP(LWO671,'[3]Raw material  (3)'!LWM653:LXE3729,3,0),"")</f>
        <v/>
      </c>
      <c r="LWO671" t="str">
        <f>IFERROR(VLOOKUP(LWP671,'[3]Raw material  (3)'!LWN653:LXF3729,3,0),"")</f>
        <v/>
      </c>
      <c r="LWP671" t="str">
        <f>IFERROR(VLOOKUP(LWQ671,'[3]Raw material  (3)'!LWO653:LXG3729,3,0),"")</f>
        <v/>
      </c>
      <c r="LWQ671" t="str">
        <f>IFERROR(VLOOKUP(LWR671,'[3]Raw material  (3)'!LWP653:LXH3729,3,0),"")</f>
        <v/>
      </c>
      <c r="LWR671" t="str">
        <f>IFERROR(VLOOKUP(LWS671,'[3]Raw material  (3)'!LWQ653:LXI3729,3,0),"")</f>
        <v/>
      </c>
      <c r="LWS671" t="str">
        <f>IFERROR(VLOOKUP(LWT671,'[3]Raw material  (3)'!LWR653:LXJ3729,3,0),"")</f>
        <v/>
      </c>
      <c r="LWT671" t="str">
        <f>IFERROR(VLOOKUP(LWU671,'[3]Raw material  (3)'!LWS653:LXK3729,3,0),"")</f>
        <v/>
      </c>
      <c r="LWU671" t="str">
        <f>IFERROR(VLOOKUP(LWV671,'[3]Raw material  (3)'!LWT653:LXL3729,3,0),"")</f>
        <v/>
      </c>
      <c r="LWV671" t="str">
        <f>IFERROR(VLOOKUP(LWW671,'[3]Raw material  (3)'!LWU653:LXM3729,3,0),"")</f>
        <v/>
      </c>
      <c r="LWW671" t="str">
        <f>IFERROR(VLOOKUP(LWX671,'[3]Raw material  (3)'!LWV653:LXN3729,3,0),"")</f>
        <v/>
      </c>
      <c r="LWX671" t="str">
        <f>IFERROR(VLOOKUP(LWY671,'[3]Raw material  (3)'!LWW653:LXO3729,3,0),"")</f>
        <v/>
      </c>
      <c r="LWY671" t="str">
        <f>IFERROR(VLOOKUP(LWZ671,'[3]Raw material  (3)'!LWX653:LXP3729,3,0),"")</f>
        <v/>
      </c>
      <c r="LWZ671" t="str">
        <f>IFERROR(VLOOKUP(LXA671,'[3]Raw material  (3)'!LWY653:LXQ3729,3,0),"")</f>
        <v/>
      </c>
      <c r="LXA671" t="str">
        <f>IFERROR(VLOOKUP(LXB671,'[3]Raw material  (3)'!LWZ653:LXR3729,3,0),"")</f>
        <v/>
      </c>
      <c r="LXB671" t="str">
        <f>IFERROR(VLOOKUP(LXC671,'[3]Raw material  (3)'!LXA653:LXS3729,3,0),"")</f>
        <v/>
      </c>
      <c r="LXC671" t="str">
        <f>IFERROR(VLOOKUP(LXD671,'[3]Raw material  (3)'!LXB653:LXT3729,3,0),"")</f>
        <v/>
      </c>
      <c r="LXD671" t="str">
        <f>IFERROR(VLOOKUP(LXE671,'[3]Raw material  (3)'!LXC653:LXU3729,3,0),"")</f>
        <v/>
      </c>
      <c r="LXE671" t="str">
        <f>IFERROR(VLOOKUP(LXF671,'[3]Raw material  (3)'!LXD653:LXV3729,3,0),"")</f>
        <v/>
      </c>
      <c r="LXF671" t="str">
        <f>IFERROR(VLOOKUP(LXG671,'[3]Raw material  (3)'!LXE653:LXW3729,3,0),"")</f>
        <v/>
      </c>
      <c r="LXG671" t="str">
        <f>IFERROR(VLOOKUP(LXH671,'[3]Raw material  (3)'!LXF653:LXX3729,3,0),"")</f>
        <v/>
      </c>
      <c r="LXH671" t="str">
        <f>IFERROR(VLOOKUP(LXI671,'[3]Raw material  (3)'!LXG653:LXY3729,3,0),"")</f>
        <v/>
      </c>
      <c r="LXI671" t="str">
        <f>IFERROR(VLOOKUP(LXJ671,'[3]Raw material  (3)'!LXH653:LXZ3729,3,0),"")</f>
        <v/>
      </c>
      <c r="LXJ671" t="str">
        <f>IFERROR(VLOOKUP(LXK671,'[3]Raw material  (3)'!LXI653:LYA3729,3,0),"")</f>
        <v/>
      </c>
      <c r="LXK671" t="str">
        <f>IFERROR(VLOOKUP(LXL671,'[3]Raw material  (3)'!LXJ653:LYB3729,3,0),"")</f>
        <v/>
      </c>
      <c r="LXL671" t="str">
        <f>IFERROR(VLOOKUP(LXM671,'[3]Raw material  (3)'!LXK653:LYC3729,3,0),"")</f>
        <v/>
      </c>
      <c r="LXM671" t="str">
        <f>IFERROR(VLOOKUP(LXN671,'[3]Raw material  (3)'!LXL653:LYD3729,3,0),"")</f>
        <v/>
      </c>
      <c r="LXN671" t="str">
        <f>IFERROR(VLOOKUP(LXO671,'[3]Raw material  (3)'!LXM653:LYE3729,3,0),"")</f>
        <v/>
      </c>
      <c r="LXO671" t="str">
        <f>IFERROR(VLOOKUP(LXP671,'[3]Raw material  (3)'!LXN653:LYF3729,3,0),"")</f>
        <v/>
      </c>
      <c r="LXP671" t="str">
        <f>IFERROR(VLOOKUP(LXQ671,'[3]Raw material  (3)'!LXO653:LYG3729,3,0),"")</f>
        <v/>
      </c>
      <c r="LXQ671" t="str">
        <f>IFERROR(VLOOKUP(LXR671,'[3]Raw material  (3)'!LXP653:LYH3729,3,0),"")</f>
        <v/>
      </c>
      <c r="LXR671" t="str">
        <f>IFERROR(VLOOKUP(LXS671,'[3]Raw material  (3)'!LXQ653:LYI3729,3,0),"")</f>
        <v/>
      </c>
      <c r="LXS671" t="str">
        <f>IFERROR(VLOOKUP(LXT671,'[3]Raw material  (3)'!LXR653:LYJ3729,3,0),"")</f>
        <v/>
      </c>
      <c r="LXT671" t="str">
        <f>IFERROR(VLOOKUP(LXU671,'[3]Raw material  (3)'!LXS653:LYK3729,3,0),"")</f>
        <v/>
      </c>
      <c r="LXU671" t="str">
        <f>IFERROR(VLOOKUP(LXV671,'[3]Raw material  (3)'!LXT653:LYL3729,3,0),"")</f>
        <v/>
      </c>
      <c r="LXV671" t="str">
        <f>IFERROR(VLOOKUP(LXW671,'[3]Raw material  (3)'!LXU653:LYM3729,3,0),"")</f>
        <v/>
      </c>
      <c r="LXW671" t="str">
        <f>IFERROR(VLOOKUP(LXX671,'[3]Raw material  (3)'!LXV653:LYN3729,3,0),"")</f>
        <v/>
      </c>
      <c r="LXX671" t="str">
        <f>IFERROR(VLOOKUP(LXY671,'[3]Raw material  (3)'!LXW653:LYO3729,3,0),"")</f>
        <v/>
      </c>
      <c r="LXY671" t="str">
        <f>IFERROR(VLOOKUP(LXZ671,'[3]Raw material  (3)'!LXX653:LYP3729,3,0),"")</f>
        <v/>
      </c>
      <c r="LXZ671" t="str">
        <f>IFERROR(VLOOKUP(LYA671,'[3]Raw material  (3)'!LXY653:LYQ3729,3,0),"")</f>
        <v/>
      </c>
      <c r="LYA671" t="str">
        <f>IFERROR(VLOOKUP(LYB671,'[3]Raw material  (3)'!LXZ653:LYR3729,3,0),"")</f>
        <v/>
      </c>
      <c r="LYB671" t="str">
        <f>IFERROR(VLOOKUP(LYC671,'[3]Raw material  (3)'!LYA653:LYS3729,3,0),"")</f>
        <v/>
      </c>
      <c r="LYC671" t="str">
        <f>IFERROR(VLOOKUP(LYD671,'[3]Raw material  (3)'!LYB653:LYT3729,3,0),"")</f>
        <v/>
      </c>
      <c r="LYD671" t="str">
        <f>IFERROR(VLOOKUP(LYE671,'[3]Raw material  (3)'!LYC653:LYU3729,3,0),"")</f>
        <v/>
      </c>
      <c r="LYE671" t="str">
        <f>IFERROR(VLOOKUP(LYF671,'[3]Raw material  (3)'!LYD653:LYV3729,3,0),"")</f>
        <v/>
      </c>
      <c r="LYF671" t="str">
        <f>IFERROR(VLOOKUP(LYG671,'[3]Raw material  (3)'!LYE653:LYW3729,3,0),"")</f>
        <v/>
      </c>
      <c r="LYG671" t="str">
        <f>IFERROR(VLOOKUP(LYH671,'[3]Raw material  (3)'!LYF653:LYX3729,3,0),"")</f>
        <v/>
      </c>
      <c r="LYH671" t="str">
        <f>IFERROR(VLOOKUP(LYI671,'[3]Raw material  (3)'!LYG653:LYY3729,3,0),"")</f>
        <v/>
      </c>
      <c r="LYI671" t="str">
        <f>IFERROR(VLOOKUP(LYJ671,'[3]Raw material  (3)'!LYH653:LYZ3729,3,0),"")</f>
        <v/>
      </c>
      <c r="LYJ671" t="str">
        <f>IFERROR(VLOOKUP(LYK671,'[3]Raw material  (3)'!LYI653:LZA3729,3,0),"")</f>
        <v/>
      </c>
      <c r="LYK671" t="str">
        <f>IFERROR(VLOOKUP(LYL671,'[3]Raw material  (3)'!LYJ653:LZB3729,3,0),"")</f>
        <v/>
      </c>
      <c r="LYL671" t="str">
        <f>IFERROR(VLOOKUP(LYM671,'[3]Raw material  (3)'!LYK653:LZC3729,3,0),"")</f>
        <v/>
      </c>
      <c r="LYM671" t="str">
        <f>IFERROR(VLOOKUP(LYN671,'[3]Raw material  (3)'!LYL653:LZD3729,3,0),"")</f>
        <v/>
      </c>
      <c r="LYN671" t="str">
        <f>IFERROR(VLOOKUP(LYO671,'[3]Raw material  (3)'!LYM653:LZE3729,3,0),"")</f>
        <v/>
      </c>
      <c r="LYO671" t="str">
        <f>IFERROR(VLOOKUP(LYP671,'[3]Raw material  (3)'!LYN653:LZF3729,3,0),"")</f>
        <v/>
      </c>
      <c r="LYP671" t="str">
        <f>IFERROR(VLOOKUP(LYQ671,'[3]Raw material  (3)'!LYO653:LZG3729,3,0),"")</f>
        <v/>
      </c>
      <c r="LYQ671" t="str">
        <f>IFERROR(VLOOKUP(LYR671,'[3]Raw material  (3)'!LYP653:LZH3729,3,0),"")</f>
        <v/>
      </c>
      <c r="LYR671" t="str">
        <f>IFERROR(VLOOKUP(LYS671,'[3]Raw material  (3)'!LYQ653:LZI3729,3,0),"")</f>
        <v/>
      </c>
      <c r="LYS671" t="str">
        <f>IFERROR(VLOOKUP(LYT671,'[3]Raw material  (3)'!LYR653:LZJ3729,3,0),"")</f>
        <v/>
      </c>
      <c r="LYT671" t="str">
        <f>IFERROR(VLOOKUP(LYU671,'[3]Raw material  (3)'!LYS653:LZK3729,3,0),"")</f>
        <v/>
      </c>
      <c r="LYU671" t="str">
        <f>IFERROR(VLOOKUP(LYV671,'[3]Raw material  (3)'!LYT653:LZL3729,3,0),"")</f>
        <v/>
      </c>
      <c r="LYV671" t="str">
        <f>IFERROR(VLOOKUP(LYW671,'[3]Raw material  (3)'!LYU653:LZM3729,3,0),"")</f>
        <v/>
      </c>
      <c r="LYW671" t="str">
        <f>IFERROR(VLOOKUP(LYX671,'[3]Raw material  (3)'!LYV653:LZN3729,3,0),"")</f>
        <v/>
      </c>
      <c r="LYX671" t="str">
        <f>IFERROR(VLOOKUP(LYY671,'[3]Raw material  (3)'!LYW653:LZO3729,3,0),"")</f>
        <v/>
      </c>
      <c r="LYY671" t="str">
        <f>IFERROR(VLOOKUP(LYZ671,'[3]Raw material  (3)'!LYX653:LZP3729,3,0),"")</f>
        <v/>
      </c>
      <c r="LYZ671" t="str">
        <f>IFERROR(VLOOKUP(LZA671,'[3]Raw material  (3)'!LYY653:LZQ3729,3,0),"")</f>
        <v/>
      </c>
      <c r="LZA671" t="str">
        <f>IFERROR(VLOOKUP(LZB671,'[3]Raw material  (3)'!LYZ653:LZR3729,3,0),"")</f>
        <v/>
      </c>
      <c r="LZB671" t="str">
        <f>IFERROR(VLOOKUP(LZC671,'[3]Raw material  (3)'!LZA653:LZS3729,3,0),"")</f>
        <v/>
      </c>
      <c r="LZC671" t="str">
        <f>IFERROR(VLOOKUP(LZD671,'[3]Raw material  (3)'!LZB653:LZT3729,3,0),"")</f>
        <v/>
      </c>
      <c r="LZD671" t="str">
        <f>IFERROR(VLOOKUP(LZE671,'[3]Raw material  (3)'!LZC653:LZU3729,3,0),"")</f>
        <v/>
      </c>
      <c r="LZE671" t="str">
        <f>IFERROR(VLOOKUP(LZF671,'[3]Raw material  (3)'!LZD653:LZV3729,3,0),"")</f>
        <v/>
      </c>
      <c r="LZF671" t="str">
        <f>IFERROR(VLOOKUP(LZG671,'[3]Raw material  (3)'!LZE653:LZW3729,3,0),"")</f>
        <v/>
      </c>
      <c r="LZG671" t="str">
        <f>IFERROR(VLOOKUP(LZH671,'[3]Raw material  (3)'!LZF653:LZX3729,3,0),"")</f>
        <v/>
      </c>
      <c r="LZH671" t="str">
        <f>IFERROR(VLOOKUP(LZI671,'[3]Raw material  (3)'!LZG653:LZY3729,3,0),"")</f>
        <v/>
      </c>
      <c r="LZI671" t="str">
        <f>IFERROR(VLOOKUP(LZJ671,'[3]Raw material  (3)'!LZH653:LZZ3729,3,0),"")</f>
        <v/>
      </c>
      <c r="LZJ671" t="str">
        <f>IFERROR(VLOOKUP(LZK671,'[3]Raw material  (3)'!LZI653:MAA3729,3,0),"")</f>
        <v/>
      </c>
      <c r="LZK671" t="str">
        <f>IFERROR(VLOOKUP(LZL671,'[3]Raw material  (3)'!LZJ653:MAB3729,3,0),"")</f>
        <v/>
      </c>
      <c r="LZL671" t="str">
        <f>IFERROR(VLOOKUP(LZM671,'[3]Raw material  (3)'!LZK653:MAC3729,3,0),"")</f>
        <v/>
      </c>
      <c r="LZM671" t="str">
        <f>IFERROR(VLOOKUP(LZN671,'[3]Raw material  (3)'!LZL653:MAD3729,3,0),"")</f>
        <v/>
      </c>
      <c r="LZN671" t="str">
        <f>IFERROR(VLOOKUP(LZO671,'[3]Raw material  (3)'!LZM653:MAE3729,3,0),"")</f>
        <v/>
      </c>
      <c r="LZO671" t="str">
        <f>IFERROR(VLOOKUP(LZP671,'[3]Raw material  (3)'!LZN653:MAF3729,3,0),"")</f>
        <v/>
      </c>
      <c r="LZP671" t="str">
        <f>IFERROR(VLOOKUP(LZQ671,'[3]Raw material  (3)'!LZO653:MAG3729,3,0),"")</f>
        <v/>
      </c>
      <c r="LZQ671" t="str">
        <f>IFERROR(VLOOKUP(LZR671,'[3]Raw material  (3)'!LZP653:MAH3729,3,0),"")</f>
        <v/>
      </c>
      <c r="LZR671" t="str">
        <f>IFERROR(VLOOKUP(LZS671,'[3]Raw material  (3)'!LZQ653:MAI3729,3,0),"")</f>
        <v/>
      </c>
      <c r="LZS671" t="str">
        <f>IFERROR(VLOOKUP(LZT671,'[3]Raw material  (3)'!LZR653:MAJ3729,3,0),"")</f>
        <v/>
      </c>
      <c r="LZT671" t="str">
        <f>IFERROR(VLOOKUP(LZU671,'[3]Raw material  (3)'!LZS653:MAK3729,3,0),"")</f>
        <v/>
      </c>
      <c r="LZU671" t="str">
        <f>IFERROR(VLOOKUP(LZV671,'[3]Raw material  (3)'!LZT653:MAL3729,3,0),"")</f>
        <v/>
      </c>
      <c r="LZV671" t="str">
        <f>IFERROR(VLOOKUP(LZW671,'[3]Raw material  (3)'!LZU653:MAM3729,3,0),"")</f>
        <v/>
      </c>
      <c r="LZW671" t="str">
        <f>IFERROR(VLOOKUP(LZX671,'[3]Raw material  (3)'!LZV653:MAN3729,3,0),"")</f>
        <v/>
      </c>
      <c r="LZX671" t="str">
        <f>IFERROR(VLOOKUP(LZY671,'[3]Raw material  (3)'!LZW653:MAO3729,3,0),"")</f>
        <v/>
      </c>
      <c r="LZY671" t="str">
        <f>IFERROR(VLOOKUP(LZZ671,'[3]Raw material  (3)'!LZX653:MAP3729,3,0),"")</f>
        <v/>
      </c>
      <c r="LZZ671" t="str">
        <f>IFERROR(VLOOKUP(MAA671,'[3]Raw material  (3)'!LZY653:MAQ3729,3,0),"")</f>
        <v/>
      </c>
      <c r="MAA671" t="str">
        <f>IFERROR(VLOOKUP(MAB671,'[3]Raw material  (3)'!LZZ653:MAR3729,3,0),"")</f>
        <v/>
      </c>
      <c r="MAB671" t="str">
        <f>IFERROR(VLOOKUP(MAC671,'[3]Raw material  (3)'!MAA653:MAS3729,3,0),"")</f>
        <v/>
      </c>
      <c r="MAC671" t="str">
        <f>IFERROR(VLOOKUP(MAD671,'[3]Raw material  (3)'!MAB653:MAT3729,3,0),"")</f>
        <v/>
      </c>
      <c r="MAD671" t="str">
        <f>IFERROR(VLOOKUP(MAE671,'[3]Raw material  (3)'!MAC653:MAU3729,3,0),"")</f>
        <v/>
      </c>
      <c r="MAE671" t="str">
        <f>IFERROR(VLOOKUP(MAF671,'[3]Raw material  (3)'!MAD653:MAV3729,3,0),"")</f>
        <v/>
      </c>
      <c r="MAF671" t="str">
        <f>IFERROR(VLOOKUP(MAG671,'[3]Raw material  (3)'!MAE653:MAW3729,3,0),"")</f>
        <v/>
      </c>
      <c r="MAG671" t="str">
        <f>IFERROR(VLOOKUP(MAH671,'[3]Raw material  (3)'!MAF653:MAX3729,3,0),"")</f>
        <v/>
      </c>
      <c r="MAH671" t="str">
        <f>IFERROR(VLOOKUP(MAI671,'[3]Raw material  (3)'!MAG653:MAY3729,3,0),"")</f>
        <v/>
      </c>
      <c r="MAI671" t="str">
        <f>IFERROR(VLOOKUP(MAJ671,'[3]Raw material  (3)'!MAH653:MAZ3729,3,0),"")</f>
        <v/>
      </c>
      <c r="MAJ671" t="str">
        <f>IFERROR(VLOOKUP(MAK671,'[3]Raw material  (3)'!MAI653:MBA3729,3,0),"")</f>
        <v/>
      </c>
      <c r="MAK671" t="str">
        <f>IFERROR(VLOOKUP(MAL671,'[3]Raw material  (3)'!MAJ653:MBB3729,3,0),"")</f>
        <v/>
      </c>
      <c r="MAL671" t="str">
        <f>IFERROR(VLOOKUP(MAM671,'[3]Raw material  (3)'!MAK653:MBC3729,3,0),"")</f>
        <v/>
      </c>
      <c r="MAM671" t="str">
        <f>IFERROR(VLOOKUP(MAN671,'[3]Raw material  (3)'!MAL653:MBD3729,3,0),"")</f>
        <v/>
      </c>
      <c r="MAN671" t="str">
        <f>IFERROR(VLOOKUP(MAO671,'[3]Raw material  (3)'!MAM653:MBE3729,3,0),"")</f>
        <v/>
      </c>
      <c r="MAO671" t="str">
        <f>IFERROR(VLOOKUP(MAP671,'[3]Raw material  (3)'!MAN653:MBF3729,3,0),"")</f>
        <v/>
      </c>
      <c r="MAP671" t="str">
        <f>IFERROR(VLOOKUP(MAQ671,'[3]Raw material  (3)'!MAO653:MBG3729,3,0),"")</f>
        <v/>
      </c>
      <c r="MAQ671" t="str">
        <f>IFERROR(VLOOKUP(MAR671,'[3]Raw material  (3)'!MAP653:MBH3729,3,0),"")</f>
        <v/>
      </c>
      <c r="MAR671" t="str">
        <f>IFERROR(VLOOKUP(MAS671,'[3]Raw material  (3)'!MAQ653:MBI3729,3,0),"")</f>
        <v/>
      </c>
      <c r="MAS671" t="str">
        <f>IFERROR(VLOOKUP(MAT671,'[3]Raw material  (3)'!MAR653:MBJ3729,3,0),"")</f>
        <v/>
      </c>
      <c r="MAT671" t="str">
        <f>IFERROR(VLOOKUP(MAU671,'[3]Raw material  (3)'!MAS653:MBK3729,3,0),"")</f>
        <v/>
      </c>
      <c r="MAU671" t="str">
        <f>IFERROR(VLOOKUP(MAV671,'[3]Raw material  (3)'!MAT653:MBL3729,3,0),"")</f>
        <v/>
      </c>
      <c r="MAV671" t="str">
        <f>IFERROR(VLOOKUP(MAW671,'[3]Raw material  (3)'!MAU653:MBM3729,3,0),"")</f>
        <v/>
      </c>
      <c r="MAW671" t="str">
        <f>IFERROR(VLOOKUP(MAX671,'[3]Raw material  (3)'!MAV653:MBN3729,3,0),"")</f>
        <v/>
      </c>
      <c r="MAX671" t="str">
        <f>IFERROR(VLOOKUP(MAY671,'[3]Raw material  (3)'!MAW653:MBO3729,3,0),"")</f>
        <v/>
      </c>
      <c r="MAY671" t="str">
        <f>IFERROR(VLOOKUP(MAZ671,'[3]Raw material  (3)'!MAX653:MBP3729,3,0),"")</f>
        <v/>
      </c>
      <c r="MAZ671" t="str">
        <f>IFERROR(VLOOKUP(MBA671,'[3]Raw material  (3)'!MAY653:MBQ3729,3,0),"")</f>
        <v/>
      </c>
      <c r="MBA671" t="str">
        <f>IFERROR(VLOOKUP(MBB671,'[3]Raw material  (3)'!MAZ653:MBR3729,3,0),"")</f>
        <v/>
      </c>
      <c r="MBB671" t="str">
        <f>IFERROR(VLOOKUP(MBC671,'[3]Raw material  (3)'!MBA653:MBS3729,3,0),"")</f>
        <v/>
      </c>
      <c r="MBC671" t="str">
        <f>IFERROR(VLOOKUP(MBD671,'[3]Raw material  (3)'!MBB653:MBT3729,3,0),"")</f>
        <v/>
      </c>
      <c r="MBD671" t="str">
        <f>IFERROR(VLOOKUP(MBE671,'[3]Raw material  (3)'!MBC653:MBU3729,3,0),"")</f>
        <v/>
      </c>
      <c r="MBE671" t="str">
        <f>IFERROR(VLOOKUP(MBF671,'[3]Raw material  (3)'!MBD653:MBV3729,3,0),"")</f>
        <v/>
      </c>
      <c r="MBF671" t="str">
        <f>IFERROR(VLOOKUP(MBG671,'[3]Raw material  (3)'!MBE653:MBW3729,3,0),"")</f>
        <v/>
      </c>
      <c r="MBG671" t="str">
        <f>IFERROR(VLOOKUP(MBH671,'[3]Raw material  (3)'!MBF653:MBX3729,3,0),"")</f>
        <v/>
      </c>
      <c r="MBH671" t="str">
        <f>IFERROR(VLOOKUP(MBI671,'[3]Raw material  (3)'!MBG653:MBY3729,3,0),"")</f>
        <v/>
      </c>
      <c r="MBI671" t="str">
        <f>IFERROR(VLOOKUP(MBJ671,'[3]Raw material  (3)'!MBH653:MBZ3729,3,0),"")</f>
        <v/>
      </c>
      <c r="MBJ671" t="str">
        <f>IFERROR(VLOOKUP(MBK671,'[3]Raw material  (3)'!MBI653:MCA3729,3,0),"")</f>
        <v/>
      </c>
      <c r="MBK671" t="str">
        <f>IFERROR(VLOOKUP(MBL671,'[3]Raw material  (3)'!MBJ653:MCB3729,3,0),"")</f>
        <v/>
      </c>
      <c r="MBL671" t="str">
        <f>IFERROR(VLOOKUP(MBM671,'[3]Raw material  (3)'!MBK653:MCC3729,3,0),"")</f>
        <v/>
      </c>
      <c r="MBM671" t="str">
        <f>IFERROR(VLOOKUP(MBN671,'[3]Raw material  (3)'!MBL653:MCD3729,3,0),"")</f>
        <v/>
      </c>
      <c r="MBN671" t="str">
        <f>IFERROR(VLOOKUP(MBO671,'[3]Raw material  (3)'!MBM653:MCE3729,3,0),"")</f>
        <v/>
      </c>
      <c r="MBO671" t="str">
        <f>IFERROR(VLOOKUP(MBP671,'[3]Raw material  (3)'!MBN653:MCF3729,3,0),"")</f>
        <v/>
      </c>
      <c r="MBP671" t="str">
        <f>IFERROR(VLOOKUP(MBQ671,'[3]Raw material  (3)'!MBO653:MCG3729,3,0),"")</f>
        <v/>
      </c>
      <c r="MBQ671" t="str">
        <f>IFERROR(VLOOKUP(MBR671,'[3]Raw material  (3)'!MBP653:MCH3729,3,0),"")</f>
        <v/>
      </c>
      <c r="MBR671" t="str">
        <f>IFERROR(VLOOKUP(MBS671,'[3]Raw material  (3)'!MBQ653:MCI3729,3,0),"")</f>
        <v/>
      </c>
      <c r="MBS671" t="str">
        <f>IFERROR(VLOOKUP(MBT671,'[3]Raw material  (3)'!MBR653:MCJ3729,3,0),"")</f>
        <v/>
      </c>
      <c r="MBT671" t="str">
        <f>IFERROR(VLOOKUP(MBU671,'[3]Raw material  (3)'!MBS653:MCK3729,3,0),"")</f>
        <v/>
      </c>
      <c r="MBU671" t="str">
        <f>IFERROR(VLOOKUP(MBV671,'[3]Raw material  (3)'!MBT653:MCL3729,3,0),"")</f>
        <v/>
      </c>
      <c r="MBV671" t="str">
        <f>IFERROR(VLOOKUP(MBW671,'[3]Raw material  (3)'!MBU653:MCM3729,3,0),"")</f>
        <v/>
      </c>
      <c r="MBW671" t="str">
        <f>IFERROR(VLOOKUP(MBX671,'[3]Raw material  (3)'!MBV653:MCN3729,3,0),"")</f>
        <v/>
      </c>
      <c r="MBX671" t="str">
        <f>IFERROR(VLOOKUP(MBY671,'[3]Raw material  (3)'!MBW653:MCO3729,3,0),"")</f>
        <v/>
      </c>
      <c r="MBY671" t="str">
        <f>IFERROR(VLOOKUP(MBZ671,'[3]Raw material  (3)'!MBX653:MCP3729,3,0),"")</f>
        <v/>
      </c>
      <c r="MBZ671" t="str">
        <f>IFERROR(VLOOKUP(MCA671,'[3]Raw material  (3)'!MBY653:MCQ3729,3,0),"")</f>
        <v/>
      </c>
      <c r="MCA671" t="str">
        <f>IFERROR(VLOOKUP(MCB671,'[3]Raw material  (3)'!MBZ653:MCR3729,3,0),"")</f>
        <v/>
      </c>
      <c r="MCB671" t="str">
        <f>IFERROR(VLOOKUP(MCC671,'[3]Raw material  (3)'!MCA653:MCS3729,3,0),"")</f>
        <v/>
      </c>
      <c r="MCC671" t="str">
        <f>IFERROR(VLOOKUP(MCD671,'[3]Raw material  (3)'!MCB653:MCT3729,3,0),"")</f>
        <v/>
      </c>
      <c r="MCD671" t="str">
        <f>IFERROR(VLOOKUP(MCE671,'[3]Raw material  (3)'!MCC653:MCU3729,3,0),"")</f>
        <v/>
      </c>
      <c r="MCE671" t="str">
        <f>IFERROR(VLOOKUP(MCF671,'[3]Raw material  (3)'!MCD653:MCV3729,3,0),"")</f>
        <v/>
      </c>
      <c r="MCF671" t="str">
        <f>IFERROR(VLOOKUP(MCG671,'[3]Raw material  (3)'!MCE653:MCW3729,3,0),"")</f>
        <v/>
      </c>
      <c r="MCG671" t="str">
        <f>IFERROR(VLOOKUP(MCH671,'[3]Raw material  (3)'!MCF653:MCX3729,3,0),"")</f>
        <v/>
      </c>
      <c r="MCH671" t="str">
        <f>IFERROR(VLOOKUP(MCI671,'[3]Raw material  (3)'!MCG653:MCY3729,3,0),"")</f>
        <v/>
      </c>
      <c r="MCI671" t="str">
        <f>IFERROR(VLOOKUP(MCJ671,'[3]Raw material  (3)'!MCH653:MCZ3729,3,0),"")</f>
        <v/>
      </c>
      <c r="MCJ671" t="str">
        <f>IFERROR(VLOOKUP(MCK671,'[3]Raw material  (3)'!MCI653:MDA3729,3,0),"")</f>
        <v/>
      </c>
      <c r="MCK671" t="str">
        <f>IFERROR(VLOOKUP(MCL671,'[3]Raw material  (3)'!MCJ653:MDB3729,3,0),"")</f>
        <v/>
      </c>
      <c r="MCL671" t="str">
        <f>IFERROR(VLOOKUP(MCM671,'[3]Raw material  (3)'!MCK653:MDC3729,3,0),"")</f>
        <v/>
      </c>
      <c r="MCM671" t="str">
        <f>IFERROR(VLOOKUP(MCN671,'[3]Raw material  (3)'!MCL653:MDD3729,3,0),"")</f>
        <v/>
      </c>
      <c r="MCN671" t="str">
        <f>IFERROR(VLOOKUP(MCO671,'[3]Raw material  (3)'!MCM653:MDE3729,3,0),"")</f>
        <v/>
      </c>
      <c r="MCO671" t="str">
        <f>IFERROR(VLOOKUP(MCP671,'[3]Raw material  (3)'!MCN653:MDF3729,3,0),"")</f>
        <v/>
      </c>
      <c r="MCP671" t="str">
        <f>IFERROR(VLOOKUP(MCQ671,'[3]Raw material  (3)'!MCO653:MDG3729,3,0),"")</f>
        <v/>
      </c>
      <c r="MCQ671" t="str">
        <f>IFERROR(VLOOKUP(MCR671,'[3]Raw material  (3)'!MCP653:MDH3729,3,0),"")</f>
        <v/>
      </c>
      <c r="MCR671" t="str">
        <f>IFERROR(VLOOKUP(MCS671,'[3]Raw material  (3)'!MCQ653:MDI3729,3,0),"")</f>
        <v/>
      </c>
      <c r="MCS671" t="str">
        <f>IFERROR(VLOOKUP(MCT671,'[3]Raw material  (3)'!MCR653:MDJ3729,3,0),"")</f>
        <v/>
      </c>
      <c r="MCT671" t="str">
        <f>IFERROR(VLOOKUP(MCU671,'[3]Raw material  (3)'!MCS653:MDK3729,3,0),"")</f>
        <v/>
      </c>
      <c r="MCU671" t="str">
        <f>IFERROR(VLOOKUP(MCV671,'[3]Raw material  (3)'!MCT653:MDL3729,3,0),"")</f>
        <v/>
      </c>
      <c r="MCV671" t="str">
        <f>IFERROR(VLOOKUP(MCW671,'[3]Raw material  (3)'!MCU653:MDM3729,3,0),"")</f>
        <v/>
      </c>
      <c r="MCW671" t="str">
        <f>IFERROR(VLOOKUP(MCX671,'[3]Raw material  (3)'!MCV653:MDN3729,3,0),"")</f>
        <v/>
      </c>
      <c r="MCX671" t="str">
        <f>IFERROR(VLOOKUP(MCY671,'[3]Raw material  (3)'!MCW653:MDO3729,3,0),"")</f>
        <v/>
      </c>
      <c r="MCY671" t="str">
        <f>IFERROR(VLOOKUP(MCZ671,'[3]Raw material  (3)'!MCX653:MDP3729,3,0),"")</f>
        <v/>
      </c>
      <c r="MCZ671" t="str">
        <f>IFERROR(VLOOKUP(MDA671,'[3]Raw material  (3)'!MCY653:MDQ3729,3,0),"")</f>
        <v/>
      </c>
      <c r="MDA671" t="str">
        <f>IFERROR(VLOOKUP(MDB671,'[3]Raw material  (3)'!MCZ653:MDR3729,3,0),"")</f>
        <v/>
      </c>
      <c r="MDB671" t="str">
        <f>IFERROR(VLOOKUP(MDC671,'[3]Raw material  (3)'!MDA653:MDS3729,3,0),"")</f>
        <v/>
      </c>
      <c r="MDC671" t="str">
        <f>IFERROR(VLOOKUP(MDD671,'[3]Raw material  (3)'!MDB653:MDT3729,3,0),"")</f>
        <v/>
      </c>
      <c r="MDD671" t="str">
        <f>IFERROR(VLOOKUP(MDE671,'[3]Raw material  (3)'!MDC653:MDU3729,3,0),"")</f>
        <v/>
      </c>
      <c r="MDE671" t="str">
        <f>IFERROR(VLOOKUP(MDF671,'[3]Raw material  (3)'!MDD653:MDV3729,3,0),"")</f>
        <v/>
      </c>
      <c r="MDF671" t="str">
        <f>IFERROR(VLOOKUP(MDG671,'[3]Raw material  (3)'!MDE653:MDW3729,3,0),"")</f>
        <v/>
      </c>
      <c r="MDG671" t="str">
        <f>IFERROR(VLOOKUP(MDH671,'[3]Raw material  (3)'!MDF653:MDX3729,3,0),"")</f>
        <v/>
      </c>
      <c r="MDH671" t="str">
        <f>IFERROR(VLOOKUP(MDI671,'[3]Raw material  (3)'!MDG653:MDY3729,3,0),"")</f>
        <v/>
      </c>
      <c r="MDI671" t="str">
        <f>IFERROR(VLOOKUP(MDJ671,'[3]Raw material  (3)'!MDH653:MDZ3729,3,0),"")</f>
        <v/>
      </c>
      <c r="MDJ671" t="str">
        <f>IFERROR(VLOOKUP(MDK671,'[3]Raw material  (3)'!MDI653:MEA3729,3,0),"")</f>
        <v/>
      </c>
      <c r="MDK671" t="str">
        <f>IFERROR(VLOOKUP(MDL671,'[3]Raw material  (3)'!MDJ653:MEB3729,3,0),"")</f>
        <v/>
      </c>
      <c r="MDL671" t="str">
        <f>IFERROR(VLOOKUP(MDM671,'[3]Raw material  (3)'!MDK653:MEC3729,3,0),"")</f>
        <v/>
      </c>
      <c r="MDM671" t="str">
        <f>IFERROR(VLOOKUP(MDN671,'[3]Raw material  (3)'!MDL653:MED3729,3,0),"")</f>
        <v/>
      </c>
      <c r="MDN671" t="str">
        <f>IFERROR(VLOOKUP(MDO671,'[3]Raw material  (3)'!MDM653:MEE3729,3,0),"")</f>
        <v/>
      </c>
      <c r="MDO671" t="str">
        <f>IFERROR(VLOOKUP(MDP671,'[3]Raw material  (3)'!MDN653:MEF3729,3,0),"")</f>
        <v/>
      </c>
      <c r="MDP671" t="str">
        <f>IFERROR(VLOOKUP(MDQ671,'[3]Raw material  (3)'!MDO653:MEG3729,3,0),"")</f>
        <v/>
      </c>
      <c r="MDQ671" t="str">
        <f>IFERROR(VLOOKUP(MDR671,'[3]Raw material  (3)'!MDP653:MEH3729,3,0),"")</f>
        <v/>
      </c>
      <c r="MDR671" t="str">
        <f>IFERROR(VLOOKUP(MDS671,'[3]Raw material  (3)'!MDQ653:MEI3729,3,0),"")</f>
        <v/>
      </c>
      <c r="MDS671" t="str">
        <f>IFERROR(VLOOKUP(MDT671,'[3]Raw material  (3)'!MDR653:MEJ3729,3,0),"")</f>
        <v/>
      </c>
      <c r="MDT671" t="str">
        <f>IFERROR(VLOOKUP(MDU671,'[3]Raw material  (3)'!MDS653:MEK3729,3,0),"")</f>
        <v/>
      </c>
      <c r="MDU671" t="str">
        <f>IFERROR(VLOOKUP(MDV671,'[3]Raw material  (3)'!MDT653:MEL3729,3,0),"")</f>
        <v/>
      </c>
      <c r="MDV671" t="str">
        <f>IFERROR(VLOOKUP(MDW671,'[3]Raw material  (3)'!MDU653:MEM3729,3,0),"")</f>
        <v/>
      </c>
      <c r="MDW671" t="str">
        <f>IFERROR(VLOOKUP(MDX671,'[3]Raw material  (3)'!MDV653:MEN3729,3,0),"")</f>
        <v/>
      </c>
      <c r="MDX671" t="str">
        <f>IFERROR(VLOOKUP(MDY671,'[3]Raw material  (3)'!MDW653:MEO3729,3,0),"")</f>
        <v/>
      </c>
      <c r="MDY671" t="str">
        <f>IFERROR(VLOOKUP(MDZ671,'[3]Raw material  (3)'!MDX653:MEP3729,3,0),"")</f>
        <v/>
      </c>
      <c r="MDZ671" t="str">
        <f>IFERROR(VLOOKUP(MEA671,'[3]Raw material  (3)'!MDY653:MEQ3729,3,0),"")</f>
        <v/>
      </c>
      <c r="MEA671" t="str">
        <f>IFERROR(VLOOKUP(MEB671,'[3]Raw material  (3)'!MDZ653:MER3729,3,0),"")</f>
        <v/>
      </c>
      <c r="MEB671" t="str">
        <f>IFERROR(VLOOKUP(MEC671,'[3]Raw material  (3)'!MEA653:MES3729,3,0),"")</f>
        <v/>
      </c>
      <c r="MEC671" t="str">
        <f>IFERROR(VLOOKUP(MED671,'[3]Raw material  (3)'!MEB653:MET3729,3,0),"")</f>
        <v/>
      </c>
      <c r="MED671" t="str">
        <f>IFERROR(VLOOKUP(MEE671,'[3]Raw material  (3)'!MEC653:MEU3729,3,0),"")</f>
        <v/>
      </c>
      <c r="MEE671" t="str">
        <f>IFERROR(VLOOKUP(MEF671,'[3]Raw material  (3)'!MED653:MEV3729,3,0),"")</f>
        <v/>
      </c>
      <c r="MEF671" t="str">
        <f>IFERROR(VLOOKUP(MEG671,'[3]Raw material  (3)'!MEE653:MEW3729,3,0),"")</f>
        <v/>
      </c>
      <c r="MEG671" t="str">
        <f>IFERROR(VLOOKUP(MEH671,'[3]Raw material  (3)'!MEF653:MEX3729,3,0),"")</f>
        <v/>
      </c>
      <c r="MEH671" t="str">
        <f>IFERROR(VLOOKUP(MEI671,'[3]Raw material  (3)'!MEG653:MEY3729,3,0),"")</f>
        <v/>
      </c>
      <c r="MEI671" t="str">
        <f>IFERROR(VLOOKUP(MEJ671,'[3]Raw material  (3)'!MEH653:MEZ3729,3,0),"")</f>
        <v/>
      </c>
      <c r="MEJ671" t="str">
        <f>IFERROR(VLOOKUP(MEK671,'[3]Raw material  (3)'!MEI653:MFA3729,3,0),"")</f>
        <v/>
      </c>
      <c r="MEK671" t="str">
        <f>IFERROR(VLOOKUP(MEL671,'[3]Raw material  (3)'!MEJ653:MFB3729,3,0),"")</f>
        <v/>
      </c>
      <c r="MEL671" t="str">
        <f>IFERROR(VLOOKUP(MEM671,'[3]Raw material  (3)'!MEK653:MFC3729,3,0),"")</f>
        <v/>
      </c>
      <c r="MEM671" t="str">
        <f>IFERROR(VLOOKUP(MEN671,'[3]Raw material  (3)'!MEL653:MFD3729,3,0),"")</f>
        <v/>
      </c>
      <c r="MEN671" t="str">
        <f>IFERROR(VLOOKUP(MEO671,'[3]Raw material  (3)'!MEM653:MFE3729,3,0),"")</f>
        <v/>
      </c>
      <c r="MEO671" t="str">
        <f>IFERROR(VLOOKUP(MEP671,'[3]Raw material  (3)'!MEN653:MFF3729,3,0),"")</f>
        <v/>
      </c>
      <c r="MEP671" t="str">
        <f>IFERROR(VLOOKUP(MEQ671,'[3]Raw material  (3)'!MEO653:MFG3729,3,0),"")</f>
        <v/>
      </c>
      <c r="MEQ671" t="str">
        <f>IFERROR(VLOOKUP(MER671,'[3]Raw material  (3)'!MEP653:MFH3729,3,0),"")</f>
        <v/>
      </c>
      <c r="MER671" t="str">
        <f>IFERROR(VLOOKUP(MES671,'[3]Raw material  (3)'!MEQ653:MFI3729,3,0),"")</f>
        <v/>
      </c>
      <c r="MES671" t="str">
        <f>IFERROR(VLOOKUP(MET671,'[3]Raw material  (3)'!MER653:MFJ3729,3,0),"")</f>
        <v/>
      </c>
      <c r="MET671" t="str">
        <f>IFERROR(VLOOKUP(MEU671,'[3]Raw material  (3)'!MES653:MFK3729,3,0),"")</f>
        <v/>
      </c>
      <c r="MEU671" t="str">
        <f>IFERROR(VLOOKUP(MEV671,'[3]Raw material  (3)'!MET653:MFL3729,3,0),"")</f>
        <v/>
      </c>
      <c r="MEV671" t="str">
        <f>IFERROR(VLOOKUP(MEW671,'[3]Raw material  (3)'!MEU653:MFM3729,3,0),"")</f>
        <v/>
      </c>
      <c r="MEW671" t="str">
        <f>IFERROR(VLOOKUP(MEX671,'[3]Raw material  (3)'!MEV653:MFN3729,3,0),"")</f>
        <v/>
      </c>
      <c r="MEX671" t="str">
        <f>IFERROR(VLOOKUP(MEY671,'[3]Raw material  (3)'!MEW653:MFO3729,3,0),"")</f>
        <v/>
      </c>
      <c r="MEY671" t="str">
        <f>IFERROR(VLOOKUP(MEZ671,'[3]Raw material  (3)'!MEX653:MFP3729,3,0),"")</f>
        <v/>
      </c>
      <c r="MEZ671" t="str">
        <f>IFERROR(VLOOKUP(MFA671,'[3]Raw material  (3)'!MEY653:MFQ3729,3,0),"")</f>
        <v/>
      </c>
      <c r="MFA671" t="str">
        <f>IFERROR(VLOOKUP(MFB671,'[3]Raw material  (3)'!MEZ653:MFR3729,3,0),"")</f>
        <v/>
      </c>
      <c r="MFB671" t="str">
        <f>IFERROR(VLOOKUP(MFC671,'[3]Raw material  (3)'!MFA653:MFS3729,3,0),"")</f>
        <v/>
      </c>
      <c r="MFC671" t="str">
        <f>IFERROR(VLOOKUP(MFD671,'[3]Raw material  (3)'!MFB653:MFT3729,3,0),"")</f>
        <v/>
      </c>
      <c r="MFD671" t="str">
        <f>IFERROR(VLOOKUP(MFE671,'[3]Raw material  (3)'!MFC653:MFU3729,3,0),"")</f>
        <v/>
      </c>
      <c r="MFE671" t="str">
        <f>IFERROR(VLOOKUP(MFF671,'[3]Raw material  (3)'!MFD653:MFV3729,3,0),"")</f>
        <v/>
      </c>
      <c r="MFF671" t="str">
        <f>IFERROR(VLOOKUP(MFG671,'[3]Raw material  (3)'!MFE653:MFW3729,3,0),"")</f>
        <v/>
      </c>
      <c r="MFG671" t="str">
        <f>IFERROR(VLOOKUP(MFH671,'[3]Raw material  (3)'!MFF653:MFX3729,3,0),"")</f>
        <v/>
      </c>
      <c r="MFH671" t="str">
        <f>IFERROR(VLOOKUP(MFI671,'[3]Raw material  (3)'!MFG653:MFY3729,3,0),"")</f>
        <v/>
      </c>
      <c r="MFI671" t="str">
        <f>IFERROR(VLOOKUP(MFJ671,'[3]Raw material  (3)'!MFH653:MFZ3729,3,0),"")</f>
        <v/>
      </c>
      <c r="MFJ671" t="str">
        <f>IFERROR(VLOOKUP(MFK671,'[3]Raw material  (3)'!MFI653:MGA3729,3,0),"")</f>
        <v/>
      </c>
      <c r="MFK671" t="str">
        <f>IFERROR(VLOOKUP(MFL671,'[3]Raw material  (3)'!MFJ653:MGB3729,3,0),"")</f>
        <v/>
      </c>
      <c r="MFL671" t="str">
        <f>IFERROR(VLOOKUP(MFM671,'[3]Raw material  (3)'!MFK653:MGC3729,3,0),"")</f>
        <v/>
      </c>
      <c r="MFM671" t="str">
        <f>IFERROR(VLOOKUP(MFN671,'[3]Raw material  (3)'!MFL653:MGD3729,3,0),"")</f>
        <v/>
      </c>
      <c r="MFN671" t="str">
        <f>IFERROR(VLOOKUP(MFO671,'[3]Raw material  (3)'!MFM653:MGE3729,3,0),"")</f>
        <v/>
      </c>
      <c r="MFO671" t="str">
        <f>IFERROR(VLOOKUP(MFP671,'[3]Raw material  (3)'!MFN653:MGF3729,3,0),"")</f>
        <v/>
      </c>
      <c r="MFP671" t="str">
        <f>IFERROR(VLOOKUP(MFQ671,'[3]Raw material  (3)'!MFO653:MGG3729,3,0),"")</f>
        <v/>
      </c>
      <c r="MFQ671" t="str">
        <f>IFERROR(VLOOKUP(MFR671,'[3]Raw material  (3)'!MFP653:MGH3729,3,0),"")</f>
        <v/>
      </c>
      <c r="MFR671" t="str">
        <f>IFERROR(VLOOKUP(MFS671,'[3]Raw material  (3)'!MFQ653:MGI3729,3,0),"")</f>
        <v/>
      </c>
      <c r="MFS671" t="str">
        <f>IFERROR(VLOOKUP(MFT671,'[3]Raw material  (3)'!MFR653:MGJ3729,3,0),"")</f>
        <v/>
      </c>
      <c r="MFT671" t="str">
        <f>IFERROR(VLOOKUP(MFU671,'[3]Raw material  (3)'!MFS653:MGK3729,3,0),"")</f>
        <v/>
      </c>
      <c r="MFU671" t="str">
        <f>IFERROR(VLOOKUP(MFV671,'[3]Raw material  (3)'!MFT653:MGL3729,3,0),"")</f>
        <v/>
      </c>
      <c r="MFV671" t="str">
        <f>IFERROR(VLOOKUP(MFW671,'[3]Raw material  (3)'!MFU653:MGM3729,3,0),"")</f>
        <v/>
      </c>
      <c r="MFW671" t="str">
        <f>IFERROR(VLOOKUP(MFX671,'[3]Raw material  (3)'!MFV653:MGN3729,3,0),"")</f>
        <v/>
      </c>
      <c r="MFX671" t="str">
        <f>IFERROR(VLOOKUP(MFY671,'[3]Raw material  (3)'!MFW653:MGO3729,3,0),"")</f>
        <v/>
      </c>
      <c r="MFY671" t="str">
        <f>IFERROR(VLOOKUP(MFZ671,'[3]Raw material  (3)'!MFX653:MGP3729,3,0),"")</f>
        <v/>
      </c>
      <c r="MFZ671" t="str">
        <f>IFERROR(VLOOKUP(MGA671,'[3]Raw material  (3)'!MFY653:MGQ3729,3,0),"")</f>
        <v/>
      </c>
      <c r="MGA671" t="str">
        <f>IFERROR(VLOOKUP(MGB671,'[3]Raw material  (3)'!MFZ653:MGR3729,3,0),"")</f>
        <v/>
      </c>
      <c r="MGB671" t="str">
        <f>IFERROR(VLOOKUP(MGC671,'[3]Raw material  (3)'!MGA653:MGS3729,3,0),"")</f>
        <v/>
      </c>
      <c r="MGC671" t="str">
        <f>IFERROR(VLOOKUP(MGD671,'[3]Raw material  (3)'!MGB653:MGT3729,3,0),"")</f>
        <v/>
      </c>
      <c r="MGD671" t="str">
        <f>IFERROR(VLOOKUP(MGE671,'[3]Raw material  (3)'!MGC653:MGU3729,3,0),"")</f>
        <v/>
      </c>
      <c r="MGE671" t="str">
        <f>IFERROR(VLOOKUP(MGF671,'[3]Raw material  (3)'!MGD653:MGV3729,3,0),"")</f>
        <v/>
      </c>
      <c r="MGF671" t="str">
        <f>IFERROR(VLOOKUP(MGG671,'[3]Raw material  (3)'!MGE653:MGW3729,3,0),"")</f>
        <v/>
      </c>
      <c r="MGG671" t="str">
        <f>IFERROR(VLOOKUP(MGH671,'[3]Raw material  (3)'!MGF653:MGX3729,3,0),"")</f>
        <v/>
      </c>
      <c r="MGH671" t="str">
        <f>IFERROR(VLOOKUP(MGI671,'[3]Raw material  (3)'!MGG653:MGY3729,3,0),"")</f>
        <v/>
      </c>
      <c r="MGI671" t="str">
        <f>IFERROR(VLOOKUP(MGJ671,'[3]Raw material  (3)'!MGH653:MGZ3729,3,0),"")</f>
        <v/>
      </c>
      <c r="MGJ671" t="str">
        <f>IFERROR(VLOOKUP(MGK671,'[3]Raw material  (3)'!MGI653:MHA3729,3,0),"")</f>
        <v/>
      </c>
      <c r="MGK671" t="str">
        <f>IFERROR(VLOOKUP(MGL671,'[3]Raw material  (3)'!MGJ653:MHB3729,3,0),"")</f>
        <v/>
      </c>
      <c r="MGL671" t="str">
        <f>IFERROR(VLOOKUP(MGM671,'[3]Raw material  (3)'!MGK653:MHC3729,3,0),"")</f>
        <v/>
      </c>
      <c r="MGM671" t="str">
        <f>IFERROR(VLOOKUP(MGN671,'[3]Raw material  (3)'!MGL653:MHD3729,3,0),"")</f>
        <v/>
      </c>
      <c r="MGN671" t="str">
        <f>IFERROR(VLOOKUP(MGO671,'[3]Raw material  (3)'!MGM653:MHE3729,3,0),"")</f>
        <v/>
      </c>
      <c r="MGO671" t="str">
        <f>IFERROR(VLOOKUP(MGP671,'[3]Raw material  (3)'!MGN653:MHF3729,3,0),"")</f>
        <v/>
      </c>
      <c r="MGP671" t="str">
        <f>IFERROR(VLOOKUP(MGQ671,'[3]Raw material  (3)'!MGO653:MHG3729,3,0),"")</f>
        <v/>
      </c>
      <c r="MGQ671" t="str">
        <f>IFERROR(VLOOKUP(MGR671,'[3]Raw material  (3)'!MGP653:MHH3729,3,0),"")</f>
        <v/>
      </c>
      <c r="MGR671" t="str">
        <f>IFERROR(VLOOKUP(MGS671,'[3]Raw material  (3)'!MGQ653:MHI3729,3,0),"")</f>
        <v/>
      </c>
      <c r="MGS671" t="str">
        <f>IFERROR(VLOOKUP(MGT671,'[3]Raw material  (3)'!MGR653:MHJ3729,3,0),"")</f>
        <v/>
      </c>
      <c r="MGT671" t="str">
        <f>IFERROR(VLOOKUP(MGU671,'[3]Raw material  (3)'!MGS653:MHK3729,3,0),"")</f>
        <v/>
      </c>
      <c r="MGU671" t="str">
        <f>IFERROR(VLOOKUP(MGV671,'[3]Raw material  (3)'!MGT653:MHL3729,3,0),"")</f>
        <v/>
      </c>
      <c r="MGV671" t="str">
        <f>IFERROR(VLOOKUP(MGW671,'[3]Raw material  (3)'!MGU653:MHM3729,3,0),"")</f>
        <v/>
      </c>
      <c r="MGW671" t="str">
        <f>IFERROR(VLOOKUP(MGX671,'[3]Raw material  (3)'!MGV653:MHN3729,3,0),"")</f>
        <v/>
      </c>
      <c r="MGX671" t="str">
        <f>IFERROR(VLOOKUP(MGY671,'[3]Raw material  (3)'!MGW653:MHO3729,3,0),"")</f>
        <v/>
      </c>
      <c r="MGY671" t="str">
        <f>IFERROR(VLOOKUP(MGZ671,'[3]Raw material  (3)'!MGX653:MHP3729,3,0),"")</f>
        <v/>
      </c>
      <c r="MGZ671" t="str">
        <f>IFERROR(VLOOKUP(MHA671,'[3]Raw material  (3)'!MGY653:MHQ3729,3,0),"")</f>
        <v/>
      </c>
      <c r="MHA671" t="str">
        <f>IFERROR(VLOOKUP(MHB671,'[3]Raw material  (3)'!MGZ653:MHR3729,3,0),"")</f>
        <v/>
      </c>
      <c r="MHB671" t="str">
        <f>IFERROR(VLOOKUP(MHC671,'[3]Raw material  (3)'!MHA653:MHS3729,3,0),"")</f>
        <v/>
      </c>
      <c r="MHC671" t="str">
        <f>IFERROR(VLOOKUP(MHD671,'[3]Raw material  (3)'!MHB653:MHT3729,3,0),"")</f>
        <v/>
      </c>
      <c r="MHD671" t="str">
        <f>IFERROR(VLOOKUP(MHE671,'[3]Raw material  (3)'!MHC653:MHU3729,3,0),"")</f>
        <v/>
      </c>
      <c r="MHE671" t="str">
        <f>IFERROR(VLOOKUP(MHF671,'[3]Raw material  (3)'!MHD653:MHV3729,3,0),"")</f>
        <v/>
      </c>
      <c r="MHF671" t="str">
        <f>IFERROR(VLOOKUP(MHG671,'[3]Raw material  (3)'!MHE653:MHW3729,3,0),"")</f>
        <v/>
      </c>
      <c r="MHG671" t="str">
        <f>IFERROR(VLOOKUP(MHH671,'[3]Raw material  (3)'!MHF653:MHX3729,3,0),"")</f>
        <v/>
      </c>
      <c r="MHH671" t="str">
        <f>IFERROR(VLOOKUP(MHI671,'[3]Raw material  (3)'!MHG653:MHY3729,3,0),"")</f>
        <v/>
      </c>
      <c r="MHI671" t="str">
        <f>IFERROR(VLOOKUP(MHJ671,'[3]Raw material  (3)'!MHH653:MHZ3729,3,0),"")</f>
        <v/>
      </c>
      <c r="MHJ671" t="str">
        <f>IFERROR(VLOOKUP(MHK671,'[3]Raw material  (3)'!MHI653:MIA3729,3,0),"")</f>
        <v/>
      </c>
      <c r="MHK671" t="str">
        <f>IFERROR(VLOOKUP(MHL671,'[3]Raw material  (3)'!MHJ653:MIB3729,3,0),"")</f>
        <v/>
      </c>
      <c r="MHL671" t="str">
        <f>IFERROR(VLOOKUP(MHM671,'[3]Raw material  (3)'!MHK653:MIC3729,3,0),"")</f>
        <v/>
      </c>
      <c r="MHM671" t="str">
        <f>IFERROR(VLOOKUP(MHN671,'[3]Raw material  (3)'!MHL653:MID3729,3,0),"")</f>
        <v/>
      </c>
      <c r="MHN671" t="str">
        <f>IFERROR(VLOOKUP(MHO671,'[3]Raw material  (3)'!MHM653:MIE3729,3,0),"")</f>
        <v/>
      </c>
      <c r="MHO671" t="str">
        <f>IFERROR(VLOOKUP(MHP671,'[3]Raw material  (3)'!MHN653:MIF3729,3,0),"")</f>
        <v/>
      </c>
      <c r="MHP671" t="str">
        <f>IFERROR(VLOOKUP(MHQ671,'[3]Raw material  (3)'!MHO653:MIG3729,3,0),"")</f>
        <v/>
      </c>
      <c r="MHQ671" t="str">
        <f>IFERROR(VLOOKUP(MHR671,'[3]Raw material  (3)'!MHP653:MIH3729,3,0),"")</f>
        <v/>
      </c>
      <c r="MHR671" t="str">
        <f>IFERROR(VLOOKUP(MHS671,'[3]Raw material  (3)'!MHQ653:MII3729,3,0),"")</f>
        <v/>
      </c>
      <c r="MHS671" t="str">
        <f>IFERROR(VLOOKUP(MHT671,'[3]Raw material  (3)'!MHR653:MIJ3729,3,0),"")</f>
        <v/>
      </c>
      <c r="MHT671" t="str">
        <f>IFERROR(VLOOKUP(MHU671,'[3]Raw material  (3)'!MHS653:MIK3729,3,0),"")</f>
        <v/>
      </c>
      <c r="MHU671" t="str">
        <f>IFERROR(VLOOKUP(MHV671,'[3]Raw material  (3)'!MHT653:MIL3729,3,0),"")</f>
        <v/>
      </c>
      <c r="MHV671" t="str">
        <f>IFERROR(VLOOKUP(MHW671,'[3]Raw material  (3)'!MHU653:MIM3729,3,0),"")</f>
        <v/>
      </c>
      <c r="MHW671" t="str">
        <f>IFERROR(VLOOKUP(MHX671,'[3]Raw material  (3)'!MHV653:MIN3729,3,0),"")</f>
        <v/>
      </c>
      <c r="MHX671" t="str">
        <f>IFERROR(VLOOKUP(MHY671,'[3]Raw material  (3)'!MHW653:MIO3729,3,0),"")</f>
        <v/>
      </c>
      <c r="MHY671" t="str">
        <f>IFERROR(VLOOKUP(MHZ671,'[3]Raw material  (3)'!MHX653:MIP3729,3,0),"")</f>
        <v/>
      </c>
      <c r="MHZ671" t="str">
        <f>IFERROR(VLOOKUP(MIA671,'[3]Raw material  (3)'!MHY653:MIQ3729,3,0),"")</f>
        <v/>
      </c>
      <c r="MIA671" t="str">
        <f>IFERROR(VLOOKUP(MIB671,'[3]Raw material  (3)'!MHZ653:MIR3729,3,0),"")</f>
        <v/>
      </c>
      <c r="MIB671" t="str">
        <f>IFERROR(VLOOKUP(MIC671,'[3]Raw material  (3)'!MIA653:MIS3729,3,0),"")</f>
        <v/>
      </c>
      <c r="MIC671" t="str">
        <f>IFERROR(VLOOKUP(MID671,'[3]Raw material  (3)'!MIB653:MIT3729,3,0),"")</f>
        <v/>
      </c>
      <c r="MID671" t="str">
        <f>IFERROR(VLOOKUP(MIE671,'[3]Raw material  (3)'!MIC653:MIU3729,3,0),"")</f>
        <v/>
      </c>
      <c r="MIE671" t="str">
        <f>IFERROR(VLOOKUP(MIF671,'[3]Raw material  (3)'!MID653:MIV3729,3,0),"")</f>
        <v/>
      </c>
      <c r="MIF671" t="str">
        <f>IFERROR(VLOOKUP(MIG671,'[3]Raw material  (3)'!MIE653:MIW3729,3,0),"")</f>
        <v/>
      </c>
      <c r="MIG671" t="str">
        <f>IFERROR(VLOOKUP(MIH671,'[3]Raw material  (3)'!MIF653:MIX3729,3,0),"")</f>
        <v/>
      </c>
      <c r="MIH671" t="str">
        <f>IFERROR(VLOOKUP(MII671,'[3]Raw material  (3)'!MIG653:MIY3729,3,0),"")</f>
        <v/>
      </c>
      <c r="MII671" t="str">
        <f>IFERROR(VLOOKUP(MIJ671,'[3]Raw material  (3)'!MIH653:MIZ3729,3,0),"")</f>
        <v/>
      </c>
      <c r="MIJ671" t="str">
        <f>IFERROR(VLOOKUP(MIK671,'[3]Raw material  (3)'!MII653:MJA3729,3,0),"")</f>
        <v/>
      </c>
      <c r="MIK671" t="str">
        <f>IFERROR(VLOOKUP(MIL671,'[3]Raw material  (3)'!MIJ653:MJB3729,3,0),"")</f>
        <v/>
      </c>
      <c r="MIL671" t="str">
        <f>IFERROR(VLOOKUP(MIM671,'[3]Raw material  (3)'!MIK653:MJC3729,3,0),"")</f>
        <v/>
      </c>
      <c r="MIM671" t="str">
        <f>IFERROR(VLOOKUP(MIN671,'[3]Raw material  (3)'!MIL653:MJD3729,3,0),"")</f>
        <v/>
      </c>
      <c r="MIN671" t="str">
        <f>IFERROR(VLOOKUP(MIO671,'[3]Raw material  (3)'!MIM653:MJE3729,3,0),"")</f>
        <v/>
      </c>
      <c r="MIO671" t="str">
        <f>IFERROR(VLOOKUP(MIP671,'[3]Raw material  (3)'!MIN653:MJF3729,3,0),"")</f>
        <v/>
      </c>
      <c r="MIP671" t="str">
        <f>IFERROR(VLOOKUP(MIQ671,'[3]Raw material  (3)'!MIO653:MJG3729,3,0),"")</f>
        <v/>
      </c>
      <c r="MIQ671" t="str">
        <f>IFERROR(VLOOKUP(MIR671,'[3]Raw material  (3)'!MIP653:MJH3729,3,0),"")</f>
        <v/>
      </c>
      <c r="MIR671" t="str">
        <f>IFERROR(VLOOKUP(MIS671,'[3]Raw material  (3)'!MIQ653:MJI3729,3,0),"")</f>
        <v/>
      </c>
      <c r="MIS671" t="str">
        <f>IFERROR(VLOOKUP(MIT671,'[3]Raw material  (3)'!MIR653:MJJ3729,3,0),"")</f>
        <v/>
      </c>
      <c r="MIT671" t="str">
        <f>IFERROR(VLOOKUP(MIU671,'[3]Raw material  (3)'!MIS653:MJK3729,3,0),"")</f>
        <v/>
      </c>
      <c r="MIU671" t="str">
        <f>IFERROR(VLOOKUP(MIV671,'[3]Raw material  (3)'!MIT653:MJL3729,3,0),"")</f>
        <v/>
      </c>
      <c r="MIV671" t="str">
        <f>IFERROR(VLOOKUP(MIW671,'[3]Raw material  (3)'!MIU653:MJM3729,3,0),"")</f>
        <v/>
      </c>
      <c r="MIW671" t="str">
        <f>IFERROR(VLOOKUP(MIX671,'[3]Raw material  (3)'!MIV653:MJN3729,3,0),"")</f>
        <v/>
      </c>
      <c r="MIX671" t="str">
        <f>IFERROR(VLOOKUP(MIY671,'[3]Raw material  (3)'!MIW653:MJO3729,3,0),"")</f>
        <v/>
      </c>
      <c r="MIY671" t="str">
        <f>IFERROR(VLOOKUP(MIZ671,'[3]Raw material  (3)'!MIX653:MJP3729,3,0),"")</f>
        <v/>
      </c>
      <c r="MIZ671" t="str">
        <f>IFERROR(VLOOKUP(MJA671,'[3]Raw material  (3)'!MIY653:MJQ3729,3,0),"")</f>
        <v/>
      </c>
      <c r="MJA671" t="str">
        <f>IFERROR(VLOOKUP(MJB671,'[3]Raw material  (3)'!MIZ653:MJR3729,3,0),"")</f>
        <v/>
      </c>
      <c r="MJB671" t="str">
        <f>IFERROR(VLOOKUP(MJC671,'[3]Raw material  (3)'!MJA653:MJS3729,3,0),"")</f>
        <v/>
      </c>
      <c r="MJC671" t="str">
        <f>IFERROR(VLOOKUP(MJD671,'[3]Raw material  (3)'!MJB653:MJT3729,3,0),"")</f>
        <v/>
      </c>
      <c r="MJD671" t="str">
        <f>IFERROR(VLOOKUP(MJE671,'[3]Raw material  (3)'!MJC653:MJU3729,3,0),"")</f>
        <v/>
      </c>
      <c r="MJE671" t="str">
        <f>IFERROR(VLOOKUP(MJF671,'[3]Raw material  (3)'!MJD653:MJV3729,3,0),"")</f>
        <v/>
      </c>
      <c r="MJF671" t="str">
        <f>IFERROR(VLOOKUP(MJG671,'[3]Raw material  (3)'!MJE653:MJW3729,3,0),"")</f>
        <v/>
      </c>
      <c r="MJG671" t="str">
        <f>IFERROR(VLOOKUP(MJH671,'[3]Raw material  (3)'!MJF653:MJX3729,3,0),"")</f>
        <v/>
      </c>
      <c r="MJH671" t="str">
        <f>IFERROR(VLOOKUP(MJI671,'[3]Raw material  (3)'!MJG653:MJY3729,3,0),"")</f>
        <v/>
      </c>
      <c r="MJI671" t="str">
        <f>IFERROR(VLOOKUP(MJJ671,'[3]Raw material  (3)'!MJH653:MJZ3729,3,0),"")</f>
        <v/>
      </c>
      <c r="MJJ671" t="str">
        <f>IFERROR(VLOOKUP(MJK671,'[3]Raw material  (3)'!MJI653:MKA3729,3,0),"")</f>
        <v/>
      </c>
      <c r="MJK671" t="str">
        <f>IFERROR(VLOOKUP(MJL671,'[3]Raw material  (3)'!MJJ653:MKB3729,3,0),"")</f>
        <v/>
      </c>
      <c r="MJL671" t="str">
        <f>IFERROR(VLOOKUP(MJM671,'[3]Raw material  (3)'!MJK653:MKC3729,3,0),"")</f>
        <v/>
      </c>
      <c r="MJM671" t="str">
        <f>IFERROR(VLOOKUP(MJN671,'[3]Raw material  (3)'!MJL653:MKD3729,3,0),"")</f>
        <v/>
      </c>
      <c r="MJN671" t="str">
        <f>IFERROR(VLOOKUP(MJO671,'[3]Raw material  (3)'!MJM653:MKE3729,3,0),"")</f>
        <v/>
      </c>
      <c r="MJO671" t="str">
        <f>IFERROR(VLOOKUP(MJP671,'[3]Raw material  (3)'!MJN653:MKF3729,3,0),"")</f>
        <v/>
      </c>
      <c r="MJP671" t="str">
        <f>IFERROR(VLOOKUP(MJQ671,'[3]Raw material  (3)'!MJO653:MKG3729,3,0),"")</f>
        <v/>
      </c>
      <c r="MJQ671" t="str">
        <f>IFERROR(VLOOKUP(MJR671,'[3]Raw material  (3)'!MJP653:MKH3729,3,0),"")</f>
        <v/>
      </c>
      <c r="MJR671" t="str">
        <f>IFERROR(VLOOKUP(MJS671,'[3]Raw material  (3)'!MJQ653:MKI3729,3,0),"")</f>
        <v/>
      </c>
      <c r="MJS671" t="str">
        <f>IFERROR(VLOOKUP(MJT671,'[3]Raw material  (3)'!MJR653:MKJ3729,3,0),"")</f>
        <v/>
      </c>
      <c r="MJT671" t="str">
        <f>IFERROR(VLOOKUP(MJU671,'[3]Raw material  (3)'!MJS653:MKK3729,3,0),"")</f>
        <v/>
      </c>
      <c r="MJU671" t="str">
        <f>IFERROR(VLOOKUP(MJV671,'[3]Raw material  (3)'!MJT653:MKL3729,3,0),"")</f>
        <v/>
      </c>
      <c r="MJV671" t="str">
        <f>IFERROR(VLOOKUP(MJW671,'[3]Raw material  (3)'!MJU653:MKM3729,3,0),"")</f>
        <v/>
      </c>
      <c r="MJW671" t="str">
        <f>IFERROR(VLOOKUP(MJX671,'[3]Raw material  (3)'!MJV653:MKN3729,3,0),"")</f>
        <v/>
      </c>
      <c r="MJX671" t="str">
        <f>IFERROR(VLOOKUP(MJY671,'[3]Raw material  (3)'!MJW653:MKO3729,3,0),"")</f>
        <v/>
      </c>
      <c r="MJY671" t="str">
        <f>IFERROR(VLOOKUP(MJZ671,'[3]Raw material  (3)'!MJX653:MKP3729,3,0),"")</f>
        <v/>
      </c>
      <c r="MJZ671" t="str">
        <f>IFERROR(VLOOKUP(MKA671,'[3]Raw material  (3)'!MJY653:MKQ3729,3,0),"")</f>
        <v/>
      </c>
      <c r="MKA671" t="str">
        <f>IFERROR(VLOOKUP(MKB671,'[3]Raw material  (3)'!MJZ653:MKR3729,3,0),"")</f>
        <v/>
      </c>
      <c r="MKB671" t="str">
        <f>IFERROR(VLOOKUP(MKC671,'[3]Raw material  (3)'!MKA653:MKS3729,3,0),"")</f>
        <v/>
      </c>
      <c r="MKC671" t="str">
        <f>IFERROR(VLOOKUP(MKD671,'[3]Raw material  (3)'!MKB653:MKT3729,3,0),"")</f>
        <v/>
      </c>
      <c r="MKD671" t="str">
        <f>IFERROR(VLOOKUP(MKE671,'[3]Raw material  (3)'!MKC653:MKU3729,3,0),"")</f>
        <v/>
      </c>
      <c r="MKE671" t="str">
        <f>IFERROR(VLOOKUP(MKF671,'[3]Raw material  (3)'!MKD653:MKV3729,3,0),"")</f>
        <v/>
      </c>
      <c r="MKF671" t="str">
        <f>IFERROR(VLOOKUP(MKG671,'[3]Raw material  (3)'!MKE653:MKW3729,3,0),"")</f>
        <v/>
      </c>
      <c r="MKG671" t="str">
        <f>IFERROR(VLOOKUP(MKH671,'[3]Raw material  (3)'!MKF653:MKX3729,3,0),"")</f>
        <v/>
      </c>
      <c r="MKH671" t="str">
        <f>IFERROR(VLOOKUP(MKI671,'[3]Raw material  (3)'!MKG653:MKY3729,3,0),"")</f>
        <v/>
      </c>
      <c r="MKI671" t="str">
        <f>IFERROR(VLOOKUP(MKJ671,'[3]Raw material  (3)'!MKH653:MKZ3729,3,0),"")</f>
        <v/>
      </c>
      <c r="MKJ671" t="str">
        <f>IFERROR(VLOOKUP(MKK671,'[3]Raw material  (3)'!MKI653:MLA3729,3,0),"")</f>
        <v/>
      </c>
      <c r="MKK671" t="str">
        <f>IFERROR(VLOOKUP(MKL671,'[3]Raw material  (3)'!MKJ653:MLB3729,3,0),"")</f>
        <v/>
      </c>
      <c r="MKL671" t="str">
        <f>IFERROR(VLOOKUP(MKM671,'[3]Raw material  (3)'!MKK653:MLC3729,3,0),"")</f>
        <v/>
      </c>
      <c r="MKM671" t="str">
        <f>IFERROR(VLOOKUP(MKN671,'[3]Raw material  (3)'!MKL653:MLD3729,3,0),"")</f>
        <v/>
      </c>
      <c r="MKN671" t="str">
        <f>IFERROR(VLOOKUP(MKO671,'[3]Raw material  (3)'!MKM653:MLE3729,3,0),"")</f>
        <v/>
      </c>
      <c r="MKO671" t="str">
        <f>IFERROR(VLOOKUP(MKP671,'[3]Raw material  (3)'!MKN653:MLF3729,3,0),"")</f>
        <v/>
      </c>
      <c r="MKP671" t="str">
        <f>IFERROR(VLOOKUP(MKQ671,'[3]Raw material  (3)'!MKO653:MLG3729,3,0),"")</f>
        <v/>
      </c>
      <c r="MKQ671" t="str">
        <f>IFERROR(VLOOKUP(MKR671,'[3]Raw material  (3)'!MKP653:MLH3729,3,0),"")</f>
        <v/>
      </c>
      <c r="MKR671" t="str">
        <f>IFERROR(VLOOKUP(MKS671,'[3]Raw material  (3)'!MKQ653:MLI3729,3,0),"")</f>
        <v/>
      </c>
      <c r="MKS671" t="str">
        <f>IFERROR(VLOOKUP(MKT671,'[3]Raw material  (3)'!MKR653:MLJ3729,3,0),"")</f>
        <v/>
      </c>
      <c r="MKT671" t="str">
        <f>IFERROR(VLOOKUP(MKU671,'[3]Raw material  (3)'!MKS653:MLK3729,3,0),"")</f>
        <v/>
      </c>
      <c r="MKU671" t="str">
        <f>IFERROR(VLOOKUP(MKV671,'[3]Raw material  (3)'!MKT653:MLL3729,3,0),"")</f>
        <v/>
      </c>
      <c r="MKV671" t="str">
        <f>IFERROR(VLOOKUP(MKW671,'[3]Raw material  (3)'!MKU653:MLM3729,3,0),"")</f>
        <v/>
      </c>
      <c r="MKW671" t="str">
        <f>IFERROR(VLOOKUP(MKX671,'[3]Raw material  (3)'!MKV653:MLN3729,3,0),"")</f>
        <v/>
      </c>
      <c r="MKX671" t="str">
        <f>IFERROR(VLOOKUP(MKY671,'[3]Raw material  (3)'!MKW653:MLO3729,3,0),"")</f>
        <v/>
      </c>
      <c r="MKY671" t="str">
        <f>IFERROR(VLOOKUP(MKZ671,'[3]Raw material  (3)'!MKX653:MLP3729,3,0),"")</f>
        <v/>
      </c>
      <c r="MKZ671" t="str">
        <f>IFERROR(VLOOKUP(MLA671,'[3]Raw material  (3)'!MKY653:MLQ3729,3,0),"")</f>
        <v/>
      </c>
      <c r="MLA671" t="str">
        <f>IFERROR(VLOOKUP(MLB671,'[3]Raw material  (3)'!MKZ653:MLR3729,3,0),"")</f>
        <v/>
      </c>
      <c r="MLB671" t="str">
        <f>IFERROR(VLOOKUP(MLC671,'[3]Raw material  (3)'!MLA653:MLS3729,3,0),"")</f>
        <v/>
      </c>
      <c r="MLC671" t="str">
        <f>IFERROR(VLOOKUP(MLD671,'[3]Raw material  (3)'!MLB653:MLT3729,3,0),"")</f>
        <v/>
      </c>
      <c r="MLD671" t="str">
        <f>IFERROR(VLOOKUP(MLE671,'[3]Raw material  (3)'!MLC653:MLU3729,3,0),"")</f>
        <v/>
      </c>
      <c r="MLE671" t="str">
        <f>IFERROR(VLOOKUP(MLF671,'[3]Raw material  (3)'!MLD653:MLV3729,3,0),"")</f>
        <v/>
      </c>
      <c r="MLF671" t="str">
        <f>IFERROR(VLOOKUP(MLG671,'[3]Raw material  (3)'!MLE653:MLW3729,3,0),"")</f>
        <v/>
      </c>
      <c r="MLG671" t="str">
        <f>IFERROR(VLOOKUP(MLH671,'[3]Raw material  (3)'!MLF653:MLX3729,3,0),"")</f>
        <v/>
      </c>
      <c r="MLH671" t="str">
        <f>IFERROR(VLOOKUP(MLI671,'[3]Raw material  (3)'!MLG653:MLY3729,3,0),"")</f>
        <v/>
      </c>
      <c r="MLI671" t="str">
        <f>IFERROR(VLOOKUP(MLJ671,'[3]Raw material  (3)'!MLH653:MLZ3729,3,0),"")</f>
        <v/>
      </c>
      <c r="MLJ671" t="str">
        <f>IFERROR(VLOOKUP(MLK671,'[3]Raw material  (3)'!MLI653:MMA3729,3,0),"")</f>
        <v/>
      </c>
      <c r="MLK671" t="str">
        <f>IFERROR(VLOOKUP(MLL671,'[3]Raw material  (3)'!MLJ653:MMB3729,3,0),"")</f>
        <v/>
      </c>
      <c r="MLL671" t="str">
        <f>IFERROR(VLOOKUP(MLM671,'[3]Raw material  (3)'!MLK653:MMC3729,3,0),"")</f>
        <v/>
      </c>
      <c r="MLM671" t="str">
        <f>IFERROR(VLOOKUP(MLN671,'[3]Raw material  (3)'!MLL653:MMD3729,3,0),"")</f>
        <v/>
      </c>
      <c r="MLN671" t="str">
        <f>IFERROR(VLOOKUP(MLO671,'[3]Raw material  (3)'!MLM653:MME3729,3,0),"")</f>
        <v/>
      </c>
      <c r="MLO671" t="str">
        <f>IFERROR(VLOOKUP(MLP671,'[3]Raw material  (3)'!MLN653:MMF3729,3,0),"")</f>
        <v/>
      </c>
      <c r="MLP671" t="str">
        <f>IFERROR(VLOOKUP(MLQ671,'[3]Raw material  (3)'!MLO653:MMG3729,3,0),"")</f>
        <v/>
      </c>
      <c r="MLQ671" t="str">
        <f>IFERROR(VLOOKUP(MLR671,'[3]Raw material  (3)'!MLP653:MMH3729,3,0),"")</f>
        <v/>
      </c>
      <c r="MLR671" t="str">
        <f>IFERROR(VLOOKUP(MLS671,'[3]Raw material  (3)'!MLQ653:MMI3729,3,0),"")</f>
        <v/>
      </c>
      <c r="MLS671" t="str">
        <f>IFERROR(VLOOKUP(MLT671,'[3]Raw material  (3)'!MLR653:MMJ3729,3,0),"")</f>
        <v/>
      </c>
      <c r="MLT671" t="str">
        <f>IFERROR(VLOOKUP(MLU671,'[3]Raw material  (3)'!MLS653:MMK3729,3,0),"")</f>
        <v/>
      </c>
      <c r="MLU671" t="str">
        <f>IFERROR(VLOOKUP(MLV671,'[3]Raw material  (3)'!MLT653:MML3729,3,0),"")</f>
        <v/>
      </c>
      <c r="MLV671" t="str">
        <f>IFERROR(VLOOKUP(MLW671,'[3]Raw material  (3)'!MLU653:MMM3729,3,0),"")</f>
        <v/>
      </c>
      <c r="MLW671" t="str">
        <f>IFERROR(VLOOKUP(MLX671,'[3]Raw material  (3)'!MLV653:MMN3729,3,0),"")</f>
        <v/>
      </c>
      <c r="MLX671" t="str">
        <f>IFERROR(VLOOKUP(MLY671,'[3]Raw material  (3)'!MLW653:MMO3729,3,0),"")</f>
        <v/>
      </c>
      <c r="MLY671" t="str">
        <f>IFERROR(VLOOKUP(MLZ671,'[3]Raw material  (3)'!MLX653:MMP3729,3,0),"")</f>
        <v/>
      </c>
      <c r="MLZ671" t="str">
        <f>IFERROR(VLOOKUP(MMA671,'[3]Raw material  (3)'!MLY653:MMQ3729,3,0),"")</f>
        <v/>
      </c>
      <c r="MMA671" t="str">
        <f>IFERROR(VLOOKUP(MMB671,'[3]Raw material  (3)'!MLZ653:MMR3729,3,0),"")</f>
        <v/>
      </c>
      <c r="MMB671" t="str">
        <f>IFERROR(VLOOKUP(MMC671,'[3]Raw material  (3)'!MMA653:MMS3729,3,0),"")</f>
        <v/>
      </c>
      <c r="MMC671" t="str">
        <f>IFERROR(VLOOKUP(MMD671,'[3]Raw material  (3)'!MMB653:MMT3729,3,0),"")</f>
        <v/>
      </c>
      <c r="MMD671" t="str">
        <f>IFERROR(VLOOKUP(MME671,'[3]Raw material  (3)'!MMC653:MMU3729,3,0),"")</f>
        <v/>
      </c>
      <c r="MME671" t="str">
        <f>IFERROR(VLOOKUP(MMF671,'[3]Raw material  (3)'!MMD653:MMV3729,3,0),"")</f>
        <v/>
      </c>
      <c r="MMF671" t="str">
        <f>IFERROR(VLOOKUP(MMG671,'[3]Raw material  (3)'!MME653:MMW3729,3,0),"")</f>
        <v/>
      </c>
      <c r="MMG671" t="str">
        <f>IFERROR(VLOOKUP(MMH671,'[3]Raw material  (3)'!MMF653:MMX3729,3,0),"")</f>
        <v/>
      </c>
      <c r="MMH671" t="str">
        <f>IFERROR(VLOOKUP(MMI671,'[3]Raw material  (3)'!MMG653:MMY3729,3,0),"")</f>
        <v/>
      </c>
      <c r="MMI671" t="str">
        <f>IFERROR(VLOOKUP(MMJ671,'[3]Raw material  (3)'!MMH653:MMZ3729,3,0),"")</f>
        <v/>
      </c>
      <c r="MMJ671" t="str">
        <f>IFERROR(VLOOKUP(MMK671,'[3]Raw material  (3)'!MMI653:MNA3729,3,0),"")</f>
        <v/>
      </c>
      <c r="MMK671" t="str">
        <f>IFERROR(VLOOKUP(MML671,'[3]Raw material  (3)'!MMJ653:MNB3729,3,0),"")</f>
        <v/>
      </c>
      <c r="MML671" t="str">
        <f>IFERROR(VLOOKUP(MMM671,'[3]Raw material  (3)'!MMK653:MNC3729,3,0),"")</f>
        <v/>
      </c>
      <c r="MMM671" t="str">
        <f>IFERROR(VLOOKUP(MMN671,'[3]Raw material  (3)'!MML653:MND3729,3,0),"")</f>
        <v/>
      </c>
      <c r="MMN671" t="str">
        <f>IFERROR(VLOOKUP(MMO671,'[3]Raw material  (3)'!MMM653:MNE3729,3,0),"")</f>
        <v/>
      </c>
      <c r="MMO671" t="str">
        <f>IFERROR(VLOOKUP(MMP671,'[3]Raw material  (3)'!MMN653:MNF3729,3,0),"")</f>
        <v/>
      </c>
      <c r="MMP671" t="str">
        <f>IFERROR(VLOOKUP(MMQ671,'[3]Raw material  (3)'!MMO653:MNG3729,3,0),"")</f>
        <v/>
      </c>
      <c r="MMQ671" t="str">
        <f>IFERROR(VLOOKUP(MMR671,'[3]Raw material  (3)'!MMP653:MNH3729,3,0),"")</f>
        <v/>
      </c>
      <c r="MMR671" t="str">
        <f>IFERROR(VLOOKUP(MMS671,'[3]Raw material  (3)'!MMQ653:MNI3729,3,0),"")</f>
        <v/>
      </c>
      <c r="MMS671" t="str">
        <f>IFERROR(VLOOKUP(MMT671,'[3]Raw material  (3)'!MMR653:MNJ3729,3,0),"")</f>
        <v/>
      </c>
      <c r="MMT671" t="str">
        <f>IFERROR(VLOOKUP(MMU671,'[3]Raw material  (3)'!MMS653:MNK3729,3,0),"")</f>
        <v/>
      </c>
      <c r="MMU671" t="str">
        <f>IFERROR(VLOOKUP(MMV671,'[3]Raw material  (3)'!MMT653:MNL3729,3,0),"")</f>
        <v/>
      </c>
      <c r="MMV671" t="str">
        <f>IFERROR(VLOOKUP(MMW671,'[3]Raw material  (3)'!MMU653:MNM3729,3,0),"")</f>
        <v/>
      </c>
      <c r="MMW671" t="str">
        <f>IFERROR(VLOOKUP(MMX671,'[3]Raw material  (3)'!MMV653:MNN3729,3,0),"")</f>
        <v/>
      </c>
      <c r="MMX671" t="str">
        <f>IFERROR(VLOOKUP(MMY671,'[3]Raw material  (3)'!MMW653:MNO3729,3,0),"")</f>
        <v/>
      </c>
      <c r="MMY671" t="str">
        <f>IFERROR(VLOOKUP(MMZ671,'[3]Raw material  (3)'!MMX653:MNP3729,3,0),"")</f>
        <v/>
      </c>
      <c r="MMZ671" t="str">
        <f>IFERROR(VLOOKUP(MNA671,'[3]Raw material  (3)'!MMY653:MNQ3729,3,0),"")</f>
        <v/>
      </c>
      <c r="MNA671" t="str">
        <f>IFERROR(VLOOKUP(MNB671,'[3]Raw material  (3)'!MMZ653:MNR3729,3,0),"")</f>
        <v/>
      </c>
      <c r="MNB671" t="str">
        <f>IFERROR(VLOOKUP(MNC671,'[3]Raw material  (3)'!MNA653:MNS3729,3,0),"")</f>
        <v/>
      </c>
      <c r="MNC671" t="str">
        <f>IFERROR(VLOOKUP(MND671,'[3]Raw material  (3)'!MNB653:MNT3729,3,0),"")</f>
        <v/>
      </c>
      <c r="MND671" t="str">
        <f>IFERROR(VLOOKUP(MNE671,'[3]Raw material  (3)'!MNC653:MNU3729,3,0),"")</f>
        <v/>
      </c>
      <c r="MNE671" t="str">
        <f>IFERROR(VLOOKUP(MNF671,'[3]Raw material  (3)'!MND653:MNV3729,3,0),"")</f>
        <v/>
      </c>
      <c r="MNF671" t="str">
        <f>IFERROR(VLOOKUP(MNG671,'[3]Raw material  (3)'!MNE653:MNW3729,3,0),"")</f>
        <v/>
      </c>
      <c r="MNG671" t="str">
        <f>IFERROR(VLOOKUP(MNH671,'[3]Raw material  (3)'!MNF653:MNX3729,3,0),"")</f>
        <v/>
      </c>
      <c r="MNH671" t="str">
        <f>IFERROR(VLOOKUP(MNI671,'[3]Raw material  (3)'!MNG653:MNY3729,3,0),"")</f>
        <v/>
      </c>
      <c r="MNI671" t="str">
        <f>IFERROR(VLOOKUP(MNJ671,'[3]Raw material  (3)'!MNH653:MNZ3729,3,0),"")</f>
        <v/>
      </c>
      <c r="MNJ671" t="str">
        <f>IFERROR(VLOOKUP(MNK671,'[3]Raw material  (3)'!MNI653:MOA3729,3,0),"")</f>
        <v/>
      </c>
      <c r="MNK671" t="str">
        <f>IFERROR(VLOOKUP(MNL671,'[3]Raw material  (3)'!MNJ653:MOB3729,3,0),"")</f>
        <v/>
      </c>
      <c r="MNL671" t="str">
        <f>IFERROR(VLOOKUP(MNM671,'[3]Raw material  (3)'!MNK653:MOC3729,3,0),"")</f>
        <v/>
      </c>
      <c r="MNM671" t="str">
        <f>IFERROR(VLOOKUP(MNN671,'[3]Raw material  (3)'!MNL653:MOD3729,3,0),"")</f>
        <v/>
      </c>
      <c r="MNN671" t="str">
        <f>IFERROR(VLOOKUP(MNO671,'[3]Raw material  (3)'!MNM653:MOE3729,3,0),"")</f>
        <v/>
      </c>
      <c r="MNO671" t="str">
        <f>IFERROR(VLOOKUP(MNP671,'[3]Raw material  (3)'!MNN653:MOF3729,3,0),"")</f>
        <v/>
      </c>
      <c r="MNP671" t="str">
        <f>IFERROR(VLOOKUP(MNQ671,'[3]Raw material  (3)'!MNO653:MOG3729,3,0),"")</f>
        <v/>
      </c>
      <c r="MNQ671" t="str">
        <f>IFERROR(VLOOKUP(MNR671,'[3]Raw material  (3)'!MNP653:MOH3729,3,0),"")</f>
        <v/>
      </c>
      <c r="MNR671" t="str">
        <f>IFERROR(VLOOKUP(MNS671,'[3]Raw material  (3)'!MNQ653:MOI3729,3,0),"")</f>
        <v/>
      </c>
      <c r="MNS671" t="str">
        <f>IFERROR(VLOOKUP(MNT671,'[3]Raw material  (3)'!MNR653:MOJ3729,3,0),"")</f>
        <v/>
      </c>
      <c r="MNT671" t="str">
        <f>IFERROR(VLOOKUP(MNU671,'[3]Raw material  (3)'!MNS653:MOK3729,3,0),"")</f>
        <v/>
      </c>
      <c r="MNU671" t="str">
        <f>IFERROR(VLOOKUP(MNV671,'[3]Raw material  (3)'!MNT653:MOL3729,3,0),"")</f>
        <v/>
      </c>
      <c r="MNV671" t="str">
        <f>IFERROR(VLOOKUP(MNW671,'[3]Raw material  (3)'!MNU653:MOM3729,3,0),"")</f>
        <v/>
      </c>
      <c r="MNW671" t="str">
        <f>IFERROR(VLOOKUP(MNX671,'[3]Raw material  (3)'!MNV653:MON3729,3,0),"")</f>
        <v/>
      </c>
      <c r="MNX671" t="str">
        <f>IFERROR(VLOOKUP(MNY671,'[3]Raw material  (3)'!MNW653:MOO3729,3,0),"")</f>
        <v/>
      </c>
      <c r="MNY671" t="str">
        <f>IFERROR(VLOOKUP(MNZ671,'[3]Raw material  (3)'!MNX653:MOP3729,3,0),"")</f>
        <v/>
      </c>
      <c r="MNZ671" t="str">
        <f>IFERROR(VLOOKUP(MOA671,'[3]Raw material  (3)'!MNY653:MOQ3729,3,0),"")</f>
        <v/>
      </c>
      <c r="MOA671" t="str">
        <f>IFERROR(VLOOKUP(MOB671,'[3]Raw material  (3)'!MNZ653:MOR3729,3,0),"")</f>
        <v/>
      </c>
      <c r="MOB671" t="str">
        <f>IFERROR(VLOOKUP(MOC671,'[3]Raw material  (3)'!MOA653:MOS3729,3,0),"")</f>
        <v/>
      </c>
      <c r="MOC671" t="str">
        <f>IFERROR(VLOOKUP(MOD671,'[3]Raw material  (3)'!MOB653:MOT3729,3,0),"")</f>
        <v/>
      </c>
      <c r="MOD671" t="str">
        <f>IFERROR(VLOOKUP(MOE671,'[3]Raw material  (3)'!MOC653:MOU3729,3,0),"")</f>
        <v/>
      </c>
      <c r="MOE671" t="str">
        <f>IFERROR(VLOOKUP(MOF671,'[3]Raw material  (3)'!MOD653:MOV3729,3,0),"")</f>
        <v/>
      </c>
      <c r="MOF671" t="str">
        <f>IFERROR(VLOOKUP(MOG671,'[3]Raw material  (3)'!MOE653:MOW3729,3,0),"")</f>
        <v/>
      </c>
      <c r="MOG671" t="str">
        <f>IFERROR(VLOOKUP(MOH671,'[3]Raw material  (3)'!MOF653:MOX3729,3,0),"")</f>
        <v/>
      </c>
      <c r="MOH671" t="str">
        <f>IFERROR(VLOOKUP(MOI671,'[3]Raw material  (3)'!MOG653:MOY3729,3,0),"")</f>
        <v/>
      </c>
      <c r="MOI671" t="str">
        <f>IFERROR(VLOOKUP(MOJ671,'[3]Raw material  (3)'!MOH653:MOZ3729,3,0),"")</f>
        <v/>
      </c>
      <c r="MOJ671" t="str">
        <f>IFERROR(VLOOKUP(MOK671,'[3]Raw material  (3)'!MOI653:MPA3729,3,0),"")</f>
        <v/>
      </c>
      <c r="MOK671" t="str">
        <f>IFERROR(VLOOKUP(MOL671,'[3]Raw material  (3)'!MOJ653:MPB3729,3,0),"")</f>
        <v/>
      </c>
      <c r="MOL671" t="str">
        <f>IFERROR(VLOOKUP(MOM671,'[3]Raw material  (3)'!MOK653:MPC3729,3,0),"")</f>
        <v/>
      </c>
      <c r="MOM671" t="str">
        <f>IFERROR(VLOOKUP(MON671,'[3]Raw material  (3)'!MOL653:MPD3729,3,0),"")</f>
        <v/>
      </c>
      <c r="MON671" t="str">
        <f>IFERROR(VLOOKUP(MOO671,'[3]Raw material  (3)'!MOM653:MPE3729,3,0),"")</f>
        <v/>
      </c>
      <c r="MOO671" t="str">
        <f>IFERROR(VLOOKUP(MOP671,'[3]Raw material  (3)'!MON653:MPF3729,3,0),"")</f>
        <v/>
      </c>
      <c r="MOP671" t="str">
        <f>IFERROR(VLOOKUP(MOQ671,'[3]Raw material  (3)'!MOO653:MPG3729,3,0),"")</f>
        <v/>
      </c>
      <c r="MOQ671" t="str">
        <f>IFERROR(VLOOKUP(MOR671,'[3]Raw material  (3)'!MOP653:MPH3729,3,0),"")</f>
        <v/>
      </c>
      <c r="MOR671" t="str">
        <f>IFERROR(VLOOKUP(MOS671,'[3]Raw material  (3)'!MOQ653:MPI3729,3,0),"")</f>
        <v/>
      </c>
      <c r="MOS671" t="str">
        <f>IFERROR(VLOOKUP(MOT671,'[3]Raw material  (3)'!MOR653:MPJ3729,3,0),"")</f>
        <v/>
      </c>
      <c r="MOT671" t="str">
        <f>IFERROR(VLOOKUP(MOU671,'[3]Raw material  (3)'!MOS653:MPK3729,3,0),"")</f>
        <v/>
      </c>
      <c r="MOU671" t="str">
        <f>IFERROR(VLOOKUP(MOV671,'[3]Raw material  (3)'!MOT653:MPL3729,3,0),"")</f>
        <v/>
      </c>
      <c r="MOV671" t="str">
        <f>IFERROR(VLOOKUP(MOW671,'[3]Raw material  (3)'!MOU653:MPM3729,3,0),"")</f>
        <v/>
      </c>
      <c r="MOW671" t="str">
        <f>IFERROR(VLOOKUP(MOX671,'[3]Raw material  (3)'!MOV653:MPN3729,3,0),"")</f>
        <v/>
      </c>
      <c r="MOX671" t="str">
        <f>IFERROR(VLOOKUP(MOY671,'[3]Raw material  (3)'!MOW653:MPO3729,3,0),"")</f>
        <v/>
      </c>
      <c r="MOY671" t="str">
        <f>IFERROR(VLOOKUP(MOZ671,'[3]Raw material  (3)'!MOX653:MPP3729,3,0),"")</f>
        <v/>
      </c>
      <c r="MOZ671" t="str">
        <f>IFERROR(VLOOKUP(MPA671,'[3]Raw material  (3)'!MOY653:MPQ3729,3,0),"")</f>
        <v/>
      </c>
      <c r="MPA671" t="str">
        <f>IFERROR(VLOOKUP(MPB671,'[3]Raw material  (3)'!MOZ653:MPR3729,3,0),"")</f>
        <v/>
      </c>
      <c r="MPB671" t="str">
        <f>IFERROR(VLOOKUP(MPC671,'[3]Raw material  (3)'!MPA653:MPS3729,3,0),"")</f>
        <v/>
      </c>
      <c r="MPC671" t="str">
        <f>IFERROR(VLOOKUP(MPD671,'[3]Raw material  (3)'!MPB653:MPT3729,3,0),"")</f>
        <v/>
      </c>
      <c r="MPD671" t="str">
        <f>IFERROR(VLOOKUP(MPE671,'[3]Raw material  (3)'!MPC653:MPU3729,3,0),"")</f>
        <v/>
      </c>
      <c r="MPE671" t="str">
        <f>IFERROR(VLOOKUP(MPF671,'[3]Raw material  (3)'!MPD653:MPV3729,3,0),"")</f>
        <v/>
      </c>
      <c r="MPF671" t="str">
        <f>IFERROR(VLOOKUP(MPG671,'[3]Raw material  (3)'!MPE653:MPW3729,3,0),"")</f>
        <v/>
      </c>
      <c r="MPG671" t="str">
        <f>IFERROR(VLOOKUP(MPH671,'[3]Raw material  (3)'!MPF653:MPX3729,3,0),"")</f>
        <v/>
      </c>
      <c r="MPH671" t="str">
        <f>IFERROR(VLOOKUP(MPI671,'[3]Raw material  (3)'!MPG653:MPY3729,3,0),"")</f>
        <v/>
      </c>
      <c r="MPI671" t="str">
        <f>IFERROR(VLOOKUP(MPJ671,'[3]Raw material  (3)'!MPH653:MPZ3729,3,0),"")</f>
        <v/>
      </c>
      <c r="MPJ671" t="str">
        <f>IFERROR(VLOOKUP(MPK671,'[3]Raw material  (3)'!MPI653:MQA3729,3,0),"")</f>
        <v/>
      </c>
      <c r="MPK671" t="str">
        <f>IFERROR(VLOOKUP(MPL671,'[3]Raw material  (3)'!MPJ653:MQB3729,3,0),"")</f>
        <v/>
      </c>
      <c r="MPL671" t="str">
        <f>IFERROR(VLOOKUP(MPM671,'[3]Raw material  (3)'!MPK653:MQC3729,3,0),"")</f>
        <v/>
      </c>
      <c r="MPM671" t="str">
        <f>IFERROR(VLOOKUP(MPN671,'[3]Raw material  (3)'!MPL653:MQD3729,3,0),"")</f>
        <v/>
      </c>
      <c r="MPN671" t="str">
        <f>IFERROR(VLOOKUP(MPO671,'[3]Raw material  (3)'!MPM653:MQE3729,3,0),"")</f>
        <v/>
      </c>
      <c r="MPO671" t="str">
        <f>IFERROR(VLOOKUP(MPP671,'[3]Raw material  (3)'!MPN653:MQF3729,3,0),"")</f>
        <v/>
      </c>
      <c r="MPP671" t="str">
        <f>IFERROR(VLOOKUP(MPQ671,'[3]Raw material  (3)'!MPO653:MQG3729,3,0),"")</f>
        <v/>
      </c>
      <c r="MPQ671" t="str">
        <f>IFERROR(VLOOKUP(MPR671,'[3]Raw material  (3)'!MPP653:MQH3729,3,0),"")</f>
        <v/>
      </c>
      <c r="MPR671" t="str">
        <f>IFERROR(VLOOKUP(MPS671,'[3]Raw material  (3)'!MPQ653:MQI3729,3,0),"")</f>
        <v/>
      </c>
      <c r="MPS671" t="str">
        <f>IFERROR(VLOOKUP(MPT671,'[3]Raw material  (3)'!MPR653:MQJ3729,3,0),"")</f>
        <v/>
      </c>
      <c r="MPT671" t="str">
        <f>IFERROR(VLOOKUP(MPU671,'[3]Raw material  (3)'!MPS653:MQK3729,3,0),"")</f>
        <v/>
      </c>
      <c r="MPU671" t="str">
        <f>IFERROR(VLOOKUP(MPV671,'[3]Raw material  (3)'!MPT653:MQL3729,3,0),"")</f>
        <v/>
      </c>
      <c r="MPV671" t="str">
        <f>IFERROR(VLOOKUP(MPW671,'[3]Raw material  (3)'!MPU653:MQM3729,3,0),"")</f>
        <v/>
      </c>
      <c r="MPW671" t="str">
        <f>IFERROR(VLOOKUP(MPX671,'[3]Raw material  (3)'!MPV653:MQN3729,3,0),"")</f>
        <v/>
      </c>
      <c r="MPX671" t="str">
        <f>IFERROR(VLOOKUP(MPY671,'[3]Raw material  (3)'!MPW653:MQO3729,3,0),"")</f>
        <v/>
      </c>
      <c r="MPY671" t="str">
        <f>IFERROR(VLOOKUP(MPZ671,'[3]Raw material  (3)'!MPX653:MQP3729,3,0),"")</f>
        <v/>
      </c>
      <c r="MPZ671" t="str">
        <f>IFERROR(VLOOKUP(MQA671,'[3]Raw material  (3)'!MPY653:MQQ3729,3,0),"")</f>
        <v/>
      </c>
      <c r="MQA671" t="str">
        <f>IFERROR(VLOOKUP(MQB671,'[3]Raw material  (3)'!MPZ653:MQR3729,3,0),"")</f>
        <v/>
      </c>
      <c r="MQB671" t="str">
        <f>IFERROR(VLOOKUP(MQC671,'[3]Raw material  (3)'!MQA653:MQS3729,3,0),"")</f>
        <v/>
      </c>
      <c r="MQC671" t="str">
        <f>IFERROR(VLOOKUP(MQD671,'[3]Raw material  (3)'!MQB653:MQT3729,3,0),"")</f>
        <v/>
      </c>
      <c r="MQD671" t="str">
        <f>IFERROR(VLOOKUP(MQE671,'[3]Raw material  (3)'!MQC653:MQU3729,3,0),"")</f>
        <v/>
      </c>
      <c r="MQE671" t="str">
        <f>IFERROR(VLOOKUP(MQF671,'[3]Raw material  (3)'!MQD653:MQV3729,3,0),"")</f>
        <v/>
      </c>
      <c r="MQF671" t="str">
        <f>IFERROR(VLOOKUP(MQG671,'[3]Raw material  (3)'!MQE653:MQW3729,3,0),"")</f>
        <v/>
      </c>
      <c r="MQG671" t="str">
        <f>IFERROR(VLOOKUP(MQH671,'[3]Raw material  (3)'!MQF653:MQX3729,3,0),"")</f>
        <v/>
      </c>
      <c r="MQH671" t="str">
        <f>IFERROR(VLOOKUP(MQI671,'[3]Raw material  (3)'!MQG653:MQY3729,3,0),"")</f>
        <v/>
      </c>
      <c r="MQI671" t="str">
        <f>IFERROR(VLOOKUP(MQJ671,'[3]Raw material  (3)'!MQH653:MQZ3729,3,0),"")</f>
        <v/>
      </c>
      <c r="MQJ671" t="str">
        <f>IFERROR(VLOOKUP(MQK671,'[3]Raw material  (3)'!MQI653:MRA3729,3,0),"")</f>
        <v/>
      </c>
      <c r="MQK671" t="str">
        <f>IFERROR(VLOOKUP(MQL671,'[3]Raw material  (3)'!MQJ653:MRB3729,3,0),"")</f>
        <v/>
      </c>
      <c r="MQL671" t="str">
        <f>IFERROR(VLOOKUP(MQM671,'[3]Raw material  (3)'!MQK653:MRC3729,3,0),"")</f>
        <v/>
      </c>
      <c r="MQM671" t="str">
        <f>IFERROR(VLOOKUP(MQN671,'[3]Raw material  (3)'!MQL653:MRD3729,3,0),"")</f>
        <v/>
      </c>
      <c r="MQN671" t="str">
        <f>IFERROR(VLOOKUP(MQO671,'[3]Raw material  (3)'!MQM653:MRE3729,3,0),"")</f>
        <v/>
      </c>
      <c r="MQO671" t="str">
        <f>IFERROR(VLOOKUP(MQP671,'[3]Raw material  (3)'!MQN653:MRF3729,3,0),"")</f>
        <v/>
      </c>
      <c r="MQP671" t="str">
        <f>IFERROR(VLOOKUP(MQQ671,'[3]Raw material  (3)'!MQO653:MRG3729,3,0),"")</f>
        <v/>
      </c>
      <c r="MQQ671" t="str">
        <f>IFERROR(VLOOKUP(MQR671,'[3]Raw material  (3)'!MQP653:MRH3729,3,0),"")</f>
        <v/>
      </c>
      <c r="MQR671" t="str">
        <f>IFERROR(VLOOKUP(MQS671,'[3]Raw material  (3)'!MQQ653:MRI3729,3,0),"")</f>
        <v/>
      </c>
      <c r="MQS671" t="str">
        <f>IFERROR(VLOOKUP(MQT671,'[3]Raw material  (3)'!MQR653:MRJ3729,3,0),"")</f>
        <v/>
      </c>
      <c r="MQT671" t="str">
        <f>IFERROR(VLOOKUP(MQU671,'[3]Raw material  (3)'!MQS653:MRK3729,3,0),"")</f>
        <v/>
      </c>
      <c r="MQU671" t="str">
        <f>IFERROR(VLOOKUP(MQV671,'[3]Raw material  (3)'!MQT653:MRL3729,3,0),"")</f>
        <v/>
      </c>
      <c r="MQV671" t="str">
        <f>IFERROR(VLOOKUP(MQW671,'[3]Raw material  (3)'!MQU653:MRM3729,3,0),"")</f>
        <v/>
      </c>
      <c r="MQW671" t="str">
        <f>IFERROR(VLOOKUP(MQX671,'[3]Raw material  (3)'!MQV653:MRN3729,3,0),"")</f>
        <v/>
      </c>
      <c r="MQX671" t="str">
        <f>IFERROR(VLOOKUP(MQY671,'[3]Raw material  (3)'!MQW653:MRO3729,3,0),"")</f>
        <v/>
      </c>
      <c r="MQY671" t="str">
        <f>IFERROR(VLOOKUP(MQZ671,'[3]Raw material  (3)'!MQX653:MRP3729,3,0),"")</f>
        <v/>
      </c>
      <c r="MQZ671" t="str">
        <f>IFERROR(VLOOKUP(MRA671,'[3]Raw material  (3)'!MQY653:MRQ3729,3,0),"")</f>
        <v/>
      </c>
      <c r="MRA671" t="str">
        <f>IFERROR(VLOOKUP(MRB671,'[3]Raw material  (3)'!MQZ653:MRR3729,3,0),"")</f>
        <v/>
      </c>
      <c r="MRB671" t="str">
        <f>IFERROR(VLOOKUP(MRC671,'[3]Raw material  (3)'!MRA653:MRS3729,3,0),"")</f>
        <v/>
      </c>
      <c r="MRC671" t="str">
        <f>IFERROR(VLOOKUP(MRD671,'[3]Raw material  (3)'!MRB653:MRT3729,3,0),"")</f>
        <v/>
      </c>
      <c r="MRD671" t="str">
        <f>IFERROR(VLOOKUP(MRE671,'[3]Raw material  (3)'!MRC653:MRU3729,3,0),"")</f>
        <v/>
      </c>
      <c r="MRE671" t="str">
        <f>IFERROR(VLOOKUP(MRF671,'[3]Raw material  (3)'!MRD653:MRV3729,3,0),"")</f>
        <v/>
      </c>
      <c r="MRF671" t="str">
        <f>IFERROR(VLOOKUP(MRG671,'[3]Raw material  (3)'!MRE653:MRW3729,3,0),"")</f>
        <v/>
      </c>
      <c r="MRG671" t="str">
        <f>IFERROR(VLOOKUP(MRH671,'[3]Raw material  (3)'!MRF653:MRX3729,3,0),"")</f>
        <v/>
      </c>
      <c r="MRH671" t="str">
        <f>IFERROR(VLOOKUP(MRI671,'[3]Raw material  (3)'!MRG653:MRY3729,3,0),"")</f>
        <v/>
      </c>
      <c r="MRI671" t="str">
        <f>IFERROR(VLOOKUP(MRJ671,'[3]Raw material  (3)'!MRH653:MRZ3729,3,0),"")</f>
        <v/>
      </c>
      <c r="MRJ671" t="str">
        <f>IFERROR(VLOOKUP(MRK671,'[3]Raw material  (3)'!MRI653:MSA3729,3,0),"")</f>
        <v/>
      </c>
      <c r="MRK671" t="str">
        <f>IFERROR(VLOOKUP(MRL671,'[3]Raw material  (3)'!MRJ653:MSB3729,3,0),"")</f>
        <v/>
      </c>
      <c r="MRL671" t="str">
        <f>IFERROR(VLOOKUP(MRM671,'[3]Raw material  (3)'!MRK653:MSC3729,3,0),"")</f>
        <v/>
      </c>
      <c r="MRM671" t="str">
        <f>IFERROR(VLOOKUP(MRN671,'[3]Raw material  (3)'!MRL653:MSD3729,3,0),"")</f>
        <v/>
      </c>
      <c r="MRN671" t="str">
        <f>IFERROR(VLOOKUP(MRO671,'[3]Raw material  (3)'!MRM653:MSE3729,3,0),"")</f>
        <v/>
      </c>
      <c r="MRO671" t="str">
        <f>IFERROR(VLOOKUP(MRP671,'[3]Raw material  (3)'!MRN653:MSF3729,3,0),"")</f>
        <v/>
      </c>
      <c r="MRP671" t="str">
        <f>IFERROR(VLOOKUP(MRQ671,'[3]Raw material  (3)'!MRO653:MSG3729,3,0),"")</f>
        <v/>
      </c>
      <c r="MRQ671" t="str">
        <f>IFERROR(VLOOKUP(MRR671,'[3]Raw material  (3)'!MRP653:MSH3729,3,0),"")</f>
        <v/>
      </c>
      <c r="MRR671" t="str">
        <f>IFERROR(VLOOKUP(MRS671,'[3]Raw material  (3)'!MRQ653:MSI3729,3,0),"")</f>
        <v/>
      </c>
      <c r="MRS671" t="str">
        <f>IFERROR(VLOOKUP(MRT671,'[3]Raw material  (3)'!MRR653:MSJ3729,3,0),"")</f>
        <v/>
      </c>
      <c r="MRT671" t="str">
        <f>IFERROR(VLOOKUP(MRU671,'[3]Raw material  (3)'!MRS653:MSK3729,3,0),"")</f>
        <v/>
      </c>
      <c r="MRU671" t="str">
        <f>IFERROR(VLOOKUP(MRV671,'[3]Raw material  (3)'!MRT653:MSL3729,3,0),"")</f>
        <v/>
      </c>
      <c r="MRV671" t="str">
        <f>IFERROR(VLOOKUP(MRW671,'[3]Raw material  (3)'!MRU653:MSM3729,3,0),"")</f>
        <v/>
      </c>
      <c r="MRW671" t="str">
        <f>IFERROR(VLOOKUP(MRX671,'[3]Raw material  (3)'!MRV653:MSN3729,3,0),"")</f>
        <v/>
      </c>
      <c r="MRX671" t="str">
        <f>IFERROR(VLOOKUP(MRY671,'[3]Raw material  (3)'!MRW653:MSO3729,3,0),"")</f>
        <v/>
      </c>
      <c r="MRY671" t="str">
        <f>IFERROR(VLOOKUP(MRZ671,'[3]Raw material  (3)'!MRX653:MSP3729,3,0),"")</f>
        <v/>
      </c>
      <c r="MRZ671" t="str">
        <f>IFERROR(VLOOKUP(MSA671,'[3]Raw material  (3)'!MRY653:MSQ3729,3,0),"")</f>
        <v/>
      </c>
      <c r="MSA671" t="str">
        <f>IFERROR(VLOOKUP(MSB671,'[3]Raw material  (3)'!MRZ653:MSR3729,3,0),"")</f>
        <v/>
      </c>
      <c r="MSB671" t="str">
        <f>IFERROR(VLOOKUP(MSC671,'[3]Raw material  (3)'!MSA653:MSS3729,3,0),"")</f>
        <v/>
      </c>
      <c r="MSC671" t="str">
        <f>IFERROR(VLOOKUP(MSD671,'[3]Raw material  (3)'!MSB653:MST3729,3,0),"")</f>
        <v/>
      </c>
      <c r="MSD671" t="str">
        <f>IFERROR(VLOOKUP(MSE671,'[3]Raw material  (3)'!MSC653:MSU3729,3,0),"")</f>
        <v/>
      </c>
      <c r="MSE671" t="str">
        <f>IFERROR(VLOOKUP(MSF671,'[3]Raw material  (3)'!MSD653:MSV3729,3,0),"")</f>
        <v/>
      </c>
      <c r="MSF671" t="str">
        <f>IFERROR(VLOOKUP(MSG671,'[3]Raw material  (3)'!MSE653:MSW3729,3,0),"")</f>
        <v/>
      </c>
      <c r="MSG671" t="str">
        <f>IFERROR(VLOOKUP(MSH671,'[3]Raw material  (3)'!MSF653:MSX3729,3,0),"")</f>
        <v/>
      </c>
      <c r="MSH671" t="str">
        <f>IFERROR(VLOOKUP(MSI671,'[3]Raw material  (3)'!MSG653:MSY3729,3,0),"")</f>
        <v/>
      </c>
      <c r="MSI671" t="str">
        <f>IFERROR(VLOOKUP(MSJ671,'[3]Raw material  (3)'!MSH653:MSZ3729,3,0),"")</f>
        <v/>
      </c>
      <c r="MSJ671" t="str">
        <f>IFERROR(VLOOKUP(MSK671,'[3]Raw material  (3)'!MSI653:MTA3729,3,0),"")</f>
        <v/>
      </c>
      <c r="MSK671" t="str">
        <f>IFERROR(VLOOKUP(MSL671,'[3]Raw material  (3)'!MSJ653:MTB3729,3,0),"")</f>
        <v/>
      </c>
      <c r="MSL671" t="str">
        <f>IFERROR(VLOOKUP(MSM671,'[3]Raw material  (3)'!MSK653:MTC3729,3,0),"")</f>
        <v/>
      </c>
      <c r="MSM671" t="str">
        <f>IFERROR(VLOOKUP(MSN671,'[3]Raw material  (3)'!MSL653:MTD3729,3,0),"")</f>
        <v/>
      </c>
      <c r="MSN671" t="str">
        <f>IFERROR(VLOOKUP(MSO671,'[3]Raw material  (3)'!MSM653:MTE3729,3,0),"")</f>
        <v/>
      </c>
      <c r="MSO671" t="str">
        <f>IFERROR(VLOOKUP(MSP671,'[3]Raw material  (3)'!MSN653:MTF3729,3,0),"")</f>
        <v/>
      </c>
      <c r="MSP671" t="str">
        <f>IFERROR(VLOOKUP(MSQ671,'[3]Raw material  (3)'!MSO653:MTG3729,3,0),"")</f>
        <v/>
      </c>
      <c r="MSQ671" t="str">
        <f>IFERROR(VLOOKUP(MSR671,'[3]Raw material  (3)'!MSP653:MTH3729,3,0),"")</f>
        <v/>
      </c>
      <c r="MSR671" t="str">
        <f>IFERROR(VLOOKUP(MSS671,'[3]Raw material  (3)'!MSQ653:MTI3729,3,0),"")</f>
        <v/>
      </c>
      <c r="MSS671" t="str">
        <f>IFERROR(VLOOKUP(MST671,'[3]Raw material  (3)'!MSR653:MTJ3729,3,0),"")</f>
        <v/>
      </c>
      <c r="MST671" t="str">
        <f>IFERROR(VLOOKUP(MSU671,'[3]Raw material  (3)'!MSS653:MTK3729,3,0),"")</f>
        <v/>
      </c>
      <c r="MSU671" t="str">
        <f>IFERROR(VLOOKUP(MSV671,'[3]Raw material  (3)'!MST653:MTL3729,3,0),"")</f>
        <v/>
      </c>
      <c r="MSV671" t="str">
        <f>IFERROR(VLOOKUP(MSW671,'[3]Raw material  (3)'!MSU653:MTM3729,3,0),"")</f>
        <v/>
      </c>
      <c r="MSW671" t="str">
        <f>IFERROR(VLOOKUP(MSX671,'[3]Raw material  (3)'!MSV653:MTN3729,3,0),"")</f>
        <v/>
      </c>
      <c r="MSX671" t="str">
        <f>IFERROR(VLOOKUP(MSY671,'[3]Raw material  (3)'!MSW653:MTO3729,3,0),"")</f>
        <v/>
      </c>
      <c r="MSY671" t="str">
        <f>IFERROR(VLOOKUP(MSZ671,'[3]Raw material  (3)'!MSX653:MTP3729,3,0),"")</f>
        <v/>
      </c>
      <c r="MSZ671" t="str">
        <f>IFERROR(VLOOKUP(MTA671,'[3]Raw material  (3)'!MSY653:MTQ3729,3,0),"")</f>
        <v/>
      </c>
      <c r="MTA671" t="str">
        <f>IFERROR(VLOOKUP(MTB671,'[3]Raw material  (3)'!MSZ653:MTR3729,3,0),"")</f>
        <v/>
      </c>
      <c r="MTB671" t="str">
        <f>IFERROR(VLOOKUP(MTC671,'[3]Raw material  (3)'!MTA653:MTS3729,3,0),"")</f>
        <v/>
      </c>
      <c r="MTC671" t="str">
        <f>IFERROR(VLOOKUP(MTD671,'[3]Raw material  (3)'!MTB653:MTT3729,3,0),"")</f>
        <v/>
      </c>
      <c r="MTD671" t="str">
        <f>IFERROR(VLOOKUP(MTE671,'[3]Raw material  (3)'!MTC653:MTU3729,3,0),"")</f>
        <v/>
      </c>
      <c r="MTE671" t="str">
        <f>IFERROR(VLOOKUP(MTF671,'[3]Raw material  (3)'!MTD653:MTV3729,3,0),"")</f>
        <v/>
      </c>
      <c r="MTF671" t="str">
        <f>IFERROR(VLOOKUP(MTG671,'[3]Raw material  (3)'!MTE653:MTW3729,3,0),"")</f>
        <v/>
      </c>
      <c r="MTG671" t="str">
        <f>IFERROR(VLOOKUP(MTH671,'[3]Raw material  (3)'!MTF653:MTX3729,3,0),"")</f>
        <v/>
      </c>
      <c r="MTH671" t="str">
        <f>IFERROR(VLOOKUP(MTI671,'[3]Raw material  (3)'!MTG653:MTY3729,3,0),"")</f>
        <v/>
      </c>
      <c r="MTI671" t="str">
        <f>IFERROR(VLOOKUP(MTJ671,'[3]Raw material  (3)'!MTH653:MTZ3729,3,0),"")</f>
        <v/>
      </c>
      <c r="MTJ671" t="str">
        <f>IFERROR(VLOOKUP(MTK671,'[3]Raw material  (3)'!MTI653:MUA3729,3,0),"")</f>
        <v/>
      </c>
      <c r="MTK671" t="str">
        <f>IFERROR(VLOOKUP(MTL671,'[3]Raw material  (3)'!MTJ653:MUB3729,3,0),"")</f>
        <v/>
      </c>
      <c r="MTL671" t="str">
        <f>IFERROR(VLOOKUP(MTM671,'[3]Raw material  (3)'!MTK653:MUC3729,3,0),"")</f>
        <v/>
      </c>
      <c r="MTM671" t="str">
        <f>IFERROR(VLOOKUP(MTN671,'[3]Raw material  (3)'!MTL653:MUD3729,3,0),"")</f>
        <v/>
      </c>
      <c r="MTN671" t="str">
        <f>IFERROR(VLOOKUP(MTO671,'[3]Raw material  (3)'!MTM653:MUE3729,3,0),"")</f>
        <v/>
      </c>
      <c r="MTO671" t="str">
        <f>IFERROR(VLOOKUP(MTP671,'[3]Raw material  (3)'!MTN653:MUF3729,3,0),"")</f>
        <v/>
      </c>
      <c r="MTP671" t="str">
        <f>IFERROR(VLOOKUP(MTQ671,'[3]Raw material  (3)'!MTO653:MUG3729,3,0),"")</f>
        <v/>
      </c>
      <c r="MTQ671" t="str">
        <f>IFERROR(VLOOKUP(MTR671,'[3]Raw material  (3)'!MTP653:MUH3729,3,0),"")</f>
        <v/>
      </c>
      <c r="MTR671" t="str">
        <f>IFERROR(VLOOKUP(MTS671,'[3]Raw material  (3)'!MTQ653:MUI3729,3,0),"")</f>
        <v/>
      </c>
      <c r="MTS671" t="str">
        <f>IFERROR(VLOOKUP(MTT671,'[3]Raw material  (3)'!MTR653:MUJ3729,3,0),"")</f>
        <v/>
      </c>
      <c r="MTT671" t="str">
        <f>IFERROR(VLOOKUP(MTU671,'[3]Raw material  (3)'!MTS653:MUK3729,3,0),"")</f>
        <v/>
      </c>
      <c r="MTU671" t="str">
        <f>IFERROR(VLOOKUP(MTV671,'[3]Raw material  (3)'!MTT653:MUL3729,3,0),"")</f>
        <v/>
      </c>
      <c r="MTV671" t="str">
        <f>IFERROR(VLOOKUP(MTW671,'[3]Raw material  (3)'!MTU653:MUM3729,3,0),"")</f>
        <v/>
      </c>
      <c r="MTW671" t="str">
        <f>IFERROR(VLOOKUP(MTX671,'[3]Raw material  (3)'!MTV653:MUN3729,3,0),"")</f>
        <v/>
      </c>
      <c r="MTX671" t="str">
        <f>IFERROR(VLOOKUP(MTY671,'[3]Raw material  (3)'!MTW653:MUO3729,3,0),"")</f>
        <v/>
      </c>
      <c r="MTY671" t="str">
        <f>IFERROR(VLOOKUP(MTZ671,'[3]Raw material  (3)'!MTX653:MUP3729,3,0),"")</f>
        <v/>
      </c>
      <c r="MTZ671" t="str">
        <f>IFERROR(VLOOKUP(MUA671,'[3]Raw material  (3)'!MTY653:MUQ3729,3,0),"")</f>
        <v/>
      </c>
      <c r="MUA671" t="str">
        <f>IFERROR(VLOOKUP(MUB671,'[3]Raw material  (3)'!MTZ653:MUR3729,3,0),"")</f>
        <v/>
      </c>
      <c r="MUB671" t="str">
        <f>IFERROR(VLOOKUP(MUC671,'[3]Raw material  (3)'!MUA653:MUS3729,3,0),"")</f>
        <v/>
      </c>
      <c r="MUC671" t="str">
        <f>IFERROR(VLOOKUP(MUD671,'[3]Raw material  (3)'!MUB653:MUT3729,3,0),"")</f>
        <v/>
      </c>
      <c r="MUD671" t="str">
        <f>IFERROR(VLOOKUP(MUE671,'[3]Raw material  (3)'!MUC653:MUU3729,3,0),"")</f>
        <v/>
      </c>
      <c r="MUE671" t="str">
        <f>IFERROR(VLOOKUP(MUF671,'[3]Raw material  (3)'!MUD653:MUV3729,3,0),"")</f>
        <v/>
      </c>
      <c r="MUF671" t="str">
        <f>IFERROR(VLOOKUP(MUG671,'[3]Raw material  (3)'!MUE653:MUW3729,3,0),"")</f>
        <v/>
      </c>
      <c r="MUG671" t="str">
        <f>IFERROR(VLOOKUP(MUH671,'[3]Raw material  (3)'!MUF653:MUX3729,3,0),"")</f>
        <v/>
      </c>
      <c r="MUH671" t="str">
        <f>IFERROR(VLOOKUP(MUI671,'[3]Raw material  (3)'!MUG653:MUY3729,3,0),"")</f>
        <v/>
      </c>
      <c r="MUI671" t="str">
        <f>IFERROR(VLOOKUP(MUJ671,'[3]Raw material  (3)'!MUH653:MUZ3729,3,0),"")</f>
        <v/>
      </c>
      <c r="MUJ671" t="str">
        <f>IFERROR(VLOOKUP(MUK671,'[3]Raw material  (3)'!MUI653:MVA3729,3,0),"")</f>
        <v/>
      </c>
      <c r="MUK671" t="str">
        <f>IFERROR(VLOOKUP(MUL671,'[3]Raw material  (3)'!MUJ653:MVB3729,3,0),"")</f>
        <v/>
      </c>
      <c r="MUL671" t="str">
        <f>IFERROR(VLOOKUP(MUM671,'[3]Raw material  (3)'!MUK653:MVC3729,3,0),"")</f>
        <v/>
      </c>
      <c r="MUM671" t="str">
        <f>IFERROR(VLOOKUP(MUN671,'[3]Raw material  (3)'!MUL653:MVD3729,3,0),"")</f>
        <v/>
      </c>
      <c r="MUN671" t="str">
        <f>IFERROR(VLOOKUP(MUO671,'[3]Raw material  (3)'!MUM653:MVE3729,3,0),"")</f>
        <v/>
      </c>
      <c r="MUO671" t="str">
        <f>IFERROR(VLOOKUP(MUP671,'[3]Raw material  (3)'!MUN653:MVF3729,3,0),"")</f>
        <v/>
      </c>
      <c r="MUP671" t="str">
        <f>IFERROR(VLOOKUP(MUQ671,'[3]Raw material  (3)'!MUO653:MVG3729,3,0),"")</f>
        <v/>
      </c>
      <c r="MUQ671" t="str">
        <f>IFERROR(VLOOKUP(MUR671,'[3]Raw material  (3)'!MUP653:MVH3729,3,0),"")</f>
        <v/>
      </c>
      <c r="MUR671" t="str">
        <f>IFERROR(VLOOKUP(MUS671,'[3]Raw material  (3)'!MUQ653:MVI3729,3,0),"")</f>
        <v/>
      </c>
      <c r="MUS671" t="str">
        <f>IFERROR(VLOOKUP(MUT671,'[3]Raw material  (3)'!MUR653:MVJ3729,3,0),"")</f>
        <v/>
      </c>
      <c r="MUT671" t="str">
        <f>IFERROR(VLOOKUP(MUU671,'[3]Raw material  (3)'!MUS653:MVK3729,3,0),"")</f>
        <v/>
      </c>
      <c r="MUU671" t="str">
        <f>IFERROR(VLOOKUP(MUV671,'[3]Raw material  (3)'!MUT653:MVL3729,3,0),"")</f>
        <v/>
      </c>
      <c r="MUV671" t="str">
        <f>IFERROR(VLOOKUP(MUW671,'[3]Raw material  (3)'!MUU653:MVM3729,3,0),"")</f>
        <v/>
      </c>
      <c r="MUW671" t="str">
        <f>IFERROR(VLOOKUP(MUX671,'[3]Raw material  (3)'!MUV653:MVN3729,3,0),"")</f>
        <v/>
      </c>
      <c r="MUX671" t="str">
        <f>IFERROR(VLOOKUP(MUY671,'[3]Raw material  (3)'!MUW653:MVO3729,3,0),"")</f>
        <v/>
      </c>
      <c r="MUY671" t="str">
        <f>IFERROR(VLOOKUP(MUZ671,'[3]Raw material  (3)'!MUX653:MVP3729,3,0),"")</f>
        <v/>
      </c>
      <c r="MUZ671" t="str">
        <f>IFERROR(VLOOKUP(MVA671,'[3]Raw material  (3)'!MUY653:MVQ3729,3,0),"")</f>
        <v/>
      </c>
      <c r="MVA671" t="str">
        <f>IFERROR(VLOOKUP(MVB671,'[3]Raw material  (3)'!MUZ653:MVR3729,3,0),"")</f>
        <v/>
      </c>
      <c r="MVB671" t="str">
        <f>IFERROR(VLOOKUP(MVC671,'[3]Raw material  (3)'!MVA653:MVS3729,3,0),"")</f>
        <v/>
      </c>
      <c r="MVC671" t="str">
        <f>IFERROR(VLOOKUP(MVD671,'[3]Raw material  (3)'!MVB653:MVT3729,3,0),"")</f>
        <v/>
      </c>
      <c r="MVD671" t="str">
        <f>IFERROR(VLOOKUP(MVE671,'[3]Raw material  (3)'!MVC653:MVU3729,3,0),"")</f>
        <v/>
      </c>
      <c r="MVE671" t="str">
        <f>IFERROR(VLOOKUP(MVF671,'[3]Raw material  (3)'!MVD653:MVV3729,3,0),"")</f>
        <v/>
      </c>
      <c r="MVF671" t="str">
        <f>IFERROR(VLOOKUP(MVG671,'[3]Raw material  (3)'!MVE653:MVW3729,3,0),"")</f>
        <v/>
      </c>
      <c r="MVG671" t="str">
        <f>IFERROR(VLOOKUP(MVH671,'[3]Raw material  (3)'!MVF653:MVX3729,3,0),"")</f>
        <v/>
      </c>
      <c r="MVH671" t="str">
        <f>IFERROR(VLOOKUP(MVI671,'[3]Raw material  (3)'!MVG653:MVY3729,3,0),"")</f>
        <v/>
      </c>
      <c r="MVI671" t="str">
        <f>IFERROR(VLOOKUP(MVJ671,'[3]Raw material  (3)'!MVH653:MVZ3729,3,0),"")</f>
        <v/>
      </c>
      <c r="MVJ671" t="str">
        <f>IFERROR(VLOOKUP(MVK671,'[3]Raw material  (3)'!MVI653:MWA3729,3,0),"")</f>
        <v/>
      </c>
      <c r="MVK671" t="str">
        <f>IFERROR(VLOOKUP(MVL671,'[3]Raw material  (3)'!MVJ653:MWB3729,3,0),"")</f>
        <v/>
      </c>
      <c r="MVL671" t="str">
        <f>IFERROR(VLOOKUP(MVM671,'[3]Raw material  (3)'!MVK653:MWC3729,3,0),"")</f>
        <v/>
      </c>
      <c r="MVM671" t="str">
        <f>IFERROR(VLOOKUP(MVN671,'[3]Raw material  (3)'!MVL653:MWD3729,3,0),"")</f>
        <v/>
      </c>
      <c r="MVN671" t="str">
        <f>IFERROR(VLOOKUP(MVO671,'[3]Raw material  (3)'!MVM653:MWE3729,3,0),"")</f>
        <v/>
      </c>
      <c r="MVO671" t="str">
        <f>IFERROR(VLOOKUP(MVP671,'[3]Raw material  (3)'!MVN653:MWF3729,3,0),"")</f>
        <v/>
      </c>
      <c r="MVP671" t="str">
        <f>IFERROR(VLOOKUP(MVQ671,'[3]Raw material  (3)'!MVO653:MWG3729,3,0),"")</f>
        <v/>
      </c>
      <c r="MVQ671" t="str">
        <f>IFERROR(VLOOKUP(MVR671,'[3]Raw material  (3)'!MVP653:MWH3729,3,0),"")</f>
        <v/>
      </c>
      <c r="MVR671" t="str">
        <f>IFERROR(VLOOKUP(MVS671,'[3]Raw material  (3)'!MVQ653:MWI3729,3,0),"")</f>
        <v/>
      </c>
      <c r="MVS671" t="str">
        <f>IFERROR(VLOOKUP(MVT671,'[3]Raw material  (3)'!MVR653:MWJ3729,3,0),"")</f>
        <v/>
      </c>
      <c r="MVT671" t="str">
        <f>IFERROR(VLOOKUP(MVU671,'[3]Raw material  (3)'!MVS653:MWK3729,3,0),"")</f>
        <v/>
      </c>
      <c r="MVU671" t="str">
        <f>IFERROR(VLOOKUP(MVV671,'[3]Raw material  (3)'!MVT653:MWL3729,3,0),"")</f>
        <v/>
      </c>
      <c r="MVV671" t="str">
        <f>IFERROR(VLOOKUP(MVW671,'[3]Raw material  (3)'!MVU653:MWM3729,3,0),"")</f>
        <v/>
      </c>
      <c r="MVW671" t="str">
        <f>IFERROR(VLOOKUP(MVX671,'[3]Raw material  (3)'!MVV653:MWN3729,3,0),"")</f>
        <v/>
      </c>
      <c r="MVX671" t="str">
        <f>IFERROR(VLOOKUP(MVY671,'[3]Raw material  (3)'!MVW653:MWO3729,3,0),"")</f>
        <v/>
      </c>
      <c r="MVY671" t="str">
        <f>IFERROR(VLOOKUP(MVZ671,'[3]Raw material  (3)'!MVX653:MWP3729,3,0),"")</f>
        <v/>
      </c>
      <c r="MVZ671" t="str">
        <f>IFERROR(VLOOKUP(MWA671,'[3]Raw material  (3)'!MVY653:MWQ3729,3,0),"")</f>
        <v/>
      </c>
      <c r="MWA671" t="str">
        <f>IFERROR(VLOOKUP(MWB671,'[3]Raw material  (3)'!MVZ653:MWR3729,3,0),"")</f>
        <v/>
      </c>
      <c r="MWB671" t="str">
        <f>IFERROR(VLOOKUP(MWC671,'[3]Raw material  (3)'!MWA653:MWS3729,3,0),"")</f>
        <v/>
      </c>
      <c r="MWC671" t="str">
        <f>IFERROR(VLOOKUP(MWD671,'[3]Raw material  (3)'!MWB653:MWT3729,3,0),"")</f>
        <v/>
      </c>
      <c r="MWD671" t="str">
        <f>IFERROR(VLOOKUP(MWE671,'[3]Raw material  (3)'!MWC653:MWU3729,3,0),"")</f>
        <v/>
      </c>
      <c r="MWE671" t="str">
        <f>IFERROR(VLOOKUP(MWF671,'[3]Raw material  (3)'!MWD653:MWV3729,3,0),"")</f>
        <v/>
      </c>
      <c r="MWF671" t="str">
        <f>IFERROR(VLOOKUP(MWG671,'[3]Raw material  (3)'!MWE653:MWW3729,3,0),"")</f>
        <v/>
      </c>
      <c r="MWG671" t="str">
        <f>IFERROR(VLOOKUP(MWH671,'[3]Raw material  (3)'!MWF653:MWX3729,3,0),"")</f>
        <v/>
      </c>
      <c r="MWH671" t="str">
        <f>IFERROR(VLOOKUP(MWI671,'[3]Raw material  (3)'!MWG653:MWY3729,3,0),"")</f>
        <v/>
      </c>
      <c r="MWI671" t="str">
        <f>IFERROR(VLOOKUP(MWJ671,'[3]Raw material  (3)'!MWH653:MWZ3729,3,0),"")</f>
        <v/>
      </c>
      <c r="MWJ671" t="str">
        <f>IFERROR(VLOOKUP(MWK671,'[3]Raw material  (3)'!MWI653:MXA3729,3,0),"")</f>
        <v/>
      </c>
      <c r="MWK671" t="str">
        <f>IFERROR(VLOOKUP(MWL671,'[3]Raw material  (3)'!MWJ653:MXB3729,3,0),"")</f>
        <v/>
      </c>
      <c r="MWL671" t="str">
        <f>IFERROR(VLOOKUP(MWM671,'[3]Raw material  (3)'!MWK653:MXC3729,3,0),"")</f>
        <v/>
      </c>
      <c r="MWM671" t="str">
        <f>IFERROR(VLOOKUP(MWN671,'[3]Raw material  (3)'!MWL653:MXD3729,3,0),"")</f>
        <v/>
      </c>
      <c r="MWN671" t="str">
        <f>IFERROR(VLOOKUP(MWO671,'[3]Raw material  (3)'!MWM653:MXE3729,3,0),"")</f>
        <v/>
      </c>
      <c r="MWO671" t="str">
        <f>IFERROR(VLOOKUP(MWP671,'[3]Raw material  (3)'!MWN653:MXF3729,3,0),"")</f>
        <v/>
      </c>
      <c r="MWP671" t="str">
        <f>IFERROR(VLOOKUP(MWQ671,'[3]Raw material  (3)'!MWO653:MXG3729,3,0),"")</f>
        <v/>
      </c>
      <c r="MWQ671" t="str">
        <f>IFERROR(VLOOKUP(MWR671,'[3]Raw material  (3)'!MWP653:MXH3729,3,0),"")</f>
        <v/>
      </c>
      <c r="MWR671" t="str">
        <f>IFERROR(VLOOKUP(MWS671,'[3]Raw material  (3)'!MWQ653:MXI3729,3,0),"")</f>
        <v/>
      </c>
      <c r="MWS671" t="str">
        <f>IFERROR(VLOOKUP(MWT671,'[3]Raw material  (3)'!MWR653:MXJ3729,3,0),"")</f>
        <v/>
      </c>
      <c r="MWT671" t="str">
        <f>IFERROR(VLOOKUP(MWU671,'[3]Raw material  (3)'!MWS653:MXK3729,3,0),"")</f>
        <v/>
      </c>
      <c r="MWU671" t="str">
        <f>IFERROR(VLOOKUP(MWV671,'[3]Raw material  (3)'!MWT653:MXL3729,3,0),"")</f>
        <v/>
      </c>
      <c r="MWV671" t="str">
        <f>IFERROR(VLOOKUP(MWW671,'[3]Raw material  (3)'!MWU653:MXM3729,3,0),"")</f>
        <v/>
      </c>
      <c r="MWW671" t="str">
        <f>IFERROR(VLOOKUP(MWX671,'[3]Raw material  (3)'!MWV653:MXN3729,3,0),"")</f>
        <v/>
      </c>
      <c r="MWX671" t="str">
        <f>IFERROR(VLOOKUP(MWY671,'[3]Raw material  (3)'!MWW653:MXO3729,3,0),"")</f>
        <v/>
      </c>
      <c r="MWY671" t="str">
        <f>IFERROR(VLOOKUP(MWZ671,'[3]Raw material  (3)'!MWX653:MXP3729,3,0),"")</f>
        <v/>
      </c>
      <c r="MWZ671" t="str">
        <f>IFERROR(VLOOKUP(MXA671,'[3]Raw material  (3)'!MWY653:MXQ3729,3,0),"")</f>
        <v/>
      </c>
      <c r="MXA671" t="str">
        <f>IFERROR(VLOOKUP(MXB671,'[3]Raw material  (3)'!MWZ653:MXR3729,3,0),"")</f>
        <v/>
      </c>
      <c r="MXB671" t="str">
        <f>IFERROR(VLOOKUP(MXC671,'[3]Raw material  (3)'!MXA653:MXS3729,3,0),"")</f>
        <v/>
      </c>
      <c r="MXC671" t="str">
        <f>IFERROR(VLOOKUP(MXD671,'[3]Raw material  (3)'!MXB653:MXT3729,3,0),"")</f>
        <v/>
      </c>
      <c r="MXD671" t="str">
        <f>IFERROR(VLOOKUP(MXE671,'[3]Raw material  (3)'!MXC653:MXU3729,3,0),"")</f>
        <v/>
      </c>
      <c r="MXE671" t="str">
        <f>IFERROR(VLOOKUP(MXF671,'[3]Raw material  (3)'!MXD653:MXV3729,3,0),"")</f>
        <v/>
      </c>
      <c r="MXF671" t="str">
        <f>IFERROR(VLOOKUP(MXG671,'[3]Raw material  (3)'!MXE653:MXW3729,3,0),"")</f>
        <v/>
      </c>
      <c r="MXG671" t="str">
        <f>IFERROR(VLOOKUP(MXH671,'[3]Raw material  (3)'!MXF653:MXX3729,3,0),"")</f>
        <v/>
      </c>
      <c r="MXH671" t="str">
        <f>IFERROR(VLOOKUP(MXI671,'[3]Raw material  (3)'!MXG653:MXY3729,3,0),"")</f>
        <v/>
      </c>
      <c r="MXI671" t="str">
        <f>IFERROR(VLOOKUP(MXJ671,'[3]Raw material  (3)'!MXH653:MXZ3729,3,0),"")</f>
        <v/>
      </c>
      <c r="MXJ671" t="str">
        <f>IFERROR(VLOOKUP(MXK671,'[3]Raw material  (3)'!MXI653:MYA3729,3,0),"")</f>
        <v/>
      </c>
      <c r="MXK671" t="str">
        <f>IFERROR(VLOOKUP(MXL671,'[3]Raw material  (3)'!MXJ653:MYB3729,3,0),"")</f>
        <v/>
      </c>
      <c r="MXL671" t="str">
        <f>IFERROR(VLOOKUP(MXM671,'[3]Raw material  (3)'!MXK653:MYC3729,3,0),"")</f>
        <v/>
      </c>
      <c r="MXM671" t="str">
        <f>IFERROR(VLOOKUP(MXN671,'[3]Raw material  (3)'!MXL653:MYD3729,3,0),"")</f>
        <v/>
      </c>
      <c r="MXN671" t="str">
        <f>IFERROR(VLOOKUP(MXO671,'[3]Raw material  (3)'!MXM653:MYE3729,3,0),"")</f>
        <v/>
      </c>
      <c r="MXO671" t="str">
        <f>IFERROR(VLOOKUP(MXP671,'[3]Raw material  (3)'!MXN653:MYF3729,3,0),"")</f>
        <v/>
      </c>
      <c r="MXP671" t="str">
        <f>IFERROR(VLOOKUP(MXQ671,'[3]Raw material  (3)'!MXO653:MYG3729,3,0),"")</f>
        <v/>
      </c>
      <c r="MXQ671" t="str">
        <f>IFERROR(VLOOKUP(MXR671,'[3]Raw material  (3)'!MXP653:MYH3729,3,0),"")</f>
        <v/>
      </c>
      <c r="MXR671" t="str">
        <f>IFERROR(VLOOKUP(MXS671,'[3]Raw material  (3)'!MXQ653:MYI3729,3,0),"")</f>
        <v/>
      </c>
      <c r="MXS671" t="str">
        <f>IFERROR(VLOOKUP(MXT671,'[3]Raw material  (3)'!MXR653:MYJ3729,3,0),"")</f>
        <v/>
      </c>
      <c r="MXT671" t="str">
        <f>IFERROR(VLOOKUP(MXU671,'[3]Raw material  (3)'!MXS653:MYK3729,3,0),"")</f>
        <v/>
      </c>
      <c r="MXU671" t="str">
        <f>IFERROR(VLOOKUP(MXV671,'[3]Raw material  (3)'!MXT653:MYL3729,3,0),"")</f>
        <v/>
      </c>
      <c r="MXV671" t="str">
        <f>IFERROR(VLOOKUP(MXW671,'[3]Raw material  (3)'!MXU653:MYM3729,3,0),"")</f>
        <v/>
      </c>
      <c r="MXW671" t="str">
        <f>IFERROR(VLOOKUP(MXX671,'[3]Raw material  (3)'!MXV653:MYN3729,3,0),"")</f>
        <v/>
      </c>
      <c r="MXX671" t="str">
        <f>IFERROR(VLOOKUP(MXY671,'[3]Raw material  (3)'!MXW653:MYO3729,3,0),"")</f>
        <v/>
      </c>
      <c r="MXY671" t="str">
        <f>IFERROR(VLOOKUP(MXZ671,'[3]Raw material  (3)'!MXX653:MYP3729,3,0),"")</f>
        <v/>
      </c>
      <c r="MXZ671" t="str">
        <f>IFERROR(VLOOKUP(MYA671,'[3]Raw material  (3)'!MXY653:MYQ3729,3,0),"")</f>
        <v/>
      </c>
      <c r="MYA671" t="str">
        <f>IFERROR(VLOOKUP(MYB671,'[3]Raw material  (3)'!MXZ653:MYR3729,3,0),"")</f>
        <v/>
      </c>
      <c r="MYB671" t="str">
        <f>IFERROR(VLOOKUP(MYC671,'[3]Raw material  (3)'!MYA653:MYS3729,3,0),"")</f>
        <v/>
      </c>
      <c r="MYC671" t="str">
        <f>IFERROR(VLOOKUP(MYD671,'[3]Raw material  (3)'!MYB653:MYT3729,3,0),"")</f>
        <v/>
      </c>
      <c r="MYD671" t="str">
        <f>IFERROR(VLOOKUP(MYE671,'[3]Raw material  (3)'!MYC653:MYU3729,3,0),"")</f>
        <v/>
      </c>
      <c r="MYE671" t="str">
        <f>IFERROR(VLOOKUP(MYF671,'[3]Raw material  (3)'!MYD653:MYV3729,3,0),"")</f>
        <v/>
      </c>
      <c r="MYF671" t="str">
        <f>IFERROR(VLOOKUP(MYG671,'[3]Raw material  (3)'!MYE653:MYW3729,3,0),"")</f>
        <v/>
      </c>
      <c r="MYG671" t="str">
        <f>IFERROR(VLOOKUP(MYH671,'[3]Raw material  (3)'!MYF653:MYX3729,3,0),"")</f>
        <v/>
      </c>
      <c r="MYH671" t="str">
        <f>IFERROR(VLOOKUP(MYI671,'[3]Raw material  (3)'!MYG653:MYY3729,3,0),"")</f>
        <v/>
      </c>
      <c r="MYI671" t="str">
        <f>IFERROR(VLOOKUP(MYJ671,'[3]Raw material  (3)'!MYH653:MYZ3729,3,0),"")</f>
        <v/>
      </c>
      <c r="MYJ671" t="str">
        <f>IFERROR(VLOOKUP(MYK671,'[3]Raw material  (3)'!MYI653:MZA3729,3,0),"")</f>
        <v/>
      </c>
      <c r="MYK671" t="str">
        <f>IFERROR(VLOOKUP(MYL671,'[3]Raw material  (3)'!MYJ653:MZB3729,3,0),"")</f>
        <v/>
      </c>
      <c r="MYL671" t="str">
        <f>IFERROR(VLOOKUP(MYM671,'[3]Raw material  (3)'!MYK653:MZC3729,3,0),"")</f>
        <v/>
      </c>
      <c r="MYM671" t="str">
        <f>IFERROR(VLOOKUP(MYN671,'[3]Raw material  (3)'!MYL653:MZD3729,3,0),"")</f>
        <v/>
      </c>
      <c r="MYN671" t="str">
        <f>IFERROR(VLOOKUP(MYO671,'[3]Raw material  (3)'!MYM653:MZE3729,3,0),"")</f>
        <v/>
      </c>
      <c r="MYO671" t="str">
        <f>IFERROR(VLOOKUP(MYP671,'[3]Raw material  (3)'!MYN653:MZF3729,3,0),"")</f>
        <v/>
      </c>
      <c r="MYP671" t="str">
        <f>IFERROR(VLOOKUP(MYQ671,'[3]Raw material  (3)'!MYO653:MZG3729,3,0),"")</f>
        <v/>
      </c>
      <c r="MYQ671" t="str">
        <f>IFERROR(VLOOKUP(MYR671,'[3]Raw material  (3)'!MYP653:MZH3729,3,0),"")</f>
        <v/>
      </c>
      <c r="MYR671" t="str">
        <f>IFERROR(VLOOKUP(MYS671,'[3]Raw material  (3)'!MYQ653:MZI3729,3,0),"")</f>
        <v/>
      </c>
      <c r="MYS671" t="str">
        <f>IFERROR(VLOOKUP(MYT671,'[3]Raw material  (3)'!MYR653:MZJ3729,3,0),"")</f>
        <v/>
      </c>
      <c r="MYT671" t="str">
        <f>IFERROR(VLOOKUP(MYU671,'[3]Raw material  (3)'!MYS653:MZK3729,3,0),"")</f>
        <v/>
      </c>
      <c r="MYU671" t="str">
        <f>IFERROR(VLOOKUP(MYV671,'[3]Raw material  (3)'!MYT653:MZL3729,3,0),"")</f>
        <v/>
      </c>
      <c r="MYV671" t="str">
        <f>IFERROR(VLOOKUP(MYW671,'[3]Raw material  (3)'!MYU653:MZM3729,3,0),"")</f>
        <v/>
      </c>
      <c r="MYW671" t="str">
        <f>IFERROR(VLOOKUP(MYX671,'[3]Raw material  (3)'!MYV653:MZN3729,3,0),"")</f>
        <v/>
      </c>
      <c r="MYX671" t="str">
        <f>IFERROR(VLOOKUP(MYY671,'[3]Raw material  (3)'!MYW653:MZO3729,3,0),"")</f>
        <v/>
      </c>
      <c r="MYY671" t="str">
        <f>IFERROR(VLOOKUP(MYZ671,'[3]Raw material  (3)'!MYX653:MZP3729,3,0),"")</f>
        <v/>
      </c>
      <c r="MYZ671" t="str">
        <f>IFERROR(VLOOKUP(MZA671,'[3]Raw material  (3)'!MYY653:MZQ3729,3,0),"")</f>
        <v/>
      </c>
      <c r="MZA671" t="str">
        <f>IFERROR(VLOOKUP(MZB671,'[3]Raw material  (3)'!MYZ653:MZR3729,3,0),"")</f>
        <v/>
      </c>
      <c r="MZB671" t="str">
        <f>IFERROR(VLOOKUP(MZC671,'[3]Raw material  (3)'!MZA653:MZS3729,3,0),"")</f>
        <v/>
      </c>
      <c r="MZC671" t="str">
        <f>IFERROR(VLOOKUP(MZD671,'[3]Raw material  (3)'!MZB653:MZT3729,3,0),"")</f>
        <v/>
      </c>
      <c r="MZD671" t="str">
        <f>IFERROR(VLOOKUP(MZE671,'[3]Raw material  (3)'!MZC653:MZU3729,3,0),"")</f>
        <v/>
      </c>
      <c r="MZE671" t="str">
        <f>IFERROR(VLOOKUP(MZF671,'[3]Raw material  (3)'!MZD653:MZV3729,3,0),"")</f>
        <v/>
      </c>
      <c r="MZF671" t="str">
        <f>IFERROR(VLOOKUP(MZG671,'[3]Raw material  (3)'!MZE653:MZW3729,3,0),"")</f>
        <v/>
      </c>
      <c r="MZG671" t="str">
        <f>IFERROR(VLOOKUP(MZH671,'[3]Raw material  (3)'!MZF653:MZX3729,3,0),"")</f>
        <v/>
      </c>
      <c r="MZH671" t="str">
        <f>IFERROR(VLOOKUP(MZI671,'[3]Raw material  (3)'!MZG653:MZY3729,3,0),"")</f>
        <v/>
      </c>
      <c r="MZI671" t="str">
        <f>IFERROR(VLOOKUP(MZJ671,'[3]Raw material  (3)'!MZH653:MZZ3729,3,0),"")</f>
        <v/>
      </c>
      <c r="MZJ671" t="str">
        <f>IFERROR(VLOOKUP(MZK671,'[3]Raw material  (3)'!MZI653:NAA3729,3,0),"")</f>
        <v/>
      </c>
      <c r="MZK671" t="str">
        <f>IFERROR(VLOOKUP(MZL671,'[3]Raw material  (3)'!MZJ653:NAB3729,3,0),"")</f>
        <v/>
      </c>
      <c r="MZL671" t="str">
        <f>IFERROR(VLOOKUP(MZM671,'[3]Raw material  (3)'!MZK653:NAC3729,3,0),"")</f>
        <v/>
      </c>
      <c r="MZM671" t="str">
        <f>IFERROR(VLOOKUP(MZN671,'[3]Raw material  (3)'!MZL653:NAD3729,3,0),"")</f>
        <v/>
      </c>
      <c r="MZN671" t="str">
        <f>IFERROR(VLOOKUP(MZO671,'[3]Raw material  (3)'!MZM653:NAE3729,3,0),"")</f>
        <v/>
      </c>
      <c r="MZO671" t="str">
        <f>IFERROR(VLOOKUP(MZP671,'[3]Raw material  (3)'!MZN653:NAF3729,3,0),"")</f>
        <v/>
      </c>
      <c r="MZP671" t="str">
        <f>IFERROR(VLOOKUP(MZQ671,'[3]Raw material  (3)'!MZO653:NAG3729,3,0),"")</f>
        <v/>
      </c>
      <c r="MZQ671" t="str">
        <f>IFERROR(VLOOKUP(MZR671,'[3]Raw material  (3)'!MZP653:NAH3729,3,0),"")</f>
        <v/>
      </c>
      <c r="MZR671" t="str">
        <f>IFERROR(VLOOKUP(MZS671,'[3]Raw material  (3)'!MZQ653:NAI3729,3,0),"")</f>
        <v/>
      </c>
      <c r="MZS671" t="str">
        <f>IFERROR(VLOOKUP(MZT671,'[3]Raw material  (3)'!MZR653:NAJ3729,3,0),"")</f>
        <v/>
      </c>
      <c r="MZT671" t="str">
        <f>IFERROR(VLOOKUP(MZU671,'[3]Raw material  (3)'!MZS653:NAK3729,3,0),"")</f>
        <v/>
      </c>
      <c r="MZU671" t="str">
        <f>IFERROR(VLOOKUP(MZV671,'[3]Raw material  (3)'!MZT653:NAL3729,3,0),"")</f>
        <v/>
      </c>
      <c r="MZV671" t="str">
        <f>IFERROR(VLOOKUP(MZW671,'[3]Raw material  (3)'!MZU653:NAM3729,3,0),"")</f>
        <v/>
      </c>
      <c r="MZW671" t="str">
        <f>IFERROR(VLOOKUP(MZX671,'[3]Raw material  (3)'!MZV653:NAN3729,3,0),"")</f>
        <v/>
      </c>
      <c r="MZX671" t="str">
        <f>IFERROR(VLOOKUP(MZY671,'[3]Raw material  (3)'!MZW653:NAO3729,3,0),"")</f>
        <v/>
      </c>
      <c r="MZY671" t="str">
        <f>IFERROR(VLOOKUP(MZZ671,'[3]Raw material  (3)'!MZX653:NAP3729,3,0),"")</f>
        <v/>
      </c>
      <c r="MZZ671" t="str">
        <f>IFERROR(VLOOKUP(NAA671,'[3]Raw material  (3)'!MZY653:NAQ3729,3,0),"")</f>
        <v/>
      </c>
      <c r="NAA671" t="str">
        <f>IFERROR(VLOOKUP(NAB671,'[3]Raw material  (3)'!MZZ653:NAR3729,3,0),"")</f>
        <v/>
      </c>
      <c r="NAB671" t="str">
        <f>IFERROR(VLOOKUP(NAC671,'[3]Raw material  (3)'!NAA653:NAS3729,3,0),"")</f>
        <v/>
      </c>
      <c r="NAC671" t="str">
        <f>IFERROR(VLOOKUP(NAD671,'[3]Raw material  (3)'!NAB653:NAT3729,3,0),"")</f>
        <v/>
      </c>
      <c r="NAD671" t="str">
        <f>IFERROR(VLOOKUP(NAE671,'[3]Raw material  (3)'!NAC653:NAU3729,3,0),"")</f>
        <v/>
      </c>
      <c r="NAE671" t="str">
        <f>IFERROR(VLOOKUP(NAF671,'[3]Raw material  (3)'!NAD653:NAV3729,3,0),"")</f>
        <v/>
      </c>
      <c r="NAF671" t="str">
        <f>IFERROR(VLOOKUP(NAG671,'[3]Raw material  (3)'!NAE653:NAW3729,3,0),"")</f>
        <v/>
      </c>
      <c r="NAG671" t="str">
        <f>IFERROR(VLOOKUP(NAH671,'[3]Raw material  (3)'!NAF653:NAX3729,3,0),"")</f>
        <v/>
      </c>
      <c r="NAH671" t="str">
        <f>IFERROR(VLOOKUP(NAI671,'[3]Raw material  (3)'!NAG653:NAY3729,3,0),"")</f>
        <v/>
      </c>
      <c r="NAI671" t="str">
        <f>IFERROR(VLOOKUP(NAJ671,'[3]Raw material  (3)'!NAH653:NAZ3729,3,0),"")</f>
        <v/>
      </c>
      <c r="NAJ671" t="str">
        <f>IFERROR(VLOOKUP(NAK671,'[3]Raw material  (3)'!NAI653:NBA3729,3,0),"")</f>
        <v/>
      </c>
      <c r="NAK671" t="str">
        <f>IFERROR(VLOOKUP(NAL671,'[3]Raw material  (3)'!NAJ653:NBB3729,3,0),"")</f>
        <v/>
      </c>
      <c r="NAL671" t="str">
        <f>IFERROR(VLOOKUP(NAM671,'[3]Raw material  (3)'!NAK653:NBC3729,3,0),"")</f>
        <v/>
      </c>
      <c r="NAM671" t="str">
        <f>IFERROR(VLOOKUP(NAN671,'[3]Raw material  (3)'!NAL653:NBD3729,3,0),"")</f>
        <v/>
      </c>
      <c r="NAN671" t="str">
        <f>IFERROR(VLOOKUP(NAO671,'[3]Raw material  (3)'!NAM653:NBE3729,3,0),"")</f>
        <v/>
      </c>
      <c r="NAO671" t="str">
        <f>IFERROR(VLOOKUP(NAP671,'[3]Raw material  (3)'!NAN653:NBF3729,3,0),"")</f>
        <v/>
      </c>
      <c r="NAP671" t="str">
        <f>IFERROR(VLOOKUP(NAQ671,'[3]Raw material  (3)'!NAO653:NBG3729,3,0),"")</f>
        <v/>
      </c>
      <c r="NAQ671" t="str">
        <f>IFERROR(VLOOKUP(NAR671,'[3]Raw material  (3)'!NAP653:NBH3729,3,0),"")</f>
        <v/>
      </c>
      <c r="NAR671" t="str">
        <f>IFERROR(VLOOKUP(NAS671,'[3]Raw material  (3)'!NAQ653:NBI3729,3,0),"")</f>
        <v/>
      </c>
      <c r="NAS671" t="str">
        <f>IFERROR(VLOOKUP(NAT671,'[3]Raw material  (3)'!NAR653:NBJ3729,3,0),"")</f>
        <v/>
      </c>
      <c r="NAT671" t="str">
        <f>IFERROR(VLOOKUP(NAU671,'[3]Raw material  (3)'!NAS653:NBK3729,3,0),"")</f>
        <v/>
      </c>
      <c r="NAU671" t="str">
        <f>IFERROR(VLOOKUP(NAV671,'[3]Raw material  (3)'!NAT653:NBL3729,3,0),"")</f>
        <v/>
      </c>
      <c r="NAV671" t="str">
        <f>IFERROR(VLOOKUP(NAW671,'[3]Raw material  (3)'!NAU653:NBM3729,3,0),"")</f>
        <v/>
      </c>
      <c r="NAW671" t="str">
        <f>IFERROR(VLOOKUP(NAX671,'[3]Raw material  (3)'!NAV653:NBN3729,3,0),"")</f>
        <v/>
      </c>
      <c r="NAX671" t="str">
        <f>IFERROR(VLOOKUP(NAY671,'[3]Raw material  (3)'!NAW653:NBO3729,3,0),"")</f>
        <v/>
      </c>
      <c r="NAY671" t="str">
        <f>IFERROR(VLOOKUP(NAZ671,'[3]Raw material  (3)'!NAX653:NBP3729,3,0),"")</f>
        <v/>
      </c>
      <c r="NAZ671" t="str">
        <f>IFERROR(VLOOKUP(NBA671,'[3]Raw material  (3)'!NAY653:NBQ3729,3,0),"")</f>
        <v/>
      </c>
      <c r="NBA671" t="str">
        <f>IFERROR(VLOOKUP(NBB671,'[3]Raw material  (3)'!NAZ653:NBR3729,3,0),"")</f>
        <v/>
      </c>
      <c r="NBB671" t="str">
        <f>IFERROR(VLOOKUP(NBC671,'[3]Raw material  (3)'!NBA653:NBS3729,3,0),"")</f>
        <v/>
      </c>
      <c r="NBC671" t="str">
        <f>IFERROR(VLOOKUP(NBD671,'[3]Raw material  (3)'!NBB653:NBT3729,3,0),"")</f>
        <v/>
      </c>
      <c r="NBD671" t="str">
        <f>IFERROR(VLOOKUP(NBE671,'[3]Raw material  (3)'!NBC653:NBU3729,3,0),"")</f>
        <v/>
      </c>
      <c r="NBE671" t="str">
        <f>IFERROR(VLOOKUP(NBF671,'[3]Raw material  (3)'!NBD653:NBV3729,3,0),"")</f>
        <v/>
      </c>
      <c r="NBF671" t="str">
        <f>IFERROR(VLOOKUP(NBG671,'[3]Raw material  (3)'!NBE653:NBW3729,3,0),"")</f>
        <v/>
      </c>
      <c r="NBG671" t="str">
        <f>IFERROR(VLOOKUP(NBH671,'[3]Raw material  (3)'!NBF653:NBX3729,3,0),"")</f>
        <v/>
      </c>
      <c r="NBH671" t="str">
        <f>IFERROR(VLOOKUP(NBI671,'[3]Raw material  (3)'!NBG653:NBY3729,3,0),"")</f>
        <v/>
      </c>
      <c r="NBI671" t="str">
        <f>IFERROR(VLOOKUP(NBJ671,'[3]Raw material  (3)'!NBH653:NBZ3729,3,0),"")</f>
        <v/>
      </c>
      <c r="NBJ671" t="str">
        <f>IFERROR(VLOOKUP(NBK671,'[3]Raw material  (3)'!NBI653:NCA3729,3,0),"")</f>
        <v/>
      </c>
      <c r="NBK671" t="str">
        <f>IFERROR(VLOOKUP(NBL671,'[3]Raw material  (3)'!NBJ653:NCB3729,3,0),"")</f>
        <v/>
      </c>
      <c r="NBL671" t="str">
        <f>IFERROR(VLOOKUP(NBM671,'[3]Raw material  (3)'!NBK653:NCC3729,3,0),"")</f>
        <v/>
      </c>
      <c r="NBM671" t="str">
        <f>IFERROR(VLOOKUP(NBN671,'[3]Raw material  (3)'!NBL653:NCD3729,3,0),"")</f>
        <v/>
      </c>
      <c r="NBN671" t="str">
        <f>IFERROR(VLOOKUP(NBO671,'[3]Raw material  (3)'!NBM653:NCE3729,3,0),"")</f>
        <v/>
      </c>
      <c r="NBO671" t="str">
        <f>IFERROR(VLOOKUP(NBP671,'[3]Raw material  (3)'!NBN653:NCF3729,3,0),"")</f>
        <v/>
      </c>
      <c r="NBP671" t="str">
        <f>IFERROR(VLOOKUP(NBQ671,'[3]Raw material  (3)'!NBO653:NCG3729,3,0),"")</f>
        <v/>
      </c>
      <c r="NBQ671" t="str">
        <f>IFERROR(VLOOKUP(NBR671,'[3]Raw material  (3)'!NBP653:NCH3729,3,0),"")</f>
        <v/>
      </c>
      <c r="NBR671" t="str">
        <f>IFERROR(VLOOKUP(NBS671,'[3]Raw material  (3)'!NBQ653:NCI3729,3,0),"")</f>
        <v/>
      </c>
      <c r="NBS671" t="str">
        <f>IFERROR(VLOOKUP(NBT671,'[3]Raw material  (3)'!NBR653:NCJ3729,3,0),"")</f>
        <v/>
      </c>
      <c r="NBT671" t="str">
        <f>IFERROR(VLOOKUP(NBU671,'[3]Raw material  (3)'!NBS653:NCK3729,3,0),"")</f>
        <v/>
      </c>
      <c r="NBU671" t="str">
        <f>IFERROR(VLOOKUP(NBV671,'[3]Raw material  (3)'!NBT653:NCL3729,3,0),"")</f>
        <v/>
      </c>
      <c r="NBV671" t="str">
        <f>IFERROR(VLOOKUP(NBW671,'[3]Raw material  (3)'!NBU653:NCM3729,3,0),"")</f>
        <v/>
      </c>
      <c r="NBW671" t="str">
        <f>IFERROR(VLOOKUP(NBX671,'[3]Raw material  (3)'!NBV653:NCN3729,3,0),"")</f>
        <v/>
      </c>
      <c r="NBX671" t="str">
        <f>IFERROR(VLOOKUP(NBY671,'[3]Raw material  (3)'!NBW653:NCO3729,3,0),"")</f>
        <v/>
      </c>
      <c r="NBY671" t="str">
        <f>IFERROR(VLOOKUP(NBZ671,'[3]Raw material  (3)'!NBX653:NCP3729,3,0),"")</f>
        <v/>
      </c>
      <c r="NBZ671" t="str">
        <f>IFERROR(VLOOKUP(NCA671,'[3]Raw material  (3)'!NBY653:NCQ3729,3,0),"")</f>
        <v/>
      </c>
      <c r="NCA671" t="str">
        <f>IFERROR(VLOOKUP(NCB671,'[3]Raw material  (3)'!NBZ653:NCR3729,3,0),"")</f>
        <v/>
      </c>
      <c r="NCB671" t="str">
        <f>IFERROR(VLOOKUP(NCC671,'[3]Raw material  (3)'!NCA653:NCS3729,3,0),"")</f>
        <v/>
      </c>
      <c r="NCC671" t="str">
        <f>IFERROR(VLOOKUP(NCD671,'[3]Raw material  (3)'!NCB653:NCT3729,3,0),"")</f>
        <v/>
      </c>
      <c r="NCD671" t="str">
        <f>IFERROR(VLOOKUP(NCE671,'[3]Raw material  (3)'!NCC653:NCU3729,3,0),"")</f>
        <v/>
      </c>
      <c r="NCE671" t="str">
        <f>IFERROR(VLOOKUP(NCF671,'[3]Raw material  (3)'!NCD653:NCV3729,3,0),"")</f>
        <v/>
      </c>
      <c r="NCF671" t="str">
        <f>IFERROR(VLOOKUP(NCG671,'[3]Raw material  (3)'!NCE653:NCW3729,3,0),"")</f>
        <v/>
      </c>
      <c r="NCG671" t="str">
        <f>IFERROR(VLOOKUP(NCH671,'[3]Raw material  (3)'!NCF653:NCX3729,3,0),"")</f>
        <v/>
      </c>
      <c r="NCH671" t="str">
        <f>IFERROR(VLOOKUP(NCI671,'[3]Raw material  (3)'!NCG653:NCY3729,3,0),"")</f>
        <v/>
      </c>
      <c r="NCI671" t="str">
        <f>IFERROR(VLOOKUP(NCJ671,'[3]Raw material  (3)'!NCH653:NCZ3729,3,0),"")</f>
        <v/>
      </c>
      <c r="NCJ671" t="str">
        <f>IFERROR(VLOOKUP(NCK671,'[3]Raw material  (3)'!NCI653:NDA3729,3,0),"")</f>
        <v/>
      </c>
      <c r="NCK671" t="str">
        <f>IFERROR(VLOOKUP(NCL671,'[3]Raw material  (3)'!NCJ653:NDB3729,3,0),"")</f>
        <v/>
      </c>
      <c r="NCL671" t="str">
        <f>IFERROR(VLOOKUP(NCM671,'[3]Raw material  (3)'!NCK653:NDC3729,3,0),"")</f>
        <v/>
      </c>
      <c r="NCM671" t="str">
        <f>IFERROR(VLOOKUP(NCN671,'[3]Raw material  (3)'!NCL653:NDD3729,3,0),"")</f>
        <v/>
      </c>
      <c r="NCN671" t="str">
        <f>IFERROR(VLOOKUP(NCO671,'[3]Raw material  (3)'!NCM653:NDE3729,3,0),"")</f>
        <v/>
      </c>
      <c r="NCO671" t="str">
        <f>IFERROR(VLOOKUP(NCP671,'[3]Raw material  (3)'!NCN653:NDF3729,3,0),"")</f>
        <v/>
      </c>
      <c r="NCP671" t="str">
        <f>IFERROR(VLOOKUP(NCQ671,'[3]Raw material  (3)'!NCO653:NDG3729,3,0),"")</f>
        <v/>
      </c>
      <c r="NCQ671" t="str">
        <f>IFERROR(VLOOKUP(NCR671,'[3]Raw material  (3)'!NCP653:NDH3729,3,0),"")</f>
        <v/>
      </c>
      <c r="NCR671" t="str">
        <f>IFERROR(VLOOKUP(NCS671,'[3]Raw material  (3)'!NCQ653:NDI3729,3,0),"")</f>
        <v/>
      </c>
      <c r="NCS671" t="str">
        <f>IFERROR(VLOOKUP(NCT671,'[3]Raw material  (3)'!NCR653:NDJ3729,3,0),"")</f>
        <v/>
      </c>
      <c r="NCT671" t="str">
        <f>IFERROR(VLOOKUP(NCU671,'[3]Raw material  (3)'!NCS653:NDK3729,3,0),"")</f>
        <v/>
      </c>
      <c r="NCU671" t="str">
        <f>IFERROR(VLOOKUP(NCV671,'[3]Raw material  (3)'!NCT653:NDL3729,3,0),"")</f>
        <v/>
      </c>
      <c r="NCV671" t="str">
        <f>IFERROR(VLOOKUP(NCW671,'[3]Raw material  (3)'!NCU653:NDM3729,3,0),"")</f>
        <v/>
      </c>
      <c r="NCW671" t="str">
        <f>IFERROR(VLOOKUP(NCX671,'[3]Raw material  (3)'!NCV653:NDN3729,3,0),"")</f>
        <v/>
      </c>
      <c r="NCX671" t="str">
        <f>IFERROR(VLOOKUP(NCY671,'[3]Raw material  (3)'!NCW653:NDO3729,3,0),"")</f>
        <v/>
      </c>
      <c r="NCY671" t="str">
        <f>IFERROR(VLOOKUP(NCZ671,'[3]Raw material  (3)'!NCX653:NDP3729,3,0),"")</f>
        <v/>
      </c>
      <c r="NCZ671" t="str">
        <f>IFERROR(VLOOKUP(NDA671,'[3]Raw material  (3)'!NCY653:NDQ3729,3,0),"")</f>
        <v/>
      </c>
      <c r="NDA671" t="str">
        <f>IFERROR(VLOOKUP(NDB671,'[3]Raw material  (3)'!NCZ653:NDR3729,3,0),"")</f>
        <v/>
      </c>
      <c r="NDB671" t="str">
        <f>IFERROR(VLOOKUP(NDC671,'[3]Raw material  (3)'!NDA653:NDS3729,3,0),"")</f>
        <v/>
      </c>
      <c r="NDC671" t="str">
        <f>IFERROR(VLOOKUP(NDD671,'[3]Raw material  (3)'!NDB653:NDT3729,3,0),"")</f>
        <v/>
      </c>
      <c r="NDD671" t="str">
        <f>IFERROR(VLOOKUP(NDE671,'[3]Raw material  (3)'!NDC653:NDU3729,3,0),"")</f>
        <v/>
      </c>
      <c r="NDE671" t="str">
        <f>IFERROR(VLOOKUP(NDF671,'[3]Raw material  (3)'!NDD653:NDV3729,3,0),"")</f>
        <v/>
      </c>
      <c r="NDF671" t="str">
        <f>IFERROR(VLOOKUP(NDG671,'[3]Raw material  (3)'!NDE653:NDW3729,3,0),"")</f>
        <v/>
      </c>
      <c r="NDG671" t="str">
        <f>IFERROR(VLOOKUP(NDH671,'[3]Raw material  (3)'!NDF653:NDX3729,3,0),"")</f>
        <v/>
      </c>
      <c r="NDH671" t="str">
        <f>IFERROR(VLOOKUP(NDI671,'[3]Raw material  (3)'!NDG653:NDY3729,3,0),"")</f>
        <v/>
      </c>
      <c r="NDI671" t="str">
        <f>IFERROR(VLOOKUP(NDJ671,'[3]Raw material  (3)'!NDH653:NDZ3729,3,0),"")</f>
        <v/>
      </c>
      <c r="NDJ671" t="str">
        <f>IFERROR(VLOOKUP(NDK671,'[3]Raw material  (3)'!NDI653:NEA3729,3,0),"")</f>
        <v/>
      </c>
      <c r="NDK671" t="str">
        <f>IFERROR(VLOOKUP(NDL671,'[3]Raw material  (3)'!NDJ653:NEB3729,3,0),"")</f>
        <v/>
      </c>
      <c r="NDL671" t="str">
        <f>IFERROR(VLOOKUP(NDM671,'[3]Raw material  (3)'!NDK653:NEC3729,3,0),"")</f>
        <v/>
      </c>
      <c r="NDM671" t="str">
        <f>IFERROR(VLOOKUP(NDN671,'[3]Raw material  (3)'!NDL653:NED3729,3,0),"")</f>
        <v/>
      </c>
      <c r="NDN671" t="str">
        <f>IFERROR(VLOOKUP(NDO671,'[3]Raw material  (3)'!NDM653:NEE3729,3,0),"")</f>
        <v/>
      </c>
      <c r="NDO671" t="str">
        <f>IFERROR(VLOOKUP(NDP671,'[3]Raw material  (3)'!NDN653:NEF3729,3,0),"")</f>
        <v/>
      </c>
      <c r="NDP671" t="str">
        <f>IFERROR(VLOOKUP(NDQ671,'[3]Raw material  (3)'!NDO653:NEG3729,3,0),"")</f>
        <v/>
      </c>
      <c r="NDQ671" t="str">
        <f>IFERROR(VLOOKUP(NDR671,'[3]Raw material  (3)'!NDP653:NEH3729,3,0),"")</f>
        <v/>
      </c>
      <c r="NDR671" t="str">
        <f>IFERROR(VLOOKUP(NDS671,'[3]Raw material  (3)'!NDQ653:NEI3729,3,0),"")</f>
        <v/>
      </c>
      <c r="NDS671" t="str">
        <f>IFERROR(VLOOKUP(NDT671,'[3]Raw material  (3)'!NDR653:NEJ3729,3,0),"")</f>
        <v/>
      </c>
      <c r="NDT671" t="str">
        <f>IFERROR(VLOOKUP(NDU671,'[3]Raw material  (3)'!NDS653:NEK3729,3,0),"")</f>
        <v/>
      </c>
      <c r="NDU671" t="str">
        <f>IFERROR(VLOOKUP(NDV671,'[3]Raw material  (3)'!NDT653:NEL3729,3,0),"")</f>
        <v/>
      </c>
      <c r="NDV671" t="str">
        <f>IFERROR(VLOOKUP(NDW671,'[3]Raw material  (3)'!NDU653:NEM3729,3,0),"")</f>
        <v/>
      </c>
      <c r="NDW671" t="str">
        <f>IFERROR(VLOOKUP(NDX671,'[3]Raw material  (3)'!NDV653:NEN3729,3,0),"")</f>
        <v/>
      </c>
      <c r="NDX671" t="str">
        <f>IFERROR(VLOOKUP(NDY671,'[3]Raw material  (3)'!NDW653:NEO3729,3,0),"")</f>
        <v/>
      </c>
      <c r="NDY671" t="str">
        <f>IFERROR(VLOOKUP(NDZ671,'[3]Raw material  (3)'!NDX653:NEP3729,3,0),"")</f>
        <v/>
      </c>
      <c r="NDZ671" t="str">
        <f>IFERROR(VLOOKUP(NEA671,'[3]Raw material  (3)'!NDY653:NEQ3729,3,0),"")</f>
        <v/>
      </c>
      <c r="NEA671" t="str">
        <f>IFERROR(VLOOKUP(NEB671,'[3]Raw material  (3)'!NDZ653:NER3729,3,0),"")</f>
        <v/>
      </c>
      <c r="NEB671" t="str">
        <f>IFERROR(VLOOKUP(NEC671,'[3]Raw material  (3)'!NEA653:NES3729,3,0),"")</f>
        <v/>
      </c>
      <c r="NEC671" t="str">
        <f>IFERROR(VLOOKUP(NED671,'[3]Raw material  (3)'!NEB653:NET3729,3,0),"")</f>
        <v/>
      </c>
      <c r="NED671" t="str">
        <f>IFERROR(VLOOKUP(NEE671,'[3]Raw material  (3)'!NEC653:NEU3729,3,0),"")</f>
        <v/>
      </c>
      <c r="NEE671" t="str">
        <f>IFERROR(VLOOKUP(NEF671,'[3]Raw material  (3)'!NED653:NEV3729,3,0),"")</f>
        <v/>
      </c>
      <c r="NEF671" t="str">
        <f>IFERROR(VLOOKUP(NEG671,'[3]Raw material  (3)'!NEE653:NEW3729,3,0),"")</f>
        <v/>
      </c>
      <c r="NEG671" t="str">
        <f>IFERROR(VLOOKUP(NEH671,'[3]Raw material  (3)'!NEF653:NEX3729,3,0),"")</f>
        <v/>
      </c>
      <c r="NEH671" t="str">
        <f>IFERROR(VLOOKUP(NEI671,'[3]Raw material  (3)'!NEG653:NEY3729,3,0),"")</f>
        <v/>
      </c>
      <c r="NEI671" t="str">
        <f>IFERROR(VLOOKUP(NEJ671,'[3]Raw material  (3)'!NEH653:NEZ3729,3,0),"")</f>
        <v/>
      </c>
      <c r="NEJ671" t="str">
        <f>IFERROR(VLOOKUP(NEK671,'[3]Raw material  (3)'!NEI653:NFA3729,3,0),"")</f>
        <v/>
      </c>
      <c r="NEK671" t="str">
        <f>IFERROR(VLOOKUP(NEL671,'[3]Raw material  (3)'!NEJ653:NFB3729,3,0),"")</f>
        <v/>
      </c>
      <c r="NEL671" t="str">
        <f>IFERROR(VLOOKUP(NEM671,'[3]Raw material  (3)'!NEK653:NFC3729,3,0),"")</f>
        <v/>
      </c>
      <c r="NEM671" t="str">
        <f>IFERROR(VLOOKUP(NEN671,'[3]Raw material  (3)'!NEL653:NFD3729,3,0),"")</f>
        <v/>
      </c>
      <c r="NEN671" t="str">
        <f>IFERROR(VLOOKUP(NEO671,'[3]Raw material  (3)'!NEM653:NFE3729,3,0),"")</f>
        <v/>
      </c>
      <c r="NEO671" t="str">
        <f>IFERROR(VLOOKUP(NEP671,'[3]Raw material  (3)'!NEN653:NFF3729,3,0),"")</f>
        <v/>
      </c>
      <c r="NEP671" t="str">
        <f>IFERROR(VLOOKUP(NEQ671,'[3]Raw material  (3)'!NEO653:NFG3729,3,0),"")</f>
        <v/>
      </c>
      <c r="NEQ671" t="str">
        <f>IFERROR(VLOOKUP(NER671,'[3]Raw material  (3)'!NEP653:NFH3729,3,0),"")</f>
        <v/>
      </c>
      <c r="NER671" t="str">
        <f>IFERROR(VLOOKUP(NES671,'[3]Raw material  (3)'!NEQ653:NFI3729,3,0),"")</f>
        <v/>
      </c>
      <c r="NES671" t="str">
        <f>IFERROR(VLOOKUP(NET671,'[3]Raw material  (3)'!NER653:NFJ3729,3,0),"")</f>
        <v/>
      </c>
      <c r="NET671" t="str">
        <f>IFERROR(VLOOKUP(NEU671,'[3]Raw material  (3)'!NES653:NFK3729,3,0),"")</f>
        <v/>
      </c>
      <c r="NEU671" t="str">
        <f>IFERROR(VLOOKUP(NEV671,'[3]Raw material  (3)'!NET653:NFL3729,3,0),"")</f>
        <v/>
      </c>
      <c r="NEV671" t="str">
        <f>IFERROR(VLOOKUP(NEW671,'[3]Raw material  (3)'!NEU653:NFM3729,3,0),"")</f>
        <v/>
      </c>
      <c r="NEW671" t="str">
        <f>IFERROR(VLOOKUP(NEX671,'[3]Raw material  (3)'!NEV653:NFN3729,3,0),"")</f>
        <v/>
      </c>
      <c r="NEX671" t="str">
        <f>IFERROR(VLOOKUP(NEY671,'[3]Raw material  (3)'!NEW653:NFO3729,3,0),"")</f>
        <v/>
      </c>
      <c r="NEY671" t="str">
        <f>IFERROR(VLOOKUP(NEZ671,'[3]Raw material  (3)'!NEX653:NFP3729,3,0),"")</f>
        <v/>
      </c>
      <c r="NEZ671" t="str">
        <f>IFERROR(VLOOKUP(NFA671,'[3]Raw material  (3)'!NEY653:NFQ3729,3,0),"")</f>
        <v/>
      </c>
      <c r="NFA671" t="str">
        <f>IFERROR(VLOOKUP(NFB671,'[3]Raw material  (3)'!NEZ653:NFR3729,3,0),"")</f>
        <v/>
      </c>
      <c r="NFB671" t="str">
        <f>IFERROR(VLOOKUP(NFC671,'[3]Raw material  (3)'!NFA653:NFS3729,3,0),"")</f>
        <v/>
      </c>
      <c r="NFC671" t="str">
        <f>IFERROR(VLOOKUP(NFD671,'[3]Raw material  (3)'!NFB653:NFT3729,3,0),"")</f>
        <v/>
      </c>
      <c r="NFD671" t="str">
        <f>IFERROR(VLOOKUP(NFE671,'[3]Raw material  (3)'!NFC653:NFU3729,3,0),"")</f>
        <v/>
      </c>
      <c r="NFE671" t="str">
        <f>IFERROR(VLOOKUP(NFF671,'[3]Raw material  (3)'!NFD653:NFV3729,3,0),"")</f>
        <v/>
      </c>
      <c r="NFF671" t="str">
        <f>IFERROR(VLOOKUP(NFG671,'[3]Raw material  (3)'!NFE653:NFW3729,3,0),"")</f>
        <v/>
      </c>
      <c r="NFG671" t="str">
        <f>IFERROR(VLOOKUP(NFH671,'[3]Raw material  (3)'!NFF653:NFX3729,3,0),"")</f>
        <v/>
      </c>
      <c r="NFH671" t="str">
        <f>IFERROR(VLOOKUP(NFI671,'[3]Raw material  (3)'!NFG653:NFY3729,3,0),"")</f>
        <v/>
      </c>
      <c r="NFI671" t="str">
        <f>IFERROR(VLOOKUP(NFJ671,'[3]Raw material  (3)'!NFH653:NFZ3729,3,0),"")</f>
        <v/>
      </c>
      <c r="NFJ671" t="str">
        <f>IFERROR(VLOOKUP(NFK671,'[3]Raw material  (3)'!NFI653:NGA3729,3,0),"")</f>
        <v/>
      </c>
      <c r="NFK671" t="str">
        <f>IFERROR(VLOOKUP(NFL671,'[3]Raw material  (3)'!NFJ653:NGB3729,3,0),"")</f>
        <v/>
      </c>
      <c r="NFL671" t="str">
        <f>IFERROR(VLOOKUP(NFM671,'[3]Raw material  (3)'!NFK653:NGC3729,3,0),"")</f>
        <v/>
      </c>
      <c r="NFM671" t="str">
        <f>IFERROR(VLOOKUP(NFN671,'[3]Raw material  (3)'!NFL653:NGD3729,3,0),"")</f>
        <v/>
      </c>
      <c r="NFN671" t="str">
        <f>IFERROR(VLOOKUP(NFO671,'[3]Raw material  (3)'!NFM653:NGE3729,3,0),"")</f>
        <v/>
      </c>
      <c r="NFO671" t="str">
        <f>IFERROR(VLOOKUP(NFP671,'[3]Raw material  (3)'!NFN653:NGF3729,3,0),"")</f>
        <v/>
      </c>
      <c r="NFP671" t="str">
        <f>IFERROR(VLOOKUP(NFQ671,'[3]Raw material  (3)'!NFO653:NGG3729,3,0),"")</f>
        <v/>
      </c>
      <c r="NFQ671" t="str">
        <f>IFERROR(VLOOKUP(NFR671,'[3]Raw material  (3)'!NFP653:NGH3729,3,0),"")</f>
        <v/>
      </c>
      <c r="NFR671" t="str">
        <f>IFERROR(VLOOKUP(NFS671,'[3]Raw material  (3)'!NFQ653:NGI3729,3,0),"")</f>
        <v/>
      </c>
      <c r="NFS671" t="str">
        <f>IFERROR(VLOOKUP(NFT671,'[3]Raw material  (3)'!NFR653:NGJ3729,3,0),"")</f>
        <v/>
      </c>
      <c r="NFT671" t="str">
        <f>IFERROR(VLOOKUP(NFU671,'[3]Raw material  (3)'!NFS653:NGK3729,3,0),"")</f>
        <v/>
      </c>
      <c r="NFU671" t="str">
        <f>IFERROR(VLOOKUP(NFV671,'[3]Raw material  (3)'!NFT653:NGL3729,3,0),"")</f>
        <v/>
      </c>
      <c r="NFV671" t="str">
        <f>IFERROR(VLOOKUP(NFW671,'[3]Raw material  (3)'!NFU653:NGM3729,3,0),"")</f>
        <v/>
      </c>
      <c r="NFW671" t="str">
        <f>IFERROR(VLOOKUP(NFX671,'[3]Raw material  (3)'!NFV653:NGN3729,3,0),"")</f>
        <v/>
      </c>
      <c r="NFX671" t="str">
        <f>IFERROR(VLOOKUP(NFY671,'[3]Raw material  (3)'!NFW653:NGO3729,3,0),"")</f>
        <v/>
      </c>
      <c r="NFY671" t="str">
        <f>IFERROR(VLOOKUP(NFZ671,'[3]Raw material  (3)'!NFX653:NGP3729,3,0),"")</f>
        <v/>
      </c>
      <c r="NFZ671" t="str">
        <f>IFERROR(VLOOKUP(NGA671,'[3]Raw material  (3)'!NFY653:NGQ3729,3,0),"")</f>
        <v/>
      </c>
      <c r="NGA671" t="str">
        <f>IFERROR(VLOOKUP(NGB671,'[3]Raw material  (3)'!NFZ653:NGR3729,3,0),"")</f>
        <v/>
      </c>
      <c r="NGB671" t="str">
        <f>IFERROR(VLOOKUP(NGC671,'[3]Raw material  (3)'!NGA653:NGS3729,3,0),"")</f>
        <v/>
      </c>
      <c r="NGC671" t="str">
        <f>IFERROR(VLOOKUP(NGD671,'[3]Raw material  (3)'!NGB653:NGT3729,3,0),"")</f>
        <v/>
      </c>
      <c r="NGD671" t="str">
        <f>IFERROR(VLOOKUP(NGE671,'[3]Raw material  (3)'!NGC653:NGU3729,3,0),"")</f>
        <v/>
      </c>
      <c r="NGE671" t="str">
        <f>IFERROR(VLOOKUP(NGF671,'[3]Raw material  (3)'!NGD653:NGV3729,3,0),"")</f>
        <v/>
      </c>
      <c r="NGF671" t="str">
        <f>IFERROR(VLOOKUP(NGG671,'[3]Raw material  (3)'!NGE653:NGW3729,3,0),"")</f>
        <v/>
      </c>
      <c r="NGG671" t="str">
        <f>IFERROR(VLOOKUP(NGH671,'[3]Raw material  (3)'!NGF653:NGX3729,3,0),"")</f>
        <v/>
      </c>
      <c r="NGH671" t="str">
        <f>IFERROR(VLOOKUP(NGI671,'[3]Raw material  (3)'!NGG653:NGY3729,3,0),"")</f>
        <v/>
      </c>
      <c r="NGI671" t="str">
        <f>IFERROR(VLOOKUP(NGJ671,'[3]Raw material  (3)'!NGH653:NGZ3729,3,0),"")</f>
        <v/>
      </c>
      <c r="NGJ671" t="str">
        <f>IFERROR(VLOOKUP(NGK671,'[3]Raw material  (3)'!NGI653:NHA3729,3,0),"")</f>
        <v/>
      </c>
      <c r="NGK671" t="str">
        <f>IFERROR(VLOOKUP(NGL671,'[3]Raw material  (3)'!NGJ653:NHB3729,3,0),"")</f>
        <v/>
      </c>
      <c r="NGL671" t="str">
        <f>IFERROR(VLOOKUP(NGM671,'[3]Raw material  (3)'!NGK653:NHC3729,3,0),"")</f>
        <v/>
      </c>
      <c r="NGM671" t="str">
        <f>IFERROR(VLOOKUP(NGN671,'[3]Raw material  (3)'!NGL653:NHD3729,3,0),"")</f>
        <v/>
      </c>
      <c r="NGN671" t="str">
        <f>IFERROR(VLOOKUP(NGO671,'[3]Raw material  (3)'!NGM653:NHE3729,3,0),"")</f>
        <v/>
      </c>
      <c r="NGO671" t="str">
        <f>IFERROR(VLOOKUP(NGP671,'[3]Raw material  (3)'!NGN653:NHF3729,3,0),"")</f>
        <v/>
      </c>
      <c r="NGP671" t="str">
        <f>IFERROR(VLOOKUP(NGQ671,'[3]Raw material  (3)'!NGO653:NHG3729,3,0),"")</f>
        <v/>
      </c>
      <c r="NGQ671" t="str">
        <f>IFERROR(VLOOKUP(NGR671,'[3]Raw material  (3)'!NGP653:NHH3729,3,0),"")</f>
        <v/>
      </c>
      <c r="NGR671" t="str">
        <f>IFERROR(VLOOKUP(NGS671,'[3]Raw material  (3)'!NGQ653:NHI3729,3,0),"")</f>
        <v/>
      </c>
      <c r="NGS671" t="str">
        <f>IFERROR(VLOOKUP(NGT671,'[3]Raw material  (3)'!NGR653:NHJ3729,3,0),"")</f>
        <v/>
      </c>
      <c r="NGT671" t="str">
        <f>IFERROR(VLOOKUP(NGU671,'[3]Raw material  (3)'!NGS653:NHK3729,3,0),"")</f>
        <v/>
      </c>
      <c r="NGU671" t="str">
        <f>IFERROR(VLOOKUP(NGV671,'[3]Raw material  (3)'!NGT653:NHL3729,3,0),"")</f>
        <v/>
      </c>
      <c r="NGV671" t="str">
        <f>IFERROR(VLOOKUP(NGW671,'[3]Raw material  (3)'!NGU653:NHM3729,3,0),"")</f>
        <v/>
      </c>
      <c r="NGW671" t="str">
        <f>IFERROR(VLOOKUP(NGX671,'[3]Raw material  (3)'!NGV653:NHN3729,3,0),"")</f>
        <v/>
      </c>
      <c r="NGX671" t="str">
        <f>IFERROR(VLOOKUP(NGY671,'[3]Raw material  (3)'!NGW653:NHO3729,3,0),"")</f>
        <v/>
      </c>
      <c r="NGY671" t="str">
        <f>IFERROR(VLOOKUP(NGZ671,'[3]Raw material  (3)'!NGX653:NHP3729,3,0),"")</f>
        <v/>
      </c>
      <c r="NGZ671" t="str">
        <f>IFERROR(VLOOKUP(NHA671,'[3]Raw material  (3)'!NGY653:NHQ3729,3,0),"")</f>
        <v/>
      </c>
      <c r="NHA671" t="str">
        <f>IFERROR(VLOOKUP(NHB671,'[3]Raw material  (3)'!NGZ653:NHR3729,3,0),"")</f>
        <v/>
      </c>
      <c r="NHB671" t="str">
        <f>IFERROR(VLOOKUP(NHC671,'[3]Raw material  (3)'!NHA653:NHS3729,3,0),"")</f>
        <v/>
      </c>
      <c r="NHC671" t="str">
        <f>IFERROR(VLOOKUP(NHD671,'[3]Raw material  (3)'!NHB653:NHT3729,3,0),"")</f>
        <v/>
      </c>
      <c r="NHD671" t="str">
        <f>IFERROR(VLOOKUP(NHE671,'[3]Raw material  (3)'!NHC653:NHU3729,3,0),"")</f>
        <v/>
      </c>
      <c r="NHE671" t="str">
        <f>IFERROR(VLOOKUP(NHF671,'[3]Raw material  (3)'!NHD653:NHV3729,3,0),"")</f>
        <v/>
      </c>
      <c r="NHF671" t="str">
        <f>IFERROR(VLOOKUP(NHG671,'[3]Raw material  (3)'!NHE653:NHW3729,3,0),"")</f>
        <v/>
      </c>
      <c r="NHG671" t="str">
        <f>IFERROR(VLOOKUP(NHH671,'[3]Raw material  (3)'!NHF653:NHX3729,3,0),"")</f>
        <v/>
      </c>
      <c r="NHH671" t="str">
        <f>IFERROR(VLOOKUP(NHI671,'[3]Raw material  (3)'!NHG653:NHY3729,3,0),"")</f>
        <v/>
      </c>
      <c r="NHI671" t="str">
        <f>IFERROR(VLOOKUP(NHJ671,'[3]Raw material  (3)'!NHH653:NHZ3729,3,0),"")</f>
        <v/>
      </c>
      <c r="NHJ671" t="str">
        <f>IFERROR(VLOOKUP(NHK671,'[3]Raw material  (3)'!NHI653:NIA3729,3,0),"")</f>
        <v/>
      </c>
      <c r="NHK671" t="str">
        <f>IFERROR(VLOOKUP(NHL671,'[3]Raw material  (3)'!NHJ653:NIB3729,3,0),"")</f>
        <v/>
      </c>
      <c r="NHL671" t="str">
        <f>IFERROR(VLOOKUP(NHM671,'[3]Raw material  (3)'!NHK653:NIC3729,3,0),"")</f>
        <v/>
      </c>
      <c r="NHM671" t="str">
        <f>IFERROR(VLOOKUP(NHN671,'[3]Raw material  (3)'!NHL653:NID3729,3,0),"")</f>
        <v/>
      </c>
      <c r="NHN671" t="str">
        <f>IFERROR(VLOOKUP(NHO671,'[3]Raw material  (3)'!NHM653:NIE3729,3,0),"")</f>
        <v/>
      </c>
      <c r="NHO671" t="str">
        <f>IFERROR(VLOOKUP(NHP671,'[3]Raw material  (3)'!NHN653:NIF3729,3,0),"")</f>
        <v/>
      </c>
      <c r="NHP671" t="str">
        <f>IFERROR(VLOOKUP(NHQ671,'[3]Raw material  (3)'!NHO653:NIG3729,3,0),"")</f>
        <v/>
      </c>
      <c r="NHQ671" t="str">
        <f>IFERROR(VLOOKUP(NHR671,'[3]Raw material  (3)'!NHP653:NIH3729,3,0),"")</f>
        <v/>
      </c>
      <c r="NHR671" t="str">
        <f>IFERROR(VLOOKUP(NHS671,'[3]Raw material  (3)'!NHQ653:NII3729,3,0),"")</f>
        <v/>
      </c>
      <c r="NHS671" t="str">
        <f>IFERROR(VLOOKUP(NHT671,'[3]Raw material  (3)'!NHR653:NIJ3729,3,0),"")</f>
        <v/>
      </c>
      <c r="NHT671" t="str">
        <f>IFERROR(VLOOKUP(NHU671,'[3]Raw material  (3)'!NHS653:NIK3729,3,0),"")</f>
        <v/>
      </c>
      <c r="NHU671" t="str">
        <f>IFERROR(VLOOKUP(NHV671,'[3]Raw material  (3)'!NHT653:NIL3729,3,0),"")</f>
        <v/>
      </c>
      <c r="NHV671" t="str">
        <f>IFERROR(VLOOKUP(NHW671,'[3]Raw material  (3)'!NHU653:NIM3729,3,0),"")</f>
        <v/>
      </c>
      <c r="NHW671" t="str">
        <f>IFERROR(VLOOKUP(NHX671,'[3]Raw material  (3)'!NHV653:NIN3729,3,0),"")</f>
        <v/>
      </c>
      <c r="NHX671" t="str">
        <f>IFERROR(VLOOKUP(NHY671,'[3]Raw material  (3)'!NHW653:NIO3729,3,0),"")</f>
        <v/>
      </c>
      <c r="NHY671" t="str">
        <f>IFERROR(VLOOKUP(NHZ671,'[3]Raw material  (3)'!NHX653:NIP3729,3,0),"")</f>
        <v/>
      </c>
      <c r="NHZ671" t="str">
        <f>IFERROR(VLOOKUP(NIA671,'[3]Raw material  (3)'!NHY653:NIQ3729,3,0),"")</f>
        <v/>
      </c>
      <c r="NIA671" t="str">
        <f>IFERROR(VLOOKUP(NIB671,'[3]Raw material  (3)'!NHZ653:NIR3729,3,0),"")</f>
        <v/>
      </c>
      <c r="NIB671" t="str">
        <f>IFERROR(VLOOKUP(NIC671,'[3]Raw material  (3)'!NIA653:NIS3729,3,0),"")</f>
        <v/>
      </c>
      <c r="NIC671" t="str">
        <f>IFERROR(VLOOKUP(NID671,'[3]Raw material  (3)'!NIB653:NIT3729,3,0),"")</f>
        <v/>
      </c>
      <c r="NID671" t="str">
        <f>IFERROR(VLOOKUP(NIE671,'[3]Raw material  (3)'!NIC653:NIU3729,3,0),"")</f>
        <v/>
      </c>
      <c r="NIE671" t="str">
        <f>IFERROR(VLOOKUP(NIF671,'[3]Raw material  (3)'!NID653:NIV3729,3,0),"")</f>
        <v/>
      </c>
      <c r="NIF671" t="str">
        <f>IFERROR(VLOOKUP(NIG671,'[3]Raw material  (3)'!NIE653:NIW3729,3,0),"")</f>
        <v/>
      </c>
      <c r="NIG671" t="str">
        <f>IFERROR(VLOOKUP(NIH671,'[3]Raw material  (3)'!NIF653:NIX3729,3,0),"")</f>
        <v/>
      </c>
      <c r="NIH671" t="str">
        <f>IFERROR(VLOOKUP(NII671,'[3]Raw material  (3)'!NIG653:NIY3729,3,0),"")</f>
        <v/>
      </c>
      <c r="NII671" t="str">
        <f>IFERROR(VLOOKUP(NIJ671,'[3]Raw material  (3)'!NIH653:NIZ3729,3,0),"")</f>
        <v/>
      </c>
      <c r="NIJ671" t="str">
        <f>IFERROR(VLOOKUP(NIK671,'[3]Raw material  (3)'!NII653:NJA3729,3,0),"")</f>
        <v/>
      </c>
      <c r="NIK671" t="str">
        <f>IFERROR(VLOOKUP(NIL671,'[3]Raw material  (3)'!NIJ653:NJB3729,3,0),"")</f>
        <v/>
      </c>
      <c r="NIL671" t="str">
        <f>IFERROR(VLOOKUP(NIM671,'[3]Raw material  (3)'!NIK653:NJC3729,3,0),"")</f>
        <v/>
      </c>
      <c r="NIM671" t="str">
        <f>IFERROR(VLOOKUP(NIN671,'[3]Raw material  (3)'!NIL653:NJD3729,3,0),"")</f>
        <v/>
      </c>
      <c r="NIN671" t="str">
        <f>IFERROR(VLOOKUP(NIO671,'[3]Raw material  (3)'!NIM653:NJE3729,3,0),"")</f>
        <v/>
      </c>
      <c r="NIO671" t="str">
        <f>IFERROR(VLOOKUP(NIP671,'[3]Raw material  (3)'!NIN653:NJF3729,3,0),"")</f>
        <v/>
      </c>
      <c r="NIP671" t="str">
        <f>IFERROR(VLOOKUP(NIQ671,'[3]Raw material  (3)'!NIO653:NJG3729,3,0),"")</f>
        <v/>
      </c>
      <c r="NIQ671" t="str">
        <f>IFERROR(VLOOKUP(NIR671,'[3]Raw material  (3)'!NIP653:NJH3729,3,0),"")</f>
        <v/>
      </c>
      <c r="NIR671" t="str">
        <f>IFERROR(VLOOKUP(NIS671,'[3]Raw material  (3)'!NIQ653:NJI3729,3,0),"")</f>
        <v/>
      </c>
      <c r="NIS671" t="str">
        <f>IFERROR(VLOOKUP(NIT671,'[3]Raw material  (3)'!NIR653:NJJ3729,3,0),"")</f>
        <v/>
      </c>
      <c r="NIT671" t="str">
        <f>IFERROR(VLOOKUP(NIU671,'[3]Raw material  (3)'!NIS653:NJK3729,3,0),"")</f>
        <v/>
      </c>
      <c r="NIU671" t="str">
        <f>IFERROR(VLOOKUP(NIV671,'[3]Raw material  (3)'!NIT653:NJL3729,3,0),"")</f>
        <v/>
      </c>
      <c r="NIV671" t="str">
        <f>IFERROR(VLOOKUP(NIW671,'[3]Raw material  (3)'!NIU653:NJM3729,3,0),"")</f>
        <v/>
      </c>
      <c r="NIW671" t="str">
        <f>IFERROR(VLOOKUP(NIX671,'[3]Raw material  (3)'!NIV653:NJN3729,3,0),"")</f>
        <v/>
      </c>
      <c r="NIX671" t="str">
        <f>IFERROR(VLOOKUP(NIY671,'[3]Raw material  (3)'!NIW653:NJO3729,3,0),"")</f>
        <v/>
      </c>
      <c r="NIY671" t="str">
        <f>IFERROR(VLOOKUP(NIZ671,'[3]Raw material  (3)'!NIX653:NJP3729,3,0),"")</f>
        <v/>
      </c>
      <c r="NIZ671" t="str">
        <f>IFERROR(VLOOKUP(NJA671,'[3]Raw material  (3)'!NIY653:NJQ3729,3,0),"")</f>
        <v/>
      </c>
      <c r="NJA671" t="str">
        <f>IFERROR(VLOOKUP(NJB671,'[3]Raw material  (3)'!NIZ653:NJR3729,3,0),"")</f>
        <v/>
      </c>
      <c r="NJB671" t="str">
        <f>IFERROR(VLOOKUP(NJC671,'[3]Raw material  (3)'!NJA653:NJS3729,3,0),"")</f>
        <v/>
      </c>
      <c r="NJC671" t="str">
        <f>IFERROR(VLOOKUP(NJD671,'[3]Raw material  (3)'!NJB653:NJT3729,3,0),"")</f>
        <v/>
      </c>
      <c r="NJD671" t="str">
        <f>IFERROR(VLOOKUP(NJE671,'[3]Raw material  (3)'!NJC653:NJU3729,3,0),"")</f>
        <v/>
      </c>
      <c r="NJE671" t="str">
        <f>IFERROR(VLOOKUP(NJF671,'[3]Raw material  (3)'!NJD653:NJV3729,3,0),"")</f>
        <v/>
      </c>
      <c r="NJF671" t="str">
        <f>IFERROR(VLOOKUP(NJG671,'[3]Raw material  (3)'!NJE653:NJW3729,3,0),"")</f>
        <v/>
      </c>
      <c r="NJG671" t="str">
        <f>IFERROR(VLOOKUP(NJH671,'[3]Raw material  (3)'!NJF653:NJX3729,3,0),"")</f>
        <v/>
      </c>
      <c r="NJH671" t="str">
        <f>IFERROR(VLOOKUP(NJI671,'[3]Raw material  (3)'!NJG653:NJY3729,3,0),"")</f>
        <v/>
      </c>
      <c r="NJI671" t="str">
        <f>IFERROR(VLOOKUP(NJJ671,'[3]Raw material  (3)'!NJH653:NJZ3729,3,0),"")</f>
        <v/>
      </c>
      <c r="NJJ671" t="str">
        <f>IFERROR(VLOOKUP(NJK671,'[3]Raw material  (3)'!NJI653:NKA3729,3,0),"")</f>
        <v/>
      </c>
      <c r="NJK671" t="str">
        <f>IFERROR(VLOOKUP(NJL671,'[3]Raw material  (3)'!NJJ653:NKB3729,3,0),"")</f>
        <v/>
      </c>
      <c r="NJL671" t="str">
        <f>IFERROR(VLOOKUP(NJM671,'[3]Raw material  (3)'!NJK653:NKC3729,3,0),"")</f>
        <v/>
      </c>
      <c r="NJM671" t="str">
        <f>IFERROR(VLOOKUP(NJN671,'[3]Raw material  (3)'!NJL653:NKD3729,3,0),"")</f>
        <v/>
      </c>
      <c r="NJN671" t="str">
        <f>IFERROR(VLOOKUP(NJO671,'[3]Raw material  (3)'!NJM653:NKE3729,3,0),"")</f>
        <v/>
      </c>
      <c r="NJO671" t="str">
        <f>IFERROR(VLOOKUP(NJP671,'[3]Raw material  (3)'!NJN653:NKF3729,3,0),"")</f>
        <v/>
      </c>
      <c r="NJP671" t="str">
        <f>IFERROR(VLOOKUP(NJQ671,'[3]Raw material  (3)'!NJO653:NKG3729,3,0),"")</f>
        <v/>
      </c>
      <c r="NJQ671" t="str">
        <f>IFERROR(VLOOKUP(NJR671,'[3]Raw material  (3)'!NJP653:NKH3729,3,0),"")</f>
        <v/>
      </c>
      <c r="NJR671" t="str">
        <f>IFERROR(VLOOKUP(NJS671,'[3]Raw material  (3)'!NJQ653:NKI3729,3,0),"")</f>
        <v/>
      </c>
      <c r="NJS671" t="str">
        <f>IFERROR(VLOOKUP(NJT671,'[3]Raw material  (3)'!NJR653:NKJ3729,3,0),"")</f>
        <v/>
      </c>
      <c r="NJT671" t="str">
        <f>IFERROR(VLOOKUP(NJU671,'[3]Raw material  (3)'!NJS653:NKK3729,3,0),"")</f>
        <v/>
      </c>
      <c r="NJU671" t="str">
        <f>IFERROR(VLOOKUP(NJV671,'[3]Raw material  (3)'!NJT653:NKL3729,3,0),"")</f>
        <v/>
      </c>
      <c r="NJV671" t="str">
        <f>IFERROR(VLOOKUP(NJW671,'[3]Raw material  (3)'!NJU653:NKM3729,3,0),"")</f>
        <v/>
      </c>
      <c r="NJW671" t="str">
        <f>IFERROR(VLOOKUP(NJX671,'[3]Raw material  (3)'!NJV653:NKN3729,3,0),"")</f>
        <v/>
      </c>
      <c r="NJX671" t="str">
        <f>IFERROR(VLOOKUP(NJY671,'[3]Raw material  (3)'!NJW653:NKO3729,3,0),"")</f>
        <v/>
      </c>
      <c r="NJY671" t="str">
        <f>IFERROR(VLOOKUP(NJZ671,'[3]Raw material  (3)'!NJX653:NKP3729,3,0),"")</f>
        <v/>
      </c>
      <c r="NJZ671" t="str">
        <f>IFERROR(VLOOKUP(NKA671,'[3]Raw material  (3)'!NJY653:NKQ3729,3,0),"")</f>
        <v/>
      </c>
      <c r="NKA671" t="str">
        <f>IFERROR(VLOOKUP(NKB671,'[3]Raw material  (3)'!NJZ653:NKR3729,3,0),"")</f>
        <v/>
      </c>
      <c r="NKB671" t="str">
        <f>IFERROR(VLOOKUP(NKC671,'[3]Raw material  (3)'!NKA653:NKS3729,3,0),"")</f>
        <v/>
      </c>
      <c r="NKC671" t="str">
        <f>IFERROR(VLOOKUP(NKD671,'[3]Raw material  (3)'!NKB653:NKT3729,3,0),"")</f>
        <v/>
      </c>
      <c r="NKD671" t="str">
        <f>IFERROR(VLOOKUP(NKE671,'[3]Raw material  (3)'!NKC653:NKU3729,3,0),"")</f>
        <v/>
      </c>
      <c r="NKE671" t="str">
        <f>IFERROR(VLOOKUP(NKF671,'[3]Raw material  (3)'!NKD653:NKV3729,3,0),"")</f>
        <v/>
      </c>
      <c r="NKF671" t="str">
        <f>IFERROR(VLOOKUP(NKG671,'[3]Raw material  (3)'!NKE653:NKW3729,3,0),"")</f>
        <v/>
      </c>
      <c r="NKG671" t="str">
        <f>IFERROR(VLOOKUP(NKH671,'[3]Raw material  (3)'!NKF653:NKX3729,3,0),"")</f>
        <v/>
      </c>
      <c r="NKH671" t="str">
        <f>IFERROR(VLOOKUP(NKI671,'[3]Raw material  (3)'!NKG653:NKY3729,3,0),"")</f>
        <v/>
      </c>
      <c r="NKI671" t="str">
        <f>IFERROR(VLOOKUP(NKJ671,'[3]Raw material  (3)'!NKH653:NKZ3729,3,0),"")</f>
        <v/>
      </c>
      <c r="NKJ671" t="str">
        <f>IFERROR(VLOOKUP(NKK671,'[3]Raw material  (3)'!NKI653:NLA3729,3,0),"")</f>
        <v/>
      </c>
      <c r="NKK671" t="str">
        <f>IFERROR(VLOOKUP(NKL671,'[3]Raw material  (3)'!NKJ653:NLB3729,3,0),"")</f>
        <v/>
      </c>
      <c r="NKL671" t="str">
        <f>IFERROR(VLOOKUP(NKM671,'[3]Raw material  (3)'!NKK653:NLC3729,3,0),"")</f>
        <v/>
      </c>
      <c r="NKM671" t="str">
        <f>IFERROR(VLOOKUP(NKN671,'[3]Raw material  (3)'!NKL653:NLD3729,3,0),"")</f>
        <v/>
      </c>
      <c r="NKN671" t="str">
        <f>IFERROR(VLOOKUP(NKO671,'[3]Raw material  (3)'!NKM653:NLE3729,3,0),"")</f>
        <v/>
      </c>
      <c r="NKO671" t="str">
        <f>IFERROR(VLOOKUP(NKP671,'[3]Raw material  (3)'!NKN653:NLF3729,3,0),"")</f>
        <v/>
      </c>
      <c r="NKP671" t="str">
        <f>IFERROR(VLOOKUP(NKQ671,'[3]Raw material  (3)'!NKO653:NLG3729,3,0),"")</f>
        <v/>
      </c>
      <c r="NKQ671" t="str">
        <f>IFERROR(VLOOKUP(NKR671,'[3]Raw material  (3)'!NKP653:NLH3729,3,0),"")</f>
        <v/>
      </c>
      <c r="NKR671" t="str">
        <f>IFERROR(VLOOKUP(NKS671,'[3]Raw material  (3)'!NKQ653:NLI3729,3,0),"")</f>
        <v/>
      </c>
      <c r="NKS671" t="str">
        <f>IFERROR(VLOOKUP(NKT671,'[3]Raw material  (3)'!NKR653:NLJ3729,3,0),"")</f>
        <v/>
      </c>
      <c r="NKT671" t="str">
        <f>IFERROR(VLOOKUP(NKU671,'[3]Raw material  (3)'!NKS653:NLK3729,3,0),"")</f>
        <v/>
      </c>
      <c r="NKU671" t="str">
        <f>IFERROR(VLOOKUP(NKV671,'[3]Raw material  (3)'!NKT653:NLL3729,3,0),"")</f>
        <v/>
      </c>
      <c r="NKV671" t="str">
        <f>IFERROR(VLOOKUP(NKW671,'[3]Raw material  (3)'!NKU653:NLM3729,3,0),"")</f>
        <v/>
      </c>
      <c r="NKW671" t="str">
        <f>IFERROR(VLOOKUP(NKX671,'[3]Raw material  (3)'!NKV653:NLN3729,3,0),"")</f>
        <v/>
      </c>
      <c r="NKX671" t="str">
        <f>IFERROR(VLOOKUP(NKY671,'[3]Raw material  (3)'!NKW653:NLO3729,3,0),"")</f>
        <v/>
      </c>
      <c r="NKY671" t="str">
        <f>IFERROR(VLOOKUP(NKZ671,'[3]Raw material  (3)'!NKX653:NLP3729,3,0),"")</f>
        <v/>
      </c>
      <c r="NKZ671" t="str">
        <f>IFERROR(VLOOKUP(NLA671,'[3]Raw material  (3)'!NKY653:NLQ3729,3,0),"")</f>
        <v/>
      </c>
      <c r="NLA671" t="str">
        <f>IFERROR(VLOOKUP(NLB671,'[3]Raw material  (3)'!NKZ653:NLR3729,3,0),"")</f>
        <v/>
      </c>
      <c r="NLB671" t="str">
        <f>IFERROR(VLOOKUP(NLC671,'[3]Raw material  (3)'!NLA653:NLS3729,3,0),"")</f>
        <v/>
      </c>
      <c r="NLC671" t="str">
        <f>IFERROR(VLOOKUP(NLD671,'[3]Raw material  (3)'!NLB653:NLT3729,3,0),"")</f>
        <v/>
      </c>
      <c r="NLD671" t="str">
        <f>IFERROR(VLOOKUP(NLE671,'[3]Raw material  (3)'!NLC653:NLU3729,3,0),"")</f>
        <v/>
      </c>
      <c r="NLE671" t="str">
        <f>IFERROR(VLOOKUP(NLF671,'[3]Raw material  (3)'!NLD653:NLV3729,3,0),"")</f>
        <v/>
      </c>
      <c r="NLF671" t="str">
        <f>IFERROR(VLOOKUP(NLG671,'[3]Raw material  (3)'!NLE653:NLW3729,3,0),"")</f>
        <v/>
      </c>
      <c r="NLG671" t="str">
        <f>IFERROR(VLOOKUP(NLH671,'[3]Raw material  (3)'!NLF653:NLX3729,3,0),"")</f>
        <v/>
      </c>
      <c r="NLH671" t="str">
        <f>IFERROR(VLOOKUP(NLI671,'[3]Raw material  (3)'!NLG653:NLY3729,3,0),"")</f>
        <v/>
      </c>
      <c r="NLI671" t="str">
        <f>IFERROR(VLOOKUP(NLJ671,'[3]Raw material  (3)'!NLH653:NLZ3729,3,0),"")</f>
        <v/>
      </c>
      <c r="NLJ671" t="str">
        <f>IFERROR(VLOOKUP(NLK671,'[3]Raw material  (3)'!NLI653:NMA3729,3,0),"")</f>
        <v/>
      </c>
      <c r="NLK671" t="str">
        <f>IFERROR(VLOOKUP(NLL671,'[3]Raw material  (3)'!NLJ653:NMB3729,3,0),"")</f>
        <v/>
      </c>
      <c r="NLL671" t="str">
        <f>IFERROR(VLOOKUP(NLM671,'[3]Raw material  (3)'!NLK653:NMC3729,3,0),"")</f>
        <v/>
      </c>
      <c r="NLM671" t="str">
        <f>IFERROR(VLOOKUP(NLN671,'[3]Raw material  (3)'!NLL653:NMD3729,3,0),"")</f>
        <v/>
      </c>
      <c r="NLN671" t="str">
        <f>IFERROR(VLOOKUP(NLO671,'[3]Raw material  (3)'!NLM653:NME3729,3,0),"")</f>
        <v/>
      </c>
      <c r="NLO671" t="str">
        <f>IFERROR(VLOOKUP(NLP671,'[3]Raw material  (3)'!NLN653:NMF3729,3,0),"")</f>
        <v/>
      </c>
      <c r="NLP671" t="str">
        <f>IFERROR(VLOOKUP(NLQ671,'[3]Raw material  (3)'!NLO653:NMG3729,3,0),"")</f>
        <v/>
      </c>
      <c r="NLQ671" t="str">
        <f>IFERROR(VLOOKUP(NLR671,'[3]Raw material  (3)'!NLP653:NMH3729,3,0),"")</f>
        <v/>
      </c>
      <c r="NLR671" t="str">
        <f>IFERROR(VLOOKUP(NLS671,'[3]Raw material  (3)'!NLQ653:NMI3729,3,0),"")</f>
        <v/>
      </c>
      <c r="NLS671" t="str">
        <f>IFERROR(VLOOKUP(NLT671,'[3]Raw material  (3)'!NLR653:NMJ3729,3,0),"")</f>
        <v/>
      </c>
      <c r="NLT671" t="str">
        <f>IFERROR(VLOOKUP(NLU671,'[3]Raw material  (3)'!NLS653:NMK3729,3,0),"")</f>
        <v/>
      </c>
      <c r="NLU671" t="str">
        <f>IFERROR(VLOOKUP(NLV671,'[3]Raw material  (3)'!NLT653:NML3729,3,0),"")</f>
        <v/>
      </c>
      <c r="NLV671" t="str">
        <f>IFERROR(VLOOKUP(NLW671,'[3]Raw material  (3)'!NLU653:NMM3729,3,0),"")</f>
        <v/>
      </c>
      <c r="NLW671" t="str">
        <f>IFERROR(VLOOKUP(NLX671,'[3]Raw material  (3)'!NLV653:NMN3729,3,0),"")</f>
        <v/>
      </c>
      <c r="NLX671" t="str">
        <f>IFERROR(VLOOKUP(NLY671,'[3]Raw material  (3)'!NLW653:NMO3729,3,0),"")</f>
        <v/>
      </c>
      <c r="NLY671" t="str">
        <f>IFERROR(VLOOKUP(NLZ671,'[3]Raw material  (3)'!NLX653:NMP3729,3,0),"")</f>
        <v/>
      </c>
      <c r="NLZ671" t="str">
        <f>IFERROR(VLOOKUP(NMA671,'[3]Raw material  (3)'!NLY653:NMQ3729,3,0),"")</f>
        <v/>
      </c>
      <c r="NMA671" t="str">
        <f>IFERROR(VLOOKUP(NMB671,'[3]Raw material  (3)'!NLZ653:NMR3729,3,0),"")</f>
        <v/>
      </c>
      <c r="NMB671" t="str">
        <f>IFERROR(VLOOKUP(NMC671,'[3]Raw material  (3)'!NMA653:NMS3729,3,0),"")</f>
        <v/>
      </c>
      <c r="NMC671" t="str">
        <f>IFERROR(VLOOKUP(NMD671,'[3]Raw material  (3)'!NMB653:NMT3729,3,0),"")</f>
        <v/>
      </c>
      <c r="NMD671" t="str">
        <f>IFERROR(VLOOKUP(NME671,'[3]Raw material  (3)'!NMC653:NMU3729,3,0),"")</f>
        <v/>
      </c>
      <c r="NME671" t="str">
        <f>IFERROR(VLOOKUP(NMF671,'[3]Raw material  (3)'!NMD653:NMV3729,3,0),"")</f>
        <v/>
      </c>
      <c r="NMF671" t="str">
        <f>IFERROR(VLOOKUP(NMG671,'[3]Raw material  (3)'!NME653:NMW3729,3,0),"")</f>
        <v/>
      </c>
      <c r="NMG671" t="str">
        <f>IFERROR(VLOOKUP(NMH671,'[3]Raw material  (3)'!NMF653:NMX3729,3,0),"")</f>
        <v/>
      </c>
      <c r="NMH671" t="str">
        <f>IFERROR(VLOOKUP(NMI671,'[3]Raw material  (3)'!NMG653:NMY3729,3,0),"")</f>
        <v/>
      </c>
      <c r="NMI671" t="str">
        <f>IFERROR(VLOOKUP(NMJ671,'[3]Raw material  (3)'!NMH653:NMZ3729,3,0),"")</f>
        <v/>
      </c>
      <c r="NMJ671" t="str">
        <f>IFERROR(VLOOKUP(NMK671,'[3]Raw material  (3)'!NMI653:NNA3729,3,0),"")</f>
        <v/>
      </c>
      <c r="NMK671" t="str">
        <f>IFERROR(VLOOKUP(NML671,'[3]Raw material  (3)'!NMJ653:NNB3729,3,0),"")</f>
        <v/>
      </c>
      <c r="NML671" t="str">
        <f>IFERROR(VLOOKUP(NMM671,'[3]Raw material  (3)'!NMK653:NNC3729,3,0),"")</f>
        <v/>
      </c>
      <c r="NMM671" t="str">
        <f>IFERROR(VLOOKUP(NMN671,'[3]Raw material  (3)'!NML653:NND3729,3,0),"")</f>
        <v/>
      </c>
      <c r="NMN671" t="str">
        <f>IFERROR(VLOOKUP(NMO671,'[3]Raw material  (3)'!NMM653:NNE3729,3,0),"")</f>
        <v/>
      </c>
      <c r="NMO671" t="str">
        <f>IFERROR(VLOOKUP(NMP671,'[3]Raw material  (3)'!NMN653:NNF3729,3,0),"")</f>
        <v/>
      </c>
      <c r="NMP671" t="str">
        <f>IFERROR(VLOOKUP(NMQ671,'[3]Raw material  (3)'!NMO653:NNG3729,3,0),"")</f>
        <v/>
      </c>
      <c r="NMQ671" t="str">
        <f>IFERROR(VLOOKUP(NMR671,'[3]Raw material  (3)'!NMP653:NNH3729,3,0),"")</f>
        <v/>
      </c>
      <c r="NMR671" t="str">
        <f>IFERROR(VLOOKUP(NMS671,'[3]Raw material  (3)'!NMQ653:NNI3729,3,0),"")</f>
        <v/>
      </c>
      <c r="NMS671" t="str">
        <f>IFERROR(VLOOKUP(NMT671,'[3]Raw material  (3)'!NMR653:NNJ3729,3,0),"")</f>
        <v/>
      </c>
      <c r="NMT671" t="str">
        <f>IFERROR(VLOOKUP(NMU671,'[3]Raw material  (3)'!NMS653:NNK3729,3,0),"")</f>
        <v/>
      </c>
      <c r="NMU671" t="str">
        <f>IFERROR(VLOOKUP(NMV671,'[3]Raw material  (3)'!NMT653:NNL3729,3,0),"")</f>
        <v/>
      </c>
      <c r="NMV671" t="str">
        <f>IFERROR(VLOOKUP(NMW671,'[3]Raw material  (3)'!NMU653:NNM3729,3,0),"")</f>
        <v/>
      </c>
      <c r="NMW671" t="str">
        <f>IFERROR(VLOOKUP(NMX671,'[3]Raw material  (3)'!NMV653:NNN3729,3,0),"")</f>
        <v/>
      </c>
      <c r="NMX671" t="str">
        <f>IFERROR(VLOOKUP(NMY671,'[3]Raw material  (3)'!NMW653:NNO3729,3,0),"")</f>
        <v/>
      </c>
      <c r="NMY671" t="str">
        <f>IFERROR(VLOOKUP(NMZ671,'[3]Raw material  (3)'!NMX653:NNP3729,3,0),"")</f>
        <v/>
      </c>
      <c r="NMZ671" t="str">
        <f>IFERROR(VLOOKUP(NNA671,'[3]Raw material  (3)'!NMY653:NNQ3729,3,0),"")</f>
        <v/>
      </c>
      <c r="NNA671" t="str">
        <f>IFERROR(VLOOKUP(NNB671,'[3]Raw material  (3)'!NMZ653:NNR3729,3,0),"")</f>
        <v/>
      </c>
      <c r="NNB671" t="str">
        <f>IFERROR(VLOOKUP(NNC671,'[3]Raw material  (3)'!NNA653:NNS3729,3,0),"")</f>
        <v/>
      </c>
      <c r="NNC671" t="str">
        <f>IFERROR(VLOOKUP(NND671,'[3]Raw material  (3)'!NNB653:NNT3729,3,0),"")</f>
        <v/>
      </c>
      <c r="NND671" t="str">
        <f>IFERROR(VLOOKUP(NNE671,'[3]Raw material  (3)'!NNC653:NNU3729,3,0),"")</f>
        <v/>
      </c>
      <c r="NNE671" t="str">
        <f>IFERROR(VLOOKUP(NNF671,'[3]Raw material  (3)'!NND653:NNV3729,3,0),"")</f>
        <v/>
      </c>
      <c r="NNF671" t="str">
        <f>IFERROR(VLOOKUP(NNG671,'[3]Raw material  (3)'!NNE653:NNW3729,3,0),"")</f>
        <v/>
      </c>
      <c r="NNG671" t="str">
        <f>IFERROR(VLOOKUP(NNH671,'[3]Raw material  (3)'!NNF653:NNX3729,3,0),"")</f>
        <v/>
      </c>
      <c r="NNH671" t="str">
        <f>IFERROR(VLOOKUP(NNI671,'[3]Raw material  (3)'!NNG653:NNY3729,3,0),"")</f>
        <v/>
      </c>
      <c r="NNI671" t="str">
        <f>IFERROR(VLOOKUP(NNJ671,'[3]Raw material  (3)'!NNH653:NNZ3729,3,0),"")</f>
        <v/>
      </c>
      <c r="NNJ671" t="str">
        <f>IFERROR(VLOOKUP(NNK671,'[3]Raw material  (3)'!NNI653:NOA3729,3,0),"")</f>
        <v/>
      </c>
      <c r="NNK671" t="str">
        <f>IFERROR(VLOOKUP(NNL671,'[3]Raw material  (3)'!NNJ653:NOB3729,3,0),"")</f>
        <v/>
      </c>
      <c r="NNL671" t="str">
        <f>IFERROR(VLOOKUP(NNM671,'[3]Raw material  (3)'!NNK653:NOC3729,3,0),"")</f>
        <v/>
      </c>
      <c r="NNM671" t="str">
        <f>IFERROR(VLOOKUP(NNN671,'[3]Raw material  (3)'!NNL653:NOD3729,3,0),"")</f>
        <v/>
      </c>
      <c r="NNN671" t="str">
        <f>IFERROR(VLOOKUP(NNO671,'[3]Raw material  (3)'!NNM653:NOE3729,3,0),"")</f>
        <v/>
      </c>
      <c r="NNO671" t="str">
        <f>IFERROR(VLOOKUP(NNP671,'[3]Raw material  (3)'!NNN653:NOF3729,3,0),"")</f>
        <v/>
      </c>
      <c r="NNP671" t="str">
        <f>IFERROR(VLOOKUP(NNQ671,'[3]Raw material  (3)'!NNO653:NOG3729,3,0),"")</f>
        <v/>
      </c>
      <c r="NNQ671" t="str">
        <f>IFERROR(VLOOKUP(NNR671,'[3]Raw material  (3)'!NNP653:NOH3729,3,0),"")</f>
        <v/>
      </c>
      <c r="NNR671" t="str">
        <f>IFERROR(VLOOKUP(NNS671,'[3]Raw material  (3)'!NNQ653:NOI3729,3,0),"")</f>
        <v/>
      </c>
      <c r="NNS671" t="str">
        <f>IFERROR(VLOOKUP(NNT671,'[3]Raw material  (3)'!NNR653:NOJ3729,3,0),"")</f>
        <v/>
      </c>
      <c r="NNT671" t="str">
        <f>IFERROR(VLOOKUP(NNU671,'[3]Raw material  (3)'!NNS653:NOK3729,3,0),"")</f>
        <v/>
      </c>
      <c r="NNU671" t="str">
        <f>IFERROR(VLOOKUP(NNV671,'[3]Raw material  (3)'!NNT653:NOL3729,3,0),"")</f>
        <v/>
      </c>
      <c r="NNV671" t="str">
        <f>IFERROR(VLOOKUP(NNW671,'[3]Raw material  (3)'!NNU653:NOM3729,3,0),"")</f>
        <v/>
      </c>
      <c r="NNW671" t="str">
        <f>IFERROR(VLOOKUP(NNX671,'[3]Raw material  (3)'!NNV653:NON3729,3,0),"")</f>
        <v/>
      </c>
      <c r="NNX671" t="str">
        <f>IFERROR(VLOOKUP(NNY671,'[3]Raw material  (3)'!NNW653:NOO3729,3,0),"")</f>
        <v/>
      </c>
      <c r="NNY671" t="str">
        <f>IFERROR(VLOOKUP(NNZ671,'[3]Raw material  (3)'!NNX653:NOP3729,3,0),"")</f>
        <v/>
      </c>
      <c r="NNZ671" t="str">
        <f>IFERROR(VLOOKUP(NOA671,'[3]Raw material  (3)'!NNY653:NOQ3729,3,0),"")</f>
        <v/>
      </c>
      <c r="NOA671" t="str">
        <f>IFERROR(VLOOKUP(NOB671,'[3]Raw material  (3)'!NNZ653:NOR3729,3,0),"")</f>
        <v/>
      </c>
      <c r="NOB671" t="str">
        <f>IFERROR(VLOOKUP(NOC671,'[3]Raw material  (3)'!NOA653:NOS3729,3,0),"")</f>
        <v/>
      </c>
      <c r="NOC671" t="str">
        <f>IFERROR(VLOOKUP(NOD671,'[3]Raw material  (3)'!NOB653:NOT3729,3,0),"")</f>
        <v/>
      </c>
      <c r="NOD671" t="str">
        <f>IFERROR(VLOOKUP(NOE671,'[3]Raw material  (3)'!NOC653:NOU3729,3,0),"")</f>
        <v/>
      </c>
      <c r="NOE671" t="str">
        <f>IFERROR(VLOOKUP(NOF671,'[3]Raw material  (3)'!NOD653:NOV3729,3,0),"")</f>
        <v/>
      </c>
      <c r="NOF671" t="str">
        <f>IFERROR(VLOOKUP(NOG671,'[3]Raw material  (3)'!NOE653:NOW3729,3,0),"")</f>
        <v/>
      </c>
      <c r="NOG671" t="str">
        <f>IFERROR(VLOOKUP(NOH671,'[3]Raw material  (3)'!NOF653:NOX3729,3,0),"")</f>
        <v/>
      </c>
      <c r="NOH671" t="str">
        <f>IFERROR(VLOOKUP(NOI671,'[3]Raw material  (3)'!NOG653:NOY3729,3,0),"")</f>
        <v/>
      </c>
      <c r="NOI671" t="str">
        <f>IFERROR(VLOOKUP(NOJ671,'[3]Raw material  (3)'!NOH653:NOZ3729,3,0),"")</f>
        <v/>
      </c>
      <c r="NOJ671" t="str">
        <f>IFERROR(VLOOKUP(NOK671,'[3]Raw material  (3)'!NOI653:NPA3729,3,0),"")</f>
        <v/>
      </c>
      <c r="NOK671" t="str">
        <f>IFERROR(VLOOKUP(NOL671,'[3]Raw material  (3)'!NOJ653:NPB3729,3,0),"")</f>
        <v/>
      </c>
      <c r="NOL671" t="str">
        <f>IFERROR(VLOOKUP(NOM671,'[3]Raw material  (3)'!NOK653:NPC3729,3,0),"")</f>
        <v/>
      </c>
      <c r="NOM671" t="str">
        <f>IFERROR(VLOOKUP(NON671,'[3]Raw material  (3)'!NOL653:NPD3729,3,0),"")</f>
        <v/>
      </c>
      <c r="NON671" t="str">
        <f>IFERROR(VLOOKUP(NOO671,'[3]Raw material  (3)'!NOM653:NPE3729,3,0),"")</f>
        <v/>
      </c>
      <c r="NOO671" t="str">
        <f>IFERROR(VLOOKUP(NOP671,'[3]Raw material  (3)'!NON653:NPF3729,3,0),"")</f>
        <v/>
      </c>
      <c r="NOP671" t="str">
        <f>IFERROR(VLOOKUP(NOQ671,'[3]Raw material  (3)'!NOO653:NPG3729,3,0),"")</f>
        <v/>
      </c>
      <c r="NOQ671" t="str">
        <f>IFERROR(VLOOKUP(NOR671,'[3]Raw material  (3)'!NOP653:NPH3729,3,0),"")</f>
        <v/>
      </c>
      <c r="NOR671" t="str">
        <f>IFERROR(VLOOKUP(NOS671,'[3]Raw material  (3)'!NOQ653:NPI3729,3,0),"")</f>
        <v/>
      </c>
      <c r="NOS671" t="str">
        <f>IFERROR(VLOOKUP(NOT671,'[3]Raw material  (3)'!NOR653:NPJ3729,3,0),"")</f>
        <v/>
      </c>
      <c r="NOT671" t="str">
        <f>IFERROR(VLOOKUP(NOU671,'[3]Raw material  (3)'!NOS653:NPK3729,3,0),"")</f>
        <v/>
      </c>
      <c r="NOU671" t="str">
        <f>IFERROR(VLOOKUP(NOV671,'[3]Raw material  (3)'!NOT653:NPL3729,3,0),"")</f>
        <v/>
      </c>
      <c r="NOV671" t="str">
        <f>IFERROR(VLOOKUP(NOW671,'[3]Raw material  (3)'!NOU653:NPM3729,3,0),"")</f>
        <v/>
      </c>
      <c r="NOW671" t="str">
        <f>IFERROR(VLOOKUP(NOX671,'[3]Raw material  (3)'!NOV653:NPN3729,3,0),"")</f>
        <v/>
      </c>
      <c r="NOX671" t="str">
        <f>IFERROR(VLOOKUP(NOY671,'[3]Raw material  (3)'!NOW653:NPO3729,3,0),"")</f>
        <v/>
      </c>
      <c r="NOY671" t="str">
        <f>IFERROR(VLOOKUP(NOZ671,'[3]Raw material  (3)'!NOX653:NPP3729,3,0),"")</f>
        <v/>
      </c>
      <c r="NOZ671" t="str">
        <f>IFERROR(VLOOKUP(NPA671,'[3]Raw material  (3)'!NOY653:NPQ3729,3,0),"")</f>
        <v/>
      </c>
      <c r="NPA671" t="str">
        <f>IFERROR(VLOOKUP(NPB671,'[3]Raw material  (3)'!NOZ653:NPR3729,3,0),"")</f>
        <v/>
      </c>
      <c r="NPB671" t="str">
        <f>IFERROR(VLOOKUP(NPC671,'[3]Raw material  (3)'!NPA653:NPS3729,3,0),"")</f>
        <v/>
      </c>
      <c r="NPC671" t="str">
        <f>IFERROR(VLOOKUP(NPD671,'[3]Raw material  (3)'!NPB653:NPT3729,3,0),"")</f>
        <v/>
      </c>
      <c r="NPD671" t="str">
        <f>IFERROR(VLOOKUP(NPE671,'[3]Raw material  (3)'!NPC653:NPU3729,3,0),"")</f>
        <v/>
      </c>
      <c r="NPE671" t="str">
        <f>IFERROR(VLOOKUP(NPF671,'[3]Raw material  (3)'!NPD653:NPV3729,3,0),"")</f>
        <v/>
      </c>
      <c r="NPF671" t="str">
        <f>IFERROR(VLOOKUP(NPG671,'[3]Raw material  (3)'!NPE653:NPW3729,3,0),"")</f>
        <v/>
      </c>
      <c r="NPG671" t="str">
        <f>IFERROR(VLOOKUP(NPH671,'[3]Raw material  (3)'!NPF653:NPX3729,3,0),"")</f>
        <v/>
      </c>
      <c r="NPH671" t="str">
        <f>IFERROR(VLOOKUP(NPI671,'[3]Raw material  (3)'!NPG653:NPY3729,3,0),"")</f>
        <v/>
      </c>
      <c r="NPI671" t="str">
        <f>IFERROR(VLOOKUP(NPJ671,'[3]Raw material  (3)'!NPH653:NPZ3729,3,0),"")</f>
        <v/>
      </c>
      <c r="NPJ671" t="str">
        <f>IFERROR(VLOOKUP(NPK671,'[3]Raw material  (3)'!NPI653:NQA3729,3,0),"")</f>
        <v/>
      </c>
      <c r="NPK671" t="str">
        <f>IFERROR(VLOOKUP(NPL671,'[3]Raw material  (3)'!NPJ653:NQB3729,3,0),"")</f>
        <v/>
      </c>
      <c r="NPL671" t="str">
        <f>IFERROR(VLOOKUP(NPM671,'[3]Raw material  (3)'!NPK653:NQC3729,3,0),"")</f>
        <v/>
      </c>
      <c r="NPM671" t="str">
        <f>IFERROR(VLOOKUP(NPN671,'[3]Raw material  (3)'!NPL653:NQD3729,3,0),"")</f>
        <v/>
      </c>
      <c r="NPN671" t="str">
        <f>IFERROR(VLOOKUP(NPO671,'[3]Raw material  (3)'!NPM653:NQE3729,3,0),"")</f>
        <v/>
      </c>
      <c r="NPO671" t="str">
        <f>IFERROR(VLOOKUP(NPP671,'[3]Raw material  (3)'!NPN653:NQF3729,3,0),"")</f>
        <v/>
      </c>
      <c r="NPP671" t="str">
        <f>IFERROR(VLOOKUP(NPQ671,'[3]Raw material  (3)'!NPO653:NQG3729,3,0),"")</f>
        <v/>
      </c>
      <c r="NPQ671" t="str">
        <f>IFERROR(VLOOKUP(NPR671,'[3]Raw material  (3)'!NPP653:NQH3729,3,0),"")</f>
        <v/>
      </c>
      <c r="NPR671" t="str">
        <f>IFERROR(VLOOKUP(NPS671,'[3]Raw material  (3)'!NPQ653:NQI3729,3,0),"")</f>
        <v/>
      </c>
      <c r="NPS671" t="str">
        <f>IFERROR(VLOOKUP(NPT671,'[3]Raw material  (3)'!NPR653:NQJ3729,3,0),"")</f>
        <v/>
      </c>
      <c r="NPT671" t="str">
        <f>IFERROR(VLOOKUP(NPU671,'[3]Raw material  (3)'!NPS653:NQK3729,3,0),"")</f>
        <v/>
      </c>
      <c r="NPU671" t="str">
        <f>IFERROR(VLOOKUP(NPV671,'[3]Raw material  (3)'!NPT653:NQL3729,3,0),"")</f>
        <v/>
      </c>
      <c r="NPV671" t="str">
        <f>IFERROR(VLOOKUP(NPW671,'[3]Raw material  (3)'!NPU653:NQM3729,3,0),"")</f>
        <v/>
      </c>
      <c r="NPW671" t="str">
        <f>IFERROR(VLOOKUP(NPX671,'[3]Raw material  (3)'!NPV653:NQN3729,3,0),"")</f>
        <v/>
      </c>
      <c r="NPX671" t="str">
        <f>IFERROR(VLOOKUP(NPY671,'[3]Raw material  (3)'!NPW653:NQO3729,3,0),"")</f>
        <v/>
      </c>
      <c r="NPY671" t="str">
        <f>IFERROR(VLOOKUP(NPZ671,'[3]Raw material  (3)'!NPX653:NQP3729,3,0),"")</f>
        <v/>
      </c>
      <c r="NPZ671" t="str">
        <f>IFERROR(VLOOKUP(NQA671,'[3]Raw material  (3)'!NPY653:NQQ3729,3,0),"")</f>
        <v/>
      </c>
      <c r="NQA671" t="str">
        <f>IFERROR(VLOOKUP(NQB671,'[3]Raw material  (3)'!NPZ653:NQR3729,3,0),"")</f>
        <v/>
      </c>
      <c r="NQB671" t="str">
        <f>IFERROR(VLOOKUP(NQC671,'[3]Raw material  (3)'!NQA653:NQS3729,3,0),"")</f>
        <v/>
      </c>
      <c r="NQC671" t="str">
        <f>IFERROR(VLOOKUP(NQD671,'[3]Raw material  (3)'!NQB653:NQT3729,3,0),"")</f>
        <v/>
      </c>
      <c r="NQD671" t="str">
        <f>IFERROR(VLOOKUP(NQE671,'[3]Raw material  (3)'!NQC653:NQU3729,3,0),"")</f>
        <v/>
      </c>
      <c r="NQE671" t="str">
        <f>IFERROR(VLOOKUP(NQF671,'[3]Raw material  (3)'!NQD653:NQV3729,3,0),"")</f>
        <v/>
      </c>
      <c r="NQF671" t="str">
        <f>IFERROR(VLOOKUP(NQG671,'[3]Raw material  (3)'!NQE653:NQW3729,3,0),"")</f>
        <v/>
      </c>
      <c r="NQG671" t="str">
        <f>IFERROR(VLOOKUP(NQH671,'[3]Raw material  (3)'!NQF653:NQX3729,3,0),"")</f>
        <v/>
      </c>
      <c r="NQH671" t="str">
        <f>IFERROR(VLOOKUP(NQI671,'[3]Raw material  (3)'!NQG653:NQY3729,3,0),"")</f>
        <v/>
      </c>
      <c r="NQI671" t="str">
        <f>IFERROR(VLOOKUP(NQJ671,'[3]Raw material  (3)'!NQH653:NQZ3729,3,0),"")</f>
        <v/>
      </c>
      <c r="NQJ671" t="str">
        <f>IFERROR(VLOOKUP(NQK671,'[3]Raw material  (3)'!NQI653:NRA3729,3,0),"")</f>
        <v/>
      </c>
      <c r="NQK671" t="str">
        <f>IFERROR(VLOOKUP(NQL671,'[3]Raw material  (3)'!NQJ653:NRB3729,3,0),"")</f>
        <v/>
      </c>
      <c r="NQL671" t="str">
        <f>IFERROR(VLOOKUP(NQM671,'[3]Raw material  (3)'!NQK653:NRC3729,3,0),"")</f>
        <v/>
      </c>
      <c r="NQM671" t="str">
        <f>IFERROR(VLOOKUP(NQN671,'[3]Raw material  (3)'!NQL653:NRD3729,3,0),"")</f>
        <v/>
      </c>
      <c r="NQN671" t="str">
        <f>IFERROR(VLOOKUP(NQO671,'[3]Raw material  (3)'!NQM653:NRE3729,3,0),"")</f>
        <v/>
      </c>
      <c r="NQO671" t="str">
        <f>IFERROR(VLOOKUP(NQP671,'[3]Raw material  (3)'!NQN653:NRF3729,3,0),"")</f>
        <v/>
      </c>
      <c r="NQP671" t="str">
        <f>IFERROR(VLOOKUP(NQQ671,'[3]Raw material  (3)'!NQO653:NRG3729,3,0),"")</f>
        <v/>
      </c>
      <c r="NQQ671" t="str">
        <f>IFERROR(VLOOKUP(NQR671,'[3]Raw material  (3)'!NQP653:NRH3729,3,0),"")</f>
        <v/>
      </c>
      <c r="NQR671" t="str">
        <f>IFERROR(VLOOKUP(NQS671,'[3]Raw material  (3)'!NQQ653:NRI3729,3,0),"")</f>
        <v/>
      </c>
      <c r="NQS671" t="str">
        <f>IFERROR(VLOOKUP(NQT671,'[3]Raw material  (3)'!NQR653:NRJ3729,3,0),"")</f>
        <v/>
      </c>
      <c r="NQT671" t="str">
        <f>IFERROR(VLOOKUP(NQU671,'[3]Raw material  (3)'!NQS653:NRK3729,3,0),"")</f>
        <v/>
      </c>
      <c r="NQU671" t="str">
        <f>IFERROR(VLOOKUP(NQV671,'[3]Raw material  (3)'!NQT653:NRL3729,3,0),"")</f>
        <v/>
      </c>
      <c r="NQV671" t="str">
        <f>IFERROR(VLOOKUP(NQW671,'[3]Raw material  (3)'!NQU653:NRM3729,3,0),"")</f>
        <v/>
      </c>
      <c r="NQW671" t="str">
        <f>IFERROR(VLOOKUP(NQX671,'[3]Raw material  (3)'!NQV653:NRN3729,3,0),"")</f>
        <v/>
      </c>
      <c r="NQX671" t="str">
        <f>IFERROR(VLOOKUP(NQY671,'[3]Raw material  (3)'!NQW653:NRO3729,3,0),"")</f>
        <v/>
      </c>
      <c r="NQY671" t="str">
        <f>IFERROR(VLOOKUP(NQZ671,'[3]Raw material  (3)'!NQX653:NRP3729,3,0),"")</f>
        <v/>
      </c>
      <c r="NQZ671" t="str">
        <f>IFERROR(VLOOKUP(NRA671,'[3]Raw material  (3)'!NQY653:NRQ3729,3,0),"")</f>
        <v/>
      </c>
      <c r="NRA671" t="str">
        <f>IFERROR(VLOOKUP(NRB671,'[3]Raw material  (3)'!NQZ653:NRR3729,3,0),"")</f>
        <v/>
      </c>
      <c r="NRB671" t="str">
        <f>IFERROR(VLOOKUP(NRC671,'[3]Raw material  (3)'!NRA653:NRS3729,3,0),"")</f>
        <v/>
      </c>
      <c r="NRC671" t="str">
        <f>IFERROR(VLOOKUP(NRD671,'[3]Raw material  (3)'!NRB653:NRT3729,3,0),"")</f>
        <v/>
      </c>
      <c r="NRD671" t="str">
        <f>IFERROR(VLOOKUP(NRE671,'[3]Raw material  (3)'!NRC653:NRU3729,3,0),"")</f>
        <v/>
      </c>
      <c r="NRE671" t="str">
        <f>IFERROR(VLOOKUP(NRF671,'[3]Raw material  (3)'!NRD653:NRV3729,3,0),"")</f>
        <v/>
      </c>
      <c r="NRF671" t="str">
        <f>IFERROR(VLOOKUP(NRG671,'[3]Raw material  (3)'!NRE653:NRW3729,3,0),"")</f>
        <v/>
      </c>
      <c r="NRG671" t="str">
        <f>IFERROR(VLOOKUP(NRH671,'[3]Raw material  (3)'!NRF653:NRX3729,3,0),"")</f>
        <v/>
      </c>
      <c r="NRH671" t="str">
        <f>IFERROR(VLOOKUP(NRI671,'[3]Raw material  (3)'!NRG653:NRY3729,3,0),"")</f>
        <v/>
      </c>
      <c r="NRI671" t="str">
        <f>IFERROR(VLOOKUP(NRJ671,'[3]Raw material  (3)'!NRH653:NRZ3729,3,0),"")</f>
        <v/>
      </c>
      <c r="NRJ671" t="str">
        <f>IFERROR(VLOOKUP(NRK671,'[3]Raw material  (3)'!NRI653:NSA3729,3,0),"")</f>
        <v/>
      </c>
      <c r="NRK671" t="str">
        <f>IFERROR(VLOOKUP(NRL671,'[3]Raw material  (3)'!NRJ653:NSB3729,3,0),"")</f>
        <v/>
      </c>
      <c r="NRL671" t="str">
        <f>IFERROR(VLOOKUP(NRM671,'[3]Raw material  (3)'!NRK653:NSC3729,3,0),"")</f>
        <v/>
      </c>
      <c r="NRM671" t="str">
        <f>IFERROR(VLOOKUP(NRN671,'[3]Raw material  (3)'!NRL653:NSD3729,3,0),"")</f>
        <v/>
      </c>
      <c r="NRN671" t="str">
        <f>IFERROR(VLOOKUP(NRO671,'[3]Raw material  (3)'!NRM653:NSE3729,3,0),"")</f>
        <v/>
      </c>
      <c r="NRO671" t="str">
        <f>IFERROR(VLOOKUP(NRP671,'[3]Raw material  (3)'!NRN653:NSF3729,3,0),"")</f>
        <v/>
      </c>
      <c r="NRP671" t="str">
        <f>IFERROR(VLOOKUP(NRQ671,'[3]Raw material  (3)'!NRO653:NSG3729,3,0),"")</f>
        <v/>
      </c>
      <c r="NRQ671" t="str">
        <f>IFERROR(VLOOKUP(NRR671,'[3]Raw material  (3)'!NRP653:NSH3729,3,0),"")</f>
        <v/>
      </c>
      <c r="NRR671" t="str">
        <f>IFERROR(VLOOKUP(NRS671,'[3]Raw material  (3)'!NRQ653:NSI3729,3,0),"")</f>
        <v/>
      </c>
      <c r="NRS671" t="str">
        <f>IFERROR(VLOOKUP(NRT671,'[3]Raw material  (3)'!NRR653:NSJ3729,3,0),"")</f>
        <v/>
      </c>
      <c r="NRT671" t="str">
        <f>IFERROR(VLOOKUP(NRU671,'[3]Raw material  (3)'!NRS653:NSK3729,3,0),"")</f>
        <v/>
      </c>
      <c r="NRU671" t="str">
        <f>IFERROR(VLOOKUP(NRV671,'[3]Raw material  (3)'!NRT653:NSL3729,3,0),"")</f>
        <v/>
      </c>
      <c r="NRV671" t="str">
        <f>IFERROR(VLOOKUP(NRW671,'[3]Raw material  (3)'!NRU653:NSM3729,3,0),"")</f>
        <v/>
      </c>
      <c r="NRW671" t="str">
        <f>IFERROR(VLOOKUP(NRX671,'[3]Raw material  (3)'!NRV653:NSN3729,3,0),"")</f>
        <v/>
      </c>
      <c r="NRX671" t="str">
        <f>IFERROR(VLOOKUP(NRY671,'[3]Raw material  (3)'!NRW653:NSO3729,3,0),"")</f>
        <v/>
      </c>
      <c r="NRY671" t="str">
        <f>IFERROR(VLOOKUP(NRZ671,'[3]Raw material  (3)'!NRX653:NSP3729,3,0),"")</f>
        <v/>
      </c>
      <c r="NRZ671" t="str">
        <f>IFERROR(VLOOKUP(NSA671,'[3]Raw material  (3)'!NRY653:NSQ3729,3,0),"")</f>
        <v/>
      </c>
      <c r="NSA671" t="str">
        <f>IFERROR(VLOOKUP(NSB671,'[3]Raw material  (3)'!NRZ653:NSR3729,3,0),"")</f>
        <v/>
      </c>
      <c r="NSB671" t="str">
        <f>IFERROR(VLOOKUP(NSC671,'[3]Raw material  (3)'!NSA653:NSS3729,3,0),"")</f>
        <v/>
      </c>
      <c r="NSC671" t="str">
        <f>IFERROR(VLOOKUP(NSD671,'[3]Raw material  (3)'!NSB653:NST3729,3,0),"")</f>
        <v/>
      </c>
      <c r="NSD671" t="str">
        <f>IFERROR(VLOOKUP(NSE671,'[3]Raw material  (3)'!NSC653:NSU3729,3,0),"")</f>
        <v/>
      </c>
      <c r="NSE671" t="str">
        <f>IFERROR(VLOOKUP(NSF671,'[3]Raw material  (3)'!NSD653:NSV3729,3,0),"")</f>
        <v/>
      </c>
      <c r="NSF671" t="str">
        <f>IFERROR(VLOOKUP(NSG671,'[3]Raw material  (3)'!NSE653:NSW3729,3,0),"")</f>
        <v/>
      </c>
      <c r="NSG671" t="str">
        <f>IFERROR(VLOOKUP(NSH671,'[3]Raw material  (3)'!NSF653:NSX3729,3,0),"")</f>
        <v/>
      </c>
      <c r="NSH671" t="str">
        <f>IFERROR(VLOOKUP(NSI671,'[3]Raw material  (3)'!NSG653:NSY3729,3,0),"")</f>
        <v/>
      </c>
      <c r="NSI671" t="str">
        <f>IFERROR(VLOOKUP(NSJ671,'[3]Raw material  (3)'!NSH653:NSZ3729,3,0),"")</f>
        <v/>
      </c>
      <c r="NSJ671" t="str">
        <f>IFERROR(VLOOKUP(NSK671,'[3]Raw material  (3)'!NSI653:NTA3729,3,0),"")</f>
        <v/>
      </c>
      <c r="NSK671" t="str">
        <f>IFERROR(VLOOKUP(NSL671,'[3]Raw material  (3)'!NSJ653:NTB3729,3,0),"")</f>
        <v/>
      </c>
      <c r="NSL671" t="str">
        <f>IFERROR(VLOOKUP(NSM671,'[3]Raw material  (3)'!NSK653:NTC3729,3,0),"")</f>
        <v/>
      </c>
      <c r="NSM671" t="str">
        <f>IFERROR(VLOOKUP(NSN671,'[3]Raw material  (3)'!NSL653:NTD3729,3,0),"")</f>
        <v/>
      </c>
      <c r="NSN671" t="str">
        <f>IFERROR(VLOOKUP(NSO671,'[3]Raw material  (3)'!NSM653:NTE3729,3,0),"")</f>
        <v/>
      </c>
      <c r="NSO671" t="str">
        <f>IFERROR(VLOOKUP(NSP671,'[3]Raw material  (3)'!NSN653:NTF3729,3,0),"")</f>
        <v/>
      </c>
      <c r="NSP671" t="str">
        <f>IFERROR(VLOOKUP(NSQ671,'[3]Raw material  (3)'!NSO653:NTG3729,3,0),"")</f>
        <v/>
      </c>
      <c r="NSQ671" t="str">
        <f>IFERROR(VLOOKUP(NSR671,'[3]Raw material  (3)'!NSP653:NTH3729,3,0),"")</f>
        <v/>
      </c>
      <c r="NSR671" t="str">
        <f>IFERROR(VLOOKUP(NSS671,'[3]Raw material  (3)'!NSQ653:NTI3729,3,0),"")</f>
        <v/>
      </c>
      <c r="NSS671" t="str">
        <f>IFERROR(VLOOKUP(NST671,'[3]Raw material  (3)'!NSR653:NTJ3729,3,0),"")</f>
        <v/>
      </c>
      <c r="NST671" t="str">
        <f>IFERROR(VLOOKUP(NSU671,'[3]Raw material  (3)'!NSS653:NTK3729,3,0),"")</f>
        <v/>
      </c>
      <c r="NSU671" t="str">
        <f>IFERROR(VLOOKUP(NSV671,'[3]Raw material  (3)'!NST653:NTL3729,3,0),"")</f>
        <v/>
      </c>
      <c r="NSV671" t="str">
        <f>IFERROR(VLOOKUP(NSW671,'[3]Raw material  (3)'!NSU653:NTM3729,3,0),"")</f>
        <v/>
      </c>
      <c r="NSW671" t="str">
        <f>IFERROR(VLOOKUP(NSX671,'[3]Raw material  (3)'!NSV653:NTN3729,3,0),"")</f>
        <v/>
      </c>
      <c r="NSX671" t="str">
        <f>IFERROR(VLOOKUP(NSY671,'[3]Raw material  (3)'!NSW653:NTO3729,3,0),"")</f>
        <v/>
      </c>
      <c r="NSY671" t="str">
        <f>IFERROR(VLOOKUP(NSZ671,'[3]Raw material  (3)'!NSX653:NTP3729,3,0),"")</f>
        <v/>
      </c>
      <c r="NSZ671" t="str">
        <f>IFERROR(VLOOKUP(NTA671,'[3]Raw material  (3)'!NSY653:NTQ3729,3,0),"")</f>
        <v/>
      </c>
      <c r="NTA671" t="str">
        <f>IFERROR(VLOOKUP(NTB671,'[3]Raw material  (3)'!NSZ653:NTR3729,3,0),"")</f>
        <v/>
      </c>
      <c r="NTB671" t="str">
        <f>IFERROR(VLOOKUP(NTC671,'[3]Raw material  (3)'!NTA653:NTS3729,3,0),"")</f>
        <v/>
      </c>
      <c r="NTC671" t="str">
        <f>IFERROR(VLOOKUP(NTD671,'[3]Raw material  (3)'!NTB653:NTT3729,3,0),"")</f>
        <v/>
      </c>
      <c r="NTD671" t="str">
        <f>IFERROR(VLOOKUP(NTE671,'[3]Raw material  (3)'!NTC653:NTU3729,3,0),"")</f>
        <v/>
      </c>
      <c r="NTE671" t="str">
        <f>IFERROR(VLOOKUP(NTF671,'[3]Raw material  (3)'!NTD653:NTV3729,3,0),"")</f>
        <v/>
      </c>
      <c r="NTF671" t="str">
        <f>IFERROR(VLOOKUP(NTG671,'[3]Raw material  (3)'!NTE653:NTW3729,3,0),"")</f>
        <v/>
      </c>
      <c r="NTG671" t="str">
        <f>IFERROR(VLOOKUP(NTH671,'[3]Raw material  (3)'!NTF653:NTX3729,3,0),"")</f>
        <v/>
      </c>
      <c r="NTH671" t="str">
        <f>IFERROR(VLOOKUP(NTI671,'[3]Raw material  (3)'!NTG653:NTY3729,3,0),"")</f>
        <v/>
      </c>
      <c r="NTI671" t="str">
        <f>IFERROR(VLOOKUP(NTJ671,'[3]Raw material  (3)'!NTH653:NTZ3729,3,0),"")</f>
        <v/>
      </c>
      <c r="NTJ671" t="str">
        <f>IFERROR(VLOOKUP(NTK671,'[3]Raw material  (3)'!NTI653:NUA3729,3,0),"")</f>
        <v/>
      </c>
      <c r="NTK671" t="str">
        <f>IFERROR(VLOOKUP(NTL671,'[3]Raw material  (3)'!NTJ653:NUB3729,3,0),"")</f>
        <v/>
      </c>
      <c r="NTL671" t="str">
        <f>IFERROR(VLOOKUP(NTM671,'[3]Raw material  (3)'!NTK653:NUC3729,3,0),"")</f>
        <v/>
      </c>
      <c r="NTM671" t="str">
        <f>IFERROR(VLOOKUP(NTN671,'[3]Raw material  (3)'!NTL653:NUD3729,3,0),"")</f>
        <v/>
      </c>
      <c r="NTN671" t="str">
        <f>IFERROR(VLOOKUP(NTO671,'[3]Raw material  (3)'!NTM653:NUE3729,3,0),"")</f>
        <v/>
      </c>
      <c r="NTO671" t="str">
        <f>IFERROR(VLOOKUP(NTP671,'[3]Raw material  (3)'!NTN653:NUF3729,3,0),"")</f>
        <v/>
      </c>
      <c r="NTP671" t="str">
        <f>IFERROR(VLOOKUP(NTQ671,'[3]Raw material  (3)'!NTO653:NUG3729,3,0),"")</f>
        <v/>
      </c>
      <c r="NTQ671" t="str">
        <f>IFERROR(VLOOKUP(NTR671,'[3]Raw material  (3)'!NTP653:NUH3729,3,0),"")</f>
        <v/>
      </c>
      <c r="NTR671" t="str">
        <f>IFERROR(VLOOKUP(NTS671,'[3]Raw material  (3)'!NTQ653:NUI3729,3,0),"")</f>
        <v/>
      </c>
      <c r="NTS671" t="str">
        <f>IFERROR(VLOOKUP(NTT671,'[3]Raw material  (3)'!NTR653:NUJ3729,3,0),"")</f>
        <v/>
      </c>
      <c r="NTT671" t="str">
        <f>IFERROR(VLOOKUP(NTU671,'[3]Raw material  (3)'!NTS653:NUK3729,3,0),"")</f>
        <v/>
      </c>
      <c r="NTU671" t="str">
        <f>IFERROR(VLOOKUP(NTV671,'[3]Raw material  (3)'!NTT653:NUL3729,3,0),"")</f>
        <v/>
      </c>
      <c r="NTV671" t="str">
        <f>IFERROR(VLOOKUP(NTW671,'[3]Raw material  (3)'!NTU653:NUM3729,3,0),"")</f>
        <v/>
      </c>
      <c r="NTW671" t="str">
        <f>IFERROR(VLOOKUP(NTX671,'[3]Raw material  (3)'!NTV653:NUN3729,3,0),"")</f>
        <v/>
      </c>
      <c r="NTX671" t="str">
        <f>IFERROR(VLOOKUP(NTY671,'[3]Raw material  (3)'!NTW653:NUO3729,3,0),"")</f>
        <v/>
      </c>
      <c r="NTY671" t="str">
        <f>IFERROR(VLOOKUP(NTZ671,'[3]Raw material  (3)'!NTX653:NUP3729,3,0),"")</f>
        <v/>
      </c>
      <c r="NTZ671" t="str">
        <f>IFERROR(VLOOKUP(NUA671,'[3]Raw material  (3)'!NTY653:NUQ3729,3,0),"")</f>
        <v/>
      </c>
      <c r="NUA671" t="str">
        <f>IFERROR(VLOOKUP(NUB671,'[3]Raw material  (3)'!NTZ653:NUR3729,3,0),"")</f>
        <v/>
      </c>
      <c r="NUB671" t="str">
        <f>IFERROR(VLOOKUP(NUC671,'[3]Raw material  (3)'!NUA653:NUS3729,3,0),"")</f>
        <v/>
      </c>
      <c r="NUC671" t="str">
        <f>IFERROR(VLOOKUP(NUD671,'[3]Raw material  (3)'!NUB653:NUT3729,3,0),"")</f>
        <v/>
      </c>
      <c r="NUD671" t="str">
        <f>IFERROR(VLOOKUP(NUE671,'[3]Raw material  (3)'!NUC653:NUU3729,3,0),"")</f>
        <v/>
      </c>
      <c r="NUE671" t="str">
        <f>IFERROR(VLOOKUP(NUF671,'[3]Raw material  (3)'!NUD653:NUV3729,3,0),"")</f>
        <v/>
      </c>
      <c r="NUF671" t="str">
        <f>IFERROR(VLOOKUP(NUG671,'[3]Raw material  (3)'!NUE653:NUW3729,3,0),"")</f>
        <v/>
      </c>
      <c r="NUG671" t="str">
        <f>IFERROR(VLOOKUP(NUH671,'[3]Raw material  (3)'!NUF653:NUX3729,3,0),"")</f>
        <v/>
      </c>
      <c r="NUH671" t="str">
        <f>IFERROR(VLOOKUP(NUI671,'[3]Raw material  (3)'!NUG653:NUY3729,3,0),"")</f>
        <v/>
      </c>
      <c r="NUI671" t="str">
        <f>IFERROR(VLOOKUP(NUJ671,'[3]Raw material  (3)'!NUH653:NUZ3729,3,0),"")</f>
        <v/>
      </c>
      <c r="NUJ671" t="str">
        <f>IFERROR(VLOOKUP(NUK671,'[3]Raw material  (3)'!NUI653:NVA3729,3,0),"")</f>
        <v/>
      </c>
      <c r="NUK671" t="str">
        <f>IFERROR(VLOOKUP(NUL671,'[3]Raw material  (3)'!NUJ653:NVB3729,3,0),"")</f>
        <v/>
      </c>
      <c r="NUL671" t="str">
        <f>IFERROR(VLOOKUP(NUM671,'[3]Raw material  (3)'!NUK653:NVC3729,3,0),"")</f>
        <v/>
      </c>
      <c r="NUM671" t="str">
        <f>IFERROR(VLOOKUP(NUN671,'[3]Raw material  (3)'!NUL653:NVD3729,3,0),"")</f>
        <v/>
      </c>
      <c r="NUN671" t="str">
        <f>IFERROR(VLOOKUP(NUO671,'[3]Raw material  (3)'!NUM653:NVE3729,3,0),"")</f>
        <v/>
      </c>
      <c r="NUO671" t="str">
        <f>IFERROR(VLOOKUP(NUP671,'[3]Raw material  (3)'!NUN653:NVF3729,3,0),"")</f>
        <v/>
      </c>
      <c r="NUP671" t="str">
        <f>IFERROR(VLOOKUP(NUQ671,'[3]Raw material  (3)'!NUO653:NVG3729,3,0),"")</f>
        <v/>
      </c>
      <c r="NUQ671" t="str">
        <f>IFERROR(VLOOKUP(NUR671,'[3]Raw material  (3)'!NUP653:NVH3729,3,0),"")</f>
        <v/>
      </c>
      <c r="NUR671" t="str">
        <f>IFERROR(VLOOKUP(NUS671,'[3]Raw material  (3)'!NUQ653:NVI3729,3,0),"")</f>
        <v/>
      </c>
      <c r="NUS671" t="str">
        <f>IFERROR(VLOOKUP(NUT671,'[3]Raw material  (3)'!NUR653:NVJ3729,3,0),"")</f>
        <v/>
      </c>
      <c r="NUT671" t="str">
        <f>IFERROR(VLOOKUP(NUU671,'[3]Raw material  (3)'!NUS653:NVK3729,3,0),"")</f>
        <v/>
      </c>
      <c r="NUU671" t="str">
        <f>IFERROR(VLOOKUP(NUV671,'[3]Raw material  (3)'!NUT653:NVL3729,3,0),"")</f>
        <v/>
      </c>
      <c r="NUV671" t="str">
        <f>IFERROR(VLOOKUP(NUW671,'[3]Raw material  (3)'!NUU653:NVM3729,3,0),"")</f>
        <v/>
      </c>
      <c r="NUW671" t="str">
        <f>IFERROR(VLOOKUP(NUX671,'[3]Raw material  (3)'!NUV653:NVN3729,3,0),"")</f>
        <v/>
      </c>
      <c r="NUX671" t="str">
        <f>IFERROR(VLOOKUP(NUY671,'[3]Raw material  (3)'!NUW653:NVO3729,3,0),"")</f>
        <v/>
      </c>
      <c r="NUY671" t="str">
        <f>IFERROR(VLOOKUP(NUZ671,'[3]Raw material  (3)'!NUX653:NVP3729,3,0),"")</f>
        <v/>
      </c>
      <c r="NUZ671" t="str">
        <f>IFERROR(VLOOKUP(NVA671,'[3]Raw material  (3)'!NUY653:NVQ3729,3,0),"")</f>
        <v/>
      </c>
      <c r="NVA671" t="str">
        <f>IFERROR(VLOOKUP(NVB671,'[3]Raw material  (3)'!NUZ653:NVR3729,3,0),"")</f>
        <v/>
      </c>
      <c r="NVB671" t="str">
        <f>IFERROR(VLOOKUP(NVC671,'[3]Raw material  (3)'!NVA653:NVS3729,3,0),"")</f>
        <v/>
      </c>
      <c r="NVC671" t="str">
        <f>IFERROR(VLOOKUP(NVD671,'[3]Raw material  (3)'!NVB653:NVT3729,3,0),"")</f>
        <v/>
      </c>
      <c r="NVD671" t="str">
        <f>IFERROR(VLOOKUP(NVE671,'[3]Raw material  (3)'!NVC653:NVU3729,3,0),"")</f>
        <v/>
      </c>
      <c r="NVE671" t="str">
        <f>IFERROR(VLOOKUP(NVF671,'[3]Raw material  (3)'!NVD653:NVV3729,3,0),"")</f>
        <v/>
      </c>
      <c r="NVF671" t="str">
        <f>IFERROR(VLOOKUP(NVG671,'[3]Raw material  (3)'!NVE653:NVW3729,3,0),"")</f>
        <v/>
      </c>
      <c r="NVG671" t="str">
        <f>IFERROR(VLOOKUP(NVH671,'[3]Raw material  (3)'!NVF653:NVX3729,3,0),"")</f>
        <v/>
      </c>
      <c r="NVH671" t="str">
        <f>IFERROR(VLOOKUP(NVI671,'[3]Raw material  (3)'!NVG653:NVY3729,3,0),"")</f>
        <v/>
      </c>
      <c r="NVI671" t="str">
        <f>IFERROR(VLOOKUP(NVJ671,'[3]Raw material  (3)'!NVH653:NVZ3729,3,0),"")</f>
        <v/>
      </c>
      <c r="NVJ671" t="str">
        <f>IFERROR(VLOOKUP(NVK671,'[3]Raw material  (3)'!NVI653:NWA3729,3,0),"")</f>
        <v/>
      </c>
      <c r="NVK671" t="str">
        <f>IFERROR(VLOOKUP(NVL671,'[3]Raw material  (3)'!NVJ653:NWB3729,3,0),"")</f>
        <v/>
      </c>
      <c r="NVL671" t="str">
        <f>IFERROR(VLOOKUP(NVM671,'[3]Raw material  (3)'!NVK653:NWC3729,3,0),"")</f>
        <v/>
      </c>
      <c r="NVM671" t="str">
        <f>IFERROR(VLOOKUP(NVN671,'[3]Raw material  (3)'!NVL653:NWD3729,3,0),"")</f>
        <v/>
      </c>
      <c r="NVN671" t="str">
        <f>IFERROR(VLOOKUP(NVO671,'[3]Raw material  (3)'!NVM653:NWE3729,3,0),"")</f>
        <v/>
      </c>
      <c r="NVO671" t="str">
        <f>IFERROR(VLOOKUP(NVP671,'[3]Raw material  (3)'!NVN653:NWF3729,3,0),"")</f>
        <v/>
      </c>
      <c r="NVP671" t="str">
        <f>IFERROR(VLOOKUP(NVQ671,'[3]Raw material  (3)'!NVO653:NWG3729,3,0),"")</f>
        <v/>
      </c>
      <c r="NVQ671" t="str">
        <f>IFERROR(VLOOKUP(NVR671,'[3]Raw material  (3)'!NVP653:NWH3729,3,0),"")</f>
        <v/>
      </c>
      <c r="NVR671" t="str">
        <f>IFERROR(VLOOKUP(NVS671,'[3]Raw material  (3)'!NVQ653:NWI3729,3,0),"")</f>
        <v/>
      </c>
      <c r="NVS671" t="str">
        <f>IFERROR(VLOOKUP(NVT671,'[3]Raw material  (3)'!NVR653:NWJ3729,3,0),"")</f>
        <v/>
      </c>
      <c r="NVT671" t="str">
        <f>IFERROR(VLOOKUP(NVU671,'[3]Raw material  (3)'!NVS653:NWK3729,3,0),"")</f>
        <v/>
      </c>
      <c r="NVU671" t="str">
        <f>IFERROR(VLOOKUP(NVV671,'[3]Raw material  (3)'!NVT653:NWL3729,3,0),"")</f>
        <v/>
      </c>
      <c r="NVV671" t="str">
        <f>IFERROR(VLOOKUP(NVW671,'[3]Raw material  (3)'!NVU653:NWM3729,3,0),"")</f>
        <v/>
      </c>
      <c r="NVW671" t="str">
        <f>IFERROR(VLOOKUP(NVX671,'[3]Raw material  (3)'!NVV653:NWN3729,3,0),"")</f>
        <v/>
      </c>
      <c r="NVX671" t="str">
        <f>IFERROR(VLOOKUP(NVY671,'[3]Raw material  (3)'!NVW653:NWO3729,3,0),"")</f>
        <v/>
      </c>
      <c r="NVY671" t="str">
        <f>IFERROR(VLOOKUP(NVZ671,'[3]Raw material  (3)'!NVX653:NWP3729,3,0),"")</f>
        <v/>
      </c>
      <c r="NVZ671" t="str">
        <f>IFERROR(VLOOKUP(NWA671,'[3]Raw material  (3)'!NVY653:NWQ3729,3,0),"")</f>
        <v/>
      </c>
      <c r="NWA671" t="str">
        <f>IFERROR(VLOOKUP(NWB671,'[3]Raw material  (3)'!NVZ653:NWR3729,3,0),"")</f>
        <v/>
      </c>
      <c r="NWB671" t="str">
        <f>IFERROR(VLOOKUP(NWC671,'[3]Raw material  (3)'!NWA653:NWS3729,3,0),"")</f>
        <v/>
      </c>
      <c r="NWC671" t="str">
        <f>IFERROR(VLOOKUP(NWD671,'[3]Raw material  (3)'!NWB653:NWT3729,3,0),"")</f>
        <v/>
      </c>
      <c r="NWD671" t="str">
        <f>IFERROR(VLOOKUP(NWE671,'[3]Raw material  (3)'!NWC653:NWU3729,3,0),"")</f>
        <v/>
      </c>
      <c r="NWE671" t="str">
        <f>IFERROR(VLOOKUP(NWF671,'[3]Raw material  (3)'!NWD653:NWV3729,3,0),"")</f>
        <v/>
      </c>
      <c r="NWF671" t="str">
        <f>IFERROR(VLOOKUP(NWG671,'[3]Raw material  (3)'!NWE653:NWW3729,3,0),"")</f>
        <v/>
      </c>
      <c r="NWG671" t="str">
        <f>IFERROR(VLOOKUP(NWH671,'[3]Raw material  (3)'!NWF653:NWX3729,3,0),"")</f>
        <v/>
      </c>
      <c r="NWH671" t="str">
        <f>IFERROR(VLOOKUP(NWI671,'[3]Raw material  (3)'!NWG653:NWY3729,3,0),"")</f>
        <v/>
      </c>
      <c r="NWI671" t="str">
        <f>IFERROR(VLOOKUP(NWJ671,'[3]Raw material  (3)'!NWH653:NWZ3729,3,0),"")</f>
        <v/>
      </c>
      <c r="NWJ671" t="str">
        <f>IFERROR(VLOOKUP(NWK671,'[3]Raw material  (3)'!NWI653:NXA3729,3,0),"")</f>
        <v/>
      </c>
      <c r="NWK671" t="str">
        <f>IFERROR(VLOOKUP(NWL671,'[3]Raw material  (3)'!NWJ653:NXB3729,3,0),"")</f>
        <v/>
      </c>
      <c r="NWL671" t="str">
        <f>IFERROR(VLOOKUP(NWM671,'[3]Raw material  (3)'!NWK653:NXC3729,3,0),"")</f>
        <v/>
      </c>
      <c r="NWM671" t="str">
        <f>IFERROR(VLOOKUP(NWN671,'[3]Raw material  (3)'!NWL653:NXD3729,3,0),"")</f>
        <v/>
      </c>
      <c r="NWN671" t="str">
        <f>IFERROR(VLOOKUP(NWO671,'[3]Raw material  (3)'!NWM653:NXE3729,3,0),"")</f>
        <v/>
      </c>
      <c r="NWO671" t="str">
        <f>IFERROR(VLOOKUP(NWP671,'[3]Raw material  (3)'!NWN653:NXF3729,3,0),"")</f>
        <v/>
      </c>
      <c r="NWP671" t="str">
        <f>IFERROR(VLOOKUP(NWQ671,'[3]Raw material  (3)'!NWO653:NXG3729,3,0),"")</f>
        <v/>
      </c>
      <c r="NWQ671" t="str">
        <f>IFERROR(VLOOKUP(NWR671,'[3]Raw material  (3)'!NWP653:NXH3729,3,0),"")</f>
        <v/>
      </c>
      <c r="NWR671" t="str">
        <f>IFERROR(VLOOKUP(NWS671,'[3]Raw material  (3)'!NWQ653:NXI3729,3,0),"")</f>
        <v/>
      </c>
      <c r="NWS671" t="str">
        <f>IFERROR(VLOOKUP(NWT671,'[3]Raw material  (3)'!NWR653:NXJ3729,3,0),"")</f>
        <v/>
      </c>
      <c r="NWT671" t="str">
        <f>IFERROR(VLOOKUP(NWU671,'[3]Raw material  (3)'!NWS653:NXK3729,3,0),"")</f>
        <v/>
      </c>
      <c r="NWU671" t="str">
        <f>IFERROR(VLOOKUP(NWV671,'[3]Raw material  (3)'!NWT653:NXL3729,3,0),"")</f>
        <v/>
      </c>
      <c r="NWV671" t="str">
        <f>IFERROR(VLOOKUP(NWW671,'[3]Raw material  (3)'!NWU653:NXM3729,3,0),"")</f>
        <v/>
      </c>
      <c r="NWW671" t="str">
        <f>IFERROR(VLOOKUP(NWX671,'[3]Raw material  (3)'!NWV653:NXN3729,3,0),"")</f>
        <v/>
      </c>
      <c r="NWX671" t="str">
        <f>IFERROR(VLOOKUP(NWY671,'[3]Raw material  (3)'!NWW653:NXO3729,3,0),"")</f>
        <v/>
      </c>
      <c r="NWY671" t="str">
        <f>IFERROR(VLOOKUP(NWZ671,'[3]Raw material  (3)'!NWX653:NXP3729,3,0),"")</f>
        <v/>
      </c>
      <c r="NWZ671" t="str">
        <f>IFERROR(VLOOKUP(NXA671,'[3]Raw material  (3)'!NWY653:NXQ3729,3,0),"")</f>
        <v/>
      </c>
      <c r="NXA671" t="str">
        <f>IFERROR(VLOOKUP(NXB671,'[3]Raw material  (3)'!NWZ653:NXR3729,3,0),"")</f>
        <v/>
      </c>
      <c r="NXB671" t="str">
        <f>IFERROR(VLOOKUP(NXC671,'[3]Raw material  (3)'!NXA653:NXS3729,3,0),"")</f>
        <v/>
      </c>
      <c r="NXC671" t="str">
        <f>IFERROR(VLOOKUP(NXD671,'[3]Raw material  (3)'!NXB653:NXT3729,3,0),"")</f>
        <v/>
      </c>
      <c r="NXD671" t="str">
        <f>IFERROR(VLOOKUP(NXE671,'[3]Raw material  (3)'!NXC653:NXU3729,3,0),"")</f>
        <v/>
      </c>
      <c r="NXE671" t="str">
        <f>IFERROR(VLOOKUP(NXF671,'[3]Raw material  (3)'!NXD653:NXV3729,3,0),"")</f>
        <v/>
      </c>
      <c r="NXF671" t="str">
        <f>IFERROR(VLOOKUP(NXG671,'[3]Raw material  (3)'!NXE653:NXW3729,3,0),"")</f>
        <v/>
      </c>
      <c r="NXG671" t="str">
        <f>IFERROR(VLOOKUP(NXH671,'[3]Raw material  (3)'!NXF653:NXX3729,3,0),"")</f>
        <v/>
      </c>
      <c r="NXH671" t="str">
        <f>IFERROR(VLOOKUP(NXI671,'[3]Raw material  (3)'!NXG653:NXY3729,3,0),"")</f>
        <v/>
      </c>
      <c r="NXI671" t="str">
        <f>IFERROR(VLOOKUP(NXJ671,'[3]Raw material  (3)'!NXH653:NXZ3729,3,0),"")</f>
        <v/>
      </c>
      <c r="NXJ671" t="str">
        <f>IFERROR(VLOOKUP(NXK671,'[3]Raw material  (3)'!NXI653:NYA3729,3,0),"")</f>
        <v/>
      </c>
      <c r="NXK671" t="str">
        <f>IFERROR(VLOOKUP(NXL671,'[3]Raw material  (3)'!NXJ653:NYB3729,3,0),"")</f>
        <v/>
      </c>
      <c r="NXL671" t="str">
        <f>IFERROR(VLOOKUP(NXM671,'[3]Raw material  (3)'!NXK653:NYC3729,3,0),"")</f>
        <v/>
      </c>
      <c r="NXM671" t="str">
        <f>IFERROR(VLOOKUP(NXN671,'[3]Raw material  (3)'!NXL653:NYD3729,3,0),"")</f>
        <v/>
      </c>
      <c r="NXN671" t="str">
        <f>IFERROR(VLOOKUP(NXO671,'[3]Raw material  (3)'!NXM653:NYE3729,3,0),"")</f>
        <v/>
      </c>
      <c r="NXO671" t="str">
        <f>IFERROR(VLOOKUP(NXP671,'[3]Raw material  (3)'!NXN653:NYF3729,3,0),"")</f>
        <v/>
      </c>
      <c r="NXP671" t="str">
        <f>IFERROR(VLOOKUP(NXQ671,'[3]Raw material  (3)'!NXO653:NYG3729,3,0),"")</f>
        <v/>
      </c>
      <c r="NXQ671" t="str">
        <f>IFERROR(VLOOKUP(NXR671,'[3]Raw material  (3)'!NXP653:NYH3729,3,0),"")</f>
        <v/>
      </c>
      <c r="NXR671" t="str">
        <f>IFERROR(VLOOKUP(NXS671,'[3]Raw material  (3)'!NXQ653:NYI3729,3,0),"")</f>
        <v/>
      </c>
      <c r="NXS671" t="str">
        <f>IFERROR(VLOOKUP(NXT671,'[3]Raw material  (3)'!NXR653:NYJ3729,3,0),"")</f>
        <v/>
      </c>
      <c r="NXT671" t="str">
        <f>IFERROR(VLOOKUP(NXU671,'[3]Raw material  (3)'!NXS653:NYK3729,3,0),"")</f>
        <v/>
      </c>
      <c r="NXU671" t="str">
        <f>IFERROR(VLOOKUP(NXV671,'[3]Raw material  (3)'!NXT653:NYL3729,3,0),"")</f>
        <v/>
      </c>
      <c r="NXV671" t="str">
        <f>IFERROR(VLOOKUP(NXW671,'[3]Raw material  (3)'!NXU653:NYM3729,3,0),"")</f>
        <v/>
      </c>
      <c r="NXW671" t="str">
        <f>IFERROR(VLOOKUP(NXX671,'[3]Raw material  (3)'!NXV653:NYN3729,3,0),"")</f>
        <v/>
      </c>
      <c r="NXX671" t="str">
        <f>IFERROR(VLOOKUP(NXY671,'[3]Raw material  (3)'!NXW653:NYO3729,3,0),"")</f>
        <v/>
      </c>
      <c r="NXY671" t="str">
        <f>IFERROR(VLOOKUP(NXZ671,'[3]Raw material  (3)'!NXX653:NYP3729,3,0),"")</f>
        <v/>
      </c>
      <c r="NXZ671" t="str">
        <f>IFERROR(VLOOKUP(NYA671,'[3]Raw material  (3)'!NXY653:NYQ3729,3,0),"")</f>
        <v/>
      </c>
      <c r="NYA671" t="str">
        <f>IFERROR(VLOOKUP(NYB671,'[3]Raw material  (3)'!NXZ653:NYR3729,3,0),"")</f>
        <v/>
      </c>
      <c r="NYB671" t="str">
        <f>IFERROR(VLOOKUP(NYC671,'[3]Raw material  (3)'!NYA653:NYS3729,3,0),"")</f>
        <v/>
      </c>
      <c r="NYC671" t="str">
        <f>IFERROR(VLOOKUP(NYD671,'[3]Raw material  (3)'!NYB653:NYT3729,3,0),"")</f>
        <v/>
      </c>
      <c r="NYD671" t="str">
        <f>IFERROR(VLOOKUP(NYE671,'[3]Raw material  (3)'!NYC653:NYU3729,3,0),"")</f>
        <v/>
      </c>
      <c r="NYE671" t="str">
        <f>IFERROR(VLOOKUP(NYF671,'[3]Raw material  (3)'!NYD653:NYV3729,3,0),"")</f>
        <v/>
      </c>
      <c r="NYF671" t="str">
        <f>IFERROR(VLOOKUP(NYG671,'[3]Raw material  (3)'!NYE653:NYW3729,3,0),"")</f>
        <v/>
      </c>
      <c r="NYG671" t="str">
        <f>IFERROR(VLOOKUP(NYH671,'[3]Raw material  (3)'!NYF653:NYX3729,3,0),"")</f>
        <v/>
      </c>
      <c r="NYH671" t="str">
        <f>IFERROR(VLOOKUP(NYI671,'[3]Raw material  (3)'!NYG653:NYY3729,3,0),"")</f>
        <v/>
      </c>
      <c r="NYI671" t="str">
        <f>IFERROR(VLOOKUP(NYJ671,'[3]Raw material  (3)'!NYH653:NYZ3729,3,0),"")</f>
        <v/>
      </c>
      <c r="NYJ671" t="str">
        <f>IFERROR(VLOOKUP(NYK671,'[3]Raw material  (3)'!NYI653:NZA3729,3,0),"")</f>
        <v/>
      </c>
      <c r="NYK671" t="str">
        <f>IFERROR(VLOOKUP(NYL671,'[3]Raw material  (3)'!NYJ653:NZB3729,3,0),"")</f>
        <v/>
      </c>
      <c r="NYL671" t="str">
        <f>IFERROR(VLOOKUP(NYM671,'[3]Raw material  (3)'!NYK653:NZC3729,3,0),"")</f>
        <v/>
      </c>
      <c r="NYM671" t="str">
        <f>IFERROR(VLOOKUP(NYN671,'[3]Raw material  (3)'!NYL653:NZD3729,3,0),"")</f>
        <v/>
      </c>
      <c r="NYN671" t="str">
        <f>IFERROR(VLOOKUP(NYO671,'[3]Raw material  (3)'!NYM653:NZE3729,3,0),"")</f>
        <v/>
      </c>
      <c r="NYO671" t="str">
        <f>IFERROR(VLOOKUP(NYP671,'[3]Raw material  (3)'!NYN653:NZF3729,3,0),"")</f>
        <v/>
      </c>
      <c r="NYP671" t="str">
        <f>IFERROR(VLOOKUP(NYQ671,'[3]Raw material  (3)'!NYO653:NZG3729,3,0),"")</f>
        <v/>
      </c>
      <c r="NYQ671" t="str">
        <f>IFERROR(VLOOKUP(NYR671,'[3]Raw material  (3)'!NYP653:NZH3729,3,0),"")</f>
        <v/>
      </c>
      <c r="NYR671" t="str">
        <f>IFERROR(VLOOKUP(NYS671,'[3]Raw material  (3)'!NYQ653:NZI3729,3,0),"")</f>
        <v/>
      </c>
      <c r="NYS671" t="str">
        <f>IFERROR(VLOOKUP(NYT671,'[3]Raw material  (3)'!NYR653:NZJ3729,3,0),"")</f>
        <v/>
      </c>
      <c r="NYT671" t="str">
        <f>IFERROR(VLOOKUP(NYU671,'[3]Raw material  (3)'!NYS653:NZK3729,3,0),"")</f>
        <v/>
      </c>
      <c r="NYU671" t="str">
        <f>IFERROR(VLOOKUP(NYV671,'[3]Raw material  (3)'!NYT653:NZL3729,3,0),"")</f>
        <v/>
      </c>
      <c r="NYV671" t="str">
        <f>IFERROR(VLOOKUP(NYW671,'[3]Raw material  (3)'!NYU653:NZM3729,3,0),"")</f>
        <v/>
      </c>
      <c r="NYW671" t="str">
        <f>IFERROR(VLOOKUP(NYX671,'[3]Raw material  (3)'!NYV653:NZN3729,3,0),"")</f>
        <v/>
      </c>
      <c r="NYX671" t="str">
        <f>IFERROR(VLOOKUP(NYY671,'[3]Raw material  (3)'!NYW653:NZO3729,3,0),"")</f>
        <v/>
      </c>
      <c r="NYY671" t="str">
        <f>IFERROR(VLOOKUP(NYZ671,'[3]Raw material  (3)'!NYX653:NZP3729,3,0),"")</f>
        <v/>
      </c>
      <c r="NYZ671" t="str">
        <f>IFERROR(VLOOKUP(NZA671,'[3]Raw material  (3)'!NYY653:NZQ3729,3,0),"")</f>
        <v/>
      </c>
      <c r="NZA671" t="str">
        <f>IFERROR(VLOOKUP(NZB671,'[3]Raw material  (3)'!NYZ653:NZR3729,3,0),"")</f>
        <v/>
      </c>
      <c r="NZB671" t="str">
        <f>IFERROR(VLOOKUP(NZC671,'[3]Raw material  (3)'!NZA653:NZS3729,3,0),"")</f>
        <v/>
      </c>
      <c r="NZC671" t="str">
        <f>IFERROR(VLOOKUP(NZD671,'[3]Raw material  (3)'!NZB653:NZT3729,3,0),"")</f>
        <v/>
      </c>
      <c r="NZD671" t="str">
        <f>IFERROR(VLOOKUP(NZE671,'[3]Raw material  (3)'!NZC653:NZU3729,3,0),"")</f>
        <v/>
      </c>
      <c r="NZE671" t="str">
        <f>IFERROR(VLOOKUP(NZF671,'[3]Raw material  (3)'!NZD653:NZV3729,3,0),"")</f>
        <v/>
      </c>
      <c r="NZF671" t="str">
        <f>IFERROR(VLOOKUP(NZG671,'[3]Raw material  (3)'!NZE653:NZW3729,3,0),"")</f>
        <v/>
      </c>
      <c r="NZG671" t="str">
        <f>IFERROR(VLOOKUP(NZH671,'[3]Raw material  (3)'!NZF653:NZX3729,3,0),"")</f>
        <v/>
      </c>
      <c r="NZH671" t="str">
        <f>IFERROR(VLOOKUP(NZI671,'[3]Raw material  (3)'!NZG653:NZY3729,3,0),"")</f>
        <v/>
      </c>
      <c r="NZI671" t="str">
        <f>IFERROR(VLOOKUP(NZJ671,'[3]Raw material  (3)'!NZH653:NZZ3729,3,0),"")</f>
        <v/>
      </c>
      <c r="NZJ671" t="str">
        <f>IFERROR(VLOOKUP(NZK671,'[3]Raw material  (3)'!NZI653:OAA3729,3,0),"")</f>
        <v/>
      </c>
      <c r="NZK671" t="str">
        <f>IFERROR(VLOOKUP(NZL671,'[3]Raw material  (3)'!NZJ653:OAB3729,3,0),"")</f>
        <v/>
      </c>
      <c r="NZL671" t="str">
        <f>IFERROR(VLOOKUP(NZM671,'[3]Raw material  (3)'!NZK653:OAC3729,3,0),"")</f>
        <v/>
      </c>
      <c r="NZM671" t="str">
        <f>IFERROR(VLOOKUP(NZN671,'[3]Raw material  (3)'!NZL653:OAD3729,3,0),"")</f>
        <v/>
      </c>
      <c r="NZN671" t="str">
        <f>IFERROR(VLOOKUP(NZO671,'[3]Raw material  (3)'!NZM653:OAE3729,3,0),"")</f>
        <v/>
      </c>
      <c r="NZO671" t="str">
        <f>IFERROR(VLOOKUP(NZP671,'[3]Raw material  (3)'!NZN653:OAF3729,3,0),"")</f>
        <v/>
      </c>
      <c r="NZP671" t="str">
        <f>IFERROR(VLOOKUP(NZQ671,'[3]Raw material  (3)'!NZO653:OAG3729,3,0),"")</f>
        <v/>
      </c>
      <c r="NZQ671" t="str">
        <f>IFERROR(VLOOKUP(NZR671,'[3]Raw material  (3)'!NZP653:OAH3729,3,0),"")</f>
        <v/>
      </c>
      <c r="NZR671" t="str">
        <f>IFERROR(VLOOKUP(NZS671,'[3]Raw material  (3)'!NZQ653:OAI3729,3,0),"")</f>
        <v/>
      </c>
      <c r="NZS671" t="str">
        <f>IFERROR(VLOOKUP(NZT671,'[3]Raw material  (3)'!NZR653:OAJ3729,3,0),"")</f>
        <v/>
      </c>
      <c r="NZT671" t="str">
        <f>IFERROR(VLOOKUP(NZU671,'[3]Raw material  (3)'!NZS653:OAK3729,3,0),"")</f>
        <v/>
      </c>
      <c r="NZU671" t="str">
        <f>IFERROR(VLOOKUP(NZV671,'[3]Raw material  (3)'!NZT653:OAL3729,3,0),"")</f>
        <v/>
      </c>
      <c r="NZV671" t="str">
        <f>IFERROR(VLOOKUP(NZW671,'[3]Raw material  (3)'!NZU653:OAM3729,3,0),"")</f>
        <v/>
      </c>
      <c r="NZW671" t="str">
        <f>IFERROR(VLOOKUP(NZX671,'[3]Raw material  (3)'!NZV653:OAN3729,3,0),"")</f>
        <v/>
      </c>
      <c r="NZX671" t="str">
        <f>IFERROR(VLOOKUP(NZY671,'[3]Raw material  (3)'!NZW653:OAO3729,3,0),"")</f>
        <v/>
      </c>
      <c r="NZY671" t="str">
        <f>IFERROR(VLOOKUP(NZZ671,'[3]Raw material  (3)'!NZX653:OAP3729,3,0),"")</f>
        <v/>
      </c>
      <c r="NZZ671" t="str">
        <f>IFERROR(VLOOKUP(OAA671,'[3]Raw material  (3)'!NZY653:OAQ3729,3,0),"")</f>
        <v/>
      </c>
      <c r="OAA671" t="str">
        <f>IFERROR(VLOOKUP(OAB671,'[3]Raw material  (3)'!NZZ653:OAR3729,3,0),"")</f>
        <v/>
      </c>
      <c r="OAB671" t="str">
        <f>IFERROR(VLOOKUP(OAC671,'[3]Raw material  (3)'!OAA653:OAS3729,3,0),"")</f>
        <v/>
      </c>
      <c r="OAC671" t="str">
        <f>IFERROR(VLOOKUP(OAD671,'[3]Raw material  (3)'!OAB653:OAT3729,3,0),"")</f>
        <v/>
      </c>
      <c r="OAD671" t="str">
        <f>IFERROR(VLOOKUP(OAE671,'[3]Raw material  (3)'!OAC653:OAU3729,3,0),"")</f>
        <v/>
      </c>
      <c r="OAE671" t="str">
        <f>IFERROR(VLOOKUP(OAF671,'[3]Raw material  (3)'!OAD653:OAV3729,3,0),"")</f>
        <v/>
      </c>
      <c r="OAF671" t="str">
        <f>IFERROR(VLOOKUP(OAG671,'[3]Raw material  (3)'!OAE653:OAW3729,3,0),"")</f>
        <v/>
      </c>
      <c r="OAG671" t="str">
        <f>IFERROR(VLOOKUP(OAH671,'[3]Raw material  (3)'!OAF653:OAX3729,3,0),"")</f>
        <v/>
      </c>
      <c r="OAH671" t="str">
        <f>IFERROR(VLOOKUP(OAI671,'[3]Raw material  (3)'!OAG653:OAY3729,3,0),"")</f>
        <v/>
      </c>
      <c r="OAI671" t="str">
        <f>IFERROR(VLOOKUP(OAJ671,'[3]Raw material  (3)'!OAH653:OAZ3729,3,0),"")</f>
        <v/>
      </c>
      <c r="OAJ671" t="str">
        <f>IFERROR(VLOOKUP(OAK671,'[3]Raw material  (3)'!OAI653:OBA3729,3,0),"")</f>
        <v/>
      </c>
      <c r="OAK671" t="str">
        <f>IFERROR(VLOOKUP(OAL671,'[3]Raw material  (3)'!OAJ653:OBB3729,3,0),"")</f>
        <v/>
      </c>
      <c r="OAL671" t="str">
        <f>IFERROR(VLOOKUP(OAM671,'[3]Raw material  (3)'!OAK653:OBC3729,3,0),"")</f>
        <v/>
      </c>
      <c r="OAM671" t="str">
        <f>IFERROR(VLOOKUP(OAN671,'[3]Raw material  (3)'!OAL653:OBD3729,3,0),"")</f>
        <v/>
      </c>
      <c r="OAN671" t="str">
        <f>IFERROR(VLOOKUP(OAO671,'[3]Raw material  (3)'!OAM653:OBE3729,3,0),"")</f>
        <v/>
      </c>
      <c r="OAO671" t="str">
        <f>IFERROR(VLOOKUP(OAP671,'[3]Raw material  (3)'!OAN653:OBF3729,3,0),"")</f>
        <v/>
      </c>
      <c r="OAP671" t="str">
        <f>IFERROR(VLOOKUP(OAQ671,'[3]Raw material  (3)'!OAO653:OBG3729,3,0),"")</f>
        <v/>
      </c>
      <c r="OAQ671" t="str">
        <f>IFERROR(VLOOKUP(OAR671,'[3]Raw material  (3)'!OAP653:OBH3729,3,0),"")</f>
        <v/>
      </c>
      <c r="OAR671" t="str">
        <f>IFERROR(VLOOKUP(OAS671,'[3]Raw material  (3)'!OAQ653:OBI3729,3,0),"")</f>
        <v/>
      </c>
      <c r="OAS671" t="str">
        <f>IFERROR(VLOOKUP(OAT671,'[3]Raw material  (3)'!OAR653:OBJ3729,3,0),"")</f>
        <v/>
      </c>
      <c r="OAT671" t="str">
        <f>IFERROR(VLOOKUP(OAU671,'[3]Raw material  (3)'!OAS653:OBK3729,3,0),"")</f>
        <v/>
      </c>
      <c r="OAU671" t="str">
        <f>IFERROR(VLOOKUP(OAV671,'[3]Raw material  (3)'!OAT653:OBL3729,3,0),"")</f>
        <v/>
      </c>
      <c r="OAV671" t="str">
        <f>IFERROR(VLOOKUP(OAW671,'[3]Raw material  (3)'!OAU653:OBM3729,3,0),"")</f>
        <v/>
      </c>
      <c r="OAW671" t="str">
        <f>IFERROR(VLOOKUP(OAX671,'[3]Raw material  (3)'!OAV653:OBN3729,3,0),"")</f>
        <v/>
      </c>
      <c r="OAX671" t="str">
        <f>IFERROR(VLOOKUP(OAY671,'[3]Raw material  (3)'!OAW653:OBO3729,3,0),"")</f>
        <v/>
      </c>
      <c r="OAY671" t="str">
        <f>IFERROR(VLOOKUP(OAZ671,'[3]Raw material  (3)'!OAX653:OBP3729,3,0),"")</f>
        <v/>
      </c>
      <c r="OAZ671" t="str">
        <f>IFERROR(VLOOKUP(OBA671,'[3]Raw material  (3)'!OAY653:OBQ3729,3,0),"")</f>
        <v/>
      </c>
      <c r="OBA671" t="str">
        <f>IFERROR(VLOOKUP(OBB671,'[3]Raw material  (3)'!OAZ653:OBR3729,3,0),"")</f>
        <v/>
      </c>
      <c r="OBB671" t="str">
        <f>IFERROR(VLOOKUP(OBC671,'[3]Raw material  (3)'!OBA653:OBS3729,3,0),"")</f>
        <v/>
      </c>
      <c r="OBC671" t="str">
        <f>IFERROR(VLOOKUP(OBD671,'[3]Raw material  (3)'!OBB653:OBT3729,3,0),"")</f>
        <v/>
      </c>
      <c r="OBD671" t="str">
        <f>IFERROR(VLOOKUP(OBE671,'[3]Raw material  (3)'!OBC653:OBU3729,3,0),"")</f>
        <v/>
      </c>
      <c r="OBE671" t="str">
        <f>IFERROR(VLOOKUP(OBF671,'[3]Raw material  (3)'!OBD653:OBV3729,3,0),"")</f>
        <v/>
      </c>
      <c r="OBF671" t="str">
        <f>IFERROR(VLOOKUP(OBG671,'[3]Raw material  (3)'!OBE653:OBW3729,3,0),"")</f>
        <v/>
      </c>
      <c r="OBG671" t="str">
        <f>IFERROR(VLOOKUP(OBH671,'[3]Raw material  (3)'!OBF653:OBX3729,3,0),"")</f>
        <v/>
      </c>
      <c r="OBH671" t="str">
        <f>IFERROR(VLOOKUP(OBI671,'[3]Raw material  (3)'!OBG653:OBY3729,3,0),"")</f>
        <v/>
      </c>
      <c r="OBI671" t="str">
        <f>IFERROR(VLOOKUP(OBJ671,'[3]Raw material  (3)'!OBH653:OBZ3729,3,0),"")</f>
        <v/>
      </c>
      <c r="OBJ671" t="str">
        <f>IFERROR(VLOOKUP(OBK671,'[3]Raw material  (3)'!OBI653:OCA3729,3,0),"")</f>
        <v/>
      </c>
      <c r="OBK671" t="str">
        <f>IFERROR(VLOOKUP(OBL671,'[3]Raw material  (3)'!OBJ653:OCB3729,3,0),"")</f>
        <v/>
      </c>
      <c r="OBL671" t="str">
        <f>IFERROR(VLOOKUP(OBM671,'[3]Raw material  (3)'!OBK653:OCC3729,3,0),"")</f>
        <v/>
      </c>
      <c r="OBM671" t="str">
        <f>IFERROR(VLOOKUP(OBN671,'[3]Raw material  (3)'!OBL653:OCD3729,3,0),"")</f>
        <v/>
      </c>
      <c r="OBN671" t="str">
        <f>IFERROR(VLOOKUP(OBO671,'[3]Raw material  (3)'!OBM653:OCE3729,3,0),"")</f>
        <v/>
      </c>
      <c r="OBO671" t="str">
        <f>IFERROR(VLOOKUP(OBP671,'[3]Raw material  (3)'!OBN653:OCF3729,3,0),"")</f>
        <v/>
      </c>
      <c r="OBP671" t="str">
        <f>IFERROR(VLOOKUP(OBQ671,'[3]Raw material  (3)'!OBO653:OCG3729,3,0),"")</f>
        <v/>
      </c>
      <c r="OBQ671" t="str">
        <f>IFERROR(VLOOKUP(OBR671,'[3]Raw material  (3)'!OBP653:OCH3729,3,0),"")</f>
        <v/>
      </c>
      <c r="OBR671" t="str">
        <f>IFERROR(VLOOKUP(OBS671,'[3]Raw material  (3)'!OBQ653:OCI3729,3,0),"")</f>
        <v/>
      </c>
      <c r="OBS671" t="str">
        <f>IFERROR(VLOOKUP(OBT671,'[3]Raw material  (3)'!OBR653:OCJ3729,3,0),"")</f>
        <v/>
      </c>
      <c r="OBT671" t="str">
        <f>IFERROR(VLOOKUP(OBU671,'[3]Raw material  (3)'!OBS653:OCK3729,3,0),"")</f>
        <v/>
      </c>
      <c r="OBU671" t="str">
        <f>IFERROR(VLOOKUP(OBV671,'[3]Raw material  (3)'!OBT653:OCL3729,3,0),"")</f>
        <v/>
      </c>
      <c r="OBV671" t="str">
        <f>IFERROR(VLOOKUP(OBW671,'[3]Raw material  (3)'!OBU653:OCM3729,3,0),"")</f>
        <v/>
      </c>
      <c r="OBW671" t="str">
        <f>IFERROR(VLOOKUP(OBX671,'[3]Raw material  (3)'!OBV653:OCN3729,3,0),"")</f>
        <v/>
      </c>
      <c r="OBX671" t="str">
        <f>IFERROR(VLOOKUP(OBY671,'[3]Raw material  (3)'!OBW653:OCO3729,3,0),"")</f>
        <v/>
      </c>
      <c r="OBY671" t="str">
        <f>IFERROR(VLOOKUP(OBZ671,'[3]Raw material  (3)'!OBX653:OCP3729,3,0),"")</f>
        <v/>
      </c>
      <c r="OBZ671" t="str">
        <f>IFERROR(VLOOKUP(OCA671,'[3]Raw material  (3)'!OBY653:OCQ3729,3,0),"")</f>
        <v/>
      </c>
      <c r="OCA671" t="str">
        <f>IFERROR(VLOOKUP(OCB671,'[3]Raw material  (3)'!OBZ653:OCR3729,3,0),"")</f>
        <v/>
      </c>
      <c r="OCB671" t="str">
        <f>IFERROR(VLOOKUP(OCC671,'[3]Raw material  (3)'!OCA653:OCS3729,3,0),"")</f>
        <v/>
      </c>
      <c r="OCC671" t="str">
        <f>IFERROR(VLOOKUP(OCD671,'[3]Raw material  (3)'!OCB653:OCT3729,3,0),"")</f>
        <v/>
      </c>
      <c r="OCD671" t="str">
        <f>IFERROR(VLOOKUP(OCE671,'[3]Raw material  (3)'!OCC653:OCU3729,3,0),"")</f>
        <v/>
      </c>
      <c r="OCE671" t="str">
        <f>IFERROR(VLOOKUP(OCF671,'[3]Raw material  (3)'!OCD653:OCV3729,3,0),"")</f>
        <v/>
      </c>
      <c r="OCF671" t="str">
        <f>IFERROR(VLOOKUP(OCG671,'[3]Raw material  (3)'!OCE653:OCW3729,3,0),"")</f>
        <v/>
      </c>
      <c r="OCG671" t="str">
        <f>IFERROR(VLOOKUP(OCH671,'[3]Raw material  (3)'!OCF653:OCX3729,3,0),"")</f>
        <v/>
      </c>
      <c r="OCH671" t="str">
        <f>IFERROR(VLOOKUP(OCI671,'[3]Raw material  (3)'!OCG653:OCY3729,3,0),"")</f>
        <v/>
      </c>
      <c r="OCI671" t="str">
        <f>IFERROR(VLOOKUP(OCJ671,'[3]Raw material  (3)'!OCH653:OCZ3729,3,0),"")</f>
        <v/>
      </c>
      <c r="OCJ671" t="str">
        <f>IFERROR(VLOOKUP(OCK671,'[3]Raw material  (3)'!OCI653:ODA3729,3,0),"")</f>
        <v/>
      </c>
      <c r="OCK671" t="str">
        <f>IFERROR(VLOOKUP(OCL671,'[3]Raw material  (3)'!OCJ653:ODB3729,3,0),"")</f>
        <v/>
      </c>
      <c r="OCL671" t="str">
        <f>IFERROR(VLOOKUP(OCM671,'[3]Raw material  (3)'!OCK653:ODC3729,3,0),"")</f>
        <v/>
      </c>
      <c r="OCM671" t="str">
        <f>IFERROR(VLOOKUP(OCN671,'[3]Raw material  (3)'!OCL653:ODD3729,3,0),"")</f>
        <v/>
      </c>
      <c r="OCN671" t="str">
        <f>IFERROR(VLOOKUP(OCO671,'[3]Raw material  (3)'!OCM653:ODE3729,3,0),"")</f>
        <v/>
      </c>
      <c r="OCO671" t="str">
        <f>IFERROR(VLOOKUP(OCP671,'[3]Raw material  (3)'!OCN653:ODF3729,3,0),"")</f>
        <v/>
      </c>
      <c r="OCP671" t="str">
        <f>IFERROR(VLOOKUP(OCQ671,'[3]Raw material  (3)'!OCO653:ODG3729,3,0),"")</f>
        <v/>
      </c>
      <c r="OCQ671" t="str">
        <f>IFERROR(VLOOKUP(OCR671,'[3]Raw material  (3)'!OCP653:ODH3729,3,0),"")</f>
        <v/>
      </c>
      <c r="OCR671" t="str">
        <f>IFERROR(VLOOKUP(OCS671,'[3]Raw material  (3)'!OCQ653:ODI3729,3,0),"")</f>
        <v/>
      </c>
      <c r="OCS671" t="str">
        <f>IFERROR(VLOOKUP(OCT671,'[3]Raw material  (3)'!OCR653:ODJ3729,3,0),"")</f>
        <v/>
      </c>
      <c r="OCT671" t="str">
        <f>IFERROR(VLOOKUP(OCU671,'[3]Raw material  (3)'!OCS653:ODK3729,3,0),"")</f>
        <v/>
      </c>
      <c r="OCU671" t="str">
        <f>IFERROR(VLOOKUP(OCV671,'[3]Raw material  (3)'!OCT653:ODL3729,3,0),"")</f>
        <v/>
      </c>
      <c r="OCV671" t="str">
        <f>IFERROR(VLOOKUP(OCW671,'[3]Raw material  (3)'!OCU653:ODM3729,3,0),"")</f>
        <v/>
      </c>
      <c r="OCW671" t="str">
        <f>IFERROR(VLOOKUP(OCX671,'[3]Raw material  (3)'!OCV653:ODN3729,3,0),"")</f>
        <v/>
      </c>
      <c r="OCX671" t="str">
        <f>IFERROR(VLOOKUP(OCY671,'[3]Raw material  (3)'!OCW653:ODO3729,3,0),"")</f>
        <v/>
      </c>
      <c r="OCY671" t="str">
        <f>IFERROR(VLOOKUP(OCZ671,'[3]Raw material  (3)'!OCX653:ODP3729,3,0),"")</f>
        <v/>
      </c>
      <c r="OCZ671" t="str">
        <f>IFERROR(VLOOKUP(ODA671,'[3]Raw material  (3)'!OCY653:ODQ3729,3,0),"")</f>
        <v/>
      </c>
      <c r="ODA671" t="str">
        <f>IFERROR(VLOOKUP(ODB671,'[3]Raw material  (3)'!OCZ653:ODR3729,3,0),"")</f>
        <v/>
      </c>
      <c r="ODB671" t="str">
        <f>IFERROR(VLOOKUP(ODC671,'[3]Raw material  (3)'!ODA653:ODS3729,3,0),"")</f>
        <v/>
      </c>
      <c r="ODC671" t="str">
        <f>IFERROR(VLOOKUP(ODD671,'[3]Raw material  (3)'!ODB653:ODT3729,3,0),"")</f>
        <v/>
      </c>
      <c r="ODD671" t="str">
        <f>IFERROR(VLOOKUP(ODE671,'[3]Raw material  (3)'!ODC653:ODU3729,3,0),"")</f>
        <v/>
      </c>
      <c r="ODE671" t="str">
        <f>IFERROR(VLOOKUP(ODF671,'[3]Raw material  (3)'!ODD653:ODV3729,3,0),"")</f>
        <v/>
      </c>
      <c r="ODF671" t="str">
        <f>IFERROR(VLOOKUP(ODG671,'[3]Raw material  (3)'!ODE653:ODW3729,3,0),"")</f>
        <v/>
      </c>
      <c r="ODG671" t="str">
        <f>IFERROR(VLOOKUP(ODH671,'[3]Raw material  (3)'!ODF653:ODX3729,3,0),"")</f>
        <v/>
      </c>
      <c r="ODH671" t="str">
        <f>IFERROR(VLOOKUP(ODI671,'[3]Raw material  (3)'!ODG653:ODY3729,3,0),"")</f>
        <v/>
      </c>
      <c r="ODI671" t="str">
        <f>IFERROR(VLOOKUP(ODJ671,'[3]Raw material  (3)'!ODH653:ODZ3729,3,0),"")</f>
        <v/>
      </c>
      <c r="ODJ671" t="str">
        <f>IFERROR(VLOOKUP(ODK671,'[3]Raw material  (3)'!ODI653:OEA3729,3,0),"")</f>
        <v/>
      </c>
      <c r="ODK671" t="str">
        <f>IFERROR(VLOOKUP(ODL671,'[3]Raw material  (3)'!ODJ653:OEB3729,3,0),"")</f>
        <v/>
      </c>
      <c r="ODL671" t="str">
        <f>IFERROR(VLOOKUP(ODM671,'[3]Raw material  (3)'!ODK653:OEC3729,3,0),"")</f>
        <v/>
      </c>
      <c r="ODM671" t="str">
        <f>IFERROR(VLOOKUP(ODN671,'[3]Raw material  (3)'!ODL653:OED3729,3,0),"")</f>
        <v/>
      </c>
      <c r="ODN671" t="str">
        <f>IFERROR(VLOOKUP(ODO671,'[3]Raw material  (3)'!ODM653:OEE3729,3,0),"")</f>
        <v/>
      </c>
      <c r="ODO671" t="str">
        <f>IFERROR(VLOOKUP(ODP671,'[3]Raw material  (3)'!ODN653:OEF3729,3,0),"")</f>
        <v/>
      </c>
      <c r="ODP671" t="str">
        <f>IFERROR(VLOOKUP(ODQ671,'[3]Raw material  (3)'!ODO653:OEG3729,3,0),"")</f>
        <v/>
      </c>
      <c r="ODQ671" t="str">
        <f>IFERROR(VLOOKUP(ODR671,'[3]Raw material  (3)'!ODP653:OEH3729,3,0),"")</f>
        <v/>
      </c>
      <c r="ODR671" t="str">
        <f>IFERROR(VLOOKUP(ODS671,'[3]Raw material  (3)'!ODQ653:OEI3729,3,0),"")</f>
        <v/>
      </c>
      <c r="ODS671" t="str">
        <f>IFERROR(VLOOKUP(ODT671,'[3]Raw material  (3)'!ODR653:OEJ3729,3,0),"")</f>
        <v/>
      </c>
      <c r="ODT671" t="str">
        <f>IFERROR(VLOOKUP(ODU671,'[3]Raw material  (3)'!ODS653:OEK3729,3,0),"")</f>
        <v/>
      </c>
      <c r="ODU671" t="str">
        <f>IFERROR(VLOOKUP(ODV671,'[3]Raw material  (3)'!ODT653:OEL3729,3,0),"")</f>
        <v/>
      </c>
      <c r="ODV671" t="str">
        <f>IFERROR(VLOOKUP(ODW671,'[3]Raw material  (3)'!ODU653:OEM3729,3,0),"")</f>
        <v/>
      </c>
      <c r="ODW671" t="str">
        <f>IFERROR(VLOOKUP(ODX671,'[3]Raw material  (3)'!ODV653:OEN3729,3,0),"")</f>
        <v/>
      </c>
      <c r="ODX671" t="str">
        <f>IFERROR(VLOOKUP(ODY671,'[3]Raw material  (3)'!ODW653:OEO3729,3,0),"")</f>
        <v/>
      </c>
      <c r="ODY671" t="str">
        <f>IFERROR(VLOOKUP(ODZ671,'[3]Raw material  (3)'!ODX653:OEP3729,3,0),"")</f>
        <v/>
      </c>
      <c r="ODZ671" t="str">
        <f>IFERROR(VLOOKUP(OEA671,'[3]Raw material  (3)'!ODY653:OEQ3729,3,0),"")</f>
        <v/>
      </c>
      <c r="OEA671" t="str">
        <f>IFERROR(VLOOKUP(OEB671,'[3]Raw material  (3)'!ODZ653:OER3729,3,0),"")</f>
        <v/>
      </c>
      <c r="OEB671" t="str">
        <f>IFERROR(VLOOKUP(OEC671,'[3]Raw material  (3)'!OEA653:OES3729,3,0),"")</f>
        <v/>
      </c>
      <c r="OEC671" t="str">
        <f>IFERROR(VLOOKUP(OED671,'[3]Raw material  (3)'!OEB653:OET3729,3,0),"")</f>
        <v/>
      </c>
      <c r="OED671" t="str">
        <f>IFERROR(VLOOKUP(OEE671,'[3]Raw material  (3)'!OEC653:OEU3729,3,0),"")</f>
        <v/>
      </c>
      <c r="OEE671" t="str">
        <f>IFERROR(VLOOKUP(OEF671,'[3]Raw material  (3)'!OED653:OEV3729,3,0),"")</f>
        <v/>
      </c>
      <c r="OEF671" t="str">
        <f>IFERROR(VLOOKUP(OEG671,'[3]Raw material  (3)'!OEE653:OEW3729,3,0),"")</f>
        <v/>
      </c>
      <c r="OEG671" t="str">
        <f>IFERROR(VLOOKUP(OEH671,'[3]Raw material  (3)'!OEF653:OEX3729,3,0),"")</f>
        <v/>
      </c>
      <c r="OEH671" t="str">
        <f>IFERROR(VLOOKUP(OEI671,'[3]Raw material  (3)'!OEG653:OEY3729,3,0),"")</f>
        <v/>
      </c>
      <c r="OEI671" t="str">
        <f>IFERROR(VLOOKUP(OEJ671,'[3]Raw material  (3)'!OEH653:OEZ3729,3,0),"")</f>
        <v/>
      </c>
      <c r="OEJ671" t="str">
        <f>IFERROR(VLOOKUP(OEK671,'[3]Raw material  (3)'!OEI653:OFA3729,3,0),"")</f>
        <v/>
      </c>
      <c r="OEK671" t="str">
        <f>IFERROR(VLOOKUP(OEL671,'[3]Raw material  (3)'!OEJ653:OFB3729,3,0),"")</f>
        <v/>
      </c>
      <c r="OEL671" t="str">
        <f>IFERROR(VLOOKUP(OEM671,'[3]Raw material  (3)'!OEK653:OFC3729,3,0),"")</f>
        <v/>
      </c>
      <c r="OEM671" t="str">
        <f>IFERROR(VLOOKUP(OEN671,'[3]Raw material  (3)'!OEL653:OFD3729,3,0),"")</f>
        <v/>
      </c>
      <c r="OEN671" t="str">
        <f>IFERROR(VLOOKUP(OEO671,'[3]Raw material  (3)'!OEM653:OFE3729,3,0),"")</f>
        <v/>
      </c>
      <c r="OEO671" t="str">
        <f>IFERROR(VLOOKUP(OEP671,'[3]Raw material  (3)'!OEN653:OFF3729,3,0),"")</f>
        <v/>
      </c>
      <c r="OEP671" t="str">
        <f>IFERROR(VLOOKUP(OEQ671,'[3]Raw material  (3)'!OEO653:OFG3729,3,0),"")</f>
        <v/>
      </c>
      <c r="OEQ671" t="str">
        <f>IFERROR(VLOOKUP(OER671,'[3]Raw material  (3)'!OEP653:OFH3729,3,0),"")</f>
        <v/>
      </c>
      <c r="OER671" t="str">
        <f>IFERROR(VLOOKUP(OES671,'[3]Raw material  (3)'!OEQ653:OFI3729,3,0),"")</f>
        <v/>
      </c>
      <c r="OES671" t="str">
        <f>IFERROR(VLOOKUP(OET671,'[3]Raw material  (3)'!OER653:OFJ3729,3,0),"")</f>
        <v/>
      </c>
      <c r="OET671" t="str">
        <f>IFERROR(VLOOKUP(OEU671,'[3]Raw material  (3)'!OES653:OFK3729,3,0),"")</f>
        <v/>
      </c>
      <c r="OEU671" t="str">
        <f>IFERROR(VLOOKUP(OEV671,'[3]Raw material  (3)'!OET653:OFL3729,3,0),"")</f>
        <v/>
      </c>
      <c r="OEV671" t="str">
        <f>IFERROR(VLOOKUP(OEW671,'[3]Raw material  (3)'!OEU653:OFM3729,3,0),"")</f>
        <v/>
      </c>
      <c r="OEW671" t="str">
        <f>IFERROR(VLOOKUP(OEX671,'[3]Raw material  (3)'!OEV653:OFN3729,3,0),"")</f>
        <v/>
      </c>
      <c r="OEX671" t="str">
        <f>IFERROR(VLOOKUP(OEY671,'[3]Raw material  (3)'!OEW653:OFO3729,3,0),"")</f>
        <v/>
      </c>
      <c r="OEY671" t="str">
        <f>IFERROR(VLOOKUP(OEZ671,'[3]Raw material  (3)'!OEX653:OFP3729,3,0),"")</f>
        <v/>
      </c>
      <c r="OEZ671" t="str">
        <f>IFERROR(VLOOKUP(OFA671,'[3]Raw material  (3)'!OEY653:OFQ3729,3,0),"")</f>
        <v/>
      </c>
      <c r="OFA671" t="str">
        <f>IFERROR(VLOOKUP(OFB671,'[3]Raw material  (3)'!OEZ653:OFR3729,3,0),"")</f>
        <v/>
      </c>
      <c r="OFB671" t="str">
        <f>IFERROR(VLOOKUP(OFC671,'[3]Raw material  (3)'!OFA653:OFS3729,3,0),"")</f>
        <v/>
      </c>
      <c r="OFC671" t="str">
        <f>IFERROR(VLOOKUP(OFD671,'[3]Raw material  (3)'!OFB653:OFT3729,3,0),"")</f>
        <v/>
      </c>
      <c r="OFD671" t="str">
        <f>IFERROR(VLOOKUP(OFE671,'[3]Raw material  (3)'!OFC653:OFU3729,3,0),"")</f>
        <v/>
      </c>
      <c r="OFE671" t="str">
        <f>IFERROR(VLOOKUP(OFF671,'[3]Raw material  (3)'!OFD653:OFV3729,3,0),"")</f>
        <v/>
      </c>
      <c r="OFF671" t="str">
        <f>IFERROR(VLOOKUP(OFG671,'[3]Raw material  (3)'!OFE653:OFW3729,3,0),"")</f>
        <v/>
      </c>
      <c r="OFG671" t="str">
        <f>IFERROR(VLOOKUP(OFH671,'[3]Raw material  (3)'!OFF653:OFX3729,3,0),"")</f>
        <v/>
      </c>
      <c r="OFH671" t="str">
        <f>IFERROR(VLOOKUP(OFI671,'[3]Raw material  (3)'!OFG653:OFY3729,3,0),"")</f>
        <v/>
      </c>
      <c r="OFI671" t="str">
        <f>IFERROR(VLOOKUP(OFJ671,'[3]Raw material  (3)'!OFH653:OFZ3729,3,0),"")</f>
        <v/>
      </c>
      <c r="OFJ671" t="str">
        <f>IFERROR(VLOOKUP(OFK671,'[3]Raw material  (3)'!OFI653:OGA3729,3,0),"")</f>
        <v/>
      </c>
      <c r="OFK671" t="str">
        <f>IFERROR(VLOOKUP(OFL671,'[3]Raw material  (3)'!OFJ653:OGB3729,3,0),"")</f>
        <v/>
      </c>
      <c r="OFL671" t="str">
        <f>IFERROR(VLOOKUP(OFM671,'[3]Raw material  (3)'!OFK653:OGC3729,3,0),"")</f>
        <v/>
      </c>
      <c r="OFM671" t="str">
        <f>IFERROR(VLOOKUP(OFN671,'[3]Raw material  (3)'!OFL653:OGD3729,3,0),"")</f>
        <v/>
      </c>
      <c r="OFN671" t="str">
        <f>IFERROR(VLOOKUP(OFO671,'[3]Raw material  (3)'!OFM653:OGE3729,3,0),"")</f>
        <v/>
      </c>
      <c r="OFO671" t="str">
        <f>IFERROR(VLOOKUP(OFP671,'[3]Raw material  (3)'!OFN653:OGF3729,3,0),"")</f>
        <v/>
      </c>
      <c r="OFP671" t="str">
        <f>IFERROR(VLOOKUP(OFQ671,'[3]Raw material  (3)'!OFO653:OGG3729,3,0),"")</f>
        <v/>
      </c>
      <c r="OFQ671" t="str">
        <f>IFERROR(VLOOKUP(OFR671,'[3]Raw material  (3)'!OFP653:OGH3729,3,0),"")</f>
        <v/>
      </c>
      <c r="OFR671" t="str">
        <f>IFERROR(VLOOKUP(OFS671,'[3]Raw material  (3)'!OFQ653:OGI3729,3,0),"")</f>
        <v/>
      </c>
      <c r="OFS671" t="str">
        <f>IFERROR(VLOOKUP(OFT671,'[3]Raw material  (3)'!OFR653:OGJ3729,3,0),"")</f>
        <v/>
      </c>
      <c r="OFT671" t="str">
        <f>IFERROR(VLOOKUP(OFU671,'[3]Raw material  (3)'!OFS653:OGK3729,3,0),"")</f>
        <v/>
      </c>
      <c r="OFU671" t="str">
        <f>IFERROR(VLOOKUP(OFV671,'[3]Raw material  (3)'!OFT653:OGL3729,3,0),"")</f>
        <v/>
      </c>
      <c r="OFV671" t="str">
        <f>IFERROR(VLOOKUP(OFW671,'[3]Raw material  (3)'!OFU653:OGM3729,3,0),"")</f>
        <v/>
      </c>
      <c r="OFW671" t="str">
        <f>IFERROR(VLOOKUP(OFX671,'[3]Raw material  (3)'!OFV653:OGN3729,3,0),"")</f>
        <v/>
      </c>
      <c r="OFX671" t="str">
        <f>IFERROR(VLOOKUP(OFY671,'[3]Raw material  (3)'!OFW653:OGO3729,3,0),"")</f>
        <v/>
      </c>
      <c r="OFY671" t="str">
        <f>IFERROR(VLOOKUP(OFZ671,'[3]Raw material  (3)'!OFX653:OGP3729,3,0),"")</f>
        <v/>
      </c>
      <c r="OFZ671" t="str">
        <f>IFERROR(VLOOKUP(OGA671,'[3]Raw material  (3)'!OFY653:OGQ3729,3,0),"")</f>
        <v/>
      </c>
      <c r="OGA671" t="str">
        <f>IFERROR(VLOOKUP(OGB671,'[3]Raw material  (3)'!OFZ653:OGR3729,3,0),"")</f>
        <v/>
      </c>
      <c r="OGB671" t="str">
        <f>IFERROR(VLOOKUP(OGC671,'[3]Raw material  (3)'!OGA653:OGS3729,3,0),"")</f>
        <v/>
      </c>
      <c r="OGC671" t="str">
        <f>IFERROR(VLOOKUP(OGD671,'[3]Raw material  (3)'!OGB653:OGT3729,3,0),"")</f>
        <v/>
      </c>
      <c r="OGD671" t="str">
        <f>IFERROR(VLOOKUP(OGE671,'[3]Raw material  (3)'!OGC653:OGU3729,3,0),"")</f>
        <v/>
      </c>
      <c r="OGE671" t="str">
        <f>IFERROR(VLOOKUP(OGF671,'[3]Raw material  (3)'!OGD653:OGV3729,3,0),"")</f>
        <v/>
      </c>
      <c r="OGF671" t="str">
        <f>IFERROR(VLOOKUP(OGG671,'[3]Raw material  (3)'!OGE653:OGW3729,3,0),"")</f>
        <v/>
      </c>
      <c r="OGG671" t="str">
        <f>IFERROR(VLOOKUP(OGH671,'[3]Raw material  (3)'!OGF653:OGX3729,3,0),"")</f>
        <v/>
      </c>
      <c r="OGH671" t="str">
        <f>IFERROR(VLOOKUP(OGI671,'[3]Raw material  (3)'!OGG653:OGY3729,3,0),"")</f>
        <v/>
      </c>
      <c r="OGI671" t="str">
        <f>IFERROR(VLOOKUP(OGJ671,'[3]Raw material  (3)'!OGH653:OGZ3729,3,0),"")</f>
        <v/>
      </c>
      <c r="OGJ671" t="str">
        <f>IFERROR(VLOOKUP(OGK671,'[3]Raw material  (3)'!OGI653:OHA3729,3,0),"")</f>
        <v/>
      </c>
      <c r="OGK671" t="str">
        <f>IFERROR(VLOOKUP(OGL671,'[3]Raw material  (3)'!OGJ653:OHB3729,3,0),"")</f>
        <v/>
      </c>
      <c r="OGL671" t="str">
        <f>IFERROR(VLOOKUP(OGM671,'[3]Raw material  (3)'!OGK653:OHC3729,3,0),"")</f>
        <v/>
      </c>
      <c r="OGM671" t="str">
        <f>IFERROR(VLOOKUP(OGN671,'[3]Raw material  (3)'!OGL653:OHD3729,3,0),"")</f>
        <v/>
      </c>
      <c r="OGN671" t="str">
        <f>IFERROR(VLOOKUP(OGO671,'[3]Raw material  (3)'!OGM653:OHE3729,3,0),"")</f>
        <v/>
      </c>
      <c r="OGO671" t="str">
        <f>IFERROR(VLOOKUP(OGP671,'[3]Raw material  (3)'!OGN653:OHF3729,3,0),"")</f>
        <v/>
      </c>
      <c r="OGP671" t="str">
        <f>IFERROR(VLOOKUP(OGQ671,'[3]Raw material  (3)'!OGO653:OHG3729,3,0),"")</f>
        <v/>
      </c>
      <c r="OGQ671" t="str">
        <f>IFERROR(VLOOKUP(OGR671,'[3]Raw material  (3)'!OGP653:OHH3729,3,0),"")</f>
        <v/>
      </c>
      <c r="OGR671" t="str">
        <f>IFERROR(VLOOKUP(OGS671,'[3]Raw material  (3)'!OGQ653:OHI3729,3,0),"")</f>
        <v/>
      </c>
      <c r="OGS671" t="str">
        <f>IFERROR(VLOOKUP(OGT671,'[3]Raw material  (3)'!OGR653:OHJ3729,3,0),"")</f>
        <v/>
      </c>
      <c r="OGT671" t="str">
        <f>IFERROR(VLOOKUP(OGU671,'[3]Raw material  (3)'!OGS653:OHK3729,3,0),"")</f>
        <v/>
      </c>
      <c r="OGU671" t="str">
        <f>IFERROR(VLOOKUP(OGV671,'[3]Raw material  (3)'!OGT653:OHL3729,3,0),"")</f>
        <v/>
      </c>
      <c r="OGV671" t="str">
        <f>IFERROR(VLOOKUP(OGW671,'[3]Raw material  (3)'!OGU653:OHM3729,3,0),"")</f>
        <v/>
      </c>
      <c r="OGW671" t="str">
        <f>IFERROR(VLOOKUP(OGX671,'[3]Raw material  (3)'!OGV653:OHN3729,3,0),"")</f>
        <v/>
      </c>
      <c r="OGX671" t="str">
        <f>IFERROR(VLOOKUP(OGY671,'[3]Raw material  (3)'!OGW653:OHO3729,3,0),"")</f>
        <v/>
      </c>
      <c r="OGY671" t="str">
        <f>IFERROR(VLOOKUP(OGZ671,'[3]Raw material  (3)'!OGX653:OHP3729,3,0),"")</f>
        <v/>
      </c>
      <c r="OGZ671" t="str">
        <f>IFERROR(VLOOKUP(OHA671,'[3]Raw material  (3)'!OGY653:OHQ3729,3,0),"")</f>
        <v/>
      </c>
      <c r="OHA671" t="str">
        <f>IFERROR(VLOOKUP(OHB671,'[3]Raw material  (3)'!OGZ653:OHR3729,3,0),"")</f>
        <v/>
      </c>
      <c r="OHB671" t="str">
        <f>IFERROR(VLOOKUP(OHC671,'[3]Raw material  (3)'!OHA653:OHS3729,3,0),"")</f>
        <v/>
      </c>
      <c r="OHC671" t="str">
        <f>IFERROR(VLOOKUP(OHD671,'[3]Raw material  (3)'!OHB653:OHT3729,3,0),"")</f>
        <v/>
      </c>
      <c r="OHD671" t="str">
        <f>IFERROR(VLOOKUP(OHE671,'[3]Raw material  (3)'!OHC653:OHU3729,3,0),"")</f>
        <v/>
      </c>
      <c r="OHE671" t="str">
        <f>IFERROR(VLOOKUP(OHF671,'[3]Raw material  (3)'!OHD653:OHV3729,3,0),"")</f>
        <v/>
      </c>
      <c r="OHF671" t="str">
        <f>IFERROR(VLOOKUP(OHG671,'[3]Raw material  (3)'!OHE653:OHW3729,3,0),"")</f>
        <v/>
      </c>
      <c r="OHG671" t="str">
        <f>IFERROR(VLOOKUP(OHH671,'[3]Raw material  (3)'!OHF653:OHX3729,3,0),"")</f>
        <v/>
      </c>
      <c r="OHH671" t="str">
        <f>IFERROR(VLOOKUP(OHI671,'[3]Raw material  (3)'!OHG653:OHY3729,3,0),"")</f>
        <v/>
      </c>
      <c r="OHI671" t="str">
        <f>IFERROR(VLOOKUP(OHJ671,'[3]Raw material  (3)'!OHH653:OHZ3729,3,0),"")</f>
        <v/>
      </c>
      <c r="OHJ671" t="str">
        <f>IFERROR(VLOOKUP(OHK671,'[3]Raw material  (3)'!OHI653:OIA3729,3,0),"")</f>
        <v/>
      </c>
      <c r="OHK671" t="str">
        <f>IFERROR(VLOOKUP(OHL671,'[3]Raw material  (3)'!OHJ653:OIB3729,3,0),"")</f>
        <v/>
      </c>
      <c r="OHL671" t="str">
        <f>IFERROR(VLOOKUP(OHM671,'[3]Raw material  (3)'!OHK653:OIC3729,3,0),"")</f>
        <v/>
      </c>
      <c r="OHM671" t="str">
        <f>IFERROR(VLOOKUP(OHN671,'[3]Raw material  (3)'!OHL653:OID3729,3,0),"")</f>
        <v/>
      </c>
      <c r="OHN671" t="str">
        <f>IFERROR(VLOOKUP(OHO671,'[3]Raw material  (3)'!OHM653:OIE3729,3,0),"")</f>
        <v/>
      </c>
      <c r="OHO671" t="str">
        <f>IFERROR(VLOOKUP(OHP671,'[3]Raw material  (3)'!OHN653:OIF3729,3,0),"")</f>
        <v/>
      </c>
      <c r="OHP671" t="str">
        <f>IFERROR(VLOOKUP(OHQ671,'[3]Raw material  (3)'!OHO653:OIG3729,3,0),"")</f>
        <v/>
      </c>
      <c r="OHQ671" t="str">
        <f>IFERROR(VLOOKUP(OHR671,'[3]Raw material  (3)'!OHP653:OIH3729,3,0),"")</f>
        <v/>
      </c>
      <c r="OHR671" t="str">
        <f>IFERROR(VLOOKUP(OHS671,'[3]Raw material  (3)'!OHQ653:OII3729,3,0),"")</f>
        <v/>
      </c>
      <c r="OHS671" t="str">
        <f>IFERROR(VLOOKUP(OHT671,'[3]Raw material  (3)'!OHR653:OIJ3729,3,0),"")</f>
        <v/>
      </c>
      <c r="OHT671" t="str">
        <f>IFERROR(VLOOKUP(OHU671,'[3]Raw material  (3)'!OHS653:OIK3729,3,0),"")</f>
        <v/>
      </c>
      <c r="OHU671" t="str">
        <f>IFERROR(VLOOKUP(OHV671,'[3]Raw material  (3)'!OHT653:OIL3729,3,0),"")</f>
        <v/>
      </c>
      <c r="OHV671" t="str">
        <f>IFERROR(VLOOKUP(OHW671,'[3]Raw material  (3)'!OHU653:OIM3729,3,0),"")</f>
        <v/>
      </c>
      <c r="OHW671" t="str">
        <f>IFERROR(VLOOKUP(OHX671,'[3]Raw material  (3)'!OHV653:OIN3729,3,0),"")</f>
        <v/>
      </c>
      <c r="OHX671" t="str">
        <f>IFERROR(VLOOKUP(OHY671,'[3]Raw material  (3)'!OHW653:OIO3729,3,0),"")</f>
        <v/>
      </c>
      <c r="OHY671" t="str">
        <f>IFERROR(VLOOKUP(OHZ671,'[3]Raw material  (3)'!OHX653:OIP3729,3,0),"")</f>
        <v/>
      </c>
      <c r="OHZ671" t="str">
        <f>IFERROR(VLOOKUP(OIA671,'[3]Raw material  (3)'!OHY653:OIQ3729,3,0),"")</f>
        <v/>
      </c>
      <c r="OIA671" t="str">
        <f>IFERROR(VLOOKUP(OIB671,'[3]Raw material  (3)'!OHZ653:OIR3729,3,0),"")</f>
        <v/>
      </c>
      <c r="OIB671" t="str">
        <f>IFERROR(VLOOKUP(OIC671,'[3]Raw material  (3)'!OIA653:OIS3729,3,0),"")</f>
        <v/>
      </c>
      <c r="OIC671" t="str">
        <f>IFERROR(VLOOKUP(OID671,'[3]Raw material  (3)'!OIB653:OIT3729,3,0),"")</f>
        <v/>
      </c>
      <c r="OID671" t="str">
        <f>IFERROR(VLOOKUP(OIE671,'[3]Raw material  (3)'!OIC653:OIU3729,3,0),"")</f>
        <v/>
      </c>
      <c r="OIE671" t="str">
        <f>IFERROR(VLOOKUP(OIF671,'[3]Raw material  (3)'!OID653:OIV3729,3,0),"")</f>
        <v/>
      </c>
      <c r="OIF671" t="str">
        <f>IFERROR(VLOOKUP(OIG671,'[3]Raw material  (3)'!OIE653:OIW3729,3,0),"")</f>
        <v/>
      </c>
      <c r="OIG671" t="str">
        <f>IFERROR(VLOOKUP(OIH671,'[3]Raw material  (3)'!OIF653:OIX3729,3,0),"")</f>
        <v/>
      </c>
      <c r="OIH671" t="str">
        <f>IFERROR(VLOOKUP(OII671,'[3]Raw material  (3)'!OIG653:OIY3729,3,0),"")</f>
        <v/>
      </c>
      <c r="OII671" t="str">
        <f>IFERROR(VLOOKUP(OIJ671,'[3]Raw material  (3)'!OIH653:OIZ3729,3,0),"")</f>
        <v/>
      </c>
      <c r="OIJ671" t="str">
        <f>IFERROR(VLOOKUP(OIK671,'[3]Raw material  (3)'!OII653:OJA3729,3,0),"")</f>
        <v/>
      </c>
      <c r="OIK671" t="str">
        <f>IFERROR(VLOOKUP(OIL671,'[3]Raw material  (3)'!OIJ653:OJB3729,3,0),"")</f>
        <v/>
      </c>
      <c r="OIL671" t="str">
        <f>IFERROR(VLOOKUP(OIM671,'[3]Raw material  (3)'!OIK653:OJC3729,3,0),"")</f>
        <v/>
      </c>
      <c r="OIM671" t="str">
        <f>IFERROR(VLOOKUP(OIN671,'[3]Raw material  (3)'!OIL653:OJD3729,3,0),"")</f>
        <v/>
      </c>
      <c r="OIN671" t="str">
        <f>IFERROR(VLOOKUP(OIO671,'[3]Raw material  (3)'!OIM653:OJE3729,3,0),"")</f>
        <v/>
      </c>
      <c r="OIO671" t="str">
        <f>IFERROR(VLOOKUP(OIP671,'[3]Raw material  (3)'!OIN653:OJF3729,3,0),"")</f>
        <v/>
      </c>
      <c r="OIP671" t="str">
        <f>IFERROR(VLOOKUP(OIQ671,'[3]Raw material  (3)'!OIO653:OJG3729,3,0),"")</f>
        <v/>
      </c>
      <c r="OIQ671" t="str">
        <f>IFERROR(VLOOKUP(OIR671,'[3]Raw material  (3)'!OIP653:OJH3729,3,0),"")</f>
        <v/>
      </c>
      <c r="OIR671" t="str">
        <f>IFERROR(VLOOKUP(OIS671,'[3]Raw material  (3)'!OIQ653:OJI3729,3,0),"")</f>
        <v/>
      </c>
      <c r="OIS671" t="str">
        <f>IFERROR(VLOOKUP(OIT671,'[3]Raw material  (3)'!OIR653:OJJ3729,3,0),"")</f>
        <v/>
      </c>
      <c r="OIT671" t="str">
        <f>IFERROR(VLOOKUP(OIU671,'[3]Raw material  (3)'!OIS653:OJK3729,3,0),"")</f>
        <v/>
      </c>
      <c r="OIU671" t="str">
        <f>IFERROR(VLOOKUP(OIV671,'[3]Raw material  (3)'!OIT653:OJL3729,3,0),"")</f>
        <v/>
      </c>
      <c r="OIV671" t="str">
        <f>IFERROR(VLOOKUP(OIW671,'[3]Raw material  (3)'!OIU653:OJM3729,3,0),"")</f>
        <v/>
      </c>
      <c r="OIW671" t="str">
        <f>IFERROR(VLOOKUP(OIX671,'[3]Raw material  (3)'!OIV653:OJN3729,3,0),"")</f>
        <v/>
      </c>
      <c r="OIX671" t="str">
        <f>IFERROR(VLOOKUP(OIY671,'[3]Raw material  (3)'!OIW653:OJO3729,3,0),"")</f>
        <v/>
      </c>
      <c r="OIY671" t="str">
        <f>IFERROR(VLOOKUP(OIZ671,'[3]Raw material  (3)'!OIX653:OJP3729,3,0),"")</f>
        <v/>
      </c>
      <c r="OIZ671" t="str">
        <f>IFERROR(VLOOKUP(OJA671,'[3]Raw material  (3)'!OIY653:OJQ3729,3,0),"")</f>
        <v/>
      </c>
      <c r="OJA671" t="str">
        <f>IFERROR(VLOOKUP(OJB671,'[3]Raw material  (3)'!OIZ653:OJR3729,3,0),"")</f>
        <v/>
      </c>
      <c r="OJB671" t="str">
        <f>IFERROR(VLOOKUP(OJC671,'[3]Raw material  (3)'!OJA653:OJS3729,3,0),"")</f>
        <v/>
      </c>
      <c r="OJC671" t="str">
        <f>IFERROR(VLOOKUP(OJD671,'[3]Raw material  (3)'!OJB653:OJT3729,3,0),"")</f>
        <v/>
      </c>
      <c r="OJD671" t="str">
        <f>IFERROR(VLOOKUP(OJE671,'[3]Raw material  (3)'!OJC653:OJU3729,3,0),"")</f>
        <v/>
      </c>
      <c r="OJE671" t="str">
        <f>IFERROR(VLOOKUP(OJF671,'[3]Raw material  (3)'!OJD653:OJV3729,3,0),"")</f>
        <v/>
      </c>
      <c r="OJF671" t="str">
        <f>IFERROR(VLOOKUP(OJG671,'[3]Raw material  (3)'!OJE653:OJW3729,3,0),"")</f>
        <v/>
      </c>
      <c r="OJG671" t="str">
        <f>IFERROR(VLOOKUP(OJH671,'[3]Raw material  (3)'!OJF653:OJX3729,3,0),"")</f>
        <v/>
      </c>
      <c r="OJH671" t="str">
        <f>IFERROR(VLOOKUP(OJI671,'[3]Raw material  (3)'!OJG653:OJY3729,3,0),"")</f>
        <v/>
      </c>
      <c r="OJI671" t="str">
        <f>IFERROR(VLOOKUP(OJJ671,'[3]Raw material  (3)'!OJH653:OJZ3729,3,0),"")</f>
        <v/>
      </c>
      <c r="OJJ671" t="str">
        <f>IFERROR(VLOOKUP(OJK671,'[3]Raw material  (3)'!OJI653:OKA3729,3,0),"")</f>
        <v/>
      </c>
      <c r="OJK671" t="str">
        <f>IFERROR(VLOOKUP(OJL671,'[3]Raw material  (3)'!OJJ653:OKB3729,3,0),"")</f>
        <v/>
      </c>
      <c r="OJL671" t="str">
        <f>IFERROR(VLOOKUP(OJM671,'[3]Raw material  (3)'!OJK653:OKC3729,3,0),"")</f>
        <v/>
      </c>
      <c r="OJM671" t="str">
        <f>IFERROR(VLOOKUP(OJN671,'[3]Raw material  (3)'!OJL653:OKD3729,3,0),"")</f>
        <v/>
      </c>
      <c r="OJN671" t="str">
        <f>IFERROR(VLOOKUP(OJO671,'[3]Raw material  (3)'!OJM653:OKE3729,3,0),"")</f>
        <v/>
      </c>
      <c r="OJO671" t="str">
        <f>IFERROR(VLOOKUP(OJP671,'[3]Raw material  (3)'!OJN653:OKF3729,3,0),"")</f>
        <v/>
      </c>
      <c r="OJP671" t="str">
        <f>IFERROR(VLOOKUP(OJQ671,'[3]Raw material  (3)'!OJO653:OKG3729,3,0),"")</f>
        <v/>
      </c>
      <c r="OJQ671" t="str">
        <f>IFERROR(VLOOKUP(OJR671,'[3]Raw material  (3)'!OJP653:OKH3729,3,0),"")</f>
        <v/>
      </c>
      <c r="OJR671" t="str">
        <f>IFERROR(VLOOKUP(OJS671,'[3]Raw material  (3)'!OJQ653:OKI3729,3,0),"")</f>
        <v/>
      </c>
      <c r="OJS671" t="str">
        <f>IFERROR(VLOOKUP(OJT671,'[3]Raw material  (3)'!OJR653:OKJ3729,3,0),"")</f>
        <v/>
      </c>
      <c r="OJT671" t="str">
        <f>IFERROR(VLOOKUP(OJU671,'[3]Raw material  (3)'!OJS653:OKK3729,3,0),"")</f>
        <v/>
      </c>
      <c r="OJU671" t="str">
        <f>IFERROR(VLOOKUP(OJV671,'[3]Raw material  (3)'!OJT653:OKL3729,3,0),"")</f>
        <v/>
      </c>
      <c r="OJV671" t="str">
        <f>IFERROR(VLOOKUP(OJW671,'[3]Raw material  (3)'!OJU653:OKM3729,3,0),"")</f>
        <v/>
      </c>
      <c r="OJW671" t="str">
        <f>IFERROR(VLOOKUP(OJX671,'[3]Raw material  (3)'!OJV653:OKN3729,3,0),"")</f>
        <v/>
      </c>
      <c r="OJX671" t="str">
        <f>IFERROR(VLOOKUP(OJY671,'[3]Raw material  (3)'!OJW653:OKO3729,3,0),"")</f>
        <v/>
      </c>
      <c r="OJY671" t="str">
        <f>IFERROR(VLOOKUP(OJZ671,'[3]Raw material  (3)'!OJX653:OKP3729,3,0),"")</f>
        <v/>
      </c>
      <c r="OJZ671" t="str">
        <f>IFERROR(VLOOKUP(OKA671,'[3]Raw material  (3)'!OJY653:OKQ3729,3,0),"")</f>
        <v/>
      </c>
      <c r="OKA671" t="str">
        <f>IFERROR(VLOOKUP(OKB671,'[3]Raw material  (3)'!OJZ653:OKR3729,3,0),"")</f>
        <v/>
      </c>
      <c r="OKB671" t="str">
        <f>IFERROR(VLOOKUP(OKC671,'[3]Raw material  (3)'!OKA653:OKS3729,3,0),"")</f>
        <v/>
      </c>
      <c r="OKC671" t="str">
        <f>IFERROR(VLOOKUP(OKD671,'[3]Raw material  (3)'!OKB653:OKT3729,3,0),"")</f>
        <v/>
      </c>
      <c r="OKD671" t="str">
        <f>IFERROR(VLOOKUP(OKE671,'[3]Raw material  (3)'!OKC653:OKU3729,3,0),"")</f>
        <v/>
      </c>
      <c r="OKE671" t="str">
        <f>IFERROR(VLOOKUP(OKF671,'[3]Raw material  (3)'!OKD653:OKV3729,3,0),"")</f>
        <v/>
      </c>
      <c r="OKF671" t="str">
        <f>IFERROR(VLOOKUP(OKG671,'[3]Raw material  (3)'!OKE653:OKW3729,3,0),"")</f>
        <v/>
      </c>
      <c r="OKG671" t="str">
        <f>IFERROR(VLOOKUP(OKH671,'[3]Raw material  (3)'!OKF653:OKX3729,3,0),"")</f>
        <v/>
      </c>
      <c r="OKH671" t="str">
        <f>IFERROR(VLOOKUP(OKI671,'[3]Raw material  (3)'!OKG653:OKY3729,3,0),"")</f>
        <v/>
      </c>
      <c r="OKI671" t="str">
        <f>IFERROR(VLOOKUP(OKJ671,'[3]Raw material  (3)'!OKH653:OKZ3729,3,0),"")</f>
        <v/>
      </c>
      <c r="OKJ671" t="str">
        <f>IFERROR(VLOOKUP(OKK671,'[3]Raw material  (3)'!OKI653:OLA3729,3,0),"")</f>
        <v/>
      </c>
      <c r="OKK671" t="str">
        <f>IFERROR(VLOOKUP(OKL671,'[3]Raw material  (3)'!OKJ653:OLB3729,3,0),"")</f>
        <v/>
      </c>
      <c r="OKL671" t="str">
        <f>IFERROR(VLOOKUP(OKM671,'[3]Raw material  (3)'!OKK653:OLC3729,3,0),"")</f>
        <v/>
      </c>
      <c r="OKM671" t="str">
        <f>IFERROR(VLOOKUP(OKN671,'[3]Raw material  (3)'!OKL653:OLD3729,3,0),"")</f>
        <v/>
      </c>
      <c r="OKN671" t="str">
        <f>IFERROR(VLOOKUP(OKO671,'[3]Raw material  (3)'!OKM653:OLE3729,3,0),"")</f>
        <v/>
      </c>
      <c r="OKO671" t="str">
        <f>IFERROR(VLOOKUP(OKP671,'[3]Raw material  (3)'!OKN653:OLF3729,3,0),"")</f>
        <v/>
      </c>
      <c r="OKP671" t="str">
        <f>IFERROR(VLOOKUP(OKQ671,'[3]Raw material  (3)'!OKO653:OLG3729,3,0),"")</f>
        <v/>
      </c>
      <c r="OKQ671" t="str">
        <f>IFERROR(VLOOKUP(OKR671,'[3]Raw material  (3)'!OKP653:OLH3729,3,0),"")</f>
        <v/>
      </c>
      <c r="OKR671" t="str">
        <f>IFERROR(VLOOKUP(OKS671,'[3]Raw material  (3)'!OKQ653:OLI3729,3,0),"")</f>
        <v/>
      </c>
      <c r="OKS671" t="str">
        <f>IFERROR(VLOOKUP(OKT671,'[3]Raw material  (3)'!OKR653:OLJ3729,3,0),"")</f>
        <v/>
      </c>
      <c r="OKT671" t="str">
        <f>IFERROR(VLOOKUP(OKU671,'[3]Raw material  (3)'!OKS653:OLK3729,3,0),"")</f>
        <v/>
      </c>
      <c r="OKU671" t="str">
        <f>IFERROR(VLOOKUP(OKV671,'[3]Raw material  (3)'!OKT653:OLL3729,3,0),"")</f>
        <v/>
      </c>
      <c r="OKV671" t="str">
        <f>IFERROR(VLOOKUP(OKW671,'[3]Raw material  (3)'!OKU653:OLM3729,3,0),"")</f>
        <v/>
      </c>
      <c r="OKW671" t="str">
        <f>IFERROR(VLOOKUP(OKX671,'[3]Raw material  (3)'!OKV653:OLN3729,3,0),"")</f>
        <v/>
      </c>
      <c r="OKX671" t="str">
        <f>IFERROR(VLOOKUP(OKY671,'[3]Raw material  (3)'!OKW653:OLO3729,3,0),"")</f>
        <v/>
      </c>
      <c r="OKY671" t="str">
        <f>IFERROR(VLOOKUP(OKZ671,'[3]Raw material  (3)'!OKX653:OLP3729,3,0),"")</f>
        <v/>
      </c>
      <c r="OKZ671" t="str">
        <f>IFERROR(VLOOKUP(OLA671,'[3]Raw material  (3)'!OKY653:OLQ3729,3,0),"")</f>
        <v/>
      </c>
      <c r="OLA671" t="str">
        <f>IFERROR(VLOOKUP(OLB671,'[3]Raw material  (3)'!OKZ653:OLR3729,3,0),"")</f>
        <v/>
      </c>
      <c r="OLB671" t="str">
        <f>IFERROR(VLOOKUP(OLC671,'[3]Raw material  (3)'!OLA653:OLS3729,3,0),"")</f>
        <v/>
      </c>
      <c r="OLC671" t="str">
        <f>IFERROR(VLOOKUP(OLD671,'[3]Raw material  (3)'!OLB653:OLT3729,3,0),"")</f>
        <v/>
      </c>
      <c r="OLD671" t="str">
        <f>IFERROR(VLOOKUP(OLE671,'[3]Raw material  (3)'!OLC653:OLU3729,3,0),"")</f>
        <v/>
      </c>
      <c r="OLE671" t="str">
        <f>IFERROR(VLOOKUP(OLF671,'[3]Raw material  (3)'!OLD653:OLV3729,3,0),"")</f>
        <v/>
      </c>
      <c r="OLF671" t="str">
        <f>IFERROR(VLOOKUP(OLG671,'[3]Raw material  (3)'!OLE653:OLW3729,3,0),"")</f>
        <v/>
      </c>
      <c r="OLG671" t="str">
        <f>IFERROR(VLOOKUP(OLH671,'[3]Raw material  (3)'!OLF653:OLX3729,3,0),"")</f>
        <v/>
      </c>
      <c r="OLH671" t="str">
        <f>IFERROR(VLOOKUP(OLI671,'[3]Raw material  (3)'!OLG653:OLY3729,3,0),"")</f>
        <v/>
      </c>
      <c r="OLI671" t="str">
        <f>IFERROR(VLOOKUP(OLJ671,'[3]Raw material  (3)'!OLH653:OLZ3729,3,0),"")</f>
        <v/>
      </c>
      <c r="OLJ671" t="str">
        <f>IFERROR(VLOOKUP(OLK671,'[3]Raw material  (3)'!OLI653:OMA3729,3,0),"")</f>
        <v/>
      </c>
      <c r="OLK671" t="str">
        <f>IFERROR(VLOOKUP(OLL671,'[3]Raw material  (3)'!OLJ653:OMB3729,3,0),"")</f>
        <v/>
      </c>
      <c r="OLL671" t="str">
        <f>IFERROR(VLOOKUP(OLM671,'[3]Raw material  (3)'!OLK653:OMC3729,3,0),"")</f>
        <v/>
      </c>
      <c r="OLM671" t="str">
        <f>IFERROR(VLOOKUP(OLN671,'[3]Raw material  (3)'!OLL653:OMD3729,3,0),"")</f>
        <v/>
      </c>
      <c r="OLN671" t="str">
        <f>IFERROR(VLOOKUP(OLO671,'[3]Raw material  (3)'!OLM653:OME3729,3,0),"")</f>
        <v/>
      </c>
      <c r="OLO671" t="str">
        <f>IFERROR(VLOOKUP(OLP671,'[3]Raw material  (3)'!OLN653:OMF3729,3,0),"")</f>
        <v/>
      </c>
      <c r="OLP671" t="str">
        <f>IFERROR(VLOOKUP(OLQ671,'[3]Raw material  (3)'!OLO653:OMG3729,3,0),"")</f>
        <v/>
      </c>
      <c r="OLQ671" t="str">
        <f>IFERROR(VLOOKUP(OLR671,'[3]Raw material  (3)'!OLP653:OMH3729,3,0),"")</f>
        <v/>
      </c>
      <c r="OLR671" t="str">
        <f>IFERROR(VLOOKUP(OLS671,'[3]Raw material  (3)'!OLQ653:OMI3729,3,0),"")</f>
        <v/>
      </c>
      <c r="OLS671" t="str">
        <f>IFERROR(VLOOKUP(OLT671,'[3]Raw material  (3)'!OLR653:OMJ3729,3,0),"")</f>
        <v/>
      </c>
      <c r="OLT671" t="str">
        <f>IFERROR(VLOOKUP(OLU671,'[3]Raw material  (3)'!OLS653:OMK3729,3,0),"")</f>
        <v/>
      </c>
      <c r="OLU671" t="str">
        <f>IFERROR(VLOOKUP(OLV671,'[3]Raw material  (3)'!OLT653:OML3729,3,0),"")</f>
        <v/>
      </c>
      <c r="OLV671" t="str">
        <f>IFERROR(VLOOKUP(OLW671,'[3]Raw material  (3)'!OLU653:OMM3729,3,0),"")</f>
        <v/>
      </c>
      <c r="OLW671" t="str">
        <f>IFERROR(VLOOKUP(OLX671,'[3]Raw material  (3)'!OLV653:OMN3729,3,0),"")</f>
        <v/>
      </c>
      <c r="OLX671" t="str">
        <f>IFERROR(VLOOKUP(OLY671,'[3]Raw material  (3)'!OLW653:OMO3729,3,0),"")</f>
        <v/>
      </c>
      <c r="OLY671" t="str">
        <f>IFERROR(VLOOKUP(OLZ671,'[3]Raw material  (3)'!OLX653:OMP3729,3,0),"")</f>
        <v/>
      </c>
      <c r="OLZ671" t="str">
        <f>IFERROR(VLOOKUP(OMA671,'[3]Raw material  (3)'!OLY653:OMQ3729,3,0),"")</f>
        <v/>
      </c>
      <c r="OMA671" t="str">
        <f>IFERROR(VLOOKUP(OMB671,'[3]Raw material  (3)'!OLZ653:OMR3729,3,0),"")</f>
        <v/>
      </c>
      <c r="OMB671" t="str">
        <f>IFERROR(VLOOKUP(OMC671,'[3]Raw material  (3)'!OMA653:OMS3729,3,0),"")</f>
        <v/>
      </c>
      <c r="OMC671" t="str">
        <f>IFERROR(VLOOKUP(OMD671,'[3]Raw material  (3)'!OMB653:OMT3729,3,0),"")</f>
        <v/>
      </c>
      <c r="OMD671" t="str">
        <f>IFERROR(VLOOKUP(OME671,'[3]Raw material  (3)'!OMC653:OMU3729,3,0),"")</f>
        <v/>
      </c>
      <c r="OME671" t="str">
        <f>IFERROR(VLOOKUP(OMF671,'[3]Raw material  (3)'!OMD653:OMV3729,3,0),"")</f>
        <v/>
      </c>
      <c r="OMF671" t="str">
        <f>IFERROR(VLOOKUP(OMG671,'[3]Raw material  (3)'!OME653:OMW3729,3,0),"")</f>
        <v/>
      </c>
      <c r="OMG671" t="str">
        <f>IFERROR(VLOOKUP(OMH671,'[3]Raw material  (3)'!OMF653:OMX3729,3,0),"")</f>
        <v/>
      </c>
      <c r="OMH671" t="str">
        <f>IFERROR(VLOOKUP(OMI671,'[3]Raw material  (3)'!OMG653:OMY3729,3,0),"")</f>
        <v/>
      </c>
      <c r="OMI671" t="str">
        <f>IFERROR(VLOOKUP(OMJ671,'[3]Raw material  (3)'!OMH653:OMZ3729,3,0),"")</f>
        <v/>
      </c>
      <c r="OMJ671" t="str">
        <f>IFERROR(VLOOKUP(OMK671,'[3]Raw material  (3)'!OMI653:ONA3729,3,0),"")</f>
        <v/>
      </c>
      <c r="OMK671" t="str">
        <f>IFERROR(VLOOKUP(OML671,'[3]Raw material  (3)'!OMJ653:ONB3729,3,0),"")</f>
        <v/>
      </c>
      <c r="OML671" t="str">
        <f>IFERROR(VLOOKUP(OMM671,'[3]Raw material  (3)'!OMK653:ONC3729,3,0),"")</f>
        <v/>
      </c>
      <c r="OMM671" t="str">
        <f>IFERROR(VLOOKUP(OMN671,'[3]Raw material  (3)'!OML653:OND3729,3,0),"")</f>
        <v/>
      </c>
      <c r="OMN671" t="str">
        <f>IFERROR(VLOOKUP(OMO671,'[3]Raw material  (3)'!OMM653:ONE3729,3,0),"")</f>
        <v/>
      </c>
      <c r="OMO671" t="str">
        <f>IFERROR(VLOOKUP(OMP671,'[3]Raw material  (3)'!OMN653:ONF3729,3,0),"")</f>
        <v/>
      </c>
      <c r="OMP671" t="str">
        <f>IFERROR(VLOOKUP(OMQ671,'[3]Raw material  (3)'!OMO653:ONG3729,3,0),"")</f>
        <v/>
      </c>
      <c r="OMQ671" t="str">
        <f>IFERROR(VLOOKUP(OMR671,'[3]Raw material  (3)'!OMP653:ONH3729,3,0),"")</f>
        <v/>
      </c>
      <c r="OMR671" t="str">
        <f>IFERROR(VLOOKUP(OMS671,'[3]Raw material  (3)'!OMQ653:ONI3729,3,0),"")</f>
        <v/>
      </c>
      <c r="OMS671" t="str">
        <f>IFERROR(VLOOKUP(OMT671,'[3]Raw material  (3)'!OMR653:ONJ3729,3,0),"")</f>
        <v/>
      </c>
      <c r="OMT671" t="str">
        <f>IFERROR(VLOOKUP(OMU671,'[3]Raw material  (3)'!OMS653:ONK3729,3,0),"")</f>
        <v/>
      </c>
      <c r="OMU671" t="str">
        <f>IFERROR(VLOOKUP(OMV671,'[3]Raw material  (3)'!OMT653:ONL3729,3,0),"")</f>
        <v/>
      </c>
      <c r="OMV671" t="str">
        <f>IFERROR(VLOOKUP(OMW671,'[3]Raw material  (3)'!OMU653:ONM3729,3,0),"")</f>
        <v/>
      </c>
      <c r="OMW671" t="str">
        <f>IFERROR(VLOOKUP(OMX671,'[3]Raw material  (3)'!OMV653:ONN3729,3,0),"")</f>
        <v/>
      </c>
      <c r="OMX671" t="str">
        <f>IFERROR(VLOOKUP(OMY671,'[3]Raw material  (3)'!OMW653:ONO3729,3,0),"")</f>
        <v/>
      </c>
      <c r="OMY671" t="str">
        <f>IFERROR(VLOOKUP(OMZ671,'[3]Raw material  (3)'!OMX653:ONP3729,3,0),"")</f>
        <v/>
      </c>
      <c r="OMZ671" t="str">
        <f>IFERROR(VLOOKUP(ONA671,'[3]Raw material  (3)'!OMY653:ONQ3729,3,0),"")</f>
        <v/>
      </c>
      <c r="ONA671" t="str">
        <f>IFERROR(VLOOKUP(ONB671,'[3]Raw material  (3)'!OMZ653:ONR3729,3,0),"")</f>
        <v/>
      </c>
      <c r="ONB671" t="str">
        <f>IFERROR(VLOOKUP(ONC671,'[3]Raw material  (3)'!ONA653:ONS3729,3,0),"")</f>
        <v/>
      </c>
      <c r="ONC671" t="str">
        <f>IFERROR(VLOOKUP(OND671,'[3]Raw material  (3)'!ONB653:ONT3729,3,0),"")</f>
        <v/>
      </c>
      <c r="OND671" t="str">
        <f>IFERROR(VLOOKUP(ONE671,'[3]Raw material  (3)'!ONC653:ONU3729,3,0),"")</f>
        <v/>
      </c>
      <c r="ONE671" t="str">
        <f>IFERROR(VLOOKUP(ONF671,'[3]Raw material  (3)'!OND653:ONV3729,3,0),"")</f>
        <v/>
      </c>
      <c r="ONF671" t="str">
        <f>IFERROR(VLOOKUP(ONG671,'[3]Raw material  (3)'!ONE653:ONW3729,3,0),"")</f>
        <v/>
      </c>
      <c r="ONG671" t="str">
        <f>IFERROR(VLOOKUP(ONH671,'[3]Raw material  (3)'!ONF653:ONX3729,3,0),"")</f>
        <v/>
      </c>
      <c r="ONH671" t="str">
        <f>IFERROR(VLOOKUP(ONI671,'[3]Raw material  (3)'!ONG653:ONY3729,3,0),"")</f>
        <v/>
      </c>
      <c r="ONI671" t="str">
        <f>IFERROR(VLOOKUP(ONJ671,'[3]Raw material  (3)'!ONH653:ONZ3729,3,0),"")</f>
        <v/>
      </c>
      <c r="ONJ671" t="str">
        <f>IFERROR(VLOOKUP(ONK671,'[3]Raw material  (3)'!ONI653:OOA3729,3,0),"")</f>
        <v/>
      </c>
      <c r="ONK671" t="str">
        <f>IFERROR(VLOOKUP(ONL671,'[3]Raw material  (3)'!ONJ653:OOB3729,3,0),"")</f>
        <v/>
      </c>
      <c r="ONL671" t="str">
        <f>IFERROR(VLOOKUP(ONM671,'[3]Raw material  (3)'!ONK653:OOC3729,3,0),"")</f>
        <v/>
      </c>
      <c r="ONM671" t="str">
        <f>IFERROR(VLOOKUP(ONN671,'[3]Raw material  (3)'!ONL653:OOD3729,3,0),"")</f>
        <v/>
      </c>
      <c r="ONN671" t="str">
        <f>IFERROR(VLOOKUP(ONO671,'[3]Raw material  (3)'!ONM653:OOE3729,3,0),"")</f>
        <v/>
      </c>
      <c r="ONO671" t="str">
        <f>IFERROR(VLOOKUP(ONP671,'[3]Raw material  (3)'!ONN653:OOF3729,3,0),"")</f>
        <v/>
      </c>
      <c r="ONP671" t="str">
        <f>IFERROR(VLOOKUP(ONQ671,'[3]Raw material  (3)'!ONO653:OOG3729,3,0),"")</f>
        <v/>
      </c>
      <c r="ONQ671" t="str">
        <f>IFERROR(VLOOKUP(ONR671,'[3]Raw material  (3)'!ONP653:OOH3729,3,0),"")</f>
        <v/>
      </c>
      <c r="ONR671" t="str">
        <f>IFERROR(VLOOKUP(ONS671,'[3]Raw material  (3)'!ONQ653:OOI3729,3,0),"")</f>
        <v/>
      </c>
      <c r="ONS671" t="str">
        <f>IFERROR(VLOOKUP(ONT671,'[3]Raw material  (3)'!ONR653:OOJ3729,3,0),"")</f>
        <v/>
      </c>
      <c r="ONT671" t="str">
        <f>IFERROR(VLOOKUP(ONU671,'[3]Raw material  (3)'!ONS653:OOK3729,3,0),"")</f>
        <v/>
      </c>
      <c r="ONU671" t="str">
        <f>IFERROR(VLOOKUP(ONV671,'[3]Raw material  (3)'!ONT653:OOL3729,3,0),"")</f>
        <v/>
      </c>
      <c r="ONV671" t="str">
        <f>IFERROR(VLOOKUP(ONW671,'[3]Raw material  (3)'!ONU653:OOM3729,3,0),"")</f>
        <v/>
      </c>
      <c r="ONW671" t="str">
        <f>IFERROR(VLOOKUP(ONX671,'[3]Raw material  (3)'!ONV653:OON3729,3,0),"")</f>
        <v/>
      </c>
      <c r="ONX671" t="str">
        <f>IFERROR(VLOOKUP(ONY671,'[3]Raw material  (3)'!ONW653:OOO3729,3,0),"")</f>
        <v/>
      </c>
      <c r="ONY671" t="str">
        <f>IFERROR(VLOOKUP(ONZ671,'[3]Raw material  (3)'!ONX653:OOP3729,3,0),"")</f>
        <v/>
      </c>
      <c r="ONZ671" t="str">
        <f>IFERROR(VLOOKUP(OOA671,'[3]Raw material  (3)'!ONY653:OOQ3729,3,0),"")</f>
        <v/>
      </c>
      <c r="OOA671" t="str">
        <f>IFERROR(VLOOKUP(OOB671,'[3]Raw material  (3)'!ONZ653:OOR3729,3,0),"")</f>
        <v/>
      </c>
      <c r="OOB671" t="str">
        <f>IFERROR(VLOOKUP(OOC671,'[3]Raw material  (3)'!OOA653:OOS3729,3,0),"")</f>
        <v/>
      </c>
      <c r="OOC671" t="str">
        <f>IFERROR(VLOOKUP(OOD671,'[3]Raw material  (3)'!OOB653:OOT3729,3,0),"")</f>
        <v/>
      </c>
      <c r="OOD671" t="str">
        <f>IFERROR(VLOOKUP(OOE671,'[3]Raw material  (3)'!OOC653:OOU3729,3,0),"")</f>
        <v/>
      </c>
      <c r="OOE671" t="str">
        <f>IFERROR(VLOOKUP(OOF671,'[3]Raw material  (3)'!OOD653:OOV3729,3,0),"")</f>
        <v/>
      </c>
      <c r="OOF671" t="str">
        <f>IFERROR(VLOOKUP(OOG671,'[3]Raw material  (3)'!OOE653:OOW3729,3,0),"")</f>
        <v/>
      </c>
      <c r="OOG671" t="str">
        <f>IFERROR(VLOOKUP(OOH671,'[3]Raw material  (3)'!OOF653:OOX3729,3,0),"")</f>
        <v/>
      </c>
      <c r="OOH671" t="str">
        <f>IFERROR(VLOOKUP(OOI671,'[3]Raw material  (3)'!OOG653:OOY3729,3,0),"")</f>
        <v/>
      </c>
      <c r="OOI671" t="str">
        <f>IFERROR(VLOOKUP(OOJ671,'[3]Raw material  (3)'!OOH653:OOZ3729,3,0),"")</f>
        <v/>
      </c>
      <c r="OOJ671" t="str">
        <f>IFERROR(VLOOKUP(OOK671,'[3]Raw material  (3)'!OOI653:OPA3729,3,0),"")</f>
        <v/>
      </c>
      <c r="OOK671" t="str">
        <f>IFERROR(VLOOKUP(OOL671,'[3]Raw material  (3)'!OOJ653:OPB3729,3,0),"")</f>
        <v/>
      </c>
      <c r="OOL671" t="str">
        <f>IFERROR(VLOOKUP(OOM671,'[3]Raw material  (3)'!OOK653:OPC3729,3,0),"")</f>
        <v/>
      </c>
      <c r="OOM671" t="str">
        <f>IFERROR(VLOOKUP(OON671,'[3]Raw material  (3)'!OOL653:OPD3729,3,0),"")</f>
        <v/>
      </c>
      <c r="OON671" t="str">
        <f>IFERROR(VLOOKUP(OOO671,'[3]Raw material  (3)'!OOM653:OPE3729,3,0),"")</f>
        <v/>
      </c>
      <c r="OOO671" t="str">
        <f>IFERROR(VLOOKUP(OOP671,'[3]Raw material  (3)'!OON653:OPF3729,3,0),"")</f>
        <v/>
      </c>
      <c r="OOP671" t="str">
        <f>IFERROR(VLOOKUP(OOQ671,'[3]Raw material  (3)'!OOO653:OPG3729,3,0),"")</f>
        <v/>
      </c>
      <c r="OOQ671" t="str">
        <f>IFERROR(VLOOKUP(OOR671,'[3]Raw material  (3)'!OOP653:OPH3729,3,0),"")</f>
        <v/>
      </c>
      <c r="OOR671" t="str">
        <f>IFERROR(VLOOKUP(OOS671,'[3]Raw material  (3)'!OOQ653:OPI3729,3,0),"")</f>
        <v/>
      </c>
      <c r="OOS671" t="str">
        <f>IFERROR(VLOOKUP(OOT671,'[3]Raw material  (3)'!OOR653:OPJ3729,3,0),"")</f>
        <v/>
      </c>
      <c r="OOT671" t="str">
        <f>IFERROR(VLOOKUP(OOU671,'[3]Raw material  (3)'!OOS653:OPK3729,3,0),"")</f>
        <v/>
      </c>
      <c r="OOU671" t="str">
        <f>IFERROR(VLOOKUP(OOV671,'[3]Raw material  (3)'!OOT653:OPL3729,3,0),"")</f>
        <v/>
      </c>
      <c r="OOV671" t="str">
        <f>IFERROR(VLOOKUP(OOW671,'[3]Raw material  (3)'!OOU653:OPM3729,3,0),"")</f>
        <v/>
      </c>
      <c r="OOW671" t="str">
        <f>IFERROR(VLOOKUP(OOX671,'[3]Raw material  (3)'!OOV653:OPN3729,3,0),"")</f>
        <v/>
      </c>
      <c r="OOX671" t="str">
        <f>IFERROR(VLOOKUP(OOY671,'[3]Raw material  (3)'!OOW653:OPO3729,3,0),"")</f>
        <v/>
      </c>
      <c r="OOY671" t="str">
        <f>IFERROR(VLOOKUP(OOZ671,'[3]Raw material  (3)'!OOX653:OPP3729,3,0),"")</f>
        <v/>
      </c>
      <c r="OOZ671" t="str">
        <f>IFERROR(VLOOKUP(OPA671,'[3]Raw material  (3)'!OOY653:OPQ3729,3,0),"")</f>
        <v/>
      </c>
      <c r="OPA671" t="str">
        <f>IFERROR(VLOOKUP(OPB671,'[3]Raw material  (3)'!OOZ653:OPR3729,3,0),"")</f>
        <v/>
      </c>
      <c r="OPB671" t="str">
        <f>IFERROR(VLOOKUP(OPC671,'[3]Raw material  (3)'!OPA653:OPS3729,3,0),"")</f>
        <v/>
      </c>
      <c r="OPC671" t="str">
        <f>IFERROR(VLOOKUP(OPD671,'[3]Raw material  (3)'!OPB653:OPT3729,3,0),"")</f>
        <v/>
      </c>
      <c r="OPD671" t="str">
        <f>IFERROR(VLOOKUP(OPE671,'[3]Raw material  (3)'!OPC653:OPU3729,3,0),"")</f>
        <v/>
      </c>
      <c r="OPE671" t="str">
        <f>IFERROR(VLOOKUP(OPF671,'[3]Raw material  (3)'!OPD653:OPV3729,3,0),"")</f>
        <v/>
      </c>
      <c r="OPF671" t="str">
        <f>IFERROR(VLOOKUP(OPG671,'[3]Raw material  (3)'!OPE653:OPW3729,3,0),"")</f>
        <v/>
      </c>
      <c r="OPG671" t="str">
        <f>IFERROR(VLOOKUP(OPH671,'[3]Raw material  (3)'!OPF653:OPX3729,3,0),"")</f>
        <v/>
      </c>
      <c r="OPH671" t="str">
        <f>IFERROR(VLOOKUP(OPI671,'[3]Raw material  (3)'!OPG653:OPY3729,3,0),"")</f>
        <v/>
      </c>
      <c r="OPI671" t="str">
        <f>IFERROR(VLOOKUP(OPJ671,'[3]Raw material  (3)'!OPH653:OPZ3729,3,0),"")</f>
        <v/>
      </c>
      <c r="OPJ671" t="str">
        <f>IFERROR(VLOOKUP(OPK671,'[3]Raw material  (3)'!OPI653:OQA3729,3,0),"")</f>
        <v/>
      </c>
      <c r="OPK671" t="str">
        <f>IFERROR(VLOOKUP(OPL671,'[3]Raw material  (3)'!OPJ653:OQB3729,3,0),"")</f>
        <v/>
      </c>
      <c r="OPL671" t="str">
        <f>IFERROR(VLOOKUP(OPM671,'[3]Raw material  (3)'!OPK653:OQC3729,3,0),"")</f>
        <v/>
      </c>
      <c r="OPM671" t="str">
        <f>IFERROR(VLOOKUP(OPN671,'[3]Raw material  (3)'!OPL653:OQD3729,3,0),"")</f>
        <v/>
      </c>
      <c r="OPN671" t="str">
        <f>IFERROR(VLOOKUP(OPO671,'[3]Raw material  (3)'!OPM653:OQE3729,3,0),"")</f>
        <v/>
      </c>
      <c r="OPO671" t="str">
        <f>IFERROR(VLOOKUP(OPP671,'[3]Raw material  (3)'!OPN653:OQF3729,3,0),"")</f>
        <v/>
      </c>
      <c r="OPP671" t="str">
        <f>IFERROR(VLOOKUP(OPQ671,'[3]Raw material  (3)'!OPO653:OQG3729,3,0),"")</f>
        <v/>
      </c>
      <c r="OPQ671" t="str">
        <f>IFERROR(VLOOKUP(OPR671,'[3]Raw material  (3)'!OPP653:OQH3729,3,0),"")</f>
        <v/>
      </c>
      <c r="OPR671" t="str">
        <f>IFERROR(VLOOKUP(OPS671,'[3]Raw material  (3)'!OPQ653:OQI3729,3,0),"")</f>
        <v/>
      </c>
      <c r="OPS671" t="str">
        <f>IFERROR(VLOOKUP(OPT671,'[3]Raw material  (3)'!OPR653:OQJ3729,3,0),"")</f>
        <v/>
      </c>
      <c r="OPT671" t="str">
        <f>IFERROR(VLOOKUP(OPU671,'[3]Raw material  (3)'!OPS653:OQK3729,3,0),"")</f>
        <v/>
      </c>
      <c r="OPU671" t="str">
        <f>IFERROR(VLOOKUP(OPV671,'[3]Raw material  (3)'!OPT653:OQL3729,3,0),"")</f>
        <v/>
      </c>
      <c r="OPV671" t="str">
        <f>IFERROR(VLOOKUP(OPW671,'[3]Raw material  (3)'!OPU653:OQM3729,3,0),"")</f>
        <v/>
      </c>
      <c r="OPW671" t="str">
        <f>IFERROR(VLOOKUP(OPX671,'[3]Raw material  (3)'!OPV653:OQN3729,3,0),"")</f>
        <v/>
      </c>
      <c r="OPX671" t="str">
        <f>IFERROR(VLOOKUP(OPY671,'[3]Raw material  (3)'!OPW653:OQO3729,3,0),"")</f>
        <v/>
      </c>
      <c r="OPY671" t="str">
        <f>IFERROR(VLOOKUP(OPZ671,'[3]Raw material  (3)'!OPX653:OQP3729,3,0),"")</f>
        <v/>
      </c>
      <c r="OPZ671" t="str">
        <f>IFERROR(VLOOKUP(OQA671,'[3]Raw material  (3)'!OPY653:OQQ3729,3,0),"")</f>
        <v/>
      </c>
      <c r="OQA671" t="str">
        <f>IFERROR(VLOOKUP(OQB671,'[3]Raw material  (3)'!OPZ653:OQR3729,3,0),"")</f>
        <v/>
      </c>
      <c r="OQB671" t="str">
        <f>IFERROR(VLOOKUP(OQC671,'[3]Raw material  (3)'!OQA653:OQS3729,3,0),"")</f>
        <v/>
      </c>
      <c r="OQC671" t="str">
        <f>IFERROR(VLOOKUP(OQD671,'[3]Raw material  (3)'!OQB653:OQT3729,3,0),"")</f>
        <v/>
      </c>
      <c r="OQD671" t="str">
        <f>IFERROR(VLOOKUP(OQE671,'[3]Raw material  (3)'!OQC653:OQU3729,3,0),"")</f>
        <v/>
      </c>
      <c r="OQE671" t="str">
        <f>IFERROR(VLOOKUP(OQF671,'[3]Raw material  (3)'!OQD653:OQV3729,3,0),"")</f>
        <v/>
      </c>
      <c r="OQF671" t="str">
        <f>IFERROR(VLOOKUP(OQG671,'[3]Raw material  (3)'!OQE653:OQW3729,3,0),"")</f>
        <v/>
      </c>
      <c r="OQG671" t="str">
        <f>IFERROR(VLOOKUP(OQH671,'[3]Raw material  (3)'!OQF653:OQX3729,3,0),"")</f>
        <v/>
      </c>
      <c r="OQH671" t="str">
        <f>IFERROR(VLOOKUP(OQI671,'[3]Raw material  (3)'!OQG653:OQY3729,3,0),"")</f>
        <v/>
      </c>
      <c r="OQI671" t="str">
        <f>IFERROR(VLOOKUP(OQJ671,'[3]Raw material  (3)'!OQH653:OQZ3729,3,0),"")</f>
        <v/>
      </c>
      <c r="OQJ671" t="str">
        <f>IFERROR(VLOOKUP(OQK671,'[3]Raw material  (3)'!OQI653:ORA3729,3,0),"")</f>
        <v/>
      </c>
      <c r="OQK671" t="str">
        <f>IFERROR(VLOOKUP(OQL671,'[3]Raw material  (3)'!OQJ653:ORB3729,3,0),"")</f>
        <v/>
      </c>
      <c r="OQL671" t="str">
        <f>IFERROR(VLOOKUP(OQM671,'[3]Raw material  (3)'!OQK653:ORC3729,3,0),"")</f>
        <v/>
      </c>
      <c r="OQM671" t="str">
        <f>IFERROR(VLOOKUP(OQN671,'[3]Raw material  (3)'!OQL653:ORD3729,3,0),"")</f>
        <v/>
      </c>
      <c r="OQN671" t="str">
        <f>IFERROR(VLOOKUP(OQO671,'[3]Raw material  (3)'!OQM653:ORE3729,3,0),"")</f>
        <v/>
      </c>
      <c r="OQO671" t="str">
        <f>IFERROR(VLOOKUP(OQP671,'[3]Raw material  (3)'!OQN653:ORF3729,3,0),"")</f>
        <v/>
      </c>
      <c r="OQP671" t="str">
        <f>IFERROR(VLOOKUP(OQQ671,'[3]Raw material  (3)'!OQO653:ORG3729,3,0),"")</f>
        <v/>
      </c>
      <c r="OQQ671" t="str">
        <f>IFERROR(VLOOKUP(OQR671,'[3]Raw material  (3)'!OQP653:ORH3729,3,0),"")</f>
        <v/>
      </c>
      <c r="OQR671" t="str">
        <f>IFERROR(VLOOKUP(OQS671,'[3]Raw material  (3)'!OQQ653:ORI3729,3,0),"")</f>
        <v/>
      </c>
      <c r="OQS671" t="str">
        <f>IFERROR(VLOOKUP(OQT671,'[3]Raw material  (3)'!OQR653:ORJ3729,3,0),"")</f>
        <v/>
      </c>
      <c r="OQT671" t="str">
        <f>IFERROR(VLOOKUP(OQU671,'[3]Raw material  (3)'!OQS653:ORK3729,3,0),"")</f>
        <v/>
      </c>
      <c r="OQU671" t="str">
        <f>IFERROR(VLOOKUP(OQV671,'[3]Raw material  (3)'!OQT653:ORL3729,3,0),"")</f>
        <v/>
      </c>
      <c r="OQV671" t="str">
        <f>IFERROR(VLOOKUP(OQW671,'[3]Raw material  (3)'!OQU653:ORM3729,3,0),"")</f>
        <v/>
      </c>
      <c r="OQW671" t="str">
        <f>IFERROR(VLOOKUP(OQX671,'[3]Raw material  (3)'!OQV653:ORN3729,3,0),"")</f>
        <v/>
      </c>
      <c r="OQX671" t="str">
        <f>IFERROR(VLOOKUP(OQY671,'[3]Raw material  (3)'!OQW653:ORO3729,3,0),"")</f>
        <v/>
      </c>
      <c r="OQY671" t="str">
        <f>IFERROR(VLOOKUP(OQZ671,'[3]Raw material  (3)'!OQX653:ORP3729,3,0),"")</f>
        <v/>
      </c>
      <c r="OQZ671" t="str">
        <f>IFERROR(VLOOKUP(ORA671,'[3]Raw material  (3)'!OQY653:ORQ3729,3,0),"")</f>
        <v/>
      </c>
      <c r="ORA671" t="str">
        <f>IFERROR(VLOOKUP(ORB671,'[3]Raw material  (3)'!OQZ653:ORR3729,3,0),"")</f>
        <v/>
      </c>
      <c r="ORB671" t="str">
        <f>IFERROR(VLOOKUP(ORC671,'[3]Raw material  (3)'!ORA653:ORS3729,3,0),"")</f>
        <v/>
      </c>
      <c r="ORC671" t="str">
        <f>IFERROR(VLOOKUP(ORD671,'[3]Raw material  (3)'!ORB653:ORT3729,3,0),"")</f>
        <v/>
      </c>
      <c r="ORD671" t="str">
        <f>IFERROR(VLOOKUP(ORE671,'[3]Raw material  (3)'!ORC653:ORU3729,3,0),"")</f>
        <v/>
      </c>
      <c r="ORE671" t="str">
        <f>IFERROR(VLOOKUP(ORF671,'[3]Raw material  (3)'!ORD653:ORV3729,3,0),"")</f>
        <v/>
      </c>
      <c r="ORF671" t="str">
        <f>IFERROR(VLOOKUP(ORG671,'[3]Raw material  (3)'!ORE653:ORW3729,3,0),"")</f>
        <v/>
      </c>
      <c r="ORG671" t="str">
        <f>IFERROR(VLOOKUP(ORH671,'[3]Raw material  (3)'!ORF653:ORX3729,3,0),"")</f>
        <v/>
      </c>
      <c r="ORH671" t="str">
        <f>IFERROR(VLOOKUP(ORI671,'[3]Raw material  (3)'!ORG653:ORY3729,3,0),"")</f>
        <v/>
      </c>
      <c r="ORI671" t="str">
        <f>IFERROR(VLOOKUP(ORJ671,'[3]Raw material  (3)'!ORH653:ORZ3729,3,0),"")</f>
        <v/>
      </c>
      <c r="ORJ671" t="str">
        <f>IFERROR(VLOOKUP(ORK671,'[3]Raw material  (3)'!ORI653:OSA3729,3,0),"")</f>
        <v/>
      </c>
      <c r="ORK671" t="str">
        <f>IFERROR(VLOOKUP(ORL671,'[3]Raw material  (3)'!ORJ653:OSB3729,3,0),"")</f>
        <v/>
      </c>
      <c r="ORL671" t="str">
        <f>IFERROR(VLOOKUP(ORM671,'[3]Raw material  (3)'!ORK653:OSC3729,3,0),"")</f>
        <v/>
      </c>
      <c r="ORM671" t="str">
        <f>IFERROR(VLOOKUP(ORN671,'[3]Raw material  (3)'!ORL653:OSD3729,3,0),"")</f>
        <v/>
      </c>
      <c r="ORN671" t="str">
        <f>IFERROR(VLOOKUP(ORO671,'[3]Raw material  (3)'!ORM653:OSE3729,3,0),"")</f>
        <v/>
      </c>
      <c r="ORO671" t="str">
        <f>IFERROR(VLOOKUP(ORP671,'[3]Raw material  (3)'!ORN653:OSF3729,3,0),"")</f>
        <v/>
      </c>
      <c r="ORP671" t="str">
        <f>IFERROR(VLOOKUP(ORQ671,'[3]Raw material  (3)'!ORO653:OSG3729,3,0),"")</f>
        <v/>
      </c>
      <c r="ORQ671" t="str">
        <f>IFERROR(VLOOKUP(ORR671,'[3]Raw material  (3)'!ORP653:OSH3729,3,0),"")</f>
        <v/>
      </c>
      <c r="ORR671" t="str">
        <f>IFERROR(VLOOKUP(ORS671,'[3]Raw material  (3)'!ORQ653:OSI3729,3,0),"")</f>
        <v/>
      </c>
      <c r="ORS671" t="str">
        <f>IFERROR(VLOOKUP(ORT671,'[3]Raw material  (3)'!ORR653:OSJ3729,3,0),"")</f>
        <v/>
      </c>
      <c r="ORT671" t="str">
        <f>IFERROR(VLOOKUP(ORU671,'[3]Raw material  (3)'!ORS653:OSK3729,3,0),"")</f>
        <v/>
      </c>
      <c r="ORU671" t="str">
        <f>IFERROR(VLOOKUP(ORV671,'[3]Raw material  (3)'!ORT653:OSL3729,3,0),"")</f>
        <v/>
      </c>
      <c r="ORV671" t="str">
        <f>IFERROR(VLOOKUP(ORW671,'[3]Raw material  (3)'!ORU653:OSM3729,3,0),"")</f>
        <v/>
      </c>
      <c r="ORW671" t="str">
        <f>IFERROR(VLOOKUP(ORX671,'[3]Raw material  (3)'!ORV653:OSN3729,3,0),"")</f>
        <v/>
      </c>
      <c r="ORX671" t="str">
        <f>IFERROR(VLOOKUP(ORY671,'[3]Raw material  (3)'!ORW653:OSO3729,3,0),"")</f>
        <v/>
      </c>
      <c r="ORY671" t="str">
        <f>IFERROR(VLOOKUP(ORZ671,'[3]Raw material  (3)'!ORX653:OSP3729,3,0),"")</f>
        <v/>
      </c>
      <c r="ORZ671" t="str">
        <f>IFERROR(VLOOKUP(OSA671,'[3]Raw material  (3)'!ORY653:OSQ3729,3,0),"")</f>
        <v/>
      </c>
      <c r="OSA671" t="str">
        <f>IFERROR(VLOOKUP(OSB671,'[3]Raw material  (3)'!ORZ653:OSR3729,3,0),"")</f>
        <v/>
      </c>
      <c r="OSB671" t="str">
        <f>IFERROR(VLOOKUP(OSC671,'[3]Raw material  (3)'!OSA653:OSS3729,3,0),"")</f>
        <v/>
      </c>
      <c r="OSC671" t="str">
        <f>IFERROR(VLOOKUP(OSD671,'[3]Raw material  (3)'!OSB653:OST3729,3,0),"")</f>
        <v/>
      </c>
      <c r="OSD671" t="str">
        <f>IFERROR(VLOOKUP(OSE671,'[3]Raw material  (3)'!OSC653:OSU3729,3,0),"")</f>
        <v/>
      </c>
      <c r="OSE671" t="str">
        <f>IFERROR(VLOOKUP(OSF671,'[3]Raw material  (3)'!OSD653:OSV3729,3,0),"")</f>
        <v/>
      </c>
      <c r="OSF671" t="str">
        <f>IFERROR(VLOOKUP(OSG671,'[3]Raw material  (3)'!OSE653:OSW3729,3,0),"")</f>
        <v/>
      </c>
      <c r="OSG671" t="str">
        <f>IFERROR(VLOOKUP(OSH671,'[3]Raw material  (3)'!OSF653:OSX3729,3,0),"")</f>
        <v/>
      </c>
      <c r="OSH671" t="str">
        <f>IFERROR(VLOOKUP(OSI671,'[3]Raw material  (3)'!OSG653:OSY3729,3,0),"")</f>
        <v/>
      </c>
      <c r="OSI671" t="str">
        <f>IFERROR(VLOOKUP(OSJ671,'[3]Raw material  (3)'!OSH653:OSZ3729,3,0),"")</f>
        <v/>
      </c>
      <c r="OSJ671" t="str">
        <f>IFERROR(VLOOKUP(OSK671,'[3]Raw material  (3)'!OSI653:OTA3729,3,0),"")</f>
        <v/>
      </c>
      <c r="OSK671" t="str">
        <f>IFERROR(VLOOKUP(OSL671,'[3]Raw material  (3)'!OSJ653:OTB3729,3,0),"")</f>
        <v/>
      </c>
      <c r="OSL671" t="str">
        <f>IFERROR(VLOOKUP(OSM671,'[3]Raw material  (3)'!OSK653:OTC3729,3,0),"")</f>
        <v/>
      </c>
      <c r="OSM671" t="str">
        <f>IFERROR(VLOOKUP(OSN671,'[3]Raw material  (3)'!OSL653:OTD3729,3,0),"")</f>
        <v/>
      </c>
      <c r="OSN671" t="str">
        <f>IFERROR(VLOOKUP(OSO671,'[3]Raw material  (3)'!OSM653:OTE3729,3,0),"")</f>
        <v/>
      </c>
      <c r="OSO671" t="str">
        <f>IFERROR(VLOOKUP(OSP671,'[3]Raw material  (3)'!OSN653:OTF3729,3,0),"")</f>
        <v/>
      </c>
      <c r="OSP671" t="str">
        <f>IFERROR(VLOOKUP(OSQ671,'[3]Raw material  (3)'!OSO653:OTG3729,3,0),"")</f>
        <v/>
      </c>
      <c r="OSQ671" t="str">
        <f>IFERROR(VLOOKUP(OSR671,'[3]Raw material  (3)'!OSP653:OTH3729,3,0),"")</f>
        <v/>
      </c>
      <c r="OSR671" t="str">
        <f>IFERROR(VLOOKUP(OSS671,'[3]Raw material  (3)'!OSQ653:OTI3729,3,0),"")</f>
        <v/>
      </c>
      <c r="OSS671" t="str">
        <f>IFERROR(VLOOKUP(OST671,'[3]Raw material  (3)'!OSR653:OTJ3729,3,0),"")</f>
        <v/>
      </c>
      <c r="OST671" t="str">
        <f>IFERROR(VLOOKUP(OSU671,'[3]Raw material  (3)'!OSS653:OTK3729,3,0),"")</f>
        <v/>
      </c>
      <c r="OSU671" t="str">
        <f>IFERROR(VLOOKUP(OSV671,'[3]Raw material  (3)'!OST653:OTL3729,3,0),"")</f>
        <v/>
      </c>
      <c r="OSV671" t="str">
        <f>IFERROR(VLOOKUP(OSW671,'[3]Raw material  (3)'!OSU653:OTM3729,3,0),"")</f>
        <v/>
      </c>
      <c r="OSW671" t="str">
        <f>IFERROR(VLOOKUP(OSX671,'[3]Raw material  (3)'!OSV653:OTN3729,3,0),"")</f>
        <v/>
      </c>
      <c r="OSX671" t="str">
        <f>IFERROR(VLOOKUP(OSY671,'[3]Raw material  (3)'!OSW653:OTO3729,3,0),"")</f>
        <v/>
      </c>
      <c r="OSY671" t="str">
        <f>IFERROR(VLOOKUP(OSZ671,'[3]Raw material  (3)'!OSX653:OTP3729,3,0),"")</f>
        <v/>
      </c>
      <c r="OSZ671" t="str">
        <f>IFERROR(VLOOKUP(OTA671,'[3]Raw material  (3)'!OSY653:OTQ3729,3,0),"")</f>
        <v/>
      </c>
      <c r="OTA671" t="str">
        <f>IFERROR(VLOOKUP(OTB671,'[3]Raw material  (3)'!OSZ653:OTR3729,3,0),"")</f>
        <v/>
      </c>
      <c r="OTB671" t="str">
        <f>IFERROR(VLOOKUP(OTC671,'[3]Raw material  (3)'!OTA653:OTS3729,3,0),"")</f>
        <v/>
      </c>
      <c r="OTC671" t="str">
        <f>IFERROR(VLOOKUP(OTD671,'[3]Raw material  (3)'!OTB653:OTT3729,3,0),"")</f>
        <v/>
      </c>
      <c r="OTD671" t="str">
        <f>IFERROR(VLOOKUP(OTE671,'[3]Raw material  (3)'!OTC653:OTU3729,3,0),"")</f>
        <v/>
      </c>
      <c r="OTE671" t="str">
        <f>IFERROR(VLOOKUP(OTF671,'[3]Raw material  (3)'!OTD653:OTV3729,3,0),"")</f>
        <v/>
      </c>
      <c r="OTF671" t="str">
        <f>IFERROR(VLOOKUP(OTG671,'[3]Raw material  (3)'!OTE653:OTW3729,3,0),"")</f>
        <v/>
      </c>
      <c r="OTG671" t="str">
        <f>IFERROR(VLOOKUP(OTH671,'[3]Raw material  (3)'!OTF653:OTX3729,3,0),"")</f>
        <v/>
      </c>
      <c r="OTH671" t="str">
        <f>IFERROR(VLOOKUP(OTI671,'[3]Raw material  (3)'!OTG653:OTY3729,3,0),"")</f>
        <v/>
      </c>
      <c r="OTI671" t="str">
        <f>IFERROR(VLOOKUP(OTJ671,'[3]Raw material  (3)'!OTH653:OTZ3729,3,0),"")</f>
        <v/>
      </c>
      <c r="OTJ671" t="str">
        <f>IFERROR(VLOOKUP(OTK671,'[3]Raw material  (3)'!OTI653:OUA3729,3,0),"")</f>
        <v/>
      </c>
      <c r="OTK671" t="str">
        <f>IFERROR(VLOOKUP(OTL671,'[3]Raw material  (3)'!OTJ653:OUB3729,3,0),"")</f>
        <v/>
      </c>
      <c r="OTL671" t="str">
        <f>IFERROR(VLOOKUP(OTM671,'[3]Raw material  (3)'!OTK653:OUC3729,3,0),"")</f>
        <v/>
      </c>
      <c r="OTM671" t="str">
        <f>IFERROR(VLOOKUP(OTN671,'[3]Raw material  (3)'!OTL653:OUD3729,3,0),"")</f>
        <v/>
      </c>
      <c r="OTN671" t="str">
        <f>IFERROR(VLOOKUP(OTO671,'[3]Raw material  (3)'!OTM653:OUE3729,3,0),"")</f>
        <v/>
      </c>
      <c r="OTO671" t="str">
        <f>IFERROR(VLOOKUP(OTP671,'[3]Raw material  (3)'!OTN653:OUF3729,3,0),"")</f>
        <v/>
      </c>
      <c r="OTP671" t="str">
        <f>IFERROR(VLOOKUP(OTQ671,'[3]Raw material  (3)'!OTO653:OUG3729,3,0),"")</f>
        <v/>
      </c>
      <c r="OTQ671" t="str">
        <f>IFERROR(VLOOKUP(OTR671,'[3]Raw material  (3)'!OTP653:OUH3729,3,0),"")</f>
        <v/>
      </c>
      <c r="OTR671" t="str">
        <f>IFERROR(VLOOKUP(OTS671,'[3]Raw material  (3)'!OTQ653:OUI3729,3,0),"")</f>
        <v/>
      </c>
      <c r="OTS671" t="str">
        <f>IFERROR(VLOOKUP(OTT671,'[3]Raw material  (3)'!OTR653:OUJ3729,3,0),"")</f>
        <v/>
      </c>
      <c r="OTT671" t="str">
        <f>IFERROR(VLOOKUP(OTU671,'[3]Raw material  (3)'!OTS653:OUK3729,3,0),"")</f>
        <v/>
      </c>
      <c r="OTU671" t="str">
        <f>IFERROR(VLOOKUP(OTV671,'[3]Raw material  (3)'!OTT653:OUL3729,3,0),"")</f>
        <v/>
      </c>
      <c r="OTV671" t="str">
        <f>IFERROR(VLOOKUP(OTW671,'[3]Raw material  (3)'!OTU653:OUM3729,3,0),"")</f>
        <v/>
      </c>
      <c r="OTW671" t="str">
        <f>IFERROR(VLOOKUP(OTX671,'[3]Raw material  (3)'!OTV653:OUN3729,3,0),"")</f>
        <v/>
      </c>
      <c r="OTX671" t="str">
        <f>IFERROR(VLOOKUP(OTY671,'[3]Raw material  (3)'!OTW653:OUO3729,3,0),"")</f>
        <v/>
      </c>
      <c r="OTY671" t="str">
        <f>IFERROR(VLOOKUP(OTZ671,'[3]Raw material  (3)'!OTX653:OUP3729,3,0),"")</f>
        <v/>
      </c>
      <c r="OTZ671" t="str">
        <f>IFERROR(VLOOKUP(OUA671,'[3]Raw material  (3)'!OTY653:OUQ3729,3,0),"")</f>
        <v/>
      </c>
      <c r="OUA671" t="str">
        <f>IFERROR(VLOOKUP(OUB671,'[3]Raw material  (3)'!OTZ653:OUR3729,3,0),"")</f>
        <v/>
      </c>
      <c r="OUB671" t="str">
        <f>IFERROR(VLOOKUP(OUC671,'[3]Raw material  (3)'!OUA653:OUS3729,3,0),"")</f>
        <v/>
      </c>
      <c r="OUC671" t="str">
        <f>IFERROR(VLOOKUP(OUD671,'[3]Raw material  (3)'!OUB653:OUT3729,3,0),"")</f>
        <v/>
      </c>
      <c r="OUD671" t="str">
        <f>IFERROR(VLOOKUP(OUE671,'[3]Raw material  (3)'!OUC653:OUU3729,3,0),"")</f>
        <v/>
      </c>
      <c r="OUE671" t="str">
        <f>IFERROR(VLOOKUP(OUF671,'[3]Raw material  (3)'!OUD653:OUV3729,3,0),"")</f>
        <v/>
      </c>
      <c r="OUF671" t="str">
        <f>IFERROR(VLOOKUP(OUG671,'[3]Raw material  (3)'!OUE653:OUW3729,3,0),"")</f>
        <v/>
      </c>
      <c r="OUG671" t="str">
        <f>IFERROR(VLOOKUP(OUH671,'[3]Raw material  (3)'!OUF653:OUX3729,3,0),"")</f>
        <v/>
      </c>
      <c r="OUH671" t="str">
        <f>IFERROR(VLOOKUP(OUI671,'[3]Raw material  (3)'!OUG653:OUY3729,3,0),"")</f>
        <v/>
      </c>
      <c r="OUI671" t="str">
        <f>IFERROR(VLOOKUP(OUJ671,'[3]Raw material  (3)'!OUH653:OUZ3729,3,0),"")</f>
        <v/>
      </c>
      <c r="OUJ671" t="str">
        <f>IFERROR(VLOOKUP(OUK671,'[3]Raw material  (3)'!OUI653:OVA3729,3,0),"")</f>
        <v/>
      </c>
      <c r="OUK671" t="str">
        <f>IFERROR(VLOOKUP(OUL671,'[3]Raw material  (3)'!OUJ653:OVB3729,3,0),"")</f>
        <v/>
      </c>
      <c r="OUL671" t="str">
        <f>IFERROR(VLOOKUP(OUM671,'[3]Raw material  (3)'!OUK653:OVC3729,3,0),"")</f>
        <v/>
      </c>
      <c r="OUM671" t="str">
        <f>IFERROR(VLOOKUP(OUN671,'[3]Raw material  (3)'!OUL653:OVD3729,3,0),"")</f>
        <v/>
      </c>
      <c r="OUN671" t="str">
        <f>IFERROR(VLOOKUP(OUO671,'[3]Raw material  (3)'!OUM653:OVE3729,3,0),"")</f>
        <v/>
      </c>
      <c r="OUO671" t="str">
        <f>IFERROR(VLOOKUP(OUP671,'[3]Raw material  (3)'!OUN653:OVF3729,3,0),"")</f>
        <v/>
      </c>
      <c r="OUP671" t="str">
        <f>IFERROR(VLOOKUP(OUQ671,'[3]Raw material  (3)'!OUO653:OVG3729,3,0),"")</f>
        <v/>
      </c>
      <c r="OUQ671" t="str">
        <f>IFERROR(VLOOKUP(OUR671,'[3]Raw material  (3)'!OUP653:OVH3729,3,0),"")</f>
        <v/>
      </c>
      <c r="OUR671" t="str">
        <f>IFERROR(VLOOKUP(OUS671,'[3]Raw material  (3)'!OUQ653:OVI3729,3,0),"")</f>
        <v/>
      </c>
      <c r="OUS671" t="str">
        <f>IFERROR(VLOOKUP(OUT671,'[3]Raw material  (3)'!OUR653:OVJ3729,3,0),"")</f>
        <v/>
      </c>
      <c r="OUT671" t="str">
        <f>IFERROR(VLOOKUP(OUU671,'[3]Raw material  (3)'!OUS653:OVK3729,3,0),"")</f>
        <v/>
      </c>
      <c r="OUU671" t="str">
        <f>IFERROR(VLOOKUP(OUV671,'[3]Raw material  (3)'!OUT653:OVL3729,3,0),"")</f>
        <v/>
      </c>
      <c r="OUV671" t="str">
        <f>IFERROR(VLOOKUP(OUW671,'[3]Raw material  (3)'!OUU653:OVM3729,3,0),"")</f>
        <v/>
      </c>
      <c r="OUW671" t="str">
        <f>IFERROR(VLOOKUP(OUX671,'[3]Raw material  (3)'!OUV653:OVN3729,3,0),"")</f>
        <v/>
      </c>
      <c r="OUX671" t="str">
        <f>IFERROR(VLOOKUP(OUY671,'[3]Raw material  (3)'!OUW653:OVO3729,3,0),"")</f>
        <v/>
      </c>
      <c r="OUY671" t="str">
        <f>IFERROR(VLOOKUP(OUZ671,'[3]Raw material  (3)'!OUX653:OVP3729,3,0),"")</f>
        <v/>
      </c>
      <c r="OUZ671" t="str">
        <f>IFERROR(VLOOKUP(OVA671,'[3]Raw material  (3)'!OUY653:OVQ3729,3,0),"")</f>
        <v/>
      </c>
      <c r="OVA671" t="str">
        <f>IFERROR(VLOOKUP(OVB671,'[3]Raw material  (3)'!OUZ653:OVR3729,3,0),"")</f>
        <v/>
      </c>
      <c r="OVB671" t="str">
        <f>IFERROR(VLOOKUP(OVC671,'[3]Raw material  (3)'!OVA653:OVS3729,3,0),"")</f>
        <v/>
      </c>
      <c r="OVC671" t="str">
        <f>IFERROR(VLOOKUP(OVD671,'[3]Raw material  (3)'!OVB653:OVT3729,3,0),"")</f>
        <v/>
      </c>
      <c r="OVD671" t="str">
        <f>IFERROR(VLOOKUP(OVE671,'[3]Raw material  (3)'!OVC653:OVU3729,3,0),"")</f>
        <v/>
      </c>
      <c r="OVE671" t="str">
        <f>IFERROR(VLOOKUP(OVF671,'[3]Raw material  (3)'!OVD653:OVV3729,3,0),"")</f>
        <v/>
      </c>
      <c r="OVF671" t="str">
        <f>IFERROR(VLOOKUP(OVG671,'[3]Raw material  (3)'!OVE653:OVW3729,3,0),"")</f>
        <v/>
      </c>
      <c r="OVG671" t="str">
        <f>IFERROR(VLOOKUP(OVH671,'[3]Raw material  (3)'!OVF653:OVX3729,3,0),"")</f>
        <v/>
      </c>
      <c r="OVH671" t="str">
        <f>IFERROR(VLOOKUP(OVI671,'[3]Raw material  (3)'!OVG653:OVY3729,3,0),"")</f>
        <v/>
      </c>
      <c r="OVI671" t="str">
        <f>IFERROR(VLOOKUP(OVJ671,'[3]Raw material  (3)'!OVH653:OVZ3729,3,0),"")</f>
        <v/>
      </c>
      <c r="OVJ671" t="str">
        <f>IFERROR(VLOOKUP(OVK671,'[3]Raw material  (3)'!OVI653:OWA3729,3,0),"")</f>
        <v/>
      </c>
      <c r="OVK671" t="str">
        <f>IFERROR(VLOOKUP(OVL671,'[3]Raw material  (3)'!OVJ653:OWB3729,3,0),"")</f>
        <v/>
      </c>
      <c r="OVL671" t="str">
        <f>IFERROR(VLOOKUP(OVM671,'[3]Raw material  (3)'!OVK653:OWC3729,3,0),"")</f>
        <v/>
      </c>
      <c r="OVM671" t="str">
        <f>IFERROR(VLOOKUP(OVN671,'[3]Raw material  (3)'!OVL653:OWD3729,3,0),"")</f>
        <v/>
      </c>
      <c r="OVN671" t="str">
        <f>IFERROR(VLOOKUP(OVO671,'[3]Raw material  (3)'!OVM653:OWE3729,3,0),"")</f>
        <v/>
      </c>
      <c r="OVO671" t="str">
        <f>IFERROR(VLOOKUP(OVP671,'[3]Raw material  (3)'!OVN653:OWF3729,3,0),"")</f>
        <v/>
      </c>
      <c r="OVP671" t="str">
        <f>IFERROR(VLOOKUP(OVQ671,'[3]Raw material  (3)'!OVO653:OWG3729,3,0),"")</f>
        <v/>
      </c>
      <c r="OVQ671" t="str">
        <f>IFERROR(VLOOKUP(OVR671,'[3]Raw material  (3)'!OVP653:OWH3729,3,0),"")</f>
        <v/>
      </c>
      <c r="OVR671" t="str">
        <f>IFERROR(VLOOKUP(OVS671,'[3]Raw material  (3)'!OVQ653:OWI3729,3,0),"")</f>
        <v/>
      </c>
      <c r="OVS671" t="str">
        <f>IFERROR(VLOOKUP(OVT671,'[3]Raw material  (3)'!OVR653:OWJ3729,3,0),"")</f>
        <v/>
      </c>
      <c r="OVT671" t="str">
        <f>IFERROR(VLOOKUP(OVU671,'[3]Raw material  (3)'!OVS653:OWK3729,3,0),"")</f>
        <v/>
      </c>
      <c r="OVU671" t="str">
        <f>IFERROR(VLOOKUP(OVV671,'[3]Raw material  (3)'!OVT653:OWL3729,3,0),"")</f>
        <v/>
      </c>
      <c r="OVV671" t="str">
        <f>IFERROR(VLOOKUP(OVW671,'[3]Raw material  (3)'!OVU653:OWM3729,3,0),"")</f>
        <v/>
      </c>
      <c r="OVW671" t="str">
        <f>IFERROR(VLOOKUP(OVX671,'[3]Raw material  (3)'!OVV653:OWN3729,3,0),"")</f>
        <v/>
      </c>
      <c r="OVX671" t="str">
        <f>IFERROR(VLOOKUP(OVY671,'[3]Raw material  (3)'!OVW653:OWO3729,3,0),"")</f>
        <v/>
      </c>
      <c r="OVY671" t="str">
        <f>IFERROR(VLOOKUP(OVZ671,'[3]Raw material  (3)'!OVX653:OWP3729,3,0),"")</f>
        <v/>
      </c>
      <c r="OVZ671" t="str">
        <f>IFERROR(VLOOKUP(OWA671,'[3]Raw material  (3)'!OVY653:OWQ3729,3,0),"")</f>
        <v/>
      </c>
      <c r="OWA671" t="str">
        <f>IFERROR(VLOOKUP(OWB671,'[3]Raw material  (3)'!OVZ653:OWR3729,3,0),"")</f>
        <v/>
      </c>
      <c r="OWB671" t="str">
        <f>IFERROR(VLOOKUP(OWC671,'[3]Raw material  (3)'!OWA653:OWS3729,3,0),"")</f>
        <v/>
      </c>
      <c r="OWC671" t="str">
        <f>IFERROR(VLOOKUP(OWD671,'[3]Raw material  (3)'!OWB653:OWT3729,3,0),"")</f>
        <v/>
      </c>
      <c r="OWD671" t="str">
        <f>IFERROR(VLOOKUP(OWE671,'[3]Raw material  (3)'!OWC653:OWU3729,3,0),"")</f>
        <v/>
      </c>
      <c r="OWE671" t="str">
        <f>IFERROR(VLOOKUP(OWF671,'[3]Raw material  (3)'!OWD653:OWV3729,3,0),"")</f>
        <v/>
      </c>
      <c r="OWF671" t="str">
        <f>IFERROR(VLOOKUP(OWG671,'[3]Raw material  (3)'!OWE653:OWW3729,3,0),"")</f>
        <v/>
      </c>
      <c r="OWG671" t="str">
        <f>IFERROR(VLOOKUP(OWH671,'[3]Raw material  (3)'!OWF653:OWX3729,3,0),"")</f>
        <v/>
      </c>
      <c r="OWH671" t="str">
        <f>IFERROR(VLOOKUP(OWI671,'[3]Raw material  (3)'!OWG653:OWY3729,3,0),"")</f>
        <v/>
      </c>
      <c r="OWI671" t="str">
        <f>IFERROR(VLOOKUP(OWJ671,'[3]Raw material  (3)'!OWH653:OWZ3729,3,0),"")</f>
        <v/>
      </c>
      <c r="OWJ671" t="str">
        <f>IFERROR(VLOOKUP(OWK671,'[3]Raw material  (3)'!OWI653:OXA3729,3,0),"")</f>
        <v/>
      </c>
      <c r="OWK671" t="str">
        <f>IFERROR(VLOOKUP(OWL671,'[3]Raw material  (3)'!OWJ653:OXB3729,3,0),"")</f>
        <v/>
      </c>
      <c r="OWL671" t="str">
        <f>IFERROR(VLOOKUP(OWM671,'[3]Raw material  (3)'!OWK653:OXC3729,3,0),"")</f>
        <v/>
      </c>
      <c r="OWM671" t="str">
        <f>IFERROR(VLOOKUP(OWN671,'[3]Raw material  (3)'!OWL653:OXD3729,3,0),"")</f>
        <v/>
      </c>
      <c r="OWN671" t="str">
        <f>IFERROR(VLOOKUP(OWO671,'[3]Raw material  (3)'!OWM653:OXE3729,3,0),"")</f>
        <v/>
      </c>
      <c r="OWO671" t="str">
        <f>IFERROR(VLOOKUP(OWP671,'[3]Raw material  (3)'!OWN653:OXF3729,3,0),"")</f>
        <v/>
      </c>
      <c r="OWP671" t="str">
        <f>IFERROR(VLOOKUP(OWQ671,'[3]Raw material  (3)'!OWO653:OXG3729,3,0),"")</f>
        <v/>
      </c>
      <c r="OWQ671" t="str">
        <f>IFERROR(VLOOKUP(OWR671,'[3]Raw material  (3)'!OWP653:OXH3729,3,0),"")</f>
        <v/>
      </c>
      <c r="OWR671" t="str">
        <f>IFERROR(VLOOKUP(OWS671,'[3]Raw material  (3)'!OWQ653:OXI3729,3,0),"")</f>
        <v/>
      </c>
      <c r="OWS671" t="str">
        <f>IFERROR(VLOOKUP(OWT671,'[3]Raw material  (3)'!OWR653:OXJ3729,3,0),"")</f>
        <v/>
      </c>
      <c r="OWT671" t="str">
        <f>IFERROR(VLOOKUP(OWU671,'[3]Raw material  (3)'!OWS653:OXK3729,3,0),"")</f>
        <v/>
      </c>
      <c r="OWU671" t="str">
        <f>IFERROR(VLOOKUP(OWV671,'[3]Raw material  (3)'!OWT653:OXL3729,3,0),"")</f>
        <v/>
      </c>
      <c r="OWV671" t="str">
        <f>IFERROR(VLOOKUP(OWW671,'[3]Raw material  (3)'!OWU653:OXM3729,3,0),"")</f>
        <v/>
      </c>
      <c r="OWW671" t="str">
        <f>IFERROR(VLOOKUP(OWX671,'[3]Raw material  (3)'!OWV653:OXN3729,3,0),"")</f>
        <v/>
      </c>
      <c r="OWX671" t="str">
        <f>IFERROR(VLOOKUP(OWY671,'[3]Raw material  (3)'!OWW653:OXO3729,3,0),"")</f>
        <v/>
      </c>
      <c r="OWY671" t="str">
        <f>IFERROR(VLOOKUP(OWZ671,'[3]Raw material  (3)'!OWX653:OXP3729,3,0),"")</f>
        <v/>
      </c>
      <c r="OWZ671" t="str">
        <f>IFERROR(VLOOKUP(OXA671,'[3]Raw material  (3)'!OWY653:OXQ3729,3,0),"")</f>
        <v/>
      </c>
      <c r="OXA671" t="str">
        <f>IFERROR(VLOOKUP(OXB671,'[3]Raw material  (3)'!OWZ653:OXR3729,3,0),"")</f>
        <v/>
      </c>
      <c r="OXB671" t="str">
        <f>IFERROR(VLOOKUP(OXC671,'[3]Raw material  (3)'!OXA653:OXS3729,3,0),"")</f>
        <v/>
      </c>
      <c r="OXC671" t="str">
        <f>IFERROR(VLOOKUP(OXD671,'[3]Raw material  (3)'!OXB653:OXT3729,3,0),"")</f>
        <v/>
      </c>
      <c r="OXD671" t="str">
        <f>IFERROR(VLOOKUP(OXE671,'[3]Raw material  (3)'!OXC653:OXU3729,3,0),"")</f>
        <v/>
      </c>
      <c r="OXE671" t="str">
        <f>IFERROR(VLOOKUP(OXF671,'[3]Raw material  (3)'!OXD653:OXV3729,3,0),"")</f>
        <v/>
      </c>
      <c r="OXF671" t="str">
        <f>IFERROR(VLOOKUP(OXG671,'[3]Raw material  (3)'!OXE653:OXW3729,3,0),"")</f>
        <v/>
      </c>
      <c r="OXG671" t="str">
        <f>IFERROR(VLOOKUP(OXH671,'[3]Raw material  (3)'!OXF653:OXX3729,3,0),"")</f>
        <v/>
      </c>
      <c r="OXH671" t="str">
        <f>IFERROR(VLOOKUP(OXI671,'[3]Raw material  (3)'!OXG653:OXY3729,3,0),"")</f>
        <v/>
      </c>
      <c r="OXI671" t="str">
        <f>IFERROR(VLOOKUP(OXJ671,'[3]Raw material  (3)'!OXH653:OXZ3729,3,0),"")</f>
        <v/>
      </c>
      <c r="OXJ671" t="str">
        <f>IFERROR(VLOOKUP(OXK671,'[3]Raw material  (3)'!OXI653:OYA3729,3,0),"")</f>
        <v/>
      </c>
      <c r="OXK671" t="str">
        <f>IFERROR(VLOOKUP(OXL671,'[3]Raw material  (3)'!OXJ653:OYB3729,3,0),"")</f>
        <v/>
      </c>
      <c r="OXL671" t="str">
        <f>IFERROR(VLOOKUP(OXM671,'[3]Raw material  (3)'!OXK653:OYC3729,3,0),"")</f>
        <v/>
      </c>
      <c r="OXM671" t="str">
        <f>IFERROR(VLOOKUP(OXN671,'[3]Raw material  (3)'!OXL653:OYD3729,3,0),"")</f>
        <v/>
      </c>
      <c r="OXN671" t="str">
        <f>IFERROR(VLOOKUP(OXO671,'[3]Raw material  (3)'!OXM653:OYE3729,3,0),"")</f>
        <v/>
      </c>
      <c r="OXO671" t="str">
        <f>IFERROR(VLOOKUP(OXP671,'[3]Raw material  (3)'!OXN653:OYF3729,3,0),"")</f>
        <v/>
      </c>
      <c r="OXP671" t="str">
        <f>IFERROR(VLOOKUP(OXQ671,'[3]Raw material  (3)'!OXO653:OYG3729,3,0),"")</f>
        <v/>
      </c>
      <c r="OXQ671" t="str">
        <f>IFERROR(VLOOKUP(OXR671,'[3]Raw material  (3)'!OXP653:OYH3729,3,0),"")</f>
        <v/>
      </c>
      <c r="OXR671" t="str">
        <f>IFERROR(VLOOKUP(OXS671,'[3]Raw material  (3)'!OXQ653:OYI3729,3,0),"")</f>
        <v/>
      </c>
      <c r="OXS671" t="str">
        <f>IFERROR(VLOOKUP(OXT671,'[3]Raw material  (3)'!OXR653:OYJ3729,3,0),"")</f>
        <v/>
      </c>
      <c r="OXT671" t="str">
        <f>IFERROR(VLOOKUP(OXU671,'[3]Raw material  (3)'!OXS653:OYK3729,3,0),"")</f>
        <v/>
      </c>
      <c r="OXU671" t="str">
        <f>IFERROR(VLOOKUP(OXV671,'[3]Raw material  (3)'!OXT653:OYL3729,3,0),"")</f>
        <v/>
      </c>
      <c r="OXV671" t="str">
        <f>IFERROR(VLOOKUP(OXW671,'[3]Raw material  (3)'!OXU653:OYM3729,3,0),"")</f>
        <v/>
      </c>
      <c r="OXW671" t="str">
        <f>IFERROR(VLOOKUP(OXX671,'[3]Raw material  (3)'!OXV653:OYN3729,3,0),"")</f>
        <v/>
      </c>
      <c r="OXX671" t="str">
        <f>IFERROR(VLOOKUP(OXY671,'[3]Raw material  (3)'!OXW653:OYO3729,3,0),"")</f>
        <v/>
      </c>
      <c r="OXY671" t="str">
        <f>IFERROR(VLOOKUP(OXZ671,'[3]Raw material  (3)'!OXX653:OYP3729,3,0),"")</f>
        <v/>
      </c>
      <c r="OXZ671" t="str">
        <f>IFERROR(VLOOKUP(OYA671,'[3]Raw material  (3)'!OXY653:OYQ3729,3,0),"")</f>
        <v/>
      </c>
      <c r="OYA671" t="str">
        <f>IFERROR(VLOOKUP(OYB671,'[3]Raw material  (3)'!OXZ653:OYR3729,3,0),"")</f>
        <v/>
      </c>
      <c r="OYB671" t="str">
        <f>IFERROR(VLOOKUP(OYC671,'[3]Raw material  (3)'!OYA653:OYS3729,3,0),"")</f>
        <v/>
      </c>
      <c r="OYC671" t="str">
        <f>IFERROR(VLOOKUP(OYD671,'[3]Raw material  (3)'!OYB653:OYT3729,3,0),"")</f>
        <v/>
      </c>
      <c r="OYD671" t="str">
        <f>IFERROR(VLOOKUP(OYE671,'[3]Raw material  (3)'!OYC653:OYU3729,3,0),"")</f>
        <v/>
      </c>
      <c r="OYE671" t="str">
        <f>IFERROR(VLOOKUP(OYF671,'[3]Raw material  (3)'!OYD653:OYV3729,3,0),"")</f>
        <v/>
      </c>
      <c r="OYF671" t="str">
        <f>IFERROR(VLOOKUP(OYG671,'[3]Raw material  (3)'!OYE653:OYW3729,3,0),"")</f>
        <v/>
      </c>
      <c r="OYG671" t="str">
        <f>IFERROR(VLOOKUP(OYH671,'[3]Raw material  (3)'!OYF653:OYX3729,3,0),"")</f>
        <v/>
      </c>
      <c r="OYH671" t="str">
        <f>IFERROR(VLOOKUP(OYI671,'[3]Raw material  (3)'!OYG653:OYY3729,3,0),"")</f>
        <v/>
      </c>
      <c r="OYI671" t="str">
        <f>IFERROR(VLOOKUP(OYJ671,'[3]Raw material  (3)'!OYH653:OYZ3729,3,0),"")</f>
        <v/>
      </c>
      <c r="OYJ671" t="str">
        <f>IFERROR(VLOOKUP(OYK671,'[3]Raw material  (3)'!OYI653:OZA3729,3,0),"")</f>
        <v/>
      </c>
      <c r="OYK671" t="str">
        <f>IFERROR(VLOOKUP(OYL671,'[3]Raw material  (3)'!OYJ653:OZB3729,3,0),"")</f>
        <v/>
      </c>
      <c r="OYL671" t="str">
        <f>IFERROR(VLOOKUP(OYM671,'[3]Raw material  (3)'!OYK653:OZC3729,3,0),"")</f>
        <v/>
      </c>
      <c r="OYM671" t="str">
        <f>IFERROR(VLOOKUP(OYN671,'[3]Raw material  (3)'!OYL653:OZD3729,3,0),"")</f>
        <v/>
      </c>
      <c r="OYN671" t="str">
        <f>IFERROR(VLOOKUP(OYO671,'[3]Raw material  (3)'!OYM653:OZE3729,3,0),"")</f>
        <v/>
      </c>
      <c r="OYO671" t="str">
        <f>IFERROR(VLOOKUP(OYP671,'[3]Raw material  (3)'!OYN653:OZF3729,3,0),"")</f>
        <v/>
      </c>
      <c r="OYP671" t="str">
        <f>IFERROR(VLOOKUP(OYQ671,'[3]Raw material  (3)'!OYO653:OZG3729,3,0),"")</f>
        <v/>
      </c>
      <c r="OYQ671" t="str">
        <f>IFERROR(VLOOKUP(OYR671,'[3]Raw material  (3)'!OYP653:OZH3729,3,0),"")</f>
        <v/>
      </c>
      <c r="OYR671" t="str">
        <f>IFERROR(VLOOKUP(OYS671,'[3]Raw material  (3)'!OYQ653:OZI3729,3,0),"")</f>
        <v/>
      </c>
      <c r="OYS671" t="str">
        <f>IFERROR(VLOOKUP(OYT671,'[3]Raw material  (3)'!OYR653:OZJ3729,3,0),"")</f>
        <v/>
      </c>
      <c r="OYT671" t="str">
        <f>IFERROR(VLOOKUP(OYU671,'[3]Raw material  (3)'!OYS653:OZK3729,3,0),"")</f>
        <v/>
      </c>
      <c r="OYU671" t="str">
        <f>IFERROR(VLOOKUP(OYV671,'[3]Raw material  (3)'!OYT653:OZL3729,3,0),"")</f>
        <v/>
      </c>
      <c r="OYV671" t="str">
        <f>IFERROR(VLOOKUP(OYW671,'[3]Raw material  (3)'!OYU653:OZM3729,3,0),"")</f>
        <v/>
      </c>
      <c r="OYW671" t="str">
        <f>IFERROR(VLOOKUP(OYX671,'[3]Raw material  (3)'!OYV653:OZN3729,3,0),"")</f>
        <v/>
      </c>
      <c r="OYX671" t="str">
        <f>IFERROR(VLOOKUP(OYY671,'[3]Raw material  (3)'!OYW653:OZO3729,3,0),"")</f>
        <v/>
      </c>
      <c r="OYY671" t="str">
        <f>IFERROR(VLOOKUP(OYZ671,'[3]Raw material  (3)'!OYX653:OZP3729,3,0),"")</f>
        <v/>
      </c>
      <c r="OYZ671" t="str">
        <f>IFERROR(VLOOKUP(OZA671,'[3]Raw material  (3)'!OYY653:OZQ3729,3,0),"")</f>
        <v/>
      </c>
      <c r="OZA671" t="str">
        <f>IFERROR(VLOOKUP(OZB671,'[3]Raw material  (3)'!OYZ653:OZR3729,3,0),"")</f>
        <v/>
      </c>
      <c r="OZB671" t="str">
        <f>IFERROR(VLOOKUP(OZC671,'[3]Raw material  (3)'!OZA653:OZS3729,3,0),"")</f>
        <v/>
      </c>
      <c r="OZC671" t="str">
        <f>IFERROR(VLOOKUP(OZD671,'[3]Raw material  (3)'!OZB653:OZT3729,3,0),"")</f>
        <v/>
      </c>
      <c r="OZD671" t="str">
        <f>IFERROR(VLOOKUP(OZE671,'[3]Raw material  (3)'!OZC653:OZU3729,3,0),"")</f>
        <v/>
      </c>
      <c r="OZE671" t="str">
        <f>IFERROR(VLOOKUP(OZF671,'[3]Raw material  (3)'!OZD653:OZV3729,3,0),"")</f>
        <v/>
      </c>
      <c r="OZF671" t="str">
        <f>IFERROR(VLOOKUP(OZG671,'[3]Raw material  (3)'!OZE653:OZW3729,3,0),"")</f>
        <v/>
      </c>
      <c r="OZG671" t="str">
        <f>IFERROR(VLOOKUP(OZH671,'[3]Raw material  (3)'!OZF653:OZX3729,3,0),"")</f>
        <v/>
      </c>
      <c r="OZH671" t="str">
        <f>IFERROR(VLOOKUP(OZI671,'[3]Raw material  (3)'!OZG653:OZY3729,3,0),"")</f>
        <v/>
      </c>
      <c r="OZI671" t="str">
        <f>IFERROR(VLOOKUP(OZJ671,'[3]Raw material  (3)'!OZH653:OZZ3729,3,0),"")</f>
        <v/>
      </c>
      <c r="OZJ671" t="str">
        <f>IFERROR(VLOOKUP(OZK671,'[3]Raw material  (3)'!OZI653:PAA3729,3,0),"")</f>
        <v/>
      </c>
      <c r="OZK671" t="str">
        <f>IFERROR(VLOOKUP(OZL671,'[3]Raw material  (3)'!OZJ653:PAB3729,3,0),"")</f>
        <v/>
      </c>
      <c r="OZL671" t="str">
        <f>IFERROR(VLOOKUP(OZM671,'[3]Raw material  (3)'!OZK653:PAC3729,3,0),"")</f>
        <v/>
      </c>
      <c r="OZM671" t="str">
        <f>IFERROR(VLOOKUP(OZN671,'[3]Raw material  (3)'!OZL653:PAD3729,3,0),"")</f>
        <v/>
      </c>
      <c r="OZN671" t="str">
        <f>IFERROR(VLOOKUP(OZO671,'[3]Raw material  (3)'!OZM653:PAE3729,3,0),"")</f>
        <v/>
      </c>
      <c r="OZO671" t="str">
        <f>IFERROR(VLOOKUP(OZP671,'[3]Raw material  (3)'!OZN653:PAF3729,3,0),"")</f>
        <v/>
      </c>
      <c r="OZP671" t="str">
        <f>IFERROR(VLOOKUP(OZQ671,'[3]Raw material  (3)'!OZO653:PAG3729,3,0),"")</f>
        <v/>
      </c>
      <c r="OZQ671" t="str">
        <f>IFERROR(VLOOKUP(OZR671,'[3]Raw material  (3)'!OZP653:PAH3729,3,0),"")</f>
        <v/>
      </c>
      <c r="OZR671" t="str">
        <f>IFERROR(VLOOKUP(OZS671,'[3]Raw material  (3)'!OZQ653:PAI3729,3,0),"")</f>
        <v/>
      </c>
      <c r="OZS671" t="str">
        <f>IFERROR(VLOOKUP(OZT671,'[3]Raw material  (3)'!OZR653:PAJ3729,3,0),"")</f>
        <v/>
      </c>
      <c r="OZT671" t="str">
        <f>IFERROR(VLOOKUP(OZU671,'[3]Raw material  (3)'!OZS653:PAK3729,3,0),"")</f>
        <v/>
      </c>
      <c r="OZU671" t="str">
        <f>IFERROR(VLOOKUP(OZV671,'[3]Raw material  (3)'!OZT653:PAL3729,3,0),"")</f>
        <v/>
      </c>
      <c r="OZV671" t="str">
        <f>IFERROR(VLOOKUP(OZW671,'[3]Raw material  (3)'!OZU653:PAM3729,3,0),"")</f>
        <v/>
      </c>
      <c r="OZW671" t="str">
        <f>IFERROR(VLOOKUP(OZX671,'[3]Raw material  (3)'!OZV653:PAN3729,3,0),"")</f>
        <v/>
      </c>
      <c r="OZX671" t="str">
        <f>IFERROR(VLOOKUP(OZY671,'[3]Raw material  (3)'!OZW653:PAO3729,3,0),"")</f>
        <v/>
      </c>
      <c r="OZY671" t="str">
        <f>IFERROR(VLOOKUP(OZZ671,'[3]Raw material  (3)'!OZX653:PAP3729,3,0),"")</f>
        <v/>
      </c>
      <c r="OZZ671" t="str">
        <f>IFERROR(VLOOKUP(PAA671,'[3]Raw material  (3)'!OZY653:PAQ3729,3,0),"")</f>
        <v/>
      </c>
      <c r="PAA671" t="str">
        <f>IFERROR(VLOOKUP(PAB671,'[3]Raw material  (3)'!OZZ653:PAR3729,3,0),"")</f>
        <v/>
      </c>
      <c r="PAB671" t="str">
        <f>IFERROR(VLOOKUP(PAC671,'[3]Raw material  (3)'!PAA653:PAS3729,3,0),"")</f>
        <v/>
      </c>
      <c r="PAC671" t="str">
        <f>IFERROR(VLOOKUP(PAD671,'[3]Raw material  (3)'!PAB653:PAT3729,3,0),"")</f>
        <v/>
      </c>
      <c r="PAD671" t="str">
        <f>IFERROR(VLOOKUP(PAE671,'[3]Raw material  (3)'!PAC653:PAU3729,3,0),"")</f>
        <v/>
      </c>
      <c r="PAE671" t="str">
        <f>IFERROR(VLOOKUP(PAF671,'[3]Raw material  (3)'!PAD653:PAV3729,3,0),"")</f>
        <v/>
      </c>
      <c r="PAF671" t="str">
        <f>IFERROR(VLOOKUP(PAG671,'[3]Raw material  (3)'!PAE653:PAW3729,3,0),"")</f>
        <v/>
      </c>
      <c r="PAG671" t="str">
        <f>IFERROR(VLOOKUP(PAH671,'[3]Raw material  (3)'!PAF653:PAX3729,3,0),"")</f>
        <v/>
      </c>
      <c r="PAH671" t="str">
        <f>IFERROR(VLOOKUP(PAI671,'[3]Raw material  (3)'!PAG653:PAY3729,3,0),"")</f>
        <v/>
      </c>
      <c r="PAI671" t="str">
        <f>IFERROR(VLOOKUP(PAJ671,'[3]Raw material  (3)'!PAH653:PAZ3729,3,0),"")</f>
        <v/>
      </c>
      <c r="PAJ671" t="str">
        <f>IFERROR(VLOOKUP(PAK671,'[3]Raw material  (3)'!PAI653:PBA3729,3,0),"")</f>
        <v/>
      </c>
      <c r="PAK671" t="str">
        <f>IFERROR(VLOOKUP(PAL671,'[3]Raw material  (3)'!PAJ653:PBB3729,3,0),"")</f>
        <v/>
      </c>
      <c r="PAL671" t="str">
        <f>IFERROR(VLOOKUP(PAM671,'[3]Raw material  (3)'!PAK653:PBC3729,3,0),"")</f>
        <v/>
      </c>
      <c r="PAM671" t="str">
        <f>IFERROR(VLOOKUP(PAN671,'[3]Raw material  (3)'!PAL653:PBD3729,3,0),"")</f>
        <v/>
      </c>
      <c r="PAN671" t="str">
        <f>IFERROR(VLOOKUP(PAO671,'[3]Raw material  (3)'!PAM653:PBE3729,3,0),"")</f>
        <v/>
      </c>
      <c r="PAO671" t="str">
        <f>IFERROR(VLOOKUP(PAP671,'[3]Raw material  (3)'!PAN653:PBF3729,3,0),"")</f>
        <v/>
      </c>
      <c r="PAP671" t="str">
        <f>IFERROR(VLOOKUP(PAQ671,'[3]Raw material  (3)'!PAO653:PBG3729,3,0),"")</f>
        <v/>
      </c>
      <c r="PAQ671" t="str">
        <f>IFERROR(VLOOKUP(PAR671,'[3]Raw material  (3)'!PAP653:PBH3729,3,0),"")</f>
        <v/>
      </c>
      <c r="PAR671" t="str">
        <f>IFERROR(VLOOKUP(PAS671,'[3]Raw material  (3)'!PAQ653:PBI3729,3,0),"")</f>
        <v/>
      </c>
      <c r="PAS671" t="str">
        <f>IFERROR(VLOOKUP(PAT671,'[3]Raw material  (3)'!PAR653:PBJ3729,3,0),"")</f>
        <v/>
      </c>
      <c r="PAT671" t="str">
        <f>IFERROR(VLOOKUP(PAU671,'[3]Raw material  (3)'!PAS653:PBK3729,3,0),"")</f>
        <v/>
      </c>
      <c r="PAU671" t="str">
        <f>IFERROR(VLOOKUP(PAV671,'[3]Raw material  (3)'!PAT653:PBL3729,3,0),"")</f>
        <v/>
      </c>
      <c r="PAV671" t="str">
        <f>IFERROR(VLOOKUP(PAW671,'[3]Raw material  (3)'!PAU653:PBM3729,3,0),"")</f>
        <v/>
      </c>
      <c r="PAW671" t="str">
        <f>IFERROR(VLOOKUP(PAX671,'[3]Raw material  (3)'!PAV653:PBN3729,3,0),"")</f>
        <v/>
      </c>
      <c r="PAX671" t="str">
        <f>IFERROR(VLOOKUP(PAY671,'[3]Raw material  (3)'!PAW653:PBO3729,3,0),"")</f>
        <v/>
      </c>
      <c r="PAY671" t="str">
        <f>IFERROR(VLOOKUP(PAZ671,'[3]Raw material  (3)'!PAX653:PBP3729,3,0),"")</f>
        <v/>
      </c>
      <c r="PAZ671" t="str">
        <f>IFERROR(VLOOKUP(PBA671,'[3]Raw material  (3)'!PAY653:PBQ3729,3,0),"")</f>
        <v/>
      </c>
      <c r="PBA671" t="str">
        <f>IFERROR(VLOOKUP(PBB671,'[3]Raw material  (3)'!PAZ653:PBR3729,3,0),"")</f>
        <v/>
      </c>
      <c r="PBB671" t="str">
        <f>IFERROR(VLOOKUP(PBC671,'[3]Raw material  (3)'!PBA653:PBS3729,3,0),"")</f>
        <v/>
      </c>
      <c r="PBC671" t="str">
        <f>IFERROR(VLOOKUP(PBD671,'[3]Raw material  (3)'!PBB653:PBT3729,3,0),"")</f>
        <v/>
      </c>
      <c r="PBD671" t="str">
        <f>IFERROR(VLOOKUP(PBE671,'[3]Raw material  (3)'!PBC653:PBU3729,3,0),"")</f>
        <v/>
      </c>
      <c r="PBE671" t="str">
        <f>IFERROR(VLOOKUP(PBF671,'[3]Raw material  (3)'!PBD653:PBV3729,3,0),"")</f>
        <v/>
      </c>
      <c r="PBF671" t="str">
        <f>IFERROR(VLOOKUP(PBG671,'[3]Raw material  (3)'!PBE653:PBW3729,3,0),"")</f>
        <v/>
      </c>
      <c r="PBG671" t="str">
        <f>IFERROR(VLOOKUP(PBH671,'[3]Raw material  (3)'!PBF653:PBX3729,3,0),"")</f>
        <v/>
      </c>
      <c r="PBH671" t="str">
        <f>IFERROR(VLOOKUP(PBI671,'[3]Raw material  (3)'!PBG653:PBY3729,3,0),"")</f>
        <v/>
      </c>
      <c r="PBI671" t="str">
        <f>IFERROR(VLOOKUP(PBJ671,'[3]Raw material  (3)'!PBH653:PBZ3729,3,0),"")</f>
        <v/>
      </c>
      <c r="PBJ671" t="str">
        <f>IFERROR(VLOOKUP(PBK671,'[3]Raw material  (3)'!PBI653:PCA3729,3,0),"")</f>
        <v/>
      </c>
      <c r="PBK671" t="str">
        <f>IFERROR(VLOOKUP(PBL671,'[3]Raw material  (3)'!PBJ653:PCB3729,3,0),"")</f>
        <v/>
      </c>
      <c r="PBL671" t="str">
        <f>IFERROR(VLOOKUP(PBM671,'[3]Raw material  (3)'!PBK653:PCC3729,3,0),"")</f>
        <v/>
      </c>
      <c r="PBM671" t="str">
        <f>IFERROR(VLOOKUP(PBN671,'[3]Raw material  (3)'!PBL653:PCD3729,3,0),"")</f>
        <v/>
      </c>
      <c r="PBN671" t="str">
        <f>IFERROR(VLOOKUP(PBO671,'[3]Raw material  (3)'!PBM653:PCE3729,3,0),"")</f>
        <v/>
      </c>
      <c r="PBO671" t="str">
        <f>IFERROR(VLOOKUP(PBP671,'[3]Raw material  (3)'!PBN653:PCF3729,3,0),"")</f>
        <v/>
      </c>
      <c r="PBP671" t="str">
        <f>IFERROR(VLOOKUP(PBQ671,'[3]Raw material  (3)'!PBO653:PCG3729,3,0),"")</f>
        <v/>
      </c>
      <c r="PBQ671" t="str">
        <f>IFERROR(VLOOKUP(PBR671,'[3]Raw material  (3)'!PBP653:PCH3729,3,0),"")</f>
        <v/>
      </c>
      <c r="PBR671" t="str">
        <f>IFERROR(VLOOKUP(PBS671,'[3]Raw material  (3)'!PBQ653:PCI3729,3,0),"")</f>
        <v/>
      </c>
      <c r="PBS671" t="str">
        <f>IFERROR(VLOOKUP(PBT671,'[3]Raw material  (3)'!PBR653:PCJ3729,3,0),"")</f>
        <v/>
      </c>
      <c r="PBT671" t="str">
        <f>IFERROR(VLOOKUP(PBU671,'[3]Raw material  (3)'!PBS653:PCK3729,3,0),"")</f>
        <v/>
      </c>
      <c r="PBU671" t="str">
        <f>IFERROR(VLOOKUP(PBV671,'[3]Raw material  (3)'!PBT653:PCL3729,3,0),"")</f>
        <v/>
      </c>
      <c r="PBV671" t="str">
        <f>IFERROR(VLOOKUP(PBW671,'[3]Raw material  (3)'!PBU653:PCM3729,3,0),"")</f>
        <v/>
      </c>
      <c r="PBW671" t="str">
        <f>IFERROR(VLOOKUP(PBX671,'[3]Raw material  (3)'!PBV653:PCN3729,3,0),"")</f>
        <v/>
      </c>
      <c r="PBX671" t="str">
        <f>IFERROR(VLOOKUP(PBY671,'[3]Raw material  (3)'!PBW653:PCO3729,3,0),"")</f>
        <v/>
      </c>
      <c r="PBY671" t="str">
        <f>IFERROR(VLOOKUP(PBZ671,'[3]Raw material  (3)'!PBX653:PCP3729,3,0),"")</f>
        <v/>
      </c>
      <c r="PBZ671" t="str">
        <f>IFERROR(VLOOKUP(PCA671,'[3]Raw material  (3)'!PBY653:PCQ3729,3,0),"")</f>
        <v/>
      </c>
      <c r="PCA671" t="str">
        <f>IFERROR(VLOOKUP(PCB671,'[3]Raw material  (3)'!PBZ653:PCR3729,3,0),"")</f>
        <v/>
      </c>
      <c r="PCB671" t="str">
        <f>IFERROR(VLOOKUP(PCC671,'[3]Raw material  (3)'!PCA653:PCS3729,3,0),"")</f>
        <v/>
      </c>
      <c r="PCC671" t="str">
        <f>IFERROR(VLOOKUP(PCD671,'[3]Raw material  (3)'!PCB653:PCT3729,3,0),"")</f>
        <v/>
      </c>
      <c r="PCD671" t="str">
        <f>IFERROR(VLOOKUP(PCE671,'[3]Raw material  (3)'!PCC653:PCU3729,3,0),"")</f>
        <v/>
      </c>
      <c r="PCE671" t="str">
        <f>IFERROR(VLOOKUP(PCF671,'[3]Raw material  (3)'!PCD653:PCV3729,3,0),"")</f>
        <v/>
      </c>
      <c r="PCF671" t="str">
        <f>IFERROR(VLOOKUP(PCG671,'[3]Raw material  (3)'!PCE653:PCW3729,3,0),"")</f>
        <v/>
      </c>
      <c r="PCG671" t="str">
        <f>IFERROR(VLOOKUP(PCH671,'[3]Raw material  (3)'!PCF653:PCX3729,3,0),"")</f>
        <v/>
      </c>
      <c r="PCH671" t="str">
        <f>IFERROR(VLOOKUP(PCI671,'[3]Raw material  (3)'!PCG653:PCY3729,3,0),"")</f>
        <v/>
      </c>
      <c r="PCI671" t="str">
        <f>IFERROR(VLOOKUP(PCJ671,'[3]Raw material  (3)'!PCH653:PCZ3729,3,0),"")</f>
        <v/>
      </c>
      <c r="PCJ671" t="str">
        <f>IFERROR(VLOOKUP(PCK671,'[3]Raw material  (3)'!PCI653:PDA3729,3,0),"")</f>
        <v/>
      </c>
      <c r="PCK671" t="str">
        <f>IFERROR(VLOOKUP(PCL671,'[3]Raw material  (3)'!PCJ653:PDB3729,3,0),"")</f>
        <v/>
      </c>
      <c r="PCL671" t="str">
        <f>IFERROR(VLOOKUP(PCM671,'[3]Raw material  (3)'!PCK653:PDC3729,3,0),"")</f>
        <v/>
      </c>
      <c r="PCM671" t="str">
        <f>IFERROR(VLOOKUP(PCN671,'[3]Raw material  (3)'!PCL653:PDD3729,3,0),"")</f>
        <v/>
      </c>
      <c r="PCN671" t="str">
        <f>IFERROR(VLOOKUP(PCO671,'[3]Raw material  (3)'!PCM653:PDE3729,3,0),"")</f>
        <v/>
      </c>
      <c r="PCO671" t="str">
        <f>IFERROR(VLOOKUP(PCP671,'[3]Raw material  (3)'!PCN653:PDF3729,3,0),"")</f>
        <v/>
      </c>
      <c r="PCP671" t="str">
        <f>IFERROR(VLOOKUP(PCQ671,'[3]Raw material  (3)'!PCO653:PDG3729,3,0),"")</f>
        <v/>
      </c>
      <c r="PCQ671" t="str">
        <f>IFERROR(VLOOKUP(PCR671,'[3]Raw material  (3)'!PCP653:PDH3729,3,0),"")</f>
        <v/>
      </c>
      <c r="PCR671" t="str">
        <f>IFERROR(VLOOKUP(PCS671,'[3]Raw material  (3)'!PCQ653:PDI3729,3,0),"")</f>
        <v/>
      </c>
      <c r="PCS671" t="str">
        <f>IFERROR(VLOOKUP(PCT671,'[3]Raw material  (3)'!PCR653:PDJ3729,3,0),"")</f>
        <v/>
      </c>
      <c r="PCT671" t="str">
        <f>IFERROR(VLOOKUP(PCU671,'[3]Raw material  (3)'!PCS653:PDK3729,3,0),"")</f>
        <v/>
      </c>
      <c r="PCU671" t="str">
        <f>IFERROR(VLOOKUP(PCV671,'[3]Raw material  (3)'!PCT653:PDL3729,3,0),"")</f>
        <v/>
      </c>
      <c r="PCV671" t="str">
        <f>IFERROR(VLOOKUP(PCW671,'[3]Raw material  (3)'!PCU653:PDM3729,3,0),"")</f>
        <v/>
      </c>
      <c r="PCW671" t="str">
        <f>IFERROR(VLOOKUP(PCX671,'[3]Raw material  (3)'!PCV653:PDN3729,3,0),"")</f>
        <v/>
      </c>
      <c r="PCX671" t="str">
        <f>IFERROR(VLOOKUP(PCY671,'[3]Raw material  (3)'!PCW653:PDO3729,3,0),"")</f>
        <v/>
      </c>
      <c r="PCY671" t="str">
        <f>IFERROR(VLOOKUP(PCZ671,'[3]Raw material  (3)'!PCX653:PDP3729,3,0),"")</f>
        <v/>
      </c>
      <c r="PCZ671" t="str">
        <f>IFERROR(VLOOKUP(PDA671,'[3]Raw material  (3)'!PCY653:PDQ3729,3,0),"")</f>
        <v/>
      </c>
      <c r="PDA671" t="str">
        <f>IFERROR(VLOOKUP(PDB671,'[3]Raw material  (3)'!PCZ653:PDR3729,3,0),"")</f>
        <v/>
      </c>
      <c r="PDB671" t="str">
        <f>IFERROR(VLOOKUP(PDC671,'[3]Raw material  (3)'!PDA653:PDS3729,3,0),"")</f>
        <v/>
      </c>
      <c r="PDC671" t="str">
        <f>IFERROR(VLOOKUP(PDD671,'[3]Raw material  (3)'!PDB653:PDT3729,3,0),"")</f>
        <v/>
      </c>
      <c r="PDD671" t="str">
        <f>IFERROR(VLOOKUP(PDE671,'[3]Raw material  (3)'!PDC653:PDU3729,3,0),"")</f>
        <v/>
      </c>
      <c r="PDE671" t="str">
        <f>IFERROR(VLOOKUP(PDF671,'[3]Raw material  (3)'!PDD653:PDV3729,3,0),"")</f>
        <v/>
      </c>
      <c r="PDF671" t="str">
        <f>IFERROR(VLOOKUP(PDG671,'[3]Raw material  (3)'!PDE653:PDW3729,3,0),"")</f>
        <v/>
      </c>
      <c r="PDG671" t="str">
        <f>IFERROR(VLOOKUP(PDH671,'[3]Raw material  (3)'!PDF653:PDX3729,3,0),"")</f>
        <v/>
      </c>
      <c r="PDH671" t="str">
        <f>IFERROR(VLOOKUP(PDI671,'[3]Raw material  (3)'!PDG653:PDY3729,3,0),"")</f>
        <v/>
      </c>
      <c r="PDI671" t="str">
        <f>IFERROR(VLOOKUP(PDJ671,'[3]Raw material  (3)'!PDH653:PDZ3729,3,0),"")</f>
        <v/>
      </c>
      <c r="PDJ671" t="str">
        <f>IFERROR(VLOOKUP(PDK671,'[3]Raw material  (3)'!PDI653:PEA3729,3,0),"")</f>
        <v/>
      </c>
      <c r="PDK671" t="str">
        <f>IFERROR(VLOOKUP(PDL671,'[3]Raw material  (3)'!PDJ653:PEB3729,3,0),"")</f>
        <v/>
      </c>
      <c r="PDL671" t="str">
        <f>IFERROR(VLOOKUP(PDM671,'[3]Raw material  (3)'!PDK653:PEC3729,3,0),"")</f>
        <v/>
      </c>
      <c r="PDM671" t="str">
        <f>IFERROR(VLOOKUP(PDN671,'[3]Raw material  (3)'!PDL653:PED3729,3,0),"")</f>
        <v/>
      </c>
      <c r="PDN671" t="str">
        <f>IFERROR(VLOOKUP(PDO671,'[3]Raw material  (3)'!PDM653:PEE3729,3,0),"")</f>
        <v/>
      </c>
      <c r="PDO671" t="str">
        <f>IFERROR(VLOOKUP(PDP671,'[3]Raw material  (3)'!PDN653:PEF3729,3,0),"")</f>
        <v/>
      </c>
      <c r="PDP671" t="str">
        <f>IFERROR(VLOOKUP(PDQ671,'[3]Raw material  (3)'!PDO653:PEG3729,3,0),"")</f>
        <v/>
      </c>
      <c r="PDQ671" t="str">
        <f>IFERROR(VLOOKUP(PDR671,'[3]Raw material  (3)'!PDP653:PEH3729,3,0),"")</f>
        <v/>
      </c>
      <c r="PDR671" t="str">
        <f>IFERROR(VLOOKUP(PDS671,'[3]Raw material  (3)'!PDQ653:PEI3729,3,0),"")</f>
        <v/>
      </c>
      <c r="PDS671" t="str">
        <f>IFERROR(VLOOKUP(PDT671,'[3]Raw material  (3)'!PDR653:PEJ3729,3,0),"")</f>
        <v/>
      </c>
      <c r="PDT671" t="str">
        <f>IFERROR(VLOOKUP(PDU671,'[3]Raw material  (3)'!PDS653:PEK3729,3,0),"")</f>
        <v/>
      </c>
      <c r="PDU671" t="str">
        <f>IFERROR(VLOOKUP(PDV671,'[3]Raw material  (3)'!PDT653:PEL3729,3,0),"")</f>
        <v/>
      </c>
      <c r="PDV671" t="str">
        <f>IFERROR(VLOOKUP(PDW671,'[3]Raw material  (3)'!PDU653:PEM3729,3,0),"")</f>
        <v/>
      </c>
      <c r="PDW671" t="str">
        <f>IFERROR(VLOOKUP(PDX671,'[3]Raw material  (3)'!PDV653:PEN3729,3,0),"")</f>
        <v/>
      </c>
      <c r="PDX671" t="str">
        <f>IFERROR(VLOOKUP(PDY671,'[3]Raw material  (3)'!PDW653:PEO3729,3,0),"")</f>
        <v/>
      </c>
      <c r="PDY671" t="str">
        <f>IFERROR(VLOOKUP(PDZ671,'[3]Raw material  (3)'!PDX653:PEP3729,3,0),"")</f>
        <v/>
      </c>
      <c r="PDZ671" t="str">
        <f>IFERROR(VLOOKUP(PEA671,'[3]Raw material  (3)'!PDY653:PEQ3729,3,0),"")</f>
        <v/>
      </c>
      <c r="PEA671" t="str">
        <f>IFERROR(VLOOKUP(PEB671,'[3]Raw material  (3)'!PDZ653:PER3729,3,0),"")</f>
        <v/>
      </c>
      <c r="PEB671" t="str">
        <f>IFERROR(VLOOKUP(PEC671,'[3]Raw material  (3)'!PEA653:PES3729,3,0),"")</f>
        <v/>
      </c>
      <c r="PEC671" t="str">
        <f>IFERROR(VLOOKUP(PED671,'[3]Raw material  (3)'!PEB653:PET3729,3,0),"")</f>
        <v/>
      </c>
      <c r="PED671" t="str">
        <f>IFERROR(VLOOKUP(PEE671,'[3]Raw material  (3)'!PEC653:PEU3729,3,0),"")</f>
        <v/>
      </c>
      <c r="PEE671" t="str">
        <f>IFERROR(VLOOKUP(PEF671,'[3]Raw material  (3)'!PED653:PEV3729,3,0),"")</f>
        <v/>
      </c>
      <c r="PEF671" t="str">
        <f>IFERROR(VLOOKUP(PEG671,'[3]Raw material  (3)'!PEE653:PEW3729,3,0),"")</f>
        <v/>
      </c>
      <c r="PEG671" t="str">
        <f>IFERROR(VLOOKUP(PEH671,'[3]Raw material  (3)'!PEF653:PEX3729,3,0),"")</f>
        <v/>
      </c>
      <c r="PEH671" t="str">
        <f>IFERROR(VLOOKUP(PEI671,'[3]Raw material  (3)'!PEG653:PEY3729,3,0),"")</f>
        <v/>
      </c>
      <c r="PEI671" t="str">
        <f>IFERROR(VLOOKUP(PEJ671,'[3]Raw material  (3)'!PEH653:PEZ3729,3,0),"")</f>
        <v/>
      </c>
      <c r="PEJ671" t="str">
        <f>IFERROR(VLOOKUP(PEK671,'[3]Raw material  (3)'!PEI653:PFA3729,3,0),"")</f>
        <v/>
      </c>
      <c r="PEK671" t="str">
        <f>IFERROR(VLOOKUP(PEL671,'[3]Raw material  (3)'!PEJ653:PFB3729,3,0),"")</f>
        <v/>
      </c>
      <c r="PEL671" t="str">
        <f>IFERROR(VLOOKUP(PEM671,'[3]Raw material  (3)'!PEK653:PFC3729,3,0),"")</f>
        <v/>
      </c>
      <c r="PEM671" t="str">
        <f>IFERROR(VLOOKUP(PEN671,'[3]Raw material  (3)'!PEL653:PFD3729,3,0),"")</f>
        <v/>
      </c>
      <c r="PEN671" t="str">
        <f>IFERROR(VLOOKUP(PEO671,'[3]Raw material  (3)'!PEM653:PFE3729,3,0),"")</f>
        <v/>
      </c>
      <c r="PEO671" t="str">
        <f>IFERROR(VLOOKUP(PEP671,'[3]Raw material  (3)'!PEN653:PFF3729,3,0),"")</f>
        <v/>
      </c>
      <c r="PEP671" t="str">
        <f>IFERROR(VLOOKUP(PEQ671,'[3]Raw material  (3)'!PEO653:PFG3729,3,0),"")</f>
        <v/>
      </c>
      <c r="PEQ671" t="str">
        <f>IFERROR(VLOOKUP(PER671,'[3]Raw material  (3)'!PEP653:PFH3729,3,0),"")</f>
        <v/>
      </c>
      <c r="PER671" t="str">
        <f>IFERROR(VLOOKUP(PES671,'[3]Raw material  (3)'!PEQ653:PFI3729,3,0),"")</f>
        <v/>
      </c>
      <c r="PES671" t="str">
        <f>IFERROR(VLOOKUP(PET671,'[3]Raw material  (3)'!PER653:PFJ3729,3,0),"")</f>
        <v/>
      </c>
      <c r="PET671" t="str">
        <f>IFERROR(VLOOKUP(PEU671,'[3]Raw material  (3)'!PES653:PFK3729,3,0),"")</f>
        <v/>
      </c>
      <c r="PEU671" t="str">
        <f>IFERROR(VLOOKUP(PEV671,'[3]Raw material  (3)'!PET653:PFL3729,3,0),"")</f>
        <v/>
      </c>
      <c r="PEV671" t="str">
        <f>IFERROR(VLOOKUP(PEW671,'[3]Raw material  (3)'!PEU653:PFM3729,3,0),"")</f>
        <v/>
      </c>
      <c r="PEW671" t="str">
        <f>IFERROR(VLOOKUP(PEX671,'[3]Raw material  (3)'!PEV653:PFN3729,3,0),"")</f>
        <v/>
      </c>
      <c r="PEX671" t="str">
        <f>IFERROR(VLOOKUP(PEY671,'[3]Raw material  (3)'!PEW653:PFO3729,3,0),"")</f>
        <v/>
      </c>
      <c r="PEY671" t="str">
        <f>IFERROR(VLOOKUP(PEZ671,'[3]Raw material  (3)'!PEX653:PFP3729,3,0),"")</f>
        <v/>
      </c>
      <c r="PEZ671" t="str">
        <f>IFERROR(VLOOKUP(PFA671,'[3]Raw material  (3)'!PEY653:PFQ3729,3,0),"")</f>
        <v/>
      </c>
      <c r="PFA671" t="str">
        <f>IFERROR(VLOOKUP(PFB671,'[3]Raw material  (3)'!PEZ653:PFR3729,3,0),"")</f>
        <v/>
      </c>
      <c r="PFB671" t="str">
        <f>IFERROR(VLOOKUP(PFC671,'[3]Raw material  (3)'!PFA653:PFS3729,3,0),"")</f>
        <v/>
      </c>
      <c r="PFC671" t="str">
        <f>IFERROR(VLOOKUP(PFD671,'[3]Raw material  (3)'!PFB653:PFT3729,3,0),"")</f>
        <v/>
      </c>
      <c r="PFD671" t="str">
        <f>IFERROR(VLOOKUP(PFE671,'[3]Raw material  (3)'!PFC653:PFU3729,3,0),"")</f>
        <v/>
      </c>
      <c r="PFE671" t="str">
        <f>IFERROR(VLOOKUP(PFF671,'[3]Raw material  (3)'!PFD653:PFV3729,3,0),"")</f>
        <v/>
      </c>
      <c r="PFF671" t="str">
        <f>IFERROR(VLOOKUP(PFG671,'[3]Raw material  (3)'!PFE653:PFW3729,3,0),"")</f>
        <v/>
      </c>
      <c r="PFG671" t="str">
        <f>IFERROR(VLOOKUP(PFH671,'[3]Raw material  (3)'!PFF653:PFX3729,3,0),"")</f>
        <v/>
      </c>
      <c r="PFH671" t="str">
        <f>IFERROR(VLOOKUP(PFI671,'[3]Raw material  (3)'!PFG653:PFY3729,3,0),"")</f>
        <v/>
      </c>
      <c r="PFI671" t="str">
        <f>IFERROR(VLOOKUP(PFJ671,'[3]Raw material  (3)'!PFH653:PFZ3729,3,0),"")</f>
        <v/>
      </c>
      <c r="PFJ671" t="str">
        <f>IFERROR(VLOOKUP(PFK671,'[3]Raw material  (3)'!PFI653:PGA3729,3,0),"")</f>
        <v/>
      </c>
      <c r="PFK671" t="str">
        <f>IFERROR(VLOOKUP(PFL671,'[3]Raw material  (3)'!PFJ653:PGB3729,3,0),"")</f>
        <v/>
      </c>
      <c r="PFL671" t="str">
        <f>IFERROR(VLOOKUP(PFM671,'[3]Raw material  (3)'!PFK653:PGC3729,3,0),"")</f>
        <v/>
      </c>
      <c r="PFM671" t="str">
        <f>IFERROR(VLOOKUP(PFN671,'[3]Raw material  (3)'!PFL653:PGD3729,3,0),"")</f>
        <v/>
      </c>
      <c r="PFN671" t="str">
        <f>IFERROR(VLOOKUP(PFO671,'[3]Raw material  (3)'!PFM653:PGE3729,3,0),"")</f>
        <v/>
      </c>
      <c r="PFO671" t="str">
        <f>IFERROR(VLOOKUP(PFP671,'[3]Raw material  (3)'!PFN653:PGF3729,3,0),"")</f>
        <v/>
      </c>
      <c r="PFP671" t="str">
        <f>IFERROR(VLOOKUP(PFQ671,'[3]Raw material  (3)'!PFO653:PGG3729,3,0),"")</f>
        <v/>
      </c>
      <c r="PFQ671" t="str">
        <f>IFERROR(VLOOKUP(PFR671,'[3]Raw material  (3)'!PFP653:PGH3729,3,0),"")</f>
        <v/>
      </c>
      <c r="PFR671" t="str">
        <f>IFERROR(VLOOKUP(PFS671,'[3]Raw material  (3)'!PFQ653:PGI3729,3,0),"")</f>
        <v/>
      </c>
      <c r="PFS671" t="str">
        <f>IFERROR(VLOOKUP(PFT671,'[3]Raw material  (3)'!PFR653:PGJ3729,3,0),"")</f>
        <v/>
      </c>
      <c r="PFT671" t="str">
        <f>IFERROR(VLOOKUP(PFU671,'[3]Raw material  (3)'!PFS653:PGK3729,3,0),"")</f>
        <v/>
      </c>
      <c r="PFU671" t="str">
        <f>IFERROR(VLOOKUP(PFV671,'[3]Raw material  (3)'!PFT653:PGL3729,3,0),"")</f>
        <v/>
      </c>
      <c r="PFV671" t="str">
        <f>IFERROR(VLOOKUP(PFW671,'[3]Raw material  (3)'!PFU653:PGM3729,3,0),"")</f>
        <v/>
      </c>
      <c r="PFW671" t="str">
        <f>IFERROR(VLOOKUP(PFX671,'[3]Raw material  (3)'!PFV653:PGN3729,3,0),"")</f>
        <v/>
      </c>
      <c r="PFX671" t="str">
        <f>IFERROR(VLOOKUP(PFY671,'[3]Raw material  (3)'!PFW653:PGO3729,3,0),"")</f>
        <v/>
      </c>
      <c r="PFY671" t="str">
        <f>IFERROR(VLOOKUP(PFZ671,'[3]Raw material  (3)'!PFX653:PGP3729,3,0),"")</f>
        <v/>
      </c>
      <c r="PFZ671" t="str">
        <f>IFERROR(VLOOKUP(PGA671,'[3]Raw material  (3)'!PFY653:PGQ3729,3,0),"")</f>
        <v/>
      </c>
      <c r="PGA671" t="str">
        <f>IFERROR(VLOOKUP(PGB671,'[3]Raw material  (3)'!PFZ653:PGR3729,3,0),"")</f>
        <v/>
      </c>
      <c r="PGB671" t="str">
        <f>IFERROR(VLOOKUP(PGC671,'[3]Raw material  (3)'!PGA653:PGS3729,3,0),"")</f>
        <v/>
      </c>
      <c r="PGC671" t="str">
        <f>IFERROR(VLOOKUP(PGD671,'[3]Raw material  (3)'!PGB653:PGT3729,3,0),"")</f>
        <v/>
      </c>
      <c r="PGD671" t="str">
        <f>IFERROR(VLOOKUP(PGE671,'[3]Raw material  (3)'!PGC653:PGU3729,3,0),"")</f>
        <v/>
      </c>
      <c r="PGE671" t="str">
        <f>IFERROR(VLOOKUP(PGF671,'[3]Raw material  (3)'!PGD653:PGV3729,3,0),"")</f>
        <v/>
      </c>
      <c r="PGF671" t="str">
        <f>IFERROR(VLOOKUP(PGG671,'[3]Raw material  (3)'!PGE653:PGW3729,3,0),"")</f>
        <v/>
      </c>
      <c r="PGG671" t="str">
        <f>IFERROR(VLOOKUP(PGH671,'[3]Raw material  (3)'!PGF653:PGX3729,3,0),"")</f>
        <v/>
      </c>
      <c r="PGH671" t="str">
        <f>IFERROR(VLOOKUP(PGI671,'[3]Raw material  (3)'!PGG653:PGY3729,3,0),"")</f>
        <v/>
      </c>
      <c r="PGI671" t="str">
        <f>IFERROR(VLOOKUP(PGJ671,'[3]Raw material  (3)'!PGH653:PGZ3729,3,0),"")</f>
        <v/>
      </c>
      <c r="PGJ671" t="str">
        <f>IFERROR(VLOOKUP(PGK671,'[3]Raw material  (3)'!PGI653:PHA3729,3,0),"")</f>
        <v/>
      </c>
      <c r="PGK671" t="str">
        <f>IFERROR(VLOOKUP(PGL671,'[3]Raw material  (3)'!PGJ653:PHB3729,3,0),"")</f>
        <v/>
      </c>
      <c r="PGL671" t="str">
        <f>IFERROR(VLOOKUP(PGM671,'[3]Raw material  (3)'!PGK653:PHC3729,3,0),"")</f>
        <v/>
      </c>
      <c r="PGM671" t="str">
        <f>IFERROR(VLOOKUP(PGN671,'[3]Raw material  (3)'!PGL653:PHD3729,3,0),"")</f>
        <v/>
      </c>
      <c r="PGN671" t="str">
        <f>IFERROR(VLOOKUP(PGO671,'[3]Raw material  (3)'!PGM653:PHE3729,3,0),"")</f>
        <v/>
      </c>
      <c r="PGO671" t="str">
        <f>IFERROR(VLOOKUP(PGP671,'[3]Raw material  (3)'!PGN653:PHF3729,3,0),"")</f>
        <v/>
      </c>
      <c r="PGP671" t="str">
        <f>IFERROR(VLOOKUP(PGQ671,'[3]Raw material  (3)'!PGO653:PHG3729,3,0),"")</f>
        <v/>
      </c>
      <c r="PGQ671" t="str">
        <f>IFERROR(VLOOKUP(PGR671,'[3]Raw material  (3)'!PGP653:PHH3729,3,0),"")</f>
        <v/>
      </c>
      <c r="PGR671" t="str">
        <f>IFERROR(VLOOKUP(PGS671,'[3]Raw material  (3)'!PGQ653:PHI3729,3,0),"")</f>
        <v/>
      </c>
      <c r="PGS671" t="str">
        <f>IFERROR(VLOOKUP(PGT671,'[3]Raw material  (3)'!PGR653:PHJ3729,3,0),"")</f>
        <v/>
      </c>
      <c r="PGT671" t="str">
        <f>IFERROR(VLOOKUP(PGU671,'[3]Raw material  (3)'!PGS653:PHK3729,3,0),"")</f>
        <v/>
      </c>
      <c r="PGU671" t="str">
        <f>IFERROR(VLOOKUP(PGV671,'[3]Raw material  (3)'!PGT653:PHL3729,3,0),"")</f>
        <v/>
      </c>
      <c r="PGV671" t="str">
        <f>IFERROR(VLOOKUP(PGW671,'[3]Raw material  (3)'!PGU653:PHM3729,3,0),"")</f>
        <v/>
      </c>
      <c r="PGW671" t="str">
        <f>IFERROR(VLOOKUP(PGX671,'[3]Raw material  (3)'!PGV653:PHN3729,3,0),"")</f>
        <v/>
      </c>
      <c r="PGX671" t="str">
        <f>IFERROR(VLOOKUP(PGY671,'[3]Raw material  (3)'!PGW653:PHO3729,3,0),"")</f>
        <v/>
      </c>
      <c r="PGY671" t="str">
        <f>IFERROR(VLOOKUP(PGZ671,'[3]Raw material  (3)'!PGX653:PHP3729,3,0),"")</f>
        <v/>
      </c>
      <c r="PGZ671" t="str">
        <f>IFERROR(VLOOKUP(PHA671,'[3]Raw material  (3)'!PGY653:PHQ3729,3,0),"")</f>
        <v/>
      </c>
      <c r="PHA671" t="str">
        <f>IFERROR(VLOOKUP(PHB671,'[3]Raw material  (3)'!PGZ653:PHR3729,3,0),"")</f>
        <v/>
      </c>
      <c r="PHB671" t="str">
        <f>IFERROR(VLOOKUP(PHC671,'[3]Raw material  (3)'!PHA653:PHS3729,3,0),"")</f>
        <v/>
      </c>
      <c r="PHC671" t="str">
        <f>IFERROR(VLOOKUP(PHD671,'[3]Raw material  (3)'!PHB653:PHT3729,3,0),"")</f>
        <v/>
      </c>
      <c r="PHD671" t="str">
        <f>IFERROR(VLOOKUP(PHE671,'[3]Raw material  (3)'!PHC653:PHU3729,3,0),"")</f>
        <v/>
      </c>
      <c r="PHE671" t="str">
        <f>IFERROR(VLOOKUP(PHF671,'[3]Raw material  (3)'!PHD653:PHV3729,3,0),"")</f>
        <v/>
      </c>
      <c r="PHF671" t="str">
        <f>IFERROR(VLOOKUP(PHG671,'[3]Raw material  (3)'!PHE653:PHW3729,3,0),"")</f>
        <v/>
      </c>
      <c r="PHG671" t="str">
        <f>IFERROR(VLOOKUP(PHH671,'[3]Raw material  (3)'!PHF653:PHX3729,3,0),"")</f>
        <v/>
      </c>
      <c r="PHH671" t="str">
        <f>IFERROR(VLOOKUP(PHI671,'[3]Raw material  (3)'!PHG653:PHY3729,3,0),"")</f>
        <v/>
      </c>
      <c r="PHI671" t="str">
        <f>IFERROR(VLOOKUP(PHJ671,'[3]Raw material  (3)'!PHH653:PHZ3729,3,0),"")</f>
        <v/>
      </c>
      <c r="PHJ671" t="str">
        <f>IFERROR(VLOOKUP(PHK671,'[3]Raw material  (3)'!PHI653:PIA3729,3,0),"")</f>
        <v/>
      </c>
      <c r="PHK671" t="str">
        <f>IFERROR(VLOOKUP(PHL671,'[3]Raw material  (3)'!PHJ653:PIB3729,3,0),"")</f>
        <v/>
      </c>
      <c r="PHL671" t="str">
        <f>IFERROR(VLOOKUP(PHM671,'[3]Raw material  (3)'!PHK653:PIC3729,3,0),"")</f>
        <v/>
      </c>
      <c r="PHM671" t="str">
        <f>IFERROR(VLOOKUP(PHN671,'[3]Raw material  (3)'!PHL653:PID3729,3,0),"")</f>
        <v/>
      </c>
      <c r="PHN671" t="str">
        <f>IFERROR(VLOOKUP(PHO671,'[3]Raw material  (3)'!PHM653:PIE3729,3,0),"")</f>
        <v/>
      </c>
      <c r="PHO671" t="str">
        <f>IFERROR(VLOOKUP(PHP671,'[3]Raw material  (3)'!PHN653:PIF3729,3,0),"")</f>
        <v/>
      </c>
      <c r="PHP671" t="str">
        <f>IFERROR(VLOOKUP(PHQ671,'[3]Raw material  (3)'!PHO653:PIG3729,3,0),"")</f>
        <v/>
      </c>
      <c r="PHQ671" t="str">
        <f>IFERROR(VLOOKUP(PHR671,'[3]Raw material  (3)'!PHP653:PIH3729,3,0),"")</f>
        <v/>
      </c>
      <c r="PHR671" t="str">
        <f>IFERROR(VLOOKUP(PHS671,'[3]Raw material  (3)'!PHQ653:PII3729,3,0),"")</f>
        <v/>
      </c>
      <c r="PHS671" t="str">
        <f>IFERROR(VLOOKUP(PHT671,'[3]Raw material  (3)'!PHR653:PIJ3729,3,0),"")</f>
        <v/>
      </c>
      <c r="PHT671" t="str">
        <f>IFERROR(VLOOKUP(PHU671,'[3]Raw material  (3)'!PHS653:PIK3729,3,0),"")</f>
        <v/>
      </c>
      <c r="PHU671" t="str">
        <f>IFERROR(VLOOKUP(PHV671,'[3]Raw material  (3)'!PHT653:PIL3729,3,0),"")</f>
        <v/>
      </c>
      <c r="PHV671" t="str">
        <f>IFERROR(VLOOKUP(PHW671,'[3]Raw material  (3)'!PHU653:PIM3729,3,0),"")</f>
        <v/>
      </c>
      <c r="PHW671" t="str">
        <f>IFERROR(VLOOKUP(PHX671,'[3]Raw material  (3)'!PHV653:PIN3729,3,0),"")</f>
        <v/>
      </c>
      <c r="PHX671" t="str">
        <f>IFERROR(VLOOKUP(PHY671,'[3]Raw material  (3)'!PHW653:PIO3729,3,0),"")</f>
        <v/>
      </c>
      <c r="PHY671" t="str">
        <f>IFERROR(VLOOKUP(PHZ671,'[3]Raw material  (3)'!PHX653:PIP3729,3,0),"")</f>
        <v/>
      </c>
      <c r="PHZ671" t="str">
        <f>IFERROR(VLOOKUP(PIA671,'[3]Raw material  (3)'!PHY653:PIQ3729,3,0),"")</f>
        <v/>
      </c>
      <c r="PIA671" t="str">
        <f>IFERROR(VLOOKUP(PIB671,'[3]Raw material  (3)'!PHZ653:PIR3729,3,0),"")</f>
        <v/>
      </c>
      <c r="PIB671" t="str">
        <f>IFERROR(VLOOKUP(PIC671,'[3]Raw material  (3)'!PIA653:PIS3729,3,0),"")</f>
        <v/>
      </c>
      <c r="PIC671" t="str">
        <f>IFERROR(VLOOKUP(PID671,'[3]Raw material  (3)'!PIB653:PIT3729,3,0),"")</f>
        <v/>
      </c>
      <c r="PID671" t="str">
        <f>IFERROR(VLOOKUP(PIE671,'[3]Raw material  (3)'!PIC653:PIU3729,3,0),"")</f>
        <v/>
      </c>
      <c r="PIE671" t="str">
        <f>IFERROR(VLOOKUP(PIF671,'[3]Raw material  (3)'!PID653:PIV3729,3,0),"")</f>
        <v/>
      </c>
      <c r="PIF671" t="str">
        <f>IFERROR(VLOOKUP(PIG671,'[3]Raw material  (3)'!PIE653:PIW3729,3,0),"")</f>
        <v/>
      </c>
      <c r="PIG671" t="str">
        <f>IFERROR(VLOOKUP(PIH671,'[3]Raw material  (3)'!PIF653:PIX3729,3,0),"")</f>
        <v/>
      </c>
      <c r="PIH671" t="str">
        <f>IFERROR(VLOOKUP(PII671,'[3]Raw material  (3)'!PIG653:PIY3729,3,0),"")</f>
        <v/>
      </c>
      <c r="PII671" t="str">
        <f>IFERROR(VLOOKUP(PIJ671,'[3]Raw material  (3)'!PIH653:PIZ3729,3,0),"")</f>
        <v/>
      </c>
      <c r="PIJ671" t="str">
        <f>IFERROR(VLOOKUP(PIK671,'[3]Raw material  (3)'!PII653:PJA3729,3,0),"")</f>
        <v/>
      </c>
      <c r="PIK671" t="str">
        <f>IFERROR(VLOOKUP(PIL671,'[3]Raw material  (3)'!PIJ653:PJB3729,3,0),"")</f>
        <v/>
      </c>
      <c r="PIL671" t="str">
        <f>IFERROR(VLOOKUP(PIM671,'[3]Raw material  (3)'!PIK653:PJC3729,3,0),"")</f>
        <v/>
      </c>
      <c r="PIM671" t="str">
        <f>IFERROR(VLOOKUP(PIN671,'[3]Raw material  (3)'!PIL653:PJD3729,3,0),"")</f>
        <v/>
      </c>
      <c r="PIN671" t="str">
        <f>IFERROR(VLOOKUP(PIO671,'[3]Raw material  (3)'!PIM653:PJE3729,3,0),"")</f>
        <v/>
      </c>
      <c r="PIO671" t="str">
        <f>IFERROR(VLOOKUP(PIP671,'[3]Raw material  (3)'!PIN653:PJF3729,3,0),"")</f>
        <v/>
      </c>
      <c r="PIP671" t="str">
        <f>IFERROR(VLOOKUP(PIQ671,'[3]Raw material  (3)'!PIO653:PJG3729,3,0),"")</f>
        <v/>
      </c>
      <c r="PIQ671" t="str">
        <f>IFERROR(VLOOKUP(PIR671,'[3]Raw material  (3)'!PIP653:PJH3729,3,0),"")</f>
        <v/>
      </c>
      <c r="PIR671" t="str">
        <f>IFERROR(VLOOKUP(PIS671,'[3]Raw material  (3)'!PIQ653:PJI3729,3,0),"")</f>
        <v/>
      </c>
      <c r="PIS671" t="str">
        <f>IFERROR(VLOOKUP(PIT671,'[3]Raw material  (3)'!PIR653:PJJ3729,3,0),"")</f>
        <v/>
      </c>
      <c r="PIT671" t="str">
        <f>IFERROR(VLOOKUP(PIU671,'[3]Raw material  (3)'!PIS653:PJK3729,3,0),"")</f>
        <v/>
      </c>
      <c r="PIU671" t="str">
        <f>IFERROR(VLOOKUP(PIV671,'[3]Raw material  (3)'!PIT653:PJL3729,3,0),"")</f>
        <v/>
      </c>
      <c r="PIV671" t="str">
        <f>IFERROR(VLOOKUP(PIW671,'[3]Raw material  (3)'!PIU653:PJM3729,3,0),"")</f>
        <v/>
      </c>
      <c r="PIW671" t="str">
        <f>IFERROR(VLOOKUP(PIX671,'[3]Raw material  (3)'!PIV653:PJN3729,3,0),"")</f>
        <v/>
      </c>
      <c r="PIX671" t="str">
        <f>IFERROR(VLOOKUP(PIY671,'[3]Raw material  (3)'!PIW653:PJO3729,3,0),"")</f>
        <v/>
      </c>
      <c r="PIY671" t="str">
        <f>IFERROR(VLOOKUP(PIZ671,'[3]Raw material  (3)'!PIX653:PJP3729,3,0),"")</f>
        <v/>
      </c>
      <c r="PIZ671" t="str">
        <f>IFERROR(VLOOKUP(PJA671,'[3]Raw material  (3)'!PIY653:PJQ3729,3,0),"")</f>
        <v/>
      </c>
      <c r="PJA671" t="str">
        <f>IFERROR(VLOOKUP(PJB671,'[3]Raw material  (3)'!PIZ653:PJR3729,3,0),"")</f>
        <v/>
      </c>
      <c r="PJB671" t="str">
        <f>IFERROR(VLOOKUP(PJC671,'[3]Raw material  (3)'!PJA653:PJS3729,3,0),"")</f>
        <v/>
      </c>
      <c r="PJC671" t="str">
        <f>IFERROR(VLOOKUP(PJD671,'[3]Raw material  (3)'!PJB653:PJT3729,3,0),"")</f>
        <v/>
      </c>
      <c r="PJD671" t="str">
        <f>IFERROR(VLOOKUP(PJE671,'[3]Raw material  (3)'!PJC653:PJU3729,3,0),"")</f>
        <v/>
      </c>
      <c r="PJE671" t="str">
        <f>IFERROR(VLOOKUP(PJF671,'[3]Raw material  (3)'!PJD653:PJV3729,3,0),"")</f>
        <v/>
      </c>
      <c r="PJF671" t="str">
        <f>IFERROR(VLOOKUP(PJG671,'[3]Raw material  (3)'!PJE653:PJW3729,3,0),"")</f>
        <v/>
      </c>
      <c r="PJG671" t="str">
        <f>IFERROR(VLOOKUP(PJH671,'[3]Raw material  (3)'!PJF653:PJX3729,3,0),"")</f>
        <v/>
      </c>
      <c r="PJH671" t="str">
        <f>IFERROR(VLOOKUP(PJI671,'[3]Raw material  (3)'!PJG653:PJY3729,3,0),"")</f>
        <v/>
      </c>
      <c r="PJI671" t="str">
        <f>IFERROR(VLOOKUP(PJJ671,'[3]Raw material  (3)'!PJH653:PJZ3729,3,0),"")</f>
        <v/>
      </c>
      <c r="PJJ671" t="str">
        <f>IFERROR(VLOOKUP(PJK671,'[3]Raw material  (3)'!PJI653:PKA3729,3,0),"")</f>
        <v/>
      </c>
      <c r="PJK671" t="str">
        <f>IFERROR(VLOOKUP(PJL671,'[3]Raw material  (3)'!PJJ653:PKB3729,3,0),"")</f>
        <v/>
      </c>
      <c r="PJL671" t="str">
        <f>IFERROR(VLOOKUP(PJM671,'[3]Raw material  (3)'!PJK653:PKC3729,3,0),"")</f>
        <v/>
      </c>
      <c r="PJM671" t="str">
        <f>IFERROR(VLOOKUP(PJN671,'[3]Raw material  (3)'!PJL653:PKD3729,3,0),"")</f>
        <v/>
      </c>
      <c r="PJN671" t="str">
        <f>IFERROR(VLOOKUP(PJO671,'[3]Raw material  (3)'!PJM653:PKE3729,3,0),"")</f>
        <v/>
      </c>
      <c r="PJO671" t="str">
        <f>IFERROR(VLOOKUP(PJP671,'[3]Raw material  (3)'!PJN653:PKF3729,3,0),"")</f>
        <v/>
      </c>
      <c r="PJP671" t="str">
        <f>IFERROR(VLOOKUP(PJQ671,'[3]Raw material  (3)'!PJO653:PKG3729,3,0),"")</f>
        <v/>
      </c>
      <c r="PJQ671" t="str">
        <f>IFERROR(VLOOKUP(PJR671,'[3]Raw material  (3)'!PJP653:PKH3729,3,0),"")</f>
        <v/>
      </c>
      <c r="PJR671" t="str">
        <f>IFERROR(VLOOKUP(PJS671,'[3]Raw material  (3)'!PJQ653:PKI3729,3,0),"")</f>
        <v/>
      </c>
      <c r="PJS671" t="str">
        <f>IFERROR(VLOOKUP(PJT671,'[3]Raw material  (3)'!PJR653:PKJ3729,3,0),"")</f>
        <v/>
      </c>
      <c r="PJT671" t="str">
        <f>IFERROR(VLOOKUP(PJU671,'[3]Raw material  (3)'!PJS653:PKK3729,3,0),"")</f>
        <v/>
      </c>
      <c r="PJU671" t="str">
        <f>IFERROR(VLOOKUP(PJV671,'[3]Raw material  (3)'!PJT653:PKL3729,3,0),"")</f>
        <v/>
      </c>
      <c r="PJV671" t="str">
        <f>IFERROR(VLOOKUP(PJW671,'[3]Raw material  (3)'!PJU653:PKM3729,3,0),"")</f>
        <v/>
      </c>
      <c r="PJW671" t="str">
        <f>IFERROR(VLOOKUP(PJX671,'[3]Raw material  (3)'!PJV653:PKN3729,3,0),"")</f>
        <v/>
      </c>
      <c r="PJX671" t="str">
        <f>IFERROR(VLOOKUP(PJY671,'[3]Raw material  (3)'!PJW653:PKO3729,3,0),"")</f>
        <v/>
      </c>
      <c r="PJY671" t="str">
        <f>IFERROR(VLOOKUP(PJZ671,'[3]Raw material  (3)'!PJX653:PKP3729,3,0),"")</f>
        <v/>
      </c>
      <c r="PJZ671" t="str">
        <f>IFERROR(VLOOKUP(PKA671,'[3]Raw material  (3)'!PJY653:PKQ3729,3,0),"")</f>
        <v/>
      </c>
      <c r="PKA671" t="str">
        <f>IFERROR(VLOOKUP(PKB671,'[3]Raw material  (3)'!PJZ653:PKR3729,3,0),"")</f>
        <v/>
      </c>
      <c r="PKB671" t="str">
        <f>IFERROR(VLOOKUP(PKC671,'[3]Raw material  (3)'!PKA653:PKS3729,3,0),"")</f>
        <v/>
      </c>
      <c r="PKC671" t="str">
        <f>IFERROR(VLOOKUP(PKD671,'[3]Raw material  (3)'!PKB653:PKT3729,3,0),"")</f>
        <v/>
      </c>
      <c r="PKD671" t="str">
        <f>IFERROR(VLOOKUP(PKE671,'[3]Raw material  (3)'!PKC653:PKU3729,3,0),"")</f>
        <v/>
      </c>
      <c r="PKE671" t="str">
        <f>IFERROR(VLOOKUP(PKF671,'[3]Raw material  (3)'!PKD653:PKV3729,3,0),"")</f>
        <v/>
      </c>
      <c r="PKF671" t="str">
        <f>IFERROR(VLOOKUP(PKG671,'[3]Raw material  (3)'!PKE653:PKW3729,3,0),"")</f>
        <v/>
      </c>
      <c r="PKG671" t="str">
        <f>IFERROR(VLOOKUP(PKH671,'[3]Raw material  (3)'!PKF653:PKX3729,3,0),"")</f>
        <v/>
      </c>
      <c r="PKH671" t="str">
        <f>IFERROR(VLOOKUP(PKI671,'[3]Raw material  (3)'!PKG653:PKY3729,3,0),"")</f>
        <v/>
      </c>
      <c r="PKI671" t="str">
        <f>IFERROR(VLOOKUP(PKJ671,'[3]Raw material  (3)'!PKH653:PKZ3729,3,0),"")</f>
        <v/>
      </c>
      <c r="PKJ671" t="str">
        <f>IFERROR(VLOOKUP(PKK671,'[3]Raw material  (3)'!PKI653:PLA3729,3,0),"")</f>
        <v/>
      </c>
      <c r="PKK671" t="str">
        <f>IFERROR(VLOOKUP(PKL671,'[3]Raw material  (3)'!PKJ653:PLB3729,3,0),"")</f>
        <v/>
      </c>
      <c r="PKL671" t="str">
        <f>IFERROR(VLOOKUP(PKM671,'[3]Raw material  (3)'!PKK653:PLC3729,3,0),"")</f>
        <v/>
      </c>
      <c r="PKM671" t="str">
        <f>IFERROR(VLOOKUP(PKN671,'[3]Raw material  (3)'!PKL653:PLD3729,3,0),"")</f>
        <v/>
      </c>
      <c r="PKN671" t="str">
        <f>IFERROR(VLOOKUP(PKO671,'[3]Raw material  (3)'!PKM653:PLE3729,3,0),"")</f>
        <v/>
      </c>
      <c r="PKO671" t="str">
        <f>IFERROR(VLOOKUP(PKP671,'[3]Raw material  (3)'!PKN653:PLF3729,3,0),"")</f>
        <v/>
      </c>
      <c r="PKP671" t="str">
        <f>IFERROR(VLOOKUP(PKQ671,'[3]Raw material  (3)'!PKO653:PLG3729,3,0),"")</f>
        <v/>
      </c>
      <c r="PKQ671" t="str">
        <f>IFERROR(VLOOKUP(PKR671,'[3]Raw material  (3)'!PKP653:PLH3729,3,0),"")</f>
        <v/>
      </c>
      <c r="PKR671" t="str">
        <f>IFERROR(VLOOKUP(PKS671,'[3]Raw material  (3)'!PKQ653:PLI3729,3,0),"")</f>
        <v/>
      </c>
      <c r="PKS671" t="str">
        <f>IFERROR(VLOOKUP(PKT671,'[3]Raw material  (3)'!PKR653:PLJ3729,3,0),"")</f>
        <v/>
      </c>
      <c r="PKT671" t="str">
        <f>IFERROR(VLOOKUP(PKU671,'[3]Raw material  (3)'!PKS653:PLK3729,3,0),"")</f>
        <v/>
      </c>
      <c r="PKU671" t="str">
        <f>IFERROR(VLOOKUP(PKV671,'[3]Raw material  (3)'!PKT653:PLL3729,3,0),"")</f>
        <v/>
      </c>
      <c r="PKV671" t="str">
        <f>IFERROR(VLOOKUP(PKW671,'[3]Raw material  (3)'!PKU653:PLM3729,3,0),"")</f>
        <v/>
      </c>
      <c r="PKW671" t="str">
        <f>IFERROR(VLOOKUP(PKX671,'[3]Raw material  (3)'!PKV653:PLN3729,3,0),"")</f>
        <v/>
      </c>
      <c r="PKX671" t="str">
        <f>IFERROR(VLOOKUP(PKY671,'[3]Raw material  (3)'!PKW653:PLO3729,3,0),"")</f>
        <v/>
      </c>
      <c r="PKY671" t="str">
        <f>IFERROR(VLOOKUP(PKZ671,'[3]Raw material  (3)'!PKX653:PLP3729,3,0),"")</f>
        <v/>
      </c>
      <c r="PKZ671" t="str">
        <f>IFERROR(VLOOKUP(PLA671,'[3]Raw material  (3)'!PKY653:PLQ3729,3,0),"")</f>
        <v/>
      </c>
      <c r="PLA671" t="str">
        <f>IFERROR(VLOOKUP(PLB671,'[3]Raw material  (3)'!PKZ653:PLR3729,3,0),"")</f>
        <v/>
      </c>
      <c r="PLB671" t="str">
        <f>IFERROR(VLOOKUP(PLC671,'[3]Raw material  (3)'!PLA653:PLS3729,3,0),"")</f>
        <v/>
      </c>
      <c r="PLC671" t="str">
        <f>IFERROR(VLOOKUP(PLD671,'[3]Raw material  (3)'!PLB653:PLT3729,3,0),"")</f>
        <v/>
      </c>
      <c r="PLD671" t="str">
        <f>IFERROR(VLOOKUP(PLE671,'[3]Raw material  (3)'!PLC653:PLU3729,3,0),"")</f>
        <v/>
      </c>
      <c r="PLE671" t="str">
        <f>IFERROR(VLOOKUP(PLF671,'[3]Raw material  (3)'!PLD653:PLV3729,3,0),"")</f>
        <v/>
      </c>
      <c r="PLF671" t="str">
        <f>IFERROR(VLOOKUP(PLG671,'[3]Raw material  (3)'!PLE653:PLW3729,3,0),"")</f>
        <v/>
      </c>
      <c r="PLG671" t="str">
        <f>IFERROR(VLOOKUP(PLH671,'[3]Raw material  (3)'!PLF653:PLX3729,3,0),"")</f>
        <v/>
      </c>
      <c r="PLH671" t="str">
        <f>IFERROR(VLOOKUP(PLI671,'[3]Raw material  (3)'!PLG653:PLY3729,3,0),"")</f>
        <v/>
      </c>
      <c r="PLI671" t="str">
        <f>IFERROR(VLOOKUP(PLJ671,'[3]Raw material  (3)'!PLH653:PLZ3729,3,0),"")</f>
        <v/>
      </c>
      <c r="PLJ671" t="str">
        <f>IFERROR(VLOOKUP(PLK671,'[3]Raw material  (3)'!PLI653:PMA3729,3,0),"")</f>
        <v/>
      </c>
      <c r="PLK671" t="str">
        <f>IFERROR(VLOOKUP(PLL671,'[3]Raw material  (3)'!PLJ653:PMB3729,3,0),"")</f>
        <v/>
      </c>
      <c r="PLL671" t="str">
        <f>IFERROR(VLOOKUP(PLM671,'[3]Raw material  (3)'!PLK653:PMC3729,3,0),"")</f>
        <v/>
      </c>
      <c r="PLM671" t="str">
        <f>IFERROR(VLOOKUP(PLN671,'[3]Raw material  (3)'!PLL653:PMD3729,3,0),"")</f>
        <v/>
      </c>
      <c r="PLN671" t="str">
        <f>IFERROR(VLOOKUP(PLO671,'[3]Raw material  (3)'!PLM653:PME3729,3,0),"")</f>
        <v/>
      </c>
      <c r="PLO671" t="str">
        <f>IFERROR(VLOOKUP(PLP671,'[3]Raw material  (3)'!PLN653:PMF3729,3,0),"")</f>
        <v/>
      </c>
      <c r="PLP671" t="str">
        <f>IFERROR(VLOOKUP(PLQ671,'[3]Raw material  (3)'!PLO653:PMG3729,3,0),"")</f>
        <v/>
      </c>
      <c r="PLQ671" t="str">
        <f>IFERROR(VLOOKUP(PLR671,'[3]Raw material  (3)'!PLP653:PMH3729,3,0),"")</f>
        <v/>
      </c>
      <c r="PLR671" t="str">
        <f>IFERROR(VLOOKUP(PLS671,'[3]Raw material  (3)'!PLQ653:PMI3729,3,0),"")</f>
        <v/>
      </c>
      <c r="PLS671" t="str">
        <f>IFERROR(VLOOKUP(PLT671,'[3]Raw material  (3)'!PLR653:PMJ3729,3,0),"")</f>
        <v/>
      </c>
      <c r="PLT671" t="str">
        <f>IFERROR(VLOOKUP(PLU671,'[3]Raw material  (3)'!PLS653:PMK3729,3,0),"")</f>
        <v/>
      </c>
      <c r="PLU671" t="str">
        <f>IFERROR(VLOOKUP(PLV671,'[3]Raw material  (3)'!PLT653:PML3729,3,0),"")</f>
        <v/>
      </c>
      <c r="PLV671" t="str">
        <f>IFERROR(VLOOKUP(PLW671,'[3]Raw material  (3)'!PLU653:PMM3729,3,0),"")</f>
        <v/>
      </c>
      <c r="PLW671" t="str">
        <f>IFERROR(VLOOKUP(PLX671,'[3]Raw material  (3)'!PLV653:PMN3729,3,0),"")</f>
        <v/>
      </c>
      <c r="PLX671" t="str">
        <f>IFERROR(VLOOKUP(PLY671,'[3]Raw material  (3)'!PLW653:PMO3729,3,0),"")</f>
        <v/>
      </c>
      <c r="PLY671" t="str">
        <f>IFERROR(VLOOKUP(PLZ671,'[3]Raw material  (3)'!PLX653:PMP3729,3,0),"")</f>
        <v/>
      </c>
      <c r="PLZ671" t="str">
        <f>IFERROR(VLOOKUP(PMA671,'[3]Raw material  (3)'!PLY653:PMQ3729,3,0),"")</f>
        <v/>
      </c>
      <c r="PMA671" t="str">
        <f>IFERROR(VLOOKUP(PMB671,'[3]Raw material  (3)'!PLZ653:PMR3729,3,0),"")</f>
        <v/>
      </c>
      <c r="PMB671" t="str">
        <f>IFERROR(VLOOKUP(PMC671,'[3]Raw material  (3)'!PMA653:PMS3729,3,0),"")</f>
        <v/>
      </c>
      <c r="PMC671" t="str">
        <f>IFERROR(VLOOKUP(PMD671,'[3]Raw material  (3)'!PMB653:PMT3729,3,0),"")</f>
        <v/>
      </c>
      <c r="PMD671" t="str">
        <f>IFERROR(VLOOKUP(PME671,'[3]Raw material  (3)'!PMC653:PMU3729,3,0),"")</f>
        <v/>
      </c>
      <c r="PME671" t="str">
        <f>IFERROR(VLOOKUP(PMF671,'[3]Raw material  (3)'!PMD653:PMV3729,3,0),"")</f>
        <v/>
      </c>
      <c r="PMF671" t="str">
        <f>IFERROR(VLOOKUP(PMG671,'[3]Raw material  (3)'!PME653:PMW3729,3,0),"")</f>
        <v/>
      </c>
      <c r="PMG671" t="str">
        <f>IFERROR(VLOOKUP(PMH671,'[3]Raw material  (3)'!PMF653:PMX3729,3,0),"")</f>
        <v/>
      </c>
      <c r="PMH671" t="str">
        <f>IFERROR(VLOOKUP(PMI671,'[3]Raw material  (3)'!PMG653:PMY3729,3,0),"")</f>
        <v/>
      </c>
      <c r="PMI671" t="str">
        <f>IFERROR(VLOOKUP(PMJ671,'[3]Raw material  (3)'!PMH653:PMZ3729,3,0),"")</f>
        <v/>
      </c>
      <c r="PMJ671" t="str">
        <f>IFERROR(VLOOKUP(PMK671,'[3]Raw material  (3)'!PMI653:PNA3729,3,0),"")</f>
        <v/>
      </c>
      <c r="PMK671" t="str">
        <f>IFERROR(VLOOKUP(PML671,'[3]Raw material  (3)'!PMJ653:PNB3729,3,0),"")</f>
        <v/>
      </c>
      <c r="PML671" t="str">
        <f>IFERROR(VLOOKUP(PMM671,'[3]Raw material  (3)'!PMK653:PNC3729,3,0),"")</f>
        <v/>
      </c>
      <c r="PMM671" t="str">
        <f>IFERROR(VLOOKUP(PMN671,'[3]Raw material  (3)'!PML653:PND3729,3,0),"")</f>
        <v/>
      </c>
      <c r="PMN671" t="str">
        <f>IFERROR(VLOOKUP(PMO671,'[3]Raw material  (3)'!PMM653:PNE3729,3,0),"")</f>
        <v/>
      </c>
      <c r="PMO671" t="str">
        <f>IFERROR(VLOOKUP(PMP671,'[3]Raw material  (3)'!PMN653:PNF3729,3,0),"")</f>
        <v/>
      </c>
      <c r="PMP671" t="str">
        <f>IFERROR(VLOOKUP(PMQ671,'[3]Raw material  (3)'!PMO653:PNG3729,3,0),"")</f>
        <v/>
      </c>
      <c r="PMQ671" t="str">
        <f>IFERROR(VLOOKUP(PMR671,'[3]Raw material  (3)'!PMP653:PNH3729,3,0),"")</f>
        <v/>
      </c>
      <c r="PMR671" t="str">
        <f>IFERROR(VLOOKUP(PMS671,'[3]Raw material  (3)'!PMQ653:PNI3729,3,0),"")</f>
        <v/>
      </c>
      <c r="PMS671" t="str">
        <f>IFERROR(VLOOKUP(PMT671,'[3]Raw material  (3)'!PMR653:PNJ3729,3,0),"")</f>
        <v/>
      </c>
      <c r="PMT671" t="str">
        <f>IFERROR(VLOOKUP(PMU671,'[3]Raw material  (3)'!PMS653:PNK3729,3,0),"")</f>
        <v/>
      </c>
      <c r="PMU671" t="str">
        <f>IFERROR(VLOOKUP(PMV671,'[3]Raw material  (3)'!PMT653:PNL3729,3,0),"")</f>
        <v/>
      </c>
      <c r="PMV671" t="str">
        <f>IFERROR(VLOOKUP(PMW671,'[3]Raw material  (3)'!PMU653:PNM3729,3,0),"")</f>
        <v/>
      </c>
      <c r="PMW671" t="str">
        <f>IFERROR(VLOOKUP(PMX671,'[3]Raw material  (3)'!PMV653:PNN3729,3,0),"")</f>
        <v/>
      </c>
      <c r="PMX671" t="str">
        <f>IFERROR(VLOOKUP(PMY671,'[3]Raw material  (3)'!PMW653:PNO3729,3,0),"")</f>
        <v/>
      </c>
      <c r="PMY671" t="str">
        <f>IFERROR(VLOOKUP(PMZ671,'[3]Raw material  (3)'!PMX653:PNP3729,3,0),"")</f>
        <v/>
      </c>
      <c r="PMZ671" t="str">
        <f>IFERROR(VLOOKUP(PNA671,'[3]Raw material  (3)'!PMY653:PNQ3729,3,0),"")</f>
        <v/>
      </c>
      <c r="PNA671" t="str">
        <f>IFERROR(VLOOKUP(PNB671,'[3]Raw material  (3)'!PMZ653:PNR3729,3,0),"")</f>
        <v/>
      </c>
      <c r="PNB671" t="str">
        <f>IFERROR(VLOOKUP(PNC671,'[3]Raw material  (3)'!PNA653:PNS3729,3,0),"")</f>
        <v/>
      </c>
      <c r="PNC671" t="str">
        <f>IFERROR(VLOOKUP(PND671,'[3]Raw material  (3)'!PNB653:PNT3729,3,0),"")</f>
        <v/>
      </c>
      <c r="PND671" t="str">
        <f>IFERROR(VLOOKUP(PNE671,'[3]Raw material  (3)'!PNC653:PNU3729,3,0),"")</f>
        <v/>
      </c>
      <c r="PNE671" t="str">
        <f>IFERROR(VLOOKUP(PNF671,'[3]Raw material  (3)'!PND653:PNV3729,3,0),"")</f>
        <v/>
      </c>
      <c r="PNF671" t="str">
        <f>IFERROR(VLOOKUP(PNG671,'[3]Raw material  (3)'!PNE653:PNW3729,3,0),"")</f>
        <v/>
      </c>
      <c r="PNG671" t="str">
        <f>IFERROR(VLOOKUP(PNH671,'[3]Raw material  (3)'!PNF653:PNX3729,3,0),"")</f>
        <v/>
      </c>
      <c r="PNH671" t="str">
        <f>IFERROR(VLOOKUP(PNI671,'[3]Raw material  (3)'!PNG653:PNY3729,3,0),"")</f>
        <v/>
      </c>
      <c r="PNI671" t="str">
        <f>IFERROR(VLOOKUP(PNJ671,'[3]Raw material  (3)'!PNH653:PNZ3729,3,0),"")</f>
        <v/>
      </c>
      <c r="PNJ671" t="str">
        <f>IFERROR(VLOOKUP(PNK671,'[3]Raw material  (3)'!PNI653:POA3729,3,0),"")</f>
        <v/>
      </c>
      <c r="PNK671" t="str">
        <f>IFERROR(VLOOKUP(PNL671,'[3]Raw material  (3)'!PNJ653:POB3729,3,0),"")</f>
        <v/>
      </c>
      <c r="PNL671" t="str">
        <f>IFERROR(VLOOKUP(PNM671,'[3]Raw material  (3)'!PNK653:POC3729,3,0),"")</f>
        <v/>
      </c>
      <c r="PNM671" t="str">
        <f>IFERROR(VLOOKUP(PNN671,'[3]Raw material  (3)'!PNL653:POD3729,3,0),"")</f>
        <v/>
      </c>
      <c r="PNN671" t="str">
        <f>IFERROR(VLOOKUP(PNO671,'[3]Raw material  (3)'!PNM653:POE3729,3,0),"")</f>
        <v/>
      </c>
      <c r="PNO671" t="str">
        <f>IFERROR(VLOOKUP(PNP671,'[3]Raw material  (3)'!PNN653:POF3729,3,0),"")</f>
        <v/>
      </c>
      <c r="PNP671" t="str">
        <f>IFERROR(VLOOKUP(PNQ671,'[3]Raw material  (3)'!PNO653:POG3729,3,0),"")</f>
        <v/>
      </c>
      <c r="PNQ671" t="str">
        <f>IFERROR(VLOOKUP(PNR671,'[3]Raw material  (3)'!PNP653:POH3729,3,0),"")</f>
        <v/>
      </c>
      <c r="PNR671" t="str">
        <f>IFERROR(VLOOKUP(PNS671,'[3]Raw material  (3)'!PNQ653:POI3729,3,0),"")</f>
        <v/>
      </c>
      <c r="PNS671" t="str">
        <f>IFERROR(VLOOKUP(PNT671,'[3]Raw material  (3)'!PNR653:POJ3729,3,0),"")</f>
        <v/>
      </c>
      <c r="PNT671" t="str">
        <f>IFERROR(VLOOKUP(PNU671,'[3]Raw material  (3)'!PNS653:POK3729,3,0),"")</f>
        <v/>
      </c>
      <c r="PNU671" t="str">
        <f>IFERROR(VLOOKUP(PNV671,'[3]Raw material  (3)'!PNT653:POL3729,3,0),"")</f>
        <v/>
      </c>
      <c r="PNV671" t="str">
        <f>IFERROR(VLOOKUP(PNW671,'[3]Raw material  (3)'!PNU653:POM3729,3,0),"")</f>
        <v/>
      </c>
      <c r="PNW671" t="str">
        <f>IFERROR(VLOOKUP(PNX671,'[3]Raw material  (3)'!PNV653:PON3729,3,0),"")</f>
        <v/>
      </c>
      <c r="PNX671" t="str">
        <f>IFERROR(VLOOKUP(PNY671,'[3]Raw material  (3)'!PNW653:POO3729,3,0),"")</f>
        <v/>
      </c>
      <c r="PNY671" t="str">
        <f>IFERROR(VLOOKUP(PNZ671,'[3]Raw material  (3)'!PNX653:POP3729,3,0),"")</f>
        <v/>
      </c>
      <c r="PNZ671" t="str">
        <f>IFERROR(VLOOKUP(POA671,'[3]Raw material  (3)'!PNY653:POQ3729,3,0),"")</f>
        <v/>
      </c>
      <c r="POA671" t="str">
        <f>IFERROR(VLOOKUP(POB671,'[3]Raw material  (3)'!PNZ653:POR3729,3,0),"")</f>
        <v/>
      </c>
      <c r="POB671" t="str">
        <f>IFERROR(VLOOKUP(POC671,'[3]Raw material  (3)'!POA653:POS3729,3,0),"")</f>
        <v/>
      </c>
      <c r="POC671" t="str">
        <f>IFERROR(VLOOKUP(POD671,'[3]Raw material  (3)'!POB653:POT3729,3,0),"")</f>
        <v/>
      </c>
      <c r="POD671" t="str">
        <f>IFERROR(VLOOKUP(POE671,'[3]Raw material  (3)'!POC653:POU3729,3,0),"")</f>
        <v/>
      </c>
      <c r="POE671" t="str">
        <f>IFERROR(VLOOKUP(POF671,'[3]Raw material  (3)'!POD653:POV3729,3,0),"")</f>
        <v/>
      </c>
      <c r="POF671" t="str">
        <f>IFERROR(VLOOKUP(POG671,'[3]Raw material  (3)'!POE653:POW3729,3,0),"")</f>
        <v/>
      </c>
      <c r="POG671" t="str">
        <f>IFERROR(VLOOKUP(POH671,'[3]Raw material  (3)'!POF653:POX3729,3,0),"")</f>
        <v/>
      </c>
      <c r="POH671" t="str">
        <f>IFERROR(VLOOKUP(POI671,'[3]Raw material  (3)'!POG653:POY3729,3,0),"")</f>
        <v/>
      </c>
      <c r="POI671" t="str">
        <f>IFERROR(VLOOKUP(POJ671,'[3]Raw material  (3)'!POH653:POZ3729,3,0),"")</f>
        <v/>
      </c>
      <c r="POJ671" t="str">
        <f>IFERROR(VLOOKUP(POK671,'[3]Raw material  (3)'!POI653:PPA3729,3,0),"")</f>
        <v/>
      </c>
      <c r="POK671" t="str">
        <f>IFERROR(VLOOKUP(POL671,'[3]Raw material  (3)'!POJ653:PPB3729,3,0),"")</f>
        <v/>
      </c>
      <c r="POL671" t="str">
        <f>IFERROR(VLOOKUP(POM671,'[3]Raw material  (3)'!POK653:PPC3729,3,0),"")</f>
        <v/>
      </c>
      <c r="POM671" t="str">
        <f>IFERROR(VLOOKUP(PON671,'[3]Raw material  (3)'!POL653:PPD3729,3,0),"")</f>
        <v/>
      </c>
      <c r="PON671" t="str">
        <f>IFERROR(VLOOKUP(POO671,'[3]Raw material  (3)'!POM653:PPE3729,3,0),"")</f>
        <v/>
      </c>
      <c r="POO671" t="str">
        <f>IFERROR(VLOOKUP(POP671,'[3]Raw material  (3)'!PON653:PPF3729,3,0),"")</f>
        <v/>
      </c>
      <c r="POP671" t="str">
        <f>IFERROR(VLOOKUP(POQ671,'[3]Raw material  (3)'!POO653:PPG3729,3,0),"")</f>
        <v/>
      </c>
      <c r="POQ671" t="str">
        <f>IFERROR(VLOOKUP(POR671,'[3]Raw material  (3)'!POP653:PPH3729,3,0),"")</f>
        <v/>
      </c>
      <c r="POR671" t="str">
        <f>IFERROR(VLOOKUP(POS671,'[3]Raw material  (3)'!POQ653:PPI3729,3,0),"")</f>
        <v/>
      </c>
      <c r="POS671" t="str">
        <f>IFERROR(VLOOKUP(POT671,'[3]Raw material  (3)'!POR653:PPJ3729,3,0),"")</f>
        <v/>
      </c>
      <c r="POT671" t="str">
        <f>IFERROR(VLOOKUP(POU671,'[3]Raw material  (3)'!POS653:PPK3729,3,0),"")</f>
        <v/>
      </c>
      <c r="POU671" t="str">
        <f>IFERROR(VLOOKUP(POV671,'[3]Raw material  (3)'!POT653:PPL3729,3,0),"")</f>
        <v/>
      </c>
      <c r="POV671" t="str">
        <f>IFERROR(VLOOKUP(POW671,'[3]Raw material  (3)'!POU653:PPM3729,3,0),"")</f>
        <v/>
      </c>
      <c r="POW671" t="str">
        <f>IFERROR(VLOOKUP(POX671,'[3]Raw material  (3)'!POV653:PPN3729,3,0),"")</f>
        <v/>
      </c>
      <c r="POX671" t="str">
        <f>IFERROR(VLOOKUP(POY671,'[3]Raw material  (3)'!POW653:PPO3729,3,0),"")</f>
        <v/>
      </c>
      <c r="POY671" t="str">
        <f>IFERROR(VLOOKUP(POZ671,'[3]Raw material  (3)'!POX653:PPP3729,3,0),"")</f>
        <v/>
      </c>
      <c r="POZ671" t="str">
        <f>IFERROR(VLOOKUP(PPA671,'[3]Raw material  (3)'!POY653:PPQ3729,3,0),"")</f>
        <v/>
      </c>
      <c r="PPA671" t="str">
        <f>IFERROR(VLOOKUP(PPB671,'[3]Raw material  (3)'!POZ653:PPR3729,3,0),"")</f>
        <v/>
      </c>
      <c r="PPB671" t="str">
        <f>IFERROR(VLOOKUP(PPC671,'[3]Raw material  (3)'!PPA653:PPS3729,3,0),"")</f>
        <v/>
      </c>
      <c r="PPC671" t="str">
        <f>IFERROR(VLOOKUP(PPD671,'[3]Raw material  (3)'!PPB653:PPT3729,3,0),"")</f>
        <v/>
      </c>
      <c r="PPD671" t="str">
        <f>IFERROR(VLOOKUP(PPE671,'[3]Raw material  (3)'!PPC653:PPU3729,3,0),"")</f>
        <v/>
      </c>
      <c r="PPE671" t="str">
        <f>IFERROR(VLOOKUP(PPF671,'[3]Raw material  (3)'!PPD653:PPV3729,3,0),"")</f>
        <v/>
      </c>
      <c r="PPF671" t="str">
        <f>IFERROR(VLOOKUP(PPG671,'[3]Raw material  (3)'!PPE653:PPW3729,3,0),"")</f>
        <v/>
      </c>
      <c r="PPG671" t="str">
        <f>IFERROR(VLOOKUP(PPH671,'[3]Raw material  (3)'!PPF653:PPX3729,3,0),"")</f>
        <v/>
      </c>
      <c r="PPH671" t="str">
        <f>IFERROR(VLOOKUP(PPI671,'[3]Raw material  (3)'!PPG653:PPY3729,3,0),"")</f>
        <v/>
      </c>
      <c r="PPI671" t="str">
        <f>IFERROR(VLOOKUP(PPJ671,'[3]Raw material  (3)'!PPH653:PPZ3729,3,0),"")</f>
        <v/>
      </c>
      <c r="PPJ671" t="str">
        <f>IFERROR(VLOOKUP(PPK671,'[3]Raw material  (3)'!PPI653:PQA3729,3,0),"")</f>
        <v/>
      </c>
      <c r="PPK671" t="str">
        <f>IFERROR(VLOOKUP(PPL671,'[3]Raw material  (3)'!PPJ653:PQB3729,3,0),"")</f>
        <v/>
      </c>
      <c r="PPL671" t="str">
        <f>IFERROR(VLOOKUP(PPM671,'[3]Raw material  (3)'!PPK653:PQC3729,3,0),"")</f>
        <v/>
      </c>
      <c r="PPM671" t="str">
        <f>IFERROR(VLOOKUP(PPN671,'[3]Raw material  (3)'!PPL653:PQD3729,3,0),"")</f>
        <v/>
      </c>
      <c r="PPN671" t="str">
        <f>IFERROR(VLOOKUP(PPO671,'[3]Raw material  (3)'!PPM653:PQE3729,3,0),"")</f>
        <v/>
      </c>
      <c r="PPO671" t="str">
        <f>IFERROR(VLOOKUP(PPP671,'[3]Raw material  (3)'!PPN653:PQF3729,3,0),"")</f>
        <v/>
      </c>
      <c r="PPP671" t="str">
        <f>IFERROR(VLOOKUP(PPQ671,'[3]Raw material  (3)'!PPO653:PQG3729,3,0),"")</f>
        <v/>
      </c>
      <c r="PPQ671" t="str">
        <f>IFERROR(VLOOKUP(PPR671,'[3]Raw material  (3)'!PPP653:PQH3729,3,0),"")</f>
        <v/>
      </c>
      <c r="PPR671" t="str">
        <f>IFERROR(VLOOKUP(PPS671,'[3]Raw material  (3)'!PPQ653:PQI3729,3,0),"")</f>
        <v/>
      </c>
      <c r="PPS671" t="str">
        <f>IFERROR(VLOOKUP(PPT671,'[3]Raw material  (3)'!PPR653:PQJ3729,3,0),"")</f>
        <v/>
      </c>
      <c r="PPT671" t="str">
        <f>IFERROR(VLOOKUP(PPU671,'[3]Raw material  (3)'!PPS653:PQK3729,3,0),"")</f>
        <v/>
      </c>
      <c r="PPU671" t="str">
        <f>IFERROR(VLOOKUP(PPV671,'[3]Raw material  (3)'!PPT653:PQL3729,3,0),"")</f>
        <v/>
      </c>
      <c r="PPV671" t="str">
        <f>IFERROR(VLOOKUP(PPW671,'[3]Raw material  (3)'!PPU653:PQM3729,3,0),"")</f>
        <v/>
      </c>
      <c r="PPW671" t="str">
        <f>IFERROR(VLOOKUP(PPX671,'[3]Raw material  (3)'!PPV653:PQN3729,3,0),"")</f>
        <v/>
      </c>
      <c r="PPX671" t="str">
        <f>IFERROR(VLOOKUP(PPY671,'[3]Raw material  (3)'!PPW653:PQO3729,3,0),"")</f>
        <v/>
      </c>
      <c r="PPY671" t="str">
        <f>IFERROR(VLOOKUP(PPZ671,'[3]Raw material  (3)'!PPX653:PQP3729,3,0),"")</f>
        <v/>
      </c>
      <c r="PPZ671" t="str">
        <f>IFERROR(VLOOKUP(PQA671,'[3]Raw material  (3)'!PPY653:PQQ3729,3,0),"")</f>
        <v/>
      </c>
      <c r="PQA671" t="str">
        <f>IFERROR(VLOOKUP(PQB671,'[3]Raw material  (3)'!PPZ653:PQR3729,3,0),"")</f>
        <v/>
      </c>
      <c r="PQB671" t="str">
        <f>IFERROR(VLOOKUP(PQC671,'[3]Raw material  (3)'!PQA653:PQS3729,3,0),"")</f>
        <v/>
      </c>
      <c r="PQC671" t="str">
        <f>IFERROR(VLOOKUP(PQD671,'[3]Raw material  (3)'!PQB653:PQT3729,3,0),"")</f>
        <v/>
      </c>
      <c r="PQD671" t="str">
        <f>IFERROR(VLOOKUP(PQE671,'[3]Raw material  (3)'!PQC653:PQU3729,3,0),"")</f>
        <v/>
      </c>
      <c r="PQE671" t="str">
        <f>IFERROR(VLOOKUP(PQF671,'[3]Raw material  (3)'!PQD653:PQV3729,3,0),"")</f>
        <v/>
      </c>
      <c r="PQF671" t="str">
        <f>IFERROR(VLOOKUP(PQG671,'[3]Raw material  (3)'!PQE653:PQW3729,3,0),"")</f>
        <v/>
      </c>
      <c r="PQG671" t="str">
        <f>IFERROR(VLOOKUP(PQH671,'[3]Raw material  (3)'!PQF653:PQX3729,3,0),"")</f>
        <v/>
      </c>
      <c r="PQH671" t="str">
        <f>IFERROR(VLOOKUP(PQI671,'[3]Raw material  (3)'!PQG653:PQY3729,3,0),"")</f>
        <v/>
      </c>
      <c r="PQI671" t="str">
        <f>IFERROR(VLOOKUP(PQJ671,'[3]Raw material  (3)'!PQH653:PQZ3729,3,0),"")</f>
        <v/>
      </c>
      <c r="PQJ671" t="str">
        <f>IFERROR(VLOOKUP(PQK671,'[3]Raw material  (3)'!PQI653:PRA3729,3,0),"")</f>
        <v/>
      </c>
      <c r="PQK671" t="str">
        <f>IFERROR(VLOOKUP(PQL671,'[3]Raw material  (3)'!PQJ653:PRB3729,3,0),"")</f>
        <v/>
      </c>
      <c r="PQL671" t="str">
        <f>IFERROR(VLOOKUP(PQM671,'[3]Raw material  (3)'!PQK653:PRC3729,3,0),"")</f>
        <v/>
      </c>
      <c r="PQM671" t="str">
        <f>IFERROR(VLOOKUP(PQN671,'[3]Raw material  (3)'!PQL653:PRD3729,3,0),"")</f>
        <v/>
      </c>
      <c r="PQN671" t="str">
        <f>IFERROR(VLOOKUP(PQO671,'[3]Raw material  (3)'!PQM653:PRE3729,3,0),"")</f>
        <v/>
      </c>
      <c r="PQO671" t="str">
        <f>IFERROR(VLOOKUP(PQP671,'[3]Raw material  (3)'!PQN653:PRF3729,3,0),"")</f>
        <v/>
      </c>
      <c r="PQP671" t="str">
        <f>IFERROR(VLOOKUP(PQQ671,'[3]Raw material  (3)'!PQO653:PRG3729,3,0),"")</f>
        <v/>
      </c>
      <c r="PQQ671" t="str">
        <f>IFERROR(VLOOKUP(PQR671,'[3]Raw material  (3)'!PQP653:PRH3729,3,0),"")</f>
        <v/>
      </c>
      <c r="PQR671" t="str">
        <f>IFERROR(VLOOKUP(PQS671,'[3]Raw material  (3)'!PQQ653:PRI3729,3,0),"")</f>
        <v/>
      </c>
      <c r="PQS671" t="str">
        <f>IFERROR(VLOOKUP(PQT671,'[3]Raw material  (3)'!PQR653:PRJ3729,3,0),"")</f>
        <v/>
      </c>
      <c r="PQT671" t="str">
        <f>IFERROR(VLOOKUP(PQU671,'[3]Raw material  (3)'!PQS653:PRK3729,3,0),"")</f>
        <v/>
      </c>
      <c r="PQU671" t="str">
        <f>IFERROR(VLOOKUP(PQV671,'[3]Raw material  (3)'!PQT653:PRL3729,3,0),"")</f>
        <v/>
      </c>
      <c r="PQV671" t="str">
        <f>IFERROR(VLOOKUP(PQW671,'[3]Raw material  (3)'!PQU653:PRM3729,3,0),"")</f>
        <v/>
      </c>
      <c r="PQW671" t="str">
        <f>IFERROR(VLOOKUP(PQX671,'[3]Raw material  (3)'!PQV653:PRN3729,3,0),"")</f>
        <v/>
      </c>
      <c r="PQX671" t="str">
        <f>IFERROR(VLOOKUP(PQY671,'[3]Raw material  (3)'!PQW653:PRO3729,3,0),"")</f>
        <v/>
      </c>
      <c r="PQY671" t="str">
        <f>IFERROR(VLOOKUP(PQZ671,'[3]Raw material  (3)'!PQX653:PRP3729,3,0),"")</f>
        <v/>
      </c>
      <c r="PQZ671" t="str">
        <f>IFERROR(VLOOKUP(PRA671,'[3]Raw material  (3)'!PQY653:PRQ3729,3,0),"")</f>
        <v/>
      </c>
      <c r="PRA671" t="str">
        <f>IFERROR(VLOOKUP(PRB671,'[3]Raw material  (3)'!PQZ653:PRR3729,3,0),"")</f>
        <v/>
      </c>
      <c r="PRB671" t="str">
        <f>IFERROR(VLOOKUP(PRC671,'[3]Raw material  (3)'!PRA653:PRS3729,3,0),"")</f>
        <v/>
      </c>
      <c r="PRC671" t="str">
        <f>IFERROR(VLOOKUP(PRD671,'[3]Raw material  (3)'!PRB653:PRT3729,3,0),"")</f>
        <v/>
      </c>
      <c r="PRD671" t="str">
        <f>IFERROR(VLOOKUP(PRE671,'[3]Raw material  (3)'!PRC653:PRU3729,3,0),"")</f>
        <v/>
      </c>
      <c r="PRE671" t="str">
        <f>IFERROR(VLOOKUP(PRF671,'[3]Raw material  (3)'!PRD653:PRV3729,3,0),"")</f>
        <v/>
      </c>
      <c r="PRF671" t="str">
        <f>IFERROR(VLOOKUP(PRG671,'[3]Raw material  (3)'!PRE653:PRW3729,3,0),"")</f>
        <v/>
      </c>
      <c r="PRG671" t="str">
        <f>IFERROR(VLOOKUP(PRH671,'[3]Raw material  (3)'!PRF653:PRX3729,3,0),"")</f>
        <v/>
      </c>
      <c r="PRH671" t="str">
        <f>IFERROR(VLOOKUP(PRI671,'[3]Raw material  (3)'!PRG653:PRY3729,3,0),"")</f>
        <v/>
      </c>
      <c r="PRI671" t="str">
        <f>IFERROR(VLOOKUP(PRJ671,'[3]Raw material  (3)'!PRH653:PRZ3729,3,0),"")</f>
        <v/>
      </c>
      <c r="PRJ671" t="str">
        <f>IFERROR(VLOOKUP(PRK671,'[3]Raw material  (3)'!PRI653:PSA3729,3,0),"")</f>
        <v/>
      </c>
      <c r="PRK671" t="str">
        <f>IFERROR(VLOOKUP(PRL671,'[3]Raw material  (3)'!PRJ653:PSB3729,3,0),"")</f>
        <v/>
      </c>
      <c r="PRL671" t="str">
        <f>IFERROR(VLOOKUP(PRM671,'[3]Raw material  (3)'!PRK653:PSC3729,3,0),"")</f>
        <v/>
      </c>
      <c r="PRM671" t="str">
        <f>IFERROR(VLOOKUP(PRN671,'[3]Raw material  (3)'!PRL653:PSD3729,3,0),"")</f>
        <v/>
      </c>
      <c r="PRN671" t="str">
        <f>IFERROR(VLOOKUP(PRO671,'[3]Raw material  (3)'!PRM653:PSE3729,3,0),"")</f>
        <v/>
      </c>
      <c r="PRO671" t="str">
        <f>IFERROR(VLOOKUP(PRP671,'[3]Raw material  (3)'!PRN653:PSF3729,3,0),"")</f>
        <v/>
      </c>
      <c r="PRP671" t="str">
        <f>IFERROR(VLOOKUP(PRQ671,'[3]Raw material  (3)'!PRO653:PSG3729,3,0),"")</f>
        <v/>
      </c>
      <c r="PRQ671" t="str">
        <f>IFERROR(VLOOKUP(PRR671,'[3]Raw material  (3)'!PRP653:PSH3729,3,0),"")</f>
        <v/>
      </c>
      <c r="PRR671" t="str">
        <f>IFERROR(VLOOKUP(PRS671,'[3]Raw material  (3)'!PRQ653:PSI3729,3,0),"")</f>
        <v/>
      </c>
      <c r="PRS671" t="str">
        <f>IFERROR(VLOOKUP(PRT671,'[3]Raw material  (3)'!PRR653:PSJ3729,3,0),"")</f>
        <v/>
      </c>
      <c r="PRT671" t="str">
        <f>IFERROR(VLOOKUP(PRU671,'[3]Raw material  (3)'!PRS653:PSK3729,3,0),"")</f>
        <v/>
      </c>
      <c r="PRU671" t="str">
        <f>IFERROR(VLOOKUP(PRV671,'[3]Raw material  (3)'!PRT653:PSL3729,3,0),"")</f>
        <v/>
      </c>
      <c r="PRV671" t="str">
        <f>IFERROR(VLOOKUP(PRW671,'[3]Raw material  (3)'!PRU653:PSM3729,3,0),"")</f>
        <v/>
      </c>
      <c r="PRW671" t="str">
        <f>IFERROR(VLOOKUP(PRX671,'[3]Raw material  (3)'!PRV653:PSN3729,3,0),"")</f>
        <v/>
      </c>
      <c r="PRX671" t="str">
        <f>IFERROR(VLOOKUP(PRY671,'[3]Raw material  (3)'!PRW653:PSO3729,3,0),"")</f>
        <v/>
      </c>
      <c r="PRY671" t="str">
        <f>IFERROR(VLOOKUP(PRZ671,'[3]Raw material  (3)'!PRX653:PSP3729,3,0),"")</f>
        <v/>
      </c>
      <c r="PRZ671" t="str">
        <f>IFERROR(VLOOKUP(PSA671,'[3]Raw material  (3)'!PRY653:PSQ3729,3,0),"")</f>
        <v/>
      </c>
      <c r="PSA671" t="str">
        <f>IFERROR(VLOOKUP(PSB671,'[3]Raw material  (3)'!PRZ653:PSR3729,3,0),"")</f>
        <v/>
      </c>
      <c r="PSB671" t="str">
        <f>IFERROR(VLOOKUP(PSC671,'[3]Raw material  (3)'!PSA653:PSS3729,3,0),"")</f>
        <v/>
      </c>
      <c r="PSC671" t="str">
        <f>IFERROR(VLOOKUP(PSD671,'[3]Raw material  (3)'!PSB653:PST3729,3,0),"")</f>
        <v/>
      </c>
      <c r="PSD671" t="str">
        <f>IFERROR(VLOOKUP(PSE671,'[3]Raw material  (3)'!PSC653:PSU3729,3,0),"")</f>
        <v/>
      </c>
      <c r="PSE671" t="str">
        <f>IFERROR(VLOOKUP(PSF671,'[3]Raw material  (3)'!PSD653:PSV3729,3,0),"")</f>
        <v/>
      </c>
      <c r="PSF671" t="str">
        <f>IFERROR(VLOOKUP(PSG671,'[3]Raw material  (3)'!PSE653:PSW3729,3,0),"")</f>
        <v/>
      </c>
      <c r="PSG671" t="str">
        <f>IFERROR(VLOOKUP(PSH671,'[3]Raw material  (3)'!PSF653:PSX3729,3,0),"")</f>
        <v/>
      </c>
      <c r="PSH671" t="str">
        <f>IFERROR(VLOOKUP(PSI671,'[3]Raw material  (3)'!PSG653:PSY3729,3,0),"")</f>
        <v/>
      </c>
      <c r="PSI671" t="str">
        <f>IFERROR(VLOOKUP(PSJ671,'[3]Raw material  (3)'!PSH653:PSZ3729,3,0),"")</f>
        <v/>
      </c>
      <c r="PSJ671" t="str">
        <f>IFERROR(VLOOKUP(PSK671,'[3]Raw material  (3)'!PSI653:PTA3729,3,0),"")</f>
        <v/>
      </c>
      <c r="PSK671" t="str">
        <f>IFERROR(VLOOKUP(PSL671,'[3]Raw material  (3)'!PSJ653:PTB3729,3,0),"")</f>
        <v/>
      </c>
      <c r="PSL671" t="str">
        <f>IFERROR(VLOOKUP(PSM671,'[3]Raw material  (3)'!PSK653:PTC3729,3,0),"")</f>
        <v/>
      </c>
      <c r="PSM671" t="str">
        <f>IFERROR(VLOOKUP(PSN671,'[3]Raw material  (3)'!PSL653:PTD3729,3,0),"")</f>
        <v/>
      </c>
      <c r="PSN671" t="str">
        <f>IFERROR(VLOOKUP(PSO671,'[3]Raw material  (3)'!PSM653:PTE3729,3,0),"")</f>
        <v/>
      </c>
      <c r="PSO671" t="str">
        <f>IFERROR(VLOOKUP(PSP671,'[3]Raw material  (3)'!PSN653:PTF3729,3,0),"")</f>
        <v/>
      </c>
      <c r="PSP671" t="str">
        <f>IFERROR(VLOOKUP(PSQ671,'[3]Raw material  (3)'!PSO653:PTG3729,3,0),"")</f>
        <v/>
      </c>
      <c r="PSQ671" t="str">
        <f>IFERROR(VLOOKUP(PSR671,'[3]Raw material  (3)'!PSP653:PTH3729,3,0),"")</f>
        <v/>
      </c>
      <c r="PSR671" t="str">
        <f>IFERROR(VLOOKUP(PSS671,'[3]Raw material  (3)'!PSQ653:PTI3729,3,0),"")</f>
        <v/>
      </c>
      <c r="PSS671" t="str">
        <f>IFERROR(VLOOKUP(PST671,'[3]Raw material  (3)'!PSR653:PTJ3729,3,0),"")</f>
        <v/>
      </c>
      <c r="PST671" t="str">
        <f>IFERROR(VLOOKUP(PSU671,'[3]Raw material  (3)'!PSS653:PTK3729,3,0),"")</f>
        <v/>
      </c>
      <c r="PSU671" t="str">
        <f>IFERROR(VLOOKUP(PSV671,'[3]Raw material  (3)'!PST653:PTL3729,3,0),"")</f>
        <v/>
      </c>
      <c r="PSV671" t="str">
        <f>IFERROR(VLOOKUP(PSW671,'[3]Raw material  (3)'!PSU653:PTM3729,3,0),"")</f>
        <v/>
      </c>
      <c r="PSW671" t="str">
        <f>IFERROR(VLOOKUP(PSX671,'[3]Raw material  (3)'!PSV653:PTN3729,3,0),"")</f>
        <v/>
      </c>
      <c r="PSX671" t="str">
        <f>IFERROR(VLOOKUP(PSY671,'[3]Raw material  (3)'!PSW653:PTO3729,3,0),"")</f>
        <v/>
      </c>
      <c r="PSY671" t="str">
        <f>IFERROR(VLOOKUP(PSZ671,'[3]Raw material  (3)'!PSX653:PTP3729,3,0),"")</f>
        <v/>
      </c>
      <c r="PSZ671" t="str">
        <f>IFERROR(VLOOKUP(PTA671,'[3]Raw material  (3)'!PSY653:PTQ3729,3,0),"")</f>
        <v/>
      </c>
      <c r="PTA671" t="str">
        <f>IFERROR(VLOOKUP(PTB671,'[3]Raw material  (3)'!PSZ653:PTR3729,3,0),"")</f>
        <v/>
      </c>
      <c r="PTB671" t="str">
        <f>IFERROR(VLOOKUP(PTC671,'[3]Raw material  (3)'!PTA653:PTS3729,3,0),"")</f>
        <v/>
      </c>
      <c r="PTC671" t="str">
        <f>IFERROR(VLOOKUP(PTD671,'[3]Raw material  (3)'!PTB653:PTT3729,3,0),"")</f>
        <v/>
      </c>
      <c r="PTD671" t="str">
        <f>IFERROR(VLOOKUP(PTE671,'[3]Raw material  (3)'!PTC653:PTU3729,3,0),"")</f>
        <v/>
      </c>
      <c r="PTE671" t="str">
        <f>IFERROR(VLOOKUP(PTF671,'[3]Raw material  (3)'!PTD653:PTV3729,3,0),"")</f>
        <v/>
      </c>
      <c r="PTF671" t="str">
        <f>IFERROR(VLOOKUP(PTG671,'[3]Raw material  (3)'!PTE653:PTW3729,3,0),"")</f>
        <v/>
      </c>
      <c r="PTG671" t="str">
        <f>IFERROR(VLOOKUP(PTH671,'[3]Raw material  (3)'!PTF653:PTX3729,3,0),"")</f>
        <v/>
      </c>
      <c r="PTH671" t="str">
        <f>IFERROR(VLOOKUP(PTI671,'[3]Raw material  (3)'!PTG653:PTY3729,3,0),"")</f>
        <v/>
      </c>
      <c r="PTI671" t="str">
        <f>IFERROR(VLOOKUP(PTJ671,'[3]Raw material  (3)'!PTH653:PTZ3729,3,0),"")</f>
        <v/>
      </c>
      <c r="PTJ671" t="str">
        <f>IFERROR(VLOOKUP(PTK671,'[3]Raw material  (3)'!PTI653:PUA3729,3,0),"")</f>
        <v/>
      </c>
      <c r="PTK671" t="str">
        <f>IFERROR(VLOOKUP(PTL671,'[3]Raw material  (3)'!PTJ653:PUB3729,3,0),"")</f>
        <v/>
      </c>
      <c r="PTL671" t="str">
        <f>IFERROR(VLOOKUP(PTM671,'[3]Raw material  (3)'!PTK653:PUC3729,3,0),"")</f>
        <v/>
      </c>
      <c r="PTM671" t="str">
        <f>IFERROR(VLOOKUP(PTN671,'[3]Raw material  (3)'!PTL653:PUD3729,3,0),"")</f>
        <v/>
      </c>
      <c r="PTN671" t="str">
        <f>IFERROR(VLOOKUP(PTO671,'[3]Raw material  (3)'!PTM653:PUE3729,3,0),"")</f>
        <v/>
      </c>
      <c r="PTO671" t="str">
        <f>IFERROR(VLOOKUP(PTP671,'[3]Raw material  (3)'!PTN653:PUF3729,3,0),"")</f>
        <v/>
      </c>
      <c r="PTP671" t="str">
        <f>IFERROR(VLOOKUP(PTQ671,'[3]Raw material  (3)'!PTO653:PUG3729,3,0),"")</f>
        <v/>
      </c>
      <c r="PTQ671" t="str">
        <f>IFERROR(VLOOKUP(PTR671,'[3]Raw material  (3)'!PTP653:PUH3729,3,0),"")</f>
        <v/>
      </c>
      <c r="PTR671" t="str">
        <f>IFERROR(VLOOKUP(PTS671,'[3]Raw material  (3)'!PTQ653:PUI3729,3,0),"")</f>
        <v/>
      </c>
      <c r="PTS671" t="str">
        <f>IFERROR(VLOOKUP(PTT671,'[3]Raw material  (3)'!PTR653:PUJ3729,3,0),"")</f>
        <v/>
      </c>
      <c r="PTT671" t="str">
        <f>IFERROR(VLOOKUP(PTU671,'[3]Raw material  (3)'!PTS653:PUK3729,3,0),"")</f>
        <v/>
      </c>
      <c r="PTU671" t="str">
        <f>IFERROR(VLOOKUP(PTV671,'[3]Raw material  (3)'!PTT653:PUL3729,3,0),"")</f>
        <v/>
      </c>
      <c r="PTV671" t="str">
        <f>IFERROR(VLOOKUP(PTW671,'[3]Raw material  (3)'!PTU653:PUM3729,3,0),"")</f>
        <v/>
      </c>
      <c r="PTW671" t="str">
        <f>IFERROR(VLOOKUP(PTX671,'[3]Raw material  (3)'!PTV653:PUN3729,3,0),"")</f>
        <v/>
      </c>
      <c r="PTX671" t="str">
        <f>IFERROR(VLOOKUP(PTY671,'[3]Raw material  (3)'!PTW653:PUO3729,3,0),"")</f>
        <v/>
      </c>
      <c r="PTY671" t="str">
        <f>IFERROR(VLOOKUP(PTZ671,'[3]Raw material  (3)'!PTX653:PUP3729,3,0),"")</f>
        <v/>
      </c>
      <c r="PTZ671" t="str">
        <f>IFERROR(VLOOKUP(PUA671,'[3]Raw material  (3)'!PTY653:PUQ3729,3,0),"")</f>
        <v/>
      </c>
      <c r="PUA671" t="str">
        <f>IFERROR(VLOOKUP(PUB671,'[3]Raw material  (3)'!PTZ653:PUR3729,3,0),"")</f>
        <v/>
      </c>
      <c r="PUB671" t="str">
        <f>IFERROR(VLOOKUP(PUC671,'[3]Raw material  (3)'!PUA653:PUS3729,3,0),"")</f>
        <v/>
      </c>
      <c r="PUC671" t="str">
        <f>IFERROR(VLOOKUP(PUD671,'[3]Raw material  (3)'!PUB653:PUT3729,3,0),"")</f>
        <v/>
      </c>
      <c r="PUD671" t="str">
        <f>IFERROR(VLOOKUP(PUE671,'[3]Raw material  (3)'!PUC653:PUU3729,3,0),"")</f>
        <v/>
      </c>
      <c r="PUE671" t="str">
        <f>IFERROR(VLOOKUP(PUF671,'[3]Raw material  (3)'!PUD653:PUV3729,3,0),"")</f>
        <v/>
      </c>
      <c r="PUF671" t="str">
        <f>IFERROR(VLOOKUP(PUG671,'[3]Raw material  (3)'!PUE653:PUW3729,3,0),"")</f>
        <v/>
      </c>
      <c r="PUG671" t="str">
        <f>IFERROR(VLOOKUP(PUH671,'[3]Raw material  (3)'!PUF653:PUX3729,3,0),"")</f>
        <v/>
      </c>
      <c r="PUH671" t="str">
        <f>IFERROR(VLOOKUP(PUI671,'[3]Raw material  (3)'!PUG653:PUY3729,3,0),"")</f>
        <v/>
      </c>
      <c r="PUI671" t="str">
        <f>IFERROR(VLOOKUP(PUJ671,'[3]Raw material  (3)'!PUH653:PUZ3729,3,0),"")</f>
        <v/>
      </c>
      <c r="PUJ671" t="str">
        <f>IFERROR(VLOOKUP(PUK671,'[3]Raw material  (3)'!PUI653:PVA3729,3,0),"")</f>
        <v/>
      </c>
      <c r="PUK671" t="str">
        <f>IFERROR(VLOOKUP(PUL671,'[3]Raw material  (3)'!PUJ653:PVB3729,3,0),"")</f>
        <v/>
      </c>
      <c r="PUL671" t="str">
        <f>IFERROR(VLOOKUP(PUM671,'[3]Raw material  (3)'!PUK653:PVC3729,3,0),"")</f>
        <v/>
      </c>
      <c r="PUM671" t="str">
        <f>IFERROR(VLOOKUP(PUN671,'[3]Raw material  (3)'!PUL653:PVD3729,3,0),"")</f>
        <v/>
      </c>
      <c r="PUN671" t="str">
        <f>IFERROR(VLOOKUP(PUO671,'[3]Raw material  (3)'!PUM653:PVE3729,3,0),"")</f>
        <v/>
      </c>
      <c r="PUO671" t="str">
        <f>IFERROR(VLOOKUP(PUP671,'[3]Raw material  (3)'!PUN653:PVF3729,3,0),"")</f>
        <v/>
      </c>
      <c r="PUP671" t="str">
        <f>IFERROR(VLOOKUP(PUQ671,'[3]Raw material  (3)'!PUO653:PVG3729,3,0),"")</f>
        <v/>
      </c>
      <c r="PUQ671" t="str">
        <f>IFERROR(VLOOKUP(PUR671,'[3]Raw material  (3)'!PUP653:PVH3729,3,0),"")</f>
        <v/>
      </c>
      <c r="PUR671" t="str">
        <f>IFERROR(VLOOKUP(PUS671,'[3]Raw material  (3)'!PUQ653:PVI3729,3,0),"")</f>
        <v/>
      </c>
      <c r="PUS671" t="str">
        <f>IFERROR(VLOOKUP(PUT671,'[3]Raw material  (3)'!PUR653:PVJ3729,3,0),"")</f>
        <v/>
      </c>
      <c r="PUT671" t="str">
        <f>IFERROR(VLOOKUP(PUU671,'[3]Raw material  (3)'!PUS653:PVK3729,3,0),"")</f>
        <v/>
      </c>
      <c r="PUU671" t="str">
        <f>IFERROR(VLOOKUP(PUV671,'[3]Raw material  (3)'!PUT653:PVL3729,3,0),"")</f>
        <v/>
      </c>
      <c r="PUV671" t="str">
        <f>IFERROR(VLOOKUP(PUW671,'[3]Raw material  (3)'!PUU653:PVM3729,3,0),"")</f>
        <v/>
      </c>
      <c r="PUW671" t="str">
        <f>IFERROR(VLOOKUP(PUX671,'[3]Raw material  (3)'!PUV653:PVN3729,3,0),"")</f>
        <v/>
      </c>
      <c r="PUX671" t="str">
        <f>IFERROR(VLOOKUP(PUY671,'[3]Raw material  (3)'!PUW653:PVO3729,3,0),"")</f>
        <v/>
      </c>
      <c r="PUY671" t="str">
        <f>IFERROR(VLOOKUP(PUZ671,'[3]Raw material  (3)'!PUX653:PVP3729,3,0),"")</f>
        <v/>
      </c>
      <c r="PUZ671" t="str">
        <f>IFERROR(VLOOKUP(PVA671,'[3]Raw material  (3)'!PUY653:PVQ3729,3,0),"")</f>
        <v/>
      </c>
      <c r="PVA671" t="str">
        <f>IFERROR(VLOOKUP(PVB671,'[3]Raw material  (3)'!PUZ653:PVR3729,3,0),"")</f>
        <v/>
      </c>
      <c r="PVB671" t="str">
        <f>IFERROR(VLOOKUP(PVC671,'[3]Raw material  (3)'!PVA653:PVS3729,3,0),"")</f>
        <v/>
      </c>
      <c r="PVC671" t="str">
        <f>IFERROR(VLOOKUP(PVD671,'[3]Raw material  (3)'!PVB653:PVT3729,3,0),"")</f>
        <v/>
      </c>
      <c r="PVD671" t="str">
        <f>IFERROR(VLOOKUP(PVE671,'[3]Raw material  (3)'!PVC653:PVU3729,3,0),"")</f>
        <v/>
      </c>
      <c r="PVE671" t="str">
        <f>IFERROR(VLOOKUP(PVF671,'[3]Raw material  (3)'!PVD653:PVV3729,3,0),"")</f>
        <v/>
      </c>
      <c r="PVF671" t="str">
        <f>IFERROR(VLOOKUP(PVG671,'[3]Raw material  (3)'!PVE653:PVW3729,3,0),"")</f>
        <v/>
      </c>
      <c r="PVG671" t="str">
        <f>IFERROR(VLOOKUP(PVH671,'[3]Raw material  (3)'!PVF653:PVX3729,3,0),"")</f>
        <v/>
      </c>
      <c r="PVH671" t="str">
        <f>IFERROR(VLOOKUP(PVI671,'[3]Raw material  (3)'!PVG653:PVY3729,3,0),"")</f>
        <v/>
      </c>
      <c r="PVI671" t="str">
        <f>IFERROR(VLOOKUP(PVJ671,'[3]Raw material  (3)'!PVH653:PVZ3729,3,0),"")</f>
        <v/>
      </c>
      <c r="PVJ671" t="str">
        <f>IFERROR(VLOOKUP(PVK671,'[3]Raw material  (3)'!PVI653:PWA3729,3,0),"")</f>
        <v/>
      </c>
      <c r="PVK671" t="str">
        <f>IFERROR(VLOOKUP(PVL671,'[3]Raw material  (3)'!PVJ653:PWB3729,3,0),"")</f>
        <v/>
      </c>
      <c r="PVL671" t="str">
        <f>IFERROR(VLOOKUP(PVM671,'[3]Raw material  (3)'!PVK653:PWC3729,3,0),"")</f>
        <v/>
      </c>
      <c r="PVM671" t="str">
        <f>IFERROR(VLOOKUP(PVN671,'[3]Raw material  (3)'!PVL653:PWD3729,3,0),"")</f>
        <v/>
      </c>
      <c r="PVN671" t="str">
        <f>IFERROR(VLOOKUP(PVO671,'[3]Raw material  (3)'!PVM653:PWE3729,3,0),"")</f>
        <v/>
      </c>
      <c r="PVO671" t="str">
        <f>IFERROR(VLOOKUP(PVP671,'[3]Raw material  (3)'!PVN653:PWF3729,3,0),"")</f>
        <v/>
      </c>
      <c r="PVP671" t="str">
        <f>IFERROR(VLOOKUP(PVQ671,'[3]Raw material  (3)'!PVO653:PWG3729,3,0),"")</f>
        <v/>
      </c>
      <c r="PVQ671" t="str">
        <f>IFERROR(VLOOKUP(PVR671,'[3]Raw material  (3)'!PVP653:PWH3729,3,0),"")</f>
        <v/>
      </c>
      <c r="PVR671" t="str">
        <f>IFERROR(VLOOKUP(PVS671,'[3]Raw material  (3)'!PVQ653:PWI3729,3,0),"")</f>
        <v/>
      </c>
      <c r="PVS671" t="str">
        <f>IFERROR(VLOOKUP(PVT671,'[3]Raw material  (3)'!PVR653:PWJ3729,3,0),"")</f>
        <v/>
      </c>
      <c r="PVT671" t="str">
        <f>IFERROR(VLOOKUP(PVU671,'[3]Raw material  (3)'!PVS653:PWK3729,3,0),"")</f>
        <v/>
      </c>
      <c r="PVU671" t="str">
        <f>IFERROR(VLOOKUP(PVV671,'[3]Raw material  (3)'!PVT653:PWL3729,3,0),"")</f>
        <v/>
      </c>
      <c r="PVV671" t="str">
        <f>IFERROR(VLOOKUP(PVW671,'[3]Raw material  (3)'!PVU653:PWM3729,3,0),"")</f>
        <v/>
      </c>
      <c r="PVW671" t="str">
        <f>IFERROR(VLOOKUP(PVX671,'[3]Raw material  (3)'!PVV653:PWN3729,3,0),"")</f>
        <v/>
      </c>
      <c r="PVX671" t="str">
        <f>IFERROR(VLOOKUP(PVY671,'[3]Raw material  (3)'!PVW653:PWO3729,3,0),"")</f>
        <v/>
      </c>
      <c r="PVY671" t="str">
        <f>IFERROR(VLOOKUP(PVZ671,'[3]Raw material  (3)'!PVX653:PWP3729,3,0),"")</f>
        <v/>
      </c>
      <c r="PVZ671" t="str">
        <f>IFERROR(VLOOKUP(PWA671,'[3]Raw material  (3)'!PVY653:PWQ3729,3,0),"")</f>
        <v/>
      </c>
      <c r="PWA671" t="str">
        <f>IFERROR(VLOOKUP(PWB671,'[3]Raw material  (3)'!PVZ653:PWR3729,3,0),"")</f>
        <v/>
      </c>
      <c r="PWB671" t="str">
        <f>IFERROR(VLOOKUP(PWC671,'[3]Raw material  (3)'!PWA653:PWS3729,3,0),"")</f>
        <v/>
      </c>
      <c r="PWC671" t="str">
        <f>IFERROR(VLOOKUP(PWD671,'[3]Raw material  (3)'!PWB653:PWT3729,3,0),"")</f>
        <v/>
      </c>
      <c r="PWD671" t="str">
        <f>IFERROR(VLOOKUP(PWE671,'[3]Raw material  (3)'!PWC653:PWU3729,3,0),"")</f>
        <v/>
      </c>
      <c r="PWE671" t="str">
        <f>IFERROR(VLOOKUP(PWF671,'[3]Raw material  (3)'!PWD653:PWV3729,3,0),"")</f>
        <v/>
      </c>
      <c r="PWF671" t="str">
        <f>IFERROR(VLOOKUP(PWG671,'[3]Raw material  (3)'!PWE653:PWW3729,3,0),"")</f>
        <v/>
      </c>
      <c r="PWG671" t="str">
        <f>IFERROR(VLOOKUP(PWH671,'[3]Raw material  (3)'!PWF653:PWX3729,3,0),"")</f>
        <v/>
      </c>
      <c r="PWH671" t="str">
        <f>IFERROR(VLOOKUP(PWI671,'[3]Raw material  (3)'!PWG653:PWY3729,3,0),"")</f>
        <v/>
      </c>
      <c r="PWI671" t="str">
        <f>IFERROR(VLOOKUP(PWJ671,'[3]Raw material  (3)'!PWH653:PWZ3729,3,0),"")</f>
        <v/>
      </c>
      <c r="PWJ671" t="str">
        <f>IFERROR(VLOOKUP(PWK671,'[3]Raw material  (3)'!PWI653:PXA3729,3,0),"")</f>
        <v/>
      </c>
      <c r="PWK671" t="str">
        <f>IFERROR(VLOOKUP(PWL671,'[3]Raw material  (3)'!PWJ653:PXB3729,3,0),"")</f>
        <v/>
      </c>
      <c r="PWL671" t="str">
        <f>IFERROR(VLOOKUP(PWM671,'[3]Raw material  (3)'!PWK653:PXC3729,3,0),"")</f>
        <v/>
      </c>
      <c r="PWM671" t="str">
        <f>IFERROR(VLOOKUP(PWN671,'[3]Raw material  (3)'!PWL653:PXD3729,3,0),"")</f>
        <v/>
      </c>
      <c r="PWN671" t="str">
        <f>IFERROR(VLOOKUP(PWO671,'[3]Raw material  (3)'!PWM653:PXE3729,3,0),"")</f>
        <v/>
      </c>
      <c r="PWO671" t="str">
        <f>IFERROR(VLOOKUP(PWP671,'[3]Raw material  (3)'!PWN653:PXF3729,3,0),"")</f>
        <v/>
      </c>
      <c r="PWP671" t="str">
        <f>IFERROR(VLOOKUP(PWQ671,'[3]Raw material  (3)'!PWO653:PXG3729,3,0),"")</f>
        <v/>
      </c>
      <c r="PWQ671" t="str">
        <f>IFERROR(VLOOKUP(PWR671,'[3]Raw material  (3)'!PWP653:PXH3729,3,0),"")</f>
        <v/>
      </c>
      <c r="PWR671" t="str">
        <f>IFERROR(VLOOKUP(PWS671,'[3]Raw material  (3)'!PWQ653:PXI3729,3,0),"")</f>
        <v/>
      </c>
      <c r="PWS671" t="str">
        <f>IFERROR(VLOOKUP(PWT671,'[3]Raw material  (3)'!PWR653:PXJ3729,3,0),"")</f>
        <v/>
      </c>
      <c r="PWT671" t="str">
        <f>IFERROR(VLOOKUP(PWU671,'[3]Raw material  (3)'!PWS653:PXK3729,3,0),"")</f>
        <v/>
      </c>
      <c r="PWU671" t="str">
        <f>IFERROR(VLOOKUP(PWV671,'[3]Raw material  (3)'!PWT653:PXL3729,3,0),"")</f>
        <v/>
      </c>
      <c r="PWV671" t="str">
        <f>IFERROR(VLOOKUP(PWW671,'[3]Raw material  (3)'!PWU653:PXM3729,3,0),"")</f>
        <v/>
      </c>
      <c r="PWW671" t="str">
        <f>IFERROR(VLOOKUP(PWX671,'[3]Raw material  (3)'!PWV653:PXN3729,3,0),"")</f>
        <v/>
      </c>
      <c r="PWX671" t="str">
        <f>IFERROR(VLOOKUP(PWY671,'[3]Raw material  (3)'!PWW653:PXO3729,3,0),"")</f>
        <v/>
      </c>
      <c r="PWY671" t="str">
        <f>IFERROR(VLOOKUP(PWZ671,'[3]Raw material  (3)'!PWX653:PXP3729,3,0),"")</f>
        <v/>
      </c>
      <c r="PWZ671" t="str">
        <f>IFERROR(VLOOKUP(PXA671,'[3]Raw material  (3)'!PWY653:PXQ3729,3,0),"")</f>
        <v/>
      </c>
      <c r="PXA671" t="str">
        <f>IFERROR(VLOOKUP(PXB671,'[3]Raw material  (3)'!PWZ653:PXR3729,3,0),"")</f>
        <v/>
      </c>
      <c r="PXB671" t="str">
        <f>IFERROR(VLOOKUP(PXC671,'[3]Raw material  (3)'!PXA653:PXS3729,3,0),"")</f>
        <v/>
      </c>
      <c r="PXC671" t="str">
        <f>IFERROR(VLOOKUP(PXD671,'[3]Raw material  (3)'!PXB653:PXT3729,3,0),"")</f>
        <v/>
      </c>
      <c r="PXD671" t="str">
        <f>IFERROR(VLOOKUP(PXE671,'[3]Raw material  (3)'!PXC653:PXU3729,3,0),"")</f>
        <v/>
      </c>
      <c r="PXE671" t="str">
        <f>IFERROR(VLOOKUP(PXF671,'[3]Raw material  (3)'!PXD653:PXV3729,3,0),"")</f>
        <v/>
      </c>
      <c r="PXF671" t="str">
        <f>IFERROR(VLOOKUP(PXG671,'[3]Raw material  (3)'!PXE653:PXW3729,3,0),"")</f>
        <v/>
      </c>
      <c r="PXG671" t="str">
        <f>IFERROR(VLOOKUP(PXH671,'[3]Raw material  (3)'!PXF653:PXX3729,3,0),"")</f>
        <v/>
      </c>
      <c r="PXH671" t="str">
        <f>IFERROR(VLOOKUP(PXI671,'[3]Raw material  (3)'!PXG653:PXY3729,3,0),"")</f>
        <v/>
      </c>
      <c r="PXI671" t="str">
        <f>IFERROR(VLOOKUP(PXJ671,'[3]Raw material  (3)'!PXH653:PXZ3729,3,0),"")</f>
        <v/>
      </c>
      <c r="PXJ671" t="str">
        <f>IFERROR(VLOOKUP(PXK671,'[3]Raw material  (3)'!PXI653:PYA3729,3,0),"")</f>
        <v/>
      </c>
      <c r="PXK671" t="str">
        <f>IFERROR(VLOOKUP(PXL671,'[3]Raw material  (3)'!PXJ653:PYB3729,3,0),"")</f>
        <v/>
      </c>
      <c r="PXL671" t="str">
        <f>IFERROR(VLOOKUP(PXM671,'[3]Raw material  (3)'!PXK653:PYC3729,3,0),"")</f>
        <v/>
      </c>
      <c r="PXM671" t="str">
        <f>IFERROR(VLOOKUP(PXN671,'[3]Raw material  (3)'!PXL653:PYD3729,3,0),"")</f>
        <v/>
      </c>
      <c r="PXN671" t="str">
        <f>IFERROR(VLOOKUP(PXO671,'[3]Raw material  (3)'!PXM653:PYE3729,3,0),"")</f>
        <v/>
      </c>
      <c r="PXO671" t="str">
        <f>IFERROR(VLOOKUP(PXP671,'[3]Raw material  (3)'!PXN653:PYF3729,3,0),"")</f>
        <v/>
      </c>
      <c r="PXP671" t="str">
        <f>IFERROR(VLOOKUP(PXQ671,'[3]Raw material  (3)'!PXO653:PYG3729,3,0),"")</f>
        <v/>
      </c>
      <c r="PXQ671" t="str">
        <f>IFERROR(VLOOKUP(PXR671,'[3]Raw material  (3)'!PXP653:PYH3729,3,0),"")</f>
        <v/>
      </c>
      <c r="PXR671" t="str">
        <f>IFERROR(VLOOKUP(PXS671,'[3]Raw material  (3)'!PXQ653:PYI3729,3,0),"")</f>
        <v/>
      </c>
      <c r="PXS671" t="str">
        <f>IFERROR(VLOOKUP(PXT671,'[3]Raw material  (3)'!PXR653:PYJ3729,3,0),"")</f>
        <v/>
      </c>
      <c r="PXT671" t="str">
        <f>IFERROR(VLOOKUP(PXU671,'[3]Raw material  (3)'!PXS653:PYK3729,3,0),"")</f>
        <v/>
      </c>
      <c r="PXU671" t="str">
        <f>IFERROR(VLOOKUP(PXV671,'[3]Raw material  (3)'!PXT653:PYL3729,3,0),"")</f>
        <v/>
      </c>
      <c r="PXV671" t="str">
        <f>IFERROR(VLOOKUP(PXW671,'[3]Raw material  (3)'!PXU653:PYM3729,3,0),"")</f>
        <v/>
      </c>
      <c r="PXW671" t="str">
        <f>IFERROR(VLOOKUP(PXX671,'[3]Raw material  (3)'!PXV653:PYN3729,3,0),"")</f>
        <v/>
      </c>
      <c r="PXX671" t="str">
        <f>IFERROR(VLOOKUP(PXY671,'[3]Raw material  (3)'!PXW653:PYO3729,3,0),"")</f>
        <v/>
      </c>
      <c r="PXY671" t="str">
        <f>IFERROR(VLOOKUP(PXZ671,'[3]Raw material  (3)'!PXX653:PYP3729,3,0),"")</f>
        <v/>
      </c>
      <c r="PXZ671" t="str">
        <f>IFERROR(VLOOKUP(PYA671,'[3]Raw material  (3)'!PXY653:PYQ3729,3,0),"")</f>
        <v/>
      </c>
      <c r="PYA671" t="str">
        <f>IFERROR(VLOOKUP(PYB671,'[3]Raw material  (3)'!PXZ653:PYR3729,3,0),"")</f>
        <v/>
      </c>
      <c r="PYB671" t="str">
        <f>IFERROR(VLOOKUP(PYC671,'[3]Raw material  (3)'!PYA653:PYS3729,3,0),"")</f>
        <v/>
      </c>
      <c r="PYC671" t="str">
        <f>IFERROR(VLOOKUP(PYD671,'[3]Raw material  (3)'!PYB653:PYT3729,3,0),"")</f>
        <v/>
      </c>
      <c r="PYD671" t="str">
        <f>IFERROR(VLOOKUP(PYE671,'[3]Raw material  (3)'!PYC653:PYU3729,3,0),"")</f>
        <v/>
      </c>
      <c r="PYE671" t="str">
        <f>IFERROR(VLOOKUP(PYF671,'[3]Raw material  (3)'!PYD653:PYV3729,3,0),"")</f>
        <v/>
      </c>
      <c r="PYF671" t="str">
        <f>IFERROR(VLOOKUP(PYG671,'[3]Raw material  (3)'!PYE653:PYW3729,3,0),"")</f>
        <v/>
      </c>
      <c r="PYG671" t="str">
        <f>IFERROR(VLOOKUP(PYH671,'[3]Raw material  (3)'!PYF653:PYX3729,3,0),"")</f>
        <v/>
      </c>
      <c r="PYH671" t="str">
        <f>IFERROR(VLOOKUP(PYI671,'[3]Raw material  (3)'!PYG653:PYY3729,3,0),"")</f>
        <v/>
      </c>
      <c r="PYI671" t="str">
        <f>IFERROR(VLOOKUP(PYJ671,'[3]Raw material  (3)'!PYH653:PYZ3729,3,0),"")</f>
        <v/>
      </c>
      <c r="PYJ671" t="str">
        <f>IFERROR(VLOOKUP(PYK671,'[3]Raw material  (3)'!PYI653:PZA3729,3,0),"")</f>
        <v/>
      </c>
      <c r="PYK671" t="str">
        <f>IFERROR(VLOOKUP(PYL671,'[3]Raw material  (3)'!PYJ653:PZB3729,3,0),"")</f>
        <v/>
      </c>
      <c r="PYL671" t="str">
        <f>IFERROR(VLOOKUP(PYM671,'[3]Raw material  (3)'!PYK653:PZC3729,3,0),"")</f>
        <v/>
      </c>
      <c r="PYM671" t="str">
        <f>IFERROR(VLOOKUP(PYN671,'[3]Raw material  (3)'!PYL653:PZD3729,3,0),"")</f>
        <v/>
      </c>
      <c r="PYN671" t="str">
        <f>IFERROR(VLOOKUP(PYO671,'[3]Raw material  (3)'!PYM653:PZE3729,3,0),"")</f>
        <v/>
      </c>
      <c r="PYO671" t="str">
        <f>IFERROR(VLOOKUP(PYP671,'[3]Raw material  (3)'!PYN653:PZF3729,3,0),"")</f>
        <v/>
      </c>
      <c r="PYP671" t="str">
        <f>IFERROR(VLOOKUP(PYQ671,'[3]Raw material  (3)'!PYO653:PZG3729,3,0),"")</f>
        <v/>
      </c>
      <c r="PYQ671" t="str">
        <f>IFERROR(VLOOKUP(PYR671,'[3]Raw material  (3)'!PYP653:PZH3729,3,0),"")</f>
        <v/>
      </c>
      <c r="PYR671" t="str">
        <f>IFERROR(VLOOKUP(PYS671,'[3]Raw material  (3)'!PYQ653:PZI3729,3,0),"")</f>
        <v/>
      </c>
      <c r="PYS671" t="str">
        <f>IFERROR(VLOOKUP(PYT671,'[3]Raw material  (3)'!PYR653:PZJ3729,3,0),"")</f>
        <v/>
      </c>
      <c r="PYT671" t="str">
        <f>IFERROR(VLOOKUP(PYU671,'[3]Raw material  (3)'!PYS653:PZK3729,3,0),"")</f>
        <v/>
      </c>
      <c r="PYU671" t="str">
        <f>IFERROR(VLOOKUP(PYV671,'[3]Raw material  (3)'!PYT653:PZL3729,3,0),"")</f>
        <v/>
      </c>
      <c r="PYV671" t="str">
        <f>IFERROR(VLOOKUP(PYW671,'[3]Raw material  (3)'!PYU653:PZM3729,3,0),"")</f>
        <v/>
      </c>
      <c r="PYW671" t="str">
        <f>IFERROR(VLOOKUP(PYX671,'[3]Raw material  (3)'!PYV653:PZN3729,3,0),"")</f>
        <v/>
      </c>
      <c r="PYX671" t="str">
        <f>IFERROR(VLOOKUP(PYY671,'[3]Raw material  (3)'!PYW653:PZO3729,3,0),"")</f>
        <v/>
      </c>
      <c r="PYY671" t="str">
        <f>IFERROR(VLOOKUP(PYZ671,'[3]Raw material  (3)'!PYX653:PZP3729,3,0),"")</f>
        <v/>
      </c>
      <c r="PYZ671" t="str">
        <f>IFERROR(VLOOKUP(PZA671,'[3]Raw material  (3)'!PYY653:PZQ3729,3,0),"")</f>
        <v/>
      </c>
      <c r="PZA671" t="str">
        <f>IFERROR(VLOOKUP(PZB671,'[3]Raw material  (3)'!PYZ653:PZR3729,3,0),"")</f>
        <v/>
      </c>
      <c r="PZB671" t="str">
        <f>IFERROR(VLOOKUP(PZC671,'[3]Raw material  (3)'!PZA653:PZS3729,3,0),"")</f>
        <v/>
      </c>
      <c r="PZC671" t="str">
        <f>IFERROR(VLOOKUP(PZD671,'[3]Raw material  (3)'!PZB653:PZT3729,3,0),"")</f>
        <v/>
      </c>
      <c r="PZD671" t="str">
        <f>IFERROR(VLOOKUP(PZE671,'[3]Raw material  (3)'!PZC653:PZU3729,3,0),"")</f>
        <v/>
      </c>
      <c r="PZE671" t="str">
        <f>IFERROR(VLOOKUP(PZF671,'[3]Raw material  (3)'!PZD653:PZV3729,3,0),"")</f>
        <v/>
      </c>
      <c r="PZF671" t="str">
        <f>IFERROR(VLOOKUP(PZG671,'[3]Raw material  (3)'!PZE653:PZW3729,3,0),"")</f>
        <v/>
      </c>
      <c r="PZG671" t="str">
        <f>IFERROR(VLOOKUP(PZH671,'[3]Raw material  (3)'!PZF653:PZX3729,3,0),"")</f>
        <v/>
      </c>
      <c r="PZH671" t="str">
        <f>IFERROR(VLOOKUP(PZI671,'[3]Raw material  (3)'!PZG653:PZY3729,3,0),"")</f>
        <v/>
      </c>
      <c r="PZI671" t="str">
        <f>IFERROR(VLOOKUP(PZJ671,'[3]Raw material  (3)'!PZH653:PZZ3729,3,0),"")</f>
        <v/>
      </c>
      <c r="PZJ671" t="str">
        <f>IFERROR(VLOOKUP(PZK671,'[3]Raw material  (3)'!PZI653:QAA3729,3,0),"")</f>
        <v/>
      </c>
      <c r="PZK671" t="str">
        <f>IFERROR(VLOOKUP(PZL671,'[3]Raw material  (3)'!PZJ653:QAB3729,3,0),"")</f>
        <v/>
      </c>
      <c r="PZL671" t="str">
        <f>IFERROR(VLOOKUP(PZM671,'[3]Raw material  (3)'!PZK653:QAC3729,3,0),"")</f>
        <v/>
      </c>
      <c r="PZM671" t="str">
        <f>IFERROR(VLOOKUP(PZN671,'[3]Raw material  (3)'!PZL653:QAD3729,3,0),"")</f>
        <v/>
      </c>
      <c r="PZN671" t="str">
        <f>IFERROR(VLOOKUP(PZO671,'[3]Raw material  (3)'!PZM653:QAE3729,3,0),"")</f>
        <v/>
      </c>
      <c r="PZO671" t="str">
        <f>IFERROR(VLOOKUP(PZP671,'[3]Raw material  (3)'!PZN653:QAF3729,3,0),"")</f>
        <v/>
      </c>
      <c r="PZP671" t="str">
        <f>IFERROR(VLOOKUP(PZQ671,'[3]Raw material  (3)'!PZO653:QAG3729,3,0),"")</f>
        <v/>
      </c>
      <c r="PZQ671" t="str">
        <f>IFERROR(VLOOKUP(PZR671,'[3]Raw material  (3)'!PZP653:QAH3729,3,0),"")</f>
        <v/>
      </c>
      <c r="PZR671" t="str">
        <f>IFERROR(VLOOKUP(PZS671,'[3]Raw material  (3)'!PZQ653:QAI3729,3,0),"")</f>
        <v/>
      </c>
      <c r="PZS671" t="str">
        <f>IFERROR(VLOOKUP(PZT671,'[3]Raw material  (3)'!PZR653:QAJ3729,3,0),"")</f>
        <v/>
      </c>
      <c r="PZT671" t="str">
        <f>IFERROR(VLOOKUP(PZU671,'[3]Raw material  (3)'!PZS653:QAK3729,3,0),"")</f>
        <v/>
      </c>
      <c r="PZU671" t="str">
        <f>IFERROR(VLOOKUP(PZV671,'[3]Raw material  (3)'!PZT653:QAL3729,3,0),"")</f>
        <v/>
      </c>
      <c r="PZV671" t="str">
        <f>IFERROR(VLOOKUP(PZW671,'[3]Raw material  (3)'!PZU653:QAM3729,3,0),"")</f>
        <v/>
      </c>
      <c r="PZW671" t="str">
        <f>IFERROR(VLOOKUP(PZX671,'[3]Raw material  (3)'!PZV653:QAN3729,3,0),"")</f>
        <v/>
      </c>
      <c r="PZX671" t="str">
        <f>IFERROR(VLOOKUP(PZY671,'[3]Raw material  (3)'!PZW653:QAO3729,3,0),"")</f>
        <v/>
      </c>
      <c r="PZY671" t="str">
        <f>IFERROR(VLOOKUP(PZZ671,'[3]Raw material  (3)'!PZX653:QAP3729,3,0),"")</f>
        <v/>
      </c>
      <c r="PZZ671" t="str">
        <f>IFERROR(VLOOKUP(QAA671,'[3]Raw material  (3)'!PZY653:QAQ3729,3,0),"")</f>
        <v/>
      </c>
      <c r="QAA671" t="str">
        <f>IFERROR(VLOOKUP(QAB671,'[3]Raw material  (3)'!PZZ653:QAR3729,3,0),"")</f>
        <v/>
      </c>
      <c r="QAB671" t="str">
        <f>IFERROR(VLOOKUP(QAC671,'[3]Raw material  (3)'!QAA653:QAS3729,3,0),"")</f>
        <v/>
      </c>
      <c r="QAC671" t="str">
        <f>IFERROR(VLOOKUP(QAD671,'[3]Raw material  (3)'!QAB653:QAT3729,3,0),"")</f>
        <v/>
      </c>
      <c r="QAD671" t="str">
        <f>IFERROR(VLOOKUP(QAE671,'[3]Raw material  (3)'!QAC653:QAU3729,3,0),"")</f>
        <v/>
      </c>
      <c r="QAE671" t="str">
        <f>IFERROR(VLOOKUP(QAF671,'[3]Raw material  (3)'!QAD653:QAV3729,3,0),"")</f>
        <v/>
      </c>
      <c r="QAF671" t="str">
        <f>IFERROR(VLOOKUP(QAG671,'[3]Raw material  (3)'!QAE653:QAW3729,3,0),"")</f>
        <v/>
      </c>
      <c r="QAG671" t="str">
        <f>IFERROR(VLOOKUP(QAH671,'[3]Raw material  (3)'!QAF653:QAX3729,3,0),"")</f>
        <v/>
      </c>
      <c r="QAH671" t="str">
        <f>IFERROR(VLOOKUP(QAI671,'[3]Raw material  (3)'!QAG653:QAY3729,3,0),"")</f>
        <v/>
      </c>
      <c r="QAI671" t="str">
        <f>IFERROR(VLOOKUP(QAJ671,'[3]Raw material  (3)'!QAH653:QAZ3729,3,0),"")</f>
        <v/>
      </c>
      <c r="QAJ671" t="str">
        <f>IFERROR(VLOOKUP(QAK671,'[3]Raw material  (3)'!QAI653:QBA3729,3,0),"")</f>
        <v/>
      </c>
      <c r="QAK671" t="str">
        <f>IFERROR(VLOOKUP(QAL671,'[3]Raw material  (3)'!QAJ653:QBB3729,3,0),"")</f>
        <v/>
      </c>
      <c r="QAL671" t="str">
        <f>IFERROR(VLOOKUP(QAM671,'[3]Raw material  (3)'!QAK653:QBC3729,3,0),"")</f>
        <v/>
      </c>
      <c r="QAM671" t="str">
        <f>IFERROR(VLOOKUP(QAN671,'[3]Raw material  (3)'!QAL653:QBD3729,3,0),"")</f>
        <v/>
      </c>
      <c r="QAN671" t="str">
        <f>IFERROR(VLOOKUP(QAO671,'[3]Raw material  (3)'!QAM653:QBE3729,3,0),"")</f>
        <v/>
      </c>
      <c r="QAO671" t="str">
        <f>IFERROR(VLOOKUP(QAP671,'[3]Raw material  (3)'!QAN653:QBF3729,3,0),"")</f>
        <v/>
      </c>
      <c r="QAP671" t="str">
        <f>IFERROR(VLOOKUP(QAQ671,'[3]Raw material  (3)'!QAO653:QBG3729,3,0),"")</f>
        <v/>
      </c>
      <c r="QAQ671" t="str">
        <f>IFERROR(VLOOKUP(QAR671,'[3]Raw material  (3)'!QAP653:QBH3729,3,0),"")</f>
        <v/>
      </c>
      <c r="QAR671" t="str">
        <f>IFERROR(VLOOKUP(QAS671,'[3]Raw material  (3)'!QAQ653:QBI3729,3,0),"")</f>
        <v/>
      </c>
      <c r="QAS671" t="str">
        <f>IFERROR(VLOOKUP(QAT671,'[3]Raw material  (3)'!QAR653:QBJ3729,3,0),"")</f>
        <v/>
      </c>
      <c r="QAT671" t="str">
        <f>IFERROR(VLOOKUP(QAU671,'[3]Raw material  (3)'!QAS653:QBK3729,3,0),"")</f>
        <v/>
      </c>
      <c r="QAU671" t="str">
        <f>IFERROR(VLOOKUP(QAV671,'[3]Raw material  (3)'!QAT653:QBL3729,3,0),"")</f>
        <v/>
      </c>
      <c r="QAV671" t="str">
        <f>IFERROR(VLOOKUP(QAW671,'[3]Raw material  (3)'!QAU653:QBM3729,3,0),"")</f>
        <v/>
      </c>
      <c r="QAW671" t="str">
        <f>IFERROR(VLOOKUP(QAX671,'[3]Raw material  (3)'!QAV653:QBN3729,3,0),"")</f>
        <v/>
      </c>
      <c r="QAX671" t="str">
        <f>IFERROR(VLOOKUP(QAY671,'[3]Raw material  (3)'!QAW653:QBO3729,3,0),"")</f>
        <v/>
      </c>
      <c r="QAY671" t="str">
        <f>IFERROR(VLOOKUP(QAZ671,'[3]Raw material  (3)'!QAX653:QBP3729,3,0),"")</f>
        <v/>
      </c>
      <c r="QAZ671" t="str">
        <f>IFERROR(VLOOKUP(QBA671,'[3]Raw material  (3)'!QAY653:QBQ3729,3,0),"")</f>
        <v/>
      </c>
      <c r="QBA671" t="str">
        <f>IFERROR(VLOOKUP(QBB671,'[3]Raw material  (3)'!QAZ653:QBR3729,3,0),"")</f>
        <v/>
      </c>
      <c r="QBB671" t="str">
        <f>IFERROR(VLOOKUP(QBC671,'[3]Raw material  (3)'!QBA653:QBS3729,3,0),"")</f>
        <v/>
      </c>
      <c r="QBC671" t="str">
        <f>IFERROR(VLOOKUP(QBD671,'[3]Raw material  (3)'!QBB653:QBT3729,3,0),"")</f>
        <v/>
      </c>
      <c r="QBD671" t="str">
        <f>IFERROR(VLOOKUP(QBE671,'[3]Raw material  (3)'!QBC653:QBU3729,3,0),"")</f>
        <v/>
      </c>
      <c r="QBE671" t="str">
        <f>IFERROR(VLOOKUP(QBF671,'[3]Raw material  (3)'!QBD653:QBV3729,3,0),"")</f>
        <v/>
      </c>
      <c r="QBF671" t="str">
        <f>IFERROR(VLOOKUP(QBG671,'[3]Raw material  (3)'!QBE653:QBW3729,3,0),"")</f>
        <v/>
      </c>
      <c r="QBG671" t="str">
        <f>IFERROR(VLOOKUP(QBH671,'[3]Raw material  (3)'!QBF653:QBX3729,3,0),"")</f>
        <v/>
      </c>
      <c r="QBH671" t="str">
        <f>IFERROR(VLOOKUP(QBI671,'[3]Raw material  (3)'!QBG653:QBY3729,3,0),"")</f>
        <v/>
      </c>
      <c r="QBI671" t="str">
        <f>IFERROR(VLOOKUP(QBJ671,'[3]Raw material  (3)'!QBH653:QBZ3729,3,0),"")</f>
        <v/>
      </c>
      <c r="QBJ671" t="str">
        <f>IFERROR(VLOOKUP(QBK671,'[3]Raw material  (3)'!QBI653:QCA3729,3,0),"")</f>
        <v/>
      </c>
      <c r="QBK671" t="str">
        <f>IFERROR(VLOOKUP(QBL671,'[3]Raw material  (3)'!QBJ653:QCB3729,3,0),"")</f>
        <v/>
      </c>
      <c r="QBL671" t="str">
        <f>IFERROR(VLOOKUP(QBM671,'[3]Raw material  (3)'!QBK653:QCC3729,3,0),"")</f>
        <v/>
      </c>
      <c r="QBM671" t="str">
        <f>IFERROR(VLOOKUP(QBN671,'[3]Raw material  (3)'!QBL653:QCD3729,3,0),"")</f>
        <v/>
      </c>
      <c r="QBN671" t="str">
        <f>IFERROR(VLOOKUP(QBO671,'[3]Raw material  (3)'!QBM653:QCE3729,3,0),"")</f>
        <v/>
      </c>
      <c r="QBO671" t="str">
        <f>IFERROR(VLOOKUP(QBP671,'[3]Raw material  (3)'!QBN653:QCF3729,3,0),"")</f>
        <v/>
      </c>
      <c r="QBP671" t="str">
        <f>IFERROR(VLOOKUP(QBQ671,'[3]Raw material  (3)'!QBO653:QCG3729,3,0),"")</f>
        <v/>
      </c>
      <c r="QBQ671" t="str">
        <f>IFERROR(VLOOKUP(QBR671,'[3]Raw material  (3)'!QBP653:QCH3729,3,0),"")</f>
        <v/>
      </c>
      <c r="QBR671" t="str">
        <f>IFERROR(VLOOKUP(QBS671,'[3]Raw material  (3)'!QBQ653:QCI3729,3,0),"")</f>
        <v/>
      </c>
      <c r="QBS671" t="str">
        <f>IFERROR(VLOOKUP(QBT671,'[3]Raw material  (3)'!QBR653:QCJ3729,3,0),"")</f>
        <v/>
      </c>
      <c r="QBT671" t="str">
        <f>IFERROR(VLOOKUP(QBU671,'[3]Raw material  (3)'!QBS653:QCK3729,3,0),"")</f>
        <v/>
      </c>
      <c r="QBU671" t="str">
        <f>IFERROR(VLOOKUP(QBV671,'[3]Raw material  (3)'!QBT653:QCL3729,3,0),"")</f>
        <v/>
      </c>
      <c r="QBV671" t="str">
        <f>IFERROR(VLOOKUP(QBW671,'[3]Raw material  (3)'!QBU653:QCM3729,3,0),"")</f>
        <v/>
      </c>
      <c r="QBW671" t="str">
        <f>IFERROR(VLOOKUP(QBX671,'[3]Raw material  (3)'!QBV653:QCN3729,3,0),"")</f>
        <v/>
      </c>
      <c r="QBX671" t="str">
        <f>IFERROR(VLOOKUP(QBY671,'[3]Raw material  (3)'!QBW653:QCO3729,3,0),"")</f>
        <v/>
      </c>
      <c r="QBY671" t="str">
        <f>IFERROR(VLOOKUP(QBZ671,'[3]Raw material  (3)'!QBX653:QCP3729,3,0),"")</f>
        <v/>
      </c>
      <c r="QBZ671" t="str">
        <f>IFERROR(VLOOKUP(QCA671,'[3]Raw material  (3)'!QBY653:QCQ3729,3,0),"")</f>
        <v/>
      </c>
      <c r="QCA671" t="str">
        <f>IFERROR(VLOOKUP(QCB671,'[3]Raw material  (3)'!QBZ653:QCR3729,3,0),"")</f>
        <v/>
      </c>
      <c r="QCB671" t="str">
        <f>IFERROR(VLOOKUP(QCC671,'[3]Raw material  (3)'!QCA653:QCS3729,3,0),"")</f>
        <v/>
      </c>
      <c r="QCC671" t="str">
        <f>IFERROR(VLOOKUP(QCD671,'[3]Raw material  (3)'!QCB653:QCT3729,3,0),"")</f>
        <v/>
      </c>
      <c r="QCD671" t="str">
        <f>IFERROR(VLOOKUP(QCE671,'[3]Raw material  (3)'!QCC653:QCU3729,3,0),"")</f>
        <v/>
      </c>
      <c r="QCE671" t="str">
        <f>IFERROR(VLOOKUP(QCF671,'[3]Raw material  (3)'!QCD653:QCV3729,3,0),"")</f>
        <v/>
      </c>
      <c r="QCF671" t="str">
        <f>IFERROR(VLOOKUP(QCG671,'[3]Raw material  (3)'!QCE653:QCW3729,3,0),"")</f>
        <v/>
      </c>
      <c r="QCG671" t="str">
        <f>IFERROR(VLOOKUP(QCH671,'[3]Raw material  (3)'!QCF653:QCX3729,3,0),"")</f>
        <v/>
      </c>
      <c r="QCH671" t="str">
        <f>IFERROR(VLOOKUP(QCI671,'[3]Raw material  (3)'!QCG653:QCY3729,3,0),"")</f>
        <v/>
      </c>
      <c r="QCI671" t="str">
        <f>IFERROR(VLOOKUP(QCJ671,'[3]Raw material  (3)'!QCH653:QCZ3729,3,0),"")</f>
        <v/>
      </c>
      <c r="QCJ671" t="str">
        <f>IFERROR(VLOOKUP(QCK671,'[3]Raw material  (3)'!QCI653:QDA3729,3,0),"")</f>
        <v/>
      </c>
      <c r="QCK671" t="str">
        <f>IFERROR(VLOOKUP(QCL671,'[3]Raw material  (3)'!QCJ653:QDB3729,3,0),"")</f>
        <v/>
      </c>
      <c r="QCL671" t="str">
        <f>IFERROR(VLOOKUP(QCM671,'[3]Raw material  (3)'!QCK653:QDC3729,3,0),"")</f>
        <v/>
      </c>
      <c r="QCM671" t="str">
        <f>IFERROR(VLOOKUP(QCN671,'[3]Raw material  (3)'!QCL653:QDD3729,3,0),"")</f>
        <v/>
      </c>
      <c r="QCN671" t="str">
        <f>IFERROR(VLOOKUP(QCO671,'[3]Raw material  (3)'!QCM653:QDE3729,3,0),"")</f>
        <v/>
      </c>
      <c r="QCO671" t="str">
        <f>IFERROR(VLOOKUP(QCP671,'[3]Raw material  (3)'!QCN653:QDF3729,3,0),"")</f>
        <v/>
      </c>
      <c r="QCP671" t="str">
        <f>IFERROR(VLOOKUP(QCQ671,'[3]Raw material  (3)'!QCO653:QDG3729,3,0),"")</f>
        <v/>
      </c>
      <c r="QCQ671" t="str">
        <f>IFERROR(VLOOKUP(QCR671,'[3]Raw material  (3)'!QCP653:QDH3729,3,0),"")</f>
        <v/>
      </c>
      <c r="QCR671" t="str">
        <f>IFERROR(VLOOKUP(QCS671,'[3]Raw material  (3)'!QCQ653:QDI3729,3,0),"")</f>
        <v/>
      </c>
      <c r="QCS671" t="str">
        <f>IFERROR(VLOOKUP(QCT671,'[3]Raw material  (3)'!QCR653:QDJ3729,3,0),"")</f>
        <v/>
      </c>
      <c r="QCT671" t="str">
        <f>IFERROR(VLOOKUP(QCU671,'[3]Raw material  (3)'!QCS653:QDK3729,3,0),"")</f>
        <v/>
      </c>
      <c r="QCU671" t="str">
        <f>IFERROR(VLOOKUP(QCV671,'[3]Raw material  (3)'!QCT653:QDL3729,3,0),"")</f>
        <v/>
      </c>
      <c r="QCV671" t="str">
        <f>IFERROR(VLOOKUP(QCW671,'[3]Raw material  (3)'!QCU653:QDM3729,3,0),"")</f>
        <v/>
      </c>
      <c r="QCW671" t="str">
        <f>IFERROR(VLOOKUP(QCX671,'[3]Raw material  (3)'!QCV653:QDN3729,3,0),"")</f>
        <v/>
      </c>
      <c r="QCX671" t="str">
        <f>IFERROR(VLOOKUP(QCY671,'[3]Raw material  (3)'!QCW653:QDO3729,3,0),"")</f>
        <v/>
      </c>
      <c r="QCY671" t="str">
        <f>IFERROR(VLOOKUP(QCZ671,'[3]Raw material  (3)'!QCX653:QDP3729,3,0),"")</f>
        <v/>
      </c>
      <c r="QCZ671" t="str">
        <f>IFERROR(VLOOKUP(QDA671,'[3]Raw material  (3)'!QCY653:QDQ3729,3,0),"")</f>
        <v/>
      </c>
      <c r="QDA671" t="str">
        <f>IFERROR(VLOOKUP(QDB671,'[3]Raw material  (3)'!QCZ653:QDR3729,3,0),"")</f>
        <v/>
      </c>
      <c r="QDB671" t="str">
        <f>IFERROR(VLOOKUP(QDC671,'[3]Raw material  (3)'!QDA653:QDS3729,3,0),"")</f>
        <v/>
      </c>
      <c r="QDC671" t="str">
        <f>IFERROR(VLOOKUP(QDD671,'[3]Raw material  (3)'!QDB653:QDT3729,3,0),"")</f>
        <v/>
      </c>
      <c r="QDD671" t="str">
        <f>IFERROR(VLOOKUP(QDE671,'[3]Raw material  (3)'!QDC653:QDU3729,3,0),"")</f>
        <v/>
      </c>
      <c r="QDE671" t="str">
        <f>IFERROR(VLOOKUP(QDF671,'[3]Raw material  (3)'!QDD653:QDV3729,3,0),"")</f>
        <v/>
      </c>
      <c r="QDF671" t="str">
        <f>IFERROR(VLOOKUP(QDG671,'[3]Raw material  (3)'!QDE653:QDW3729,3,0),"")</f>
        <v/>
      </c>
      <c r="QDG671" t="str">
        <f>IFERROR(VLOOKUP(QDH671,'[3]Raw material  (3)'!QDF653:QDX3729,3,0),"")</f>
        <v/>
      </c>
      <c r="QDH671" t="str">
        <f>IFERROR(VLOOKUP(QDI671,'[3]Raw material  (3)'!QDG653:QDY3729,3,0),"")</f>
        <v/>
      </c>
      <c r="QDI671" t="str">
        <f>IFERROR(VLOOKUP(QDJ671,'[3]Raw material  (3)'!QDH653:QDZ3729,3,0),"")</f>
        <v/>
      </c>
      <c r="QDJ671" t="str">
        <f>IFERROR(VLOOKUP(QDK671,'[3]Raw material  (3)'!QDI653:QEA3729,3,0),"")</f>
        <v/>
      </c>
      <c r="QDK671" t="str">
        <f>IFERROR(VLOOKUP(QDL671,'[3]Raw material  (3)'!QDJ653:QEB3729,3,0),"")</f>
        <v/>
      </c>
      <c r="QDL671" t="str">
        <f>IFERROR(VLOOKUP(QDM671,'[3]Raw material  (3)'!QDK653:QEC3729,3,0),"")</f>
        <v/>
      </c>
      <c r="QDM671" t="str">
        <f>IFERROR(VLOOKUP(QDN671,'[3]Raw material  (3)'!QDL653:QED3729,3,0),"")</f>
        <v/>
      </c>
      <c r="QDN671" t="str">
        <f>IFERROR(VLOOKUP(QDO671,'[3]Raw material  (3)'!QDM653:QEE3729,3,0),"")</f>
        <v/>
      </c>
      <c r="QDO671" t="str">
        <f>IFERROR(VLOOKUP(QDP671,'[3]Raw material  (3)'!QDN653:QEF3729,3,0),"")</f>
        <v/>
      </c>
      <c r="QDP671" t="str">
        <f>IFERROR(VLOOKUP(QDQ671,'[3]Raw material  (3)'!QDO653:QEG3729,3,0),"")</f>
        <v/>
      </c>
      <c r="QDQ671" t="str">
        <f>IFERROR(VLOOKUP(QDR671,'[3]Raw material  (3)'!QDP653:QEH3729,3,0),"")</f>
        <v/>
      </c>
      <c r="QDR671" t="str">
        <f>IFERROR(VLOOKUP(QDS671,'[3]Raw material  (3)'!QDQ653:QEI3729,3,0),"")</f>
        <v/>
      </c>
      <c r="QDS671" t="str">
        <f>IFERROR(VLOOKUP(QDT671,'[3]Raw material  (3)'!QDR653:QEJ3729,3,0),"")</f>
        <v/>
      </c>
      <c r="QDT671" t="str">
        <f>IFERROR(VLOOKUP(QDU671,'[3]Raw material  (3)'!QDS653:QEK3729,3,0),"")</f>
        <v/>
      </c>
      <c r="QDU671" t="str">
        <f>IFERROR(VLOOKUP(QDV671,'[3]Raw material  (3)'!QDT653:QEL3729,3,0),"")</f>
        <v/>
      </c>
      <c r="QDV671" t="str">
        <f>IFERROR(VLOOKUP(QDW671,'[3]Raw material  (3)'!QDU653:QEM3729,3,0),"")</f>
        <v/>
      </c>
      <c r="QDW671" t="str">
        <f>IFERROR(VLOOKUP(QDX671,'[3]Raw material  (3)'!QDV653:QEN3729,3,0),"")</f>
        <v/>
      </c>
      <c r="QDX671" t="str">
        <f>IFERROR(VLOOKUP(QDY671,'[3]Raw material  (3)'!QDW653:QEO3729,3,0),"")</f>
        <v/>
      </c>
      <c r="QDY671" t="str">
        <f>IFERROR(VLOOKUP(QDZ671,'[3]Raw material  (3)'!QDX653:QEP3729,3,0),"")</f>
        <v/>
      </c>
      <c r="QDZ671" t="str">
        <f>IFERROR(VLOOKUP(QEA671,'[3]Raw material  (3)'!QDY653:QEQ3729,3,0),"")</f>
        <v/>
      </c>
      <c r="QEA671" t="str">
        <f>IFERROR(VLOOKUP(QEB671,'[3]Raw material  (3)'!QDZ653:QER3729,3,0),"")</f>
        <v/>
      </c>
      <c r="QEB671" t="str">
        <f>IFERROR(VLOOKUP(QEC671,'[3]Raw material  (3)'!QEA653:QES3729,3,0),"")</f>
        <v/>
      </c>
      <c r="QEC671" t="str">
        <f>IFERROR(VLOOKUP(QED671,'[3]Raw material  (3)'!QEB653:QET3729,3,0),"")</f>
        <v/>
      </c>
      <c r="QED671" t="str">
        <f>IFERROR(VLOOKUP(QEE671,'[3]Raw material  (3)'!QEC653:QEU3729,3,0),"")</f>
        <v/>
      </c>
      <c r="QEE671" t="str">
        <f>IFERROR(VLOOKUP(QEF671,'[3]Raw material  (3)'!QED653:QEV3729,3,0),"")</f>
        <v/>
      </c>
      <c r="QEF671" t="str">
        <f>IFERROR(VLOOKUP(QEG671,'[3]Raw material  (3)'!QEE653:QEW3729,3,0),"")</f>
        <v/>
      </c>
      <c r="QEG671" t="str">
        <f>IFERROR(VLOOKUP(QEH671,'[3]Raw material  (3)'!QEF653:QEX3729,3,0),"")</f>
        <v/>
      </c>
      <c r="QEH671" t="str">
        <f>IFERROR(VLOOKUP(QEI671,'[3]Raw material  (3)'!QEG653:QEY3729,3,0),"")</f>
        <v/>
      </c>
      <c r="QEI671" t="str">
        <f>IFERROR(VLOOKUP(QEJ671,'[3]Raw material  (3)'!QEH653:QEZ3729,3,0),"")</f>
        <v/>
      </c>
      <c r="QEJ671" t="str">
        <f>IFERROR(VLOOKUP(QEK671,'[3]Raw material  (3)'!QEI653:QFA3729,3,0),"")</f>
        <v/>
      </c>
      <c r="QEK671" t="str">
        <f>IFERROR(VLOOKUP(QEL671,'[3]Raw material  (3)'!QEJ653:QFB3729,3,0),"")</f>
        <v/>
      </c>
      <c r="QEL671" t="str">
        <f>IFERROR(VLOOKUP(QEM671,'[3]Raw material  (3)'!QEK653:QFC3729,3,0),"")</f>
        <v/>
      </c>
      <c r="QEM671" t="str">
        <f>IFERROR(VLOOKUP(QEN671,'[3]Raw material  (3)'!QEL653:QFD3729,3,0),"")</f>
        <v/>
      </c>
      <c r="QEN671" t="str">
        <f>IFERROR(VLOOKUP(QEO671,'[3]Raw material  (3)'!QEM653:QFE3729,3,0),"")</f>
        <v/>
      </c>
      <c r="QEO671" t="str">
        <f>IFERROR(VLOOKUP(QEP671,'[3]Raw material  (3)'!QEN653:QFF3729,3,0),"")</f>
        <v/>
      </c>
      <c r="QEP671" t="str">
        <f>IFERROR(VLOOKUP(QEQ671,'[3]Raw material  (3)'!QEO653:QFG3729,3,0),"")</f>
        <v/>
      </c>
      <c r="QEQ671" t="str">
        <f>IFERROR(VLOOKUP(QER671,'[3]Raw material  (3)'!QEP653:QFH3729,3,0),"")</f>
        <v/>
      </c>
      <c r="QER671" t="str">
        <f>IFERROR(VLOOKUP(QES671,'[3]Raw material  (3)'!QEQ653:QFI3729,3,0),"")</f>
        <v/>
      </c>
      <c r="QES671" t="str">
        <f>IFERROR(VLOOKUP(QET671,'[3]Raw material  (3)'!QER653:QFJ3729,3,0),"")</f>
        <v/>
      </c>
      <c r="QET671" t="str">
        <f>IFERROR(VLOOKUP(QEU671,'[3]Raw material  (3)'!QES653:QFK3729,3,0),"")</f>
        <v/>
      </c>
      <c r="QEU671" t="str">
        <f>IFERROR(VLOOKUP(QEV671,'[3]Raw material  (3)'!QET653:QFL3729,3,0),"")</f>
        <v/>
      </c>
      <c r="QEV671" t="str">
        <f>IFERROR(VLOOKUP(QEW671,'[3]Raw material  (3)'!QEU653:QFM3729,3,0),"")</f>
        <v/>
      </c>
      <c r="QEW671" t="str">
        <f>IFERROR(VLOOKUP(QEX671,'[3]Raw material  (3)'!QEV653:QFN3729,3,0),"")</f>
        <v/>
      </c>
      <c r="QEX671" t="str">
        <f>IFERROR(VLOOKUP(QEY671,'[3]Raw material  (3)'!QEW653:QFO3729,3,0),"")</f>
        <v/>
      </c>
      <c r="QEY671" t="str">
        <f>IFERROR(VLOOKUP(QEZ671,'[3]Raw material  (3)'!QEX653:QFP3729,3,0),"")</f>
        <v/>
      </c>
      <c r="QEZ671" t="str">
        <f>IFERROR(VLOOKUP(QFA671,'[3]Raw material  (3)'!QEY653:QFQ3729,3,0),"")</f>
        <v/>
      </c>
      <c r="QFA671" t="str">
        <f>IFERROR(VLOOKUP(QFB671,'[3]Raw material  (3)'!QEZ653:QFR3729,3,0),"")</f>
        <v/>
      </c>
      <c r="QFB671" t="str">
        <f>IFERROR(VLOOKUP(QFC671,'[3]Raw material  (3)'!QFA653:QFS3729,3,0),"")</f>
        <v/>
      </c>
      <c r="QFC671" t="str">
        <f>IFERROR(VLOOKUP(QFD671,'[3]Raw material  (3)'!QFB653:QFT3729,3,0),"")</f>
        <v/>
      </c>
      <c r="QFD671" t="str">
        <f>IFERROR(VLOOKUP(QFE671,'[3]Raw material  (3)'!QFC653:QFU3729,3,0),"")</f>
        <v/>
      </c>
      <c r="QFE671" t="str">
        <f>IFERROR(VLOOKUP(QFF671,'[3]Raw material  (3)'!QFD653:QFV3729,3,0),"")</f>
        <v/>
      </c>
      <c r="QFF671" t="str">
        <f>IFERROR(VLOOKUP(QFG671,'[3]Raw material  (3)'!QFE653:QFW3729,3,0),"")</f>
        <v/>
      </c>
      <c r="QFG671" t="str">
        <f>IFERROR(VLOOKUP(QFH671,'[3]Raw material  (3)'!QFF653:QFX3729,3,0),"")</f>
        <v/>
      </c>
      <c r="QFH671" t="str">
        <f>IFERROR(VLOOKUP(QFI671,'[3]Raw material  (3)'!QFG653:QFY3729,3,0),"")</f>
        <v/>
      </c>
      <c r="QFI671" t="str">
        <f>IFERROR(VLOOKUP(QFJ671,'[3]Raw material  (3)'!QFH653:QFZ3729,3,0),"")</f>
        <v/>
      </c>
      <c r="QFJ671" t="str">
        <f>IFERROR(VLOOKUP(QFK671,'[3]Raw material  (3)'!QFI653:QGA3729,3,0),"")</f>
        <v/>
      </c>
      <c r="QFK671" t="str">
        <f>IFERROR(VLOOKUP(QFL671,'[3]Raw material  (3)'!QFJ653:QGB3729,3,0),"")</f>
        <v/>
      </c>
      <c r="QFL671" t="str">
        <f>IFERROR(VLOOKUP(QFM671,'[3]Raw material  (3)'!QFK653:QGC3729,3,0),"")</f>
        <v/>
      </c>
      <c r="QFM671" t="str">
        <f>IFERROR(VLOOKUP(QFN671,'[3]Raw material  (3)'!QFL653:QGD3729,3,0),"")</f>
        <v/>
      </c>
      <c r="QFN671" t="str">
        <f>IFERROR(VLOOKUP(QFO671,'[3]Raw material  (3)'!QFM653:QGE3729,3,0),"")</f>
        <v/>
      </c>
      <c r="QFO671" t="str">
        <f>IFERROR(VLOOKUP(QFP671,'[3]Raw material  (3)'!QFN653:QGF3729,3,0),"")</f>
        <v/>
      </c>
      <c r="QFP671" t="str">
        <f>IFERROR(VLOOKUP(QFQ671,'[3]Raw material  (3)'!QFO653:QGG3729,3,0),"")</f>
        <v/>
      </c>
      <c r="QFQ671" t="str">
        <f>IFERROR(VLOOKUP(QFR671,'[3]Raw material  (3)'!QFP653:QGH3729,3,0),"")</f>
        <v/>
      </c>
      <c r="QFR671" t="str">
        <f>IFERROR(VLOOKUP(QFS671,'[3]Raw material  (3)'!QFQ653:QGI3729,3,0),"")</f>
        <v/>
      </c>
      <c r="QFS671" t="str">
        <f>IFERROR(VLOOKUP(QFT671,'[3]Raw material  (3)'!QFR653:QGJ3729,3,0),"")</f>
        <v/>
      </c>
      <c r="QFT671" t="str">
        <f>IFERROR(VLOOKUP(QFU671,'[3]Raw material  (3)'!QFS653:QGK3729,3,0),"")</f>
        <v/>
      </c>
      <c r="QFU671" t="str">
        <f>IFERROR(VLOOKUP(QFV671,'[3]Raw material  (3)'!QFT653:QGL3729,3,0),"")</f>
        <v/>
      </c>
      <c r="QFV671" t="str">
        <f>IFERROR(VLOOKUP(QFW671,'[3]Raw material  (3)'!QFU653:QGM3729,3,0),"")</f>
        <v/>
      </c>
      <c r="QFW671" t="str">
        <f>IFERROR(VLOOKUP(QFX671,'[3]Raw material  (3)'!QFV653:QGN3729,3,0),"")</f>
        <v/>
      </c>
      <c r="QFX671" t="str">
        <f>IFERROR(VLOOKUP(QFY671,'[3]Raw material  (3)'!QFW653:QGO3729,3,0),"")</f>
        <v/>
      </c>
      <c r="QFY671" t="str">
        <f>IFERROR(VLOOKUP(QFZ671,'[3]Raw material  (3)'!QFX653:QGP3729,3,0),"")</f>
        <v/>
      </c>
      <c r="QFZ671" t="str">
        <f>IFERROR(VLOOKUP(QGA671,'[3]Raw material  (3)'!QFY653:QGQ3729,3,0),"")</f>
        <v/>
      </c>
      <c r="QGA671" t="str">
        <f>IFERROR(VLOOKUP(QGB671,'[3]Raw material  (3)'!QFZ653:QGR3729,3,0),"")</f>
        <v/>
      </c>
      <c r="QGB671" t="str">
        <f>IFERROR(VLOOKUP(QGC671,'[3]Raw material  (3)'!QGA653:QGS3729,3,0),"")</f>
        <v/>
      </c>
      <c r="QGC671" t="str">
        <f>IFERROR(VLOOKUP(QGD671,'[3]Raw material  (3)'!QGB653:QGT3729,3,0),"")</f>
        <v/>
      </c>
      <c r="QGD671" t="str">
        <f>IFERROR(VLOOKUP(QGE671,'[3]Raw material  (3)'!QGC653:QGU3729,3,0),"")</f>
        <v/>
      </c>
      <c r="QGE671" t="str">
        <f>IFERROR(VLOOKUP(QGF671,'[3]Raw material  (3)'!QGD653:QGV3729,3,0),"")</f>
        <v/>
      </c>
      <c r="QGF671" t="str">
        <f>IFERROR(VLOOKUP(QGG671,'[3]Raw material  (3)'!QGE653:QGW3729,3,0),"")</f>
        <v/>
      </c>
      <c r="QGG671" t="str">
        <f>IFERROR(VLOOKUP(QGH671,'[3]Raw material  (3)'!QGF653:QGX3729,3,0),"")</f>
        <v/>
      </c>
      <c r="QGH671" t="str">
        <f>IFERROR(VLOOKUP(QGI671,'[3]Raw material  (3)'!QGG653:QGY3729,3,0),"")</f>
        <v/>
      </c>
      <c r="QGI671" t="str">
        <f>IFERROR(VLOOKUP(QGJ671,'[3]Raw material  (3)'!QGH653:QGZ3729,3,0),"")</f>
        <v/>
      </c>
      <c r="QGJ671" t="str">
        <f>IFERROR(VLOOKUP(QGK671,'[3]Raw material  (3)'!QGI653:QHA3729,3,0),"")</f>
        <v/>
      </c>
      <c r="QGK671" t="str">
        <f>IFERROR(VLOOKUP(QGL671,'[3]Raw material  (3)'!QGJ653:QHB3729,3,0),"")</f>
        <v/>
      </c>
      <c r="QGL671" t="str">
        <f>IFERROR(VLOOKUP(QGM671,'[3]Raw material  (3)'!QGK653:QHC3729,3,0),"")</f>
        <v/>
      </c>
      <c r="QGM671" t="str">
        <f>IFERROR(VLOOKUP(QGN671,'[3]Raw material  (3)'!QGL653:QHD3729,3,0),"")</f>
        <v/>
      </c>
      <c r="QGN671" t="str">
        <f>IFERROR(VLOOKUP(QGO671,'[3]Raw material  (3)'!QGM653:QHE3729,3,0),"")</f>
        <v/>
      </c>
      <c r="QGO671" t="str">
        <f>IFERROR(VLOOKUP(QGP671,'[3]Raw material  (3)'!QGN653:QHF3729,3,0),"")</f>
        <v/>
      </c>
      <c r="QGP671" t="str">
        <f>IFERROR(VLOOKUP(QGQ671,'[3]Raw material  (3)'!QGO653:QHG3729,3,0),"")</f>
        <v/>
      </c>
      <c r="QGQ671" t="str">
        <f>IFERROR(VLOOKUP(QGR671,'[3]Raw material  (3)'!QGP653:QHH3729,3,0),"")</f>
        <v/>
      </c>
      <c r="QGR671" t="str">
        <f>IFERROR(VLOOKUP(QGS671,'[3]Raw material  (3)'!QGQ653:QHI3729,3,0),"")</f>
        <v/>
      </c>
      <c r="QGS671" t="str">
        <f>IFERROR(VLOOKUP(QGT671,'[3]Raw material  (3)'!QGR653:QHJ3729,3,0),"")</f>
        <v/>
      </c>
      <c r="QGT671" t="str">
        <f>IFERROR(VLOOKUP(QGU671,'[3]Raw material  (3)'!QGS653:QHK3729,3,0),"")</f>
        <v/>
      </c>
      <c r="QGU671" t="str">
        <f>IFERROR(VLOOKUP(QGV671,'[3]Raw material  (3)'!QGT653:QHL3729,3,0),"")</f>
        <v/>
      </c>
      <c r="QGV671" t="str">
        <f>IFERROR(VLOOKUP(QGW671,'[3]Raw material  (3)'!QGU653:QHM3729,3,0),"")</f>
        <v/>
      </c>
      <c r="QGW671" t="str">
        <f>IFERROR(VLOOKUP(QGX671,'[3]Raw material  (3)'!QGV653:QHN3729,3,0),"")</f>
        <v/>
      </c>
      <c r="QGX671" t="str">
        <f>IFERROR(VLOOKUP(QGY671,'[3]Raw material  (3)'!QGW653:QHO3729,3,0),"")</f>
        <v/>
      </c>
      <c r="QGY671" t="str">
        <f>IFERROR(VLOOKUP(QGZ671,'[3]Raw material  (3)'!QGX653:QHP3729,3,0),"")</f>
        <v/>
      </c>
      <c r="QGZ671" t="str">
        <f>IFERROR(VLOOKUP(QHA671,'[3]Raw material  (3)'!QGY653:QHQ3729,3,0),"")</f>
        <v/>
      </c>
      <c r="QHA671" t="str">
        <f>IFERROR(VLOOKUP(QHB671,'[3]Raw material  (3)'!QGZ653:QHR3729,3,0),"")</f>
        <v/>
      </c>
      <c r="QHB671" t="str">
        <f>IFERROR(VLOOKUP(QHC671,'[3]Raw material  (3)'!QHA653:QHS3729,3,0),"")</f>
        <v/>
      </c>
      <c r="QHC671" t="str">
        <f>IFERROR(VLOOKUP(QHD671,'[3]Raw material  (3)'!QHB653:QHT3729,3,0),"")</f>
        <v/>
      </c>
      <c r="QHD671" t="str">
        <f>IFERROR(VLOOKUP(QHE671,'[3]Raw material  (3)'!QHC653:QHU3729,3,0),"")</f>
        <v/>
      </c>
      <c r="QHE671" t="str">
        <f>IFERROR(VLOOKUP(QHF671,'[3]Raw material  (3)'!QHD653:QHV3729,3,0),"")</f>
        <v/>
      </c>
      <c r="QHF671" t="str">
        <f>IFERROR(VLOOKUP(QHG671,'[3]Raw material  (3)'!QHE653:QHW3729,3,0),"")</f>
        <v/>
      </c>
      <c r="QHG671" t="str">
        <f>IFERROR(VLOOKUP(QHH671,'[3]Raw material  (3)'!QHF653:QHX3729,3,0),"")</f>
        <v/>
      </c>
      <c r="QHH671" t="str">
        <f>IFERROR(VLOOKUP(QHI671,'[3]Raw material  (3)'!QHG653:QHY3729,3,0),"")</f>
        <v/>
      </c>
      <c r="QHI671" t="str">
        <f>IFERROR(VLOOKUP(QHJ671,'[3]Raw material  (3)'!QHH653:QHZ3729,3,0),"")</f>
        <v/>
      </c>
      <c r="QHJ671" t="str">
        <f>IFERROR(VLOOKUP(QHK671,'[3]Raw material  (3)'!QHI653:QIA3729,3,0),"")</f>
        <v/>
      </c>
      <c r="QHK671" t="str">
        <f>IFERROR(VLOOKUP(QHL671,'[3]Raw material  (3)'!QHJ653:QIB3729,3,0),"")</f>
        <v/>
      </c>
      <c r="QHL671" t="str">
        <f>IFERROR(VLOOKUP(QHM671,'[3]Raw material  (3)'!QHK653:QIC3729,3,0),"")</f>
        <v/>
      </c>
      <c r="QHM671" t="str">
        <f>IFERROR(VLOOKUP(QHN671,'[3]Raw material  (3)'!QHL653:QID3729,3,0),"")</f>
        <v/>
      </c>
      <c r="QHN671" t="str">
        <f>IFERROR(VLOOKUP(QHO671,'[3]Raw material  (3)'!QHM653:QIE3729,3,0),"")</f>
        <v/>
      </c>
      <c r="QHO671" t="str">
        <f>IFERROR(VLOOKUP(QHP671,'[3]Raw material  (3)'!QHN653:QIF3729,3,0),"")</f>
        <v/>
      </c>
      <c r="QHP671" t="str">
        <f>IFERROR(VLOOKUP(QHQ671,'[3]Raw material  (3)'!QHO653:QIG3729,3,0),"")</f>
        <v/>
      </c>
      <c r="QHQ671" t="str">
        <f>IFERROR(VLOOKUP(QHR671,'[3]Raw material  (3)'!QHP653:QIH3729,3,0),"")</f>
        <v/>
      </c>
      <c r="QHR671" t="str">
        <f>IFERROR(VLOOKUP(QHS671,'[3]Raw material  (3)'!QHQ653:QII3729,3,0),"")</f>
        <v/>
      </c>
      <c r="QHS671" t="str">
        <f>IFERROR(VLOOKUP(QHT671,'[3]Raw material  (3)'!QHR653:QIJ3729,3,0),"")</f>
        <v/>
      </c>
      <c r="QHT671" t="str">
        <f>IFERROR(VLOOKUP(QHU671,'[3]Raw material  (3)'!QHS653:QIK3729,3,0),"")</f>
        <v/>
      </c>
      <c r="QHU671" t="str">
        <f>IFERROR(VLOOKUP(QHV671,'[3]Raw material  (3)'!QHT653:QIL3729,3,0),"")</f>
        <v/>
      </c>
      <c r="QHV671" t="str">
        <f>IFERROR(VLOOKUP(QHW671,'[3]Raw material  (3)'!QHU653:QIM3729,3,0),"")</f>
        <v/>
      </c>
      <c r="QHW671" t="str">
        <f>IFERROR(VLOOKUP(QHX671,'[3]Raw material  (3)'!QHV653:QIN3729,3,0),"")</f>
        <v/>
      </c>
      <c r="QHX671" t="str">
        <f>IFERROR(VLOOKUP(QHY671,'[3]Raw material  (3)'!QHW653:QIO3729,3,0),"")</f>
        <v/>
      </c>
      <c r="QHY671" t="str">
        <f>IFERROR(VLOOKUP(QHZ671,'[3]Raw material  (3)'!QHX653:QIP3729,3,0),"")</f>
        <v/>
      </c>
      <c r="QHZ671" t="str">
        <f>IFERROR(VLOOKUP(QIA671,'[3]Raw material  (3)'!QHY653:QIQ3729,3,0),"")</f>
        <v/>
      </c>
      <c r="QIA671" t="str">
        <f>IFERROR(VLOOKUP(QIB671,'[3]Raw material  (3)'!QHZ653:QIR3729,3,0),"")</f>
        <v/>
      </c>
      <c r="QIB671" t="str">
        <f>IFERROR(VLOOKUP(QIC671,'[3]Raw material  (3)'!QIA653:QIS3729,3,0),"")</f>
        <v/>
      </c>
      <c r="QIC671" t="str">
        <f>IFERROR(VLOOKUP(QID671,'[3]Raw material  (3)'!QIB653:QIT3729,3,0),"")</f>
        <v/>
      </c>
      <c r="QID671" t="str">
        <f>IFERROR(VLOOKUP(QIE671,'[3]Raw material  (3)'!QIC653:QIU3729,3,0),"")</f>
        <v/>
      </c>
      <c r="QIE671" t="str">
        <f>IFERROR(VLOOKUP(QIF671,'[3]Raw material  (3)'!QID653:QIV3729,3,0),"")</f>
        <v/>
      </c>
      <c r="QIF671" t="str">
        <f>IFERROR(VLOOKUP(QIG671,'[3]Raw material  (3)'!QIE653:QIW3729,3,0),"")</f>
        <v/>
      </c>
      <c r="QIG671" t="str">
        <f>IFERROR(VLOOKUP(QIH671,'[3]Raw material  (3)'!QIF653:QIX3729,3,0),"")</f>
        <v/>
      </c>
      <c r="QIH671" t="str">
        <f>IFERROR(VLOOKUP(QII671,'[3]Raw material  (3)'!QIG653:QIY3729,3,0),"")</f>
        <v/>
      </c>
      <c r="QII671" t="str">
        <f>IFERROR(VLOOKUP(QIJ671,'[3]Raw material  (3)'!QIH653:QIZ3729,3,0),"")</f>
        <v/>
      </c>
      <c r="QIJ671" t="str">
        <f>IFERROR(VLOOKUP(QIK671,'[3]Raw material  (3)'!QII653:QJA3729,3,0),"")</f>
        <v/>
      </c>
      <c r="QIK671" t="str">
        <f>IFERROR(VLOOKUP(QIL671,'[3]Raw material  (3)'!QIJ653:QJB3729,3,0),"")</f>
        <v/>
      </c>
      <c r="QIL671" t="str">
        <f>IFERROR(VLOOKUP(QIM671,'[3]Raw material  (3)'!QIK653:QJC3729,3,0),"")</f>
        <v/>
      </c>
      <c r="QIM671" t="str">
        <f>IFERROR(VLOOKUP(QIN671,'[3]Raw material  (3)'!QIL653:QJD3729,3,0),"")</f>
        <v/>
      </c>
      <c r="QIN671" t="str">
        <f>IFERROR(VLOOKUP(QIO671,'[3]Raw material  (3)'!QIM653:QJE3729,3,0),"")</f>
        <v/>
      </c>
      <c r="QIO671" t="str">
        <f>IFERROR(VLOOKUP(QIP671,'[3]Raw material  (3)'!QIN653:QJF3729,3,0),"")</f>
        <v/>
      </c>
      <c r="QIP671" t="str">
        <f>IFERROR(VLOOKUP(QIQ671,'[3]Raw material  (3)'!QIO653:QJG3729,3,0),"")</f>
        <v/>
      </c>
      <c r="QIQ671" t="str">
        <f>IFERROR(VLOOKUP(QIR671,'[3]Raw material  (3)'!QIP653:QJH3729,3,0),"")</f>
        <v/>
      </c>
      <c r="QIR671" t="str">
        <f>IFERROR(VLOOKUP(QIS671,'[3]Raw material  (3)'!QIQ653:QJI3729,3,0),"")</f>
        <v/>
      </c>
      <c r="QIS671" t="str">
        <f>IFERROR(VLOOKUP(QIT671,'[3]Raw material  (3)'!QIR653:QJJ3729,3,0),"")</f>
        <v/>
      </c>
      <c r="QIT671" t="str">
        <f>IFERROR(VLOOKUP(QIU671,'[3]Raw material  (3)'!QIS653:QJK3729,3,0),"")</f>
        <v/>
      </c>
      <c r="QIU671" t="str">
        <f>IFERROR(VLOOKUP(QIV671,'[3]Raw material  (3)'!QIT653:QJL3729,3,0),"")</f>
        <v/>
      </c>
      <c r="QIV671" t="str">
        <f>IFERROR(VLOOKUP(QIW671,'[3]Raw material  (3)'!QIU653:QJM3729,3,0),"")</f>
        <v/>
      </c>
      <c r="QIW671" t="str">
        <f>IFERROR(VLOOKUP(QIX671,'[3]Raw material  (3)'!QIV653:QJN3729,3,0),"")</f>
        <v/>
      </c>
      <c r="QIX671" t="str">
        <f>IFERROR(VLOOKUP(QIY671,'[3]Raw material  (3)'!QIW653:QJO3729,3,0),"")</f>
        <v/>
      </c>
      <c r="QIY671" t="str">
        <f>IFERROR(VLOOKUP(QIZ671,'[3]Raw material  (3)'!QIX653:QJP3729,3,0),"")</f>
        <v/>
      </c>
      <c r="QIZ671" t="str">
        <f>IFERROR(VLOOKUP(QJA671,'[3]Raw material  (3)'!QIY653:QJQ3729,3,0),"")</f>
        <v/>
      </c>
      <c r="QJA671" t="str">
        <f>IFERROR(VLOOKUP(QJB671,'[3]Raw material  (3)'!QIZ653:QJR3729,3,0),"")</f>
        <v/>
      </c>
      <c r="QJB671" t="str">
        <f>IFERROR(VLOOKUP(QJC671,'[3]Raw material  (3)'!QJA653:QJS3729,3,0),"")</f>
        <v/>
      </c>
      <c r="QJC671" t="str">
        <f>IFERROR(VLOOKUP(QJD671,'[3]Raw material  (3)'!QJB653:QJT3729,3,0),"")</f>
        <v/>
      </c>
      <c r="QJD671" t="str">
        <f>IFERROR(VLOOKUP(QJE671,'[3]Raw material  (3)'!QJC653:QJU3729,3,0),"")</f>
        <v/>
      </c>
      <c r="QJE671" t="str">
        <f>IFERROR(VLOOKUP(QJF671,'[3]Raw material  (3)'!QJD653:QJV3729,3,0),"")</f>
        <v/>
      </c>
      <c r="QJF671" t="str">
        <f>IFERROR(VLOOKUP(QJG671,'[3]Raw material  (3)'!QJE653:QJW3729,3,0),"")</f>
        <v/>
      </c>
      <c r="QJG671" t="str">
        <f>IFERROR(VLOOKUP(QJH671,'[3]Raw material  (3)'!QJF653:QJX3729,3,0),"")</f>
        <v/>
      </c>
      <c r="QJH671" t="str">
        <f>IFERROR(VLOOKUP(QJI671,'[3]Raw material  (3)'!QJG653:QJY3729,3,0),"")</f>
        <v/>
      </c>
      <c r="QJI671" t="str">
        <f>IFERROR(VLOOKUP(QJJ671,'[3]Raw material  (3)'!QJH653:QJZ3729,3,0),"")</f>
        <v/>
      </c>
      <c r="QJJ671" t="str">
        <f>IFERROR(VLOOKUP(QJK671,'[3]Raw material  (3)'!QJI653:QKA3729,3,0),"")</f>
        <v/>
      </c>
      <c r="QJK671" t="str">
        <f>IFERROR(VLOOKUP(QJL671,'[3]Raw material  (3)'!QJJ653:QKB3729,3,0),"")</f>
        <v/>
      </c>
      <c r="QJL671" t="str">
        <f>IFERROR(VLOOKUP(QJM671,'[3]Raw material  (3)'!QJK653:QKC3729,3,0),"")</f>
        <v/>
      </c>
      <c r="QJM671" t="str">
        <f>IFERROR(VLOOKUP(QJN671,'[3]Raw material  (3)'!QJL653:QKD3729,3,0),"")</f>
        <v/>
      </c>
      <c r="QJN671" t="str">
        <f>IFERROR(VLOOKUP(QJO671,'[3]Raw material  (3)'!QJM653:QKE3729,3,0),"")</f>
        <v/>
      </c>
      <c r="QJO671" t="str">
        <f>IFERROR(VLOOKUP(QJP671,'[3]Raw material  (3)'!QJN653:QKF3729,3,0),"")</f>
        <v/>
      </c>
      <c r="QJP671" t="str">
        <f>IFERROR(VLOOKUP(QJQ671,'[3]Raw material  (3)'!QJO653:QKG3729,3,0),"")</f>
        <v/>
      </c>
      <c r="QJQ671" t="str">
        <f>IFERROR(VLOOKUP(QJR671,'[3]Raw material  (3)'!QJP653:QKH3729,3,0),"")</f>
        <v/>
      </c>
      <c r="QJR671" t="str">
        <f>IFERROR(VLOOKUP(QJS671,'[3]Raw material  (3)'!QJQ653:QKI3729,3,0),"")</f>
        <v/>
      </c>
      <c r="QJS671" t="str">
        <f>IFERROR(VLOOKUP(QJT671,'[3]Raw material  (3)'!QJR653:QKJ3729,3,0),"")</f>
        <v/>
      </c>
      <c r="QJT671" t="str">
        <f>IFERROR(VLOOKUP(QJU671,'[3]Raw material  (3)'!QJS653:QKK3729,3,0),"")</f>
        <v/>
      </c>
      <c r="QJU671" t="str">
        <f>IFERROR(VLOOKUP(QJV671,'[3]Raw material  (3)'!QJT653:QKL3729,3,0),"")</f>
        <v/>
      </c>
      <c r="QJV671" t="str">
        <f>IFERROR(VLOOKUP(QJW671,'[3]Raw material  (3)'!QJU653:QKM3729,3,0),"")</f>
        <v/>
      </c>
      <c r="QJW671" t="str">
        <f>IFERROR(VLOOKUP(QJX671,'[3]Raw material  (3)'!QJV653:QKN3729,3,0),"")</f>
        <v/>
      </c>
      <c r="QJX671" t="str">
        <f>IFERROR(VLOOKUP(QJY671,'[3]Raw material  (3)'!QJW653:QKO3729,3,0),"")</f>
        <v/>
      </c>
      <c r="QJY671" t="str">
        <f>IFERROR(VLOOKUP(QJZ671,'[3]Raw material  (3)'!QJX653:QKP3729,3,0),"")</f>
        <v/>
      </c>
      <c r="QJZ671" t="str">
        <f>IFERROR(VLOOKUP(QKA671,'[3]Raw material  (3)'!QJY653:QKQ3729,3,0),"")</f>
        <v/>
      </c>
      <c r="QKA671" t="str">
        <f>IFERROR(VLOOKUP(QKB671,'[3]Raw material  (3)'!QJZ653:QKR3729,3,0),"")</f>
        <v/>
      </c>
      <c r="QKB671" t="str">
        <f>IFERROR(VLOOKUP(QKC671,'[3]Raw material  (3)'!QKA653:QKS3729,3,0),"")</f>
        <v/>
      </c>
      <c r="QKC671" t="str">
        <f>IFERROR(VLOOKUP(QKD671,'[3]Raw material  (3)'!QKB653:QKT3729,3,0),"")</f>
        <v/>
      </c>
      <c r="QKD671" t="str">
        <f>IFERROR(VLOOKUP(QKE671,'[3]Raw material  (3)'!QKC653:QKU3729,3,0),"")</f>
        <v/>
      </c>
      <c r="QKE671" t="str">
        <f>IFERROR(VLOOKUP(QKF671,'[3]Raw material  (3)'!QKD653:QKV3729,3,0),"")</f>
        <v/>
      </c>
      <c r="QKF671" t="str">
        <f>IFERROR(VLOOKUP(QKG671,'[3]Raw material  (3)'!QKE653:QKW3729,3,0),"")</f>
        <v/>
      </c>
      <c r="QKG671" t="str">
        <f>IFERROR(VLOOKUP(QKH671,'[3]Raw material  (3)'!QKF653:QKX3729,3,0),"")</f>
        <v/>
      </c>
      <c r="QKH671" t="str">
        <f>IFERROR(VLOOKUP(QKI671,'[3]Raw material  (3)'!QKG653:QKY3729,3,0),"")</f>
        <v/>
      </c>
      <c r="QKI671" t="str">
        <f>IFERROR(VLOOKUP(QKJ671,'[3]Raw material  (3)'!QKH653:QKZ3729,3,0),"")</f>
        <v/>
      </c>
      <c r="QKJ671" t="str">
        <f>IFERROR(VLOOKUP(QKK671,'[3]Raw material  (3)'!QKI653:QLA3729,3,0),"")</f>
        <v/>
      </c>
      <c r="QKK671" t="str">
        <f>IFERROR(VLOOKUP(QKL671,'[3]Raw material  (3)'!QKJ653:QLB3729,3,0),"")</f>
        <v/>
      </c>
      <c r="QKL671" t="str">
        <f>IFERROR(VLOOKUP(QKM671,'[3]Raw material  (3)'!QKK653:QLC3729,3,0),"")</f>
        <v/>
      </c>
      <c r="QKM671" t="str">
        <f>IFERROR(VLOOKUP(QKN671,'[3]Raw material  (3)'!QKL653:QLD3729,3,0),"")</f>
        <v/>
      </c>
      <c r="QKN671" t="str">
        <f>IFERROR(VLOOKUP(QKO671,'[3]Raw material  (3)'!QKM653:QLE3729,3,0),"")</f>
        <v/>
      </c>
      <c r="QKO671" t="str">
        <f>IFERROR(VLOOKUP(QKP671,'[3]Raw material  (3)'!QKN653:QLF3729,3,0),"")</f>
        <v/>
      </c>
      <c r="QKP671" t="str">
        <f>IFERROR(VLOOKUP(QKQ671,'[3]Raw material  (3)'!QKO653:QLG3729,3,0),"")</f>
        <v/>
      </c>
      <c r="QKQ671" t="str">
        <f>IFERROR(VLOOKUP(QKR671,'[3]Raw material  (3)'!QKP653:QLH3729,3,0),"")</f>
        <v/>
      </c>
      <c r="QKR671" t="str">
        <f>IFERROR(VLOOKUP(QKS671,'[3]Raw material  (3)'!QKQ653:QLI3729,3,0),"")</f>
        <v/>
      </c>
      <c r="QKS671" t="str">
        <f>IFERROR(VLOOKUP(QKT671,'[3]Raw material  (3)'!QKR653:QLJ3729,3,0),"")</f>
        <v/>
      </c>
      <c r="QKT671" t="str">
        <f>IFERROR(VLOOKUP(QKU671,'[3]Raw material  (3)'!QKS653:QLK3729,3,0),"")</f>
        <v/>
      </c>
      <c r="QKU671" t="str">
        <f>IFERROR(VLOOKUP(QKV671,'[3]Raw material  (3)'!QKT653:QLL3729,3,0),"")</f>
        <v/>
      </c>
      <c r="QKV671" t="str">
        <f>IFERROR(VLOOKUP(QKW671,'[3]Raw material  (3)'!QKU653:QLM3729,3,0),"")</f>
        <v/>
      </c>
      <c r="QKW671" t="str">
        <f>IFERROR(VLOOKUP(QKX671,'[3]Raw material  (3)'!QKV653:QLN3729,3,0),"")</f>
        <v/>
      </c>
      <c r="QKX671" t="str">
        <f>IFERROR(VLOOKUP(QKY671,'[3]Raw material  (3)'!QKW653:QLO3729,3,0),"")</f>
        <v/>
      </c>
      <c r="QKY671" t="str">
        <f>IFERROR(VLOOKUP(QKZ671,'[3]Raw material  (3)'!QKX653:QLP3729,3,0),"")</f>
        <v/>
      </c>
      <c r="QKZ671" t="str">
        <f>IFERROR(VLOOKUP(QLA671,'[3]Raw material  (3)'!QKY653:QLQ3729,3,0),"")</f>
        <v/>
      </c>
      <c r="QLA671" t="str">
        <f>IFERROR(VLOOKUP(QLB671,'[3]Raw material  (3)'!QKZ653:QLR3729,3,0),"")</f>
        <v/>
      </c>
      <c r="QLB671" t="str">
        <f>IFERROR(VLOOKUP(QLC671,'[3]Raw material  (3)'!QLA653:QLS3729,3,0),"")</f>
        <v/>
      </c>
      <c r="QLC671" t="str">
        <f>IFERROR(VLOOKUP(QLD671,'[3]Raw material  (3)'!QLB653:QLT3729,3,0),"")</f>
        <v/>
      </c>
      <c r="QLD671" t="str">
        <f>IFERROR(VLOOKUP(QLE671,'[3]Raw material  (3)'!QLC653:QLU3729,3,0),"")</f>
        <v/>
      </c>
      <c r="QLE671" t="str">
        <f>IFERROR(VLOOKUP(QLF671,'[3]Raw material  (3)'!QLD653:QLV3729,3,0),"")</f>
        <v/>
      </c>
      <c r="QLF671" t="str">
        <f>IFERROR(VLOOKUP(QLG671,'[3]Raw material  (3)'!QLE653:QLW3729,3,0),"")</f>
        <v/>
      </c>
      <c r="QLG671" t="str">
        <f>IFERROR(VLOOKUP(QLH671,'[3]Raw material  (3)'!QLF653:QLX3729,3,0),"")</f>
        <v/>
      </c>
      <c r="QLH671" t="str">
        <f>IFERROR(VLOOKUP(QLI671,'[3]Raw material  (3)'!QLG653:QLY3729,3,0),"")</f>
        <v/>
      </c>
      <c r="QLI671" t="str">
        <f>IFERROR(VLOOKUP(QLJ671,'[3]Raw material  (3)'!QLH653:QLZ3729,3,0),"")</f>
        <v/>
      </c>
      <c r="QLJ671" t="str">
        <f>IFERROR(VLOOKUP(QLK671,'[3]Raw material  (3)'!QLI653:QMA3729,3,0),"")</f>
        <v/>
      </c>
      <c r="QLK671" t="str">
        <f>IFERROR(VLOOKUP(QLL671,'[3]Raw material  (3)'!QLJ653:QMB3729,3,0),"")</f>
        <v/>
      </c>
      <c r="QLL671" t="str">
        <f>IFERROR(VLOOKUP(QLM671,'[3]Raw material  (3)'!QLK653:QMC3729,3,0),"")</f>
        <v/>
      </c>
      <c r="QLM671" t="str">
        <f>IFERROR(VLOOKUP(QLN671,'[3]Raw material  (3)'!QLL653:QMD3729,3,0),"")</f>
        <v/>
      </c>
      <c r="QLN671" t="str">
        <f>IFERROR(VLOOKUP(QLO671,'[3]Raw material  (3)'!QLM653:QME3729,3,0),"")</f>
        <v/>
      </c>
      <c r="QLO671" t="str">
        <f>IFERROR(VLOOKUP(QLP671,'[3]Raw material  (3)'!QLN653:QMF3729,3,0),"")</f>
        <v/>
      </c>
      <c r="QLP671" t="str">
        <f>IFERROR(VLOOKUP(QLQ671,'[3]Raw material  (3)'!QLO653:QMG3729,3,0),"")</f>
        <v/>
      </c>
      <c r="QLQ671" t="str">
        <f>IFERROR(VLOOKUP(QLR671,'[3]Raw material  (3)'!QLP653:QMH3729,3,0),"")</f>
        <v/>
      </c>
      <c r="QLR671" t="str">
        <f>IFERROR(VLOOKUP(QLS671,'[3]Raw material  (3)'!QLQ653:QMI3729,3,0),"")</f>
        <v/>
      </c>
      <c r="QLS671" t="str">
        <f>IFERROR(VLOOKUP(QLT671,'[3]Raw material  (3)'!QLR653:QMJ3729,3,0),"")</f>
        <v/>
      </c>
      <c r="QLT671" t="str">
        <f>IFERROR(VLOOKUP(QLU671,'[3]Raw material  (3)'!QLS653:QMK3729,3,0),"")</f>
        <v/>
      </c>
      <c r="QLU671" t="str">
        <f>IFERROR(VLOOKUP(QLV671,'[3]Raw material  (3)'!QLT653:QML3729,3,0),"")</f>
        <v/>
      </c>
      <c r="QLV671" t="str">
        <f>IFERROR(VLOOKUP(QLW671,'[3]Raw material  (3)'!QLU653:QMM3729,3,0),"")</f>
        <v/>
      </c>
      <c r="QLW671" t="str">
        <f>IFERROR(VLOOKUP(QLX671,'[3]Raw material  (3)'!QLV653:QMN3729,3,0),"")</f>
        <v/>
      </c>
      <c r="QLX671" t="str">
        <f>IFERROR(VLOOKUP(QLY671,'[3]Raw material  (3)'!QLW653:QMO3729,3,0),"")</f>
        <v/>
      </c>
      <c r="QLY671" t="str">
        <f>IFERROR(VLOOKUP(QLZ671,'[3]Raw material  (3)'!QLX653:QMP3729,3,0),"")</f>
        <v/>
      </c>
      <c r="QLZ671" t="str">
        <f>IFERROR(VLOOKUP(QMA671,'[3]Raw material  (3)'!QLY653:QMQ3729,3,0),"")</f>
        <v/>
      </c>
      <c r="QMA671" t="str">
        <f>IFERROR(VLOOKUP(QMB671,'[3]Raw material  (3)'!QLZ653:QMR3729,3,0),"")</f>
        <v/>
      </c>
      <c r="QMB671" t="str">
        <f>IFERROR(VLOOKUP(QMC671,'[3]Raw material  (3)'!QMA653:QMS3729,3,0),"")</f>
        <v/>
      </c>
      <c r="QMC671" t="str">
        <f>IFERROR(VLOOKUP(QMD671,'[3]Raw material  (3)'!QMB653:QMT3729,3,0),"")</f>
        <v/>
      </c>
      <c r="QMD671" t="str">
        <f>IFERROR(VLOOKUP(QME671,'[3]Raw material  (3)'!QMC653:QMU3729,3,0),"")</f>
        <v/>
      </c>
      <c r="QME671" t="str">
        <f>IFERROR(VLOOKUP(QMF671,'[3]Raw material  (3)'!QMD653:QMV3729,3,0),"")</f>
        <v/>
      </c>
      <c r="QMF671" t="str">
        <f>IFERROR(VLOOKUP(QMG671,'[3]Raw material  (3)'!QME653:QMW3729,3,0),"")</f>
        <v/>
      </c>
      <c r="QMG671" t="str">
        <f>IFERROR(VLOOKUP(QMH671,'[3]Raw material  (3)'!QMF653:QMX3729,3,0),"")</f>
        <v/>
      </c>
      <c r="QMH671" t="str">
        <f>IFERROR(VLOOKUP(QMI671,'[3]Raw material  (3)'!QMG653:QMY3729,3,0),"")</f>
        <v/>
      </c>
      <c r="QMI671" t="str">
        <f>IFERROR(VLOOKUP(QMJ671,'[3]Raw material  (3)'!QMH653:QMZ3729,3,0),"")</f>
        <v/>
      </c>
      <c r="QMJ671" t="str">
        <f>IFERROR(VLOOKUP(QMK671,'[3]Raw material  (3)'!QMI653:QNA3729,3,0),"")</f>
        <v/>
      </c>
      <c r="QMK671" t="str">
        <f>IFERROR(VLOOKUP(QML671,'[3]Raw material  (3)'!QMJ653:QNB3729,3,0),"")</f>
        <v/>
      </c>
      <c r="QML671" t="str">
        <f>IFERROR(VLOOKUP(QMM671,'[3]Raw material  (3)'!QMK653:QNC3729,3,0),"")</f>
        <v/>
      </c>
      <c r="QMM671" t="str">
        <f>IFERROR(VLOOKUP(QMN671,'[3]Raw material  (3)'!QML653:QND3729,3,0),"")</f>
        <v/>
      </c>
      <c r="QMN671" t="str">
        <f>IFERROR(VLOOKUP(QMO671,'[3]Raw material  (3)'!QMM653:QNE3729,3,0),"")</f>
        <v/>
      </c>
      <c r="QMO671" t="str">
        <f>IFERROR(VLOOKUP(QMP671,'[3]Raw material  (3)'!QMN653:QNF3729,3,0),"")</f>
        <v/>
      </c>
      <c r="QMP671" t="str">
        <f>IFERROR(VLOOKUP(QMQ671,'[3]Raw material  (3)'!QMO653:QNG3729,3,0),"")</f>
        <v/>
      </c>
      <c r="QMQ671" t="str">
        <f>IFERROR(VLOOKUP(QMR671,'[3]Raw material  (3)'!QMP653:QNH3729,3,0),"")</f>
        <v/>
      </c>
      <c r="QMR671" t="str">
        <f>IFERROR(VLOOKUP(QMS671,'[3]Raw material  (3)'!QMQ653:QNI3729,3,0),"")</f>
        <v/>
      </c>
      <c r="QMS671" t="str">
        <f>IFERROR(VLOOKUP(QMT671,'[3]Raw material  (3)'!QMR653:QNJ3729,3,0),"")</f>
        <v/>
      </c>
      <c r="QMT671" t="str">
        <f>IFERROR(VLOOKUP(QMU671,'[3]Raw material  (3)'!QMS653:QNK3729,3,0),"")</f>
        <v/>
      </c>
      <c r="QMU671" t="str">
        <f>IFERROR(VLOOKUP(QMV671,'[3]Raw material  (3)'!QMT653:QNL3729,3,0),"")</f>
        <v/>
      </c>
      <c r="QMV671" t="str">
        <f>IFERROR(VLOOKUP(QMW671,'[3]Raw material  (3)'!QMU653:QNM3729,3,0),"")</f>
        <v/>
      </c>
      <c r="QMW671" t="str">
        <f>IFERROR(VLOOKUP(QMX671,'[3]Raw material  (3)'!QMV653:QNN3729,3,0),"")</f>
        <v/>
      </c>
      <c r="QMX671" t="str">
        <f>IFERROR(VLOOKUP(QMY671,'[3]Raw material  (3)'!QMW653:QNO3729,3,0),"")</f>
        <v/>
      </c>
      <c r="QMY671" t="str">
        <f>IFERROR(VLOOKUP(QMZ671,'[3]Raw material  (3)'!QMX653:QNP3729,3,0),"")</f>
        <v/>
      </c>
      <c r="QMZ671" t="str">
        <f>IFERROR(VLOOKUP(QNA671,'[3]Raw material  (3)'!QMY653:QNQ3729,3,0),"")</f>
        <v/>
      </c>
      <c r="QNA671" t="str">
        <f>IFERROR(VLOOKUP(QNB671,'[3]Raw material  (3)'!QMZ653:QNR3729,3,0),"")</f>
        <v/>
      </c>
      <c r="QNB671" t="str">
        <f>IFERROR(VLOOKUP(QNC671,'[3]Raw material  (3)'!QNA653:QNS3729,3,0),"")</f>
        <v/>
      </c>
      <c r="QNC671" t="str">
        <f>IFERROR(VLOOKUP(QND671,'[3]Raw material  (3)'!QNB653:QNT3729,3,0),"")</f>
        <v/>
      </c>
      <c r="QND671" t="str">
        <f>IFERROR(VLOOKUP(QNE671,'[3]Raw material  (3)'!QNC653:QNU3729,3,0),"")</f>
        <v/>
      </c>
      <c r="QNE671" t="str">
        <f>IFERROR(VLOOKUP(QNF671,'[3]Raw material  (3)'!QND653:QNV3729,3,0),"")</f>
        <v/>
      </c>
      <c r="QNF671" t="str">
        <f>IFERROR(VLOOKUP(QNG671,'[3]Raw material  (3)'!QNE653:QNW3729,3,0),"")</f>
        <v/>
      </c>
      <c r="QNG671" t="str">
        <f>IFERROR(VLOOKUP(QNH671,'[3]Raw material  (3)'!QNF653:QNX3729,3,0),"")</f>
        <v/>
      </c>
      <c r="QNH671" t="str">
        <f>IFERROR(VLOOKUP(QNI671,'[3]Raw material  (3)'!QNG653:QNY3729,3,0),"")</f>
        <v/>
      </c>
      <c r="QNI671" t="str">
        <f>IFERROR(VLOOKUP(QNJ671,'[3]Raw material  (3)'!QNH653:QNZ3729,3,0),"")</f>
        <v/>
      </c>
      <c r="QNJ671" t="str">
        <f>IFERROR(VLOOKUP(QNK671,'[3]Raw material  (3)'!QNI653:QOA3729,3,0),"")</f>
        <v/>
      </c>
      <c r="QNK671" t="str">
        <f>IFERROR(VLOOKUP(QNL671,'[3]Raw material  (3)'!QNJ653:QOB3729,3,0),"")</f>
        <v/>
      </c>
      <c r="QNL671" t="str">
        <f>IFERROR(VLOOKUP(QNM671,'[3]Raw material  (3)'!QNK653:QOC3729,3,0),"")</f>
        <v/>
      </c>
      <c r="QNM671" t="str">
        <f>IFERROR(VLOOKUP(QNN671,'[3]Raw material  (3)'!QNL653:QOD3729,3,0),"")</f>
        <v/>
      </c>
      <c r="QNN671" t="str">
        <f>IFERROR(VLOOKUP(QNO671,'[3]Raw material  (3)'!QNM653:QOE3729,3,0),"")</f>
        <v/>
      </c>
      <c r="QNO671" t="str">
        <f>IFERROR(VLOOKUP(QNP671,'[3]Raw material  (3)'!QNN653:QOF3729,3,0),"")</f>
        <v/>
      </c>
      <c r="QNP671" t="str">
        <f>IFERROR(VLOOKUP(QNQ671,'[3]Raw material  (3)'!QNO653:QOG3729,3,0),"")</f>
        <v/>
      </c>
      <c r="QNQ671" t="str">
        <f>IFERROR(VLOOKUP(QNR671,'[3]Raw material  (3)'!QNP653:QOH3729,3,0),"")</f>
        <v/>
      </c>
      <c r="QNR671" t="str">
        <f>IFERROR(VLOOKUP(QNS671,'[3]Raw material  (3)'!QNQ653:QOI3729,3,0),"")</f>
        <v/>
      </c>
      <c r="QNS671" t="str">
        <f>IFERROR(VLOOKUP(QNT671,'[3]Raw material  (3)'!QNR653:QOJ3729,3,0),"")</f>
        <v/>
      </c>
      <c r="QNT671" t="str">
        <f>IFERROR(VLOOKUP(QNU671,'[3]Raw material  (3)'!QNS653:QOK3729,3,0),"")</f>
        <v/>
      </c>
      <c r="QNU671" t="str">
        <f>IFERROR(VLOOKUP(QNV671,'[3]Raw material  (3)'!QNT653:QOL3729,3,0),"")</f>
        <v/>
      </c>
      <c r="QNV671" t="str">
        <f>IFERROR(VLOOKUP(QNW671,'[3]Raw material  (3)'!QNU653:QOM3729,3,0),"")</f>
        <v/>
      </c>
      <c r="QNW671" t="str">
        <f>IFERROR(VLOOKUP(QNX671,'[3]Raw material  (3)'!QNV653:QON3729,3,0),"")</f>
        <v/>
      </c>
      <c r="QNX671" t="str">
        <f>IFERROR(VLOOKUP(QNY671,'[3]Raw material  (3)'!QNW653:QOO3729,3,0),"")</f>
        <v/>
      </c>
      <c r="QNY671" t="str">
        <f>IFERROR(VLOOKUP(QNZ671,'[3]Raw material  (3)'!QNX653:QOP3729,3,0),"")</f>
        <v/>
      </c>
      <c r="QNZ671" t="str">
        <f>IFERROR(VLOOKUP(QOA671,'[3]Raw material  (3)'!QNY653:QOQ3729,3,0),"")</f>
        <v/>
      </c>
      <c r="QOA671" t="str">
        <f>IFERROR(VLOOKUP(QOB671,'[3]Raw material  (3)'!QNZ653:QOR3729,3,0),"")</f>
        <v/>
      </c>
      <c r="QOB671" t="str">
        <f>IFERROR(VLOOKUP(QOC671,'[3]Raw material  (3)'!QOA653:QOS3729,3,0),"")</f>
        <v/>
      </c>
      <c r="QOC671" t="str">
        <f>IFERROR(VLOOKUP(QOD671,'[3]Raw material  (3)'!QOB653:QOT3729,3,0),"")</f>
        <v/>
      </c>
      <c r="QOD671" t="str">
        <f>IFERROR(VLOOKUP(QOE671,'[3]Raw material  (3)'!QOC653:QOU3729,3,0),"")</f>
        <v/>
      </c>
      <c r="QOE671" t="str">
        <f>IFERROR(VLOOKUP(QOF671,'[3]Raw material  (3)'!QOD653:QOV3729,3,0),"")</f>
        <v/>
      </c>
      <c r="QOF671" t="str">
        <f>IFERROR(VLOOKUP(QOG671,'[3]Raw material  (3)'!QOE653:QOW3729,3,0),"")</f>
        <v/>
      </c>
      <c r="QOG671" t="str">
        <f>IFERROR(VLOOKUP(QOH671,'[3]Raw material  (3)'!QOF653:QOX3729,3,0),"")</f>
        <v/>
      </c>
      <c r="QOH671" t="str">
        <f>IFERROR(VLOOKUP(QOI671,'[3]Raw material  (3)'!QOG653:QOY3729,3,0),"")</f>
        <v/>
      </c>
      <c r="QOI671" t="str">
        <f>IFERROR(VLOOKUP(QOJ671,'[3]Raw material  (3)'!QOH653:QOZ3729,3,0),"")</f>
        <v/>
      </c>
      <c r="QOJ671" t="str">
        <f>IFERROR(VLOOKUP(QOK671,'[3]Raw material  (3)'!QOI653:QPA3729,3,0),"")</f>
        <v/>
      </c>
      <c r="QOK671" t="str">
        <f>IFERROR(VLOOKUP(QOL671,'[3]Raw material  (3)'!QOJ653:QPB3729,3,0),"")</f>
        <v/>
      </c>
      <c r="QOL671" t="str">
        <f>IFERROR(VLOOKUP(QOM671,'[3]Raw material  (3)'!QOK653:QPC3729,3,0),"")</f>
        <v/>
      </c>
      <c r="QOM671" t="str">
        <f>IFERROR(VLOOKUP(QON671,'[3]Raw material  (3)'!QOL653:QPD3729,3,0),"")</f>
        <v/>
      </c>
      <c r="QON671" t="str">
        <f>IFERROR(VLOOKUP(QOO671,'[3]Raw material  (3)'!QOM653:QPE3729,3,0),"")</f>
        <v/>
      </c>
      <c r="QOO671" t="str">
        <f>IFERROR(VLOOKUP(QOP671,'[3]Raw material  (3)'!QON653:QPF3729,3,0),"")</f>
        <v/>
      </c>
      <c r="QOP671" t="str">
        <f>IFERROR(VLOOKUP(QOQ671,'[3]Raw material  (3)'!QOO653:QPG3729,3,0),"")</f>
        <v/>
      </c>
      <c r="QOQ671" t="str">
        <f>IFERROR(VLOOKUP(QOR671,'[3]Raw material  (3)'!QOP653:QPH3729,3,0),"")</f>
        <v/>
      </c>
      <c r="QOR671" t="str">
        <f>IFERROR(VLOOKUP(QOS671,'[3]Raw material  (3)'!QOQ653:QPI3729,3,0),"")</f>
        <v/>
      </c>
      <c r="QOS671" t="str">
        <f>IFERROR(VLOOKUP(QOT671,'[3]Raw material  (3)'!QOR653:QPJ3729,3,0),"")</f>
        <v/>
      </c>
      <c r="QOT671" t="str">
        <f>IFERROR(VLOOKUP(QOU671,'[3]Raw material  (3)'!QOS653:QPK3729,3,0),"")</f>
        <v/>
      </c>
      <c r="QOU671" t="str">
        <f>IFERROR(VLOOKUP(QOV671,'[3]Raw material  (3)'!QOT653:QPL3729,3,0),"")</f>
        <v/>
      </c>
      <c r="QOV671" t="str">
        <f>IFERROR(VLOOKUP(QOW671,'[3]Raw material  (3)'!QOU653:QPM3729,3,0),"")</f>
        <v/>
      </c>
      <c r="QOW671" t="str">
        <f>IFERROR(VLOOKUP(QOX671,'[3]Raw material  (3)'!QOV653:QPN3729,3,0),"")</f>
        <v/>
      </c>
      <c r="QOX671" t="str">
        <f>IFERROR(VLOOKUP(QOY671,'[3]Raw material  (3)'!QOW653:QPO3729,3,0),"")</f>
        <v/>
      </c>
      <c r="QOY671" t="str">
        <f>IFERROR(VLOOKUP(QOZ671,'[3]Raw material  (3)'!QOX653:QPP3729,3,0),"")</f>
        <v/>
      </c>
      <c r="QOZ671" t="str">
        <f>IFERROR(VLOOKUP(QPA671,'[3]Raw material  (3)'!QOY653:QPQ3729,3,0),"")</f>
        <v/>
      </c>
      <c r="QPA671" t="str">
        <f>IFERROR(VLOOKUP(QPB671,'[3]Raw material  (3)'!QOZ653:QPR3729,3,0),"")</f>
        <v/>
      </c>
      <c r="QPB671" t="str">
        <f>IFERROR(VLOOKUP(QPC671,'[3]Raw material  (3)'!QPA653:QPS3729,3,0),"")</f>
        <v/>
      </c>
      <c r="QPC671" t="str">
        <f>IFERROR(VLOOKUP(QPD671,'[3]Raw material  (3)'!QPB653:QPT3729,3,0),"")</f>
        <v/>
      </c>
      <c r="QPD671" t="str">
        <f>IFERROR(VLOOKUP(QPE671,'[3]Raw material  (3)'!QPC653:QPU3729,3,0),"")</f>
        <v/>
      </c>
      <c r="QPE671" t="str">
        <f>IFERROR(VLOOKUP(QPF671,'[3]Raw material  (3)'!QPD653:QPV3729,3,0),"")</f>
        <v/>
      </c>
      <c r="QPF671" t="str">
        <f>IFERROR(VLOOKUP(QPG671,'[3]Raw material  (3)'!QPE653:QPW3729,3,0),"")</f>
        <v/>
      </c>
      <c r="QPG671" t="str">
        <f>IFERROR(VLOOKUP(QPH671,'[3]Raw material  (3)'!QPF653:QPX3729,3,0),"")</f>
        <v/>
      </c>
      <c r="QPH671" t="str">
        <f>IFERROR(VLOOKUP(QPI671,'[3]Raw material  (3)'!QPG653:QPY3729,3,0),"")</f>
        <v/>
      </c>
      <c r="QPI671" t="str">
        <f>IFERROR(VLOOKUP(QPJ671,'[3]Raw material  (3)'!QPH653:QPZ3729,3,0),"")</f>
        <v/>
      </c>
      <c r="QPJ671" t="str">
        <f>IFERROR(VLOOKUP(QPK671,'[3]Raw material  (3)'!QPI653:QQA3729,3,0),"")</f>
        <v/>
      </c>
      <c r="QPK671" t="str">
        <f>IFERROR(VLOOKUP(QPL671,'[3]Raw material  (3)'!QPJ653:QQB3729,3,0),"")</f>
        <v/>
      </c>
      <c r="QPL671" t="str">
        <f>IFERROR(VLOOKUP(QPM671,'[3]Raw material  (3)'!QPK653:QQC3729,3,0),"")</f>
        <v/>
      </c>
      <c r="QPM671" t="str">
        <f>IFERROR(VLOOKUP(QPN671,'[3]Raw material  (3)'!QPL653:QQD3729,3,0),"")</f>
        <v/>
      </c>
      <c r="QPN671" t="str">
        <f>IFERROR(VLOOKUP(QPO671,'[3]Raw material  (3)'!QPM653:QQE3729,3,0),"")</f>
        <v/>
      </c>
      <c r="QPO671" t="str">
        <f>IFERROR(VLOOKUP(QPP671,'[3]Raw material  (3)'!QPN653:QQF3729,3,0),"")</f>
        <v/>
      </c>
      <c r="QPP671" t="str">
        <f>IFERROR(VLOOKUP(QPQ671,'[3]Raw material  (3)'!QPO653:QQG3729,3,0),"")</f>
        <v/>
      </c>
      <c r="QPQ671" t="str">
        <f>IFERROR(VLOOKUP(QPR671,'[3]Raw material  (3)'!QPP653:QQH3729,3,0),"")</f>
        <v/>
      </c>
      <c r="QPR671" t="str">
        <f>IFERROR(VLOOKUP(QPS671,'[3]Raw material  (3)'!QPQ653:QQI3729,3,0),"")</f>
        <v/>
      </c>
      <c r="QPS671" t="str">
        <f>IFERROR(VLOOKUP(QPT671,'[3]Raw material  (3)'!QPR653:QQJ3729,3,0),"")</f>
        <v/>
      </c>
      <c r="QPT671" t="str">
        <f>IFERROR(VLOOKUP(QPU671,'[3]Raw material  (3)'!QPS653:QQK3729,3,0),"")</f>
        <v/>
      </c>
      <c r="QPU671" t="str">
        <f>IFERROR(VLOOKUP(QPV671,'[3]Raw material  (3)'!QPT653:QQL3729,3,0),"")</f>
        <v/>
      </c>
      <c r="QPV671" t="str">
        <f>IFERROR(VLOOKUP(QPW671,'[3]Raw material  (3)'!QPU653:QQM3729,3,0),"")</f>
        <v/>
      </c>
      <c r="QPW671" t="str">
        <f>IFERROR(VLOOKUP(QPX671,'[3]Raw material  (3)'!QPV653:QQN3729,3,0),"")</f>
        <v/>
      </c>
      <c r="QPX671" t="str">
        <f>IFERROR(VLOOKUP(QPY671,'[3]Raw material  (3)'!QPW653:QQO3729,3,0),"")</f>
        <v/>
      </c>
      <c r="QPY671" t="str">
        <f>IFERROR(VLOOKUP(QPZ671,'[3]Raw material  (3)'!QPX653:QQP3729,3,0),"")</f>
        <v/>
      </c>
      <c r="QPZ671" t="str">
        <f>IFERROR(VLOOKUP(QQA671,'[3]Raw material  (3)'!QPY653:QQQ3729,3,0),"")</f>
        <v/>
      </c>
      <c r="QQA671" t="str">
        <f>IFERROR(VLOOKUP(QQB671,'[3]Raw material  (3)'!QPZ653:QQR3729,3,0),"")</f>
        <v/>
      </c>
      <c r="QQB671" t="str">
        <f>IFERROR(VLOOKUP(QQC671,'[3]Raw material  (3)'!QQA653:QQS3729,3,0),"")</f>
        <v/>
      </c>
      <c r="QQC671" t="str">
        <f>IFERROR(VLOOKUP(QQD671,'[3]Raw material  (3)'!QQB653:QQT3729,3,0),"")</f>
        <v/>
      </c>
      <c r="QQD671" t="str">
        <f>IFERROR(VLOOKUP(QQE671,'[3]Raw material  (3)'!QQC653:QQU3729,3,0),"")</f>
        <v/>
      </c>
      <c r="QQE671" t="str">
        <f>IFERROR(VLOOKUP(QQF671,'[3]Raw material  (3)'!QQD653:QQV3729,3,0),"")</f>
        <v/>
      </c>
      <c r="QQF671" t="str">
        <f>IFERROR(VLOOKUP(QQG671,'[3]Raw material  (3)'!QQE653:QQW3729,3,0),"")</f>
        <v/>
      </c>
      <c r="QQG671" t="str">
        <f>IFERROR(VLOOKUP(QQH671,'[3]Raw material  (3)'!QQF653:QQX3729,3,0),"")</f>
        <v/>
      </c>
      <c r="QQH671" t="str">
        <f>IFERROR(VLOOKUP(QQI671,'[3]Raw material  (3)'!QQG653:QQY3729,3,0),"")</f>
        <v/>
      </c>
      <c r="QQI671" t="str">
        <f>IFERROR(VLOOKUP(QQJ671,'[3]Raw material  (3)'!QQH653:QQZ3729,3,0),"")</f>
        <v/>
      </c>
      <c r="QQJ671" t="str">
        <f>IFERROR(VLOOKUP(QQK671,'[3]Raw material  (3)'!QQI653:QRA3729,3,0),"")</f>
        <v/>
      </c>
      <c r="QQK671" t="str">
        <f>IFERROR(VLOOKUP(QQL671,'[3]Raw material  (3)'!QQJ653:QRB3729,3,0),"")</f>
        <v/>
      </c>
      <c r="QQL671" t="str">
        <f>IFERROR(VLOOKUP(QQM671,'[3]Raw material  (3)'!QQK653:QRC3729,3,0),"")</f>
        <v/>
      </c>
      <c r="QQM671" t="str">
        <f>IFERROR(VLOOKUP(QQN671,'[3]Raw material  (3)'!QQL653:QRD3729,3,0),"")</f>
        <v/>
      </c>
      <c r="QQN671" t="str">
        <f>IFERROR(VLOOKUP(QQO671,'[3]Raw material  (3)'!QQM653:QRE3729,3,0),"")</f>
        <v/>
      </c>
      <c r="QQO671" t="str">
        <f>IFERROR(VLOOKUP(QQP671,'[3]Raw material  (3)'!QQN653:QRF3729,3,0),"")</f>
        <v/>
      </c>
      <c r="QQP671" t="str">
        <f>IFERROR(VLOOKUP(QQQ671,'[3]Raw material  (3)'!QQO653:QRG3729,3,0),"")</f>
        <v/>
      </c>
      <c r="QQQ671" t="str">
        <f>IFERROR(VLOOKUP(QQR671,'[3]Raw material  (3)'!QQP653:QRH3729,3,0),"")</f>
        <v/>
      </c>
      <c r="QQR671" t="str">
        <f>IFERROR(VLOOKUP(QQS671,'[3]Raw material  (3)'!QQQ653:QRI3729,3,0),"")</f>
        <v/>
      </c>
      <c r="QQS671" t="str">
        <f>IFERROR(VLOOKUP(QQT671,'[3]Raw material  (3)'!QQR653:QRJ3729,3,0),"")</f>
        <v/>
      </c>
      <c r="QQT671" t="str">
        <f>IFERROR(VLOOKUP(QQU671,'[3]Raw material  (3)'!QQS653:QRK3729,3,0),"")</f>
        <v/>
      </c>
      <c r="QQU671" t="str">
        <f>IFERROR(VLOOKUP(QQV671,'[3]Raw material  (3)'!QQT653:QRL3729,3,0),"")</f>
        <v/>
      </c>
      <c r="QQV671" t="str">
        <f>IFERROR(VLOOKUP(QQW671,'[3]Raw material  (3)'!QQU653:QRM3729,3,0),"")</f>
        <v/>
      </c>
      <c r="QQW671" t="str">
        <f>IFERROR(VLOOKUP(QQX671,'[3]Raw material  (3)'!QQV653:QRN3729,3,0),"")</f>
        <v/>
      </c>
      <c r="QQX671" t="str">
        <f>IFERROR(VLOOKUP(QQY671,'[3]Raw material  (3)'!QQW653:QRO3729,3,0),"")</f>
        <v/>
      </c>
      <c r="QQY671" t="str">
        <f>IFERROR(VLOOKUP(QQZ671,'[3]Raw material  (3)'!QQX653:QRP3729,3,0),"")</f>
        <v/>
      </c>
      <c r="QQZ671" t="str">
        <f>IFERROR(VLOOKUP(QRA671,'[3]Raw material  (3)'!QQY653:QRQ3729,3,0),"")</f>
        <v/>
      </c>
      <c r="QRA671" t="str">
        <f>IFERROR(VLOOKUP(QRB671,'[3]Raw material  (3)'!QQZ653:QRR3729,3,0),"")</f>
        <v/>
      </c>
      <c r="QRB671" t="str">
        <f>IFERROR(VLOOKUP(QRC671,'[3]Raw material  (3)'!QRA653:QRS3729,3,0),"")</f>
        <v/>
      </c>
      <c r="QRC671" t="str">
        <f>IFERROR(VLOOKUP(QRD671,'[3]Raw material  (3)'!QRB653:QRT3729,3,0),"")</f>
        <v/>
      </c>
      <c r="QRD671" t="str">
        <f>IFERROR(VLOOKUP(QRE671,'[3]Raw material  (3)'!QRC653:QRU3729,3,0),"")</f>
        <v/>
      </c>
      <c r="QRE671" t="str">
        <f>IFERROR(VLOOKUP(QRF671,'[3]Raw material  (3)'!QRD653:QRV3729,3,0),"")</f>
        <v/>
      </c>
      <c r="QRF671" t="str">
        <f>IFERROR(VLOOKUP(QRG671,'[3]Raw material  (3)'!QRE653:QRW3729,3,0),"")</f>
        <v/>
      </c>
      <c r="QRG671" t="str">
        <f>IFERROR(VLOOKUP(QRH671,'[3]Raw material  (3)'!QRF653:QRX3729,3,0),"")</f>
        <v/>
      </c>
      <c r="QRH671" t="str">
        <f>IFERROR(VLOOKUP(QRI671,'[3]Raw material  (3)'!QRG653:QRY3729,3,0),"")</f>
        <v/>
      </c>
      <c r="QRI671" t="str">
        <f>IFERROR(VLOOKUP(QRJ671,'[3]Raw material  (3)'!QRH653:QRZ3729,3,0),"")</f>
        <v/>
      </c>
      <c r="QRJ671" t="str">
        <f>IFERROR(VLOOKUP(QRK671,'[3]Raw material  (3)'!QRI653:QSA3729,3,0),"")</f>
        <v/>
      </c>
      <c r="QRK671" t="str">
        <f>IFERROR(VLOOKUP(QRL671,'[3]Raw material  (3)'!QRJ653:QSB3729,3,0),"")</f>
        <v/>
      </c>
      <c r="QRL671" t="str">
        <f>IFERROR(VLOOKUP(QRM671,'[3]Raw material  (3)'!QRK653:QSC3729,3,0),"")</f>
        <v/>
      </c>
      <c r="QRM671" t="str">
        <f>IFERROR(VLOOKUP(QRN671,'[3]Raw material  (3)'!QRL653:QSD3729,3,0),"")</f>
        <v/>
      </c>
      <c r="QRN671" t="str">
        <f>IFERROR(VLOOKUP(QRO671,'[3]Raw material  (3)'!QRM653:QSE3729,3,0),"")</f>
        <v/>
      </c>
      <c r="QRO671" t="str">
        <f>IFERROR(VLOOKUP(QRP671,'[3]Raw material  (3)'!QRN653:QSF3729,3,0),"")</f>
        <v/>
      </c>
      <c r="QRP671" t="str">
        <f>IFERROR(VLOOKUP(QRQ671,'[3]Raw material  (3)'!QRO653:QSG3729,3,0),"")</f>
        <v/>
      </c>
      <c r="QRQ671" t="str">
        <f>IFERROR(VLOOKUP(QRR671,'[3]Raw material  (3)'!QRP653:QSH3729,3,0),"")</f>
        <v/>
      </c>
      <c r="QRR671" t="str">
        <f>IFERROR(VLOOKUP(QRS671,'[3]Raw material  (3)'!QRQ653:QSI3729,3,0),"")</f>
        <v/>
      </c>
      <c r="QRS671" t="str">
        <f>IFERROR(VLOOKUP(QRT671,'[3]Raw material  (3)'!QRR653:QSJ3729,3,0),"")</f>
        <v/>
      </c>
      <c r="QRT671" t="str">
        <f>IFERROR(VLOOKUP(QRU671,'[3]Raw material  (3)'!QRS653:QSK3729,3,0),"")</f>
        <v/>
      </c>
      <c r="QRU671" t="str">
        <f>IFERROR(VLOOKUP(QRV671,'[3]Raw material  (3)'!QRT653:QSL3729,3,0),"")</f>
        <v/>
      </c>
      <c r="QRV671" t="str">
        <f>IFERROR(VLOOKUP(QRW671,'[3]Raw material  (3)'!QRU653:QSM3729,3,0),"")</f>
        <v/>
      </c>
      <c r="QRW671" t="str">
        <f>IFERROR(VLOOKUP(QRX671,'[3]Raw material  (3)'!QRV653:QSN3729,3,0),"")</f>
        <v/>
      </c>
      <c r="QRX671" t="str">
        <f>IFERROR(VLOOKUP(QRY671,'[3]Raw material  (3)'!QRW653:QSO3729,3,0),"")</f>
        <v/>
      </c>
      <c r="QRY671" t="str">
        <f>IFERROR(VLOOKUP(QRZ671,'[3]Raw material  (3)'!QRX653:QSP3729,3,0),"")</f>
        <v/>
      </c>
      <c r="QRZ671" t="str">
        <f>IFERROR(VLOOKUP(QSA671,'[3]Raw material  (3)'!QRY653:QSQ3729,3,0),"")</f>
        <v/>
      </c>
      <c r="QSA671" t="str">
        <f>IFERROR(VLOOKUP(QSB671,'[3]Raw material  (3)'!QRZ653:QSR3729,3,0),"")</f>
        <v/>
      </c>
      <c r="QSB671" t="str">
        <f>IFERROR(VLOOKUP(QSC671,'[3]Raw material  (3)'!QSA653:QSS3729,3,0),"")</f>
        <v/>
      </c>
      <c r="QSC671" t="str">
        <f>IFERROR(VLOOKUP(QSD671,'[3]Raw material  (3)'!QSB653:QST3729,3,0),"")</f>
        <v/>
      </c>
      <c r="QSD671" t="str">
        <f>IFERROR(VLOOKUP(QSE671,'[3]Raw material  (3)'!QSC653:QSU3729,3,0),"")</f>
        <v/>
      </c>
      <c r="QSE671" t="str">
        <f>IFERROR(VLOOKUP(QSF671,'[3]Raw material  (3)'!QSD653:QSV3729,3,0),"")</f>
        <v/>
      </c>
      <c r="QSF671" t="str">
        <f>IFERROR(VLOOKUP(QSG671,'[3]Raw material  (3)'!QSE653:QSW3729,3,0),"")</f>
        <v/>
      </c>
      <c r="QSG671" t="str">
        <f>IFERROR(VLOOKUP(QSH671,'[3]Raw material  (3)'!QSF653:QSX3729,3,0),"")</f>
        <v/>
      </c>
      <c r="QSH671" t="str">
        <f>IFERROR(VLOOKUP(QSI671,'[3]Raw material  (3)'!QSG653:QSY3729,3,0),"")</f>
        <v/>
      </c>
      <c r="QSI671" t="str">
        <f>IFERROR(VLOOKUP(QSJ671,'[3]Raw material  (3)'!QSH653:QSZ3729,3,0),"")</f>
        <v/>
      </c>
      <c r="QSJ671" t="str">
        <f>IFERROR(VLOOKUP(QSK671,'[3]Raw material  (3)'!QSI653:QTA3729,3,0),"")</f>
        <v/>
      </c>
      <c r="QSK671" t="str">
        <f>IFERROR(VLOOKUP(QSL671,'[3]Raw material  (3)'!QSJ653:QTB3729,3,0),"")</f>
        <v/>
      </c>
      <c r="QSL671" t="str">
        <f>IFERROR(VLOOKUP(QSM671,'[3]Raw material  (3)'!QSK653:QTC3729,3,0),"")</f>
        <v/>
      </c>
      <c r="QSM671" t="str">
        <f>IFERROR(VLOOKUP(QSN671,'[3]Raw material  (3)'!QSL653:QTD3729,3,0),"")</f>
        <v/>
      </c>
      <c r="QSN671" t="str">
        <f>IFERROR(VLOOKUP(QSO671,'[3]Raw material  (3)'!QSM653:QTE3729,3,0),"")</f>
        <v/>
      </c>
      <c r="QSO671" t="str">
        <f>IFERROR(VLOOKUP(QSP671,'[3]Raw material  (3)'!QSN653:QTF3729,3,0),"")</f>
        <v/>
      </c>
      <c r="QSP671" t="str">
        <f>IFERROR(VLOOKUP(QSQ671,'[3]Raw material  (3)'!QSO653:QTG3729,3,0),"")</f>
        <v/>
      </c>
      <c r="QSQ671" t="str">
        <f>IFERROR(VLOOKUP(QSR671,'[3]Raw material  (3)'!QSP653:QTH3729,3,0),"")</f>
        <v/>
      </c>
      <c r="QSR671" t="str">
        <f>IFERROR(VLOOKUP(QSS671,'[3]Raw material  (3)'!QSQ653:QTI3729,3,0),"")</f>
        <v/>
      </c>
      <c r="QSS671" t="str">
        <f>IFERROR(VLOOKUP(QST671,'[3]Raw material  (3)'!QSR653:QTJ3729,3,0),"")</f>
        <v/>
      </c>
      <c r="QST671" t="str">
        <f>IFERROR(VLOOKUP(QSU671,'[3]Raw material  (3)'!QSS653:QTK3729,3,0),"")</f>
        <v/>
      </c>
      <c r="QSU671" t="str">
        <f>IFERROR(VLOOKUP(QSV671,'[3]Raw material  (3)'!QST653:QTL3729,3,0),"")</f>
        <v/>
      </c>
      <c r="QSV671" t="str">
        <f>IFERROR(VLOOKUP(QSW671,'[3]Raw material  (3)'!QSU653:QTM3729,3,0),"")</f>
        <v/>
      </c>
      <c r="QSW671" t="str">
        <f>IFERROR(VLOOKUP(QSX671,'[3]Raw material  (3)'!QSV653:QTN3729,3,0),"")</f>
        <v/>
      </c>
      <c r="QSX671" t="str">
        <f>IFERROR(VLOOKUP(QSY671,'[3]Raw material  (3)'!QSW653:QTO3729,3,0),"")</f>
        <v/>
      </c>
      <c r="QSY671" t="str">
        <f>IFERROR(VLOOKUP(QSZ671,'[3]Raw material  (3)'!QSX653:QTP3729,3,0),"")</f>
        <v/>
      </c>
      <c r="QSZ671" t="str">
        <f>IFERROR(VLOOKUP(QTA671,'[3]Raw material  (3)'!QSY653:QTQ3729,3,0),"")</f>
        <v/>
      </c>
      <c r="QTA671" t="str">
        <f>IFERROR(VLOOKUP(QTB671,'[3]Raw material  (3)'!QSZ653:QTR3729,3,0),"")</f>
        <v/>
      </c>
      <c r="QTB671" t="str">
        <f>IFERROR(VLOOKUP(QTC671,'[3]Raw material  (3)'!QTA653:QTS3729,3,0),"")</f>
        <v/>
      </c>
      <c r="QTC671" t="str">
        <f>IFERROR(VLOOKUP(QTD671,'[3]Raw material  (3)'!QTB653:QTT3729,3,0),"")</f>
        <v/>
      </c>
      <c r="QTD671" t="str">
        <f>IFERROR(VLOOKUP(QTE671,'[3]Raw material  (3)'!QTC653:QTU3729,3,0),"")</f>
        <v/>
      </c>
      <c r="QTE671" t="str">
        <f>IFERROR(VLOOKUP(QTF671,'[3]Raw material  (3)'!QTD653:QTV3729,3,0),"")</f>
        <v/>
      </c>
      <c r="QTF671" t="str">
        <f>IFERROR(VLOOKUP(QTG671,'[3]Raw material  (3)'!QTE653:QTW3729,3,0),"")</f>
        <v/>
      </c>
      <c r="QTG671" t="str">
        <f>IFERROR(VLOOKUP(QTH671,'[3]Raw material  (3)'!QTF653:QTX3729,3,0),"")</f>
        <v/>
      </c>
      <c r="QTH671" t="str">
        <f>IFERROR(VLOOKUP(QTI671,'[3]Raw material  (3)'!QTG653:QTY3729,3,0),"")</f>
        <v/>
      </c>
      <c r="QTI671" t="str">
        <f>IFERROR(VLOOKUP(QTJ671,'[3]Raw material  (3)'!QTH653:QTZ3729,3,0),"")</f>
        <v/>
      </c>
      <c r="QTJ671" t="str">
        <f>IFERROR(VLOOKUP(QTK671,'[3]Raw material  (3)'!QTI653:QUA3729,3,0),"")</f>
        <v/>
      </c>
      <c r="QTK671" t="str">
        <f>IFERROR(VLOOKUP(QTL671,'[3]Raw material  (3)'!QTJ653:QUB3729,3,0),"")</f>
        <v/>
      </c>
      <c r="QTL671" t="str">
        <f>IFERROR(VLOOKUP(QTM671,'[3]Raw material  (3)'!QTK653:QUC3729,3,0),"")</f>
        <v/>
      </c>
      <c r="QTM671" t="str">
        <f>IFERROR(VLOOKUP(QTN671,'[3]Raw material  (3)'!QTL653:QUD3729,3,0),"")</f>
        <v/>
      </c>
      <c r="QTN671" t="str">
        <f>IFERROR(VLOOKUP(QTO671,'[3]Raw material  (3)'!QTM653:QUE3729,3,0),"")</f>
        <v/>
      </c>
      <c r="QTO671" t="str">
        <f>IFERROR(VLOOKUP(QTP671,'[3]Raw material  (3)'!QTN653:QUF3729,3,0),"")</f>
        <v/>
      </c>
      <c r="QTP671" t="str">
        <f>IFERROR(VLOOKUP(QTQ671,'[3]Raw material  (3)'!QTO653:QUG3729,3,0),"")</f>
        <v/>
      </c>
      <c r="QTQ671" t="str">
        <f>IFERROR(VLOOKUP(QTR671,'[3]Raw material  (3)'!QTP653:QUH3729,3,0),"")</f>
        <v/>
      </c>
      <c r="QTR671" t="str">
        <f>IFERROR(VLOOKUP(QTS671,'[3]Raw material  (3)'!QTQ653:QUI3729,3,0),"")</f>
        <v/>
      </c>
      <c r="QTS671" t="str">
        <f>IFERROR(VLOOKUP(QTT671,'[3]Raw material  (3)'!QTR653:QUJ3729,3,0),"")</f>
        <v/>
      </c>
      <c r="QTT671" t="str">
        <f>IFERROR(VLOOKUP(QTU671,'[3]Raw material  (3)'!QTS653:QUK3729,3,0),"")</f>
        <v/>
      </c>
      <c r="QTU671" t="str">
        <f>IFERROR(VLOOKUP(QTV671,'[3]Raw material  (3)'!QTT653:QUL3729,3,0),"")</f>
        <v/>
      </c>
      <c r="QTV671" t="str">
        <f>IFERROR(VLOOKUP(QTW671,'[3]Raw material  (3)'!QTU653:QUM3729,3,0),"")</f>
        <v/>
      </c>
      <c r="QTW671" t="str">
        <f>IFERROR(VLOOKUP(QTX671,'[3]Raw material  (3)'!QTV653:QUN3729,3,0),"")</f>
        <v/>
      </c>
      <c r="QTX671" t="str">
        <f>IFERROR(VLOOKUP(QTY671,'[3]Raw material  (3)'!QTW653:QUO3729,3,0),"")</f>
        <v/>
      </c>
      <c r="QTY671" t="str">
        <f>IFERROR(VLOOKUP(QTZ671,'[3]Raw material  (3)'!QTX653:QUP3729,3,0),"")</f>
        <v/>
      </c>
      <c r="QTZ671" t="str">
        <f>IFERROR(VLOOKUP(QUA671,'[3]Raw material  (3)'!QTY653:QUQ3729,3,0),"")</f>
        <v/>
      </c>
      <c r="QUA671" t="str">
        <f>IFERROR(VLOOKUP(QUB671,'[3]Raw material  (3)'!QTZ653:QUR3729,3,0),"")</f>
        <v/>
      </c>
      <c r="QUB671" t="str">
        <f>IFERROR(VLOOKUP(QUC671,'[3]Raw material  (3)'!QUA653:QUS3729,3,0),"")</f>
        <v/>
      </c>
      <c r="QUC671" t="str">
        <f>IFERROR(VLOOKUP(QUD671,'[3]Raw material  (3)'!QUB653:QUT3729,3,0),"")</f>
        <v/>
      </c>
      <c r="QUD671" t="str">
        <f>IFERROR(VLOOKUP(QUE671,'[3]Raw material  (3)'!QUC653:QUU3729,3,0),"")</f>
        <v/>
      </c>
      <c r="QUE671" t="str">
        <f>IFERROR(VLOOKUP(QUF671,'[3]Raw material  (3)'!QUD653:QUV3729,3,0),"")</f>
        <v/>
      </c>
      <c r="QUF671" t="str">
        <f>IFERROR(VLOOKUP(QUG671,'[3]Raw material  (3)'!QUE653:QUW3729,3,0),"")</f>
        <v/>
      </c>
      <c r="QUG671" t="str">
        <f>IFERROR(VLOOKUP(QUH671,'[3]Raw material  (3)'!QUF653:QUX3729,3,0),"")</f>
        <v/>
      </c>
      <c r="QUH671" t="str">
        <f>IFERROR(VLOOKUP(QUI671,'[3]Raw material  (3)'!QUG653:QUY3729,3,0),"")</f>
        <v/>
      </c>
      <c r="QUI671" t="str">
        <f>IFERROR(VLOOKUP(QUJ671,'[3]Raw material  (3)'!QUH653:QUZ3729,3,0),"")</f>
        <v/>
      </c>
      <c r="QUJ671" t="str">
        <f>IFERROR(VLOOKUP(QUK671,'[3]Raw material  (3)'!QUI653:QVA3729,3,0),"")</f>
        <v/>
      </c>
      <c r="QUK671" t="str">
        <f>IFERROR(VLOOKUP(QUL671,'[3]Raw material  (3)'!QUJ653:QVB3729,3,0),"")</f>
        <v/>
      </c>
      <c r="QUL671" t="str">
        <f>IFERROR(VLOOKUP(QUM671,'[3]Raw material  (3)'!QUK653:QVC3729,3,0),"")</f>
        <v/>
      </c>
      <c r="QUM671" t="str">
        <f>IFERROR(VLOOKUP(QUN671,'[3]Raw material  (3)'!QUL653:QVD3729,3,0),"")</f>
        <v/>
      </c>
      <c r="QUN671" t="str">
        <f>IFERROR(VLOOKUP(QUO671,'[3]Raw material  (3)'!QUM653:QVE3729,3,0),"")</f>
        <v/>
      </c>
      <c r="QUO671" t="str">
        <f>IFERROR(VLOOKUP(QUP671,'[3]Raw material  (3)'!QUN653:QVF3729,3,0),"")</f>
        <v/>
      </c>
      <c r="QUP671" t="str">
        <f>IFERROR(VLOOKUP(QUQ671,'[3]Raw material  (3)'!QUO653:QVG3729,3,0),"")</f>
        <v/>
      </c>
      <c r="QUQ671" t="str">
        <f>IFERROR(VLOOKUP(QUR671,'[3]Raw material  (3)'!QUP653:QVH3729,3,0),"")</f>
        <v/>
      </c>
      <c r="QUR671" t="str">
        <f>IFERROR(VLOOKUP(QUS671,'[3]Raw material  (3)'!QUQ653:QVI3729,3,0),"")</f>
        <v/>
      </c>
      <c r="QUS671" t="str">
        <f>IFERROR(VLOOKUP(QUT671,'[3]Raw material  (3)'!QUR653:QVJ3729,3,0),"")</f>
        <v/>
      </c>
      <c r="QUT671" t="str">
        <f>IFERROR(VLOOKUP(QUU671,'[3]Raw material  (3)'!QUS653:QVK3729,3,0),"")</f>
        <v/>
      </c>
      <c r="QUU671" t="str">
        <f>IFERROR(VLOOKUP(QUV671,'[3]Raw material  (3)'!QUT653:QVL3729,3,0),"")</f>
        <v/>
      </c>
      <c r="QUV671" t="str">
        <f>IFERROR(VLOOKUP(QUW671,'[3]Raw material  (3)'!QUU653:QVM3729,3,0),"")</f>
        <v/>
      </c>
      <c r="QUW671" t="str">
        <f>IFERROR(VLOOKUP(QUX671,'[3]Raw material  (3)'!QUV653:QVN3729,3,0),"")</f>
        <v/>
      </c>
      <c r="QUX671" t="str">
        <f>IFERROR(VLOOKUP(QUY671,'[3]Raw material  (3)'!QUW653:QVO3729,3,0),"")</f>
        <v/>
      </c>
      <c r="QUY671" t="str">
        <f>IFERROR(VLOOKUP(QUZ671,'[3]Raw material  (3)'!QUX653:QVP3729,3,0),"")</f>
        <v/>
      </c>
      <c r="QUZ671" t="str">
        <f>IFERROR(VLOOKUP(QVA671,'[3]Raw material  (3)'!QUY653:QVQ3729,3,0),"")</f>
        <v/>
      </c>
      <c r="QVA671" t="str">
        <f>IFERROR(VLOOKUP(QVB671,'[3]Raw material  (3)'!QUZ653:QVR3729,3,0),"")</f>
        <v/>
      </c>
      <c r="QVB671" t="str">
        <f>IFERROR(VLOOKUP(QVC671,'[3]Raw material  (3)'!QVA653:QVS3729,3,0),"")</f>
        <v/>
      </c>
      <c r="QVC671" t="str">
        <f>IFERROR(VLOOKUP(QVD671,'[3]Raw material  (3)'!QVB653:QVT3729,3,0),"")</f>
        <v/>
      </c>
      <c r="QVD671" t="str">
        <f>IFERROR(VLOOKUP(QVE671,'[3]Raw material  (3)'!QVC653:QVU3729,3,0),"")</f>
        <v/>
      </c>
      <c r="QVE671" t="str">
        <f>IFERROR(VLOOKUP(QVF671,'[3]Raw material  (3)'!QVD653:QVV3729,3,0),"")</f>
        <v/>
      </c>
      <c r="QVF671" t="str">
        <f>IFERROR(VLOOKUP(QVG671,'[3]Raw material  (3)'!QVE653:QVW3729,3,0),"")</f>
        <v/>
      </c>
      <c r="QVG671" t="str">
        <f>IFERROR(VLOOKUP(QVH671,'[3]Raw material  (3)'!QVF653:QVX3729,3,0),"")</f>
        <v/>
      </c>
      <c r="QVH671" t="str">
        <f>IFERROR(VLOOKUP(QVI671,'[3]Raw material  (3)'!QVG653:QVY3729,3,0),"")</f>
        <v/>
      </c>
      <c r="QVI671" t="str">
        <f>IFERROR(VLOOKUP(QVJ671,'[3]Raw material  (3)'!QVH653:QVZ3729,3,0),"")</f>
        <v/>
      </c>
      <c r="QVJ671" t="str">
        <f>IFERROR(VLOOKUP(QVK671,'[3]Raw material  (3)'!QVI653:QWA3729,3,0),"")</f>
        <v/>
      </c>
      <c r="QVK671" t="str">
        <f>IFERROR(VLOOKUP(QVL671,'[3]Raw material  (3)'!QVJ653:QWB3729,3,0),"")</f>
        <v/>
      </c>
      <c r="QVL671" t="str">
        <f>IFERROR(VLOOKUP(QVM671,'[3]Raw material  (3)'!QVK653:QWC3729,3,0),"")</f>
        <v/>
      </c>
      <c r="QVM671" t="str">
        <f>IFERROR(VLOOKUP(QVN671,'[3]Raw material  (3)'!QVL653:QWD3729,3,0),"")</f>
        <v/>
      </c>
      <c r="QVN671" t="str">
        <f>IFERROR(VLOOKUP(QVO671,'[3]Raw material  (3)'!QVM653:QWE3729,3,0),"")</f>
        <v/>
      </c>
      <c r="QVO671" t="str">
        <f>IFERROR(VLOOKUP(QVP671,'[3]Raw material  (3)'!QVN653:QWF3729,3,0),"")</f>
        <v/>
      </c>
      <c r="QVP671" t="str">
        <f>IFERROR(VLOOKUP(QVQ671,'[3]Raw material  (3)'!QVO653:QWG3729,3,0),"")</f>
        <v/>
      </c>
      <c r="QVQ671" t="str">
        <f>IFERROR(VLOOKUP(QVR671,'[3]Raw material  (3)'!QVP653:QWH3729,3,0),"")</f>
        <v/>
      </c>
      <c r="QVR671" t="str">
        <f>IFERROR(VLOOKUP(QVS671,'[3]Raw material  (3)'!QVQ653:QWI3729,3,0),"")</f>
        <v/>
      </c>
      <c r="QVS671" t="str">
        <f>IFERROR(VLOOKUP(QVT671,'[3]Raw material  (3)'!QVR653:QWJ3729,3,0),"")</f>
        <v/>
      </c>
      <c r="QVT671" t="str">
        <f>IFERROR(VLOOKUP(QVU671,'[3]Raw material  (3)'!QVS653:QWK3729,3,0),"")</f>
        <v/>
      </c>
      <c r="QVU671" t="str">
        <f>IFERROR(VLOOKUP(QVV671,'[3]Raw material  (3)'!QVT653:QWL3729,3,0),"")</f>
        <v/>
      </c>
      <c r="QVV671" t="str">
        <f>IFERROR(VLOOKUP(QVW671,'[3]Raw material  (3)'!QVU653:QWM3729,3,0),"")</f>
        <v/>
      </c>
      <c r="QVW671" t="str">
        <f>IFERROR(VLOOKUP(QVX671,'[3]Raw material  (3)'!QVV653:QWN3729,3,0),"")</f>
        <v/>
      </c>
      <c r="QVX671" t="str">
        <f>IFERROR(VLOOKUP(QVY671,'[3]Raw material  (3)'!QVW653:QWO3729,3,0),"")</f>
        <v/>
      </c>
      <c r="QVY671" t="str">
        <f>IFERROR(VLOOKUP(QVZ671,'[3]Raw material  (3)'!QVX653:QWP3729,3,0),"")</f>
        <v/>
      </c>
      <c r="QVZ671" t="str">
        <f>IFERROR(VLOOKUP(QWA671,'[3]Raw material  (3)'!QVY653:QWQ3729,3,0),"")</f>
        <v/>
      </c>
      <c r="QWA671" t="str">
        <f>IFERROR(VLOOKUP(QWB671,'[3]Raw material  (3)'!QVZ653:QWR3729,3,0),"")</f>
        <v/>
      </c>
      <c r="QWB671" t="str">
        <f>IFERROR(VLOOKUP(QWC671,'[3]Raw material  (3)'!QWA653:QWS3729,3,0),"")</f>
        <v/>
      </c>
      <c r="QWC671" t="str">
        <f>IFERROR(VLOOKUP(QWD671,'[3]Raw material  (3)'!QWB653:QWT3729,3,0),"")</f>
        <v/>
      </c>
      <c r="QWD671" t="str">
        <f>IFERROR(VLOOKUP(QWE671,'[3]Raw material  (3)'!QWC653:QWU3729,3,0),"")</f>
        <v/>
      </c>
      <c r="QWE671" t="str">
        <f>IFERROR(VLOOKUP(QWF671,'[3]Raw material  (3)'!QWD653:QWV3729,3,0),"")</f>
        <v/>
      </c>
      <c r="QWF671" t="str">
        <f>IFERROR(VLOOKUP(QWG671,'[3]Raw material  (3)'!QWE653:QWW3729,3,0),"")</f>
        <v/>
      </c>
      <c r="QWG671" t="str">
        <f>IFERROR(VLOOKUP(QWH671,'[3]Raw material  (3)'!QWF653:QWX3729,3,0),"")</f>
        <v/>
      </c>
      <c r="QWH671" t="str">
        <f>IFERROR(VLOOKUP(QWI671,'[3]Raw material  (3)'!QWG653:QWY3729,3,0),"")</f>
        <v/>
      </c>
      <c r="QWI671" t="str">
        <f>IFERROR(VLOOKUP(QWJ671,'[3]Raw material  (3)'!QWH653:QWZ3729,3,0),"")</f>
        <v/>
      </c>
      <c r="QWJ671" t="str">
        <f>IFERROR(VLOOKUP(QWK671,'[3]Raw material  (3)'!QWI653:QXA3729,3,0),"")</f>
        <v/>
      </c>
      <c r="QWK671" t="str">
        <f>IFERROR(VLOOKUP(QWL671,'[3]Raw material  (3)'!QWJ653:QXB3729,3,0),"")</f>
        <v/>
      </c>
      <c r="QWL671" t="str">
        <f>IFERROR(VLOOKUP(QWM671,'[3]Raw material  (3)'!QWK653:QXC3729,3,0),"")</f>
        <v/>
      </c>
      <c r="QWM671" t="str">
        <f>IFERROR(VLOOKUP(QWN671,'[3]Raw material  (3)'!QWL653:QXD3729,3,0),"")</f>
        <v/>
      </c>
      <c r="QWN671" t="str">
        <f>IFERROR(VLOOKUP(QWO671,'[3]Raw material  (3)'!QWM653:QXE3729,3,0),"")</f>
        <v/>
      </c>
      <c r="QWO671" t="str">
        <f>IFERROR(VLOOKUP(QWP671,'[3]Raw material  (3)'!QWN653:QXF3729,3,0),"")</f>
        <v/>
      </c>
      <c r="QWP671" t="str">
        <f>IFERROR(VLOOKUP(QWQ671,'[3]Raw material  (3)'!QWO653:QXG3729,3,0),"")</f>
        <v/>
      </c>
      <c r="QWQ671" t="str">
        <f>IFERROR(VLOOKUP(QWR671,'[3]Raw material  (3)'!QWP653:QXH3729,3,0),"")</f>
        <v/>
      </c>
      <c r="QWR671" t="str">
        <f>IFERROR(VLOOKUP(QWS671,'[3]Raw material  (3)'!QWQ653:QXI3729,3,0),"")</f>
        <v/>
      </c>
      <c r="QWS671" t="str">
        <f>IFERROR(VLOOKUP(QWT671,'[3]Raw material  (3)'!QWR653:QXJ3729,3,0),"")</f>
        <v/>
      </c>
      <c r="QWT671" t="str">
        <f>IFERROR(VLOOKUP(QWU671,'[3]Raw material  (3)'!QWS653:QXK3729,3,0),"")</f>
        <v/>
      </c>
      <c r="QWU671" t="str">
        <f>IFERROR(VLOOKUP(QWV671,'[3]Raw material  (3)'!QWT653:QXL3729,3,0),"")</f>
        <v/>
      </c>
      <c r="QWV671" t="str">
        <f>IFERROR(VLOOKUP(QWW671,'[3]Raw material  (3)'!QWU653:QXM3729,3,0),"")</f>
        <v/>
      </c>
      <c r="QWW671" t="str">
        <f>IFERROR(VLOOKUP(QWX671,'[3]Raw material  (3)'!QWV653:QXN3729,3,0),"")</f>
        <v/>
      </c>
      <c r="QWX671" t="str">
        <f>IFERROR(VLOOKUP(QWY671,'[3]Raw material  (3)'!QWW653:QXO3729,3,0),"")</f>
        <v/>
      </c>
      <c r="QWY671" t="str">
        <f>IFERROR(VLOOKUP(QWZ671,'[3]Raw material  (3)'!QWX653:QXP3729,3,0),"")</f>
        <v/>
      </c>
      <c r="QWZ671" t="str">
        <f>IFERROR(VLOOKUP(QXA671,'[3]Raw material  (3)'!QWY653:QXQ3729,3,0),"")</f>
        <v/>
      </c>
      <c r="QXA671" t="str">
        <f>IFERROR(VLOOKUP(QXB671,'[3]Raw material  (3)'!QWZ653:QXR3729,3,0),"")</f>
        <v/>
      </c>
      <c r="QXB671" t="str">
        <f>IFERROR(VLOOKUP(QXC671,'[3]Raw material  (3)'!QXA653:QXS3729,3,0),"")</f>
        <v/>
      </c>
      <c r="QXC671" t="str">
        <f>IFERROR(VLOOKUP(QXD671,'[3]Raw material  (3)'!QXB653:QXT3729,3,0),"")</f>
        <v/>
      </c>
      <c r="QXD671" t="str">
        <f>IFERROR(VLOOKUP(QXE671,'[3]Raw material  (3)'!QXC653:QXU3729,3,0),"")</f>
        <v/>
      </c>
      <c r="QXE671" t="str">
        <f>IFERROR(VLOOKUP(QXF671,'[3]Raw material  (3)'!QXD653:QXV3729,3,0),"")</f>
        <v/>
      </c>
      <c r="QXF671" t="str">
        <f>IFERROR(VLOOKUP(QXG671,'[3]Raw material  (3)'!QXE653:QXW3729,3,0),"")</f>
        <v/>
      </c>
      <c r="QXG671" t="str">
        <f>IFERROR(VLOOKUP(QXH671,'[3]Raw material  (3)'!QXF653:QXX3729,3,0),"")</f>
        <v/>
      </c>
      <c r="QXH671" t="str">
        <f>IFERROR(VLOOKUP(QXI671,'[3]Raw material  (3)'!QXG653:QXY3729,3,0),"")</f>
        <v/>
      </c>
      <c r="QXI671" t="str">
        <f>IFERROR(VLOOKUP(QXJ671,'[3]Raw material  (3)'!QXH653:QXZ3729,3,0),"")</f>
        <v/>
      </c>
      <c r="QXJ671" t="str">
        <f>IFERROR(VLOOKUP(QXK671,'[3]Raw material  (3)'!QXI653:QYA3729,3,0),"")</f>
        <v/>
      </c>
      <c r="QXK671" t="str">
        <f>IFERROR(VLOOKUP(QXL671,'[3]Raw material  (3)'!QXJ653:QYB3729,3,0),"")</f>
        <v/>
      </c>
      <c r="QXL671" t="str">
        <f>IFERROR(VLOOKUP(QXM671,'[3]Raw material  (3)'!QXK653:QYC3729,3,0),"")</f>
        <v/>
      </c>
      <c r="QXM671" t="str">
        <f>IFERROR(VLOOKUP(QXN671,'[3]Raw material  (3)'!QXL653:QYD3729,3,0),"")</f>
        <v/>
      </c>
      <c r="QXN671" t="str">
        <f>IFERROR(VLOOKUP(QXO671,'[3]Raw material  (3)'!QXM653:QYE3729,3,0),"")</f>
        <v/>
      </c>
      <c r="QXO671" t="str">
        <f>IFERROR(VLOOKUP(QXP671,'[3]Raw material  (3)'!QXN653:QYF3729,3,0),"")</f>
        <v/>
      </c>
      <c r="QXP671" t="str">
        <f>IFERROR(VLOOKUP(QXQ671,'[3]Raw material  (3)'!QXO653:QYG3729,3,0),"")</f>
        <v/>
      </c>
      <c r="QXQ671" t="str">
        <f>IFERROR(VLOOKUP(QXR671,'[3]Raw material  (3)'!QXP653:QYH3729,3,0),"")</f>
        <v/>
      </c>
      <c r="QXR671" t="str">
        <f>IFERROR(VLOOKUP(QXS671,'[3]Raw material  (3)'!QXQ653:QYI3729,3,0),"")</f>
        <v/>
      </c>
      <c r="QXS671" t="str">
        <f>IFERROR(VLOOKUP(QXT671,'[3]Raw material  (3)'!QXR653:QYJ3729,3,0),"")</f>
        <v/>
      </c>
      <c r="QXT671" t="str">
        <f>IFERROR(VLOOKUP(QXU671,'[3]Raw material  (3)'!QXS653:QYK3729,3,0),"")</f>
        <v/>
      </c>
      <c r="QXU671" t="str">
        <f>IFERROR(VLOOKUP(QXV671,'[3]Raw material  (3)'!QXT653:QYL3729,3,0),"")</f>
        <v/>
      </c>
      <c r="QXV671" t="str">
        <f>IFERROR(VLOOKUP(QXW671,'[3]Raw material  (3)'!QXU653:QYM3729,3,0),"")</f>
        <v/>
      </c>
      <c r="QXW671" t="str">
        <f>IFERROR(VLOOKUP(QXX671,'[3]Raw material  (3)'!QXV653:QYN3729,3,0),"")</f>
        <v/>
      </c>
      <c r="QXX671" t="str">
        <f>IFERROR(VLOOKUP(QXY671,'[3]Raw material  (3)'!QXW653:QYO3729,3,0),"")</f>
        <v/>
      </c>
      <c r="QXY671" t="str">
        <f>IFERROR(VLOOKUP(QXZ671,'[3]Raw material  (3)'!QXX653:QYP3729,3,0),"")</f>
        <v/>
      </c>
      <c r="QXZ671" t="str">
        <f>IFERROR(VLOOKUP(QYA671,'[3]Raw material  (3)'!QXY653:QYQ3729,3,0),"")</f>
        <v/>
      </c>
      <c r="QYA671" t="str">
        <f>IFERROR(VLOOKUP(QYB671,'[3]Raw material  (3)'!QXZ653:QYR3729,3,0),"")</f>
        <v/>
      </c>
      <c r="QYB671" t="str">
        <f>IFERROR(VLOOKUP(QYC671,'[3]Raw material  (3)'!QYA653:QYS3729,3,0),"")</f>
        <v/>
      </c>
      <c r="QYC671" t="str">
        <f>IFERROR(VLOOKUP(QYD671,'[3]Raw material  (3)'!QYB653:QYT3729,3,0),"")</f>
        <v/>
      </c>
      <c r="QYD671" t="str">
        <f>IFERROR(VLOOKUP(QYE671,'[3]Raw material  (3)'!QYC653:QYU3729,3,0),"")</f>
        <v/>
      </c>
      <c r="QYE671" t="str">
        <f>IFERROR(VLOOKUP(QYF671,'[3]Raw material  (3)'!QYD653:QYV3729,3,0),"")</f>
        <v/>
      </c>
      <c r="QYF671" t="str">
        <f>IFERROR(VLOOKUP(QYG671,'[3]Raw material  (3)'!QYE653:QYW3729,3,0),"")</f>
        <v/>
      </c>
      <c r="QYG671" t="str">
        <f>IFERROR(VLOOKUP(QYH671,'[3]Raw material  (3)'!QYF653:QYX3729,3,0),"")</f>
        <v/>
      </c>
      <c r="QYH671" t="str">
        <f>IFERROR(VLOOKUP(QYI671,'[3]Raw material  (3)'!QYG653:QYY3729,3,0),"")</f>
        <v/>
      </c>
      <c r="QYI671" t="str">
        <f>IFERROR(VLOOKUP(QYJ671,'[3]Raw material  (3)'!QYH653:QYZ3729,3,0),"")</f>
        <v/>
      </c>
      <c r="QYJ671" t="str">
        <f>IFERROR(VLOOKUP(QYK671,'[3]Raw material  (3)'!QYI653:QZA3729,3,0),"")</f>
        <v/>
      </c>
      <c r="QYK671" t="str">
        <f>IFERROR(VLOOKUP(QYL671,'[3]Raw material  (3)'!QYJ653:QZB3729,3,0),"")</f>
        <v/>
      </c>
      <c r="QYL671" t="str">
        <f>IFERROR(VLOOKUP(QYM671,'[3]Raw material  (3)'!QYK653:QZC3729,3,0),"")</f>
        <v/>
      </c>
      <c r="QYM671" t="str">
        <f>IFERROR(VLOOKUP(QYN671,'[3]Raw material  (3)'!QYL653:QZD3729,3,0),"")</f>
        <v/>
      </c>
      <c r="QYN671" t="str">
        <f>IFERROR(VLOOKUP(QYO671,'[3]Raw material  (3)'!QYM653:QZE3729,3,0),"")</f>
        <v/>
      </c>
      <c r="QYO671" t="str">
        <f>IFERROR(VLOOKUP(QYP671,'[3]Raw material  (3)'!QYN653:QZF3729,3,0),"")</f>
        <v/>
      </c>
      <c r="QYP671" t="str">
        <f>IFERROR(VLOOKUP(QYQ671,'[3]Raw material  (3)'!QYO653:QZG3729,3,0),"")</f>
        <v/>
      </c>
      <c r="QYQ671" t="str">
        <f>IFERROR(VLOOKUP(QYR671,'[3]Raw material  (3)'!QYP653:QZH3729,3,0),"")</f>
        <v/>
      </c>
      <c r="QYR671" t="str">
        <f>IFERROR(VLOOKUP(QYS671,'[3]Raw material  (3)'!QYQ653:QZI3729,3,0),"")</f>
        <v/>
      </c>
      <c r="QYS671" t="str">
        <f>IFERROR(VLOOKUP(QYT671,'[3]Raw material  (3)'!QYR653:QZJ3729,3,0),"")</f>
        <v/>
      </c>
      <c r="QYT671" t="str">
        <f>IFERROR(VLOOKUP(QYU671,'[3]Raw material  (3)'!QYS653:QZK3729,3,0),"")</f>
        <v/>
      </c>
      <c r="QYU671" t="str">
        <f>IFERROR(VLOOKUP(QYV671,'[3]Raw material  (3)'!QYT653:QZL3729,3,0),"")</f>
        <v/>
      </c>
      <c r="QYV671" t="str">
        <f>IFERROR(VLOOKUP(QYW671,'[3]Raw material  (3)'!QYU653:QZM3729,3,0),"")</f>
        <v/>
      </c>
      <c r="QYW671" t="str">
        <f>IFERROR(VLOOKUP(QYX671,'[3]Raw material  (3)'!QYV653:QZN3729,3,0),"")</f>
        <v/>
      </c>
      <c r="QYX671" t="str">
        <f>IFERROR(VLOOKUP(QYY671,'[3]Raw material  (3)'!QYW653:QZO3729,3,0),"")</f>
        <v/>
      </c>
      <c r="QYY671" t="str">
        <f>IFERROR(VLOOKUP(QYZ671,'[3]Raw material  (3)'!QYX653:QZP3729,3,0),"")</f>
        <v/>
      </c>
      <c r="QYZ671" t="str">
        <f>IFERROR(VLOOKUP(QZA671,'[3]Raw material  (3)'!QYY653:QZQ3729,3,0),"")</f>
        <v/>
      </c>
      <c r="QZA671" t="str">
        <f>IFERROR(VLOOKUP(QZB671,'[3]Raw material  (3)'!QYZ653:QZR3729,3,0),"")</f>
        <v/>
      </c>
      <c r="QZB671" t="str">
        <f>IFERROR(VLOOKUP(QZC671,'[3]Raw material  (3)'!QZA653:QZS3729,3,0),"")</f>
        <v/>
      </c>
      <c r="QZC671" t="str">
        <f>IFERROR(VLOOKUP(QZD671,'[3]Raw material  (3)'!QZB653:QZT3729,3,0),"")</f>
        <v/>
      </c>
      <c r="QZD671" t="str">
        <f>IFERROR(VLOOKUP(QZE671,'[3]Raw material  (3)'!QZC653:QZU3729,3,0),"")</f>
        <v/>
      </c>
      <c r="QZE671" t="str">
        <f>IFERROR(VLOOKUP(QZF671,'[3]Raw material  (3)'!QZD653:QZV3729,3,0),"")</f>
        <v/>
      </c>
      <c r="QZF671" t="str">
        <f>IFERROR(VLOOKUP(QZG671,'[3]Raw material  (3)'!QZE653:QZW3729,3,0),"")</f>
        <v/>
      </c>
      <c r="QZG671" t="str">
        <f>IFERROR(VLOOKUP(QZH671,'[3]Raw material  (3)'!QZF653:QZX3729,3,0),"")</f>
        <v/>
      </c>
      <c r="QZH671" t="str">
        <f>IFERROR(VLOOKUP(QZI671,'[3]Raw material  (3)'!QZG653:QZY3729,3,0),"")</f>
        <v/>
      </c>
      <c r="QZI671" t="str">
        <f>IFERROR(VLOOKUP(QZJ671,'[3]Raw material  (3)'!QZH653:QZZ3729,3,0),"")</f>
        <v/>
      </c>
      <c r="QZJ671" t="str">
        <f>IFERROR(VLOOKUP(QZK671,'[3]Raw material  (3)'!QZI653:RAA3729,3,0),"")</f>
        <v/>
      </c>
      <c r="QZK671" t="str">
        <f>IFERROR(VLOOKUP(QZL671,'[3]Raw material  (3)'!QZJ653:RAB3729,3,0),"")</f>
        <v/>
      </c>
      <c r="QZL671" t="str">
        <f>IFERROR(VLOOKUP(QZM671,'[3]Raw material  (3)'!QZK653:RAC3729,3,0),"")</f>
        <v/>
      </c>
      <c r="QZM671" t="str">
        <f>IFERROR(VLOOKUP(QZN671,'[3]Raw material  (3)'!QZL653:RAD3729,3,0),"")</f>
        <v/>
      </c>
      <c r="QZN671" t="str">
        <f>IFERROR(VLOOKUP(QZO671,'[3]Raw material  (3)'!QZM653:RAE3729,3,0),"")</f>
        <v/>
      </c>
      <c r="QZO671" t="str">
        <f>IFERROR(VLOOKUP(QZP671,'[3]Raw material  (3)'!QZN653:RAF3729,3,0),"")</f>
        <v/>
      </c>
      <c r="QZP671" t="str">
        <f>IFERROR(VLOOKUP(QZQ671,'[3]Raw material  (3)'!QZO653:RAG3729,3,0),"")</f>
        <v/>
      </c>
      <c r="QZQ671" t="str">
        <f>IFERROR(VLOOKUP(QZR671,'[3]Raw material  (3)'!QZP653:RAH3729,3,0),"")</f>
        <v/>
      </c>
      <c r="QZR671" t="str">
        <f>IFERROR(VLOOKUP(QZS671,'[3]Raw material  (3)'!QZQ653:RAI3729,3,0),"")</f>
        <v/>
      </c>
      <c r="QZS671" t="str">
        <f>IFERROR(VLOOKUP(QZT671,'[3]Raw material  (3)'!QZR653:RAJ3729,3,0),"")</f>
        <v/>
      </c>
      <c r="QZT671" t="str">
        <f>IFERROR(VLOOKUP(QZU671,'[3]Raw material  (3)'!QZS653:RAK3729,3,0),"")</f>
        <v/>
      </c>
      <c r="QZU671" t="str">
        <f>IFERROR(VLOOKUP(QZV671,'[3]Raw material  (3)'!QZT653:RAL3729,3,0),"")</f>
        <v/>
      </c>
      <c r="QZV671" t="str">
        <f>IFERROR(VLOOKUP(QZW671,'[3]Raw material  (3)'!QZU653:RAM3729,3,0),"")</f>
        <v/>
      </c>
      <c r="QZW671" t="str">
        <f>IFERROR(VLOOKUP(QZX671,'[3]Raw material  (3)'!QZV653:RAN3729,3,0),"")</f>
        <v/>
      </c>
      <c r="QZX671" t="str">
        <f>IFERROR(VLOOKUP(QZY671,'[3]Raw material  (3)'!QZW653:RAO3729,3,0),"")</f>
        <v/>
      </c>
      <c r="QZY671" t="str">
        <f>IFERROR(VLOOKUP(QZZ671,'[3]Raw material  (3)'!QZX653:RAP3729,3,0),"")</f>
        <v/>
      </c>
      <c r="QZZ671" t="str">
        <f>IFERROR(VLOOKUP(RAA671,'[3]Raw material  (3)'!QZY653:RAQ3729,3,0),"")</f>
        <v/>
      </c>
      <c r="RAA671" t="str">
        <f>IFERROR(VLOOKUP(RAB671,'[3]Raw material  (3)'!QZZ653:RAR3729,3,0),"")</f>
        <v/>
      </c>
      <c r="RAB671" t="str">
        <f>IFERROR(VLOOKUP(RAC671,'[3]Raw material  (3)'!RAA653:RAS3729,3,0),"")</f>
        <v/>
      </c>
      <c r="RAC671" t="str">
        <f>IFERROR(VLOOKUP(RAD671,'[3]Raw material  (3)'!RAB653:RAT3729,3,0),"")</f>
        <v/>
      </c>
      <c r="RAD671" t="str">
        <f>IFERROR(VLOOKUP(RAE671,'[3]Raw material  (3)'!RAC653:RAU3729,3,0),"")</f>
        <v/>
      </c>
      <c r="RAE671" t="str">
        <f>IFERROR(VLOOKUP(RAF671,'[3]Raw material  (3)'!RAD653:RAV3729,3,0),"")</f>
        <v/>
      </c>
      <c r="RAF671" t="str">
        <f>IFERROR(VLOOKUP(RAG671,'[3]Raw material  (3)'!RAE653:RAW3729,3,0),"")</f>
        <v/>
      </c>
      <c r="RAG671" t="str">
        <f>IFERROR(VLOOKUP(RAH671,'[3]Raw material  (3)'!RAF653:RAX3729,3,0),"")</f>
        <v/>
      </c>
      <c r="RAH671" t="str">
        <f>IFERROR(VLOOKUP(RAI671,'[3]Raw material  (3)'!RAG653:RAY3729,3,0),"")</f>
        <v/>
      </c>
      <c r="RAI671" t="str">
        <f>IFERROR(VLOOKUP(RAJ671,'[3]Raw material  (3)'!RAH653:RAZ3729,3,0),"")</f>
        <v/>
      </c>
      <c r="RAJ671" t="str">
        <f>IFERROR(VLOOKUP(RAK671,'[3]Raw material  (3)'!RAI653:RBA3729,3,0),"")</f>
        <v/>
      </c>
      <c r="RAK671" t="str">
        <f>IFERROR(VLOOKUP(RAL671,'[3]Raw material  (3)'!RAJ653:RBB3729,3,0),"")</f>
        <v/>
      </c>
      <c r="RAL671" t="str">
        <f>IFERROR(VLOOKUP(RAM671,'[3]Raw material  (3)'!RAK653:RBC3729,3,0),"")</f>
        <v/>
      </c>
      <c r="RAM671" t="str">
        <f>IFERROR(VLOOKUP(RAN671,'[3]Raw material  (3)'!RAL653:RBD3729,3,0),"")</f>
        <v/>
      </c>
      <c r="RAN671" t="str">
        <f>IFERROR(VLOOKUP(RAO671,'[3]Raw material  (3)'!RAM653:RBE3729,3,0),"")</f>
        <v/>
      </c>
      <c r="RAO671" t="str">
        <f>IFERROR(VLOOKUP(RAP671,'[3]Raw material  (3)'!RAN653:RBF3729,3,0),"")</f>
        <v/>
      </c>
      <c r="RAP671" t="str">
        <f>IFERROR(VLOOKUP(RAQ671,'[3]Raw material  (3)'!RAO653:RBG3729,3,0),"")</f>
        <v/>
      </c>
      <c r="RAQ671" t="str">
        <f>IFERROR(VLOOKUP(RAR671,'[3]Raw material  (3)'!RAP653:RBH3729,3,0),"")</f>
        <v/>
      </c>
      <c r="RAR671" t="str">
        <f>IFERROR(VLOOKUP(RAS671,'[3]Raw material  (3)'!RAQ653:RBI3729,3,0),"")</f>
        <v/>
      </c>
      <c r="RAS671" t="str">
        <f>IFERROR(VLOOKUP(RAT671,'[3]Raw material  (3)'!RAR653:RBJ3729,3,0),"")</f>
        <v/>
      </c>
      <c r="RAT671" t="str">
        <f>IFERROR(VLOOKUP(RAU671,'[3]Raw material  (3)'!RAS653:RBK3729,3,0),"")</f>
        <v/>
      </c>
      <c r="RAU671" t="str">
        <f>IFERROR(VLOOKUP(RAV671,'[3]Raw material  (3)'!RAT653:RBL3729,3,0),"")</f>
        <v/>
      </c>
      <c r="RAV671" t="str">
        <f>IFERROR(VLOOKUP(RAW671,'[3]Raw material  (3)'!RAU653:RBM3729,3,0),"")</f>
        <v/>
      </c>
      <c r="RAW671" t="str">
        <f>IFERROR(VLOOKUP(RAX671,'[3]Raw material  (3)'!RAV653:RBN3729,3,0),"")</f>
        <v/>
      </c>
      <c r="RAX671" t="str">
        <f>IFERROR(VLOOKUP(RAY671,'[3]Raw material  (3)'!RAW653:RBO3729,3,0),"")</f>
        <v/>
      </c>
      <c r="RAY671" t="str">
        <f>IFERROR(VLOOKUP(RAZ671,'[3]Raw material  (3)'!RAX653:RBP3729,3,0),"")</f>
        <v/>
      </c>
      <c r="RAZ671" t="str">
        <f>IFERROR(VLOOKUP(RBA671,'[3]Raw material  (3)'!RAY653:RBQ3729,3,0),"")</f>
        <v/>
      </c>
      <c r="RBA671" t="str">
        <f>IFERROR(VLOOKUP(RBB671,'[3]Raw material  (3)'!RAZ653:RBR3729,3,0),"")</f>
        <v/>
      </c>
      <c r="RBB671" t="str">
        <f>IFERROR(VLOOKUP(RBC671,'[3]Raw material  (3)'!RBA653:RBS3729,3,0),"")</f>
        <v/>
      </c>
      <c r="RBC671" t="str">
        <f>IFERROR(VLOOKUP(RBD671,'[3]Raw material  (3)'!RBB653:RBT3729,3,0),"")</f>
        <v/>
      </c>
      <c r="RBD671" t="str">
        <f>IFERROR(VLOOKUP(RBE671,'[3]Raw material  (3)'!RBC653:RBU3729,3,0),"")</f>
        <v/>
      </c>
      <c r="RBE671" t="str">
        <f>IFERROR(VLOOKUP(RBF671,'[3]Raw material  (3)'!RBD653:RBV3729,3,0),"")</f>
        <v/>
      </c>
      <c r="RBF671" t="str">
        <f>IFERROR(VLOOKUP(RBG671,'[3]Raw material  (3)'!RBE653:RBW3729,3,0),"")</f>
        <v/>
      </c>
      <c r="RBG671" t="str">
        <f>IFERROR(VLOOKUP(RBH671,'[3]Raw material  (3)'!RBF653:RBX3729,3,0),"")</f>
        <v/>
      </c>
      <c r="RBH671" t="str">
        <f>IFERROR(VLOOKUP(RBI671,'[3]Raw material  (3)'!RBG653:RBY3729,3,0),"")</f>
        <v/>
      </c>
      <c r="RBI671" t="str">
        <f>IFERROR(VLOOKUP(RBJ671,'[3]Raw material  (3)'!RBH653:RBZ3729,3,0),"")</f>
        <v/>
      </c>
      <c r="RBJ671" t="str">
        <f>IFERROR(VLOOKUP(RBK671,'[3]Raw material  (3)'!RBI653:RCA3729,3,0),"")</f>
        <v/>
      </c>
      <c r="RBK671" t="str">
        <f>IFERROR(VLOOKUP(RBL671,'[3]Raw material  (3)'!RBJ653:RCB3729,3,0),"")</f>
        <v/>
      </c>
      <c r="RBL671" t="str">
        <f>IFERROR(VLOOKUP(RBM671,'[3]Raw material  (3)'!RBK653:RCC3729,3,0),"")</f>
        <v/>
      </c>
      <c r="RBM671" t="str">
        <f>IFERROR(VLOOKUP(RBN671,'[3]Raw material  (3)'!RBL653:RCD3729,3,0),"")</f>
        <v/>
      </c>
      <c r="RBN671" t="str">
        <f>IFERROR(VLOOKUP(RBO671,'[3]Raw material  (3)'!RBM653:RCE3729,3,0),"")</f>
        <v/>
      </c>
      <c r="RBO671" t="str">
        <f>IFERROR(VLOOKUP(RBP671,'[3]Raw material  (3)'!RBN653:RCF3729,3,0),"")</f>
        <v/>
      </c>
      <c r="RBP671" t="str">
        <f>IFERROR(VLOOKUP(RBQ671,'[3]Raw material  (3)'!RBO653:RCG3729,3,0),"")</f>
        <v/>
      </c>
      <c r="RBQ671" t="str">
        <f>IFERROR(VLOOKUP(RBR671,'[3]Raw material  (3)'!RBP653:RCH3729,3,0),"")</f>
        <v/>
      </c>
      <c r="RBR671" t="str">
        <f>IFERROR(VLOOKUP(RBS671,'[3]Raw material  (3)'!RBQ653:RCI3729,3,0),"")</f>
        <v/>
      </c>
      <c r="RBS671" t="str">
        <f>IFERROR(VLOOKUP(RBT671,'[3]Raw material  (3)'!RBR653:RCJ3729,3,0),"")</f>
        <v/>
      </c>
      <c r="RBT671" t="str">
        <f>IFERROR(VLOOKUP(RBU671,'[3]Raw material  (3)'!RBS653:RCK3729,3,0),"")</f>
        <v/>
      </c>
      <c r="RBU671" t="str">
        <f>IFERROR(VLOOKUP(RBV671,'[3]Raw material  (3)'!RBT653:RCL3729,3,0),"")</f>
        <v/>
      </c>
      <c r="RBV671" t="str">
        <f>IFERROR(VLOOKUP(RBW671,'[3]Raw material  (3)'!RBU653:RCM3729,3,0),"")</f>
        <v/>
      </c>
      <c r="RBW671" t="str">
        <f>IFERROR(VLOOKUP(RBX671,'[3]Raw material  (3)'!RBV653:RCN3729,3,0),"")</f>
        <v/>
      </c>
      <c r="RBX671" t="str">
        <f>IFERROR(VLOOKUP(RBY671,'[3]Raw material  (3)'!RBW653:RCO3729,3,0),"")</f>
        <v/>
      </c>
      <c r="RBY671" t="str">
        <f>IFERROR(VLOOKUP(RBZ671,'[3]Raw material  (3)'!RBX653:RCP3729,3,0),"")</f>
        <v/>
      </c>
      <c r="RBZ671" t="str">
        <f>IFERROR(VLOOKUP(RCA671,'[3]Raw material  (3)'!RBY653:RCQ3729,3,0),"")</f>
        <v/>
      </c>
      <c r="RCA671" t="str">
        <f>IFERROR(VLOOKUP(RCB671,'[3]Raw material  (3)'!RBZ653:RCR3729,3,0),"")</f>
        <v/>
      </c>
      <c r="RCB671" t="str">
        <f>IFERROR(VLOOKUP(RCC671,'[3]Raw material  (3)'!RCA653:RCS3729,3,0),"")</f>
        <v/>
      </c>
      <c r="RCC671" t="str">
        <f>IFERROR(VLOOKUP(RCD671,'[3]Raw material  (3)'!RCB653:RCT3729,3,0),"")</f>
        <v/>
      </c>
      <c r="RCD671" t="str">
        <f>IFERROR(VLOOKUP(RCE671,'[3]Raw material  (3)'!RCC653:RCU3729,3,0),"")</f>
        <v/>
      </c>
      <c r="RCE671" t="str">
        <f>IFERROR(VLOOKUP(RCF671,'[3]Raw material  (3)'!RCD653:RCV3729,3,0),"")</f>
        <v/>
      </c>
      <c r="RCF671" t="str">
        <f>IFERROR(VLOOKUP(RCG671,'[3]Raw material  (3)'!RCE653:RCW3729,3,0),"")</f>
        <v/>
      </c>
      <c r="RCG671" t="str">
        <f>IFERROR(VLOOKUP(RCH671,'[3]Raw material  (3)'!RCF653:RCX3729,3,0),"")</f>
        <v/>
      </c>
      <c r="RCH671" t="str">
        <f>IFERROR(VLOOKUP(RCI671,'[3]Raw material  (3)'!RCG653:RCY3729,3,0),"")</f>
        <v/>
      </c>
      <c r="RCI671" t="str">
        <f>IFERROR(VLOOKUP(RCJ671,'[3]Raw material  (3)'!RCH653:RCZ3729,3,0),"")</f>
        <v/>
      </c>
      <c r="RCJ671" t="str">
        <f>IFERROR(VLOOKUP(RCK671,'[3]Raw material  (3)'!RCI653:RDA3729,3,0),"")</f>
        <v/>
      </c>
      <c r="RCK671" t="str">
        <f>IFERROR(VLOOKUP(RCL671,'[3]Raw material  (3)'!RCJ653:RDB3729,3,0),"")</f>
        <v/>
      </c>
      <c r="RCL671" t="str">
        <f>IFERROR(VLOOKUP(RCM671,'[3]Raw material  (3)'!RCK653:RDC3729,3,0),"")</f>
        <v/>
      </c>
      <c r="RCM671" t="str">
        <f>IFERROR(VLOOKUP(RCN671,'[3]Raw material  (3)'!RCL653:RDD3729,3,0),"")</f>
        <v/>
      </c>
      <c r="RCN671" t="str">
        <f>IFERROR(VLOOKUP(RCO671,'[3]Raw material  (3)'!RCM653:RDE3729,3,0),"")</f>
        <v/>
      </c>
      <c r="RCO671" t="str">
        <f>IFERROR(VLOOKUP(RCP671,'[3]Raw material  (3)'!RCN653:RDF3729,3,0),"")</f>
        <v/>
      </c>
      <c r="RCP671" t="str">
        <f>IFERROR(VLOOKUP(RCQ671,'[3]Raw material  (3)'!RCO653:RDG3729,3,0),"")</f>
        <v/>
      </c>
      <c r="RCQ671" t="str">
        <f>IFERROR(VLOOKUP(RCR671,'[3]Raw material  (3)'!RCP653:RDH3729,3,0),"")</f>
        <v/>
      </c>
      <c r="RCR671" t="str">
        <f>IFERROR(VLOOKUP(RCS671,'[3]Raw material  (3)'!RCQ653:RDI3729,3,0),"")</f>
        <v/>
      </c>
      <c r="RCS671" t="str">
        <f>IFERROR(VLOOKUP(RCT671,'[3]Raw material  (3)'!RCR653:RDJ3729,3,0),"")</f>
        <v/>
      </c>
      <c r="RCT671" t="str">
        <f>IFERROR(VLOOKUP(RCU671,'[3]Raw material  (3)'!RCS653:RDK3729,3,0),"")</f>
        <v/>
      </c>
      <c r="RCU671" t="str">
        <f>IFERROR(VLOOKUP(RCV671,'[3]Raw material  (3)'!RCT653:RDL3729,3,0),"")</f>
        <v/>
      </c>
      <c r="RCV671" t="str">
        <f>IFERROR(VLOOKUP(RCW671,'[3]Raw material  (3)'!RCU653:RDM3729,3,0),"")</f>
        <v/>
      </c>
      <c r="RCW671" t="str">
        <f>IFERROR(VLOOKUP(RCX671,'[3]Raw material  (3)'!RCV653:RDN3729,3,0),"")</f>
        <v/>
      </c>
      <c r="RCX671" t="str">
        <f>IFERROR(VLOOKUP(RCY671,'[3]Raw material  (3)'!RCW653:RDO3729,3,0),"")</f>
        <v/>
      </c>
      <c r="RCY671" t="str">
        <f>IFERROR(VLOOKUP(RCZ671,'[3]Raw material  (3)'!RCX653:RDP3729,3,0),"")</f>
        <v/>
      </c>
      <c r="RCZ671" t="str">
        <f>IFERROR(VLOOKUP(RDA671,'[3]Raw material  (3)'!RCY653:RDQ3729,3,0),"")</f>
        <v/>
      </c>
      <c r="RDA671" t="str">
        <f>IFERROR(VLOOKUP(RDB671,'[3]Raw material  (3)'!RCZ653:RDR3729,3,0),"")</f>
        <v/>
      </c>
      <c r="RDB671" t="str">
        <f>IFERROR(VLOOKUP(RDC671,'[3]Raw material  (3)'!RDA653:RDS3729,3,0),"")</f>
        <v/>
      </c>
      <c r="RDC671" t="str">
        <f>IFERROR(VLOOKUP(RDD671,'[3]Raw material  (3)'!RDB653:RDT3729,3,0),"")</f>
        <v/>
      </c>
      <c r="RDD671" t="str">
        <f>IFERROR(VLOOKUP(RDE671,'[3]Raw material  (3)'!RDC653:RDU3729,3,0),"")</f>
        <v/>
      </c>
      <c r="RDE671" t="str">
        <f>IFERROR(VLOOKUP(RDF671,'[3]Raw material  (3)'!RDD653:RDV3729,3,0),"")</f>
        <v/>
      </c>
      <c r="RDF671" t="str">
        <f>IFERROR(VLOOKUP(RDG671,'[3]Raw material  (3)'!RDE653:RDW3729,3,0),"")</f>
        <v/>
      </c>
      <c r="RDG671" t="str">
        <f>IFERROR(VLOOKUP(RDH671,'[3]Raw material  (3)'!RDF653:RDX3729,3,0),"")</f>
        <v/>
      </c>
      <c r="RDH671" t="str">
        <f>IFERROR(VLOOKUP(RDI671,'[3]Raw material  (3)'!RDG653:RDY3729,3,0),"")</f>
        <v/>
      </c>
      <c r="RDI671" t="str">
        <f>IFERROR(VLOOKUP(RDJ671,'[3]Raw material  (3)'!RDH653:RDZ3729,3,0),"")</f>
        <v/>
      </c>
      <c r="RDJ671" t="str">
        <f>IFERROR(VLOOKUP(RDK671,'[3]Raw material  (3)'!RDI653:REA3729,3,0),"")</f>
        <v/>
      </c>
      <c r="RDK671" t="str">
        <f>IFERROR(VLOOKUP(RDL671,'[3]Raw material  (3)'!RDJ653:REB3729,3,0),"")</f>
        <v/>
      </c>
      <c r="RDL671" t="str">
        <f>IFERROR(VLOOKUP(RDM671,'[3]Raw material  (3)'!RDK653:REC3729,3,0),"")</f>
        <v/>
      </c>
      <c r="RDM671" t="str">
        <f>IFERROR(VLOOKUP(RDN671,'[3]Raw material  (3)'!RDL653:RED3729,3,0),"")</f>
        <v/>
      </c>
      <c r="RDN671" t="str">
        <f>IFERROR(VLOOKUP(RDO671,'[3]Raw material  (3)'!RDM653:REE3729,3,0),"")</f>
        <v/>
      </c>
      <c r="RDO671" t="str">
        <f>IFERROR(VLOOKUP(RDP671,'[3]Raw material  (3)'!RDN653:REF3729,3,0),"")</f>
        <v/>
      </c>
      <c r="RDP671" t="str">
        <f>IFERROR(VLOOKUP(RDQ671,'[3]Raw material  (3)'!RDO653:REG3729,3,0),"")</f>
        <v/>
      </c>
      <c r="RDQ671" t="str">
        <f>IFERROR(VLOOKUP(RDR671,'[3]Raw material  (3)'!RDP653:REH3729,3,0),"")</f>
        <v/>
      </c>
      <c r="RDR671" t="str">
        <f>IFERROR(VLOOKUP(RDS671,'[3]Raw material  (3)'!RDQ653:REI3729,3,0),"")</f>
        <v/>
      </c>
      <c r="RDS671" t="str">
        <f>IFERROR(VLOOKUP(RDT671,'[3]Raw material  (3)'!RDR653:REJ3729,3,0),"")</f>
        <v/>
      </c>
      <c r="RDT671" t="str">
        <f>IFERROR(VLOOKUP(RDU671,'[3]Raw material  (3)'!RDS653:REK3729,3,0),"")</f>
        <v/>
      </c>
      <c r="RDU671" t="str">
        <f>IFERROR(VLOOKUP(RDV671,'[3]Raw material  (3)'!RDT653:REL3729,3,0),"")</f>
        <v/>
      </c>
      <c r="RDV671" t="str">
        <f>IFERROR(VLOOKUP(RDW671,'[3]Raw material  (3)'!RDU653:REM3729,3,0),"")</f>
        <v/>
      </c>
      <c r="RDW671" t="str">
        <f>IFERROR(VLOOKUP(RDX671,'[3]Raw material  (3)'!RDV653:REN3729,3,0),"")</f>
        <v/>
      </c>
      <c r="RDX671" t="str">
        <f>IFERROR(VLOOKUP(RDY671,'[3]Raw material  (3)'!RDW653:REO3729,3,0),"")</f>
        <v/>
      </c>
      <c r="RDY671" t="str">
        <f>IFERROR(VLOOKUP(RDZ671,'[3]Raw material  (3)'!RDX653:REP3729,3,0),"")</f>
        <v/>
      </c>
      <c r="RDZ671" t="str">
        <f>IFERROR(VLOOKUP(REA671,'[3]Raw material  (3)'!RDY653:REQ3729,3,0),"")</f>
        <v/>
      </c>
      <c r="REA671" t="str">
        <f>IFERROR(VLOOKUP(REB671,'[3]Raw material  (3)'!RDZ653:RER3729,3,0),"")</f>
        <v/>
      </c>
      <c r="REB671" t="str">
        <f>IFERROR(VLOOKUP(REC671,'[3]Raw material  (3)'!REA653:RES3729,3,0),"")</f>
        <v/>
      </c>
      <c r="REC671" t="str">
        <f>IFERROR(VLOOKUP(RED671,'[3]Raw material  (3)'!REB653:RET3729,3,0),"")</f>
        <v/>
      </c>
      <c r="RED671" t="str">
        <f>IFERROR(VLOOKUP(REE671,'[3]Raw material  (3)'!REC653:REU3729,3,0),"")</f>
        <v/>
      </c>
      <c r="REE671" t="str">
        <f>IFERROR(VLOOKUP(REF671,'[3]Raw material  (3)'!RED653:REV3729,3,0),"")</f>
        <v/>
      </c>
      <c r="REF671" t="str">
        <f>IFERROR(VLOOKUP(REG671,'[3]Raw material  (3)'!REE653:REW3729,3,0),"")</f>
        <v/>
      </c>
      <c r="REG671" t="str">
        <f>IFERROR(VLOOKUP(REH671,'[3]Raw material  (3)'!REF653:REX3729,3,0),"")</f>
        <v/>
      </c>
      <c r="REH671" t="str">
        <f>IFERROR(VLOOKUP(REI671,'[3]Raw material  (3)'!REG653:REY3729,3,0),"")</f>
        <v/>
      </c>
      <c r="REI671" t="str">
        <f>IFERROR(VLOOKUP(REJ671,'[3]Raw material  (3)'!REH653:REZ3729,3,0),"")</f>
        <v/>
      </c>
      <c r="REJ671" t="str">
        <f>IFERROR(VLOOKUP(REK671,'[3]Raw material  (3)'!REI653:RFA3729,3,0),"")</f>
        <v/>
      </c>
      <c r="REK671" t="str">
        <f>IFERROR(VLOOKUP(REL671,'[3]Raw material  (3)'!REJ653:RFB3729,3,0),"")</f>
        <v/>
      </c>
      <c r="REL671" t="str">
        <f>IFERROR(VLOOKUP(REM671,'[3]Raw material  (3)'!REK653:RFC3729,3,0),"")</f>
        <v/>
      </c>
      <c r="REM671" t="str">
        <f>IFERROR(VLOOKUP(REN671,'[3]Raw material  (3)'!REL653:RFD3729,3,0),"")</f>
        <v/>
      </c>
      <c r="REN671" t="str">
        <f>IFERROR(VLOOKUP(REO671,'[3]Raw material  (3)'!REM653:RFE3729,3,0),"")</f>
        <v/>
      </c>
      <c r="REO671" t="str">
        <f>IFERROR(VLOOKUP(REP671,'[3]Raw material  (3)'!REN653:RFF3729,3,0),"")</f>
        <v/>
      </c>
      <c r="REP671" t="str">
        <f>IFERROR(VLOOKUP(REQ671,'[3]Raw material  (3)'!REO653:RFG3729,3,0),"")</f>
        <v/>
      </c>
      <c r="REQ671" t="str">
        <f>IFERROR(VLOOKUP(RER671,'[3]Raw material  (3)'!REP653:RFH3729,3,0),"")</f>
        <v/>
      </c>
      <c r="RER671" t="str">
        <f>IFERROR(VLOOKUP(RES671,'[3]Raw material  (3)'!REQ653:RFI3729,3,0),"")</f>
        <v/>
      </c>
      <c r="RES671" t="str">
        <f>IFERROR(VLOOKUP(RET671,'[3]Raw material  (3)'!RER653:RFJ3729,3,0),"")</f>
        <v/>
      </c>
      <c r="RET671" t="str">
        <f>IFERROR(VLOOKUP(REU671,'[3]Raw material  (3)'!RES653:RFK3729,3,0),"")</f>
        <v/>
      </c>
      <c r="REU671" t="str">
        <f>IFERROR(VLOOKUP(REV671,'[3]Raw material  (3)'!RET653:RFL3729,3,0),"")</f>
        <v/>
      </c>
      <c r="REV671" t="str">
        <f>IFERROR(VLOOKUP(REW671,'[3]Raw material  (3)'!REU653:RFM3729,3,0),"")</f>
        <v/>
      </c>
      <c r="REW671" t="str">
        <f>IFERROR(VLOOKUP(REX671,'[3]Raw material  (3)'!REV653:RFN3729,3,0),"")</f>
        <v/>
      </c>
      <c r="REX671" t="str">
        <f>IFERROR(VLOOKUP(REY671,'[3]Raw material  (3)'!REW653:RFO3729,3,0),"")</f>
        <v/>
      </c>
      <c r="REY671" t="str">
        <f>IFERROR(VLOOKUP(REZ671,'[3]Raw material  (3)'!REX653:RFP3729,3,0),"")</f>
        <v/>
      </c>
      <c r="REZ671" t="str">
        <f>IFERROR(VLOOKUP(RFA671,'[3]Raw material  (3)'!REY653:RFQ3729,3,0),"")</f>
        <v/>
      </c>
      <c r="RFA671" t="str">
        <f>IFERROR(VLOOKUP(RFB671,'[3]Raw material  (3)'!REZ653:RFR3729,3,0),"")</f>
        <v/>
      </c>
      <c r="RFB671" t="str">
        <f>IFERROR(VLOOKUP(RFC671,'[3]Raw material  (3)'!RFA653:RFS3729,3,0),"")</f>
        <v/>
      </c>
      <c r="RFC671" t="str">
        <f>IFERROR(VLOOKUP(RFD671,'[3]Raw material  (3)'!RFB653:RFT3729,3,0),"")</f>
        <v/>
      </c>
      <c r="RFD671" t="str">
        <f>IFERROR(VLOOKUP(RFE671,'[3]Raw material  (3)'!RFC653:RFU3729,3,0),"")</f>
        <v/>
      </c>
      <c r="RFE671" t="str">
        <f>IFERROR(VLOOKUP(RFF671,'[3]Raw material  (3)'!RFD653:RFV3729,3,0),"")</f>
        <v/>
      </c>
      <c r="RFF671" t="str">
        <f>IFERROR(VLOOKUP(RFG671,'[3]Raw material  (3)'!RFE653:RFW3729,3,0),"")</f>
        <v/>
      </c>
      <c r="RFG671" t="str">
        <f>IFERROR(VLOOKUP(RFH671,'[3]Raw material  (3)'!RFF653:RFX3729,3,0),"")</f>
        <v/>
      </c>
      <c r="RFH671" t="str">
        <f>IFERROR(VLOOKUP(RFI671,'[3]Raw material  (3)'!RFG653:RFY3729,3,0),"")</f>
        <v/>
      </c>
      <c r="RFI671" t="str">
        <f>IFERROR(VLOOKUP(RFJ671,'[3]Raw material  (3)'!RFH653:RFZ3729,3,0),"")</f>
        <v/>
      </c>
      <c r="RFJ671" t="str">
        <f>IFERROR(VLOOKUP(RFK671,'[3]Raw material  (3)'!RFI653:RGA3729,3,0),"")</f>
        <v/>
      </c>
      <c r="RFK671" t="str">
        <f>IFERROR(VLOOKUP(RFL671,'[3]Raw material  (3)'!RFJ653:RGB3729,3,0),"")</f>
        <v/>
      </c>
      <c r="RFL671" t="str">
        <f>IFERROR(VLOOKUP(RFM671,'[3]Raw material  (3)'!RFK653:RGC3729,3,0),"")</f>
        <v/>
      </c>
      <c r="RFM671" t="str">
        <f>IFERROR(VLOOKUP(RFN671,'[3]Raw material  (3)'!RFL653:RGD3729,3,0),"")</f>
        <v/>
      </c>
      <c r="RFN671" t="str">
        <f>IFERROR(VLOOKUP(RFO671,'[3]Raw material  (3)'!RFM653:RGE3729,3,0),"")</f>
        <v/>
      </c>
      <c r="RFO671" t="str">
        <f>IFERROR(VLOOKUP(RFP671,'[3]Raw material  (3)'!RFN653:RGF3729,3,0),"")</f>
        <v/>
      </c>
      <c r="RFP671" t="str">
        <f>IFERROR(VLOOKUP(RFQ671,'[3]Raw material  (3)'!RFO653:RGG3729,3,0),"")</f>
        <v/>
      </c>
      <c r="RFQ671" t="str">
        <f>IFERROR(VLOOKUP(RFR671,'[3]Raw material  (3)'!RFP653:RGH3729,3,0),"")</f>
        <v/>
      </c>
      <c r="RFR671" t="str">
        <f>IFERROR(VLOOKUP(RFS671,'[3]Raw material  (3)'!RFQ653:RGI3729,3,0),"")</f>
        <v/>
      </c>
      <c r="RFS671" t="str">
        <f>IFERROR(VLOOKUP(RFT671,'[3]Raw material  (3)'!RFR653:RGJ3729,3,0),"")</f>
        <v/>
      </c>
      <c r="RFT671" t="str">
        <f>IFERROR(VLOOKUP(RFU671,'[3]Raw material  (3)'!RFS653:RGK3729,3,0),"")</f>
        <v/>
      </c>
      <c r="RFU671" t="str">
        <f>IFERROR(VLOOKUP(RFV671,'[3]Raw material  (3)'!RFT653:RGL3729,3,0),"")</f>
        <v/>
      </c>
      <c r="RFV671" t="str">
        <f>IFERROR(VLOOKUP(RFW671,'[3]Raw material  (3)'!RFU653:RGM3729,3,0),"")</f>
        <v/>
      </c>
      <c r="RFW671" t="str">
        <f>IFERROR(VLOOKUP(RFX671,'[3]Raw material  (3)'!RFV653:RGN3729,3,0),"")</f>
        <v/>
      </c>
      <c r="RFX671" t="str">
        <f>IFERROR(VLOOKUP(RFY671,'[3]Raw material  (3)'!RFW653:RGO3729,3,0),"")</f>
        <v/>
      </c>
      <c r="RFY671" t="str">
        <f>IFERROR(VLOOKUP(RFZ671,'[3]Raw material  (3)'!RFX653:RGP3729,3,0),"")</f>
        <v/>
      </c>
      <c r="RFZ671" t="str">
        <f>IFERROR(VLOOKUP(RGA671,'[3]Raw material  (3)'!RFY653:RGQ3729,3,0),"")</f>
        <v/>
      </c>
      <c r="RGA671" t="str">
        <f>IFERROR(VLOOKUP(RGB671,'[3]Raw material  (3)'!RFZ653:RGR3729,3,0),"")</f>
        <v/>
      </c>
      <c r="RGB671" t="str">
        <f>IFERROR(VLOOKUP(RGC671,'[3]Raw material  (3)'!RGA653:RGS3729,3,0),"")</f>
        <v/>
      </c>
      <c r="RGC671" t="str">
        <f>IFERROR(VLOOKUP(RGD671,'[3]Raw material  (3)'!RGB653:RGT3729,3,0),"")</f>
        <v/>
      </c>
      <c r="RGD671" t="str">
        <f>IFERROR(VLOOKUP(RGE671,'[3]Raw material  (3)'!RGC653:RGU3729,3,0),"")</f>
        <v/>
      </c>
      <c r="RGE671" t="str">
        <f>IFERROR(VLOOKUP(RGF671,'[3]Raw material  (3)'!RGD653:RGV3729,3,0),"")</f>
        <v/>
      </c>
      <c r="RGF671" t="str">
        <f>IFERROR(VLOOKUP(RGG671,'[3]Raw material  (3)'!RGE653:RGW3729,3,0),"")</f>
        <v/>
      </c>
      <c r="RGG671" t="str">
        <f>IFERROR(VLOOKUP(RGH671,'[3]Raw material  (3)'!RGF653:RGX3729,3,0),"")</f>
        <v/>
      </c>
      <c r="RGH671" t="str">
        <f>IFERROR(VLOOKUP(RGI671,'[3]Raw material  (3)'!RGG653:RGY3729,3,0),"")</f>
        <v/>
      </c>
      <c r="RGI671" t="str">
        <f>IFERROR(VLOOKUP(RGJ671,'[3]Raw material  (3)'!RGH653:RGZ3729,3,0),"")</f>
        <v/>
      </c>
      <c r="RGJ671" t="str">
        <f>IFERROR(VLOOKUP(RGK671,'[3]Raw material  (3)'!RGI653:RHA3729,3,0),"")</f>
        <v/>
      </c>
      <c r="RGK671" t="str">
        <f>IFERROR(VLOOKUP(RGL671,'[3]Raw material  (3)'!RGJ653:RHB3729,3,0),"")</f>
        <v/>
      </c>
      <c r="RGL671" t="str">
        <f>IFERROR(VLOOKUP(RGM671,'[3]Raw material  (3)'!RGK653:RHC3729,3,0),"")</f>
        <v/>
      </c>
      <c r="RGM671" t="str">
        <f>IFERROR(VLOOKUP(RGN671,'[3]Raw material  (3)'!RGL653:RHD3729,3,0),"")</f>
        <v/>
      </c>
      <c r="RGN671" t="str">
        <f>IFERROR(VLOOKUP(RGO671,'[3]Raw material  (3)'!RGM653:RHE3729,3,0),"")</f>
        <v/>
      </c>
      <c r="RGO671" t="str">
        <f>IFERROR(VLOOKUP(RGP671,'[3]Raw material  (3)'!RGN653:RHF3729,3,0),"")</f>
        <v/>
      </c>
      <c r="RGP671" t="str">
        <f>IFERROR(VLOOKUP(RGQ671,'[3]Raw material  (3)'!RGO653:RHG3729,3,0),"")</f>
        <v/>
      </c>
      <c r="RGQ671" t="str">
        <f>IFERROR(VLOOKUP(RGR671,'[3]Raw material  (3)'!RGP653:RHH3729,3,0),"")</f>
        <v/>
      </c>
      <c r="RGR671" t="str">
        <f>IFERROR(VLOOKUP(RGS671,'[3]Raw material  (3)'!RGQ653:RHI3729,3,0),"")</f>
        <v/>
      </c>
      <c r="RGS671" t="str">
        <f>IFERROR(VLOOKUP(RGT671,'[3]Raw material  (3)'!RGR653:RHJ3729,3,0),"")</f>
        <v/>
      </c>
      <c r="RGT671" t="str">
        <f>IFERROR(VLOOKUP(RGU671,'[3]Raw material  (3)'!RGS653:RHK3729,3,0),"")</f>
        <v/>
      </c>
      <c r="RGU671" t="str">
        <f>IFERROR(VLOOKUP(RGV671,'[3]Raw material  (3)'!RGT653:RHL3729,3,0),"")</f>
        <v/>
      </c>
      <c r="RGV671" t="str">
        <f>IFERROR(VLOOKUP(RGW671,'[3]Raw material  (3)'!RGU653:RHM3729,3,0),"")</f>
        <v/>
      </c>
      <c r="RGW671" t="str">
        <f>IFERROR(VLOOKUP(RGX671,'[3]Raw material  (3)'!RGV653:RHN3729,3,0),"")</f>
        <v/>
      </c>
      <c r="RGX671" t="str">
        <f>IFERROR(VLOOKUP(RGY671,'[3]Raw material  (3)'!RGW653:RHO3729,3,0),"")</f>
        <v/>
      </c>
      <c r="RGY671" t="str">
        <f>IFERROR(VLOOKUP(RGZ671,'[3]Raw material  (3)'!RGX653:RHP3729,3,0),"")</f>
        <v/>
      </c>
      <c r="RGZ671" t="str">
        <f>IFERROR(VLOOKUP(RHA671,'[3]Raw material  (3)'!RGY653:RHQ3729,3,0),"")</f>
        <v/>
      </c>
      <c r="RHA671" t="str">
        <f>IFERROR(VLOOKUP(RHB671,'[3]Raw material  (3)'!RGZ653:RHR3729,3,0),"")</f>
        <v/>
      </c>
      <c r="RHB671" t="str">
        <f>IFERROR(VLOOKUP(RHC671,'[3]Raw material  (3)'!RHA653:RHS3729,3,0),"")</f>
        <v/>
      </c>
      <c r="RHC671" t="str">
        <f>IFERROR(VLOOKUP(RHD671,'[3]Raw material  (3)'!RHB653:RHT3729,3,0),"")</f>
        <v/>
      </c>
      <c r="RHD671" t="str">
        <f>IFERROR(VLOOKUP(RHE671,'[3]Raw material  (3)'!RHC653:RHU3729,3,0),"")</f>
        <v/>
      </c>
      <c r="RHE671" t="str">
        <f>IFERROR(VLOOKUP(RHF671,'[3]Raw material  (3)'!RHD653:RHV3729,3,0),"")</f>
        <v/>
      </c>
      <c r="RHF671" t="str">
        <f>IFERROR(VLOOKUP(RHG671,'[3]Raw material  (3)'!RHE653:RHW3729,3,0),"")</f>
        <v/>
      </c>
      <c r="RHG671" t="str">
        <f>IFERROR(VLOOKUP(RHH671,'[3]Raw material  (3)'!RHF653:RHX3729,3,0),"")</f>
        <v/>
      </c>
      <c r="RHH671" t="str">
        <f>IFERROR(VLOOKUP(RHI671,'[3]Raw material  (3)'!RHG653:RHY3729,3,0),"")</f>
        <v/>
      </c>
      <c r="RHI671" t="str">
        <f>IFERROR(VLOOKUP(RHJ671,'[3]Raw material  (3)'!RHH653:RHZ3729,3,0),"")</f>
        <v/>
      </c>
      <c r="RHJ671" t="str">
        <f>IFERROR(VLOOKUP(RHK671,'[3]Raw material  (3)'!RHI653:RIA3729,3,0),"")</f>
        <v/>
      </c>
      <c r="RHK671" t="str">
        <f>IFERROR(VLOOKUP(RHL671,'[3]Raw material  (3)'!RHJ653:RIB3729,3,0),"")</f>
        <v/>
      </c>
      <c r="RHL671" t="str">
        <f>IFERROR(VLOOKUP(RHM671,'[3]Raw material  (3)'!RHK653:RIC3729,3,0),"")</f>
        <v/>
      </c>
      <c r="RHM671" t="str">
        <f>IFERROR(VLOOKUP(RHN671,'[3]Raw material  (3)'!RHL653:RID3729,3,0),"")</f>
        <v/>
      </c>
      <c r="RHN671" t="str">
        <f>IFERROR(VLOOKUP(RHO671,'[3]Raw material  (3)'!RHM653:RIE3729,3,0),"")</f>
        <v/>
      </c>
      <c r="RHO671" t="str">
        <f>IFERROR(VLOOKUP(RHP671,'[3]Raw material  (3)'!RHN653:RIF3729,3,0),"")</f>
        <v/>
      </c>
      <c r="RHP671" t="str">
        <f>IFERROR(VLOOKUP(RHQ671,'[3]Raw material  (3)'!RHO653:RIG3729,3,0),"")</f>
        <v/>
      </c>
      <c r="RHQ671" t="str">
        <f>IFERROR(VLOOKUP(RHR671,'[3]Raw material  (3)'!RHP653:RIH3729,3,0),"")</f>
        <v/>
      </c>
      <c r="RHR671" t="str">
        <f>IFERROR(VLOOKUP(RHS671,'[3]Raw material  (3)'!RHQ653:RII3729,3,0),"")</f>
        <v/>
      </c>
      <c r="RHS671" t="str">
        <f>IFERROR(VLOOKUP(RHT671,'[3]Raw material  (3)'!RHR653:RIJ3729,3,0),"")</f>
        <v/>
      </c>
      <c r="RHT671" t="str">
        <f>IFERROR(VLOOKUP(RHU671,'[3]Raw material  (3)'!RHS653:RIK3729,3,0),"")</f>
        <v/>
      </c>
      <c r="RHU671" t="str">
        <f>IFERROR(VLOOKUP(RHV671,'[3]Raw material  (3)'!RHT653:RIL3729,3,0),"")</f>
        <v/>
      </c>
      <c r="RHV671" t="str">
        <f>IFERROR(VLOOKUP(RHW671,'[3]Raw material  (3)'!RHU653:RIM3729,3,0),"")</f>
        <v/>
      </c>
      <c r="RHW671" t="str">
        <f>IFERROR(VLOOKUP(RHX671,'[3]Raw material  (3)'!RHV653:RIN3729,3,0),"")</f>
        <v/>
      </c>
      <c r="RHX671" t="str">
        <f>IFERROR(VLOOKUP(RHY671,'[3]Raw material  (3)'!RHW653:RIO3729,3,0),"")</f>
        <v/>
      </c>
      <c r="RHY671" t="str">
        <f>IFERROR(VLOOKUP(RHZ671,'[3]Raw material  (3)'!RHX653:RIP3729,3,0),"")</f>
        <v/>
      </c>
      <c r="RHZ671" t="str">
        <f>IFERROR(VLOOKUP(RIA671,'[3]Raw material  (3)'!RHY653:RIQ3729,3,0),"")</f>
        <v/>
      </c>
      <c r="RIA671" t="str">
        <f>IFERROR(VLOOKUP(RIB671,'[3]Raw material  (3)'!RHZ653:RIR3729,3,0),"")</f>
        <v/>
      </c>
      <c r="RIB671" t="str">
        <f>IFERROR(VLOOKUP(RIC671,'[3]Raw material  (3)'!RIA653:RIS3729,3,0),"")</f>
        <v/>
      </c>
      <c r="RIC671" t="str">
        <f>IFERROR(VLOOKUP(RID671,'[3]Raw material  (3)'!RIB653:RIT3729,3,0),"")</f>
        <v/>
      </c>
      <c r="RID671" t="str">
        <f>IFERROR(VLOOKUP(RIE671,'[3]Raw material  (3)'!RIC653:RIU3729,3,0),"")</f>
        <v/>
      </c>
      <c r="RIE671" t="str">
        <f>IFERROR(VLOOKUP(RIF671,'[3]Raw material  (3)'!RID653:RIV3729,3,0),"")</f>
        <v/>
      </c>
      <c r="RIF671" t="str">
        <f>IFERROR(VLOOKUP(RIG671,'[3]Raw material  (3)'!RIE653:RIW3729,3,0),"")</f>
        <v/>
      </c>
      <c r="RIG671" t="str">
        <f>IFERROR(VLOOKUP(RIH671,'[3]Raw material  (3)'!RIF653:RIX3729,3,0),"")</f>
        <v/>
      </c>
      <c r="RIH671" t="str">
        <f>IFERROR(VLOOKUP(RII671,'[3]Raw material  (3)'!RIG653:RIY3729,3,0),"")</f>
        <v/>
      </c>
      <c r="RII671" t="str">
        <f>IFERROR(VLOOKUP(RIJ671,'[3]Raw material  (3)'!RIH653:RIZ3729,3,0),"")</f>
        <v/>
      </c>
      <c r="RIJ671" t="str">
        <f>IFERROR(VLOOKUP(RIK671,'[3]Raw material  (3)'!RII653:RJA3729,3,0),"")</f>
        <v/>
      </c>
      <c r="RIK671" t="str">
        <f>IFERROR(VLOOKUP(RIL671,'[3]Raw material  (3)'!RIJ653:RJB3729,3,0),"")</f>
        <v/>
      </c>
      <c r="RIL671" t="str">
        <f>IFERROR(VLOOKUP(RIM671,'[3]Raw material  (3)'!RIK653:RJC3729,3,0),"")</f>
        <v/>
      </c>
      <c r="RIM671" t="str">
        <f>IFERROR(VLOOKUP(RIN671,'[3]Raw material  (3)'!RIL653:RJD3729,3,0),"")</f>
        <v/>
      </c>
      <c r="RIN671" t="str">
        <f>IFERROR(VLOOKUP(RIO671,'[3]Raw material  (3)'!RIM653:RJE3729,3,0),"")</f>
        <v/>
      </c>
      <c r="RIO671" t="str">
        <f>IFERROR(VLOOKUP(RIP671,'[3]Raw material  (3)'!RIN653:RJF3729,3,0),"")</f>
        <v/>
      </c>
      <c r="RIP671" t="str">
        <f>IFERROR(VLOOKUP(RIQ671,'[3]Raw material  (3)'!RIO653:RJG3729,3,0),"")</f>
        <v/>
      </c>
      <c r="RIQ671" t="str">
        <f>IFERROR(VLOOKUP(RIR671,'[3]Raw material  (3)'!RIP653:RJH3729,3,0),"")</f>
        <v/>
      </c>
      <c r="RIR671" t="str">
        <f>IFERROR(VLOOKUP(RIS671,'[3]Raw material  (3)'!RIQ653:RJI3729,3,0),"")</f>
        <v/>
      </c>
      <c r="RIS671" t="str">
        <f>IFERROR(VLOOKUP(RIT671,'[3]Raw material  (3)'!RIR653:RJJ3729,3,0),"")</f>
        <v/>
      </c>
      <c r="RIT671" t="str">
        <f>IFERROR(VLOOKUP(RIU671,'[3]Raw material  (3)'!RIS653:RJK3729,3,0),"")</f>
        <v/>
      </c>
      <c r="RIU671" t="str">
        <f>IFERROR(VLOOKUP(RIV671,'[3]Raw material  (3)'!RIT653:RJL3729,3,0),"")</f>
        <v/>
      </c>
      <c r="RIV671" t="str">
        <f>IFERROR(VLOOKUP(RIW671,'[3]Raw material  (3)'!RIU653:RJM3729,3,0),"")</f>
        <v/>
      </c>
      <c r="RIW671" t="str">
        <f>IFERROR(VLOOKUP(RIX671,'[3]Raw material  (3)'!RIV653:RJN3729,3,0),"")</f>
        <v/>
      </c>
      <c r="RIX671" t="str">
        <f>IFERROR(VLOOKUP(RIY671,'[3]Raw material  (3)'!RIW653:RJO3729,3,0),"")</f>
        <v/>
      </c>
      <c r="RIY671" t="str">
        <f>IFERROR(VLOOKUP(RIZ671,'[3]Raw material  (3)'!RIX653:RJP3729,3,0),"")</f>
        <v/>
      </c>
      <c r="RIZ671" t="str">
        <f>IFERROR(VLOOKUP(RJA671,'[3]Raw material  (3)'!RIY653:RJQ3729,3,0),"")</f>
        <v/>
      </c>
      <c r="RJA671" t="str">
        <f>IFERROR(VLOOKUP(RJB671,'[3]Raw material  (3)'!RIZ653:RJR3729,3,0),"")</f>
        <v/>
      </c>
      <c r="RJB671" t="str">
        <f>IFERROR(VLOOKUP(RJC671,'[3]Raw material  (3)'!RJA653:RJS3729,3,0),"")</f>
        <v/>
      </c>
      <c r="RJC671" t="str">
        <f>IFERROR(VLOOKUP(RJD671,'[3]Raw material  (3)'!RJB653:RJT3729,3,0),"")</f>
        <v/>
      </c>
      <c r="RJD671" t="str">
        <f>IFERROR(VLOOKUP(RJE671,'[3]Raw material  (3)'!RJC653:RJU3729,3,0),"")</f>
        <v/>
      </c>
      <c r="RJE671" t="str">
        <f>IFERROR(VLOOKUP(RJF671,'[3]Raw material  (3)'!RJD653:RJV3729,3,0),"")</f>
        <v/>
      </c>
      <c r="RJF671" t="str">
        <f>IFERROR(VLOOKUP(RJG671,'[3]Raw material  (3)'!RJE653:RJW3729,3,0),"")</f>
        <v/>
      </c>
      <c r="RJG671" t="str">
        <f>IFERROR(VLOOKUP(RJH671,'[3]Raw material  (3)'!RJF653:RJX3729,3,0),"")</f>
        <v/>
      </c>
      <c r="RJH671" t="str">
        <f>IFERROR(VLOOKUP(RJI671,'[3]Raw material  (3)'!RJG653:RJY3729,3,0),"")</f>
        <v/>
      </c>
      <c r="RJI671" t="str">
        <f>IFERROR(VLOOKUP(RJJ671,'[3]Raw material  (3)'!RJH653:RJZ3729,3,0),"")</f>
        <v/>
      </c>
      <c r="RJJ671" t="str">
        <f>IFERROR(VLOOKUP(RJK671,'[3]Raw material  (3)'!RJI653:RKA3729,3,0),"")</f>
        <v/>
      </c>
      <c r="RJK671" t="str">
        <f>IFERROR(VLOOKUP(RJL671,'[3]Raw material  (3)'!RJJ653:RKB3729,3,0),"")</f>
        <v/>
      </c>
      <c r="RJL671" t="str">
        <f>IFERROR(VLOOKUP(RJM671,'[3]Raw material  (3)'!RJK653:RKC3729,3,0),"")</f>
        <v/>
      </c>
      <c r="RJM671" t="str">
        <f>IFERROR(VLOOKUP(RJN671,'[3]Raw material  (3)'!RJL653:RKD3729,3,0),"")</f>
        <v/>
      </c>
      <c r="RJN671" t="str">
        <f>IFERROR(VLOOKUP(RJO671,'[3]Raw material  (3)'!RJM653:RKE3729,3,0),"")</f>
        <v/>
      </c>
      <c r="RJO671" t="str">
        <f>IFERROR(VLOOKUP(RJP671,'[3]Raw material  (3)'!RJN653:RKF3729,3,0),"")</f>
        <v/>
      </c>
      <c r="RJP671" t="str">
        <f>IFERROR(VLOOKUP(RJQ671,'[3]Raw material  (3)'!RJO653:RKG3729,3,0),"")</f>
        <v/>
      </c>
      <c r="RJQ671" t="str">
        <f>IFERROR(VLOOKUP(RJR671,'[3]Raw material  (3)'!RJP653:RKH3729,3,0),"")</f>
        <v/>
      </c>
      <c r="RJR671" t="str">
        <f>IFERROR(VLOOKUP(RJS671,'[3]Raw material  (3)'!RJQ653:RKI3729,3,0),"")</f>
        <v/>
      </c>
      <c r="RJS671" t="str">
        <f>IFERROR(VLOOKUP(RJT671,'[3]Raw material  (3)'!RJR653:RKJ3729,3,0),"")</f>
        <v/>
      </c>
      <c r="RJT671" t="str">
        <f>IFERROR(VLOOKUP(RJU671,'[3]Raw material  (3)'!RJS653:RKK3729,3,0),"")</f>
        <v/>
      </c>
      <c r="RJU671" t="str">
        <f>IFERROR(VLOOKUP(RJV671,'[3]Raw material  (3)'!RJT653:RKL3729,3,0),"")</f>
        <v/>
      </c>
      <c r="RJV671" t="str">
        <f>IFERROR(VLOOKUP(RJW671,'[3]Raw material  (3)'!RJU653:RKM3729,3,0),"")</f>
        <v/>
      </c>
      <c r="RJW671" t="str">
        <f>IFERROR(VLOOKUP(RJX671,'[3]Raw material  (3)'!RJV653:RKN3729,3,0),"")</f>
        <v/>
      </c>
      <c r="RJX671" t="str">
        <f>IFERROR(VLOOKUP(RJY671,'[3]Raw material  (3)'!RJW653:RKO3729,3,0),"")</f>
        <v/>
      </c>
      <c r="RJY671" t="str">
        <f>IFERROR(VLOOKUP(RJZ671,'[3]Raw material  (3)'!RJX653:RKP3729,3,0),"")</f>
        <v/>
      </c>
      <c r="RJZ671" t="str">
        <f>IFERROR(VLOOKUP(RKA671,'[3]Raw material  (3)'!RJY653:RKQ3729,3,0),"")</f>
        <v/>
      </c>
      <c r="RKA671" t="str">
        <f>IFERROR(VLOOKUP(RKB671,'[3]Raw material  (3)'!RJZ653:RKR3729,3,0),"")</f>
        <v/>
      </c>
      <c r="RKB671" t="str">
        <f>IFERROR(VLOOKUP(RKC671,'[3]Raw material  (3)'!RKA653:RKS3729,3,0),"")</f>
        <v/>
      </c>
      <c r="RKC671" t="str">
        <f>IFERROR(VLOOKUP(RKD671,'[3]Raw material  (3)'!RKB653:RKT3729,3,0),"")</f>
        <v/>
      </c>
      <c r="RKD671" t="str">
        <f>IFERROR(VLOOKUP(RKE671,'[3]Raw material  (3)'!RKC653:RKU3729,3,0),"")</f>
        <v/>
      </c>
      <c r="RKE671" t="str">
        <f>IFERROR(VLOOKUP(RKF671,'[3]Raw material  (3)'!RKD653:RKV3729,3,0),"")</f>
        <v/>
      </c>
      <c r="RKF671" t="str">
        <f>IFERROR(VLOOKUP(RKG671,'[3]Raw material  (3)'!RKE653:RKW3729,3,0),"")</f>
        <v/>
      </c>
      <c r="RKG671" t="str">
        <f>IFERROR(VLOOKUP(RKH671,'[3]Raw material  (3)'!RKF653:RKX3729,3,0),"")</f>
        <v/>
      </c>
      <c r="RKH671" t="str">
        <f>IFERROR(VLOOKUP(RKI671,'[3]Raw material  (3)'!RKG653:RKY3729,3,0),"")</f>
        <v/>
      </c>
      <c r="RKI671" t="str">
        <f>IFERROR(VLOOKUP(RKJ671,'[3]Raw material  (3)'!RKH653:RKZ3729,3,0),"")</f>
        <v/>
      </c>
      <c r="RKJ671" t="str">
        <f>IFERROR(VLOOKUP(RKK671,'[3]Raw material  (3)'!RKI653:RLA3729,3,0),"")</f>
        <v/>
      </c>
      <c r="RKK671" t="str">
        <f>IFERROR(VLOOKUP(RKL671,'[3]Raw material  (3)'!RKJ653:RLB3729,3,0),"")</f>
        <v/>
      </c>
      <c r="RKL671" t="str">
        <f>IFERROR(VLOOKUP(RKM671,'[3]Raw material  (3)'!RKK653:RLC3729,3,0),"")</f>
        <v/>
      </c>
      <c r="RKM671" t="str">
        <f>IFERROR(VLOOKUP(RKN671,'[3]Raw material  (3)'!RKL653:RLD3729,3,0),"")</f>
        <v/>
      </c>
      <c r="RKN671" t="str">
        <f>IFERROR(VLOOKUP(RKO671,'[3]Raw material  (3)'!RKM653:RLE3729,3,0),"")</f>
        <v/>
      </c>
      <c r="RKO671" t="str">
        <f>IFERROR(VLOOKUP(RKP671,'[3]Raw material  (3)'!RKN653:RLF3729,3,0),"")</f>
        <v/>
      </c>
      <c r="RKP671" t="str">
        <f>IFERROR(VLOOKUP(RKQ671,'[3]Raw material  (3)'!RKO653:RLG3729,3,0),"")</f>
        <v/>
      </c>
      <c r="RKQ671" t="str">
        <f>IFERROR(VLOOKUP(RKR671,'[3]Raw material  (3)'!RKP653:RLH3729,3,0),"")</f>
        <v/>
      </c>
      <c r="RKR671" t="str">
        <f>IFERROR(VLOOKUP(RKS671,'[3]Raw material  (3)'!RKQ653:RLI3729,3,0),"")</f>
        <v/>
      </c>
      <c r="RKS671" t="str">
        <f>IFERROR(VLOOKUP(RKT671,'[3]Raw material  (3)'!RKR653:RLJ3729,3,0),"")</f>
        <v/>
      </c>
      <c r="RKT671" t="str">
        <f>IFERROR(VLOOKUP(RKU671,'[3]Raw material  (3)'!RKS653:RLK3729,3,0),"")</f>
        <v/>
      </c>
      <c r="RKU671" t="str">
        <f>IFERROR(VLOOKUP(RKV671,'[3]Raw material  (3)'!RKT653:RLL3729,3,0),"")</f>
        <v/>
      </c>
      <c r="RKV671" t="str">
        <f>IFERROR(VLOOKUP(RKW671,'[3]Raw material  (3)'!RKU653:RLM3729,3,0),"")</f>
        <v/>
      </c>
      <c r="RKW671" t="str">
        <f>IFERROR(VLOOKUP(RKX671,'[3]Raw material  (3)'!RKV653:RLN3729,3,0),"")</f>
        <v/>
      </c>
      <c r="RKX671" t="str">
        <f>IFERROR(VLOOKUP(RKY671,'[3]Raw material  (3)'!RKW653:RLO3729,3,0),"")</f>
        <v/>
      </c>
      <c r="RKY671" t="str">
        <f>IFERROR(VLOOKUP(RKZ671,'[3]Raw material  (3)'!RKX653:RLP3729,3,0),"")</f>
        <v/>
      </c>
      <c r="RKZ671" t="str">
        <f>IFERROR(VLOOKUP(RLA671,'[3]Raw material  (3)'!RKY653:RLQ3729,3,0),"")</f>
        <v/>
      </c>
      <c r="RLA671" t="str">
        <f>IFERROR(VLOOKUP(RLB671,'[3]Raw material  (3)'!RKZ653:RLR3729,3,0),"")</f>
        <v/>
      </c>
      <c r="RLB671" t="str">
        <f>IFERROR(VLOOKUP(RLC671,'[3]Raw material  (3)'!RLA653:RLS3729,3,0),"")</f>
        <v/>
      </c>
      <c r="RLC671" t="str">
        <f>IFERROR(VLOOKUP(RLD671,'[3]Raw material  (3)'!RLB653:RLT3729,3,0),"")</f>
        <v/>
      </c>
      <c r="RLD671" t="str">
        <f>IFERROR(VLOOKUP(RLE671,'[3]Raw material  (3)'!RLC653:RLU3729,3,0),"")</f>
        <v/>
      </c>
      <c r="RLE671" t="str">
        <f>IFERROR(VLOOKUP(RLF671,'[3]Raw material  (3)'!RLD653:RLV3729,3,0),"")</f>
        <v/>
      </c>
      <c r="RLF671" t="str">
        <f>IFERROR(VLOOKUP(RLG671,'[3]Raw material  (3)'!RLE653:RLW3729,3,0),"")</f>
        <v/>
      </c>
      <c r="RLG671" t="str">
        <f>IFERROR(VLOOKUP(RLH671,'[3]Raw material  (3)'!RLF653:RLX3729,3,0),"")</f>
        <v/>
      </c>
      <c r="RLH671" t="str">
        <f>IFERROR(VLOOKUP(RLI671,'[3]Raw material  (3)'!RLG653:RLY3729,3,0),"")</f>
        <v/>
      </c>
      <c r="RLI671" t="str">
        <f>IFERROR(VLOOKUP(RLJ671,'[3]Raw material  (3)'!RLH653:RLZ3729,3,0),"")</f>
        <v/>
      </c>
      <c r="RLJ671" t="str">
        <f>IFERROR(VLOOKUP(RLK671,'[3]Raw material  (3)'!RLI653:RMA3729,3,0),"")</f>
        <v/>
      </c>
      <c r="RLK671" t="str">
        <f>IFERROR(VLOOKUP(RLL671,'[3]Raw material  (3)'!RLJ653:RMB3729,3,0),"")</f>
        <v/>
      </c>
      <c r="RLL671" t="str">
        <f>IFERROR(VLOOKUP(RLM671,'[3]Raw material  (3)'!RLK653:RMC3729,3,0),"")</f>
        <v/>
      </c>
      <c r="RLM671" t="str">
        <f>IFERROR(VLOOKUP(RLN671,'[3]Raw material  (3)'!RLL653:RMD3729,3,0),"")</f>
        <v/>
      </c>
      <c r="RLN671" t="str">
        <f>IFERROR(VLOOKUP(RLO671,'[3]Raw material  (3)'!RLM653:RME3729,3,0),"")</f>
        <v/>
      </c>
      <c r="RLO671" t="str">
        <f>IFERROR(VLOOKUP(RLP671,'[3]Raw material  (3)'!RLN653:RMF3729,3,0),"")</f>
        <v/>
      </c>
      <c r="RLP671" t="str">
        <f>IFERROR(VLOOKUP(RLQ671,'[3]Raw material  (3)'!RLO653:RMG3729,3,0),"")</f>
        <v/>
      </c>
      <c r="RLQ671" t="str">
        <f>IFERROR(VLOOKUP(RLR671,'[3]Raw material  (3)'!RLP653:RMH3729,3,0),"")</f>
        <v/>
      </c>
      <c r="RLR671" t="str">
        <f>IFERROR(VLOOKUP(RLS671,'[3]Raw material  (3)'!RLQ653:RMI3729,3,0),"")</f>
        <v/>
      </c>
      <c r="RLS671" t="str">
        <f>IFERROR(VLOOKUP(RLT671,'[3]Raw material  (3)'!RLR653:RMJ3729,3,0),"")</f>
        <v/>
      </c>
      <c r="RLT671" t="str">
        <f>IFERROR(VLOOKUP(RLU671,'[3]Raw material  (3)'!RLS653:RMK3729,3,0),"")</f>
        <v/>
      </c>
      <c r="RLU671" t="str">
        <f>IFERROR(VLOOKUP(RLV671,'[3]Raw material  (3)'!RLT653:RML3729,3,0),"")</f>
        <v/>
      </c>
      <c r="RLV671" t="str">
        <f>IFERROR(VLOOKUP(RLW671,'[3]Raw material  (3)'!RLU653:RMM3729,3,0),"")</f>
        <v/>
      </c>
      <c r="RLW671" t="str">
        <f>IFERROR(VLOOKUP(RLX671,'[3]Raw material  (3)'!RLV653:RMN3729,3,0),"")</f>
        <v/>
      </c>
      <c r="RLX671" t="str">
        <f>IFERROR(VLOOKUP(RLY671,'[3]Raw material  (3)'!RLW653:RMO3729,3,0),"")</f>
        <v/>
      </c>
      <c r="RLY671" t="str">
        <f>IFERROR(VLOOKUP(RLZ671,'[3]Raw material  (3)'!RLX653:RMP3729,3,0),"")</f>
        <v/>
      </c>
      <c r="RLZ671" t="str">
        <f>IFERROR(VLOOKUP(RMA671,'[3]Raw material  (3)'!RLY653:RMQ3729,3,0),"")</f>
        <v/>
      </c>
      <c r="RMA671" t="str">
        <f>IFERROR(VLOOKUP(RMB671,'[3]Raw material  (3)'!RLZ653:RMR3729,3,0),"")</f>
        <v/>
      </c>
      <c r="RMB671" t="str">
        <f>IFERROR(VLOOKUP(RMC671,'[3]Raw material  (3)'!RMA653:RMS3729,3,0),"")</f>
        <v/>
      </c>
      <c r="RMC671" t="str">
        <f>IFERROR(VLOOKUP(RMD671,'[3]Raw material  (3)'!RMB653:RMT3729,3,0),"")</f>
        <v/>
      </c>
      <c r="RMD671" t="str">
        <f>IFERROR(VLOOKUP(RME671,'[3]Raw material  (3)'!RMC653:RMU3729,3,0),"")</f>
        <v/>
      </c>
      <c r="RME671" t="str">
        <f>IFERROR(VLOOKUP(RMF671,'[3]Raw material  (3)'!RMD653:RMV3729,3,0),"")</f>
        <v/>
      </c>
      <c r="RMF671" t="str">
        <f>IFERROR(VLOOKUP(RMG671,'[3]Raw material  (3)'!RME653:RMW3729,3,0),"")</f>
        <v/>
      </c>
      <c r="RMG671" t="str">
        <f>IFERROR(VLOOKUP(RMH671,'[3]Raw material  (3)'!RMF653:RMX3729,3,0),"")</f>
        <v/>
      </c>
      <c r="RMH671" t="str">
        <f>IFERROR(VLOOKUP(RMI671,'[3]Raw material  (3)'!RMG653:RMY3729,3,0),"")</f>
        <v/>
      </c>
      <c r="RMI671" t="str">
        <f>IFERROR(VLOOKUP(RMJ671,'[3]Raw material  (3)'!RMH653:RMZ3729,3,0),"")</f>
        <v/>
      </c>
      <c r="RMJ671" t="str">
        <f>IFERROR(VLOOKUP(RMK671,'[3]Raw material  (3)'!RMI653:RNA3729,3,0),"")</f>
        <v/>
      </c>
      <c r="RMK671" t="str">
        <f>IFERROR(VLOOKUP(RML671,'[3]Raw material  (3)'!RMJ653:RNB3729,3,0),"")</f>
        <v/>
      </c>
      <c r="RML671" t="str">
        <f>IFERROR(VLOOKUP(RMM671,'[3]Raw material  (3)'!RMK653:RNC3729,3,0),"")</f>
        <v/>
      </c>
      <c r="RMM671" t="str">
        <f>IFERROR(VLOOKUP(RMN671,'[3]Raw material  (3)'!RML653:RND3729,3,0),"")</f>
        <v/>
      </c>
      <c r="RMN671" t="str">
        <f>IFERROR(VLOOKUP(RMO671,'[3]Raw material  (3)'!RMM653:RNE3729,3,0),"")</f>
        <v/>
      </c>
      <c r="RMO671" t="str">
        <f>IFERROR(VLOOKUP(RMP671,'[3]Raw material  (3)'!RMN653:RNF3729,3,0),"")</f>
        <v/>
      </c>
      <c r="RMP671" t="str">
        <f>IFERROR(VLOOKUP(RMQ671,'[3]Raw material  (3)'!RMO653:RNG3729,3,0),"")</f>
        <v/>
      </c>
      <c r="RMQ671" t="str">
        <f>IFERROR(VLOOKUP(RMR671,'[3]Raw material  (3)'!RMP653:RNH3729,3,0),"")</f>
        <v/>
      </c>
      <c r="RMR671" t="str">
        <f>IFERROR(VLOOKUP(RMS671,'[3]Raw material  (3)'!RMQ653:RNI3729,3,0),"")</f>
        <v/>
      </c>
      <c r="RMS671" t="str">
        <f>IFERROR(VLOOKUP(RMT671,'[3]Raw material  (3)'!RMR653:RNJ3729,3,0),"")</f>
        <v/>
      </c>
      <c r="RMT671" t="str">
        <f>IFERROR(VLOOKUP(RMU671,'[3]Raw material  (3)'!RMS653:RNK3729,3,0),"")</f>
        <v/>
      </c>
      <c r="RMU671" t="str">
        <f>IFERROR(VLOOKUP(RMV671,'[3]Raw material  (3)'!RMT653:RNL3729,3,0),"")</f>
        <v/>
      </c>
      <c r="RMV671" t="str">
        <f>IFERROR(VLOOKUP(RMW671,'[3]Raw material  (3)'!RMU653:RNM3729,3,0),"")</f>
        <v/>
      </c>
      <c r="RMW671" t="str">
        <f>IFERROR(VLOOKUP(RMX671,'[3]Raw material  (3)'!RMV653:RNN3729,3,0),"")</f>
        <v/>
      </c>
      <c r="RMX671" t="str">
        <f>IFERROR(VLOOKUP(RMY671,'[3]Raw material  (3)'!RMW653:RNO3729,3,0),"")</f>
        <v/>
      </c>
      <c r="RMY671" t="str">
        <f>IFERROR(VLOOKUP(RMZ671,'[3]Raw material  (3)'!RMX653:RNP3729,3,0),"")</f>
        <v/>
      </c>
      <c r="RMZ671" t="str">
        <f>IFERROR(VLOOKUP(RNA671,'[3]Raw material  (3)'!RMY653:RNQ3729,3,0),"")</f>
        <v/>
      </c>
      <c r="RNA671" t="str">
        <f>IFERROR(VLOOKUP(RNB671,'[3]Raw material  (3)'!RMZ653:RNR3729,3,0),"")</f>
        <v/>
      </c>
      <c r="RNB671" t="str">
        <f>IFERROR(VLOOKUP(RNC671,'[3]Raw material  (3)'!RNA653:RNS3729,3,0),"")</f>
        <v/>
      </c>
      <c r="RNC671" t="str">
        <f>IFERROR(VLOOKUP(RND671,'[3]Raw material  (3)'!RNB653:RNT3729,3,0),"")</f>
        <v/>
      </c>
      <c r="RND671" t="str">
        <f>IFERROR(VLOOKUP(RNE671,'[3]Raw material  (3)'!RNC653:RNU3729,3,0),"")</f>
        <v/>
      </c>
      <c r="RNE671" t="str">
        <f>IFERROR(VLOOKUP(RNF671,'[3]Raw material  (3)'!RND653:RNV3729,3,0),"")</f>
        <v/>
      </c>
      <c r="RNF671" t="str">
        <f>IFERROR(VLOOKUP(RNG671,'[3]Raw material  (3)'!RNE653:RNW3729,3,0),"")</f>
        <v/>
      </c>
      <c r="RNG671" t="str">
        <f>IFERROR(VLOOKUP(RNH671,'[3]Raw material  (3)'!RNF653:RNX3729,3,0),"")</f>
        <v/>
      </c>
      <c r="RNH671" t="str">
        <f>IFERROR(VLOOKUP(RNI671,'[3]Raw material  (3)'!RNG653:RNY3729,3,0),"")</f>
        <v/>
      </c>
      <c r="RNI671" t="str">
        <f>IFERROR(VLOOKUP(RNJ671,'[3]Raw material  (3)'!RNH653:RNZ3729,3,0),"")</f>
        <v/>
      </c>
      <c r="RNJ671" t="str">
        <f>IFERROR(VLOOKUP(RNK671,'[3]Raw material  (3)'!RNI653:ROA3729,3,0),"")</f>
        <v/>
      </c>
      <c r="RNK671" t="str">
        <f>IFERROR(VLOOKUP(RNL671,'[3]Raw material  (3)'!RNJ653:ROB3729,3,0),"")</f>
        <v/>
      </c>
      <c r="RNL671" t="str">
        <f>IFERROR(VLOOKUP(RNM671,'[3]Raw material  (3)'!RNK653:ROC3729,3,0),"")</f>
        <v/>
      </c>
      <c r="RNM671" t="str">
        <f>IFERROR(VLOOKUP(RNN671,'[3]Raw material  (3)'!RNL653:ROD3729,3,0),"")</f>
        <v/>
      </c>
      <c r="RNN671" t="str">
        <f>IFERROR(VLOOKUP(RNO671,'[3]Raw material  (3)'!RNM653:ROE3729,3,0),"")</f>
        <v/>
      </c>
      <c r="RNO671" t="str">
        <f>IFERROR(VLOOKUP(RNP671,'[3]Raw material  (3)'!RNN653:ROF3729,3,0),"")</f>
        <v/>
      </c>
      <c r="RNP671" t="str">
        <f>IFERROR(VLOOKUP(RNQ671,'[3]Raw material  (3)'!RNO653:ROG3729,3,0),"")</f>
        <v/>
      </c>
      <c r="RNQ671" t="str">
        <f>IFERROR(VLOOKUP(RNR671,'[3]Raw material  (3)'!RNP653:ROH3729,3,0),"")</f>
        <v/>
      </c>
      <c r="RNR671" t="str">
        <f>IFERROR(VLOOKUP(RNS671,'[3]Raw material  (3)'!RNQ653:ROI3729,3,0),"")</f>
        <v/>
      </c>
      <c r="RNS671" t="str">
        <f>IFERROR(VLOOKUP(RNT671,'[3]Raw material  (3)'!RNR653:ROJ3729,3,0),"")</f>
        <v/>
      </c>
      <c r="RNT671" t="str">
        <f>IFERROR(VLOOKUP(RNU671,'[3]Raw material  (3)'!RNS653:ROK3729,3,0),"")</f>
        <v/>
      </c>
      <c r="RNU671" t="str">
        <f>IFERROR(VLOOKUP(RNV671,'[3]Raw material  (3)'!RNT653:ROL3729,3,0),"")</f>
        <v/>
      </c>
      <c r="RNV671" t="str">
        <f>IFERROR(VLOOKUP(RNW671,'[3]Raw material  (3)'!RNU653:ROM3729,3,0),"")</f>
        <v/>
      </c>
      <c r="RNW671" t="str">
        <f>IFERROR(VLOOKUP(RNX671,'[3]Raw material  (3)'!RNV653:RON3729,3,0),"")</f>
        <v/>
      </c>
      <c r="RNX671" t="str">
        <f>IFERROR(VLOOKUP(RNY671,'[3]Raw material  (3)'!RNW653:ROO3729,3,0),"")</f>
        <v/>
      </c>
      <c r="RNY671" t="str">
        <f>IFERROR(VLOOKUP(RNZ671,'[3]Raw material  (3)'!RNX653:ROP3729,3,0),"")</f>
        <v/>
      </c>
      <c r="RNZ671" t="str">
        <f>IFERROR(VLOOKUP(ROA671,'[3]Raw material  (3)'!RNY653:ROQ3729,3,0),"")</f>
        <v/>
      </c>
      <c r="ROA671" t="str">
        <f>IFERROR(VLOOKUP(ROB671,'[3]Raw material  (3)'!RNZ653:ROR3729,3,0),"")</f>
        <v/>
      </c>
      <c r="ROB671" t="str">
        <f>IFERROR(VLOOKUP(ROC671,'[3]Raw material  (3)'!ROA653:ROS3729,3,0),"")</f>
        <v/>
      </c>
      <c r="ROC671" t="str">
        <f>IFERROR(VLOOKUP(ROD671,'[3]Raw material  (3)'!ROB653:ROT3729,3,0),"")</f>
        <v/>
      </c>
      <c r="ROD671" t="str">
        <f>IFERROR(VLOOKUP(ROE671,'[3]Raw material  (3)'!ROC653:ROU3729,3,0),"")</f>
        <v/>
      </c>
      <c r="ROE671" t="str">
        <f>IFERROR(VLOOKUP(ROF671,'[3]Raw material  (3)'!ROD653:ROV3729,3,0),"")</f>
        <v/>
      </c>
      <c r="ROF671" t="str">
        <f>IFERROR(VLOOKUP(ROG671,'[3]Raw material  (3)'!ROE653:ROW3729,3,0),"")</f>
        <v/>
      </c>
      <c r="ROG671" t="str">
        <f>IFERROR(VLOOKUP(ROH671,'[3]Raw material  (3)'!ROF653:ROX3729,3,0),"")</f>
        <v/>
      </c>
      <c r="ROH671" t="str">
        <f>IFERROR(VLOOKUP(ROI671,'[3]Raw material  (3)'!ROG653:ROY3729,3,0),"")</f>
        <v/>
      </c>
      <c r="ROI671" t="str">
        <f>IFERROR(VLOOKUP(ROJ671,'[3]Raw material  (3)'!ROH653:ROZ3729,3,0),"")</f>
        <v/>
      </c>
      <c r="ROJ671" t="str">
        <f>IFERROR(VLOOKUP(ROK671,'[3]Raw material  (3)'!ROI653:RPA3729,3,0),"")</f>
        <v/>
      </c>
      <c r="ROK671" t="str">
        <f>IFERROR(VLOOKUP(ROL671,'[3]Raw material  (3)'!ROJ653:RPB3729,3,0),"")</f>
        <v/>
      </c>
      <c r="ROL671" t="str">
        <f>IFERROR(VLOOKUP(ROM671,'[3]Raw material  (3)'!ROK653:RPC3729,3,0),"")</f>
        <v/>
      </c>
      <c r="ROM671" t="str">
        <f>IFERROR(VLOOKUP(RON671,'[3]Raw material  (3)'!ROL653:RPD3729,3,0),"")</f>
        <v/>
      </c>
      <c r="RON671" t="str">
        <f>IFERROR(VLOOKUP(ROO671,'[3]Raw material  (3)'!ROM653:RPE3729,3,0),"")</f>
        <v/>
      </c>
      <c r="ROO671" t="str">
        <f>IFERROR(VLOOKUP(ROP671,'[3]Raw material  (3)'!RON653:RPF3729,3,0),"")</f>
        <v/>
      </c>
      <c r="ROP671" t="str">
        <f>IFERROR(VLOOKUP(ROQ671,'[3]Raw material  (3)'!ROO653:RPG3729,3,0),"")</f>
        <v/>
      </c>
      <c r="ROQ671" t="str">
        <f>IFERROR(VLOOKUP(ROR671,'[3]Raw material  (3)'!ROP653:RPH3729,3,0),"")</f>
        <v/>
      </c>
      <c r="ROR671" t="str">
        <f>IFERROR(VLOOKUP(ROS671,'[3]Raw material  (3)'!ROQ653:RPI3729,3,0),"")</f>
        <v/>
      </c>
      <c r="ROS671" t="str">
        <f>IFERROR(VLOOKUP(ROT671,'[3]Raw material  (3)'!ROR653:RPJ3729,3,0),"")</f>
        <v/>
      </c>
      <c r="ROT671" t="str">
        <f>IFERROR(VLOOKUP(ROU671,'[3]Raw material  (3)'!ROS653:RPK3729,3,0),"")</f>
        <v/>
      </c>
      <c r="ROU671" t="str">
        <f>IFERROR(VLOOKUP(ROV671,'[3]Raw material  (3)'!ROT653:RPL3729,3,0),"")</f>
        <v/>
      </c>
      <c r="ROV671" t="str">
        <f>IFERROR(VLOOKUP(ROW671,'[3]Raw material  (3)'!ROU653:RPM3729,3,0),"")</f>
        <v/>
      </c>
      <c r="ROW671" t="str">
        <f>IFERROR(VLOOKUP(ROX671,'[3]Raw material  (3)'!ROV653:RPN3729,3,0),"")</f>
        <v/>
      </c>
      <c r="ROX671" t="str">
        <f>IFERROR(VLOOKUP(ROY671,'[3]Raw material  (3)'!ROW653:RPO3729,3,0),"")</f>
        <v/>
      </c>
      <c r="ROY671" t="str">
        <f>IFERROR(VLOOKUP(ROZ671,'[3]Raw material  (3)'!ROX653:RPP3729,3,0),"")</f>
        <v/>
      </c>
      <c r="ROZ671" t="str">
        <f>IFERROR(VLOOKUP(RPA671,'[3]Raw material  (3)'!ROY653:RPQ3729,3,0),"")</f>
        <v/>
      </c>
      <c r="RPA671" t="str">
        <f>IFERROR(VLOOKUP(RPB671,'[3]Raw material  (3)'!ROZ653:RPR3729,3,0),"")</f>
        <v/>
      </c>
      <c r="RPB671" t="str">
        <f>IFERROR(VLOOKUP(RPC671,'[3]Raw material  (3)'!RPA653:RPS3729,3,0),"")</f>
        <v/>
      </c>
      <c r="RPC671" t="str">
        <f>IFERROR(VLOOKUP(RPD671,'[3]Raw material  (3)'!RPB653:RPT3729,3,0),"")</f>
        <v/>
      </c>
      <c r="RPD671" t="str">
        <f>IFERROR(VLOOKUP(RPE671,'[3]Raw material  (3)'!RPC653:RPU3729,3,0),"")</f>
        <v/>
      </c>
      <c r="RPE671" t="str">
        <f>IFERROR(VLOOKUP(RPF671,'[3]Raw material  (3)'!RPD653:RPV3729,3,0),"")</f>
        <v/>
      </c>
      <c r="RPF671" t="str">
        <f>IFERROR(VLOOKUP(RPG671,'[3]Raw material  (3)'!RPE653:RPW3729,3,0),"")</f>
        <v/>
      </c>
      <c r="RPG671" t="str">
        <f>IFERROR(VLOOKUP(RPH671,'[3]Raw material  (3)'!RPF653:RPX3729,3,0),"")</f>
        <v/>
      </c>
      <c r="RPH671" t="str">
        <f>IFERROR(VLOOKUP(RPI671,'[3]Raw material  (3)'!RPG653:RPY3729,3,0),"")</f>
        <v/>
      </c>
      <c r="RPI671" t="str">
        <f>IFERROR(VLOOKUP(RPJ671,'[3]Raw material  (3)'!RPH653:RPZ3729,3,0),"")</f>
        <v/>
      </c>
      <c r="RPJ671" t="str">
        <f>IFERROR(VLOOKUP(RPK671,'[3]Raw material  (3)'!RPI653:RQA3729,3,0),"")</f>
        <v/>
      </c>
      <c r="RPK671" t="str">
        <f>IFERROR(VLOOKUP(RPL671,'[3]Raw material  (3)'!RPJ653:RQB3729,3,0),"")</f>
        <v/>
      </c>
      <c r="RPL671" t="str">
        <f>IFERROR(VLOOKUP(RPM671,'[3]Raw material  (3)'!RPK653:RQC3729,3,0),"")</f>
        <v/>
      </c>
      <c r="RPM671" t="str">
        <f>IFERROR(VLOOKUP(RPN671,'[3]Raw material  (3)'!RPL653:RQD3729,3,0),"")</f>
        <v/>
      </c>
      <c r="RPN671" t="str">
        <f>IFERROR(VLOOKUP(RPO671,'[3]Raw material  (3)'!RPM653:RQE3729,3,0),"")</f>
        <v/>
      </c>
      <c r="RPO671" t="str">
        <f>IFERROR(VLOOKUP(RPP671,'[3]Raw material  (3)'!RPN653:RQF3729,3,0),"")</f>
        <v/>
      </c>
      <c r="RPP671" t="str">
        <f>IFERROR(VLOOKUP(RPQ671,'[3]Raw material  (3)'!RPO653:RQG3729,3,0),"")</f>
        <v/>
      </c>
      <c r="RPQ671" t="str">
        <f>IFERROR(VLOOKUP(RPR671,'[3]Raw material  (3)'!RPP653:RQH3729,3,0),"")</f>
        <v/>
      </c>
      <c r="RPR671" t="str">
        <f>IFERROR(VLOOKUP(RPS671,'[3]Raw material  (3)'!RPQ653:RQI3729,3,0),"")</f>
        <v/>
      </c>
      <c r="RPS671" t="str">
        <f>IFERROR(VLOOKUP(RPT671,'[3]Raw material  (3)'!RPR653:RQJ3729,3,0),"")</f>
        <v/>
      </c>
      <c r="RPT671" t="str">
        <f>IFERROR(VLOOKUP(RPU671,'[3]Raw material  (3)'!RPS653:RQK3729,3,0),"")</f>
        <v/>
      </c>
      <c r="RPU671" t="str">
        <f>IFERROR(VLOOKUP(RPV671,'[3]Raw material  (3)'!RPT653:RQL3729,3,0),"")</f>
        <v/>
      </c>
      <c r="RPV671" t="str">
        <f>IFERROR(VLOOKUP(RPW671,'[3]Raw material  (3)'!RPU653:RQM3729,3,0),"")</f>
        <v/>
      </c>
      <c r="RPW671" t="str">
        <f>IFERROR(VLOOKUP(RPX671,'[3]Raw material  (3)'!RPV653:RQN3729,3,0),"")</f>
        <v/>
      </c>
      <c r="RPX671" t="str">
        <f>IFERROR(VLOOKUP(RPY671,'[3]Raw material  (3)'!RPW653:RQO3729,3,0),"")</f>
        <v/>
      </c>
      <c r="RPY671" t="str">
        <f>IFERROR(VLOOKUP(RPZ671,'[3]Raw material  (3)'!RPX653:RQP3729,3,0),"")</f>
        <v/>
      </c>
      <c r="RPZ671" t="str">
        <f>IFERROR(VLOOKUP(RQA671,'[3]Raw material  (3)'!RPY653:RQQ3729,3,0),"")</f>
        <v/>
      </c>
      <c r="RQA671" t="str">
        <f>IFERROR(VLOOKUP(RQB671,'[3]Raw material  (3)'!RPZ653:RQR3729,3,0),"")</f>
        <v/>
      </c>
      <c r="RQB671" t="str">
        <f>IFERROR(VLOOKUP(RQC671,'[3]Raw material  (3)'!RQA653:RQS3729,3,0),"")</f>
        <v/>
      </c>
      <c r="RQC671" t="str">
        <f>IFERROR(VLOOKUP(RQD671,'[3]Raw material  (3)'!RQB653:RQT3729,3,0),"")</f>
        <v/>
      </c>
      <c r="RQD671" t="str">
        <f>IFERROR(VLOOKUP(RQE671,'[3]Raw material  (3)'!RQC653:RQU3729,3,0),"")</f>
        <v/>
      </c>
      <c r="RQE671" t="str">
        <f>IFERROR(VLOOKUP(RQF671,'[3]Raw material  (3)'!RQD653:RQV3729,3,0),"")</f>
        <v/>
      </c>
      <c r="RQF671" t="str">
        <f>IFERROR(VLOOKUP(RQG671,'[3]Raw material  (3)'!RQE653:RQW3729,3,0),"")</f>
        <v/>
      </c>
      <c r="RQG671" t="str">
        <f>IFERROR(VLOOKUP(RQH671,'[3]Raw material  (3)'!RQF653:RQX3729,3,0),"")</f>
        <v/>
      </c>
      <c r="RQH671" t="str">
        <f>IFERROR(VLOOKUP(RQI671,'[3]Raw material  (3)'!RQG653:RQY3729,3,0),"")</f>
        <v/>
      </c>
      <c r="RQI671" t="str">
        <f>IFERROR(VLOOKUP(RQJ671,'[3]Raw material  (3)'!RQH653:RQZ3729,3,0),"")</f>
        <v/>
      </c>
      <c r="RQJ671" t="str">
        <f>IFERROR(VLOOKUP(RQK671,'[3]Raw material  (3)'!RQI653:RRA3729,3,0),"")</f>
        <v/>
      </c>
      <c r="RQK671" t="str">
        <f>IFERROR(VLOOKUP(RQL671,'[3]Raw material  (3)'!RQJ653:RRB3729,3,0),"")</f>
        <v/>
      </c>
      <c r="RQL671" t="str">
        <f>IFERROR(VLOOKUP(RQM671,'[3]Raw material  (3)'!RQK653:RRC3729,3,0),"")</f>
        <v/>
      </c>
      <c r="RQM671" t="str">
        <f>IFERROR(VLOOKUP(RQN671,'[3]Raw material  (3)'!RQL653:RRD3729,3,0),"")</f>
        <v/>
      </c>
      <c r="RQN671" t="str">
        <f>IFERROR(VLOOKUP(RQO671,'[3]Raw material  (3)'!RQM653:RRE3729,3,0),"")</f>
        <v/>
      </c>
      <c r="RQO671" t="str">
        <f>IFERROR(VLOOKUP(RQP671,'[3]Raw material  (3)'!RQN653:RRF3729,3,0),"")</f>
        <v/>
      </c>
      <c r="RQP671" t="str">
        <f>IFERROR(VLOOKUP(RQQ671,'[3]Raw material  (3)'!RQO653:RRG3729,3,0),"")</f>
        <v/>
      </c>
      <c r="RQQ671" t="str">
        <f>IFERROR(VLOOKUP(RQR671,'[3]Raw material  (3)'!RQP653:RRH3729,3,0),"")</f>
        <v/>
      </c>
      <c r="RQR671" t="str">
        <f>IFERROR(VLOOKUP(RQS671,'[3]Raw material  (3)'!RQQ653:RRI3729,3,0),"")</f>
        <v/>
      </c>
      <c r="RQS671" t="str">
        <f>IFERROR(VLOOKUP(RQT671,'[3]Raw material  (3)'!RQR653:RRJ3729,3,0),"")</f>
        <v/>
      </c>
      <c r="RQT671" t="str">
        <f>IFERROR(VLOOKUP(RQU671,'[3]Raw material  (3)'!RQS653:RRK3729,3,0),"")</f>
        <v/>
      </c>
      <c r="RQU671" t="str">
        <f>IFERROR(VLOOKUP(RQV671,'[3]Raw material  (3)'!RQT653:RRL3729,3,0),"")</f>
        <v/>
      </c>
      <c r="RQV671" t="str">
        <f>IFERROR(VLOOKUP(RQW671,'[3]Raw material  (3)'!RQU653:RRM3729,3,0),"")</f>
        <v/>
      </c>
      <c r="RQW671" t="str">
        <f>IFERROR(VLOOKUP(RQX671,'[3]Raw material  (3)'!RQV653:RRN3729,3,0),"")</f>
        <v/>
      </c>
      <c r="RQX671" t="str">
        <f>IFERROR(VLOOKUP(RQY671,'[3]Raw material  (3)'!RQW653:RRO3729,3,0),"")</f>
        <v/>
      </c>
      <c r="RQY671" t="str">
        <f>IFERROR(VLOOKUP(RQZ671,'[3]Raw material  (3)'!RQX653:RRP3729,3,0),"")</f>
        <v/>
      </c>
      <c r="RQZ671" t="str">
        <f>IFERROR(VLOOKUP(RRA671,'[3]Raw material  (3)'!RQY653:RRQ3729,3,0),"")</f>
        <v/>
      </c>
      <c r="RRA671" t="str">
        <f>IFERROR(VLOOKUP(RRB671,'[3]Raw material  (3)'!RQZ653:RRR3729,3,0),"")</f>
        <v/>
      </c>
      <c r="RRB671" t="str">
        <f>IFERROR(VLOOKUP(RRC671,'[3]Raw material  (3)'!RRA653:RRS3729,3,0),"")</f>
        <v/>
      </c>
      <c r="RRC671" t="str">
        <f>IFERROR(VLOOKUP(RRD671,'[3]Raw material  (3)'!RRB653:RRT3729,3,0),"")</f>
        <v/>
      </c>
      <c r="RRD671" t="str">
        <f>IFERROR(VLOOKUP(RRE671,'[3]Raw material  (3)'!RRC653:RRU3729,3,0),"")</f>
        <v/>
      </c>
      <c r="RRE671" t="str">
        <f>IFERROR(VLOOKUP(RRF671,'[3]Raw material  (3)'!RRD653:RRV3729,3,0),"")</f>
        <v/>
      </c>
      <c r="RRF671" t="str">
        <f>IFERROR(VLOOKUP(RRG671,'[3]Raw material  (3)'!RRE653:RRW3729,3,0),"")</f>
        <v/>
      </c>
      <c r="RRG671" t="str">
        <f>IFERROR(VLOOKUP(RRH671,'[3]Raw material  (3)'!RRF653:RRX3729,3,0),"")</f>
        <v/>
      </c>
      <c r="RRH671" t="str">
        <f>IFERROR(VLOOKUP(RRI671,'[3]Raw material  (3)'!RRG653:RRY3729,3,0),"")</f>
        <v/>
      </c>
      <c r="RRI671" t="str">
        <f>IFERROR(VLOOKUP(RRJ671,'[3]Raw material  (3)'!RRH653:RRZ3729,3,0),"")</f>
        <v/>
      </c>
      <c r="RRJ671" t="str">
        <f>IFERROR(VLOOKUP(RRK671,'[3]Raw material  (3)'!RRI653:RSA3729,3,0),"")</f>
        <v/>
      </c>
      <c r="RRK671" t="str">
        <f>IFERROR(VLOOKUP(RRL671,'[3]Raw material  (3)'!RRJ653:RSB3729,3,0),"")</f>
        <v/>
      </c>
      <c r="RRL671" t="str">
        <f>IFERROR(VLOOKUP(RRM671,'[3]Raw material  (3)'!RRK653:RSC3729,3,0),"")</f>
        <v/>
      </c>
      <c r="RRM671" t="str">
        <f>IFERROR(VLOOKUP(RRN671,'[3]Raw material  (3)'!RRL653:RSD3729,3,0),"")</f>
        <v/>
      </c>
      <c r="RRN671" t="str">
        <f>IFERROR(VLOOKUP(RRO671,'[3]Raw material  (3)'!RRM653:RSE3729,3,0),"")</f>
        <v/>
      </c>
      <c r="RRO671" t="str">
        <f>IFERROR(VLOOKUP(RRP671,'[3]Raw material  (3)'!RRN653:RSF3729,3,0),"")</f>
        <v/>
      </c>
      <c r="RRP671" t="str">
        <f>IFERROR(VLOOKUP(RRQ671,'[3]Raw material  (3)'!RRO653:RSG3729,3,0),"")</f>
        <v/>
      </c>
      <c r="RRQ671" t="str">
        <f>IFERROR(VLOOKUP(RRR671,'[3]Raw material  (3)'!RRP653:RSH3729,3,0),"")</f>
        <v/>
      </c>
      <c r="RRR671" t="str">
        <f>IFERROR(VLOOKUP(RRS671,'[3]Raw material  (3)'!RRQ653:RSI3729,3,0),"")</f>
        <v/>
      </c>
      <c r="RRS671" t="str">
        <f>IFERROR(VLOOKUP(RRT671,'[3]Raw material  (3)'!RRR653:RSJ3729,3,0),"")</f>
        <v/>
      </c>
      <c r="RRT671" t="str">
        <f>IFERROR(VLOOKUP(RRU671,'[3]Raw material  (3)'!RRS653:RSK3729,3,0),"")</f>
        <v/>
      </c>
      <c r="RRU671" t="str">
        <f>IFERROR(VLOOKUP(RRV671,'[3]Raw material  (3)'!RRT653:RSL3729,3,0),"")</f>
        <v/>
      </c>
      <c r="RRV671" t="str">
        <f>IFERROR(VLOOKUP(RRW671,'[3]Raw material  (3)'!RRU653:RSM3729,3,0),"")</f>
        <v/>
      </c>
      <c r="RRW671" t="str">
        <f>IFERROR(VLOOKUP(RRX671,'[3]Raw material  (3)'!RRV653:RSN3729,3,0),"")</f>
        <v/>
      </c>
      <c r="RRX671" t="str">
        <f>IFERROR(VLOOKUP(RRY671,'[3]Raw material  (3)'!RRW653:RSO3729,3,0),"")</f>
        <v/>
      </c>
      <c r="RRY671" t="str">
        <f>IFERROR(VLOOKUP(RRZ671,'[3]Raw material  (3)'!RRX653:RSP3729,3,0),"")</f>
        <v/>
      </c>
      <c r="RRZ671" t="str">
        <f>IFERROR(VLOOKUP(RSA671,'[3]Raw material  (3)'!RRY653:RSQ3729,3,0),"")</f>
        <v/>
      </c>
      <c r="RSA671" t="str">
        <f>IFERROR(VLOOKUP(RSB671,'[3]Raw material  (3)'!RRZ653:RSR3729,3,0),"")</f>
        <v/>
      </c>
      <c r="RSB671" t="str">
        <f>IFERROR(VLOOKUP(RSC671,'[3]Raw material  (3)'!RSA653:RSS3729,3,0),"")</f>
        <v/>
      </c>
      <c r="RSC671" t="str">
        <f>IFERROR(VLOOKUP(RSD671,'[3]Raw material  (3)'!RSB653:RST3729,3,0),"")</f>
        <v/>
      </c>
      <c r="RSD671" t="str">
        <f>IFERROR(VLOOKUP(RSE671,'[3]Raw material  (3)'!RSC653:RSU3729,3,0),"")</f>
        <v/>
      </c>
      <c r="RSE671" t="str">
        <f>IFERROR(VLOOKUP(RSF671,'[3]Raw material  (3)'!RSD653:RSV3729,3,0),"")</f>
        <v/>
      </c>
      <c r="RSF671" t="str">
        <f>IFERROR(VLOOKUP(RSG671,'[3]Raw material  (3)'!RSE653:RSW3729,3,0),"")</f>
        <v/>
      </c>
      <c r="RSG671" t="str">
        <f>IFERROR(VLOOKUP(RSH671,'[3]Raw material  (3)'!RSF653:RSX3729,3,0),"")</f>
        <v/>
      </c>
      <c r="RSH671" t="str">
        <f>IFERROR(VLOOKUP(RSI671,'[3]Raw material  (3)'!RSG653:RSY3729,3,0),"")</f>
        <v/>
      </c>
      <c r="RSI671" t="str">
        <f>IFERROR(VLOOKUP(RSJ671,'[3]Raw material  (3)'!RSH653:RSZ3729,3,0),"")</f>
        <v/>
      </c>
      <c r="RSJ671" t="str">
        <f>IFERROR(VLOOKUP(RSK671,'[3]Raw material  (3)'!RSI653:RTA3729,3,0),"")</f>
        <v/>
      </c>
      <c r="RSK671" t="str">
        <f>IFERROR(VLOOKUP(RSL671,'[3]Raw material  (3)'!RSJ653:RTB3729,3,0),"")</f>
        <v/>
      </c>
      <c r="RSL671" t="str">
        <f>IFERROR(VLOOKUP(RSM671,'[3]Raw material  (3)'!RSK653:RTC3729,3,0),"")</f>
        <v/>
      </c>
      <c r="RSM671" t="str">
        <f>IFERROR(VLOOKUP(RSN671,'[3]Raw material  (3)'!RSL653:RTD3729,3,0),"")</f>
        <v/>
      </c>
      <c r="RSN671" t="str">
        <f>IFERROR(VLOOKUP(RSO671,'[3]Raw material  (3)'!RSM653:RTE3729,3,0),"")</f>
        <v/>
      </c>
      <c r="RSO671" t="str">
        <f>IFERROR(VLOOKUP(RSP671,'[3]Raw material  (3)'!RSN653:RTF3729,3,0),"")</f>
        <v/>
      </c>
      <c r="RSP671" t="str">
        <f>IFERROR(VLOOKUP(RSQ671,'[3]Raw material  (3)'!RSO653:RTG3729,3,0),"")</f>
        <v/>
      </c>
      <c r="RSQ671" t="str">
        <f>IFERROR(VLOOKUP(RSR671,'[3]Raw material  (3)'!RSP653:RTH3729,3,0),"")</f>
        <v/>
      </c>
      <c r="RSR671" t="str">
        <f>IFERROR(VLOOKUP(RSS671,'[3]Raw material  (3)'!RSQ653:RTI3729,3,0),"")</f>
        <v/>
      </c>
      <c r="RSS671" t="str">
        <f>IFERROR(VLOOKUP(RST671,'[3]Raw material  (3)'!RSR653:RTJ3729,3,0),"")</f>
        <v/>
      </c>
      <c r="RST671" t="str">
        <f>IFERROR(VLOOKUP(RSU671,'[3]Raw material  (3)'!RSS653:RTK3729,3,0),"")</f>
        <v/>
      </c>
      <c r="RSU671" t="str">
        <f>IFERROR(VLOOKUP(RSV671,'[3]Raw material  (3)'!RST653:RTL3729,3,0),"")</f>
        <v/>
      </c>
      <c r="RSV671" t="str">
        <f>IFERROR(VLOOKUP(RSW671,'[3]Raw material  (3)'!RSU653:RTM3729,3,0),"")</f>
        <v/>
      </c>
      <c r="RSW671" t="str">
        <f>IFERROR(VLOOKUP(RSX671,'[3]Raw material  (3)'!RSV653:RTN3729,3,0),"")</f>
        <v/>
      </c>
      <c r="RSX671" t="str">
        <f>IFERROR(VLOOKUP(RSY671,'[3]Raw material  (3)'!RSW653:RTO3729,3,0),"")</f>
        <v/>
      </c>
      <c r="RSY671" t="str">
        <f>IFERROR(VLOOKUP(RSZ671,'[3]Raw material  (3)'!RSX653:RTP3729,3,0),"")</f>
        <v/>
      </c>
      <c r="RSZ671" t="str">
        <f>IFERROR(VLOOKUP(RTA671,'[3]Raw material  (3)'!RSY653:RTQ3729,3,0),"")</f>
        <v/>
      </c>
      <c r="RTA671" t="str">
        <f>IFERROR(VLOOKUP(RTB671,'[3]Raw material  (3)'!RSZ653:RTR3729,3,0),"")</f>
        <v/>
      </c>
      <c r="RTB671" t="str">
        <f>IFERROR(VLOOKUP(RTC671,'[3]Raw material  (3)'!RTA653:RTS3729,3,0),"")</f>
        <v/>
      </c>
      <c r="RTC671" t="str">
        <f>IFERROR(VLOOKUP(RTD671,'[3]Raw material  (3)'!RTB653:RTT3729,3,0),"")</f>
        <v/>
      </c>
      <c r="RTD671" t="str">
        <f>IFERROR(VLOOKUP(RTE671,'[3]Raw material  (3)'!RTC653:RTU3729,3,0),"")</f>
        <v/>
      </c>
      <c r="RTE671" t="str">
        <f>IFERROR(VLOOKUP(RTF671,'[3]Raw material  (3)'!RTD653:RTV3729,3,0),"")</f>
        <v/>
      </c>
      <c r="RTF671" t="str">
        <f>IFERROR(VLOOKUP(RTG671,'[3]Raw material  (3)'!RTE653:RTW3729,3,0),"")</f>
        <v/>
      </c>
      <c r="RTG671" t="str">
        <f>IFERROR(VLOOKUP(RTH671,'[3]Raw material  (3)'!RTF653:RTX3729,3,0),"")</f>
        <v/>
      </c>
      <c r="RTH671" t="str">
        <f>IFERROR(VLOOKUP(RTI671,'[3]Raw material  (3)'!RTG653:RTY3729,3,0),"")</f>
        <v/>
      </c>
      <c r="RTI671" t="str">
        <f>IFERROR(VLOOKUP(RTJ671,'[3]Raw material  (3)'!RTH653:RTZ3729,3,0),"")</f>
        <v/>
      </c>
      <c r="RTJ671" t="str">
        <f>IFERROR(VLOOKUP(RTK671,'[3]Raw material  (3)'!RTI653:RUA3729,3,0),"")</f>
        <v/>
      </c>
      <c r="RTK671" t="str">
        <f>IFERROR(VLOOKUP(RTL671,'[3]Raw material  (3)'!RTJ653:RUB3729,3,0),"")</f>
        <v/>
      </c>
      <c r="RTL671" t="str">
        <f>IFERROR(VLOOKUP(RTM671,'[3]Raw material  (3)'!RTK653:RUC3729,3,0),"")</f>
        <v/>
      </c>
      <c r="RTM671" t="str">
        <f>IFERROR(VLOOKUP(RTN671,'[3]Raw material  (3)'!RTL653:RUD3729,3,0),"")</f>
        <v/>
      </c>
      <c r="RTN671" t="str">
        <f>IFERROR(VLOOKUP(RTO671,'[3]Raw material  (3)'!RTM653:RUE3729,3,0),"")</f>
        <v/>
      </c>
      <c r="RTO671" t="str">
        <f>IFERROR(VLOOKUP(RTP671,'[3]Raw material  (3)'!RTN653:RUF3729,3,0),"")</f>
        <v/>
      </c>
      <c r="RTP671" t="str">
        <f>IFERROR(VLOOKUP(RTQ671,'[3]Raw material  (3)'!RTO653:RUG3729,3,0),"")</f>
        <v/>
      </c>
      <c r="RTQ671" t="str">
        <f>IFERROR(VLOOKUP(RTR671,'[3]Raw material  (3)'!RTP653:RUH3729,3,0),"")</f>
        <v/>
      </c>
      <c r="RTR671" t="str">
        <f>IFERROR(VLOOKUP(RTS671,'[3]Raw material  (3)'!RTQ653:RUI3729,3,0),"")</f>
        <v/>
      </c>
      <c r="RTS671" t="str">
        <f>IFERROR(VLOOKUP(RTT671,'[3]Raw material  (3)'!RTR653:RUJ3729,3,0),"")</f>
        <v/>
      </c>
      <c r="RTT671" t="str">
        <f>IFERROR(VLOOKUP(RTU671,'[3]Raw material  (3)'!RTS653:RUK3729,3,0),"")</f>
        <v/>
      </c>
      <c r="RTU671" t="str">
        <f>IFERROR(VLOOKUP(RTV671,'[3]Raw material  (3)'!RTT653:RUL3729,3,0),"")</f>
        <v/>
      </c>
      <c r="RTV671" t="str">
        <f>IFERROR(VLOOKUP(RTW671,'[3]Raw material  (3)'!RTU653:RUM3729,3,0),"")</f>
        <v/>
      </c>
      <c r="RTW671" t="str">
        <f>IFERROR(VLOOKUP(RTX671,'[3]Raw material  (3)'!RTV653:RUN3729,3,0),"")</f>
        <v/>
      </c>
      <c r="RTX671" t="str">
        <f>IFERROR(VLOOKUP(RTY671,'[3]Raw material  (3)'!RTW653:RUO3729,3,0),"")</f>
        <v/>
      </c>
      <c r="RTY671" t="str">
        <f>IFERROR(VLOOKUP(RTZ671,'[3]Raw material  (3)'!RTX653:RUP3729,3,0),"")</f>
        <v/>
      </c>
      <c r="RTZ671" t="str">
        <f>IFERROR(VLOOKUP(RUA671,'[3]Raw material  (3)'!RTY653:RUQ3729,3,0),"")</f>
        <v/>
      </c>
      <c r="RUA671" t="str">
        <f>IFERROR(VLOOKUP(RUB671,'[3]Raw material  (3)'!RTZ653:RUR3729,3,0),"")</f>
        <v/>
      </c>
      <c r="RUB671" t="str">
        <f>IFERROR(VLOOKUP(RUC671,'[3]Raw material  (3)'!RUA653:RUS3729,3,0),"")</f>
        <v/>
      </c>
      <c r="RUC671" t="str">
        <f>IFERROR(VLOOKUP(RUD671,'[3]Raw material  (3)'!RUB653:RUT3729,3,0),"")</f>
        <v/>
      </c>
      <c r="RUD671" t="str">
        <f>IFERROR(VLOOKUP(RUE671,'[3]Raw material  (3)'!RUC653:RUU3729,3,0),"")</f>
        <v/>
      </c>
      <c r="RUE671" t="str">
        <f>IFERROR(VLOOKUP(RUF671,'[3]Raw material  (3)'!RUD653:RUV3729,3,0),"")</f>
        <v/>
      </c>
      <c r="RUF671" t="str">
        <f>IFERROR(VLOOKUP(RUG671,'[3]Raw material  (3)'!RUE653:RUW3729,3,0),"")</f>
        <v/>
      </c>
      <c r="RUG671" t="str">
        <f>IFERROR(VLOOKUP(RUH671,'[3]Raw material  (3)'!RUF653:RUX3729,3,0),"")</f>
        <v/>
      </c>
      <c r="RUH671" t="str">
        <f>IFERROR(VLOOKUP(RUI671,'[3]Raw material  (3)'!RUG653:RUY3729,3,0),"")</f>
        <v/>
      </c>
      <c r="RUI671" t="str">
        <f>IFERROR(VLOOKUP(RUJ671,'[3]Raw material  (3)'!RUH653:RUZ3729,3,0),"")</f>
        <v/>
      </c>
      <c r="RUJ671" t="str">
        <f>IFERROR(VLOOKUP(RUK671,'[3]Raw material  (3)'!RUI653:RVA3729,3,0),"")</f>
        <v/>
      </c>
      <c r="RUK671" t="str">
        <f>IFERROR(VLOOKUP(RUL671,'[3]Raw material  (3)'!RUJ653:RVB3729,3,0),"")</f>
        <v/>
      </c>
      <c r="RUL671" t="str">
        <f>IFERROR(VLOOKUP(RUM671,'[3]Raw material  (3)'!RUK653:RVC3729,3,0),"")</f>
        <v/>
      </c>
      <c r="RUM671" t="str">
        <f>IFERROR(VLOOKUP(RUN671,'[3]Raw material  (3)'!RUL653:RVD3729,3,0),"")</f>
        <v/>
      </c>
      <c r="RUN671" t="str">
        <f>IFERROR(VLOOKUP(RUO671,'[3]Raw material  (3)'!RUM653:RVE3729,3,0),"")</f>
        <v/>
      </c>
      <c r="RUO671" t="str">
        <f>IFERROR(VLOOKUP(RUP671,'[3]Raw material  (3)'!RUN653:RVF3729,3,0),"")</f>
        <v/>
      </c>
      <c r="RUP671" t="str">
        <f>IFERROR(VLOOKUP(RUQ671,'[3]Raw material  (3)'!RUO653:RVG3729,3,0),"")</f>
        <v/>
      </c>
      <c r="RUQ671" t="str">
        <f>IFERROR(VLOOKUP(RUR671,'[3]Raw material  (3)'!RUP653:RVH3729,3,0),"")</f>
        <v/>
      </c>
      <c r="RUR671" t="str">
        <f>IFERROR(VLOOKUP(RUS671,'[3]Raw material  (3)'!RUQ653:RVI3729,3,0),"")</f>
        <v/>
      </c>
      <c r="RUS671" t="str">
        <f>IFERROR(VLOOKUP(RUT671,'[3]Raw material  (3)'!RUR653:RVJ3729,3,0),"")</f>
        <v/>
      </c>
      <c r="RUT671" t="str">
        <f>IFERROR(VLOOKUP(RUU671,'[3]Raw material  (3)'!RUS653:RVK3729,3,0),"")</f>
        <v/>
      </c>
      <c r="RUU671" t="str">
        <f>IFERROR(VLOOKUP(RUV671,'[3]Raw material  (3)'!RUT653:RVL3729,3,0),"")</f>
        <v/>
      </c>
      <c r="RUV671" t="str">
        <f>IFERROR(VLOOKUP(RUW671,'[3]Raw material  (3)'!RUU653:RVM3729,3,0),"")</f>
        <v/>
      </c>
      <c r="RUW671" t="str">
        <f>IFERROR(VLOOKUP(RUX671,'[3]Raw material  (3)'!RUV653:RVN3729,3,0),"")</f>
        <v/>
      </c>
      <c r="RUX671" t="str">
        <f>IFERROR(VLOOKUP(RUY671,'[3]Raw material  (3)'!RUW653:RVO3729,3,0),"")</f>
        <v/>
      </c>
      <c r="RUY671" t="str">
        <f>IFERROR(VLOOKUP(RUZ671,'[3]Raw material  (3)'!RUX653:RVP3729,3,0),"")</f>
        <v/>
      </c>
      <c r="RUZ671" t="str">
        <f>IFERROR(VLOOKUP(RVA671,'[3]Raw material  (3)'!RUY653:RVQ3729,3,0),"")</f>
        <v/>
      </c>
      <c r="RVA671" t="str">
        <f>IFERROR(VLOOKUP(RVB671,'[3]Raw material  (3)'!RUZ653:RVR3729,3,0),"")</f>
        <v/>
      </c>
      <c r="RVB671" t="str">
        <f>IFERROR(VLOOKUP(RVC671,'[3]Raw material  (3)'!RVA653:RVS3729,3,0),"")</f>
        <v/>
      </c>
      <c r="RVC671" t="str">
        <f>IFERROR(VLOOKUP(RVD671,'[3]Raw material  (3)'!RVB653:RVT3729,3,0),"")</f>
        <v/>
      </c>
      <c r="RVD671" t="str">
        <f>IFERROR(VLOOKUP(RVE671,'[3]Raw material  (3)'!RVC653:RVU3729,3,0),"")</f>
        <v/>
      </c>
      <c r="RVE671" t="str">
        <f>IFERROR(VLOOKUP(RVF671,'[3]Raw material  (3)'!RVD653:RVV3729,3,0),"")</f>
        <v/>
      </c>
      <c r="RVF671" t="str">
        <f>IFERROR(VLOOKUP(RVG671,'[3]Raw material  (3)'!RVE653:RVW3729,3,0),"")</f>
        <v/>
      </c>
      <c r="RVG671" t="str">
        <f>IFERROR(VLOOKUP(RVH671,'[3]Raw material  (3)'!RVF653:RVX3729,3,0),"")</f>
        <v/>
      </c>
      <c r="RVH671" t="str">
        <f>IFERROR(VLOOKUP(RVI671,'[3]Raw material  (3)'!RVG653:RVY3729,3,0),"")</f>
        <v/>
      </c>
      <c r="RVI671" t="str">
        <f>IFERROR(VLOOKUP(RVJ671,'[3]Raw material  (3)'!RVH653:RVZ3729,3,0),"")</f>
        <v/>
      </c>
      <c r="RVJ671" t="str">
        <f>IFERROR(VLOOKUP(RVK671,'[3]Raw material  (3)'!RVI653:RWA3729,3,0),"")</f>
        <v/>
      </c>
      <c r="RVK671" t="str">
        <f>IFERROR(VLOOKUP(RVL671,'[3]Raw material  (3)'!RVJ653:RWB3729,3,0),"")</f>
        <v/>
      </c>
      <c r="RVL671" t="str">
        <f>IFERROR(VLOOKUP(RVM671,'[3]Raw material  (3)'!RVK653:RWC3729,3,0),"")</f>
        <v/>
      </c>
      <c r="RVM671" t="str">
        <f>IFERROR(VLOOKUP(RVN671,'[3]Raw material  (3)'!RVL653:RWD3729,3,0),"")</f>
        <v/>
      </c>
      <c r="RVN671" t="str">
        <f>IFERROR(VLOOKUP(RVO671,'[3]Raw material  (3)'!RVM653:RWE3729,3,0),"")</f>
        <v/>
      </c>
      <c r="RVO671" t="str">
        <f>IFERROR(VLOOKUP(RVP671,'[3]Raw material  (3)'!RVN653:RWF3729,3,0),"")</f>
        <v/>
      </c>
      <c r="RVP671" t="str">
        <f>IFERROR(VLOOKUP(RVQ671,'[3]Raw material  (3)'!RVO653:RWG3729,3,0),"")</f>
        <v/>
      </c>
      <c r="RVQ671" t="str">
        <f>IFERROR(VLOOKUP(RVR671,'[3]Raw material  (3)'!RVP653:RWH3729,3,0),"")</f>
        <v/>
      </c>
      <c r="RVR671" t="str">
        <f>IFERROR(VLOOKUP(RVS671,'[3]Raw material  (3)'!RVQ653:RWI3729,3,0),"")</f>
        <v/>
      </c>
      <c r="RVS671" t="str">
        <f>IFERROR(VLOOKUP(RVT671,'[3]Raw material  (3)'!RVR653:RWJ3729,3,0),"")</f>
        <v/>
      </c>
      <c r="RVT671" t="str">
        <f>IFERROR(VLOOKUP(RVU671,'[3]Raw material  (3)'!RVS653:RWK3729,3,0),"")</f>
        <v/>
      </c>
      <c r="RVU671" t="str">
        <f>IFERROR(VLOOKUP(RVV671,'[3]Raw material  (3)'!RVT653:RWL3729,3,0),"")</f>
        <v/>
      </c>
      <c r="RVV671" t="str">
        <f>IFERROR(VLOOKUP(RVW671,'[3]Raw material  (3)'!RVU653:RWM3729,3,0),"")</f>
        <v/>
      </c>
      <c r="RVW671" t="str">
        <f>IFERROR(VLOOKUP(RVX671,'[3]Raw material  (3)'!RVV653:RWN3729,3,0),"")</f>
        <v/>
      </c>
      <c r="RVX671" t="str">
        <f>IFERROR(VLOOKUP(RVY671,'[3]Raw material  (3)'!RVW653:RWO3729,3,0),"")</f>
        <v/>
      </c>
      <c r="RVY671" t="str">
        <f>IFERROR(VLOOKUP(RVZ671,'[3]Raw material  (3)'!RVX653:RWP3729,3,0),"")</f>
        <v/>
      </c>
      <c r="RVZ671" t="str">
        <f>IFERROR(VLOOKUP(RWA671,'[3]Raw material  (3)'!RVY653:RWQ3729,3,0),"")</f>
        <v/>
      </c>
      <c r="RWA671" t="str">
        <f>IFERROR(VLOOKUP(RWB671,'[3]Raw material  (3)'!RVZ653:RWR3729,3,0),"")</f>
        <v/>
      </c>
      <c r="RWB671" t="str">
        <f>IFERROR(VLOOKUP(RWC671,'[3]Raw material  (3)'!RWA653:RWS3729,3,0),"")</f>
        <v/>
      </c>
      <c r="RWC671" t="str">
        <f>IFERROR(VLOOKUP(RWD671,'[3]Raw material  (3)'!RWB653:RWT3729,3,0),"")</f>
        <v/>
      </c>
      <c r="RWD671" t="str">
        <f>IFERROR(VLOOKUP(RWE671,'[3]Raw material  (3)'!RWC653:RWU3729,3,0),"")</f>
        <v/>
      </c>
      <c r="RWE671" t="str">
        <f>IFERROR(VLOOKUP(RWF671,'[3]Raw material  (3)'!RWD653:RWV3729,3,0),"")</f>
        <v/>
      </c>
      <c r="RWF671" t="str">
        <f>IFERROR(VLOOKUP(RWG671,'[3]Raw material  (3)'!RWE653:RWW3729,3,0),"")</f>
        <v/>
      </c>
      <c r="RWG671" t="str">
        <f>IFERROR(VLOOKUP(RWH671,'[3]Raw material  (3)'!RWF653:RWX3729,3,0),"")</f>
        <v/>
      </c>
      <c r="RWH671" t="str">
        <f>IFERROR(VLOOKUP(RWI671,'[3]Raw material  (3)'!RWG653:RWY3729,3,0),"")</f>
        <v/>
      </c>
      <c r="RWI671" t="str">
        <f>IFERROR(VLOOKUP(RWJ671,'[3]Raw material  (3)'!RWH653:RWZ3729,3,0),"")</f>
        <v/>
      </c>
      <c r="RWJ671" t="str">
        <f>IFERROR(VLOOKUP(RWK671,'[3]Raw material  (3)'!RWI653:RXA3729,3,0),"")</f>
        <v/>
      </c>
      <c r="RWK671" t="str">
        <f>IFERROR(VLOOKUP(RWL671,'[3]Raw material  (3)'!RWJ653:RXB3729,3,0),"")</f>
        <v/>
      </c>
      <c r="RWL671" t="str">
        <f>IFERROR(VLOOKUP(RWM671,'[3]Raw material  (3)'!RWK653:RXC3729,3,0),"")</f>
        <v/>
      </c>
      <c r="RWM671" t="str">
        <f>IFERROR(VLOOKUP(RWN671,'[3]Raw material  (3)'!RWL653:RXD3729,3,0),"")</f>
        <v/>
      </c>
      <c r="RWN671" t="str">
        <f>IFERROR(VLOOKUP(RWO671,'[3]Raw material  (3)'!RWM653:RXE3729,3,0),"")</f>
        <v/>
      </c>
      <c r="RWO671" t="str">
        <f>IFERROR(VLOOKUP(RWP671,'[3]Raw material  (3)'!RWN653:RXF3729,3,0),"")</f>
        <v/>
      </c>
      <c r="RWP671" t="str">
        <f>IFERROR(VLOOKUP(RWQ671,'[3]Raw material  (3)'!RWO653:RXG3729,3,0),"")</f>
        <v/>
      </c>
      <c r="RWQ671" t="str">
        <f>IFERROR(VLOOKUP(RWR671,'[3]Raw material  (3)'!RWP653:RXH3729,3,0),"")</f>
        <v/>
      </c>
      <c r="RWR671" t="str">
        <f>IFERROR(VLOOKUP(RWS671,'[3]Raw material  (3)'!RWQ653:RXI3729,3,0),"")</f>
        <v/>
      </c>
      <c r="RWS671" t="str">
        <f>IFERROR(VLOOKUP(RWT671,'[3]Raw material  (3)'!RWR653:RXJ3729,3,0),"")</f>
        <v/>
      </c>
      <c r="RWT671" t="str">
        <f>IFERROR(VLOOKUP(RWU671,'[3]Raw material  (3)'!RWS653:RXK3729,3,0),"")</f>
        <v/>
      </c>
      <c r="RWU671" t="str">
        <f>IFERROR(VLOOKUP(RWV671,'[3]Raw material  (3)'!RWT653:RXL3729,3,0),"")</f>
        <v/>
      </c>
      <c r="RWV671" t="str">
        <f>IFERROR(VLOOKUP(RWW671,'[3]Raw material  (3)'!RWU653:RXM3729,3,0),"")</f>
        <v/>
      </c>
      <c r="RWW671" t="str">
        <f>IFERROR(VLOOKUP(RWX671,'[3]Raw material  (3)'!RWV653:RXN3729,3,0),"")</f>
        <v/>
      </c>
      <c r="RWX671" t="str">
        <f>IFERROR(VLOOKUP(RWY671,'[3]Raw material  (3)'!RWW653:RXO3729,3,0),"")</f>
        <v/>
      </c>
      <c r="RWY671" t="str">
        <f>IFERROR(VLOOKUP(RWZ671,'[3]Raw material  (3)'!RWX653:RXP3729,3,0),"")</f>
        <v/>
      </c>
      <c r="RWZ671" t="str">
        <f>IFERROR(VLOOKUP(RXA671,'[3]Raw material  (3)'!RWY653:RXQ3729,3,0),"")</f>
        <v/>
      </c>
      <c r="RXA671" t="str">
        <f>IFERROR(VLOOKUP(RXB671,'[3]Raw material  (3)'!RWZ653:RXR3729,3,0),"")</f>
        <v/>
      </c>
      <c r="RXB671" t="str">
        <f>IFERROR(VLOOKUP(RXC671,'[3]Raw material  (3)'!RXA653:RXS3729,3,0),"")</f>
        <v/>
      </c>
      <c r="RXC671" t="str">
        <f>IFERROR(VLOOKUP(RXD671,'[3]Raw material  (3)'!RXB653:RXT3729,3,0),"")</f>
        <v/>
      </c>
      <c r="RXD671" t="str">
        <f>IFERROR(VLOOKUP(RXE671,'[3]Raw material  (3)'!RXC653:RXU3729,3,0),"")</f>
        <v/>
      </c>
      <c r="RXE671" t="str">
        <f>IFERROR(VLOOKUP(RXF671,'[3]Raw material  (3)'!RXD653:RXV3729,3,0),"")</f>
        <v/>
      </c>
      <c r="RXF671" t="str">
        <f>IFERROR(VLOOKUP(RXG671,'[3]Raw material  (3)'!RXE653:RXW3729,3,0),"")</f>
        <v/>
      </c>
      <c r="RXG671" t="str">
        <f>IFERROR(VLOOKUP(RXH671,'[3]Raw material  (3)'!RXF653:RXX3729,3,0),"")</f>
        <v/>
      </c>
      <c r="RXH671" t="str">
        <f>IFERROR(VLOOKUP(RXI671,'[3]Raw material  (3)'!RXG653:RXY3729,3,0),"")</f>
        <v/>
      </c>
      <c r="RXI671" t="str">
        <f>IFERROR(VLOOKUP(RXJ671,'[3]Raw material  (3)'!RXH653:RXZ3729,3,0),"")</f>
        <v/>
      </c>
      <c r="RXJ671" t="str">
        <f>IFERROR(VLOOKUP(RXK671,'[3]Raw material  (3)'!RXI653:RYA3729,3,0),"")</f>
        <v/>
      </c>
      <c r="RXK671" t="str">
        <f>IFERROR(VLOOKUP(RXL671,'[3]Raw material  (3)'!RXJ653:RYB3729,3,0),"")</f>
        <v/>
      </c>
      <c r="RXL671" t="str">
        <f>IFERROR(VLOOKUP(RXM671,'[3]Raw material  (3)'!RXK653:RYC3729,3,0),"")</f>
        <v/>
      </c>
      <c r="RXM671" t="str">
        <f>IFERROR(VLOOKUP(RXN671,'[3]Raw material  (3)'!RXL653:RYD3729,3,0),"")</f>
        <v/>
      </c>
      <c r="RXN671" t="str">
        <f>IFERROR(VLOOKUP(RXO671,'[3]Raw material  (3)'!RXM653:RYE3729,3,0),"")</f>
        <v/>
      </c>
      <c r="RXO671" t="str">
        <f>IFERROR(VLOOKUP(RXP671,'[3]Raw material  (3)'!RXN653:RYF3729,3,0),"")</f>
        <v/>
      </c>
      <c r="RXP671" t="str">
        <f>IFERROR(VLOOKUP(RXQ671,'[3]Raw material  (3)'!RXO653:RYG3729,3,0),"")</f>
        <v/>
      </c>
      <c r="RXQ671" t="str">
        <f>IFERROR(VLOOKUP(RXR671,'[3]Raw material  (3)'!RXP653:RYH3729,3,0),"")</f>
        <v/>
      </c>
      <c r="RXR671" t="str">
        <f>IFERROR(VLOOKUP(RXS671,'[3]Raw material  (3)'!RXQ653:RYI3729,3,0),"")</f>
        <v/>
      </c>
      <c r="RXS671" t="str">
        <f>IFERROR(VLOOKUP(RXT671,'[3]Raw material  (3)'!RXR653:RYJ3729,3,0),"")</f>
        <v/>
      </c>
      <c r="RXT671" t="str">
        <f>IFERROR(VLOOKUP(RXU671,'[3]Raw material  (3)'!RXS653:RYK3729,3,0),"")</f>
        <v/>
      </c>
      <c r="RXU671" t="str">
        <f>IFERROR(VLOOKUP(RXV671,'[3]Raw material  (3)'!RXT653:RYL3729,3,0),"")</f>
        <v/>
      </c>
      <c r="RXV671" t="str">
        <f>IFERROR(VLOOKUP(RXW671,'[3]Raw material  (3)'!RXU653:RYM3729,3,0),"")</f>
        <v/>
      </c>
      <c r="RXW671" t="str">
        <f>IFERROR(VLOOKUP(RXX671,'[3]Raw material  (3)'!RXV653:RYN3729,3,0),"")</f>
        <v/>
      </c>
      <c r="RXX671" t="str">
        <f>IFERROR(VLOOKUP(RXY671,'[3]Raw material  (3)'!RXW653:RYO3729,3,0),"")</f>
        <v/>
      </c>
      <c r="RXY671" t="str">
        <f>IFERROR(VLOOKUP(RXZ671,'[3]Raw material  (3)'!RXX653:RYP3729,3,0),"")</f>
        <v/>
      </c>
      <c r="RXZ671" t="str">
        <f>IFERROR(VLOOKUP(RYA671,'[3]Raw material  (3)'!RXY653:RYQ3729,3,0),"")</f>
        <v/>
      </c>
      <c r="RYA671" t="str">
        <f>IFERROR(VLOOKUP(RYB671,'[3]Raw material  (3)'!RXZ653:RYR3729,3,0),"")</f>
        <v/>
      </c>
      <c r="RYB671" t="str">
        <f>IFERROR(VLOOKUP(RYC671,'[3]Raw material  (3)'!RYA653:RYS3729,3,0),"")</f>
        <v/>
      </c>
      <c r="RYC671" t="str">
        <f>IFERROR(VLOOKUP(RYD671,'[3]Raw material  (3)'!RYB653:RYT3729,3,0),"")</f>
        <v/>
      </c>
      <c r="RYD671" t="str">
        <f>IFERROR(VLOOKUP(RYE671,'[3]Raw material  (3)'!RYC653:RYU3729,3,0),"")</f>
        <v/>
      </c>
      <c r="RYE671" t="str">
        <f>IFERROR(VLOOKUP(RYF671,'[3]Raw material  (3)'!RYD653:RYV3729,3,0),"")</f>
        <v/>
      </c>
      <c r="RYF671" t="str">
        <f>IFERROR(VLOOKUP(RYG671,'[3]Raw material  (3)'!RYE653:RYW3729,3,0),"")</f>
        <v/>
      </c>
      <c r="RYG671" t="str">
        <f>IFERROR(VLOOKUP(RYH671,'[3]Raw material  (3)'!RYF653:RYX3729,3,0),"")</f>
        <v/>
      </c>
      <c r="RYH671" t="str">
        <f>IFERROR(VLOOKUP(RYI671,'[3]Raw material  (3)'!RYG653:RYY3729,3,0),"")</f>
        <v/>
      </c>
      <c r="RYI671" t="str">
        <f>IFERROR(VLOOKUP(RYJ671,'[3]Raw material  (3)'!RYH653:RYZ3729,3,0),"")</f>
        <v/>
      </c>
      <c r="RYJ671" t="str">
        <f>IFERROR(VLOOKUP(RYK671,'[3]Raw material  (3)'!RYI653:RZA3729,3,0),"")</f>
        <v/>
      </c>
      <c r="RYK671" t="str">
        <f>IFERROR(VLOOKUP(RYL671,'[3]Raw material  (3)'!RYJ653:RZB3729,3,0),"")</f>
        <v/>
      </c>
      <c r="RYL671" t="str">
        <f>IFERROR(VLOOKUP(RYM671,'[3]Raw material  (3)'!RYK653:RZC3729,3,0),"")</f>
        <v/>
      </c>
      <c r="RYM671" t="str">
        <f>IFERROR(VLOOKUP(RYN671,'[3]Raw material  (3)'!RYL653:RZD3729,3,0),"")</f>
        <v/>
      </c>
      <c r="RYN671" t="str">
        <f>IFERROR(VLOOKUP(RYO671,'[3]Raw material  (3)'!RYM653:RZE3729,3,0),"")</f>
        <v/>
      </c>
      <c r="RYO671" t="str">
        <f>IFERROR(VLOOKUP(RYP671,'[3]Raw material  (3)'!RYN653:RZF3729,3,0),"")</f>
        <v/>
      </c>
      <c r="RYP671" t="str">
        <f>IFERROR(VLOOKUP(RYQ671,'[3]Raw material  (3)'!RYO653:RZG3729,3,0),"")</f>
        <v/>
      </c>
      <c r="RYQ671" t="str">
        <f>IFERROR(VLOOKUP(RYR671,'[3]Raw material  (3)'!RYP653:RZH3729,3,0),"")</f>
        <v/>
      </c>
      <c r="RYR671" t="str">
        <f>IFERROR(VLOOKUP(RYS671,'[3]Raw material  (3)'!RYQ653:RZI3729,3,0),"")</f>
        <v/>
      </c>
      <c r="RYS671" t="str">
        <f>IFERROR(VLOOKUP(RYT671,'[3]Raw material  (3)'!RYR653:RZJ3729,3,0),"")</f>
        <v/>
      </c>
      <c r="RYT671" t="str">
        <f>IFERROR(VLOOKUP(RYU671,'[3]Raw material  (3)'!RYS653:RZK3729,3,0),"")</f>
        <v/>
      </c>
      <c r="RYU671" t="str">
        <f>IFERROR(VLOOKUP(RYV671,'[3]Raw material  (3)'!RYT653:RZL3729,3,0),"")</f>
        <v/>
      </c>
      <c r="RYV671" t="str">
        <f>IFERROR(VLOOKUP(RYW671,'[3]Raw material  (3)'!RYU653:RZM3729,3,0),"")</f>
        <v/>
      </c>
      <c r="RYW671" t="str">
        <f>IFERROR(VLOOKUP(RYX671,'[3]Raw material  (3)'!RYV653:RZN3729,3,0),"")</f>
        <v/>
      </c>
      <c r="RYX671" t="str">
        <f>IFERROR(VLOOKUP(RYY671,'[3]Raw material  (3)'!RYW653:RZO3729,3,0),"")</f>
        <v/>
      </c>
      <c r="RYY671" t="str">
        <f>IFERROR(VLOOKUP(RYZ671,'[3]Raw material  (3)'!RYX653:RZP3729,3,0),"")</f>
        <v/>
      </c>
      <c r="RYZ671" t="str">
        <f>IFERROR(VLOOKUP(RZA671,'[3]Raw material  (3)'!RYY653:RZQ3729,3,0),"")</f>
        <v/>
      </c>
      <c r="RZA671" t="str">
        <f>IFERROR(VLOOKUP(RZB671,'[3]Raw material  (3)'!RYZ653:RZR3729,3,0),"")</f>
        <v/>
      </c>
      <c r="RZB671" t="str">
        <f>IFERROR(VLOOKUP(RZC671,'[3]Raw material  (3)'!RZA653:RZS3729,3,0),"")</f>
        <v/>
      </c>
      <c r="RZC671" t="str">
        <f>IFERROR(VLOOKUP(RZD671,'[3]Raw material  (3)'!RZB653:RZT3729,3,0),"")</f>
        <v/>
      </c>
      <c r="RZD671" t="str">
        <f>IFERROR(VLOOKUP(RZE671,'[3]Raw material  (3)'!RZC653:RZU3729,3,0),"")</f>
        <v/>
      </c>
      <c r="RZE671" t="str">
        <f>IFERROR(VLOOKUP(RZF671,'[3]Raw material  (3)'!RZD653:RZV3729,3,0),"")</f>
        <v/>
      </c>
      <c r="RZF671" t="str">
        <f>IFERROR(VLOOKUP(RZG671,'[3]Raw material  (3)'!RZE653:RZW3729,3,0),"")</f>
        <v/>
      </c>
      <c r="RZG671" t="str">
        <f>IFERROR(VLOOKUP(RZH671,'[3]Raw material  (3)'!RZF653:RZX3729,3,0),"")</f>
        <v/>
      </c>
      <c r="RZH671" t="str">
        <f>IFERROR(VLOOKUP(RZI671,'[3]Raw material  (3)'!RZG653:RZY3729,3,0),"")</f>
        <v/>
      </c>
      <c r="RZI671" t="str">
        <f>IFERROR(VLOOKUP(RZJ671,'[3]Raw material  (3)'!RZH653:RZZ3729,3,0),"")</f>
        <v/>
      </c>
      <c r="RZJ671" t="str">
        <f>IFERROR(VLOOKUP(RZK671,'[3]Raw material  (3)'!RZI653:SAA3729,3,0),"")</f>
        <v/>
      </c>
      <c r="RZK671" t="str">
        <f>IFERROR(VLOOKUP(RZL671,'[3]Raw material  (3)'!RZJ653:SAB3729,3,0),"")</f>
        <v/>
      </c>
      <c r="RZL671" t="str">
        <f>IFERROR(VLOOKUP(RZM671,'[3]Raw material  (3)'!RZK653:SAC3729,3,0),"")</f>
        <v/>
      </c>
      <c r="RZM671" t="str">
        <f>IFERROR(VLOOKUP(RZN671,'[3]Raw material  (3)'!RZL653:SAD3729,3,0),"")</f>
        <v/>
      </c>
      <c r="RZN671" t="str">
        <f>IFERROR(VLOOKUP(RZO671,'[3]Raw material  (3)'!RZM653:SAE3729,3,0),"")</f>
        <v/>
      </c>
      <c r="RZO671" t="str">
        <f>IFERROR(VLOOKUP(RZP671,'[3]Raw material  (3)'!RZN653:SAF3729,3,0),"")</f>
        <v/>
      </c>
      <c r="RZP671" t="str">
        <f>IFERROR(VLOOKUP(RZQ671,'[3]Raw material  (3)'!RZO653:SAG3729,3,0),"")</f>
        <v/>
      </c>
      <c r="RZQ671" t="str">
        <f>IFERROR(VLOOKUP(RZR671,'[3]Raw material  (3)'!RZP653:SAH3729,3,0),"")</f>
        <v/>
      </c>
      <c r="RZR671" t="str">
        <f>IFERROR(VLOOKUP(RZS671,'[3]Raw material  (3)'!RZQ653:SAI3729,3,0),"")</f>
        <v/>
      </c>
      <c r="RZS671" t="str">
        <f>IFERROR(VLOOKUP(RZT671,'[3]Raw material  (3)'!RZR653:SAJ3729,3,0),"")</f>
        <v/>
      </c>
      <c r="RZT671" t="str">
        <f>IFERROR(VLOOKUP(RZU671,'[3]Raw material  (3)'!RZS653:SAK3729,3,0),"")</f>
        <v/>
      </c>
      <c r="RZU671" t="str">
        <f>IFERROR(VLOOKUP(RZV671,'[3]Raw material  (3)'!RZT653:SAL3729,3,0),"")</f>
        <v/>
      </c>
      <c r="RZV671" t="str">
        <f>IFERROR(VLOOKUP(RZW671,'[3]Raw material  (3)'!RZU653:SAM3729,3,0),"")</f>
        <v/>
      </c>
      <c r="RZW671" t="str">
        <f>IFERROR(VLOOKUP(RZX671,'[3]Raw material  (3)'!RZV653:SAN3729,3,0),"")</f>
        <v/>
      </c>
      <c r="RZX671" t="str">
        <f>IFERROR(VLOOKUP(RZY671,'[3]Raw material  (3)'!RZW653:SAO3729,3,0),"")</f>
        <v/>
      </c>
      <c r="RZY671" t="str">
        <f>IFERROR(VLOOKUP(RZZ671,'[3]Raw material  (3)'!RZX653:SAP3729,3,0),"")</f>
        <v/>
      </c>
      <c r="RZZ671" t="str">
        <f>IFERROR(VLOOKUP(SAA671,'[3]Raw material  (3)'!RZY653:SAQ3729,3,0),"")</f>
        <v/>
      </c>
      <c r="SAA671" t="str">
        <f>IFERROR(VLOOKUP(SAB671,'[3]Raw material  (3)'!RZZ653:SAR3729,3,0),"")</f>
        <v/>
      </c>
      <c r="SAB671" t="str">
        <f>IFERROR(VLOOKUP(SAC671,'[3]Raw material  (3)'!SAA653:SAS3729,3,0),"")</f>
        <v/>
      </c>
      <c r="SAC671" t="str">
        <f>IFERROR(VLOOKUP(SAD671,'[3]Raw material  (3)'!SAB653:SAT3729,3,0),"")</f>
        <v/>
      </c>
      <c r="SAD671" t="str">
        <f>IFERROR(VLOOKUP(SAE671,'[3]Raw material  (3)'!SAC653:SAU3729,3,0),"")</f>
        <v/>
      </c>
      <c r="SAE671" t="str">
        <f>IFERROR(VLOOKUP(SAF671,'[3]Raw material  (3)'!SAD653:SAV3729,3,0),"")</f>
        <v/>
      </c>
      <c r="SAF671" t="str">
        <f>IFERROR(VLOOKUP(SAG671,'[3]Raw material  (3)'!SAE653:SAW3729,3,0),"")</f>
        <v/>
      </c>
      <c r="SAG671" t="str">
        <f>IFERROR(VLOOKUP(SAH671,'[3]Raw material  (3)'!SAF653:SAX3729,3,0),"")</f>
        <v/>
      </c>
      <c r="SAH671" t="str">
        <f>IFERROR(VLOOKUP(SAI671,'[3]Raw material  (3)'!SAG653:SAY3729,3,0),"")</f>
        <v/>
      </c>
      <c r="SAI671" t="str">
        <f>IFERROR(VLOOKUP(SAJ671,'[3]Raw material  (3)'!SAH653:SAZ3729,3,0),"")</f>
        <v/>
      </c>
      <c r="SAJ671" t="str">
        <f>IFERROR(VLOOKUP(SAK671,'[3]Raw material  (3)'!SAI653:SBA3729,3,0),"")</f>
        <v/>
      </c>
      <c r="SAK671" t="str">
        <f>IFERROR(VLOOKUP(SAL671,'[3]Raw material  (3)'!SAJ653:SBB3729,3,0),"")</f>
        <v/>
      </c>
      <c r="SAL671" t="str">
        <f>IFERROR(VLOOKUP(SAM671,'[3]Raw material  (3)'!SAK653:SBC3729,3,0),"")</f>
        <v/>
      </c>
      <c r="SAM671" t="str">
        <f>IFERROR(VLOOKUP(SAN671,'[3]Raw material  (3)'!SAL653:SBD3729,3,0),"")</f>
        <v/>
      </c>
      <c r="SAN671" t="str">
        <f>IFERROR(VLOOKUP(SAO671,'[3]Raw material  (3)'!SAM653:SBE3729,3,0),"")</f>
        <v/>
      </c>
      <c r="SAO671" t="str">
        <f>IFERROR(VLOOKUP(SAP671,'[3]Raw material  (3)'!SAN653:SBF3729,3,0),"")</f>
        <v/>
      </c>
      <c r="SAP671" t="str">
        <f>IFERROR(VLOOKUP(SAQ671,'[3]Raw material  (3)'!SAO653:SBG3729,3,0),"")</f>
        <v/>
      </c>
      <c r="SAQ671" t="str">
        <f>IFERROR(VLOOKUP(SAR671,'[3]Raw material  (3)'!SAP653:SBH3729,3,0),"")</f>
        <v/>
      </c>
      <c r="SAR671" t="str">
        <f>IFERROR(VLOOKUP(SAS671,'[3]Raw material  (3)'!SAQ653:SBI3729,3,0),"")</f>
        <v/>
      </c>
      <c r="SAS671" t="str">
        <f>IFERROR(VLOOKUP(SAT671,'[3]Raw material  (3)'!SAR653:SBJ3729,3,0),"")</f>
        <v/>
      </c>
      <c r="SAT671" t="str">
        <f>IFERROR(VLOOKUP(SAU671,'[3]Raw material  (3)'!SAS653:SBK3729,3,0),"")</f>
        <v/>
      </c>
      <c r="SAU671" t="str">
        <f>IFERROR(VLOOKUP(SAV671,'[3]Raw material  (3)'!SAT653:SBL3729,3,0),"")</f>
        <v/>
      </c>
      <c r="SAV671" t="str">
        <f>IFERROR(VLOOKUP(SAW671,'[3]Raw material  (3)'!SAU653:SBM3729,3,0),"")</f>
        <v/>
      </c>
      <c r="SAW671" t="str">
        <f>IFERROR(VLOOKUP(SAX671,'[3]Raw material  (3)'!SAV653:SBN3729,3,0),"")</f>
        <v/>
      </c>
      <c r="SAX671" t="str">
        <f>IFERROR(VLOOKUP(SAY671,'[3]Raw material  (3)'!SAW653:SBO3729,3,0),"")</f>
        <v/>
      </c>
      <c r="SAY671" t="str">
        <f>IFERROR(VLOOKUP(SAZ671,'[3]Raw material  (3)'!SAX653:SBP3729,3,0),"")</f>
        <v/>
      </c>
      <c r="SAZ671" t="str">
        <f>IFERROR(VLOOKUP(SBA671,'[3]Raw material  (3)'!SAY653:SBQ3729,3,0),"")</f>
        <v/>
      </c>
      <c r="SBA671" t="str">
        <f>IFERROR(VLOOKUP(SBB671,'[3]Raw material  (3)'!SAZ653:SBR3729,3,0),"")</f>
        <v/>
      </c>
      <c r="SBB671" t="str">
        <f>IFERROR(VLOOKUP(SBC671,'[3]Raw material  (3)'!SBA653:SBS3729,3,0),"")</f>
        <v/>
      </c>
      <c r="SBC671" t="str">
        <f>IFERROR(VLOOKUP(SBD671,'[3]Raw material  (3)'!SBB653:SBT3729,3,0),"")</f>
        <v/>
      </c>
      <c r="SBD671" t="str">
        <f>IFERROR(VLOOKUP(SBE671,'[3]Raw material  (3)'!SBC653:SBU3729,3,0),"")</f>
        <v/>
      </c>
      <c r="SBE671" t="str">
        <f>IFERROR(VLOOKUP(SBF671,'[3]Raw material  (3)'!SBD653:SBV3729,3,0),"")</f>
        <v/>
      </c>
      <c r="SBF671" t="str">
        <f>IFERROR(VLOOKUP(SBG671,'[3]Raw material  (3)'!SBE653:SBW3729,3,0),"")</f>
        <v/>
      </c>
      <c r="SBG671" t="str">
        <f>IFERROR(VLOOKUP(SBH671,'[3]Raw material  (3)'!SBF653:SBX3729,3,0),"")</f>
        <v/>
      </c>
      <c r="SBH671" t="str">
        <f>IFERROR(VLOOKUP(SBI671,'[3]Raw material  (3)'!SBG653:SBY3729,3,0),"")</f>
        <v/>
      </c>
      <c r="SBI671" t="str">
        <f>IFERROR(VLOOKUP(SBJ671,'[3]Raw material  (3)'!SBH653:SBZ3729,3,0),"")</f>
        <v/>
      </c>
      <c r="SBJ671" t="str">
        <f>IFERROR(VLOOKUP(SBK671,'[3]Raw material  (3)'!SBI653:SCA3729,3,0),"")</f>
        <v/>
      </c>
      <c r="SBK671" t="str">
        <f>IFERROR(VLOOKUP(SBL671,'[3]Raw material  (3)'!SBJ653:SCB3729,3,0),"")</f>
        <v/>
      </c>
      <c r="SBL671" t="str">
        <f>IFERROR(VLOOKUP(SBM671,'[3]Raw material  (3)'!SBK653:SCC3729,3,0),"")</f>
        <v/>
      </c>
      <c r="SBM671" t="str">
        <f>IFERROR(VLOOKUP(SBN671,'[3]Raw material  (3)'!SBL653:SCD3729,3,0),"")</f>
        <v/>
      </c>
      <c r="SBN671" t="str">
        <f>IFERROR(VLOOKUP(SBO671,'[3]Raw material  (3)'!SBM653:SCE3729,3,0),"")</f>
        <v/>
      </c>
      <c r="SBO671" t="str">
        <f>IFERROR(VLOOKUP(SBP671,'[3]Raw material  (3)'!SBN653:SCF3729,3,0),"")</f>
        <v/>
      </c>
      <c r="SBP671" t="str">
        <f>IFERROR(VLOOKUP(SBQ671,'[3]Raw material  (3)'!SBO653:SCG3729,3,0),"")</f>
        <v/>
      </c>
      <c r="SBQ671" t="str">
        <f>IFERROR(VLOOKUP(SBR671,'[3]Raw material  (3)'!SBP653:SCH3729,3,0),"")</f>
        <v/>
      </c>
      <c r="SBR671" t="str">
        <f>IFERROR(VLOOKUP(SBS671,'[3]Raw material  (3)'!SBQ653:SCI3729,3,0),"")</f>
        <v/>
      </c>
      <c r="SBS671" t="str">
        <f>IFERROR(VLOOKUP(SBT671,'[3]Raw material  (3)'!SBR653:SCJ3729,3,0),"")</f>
        <v/>
      </c>
      <c r="SBT671" t="str">
        <f>IFERROR(VLOOKUP(SBU671,'[3]Raw material  (3)'!SBS653:SCK3729,3,0),"")</f>
        <v/>
      </c>
      <c r="SBU671" t="str">
        <f>IFERROR(VLOOKUP(SBV671,'[3]Raw material  (3)'!SBT653:SCL3729,3,0),"")</f>
        <v/>
      </c>
      <c r="SBV671" t="str">
        <f>IFERROR(VLOOKUP(SBW671,'[3]Raw material  (3)'!SBU653:SCM3729,3,0),"")</f>
        <v/>
      </c>
      <c r="SBW671" t="str">
        <f>IFERROR(VLOOKUP(SBX671,'[3]Raw material  (3)'!SBV653:SCN3729,3,0),"")</f>
        <v/>
      </c>
      <c r="SBX671" t="str">
        <f>IFERROR(VLOOKUP(SBY671,'[3]Raw material  (3)'!SBW653:SCO3729,3,0),"")</f>
        <v/>
      </c>
      <c r="SBY671" t="str">
        <f>IFERROR(VLOOKUP(SBZ671,'[3]Raw material  (3)'!SBX653:SCP3729,3,0),"")</f>
        <v/>
      </c>
      <c r="SBZ671" t="str">
        <f>IFERROR(VLOOKUP(SCA671,'[3]Raw material  (3)'!SBY653:SCQ3729,3,0),"")</f>
        <v/>
      </c>
      <c r="SCA671" t="str">
        <f>IFERROR(VLOOKUP(SCB671,'[3]Raw material  (3)'!SBZ653:SCR3729,3,0),"")</f>
        <v/>
      </c>
      <c r="SCB671" t="str">
        <f>IFERROR(VLOOKUP(SCC671,'[3]Raw material  (3)'!SCA653:SCS3729,3,0),"")</f>
        <v/>
      </c>
      <c r="SCC671" t="str">
        <f>IFERROR(VLOOKUP(SCD671,'[3]Raw material  (3)'!SCB653:SCT3729,3,0),"")</f>
        <v/>
      </c>
      <c r="SCD671" t="str">
        <f>IFERROR(VLOOKUP(SCE671,'[3]Raw material  (3)'!SCC653:SCU3729,3,0),"")</f>
        <v/>
      </c>
      <c r="SCE671" t="str">
        <f>IFERROR(VLOOKUP(SCF671,'[3]Raw material  (3)'!SCD653:SCV3729,3,0),"")</f>
        <v/>
      </c>
      <c r="SCF671" t="str">
        <f>IFERROR(VLOOKUP(SCG671,'[3]Raw material  (3)'!SCE653:SCW3729,3,0),"")</f>
        <v/>
      </c>
      <c r="SCG671" t="str">
        <f>IFERROR(VLOOKUP(SCH671,'[3]Raw material  (3)'!SCF653:SCX3729,3,0),"")</f>
        <v/>
      </c>
      <c r="SCH671" t="str">
        <f>IFERROR(VLOOKUP(SCI671,'[3]Raw material  (3)'!SCG653:SCY3729,3,0),"")</f>
        <v/>
      </c>
      <c r="SCI671" t="str">
        <f>IFERROR(VLOOKUP(SCJ671,'[3]Raw material  (3)'!SCH653:SCZ3729,3,0),"")</f>
        <v/>
      </c>
      <c r="SCJ671" t="str">
        <f>IFERROR(VLOOKUP(SCK671,'[3]Raw material  (3)'!SCI653:SDA3729,3,0),"")</f>
        <v/>
      </c>
      <c r="SCK671" t="str">
        <f>IFERROR(VLOOKUP(SCL671,'[3]Raw material  (3)'!SCJ653:SDB3729,3,0),"")</f>
        <v/>
      </c>
      <c r="SCL671" t="str">
        <f>IFERROR(VLOOKUP(SCM671,'[3]Raw material  (3)'!SCK653:SDC3729,3,0),"")</f>
        <v/>
      </c>
      <c r="SCM671" t="str">
        <f>IFERROR(VLOOKUP(SCN671,'[3]Raw material  (3)'!SCL653:SDD3729,3,0),"")</f>
        <v/>
      </c>
      <c r="SCN671" t="str">
        <f>IFERROR(VLOOKUP(SCO671,'[3]Raw material  (3)'!SCM653:SDE3729,3,0),"")</f>
        <v/>
      </c>
      <c r="SCO671" t="str">
        <f>IFERROR(VLOOKUP(SCP671,'[3]Raw material  (3)'!SCN653:SDF3729,3,0),"")</f>
        <v/>
      </c>
      <c r="SCP671" t="str">
        <f>IFERROR(VLOOKUP(SCQ671,'[3]Raw material  (3)'!SCO653:SDG3729,3,0),"")</f>
        <v/>
      </c>
      <c r="SCQ671" t="str">
        <f>IFERROR(VLOOKUP(SCR671,'[3]Raw material  (3)'!SCP653:SDH3729,3,0),"")</f>
        <v/>
      </c>
      <c r="SCR671" t="str">
        <f>IFERROR(VLOOKUP(SCS671,'[3]Raw material  (3)'!SCQ653:SDI3729,3,0),"")</f>
        <v/>
      </c>
      <c r="SCS671" t="str">
        <f>IFERROR(VLOOKUP(SCT671,'[3]Raw material  (3)'!SCR653:SDJ3729,3,0),"")</f>
        <v/>
      </c>
      <c r="SCT671" t="str">
        <f>IFERROR(VLOOKUP(SCU671,'[3]Raw material  (3)'!SCS653:SDK3729,3,0),"")</f>
        <v/>
      </c>
      <c r="SCU671" t="str">
        <f>IFERROR(VLOOKUP(SCV671,'[3]Raw material  (3)'!SCT653:SDL3729,3,0),"")</f>
        <v/>
      </c>
      <c r="SCV671" t="str">
        <f>IFERROR(VLOOKUP(SCW671,'[3]Raw material  (3)'!SCU653:SDM3729,3,0),"")</f>
        <v/>
      </c>
      <c r="SCW671" t="str">
        <f>IFERROR(VLOOKUP(SCX671,'[3]Raw material  (3)'!SCV653:SDN3729,3,0),"")</f>
        <v/>
      </c>
      <c r="SCX671" t="str">
        <f>IFERROR(VLOOKUP(SCY671,'[3]Raw material  (3)'!SCW653:SDO3729,3,0),"")</f>
        <v/>
      </c>
      <c r="SCY671" t="str">
        <f>IFERROR(VLOOKUP(SCZ671,'[3]Raw material  (3)'!SCX653:SDP3729,3,0),"")</f>
        <v/>
      </c>
      <c r="SCZ671" t="str">
        <f>IFERROR(VLOOKUP(SDA671,'[3]Raw material  (3)'!SCY653:SDQ3729,3,0),"")</f>
        <v/>
      </c>
      <c r="SDA671" t="str">
        <f>IFERROR(VLOOKUP(SDB671,'[3]Raw material  (3)'!SCZ653:SDR3729,3,0),"")</f>
        <v/>
      </c>
      <c r="SDB671" t="str">
        <f>IFERROR(VLOOKUP(SDC671,'[3]Raw material  (3)'!SDA653:SDS3729,3,0),"")</f>
        <v/>
      </c>
      <c r="SDC671" t="str">
        <f>IFERROR(VLOOKUP(SDD671,'[3]Raw material  (3)'!SDB653:SDT3729,3,0),"")</f>
        <v/>
      </c>
      <c r="SDD671" t="str">
        <f>IFERROR(VLOOKUP(SDE671,'[3]Raw material  (3)'!SDC653:SDU3729,3,0),"")</f>
        <v/>
      </c>
      <c r="SDE671" t="str">
        <f>IFERROR(VLOOKUP(SDF671,'[3]Raw material  (3)'!SDD653:SDV3729,3,0),"")</f>
        <v/>
      </c>
      <c r="SDF671" t="str">
        <f>IFERROR(VLOOKUP(SDG671,'[3]Raw material  (3)'!SDE653:SDW3729,3,0),"")</f>
        <v/>
      </c>
      <c r="SDG671" t="str">
        <f>IFERROR(VLOOKUP(SDH671,'[3]Raw material  (3)'!SDF653:SDX3729,3,0),"")</f>
        <v/>
      </c>
      <c r="SDH671" t="str">
        <f>IFERROR(VLOOKUP(SDI671,'[3]Raw material  (3)'!SDG653:SDY3729,3,0),"")</f>
        <v/>
      </c>
      <c r="SDI671" t="str">
        <f>IFERROR(VLOOKUP(SDJ671,'[3]Raw material  (3)'!SDH653:SDZ3729,3,0),"")</f>
        <v/>
      </c>
      <c r="SDJ671" t="str">
        <f>IFERROR(VLOOKUP(SDK671,'[3]Raw material  (3)'!SDI653:SEA3729,3,0),"")</f>
        <v/>
      </c>
      <c r="SDK671" t="str">
        <f>IFERROR(VLOOKUP(SDL671,'[3]Raw material  (3)'!SDJ653:SEB3729,3,0),"")</f>
        <v/>
      </c>
      <c r="SDL671" t="str">
        <f>IFERROR(VLOOKUP(SDM671,'[3]Raw material  (3)'!SDK653:SEC3729,3,0),"")</f>
        <v/>
      </c>
      <c r="SDM671" t="str">
        <f>IFERROR(VLOOKUP(SDN671,'[3]Raw material  (3)'!SDL653:SED3729,3,0),"")</f>
        <v/>
      </c>
      <c r="SDN671" t="str">
        <f>IFERROR(VLOOKUP(SDO671,'[3]Raw material  (3)'!SDM653:SEE3729,3,0),"")</f>
        <v/>
      </c>
      <c r="SDO671" t="str">
        <f>IFERROR(VLOOKUP(SDP671,'[3]Raw material  (3)'!SDN653:SEF3729,3,0),"")</f>
        <v/>
      </c>
      <c r="SDP671" t="str">
        <f>IFERROR(VLOOKUP(SDQ671,'[3]Raw material  (3)'!SDO653:SEG3729,3,0),"")</f>
        <v/>
      </c>
      <c r="SDQ671" t="str">
        <f>IFERROR(VLOOKUP(SDR671,'[3]Raw material  (3)'!SDP653:SEH3729,3,0),"")</f>
        <v/>
      </c>
      <c r="SDR671" t="str">
        <f>IFERROR(VLOOKUP(SDS671,'[3]Raw material  (3)'!SDQ653:SEI3729,3,0),"")</f>
        <v/>
      </c>
      <c r="SDS671" t="str">
        <f>IFERROR(VLOOKUP(SDT671,'[3]Raw material  (3)'!SDR653:SEJ3729,3,0),"")</f>
        <v/>
      </c>
      <c r="SDT671" t="str">
        <f>IFERROR(VLOOKUP(SDU671,'[3]Raw material  (3)'!SDS653:SEK3729,3,0),"")</f>
        <v/>
      </c>
      <c r="SDU671" t="str">
        <f>IFERROR(VLOOKUP(SDV671,'[3]Raw material  (3)'!SDT653:SEL3729,3,0),"")</f>
        <v/>
      </c>
      <c r="SDV671" t="str">
        <f>IFERROR(VLOOKUP(SDW671,'[3]Raw material  (3)'!SDU653:SEM3729,3,0),"")</f>
        <v/>
      </c>
      <c r="SDW671" t="str">
        <f>IFERROR(VLOOKUP(SDX671,'[3]Raw material  (3)'!SDV653:SEN3729,3,0),"")</f>
        <v/>
      </c>
      <c r="SDX671" t="str">
        <f>IFERROR(VLOOKUP(SDY671,'[3]Raw material  (3)'!SDW653:SEO3729,3,0),"")</f>
        <v/>
      </c>
      <c r="SDY671" t="str">
        <f>IFERROR(VLOOKUP(SDZ671,'[3]Raw material  (3)'!SDX653:SEP3729,3,0),"")</f>
        <v/>
      </c>
      <c r="SDZ671" t="str">
        <f>IFERROR(VLOOKUP(SEA671,'[3]Raw material  (3)'!SDY653:SEQ3729,3,0),"")</f>
        <v/>
      </c>
      <c r="SEA671" t="str">
        <f>IFERROR(VLOOKUP(SEB671,'[3]Raw material  (3)'!SDZ653:SER3729,3,0),"")</f>
        <v/>
      </c>
      <c r="SEB671" t="str">
        <f>IFERROR(VLOOKUP(SEC671,'[3]Raw material  (3)'!SEA653:SES3729,3,0),"")</f>
        <v/>
      </c>
      <c r="SEC671" t="str">
        <f>IFERROR(VLOOKUP(SED671,'[3]Raw material  (3)'!SEB653:SET3729,3,0),"")</f>
        <v/>
      </c>
      <c r="SED671" t="str">
        <f>IFERROR(VLOOKUP(SEE671,'[3]Raw material  (3)'!SEC653:SEU3729,3,0),"")</f>
        <v/>
      </c>
      <c r="SEE671" t="str">
        <f>IFERROR(VLOOKUP(SEF671,'[3]Raw material  (3)'!SED653:SEV3729,3,0),"")</f>
        <v/>
      </c>
      <c r="SEF671" t="str">
        <f>IFERROR(VLOOKUP(SEG671,'[3]Raw material  (3)'!SEE653:SEW3729,3,0),"")</f>
        <v/>
      </c>
      <c r="SEG671" t="str">
        <f>IFERROR(VLOOKUP(SEH671,'[3]Raw material  (3)'!SEF653:SEX3729,3,0),"")</f>
        <v/>
      </c>
      <c r="SEH671" t="str">
        <f>IFERROR(VLOOKUP(SEI671,'[3]Raw material  (3)'!SEG653:SEY3729,3,0),"")</f>
        <v/>
      </c>
      <c r="SEI671" t="str">
        <f>IFERROR(VLOOKUP(SEJ671,'[3]Raw material  (3)'!SEH653:SEZ3729,3,0),"")</f>
        <v/>
      </c>
      <c r="SEJ671" t="str">
        <f>IFERROR(VLOOKUP(SEK671,'[3]Raw material  (3)'!SEI653:SFA3729,3,0),"")</f>
        <v/>
      </c>
      <c r="SEK671" t="str">
        <f>IFERROR(VLOOKUP(SEL671,'[3]Raw material  (3)'!SEJ653:SFB3729,3,0),"")</f>
        <v/>
      </c>
      <c r="SEL671" t="str">
        <f>IFERROR(VLOOKUP(SEM671,'[3]Raw material  (3)'!SEK653:SFC3729,3,0),"")</f>
        <v/>
      </c>
      <c r="SEM671" t="str">
        <f>IFERROR(VLOOKUP(SEN671,'[3]Raw material  (3)'!SEL653:SFD3729,3,0),"")</f>
        <v/>
      </c>
      <c r="SEN671" t="str">
        <f>IFERROR(VLOOKUP(SEO671,'[3]Raw material  (3)'!SEM653:SFE3729,3,0),"")</f>
        <v/>
      </c>
      <c r="SEO671" t="str">
        <f>IFERROR(VLOOKUP(SEP671,'[3]Raw material  (3)'!SEN653:SFF3729,3,0),"")</f>
        <v/>
      </c>
      <c r="SEP671" t="str">
        <f>IFERROR(VLOOKUP(SEQ671,'[3]Raw material  (3)'!SEO653:SFG3729,3,0),"")</f>
        <v/>
      </c>
      <c r="SEQ671" t="str">
        <f>IFERROR(VLOOKUP(SER671,'[3]Raw material  (3)'!SEP653:SFH3729,3,0),"")</f>
        <v/>
      </c>
      <c r="SER671" t="str">
        <f>IFERROR(VLOOKUP(SES671,'[3]Raw material  (3)'!SEQ653:SFI3729,3,0),"")</f>
        <v/>
      </c>
      <c r="SES671" t="str">
        <f>IFERROR(VLOOKUP(SET671,'[3]Raw material  (3)'!SER653:SFJ3729,3,0),"")</f>
        <v/>
      </c>
      <c r="SET671" t="str">
        <f>IFERROR(VLOOKUP(SEU671,'[3]Raw material  (3)'!SES653:SFK3729,3,0),"")</f>
        <v/>
      </c>
      <c r="SEU671" t="str">
        <f>IFERROR(VLOOKUP(SEV671,'[3]Raw material  (3)'!SET653:SFL3729,3,0),"")</f>
        <v/>
      </c>
      <c r="SEV671" t="str">
        <f>IFERROR(VLOOKUP(SEW671,'[3]Raw material  (3)'!SEU653:SFM3729,3,0),"")</f>
        <v/>
      </c>
      <c r="SEW671" t="str">
        <f>IFERROR(VLOOKUP(SEX671,'[3]Raw material  (3)'!SEV653:SFN3729,3,0),"")</f>
        <v/>
      </c>
      <c r="SEX671" t="str">
        <f>IFERROR(VLOOKUP(SEY671,'[3]Raw material  (3)'!SEW653:SFO3729,3,0),"")</f>
        <v/>
      </c>
      <c r="SEY671" t="str">
        <f>IFERROR(VLOOKUP(SEZ671,'[3]Raw material  (3)'!SEX653:SFP3729,3,0),"")</f>
        <v/>
      </c>
      <c r="SEZ671" t="str">
        <f>IFERROR(VLOOKUP(SFA671,'[3]Raw material  (3)'!SEY653:SFQ3729,3,0),"")</f>
        <v/>
      </c>
      <c r="SFA671" t="str">
        <f>IFERROR(VLOOKUP(SFB671,'[3]Raw material  (3)'!SEZ653:SFR3729,3,0),"")</f>
        <v/>
      </c>
      <c r="SFB671" t="str">
        <f>IFERROR(VLOOKUP(SFC671,'[3]Raw material  (3)'!SFA653:SFS3729,3,0),"")</f>
        <v/>
      </c>
      <c r="SFC671" t="str">
        <f>IFERROR(VLOOKUP(SFD671,'[3]Raw material  (3)'!SFB653:SFT3729,3,0),"")</f>
        <v/>
      </c>
      <c r="SFD671" t="str">
        <f>IFERROR(VLOOKUP(SFE671,'[3]Raw material  (3)'!SFC653:SFU3729,3,0),"")</f>
        <v/>
      </c>
      <c r="SFE671" t="str">
        <f>IFERROR(VLOOKUP(SFF671,'[3]Raw material  (3)'!SFD653:SFV3729,3,0),"")</f>
        <v/>
      </c>
      <c r="SFF671" t="str">
        <f>IFERROR(VLOOKUP(SFG671,'[3]Raw material  (3)'!SFE653:SFW3729,3,0),"")</f>
        <v/>
      </c>
      <c r="SFG671" t="str">
        <f>IFERROR(VLOOKUP(SFH671,'[3]Raw material  (3)'!SFF653:SFX3729,3,0),"")</f>
        <v/>
      </c>
      <c r="SFH671" t="str">
        <f>IFERROR(VLOOKUP(SFI671,'[3]Raw material  (3)'!SFG653:SFY3729,3,0),"")</f>
        <v/>
      </c>
      <c r="SFI671" t="str">
        <f>IFERROR(VLOOKUP(SFJ671,'[3]Raw material  (3)'!SFH653:SFZ3729,3,0),"")</f>
        <v/>
      </c>
      <c r="SFJ671" t="str">
        <f>IFERROR(VLOOKUP(SFK671,'[3]Raw material  (3)'!SFI653:SGA3729,3,0),"")</f>
        <v/>
      </c>
      <c r="SFK671" t="str">
        <f>IFERROR(VLOOKUP(SFL671,'[3]Raw material  (3)'!SFJ653:SGB3729,3,0),"")</f>
        <v/>
      </c>
      <c r="SFL671" t="str">
        <f>IFERROR(VLOOKUP(SFM671,'[3]Raw material  (3)'!SFK653:SGC3729,3,0),"")</f>
        <v/>
      </c>
      <c r="SFM671" t="str">
        <f>IFERROR(VLOOKUP(SFN671,'[3]Raw material  (3)'!SFL653:SGD3729,3,0),"")</f>
        <v/>
      </c>
      <c r="SFN671" t="str">
        <f>IFERROR(VLOOKUP(SFO671,'[3]Raw material  (3)'!SFM653:SGE3729,3,0),"")</f>
        <v/>
      </c>
      <c r="SFO671" t="str">
        <f>IFERROR(VLOOKUP(SFP671,'[3]Raw material  (3)'!SFN653:SGF3729,3,0),"")</f>
        <v/>
      </c>
      <c r="SFP671" t="str">
        <f>IFERROR(VLOOKUP(SFQ671,'[3]Raw material  (3)'!SFO653:SGG3729,3,0),"")</f>
        <v/>
      </c>
      <c r="SFQ671" t="str">
        <f>IFERROR(VLOOKUP(SFR671,'[3]Raw material  (3)'!SFP653:SGH3729,3,0),"")</f>
        <v/>
      </c>
      <c r="SFR671" t="str">
        <f>IFERROR(VLOOKUP(SFS671,'[3]Raw material  (3)'!SFQ653:SGI3729,3,0),"")</f>
        <v/>
      </c>
      <c r="SFS671" t="str">
        <f>IFERROR(VLOOKUP(SFT671,'[3]Raw material  (3)'!SFR653:SGJ3729,3,0),"")</f>
        <v/>
      </c>
      <c r="SFT671" t="str">
        <f>IFERROR(VLOOKUP(SFU671,'[3]Raw material  (3)'!SFS653:SGK3729,3,0),"")</f>
        <v/>
      </c>
      <c r="SFU671" t="str">
        <f>IFERROR(VLOOKUP(SFV671,'[3]Raw material  (3)'!SFT653:SGL3729,3,0),"")</f>
        <v/>
      </c>
      <c r="SFV671" t="str">
        <f>IFERROR(VLOOKUP(SFW671,'[3]Raw material  (3)'!SFU653:SGM3729,3,0),"")</f>
        <v/>
      </c>
      <c r="SFW671" t="str">
        <f>IFERROR(VLOOKUP(SFX671,'[3]Raw material  (3)'!SFV653:SGN3729,3,0),"")</f>
        <v/>
      </c>
      <c r="SFX671" t="str">
        <f>IFERROR(VLOOKUP(SFY671,'[3]Raw material  (3)'!SFW653:SGO3729,3,0),"")</f>
        <v/>
      </c>
      <c r="SFY671" t="str">
        <f>IFERROR(VLOOKUP(SFZ671,'[3]Raw material  (3)'!SFX653:SGP3729,3,0),"")</f>
        <v/>
      </c>
      <c r="SFZ671" t="str">
        <f>IFERROR(VLOOKUP(SGA671,'[3]Raw material  (3)'!SFY653:SGQ3729,3,0),"")</f>
        <v/>
      </c>
      <c r="SGA671" t="str">
        <f>IFERROR(VLOOKUP(SGB671,'[3]Raw material  (3)'!SFZ653:SGR3729,3,0),"")</f>
        <v/>
      </c>
      <c r="SGB671" t="str">
        <f>IFERROR(VLOOKUP(SGC671,'[3]Raw material  (3)'!SGA653:SGS3729,3,0),"")</f>
        <v/>
      </c>
      <c r="SGC671" t="str">
        <f>IFERROR(VLOOKUP(SGD671,'[3]Raw material  (3)'!SGB653:SGT3729,3,0),"")</f>
        <v/>
      </c>
      <c r="SGD671" t="str">
        <f>IFERROR(VLOOKUP(SGE671,'[3]Raw material  (3)'!SGC653:SGU3729,3,0),"")</f>
        <v/>
      </c>
      <c r="SGE671" t="str">
        <f>IFERROR(VLOOKUP(SGF671,'[3]Raw material  (3)'!SGD653:SGV3729,3,0),"")</f>
        <v/>
      </c>
      <c r="SGF671" t="str">
        <f>IFERROR(VLOOKUP(SGG671,'[3]Raw material  (3)'!SGE653:SGW3729,3,0),"")</f>
        <v/>
      </c>
      <c r="SGG671" t="str">
        <f>IFERROR(VLOOKUP(SGH671,'[3]Raw material  (3)'!SGF653:SGX3729,3,0),"")</f>
        <v/>
      </c>
      <c r="SGH671" t="str">
        <f>IFERROR(VLOOKUP(SGI671,'[3]Raw material  (3)'!SGG653:SGY3729,3,0),"")</f>
        <v/>
      </c>
      <c r="SGI671" t="str">
        <f>IFERROR(VLOOKUP(SGJ671,'[3]Raw material  (3)'!SGH653:SGZ3729,3,0),"")</f>
        <v/>
      </c>
      <c r="SGJ671" t="str">
        <f>IFERROR(VLOOKUP(SGK671,'[3]Raw material  (3)'!SGI653:SHA3729,3,0),"")</f>
        <v/>
      </c>
      <c r="SGK671" t="str">
        <f>IFERROR(VLOOKUP(SGL671,'[3]Raw material  (3)'!SGJ653:SHB3729,3,0),"")</f>
        <v/>
      </c>
      <c r="SGL671" t="str">
        <f>IFERROR(VLOOKUP(SGM671,'[3]Raw material  (3)'!SGK653:SHC3729,3,0),"")</f>
        <v/>
      </c>
      <c r="SGM671" t="str">
        <f>IFERROR(VLOOKUP(SGN671,'[3]Raw material  (3)'!SGL653:SHD3729,3,0),"")</f>
        <v/>
      </c>
      <c r="SGN671" t="str">
        <f>IFERROR(VLOOKUP(SGO671,'[3]Raw material  (3)'!SGM653:SHE3729,3,0),"")</f>
        <v/>
      </c>
      <c r="SGO671" t="str">
        <f>IFERROR(VLOOKUP(SGP671,'[3]Raw material  (3)'!SGN653:SHF3729,3,0),"")</f>
        <v/>
      </c>
      <c r="SGP671" t="str">
        <f>IFERROR(VLOOKUP(SGQ671,'[3]Raw material  (3)'!SGO653:SHG3729,3,0),"")</f>
        <v/>
      </c>
      <c r="SGQ671" t="str">
        <f>IFERROR(VLOOKUP(SGR671,'[3]Raw material  (3)'!SGP653:SHH3729,3,0),"")</f>
        <v/>
      </c>
      <c r="SGR671" t="str">
        <f>IFERROR(VLOOKUP(SGS671,'[3]Raw material  (3)'!SGQ653:SHI3729,3,0),"")</f>
        <v/>
      </c>
      <c r="SGS671" t="str">
        <f>IFERROR(VLOOKUP(SGT671,'[3]Raw material  (3)'!SGR653:SHJ3729,3,0),"")</f>
        <v/>
      </c>
      <c r="SGT671" t="str">
        <f>IFERROR(VLOOKUP(SGU671,'[3]Raw material  (3)'!SGS653:SHK3729,3,0),"")</f>
        <v/>
      </c>
      <c r="SGU671" t="str">
        <f>IFERROR(VLOOKUP(SGV671,'[3]Raw material  (3)'!SGT653:SHL3729,3,0),"")</f>
        <v/>
      </c>
      <c r="SGV671" t="str">
        <f>IFERROR(VLOOKUP(SGW671,'[3]Raw material  (3)'!SGU653:SHM3729,3,0),"")</f>
        <v/>
      </c>
      <c r="SGW671" t="str">
        <f>IFERROR(VLOOKUP(SGX671,'[3]Raw material  (3)'!SGV653:SHN3729,3,0),"")</f>
        <v/>
      </c>
      <c r="SGX671" t="str">
        <f>IFERROR(VLOOKUP(SGY671,'[3]Raw material  (3)'!SGW653:SHO3729,3,0),"")</f>
        <v/>
      </c>
      <c r="SGY671" t="str">
        <f>IFERROR(VLOOKUP(SGZ671,'[3]Raw material  (3)'!SGX653:SHP3729,3,0),"")</f>
        <v/>
      </c>
      <c r="SGZ671" t="str">
        <f>IFERROR(VLOOKUP(SHA671,'[3]Raw material  (3)'!SGY653:SHQ3729,3,0),"")</f>
        <v/>
      </c>
      <c r="SHA671" t="str">
        <f>IFERROR(VLOOKUP(SHB671,'[3]Raw material  (3)'!SGZ653:SHR3729,3,0),"")</f>
        <v/>
      </c>
      <c r="SHB671" t="str">
        <f>IFERROR(VLOOKUP(SHC671,'[3]Raw material  (3)'!SHA653:SHS3729,3,0),"")</f>
        <v/>
      </c>
      <c r="SHC671" t="str">
        <f>IFERROR(VLOOKUP(SHD671,'[3]Raw material  (3)'!SHB653:SHT3729,3,0),"")</f>
        <v/>
      </c>
      <c r="SHD671" t="str">
        <f>IFERROR(VLOOKUP(SHE671,'[3]Raw material  (3)'!SHC653:SHU3729,3,0),"")</f>
        <v/>
      </c>
      <c r="SHE671" t="str">
        <f>IFERROR(VLOOKUP(SHF671,'[3]Raw material  (3)'!SHD653:SHV3729,3,0),"")</f>
        <v/>
      </c>
      <c r="SHF671" t="str">
        <f>IFERROR(VLOOKUP(SHG671,'[3]Raw material  (3)'!SHE653:SHW3729,3,0),"")</f>
        <v/>
      </c>
      <c r="SHG671" t="str">
        <f>IFERROR(VLOOKUP(SHH671,'[3]Raw material  (3)'!SHF653:SHX3729,3,0),"")</f>
        <v/>
      </c>
      <c r="SHH671" t="str">
        <f>IFERROR(VLOOKUP(SHI671,'[3]Raw material  (3)'!SHG653:SHY3729,3,0),"")</f>
        <v/>
      </c>
      <c r="SHI671" t="str">
        <f>IFERROR(VLOOKUP(SHJ671,'[3]Raw material  (3)'!SHH653:SHZ3729,3,0),"")</f>
        <v/>
      </c>
      <c r="SHJ671" t="str">
        <f>IFERROR(VLOOKUP(SHK671,'[3]Raw material  (3)'!SHI653:SIA3729,3,0),"")</f>
        <v/>
      </c>
      <c r="SHK671" t="str">
        <f>IFERROR(VLOOKUP(SHL671,'[3]Raw material  (3)'!SHJ653:SIB3729,3,0),"")</f>
        <v/>
      </c>
      <c r="SHL671" t="str">
        <f>IFERROR(VLOOKUP(SHM671,'[3]Raw material  (3)'!SHK653:SIC3729,3,0),"")</f>
        <v/>
      </c>
      <c r="SHM671" t="str">
        <f>IFERROR(VLOOKUP(SHN671,'[3]Raw material  (3)'!SHL653:SID3729,3,0),"")</f>
        <v/>
      </c>
      <c r="SHN671" t="str">
        <f>IFERROR(VLOOKUP(SHO671,'[3]Raw material  (3)'!SHM653:SIE3729,3,0),"")</f>
        <v/>
      </c>
      <c r="SHO671" t="str">
        <f>IFERROR(VLOOKUP(SHP671,'[3]Raw material  (3)'!SHN653:SIF3729,3,0),"")</f>
        <v/>
      </c>
      <c r="SHP671" t="str">
        <f>IFERROR(VLOOKUP(SHQ671,'[3]Raw material  (3)'!SHO653:SIG3729,3,0),"")</f>
        <v/>
      </c>
      <c r="SHQ671" t="str">
        <f>IFERROR(VLOOKUP(SHR671,'[3]Raw material  (3)'!SHP653:SIH3729,3,0),"")</f>
        <v/>
      </c>
      <c r="SHR671" t="str">
        <f>IFERROR(VLOOKUP(SHS671,'[3]Raw material  (3)'!SHQ653:SII3729,3,0),"")</f>
        <v/>
      </c>
      <c r="SHS671" t="str">
        <f>IFERROR(VLOOKUP(SHT671,'[3]Raw material  (3)'!SHR653:SIJ3729,3,0),"")</f>
        <v/>
      </c>
      <c r="SHT671" t="str">
        <f>IFERROR(VLOOKUP(SHU671,'[3]Raw material  (3)'!SHS653:SIK3729,3,0),"")</f>
        <v/>
      </c>
      <c r="SHU671" t="str">
        <f>IFERROR(VLOOKUP(SHV671,'[3]Raw material  (3)'!SHT653:SIL3729,3,0),"")</f>
        <v/>
      </c>
      <c r="SHV671" t="str">
        <f>IFERROR(VLOOKUP(SHW671,'[3]Raw material  (3)'!SHU653:SIM3729,3,0),"")</f>
        <v/>
      </c>
      <c r="SHW671" t="str">
        <f>IFERROR(VLOOKUP(SHX671,'[3]Raw material  (3)'!SHV653:SIN3729,3,0),"")</f>
        <v/>
      </c>
      <c r="SHX671" t="str">
        <f>IFERROR(VLOOKUP(SHY671,'[3]Raw material  (3)'!SHW653:SIO3729,3,0),"")</f>
        <v/>
      </c>
      <c r="SHY671" t="str">
        <f>IFERROR(VLOOKUP(SHZ671,'[3]Raw material  (3)'!SHX653:SIP3729,3,0),"")</f>
        <v/>
      </c>
      <c r="SHZ671" t="str">
        <f>IFERROR(VLOOKUP(SIA671,'[3]Raw material  (3)'!SHY653:SIQ3729,3,0),"")</f>
        <v/>
      </c>
      <c r="SIA671" t="str">
        <f>IFERROR(VLOOKUP(SIB671,'[3]Raw material  (3)'!SHZ653:SIR3729,3,0),"")</f>
        <v/>
      </c>
      <c r="SIB671" t="str">
        <f>IFERROR(VLOOKUP(SIC671,'[3]Raw material  (3)'!SIA653:SIS3729,3,0),"")</f>
        <v/>
      </c>
      <c r="SIC671" t="str">
        <f>IFERROR(VLOOKUP(SID671,'[3]Raw material  (3)'!SIB653:SIT3729,3,0),"")</f>
        <v/>
      </c>
      <c r="SID671" t="str">
        <f>IFERROR(VLOOKUP(SIE671,'[3]Raw material  (3)'!SIC653:SIU3729,3,0),"")</f>
        <v/>
      </c>
      <c r="SIE671" t="str">
        <f>IFERROR(VLOOKUP(SIF671,'[3]Raw material  (3)'!SID653:SIV3729,3,0),"")</f>
        <v/>
      </c>
      <c r="SIF671" t="str">
        <f>IFERROR(VLOOKUP(SIG671,'[3]Raw material  (3)'!SIE653:SIW3729,3,0),"")</f>
        <v/>
      </c>
      <c r="SIG671" t="str">
        <f>IFERROR(VLOOKUP(SIH671,'[3]Raw material  (3)'!SIF653:SIX3729,3,0),"")</f>
        <v/>
      </c>
      <c r="SIH671" t="str">
        <f>IFERROR(VLOOKUP(SII671,'[3]Raw material  (3)'!SIG653:SIY3729,3,0),"")</f>
        <v/>
      </c>
      <c r="SII671" t="str">
        <f>IFERROR(VLOOKUP(SIJ671,'[3]Raw material  (3)'!SIH653:SIZ3729,3,0),"")</f>
        <v/>
      </c>
      <c r="SIJ671" t="str">
        <f>IFERROR(VLOOKUP(SIK671,'[3]Raw material  (3)'!SII653:SJA3729,3,0),"")</f>
        <v/>
      </c>
      <c r="SIK671" t="str">
        <f>IFERROR(VLOOKUP(SIL671,'[3]Raw material  (3)'!SIJ653:SJB3729,3,0),"")</f>
        <v/>
      </c>
      <c r="SIL671" t="str">
        <f>IFERROR(VLOOKUP(SIM671,'[3]Raw material  (3)'!SIK653:SJC3729,3,0),"")</f>
        <v/>
      </c>
      <c r="SIM671" t="str">
        <f>IFERROR(VLOOKUP(SIN671,'[3]Raw material  (3)'!SIL653:SJD3729,3,0),"")</f>
        <v/>
      </c>
      <c r="SIN671" t="str">
        <f>IFERROR(VLOOKUP(SIO671,'[3]Raw material  (3)'!SIM653:SJE3729,3,0),"")</f>
        <v/>
      </c>
      <c r="SIO671" t="str">
        <f>IFERROR(VLOOKUP(SIP671,'[3]Raw material  (3)'!SIN653:SJF3729,3,0),"")</f>
        <v/>
      </c>
      <c r="SIP671" t="str">
        <f>IFERROR(VLOOKUP(SIQ671,'[3]Raw material  (3)'!SIO653:SJG3729,3,0),"")</f>
        <v/>
      </c>
      <c r="SIQ671" t="str">
        <f>IFERROR(VLOOKUP(SIR671,'[3]Raw material  (3)'!SIP653:SJH3729,3,0),"")</f>
        <v/>
      </c>
      <c r="SIR671" t="str">
        <f>IFERROR(VLOOKUP(SIS671,'[3]Raw material  (3)'!SIQ653:SJI3729,3,0),"")</f>
        <v/>
      </c>
      <c r="SIS671" t="str">
        <f>IFERROR(VLOOKUP(SIT671,'[3]Raw material  (3)'!SIR653:SJJ3729,3,0),"")</f>
        <v/>
      </c>
      <c r="SIT671" t="str">
        <f>IFERROR(VLOOKUP(SIU671,'[3]Raw material  (3)'!SIS653:SJK3729,3,0),"")</f>
        <v/>
      </c>
      <c r="SIU671" t="str">
        <f>IFERROR(VLOOKUP(SIV671,'[3]Raw material  (3)'!SIT653:SJL3729,3,0),"")</f>
        <v/>
      </c>
      <c r="SIV671" t="str">
        <f>IFERROR(VLOOKUP(SIW671,'[3]Raw material  (3)'!SIU653:SJM3729,3,0),"")</f>
        <v/>
      </c>
      <c r="SIW671" t="str">
        <f>IFERROR(VLOOKUP(SIX671,'[3]Raw material  (3)'!SIV653:SJN3729,3,0),"")</f>
        <v/>
      </c>
      <c r="SIX671" t="str">
        <f>IFERROR(VLOOKUP(SIY671,'[3]Raw material  (3)'!SIW653:SJO3729,3,0),"")</f>
        <v/>
      </c>
      <c r="SIY671" t="str">
        <f>IFERROR(VLOOKUP(SIZ671,'[3]Raw material  (3)'!SIX653:SJP3729,3,0),"")</f>
        <v/>
      </c>
      <c r="SIZ671" t="str">
        <f>IFERROR(VLOOKUP(SJA671,'[3]Raw material  (3)'!SIY653:SJQ3729,3,0),"")</f>
        <v/>
      </c>
      <c r="SJA671" t="str">
        <f>IFERROR(VLOOKUP(SJB671,'[3]Raw material  (3)'!SIZ653:SJR3729,3,0),"")</f>
        <v/>
      </c>
      <c r="SJB671" t="str">
        <f>IFERROR(VLOOKUP(SJC671,'[3]Raw material  (3)'!SJA653:SJS3729,3,0),"")</f>
        <v/>
      </c>
      <c r="SJC671" t="str">
        <f>IFERROR(VLOOKUP(SJD671,'[3]Raw material  (3)'!SJB653:SJT3729,3,0),"")</f>
        <v/>
      </c>
      <c r="SJD671" t="str">
        <f>IFERROR(VLOOKUP(SJE671,'[3]Raw material  (3)'!SJC653:SJU3729,3,0),"")</f>
        <v/>
      </c>
      <c r="SJE671" t="str">
        <f>IFERROR(VLOOKUP(SJF671,'[3]Raw material  (3)'!SJD653:SJV3729,3,0),"")</f>
        <v/>
      </c>
      <c r="SJF671" t="str">
        <f>IFERROR(VLOOKUP(SJG671,'[3]Raw material  (3)'!SJE653:SJW3729,3,0),"")</f>
        <v/>
      </c>
      <c r="SJG671" t="str">
        <f>IFERROR(VLOOKUP(SJH671,'[3]Raw material  (3)'!SJF653:SJX3729,3,0),"")</f>
        <v/>
      </c>
      <c r="SJH671" t="str">
        <f>IFERROR(VLOOKUP(SJI671,'[3]Raw material  (3)'!SJG653:SJY3729,3,0),"")</f>
        <v/>
      </c>
      <c r="SJI671" t="str">
        <f>IFERROR(VLOOKUP(SJJ671,'[3]Raw material  (3)'!SJH653:SJZ3729,3,0),"")</f>
        <v/>
      </c>
      <c r="SJJ671" t="str">
        <f>IFERROR(VLOOKUP(SJK671,'[3]Raw material  (3)'!SJI653:SKA3729,3,0),"")</f>
        <v/>
      </c>
      <c r="SJK671" t="str">
        <f>IFERROR(VLOOKUP(SJL671,'[3]Raw material  (3)'!SJJ653:SKB3729,3,0),"")</f>
        <v/>
      </c>
      <c r="SJL671" t="str">
        <f>IFERROR(VLOOKUP(SJM671,'[3]Raw material  (3)'!SJK653:SKC3729,3,0),"")</f>
        <v/>
      </c>
      <c r="SJM671" t="str">
        <f>IFERROR(VLOOKUP(SJN671,'[3]Raw material  (3)'!SJL653:SKD3729,3,0),"")</f>
        <v/>
      </c>
      <c r="SJN671" t="str">
        <f>IFERROR(VLOOKUP(SJO671,'[3]Raw material  (3)'!SJM653:SKE3729,3,0),"")</f>
        <v/>
      </c>
      <c r="SJO671" t="str">
        <f>IFERROR(VLOOKUP(SJP671,'[3]Raw material  (3)'!SJN653:SKF3729,3,0),"")</f>
        <v/>
      </c>
      <c r="SJP671" t="str">
        <f>IFERROR(VLOOKUP(SJQ671,'[3]Raw material  (3)'!SJO653:SKG3729,3,0),"")</f>
        <v/>
      </c>
      <c r="SJQ671" t="str">
        <f>IFERROR(VLOOKUP(SJR671,'[3]Raw material  (3)'!SJP653:SKH3729,3,0),"")</f>
        <v/>
      </c>
      <c r="SJR671" t="str">
        <f>IFERROR(VLOOKUP(SJS671,'[3]Raw material  (3)'!SJQ653:SKI3729,3,0),"")</f>
        <v/>
      </c>
      <c r="SJS671" t="str">
        <f>IFERROR(VLOOKUP(SJT671,'[3]Raw material  (3)'!SJR653:SKJ3729,3,0),"")</f>
        <v/>
      </c>
      <c r="SJT671" t="str">
        <f>IFERROR(VLOOKUP(SJU671,'[3]Raw material  (3)'!SJS653:SKK3729,3,0),"")</f>
        <v/>
      </c>
      <c r="SJU671" t="str">
        <f>IFERROR(VLOOKUP(SJV671,'[3]Raw material  (3)'!SJT653:SKL3729,3,0),"")</f>
        <v/>
      </c>
      <c r="SJV671" t="str">
        <f>IFERROR(VLOOKUP(SJW671,'[3]Raw material  (3)'!SJU653:SKM3729,3,0),"")</f>
        <v/>
      </c>
      <c r="SJW671" t="str">
        <f>IFERROR(VLOOKUP(SJX671,'[3]Raw material  (3)'!SJV653:SKN3729,3,0),"")</f>
        <v/>
      </c>
      <c r="SJX671" t="str">
        <f>IFERROR(VLOOKUP(SJY671,'[3]Raw material  (3)'!SJW653:SKO3729,3,0),"")</f>
        <v/>
      </c>
      <c r="SJY671" t="str">
        <f>IFERROR(VLOOKUP(SJZ671,'[3]Raw material  (3)'!SJX653:SKP3729,3,0),"")</f>
        <v/>
      </c>
      <c r="SJZ671" t="str">
        <f>IFERROR(VLOOKUP(SKA671,'[3]Raw material  (3)'!SJY653:SKQ3729,3,0),"")</f>
        <v/>
      </c>
      <c r="SKA671" t="str">
        <f>IFERROR(VLOOKUP(SKB671,'[3]Raw material  (3)'!SJZ653:SKR3729,3,0),"")</f>
        <v/>
      </c>
      <c r="SKB671" t="str">
        <f>IFERROR(VLOOKUP(SKC671,'[3]Raw material  (3)'!SKA653:SKS3729,3,0),"")</f>
        <v/>
      </c>
      <c r="SKC671" t="str">
        <f>IFERROR(VLOOKUP(SKD671,'[3]Raw material  (3)'!SKB653:SKT3729,3,0),"")</f>
        <v/>
      </c>
      <c r="SKD671" t="str">
        <f>IFERROR(VLOOKUP(SKE671,'[3]Raw material  (3)'!SKC653:SKU3729,3,0),"")</f>
        <v/>
      </c>
      <c r="SKE671" t="str">
        <f>IFERROR(VLOOKUP(SKF671,'[3]Raw material  (3)'!SKD653:SKV3729,3,0),"")</f>
        <v/>
      </c>
      <c r="SKF671" t="str">
        <f>IFERROR(VLOOKUP(SKG671,'[3]Raw material  (3)'!SKE653:SKW3729,3,0),"")</f>
        <v/>
      </c>
      <c r="SKG671" t="str">
        <f>IFERROR(VLOOKUP(SKH671,'[3]Raw material  (3)'!SKF653:SKX3729,3,0),"")</f>
        <v/>
      </c>
      <c r="SKH671" t="str">
        <f>IFERROR(VLOOKUP(SKI671,'[3]Raw material  (3)'!SKG653:SKY3729,3,0),"")</f>
        <v/>
      </c>
      <c r="SKI671" t="str">
        <f>IFERROR(VLOOKUP(SKJ671,'[3]Raw material  (3)'!SKH653:SKZ3729,3,0),"")</f>
        <v/>
      </c>
      <c r="SKJ671" t="str">
        <f>IFERROR(VLOOKUP(SKK671,'[3]Raw material  (3)'!SKI653:SLA3729,3,0),"")</f>
        <v/>
      </c>
      <c r="SKK671" t="str">
        <f>IFERROR(VLOOKUP(SKL671,'[3]Raw material  (3)'!SKJ653:SLB3729,3,0),"")</f>
        <v/>
      </c>
      <c r="SKL671" t="str">
        <f>IFERROR(VLOOKUP(SKM671,'[3]Raw material  (3)'!SKK653:SLC3729,3,0),"")</f>
        <v/>
      </c>
      <c r="SKM671" t="str">
        <f>IFERROR(VLOOKUP(SKN671,'[3]Raw material  (3)'!SKL653:SLD3729,3,0),"")</f>
        <v/>
      </c>
      <c r="SKN671" t="str">
        <f>IFERROR(VLOOKUP(SKO671,'[3]Raw material  (3)'!SKM653:SLE3729,3,0),"")</f>
        <v/>
      </c>
      <c r="SKO671" t="str">
        <f>IFERROR(VLOOKUP(SKP671,'[3]Raw material  (3)'!SKN653:SLF3729,3,0),"")</f>
        <v/>
      </c>
      <c r="SKP671" t="str">
        <f>IFERROR(VLOOKUP(SKQ671,'[3]Raw material  (3)'!SKO653:SLG3729,3,0),"")</f>
        <v/>
      </c>
      <c r="SKQ671" t="str">
        <f>IFERROR(VLOOKUP(SKR671,'[3]Raw material  (3)'!SKP653:SLH3729,3,0),"")</f>
        <v/>
      </c>
      <c r="SKR671" t="str">
        <f>IFERROR(VLOOKUP(SKS671,'[3]Raw material  (3)'!SKQ653:SLI3729,3,0),"")</f>
        <v/>
      </c>
      <c r="SKS671" t="str">
        <f>IFERROR(VLOOKUP(SKT671,'[3]Raw material  (3)'!SKR653:SLJ3729,3,0),"")</f>
        <v/>
      </c>
      <c r="SKT671" t="str">
        <f>IFERROR(VLOOKUP(SKU671,'[3]Raw material  (3)'!SKS653:SLK3729,3,0),"")</f>
        <v/>
      </c>
      <c r="SKU671" t="str">
        <f>IFERROR(VLOOKUP(SKV671,'[3]Raw material  (3)'!SKT653:SLL3729,3,0),"")</f>
        <v/>
      </c>
      <c r="SKV671" t="str">
        <f>IFERROR(VLOOKUP(SKW671,'[3]Raw material  (3)'!SKU653:SLM3729,3,0),"")</f>
        <v/>
      </c>
      <c r="SKW671" t="str">
        <f>IFERROR(VLOOKUP(SKX671,'[3]Raw material  (3)'!SKV653:SLN3729,3,0),"")</f>
        <v/>
      </c>
      <c r="SKX671" t="str">
        <f>IFERROR(VLOOKUP(SKY671,'[3]Raw material  (3)'!SKW653:SLO3729,3,0),"")</f>
        <v/>
      </c>
      <c r="SKY671" t="str">
        <f>IFERROR(VLOOKUP(SKZ671,'[3]Raw material  (3)'!SKX653:SLP3729,3,0),"")</f>
        <v/>
      </c>
      <c r="SKZ671" t="str">
        <f>IFERROR(VLOOKUP(SLA671,'[3]Raw material  (3)'!SKY653:SLQ3729,3,0),"")</f>
        <v/>
      </c>
      <c r="SLA671" t="str">
        <f>IFERROR(VLOOKUP(SLB671,'[3]Raw material  (3)'!SKZ653:SLR3729,3,0),"")</f>
        <v/>
      </c>
      <c r="SLB671" t="str">
        <f>IFERROR(VLOOKUP(SLC671,'[3]Raw material  (3)'!SLA653:SLS3729,3,0),"")</f>
        <v/>
      </c>
      <c r="SLC671" t="str">
        <f>IFERROR(VLOOKUP(SLD671,'[3]Raw material  (3)'!SLB653:SLT3729,3,0),"")</f>
        <v/>
      </c>
      <c r="SLD671" t="str">
        <f>IFERROR(VLOOKUP(SLE671,'[3]Raw material  (3)'!SLC653:SLU3729,3,0),"")</f>
        <v/>
      </c>
      <c r="SLE671" t="str">
        <f>IFERROR(VLOOKUP(SLF671,'[3]Raw material  (3)'!SLD653:SLV3729,3,0),"")</f>
        <v/>
      </c>
      <c r="SLF671" t="str">
        <f>IFERROR(VLOOKUP(SLG671,'[3]Raw material  (3)'!SLE653:SLW3729,3,0),"")</f>
        <v/>
      </c>
      <c r="SLG671" t="str">
        <f>IFERROR(VLOOKUP(SLH671,'[3]Raw material  (3)'!SLF653:SLX3729,3,0),"")</f>
        <v/>
      </c>
      <c r="SLH671" t="str">
        <f>IFERROR(VLOOKUP(SLI671,'[3]Raw material  (3)'!SLG653:SLY3729,3,0),"")</f>
        <v/>
      </c>
      <c r="SLI671" t="str">
        <f>IFERROR(VLOOKUP(SLJ671,'[3]Raw material  (3)'!SLH653:SLZ3729,3,0),"")</f>
        <v/>
      </c>
      <c r="SLJ671" t="str">
        <f>IFERROR(VLOOKUP(SLK671,'[3]Raw material  (3)'!SLI653:SMA3729,3,0),"")</f>
        <v/>
      </c>
      <c r="SLK671" t="str">
        <f>IFERROR(VLOOKUP(SLL671,'[3]Raw material  (3)'!SLJ653:SMB3729,3,0),"")</f>
        <v/>
      </c>
      <c r="SLL671" t="str">
        <f>IFERROR(VLOOKUP(SLM671,'[3]Raw material  (3)'!SLK653:SMC3729,3,0),"")</f>
        <v/>
      </c>
      <c r="SLM671" t="str">
        <f>IFERROR(VLOOKUP(SLN671,'[3]Raw material  (3)'!SLL653:SMD3729,3,0),"")</f>
        <v/>
      </c>
      <c r="SLN671" t="str">
        <f>IFERROR(VLOOKUP(SLO671,'[3]Raw material  (3)'!SLM653:SME3729,3,0),"")</f>
        <v/>
      </c>
      <c r="SLO671" t="str">
        <f>IFERROR(VLOOKUP(SLP671,'[3]Raw material  (3)'!SLN653:SMF3729,3,0),"")</f>
        <v/>
      </c>
      <c r="SLP671" t="str">
        <f>IFERROR(VLOOKUP(SLQ671,'[3]Raw material  (3)'!SLO653:SMG3729,3,0),"")</f>
        <v/>
      </c>
      <c r="SLQ671" t="str">
        <f>IFERROR(VLOOKUP(SLR671,'[3]Raw material  (3)'!SLP653:SMH3729,3,0),"")</f>
        <v/>
      </c>
      <c r="SLR671" t="str">
        <f>IFERROR(VLOOKUP(SLS671,'[3]Raw material  (3)'!SLQ653:SMI3729,3,0),"")</f>
        <v/>
      </c>
      <c r="SLS671" t="str">
        <f>IFERROR(VLOOKUP(SLT671,'[3]Raw material  (3)'!SLR653:SMJ3729,3,0),"")</f>
        <v/>
      </c>
      <c r="SLT671" t="str">
        <f>IFERROR(VLOOKUP(SLU671,'[3]Raw material  (3)'!SLS653:SMK3729,3,0),"")</f>
        <v/>
      </c>
      <c r="SLU671" t="str">
        <f>IFERROR(VLOOKUP(SLV671,'[3]Raw material  (3)'!SLT653:SML3729,3,0),"")</f>
        <v/>
      </c>
      <c r="SLV671" t="str">
        <f>IFERROR(VLOOKUP(SLW671,'[3]Raw material  (3)'!SLU653:SMM3729,3,0),"")</f>
        <v/>
      </c>
      <c r="SLW671" t="str">
        <f>IFERROR(VLOOKUP(SLX671,'[3]Raw material  (3)'!SLV653:SMN3729,3,0),"")</f>
        <v/>
      </c>
      <c r="SLX671" t="str">
        <f>IFERROR(VLOOKUP(SLY671,'[3]Raw material  (3)'!SLW653:SMO3729,3,0),"")</f>
        <v/>
      </c>
      <c r="SLY671" t="str">
        <f>IFERROR(VLOOKUP(SLZ671,'[3]Raw material  (3)'!SLX653:SMP3729,3,0),"")</f>
        <v/>
      </c>
      <c r="SLZ671" t="str">
        <f>IFERROR(VLOOKUP(SMA671,'[3]Raw material  (3)'!SLY653:SMQ3729,3,0),"")</f>
        <v/>
      </c>
      <c r="SMA671" t="str">
        <f>IFERROR(VLOOKUP(SMB671,'[3]Raw material  (3)'!SLZ653:SMR3729,3,0),"")</f>
        <v/>
      </c>
      <c r="SMB671" t="str">
        <f>IFERROR(VLOOKUP(SMC671,'[3]Raw material  (3)'!SMA653:SMS3729,3,0),"")</f>
        <v/>
      </c>
      <c r="SMC671" t="str">
        <f>IFERROR(VLOOKUP(SMD671,'[3]Raw material  (3)'!SMB653:SMT3729,3,0),"")</f>
        <v/>
      </c>
      <c r="SMD671" t="str">
        <f>IFERROR(VLOOKUP(SME671,'[3]Raw material  (3)'!SMC653:SMU3729,3,0),"")</f>
        <v/>
      </c>
      <c r="SME671" t="str">
        <f>IFERROR(VLOOKUP(SMF671,'[3]Raw material  (3)'!SMD653:SMV3729,3,0),"")</f>
        <v/>
      </c>
      <c r="SMF671" t="str">
        <f>IFERROR(VLOOKUP(SMG671,'[3]Raw material  (3)'!SME653:SMW3729,3,0),"")</f>
        <v/>
      </c>
      <c r="SMG671" t="str">
        <f>IFERROR(VLOOKUP(SMH671,'[3]Raw material  (3)'!SMF653:SMX3729,3,0),"")</f>
        <v/>
      </c>
      <c r="SMH671" t="str">
        <f>IFERROR(VLOOKUP(SMI671,'[3]Raw material  (3)'!SMG653:SMY3729,3,0),"")</f>
        <v/>
      </c>
      <c r="SMI671" t="str">
        <f>IFERROR(VLOOKUP(SMJ671,'[3]Raw material  (3)'!SMH653:SMZ3729,3,0),"")</f>
        <v/>
      </c>
      <c r="SMJ671" t="str">
        <f>IFERROR(VLOOKUP(SMK671,'[3]Raw material  (3)'!SMI653:SNA3729,3,0),"")</f>
        <v/>
      </c>
      <c r="SMK671" t="str">
        <f>IFERROR(VLOOKUP(SML671,'[3]Raw material  (3)'!SMJ653:SNB3729,3,0),"")</f>
        <v/>
      </c>
      <c r="SML671" t="str">
        <f>IFERROR(VLOOKUP(SMM671,'[3]Raw material  (3)'!SMK653:SNC3729,3,0),"")</f>
        <v/>
      </c>
      <c r="SMM671" t="str">
        <f>IFERROR(VLOOKUP(SMN671,'[3]Raw material  (3)'!SML653:SND3729,3,0),"")</f>
        <v/>
      </c>
      <c r="SMN671" t="str">
        <f>IFERROR(VLOOKUP(SMO671,'[3]Raw material  (3)'!SMM653:SNE3729,3,0),"")</f>
        <v/>
      </c>
      <c r="SMO671" t="str">
        <f>IFERROR(VLOOKUP(SMP671,'[3]Raw material  (3)'!SMN653:SNF3729,3,0),"")</f>
        <v/>
      </c>
      <c r="SMP671" t="str">
        <f>IFERROR(VLOOKUP(SMQ671,'[3]Raw material  (3)'!SMO653:SNG3729,3,0),"")</f>
        <v/>
      </c>
      <c r="SMQ671" t="str">
        <f>IFERROR(VLOOKUP(SMR671,'[3]Raw material  (3)'!SMP653:SNH3729,3,0),"")</f>
        <v/>
      </c>
      <c r="SMR671" t="str">
        <f>IFERROR(VLOOKUP(SMS671,'[3]Raw material  (3)'!SMQ653:SNI3729,3,0),"")</f>
        <v/>
      </c>
      <c r="SMS671" t="str">
        <f>IFERROR(VLOOKUP(SMT671,'[3]Raw material  (3)'!SMR653:SNJ3729,3,0),"")</f>
        <v/>
      </c>
      <c r="SMT671" t="str">
        <f>IFERROR(VLOOKUP(SMU671,'[3]Raw material  (3)'!SMS653:SNK3729,3,0),"")</f>
        <v/>
      </c>
      <c r="SMU671" t="str">
        <f>IFERROR(VLOOKUP(SMV671,'[3]Raw material  (3)'!SMT653:SNL3729,3,0),"")</f>
        <v/>
      </c>
      <c r="SMV671" t="str">
        <f>IFERROR(VLOOKUP(SMW671,'[3]Raw material  (3)'!SMU653:SNM3729,3,0),"")</f>
        <v/>
      </c>
      <c r="SMW671" t="str">
        <f>IFERROR(VLOOKUP(SMX671,'[3]Raw material  (3)'!SMV653:SNN3729,3,0),"")</f>
        <v/>
      </c>
      <c r="SMX671" t="str">
        <f>IFERROR(VLOOKUP(SMY671,'[3]Raw material  (3)'!SMW653:SNO3729,3,0),"")</f>
        <v/>
      </c>
      <c r="SMY671" t="str">
        <f>IFERROR(VLOOKUP(SMZ671,'[3]Raw material  (3)'!SMX653:SNP3729,3,0),"")</f>
        <v/>
      </c>
      <c r="SMZ671" t="str">
        <f>IFERROR(VLOOKUP(SNA671,'[3]Raw material  (3)'!SMY653:SNQ3729,3,0),"")</f>
        <v/>
      </c>
      <c r="SNA671" t="str">
        <f>IFERROR(VLOOKUP(SNB671,'[3]Raw material  (3)'!SMZ653:SNR3729,3,0),"")</f>
        <v/>
      </c>
      <c r="SNB671" t="str">
        <f>IFERROR(VLOOKUP(SNC671,'[3]Raw material  (3)'!SNA653:SNS3729,3,0),"")</f>
        <v/>
      </c>
      <c r="SNC671" t="str">
        <f>IFERROR(VLOOKUP(SND671,'[3]Raw material  (3)'!SNB653:SNT3729,3,0),"")</f>
        <v/>
      </c>
      <c r="SND671" t="str">
        <f>IFERROR(VLOOKUP(SNE671,'[3]Raw material  (3)'!SNC653:SNU3729,3,0),"")</f>
        <v/>
      </c>
      <c r="SNE671" t="str">
        <f>IFERROR(VLOOKUP(SNF671,'[3]Raw material  (3)'!SND653:SNV3729,3,0),"")</f>
        <v/>
      </c>
      <c r="SNF671" t="str">
        <f>IFERROR(VLOOKUP(SNG671,'[3]Raw material  (3)'!SNE653:SNW3729,3,0),"")</f>
        <v/>
      </c>
      <c r="SNG671" t="str">
        <f>IFERROR(VLOOKUP(SNH671,'[3]Raw material  (3)'!SNF653:SNX3729,3,0),"")</f>
        <v/>
      </c>
      <c r="SNH671" t="str">
        <f>IFERROR(VLOOKUP(SNI671,'[3]Raw material  (3)'!SNG653:SNY3729,3,0),"")</f>
        <v/>
      </c>
      <c r="SNI671" t="str">
        <f>IFERROR(VLOOKUP(SNJ671,'[3]Raw material  (3)'!SNH653:SNZ3729,3,0),"")</f>
        <v/>
      </c>
      <c r="SNJ671" t="str">
        <f>IFERROR(VLOOKUP(SNK671,'[3]Raw material  (3)'!SNI653:SOA3729,3,0),"")</f>
        <v/>
      </c>
      <c r="SNK671" t="str">
        <f>IFERROR(VLOOKUP(SNL671,'[3]Raw material  (3)'!SNJ653:SOB3729,3,0),"")</f>
        <v/>
      </c>
      <c r="SNL671" t="str">
        <f>IFERROR(VLOOKUP(SNM671,'[3]Raw material  (3)'!SNK653:SOC3729,3,0),"")</f>
        <v/>
      </c>
      <c r="SNM671" t="str">
        <f>IFERROR(VLOOKUP(SNN671,'[3]Raw material  (3)'!SNL653:SOD3729,3,0),"")</f>
        <v/>
      </c>
      <c r="SNN671" t="str">
        <f>IFERROR(VLOOKUP(SNO671,'[3]Raw material  (3)'!SNM653:SOE3729,3,0),"")</f>
        <v/>
      </c>
      <c r="SNO671" t="str">
        <f>IFERROR(VLOOKUP(SNP671,'[3]Raw material  (3)'!SNN653:SOF3729,3,0),"")</f>
        <v/>
      </c>
      <c r="SNP671" t="str">
        <f>IFERROR(VLOOKUP(SNQ671,'[3]Raw material  (3)'!SNO653:SOG3729,3,0),"")</f>
        <v/>
      </c>
      <c r="SNQ671" t="str">
        <f>IFERROR(VLOOKUP(SNR671,'[3]Raw material  (3)'!SNP653:SOH3729,3,0),"")</f>
        <v/>
      </c>
      <c r="SNR671" t="str">
        <f>IFERROR(VLOOKUP(SNS671,'[3]Raw material  (3)'!SNQ653:SOI3729,3,0),"")</f>
        <v/>
      </c>
      <c r="SNS671" t="str">
        <f>IFERROR(VLOOKUP(SNT671,'[3]Raw material  (3)'!SNR653:SOJ3729,3,0),"")</f>
        <v/>
      </c>
      <c r="SNT671" t="str">
        <f>IFERROR(VLOOKUP(SNU671,'[3]Raw material  (3)'!SNS653:SOK3729,3,0),"")</f>
        <v/>
      </c>
      <c r="SNU671" t="str">
        <f>IFERROR(VLOOKUP(SNV671,'[3]Raw material  (3)'!SNT653:SOL3729,3,0),"")</f>
        <v/>
      </c>
      <c r="SNV671" t="str">
        <f>IFERROR(VLOOKUP(SNW671,'[3]Raw material  (3)'!SNU653:SOM3729,3,0),"")</f>
        <v/>
      </c>
      <c r="SNW671" t="str">
        <f>IFERROR(VLOOKUP(SNX671,'[3]Raw material  (3)'!SNV653:SON3729,3,0),"")</f>
        <v/>
      </c>
      <c r="SNX671" t="str">
        <f>IFERROR(VLOOKUP(SNY671,'[3]Raw material  (3)'!SNW653:SOO3729,3,0),"")</f>
        <v/>
      </c>
      <c r="SNY671" t="str">
        <f>IFERROR(VLOOKUP(SNZ671,'[3]Raw material  (3)'!SNX653:SOP3729,3,0),"")</f>
        <v/>
      </c>
      <c r="SNZ671" t="str">
        <f>IFERROR(VLOOKUP(SOA671,'[3]Raw material  (3)'!SNY653:SOQ3729,3,0),"")</f>
        <v/>
      </c>
      <c r="SOA671" t="str">
        <f>IFERROR(VLOOKUP(SOB671,'[3]Raw material  (3)'!SNZ653:SOR3729,3,0),"")</f>
        <v/>
      </c>
      <c r="SOB671" t="str">
        <f>IFERROR(VLOOKUP(SOC671,'[3]Raw material  (3)'!SOA653:SOS3729,3,0),"")</f>
        <v/>
      </c>
      <c r="SOC671" t="str">
        <f>IFERROR(VLOOKUP(SOD671,'[3]Raw material  (3)'!SOB653:SOT3729,3,0),"")</f>
        <v/>
      </c>
      <c r="SOD671" t="str">
        <f>IFERROR(VLOOKUP(SOE671,'[3]Raw material  (3)'!SOC653:SOU3729,3,0),"")</f>
        <v/>
      </c>
      <c r="SOE671" t="str">
        <f>IFERROR(VLOOKUP(SOF671,'[3]Raw material  (3)'!SOD653:SOV3729,3,0),"")</f>
        <v/>
      </c>
      <c r="SOF671" t="str">
        <f>IFERROR(VLOOKUP(SOG671,'[3]Raw material  (3)'!SOE653:SOW3729,3,0),"")</f>
        <v/>
      </c>
      <c r="SOG671" t="str">
        <f>IFERROR(VLOOKUP(SOH671,'[3]Raw material  (3)'!SOF653:SOX3729,3,0),"")</f>
        <v/>
      </c>
      <c r="SOH671" t="str">
        <f>IFERROR(VLOOKUP(SOI671,'[3]Raw material  (3)'!SOG653:SOY3729,3,0),"")</f>
        <v/>
      </c>
      <c r="SOI671" t="str">
        <f>IFERROR(VLOOKUP(SOJ671,'[3]Raw material  (3)'!SOH653:SOZ3729,3,0),"")</f>
        <v/>
      </c>
      <c r="SOJ671" t="str">
        <f>IFERROR(VLOOKUP(SOK671,'[3]Raw material  (3)'!SOI653:SPA3729,3,0),"")</f>
        <v/>
      </c>
      <c r="SOK671" t="str">
        <f>IFERROR(VLOOKUP(SOL671,'[3]Raw material  (3)'!SOJ653:SPB3729,3,0),"")</f>
        <v/>
      </c>
      <c r="SOL671" t="str">
        <f>IFERROR(VLOOKUP(SOM671,'[3]Raw material  (3)'!SOK653:SPC3729,3,0),"")</f>
        <v/>
      </c>
      <c r="SOM671" t="str">
        <f>IFERROR(VLOOKUP(SON671,'[3]Raw material  (3)'!SOL653:SPD3729,3,0),"")</f>
        <v/>
      </c>
      <c r="SON671" t="str">
        <f>IFERROR(VLOOKUP(SOO671,'[3]Raw material  (3)'!SOM653:SPE3729,3,0),"")</f>
        <v/>
      </c>
      <c r="SOO671" t="str">
        <f>IFERROR(VLOOKUP(SOP671,'[3]Raw material  (3)'!SON653:SPF3729,3,0),"")</f>
        <v/>
      </c>
      <c r="SOP671" t="str">
        <f>IFERROR(VLOOKUP(SOQ671,'[3]Raw material  (3)'!SOO653:SPG3729,3,0),"")</f>
        <v/>
      </c>
      <c r="SOQ671" t="str">
        <f>IFERROR(VLOOKUP(SOR671,'[3]Raw material  (3)'!SOP653:SPH3729,3,0),"")</f>
        <v/>
      </c>
      <c r="SOR671" t="str">
        <f>IFERROR(VLOOKUP(SOS671,'[3]Raw material  (3)'!SOQ653:SPI3729,3,0),"")</f>
        <v/>
      </c>
      <c r="SOS671" t="str">
        <f>IFERROR(VLOOKUP(SOT671,'[3]Raw material  (3)'!SOR653:SPJ3729,3,0),"")</f>
        <v/>
      </c>
      <c r="SOT671" t="str">
        <f>IFERROR(VLOOKUP(SOU671,'[3]Raw material  (3)'!SOS653:SPK3729,3,0),"")</f>
        <v/>
      </c>
      <c r="SOU671" t="str">
        <f>IFERROR(VLOOKUP(SOV671,'[3]Raw material  (3)'!SOT653:SPL3729,3,0),"")</f>
        <v/>
      </c>
      <c r="SOV671" t="str">
        <f>IFERROR(VLOOKUP(SOW671,'[3]Raw material  (3)'!SOU653:SPM3729,3,0),"")</f>
        <v/>
      </c>
      <c r="SOW671" t="str">
        <f>IFERROR(VLOOKUP(SOX671,'[3]Raw material  (3)'!SOV653:SPN3729,3,0),"")</f>
        <v/>
      </c>
      <c r="SOX671" t="str">
        <f>IFERROR(VLOOKUP(SOY671,'[3]Raw material  (3)'!SOW653:SPO3729,3,0),"")</f>
        <v/>
      </c>
      <c r="SOY671" t="str">
        <f>IFERROR(VLOOKUP(SOZ671,'[3]Raw material  (3)'!SOX653:SPP3729,3,0),"")</f>
        <v/>
      </c>
      <c r="SOZ671" t="str">
        <f>IFERROR(VLOOKUP(SPA671,'[3]Raw material  (3)'!SOY653:SPQ3729,3,0),"")</f>
        <v/>
      </c>
      <c r="SPA671" t="str">
        <f>IFERROR(VLOOKUP(SPB671,'[3]Raw material  (3)'!SOZ653:SPR3729,3,0),"")</f>
        <v/>
      </c>
      <c r="SPB671" t="str">
        <f>IFERROR(VLOOKUP(SPC671,'[3]Raw material  (3)'!SPA653:SPS3729,3,0),"")</f>
        <v/>
      </c>
      <c r="SPC671" t="str">
        <f>IFERROR(VLOOKUP(SPD671,'[3]Raw material  (3)'!SPB653:SPT3729,3,0),"")</f>
        <v/>
      </c>
      <c r="SPD671" t="str">
        <f>IFERROR(VLOOKUP(SPE671,'[3]Raw material  (3)'!SPC653:SPU3729,3,0),"")</f>
        <v/>
      </c>
      <c r="SPE671" t="str">
        <f>IFERROR(VLOOKUP(SPF671,'[3]Raw material  (3)'!SPD653:SPV3729,3,0),"")</f>
        <v/>
      </c>
      <c r="SPF671" t="str">
        <f>IFERROR(VLOOKUP(SPG671,'[3]Raw material  (3)'!SPE653:SPW3729,3,0),"")</f>
        <v/>
      </c>
      <c r="SPG671" t="str">
        <f>IFERROR(VLOOKUP(SPH671,'[3]Raw material  (3)'!SPF653:SPX3729,3,0),"")</f>
        <v/>
      </c>
      <c r="SPH671" t="str">
        <f>IFERROR(VLOOKUP(SPI671,'[3]Raw material  (3)'!SPG653:SPY3729,3,0),"")</f>
        <v/>
      </c>
      <c r="SPI671" t="str">
        <f>IFERROR(VLOOKUP(SPJ671,'[3]Raw material  (3)'!SPH653:SPZ3729,3,0),"")</f>
        <v/>
      </c>
      <c r="SPJ671" t="str">
        <f>IFERROR(VLOOKUP(SPK671,'[3]Raw material  (3)'!SPI653:SQA3729,3,0),"")</f>
        <v/>
      </c>
      <c r="SPK671" t="str">
        <f>IFERROR(VLOOKUP(SPL671,'[3]Raw material  (3)'!SPJ653:SQB3729,3,0),"")</f>
        <v/>
      </c>
      <c r="SPL671" t="str">
        <f>IFERROR(VLOOKUP(SPM671,'[3]Raw material  (3)'!SPK653:SQC3729,3,0),"")</f>
        <v/>
      </c>
      <c r="SPM671" t="str">
        <f>IFERROR(VLOOKUP(SPN671,'[3]Raw material  (3)'!SPL653:SQD3729,3,0),"")</f>
        <v/>
      </c>
      <c r="SPN671" t="str">
        <f>IFERROR(VLOOKUP(SPO671,'[3]Raw material  (3)'!SPM653:SQE3729,3,0),"")</f>
        <v/>
      </c>
      <c r="SPO671" t="str">
        <f>IFERROR(VLOOKUP(SPP671,'[3]Raw material  (3)'!SPN653:SQF3729,3,0),"")</f>
        <v/>
      </c>
      <c r="SPP671" t="str">
        <f>IFERROR(VLOOKUP(SPQ671,'[3]Raw material  (3)'!SPO653:SQG3729,3,0),"")</f>
        <v/>
      </c>
      <c r="SPQ671" t="str">
        <f>IFERROR(VLOOKUP(SPR671,'[3]Raw material  (3)'!SPP653:SQH3729,3,0),"")</f>
        <v/>
      </c>
      <c r="SPR671" t="str">
        <f>IFERROR(VLOOKUP(SPS671,'[3]Raw material  (3)'!SPQ653:SQI3729,3,0),"")</f>
        <v/>
      </c>
      <c r="SPS671" t="str">
        <f>IFERROR(VLOOKUP(SPT671,'[3]Raw material  (3)'!SPR653:SQJ3729,3,0),"")</f>
        <v/>
      </c>
      <c r="SPT671" t="str">
        <f>IFERROR(VLOOKUP(SPU671,'[3]Raw material  (3)'!SPS653:SQK3729,3,0),"")</f>
        <v/>
      </c>
      <c r="SPU671" t="str">
        <f>IFERROR(VLOOKUP(SPV671,'[3]Raw material  (3)'!SPT653:SQL3729,3,0),"")</f>
        <v/>
      </c>
      <c r="SPV671" t="str">
        <f>IFERROR(VLOOKUP(SPW671,'[3]Raw material  (3)'!SPU653:SQM3729,3,0),"")</f>
        <v/>
      </c>
      <c r="SPW671" t="str">
        <f>IFERROR(VLOOKUP(SPX671,'[3]Raw material  (3)'!SPV653:SQN3729,3,0),"")</f>
        <v/>
      </c>
      <c r="SPX671" t="str">
        <f>IFERROR(VLOOKUP(SPY671,'[3]Raw material  (3)'!SPW653:SQO3729,3,0),"")</f>
        <v/>
      </c>
      <c r="SPY671" t="str">
        <f>IFERROR(VLOOKUP(SPZ671,'[3]Raw material  (3)'!SPX653:SQP3729,3,0),"")</f>
        <v/>
      </c>
      <c r="SPZ671" t="str">
        <f>IFERROR(VLOOKUP(SQA671,'[3]Raw material  (3)'!SPY653:SQQ3729,3,0),"")</f>
        <v/>
      </c>
      <c r="SQA671" t="str">
        <f>IFERROR(VLOOKUP(SQB671,'[3]Raw material  (3)'!SPZ653:SQR3729,3,0),"")</f>
        <v/>
      </c>
      <c r="SQB671" t="str">
        <f>IFERROR(VLOOKUP(SQC671,'[3]Raw material  (3)'!SQA653:SQS3729,3,0),"")</f>
        <v/>
      </c>
      <c r="SQC671" t="str">
        <f>IFERROR(VLOOKUP(SQD671,'[3]Raw material  (3)'!SQB653:SQT3729,3,0),"")</f>
        <v/>
      </c>
      <c r="SQD671" t="str">
        <f>IFERROR(VLOOKUP(SQE671,'[3]Raw material  (3)'!SQC653:SQU3729,3,0),"")</f>
        <v/>
      </c>
      <c r="SQE671" t="str">
        <f>IFERROR(VLOOKUP(SQF671,'[3]Raw material  (3)'!SQD653:SQV3729,3,0),"")</f>
        <v/>
      </c>
      <c r="SQF671" t="str">
        <f>IFERROR(VLOOKUP(SQG671,'[3]Raw material  (3)'!SQE653:SQW3729,3,0),"")</f>
        <v/>
      </c>
      <c r="SQG671" t="str">
        <f>IFERROR(VLOOKUP(SQH671,'[3]Raw material  (3)'!SQF653:SQX3729,3,0),"")</f>
        <v/>
      </c>
      <c r="SQH671" t="str">
        <f>IFERROR(VLOOKUP(SQI671,'[3]Raw material  (3)'!SQG653:SQY3729,3,0),"")</f>
        <v/>
      </c>
      <c r="SQI671" t="str">
        <f>IFERROR(VLOOKUP(SQJ671,'[3]Raw material  (3)'!SQH653:SQZ3729,3,0),"")</f>
        <v/>
      </c>
      <c r="SQJ671" t="str">
        <f>IFERROR(VLOOKUP(SQK671,'[3]Raw material  (3)'!SQI653:SRA3729,3,0),"")</f>
        <v/>
      </c>
      <c r="SQK671" t="str">
        <f>IFERROR(VLOOKUP(SQL671,'[3]Raw material  (3)'!SQJ653:SRB3729,3,0),"")</f>
        <v/>
      </c>
      <c r="SQL671" t="str">
        <f>IFERROR(VLOOKUP(SQM671,'[3]Raw material  (3)'!SQK653:SRC3729,3,0),"")</f>
        <v/>
      </c>
      <c r="SQM671" t="str">
        <f>IFERROR(VLOOKUP(SQN671,'[3]Raw material  (3)'!SQL653:SRD3729,3,0),"")</f>
        <v/>
      </c>
      <c r="SQN671" t="str">
        <f>IFERROR(VLOOKUP(SQO671,'[3]Raw material  (3)'!SQM653:SRE3729,3,0),"")</f>
        <v/>
      </c>
      <c r="SQO671" t="str">
        <f>IFERROR(VLOOKUP(SQP671,'[3]Raw material  (3)'!SQN653:SRF3729,3,0),"")</f>
        <v/>
      </c>
      <c r="SQP671" t="str">
        <f>IFERROR(VLOOKUP(SQQ671,'[3]Raw material  (3)'!SQO653:SRG3729,3,0),"")</f>
        <v/>
      </c>
      <c r="SQQ671" t="str">
        <f>IFERROR(VLOOKUP(SQR671,'[3]Raw material  (3)'!SQP653:SRH3729,3,0),"")</f>
        <v/>
      </c>
      <c r="SQR671" t="str">
        <f>IFERROR(VLOOKUP(SQS671,'[3]Raw material  (3)'!SQQ653:SRI3729,3,0),"")</f>
        <v/>
      </c>
      <c r="SQS671" t="str">
        <f>IFERROR(VLOOKUP(SQT671,'[3]Raw material  (3)'!SQR653:SRJ3729,3,0),"")</f>
        <v/>
      </c>
      <c r="SQT671" t="str">
        <f>IFERROR(VLOOKUP(SQU671,'[3]Raw material  (3)'!SQS653:SRK3729,3,0),"")</f>
        <v/>
      </c>
      <c r="SQU671" t="str">
        <f>IFERROR(VLOOKUP(SQV671,'[3]Raw material  (3)'!SQT653:SRL3729,3,0),"")</f>
        <v/>
      </c>
      <c r="SQV671" t="str">
        <f>IFERROR(VLOOKUP(SQW671,'[3]Raw material  (3)'!SQU653:SRM3729,3,0),"")</f>
        <v/>
      </c>
      <c r="SQW671" t="str">
        <f>IFERROR(VLOOKUP(SQX671,'[3]Raw material  (3)'!SQV653:SRN3729,3,0),"")</f>
        <v/>
      </c>
      <c r="SQX671" t="str">
        <f>IFERROR(VLOOKUP(SQY671,'[3]Raw material  (3)'!SQW653:SRO3729,3,0),"")</f>
        <v/>
      </c>
      <c r="SQY671" t="str">
        <f>IFERROR(VLOOKUP(SQZ671,'[3]Raw material  (3)'!SQX653:SRP3729,3,0),"")</f>
        <v/>
      </c>
      <c r="SQZ671" t="str">
        <f>IFERROR(VLOOKUP(SRA671,'[3]Raw material  (3)'!SQY653:SRQ3729,3,0),"")</f>
        <v/>
      </c>
      <c r="SRA671" t="str">
        <f>IFERROR(VLOOKUP(SRB671,'[3]Raw material  (3)'!SQZ653:SRR3729,3,0),"")</f>
        <v/>
      </c>
      <c r="SRB671" t="str">
        <f>IFERROR(VLOOKUP(SRC671,'[3]Raw material  (3)'!SRA653:SRS3729,3,0),"")</f>
        <v/>
      </c>
      <c r="SRC671" t="str">
        <f>IFERROR(VLOOKUP(SRD671,'[3]Raw material  (3)'!SRB653:SRT3729,3,0),"")</f>
        <v/>
      </c>
      <c r="SRD671" t="str">
        <f>IFERROR(VLOOKUP(SRE671,'[3]Raw material  (3)'!SRC653:SRU3729,3,0),"")</f>
        <v/>
      </c>
      <c r="SRE671" t="str">
        <f>IFERROR(VLOOKUP(SRF671,'[3]Raw material  (3)'!SRD653:SRV3729,3,0),"")</f>
        <v/>
      </c>
      <c r="SRF671" t="str">
        <f>IFERROR(VLOOKUP(SRG671,'[3]Raw material  (3)'!SRE653:SRW3729,3,0),"")</f>
        <v/>
      </c>
      <c r="SRG671" t="str">
        <f>IFERROR(VLOOKUP(SRH671,'[3]Raw material  (3)'!SRF653:SRX3729,3,0),"")</f>
        <v/>
      </c>
      <c r="SRH671" t="str">
        <f>IFERROR(VLOOKUP(SRI671,'[3]Raw material  (3)'!SRG653:SRY3729,3,0),"")</f>
        <v/>
      </c>
      <c r="SRI671" t="str">
        <f>IFERROR(VLOOKUP(SRJ671,'[3]Raw material  (3)'!SRH653:SRZ3729,3,0),"")</f>
        <v/>
      </c>
      <c r="SRJ671" t="str">
        <f>IFERROR(VLOOKUP(SRK671,'[3]Raw material  (3)'!SRI653:SSA3729,3,0),"")</f>
        <v/>
      </c>
      <c r="SRK671" t="str">
        <f>IFERROR(VLOOKUP(SRL671,'[3]Raw material  (3)'!SRJ653:SSB3729,3,0),"")</f>
        <v/>
      </c>
      <c r="SRL671" t="str">
        <f>IFERROR(VLOOKUP(SRM671,'[3]Raw material  (3)'!SRK653:SSC3729,3,0),"")</f>
        <v/>
      </c>
      <c r="SRM671" t="str">
        <f>IFERROR(VLOOKUP(SRN671,'[3]Raw material  (3)'!SRL653:SSD3729,3,0),"")</f>
        <v/>
      </c>
      <c r="SRN671" t="str">
        <f>IFERROR(VLOOKUP(SRO671,'[3]Raw material  (3)'!SRM653:SSE3729,3,0),"")</f>
        <v/>
      </c>
      <c r="SRO671" t="str">
        <f>IFERROR(VLOOKUP(SRP671,'[3]Raw material  (3)'!SRN653:SSF3729,3,0),"")</f>
        <v/>
      </c>
      <c r="SRP671" t="str">
        <f>IFERROR(VLOOKUP(SRQ671,'[3]Raw material  (3)'!SRO653:SSG3729,3,0),"")</f>
        <v/>
      </c>
      <c r="SRQ671" t="str">
        <f>IFERROR(VLOOKUP(SRR671,'[3]Raw material  (3)'!SRP653:SSH3729,3,0),"")</f>
        <v/>
      </c>
      <c r="SRR671" t="str">
        <f>IFERROR(VLOOKUP(SRS671,'[3]Raw material  (3)'!SRQ653:SSI3729,3,0),"")</f>
        <v/>
      </c>
      <c r="SRS671" t="str">
        <f>IFERROR(VLOOKUP(SRT671,'[3]Raw material  (3)'!SRR653:SSJ3729,3,0),"")</f>
        <v/>
      </c>
      <c r="SRT671" t="str">
        <f>IFERROR(VLOOKUP(SRU671,'[3]Raw material  (3)'!SRS653:SSK3729,3,0),"")</f>
        <v/>
      </c>
      <c r="SRU671" t="str">
        <f>IFERROR(VLOOKUP(SRV671,'[3]Raw material  (3)'!SRT653:SSL3729,3,0),"")</f>
        <v/>
      </c>
      <c r="SRV671" t="str">
        <f>IFERROR(VLOOKUP(SRW671,'[3]Raw material  (3)'!SRU653:SSM3729,3,0),"")</f>
        <v/>
      </c>
      <c r="SRW671" t="str">
        <f>IFERROR(VLOOKUP(SRX671,'[3]Raw material  (3)'!SRV653:SSN3729,3,0),"")</f>
        <v/>
      </c>
      <c r="SRX671" t="str">
        <f>IFERROR(VLOOKUP(SRY671,'[3]Raw material  (3)'!SRW653:SSO3729,3,0),"")</f>
        <v/>
      </c>
      <c r="SRY671" t="str">
        <f>IFERROR(VLOOKUP(SRZ671,'[3]Raw material  (3)'!SRX653:SSP3729,3,0),"")</f>
        <v/>
      </c>
      <c r="SRZ671" t="str">
        <f>IFERROR(VLOOKUP(SSA671,'[3]Raw material  (3)'!SRY653:SSQ3729,3,0),"")</f>
        <v/>
      </c>
      <c r="SSA671" t="str">
        <f>IFERROR(VLOOKUP(SSB671,'[3]Raw material  (3)'!SRZ653:SSR3729,3,0),"")</f>
        <v/>
      </c>
      <c r="SSB671" t="str">
        <f>IFERROR(VLOOKUP(SSC671,'[3]Raw material  (3)'!SSA653:SSS3729,3,0),"")</f>
        <v/>
      </c>
      <c r="SSC671" t="str">
        <f>IFERROR(VLOOKUP(SSD671,'[3]Raw material  (3)'!SSB653:SST3729,3,0),"")</f>
        <v/>
      </c>
      <c r="SSD671" t="str">
        <f>IFERROR(VLOOKUP(SSE671,'[3]Raw material  (3)'!SSC653:SSU3729,3,0),"")</f>
        <v/>
      </c>
      <c r="SSE671" t="str">
        <f>IFERROR(VLOOKUP(SSF671,'[3]Raw material  (3)'!SSD653:SSV3729,3,0),"")</f>
        <v/>
      </c>
      <c r="SSF671" t="str">
        <f>IFERROR(VLOOKUP(SSG671,'[3]Raw material  (3)'!SSE653:SSW3729,3,0),"")</f>
        <v/>
      </c>
      <c r="SSG671" t="str">
        <f>IFERROR(VLOOKUP(SSH671,'[3]Raw material  (3)'!SSF653:SSX3729,3,0),"")</f>
        <v/>
      </c>
      <c r="SSH671" t="str">
        <f>IFERROR(VLOOKUP(SSI671,'[3]Raw material  (3)'!SSG653:SSY3729,3,0),"")</f>
        <v/>
      </c>
      <c r="SSI671" t="str">
        <f>IFERROR(VLOOKUP(SSJ671,'[3]Raw material  (3)'!SSH653:SSZ3729,3,0),"")</f>
        <v/>
      </c>
      <c r="SSJ671" t="str">
        <f>IFERROR(VLOOKUP(SSK671,'[3]Raw material  (3)'!SSI653:STA3729,3,0),"")</f>
        <v/>
      </c>
      <c r="SSK671" t="str">
        <f>IFERROR(VLOOKUP(SSL671,'[3]Raw material  (3)'!SSJ653:STB3729,3,0),"")</f>
        <v/>
      </c>
      <c r="SSL671" t="str">
        <f>IFERROR(VLOOKUP(SSM671,'[3]Raw material  (3)'!SSK653:STC3729,3,0),"")</f>
        <v/>
      </c>
      <c r="SSM671" t="str">
        <f>IFERROR(VLOOKUP(SSN671,'[3]Raw material  (3)'!SSL653:STD3729,3,0),"")</f>
        <v/>
      </c>
      <c r="SSN671" t="str">
        <f>IFERROR(VLOOKUP(SSO671,'[3]Raw material  (3)'!SSM653:STE3729,3,0),"")</f>
        <v/>
      </c>
      <c r="SSO671" t="str">
        <f>IFERROR(VLOOKUP(SSP671,'[3]Raw material  (3)'!SSN653:STF3729,3,0),"")</f>
        <v/>
      </c>
      <c r="SSP671" t="str">
        <f>IFERROR(VLOOKUP(SSQ671,'[3]Raw material  (3)'!SSO653:STG3729,3,0),"")</f>
        <v/>
      </c>
      <c r="SSQ671" t="str">
        <f>IFERROR(VLOOKUP(SSR671,'[3]Raw material  (3)'!SSP653:STH3729,3,0),"")</f>
        <v/>
      </c>
      <c r="SSR671" t="str">
        <f>IFERROR(VLOOKUP(SSS671,'[3]Raw material  (3)'!SSQ653:STI3729,3,0),"")</f>
        <v/>
      </c>
      <c r="SSS671" t="str">
        <f>IFERROR(VLOOKUP(SST671,'[3]Raw material  (3)'!SSR653:STJ3729,3,0),"")</f>
        <v/>
      </c>
      <c r="SST671" t="str">
        <f>IFERROR(VLOOKUP(SSU671,'[3]Raw material  (3)'!SSS653:STK3729,3,0),"")</f>
        <v/>
      </c>
      <c r="SSU671" t="str">
        <f>IFERROR(VLOOKUP(SSV671,'[3]Raw material  (3)'!SST653:STL3729,3,0),"")</f>
        <v/>
      </c>
      <c r="SSV671" t="str">
        <f>IFERROR(VLOOKUP(SSW671,'[3]Raw material  (3)'!SSU653:STM3729,3,0),"")</f>
        <v/>
      </c>
      <c r="SSW671" t="str">
        <f>IFERROR(VLOOKUP(SSX671,'[3]Raw material  (3)'!SSV653:STN3729,3,0),"")</f>
        <v/>
      </c>
      <c r="SSX671" t="str">
        <f>IFERROR(VLOOKUP(SSY671,'[3]Raw material  (3)'!SSW653:STO3729,3,0),"")</f>
        <v/>
      </c>
      <c r="SSY671" t="str">
        <f>IFERROR(VLOOKUP(SSZ671,'[3]Raw material  (3)'!SSX653:STP3729,3,0),"")</f>
        <v/>
      </c>
      <c r="SSZ671" t="str">
        <f>IFERROR(VLOOKUP(STA671,'[3]Raw material  (3)'!SSY653:STQ3729,3,0),"")</f>
        <v/>
      </c>
      <c r="STA671" t="str">
        <f>IFERROR(VLOOKUP(STB671,'[3]Raw material  (3)'!SSZ653:STR3729,3,0),"")</f>
        <v/>
      </c>
      <c r="STB671" t="str">
        <f>IFERROR(VLOOKUP(STC671,'[3]Raw material  (3)'!STA653:STS3729,3,0),"")</f>
        <v/>
      </c>
      <c r="STC671" t="str">
        <f>IFERROR(VLOOKUP(STD671,'[3]Raw material  (3)'!STB653:STT3729,3,0),"")</f>
        <v/>
      </c>
      <c r="STD671" t="str">
        <f>IFERROR(VLOOKUP(STE671,'[3]Raw material  (3)'!STC653:STU3729,3,0),"")</f>
        <v/>
      </c>
      <c r="STE671" t="str">
        <f>IFERROR(VLOOKUP(STF671,'[3]Raw material  (3)'!STD653:STV3729,3,0),"")</f>
        <v/>
      </c>
      <c r="STF671" t="str">
        <f>IFERROR(VLOOKUP(STG671,'[3]Raw material  (3)'!STE653:STW3729,3,0),"")</f>
        <v/>
      </c>
      <c r="STG671" t="str">
        <f>IFERROR(VLOOKUP(STH671,'[3]Raw material  (3)'!STF653:STX3729,3,0),"")</f>
        <v/>
      </c>
      <c r="STH671" t="str">
        <f>IFERROR(VLOOKUP(STI671,'[3]Raw material  (3)'!STG653:STY3729,3,0),"")</f>
        <v/>
      </c>
      <c r="STI671" t="str">
        <f>IFERROR(VLOOKUP(STJ671,'[3]Raw material  (3)'!STH653:STZ3729,3,0),"")</f>
        <v/>
      </c>
      <c r="STJ671" t="str">
        <f>IFERROR(VLOOKUP(STK671,'[3]Raw material  (3)'!STI653:SUA3729,3,0),"")</f>
        <v/>
      </c>
      <c r="STK671" t="str">
        <f>IFERROR(VLOOKUP(STL671,'[3]Raw material  (3)'!STJ653:SUB3729,3,0),"")</f>
        <v/>
      </c>
      <c r="STL671" t="str">
        <f>IFERROR(VLOOKUP(STM671,'[3]Raw material  (3)'!STK653:SUC3729,3,0),"")</f>
        <v/>
      </c>
      <c r="STM671" t="str">
        <f>IFERROR(VLOOKUP(STN671,'[3]Raw material  (3)'!STL653:SUD3729,3,0),"")</f>
        <v/>
      </c>
      <c r="STN671" t="str">
        <f>IFERROR(VLOOKUP(STO671,'[3]Raw material  (3)'!STM653:SUE3729,3,0),"")</f>
        <v/>
      </c>
      <c r="STO671" t="str">
        <f>IFERROR(VLOOKUP(STP671,'[3]Raw material  (3)'!STN653:SUF3729,3,0),"")</f>
        <v/>
      </c>
      <c r="STP671" t="str">
        <f>IFERROR(VLOOKUP(STQ671,'[3]Raw material  (3)'!STO653:SUG3729,3,0),"")</f>
        <v/>
      </c>
      <c r="STQ671" t="str">
        <f>IFERROR(VLOOKUP(STR671,'[3]Raw material  (3)'!STP653:SUH3729,3,0),"")</f>
        <v/>
      </c>
      <c r="STR671" t="str">
        <f>IFERROR(VLOOKUP(STS671,'[3]Raw material  (3)'!STQ653:SUI3729,3,0),"")</f>
        <v/>
      </c>
      <c r="STS671" t="str">
        <f>IFERROR(VLOOKUP(STT671,'[3]Raw material  (3)'!STR653:SUJ3729,3,0),"")</f>
        <v/>
      </c>
      <c r="STT671" t="str">
        <f>IFERROR(VLOOKUP(STU671,'[3]Raw material  (3)'!STS653:SUK3729,3,0),"")</f>
        <v/>
      </c>
      <c r="STU671" t="str">
        <f>IFERROR(VLOOKUP(STV671,'[3]Raw material  (3)'!STT653:SUL3729,3,0),"")</f>
        <v/>
      </c>
      <c r="STV671" t="str">
        <f>IFERROR(VLOOKUP(STW671,'[3]Raw material  (3)'!STU653:SUM3729,3,0),"")</f>
        <v/>
      </c>
      <c r="STW671" t="str">
        <f>IFERROR(VLOOKUP(STX671,'[3]Raw material  (3)'!STV653:SUN3729,3,0),"")</f>
        <v/>
      </c>
      <c r="STX671" t="str">
        <f>IFERROR(VLOOKUP(STY671,'[3]Raw material  (3)'!STW653:SUO3729,3,0),"")</f>
        <v/>
      </c>
      <c r="STY671" t="str">
        <f>IFERROR(VLOOKUP(STZ671,'[3]Raw material  (3)'!STX653:SUP3729,3,0),"")</f>
        <v/>
      </c>
      <c r="STZ671" t="str">
        <f>IFERROR(VLOOKUP(SUA671,'[3]Raw material  (3)'!STY653:SUQ3729,3,0),"")</f>
        <v/>
      </c>
      <c r="SUA671" t="str">
        <f>IFERROR(VLOOKUP(SUB671,'[3]Raw material  (3)'!STZ653:SUR3729,3,0),"")</f>
        <v/>
      </c>
      <c r="SUB671" t="str">
        <f>IFERROR(VLOOKUP(SUC671,'[3]Raw material  (3)'!SUA653:SUS3729,3,0),"")</f>
        <v/>
      </c>
      <c r="SUC671" t="str">
        <f>IFERROR(VLOOKUP(SUD671,'[3]Raw material  (3)'!SUB653:SUT3729,3,0),"")</f>
        <v/>
      </c>
      <c r="SUD671" t="str">
        <f>IFERROR(VLOOKUP(SUE671,'[3]Raw material  (3)'!SUC653:SUU3729,3,0),"")</f>
        <v/>
      </c>
      <c r="SUE671" t="str">
        <f>IFERROR(VLOOKUP(SUF671,'[3]Raw material  (3)'!SUD653:SUV3729,3,0),"")</f>
        <v/>
      </c>
      <c r="SUF671" t="str">
        <f>IFERROR(VLOOKUP(SUG671,'[3]Raw material  (3)'!SUE653:SUW3729,3,0),"")</f>
        <v/>
      </c>
      <c r="SUG671" t="str">
        <f>IFERROR(VLOOKUP(SUH671,'[3]Raw material  (3)'!SUF653:SUX3729,3,0),"")</f>
        <v/>
      </c>
      <c r="SUH671" t="str">
        <f>IFERROR(VLOOKUP(SUI671,'[3]Raw material  (3)'!SUG653:SUY3729,3,0),"")</f>
        <v/>
      </c>
      <c r="SUI671" t="str">
        <f>IFERROR(VLOOKUP(SUJ671,'[3]Raw material  (3)'!SUH653:SUZ3729,3,0),"")</f>
        <v/>
      </c>
      <c r="SUJ671" t="str">
        <f>IFERROR(VLOOKUP(SUK671,'[3]Raw material  (3)'!SUI653:SVA3729,3,0),"")</f>
        <v/>
      </c>
      <c r="SUK671" t="str">
        <f>IFERROR(VLOOKUP(SUL671,'[3]Raw material  (3)'!SUJ653:SVB3729,3,0),"")</f>
        <v/>
      </c>
      <c r="SUL671" t="str">
        <f>IFERROR(VLOOKUP(SUM671,'[3]Raw material  (3)'!SUK653:SVC3729,3,0),"")</f>
        <v/>
      </c>
      <c r="SUM671" t="str">
        <f>IFERROR(VLOOKUP(SUN671,'[3]Raw material  (3)'!SUL653:SVD3729,3,0),"")</f>
        <v/>
      </c>
      <c r="SUN671" t="str">
        <f>IFERROR(VLOOKUP(SUO671,'[3]Raw material  (3)'!SUM653:SVE3729,3,0),"")</f>
        <v/>
      </c>
      <c r="SUO671" t="str">
        <f>IFERROR(VLOOKUP(SUP671,'[3]Raw material  (3)'!SUN653:SVF3729,3,0),"")</f>
        <v/>
      </c>
      <c r="SUP671" t="str">
        <f>IFERROR(VLOOKUP(SUQ671,'[3]Raw material  (3)'!SUO653:SVG3729,3,0),"")</f>
        <v/>
      </c>
      <c r="SUQ671" t="str">
        <f>IFERROR(VLOOKUP(SUR671,'[3]Raw material  (3)'!SUP653:SVH3729,3,0),"")</f>
        <v/>
      </c>
      <c r="SUR671" t="str">
        <f>IFERROR(VLOOKUP(SUS671,'[3]Raw material  (3)'!SUQ653:SVI3729,3,0),"")</f>
        <v/>
      </c>
      <c r="SUS671" t="str">
        <f>IFERROR(VLOOKUP(SUT671,'[3]Raw material  (3)'!SUR653:SVJ3729,3,0),"")</f>
        <v/>
      </c>
      <c r="SUT671" t="str">
        <f>IFERROR(VLOOKUP(SUU671,'[3]Raw material  (3)'!SUS653:SVK3729,3,0),"")</f>
        <v/>
      </c>
      <c r="SUU671" t="str">
        <f>IFERROR(VLOOKUP(SUV671,'[3]Raw material  (3)'!SUT653:SVL3729,3,0),"")</f>
        <v/>
      </c>
      <c r="SUV671" t="str">
        <f>IFERROR(VLOOKUP(SUW671,'[3]Raw material  (3)'!SUU653:SVM3729,3,0),"")</f>
        <v/>
      </c>
      <c r="SUW671" t="str">
        <f>IFERROR(VLOOKUP(SUX671,'[3]Raw material  (3)'!SUV653:SVN3729,3,0),"")</f>
        <v/>
      </c>
      <c r="SUX671" t="str">
        <f>IFERROR(VLOOKUP(SUY671,'[3]Raw material  (3)'!SUW653:SVO3729,3,0),"")</f>
        <v/>
      </c>
      <c r="SUY671" t="str">
        <f>IFERROR(VLOOKUP(SUZ671,'[3]Raw material  (3)'!SUX653:SVP3729,3,0),"")</f>
        <v/>
      </c>
      <c r="SUZ671" t="str">
        <f>IFERROR(VLOOKUP(SVA671,'[3]Raw material  (3)'!SUY653:SVQ3729,3,0),"")</f>
        <v/>
      </c>
      <c r="SVA671" t="str">
        <f>IFERROR(VLOOKUP(SVB671,'[3]Raw material  (3)'!SUZ653:SVR3729,3,0),"")</f>
        <v/>
      </c>
      <c r="SVB671" t="str">
        <f>IFERROR(VLOOKUP(SVC671,'[3]Raw material  (3)'!SVA653:SVS3729,3,0),"")</f>
        <v/>
      </c>
      <c r="SVC671" t="str">
        <f>IFERROR(VLOOKUP(SVD671,'[3]Raw material  (3)'!SVB653:SVT3729,3,0),"")</f>
        <v/>
      </c>
      <c r="SVD671" t="str">
        <f>IFERROR(VLOOKUP(SVE671,'[3]Raw material  (3)'!SVC653:SVU3729,3,0),"")</f>
        <v/>
      </c>
      <c r="SVE671" t="str">
        <f>IFERROR(VLOOKUP(SVF671,'[3]Raw material  (3)'!SVD653:SVV3729,3,0),"")</f>
        <v/>
      </c>
      <c r="SVF671" t="str">
        <f>IFERROR(VLOOKUP(SVG671,'[3]Raw material  (3)'!SVE653:SVW3729,3,0),"")</f>
        <v/>
      </c>
      <c r="SVG671" t="str">
        <f>IFERROR(VLOOKUP(SVH671,'[3]Raw material  (3)'!SVF653:SVX3729,3,0),"")</f>
        <v/>
      </c>
      <c r="SVH671" t="str">
        <f>IFERROR(VLOOKUP(SVI671,'[3]Raw material  (3)'!SVG653:SVY3729,3,0),"")</f>
        <v/>
      </c>
      <c r="SVI671" t="str">
        <f>IFERROR(VLOOKUP(SVJ671,'[3]Raw material  (3)'!SVH653:SVZ3729,3,0),"")</f>
        <v/>
      </c>
      <c r="SVJ671" t="str">
        <f>IFERROR(VLOOKUP(SVK671,'[3]Raw material  (3)'!SVI653:SWA3729,3,0),"")</f>
        <v/>
      </c>
      <c r="SVK671" t="str">
        <f>IFERROR(VLOOKUP(SVL671,'[3]Raw material  (3)'!SVJ653:SWB3729,3,0),"")</f>
        <v/>
      </c>
      <c r="SVL671" t="str">
        <f>IFERROR(VLOOKUP(SVM671,'[3]Raw material  (3)'!SVK653:SWC3729,3,0),"")</f>
        <v/>
      </c>
      <c r="SVM671" t="str">
        <f>IFERROR(VLOOKUP(SVN671,'[3]Raw material  (3)'!SVL653:SWD3729,3,0),"")</f>
        <v/>
      </c>
      <c r="SVN671" t="str">
        <f>IFERROR(VLOOKUP(SVO671,'[3]Raw material  (3)'!SVM653:SWE3729,3,0),"")</f>
        <v/>
      </c>
      <c r="SVO671" t="str">
        <f>IFERROR(VLOOKUP(SVP671,'[3]Raw material  (3)'!SVN653:SWF3729,3,0),"")</f>
        <v/>
      </c>
      <c r="SVP671" t="str">
        <f>IFERROR(VLOOKUP(SVQ671,'[3]Raw material  (3)'!SVO653:SWG3729,3,0),"")</f>
        <v/>
      </c>
      <c r="SVQ671" t="str">
        <f>IFERROR(VLOOKUP(SVR671,'[3]Raw material  (3)'!SVP653:SWH3729,3,0),"")</f>
        <v/>
      </c>
      <c r="SVR671" t="str">
        <f>IFERROR(VLOOKUP(SVS671,'[3]Raw material  (3)'!SVQ653:SWI3729,3,0),"")</f>
        <v/>
      </c>
      <c r="SVS671" t="str">
        <f>IFERROR(VLOOKUP(SVT671,'[3]Raw material  (3)'!SVR653:SWJ3729,3,0),"")</f>
        <v/>
      </c>
      <c r="SVT671" t="str">
        <f>IFERROR(VLOOKUP(SVU671,'[3]Raw material  (3)'!SVS653:SWK3729,3,0),"")</f>
        <v/>
      </c>
      <c r="SVU671" t="str">
        <f>IFERROR(VLOOKUP(SVV671,'[3]Raw material  (3)'!SVT653:SWL3729,3,0),"")</f>
        <v/>
      </c>
      <c r="SVV671" t="str">
        <f>IFERROR(VLOOKUP(SVW671,'[3]Raw material  (3)'!SVU653:SWM3729,3,0),"")</f>
        <v/>
      </c>
      <c r="SVW671" t="str">
        <f>IFERROR(VLOOKUP(SVX671,'[3]Raw material  (3)'!SVV653:SWN3729,3,0),"")</f>
        <v/>
      </c>
      <c r="SVX671" t="str">
        <f>IFERROR(VLOOKUP(SVY671,'[3]Raw material  (3)'!SVW653:SWO3729,3,0),"")</f>
        <v/>
      </c>
      <c r="SVY671" t="str">
        <f>IFERROR(VLOOKUP(SVZ671,'[3]Raw material  (3)'!SVX653:SWP3729,3,0),"")</f>
        <v/>
      </c>
      <c r="SVZ671" t="str">
        <f>IFERROR(VLOOKUP(SWA671,'[3]Raw material  (3)'!SVY653:SWQ3729,3,0),"")</f>
        <v/>
      </c>
      <c r="SWA671" t="str">
        <f>IFERROR(VLOOKUP(SWB671,'[3]Raw material  (3)'!SVZ653:SWR3729,3,0),"")</f>
        <v/>
      </c>
      <c r="SWB671" t="str">
        <f>IFERROR(VLOOKUP(SWC671,'[3]Raw material  (3)'!SWA653:SWS3729,3,0),"")</f>
        <v/>
      </c>
      <c r="SWC671" t="str">
        <f>IFERROR(VLOOKUP(SWD671,'[3]Raw material  (3)'!SWB653:SWT3729,3,0),"")</f>
        <v/>
      </c>
      <c r="SWD671" t="str">
        <f>IFERROR(VLOOKUP(SWE671,'[3]Raw material  (3)'!SWC653:SWU3729,3,0),"")</f>
        <v/>
      </c>
      <c r="SWE671" t="str">
        <f>IFERROR(VLOOKUP(SWF671,'[3]Raw material  (3)'!SWD653:SWV3729,3,0),"")</f>
        <v/>
      </c>
      <c r="SWF671" t="str">
        <f>IFERROR(VLOOKUP(SWG671,'[3]Raw material  (3)'!SWE653:SWW3729,3,0),"")</f>
        <v/>
      </c>
      <c r="SWG671" t="str">
        <f>IFERROR(VLOOKUP(SWH671,'[3]Raw material  (3)'!SWF653:SWX3729,3,0),"")</f>
        <v/>
      </c>
      <c r="SWH671" t="str">
        <f>IFERROR(VLOOKUP(SWI671,'[3]Raw material  (3)'!SWG653:SWY3729,3,0),"")</f>
        <v/>
      </c>
      <c r="SWI671" t="str">
        <f>IFERROR(VLOOKUP(SWJ671,'[3]Raw material  (3)'!SWH653:SWZ3729,3,0),"")</f>
        <v/>
      </c>
      <c r="SWJ671" t="str">
        <f>IFERROR(VLOOKUP(SWK671,'[3]Raw material  (3)'!SWI653:SXA3729,3,0),"")</f>
        <v/>
      </c>
      <c r="SWK671" t="str">
        <f>IFERROR(VLOOKUP(SWL671,'[3]Raw material  (3)'!SWJ653:SXB3729,3,0),"")</f>
        <v/>
      </c>
      <c r="SWL671" t="str">
        <f>IFERROR(VLOOKUP(SWM671,'[3]Raw material  (3)'!SWK653:SXC3729,3,0),"")</f>
        <v/>
      </c>
      <c r="SWM671" t="str">
        <f>IFERROR(VLOOKUP(SWN671,'[3]Raw material  (3)'!SWL653:SXD3729,3,0),"")</f>
        <v/>
      </c>
      <c r="SWN671" t="str">
        <f>IFERROR(VLOOKUP(SWO671,'[3]Raw material  (3)'!SWM653:SXE3729,3,0),"")</f>
        <v/>
      </c>
      <c r="SWO671" t="str">
        <f>IFERROR(VLOOKUP(SWP671,'[3]Raw material  (3)'!SWN653:SXF3729,3,0),"")</f>
        <v/>
      </c>
      <c r="SWP671" t="str">
        <f>IFERROR(VLOOKUP(SWQ671,'[3]Raw material  (3)'!SWO653:SXG3729,3,0),"")</f>
        <v/>
      </c>
      <c r="SWQ671" t="str">
        <f>IFERROR(VLOOKUP(SWR671,'[3]Raw material  (3)'!SWP653:SXH3729,3,0),"")</f>
        <v/>
      </c>
      <c r="SWR671" t="str">
        <f>IFERROR(VLOOKUP(SWS671,'[3]Raw material  (3)'!SWQ653:SXI3729,3,0),"")</f>
        <v/>
      </c>
      <c r="SWS671" t="str">
        <f>IFERROR(VLOOKUP(SWT671,'[3]Raw material  (3)'!SWR653:SXJ3729,3,0),"")</f>
        <v/>
      </c>
      <c r="SWT671" t="str">
        <f>IFERROR(VLOOKUP(SWU671,'[3]Raw material  (3)'!SWS653:SXK3729,3,0),"")</f>
        <v/>
      </c>
      <c r="SWU671" t="str">
        <f>IFERROR(VLOOKUP(SWV671,'[3]Raw material  (3)'!SWT653:SXL3729,3,0),"")</f>
        <v/>
      </c>
      <c r="SWV671" t="str">
        <f>IFERROR(VLOOKUP(SWW671,'[3]Raw material  (3)'!SWU653:SXM3729,3,0),"")</f>
        <v/>
      </c>
      <c r="SWW671" t="str">
        <f>IFERROR(VLOOKUP(SWX671,'[3]Raw material  (3)'!SWV653:SXN3729,3,0),"")</f>
        <v/>
      </c>
      <c r="SWX671" t="str">
        <f>IFERROR(VLOOKUP(SWY671,'[3]Raw material  (3)'!SWW653:SXO3729,3,0),"")</f>
        <v/>
      </c>
      <c r="SWY671" t="str">
        <f>IFERROR(VLOOKUP(SWZ671,'[3]Raw material  (3)'!SWX653:SXP3729,3,0),"")</f>
        <v/>
      </c>
      <c r="SWZ671" t="str">
        <f>IFERROR(VLOOKUP(SXA671,'[3]Raw material  (3)'!SWY653:SXQ3729,3,0),"")</f>
        <v/>
      </c>
      <c r="SXA671" t="str">
        <f>IFERROR(VLOOKUP(SXB671,'[3]Raw material  (3)'!SWZ653:SXR3729,3,0),"")</f>
        <v/>
      </c>
      <c r="SXB671" t="str">
        <f>IFERROR(VLOOKUP(SXC671,'[3]Raw material  (3)'!SXA653:SXS3729,3,0),"")</f>
        <v/>
      </c>
      <c r="SXC671" t="str">
        <f>IFERROR(VLOOKUP(SXD671,'[3]Raw material  (3)'!SXB653:SXT3729,3,0),"")</f>
        <v/>
      </c>
      <c r="SXD671" t="str">
        <f>IFERROR(VLOOKUP(SXE671,'[3]Raw material  (3)'!SXC653:SXU3729,3,0),"")</f>
        <v/>
      </c>
      <c r="SXE671" t="str">
        <f>IFERROR(VLOOKUP(SXF671,'[3]Raw material  (3)'!SXD653:SXV3729,3,0),"")</f>
        <v/>
      </c>
      <c r="SXF671" t="str">
        <f>IFERROR(VLOOKUP(SXG671,'[3]Raw material  (3)'!SXE653:SXW3729,3,0),"")</f>
        <v/>
      </c>
      <c r="SXG671" t="str">
        <f>IFERROR(VLOOKUP(SXH671,'[3]Raw material  (3)'!SXF653:SXX3729,3,0),"")</f>
        <v/>
      </c>
      <c r="SXH671" t="str">
        <f>IFERROR(VLOOKUP(SXI671,'[3]Raw material  (3)'!SXG653:SXY3729,3,0),"")</f>
        <v/>
      </c>
      <c r="SXI671" t="str">
        <f>IFERROR(VLOOKUP(SXJ671,'[3]Raw material  (3)'!SXH653:SXZ3729,3,0),"")</f>
        <v/>
      </c>
      <c r="SXJ671" t="str">
        <f>IFERROR(VLOOKUP(SXK671,'[3]Raw material  (3)'!SXI653:SYA3729,3,0),"")</f>
        <v/>
      </c>
      <c r="SXK671" t="str">
        <f>IFERROR(VLOOKUP(SXL671,'[3]Raw material  (3)'!SXJ653:SYB3729,3,0),"")</f>
        <v/>
      </c>
      <c r="SXL671" t="str">
        <f>IFERROR(VLOOKUP(SXM671,'[3]Raw material  (3)'!SXK653:SYC3729,3,0),"")</f>
        <v/>
      </c>
      <c r="SXM671" t="str">
        <f>IFERROR(VLOOKUP(SXN671,'[3]Raw material  (3)'!SXL653:SYD3729,3,0),"")</f>
        <v/>
      </c>
      <c r="SXN671" t="str">
        <f>IFERROR(VLOOKUP(SXO671,'[3]Raw material  (3)'!SXM653:SYE3729,3,0),"")</f>
        <v/>
      </c>
      <c r="SXO671" t="str">
        <f>IFERROR(VLOOKUP(SXP671,'[3]Raw material  (3)'!SXN653:SYF3729,3,0),"")</f>
        <v/>
      </c>
      <c r="SXP671" t="str">
        <f>IFERROR(VLOOKUP(SXQ671,'[3]Raw material  (3)'!SXO653:SYG3729,3,0),"")</f>
        <v/>
      </c>
      <c r="SXQ671" t="str">
        <f>IFERROR(VLOOKUP(SXR671,'[3]Raw material  (3)'!SXP653:SYH3729,3,0),"")</f>
        <v/>
      </c>
      <c r="SXR671" t="str">
        <f>IFERROR(VLOOKUP(SXS671,'[3]Raw material  (3)'!SXQ653:SYI3729,3,0),"")</f>
        <v/>
      </c>
      <c r="SXS671" t="str">
        <f>IFERROR(VLOOKUP(SXT671,'[3]Raw material  (3)'!SXR653:SYJ3729,3,0),"")</f>
        <v/>
      </c>
      <c r="SXT671" t="str">
        <f>IFERROR(VLOOKUP(SXU671,'[3]Raw material  (3)'!SXS653:SYK3729,3,0),"")</f>
        <v/>
      </c>
      <c r="SXU671" t="str">
        <f>IFERROR(VLOOKUP(SXV671,'[3]Raw material  (3)'!SXT653:SYL3729,3,0),"")</f>
        <v/>
      </c>
      <c r="SXV671" t="str">
        <f>IFERROR(VLOOKUP(SXW671,'[3]Raw material  (3)'!SXU653:SYM3729,3,0),"")</f>
        <v/>
      </c>
      <c r="SXW671" t="str">
        <f>IFERROR(VLOOKUP(SXX671,'[3]Raw material  (3)'!SXV653:SYN3729,3,0),"")</f>
        <v/>
      </c>
      <c r="SXX671" t="str">
        <f>IFERROR(VLOOKUP(SXY671,'[3]Raw material  (3)'!SXW653:SYO3729,3,0),"")</f>
        <v/>
      </c>
      <c r="SXY671" t="str">
        <f>IFERROR(VLOOKUP(SXZ671,'[3]Raw material  (3)'!SXX653:SYP3729,3,0),"")</f>
        <v/>
      </c>
      <c r="SXZ671" t="str">
        <f>IFERROR(VLOOKUP(SYA671,'[3]Raw material  (3)'!SXY653:SYQ3729,3,0),"")</f>
        <v/>
      </c>
      <c r="SYA671" t="str">
        <f>IFERROR(VLOOKUP(SYB671,'[3]Raw material  (3)'!SXZ653:SYR3729,3,0),"")</f>
        <v/>
      </c>
      <c r="SYB671" t="str">
        <f>IFERROR(VLOOKUP(SYC671,'[3]Raw material  (3)'!SYA653:SYS3729,3,0),"")</f>
        <v/>
      </c>
      <c r="SYC671" t="str">
        <f>IFERROR(VLOOKUP(SYD671,'[3]Raw material  (3)'!SYB653:SYT3729,3,0),"")</f>
        <v/>
      </c>
      <c r="SYD671" t="str">
        <f>IFERROR(VLOOKUP(SYE671,'[3]Raw material  (3)'!SYC653:SYU3729,3,0),"")</f>
        <v/>
      </c>
      <c r="SYE671" t="str">
        <f>IFERROR(VLOOKUP(SYF671,'[3]Raw material  (3)'!SYD653:SYV3729,3,0),"")</f>
        <v/>
      </c>
      <c r="SYF671" t="str">
        <f>IFERROR(VLOOKUP(SYG671,'[3]Raw material  (3)'!SYE653:SYW3729,3,0),"")</f>
        <v/>
      </c>
      <c r="SYG671" t="str">
        <f>IFERROR(VLOOKUP(SYH671,'[3]Raw material  (3)'!SYF653:SYX3729,3,0),"")</f>
        <v/>
      </c>
      <c r="SYH671" t="str">
        <f>IFERROR(VLOOKUP(SYI671,'[3]Raw material  (3)'!SYG653:SYY3729,3,0),"")</f>
        <v/>
      </c>
      <c r="SYI671" t="str">
        <f>IFERROR(VLOOKUP(SYJ671,'[3]Raw material  (3)'!SYH653:SYZ3729,3,0),"")</f>
        <v/>
      </c>
      <c r="SYJ671" t="str">
        <f>IFERROR(VLOOKUP(SYK671,'[3]Raw material  (3)'!SYI653:SZA3729,3,0),"")</f>
        <v/>
      </c>
      <c r="SYK671" t="str">
        <f>IFERROR(VLOOKUP(SYL671,'[3]Raw material  (3)'!SYJ653:SZB3729,3,0),"")</f>
        <v/>
      </c>
      <c r="SYL671" t="str">
        <f>IFERROR(VLOOKUP(SYM671,'[3]Raw material  (3)'!SYK653:SZC3729,3,0),"")</f>
        <v/>
      </c>
      <c r="SYM671" t="str">
        <f>IFERROR(VLOOKUP(SYN671,'[3]Raw material  (3)'!SYL653:SZD3729,3,0),"")</f>
        <v/>
      </c>
      <c r="SYN671" t="str">
        <f>IFERROR(VLOOKUP(SYO671,'[3]Raw material  (3)'!SYM653:SZE3729,3,0),"")</f>
        <v/>
      </c>
      <c r="SYO671" t="str">
        <f>IFERROR(VLOOKUP(SYP671,'[3]Raw material  (3)'!SYN653:SZF3729,3,0),"")</f>
        <v/>
      </c>
      <c r="SYP671" t="str">
        <f>IFERROR(VLOOKUP(SYQ671,'[3]Raw material  (3)'!SYO653:SZG3729,3,0),"")</f>
        <v/>
      </c>
      <c r="SYQ671" t="str">
        <f>IFERROR(VLOOKUP(SYR671,'[3]Raw material  (3)'!SYP653:SZH3729,3,0),"")</f>
        <v/>
      </c>
      <c r="SYR671" t="str">
        <f>IFERROR(VLOOKUP(SYS671,'[3]Raw material  (3)'!SYQ653:SZI3729,3,0),"")</f>
        <v/>
      </c>
      <c r="SYS671" t="str">
        <f>IFERROR(VLOOKUP(SYT671,'[3]Raw material  (3)'!SYR653:SZJ3729,3,0),"")</f>
        <v/>
      </c>
      <c r="SYT671" t="str">
        <f>IFERROR(VLOOKUP(SYU671,'[3]Raw material  (3)'!SYS653:SZK3729,3,0),"")</f>
        <v/>
      </c>
      <c r="SYU671" t="str">
        <f>IFERROR(VLOOKUP(SYV671,'[3]Raw material  (3)'!SYT653:SZL3729,3,0),"")</f>
        <v/>
      </c>
      <c r="SYV671" t="str">
        <f>IFERROR(VLOOKUP(SYW671,'[3]Raw material  (3)'!SYU653:SZM3729,3,0),"")</f>
        <v/>
      </c>
      <c r="SYW671" t="str">
        <f>IFERROR(VLOOKUP(SYX671,'[3]Raw material  (3)'!SYV653:SZN3729,3,0),"")</f>
        <v/>
      </c>
      <c r="SYX671" t="str">
        <f>IFERROR(VLOOKUP(SYY671,'[3]Raw material  (3)'!SYW653:SZO3729,3,0),"")</f>
        <v/>
      </c>
      <c r="SYY671" t="str">
        <f>IFERROR(VLOOKUP(SYZ671,'[3]Raw material  (3)'!SYX653:SZP3729,3,0),"")</f>
        <v/>
      </c>
      <c r="SYZ671" t="str">
        <f>IFERROR(VLOOKUP(SZA671,'[3]Raw material  (3)'!SYY653:SZQ3729,3,0),"")</f>
        <v/>
      </c>
      <c r="SZA671" t="str">
        <f>IFERROR(VLOOKUP(SZB671,'[3]Raw material  (3)'!SYZ653:SZR3729,3,0),"")</f>
        <v/>
      </c>
      <c r="SZB671" t="str">
        <f>IFERROR(VLOOKUP(SZC671,'[3]Raw material  (3)'!SZA653:SZS3729,3,0),"")</f>
        <v/>
      </c>
      <c r="SZC671" t="str">
        <f>IFERROR(VLOOKUP(SZD671,'[3]Raw material  (3)'!SZB653:SZT3729,3,0),"")</f>
        <v/>
      </c>
      <c r="SZD671" t="str">
        <f>IFERROR(VLOOKUP(SZE671,'[3]Raw material  (3)'!SZC653:SZU3729,3,0),"")</f>
        <v/>
      </c>
      <c r="SZE671" t="str">
        <f>IFERROR(VLOOKUP(SZF671,'[3]Raw material  (3)'!SZD653:SZV3729,3,0),"")</f>
        <v/>
      </c>
      <c r="SZF671" t="str">
        <f>IFERROR(VLOOKUP(SZG671,'[3]Raw material  (3)'!SZE653:SZW3729,3,0),"")</f>
        <v/>
      </c>
      <c r="SZG671" t="str">
        <f>IFERROR(VLOOKUP(SZH671,'[3]Raw material  (3)'!SZF653:SZX3729,3,0),"")</f>
        <v/>
      </c>
      <c r="SZH671" t="str">
        <f>IFERROR(VLOOKUP(SZI671,'[3]Raw material  (3)'!SZG653:SZY3729,3,0),"")</f>
        <v/>
      </c>
      <c r="SZI671" t="str">
        <f>IFERROR(VLOOKUP(SZJ671,'[3]Raw material  (3)'!SZH653:SZZ3729,3,0),"")</f>
        <v/>
      </c>
      <c r="SZJ671" t="str">
        <f>IFERROR(VLOOKUP(SZK671,'[3]Raw material  (3)'!SZI653:TAA3729,3,0),"")</f>
        <v/>
      </c>
      <c r="SZK671" t="str">
        <f>IFERROR(VLOOKUP(SZL671,'[3]Raw material  (3)'!SZJ653:TAB3729,3,0),"")</f>
        <v/>
      </c>
      <c r="SZL671" t="str">
        <f>IFERROR(VLOOKUP(SZM671,'[3]Raw material  (3)'!SZK653:TAC3729,3,0),"")</f>
        <v/>
      </c>
      <c r="SZM671" t="str">
        <f>IFERROR(VLOOKUP(SZN671,'[3]Raw material  (3)'!SZL653:TAD3729,3,0),"")</f>
        <v/>
      </c>
      <c r="SZN671" t="str">
        <f>IFERROR(VLOOKUP(SZO671,'[3]Raw material  (3)'!SZM653:TAE3729,3,0),"")</f>
        <v/>
      </c>
      <c r="SZO671" t="str">
        <f>IFERROR(VLOOKUP(SZP671,'[3]Raw material  (3)'!SZN653:TAF3729,3,0),"")</f>
        <v/>
      </c>
      <c r="SZP671" t="str">
        <f>IFERROR(VLOOKUP(SZQ671,'[3]Raw material  (3)'!SZO653:TAG3729,3,0),"")</f>
        <v/>
      </c>
      <c r="SZQ671" t="str">
        <f>IFERROR(VLOOKUP(SZR671,'[3]Raw material  (3)'!SZP653:TAH3729,3,0),"")</f>
        <v/>
      </c>
      <c r="SZR671" t="str">
        <f>IFERROR(VLOOKUP(SZS671,'[3]Raw material  (3)'!SZQ653:TAI3729,3,0),"")</f>
        <v/>
      </c>
      <c r="SZS671" t="str">
        <f>IFERROR(VLOOKUP(SZT671,'[3]Raw material  (3)'!SZR653:TAJ3729,3,0),"")</f>
        <v/>
      </c>
      <c r="SZT671" t="str">
        <f>IFERROR(VLOOKUP(SZU671,'[3]Raw material  (3)'!SZS653:TAK3729,3,0),"")</f>
        <v/>
      </c>
      <c r="SZU671" t="str">
        <f>IFERROR(VLOOKUP(SZV671,'[3]Raw material  (3)'!SZT653:TAL3729,3,0),"")</f>
        <v/>
      </c>
      <c r="SZV671" t="str">
        <f>IFERROR(VLOOKUP(SZW671,'[3]Raw material  (3)'!SZU653:TAM3729,3,0),"")</f>
        <v/>
      </c>
      <c r="SZW671" t="str">
        <f>IFERROR(VLOOKUP(SZX671,'[3]Raw material  (3)'!SZV653:TAN3729,3,0),"")</f>
        <v/>
      </c>
      <c r="SZX671" t="str">
        <f>IFERROR(VLOOKUP(SZY671,'[3]Raw material  (3)'!SZW653:TAO3729,3,0),"")</f>
        <v/>
      </c>
      <c r="SZY671" t="str">
        <f>IFERROR(VLOOKUP(SZZ671,'[3]Raw material  (3)'!SZX653:TAP3729,3,0),"")</f>
        <v/>
      </c>
      <c r="SZZ671" t="str">
        <f>IFERROR(VLOOKUP(TAA671,'[3]Raw material  (3)'!SZY653:TAQ3729,3,0),"")</f>
        <v/>
      </c>
      <c r="TAA671" t="str">
        <f>IFERROR(VLOOKUP(TAB671,'[3]Raw material  (3)'!SZZ653:TAR3729,3,0),"")</f>
        <v/>
      </c>
      <c r="TAB671" t="str">
        <f>IFERROR(VLOOKUP(TAC671,'[3]Raw material  (3)'!TAA653:TAS3729,3,0),"")</f>
        <v/>
      </c>
      <c r="TAC671" t="str">
        <f>IFERROR(VLOOKUP(TAD671,'[3]Raw material  (3)'!TAB653:TAT3729,3,0),"")</f>
        <v/>
      </c>
      <c r="TAD671" t="str">
        <f>IFERROR(VLOOKUP(TAE671,'[3]Raw material  (3)'!TAC653:TAU3729,3,0),"")</f>
        <v/>
      </c>
      <c r="TAE671" t="str">
        <f>IFERROR(VLOOKUP(TAF671,'[3]Raw material  (3)'!TAD653:TAV3729,3,0),"")</f>
        <v/>
      </c>
      <c r="TAF671" t="str">
        <f>IFERROR(VLOOKUP(TAG671,'[3]Raw material  (3)'!TAE653:TAW3729,3,0),"")</f>
        <v/>
      </c>
      <c r="TAG671" t="str">
        <f>IFERROR(VLOOKUP(TAH671,'[3]Raw material  (3)'!TAF653:TAX3729,3,0),"")</f>
        <v/>
      </c>
      <c r="TAH671" t="str">
        <f>IFERROR(VLOOKUP(TAI671,'[3]Raw material  (3)'!TAG653:TAY3729,3,0),"")</f>
        <v/>
      </c>
      <c r="TAI671" t="str">
        <f>IFERROR(VLOOKUP(TAJ671,'[3]Raw material  (3)'!TAH653:TAZ3729,3,0),"")</f>
        <v/>
      </c>
      <c r="TAJ671" t="str">
        <f>IFERROR(VLOOKUP(TAK671,'[3]Raw material  (3)'!TAI653:TBA3729,3,0),"")</f>
        <v/>
      </c>
      <c r="TAK671" t="str">
        <f>IFERROR(VLOOKUP(TAL671,'[3]Raw material  (3)'!TAJ653:TBB3729,3,0),"")</f>
        <v/>
      </c>
      <c r="TAL671" t="str">
        <f>IFERROR(VLOOKUP(TAM671,'[3]Raw material  (3)'!TAK653:TBC3729,3,0),"")</f>
        <v/>
      </c>
      <c r="TAM671" t="str">
        <f>IFERROR(VLOOKUP(TAN671,'[3]Raw material  (3)'!TAL653:TBD3729,3,0),"")</f>
        <v/>
      </c>
      <c r="TAN671" t="str">
        <f>IFERROR(VLOOKUP(TAO671,'[3]Raw material  (3)'!TAM653:TBE3729,3,0),"")</f>
        <v/>
      </c>
      <c r="TAO671" t="str">
        <f>IFERROR(VLOOKUP(TAP671,'[3]Raw material  (3)'!TAN653:TBF3729,3,0),"")</f>
        <v/>
      </c>
      <c r="TAP671" t="str">
        <f>IFERROR(VLOOKUP(TAQ671,'[3]Raw material  (3)'!TAO653:TBG3729,3,0),"")</f>
        <v/>
      </c>
      <c r="TAQ671" t="str">
        <f>IFERROR(VLOOKUP(TAR671,'[3]Raw material  (3)'!TAP653:TBH3729,3,0),"")</f>
        <v/>
      </c>
      <c r="TAR671" t="str">
        <f>IFERROR(VLOOKUP(TAS671,'[3]Raw material  (3)'!TAQ653:TBI3729,3,0),"")</f>
        <v/>
      </c>
      <c r="TAS671" t="str">
        <f>IFERROR(VLOOKUP(TAT671,'[3]Raw material  (3)'!TAR653:TBJ3729,3,0),"")</f>
        <v/>
      </c>
      <c r="TAT671" t="str">
        <f>IFERROR(VLOOKUP(TAU671,'[3]Raw material  (3)'!TAS653:TBK3729,3,0),"")</f>
        <v/>
      </c>
      <c r="TAU671" t="str">
        <f>IFERROR(VLOOKUP(TAV671,'[3]Raw material  (3)'!TAT653:TBL3729,3,0),"")</f>
        <v/>
      </c>
      <c r="TAV671" t="str">
        <f>IFERROR(VLOOKUP(TAW671,'[3]Raw material  (3)'!TAU653:TBM3729,3,0),"")</f>
        <v/>
      </c>
      <c r="TAW671" t="str">
        <f>IFERROR(VLOOKUP(TAX671,'[3]Raw material  (3)'!TAV653:TBN3729,3,0),"")</f>
        <v/>
      </c>
      <c r="TAX671" t="str">
        <f>IFERROR(VLOOKUP(TAY671,'[3]Raw material  (3)'!TAW653:TBO3729,3,0),"")</f>
        <v/>
      </c>
      <c r="TAY671" t="str">
        <f>IFERROR(VLOOKUP(TAZ671,'[3]Raw material  (3)'!TAX653:TBP3729,3,0),"")</f>
        <v/>
      </c>
      <c r="TAZ671" t="str">
        <f>IFERROR(VLOOKUP(TBA671,'[3]Raw material  (3)'!TAY653:TBQ3729,3,0),"")</f>
        <v/>
      </c>
      <c r="TBA671" t="str">
        <f>IFERROR(VLOOKUP(TBB671,'[3]Raw material  (3)'!TAZ653:TBR3729,3,0),"")</f>
        <v/>
      </c>
      <c r="TBB671" t="str">
        <f>IFERROR(VLOOKUP(TBC671,'[3]Raw material  (3)'!TBA653:TBS3729,3,0),"")</f>
        <v/>
      </c>
      <c r="TBC671" t="str">
        <f>IFERROR(VLOOKUP(TBD671,'[3]Raw material  (3)'!TBB653:TBT3729,3,0),"")</f>
        <v/>
      </c>
      <c r="TBD671" t="str">
        <f>IFERROR(VLOOKUP(TBE671,'[3]Raw material  (3)'!TBC653:TBU3729,3,0),"")</f>
        <v/>
      </c>
      <c r="TBE671" t="str">
        <f>IFERROR(VLOOKUP(TBF671,'[3]Raw material  (3)'!TBD653:TBV3729,3,0),"")</f>
        <v/>
      </c>
      <c r="TBF671" t="str">
        <f>IFERROR(VLOOKUP(TBG671,'[3]Raw material  (3)'!TBE653:TBW3729,3,0),"")</f>
        <v/>
      </c>
      <c r="TBG671" t="str">
        <f>IFERROR(VLOOKUP(TBH671,'[3]Raw material  (3)'!TBF653:TBX3729,3,0),"")</f>
        <v/>
      </c>
      <c r="TBH671" t="str">
        <f>IFERROR(VLOOKUP(TBI671,'[3]Raw material  (3)'!TBG653:TBY3729,3,0),"")</f>
        <v/>
      </c>
      <c r="TBI671" t="str">
        <f>IFERROR(VLOOKUP(TBJ671,'[3]Raw material  (3)'!TBH653:TBZ3729,3,0),"")</f>
        <v/>
      </c>
      <c r="TBJ671" t="str">
        <f>IFERROR(VLOOKUP(TBK671,'[3]Raw material  (3)'!TBI653:TCA3729,3,0),"")</f>
        <v/>
      </c>
      <c r="TBK671" t="str">
        <f>IFERROR(VLOOKUP(TBL671,'[3]Raw material  (3)'!TBJ653:TCB3729,3,0),"")</f>
        <v/>
      </c>
      <c r="TBL671" t="str">
        <f>IFERROR(VLOOKUP(TBM671,'[3]Raw material  (3)'!TBK653:TCC3729,3,0),"")</f>
        <v/>
      </c>
      <c r="TBM671" t="str">
        <f>IFERROR(VLOOKUP(TBN671,'[3]Raw material  (3)'!TBL653:TCD3729,3,0),"")</f>
        <v/>
      </c>
      <c r="TBN671" t="str">
        <f>IFERROR(VLOOKUP(TBO671,'[3]Raw material  (3)'!TBM653:TCE3729,3,0),"")</f>
        <v/>
      </c>
      <c r="TBO671" t="str">
        <f>IFERROR(VLOOKUP(TBP671,'[3]Raw material  (3)'!TBN653:TCF3729,3,0),"")</f>
        <v/>
      </c>
      <c r="TBP671" t="str">
        <f>IFERROR(VLOOKUP(TBQ671,'[3]Raw material  (3)'!TBO653:TCG3729,3,0),"")</f>
        <v/>
      </c>
      <c r="TBQ671" t="str">
        <f>IFERROR(VLOOKUP(TBR671,'[3]Raw material  (3)'!TBP653:TCH3729,3,0),"")</f>
        <v/>
      </c>
      <c r="TBR671" t="str">
        <f>IFERROR(VLOOKUP(TBS671,'[3]Raw material  (3)'!TBQ653:TCI3729,3,0),"")</f>
        <v/>
      </c>
      <c r="TBS671" t="str">
        <f>IFERROR(VLOOKUP(TBT671,'[3]Raw material  (3)'!TBR653:TCJ3729,3,0),"")</f>
        <v/>
      </c>
      <c r="TBT671" t="str">
        <f>IFERROR(VLOOKUP(TBU671,'[3]Raw material  (3)'!TBS653:TCK3729,3,0),"")</f>
        <v/>
      </c>
      <c r="TBU671" t="str">
        <f>IFERROR(VLOOKUP(TBV671,'[3]Raw material  (3)'!TBT653:TCL3729,3,0),"")</f>
        <v/>
      </c>
      <c r="TBV671" t="str">
        <f>IFERROR(VLOOKUP(TBW671,'[3]Raw material  (3)'!TBU653:TCM3729,3,0),"")</f>
        <v/>
      </c>
      <c r="TBW671" t="str">
        <f>IFERROR(VLOOKUP(TBX671,'[3]Raw material  (3)'!TBV653:TCN3729,3,0),"")</f>
        <v/>
      </c>
      <c r="TBX671" t="str">
        <f>IFERROR(VLOOKUP(TBY671,'[3]Raw material  (3)'!TBW653:TCO3729,3,0),"")</f>
        <v/>
      </c>
      <c r="TBY671" t="str">
        <f>IFERROR(VLOOKUP(TBZ671,'[3]Raw material  (3)'!TBX653:TCP3729,3,0),"")</f>
        <v/>
      </c>
      <c r="TBZ671" t="str">
        <f>IFERROR(VLOOKUP(TCA671,'[3]Raw material  (3)'!TBY653:TCQ3729,3,0),"")</f>
        <v/>
      </c>
      <c r="TCA671" t="str">
        <f>IFERROR(VLOOKUP(TCB671,'[3]Raw material  (3)'!TBZ653:TCR3729,3,0),"")</f>
        <v/>
      </c>
      <c r="TCB671" t="str">
        <f>IFERROR(VLOOKUP(TCC671,'[3]Raw material  (3)'!TCA653:TCS3729,3,0),"")</f>
        <v/>
      </c>
      <c r="TCC671" t="str">
        <f>IFERROR(VLOOKUP(TCD671,'[3]Raw material  (3)'!TCB653:TCT3729,3,0),"")</f>
        <v/>
      </c>
      <c r="TCD671" t="str">
        <f>IFERROR(VLOOKUP(TCE671,'[3]Raw material  (3)'!TCC653:TCU3729,3,0),"")</f>
        <v/>
      </c>
      <c r="TCE671" t="str">
        <f>IFERROR(VLOOKUP(TCF671,'[3]Raw material  (3)'!TCD653:TCV3729,3,0),"")</f>
        <v/>
      </c>
      <c r="TCF671" t="str">
        <f>IFERROR(VLOOKUP(TCG671,'[3]Raw material  (3)'!TCE653:TCW3729,3,0),"")</f>
        <v/>
      </c>
      <c r="TCG671" t="str">
        <f>IFERROR(VLOOKUP(TCH671,'[3]Raw material  (3)'!TCF653:TCX3729,3,0),"")</f>
        <v/>
      </c>
      <c r="TCH671" t="str">
        <f>IFERROR(VLOOKUP(TCI671,'[3]Raw material  (3)'!TCG653:TCY3729,3,0),"")</f>
        <v/>
      </c>
      <c r="TCI671" t="str">
        <f>IFERROR(VLOOKUP(TCJ671,'[3]Raw material  (3)'!TCH653:TCZ3729,3,0),"")</f>
        <v/>
      </c>
      <c r="TCJ671" t="str">
        <f>IFERROR(VLOOKUP(TCK671,'[3]Raw material  (3)'!TCI653:TDA3729,3,0),"")</f>
        <v/>
      </c>
      <c r="TCK671" t="str">
        <f>IFERROR(VLOOKUP(TCL671,'[3]Raw material  (3)'!TCJ653:TDB3729,3,0),"")</f>
        <v/>
      </c>
      <c r="TCL671" t="str">
        <f>IFERROR(VLOOKUP(TCM671,'[3]Raw material  (3)'!TCK653:TDC3729,3,0),"")</f>
        <v/>
      </c>
      <c r="TCM671" t="str">
        <f>IFERROR(VLOOKUP(TCN671,'[3]Raw material  (3)'!TCL653:TDD3729,3,0),"")</f>
        <v/>
      </c>
      <c r="TCN671" t="str">
        <f>IFERROR(VLOOKUP(TCO671,'[3]Raw material  (3)'!TCM653:TDE3729,3,0),"")</f>
        <v/>
      </c>
      <c r="TCO671" t="str">
        <f>IFERROR(VLOOKUP(TCP671,'[3]Raw material  (3)'!TCN653:TDF3729,3,0),"")</f>
        <v/>
      </c>
      <c r="TCP671" t="str">
        <f>IFERROR(VLOOKUP(TCQ671,'[3]Raw material  (3)'!TCO653:TDG3729,3,0),"")</f>
        <v/>
      </c>
      <c r="TCQ671" t="str">
        <f>IFERROR(VLOOKUP(TCR671,'[3]Raw material  (3)'!TCP653:TDH3729,3,0),"")</f>
        <v/>
      </c>
      <c r="TCR671" t="str">
        <f>IFERROR(VLOOKUP(TCS671,'[3]Raw material  (3)'!TCQ653:TDI3729,3,0),"")</f>
        <v/>
      </c>
      <c r="TCS671" t="str">
        <f>IFERROR(VLOOKUP(TCT671,'[3]Raw material  (3)'!TCR653:TDJ3729,3,0),"")</f>
        <v/>
      </c>
      <c r="TCT671" t="str">
        <f>IFERROR(VLOOKUP(TCU671,'[3]Raw material  (3)'!TCS653:TDK3729,3,0),"")</f>
        <v/>
      </c>
      <c r="TCU671" t="str">
        <f>IFERROR(VLOOKUP(TCV671,'[3]Raw material  (3)'!TCT653:TDL3729,3,0),"")</f>
        <v/>
      </c>
      <c r="TCV671" t="str">
        <f>IFERROR(VLOOKUP(TCW671,'[3]Raw material  (3)'!TCU653:TDM3729,3,0),"")</f>
        <v/>
      </c>
      <c r="TCW671" t="str">
        <f>IFERROR(VLOOKUP(TCX671,'[3]Raw material  (3)'!TCV653:TDN3729,3,0),"")</f>
        <v/>
      </c>
      <c r="TCX671" t="str">
        <f>IFERROR(VLOOKUP(TCY671,'[3]Raw material  (3)'!TCW653:TDO3729,3,0),"")</f>
        <v/>
      </c>
      <c r="TCY671" t="str">
        <f>IFERROR(VLOOKUP(TCZ671,'[3]Raw material  (3)'!TCX653:TDP3729,3,0),"")</f>
        <v/>
      </c>
      <c r="TCZ671" t="str">
        <f>IFERROR(VLOOKUP(TDA671,'[3]Raw material  (3)'!TCY653:TDQ3729,3,0),"")</f>
        <v/>
      </c>
      <c r="TDA671" t="str">
        <f>IFERROR(VLOOKUP(TDB671,'[3]Raw material  (3)'!TCZ653:TDR3729,3,0),"")</f>
        <v/>
      </c>
      <c r="TDB671" t="str">
        <f>IFERROR(VLOOKUP(TDC671,'[3]Raw material  (3)'!TDA653:TDS3729,3,0),"")</f>
        <v/>
      </c>
      <c r="TDC671" t="str">
        <f>IFERROR(VLOOKUP(TDD671,'[3]Raw material  (3)'!TDB653:TDT3729,3,0),"")</f>
        <v/>
      </c>
      <c r="TDD671" t="str">
        <f>IFERROR(VLOOKUP(TDE671,'[3]Raw material  (3)'!TDC653:TDU3729,3,0),"")</f>
        <v/>
      </c>
      <c r="TDE671" t="str">
        <f>IFERROR(VLOOKUP(TDF671,'[3]Raw material  (3)'!TDD653:TDV3729,3,0),"")</f>
        <v/>
      </c>
      <c r="TDF671" t="str">
        <f>IFERROR(VLOOKUP(TDG671,'[3]Raw material  (3)'!TDE653:TDW3729,3,0),"")</f>
        <v/>
      </c>
      <c r="TDG671" t="str">
        <f>IFERROR(VLOOKUP(TDH671,'[3]Raw material  (3)'!TDF653:TDX3729,3,0),"")</f>
        <v/>
      </c>
      <c r="TDH671" t="str">
        <f>IFERROR(VLOOKUP(TDI671,'[3]Raw material  (3)'!TDG653:TDY3729,3,0),"")</f>
        <v/>
      </c>
      <c r="TDI671" t="str">
        <f>IFERROR(VLOOKUP(TDJ671,'[3]Raw material  (3)'!TDH653:TDZ3729,3,0),"")</f>
        <v/>
      </c>
      <c r="TDJ671" t="str">
        <f>IFERROR(VLOOKUP(TDK671,'[3]Raw material  (3)'!TDI653:TEA3729,3,0),"")</f>
        <v/>
      </c>
      <c r="TDK671" t="str">
        <f>IFERROR(VLOOKUP(TDL671,'[3]Raw material  (3)'!TDJ653:TEB3729,3,0),"")</f>
        <v/>
      </c>
      <c r="TDL671" t="str">
        <f>IFERROR(VLOOKUP(TDM671,'[3]Raw material  (3)'!TDK653:TEC3729,3,0),"")</f>
        <v/>
      </c>
      <c r="TDM671" t="str">
        <f>IFERROR(VLOOKUP(TDN671,'[3]Raw material  (3)'!TDL653:TED3729,3,0),"")</f>
        <v/>
      </c>
      <c r="TDN671" t="str">
        <f>IFERROR(VLOOKUP(TDO671,'[3]Raw material  (3)'!TDM653:TEE3729,3,0),"")</f>
        <v/>
      </c>
      <c r="TDO671" t="str">
        <f>IFERROR(VLOOKUP(TDP671,'[3]Raw material  (3)'!TDN653:TEF3729,3,0),"")</f>
        <v/>
      </c>
      <c r="TDP671" t="str">
        <f>IFERROR(VLOOKUP(TDQ671,'[3]Raw material  (3)'!TDO653:TEG3729,3,0),"")</f>
        <v/>
      </c>
      <c r="TDQ671" t="str">
        <f>IFERROR(VLOOKUP(TDR671,'[3]Raw material  (3)'!TDP653:TEH3729,3,0),"")</f>
        <v/>
      </c>
      <c r="TDR671" t="str">
        <f>IFERROR(VLOOKUP(TDS671,'[3]Raw material  (3)'!TDQ653:TEI3729,3,0),"")</f>
        <v/>
      </c>
      <c r="TDS671" t="str">
        <f>IFERROR(VLOOKUP(TDT671,'[3]Raw material  (3)'!TDR653:TEJ3729,3,0),"")</f>
        <v/>
      </c>
      <c r="TDT671" t="str">
        <f>IFERROR(VLOOKUP(TDU671,'[3]Raw material  (3)'!TDS653:TEK3729,3,0),"")</f>
        <v/>
      </c>
      <c r="TDU671" t="str">
        <f>IFERROR(VLOOKUP(TDV671,'[3]Raw material  (3)'!TDT653:TEL3729,3,0),"")</f>
        <v/>
      </c>
      <c r="TDV671" t="str">
        <f>IFERROR(VLOOKUP(TDW671,'[3]Raw material  (3)'!TDU653:TEM3729,3,0),"")</f>
        <v/>
      </c>
      <c r="TDW671" t="str">
        <f>IFERROR(VLOOKUP(TDX671,'[3]Raw material  (3)'!TDV653:TEN3729,3,0),"")</f>
        <v/>
      </c>
      <c r="TDX671" t="str">
        <f>IFERROR(VLOOKUP(TDY671,'[3]Raw material  (3)'!TDW653:TEO3729,3,0),"")</f>
        <v/>
      </c>
      <c r="TDY671" t="str">
        <f>IFERROR(VLOOKUP(TDZ671,'[3]Raw material  (3)'!TDX653:TEP3729,3,0),"")</f>
        <v/>
      </c>
      <c r="TDZ671" t="str">
        <f>IFERROR(VLOOKUP(TEA671,'[3]Raw material  (3)'!TDY653:TEQ3729,3,0),"")</f>
        <v/>
      </c>
      <c r="TEA671" t="str">
        <f>IFERROR(VLOOKUP(TEB671,'[3]Raw material  (3)'!TDZ653:TER3729,3,0),"")</f>
        <v/>
      </c>
      <c r="TEB671" t="str">
        <f>IFERROR(VLOOKUP(TEC671,'[3]Raw material  (3)'!TEA653:TES3729,3,0),"")</f>
        <v/>
      </c>
      <c r="TEC671" t="str">
        <f>IFERROR(VLOOKUP(TED671,'[3]Raw material  (3)'!TEB653:TET3729,3,0),"")</f>
        <v/>
      </c>
      <c r="TED671" t="str">
        <f>IFERROR(VLOOKUP(TEE671,'[3]Raw material  (3)'!TEC653:TEU3729,3,0),"")</f>
        <v/>
      </c>
      <c r="TEE671" t="str">
        <f>IFERROR(VLOOKUP(TEF671,'[3]Raw material  (3)'!TED653:TEV3729,3,0),"")</f>
        <v/>
      </c>
      <c r="TEF671" t="str">
        <f>IFERROR(VLOOKUP(TEG671,'[3]Raw material  (3)'!TEE653:TEW3729,3,0),"")</f>
        <v/>
      </c>
      <c r="TEG671" t="str">
        <f>IFERROR(VLOOKUP(TEH671,'[3]Raw material  (3)'!TEF653:TEX3729,3,0),"")</f>
        <v/>
      </c>
      <c r="TEH671" t="str">
        <f>IFERROR(VLOOKUP(TEI671,'[3]Raw material  (3)'!TEG653:TEY3729,3,0),"")</f>
        <v/>
      </c>
      <c r="TEI671" t="str">
        <f>IFERROR(VLOOKUP(TEJ671,'[3]Raw material  (3)'!TEH653:TEZ3729,3,0),"")</f>
        <v/>
      </c>
      <c r="TEJ671" t="str">
        <f>IFERROR(VLOOKUP(TEK671,'[3]Raw material  (3)'!TEI653:TFA3729,3,0),"")</f>
        <v/>
      </c>
      <c r="TEK671" t="str">
        <f>IFERROR(VLOOKUP(TEL671,'[3]Raw material  (3)'!TEJ653:TFB3729,3,0),"")</f>
        <v/>
      </c>
      <c r="TEL671" t="str">
        <f>IFERROR(VLOOKUP(TEM671,'[3]Raw material  (3)'!TEK653:TFC3729,3,0),"")</f>
        <v/>
      </c>
      <c r="TEM671" t="str">
        <f>IFERROR(VLOOKUP(TEN671,'[3]Raw material  (3)'!TEL653:TFD3729,3,0),"")</f>
        <v/>
      </c>
      <c r="TEN671" t="str">
        <f>IFERROR(VLOOKUP(TEO671,'[3]Raw material  (3)'!TEM653:TFE3729,3,0),"")</f>
        <v/>
      </c>
      <c r="TEO671" t="str">
        <f>IFERROR(VLOOKUP(TEP671,'[3]Raw material  (3)'!TEN653:TFF3729,3,0),"")</f>
        <v/>
      </c>
      <c r="TEP671" t="str">
        <f>IFERROR(VLOOKUP(TEQ671,'[3]Raw material  (3)'!TEO653:TFG3729,3,0),"")</f>
        <v/>
      </c>
      <c r="TEQ671" t="str">
        <f>IFERROR(VLOOKUP(TER671,'[3]Raw material  (3)'!TEP653:TFH3729,3,0),"")</f>
        <v/>
      </c>
      <c r="TER671" t="str">
        <f>IFERROR(VLOOKUP(TES671,'[3]Raw material  (3)'!TEQ653:TFI3729,3,0),"")</f>
        <v/>
      </c>
      <c r="TES671" t="str">
        <f>IFERROR(VLOOKUP(TET671,'[3]Raw material  (3)'!TER653:TFJ3729,3,0),"")</f>
        <v/>
      </c>
      <c r="TET671" t="str">
        <f>IFERROR(VLOOKUP(TEU671,'[3]Raw material  (3)'!TES653:TFK3729,3,0),"")</f>
        <v/>
      </c>
      <c r="TEU671" t="str">
        <f>IFERROR(VLOOKUP(TEV671,'[3]Raw material  (3)'!TET653:TFL3729,3,0),"")</f>
        <v/>
      </c>
      <c r="TEV671" t="str">
        <f>IFERROR(VLOOKUP(TEW671,'[3]Raw material  (3)'!TEU653:TFM3729,3,0),"")</f>
        <v/>
      </c>
      <c r="TEW671" t="str">
        <f>IFERROR(VLOOKUP(TEX671,'[3]Raw material  (3)'!TEV653:TFN3729,3,0),"")</f>
        <v/>
      </c>
      <c r="TEX671" t="str">
        <f>IFERROR(VLOOKUP(TEY671,'[3]Raw material  (3)'!TEW653:TFO3729,3,0),"")</f>
        <v/>
      </c>
      <c r="TEY671" t="str">
        <f>IFERROR(VLOOKUP(TEZ671,'[3]Raw material  (3)'!TEX653:TFP3729,3,0),"")</f>
        <v/>
      </c>
      <c r="TEZ671" t="str">
        <f>IFERROR(VLOOKUP(TFA671,'[3]Raw material  (3)'!TEY653:TFQ3729,3,0),"")</f>
        <v/>
      </c>
      <c r="TFA671" t="str">
        <f>IFERROR(VLOOKUP(TFB671,'[3]Raw material  (3)'!TEZ653:TFR3729,3,0),"")</f>
        <v/>
      </c>
      <c r="TFB671" t="str">
        <f>IFERROR(VLOOKUP(TFC671,'[3]Raw material  (3)'!TFA653:TFS3729,3,0),"")</f>
        <v/>
      </c>
      <c r="TFC671" t="str">
        <f>IFERROR(VLOOKUP(TFD671,'[3]Raw material  (3)'!TFB653:TFT3729,3,0),"")</f>
        <v/>
      </c>
      <c r="TFD671" t="str">
        <f>IFERROR(VLOOKUP(TFE671,'[3]Raw material  (3)'!TFC653:TFU3729,3,0),"")</f>
        <v/>
      </c>
      <c r="TFE671" t="str">
        <f>IFERROR(VLOOKUP(TFF671,'[3]Raw material  (3)'!TFD653:TFV3729,3,0),"")</f>
        <v/>
      </c>
      <c r="TFF671" t="str">
        <f>IFERROR(VLOOKUP(TFG671,'[3]Raw material  (3)'!TFE653:TFW3729,3,0),"")</f>
        <v/>
      </c>
      <c r="TFG671" t="str">
        <f>IFERROR(VLOOKUP(TFH671,'[3]Raw material  (3)'!TFF653:TFX3729,3,0),"")</f>
        <v/>
      </c>
      <c r="TFH671" t="str">
        <f>IFERROR(VLOOKUP(TFI671,'[3]Raw material  (3)'!TFG653:TFY3729,3,0),"")</f>
        <v/>
      </c>
      <c r="TFI671" t="str">
        <f>IFERROR(VLOOKUP(TFJ671,'[3]Raw material  (3)'!TFH653:TFZ3729,3,0),"")</f>
        <v/>
      </c>
      <c r="TFJ671" t="str">
        <f>IFERROR(VLOOKUP(TFK671,'[3]Raw material  (3)'!TFI653:TGA3729,3,0),"")</f>
        <v/>
      </c>
      <c r="TFK671" t="str">
        <f>IFERROR(VLOOKUP(TFL671,'[3]Raw material  (3)'!TFJ653:TGB3729,3,0),"")</f>
        <v/>
      </c>
      <c r="TFL671" t="str">
        <f>IFERROR(VLOOKUP(TFM671,'[3]Raw material  (3)'!TFK653:TGC3729,3,0),"")</f>
        <v/>
      </c>
      <c r="TFM671" t="str">
        <f>IFERROR(VLOOKUP(TFN671,'[3]Raw material  (3)'!TFL653:TGD3729,3,0),"")</f>
        <v/>
      </c>
      <c r="TFN671" t="str">
        <f>IFERROR(VLOOKUP(TFO671,'[3]Raw material  (3)'!TFM653:TGE3729,3,0),"")</f>
        <v/>
      </c>
      <c r="TFO671" t="str">
        <f>IFERROR(VLOOKUP(TFP671,'[3]Raw material  (3)'!TFN653:TGF3729,3,0),"")</f>
        <v/>
      </c>
      <c r="TFP671" t="str">
        <f>IFERROR(VLOOKUP(TFQ671,'[3]Raw material  (3)'!TFO653:TGG3729,3,0),"")</f>
        <v/>
      </c>
      <c r="TFQ671" t="str">
        <f>IFERROR(VLOOKUP(TFR671,'[3]Raw material  (3)'!TFP653:TGH3729,3,0),"")</f>
        <v/>
      </c>
      <c r="TFR671" t="str">
        <f>IFERROR(VLOOKUP(TFS671,'[3]Raw material  (3)'!TFQ653:TGI3729,3,0),"")</f>
        <v/>
      </c>
      <c r="TFS671" t="str">
        <f>IFERROR(VLOOKUP(TFT671,'[3]Raw material  (3)'!TFR653:TGJ3729,3,0),"")</f>
        <v/>
      </c>
      <c r="TFT671" t="str">
        <f>IFERROR(VLOOKUP(TFU671,'[3]Raw material  (3)'!TFS653:TGK3729,3,0),"")</f>
        <v/>
      </c>
      <c r="TFU671" t="str">
        <f>IFERROR(VLOOKUP(TFV671,'[3]Raw material  (3)'!TFT653:TGL3729,3,0),"")</f>
        <v/>
      </c>
      <c r="TFV671" t="str">
        <f>IFERROR(VLOOKUP(TFW671,'[3]Raw material  (3)'!TFU653:TGM3729,3,0),"")</f>
        <v/>
      </c>
      <c r="TFW671" t="str">
        <f>IFERROR(VLOOKUP(TFX671,'[3]Raw material  (3)'!TFV653:TGN3729,3,0),"")</f>
        <v/>
      </c>
      <c r="TFX671" t="str">
        <f>IFERROR(VLOOKUP(TFY671,'[3]Raw material  (3)'!TFW653:TGO3729,3,0),"")</f>
        <v/>
      </c>
      <c r="TFY671" t="str">
        <f>IFERROR(VLOOKUP(TFZ671,'[3]Raw material  (3)'!TFX653:TGP3729,3,0),"")</f>
        <v/>
      </c>
      <c r="TFZ671" t="str">
        <f>IFERROR(VLOOKUP(TGA671,'[3]Raw material  (3)'!TFY653:TGQ3729,3,0),"")</f>
        <v/>
      </c>
      <c r="TGA671" t="str">
        <f>IFERROR(VLOOKUP(TGB671,'[3]Raw material  (3)'!TFZ653:TGR3729,3,0),"")</f>
        <v/>
      </c>
      <c r="TGB671" t="str">
        <f>IFERROR(VLOOKUP(TGC671,'[3]Raw material  (3)'!TGA653:TGS3729,3,0),"")</f>
        <v/>
      </c>
      <c r="TGC671" t="str">
        <f>IFERROR(VLOOKUP(TGD671,'[3]Raw material  (3)'!TGB653:TGT3729,3,0),"")</f>
        <v/>
      </c>
      <c r="TGD671" t="str">
        <f>IFERROR(VLOOKUP(TGE671,'[3]Raw material  (3)'!TGC653:TGU3729,3,0),"")</f>
        <v/>
      </c>
      <c r="TGE671" t="str">
        <f>IFERROR(VLOOKUP(TGF671,'[3]Raw material  (3)'!TGD653:TGV3729,3,0),"")</f>
        <v/>
      </c>
      <c r="TGF671" t="str">
        <f>IFERROR(VLOOKUP(TGG671,'[3]Raw material  (3)'!TGE653:TGW3729,3,0),"")</f>
        <v/>
      </c>
      <c r="TGG671" t="str">
        <f>IFERROR(VLOOKUP(TGH671,'[3]Raw material  (3)'!TGF653:TGX3729,3,0),"")</f>
        <v/>
      </c>
      <c r="TGH671" t="str">
        <f>IFERROR(VLOOKUP(TGI671,'[3]Raw material  (3)'!TGG653:TGY3729,3,0),"")</f>
        <v/>
      </c>
      <c r="TGI671" t="str">
        <f>IFERROR(VLOOKUP(TGJ671,'[3]Raw material  (3)'!TGH653:TGZ3729,3,0),"")</f>
        <v/>
      </c>
      <c r="TGJ671" t="str">
        <f>IFERROR(VLOOKUP(TGK671,'[3]Raw material  (3)'!TGI653:THA3729,3,0),"")</f>
        <v/>
      </c>
      <c r="TGK671" t="str">
        <f>IFERROR(VLOOKUP(TGL671,'[3]Raw material  (3)'!TGJ653:THB3729,3,0),"")</f>
        <v/>
      </c>
      <c r="TGL671" t="str">
        <f>IFERROR(VLOOKUP(TGM671,'[3]Raw material  (3)'!TGK653:THC3729,3,0),"")</f>
        <v/>
      </c>
      <c r="TGM671" t="str">
        <f>IFERROR(VLOOKUP(TGN671,'[3]Raw material  (3)'!TGL653:THD3729,3,0),"")</f>
        <v/>
      </c>
      <c r="TGN671" t="str">
        <f>IFERROR(VLOOKUP(TGO671,'[3]Raw material  (3)'!TGM653:THE3729,3,0),"")</f>
        <v/>
      </c>
      <c r="TGO671" t="str">
        <f>IFERROR(VLOOKUP(TGP671,'[3]Raw material  (3)'!TGN653:THF3729,3,0),"")</f>
        <v/>
      </c>
      <c r="TGP671" t="str">
        <f>IFERROR(VLOOKUP(TGQ671,'[3]Raw material  (3)'!TGO653:THG3729,3,0),"")</f>
        <v/>
      </c>
      <c r="TGQ671" t="str">
        <f>IFERROR(VLOOKUP(TGR671,'[3]Raw material  (3)'!TGP653:THH3729,3,0),"")</f>
        <v/>
      </c>
      <c r="TGR671" t="str">
        <f>IFERROR(VLOOKUP(TGS671,'[3]Raw material  (3)'!TGQ653:THI3729,3,0),"")</f>
        <v/>
      </c>
      <c r="TGS671" t="str">
        <f>IFERROR(VLOOKUP(TGT671,'[3]Raw material  (3)'!TGR653:THJ3729,3,0),"")</f>
        <v/>
      </c>
      <c r="TGT671" t="str">
        <f>IFERROR(VLOOKUP(TGU671,'[3]Raw material  (3)'!TGS653:THK3729,3,0),"")</f>
        <v/>
      </c>
      <c r="TGU671" t="str">
        <f>IFERROR(VLOOKUP(TGV671,'[3]Raw material  (3)'!TGT653:THL3729,3,0),"")</f>
        <v/>
      </c>
      <c r="TGV671" t="str">
        <f>IFERROR(VLOOKUP(TGW671,'[3]Raw material  (3)'!TGU653:THM3729,3,0),"")</f>
        <v/>
      </c>
      <c r="TGW671" t="str">
        <f>IFERROR(VLOOKUP(TGX671,'[3]Raw material  (3)'!TGV653:THN3729,3,0),"")</f>
        <v/>
      </c>
      <c r="TGX671" t="str">
        <f>IFERROR(VLOOKUP(TGY671,'[3]Raw material  (3)'!TGW653:THO3729,3,0),"")</f>
        <v/>
      </c>
      <c r="TGY671" t="str">
        <f>IFERROR(VLOOKUP(TGZ671,'[3]Raw material  (3)'!TGX653:THP3729,3,0),"")</f>
        <v/>
      </c>
      <c r="TGZ671" t="str">
        <f>IFERROR(VLOOKUP(THA671,'[3]Raw material  (3)'!TGY653:THQ3729,3,0),"")</f>
        <v/>
      </c>
      <c r="THA671" t="str">
        <f>IFERROR(VLOOKUP(THB671,'[3]Raw material  (3)'!TGZ653:THR3729,3,0),"")</f>
        <v/>
      </c>
      <c r="THB671" t="str">
        <f>IFERROR(VLOOKUP(THC671,'[3]Raw material  (3)'!THA653:THS3729,3,0),"")</f>
        <v/>
      </c>
      <c r="THC671" t="str">
        <f>IFERROR(VLOOKUP(THD671,'[3]Raw material  (3)'!THB653:THT3729,3,0),"")</f>
        <v/>
      </c>
      <c r="THD671" t="str">
        <f>IFERROR(VLOOKUP(THE671,'[3]Raw material  (3)'!THC653:THU3729,3,0),"")</f>
        <v/>
      </c>
      <c r="THE671" t="str">
        <f>IFERROR(VLOOKUP(THF671,'[3]Raw material  (3)'!THD653:THV3729,3,0),"")</f>
        <v/>
      </c>
      <c r="THF671" t="str">
        <f>IFERROR(VLOOKUP(THG671,'[3]Raw material  (3)'!THE653:THW3729,3,0),"")</f>
        <v/>
      </c>
      <c r="THG671" t="str">
        <f>IFERROR(VLOOKUP(THH671,'[3]Raw material  (3)'!THF653:THX3729,3,0),"")</f>
        <v/>
      </c>
      <c r="THH671" t="str">
        <f>IFERROR(VLOOKUP(THI671,'[3]Raw material  (3)'!THG653:THY3729,3,0),"")</f>
        <v/>
      </c>
      <c r="THI671" t="str">
        <f>IFERROR(VLOOKUP(THJ671,'[3]Raw material  (3)'!THH653:THZ3729,3,0),"")</f>
        <v/>
      </c>
      <c r="THJ671" t="str">
        <f>IFERROR(VLOOKUP(THK671,'[3]Raw material  (3)'!THI653:TIA3729,3,0),"")</f>
        <v/>
      </c>
      <c r="THK671" t="str">
        <f>IFERROR(VLOOKUP(THL671,'[3]Raw material  (3)'!THJ653:TIB3729,3,0),"")</f>
        <v/>
      </c>
      <c r="THL671" t="str">
        <f>IFERROR(VLOOKUP(THM671,'[3]Raw material  (3)'!THK653:TIC3729,3,0),"")</f>
        <v/>
      </c>
      <c r="THM671" t="str">
        <f>IFERROR(VLOOKUP(THN671,'[3]Raw material  (3)'!THL653:TID3729,3,0),"")</f>
        <v/>
      </c>
      <c r="THN671" t="str">
        <f>IFERROR(VLOOKUP(THO671,'[3]Raw material  (3)'!THM653:TIE3729,3,0),"")</f>
        <v/>
      </c>
      <c r="THO671" t="str">
        <f>IFERROR(VLOOKUP(THP671,'[3]Raw material  (3)'!THN653:TIF3729,3,0),"")</f>
        <v/>
      </c>
      <c r="THP671" t="str">
        <f>IFERROR(VLOOKUP(THQ671,'[3]Raw material  (3)'!THO653:TIG3729,3,0),"")</f>
        <v/>
      </c>
      <c r="THQ671" t="str">
        <f>IFERROR(VLOOKUP(THR671,'[3]Raw material  (3)'!THP653:TIH3729,3,0),"")</f>
        <v/>
      </c>
      <c r="THR671" t="str">
        <f>IFERROR(VLOOKUP(THS671,'[3]Raw material  (3)'!THQ653:TII3729,3,0),"")</f>
        <v/>
      </c>
      <c r="THS671" t="str">
        <f>IFERROR(VLOOKUP(THT671,'[3]Raw material  (3)'!THR653:TIJ3729,3,0),"")</f>
        <v/>
      </c>
      <c r="THT671" t="str">
        <f>IFERROR(VLOOKUP(THU671,'[3]Raw material  (3)'!THS653:TIK3729,3,0),"")</f>
        <v/>
      </c>
      <c r="THU671" t="str">
        <f>IFERROR(VLOOKUP(THV671,'[3]Raw material  (3)'!THT653:TIL3729,3,0),"")</f>
        <v/>
      </c>
      <c r="THV671" t="str">
        <f>IFERROR(VLOOKUP(THW671,'[3]Raw material  (3)'!THU653:TIM3729,3,0),"")</f>
        <v/>
      </c>
      <c r="THW671" t="str">
        <f>IFERROR(VLOOKUP(THX671,'[3]Raw material  (3)'!THV653:TIN3729,3,0),"")</f>
        <v/>
      </c>
      <c r="THX671" t="str">
        <f>IFERROR(VLOOKUP(THY671,'[3]Raw material  (3)'!THW653:TIO3729,3,0),"")</f>
        <v/>
      </c>
      <c r="THY671" t="str">
        <f>IFERROR(VLOOKUP(THZ671,'[3]Raw material  (3)'!THX653:TIP3729,3,0),"")</f>
        <v/>
      </c>
      <c r="THZ671" t="str">
        <f>IFERROR(VLOOKUP(TIA671,'[3]Raw material  (3)'!THY653:TIQ3729,3,0),"")</f>
        <v/>
      </c>
      <c r="TIA671" t="str">
        <f>IFERROR(VLOOKUP(TIB671,'[3]Raw material  (3)'!THZ653:TIR3729,3,0),"")</f>
        <v/>
      </c>
      <c r="TIB671" t="str">
        <f>IFERROR(VLOOKUP(TIC671,'[3]Raw material  (3)'!TIA653:TIS3729,3,0),"")</f>
        <v/>
      </c>
      <c r="TIC671" t="str">
        <f>IFERROR(VLOOKUP(TID671,'[3]Raw material  (3)'!TIB653:TIT3729,3,0),"")</f>
        <v/>
      </c>
      <c r="TID671" t="str">
        <f>IFERROR(VLOOKUP(TIE671,'[3]Raw material  (3)'!TIC653:TIU3729,3,0),"")</f>
        <v/>
      </c>
      <c r="TIE671" t="str">
        <f>IFERROR(VLOOKUP(TIF671,'[3]Raw material  (3)'!TID653:TIV3729,3,0),"")</f>
        <v/>
      </c>
      <c r="TIF671" t="str">
        <f>IFERROR(VLOOKUP(TIG671,'[3]Raw material  (3)'!TIE653:TIW3729,3,0),"")</f>
        <v/>
      </c>
      <c r="TIG671" t="str">
        <f>IFERROR(VLOOKUP(TIH671,'[3]Raw material  (3)'!TIF653:TIX3729,3,0),"")</f>
        <v/>
      </c>
      <c r="TIH671" t="str">
        <f>IFERROR(VLOOKUP(TII671,'[3]Raw material  (3)'!TIG653:TIY3729,3,0),"")</f>
        <v/>
      </c>
      <c r="TII671" t="str">
        <f>IFERROR(VLOOKUP(TIJ671,'[3]Raw material  (3)'!TIH653:TIZ3729,3,0),"")</f>
        <v/>
      </c>
      <c r="TIJ671" t="str">
        <f>IFERROR(VLOOKUP(TIK671,'[3]Raw material  (3)'!TII653:TJA3729,3,0),"")</f>
        <v/>
      </c>
      <c r="TIK671" t="str">
        <f>IFERROR(VLOOKUP(TIL671,'[3]Raw material  (3)'!TIJ653:TJB3729,3,0),"")</f>
        <v/>
      </c>
      <c r="TIL671" t="str">
        <f>IFERROR(VLOOKUP(TIM671,'[3]Raw material  (3)'!TIK653:TJC3729,3,0),"")</f>
        <v/>
      </c>
      <c r="TIM671" t="str">
        <f>IFERROR(VLOOKUP(TIN671,'[3]Raw material  (3)'!TIL653:TJD3729,3,0),"")</f>
        <v/>
      </c>
      <c r="TIN671" t="str">
        <f>IFERROR(VLOOKUP(TIO671,'[3]Raw material  (3)'!TIM653:TJE3729,3,0),"")</f>
        <v/>
      </c>
      <c r="TIO671" t="str">
        <f>IFERROR(VLOOKUP(TIP671,'[3]Raw material  (3)'!TIN653:TJF3729,3,0),"")</f>
        <v/>
      </c>
      <c r="TIP671" t="str">
        <f>IFERROR(VLOOKUP(TIQ671,'[3]Raw material  (3)'!TIO653:TJG3729,3,0),"")</f>
        <v/>
      </c>
      <c r="TIQ671" t="str">
        <f>IFERROR(VLOOKUP(TIR671,'[3]Raw material  (3)'!TIP653:TJH3729,3,0),"")</f>
        <v/>
      </c>
      <c r="TIR671" t="str">
        <f>IFERROR(VLOOKUP(TIS671,'[3]Raw material  (3)'!TIQ653:TJI3729,3,0),"")</f>
        <v/>
      </c>
      <c r="TIS671" t="str">
        <f>IFERROR(VLOOKUP(TIT671,'[3]Raw material  (3)'!TIR653:TJJ3729,3,0),"")</f>
        <v/>
      </c>
      <c r="TIT671" t="str">
        <f>IFERROR(VLOOKUP(TIU671,'[3]Raw material  (3)'!TIS653:TJK3729,3,0),"")</f>
        <v/>
      </c>
      <c r="TIU671" t="str">
        <f>IFERROR(VLOOKUP(TIV671,'[3]Raw material  (3)'!TIT653:TJL3729,3,0),"")</f>
        <v/>
      </c>
      <c r="TIV671" t="str">
        <f>IFERROR(VLOOKUP(TIW671,'[3]Raw material  (3)'!TIU653:TJM3729,3,0),"")</f>
        <v/>
      </c>
      <c r="TIW671" t="str">
        <f>IFERROR(VLOOKUP(TIX671,'[3]Raw material  (3)'!TIV653:TJN3729,3,0),"")</f>
        <v/>
      </c>
      <c r="TIX671" t="str">
        <f>IFERROR(VLOOKUP(TIY671,'[3]Raw material  (3)'!TIW653:TJO3729,3,0),"")</f>
        <v/>
      </c>
      <c r="TIY671" t="str">
        <f>IFERROR(VLOOKUP(TIZ671,'[3]Raw material  (3)'!TIX653:TJP3729,3,0),"")</f>
        <v/>
      </c>
      <c r="TIZ671" t="str">
        <f>IFERROR(VLOOKUP(TJA671,'[3]Raw material  (3)'!TIY653:TJQ3729,3,0),"")</f>
        <v/>
      </c>
      <c r="TJA671" t="str">
        <f>IFERROR(VLOOKUP(TJB671,'[3]Raw material  (3)'!TIZ653:TJR3729,3,0),"")</f>
        <v/>
      </c>
      <c r="TJB671" t="str">
        <f>IFERROR(VLOOKUP(TJC671,'[3]Raw material  (3)'!TJA653:TJS3729,3,0),"")</f>
        <v/>
      </c>
      <c r="TJC671" t="str">
        <f>IFERROR(VLOOKUP(TJD671,'[3]Raw material  (3)'!TJB653:TJT3729,3,0),"")</f>
        <v/>
      </c>
      <c r="TJD671" t="str">
        <f>IFERROR(VLOOKUP(TJE671,'[3]Raw material  (3)'!TJC653:TJU3729,3,0),"")</f>
        <v/>
      </c>
      <c r="TJE671" t="str">
        <f>IFERROR(VLOOKUP(TJF671,'[3]Raw material  (3)'!TJD653:TJV3729,3,0),"")</f>
        <v/>
      </c>
      <c r="TJF671" t="str">
        <f>IFERROR(VLOOKUP(TJG671,'[3]Raw material  (3)'!TJE653:TJW3729,3,0),"")</f>
        <v/>
      </c>
      <c r="TJG671" t="str">
        <f>IFERROR(VLOOKUP(TJH671,'[3]Raw material  (3)'!TJF653:TJX3729,3,0),"")</f>
        <v/>
      </c>
      <c r="TJH671" t="str">
        <f>IFERROR(VLOOKUP(TJI671,'[3]Raw material  (3)'!TJG653:TJY3729,3,0),"")</f>
        <v/>
      </c>
      <c r="TJI671" t="str">
        <f>IFERROR(VLOOKUP(TJJ671,'[3]Raw material  (3)'!TJH653:TJZ3729,3,0),"")</f>
        <v/>
      </c>
      <c r="TJJ671" t="str">
        <f>IFERROR(VLOOKUP(TJK671,'[3]Raw material  (3)'!TJI653:TKA3729,3,0),"")</f>
        <v/>
      </c>
      <c r="TJK671" t="str">
        <f>IFERROR(VLOOKUP(TJL671,'[3]Raw material  (3)'!TJJ653:TKB3729,3,0),"")</f>
        <v/>
      </c>
      <c r="TJL671" t="str">
        <f>IFERROR(VLOOKUP(TJM671,'[3]Raw material  (3)'!TJK653:TKC3729,3,0),"")</f>
        <v/>
      </c>
      <c r="TJM671" t="str">
        <f>IFERROR(VLOOKUP(TJN671,'[3]Raw material  (3)'!TJL653:TKD3729,3,0),"")</f>
        <v/>
      </c>
      <c r="TJN671" t="str">
        <f>IFERROR(VLOOKUP(TJO671,'[3]Raw material  (3)'!TJM653:TKE3729,3,0),"")</f>
        <v/>
      </c>
      <c r="TJO671" t="str">
        <f>IFERROR(VLOOKUP(TJP671,'[3]Raw material  (3)'!TJN653:TKF3729,3,0),"")</f>
        <v/>
      </c>
      <c r="TJP671" t="str">
        <f>IFERROR(VLOOKUP(TJQ671,'[3]Raw material  (3)'!TJO653:TKG3729,3,0),"")</f>
        <v/>
      </c>
      <c r="TJQ671" t="str">
        <f>IFERROR(VLOOKUP(TJR671,'[3]Raw material  (3)'!TJP653:TKH3729,3,0),"")</f>
        <v/>
      </c>
      <c r="TJR671" t="str">
        <f>IFERROR(VLOOKUP(TJS671,'[3]Raw material  (3)'!TJQ653:TKI3729,3,0),"")</f>
        <v/>
      </c>
      <c r="TJS671" t="str">
        <f>IFERROR(VLOOKUP(TJT671,'[3]Raw material  (3)'!TJR653:TKJ3729,3,0),"")</f>
        <v/>
      </c>
      <c r="TJT671" t="str">
        <f>IFERROR(VLOOKUP(TJU671,'[3]Raw material  (3)'!TJS653:TKK3729,3,0),"")</f>
        <v/>
      </c>
      <c r="TJU671" t="str">
        <f>IFERROR(VLOOKUP(TJV671,'[3]Raw material  (3)'!TJT653:TKL3729,3,0),"")</f>
        <v/>
      </c>
      <c r="TJV671" t="str">
        <f>IFERROR(VLOOKUP(TJW671,'[3]Raw material  (3)'!TJU653:TKM3729,3,0),"")</f>
        <v/>
      </c>
      <c r="TJW671" t="str">
        <f>IFERROR(VLOOKUP(TJX671,'[3]Raw material  (3)'!TJV653:TKN3729,3,0),"")</f>
        <v/>
      </c>
      <c r="TJX671" t="str">
        <f>IFERROR(VLOOKUP(TJY671,'[3]Raw material  (3)'!TJW653:TKO3729,3,0),"")</f>
        <v/>
      </c>
      <c r="TJY671" t="str">
        <f>IFERROR(VLOOKUP(TJZ671,'[3]Raw material  (3)'!TJX653:TKP3729,3,0),"")</f>
        <v/>
      </c>
      <c r="TJZ671" t="str">
        <f>IFERROR(VLOOKUP(TKA671,'[3]Raw material  (3)'!TJY653:TKQ3729,3,0),"")</f>
        <v/>
      </c>
      <c r="TKA671" t="str">
        <f>IFERROR(VLOOKUP(TKB671,'[3]Raw material  (3)'!TJZ653:TKR3729,3,0),"")</f>
        <v/>
      </c>
      <c r="TKB671" t="str">
        <f>IFERROR(VLOOKUP(TKC671,'[3]Raw material  (3)'!TKA653:TKS3729,3,0),"")</f>
        <v/>
      </c>
      <c r="TKC671" t="str">
        <f>IFERROR(VLOOKUP(TKD671,'[3]Raw material  (3)'!TKB653:TKT3729,3,0),"")</f>
        <v/>
      </c>
      <c r="TKD671" t="str">
        <f>IFERROR(VLOOKUP(TKE671,'[3]Raw material  (3)'!TKC653:TKU3729,3,0),"")</f>
        <v/>
      </c>
      <c r="TKE671" t="str">
        <f>IFERROR(VLOOKUP(TKF671,'[3]Raw material  (3)'!TKD653:TKV3729,3,0),"")</f>
        <v/>
      </c>
      <c r="TKF671" t="str">
        <f>IFERROR(VLOOKUP(TKG671,'[3]Raw material  (3)'!TKE653:TKW3729,3,0),"")</f>
        <v/>
      </c>
      <c r="TKG671" t="str">
        <f>IFERROR(VLOOKUP(TKH671,'[3]Raw material  (3)'!TKF653:TKX3729,3,0),"")</f>
        <v/>
      </c>
      <c r="TKH671" t="str">
        <f>IFERROR(VLOOKUP(TKI671,'[3]Raw material  (3)'!TKG653:TKY3729,3,0),"")</f>
        <v/>
      </c>
      <c r="TKI671" t="str">
        <f>IFERROR(VLOOKUP(TKJ671,'[3]Raw material  (3)'!TKH653:TKZ3729,3,0),"")</f>
        <v/>
      </c>
      <c r="TKJ671" t="str">
        <f>IFERROR(VLOOKUP(TKK671,'[3]Raw material  (3)'!TKI653:TLA3729,3,0),"")</f>
        <v/>
      </c>
      <c r="TKK671" t="str">
        <f>IFERROR(VLOOKUP(TKL671,'[3]Raw material  (3)'!TKJ653:TLB3729,3,0),"")</f>
        <v/>
      </c>
      <c r="TKL671" t="str">
        <f>IFERROR(VLOOKUP(TKM671,'[3]Raw material  (3)'!TKK653:TLC3729,3,0),"")</f>
        <v/>
      </c>
      <c r="TKM671" t="str">
        <f>IFERROR(VLOOKUP(TKN671,'[3]Raw material  (3)'!TKL653:TLD3729,3,0),"")</f>
        <v/>
      </c>
      <c r="TKN671" t="str">
        <f>IFERROR(VLOOKUP(TKO671,'[3]Raw material  (3)'!TKM653:TLE3729,3,0),"")</f>
        <v/>
      </c>
      <c r="TKO671" t="str">
        <f>IFERROR(VLOOKUP(TKP671,'[3]Raw material  (3)'!TKN653:TLF3729,3,0),"")</f>
        <v/>
      </c>
      <c r="TKP671" t="str">
        <f>IFERROR(VLOOKUP(TKQ671,'[3]Raw material  (3)'!TKO653:TLG3729,3,0),"")</f>
        <v/>
      </c>
      <c r="TKQ671" t="str">
        <f>IFERROR(VLOOKUP(TKR671,'[3]Raw material  (3)'!TKP653:TLH3729,3,0),"")</f>
        <v/>
      </c>
      <c r="TKR671" t="str">
        <f>IFERROR(VLOOKUP(TKS671,'[3]Raw material  (3)'!TKQ653:TLI3729,3,0),"")</f>
        <v/>
      </c>
      <c r="TKS671" t="str">
        <f>IFERROR(VLOOKUP(TKT671,'[3]Raw material  (3)'!TKR653:TLJ3729,3,0),"")</f>
        <v/>
      </c>
      <c r="TKT671" t="str">
        <f>IFERROR(VLOOKUP(TKU671,'[3]Raw material  (3)'!TKS653:TLK3729,3,0),"")</f>
        <v/>
      </c>
      <c r="TKU671" t="str">
        <f>IFERROR(VLOOKUP(TKV671,'[3]Raw material  (3)'!TKT653:TLL3729,3,0),"")</f>
        <v/>
      </c>
      <c r="TKV671" t="str">
        <f>IFERROR(VLOOKUP(TKW671,'[3]Raw material  (3)'!TKU653:TLM3729,3,0),"")</f>
        <v/>
      </c>
      <c r="TKW671" t="str">
        <f>IFERROR(VLOOKUP(TKX671,'[3]Raw material  (3)'!TKV653:TLN3729,3,0),"")</f>
        <v/>
      </c>
      <c r="TKX671" t="str">
        <f>IFERROR(VLOOKUP(TKY671,'[3]Raw material  (3)'!TKW653:TLO3729,3,0),"")</f>
        <v/>
      </c>
      <c r="TKY671" t="str">
        <f>IFERROR(VLOOKUP(TKZ671,'[3]Raw material  (3)'!TKX653:TLP3729,3,0),"")</f>
        <v/>
      </c>
      <c r="TKZ671" t="str">
        <f>IFERROR(VLOOKUP(TLA671,'[3]Raw material  (3)'!TKY653:TLQ3729,3,0),"")</f>
        <v/>
      </c>
      <c r="TLA671" t="str">
        <f>IFERROR(VLOOKUP(TLB671,'[3]Raw material  (3)'!TKZ653:TLR3729,3,0),"")</f>
        <v/>
      </c>
      <c r="TLB671" t="str">
        <f>IFERROR(VLOOKUP(TLC671,'[3]Raw material  (3)'!TLA653:TLS3729,3,0),"")</f>
        <v/>
      </c>
      <c r="TLC671" t="str">
        <f>IFERROR(VLOOKUP(TLD671,'[3]Raw material  (3)'!TLB653:TLT3729,3,0),"")</f>
        <v/>
      </c>
      <c r="TLD671" t="str">
        <f>IFERROR(VLOOKUP(TLE671,'[3]Raw material  (3)'!TLC653:TLU3729,3,0),"")</f>
        <v/>
      </c>
      <c r="TLE671" t="str">
        <f>IFERROR(VLOOKUP(TLF671,'[3]Raw material  (3)'!TLD653:TLV3729,3,0),"")</f>
        <v/>
      </c>
      <c r="TLF671" t="str">
        <f>IFERROR(VLOOKUP(TLG671,'[3]Raw material  (3)'!TLE653:TLW3729,3,0),"")</f>
        <v/>
      </c>
      <c r="TLG671" t="str">
        <f>IFERROR(VLOOKUP(TLH671,'[3]Raw material  (3)'!TLF653:TLX3729,3,0),"")</f>
        <v/>
      </c>
      <c r="TLH671" t="str">
        <f>IFERROR(VLOOKUP(TLI671,'[3]Raw material  (3)'!TLG653:TLY3729,3,0),"")</f>
        <v/>
      </c>
      <c r="TLI671" t="str">
        <f>IFERROR(VLOOKUP(TLJ671,'[3]Raw material  (3)'!TLH653:TLZ3729,3,0),"")</f>
        <v/>
      </c>
      <c r="TLJ671" t="str">
        <f>IFERROR(VLOOKUP(TLK671,'[3]Raw material  (3)'!TLI653:TMA3729,3,0),"")</f>
        <v/>
      </c>
      <c r="TLK671" t="str">
        <f>IFERROR(VLOOKUP(TLL671,'[3]Raw material  (3)'!TLJ653:TMB3729,3,0),"")</f>
        <v/>
      </c>
      <c r="TLL671" t="str">
        <f>IFERROR(VLOOKUP(TLM671,'[3]Raw material  (3)'!TLK653:TMC3729,3,0),"")</f>
        <v/>
      </c>
      <c r="TLM671" t="str">
        <f>IFERROR(VLOOKUP(TLN671,'[3]Raw material  (3)'!TLL653:TMD3729,3,0),"")</f>
        <v/>
      </c>
      <c r="TLN671" t="str">
        <f>IFERROR(VLOOKUP(TLO671,'[3]Raw material  (3)'!TLM653:TME3729,3,0),"")</f>
        <v/>
      </c>
      <c r="TLO671" t="str">
        <f>IFERROR(VLOOKUP(TLP671,'[3]Raw material  (3)'!TLN653:TMF3729,3,0),"")</f>
        <v/>
      </c>
      <c r="TLP671" t="str">
        <f>IFERROR(VLOOKUP(TLQ671,'[3]Raw material  (3)'!TLO653:TMG3729,3,0),"")</f>
        <v/>
      </c>
      <c r="TLQ671" t="str">
        <f>IFERROR(VLOOKUP(TLR671,'[3]Raw material  (3)'!TLP653:TMH3729,3,0),"")</f>
        <v/>
      </c>
      <c r="TLR671" t="str">
        <f>IFERROR(VLOOKUP(TLS671,'[3]Raw material  (3)'!TLQ653:TMI3729,3,0),"")</f>
        <v/>
      </c>
      <c r="TLS671" t="str">
        <f>IFERROR(VLOOKUP(TLT671,'[3]Raw material  (3)'!TLR653:TMJ3729,3,0),"")</f>
        <v/>
      </c>
      <c r="TLT671" t="str">
        <f>IFERROR(VLOOKUP(TLU671,'[3]Raw material  (3)'!TLS653:TMK3729,3,0),"")</f>
        <v/>
      </c>
      <c r="TLU671" t="str">
        <f>IFERROR(VLOOKUP(TLV671,'[3]Raw material  (3)'!TLT653:TML3729,3,0),"")</f>
        <v/>
      </c>
      <c r="TLV671" t="str">
        <f>IFERROR(VLOOKUP(TLW671,'[3]Raw material  (3)'!TLU653:TMM3729,3,0),"")</f>
        <v/>
      </c>
      <c r="TLW671" t="str">
        <f>IFERROR(VLOOKUP(TLX671,'[3]Raw material  (3)'!TLV653:TMN3729,3,0),"")</f>
        <v/>
      </c>
      <c r="TLX671" t="str">
        <f>IFERROR(VLOOKUP(TLY671,'[3]Raw material  (3)'!TLW653:TMO3729,3,0),"")</f>
        <v/>
      </c>
      <c r="TLY671" t="str">
        <f>IFERROR(VLOOKUP(TLZ671,'[3]Raw material  (3)'!TLX653:TMP3729,3,0),"")</f>
        <v/>
      </c>
      <c r="TLZ671" t="str">
        <f>IFERROR(VLOOKUP(TMA671,'[3]Raw material  (3)'!TLY653:TMQ3729,3,0),"")</f>
        <v/>
      </c>
      <c r="TMA671" t="str">
        <f>IFERROR(VLOOKUP(TMB671,'[3]Raw material  (3)'!TLZ653:TMR3729,3,0),"")</f>
        <v/>
      </c>
      <c r="TMB671" t="str">
        <f>IFERROR(VLOOKUP(TMC671,'[3]Raw material  (3)'!TMA653:TMS3729,3,0),"")</f>
        <v/>
      </c>
      <c r="TMC671" t="str">
        <f>IFERROR(VLOOKUP(TMD671,'[3]Raw material  (3)'!TMB653:TMT3729,3,0),"")</f>
        <v/>
      </c>
      <c r="TMD671" t="str">
        <f>IFERROR(VLOOKUP(TME671,'[3]Raw material  (3)'!TMC653:TMU3729,3,0),"")</f>
        <v/>
      </c>
      <c r="TME671" t="str">
        <f>IFERROR(VLOOKUP(TMF671,'[3]Raw material  (3)'!TMD653:TMV3729,3,0),"")</f>
        <v/>
      </c>
      <c r="TMF671" t="str">
        <f>IFERROR(VLOOKUP(TMG671,'[3]Raw material  (3)'!TME653:TMW3729,3,0),"")</f>
        <v/>
      </c>
      <c r="TMG671" t="str">
        <f>IFERROR(VLOOKUP(TMH671,'[3]Raw material  (3)'!TMF653:TMX3729,3,0),"")</f>
        <v/>
      </c>
      <c r="TMH671" t="str">
        <f>IFERROR(VLOOKUP(TMI671,'[3]Raw material  (3)'!TMG653:TMY3729,3,0),"")</f>
        <v/>
      </c>
      <c r="TMI671" t="str">
        <f>IFERROR(VLOOKUP(TMJ671,'[3]Raw material  (3)'!TMH653:TMZ3729,3,0),"")</f>
        <v/>
      </c>
      <c r="TMJ671" t="str">
        <f>IFERROR(VLOOKUP(TMK671,'[3]Raw material  (3)'!TMI653:TNA3729,3,0),"")</f>
        <v/>
      </c>
      <c r="TMK671" t="str">
        <f>IFERROR(VLOOKUP(TML671,'[3]Raw material  (3)'!TMJ653:TNB3729,3,0),"")</f>
        <v/>
      </c>
      <c r="TML671" t="str">
        <f>IFERROR(VLOOKUP(TMM671,'[3]Raw material  (3)'!TMK653:TNC3729,3,0),"")</f>
        <v/>
      </c>
      <c r="TMM671" t="str">
        <f>IFERROR(VLOOKUP(TMN671,'[3]Raw material  (3)'!TML653:TND3729,3,0),"")</f>
        <v/>
      </c>
      <c r="TMN671" t="str">
        <f>IFERROR(VLOOKUP(TMO671,'[3]Raw material  (3)'!TMM653:TNE3729,3,0),"")</f>
        <v/>
      </c>
      <c r="TMO671" t="str">
        <f>IFERROR(VLOOKUP(TMP671,'[3]Raw material  (3)'!TMN653:TNF3729,3,0),"")</f>
        <v/>
      </c>
      <c r="TMP671" t="str">
        <f>IFERROR(VLOOKUP(TMQ671,'[3]Raw material  (3)'!TMO653:TNG3729,3,0),"")</f>
        <v/>
      </c>
      <c r="TMQ671" t="str">
        <f>IFERROR(VLOOKUP(TMR671,'[3]Raw material  (3)'!TMP653:TNH3729,3,0),"")</f>
        <v/>
      </c>
      <c r="TMR671" t="str">
        <f>IFERROR(VLOOKUP(TMS671,'[3]Raw material  (3)'!TMQ653:TNI3729,3,0),"")</f>
        <v/>
      </c>
      <c r="TMS671" t="str">
        <f>IFERROR(VLOOKUP(TMT671,'[3]Raw material  (3)'!TMR653:TNJ3729,3,0),"")</f>
        <v/>
      </c>
      <c r="TMT671" t="str">
        <f>IFERROR(VLOOKUP(TMU671,'[3]Raw material  (3)'!TMS653:TNK3729,3,0),"")</f>
        <v/>
      </c>
      <c r="TMU671" t="str">
        <f>IFERROR(VLOOKUP(TMV671,'[3]Raw material  (3)'!TMT653:TNL3729,3,0),"")</f>
        <v/>
      </c>
      <c r="TMV671" t="str">
        <f>IFERROR(VLOOKUP(TMW671,'[3]Raw material  (3)'!TMU653:TNM3729,3,0),"")</f>
        <v/>
      </c>
      <c r="TMW671" t="str">
        <f>IFERROR(VLOOKUP(TMX671,'[3]Raw material  (3)'!TMV653:TNN3729,3,0),"")</f>
        <v/>
      </c>
      <c r="TMX671" t="str">
        <f>IFERROR(VLOOKUP(TMY671,'[3]Raw material  (3)'!TMW653:TNO3729,3,0),"")</f>
        <v/>
      </c>
      <c r="TMY671" t="str">
        <f>IFERROR(VLOOKUP(TMZ671,'[3]Raw material  (3)'!TMX653:TNP3729,3,0),"")</f>
        <v/>
      </c>
      <c r="TMZ671" t="str">
        <f>IFERROR(VLOOKUP(TNA671,'[3]Raw material  (3)'!TMY653:TNQ3729,3,0),"")</f>
        <v/>
      </c>
      <c r="TNA671" t="str">
        <f>IFERROR(VLOOKUP(TNB671,'[3]Raw material  (3)'!TMZ653:TNR3729,3,0),"")</f>
        <v/>
      </c>
      <c r="TNB671" t="str">
        <f>IFERROR(VLOOKUP(TNC671,'[3]Raw material  (3)'!TNA653:TNS3729,3,0),"")</f>
        <v/>
      </c>
      <c r="TNC671" t="str">
        <f>IFERROR(VLOOKUP(TND671,'[3]Raw material  (3)'!TNB653:TNT3729,3,0),"")</f>
        <v/>
      </c>
      <c r="TND671" t="str">
        <f>IFERROR(VLOOKUP(TNE671,'[3]Raw material  (3)'!TNC653:TNU3729,3,0),"")</f>
        <v/>
      </c>
      <c r="TNE671" t="str">
        <f>IFERROR(VLOOKUP(TNF671,'[3]Raw material  (3)'!TND653:TNV3729,3,0),"")</f>
        <v/>
      </c>
      <c r="TNF671" t="str">
        <f>IFERROR(VLOOKUP(TNG671,'[3]Raw material  (3)'!TNE653:TNW3729,3,0),"")</f>
        <v/>
      </c>
      <c r="TNG671" t="str">
        <f>IFERROR(VLOOKUP(TNH671,'[3]Raw material  (3)'!TNF653:TNX3729,3,0),"")</f>
        <v/>
      </c>
      <c r="TNH671" t="str">
        <f>IFERROR(VLOOKUP(TNI671,'[3]Raw material  (3)'!TNG653:TNY3729,3,0),"")</f>
        <v/>
      </c>
      <c r="TNI671" t="str">
        <f>IFERROR(VLOOKUP(TNJ671,'[3]Raw material  (3)'!TNH653:TNZ3729,3,0),"")</f>
        <v/>
      </c>
      <c r="TNJ671" t="str">
        <f>IFERROR(VLOOKUP(TNK671,'[3]Raw material  (3)'!TNI653:TOA3729,3,0),"")</f>
        <v/>
      </c>
      <c r="TNK671" t="str">
        <f>IFERROR(VLOOKUP(TNL671,'[3]Raw material  (3)'!TNJ653:TOB3729,3,0),"")</f>
        <v/>
      </c>
      <c r="TNL671" t="str">
        <f>IFERROR(VLOOKUP(TNM671,'[3]Raw material  (3)'!TNK653:TOC3729,3,0),"")</f>
        <v/>
      </c>
      <c r="TNM671" t="str">
        <f>IFERROR(VLOOKUP(TNN671,'[3]Raw material  (3)'!TNL653:TOD3729,3,0),"")</f>
        <v/>
      </c>
      <c r="TNN671" t="str">
        <f>IFERROR(VLOOKUP(TNO671,'[3]Raw material  (3)'!TNM653:TOE3729,3,0),"")</f>
        <v/>
      </c>
      <c r="TNO671" t="str">
        <f>IFERROR(VLOOKUP(TNP671,'[3]Raw material  (3)'!TNN653:TOF3729,3,0),"")</f>
        <v/>
      </c>
      <c r="TNP671" t="str">
        <f>IFERROR(VLOOKUP(TNQ671,'[3]Raw material  (3)'!TNO653:TOG3729,3,0),"")</f>
        <v/>
      </c>
      <c r="TNQ671" t="str">
        <f>IFERROR(VLOOKUP(TNR671,'[3]Raw material  (3)'!TNP653:TOH3729,3,0),"")</f>
        <v/>
      </c>
      <c r="TNR671" t="str">
        <f>IFERROR(VLOOKUP(TNS671,'[3]Raw material  (3)'!TNQ653:TOI3729,3,0),"")</f>
        <v/>
      </c>
      <c r="TNS671" t="str">
        <f>IFERROR(VLOOKUP(TNT671,'[3]Raw material  (3)'!TNR653:TOJ3729,3,0),"")</f>
        <v/>
      </c>
      <c r="TNT671" t="str">
        <f>IFERROR(VLOOKUP(TNU671,'[3]Raw material  (3)'!TNS653:TOK3729,3,0),"")</f>
        <v/>
      </c>
      <c r="TNU671" t="str">
        <f>IFERROR(VLOOKUP(TNV671,'[3]Raw material  (3)'!TNT653:TOL3729,3,0),"")</f>
        <v/>
      </c>
      <c r="TNV671" t="str">
        <f>IFERROR(VLOOKUP(TNW671,'[3]Raw material  (3)'!TNU653:TOM3729,3,0),"")</f>
        <v/>
      </c>
      <c r="TNW671" t="str">
        <f>IFERROR(VLOOKUP(TNX671,'[3]Raw material  (3)'!TNV653:TON3729,3,0),"")</f>
        <v/>
      </c>
      <c r="TNX671" t="str">
        <f>IFERROR(VLOOKUP(TNY671,'[3]Raw material  (3)'!TNW653:TOO3729,3,0),"")</f>
        <v/>
      </c>
      <c r="TNY671" t="str">
        <f>IFERROR(VLOOKUP(TNZ671,'[3]Raw material  (3)'!TNX653:TOP3729,3,0),"")</f>
        <v/>
      </c>
      <c r="TNZ671" t="str">
        <f>IFERROR(VLOOKUP(TOA671,'[3]Raw material  (3)'!TNY653:TOQ3729,3,0),"")</f>
        <v/>
      </c>
      <c r="TOA671" t="str">
        <f>IFERROR(VLOOKUP(TOB671,'[3]Raw material  (3)'!TNZ653:TOR3729,3,0),"")</f>
        <v/>
      </c>
      <c r="TOB671" t="str">
        <f>IFERROR(VLOOKUP(TOC671,'[3]Raw material  (3)'!TOA653:TOS3729,3,0),"")</f>
        <v/>
      </c>
      <c r="TOC671" t="str">
        <f>IFERROR(VLOOKUP(TOD671,'[3]Raw material  (3)'!TOB653:TOT3729,3,0),"")</f>
        <v/>
      </c>
      <c r="TOD671" t="str">
        <f>IFERROR(VLOOKUP(TOE671,'[3]Raw material  (3)'!TOC653:TOU3729,3,0),"")</f>
        <v/>
      </c>
      <c r="TOE671" t="str">
        <f>IFERROR(VLOOKUP(TOF671,'[3]Raw material  (3)'!TOD653:TOV3729,3,0),"")</f>
        <v/>
      </c>
      <c r="TOF671" t="str">
        <f>IFERROR(VLOOKUP(TOG671,'[3]Raw material  (3)'!TOE653:TOW3729,3,0),"")</f>
        <v/>
      </c>
      <c r="TOG671" t="str">
        <f>IFERROR(VLOOKUP(TOH671,'[3]Raw material  (3)'!TOF653:TOX3729,3,0),"")</f>
        <v/>
      </c>
      <c r="TOH671" t="str">
        <f>IFERROR(VLOOKUP(TOI671,'[3]Raw material  (3)'!TOG653:TOY3729,3,0),"")</f>
        <v/>
      </c>
      <c r="TOI671" t="str">
        <f>IFERROR(VLOOKUP(TOJ671,'[3]Raw material  (3)'!TOH653:TOZ3729,3,0),"")</f>
        <v/>
      </c>
      <c r="TOJ671" t="str">
        <f>IFERROR(VLOOKUP(TOK671,'[3]Raw material  (3)'!TOI653:TPA3729,3,0),"")</f>
        <v/>
      </c>
      <c r="TOK671" t="str">
        <f>IFERROR(VLOOKUP(TOL671,'[3]Raw material  (3)'!TOJ653:TPB3729,3,0),"")</f>
        <v/>
      </c>
      <c r="TOL671" t="str">
        <f>IFERROR(VLOOKUP(TOM671,'[3]Raw material  (3)'!TOK653:TPC3729,3,0),"")</f>
        <v/>
      </c>
      <c r="TOM671" t="str">
        <f>IFERROR(VLOOKUP(TON671,'[3]Raw material  (3)'!TOL653:TPD3729,3,0),"")</f>
        <v/>
      </c>
      <c r="TON671" t="str">
        <f>IFERROR(VLOOKUP(TOO671,'[3]Raw material  (3)'!TOM653:TPE3729,3,0),"")</f>
        <v/>
      </c>
      <c r="TOO671" t="str">
        <f>IFERROR(VLOOKUP(TOP671,'[3]Raw material  (3)'!TON653:TPF3729,3,0),"")</f>
        <v/>
      </c>
      <c r="TOP671" t="str">
        <f>IFERROR(VLOOKUP(TOQ671,'[3]Raw material  (3)'!TOO653:TPG3729,3,0),"")</f>
        <v/>
      </c>
      <c r="TOQ671" t="str">
        <f>IFERROR(VLOOKUP(TOR671,'[3]Raw material  (3)'!TOP653:TPH3729,3,0),"")</f>
        <v/>
      </c>
      <c r="TOR671" t="str">
        <f>IFERROR(VLOOKUP(TOS671,'[3]Raw material  (3)'!TOQ653:TPI3729,3,0),"")</f>
        <v/>
      </c>
      <c r="TOS671" t="str">
        <f>IFERROR(VLOOKUP(TOT671,'[3]Raw material  (3)'!TOR653:TPJ3729,3,0),"")</f>
        <v/>
      </c>
      <c r="TOT671" t="str">
        <f>IFERROR(VLOOKUP(TOU671,'[3]Raw material  (3)'!TOS653:TPK3729,3,0),"")</f>
        <v/>
      </c>
      <c r="TOU671" t="str">
        <f>IFERROR(VLOOKUP(TOV671,'[3]Raw material  (3)'!TOT653:TPL3729,3,0),"")</f>
        <v/>
      </c>
      <c r="TOV671" t="str">
        <f>IFERROR(VLOOKUP(TOW671,'[3]Raw material  (3)'!TOU653:TPM3729,3,0),"")</f>
        <v/>
      </c>
      <c r="TOW671" t="str">
        <f>IFERROR(VLOOKUP(TOX671,'[3]Raw material  (3)'!TOV653:TPN3729,3,0),"")</f>
        <v/>
      </c>
      <c r="TOX671" t="str">
        <f>IFERROR(VLOOKUP(TOY671,'[3]Raw material  (3)'!TOW653:TPO3729,3,0),"")</f>
        <v/>
      </c>
      <c r="TOY671" t="str">
        <f>IFERROR(VLOOKUP(TOZ671,'[3]Raw material  (3)'!TOX653:TPP3729,3,0),"")</f>
        <v/>
      </c>
      <c r="TOZ671" t="str">
        <f>IFERROR(VLOOKUP(TPA671,'[3]Raw material  (3)'!TOY653:TPQ3729,3,0),"")</f>
        <v/>
      </c>
      <c r="TPA671" t="str">
        <f>IFERROR(VLOOKUP(TPB671,'[3]Raw material  (3)'!TOZ653:TPR3729,3,0),"")</f>
        <v/>
      </c>
      <c r="TPB671" t="str">
        <f>IFERROR(VLOOKUP(TPC671,'[3]Raw material  (3)'!TPA653:TPS3729,3,0),"")</f>
        <v/>
      </c>
      <c r="TPC671" t="str">
        <f>IFERROR(VLOOKUP(TPD671,'[3]Raw material  (3)'!TPB653:TPT3729,3,0),"")</f>
        <v/>
      </c>
      <c r="TPD671" t="str">
        <f>IFERROR(VLOOKUP(TPE671,'[3]Raw material  (3)'!TPC653:TPU3729,3,0),"")</f>
        <v/>
      </c>
      <c r="TPE671" t="str">
        <f>IFERROR(VLOOKUP(TPF671,'[3]Raw material  (3)'!TPD653:TPV3729,3,0),"")</f>
        <v/>
      </c>
      <c r="TPF671" t="str">
        <f>IFERROR(VLOOKUP(TPG671,'[3]Raw material  (3)'!TPE653:TPW3729,3,0),"")</f>
        <v/>
      </c>
      <c r="TPG671" t="str">
        <f>IFERROR(VLOOKUP(TPH671,'[3]Raw material  (3)'!TPF653:TPX3729,3,0),"")</f>
        <v/>
      </c>
      <c r="TPH671" t="str">
        <f>IFERROR(VLOOKUP(TPI671,'[3]Raw material  (3)'!TPG653:TPY3729,3,0),"")</f>
        <v/>
      </c>
      <c r="TPI671" t="str">
        <f>IFERROR(VLOOKUP(TPJ671,'[3]Raw material  (3)'!TPH653:TPZ3729,3,0),"")</f>
        <v/>
      </c>
      <c r="TPJ671" t="str">
        <f>IFERROR(VLOOKUP(TPK671,'[3]Raw material  (3)'!TPI653:TQA3729,3,0),"")</f>
        <v/>
      </c>
      <c r="TPK671" t="str">
        <f>IFERROR(VLOOKUP(TPL671,'[3]Raw material  (3)'!TPJ653:TQB3729,3,0),"")</f>
        <v/>
      </c>
      <c r="TPL671" t="str">
        <f>IFERROR(VLOOKUP(TPM671,'[3]Raw material  (3)'!TPK653:TQC3729,3,0),"")</f>
        <v/>
      </c>
      <c r="TPM671" t="str">
        <f>IFERROR(VLOOKUP(TPN671,'[3]Raw material  (3)'!TPL653:TQD3729,3,0),"")</f>
        <v/>
      </c>
      <c r="TPN671" t="str">
        <f>IFERROR(VLOOKUP(TPO671,'[3]Raw material  (3)'!TPM653:TQE3729,3,0),"")</f>
        <v/>
      </c>
      <c r="TPO671" t="str">
        <f>IFERROR(VLOOKUP(TPP671,'[3]Raw material  (3)'!TPN653:TQF3729,3,0),"")</f>
        <v/>
      </c>
      <c r="TPP671" t="str">
        <f>IFERROR(VLOOKUP(TPQ671,'[3]Raw material  (3)'!TPO653:TQG3729,3,0),"")</f>
        <v/>
      </c>
      <c r="TPQ671" t="str">
        <f>IFERROR(VLOOKUP(TPR671,'[3]Raw material  (3)'!TPP653:TQH3729,3,0),"")</f>
        <v/>
      </c>
      <c r="TPR671" t="str">
        <f>IFERROR(VLOOKUP(TPS671,'[3]Raw material  (3)'!TPQ653:TQI3729,3,0),"")</f>
        <v/>
      </c>
      <c r="TPS671" t="str">
        <f>IFERROR(VLOOKUP(TPT671,'[3]Raw material  (3)'!TPR653:TQJ3729,3,0),"")</f>
        <v/>
      </c>
      <c r="TPT671" t="str">
        <f>IFERROR(VLOOKUP(TPU671,'[3]Raw material  (3)'!TPS653:TQK3729,3,0),"")</f>
        <v/>
      </c>
      <c r="TPU671" t="str">
        <f>IFERROR(VLOOKUP(TPV671,'[3]Raw material  (3)'!TPT653:TQL3729,3,0),"")</f>
        <v/>
      </c>
      <c r="TPV671" t="str">
        <f>IFERROR(VLOOKUP(TPW671,'[3]Raw material  (3)'!TPU653:TQM3729,3,0),"")</f>
        <v/>
      </c>
      <c r="TPW671" t="str">
        <f>IFERROR(VLOOKUP(TPX671,'[3]Raw material  (3)'!TPV653:TQN3729,3,0),"")</f>
        <v/>
      </c>
      <c r="TPX671" t="str">
        <f>IFERROR(VLOOKUP(TPY671,'[3]Raw material  (3)'!TPW653:TQO3729,3,0),"")</f>
        <v/>
      </c>
      <c r="TPY671" t="str">
        <f>IFERROR(VLOOKUP(TPZ671,'[3]Raw material  (3)'!TPX653:TQP3729,3,0),"")</f>
        <v/>
      </c>
      <c r="TPZ671" t="str">
        <f>IFERROR(VLOOKUP(TQA671,'[3]Raw material  (3)'!TPY653:TQQ3729,3,0),"")</f>
        <v/>
      </c>
      <c r="TQA671" t="str">
        <f>IFERROR(VLOOKUP(TQB671,'[3]Raw material  (3)'!TPZ653:TQR3729,3,0),"")</f>
        <v/>
      </c>
      <c r="TQB671" t="str">
        <f>IFERROR(VLOOKUP(TQC671,'[3]Raw material  (3)'!TQA653:TQS3729,3,0),"")</f>
        <v/>
      </c>
      <c r="TQC671" t="str">
        <f>IFERROR(VLOOKUP(TQD671,'[3]Raw material  (3)'!TQB653:TQT3729,3,0),"")</f>
        <v/>
      </c>
      <c r="TQD671" t="str">
        <f>IFERROR(VLOOKUP(TQE671,'[3]Raw material  (3)'!TQC653:TQU3729,3,0),"")</f>
        <v/>
      </c>
      <c r="TQE671" t="str">
        <f>IFERROR(VLOOKUP(TQF671,'[3]Raw material  (3)'!TQD653:TQV3729,3,0),"")</f>
        <v/>
      </c>
      <c r="TQF671" t="str">
        <f>IFERROR(VLOOKUP(TQG671,'[3]Raw material  (3)'!TQE653:TQW3729,3,0),"")</f>
        <v/>
      </c>
      <c r="TQG671" t="str">
        <f>IFERROR(VLOOKUP(TQH671,'[3]Raw material  (3)'!TQF653:TQX3729,3,0),"")</f>
        <v/>
      </c>
      <c r="TQH671" t="str">
        <f>IFERROR(VLOOKUP(TQI671,'[3]Raw material  (3)'!TQG653:TQY3729,3,0),"")</f>
        <v/>
      </c>
      <c r="TQI671" t="str">
        <f>IFERROR(VLOOKUP(TQJ671,'[3]Raw material  (3)'!TQH653:TQZ3729,3,0),"")</f>
        <v/>
      </c>
      <c r="TQJ671" t="str">
        <f>IFERROR(VLOOKUP(TQK671,'[3]Raw material  (3)'!TQI653:TRA3729,3,0),"")</f>
        <v/>
      </c>
      <c r="TQK671" t="str">
        <f>IFERROR(VLOOKUP(TQL671,'[3]Raw material  (3)'!TQJ653:TRB3729,3,0),"")</f>
        <v/>
      </c>
      <c r="TQL671" t="str">
        <f>IFERROR(VLOOKUP(TQM671,'[3]Raw material  (3)'!TQK653:TRC3729,3,0),"")</f>
        <v/>
      </c>
      <c r="TQM671" t="str">
        <f>IFERROR(VLOOKUP(TQN671,'[3]Raw material  (3)'!TQL653:TRD3729,3,0),"")</f>
        <v/>
      </c>
      <c r="TQN671" t="str">
        <f>IFERROR(VLOOKUP(TQO671,'[3]Raw material  (3)'!TQM653:TRE3729,3,0),"")</f>
        <v/>
      </c>
      <c r="TQO671" t="str">
        <f>IFERROR(VLOOKUP(TQP671,'[3]Raw material  (3)'!TQN653:TRF3729,3,0),"")</f>
        <v/>
      </c>
      <c r="TQP671" t="str">
        <f>IFERROR(VLOOKUP(TQQ671,'[3]Raw material  (3)'!TQO653:TRG3729,3,0),"")</f>
        <v/>
      </c>
      <c r="TQQ671" t="str">
        <f>IFERROR(VLOOKUP(TQR671,'[3]Raw material  (3)'!TQP653:TRH3729,3,0),"")</f>
        <v/>
      </c>
      <c r="TQR671" t="str">
        <f>IFERROR(VLOOKUP(TQS671,'[3]Raw material  (3)'!TQQ653:TRI3729,3,0),"")</f>
        <v/>
      </c>
      <c r="TQS671" t="str">
        <f>IFERROR(VLOOKUP(TQT671,'[3]Raw material  (3)'!TQR653:TRJ3729,3,0),"")</f>
        <v/>
      </c>
      <c r="TQT671" t="str">
        <f>IFERROR(VLOOKUP(TQU671,'[3]Raw material  (3)'!TQS653:TRK3729,3,0),"")</f>
        <v/>
      </c>
      <c r="TQU671" t="str">
        <f>IFERROR(VLOOKUP(TQV671,'[3]Raw material  (3)'!TQT653:TRL3729,3,0),"")</f>
        <v/>
      </c>
      <c r="TQV671" t="str">
        <f>IFERROR(VLOOKUP(TQW671,'[3]Raw material  (3)'!TQU653:TRM3729,3,0),"")</f>
        <v/>
      </c>
      <c r="TQW671" t="str">
        <f>IFERROR(VLOOKUP(TQX671,'[3]Raw material  (3)'!TQV653:TRN3729,3,0),"")</f>
        <v/>
      </c>
      <c r="TQX671" t="str">
        <f>IFERROR(VLOOKUP(TQY671,'[3]Raw material  (3)'!TQW653:TRO3729,3,0),"")</f>
        <v/>
      </c>
      <c r="TQY671" t="str">
        <f>IFERROR(VLOOKUP(TQZ671,'[3]Raw material  (3)'!TQX653:TRP3729,3,0),"")</f>
        <v/>
      </c>
      <c r="TQZ671" t="str">
        <f>IFERROR(VLOOKUP(TRA671,'[3]Raw material  (3)'!TQY653:TRQ3729,3,0),"")</f>
        <v/>
      </c>
      <c r="TRA671" t="str">
        <f>IFERROR(VLOOKUP(TRB671,'[3]Raw material  (3)'!TQZ653:TRR3729,3,0),"")</f>
        <v/>
      </c>
      <c r="TRB671" t="str">
        <f>IFERROR(VLOOKUP(TRC671,'[3]Raw material  (3)'!TRA653:TRS3729,3,0),"")</f>
        <v/>
      </c>
      <c r="TRC671" t="str">
        <f>IFERROR(VLOOKUP(TRD671,'[3]Raw material  (3)'!TRB653:TRT3729,3,0),"")</f>
        <v/>
      </c>
      <c r="TRD671" t="str">
        <f>IFERROR(VLOOKUP(TRE671,'[3]Raw material  (3)'!TRC653:TRU3729,3,0),"")</f>
        <v/>
      </c>
      <c r="TRE671" t="str">
        <f>IFERROR(VLOOKUP(TRF671,'[3]Raw material  (3)'!TRD653:TRV3729,3,0),"")</f>
        <v/>
      </c>
      <c r="TRF671" t="str">
        <f>IFERROR(VLOOKUP(TRG671,'[3]Raw material  (3)'!TRE653:TRW3729,3,0),"")</f>
        <v/>
      </c>
      <c r="TRG671" t="str">
        <f>IFERROR(VLOOKUP(TRH671,'[3]Raw material  (3)'!TRF653:TRX3729,3,0),"")</f>
        <v/>
      </c>
      <c r="TRH671" t="str">
        <f>IFERROR(VLOOKUP(TRI671,'[3]Raw material  (3)'!TRG653:TRY3729,3,0),"")</f>
        <v/>
      </c>
      <c r="TRI671" t="str">
        <f>IFERROR(VLOOKUP(TRJ671,'[3]Raw material  (3)'!TRH653:TRZ3729,3,0),"")</f>
        <v/>
      </c>
      <c r="TRJ671" t="str">
        <f>IFERROR(VLOOKUP(TRK671,'[3]Raw material  (3)'!TRI653:TSA3729,3,0),"")</f>
        <v/>
      </c>
      <c r="TRK671" t="str">
        <f>IFERROR(VLOOKUP(TRL671,'[3]Raw material  (3)'!TRJ653:TSB3729,3,0),"")</f>
        <v/>
      </c>
      <c r="TRL671" t="str">
        <f>IFERROR(VLOOKUP(TRM671,'[3]Raw material  (3)'!TRK653:TSC3729,3,0),"")</f>
        <v/>
      </c>
      <c r="TRM671" t="str">
        <f>IFERROR(VLOOKUP(TRN671,'[3]Raw material  (3)'!TRL653:TSD3729,3,0),"")</f>
        <v/>
      </c>
      <c r="TRN671" t="str">
        <f>IFERROR(VLOOKUP(TRO671,'[3]Raw material  (3)'!TRM653:TSE3729,3,0),"")</f>
        <v/>
      </c>
      <c r="TRO671" t="str">
        <f>IFERROR(VLOOKUP(TRP671,'[3]Raw material  (3)'!TRN653:TSF3729,3,0),"")</f>
        <v/>
      </c>
      <c r="TRP671" t="str">
        <f>IFERROR(VLOOKUP(TRQ671,'[3]Raw material  (3)'!TRO653:TSG3729,3,0),"")</f>
        <v/>
      </c>
      <c r="TRQ671" t="str">
        <f>IFERROR(VLOOKUP(TRR671,'[3]Raw material  (3)'!TRP653:TSH3729,3,0),"")</f>
        <v/>
      </c>
      <c r="TRR671" t="str">
        <f>IFERROR(VLOOKUP(TRS671,'[3]Raw material  (3)'!TRQ653:TSI3729,3,0),"")</f>
        <v/>
      </c>
      <c r="TRS671" t="str">
        <f>IFERROR(VLOOKUP(TRT671,'[3]Raw material  (3)'!TRR653:TSJ3729,3,0),"")</f>
        <v/>
      </c>
      <c r="TRT671" t="str">
        <f>IFERROR(VLOOKUP(TRU671,'[3]Raw material  (3)'!TRS653:TSK3729,3,0),"")</f>
        <v/>
      </c>
      <c r="TRU671" t="str">
        <f>IFERROR(VLOOKUP(TRV671,'[3]Raw material  (3)'!TRT653:TSL3729,3,0),"")</f>
        <v/>
      </c>
      <c r="TRV671" t="str">
        <f>IFERROR(VLOOKUP(TRW671,'[3]Raw material  (3)'!TRU653:TSM3729,3,0),"")</f>
        <v/>
      </c>
      <c r="TRW671" t="str">
        <f>IFERROR(VLOOKUP(TRX671,'[3]Raw material  (3)'!TRV653:TSN3729,3,0),"")</f>
        <v/>
      </c>
      <c r="TRX671" t="str">
        <f>IFERROR(VLOOKUP(TRY671,'[3]Raw material  (3)'!TRW653:TSO3729,3,0),"")</f>
        <v/>
      </c>
      <c r="TRY671" t="str">
        <f>IFERROR(VLOOKUP(TRZ671,'[3]Raw material  (3)'!TRX653:TSP3729,3,0),"")</f>
        <v/>
      </c>
      <c r="TRZ671" t="str">
        <f>IFERROR(VLOOKUP(TSA671,'[3]Raw material  (3)'!TRY653:TSQ3729,3,0),"")</f>
        <v/>
      </c>
      <c r="TSA671" t="str">
        <f>IFERROR(VLOOKUP(TSB671,'[3]Raw material  (3)'!TRZ653:TSR3729,3,0),"")</f>
        <v/>
      </c>
      <c r="TSB671" t="str">
        <f>IFERROR(VLOOKUP(TSC671,'[3]Raw material  (3)'!TSA653:TSS3729,3,0),"")</f>
        <v/>
      </c>
      <c r="TSC671" t="str">
        <f>IFERROR(VLOOKUP(TSD671,'[3]Raw material  (3)'!TSB653:TST3729,3,0),"")</f>
        <v/>
      </c>
      <c r="TSD671" t="str">
        <f>IFERROR(VLOOKUP(TSE671,'[3]Raw material  (3)'!TSC653:TSU3729,3,0),"")</f>
        <v/>
      </c>
      <c r="TSE671" t="str">
        <f>IFERROR(VLOOKUP(TSF671,'[3]Raw material  (3)'!TSD653:TSV3729,3,0),"")</f>
        <v/>
      </c>
      <c r="TSF671" t="str">
        <f>IFERROR(VLOOKUP(TSG671,'[3]Raw material  (3)'!TSE653:TSW3729,3,0),"")</f>
        <v/>
      </c>
      <c r="TSG671" t="str">
        <f>IFERROR(VLOOKUP(TSH671,'[3]Raw material  (3)'!TSF653:TSX3729,3,0),"")</f>
        <v/>
      </c>
      <c r="TSH671" t="str">
        <f>IFERROR(VLOOKUP(TSI671,'[3]Raw material  (3)'!TSG653:TSY3729,3,0),"")</f>
        <v/>
      </c>
      <c r="TSI671" t="str">
        <f>IFERROR(VLOOKUP(TSJ671,'[3]Raw material  (3)'!TSH653:TSZ3729,3,0),"")</f>
        <v/>
      </c>
      <c r="TSJ671" t="str">
        <f>IFERROR(VLOOKUP(TSK671,'[3]Raw material  (3)'!TSI653:TTA3729,3,0),"")</f>
        <v/>
      </c>
      <c r="TSK671" t="str">
        <f>IFERROR(VLOOKUP(TSL671,'[3]Raw material  (3)'!TSJ653:TTB3729,3,0),"")</f>
        <v/>
      </c>
      <c r="TSL671" t="str">
        <f>IFERROR(VLOOKUP(TSM671,'[3]Raw material  (3)'!TSK653:TTC3729,3,0),"")</f>
        <v/>
      </c>
      <c r="TSM671" t="str">
        <f>IFERROR(VLOOKUP(TSN671,'[3]Raw material  (3)'!TSL653:TTD3729,3,0),"")</f>
        <v/>
      </c>
      <c r="TSN671" t="str">
        <f>IFERROR(VLOOKUP(TSO671,'[3]Raw material  (3)'!TSM653:TTE3729,3,0),"")</f>
        <v/>
      </c>
      <c r="TSO671" t="str">
        <f>IFERROR(VLOOKUP(TSP671,'[3]Raw material  (3)'!TSN653:TTF3729,3,0),"")</f>
        <v/>
      </c>
      <c r="TSP671" t="str">
        <f>IFERROR(VLOOKUP(TSQ671,'[3]Raw material  (3)'!TSO653:TTG3729,3,0),"")</f>
        <v/>
      </c>
      <c r="TSQ671" t="str">
        <f>IFERROR(VLOOKUP(TSR671,'[3]Raw material  (3)'!TSP653:TTH3729,3,0),"")</f>
        <v/>
      </c>
      <c r="TSR671" t="str">
        <f>IFERROR(VLOOKUP(TSS671,'[3]Raw material  (3)'!TSQ653:TTI3729,3,0),"")</f>
        <v/>
      </c>
      <c r="TSS671" t="str">
        <f>IFERROR(VLOOKUP(TST671,'[3]Raw material  (3)'!TSR653:TTJ3729,3,0),"")</f>
        <v/>
      </c>
      <c r="TST671" t="str">
        <f>IFERROR(VLOOKUP(TSU671,'[3]Raw material  (3)'!TSS653:TTK3729,3,0),"")</f>
        <v/>
      </c>
      <c r="TSU671" t="str">
        <f>IFERROR(VLOOKUP(TSV671,'[3]Raw material  (3)'!TST653:TTL3729,3,0),"")</f>
        <v/>
      </c>
      <c r="TSV671" t="str">
        <f>IFERROR(VLOOKUP(TSW671,'[3]Raw material  (3)'!TSU653:TTM3729,3,0),"")</f>
        <v/>
      </c>
      <c r="TSW671" t="str">
        <f>IFERROR(VLOOKUP(TSX671,'[3]Raw material  (3)'!TSV653:TTN3729,3,0),"")</f>
        <v/>
      </c>
      <c r="TSX671" t="str">
        <f>IFERROR(VLOOKUP(TSY671,'[3]Raw material  (3)'!TSW653:TTO3729,3,0),"")</f>
        <v/>
      </c>
      <c r="TSY671" t="str">
        <f>IFERROR(VLOOKUP(TSZ671,'[3]Raw material  (3)'!TSX653:TTP3729,3,0),"")</f>
        <v/>
      </c>
      <c r="TSZ671" t="str">
        <f>IFERROR(VLOOKUP(TTA671,'[3]Raw material  (3)'!TSY653:TTQ3729,3,0),"")</f>
        <v/>
      </c>
      <c r="TTA671" t="str">
        <f>IFERROR(VLOOKUP(TTB671,'[3]Raw material  (3)'!TSZ653:TTR3729,3,0),"")</f>
        <v/>
      </c>
      <c r="TTB671" t="str">
        <f>IFERROR(VLOOKUP(TTC671,'[3]Raw material  (3)'!TTA653:TTS3729,3,0),"")</f>
        <v/>
      </c>
      <c r="TTC671" t="str">
        <f>IFERROR(VLOOKUP(TTD671,'[3]Raw material  (3)'!TTB653:TTT3729,3,0),"")</f>
        <v/>
      </c>
      <c r="TTD671" t="str">
        <f>IFERROR(VLOOKUP(TTE671,'[3]Raw material  (3)'!TTC653:TTU3729,3,0),"")</f>
        <v/>
      </c>
      <c r="TTE671" t="str">
        <f>IFERROR(VLOOKUP(TTF671,'[3]Raw material  (3)'!TTD653:TTV3729,3,0),"")</f>
        <v/>
      </c>
      <c r="TTF671" t="str">
        <f>IFERROR(VLOOKUP(TTG671,'[3]Raw material  (3)'!TTE653:TTW3729,3,0),"")</f>
        <v/>
      </c>
      <c r="TTG671" t="str">
        <f>IFERROR(VLOOKUP(TTH671,'[3]Raw material  (3)'!TTF653:TTX3729,3,0),"")</f>
        <v/>
      </c>
      <c r="TTH671" t="str">
        <f>IFERROR(VLOOKUP(TTI671,'[3]Raw material  (3)'!TTG653:TTY3729,3,0),"")</f>
        <v/>
      </c>
      <c r="TTI671" t="str">
        <f>IFERROR(VLOOKUP(TTJ671,'[3]Raw material  (3)'!TTH653:TTZ3729,3,0),"")</f>
        <v/>
      </c>
      <c r="TTJ671" t="str">
        <f>IFERROR(VLOOKUP(TTK671,'[3]Raw material  (3)'!TTI653:TUA3729,3,0),"")</f>
        <v/>
      </c>
      <c r="TTK671" t="str">
        <f>IFERROR(VLOOKUP(TTL671,'[3]Raw material  (3)'!TTJ653:TUB3729,3,0),"")</f>
        <v/>
      </c>
      <c r="TTL671" t="str">
        <f>IFERROR(VLOOKUP(TTM671,'[3]Raw material  (3)'!TTK653:TUC3729,3,0),"")</f>
        <v/>
      </c>
      <c r="TTM671" t="str">
        <f>IFERROR(VLOOKUP(TTN671,'[3]Raw material  (3)'!TTL653:TUD3729,3,0),"")</f>
        <v/>
      </c>
      <c r="TTN671" t="str">
        <f>IFERROR(VLOOKUP(TTO671,'[3]Raw material  (3)'!TTM653:TUE3729,3,0),"")</f>
        <v/>
      </c>
      <c r="TTO671" t="str">
        <f>IFERROR(VLOOKUP(TTP671,'[3]Raw material  (3)'!TTN653:TUF3729,3,0),"")</f>
        <v/>
      </c>
      <c r="TTP671" t="str">
        <f>IFERROR(VLOOKUP(TTQ671,'[3]Raw material  (3)'!TTO653:TUG3729,3,0),"")</f>
        <v/>
      </c>
      <c r="TTQ671" t="str">
        <f>IFERROR(VLOOKUP(TTR671,'[3]Raw material  (3)'!TTP653:TUH3729,3,0),"")</f>
        <v/>
      </c>
      <c r="TTR671" t="str">
        <f>IFERROR(VLOOKUP(TTS671,'[3]Raw material  (3)'!TTQ653:TUI3729,3,0),"")</f>
        <v/>
      </c>
      <c r="TTS671" t="str">
        <f>IFERROR(VLOOKUP(TTT671,'[3]Raw material  (3)'!TTR653:TUJ3729,3,0),"")</f>
        <v/>
      </c>
      <c r="TTT671" t="str">
        <f>IFERROR(VLOOKUP(TTU671,'[3]Raw material  (3)'!TTS653:TUK3729,3,0),"")</f>
        <v/>
      </c>
      <c r="TTU671" t="str">
        <f>IFERROR(VLOOKUP(TTV671,'[3]Raw material  (3)'!TTT653:TUL3729,3,0),"")</f>
        <v/>
      </c>
      <c r="TTV671" t="str">
        <f>IFERROR(VLOOKUP(TTW671,'[3]Raw material  (3)'!TTU653:TUM3729,3,0),"")</f>
        <v/>
      </c>
      <c r="TTW671" t="str">
        <f>IFERROR(VLOOKUP(TTX671,'[3]Raw material  (3)'!TTV653:TUN3729,3,0),"")</f>
        <v/>
      </c>
      <c r="TTX671" t="str">
        <f>IFERROR(VLOOKUP(TTY671,'[3]Raw material  (3)'!TTW653:TUO3729,3,0),"")</f>
        <v/>
      </c>
      <c r="TTY671" t="str">
        <f>IFERROR(VLOOKUP(TTZ671,'[3]Raw material  (3)'!TTX653:TUP3729,3,0),"")</f>
        <v/>
      </c>
      <c r="TTZ671" t="str">
        <f>IFERROR(VLOOKUP(TUA671,'[3]Raw material  (3)'!TTY653:TUQ3729,3,0),"")</f>
        <v/>
      </c>
      <c r="TUA671" t="str">
        <f>IFERROR(VLOOKUP(TUB671,'[3]Raw material  (3)'!TTZ653:TUR3729,3,0),"")</f>
        <v/>
      </c>
      <c r="TUB671" t="str">
        <f>IFERROR(VLOOKUP(TUC671,'[3]Raw material  (3)'!TUA653:TUS3729,3,0),"")</f>
        <v/>
      </c>
      <c r="TUC671" t="str">
        <f>IFERROR(VLOOKUP(TUD671,'[3]Raw material  (3)'!TUB653:TUT3729,3,0),"")</f>
        <v/>
      </c>
      <c r="TUD671" t="str">
        <f>IFERROR(VLOOKUP(TUE671,'[3]Raw material  (3)'!TUC653:TUU3729,3,0),"")</f>
        <v/>
      </c>
      <c r="TUE671" t="str">
        <f>IFERROR(VLOOKUP(TUF671,'[3]Raw material  (3)'!TUD653:TUV3729,3,0),"")</f>
        <v/>
      </c>
      <c r="TUF671" t="str">
        <f>IFERROR(VLOOKUP(TUG671,'[3]Raw material  (3)'!TUE653:TUW3729,3,0),"")</f>
        <v/>
      </c>
      <c r="TUG671" t="str">
        <f>IFERROR(VLOOKUP(TUH671,'[3]Raw material  (3)'!TUF653:TUX3729,3,0),"")</f>
        <v/>
      </c>
      <c r="TUH671" t="str">
        <f>IFERROR(VLOOKUP(TUI671,'[3]Raw material  (3)'!TUG653:TUY3729,3,0),"")</f>
        <v/>
      </c>
      <c r="TUI671" t="str">
        <f>IFERROR(VLOOKUP(TUJ671,'[3]Raw material  (3)'!TUH653:TUZ3729,3,0),"")</f>
        <v/>
      </c>
      <c r="TUJ671" t="str">
        <f>IFERROR(VLOOKUP(TUK671,'[3]Raw material  (3)'!TUI653:TVA3729,3,0),"")</f>
        <v/>
      </c>
      <c r="TUK671" t="str">
        <f>IFERROR(VLOOKUP(TUL671,'[3]Raw material  (3)'!TUJ653:TVB3729,3,0),"")</f>
        <v/>
      </c>
      <c r="TUL671" t="str">
        <f>IFERROR(VLOOKUP(TUM671,'[3]Raw material  (3)'!TUK653:TVC3729,3,0),"")</f>
        <v/>
      </c>
      <c r="TUM671" t="str">
        <f>IFERROR(VLOOKUP(TUN671,'[3]Raw material  (3)'!TUL653:TVD3729,3,0),"")</f>
        <v/>
      </c>
      <c r="TUN671" t="str">
        <f>IFERROR(VLOOKUP(TUO671,'[3]Raw material  (3)'!TUM653:TVE3729,3,0),"")</f>
        <v/>
      </c>
      <c r="TUO671" t="str">
        <f>IFERROR(VLOOKUP(TUP671,'[3]Raw material  (3)'!TUN653:TVF3729,3,0),"")</f>
        <v/>
      </c>
      <c r="TUP671" t="str">
        <f>IFERROR(VLOOKUP(TUQ671,'[3]Raw material  (3)'!TUO653:TVG3729,3,0),"")</f>
        <v/>
      </c>
      <c r="TUQ671" t="str">
        <f>IFERROR(VLOOKUP(TUR671,'[3]Raw material  (3)'!TUP653:TVH3729,3,0),"")</f>
        <v/>
      </c>
      <c r="TUR671" t="str">
        <f>IFERROR(VLOOKUP(TUS671,'[3]Raw material  (3)'!TUQ653:TVI3729,3,0),"")</f>
        <v/>
      </c>
      <c r="TUS671" t="str">
        <f>IFERROR(VLOOKUP(TUT671,'[3]Raw material  (3)'!TUR653:TVJ3729,3,0),"")</f>
        <v/>
      </c>
      <c r="TUT671" t="str">
        <f>IFERROR(VLOOKUP(TUU671,'[3]Raw material  (3)'!TUS653:TVK3729,3,0),"")</f>
        <v/>
      </c>
      <c r="TUU671" t="str">
        <f>IFERROR(VLOOKUP(TUV671,'[3]Raw material  (3)'!TUT653:TVL3729,3,0),"")</f>
        <v/>
      </c>
      <c r="TUV671" t="str">
        <f>IFERROR(VLOOKUP(TUW671,'[3]Raw material  (3)'!TUU653:TVM3729,3,0),"")</f>
        <v/>
      </c>
      <c r="TUW671" t="str">
        <f>IFERROR(VLOOKUP(TUX671,'[3]Raw material  (3)'!TUV653:TVN3729,3,0),"")</f>
        <v/>
      </c>
      <c r="TUX671" t="str">
        <f>IFERROR(VLOOKUP(TUY671,'[3]Raw material  (3)'!TUW653:TVO3729,3,0),"")</f>
        <v/>
      </c>
      <c r="TUY671" t="str">
        <f>IFERROR(VLOOKUP(TUZ671,'[3]Raw material  (3)'!TUX653:TVP3729,3,0),"")</f>
        <v/>
      </c>
      <c r="TUZ671" t="str">
        <f>IFERROR(VLOOKUP(TVA671,'[3]Raw material  (3)'!TUY653:TVQ3729,3,0),"")</f>
        <v/>
      </c>
      <c r="TVA671" t="str">
        <f>IFERROR(VLOOKUP(TVB671,'[3]Raw material  (3)'!TUZ653:TVR3729,3,0),"")</f>
        <v/>
      </c>
      <c r="TVB671" t="str">
        <f>IFERROR(VLOOKUP(TVC671,'[3]Raw material  (3)'!TVA653:TVS3729,3,0),"")</f>
        <v/>
      </c>
      <c r="TVC671" t="str">
        <f>IFERROR(VLOOKUP(TVD671,'[3]Raw material  (3)'!TVB653:TVT3729,3,0),"")</f>
        <v/>
      </c>
      <c r="TVD671" t="str">
        <f>IFERROR(VLOOKUP(TVE671,'[3]Raw material  (3)'!TVC653:TVU3729,3,0),"")</f>
        <v/>
      </c>
      <c r="TVE671" t="str">
        <f>IFERROR(VLOOKUP(TVF671,'[3]Raw material  (3)'!TVD653:TVV3729,3,0),"")</f>
        <v/>
      </c>
      <c r="TVF671" t="str">
        <f>IFERROR(VLOOKUP(TVG671,'[3]Raw material  (3)'!TVE653:TVW3729,3,0),"")</f>
        <v/>
      </c>
      <c r="TVG671" t="str">
        <f>IFERROR(VLOOKUP(TVH671,'[3]Raw material  (3)'!TVF653:TVX3729,3,0),"")</f>
        <v/>
      </c>
      <c r="TVH671" t="str">
        <f>IFERROR(VLOOKUP(TVI671,'[3]Raw material  (3)'!TVG653:TVY3729,3,0),"")</f>
        <v/>
      </c>
      <c r="TVI671" t="str">
        <f>IFERROR(VLOOKUP(TVJ671,'[3]Raw material  (3)'!TVH653:TVZ3729,3,0),"")</f>
        <v/>
      </c>
      <c r="TVJ671" t="str">
        <f>IFERROR(VLOOKUP(TVK671,'[3]Raw material  (3)'!TVI653:TWA3729,3,0),"")</f>
        <v/>
      </c>
      <c r="TVK671" t="str">
        <f>IFERROR(VLOOKUP(TVL671,'[3]Raw material  (3)'!TVJ653:TWB3729,3,0),"")</f>
        <v/>
      </c>
      <c r="TVL671" t="str">
        <f>IFERROR(VLOOKUP(TVM671,'[3]Raw material  (3)'!TVK653:TWC3729,3,0),"")</f>
        <v/>
      </c>
      <c r="TVM671" t="str">
        <f>IFERROR(VLOOKUP(TVN671,'[3]Raw material  (3)'!TVL653:TWD3729,3,0),"")</f>
        <v/>
      </c>
      <c r="TVN671" t="str">
        <f>IFERROR(VLOOKUP(TVO671,'[3]Raw material  (3)'!TVM653:TWE3729,3,0),"")</f>
        <v/>
      </c>
      <c r="TVO671" t="str">
        <f>IFERROR(VLOOKUP(TVP671,'[3]Raw material  (3)'!TVN653:TWF3729,3,0),"")</f>
        <v/>
      </c>
      <c r="TVP671" t="str">
        <f>IFERROR(VLOOKUP(TVQ671,'[3]Raw material  (3)'!TVO653:TWG3729,3,0),"")</f>
        <v/>
      </c>
      <c r="TVQ671" t="str">
        <f>IFERROR(VLOOKUP(TVR671,'[3]Raw material  (3)'!TVP653:TWH3729,3,0),"")</f>
        <v/>
      </c>
      <c r="TVR671" t="str">
        <f>IFERROR(VLOOKUP(TVS671,'[3]Raw material  (3)'!TVQ653:TWI3729,3,0),"")</f>
        <v/>
      </c>
      <c r="TVS671" t="str">
        <f>IFERROR(VLOOKUP(TVT671,'[3]Raw material  (3)'!TVR653:TWJ3729,3,0),"")</f>
        <v/>
      </c>
      <c r="TVT671" t="str">
        <f>IFERROR(VLOOKUP(TVU671,'[3]Raw material  (3)'!TVS653:TWK3729,3,0),"")</f>
        <v/>
      </c>
      <c r="TVU671" t="str">
        <f>IFERROR(VLOOKUP(TVV671,'[3]Raw material  (3)'!TVT653:TWL3729,3,0),"")</f>
        <v/>
      </c>
      <c r="TVV671" t="str">
        <f>IFERROR(VLOOKUP(TVW671,'[3]Raw material  (3)'!TVU653:TWM3729,3,0),"")</f>
        <v/>
      </c>
      <c r="TVW671" t="str">
        <f>IFERROR(VLOOKUP(TVX671,'[3]Raw material  (3)'!TVV653:TWN3729,3,0),"")</f>
        <v/>
      </c>
      <c r="TVX671" t="str">
        <f>IFERROR(VLOOKUP(TVY671,'[3]Raw material  (3)'!TVW653:TWO3729,3,0),"")</f>
        <v/>
      </c>
      <c r="TVY671" t="str">
        <f>IFERROR(VLOOKUP(TVZ671,'[3]Raw material  (3)'!TVX653:TWP3729,3,0),"")</f>
        <v/>
      </c>
      <c r="TVZ671" t="str">
        <f>IFERROR(VLOOKUP(TWA671,'[3]Raw material  (3)'!TVY653:TWQ3729,3,0),"")</f>
        <v/>
      </c>
      <c r="TWA671" t="str">
        <f>IFERROR(VLOOKUP(TWB671,'[3]Raw material  (3)'!TVZ653:TWR3729,3,0),"")</f>
        <v/>
      </c>
      <c r="TWB671" t="str">
        <f>IFERROR(VLOOKUP(TWC671,'[3]Raw material  (3)'!TWA653:TWS3729,3,0),"")</f>
        <v/>
      </c>
      <c r="TWC671" t="str">
        <f>IFERROR(VLOOKUP(TWD671,'[3]Raw material  (3)'!TWB653:TWT3729,3,0),"")</f>
        <v/>
      </c>
      <c r="TWD671" t="str">
        <f>IFERROR(VLOOKUP(TWE671,'[3]Raw material  (3)'!TWC653:TWU3729,3,0),"")</f>
        <v/>
      </c>
      <c r="TWE671" t="str">
        <f>IFERROR(VLOOKUP(TWF671,'[3]Raw material  (3)'!TWD653:TWV3729,3,0),"")</f>
        <v/>
      </c>
      <c r="TWF671" t="str">
        <f>IFERROR(VLOOKUP(TWG671,'[3]Raw material  (3)'!TWE653:TWW3729,3,0),"")</f>
        <v/>
      </c>
      <c r="TWG671" t="str">
        <f>IFERROR(VLOOKUP(TWH671,'[3]Raw material  (3)'!TWF653:TWX3729,3,0),"")</f>
        <v/>
      </c>
      <c r="TWH671" t="str">
        <f>IFERROR(VLOOKUP(TWI671,'[3]Raw material  (3)'!TWG653:TWY3729,3,0),"")</f>
        <v/>
      </c>
      <c r="TWI671" t="str">
        <f>IFERROR(VLOOKUP(TWJ671,'[3]Raw material  (3)'!TWH653:TWZ3729,3,0),"")</f>
        <v/>
      </c>
      <c r="TWJ671" t="str">
        <f>IFERROR(VLOOKUP(TWK671,'[3]Raw material  (3)'!TWI653:TXA3729,3,0),"")</f>
        <v/>
      </c>
      <c r="TWK671" t="str">
        <f>IFERROR(VLOOKUP(TWL671,'[3]Raw material  (3)'!TWJ653:TXB3729,3,0),"")</f>
        <v/>
      </c>
      <c r="TWL671" t="str">
        <f>IFERROR(VLOOKUP(TWM671,'[3]Raw material  (3)'!TWK653:TXC3729,3,0),"")</f>
        <v/>
      </c>
      <c r="TWM671" t="str">
        <f>IFERROR(VLOOKUP(TWN671,'[3]Raw material  (3)'!TWL653:TXD3729,3,0),"")</f>
        <v/>
      </c>
      <c r="TWN671" t="str">
        <f>IFERROR(VLOOKUP(TWO671,'[3]Raw material  (3)'!TWM653:TXE3729,3,0),"")</f>
        <v/>
      </c>
      <c r="TWO671" t="str">
        <f>IFERROR(VLOOKUP(TWP671,'[3]Raw material  (3)'!TWN653:TXF3729,3,0),"")</f>
        <v/>
      </c>
      <c r="TWP671" t="str">
        <f>IFERROR(VLOOKUP(TWQ671,'[3]Raw material  (3)'!TWO653:TXG3729,3,0),"")</f>
        <v/>
      </c>
      <c r="TWQ671" t="str">
        <f>IFERROR(VLOOKUP(TWR671,'[3]Raw material  (3)'!TWP653:TXH3729,3,0),"")</f>
        <v/>
      </c>
      <c r="TWR671" t="str">
        <f>IFERROR(VLOOKUP(TWS671,'[3]Raw material  (3)'!TWQ653:TXI3729,3,0),"")</f>
        <v/>
      </c>
      <c r="TWS671" t="str">
        <f>IFERROR(VLOOKUP(TWT671,'[3]Raw material  (3)'!TWR653:TXJ3729,3,0),"")</f>
        <v/>
      </c>
      <c r="TWT671" t="str">
        <f>IFERROR(VLOOKUP(TWU671,'[3]Raw material  (3)'!TWS653:TXK3729,3,0),"")</f>
        <v/>
      </c>
      <c r="TWU671" t="str">
        <f>IFERROR(VLOOKUP(TWV671,'[3]Raw material  (3)'!TWT653:TXL3729,3,0),"")</f>
        <v/>
      </c>
      <c r="TWV671" t="str">
        <f>IFERROR(VLOOKUP(TWW671,'[3]Raw material  (3)'!TWU653:TXM3729,3,0),"")</f>
        <v/>
      </c>
      <c r="TWW671" t="str">
        <f>IFERROR(VLOOKUP(TWX671,'[3]Raw material  (3)'!TWV653:TXN3729,3,0),"")</f>
        <v/>
      </c>
      <c r="TWX671" t="str">
        <f>IFERROR(VLOOKUP(TWY671,'[3]Raw material  (3)'!TWW653:TXO3729,3,0),"")</f>
        <v/>
      </c>
      <c r="TWY671" t="str">
        <f>IFERROR(VLOOKUP(TWZ671,'[3]Raw material  (3)'!TWX653:TXP3729,3,0),"")</f>
        <v/>
      </c>
      <c r="TWZ671" t="str">
        <f>IFERROR(VLOOKUP(TXA671,'[3]Raw material  (3)'!TWY653:TXQ3729,3,0),"")</f>
        <v/>
      </c>
      <c r="TXA671" t="str">
        <f>IFERROR(VLOOKUP(TXB671,'[3]Raw material  (3)'!TWZ653:TXR3729,3,0),"")</f>
        <v/>
      </c>
      <c r="TXB671" t="str">
        <f>IFERROR(VLOOKUP(TXC671,'[3]Raw material  (3)'!TXA653:TXS3729,3,0),"")</f>
        <v/>
      </c>
      <c r="TXC671" t="str">
        <f>IFERROR(VLOOKUP(TXD671,'[3]Raw material  (3)'!TXB653:TXT3729,3,0),"")</f>
        <v/>
      </c>
      <c r="TXD671" t="str">
        <f>IFERROR(VLOOKUP(TXE671,'[3]Raw material  (3)'!TXC653:TXU3729,3,0),"")</f>
        <v/>
      </c>
      <c r="TXE671" t="str">
        <f>IFERROR(VLOOKUP(TXF671,'[3]Raw material  (3)'!TXD653:TXV3729,3,0),"")</f>
        <v/>
      </c>
      <c r="TXF671" t="str">
        <f>IFERROR(VLOOKUP(TXG671,'[3]Raw material  (3)'!TXE653:TXW3729,3,0),"")</f>
        <v/>
      </c>
      <c r="TXG671" t="str">
        <f>IFERROR(VLOOKUP(TXH671,'[3]Raw material  (3)'!TXF653:TXX3729,3,0),"")</f>
        <v/>
      </c>
      <c r="TXH671" t="str">
        <f>IFERROR(VLOOKUP(TXI671,'[3]Raw material  (3)'!TXG653:TXY3729,3,0),"")</f>
        <v/>
      </c>
      <c r="TXI671" t="str">
        <f>IFERROR(VLOOKUP(TXJ671,'[3]Raw material  (3)'!TXH653:TXZ3729,3,0),"")</f>
        <v/>
      </c>
      <c r="TXJ671" t="str">
        <f>IFERROR(VLOOKUP(TXK671,'[3]Raw material  (3)'!TXI653:TYA3729,3,0),"")</f>
        <v/>
      </c>
      <c r="TXK671" t="str">
        <f>IFERROR(VLOOKUP(TXL671,'[3]Raw material  (3)'!TXJ653:TYB3729,3,0),"")</f>
        <v/>
      </c>
      <c r="TXL671" t="str">
        <f>IFERROR(VLOOKUP(TXM671,'[3]Raw material  (3)'!TXK653:TYC3729,3,0),"")</f>
        <v/>
      </c>
      <c r="TXM671" t="str">
        <f>IFERROR(VLOOKUP(TXN671,'[3]Raw material  (3)'!TXL653:TYD3729,3,0),"")</f>
        <v/>
      </c>
      <c r="TXN671" t="str">
        <f>IFERROR(VLOOKUP(TXO671,'[3]Raw material  (3)'!TXM653:TYE3729,3,0),"")</f>
        <v/>
      </c>
      <c r="TXO671" t="str">
        <f>IFERROR(VLOOKUP(TXP671,'[3]Raw material  (3)'!TXN653:TYF3729,3,0),"")</f>
        <v/>
      </c>
      <c r="TXP671" t="str">
        <f>IFERROR(VLOOKUP(TXQ671,'[3]Raw material  (3)'!TXO653:TYG3729,3,0),"")</f>
        <v/>
      </c>
      <c r="TXQ671" t="str">
        <f>IFERROR(VLOOKUP(TXR671,'[3]Raw material  (3)'!TXP653:TYH3729,3,0),"")</f>
        <v/>
      </c>
      <c r="TXR671" t="str">
        <f>IFERROR(VLOOKUP(TXS671,'[3]Raw material  (3)'!TXQ653:TYI3729,3,0),"")</f>
        <v/>
      </c>
      <c r="TXS671" t="str">
        <f>IFERROR(VLOOKUP(TXT671,'[3]Raw material  (3)'!TXR653:TYJ3729,3,0),"")</f>
        <v/>
      </c>
      <c r="TXT671" t="str">
        <f>IFERROR(VLOOKUP(TXU671,'[3]Raw material  (3)'!TXS653:TYK3729,3,0),"")</f>
        <v/>
      </c>
      <c r="TXU671" t="str">
        <f>IFERROR(VLOOKUP(TXV671,'[3]Raw material  (3)'!TXT653:TYL3729,3,0),"")</f>
        <v/>
      </c>
      <c r="TXV671" t="str">
        <f>IFERROR(VLOOKUP(TXW671,'[3]Raw material  (3)'!TXU653:TYM3729,3,0),"")</f>
        <v/>
      </c>
      <c r="TXW671" t="str">
        <f>IFERROR(VLOOKUP(TXX671,'[3]Raw material  (3)'!TXV653:TYN3729,3,0),"")</f>
        <v/>
      </c>
      <c r="TXX671" t="str">
        <f>IFERROR(VLOOKUP(TXY671,'[3]Raw material  (3)'!TXW653:TYO3729,3,0),"")</f>
        <v/>
      </c>
      <c r="TXY671" t="str">
        <f>IFERROR(VLOOKUP(TXZ671,'[3]Raw material  (3)'!TXX653:TYP3729,3,0),"")</f>
        <v/>
      </c>
      <c r="TXZ671" t="str">
        <f>IFERROR(VLOOKUP(TYA671,'[3]Raw material  (3)'!TXY653:TYQ3729,3,0),"")</f>
        <v/>
      </c>
      <c r="TYA671" t="str">
        <f>IFERROR(VLOOKUP(TYB671,'[3]Raw material  (3)'!TXZ653:TYR3729,3,0),"")</f>
        <v/>
      </c>
      <c r="TYB671" t="str">
        <f>IFERROR(VLOOKUP(TYC671,'[3]Raw material  (3)'!TYA653:TYS3729,3,0),"")</f>
        <v/>
      </c>
      <c r="TYC671" t="str">
        <f>IFERROR(VLOOKUP(TYD671,'[3]Raw material  (3)'!TYB653:TYT3729,3,0),"")</f>
        <v/>
      </c>
      <c r="TYD671" t="str">
        <f>IFERROR(VLOOKUP(TYE671,'[3]Raw material  (3)'!TYC653:TYU3729,3,0),"")</f>
        <v/>
      </c>
      <c r="TYE671" t="str">
        <f>IFERROR(VLOOKUP(TYF671,'[3]Raw material  (3)'!TYD653:TYV3729,3,0),"")</f>
        <v/>
      </c>
      <c r="TYF671" t="str">
        <f>IFERROR(VLOOKUP(TYG671,'[3]Raw material  (3)'!TYE653:TYW3729,3,0),"")</f>
        <v/>
      </c>
      <c r="TYG671" t="str">
        <f>IFERROR(VLOOKUP(TYH671,'[3]Raw material  (3)'!TYF653:TYX3729,3,0),"")</f>
        <v/>
      </c>
      <c r="TYH671" t="str">
        <f>IFERROR(VLOOKUP(TYI671,'[3]Raw material  (3)'!TYG653:TYY3729,3,0),"")</f>
        <v/>
      </c>
      <c r="TYI671" t="str">
        <f>IFERROR(VLOOKUP(TYJ671,'[3]Raw material  (3)'!TYH653:TYZ3729,3,0),"")</f>
        <v/>
      </c>
      <c r="TYJ671" t="str">
        <f>IFERROR(VLOOKUP(TYK671,'[3]Raw material  (3)'!TYI653:TZA3729,3,0),"")</f>
        <v/>
      </c>
      <c r="TYK671" t="str">
        <f>IFERROR(VLOOKUP(TYL671,'[3]Raw material  (3)'!TYJ653:TZB3729,3,0),"")</f>
        <v/>
      </c>
      <c r="TYL671" t="str">
        <f>IFERROR(VLOOKUP(TYM671,'[3]Raw material  (3)'!TYK653:TZC3729,3,0),"")</f>
        <v/>
      </c>
      <c r="TYM671" t="str">
        <f>IFERROR(VLOOKUP(TYN671,'[3]Raw material  (3)'!TYL653:TZD3729,3,0),"")</f>
        <v/>
      </c>
      <c r="TYN671" t="str">
        <f>IFERROR(VLOOKUP(TYO671,'[3]Raw material  (3)'!TYM653:TZE3729,3,0),"")</f>
        <v/>
      </c>
      <c r="TYO671" t="str">
        <f>IFERROR(VLOOKUP(TYP671,'[3]Raw material  (3)'!TYN653:TZF3729,3,0),"")</f>
        <v/>
      </c>
      <c r="TYP671" t="str">
        <f>IFERROR(VLOOKUP(TYQ671,'[3]Raw material  (3)'!TYO653:TZG3729,3,0),"")</f>
        <v/>
      </c>
      <c r="TYQ671" t="str">
        <f>IFERROR(VLOOKUP(TYR671,'[3]Raw material  (3)'!TYP653:TZH3729,3,0),"")</f>
        <v/>
      </c>
      <c r="TYR671" t="str">
        <f>IFERROR(VLOOKUP(TYS671,'[3]Raw material  (3)'!TYQ653:TZI3729,3,0),"")</f>
        <v/>
      </c>
      <c r="TYS671" t="str">
        <f>IFERROR(VLOOKUP(TYT671,'[3]Raw material  (3)'!TYR653:TZJ3729,3,0),"")</f>
        <v/>
      </c>
      <c r="TYT671" t="str">
        <f>IFERROR(VLOOKUP(TYU671,'[3]Raw material  (3)'!TYS653:TZK3729,3,0),"")</f>
        <v/>
      </c>
      <c r="TYU671" t="str">
        <f>IFERROR(VLOOKUP(TYV671,'[3]Raw material  (3)'!TYT653:TZL3729,3,0),"")</f>
        <v/>
      </c>
      <c r="TYV671" t="str">
        <f>IFERROR(VLOOKUP(TYW671,'[3]Raw material  (3)'!TYU653:TZM3729,3,0),"")</f>
        <v/>
      </c>
      <c r="TYW671" t="str">
        <f>IFERROR(VLOOKUP(TYX671,'[3]Raw material  (3)'!TYV653:TZN3729,3,0),"")</f>
        <v/>
      </c>
      <c r="TYX671" t="str">
        <f>IFERROR(VLOOKUP(TYY671,'[3]Raw material  (3)'!TYW653:TZO3729,3,0),"")</f>
        <v/>
      </c>
      <c r="TYY671" t="str">
        <f>IFERROR(VLOOKUP(TYZ671,'[3]Raw material  (3)'!TYX653:TZP3729,3,0),"")</f>
        <v/>
      </c>
      <c r="TYZ671" t="str">
        <f>IFERROR(VLOOKUP(TZA671,'[3]Raw material  (3)'!TYY653:TZQ3729,3,0),"")</f>
        <v/>
      </c>
      <c r="TZA671" t="str">
        <f>IFERROR(VLOOKUP(TZB671,'[3]Raw material  (3)'!TYZ653:TZR3729,3,0),"")</f>
        <v/>
      </c>
      <c r="TZB671" t="str">
        <f>IFERROR(VLOOKUP(TZC671,'[3]Raw material  (3)'!TZA653:TZS3729,3,0),"")</f>
        <v/>
      </c>
      <c r="TZC671" t="str">
        <f>IFERROR(VLOOKUP(TZD671,'[3]Raw material  (3)'!TZB653:TZT3729,3,0),"")</f>
        <v/>
      </c>
      <c r="TZD671" t="str">
        <f>IFERROR(VLOOKUP(TZE671,'[3]Raw material  (3)'!TZC653:TZU3729,3,0),"")</f>
        <v/>
      </c>
      <c r="TZE671" t="str">
        <f>IFERROR(VLOOKUP(TZF671,'[3]Raw material  (3)'!TZD653:TZV3729,3,0),"")</f>
        <v/>
      </c>
      <c r="TZF671" t="str">
        <f>IFERROR(VLOOKUP(TZG671,'[3]Raw material  (3)'!TZE653:TZW3729,3,0),"")</f>
        <v/>
      </c>
      <c r="TZG671" t="str">
        <f>IFERROR(VLOOKUP(TZH671,'[3]Raw material  (3)'!TZF653:TZX3729,3,0),"")</f>
        <v/>
      </c>
      <c r="TZH671" t="str">
        <f>IFERROR(VLOOKUP(TZI671,'[3]Raw material  (3)'!TZG653:TZY3729,3,0),"")</f>
        <v/>
      </c>
      <c r="TZI671" t="str">
        <f>IFERROR(VLOOKUP(TZJ671,'[3]Raw material  (3)'!TZH653:TZZ3729,3,0),"")</f>
        <v/>
      </c>
      <c r="TZJ671" t="str">
        <f>IFERROR(VLOOKUP(TZK671,'[3]Raw material  (3)'!TZI653:UAA3729,3,0),"")</f>
        <v/>
      </c>
      <c r="TZK671" t="str">
        <f>IFERROR(VLOOKUP(TZL671,'[3]Raw material  (3)'!TZJ653:UAB3729,3,0),"")</f>
        <v/>
      </c>
      <c r="TZL671" t="str">
        <f>IFERROR(VLOOKUP(TZM671,'[3]Raw material  (3)'!TZK653:UAC3729,3,0),"")</f>
        <v/>
      </c>
      <c r="TZM671" t="str">
        <f>IFERROR(VLOOKUP(TZN671,'[3]Raw material  (3)'!TZL653:UAD3729,3,0),"")</f>
        <v/>
      </c>
      <c r="TZN671" t="str">
        <f>IFERROR(VLOOKUP(TZO671,'[3]Raw material  (3)'!TZM653:UAE3729,3,0),"")</f>
        <v/>
      </c>
      <c r="TZO671" t="str">
        <f>IFERROR(VLOOKUP(TZP671,'[3]Raw material  (3)'!TZN653:UAF3729,3,0),"")</f>
        <v/>
      </c>
      <c r="TZP671" t="str">
        <f>IFERROR(VLOOKUP(TZQ671,'[3]Raw material  (3)'!TZO653:UAG3729,3,0),"")</f>
        <v/>
      </c>
      <c r="TZQ671" t="str">
        <f>IFERROR(VLOOKUP(TZR671,'[3]Raw material  (3)'!TZP653:UAH3729,3,0),"")</f>
        <v/>
      </c>
      <c r="TZR671" t="str">
        <f>IFERROR(VLOOKUP(TZS671,'[3]Raw material  (3)'!TZQ653:UAI3729,3,0),"")</f>
        <v/>
      </c>
      <c r="TZS671" t="str">
        <f>IFERROR(VLOOKUP(TZT671,'[3]Raw material  (3)'!TZR653:UAJ3729,3,0),"")</f>
        <v/>
      </c>
      <c r="TZT671" t="str">
        <f>IFERROR(VLOOKUP(TZU671,'[3]Raw material  (3)'!TZS653:UAK3729,3,0),"")</f>
        <v/>
      </c>
      <c r="TZU671" t="str">
        <f>IFERROR(VLOOKUP(TZV671,'[3]Raw material  (3)'!TZT653:UAL3729,3,0),"")</f>
        <v/>
      </c>
      <c r="TZV671" t="str">
        <f>IFERROR(VLOOKUP(TZW671,'[3]Raw material  (3)'!TZU653:UAM3729,3,0),"")</f>
        <v/>
      </c>
      <c r="TZW671" t="str">
        <f>IFERROR(VLOOKUP(TZX671,'[3]Raw material  (3)'!TZV653:UAN3729,3,0),"")</f>
        <v/>
      </c>
      <c r="TZX671" t="str">
        <f>IFERROR(VLOOKUP(TZY671,'[3]Raw material  (3)'!TZW653:UAO3729,3,0),"")</f>
        <v/>
      </c>
      <c r="TZY671" t="str">
        <f>IFERROR(VLOOKUP(TZZ671,'[3]Raw material  (3)'!TZX653:UAP3729,3,0),"")</f>
        <v/>
      </c>
      <c r="TZZ671" t="str">
        <f>IFERROR(VLOOKUP(UAA671,'[3]Raw material  (3)'!TZY653:UAQ3729,3,0),"")</f>
        <v/>
      </c>
      <c r="UAA671" t="str">
        <f>IFERROR(VLOOKUP(UAB671,'[3]Raw material  (3)'!TZZ653:UAR3729,3,0),"")</f>
        <v/>
      </c>
      <c r="UAB671" t="str">
        <f>IFERROR(VLOOKUP(UAC671,'[3]Raw material  (3)'!UAA653:UAS3729,3,0),"")</f>
        <v/>
      </c>
      <c r="UAC671" t="str">
        <f>IFERROR(VLOOKUP(UAD671,'[3]Raw material  (3)'!UAB653:UAT3729,3,0),"")</f>
        <v/>
      </c>
      <c r="UAD671" t="str">
        <f>IFERROR(VLOOKUP(UAE671,'[3]Raw material  (3)'!UAC653:UAU3729,3,0),"")</f>
        <v/>
      </c>
      <c r="UAE671" t="str">
        <f>IFERROR(VLOOKUP(UAF671,'[3]Raw material  (3)'!UAD653:UAV3729,3,0),"")</f>
        <v/>
      </c>
      <c r="UAF671" t="str">
        <f>IFERROR(VLOOKUP(UAG671,'[3]Raw material  (3)'!UAE653:UAW3729,3,0),"")</f>
        <v/>
      </c>
      <c r="UAG671" t="str">
        <f>IFERROR(VLOOKUP(UAH671,'[3]Raw material  (3)'!UAF653:UAX3729,3,0),"")</f>
        <v/>
      </c>
      <c r="UAH671" t="str">
        <f>IFERROR(VLOOKUP(UAI671,'[3]Raw material  (3)'!UAG653:UAY3729,3,0),"")</f>
        <v/>
      </c>
      <c r="UAI671" t="str">
        <f>IFERROR(VLOOKUP(UAJ671,'[3]Raw material  (3)'!UAH653:UAZ3729,3,0),"")</f>
        <v/>
      </c>
      <c r="UAJ671" t="str">
        <f>IFERROR(VLOOKUP(UAK671,'[3]Raw material  (3)'!UAI653:UBA3729,3,0),"")</f>
        <v/>
      </c>
      <c r="UAK671" t="str">
        <f>IFERROR(VLOOKUP(UAL671,'[3]Raw material  (3)'!UAJ653:UBB3729,3,0),"")</f>
        <v/>
      </c>
      <c r="UAL671" t="str">
        <f>IFERROR(VLOOKUP(UAM671,'[3]Raw material  (3)'!UAK653:UBC3729,3,0),"")</f>
        <v/>
      </c>
      <c r="UAM671" t="str">
        <f>IFERROR(VLOOKUP(UAN671,'[3]Raw material  (3)'!UAL653:UBD3729,3,0),"")</f>
        <v/>
      </c>
      <c r="UAN671" t="str">
        <f>IFERROR(VLOOKUP(UAO671,'[3]Raw material  (3)'!UAM653:UBE3729,3,0),"")</f>
        <v/>
      </c>
      <c r="UAO671" t="str">
        <f>IFERROR(VLOOKUP(UAP671,'[3]Raw material  (3)'!UAN653:UBF3729,3,0),"")</f>
        <v/>
      </c>
      <c r="UAP671" t="str">
        <f>IFERROR(VLOOKUP(UAQ671,'[3]Raw material  (3)'!UAO653:UBG3729,3,0),"")</f>
        <v/>
      </c>
      <c r="UAQ671" t="str">
        <f>IFERROR(VLOOKUP(UAR671,'[3]Raw material  (3)'!UAP653:UBH3729,3,0),"")</f>
        <v/>
      </c>
      <c r="UAR671" t="str">
        <f>IFERROR(VLOOKUP(UAS671,'[3]Raw material  (3)'!UAQ653:UBI3729,3,0),"")</f>
        <v/>
      </c>
      <c r="UAS671" t="str">
        <f>IFERROR(VLOOKUP(UAT671,'[3]Raw material  (3)'!UAR653:UBJ3729,3,0),"")</f>
        <v/>
      </c>
      <c r="UAT671" t="str">
        <f>IFERROR(VLOOKUP(UAU671,'[3]Raw material  (3)'!UAS653:UBK3729,3,0),"")</f>
        <v/>
      </c>
      <c r="UAU671" t="str">
        <f>IFERROR(VLOOKUP(UAV671,'[3]Raw material  (3)'!UAT653:UBL3729,3,0),"")</f>
        <v/>
      </c>
      <c r="UAV671" t="str">
        <f>IFERROR(VLOOKUP(UAW671,'[3]Raw material  (3)'!UAU653:UBM3729,3,0),"")</f>
        <v/>
      </c>
      <c r="UAW671" t="str">
        <f>IFERROR(VLOOKUP(UAX671,'[3]Raw material  (3)'!UAV653:UBN3729,3,0),"")</f>
        <v/>
      </c>
      <c r="UAX671" t="str">
        <f>IFERROR(VLOOKUP(UAY671,'[3]Raw material  (3)'!UAW653:UBO3729,3,0),"")</f>
        <v/>
      </c>
      <c r="UAY671" t="str">
        <f>IFERROR(VLOOKUP(UAZ671,'[3]Raw material  (3)'!UAX653:UBP3729,3,0),"")</f>
        <v/>
      </c>
      <c r="UAZ671" t="str">
        <f>IFERROR(VLOOKUP(UBA671,'[3]Raw material  (3)'!UAY653:UBQ3729,3,0),"")</f>
        <v/>
      </c>
      <c r="UBA671" t="str">
        <f>IFERROR(VLOOKUP(UBB671,'[3]Raw material  (3)'!UAZ653:UBR3729,3,0),"")</f>
        <v/>
      </c>
      <c r="UBB671" t="str">
        <f>IFERROR(VLOOKUP(UBC671,'[3]Raw material  (3)'!UBA653:UBS3729,3,0),"")</f>
        <v/>
      </c>
      <c r="UBC671" t="str">
        <f>IFERROR(VLOOKUP(UBD671,'[3]Raw material  (3)'!UBB653:UBT3729,3,0),"")</f>
        <v/>
      </c>
      <c r="UBD671" t="str">
        <f>IFERROR(VLOOKUP(UBE671,'[3]Raw material  (3)'!UBC653:UBU3729,3,0),"")</f>
        <v/>
      </c>
      <c r="UBE671" t="str">
        <f>IFERROR(VLOOKUP(UBF671,'[3]Raw material  (3)'!UBD653:UBV3729,3,0),"")</f>
        <v/>
      </c>
      <c r="UBF671" t="str">
        <f>IFERROR(VLOOKUP(UBG671,'[3]Raw material  (3)'!UBE653:UBW3729,3,0),"")</f>
        <v/>
      </c>
      <c r="UBG671" t="str">
        <f>IFERROR(VLOOKUP(UBH671,'[3]Raw material  (3)'!UBF653:UBX3729,3,0),"")</f>
        <v/>
      </c>
      <c r="UBH671" t="str">
        <f>IFERROR(VLOOKUP(UBI671,'[3]Raw material  (3)'!UBG653:UBY3729,3,0),"")</f>
        <v/>
      </c>
      <c r="UBI671" t="str">
        <f>IFERROR(VLOOKUP(UBJ671,'[3]Raw material  (3)'!UBH653:UBZ3729,3,0),"")</f>
        <v/>
      </c>
      <c r="UBJ671" t="str">
        <f>IFERROR(VLOOKUP(UBK671,'[3]Raw material  (3)'!UBI653:UCA3729,3,0),"")</f>
        <v/>
      </c>
      <c r="UBK671" t="str">
        <f>IFERROR(VLOOKUP(UBL671,'[3]Raw material  (3)'!UBJ653:UCB3729,3,0),"")</f>
        <v/>
      </c>
      <c r="UBL671" t="str">
        <f>IFERROR(VLOOKUP(UBM671,'[3]Raw material  (3)'!UBK653:UCC3729,3,0),"")</f>
        <v/>
      </c>
      <c r="UBM671" t="str">
        <f>IFERROR(VLOOKUP(UBN671,'[3]Raw material  (3)'!UBL653:UCD3729,3,0),"")</f>
        <v/>
      </c>
      <c r="UBN671" t="str">
        <f>IFERROR(VLOOKUP(UBO671,'[3]Raw material  (3)'!UBM653:UCE3729,3,0),"")</f>
        <v/>
      </c>
      <c r="UBO671" t="str">
        <f>IFERROR(VLOOKUP(UBP671,'[3]Raw material  (3)'!UBN653:UCF3729,3,0),"")</f>
        <v/>
      </c>
      <c r="UBP671" t="str">
        <f>IFERROR(VLOOKUP(UBQ671,'[3]Raw material  (3)'!UBO653:UCG3729,3,0),"")</f>
        <v/>
      </c>
      <c r="UBQ671" t="str">
        <f>IFERROR(VLOOKUP(UBR671,'[3]Raw material  (3)'!UBP653:UCH3729,3,0),"")</f>
        <v/>
      </c>
      <c r="UBR671" t="str">
        <f>IFERROR(VLOOKUP(UBS671,'[3]Raw material  (3)'!UBQ653:UCI3729,3,0),"")</f>
        <v/>
      </c>
      <c r="UBS671" t="str">
        <f>IFERROR(VLOOKUP(UBT671,'[3]Raw material  (3)'!UBR653:UCJ3729,3,0),"")</f>
        <v/>
      </c>
      <c r="UBT671" t="str">
        <f>IFERROR(VLOOKUP(UBU671,'[3]Raw material  (3)'!UBS653:UCK3729,3,0),"")</f>
        <v/>
      </c>
      <c r="UBU671" t="str">
        <f>IFERROR(VLOOKUP(UBV671,'[3]Raw material  (3)'!UBT653:UCL3729,3,0),"")</f>
        <v/>
      </c>
      <c r="UBV671" t="str">
        <f>IFERROR(VLOOKUP(UBW671,'[3]Raw material  (3)'!UBU653:UCM3729,3,0),"")</f>
        <v/>
      </c>
      <c r="UBW671" t="str">
        <f>IFERROR(VLOOKUP(UBX671,'[3]Raw material  (3)'!UBV653:UCN3729,3,0),"")</f>
        <v/>
      </c>
      <c r="UBX671" t="str">
        <f>IFERROR(VLOOKUP(UBY671,'[3]Raw material  (3)'!UBW653:UCO3729,3,0),"")</f>
        <v/>
      </c>
      <c r="UBY671" t="str">
        <f>IFERROR(VLOOKUP(UBZ671,'[3]Raw material  (3)'!UBX653:UCP3729,3,0),"")</f>
        <v/>
      </c>
      <c r="UBZ671" t="str">
        <f>IFERROR(VLOOKUP(UCA671,'[3]Raw material  (3)'!UBY653:UCQ3729,3,0),"")</f>
        <v/>
      </c>
      <c r="UCA671" t="str">
        <f>IFERROR(VLOOKUP(UCB671,'[3]Raw material  (3)'!UBZ653:UCR3729,3,0),"")</f>
        <v/>
      </c>
      <c r="UCB671" t="str">
        <f>IFERROR(VLOOKUP(UCC671,'[3]Raw material  (3)'!UCA653:UCS3729,3,0),"")</f>
        <v/>
      </c>
      <c r="UCC671" t="str">
        <f>IFERROR(VLOOKUP(UCD671,'[3]Raw material  (3)'!UCB653:UCT3729,3,0),"")</f>
        <v/>
      </c>
      <c r="UCD671" t="str">
        <f>IFERROR(VLOOKUP(UCE671,'[3]Raw material  (3)'!UCC653:UCU3729,3,0),"")</f>
        <v/>
      </c>
      <c r="UCE671" t="str">
        <f>IFERROR(VLOOKUP(UCF671,'[3]Raw material  (3)'!UCD653:UCV3729,3,0),"")</f>
        <v/>
      </c>
      <c r="UCF671" t="str">
        <f>IFERROR(VLOOKUP(UCG671,'[3]Raw material  (3)'!UCE653:UCW3729,3,0),"")</f>
        <v/>
      </c>
      <c r="UCG671" t="str">
        <f>IFERROR(VLOOKUP(UCH671,'[3]Raw material  (3)'!UCF653:UCX3729,3,0),"")</f>
        <v/>
      </c>
      <c r="UCH671" t="str">
        <f>IFERROR(VLOOKUP(UCI671,'[3]Raw material  (3)'!UCG653:UCY3729,3,0),"")</f>
        <v/>
      </c>
      <c r="UCI671" t="str">
        <f>IFERROR(VLOOKUP(UCJ671,'[3]Raw material  (3)'!UCH653:UCZ3729,3,0),"")</f>
        <v/>
      </c>
      <c r="UCJ671" t="str">
        <f>IFERROR(VLOOKUP(UCK671,'[3]Raw material  (3)'!UCI653:UDA3729,3,0),"")</f>
        <v/>
      </c>
      <c r="UCK671" t="str">
        <f>IFERROR(VLOOKUP(UCL671,'[3]Raw material  (3)'!UCJ653:UDB3729,3,0),"")</f>
        <v/>
      </c>
      <c r="UCL671" t="str">
        <f>IFERROR(VLOOKUP(UCM671,'[3]Raw material  (3)'!UCK653:UDC3729,3,0),"")</f>
        <v/>
      </c>
      <c r="UCM671" t="str">
        <f>IFERROR(VLOOKUP(UCN671,'[3]Raw material  (3)'!UCL653:UDD3729,3,0),"")</f>
        <v/>
      </c>
      <c r="UCN671" t="str">
        <f>IFERROR(VLOOKUP(UCO671,'[3]Raw material  (3)'!UCM653:UDE3729,3,0),"")</f>
        <v/>
      </c>
      <c r="UCO671" t="str">
        <f>IFERROR(VLOOKUP(UCP671,'[3]Raw material  (3)'!UCN653:UDF3729,3,0),"")</f>
        <v/>
      </c>
      <c r="UCP671" t="str">
        <f>IFERROR(VLOOKUP(UCQ671,'[3]Raw material  (3)'!UCO653:UDG3729,3,0),"")</f>
        <v/>
      </c>
      <c r="UCQ671" t="str">
        <f>IFERROR(VLOOKUP(UCR671,'[3]Raw material  (3)'!UCP653:UDH3729,3,0),"")</f>
        <v/>
      </c>
      <c r="UCR671" t="str">
        <f>IFERROR(VLOOKUP(UCS671,'[3]Raw material  (3)'!UCQ653:UDI3729,3,0),"")</f>
        <v/>
      </c>
      <c r="UCS671" t="str">
        <f>IFERROR(VLOOKUP(UCT671,'[3]Raw material  (3)'!UCR653:UDJ3729,3,0),"")</f>
        <v/>
      </c>
      <c r="UCT671" t="str">
        <f>IFERROR(VLOOKUP(UCU671,'[3]Raw material  (3)'!UCS653:UDK3729,3,0),"")</f>
        <v/>
      </c>
      <c r="UCU671" t="str">
        <f>IFERROR(VLOOKUP(UCV671,'[3]Raw material  (3)'!UCT653:UDL3729,3,0),"")</f>
        <v/>
      </c>
      <c r="UCV671" t="str">
        <f>IFERROR(VLOOKUP(UCW671,'[3]Raw material  (3)'!UCU653:UDM3729,3,0),"")</f>
        <v/>
      </c>
      <c r="UCW671" t="str">
        <f>IFERROR(VLOOKUP(UCX671,'[3]Raw material  (3)'!UCV653:UDN3729,3,0),"")</f>
        <v/>
      </c>
      <c r="UCX671" t="str">
        <f>IFERROR(VLOOKUP(UCY671,'[3]Raw material  (3)'!UCW653:UDO3729,3,0),"")</f>
        <v/>
      </c>
      <c r="UCY671" t="str">
        <f>IFERROR(VLOOKUP(UCZ671,'[3]Raw material  (3)'!UCX653:UDP3729,3,0),"")</f>
        <v/>
      </c>
      <c r="UCZ671" t="str">
        <f>IFERROR(VLOOKUP(UDA671,'[3]Raw material  (3)'!UCY653:UDQ3729,3,0),"")</f>
        <v/>
      </c>
      <c r="UDA671" t="str">
        <f>IFERROR(VLOOKUP(UDB671,'[3]Raw material  (3)'!UCZ653:UDR3729,3,0),"")</f>
        <v/>
      </c>
      <c r="UDB671" t="str">
        <f>IFERROR(VLOOKUP(UDC671,'[3]Raw material  (3)'!UDA653:UDS3729,3,0),"")</f>
        <v/>
      </c>
      <c r="UDC671" t="str">
        <f>IFERROR(VLOOKUP(UDD671,'[3]Raw material  (3)'!UDB653:UDT3729,3,0),"")</f>
        <v/>
      </c>
      <c r="UDD671" t="str">
        <f>IFERROR(VLOOKUP(UDE671,'[3]Raw material  (3)'!UDC653:UDU3729,3,0),"")</f>
        <v/>
      </c>
      <c r="UDE671" t="str">
        <f>IFERROR(VLOOKUP(UDF671,'[3]Raw material  (3)'!UDD653:UDV3729,3,0),"")</f>
        <v/>
      </c>
      <c r="UDF671" t="str">
        <f>IFERROR(VLOOKUP(UDG671,'[3]Raw material  (3)'!UDE653:UDW3729,3,0),"")</f>
        <v/>
      </c>
      <c r="UDG671" t="str">
        <f>IFERROR(VLOOKUP(UDH671,'[3]Raw material  (3)'!UDF653:UDX3729,3,0),"")</f>
        <v/>
      </c>
      <c r="UDH671" t="str">
        <f>IFERROR(VLOOKUP(UDI671,'[3]Raw material  (3)'!UDG653:UDY3729,3,0),"")</f>
        <v/>
      </c>
      <c r="UDI671" t="str">
        <f>IFERROR(VLOOKUP(UDJ671,'[3]Raw material  (3)'!UDH653:UDZ3729,3,0),"")</f>
        <v/>
      </c>
      <c r="UDJ671" t="str">
        <f>IFERROR(VLOOKUP(UDK671,'[3]Raw material  (3)'!UDI653:UEA3729,3,0),"")</f>
        <v/>
      </c>
      <c r="UDK671" t="str">
        <f>IFERROR(VLOOKUP(UDL671,'[3]Raw material  (3)'!UDJ653:UEB3729,3,0),"")</f>
        <v/>
      </c>
      <c r="UDL671" t="str">
        <f>IFERROR(VLOOKUP(UDM671,'[3]Raw material  (3)'!UDK653:UEC3729,3,0),"")</f>
        <v/>
      </c>
      <c r="UDM671" t="str">
        <f>IFERROR(VLOOKUP(UDN671,'[3]Raw material  (3)'!UDL653:UED3729,3,0),"")</f>
        <v/>
      </c>
      <c r="UDN671" t="str">
        <f>IFERROR(VLOOKUP(UDO671,'[3]Raw material  (3)'!UDM653:UEE3729,3,0),"")</f>
        <v/>
      </c>
      <c r="UDO671" t="str">
        <f>IFERROR(VLOOKUP(UDP671,'[3]Raw material  (3)'!UDN653:UEF3729,3,0),"")</f>
        <v/>
      </c>
      <c r="UDP671" t="str">
        <f>IFERROR(VLOOKUP(UDQ671,'[3]Raw material  (3)'!UDO653:UEG3729,3,0),"")</f>
        <v/>
      </c>
      <c r="UDQ671" t="str">
        <f>IFERROR(VLOOKUP(UDR671,'[3]Raw material  (3)'!UDP653:UEH3729,3,0),"")</f>
        <v/>
      </c>
      <c r="UDR671" t="str">
        <f>IFERROR(VLOOKUP(UDS671,'[3]Raw material  (3)'!UDQ653:UEI3729,3,0),"")</f>
        <v/>
      </c>
      <c r="UDS671" t="str">
        <f>IFERROR(VLOOKUP(UDT671,'[3]Raw material  (3)'!UDR653:UEJ3729,3,0),"")</f>
        <v/>
      </c>
      <c r="UDT671" t="str">
        <f>IFERROR(VLOOKUP(UDU671,'[3]Raw material  (3)'!UDS653:UEK3729,3,0),"")</f>
        <v/>
      </c>
      <c r="UDU671" t="str">
        <f>IFERROR(VLOOKUP(UDV671,'[3]Raw material  (3)'!UDT653:UEL3729,3,0),"")</f>
        <v/>
      </c>
      <c r="UDV671" t="str">
        <f>IFERROR(VLOOKUP(UDW671,'[3]Raw material  (3)'!UDU653:UEM3729,3,0),"")</f>
        <v/>
      </c>
      <c r="UDW671" t="str">
        <f>IFERROR(VLOOKUP(UDX671,'[3]Raw material  (3)'!UDV653:UEN3729,3,0),"")</f>
        <v/>
      </c>
      <c r="UDX671" t="str">
        <f>IFERROR(VLOOKUP(UDY671,'[3]Raw material  (3)'!UDW653:UEO3729,3,0),"")</f>
        <v/>
      </c>
      <c r="UDY671" t="str">
        <f>IFERROR(VLOOKUP(UDZ671,'[3]Raw material  (3)'!UDX653:UEP3729,3,0),"")</f>
        <v/>
      </c>
      <c r="UDZ671" t="str">
        <f>IFERROR(VLOOKUP(UEA671,'[3]Raw material  (3)'!UDY653:UEQ3729,3,0),"")</f>
        <v/>
      </c>
      <c r="UEA671" t="str">
        <f>IFERROR(VLOOKUP(UEB671,'[3]Raw material  (3)'!UDZ653:UER3729,3,0),"")</f>
        <v/>
      </c>
      <c r="UEB671" t="str">
        <f>IFERROR(VLOOKUP(UEC671,'[3]Raw material  (3)'!UEA653:UES3729,3,0),"")</f>
        <v/>
      </c>
      <c r="UEC671" t="str">
        <f>IFERROR(VLOOKUP(UED671,'[3]Raw material  (3)'!UEB653:UET3729,3,0),"")</f>
        <v/>
      </c>
      <c r="UED671" t="str">
        <f>IFERROR(VLOOKUP(UEE671,'[3]Raw material  (3)'!UEC653:UEU3729,3,0),"")</f>
        <v/>
      </c>
      <c r="UEE671" t="str">
        <f>IFERROR(VLOOKUP(UEF671,'[3]Raw material  (3)'!UED653:UEV3729,3,0),"")</f>
        <v/>
      </c>
      <c r="UEF671" t="str">
        <f>IFERROR(VLOOKUP(UEG671,'[3]Raw material  (3)'!UEE653:UEW3729,3,0),"")</f>
        <v/>
      </c>
      <c r="UEG671" t="str">
        <f>IFERROR(VLOOKUP(UEH671,'[3]Raw material  (3)'!UEF653:UEX3729,3,0),"")</f>
        <v/>
      </c>
      <c r="UEH671" t="str">
        <f>IFERROR(VLOOKUP(UEI671,'[3]Raw material  (3)'!UEG653:UEY3729,3,0),"")</f>
        <v/>
      </c>
      <c r="UEI671" t="str">
        <f>IFERROR(VLOOKUP(UEJ671,'[3]Raw material  (3)'!UEH653:UEZ3729,3,0),"")</f>
        <v/>
      </c>
      <c r="UEJ671" t="str">
        <f>IFERROR(VLOOKUP(UEK671,'[3]Raw material  (3)'!UEI653:UFA3729,3,0),"")</f>
        <v/>
      </c>
      <c r="UEK671" t="str">
        <f>IFERROR(VLOOKUP(UEL671,'[3]Raw material  (3)'!UEJ653:UFB3729,3,0),"")</f>
        <v/>
      </c>
      <c r="UEL671" t="str">
        <f>IFERROR(VLOOKUP(UEM671,'[3]Raw material  (3)'!UEK653:UFC3729,3,0),"")</f>
        <v/>
      </c>
      <c r="UEM671" t="str">
        <f>IFERROR(VLOOKUP(UEN671,'[3]Raw material  (3)'!UEL653:UFD3729,3,0),"")</f>
        <v/>
      </c>
      <c r="UEN671" t="str">
        <f>IFERROR(VLOOKUP(UEO671,'[3]Raw material  (3)'!UEM653:UFE3729,3,0),"")</f>
        <v/>
      </c>
      <c r="UEO671" t="str">
        <f>IFERROR(VLOOKUP(UEP671,'[3]Raw material  (3)'!UEN653:UFF3729,3,0),"")</f>
        <v/>
      </c>
      <c r="UEP671" t="str">
        <f>IFERROR(VLOOKUP(UEQ671,'[3]Raw material  (3)'!UEO653:UFG3729,3,0),"")</f>
        <v/>
      </c>
      <c r="UEQ671" t="str">
        <f>IFERROR(VLOOKUP(UER671,'[3]Raw material  (3)'!UEP653:UFH3729,3,0),"")</f>
        <v/>
      </c>
      <c r="UER671" t="str">
        <f>IFERROR(VLOOKUP(UES671,'[3]Raw material  (3)'!UEQ653:UFI3729,3,0),"")</f>
        <v/>
      </c>
      <c r="UES671" t="str">
        <f>IFERROR(VLOOKUP(UET671,'[3]Raw material  (3)'!UER653:UFJ3729,3,0),"")</f>
        <v/>
      </c>
      <c r="UET671" t="str">
        <f>IFERROR(VLOOKUP(UEU671,'[3]Raw material  (3)'!UES653:UFK3729,3,0),"")</f>
        <v/>
      </c>
      <c r="UEU671" t="str">
        <f>IFERROR(VLOOKUP(UEV671,'[3]Raw material  (3)'!UET653:UFL3729,3,0),"")</f>
        <v/>
      </c>
      <c r="UEV671" t="str">
        <f>IFERROR(VLOOKUP(UEW671,'[3]Raw material  (3)'!UEU653:UFM3729,3,0),"")</f>
        <v/>
      </c>
      <c r="UEW671" t="str">
        <f>IFERROR(VLOOKUP(UEX671,'[3]Raw material  (3)'!UEV653:UFN3729,3,0),"")</f>
        <v/>
      </c>
      <c r="UEX671" t="str">
        <f>IFERROR(VLOOKUP(UEY671,'[3]Raw material  (3)'!UEW653:UFO3729,3,0),"")</f>
        <v/>
      </c>
      <c r="UEY671" t="str">
        <f>IFERROR(VLOOKUP(UEZ671,'[3]Raw material  (3)'!UEX653:UFP3729,3,0),"")</f>
        <v/>
      </c>
      <c r="UEZ671" t="str">
        <f>IFERROR(VLOOKUP(UFA671,'[3]Raw material  (3)'!UEY653:UFQ3729,3,0),"")</f>
        <v/>
      </c>
      <c r="UFA671" t="str">
        <f>IFERROR(VLOOKUP(UFB671,'[3]Raw material  (3)'!UEZ653:UFR3729,3,0),"")</f>
        <v/>
      </c>
      <c r="UFB671" t="str">
        <f>IFERROR(VLOOKUP(UFC671,'[3]Raw material  (3)'!UFA653:UFS3729,3,0),"")</f>
        <v/>
      </c>
      <c r="UFC671" t="str">
        <f>IFERROR(VLOOKUP(UFD671,'[3]Raw material  (3)'!UFB653:UFT3729,3,0),"")</f>
        <v/>
      </c>
      <c r="UFD671" t="str">
        <f>IFERROR(VLOOKUP(UFE671,'[3]Raw material  (3)'!UFC653:UFU3729,3,0),"")</f>
        <v/>
      </c>
      <c r="UFE671" t="str">
        <f>IFERROR(VLOOKUP(UFF671,'[3]Raw material  (3)'!UFD653:UFV3729,3,0),"")</f>
        <v/>
      </c>
      <c r="UFF671" t="str">
        <f>IFERROR(VLOOKUP(UFG671,'[3]Raw material  (3)'!UFE653:UFW3729,3,0),"")</f>
        <v/>
      </c>
      <c r="UFG671" t="str">
        <f>IFERROR(VLOOKUP(UFH671,'[3]Raw material  (3)'!UFF653:UFX3729,3,0),"")</f>
        <v/>
      </c>
      <c r="UFH671" t="str">
        <f>IFERROR(VLOOKUP(UFI671,'[3]Raw material  (3)'!UFG653:UFY3729,3,0),"")</f>
        <v/>
      </c>
      <c r="UFI671" t="str">
        <f>IFERROR(VLOOKUP(UFJ671,'[3]Raw material  (3)'!UFH653:UFZ3729,3,0),"")</f>
        <v/>
      </c>
      <c r="UFJ671" t="str">
        <f>IFERROR(VLOOKUP(UFK671,'[3]Raw material  (3)'!UFI653:UGA3729,3,0),"")</f>
        <v/>
      </c>
      <c r="UFK671" t="str">
        <f>IFERROR(VLOOKUP(UFL671,'[3]Raw material  (3)'!UFJ653:UGB3729,3,0),"")</f>
        <v/>
      </c>
      <c r="UFL671" t="str">
        <f>IFERROR(VLOOKUP(UFM671,'[3]Raw material  (3)'!UFK653:UGC3729,3,0),"")</f>
        <v/>
      </c>
      <c r="UFM671" t="str">
        <f>IFERROR(VLOOKUP(UFN671,'[3]Raw material  (3)'!UFL653:UGD3729,3,0),"")</f>
        <v/>
      </c>
      <c r="UFN671" t="str">
        <f>IFERROR(VLOOKUP(UFO671,'[3]Raw material  (3)'!UFM653:UGE3729,3,0),"")</f>
        <v/>
      </c>
      <c r="UFO671" t="str">
        <f>IFERROR(VLOOKUP(UFP671,'[3]Raw material  (3)'!UFN653:UGF3729,3,0),"")</f>
        <v/>
      </c>
      <c r="UFP671" t="str">
        <f>IFERROR(VLOOKUP(UFQ671,'[3]Raw material  (3)'!UFO653:UGG3729,3,0),"")</f>
        <v/>
      </c>
      <c r="UFQ671" t="str">
        <f>IFERROR(VLOOKUP(UFR671,'[3]Raw material  (3)'!UFP653:UGH3729,3,0),"")</f>
        <v/>
      </c>
      <c r="UFR671" t="str">
        <f>IFERROR(VLOOKUP(UFS671,'[3]Raw material  (3)'!UFQ653:UGI3729,3,0),"")</f>
        <v/>
      </c>
      <c r="UFS671" t="str">
        <f>IFERROR(VLOOKUP(UFT671,'[3]Raw material  (3)'!UFR653:UGJ3729,3,0),"")</f>
        <v/>
      </c>
      <c r="UFT671" t="str">
        <f>IFERROR(VLOOKUP(UFU671,'[3]Raw material  (3)'!UFS653:UGK3729,3,0),"")</f>
        <v/>
      </c>
      <c r="UFU671" t="str">
        <f>IFERROR(VLOOKUP(UFV671,'[3]Raw material  (3)'!UFT653:UGL3729,3,0),"")</f>
        <v/>
      </c>
      <c r="UFV671" t="str">
        <f>IFERROR(VLOOKUP(UFW671,'[3]Raw material  (3)'!UFU653:UGM3729,3,0),"")</f>
        <v/>
      </c>
      <c r="UFW671" t="str">
        <f>IFERROR(VLOOKUP(UFX671,'[3]Raw material  (3)'!UFV653:UGN3729,3,0),"")</f>
        <v/>
      </c>
      <c r="UFX671" t="str">
        <f>IFERROR(VLOOKUP(UFY671,'[3]Raw material  (3)'!UFW653:UGO3729,3,0),"")</f>
        <v/>
      </c>
      <c r="UFY671" t="str">
        <f>IFERROR(VLOOKUP(UFZ671,'[3]Raw material  (3)'!UFX653:UGP3729,3,0),"")</f>
        <v/>
      </c>
      <c r="UFZ671" t="str">
        <f>IFERROR(VLOOKUP(UGA671,'[3]Raw material  (3)'!UFY653:UGQ3729,3,0),"")</f>
        <v/>
      </c>
      <c r="UGA671" t="str">
        <f>IFERROR(VLOOKUP(UGB671,'[3]Raw material  (3)'!UFZ653:UGR3729,3,0),"")</f>
        <v/>
      </c>
      <c r="UGB671" t="str">
        <f>IFERROR(VLOOKUP(UGC671,'[3]Raw material  (3)'!UGA653:UGS3729,3,0),"")</f>
        <v/>
      </c>
      <c r="UGC671" t="str">
        <f>IFERROR(VLOOKUP(UGD671,'[3]Raw material  (3)'!UGB653:UGT3729,3,0),"")</f>
        <v/>
      </c>
      <c r="UGD671" t="str">
        <f>IFERROR(VLOOKUP(UGE671,'[3]Raw material  (3)'!UGC653:UGU3729,3,0),"")</f>
        <v/>
      </c>
      <c r="UGE671" t="str">
        <f>IFERROR(VLOOKUP(UGF671,'[3]Raw material  (3)'!UGD653:UGV3729,3,0),"")</f>
        <v/>
      </c>
      <c r="UGF671" t="str">
        <f>IFERROR(VLOOKUP(UGG671,'[3]Raw material  (3)'!UGE653:UGW3729,3,0),"")</f>
        <v/>
      </c>
      <c r="UGG671" t="str">
        <f>IFERROR(VLOOKUP(UGH671,'[3]Raw material  (3)'!UGF653:UGX3729,3,0),"")</f>
        <v/>
      </c>
      <c r="UGH671" t="str">
        <f>IFERROR(VLOOKUP(UGI671,'[3]Raw material  (3)'!UGG653:UGY3729,3,0),"")</f>
        <v/>
      </c>
      <c r="UGI671" t="str">
        <f>IFERROR(VLOOKUP(UGJ671,'[3]Raw material  (3)'!UGH653:UGZ3729,3,0),"")</f>
        <v/>
      </c>
      <c r="UGJ671" t="str">
        <f>IFERROR(VLOOKUP(UGK671,'[3]Raw material  (3)'!UGI653:UHA3729,3,0),"")</f>
        <v/>
      </c>
      <c r="UGK671" t="str">
        <f>IFERROR(VLOOKUP(UGL671,'[3]Raw material  (3)'!UGJ653:UHB3729,3,0),"")</f>
        <v/>
      </c>
      <c r="UGL671" t="str">
        <f>IFERROR(VLOOKUP(UGM671,'[3]Raw material  (3)'!UGK653:UHC3729,3,0),"")</f>
        <v/>
      </c>
      <c r="UGM671" t="str">
        <f>IFERROR(VLOOKUP(UGN671,'[3]Raw material  (3)'!UGL653:UHD3729,3,0),"")</f>
        <v/>
      </c>
      <c r="UGN671" t="str">
        <f>IFERROR(VLOOKUP(UGO671,'[3]Raw material  (3)'!UGM653:UHE3729,3,0),"")</f>
        <v/>
      </c>
      <c r="UGO671" t="str">
        <f>IFERROR(VLOOKUP(UGP671,'[3]Raw material  (3)'!UGN653:UHF3729,3,0),"")</f>
        <v/>
      </c>
      <c r="UGP671" t="str">
        <f>IFERROR(VLOOKUP(UGQ671,'[3]Raw material  (3)'!UGO653:UHG3729,3,0),"")</f>
        <v/>
      </c>
      <c r="UGQ671" t="str">
        <f>IFERROR(VLOOKUP(UGR671,'[3]Raw material  (3)'!UGP653:UHH3729,3,0),"")</f>
        <v/>
      </c>
      <c r="UGR671" t="str">
        <f>IFERROR(VLOOKUP(UGS671,'[3]Raw material  (3)'!UGQ653:UHI3729,3,0),"")</f>
        <v/>
      </c>
      <c r="UGS671" t="str">
        <f>IFERROR(VLOOKUP(UGT671,'[3]Raw material  (3)'!UGR653:UHJ3729,3,0),"")</f>
        <v/>
      </c>
      <c r="UGT671" t="str">
        <f>IFERROR(VLOOKUP(UGU671,'[3]Raw material  (3)'!UGS653:UHK3729,3,0),"")</f>
        <v/>
      </c>
      <c r="UGU671" t="str">
        <f>IFERROR(VLOOKUP(UGV671,'[3]Raw material  (3)'!UGT653:UHL3729,3,0),"")</f>
        <v/>
      </c>
      <c r="UGV671" t="str">
        <f>IFERROR(VLOOKUP(UGW671,'[3]Raw material  (3)'!UGU653:UHM3729,3,0),"")</f>
        <v/>
      </c>
      <c r="UGW671" t="str">
        <f>IFERROR(VLOOKUP(UGX671,'[3]Raw material  (3)'!UGV653:UHN3729,3,0),"")</f>
        <v/>
      </c>
      <c r="UGX671" t="str">
        <f>IFERROR(VLOOKUP(UGY671,'[3]Raw material  (3)'!UGW653:UHO3729,3,0),"")</f>
        <v/>
      </c>
      <c r="UGY671" t="str">
        <f>IFERROR(VLOOKUP(UGZ671,'[3]Raw material  (3)'!UGX653:UHP3729,3,0),"")</f>
        <v/>
      </c>
      <c r="UGZ671" t="str">
        <f>IFERROR(VLOOKUP(UHA671,'[3]Raw material  (3)'!UGY653:UHQ3729,3,0),"")</f>
        <v/>
      </c>
      <c r="UHA671" t="str">
        <f>IFERROR(VLOOKUP(UHB671,'[3]Raw material  (3)'!UGZ653:UHR3729,3,0),"")</f>
        <v/>
      </c>
      <c r="UHB671" t="str">
        <f>IFERROR(VLOOKUP(UHC671,'[3]Raw material  (3)'!UHA653:UHS3729,3,0),"")</f>
        <v/>
      </c>
      <c r="UHC671" t="str">
        <f>IFERROR(VLOOKUP(UHD671,'[3]Raw material  (3)'!UHB653:UHT3729,3,0),"")</f>
        <v/>
      </c>
      <c r="UHD671" t="str">
        <f>IFERROR(VLOOKUP(UHE671,'[3]Raw material  (3)'!UHC653:UHU3729,3,0),"")</f>
        <v/>
      </c>
      <c r="UHE671" t="str">
        <f>IFERROR(VLOOKUP(UHF671,'[3]Raw material  (3)'!UHD653:UHV3729,3,0),"")</f>
        <v/>
      </c>
      <c r="UHF671" t="str">
        <f>IFERROR(VLOOKUP(UHG671,'[3]Raw material  (3)'!UHE653:UHW3729,3,0),"")</f>
        <v/>
      </c>
      <c r="UHG671" t="str">
        <f>IFERROR(VLOOKUP(UHH671,'[3]Raw material  (3)'!UHF653:UHX3729,3,0),"")</f>
        <v/>
      </c>
      <c r="UHH671" t="str">
        <f>IFERROR(VLOOKUP(UHI671,'[3]Raw material  (3)'!UHG653:UHY3729,3,0),"")</f>
        <v/>
      </c>
      <c r="UHI671" t="str">
        <f>IFERROR(VLOOKUP(UHJ671,'[3]Raw material  (3)'!UHH653:UHZ3729,3,0),"")</f>
        <v/>
      </c>
      <c r="UHJ671" t="str">
        <f>IFERROR(VLOOKUP(UHK671,'[3]Raw material  (3)'!UHI653:UIA3729,3,0),"")</f>
        <v/>
      </c>
      <c r="UHK671" t="str">
        <f>IFERROR(VLOOKUP(UHL671,'[3]Raw material  (3)'!UHJ653:UIB3729,3,0),"")</f>
        <v/>
      </c>
      <c r="UHL671" t="str">
        <f>IFERROR(VLOOKUP(UHM671,'[3]Raw material  (3)'!UHK653:UIC3729,3,0),"")</f>
        <v/>
      </c>
      <c r="UHM671" t="str">
        <f>IFERROR(VLOOKUP(UHN671,'[3]Raw material  (3)'!UHL653:UID3729,3,0),"")</f>
        <v/>
      </c>
      <c r="UHN671" t="str">
        <f>IFERROR(VLOOKUP(UHO671,'[3]Raw material  (3)'!UHM653:UIE3729,3,0),"")</f>
        <v/>
      </c>
      <c r="UHO671" t="str">
        <f>IFERROR(VLOOKUP(UHP671,'[3]Raw material  (3)'!UHN653:UIF3729,3,0),"")</f>
        <v/>
      </c>
      <c r="UHP671" t="str">
        <f>IFERROR(VLOOKUP(UHQ671,'[3]Raw material  (3)'!UHO653:UIG3729,3,0),"")</f>
        <v/>
      </c>
      <c r="UHQ671" t="str">
        <f>IFERROR(VLOOKUP(UHR671,'[3]Raw material  (3)'!UHP653:UIH3729,3,0),"")</f>
        <v/>
      </c>
      <c r="UHR671" t="str">
        <f>IFERROR(VLOOKUP(UHS671,'[3]Raw material  (3)'!UHQ653:UII3729,3,0),"")</f>
        <v/>
      </c>
      <c r="UHS671" t="str">
        <f>IFERROR(VLOOKUP(UHT671,'[3]Raw material  (3)'!UHR653:UIJ3729,3,0),"")</f>
        <v/>
      </c>
      <c r="UHT671" t="str">
        <f>IFERROR(VLOOKUP(UHU671,'[3]Raw material  (3)'!UHS653:UIK3729,3,0),"")</f>
        <v/>
      </c>
      <c r="UHU671" t="str">
        <f>IFERROR(VLOOKUP(UHV671,'[3]Raw material  (3)'!UHT653:UIL3729,3,0),"")</f>
        <v/>
      </c>
      <c r="UHV671" t="str">
        <f>IFERROR(VLOOKUP(UHW671,'[3]Raw material  (3)'!UHU653:UIM3729,3,0),"")</f>
        <v/>
      </c>
      <c r="UHW671" t="str">
        <f>IFERROR(VLOOKUP(UHX671,'[3]Raw material  (3)'!UHV653:UIN3729,3,0),"")</f>
        <v/>
      </c>
      <c r="UHX671" t="str">
        <f>IFERROR(VLOOKUP(UHY671,'[3]Raw material  (3)'!UHW653:UIO3729,3,0),"")</f>
        <v/>
      </c>
      <c r="UHY671" t="str">
        <f>IFERROR(VLOOKUP(UHZ671,'[3]Raw material  (3)'!UHX653:UIP3729,3,0),"")</f>
        <v/>
      </c>
      <c r="UHZ671" t="str">
        <f>IFERROR(VLOOKUP(UIA671,'[3]Raw material  (3)'!UHY653:UIQ3729,3,0),"")</f>
        <v/>
      </c>
      <c r="UIA671" t="str">
        <f>IFERROR(VLOOKUP(UIB671,'[3]Raw material  (3)'!UHZ653:UIR3729,3,0),"")</f>
        <v/>
      </c>
      <c r="UIB671" t="str">
        <f>IFERROR(VLOOKUP(UIC671,'[3]Raw material  (3)'!UIA653:UIS3729,3,0),"")</f>
        <v/>
      </c>
      <c r="UIC671" t="str">
        <f>IFERROR(VLOOKUP(UID671,'[3]Raw material  (3)'!UIB653:UIT3729,3,0),"")</f>
        <v/>
      </c>
      <c r="UID671" t="str">
        <f>IFERROR(VLOOKUP(UIE671,'[3]Raw material  (3)'!UIC653:UIU3729,3,0),"")</f>
        <v/>
      </c>
      <c r="UIE671" t="str">
        <f>IFERROR(VLOOKUP(UIF671,'[3]Raw material  (3)'!UID653:UIV3729,3,0),"")</f>
        <v/>
      </c>
      <c r="UIF671" t="str">
        <f>IFERROR(VLOOKUP(UIG671,'[3]Raw material  (3)'!UIE653:UIW3729,3,0),"")</f>
        <v/>
      </c>
      <c r="UIG671" t="str">
        <f>IFERROR(VLOOKUP(UIH671,'[3]Raw material  (3)'!UIF653:UIX3729,3,0),"")</f>
        <v/>
      </c>
      <c r="UIH671" t="str">
        <f>IFERROR(VLOOKUP(UII671,'[3]Raw material  (3)'!UIG653:UIY3729,3,0),"")</f>
        <v/>
      </c>
      <c r="UII671" t="str">
        <f>IFERROR(VLOOKUP(UIJ671,'[3]Raw material  (3)'!UIH653:UIZ3729,3,0),"")</f>
        <v/>
      </c>
      <c r="UIJ671" t="str">
        <f>IFERROR(VLOOKUP(UIK671,'[3]Raw material  (3)'!UII653:UJA3729,3,0),"")</f>
        <v/>
      </c>
      <c r="UIK671" t="str">
        <f>IFERROR(VLOOKUP(UIL671,'[3]Raw material  (3)'!UIJ653:UJB3729,3,0),"")</f>
        <v/>
      </c>
      <c r="UIL671" t="str">
        <f>IFERROR(VLOOKUP(UIM671,'[3]Raw material  (3)'!UIK653:UJC3729,3,0),"")</f>
        <v/>
      </c>
      <c r="UIM671" t="str">
        <f>IFERROR(VLOOKUP(UIN671,'[3]Raw material  (3)'!UIL653:UJD3729,3,0),"")</f>
        <v/>
      </c>
      <c r="UIN671" t="str">
        <f>IFERROR(VLOOKUP(UIO671,'[3]Raw material  (3)'!UIM653:UJE3729,3,0),"")</f>
        <v/>
      </c>
      <c r="UIO671" t="str">
        <f>IFERROR(VLOOKUP(UIP671,'[3]Raw material  (3)'!UIN653:UJF3729,3,0),"")</f>
        <v/>
      </c>
      <c r="UIP671" t="str">
        <f>IFERROR(VLOOKUP(UIQ671,'[3]Raw material  (3)'!UIO653:UJG3729,3,0),"")</f>
        <v/>
      </c>
      <c r="UIQ671" t="str">
        <f>IFERROR(VLOOKUP(UIR671,'[3]Raw material  (3)'!UIP653:UJH3729,3,0),"")</f>
        <v/>
      </c>
      <c r="UIR671" t="str">
        <f>IFERROR(VLOOKUP(UIS671,'[3]Raw material  (3)'!UIQ653:UJI3729,3,0),"")</f>
        <v/>
      </c>
      <c r="UIS671" t="str">
        <f>IFERROR(VLOOKUP(UIT671,'[3]Raw material  (3)'!UIR653:UJJ3729,3,0),"")</f>
        <v/>
      </c>
      <c r="UIT671" t="str">
        <f>IFERROR(VLOOKUP(UIU671,'[3]Raw material  (3)'!UIS653:UJK3729,3,0),"")</f>
        <v/>
      </c>
      <c r="UIU671" t="str">
        <f>IFERROR(VLOOKUP(UIV671,'[3]Raw material  (3)'!UIT653:UJL3729,3,0),"")</f>
        <v/>
      </c>
      <c r="UIV671" t="str">
        <f>IFERROR(VLOOKUP(UIW671,'[3]Raw material  (3)'!UIU653:UJM3729,3,0),"")</f>
        <v/>
      </c>
      <c r="UIW671" t="str">
        <f>IFERROR(VLOOKUP(UIX671,'[3]Raw material  (3)'!UIV653:UJN3729,3,0),"")</f>
        <v/>
      </c>
      <c r="UIX671" t="str">
        <f>IFERROR(VLOOKUP(UIY671,'[3]Raw material  (3)'!UIW653:UJO3729,3,0),"")</f>
        <v/>
      </c>
      <c r="UIY671" t="str">
        <f>IFERROR(VLOOKUP(UIZ671,'[3]Raw material  (3)'!UIX653:UJP3729,3,0),"")</f>
        <v/>
      </c>
      <c r="UIZ671" t="str">
        <f>IFERROR(VLOOKUP(UJA671,'[3]Raw material  (3)'!UIY653:UJQ3729,3,0),"")</f>
        <v/>
      </c>
      <c r="UJA671" t="str">
        <f>IFERROR(VLOOKUP(UJB671,'[3]Raw material  (3)'!UIZ653:UJR3729,3,0),"")</f>
        <v/>
      </c>
      <c r="UJB671" t="str">
        <f>IFERROR(VLOOKUP(UJC671,'[3]Raw material  (3)'!UJA653:UJS3729,3,0),"")</f>
        <v/>
      </c>
      <c r="UJC671" t="str">
        <f>IFERROR(VLOOKUP(UJD671,'[3]Raw material  (3)'!UJB653:UJT3729,3,0),"")</f>
        <v/>
      </c>
      <c r="UJD671" t="str">
        <f>IFERROR(VLOOKUP(UJE671,'[3]Raw material  (3)'!UJC653:UJU3729,3,0),"")</f>
        <v/>
      </c>
      <c r="UJE671" t="str">
        <f>IFERROR(VLOOKUP(UJF671,'[3]Raw material  (3)'!UJD653:UJV3729,3,0),"")</f>
        <v/>
      </c>
      <c r="UJF671" t="str">
        <f>IFERROR(VLOOKUP(UJG671,'[3]Raw material  (3)'!UJE653:UJW3729,3,0),"")</f>
        <v/>
      </c>
      <c r="UJG671" t="str">
        <f>IFERROR(VLOOKUP(UJH671,'[3]Raw material  (3)'!UJF653:UJX3729,3,0),"")</f>
        <v/>
      </c>
      <c r="UJH671" t="str">
        <f>IFERROR(VLOOKUP(UJI671,'[3]Raw material  (3)'!UJG653:UJY3729,3,0),"")</f>
        <v/>
      </c>
      <c r="UJI671" t="str">
        <f>IFERROR(VLOOKUP(UJJ671,'[3]Raw material  (3)'!UJH653:UJZ3729,3,0),"")</f>
        <v/>
      </c>
      <c r="UJJ671" t="str">
        <f>IFERROR(VLOOKUP(UJK671,'[3]Raw material  (3)'!UJI653:UKA3729,3,0),"")</f>
        <v/>
      </c>
      <c r="UJK671" t="str">
        <f>IFERROR(VLOOKUP(UJL671,'[3]Raw material  (3)'!UJJ653:UKB3729,3,0),"")</f>
        <v/>
      </c>
      <c r="UJL671" t="str">
        <f>IFERROR(VLOOKUP(UJM671,'[3]Raw material  (3)'!UJK653:UKC3729,3,0),"")</f>
        <v/>
      </c>
      <c r="UJM671" t="str">
        <f>IFERROR(VLOOKUP(UJN671,'[3]Raw material  (3)'!UJL653:UKD3729,3,0),"")</f>
        <v/>
      </c>
      <c r="UJN671" t="str">
        <f>IFERROR(VLOOKUP(UJO671,'[3]Raw material  (3)'!UJM653:UKE3729,3,0),"")</f>
        <v/>
      </c>
      <c r="UJO671" t="str">
        <f>IFERROR(VLOOKUP(UJP671,'[3]Raw material  (3)'!UJN653:UKF3729,3,0),"")</f>
        <v/>
      </c>
      <c r="UJP671" t="str">
        <f>IFERROR(VLOOKUP(UJQ671,'[3]Raw material  (3)'!UJO653:UKG3729,3,0),"")</f>
        <v/>
      </c>
      <c r="UJQ671" t="str">
        <f>IFERROR(VLOOKUP(UJR671,'[3]Raw material  (3)'!UJP653:UKH3729,3,0),"")</f>
        <v/>
      </c>
      <c r="UJR671" t="str">
        <f>IFERROR(VLOOKUP(UJS671,'[3]Raw material  (3)'!UJQ653:UKI3729,3,0),"")</f>
        <v/>
      </c>
      <c r="UJS671" t="str">
        <f>IFERROR(VLOOKUP(UJT671,'[3]Raw material  (3)'!UJR653:UKJ3729,3,0),"")</f>
        <v/>
      </c>
      <c r="UJT671" t="str">
        <f>IFERROR(VLOOKUP(UJU671,'[3]Raw material  (3)'!UJS653:UKK3729,3,0),"")</f>
        <v/>
      </c>
      <c r="UJU671" t="str">
        <f>IFERROR(VLOOKUP(UJV671,'[3]Raw material  (3)'!UJT653:UKL3729,3,0),"")</f>
        <v/>
      </c>
      <c r="UJV671" t="str">
        <f>IFERROR(VLOOKUP(UJW671,'[3]Raw material  (3)'!UJU653:UKM3729,3,0),"")</f>
        <v/>
      </c>
      <c r="UJW671" t="str">
        <f>IFERROR(VLOOKUP(UJX671,'[3]Raw material  (3)'!UJV653:UKN3729,3,0),"")</f>
        <v/>
      </c>
      <c r="UJX671" t="str">
        <f>IFERROR(VLOOKUP(UJY671,'[3]Raw material  (3)'!UJW653:UKO3729,3,0),"")</f>
        <v/>
      </c>
      <c r="UJY671" t="str">
        <f>IFERROR(VLOOKUP(UJZ671,'[3]Raw material  (3)'!UJX653:UKP3729,3,0),"")</f>
        <v/>
      </c>
      <c r="UJZ671" t="str">
        <f>IFERROR(VLOOKUP(UKA671,'[3]Raw material  (3)'!UJY653:UKQ3729,3,0),"")</f>
        <v/>
      </c>
      <c r="UKA671" t="str">
        <f>IFERROR(VLOOKUP(UKB671,'[3]Raw material  (3)'!UJZ653:UKR3729,3,0),"")</f>
        <v/>
      </c>
      <c r="UKB671" t="str">
        <f>IFERROR(VLOOKUP(UKC671,'[3]Raw material  (3)'!UKA653:UKS3729,3,0),"")</f>
        <v/>
      </c>
      <c r="UKC671" t="str">
        <f>IFERROR(VLOOKUP(UKD671,'[3]Raw material  (3)'!UKB653:UKT3729,3,0),"")</f>
        <v/>
      </c>
      <c r="UKD671" t="str">
        <f>IFERROR(VLOOKUP(UKE671,'[3]Raw material  (3)'!UKC653:UKU3729,3,0),"")</f>
        <v/>
      </c>
      <c r="UKE671" t="str">
        <f>IFERROR(VLOOKUP(UKF671,'[3]Raw material  (3)'!UKD653:UKV3729,3,0),"")</f>
        <v/>
      </c>
      <c r="UKF671" t="str">
        <f>IFERROR(VLOOKUP(UKG671,'[3]Raw material  (3)'!UKE653:UKW3729,3,0),"")</f>
        <v/>
      </c>
      <c r="UKG671" t="str">
        <f>IFERROR(VLOOKUP(UKH671,'[3]Raw material  (3)'!UKF653:UKX3729,3,0),"")</f>
        <v/>
      </c>
      <c r="UKH671" t="str">
        <f>IFERROR(VLOOKUP(UKI671,'[3]Raw material  (3)'!UKG653:UKY3729,3,0),"")</f>
        <v/>
      </c>
      <c r="UKI671" t="str">
        <f>IFERROR(VLOOKUP(UKJ671,'[3]Raw material  (3)'!UKH653:UKZ3729,3,0),"")</f>
        <v/>
      </c>
      <c r="UKJ671" t="str">
        <f>IFERROR(VLOOKUP(UKK671,'[3]Raw material  (3)'!UKI653:ULA3729,3,0),"")</f>
        <v/>
      </c>
      <c r="UKK671" t="str">
        <f>IFERROR(VLOOKUP(UKL671,'[3]Raw material  (3)'!UKJ653:ULB3729,3,0),"")</f>
        <v/>
      </c>
      <c r="UKL671" t="str">
        <f>IFERROR(VLOOKUP(UKM671,'[3]Raw material  (3)'!UKK653:ULC3729,3,0),"")</f>
        <v/>
      </c>
      <c r="UKM671" t="str">
        <f>IFERROR(VLOOKUP(UKN671,'[3]Raw material  (3)'!UKL653:ULD3729,3,0),"")</f>
        <v/>
      </c>
      <c r="UKN671" t="str">
        <f>IFERROR(VLOOKUP(UKO671,'[3]Raw material  (3)'!UKM653:ULE3729,3,0),"")</f>
        <v/>
      </c>
      <c r="UKO671" t="str">
        <f>IFERROR(VLOOKUP(UKP671,'[3]Raw material  (3)'!UKN653:ULF3729,3,0),"")</f>
        <v/>
      </c>
      <c r="UKP671" t="str">
        <f>IFERROR(VLOOKUP(UKQ671,'[3]Raw material  (3)'!UKO653:ULG3729,3,0),"")</f>
        <v/>
      </c>
      <c r="UKQ671" t="str">
        <f>IFERROR(VLOOKUP(UKR671,'[3]Raw material  (3)'!UKP653:ULH3729,3,0),"")</f>
        <v/>
      </c>
      <c r="UKR671" t="str">
        <f>IFERROR(VLOOKUP(UKS671,'[3]Raw material  (3)'!UKQ653:ULI3729,3,0),"")</f>
        <v/>
      </c>
      <c r="UKS671" t="str">
        <f>IFERROR(VLOOKUP(UKT671,'[3]Raw material  (3)'!UKR653:ULJ3729,3,0),"")</f>
        <v/>
      </c>
      <c r="UKT671" t="str">
        <f>IFERROR(VLOOKUP(UKU671,'[3]Raw material  (3)'!UKS653:ULK3729,3,0),"")</f>
        <v/>
      </c>
      <c r="UKU671" t="str">
        <f>IFERROR(VLOOKUP(UKV671,'[3]Raw material  (3)'!UKT653:ULL3729,3,0),"")</f>
        <v/>
      </c>
      <c r="UKV671" t="str">
        <f>IFERROR(VLOOKUP(UKW671,'[3]Raw material  (3)'!UKU653:ULM3729,3,0),"")</f>
        <v/>
      </c>
      <c r="UKW671" t="str">
        <f>IFERROR(VLOOKUP(UKX671,'[3]Raw material  (3)'!UKV653:ULN3729,3,0),"")</f>
        <v/>
      </c>
      <c r="UKX671" t="str">
        <f>IFERROR(VLOOKUP(UKY671,'[3]Raw material  (3)'!UKW653:ULO3729,3,0),"")</f>
        <v/>
      </c>
      <c r="UKY671" t="str">
        <f>IFERROR(VLOOKUP(UKZ671,'[3]Raw material  (3)'!UKX653:ULP3729,3,0),"")</f>
        <v/>
      </c>
      <c r="UKZ671" t="str">
        <f>IFERROR(VLOOKUP(ULA671,'[3]Raw material  (3)'!UKY653:ULQ3729,3,0),"")</f>
        <v/>
      </c>
      <c r="ULA671" t="str">
        <f>IFERROR(VLOOKUP(ULB671,'[3]Raw material  (3)'!UKZ653:ULR3729,3,0),"")</f>
        <v/>
      </c>
      <c r="ULB671" t="str">
        <f>IFERROR(VLOOKUP(ULC671,'[3]Raw material  (3)'!ULA653:ULS3729,3,0),"")</f>
        <v/>
      </c>
      <c r="ULC671" t="str">
        <f>IFERROR(VLOOKUP(ULD671,'[3]Raw material  (3)'!ULB653:ULT3729,3,0),"")</f>
        <v/>
      </c>
      <c r="ULD671" t="str">
        <f>IFERROR(VLOOKUP(ULE671,'[3]Raw material  (3)'!ULC653:ULU3729,3,0),"")</f>
        <v/>
      </c>
      <c r="ULE671" t="str">
        <f>IFERROR(VLOOKUP(ULF671,'[3]Raw material  (3)'!ULD653:ULV3729,3,0),"")</f>
        <v/>
      </c>
      <c r="ULF671" t="str">
        <f>IFERROR(VLOOKUP(ULG671,'[3]Raw material  (3)'!ULE653:ULW3729,3,0),"")</f>
        <v/>
      </c>
      <c r="ULG671" t="str">
        <f>IFERROR(VLOOKUP(ULH671,'[3]Raw material  (3)'!ULF653:ULX3729,3,0),"")</f>
        <v/>
      </c>
      <c r="ULH671" t="str">
        <f>IFERROR(VLOOKUP(ULI671,'[3]Raw material  (3)'!ULG653:ULY3729,3,0),"")</f>
        <v/>
      </c>
      <c r="ULI671" t="str">
        <f>IFERROR(VLOOKUP(ULJ671,'[3]Raw material  (3)'!ULH653:ULZ3729,3,0),"")</f>
        <v/>
      </c>
      <c r="ULJ671" t="str">
        <f>IFERROR(VLOOKUP(ULK671,'[3]Raw material  (3)'!ULI653:UMA3729,3,0),"")</f>
        <v/>
      </c>
      <c r="ULK671" t="str">
        <f>IFERROR(VLOOKUP(ULL671,'[3]Raw material  (3)'!ULJ653:UMB3729,3,0),"")</f>
        <v/>
      </c>
      <c r="ULL671" t="str">
        <f>IFERROR(VLOOKUP(ULM671,'[3]Raw material  (3)'!ULK653:UMC3729,3,0),"")</f>
        <v/>
      </c>
      <c r="ULM671" t="str">
        <f>IFERROR(VLOOKUP(ULN671,'[3]Raw material  (3)'!ULL653:UMD3729,3,0),"")</f>
        <v/>
      </c>
      <c r="ULN671" t="str">
        <f>IFERROR(VLOOKUP(ULO671,'[3]Raw material  (3)'!ULM653:UME3729,3,0),"")</f>
        <v/>
      </c>
      <c r="ULO671" t="str">
        <f>IFERROR(VLOOKUP(ULP671,'[3]Raw material  (3)'!ULN653:UMF3729,3,0),"")</f>
        <v/>
      </c>
      <c r="ULP671" t="str">
        <f>IFERROR(VLOOKUP(ULQ671,'[3]Raw material  (3)'!ULO653:UMG3729,3,0),"")</f>
        <v/>
      </c>
      <c r="ULQ671" t="str">
        <f>IFERROR(VLOOKUP(ULR671,'[3]Raw material  (3)'!ULP653:UMH3729,3,0),"")</f>
        <v/>
      </c>
      <c r="ULR671" t="str">
        <f>IFERROR(VLOOKUP(ULS671,'[3]Raw material  (3)'!ULQ653:UMI3729,3,0),"")</f>
        <v/>
      </c>
      <c r="ULS671" t="str">
        <f>IFERROR(VLOOKUP(ULT671,'[3]Raw material  (3)'!ULR653:UMJ3729,3,0),"")</f>
        <v/>
      </c>
      <c r="ULT671" t="str">
        <f>IFERROR(VLOOKUP(ULU671,'[3]Raw material  (3)'!ULS653:UMK3729,3,0),"")</f>
        <v/>
      </c>
      <c r="ULU671" t="str">
        <f>IFERROR(VLOOKUP(ULV671,'[3]Raw material  (3)'!ULT653:UML3729,3,0),"")</f>
        <v/>
      </c>
      <c r="ULV671" t="str">
        <f>IFERROR(VLOOKUP(ULW671,'[3]Raw material  (3)'!ULU653:UMM3729,3,0),"")</f>
        <v/>
      </c>
      <c r="ULW671" t="str">
        <f>IFERROR(VLOOKUP(ULX671,'[3]Raw material  (3)'!ULV653:UMN3729,3,0),"")</f>
        <v/>
      </c>
      <c r="ULX671" t="str">
        <f>IFERROR(VLOOKUP(ULY671,'[3]Raw material  (3)'!ULW653:UMO3729,3,0),"")</f>
        <v/>
      </c>
      <c r="ULY671" t="str">
        <f>IFERROR(VLOOKUP(ULZ671,'[3]Raw material  (3)'!ULX653:UMP3729,3,0),"")</f>
        <v/>
      </c>
      <c r="ULZ671" t="str">
        <f>IFERROR(VLOOKUP(UMA671,'[3]Raw material  (3)'!ULY653:UMQ3729,3,0),"")</f>
        <v/>
      </c>
      <c r="UMA671" t="str">
        <f>IFERROR(VLOOKUP(UMB671,'[3]Raw material  (3)'!ULZ653:UMR3729,3,0),"")</f>
        <v/>
      </c>
      <c r="UMB671" t="str">
        <f>IFERROR(VLOOKUP(UMC671,'[3]Raw material  (3)'!UMA653:UMS3729,3,0),"")</f>
        <v/>
      </c>
      <c r="UMC671" t="str">
        <f>IFERROR(VLOOKUP(UMD671,'[3]Raw material  (3)'!UMB653:UMT3729,3,0),"")</f>
        <v/>
      </c>
      <c r="UMD671" t="str">
        <f>IFERROR(VLOOKUP(UME671,'[3]Raw material  (3)'!UMC653:UMU3729,3,0),"")</f>
        <v/>
      </c>
      <c r="UME671" t="str">
        <f>IFERROR(VLOOKUP(UMF671,'[3]Raw material  (3)'!UMD653:UMV3729,3,0),"")</f>
        <v/>
      </c>
      <c r="UMF671" t="str">
        <f>IFERROR(VLOOKUP(UMG671,'[3]Raw material  (3)'!UME653:UMW3729,3,0),"")</f>
        <v/>
      </c>
      <c r="UMG671" t="str">
        <f>IFERROR(VLOOKUP(UMH671,'[3]Raw material  (3)'!UMF653:UMX3729,3,0),"")</f>
        <v/>
      </c>
      <c r="UMH671" t="str">
        <f>IFERROR(VLOOKUP(UMI671,'[3]Raw material  (3)'!UMG653:UMY3729,3,0),"")</f>
        <v/>
      </c>
      <c r="UMI671" t="str">
        <f>IFERROR(VLOOKUP(UMJ671,'[3]Raw material  (3)'!UMH653:UMZ3729,3,0),"")</f>
        <v/>
      </c>
      <c r="UMJ671" t="str">
        <f>IFERROR(VLOOKUP(UMK671,'[3]Raw material  (3)'!UMI653:UNA3729,3,0),"")</f>
        <v/>
      </c>
      <c r="UMK671" t="str">
        <f>IFERROR(VLOOKUP(UML671,'[3]Raw material  (3)'!UMJ653:UNB3729,3,0),"")</f>
        <v/>
      </c>
      <c r="UML671" t="str">
        <f>IFERROR(VLOOKUP(UMM671,'[3]Raw material  (3)'!UMK653:UNC3729,3,0),"")</f>
        <v/>
      </c>
      <c r="UMM671" t="str">
        <f>IFERROR(VLOOKUP(UMN671,'[3]Raw material  (3)'!UML653:UND3729,3,0),"")</f>
        <v/>
      </c>
      <c r="UMN671" t="str">
        <f>IFERROR(VLOOKUP(UMO671,'[3]Raw material  (3)'!UMM653:UNE3729,3,0),"")</f>
        <v/>
      </c>
      <c r="UMO671" t="str">
        <f>IFERROR(VLOOKUP(UMP671,'[3]Raw material  (3)'!UMN653:UNF3729,3,0),"")</f>
        <v/>
      </c>
      <c r="UMP671" t="str">
        <f>IFERROR(VLOOKUP(UMQ671,'[3]Raw material  (3)'!UMO653:UNG3729,3,0),"")</f>
        <v/>
      </c>
      <c r="UMQ671" t="str">
        <f>IFERROR(VLOOKUP(UMR671,'[3]Raw material  (3)'!UMP653:UNH3729,3,0),"")</f>
        <v/>
      </c>
      <c r="UMR671" t="str">
        <f>IFERROR(VLOOKUP(UMS671,'[3]Raw material  (3)'!UMQ653:UNI3729,3,0),"")</f>
        <v/>
      </c>
      <c r="UMS671" t="str">
        <f>IFERROR(VLOOKUP(UMT671,'[3]Raw material  (3)'!UMR653:UNJ3729,3,0),"")</f>
        <v/>
      </c>
      <c r="UMT671" t="str">
        <f>IFERROR(VLOOKUP(UMU671,'[3]Raw material  (3)'!UMS653:UNK3729,3,0),"")</f>
        <v/>
      </c>
      <c r="UMU671" t="str">
        <f>IFERROR(VLOOKUP(UMV671,'[3]Raw material  (3)'!UMT653:UNL3729,3,0),"")</f>
        <v/>
      </c>
      <c r="UMV671" t="str">
        <f>IFERROR(VLOOKUP(UMW671,'[3]Raw material  (3)'!UMU653:UNM3729,3,0),"")</f>
        <v/>
      </c>
      <c r="UMW671" t="str">
        <f>IFERROR(VLOOKUP(UMX671,'[3]Raw material  (3)'!UMV653:UNN3729,3,0),"")</f>
        <v/>
      </c>
      <c r="UMX671" t="str">
        <f>IFERROR(VLOOKUP(UMY671,'[3]Raw material  (3)'!UMW653:UNO3729,3,0),"")</f>
        <v/>
      </c>
      <c r="UMY671" t="str">
        <f>IFERROR(VLOOKUP(UMZ671,'[3]Raw material  (3)'!UMX653:UNP3729,3,0),"")</f>
        <v/>
      </c>
      <c r="UMZ671" t="str">
        <f>IFERROR(VLOOKUP(UNA671,'[3]Raw material  (3)'!UMY653:UNQ3729,3,0),"")</f>
        <v/>
      </c>
      <c r="UNA671" t="str">
        <f>IFERROR(VLOOKUP(UNB671,'[3]Raw material  (3)'!UMZ653:UNR3729,3,0),"")</f>
        <v/>
      </c>
      <c r="UNB671" t="str">
        <f>IFERROR(VLOOKUP(UNC671,'[3]Raw material  (3)'!UNA653:UNS3729,3,0),"")</f>
        <v/>
      </c>
      <c r="UNC671" t="str">
        <f>IFERROR(VLOOKUP(UND671,'[3]Raw material  (3)'!UNB653:UNT3729,3,0),"")</f>
        <v/>
      </c>
      <c r="UND671" t="str">
        <f>IFERROR(VLOOKUP(UNE671,'[3]Raw material  (3)'!UNC653:UNU3729,3,0),"")</f>
        <v/>
      </c>
      <c r="UNE671" t="str">
        <f>IFERROR(VLOOKUP(UNF671,'[3]Raw material  (3)'!UND653:UNV3729,3,0),"")</f>
        <v/>
      </c>
      <c r="UNF671" t="str">
        <f>IFERROR(VLOOKUP(UNG671,'[3]Raw material  (3)'!UNE653:UNW3729,3,0),"")</f>
        <v/>
      </c>
      <c r="UNG671" t="str">
        <f>IFERROR(VLOOKUP(UNH671,'[3]Raw material  (3)'!UNF653:UNX3729,3,0),"")</f>
        <v/>
      </c>
      <c r="UNH671" t="str">
        <f>IFERROR(VLOOKUP(UNI671,'[3]Raw material  (3)'!UNG653:UNY3729,3,0),"")</f>
        <v/>
      </c>
      <c r="UNI671" t="str">
        <f>IFERROR(VLOOKUP(UNJ671,'[3]Raw material  (3)'!UNH653:UNZ3729,3,0),"")</f>
        <v/>
      </c>
      <c r="UNJ671" t="str">
        <f>IFERROR(VLOOKUP(UNK671,'[3]Raw material  (3)'!UNI653:UOA3729,3,0),"")</f>
        <v/>
      </c>
      <c r="UNK671" t="str">
        <f>IFERROR(VLOOKUP(UNL671,'[3]Raw material  (3)'!UNJ653:UOB3729,3,0),"")</f>
        <v/>
      </c>
      <c r="UNL671" t="str">
        <f>IFERROR(VLOOKUP(UNM671,'[3]Raw material  (3)'!UNK653:UOC3729,3,0),"")</f>
        <v/>
      </c>
      <c r="UNM671" t="str">
        <f>IFERROR(VLOOKUP(UNN671,'[3]Raw material  (3)'!UNL653:UOD3729,3,0),"")</f>
        <v/>
      </c>
      <c r="UNN671" t="str">
        <f>IFERROR(VLOOKUP(UNO671,'[3]Raw material  (3)'!UNM653:UOE3729,3,0),"")</f>
        <v/>
      </c>
      <c r="UNO671" t="str">
        <f>IFERROR(VLOOKUP(UNP671,'[3]Raw material  (3)'!UNN653:UOF3729,3,0),"")</f>
        <v/>
      </c>
      <c r="UNP671" t="str">
        <f>IFERROR(VLOOKUP(UNQ671,'[3]Raw material  (3)'!UNO653:UOG3729,3,0),"")</f>
        <v/>
      </c>
      <c r="UNQ671" t="str">
        <f>IFERROR(VLOOKUP(UNR671,'[3]Raw material  (3)'!UNP653:UOH3729,3,0),"")</f>
        <v/>
      </c>
      <c r="UNR671" t="str">
        <f>IFERROR(VLOOKUP(UNS671,'[3]Raw material  (3)'!UNQ653:UOI3729,3,0),"")</f>
        <v/>
      </c>
      <c r="UNS671" t="str">
        <f>IFERROR(VLOOKUP(UNT671,'[3]Raw material  (3)'!UNR653:UOJ3729,3,0),"")</f>
        <v/>
      </c>
      <c r="UNT671" t="str">
        <f>IFERROR(VLOOKUP(UNU671,'[3]Raw material  (3)'!UNS653:UOK3729,3,0),"")</f>
        <v/>
      </c>
      <c r="UNU671" t="str">
        <f>IFERROR(VLOOKUP(UNV671,'[3]Raw material  (3)'!UNT653:UOL3729,3,0),"")</f>
        <v/>
      </c>
      <c r="UNV671" t="str">
        <f>IFERROR(VLOOKUP(UNW671,'[3]Raw material  (3)'!UNU653:UOM3729,3,0),"")</f>
        <v/>
      </c>
      <c r="UNW671" t="str">
        <f>IFERROR(VLOOKUP(UNX671,'[3]Raw material  (3)'!UNV653:UON3729,3,0),"")</f>
        <v/>
      </c>
      <c r="UNX671" t="str">
        <f>IFERROR(VLOOKUP(UNY671,'[3]Raw material  (3)'!UNW653:UOO3729,3,0),"")</f>
        <v/>
      </c>
      <c r="UNY671" t="str">
        <f>IFERROR(VLOOKUP(UNZ671,'[3]Raw material  (3)'!UNX653:UOP3729,3,0),"")</f>
        <v/>
      </c>
      <c r="UNZ671" t="str">
        <f>IFERROR(VLOOKUP(UOA671,'[3]Raw material  (3)'!UNY653:UOQ3729,3,0),"")</f>
        <v/>
      </c>
      <c r="UOA671" t="str">
        <f>IFERROR(VLOOKUP(UOB671,'[3]Raw material  (3)'!UNZ653:UOR3729,3,0),"")</f>
        <v/>
      </c>
      <c r="UOB671" t="str">
        <f>IFERROR(VLOOKUP(UOC671,'[3]Raw material  (3)'!UOA653:UOS3729,3,0),"")</f>
        <v/>
      </c>
      <c r="UOC671" t="str">
        <f>IFERROR(VLOOKUP(UOD671,'[3]Raw material  (3)'!UOB653:UOT3729,3,0),"")</f>
        <v/>
      </c>
      <c r="UOD671" t="str">
        <f>IFERROR(VLOOKUP(UOE671,'[3]Raw material  (3)'!UOC653:UOU3729,3,0),"")</f>
        <v/>
      </c>
      <c r="UOE671" t="str">
        <f>IFERROR(VLOOKUP(UOF671,'[3]Raw material  (3)'!UOD653:UOV3729,3,0),"")</f>
        <v/>
      </c>
      <c r="UOF671" t="str">
        <f>IFERROR(VLOOKUP(UOG671,'[3]Raw material  (3)'!UOE653:UOW3729,3,0),"")</f>
        <v/>
      </c>
      <c r="UOG671" t="str">
        <f>IFERROR(VLOOKUP(UOH671,'[3]Raw material  (3)'!UOF653:UOX3729,3,0),"")</f>
        <v/>
      </c>
      <c r="UOH671" t="str">
        <f>IFERROR(VLOOKUP(UOI671,'[3]Raw material  (3)'!UOG653:UOY3729,3,0),"")</f>
        <v/>
      </c>
      <c r="UOI671" t="str">
        <f>IFERROR(VLOOKUP(UOJ671,'[3]Raw material  (3)'!UOH653:UOZ3729,3,0),"")</f>
        <v/>
      </c>
      <c r="UOJ671" t="str">
        <f>IFERROR(VLOOKUP(UOK671,'[3]Raw material  (3)'!UOI653:UPA3729,3,0),"")</f>
        <v/>
      </c>
      <c r="UOK671" t="str">
        <f>IFERROR(VLOOKUP(UOL671,'[3]Raw material  (3)'!UOJ653:UPB3729,3,0),"")</f>
        <v/>
      </c>
      <c r="UOL671" t="str">
        <f>IFERROR(VLOOKUP(UOM671,'[3]Raw material  (3)'!UOK653:UPC3729,3,0),"")</f>
        <v/>
      </c>
      <c r="UOM671" t="str">
        <f>IFERROR(VLOOKUP(UON671,'[3]Raw material  (3)'!UOL653:UPD3729,3,0),"")</f>
        <v/>
      </c>
      <c r="UON671" t="str">
        <f>IFERROR(VLOOKUP(UOO671,'[3]Raw material  (3)'!UOM653:UPE3729,3,0),"")</f>
        <v/>
      </c>
      <c r="UOO671" t="str">
        <f>IFERROR(VLOOKUP(UOP671,'[3]Raw material  (3)'!UON653:UPF3729,3,0),"")</f>
        <v/>
      </c>
      <c r="UOP671" t="str">
        <f>IFERROR(VLOOKUP(UOQ671,'[3]Raw material  (3)'!UOO653:UPG3729,3,0),"")</f>
        <v/>
      </c>
      <c r="UOQ671" t="str">
        <f>IFERROR(VLOOKUP(UOR671,'[3]Raw material  (3)'!UOP653:UPH3729,3,0),"")</f>
        <v/>
      </c>
      <c r="UOR671" t="str">
        <f>IFERROR(VLOOKUP(UOS671,'[3]Raw material  (3)'!UOQ653:UPI3729,3,0),"")</f>
        <v/>
      </c>
      <c r="UOS671" t="str">
        <f>IFERROR(VLOOKUP(UOT671,'[3]Raw material  (3)'!UOR653:UPJ3729,3,0),"")</f>
        <v/>
      </c>
      <c r="UOT671" t="str">
        <f>IFERROR(VLOOKUP(UOU671,'[3]Raw material  (3)'!UOS653:UPK3729,3,0),"")</f>
        <v/>
      </c>
      <c r="UOU671" t="str">
        <f>IFERROR(VLOOKUP(UOV671,'[3]Raw material  (3)'!UOT653:UPL3729,3,0),"")</f>
        <v/>
      </c>
      <c r="UOV671" t="str">
        <f>IFERROR(VLOOKUP(UOW671,'[3]Raw material  (3)'!UOU653:UPM3729,3,0),"")</f>
        <v/>
      </c>
      <c r="UOW671" t="str">
        <f>IFERROR(VLOOKUP(UOX671,'[3]Raw material  (3)'!UOV653:UPN3729,3,0),"")</f>
        <v/>
      </c>
      <c r="UOX671" t="str">
        <f>IFERROR(VLOOKUP(UOY671,'[3]Raw material  (3)'!UOW653:UPO3729,3,0),"")</f>
        <v/>
      </c>
      <c r="UOY671" t="str">
        <f>IFERROR(VLOOKUP(UOZ671,'[3]Raw material  (3)'!UOX653:UPP3729,3,0),"")</f>
        <v/>
      </c>
      <c r="UOZ671" t="str">
        <f>IFERROR(VLOOKUP(UPA671,'[3]Raw material  (3)'!UOY653:UPQ3729,3,0),"")</f>
        <v/>
      </c>
      <c r="UPA671" t="str">
        <f>IFERROR(VLOOKUP(UPB671,'[3]Raw material  (3)'!UOZ653:UPR3729,3,0),"")</f>
        <v/>
      </c>
      <c r="UPB671" t="str">
        <f>IFERROR(VLOOKUP(UPC671,'[3]Raw material  (3)'!UPA653:UPS3729,3,0),"")</f>
        <v/>
      </c>
      <c r="UPC671" t="str">
        <f>IFERROR(VLOOKUP(UPD671,'[3]Raw material  (3)'!UPB653:UPT3729,3,0),"")</f>
        <v/>
      </c>
      <c r="UPD671" t="str">
        <f>IFERROR(VLOOKUP(UPE671,'[3]Raw material  (3)'!UPC653:UPU3729,3,0),"")</f>
        <v/>
      </c>
      <c r="UPE671" t="str">
        <f>IFERROR(VLOOKUP(UPF671,'[3]Raw material  (3)'!UPD653:UPV3729,3,0),"")</f>
        <v/>
      </c>
      <c r="UPF671" t="str">
        <f>IFERROR(VLOOKUP(UPG671,'[3]Raw material  (3)'!UPE653:UPW3729,3,0),"")</f>
        <v/>
      </c>
      <c r="UPG671" t="str">
        <f>IFERROR(VLOOKUP(UPH671,'[3]Raw material  (3)'!UPF653:UPX3729,3,0),"")</f>
        <v/>
      </c>
      <c r="UPH671" t="str">
        <f>IFERROR(VLOOKUP(UPI671,'[3]Raw material  (3)'!UPG653:UPY3729,3,0),"")</f>
        <v/>
      </c>
      <c r="UPI671" t="str">
        <f>IFERROR(VLOOKUP(UPJ671,'[3]Raw material  (3)'!UPH653:UPZ3729,3,0),"")</f>
        <v/>
      </c>
      <c r="UPJ671" t="str">
        <f>IFERROR(VLOOKUP(UPK671,'[3]Raw material  (3)'!UPI653:UQA3729,3,0),"")</f>
        <v/>
      </c>
      <c r="UPK671" t="str">
        <f>IFERROR(VLOOKUP(UPL671,'[3]Raw material  (3)'!UPJ653:UQB3729,3,0),"")</f>
        <v/>
      </c>
      <c r="UPL671" t="str">
        <f>IFERROR(VLOOKUP(UPM671,'[3]Raw material  (3)'!UPK653:UQC3729,3,0),"")</f>
        <v/>
      </c>
      <c r="UPM671" t="str">
        <f>IFERROR(VLOOKUP(UPN671,'[3]Raw material  (3)'!UPL653:UQD3729,3,0),"")</f>
        <v/>
      </c>
      <c r="UPN671" t="str">
        <f>IFERROR(VLOOKUP(UPO671,'[3]Raw material  (3)'!UPM653:UQE3729,3,0),"")</f>
        <v/>
      </c>
      <c r="UPO671" t="str">
        <f>IFERROR(VLOOKUP(UPP671,'[3]Raw material  (3)'!UPN653:UQF3729,3,0),"")</f>
        <v/>
      </c>
      <c r="UPP671" t="str">
        <f>IFERROR(VLOOKUP(UPQ671,'[3]Raw material  (3)'!UPO653:UQG3729,3,0),"")</f>
        <v/>
      </c>
      <c r="UPQ671" t="str">
        <f>IFERROR(VLOOKUP(UPR671,'[3]Raw material  (3)'!UPP653:UQH3729,3,0),"")</f>
        <v/>
      </c>
      <c r="UPR671" t="str">
        <f>IFERROR(VLOOKUP(UPS671,'[3]Raw material  (3)'!UPQ653:UQI3729,3,0),"")</f>
        <v/>
      </c>
      <c r="UPS671" t="str">
        <f>IFERROR(VLOOKUP(UPT671,'[3]Raw material  (3)'!UPR653:UQJ3729,3,0),"")</f>
        <v/>
      </c>
      <c r="UPT671" t="str">
        <f>IFERROR(VLOOKUP(UPU671,'[3]Raw material  (3)'!UPS653:UQK3729,3,0),"")</f>
        <v/>
      </c>
      <c r="UPU671" t="str">
        <f>IFERROR(VLOOKUP(UPV671,'[3]Raw material  (3)'!UPT653:UQL3729,3,0),"")</f>
        <v/>
      </c>
      <c r="UPV671" t="str">
        <f>IFERROR(VLOOKUP(UPW671,'[3]Raw material  (3)'!UPU653:UQM3729,3,0),"")</f>
        <v/>
      </c>
      <c r="UPW671" t="str">
        <f>IFERROR(VLOOKUP(UPX671,'[3]Raw material  (3)'!UPV653:UQN3729,3,0),"")</f>
        <v/>
      </c>
      <c r="UPX671" t="str">
        <f>IFERROR(VLOOKUP(UPY671,'[3]Raw material  (3)'!UPW653:UQO3729,3,0),"")</f>
        <v/>
      </c>
      <c r="UPY671" t="str">
        <f>IFERROR(VLOOKUP(UPZ671,'[3]Raw material  (3)'!UPX653:UQP3729,3,0),"")</f>
        <v/>
      </c>
      <c r="UPZ671" t="str">
        <f>IFERROR(VLOOKUP(UQA671,'[3]Raw material  (3)'!UPY653:UQQ3729,3,0),"")</f>
        <v/>
      </c>
      <c r="UQA671" t="str">
        <f>IFERROR(VLOOKUP(UQB671,'[3]Raw material  (3)'!UPZ653:UQR3729,3,0),"")</f>
        <v/>
      </c>
      <c r="UQB671" t="str">
        <f>IFERROR(VLOOKUP(UQC671,'[3]Raw material  (3)'!UQA653:UQS3729,3,0),"")</f>
        <v/>
      </c>
      <c r="UQC671" t="str">
        <f>IFERROR(VLOOKUP(UQD671,'[3]Raw material  (3)'!UQB653:UQT3729,3,0),"")</f>
        <v/>
      </c>
      <c r="UQD671" t="str">
        <f>IFERROR(VLOOKUP(UQE671,'[3]Raw material  (3)'!UQC653:UQU3729,3,0),"")</f>
        <v/>
      </c>
      <c r="UQE671" t="str">
        <f>IFERROR(VLOOKUP(UQF671,'[3]Raw material  (3)'!UQD653:UQV3729,3,0),"")</f>
        <v/>
      </c>
      <c r="UQF671" t="str">
        <f>IFERROR(VLOOKUP(UQG671,'[3]Raw material  (3)'!UQE653:UQW3729,3,0),"")</f>
        <v/>
      </c>
      <c r="UQG671" t="str">
        <f>IFERROR(VLOOKUP(UQH671,'[3]Raw material  (3)'!UQF653:UQX3729,3,0),"")</f>
        <v/>
      </c>
      <c r="UQH671" t="str">
        <f>IFERROR(VLOOKUP(UQI671,'[3]Raw material  (3)'!UQG653:UQY3729,3,0),"")</f>
        <v/>
      </c>
      <c r="UQI671" t="str">
        <f>IFERROR(VLOOKUP(UQJ671,'[3]Raw material  (3)'!UQH653:UQZ3729,3,0),"")</f>
        <v/>
      </c>
      <c r="UQJ671" t="str">
        <f>IFERROR(VLOOKUP(UQK671,'[3]Raw material  (3)'!UQI653:URA3729,3,0),"")</f>
        <v/>
      </c>
      <c r="UQK671" t="str">
        <f>IFERROR(VLOOKUP(UQL671,'[3]Raw material  (3)'!UQJ653:URB3729,3,0),"")</f>
        <v/>
      </c>
      <c r="UQL671" t="str">
        <f>IFERROR(VLOOKUP(UQM671,'[3]Raw material  (3)'!UQK653:URC3729,3,0),"")</f>
        <v/>
      </c>
      <c r="UQM671" t="str">
        <f>IFERROR(VLOOKUP(UQN671,'[3]Raw material  (3)'!UQL653:URD3729,3,0),"")</f>
        <v/>
      </c>
      <c r="UQN671" t="str">
        <f>IFERROR(VLOOKUP(UQO671,'[3]Raw material  (3)'!UQM653:URE3729,3,0),"")</f>
        <v/>
      </c>
      <c r="UQO671" t="str">
        <f>IFERROR(VLOOKUP(UQP671,'[3]Raw material  (3)'!UQN653:URF3729,3,0),"")</f>
        <v/>
      </c>
      <c r="UQP671" t="str">
        <f>IFERROR(VLOOKUP(UQQ671,'[3]Raw material  (3)'!UQO653:URG3729,3,0),"")</f>
        <v/>
      </c>
      <c r="UQQ671" t="str">
        <f>IFERROR(VLOOKUP(UQR671,'[3]Raw material  (3)'!UQP653:URH3729,3,0),"")</f>
        <v/>
      </c>
      <c r="UQR671" t="str">
        <f>IFERROR(VLOOKUP(UQS671,'[3]Raw material  (3)'!UQQ653:URI3729,3,0),"")</f>
        <v/>
      </c>
      <c r="UQS671" t="str">
        <f>IFERROR(VLOOKUP(UQT671,'[3]Raw material  (3)'!UQR653:URJ3729,3,0),"")</f>
        <v/>
      </c>
      <c r="UQT671" t="str">
        <f>IFERROR(VLOOKUP(UQU671,'[3]Raw material  (3)'!UQS653:URK3729,3,0),"")</f>
        <v/>
      </c>
      <c r="UQU671" t="str">
        <f>IFERROR(VLOOKUP(UQV671,'[3]Raw material  (3)'!UQT653:URL3729,3,0),"")</f>
        <v/>
      </c>
      <c r="UQV671" t="str">
        <f>IFERROR(VLOOKUP(UQW671,'[3]Raw material  (3)'!UQU653:URM3729,3,0),"")</f>
        <v/>
      </c>
      <c r="UQW671" t="str">
        <f>IFERROR(VLOOKUP(UQX671,'[3]Raw material  (3)'!UQV653:URN3729,3,0),"")</f>
        <v/>
      </c>
      <c r="UQX671" t="str">
        <f>IFERROR(VLOOKUP(UQY671,'[3]Raw material  (3)'!UQW653:URO3729,3,0),"")</f>
        <v/>
      </c>
      <c r="UQY671" t="str">
        <f>IFERROR(VLOOKUP(UQZ671,'[3]Raw material  (3)'!UQX653:URP3729,3,0),"")</f>
        <v/>
      </c>
      <c r="UQZ671" t="str">
        <f>IFERROR(VLOOKUP(URA671,'[3]Raw material  (3)'!UQY653:URQ3729,3,0),"")</f>
        <v/>
      </c>
      <c r="URA671" t="str">
        <f>IFERROR(VLOOKUP(URB671,'[3]Raw material  (3)'!UQZ653:URR3729,3,0),"")</f>
        <v/>
      </c>
      <c r="URB671" t="str">
        <f>IFERROR(VLOOKUP(URC671,'[3]Raw material  (3)'!URA653:URS3729,3,0),"")</f>
        <v/>
      </c>
      <c r="URC671" t="str">
        <f>IFERROR(VLOOKUP(URD671,'[3]Raw material  (3)'!URB653:URT3729,3,0),"")</f>
        <v/>
      </c>
      <c r="URD671" t="str">
        <f>IFERROR(VLOOKUP(URE671,'[3]Raw material  (3)'!URC653:URU3729,3,0),"")</f>
        <v/>
      </c>
      <c r="URE671" t="str">
        <f>IFERROR(VLOOKUP(URF671,'[3]Raw material  (3)'!URD653:URV3729,3,0),"")</f>
        <v/>
      </c>
      <c r="URF671" t="str">
        <f>IFERROR(VLOOKUP(URG671,'[3]Raw material  (3)'!URE653:URW3729,3,0),"")</f>
        <v/>
      </c>
      <c r="URG671" t="str">
        <f>IFERROR(VLOOKUP(URH671,'[3]Raw material  (3)'!URF653:URX3729,3,0),"")</f>
        <v/>
      </c>
      <c r="URH671" t="str">
        <f>IFERROR(VLOOKUP(URI671,'[3]Raw material  (3)'!URG653:URY3729,3,0),"")</f>
        <v/>
      </c>
      <c r="URI671" t="str">
        <f>IFERROR(VLOOKUP(URJ671,'[3]Raw material  (3)'!URH653:URZ3729,3,0),"")</f>
        <v/>
      </c>
      <c r="URJ671" t="str">
        <f>IFERROR(VLOOKUP(URK671,'[3]Raw material  (3)'!URI653:USA3729,3,0),"")</f>
        <v/>
      </c>
      <c r="URK671" t="str">
        <f>IFERROR(VLOOKUP(URL671,'[3]Raw material  (3)'!URJ653:USB3729,3,0),"")</f>
        <v/>
      </c>
      <c r="URL671" t="str">
        <f>IFERROR(VLOOKUP(URM671,'[3]Raw material  (3)'!URK653:USC3729,3,0),"")</f>
        <v/>
      </c>
      <c r="URM671" t="str">
        <f>IFERROR(VLOOKUP(URN671,'[3]Raw material  (3)'!URL653:USD3729,3,0),"")</f>
        <v/>
      </c>
      <c r="URN671" t="str">
        <f>IFERROR(VLOOKUP(URO671,'[3]Raw material  (3)'!URM653:USE3729,3,0),"")</f>
        <v/>
      </c>
      <c r="URO671" t="str">
        <f>IFERROR(VLOOKUP(URP671,'[3]Raw material  (3)'!URN653:USF3729,3,0),"")</f>
        <v/>
      </c>
      <c r="URP671" t="str">
        <f>IFERROR(VLOOKUP(URQ671,'[3]Raw material  (3)'!URO653:USG3729,3,0),"")</f>
        <v/>
      </c>
      <c r="URQ671" t="str">
        <f>IFERROR(VLOOKUP(URR671,'[3]Raw material  (3)'!URP653:USH3729,3,0),"")</f>
        <v/>
      </c>
      <c r="URR671" t="str">
        <f>IFERROR(VLOOKUP(URS671,'[3]Raw material  (3)'!URQ653:USI3729,3,0),"")</f>
        <v/>
      </c>
      <c r="URS671" t="str">
        <f>IFERROR(VLOOKUP(URT671,'[3]Raw material  (3)'!URR653:USJ3729,3,0),"")</f>
        <v/>
      </c>
      <c r="URT671" t="str">
        <f>IFERROR(VLOOKUP(URU671,'[3]Raw material  (3)'!URS653:USK3729,3,0),"")</f>
        <v/>
      </c>
      <c r="URU671" t="str">
        <f>IFERROR(VLOOKUP(URV671,'[3]Raw material  (3)'!URT653:USL3729,3,0),"")</f>
        <v/>
      </c>
      <c r="URV671" t="str">
        <f>IFERROR(VLOOKUP(URW671,'[3]Raw material  (3)'!URU653:USM3729,3,0),"")</f>
        <v/>
      </c>
      <c r="URW671" t="str">
        <f>IFERROR(VLOOKUP(URX671,'[3]Raw material  (3)'!URV653:USN3729,3,0),"")</f>
        <v/>
      </c>
      <c r="URX671" t="str">
        <f>IFERROR(VLOOKUP(URY671,'[3]Raw material  (3)'!URW653:USO3729,3,0),"")</f>
        <v/>
      </c>
      <c r="URY671" t="str">
        <f>IFERROR(VLOOKUP(URZ671,'[3]Raw material  (3)'!URX653:USP3729,3,0),"")</f>
        <v/>
      </c>
      <c r="URZ671" t="str">
        <f>IFERROR(VLOOKUP(USA671,'[3]Raw material  (3)'!URY653:USQ3729,3,0),"")</f>
        <v/>
      </c>
      <c r="USA671" t="str">
        <f>IFERROR(VLOOKUP(USB671,'[3]Raw material  (3)'!URZ653:USR3729,3,0),"")</f>
        <v/>
      </c>
      <c r="USB671" t="str">
        <f>IFERROR(VLOOKUP(USC671,'[3]Raw material  (3)'!USA653:USS3729,3,0),"")</f>
        <v/>
      </c>
      <c r="USC671" t="str">
        <f>IFERROR(VLOOKUP(USD671,'[3]Raw material  (3)'!USB653:UST3729,3,0),"")</f>
        <v/>
      </c>
      <c r="USD671" t="str">
        <f>IFERROR(VLOOKUP(USE671,'[3]Raw material  (3)'!USC653:USU3729,3,0),"")</f>
        <v/>
      </c>
      <c r="USE671" t="str">
        <f>IFERROR(VLOOKUP(USF671,'[3]Raw material  (3)'!USD653:USV3729,3,0),"")</f>
        <v/>
      </c>
      <c r="USF671" t="str">
        <f>IFERROR(VLOOKUP(USG671,'[3]Raw material  (3)'!USE653:USW3729,3,0),"")</f>
        <v/>
      </c>
      <c r="USG671" t="str">
        <f>IFERROR(VLOOKUP(USH671,'[3]Raw material  (3)'!USF653:USX3729,3,0),"")</f>
        <v/>
      </c>
      <c r="USH671" t="str">
        <f>IFERROR(VLOOKUP(USI671,'[3]Raw material  (3)'!USG653:USY3729,3,0),"")</f>
        <v/>
      </c>
      <c r="USI671" t="str">
        <f>IFERROR(VLOOKUP(USJ671,'[3]Raw material  (3)'!USH653:USZ3729,3,0),"")</f>
        <v/>
      </c>
      <c r="USJ671" t="str">
        <f>IFERROR(VLOOKUP(USK671,'[3]Raw material  (3)'!USI653:UTA3729,3,0),"")</f>
        <v/>
      </c>
      <c r="USK671" t="str">
        <f>IFERROR(VLOOKUP(USL671,'[3]Raw material  (3)'!USJ653:UTB3729,3,0),"")</f>
        <v/>
      </c>
      <c r="USL671" t="str">
        <f>IFERROR(VLOOKUP(USM671,'[3]Raw material  (3)'!USK653:UTC3729,3,0),"")</f>
        <v/>
      </c>
      <c r="USM671" t="str">
        <f>IFERROR(VLOOKUP(USN671,'[3]Raw material  (3)'!USL653:UTD3729,3,0),"")</f>
        <v/>
      </c>
      <c r="USN671" t="str">
        <f>IFERROR(VLOOKUP(USO671,'[3]Raw material  (3)'!USM653:UTE3729,3,0),"")</f>
        <v/>
      </c>
      <c r="USO671" t="str">
        <f>IFERROR(VLOOKUP(USP671,'[3]Raw material  (3)'!USN653:UTF3729,3,0),"")</f>
        <v/>
      </c>
      <c r="USP671" t="str">
        <f>IFERROR(VLOOKUP(USQ671,'[3]Raw material  (3)'!USO653:UTG3729,3,0),"")</f>
        <v/>
      </c>
      <c r="USQ671" t="str">
        <f>IFERROR(VLOOKUP(USR671,'[3]Raw material  (3)'!USP653:UTH3729,3,0),"")</f>
        <v/>
      </c>
      <c r="USR671" t="str">
        <f>IFERROR(VLOOKUP(USS671,'[3]Raw material  (3)'!USQ653:UTI3729,3,0),"")</f>
        <v/>
      </c>
      <c r="USS671" t="str">
        <f>IFERROR(VLOOKUP(UST671,'[3]Raw material  (3)'!USR653:UTJ3729,3,0),"")</f>
        <v/>
      </c>
      <c r="UST671" t="str">
        <f>IFERROR(VLOOKUP(USU671,'[3]Raw material  (3)'!USS653:UTK3729,3,0),"")</f>
        <v/>
      </c>
      <c r="USU671" t="str">
        <f>IFERROR(VLOOKUP(USV671,'[3]Raw material  (3)'!UST653:UTL3729,3,0),"")</f>
        <v/>
      </c>
      <c r="USV671" t="str">
        <f>IFERROR(VLOOKUP(USW671,'[3]Raw material  (3)'!USU653:UTM3729,3,0),"")</f>
        <v/>
      </c>
      <c r="USW671" t="str">
        <f>IFERROR(VLOOKUP(USX671,'[3]Raw material  (3)'!USV653:UTN3729,3,0),"")</f>
        <v/>
      </c>
      <c r="USX671" t="str">
        <f>IFERROR(VLOOKUP(USY671,'[3]Raw material  (3)'!USW653:UTO3729,3,0),"")</f>
        <v/>
      </c>
      <c r="USY671" t="str">
        <f>IFERROR(VLOOKUP(USZ671,'[3]Raw material  (3)'!USX653:UTP3729,3,0),"")</f>
        <v/>
      </c>
      <c r="USZ671" t="str">
        <f>IFERROR(VLOOKUP(UTA671,'[3]Raw material  (3)'!USY653:UTQ3729,3,0),"")</f>
        <v/>
      </c>
      <c r="UTA671" t="str">
        <f>IFERROR(VLOOKUP(UTB671,'[3]Raw material  (3)'!USZ653:UTR3729,3,0),"")</f>
        <v/>
      </c>
      <c r="UTB671" t="str">
        <f>IFERROR(VLOOKUP(UTC671,'[3]Raw material  (3)'!UTA653:UTS3729,3,0),"")</f>
        <v/>
      </c>
      <c r="UTC671" t="str">
        <f>IFERROR(VLOOKUP(UTD671,'[3]Raw material  (3)'!UTB653:UTT3729,3,0),"")</f>
        <v/>
      </c>
      <c r="UTD671" t="str">
        <f>IFERROR(VLOOKUP(UTE671,'[3]Raw material  (3)'!UTC653:UTU3729,3,0),"")</f>
        <v/>
      </c>
      <c r="UTE671" t="str">
        <f>IFERROR(VLOOKUP(UTF671,'[3]Raw material  (3)'!UTD653:UTV3729,3,0),"")</f>
        <v/>
      </c>
      <c r="UTF671" t="str">
        <f>IFERROR(VLOOKUP(UTG671,'[3]Raw material  (3)'!UTE653:UTW3729,3,0),"")</f>
        <v/>
      </c>
      <c r="UTG671" t="str">
        <f>IFERROR(VLOOKUP(UTH671,'[3]Raw material  (3)'!UTF653:UTX3729,3,0),"")</f>
        <v/>
      </c>
      <c r="UTH671" t="str">
        <f>IFERROR(VLOOKUP(UTI671,'[3]Raw material  (3)'!UTG653:UTY3729,3,0),"")</f>
        <v/>
      </c>
      <c r="UTI671" t="str">
        <f>IFERROR(VLOOKUP(UTJ671,'[3]Raw material  (3)'!UTH653:UTZ3729,3,0),"")</f>
        <v/>
      </c>
      <c r="UTJ671" t="str">
        <f>IFERROR(VLOOKUP(UTK671,'[3]Raw material  (3)'!UTI653:UUA3729,3,0),"")</f>
        <v/>
      </c>
      <c r="UTK671" t="str">
        <f>IFERROR(VLOOKUP(UTL671,'[3]Raw material  (3)'!UTJ653:UUB3729,3,0),"")</f>
        <v/>
      </c>
      <c r="UTL671" t="str">
        <f>IFERROR(VLOOKUP(UTM671,'[3]Raw material  (3)'!UTK653:UUC3729,3,0),"")</f>
        <v/>
      </c>
      <c r="UTM671" t="str">
        <f>IFERROR(VLOOKUP(UTN671,'[3]Raw material  (3)'!UTL653:UUD3729,3,0),"")</f>
        <v/>
      </c>
      <c r="UTN671" t="str">
        <f>IFERROR(VLOOKUP(UTO671,'[3]Raw material  (3)'!UTM653:UUE3729,3,0),"")</f>
        <v/>
      </c>
      <c r="UTO671" t="str">
        <f>IFERROR(VLOOKUP(UTP671,'[3]Raw material  (3)'!UTN653:UUF3729,3,0),"")</f>
        <v/>
      </c>
      <c r="UTP671" t="str">
        <f>IFERROR(VLOOKUP(UTQ671,'[3]Raw material  (3)'!UTO653:UUG3729,3,0),"")</f>
        <v/>
      </c>
      <c r="UTQ671" t="str">
        <f>IFERROR(VLOOKUP(UTR671,'[3]Raw material  (3)'!UTP653:UUH3729,3,0),"")</f>
        <v/>
      </c>
      <c r="UTR671" t="str">
        <f>IFERROR(VLOOKUP(UTS671,'[3]Raw material  (3)'!UTQ653:UUI3729,3,0),"")</f>
        <v/>
      </c>
      <c r="UTS671" t="str">
        <f>IFERROR(VLOOKUP(UTT671,'[3]Raw material  (3)'!UTR653:UUJ3729,3,0),"")</f>
        <v/>
      </c>
      <c r="UTT671" t="str">
        <f>IFERROR(VLOOKUP(UTU671,'[3]Raw material  (3)'!UTS653:UUK3729,3,0),"")</f>
        <v/>
      </c>
      <c r="UTU671" t="str">
        <f>IFERROR(VLOOKUP(UTV671,'[3]Raw material  (3)'!UTT653:UUL3729,3,0),"")</f>
        <v/>
      </c>
      <c r="UTV671" t="str">
        <f>IFERROR(VLOOKUP(UTW671,'[3]Raw material  (3)'!UTU653:UUM3729,3,0),"")</f>
        <v/>
      </c>
      <c r="UTW671" t="str">
        <f>IFERROR(VLOOKUP(UTX671,'[3]Raw material  (3)'!UTV653:UUN3729,3,0),"")</f>
        <v/>
      </c>
      <c r="UTX671" t="str">
        <f>IFERROR(VLOOKUP(UTY671,'[3]Raw material  (3)'!UTW653:UUO3729,3,0),"")</f>
        <v/>
      </c>
      <c r="UTY671" t="str">
        <f>IFERROR(VLOOKUP(UTZ671,'[3]Raw material  (3)'!UTX653:UUP3729,3,0),"")</f>
        <v/>
      </c>
      <c r="UTZ671" t="str">
        <f>IFERROR(VLOOKUP(UUA671,'[3]Raw material  (3)'!UTY653:UUQ3729,3,0),"")</f>
        <v/>
      </c>
      <c r="UUA671" t="str">
        <f>IFERROR(VLOOKUP(UUB671,'[3]Raw material  (3)'!UTZ653:UUR3729,3,0),"")</f>
        <v/>
      </c>
      <c r="UUB671" t="str">
        <f>IFERROR(VLOOKUP(UUC671,'[3]Raw material  (3)'!UUA653:UUS3729,3,0),"")</f>
        <v/>
      </c>
      <c r="UUC671" t="str">
        <f>IFERROR(VLOOKUP(UUD671,'[3]Raw material  (3)'!UUB653:UUT3729,3,0),"")</f>
        <v/>
      </c>
      <c r="UUD671" t="str">
        <f>IFERROR(VLOOKUP(UUE671,'[3]Raw material  (3)'!UUC653:UUU3729,3,0),"")</f>
        <v/>
      </c>
      <c r="UUE671" t="str">
        <f>IFERROR(VLOOKUP(UUF671,'[3]Raw material  (3)'!UUD653:UUV3729,3,0),"")</f>
        <v/>
      </c>
      <c r="UUF671" t="str">
        <f>IFERROR(VLOOKUP(UUG671,'[3]Raw material  (3)'!UUE653:UUW3729,3,0),"")</f>
        <v/>
      </c>
      <c r="UUG671" t="str">
        <f>IFERROR(VLOOKUP(UUH671,'[3]Raw material  (3)'!UUF653:UUX3729,3,0),"")</f>
        <v/>
      </c>
      <c r="UUH671" t="str">
        <f>IFERROR(VLOOKUP(UUI671,'[3]Raw material  (3)'!UUG653:UUY3729,3,0),"")</f>
        <v/>
      </c>
      <c r="UUI671" t="str">
        <f>IFERROR(VLOOKUP(UUJ671,'[3]Raw material  (3)'!UUH653:UUZ3729,3,0),"")</f>
        <v/>
      </c>
      <c r="UUJ671" t="str">
        <f>IFERROR(VLOOKUP(UUK671,'[3]Raw material  (3)'!UUI653:UVA3729,3,0),"")</f>
        <v/>
      </c>
      <c r="UUK671" t="str">
        <f>IFERROR(VLOOKUP(UUL671,'[3]Raw material  (3)'!UUJ653:UVB3729,3,0),"")</f>
        <v/>
      </c>
      <c r="UUL671" t="str">
        <f>IFERROR(VLOOKUP(UUM671,'[3]Raw material  (3)'!UUK653:UVC3729,3,0),"")</f>
        <v/>
      </c>
      <c r="UUM671" t="str">
        <f>IFERROR(VLOOKUP(UUN671,'[3]Raw material  (3)'!UUL653:UVD3729,3,0),"")</f>
        <v/>
      </c>
      <c r="UUN671" t="str">
        <f>IFERROR(VLOOKUP(UUO671,'[3]Raw material  (3)'!UUM653:UVE3729,3,0),"")</f>
        <v/>
      </c>
      <c r="UUO671" t="str">
        <f>IFERROR(VLOOKUP(UUP671,'[3]Raw material  (3)'!UUN653:UVF3729,3,0),"")</f>
        <v/>
      </c>
      <c r="UUP671" t="str">
        <f>IFERROR(VLOOKUP(UUQ671,'[3]Raw material  (3)'!UUO653:UVG3729,3,0),"")</f>
        <v/>
      </c>
      <c r="UUQ671" t="str">
        <f>IFERROR(VLOOKUP(UUR671,'[3]Raw material  (3)'!UUP653:UVH3729,3,0),"")</f>
        <v/>
      </c>
      <c r="UUR671" t="str">
        <f>IFERROR(VLOOKUP(UUS671,'[3]Raw material  (3)'!UUQ653:UVI3729,3,0),"")</f>
        <v/>
      </c>
      <c r="UUS671" t="str">
        <f>IFERROR(VLOOKUP(UUT671,'[3]Raw material  (3)'!UUR653:UVJ3729,3,0),"")</f>
        <v/>
      </c>
      <c r="UUT671" t="str">
        <f>IFERROR(VLOOKUP(UUU671,'[3]Raw material  (3)'!UUS653:UVK3729,3,0),"")</f>
        <v/>
      </c>
      <c r="UUU671" t="str">
        <f>IFERROR(VLOOKUP(UUV671,'[3]Raw material  (3)'!UUT653:UVL3729,3,0),"")</f>
        <v/>
      </c>
      <c r="UUV671" t="str">
        <f>IFERROR(VLOOKUP(UUW671,'[3]Raw material  (3)'!UUU653:UVM3729,3,0),"")</f>
        <v/>
      </c>
      <c r="UUW671" t="str">
        <f>IFERROR(VLOOKUP(UUX671,'[3]Raw material  (3)'!UUV653:UVN3729,3,0),"")</f>
        <v/>
      </c>
      <c r="UUX671" t="str">
        <f>IFERROR(VLOOKUP(UUY671,'[3]Raw material  (3)'!UUW653:UVO3729,3,0),"")</f>
        <v/>
      </c>
      <c r="UUY671" t="str">
        <f>IFERROR(VLOOKUP(UUZ671,'[3]Raw material  (3)'!UUX653:UVP3729,3,0),"")</f>
        <v/>
      </c>
      <c r="UUZ671" t="str">
        <f>IFERROR(VLOOKUP(UVA671,'[3]Raw material  (3)'!UUY653:UVQ3729,3,0),"")</f>
        <v/>
      </c>
      <c r="UVA671" t="str">
        <f>IFERROR(VLOOKUP(UVB671,'[3]Raw material  (3)'!UUZ653:UVR3729,3,0),"")</f>
        <v/>
      </c>
      <c r="UVB671" t="str">
        <f>IFERROR(VLOOKUP(UVC671,'[3]Raw material  (3)'!UVA653:UVS3729,3,0),"")</f>
        <v/>
      </c>
      <c r="UVC671" t="str">
        <f>IFERROR(VLOOKUP(UVD671,'[3]Raw material  (3)'!UVB653:UVT3729,3,0),"")</f>
        <v/>
      </c>
      <c r="UVD671" t="str">
        <f>IFERROR(VLOOKUP(UVE671,'[3]Raw material  (3)'!UVC653:UVU3729,3,0),"")</f>
        <v/>
      </c>
      <c r="UVE671" t="str">
        <f>IFERROR(VLOOKUP(UVF671,'[3]Raw material  (3)'!UVD653:UVV3729,3,0),"")</f>
        <v/>
      </c>
      <c r="UVF671" t="str">
        <f>IFERROR(VLOOKUP(UVG671,'[3]Raw material  (3)'!UVE653:UVW3729,3,0),"")</f>
        <v/>
      </c>
      <c r="UVG671" t="str">
        <f>IFERROR(VLOOKUP(UVH671,'[3]Raw material  (3)'!UVF653:UVX3729,3,0),"")</f>
        <v/>
      </c>
      <c r="UVH671" t="str">
        <f>IFERROR(VLOOKUP(UVI671,'[3]Raw material  (3)'!UVG653:UVY3729,3,0),"")</f>
        <v/>
      </c>
      <c r="UVI671" t="str">
        <f>IFERROR(VLOOKUP(UVJ671,'[3]Raw material  (3)'!UVH653:UVZ3729,3,0),"")</f>
        <v/>
      </c>
      <c r="UVJ671" t="str">
        <f>IFERROR(VLOOKUP(UVK671,'[3]Raw material  (3)'!UVI653:UWA3729,3,0),"")</f>
        <v/>
      </c>
      <c r="UVK671" t="str">
        <f>IFERROR(VLOOKUP(UVL671,'[3]Raw material  (3)'!UVJ653:UWB3729,3,0),"")</f>
        <v/>
      </c>
      <c r="UVL671" t="str">
        <f>IFERROR(VLOOKUP(UVM671,'[3]Raw material  (3)'!UVK653:UWC3729,3,0),"")</f>
        <v/>
      </c>
      <c r="UVM671" t="str">
        <f>IFERROR(VLOOKUP(UVN671,'[3]Raw material  (3)'!UVL653:UWD3729,3,0),"")</f>
        <v/>
      </c>
      <c r="UVN671" t="str">
        <f>IFERROR(VLOOKUP(UVO671,'[3]Raw material  (3)'!UVM653:UWE3729,3,0),"")</f>
        <v/>
      </c>
      <c r="UVO671" t="str">
        <f>IFERROR(VLOOKUP(UVP671,'[3]Raw material  (3)'!UVN653:UWF3729,3,0),"")</f>
        <v/>
      </c>
      <c r="UVP671" t="str">
        <f>IFERROR(VLOOKUP(UVQ671,'[3]Raw material  (3)'!UVO653:UWG3729,3,0),"")</f>
        <v/>
      </c>
      <c r="UVQ671" t="str">
        <f>IFERROR(VLOOKUP(UVR671,'[3]Raw material  (3)'!UVP653:UWH3729,3,0),"")</f>
        <v/>
      </c>
      <c r="UVR671" t="str">
        <f>IFERROR(VLOOKUP(UVS671,'[3]Raw material  (3)'!UVQ653:UWI3729,3,0),"")</f>
        <v/>
      </c>
      <c r="UVS671" t="str">
        <f>IFERROR(VLOOKUP(UVT671,'[3]Raw material  (3)'!UVR653:UWJ3729,3,0),"")</f>
        <v/>
      </c>
      <c r="UVT671" t="str">
        <f>IFERROR(VLOOKUP(UVU671,'[3]Raw material  (3)'!UVS653:UWK3729,3,0),"")</f>
        <v/>
      </c>
      <c r="UVU671" t="str">
        <f>IFERROR(VLOOKUP(UVV671,'[3]Raw material  (3)'!UVT653:UWL3729,3,0),"")</f>
        <v/>
      </c>
      <c r="UVV671" t="str">
        <f>IFERROR(VLOOKUP(UVW671,'[3]Raw material  (3)'!UVU653:UWM3729,3,0),"")</f>
        <v/>
      </c>
      <c r="UVW671" t="str">
        <f>IFERROR(VLOOKUP(UVX671,'[3]Raw material  (3)'!UVV653:UWN3729,3,0),"")</f>
        <v/>
      </c>
      <c r="UVX671" t="str">
        <f>IFERROR(VLOOKUP(UVY671,'[3]Raw material  (3)'!UVW653:UWO3729,3,0),"")</f>
        <v/>
      </c>
      <c r="UVY671" t="str">
        <f>IFERROR(VLOOKUP(UVZ671,'[3]Raw material  (3)'!UVX653:UWP3729,3,0),"")</f>
        <v/>
      </c>
      <c r="UVZ671" t="str">
        <f>IFERROR(VLOOKUP(UWA671,'[3]Raw material  (3)'!UVY653:UWQ3729,3,0),"")</f>
        <v/>
      </c>
      <c r="UWA671" t="str">
        <f>IFERROR(VLOOKUP(UWB671,'[3]Raw material  (3)'!UVZ653:UWR3729,3,0),"")</f>
        <v/>
      </c>
      <c r="UWB671" t="str">
        <f>IFERROR(VLOOKUP(UWC671,'[3]Raw material  (3)'!UWA653:UWS3729,3,0),"")</f>
        <v/>
      </c>
      <c r="UWC671" t="str">
        <f>IFERROR(VLOOKUP(UWD671,'[3]Raw material  (3)'!UWB653:UWT3729,3,0),"")</f>
        <v/>
      </c>
      <c r="UWD671" t="str">
        <f>IFERROR(VLOOKUP(UWE671,'[3]Raw material  (3)'!UWC653:UWU3729,3,0),"")</f>
        <v/>
      </c>
      <c r="UWE671" t="str">
        <f>IFERROR(VLOOKUP(UWF671,'[3]Raw material  (3)'!UWD653:UWV3729,3,0),"")</f>
        <v/>
      </c>
      <c r="UWF671" t="str">
        <f>IFERROR(VLOOKUP(UWG671,'[3]Raw material  (3)'!UWE653:UWW3729,3,0),"")</f>
        <v/>
      </c>
      <c r="UWG671" t="str">
        <f>IFERROR(VLOOKUP(UWH671,'[3]Raw material  (3)'!UWF653:UWX3729,3,0),"")</f>
        <v/>
      </c>
      <c r="UWH671" t="str">
        <f>IFERROR(VLOOKUP(UWI671,'[3]Raw material  (3)'!UWG653:UWY3729,3,0),"")</f>
        <v/>
      </c>
      <c r="UWI671" t="str">
        <f>IFERROR(VLOOKUP(UWJ671,'[3]Raw material  (3)'!UWH653:UWZ3729,3,0),"")</f>
        <v/>
      </c>
      <c r="UWJ671" t="str">
        <f>IFERROR(VLOOKUP(UWK671,'[3]Raw material  (3)'!UWI653:UXA3729,3,0),"")</f>
        <v/>
      </c>
      <c r="UWK671" t="str">
        <f>IFERROR(VLOOKUP(UWL671,'[3]Raw material  (3)'!UWJ653:UXB3729,3,0),"")</f>
        <v/>
      </c>
      <c r="UWL671" t="str">
        <f>IFERROR(VLOOKUP(UWM671,'[3]Raw material  (3)'!UWK653:UXC3729,3,0),"")</f>
        <v/>
      </c>
      <c r="UWM671" t="str">
        <f>IFERROR(VLOOKUP(UWN671,'[3]Raw material  (3)'!UWL653:UXD3729,3,0),"")</f>
        <v/>
      </c>
      <c r="UWN671" t="str">
        <f>IFERROR(VLOOKUP(UWO671,'[3]Raw material  (3)'!UWM653:UXE3729,3,0),"")</f>
        <v/>
      </c>
      <c r="UWO671" t="str">
        <f>IFERROR(VLOOKUP(UWP671,'[3]Raw material  (3)'!UWN653:UXF3729,3,0),"")</f>
        <v/>
      </c>
      <c r="UWP671" t="str">
        <f>IFERROR(VLOOKUP(UWQ671,'[3]Raw material  (3)'!UWO653:UXG3729,3,0),"")</f>
        <v/>
      </c>
      <c r="UWQ671" t="str">
        <f>IFERROR(VLOOKUP(UWR671,'[3]Raw material  (3)'!UWP653:UXH3729,3,0),"")</f>
        <v/>
      </c>
      <c r="UWR671" t="str">
        <f>IFERROR(VLOOKUP(UWS671,'[3]Raw material  (3)'!UWQ653:UXI3729,3,0),"")</f>
        <v/>
      </c>
      <c r="UWS671" t="str">
        <f>IFERROR(VLOOKUP(UWT671,'[3]Raw material  (3)'!UWR653:UXJ3729,3,0),"")</f>
        <v/>
      </c>
      <c r="UWT671" t="str">
        <f>IFERROR(VLOOKUP(UWU671,'[3]Raw material  (3)'!UWS653:UXK3729,3,0),"")</f>
        <v/>
      </c>
      <c r="UWU671" t="str">
        <f>IFERROR(VLOOKUP(UWV671,'[3]Raw material  (3)'!UWT653:UXL3729,3,0),"")</f>
        <v/>
      </c>
      <c r="UWV671" t="str">
        <f>IFERROR(VLOOKUP(UWW671,'[3]Raw material  (3)'!UWU653:UXM3729,3,0),"")</f>
        <v/>
      </c>
      <c r="UWW671" t="str">
        <f>IFERROR(VLOOKUP(UWX671,'[3]Raw material  (3)'!UWV653:UXN3729,3,0),"")</f>
        <v/>
      </c>
      <c r="UWX671" t="str">
        <f>IFERROR(VLOOKUP(UWY671,'[3]Raw material  (3)'!UWW653:UXO3729,3,0),"")</f>
        <v/>
      </c>
      <c r="UWY671" t="str">
        <f>IFERROR(VLOOKUP(UWZ671,'[3]Raw material  (3)'!UWX653:UXP3729,3,0),"")</f>
        <v/>
      </c>
      <c r="UWZ671" t="str">
        <f>IFERROR(VLOOKUP(UXA671,'[3]Raw material  (3)'!UWY653:UXQ3729,3,0),"")</f>
        <v/>
      </c>
      <c r="UXA671" t="str">
        <f>IFERROR(VLOOKUP(UXB671,'[3]Raw material  (3)'!UWZ653:UXR3729,3,0),"")</f>
        <v/>
      </c>
      <c r="UXB671" t="str">
        <f>IFERROR(VLOOKUP(UXC671,'[3]Raw material  (3)'!UXA653:UXS3729,3,0),"")</f>
        <v/>
      </c>
      <c r="UXC671" t="str">
        <f>IFERROR(VLOOKUP(UXD671,'[3]Raw material  (3)'!UXB653:UXT3729,3,0),"")</f>
        <v/>
      </c>
      <c r="UXD671" t="str">
        <f>IFERROR(VLOOKUP(UXE671,'[3]Raw material  (3)'!UXC653:UXU3729,3,0),"")</f>
        <v/>
      </c>
      <c r="UXE671" t="str">
        <f>IFERROR(VLOOKUP(UXF671,'[3]Raw material  (3)'!UXD653:UXV3729,3,0),"")</f>
        <v/>
      </c>
      <c r="UXF671" t="str">
        <f>IFERROR(VLOOKUP(UXG671,'[3]Raw material  (3)'!UXE653:UXW3729,3,0),"")</f>
        <v/>
      </c>
      <c r="UXG671" t="str">
        <f>IFERROR(VLOOKUP(UXH671,'[3]Raw material  (3)'!UXF653:UXX3729,3,0),"")</f>
        <v/>
      </c>
      <c r="UXH671" t="str">
        <f>IFERROR(VLOOKUP(UXI671,'[3]Raw material  (3)'!UXG653:UXY3729,3,0),"")</f>
        <v/>
      </c>
      <c r="UXI671" t="str">
        <f>IFERROR(VLOOKUP(UXJ671,'[3]Raw material  (3)'!UXH653:UXZ3729,3,0),"")</f>
        <v/>
      </c>
      <c r="UXJ671" t="str">
        <f>IFERROR(VLOOKUP(UXK671,'[3]Raw material  (3)'!UXI653:UYA3729,3,0),"")</f>
        <v/>
      </c>
      <c r="UXK671" t="str">
        <f>IFERROR(VLOOKUP(UXL671,'[3]Raw material  (3)'!UXJ653:UYB3729,3,0),"")</f>
        <v/>
      </c>
      <c r="UXL671" t="str">
        <f>IFERROR(VLOOKUP(UXM671,'[3]Raw material  (3)'!UXK653:UYC3729,3,0),"")</f>
        <v/>
      </c>
      <c r="UXM671" t="str">
        <f>IFERROR(VLOOKUP(UXN671,'[3]Raw material  (3)'!UXL653:UYD3729,3,0),"")</f>
        <v/>
      </c>
      <c r="UXN671" t="str">
        <f>IFERROR(VLOOKUP(UXO671,'[3]Raw material  (3)'!UXM653:UYE3729,3,0),"")</f>
        <v/>
      </c>
      <c r="UXO671" t="str">
        <f>IFERROR(VLOOKUP(UXP671,'[3]Raw material  (3)'!UXN653:UYF3729,3,0),"")</f>
        <v/>
      </c>
      <c r="UXP671" t="str">
        <f>IFERROR(VLOOKUP(UXQ671,'[3]Raw material  (3)'!UXO653:UYG3729,3,0),"")</f>
        <v/>
      </c>
      <c r="UXQ671" t="str">
        <f>IFERROR(VLOOKUP(UXR671,'[3]Raw material  (3)'!UXP653:UYH3729,3,0),"")</f>
        <v/>
      </c>
      <c r="UXR671" t="str">
        <f>IFERROR(VLOOKUP(UXS671,'[3]Raw material  (3)'!UXQ653:UYI3729,3,0),"")</f>
        <v/>
      </c>
      <c r="UXS671" t="str">
        <f>IFERROR(VLOOKUP(UXT671,'[3]Raw material  (3)'!UXR653:UYJ3729,3,0),"")</f>
        <v/>
      </c>
      <c r="UXT671" t="str">
        <f>IFERROR(VLOOKUP(UXU671,'[3]Raw material  (3)'!UXS653:UYK3729,3,0),"")</f>
        <v/>
      </c>
      <c r="UXU671" t="str">
        <f>IFERROR(VLOOKUP(UXV671,'[3]Raw material  (3)'!UXT653:UYL3729,3,0),"")</f>
        <v/>
      </c>
      <c r="UXV671" t="str">
        <f>IFERROR(VLOOKUP(UXW671,'[3]Raw material  (3)'!UXU653:UYM3729,3,0),"")</f>
        <v/>
      </c>
      <c r="UXW671" t="str">
        <f>IFERROR(VLOOKUP(UXX671,'[3]Raw material  (3)'!UXV653:UYN3729,3,0),"")</f>
        <v/>
      </c>
      <c r="UXX671" t="str">
        <f>IFERROR(VLOOKUP(UXY671,'[3]Raw material  (3)'!UXW653:UYO3729,3,0),"")</f>
        <v/>
      </c>
      <c r="UXY671" t="str">
        <f>IFERROR(VLOOKUP(UXZ671,'[3]Raw material  (3)'!UXX653:UYP3729,3,0),"")</f>
        <v/>
      </c>
      <c r="UXZ671" t="str">
        <f>IFERROR(VLOOKUP(UYA671,'[3]Raw material  (3)'!UXY653:UYQ3729,3,0),"")</f>
        <v/>
      </c>
      <c r="UYA671" t="str">
        <f>IFERROR(VLOOKUP(UYB671,'[3]Raw material  (3)'!UXZ653:UYR3729,3,0),"")</f>
        <v/>
      </c>
      <c r="UYB671" t="str">
        <f>IFERROR(VLOOKUP(UYC671,'[3]Raw material  (3)'!UYA653:UYS3729,3,0),"")</f>
        <v/>
      </c>
      <c r="UYC671" t="str">
        <f>IFERROR(VLOOKUP(UYD671,'[3]Raw material  (3)'!UYB653:UYT3729,3,0),"")</f>
        <v/>
      </c>
      <c r="UYD671" t="str">
        <f>IFERROR(VLOOKUP(UYE671,'[3]Raw material  (3)'!UYC653:UYU3729,3,0),"")</f>
        <v/>
      </c>
      <c r="UYE671" t="str">
        <f>IFERROR(VLOOKUP(UYF671,'[3]Raw material  (3)'!UYD653:UYV3729,3,0),"")</f>
        <v/>
      </c>
      <c r="UYF671" t="str">
        <f>IFERROR(VLOOKUP(UYG671,'[3]Raw material  (3)'!UYE653:UYW3729,3,0),"")</f>
        <v/>
      </c>
      <c r="UYG671" t="str">
        <f>IFERROR(VLOOKUP(UYH671,'[3]Raw material  (3)'!UYF653:UYX3729,3,0),"")</f>
        <v/>
      </c>
      <c r="UYH671" t="str">
        <f>IFERROR(VLOOKUP(UYI671,'[3]Raw material  (3)'!UYG653:UYY3729,3,0),"")</f>
        <v/>
      </c>
      <c r="UYI671" t="str">
        <f>IFERROR(VLOOKUP(UYJ671,'[3]Raw material  (3)'!UYH653:UYZ3729,3,0),"")</f>
        <v/>
      </c>
      <c r="UYJ671" t="str">
        <f>IFERROR(VLOOKUP(UYK671,'[3]Raw material  (3)'!UYI653:UZA3729,3,0),"")</f>
        <v/>
      </c>
      <c r="UYK671" t="str">
        <f>IFERROR(VLOOKUP(UYL671,'[3]Raw material  (3)'!UYJ653:UZB3729,3,0),"")</f>
        <v/>
      </c>
      <c r="UYL671" t="str">
        <f>IFERROR(VLOOKUP(UYM671,'[3]Raw material  (3)'!UYK653:UZC3729,3,0),"")</f>
        <v/>
      </c>
      <c r="UYM671" t="str">
        <f>IFERROR(VLOOKUP(UYN671,'[3]Raw material  (3)'!UYL653:UZD3729,3,0),"")</f>
        <v/>
      </c>
      <c r="UYN671" t="str">
        <f>IFERROR(VLOOKUP(UYO671,'[3]Raw material  (3)'!UYM653:UZE3729,3,0),"")</f>
        <v/>
      </c>
      <c r="UYO671" t="str">
        <f>IFERROR(VLOOKUP(UYP671,'[3]Raw material  (3)'!UYN653:UZF3729,3,0),"")</f>
        <v/>
      </c>
      <c r="UYP671" t="str">
        <f>IFERROR(VLOOKUP(UYQ671,'[3]Raw material  (3)'!UYO653:UZG3729,3,0),"")</f>
        <v/>
      </c>
      <c r="UYQ671" t="str">
        <f>IFERROR(VLOOKUP(UYR671,'[3]Raw material  (3)'!UYP653:UZH3729,3,0),"")</f>
        <v/>
      </c>
      <c r="UYR671" t="str">
        <f>IFERROR(VLOOKUP(UYS671,'[3]Raw material  (3)'!UYQ653:UZI3729,3,0),"")</f>
        <v/>
      </c>
      <c r="UYS671" t="str">
        <f>IFERROR(VLOOKUP(UYT671,'[3]Raw material  (3)'!UYR653:UZJ3729,3,0),"")</f>
        <v/>
      </c>
      <c r="UYT671" t="str">
        <f>IFERROR(VLOOKUP(UYU671,'[3]Raw material  (3)'!UYS653:UZK3729,3,0),"")</f>
        <v/>
      </c>
      <c r="UYU671" t="str">
        <f>IFERROR(VLOOKUP(UYV671,'[3]Raw material  (3)'!UYT653:UZL3729,3,0),"")</f>
        <v/>
      </c>
      <c r="UYV671" t="str">
        <f>IFERROR(VLOOKUP(UYW671,'[3]Raw material  (3)'!UYU653:UZM3729,3,0),"")</f>
        <v/>
      </c>
      <c r="UYW671" t="str">
        <f>IFERROR(VLOOKUP(UYX671,'[3]Raw material  (3)'!UYV653:UZN3729,3,0),"")</f>
        <v/>
      </c>
      <c r="UYX671" t="str">
        <f>IFERROR(VLOOKUP(UYY671,'[3]Raw material  (3)'!UYW653:UZO3729,3,0),"")</f>
        <v/>
      </c>
      <c r="UYY671" t="str">
        <f>IFERROR(VLOOKUP(UYZ671,'[3]Raw material  (3)'!UYX653:UZP3729,3,0),"")</f>
        <v/>
      </c>
      <c r="UYZ671" t="str">
        <f>IFERROR(VLOOKUP(UZA671,'[3]Raw material  (3)'!UYY653:UZQ3729,3,0),"")</f>
        <v/>
      </c>
      <c r="UZA671" t="str">
        <f>IFERROR(VLOOKUP(UZB671,'[3]Raw material  (3)'!UYZ653:UZR3729,3,0),"")</f>
        <v/>
      </c>
      <c r="UZB671" t="str">
        <f>IFERROR(VLOOKUP(UZC671,'[3]Raw material  (3)'!UZA653:UZS3729,3,0),"")</f>
        <v/>
      </c>
      <c r="UZC671" t="str">
        <f>IFERROR(VLOOKUP(UZD671,'[3]Raw material  (3)'!UZB653:UZT3729,3,0),"")</f>
        <v/>
      </c>
      <c r="UZD671" t="str">
        <f>IFERROR(VLOOKUP(UZE671,'[3]Raw material  (3)'!UZC653:UZU3729,3,0),"")</f>
        <v/>
      </c>
      <c r="UZE671" t="str">
        <f>IFERROR(VLOOKUP(UZF671,'[3]Raw material  (3)'!UZD653:UZV3729,3,0),"")</f>
        <v/>
      </c>
      <c r="UZF671" t="str">
        <f>IFERROR(VLOOKUP(UZG671,'[3]Raw material  (3)'!UZE653:UZW3729,3,0),"")</f>
        <v/>
      </c>
      <c r="UZG671" t="str">
        <f>IFERROR(VLOOKUP(UZH671,'[3]Raw material  (3)'!UZF653:UZX3729,3,0),"")</f>
        <v/>
      </c>
      <c r="UZH671" t="str">
        <f>IFERROR(VLOOKUP(UZI671,'[3]Raw material  (3)'!UZG653:UZY3729,3,0),"")</f>
        <v/>
      </c>
      <c r="UZI671" t="str">
        <f>IFERROR(VLOOKUP(UZJ671,'[3]Raw material  (3)'!UZH653:UZZ3729,3,0),"")</f>
        <v/>
      </c>
      <c r="UZJ671" t="str">
        <f>IFERROR(VLOOKUP(UZK671,'[3]Raw material  (3)'!UZI653:VAA3729,3,0),"")</f>
        <v/>
      </c>
      <c r="UZK671" t="str">
        <f>IFERROR(VLOOKUP(UZL671,'[3]Raw material  (3)'!UZJ653:VAB3729,3,0),"")</f>
        <v/>
      </c>
      <c r="UZL671" t="str">
        <f>IFERROR(VLOOKUP(UZM671,'[3]Raw material  (3)'!UZK653:VAC3729,3,0),"")</f>
        <v/>
      </c>
      <c r="UZM671" t="str">
        <f>IFERROR(VLOOKUP(UZN671,'[3]Raw material  (3)'!UZL653:VAD3729,3,0),"")</f>
        <v/>
      </c>
      <c r="UZN671" t="str">
        <f>IFERROR(VLOOKUP(UZO671,'[3]Raw material  (3)'!UZM653:VAE3729,3,0),"")</f>
        <v/>
      </c>
      <c r="UZO671" t="str">
        <f>IFERROR(VLOOKUP(UZP671,'[3]Raw material  (3)'!UZN653:VAF3729,3,0),"")</f>
        <v/>
      </c>
      <c r="UZP671" t="str">
        <f>IFERROR(VLOOKUP(UZQ671,'[3]Raw material  (3)'!UZO653:VAG3729,3,0),"")</f>
        <v/>
      </c>
      <c r="UZQ671" t="str">
        <f>IFERROR(VLOOKUP(UZR671,'[3]Raw material  (3)'!UZP653:VAH3729,3,0),"")</f>
        <v/>
      </c>
      <c r="UZR671" t="str">
        <f>IFERROR(VLOOKUP(UZS671,'[3]Raw material  (3)'!UZQ653:VAI3729,3,0),"")</f>
        <v/>
      </c>
      <c r="UZS671" t="str">
        <f>IFERROR(VLOOKUP(UZT671,'[3]Raw material  (3)'!UZR653:VAJ3729,3,0),"")</f>
        <v/>
      </c>
      <c r="UZT671" t="str">
        <f>IFERROR(VLOOKUP(UZU671,'[3]Raw material  (3)'!UZS653:VAK3729,3,0),"")</f>
        <v/>
      </c>
      <c r="UZU671" t="str">
        <f>IFERROR(VLOOKUP(UZV671,'[3]Raw material  (3)'!UZT653:VAL3729,3,0),"")</f>
        <v/>
      </c>
      <c r="UZV671" t="str">
        <f>IFERROR(VLOOKUP(UZW671,'[3]Raw material  (3)'!UZU653:VAM3729,3,0),"")</f>
        <v/>
      </c>
      <c r="UZW671" t="str">
        <f>IFERROR(VLOOKUP(UZX671,'[3]Raw material  (3)'!UZV653:VAN3729,3,0),"")</f>
        <v/>
      </c>
      <c r="UZX671" t="str">
        <f>IFERROR(VLOOKUP(UZY671,'[3]Raw material  (3)'!UZW653:VAO3729,3,0),"")</f>
        <v/>
      </c>
      <c r="UZY671" t="str">
        <f>IFERROR(VLOOKUP(UZZ671,'[3]Raw material  (3)'!UZX653:VAP3729,3,0),"")</f>
        <v/>
      </c>
      <c r="UZZ671" t="str">
        <f>IFERROR(VLOOKUP(VAA671,'[3]Raw material  (3)'!UZY653:VAQ3729,3,0),"")</f>
        <v/>
      </c>
      <c r="VAA671" t="str">
        <f>IFERROR(VLOOKUP(VAB671,'[3]Raw material  (3)'!UZZ653:VAR3729,3,0),"")</f>
        <v/>
      </c>
      <c r="VAB671" t="str">
        <f>IFERROR(VLOOKUP(VAC671,'[3]Raw material  (3)'!VAA653:VAS3729,3,0),"")</f>
        <v/>
      </c>
      <c r="VAC671" t="str">
        <f>IFERROR(VLOOKUP(VAD671,'[3]Raw material  (3)'!VAB653:VAT3729,3,0),"")</f>
        <v/>
      </c>
      <c r="VAD671" t="str">
        <f>IFERROR(VLOOKUP(VAE671,'[3]Raw material  (3)'!VAC653:VAU3729,3,0),"")</f>
        <v/>
      </c>
      <c r="VAE671" t="str">
        <f>IFERROR(VLOOKUP(VAF671,'[3]Raw material  (3)'!VAD653:VAV3729,3,0),"")</f>
        <v/>
      </c>
      <c r="VAF671" t="str">
        <f>IFERROR(VLOOKUP(VAG671,'[3]Raw material  (3)'!VAE653:VAW3729,3,0),"")</f>
        <v/>
      </c>
      <c r="VAG671" t="str">
        <f>IFERROR(VLOOKUP(VAH671,'[3]Raw material  (3)'!VAF653:VAX3729,3,0),"")</f>
        <v/>
      </c>
      <c r="VAH671" t="str">
        <f>IFERROR(VLOOKUP(VAI671,'[3]Raw material  (3)'!VAG653:VAY3729,3,0),"")</f>
        <v/>
      </c>
      <c r="VAI671" t="str">
        <f>IFERROR(VLOOKUP(VAJ671,'[3]Raw material  (3)'!VAH653:VAZ3729,3,0),"")</f>
        <v/>
      </c>
      <c r="VAJ671" t="str">
        <f>IFERROR(VLOOKUP(VAK671,'[3]Raw material  (3)'!VAI653:VBA3729,3,0),"")</f>
        <v/>
      </c>
      <c r="VAK671" t="str">
        <f>IFERROR(VLOOKUP(VAL671,'[3]Raw material  (3)'!VAJ653:VBB3729,3,0),"")</f>
        <v/>
      </c>
      <c r="VAL671" t="str">
        <f>IFERROR(VLOOKUP(VAM671,'[3]Raw material  (3)'!VAK653:VBC3729,3,0),"")</f>
        <v/>
      </c>
      <c r="VAM671" t="str">
        <f>IFERROR(VLOOKUP(VAN671,'[3]Raw material  (3)'!VAL653:VBD3729,3,0),"")</f>
        <v/>
      </c>
      <c r="VAN671" t="str">
        <f>IFERROR(VLOOKUP(VAO671,'[3]Raw material  (3)'!VAM653:VBE3729,3,0),"")</f>
        <v/>
      </c>
      <c r="VAO671" t="str">
        <f>IFERROR(VLOOKUP(VAP671,'[3]Raw material  (3)'!VAN653:VBF3729,3,0),"")</f>
        <v/>
      </c>
      <c r="VAP671" t="str">
        <f>IFERROR(VLOOKUP(VAQ671,'[3]Raw material  (3)'!VAO653:VBG3729,3,0),"")</f>
        <v/>
      </c>
      <c r="VAQ671" t="str">
        <f>IFERROR(VLOOKUP(VAR671,'[3]Raw material  (3)'!VAP653:VBH3729,3,0),"")</f>
        <v/>
      </c>
      <c r="VAR671" t="str">
        <f>IFERROR(VLOOKUP(VAS671,'[3]Raw material  (3)'!VAQ653:VBI3729,3,0),"")</f>
        <v/>
      </c>
      <c r="VAS671" t="str">
        <f>IFERROR(VLOOKUP(VAT671,'[3]Raw material  (3)'!VAR653:VBJ3729,3,0),"")</f>
        <v/>
      </c>
      <c r="VAT671" t="str">
        <f>IFERROR(VLOOKUP(VAU671,'[3]Raw material  (3)'!VAS653:VBK3729,3,0),"")</f>
        <v/>
      </c>
      <c r="VAU671" t="str">
        <f>IFERROR(VLOOKUP(VAV671,'[3]Raw material  (3)'!VAT653:VBL3729,3,0),"")</f>
        <v/>
      </c>
      <c r="VAV671" t="str">
        <f>IFERROR(VLOOKUP(VAW671,'[3]Raw material  (3)'!VAU653:VBM3729,3,0),"")</f>
        <v/>
      </c>
      <c r="VAW671" t="str">
        <f>IFERROR(VLOOKUP(VAX671,'[3]Raw material  (3)'!VAV653:VBN3729,3,0),"")</f>
        <v/>
      </c>
      <c r="VAX671" t="str">
        <f>IFERROR(VLOOKUP(VAY671,'[3]Raw material  (3)'!VAW653:VBO3729,3,0),"")</f>
        <v/>
      </c>
      <c r="VAY671" t="str">
        <f>IFERROR(VLOOKUP(VAZ671,'[3]Raw material  (3)'!VAX653:VBP3729,3,0),"")</f>
        <v/>
      </c>
      <c r="VAZ671" t="str">
        <f>IFERROR(VLOOKUP(VBA671,'[3]Raw material  (3)'!VAY653:VBQ3729,3,0),"")</f>
        <v/>
      </c>
      <c r="VBA671" t="str">
        <f>IFERROR(VLOOKUP(VBB671,'[3]Raw material  (3)'!VAZ653:VBR3729,3,0),"")</f>
        <v/>
      </c>
      <c r="VBB671" t="str">
        <f>IFERROR(VLOOKUP(VBC671,'[3]Raw material  (3)'!VBA653:VBS3729,3,0),"")</f>
        <v/>
      </c>
      <c r="VBC671" t="str">
        <f>IFERROR(VLOOKUP(VBD671,'[3]Raw material  (3)'!VBB653:VBT3729,3,0),"")</f>
        <v/>
      </c>
      <c r="VBD671" t="str">
        <f>IFERROR(VLOOKUP(VBE671,'[3]Raw material  (3)'!VBC653:VBU3729,3,0),"")</f>
        <v/>
      </c>
      <c r="VBE671" t="str">
        <f>IFERROR(VLOOKUP(VBF671,'[3]Raw material  (3)'!VBD653:VBV3729,3,0),"")</f>
        <v/>
      </c>
      <c r="VBF671" t="str">
        <f>IFERROR(VLOOKUP(VBG671,'[3]Raw material  (3)'!VBE653:VBW3729,3,0),"")</f>
        <v/>
      </c>
      <c r="VBG671" t="str">
        <f>IFERROR(VLOOKUP(VBH671,'[3]Raw material  (3)'!VBF653:VBX3729,3,0),"")</f>
        <v/>
      </c>
      <c r="VBH671" t="str">
        <f>IFERROR(VLOOKUP(VBI671,'[3]Raw material  (3)'!VBG653:VBY3729,3,0),"")</f>
        <v/>
      </c>
      <c r="VBI671" t="str">
        <f>IFERROR(VLOOKUP(VBJ671,'[3]Raw material  (3)'!VBH653:VBZ3729,3,0),"")</f>
        <v/>
      </c>
      <c r="VBJ671" t="str">
        <f>IFERROR(VLOOKUP(VBK671,'[3]Raw material  (3)'!VBI653:VCA3729,3,0),"")</f>
        <v/>
      </c>
      <c r="VBK671" t="str">
        <f>IFERROR(VLOOKUP(VBL671,'[3]Raw material  (3)'!VBJ653:VCB3729,3,0),"")</f>
        <v/>
      </c>
      <c r="VBL671" t="str">
        <f>IFERROR(VLOOKUP(VBM671,'[3]Raw material  (3)'!VBK653:VCC3729,3,0),"")</f>
        <v/>
      </c>
      <c r="VBM671" t="str">
        <f>IFERROR(VLOOKUP(VBN671,'[3]Raw material  (3)'!VBL653:VCD3729,3,0),"")</f>
        <v/>
      </c>
      <c r="VBN671" t="str">
        <f>IFERROR(VLOOKUP(VBO671,'[3]Raw material  (3)'!VBM653:VCE3729,3,0),"")</f>
        <v/>
      </c>
      <c r="VBO671" t="str">
        <f>IFERROR(VLOOKUP(VBP671,'[3]Raw material  (3)'!VBN653:VCF3729,3,0),"")</f>
        <v/>
      </c>
      <c r="VBP671" t="str">
        <f>IFERROR(VLOOKUP(VBQ671,'[3]Raw material  (3)'!VBO653:VCG3729,3,0),"")</f>
        <v/>
      </c>
      <c r="VBQ671" t="str">
        <f>IFERROR(VLOOKUP(VBR671,'[3]Raw material  (3)'!VBP653:VCH3729,3,0),"")</f>
        <v/>
      </c>
      <c r="VBR671" t="str">
        <f>IFERROR(VLOOKUP(VBS671,'[3]Raw material  (3)'!VBQ653:VCI3729,3,0),"")</f>
        <v/>
      </c>
      <c r="VBS671" t="str">
        <f>IFERROR(VLOOKUP(VBT671,'[3]Raw material  (3)'!VBR653:VCJ3729,3,0),"")</f>
        <v/>
      </c>
      <c r="VBT671" t="str">
        <f>IFERROR(VLOOKUP(VBU671,'[3]Raw material  (3)'!VBS653:VCK3729,3,0),"")</f>
        <v/>
      </c>
      <c r="VBU671" t="str">
        <f>IFERROR(VLOOKUP(VBV671,'[3]Raw material  (3)'!VBT653:VCL3729,3,0),"")</f>
        <v/>
      </c>
      <c r="VBV671" t="str">
        <f>IFERROR(VLOOKUP(VBW671,'[3]Raw material  (3)'!VBU653:VCM3729,3,0),"")</f>
        <v/>
      </c>
      <c r="VBW671" t="str">
        <f>IFERROR(VLOOKUP(VBX671,'[3]Raw material  (3)'!VBV653:VCN3729,3,0),"")</f>
        <v/>
      </c>
      <c r="VBX671" t="str">
        <f>IFERROR(VLOOKUP(VBY671,'[3]Raw material  (3)'!VBW653:VCO3729,3,0),"")</f>
        <v/>
      </c>
      <c r="VBY671" t="str">
        <f>IFERROR(VLOOKUP(VBZ671,'[3]Raw material  (3)'!VBX653:VCP3729,3,0),"")</f>
        <v/>
      </c>
      <c r="VBZ671" t="str">
        <f>IFERROR(VLOOKUP(VCA671,'[3]Raw material  (3)'!VBY653:VCQ3729,3,0),"")</f>
        <v/>
      </c>
      <c r="VCA671" t="str">
        <f>IFERROR(VLOOKUP(VCB671,'[3]Raw material  (3)'!VBZ653:VCR3729,3,0),"")</f>
        <v/>
      </c>
      <c r="VCB671" t="str">
        <f>IFERROR(VLOOKUP(VCC671,'[3]Raw material  (3)'!VCA653:VCS3729,3,0),"")</f>
        <v/>
      </c>
      <c r="VCC671" t="str">
        <f>IFERROR(VLOOKUP(VCD671,'[3]Raw material  (3)'!VCB653:VCT3729,3,0),"")</f>
        <v/>
      </c>
      <c r="VCD671" t="str">
        <f>IFERROR(VLOOKUP(VCE671,'[3]Raw material  (3)'!VCC653:VCU3729,3,0),"")</f>
        <v/>
      </c>
      <c r="VCE671" t="str">
        <f>IFERROR(VLOOKUP(VCF671,'[3]Raw material  (3)'!VCD653:VCV3729,3,0),"")</f>
        <v/>
      </c>
      <c r="VCF671" t="str">
        <f>IFERROR(VLOOKUP(VCG671,'[3]Raw material  (3)'!VCE653:VCW3729,3,0),"")</f>
        <v/>
      </c>
      <c r="VCG671" t="str">
        <f>IFERROR(VLOOKUP(VCH671,'[3]Raw material  (3)'!VCF653:VCX3729,3,0),"")</f>
        <v/>
      </c>
      <c r="VCH671" t="str">
        <f>IFERROR(VLOOKUP(VCI671,'[3]Raw material  (3)'!VCG653:VCY3729,3,0),"")</f>
        <v/>
      </c>
      <c r="VCI671" t="str">
        <f>IFERROR(VLOOKUP(VCJ671,'[3]Raw material  (3)'!VCH653:VCZ3729,3,0),"")</f>
        <v/>
      </c>
      <c r="VCJ671" t="str">
        <f>IFERROR(VLOOKUP(VCK671,'[3]Raw material  (3)'!VCI653:VDA3729,3,0),"")</f>
        <v/>
      </c>
      <c r="VCK671" t="str">
        <f>IFERROR(VLOOKUP(VCL671,'[3]Raw material  (3)'!VCJ653:VDB3729,3,0),"")</f>
        <v/>
      </c>
      <c r="VCL671" t="str">
        <f>IFERROR(VLOOKUP(VCM671,'[3]Raw material  (3)'!VCK653:VDC3729,3,0),"")</f>
        <v/>
      </c>
      <c r="VCM671" t="str">
        <f>IFERROR(VLOOKUP(VCN671,'[3]Raw material  (3)'!VCL653:VDD3729,3,0),"")</f>
        <v/>
      </c>
      <c r="VCN671" t="str">
        <f>IFERROR(VLOOKUP(VCO671,'[3]Raw material  (3)'!VCM653:VDE3729,3,0),"")</f>
        <v/>
      </c>
      <c r="VCO671" t="str">
        <f>IFERROR(VLOOKUP(VCP671,'[3]Raw material  (3)'!VCN653:VDF3729,3,0),"")</f>
        <v/>
      </c>
      <c r="VCP671" t="str">
        <f>IFERROR(VLOOKUP(VCQ671,'[3]Raw material  (3)'!VCO653:VDG3729,3,0),"")</f>
        <v/>
      </c>
      <c r="VCQ671" t="str">
        <f>IFERROR(VLOOKUP(VCR671,'[3]Raw material  (3)'!VCP653:VDH3729,3,0),"")</f>
        <v/>
      </c>
      <c r="VCR671" t="str">
        <f>IFERROR(VLOOKUP(VCS671,'[3]Raw material  (3)'!VCQ653:VDI3729,3,0),"")</f>
        <v/>
      </c>
      <c r="VCS671" t="str">
        <f>IFERROR(VLOOKUP(VCT671,'[3]Raw material  (3)'!VCR653:VDJ3729,3,0),"")</f>
        <v/>
      </c>
      <c r="VCT671" t="str">
        <f>IFERROR(VLOOKUP(VCU671,'[3]Raw material  (3)'!VCS653:VDK3729,3,0),"")</f>
        <v/>
      </c>
      <c r="VCU671" t="str">
        <f>IFERROR(VLOOKUP(VCV671,'[3]Raw material  (3)'!VCT653:VDL3729,3,0),"")</f>
        <v/>
      </c>
      <c r="VCV671" t="str">
        <f>IFERROR(VLOOKUP(VCW671,'[3]Raw material  (3)'!VCU653:VDM3729,3,0),"")</f>
        <v/>
      </c>
      <c r="VCW671" t="str">
        <f>IFERROR(VLOOKUP(VCX671,'[3]Raw material  (3)'!VCV653:VDN3729,3,0),"")</f>
        <v/>
      </c>
      <c r="VCX671" t="str">
        <f>IFERROR(VLOOKUP(VCY671,'[3]Raw material  (3)'!VCW653:VDO3729,3,0),"")</f>
        <v/>
      </c>
      <c r="VCY671" t="str">
        <f>IFERROR(VLOOKUP(VCZ671,'[3]Raw material  (3)'!VCX653:VDP3729,3,0),"")</f>
        <v/>
      </c>
      <c r="VCZ671" t="str">
        <f>IFERROR(VLOOKUP(VDA671,'[3]Raw material  (3)'!VCY653:VDQ3729,3,0),"")</f>
        <v/>
      </c>
      <c r="VDA671" t="str">
        <f>IFERROR(VLOOKUP(VDB671,'[3]Raw material  (3)'!VCZ653:VDR3729,3,0),"")</f>
        <v/>
      </c>
      <c r="VDB671" t="str">
        <f>IFERROR(VLOOKUP(VDC671,'[3]Raw material  (3)'!VDA653:VDS3729,3,0),"")</f>
        <v/>
      </c>
      <c r="VDC671" t="str">
        <f>IFERROR(VLOOKUP(VDD671,'[3]Raw material  (3)'!VDB653:VDT3729,3,0),"")</f>
        <v/>
      </c>
      <c r="VDD671" t="str">
        <f>IFERROR(VLOOKUP(VDE671,'[3]Raw material  (3)'!VDC653:VDU3729,3,0),"")</f>
        <v/>
      </c>
      <c r="VDE671" t="str">
        <f>IFERROR(VLOOKUP(VDF671,'[3]Raw material  (3)'!VDD653:VDV3729,3,0),"")</f>
        <v/>
      </c>
      <c r="VDF671" t="str">
        <f>IFERROR(VLOOKUP(VDG671,'[3]Raw material  (3)'!VDE653:VDW3729,3,0),"")</f>
        <v/>
      </c>
      <c r="VDG671" t="str">
        <f>IFERROR(VLOOKUP(VDH671,'[3]Raw material  (3)'!VDF653:VDX3729,3,0),"")</f>
        <v/>
      </c>
      <c r="VDH671" t="str">
        <f>IFERROR(VLOOKUP(VDI671,'[3]Raw material  (3)'!VDG653:VDY3729,3,0),"")</f>
        <v/>
      </c>
      <c r="VDI671" t="str">
        <f>IFERROR(VLOOKUP(VDJ671,'[3]Raw material  (3)'!VDH653:VDZ3729,3,0),"")</f>
        <v/>
      </c>
      <c r="VDJ671" t="str">
        <f>IFERROR(VLOOKUP(VDK671,'[3]Raw material  (3)'!VDI653:VEA3729,3,0),"")</f>
        <v/>
      </c>
      <c r="VDK671" t="str">
        <f>IFERROR(VLOOKUP(VDL671,'[3]Raw material  (3)'!VDJ653:VEB3729,3,0),"")</f>
        <v/>
      </c>
      <c r="VDL671" t="str">
        <f>IFERROR(VLOOKUP(VDM671,'[3]Raw material  (3)'!VDK653:VEC3729,3,0),"")</f>
        <v/>
      </c>
      <c r="VDM671" t="str">
        <f>IFERROR(VLOOKUP(VDN671,'[3]Raw material  (3)'!VDL653:VED3729,3,0),"")</f>
        <v/>
      </c>
      <c r="VDN671" t="str">
        <f>IFERROR(VLOOKUP(VDO671,'[3]Raw material  (3)'!VDM653:VEE3729,3,0),"")</f>
        <v/>
      </c>
      <c r="VDO671" t="str">
        <f>IFERROR(VLOOKUP(VDP671,'[3]Raw material  (3)'!VDN653:VEF3729,3,0),"")</f>
        <v/>
      </c>
      <c r="VDP671" t="str">
        <f>IFERROR(VLOOKUP(VDQ671,'[3]Raw material  (3)'!VDO653:VEG3729,3,0),"")</f>
        <v/>
      </c>
      <c r="VDQ671" t="str">
        <f>IFERROR(VLOOKUP(VDR671,'[3]Raw material  (3)'!VDP653:VEH3729,3,0),"")</f>
        <v/>
      </c>
      <c r="VDR671" t="str">
        <f>IFERROR(VLOOKUP(VDS671,'[3]Raw material  (3)'!VDQ653:VEI3729,3,0),"")</f>
        <v/>
      </c>
      <c r="VDS671" t="str">
        <f>IFERROR(VLOOKUP(VDT671,'[3]Raw material  (3)'!VDR653:VEJ3729,3,0),"")</f>
        <v/>
      </c>
      <c r="VDT671" t="str">
        <f>IFERROR(VLOOKUP(VDU671,'[3]Raw material  (3)'!VDS653:VEK3729,3,0),"")</f>
        <v/>
      </c>
      <c r="VDU671" t="str">
        <f>IFERROR(VLOOKUP(VDV671,'[3]Raw material  (3)'!VDT653:VEL3729,3,0),"")</f>
        <v/>
      </c>
      <c r="VDV671" t="str">
        <f>IFERROR(VLOOKUP(VDW671,'[3]Raw material  (3)'!VDU653:VEM3729,3,0),"")</f>
        <v/>
      </c>
      <c r="VDW671" t="str">
        <f>IFERROR(VLOOKUP(VDX671,'[3]Raw material  (3)'!VDV653:VEN3729,3,0),"")</f>
        <v/>
      </c>
      <c r="VDX671" t="str">
        <f>IFERROR(VLOOKUP(VDY671,'[3]Raw material  (3)'!VDW653:VEO3729,3,0),"")</f>
        <v/>
      </c>
      <c r="VDY671" t="str">
        <f>IFERROR(VLOOKUP(VDZ671,'[3]Raw material  (3)'!VDX653:VEP3729,3,0),"")</f>
        <v/>
      </c>
      <c r="VDZ671" t="str">
        <f>IFERROR(VLOOKUP(VEA671,'[3]Raw material  (3)'!VDY653:VEQ3729,3,0),"")</f>
        <v/>
      </c>
      <c r="VEA671" t="str">
        <f>IFERROR(VLOOKUP(VEB671,'[3]Raw material  (3)'!VDZ653:VER3729,3,0),"")</f>
        <v/>
      </c>
      <c r="VEB671" t="str">
        <f>IFERROR(VLOOKUP(VEC671,'[3]Raw material  (3)'!VEA653:VES3729,3,0),"")</f>
        <v/>
      </c>
      <c r="VEC671" t="str">
        <f>IFERROR(VLOOKUP(VED671,'[3]Raw material  (3)'!VEB653:VET3729,3,0),"")</f>
        <v/>
      </c>
      <c r="VED671" t="str">
        <f>IFERROR(VLOOKUP(VEE671,'[3]Raw material  (3)'!VEC653:VEU3729,3,0),"")</f>
        <v/>
      </c>
      <c r="VEE671" t="str">
        <f>IFERROR(VLOOKUP(VEF671,'[3]Raw material  (3)'!VED653:VEV3729,3,0),"")</f>
        <v/>
      </c>
      <c r="VEF671" t="str">
        <f>IFERROR(VLOOKUP(VEG671,'[3]Raw material  (3)'!VEE653:VEW3729,3,0),"")</f>
        <v/>
      </c>
      <c r="VEG671" t="str">
        <f>IFERROR(VLOOKUP(VEH671,'[3]Raw material  (3)'!VEF653:VEX3729,3,0),"")</f>
        <v/>
      </c>
      <c r="VEH671" t="str">
        <f>IFERROR(VLOOKUP(VEI671,'[3]Raw material  (3)'!VEG653:VEY3729,3,0),"")</f>
        <v/>
      </c>
      <c r="VEI671" t="str">
        <f>IFERROR(VLOOKUP(VEJ671,'[3]Raw material  (3)'!VEH653:VEZ3729,3,0),"")</f>
        <v/>
      </c>
      <c r="VEJ671" t="str">
        <f>IFERROR(VLOOKUP(VEK671,'[3]Raw material  (3)'!VEI653:VFA3729,3,0),"")</f>
        <v/>
      </c>
      <c r="VEK671" t="str">
        <f>IFERROR(VLOOKUP(VEL671,'[3]Raw material  (3)'!VEJ653:VFB3729,3,0),"")</f>
        <v/>
      </c>
      <c r="VEL671" t="str">
        <f>IFERROR(VLOOKUP(VEM671,'[3]Raw material  (3)'!VEK653:VFC3729,3,0),"")</f>
        <v/>
      </c>
      <c r="VEM671" t="str">
        <f>IFERROR(VLOOKUP(VEN671,'[3]Raw material  (3)'!VEL653:VFD3729,3,0),"")</f>
        <v/>
      </c>
      <c r="VEN671" t="str">
        <f>IFERROR(VLOOKUP(VEO671,'[3]Raw material  (3)'!VEM653:VFE3729,3,0),"")</f>
        <v/>
      </c>
      <c r="VEO671" t="str">
        <f>IFERROR(VLOOKUP(VEP671,'[3]Raw material  (3)'!VEN653:VFF3729,3,0),"")</f>
        <v/>
      </c>
      <c r="VEP671" t="str">
        <f>IFERROR(VLOOKUP(VEQ671,'[3]Raw material  (3)'!VEO653:VFG3729,3,0),"")</f>
        <v/>
      </c>
      <c r="VEQ671" t="str">
        <f>IFERROR(VLOOKUP(VER671,'[3]Raw material  (3)'!VEP653:VFH3729,3,0),"")</f>
        <v/>
      </c>
      <c r="VER671" t="str">
        <f>IFERROR(VLOOKUP(VES671,'[3]Raw material  (3)'!VEQ653:VFI3729,3,0),"")</f>
        <v/>
      </c>
      <c r="VES671" t="str">
        <f>IFERROR(VLOOKUP(VET671,'[3]Raw material  (3)'!VER653:VFJ3729,3,0),"")</f>
        <v/>
      </c>
      <c r="VET671" t="str">
        <f>IFERROR(VLOOKUP(VEU671,'[3]Raw material  (3)'!VES653:VFK3729,3,0),"")</f>
        <v/>
      </c>
      <c r="VEU671" t="str">
        <f>IFERROR(VLOOKUP(VEV671,'[3]Raw material  (3)'!VET653:VFL3729,3,0),"")</f>
        <v/>
      </c>
      <c r="VEV671" t="str">
        <f>IFERROR(VLOOKUP(VEW671,'[3]Raw material  (3)'!VEU653:VFM3729,3,0),"")</f>
        <v/>
      </c>
      <c r="VEW671" t="str">
        <f>IFERROR(VLOOKUP(VEX671,'[3]Raw material  (3)'!VEV653:VFN3729,3,0),"")</f>
        <v/>
      </c>
      <c r="VEX671" t="str">
        <f>IFERROR(VLOOKUP(VEY671,'[3]Raw material  (3)'!VEW653:VFO3729,3,0),"")</f>
        <v/>
      </c>
      <c r="VEY671" t="str">
        <f>IFERROR(VLOOKUP(VEZ671,'[3]Raw material  (3)'!VEX653:VFP3729,3,0),"")</f>
        <v/>
      </c>
      <c r="VEZ671" t="str">
        <f>IFERROR(VLOOKUP(VFA671,'[3]Raw material  (3)'!VEY653:VFQ3729,3,0),"")</f>
        <v/>
      </c>
      <c r="VFA671" t="str">
        <f>IFERROR(VLOOKUP(VFB671,'[3]Raw material  (3)'!VEZ653:VFR3729,3,0),"")</f>
        <v/>
      </c>
      <c r="VFB671" t="str">
        <f>IFERROR(VLOOKUP(VFC671,'[3]Raw material  (3)'!VFA653:VFS3729,3,0),"")</f>
        <v/>
      </c>
      <c r="VFC671" t="str">
        <f>IFERROR(VLOOKUP(VFD671,'[3]Raw material  (3)'!VFB653:VFT3729,3,0),"")</f>
        <v/>
      </c>
      <c r="VFD671" t="str">
        <f>IFERROR(VLOOKUP(VFE671,'[3]Raw material  (3)'!VFC653:VFU3729,3,0),"")</f>
        <v/>
      </c>
      <c r="VFE671" t="str">
        <f>IFERROR(VLOOKUP(VFF671,'[3]Raw material  (3)'!VFD653:VFV3729,3,0),"")</f>
        <v/>
      </c>
      <c r="VFF671" t="str">
        <f>IFERROR(VLOOKUP(VFG671,'[3]Raw material  (3)'!VFE653:VFW3729,3,0),"")</f>
        <v/>
      </c>
      <c r="VFG671" t="str">
        <f>IFERROR(VLOOKUP(VFH671,'[3]Raw material  (3)'!VFF653:VFX3729,3,0),"")</f>
        <v/>
      </c>
      <c r="VFH671" t="str">
        <f>IFERROR(VLOOKUP(VFI671,'[3]Raw material  (3)'!VFG653:VFY3729,3,0),"")</f>
        <v/>
      </c>
      <c r="VFI671" t="str">
        <f>IFERROR(VLOOKUP(VFJ671,'[3]Raw material  (3)'!VFH653:VFZ3729,3,0),"")</f>
        <v/>
      </c>
      <c r="VFJ671" t="str">
        <f>IFERROR(VLOOKUP(VFK671,'[3]Raw material  (3)'!VFI653:VGA3729,3,0),"")</f>
        <v/>
      </c>
      <c r="VFK671" t="str">
        <f>IFERROR(VLOOKUP(VFL671,'[3]Raw material  (3)'!VFJ653:VGB3729,3,0),"")</f>
        <v/>
      </c>
      <c r="VFL671" t="str">
        <f>IFERROR(VLOOKUP(VFM671,'[3]Raw material  (3)'!VFK653:VGC3729,3,0),"")</f>
        <v/>
      </c>
      <c r="VFM671" t="str">
        <f>IFERROR(VLOOKUP(VFN671,'[3]Raw material  (3)'!VFL653:VGD3729,3,0),"")</f>
        <v/>
      </c>
      <c r="VFN671" t="str">
        <f>IFERROR(VLOOKUP(VFO671,'[3]Raw material  (3)'!VFM653:VGE3729,3,0),"")</f>
        <v/>
      </c>
      <c r="VFO671" t="str">
        <f>IFERROR(VLOOKUP(VFP671,'[3]Raw material  (3)'!VFN653:VGF3729,3,0),"")</f>
        <v/>
      </c>
      <c r="VFP671" t="str">
        <f>IFERROR(VLOOKUP(VFQ671,'[3]Raw material  (3)'!VFO653:VGG3729,3,0),"")</f>
        <v/>
      </c>
      <c r="VFQ671" t="str">
        <f>IFERROR(VLOOKUP(VFR671,'[3]Raw material  (3)'!VFP653:VGH3729,3,0),"")</f>
        <v/>
      </c>
      <c r="VFR671" t="str">
        <f>IFERROR(VLOOKUP(VFS671,'[3]Raw material  (3)'!VFQ653:VGI3729,3,0),"")</f>
        <v/>
      </c>
      <c r="VFS671" t="str">
        <f>IFERROR(VLOOKUP(VFT671,'[3]Raw material  (3)'!VFR653:VGJ3729,3,0),"")</f>
        <v/>
      </c>
      <c r="VFT671" t="str">
        <f>IFERROR(VLOOKUP(VFU671,'[3]Raw material  (3)'!VFS653:VGK3729,3,0),"")</f>
        <v/>
      </c>
      <c r="VFU671" t="str">
        <f>IFERROR(VLOOKUP(VFV671,'[3]Raw material  (3)'!VFT653:VGL3729,3,0),"")</f>
        <v/>
      </c>
      <c r="VFV671" t="str">
        <f>IFERROR(VLOOKUP(VFW671,'[3]Raw material  (3)'!VFU653:VGM3729,3,0),"")</f>
        <v/>
      </c>
      <c r="VFW671" t="str">
        <f>IFERROR(VLOOKUP(VFX671,'[3]Raw material  (3)'!VFV653:VGN3729,3,0),"")</f>
        <v/>
      </c>
      <c r="VFX671" t="str">
        <f>IFERROR(VLOOKUP(VFY671,'[3]Raw material  (3)'!VFW653:VGO3729,3,0),"")</f>
        <v/>
      </c>
      <c r="VFY671" t="str">
        <f>IFERROR(VLOOKUP(VFZ671,'[3]Raw material  (3)'!VFX653:VGP3729,3,0),"")</f>
        <v/>
      </c>
      <c r="VFZ671" t="str">
        <f>IFERROR(VLOOKUP(VGA671,'[3]Raw material  (3)'!VFY653:VGQ3729,3,0),"")</f>
        <v/>
      </c>
      <c r="VGA671" t="str">
        <f>IFERROR(VLOOKUP(VGB671,'[3]Raw material  (3)'!VFZ653:VGR3729,3,0),"")</f>
        <v/>
      </c>
      <c r="VGB671" t="str">
        <f>IFERROR(VLOOKUP(VGC671,'[3]Raw material  (3)'!VGA653:VGS3729,3,0),"")</f>
        <v/>
      </c>
      <c r="VGC671" t="str">
        <f>IFERROR(VLOOKUP(VGD671,'[3]Raw material  (3)'!VGB653:VGT3729,3,0),"")</f>
        <v/>
      </c>
      <c r="VGD671" t="str">
        <f>IFERROR(VLOOKUP(VGE671,'[3]Raw material  (3)'!VGC653:VGU3729,3,0),"")</f>
        <v/>
      </c>
      <c r="VGE671" t="str">
        <f>IFERROR(VLOOKUP(VGF671,'[3]Raw material  (3)'!VGD653:VGV3729,3,0),"")</f>
        <v/>
      </c>
      <c r="VGF671" t="str">
        <f>IFERROR(VLOOKUP(VGG671,'[3]Raw material  (3)'!VGE653:VGW3729,3,0),"")</f>
        <v/>
      </c>
      <c r="VGG671" t="str">
        <f>IFERROR(VLOOKUP(VGH671,'[3]Raw material  (3)'!VGF653:VGX3729,3,0),"")</f>
        <v/>
      </c>
      <c r="VGH671" t="str">
        <f>IFERROR(VLOOKUP(VGI671,'[3]Raw material  (3)'!VGG653:VGY3729,3,0),"")</f>
        <v/>
      </c>
      <c r="VGI671" t="str">
        <f>IFERROR(VLOOKUP(VGJ671,'[3]Raw material  (3)'!VGH653:VGZ3729,3,0),"")</f>
        <v/>
      </c>
      <c r="VGJ671" t="str">
        <f>IFERROR(VLOOKUP(VGK671,'[3]Raw material  (3)'!VGI653:VHA3729,3,0),"")</f>
        <v/>
      </c>
      <c r="VGK671" t="str">
        <f>IFERROR(VLOOKUP(VGL671,'[3]Raw material  (3)'!VGJ653:VHB3729,3,0),"")</f>
        <v/>
      </c>
      <c r="VGL671" t="str">
        <f>IFERROR(VLOOKUP(VGM671,'[3]Raw material  (3)'!VGK653:VHC3729,3,0),"")</f>
        <v/>
      </c>
      <c r="VGM671" t="str">
        <f>IFERROR(VLOOKUP(VGN671,'[3]Raw material  (3)'!VGL653:VHD3729,3,0),"")</f>
        <v/>
      </c>
      <c r="VGN671" t="str">
        <f>IFERROR(VLOOKUP(VGO671,'[3]Raw material  (3)'!VGM653:VHE3729,3,0),"")</f>
        <v/>
      </c>
      <c r="VGO671" t="str">
        <f>IFERROR(VLOOKUP(VGP671,'[3]Raw material  (3)'!VGN653:VHF3729,3,0),"")</f>
        <v/>
      </c>
      <c r="VGP671" t="str">
        <f>IFERROR(VLOOKUP(VGQ671,'[3]Raw material  (3)'!VGO653:VHG3729,3,0),"")</f>
        <v/>
      </c>
      <c r="VGQ671" t="str">
        <f>IFERROR(VLOOKUP(VGR671,'[3]Raw material  (3)'!VGP653:VHH3729,3,0),"")</f>
        <v/>
      </c>
      <c r="VGR671" t="str">
        <f>IFERROR(VLOOKUP(VGS671,'[3]Raw material  (3)'!VGQ653:VHI3729,3,0),"")</f>
        <v/>
      </c>
      <c r="VGS671" t="str">
        <f>IFERROR(VLOOKUP(VGT671,'[3]Raw material  (3)'!VGR653:VHJ3729,3,0),"")</f>
        <v/>
      </c>
      <c r="VGT671" t="str">
        <f>IFERROR(VLOOKUP(VGU671,'[3]Raw material  (3)'!VGS653:VHK3729,3,0),"")</f>
        <v/>
      </c>
      <c r="VGU671" t="str">
        <f>IFERROR(VLOOKUP(VGV671,'[3]Raw material  (3)'!VGT653:VHL3729,3,0),"")</f>
        <v/>
      </c>
      <c r="VGV671" t="str">
        <f>IFERROR(VLOOKUP(VGW671,'[3]Raw material  (3)'!VGU653:VHM3729,3,0),"")</f>
        <v/>
      </c>
      <c r="VGW671" t="str">
        <f>IFERROR(VLOOKUP(VGX671,'[3]Raw material  (3)'!VGV653:VHN3729,3,0),"")</f>
        <v/>
      </c>
      <c r="VGX671" t="str">
        <f>IFERROR(VLOOKUP(VGY671,'[3]Raw material  (3)'!VGW653:VHO3729,3,0),"")</f>
        <v/>
      </c>
      <c r="VGY671" t="str">
        <f>IFERROR(VLOOKUP(VGZ671,'[3]Raw material  (3)'!VGX653:VHP3729,3,0),"")</f>
        <v/>
      </c>
      <c r="VGZ671" t="str">
        <f>IFERROR(VLOOKUP(VHA671,'[3]Raw material  (3)'!VGY653:VHQ3729,3,0),"")</f>
        <v/>
      </c>
      <c r="VHA671" t="str">
        <f>IFERROR(VLOOKUP(VHB671,'[3]Raw material  (3)'!VGZ653:VHR3729,3,0),"")</f>
        <v/>
      </c>
      <c r="VHB671" t="str">
        <f>IFERROR(VLOOKUP(VHC671,'[3]Raw material  (3)'!VHA653:VHS3729,3,0),"")</f>
        <v/>
      </c>
      <c r="VHC671" t="str">
        <f>IFERROR(VLOOKUP(VHD671,'[3]Raw material  (3)'!VHB653:VHT3729,3,0),"")</f>
        <v/>
      </c>
      <c r="VHD671" t="str">
        <f>IFERROR(VLOOKUP(VHE671,'[3]Raw material  (3)'!VHC653:VHU3729,3,0),"")</f>
        <v/>
      </c>
      <c r="VHE671" t="str">
        <f>IFERROR(VLOOKUP(VHF671,'[3]Raw material  (3)'!VHD653:VHV3729,3,0),"")</f>
        <v/>
      </c>
      <c r="VHF671" t="str">
        <f>IFERROR(VLOOKUP(VHG671,'[3]Raw material  (3)'!VHE653:VHW3729,3,0),"")</f>
        <v/>
      </c>
      <c r="VHG671" t="str">
        <f>IFERROR(VLOOKUP(VHH671,'[3]Raw material  (3)'!VHF653:VHX3729,3,0),"")</f>
        <v/>
      </c>
      <c r="VHH671" t="str">
        <f>IFERROR(VLOOKUP(VHI671,'[3]Raw material  (3)'!VHG653:VHY3729,3,0),"")</f>
        <v/>
      </c>
      <c r="VHI671" t="str">
        <f>IFERROR(VLOOKUP(VHJ671,'[3]Raw material  (3)'!VHH653:VHZ3729,3,0),"")</f>
        <v/>
      </c>
      <c r="VHJ671" t="str">
        <f>IFERROR(VLOOKUP(VHK671,'[3]Raw material  (3)'!VHI653:VIA3729,3,0),"")</f>
        <v/>
      </c>
      <c r="VHK671" t="str">
        <f>IFERROR(VLOOKUP(VHL671,'[3]Raw material  (3)'!VHJ653:VIB3729,3,0),"")</f>
        <v/>
      </c>
      <c r="VHL671" t="str">
        <f>IFERROR(VLOOKUP(VHM671,'[3]Raw material  (3)'!VHK653:VIC3729,3,0),"")</f>
        <v/>
      </c>
      <c r="VHM671" t="str">
        <f>IFERROR(VLOOKUP(VHN671,'[3]Raw material  (3)'!VHL653:VID3729,3,0),"")</f>
        <v/>
      </c>
      <c r="VHN671" t="str">
        <f>IFERROR(VLOOKUP(VHO671,'[3]Raw material  (3)'!VHM653:VIE3729,3,0),"")</f>
        <v/>
      </c>
      <c r="VHO671" t="str">
        <f>IFERROR(VLOOKUP(VHP671,'[3]Raw material  (3)'!VHN653:VIF3729,3,0),"")</f>
        <v/>
      </c>
      <c r="VHP671" t="str">
        <f>IFERROR(VLOOKUP(VHQ671,'[3]Raw material  (3)'!VHO653:VIG3729,3,0),"")</f>
        <v/>
      </c>
      <c r="VHQ671" t="str">
        <f>IFERROR(VLOOKUP(VHR671,'[3]Raw material  (3)'!VHP653:VIH3729,3,0),"")</f>
        <v/>
      </c>
      <c r="VHR671" t="str">
        <f>IFERROR(VLOOKUP(VHS671,'[3]Raw material  (3)'!VHQ653:VII3729,3,0),"")</f>
        <v/>
      </c>
      <c r="VHS671" t="str">
        <f>IFERROR(VLOOKUP(VHT671,'[3]Raw material  (3)'!VHR653:VIJ3729,3,0),"")</f>
        <v/>
      </c>
      <c r="VHT671" t="str">
        <f>IFERROR(VLOOKUP(VHU671,'[3]Raw material  (3)'!VHS653:VIK3729,3,0),"")</f>
        <v/>
      </c>
      <c r="VHU671" t="str">
        <f>IFERROR(VLOOKUP(VHV671,'[3]Raw material  (3)'!VHT653:VIL3729,3,0),"")</f>
        <v/>
      </c>
      <c r="VHV671" t="str">
        <f>IFERROR(VLOOKUP(VHW671,'[3]Raw material  (3)'!VHU653:VIM3729,3,0),"")</f>
        <v/>
      </c>
      <c r="VHW671" t="str">
        <f>IFERROR(VLOOKUP(VHX671,'[3]Raw material  (3)'!VHV653:VIN3729,3,0),"")</f>
        <v/>
      </c>
      <c r="VHX671" t="str">
        <f>IFERROR(VLOOKUP(VHY671,'[3]Raw material  (3)'!VHW653:VIO3729,3,0),"")</f>
        <v/>
      </c>
      <c r="VHY671" t="str">
        <f>IFERROR(VLOOKUP(VHZ671,'[3]Raw material  (3)'!VHX653:VIP3729,3,0),"")</f>
        <v/>
      </c>
      <c r="VHZ671" t="str">
        <f>IFERROR(VLOOKUP(VIA671,'[3]Raw material  (3)'!VHY653:VIQ3729,3,0),"")</f>
        <v/>
      </c>
      <c r="VIA671" t="str">
        <f>IFERROR(VLOOKUP(VIB671,'[3]Raw material  (3)'!VHZ653:VIR3729,3,0),"")</f>
        <v/>
      </c>
      <c r="VIB671" t="str">
        <f>IFERROR(VLOOKUP(VIC671,'[3]Raw material  (3)'!VIA653:VIS3729,3,0),"")</f>
        <v/>
      </c>
      <c r="VIC671" t="str">
        <f>IFERROR(VLOOKUP(VID671,'[3]Raw material  (3)'!VIB653:VIT3729,3,0),"")</f>
        <v/>
      </c>
      <c r="VID671" t="str">
        <f>IFERROR(VLOOKUP(VIE671,'[3]Raw material  (3)'!VIC653:VIU3729,3,0),"")</f>
        <v/>
      </c>
      <c r="VIE671" t="str">
        <f>IFERROR(VLOOKUP(VIF671,'[3]Raw material  (3)'!VID653:VIV3729,3,0),"")</f>
        <v/>
      </c>
      <c r="VIF671" t="str">
        <f>IFERROR(VLOOKUP(VIG671,'[3]Raw material  (3)'!VIE653:VIW3729,3,0),"")</f>
        <v/>
      </c>
      <c r="VIG671" t="str">
        <f>IFERROR(VLOOKUP(VIH671,'[3]Raw material  (3)'!VIF653:VIX3729,3,0),"")</f>
        <v/>
      </c>
      <c r="VIH671" t="str">
        <f>IFERROR(VLOOKUP(VII671,'[3]Raw material  (3)'!VIG653:VIY3729,3,0),"")</f>
        <v/>
      </c>
      <c r="VII671" t="str">
        <f>IFERROR(VLOOKUP(VIJ671,'[3]Raw material  (3)'!VIH653:VIZ3729,3,0),"")</f>
        <v/>
      </c>
      <c r="VIJ671" t="str">
        <f>IFERROR(VLOOKUP(VIK671,'[3]Raw material  (3)'!VII653:VJA3729,3,0),"")</f>
        <v/>
      </c>
      <c r="VIK671" t="str">
        <f>IFERROR(VLOOKUP(VIL671,'[3]Raw material  (3)'!VIJ653:VJB3729,3,0),"")</f>
        <v/>
      </c>
      <c r="VIL671" t="str">
        <f>IFERROR(VLOOKUP(VIM671,'[3]Raw material  (3)'!VIK653:VJC3729,3,0),"")</f>
        <v/>
      </c>
      <c r="VIM671" t="str">
        <f>IFERROR(VLOOKUP(VIN671,'[3]Raw material  (3)'!VIL653:VJD3729,3,0),"")</f>
        <v/>
      </c>
      <c r="VIN671" t="str">
        <f>IFERROR(VLOOKUP(VIO671,'[3]Raw material  (3)'!VIM653:VJE3729,3,0),"")</f>
        <v/>
      </c>
      <c r="VIO671" t="str">
        <f>IFERROR(VLOOKUP(VIP671,'[3]Raw material  (3)'!VIN653:VJF3729,3,0),"")</f>
        <v/>
      </c>
      <c r="VIP671" t="str">
        <f>IFERROR(VLOOKUP(VIQ671,'[3]Raw material  (3)'!VIO653:VJG3729,3,0),"")</f>
        <v/>
      </c>
      <c r="VIQ671" t="str">
        <f>IFERROR(VLOOKUP(VIR671,'[3]Raw material  (3)'!VIP653:VJH3729,3,0),"")</f>
        <v/>
      </c>
      <c r="VIR671" t="str">
        <f>IFERROR(VLOOKUP(VIS671,'[3]Raw material  (3)'!VIQ653:VJI3729,3,0),"")</f>
        <v/>
      </c>
      <c r="VIS671" t="str">
        <f>IFERROR(VLOOKUP(VIT671,'[3]Raw material  (3)'!VIR653:VJJ3729,3,0),"")</f>
        <v/>
      </c>
      <c r="VIT671" t="str">
        <f>IFERROR(VLOOKUP(VIU671,'[3]Raw material  (3)'!VIS653:VJK3729,3,0),"")</f>
        <v/>
      </c>
      <c r="VIU671" t="str">
        <f>IFERROR(VLOOKUP(VIV671,'[3]Raw material  (3)'!VIT653:VJL3729,3,0),"")</f>
        <v/>
      </c>
      <c r="VIV671" t="str">
        <f>IFERROR(VLOOKUP(VIW671,'[3]Raw material  (3)'!VIU653:VJM3729,3,0),"")</f>
        <v/>
      </c>
      <c r="VIW671" t="str">
        <f>IFERROR(VLOOKUP(VIX671,'[3]Raw material  (3)'!VIV653:VJN3729,3,0),"")</f>
        <v/>
      </c>
      <c r="VIX671" t="str">
        <f>IFERROR(VLOOKUP(VIY671,'[3]Raw material  (3)'!VIW653:VJO3729,3,0),"")</f>
        <v/>
      </c>
      <c r="VIY671" t="str">
        <f>IFERROR(VLOOKUP(VIZ671,'[3]Raw material  (3)'!VIX653:VJP3729,3,0),"")</f>
        <v/>
      </c>
      <c r="VIZ671" t="str">
        <f>IFERROR(VLOOKUP(VJA671,'[3]Raw material  (3)'!VIY653:VJQ3729,3,0),"")</f>
        <v/>
      </c>
      <c r="VJA671" t="str">
        <f>IFERROR(VLOOKUP(VJB671,'[3]Raw material  (3)'!VIZ653:VJR3729,3,0),"")</f>
        <v/>
      </c>
      <c r="VJB671" t="str">
        <f>IFERROR(VLOOKUP(VJC671,'[3]Raw material  (3)'!VJA653:VJS3729,3,0),"")</f>
        <v/>
      </c>
      <c r="VJC671" t="str">
        <f>IFERROR(VLOOKUP(VJD671,'[3]Raw material  (3)'!VJB653:VJT3729,3,0),"")</f>
        <v/>
      </c>
      <c r="VJD671" t="str">
        <f>IFERROR(VLOOKUP(VJE671,'[3]Raw material  (3)'!VJC653:VJU3729,3,0),"")</f>
        <v/>
      </c>
      <c r="VJE671" t="str">
        <f>IFERROR(VLOOKUP(VJF671,'[3]Raw material  (3)'!VJD653:VJV3729,3,0),"")</f>
        <v/>
      </c>
      <c r="VJF671" t="str">
        <f>IFERROR(VLOOKUP(VJG671,'[3]Raw material  (3)'!VJE653:VJW3729,3,0),"")</f>
        <v/>
      </c>
      <c r="VJG671" t="str">
        <f>IFERROR(VLOOKUP(VJH671,'[3]Raw material  (3)'!VJF653:VJX3729,3,0),"")</f>
        <v/>
      </c>
      <c r="VJH671" t="str">
        <f>IFERROR(VLOOKUP(VJI671,'[3]Raw material  (3)'!VJG653:VJY3729,3,0),"")</f>
        <v/>
      </c>
      <c r="VJI671" t="str">
        <f>IFERROR(VLOOKUP(VJJ671,'[3]Raw material  (3)'!VJH653:VJZ3729,3,0),"")</f>
        <v/>
      </c>
      <c r="VJJ671" t="str">
        <f>IFERROR(VLOOKUP(VJK671,'[3]Raw material  (3)'!VJI653:VKA3729,3,0),"")</f>
        <v/>
      </c>
      <c r="VJK671" t="str">
        <f>IFERROR(VLOOKUP(VJL671,'[3]Raw material  (3)'!VJJ653:VKB3729,3,0),"")</f>
        <v/>
      </c>
      <c r="VJL671" t="str">
        <f>IFERROR(VLOOKUP(VJM671,'[3]Raw material  (3)'!VJK653:VKC3729,3,0),"")</f>
        <v/>
      </c>
      <c r="VJM671" t="str">
        <f>IFERROR(VLOOKUP(VJN671,'[3]Raw material  (3)'!VJL653:VKD3729,3,0),"")</f>
        <v/>
      </c>
      <c r="VJN671" t="str">
        <f>IFERROR(VLOOKUP(VJO671,'[3]Raw material  (3)'!VJM653:VKE3729,3,0),"")</f>
        <v/>
      </c>
      <c r="VJO671" t="str">
        <f>IFERROR(VLOOKUP(VJP671,'[3]Raw material  (3)'!VJN653:VKF3729,3,0),"")</f>
        <v/>
      </c>
      <c r="VJP671" t="str">
        <f>IFERROR(VLOOKUP(VJQ671,'[3]Raw material  (3)'!VJO653:VKG3729,3,0),"")</f>
        <v/>
      </c>
      <c r="VJQ671" t="str">
        <f>IFERROR(VLOOKUP(VJR671,'[3]Raw material  (3)'!VJP653:VKH3729,3,0),"")</f>
        <v/>
      </c>
      <c r="VJR671" t="str">
        <f>IFERROR(VLOOKUP(VJS671,'[3]Raw material  (3)'!VJQ653:VKI3729,3,0),"")</f>
        <v/>
      </c>
      <c r="VJS671" t="str">
        <f>IFERROR(VLOOKUP(VJT671,'[3]Raw material  (3)'!VJR653:VKJ3729,3,0),"")</f>
        <v/>
      </c>
      <c r="VJT671" t="str">
        <f>IFERROR(VLOOKUP(VJU671,'[3]Raw material  (3)'!VJS653:VKK3729,3,0),"")</f>
        <v/>
      </c>
      <c r="VJU671" t="str">
        <f>IFERROR(VLOOKUP(VJV671,'[3]Raw material  (3)'!VJT653:VKL3729,3,0),"")</f>
        <v/>
      </c>
      <c r="VJV671" t="str">
        <f>IFERROR(VLOOKUP(VJW671,'[3]Raw material  (3)'!VJU653:VKM3729,3,0),"")</f>
        <v/>
      </c>
      <c r="VJW671" t="str">
        <f>IFERROR(VLOOKUP(VJX671,'[3]Raw material  (3)'!VJV653:VKN3729,3,0),"")</f>
        <v/>
      </c>
      <c r="VJX671" t="str">
        <f>IFERROR(VLOOKUP(VJY671,'[3]Raw material  (3)'!VJW653:VKO3729,3,0),"")</f>
        <v/>
      </c>
      <c r="VJY671" t="str">
        <f>IFERROR(VLOOKUP(VJZ671,'[3]Raw material  (3)'!VJX653:VKP3729,3,0),"")</f>
        <v/>
      </c>
      <c r="VJZ671" t="str">
        <f>IFERROR(VLOOKUP(VKA671,'[3]Raw material  (3)'!VJY653:VKQ3729,3,0),"")</f>
        <v/>
      </c>
      <c r="VKA671" t="str">
        <f>IFERROR(VLOOKUP(VKB671,'[3]Raw material  (3)'!VJZ653:VKR3729,3,0),"")</f>
        <v/>
      </c>
      <c r="VKB671" t="str">
        <f>IFERROR(VLOOKUP(VKC671,'[3]Raw material  (3)'!VKA653:VKS3729,3,0),"")</f>
        <v/>
      </c>
      <c r="VKC671" t="str">
        <f>IFERROR(VLOOKUP(VKD671,'[3]Raw material  (3)'!VKB653:VKT3729,3,0),"")</f>
        <v/>
      </c>
      <c r="VKD671" t="str">
        <f>IFERROR(VLOOKUP(VKE671,'[3]Raw material  (3)'!VKC653:VKU3729,3,0),"")</f>
        <v/>
      </c>
      <c r="VKE671" t="str">
        <f>IFERROR(VLOOKUP(VKF671,'[3]Raw material  (3)'!VKD653:VKV3729,3,0),"")</f>
        <v/>
      </c>
      <c r="VKF671" t="str">
        <f>IFERROR(VLOOKUP(VKG671,'[3]Raw material  (3)'!VKE653:VKW3729,3,0),"")</f>
        <v/>
      </c>
      <c r="VKG671" t="str">
        <f>IFERROR(VLOOKUP(VKH671,'[3]Raw material  (3)'!VKF653:VKX3729,3,0),"")</f>
        <v/>
      </c>
      <c r="VKH671" t="str">
        <f>IFERROR(VLOOKUP(VKI671,'[3]Raw material  (3)'!VKG653:VKY3729,3,0),"")</f>
        <v/>
      </c>
      <c r="VKI671" t="str">
        <f>IFERROR(VLOOKUP(VKJ671,'[3]Raw material  (3)'!VKH653:VKZ3729,3,0),"")</f>
        <v/>
      </c>
      <c r="VKJ671" t="str">
        <f>IFERROR(VLOOKUP(VKK671,'[3]Raw material  (3)'!VKI653:VLA3729,3,0),"")</f>
        <v/>
      </c>
      <c r="VKK671" t="str">
        <f>IFERROR(VLOOKUP(VKL671,'[3]Raw material  (3)'!VKJ653:VLB3729,3,0),"")</f>
        <v/>
      </c>
      <c r="VKL671" t="str">
        <f>IFERROR(VLOOKUP(VKM671,'[3]Raw material  (3)'!VKK653:VLC3729,3,0),"")</f>
        <v/>
      </c>
      <c r="VKM671" t="str">
        <f>IFERROR(VLOOKUP(VKN671,'[3]Raw material  (3)'!VKL653:VLD3729,3,0),"")</f>
        <v/>
      </c>
      <c r="VKN671" t="str">
        <f>IFERROR(VLOOKUP(VKO671,'[3]Raw material  (3)'!VKM653:VLE3729,3,0),"")</f>
        <v/>
      </c>
      <c r="VKO671" t="str">
        <f>IFERROR(VLOOKUP(VKP671,'[3]Raw material  (3)'!VKN653:VLF3729,3,0),"")</f>
        <v/>
      </c>
      <c r="VKP671" t="str">
        <f>IFERROR(VLOOKUP(VKQ671,'[3]Raw material  (3)'!VKO653:VLG3729,3,0),"")</f>
        <v/>
      </c>
      <c r="VKQ671" t="str">
        <f>IFERROR(VLOOKUP(VKR671,'[3]Raw material  (3)'!VKP653:VLH3729,3,0),"")</f>
        <v/>
      </c>
      <c r="VKR671" t="str">
        <f>IFERROR(VLOOKUP(VKS671,'[3]Raw material  (3)'!VKQ653:VLI3729,3,0),"")</f>
        <v/>
      </c>
      <c r="VKS671" t="str">
        <f>IFERROR(VLOOKUP(VKT671,'[3]Raw material  (3)'!VKR653:VLJ3729,3,0),"")</f>
        <v/>
      </c>
      <c r="VKT671" t="str">
        <f>IFERROR(VLOOKUP(VKU671,'[3]Raw material  (3)'!VKS653:VLK3729,3,0),"")</f>
        <v/>
      </c>
      <c r="VKU671" t="str">
        <f>IFERROR(VLOOKUP(VKV671,'[3]Raw material  (3)'!VKT653:VLL3729,3,0),"")</f>
        <v/>
      </c>
      <c r="VKV671" t="str">
        <f>IFERROR(VLOOKUP(VKW671,'[3]Raw material  (3)'!VKU653:VLM3729,3,0),"")</f>
        <v/>
      </c>
      <c r="VKW671" t="str">
        <f>IFERROR(VLOOKUP(VKX671,'[3]Raw material  (3)'!VKV653:VLN3729,3,0),"")</f>
        <v/>
      </c>
      <c r="VKX671" t="str">
        <f>IFERROR(VLOOKUP(VKY671,'[3]Raw material  (3)'!VKW653:VLO3729,3,0),"")</f>
        <v/>
      </c>
      <c r="VKY671" t="str">
        <f>IFERROR(VLOOKUP(VKZ671,'[3]Raw material  (3)'!VKX653:VLP3729,3,0),"")</f>
        <v/>
      </c>
      <c r="VKZ671" t="str">
        <f>IFERROR(VLOOKUP(VLA671,'[3]Raw material  (3)'!VKY653:VLQ3729,3,0),"")</f>
        <v/>
      </c>
      <c r="VLA671" t="str">
        <f>IFERROR(VLOOKUP(VLB671,'[3]Raw material  (3)'!VKZ653:VLR3729,3,0),"")</f>
        <v/>
      </c>
      <c r="VLB671" t="str">
        <f>IFERROR(VLOOKUP(VLC671,'[3]Raw material  (3)'!VLA653:VLS3729,3,0),"")</f>
        <v/>
      </c>
      <c r="VLC671" t="str">
        <f>IFERROR(VLOOKUP(VLD671,'[3]Raw material  (3)'!VLB653:VLT3729,3,0),"")</f>
        <v/>
      </c>
      <c r="VLD671" t="str">
        <f>IFERROR(VLOOKUP(VLE671,'[3]Raw material  (3)'!VLC653:VLU3729,3,0),"")</f>
        <v/>
      </c>
      <c r="VLE671" t="str">
        <f>IFERROR(VLOOKUP(VLF671,'[3]Raw material  (3)'!VLD653:VLV3729,3,0),"")</f>
        <v/>
      </c>
      <c r="VLF671" t="str">
        <f>IFERROR(VLOOKUP(VLG671,'[3]Raw material  (3)'!VLE653:VLW3729,3,0),"")</f>
        <v/>
      </c>
      <c r="VLG671" t="str">
        <f>IFERROR(VLOOKUP(VLH671,'[3]Raw material  (3)'!VLF653:VLX3729,3,0),"")</f>
        <v/>
      </c>
      <c r="VLH671" t="str">
        <f>IFERROR(VLOOKUP(VLI671,'[3]Raw material  (3)'!VLG653:VLY3729,3,0),"")</f>
        <v/>
      </c>
      <c r="VLI671" t="str">
        <f>IFERROR(VLOOKUP(VLJ671,'[3]Raw material  (3)'!VLH653:VLZ3729,3,0),"")</f>
        <v/>
      </c>
      <c r="VLJ671" t="str">
        <f>IFERROR(VLOOKUP(VLK671,'[3]Raw material  (3)'!VLI653:VMA3729,3,0),"")</f>
        <v/>
      </c>
      <c r="VLK671" t="str">
        <f>IFERROR(VLOOKUP(VLL671,'[3]Raw material  (3)'!VLJ653:VMB3729,3,0),"")</f>
        <v/>
      </c>
      <c r="VLL671" t="str">
        <f>IFERROR(VLOOKUP(VLM671,'[3]Raw material  (3)'!VLK653:VMC3729,3,0),"")</f>
        <v/>
      </c>
      <c r="VLM671" t="str">
        <f>IFERROR(VLOOKUP(VLN671,'[3]Raw material  (3)'!VLL653:VMD3729,3,0),"")</f>
        <v/>
      </c>
      <c r="VLN671" t="str">
        <f>IFERROR(VLOOKUP(VLO671,'[3]Raw material  (3)'!VLM653:VME3729,3,0),"")</f>
        <v/>
      </c>
      <c r="VLO671" t="str">
        <f>IFERROR(VLOOKUP(VLP671,'[3]Raw material  (3)'!VLN653:VMF3729,3,0),"")</f>
        <v/>
      </c>
      <c r="VLP671" t="str">
        <f>IFERROR(VLOOKUP(VLQ671,'[3]Raw material  (3)'!VLO653:VMG3729,3,0),"")</f>
        <v/>
      </c>
      <c r="VLQ671" t="str">
        <f>IFERROR(VLOOKUP(VLR671,'[3]Raw material  (3)'!VLP653:VMH3729,3,0),"")</f>
        <v/>
      </c>
      <c r="VLR671" t="str">
        <f>IFERROR(VLOOKUP(VLS671,'[3]Raw material  (3)'!VLQ653:VMI3729,3,0),"")</f>
        <v/>
      </c>
      <c r="VLS671" t="str">
        <f>IFERROR(VLOOKUP(VLT671,'[3]Raw material  (3)'!VLR653:VMJ3729,3,0),"")</f>
        <v/>
      </c>
      <c r="VLT671" t="str">
        <f>IFERROR(VLOOKUP(VLU671,'[3]Raw material  (3)'!VLS653:VMK3729,3,0),"")</f>
        <v/>
      </c>
      <c r="VLU671" t="str">
        <f>IFERROR(VLOOKUP(VLV671,'[3]Raw material  (3)'!VLT653:VML3729,3,0),"")</f>
        <v/>
      </c>
      <c r="VLV671" t="str">
        <f>IFERROR(VLOOKUP(VLW671,'[3]Raw material  (3)'!VLU653:VMM3729,3,0),"")</f>
        <v/>
      </c>
      <c r="VLW671" t="str">
        <f>IFERROR(VLOOKUP(VLX671,'[3]Raw material  (3)'!VLV653:VMN3729,3,0),"")</f>
        <v/>
      </c>
      <c r="VLX671" t="str">
        <f>IFERROR(VLOOKUP(VLY671,'[3]Raw material  (3)'!VLW653:VMO3729,3,0),"")</f>
        <v/>
      </c>
      <c r="VLY671" t="str">
        <f>IFERROR(VLOOKUP(VLZ671,'[3]Raw material  (3)'!VLX653:VMP3729,3,0),"")</f>
        <v/>
      </c>
      <c r="VLZ671" t="str">
        <f>IFERROR(VLOOKUP(VMA671,'[3]Raw material  (3)'!VLY653:VMQ3729,3,0),"")</f>
        <v/>
      </c>
      <c r="VMA671" t="str">
        <f>IFERROR(VLOOKUP(VMB671,'[3]Raw material  (3)'!VLZ653:VMR3729,3,0),"")</f>
        <v/>
      </c>
      <c r="VMB671" t="str">
        <f>IFERROR(VLOOKUP(VMC671,'[3]Raw material  (3)'!VMA653:VMS3729,3,0),"")</f>
        <v/>
      </c>
      <c r="VMC671" t="str">
        <f>IFERROR(VLOOKUP(VMD671,'[3]Raw material  (3)'!VMB653:VMT3729,3,0),"")</f>
        <v/>
      </c>
      <c r="VMD671" t="str">
        <f>IFERROR(VLOOKUP(VME671,'[3]Raw material  (3)'!VMC653:VMU3729,3,0),"")</f>
        <v/>
      </c>
      <c r="VME671" t="str">
        <f>IFERROR(VLOOKUP(VMF671,'[3]Raw material  (3)'!VMD653:VMV3729,3,0),"")</f>
        <v/>
      </c>
      <c r="VMF671" t="str">
        <f>IFERROR(VLOOKUP(VMG671,'[3]Raw material  (3)'!VME653:VMW3729,3,0),"")</f>
        <v/>
      </c>
      <c r="VMG671" t="str">
        <f>IFERROR(VLOOKUP(VMH671,'[3]Raw material  (3)'!VMF653:VMX3729,3,0),"")</f>
        <v/>
      </c>
      <c r="VMH671" t="str">
        <f>IFERROR(VLOOKUP(VMI671,'[3]Raw material  (3)'!VMG653:VMY3729,3,0),"")</f>
        <v/>
      </c>
      <c r="VMI671" t="str">
        <f>IFERROR(VLOOKUP(VMJ671,'[3]Raw material  (3)'!VMH653:VMZ3729,3,0),"")</f>
        <v/>
      </c>
      <c r="VMJ671" t="str">
        <f>IFERROR(VLOOKUP(VMK671,'[3]Raw material  (3)'!VMI653:VNA3729,3,0),"")</f>
        <v/>
      </c>
      <c r="VMK671" t="str">
        <f>IFERROR(VLOOKUP(VML671,'[3]Raw material  (3)'!VMJ653:VNB3729,3,0),"")</f>
        <v/>
      </c>
      <c r="VML671" t="str">
        <f>IFERROR(VLOOKUP(VMM671,'[3]Raw material  (3)'!VMK653:VNC3729,3,0),"")</f>
        <v/>
      </c>
      <c r="VMM671" t="str">
        <f>IFERROR(VLOOKUP(VMN671,'[3]Raw material  (3)'!VML653:VND3729,3,0),"")</f>
        <v/>
      </c>
      <c r="VMN671" t="str">
        <f>IFERROR(VLOOKUP(VMO671,'[3]Raw material  (3)'!VMM653:VNE3729,3,0),"")</f>
        <v/>
      </c>
      <c r="VMO671" t="str">
        <f>IFERROR(VLOOKUP(VMP671,'[3]Raw material  (3)'!VMN653:VNF3729,3,0),"")</f>
        <v/>
      </c>
      <c r="VMP671" t="str">
        <f>IFERROR(VLOOKUP(VMQ671,'[3]Raw material  (3)'!VMO653:VNG3729,3,0),"")</f>
        <v/>
      </c>
      <c r="VMQ671" t="str">
        <f>IFERROR(VLOOKUP(VMR671,'[3]Raw material  (3)'!VMP653:VNH3729,3,0),"")</f>
        <v/>
      </c>
      <c r="VMR671" t="str">
        <f>IFERROR(VLOOKUP(VMS671,'[3]Raw material  (3)'!VMQ653:VNI3729,3,0),"")</f>
        <v/>
      </c>
      <c r="VMS671" t="str">
        <f>IFERROR(VLOOKUP(VMT671,'[3]Raw material  (3)'!VMR653:VNJ3729,3,0),"")</f>
        <v/>
      </c>
      <c r="VMT671" t="str">
        <f>IFERROR(VLOOKUP(VMU671,'[3]Raw material  (3)'!VMS653:VNK3729,3,0),"")</f>
        <v/>
      </c>
      <c r="VMU671" t="str">
        <f>IFERROR(VLOOKUP(VMV671,'[3]Raw material  (3)'!VMT653:VNL3729,3,0),"")</f>
        <v/>
      </c>
      <c r="VMV671" t="str">
        <f>IFERROR(VLOOKUP(VMW671,'[3]Raw material  (3)'!VMU653:VNM3729,3,0),"")</f>
        <v/>
      </c>
      <c r="VMW671" t="str">
        <f>IFERROR(VLOOKUP(VMX671,'[3]Raw material  (3)'!VMV653:VNN3729,3,0),"")</f>
        <v/>
      </c>
      <c r="VMX671" t="str">
        <f>IFERROR(VLOOKUP(VMY671,'[3]Raw material  (3)'!VMW653:VNO3729,3,0),"")</f>
        <v/>
      </c>
      <c r="VMY671" t="str">
        <f>IFERROR(VLOOKUP(VMZ671,'[3]Raw material  (3)'!VMX653:VNP3729,3,0),"")</f>
        <v/>
      </c>
      <c r="VMZ671" t="str">
        <f>IFERROR(VLOOKUP(VNA671,'[3]Raw material  (3)'!VMY653:VNQ3729,3,0),"")</f>
        <v/>
      </c>
      <c r="VNA671" t="str">
        <f>IFERROR(VLOOKUP(VNB671,'[3]Raw material  (3)'!VMZ653:VNR3729,3,0),"")</f>
        <v/>
      </c>
      <c r="VNB671" t="str">
        <f>IFERROR(VLOOKUP(VNC671,'[3]Raw material  (3)'!VNA653:VNS3729,3,0),"")</f>
        <v/>
      </c>
      <c r="VNC671" t="str">
        <f>IFERROR(VLOOKUP(VND671,'[3]Raw material  (3)'!VNB653:VNT3729,3,0),"")</f>
        <v/>
      </c>
      <c r="VND671" t="str">
        <f>IFERROR(VLOOKUP(VNE671,'[3]Raw material  (3)'!VNC653:VNU3729,3,0),"")</f>
        <v/>
      </c>
      <c r="VNE671" t="str">
        <f>IFERROR(VLOOKUP(VNF671,'[3]Raw material  (3)'!VND653:VNV3729,3,0),"")</f>
        <v/>
      </c>
      <c r="VNF671" t="str">
        <f>IFERROR(VLOOKUP(VNG671,'[3]Raw material  (3)'!VNE653:VNW3729,3,0),"")</f>
        <v/>
      </c>
      <c r="VNG671" t="str">
        <f>IFERROR(VLOOKUP(VNH671,'[3]Raw material  (3)'!VNF653:VNX3729,3,0),"")</f>
        <v/>
      </c>
      <c r="VNH671" t="str">
        <f>IFERROR(VLOOKUP(VNI671,'[3]Raw material  (3)'!VNG653:VNY3729,3,0),"")</f>
        <v/>
      </c>
      <c r="VNI671" t="str">
        <f>IFERROR(VLOOKUP(VNJ671,'[3]Raw material  (3)'!VNH653:VNZ3729,3,0),"")</f>
        <v/>
      </c>
      <c r="VNJ671" t="str">
        <f>IFERROR(VLOOKUP(VNK671,'[3]Raw material  (3)'!VNI653:VOA3729,3,0),"")</f>
        <v/>
      </c>
      <c r="VNK671" t="str">
        <f>IFERROR(VLOOKUP(VNL671,'[3]Raw material  (3)'!VNJ653:VOB3729,3,0),"")</f>
        <v/>
      </c>
      <c r="VNL671" t="str">
        <f>IFERROR(VLOOKUP(VNM671,'[3]Raw material  (3)'!VNK653:VOC3729,3,0),"")</f>
        <v/>
      </c>
      <c r="VNM671" t="str">
        <f>IFERROR(VLOOKUP(VNN671,'[3]Raw material  (3)'!VNL653:VOD3729,3,0),"")</f>
        <v/>
      </c>
      <c r="VNN671" t="str">
        <f>IFERROR(VLOOKUP(VNO671,'[3]Raw material  (3)'!VNM653:VOE3729,3,0),"")</f>
        <v/>
      </c>
      <c r="VNO671" t="str">
        <f>IFERROR(VLOOKUP(VNP671,'[3]Raw material  (3)'!VNN653:VOF3729,3,0),"")</f>
        <v/>
      </c>
      <c r="VNP671" t="str">
        <f>IFERROR(VLOOKUP(VNQ671,'[3]Raw material  (3)'!VNO653:VOG3729,3,0),"")</f>
        <v/>
      </c>
      <c r="VNQ671" t="str">
        <f>IFERROR(VLOOKUP(VNR671,'[3]Raw material  (3)'!VNP653:VOH3729,3,0),"")</f>
        <v/>
      </c>
      <c r="VNR671" t="str">
        <f>IFERROR(VLOOKUP(VNS671,'[3]Raw material  (3)'!VNQ653:VOI3729,3,0),"")</f>
        <v/>
      </c>
      <c r="VNS671" t="str">
        <f>IFERROR(VLOOKUP(VNT671,'[3]Raw material  (3)'!VNR653:VOJ3729,3,0),"")</f>
        <v/>
      </c>
      <c r="VNT671" t="str">
        <f>IFERROR(VLOOKUP(VNU671,'[3]Raw material  (3)'!VNS653:VOK3729,3,0),"")</f>
        <v/>
      </c>
      <c r="VNU671" t="str">
        <f>IFERROR(VLOOKUP(VNV671,'[3]Raw material  (3)'!VNT653:VOL3729,3,0),"")</f>
        <v/>
      </c>
      <c r="VNV671" t="str">
        <f>IFERROR(VLOOKUP(VNW671,'[3]Raw material  (3)'!VNU653:VOM3729,3,0),"")</f>
        <v/>
      </c>
      <c r="VNW671" t="str">
        <f>IFERROR(VLOOKUP(VNX671,'[3]Raw material  (3)'!VNV653:VON3729,3,0),"")</f>
        <v/>
      </c>
      <c r="VNX671" t="str">
        <f>IFERROR(VLOOKUP(VNY671,'[3]Raw material  (3)'!VNW653:VOO3729,3,0),"")</f>
        <v/>
      </c>
      <c r="VNY671" t="str">
        <f>IFERROR(VLOOKUP(VNZ671,'[3]Raw material  (3)'!VNX653:VOP3729,3,0),"")</f>
        <v/>
      </c>
      <c r="VNZ671" t="str">
        <f>IFERROR(VLOOKUP(VOA671,'[3]Raw material  (3)'!VNY653:VOQ3729,3,0),"")</f>
        <v/>
      </c>
      <c r="VOA671" t="str">
        <f>IFERROR(VLOOKUP(VOB671,'[3]Raw material  (3)'!VNZ653:VOR3729,3,0),"")</f>
        <v/>
      </c>
      <c r="VOB671" t="str">
        <f>IFERROR(VLOOKUP(VOC671,'[3]Raw material  (3)'!VOA653:VOS3729,3,0),"")</f>
        <v/>
      </c>
      <c r="VOC671" t="str">
        <f>IFERROR(VLOOKUP(VOD671,'[3]Raw material  (3)'!VOB653:VOT3729,3,0),"")</f>
        <v/>
      </c>
      <c r="VOD671" t="str">
        <f>IFERROR(VLOOKUP(VOE671,'[3]Raw material  (3)'!VOC653:VOU3729,3,0),"")</f>
        <v/>
      </c>
      <c r="VOE671" t="str">
        <f>IFERROR(VLOOKUP(VOF671,'[3]Raw material  (3)'!VOD653:VOV3729,3,0),"")</f>
        <v/>
      </c>
      <c r="VOF671" t="str">
        <f>IFERROR(VLOOKUP(VOG671,'[3]Raw material  (3)'!VOE653:VOW3729,3,0),"")</f>
        <v/>
      </c>
      <c r="VOG671" t="str">
        <f>IFERROR(VLOOKUP(VOH671,'[3]Raw material  (3)'!VOF653:VOX3729,3,0),"")</f>
        <v/>
      </c>
      <c r="VOH671" t="str">
        <f>IFERROR(VLOOKUP(VOI671,'[3]Raw material  (3)'!VOG653:VOY3729,3,0),"")</f>
        <v/>
      </c>
      <c r="VOI671" t="str">
        <f>IFERROR(VLOOKUP(VOJ671,'[3]Raw material  (3)'!VOH653:VOZ3729,3,0),"")</f>
        <v/>
      </c>
      <c r="VOJ671" t="str">
        <f>IFERROR(VLOOKUP(VOK671,'[3]Raw material  (3)'!VOI653:VPA3729,3,0),"")</f>
        <v/>
      </c>
      <c r="VOK671" t="str">
        <f>IFERROR(VLOOKUP(VOL671,'[3]Raw material  (3)'!VOJ653:VPB3729,3,0),"")</f>
        <v/>
      </c>
      <c r="VOL671" t="str">
        <f>IFERROR(VLOOKUP(VOM671,'[3]Raw material  (3)'!VOK653:VPC3729,3,0),"")</f>
        <v/>
      </c>
      <c r="VOM671" t="str">
        <f>IFERROR(VLOOKUP(VON671,'[3]Raw material  (3)'!VOL653:VPD3729,3,0),"")</f>
        <v/>
      </c>
      <c r="VON671" t="str">
        <f>IFERROR(VLOOKUP(VOO671,'[3]Raw material  (3)'!VOM653:VPE3729,3,0),"")</f>
        <v/>
      </c>
      <c r="VOO671" t="str">
        <f>IFERROR(VLOOKUP(VOP671,'[3]Raw material  (3)'!VON653:VPF3729,3,0),"")</f>
        <v/>
      </c>
      <c r="VOP671" t="str">
        <f>IFERROR(VLOOKUP(VOQ671,'[3]Raw material  (3)'!VOO653:VPG3729,3,0),"")</f>
        <v/>
      </c>
      <c r="VOQ671" t="str">
        <f>IFERROR(VLOOKUP(VOR671,'[3]Raw material  (3)'!VOP653:VPH3729,3,0),"")</f>
        <v/>
      </c>
      <c r="VOR671" t="str">
        <f>IFERROR(VLOOKUP(VOS671,'[3]Raw material  (3)'!VOQ653:VPI3729,3,0),"")</f>
        <v/>
      </c>
      <c r="VOS671" t="str">
        <f>IFERROR(VLOOKUP(VOT671,'[3]Raw material  (3)'!VOR653:VPJ3729,3,0),"")</f>
        <v/>
      </c>
      <c r="VOT671" t="str">
        <f>IFERROR(VLOOKUP(VOU671,'[3]Raw material  (3)'!VOS653:VPK3729,3,0),"")</f>
        <v/>
      </c>
      <c r="VOU671" t="str">
        <f>IFERROR(VLOOKUP(VOV671,'[3]Raw material  (3)'!VOT653:VPL3729,3,0),"")</f>
        <v/>
      </c>
      <c r="VOV671" t="str">
        <f>IFERROR(VLOOKUP(VOW671,'[3]Raw material  (3)'!VOU653:VPM3729,3,0),"")</f>
        <v/>
      </c>
      <c r="VOW671" t="str">
        <f>IFERROR(VLOOKUP(VOX671,'[3]Raw material  (3)'!VOV653:VPN3729,3,0),"")</f>
        <v/>
      </c>
      <c r="VOX671" t="str">
        <f>IFERROR(VLOOKUP(VOY671,'[3]Raw material  (3)'!VOW653:VPO3729,3,0),"")</f>
        <v/>
      </c>
      <c r="VOY671" t="str">
        <f>IFERROR(VLOOKUP(VOZ671,'[3]Raw material  (3)'!VOX653:VPP3729,3,0),"")</f>
        <v/>
      </c>
      <c r="VOZ671" t="str">
        <f>IFERROR(VLOOKUP(VPA671,'[3]Raw material  (3)'!VOY653:VPQ3729,3,0),"")</f>
        <v/>
      </c>
      <c r="VPA671" t="str">
        <f>IFERROR(VLOOKUP(VPB671,'[3]Raw material  (3)'!VOZ653:VPR3729,3,0),"")</f>
        <v/>
      </c>
      <c r="VPB671" t="str">
        <f>IFERROR(VLOOKUP(VPC671,'[3]Raw material  (3)'!VPA653:VPS3729,3,0),"")</f>
        <v/>
      </c>
      <c r="VPC671" t="str">
        <f>IFERROR(VLOOKUP(VPD671,'[3]Raw material  (3)'!VPB653:VPT3729,3,0),"")</f>
        <v/>
      </c>
      <c r="VPD671" t="str">
        <f>IFERROR(VLOOKUP(VPE671,'[3]Raw material  (3)'!VPC653:VPU3729,3,0),"")</f>
        <v/>
      </c>
      <c r="VPE671" t="str">
        <f>IFERROR(VLOOKUP(VPF671,'[3]Raw material  (3)'!VPD653:VPV3729,3,0),"")</f>
        <v/>
      </c>
      <c r="VPF671" t="str">
        <f>IFERROR(VLOOKUP(VPG671,'[3]Raw material  (3)'!VPE653:VPW3729,3,0),"")</f>
        <v/>
      </c>
      <c r="VPG671" t="str">
        <f>IFERROR(VLOOKUP(VPH671,'[3]Raw material  (3)'!VPF653:VPX3729,3,0),"")</f>
        <v/>
      </c>
      <c r="VPH671" t="str">
        <f>IFERROR(VLOOKUP(VPI671,'[3]Raw material  (3)'!VPG653:VPY3729,3,0),"")</f>
        <v/>
      </c>
      <c r="VPI671" t="str">
        <f>IFERROR(VLOOKUP(VPJ671,'[3]Raw material  (3)'!VPH653:VPZ3729,3,0),"")</f>
        <v/>
      </c>
      <c r="VPJ671" t="str">
        <f>IFERROR(VLOOKUP(VPK671,'[3]Raw material  (3)'!VPI653:VQA3729,3,0),"")</f>
        <v/>
      </c>
      <c r="VPK671" t="str">
        <f>IFERROR(VLOOKUP(VPL671,'[3]Raw material  (3)'!VPJ653:VQB3729,3,0),"")</f>
        <v/>
      </c>
      <c r="VPL671" t="str">
        <f>IFERROR(VLOOKUP(VPM671,'[3]Raw material  (3)'!VPK653:VQC3729,3,0),"")</f>
        <v/>
      </c>
      <c r="VPM671" t="str">
        <f>IFERROR(VLOOKUP(VPN671,'[3]Raw material  (3)'!VPL653:VQD3729,3,0),"")</f>
        <v/>
      </c>
      <c r="VPN671" t="str">
        <f>IFERROR(VLOOKUP(VPO671,'[3]Raw material  (3)'!VPM653:VQE3729,3,0),"")</f>
        <v/>
      </c>
      <c r="VPO671" t="str">
        <f>IFERROR(VLOOKUP(VPP671,'[3]Raw material  (3)'!VPN653:VQF3729,3,0),"")</f>
        <v/>
      </c>
      <c r="VPP671" t="str">
        <f>IFERROR(VLOOKUP(VPQ671,'[3]Raw material  (3)'!VPO653:VQG3729,3,0),"")</f>
        <v/>
      </c>
      <c r="VPQ671" t="str">
        <f>IFERROR(VLOOKUP(VPR671,'[3]Raw material  (3)'!VPP653:VQH3729,3,0),"")</f>
        <v/>
      </c>
      <c r="VPR671" t="str">
        <f>IFERROR(VLOOKUP(VPS671,'[3]Raw material  (3)'!VPQ653:VQI3729,3,0),"")</f>
        <v/>
      </c>
      <c r="VPS671" t="str">
        <f>IFERROR(VLOOKUP(VPT671,'[3]Raw material  (3)'!VPR653:VQJ3729,3,0),"")</f>
        <v/>
      </c>
      <c r="VPT671" t="str">
        <f>IFERROR(VLOOKUP(VPU671,'[3]Raw material  (3)'!VPS653:VQK3729,3,0),"")</f>
        <v/>
      </c>
      <c r="VPU671" t="str">
        <f>IFERROR(VLOOKUP(VPV671,'[3]Raw material  (3)'!VPT653:VQL3729,3,0),"")</f>
        <v/>
      </c>
      <c r="VPV671" t="str">
        <f>IFERROR(VLOOKUP(VPW671,'[3]Raw material  (3)'!VPU653:VQM3729,3,0),"")</f>
        <v/>
      </c>
      <c r="VPW671" t="str">
        <f>IFERROR(VLOOKUP(VPX671,'[3]Raw material  (3)'!VPV653:VQN3729,3,0),"")</f>
        <v/>
      </c>
      <c r="VPX671" t="str">
        <f>IFERROR(VLOOKUP(VPY671,'[3]Raw material  (3)'!VPW653:VQO3729,3,0),"")</f>
        <v/>
      </c>
      <c r="VPY671" t="str">
        <f>IFERROR(VLOOKUP(VPZ671,'[3]Raw material  (3)'!VPX653:VQP3729,3,0),"")</f>
        <v/>
      </c>
      <c r="VPZ671" t="str">
        <f>IFERROR(VLOOKUP(VQA671,'[3]Raw material  (3)'!VPY653:VQQ3729,3,0),"")</f>
        <v/>
      </c>
      <c r="VQA671" t="str">
        <f>IFERROR(VLOOKUP(VQB671,'[3]Raw material  (3)'!VPZ653:VQR3729,3,0),"")</f>
        <v/>
      </c>
      <c r="VQB671" t="str">
        <f>IFERROR(VLOOKUP(VQC671,'[3]Raw material  (3)'!VQA653:VQS3729,3,0),"")</f>
        <v/>
      </c>
      <c r="VQC671" t="str">
        <f>IFERROR(VLOOKUP(VQD671,'[3]Raw material  (3)'!VQB653:VQT3729,3,0),"")</f>
        <v/>
      </c>
      <c r="VQD671" t="str">
        <f>IFERROR(VLOOKUP(VQE671,'[3]Raw material  (3)'!VQC653:VQU3729,3,0),"")</f>
        <v/>
      </c>
      <c r="VQE671" t="str">
        <f>IFERROR(VLOOKUP(VQF671,'[3]Raw material  (3)'!VQD653:VQV3729,3,0),"")</f>
        <v/>
      </c>
      <c r="VQF671" t="str">
        <f>IFERROR(VLOOKUP(VQG671,'[3]Raw material  (3)'!VQE653:VQW3729,3,0),"")</f>
        <v/>
      </c>
      <c r="VQG671" t="str">
        <f>IFERROR(VLOOKUP(VQH671,'[3]Raw material  (3)'!VQF653:VQX3729,3,0),"")</f>
        <v/>
      </c>
      <c r="VQH671" t="str">
        <f>IFERROR(VLOOKUP(VQI671,'[3]Raw material  (3)'!VQG653:VQY3729,3,0),"")</f>
        <v/>
      </c>
      <c r="VQI671" t="str">
        <f>IFERROR(VLOOKUP(VQJ671,'[3]Raw material  (3)'!VQH653:VQZ3729,3,0),"")</f>
        <v/>
      </c>
      <c r="VQJ671" t="str">
        <f>IFERROR(VLOOKUP(VQK671,'[3]Raw material  (3)'!VQI653:VRA3729,3,0),"")</f>
        <v/>
      </c>
      <c r="VQK671" t="str">
        <f>IFERROR(VLOOKUP(VQL671,'[3]Raw material  (3)'!VQJ653:VRB3729,3,0),"")</f>
        <v/>
      </c>
      <c r="VQL671" t="str">
        <f>IFERROR(VLOOKUP(VQM671,'[3]Raw material  (3)'!VQK653:VRC3729,3,0),"")</f>
        <v/>
      </c>
      <c r="VQM671" t="str">
        <f>IFERROR(VLOOKUP(VQN671,'[3]Raw material  (3)'!VQL653:VRD3729,3,0),"")</f>
        <v/>
      </c>
      <c r="VQN671" t="str">
        <f>IFERROR(VLOOKUP(VQO671,'[3]Raw material  (3)'!VQM653:VRE3729,3,0),"")</f>
        <v/>
      </c>
      <c r="VQO671" t="str">
        <f>IFERROR(VLOOKUP(VQP671,'[3]Raw material  (3)'!VQN653:VRF3729,3,0),"")</f>
        <v/>
      </c>
      <c r="VQP671" t="str">
        <f>IFERROR(VLOOKUP(VQQ671,'[3]Raw material  (3)'!VQO653:VRG3729,3,0),"")</f>
        <v/>
      </c>
      <c r="VQQ671" t="str">
        <f>IFERROR(VLOOKUP(VQR671,'[3]Raw material  (3)'!VQP653:VRH3729,3,0),"")</f>
        <v/>
      </c>
      <c r="VQR671" t="str">
        <f>IFERROR(VLOOKUP(VQS671,'[3]Raw material  (3)'!VQQ653:VRI3729,3,0),"")</f>
        <v/>
      </c>
      <c r="VQS671" t="str">
        <f>IFERROR(VLOOKUP(VQT671,'[3]Raw material  (3)'!VQR653:VRJ3729,3,0),"")</f>
        <v/>
      </c>
      <c r="VQT671" t="str">
        <f>IFERROR(VLOOKUP(VQU671,'[3]Raw material  (3)'!VQS653:VRK3729,3,0),"")</f>
        <v/>
      </c>
      <c r="VQU671" t="str">
        <f>IFERROR(VLOOKUP(VQV671,'[3]Raw material  (3)'!VQT653:VRL3729,3,0),"")</f>
        <v/>
      </c>
      <c r="VQV671" t="str">
        <f>IFERROR(VLOOKUP(VQW671,'[3]Raw material  (3)'!VQU653:VRM3729,3,0),"")</f>
        <v/>
      </c>
      <c r="VQW671" t="str">
        <f>IFERROR(VLOOKUP(VQX671,'[3]Raw material  (3)'!VQV653:VRN3729,3,0),"")</f>
        <v/>
      </c>
      <c r="VQX671" t="str">
        <f>IFERROR(VLOOKUP(VQY671,'[3]Raw material  (3)'!VQW653:VRO3729,3,0),"")</f>
        <v/>
      </c>
      <c r="VQY671" t="str">
        <f>IFERROR(VLOOKUP(VQZ671,'[3]Raw material  (3)'!VQX653:VRP3729,3,0),"")</f>
        <v/>
      </c>
      <c r="VQZ671" t="str">
        <f>IFERROR(VLOOKUP(VRA671,'[3]Raw material  (3)'!VQY653:VRQ3729,3,0),"")</f>
        <v/>
      </c>
      <c r="VRA671" t="str">
        <f>IFERROR(VLOOKUP(VRB671,'[3]Raw material  (3)'!VQZ653:VRR3729,3,0),"")</f>
        <v/>
      </c>
      <c r="VRB671" t="str">
        <f>IFERROR(VLOOKUP(VRC671,'[3]Raw material  (3)'!VRA653:VRS3729,3,0),"")</f>
        <v/>
      </c>
      <c r="VRC671" t="str">
        <f>IFERROR(VLOOKUP(VRD671,'[3]Raw material  (3)'!VRB653:VRT3729,3,0),"")</f>
        <v/>
      </c>
      <c r="VRD671" t="str">
        <f>IFERROR(VLOOKUP(VRE671,'[3]Raw material  (3)'!VRC653:VRU3729,3,0),"")</f>
        <v/>
      </c>
      <c r="VRE671" t="str">
        <f>IFERROR(VLOOKUP(VRF671,'[3]Raw material  (3)'!VRD653:VRV3729,3,0),"")</f>
        <v/>
      </c>
      <c r="VRF671" t="str">
        <f>IFERROR(VLOOKUP(VRG671,'[3]Raw material  (3)'!VRE653:VRW3729,3,0),"")</f>
        <v/>
      </c>
      <c r="VRG671" t="str">
        <f>IFERROR(VLOOKUP(VRH671,'[3]Raw material  (3)'!VRF653:VRX3729,3,0),"")</f>
        <v/>
      </c>
      <c r="VRH671" t="str">
        <f>IFERROR(VLOOKUP(VRI671,'[3]Raw material  (3)'!VRG653:VRY3729,3,0),"")</f>
        <v/>
      </c>
      <c r="VRI671" t="str">
        <f>IFERROR(VLOOKUP(VRJ671,'[3]Raw material  (3)'!VRH653:VRZ3729,3,0),"")</f>
        <v/>
      </c>
      <c r="VRJ671" t="str">
        <f>IFERROR(VLOOKUP(VRK671,'[3]Raw material  (3)'!VRI653:VSA3729,3,0),"")</f>
        <v/>
      </c>
      <c r="VRK671" t="str">
        <f>IFERROR(VLOOKUP(VRL671,'[3]Raw material  (3)'!VRJ653:VSB3729,3,0),"")</f>
        <v/>
      </c>
      <c r="VRL671" t="str">
        <f>IFERROR(VLOOKUP(VRM671,'[3]Raw material  (3)'!VRK653:VSC3729,3,0),"")</f>
        <v/>
      </c>
      <c r="VRM671" t="str">
        <f>IFERROR(VLOOKUP(VRN671,'[3]Raw material  (3)'!VRL653:VSD3729,3,0),"")</f>
        <v/>
      </c>
      <c r="VRN671" t="str">
        <f>IFERROR(VLOOKUP(VRO671,'[3]Raw material  (3)'!VRM653:VSE3729,3,0),"")</f>
        <v/>
      </c>
      <c r="VRO671" t="str">
        <f>IFERROR(VLOOKUP(VRP671,'[3]Raw material  (3)'!VRN653:VSF3729,3,0),"")</f>
        <v/>
      </c>
      <c r="VRP671" t="str">
        <f>IFERROR(VLOOKUP(VRQ671,'[3]Raw material  (3)'!VRO653:VSG3729,3,0),"")</f>
        <v/>
      </c>
      <c r="VRQ671" t="str">
        <f>IFERROR(VLOOKUP(VRR671,'[3]Raw material  (3)'!VRP653:VSH3729,3,0),"")</f>
        <v/>
      </c>
      <c r="VRR671" t="str">
        <f>IFERROR(VLOOKUP(VRS671,'[3]Raw material  (3)'!VRQ653:VSI3729,3,0),"")</f>
        <v/>
      </c>
      <c r="VRS671" t="str">
        <f>IFERROR(VLOOKUP(VRT671,'[3]Raw material  (3)'!VRR653:VSJ3729,3,0),"")</f>
        <v/>
      </c>
      <c r="VRT671" t="str">
        <f>IFERROR(VLOOKUP(VRU671,'[3]Raw material  (3)'!VRS653:VSK3729,3,0),"")</f>
        <v/>
      </c>
      <c r="VRU671" t="str">
        <f>IFERROR(VLOOKUP(VRV671,'[3]Raw material  (3)'!VRT653:VSL3729,3,0),"")</f>
        <v/>
      </c>
      <c r="VRV671" t="str">
        <f>IFERROR(VLOOKUP(VRW671,'[3]Raw material  (3)'!VRU653:VSM3729,3,0),"")</f>
        <v/>
      </c>
      <c r="VRW671" t="str">
        <f>IFERROR(VLOOKUP(VRX671,'[3]Raw material  (3)'!VRV653:VSN3729,3,0),"")</f>
        <v/>
      </c>
      <c r="VRX671" t="str">
        <f>IFERROR(VLOOKUP(VRY671,'[3]Raw material  (3)'!VRW653:VSO3729,3,0),"")</f>
        <v/>
      </c>
      <c r="VRY671" t="str">
        <f>IFERROR(VLOOKUP(VRZ671,'[3]Raw material  (3)'!VRX653:VSP3729,3,0),"")</f>
        <v/>
      </c>
      <c r="VRZ671" t="str">
        <f>IFERROR(VLOOKUP(VSA671,'[3]Raw material  (3)'!VRY653:VSQ3729,3,0),"")</f>
        <v/>
      </c>
      <c r="VSA671" t="str">
        <f>IFERROR(VLOOKUP(VSB671,'[3]Raw material  (3)'!VRZ653:VSR3729,3,0),"")</f>
        <v/>
      </c>
      <c r="VSB671" t="str">
        <f>IFERROR(VLOOKUP(VSC671,'[3]Raw material  (3)'!VSA653:VSS3729,3,0),"")</f>
        <v/>
      </c>
      <c r="VSC671" t="str">
        <f>IFERROR(VLOOKUP(VSD671,'[3]Raw material  (3)'!VSB653:VST3729,3,0),"")</f>
        <v/>
      </c>
      <c r="VSD671" t="str">
        <f>IFERROR(VLOOKUP(VSE671,'[3]Raw material  (3)'!VSC653:VSU3729,3,0),"")</f>
        <v/>
      </c>
      <c r="VSE671" t="str">
        <f>IFERROR(VLOOKUP(VSF671,'[3]Raw material  (3)'!VSD653:VSV3729,3,0),"")</f>
        <v/>
      </c>
      <c r="VSF671" t="str">
        <f>IFERROR(VLOOKUP(VSG671,'[3]Raw material  (3)'!VSE653:VSW3729,3,0),"")</f>
        <v/>
      </c>
      <c r="VSG671" t="str">
        <f>IFERROR(VLOOKUP(VSH671,'[3]Raw material  (3)'!VSF653:VSX3729,3,0),"")</f>
        <v/>
      </c>
      <c r="VSH671" t="str">
        <f>IFERROR(VLOOKUP(VSI671,'[3]Raw material  (3)'!VSG653:VSY3729,3,0),"")</f>
        <v/>
      </c>
      <c r="VSI671" t="str">
        <f>IFERROR(VLOOKUP(VSJ671,'[3]Raw material  (3)'!VSH653:VSZ3729,3,0),"")</f>
        <v/>
      </c>
      <c r="VSJ671" t="str">
        <f>IFERROR(VLOOKUP(VSK671,'[3]Raw material  (3)'!VSI653:VTA3729,3,0),"")</f>
        <v/>
      </c>
      <c r="VSK671" t="str">
        <f>IFERROR(VLOOKUP(VSL671,'[3]Raw material  (3)'!VSJ653:VTB3729,3,0),"")</f>
        <v/>
      </c>
      <c r="VSL671" t="str">
        <f>IFERROR(VLOOKUP(VSM671,'[3]Raw material  (3)'!VSK653:VTC3729,3,0),"")</f>
        <v/>
      </c>
      <c r="VSM671" t="str">
        <f>IFERROR(VLOOKUP(VSN671,'[3]Raw material  (3)'!VSL653:VTD3729,3,0),"")</f>
        <v/>
      </c>
      <c r="VSN671" t="str">
        <f>IFERROR(VLOOKUP(VSO671,'[3]Raw material  (3)'!VSM653:VTE3729,3,0),"")</f>
        <v/>
      </c>
      <c r="VSO671" t="str">
        <f>IFERROR(VLOOKUP(VSP671,'[3]Raw material  (3)'!VSN653:VTF3729,3,0),"")</f>
        <v/>
      </c>
      <c r="VSP671" t="str">
        <f>IFERROR(VLOOKUP(VSQ671,'[3]Raw material  (3)'!VSO653:VTG3729,3,0),"")</f>
        <v/>
      </c>
      <c r="VSQ671" t="str">
        <f>IFERROR(VLOOKUP(VSR671,'[3]Raw material  (3)'!VSP653:VTH3729,3,0),"")</f>
        <v/>
      </c>
      <c r="VSR671" t="str">
        <f>IFERROR(VLOOKUP(VSS671,'[3]Raw material  (3)'!VSQ653:VTI3729,3,0),"")</f>
        <v/>
      </c>
      <c r="VSS671" t="str">
        <f>IFERROR(VLOOKUP(VST671,'[3]Raw material  (3)'!VSR653:VTJ3729,3,0),"")</f>
        <v/>
      </c>
      <c r="VST671" t="str">
        <f>IFERROR(VLOOKUP(VSU671,'[3]Raw material  (3)'!VSS653:VTK3729,3,0),"")</f>
        <v/>
      </c>
      <c r="VSU671" t="str">
        <f>IFERROR(VLOOKUP(VSV671,'[3]Raw material  (3)'!VST653:VTL3729,3,0),"")</f>
        <v/>
      </c>
      <c r="VSV671" t="str">
        <f>IFERROR(VLOOKUP(VSW671,'[3]Raw material  (3)'!VSU653:VTM3729,3,0),"")</f>
        <v/>
      </c>
      <c r="VSW671" t="str">
        <f>IFERROR(VLOOKUP(VSX671,'[3]Raw material  (3)'!VSV653:VTN3729,3,0),"")</f>
        <v/>
      </c>
      <c r="VSX671" t="str">
        <f>IFERROR(VLOOKUP(VSY671,'[3]Raw material  (3)'!VSW653:VTO3729,3,0),"")</f>
        <v/>
      </c>
      <c r="VSY671" t="str">
        <f>IFERROR(VLOOKUP(VSZ671,'[3]Raw material  (3)'!VSX653:VTP3729,3,0),"")</f>
        <v/>
      </c>
      <c r="VSZ671" t="str">
        <f>IFERROR(VLOOKUP(VTA671,'[3]Raw material  (3)'!VSY653:VTQ3729,3,0),"")</f>
        <v/>
      </c>
      <c r="VTA671" t="str">
        <f>IFERROR(VLOOKUP(VTB671,'[3]Raw material  (3)'!VSZ653:VTR3729,3,0),"")</f>
        <v/>
      </c>
      <c r="VTB671" t="str">
        <f>IFERROR(VLOOKUP(VTC671,'[3]Raw material  (3)'!VTA653:VTS3729,3,0),"")</f>
        <v/>
      </c>
      <c r="VTC671" t="str">
        <f>IFERROR(VLOOKUP(VTD671,'[3]Raw material  (3)'!VTB653:VTT3729,3,0),"")</f>
        <v/>
      </c>
      <c r="VTD671" t="str">
        <f>IFERROR(VLOOKUP(VTE671,'[3]Raw material  (3)'!VTC653:VTU3729,3,0),"")</f>
        <v/>
      </c>
      <c r="VTE671" t="str">
        <f>IFERROR(VLOOKUP(VTF671,'[3]Raw material  (3)'!VTD653:VTV3729,3,0),"")</f>
        <v/>
      </c>
      <c r="VTF671" t="str">
        <f>IFERROR(VLOOKUP(VTG671,'[3]Raw material  (3)'!VTE653:VTW3729,3,0),"")</f>
        <v/>
      </c>
      <c r="VTG671" t="str">
        <f>IFERROR(VLOOKUP(VTH671,'[3]Raw material  (3)'!VTF653:VTX3729,3,0),"")</f>
        <v/>
      </c>
      <c r="VTH671" t="str">
        <f>IFERROR(VLOOKUP(VTI671,'[3]Raw material  (3)'!VTG653:VTY3729,3,0),"")</f>
        <v/>
      </c>
      <c r="VTI671" t="str">
        <f>IFERROR(VLOOKUP(VTJ671,'[3]Raw material  (3)'!VTH653:VTZ3729,3,0),"")</f>
        <v/>
      </c>
      <c r="VTJ671" t="str">
        <f>IFERROR(VLOOKUP(VTK671,'[3]Raw material  (3)'!VTI653:VUA3729,3,0),"")</f>
        <v/>
      </c>
      <c r="VTK671" t="str">
        <f>IFERROR(VLOOKUP(VTL671,'[3]Raw material  (3)'!VTJ653:VUB3729,3,0),"")</f>
        <v/>
      </c>
      <c r="VTL671" t="str">
        <f>IFERROR(VLOOKUP(VTM671,'[3]Raw material  (3)'!VTK653:VUC3729,3,0),"")</f>
        <v/>
      </c>
      <c r="VTM671" t="str">
        <f>IFERROR(VLOOKUP(VTN671,'[3]Raw material  (3)'!VTL653:VUD3729,3,0),"")</f>
        <v/>
      </c>
      <c r="VTN671" t="str">
        <f>IFERROR(VLOOKUP(VTO671,'[3]Raw material  (3)'!VTM653:VUE3729,3,0),"")</f>
        <v/>
      </c>
      <c r="VTO671" t="str">
        <f>IFERROR(VLOOKUP(VTP671,'[3]Raw material  (3)'!VTN653:VUF3729,3,0),"")</f>
        <v/>
      </c>
      <c r="VTP671" t="str">
        <f>IFERROR(VLOOKUP(VTQ671,'[3]Raw material  (3)'!VTO653:VUG3729,3,0),"")</f>
        <v/>
      </c>
      <c r="VTQ671" t="str">
        <f>IFERROR(VLOOKUP(VTR671,'[3]Raw material  (3)'!VTP653:VUH3729,3,0),"")</f>
        <v/>
      </c>
      <c r="VTR671" t="str">
        <f>IFERROR(VLOOKUP(VTS671,'[3]Raw material  (3)'!VTQ653:VUI3729,3,0),"")</f>
        <v/>
      </c>
      <c r="VTS671" t="str">
        <f>IFERROR(VLOOKUP(VTT671,'[3]Raw material  (3)'!VTR653:VUJ3729,3,0),"")</f>
        <v/>
      </c>
      <c r="VTT671" t="str">
        <f>IFERROR(VLOOKUP(VTU671,'[3]Raw material  (3)'!VTS653:VUK3729,3,0),"")</f>
        <v/>
      </c>
      <c r="VTU671" t="str">
        <f>IFERROR(VLOOKUP(VTV671,'[3]Raw material  (3)'!VTT653:VUL3729,3,0),"")</f>
        <v/>
      </c>
      <c r="VTV671" t="str">
        <f>IFERROR(VLOOKUP(VTW671,'[3]Raw material  (3)'!VTU653:VUM3729,3,0),"")</f>
        <v/>
      </c>
      <c r="VTW671" t="str">
        <f>IFERROR(VLOOKUP(VTX671,'[3]Raw material  (3)'!VTV653:VUN3729,3,0),"")</f>
        <v/>
      </c>
      <c r="VTX671" t="str">
        <f>IFERROR(VLOOKUP(VTY671,'[3]Raw material  (3)'!VTW653:VUO3729,3,0),"")</f>
        <v/>
      </c>
      <c r="VTY671" t="str">
        <f>IFERROR(VLOOKUP(VTZ671,'[3]Raw material  (3)'!VTX653:VUP3729,3,0),"")</f>
        <v/>
      </c>
      <c r="VTZ671" t="str">
        <f>IFERROR(VLOOKUP(VUA671,'[3]Raw material  (3)'!VTY653:VUQ3729,3,0),"")</f>
        <v/>
      </c>
      <c r="VUA671" t="str">
        <f>IFERROR(VLOOKUP(VUB671,'[3]Raw material  (3)'!VTZ653:VUR3729,3,0),"")</f>
        <v/>
      </c>
      <c r="VUB671" t="str">
        <f>IFERROR(VLOOKUP(VUC671,'[3]Raw material  (3)'!VUA653:VUS3729,3,0),"")</f>
        <v/>
      </c>
      <c r="VUC671" t="str">
        <f>IFERROR(VLOOKUP(VUD671,'[3]Raw material  (3)'!VUB653:VUT3729,3,0),"")</f>
        <v/>
      </c>
      <c r="VUD671" t="str">
        <f>IFERROR(VLOOKUP(VUE671,'[3]Raw material  (3)'!VUC653:VUU3729,3,0),"")</f>
        <v/>
      </c>
      <c r="VUE671" t="str">
        <f>IFERROR(VLOOKUP(VUF671,'[3]Raw material  (3)'!VUD653:VUV3729,3,0),"")</f>
        <v/>
      </c>
      <c r="VUF671" t="str">
        <f>IFERROR(VLOOKUP(VUG671,'[3]Raw material  (3)'!VUE653:VUW3729,3,0),"")</f>
        <v/>
      </c>
      <c r="VUG671" t="str">
        <f>IFERROR(VLOOKUP(VUH671,'[3]Raw material  (3)'!VUF653:VUX3729,3,0),"")</f>
        <v/>
      </c>
      <c r="VUH671" t="str">
        <f>IFERROR(VLOOKUP(VUI671,'[3]Raw material  (3)'!VUG653:VUY3729,3,0),"")</f>
        <v/>
      </c>
      <c r="VUI671" t="str">
        <f>IFERROR(VLOOKUP(VUJ671,'[3]Raw material  (3)'!VUH653:VUZ3729,3,0),"")</f>
        <v/>
      </c>
      <c r="VUJ671" t="str">
        <f>IFERROR(VLOOKUP(VUK671,'[3]Raw material  (3)'!VUI653:VVA3729,3,0),"")</f>
        <v/>
      </c>
      <c r="VUK671" t="str">
        <f>IFERROR(VLOOKUP(VUL671,'[3]Raw material  (3)'!VUJ653:VVB3729,3,0),"")</f>
        <v/>
      </c>
      <c r="VUL671" t="str">
        <f>IFERROR(VLOOKUP(VUM671,'[3]Raw material  (3)'!VUK653:VVC3729,3,0),"")</f>
        <v/>
      </c>
      <c r="VUM671" t="str">
        <f>IFERROR(VLOOKUP(VUN671,'[3]Raw material  (3)'!VUL653:VVD3729,3,0),"")</f>
        <v/>
      </c>
      <c r="VUN671" t="str">
        <f>IFERROR(VLOOKUP(VUO671,'[3]Raw material  (3)'!VUM653:VVE3729,3,0),"")</f>
        <v/>
      </c>
      <c r="VUO671" t="str">
        <f>IFERROR(VLOOKUP(VUP671,'[3]Raw material  (3)'!VUN653:VVF3729,3,0),"")</f>
        <v/>
      </c>
      <c r="VUP671" t="str">
        <f>IFERROR(VLOOKUP(VUQ671,'[3]Raw material  (3)'!VUO653:VVG3729,3,0),"")</f>
        <v/>
      </c>
      <c r="VUQ671" t="str">
        <f>IFERROR(VLOOKUP(VUR671,'[3]Raw material  (3)'!VUP653:VVH3729,3,0),"")</f>
        <v/>
      </c>
      <c r="VUR671" t="str">
        <f>IFERROR(VLOOKUP(VUS671,'[3]Raw material  (3)'!VUQ653:VVI3729,3,0),"")</f>
        <v/>
      </c>
      <c r="VUS671" t="str">
        <f>IFERROR(VLOOKUP(VUT671,'[3]Raw material  (3)'!VUR653:VVJ3729,3,0),"")</f>
        <v/>
      </c>
      <c r="VUT671" t="str">
        <f>IFERROR(VLOOKUP(VUU671,'[3]Raw material  (3)'!VUS653:VVK3729,3,0),"")</f>
        <v/>
      </c>
      <c r="VUU671" t="str">
        <f>IFERROR(VLOOKUP(VUV671,'[3]Raw material  (3)'!VUT653:VVL3729,3,0),"")</f>
        <v/>
      </c>
      <c r="VUV671" t="str">
        <f>IFERROR(VLOOKUP(VUW671,'[3]Raw material  (3)'!VUU653:VVM3729,3,0),"")</f>
        <v/>
      </c>
      <c r="VUW671" t="str">
        <f>IFERROR(VLOOKUP(VUX671,'[3]Raw material  (3)'!VUV653:VVN3729,3,0),"")</f>
        <v/>
      </c>
      <c r="VUX671" t="str">
        <f>IFERROR(VLOOKUP(VUY671,'[3]Raw material  (3)'!VUW653:VVO3729,3,0),"")</f>
        <v/>
      </c>
      <c r="VUY671" t="str">
        <f>IFERROR(VLOOKUP(VUZ671,'[3]Raw material  (3)'!VUX653:VVP3729,3,0),"")</f>
        <v/>
      </c>
      <c r="VUZ671" t="str">
        <f>IFERROR(VLOOKUP(VVA671,'[3]Raw material  (3)'!VUY653:VVQ3729,3,0),"")</f>
        <v/>
      </c>
      <c r="VVA671" t="str">
        <f>IFERROR(VLOOKUP(VVB671,'[3]Raw material  (3)'!VUZ653:VVR3729,3,0),"")</f>
        <v/>
      </c>
      <c r="VVB671" t="str">
        <f>IFERROR(VLOOKUP(VVC671,'[3]Raw material  (3)'!VVA653:VVS3729,3,0),"")</f>
        <v/>
      </c>
      <c r="VVC671" t="str">
        <f>IFERROR(VLOOKUP(VVD671,'[3]Raw material  (3)'!VVB653:VVT3729,3,0),"")</f>
        <v/>
      </c>
      <c r="VVD671" t="str">
        <f>IFERROR(VLOOKUP(VVE671,'[3]Raw material  (3)'!VVC653:VVU3729,3,0),"")</f>
        <v/>
      </c>
      <c r="VVE671" t="str">
        <f>IFERROR(VLOOKUP(VVF671,'[3]Raw material  (3)'!VVD653:VVV3729,3,0),"")</f>
        <v/>
      </c>
      <c r="VVF671" t="str">
        <f>IFERROR(VLOOKUP(VVG671,'[3]Raw material  (3)'!VVE653:VVW3729,3,0),"")</f>
        <v/>
      </c>
      <c r="VVG671" t="str">
        <f>IFERROR(VLOOKUP(VVH671,'[3]Raw material  (3)'!VVF653:VVX3729,3,0),"")</f>
        <v/>
      </c>
      <c r="VVH671" t="str">
        <f>IFERROR(VLOOKUP(VVI671,'[3]Raw material  (3)'!VVG653:VVY3729,3,0),"")</f>
        <v/>
      </c>
      <c r="VVI671" t="str">
        <f>IFERROR(VLOOKUP(VVJ671,'[3]Raw material  (3)'!VVH653:VVZ3729,3,0),"")</f>
        <v/>
      </c>
      <c r="VVJ671" t="str">
        <f>IFERROR(VLOOKUP(VVK671,'[3]Raw material  (3)'!VVI653:VWA3729,3,0),"")</f>
        <v/>
      </c>
      <c r="VVK671" t="str">
        <f>IFERROR(VLOOKUP(VVL671,'[3]Raw material  (3)'!VVJ653:VWB3729,3,0),"")</f>
        <v/>
      </c>
      <c r="VVL671" t="str">
        <f>IFERROR(VLOOKUP(VVM671,'[3]Raw material  (3)'!VVK653:VWC3729,3,0),"")</f>
        <v/>
      </c>
      <c r="VVM671" t="str">
        <f>IFERROR(VLOOKUP(VVN671,'[3]Raw material  (3)'!VVL653:VWD3729,3,0),"")</f>
        <v/>
      </c>
      <c r="VVN671" t="str">
        <f>IFERROR(VLOOKUP(VVO671,'[3]Raw material  (3)'!VVM653:VWE3729,3,0),"")</f>
        <v/>
      </c>
      <c r="VVO671" t="str">
        <f>IFERROR(VLOOKUP(VVP671,'[3]Raw material  (3)'!VVN653:VWF3729,3,0),"")</f>
        <v/>
      </c>
      <c r="VVP671" t="str">
        <f>IFERROR(VLOOKUP(VVQ671,'[3]Raw material  (3)'!VVO653:VWG3729,3,0),"")</f>
        <v/>
      </c>
      <c r="VVQ671" t="str">
        <f>IFERROR(VLOOKUP(VVR671,'[3]Raw material  (3)'!VVP653:VWH3729,3,0),"")</f>
        <v/>
      </c>
      <c r="VVR671" t="str">
        <f>IFERROR(VLOOKUP(VVS671,'[3]Raw material  (3)'!VVQ653:VWI3729,3,0),"")</f>
        <v/>
      </c>
      <c r="VVS671" t="str">
        <f>IFERROR(VLOOKUP(VVT671,'[3]Raw material  (3)'!VVR653:VWJ3729,3,0),"")</f>
        <v/>
      </c>
      <c r="VVT671" t="str">
        <f>IFERROR(VLOOKUP(VVU671,'[3]Raw material  (3)'!VVS653:VWK3729,3,0),"")</f>
        <v/>
      </c>
      <c r="VVU671" t="str">
        <f>IFERROR(VLOOKUP(VVV671,'[3]Raw material  (3)'!VVT653:VWL3729,3,0),"")</f>
        <v/>
      </c>
      <c r="VVV671" t="str">
        <f>IFERROR(VLOOKUP(VVW671,'[3]Raw material  (3)'!VVU653:VWM3729,3,0),"")</f>
        <v/>
      </c>
      <c r="VVW671" t="str">
        <f>IFERROR(VLOOKUP(VVX671,'[3]Raw material  (3)'!VVV653:VWN3729,3,0),"")</f>
        <v/>
      </c>
      <c r="VVX671" t="str">
        <f>IFERROR(VLOOKUP(VVY671,'[3]Raw material  (3)'!VVW653:VWO3729,3,0),"")</f>
        <v/>
      </c>
      <c r="VVY671" t="str">
        <f>IFERROR(VLOOKUP(VVZ671,'[3]Raw material  (3)'!VVX653:VWP3729,3,0),"")</f>
        <v/>
      </c>
      <c r="VVZ671" t="str">
        <f>IFERROR(VLOOKUP(VWA671,'[3]Raw material  (3)'!VVY653:VWQ3729,3,0),"")</f>
        <v/>
      </c>
      <c r="VWA671" t="str">
        <f>IFERROR(VLOOKUP(VWB671,'[3]Raw material  (3)'!VVZ653:VWR3729,3,0),"")</f>
        <v/>
      </c>
      <c r="VWB671" t="str">
        <f>IFERROR(VLOOKUP(VWC671,'[3]Raw material  (3)'!VWA653:VWS3729,3,0),"")</f>
        <v/>
      </c>
      <c r="VWC671" t="str">
        <f>IFERROR(VLOOKUP(VWD671,'[3]Raw material  (3)'!VWB653:VWT3729,3,0),"")</f>
        <v/>
      </c>
      <c r="VWD671" t="str">
        <f>IFERROR(VLOOKUP(VWE671,'[3]Raw material  (3)'!VWC653:VWU3729,3,0),"")</f>
        <v/>
      </c>
      <c r="VWE671" t="str">
        <f>IFERROR(VLOOKUP(VWF671,'[3]Raw material  (3)'!VWD653:VWV3729,3,0),"")</f>
        <v/>
      </c>
      <c r="VWF671" t="str">
        <f>IFERROR(VLOOKUP(VWG671,'[3]Raw material  (3)'!VWE653:VWW3729,3,0),"")</f>
        <v/>
      </c>
      <c r="VWG671" t="str">
        <f>IFERROR(VLOOKUP(VWH671,'[3]Raw material  (3)'!VWF653:VWX3729,3,0),"")</f>
        <v/>
      </c>
      <c r="VWH671" t="str">
        <f>IFERROR(VLOOKUP(VWI671,'[3]Raw material  (3)'!VWG653:VWY3729,3,0),"")</f>
        <v/>
      </c>
      <c r="VWI671" t="str">
        <f>IFERROR(VLOOKUP(VWJ671,'[3]Raw material  (3)'!VWH653:VWZ3729,3,0),"")</f>
        <v/>
      </c>
      <c r="VWJ671" t="str">
        <f>IFERROR(VLOOKUP(VWK671,'[3]Raw material  (3)'!VWI653:VXA3729,3,0),"")</f>
        <v/>
      </c>
      <c r="VWK671" t="str">
        <f>IFERROR(VLOOKUP(VWL671,'[3]Raw material  (3)'!VWJ653:VXB3729,3,0),"")</f>
        <v/>
      </c>
      <c r="VWL671" t="str">
        <f>IFERROR(VLOOKUP(VWM671,'[3]Raw material  (3)'!VWK653:VXC3729,3,0),"")</f>
        <v/>
      </c>
      <c r="VWM671" t="str">
        <f>IFERROR(VLOOKUP(VWN671,'[3]Raw material  (3)'!VWL653:VXD3729,3,0),"")</f>
        <v/>
      </c>
      <c r="VWN671" t="str">
        <f>IFERROR(VLOOKUP(VWO671,'[3]Raw material  (3)'!VWM653:VXE3729,3,0),"")</f>
        <v/>
      </c>
      <c r="VWO671" t="str">
        <f>IFERROR(VLOOKUP(VWP671,'[3]Raw material  (3)'!VWN653:VXF3729,3,0),"")</f>
        <v/>
      </c>
      <c r="VWP671" t="str">
        <f>IFERROR(VLOOKUP(VWQ671,'[3]Raw material  (3)'!VWO653:VXG3729,3,0),"")</f>
        <v/>
      </c>
      <c r="VWQ671" t="str">
        <f>IFERROR(VLOOKUP(VWR671,'[3]Raw material  (3)'!VWP653:VXH3729,3,0),"")</f>
        <v/>
      </c>
      <c r="VWR671" t="str">
        <f>IFERROR(VLOOKUP(VWS671,'[3]Raw material  (3)'!VWQ653:VXI3729,3,0),"")</f>
        <v/>
      </c>
      <c r="VWS671" t="str">
        <f>IFERROR(VLOOKUP(VWT671,'[3]Raw material  (3)'!VWR653:VXJ3729,3,0),"")</f>
        <v/>
      </c>
      <c r="VWT671" t="str">
        <f>IFERROR(VLOOKUP(VWU671,'[3]Raw material  (3)'!VWS653:VXK3729,3,0),"")</f>
        <v/>
      </c>
      <c r="VWU671" t="str">
        <f>IFERROR(VLOOKUP(VWV671,'[3]Raw material  (3)'!VWT653:VXL3729,3,0),"")</f>
        <v/>
      </c>
      <c r="VWV671" t="str">
        <f>IFERROR(VLOOKUP(VWW671,'[3]Raw material  (3)'!VWU653:VXM3729,3,0),"")</f>
        <v/>
      </c>
      <c r="VWW671" t="str">
        <f>IFERROR(VLOOKUP(VWX671,'[3]Raw material  (3)'!VWV653:VXN3729,3,0),"")</f>
        <v/>
      </c>
      <c r="VWX671" t="str">
        <f>IFERROR(VLOOKUP(VWY671,'[3]Raw material  (3)'!VWW653:VXO3729,3,0),"")</f>
        <v/>
      </c>
      <c r="VWY671" t="str">
        <f>IFERROR(VLOOKUP(VWZ671,'[3]Raw material  (3)'!VWX653:VXP3729,3,0),"")</f>
        <v/>
      </c>
      <c r="VWZ671" t="str">
        <f>IFERROR(VLOOKUP(VXA671,'[3]Raw material  (3)'!VWY653:VXQ3729,3,0),"")</f>
        <v/>
      </c>
      <c r="VXA671" t="str">
        <f>IFERROR(VLOOKUP(VXB671,'[3]Raw material  (3)'!VWZ653:VXR3729,3,0),"")</f>
        <v/>
      </c>
      <c r="VXB671" t="str">
        <f>IFERROR(VLOOKUP(VXC671,'[3]Raw material  (3)'!VXA653:VXS3729,3,0),"")</f>
        <v/>
      </c>
      <c r="VXC671" t="str">
        <f>IFERROR(VLOOKUP(VXD671,'[3]Raw material  (3)'!VXB653:VXT3729,3,0),"")</f>
        <v/>
      </c>
      <c r="VXD671" t="str">
        <f>IFERROR(VLOOKUP(VXE671,'[3]Raw material  (3)'!VXC653:VXU3729,3,0),"")</f>
        <v/>
      </c>
      <c r="VXE671" t="str">
        <f>IFERROR(VLOOKUP(VXF671,'[3]Raw material  (3)'!VXD653:VXV3729,3,0),"")</f>
        <v/>
      </c>
      <c r="VXF671" t="str">
        <f>IFERROR(VLOOKUP(VXG671,'[3]Raw material  (3)'!VXE653:VXW3729,3,0),"")</f>
        <v/>
      </c>
      <c r="VXG671" t="str">
        <f>IFERROR(VLOOKUP(VXH671,'[3]Raw material  (3)'!VXF653:VXX3729,3,0),"")</f>
        <v/>
      </c>
      <c r="VXH671" t="str">
        <f>IFERROR(VLOOKUP(VXI671,'[3]Raw material  (3)'!VXG653:VXY3729,3,0),"")</f>
        <v/>
      </c>
      <c r="VXI671" t="str">
        <f>IFERROR(VLOOKUP(VXJ671,'[3]Raw material  (3)'!VXH653:VXZ3729,3,0),"")</f>
        <v/>
      </c>
      <c r="VXJ671" t="str">
        <f>IFERROR(VLOOKUP(VXK671,'[3]Raw material  (3)'!VXI653:VYA3729,3,0),"")</f>
        <v/>
      </c>
      <c r="VXK671" t="str">
        <f>IFERROR(VLOOKUP(VXL671,'[3]Raw material  (3)'!VXJ653:VYB3729,3,0),"")</f>
        <v/>
      </c>
      <c r="VXL671" t="str">
        <f>IFERROR(VLOOKUP(VXM671,'[3]Raw material  (3)'!VXK653:VYC3729,3,0),"")</f>
        <v/>
      </c>
      <c r="VXM671" t="str">
        <f>IFERROR(VLOOKUP(VXN671,'[3]Raw material  (3)'!VXL653:VYD3729,3,0),"")</f>
        <v/>
      </c>
      <c r="VXN671" t="str">
        <f>IFERROR(VLOOKUP(VXO671,'[3]Raw material  (3)'!VXM653:VYE3729,3,0),"")</f>
        <v/>
      </c>
      <c r="VXO671" t="str">
        <f>IFERROR(VLOOKUP(VXP671,'[3]Raw material  (3)'!VXN653:VYF3729,3,0),"")</f>
        <v/>
      </c>
      <c r="VXP671" t="str">
        <f>IFERROR(VLOOKUP(VXQ671,'[3]Raw material  (3)'!VXO653:VYG3729,3,0),"")</f>
        <v/>
      </c>
      <c r="VXQ671" t="str">
        <f>IFERROR(VLOOKUP(VXR671,'[3]Raw material  (3)'!VXP653:VYH3729,3,0),"")</f>
        <v/>
      </c>
      <c r="VXR671" t="str">
        <f>IFERROR(VLOOKUP(VXS671,'[3]Raw material  (3)'!VXQ653:VYI3729,3,0),"")</f>
        <v/>
      </c>
      <c r="VXS671" t="str">
        <f>IFERROR(VLOOKUP(VXT671,'[3]Raw material  (3)'!VXR653:VYJ3729,3,0),"")</f>
        <v/>
      </c>
      <c r="VXT671" t="str">
        <f>IFERROR(VLOOKUP(VXU671,'[3]Raw material  (3)'!VXS653:VYK3729,3,0),"")</f>
        <v/>
      </c>
      <c r="VXU671" t="str">
        <f>IFERROR(VLOOKUP(VXV671,'[3]Raw material  (3)'!VXT653:VYL3729,3,0),"")</f>
        <v/>
      </c>
      <c r="VXV671" t="str">
        <f>IFERROR(VLOOKUP(VXW671,'[3]Raw material  (3)'!VXU653:VYM3729,3,0),"")</f>
        <v/>
      </c>
      <c r="VXW671" t="str">
        <f>IFERROR(VLOOKUP(VXX671,'[3]Raw material  (3)'!VXV653:VYN3729,3,0),"")</f>
        <v/>
      </c>
      <c r="VXX671" t="str">
        <f>IFERROR(VLOOKUP(VXY671,'[3]Raw material  (3)'!VXW653:VYO3729,3,0),"")</f>
        <v/>
      </c>
      <c r="VXY671" t="str">
        <f>IFERROR(VLOOKUP(VXZ671,'[3]Raw material  (3)'!VXX653:VYP3729,3,0),"")</f>
        <v/>
      </c>
      <c r="VXZ671" t="str">
        <f>IFERROR(VLOOKUP(VYA671,'[3]Raw material  (3)'!VXY653:VYQ3729,3,0),"")</f>
        <v/>
      </c>
      <c r="VYA671" t="str">
        <f>IFERROR(VLOOKUP(VYB671,'[3]Raw material  (3)'!VXZ653:VYR3729,3,0),"")</f>
        <v/>
      </c>
      <c r="VYB671" t="str">
        <f>IFERROR(VLOOKUP(VYC671,'[3]Raw material  (3)'!VYA653:VYS3729,3,0),"")</f>
        <v/>
      </c>
      <c r="VYC671" t="str">
        <f>IFERROR(VLOOKUP(VYD671,'[3]Raw material  (3)'!VYB653:VYT3729,3,0),"")</f>
        <v/>
      </c>
      <c r="VYD671" t="str">
        <f>IFERROR(VLOOKUP(VYE671,'[3]Raw material  (3)'!VYC653:VYU3729,3,0),"")</f>
        <v/>
      </c>
      <c r="VYE671" t="str">
        <f>IFERROR(VLOOKUP(VYF671,'[3]Raw material  (3)'!VYD653:VYV3729,3,0),"")</f>
        <v/>
      </c>
      <c r="VYF671" t="str">
        <f>IFERROR(VLOOKUP(VYG671,'[3]Raw material  (3)'!VYE653:VYW3729,3,0),"")</f>
        <v/>
      </c>
      <c r="VYG671" t="str">
        <f>IFERROR(VLOOKUP(VYH671,'[3]Raw material  (3)'!VYF653:VYX3729,3,0),"")</f>
        <v/>
      </c>
      <c r="VYH671" t="str">
        <f>IFERROR(VLOOKUP(VYI671,'[3]Raw material  (3)'!VYG653:VYY3729,3,0),"")</f>
        <v/>
      </c>
      <c r="VYI671" t="str">
        <f>IFERROR(VLOOKUP(VYJ671,'[3]Raw material  (3)'!VYH653:VYZ3729,3,0),"")</f>
        <v/>
      </c>
      <c r="VYJ671" t="str">
        <f>IFERROR(VLOOKUP(VYK671,'[3]Raw material  (3)'!VYI653:VZA3729,3,0),"")</f>
        <v/>
      </c>
      <c r="VYK671" t="str">
        <f>IFERROR(VLOOKUP(VYL671,'[3]Raw material  (3)'!VYJ653:VZB3729,3,0),"")</f>
        <v/>
      </c>
      <c r="VYL671" t="str">
        <f>IFERROR(VLOOKUP(VYM671,'[3]Raw material  (3)'!VYK653:VZC3729,3,0),"")</f>
        <v/>
      </c>
      <c r="VYM671" t="str">
        <f>IFERROR(VLOOKUP(VYN671,'[3]Raw material  (3)'!VYL653:VZD3729,3,0),"")</f>
        <v/>
      </c>
      <c r="VYN671" t="str">
        <f>IFERROR(VLOOKUP(VYO671,'[3]Raw material  (3)'!VYM653:VZE3729,3,0),"")</f>
        <v/>
      </c>
      <c r="VYO671" t="str">
        <f>IFERROR(VLOOKUP(VYP671,'[3]Raw material  (3)'!VYN653:VZF3729,3,0),"")</f>
        <v/>
      </c>
      <c r="VYP671" t="str">
        <f>IFERROR(VLOOKUP(VYQ671,'[3]Raw material  (3)'!VYO653:VZG3729,3,0),"")</f>
        <v/>
      </c>
      <c r="VYQ671" t="str">
        <f>IFERROR(VLOOKUP(VYR671,'[3]Raw material  (3)'!VYP653:VZH3729,3,0),"")</f>
        <v/>
      </c>
      <c r="VYR671" t="str">
        <f>IFERROR(VLOOKUP(VYS671,'[3]Raw material  (3)'!VYQ653:VZI3729,3,0),"")</f>
        <v/>
      </c>
      <c r="VYS671" t="str">
        <f>IFERROR(VLOOKUP(VYT671,'[3]Raw material  (3)'!VYR653:VZJ3729,3,0),"")</f>
        <v/>
      </c>
      <c r="VYT671" t="str">
        <f>IFERROR(VLOOKUP(VYU671,'[3]Raw material  (3)'!VYS653:VZK3729,3,0),"")</f>
        <v/>
      </c>
      <c r="VYU671" t="str">
        <f>IFERROR(VLOOKUP(VYV671,'[3]Raw material  (3)'!VYT653:VZL3729,3,0),"")</f>
        <v/>
      </c>
      <c r="VYV671" t="str">
        <f>IFERROR(VLOOKUP(VYW671,'[3]Raw material  (3)'!VYU653:VZM3729,3,0),"")</f>
        <v/>
      </c>
      <c r="VYW671" t="str">
        <f>IFERROR(VLOOKUP(VYX671,'[3]Raw material  (3)'!VYV653:VZN3729,3,0),"")</f>
        <v/>
      </c>
      <c r="VYX671" t="str">
        <f>IFERROR(VLOOKUP(VYY671,'[3]Raw material  (3)'!VYW653:VZO3729,3,0),"")</f>
        <v/>
      </c>
      <c r="VYY671" t="str">
        <f>IFERROR(VLOOKUP(VYZ671,'[3]Raw material  (3)'!VYX653:VZP3729,3,0),"")</f>
        <v/>
      </c>
      <c r="VYZ671" t="str">
        <f>IFERROR(VLOOKUP(VZA671,'[3]Raw material  (3)'!VYY653:VZQ3729,3,0),"")</f>
        <v/>
      </c>
      <c r="VZA671" t="str">
        <f>IFERROR(VLOOKUP(VZB671,'[3]Raw material  (3)'!VYZ653:VZR3729,3,0),"")</f>
        <v/>
      </c>
      <c r="VZB671" t="str">
        <f>IFERROR(VLOOKUP(VZC671,'[3]Raw material  (3)'!VZA653:VZS3729,3,0),"")</f>
        <v/>
      </c>
      <c r="VZC671" t="str">
        <f>IFERROR(VLOOKUP(VZD671,'[3]Raw material  (3)'!VZB653:VZT3729,3,0),"")</f>
        <v/>
      </c>
      <c r="VZD671" t="str">
        <f>IFERROR(VLOOKUP(VZE671,'[3]Raw material  (3)'!VZC653:VZU3729,3,0),"")</f>
        <v/>
      </c>
      <c r="VZE671" t="str">
        <f>IFERROR(VLOOKUP(VZF671,'[3]Raw material  (3)'!VZD653:VZV3729,3,0),"")</f>
        <v/>
      </c>
      <c r="VZF671" t="str">
        <f>IFERROR(VLOOKUP(VZG671,'[3]Raw material  (3)'!VZE653:VZW3729,3,0),"")</f>
        <v/>
      </c>
      <c r="VZG671" t="str">
        <f>IFERROR(VLOOKUP(VZH671,'[3]Raw material  (3)'!VZF653:VZX3729,3,0),"")</f>
        <v/>
      </c>
      <c r="VZH671" t="str">
        <f>IFERROR(VLOOKUP(VZI671,'[3]Raw material  (3)'!VZG653:VZY3729,3,0),"")</f>
        <v/>
      </c>
      <c r="VZI671" t="str">
        <f>IFERROR(VLOOKUP(VZJ671,'[3]Raw material  (3)'!VZH653:VZZ3729,3,0),"")</f>
        <v/>
      </c>
      <c r="VZJ671" t="str">
        <f>IFERROR(VLOOKUP(VZK671,'[3]Raw material  (3)'!VZI653:WAA3729,3,0),"")</f>
        <v/>
      </c>
      <c r="VZK671" t="str">
        <f>IFERROR(VLOOKUP(VZL671,'[3]Raw material  (3)'!VZJ653:WAB3729,3,0),"")</f>
        <v/>
      </c>
      <c r="VZL671" t="str">
        <f>IFERROR(VLOOKUP(VZM671,'[3]Raw material  (3)'!VZK653:WAC3729,3,0),"")</f>
        <v/>
      </c>
      <c r="VZM671" t="str">
        <f>IFERROR(VLOOKUP(VZN671,'[3]Raw material  (3)'!VZL653:WAD3729,3,0),"")</f>
        <v/>
      </c>
      <c r="VZN671" t="str">
        <f>IFERROR(VLOOKUP(VZO671,'[3]Raw material  (3)'!VZM653:WAE3729,3,0),"")</f>
        <v/>
      </c>
      <c r="VZO671" t="str">
        <f>IFERROR(VLOOKUP(VZP671,'[3]Raw material  (3)'!VZN653:WAF3729,3,0),"")</f>
        <v/>
      </c>
      <c r="VZP671" t="str">
        <f>IFERROR(VLOOKUP(VZQ671,'[3]Raw material  (3)'!VZO653:WAG3729,3,0),"")</f>
        <v/>
      </c>
      <c r="VZQ671" t="str">
        <f>IFERROR(VLOOKUP(VZR671,'[3]Raw material  (3)'!VZP653:WAH3729,3,0),"")</f>
        <v/>
      </c>
      <c r="VZR671" t="str">
        <f>IFERROR(VLOOKUP(VZS671,'[3]Raw material  (3)'!VZQ653:WAI3729,3,0),"")</f>
        <v/>
      </c>
      <c r="VZS671" t="str">
        <f>IFERROR(VLOOKUP(VZT671,'[3]Raw material  (3)'!VZR653:WAJ3729,3,0),"")</f>
        <v/>
      </c>
      <c r="VZT671" t="str">
        <f>IFERROR(VLOOKUP(VZU671,'[3]Raw material  (3)'!VZS653:WAK3729,3,0),"")</f>
        <v/>
      </c>
      <c r="VZU671" t="str">
        <f>IFERROR(VLOOKUP(VZV671,'[3]Raw material  (3)'!VZT653:WAL3729,3,0),"")</f>
        <v/>
      </c>
      <c r="VZV671" t="str">
        <f>IFERROR(VLOOKUP(VZW671,'[3]Raw material  (3)'!VZU653:WAM3729,3,0),"")</f>
        <v/>
      </c>
      <c r="VZW671" t="str">
        <f>IFERROR(VLOOKUP(VZX671,'[3]Raw material  (3)'!VZV653:WAN3729,3,0),"")</f>
        <v/>
      </c>
      <c r="VZX671" t="str">
        <f>IFERROR(VLOOKUP(VZY671,'[3]Raw material  (3)'!VZW653:WAO3729,3,0),"")</f>
        <v/>
      </c>
      <c r="VZY671" t="str">
        <f>IFERROR(VLOOKUP(VZZ671,'[3]Raw material  (3)'!VZX653:WAP3729,3,0),"")</f>
        <v/>
      </c>
      <c r="VZZ671" t="str">
        <f>IFERROR(VLOOKUP(WAA671,'[3]Raw material  (3)'!VZY653:WAQ3729,3,0),"")</f>
        <v/>
      </c>
      <c r="WAA671" t="str">
        <f>IFERROR(VLOOKUP(WAB671,'[3]Raw material  (3)'!VZZ653:WAR3729,3,0),"")</f>
        <v/>
      </c>
      <c r="WAB671" t="str">
        <f>IFERROR(VLOOKUP(WAC671,'[3]Raw material  (3)'!WAA653:WAS3729,3,0),"")</f>
        <v/>
      </c>
      <c r="WAC671" t="str">
        <f>IFERROR(VLOOKUP(WAD671,'[3]Raw material  (3)'!WAB653:WAT3729,3,0),"")</f>
        <v/>
      </c>
      <c r="WAD671" t="str">
        <f>IFERROR(VLOOKUP(WAE671,'[3]Raw material  (3)'!WAC653:WAU3729,3,0),"")</f>
        <v/>
      </c>
      <c r="WAE671" t="str">
        <f>IFERROR(VLOOKUP(WAF671,'[3]Raw material  (3)'!WAD653:WAV3729,3,0),"")</f>
        <v/>
      </c>
      <c r="WAF671" t="str">
        <f>IFERROR(VLOOKUP(WAG671,'[3]Raw material  (3)'!WAE653:WAW3729,3,0),"")</f>
        <v/>
      </c>
      <c r="WAG671" t="str">
        <f>IFERROR(VLOOKUP(WAH671,'[3]Raw material  (3)'!WAF653:WAX3729,3,0),"")</f>
        <v/>
      </c>
      <c r="WAH671" t="str">
        <f>IFERROR(VLOOKUP(WAI671,'[3]Raw material  (3)'!WAG653:WAY3729,3,0),"")</f>
        <v/>
      </c>
      <c r="WAI671" t="str">
        <f>IFERROR(VLOOKUP(WAJ671,'[3]Raw material  (3)'!WAH653:WAZ3729,3,0),"")</f>
        <v/>
      </c>
      <c r="WAJ671" t="str">
        <f>IFERROR(VLOOKUP(WAK671,'[3]Raw material  (3)'!WAI653:WBA3729,3,0),"")</f>
        <v/>
      </c>
      <c r="WAK671" t="str">
        <f>IFERROR(VLOOKUP(WAL671,'[3]Raw material  (3)'!WAJ653:WBB3729,3,0),"")</f>
        <v/>
      </c>
      <c r="WAL671" t="str">
        <f>IFERROR(VLOOKUP(WAM671,'[3]Raw material  (3)'!WAK653:WBC3729,3,0),"")</f>
        <v/>
      </c>
      <c r="WAM671" t="str">
        <f>IFERROR(VLOOKUP(WAN671,'[3]Raw material  (3)'!WAL653:WBD3729,3,0),"")</f>
        <v/>
      </c>
      <c r="WAN671" t="str">
        <f>IFERROR(VLOOKUP(WAO671,'[3]Raw material  (3)'!WAM653:WBE3729,3,0),"")</f>
        <v/>
      </c>
      <c r="WAO671" t="str">
        <f>IFERROR(VLOOKUP(WAP671,'[3]Raw material  (3)'!WAN653:WBF3729,3,0),"")</f>
        <v/>
      </c>
      <c r="WAP671" t="str">
        <f>IFERROR(VLOOKUP(WAQ671,'[3]Raw material  (3)'!WAO653:WBG3729,3,0),"")</f>
        <v/>
      </c>
      <c r="WAQ671" t="str">
        <f>IFERROR(VLOOKUP(WAR671,'[3]Raw material  (3)'!WAP653:WBH3729,3,0),"")</f>
        <v/>
      </c>
      <c r="WAR671" t="str">
        <f>IFERROR(VLOOKUP(WAS671,'[3]Raw material  (3)'!WAQ653:WBI3729,3,0),"")</f>
        <v/>
      </c>
      <c r="WAS671" t="str">
        <f>IFERROR(VLOOKUP(WAT671,'[3]Raw material  (3)'!WAR653:WBJ3729,3,0),"")</f>
        <v/>
      </c>
      <c r="WAT671" t="str">
        <f>IFERROR(VLOOKUP(WAU671,'[3]Raw material  (3)'!WAS653:WBK3729,3,0),"")</f>
        <v/>
      </c>
      <c r="WAU671" t="str">
        <f>IFERROR(VLOOKUP(WAV671,'[3]Raw material  (3)'!WAT653:WBL3729,3,0),"")</f>
        <v/>
      </c>
      <c r="WAV671" t="str">
        <f>IFERROR(VLOOKUP(WAW671,'[3]Raw material  (3)'!WAU653:WBM3729,3,0),"")</f>
        <v/>
      </c>
      <c r="WAW671" t="str">
        <f>IFERROR(VLOOKUP(WAX671,'[3]Raw material  (3)'!WAV653:WBN3729,3,0),"")</f>
        <v/>
      </c>
      <c r="WAX671" t="str">
        <f>IFERROR(VLOOKUP(WAY671,'[3]Raw material  (3)'!WAW653:WBO3729,3,0),"")</f>
        <v/>
      </c>
      <c r="WAY671" t="str">
        <f>IFERROR(VLOOKUP(WAZ671,'[3]Raw material  (3)'!WAX653:WBP3729,3,0),"")</f>
        <v/>
      </c>
      <c r="WAZ671" t="str">
        <f>IFERROR(VLOOKUP(WBA671,'[3]Raw material  (3)'!WAY653:WBQ3729,3,0),"")</f>
        <v/>
      </c>
      <c r="WBA671" t="str">
        <f>IFERROR(VLOOKUP(WBB671,'[3]Raw material  (3)'!WAZ653:WBR3729,3,0),"")</f>
        <v/>
      </c>
      <c r="WBB671" t="str">
        <f>IFERROR(VLOOKUP(WBC671,'[3]Raw material  (3)'!WBA653:WBS3729,3,0),"")</f>
        <v/>
      </c>
      <c r="WBC671" t="str">
        <f>IFERROR(VLOOKUP(WBD671,'[3]Raw material  (3)'!WBB653:WBT3729,3,0),"")</f>
        <v/>
      </c>
      <c r="WBD671" t="str">
        <f>IFERROR(VLOOKUP(WBE671,'[3]Raw material  (3)'!WBC653:WBU3729,3,0),"")</f>
        <v/>
      </c>
      <c r="WBE671" t="str">
        <f>IFERROR(VLOOKUP(WBF671,'[3]Raw material  (3)'!WBD653:WBV3729,3,0),"")</f>
        <v/>
      </c>
      <c r="WBF671" t="str">
        <f>IFERROR(VLOOKUP(WBG671,'[3]Raw material  (3)'!WBE653:WBW3729,3,0),"")</f>
        <v/>
      </c>
      <c r="WBG671" t="str">
        <f>IFERROR(VLOOKUP(WBH671,'[3]Raw material  (3)'!WBF653:WBX3729,3,0),"")</f>
        <v/>
      </c>
      <c r="WBH671" t="str">
        <f>IFERROR(VLOOKUP(WBI671,'[3]Raw material  (3)'!WBG653:WBY3729,3,0),"")</f>
        <v/>
      </c>
      <c r="WBI671" t="str">
        <f>IFERROR(VLOOKUP(WBJ671,'[3]Raw material  (3)'!WBH653:WBZ3729,3,0),"")</f>
        <v/>
      </c>
      <c r="WBJ671" t="str">
        <f>IFERROR(VLOOKUP(WBK671,'[3]Raw material  (3)'!WBI653:WCA3729,3,0),"")</f>
        <v/>
      </c>
      <c r="WBK671" t="str">
        <f>IFERROR(VLOOKUP(WBL671,'[3]Raw material  (3)'!WBJ653:WCB3729,3,0),"")</f>
        <v/>
      </c>
      <c r="WBL671" t="str">
        <f>IFERROR(VLOOKUP(WBM671,'[3]Raw material  (3)'!WBK653:WCC3729,3,0),"")</f>
        <v/>
      </c>
      <c r="WBM671" t="str">
        <f>IFERROR(VLOOKUP(WBN671,'[3]Raw material  (3)'!WBL653:WCD3729,3,0),"")</f>
        <v/>
      </c>
      <c r="WBN671" t="str">
        <f>IFERROR(VLOOKUP(WBO671,'[3]Raw material  (3)'!WBM653:WCE3729,3,0),"")</f>
        <v/>
      </c>
      <c r="WBO671" t="str">
        <f>IFERROR(VLOOKUP(WBP671,'[3]Raw material  (3)'!WBN653:WCF3729,3,0),"")</f>
        <v/>
      </c>
      <c r="WBP671" t="str">
        <f>IFERROR(VLOOKUP(WBQ671,'[3]Raw material  (3)'!WBO653:WCG3729,3,0),"")</f>
        <v/>
      </c>
      <c r="WBQ671" t="str">
        <f>IFERROR(VLOOKUP(WBR671,'[3]Raw material  (3)'!WBP653:WCH3729,3,0),"")</f>
        <v/>
      </c>
      <c r="WBR671" t="str">
        <f>IFERROR(VLOOKUP(WBS671,'[3]Raw material  (3)'!WBQ653:WCI3729,3,0),"")</f>
        <v/>
      </c>
      <c r="WBS671" t="str">
        <f>IFERROR(VLOOKUP(WBT671,'[3]Raw material  (3)'!WBR653:WCJ3729,3,0),"")</f>
        <v/>
      </c>
      <c r="WBT671" t="str">
        <f>IFERROR(VLOOKUP(WBU671,'[3]Raw material  (3)'!WBS653:WCK3729,3,0),"")</f>
        <v/>
      </c>
      <c r="WBU671" t="str">
        <f>IFERROR(VLOOKUP(WBV671,'[3]Raw material  (3)'!WBT653:WCL3729,3,0),"")</f>
        <v/>
      </c>
      <c r="WBV671" t="str">
        <f>IFERROR(VLOOKUP(WBW671,'[3]Raw material  (3)'!WBU653:WCM3729,3,0),"")</f>
        <v/>
      </c>
      <c r="WBW671" t="str">
        <f>IFERROR(VLOOKUP(WBX671,'[3]Raw material  (3)'!WBV653:WCN3729,3,0),"")</f>
        <v/>
      </c>
      <c r="WBX671" t="str">
        <f>IFERROR(VLOOKUP(WBY671,'[3]Raw material  (3)'!WBW653:WCO3729,3,0),"")</f>
        <v/>
      </c>
      <c r="WBY671" t="str">
        <f>IFERROR(VLOOKUP(WBZ671,'[3]Raw material  (3)'!WBX653:WCP3729,3,0),"")</f>
        <v/>
      </c>
      <c r="WBZ671" t="str">
        <f>IFERROR(VLOOKUP(WCA671,'[3]Raw material  (3)'!WBY653:WCQ3729,3,0),"")</f>
        <v/>
      </c>
      <c r="WCA671" t="str">
        <f>IFERROR(VLOOKUP(WCB671,'[3]Raw material  (3)'!WBZ653:WCR3729,3,0),"")</f>
        <v/>
      </c>
      <c r="WCB671" t="str">
        <f>IFERROR(VLOOKUP(WCC671,'[3]Raw material  (3)'!WCA653:WCS3729,3,0),"")</f>
        <v/>
      </c>
      <c r="WCC671" t="str">
        <f>IFERROR(VLOOKUP(WCD671,'[3]Raw material  (3)'!WCB653:WCT3729,3,0),"")</f>
        <v/>
      </c>
      <c r="WCD671" t="str">
        <f>IFERROR(VLOOKUP(WCE671,'[3]Raw material  (3)'!WCC653:WCU3729,3,0),"")</f>
        <v/>
      </c>
      <c r="WCE671" t="str">
        <f>IFERROR(VLOOKUP(WCF671,'[3]Raw material  (3)'!WCD653:WCV3729,3,0),"")</f>
        <v/>
      </c>
      <c r="WCF671" t="str">
        <f>IFERROR(VLOOKUP(WCG671,'[3]Raw material  (3)'!WCE653:WCW3729,3,0),"")</f>
        <v/>
      </c>
      <c r="WCG671" t="str">
        <f>IFERROR(VLOOKUP(WCH671,'[3]Raw material  (3)'!WCF653:WCX3729,3,0),"")</f>
        <v/>
      </c>
      <c r="WCH671" t="str">
        <f>IFERROR(VLOOKUP(WCI671,'[3]Raw material  (3)'!WCG653:WCY3729,3,0),"")</f>
        <v/>
      </c>
      <c r="WCI671" t="str">
        <f>IFERROR(VLOOKUP(WCJ671,'[3]Raw material  (3)'!WCH653:WCZ3729,3,0),"")</f>
        <v/>
      </c>
      <c r="WCJ671" t="str">
        <f>IFERROR(VLOOKUP(WCK671,'[3]Raw material  (3)'!WCI653:WDA3729,3,0),"")</f>
        <v/>
      </c>
      <c r="WCK671" t="str">
        <f>IFERROR(VLOOKUP(WCL671,'[3]Raw material  (3)'!WCJ653:WDB3729,3,0),"")</f>
        <v/>
      </c>
      <c r="WCL671" t="str">
        <f>IFERROR(VLOOKUP(WCM671,'[3]Raw material  (3)'!WCK653:WDC3729,3,0),"")</f>
        <v/>
      </c>
      <c r="WCM671" t="str">
        <f>IFERROR(VLOOKUP(WCN671,'[3]Raw material  (3)'!WCL653:WDD3729,3,0),"")</f>
        <v/>
      </c>
      <c r="WCN671" t="str">
        <f>IFERROR(VLOOKUP(WCO671,'[3]Raw material  (3)'!WCM653:WDE3729,3,0),"")</f>
        <v/>
      </c>
      <c r="WCO671" t="str">
        <f>IFERROR(VLOOKUP(WCP671,'[3]Raw material  (3)'!WCN653:WDF3729,3,0),"")</f>
        <v/>
      </c>
      <c r="WCP671" t="str">
        <f>IFERROR(VLOOKUP(WCQ671,'[3]Raw material  (3)'!WCO653:WDG3729,3,0),"")</f>
        <v/>
      </c>
      <c r="WCQ671" t="str">
        <f>IFERROR(VLOOKUP(WCR671,'[3]Raw material  (3)'!WCP653:WDH3729,3,0),"")</f>
        <v/>
      </c>
      <c r="WCR671" t="str">
        <f>IFERROR(VLOOKUP(WCS671,'[3]Raw material  (3)'!WCQ653:WDI3729,3,0),"")</f>
        <v/>
      </c>
      <c r="WCS671" t="str">
        <f>IFERROR(VLOOKUP(WCT671,'[3]Raw material  (3)'!WCR653:WDJ3729,3,0),"")</f>
        <v/>
      </c>
      <c r="WCT671" t="str">
        <f>IFERROR(VLOOKUP(WCU671,'[3]Raw material  (3)'!WCS653:WDK3729,3,0),"")</f>
        <v/>
      </c>
      <c r="WCU671" t="str">
        <f>IFERROR(VLOOKUP(WCV671,'[3]Raw material  (3)'!WCT653:WDL3729,3,0),"")</f>
        <v/>
      </c>
      <c r="WCV671" t="str">
        <f>IFERROR(VLOOKUP(WCW671,'[3]Raw material  (3)'!WCU653:WDM3729,3,0),"")</f>
        <v/>
      </c>
      <c r="WCW671" t="str">
        <f>IFERROR(VLOOKUP(WCX671,'[3]Raw material  (3)'!WCV653:WDN3729,3,0),"")</f>
        <v/>
      </c>
      <c r="WCX671" t="str">
        <f>IFERROR(VLOOKUP(WCY671,'[3]Raw material  (3)'!WCW653:WDO3729,3,0),"")</f>
        <v/>
      </c>
      <c r="WCY671" t="str">
        <f>IFERROR(VLOOKUP(WCZ671,'[3]Raw material  (3)'!WCX653:WDP3729,3,0),"")</f>
        <v/>
      </c>
      <c r="WCZ671" t="str">
        <f>IFERROR(VLOOKUP(WDA671,'[3]Raw material  (3)'!WCY653:WDQ3729,3,0),"")</f>
        <v/>
      </c>
      <c r="WDA671" t="str">
        <f>IFERROR(VLOOKUP(WDB671,'[3]Raw material  (3)'!WCZ653:WDR3729,3,0),"")</f>
        <v/>
      </c>
      <c r="WDB671" t="str">
        <f>IFERROR(VLOOKUP(WDC671,'[3]Raw material  (3)'!WDA653:WDS3729,3,0),"")</f>
        <v/>
      </c>
      <c r="WDC671" t="str">
        <f>IFERROR(VLOOKUP(WDD671,'[3]Raw material  (3)'!WDB653:WDT3729,3,0),"")</f>
        <v/>
      </c>
      <c r="WDD671" t="str">
        <f>IFERROR(VLOOKUP(WDE671,'[3]Raw material  (3)'!WDC653:WDU3729,3,0),"")</f>
        <v/>
      </c>
      <c r="WDE671" t="str">
        <f>IFERROR(VLOOKUP(WDF671,'[3]Raw material  (3)'!WDD653:WDV3729,3,0),"")</f>
        <v/>
      </c>
      <c r="WDF671" t="str">
        <f>IFERROR(VLOOKUP(WDG671,'[3]Raw material  (3)'!WDE653:WDW3729,3,0),"")</f>
        <v/>
      </c>
      <c r="WDG671" t="str">
        <f>IFERROR(VLOOKUP(WDH671,'[3]Raw material  (3)'!WDF653:WDX3729,3,0),"")</f>
        <v/>
      </c>
      <c r="WDH671" t="str">
        <f>IFERROR(VLOOKUP(WDI671,'[3]Raw material  (3)'!WDG653:WDY3729,3,0),"")</f>
        <v/>
      </c>
      <c r="WDI671" t="str">
        <f>IFERROR(VLOOKUP(WDJ671,'[3]Raw material  (3)'!WDH653:WDZ3729,3,0),"")</f>
        <v/>
      </c>
      <c r="WDJ671" t="str">
        <f>IFERROR(VLOOKUP(WDK671,'[3]Raw material  (3)'!WDI653:WEA3729,3,0),"")</f>
        <v/>
      </c>
      <c r="WDK671" t="str">
        <f>IFERROR(VLOOKUP(WDL671,'[3]Raw material  (3)'!WDJ653:WEB3729,3,0),"")</f>
        <v/>
      </c>
      <c r="WDL671" t="str">
        <f>IFERROR(VLOOKUP(WDM671,'[3]Raw material  (3)'!WDK653:WEC3729,3,0),"")</f>
        <v/>
      </c>
      <c r="WDM671" t="str">
        <f>IFERROR(VLOOKUP(WDN671,'[3]Raw material  (3)'!WDL653:WED3729,3,0),"")</f>
        <v/>
      </c>
      <c r="WDN671" t="str">
        <f>IFERROR(VLOOKUP(WDO671,'[3]Raw material  (3)'!WDM653:WEE3729,3,0),"")</f>
        <v/>
      </c>
      <c r="WDO671" t="str">
        <f>IFERROR(VLOOKUP(WDP671,'[3]Raw material  (3)'!WDN653:WEF3729,3,0),"")</f>
        <v/>
      </c>
      <c r="WDP671" t="str">
        <f>IFERROR(VLOOKUP(WDQ671,'[3]Raw material  (3)'!WDO653:WEG3729,3,0),"")</f>
        <v/>
      </c>
      <c r="WDQ671" t="str">
        <f>IFERROR(VLOOKUP(WDR671,'[3]Raw material  (3)'!WDP653:WEH3729,3,0),"")</f>
        <v/>
      </c>
      <c r="WDR671" t="str">
        <f>IFERROR(VLOOKUP(WDS671,'[3]Raw material  (3)'!WDQ653:WEI3729,3,0),"")</f>
        <v/>
      </c>
      <c r="WDS671" t="str">
        <f>IFERROR(VLOOKUP(WDT671,'[3]Raw material  (3)'!WDR653:WEJ3729,3,0),"")</f>
        <v/>
      </c>
      <c r="WDT671" t="str">
        <f>IFERROR(VLOOKUP(WDU671,'[3]Raw material  (3)'!WDS653:WEK3729,3,0),"")</f>
        <v/>
      </c>
      <c r="WDU671" t="str">
        <f>IFERROR(VLOOKUP(WDV671,'[3]Raw material  (3)'!WDT653:WEL3729,3,0),"")</f>
        <v/>
      </c>
      <c r="WDV671" t="str">
        <f>IFERROR(VLOOKUP(WDW671,'[3]Raw material  (3)'!WDU653:WEM3729,3,0),"")</f>
        <v/>
      </c>
      <c r="WDW671" t="str">
        <f>IFERROR(VLOOKUP(WDX671,'[3]Raw material  (3)'!WDV653:WEN3729,3,0),"")</f>
        <v/>
      </c>
      <c r="WDX671" t="str">
        <f>IFERROR(VLOOKUP(WDY671,'[3]Raw material  (3)'!WDW653:WEO3729,3,0),"")</f>
        <v/>
      </c>
      <c r="WDY671" t="str">
        <f>IFERROR(VLOOKUP(WDZ671,'[3]Raw material  (3)'!WDX653:WEP3729,3,0),"")</f>
        <v/>
      </c>
      <c r="WDZ671" t="str">
        <f>IFERROR(VLOOKUP(WEA671,'[3]Raw material  (3)'!WDY653:WEQ3729,3,0),"")</f>
        <v/>
      </c>
      <c r="WEA671" t="str">
        <f>IFERROR(VLOOKUP(WEB671,'[3]Raw material  (3)'!WDZ653:WER3729,3,0),"")</f>
        <v/>
      </c>
      <c r="WEB671" t="str">
        <f>IFERROR(VLOOKUP(WEC671,'[3]Raw material  (3)'!WEA653:WES3729,3,0),"")</f>
        <v/>
      </c>
      <c r="WEC671" t="str">
        <f>IFERROR(VLOOKUP(WED671,'[3]Raw material  (3)'!WEB653:WET3729,3,0),"")</f>
        <v/>
      </c>
      <c r="WED671" t="str">
        <f>IFERROR(VLOOKUP(WEE671,'[3]Raw material  (3)'!WEC653:WEU3729,3,0),"")</f>
        <v/>
      </c>
      <c r="WEE671" t="str">
        <f>IFERROR(VLOOKUP(WEF671,'[3]Raw material  (3)'!WED653:WEV3729,3,0),"")</f>
        <v/>
      </c>
      <c r="WEF671" t="str">
        <f>IFERROR(VLOOKUP(WEG671,'[3]Raw material  (3)'!WEE653:WEW3729,3,0),"")</f>
        <v/>
      </c>
      <c r="WEG671" t="str">
        <f>IFERROR(VLOOKUP(WEH671,'[3]Raw material  (3)'!WEF653:WEX3729,3,0),"")</f>
        <v/>
      </c>
      <c r="WEH671" t="str">
        <f>IFERROR(VLOOKUP(WEI671,'[3]Raw material  (3)'!WEG653:WEY3729,3,0),"")</f>
        <v/>
      </c>
      <c r="WEI671" t="str">
        <f>IFERROR(VLOOKUP(WEJ671,'[3]Raw material  (3)'!WEH653:WEZ3729,3,0),"")</f>
        <v/>
      </c>
      <c r="WEJ671" t="str">
        <f>IFERROR(VLOOKUP(WEK671,'[3]Raw material  (3)'!WEI653:WFA3729,3,0),"")</f>
        <v/>
      </c>
      <c r="WEK671" t="str">
        <f>IFERROR(VLOOKUP(WEL671,'[3]Raw material  (3)'!WEJ653:WFB3729,3,0),"")</f>
        <v/>
      </c>
      <c r="WEL671" t="str">
        <f>IFERROR(VLOOKUP(WEM671,'[3]Raw material  (3)'!WEK653:WFC3729,3,0),"")</f>
        <v/>
      </c>
      <c r="WEM671" t="str">
        <f>IFERROR(VLOOKUP(WEN671,'[3]Raw material  (3)'!WEL653:WFD3729,3,0),"")</f>
        <v/>
      </c>
      <c r="WEN671" t="str">
        <f>IFERROR(VLOOKUP(WEO671,'[3]Raw material  (3)'!WEM653:WFE3729,3,0),"")</f>
        <v/>
      </c>
      <c r="WEO671" t="str">
        <f>IFERROR(VLOOKUP(WEP671,'[3]Raw material  (3)'!WEN653:WFF3729,3,0),"")</f>
        <v/>
      </c>
      <c r="WEP671" t="str">
        <f>IFERROR(VLOOKUP(WEQ671,'[3]Raw material  (3)'!WEO653:WFG3729,3,0),"")</f>
        <v/>
      </c>
      <c r="WEQ671" t="str">
        <f>IFERROR(VLOOKUP(WER671,'[3]Raw material  (3)'!WEP653:WFH3729,3,0),"")</f>
        <v/>
      </c>
      <c r="WER671" t="str">
        <f>IFERROR(VLOOKUP(WES671,'[3]Raw material  (3)'!WEQ653:WFI3729,3,0),"")</f>
        <v/>
      </c>
      <c r="WES671" t="str">
        <f>IFERROR(VLOOKUP(WET671,'[3]Raw material  (3)'!WER653:WFJ3729,3,0),"")</f>
        <v/>
      </c>
      <c r="WET671" t="str">
        <f>IFERROR(VLOOKUP(WEU671,'[3]Raw material  (3)'!WES653:WFK3729,3,0),"")</f>
        <v/>
      </c>
      <c r="WEU671" t="str">
        <f>IFERROR(VLOOKUP(WEV671,'[3]Raw material  (3)'!WET653:WFL3729,3,0),"")</f>
        <v/>
      </c>
      <c r="WEV671" t="str">
        <f>IFERROR(VLOOKUP(WEW671,'[3]Raw material  (3)'!WEU653:WFM3729,3,0),"")</f>
        <v/>
      </c>
      <c r="WEW671" t="str">
        <f>IFERROR(VLOOKUP(WEX671,'[3]Raw material  (3)'!WEV653:WFN3729,3,0),"")</f>
        <v/>
      </c>
      <c r="WEX671" t="str">
        <f>IFERROR(VLOOKUP(WEY671,'[3]Raw material  (3)'!WEW653:WFO3729,3,0),"")</f>
        <v/>
      </c>
      <c r="WEY671" t="str">
        <f>IFERROR(VLOOKUP(WEZ671,'[3]Raw material  (3)'!WEX653:WFP3729,3,0),"")</f>
        <v/>
      </c>
      <c r="WEZ671" t="str">
        <f>IFERROR(VLOOKUP(WFA671,'[3]Raw material  (3)'!WEY653:WFQ3729,3,0),"")</f>
        <v/>
      </c>
      <c r="WFA671" t="str">
        <f>IFERROR(VLOOKUP(WFB671,'[3]Raw material  (3)'!WEZ653:WFR3729,3,0),"")</f>
        <v/>
      </c>
      <c r="WFB671" t="str">
        <f>IFERROR(VLOOKUP(WFC671,'[3]Raw material  (3)'!WFA653:WFS3729,3,0),"")</f>
        <v/>
      </c>
      <c r="WFC671" t="str">
        <f>IFERROR(VLOOKUP(WFD671,'[3]Raw material  (3)'!WFB653:WFT3729,3,0),"")</f>
        <v/>
      </c>
      <c r="WFD671" t="str">
        <f>IFERROR(VLOOKUP(WFE671,'[3]Raw material  (3)'!WFC653:WFU3729,3,0),"")</f>
        <v/>
      </c>
      <c r="WFE671" t="str">
        <f>IFERROR(VLOOKUP(WFF671,'[3]Raw material  (3)'!WFD653:WFV3729,3,0),"")</f>
        <v/>
      </c>
      <c r="WFF671" t="str">
        <f>IFERROR(VLOOKUP(WFG671,'[3]Raw material  (3)'!WFE653:WFW3729,3,0),"")</f>
        <v/>
      </c>
      <c r="WFG671" t="str">
        <f>IFERROR(VLOOKUP(WFH671,'[3]Raw material  (3)'!WFF653:WFX3729,3,0),"")</f>
        <v/>
      </c>
      <c r="WFH671" t="str">
        <f>IFERROR(VLOOKUP(WFI671,'[3]Raw material  (3)'!WFG653:WFY3729,3,0),"")</f>
        <v/>
      </c>
      <c r="WFI671" t="str">
        <f>IFERROR(VLOOKUP(WFJ671,'[3]Raw material  (3)'!WFH653:WFZ3729,3,0),"")</f>
        <v/>
      </c>
      <c r="WFJ671" t="str">
        <f>IFERROR(VLOOKUP(WFK671,'[3]Raw material  (3)'!WFI653:WGA3729,3,0),"")</f>
        <v/>
      </c>
      <c r="WFK671" t="str">
        <f>IFERROR(VLOOKUP(WFL671,'[3]Raw material  (3)'!WFJ653:WGB3729,3,0),"")</f>
        <v/>
      </c>
      <c r="WFL671" t="str">
        <f>IFERROR(VLOOKUP(WFM671,'[3]Raw material  (3)'!WFK653:WGC3729,3,0),"")</f>
        <v/>
      </c>
      <c r="WFM671" t="str">
        <f>IFERROR(VLOOKUP(WFN671,'[3]Raw material  (3)'!WFL653:WGD3729,3,0),"")</f>
        <v/>
      </c>
      <c r="WFN671" t="str">
        <f>IFERROR(VLOOKUP(WFO671,'[3]Raw material  (3)'!WFM653:WGE3729,3,0),"")</f>
        <v/>
      </c>
      <c r="WFO671" t="str">
        <f>IFERROR(VLOOKUP(WFP671,'[3]Raw material  (3)'!WFN653:WGF3729,3,0),"")</f>
        <v/>
      </c>
      <c r="WFP671" t="str">
        <f>IFERROR(VLOOKUP(WFQ671,'[3]Raw material  (3)'!WFO653:WGG3729,3,0),"")</f>
        <v/>
      </c>
      <c r="WFQ671" t="str">
        <f>IFERROR(VLOOKUP(WFR671,'[3]Raw material  (3)'!WFP653:WGH3729,3,0),"")</f>
        <v/>
      </c>
      <c r="WFR671" t="str">
        <f>IFERROR(VLOOKUP(WFS671,'[3]Raw material  (3)'!WFQ653:WGI3729,3,0),"")</f>
        <v/>
      </c>
      <c r="WFS671" t="str">
        <f>IFERROR(VLOOKUP(WFT671,'[3]Raw material  (3)'!WFR653:WGJ3729,3,0),"")</f>
        <v/>
      </c>
      <c r="WFT671" t="str">
        <f>IFERROR(VLOOKUP(WFU671,'[3]Raw material  (3)'!WFS653:WGK3729,3,0),"")</f>
        <v/>
      </c>
      <c r="WFU671" t="str">
        <f>IFERROR(VLOOKUP(WFV671,'[3]Raw material  (3)'!WFT653:WGL3729,3,0),"")</f>
        <v/>
      </c>
      <c r="WFV671" t="str">
        <f>IFERROR(VLOOKUP(WFW671,'[3]Raw material  (3)'!WFU653:WGM3729,3,0),"")</f>
        <v/>
      </c>
      <c r="WFW671" t="str">
        <f>IFERROR(VLOOKUP(WFX671,'[3]Raw material  (3)'!WFV653:WGN3729,3,0),"")</f>
        <v/>
      </c>
      <c r="WFX671" t="str">
        <f>IFERROR(VLOOKUP(WFY671,'[3]Raw material  (3)'!WFW653:WGO3729,3,0),"")</f>
        <v/>
      </c>
      <c r="WFY671" t="str">
        <f>IFERROR(VLOOKUP(WFZ671,'[3]Raw material  (3)'!WFX653:WGP3729,3,0),"")</f>
        <v/>
      </c>
      <c r="WFZ671" t="str">
        <f>IFERROR(VLOOKUP(WGA671,'[3]Raw material  (3)'!WFY653:WGQ3729,3,0),"")</f>
        <v/>
      </c>
      <c r="WGA671" t="str">
        <f>IFERROR(VLOOKUP(WGB671,'[3]Raw material  (3)'!WFZ653:WGR3729,3,0),"")</f>
        <v/>
      </c>
      <c r="WGB671" t="str">
        <f>IFERROR(VLOOKUP(WGC671,'[3]Raw material  (3)'!WGA653:WGS3729,3,0),"")</f>
        <v/>
      </c>
      <c r="WGC671" t="str">
        <f>IFERROR(VLOOKUP(WGD671,'[3]Raw material  (3)'!WGB653:WGT3729,3,0),"")</f>
        <v/>
      </c>
      <c r="WGD671" t="str">
        <f>IFERROR(VLOOKUP(WGE671,'[3]Raw material  (3)'!WGC653:WGU3729,3,0),"")</f>
        <v/>
      </c>
      <c r="WGE671" t="str">
        <f>IFERROR(VLOOKUP(WGF671,'[3]Raw material  (3)'!WGD653:WGV3729,3,0),"")</f>
        <v/>
      </c>
      <c r="WGF671" t="str">
        <f>IFERROR(VLOOKUP(WGG671,'[3]Raw material  (3)'!WGE653:WGW3729,3,0),"")</f>
        <v/>
      </c>
      <c r="WGG671" t="str">
        <f>IFERROR(VLOOKUP(WGH671,'[3]Raw material  (3)'!WGF653:WGX3729,3,0),"")</f>
        <v/>
      </c>
      <c r="WGH671" t="str">
        <f>IFERROR(VLOOKUP(WGI671,'[3]Raw material  (3)'!WGG653:WGY3729,3,0),"")</f>
        <v/>
      </c>
      <c r="WGI671" t="str">
        <f>IFERROR(VLOOKUP(WGJ671,'[3]Raw material  (3)'!WGH653:WGZ3729,3,0),"")</f>
        <v/>
      </c>
      <c r="WGJ671" t="str">
        <f>IFERROR(VLOOKUP(WGK671,'[3]Raw material  (3)'!WGI653:WHA3729,3,0),"")</f>
        <v/>
      </c>
      <c r="WGK671" t="str">
        <f>IFERROR(VLOOKUP(WGL671,'[3]Raw material  (3)'!WGJ653:WHB3729,3,0),"")</f>
        <v/>
      </c>
      <c r="WGL671" t="str">
        <f>IFERROR(VLOOKUP(WGM671,'[3]Raw material  (3)'!WGK653:WHC3729,3,0),"")</f>
        <v/>
      </c>
      <c r="WGM671" t="str">
        <f>IFERROR(VLOOKUP(WGN671,'[3]Raw material  (3)'!WGL653:WHD3729,3,0),"")</f>
        <v/>
      </c>
      <c r="WGN671" t="str">
        <f>IFERROR(VLOOKUP(WGO671,'[3]Raw material  (3)'!WGM653:WHE3729,3,0),"")</f>
        <v/>
      </c>
      <c r="WGO671" t="str">
        <f>IFERROR(VLOOKUP(WGP671,'[3]Raw material  (3)'!WGN653:WHF3729,3,0),"")</f>
        <v/>
      </c>
      <c r="WGP671" t="str">
        <f>IFERROR(VLOOKUP(WGQ671,'[3]Raw material  (3)'!WGO653:WHG3729,3,0),"")</f>
        <v/>
      </c>
      <c r="WGQ671" t="str">
        <f>IFERROR(VLOOKUP(WGR671,'[3]Raw material  (3)'!WGP653:WHH3729,3,0),"")</f>
        <v/>
      </c>
      <c r="WGR671" t="str">
        <f>IFERROR(VLOOKUP(WGS671,'[3]Raw material  (3)'!WGQ653:WHI3729,3,0),"")</f>
        <v/>
      </c>
      <c r="WGS671" t="str">
        <f>IFERROR(VLOOKUP(WGT671,'[3]Raw material  (3)'!WGR653:WHJ3729,3,0),"")</f>
        <v/>
      </c>
      <c r="WGT671" t="str">
        <f>IFERROR(VLOOKUP(WGU671,'[3]Raw material  (3)'!WGS653:WHK3729,3,0),"")</f>
        <v/>
      </c>
      <c r="WGU671" t="str">
        <f>IFERROR(VLOOKUP(WGV671,'[3]Raw material  (3)'!WGT653:WHL3729,3,0),"")</f>
        <v/>
      </c>
      <c r="WGV671" t="str">
        <f>IFERROR(VLOOKUP(WGW671,'[3]Raw material  (3)'!WGU653:WHM3729,3,0),"")</f>
        <v/>
      </c>
      <c r="WGW671" t="str">
        <f>IFERROR(VLOOKUP(WGX671,'[3]Raw material  (3)'!WGV653:WHN3729,3,0),"")</f>
        <v/>
      </c>
      <c r="WGX671" t="str">
        <f>IFERROR(VLOOKUP(WGY671,'[3]Raw material  (3)'!WGW653:WHO3729,3,0),"")</f>
        <v/>
      </c>
      <c r="WGY671" t="str">
        <f>IFERROR(VLOOKUP(WGZ671,'[3]Raw material  (3)'!WGX653:WHP3729,3,0),"")</f>
        <v/>
      </c>
      <c r="WGZ671" t="str">
        <f>IFERROR(VLOOKUP(WHA671,'[3]Raw material  (3)'!WGY653:WHQ3729,3,0),"")</f>
        <v/>
      </c>
      <c r="WHA671" t="str">
        <f>IFERROR(VLOOKUP(WHB671,'[3]Raw material  (3)'!WGZ653:WHR3729,3,0),"")</f>
        <v/>
      </c>
      <c r="WHB671" t="str">
        <f>IFERROR(VLOOKUP(WHC671,'[3]Raw material  (3)'!WHA653:WHS3729,3,0),"")</f>
        <v/>
      </c>
      <c r="WHC671" t="str">
        <f>IFERROR(VLOOKUP(WHD671,'[3]Raw material  (3)'!WHB653:WHT3729,3,0),"")</f>
        <v/>
      </c>
      <c r="WHD671" t="str">
        <f>IFERROR(VLOOKUP(WHE671,'[3]Raw material  (3)'!WHC653:WHU3729,3,0),"")</f>
        <v/>
      </c>
      <c r="WHE671" t="str">
        <f>IFERROR(VLOOKUP(WHF671,'[3]Raw material  (3)'!WHD653:WHV3729,3,0),"")</f>
        <v/>
      </c>
      <c r="WHF671" t="str">
        <f>IFERROR(VLOOKUP(WHG671,'[3]Raw material  (3)'!WHE653:WHW3729,3,0),"")</f>
        <v/>
      </c>
      <c r="WHG671" t="str">
        <f>IFERROR(VLOOKUP(WHH671,'[3]Raw material  (3)'!WHF653:WHX3729,3,0),"")</f>
        <v/>
      </c>
      <c r="WHH671" t="str">
        <f>IFERROR(VLOOKUP(WHI671,'[3]Raw material  (3)'!WHG653:WHY3729,3,0),"")</f>
        <v/>
      </c>
      <c r="WHI671" t="str">
        <f>IFERROR(VLOOKUP(WHJ671,'[3]Raw material  (3)'!WHH653:WHZ3729,3,0),"")</f>
        <v/>
      </c>
      <c r="WHJ671" t="str">
        <f>IFERROR(VLOOKUP(WHK671,'[3]Raw material  (3)'!WHI653:WIA3729,3,0),"")</f>
        <v/>
      </c>
      <c r="WHK671" t="str">
        <f>IFERROR(VLOOKUP(WHL671,'[3]Raw material  (3)'!WHJ653:WIB3729,3,0),"")</f>
        <v/>
      </c>
      <c r="WHL671" t="str">
        <f>IFERROR(VLOOKUP(WHM671,'[3]Raw material  (3)'!WHK653:WIC3729,3,0),"")</f>
        <v/>
      </c>
      <c r="WHM671" t="str">
        <f>IFERROR(VLOOKUP(WHN671,'[3]Raw material  (3)'!WHL653:WID3729,3,0),"")</f>
        <v/>
      </c>
      <c r="WHN671" t="str">
        <f>IFERROR(VLOOKUP(WHO671,'[3]Raw material  (3)'!WHM653:WIE3729,3,0),"")</f>
        <v/>
      </c>
      <c r="WHO671" t="str">
        <f>IFERROR(VLOOKUP(WHP671,'[3]Raw material  (3)'!WHN653:WIF3729,3,0),"")</f>
        <v/>
      </c>
      <c r="WHP671" t="str">
        <f>IFERROR(VLOOKUP(WHQ671,'[3]Raw material  (3)'!WHO653:WIG3729,3,0),"")</f>
        <v/>
      </c>
      <c r="WHQ671" t="str">
        <f>IFERROR(VLOOKUP(WHR671,'[3]Raw material  (3)'!WHP653:WIH3729,3,0),"")</f>
        <v/>
      </c>
      <c r="WHR671" t="str">
        <f>IFERROR(VLOOKUP(WHS671,'[3]Raw material  (3)'!WHQ653:WII3729,3,0),"")</f>
        <v/>
      </c>
      <c r="WHS671" t="str">
        <f>IFERROR(VLOOKUP(WHT671,'[3]Raw material  (3)'!WHR653:WIJ3729,3,0),"")</f>
        <v/>
      </c>
      <c r="WHT671" t="str">
        <f>IFERROR(VLOOKUP(WHU671,'[3]Raw material  (3)'!WHS653:WIK3729,3,0),"")</f>
        <v/>
      </c>
      <c r="WHU671" t="str">
        <f>IFERROR(VLOOKUP(WHV671,'[3]Raw material  (3)'!WHT653:WIL3729,3,0),"")</f>
        <v/>
      </c>
      <c r="WHV671" t="str">
        <f>IFERROR(VLOOKUP(WHW671,'[3]Raw material  (3)'!WHU653:WIM3729,3,0),"")</f>
        <v/>
      </c>
      <c r="WHW671" t="str">
        <f>IFERROR(VLOOKUP(WHX671,'[3]Raw material  (3)'!WHV653:WIN3729,3,0),"")</f>
        <v/>
      </c>
      <c r="WHX671" t="str">
        <f>IFERROR(VLOOKUP(WHY671,'[3]Raw material  (3)'!WHW653:WIO3729,3,0),"")</f>
        <v/>
      </c>
      <c r="WHY671" t="str">
        <f>IFERROR(VLOOKUP(WHZ671,'[3]Raw material  (3)'!WHX653:WIP3729,3,0),"")</f>
        <v/>
      </c>
      <c r="WHZ671" t="str">
        <f>IFERROR(VLOOKUP(WIA671,'[3]Raw material  (3)'!WHY653:WIQ3729,3,0),"")</f>
        <v/>
      </c>
      <c r="WIA671" t="str">
        <f>IFERROR(VLOOKUP(WIB671,'[3]Raw material  (3)'!WHZ653:WIR3729,3,0),"")</f>
        <v/>
      </c>
      <c r="WIB671" t="str">
        <f>IFERROR(VLOOKUP(WIC671,'[3]Raw material  (3)'!WIA653:WIS3729,3,0),"")</f>
        <v/>
      </c>
      <c r="WIC671" t="str">
        <f>IFERROR(VLOOKUP(WID671,'[3]Raw material  (3)'!WIB653:WIT3729,3,0),"")</f>
        <v/>
      </c>
      <c r="WID671" t="str">
        <f>IFERROR(VLOOKUP(WIE671,'[3]Raw material  (3)'!WIC653:WIU3729,3,0),"")</f>
        <v/>
      </c>
      <c r="WIE671" t="str">
        <f>IFERROR(VLOOKUP(WIF671,'[3]Raw material  (3)'!WID653:WIV3729,3,0),"")</f>
        <v/>
      </c>
      <c r="WIF671" t="str">
        <f>IFERROR(VLOOKUP(WIG671,'[3]Raw material  (3)'!WIE653:WIW3729,3,0),"")</f>
        <v/>
      </c>
      <c r="WIG671" t="str">
        <f>IFERROR(VLOOKUP(WIH671,'[3]Raw material  (3)'!WIF653:WIX3729,3,0),"")</f>
        <v/>
      </c>
      <c r="WIH671" t="str">
        <f>IFERROR(VLOOKUP(WII671,'[3]Raw material  (3)'!WIG653:WIY3729,3,0),"")</f>
        <v/>
      </c>
      <c r="WII671" t="str">
        <f>IFERROR(VLOOKUP(WIJ671,'[3]Raw material  (3)'!WIH653:WIZ3729,3,0),"")</f>
        <v/>
      </c>
      <c r="WIJ671" t="str">
        <f>IFERROR(VLOOKUP(WIK671,'[3]Raw material  (3)'!WII653:WJA3729,3,0),"")</f>
        <v/>
      </c>
      <c r="WIK671" t="str">
        <f>IFERROR(VLOOKUP(WIL671,'[3]Raw material  (3)'!WIJ653:WJB3729,3,0),"")</f>
        <v/>
      </c>
      <c r="WIL671" t="str">
        <f>IFERROR(VLOOKUP(WIM671,'[3]Raw material  (3)'!WIK653:WJC3729,3,0),"")</f>
        <v/>
      </c>
      <c r="WIM671" t="str">
        <f>IFERROR(VLOOKUP(WIN671,'[3]Raw material  (3)'!WIL653:WJD3729,3,0),"")</f>
        <v/>
      </c>
      <c r="WIN671" t="str">
        <f>IFERROR(VLOOKUP(WIO671,'[3]Raw material  (3)'!WIM653:WJE3729,3,0),"")</f>
        <v/>
      </c>
      <c r="WIO671" t="str">
        <f>IFERROR(VLOOKUP(WIP671,'[3]Raw material  (3)'!WIN653:WJF3729,3,0),"")</f>
        <v/>
      </c>
      <c r="WIP671" t="str">
        <f>IFERROR(VLOOKUP(WIQ671,'[3]Raw material  (3)'!WIO653:WJG3729,3,0),"")</f>
        <v/>
      </c>
      <c r="WIQ671" t="str">
        <f>IFERROR(VLOOKUP(WIR671,'[3]Raw material  (3)'!WIP653:WJH3729,3,0),"")</f>
        <v/>
      </c>
      <c r="WIR671" t="str">
        <f>IFERROR(VLOOKUP(WIS671,'[3]Raw material  (3)'!WIQ653:WJI3729,3,0),"")</f>
        <v/>
      </c>
      <c r="WIS671" t="str">
        <f>IFERROR(VLOOKUP(WIT671,'[3]Raw material  (3)'!WIR653:WJJ3729,3,0),"")</f>
        <v/>
      </c>
      <c r="WIT671" t="str">
        <f>IFERROR(VLOOKUP(WIU671,'[3]Raw material  (3)'!WIS653:WJK3729,3,0),"")</f>
        <v/>
      </c>
      <c r="WIU671" t="str">
        <f>IFERROR(VLOOKUP(WIV671,'[3]Raw material  (3)'!WIT653:WJL3729,3,0),"")</f>
        <v/>
      </c>
      <c r="WIV671" t="str">
        <f>IFERROR(VLOOKUP(WIW671,'[3]Raw material  (3)'!WIU653:WJM3729,3,0),"")</f>
        <v/>
      </c>
      <c r="WIW671" t="str">
        <f>IFERROR(VLOOKUP(WIX671,'[3]Raw material  (3)'!WIV653:WJN3729,3,0),"")</f>
        <v/>
      </c>
      <c r="WIX671" t="str">
        <f>IFERROR(VLOOKUP(WIY671,'[3]Raw material  (3)'!WIW653:WJO3729,3,0),"")</f>
        <v/>
      </c>
      <c r="WIY671" t="str">
        <f>IFERROR(VLOOKUP(WIZ671,'[3]Raw material  (3)'!WIX653:WJP3729,3,0),"")</f>
        <v/>
      </c>
      <c r="WIZ671" t="str">
        <f>IFERROR(VLOOKUP(WJA671,'[3]Raw material  (3)'!WIY653:WJQ3729,3,0),"")</f>
        <v/>
      </c>
      <c r="WJA671" t="str">
        <f>IFERROR(VLOOKUP(WJB671,'[3]Raw material  (3)'!WIZ653:WJR3729,3,0),"")</f>
        <v/>
      </c>
      <c r="WJB671" t="str">
        <f>IFERROR(VLOOKUP(WJC671,'[3]Raw material  (3)'!WJA653:WJS3729,3,0),"")</f>
        <v/>
      </c>
      <c r="WJC671" t="str">
        <f>IFERROR(VLOOKUP(WJD671,'[3]Raw material  (3)'!WJB653:WJT3729,3,0),"")</f>
        <v/>
      </c>
      <c r="WJD671" t="str">
        <f>IFERROR(VLOOKUP(WJE671,'[3]Raw material  (3)'!WJC653:WJU3729,3,0),"")</f>
        <v/>
      </c>
      <c r="WJE671" t="str">
        <f>IFERROR(VLOOKUP(WJF671,'[3]Raw material  (3)'!WJD653:WJV3729,3,0),"")</f>
        <v/>
      </c>
      <c r="WJF671" t="str">
        <f>IFERROR(VLOOKUP(WJG671,'[3]Raw material  (3)'!WJE653:WJW3729,3,0),"")</f>
        <v/>
      </c>
      <c r="WJG671" t="str">
        <f>IFERROR(VLOOKUP(WJH671,'[3]Raw material  (3)'!WJF653:WJX3729,3,0),"")</f>
        <v/>
      </c>
      <c r="WJH671" t="str">
        <f>IFERROR(VLOOKUP(WJI671,'[3]Raw material  (3)'!WJG653:WJY3729,3,0),"")</f>
        <v/>
      </c>
      <c r="WJI671" t="str">
        <f>IFERROR(VLOOKUP(WJJ671,'[3]Raw material  (3)'!WJH653:WJZ3729,3,0),"")</f>
        <v/>
      </c>
      <c r="WJJ671" t="str">
        <f>IFERROR(VLOOKUP(WJK671,'[3]Raw material  (3)'!WJI653:WKA3729,3,0),"")</f>
        <v/>
      </c>
      <c r="WJK671" t="str">
        <f>IFERROR(VLOOKUP(WJL671,'[3]Raw material  (3)'!WJJ653:WKB3729,3,0),"")</f>
        <v/>
      </c>
      <c r="WJL671" t="str">
        <f>IFERROR(VLOOKUP(WJM671,'[3]Raw material  (3)'!WJK653:WKC3729,3,0),"")</f>
        <v/>
      </c>
      <c r="WJM671" t="str">
        <f>IFERROR(VLOOKUP(WJN671,'[3]Raw material  (3)'!WJL653:WKD3729,3,0),"")</f>
        <v/>
      </c>
      <c r="WJN671" t="str">
        <f>IFERROR(VLOOKUP(WJO671,'[3]Raw material  (3)'!WJM653:WKE3729,3,0),"")</f>
        <v/>
      </c>
      <c r="WJO671" t="str">
        <f>IFERROR(VLOOKUP(WJP671,'[3]Raw material  (3)'!WJN653:WKF3729,3,0),"")</f>
        <v/>
      </c>
      <c r="WJP671" t="str">
        <f>IFERROR(VLOOKUP(WJQ671,'[3]Raw material  (3)'!WJO653:WKG3729,3,0),"")</f>
        <v/>
      </c>
      <c r="WJQ671" t="str">
        <f>IFERROR(VLOOKUP(WJR671,'[3]Raw material  (3)'!WJP653:WKH3729,3,0),"")</f>
        <v/>
      </c>
      <c r="WJR671" t="str">
        <f>IFERROR(VLOOKUP(WJS671,'[3]Raw material  (3)'!WJQ653:WKI3729,3,0),"")</f>
        <v/>
      </c>
      <c r="WJS671" t="str">
        <f>IFERROR(VLOOKUP(WJT671,'[3]Raw material  (3)'!WJR653:WKJ3729,3,0),"")</f>
        <v/>
      </c>
      <c r="WJT671" t="str">
        <f>IFERROR(VLOOKUP(WJU671,'[3]Raw material  (3)'!WJS653:WKK3729,3,0),"")</f>
        <v/>
      </c>
      <c r="WJU671" t="str">
        <f>IFERROR(VLOOKUP(WJV671,'[3]Raw material  (3)'!WJT653:WKL3729,3,0),"")</f>
        <v/>
      </c>
      <c r="WJV671" t="str">
        <f>IFERROR(VLOOKUP(WJW671,'[3]Raw material  (3)'!WJU653:WKM3729,3,0),"")</f>
        <v/>
      </c>
      <c r="WJW671" t="str">
        <f>IFERROR(VLOOKUP(WJX671,'[3]Raw material  (3)'!WJV653:WKN3729,3,0),"")</f>
        <v/>
      </c>
      <c r="WJX671" t="str">
        <f>IFERROR(VLOOKUP(WJY671,'[3]Raw material  (3)'!WJW653:WKO3729,3,0),"")</f>
        <v/>
      </c>
      <c r="WJY671" t="str">
        <f>IFERROR(VLOOKUP(WJZ671,'[3]Raw material  (3)'!WJX653:WKP3729,3,0),"")</f>
        <v/>
      </c>
      <c r="WJZ671" t="str">
        <f>IFERROR(VLOOKUP(WKA671,'[3]Raw material  (3)'!WJY653:WKQ3729,3,0),"")</f>
        <v/>
      </c>
      <c r="WKA671" t="str">
        <f>IFERROR(VLOOKUP(WKB671,'[3]Raw material  (3)'!WJZ653:WKR3729,3,0),"")</f>
        <v/>
      </c>
      <c r="WKB671" t="str">
        <f>IFERROR(VLOOKUP(WKC671,'[3]Raw material  (3)'!WKA653:WKS3729,3,0),"")</f>
        <v/>
      </c>
      <c r="WKC671" t="str">
        <f>IFERROR(VLOOKUP(WKD671,'[3]Raw material  (3)'!WKB653:WKT3729,3,0),"")</f>
        <v/>
      </c>
      <c r="WKD671" t="str">
        <f>IFERROR(VLOOKUP(WKE671,'[3]Raw material  (3)'!WKC653:WKU3729,3,0),"")</f>
        <v/>
      </c>
      <c r="WKE671" t="str">
        <f>IFERROR(VLOOKUP(WKF671,'[3]Raw material  (3)'!WKD653:WKV3729,3,0),"")</f>
        <v/>
      </c>
      <c r="WKF671" t="str">
        <f>IFERROR(VLOOKUP(WKG671,'[3]Raw material  (3)'!WKE653:WKW3729,3,0),"")</f>
        <v/>
      </c>
      <c r="WKG671" t="str">
        <f>IFERROR(VLOOKUP(WKH671,'[3]Raw material  (3)'!WKF653:WKX3729,3,0),"")</f>
        <v/>
      </c>
      <c r="WKH671" t="str">
        <f>IFERROR(VLOOKUP(WKI671,'[3]Raw material  (3)'!WKG653:WKY3729,3,0),"")</f>
        <v/>
      </c>
      <c r="WKI671" t="str">
        <f>IFERROR(VLOOKUP(WKJ671,'[3]Raw material  (3)'!WKH653:WKZ3729,3,0),"")</f>
        <v/>
      </c>
      <c r="WKJ671" t="str">
        <f>IFERROR(VLOOKUP(WKK671,'[3]Raw material  (3)'!WKI653:WLA3729,3,0),"")</f>
        <v/>
      </c>
      <c r="WKK671" t="str">
        <f>IFERROR(VLOOKUP(WKL671,'[3]Raw material  (3)'!WKJ653:WLB3729,3,0),"")</f>
        <v/>
      </c>
      <c r="WKL671" t="str">
        <f>IFERROR(VLOOKUP(WKM671,'[3]Raw material  (3)'!WKK653:WLC3729,3,0),"")</f>
        <v/>
      </c>
      <c r="WKM671" t="str">
        <f>IFERROR(VLOOKUP(WKN671,'[3]Raw material  (3)'!WKL653:WLD3729,3,0),"")</f>
        <v/>
      </c>
      <c r="WKN671" t="str">
        <f>IFERROR(VLOOKUP(WKO671,'[3]Raw material  (3)'!WKM653:WLE3729,3,0),"")</f>
        <v/>
      </c>
      <c r="WKO671" t="str">
        <f>IFERROR(VLOOKUP(WKP671,'[3]Raw material  (3)'!WKN653:WLF3729,3,0),"")</f>
        <v/>
      </c>
      <c r="WKP671" t="str">
        <f>IFERROR(VLOOKUP(WKQ671,'[3]Raw material  (3)'!WKO653:WLG3729,3,0),"")</f>
        <v/>
      </c>
      <c r="WKQ671" t="str">
        <f>IFERROR(VLOOKUP(WKR671,'[3]Raw material  (3)'!WKP653:WLH3729,3,0),"")</f>
        <v/>
      </c>
      <c r="WKR671" t="str">
        <f>IFERROR(VLOOKUP(WKS671,'[3]Raw material  (3)'!WKQ653:WLI3729,3,0),"")</f>
        <v/>
      </c>
      <c r="WKS671" t="str">
        <f>IFERROR(VLOOKUP(WKT671,'[3]Raw material  (3)'!WKR653:WLJ3729,3,0),"")</f>
        <v/>
      </c>
      <c r="WKT671" t="str">
        <f>IFERROR(VLOOKUP(WKU671,'[3]Raw material  (3)'!WKS653:WLK3729,3,0),"")</f>
        <v/>
      </c>
      <c r="WKU671" t="str">
        <f>IFERROR(VLOOKUP(WKV671,'[3]Raw material  (3)'!WKT653:WLL3729,3,0),"")</f>
        <v/>
      </c>
      <c r="WKV671" t="str">
        <f>IFERROR(VLOOKUP(WKW671,'[3]Raw material  (3)'!WKU653:WLM3729,3,0),"")</f>
        <v/>
      </c>
      <c r="WKW671" t="str">
        <f>IFERROR(VLOOKUP(WKX671,'[3]Raw material  (3)'!WKV653:WLN3729,3,0),"")</f>
        <v/>
      </c>
      <c r="WKX671" t="str">
        <f>IFERROR(VLOOKUP(WKY671,'[3]Raw material  (3)'!WKW653:WLO3729,3,0),"")</f>
        <v/>
      </c>
      <c r="WKY671" t="str">
        <f>IFERROR(VLOOKUP(WKZ671,'[3]Raw material  (3)'!WKX653:WLP3729,3,0),"")</f>
        <v/>
      </c>
      <c r="WKZ671" t="str">
        <f>IFERROR(VLOOKUP(WLA671,'[3]Raw material  (3)'!WKY653:WLQ3729,3,0),"")</f>
        <v/>
      </c>
      <c r="WLA671" t="str">
        <f>IFERROR(VLOOKUP(WLB671,'[3]Raw material  (3)'!WKZ653:WLR3729,3,0),"")</f>
        <v/>
      </c>
      <c r="WLB671" t="str">
        <f>IFERROR(VLOOKUP(WLC671,'[3]Raw material  (3)'!WLA653:WLS3729,3,0),"")</f>
        <v/>
      </c>
      <c r="WLC671" t="str">
        <f>IFERROR(VLOOKUP(WLD671,'[3]Raw material  (3)'!WLB653:WLT3729,3,0),"")</f>
        <v/>
      </c>
      <c r="WLD671" t="str">
        <f>IFERROR(VLOOKUP(WLE671,'[3]Raw material  (3)'!WLC653:WLU3729,3,0),"")</f>
        <v/>
      </c>
      <c r="WLE671" t="str">
        <f>IFERROR(VLOOKUP(WLF671,'[3]Raw material  (3)'!WLD653:WLV3729,3,0),"")</f>
        <v/>
      </c>
      <c r="WLF671" t="str">
        <f>IFERROR(VLOOKUP(WLG671,'[3]Raw material  (3)'!WLE653:WLW3729,3,0),"")</f>
        <v/>
      </c>
      <c r="WLG671" t="str">
        <f>IFERROR(VLOOKUP(WLH671,'[3]Raw material  (3)'!WLF653:WLX3729,3,0),"")</f>
        <v/>
      </c>
      <c r="WLH671" t="str">
        <f>IFERROR(VLOOKUP(WLI671,'[3]Raw material  (3)'!WLG653:WLY3729,3,0),"")</f>
        <v/>
      </c>
      <c r="WLI671" t="str">
        <f>IFERROR(VLOOKUP(WLJ671,'[3]Raw material  (3)'!WLH653:WLZ3729,3,0),"")</f>
        <v/>
      </c>
      <c r="WLJ671" t="str">
        <f>IFERROR(VLOOKUP(WLK671,'[3]Raw material  (3)'!WLI653:WMA3729,3,0),"")</f>
        <v/>
      </c>
      <c r="WLK671" t="str">
        <f>IFERROR(VLOOKUP(WLL671,'[3]Raw material  (3)'!WLJ653:WMB3729,3,0),"")</f>
        <v/>
      </c>
      <c r="WLL671" t="str">
        <f>IFERROR(VLOOKUP(WLM671,'[3]Raw material  (3)'!WLK653:WMC3729,3,0),"")</f>
        <v/>
      </c>
      <c r="WLM671" t="str">
        <f>IFERROR(VLOOKUP(WLN671,'[3]Raw material  (3)'!WLL653:WMD3729,3,0),"")</f>
        <v/>
      </c>
      <c r="WLN671" t="str">
        <f>IFERROR(VLOOKUP(WLO671,'[3]Raw material  (3)'!WLM653:WME3729,3,0),"")</f>
        <v/>
      </c>
      <c r="WLO671" t="str">
        <f>IFERROR(VLOOKUP(WLP671,'[3]Raw material  (3)'!WLN653:WMF3729,3,0),"")</f>
        <v/>
      </c>
      <c r="WLP671" t="str">
        <f>IFERROR(VLOOKUP(WLQ671,'[3]Raw material  (3)'!WLO653:WMG3729,3,0),"")</f>
        <v/>
      </c>
      <c r="WLQ671" t="str">
        <f>IFERROR(VLOOKUP(WLR671,'[3]Raw material  (3)'!WLP653:WMH3729,3,0),"")</f>
        <v/>
      </c>
      <c r="WLR671" t="str">
        <f>IFERROR(VLOOKUP(WLS671,'[3]Raw material  (3)'!WLQ653:WMI3729,3,0),"")</f>
        <v/>
      </c>
      <c r="WLS671" t="str">
        <f>IFERROR(VLOOKUP(WLT671,'[3]Raw material  (3)'!WLR653:WMJ3729,3,0),"")</f>
        <v/>
      </c>
      <c r="WLT671" t="str">
        <f>IFERROR(VLOOKUP(WLU671,'[3]Raw material  (3)'!WLS653:WMK3729,3,0),"")</f>
        <v/>
      </c>
      <c r="WLU671" t="str">
        <f>IFERROR(VLOOKUP(WLV671,'[3]Raw material  (3)'!WLT653:WML3729,3,0),"")</f>
        <v/>
      </c>
      <c r="WLV671" t="str">
        <f>IFERROR(VLOOKUP(WLW671,'[3]Raw material  (3)'!WLU653:WMM3729,3,0),"")</f>
        <v/>
      </c>
      <c r="WLW671" t="str">
        <f>IFERROR(VLOOKUP(WLX671,'[3]Raw material  (3)'!WLV653:WMN3729,3,0),"")</f>
        <v/>
      </c>
      <c r="WLX671" t="str">
        <f>IFERROR(VLOOKUP(WLY671,'[3]Raw material  (3)'!WLW653:WMO3729,3,0),"")</f>
        <v/>
      </c>
      <c r="WLY671" t="str">
        <f>IFERROR(VLOOKUP(WLZ671,'[3]Raw material  (3)'!WLX653:WMP3729,3,0),"")</f>
        <v/>
      </c>
      <c r="WLZ671" t="str">
        <f>IFERROR(VLOOKUP(WMA671,'[3]Raw material  (3)'!WLY653:WMQ3729,3,0),"")</f>
        <v/>
      </c>
      <c r="WMA671" t="str">
        <f>IFERROR(VLOOKUP(WMB671,'[3]Raw material  (3)'!WLZ653:WMR3729,3,0),"")</f>
        <v/>
      </c>
      <c r="WMB671" t="str">
        <f>IFERROR(VLOOKUP(WMC671,'[3]Raw material  (3)'!WMA653:WMS3729,3,0),"")</f>
        <v/>
      </c>
      <c r="WMC671" t="str">
        <f>IFERROR(VLOOKUP(WMD671,'[3]Raw material  (3)'!WMB653:WMT3729,3,0),"")</f>
        <v/>
      </c>
      <c r="WMD671" t="str">
        <f>IFERROR(VLOOKUP(WME671,'[3]Raw material  (3)'!WMC653:WMU3729,3,0),"")</f>
        <v/>
      </c>
      <c r="WME671" t="str">
        <f>IFERROR(VLOOKUP(WMF671,'[3]Raw material  (3)'!WMD653:WMV3729,3,0),"")</f>
        <v/>
      </c>
      <c r="WMF671" t="str">
        <f>IFERROR(VLOOKUP(WMG671,'[3]Raw material  (3)'!WME653:WMW3729,3,0),"")</f>
        <v/>
      </c>
      <c r="WMG671" t="str">
        <f>IFERROR(VLOOKUP(WMH671,'[3]Raw material  (3)'!WMF653:WMX3729,3,0),"")</f>
        <v/>
      </c>
      <c r="WMH671" t="str">
        <f>IFERROR(VLOOKUP(WMI671,'[3]Raw material  (3)'!WMG653:WMY3729,3,0),"")</f>
        <v/>
      </c>
      <c r="WMI671" t="str">
        <f>IFERROR(VLOOKUP(WMJ671,'[3]Raw material  (3)'!WMH653:WMZ3729,3,0),"")</f>
        <v/>
      </c>
      <c r="WMJ671" t="str">
        <f>IFERROR(VLOOKUP(WMK671,'[3]Raw material  (3)'!WMI653:WNA3729,3,0),"")</f>
        <v/>
      </c>
      <c r="WMK671" t="str">
        <f>IFERROR(VLOOKUP(WML671,'[3]Raw material  (3)'!WMJ653:WNB3729,3,0),"")</f>
        <v/>
      </c>
      <c r="WML671" t="str">
        <f>IFERROR(VLOOKUP(WMM671,'[3]Raw material  (3)'!WMK653:WNC3729,3,0),"")</f>
        <v/>
      </c>
      <c r="WMM671" t="str">
        <f>IFERROR(VLOOKUP(WMN671,'[3]Raw material  (3)'!WML653:WND3729,3,0),"")</f>
        <v/>
      </c>
      <c r="WMN671" t="str">
        <f>IFERROR(VLOOKUP(WMO671,'[3]Raw material  (3)'!WMM653:WNE3729,3,0),"")</f>
        <v/>
      </c>
      <c r="WMO671" t="str">
        <f>IFERROR(VLOOKUP(WMP671,'[3]Raw material  (3)'!WMN653:WNF3729,3,0),"")</f>
        <v/>
      </c>
      <c r="WMP671" t="str">
        <f>IFERROR(VLOOKUP(WMQ671,'[3]Raw material  (3)'!WMO653:WNG3729,3,0),"")</f>
        <v/>
      </c>
      <c r="WMQ671" t="str">
        <f>IFERROR(VLOOKUP(WMR671,'[3]Raw material  (3)'!WMP653:WNH3729,3,0),"")</f>
        <v/>
      </c>
      <c r="WMR671" t="str">
        <f>IFERROR(VLOOKUP(WMS671,'[3]Raw material  (3)'!WMQ653:WNI3729,3,0),"")</f>
        <v/>
      </c>
      <c r="WMS671" t="str">
        <f>IFERROR(VLOOKUP(WMT671,'[3]Raw material  (3)'!WMR653:WNJ3729,3,0),"")</f>
        <v/>
      </c>
      <c r="WMT671" t="str">
        <f>IFERROR(VLOOKUP(WMU671,'[3]Raw material  (3)'!WMS653:WNK3729,3,0),"")</f>
        <v/>
      </c>
      <c r="WMU671" t="str">
        <f>IFERROR(VLOOKUP(WMV671,'[3]Raw material  (3)'!WMT653:WNL3729,3,0),"")</f>
        <v/>
      </c>
      <c r="WMV671" t="str">
        <f>IFERROR(VLOOKUP(WMW671,'[3]Raw material  (3)'!WMU653:WNM3729,3,0),"")</f>
        <v/>
      </c>
      <c r="WMW671" t="str">
        <f>IFERROR(VLOOKUP(WMX671,'[3]Raw material  (3)'!WMV653:WNN3729,3,0),"")</f>
        <v/>
      </c>
      <c r="WMX671" t="str">
        <f>IFERROR(VLOOKUP(WMY671,'[3]Raw material  (3)'!WMW653:WNO3729,3,0),"")</f>
        <v/>
      </c>
      <c r="WMY671" t="str">
        <f>IFERROR(VLOOKUP(WMZ671,'[3]Raw material  (3)'!WMX653:WNP3729,3,0),"")</f>
        <v/>
      </c>
      <c r="WMZ671" t="str">
        <f>IFERROR(VLOOKUP(WNA671,'[3]Raw material  (3)'!WMY653:WNQ3729,3,0),"")</f>
        <v/>
      </c>
      <c r="WNA671" t="str">
        <f>IFERROR(VLOOKUP(WNB671,'[3]Raw material  (3)'!WMZ653:WNR3729,3,0),"")</f>
        <v/>
      </c>
      <c r="WNB671" t="str">
        <f>IFERROR(VLOOKUP(WNC671,'[3]Raw material  (3)'!WNA653:WNS3729,3,0),"")</f>
        <v/>
      </c>
      <c r="WNC671" t="str">
        <f>IFERROR(VLOOKUP(WND671,'[3]Raw material  (3)'!WNB653:WNT3729,3,0),"")</f>
        <v/>
      </c>
      <c r="WND671" t="str">
        <f>IFERROR(VLOOKUP(WNE671,'[3]Raw material  (3)'!WNC653:WNU3729,3,0),"")</f>
        <v/>
      </c>
      <c r="WNE671" t="str">
        <f>IFERROR(VLOOKUP(WNF671,'[3]Raw material  (3)'!WND653:WNV3729,3,0),"")</f>
        <v/>
      </c>
      <c r="WNF671" t="str">
        <f>IFERROR(VLOOKUP(WNG671,'[3]Raw material  (3)'!WNE653:WNW3729,3,0),"")</f>
        <v/>
      </c>
      <c r="WNG671" t="str">
        <f>IFERROR(VLOOKUP(WNH671,'[3]Raw material  (3)'!WNF653:WNX3729,3,0),"")</f>
        <v/>
      </c>
      <c r="WNH671" t="str">
        <f>IFERROR(VLOOKUP(WNI671,'[3]Raw material  (3)'!WNG653:WNY3729,3,0),"")</f>
        <v/>
      </c>
      <c r="WNI671" t="str">
        <f>IFERROR(VLOOKUP(WNJ671,'[3]Raw material  (3)'!WNH653:WNZ3729,3,0),"")</f>
        <v/>
      </c>
      <c r="WNJ671" t="str">
        <f>IFERROR(VLOOKUP(WNK671,'[3]Raw material  (3)'!WNI653:WOA3729,3,0),"")</f>
        <v/>
      </c>
      <c r="WNK671" t="str">
        <f>IFERROR(VLOOKUP(WNL671,'[3]Raw material  (3)'!WNJ653:WOB3729,3,0),"")</f>
        <v/>
      </c>
      <c r="WNL671" t="str">
        <f>IFERROR(VLOOKUP(WNM671,'[3]Raw material  (3)'!WNK653:WOC3729,3,0),"")</f>
        <v/>
      </c>
      <c r="WNM671" t="str">
        <f>IFERROR(VLOOKUP(WNN671,'[3]Raw material  (3)'!WNL653:WOD3729,3,0),"")</f>
        <v/>
      </c>
      <c r="WNN671" t="str">
        <f>IFERROR(VLOOKUP(WNO671,'[3]Raw material  (3)'!WNM653:WOE3729,3,0),"")</f>
        <v/>
      </c>
      <c r="WNO671" t="str">
        <f>IFERROR(VLOOKUP(WNP671,'[3]Raw material  (3)'!WNN653:WOF3729,3,0),"")</f>
        <v/>
      </c>
      <c r="WNP671" t="str">
        <f>IFERROR(VLOOKUP(WNQ671,'[3]Raw material  (3)'!WNO653:WOG3729,3,0),"")</f>
        <v/>
      </c>
      <c r="WNQ671" t="str">
        <f>IFERROR(VLOOKUP(WNR671,'[3]Raw material  (3)'!WNP653:WOH3729,3,0),"")</f>
        <v/>
      </c>
      <c r="WNR671" t="str">
        <f>IFERROR(VLOOKUP(WNS671,'[3]Raw material  (3)'!WNQ653:WOI3729,3,0),"")</f>
        <v/>
      </c>
      <c r="WNS671" t="str">
        <f>IFERROR(VLOOKUP(WNT671,'[3]Raw material  (3)'!WNR653:WOJ3729,3,0),"")</f>
        <v/>
      </c>
      <c r="WNT671" t="str">
        <f>IFERROR(VLOOKUP(WNU671,'[3]Raw material  (3)'!WNS653:WOK3729,3,0),"")</f>
        <v/>
      </c>
      <c r="WNU671" t="str">
        <f>IFERROR(VLOOKUP(WNV671,'[3]Raw material  (3)'!WNT653:WOL3729,3,0),"")</f>
        <v/>
      </c>
      <c r="WNV671" t="str">
        <f>IFERROR(VLOOKUP(WNW671,'[3]Raw material  (3)'!WNU653:WOM3729,3,0),"")</f>
        <v/>
      </c>
      <c r="WNW671" t="str">
        <f>IFERROR(VLOOKUP(WNX671,'[3]Raw material  (3)'!WNV653:WON3729,3,0),"")</f>
        <v/>
      </c>
      <c r="WNX671" t="str">
        <f>IFERROR(VLOOKUP(WNY671,'[3]Raw material  (3)'!WNW653:WOO3729,3,0),"")</f>
        <v/>
      </c>
      <c r="WNY671" t="str">
        <f>IFERROR(VLOOKUP(WNZ671,'[3]Raw material  (3)'!WNX653:WOP3729,3,0),"")</f>
        <v/>
      </c>
      <c r="WNZ671" t="str">
        <f>IFERROR(VLOOKUP(WOA671,'[3]Raw material  (3)'!WNY653:WOQ3729,3,0),"")</f>
        <v/>
      </c>
      <c r="WOA671" t="str">
        <f>IFERROR(VLOOKUP(WOB671,'[3]Raw material  (3)'!WNZ653:WOR3729,3,0),"")</f>
        <v/>
      </c>
      <c r="WOB671" t="str">
        <f>IFERROR(VLOOKUP(WOC671,'[3]Raw material  (3)'!WOA653:WOS3729,3,0),"")</f>
        <v/>
      </c>
      <c r="WOC671" t="str">
        <f>IFERROR(VLOOKUP(WOD671,'[3]Raw material  (3)'!WOB653:WOT3729,3,0),"")</f>
        <v/>
      </c>
      <c r="WOD671" t="str">
        <f>IFERROR(VLOOKUP(WOE671,'[3]Raw material  (3)'!WOC653:WOU3729,3,0),"")</f>
        <v/>
      </c>
      <c r="WOE671" t="str">
        <f>IFERROR(VLOOKUP(WOF671,'[3]Raw material  (3)'!WOD653:WOV3729,3,0),"")</f>
        <v/>
      </c>
      <c r="WOF671" t="str">
        <f>IFERROR(VLOOKUP(WOG671,'[3]Raw material  (3)'!WOE653:WOW3729,3,0),"")</f>
        <v/>
      </c>
      <c r="WOG671" t="str">
        <f>IFERROR(VLOOKUP(WOH671,'[3]Raw material  (3)'!WOF653:WOX3729,3,0),"")</f>
        <v/>
      </c>
      <c r="WOH671" t="str">
        <f>IFERROR(VLOOKUP(WOI671,'[3]Raw material  (3)'!WOG653:WOY3729,3,0),"")</f>
        <v/>
      </c>
      <c r="WOI671" t="str">
        <f>IFERROR(VLOOKUP(WOJ671,'[3]Raw material  (3)'!WOH653:WOZ3729,3,0),"")</f>
        <v/>
      </c>
      <c r="WOJ671" t="str">
        <f>IFERROR(VLOOKUP(WOK671,'[3]Raw material  (3)'!WOI653:WPA3729,3,0),"")</f>
        <v/>
      </c>
      <c r="WOK671" t="str">
        <f>IFERROR(VLOOKUP(WOL671,'[3]Raw material  (3)'!WOJ653:WPB3729,3,0),"")</f>
        <v/>
      </c>
      <c r="WOL671" t="str">
        <f>IFERROR(VLOOKUP(WOM671,'[3]Raw material  (3)'!WOK653:WPC3729,3,0),"")</f>
        <v/>
      </c>
      <c r="WOM671" t="str">
        <f>IFERROR(VLOOKUP(WON671,'[3]Raw material  (3)'!WOL653:WPD3729,3,0),"")</f>
        <v/>
      </c>
      <c r="WON671" t="str">
        <f>IFERROR(VLOOKUP(WOO671,'[3]Raw material  (3)'!WOM653:WPE3729,3,0),"")</f>
        <v/>
      </c>
      <c r="WOO671" t="str">
        <f>IFERROR(VLOOKUP(WOP671,'[3]Raw material  (3)'!WON653:WPF3729,3,0),"")</f>
        <v/>
      </c>
      <c r="WOP671" t="str">
        <f>IFERROR(VLOOKUP(WOQ671,'[3]Raw material  (3)'!WOO653:WPG3729,3,0),"")</f>
        <v/>
      </c>
      <c r="WOQ671" t="str">
        <f>IFERROR(VLOOKUP(WOR671,'[3]Raw material  (3)'!WOP653:WPH3729,3,0),"")</f>
        <v/>
      </c>
      <c r="WOR671" t="str">
        <f>IFERROR(VLOOKUP(WOS671,'[3]Raw material  (3)'!WOQ653:WPI3729,3,0),"")</f>
        <v/>
      </c>
      <c r="WOS671" t="str">
        <f>IFERROR(VLOOKUP(WOT671,'[3]Raw material  (3)'!WOR653:WPJ3729,3,0),"")</f>
        <v/>
      </c>
      <c r="WOT671" t="str">
        <f>IFERROR(VLOOKUP(WOU671,'[3]Raw material  (3)'!WOS653:WPK3729,3,0),"")</f>
        <v/>
      </c>
      <c r="WOU671" t="str">
        <f>IFERROR(VLOOKUP(WOV671,'[3]Raw material  (3)'!WOT653:WPL3729,3,0),"")</f>
        <v/>
      </c>
      <c r="WOV671" t="str">
        <f>IFERROR(VLOOKUP(WOW671,'[3]Raw material  (3)'!WOU653:WPM3729,3,0),"")</f>
        <v/>
      </c>
      <c r="WOW671" t="str">
        <f>IFERROR(VLOOKUP(WOX671,'[3]Raw material  (3)'!WOV653:WPN3729,3,0),"")</f>
        <v/>
      </c>
      <c r="WOX671" t="str">
        <f>IFERROR(VLOOKUP(WOY671,'[3]Raw material  (3)'!WOW653:WPO3729,3,0),"")</f>
        <v/>
      </c>
      <c r="WOY671" t="str">
        <f>IFERROR(VLOOKUP(WOZ671,'[3]Raw material  (3)'!WOX653:WPP3729,3,0),"")</f>
        <v/>
      </c>
      <c r="WOZ671" t="str">
        <f>IFERROR(VLOOKUP(WPA671,'[3]Raw material  (3)'!WOY653:WPQ3729,3,0),"")</f>
        <v/>
      </c>
      <c r="WPA671" t="str">
        <f>IFERROR(VLOOKUP(WPB671,'[3]Raw material  (3)'!WOZ653:WPR3729,3,0),"")</f>
        <v/>
      </c>
      <c r="WPB671" t="str">
        <f>IFERROR(VLOOKUP(WPC671,'[3]Raw material  (3)'!WPA653:WPS3729,3,0),"")</f>
        <v/>
      </c>
      <c r="WPC671" t="str">
        <f>IFERROR(VLOOKUP(WPD671,'[3]Raw material  (3)'!WPB653:WPT3729,3,0),"")</f>
        <v/>
      </c>
      <c r="WPD671" t="str">
        <f>IFERROR(VLOOKUP(WPE671,'[3]Raw material  (3)'!WPC653:WPU3729,3,0),"")</f>
        <v/>
      </c>
      <c r="WPE671" t="str">
        <f>IFERROR(VLOOKUP(WPF671,'[3]Raw material  (3)'!WPD653:WPV3729,3,0),"")</f>
        <v/>
      </c>
      <c r="WPF671" t="str">
        <f>IFERROR(VLOOKUP(WPG671,'[3]Raw material  (3)'!WPE653:WPW3729,3,0),"")</f>
        <v/>
      </c>
      <c r="WPG671" t="str">
        <f>IFERROR(VLOOKUP(WPH671,'[3]Raw material  (3)'!WPF653:WPX3729,3,0),"")</f>
        <v/>
      </c>
      <c r="WPH671" t="str">
        <f>IFERROR(VLOOKUP(WPI671,'[3]Raw material  (3)'!WPG653:WPY3729,3,0),"")</f>
        <v/>
      </c>
      <c r="WPI671" t="str">
        <f>IFERROR(VLOOKUP(WPJ671,'[3]Raw material  (3)'!WPH653:WPZ3729,3,0),"")</f>
        <v/>
      </c>
      <c r="WPJ671" t="str">
        <f>IFERROR(VLOOKUP(WPK671,'[3]Raw material  (3)'!WPI653:WQA3729,3,0),"")</f>
        <v/>
      </c>
      <c r="WPK671" t="str">
        <f>IFERROR(VLOOKUP(WPL671,'[3]Raw material  (3)'!WPJ653:WQB3729,3,0),"")</f>
        <v/>
      </c>
      <c r="WPL671" t="str">
        <f>IFERROR(VLOOKUP(WPM671,'[3]Raw material  (3)'!WPK653:WQC3729,3,0),"")</f>
        <v/>
      </c>
      <c r="WPM671" t="str">
        <f>IFERROR(VLOOKUP(WPN671,'[3]Raw material  (3)'!WPL653:WQD3729,3,0),"")</f>
        <v/>
      </c>
      <c r="WPN671" t="str">
        <f>IFERROR(VLOOKUP(WPO671,'[3]Raw material  (3)'!WPM653:WQE3729,3,0),"")</f>
        <v/>
      </c>
      <c r="WPO671" t="str">
        <f>IFERROR(VLOOKUP(WPP671,'[3]Raw material  (3)'!WPN653:WQF3729,3,0),"")</f>
        <v/>
      </c>
      <c r="WPP671" t="str">
        <f>IFERROR(VLOOKUP(WPQ671,'[3]Raw material  (3)'!WPO653:WQG3729,3,0),"")</f>
        <v/>
      </c>
      <c r="WPQ671" t="str">
        <f>IFERROR(VLOOKUP(WPR671,'[3]Raw material  (3)'!WPP653:WQH3729,3,0),"")</f>
        <v/>
      </c>
      <c r="WPR671" t="str">
        <f>IFERROR(VLOOKUP(WPS671,'[3]Raw material  (3)'!WPQ653:WQI3729,3,0),"")</f>
        <v/>
      </c>
      <c r="WPS671" t="str">
        <f>IFERROR(VLOOKUP(WPT671,'[3]Raw material  (3)'!WPR653:WQJ3729,3,0),"")</f>
        <v/>
      </c>
      <c r="WPT671" t="str">
        <f>IFERROR(VLOOKUP(WPU671,'[3]Raw material  (3)'!WPS653:WQK3729,3,0),"")</f>
        <v/>
      </c>
      <c r="WPU671" t="str">
        <f>IFERROR(VLOOKUP(WPV671,'[3]Raw material  (3)'!WPT653:WQL3729,3,0),"")</f>
        <v/>
      </c>
      <c r="WPV671" t="str">
        <f>IFERROR(VLOOKUP(WPW671,'[3]Raw material  (3)'!WPU653:WQM3729,3,0),"")</f>
        <v/>
      </c>
      <c r="WPW671" t="str">
        <f>IFERROR(VLOOKUP(WPX671,'[3]Raw material  (3)'!WPV653:WQN3729,3,0),"")</f>
        <v/>
      </c>
      <c r="WPX671" t="str">
        <f>IFERROR(VLOOKUP(WPY671,'[3]Raw material  (3)'!WPW653:WQO3729,3,0),"")</f>
        <v/>
      </c>
      <c r="WPY671" t="str">
        <f>IFERROR(VLOOKUP(WPZ671,'[3]Raw material  (3)'!WPX653:WQP3729,3,0),"")</f>
        <v/>
      </c>
      <c r="WPZ671" t="str">
        <f>IFERROR(VLOOKUP(WQA671,'[3]Raw material  (3)'!WPY653:WQQ3729,3,0),"")</f>
        <v/>
      </c>
      <c r="WQA671" t="str">
        <f>IFERROR(VLOOKUP(WQB671,'[3]Raw material  (3)'!WPZ653:WQR3729,3,0),"")</f>
        <v/>
      </c>
      <c r="WQB671" t="str">
        <f>IFERROR(VLOOKUP(WQC671,'[3]Raw material  (3)'!WQA653:WQS3729,3,0),"")</f>
        <v/>
      </c>
      <c r="WQC671" t="str">
        <f>IFERROR(VLOOKUP(WQD671,'[3]Raw material  (3)'!WQB653:WQT3729,3,0),"")</f>
        <v/>
      </c>
      <c r="WQD671" t="str">
        <f>IFERROR(VLOOKUP(WQE671,'[3]Raw material  (3)'!WQC653:WQU3729,3,0),"")</f>
        <v/>
      </c>
      <c r="WQE671" t="str">
        <f>IFERROR(VLOOKUP(WQF671,'[3]Raw material  (3)'!WQD653:WQV3729,3,0),"")</f>
        <v/>
      </c>
      <c r="WQF671" t="str">
        <f>IFERROR(VLOOKUP(WQG671,'[3]Raw material  (3)'!WQE653:WQW3729,3,0),"")</f>
        <v/>
      </c>
      <c r="WQG671" t="str">
        <f>IFERROR(VLOOKUP(WQH671,'[3]Raw material  (3)'!WQF653:WQX3729,3,0),"")</f>
        <v/>
      </c>
      <c r="WQH671" t="str">
        <f>IFERROR(VLOOKUP(WQI671,'[3]Raw material  (3)'!WQG653:WQY3729,3,0),"")</f>
        <v/>
      </c>
      <c r="WQI671" t="str">
        <f>IFERROR(VLOOKUP(WQJ671,'[3]Raw material  (3)'!WQH653:WQZ3729,3,0),"")</f>
        <v/>
      </c>
      <c r="WQJ671" t="str">
        <f>IFERROR(VLOOKUP(WQK671,'[3]Raw material  (3)'!WQI653:WRA3729,3,0),"")</f>
        <v/>
      </c>
      <c r="WQK671" t="str">
        <f>IFERROR(VLOOKUP(WQL671,'[3]Raw material  (3)'!WQJ653:WRB3729,3,0),"")</f>
        <v/>
      </c>
      <c r="WQL671" t="str">
        <f>IFERROR(VLOOKUP(WQM671,'[3]Raw material  (3)'!WQK653:WRC3729,3,0),"")</f>
        <v/>
      </c>
      <c r="WQM671" t="str">
        <f>IFERROR(VLOOKUP(WQN671,'[3]Raw material  (3)'!WQL653:WRD3729,3,0),"")</f>
        <v/>
      </c>
      <c r="WQN671" t="str">
        <f>IFERROR(VLOOKUP(WQO671,'[3]Raw material  (3)'!WQM653:WRE3729,3,0),"")</f>
        <v/>
      </c>
      <c r="WQO671" t="str">
        <f>IFERROR(VLOOKUP(WQP671,'[3]Raw material  (3)'!WQN653:WRF3729,3,0),"")</f>
        <v/>
      </c>
      <c r="WQP671" t="str">
        <f>IFERROR(VLOOKUP(WQQ671,'[3]Raw material  (3)'!WQO653:WRG3729,3,0),"")</f>
        <v/>
      </c>
      <c r="WQQ671" t="str">
        <f>IFERROR(VLOOKUP(WQR671,'[3]Raw material  (3)'!WQP653:WRH3729,3,0),"")</f>
        <v/>
      </c>
      <c r="WQR671" t="str">
        <f>IFERROR(VLOOKUP(WQS671,'[3]Raw material  (3)'!WQQ653:WRI3729,3,0),"")</f>
        <v/>
      </c>
      <c r="WQS671" t="str">
        <f>IFERROR(VLOOKUP(WQT671,'[3]Raw material  (3)'!WQR653:WRJ3729,3,0),"")</f>
        <v/>
      </c>
      <c r="WQT671" t="str">
        <f>IFERROR(VLOOKUP(WQU671,'[3]Raw material  (3)'!WQS653:WRK3729,3,0),"")</f>
        <v/>
      </c>
      <c r="WQU671" t="str">
        <f>IFERROR(VLOOKUP(WQV671,'[3]Raw material  (3)'!WQT653:WRL3729,3,0),"")</f>
        <v/>
      </c>
      <c r="WQV671" t="str">
        <f>IFERROR(VLOOKUP(WQW671,'[3]Raw material  (3)'!WQU653:WRM3729,3,0),"")</f>
        <v/>
      </c>
      <c r="WQW671" t="str">
        <f>IFERROR(VLOOKUP(WQX671,'[3]Raw material  (3)'!WQV653:WRN3729,3,0),"")</f>
        <v/>
      </c>
      <c r="WQX671" t="str">
        <f>IFERROR(VLOOKUP(WQY671,'[3]Raw material  (3)'!WQW653:WRO3729,3,0),"")</f>
        <v/>
      </c>
      <c r="WQY671" t="str">
        <f>IFERROR(VLOOKUP(WQZ671,'[3]Raw material  (3)'!WQX653:WRP3729,3,0),"")</f>
        <v/>
      </c>
      <c r="WQZ671" t="str">
        <f>IFERROR(VLOOKUP(WRA671,'[3]Raw material  (3)'!WQY653:WRQ3729,3,0),"")</f>
        <v/>
      </c>
      <c r="WRA671" t="str">
        <f>IFERROR(VLOOKUP(WRB671,'[3]Raw material  (3)'!WQZ653:WRR3729,3,0),"")</f>
        <v/>
      </c>
      <c r="WRB671" t="str">
        <f>IFERROR(VLOOKUP(WRC671,'[3]Raw material  (3)'!WRA653:WRS3729,3,0),"")</f>
        <v/>
      </c>
      <c r="WRC671" t="str">
        <f>IFERROR(VLOOKUP(WRD671,'[3]Raw material  (3)'!WRB653:WRT3729,3,0),"")</f>
        <v/>
      </c>
      <c r="WRD671" t="str">
        <f>IFERROR(VLOOKUP(WRE671,'[3]Raw material  (3)'!WRC653:WRU3729,3,0),"")</f>
        <v/>
      </c>
      <c r="WRE671" t="str">
        <f>IFERROR(VLOOKUP(WRF671,'[3]Raw material  (3)'!WRD653:WRV3729,3,0),"")</f>
        <v/>
      </c>
      <c r="WRF671" t="str">
        <f>IFERROR(VLOOKUP(WRG671,'[3]Raw material  (3)'!WRE653:WRW3729,3,0),"")</f>
        <v/>
      </c>
      <c r="WRG671" t="str">
        <f>IFERROR(VLOOKUP(WRH671,'[3]Raw material  (3)'!WRF653:WRX3729,3,0),"")</f>
        <v/>
      </c>
      <c r="WRH671" t="str">
        <f>IFERROR(VLOOKUP(WRI671,'[3]Raw material  (3)'!WRG653:WRY3729,3,0),"")</f>
        <v/>
      </c>
      <c r="WRI671" t="str">
        <f>IFERROR(VLOOKUP(WRJ671,'[3]Raw material  (3)'!WRH653:WRZ3729,3,0),"")</f>
        <v/>
      </c>
      <c r="WRJ671" t="str">
        <f>IFERROR(VLOOKUP(WRK671,'[3]Raw material  (3)'!WRI653:WSA3729,3,0),"")</f>
        <v/>
      </c>
      <c r="WRK671" t="str">
        <f>IFERROR(VLOOKUP(WRL671,'[3]Raw material  (3)'!WRJ653:WSB3729,3,0),"")</f>
        <v/>
      </c>
      <c r="WRL671" t="str">
        <f>IFERROR(VLOOKUP(WRM671,'[3]Raw material  (3)'!WRK653:WSC3729,3,0),"")</f>
        <v/>
      </c>
      <c r="WRM671" t="str">
        <f>IFERROR(VLOOKUP(WRN671,'[3]Raw material  (3)'!WRL653:WSD3729,3,0),"")</f>
        <v/>
      </c>
      <c r="WRN671" t="str">
        <f>IFERROR(VLOOKUP(WRO671,'[3]Raw material  (3)'!WRM653:WSE3729,3,0),"")</f>
        <v/>
      </c>
      <c r="WRO671" t="str">
        <f>IFERROR(VLOOKUP(WRP671,'[3]Raw material  (3)'!WRN653:WSF3729,3,0),"")</f>
        <v/>
      </c>
      <c r="WRP671" t="str">
        <f>IFERROR(VLOOKUP(WRQ671,'[3]Raw material  (3)'!WRO653:WSG3729,3,0),"")</f>
        <v/>
      </c>
      <c r="WRQ671" t="str">
        <f>IFERROR(VLOOKUP(WRR671,'[3]Raw material  (3)'!WRP653:WSH3729,3,0),"")</f>
        <v/>
      </c>
      <c r="WRR671" t="str">
        <f>IFERROR(VLOOKUP(WRS671,'[3]Raw material  (3)'!WRQ653:WSI3729,3,0),"")</f>
        <v/>
      </c>
      <c r="WRS671" t="str">
        <f>IFERROR(VLOOKUP(WRT671,'[3]Raw material  (3)'!WRR653:WSJ3729,3,0),"")</f>
        <v/>
      </c>
      <c r="WRT671" t="str">
        <f>IFERROR(VLOOKUP(WRU671,'[3]Raw material  (3)'!WRS653:WSK3729,3,0),"")</f>
        <v/>
      </c>
      <c r="WRU671" t="str">
        <f>IFERROR(VLOOKUP(WRV671,'[3]Raw material  (3)'!WRT653:WSL3729,3,0),"")</f>
        <v/>
      </c>
      <c r="WRV671" t="str">
        <f>IFERROR(VLOOKUP(WRW671,'[3]Raw material  (3)'!WRU653:WSM3729,3,0),"")</f>
        <v/>
      </c>
      <c r="WRW671" t="str">
        <f>IFERROR(VLOOKUP(WRX671,'[3]Raw material  (3)'!WRV653:WSN3729,3,0),"")</f>
        <v/>
      </c>
      <c r="WRX671" t="str">
        <f>IFERROR(VLOOKUP(WRY671,'[3]Raw material  (3)'!WRW653:WSO3729,3,0),"")</f>
        <v/>
      </c>
      <c r="WRY671" t="str">
        <f>IFERROR(VLOOKUP(WRZ671,'[3]Raw material  (3)'!WRX653:WSP3729,3,0),"")</f>
        <v/>
      </c>
      <c r="WRZ671" t="str">
        <f>IFERROR(VLOOKUP(WSA671,'[3]Raw material  (3)'!WRY653:WSQ3729,3,0),"")</f>
        <v/>
      </c>
      <c r="WSA671" t="str">
        <f>IFERROR(VLOOKUP(WSB671,'[3]Raw material  (3)'!WRZ653:WSR3729,3,0),"")</f>
        <v/>
      </c>
      <c r="WSB671" t="str">
        <f>IFERROR(VLOOKUP(WSC671,'[3]Raw material  (3)'!WSA653:WSS3729,3,0),"")</f>
        <v/>
      </c>
      <c r="WSC671" t="str">
        <f>IFERROR(VLOOKUP(WSD671,'[3]Raw material  (3)'!WSB653:WST3729,3,0),"")</f>
        <v/>
      </c>
      <c r="WSD671" t="str">
        <f>IFERROR(VLOOKUP(WSE671,'[3]Raw material  (3)'!WSC653:WSU3729,3,0),"")</f>
        <v/>
      </c>
      <c r="WSE671" t="str">
        <f>IFERROR(VLOOKUP(WSF671,'[3]Raw material  (3)'!WSD653:WSV3729,3,0),"")</f>
        <v/>
      </c>
      <c r="WSF671" t="str">
        <f>IFERROR(VLOOKUP(WSG671,'[3]Raw material  (3)'!WSE653:WSW3729,3,0),"")</f>
        <v/>
      </c>
      <c r="WSG671" t="str">
        <f>IFERROR(VLOOKUP(WSH671,'[3]Raw material  (3)'!WSF653:WSX3729,3,0),"")</f>
        <v/>
      </c>
      <c r="WSH671" t="str">
        <f>IFERROR(VLOOKUP(WSI671,'[3]Raw material  (3)'!WSG653:WSY3729,3,0),"")</f>
        <v/>
      </c>
      <c r="WSI671" t="str">
        <f>IFERROR(VLOOKUP(WSJ671,'[3]Raw material  (3)'!WSH653:WSZ3729,3,0),"")</f>
        <v/>
      </c>
      <c r="WSJ671" t="str">
        <f>IFERROR(VLOOKUP(WSK671,'[3]Raw material  (3)'!WSI653:WTA3729,3,0),"")</f>
        <v/>
      </c>
      <c r="WSK671" t="str">
        <f>IFERROR(VLOOKUP(WSL671,'[3]Raw material  (3)'!WSJ653:WTB3729,3,0),"")</f>
        <v/>
      </c>
      <c r="WSL671" t="str">
        <f>IFERROR(VLOOKUP(WSM671,'[3]Raw material  (3)'!WSK653:WTC3729,3,0),"")</f>
        <v/>
      </c>
      <c r="WSM671" t="str">
        <f>IFERROR(VLOOKUP(WSN671,'[3]Raw material  (3)'!WSL653:WTD3729,3,0),"")</f>
        <v/>
      </c>
      <c r="WSN671" t="str">
        <f>IFERROR(VLOOKUP(WSO671,'[3]Raw material  (3)'!WSM653:WTE3729,3,0),"")</f>
        <v/>
      </c>
      <c r="WSO671" t="str">
        <f>IFERROR(VLOOKUP(WSP671,'[3]Raw material  (3)'!WSN653:WTF3729,3,0),"")</f>
        <v/>
      </c>
      <c r="WSP671" t="str">
        <f>IFERROR(VLOOKUP(WSQ671,'[3]Raw material  (3)'!WSO653:WTG3729,3,0),"")</f>
        <v/>
      </c>
      <c r="WSQ671" t="str">
        <f>IFERROR(VLOOKUP(WSR671,'[3]Raw material  (3)'!WSP653:WTH3729,3,0),"")</f>
        <v/>
      </c>
      <c r="WSR671" t="str">
        <f>IFERROR(VLOOKUP(WSS671,'[3]Raw material  (3)'!WSQ653:WTI3729,3,0),"")</f>
        <v/>
      </c>
      <c r="WSS671" t="str">
        <f>IFERROR(VLOOKUP(WST671,'[3]Raw material  (3)'!WSR653:WTJ3729,3,0),"")</f>
        <v/>
      </c>
      <c r="WST671" t="str">
        <f>IFERROR(VLOOKUP(WSU671,'[3]Raw material  (3)'!WSS653:WTK3729,3,0),"")</f>
        <v/>
      </c>
      <c r="WSU671" t="str">
        <f>IFERROR(VLOOKUP(WSV671,'[3]Raw material  (3)'!WST653:WTL3729,3,0),"")</f>
        <v/>
      </c>
      <c r="WSV671" t="str">
        <f>IFERROR(VLOOKUP(WSW671,'[3]Raw material  (3)'!WSU653:WTM3729,3,0),"")</f>
        <v/>
      </c>
      <c r="WSW671" t="str">
        <f>IFERROR(VLOOKUP(WSX671,'[3]Raw material  (3)'!WSV653:WTN3729,3,0),"")</f>
        <v/>
      </c>
      <c r="WSX671" t="str">
        <f>IFERROR(VLOOKUP(WSY671,'[3]Raw material  (3)'!WSW653:WTO3729,3,0),"")</f>
        <v/>
      </c>
      <c r="WSY671" t="str">
        <f>IFERROR(VLOOKUP(WSZ671,'[3]Raw material  (3)'!WSX653:WTP3729,3,0),"")</f>
        <v/>
      </c>
      <c r="WSZ671" t="str">
        <f>IFERROR(VLOOKUP(WTA671,'[3]Raw material  (3)'!WSY653:WTQ3729,3,0),"")</f>
        <v/>
      </c>
      <c r="WTA671" t="str">
        <f>IFERROR(VLOOKUP(WTB671,'[3]Raw material  (3)'!WSZ653:WTR3729,3,0),"")</f>
        <v/>
      </c>
      <c r="WTB671" t="str">
        <f>IFERROR(VLOOKUP(WTC671,'[3]Raw material  (3)'!WTA653:WTS3729,3,0),"")</f>
        <v/>
      </c>
      <c r="WTC671" t="str">
        <f>IFERROR(VLOOKUP(WTD671,'[3]Raw material  (3)'!WTB653:WTT3729,3,0),"")</f>
        <v/>
      </c>
      <c r="WTD671" t="str">
        <f>IFERROR(VLOOKUP(WTE671,'[3]Raw material  (3)'!WTC653:WTU3729,3,0),"")</f>
        <v/>
      </c>
      <c r="WTE671" t="str">
        <f>IFERROR(VLOOKUP(WTF671,'[3]Raw material  (3)'!WTD653:WTV3729,3,0),"")</f>
        <v/>
      </c>
      <c r="WTF671" t="str">
        <f>IFERROR(VLOOKUP(WTG671,'[3]Raw material  (3)'!WTE653:WTW3729,3,0),"")</f>
        <v/>
      </c>
      <c r="WTG671" t="str">
        <f>IFERROR(VLOOKUP(WTH671,'[3]Raw material  (3)'!WTF653:WTX3729,3,0),"")</f>
        <v/>
      </c>
      <c r="WTH671" t="str">
        <f>IFERROR(VLOOKUP(WTI671,'[3]Raw material  (3)'!WTG653:WTY3729,3,0),"")</f>
        <v/>
      </c>
      <c r="WTI671" t="str">
        <f>IFERROR(VLOOKUP(WTJ671,'[3]Raw material  (3)'!WTH653:WTZ3729,3,0),"")</f>
        <v/>
      </c>
      <c r="WTJ671" t="str">
        <f>IFERROR(VLOOKUP(WTK671,'[3]Raw material  (3)'!WTI653:WUA3729,3,0),"")</f>
        <v/>
      </c>
      <c r="WTK671" t="str">
        <f>IFERROR(VLOOKUP(WTL671,'[3]Raw material  (3)'!WTJ653:WUB3729,3,0),"")</f>
        <v/>
      </c>
      <c r="WTL671" t="str">
        <f>IFERROR(VLOOKUP(WTM671,'[3]Raw material  (3)'!WTK653:WUC3729,3,0),"")</f>
        <v/>
      </c>
      <c r="WTM671" t="str">
        <f>IFERROR(VLOOKUP(WTN671,'[3]Raw material  (3)'!WTL653:WUD3729,3,0),"")</f>
        <v/>
      </c>
      <c r="WTN671" t="str">
        <f>IFERROR(VLOOKUP(WTO671,'[3]Raw material  (3)'!WTM653:WUE3729,3,0),"")</f>
        <v/>
      </c>
      <c r="WTO671" t="str">
        <f>IFERROR(VLOOKUP(WTP671,'[3]Raw material  (3)'!WTN653:WUF3729,3,0),"")</f>
        <v/>
      </c>
      <c r="WTP671" t="str">
        <f>IFERROR(VLOOKUP(WTQ671,'[3]Raw material  (3)'!WTO653:WUG3729,3,0),"")</f>
        <v/>
      </c>
      <c r="WTQ671" t="str">
        <f>IFERROR(VLOOKUP(WTR671,'[3]Raw material  (3)'!WTP653:WUH3729,3,0),"")</f>
        <v/>
      </c>
      <c r="WTR671" t="str">
        <f>IFERROR(VLOOKUP(WTS671,'[3]Raw material  (3)'!WTQ653:WUI3729,3,0),"")</f>
        <v/>
      </c>
      <c r="WTS671" t="str">
        <f>IFERROR(VLOOKUP(WTT671,'[3]Raw material  (3)'!WTR653:WUJ3729,3,0),"")</f>
        <v/>
      </c>
      <c r="WTT671" t="str">
        <f>IFERROR(VLOOKUP(WTU671,'[3]Raw material  (3)'!WTS653:WUK3729,3,0),"")</f>
        <v/>
      </c>
      <c r="WTU671" t="str">
        <f>IFERROR(VLOOKUP(WTV671,'[3]Raw material  (3)'!WTT653:WUL3729,3,0),"")</f>
        <v/>
      </c>
      <c r="WTV671" t="str">
        <f>IFERROR(VLOOKUP(WTW671,'[3]Raw material  (3)'!WTU653:WUM3729,3,0),"")</f>
        <v/>
      </c>
      <c r="WTW671" t="str">
        <f>IFERROR(VLOOKUP(WTX671,'[3]Raw material  (3)'!WTV653:WUN3729,3,0),"")</f>
        <v/>
      </c>
      <c r="WTX671" t="str">
        <f>IFERROR(VLOOKUP(WTY671,'[3]Raw material  (3)'!WTW653:WUO3729,3,0),"")</f>
        <v/>
      </c>
      <c r="WTY671" t="str">
        <f>IFERROR(VLOOKUP(WTZ671,'[3]Raw material  (3)'!WTX653:WUP3729,3,0),"")</f>
        <v/>
      </c>
      <c r="WTZ671" t="str">
        <f>IFERROR(VLOOKUP(WUA671,'[3]Raw material  (3)'!WTY653:WUQ3729,3,0),"")</f>
        <v/>
      </c>
      <c r="WUA671" t="str">
        <f>IFERROR(VLOOKUP(WUB671,'[3]Raw material  (3)'!WTZ653:WUR3729,3,0),"")</f>
        <v/>
      </c>
      <c r="WUB671" t="str">
        <f>IFERROR(VLOOKUP(WUC671,'[3]Raw material  (3)'!WUA653:WUS3729,3,0),"")</f>
        <v/>
      </c>
      <c r="WUC671" t="str">
        <f>IFERROR(VLOOKUP(WUD671,'[3]Raw material  (3)'!WUB653:WUT3729,3,0),"")</f>
        <v/>
      </c>
      <c r="WUD671" t="str">
        <f>IFERROR(VLOOKUP(WUE671,'[3]Raw material  (3)'!WUC653:WUU3729,3,0),"")</f>
        <v/>
      </c>
      <c r="WUE671" t="str">
        <f>IFERROR(VLOOKUP(WUF671,'[3]Raw material  (3)'!WUD653:WUV3729,3,0),"")</f>
        <v/>
      </c>
      <c r="WUF671" t="str">
        <f>IFERROR(VLOOKUP(WUG671,'[3]Raw material  (3)'!WUE653:WUW3729,3,0),"")</f>
        <v/>
      </c>
      <c r="WUG671" t="str">
        <f>IFERROR(VLOOKUP(WUH671,'[3]Raw material  (3)'!WUF653:WUX3729,3,0),"")</f>
        <v/>
      </c>
      <c r="WUH671" t="str">
        <f>IFERROR(VLOOKUP(WUI671,'[3]Raw material  (3)'!WUG653:WUY3729,3,0),"")</f>
        <v/>
      </c>
      <c r="WUI671" t="str">
        <f>IFERROR(VLOOKUP(WUJ671,'[3]Raw material  (3)'!WUH653:WUZ3729,3,0),"")</f>
        <v/>
      </c>
      <c r="WUJ671" t="str">
        <f>IFERROR(VLOOKUP(WUK671,'[3]Raw material  (3)'!WUI653:WVA3729,3,0),"")</f>
        <v/>
      </c>
      <c r="WUK671" t="str">
        <f>IFERROR(VLOOKUP(WUL671,'[3]Raw material  (3)'!WUJ653:WVB3729,3,0),"")</f>
        <v/>
      </c>
      <c r="WUL671" t="str">
        <f>IFERROR(VLOOKUP(WUM671,'[3]Raw material  (3)'!WUK653:WVC3729,3,0),"")</f>
        <v/>
      </c>
      <c r="WUM671" t="str">
        <f>IFERROR(VLOOKUP(WUN671,'[3]Raw material  (3)'!WUL653:WVD3729,3,0),"")</f>
        <v/>
      </c>
      <c r="WUN671" t="str">
        <f>IFERROR(VLOOKUP(WUO671,'[3]Raw material  (3)'!WUM653:WVE3729,3,0),"")</f>
        <v/>
      </c>
      <c r="WUO671" t="str">
        <f>IFERROR(VLOOKUP(WUP671,'[3]Raw material  (3)'!WUN653:WVF3729,3,0),"")</f>
        <v/>
      </c>
      <c r="WUP671" t="str">
        <f>IFERROR(VLOOKUP(WUQ671,'[3]Raw material  (3)'!WUO653:WVG3729,3,0),"")</f>
        <v/>
      </c>
      <c r="WUQ671" t="str">
        <f>IFERROR(VLOOKUP(WUR671,'[3]Raw material  (3)'!WUP653:WVH3729,3,0),"")</f>
        <v/>
      </c>
      <c r="WUR671" t="str">
        <f>IFERROR(VLOOKUP(WUS671,'[3]Raw material  (3)'!WUQ653:WVI3729,3,0),"")</f>
        <v/>
      </c>
      <c r="WUS671" t="str">
        <f>IFERROR(VLOOKUP(WUT671,'[3]Raw material  (3)'!WUR653:WVJ3729,3,0),"")</f>
        <v/>
      </c>
      <c r="WUT671" t="str">
        <f>IFERROR(VLOOKUP(WUU671,'[3]Raw material  (3)'!WUS653:WVK3729,3,0),"")</f>
        <v/>
      </c>
      <c r="WUU671" t="str">
        <f>IFERROR(VLOOKUP(WUV671,'[3]Raw material  (3)'!WUT653:WVL3729,3,0),"")</f>
        <v/>
      </c>
      <c r="WUV671" t="str">
        <f>IFERROR(VLOOKUP(WUW671,'[3]Raw material  (3)'!WUU653:WVM3729,3,0),"")</f>
        <v/>
      </c>
      <c r="WUW671" t="str">
        <f>IFERROR(VLOOKUP(WUX671,'[3]Raw material  (3)'!WUV653:WVN3729,3,0),"")</f>
        <v/>
      </c>
      <c r="WUX671" t="str">
        <f>IFERROR(VLOOKUP(WUY671,'[3]Raw material  (3)'!WUW653:WVO3729,3,0),"")</f>
        <v/>
      </c>
      <c r="WUY671" t="str">
        <f>IFERROR(VLOOKUP(WUZ671,'[3]Raw material  (3)'!WUX653:WVP3729,3,0),"")</f>
        <v/>
      </c>
      <c r="WUZ671" t="str">
        <f>IFERROR(VLOOKUP(WVA671,'[3]Raw material  (3)'!WUY653:WVQ3729,3,0),"")</f>
        <v/>
      </c>
      <c r="WVA671" t="str">
        <f>IFERROR(VLOOKUP(WVB671,'[3]Raw material  (3)'!WUZ653:WVR3729,3,0),"")</f>
        <v/>
      </c>
      <c r="WVB671" t="str">
        <f>IFERROR(VLOOKUP(WVC671,'[3]Raw material  (3)'!WVA653:WVS3729,3,0),"")</f>
        <v/>
      </c>
      <c r="WVC671" t="str">
        <f>IFERROR(VLOOKUP(WVD671,'[3]Raw material  (3)'!WVB653:WVT3729,3,0),"")</f>
        <v/>
      </c>
      <c r="WVD671" t="str">
        <f>IFERROR(VLOOKUP(WVE671,'[3]Raw material  (3)'!WVC653:WVU3729,3,0),"")</f>
        <v/>
      </c>
      <c r="WVE671" t="str">
        <f>IFERROR(VLOOKUP(WVF671,'[3]Raw material  (3)'!WVD653:WVV3729,3,0),"")</f>
        <v/>
      </c>
      <c r="WVF671" t="str">
        <f>IFERROR(VLOOKUP(WVG671,'[3]Raw material  (3)'!WVE653:WVW3729,3,0),"")</f>
        <v/>
      </c>
      <c r="WVG671" t="str">
        <f>IFERROR(VLOOKUP(WVH671,'[3]Raw material  (3)'!WVF653:WVX3729,3,0),"")</f>
        <v/>
      </c>
      <c r="WVH671" t="str">
        <f>IFERROR(VLOOKUP(WVI671,'[3]Raw material  (3)'!WVG653:WVY3729,3,0),"")</f>
        <v/>
      </c>
      <c r="WVI671" t="str">
        <f>IFERROR(VLOOKUP(WVJ671,'[3]Raw material  (3)'!WVH653:WVZ3729,3,0),"")</f>
        <v/>
      </c>
      <c r="WVJ671" t="str">
        <f>IFERROR(VLOOKUP(WVK671,'[3]Raw material  (3)'!WVI653:WWA3729,3,0),"")</f>
        <v/>
      </c>
      <c r="WVK671" t="str">
        <f>IFERROR(VLOOKUP(WVL671,'[3]Raw material  (3)'!WVJ653:WWB3729,3,0),"")</f>
        <v/>
      </c>
      <c r="WVL671" t="str">
        <f>IFERROR(VLOOKUP(WVM671,'[3]Raw material  (3)'!WVK653:WWC3729,3,0),"")</f>
        <v/>
      </c>
      <c r="WVM671" t="str">
        <f>IFERROR(VLOOKUP(WVN671,'[3]Raw material  (3)'!WVL653:WWD3729,3,0),"")</f>
        <v/>
      </c>
      <c r="WVN671" t="str">
        <f>IFERROR(VLOOKUP(WVO671,'[3]Raw material  (3)'!WVM653:WWE3729,3,0),"")</f>
        <v/>
      </c>
      <c r="WVO671" t="str">
        <f>IFERROR(VLOOKUP(WVP671,'[3]Raw material  (3)'!WVN653:WWF3729,3,0),"")</f>
        <v/>
      </c>
      <c r="WVP671" t="str">
        <f>IFERROR(VLOOKUP(WVQ671,'[3]Raw material  (3)'!WVO653:WWG3729,3,0),"")</f>
        <v/>
      </c>
      <c r="WVQ671" t="str">
        <f>IFERROR(VLOOKUP(WVR671,'[3]Raw material  (3)'!WVP653:WWH3729,3,0),"")</f>
        <v/>
      </c>
      <c r="WVR671" t="str">
        <f>IFERROR(VLOOKUP(WVS671,'[3]Raw material  (3)'!WVQ653:WWI3729,3,0),"")</f>
        <v/>
      </c>
      <c r="WVS671" t="str">
        <f>IFERROR(VLOOKUP(WVT671,'[3]Raw material  (3)'!WVR653:WWJ3729,3,0),"")</f>
        <v/>
      </c>
      <c r="WVT671" t="str">
        <f>IFERROR(VLOOKUP(WVU671,'[3]Raw material  (3)'!WVS653:WWK3729,3,0),"")</f>
        <v/>
      </c>
      <c r="WVU671" t="str">
        <f>IFERROR(VLOOKUP(WVV671,'[3]Raw material  (3)'!WVT653:WWL3729,3,0),"")</f>
        <v/>
      </c>
      <c r="WVV671" t="str">
        <f>IFERROR(VLOOKUP(WVW671,'[3]Raw material  (3)'!WVU653:WWM3729,3,0),"")</f>
        <v/>
      </c>
      <c r="WVW671" t="str">
        <f>IFERROR(VLOOKUP(WVX671,'[3]Raw material  (3)'!WVV653:WWN3729,3,0),"")</f>
        <v/>
      </c>
      <c r="WVX671" t="str">
        <f>IFERROR(VLOOKUP(WVY671,'[3]Raw material  (3)'!WVW653:WWO3729,3,0),"")</f>
        <v/>
      </c>
      <c r="WVY671" t="str">
        <f>IFERROR(VLOOKUP(WVZ671,'[3]Raw material  (3)'!WVX653:WWP3729,3,0),"")</f>
        <v/>
      </c>
      <c r="WVZ671" t="str">
        <f>IFERROR(VLOOKUP(WWA671,'[3]Raw material  (3)'!WVY653:WWQ3729,3,0),"")</f>
        <v/>
      </c>
      <c r="WWA671" t="str">
        <f>IFERROR(VLOOKUP(WWB671,'[3]Raw material  (3)'!WVZ653:WWR3729,3,0),"")</f>
        <v/>
      </c>
      <c r="WWB671" t="str">
        <f>IFERROR(VLOOKUP(WWC671,'[3]Raw material  (3)'!WWA653:WWS3729,3,0),"")</f>
        <v/>
      </c>
      <c r="WWC671" t="str">
        <f>IFERROR(VLOOKUP(WWD671,'[3]Raw material  (3)'!WWB653:WWT3729,3,0),"")</f>
        <v/>
      </c>
      <c r="WWD671" t="str">
        <f>IFERROR(VLOOKUP(WWE671,'[3]Raw material  (3)'!WWC653:WWU3729,3,0),"")</f>
        <v/>
      </c>
      <c r="WWE671" t="str">
        <f>IFERROR(VLOOKUP(WWF671,'[3]Raw material  (3)'!WWD653:WWV3729,3,0),"")</f>
        <v/>
      </c>
      <c r="WWF671" t="str">
        <f>IFERROR(VLOOKUP(WWG671,'[3]Raw material  (3)'!WWE653:WWW3729,3,0),"")</f>
        <v/>
      </c>
      <c r="WWG671" t="str">
        <f>IFERROR(VLOOKUP(WWH671,'[3]Raw material  (3)'!WWF653:WWX3729,3,0),"")</f>
        <v/>
      </c>
      <c r="WWH671" t="str">
        <f>IFERROR(VLOOKUP(WWI671,'[3]Raw material  (3)'!WWG653:WWY3729,3,0),"")</f>
        <v/>
      </c>
      <c r="WWI671" t="str">
        <f>IFERROR(VLOOKUP(WWJ671,'[3]Raw material  (3)'!WWH653:WWZ3729,3,0),"")</f>
        <v/>
      </c>
      <c r="WWJ671" t="str">
        <f>IFERROR(VLOOKUP(WWK671,'[3]Raw material  (3)'!WWI653:WXA3729,3,0),"")</f>
        <v/>
      </c>
      <c r="WWK671" t="str">
        <f>IFERROR(VLOOKUP(WWL671,'[3]Raw material  (3)'!WWJ653:WXB3729,3,0),"")</f>
        <v/>
      </c>
      <c r="WWL671" t="str">
        <f>IFERROR(VLOOKUP(WWM671,'[3]Raw material  (3)'!WWK653:WXC3729,3,0),"")</f>
        <v/>
      </c>
      <c r="WWM671" t="str">
        <f>IFERROR(VLOOKUP(WWN671,'[3]Raw material  (3)'!WWL653:WXD3729,3,0),"")</f>
        <v/>
      </c>
      <c r="WWN671" t="str">
        <f>IFERROR(VLOOKUP(WWO671,'[3]Raw material  (3)'!WWM653:WXE3729,3,0),"")</f>
        <v/>
      </c>
      <c r="WWO671" t="str">
        <f>IFERROR(VLOOKUP(WWP671,'[3]Raw material  (3)'!WWN653:WXF3729,3,0),"")</f>
        <v/>
      </c>
      <c r="WWP671" t="str">
        <f>IFERROR(VLOOKUP(WWQ671,'[3]Raw material  (3)'!WWO653:WXG3729,3,0),"")</f>
        <v/>
      </c>
      <c r="WWQ671" t="str">
        <f>IFERROR(VLOOKUP(WWR671,'[3]Raw material  (3)'!WWP653:WXH3729,3,0),"")</f>
        <v/>
      </c>
      <c r="WWR671" t="str">
        <f>IFERROR(VLOOKUP(WWS671,'[3]Raw material  (3)'!WWQ653:WXI3729,3,0),"")</f>
        <v/>
      </c>
      <c r="WWS671" t="str">
        <f>IFERROR(VLOOKUP(WWT671,'[3]Raw material  (3)'!WWR653:WXJ3729,3,0),"")</f>
        <v/>
      </c>
      <c r="WWT671" t="str">
        <f>IFERROR(VLOOKUP(WWU671,'[3]Raw material  (3)'!WWS653:WXK3729,3,0),"")</f>
        <v/>
      </c>
      <c r="WWU671" t="str">
        <f>IFERROR(VLOOKUP(WWV671,'[3]Raw material  (3)'!WWT653:WXL3729,3,0),"")</f>
        <v/>
      </c>
      <c r="WWV671" t="str">
        <f>IFERROR(VLOOKUP(WWW671,'[3]Raw material  (3)'!WWU653:WXM3729,3,0),"")</f>
        <v/>
      </c>
      <c r="WWW671" t="str">
        <f>IFERROR(VLOOKUP(WWX671,'[3]Raw material  (3)'!WWV653:WXN3729,3,0),"")</f>
        <v/>
      </c>
      <c r="WWX671" t="str">
        <f>IFERROR(VLOOKUP(WWY671,'[3]Raw material  (3)'!WWW653:WXO3729,3,0),"")</f>
        <v/>
      </c>
      <c r="WWY671" t="str">
        <f>IFERROR(VLOOKUP(WWZ671,'[3]Raw material  (3)'!WWX653:WXP3729,3,0),"")</f>
        <v/>
      </c>
      <c r="WWZ671" t="str">
        <f>IFERROR(VLOOKUP(WXA671,'[3]Raw material  (3)'!WWY653:WXQ3729,3,0),"")</f>
        <v/>
      </c>
      <c r="WXA671" t="str">
        <f>IFERROR(VLOOKUP(WXB671,'[3]Raw material  (3)'!WWZ653:WXR3729,3,0),"")</f>
        <v/>
      </c>
      <c r="WXB671" t="str">
        <f>IFERROR(VLOOKUP(WXC671,'[3]Raw material  (3)'!WXA653:WXS3729,3,0),"")</f>
        <v/>
      </c>
      <c r="WXC671" t="str">
        <f>IFERROR(VLOOKUP(WXD671,'[3]Raw material  (3)'!WXB653:WXT3729,3,0),"")</f>
        <v/>
      </c>
      <c r="WXD671" t="str">
        <f>IFERROR(VLOOKUP(WXE671,'[3]Raw material  (3)'!WXC653:WXU3729,3,0),"")</f>
        <v/>
      </c>
      <c r="WXE671" t="str">
        <f>IFERROR(VLOOKUP(WXF671,'[3]Raw material  (3)'!WXD653:WXV3729,3,0),"")</f>
        <v/>
      </c>
      <c r="WXF671" t="str">
        <f>IFERROR(VLOOKUP(WXG671,'[3]Raw material  (3)'!WXE653:WXW3729,3,0),"")</f>
        <v/>
      </c>
      <c r="WXG671" t="str">
        <f>IFERROR(VLOOKUP(WXH671,'[3]Raw material  (3)'!WXF653:WXX3729,3,0),"")</f>
        <v/>
      </c>
      <c r="WXH671" t="str">
        <f>IFERROR(VLOOKUP(WXI671,'[3]Raw material  (3)'!WXG653:WXY3729,3,0),"")</f>
        <v/>
      </c>
      <c r="WXI671" t="str">
        <f>IFERROR(VLOOKUP(WXJ671,'[3]Raw material  (3)'!WXH653:WXZ3729,3,0),"")</f>
        <v/>
      </c>
      <c r="WXJ671" t="str">
        <f>IFERROR(VLOOKUP(WXK671,'[3]Raw material  (3)'!WXI653:WYA3729,3,0),"")</f>
        <v/>
      </c>
      <c r="WXK671" t="str">
        <f>IFERROR(VLOOKUP(WXL671,'[3]Raw material  (3)'!WXJ653:WYB3729,3,0),"")</f>
        <v/>
      </c>
      <c r="WXL671" t="str">
        <f>IFERROR(VLOOKUP(WXM671,'[3]Raw material  (3)'!WXK653:WYC3729,3,0),"")</f>
        <v/>
      </c>
      <c r="WXM671" t="str">
        <f>IFERROR(VLOOKUP(WXN671,'[3]Raw material  (3)'!WXL653:WYD3729,3,0),"")</f>
        <v/>
      </c>
      <c r="WXN671" t="str">
        <f>IFERROR(VLOOKUP(WXO671,'[3]Raw material  (3)'!WXM653:WYE3729,3,0),"")</f>
        <v/>
      </c>
      <c r="WXO671" t="str">
        <f>IFERROR(VLOOKUP(WXP671,'[3]Raw material  (3)'!WXN653:WYF3729,3,0),"")</f>
        <v/>
      </c>
      <c r="WXP671" t="str">
        <f>IFERROR(VLOOKUP(WXQ671,'[3]Raw material  (3)'!WXO653:WYG3729,3,0),"")</f>
        <v/>
      </c>
      <c r="WXQ671" t="str">
        <f>IFERROR(VLOOKUP(WXR671,'[3]Raw material  (3)'!WXP653:WYH3729,3,0),"")</f>
        <v/>
      </c>
      <c r="WXR671" t="str">
        <f>IFERROR(VLOOKUP(WXS671,'[3]Raw material  (3)'!WXQ653:WYI3729,3,0),"")</f>
        <v/>
      </c>
      <c r="WXS671" t="str">
        <f>IFERROR(VLOOKUP(WXT671,'[3]Raw material  (3)'!WXR653:WYJ3729,3,0),"")</f>
        <v/>
      </c>
      <c r="WXT671" t="str">
        <f>IFERROR(VLOOKUP(WXU671,'[3]Raw material  (3)'!WXS653:WYK3729,3,0),"")</f>
        <v/>
      </c>
      <c r="WXU671" t="str">
        <f>IFERROR(VLOOKUP(WXV671,'[3]Raw material  (3)'!WXT653:WYL3729,3,0),"")</f>
        <v/>
      </c>
      <c r="WXV671" t="str">
        <f>IFERROR(VLOOKUP(WXW671,'[3]Raw material  (3)'!WXU653:WYM3729,3,0),"")</f>
        <v/>
      </c>
      <c r="WXW671" t="str">
        <f>IFERROR(VLOOKUP(WXX671,'[3]Raw material  (3)'!WXV653:WYN3729,3,0),"")</f>
        <v/>
      </c>
      <c r="WXX671" t="str">
        <f>IFERROR(VLOOKUP(WXY671,'[3]Raw material  (3)'!WXW653:WYO3729,3,0),"")</f>
        <v/>
      </c>
      <c r="WXY671" t="str">
        <f>IFERROR(VLOOKUP(WXZ671,'[3]Raw material  (3)'!WXX653:WYP3729,3,0),"")</f>
        <v/>
      </c>
      <c r="WXZ671" t="str">
        <f>IFERROR(VLOOKUP(WYA671,'[3]Raw material  (3)'!WXY653:WYQ3729,3,0),"")</f>
        <v/>
      </c>
      <c r="WYA671" t="str">
        <f>IFERROR(VLOOKUP(WYB671,'[3]Raw material  (3)'!WXZ653:WYR3729,3,0),"")</f>
        <v/>
      </c>
      <c r="WYB671" t="str">
        <f>IFERROR(VLOOKUP(WYC671,'[3]Raw material  (3)'!WYA653:WYS3729,3,0),"")</f>
        <v/>
      </c>
      <c r="WYC671" t="str">
        <f>IFERROR(VLOOKUP(WYD671,'[3]Raw material  (3)'!WYB653:WYT3729,3,0),"")</f>
        <v/>
      </c>
      <c r="WYD671" t="str">
        <f>IFERROR(VLOOKUP(WYE671,'[3]Raw material  (3)'!WYC653:WYU3729,3,0),"")</f>
        <v/>
      </c>
      <c r="WYE671" t="str">
        <f>IFERROR(VLOOKUP(WYF671,'[3]Raw material  (3)'!WYD653:WYV3729,3,0),"")</f>
        <v/>
      </c>
      <c r="WYF671" t="str">
        <f>IFERROR(VLOOKUP(WYG671,'[3]Raw material  (3)'!WYE653:WYW3729,3,0),"")</f>
        <v/>
      </c>
      <c r="WYG671" t="str">
        <f>IFERROR(VLOOKUP(WYH671,'[3]Raw material  (3)'!WYF653:WYX3729,3,0),"")</f>
        <v/>
      </c>
      <c r="WYH671" t="str">
        <f>IFERROR(VLOOKUP(WYI671,'[3]Raw material  (3)'!WYG653:WYY3729,3,0),"")</f>
        <v/>
      </c>
      <c r="WYI671" t="str">
        <f>IFERROR(VLOOKUP(WYJ671,'[3]Raw material  (3)'!WYH653:WYZ3729,3,0),"")</f>
        <v/>
      </c>
      <c r="WYJ671" t="str">
        <f>IFERROR(VLOOKUP(WYK671,'[3]Raw material  (3)'!WYI653:WZA3729,3,0),"")</f>
        <v/>
      </c>
      <c r="WYK671" t="str">
        <f>IFERROR(VLOOKUP(WYL671,'[3]Raw material  (3)'!WYJ653:WZB3729,3,0),"")</f>
        <v/>
      </c>
      <c r="WYL671" t="str">
        <f>IFERROR(VLOOKUP(WYM671,'[3]Raw material  (3)'!WYK653:WZC3729,3,0),"")</f>
        <v/>
      </c>
      <c r="WYM671" t="str">
        <f>IFERROR(VLOOKUP(WYN671,'[3]Raw material  (3)'!WYL653:WZD3729,3,0),"")</f>
        <v/>
      </c>
      <c r="WYN671" t="str">
        <f>IFERROR(VLOOKUP(WYO671,'[3]Raw material  (3)'!WYM653:WZE3729,3,0),"")</f>
        <v/>
      </c>
      <c r="WYO671" t="str">
        <f>IFERROR(VLOOKUP(WYP671,'[3]Raw material  (3)'!WYN653:WZF3729,3,0),"")</f>
        <v/>
      </c>
      <c r="WYP671" t="str">
        <f>IFERROR(VLOOKUP(WYQ671,'[3]Raw material  (3)'!WYO653:WZG3729,3,0),"")</f>
        <v/>
      </c>
      <c r="WYQ671" t="str">
        <f>IFERROR(VLOOKUP(WYR671,'[3]Raw material  (3)'!WYP653:WZH3729,3,0),"")</f>
        <v/>
      </c>
      <c r="WYR671" t="str">
        <f>IFERROR(VLOOKUP(WYS671,'[3]Raw material  (3)'!WYQ653:WZI3729,3,0),"")</f>
        <v/>
      </c>
      <c r="WYS671" t="str">
        <f>IFERROR(VLOOKUP(WYT671,'[3]Raw material  (3)'!WYR653:WZJ3729,3,0),"")</f>
        <v/>
      </c>
      <c r="WYT671" t="str">
        <f>IFERROR(VLOOKUP(WYU671,'[3]Raw material  (3)'!WYS653:WZK3729,3,0),"")</f>
        <v/>
      </c>
      <c r="WYU671" t="str">
        <f>IFERROR(VLOOKUP(WYV671,'[3]Raw material  (3)'!WYT653:WZL3729,3,0),"")</f>
        <v/>
      </c>
      <c r="WYV671" t="str">
        <f>IFERROR(VLOOKUP(WYW671,'[3]Raw material  (3)'!WYU653:WZM3729,3,0),"")</f>
        <v/>
      </c>
      <c r="WYW671" t="str">
        <f>IFERROR(VLOOKUP(WYX671,'[3]Raw material  (3)'!WYV653:WZN3729,3,0),"")</f>
        <v/>
      </c>
      <c r="WYX671" t="str">
        <f>IFERROR(VLOOKUP(WYY671,'[3]Raw material  (3)'!WYW653:WZO3729,3,0),"")</f>
        <v/>
      </c>
      <c r="WYY671" t="str">
        <f>IFERROR(VLOOKUP(WYZ671,'[3]Raw material  (3)'!WYX653:WZP3729,3,0),"")</f>
        <v/>
      </c>
      <c r="WYZ671" t="str">
        <f>IFERROR(VLOOKUP(WZA671,'[3]Raw material  (3)'!WYY653:WZQ3729,3,0),"")</f>
        <v/>
      </c>
      <c r="WZA671" t="str">
        <f>IFERROR(VLOOKUP(WZB671,'[3]Raw material  (3)'!WYZ653:WZR3729,3,0),"")</f>
        <v/>
      </c>
      <c r="WZB671" t="str">
        <f>IFERROR(VLOOKUP(WZC671,'[3]Raw material  (3)'!WZA653:WZS3729,3,0),"")</f>
        <v/>
      </c>
      <c r="WZC671" t="str">
        <f>IFERROR(VLOOKUP(WZD671,'[3]Raw material  (3)'!WZB653:WZT3729,3,0),"")</f>
        <v/>
      </c>
      <c r="WZD671" t="str">
        <f>IFERROR(VLOOKUP(WZE671,'[3]Raw material  (3)'!WZC653:WZU3729,3,0),"")</f>
        <v/>
      </c>
      <c r="WZE671" t="str">
        <f>IFERROR(VLOOKUP(WZF671,'[3]Raw material  (3)'!WZD653:WZV3729,3,0),"")</f>
        <v/>
      </c>
      <c r="WZF671" t="str">
        <f>IFERROR(VLOOKUP(WZG671,'[3]Raw material  (3)'!WZE653:WZW3729,3,0),"")</f>
        <v/>
      </c>
      <c r="WZG671" t="str">
        <f>IFERROR(VLOOKUP(WZH671,'[3]Raw material  (3)'!WZF653:WZX3729,3,0),"")</f>
        <v/>
      </c>
      <c r="WZH671" t="str">
        <f>IFERROR(VLOOKUP(WZI671,'[3]Raw material  (3)'!WZG653:WZY3729,3,0),"")</f>
        <v/>
      </c>
      <c r="WZI671" t="str">
        <f>IFERROR(VLOOKUP(WZJ671,'[3]Raw material  (3)'!WZH653:WZZ3729,3,0),"")</f>
        <v/>
      </c>
      <c r="WZJ671" t="str">
        <f>IFERROR(VLOOKUP(WZK671,'[3]Raw material  (3)'!WZI653:XAA3729,3,0),"")</f>
        <v/>
      </c>
      <c r="WZK671" t="str">
        <f>IFERROR(VLOOKUP(WZL671,'[3]Raw material  (3)'!WZJ653:XAB3729,3,0),"")</f>
        <v/>
      </c>
      <c r="WZL671" t="str">
        <f>IFERROR(VLOOKUP(WZM671,'[3]Raw material  (3)'!WZK653:XAC3729,3,0),"")</f>
        <v/>
      </c>
      <c r="WZM671" t="str">
        <f>IFERROR(VLOOKUP(WZN671,'[3]Raw material  (3)'!WZL653:XAD3729,3,0),"")</f>
        <v/>
      </c>
      <c r="WZN671" t="str">
        <f>IFERROR(VLOOKUP(WZO671,'[3]Raw material  (3)'!WZM653:XAE3729,3,0),"")</f>
        <v/>
      </c>
      <c r="WZO671" t="str">
        <f>IFERROR(VLOOKUP(WZP671,'[3]Raw material  (3)'!WZN653:XAF3729,3,0),"")</f>
        <v/>
      </c>
      <c r="WZP671" t="str">
        <f>IFERROR(VLOOKUP(WZQ671,'[3]Raw material  (3)'!WZO653:XAG3729,3,0),"")</f>
        <v/>
      </c>
      <c r="WZQ671" t="str">
        <f>IFERROR(VLOOKUP(WZR671,'[3]Raw material  (3)'!WZP653:XAH3729,3,0),"")</f>
        <v/>
      </c>
      <c r="WZR671" t="str">
        <f>IFERROR(VLOOKUP(WZS671,'[3]Raw material  (3)'!WZQ653:XAI3729,3,0),"")</f>
        <v/>
      </c>
      <c r="WZS671" t="str">
        <f>IFERROR(VLOOKUP(WZT671,'[3]Raw material  (3)'!WZR653:XAJ3729,3,0),"")</f>
        <v/>
      </c>
      <c r="WZT671" t="str">
        <f>IFERROR(VLOOKUP(WZU671,'[3]Raw material  (3)'!WZS653:XAK3729,3,0),"")</f>
        <v/>
      </c>
      <c r="WZU671" t="str">
        <f>IFERROR(VLOOKUP(WZV671,'[3]Raw material  (3)'!WZT653:XAL3729,3,0),"")</f>
        <v/>
      </c>
      <c r="WZV671" t="str">
        <f>IFERROR(VLOOKUP(WZW671,'[3]Raw material  (3)'!WZU653:XAM3729,3,0),"")</f>
        <v/>
      </c>
      <c r="WZW671" t="str">
        <f>IFERROR(VLOOKUP(WZX671,'[3]Raw material  (3)'!WZV653:XAN3729,3,0),"")</f>
        <v/>
      </c>
      <c r="WZX671" t="str">
        <f>IFERROR(VLOOKUP(WZY671,'[3]Raw material  (3)'!WZW653:XAO3729,3,0),"")</f>
        <v/>
      </c>
      <c r="WZY671" t="str">
        <f>IFERROR(VLOOKUP(WZZ671,'[3]Raw material  (3)'!WZX653:XAP3729,3,0),"")</f>
        <v/>
      </c>
      <c r="WZZ671" t="str">
        <f>IFERROR(VLOOKUP(XAA671,'[3]Raw material  (3)'!WZY653:XAQ3729,3,0),"")</f>
        <v/>
      </c>
      <c r="XAA671" t="str">
        <f>IFERROR(VLOOKUP(XAB671,'[3]Raw material  (3)'!WZZ653:XAR3729,3,0),"")</f>
        <v/>
      </c>
      <c r="XAB671" t="str">
        <f>IFERROR(VLOOKUP(XAC671,'[3]Raw material  (3)'!XAA653:XAS3729,3,0),"")</f>
        <v/>
      </c>
      <c r="XAC671" t="str">
        <f>IFERROR(VLOOKUP(XAD671,'[3]Raw material  (3)'!XAB653:XAT3729,3,0),"")</f>
        <v/>
      </c>
      <c r="XAD671" t="str">
        <f>IFERROR(VLOOKUP(XAE671,'[3]Raw material  (3)'!XAC653:XAU3729,3,0),"")</f>
        <v/>
      </c>
      <c r="XAE671" t="str">
        <f>IFERROR(VLOOKUP(XAF671,'[3]Raw material  (3)'!XAD653:XAV3729,3,0),"")</f>
        <v/>
      </c>
      <c r="XAF671" t="str">
        <f>IFERROR(VLOOKUP(XAG671,'[3]Raw material  (3)'!XAE653:XAW3729,3,0),"")</f>
        <v/>
      </c>
      <c r="XAG671" t="str">
        <f>IFERROR(VLOOKUP(XAH671,'[3]Raw material  (3)'!XAF653:XAX3729,3,0),"")</f>
        <v/>
      </c>
      <c r="XAH671" t="str">
        <f>IFERROR(VLOOKUP(XAI671,'[3]Raw material  (3)'!XAG653:XAY3729,3,0),"")</f>
        <v/>
      </c>
      <c r="XAI671" t="str">
        <f>IFERROR(VLOOKUP(XAJ671,'[3]Raw material  (3)'!XAH653:XAZ3729,3,0),"")</f>
        <v/>
      </c>
      <c r="XAJ671" t="str">
        <f>IFERROR(VLOOKUP(XAK671,'[3]Raw material  (3)'!XAI653:XBA3729,3,0),"")</f>
        <v/>
      </c>
      <c r="XAK671" t="str">
        <f>IFERROR(VLOOKUP(XAL671,'[3]Raw material  (3)'!XAJ653:XBB3729,3,0),"")</f>
        <v/>
      </c>
      <c r="XAL671" t="str">
        <f>IFERROR(VLOOKUP(XAM671,'[3]Raw material  (3)'!XAK653:XBC3729,3,0),"")</f>
        <v/>
      </c>
      <c r="XAM671" t="str">
        <f>IFERROR(VLOOKUP(XAN671,'[3]Raw material  (3)'!XAL653:XBD3729,3,0),"")</f>
        <v/>
      </c>
      <c r="XAN671" t="str">
        <f>IFERROR(VLOOKUP(XAO671,'[3]Raw material  (3)'!XAM653:XBE3729,3,0),"")</f>
        <v/>
      </c>
      <c r="XAO671" t="str">
        <f>IFERROR(VLOOKUP(XAP671,'[3]Raw material  (3)'!XAN653:XBF3729,3,0),"")</f>
        <v/>
      </c>
      <c r="XAP671" t="str">
        <f>IFERROR(VLOOKUP(XAQ671,'[3]Raw material  (3)'!XAO653:XBG3729,3,0),"")</f>
        <v/>
      </c>
      <c r="XAQ671" t="str">
        <f>IFERROR(VLOOKUP(XAR671,'[3]Raw material  (3)'!XAP653:XBH3729,3,0),"")</f>
        <v/>
      </c>
      <c r="XAR671" t="str">
        <f>IFERROR(VLOOKUP(XAS671,'[3]Raw material  (3)'!XAQ653:XBI3729,3,0),"")</f>
        <v/>
      </c>
      <c r="XAS671" t="str">
        <f>IFERROR(VLOOKUP(XAT671,'[3]Raw material  (3)'!XAR653:XBJ3729,3,0),"")</f>
        <v/>
      </c>
      <c r="XAT671" t="str">
        <f>IFERROR(VLOOKUP(XAU671,'[3]Raw material  (3)'!XAS653:XBK3729,3,0),"")</f>
        <v/>
      </c>
      <c r="XAU671" t="str">
        <f>IFERROR(VLOOKUP(XAV671,'[3]Raw material  (3)'!XAT653:XBL3729,3,0),"")</f>
        <v/>
      </c>
      <c r="XAV671" t="str">
        <f>IFERROR(VLOOKUP(XAW671,'[3]Raw material  (3)'!XAU653:XBM3729,3,0),"")</f>
        <v/>
      </c>
      <c r="XAW671" t="str">
        <f>IFERROR(VLOOKUP(XAX671,'[3]Raw material  (3)'!XAV653:XBN3729,3,0),"")</f>
        <v/>
      </c>
      <c r="XAX671" t="str">
        <f>IFERROR(VLOOKUP(XAY671,'[3]Raw material  (3)'!XAW653:XBO3729,3,0),"")</f>
        <v/>
      </c>
      <c r="XAY671" t="str">
        <f>IFERROR(VLOOKUP(XAZ671,'[3]Raw material  (3)'!XAX653:XBP3729,3,0),"")</f>
        <v/>
      </c>
      <c r="XAZ671" t="str">
        <f>IFERROR(VLOOKUP(XBA671,'[3]Raw material  (3)'!XAY653:XBQ3729,3,0),"")</f>
        <v/>
      </c>
      <c r="XBA671" t="str">
        <f>IFERROR(VLOOKUP(XBB671,'[3]Raw material  (3)'!XAZ653:XBR3729,3,0),"")</f>
        <v/>
      </c>
      <c r="XBB671" t="str">
        <f>IFERROR(VLOOKUP(XBC671,'[3]Raw material  (3)'!XBA653:XBS3729,3,0),"")</f>
        <v/>
      </c>
      <c r="XBC671" t="str">
        <f>IFERROR(VLOOKUP(XBD671,'[3]Raw material  (3)'!XBB653:XBT3729,3,0),"")</f>
        <v/>
      </c>
      <c r="XBD671" t="str">
        <f>IFERROR(VLOOKUP(XBE671,'[3]Raw material  (3)'!XBC653:XBU3729,3,0),"")</f>
        <v/>
      </c>
      <c r="XBE671" t="str">
        <f>IFERROR(VLOOKUP(XBF671,'[3]Raw material  (3)'!XBD653:XBV3729,3,0),"")</f>
        <v/>
      </c>
      <c r="XBF671" t="str">
        <f>IFERROR(VLOOKUP(XBG671,'[3]Raw material  (3)'!XBE653:XBW3729,3,0),"")</f>
        <v/>
      </c>
      <c r="XBG671" t="str">
        <f>IFERROR(VLOOKUP(XBH671,'[3]Raw material  (3)'!XBF653:XBX3729,3,0),"")</f>
        <v/>
      </c>
      <c r="XBH671" t="str">
        <f>IFERROR(VLOOKUP(XBI671,'[3]Raw material  (3)'!XBG653:XBY3729,3,0),"")</f>
        <v/>
      </c>
      <c r="XBI671" t="str">
        <f>IFERROR(VLOOKUP(XBJ671,'[3]Raw material  (3)'!XBH653:XBZ3729,3,0),"")</f>
        <v/>
      </c>
      <c r="XBJ671" t="str">
        <f>IFERROR(VLOOKUP(XBK671,'[3]Raw material  (3)'!XBI653:XCA3729,3,0),"")</f>
        <v/>
      </c>
      <c r="XBK671" t="str">
        <f>IFERROR(VLOOKUP(XBL671,'[3]Raw material  (3)'!XBJ653:XCB3729,3,0),"")</f>
        <v/>
      </c>
      <c r="XBL671" t="str">
        <f>IFERROR(VLOOKUP(XBM671,'[3]Raw material  (3)'!XBK653:XCC3729,3,0),"")</f>
        <v/>
      </c>
      <c r="XBM671" t="str">
        <f>IFERROR(VLOOKUP(XBN671,'[3]Raw material  (3)'!XBL653:XCD3729,3,0),"")</f>
        <v/>
      </c>
      <c r="XBN671" t="str">
        <f>IFERROR(VLOOKUP(XBO671,'[3]Raw material  (3)'!XBM653:XCE3729,3,0),"")</f>
        <v/>
      </c>
      <c r="XBO671" t="str">
        <f>IFERROR(VLOOKUP(XBP671,'[3]Raw material  (3)'!XBN653:XCF3729,3,0),"")</f>
        <v/>
      </c>
      <c r="XBP671" t="str">
        <f>IFERROR(VLOOKUP(XBQ671,'[3]Raw material  (3)'!XBO653:XCG3729,3,0),"")</f>
        <v/>
      </c>
      <c r="XBQ671" t="str">
        <f>IFERROR(VLOOKUP(XBR671,'[3]Raw material  (3)'!XBP653:XCH3729,3,0),"")</f>
        <v/>
      </c>
      <c r="XBR671" t="str">
        <f>IFERROR(VLOOKUP(XBS671,'[3]Raw material  (3)'!XBQ653:XCI3729,3,0),"")</f>
        <v/>
      </c>
      <c r="XBS671" t="str">
        <f>IFERROR(VLOOKUP(XBT671,'[3]Raw material  (3)'!XBR653:XCJ3729,3,0),"")</f>
        <v/>
      </c>
      <c r="XBT671" t="str">
        <f>IFERROR(VLOOKUP(XBU671,'[3]Raw material  (3)'!XBS653:XCK3729,3,0),"")</f>
        <v/>
      </c>
      <c r="XBU671" t="str">
        <f>IFERROR(VLOOKUP(XBV671,'[3]Raw material  (3)'!XBT653:XCL3729,3,0),"")</f>
        <v/>
      </c>
      <c r="XBV671" t="str">
        <f>IFERROR(VLOOKUP(XBW671,'[3]Raw material  (3)'!XBU653:XCM3729,3,0),"")</f>
        <v/>
      </c>
      <c r="XBW671" t="str">
        <f>IFERROR(VLOOKUP(XBX671,'[3]Raw material  (3)'!XBV653:XCN3729,3,0),"")</f>
        <v/>
      </c>
      <c r="XBX671" t="str">
        <f>IFERROR(VLOOKUP(XBY671,'[3]Raw material  (3)'!XBW653:XCO3729,3,0),"")</f>
        <v/>
      </c>
      <c r="XBY671" t="str">
        <f>IFERROR(VLOOKUP(XBZ671,'[3]Raw material  (3)'!XBX653:XCP3729,3,0),"")</f>
        <v/>
      </c>
      <c r="XBZ671" t="str">
        <f>IFERROR(VLOOKUP(XCA671,'[3]Raw material  (3)'!XBY653:XCQ3729,3,0),"")</f>
        <v/>
      </c>
      <c r="XCA671" t="str">
        <f>IFERROR(VLOOKUP(XCB671,'[3]Raw material  (3)'!XBZ653:XCR3729,3,0),"")</f>
        <v/>
      </c>
      <c r="XCB671" t="str">
        <f>IFERROR(VLOOKUP(XCC671,'[3]Raw material  (3)'!XCA653:XCS3729,3,0),"")</f>
        <v/>
      </c>
      <c r="XCC671" t="str">
        <f>IFERROR(VLOOKUP(XCD671,'[3]Raw material  (3)'!XCB653:XCT3729,3,0),"")</f>
        <v/>
      </c>
      <c r="XCD671" t="str">
        <f>IFERROR(VLOOKUP(XCE671,'[3]Raw material  (3)'!XCC653:XCU3729,3,0),"")</f>
        <v/>
      </c>
      <c r="XCE671" t="str">
        <f>IFERROR(VLOOKUP(XCF671,'[3]Raw material  (3)'!XCD653:XCV3729,3,0),"")</f>
        <v/>
      </c>
      <c r="XCF671" t="str">
        <f>IFERROR(VLOOKUP(XCG671,'[3]Raw material  (3)'!XCE653:XCW3729,3,0),"")</f>
        <v/>
      </c>
      <c r="XCG671" t="str">
        <f>IFERROR(VLOOKUP(XCH671,'[3]Raw material  (3)'!XCF653:XCX3729,3,0),"")</f>
        <v/>
      </c>
      <c r="XCH671" t="str">
        <f>IFERROR(VLOOKUP(XCI671,'[3]Raw material  (3)'!XCG653:XCY3729,3,0),"")</f>
        <v/>
      </c>
      <c r="XCI671" t="str">
        <f>IFERROR(VLOOKUP(XCJ671,'[3]Raw material  (3)'!XCH653:XCZ3729,3,0),"")</f>
        <v/>
      </c>
      <c r="XCJ671" t="str">
        <f>IFERROR(VLOOKUP(XCK671,'[3]Raw material  (3)'!XCI653:XDA3729,3,0),"")</f>
        <v/>
      </c>
      <c r="XCK671" t="str">
        <f>IFERROR(VLOOKUP(XCL671,'[3]Raw material  (3)'!XCJ653:XDB3729,3,0),"")</f>
        <v/>
      </c>
      <c r="XCL671" t="str">
        <f>IFERROR(VLOOKUP(XCM671,'[3]Raw material  (3)'!XCK653:XDC3729,3,0),"")</f>
        <v/>
      </c>
      <c r="XCM671" t="str">
        <f>IFERROR(VLOOKUP(XCN671,'[3]Raw material  (3)'!XCL653:XDD3729,3,0),"")</f>
        <v/>
      </c>
      <c r="XCN671" t="str">
        <f>IFERROR(VLOOKUP(XCO671,'[3]Raw material  (3)'!XCM653:XDE3729,3,0),"")</f>
        <v/>
      </c>
      <c r="XCO671" t="str">
        <f>IFERROR(VLOOKUP(XCP671,'[3]Raw material  (3)'!XCN653:XDF3729,3,0),"")</f>
        <v/>
      </c>
      <c r="XCP671" t="str">
        <f>IFERROR(VLOOKUP(XCQ671,'[3]Raw material  (3)'!XCO653:XDG3729,3,0),"")</f>
        <v/>
      </c>
      <c r="XCQ671" t="str">
        <f>IFERROR(VLOOKUP(XCR671,'[3]Raw material  (3)'!XCP653:XDH3729,3,0),"")</f>
        <v/>
      </c>
      <c r="XCR671" t="str">
        <f>IFERROR(VLOOKUP(XCS671,'[3]Raw material  (3)'!XCQ653:XDI3729,3,0),"")</f>
        <v/>
      </c>
      <c r="XCS671" t="str">
        <f>IFERROR(VLOOKUP(XCT671,'[3]Raw material  (3)'!XCR653:XDJ3729,3,0),"")</f>
        <v/>
      </c>
      <c r="XCT671" t="str">
        <f>IFERROR(VLOOKUP(XCU671,'[3]Raw material  (3)'!XCS653:XDK3729,3,0),"")</f>
        <v/>
      </c>
      <c r="XCU671" t="str">
        <f>IFERROR(VLOOKUP(XCV671,'[3]Raw material  (3)'!XCT653:XDL3729,3,0),"")</f>
        <v/>
      </c>
      <c r="XCV671" t="str">
        <f>IFERROR(VLOOKUP(XCW671,'[3]Raw material  (3)'!XCU653:XDM3729,3,0),"")</f>
        <v/>
      </c>
      <c r="XCW671" t="str">
        <f>IFERROR(VLOOKUP(XCX671,'[3]Raw material  (3)'!XCV653:XDN3729,3,0),"")</f>
        <v/>
      </c>
      <c r="XCX671" t="str">
        <f>IFERROR(VLOOKUP(XCY671,'[3]Raw material  (3)'!XCW653:XDO3729,3,0),"")</f>
        <v/>
      </c>
      <c r="XCY671" t="str">
        <f>IFERROR(VLOOKUP(XCZ671,'[3]Raw material  (3)'!XCX653:XDP3729,3,0),"")</f>
        <v/>
      </c>
      <c r="XCZ671" t="str">
        <f>IFERROR(VLOOKUP(XDA671,'[3]Raw material  (3)'!XCY653:XDQ3729,3,0),"")</f>
        <v/>
      </c>
      <c r="XDA671" t="str">
        <f>IFERROR(VLOOKUP(XDB671,'[3]Raw material  (3)'!XCZ653:XDR3729,3,0),"")</f>
        <v/>
      </c>
      <c r="XDB671" t="str">
        <f>IFERROR(VLOOKUP(XDC671,'[3]Raw material  (3)'!XDA653:XDS3729,3,0),"")</f>
        <v/>
      </c>
      <c r="XDC671" t="str">
        <f>IFERROR(VLOOKUP(XDD671,'[3]Raw material  (3)'!XDB653:XDT3729,3,0),"")</f>
        <v/>
      </c>
      <c r="XDD671" t="str">
        <f>IFERROR(VLOOKUP(XDE671,'[3]Raw material  (3)'!XDC653:XDU3729,3,0),"")</f>
        <v/>
      </c>
      <c r="XDE671" t="str">
        <f>IFERROR(VLOOKUP(XDF671,'[3]Raw material  (3)'!XDD653:XDV3729,3,0),"")</f>
        <v/>
      </c>
      <c r="XDF671" t="str">
        <f>IFERROR(VLOOKUP(XDG671,'[3]Raw material  (3)'!XDE653:XDW3729,3,0),"")</f>
        <v/>
      </c>
      <c r="XDG671" t="str">
        <f>IFERROR(VLOOKUP(XDH671,'[3]Raw material  (3)'!XDF653:XDX3729,3,0),"")</f>
        <v/>
      </c>
      <c r="XDH671" t="str">
        <f>IFERROR(VLOOKUP(XDI671,'[3]Raw material  (3)'!XDG653:XDY3729,3,0),"")</f>
        <v/>
      </c>
      <c r="XDI671" t="str">
        <f>IFERROR(VLOOKUP(XDJ671,'[3]Raw material  (3)'!XDH653:XDZ3729,3,0),"")</f>
        <v/>
      </c>
      <c r="XDJ671" t="str">
        <f>IFERROR(VLOOKUP(XDK671,'[3]Raw material  (3)'!XDI653:XEA3729,3,0),"")</f>
        <v/>
      </c>
      <c r="XDK671" t="str">
        <f>IFERROR(VLOOKUP(XDL671,'[3]Raw material  (3)'!XDJ653:XEB3729,3,0),"")</f>
        <v/>
      </c>
      <c r="XDL671" t="str">
        <f>IFERROR(VLOOKUP(XDM671,'[3]Raw material  (3)'!XDK653:XEC3729,3,0),"")</f>
        <v/>
      </c>
      <c r="XDM671" t="str">
        <f>IFERROR(VLOOKUP(XDN671,'[3]Raw material  (3)'!XDL653:XED3729,3,0),"")</f>
        <v/>
      </c>
      <c r="XDN671" t="str">
        <f>IFERROR(VLOOKUP(XDO671,'[3]Raw material  (3)'!XDM653:XEE3729,3,0),"")</f>
        <v/>
      </c>
      <c r="XDO671" t="str">
        <f>IFERROR(VLOOKUP(XDP671,'[3]Raw material  (3)'!XDN653:XEF3729,3,0),"")</f>
        <v/>
      </c>
      <c r="XDP671" t="str">
        <f>IFERROR(VLOOKUP(XDQ671,'[3]Raw material  (3)'!XDO653:XEG3729,3,0),"")</f>
        <v/>
      </c>
      <c r="XDQ671" t="str">
        <f>IFERROR(VLOOKUP(XDR671,'[3]Raw material  (3)'!XDP653:XEH3729,3,0),"")</f>
        <v/>
      </c>
      <c r="XDR671" t="str">
        <f>IFERROR(VLOOKUP(XDS671,'[3]Raw material  (3)'!XDQ653:XEI3729,3,0),"")</f>
        <v/>
      </c>
      <c r="XDS671" t="str">
        <f>IFERROR(VLOOKUP(XDT671,'[3]Raw material  (3)'!XDR653:XEJ3729,3,0),"")</f>
        <v/>
      </c>
      <c r="XDT671" t="str">
        <f>IFERROR(VLOOKUP(XDU671,'[3]Raw material  (3)'!XDS653:XEK3729,3,0),"")</f>
        <v/>
      </c>
      <c r="XDU671" t="str">
        <f>IFERROR(VLOOKUP(XDV671,'[3]Raw material  (3)'!XDT653:XEL3729,3,0),"")</f>
        <v/>
      </c>
      <c r="XDV671" t="str">
        <f>IFERROR(VLOOKUP(XDW671,'[3]Raw material  (3)'!XDU653:XEM3729,3,0),"")</f>
        <v/>
      </c>
      <c r="XDW671" t="str">
        <f>IFERROR(VLOOKUP(XDX671,'[3]Raw material  (3)'!XDV653:XEN3729,3,0),"")</f>
        <v/>
      </c>
      <c r="XDX671" t="str">
        <f>IFERROR(VLOOKUP(XDY671,'[3]Raw material  (3)'!XDW653:XEO3729,3,0),"")</f>
        <v/>
      </c>
      <c r="XDY671" t="str">
        <f>IFERROR(VLOOKUP(XDZ671,'[3]Raw material  (3)'!XDX653:XEP3729,3,0),"")</f>
        <v/>
      </c>
      <c r="XDZ671" t="str">
        <f>IFERROR(VLOOKUP(XEA671,'[3]Raw material  (3)'!XDY653:XEQ3729,3,0),"")</f>
        <v/>
      </c>
      <c r="XEA671" t="str">
        <f>IFERROR(VLOOKUP(XEB671,'[3]Raw material  (3)'!XDZ653:XER3729,3,0),"")</f>
        <v/>
      </c>
      <c r="XEB671" t="str">
        <f>IFERROR(VLOOKUP(XEC671,'[3]Raw material  (3)'!XEA653:XES3729,3,0),"")</f>
        <v/>
      </c>
      <c r="XEC671" t="str">
        <f>IFERROR(VLOOKUP(XED671,'[3]Raw material  (3)'!XEB653:XET3729,3,0),"")</f>
        <v/>
      </c>
      <c r="XED671" t="str">
        <f>IFERROR(VLOOKUP(XEE671,'[3]Raw material  (3)'!XEC653:XEU3729,3,0),"")</f>
        <v/>
      </c>
      <c r="XEE671" t="str">
        <f>IFERROR(VLOOKUP(XEF671,'[3]Raw material  (3)'!XED653:XEV3729,3,0),"")</f>
        <v/>
      </c>
      <c r="XEF671" t="str">
        <f>IFERROR(VLOOKUP(XEG671,'[3]Raw material  (3)'!XEE653:XEW3729,3,0),"")</f>
        <v/>
      </c>
      <c r="XEG671" t="str">
        <f>IFERROR(VLOOKUP(XEH671,'[3]Raw material  (3)'!XEF653:XEX3729,3,0),"")</f>
        <v/>
      </c>
      <c r="XEH671" t="str">
        <f>IFERROR(VLOOKUP(XEI671,'[3]Raw material  (3)'!XEG653:XEY3729,3,0),"")</f>
        <v/>
      </c>
      <c r="XEI671" t="str">
        <f>IFERROR(VLOOKUP(XEJ671,'[3]Raw material  (3)'!XEH653:XEZ3729,3,0),"")</f>
        <v/>
      </c>
      <c r="XEJ671" t="str">
        <f>IFERROR(VLOOKUP(XEK671,'[3]Raw material  (3)'!XEI653:XFA3729,3,0),"")</f>
        <v/>
      </c>
      <c r="XEK671" t="str">
        <f>IFERROR(VLOOKUP(XEL671,'[3]Raw material  (3)'!XEJ653:XFB3729,3,0),"")</f>
        <v/>
      </c>
      <c r="XEL671" t="str">
        <f>IFERROR(VLOOKUP(XEM671,'[3]Raw material  (3)'!XEK653:XFC3729,3,0),"")</f>
        <v/>
      </c>
      <c r="XEM671" t="str">
        <f>IFERROR(VLOOKUP(XEN671,'[3]Raw material  (3)'!XEL653:XFD3729,3,0),"")</f>
        <v/>
      </c>
      <c r="XEN671" t="str">
        <f>IFERROR(VLOOKUP(XEO671,'[3]Raw material  (3)'!#REF!,3,0),"")</f>
        <v/>
      </c>
      <c r="XEO671" t="str">
        <f>IFERROR(VLOOKUP(XEP671,'[3]Raw material  (3)'!#REF!,3,0),"")</f>
        <v/>
      </c>
      <c r="XEP671" t="str">
        <f>IFERROR(VLOOKUP(XEQ671,'[3]Raw material  (3)'!#REF!,3,0),"")</f>
        <v/>
      </c>
      <c r="XEQ671" t="str">
        <f>IFERROR(VLOOKUP(XER671,'[3]Raw material  (3)'!#REF!,3,0),"")</f>
        <v/>
      </c>
      <c r="XER671" t="str">
        <f>IFERROR(VLOOKUP(XES671,'[3]Raw material  (3)'!#REF!,3,0),"")</f>
        <v/>
      </c>
      <c r="XES671" t="str">
        <f>IFERROR(VLOOKUP(XET671,'[3]Raw material  (3)'!#REF!,3,0),"")</f>
        <v/>
      </c>
      <c r="XET671" t="str">
        <f>IFERROR(VLOOKUP(XEU671,'[3]Raw material  (3)'!#REF!,3,0),"")</f>
        <v/>
      </c>
      <c r="XEU671" t="str">
        <f>IFERROR(VLOOKUP(XEV671,'[3]Raw material  (3)'!#REF!,3,0),"")</f>
        <v/>
      </c>
      <c r="XEV671" t="str">
        <f>IFERROR(VLOOKUP(XEW671,'[3]Raw material  (3)'!#REF!,3,0),"")</f>
        <v/>
      </c>
      <c r="XEW671" t="str">
        <f>IFERROR(VLOOKUP(XEX671,'[3]Raw material  (3)'!#REF!,3,0),"")</f>
        <v/>
      </c>
      <c r="XEX671" t="str">
        <f>IFERROR(VLOOKUP(XEY671,'[3]Raw material  (3)'!#REF!,3,0),"")</f>
        <v/>
      </c>
      <c r="XEY671" t="str">
        <f>IFERROR(VLOOKUP(XEZ671,'[3]Raw material  (3)'!#REF!,3,0),"")</f>
        <v/>
      </c>
      <c r="XEZ671" t="str">
        <f>IFERROR(VLOOKUP(XFA671,'[3]Raw material  (3)'!#REF!,3,0),"")</f>
        <v/>
      </c>
      <c r="XFA671" t="str">
        <f>IFERROR(VLOOKUP(XFB671,'[3]Raw material  (3)'!#REF!,3,0),"")</f>
        <v/>
      </c>
      <c r="XFB671" t="str">
        <f>IFERROR(VLOOKUP(XFC671,'[3]Raw material  (3)'!#REF!,3,0),"")</f>
        <v/>
      </c>
      <c r="XFC671" t="str">
        <f>IFERROR(VLOOKUP(XFD671,'[3]Raw material  (3)'!#REF!,3,0),"")</f>
        <v/>
      </c>
      <c r="XFD671" t="str">
        <f>IFERROR(VLOOKUP(#REF!,'[3]Raw material  (3)'!#REF!,3,0),"")</f>
        <v/>
      </c>
    </row>
    <row r="672" spans="1:16384" hidden="1" x14ac:dyDescent="0.55000000000000004">
      <c r="A672" s="13" t="s">
        <v>1631</v>
      </c>
      <c r="B672" s="14"/>
      <c r="C672" s="14" t="s">
        <v>1754</v>
      </c>
      <c r="D672" s="14" t="s">
        <v>1631</v>
      </c>
      <c r="E672" t="s">
        <v>156</v>
      </c>
      <c r="F672" s="15">
        <v>6.0000000000000001E-3</v>
      </c>
      <c r="G672" s="14" t="s">
        <v>200</v>
      </c>
      <c r="H672" s="19" t="s">
        <v>487</v>
      </c>
    </row>
    <row r="673" spans="1:8" hidden="1" x14ac:dyDescent="0.55000000000000004">
      <c r="A673" s="13" t="s">
        <v>1344</v>
      </c>
      <c r="B673" s="14"/>
      <c r="C673" s="14" t="s">
        <v>1345</v>
      </c>
      <c r="D673" s="14" t="s">
        <v>1344</v>
      </c>
      <c r="E673" s="14" t="s">
        <v>48</v>
      </c>
      <c r="F673" s="15">
        <v>0.11</v>
      </c>
      <c r="G673" s="14" t="s">
        <v>1076</v>
      </c>
      <c r="H673" s="19" t="s">
        <v>1077</v>
      </c>
    </row>
    <row r="674" spans="1:8" ht="28.8" hidden="1" x14ac:dyDescent="0.55000000000000004">
      <c r="A674" s="13" t="s">
        <v>1346</v>
      </c>
      <c r="B674" s="14"/>
      <c r="C674" s="14" t="s">
        <v>1347</v>
      </c>
      <c r="D674" s="14" t="s">
        <v>1346</v>
      </c>
      <c r="E674" s="14" t="s">
        <v>48</v>
      </c>
      <c r="F674" s="15">
        <v>0.36</v>
      </c>
      <c r="G674" s="14" t="s">
        <v>1076</v>
      </c>
      <c r="H674" s="19" t="s">
        <v>1077</v>
      </c>
    </row>
    <row r="675" spans="1:8" ht="28.8" hidden="1" x14ac:dyDescent="0.55000000000000004">
      <c r="A675" s="13" t="s">
        <v>1348</v>
      </c>
      <c r="B675" s="14"/>
      <c r="C675" s="14" t="s">
        <v>1349</v>
      </c>
      <c r="D675" s="14" t="s">
        <v>1348</v>
      </c>
      <c r="E675" s="14" t="s">
        <v>48</v>
      </c>
      <c r="F675" s="15">
        <v>0.57999999999999996</v>
      </c>
      <c r="G675" s="14" t="s">
        <v>1076</v>
      </c>
      <c r="H675" s="19" t="s">
        <v>1077</v>
      </c>
    </row>
    <row r="676" spans="1:8" ht="28.8" hidden="1" x14ac:dyDescent="0.55000000000000004">
      <c r="A676" s="13" t="s">
        <v>1350</v>
      </c>
      <c r="B676" s="14"/>
      <c r="C676" s="14" t="s">
        <v>1351</v>
      </c>
      <c r="D676" s="14" t="s">
        <v>1350</v>
      </c>
      <c r="E676" s="14" t="s">
        <v>48</v>
      </c>
      <c r="F676" s="15">
        <v>0.65</v>
      </c>
      <c r="G676" s="14" t="s">
        <v>1076</v>
      </c>
      <c r="H676" s="19" t="s">
        <v>1077</v>
      </c>
    </row>
    <row r="677" spans="1:8" ht="43.2" hidden="1" x14ac:dyDescent="0.55000000000000004">
      <c r="A677" s="13" t="s">
        <v>1352</v>
      </c>
      <c r="B677" s="14"/>
      <c r="C677" s="14" t="s">
        <v>1353</v>
      </c>
      <c r="D677" s="14" t="s">
        <v>1352</v>
      </c>
      <c r="E677" s="14" t="s">
        <v>48</v>
      </c>
      <c r="F677" s="15">
        <v>0.8</v>
      </c>
      <c r="G677" s="14" t="s">
        <v>1076</v>
      </c>
      <c r="H677" s="19" t="s">
        <v>1077</v>
      </c>
    </row>
    <row r="678" spans="1:8" ht="28.9" hidden="1" customHeight="1" x14ac:dyDescent="0.55000000000000004">
      <c r="A678" s="13" t="s">
        <v>1354</v>
      </c>
      <c r="B678" s="14"/>
      <c r="C678" s="14" t="s">
        <v>1355</v>
      </c>
      <c r="D678" s="14" t="s">
        <v>1354</v>
      </c>
      <c r="E678" s="14" t="s">
        <v>48</v>
      </c>
      <c r="F678" s="15">
        <v>0.187</v>
      </c>
      <c r="G678" s="14" t="s">
        <v>1076</v>
      </c>
      <c r="H678" s="19" t="s">
        <v>1077</v>
      </c>
    </row>
    <row r="679" spans="1:8" ht="28.9" hidden="1" customHeight="1" x14ac:dyDescent="0.55000000000000004">
      <c r="A679" s="87" t="s">
        <v>1356</v>
      </c>
      <c r="B679" s="14"/>
      <c r="C679" s="14" t="s">
        <v>1357</v>
      </c>
      <c r="D679" s="14" t="s">
        <v>1356</v>
      </c>
      <c r="E679" s="14" t="s">
        <v>48</v>
      </c>
      <c r="F679" s="15">
        <v>0.3</v>
      </c>
      <c r="G679" s="14" t="s">
        <v>1076</v>
      </c>
      <c r="H679" s="19" t="s">
        <v>1077</v>
      </c>
    </row>
    <row r="680" spans="1:8" ht="28.9" hidden="1" customHeight="1" x14ac:dyDescent="0.55000000000000004">
      <c r="A680" s="13" t="s">
        <v>1358</v>
      </c>
      <c r="B680" s="14"/>
      <c r="C680" s="14" t="s">
        <v>1359</v>
      </c>
      <c r="D680" s="14" t="s">
        <v>1358</v>
      </c>
      <c r="E680" s="14" t="s">
        <v>48</v>
      </c>
      <c r="F680" s="15">
        <v>0.3</v>
      </c>
      <c r="G680" s="14" t="s">
        <v>1076</v>
      </c>
      <c r="H680" s="19" t="s">
        <v>1077</v>
      </c>
    </row>
    <row r="681" spans="1:8" ht="28.8" hidden="1" x14ac:dyDescent="0.55000000000000004">
      <c r="A681" s="13" t="s">
        <v>1360</v>
      </c>
      <c r="B681" s="14"/>
      <c r="C681" s="14" t="s">
        <v>1361</v>
      </c>
      <c r="D681" s="14" t="s">
        <v>1360</v>
      </c>
      <c r="E681" s="14" t="s">
        <v>48</v>
      </c>
      <c r="F681" s="15">
        <v>0.43333333333333335</v>
      </c>
      <c r="G681" s="14" t="s">
        <v>1076</v>
      </c>
      <c r="H681" s="19" t="s">
        <v>1077</v>
      </c>
    </row>
    <row r="682" spans="1:8" ht="28.8" hidden="1" x14ac:dyDescent="0.55000000000000004">
      <c r="A682" s="13" t="s">
        <v>1362</v>
      </c>
      <c r="B682" s="14"/>
      <c r="C682" s="14" t="s">
        <v>1363</v>
      </c>
      <c r="D682" s="14" t="s">
        <v>1362</v>
      </c>
      <c r="E682" s="14" t="s">
        <v>48</v>
      </c>
      <c r="F682" s="15">
        <v>0.31666666666666665</v>
      </c>
      <c r="G682" s="14" t="s">
        <v>1076</v>
      </c>
      <c r="H682" s="19" t="s">
        <v>1077</v>
      </c>
    </row>
    <row r="683" spans="1:8" ht="28.8" hidden="1" x14ac:dyDescent="0.55000000000000004">
      <c r="A683" s="13" t="s">
        <v>1364</v>
      </c>
      <c r="B683" s="14"/>
      <c r="C683" s="14" t="s">
        <v>1365</v>
      </c>
      <c r="D683" s="14" t="s">
        <v>1364</v>
      </c>
      <c r="E683" s="14" t="s">
        <v>48</v>
      </c>
      <c r="F683" s="15">
        <v>0.31666666666666665</v>
      </c>
      <c r="G683" s="14" t="s">
        <v>1076</v>
      </c>
      <c r="H683" s="19" t="s">
        <v>1077</v>
      </c>
    </row>
    <row r="684" spans="1:8" ht="28.9" hidden="1" customHeight="1" x14ac:dyDescent="0.55000000000000004">
      <c r="A684" s="13" t="s">
        <v>1366</v>
      </c>
      <c r="B684" s="14"/>
      <c r="C684" s="14" t="s">
        <v>1367</v>
      </c>
      <c r="D684" s="14" t="s">
        <v>1366</v>
      </c>
      <c r="E684" s="14" t="s">
        <v>48</v>
      </c>
      <c r="F684" s="15">
        <v>0.23333333333333334</v>
      </c>
      <c r="G684" s="14" t="s">
        <v>1076</v>
      </c>
      <c r="H684" s="19" t="s">
        <v>1077</v>
      </c>
    </row>
    <row r="685" spans="1:8" ht="28.8" hidden="1" x14ac:dyDescent="0.55000000000000004">
      <c r="A685" s="13" t="s">
        <v>1368</v>
      </c>
      <c r="B685" s="14"/>
      <c r="C685" s="14" t="s">
        <v>1369</v>
      </c>
      <c r="D685" s="14" t="s">
        <v>1368</v>
      </c>
      <c r="E685" s="14" t="s">
        <v>48</v>
      </c>
      <c r="F685" s="15">
        <v>0.29666666666666669</v>
      </c>
      <c r="G685" s="14" t="s">
        <v>1076</v>
      </c>
      <c r="H685" s="19" t="s">
        <v>1077</v>
      </c>
    </row>
    <row r="686" spans="1:8" hidden="1" x14ac:dyDescent="0.55000000000000004">
      <c r="A686" s="13" t="s">
        <v>1370</v>
      </c>
      <c r="B686" s="14"/>
      <c r="C686" s="14" t="s">
        <v>1371</v>
      </c>
      <c r="D686" s="14" t="s">
        <v>1370</v>
      </c>
      <c r="E686" s="14" t="s">
        <v>48</v>
      </c>
      <c r="F686" s="15">
        <v>0.17</v>
      </c>
      <c r="G686" s="14" t="s">
        <v>1076</v>
      </c>
      <c r="H686" s="19" t="s">
        <v>1077</v>
      </c>
    </row>
    <row r="687" spans="1:8" ht="28.8" hidden="1" x14ac:dyDescent="0.55000000000000004">
      <c r="A687" s="13" t="s">
        <v>1372</v>
      </c>
      <c r="B687" s="14"/>
      <c r="C687" s="14" t="s">
        <v>1373</v>
      </c>
      <c r="D687" s="14" t="s">
        <v>1372</v>
      </c>
      <c r="E687" s="14" t="s">
        <v>48</v>
      </c>
      <c r="F687" s="15">
        <v>0.41666666666666669</v>
      </c>
      <c r="G687" s="14" t="s">
        <v>1076</v>
      </c>
      <c r="H687" s="19" t="s">
        <v>1077</v>
      </c>
    </row>
    <row r="688" spans="1:8" ht="28.8" hidden="1" x14ac:dyDescent="0.55000000000000004">
      <c r="A688" s="13" t="s">
        <v>1374</v>
      </c>
      <c r="B688" s="14"/>
      <c r="C688" s="14" t="s">
        <v>1375</v>
      </c>
      <c r="D688" s="14" t="s">
        <v>1374</v>
      </c>
      <c r="E688" s="14" t="s">
        <v>48</v>
      </c>
      <c r="F688" s="15">
        <v>0.43333333333333335</v>
      </c>
      <c r="G688" s="14" t="s">
        <v>1076</v>
      </c>
      <c r="H688" s="19" t="s">
        <v>1077</v>
      </c>
    </row>
    <row r="689" spans="1:8" ht="28.8" hidden="1" x14ac:dyDescent="0.55000000000000004">
      <c r="A689" s="13" t="s">
        <v>1376</v>
      </c>
      <c r="B689" s="14"/>
      <c r="C689" s="14" t="s">
        <v>1377</v>
      </c>
      <c r="D689" s="14" t="s">
        <v>1376</v>
      </c>
      <c r="E689" s="14" t="s">
        <v>48</v>
      </c>
      <c r="F689" s="15">
        <v>0.4</v>
      </c>
      <c r="G689" s="14" t="s">
        <v>1076</v>
      </c>
      <c r="H689" s="19" t="s">
        <v>1077</v>
      </c>
    </row>
    <row r="690" spans="1:8" ht="28.8" hidden="1" x14ac:dyDescent="0.55000000000000004">
      <c r="A690" s="13" t="s">
        <v>1378</v>
      </c>
      <c r="B690" s="14"/>
      <c r="C690" s="14" t="s">
        <v>1379</v>
      </c>
      <c r="D690" s="14" t="s">
        <v>1378</v>
      </c>
      <c r="E690" s="14" t="s">
        <v>48</v>
      </c>
      <c r="F690" s="15">
        <v>0.45</v>
      </c>
      <c r="G690" s="14" t="s">
        <v>1076</v>
      </c>
      <c r="H690" s="19" t="s">
        <v>1077</v>
      </c>
    </row>
    <row r="691" spans="1:8" ht="28.8" hidden="1" x14ac:dyDescent="0.55000000000000004">
      <c r="A691" s="13" t="s">
        <v>1380</v>
      </c>
      <c r="B691" s="14"/>
      <c r="C691" s="14" t="s">
        <v>1381</v>
      </c>
      <c r="D691" s="14" t="s">
        <v>1380</v>
      </c>
      <c r="E691" s="14" t="s">
        <v>48</v>
      </c>
      <c r="F691" s="15">
        <v>0.5</v>
      </c>
      <c r="G691" s="14" t="s">
        <v>1076</v>
      </c>
      <c r="H691" s="19" t="s">
        <v>1077</v>
      </c>
    </row>
    <row r="692" spans="1:8" ht="28.8" hidden="1" x14ac:dyDescent="0.55000000000000004">
      <c r="A692" s="13" t="s">
        <v>1382</v>
      </c>
      <c r="B692" s="14"/>
      <c r="C692" s="14" t="s">
        <v>1383</v>
      </c>
      <c r="D692" s="14" t="s">
        <v>1382</v>
      </c>
      <c r="E692" s="14" t="s">
        <v>48</v>
      </c>
      <c r="F692" s="15">
        <v>0.436</v>
      </c>
      <c r="G692" s="14" t="s">
        <v>1076</v>
      </c>
      <c r="H692" s="19" t="s">
        <v>1077</v>
      </c>
    </row>
    <row r="693" spans="1:8" ht="28.8" hidden="1" x14ac:dyDescent="0.55000000000000004">
      <c r="A693" s="13" t="s">
        <v>1384</v>
      </c>
      <c r="B693" s="14"/>
      <c r="C693" s="14" t="s">
        <v>1385</v>
      </c>
      <c r="D693" s="14" t="s">
        <v>1384</v>
      </c>
      <c r="E693" s="14" t="s">
        <v>48</v>
      </c>
      <c r="F693" s="15">
        <v>0.5</v>
      </c>
      <c r="G693" s="14" t="s">
        <v>1076</v>
      </c>
      <c r="H693" s="19" t="s">
        <v>1077</v>
      </c>
    </row>
    <row r="694" spans="1:8" ht="28.8" hidden="1" x14ac:dyDescent="0.55000000000000004">
      <c r="A694" s="13" t="s">
        <v>1386</v>
      </c>
      <c r="B694" s="14"/>
      <c r="C694" s="14" t="s">
        <v>1387</v>
      </c>
      <c r="D694" s="14" t="s">
        <v>1386</v>
      </c>
      <c r="E694" s="14" t="s">
        <v>48</v>
      </c>
      <c r="F694" s="15">
        <v>0.436</v>
      </c>
      <c r="G694" s="14" t="s">
        <v>1076</v>
      </c>
      <c r="H694" s="19" t="s">
        <v>1077</v>
      </c>
    </row>
    <row r="695" spans="1:8" ht="28.8" hidden="1" x14ac:dyDescent="0.55000000000000004">
      <c r="A695" s="13" t="s">
        <v>1388</v>
      </c>
      <c r="B695" s="14"/>
      <c r="C695" s="14" t="s">
        <v>1389</v>
      </c>
      <c r="D695" s="14" t="s">
        <v>1388</v>
      </c>
      <c r="E695" s="14" t="s">
        <v>48</v>
      </c>
      <c r="F695" s="15">
        <v>0.32800000000000001</v>
      </c>
      <c r="G695" s="14" t="s">
        <v>1076</v>
      </c>
      <c r="H695" s="19" t="s">
        <v>1077</v>
      </c>
    </row>
    <row r="696" spans="1:8" ht="28.8" hidden="1" x14ac:dyDescent="0.55000000000000004">
      <c r="A696" s="13" t="s">
        <v>1390</v>
      </c>
      <c r="B696" s="14"/>
      <c r="C696" s="14" t="s">
        <v>1391</v>
      </c>
      <c r="D696" s="14" t="s">
        <v>1390</v>
      </c>
      <c r="E696" s="14" t="s">
        <v>48</v>
      </c>
      <c r="F696" s="15">
        <v>9.5000000000000001E-2</v>
      </c>
      <c r="G696" s="14" t="s">
        <v>1076</v>
      </c>
      <c r="H696" s="19" t="s">
        <v>1077</v>
      </c>
    </row>
    <row r="697" spans="1:8" ht="28.9" hidden="1" customHeight="1" x14ac:dyDescent="0.55000000000000004">
      <c r="A697" s="13" t="s">
        <v>1392</v>
      </c>
      <c r="B697" s="14"/>
      <c r="C697" s="14" t="s">
        <v>1393</v>
      </c>
      <c r="D697" s="14" t="s">
        <v>1392</v>
      </c>
      <c r="E697" s="14" t="s">
        <v>48</v>
      </c>
      <c r="F697" s="15">
        <v>0.05</v>
      </c>
      <c r="G697" s="14" t="s">
        <v>1076</v>
      </c>
      <c r="H697" s="19" t="s">
        <v>1077</v>
      </c>
    </row>
    <row r="698" spans="1:8" ht="28.8" hidden="1" x14ac:dyDescent="0.55000000000000004">
      <c r="A698" s="13" t="s">
        <v>1394</v>
      </c>
      <c r="B698" s="14"/>
      <c r="C698" s="14" t="s">
        <v>1395</v>
      </c>
      <c r="D698" s="14" t="s">
        <v>1394</v>
      </c>
      <c r="E698" s="14" t="s">
        <v>48</v>
      </c>
      <c r="F698" s="15">
        <v>0.17599999999999999</v>
      </c>
      <c r="G698" s="14" t="s">
        <v>1076</v>
      </c>
      <c r="H698" s="19" t="s">
        <v>1077</v>
      </c>
    </row>
    <row r="699" spans="1:8" hidden="1" x14ac:dyDescent="0.55000000000000004">
      <c r="A699" s="13" t="s">
        <v>1396</v>
      </c>
      <c r="B699" s="14"/>
      <c r="C699" s="14" t="s">
        <v>1397</v>
      </c>
      <c r="D699" s="14" t="s">
        <v>1396</v>
      </c>
      <c r="E699" s="14" t="s">
        <v>48</v>
      </c>
      <c r="F699" s="15">
        <v>0.08</v>
      </c>
      <c r="G699" s="14" t="s">
        <v>1076</v>
      </c>
      <c r="H699" s="19" t="s">
        <v>1077</v>
      </c>
    </row>
    <row r="700" spans="1:8" ht="28.8" hidden="1" x14ac:dyDescent="0.55000000000000004">
      <c r="A700" s="13" t="s">
        <v>1398</v>
      </c>
      <c r="B700" s="14"/>
      <c r="C700" s="14" t="s">
        <v>1399</v>
      </c>
      <c r="D700" s="14" t="s">
        <v>1398</v>
      </c>
      <c r="E700" s="14" t="s">
        <v>48</v>
      </c>
      <c r="F700" s="15">
        <v>0.08</v>
      </c>
      <c r="G700" s="14" t="s">
        <v>1076</v>
      </c>
      <c r="H700" s="19" t="s">
        <v>1077</v>
      </c>
    </row>
    <row r="701" spans="1:8" hidden="1" x14ac:dyDescent="0.55000000000000004">
      <c r="A701" s="13" t="s">
        <v>1400</v>
      </c>
      <c r="B701" s="14"/>
      <c r="C701" s="14" t="s">
        <v>1401</v>
      </c>
      <c r="D701" s="14" t="s">
        <v>1400</v>
      </c>
      <c r="E701" s="14" t="s">
        <v>48</v>
      </c>
      <c r="F701" s="15">
        <v>0.08</v>
      </c>
      <c r="G701" s="14" t="s">
        <v>1076</v>
      </c>
      <c r="H701" s="19" t="s">
        <v>1077</v>
      </c>
    </row>
    <row r="702" spans="1:8" ht="28.8" hidden="1" x14ac:dyDescent="0.55000000000000004">
      <c r="A702" s="13" t="s">
        <v>1378</v>
      </c>
      <c r="B702" s="14"/>
      <c r="C702" s="14" t="s">
        <v>1379</v>
      </c>
      <c r="D702" s="14" t="s">
        <v>1378</v>
      </c>
      <c r="E702" s="14" t="s">
        <v>48</v>
      </c>
      <c r="F702" s="15">
        <v>0.45</v>
      </c>
      <c r="G702" s="14" t="s">
        <v>1076</v>
      </c>
      <c r="H702" s="19" t="s">
        <v>1077</v>
      </c>
    </row>
    <row r="703" spans="1:8" x14ac:dyDescent="0.55000000000000004">
      <c r="A703" s="87" t="s">
        <v>1764</v>
      </c>
      <c r="B703" s="14"/>
      <c r="C703" s="14" t="s">
        <v>1763</v>
      </c>
      <c r="D703" s="13" t="s">
        <v>1764</v>
      </c>
      <c r="E703" s="14" t="s">
        <v>48</v>
      </c>
      <c r="F703" s="15">
        <v>7.0000000000000001E-3</v>
      </c>
      <c r="G703" s="14"/>
      <c r="H703" s="19"/>
    </row>
    <row r="704" spans="1:8" ht="28.8" hidden="1" x14ac:dyDescent="0.55000000000000004">
      <c r="A704" s="13" t="s">
        <v>1380</v>
      </c>
      <c r="B704" s="14"/>
      <c r="C704" s="14" t="s">
        <v>1381</v>
      </c>
      <c r="D704" s="14" t="s">
        <v>1380</v>
      </c>
      <c r="E704" s="14" t="s">
        <v>48</v>
      </c>
      <c r="F704" s="15">
        <v>0.5</v>
      </c>
      <c r="G704" s="14" t="s">
        <v>1076</v>
      </c>
      <c r="H704" s="19" t="s">
        <v>1077</v>
      </c>
    </row>
    <row r="705" spans="1:8" ht="28.8" hidden="1" x14ac:dyDescent="0.55000000000000004">
      <c r="A705" s="70" t="s">
        <v>1382</v>
      </c>
      <c r="B705" s="71"/>
      <c r="C705" s="71" t="s">
        <v>1383</v>
      </c>
      <c r="D705" s="71" t="s">
        <v>1382</v>
      </c>
      <c r="E705" s="71" t="s">
        <v>48</v>
      </c>
      <c r="F705" s="15">
        <v>0.436</v>
      </c>
      <c r="G705" s="71" t="s">
        <v>1076</v>
      </c>
      <c r="H705" s="73" t="s">
        <v>1077</v>
      </c>
    </row>
    <row r="706" spans="1:8" ht="28.8" hidden="1" x14ac:dyDescent="0.55000000000000004">
      <c r="A706" s="70" t="s">
        <v>1384</v>
      </c>
      <c r="B706" s="71"/>
      <c r="C706" s="71" t="s">
        <v>1385</v>
      </c>
      <c r="D706" s="71" t="s">
        <v>1384</v>
      </c>
      <c r="E706" s="71" t="s">
        <v>48</v>
      </c>
      <c r="F706" s="72">
        <v>0.5</v>
      </c>
      <c r="G706" s="71" t="s">
        <v>1076</v>
      </c>
      <c r="H706" s="73" t="s">
        <v>1077</v>
      </c>
    </row>
    <row r="707" spans="1:8" ht="28.8" hidden="1" x14ac:dyDescent="0.55000000000000004">
      <c r="A707" s="70" t="s">
        <v>1386</v>
      </c>
      <c r="B707" s="71"/>
      <c r="C707" s="71" t="s">
        <v>1387</v>
      </c>
      <c r="D707" s="71" t="s">
        <v>1386</v>
      </c>
      <c r="E707" s="71" t="s">
        <v>48</v>
      </c>
      <c r="F707" s="15">
        <v>0.436</v>
      </c>
      <c r="G707" s="71" t="s">
        <v>1076</v>
      </c>
      <c r="H707" s="73" t="s">
        <v>1077</v>
      </c>
    </row>
    <row r="708" spans="1:8" ht="28.8" hidden="1" x14ac:dyDescent="0.55000000000000004">
      <c r="A708" s="70" t="s">
        <v>1388</v>
      </c>
      <c r="B708" s="71"/>
      <c r="C708" s="71" t="s">
        <v>1389</v>
      </c>
      <c r="D708" s="71" t="s">
        <v>1388</v>
      </c>
      <c r="E708" s="71" t="s">
        <v>48</v>
      </c>
      <c r="F708" s="72">
        <v>0.32800000000000001</v>
      </c>
      <c r="G708" s="71" t="s">
        <v>1076</v>
      </c>
      <c r="H708" s="73" t="s">
        <v>1077</v>
      </c>
    </row>
    <row r="709" spans="1:8" ht="28.8" hidden="1" x14ac:dyDescent="0.55000000000000004">
      <c r="A709" s="70" t="s">
        <v>1390</v>
      </c>
      <c r="B709" s="71"/>
      <c r="C709" s="71" t="s">
        <v>1391</v>
      </c>
      <c r="D709" s="71" t="s">
        <v>1390</v>
      </c>
      <c r="E709" s="71" t="s">
        <v>48</v>
      </c>
      <c r="F709" s="72">
        <v>9.5000000000000001E-2</v>
      </c>
      <c r="G709" s="71" t="s">
        <v>1076</v>
      </c>
      <c r="H709" s="73" t="s">
        <v>1077</v>
      </c>
    </row>
    <row r="710" spans="1:8" ht="28.8" hidden="1" x14ac:dyDescent="0.55000000000000004">
      <c r="A710" s="70" t="s">
        <v>1392</v>
      </c>
      <c r="B710" s="71"/>
      <c r="C710" s="71" t="s">
        <v>1393</v>
      </c>
      <c r="D710" s="71" t="s">
        <v>1392</v>
      </c>
      <c r="E710" s="71" t="s">
        <v>48</v>
      </c>
      <c r="F710" s="72">
        <v>0.05</v>
      </c>
      <c r="G710" s="71" t="s">
        <v>1076</v>
      </c>
      <c r="H710" s="73" t="s">
        <v>1077</v>
      </c>
    </row>
    <row r="711" spans="1:8" ht="28.8" hidden="1" x14ac:dyDescent="0.55000000000000004">
      <c r="A711" s="70" t="s">
        <v>1394</v>
      </c>
      <c r="B711" s="71"/>
      <c r="C711" s="71" t="s">
        <v>1395</v>
      </c>
      <c r="D711" s="71" t="s">
        <v>1394</v>
      </c>
      <c r="E711" s="71" t="s">
        <v>48</v>
      </c>
      <c r="F711" s="72">
        <v>0.17599999999999999</v>
      </c>
      <c r="G711" s="71" t="s">
        <v>1076</v>
      </c>
      <c r="H711" s="73" t="s">
        <v>1077</v>
      </c>
    </row>
    <row r="712" spans="1:8" hidden="1" x14ac:dyDescent="0.55000000000000004">
      <c r="A712" s="70" t="s">
        <v>1396</v>
      </c>
      <c r="B712" s="71"/>
      <c r="C712" s="71" t="s">
        <v>1397</v>
      </c>
      <c r="D712" s="71" t="s">
        <v>1396</v>
      </c>
      <c r="E712" s="71" t="s">
        <v>48</v>
      </c>
      <c r="F712" s="72">
        <v>0.08</v>
      </c>
      <c r="G712" s="71" t="s">
        <v>1076</v>
      </c>
      <c r="H712" s="73" t="s">
        <v>1077</v>
      </c>
    </row>
    <row r="713" spans="1:8" ht="28.8" hidden="1" x14ac:dyDescent="0.55000000000000004">
      <c r="A713" s="70" t="s">
        <v>1398</v>
      </c>
      <c r="B713" s="71"/>
      <c r="C713" s="71" t="s">
        <v>1399</v>
      </c>
      <c r="D713" s="71" t="s">
        <v>1398</v>
      </c>
      <c r="E713" s="71" t="s">
        <v>48</v>
      </c>
      <c r="F713" s="72">
        <v>0.08</v>
      </c>
      <c r="G713" s="71" t="s">
        <v>1076</v>
      </c>
      <c r="H713" s="73" t="s">
        <v>1077</v>
      </c>
    </row>
    <row r="714" spans="1:8" hidden="1" x14ac:dyDescent="0.55000000000000004">
      <c r="A714" s="70" t="s">
        <v>1400</v>
      </c>
      <c r="B714" s="71"/>
      <c r="C714" s="71" t="s">
        <v>1401</v>
      </c>
      <c r="D714" s="71" t="s">
        <v>1400</v>
      </c>
      <c r="E714" s="71" t="s">
        <v>48</v>
      </c>
      <c r="F714" s="72">
        <v>0.08</v>
      </c>
      <c r="G714" s="71" t="s">
        <v>1076</v>
      </c>
      <c r="H714" s="73" t="s">
        <v>1077</v>
      </c>
    </row>
    <row r="715" spans="1:8" ht="15" hidden="1" customHeight="1" thickBot="1" x14ac:dyDescent="0.6">
      <c r="A715" s="25"/>
      <c r="B715" s="26"/>
      <c r="C715" s="26"/>
      <c r="D715" s="26"/>
      <c r="E715" s="26"/>
      <c r="F715" s="27"/>
      <c r="G715" s="26"/>
      <c r="H715" s="28"/>
    </row>
    <row r="716" spans="1:8" x14ac:dyDescent="0.55000000000000004">
      <c r="A716" s="29"/>
      <c r="B716" s="29"/>
      <c r="C716" s="29"/>
      <c r="D716" s="29"/>
      <c r="E716" s="29"/>
      <c r="F716" s="30"/>
      <c r="G716" s="29"/>
      <c r="H716" s="3"/>
    </row>
    <row r="717" spans="1:8" x14ac:dyDescent="0.55000000000000004">
      <c r="A717" s="29"/>
      <c r="B717" s="29"/>
      <c r="C717" s="29"/>
      <c r="D717" s="30"/>
      <c r="E717" s="29"/>
      <c r="G717" s="29"/>
      <c r="H717" s="3"/>
    </row>
    <row r="718" spans="1:8" x14ac:dyDescent="0.55000000000000004">
      <c r="A718" s="29"/>
      <c r="B718" s="29"/>
      <c r="C718" s="29"/>
      <c r="D718" s="29"/>
      <c r="E718" s="29"/>
      <c r="F718" s="30"/>
      <c r="G718" s="29"/>
      <c r="H718" s="3"/>
    </row>
    <row r="719" spans="1:8" x14ac:dyDescent="0.55000000000000004">
      <c r="A719" s="29"/>
      <c r="B719" s="29"/>
      <c r="C719" s="29"/>
      <c r="D719" s="29"/>
      <c r="E719" s="29"/>
      <c r="F719" s="30"/>
      <c r="G719" s="29"/>
      <c r="H719" s="3"/>
    </row>
    <row r="720" spans="1:8" x14ac:dyDescent="0.55000000000000004">
      <c r="A720" s="29"/>
      <c r="B720" s="29"/>
      <c r="C720" s="29"/>
      <c r="D720" s="29"/>
      <c r="E720" s="29"/>
      <c r="F720" s="30"/>
      <c r="G720" s="29"/>
      <c r="H720" s="3"/>
    </row>
    <row r="721" spans="1:8" x14ac:dyDescent="0.55000000000000004">
      <c r="A721" s="29"/>
      <c r="B721" s="29"/>
      <c r="C721" s="29"/>
      <c r="D721" s="29"/>
      <c r="E721" s="29"/>
      <c r="F721" s="30"/>
      <c r="G721" s="29"/>
      <c r="H721" s="3"/>
    </row>
    <row r="722" spans="1:8" x14ac:dyDescent="0.55000000000000004">
      <c r="A722" s="29"/>
      <c r="B722" s="29"/>
      <c r="C722" s="29"/>
      <c r="D722" s="29"/>
      <c r="E722" s="29"/>
      <c r="F722" s="30"/>
      <c r="G722" s="29"/>
      <c r="H722" s="3"/>
    </row>
    <row r="723" spans="1:8" x14ac:dyDescent="0.55000000000000004">
      <c r="A723" s="29"/>
      <c r="B723" s="29"/>
      <c r="C723" s="29"/>
      <c r="D723" s="29"/>
      <c r="E723" s="29"/>
      <c r="F723" s="30"/>
      <c r="G723" s="29"/>
      <c r="H723" s="3"/>
    </row>
    <row r="724" spans="1:8" x14ac:dyDescent="0.55000000000000004">
      <c r="A724" s="29"/>
      <c r="B724" s="29"/>
      <c r="C724" s="29"/>
      <c r="D724" s="29"/>
      <c r="E724" s="29"/>
      <c r="F724" s="30"/>
      <c r="G724" s="29"/>
      <c r="H724" s="3"/>
    </row>
    <row r="725" spans="1:8" x14ac:dyDescent="0.55000000000000004">
      <c r="A725" s="29"/>
      <c r="B725" s="29"/>
      <c r="C725" s="29"/>
      <c r="D725" s="29"/>
      <c r="E725" s="29"/>
      <c r="F725" s="30"/>
      <c r="G725" s="29"/>
      <c r="H725" s="3"/>
    </row>
    <row r="726" spans="1:8" x14ac:dyDescent="0.55000000000000004">
      <c r="A726" s="29"/>
      <c r="B726" s="29"/>
      <c r="C726" s="29"/>
      <c r="D726" s="29"/>
      <c r="E726" s="29"/>
      <c r="F726" s="30"/>
      <c r="G726" s="29"/>
      <c r="H726" s="3"/>
    </row>
    <row r="727" spans="1:8" x14ac:dyDescent="0.55000000000000004">
      <c r="A727" s="29"/>
      <c r="B727" s="29"/>
      <c r="C727" s="29"/>
      <c r="D727" s="29"/>
      <c r="E727" s="29"/>
      <c r="F727" s="30"/>
      <c r="G727" s="29"/>
      <c r="H727" s="3"/>
    </row>
    <row r="728" spans="1:8" x14ac:dyDescent="0.55000000000000004">
      <c r="A728" s="29"/>
      <c r="B728" s="29"/>
      <c r="C728" s="29"/>
      <c r="D728" s="29"/>
      <c r="E728" s="29"/>
      <c r="F728" s="30"/>
      <c r="G728" s="29"/>
      <c r="H728" s="3"/>
    </row>
    <row r="729" spans="1:8" x14ac:dyDescent="0.55000000000000004">
      <c r="A729" s="29"/>
      <c r="B729" s="29"/>
      <c r="C729" s="29"/>
      <c r="D729" s="29"/>
      <c r="E729" s="29"/>
      <c r="F729" s="30"/>
      <c r="G729" s="29"/>
      <c r="H729" s="3"/>
    </row>
    <row r="730" spans="1:8" x14ac:dyDescent="0.55000000000000004">
      <c r="A730" s="29"/>
      <c r="B730" s="29"/>
      <c r="C730" s="29"/>
      <c r="D730" s="29"/>
      <c r="E730" s="29"/>
      <c r="F730" s="30"/>
      <c r="G730" s="29"/>
      <c r="H730" s="3"/>
    </row>
    <row r="731" spans="1:8" x14ac:dyDescent="0.55000000000000004">
      <c r="A731" s="29"/>
      <c r="B731" s="29"/>
      <c r="C731" s="29"/>
      <c r="D731" s="29"/>
      <c r="E731" s="29"/>
      <c r="F731" s="30"/>
      <c r="G731" s="29"/>
      <c r="H731" s="3"/>
    </row>
    <row r="732" spans="1:8" x14ac:dyDescent="0.55000000000000004">
      <c r="A732" s="29"/>
      <c r="B732" s="29"/>
      <c r="C732" s="29"/>
      <c r="D732" s="29"/>
      <c r="E732" s="29"/>
      <c r="F732" s="30"/>
      <c r="G732" s="29"/>
      <c r="H732" s="3"/>
    </row>
    <row r="733" spans="1:8" x14ac:dyDescent="0.55000000000000004">
      <c r="A733" s="29"/>
      <c r="B733" s="29"/>
      <c r="C733" s="29"/>
      <c r="D733" s="29"/>
      <c r="E733" s="29"/>
      <c r="F733" s="30"/>
      <c r="G733" s="29"/>
      <c r="H733" s="3"/>
    </row>
    <row r="734" spans="1:8" x14ac:dyDescent="0.55000000000000004">
      <c r="A734" s="29"/>
      <c r="B734" s="29"/>
      <c r="C734" s="29"/>
      <c r="D734" s="29"/>
      <c r="E734" s="29"/>
      <c r="F734" s="30"/>
      <c r="G734" s="29"/>
      <c r="H734" s="3"/>
    </row>
    <row r="735" spans="1:8" x14ac:dyDescent="0.55000000000000004">
      <c r="A735" s="29"/>
      <c r="B735" s="29"/>
      <c r="C735" s="29"/>
      <c r="D735" s="29"/>
      <c r="E735" s="29"/>
      <c r="F735" s="30"/>
      <c r="G735" s="29"/>
      <c r="H735" s="3"/>
    </row>
    <row r="736" spans="1:8" x14ac:dyDescent="0.55000000000000004">
      <c r="A736" s="29"/>
      <c r="B736" s="29"/>
      <c r="C736" s="29"/>
      <c r="D736" s="29"/>
      <c r="E736" s="29"/>
      <c r="F736" s="30"/>
      <c r="G736" s="29"/>
      <c r="H736" s="3"/>
    </row>
    <row r="737" spans="1:8" x14ac:dyDescent="0.55000000000000004">
      <c r="A737" s="29"/>
      <c r="B737" s="29"/>
      <c r="C737" s="29"/>
      <c r="D737" s="29"/>
      <c r="E737" s="29"/>
      <c r="F737" s="30"/>
      <c r="G737" s="29"/>
      <c r="H737" s="3"/>
    </row>
    <row r="738" spans="1:8" x14ac:dyDescent="0.55000000000000004">
      <c r="A738" s="29"/>
      <c r="B738" s="29"/>
      <c r="C738" s="29"/>
      <c r="D738" s="29"/>
      <c r="E738" s="29"/>
      <c r="F738" s="30"/>
      <c r="G738" s="29"/>
      <c r="H738" s="3"/>
    </row>
    <row r="739" spans="1:8" x14ac:dyDescent="0.55000000000000004">
      <c r="A739" s="29"/>
      <c r="B739" s="29"/>
      <c r="C739" s="29"/>
      <c r="D739" s="29"/>
      <c r="E739" s="29"/>
      <c r="F739" s="30"/>
      <c r="G739" s="29"/>
      <c r="H739" s="3"/>
    </row>
    <row r="740" spans="1:8" x14ac:dyDescent="0.55000000000000004">
      <c r="A740" s="29"/>
      <c r="B740" s="29"/>
      <c r="C740" s="29"/>
      <c r="D740" s="29"/>
      <c r="E740" s="29"/>
      <c r="F740" s="30"/>
      <c r="G740" s="29"/>
      <c r="H740" s="3"/>
    </row>
    <row r="741" spans="1:8" x14ac:dyDescent="0.55000000000000004">
      <c r="A741" s="29"/>
      <c r="B741" s="29"/>
      <c r="C741" s="29"/>
      <c r="D741" s="29"/>
      <c r="E741" s="29"/>
      <c r="F741" s="30"/>
      <c r="G741" s="29"/>
      <c r="H741" s="3"/>
    </row>
    <row r="742" spans="1:8" x14ac:dyDescent="0.55000000000000004">
      <c r="A742" s="29"/>
      <c r="B742" s="29"/>
      <c r="C742" s="29"/>
      <c r="D742" s="29"/>
      <c r="E742" s="29"/>
      <c r="F742" s="30"/>
      <c r="G742" s="29"/>
      <c r="H742" s="3"/>
    </row>
    <row r="743" spans="1:8" x14ac:dyDescent="0.55000000000000004">
      <c r="A743" s="29"/>
      <c r="B743" s="29"/>
      <c r="C743" s="29"/>
      <c r="D743" s="29"/>
      <c r="E743" s="29"/>
      <c r="F743" s="30"/>
      <c r="G743" s="29"/>
      <c r="H743" s="3"/>
    </row>
    <row r="744" spans="1:8" x14ac:dyDescent="0.55000000000000004">
      <c r="A744" s="29"/>
      <c r="B744" s="29"/>
      <c r="C744" s="29"/>
      <c r="D744" s="29"/>
      <c r="E744" s="29"/>
      <c r="F744" s="30"/>
      <c r="G744" s="29"/>
      <c r="H744" s="3"/>
    </row>
    <row r="745" spans="1:8" x14ac:dyDescent="0.55000000000000004">
      <c r="A745" s="29"/>
      <c r="B745" s="29"/>
      <c r="C745" s="29"/>
      <c r="D745" s="29"/>
      <c r="E745" s="29"/>
      <c r="F745" s="30"/>
      <c r="G745" s="29"/>
      <c r="H745" s="3"/>
    </row>
    <row r="746" spans="1:8" x14ac:dyDescent="0.55000000000000004">
      <c r="A746" s="29"/>
      <c r="B746" s="29"/>
      <c r="C746" s="29"/>
      <c r="D746" s="29"/>
      <c r="E746" s="29"/>
      <c r="F746" s="30"/>
      <c r="G746" s="29"/>
      <c r="H746" s="3"/>
    </row>
    <row r="747" spans="1:8" x14ac:dyDescent="0.55000000000000004">
      <c r="A747" s="29"/>
      <c r="B747" s="29"/>
      <c r="C747" s="29"/>
      <c r="D747" s="29"/>
      <c r="E747" s="29"/>
      <c r="F747" s="30"/>
      <c r="G747" s="29"/>
      <c r="H747" s="3"/>
    </row>
    <row r="748" spans="1:8" x14ac:dyDescent="0.55000000000000004">
      <c r="A748" s="29"/>
      <c r="B748" s="29"/>
      <c r="C748" s="29"/>
      <c r="D748" s="29"/>
      <c r="E748" s="29"/>
      <c r="F748" s="30"/>
      <c r="G748" s="29"/>
      <c r="H748" s="3"/>
    </row>
    <row r="749" spans="1:8" x14ac:dyDescent="0.55000000000000004">
      <c r="A749" s="29"/>
      <c r="B749" s="29"/>
      <c r="C749" s="29"/>
      <c r="D749" s="29"/>
      <c r="E749" s="29"/>
      <c r="F749" s="30"/>
      <c r="G749" s="29"/>
      <c r="H749" s="3"/>
    </row>
    <row r="750" spans="1:8" x14ac:dyDescent="0.55000000000000004">
      <c r="A750" s="29"/>
      <c r="B750" s="29"/>
      <c r="C750" s="29"/>
      <c r="D750" s="29"/>
      <c r="E750" s="29"/>
      <c r="F750" s="30"/>
      <c r="G750" s="29"/>
      <c r="H750" s="3"/>
    </row>
    <row r="751" spans="1:8" x14ac:dyDescent="0.55000000000000004">
      <c r="A751" s="29"/>
      <c r="B751" s="29"/>
      <c r="C751" s="29"/>
      <c r="D751" s="29"/>
      <c r="E751" s="29"/>
      <c r="F751" s="30"/>
      <c r="G751" s="29"/>
      <c r="H751" s="3"/>
    </row>
    <row r="752" spans="1:8" x14ac:dyDescent="0.55000000000000004">
      <c r="A752" s="29"/>
      <c r="B752" s="29"/>
      <c r="C752" s="29"/>
      <c r="D752" s="29"/>
      <c r="E752" s="29"/>
      <c r="F752" s="30"/>
      <c r="G752" s="29"/>
      <c r="H752" s="3"/>
    </row>
    <row r="753" spans="1:8" x14ac:dyDescent="0.55000000000000004">
      <c r="A753" s="29"/>
      <c r="B753" s="29"/>
      <c r="C753" s="29"/>
      <c r="D753" s="29"/>
      <c r="E753" s="29"/>
      <c r="F753" s="30"/>
      <c r="G753" s="29"/>
      <c r="H753" s="3"/>
    </row>
    <row r="754" spans="1:8" x14ac:dyDescent="0.55000000000000004">
      <c r="A754" s="29"/>
      <c r="B754" s="29"/>
      <c r="C754" s="29"/>
      <c r="D754" s="29"/>
      <c r="E754" s="29"/>
      <c r="F754" s="30"/>
      <c r="G754" s="29"/>
      <c r="H754" s="3"/>
    </row>
    <row r="755" spans="1:8" x14ac:dyDescent="0.55000000000000004">
      <c r="A755" s="29"/>
      <c r="B755" s="29"/>
      <c r="C755" s="29"/>
      <c r="D755" s="29"/>
      <c r="E755" s="29"/>
      <c r="F755" s="30"/>
      <c r="G755" s="29"/>
      <c r="H755" s="3"/>
    </row>
    <row r="756" spans="1:8" x14ac:dyDescent="0.55000000000000004">
      <c r="A756" s="29"/>
      <c r="B756" s="29"/>
      <c r="C756" s="29"/>
      <c r="D756" s="29"/>
      <c r="E756" s="29"/>
      <c r="F756" s="30"/>
      <c r="G756" s="29"/>
      <c r="H756" s="3"/>
    </row>
    <row r="757" spans="1:8" x14ac:dyDescent="0.55000000000000004">
      <c r="A757" s="29"/>
      <c r="B757" s="29"/>
      <c r="C757" s="29"/>
      <c r="D757" s="29"/>
      <c r="E757" s="29"/>
      <c r="F757" s="30"/>
      <c r="G757" s="29"/>
      <c r="H757" s="3"/>
    </row>
    <row r="758" spans="1:8" x14ac:dyDescent="0.55000000000000004">
      <c r="A758" s="29"/>
      <c r="B758" s="29"/>
      <c r="C758" s="29"/>
      <c r="D758" s="29"/>
      <c r="E758" s="29"/>
      <c r="F758" s="30"/>
      <c r="G758" s="29"/>
      <c r="H758" s="3"/>
    </row>
    <row r="759" spans="1:8" x14ac:dyDescent="0.55000000000000004">
      <c r="A759" s="29"/>
      <c r="B759" s="29"/>
      <c r="C759" s="29"/>
      <c r="D759" s="29"/>
      <c r="E759" s="29"/>
      <c r="F759" s="30"/>
      <c r="G759" s="29"/>
      <c r="H759" s="3"/>
    </row>
    <row r="760" spans="1:8" x14ac:dyDescent="0.55000000000000004">
      <c r="A760" s="29"/>
      <c r="B760" s="29"/>
      <c r="C760" s="29"/>
      <c r="D760" s="29"/>
      <c r="E760" s="29"/>
      <c r="F760" s="30"/>
      <c r="G760" s="29"/>
      <c r="H760" s="3"/>
    </row>
    <row r="761" spans="1:8" x14ac:dyDescent="0.55000000000000004">
      <c r="A761" s="29"/>
      <c r="B761" s="29"/>
      <c r="C761" s="29"/>
      <c r="D761" s="29"/>
      <c r="E761" s="29"/>
      <c r="F761" s="30"/>
      <c r="G761" s="29"/>
      <c r="H761" s="3"/>
    </row>
    <row r="762" spans="1:8" x14ac:dyDescent="0.55000000000000004">
      <c r="A762" s="29"/>
      <c r="B762" s="29"/>
      <c r="C762" s="29"/>
      <c r="D762" s="29"/>
      <c r="E762" s="29"/>
      <c r="F762" s="30"/>
      <c r="G762" s="29"/>
      <c r="H762" s="3"/>
    </row>
    <row r="763" spans="1:8" x14ac:dyDescent="0.55000000000000004">
      <c r="A763" s="29"/>
      <c r="B763" s="29"/>
      <c r="C763" s="29"/>
      <c r="D763" s="29"/>
      <c r="E763" s="29"/>
      <c r="F763" s="30"/>
      <c r="G763" s="29"/>
      <c r="H763" s="3"/>
    </row>
    <row r="764" spans="1:8" x14ac:dyDescent="0.55000000000000004">
      <c r="A764" s="29"/>
      <c r="B764" s="29"/>
      <c r="C764" s="29"/>
      <c r="D764" s="29"/>
      <c r="E764" s="29"/>
      <c r="F764" s="30"/>
      <c r="G764" s="29"/>
      <c r="H764" s="3"/>
    </row>
    <row r="765" spans="1:8" x14ac:dyDescent="0.55000000000000004">
      <c r="A765" s="29"/>
      <c r="B765" s="29"/>
      <c r="C765" s="29"/>
      <c r="D765" s="29"/>
      <c r="E765" s="29"/>
      <c r="F765" s="30"/>
      <c r="G765" s="29"/>
      <c r="H765" s="3"/>
    </row>
    <row r="766" spans="1:8" x14ac:dyDescent="0.55000000000000004">
      <c r="A766" s="29"/>
      <c r="B766" s="29"/>
      <c r="C766" s="29"/>
      <c r="D766" s="29"/>
      <c r="E766" s="29"/>
      <c r="F766" s="30"/>
      <c r="G766" s="29"/>
      <c r="H766" s="3"/>
    </row>
    <row r="767" spans="1:8" x14ac:dyDescent="0.55000000000000004">
      <c r="A767" s="29"/>
      <c r="B767" s="29"/>
      <c r="C767" s="29"/>
      <c r="D767" s="29"/>
      <c r="E767" s="29"/>
      <c r="F767" s="30"/>
      <c r="G767" s="29"/>
      <c r="H767" s="3"/>
    </row>
    <row r="768" spans="1:8" x14ac:dyDescent="0.55000000000000004">
      <c r="A768" s="29"/>
      <c r="B768" s="29"/>
      <c r="C768" s="29"/>
      <c r="D768" s="29"/>
      <c r="E768" s="29"/>
      <c r="F768" s="30"/>
      <c r="G768" s="29"/>
      <c r="H768" s="3"/>
    </row>
    <row r="769" spans="1:8" x14ac:dyDescent="0.55000000000000004">
      <c r="A769" s="29"/>
      <c r="B769" s="29"/>
      <c r="C769" s="29"/>
      <c r="D769" s="29"/>
      <c r="E769" s="29"/>
      <c r="F769" s="30"/>
      <c r="G769" s="29"/>
      <c r="H769" s="3"/>
    </row>
    <row r="770" spans="1:8" x14ac:dyDescent="0.55000000000000004">
      <c r="A770" s="29"/>
      <c r="B770" s="29"/>
      <c r="C770" s="29"/>
      <c r="D770" s="29"/>
      <c r="E770" s="29"/>
      <c r="F770" s="30"/>
      <c r="G770" s="29"/>
      <c r="H770" s="3"/>
    </row>
    <row r="771" spans="1:8" x14ac:dyDescent="0.55000000000000004">
      <c r="A771" s="29"/>
      <c r="B771" s="29"/>
      <c r="C771" s="29"/>
      <c r="D771" s="29"/>
      <c r="E771" s="29"/>
      <c r="F771" s="30"/>
      <c r="G771" s="29"/>
      <c r="H771" s="3"/>
    </row>
    <row r="772" spans="1:8" x14ac:dyDescent="0.55000000000000004">
      <c r="A772" s="29"/>
      <c r="B772" s="29"/>
      <c r="C772" s="29"/>
      <c r="D772" s="29"/>
      <c r="E772" s="29"/>
      <c r="F772" s="30"/>
      <c r="G772" s="29"/>
      <c r="H772" s="3"/>
    </row>
    <row r="773" spans="1:8" x14ac:dyDescent="0.55000000000000004">
      <c r="A773" s="29"/>
      <c r="B773" s="29"/>
      <c r="C773" s="29"/>
      <c r="D773" s="29"/>
      <c r="E773" s="29"/>
      <c r="F773" s="30"/>
      <c r="G773" s="29"/>
      <c r="H773" s="3"/>
    </row>
    <row r="774" spans="1:8" x14ac:dyDescent="0.55000000000000004">
      <c r="A774" s="29"/>
      <c r="B774" s="29"/>
      <c r="C774" s="29"/>
      <c r="D774" s="29"/>
      <c r="E774" s="29"/>
      <c r="F774" s="30"/>
      <c r="G774" s="29"/>
      <c r="H774" s="3"/>
    </row>
    <row r="775" spans="1:8" x14ac:dyDescent="0.55000000000000004">
      <c r="A775" s="29"/>
      <c r="B775" s="29"/>
      <c r="C775" s="29"/>
      <c r="D775" s="29"/>
      <c r="E775" s="29"/>
      <c r="F775" s="30"/>
      <c r="G775" s="29"/>
      <c r="H775" s="3"/>
    </row>
    <row r="776" spans="1:8" x14ac:dyDescent="0.55000000000000004">
      <c r="A776" s="29"/>
      <c r="B776" s="29"/>
      <c r="C776" s="29"/>
      <c r="D776" s="29"/>
      <c r="E776" s="29"/>
      <c r="F776" s="30"/>
      <c r="G776" s="29"/>
      <c r="H776" s="3"/>
    </row>
    <row r="777" spans="1:8" x14ac:dyDescent="0.55000000000000004">
      <c r="A777" s="29"/>
      <c r="B777" s="29"/>
      <c r="C777" s="29"/>
      <c r="D777" s="29"/>
      <c r="E777" s="29"/>
      <c r="F777" s="30"/>
      <c r="G777" s="29"/>
      <c r="H777" s="3"/>
    </row>
    <row r="778" spans="1:8" x14ac:dyDescent="0.55000000000000004">
      <c r="A778" s="29"/>
      <c r="B778" s="29"/>
      <c r="C778" s="29"/>
      <c r="D778" s="29"/>
      <c r="E778" s="29"/>
      <c r="F778" s="30"/>
      <c r="G778" s="29"/>
      <c r="H778" s="3"/>
    </row>
    <row r="779" spans="1:8" x14ac:dyDescent="0.55000000000000004">
      <c r="A779" s="29"/>
      <c r="B779" s="29"/>
      <c r="C779" s="29"/>
      <c r="D779" s="29"/>
      <c r="E779" s="29"/>
      <c r="F779" s="30"/>
      <c r="G779" s="29"/>
      <c r="H779" s="3"/>
    </row>
    <row r="780" spans="1:8" x14ac:dyDescent="0.55000000000000004">
      <c r="A780" s="29"/>
      <c r="B780" s="29"/>
      <c r="C780" s="29"/>
      <c r="D780" s="29"/>
      <c r="E780" s="29"/>
      <c r="F780" s="30"/>
      <c r="G780" s="29"/>
      <c r="H780" s="3"/>
    </row>
    <row r="781" spans="1:8" x14ac:dyDescent="0.55000000000000004">
      <c r="A781" s="29"/>
      <c r="B781" s="29"/>
      <c r="C781" s="29"/>
      <c r="D781" s="29"/>
      <c r="E781" s="29"/>
      <c r="F781" s="30"/>
      <c r="G781" s="29"/>
      <c r="H781" s="3"/>
    </row>
    <row r="782" spans="1:8" x14ac:dyDescent="0.55000000000000004">
      <c r="A782" s="29"/>
      <c r="B782" s="29"/>
      <c r="C782" s="29"/>
      <c r="D782" s="29"/>
      <c r="E782" s="29"/>
      <c r="F782" s="30"/>
      <c r="G782" s="29"/>
      <c r="H782" s="3"/>
    </row>
    <row r="783" spans="1:8" x14ac:dyDescent="0.55000000000000004">
      <c r="A783" s="29"/>
      <c r="B783" s="29"/>
      <c r="C783" s="29"/>
      <c r="D783" s="29"/>
      <c r="E783" s="29"/>
      <c r="F783" s="30"/>
      <c r="G783" s="29"/>
      <c r="H783" s="3"/>
    </row>
    <row r="784" spans="1:8" x14ac:dyDescent="0.55000000000000004">
      <c r="A784" s="29"/>
      <c r="B784" s="29"/>
      <c r="C784" s="29"/>
      <c r="D784" s="29"/>
      <c r="E784" s="29"/>
      <c r="F784" s="30"/>
      <c r="G784" s="29"/>
      <c r="H784" s="3"/>
    </row>
    <row r="785" spans="1:8" x14ac:dyDescent="0.55000000000000004">
      <c r="A785" s="29"/>
      <c r="B785" s="29"/>
      <c r="C785" s="29"/>
      <c r="D785" s="29"/>
      <c r="E785" s="29"/>
      <c r="F785" s="30"/>
      <c r="G785" s="29"/>
      <c r="H785" s="3"/>
    </row>
    <row r="786" spans="1:8" x14ac:dyDescent="0.55000000000000004">
      <c r="A786" s="29"/>
      <c r="B786" s="29"/>
      <c r="C786" s="29"/>
      <c r="D786" s="29"/>
      <c r="E786" s="29"/>
      <c r="F786" s="30"/>
      <c r="G786" s="29"/>
      <c r="H786" s="3"/>
    </row>
    <row r="787" spans="1:8" x14ac:dyDescent="0.55000000000000004">
      <c r="A787" s="29"/>
      <c r="B787" s="29"/>
      <c r="C787" s="29"/>
      <c r="D787" s="29"/>
      <c r="E787" s="29"/>
      <c r="F787" s="30"/>
      <c r="G787" s="29"/>
      <c r="H787" s="3"/>
    </row>
    <row r="788" spans="1:8" x14ac:dyDescent="0.55000000000000004">
      <c r="A788" s="29"/>
      <c r="B788" s="29"/>
      <c r="C788" s="29"/>
      <c r="D788" s="29"/>
      <c r="E788" s="29"/>
      <c r="F788" s="30"/>
      <c r="G788" s="29"/>
      <c r="H788" s="3"/>
    </row>
    <row r="789" spans="1:8" x14ac:dyDescent="0.55000000000000004">
      <c r="A789" s="29"/>
      <c r="B789" s="29"/>
      <c r="C789" s="29"/>
      <c r="D789" s="29"/>
      <c r="E789" s="29"/>
      <c r="F789" s="30"/>
      <c r="G789" s="29"/>
      <c r="H789" s="3"/>
    </row>
    <row r="790" spans="1:8" x14ac:dyDescent="0.55000000000000004">
      <c r="A790" s="29"/>
      <c r="B790" s="29"/>
      <c r="C790" s="29"/>
      <c r="D790" s="29"/>
      <c r="E790" s="29"/>
      <c r="F790" s="30"/>
      <c r="G790" s="29"/>
      <c r="H790" s="3"/>
    </row>
    <row r="791" spans="1:8" x14ac:dyDescent="0.55000000000000004">
      <c r="A791" s="29"/>
      <c r="B791" s="29"/>
      <c r="C791" s="29"/>
      <c r="D791" s="29"/>
      <c r="E791" s="29"/>
      <c r="F791" s="30"/>
      <c r="G791" s="29"/>
      <c r="H791" s="3"/>
    </row>
    <row r="792" spans="1:8" x14ac:dyDescent="0.55000000000000004">
      <c r="A792" s="29"/>
      <c r="B792" s="29"/>
      <c r="C792" s="29"/>
      <c r="D792" s="29"/>
      <c r="E792" s="29"/>
      <c r="F792" s="30"/>
      <c r="G792" s="29"/>
      <c r="H792" s="3"/>
    </row>
    <row r="793" spans="1:8" x14ac:dyDescent="0.55000000000000004">
      <c r="A793" s="29"/>
      <c r="B793" s="29"/>
      <c r="C793" s="29"/>
      <c r="D793" s="29"/>
      <c r="E793" s="29"/>
      <c r="F793" s="30"/>
      <c r="G793" s="29"/>
      <c r="H793" s="3"/>
    </row>
    <row r="794" spans="1:8" x14ac:dyDescent="0.55000000000000004">
      <c r="A794" s="29"/>
      <c r="B794" s="29"/>
      <c r="C794" s="29"/>
      <c r="D794" s="29"/>
      <c r="E794" s="29"/>
      <c r="F794" s="30"/>
      <c r="G794" s="29"/>
      <c r="H794" s="3"/>
    </row>
    <row r="795" spans="1:8" x14ac:dyDescent="0.55000000000000004">
      <c r="A795" s="29"/>
      <c r="B795" s="29"/>
      <c r="C795" s="29"/>
      <c r="D795" s="29"/>
      <c r="E795" s="29"/>
      <c r="F795" s="30"/>
      <c r="G795" s="29"/>
      <c r="H795" s="3"/>
    </row>
    <row r="796" spans="1:8" x14ac:dyDescent="0.55000000000000004">
      <c r="A796" s="29"/>
      <c r="B796" s="29"/>
      <c r="C796" s="29"/>
      <c r="D796" s="29"/>
      <c r="E796" s="29"/>
      <c r="F796" s="30"/>
      <c r="G796" s="29"/>
      <c r="H796" s="3"/>
    </row>
    <row r="797" spans="1:8" x14ac:dyDescent="0.55000000000000004">
      <c r="A797" s="29"/>
      <c r="B797" s="29"/>
      <c r="C797" s="29"/>
      <c r="D797" s="29"/>
      <c r="E797" s="29"/>
      <c r="F797" s="30"/>
      <c r="G797" s="29"/>
      <c r="H797" s="3"/>
    </row>
    <row r="798" spans="1:8" x14ac:dyDescent="0.55000000000000004">
      <c r="A798" s="29"/>
      <c r="B798" s="29"/>
      <c r="C798" s="29"/>
      <c r="D798" s="29"/>
      <c r="E798" s="29"/>
      <c r="F798" s="30"/>
      <c r="G798" s="29"/>
      <c r="H798" s="3"/>
    </row>
    <row r="799" spans="1:8" x14ac:dyDescent="0.55000000000000004">
      <c r="A799" s="29"/>
      <c r="B799" s="29"/>
      <c r="C799" s="29"/>
      <c r="D799" s="29"/>
      <c r="E799" s="29"/>
      <c r="F799" s="30"/>
      <c r="G799" s="29"/>
      <c r="H799" s="3"/>
    </row>
    <row r="800" spans="1:8" x14ac:dyDescent="0.55000000000000004">
      <c r="A800" s="29"/>
      <c r="B800" s="29"/>
      <c r="C800" s="29"/>
      <c r="D800" s="29"/>
      <c r="E800" s="29"/>
      <c r="F800" s="30"/>
      <c r="G800" s="29"/>
      <c r="H800" s="3"/>
    </row>
    <row r="801" spans="1:8" x14ac:dyDescent="0.55000000000000004">
      <c r="A801" s="29"/>
      <c r="B801" s="29"/>
      <c r="C801" s="29"/>
      <c r="D801" s="29"/>
      <c r="E801" s="29"/>
      <c r="F801" s="30"/>
      <c r="G801" s="29"/>
      <c r="H801" s="3"/>
    </row>
    <row r="802" spans="1:8" x14ac:dyDescent="0.55000000000000004">
      <c r="A802" s="29"/>
      <c r="B802" s="29"/>
      <c r="C802" s="29"/>
      <c r="D802" s="29"/>
      <c r="E802" s="29"/>
      <c r="F802" s="30"/>
      <c r="G802" s="29"/>
      <c r="H802" s="3"/>
    </row>
    <row r="803" spans="1:8" x14ac:dyDescent="0.55000000000000004">
      <c r="A803" s="29"/>
      <c r="B803" s="29"/>
      <c r="C803" s="29"/>
      <c r="D803" s="29"/>
      <c r="E803" s="29"/>
      <c r="F803" s="30"/>
      <c r="G803" s="29"/>
      <c r="H803" s="3"/>
    </row>
    <row r="804" spans="1:8" x14ac:dyDescent="0.55000000000000004">
      <c r="A804" s="29"/>
      <c r="B804" s="29"/>
      <c r="C804" s="29"/>
      <c r="D804" s="29"/>
      <c r="E804" s="29"/>
      <c r="F804" s="30"/>
      <c r="G804" s="29"/>
      <c r="H804" s="3"/>
    </row>
    <row r="805" spans="1:8" x14ac:dyDescent="0.55000000000000004">
      <c r="A805" s="29"/>
      <c r="B805" s="29"/>
      <c r="C805" s="29"/>
      <c r="D805" s="29"/>
      <c r="E805" s="29"/>
      <c r="F805" s="30"/>
      <c r="G805" s="29"/>
      <c r="H805" s="3"/>
    </row>
    <row r="806" spans="1:8" x14ac:dyDescent="0.55000000000000004">
      <c r="A806" s="29"/>
      <c r="B806" s="29"/>
      <c r="C806" s="29"/>
      <c r="D806" s="29"/>
      <c r="E806" s="29"/>
      <c r="F806" s="30"/>
      <c r="G806" s="29"/>
      <c r="H806" s="3"/>
    </row>
    <row r="807" spans="1:8" x14ac:dyDescent="0.55000000000000004">
      <c r="A807" s="29"/>
      <c r="B807" s="29"/>
      <c r="C807" s="29"/>
      <c r="D807" s="29"/>
      <c r="E807" s="29"/>
      <c r="F807" s="30"/>
      <c r="G807" s="29"/>
      <c r="H807" s="3"/>
    </row>
    <row r="808" spans="1:8" x14ac:dyDescent="0.55000000000000004">
      <c r="A808" s="29"/>
      <c r="B808" s="29"/>
      <c r="C808" s="29"/>
      <c r="D808" s="29"/>
      <c r="E808" s="29"/>
      <c r="F808" s="30"/>
      <c r="G808" s="29"/>
      <c r="H808" s="3"/>
    </row>
    <row r="809" spans="1:8" x14ac:dyDescent="0.55000000000000004">
      <c r="A809" s="29"/>
      <c r="B809" s="29"/>
      <c r="C809" s="29"/>
      <c r="D809" s="29"/>
      <c r="E809" s="29"/>
      <c r="F809" s="30"/>
      <c r="G809" s="29"/>
      <c r="H809" s="3"/>
    </row>
    <row r="810" spans="1:8" x14ac:dyDescent="0.55000000000000004">
      <c r="A810" s="29"/>
      <c r="B810" s="29"/>
      <c r="C810" s="29"/>
      <c r="D810" s="29"/>
      <c r="E810" s="29"/>
      <c r="F810" s="30"/>
      <c r="G810" s="29"/>
      <c r="H810" s="3"/>
    </row>
    <row r="811" spans="1:8" x14ac:dyDescent="0.55000000000000004">
      <c r="A811" s="29"/>
      <c r="B811" s="29"/>
      <c r="C811" s="29"/>
      <c r="D811" s="29"/>
      <c r="E811" s="29"/>
      <c r="F811" s="30"/>
      <c r="G811" s="29"/>
      <c r="H811" s="3"/>
    </row>
    <row r="812" spans="1:8" x14ac:dyDescent="0.55000000000000004">
      <c r="A812" s="29"/>
      <c r="B812" s="29"/>
      <c r="C812" s="29"/>
      <c r="D812" s="29"/>
      <c r="E812" s="29"/>
      <c r="F812" s="30"/>
      <c r="G812" s="29"/>
      <c r="H812" s="3"/>
    </row>
    <row r="813" spans="1:8" x14ac:dyDescent="0.55000000000000004">
      <c r="A813" s="29"/>
      <c r="B813" s="29"/>
      <c r="C813" s="29"/>
      <c r="D813" s="29"/>
      <c r="E813" s="29"/>
      <c r="F813" s="30"/>
      <c r="G813" s="29"/>
      <c r="H813" s="3"/>
    </row>
    <row r="814" spans="1:8" x14ac:dyDescent="0.55000000000000004">
      <c r="A814" s="29"/>
      <c r="B814" s="29"/>
      <c r="C814" s="29"/>
      <c r="D814" s="29"/>
      <c r="E814" s="29"/>
      <c r="F814" s="30"/>
      <c r="G814" s="29"/>
      <c r="H814" s="3"/>
    </row>
    <row r="815" spans="1:8" x14ac:dyDescent="0.55000000000000004">
      <c r="A815" s="29"/>
      <c r="B815" s="29"/>
      <c r="C815" s="29"/>
      <c r="D815" s="29"/>
      <c r="E815" s="29"/>
      <c r="F815" s="30"/>
      <c r="G815" s="29"/>
      <c r="H815" s="3"/>
    </row>
    <row r="816" spans="1:8" x14ac:dyDescent="0.55000000000000004">
      <c r="A816" s="29"/>
      <c r="B816" s="29"/>
      <c r="C816" s="29"/>
      <c r="D816" s="29"/>
      <c r="E816" s="29"/>
      <c r="F816" s="30"/>
      <c r="G816" s="29"/>
      <c r="H816" s="3"/>
    </row>
    <row r="817" spans="1:8" x14ac:dyDescent="0.55000000000000004">
      <c r="A817" s="29"/>
      <c r="B817" s="29"/>
      <c r="C817" s="29"/>
      <c r="D817" s="29"/>
      <c r="E817" s="29"/>
      <c r="F817" s="30"/>
      <c r="G817" s="29"/>
      <c r="H817" s="3"/>
    </row>
    <row r="818" spans="1:8" x14ac:dyDescent="0.55000000000000004">
      <c r="A818" s="29"/>
      <c r="B818" s="29"/>
      <c r="C818" s="29"/>
      <c r="D818" s="29"/>
      <c r="E818" s="29"/>
      <c r="F818" s="30"/>
      <c r="G818" s="29"/>
      <c r="H818" s="3"/>
    </row>
    <row r="819" spans="1:8" x14ac:dyDescent="0.55000000000000004">
      <c r="A819" s="29"/>
      <c r="B819" s="29"/>
      <c r="C819" s="29"/>
      <c r="D819" s="29"/>
      <c r="E819" s="29"/>
      <c r="F819" s="30"/>
      <c r="G819" s="29"/>
      <c r="H819" s="3"/>
    </row>
    <row r="820" spans="1:8" x14ac:dyDescent="0.55000000000000004">
      <c r="A820" s="29"/>
      <c r="B820" s="29"/>
      <c r="C820" s="29"/>
      <c r="D820" s="29"/>
      <c r="E820" s="29"/>
      <c r="F820" s="30"/>
      <c r="G820" s="29"/>
      <c r="H820" s="3"/>
    </row>
    <row r="821" spans="1:8" x14ac:dyDescent="0.55000000000000004">
      <c r="A821" s="29"/>
      <c r="B821" s="29"/>
      <c r="C821" s="29"/>
      <c r="D821" s="29"/>
      <c r="E821" s="29"/>
      <c r="F821" s="30"/>
      <c r="G821" s="29"/>
      <c r="H821" s="3"/>
    </row>
    <row r="822" spans="1:8" x14ac:dyDescent="0.55000000000000004">
      <c r="A822" s="29"/>
      <c r="B822" s="29"/>
      <c r="C822" s="29"/>
      <c r="D822" s="29"/>
      <c r="E822" s="29"/>
      <c r="F822" s="30"/>
      <c r="G822" s="29"/>
      <c r="H822" s="3"/>
    </row>
    <row r="823" spans="1:8" x14ac:dyDescent="0.55000000000000004">
      <c r="A823" s="29"/>
      <c r="B823" s="29"/>
      <c r="C823" s="29"/>
      <c r="D823" s="29"/>
      <c r="E823" s="29"/>
      <c r="F823" s="30"/>
      <c r="G823" s="29"/>
      <c r="H823" s="3"/>
    </row>
    <row r="824" spans="1:8" x14ac:dyDescent="0.55000000000000004">
      <c r="A824" s="29"/>
      <c r="B824" s="29"/>
      <c r="C824" s="29"/>
      <c r="D824" s="29"/>
      <c r="E824" s="29"/>
      <c r="F824" s="30"/>
      <c r="G824" s="29"/>
      <c r="H824" s="3"/>
    </row>
    <row r="825" spans="1:8" x14ac:dyDescent="0.55000000000000004">
      <c r="A825" s="29"/>
      <c r="B825" s="29"/>
      <c r="C825" s="29"/>
      <c r="D825" s="29"/>
      <c r="E825" s="29"/>
      <c r="F825" s="30"/>
      <c r="G825" s="29"/>
      <c r="H825" s="3"/>
    </row>
    <row r="826" spans="1:8" x14ac:dyDescent="0.55000000000000004">
      <c r="A826" s="29"/>
      <c r="B826" s="29"/>
      <c r="C826" s="29"/>
      <c r="D826" s="29"/>
      <c r="E826" s="29"/>
      <c r="F826" s="30"/>
      <c r="G826" s="29"/>
      <c r="H826" s="3"/>
    </row>
    <row r="827" spans="1:8" x14ac:dyDescent="0.55000000000000004">
      <c r="A827" s="29"/>
      <c r="B827" s="29"/>
      <c r="C827" s="29"/>
      <c r="D827" s="29"/>
      <c r="E827" s="29"/>
      <c r="F827" s="30"/>
      <c r="G827" s="29"/>
      <c r="H827" s="3"/>
    </row>
    <row r="828" spans="1:8" x14ac:dyDescent="0.55000000000000004">
      <c r="A828" s="29"/>
      <c r="B828" s="29"/>
      <c r="C828" s="29"/>
      <c r="D828" s="29"/>
      <c r="E828" s="29"/>
      <c r="F828" s="30"/>
      <c r="G828" s="29"/>
      <c r="H828" s="3"/>
    </row>
    <row r="829" spans="1:8" x14ac:dyDescent="0.55000000000000004">
      <c r="A829" s="29"/>
      <c r="B829" s="29"/>
      <c r="C829" s="29"/>
      <c r="D829" s="29"/>
      <c r="E829" s="29"/>
      <c r="F829" s="30"/>
      <c r="G829" s="29"/>
      <c r="H829" s="3"/>
    </row>
    <row r="830" spans="1:8" x14ac:dyDescent="0.55000000000000004">
      <c r="A830" s="29"/>
      <c r="B830" s="29"/>
      <c r="C830" s="29"/>
      <c r="D830" s="29"/>
      <c r="E830" s="29"/>
      <c r="F830" s="30"/>
      <c r="G830" s="29"/>
      <c r="H830" s="3"/>
    </row>
    <row r="831" spans="1:8" x14ac:dyDescent="0.55000000000000004">
      <c r="A831" s="29"/>
      <c r="B831" s="29"/>
      <c r="C831" s="29"/>
      <c r="D831" s="29"/>
      <c r="E831" s="29"/>
      <c r="F831" s="30"/>
      <c r="G831" s="29"/>
      <c r="H831" s="3"/>
    </row>
    <row r="832" spans="1:8" x14ac:dyDescent="0.55000000000000004">
      <c r="A832" s="29"/>
      <c r="B832" s="29"/>
      <c r="C832" s="29"/>
      <c r="D832" s="29"/>
      <c r="E832" s="29"/>
      <c r="F832" s="30"/>
      <c r="G832" s="29"/>
      <c r="H832" s="3"/>
    </row>
    <row r="833" spans="1:8" x14ac:dyDescent="0.55000000000000004">
      <c r="A833" s="29"/>
      <c r="B833" s="29"/>
      <c r="C833" s="29"/>
      <c r="D833" s="29"/>
      <c r="E833" s="29"/>
      <c r="F833" s="30"/>
      <c r="G833" s="29"/>
      <c r="H833" s="3"/>
    </row>
    <row r="834" spans="1:8" x14ac:dyDescent="0.55000000000000004">
      <c r="A834" s="29"/>
      <c r="B834" s="29"/>
      <c r="C834" s="29"/>
      <c r="D834" s="29"/>
      <c r="E834" s="29"/>
      <c r="F834" s="30"/>
      <c r="G834" s="29"/>
      <c r="H834" s="3"/>
    </row>
    <row r="835" spans="1:8" x14ac:dyDescent="0.55000000000000004">
      <c r="A835" s="29"/>
      <c r="B835" s="29"/>
      <c r="C835" s="29"/>
      <c r="D835" s="29"/>
      <c r="E835" s="29"/>
      <c r="F835" s="30"/>
      <c r="G835" s="29"/>
      <c r="H835" s="3"/>
    </row>
    <row r="836" spans="1:8" x14ac:dyDescent="0.55000000000000004">
      <c r="A836" s="29"/>
      <c r="B836" s="29"/>
      <c r="C836" s="29"/>
      <c r="D836" s="29"/>
      <c r="E836" s="29"/>
      <c r="F836" s="30"/>
      <c r="G836" s="29"/>
      <c r="H836" s="3"/>
    </row>
    <row r="837" spans="1:8" x14ac:dyDescent="0.55000000000000004">
      <c r="A837" s="29"/>
      <c r="B837" s="29"/>
      <c r="C837" s="29"/>
      <c r="D837" s="29"/>
      <c r="E837" s="29"/>
      <c r="F837" s="30"/>
      <c r="G837" s="29"/>
      <c r="H837" s="3"/>
    </row>
    <row r="838" spans="1:8" x14ac:dyDescent="0.55000000000000004">
      <c r="A838" s="29"/>
      <c r="B838" s="29"/>
      <c r="C838" s="29"/>
      <c r="D838" s="29"/>
      <c r="E838" s="29"/>
      <c r="F838" s="30"/>
      <c r="G838" s="29"/>
      <c r="H838" s="3"/>
    </row>
    <row r="839" spans="1:8" x14ac:dyDescent="0.55000000000000004">
      <c r="A839" s="29"/>
      <c r="B839" s="29"/>
      <c r="C839" s="29"/>
      <c r="D839" s="29"/>
      <c r="E839" s="29"/>
      <c r="F839" s="30"/>
      <c r="G839" s="29"/>
      <c r="H839" s="3"/>
    </row>
    <row r="840" spans="1:8" x14ac:dyDescent="0.55000000000000004">
      <c r="A840" s="29"/>
      <c r="B840" s="29"/>
      <c r="C840" s="29"/>
      <c r="D840" s="29"/>
      <c r="E840" s="29"/>
      <c r="F840" s="30"/>
      <c r="G840" s="29"/>
      <c r="H840" s="3"/>
    </row>
    <row r="841" spans="1:8" x14ac:dyDescent="0.55000000000000004">
      <c r="A841" s="29"/>
      <c r="B841" s="29"/>
      <c r="C841" s="29"/>
      <c r="D841" s="29"/>
      <c r="E841" s="29"/>
      <c r="F841" s="30"/>
      <c r="G841" s="29"/>
      <c r="H841" s="3"/>
    </row>
    <row r="842" spans="1:8" x14ac:dyDescent="0.55000000000000004">
      <c r="A842" s="29"/>
      <c r="B842" s="29"/>
      <c r="C842" s="29"/>
      <c r="D842" s="29"/>
      <c r="E842" s="29"/>
      <c r="F842" s="30"/>
      <c r="G842" s="29"/>
      <c r="H842" s="3"/>
    </row>
    <row r="843" spans="1:8" x14ac:dyDescent="0.55000000000000004">
      <c r="A843" s="29"/>
      <c r="B843" s="29"/>
      <c r="C843" s="29"/>
      <c r="D843" s="29"/>
      <c r="E843" s="29"/>
      <c r="F843" s="30"/>
      <c r="G843" s="29"/>
      <c r="H843" s="3"/>
    </row>
    <row r="844" spans="1:8" x14ac:dyDescent="0.55000000000000004">
      <c r="A844" s="29"/>
      <c r="B844" s="29"/>
      <c r="C844" s="29"/>
      <c r="D844" s="29"/>
      <c r="E844" s="29"/>
      <c r="F844" s="30"/>
      <c r="G844" s="29"/>
      <c r="H844" s="3"/>
    </row>
    <row r="845" spans="1:8" x14ac:dyDescent="0.55000000000000004">
      <c r="A845" s="29"/>
      <c r="B845" s="29"/>
      <c r="C845" s="29"/>
      <c r="D845" s="29"/>
      <c r="E845" s="29"/>
      <c r="F845" s="30"/>
      <c r="G845" s="29"/>
      <c r="H845" s="3"/>
    </row>
    <row r="846" spans="1:8" x14ac:dyDescent="0.55000000000000004">
      <c r="A846" s="29"/>
      <c r="B846" s="29"/>
      <c r="C846" s="29"/>
      <c r="D846" s="29"/>
      <c r="E846" s="29"/>
      <c r="F846" s="30"/>
      <c r="G846" s="29"/>
      <c r="H846" s="3"/>
    </row>
    <row r="847" spans="1:8" x14ac:dyDescent="0.55000000000000004">
      <c r="A847" s="29"/>
      <c r="B847" s="29"/>
      <c r="C847" s="29"/>
      <c r="D847" s="29"/>
      <c r="E847" s="29"/>
      <c r="F847" s="30"/>
      <c r="G847" s="29"/>
      <c r="H847" s="3"/>
    </row>
    <row r="848" spans="1:8" x14ac:dyDescent="0.55000000000000004">
      <c r="A848" s="29"/>
      <c r="B848" s="29"/>
      <c r="C848" s="29"/>
      <c r="D848" s="29"/>
      <c r="E848" s="29"/>
      <c r="F848" s="30"/>
      <c r="G848" s="29"/>
      <c r="H848" s="3"/>
    </row>
    <row r="849" spans="1:8" x14ac:dyDescent="0.55000000000000004">
      <c r="A849" s="29"/>
      <c r="B849" s="29"/>
      <c r="C849" s="29"/>
      <c r="D849" s="29"/>
      <c r="E849" s="29"/>
      <c r="F849" s="30"/>
      <c r="G849" s="29"/>
      <c r="H849" s="3"/>
    </row>
    <row r="850" spans="1:8" x14ac:dyDescent="0.55000000000000004">
      <c r="A850" s="29"/>
      <c r="B850" s="29"/>
      <c r="C850" s="29"/>
      <c r="D850" s="29"/>
      <c r="E850" s="29"/>
      <c r="F850" s="30"/>
      <c r="G850" s="29"/>
      <c r="H850" s="3"/>
    </row>
    <row r="851" spans="1:8" x14ac:dyDescent="0.55000000000000004">
      <c r="A851" s="29"/>
      <c r="B851" s="29"/>
      <c r="C851" s="29"/>
      <c r="D851" s="29"/>
      <c r="E851" s="29"/>
      <c r="F851" s="30"/>
      <c r="G851" s="29"/>
      <c r="H851" s="3"/>
    </row>
    <row r="852" spans="1:8" x14ac:dyDescent="0.55000000000000004">
      <c r="A852" s="29"/>
      <c r="B852" s="29"/>
      <c r="C852" s="29"/>
      <c r="D852" s="29"/>
      <c r="E852" s="29"/>
      <c r="F852" s="30"/>
      <c r="G852" s="29"/>
      <c r="H852" s="3"/>
    </row>
    <row r="853" spans="1:8" x14ac:dyDescent="0.55000000000000004">
      <c r="A853" s="29"/>
      <c r="B853" s="29"/>
      <c r="C853" s="29"/>
      <c r="D853" s="29"/>
      <c r="E853" s="29"/>
      <c r="F853" s="30"/>
      <c r="G853" s="29"/>
      <c r="H853" s="3"/>
    </row>
    <row r="854" spans="1:8" x14ac:dyDescent="0.55000000000000004">
      <c r="A854" s="29"/>
      <c r="B854" s="29"/>
      <c r="C854" s="29"/>
      <c r="D854" s="29"/>
      <c r="E854" s="29"/>
      <c r="F854" s="30"/>
      <c r="G854" s="29"/>
      <c r="H854" s="3"/>
    </row>
    <row r="855" spans="1:8" x14ac:dyDescent="0.55000000000000004">
      <c r="A855" s="29"/>
      <c r="B855" s="29"/>
      <c r="C855" s="29"/>
      <c r="D855" s="29"/>
      <c r="E855" s="29"/>
      <c r="F855" s="30"/>
      <c r="G855" s="29"/>
      <c r="H855" s="3"/>
    </row>
    <row r="856" spans="1:8" x14ac:dyDescent="0.55000000000000004">
      <c r="A856" s="29"/>
      <c r="B856" s="29"/>
      <c r="C856" s="29"/>
      <c r="D856" s="29"/>
      <c r="E856" s="29"/>
      <c r="F856" s="30"/>
      <c r="G856" s="29"/>
      <c r="H856" s="3"/>
    </row>
    <row r="857" spans="1:8" x14ac:dyDescent="0.55000000000000004">
      <c r="A857" s="29"/>
      <c r="B857" s="29"/>
      <c r="C857" s="29"/>
      <c r="D857" s="29"/>
      <c r="E857" s="29"/>
      <c r="F857" s="30"/>
      <c r="G857" s="29"/>
      <c r="H857" s="3"/>
    </row>
    <row r="858" spans="1:8" x14ac:dyDescent="0.55000000000000004">
      <c r="A858" s="29"/>
      <c r="B858" s="29"/>
      <c r="C858" s="29"/>
      <c r="D858" s="29"/>
      <c r="E858" s="29"/>
      <c r="F858" s="30"/>
      <c r="G858" s="29"/>
      <c r="H858" s="3"/>
    </row>
    <row r="859" spans="1:8" x14ac:dyDescent="0.55000000000000004">
      <c r="A859" s="29"/>
      <c r="B859" s="29"/>
      <c r="C859" s="29"/>
      <c r="D859" s="29"/>
      <c r="E859" s="29"/>
      <c r="F859" s="30"/>
      <c r="G859" s="29"/>
      <c r="H859" s="3"/>
    </row>
    <row r="860" spans="1:8" x14ac:dyDescent="0.55000000000000004">
      <c r="A860" s="29"/>
      <c r="B860" s="29"/>
      <c r="C860" s="29"/>
      <c r="D860" s="29"/>
      <c r="E860" s="29"/>
      <c r="F860" s="30"/>
      <c r="G860" s="29"/>
      <c r="H860" s="3"/>
    </row>
    <row r="861" spans="1:8" x14ac:dyDescent="0.55000000000000004">
      <c r="A861" s="29"/>
      <c r="B861" s="29"/>
      <c r="C861" s="29"/>
      <c r="D861" s="29"/>
      <c r="E861" s="29"/>
      <c r="F861" s="30"/>
      <c r="G861" s="29"/>
      <c r="H861" s="3"/>
    </row>
    <row r="862" spans="1:8" x14ac:dyDescent="0.55000000000000004">
      <c r="A862" s="29"/>
      <c r="B862" s="29"/>
      <c r="C862" s="29"/>
      <c r="D862" s="29"/>
      <c r="E862" s="29"/>
      <c r="F862" s="30"/>
      <c r="G862" s="29"/>
      <c r="H862" s="3"/>
    </row>
    <row r="863" spans="1:8" x14ac:dyDescent="0.55000000000000004">
      <c r="A863" s="29"/>
      <c r="B863" s="29"/>
      <c r="C863" s="29"/>
      <c r="D863" s="29"/>
      <c r="E863" s="29"/>
      <c r="F863" s="30"/>
      <c r="G863" s="29"/>
      <c r="H863" s="3"/>
    </row>
    <row r="864" spans="1:8" x14ac:dyDescent="0.55000000000000004">
      <c r="A864" s="29"/>
      <c r="B864" s="29"/>
      <c r="C864" s="29"/>
      <c r="D864" s="29"/>
      <c r="E864" s="29"/>
      <c r="F864" s="30"/>
      <c r="G864" s="29"/>
      <c r="H864" s="3"/>
    </row>
    <row r="865" spans="1:8" x14ac:dyDescent="0.55000000000000004">
      <c r="A865" s="29"/>
      <c r="B865" s="29"/>
      <c r="C865" s="29"/>
      <c r="D865" s="29"/>
      <c r="E865" s="29"/>
      <c r="F865" s="30"/>
      <c r="G865" s="29"/>
      <c r="H865" s="3"/>
    </row>
    <row r="866" spans="1:8" x14ac:dyDescent="0.55000000000000004">
      <c r="A866" s="29"/>
      <c r="B866" s="29"/>
      <c r="C866" s="29"/>
      <c r="D866" s="29"/>
      <c r="E866" s="29"/>
      <c r="F866" s="30"/>
      <c r="G866" s="29"/>
      <c r="H866" s="3"/>
    </row>
    <row r="867" spans="1:8" x14ac:dyDescent="0.55000000000000004">
      <c r="A867" s="29"/>
      <c r="B867" s="29"/>
      <c r="C867" s="29"/>
      <c r="D867" s="29"/>
      <c r="E867" s="29"/>
      <c r="F867" s="30"/>
      <c r="G867" s="29"/>
      <c r="H867" s="3"/>
    </row>
    <row r="868" spans="1:8" x14ac:dyDescent="0.55000000000000004">
      <c r="A868" s="29"/>
      <c r="B868" s="29"/>
      <c r="C868" s="29"/>
      <c r="D868" s="29"/>
      <c r="E868" s="29"/>
      <c r="F868" s="30"/>
      <c r="G868" s="29"/>
      <c r="H868" s="3"/>
    </row>
    <row r="869" spans="1:8" x14ac:dyDescent="0.55000000000000004">
      <c r="A869" s="29"/>
      <c r="B869" s="29"/>
      <c r="C869" s="29"/>
      <c r="D869" s="29"/>
      <c r="E869" s="29"/>
      <c r="F869" s="30"/>
      <c r="G869" s="29"/>
      <c r="H869" s="3"/>
    </row>
    <row r="870" spans="1:8" x14ac:dyDescent="0.55000000000000004">
      <c r="A870" s="29"/>
      <c r="B870" s="29"/>
      <c r="C870" s="29"/>
      <c r="D870" s="29"/>
      <c r="E870" s="29"/>
      <c r="F870" s="30"/>
      <c r="G870" s="29"/>
      <c r="H870" s="3"/>
    </row>
    <row r="871" spans="1:8" x14ac:dyDescent="0.55000000000000004">
      <c r="A871" s="29"/>
      <c r="B871" s="29"/>
      <c r="C871" s="29"/>
      <c r="D871" s="29"/>
      <c r="E871" s="29"/>
      <c r="F871" s="30"/>
      <c r="G871" s="29"/>
      <c r="H871" s="3"/>
    </row>
    <row r="872" spans="1:8" x14ac:dyDescent="0.55000000000000004">
      <c r="A872" s="29"/>
      <c r="B872" s="29"/>
      <c r="C872" s="29"/>
      <c r="D872" s="29"/>
      <c r="E872" s="29"/>
      <c r="F872" s="30"/>
      <c r="G872" s="29"/>
      <c r="H872" s="3"/>
    </row>
    <row r="873" spans="1:8" x14ac:dyDescent="0.55000000000000004">
      <c r="A873" s="29"/>
      <c r="B873" s="29"/>
      <c r="C873" s="29"/>
      <c r="D873" s="29"/>
      <c r="E873" s="29"/>
      <c r="F873" s="30"/>
      <c r="G873" s="29"/>
      <c r="H873" s="3"/>
    </row>
    <row r="874" spans="1:8" x14ac:dyDescent="0.55000000000000004">
      <c r="A874" s="29"/>
      <c r="B874" s="29"/>
      <c r="C874" s="29"/>
      <c r="D874" s="29"/>
      <c r="E874" s="29"/>
      <c r="F874" s="30"/>
      <c r="G874" s="29"/>
      <c r="H874" s="3"/>
    </row>
    <row r="875" spans="1:8" x14ac:dyDescent="0.55000000000000004">
      <c r="A875" s="29"/>
      <c r="B875" s="29"/>
      <c r="C875" s="29"/>
      <c r="D875" s="29"/>
      <c r="E875" s="29"/>
      <c r="F875" s="30"/>
      <c r="G875" s="29"/>
      <c r="H875" s="3"/>
    </row>
    <row r="876" spans="1:8" x14ac:dyDescent="0.55000000000000004">
      <c r="A876" s="29"/>
      <c r="B876" s="29"/>
      <c r="C876" s="29"/>
      <c r="D876" s="29"/>
      <c r="E876" s="29"/>
      <c r="F876" s="30"/>
      <c r="G876" s="29"/>
      <c r="H876" s="3"/>
    </row>
    <row r="877" spans="1:8" x14ac:dyDescent="0.55000000000000004">
      <c r="A877" s="29"/>
      <c r="B877" s="29"/>
      <c r="C877" s="29"/>
      <c r="D877" s="29"/>
      <c r="E877" s="29"/>
      <c r="F877" s="30"/>
      <c r="G877" s="29"/>
      <c r="H877" s="3"/>
    </row>
    <row r="878" spans="1:8" x14ac:dyDescent="0.55000000000000004">
      <c r="A878" s="29"/>
      <c r="B878" s="29"/>
      <c r="C878" s="29"/>
      <c r="D878" s="29"/>
      <c r="E878" s="29"/>
      <c r="F878" s="30"/>
      <c r="G878" s="29"/>
      <c r="H878" s="3"/>
    </row>
    <row r="879" spans="1:8" x14ac:dyDescent="0.55000000000000004">
      <c r="A879" s="29"/>
      <c r="B879" s="29"/>
      <c r="C879" s="29"/>
      <c r="D879" s="29"/>
      <c r="E879" s="29"/>
      <c r="F879" s="30"/>
      <c r="G879" s="29"/>
      <c r="H879" s="3"/>
    </row>
    <row r="880" spans="1:8" x14ac:dyDescent="0.55000000000000004">
      <c r="A880" s="29"/>
      <c r="B880" s="29"/>
      <c r="C880" s="29"/>
      <c r="D880" s="29"/>
      <c r="E880" s="29"/>
      <c r="F880" s="30"/>
      <c r="G880" s="29"/>
      <c r="H880" s="3"/>
    </row>
    <row r="881" spans="1:8" x14ac:dyDescent="0.55000000000000004">
      <c r="A881" s="29"/>
      <c r="B881" s="29"/>
      <c r="C881" s="29"/>
      <c r="D881" s="29"/>
      <c r="E881" s="29"/>
      <c r="F881" s="30"/>
      <c r="G881" s="29"/>
      <c r="H881" s="3"/>
    </row>
    <row r="882" spans="1:8" x14ac:dyDescent="0.55000000000000004">
      <c r="A882" s="29"/>
      <c r="B882" s="29"/>
      <c r="C882" s="29"/>
      <c r="D882" s="29"/>
      <c r="E882" s="29"/>
      <c r="F882" s="30"/>
      <c r="G882" s="29"/>
      <c r="H882" s="3"/>
    </row>
    <row r="883" spans="1:8" x14ac:dyDescent="0.55000000000000004">
      <c r="A883" s="29"/>
      <c r="B883" s="29"/>
      <c r="C883" s="29"/>
      <c r="D883" s="29"/>
      <c r="E883" s="29"/>
      <c r="F883" s="30"/>
      <c r="G883" s="29"/>
      <c r="H883" s="3"/>
    </row>
    <row r="884" spans="1:8" x14ac:dyDescent="0.55000000000000004">
      <c r="A884" s="29"/>
      <c r="B884" s="29"/>
      <c r="C884" s="29"/>
      <c r="D884" s="29"/>
      <c r="E884" s="29"/>
      <c r="F884" s="30"/>
      <c r="G884" s="29"/>
      <c r="H884" s="3"/>
    </row>
    <row r="885" spans="1:8" x14ac:dyDescent="0.55000000000000004">
      <c r="A885" s="29"/>
      <c r="B885" s="29"/>
      <c r="C885" s="29"/>
      <c r="D885" s="29"/>
      <c r="E885" s="29"/>
      <c r="F885" s="30"/>
      <c r="G885" s="29"/>
      <c r="H885" s="3"/>
    </row>
    <row r="886" spans="1:8" x14ac:dyDescent="0.55000000000000004">
      <c r="A886" s="29"/>
      <c r="B886" s="29"/>
      <c r="C886" s="29"/>
      <c r="D886" s="29"/>
      <c r="E886" s="29"/>
      <c r="F886" s="30"/>
      <c r="G886" s="29"/>
      <c r="H886" s="3"/>
    </row>
    <row r="887" spans="1:8" x14ac:dyDescent="0.55000000000000004">
      <c r="A887" s="29"/>
      <c r="B887" s="29"/>
      <c r="C887" s="29"/>
      <c r="D887" s="29"/>
      <c r="E887" s="29"/>
      <c r="F887" s="30"/>
      <c r="G887" s="29"/>
      <c r="H887" s="3"/>
    </row>
    <row r="888" spans="1:8" x14ac:dyDescent="0.55000000000000004">
      <c r="A888" s="29"/>
      <c r="B888" s="29"/>
      <c r="C888" s="29"/>
      <c r="D888" s="29"/>
      <c r="E888" s="29"/>
      <c r="F888" s="30"/>
      <c r="G888" s="29"/>
      <c r="H888" s="3"/>
    </row>
    <row r="889" spans="1:8" x14ac:dyDescent="0.55000000000000004">
      <c r="A889" s="29"/>
      <c r="B889" s="29"/>
      <c r="C889" s="29"/>
      <c r="D889" s="29"/>
      <c r="E889" s="29"/>
      <c r="F889" s="30"/>
      <c r="G889" s="29"/>
      <c r="H889" s="3"/>
    </row>
    <row r="890" spans="1:8" x14ac:dyDescent="0.55000000000000004">
      <c r="A890" s="29"/>
      <c r="B890" s="29"/>
      <c r="C890" s="29"/>
      <c r="D890" s="29"/>
      <c r="E890" s="29"/>
      <c r="F890" s="30"/>
      <c r="G890" s="29"/>
      <c r="H890" s="3"/>
    </row>
    <row r="891" spans="1:8" x14ac:dyDescent="0.55000000000000004">
      <c r="A891" s="29"/>
      <c r="B891" s="29"/>
      <c r="C891" s="29"/>
      <c r="D891" s="29"/>
      <c r="E891" s="29"/>
      <c r="F891" s="30"/>
      <c r="G891" s="29"/>
      <c r="H891" s="3"/>
    </row>
    <row r="892" spans="1:8" x14ac:dyDescent="0.55000000000000004">
      <c r="A892" s="29"/>
      <c r="B892" s="29"/>
      <c r="C892" s="29"/>
      <c r="D892" s="29"/>
      <c r="E892" s="29"/>
      <c r="F892" s="30"/>
      <c r="G892" s="29"/>
      <c r="H892" s="3"/>
    </row>
    <row r="893" spans="1:8" x14ac:dyDescent="0.55000000000000004">
      <c r="A893" s="29"/>
      <c r="B893" s="29"/>
      <c r="C893" s="29"/>
      <c r="D893" s="29"/>
      <c r="E893" s="29"/>
      <c r="F893" s="30"/>
      <c r="G893" s="29"/>
      <c r="H893" s="3"/>
    </row>
    <row r="894" spans="1:8" x14ac:dyDescent="0.55000000000000004">
      <c r="A894" s="29"/>
      <c r="B894" s="29"/>
      <c r="C894" s="29"/>
      <c r="D894" s="29"/>
      <c r="E894" s="29"/>
      <c r="F894" s="30"/>
      <c r="G894" s="29"/>
      <c r="H894" s="3"/>
    </row>
    <row r="895" spans="1:8" x14ac:dyDescent="0.55000000000000004">
      <c r="A895" s="29"/>
      <c r="B895" s="29"/>
      <c r="C895" s="29"/>
      <c r="D895" s="29"/>
      <c r="E895" s="29"/>
      <c r="F895" s="30"/>
      <c r="G895" s="29"/>
      <c r="H895" s="3"/>
    </row>
    <row r="896" spans="1:8" x14ac:dyDescent="0.55000000000000004">
      <c r="A896" s="29"/>
      <c r="B896" s="29"/>
      <c r="C896" s="29"/>
      <c r="D896" s="29"/>
      <c r="E896" s="29"/>
      <c r="F896" s="30"/>
      <c r="G896" s="29"/>
      <c r="H896" s="3"/>
    </row>
    <row r="897" spans="1:8" x14ac:dyDescent="0.55000000000000004">
      <c r="A897" s="29"/>
      <c r="B897" s="29"/>
      <c r="C897" s="29"/>
      <c r="D897" s="29"/>
      <c r="E897" s="29"/>
      <c r="F897" s="30"/>
      <c r="G897" s="29"/>
      <c r="H897" s="3"/>
    </row>
    <row r="898" spans="1:8" x14ac:dyDescent="0.55000000000000004">
      <c r="A898" s="29"/>
      <c r="B898" s="29"/>
      <c r="C898" s="29"/>
      <c r="D898" s="29"/>
      <c r="E898" s="29"/>
      <c r="F898" s="30"/>
      <c r="G898" s="29"/>
      <c r="H898" s="3"/>
    </row>
    <row r="899" spans="1:8" x14ac:dyDescent="0.55000000000000004">
      <c r="A899" s="29"/>
      <c r="B899" s="29"/>
      <c r="C899" s="29"/>
      <c r="D899" s="29"/>
      <c r="E899" s="29"/>
      <c r="F899" s="30"/>
      <c r="G899" s="29"/>
      <c r="H899" s="3"/>
    </row>
    <row r="900" spans="1:8" x14ac:dyDescent="0.55000000000000004">
      <c r="A900" s="29"/>
      <c r="B900" s="29"/>
      <c r="C900" s="29"/>
      <c r="D900" s="29"/>
      <c r="E900" s="29"/>
      <c r="F900" s="30"/>
      <c r="G900" s="29"/>
      <c r="H900" s="3"/>
    </row>
    <row r="901" spans="1:8" x14ac:dyDescent="0.55000000000000004">
      <c r="A901" s="29"/>
      <c r="B901" s="29"/>
      <c r="C901" s="29"/>
      <c r="D901" s="29"/>
      <c r="E901" s="29"/>
      <c r="F901" s="30"/>
      <c r="G901" s="29"/>
      <c r="H901" s="3"/>
    </row>
    <row r="902" spans="1:8" x14ac:dyDescent="0.55000000000000004">
      <c r="A902" s="29"/>
      <c r="B902" s="29"/>
      <c r="C902" s="29"/>
      <c r="D902" s="29"/>
      <c r="E902" s="29"/>
      <c r="F902" s="30"/>
      <c r="G902" s="29"/>
      <c r="H902" s="3"/>
    </row>
    <row r="903" spans="1:8" x14ac:dyDescent="0.55000000000000004">
      <c r="A903" s="29"/>
      <c r="B903" s="29"/>
      <c r="C903" s="29"/>
      <c r="D903" s="29"/>
      <c r="E903" s="29"/>
      <c r="F903" s="30"/>
      <c r="G903" s="29"/>
      <c r="H903" s="3"/>
    </row>
    <row r="904" spans="1:8" x14ac:dyDescent="0.55000000000000004">
      <c r="A904" s="29"/>
      <c r="B904" s="29"/>
      <c r="C904" s="29"/>
      <c r="D904" s="29"/>
      <c r="E904" s="29"/>
      <c r="F904" s="30"/>
      <c r="G904" s="29"/>
      <c r="H904" s="3"/>
    </row>
    <row r="905" spans="1:8" x14ac:dyDescent="0.55000000000000004">
      <c r="A905" s="29"/>
      <c r="B905" s="29"/>
      <c r="C905" s="29"/>
      <c r="D905" s="29"/>
      <c r="E905" s="29"/>
      <c r="F905" s="30"/>
      <c r="G905" s="29"/>
      <c r="H905" s="3"/>
    </row>
    <row r="906" spans="1:8" x14ac:dyDescent="0.55000000000000004">
      <c r="A906" s="29"/>
      <c r="B906" s="29"/>
      <c r="C906" s="29"/>
      <c r="D906" s="29"/>
      <c r="E906" s="29"/>
      <c r="F906" s="30"/>
      <c r="G906" s="29"/>
      <c r="H906" s="3"/>
    </row>
    <row r="907" spans="1:8" x14ac:dyDescent="0.55000000000000004">
      <c r="A907" s="29"/>
      <c r="B907" s="29"/>
      <c r="C907" s="29"/>
      <c r="D907" s="29"/>
      <c r="E907" s="29"/>
      <c r="F907" s="30"/>
      <c r="G907" s="29"/>
      <c r="H907" s="3"/>
    </row>
    <row r="908" spans="1:8" x14ac:dyDescent="0.55000000000000004">
      <c r="A908" s="29"/>
      <c r="B908" s="29"/>
      <c r="C908" s="29"/>
      <c r="D908" s="29"/>
      <c r="E908" s="29"/>
      <c r="F908" s="30"/>
      <c r="G908" s="29"/>
      <c r="H908" s="3"/>
    </row>
    <row r="909" spans="1:8" x14ac:dyDescent="0.55000000000000004">
      <c r="A909" s="29"/>
      <c r="B909" s="29"/>
      <c r="C909" s="29"/>
      <c r="D909" s="29"/>
      <c r="E909" s="29"/>
      <c r="F909" s="30"/>
      <c r="G909" s="29"/>
      <c r="H909" s="3"/>
    </row>
    <row r="910" spans="1:8" x14ac:dyDescent="0.55000000000000004">
      <c r="A910" s="29"/>
      <c r="B910" s="29"/>
      <c r="C910" s="29"/>
      <c r="D910" s="29"/>
      <c r="E910" s="29"/>
      <c r="F910" s="30"/>
      <c r="G910" s="29"/>
      <c r="H910" s="3"/>
    </row>
    <row r="911" spans="1:8" x14ac:dyDescent="0.55000000000000004">
      <c r="A911" s="29"/>
      <c r="B911" s="29"/>
      <c r="C911" s="29"/>
      <c r="D911" s="29"/>
      <c r="E911" s="29"/>
      <c r="F911" s="30"/>
      <c r="G911" s="29"/>
      <c r="H911" s="3"/>
    </row>
    <row r="912" spans="1:8" x14ac:dyDescent="0.55000000000000004">
      <c r="A912" s="29"/>
      <c r="B912" s="29"/>
      <c r="C912" s="29"/>
      <c r="D912" s="29"/>
      <c r="E912" s="29"/>
      <c r="F912" s="30"/>
      <c r="G912" s="29"/>
      <c r="H912" s="3"/>
    </row>
    <row r="913" spans="1:8" x14ac:dyDescent="0.55000000000000004">
      <c r="A913" s="29"/>
      <c r="B913" s="29"/>
      <c r="C913" s="29"/>
      <c r="D913" s="29"/>
      <c r="E913" s="29"/>
      <c r="F913" s="30"/>
      <c r="G913" s="29"/>
      <c r="H913" s="3"/>
    </row>
    <row r="914" spans="1:8" x14ac:dyDescent="0.55000000000000004">
      <c r="A914" s="29"/>
      <c r="B914" s="29"/>
      <c r="C914" s="29"/>
      <c r="D914" s="29"/>
      <c r="E914" s="29"/>
      <c r="F914" s="30"/>
      <c r="G914" s="29"/>
      <c r="H914" s="3"/>
    </row>
    <row r="915" spans="1:8" x14ac:dyDescent="0.55000000000000004">
      <c r="A915" s="29"/>
      <c r="B915" s="29"/>
      <c r="C915" s="29"/>
      <c r="D915" s="29"/>
      <c r="E915" s="29"/>
      <c r="F915" s="30"/>
      <c r="G915" s="29"/>
      <c r="H915" s="3"/>
    </row>
    <row r="916" spans="1:8" x14ac:dyDescent="0.55000000000000004">
      <c r="A916" s="29"/>
      <c r="B916" s="29"/>
      <c r="C916" s="29"/>
      <c r="D916" s="29"/>
      <c r="E916" s="29"/>
      <c r="F916" s="30"/>
      <c r="G916" s="29"/>
      <c r="H916" s="3"/>
    </row>
    <row r="917" spans="1:8" x14ac:dyDescent="0.55000000000000004">
      <c r="A917" s="29"/>
      <c r="B917" s="29"/>
      <c r="C917" s="29"/>
      <c r="D917" s="29"/>
      <c r="E917" s="29"/>
      <c r="F917" s="30"/>
      <c r="G917" s="29"/>
      <c r="H917" s="3"/>
    </row>
    <row r="918" spans="1:8" x14ac:dyDescent="0.55000000000000004">
      <c r="A918" s="29"/>
      <c r="B918" s="29"/>
      <c r="C918" s="29"/>
      <c r="D918" s="29"/>
      <c r="E918" s="29"/>
      <c r="F918" s="30"/>
      <c r="G918" s="29"/>
      <c r="H918" s="3"/>
    </row>
    <row r="919" spans="1:8" x14ac:dyDescent="0.55000000000000004">
      <c r="A919" s="29"/>
      <c r="B919" s="29"/>
      <c r="C919" s="29"/>
      <c r="D919" s="29"/>
      <c r="E919" s="29"/>
      <c r="F919" s="30"/>
      <c r="G919" s="29"/>
      <c r="H919" s="3"/>
    </row>
    <row r="920" spans="1:8" x14ac:dyDescent="0.55000000000000004">
      <c r="A920" s="29"/>
      <c r="B920" s="29"/>
      <c r="C920" s="29"/>
      <c r="D920" s="29"/>
      <c r="E920" s="29"/>
      <c r="F920" s="30"/>
      <c r="G920" s="29"/>
      <c r="H920" s="3"/>
    </row>
    <row r="921" spans="1:8" x14ac:dyDescent="0.55000000000000004">
      <c r="A921" s="29"/>
      <c r="B921" s="29"/>
      <c r="C921" s="29"/>
      <c r="D921" s="29"/>
      <c r="E921" s="29"/>
      <c r="F921" s="30"/>
      <c r="G921" s="29"/>
      <c r="H921" s="3"/>
    </row>
    <row r="922" spans="1:8" x14ac:dyDescent="0.55000000000000004">
      <c r="A922" s="29"/>
      <c r="B922" s="29"/>
      <c r="C922" s="29"/>
      <c r="D922" s="29"/>
      <c r="E922" s="29"/>
      <c r="F922" s="30"/>
      <c r="G922" s="29"/>
      <c r="H922" s="3"/>
    </row>
    <row r="923" spans="1:8" x14ac:dyDescent="0.55000000000000004">
      <c r="A923" s="29"/>
      <c r="B923" s="29"/>
      <c r="C923" s="29"/>
      <c r="D923" s="29"/>
      <c r="E923" s="29"/>
      <c r="F923" s="30"/>
      <c r="G923" s="29"/>
      <c r="H923" s="3"/>
    </row>
    <row r="924" spans="1:8" x14ac:dyDescent="0.55000000000000004">
      <c r="A924" s="29"/>
      <c r="B924" s="29"/>
      <c r="C924" s="29"/>
      <c r="D924" s="29"/>
      <c r="E924" s="29"/>
      <c r="F924" s="30"/>
      <c r="G924" s="29"/>
      <c r="H924" s="3"/>
    </row>
    <row r="925" spans="1:8" x14ac:dyDescent="0.55000000000000004">
      <c r="A925" s="29"/>
      <c r="B925" s="29"/>
      <c r="C925" s="29"/>
      <c r="D925" s="29"/>
      <c r="E925" s="29"/>
      <c r="F925" s="30"/>
      <c r="G925" s="29"/>
      <c r="H925" s="3"/>
    </row>
    <row r="926" spans="1:8" x14ac:dyDescent="0.55000000000000004">
      <c r="A926" s="29"/>
      <c r="B926" s="29"/>
      <c r="C926" s="29"/>
      <c r="D926" s="29"/>
      <c r="E926" s="29"/>
      <c r="F926" s="30"/>
      <c r="G926" s="29"/>
      <c r="H926" s="3"/>
    </row>
    <row r="927" spans="1:8" x14ac:dyDescent="0.55000000000000004">
      <c r="A927" s="29"/>
      <c r="B927" s="29"/>
      <c r="C927" s="29"/>
      <c r="D927" s="29"/>
      <c r="E927" s="29"/>
      <c r="F927" s="30"/>
      <c r="G927" s="29"/>
      <c r="H927" s="3"/>
    </row>
    <row r="928" spans="1:8" x14ac:dyDescent="0.55000000000000004">
      <c r="A928" s="29"/>
      <c r="B928" s="29"/>
      <c r="C928" s="29"/>
      <c r="D928" s="29"/>
      <c r="E928" s="29"/>
      <c r="F928" s="30"/>
      <c r="G928" s="29"/>
      <c r="H928" s="3"/>
    </row>
    <row r="929" spans="1:8" x14ac:dyDescent="0.55000000000000004">
      <c r="A929" s="29"/>
      <c r="B929" s="29"/>
      <c r="C929" s="29"/>
      <c r="D929" s="29"/>
      <c r="E929" s="29"/>
      <c r="F929" s="30"/>
      <c r="G929" s="29"/>
      <c r="H929" s="3"/>
    </row>
    <row r="930" spans="1:8" x14ac:dyDescent="0.55000000000000004">
      <c r="A930" s="29"/>
      <c r="B930" s="29"/>
      <c r="C930" s="29"/>
      <c r="D930" s="29"/>
      <c r="E930" s="29"/>
      <c r="F930" s="30"/>
      <c r="G930" s="29"/>
      <c r="H930" s="3"/>
    </row>
    <row r="931" spans="1:8" x14ac:dyDescent="0.55000000000000004">
      <c r="A931" s="29"/>
      <c r="B931" s="29"/>
      <c r="C931" s="29"/>
      <c r="D931" s="29"/>
      <c r="E931" s="29"/>
      <c r="F931" s="30"/>
      <c r="G931" s="29"/>
      <c r="H931" s="3"/>
    </row>
    <row r="932" spans="1:8" x14ac:dyDescent="0.55000000000000004">
      <c r="A932" s="29"/>
      <c r="B932" s="29"/>
      <c r="C932" s="29"/>
      <c r="D932" s="29"/>
      <c r="E932" s="29"/>
      <c r="F932" s="30"/>
      <c r="G932" s="29"/>
      <c r="H932" s="3"/>
    </row>
    <row r="933" spans="1:8" x14ac:dyDescent="0.55000000000000004">
      <c r="A933" s="29"/>
      <c r="B933" s="29"/>
      <c r="C933" s="29"/>
      <c r="D933" s="29"/>
      <c r="E933" s="29"/>
      <c r="F933" s="30"/>
      <c r="G933" s="29"/>
      <c r="H933" s="3"/>
    </row>
    <row r="934" spans="1:8" x14ac:dyDescent="0.55000000000000004">
      <c r="A934" s="29"/>
      <c r="B934" s="29"/>
      <c r="C934" s="29"/>
      <c r="D934" s="29"/>
      <c r="E934" s="29"/>
      <c r="F934" s="30"/>
      <c r="G934" s="29"/>
      <c r="H934" s="3"/>
    </row>
    <row r="935" spans="1:8" x14ac:dyDescent="0.55000000000000004">
      <c r="A935" s="29"/>
      <c r="B935" s="29"/>
      <c r="C935" s="29"/>
      <c r="D935" s="29"/>
      <c r="E935" s="29"/>
      <c r="F935" s="30"/>
      <c r="G935" s="29"/>
      <c r="H935" s="3"/>
    </row>
    <row r="936" spans="1:8" x14ac:dyDescent="0.55000000000000004">
      <c r="A936" s="29"/>
      <c r="B936" s="29"/>
      <c r="C936" s="29"/>
      <c r="D936" s="29"/>
      <c r="E936" s="29"/>
      <c r="F936" s="30"/>
      <c r="G936" s="29"/>
      <c r="H936" s="3"/>
    </row>
    <row r="937" spans="1:8" x14ac:dyDescent="0.55000000000000004">
      <c r="A937" s="29"/>
      <c r="B937" s="29"/>
      <c r="C937" s="29"/>
      <c r="D937" s="29"/>
      <c r="E937" s="29"/>
      <c r="F937" s="30"/>
      <c r="G937" s="29"/>
      <c r="H937" s="3"/>
    </row>
    <row r="938" spans="1:8" x14ac:dyDescent="0.55000000000000004">
      <c r="A938" s="29"/>
      <c r="B938" s="29"/>
      <c r="C938" s="29"/>
      <c r="D938" s="29"/>
      <c r="E938" s="29"/>
      <c r="F938" s="30"/>
      <c r="G938" s="29"/>
      <c r="H938" s="3"/>
    </row>
    <row r="939" spans="1:8" x14ac:dyDescent="0.55000000000000004">
      <c r="A939" s="29"/>
      <c r="B939" s="29"/>
      <c r="C939" s="29"/>
      <c r="D939" s="29"/>
      <c r="E939" s="29"/>
      <c r="F939" s="30"/>
      <c r="G939" s="29"/>
      <c r="H939" s="3"/>
    </row>
    <row r="940" spans="1:8" x14ac:dyDescent="0.55000000000000004">
      <c r="A940" s="29"/>
      <c r="B940" s="29"/>
      <c r="C940" s="29"/>
      <c r="D940" s="29"/>
      <c r="E940" s="29"/>
      <c r="F940" s="30"/>
      <c r="G940" s="29"/>
      <c r="H940" s="3"/>
    </row>
    <row r="941" spans="1:8" x14ac:dyDescent="0.55000000000000004">
      <c r="A941" s="29"/>
      <c r="B941" s="29"/>
      <c r="C941" s="29"/>
      <c r="D941" s="29"/>
      <c r="E941" s="29"/>
      <c r="F941" s="30"/>
      <c r="G941" s="29"/>
      <c r="H941" s="3"/>
    </row>
    <row r="942" spans="1:8" x14ac:dyDescent="0.55000000000000004">
      <c r="A942" s="29"/>
      <c r="B942" s="29"/>
      <c r="C942" s="29"/>
      <c r="D942" s="29"/>
      <c r="E942" s="29"/>
      <c r="F942" s="30"/>
      <c r="G942" s="29"/>
      <c r="H942" s="3"/>
    </row>
    <row r="943" spans="1:8" x14ac:dyDescent="0.55000000000000004">
      <c r="A943" s="29"/>
      <c r="B943" s="29"/>
      <c r="C943" s="29"/>
      <c r="D943" s="29"/>
      <c r="E943" s="29"/>
      <c r="F943" s="30"/>
      <c r="G943" s="29"/>
      <c r="H943" s="3"/>
    </row>
    <row r="944" spans="1:8" x14ac:dyDescent="0.55000000000000004">
      <c r="A944" s="29"/>
      <c r="B944" s="29"/>
      <c r="C944" s="29"/>
      <c r="D944" s="29"/>
      <c r="E944" s="29"/>
      <c r="F944" s="30"/>
      <c r="G944" s="29"/>
      <c r="H944" s="3"/>
    </row>
    <row r="945" spans="1:8" x14ac:dyDescent="0.55000000000000004">
      <c r="A945" s="29"/>
      <c r="B945" s="29"/>
      <c r="C945" s="29"/>
      <c r="D945" s="29"/>
      <c r="E945" s="29"/>
      <c r="F945" s="30"/>
      <c r="G945" s="29"/>
      <c r="H945" s="3"/>
    </row>
    <row r="946" spans="1:8" x14ac:dyDescent="0.55000000000000004">
      <c r="A946" s="29"/>
      <c r="B946" s="29"/>
      <c r="C946" s="29"/>
      <c r="D946" s="29"/>
      <c r="E946" s="29"/>
      <c r="F946" s="30"/>
      <c r="G946" s="29"/>
      <c r="H946" s="3"/>
    </row>
    <row r="947" spans="1:8" x14ac:dyDescent="0.55000000000000004">
      <c r="A947" s="29"/>
      <c r="B947" s="29"/>
      <c r="C947" s="29"/>
      <c r="D947" s="29"/>
      <c r="E947" s="29"/>
      <c r="F947" s="30"/>
      <c r="G947" s="29"/>
      <c r="H947" s="3"/>
    </row>
    <row r="948" spans="1:8" x14ac:dyDescent="0.55000000000000004">
      <c r="A948" s="29"/>
      <c r="B948" s="29"/>
      <c r="C948" s="29"/>
      <c r="D948" s="29"/>
      <c r="E948" s="29"/>
      <c r="F948" s="30"/>
      <c r="G948" s="29"/>
      <c r="H948" s="3"/>
    </row>
    <row r="949" spans="1:8" x14ac:dyDescent="0.55000000000000004">
      <c r="A949" s="29"/>
      <c r="B949" s="29"/>
      <c r="C949" s="29"/>
      <c r="D949" s="29"/>
      <c r="E949" s="29"/>
      <c r="F949" s="30"/>
      <c r="G949" s="29"/>
      <c r="H949" s="3"/>
    </row>
    <row r="950" spans="1:8" x14ac:dyDescent="0.55000000000000004">
      <c r="A950" s="29"/>
      <c r="B950" s="29"/>
      <c r="C950" s="29"/>
      <c r="D950" s="29"/>
      <c r="E950" s="29"/>
      <c r="F950" s="30"/>
      <c r="G950" s="29"/>
      <c r="H950" s="3"/>
    </row>
    <row r="951" spans="1:8" x14ac:dyDescent="0.55000000000000004">
      <c r="A951" s="29"/>
      <c r="B951" s="29"/>
      <c r="C951" s="29"/>
      <c r="D951" s="29"/>
      <c r="E951" s="29"/>
      <c r="F951" s="30"/>
      <c r="G951" s="29"/>
      <c r="H951" s="3"/>
    </row>
    <row r="952" spans="1:8" x14ac:dyDescent="0.55000000000000004">
      <c r="A952" s="29"/>
      <c r="B952" s="29"/>
      <c r="C952" s="29"/>
      <c r="D952" s="29"/>
      <c r="E952" s="29"/>
      <c r="F952" s="30"/>
      <c r="G952" s="29"/>
      <c r="H952" s="3"/>
    </row>
    <row r="953" spans="1:8" x14ac:dyDescent="0.55000000000000004">
      <c r="A953" s="29"/>
      <c r="B953" s="29"/>
      <c r="C953" s="29"/>
      <c r="D953" s="29"/>
      <c r="E953" s="29"/>
      <c r="F953" s="30"/>
      <c r="G953" s="29"/>
      <c r="H953" s="3"/>
    </row>
    <row r="954" spans="1:8" x14ac:dyDescent="0.55000000000000004">
      <c r="A954" s="29"/>
      <c r="B954" s="29"/>
      <c r="C954" s="29"/>
      <c r="D954" s="29"/>
      <c r="E954" s="29"/>
      <c r="F954" s="30"/>
      <c r="G954" s="29"/>
      <c r="H954" s="3"/>
    </row>
    <row r="955" spans="1:8" x14ac:dyDescent="0.55000000000000004">
      <c r="A955" s="29"/>
      <c r="B955" s="29"/>
      <c r="C955" s="29"/>
      <c r="D955" s="29"/>
      <c r="E955" s="29"/>
      <c r="F955" s="30"/>
      <c r="G955" s="29"/>
      <c r="H955" s="3"/>
    </row>
    <row r="956" spans="1:8" x14ac:dyDescent="0.55000000000000004">
      <c r="A956" s="29"/>
      <c r="B956" s="29"/>
      <c r="C956" s="29"/>
      <c r="D956" s="29"/>
      <c r="E956" s="29"/>
      <c r="F956" s="30"/>
      <c r="G956" s="29"/>
      <c r="H956" s="3"/>
    </row>
    <row r="957" spans="1:8" x14ac:dyDescent="0.55000000000000004">
      <c r="A957" s="29"/>
      <c r="B957" s="29"/>
      <c r="C957" s="29"/>
      <c r="D957" s="29"/>
      <c r="E957" s="29"/>
      <c r="F957" s="30"/>
      <c r="G957" s="29"/>
      <c r="H957" s="3"/>
    </row>
    <row r="958" spans="1:8" x14ac:dyDescent="0.55000000000000004">
      <c r="A958" s="29"/>
      <c r="B958" s="29"/>
      <c r="C958" s="29"/>
      <c r="D958" s="29"/>
      <c r="E958" s="29"/>
      <c r="F958" s="30"/>
      <c r="G958" s="29"/>
      <c r="H958" s="3"/>
    </row>
    <row r="959" spans="1:8" x14ac:dyDescent="0.55000000000000004">
      <c r="A959" s="29"/>
      <c r="B959" s="29"/>
      <c r="C959" s="29"/>
      <c r="D959" s="29"/>
      <c r="E959" s="29"/>
      <c r="F959" s="30"/>
      <c r="G959" s="29"/>
      <c r="H959" s="3"/>
    </row>
    <row r="960" spans="1:8" x14ac:dyDescent="0.55000000000000004">
      <c r="A960" s="29"/>
      <c r="B960" s="29"/>
      <c r="C960" s="29"/>
      <c r="D960" s="29"/>
      <c r="E960" s="29"/>
      <c r="F960" s="30"/>
      <c r="G960" s="29"/>
      <c r="H960" s="3"/>
    </row>
    <row r="961" spans="1:8" x14ac:dyDescent="0.55000000000000004">
      <c r="A961" s="29"/>
      <c r="B961" s="29"/>
      <c r="C961" s="29"/>
      <c r="D961" s="29"/>
      <c r="E961" s="29"/>
      <c r="F961" s="30"/>
      <c r="G961" s="29"/>
      <c r="H961" s="3"/>
    </row>
    <row r="962" spans="1:8" x14ac:dyDescent="0.55000000000000004">
      <c r="A962" s="29"/>
      <c r="B962" s="29"/>
      <c r="C962" s="29"/>
      <c r="D962" s="29"/>
      <c r="E962" s="29"/>
      <c r="F962" s="30"/>
      <c r="G962" s="29"/>
      <c r="H962" s="3"/>
    </row>
    <row r="963" spans="1:8" x14ac:dyDescent="0.55000000000000004">
      <c r="A963" s="29"/>
      <c r="B963" s="29"/>
      <c r="C963" s="29"/>
      <c r="D963" s="29"/>
      <c r="E963" s="29"/>
      <c r="F963" s="30"/>
      <c r="G963" s="29"/>
      <c r="H963" s="3"/>
    </row>
    <row r="964" spans="1:8" x14ac:dyDescent="0.55000000000000004">
      <c r="A964" s="29"/>
      <c r="B964" s="29"/>
      <c r="C964" s="29"/>
      <c r="D964" s="29"/>
      <c r="E964" s="29"/>
      <c r="F964" s="30"/>
      <c r="G964" s="29"/>
      <c r="H964" s="3"/>
    </row>
    <row r="965" spans="1:8" x14ac:dyDescent="0.55000000000000004">
      <c r="A965" s="29"/>
      <c r="B965" s="29"/>
      <c r="C965" s="29"/>
      <c r="D965" s="29"/>
      <c r="E965" s="29"/>
      <c r="F965" s="30"/>
      <c r="G965" s="29"/>
      <c r="H965" s="3"/>
    </row>
    <row r="966" spans="1:8" x14ac:dyDescent="0.55000000000000004">
      <c r="A966" s="29"/>
      <c r="B966" s="29"/>
      <c r="C966" s="29"/>
      <c r="D966" s="29"/>
      <c r="E966" s="29"/>
      <c r="F966" s="30"/>
      <c r="G966" s="29"/>
      <c r="H966" s="3"/>
    </row>
    <row r="967" spans="1:8" x14ac:dyDescent="0.55000000000000004">
      <c r="A967" s="29"/>
      <c r="B967" s="29"/>
      <c r="C967" s="29"/>
      <c r="D967" s="29"/>
      <c r="E967" s="29"/>
      <c r="F967" s="30"/>
      <c r="G967" s="29"/>
      <c r="H967" s="3"/>
    </row>
    <row r="968" spans="1:8" x14ac:dyDescent="0.55000000000000004">
      <c r="A968" s="29"/>
      <c r="B968" s="29"/>
      <c r="C968" s="29"/>
      <c r="D968" s="29"/>
      <c r="E968" s="29"/>
      <c r="F968" s="30"/>
      <c r="G968" s="29"/>
      <c r="H968" s="3"/>
    </row>
    <row r="969" spans="1:8" x14ac:dyDescent="0.55000000000000004">
      <c r="A969" s="29"/>
      <c r="B969" s="29"/>
      <c r="C969" s="29"/>
      <c r="D969" s="29"/>
      <c r="E969" s="29"/>
      <c r="F969" s="30"/>
      <c r="G969" s="29"/>
      <c r="H969" s="3"/>
    </row>
    <row r="970" spans="1:8" x14ac:dyDescent="0.55000000000000004">
      <c r="A970" s="29"/>
      <c r="B970" s="29"/>
      <c r="C970" s="29"/>
      <c r="D970" s="29"/>
      <c r="E970" s="29"/>
      <c r="F970" s="30"/>
      <c r="G970" s="29"/>
      <c r="H970" s="3"/>
    </row>
    <row r="971" spans="1:8" x14ac:dyDescent="0.55000000000000004">
      <c r="A971" s="29"/>
      <c r="B971" s="29"/>
      <c r="C971" s="29"/>
      <c r="D971" s="29"/>
      <c r="E971" s="29"/>
      <c r="F971" s="30"/>
      <c r="G971" s="29"/>
      <c r="H971" s="3"/>
    </row>
    <row r="972" spans="1:8" x14ac:dyDescent="0.55000000000000004">
      <c r="A972" s="29"/>
      <c r="B972" s="29"/>
      <c r="C972" s="29"/>
      <c r="D972" s="29"/>
      <c r="E972" s="29"/>
      <c r="F972" s="30"/>
      <c r="G972" s="29"/>
      <c r="H972" s="3"/>
    </row>
    <row r="973" spans="1:8" x14ac:dyDescent="0.55000000000000004">
      <c r="A973" s="29"/>
      <c r="B973" s="29"/>
      <c r="C973" s="29"/>
      <c r="D973" s="29"/>
      <c r="E973" s="29"/>
      <c r="F973" s="30"/>
      <c r="G973" s="29"/>
      <c r="H973" s="3"/>
    </row>
    <row r="974" spans="1:8" x14ac:dyDescent="0.55000000000000004">
      <c r="A974" s="29"/>
      <c r="B974" s="29"/>
      <c r="C974" s="29"/>
      <c r="D974" s="29"/>
      <c r="E974" s="29"/>
      <c r="F974" s="30"/>
      <c r="G974" s="29"/>
      <c r="H974" s="3"/>
    </row>
    <row r="975" spans="1:8" x14ac:dyDescent="0.55000000000000004">
      <c r="A975" s="29"/>
      <c r="B975" s="29"/>
      <c r="C975" s="29"/>
      <c r="D975" s="29"/>
      <c r="E975" s="29"/>
      <c r="F975" s="30"/>
      <c r="G975" s="29"/>
      <c r="H975" s="3"/>
    </row>
    <row r="976" spans="1:8" x14ac:dyDescent="0.55000000000000004">
      <c r="A976" s="29"/>
      <c r="B976" s="29"/>
      <c r="C976" s="29"/>
      <c r="D976" s="29"/>
      <c r="E976" s="29"/>
      <c r="F976" s="30"/>
      <c r="G976" s="29"/>
      <c r="H976" s="3"/>
    </row>
    <row r="977" spans="1:8" x14ac:dyDescent="0.55000000000000004">
      <c r="A977" s="29"/>
      <c r="B977" s="29"/>
      <c r="C977" s="29"/>
      <c r="D977" s="29"/>
      <c r="E977" s="29"/>
      <c r="F977" s="30"/>
      <c r="G977" s="29"/>
      <c r="H977" s="3"/>
    </row>
    <row r="978" spans="1:8" x14ac:dyDescent="0.55000000000000004">
      <c r="A978" s="29"/>
      <c r="B978" s="29"/>
      <c r="C978" s="29"/>
      <c r="D978" s="29"/>
      <c r="E978" s="29"/>
      <c r="F978" s="30"/>
      <c r="G978" s="29"/>
      <c r="H978" s="3"/>
    </row>
    <row r="979" spans="1:8" x14ac:dyDescent="0.55000000000000004">
      <c r="A979" s="29"/>
      <c r="B979" s="29"/>
      <c r="C979" s="29"/>
      <c r="D979" s="29"/>
      <c r="E979" s="29"/>
      <c r="F979" s="30"/>
      <c r="G979" s="29"/>
      <c r="H979" s="3"/>
    </row>
    <row r="980" spans="1:8" x14ac:dyDescent="0.55000000000000004">
      <c r="A980" s="29"/>
      <c r="B980" s="29"/>
      <c r="C980" s="29"/>
      <c r="D980" s="29"/>
      <c r="E980" s="29"/>
      <c r="F980" s="30"/>
      <c r="G980" s="29"/>
      <c r="H980" s="3"/>
    </row>
    <row r="981" spans="1:8" x14ac:dyDescent="0.55000000000000004">
      <c r="A981" s="29"/>
      <c r="B981" s="29"/>
      <c r="C981" s="29"/>
      <c r="D981" s="29"/>
      <c r="E981" s="29"/>
      <c r="F981" s="30"/>
      <c r="G981" s="29"/>
      <c r="H981" s="3"/>
    </row>
    <row r="982" spans="1:8" x14ac:dyDescent="0.55000000000000004">
      <c r="A982" s="29"/>
      <c r="B982" s="29"/>
      <c r="C982" s="29"/>
      <c r="D982" s="29"/>
      <c r="E982" s="29"/>
      <c r="F982" s="30"/>
      <c r="G982" s="29"/>
      <c r="H982" s="3"/>
    </row>
    <row r="983" spans="1:8" x14ac:dyDescent="0.55000000000000004">
      <c r="A983" s="29"/>
      <c r="B983" s="29"/>
      <c r="C983" s="29"/>
      <c r="D983" s="29"/>
      <c r="E983" s="29"/>
      <c r="F983" s="30"/>
      <c r="G983" s="29"/>
      <c r="H983" s="3"/>
    </row>
    <row r="984" spans="1:8" x14ac:dyDescent="0.55000000000000004">
      <c r="A984" s="29"/>
      <c r="B984" s="29"/>
      <c r="C984" s="29"/>
      <c r="D984" s="29"/>
      <c r="E984" s="29"/>
      <c r="F984" s="30"/>
      <c r="G984" s="29"/>
      <c r="H984" s="3"/>
    </row>
    <row r="985" spans="1:8" x14ac:dyDescent="0.55000000000000004">
      <c r="A985" s="29"/>
      <c r="B985" s="29"/>
      <c r="C985" s="29"/>
      <c r="D985" s="29"/>
      <c r="E985" s="29"/>
      <c r="F985" s="30"/>
      <c r="G985" s="29"/>
      <c r="H985" s="3"/>
    </row>
    <row r="986" spans="1:8" x14ac:dyDescent="0.55000000000000004">
      <c r="A986" s="29"/>
      <c r="B986" s="29"/>
      <c r="C986" s="29"/>
      <c r="D986" s="29"/>
      <c r="E986" s="29"/>
      <c r="F986" s="30"/>
      <c r="G986" s="29"/>
      <c r="H986" s="3"/>
    </row>
    <row r="987" spans="1:8" x14ac:dyDescent="0.55000000000000004">
      <c r="A987" s="29"/>
      <c r="B987" s="29"/>
      <c r="C987" s="29"/>
      <c r="D987" s="29"/>
      <c r="E987" s="29"/>
      <c r="F987" s="30"/>
      <c r="G987" s="29"/>
      <c r="H987" s="3"/>
    </row>
    <row r="988" spans="1:8" x14ac:dyDescent="0.55000000000000004">
      <c r="A988" s="29"/>
      <c r="B988" s="29"/>
      <c r="C988" s="29"/>
      <c r="D988" s="29"/>
      <c r="E988" s="29"/>
      <c r="F988" s="30"/>
      <c r="G988" s="29"/>
      <c r="H988" s="3"/>
    </row>
    <row r="989" spans="1:8" x14ac:dyDescent="0.55000000000000004">
      <c r="A989" s="29"/>
      <c r="B989" s="29"/>
      <c r="C989" s="29"/>
      <c r="D989" s="29"/>
      <c r="E989" s="29"/>
      <c r="F989" s="30"/>
      <c r="G989" s="29"/>
      <c r="H989" s="3"/>
    </row>
    <row r="990" spans="1:8" x14ac:dyDescent="0.55000000000000004">
      <c r="A990" s="29"/>
      <c r="B990" s="29"/>
      <c r="C990" s="29"/>
      <c r="D990" s="29"/>
      <c r="E990" s="29"/>
      <c r="F990" s="30"/>
      <c r="G990" s="29"/>
      <c r="H990" s="3"/>
    </row>
    <row r="991" spans="1:8" x14ac:dyDescent="0.55000000000000004">
      <c r="A991" s="29"/>
      <c r="B991" s="29"/>
      <c r="C991" s="29"/>
      <c r="D991" s="29"/>
      <c r="E991" s="29"/>
      <c r="F991" s="30"/>
      <c r="G991" s="29"/>
      <c r="H991" s="3"/>
    </row>
    <row r="992" spans="1:8" x14ac:dyDescent="0.55000000000000004">
      <c r="A992" s="29"/>
      <c r="B992" s="29"/>
      <c r="C992" s="29"/>
      <c r="D992" s="29"/>
      <c r="E992" s="29"/>
      <c r="F992" s="30"/>
      <c r="G992" s="29"/>
      <c r="H992" s="3"/>
    </row>
    <row r="993" spans="1:8" x14ac:dyDescent="0.55000000000000004">
      <c r="A993" s="29"/>
      <c r="B993" s="29"/>
      <c r="C993" s="29"/>
      <c r="D993" s="29"/>
      <c r="E993" s="29"/>
      <c r="F993" s="30"/>
      <c r="G993" s="29"/>
      <c r="H993" s="3"/>
    </row>
    <row r="994" spans="1:8" x14ac:dyDescent="0.55000000000000004">
      <c r="A994" s="29"/>
      <c r="B994" s="29"/>
      <c r="C994" s="29"/>
      <c r="D994" s="29"/>
      <c r="E994" s="29"/>
      <c r="F994" s="30"/>
      <c r="G994" s="29"/>
      <c r="H994" s="3"/>
    </row>
    <row r="995" spans="1:8" x14ac:dyDescent="0.55000000000000004">
      <c r="A995" s="29"/>
      <c r="B995" s="29"/>
      <c r="C995" s="29"/>
      <c r="D995" s="29"/>
      <c r="E995" s="29"/>
      <c r="F995" s="30"/>
      <c r="G995" s="29"/>
      <c r="H995" s="3"/>
    </row>
    <row r="996" spans="1:8" x14ac:dyDescent="0.55000000000000004">
      <c r="A996" s="29"/>
      <c r="B996" s="29"/>
      <c r="C996" s="29"/>
      <c r="D996" s="29"/>
      <c r="E996" s="29"/>
      <c r="F996" s="30"/>
      <c r="G996" s="29"/>
      <c r="H996" s="3"/>
    </row>
    <row r="997" spans="1:8" x14ac:dyDescent="0.55000000000000004">
      <c r="A997" s="29"/>
      <c r="B997" s="29"/>
      <c r="C997" s="29"/>
      <c r="D997" s="29"/>
      <c r="E997" s="29"/>
      <c r="F997" s="30"/>
      <c r="G997" s="29"/>
      <c r="H997" s="3"/>
    </row>
    <row r="998" spans="1:8" x14ac:dyDescent="0.55000000000000004">
      <c r="A998" s="29"/>
      <c r="B998" s="29"/>
      <c r="C998" s="29"/>
      <c r="D998" s="29"/>
      <c r="E998" s="29"/>
      <c r="F998" s="30"/>
      <c r="G998" s="29"/>
      <c r="H998" s="3"/>
    </row>
    <row r="999" spans="1:8" x14ac:dyDescent="0.55000000000000004">
      <c r="A999" s="29"/>
      <c r="B999" s="29"/>
      <c r="C999" s="29"/>
      <c r="D999" s="29"/>
      <c r="E999" s="29"/>
      <c r="F999" s="30"/>
      <c r="G999" s="29"/>
      <c r="H999" s="3"/>
    </row>
    <row r="1000" spans="1:8" x14ac:dyDescent="0.55000000000000004">
      <c r="A1000" s="29"/>
      <c r="B1000" s="29"/>
      <c r="C1000" s="29"/>
      <c r="D1000" s="29"/>
      <c r="E1000" s="29"/>
      <c r="F1000" s="30"/>
      <c r="G1000" s="29"/>
      <c r="H1000" s="3"/>
    </row>
    <row r="1001" spans="1:8" x14ac:dyDescent="0.55000000000000004">
      <c r="A1001" s="29"/>
      <c r="B1001" s="29"/>
      <c r="C1001" s="29"/>
      <c r="D1001" s="29"/>
      <c r="E1001" s="29"/>
      <c r="F1001" s="30"/>
      <c r="G1001" s="29"/>
      <c r="H1001" s="3"/>
    </row>
    <row r="1002" spans="1:8" x14ac:dyDescent="0.55000000000000004">
      <c r="A1002" s="29"/>
      <c r="B1002" s="29"/>
      <c r="C1002" s="29"/>
      <c r="D1002" s="29"/>
      <c r="E1002" s="29"/>
      <c r="F1002" s="30"/>
      <c r="G1002" s="29"/>
      <c r="H1002" s="3"/>
    </row>
    <row r="1003" spans="1:8" x14ac:dyDescent="0.55000000000000004">
      <c r="A1003" s="29"/>
      <c r="B1003" s="29"/>
      <c r="C1003" s="29"/>
      <c r="D1003" s="29"/>
      <c r="E1003" s="29"/>
      <c r="F1003" s="30"/>
      <c r="G1003" s="29"/>
      <c r="H1003" s="3"/>
    </row>
    <row r="1004" spans="1:8" x14ac:dyDescent="0.55000000000000004">
      <c r="A1004" s="29"/>
      <c r="B1004" s="29"/>
      <c r="C1004" s="29"/>
      <c r="D1004" s="29"/>
      <c r="E1004" s="29"/>
      <c r="F1004" s="30"/>
      <c r="G1004" s="29"/>
      <c r="H1004" s="3"/>
    </row>
    <row r="1005" spans="1:8" x14ac:dyDescent="0.55000000000000004">
      <c r="A1005" s="29"/>
      <c r="B1005" s="29"/>
      <c r="C1005" s="29"/>
      <c r="D1005" s="29"/>
      <c r="E1005" s="29"/>
      <c r="F1005" s="30"/>
      <c r="G1005" s="29"/>
      <c r="H1005" s="3"/>
    </row>
    <row r="1006" spans="1:8" x14ac:dyDescent="0.55000000000000004">
      <c r="A1006" s="29"/>
      <c r="B1006" s="29"/>
      <c r="C1006" s="29"/>
      <c r="D1006" s="29"/>
      <c r="E1006" s="29"/>
      <c r="F1006" s="30"/>
      <c r="G1006" s="29"/>
      <c r="H1006" s="3"/>
    </row>
    <row r="1007" spans="1:8" x14ac:dyDescent="0.55000000000000004">
      <c r="A1007" s="29"/>
      <c r="B1007" s="29"/>
      <c r="C1007" s="29"/>
      <c r="D1007" s="29"/>
      <c r="E1007" s="29"/>
      <c r="F1007" s="30"/>
      <c r="G1007" s="29"/>
      <c r="H1007" s="3"/>
    </row>
    <row r="1008" spans="1:8" x14ac:dyDescent="0.55000000000000004">
      <c r="A1008" s="29"/>
      <c r="B1008" s="29"/>
      <c r="C1008" s="29"/>
      <c r="D1008" s="29"/>
      <c r="E1008" s="29"/>
      <c r="F1008" s="30"/>
      <c r="G1008" s="29"/>
      <c r="H1008" s="3"/>
    </row>
    <row r="1009" spans="1:8" x14ac:dyDescent="0.55000000000000004">
      <c r="A1009" s="29"/>
      <c r="B1009" s="29"/>
      <c r="C1009" s="29"/>
      <c r="D1009" s="29"/>
      <c r="E1009" s="29"/>
      <c r="F1009" s="30"/>
      <c r="G1009" s="29"/>
      <c r="H1009" s="3"/>
    </row>
    <row r="1010" spans="1:8" x14ac:dyDescent="0.55000000000000004">
      <c r="A1010" s="29"/>
      <c r="B1010" s="29"/>
      <c r="C1010" s="29"/>
      <c r="D1010" s="29"/>
      <c r="E1010" s="29"/>
      <c r="F1010" s="30"/>
      <c r="G1010" s="29"/>
      <c r="H1010" s="3"/>
    </row>
    <row r="1011" spans="1:8" x14ac:dyDescent="0.55000000000000004">
      <c r="A1011" s="29"/>
      <c r="B1011" s="29"/>
      <c r="C1011" s="29"/>
      <c r="D1011" s="29"/>
      <c r="E1011" s="29"/>
      <c r="F1011" s="30"/>
      <c r="G1011" s="29"/>
      <c r="H1011" s="3"/>
    </row>
    <row r="1012" spans="1:8" x14ac:dyDescent="0.55000000000000004">
      <c r="A1012" s="29"/>
      <c r="B1012" s="29"/>
      <c r="C1012" s="29"/>
      <c r="D1012" s="29"/>
      <c r="E1012" s="29"/>
      <c r="F1012" s="30"/>
      <c r="G1012" s="29"/>
      <c r="H1012" s="3"/>
    </row>
    <row r="1013" spans="1:8" x14ac:dyDescent="0.55000000000000004">
      <c r="A1013" s="29"/>
      <c r="B1013" s="29"/>
      <c r="C1013" s="29"/>
      <c r="D1013" s="29"/>
      <c r="E1013" s="29"/>
      <c r="F1013" s="30"/>
      <c r="G1013" s="29"/>
      <c r="H1013" s="3"/>
    </row>
    <row r="1014" spans="1:8" x14ac:dyDescent="0.55000000000000004">
      <c r="A1014" s="29"/>
      <c r="B1014" s="29"/>
      <c r="C1014" s="29"/>
      <c r="D1014" s="29"/>
      <c r="E1014" s="29"/>
      <c r="F1014" s="30"/>
      <c r="G1014" s="29"/>
      <c r="H1014" s="3"/>
    </row>
    <row r="1015" spans="1:8" x14ac:dyDescent="0.55000000000000004">
      <c r="A1015" s="29"/>
      <c r="B1015" s="29"/>
      <c r="C1015" s="29"/>
      <c r="D1015" s="29"/>
      <c r="E1015" s="29"/>
      <c r="F1015" s="30"/>
      <c r="G1015" s="29"/>
      <c r="H1015" s="3"/>
    </row>
    <row r="1016" spans="1:8" x14ac:dyDescent="0.55000000000000004">
      <c r="A1016" s="29"/>
      <c r="B1016" s="29"/>
      <c r="C1016" s="29"/>
      <c r="D1016" s="29"/>
      <c r="E1016" s="29"/>
      <c r="F1016" s="30"/>
      <c r="G1016" s="29"/>
      <c r="H1016" s="3"/>
    </row>
    <row r="1017" spans="1:8" x14ac:dyDescent="0.55000000000000004">
      <c r="A1017" s="29"/>
      <c r="B1017" s="29"/>
      <c r="C1017" s="29"/>
      <c r="D1017" s="29"/>
      <c r="E1017" s="29"/>
      <c r="F1017" s="30"/>
      <c r="G1017" s="29"/>
      <c r="H1017" s="3"/>
    </row>
    <row r="1018" spans="1:8" x14ac:dyDescent="0.55000000000000004">
      <c r="A1018" s="29"/>
      <c r="B1018" s="29"/>
      <c r="C1018" s="29"/>
      <c r="D1018" s="29"/>
      <c r="E1018" s="29"/>
      <c r="F1018" s="30"/>
      <c r="G1018" s="29"/>
      <c r="H1018" s="3"/>
    </row>
    <row r="1019" spans="1:8" x14ac:dyDescent="0.55000000000000004">
      <c r="A1019" s="29"/>
      <c r="B1019" s="29"/>
      <c r="C1019" s="29"/>
      <c r="D1019" s="29"/>
      <c r="E1019" s="29"/>
      <c r="F1019" s="30"/>
      <c r="G1019" s="29"/>
      <c r="H1019" s="3"/>
    </row>
    <row r="1020" spans="1:8" x14ac:dyDescent="0.55000000000000004">
      <c r="A1020" s="29"/>
      <c r="B1020" s="29"/>
      <c r="C1020" s="29"/>
      <c r="D1020" s="29"/>
      <c r="E1020" s="29"/>
      <c r="F1020" s="30"/>
      <c r="G1020" s="29"/>
      <c r="H1020" s="3"/>
    </row>
    <row r="1021" spans="1:8" x14ac:dyDescent="0.55000000000000004">
      <c r="A1021" s="29"/>
      <c r="B1021" s="29"/>
      <c r="C1021" s="29"/>
      <c r="D1021" s="29"/>
      <c r="E1021" s="29"/>
      <c r="F1021" s="30"/>
      <c r="G1021" s="29"/>
      <c r="H1021" s="3"/>
    </row>
    <row r="1022" spans="1:8" x14ac:dyDescent="0.55000000000000004">
      <c r="A1022" s="29"/>
      <c r="B1022" s="29"/>
      <c r="C1022" s="29"/>
      <c r="D1022" s="29"/>
      <c r="E1022" s="29"/>
      <c r="F1022" s="30"/>
      <c r="G1022" s="29"/>
      <c r="H1022" s="3"/>
    </row>
    <row r="1023" spans="1:8" x14ac:dyDescent="0.55000000000000004">
      <c r="A1023" s="29"/>
      <c r="B1023" s="29"/>
      <c r="C1023" s="29"/>
      <c r="D1023" s="29"/>
      <c r="E1023" s="29"/>
      <c r="F1023" s="30"/>
      <c r="G1023" s="29"/>
      <c r="H1023" s="3"/>
    </row>
    <row r="1024" spans="1:8" x14ac:dyDescent="0.55000000000000004">
      <c r="A1024" s="29"/>
      <c r="B1024" s="29"/>
      <c r="C1024" s="29"/>
      <c r="D1024" s="29"/>
      <c r="E1024" s="29"/>
      <c r="F1024" s="30"/>
      <c r="G1024" s="29"/>
      <c r="H1024" s="3"/>
    </row>
    <row r="1025" spans="1:8" x14ac:dyDescent="0.55000000000000004">
      <c r="A1025" s="29"/>
      <c r="B1025" s="29"/>
      <c r="C1025" s="29"/>
      <c r="D1025" s="29"/>
      <c r="E1025" s="29"/>
      <c r="F1025" s="30"/>
      <c r="G1025" s="29"/>
      <c r="H1025" s="3"/>
    </row>
    <row r="1026" spans="1:8" x14ac:dyDescent="0.55000000000000004">
      <c r="A1026" s="29"/>
      <c r="B1026" s="29"/>
      <c r="C1026" s="29"/>
      <c r="D1026" s="29"/>
      <c r="E1026" s="29"/>
      <c r="F1026" s="30"/>
      <c r="G1026" s="29"/>
      <c r="H1026" s="3"/>
    </row>
    <row r="1027" spans="1:8" x14ac:dyDescent="0.55000000000000004">
      <c r="A1027" s="29"/>
      <c r="B1027" s="29"/>
      <c r="C1027" s="29"/>
      <c r="D1027" s="29"/>
      <c r="E1027" s="29"/>
      <c r="F1027" s="30"/>
      <c r="G1027" s="29"/>
      <c r="H1027" s="3"/>
    </row>
    <row r="1028" spans="1:8" x14ac:dyDescent="0.55000000000000004">
      <c r="A1028" s="29"/>
      <c r="B1028" s="29"/>
      <c r="C1028" s="29"/>
      <c r="D1028" s="29"/>
      <c r="E1028" s="29"/>
      <c r="F1028" s="30"/>
      <c r="G1028" s="29"/>
      <c r="H1028" s="3"/>
    </row>
    <row r="1029" spans="1:8" x14ac:dyDescent="0.55000000000000004">
      <c r="A1029" s="29"/>
      <c r="B1029" s="29"/>
      <c r="C1029" s="29"/>
      <c r="D1029" s="29"/>
      <c r="E1029" s="29"/>
      <c r="F1029" s="30"/>
      <c r="G1029" s="29"/>
      <c r="H1029" s="3"/>
    </row>
    <row r="1030" spans="1:8" x14ac:dyDescent="0.55000000000000004">
      <c r="A1030" s="29"/>
      <c r="B1030" s="29"/>
      <c r="C1030" s="29"/>
      <c r="D1030" s="29"/>
      <c r="E1030" s="29"/>
      <c r="F1030" s="30"/>
      <c r="G1030" s="29"/>
      <c r="H1030" s="3"/>
    </row>
    <row r="1031" spans="1:8" x14ac:dyDescent="0.55000000000000004">
      <c r="A1031" s="29"/>
      <c r="B1031" s="29"/>
      <c r="C1031" s="29"/>
      <c r="D1031" s="29"/>
      <c r="E1031" s="29"/>
      <c r="F1031" s="30"/>
      <c r="G1031" s="29"/>
      <c r="H1031" s="3"/>
    </row>
    <row r="1032" spans="1:8" x14ac:dyDescent="0.55000000000000004">
      <c r="A1032" s="29"/>
      <c r="B1032" s="29"/>
      <c r="C1032" s="29"/>
      <c r="D1032" s="29"/>
      <c r="E1032" s="29"/>
      <c r="F1032" s="30"/>
      <c r="G1032" s="29"/>
      <c r="H1032" s="3"/>
    </row>
    <row r="1033" spans="1:8" x14ac:dyDescent="0.55000000000000004">
      <c r="A1033" s="29"/>
      <c r="B1033" s="29"/>
      <c r="C1033" s="29"/>
      <c r="D1033" s="29"/>
      <c r="E1033" s="29"/>
      <c r="F1033" s="30"/>
      <c r="G1033" s="29"/>
      <c r="H1033" s="3"/>
    </row>
    <row r="1034" spans="1:8" x14ac:dyDescent="0.55000000000000004">
      <c r="A1034" s="29"/>
      <c r="B1034" s="29"/>
      <c r="C1034" s="29"/>
      <c r="D1034" s="29"/>
      <c r="E1034" s="29"/>
      <c r="F1034" s="30"/>
      <c r="G1034" s="29"/>
      <c r="H1034" s="3"/>
    </row>
    <row r="1035" spans="1:8" x14ac:dyDescent="0.55000000000000004">
      <c r="A1035" s="29"/>
      <c r="B1035" s="29"/>
      <c r="C1035" s="29"/>
      <c r="D1035" s="29"/>
      <c r="E1035" s="29"/>
      <c r="F1035" s="30"/>
      <c r="G1035" s="29"/>
      <c r="H1035" s="3"/>
    </row>
    <row r="1036" spans="1:8" x14ac:dyDescent="0.55000000000000004">
      <c r="A1036" s="29"/>
      <c r="B1036" s="29"/>
      <c r="C1036" s="29"/>
      <c r="D1036" s="29"/>
      <c r="E1036" s="29"/>
      <c r="F1036" s="30"/>
      <c r="G1036" s="29"/>
      <c r="H1036" s="3"/>
    </row>
    <row r="1037" spans="1:8" x14ac:dyDescent="0.55000000000000004">
      <c r="A1037" s="29"/>
      <c r="B1037" s="29"/>
      <c r="C1037" s="29"/>
      <c r="D1037" s="29"/>
      <c r="E1037" s="29"/>
      <c r="F1037" s="30"/>
      <c r="G1037" s="29"/>
      <c r="H1037" s="3"/>
    </row>
    <row r="1038" spans="1:8" x14ac:dyDescent="0.55000000000000004">
      <c r="A1038" s="29"/>
      <c r="B1038" s="29"/>
      <c r="C1038" s="29"/>
      <c r="D1038" s="29"/>
      <c r="E1038" s="29"/>
      <c r="F1038" s="30"/>
      <c r="G1038" s="29"/>
      <c r="H1038" s="3"/>
    </row>
    <row r="1039" spans="1:8" x14ac:dyDescent="0.55000000000000004">
      <c r="A1039" s="29"/>
      <c r="B1039" s="29"/>
      <c r="C1039" s="29"/>
      <c r="D1039" s="29"/>
      <c r="E1039" s="29"/>
      <c r="F1039" s="30"/>
      <c r="G1039" s="29"/>
      <c r="H1039" s="3"/>
    </row>
    <row r="1040" spans="1:8" x14ac:dyDescent="0.55000000000000004">
      <c r="A1040" s="29"/>
      <c r="B1040" s="29"/>
      <c r="C1040" s="29"/>
      <c r="D1040" s="29"/>
      <c r="E1040" s="29"/>
      <c r="F1040" s="30"/>
      <c r="G1040" s="29"/>
      <c r="H1040" s="3"/>
    </row>
    <row r="1041" spans="1:8" x14ac:dyDescent="0.55000000000000004">
      <c r="A1041" s="29"/>
      <c r="B1041" s="29"/>
      <c r="C1041" s="29"/>
      <c r="D1041" s="29"/>
      <c r="E1041" s="29"/>
      <c r="F1041" s="30"/>
      <c r="G1041" s="29"/>
      <c r="H1041" s="3"/>
    </row>
    <row r="1042" spans="1:8" x14ac:dyDescent="0.55000000000000004">
      <c r="A1042" s="29"/>
      <c r="B1042" s="29"/>
      <c r="C1042" s="29"/>
      <c r="D1042" s="29"/>
      <c r="E1042" s="29"/>
      <c r="F1042" s="30"/>
      <c r="G1042" s="29"/>
      <c r="H1042" s="3"/>
    </row>
    <row r="1043" spans="1:8" x14ac:dyDescent="0.55000000000000004">
      <c r="A1043" s="29"/>
      <c r="B1043" s="29"/>
      <c r="C1043" s="29"/>
      <c r="D1043" s="29"/>
      <c r="E1043" s="29"/>
      <c r="F1043" s="30"/>
      <c r="G1043" s="29"/>
      <c r="H1043" s="3"/>
    </row>
    <row r="1044" spans="1:8" x14ac:dyDescent="0.55000000000000004">
      <c r="A1044" s="29"/>
      <c r="B1044" s="29"/>
      <c r="C1044" s="29"/>
      <c r="D1044" s="29"/>
      <c r="E1044" s="29"/>
      <c r="F1044" s="30"/>
      <c r="G1044" s="29"/>
      <c r="H1044" s="3"/>
    </row>
    <row r="1045" spans="1:8" x14ac:dyDescent="0.55000000000000004">
      <c r="A1045" s="29"/>
      <c r="B1045" s="29"/>
      <c r="C1045" s="29"/>
      <c r="D1045" s="29"/>
      <c r="E1045" s="29"/>
      <c r="F1045" s="30"/>
      <c r="G1045" s="29"/>
      <c r="H1045" s="3"/>
    </row>
    <row r="1046" spans="1:8" x14ac:dyDescent="0.55000000000000004">
      <c r="A1046" s="29"/>
      <c r="B1046" s="29"/>
      <c r="C1046" s="29"/>
      <c r="D1046" s="29"/>
      <c r="E1046" s="29"/>
      <c r="F1046" s="30"/>
      <c r="G1046" s="29"/>
      <c r="H1046" s="3"/>
    </row>
    <row r="1047" spans="1:8" x14ac:dyDescent="0.55000000000000004">
      <c r="A1047" s="29"/>
      <c r="B1047" s="29"/>
      <c r="C1047" s="29"/>
      <c r="D1047" s="29"/>
      <c r="E1047" s="29"/>
      <c r="F1047" s="30"/>
      <c r="G1047" s="29"/>
      <c r="H1047" s="3"/>
    </row>
    <row r="1048" spans="1:8" x14ac:dyDescent="0.55000000000000004">
      <c r="A1048" s="29"/>
      <c r="B1048" s="29"/>
      <c r="C1048" s="29"/>
      <c r="D1048" s="29"/>
      <c r="E1048" s="29"/>
      <c r="F1048" s="30"/>
      <c r="G1048" s="29"/>
      <c r="H1048" s="3"/>
    </row>
    <row r="1049" spans="1:8" x14ac:dyDescent="0.55000000000000004">
      <c r="A1049" s="29"/>
      <c r="B1049" s="29"/>
      <c r="C1049" s="29"/>
      <c r="D1049" s="29"/>
      <c r="E1049" s="29"/>
      <c r="F1049" s="30"/>
      <c r="G1049" s="29"/>
      <c r="H1049" s="3"/>
    </row>
    <row r="1050" spans="1:8" x14ac:dyDescent="0.55000000000000004">
      <c r="A1050" s="29"/>
      <c r="B1050" s="29"/>
      <c r="C1050" s="29"/>
      <c r="D1050" s="29"/>
      <c r="E1050" s="29"/>
      <c r="F1050" s="30"/>
      <c r="G1050" s="29"/>
      <c r="H1050" s="3"/>
    </row>
    <row r="1051" spans="1:8" x14ac:dyDescent="0.55000000000000004">
      <c r="A1051" s="29"/>
      <c r="B1051" s="29"/>
      <c r="C1051" s="29"/>
      <c r="D1051" s="29"/>
      <c r="E1051" s="29"/>
      <c r="F1051" s="30"/>
      <c r="G1051" s="29"/>
      <c r="H1051" s="3"/>
    </row>
    <row r="1052" spans="1:8" x14ac:dyDescent="0.55000000000000004">
      <c r="A1052" s="29"/>
      <c r="B1052" s="29"/>
      <c r="C1052" s="29"/>
      <c r="D1052" s="29"/>
      <c r="E1052" s="29"/>
      <c r="F1052" s="30"/>
      <c r="G1052" s="29"/>
      <c r="H1052" s="3"/>
    </row>
    <row r="1053" spans="1:8" x14ac:dyDescent="0.55000000000000004">
      <c r="A1053" s="29"/>
      <c r="B1053" s="29"/>
      <c r="C1053" s="29"/>
      <c r="D1053" s="29"/>
      <c r="E1053" s="29"/>
      <c r="F1053" s="30"/>
      <c r="G1053" s="29"/>
      <c r="H1053" s="3"/>
    </row>
    <row r="1054" spans="1:8" x14ac:dyDescent="0.55000000000000004">
      <c r="A1054" s="29"/>
      <c r="B1054" s="29"/>
      <c r="C1054" s="29"/>
      <c r="D1054" s="29"/>
      <c r="E1054" s="29"/>
      <c r="F1054" s="30"/>
      <c r="G1054" s="29"/>
      <c r="H1054" s="3"/>
    </row>
    <row r="1055" spans="1:8" x14ac:dyDescent="0.55000000000000004">
      <c r="A1055" s="29"/>
      <c r="B1055" s="29"/>
      <c r="C1055" s="29"/>
      <c r="D1055" s="29"/>
      <c r="E1055" s="29"/>
      <c r="F1055" s="30"/>
      <c r="G1055" s="29"/>
      <c r="H1055" s="3"/>
    </row>
    <row r="1056" spans="1:8" x14ac:dyDescent="0.55000000000000004">
      <c r="A1056" s="29"/>
      <c r="B1056" s="29"/>
      <c r="C1056" s="29"/>
      <c r="D1056" s="29"/>
      <c r="E1056" s="29"/>
      <c r="F1056" s="30"/>
      <c r="G1056" s="29"/>
      <c r="H1056" s="3"/>
    </row>
    <row r="1057" spans="1:8" x14ac:dyDescent="0.55000000000000004">
      <c r="A1057" s="29"/>
      <c r="B1057" s="29"/>
      <c r="C1057" s="29"/>
      <c r="D1057" s="29"/>
      <c r="E1057" s="29"/>
      <c r="F1057" s="30"/>
      <c r="G1057" s="29"/>
      <c r="H1057" s="3"/>
    </row>
    <row r="1058" spans="1:8" x14ac:dyDescent="0.55000000000000004">
      <c r="A1058" s="29"/>
      <c r="B1058" s="29"/>
      <c r="C1058" s="29"/>
      <c r="D1058" s="29"/>
      <c r="E1058" s="29"/>
      <c r="F1058" s="30"/>
      <c r="G1058" s="29"/>
      <c r="H1058" s="3"/>
    </row>
    <row r="1059" spans="1:8" x14ac:dyDescent="0.55000000000000004">
      <c r="A1059" s="29"/>
      <c r="B1059" s="29"/>
      <c r="C1059" s="29"/>
      <c r="D1059" s="29"/>
      <c r="E1059" s="29"/>
      <c r="F1059" s="30"/>
      <c r="G1059" s="29"/>
      <c r="H1059" s="3"/>
    </row>
    <row r="1060" spans="1:8" x14ac:dyDescent="0.55000000000000004">
      <c r="A1060" s="29"/>
      <c r="B1060" s="29"/>
      <c r="C1060" s="29"/>
      <c r="D1060" s="29"/>
      <c r="E1060" s="29"/>
      <c r="F1060" s="30"/>
      <c r="G1060" s="29"/>
      <c r="H1060" s="3"/>
    </row>
    <row r="1061" spans="1:8" x14ac:dyDescent="0.55000000000000004">
      <c r="A1061" s="29"/>
      <c r="B1061" s="29"/>
      <c r="C1061" s="29"/>
      <c r="D1061" s="29"/>
      <c r="E1061" s="29"/>
      <c r="F1061" s="30"/>
      <c r="G1061" s="29"/>
      <c r="H1061" s="3"/>
    </row>
    <row r="1062" spans="1:8" x14ac:dyDescent="0.55000000000000004">
      <c r="A1062" s="29"/>
      <c r="B1062" s="29"/>
      <c r="C1062" s="29"/>
      <c r="D1062" s="29"/>
      <c r="E1062" s="29"/>
      <c r="F1062" s="30"/>
      <c r="G1062" s="29"/>
      <c r="H1062" s="3"/>
    </row>
    <row r="1063" spans="1:8" x14ac:dyDescent="0.55000000000000004">
      <c r="A1063" s="29"/>
      <c r="B1063" s="29"/>
      <c r="C1063" s="29"/>
      <c r="D1063" s="29"/>
      <c r="E1063" s="29"/>
      <c r="F1063" s="30"/>
      <c r="G1063" s="29"/>
      <c r="H1063" s="3"/>
    </row>
    <row r="1064" spans="1:8" x14ac:dyDescent="0.55000000000000004">
      <c r="A1064" s="29"/>
      <c r="B1064" s="29"/>
      <c r="C1064" s="29"/>
      <c r="D1064" s="29"/>
      <c r="E1064" s="29"/>
      <c r="F1064" s="30"/>
      <c r="G1064" s="29"/>
      <c r="H1064" s="3"/>
    </row>
    <row r="1065" spans="1:8" x14ac:dyDescent="0.55000000000000004">
      <c r="A1065" s="29"/>
      <c r="B1065" s="29"/>
      <c r="C1065" s="29"/>
      <c r="D1065" s="29"/>
      <c r="E1065" s="29"/>
      <c r="F1065" s="30"/>
      <c r="G1065" s="29"/>
      <c r="H1065" s="3"/>
    </row>
    <row r="1066" spans="1:8" x14ac:dyDescent="0.55000000000000004">
      <c r="A1066" s="29"/>
      <c r="B1066" s="29"/>
      <c r="C1066" s="29"/>
      <c r="D1066" s="29"/>
      <c r="E1066" s="29"/>
      <c r="F1066" s="30"/>
      <c r="G1066" s="29"/>
      <c r="H1066" s="3"/>
    </row>
    <row r="1067" spans="1:8" x14ac:dyDescent="0.55000000000000004">
      <c r="A1067" s="29"/>
      <c r="B1067" s="29"/>
      <c r="C1067" s="29"/>
      <c r="D1067" s="29"/>
      <c r="E1067" s="29"/>
      <c r="F1067" s="30"/>
      <c r="G1067" s="29"/>
      <c r="H1067" s="3"/>
    </row>
    <row r="1068" spans="1:8" x14ac:dyDescent="0.55000000000000004">
      <c r="A1068" s="29"/>
      <c r="B1068" s="29"/>
      <c r="C1068" s="29"/>
      <c r="D1068" s="29"/>
      <c r="E1068" s="29"/>
      <c r="F1068" s="30"/>
      <c r="G1068" s="29"/>
      <c r="H1068" s="3"/>
    </row>
    <row r="1069" spans="1:8" x14ac:dyDescent="0.55000000000000004">
      <c r="A1069" s="29"/>
      <c r="B1069" s="29"/>
      <c r="C1069" s="29"/>
      <c r="D1069" s="29"/>
      <c r="E1069" s="29"/>
      <c r="F1069" s="30"/>
      <c r="G1069" s="29"/>
      <c r="H1069" s="3"/>
    </row>
    <row r="1070" spans="1:8" x14ac:dyDescent="0.55000000000000004">
      <c r="A1070" s="29"/>
      <c r="B1070" s="29"/>
      <c r="C1070" s="29"/>
      <c r="D1070" s="29"/>
      <c r="E1070" s="29"/>
      <c r="F1070" s="30"/>
      <c r="G1070" s="29"/>
      <c r="H1070" s="3"/>
    </row>
    <row r="1071" spans="1:8" x14ac:dyDescent="0.55000000000000004">
      <c r="A1071" s="29"/>
      <c r="B1071" s="29"/>
      <c r="C1071" s="29"/>
      <c r="D1071" s="29"/>
      <c r="E1071" s="29"/>
      <c r="F1071" s="30"/>
      <c r="G1071" s="29"/>
      <c r="H1071" s="3"/>
    </row>
    <row r="1072" spans="1:8" x14ac:dyDescent="0.55000000000000004">
      <c r="A1072" s="29"/>
      <c r="B1072" s="29"/>
      <c r="C1072" s="29"/>
      <c r="D1072" s="29"/>
      <c r="E1072" s="29"/>
      <c r="F1072" s="30"/>
      <c r="G1072" s="29"/>
      <c r="H1072" s="3"/>
    </row>
    <row r="1073" spans="1:8" x14ac:dyDescent="0.55000000000000004">
      <c r="A1073" s="29"/>
      <c r="B1073" s="29"/>
      <c r="C1073" s="29"/>
      <c r="D1073" s="29"/>
      <c r="E1073" s="29"/>
      <c r="F1073" s="30"/>
      <c r="G1073" s="29"/>
      <c r="H1073" s="3"/>
    </row>
    <row r="1074" spans="1:8" x14ac:dyDescent="0.55000000000000004">
      <c r="A1074" s="29"/>
      <c r="B1074" s="29"/>
      <c r="C1074" s="29"/>
      <c r="D1074" s="29"/>
      <c r="E1074" s="29"/>
      <c r="F1074" s="30"/>
      <c r="G1074" s="29"/>
      <c r="H1074" s="3"/>
    </row>
    <row r="1075" spans="1:8" x14ac:dyDescent="0.55000000000000004">
      <c r="A1075" s="29"/>
      <c r="B1075" s="29"/>
      <c r="C1075" s="29"/>
      <c r="D1075" s="29"/>
      <c r="E1075" s="29"/>
      <c r="F1075" s="30"/>
      <c r="G1075" s="29"/>
      <c r="H1075" s="3"/>
    </row>
    <row r="1076" spans="1:8" x14ac:dyDescent="0.55000000000000004">
      <c r="A1076" s="29"/>
      <c r="B1076" s="29"/>
      <c r="C1076" s="29"/>
      <c r="D1076" s="29"/>
      <c r="E1076" s="29"/>
      <c r="F1076" s="30"/>
      <c r="G1076" s="29"/>
      <c r="H1076" s="3"/>
    </row>
    <row r="1077" spans="1:8" x14ac:dyDescent="0.55000000000000004">
      <c r="A1077" s="29"/>
      <c r="B1077" s="29"/>
      <c r="C1077" s="29"/>
      <c r="D1077" s="29"/>
      <c r="E1077" s="29"/>
      <c r="F1077" s="30"/>
      <c r="G1077" s="29"/>
      <c r="H1077" s="3"/>
    </row>
    <row r="1078" spans="1:8" x14ac:dyDescent="0.55000000000000004">
      <c r="A1078" s="29"/>
      <c r="B1078" s="29"/>
      <c r="C1078" s="29"/>
      <c r="D1078" s="29"/>
      <c r="E1078" s="29"/>
      <c r="F1078" s="30"/>
      <c r="G1078" s="29"/>
      <c r="H1078" s="3"/>
    </row>
    <row r="1079" spans="1:8" x14ac:dyDescent="0.55000000000000004">
      <c r="A1079" s="29"/>
      <c r="B1079" s="29"/>
      <c r="C1079" s="29"/>
      <c r="D1079" s="29"/>
      <c r="E1079" s="29"/>
      <c r="F1079" s="30"/>
      <c r="G1079" s="29"/>
      <c r="H1079" s="3"/>
    </row>
    <row r="1080" spans="1:8" x14ac:dyDescent="0.55000000000000004">
      <c r="A1080" s="29"/>
      <c r="B1080" s="29"/>
      <c r="C1080" s="29"/>
      <c r="D1080" s="29"/>
      <c r="E1080" s="29"/>
      <c r="F1080" s="30"/>
      <c r="G1080" s="29"/>
      <c r="H1080" s="3"/>
    </row>
    <row r="1081" spans="1:8" x14ac:dyDescent="0.55000000000000004">
      <c r="A1081" s="29"/>
      <c r="B1081" s="29"/>
      <c r="C1081" s="29"/>
      <c r="D1081" s="29"/>
      <c r="E1081" s="29"/>
      <c r="F1081" s="30"/>
      <c r="G1081" s="29"/>
      <c r="H1081" s="3"/>
    </row>
    <row r="1082" spans="1:8" x14ac:dyDescent="0.55000000000000004">
      <c r="A1082" s="29"/>
      <c r="B1082" s="29"/>
      <c r="C1082" s="29"/>
      <c r="D1082" s="29"/>
      <c r="E1082" s="29"/>
      <c r="F1082" s="30"/>
      <c r="G1082" s="29"/>
      <c r="H1082" s="3"/>
    </row>
    <row r="1083" spans="1:8" x14ac:dyDescent="0.55000000000000004">
      <c r="A1083" s="29"/>
      <c r="B1083" s="29"/>
      <c r="C1083" s="29"/>
      <c r="D1083" s="29"/>
      <c r="E1083" s="29"/>
      <c r="F1083" s="30"/>
      <c r="G1083" s="29"/>
      <c r="H1083" s="3"/>
    </row>
    <row r="1084" spans="1:8" x14ac:dyDescent="0.55000000000000004">
      <c r="A1084" s="29"/>
      <c r="B1084" s="29"/>
      <c r="C1084" s="29"/>
      <c r="D1084" s="29"/>
      <c r="E1084" s="29"/>
      <c r="F1084" s="30"/>
      <c r="G1084" s="29"/>
      <c r="H1084" s="3"/>
    </row>
    <row r="1085" spans="1:8" x14ac:dyDescent="0.55000000000000004">
      <c r="A1085" s="29"/>
      <c r="B1085" s="29"/>
      <c r="C1085" s="29"/>
      <c r="D1085" s="29"/>
      <c r="E1085" s="29"/>
      <c r="F1085" s="30"/>
      <c r="G1085" s="29"/>
      <c r="H1085" s="3"/>
    </row>
  </sheetData>
  <autoFilter ref="A2:H715" xr:uid="{00000000-0009-0000-0000-000002000000}">
    <filterColumn colId="0">
      <filters>
        <filter val="Karak Tea,Cardamom Premix Nestle"/>
        <filter val="Plastic Bag for tea bag"/>
        <filter val="Plastic tea Spoon"/>
        <filter val="Steak Sauce 295 ml"/>
        <filter val="Tea Anise Herbal 2G"/>
        <filter val="Tea Biscuits(160 Gram)"/>
        <filter val="Tea Lipton Bag"/>
        <filter val="Tea Lipton Cammomile"/>
        <filter val="Tea Lipton Earlgrey"/>
        <filter val="Tea Lipton English Breakfast"/>
        <filter val="Tea Lipton Green &amp; Intense Mint"/>
      </filters>
    </filterColumn>
  </autoFilter>
  <mergeCells count="1">
    <mergeCell ref="C1:H1"/>
  </mergeCells>
  <dataValidations disablePrompts="1" count="1">
    <dataValidation type="list" allowBlank="1" showInputMessage="1" showErrorMessage="1" sqref="A92 D92" xr:uid="{00000000-0002-0000-0200-000000000000}">
      <formula1>$A$3:$A$716</formula1>
    </dataValidation>
  </dataValidations>
  <pageMargins left="0.75" right="0.75" top="1" bottom="1" header="0.5" footer="0.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D4C5-D09D-4FFA-AA03-B0675D0BF1D1}">
  <sheetPr>
    <tabColor rgb="FFFFFF00"/>
  </sheetPr>
  <dimension ref="C2:M36"/>
  <sheetViews>
    <sheetView topLeftCell="A19" zoomScale="80" zoomScaleNormal="80" workbookViewId="0">
      <selection activeCell="I42" sqref="I42"/>
    </sheetView>
  </sheetViews>
  <sheetFormatPr defaultRowHeight="18.3" x14ac:dyDescent="0.7"/>
  <cols>
    <col min="1" max="2" width="8.83984375" style="114"/>
    <col min="3" max="3" width="19.5234375" style="114" customWidth="1"/>
    <col min="4" max="4" width="63.89453125" style="114" customWidth="1"/>
    <col min="5" max="5" width="12.05078125" style="115" customWidth="1"/>
    <col min="6" max="6" width="17" style="114" customWidth="1"/>
    <col min="7" max="7" width="15.734375" style="114" customWidth="1"/>
    <col min="8" max="8" width="14.89453125" style="114" customWidth="1"/>
    <col min="9" max="9" width="15.9453125" style="114" customWidth="1"/>
    <col min="10" max="10" width="14.1015625" style="114" customWidth="1"/>
    <col min="11" max="11" width="13.62890625" style="114" customWidth="1"/>
    <col min="12" max="12" width="14.1015625" style="114" customWidth="1"/>
    <col min="13" max="16384" width="8.83984375" style="114"/>
  </cols>
  <sheetData>
    <row r="2" spans="3:13" x14ac:dyDescent="0.7">
      <c r="C2" s="111" t="s">
        <v>1822</v>
      </c>
    </row>
    <row r="3" spans="3:13" ht="3.6" customHeight="1" x14ac:dyDescent="0.7"/>
    <row r="4" spans="3:13" x14ac:dyDescent="0.7">
      <c r="C4" s="307" t="s">
        <v>1795</v>
      </c>
      <c r="D4" s="118" t="s">
        <v>1827</v>
      </c>
      <c r="E4" s="248" t="s">
        <v>1821</v>
      </c>
      <c r="F4" s="252" t="s">
        <v>1432</v>
      </c>
      <c r="G4" s="252" t="s">
        <v>1448</v>
      </c>
      <c r="H4" s="252" t="s">
        <v>1467</v>
      </c>
      <c r="I4" s="252" t="s">
        <v>1486</v>
      </c>
      <c r="J4" s="252" t="s">
        <v>1507</v>
      </c>
      <c r="K4" s="252" t="s">
        <v>1535</v>
      </c>
      <c r="L4" s="252" t="s">
        <v>1536</v>
      </c>
    </row>
    <row r="5" spans="3:13" x14ac:dyDescent="0.7">
      <c r="C5" s="307"/>
      <c r="D5" s="116" t="s">
        <v>1806</v>
      </c>
      <c r="E5" s="249">
        <v>2</v>
      </c>
      <c r="F5" s="243">
        <f>('Sunday '!G12-F6)*2</f>
        <v>2.3108954827690589</v>
      </c>
      <c r="G5" s="243">
        <f>(Monday!G12-G6)*2</f>
        <v>1.5732823726543639</v>
      </c>
      <c r="H5" s="243">
        <f>(Tuesday!G12-H6)*2</f>
        <v>2.1914720205538645</v>
      </c>
      <c r="I5" s="243">
        <f>(Wednesday!G12-I6)*2</f>
        <v>2.0818670917792126</v>
      </c>
      <c r="J5" s="243">
        <f>(Thursday!G12-J6)*2</f>
        <v>1.8971434670471961</v>
      </c>
      <c r="K5" s="243">
        <f>('Friday '!G11-K6)*2</f>
        <v>1.7604290901142032</v>
      </c>
      <c r="L5" s="243">
        <f>('Saturday '!G12-L6)*2</f>
        <v>1.6210760340300256</v>
      </c>
    </row>
    <row r="6" spans="3:13" x14ac:dyDescent="0.7">
      <c r="C6" s="307"/>
      <c r="D6" s="116" t="s">
        <v>1807</v>
      </c>
      <c r="E6" s="249">
        <v>1</v>
      </c>
      <c r="F6" s="243">
        <f>'Sunday '!F11</f>
        <v>0.8098461940226328</v>
      </c>
      <c r="G6" s="243">
        <f>Monday!F11</f>
        <v>0.8098461940226328</v>
      </c>
      <c r="H6" s="243">
        <f>Tuesday!F11</f>
        <v>0.8098461940226328</v>
      </c>
      <c r="I6" s="243">
        <f>Wednesday!F11</f>
        <v>0.8098461940226328</v>
      </c>
      <c r="J6" s="243">
        <f>Thursday!F11</f>
        <v>0.8098461940226328</v>
      </c>
      <c r="K6" s="243">
        <f>'Friday '!F10</f>
        <v>0.8098461940226328</v>
      </c>
      <c r="L6" s="243">
        <f>'Saturday '!F11</f>
        <v>0.8098461940226328</v>
      </c>
    </row>
    <row r="7" spans="3:13" x14ac:dyDescent="0.7">
      <c r="C7" s="307"/>
      <c r="D7" s="116" t="s">
        <v>1808</v>
      </c>
      <c r="E7" s="249">
        <v>1</v>
      </c>
      <c r="F7" s="116">
        <f>'Raw material list'!F339</f>
        <v>3.5000000000000003E-2</v>
      </c>
      <c r="G7" s="116">
        <v>3.5000000000000003E-2</v>
      </c>
      <c r="H7" s="116">
        <v>3.5000000000000003E-2</v>
      </c>
      <c r="I7" s="116">
        <v>3.5000000000000003E-2</v>
      </c>
      <c r="J7" s="116">
        <v>3.5000000000000003E-2</v>
      </c>
      <c r="K7" s="116">
        <v>3.5000000000000003E-2</v>
      </c>
      <c r="L7" s="116">
        <v>3.5000000000000003E-2</v>
      </c>
    </row>
    <row r="8" spans="3:13" x14ac:dyDescent="0.7">
      <c r="C8" s="307"/>
      <c r="D8" s="116" t="s">
        <v>1826</v>
      </c>
      <c r="E8" s="249">
        <v>1</v>
      </c>
      <c r="F8" s="244">
        <f>'Raw material list'!F13</f>
        <v>0.16666666666666666</v>
      </c>
      <c r="G8" s="244">
        <v>0.16666666666666666</v>
      </c>
      <c r="H8" s="244">
        <v>0.16666666666666666</v>
      </c>
      <c r="I8" s="244">
        <v>0.16666666666666666</v>
      </c>
      <c r="J8" s="244">
        <v>0.16666666666666666</v>
      </c>
      <c r="K8" s="244">
        <v>0.16666666666666666</v>
      </c>
      <c r="L8" s="244">
        <v>0.16666666666666666</v>
      </c>
    </row>
    <row r="9" spans="3:13" x14ac:dyDescent="0.7">
      <c r="C9" s="307"/>
      <c r="D9" s="116" t="s">
        <v>1809</v>
      </c>
      <c r="E9" s="249">
        <v>1</v>
      </c>
      <c r="F9" s="245"/>
      <c r="G9" s="245"/>
      <c r="H9" s="245"/>
      <c r="I9" s="245"/>
      <c r="J9" s="245"/>
      <c r="K9" s="245"/>
      <c r="L9" s="245"/>
      <c r="M9" s="114" t="s">
        <v>2048</v>
      </c>
    </row>
    <row r="10" spans="3:13" x14ac:dyDescent="0.7">
      <c r="C10" s="307"/>
      <c r="D10" s="116" t="s">
        <v>1810</v>
      </c>
      <c r="E10" s="249">
        <v>1</v>
      </c>
      <c r="F10" s="244">
        <f>'Raw material list'!F151</f>
        <v>4.2500000000000003E-3</v>
      </c>
      <c r="G10" s="244">
        <v>4.2500000000000003E-3</v>
      </c>
      <c r="H10" s="244">
        <v>4.2500000000000003E-3</v>
      </c>
      <c r="I10" s="244">
        <v>4.2500000000000003E-3</v>
      </c>
      <c r="J10" s="244">
        <v>4.2500000000000003E-3</v>
      </c>
      <c r="K10" s="244">
        <v>4.2500000000000003E-3</v>
      </c>
      <c r="L10" s="244">
        <v>4.2500000000000003E-3</v>
      </c>
    </row>
    <row r="11" spans="3:13" x14ac:dyDescent="0.7">
      <c r="C11" s="307"/>
      <c r="D11" s="116" t="s">
        <v>1811</v>
      </c>
      <c r="E11" s="249">
        <v>1</v>
      </c>
      <c r="F11" s="246"/>
      <c r="G11" s="246"/>
      <c r="H11" s="246"/>
      <c r="I11" s="246"/>
      <c r="J11" s="246"/>
      <c r="K11" s="246"/>
      <c r="L11" s="246"/>
      <c r="M11" s="114" t="s">
        <v>2048</v>
      </c>
    </row>
    <row r="12" spans="3:13" x14ac:dyDescent="0.7">
      <c r="C12" s="307"/>
      <c r="D12" s="116" t="s">
        <v>1812</v>
      </c>
      <c r="E12" s="249">
        <v>1</v>
      </c>
      <c r="F12" s="116">
        <f>'Raw material list'!F74</f>
        <v>0.38</v>
      </c>
      <c r="G12" s="116">
        <v>0.38</v>
      </c>
      <c r="H12" s="116">
        <v>0.38</v>
      </c>
      <c r="I12" s="116">
        <v>0.38</v>
      </c>
      <c r="J12" s="116">
        <v>0.38</v>
      </c>
      <c r="K12" s="116">
        <v>0.38</v>
      </c>
      <c r="L12" s="116">
        <v>0.38</v>
      </c>
    </row>
    <row r="13" spans="3:13" x14ac:dyDescent="0.7">
      <c r="C13" s="307"/>
      <c r="D13" s="116" t="s">
        <v>1813</v>
      </c>
      <c r="E13" s="249">
        <v>2</v>
      </c>
      <c r="F13" s="116">
        <f>'Raw material list'!F389*2</f>
        <v>0.77500000000000002</v>
      </c>
      <c r="G13" s="116">
        <f>0.3875*2</f>
        <v>0.77500000000000002</v>
      </c>
      <c r="H13" s="116">
        <f t="shared" ref="H13:L13" si="0">0.3875*2</f>
        <v>0.77500000000000002</v>
      </c>
      <c r="I13" s="116">
        <f t="shared" si="0"/>
        <v>0.77500000000000002</v>
      </c>
      <c r="J13" s="116">
        <f t="shared" si="0"/>
        <v>0.77500000000000002</v>
      </c>
      <c r="K13" s="116">
        <f t="shared" si="0"/>
        <v>0.77500000000000002</v>
      </c>
      <c r="L13" s="116">
        <f t="shared" si="0"/>
        <v>0.77500000000000002</v>
      </c>
    </row>
    <row r="14" spans="3:13" x14ac:dyDescent="0.7">
      <c r="C14" s="307" t="s">
        <v>1774</v>
      </c>
      <c r="D14" s="116" t="s">
        <v>1779</v>
      </c>
      <c r="E14" s="249">
        <v>1</v>
      </c>
      <c r="F14" s="243">
        <f>'Sunday '!G18</f>
        <v>1.1699071443048346</v>
      </c>
      <c r="G14" s="243">
        <f>Monday!G17</f>
        <v>0.62573862915450573</v>
      </c>
      <c r="H14" s="243">
        <f>Tuesday!G18</f>
        <v>0.78345693487772461</v>
      </c>
      <c r="I14" s="243">
        <f>Wednesday!G18</f>
        <v>0.93608824990718786</v>
      </c>
      <c r="J14" s="243">
        <f>Thursday!G17</f>
        <v>0.62573862915450573</v>
      </c>
      <c r="K14" s="243">
        <f>'Friday '!G17</f>
        <v>0.76189771695775521</v>
      </c>
      <c r="L14" s="243">
        <f>'Saturday '!G18</f>
        <v>0.84770267409224787</v>
      </c>
    </row>
    <row r="15" spans="3:13" x14ac:dyDescent="0.7">
      <c r="C15" s="307"/>
      <c r="D15" s="116" t="s">
        <v>1778</v>
      </c>
      <c r="E15" s="249">
        <v>1</v>
      </c>
      <c r="F15" s="243">
        <f>'Sunday '!G21</f>
        <v>1.8050340545674881</v>
      </c>
      <c r="G15" s="243">
        <f>Monday!G20</f>
        <v>1.6720591633225026</v>
      </c>
      <c r="H15" s="243">
        <f>Tuesday!G21</f>
        <v>1.295368558632036</v>
      </c>
      <c r="I15" s="243">
        <f>Wednesday!G21</f>
        <v>1.8050340545674881</v>
      </c>
      <c r="J15" s="243">
        <f>Thursday!G20</f>
        <v>2.117414409973625</v>
      </c>
      <c r="K15" s="243">
        <f>'Friday '!G20</f>
        <v>2.0389807665368238</v>
      </c>
      <c r="L15" s="243">
        <f>'Saturday '!G21</f>
        <v>1.7068405208036843</v>
      </c>
    </row>
    <row r="16" spans="3:13" x14ac:dyDescent="0.7">
      <c r="C16" s="307"/>
      <c r="D16" s="116" t="s">
        <v>1814</v>
      </c>
      <c r="E16" s="249">
        <v>1</v>
      </c>
      <c r="F16" s="247">
        <f>MAX('Sunday '!G25:G35)</f>
        <v>8.5369958423536634</v>
      </c>
      <c r="G16" s="247">
        <f>MAX(Monday!G24:G35)</f>
        <v>7.8680767046855138</v>
      </c>
      <c r="H16" s="247">
        <f>MAX(Tuesday!G25:G35)</f>
        <v>5.3947808191502986</v>
      </c>
      <c r="I16" s="247">
        <f>MAX(Wednesday!G24:G35)</f>
        <v>5.7874865577353569</v>
      </c>
      <c r="J16" s="247">
        <f>MAX(Thursday!G23:G34)</f>
        <v>8.5863301740642992</v>
      </c>
      <c r="K16" s="247">
        <f>MAX('Friday '!G24:G33)</f>
        <v>5.9494364233904706</v>
      </c>
      <c r="L16" s="247">
        <f>MAX('Saturday '!G25:G35)</f>
        <v>6.0152958909919683</v>
      </c>
    </row>
    <row r="17" spans="3:13" x14ac:dyDescent="0.7">
      <c r="C17" s="307"/>
      <c r="D17" s="116" t="s">
        <v>1815</v>
      </c>
      <c r="E17" s="249">
        <v>1</v>
      </c>
      <c r="F17" s="247">
        <f>'Master – Recipes'!J79</f>
        <v>2.3384075040975945</v>
      </c>
      <c r="G17" s="247">
        <v>2.3384075040975945</v>
      </c>
      <c r="H17" s="247">
        <v>2.3384075040975945</v>
      </c>
      <c r="I17" s="247">
        <v>2.3384075040975945</v>
      </c>
      <c r="J17" s="247">
        <v>2.3384075040975945</v>
      </c>
      <c r="K17" s="247">
        <v>2.3384075040975945</v>
      </c>
      <c r="L17" s="247">
        <v>2.3384075040975945</v>
      </c>
    </row>
    <row r="18" spans="3:13" x14ac:dyDescent="0.7">
      <c r="C18" s="307"/>
      <c r="D18" s="116" t="s">
        <v>1816</v>
      </c>
      <c r="E18" s="249">
        <v>1</v>
      </c>
      <c r="F18" s="247">
        <f>'Raw material list'!F147</f>
        <v>1.2272727272727272E-2</v>
      </c>
      <c r="G18" s="247">
        <v>1.2272727272727272E-2</v>
      </c>
      <c r="H18" s="247">
        <v>1.2272727272727272E-2</v>
      </c>
      <c r="I18" s="247">
        <v>1.2272727272727272E-2</v>
      </c>
      <c r="J18" s="247">
        <v>1.2272727272727272E-2</v>
      </c>
      <c r="K18" s="247">
        <v>1.2272727272727272E-2</v>
      </c>
      <c r="L18" s="247">
        <v>1.2272727272727272E-2</v>
      </c>
    </row>
    <row r="19" spans="3:13" x14ac:dyDescent="0.7">
      <c r="C19" s="307"/>
      <c r="D19" s="116" t="s">
        <v>1817</v>
      </c>
      <c r="E19" s="249">
        <v>2</v>
      </c>
      <c r="F19" s="116">
        <f t="shared" ref="F19:L19" si="1">0.3875*2</f>
        <v>0.77500000000000002</v>
      </c>
      <c r="G19" s="116">
        <f t="shared" si="1"/>
        <v>0.77500000000000002</v>
      </c>
      <c r="H19" s="116">
        <f t="shared" si="1"/>
        <v>0.77500000000000002</v>
      </c>
      <c r="I19" s="116">
        <f t="shared" si="1"/>
        <v>0.77500000000000002</v>
      </c>
      <c r="J19" s="116">
        <f t="shared" si="1"/>
        <v>0.77500000000000002</v>
      </c>
      <c r="K19" s="116">
        <f t="shared" si="1"/>
        <v>0.77500000000000002</v>
      </c>
      <c r="L19" s="116">
        <f t="shared" si="1"/>
        <v>0.77500000000000002</v>
      </c>
    </row>
    <row r="20" spans="3:13" x14ac:dyDescent="0.7">
      <c r="C20" s="307"/>
      <c r="D20" s="116" t="s">
        <v>1818</v>
      </c>
      <c r="E20" s="249">
        <v>1</v>
      </c>
      <c r="F20" s="246"/>
      <c r="G20" s="246"/>
      <c r="H20" s="246"/>
      <c r="I20" s="246"/>
      <c r="J20" s="246"/>
      <c r="K20" s="246"/>
      <c r="L20" s="246"/>
      <c r="M20" s="114" t="s">
        <v>2048</v>
      </c>
    </row>
    <row r="21" spans="3:13" x14ac:dyDescent="0.7">
      <c r="C21" s="307" t="s">
        <v>1773</v>
      </c>
      <c r="D21" s="116" t="s">
        <v>1779</v>
      </c>
      <c r="E21" s="249">
        <v>1</v>
      </c>
      <c r="F21" s="243">
        <f>'Sunday '!G50</f>
        <v>0.94078913885478821</v>
      </c>
      <c r="G21" s="243">
        <f>Monday!G48</f>
        <v>0.8412489216936988</v>
      </c>
      <c r="H21" s="243">
        <f>Tuesday!G49</f>
        <v>0.87605055965013834</v>
      </c>
      <c r="I21" s="243">
        <f>Wednesday!G50</f>
        <v>0.82965491491842913</v>
      </c>
      <c r="J21" s="243">
        <f>Thursday!G49</f>
        <v>0.94078913885478821</v>
      </c>
      <c r="K21" s="243">
        <f>'Friday '!G47</f>
        <v>1.0261522122731106</v>
      </c>
      <c r="L21" s="243">
        <f>'Saturday '!G49</f>
        <v>0.93023921051699021</v>
      </c>
    </row>
    <row r="22" spans="3:13" x14ac:dyDescent="0.7">
      <c r="C22" s="307"/>
      <c r="D22" s="116" t="s">
        <v>1778</v>
      </c>
      <c r="E22" s="249">
        <v>1</v>
      </c>
      <c r="F22" s="243">
        <f>'Sunday '!G53</f>
        <v>1.2029384224641841</v>
      </c>
      <c r="G22" s="243">
        <f>Monday!G51</f>
        <v>1.2029384224641841</v>
      </c>
      <c r="H22" s="243">
        <f>Tuesday!G52</f>
        <v>1.2029384224641841</v>
      </c>
      <c r="I22" s="243">
        <f>Wednesday!G53</f>
        <v>1.2029384224641841</v>
      </c>
      <c r="J22" s="243">
        <f>Thursday!G52</f>
        <v>1.2029384224641841</v>
      </c>
      <c r="K22" s="243">
        <f>'Friday '!G50</f>
        <v>1.2029384224641841</v>
      </c>
      <c r="L22" s="243">
        <f>'Saturday '!G52</f>
        <v>1.2029384224641841</v>
      </c>
    </row>
    <row r="23" spans="3:13" x14ac:dyDescent="0.7">
      <c r="C23" s="307"/>
      <c r="D23" s="116" t="s">
        <v>1820</v>
      </c>
      <c r="E23" s="249">
        <v>1</v>
      </c>
      <c r="F23" s="247">
        <f>MAX('Sunday '!G58:G66)</f>
        <v>6.5301189822064636</v>
      </c>
      <c r="G23" s="247">
        <f>MAX(Monday!G56:G64)</f>
        <v>5.7769184133248528</v>
      </c>
      <c r="H23" s="247">
        <f>MAX(Tuesday!G57:G65)</f>
        <v>6.0950544260189261</v>
      </c>
      <c r="I23" s="247">
        <f>MAX(Wednesday!G58:G66)</f>
        <v>6.0607558507614563</v>
      </c>
      <c r="J23" s="247">
        <f>MAX(Thursday!G57:G65)</f>
        <v>5.0337310041824308</v>
      </c>
      <c r="K23" s="247">
        <f>MAX('Friday '!G53:G62)</f>
        <v>7.3655786119160647</v>
      </c>
      <c r="L23" s="247">
        <f>MAX('Saturday '!G57:G65)</f>
        <v>5.0337310041824308</v>
      </c>
    </row>
    <row r="24" spans="3:13" x14ac:dyDescent="0.7">
      <c r="C24" s="307"/>
      <c r="D24" s="116" t="s">
        <v>1819</v>
      </c>
      <c r="E24" s="249">
        <v>1</v>
      </c>
      <c r="F24" s="247">
        <f>'Sunday '!G44</f>
        <v>0.94041226037315262</v>
      </c>
      <c r="G24" s="247">
        <f>Monday!G43</f>
        <v>0.91422878666017315</v>
      </c>
      <c r="H24" s="247">
        <f>Tuesday!G44</f>
        <v>0.91376546469751807</v>
      </c>
      <c r="I24" s="247">
        <f>Wednesday!G44</f>
        <v>0.89719994050632701</v>
      </c>
      <c r="J24" s="247">
        <f>Thursday!G43</f>
        <v>0.87980432987483992</v>
      </c>
      <c r="K24" s="247">
        <f>'Friday '!G42</f>
        <v>0.89719994050632701</v>
      </c>
      <c r="L24" s="247">
        <f>'Saturday '!G44</f>
        <v>0.89719994050632701</v>
      </c>
    </row>
    <row r="25" spans="3:13" x14ac:dyDescent="0.7">
      <c r="C25" s="307"/>
      <c r="D25" s="116" t="s">
        <v>1816</v>
      </c>
      <c r="E25" s="249">
        <v>1</v>
      </c>
      <c r="F25" s="247">
        <f>F18</f>
        <v>1.2272727272727272E-2</v>
      </c>
      <c r="G25" s="247">
        <v>1.2272727272727272E-2</v>
      </c>
      <c r="H25" s="247">
        <v>1.2272727272727272E-2</v>
      </c>
      <c r="I25" s="247">
        <v>1.2272727272727272E-2</v>
      </c>
      <c r="J25" s="247">
        <v>1.2272727272727272E-2</v>
      </c>
      <c r="K25" s="247">
        <v>1.2272727272727272E-2</v>
      </c>
      <c r="L25" s="247">
        <v>1.2272727272727272E-2</v>
      </c>
    </row>
    <row r="26" spans="3:13" x14ac:dyDescent="0.7">
      <c r="C26" s="307"/>
      <c r="D26" s="116" t="s">
        <v>1817</v>
      </c>
      <c r="E26" s="249">
        <v>2</v>
      </c>
      <c r="F26" s="116">
        <f t="shared" ref="F26:L26" si="2">0.3875*2</f>
        <v>0.77500000000000002</v>
      </c>
      <c r="G26" s="116">
        <f t="shared" si="2"/>
        <v>0.77500000000000002</v>
      </c>
      <c r="H26" s="116">
        <f t="shared" si="2"/>
        <v>0.77500000000000002</v>
      </c>
      <c r="I26" s="116">
        <f t="shared" si="2"/>
        <v>0.77500000000000002</v>
      </c>
      <c r="J26" s="116">
        <f t="shared" si="2"/>
        <v>0.77500000000000002</v>
      </c>
      <c r="K26" s="116">
        <f t="shared" si="2"/>
        <v>0.77500000000000002</v>
      </c>
      <c r="L26" s="116">
        <f t="shared" si="2"/>
        <v>0.77500000000000002</v>
      </c>
    </row>
    <row r="27" spans="3:13" x14ac:dyDescent="0.7">
      <c r="C27" s="307"/>
      <c r="D27" s="116" t="s">
        <v>1818</v>
      </c>
      <c r="E27" s="249">
        <v>1</v>
      </c>
      <c r="F27" s="246"/>
      <c r="G27" s="246"/>
      <c r="H27" s="246"/>
      <c r="I27" s="246"/>
      <c r="J27" s="246"/>
      <c r="K27" s="246"/>
      <c r="L27" s="246"/>
      <c r="M27" s="114" t="s">
        <v>2048</v>
      </c>
    </row>
    <row r="28" spans="3:13" x14ac:dyDescent="0.7">
      <c r="C28" s="307" t="s">
        <v>1823</v>
      </c>
      <c r="D28" s="116" t="s">
        <v>833</v>
      </c>
      <c r="E28" s="249">
        <v>1</v>
      </c>
      <c r="F28" s="116">
        <f>0.3875</f>
        <v>0.38750000000000001</v>
      </c>
      <c r="G28" s="116">
        <f t="shared" ref="G28:L28" si="3">0.3875</f>
        <v>0.38750000000000001</v>
      </c>
      <c r="H28" s="116">
        <f t="shared" si="3"/>
        <v>0.38750000000000001</v>
      </c>
      <c r="I28" s="116">
        <f t="shared" si="3"/>
        <v>0.38750000000000001</v>
      </c>
      <c r="J28" s="116">
        <f t="shared" si="3"/>
        <v>0.38750000000000001</v>
      </c>
      <c r="K28" s="116">
        <f t="shared" si="3"/>
        <v>0.38750000000000001</v>
      </c>
      <c r="L28" s="116">
        <f t="shared" si="3"/>
        <v>0.38750000000000001</v>
      </c>
    </row>
    <row r="29" spans="3:13" x14ac:dyDescent="0.7">
      <c r="C29" s="307"/>
      <c r="D29" s="116" t="s">
        <v>1824</v>
      </c>
      <c r="E29" s="249">
        <v>1</v>
      </c>
      <c r="F29" s="247">
        <f>'Master – Recipes'!J82</f>
        <v>0.55247264957264963</v>
      </c>
      <c r="G29" s="247">
        <v>0.55247264957264963</v>
      </c>
      <c r="H29" s="247">
        <v>0.55247264957264963</v>
      </c>
      <c r="I29" s="247">
        <v>0.55247264957264963</v>
      </c>
      <c r="J29" s="247">
        <v>0.55247264957264963</v>
      </c>
      <c r="K29" s="247">
        <v>0.55247264957264963</v>
      </c>
      <c r="L29" s="247">
        <v>0.55247264957264963</v>
      </c>
    </row>
    <row r="30" spans="3:13" x14ac:dyDescent="0.7">
      <c r="C30" s="307"/>
      <c r="D30" s="116" t="s">
        <v>1825</v>
      </c>
      <c r="E30" s="249">
        <v>1</v>
      </c>
      <c r="F30" s="116">
        <f>F7</f>
        <v>3.5000000000000003E-2</v>
      </c>
      <c r="G30" s="116">
        <v>3.5000000000000003E-2</v>
      </c>
      <c r="H30" s="116">
        <v>3.5000000000000003E-2</v>
      </c>
      <c r="I30" s="116">
        <v>3.5000000000000003E-2</v>
      </c>
      <c r="J30" s="116">
        <v>3.5000000000000003E-2</v>
      </c>
      <c r="K30" s="116">
        <v>3.5000000000000003E-2</v>
      </c>
      <c r="L30" s="116">
        <v>3.5000000000000003E-2</v>
      </c>
    </row>
    <row r="31" spans="3:13" x14ac:dyDescent="0.7">
      <c r="C31" s="116"/>
      <c r="D31" s="250" t="s">
        <v>2053</v>
      </c>
      <c r="E31" s="117"/>
      <c r="F31" s="251">
        <f>SUM(F5:F30)</f>
        <v>30.495779796798633</v>
      </c>
      <c r="G31" s="251">
        <f t="shared" ref="G31:L31" si="4">SUM(G5:G30)</f>
        <v>27.533179882864793</v>
      </c>
      <c r="H31" s="251">
        <f t="shared" si="4"/>
        <v>25.811575674949687</v>
      </c>
      <c r="I31" s="251">
        <f t="shared" si="4"/>
        <v>26.659713551544634</v>
      </c>
      <c r="J31" s="251">
        <f t="shared" si="4"/>
        <v>28.342578044520867</v>
      </c>
      <c r="K31" s="251">
        <f t="shared" si="4"/>
        <v>28.061301653063932</v>
      </c>
      <c r="L31" s="251">
        <f t="shared" si="4"/>
        <v>25.313712166492856</v>
      </c>
    </row>
    <row r="32" spans="3:13" x14ac:dyDescent="0.7">
      <c r="C32" s="116"/>
      <c r="D32" s="116" t="s">
        <v>2049</v>
      </c>
      <c r="E32" s="117"/>
      <c r="F32" s="242">
        <f>'Packing Cost'!H31</f>
        <v>6.2185599999999992</v>
      </c>
      <c r="G32" s="242">
        <v>6.2185599999999992</v>
      </c>
      <c r="H32" s="242">
        <v>6.2185599999999992</v>
      </c>
      <c r="I32" s="242">
        <v>6.2185599999999992</v>
      </c>
      <c r="J32" s="242">
        <v>6.2185599999999992</v>
      </c>
      <c r="K32" s="242">
        <v>6.2185599999999992</v>
      </c>
      <c r="L32" s="242">
        <v>6.2185599999999992</v>
      </c>
    </row>
    <row r="33" spans="3:13" x14ac:dyDescent="0.7">
      <c r="C33" s="116"/>
      <c r="D33" s="116" t="s">
        <v>2050</v>
      </c>
      <c r="E33" s="254" t="s">
        <v>2052</v>
      </c>
      <c r="F33" s="116">
        <v>10</v>
      </c>
      <c r="G33" s="116">
        <v>10</v>
      </c>
      <c r="H33" s="116">
        <v>10</v>
      </c>
      <c r="I33" s="116">
        <v>10</v>
      </c>
      <c r="J33" s="116">
        <v>10</v>
      </c>
      <c r="K33" s="116">
        <v>10</v>
      </c>
      <c r="L33" s="116">
        <v>10</v>
      </c>
    </row>
    <row r="34" spans="3:13" x14ac:dyDescent="0.7">
      <c r="C34" s="116"/>
      <c r="D34" s="116" t="s">
        <v>5</v>
      </c>
      <c r="E34" s="254" t="s">
        <v>2052</v>
      </c>
      <c r="F34" s="116">
        <v>8</v>
      </c>
      <c r="G34" s="116">
        <v>8</v>
      </c>
      <c r="H34" s="116">
        <v>8</v>
      </c>
      <c r="I34" s="116">
        <v>8</v>
      </c>
      <c r="J34" s="116">
        <v>8</v>
      </c>
      <c r="K34" s="116">
        <v>8</v>
      </c>
      <c r="L34" s="116">
        <v>8</v>
      </c>
    </row>
    <row r="35" spans="3:13" ht="18.600000000000001" thickBot="1" x14ac:dyDescent="0.75">
      <c r="D35" s="111" t="s">
        <v>2051</v>
      </c>
      <c r="F35" s="253">
        <f>SUM(F31:F34)</f>
        <v>54.714339796798633</v>
      </c>
      <c r="G35" s="253">
        <f t="shared" ref="G35:L35" si="5">SUM(G31:G34)</f>
        <v>51.75173988286479</v>
      </c>
      <c r="H35" s="253">
        <f t="shared" si="5"/>
        <v>50.030135674949683</v>
      </c>
      <c r="I35" s="253">
        <f t="shared" si="5"/>
        <v>50.87827355154463</v>
      </c>
      <c r="J35" s="253">
        <f t="shared" si="5"/>
        <v>52.561138044520867</v>
      </c>
      <c r="K35" s="253">
        <f t="shared" si="5"/>
        <v>52.279861653063932</v>
      </c>
      <c r="L35" s="253">
        <f t="shared" si="5"/>
        <v>49.532272166492859</v>
      </c>
      <c r="M35" s="255"/>
    </row>
    <row r="36" spans="3:13" ht="18.600000000000001" thickTop="1" x14ac:dyDescent="0.7"/>
  </sheetData>
  <mergeCells count="4">
    <mergeCell ref="C4:C13"/>
    <mergeCell ref="C14:C20"/>
    <mergeCell ref="C21:C27"/>
    <mergeCell ref="C28:C30"/>
  </mergeCells>
  <phoneticPr fontId="3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14542-E8C4-44EA-AB38-E182078C54A8}">
  <sheetPr>
    <pageSetUpPr fitToPage="1"/>
  </sheetPr>
  <dimension ref="A1:G65"/>
  <sheetViews>
    <sheetView view="pageBreakPreview" zoomScale="60" zoomScaleNormal="78" workbookViewId="0">
      <selection activeCell="I42" sqref="I42"/>
    </sheetView>
  </sheetViews>
  <sheetFormatPr defaultRowHeight="20.399999999999999" x14ac:dyDescent="0.75"/>
  <cols>
    <col min="1" max="1" width="55.68359375" style="177" customWidth="1"/>
    <col min="2" max="2" width="107" style="177" customWidth="1"/>
    <col min="3" max="3" width="7.7890625" style="177" customWidth="1"/>
    <col min="4" max="4" width="16.9453125" style="148" customWidth="1"/>
    <col min="5" max="5" width="24" style="148" customWidth="1"/>
    <col min="6" max="6" width="15.41796875" style="148" customWidth="1"/>
    <col min="7" max="7" width="19.20703125" style="148" customWidth="1"/>
    <col min="8" max="1006" width="8.68359375" style="148" customWidth="1"/>
    <col min="1007" max="16384" width="8.83984375" style="148"/>
  </cols>
  <sheetData>
    <row r="1" spans="1:7" x14ac:dyDescent="0.75">
      <c r="A1" s="308" t="s">
        <v>2007</v>
      </c>
      <c r="B1" s="309"/>
      <c r="C1" s="226"/>
    </row>
    <row r="2" spans="1:7" s="180" customFormat="1" x14ac:dyDescent="0.75">
      <c r="A2" s="178" t="s">
        <v>1834</v>
      </c>
      <c r="B2" s="179" t="s">
        <v>1536</v>
      </c>
      <c r="C2" s="310" t="s">
        <v>2009</v>
      </c>
      <c r="D2" s="310"/>
      <c r="E2" s="311"/>
      <c r="F2" s="237" t="s">
        <v>2046</v>
      </c>
      <c r="G2" s="237" t="str">
        <f>'Sunday '!G3</f>
        <v>Avg.Food Cost</v>
      </c>
    </row>
    <row r="3" spans="1:7" x14ac:dyDescent="0.75">
      <c r="A3" s="156"/>
      <c r="B3" s="156" t="s">
        <v>1835</v>
      </c>
      <c r="C3" s="156" t="s">
        <v>29</v>
      </c>
      <c r="D3" s="147" t="s">
        <v>2044</v>
      </c>
      <c r="E3" s="147" t="s">
        <v>2045</v>
      </c>
      <c r="F3" s="147"/>
      <c r="G3" s="147"/>
    </row>
    <row r="4" spans="1:7" x14ac:dyDescent="0.75">
      <c r="A4" s="154" t="s">
        <v>1836</v>
      </c>
      <c r="B4" s="155" t="s">
        <v>1837</v>
      </c>
      <c r="C4" s="155"/>
      <c r="D4" s="150"/>
      <c r="E4" s="150"/>
      <c r="F4" s="150"/>
      <c r="G4" s="150"/>
    </row>
    <row r="5" spans="1:7" x14ac:dyDescent="0.75">
      <c r="A5" s="167" t="s">
        <v>1838</v>
      </c>
      <c r="B5" s="163" t="s">
        <v>1839</v>
      </c>
      <c r="C5" s="163" t="s">
        <v>2036</v>
      </c>
      <c r="D5" s="151">
        <v>180</v>
      </c>
      <c r="E5" s="151">
        <v>200</v>
      </c>
      <c r="F5" s="232">
        <f>'Master – Recipes'!J124+'Master – Recipes'!J125</f>
        <v>1.5496101984422181</v>
      </c>
      <c r="G5" s="151"/>
    </row>
    <row r="6" spans="1:7" x14ac:dyDescent="0.75">
      <c r="A6" s="168" t="s">
        <v>1840</v>
      </c>
      <c r="B6" s="167" t="s">
        <v>1841</v>
      </c>
      <c r="C6" s="163" t="s">
        <v>2036</v>
      </c>
      <c r="D6" s="151">
        <v>180</v>
      </c>
      <c r="E6" s="151">
        <v>200</v>
      </c>
      <c r="F6" s="232">
        <f>'Master – Recipes'!J125+'Master – Recipes'!J126</f>
        <v>2.3675043669607367</v>
      </c>
      <c r="G6" s="151"/>
    </row>
    <row r="7" spans="1:7" x14ac:dyDescent="0.75">
      <c r="A7" s="167" t="s">
        <v>1842</v>
      </c>
      <c r="B7" s="167" t="s">
        <v>1843</v>
      </c>
      <c r="C7" s="163" t="s">
        <v>2036</v>
      </c>
      <c r="D7" s="151" t="s">
        <v>2008</v>
      </c>
      <c r="E7" s="151"/>
      <c r="F7" s="232">
        <f>'Master – Recipes'!J126+'Master – Recipes'!J127</f>
        <v>2.0236298780701754</v>
      </c>
      <c r="G7" s="151"/>
    </row>
    <row r="8" spans="1:7" x14ac:dyDescent="0.75">
      <c r="A8" s="168" t="s">
        <v>1840</v>
      </c>
      <c r="B8" s="167" t="s">
        <v>1844</v>
      </c>
      <c r="C8" s="163" t="s">
        <v>2036</v>
      </c>
      <c r="D8" s="151">
        <v>180</v>
      </c>
      <c r="E8" s="151">
        <v>200</v>
      </c>
      <c r="F8" s="232">
        <f>'Master – Recipes'!J127+'Master – Recipes'!J125</f>
        <v>1.5539902783642456</v>
      </c>
      <c r="G8" s="151"/>
    </row>
    <row r="9" spans="1:7" x14ac:dyDescent="0.75">
      <c r="A9" s="167" t="s">
        <v>1845</v>
      </c>
      <c r="B9" s="163" t="s">
        <v>1846</v>
      </c>
      <c r="C9" s="163"/>
      <c r="D9" s="151"/>
      <c r="E9" s="151"/>
      <c r="F9" s="232">
        <f>'Master – Recipes'!J128+'Master – Recipes'!J127</f>
        <v>2.0381085614035088</v>
      </c>
      <c r="G9" s="151"/>
    </row>
    <row r="10" spans="1:7" x14ac:dyDescent="0.75">
      <c r="A10" s="154" t="s">
        <v>1836</v>
      </c>
      <c r="B10" s="155" t="s">
        <v>1847</v>
      </c>
      <c r="C10" s="155"/>
      <c r="D10" s="150"/>
      <c r="E10" s="150"/>
      <c r="F10" s="150"/>
      <c r="G10" s="150"/>
    </row>
    <row r="11" spans="1:7" x14ac:dyDescent="0.75">
      <c r="A11" s="159" t="s">
        <v>1848</v>
      </c>
      <c r="B11" s="157" t="s">
        <v>1849</v>
      </c>
      <c r="C11" s="157"/>
      <c r="D11" s="151"/>
      <c r="E11" s="151"/>
      <c r="F11" s="232">
        <f>'Master – Recipes'!J131</f>
        <v>0.8098461940226328</v>
      </c>
      <c r="G11" s="151"/>
    </row>
    <row r="12" spans="1:7" x14ac:dyDescent="0.75">
      <c r="A12" s="157" t="s">
        <v>1850</v>
      </c>
      <c r="B12" s="158" t="s">
        <v>1851</v>
      </c>
      <c r="C12" s="158"/>
      <c r="D12" s="151"/>
      <c r="E12" s="151"/>
      <c r="F12" s="151">
        <v>1</v>
      </c>
      <c r="G12" s="235">
        <f>AVERAGE(F5:F12)</f>
        <v>1.6203842110376456</v>
      </c>
    </row>
    <row r="13" spans="1:7" x14ac:dyDescent="0.75">
      <c r="A13" s="160"/>
      <c r="B13" s="160" t="s">
        <v>1862</v>
      </c>
      <c r="C13" s="160"/>
      <c r="D13" s="130"/>
      <c r="E13" s="130"/>
      <c r="F13" s="130"/>
      <c r="G13" s="130"/>
    </row>
    <row r="14" spans="1:7" x14ac:dyDescent="0.75">
      <c r="A14" s="161" t="s">
        <v>1857</v>
      </c>
      <c r="B14" s="161" t="s">
        <v>1863</v>
      </c>
      <c r="C14" s="161"/>
      <c r="D14" s="126"/>
      <c r="E14" s="126"/>
      <c r="F14" s="126"/>
      <c r="G14" s="126"/>
    </row>
    <row r="15" spans="1:7" x14ac:dyDescent="0.75">
      <c r="A15" s="162" t="s">
        <v>1864</v>
      </c>
      <c r="B15" s="158" t="s">
        <v>1865</v>
      </c>
      <c r="C15" s="163" t="s">
        <v>1444</v>
      </c>
      <c r="D15" s="151">
        <v>180</v>
      </c>
      <c r="E15" s="151">
        <v>200</v>
      </c>
      <c r="F15" s="232">
        <f>'Master – Recipes'!J121</f>
        <v>0.55986860054547083</v>
      </c>
      <c r="G15" s="151"/>
    </row>
    <row r="16" spans="1:7" x14ac:dyDescent="0.75">
      <c r="A16" s="162" t="s">
        <v>1864</v>
      </c>
      <c r="B16" s="164" t="s">
        <v>1866</v>
      </c>
      <c r="C16" s="163" t="s">
        <v>1444</v>
      </c>
      <c r="D16" s="151">
        <v>180</v>
      </c>
      <c r="E16" s="151">
        <v>200</v>
      </c>
      <c r="F16" s="232">
        <f>'Master – Recipes'!J123</f>
        <v>1.0430935884819044</v>
      </c>
      <c r="G16" s="151"/>
    </row>
    <row r="17" spans="1:7" x14ac:dyDescent="0.75">
      <c r="A17" s="164" t="s">
        <v>1867</v>
      </c>
      <c r="B17" s="165" t="s">
        <v>1868</v>
      </c>
      <c r="C17" s="163" t="s">
        <v>1444</v>
      </c>
      <c r="D17" s="151">
        <v>180</v>
      </c>
      <c r="E17" s="151">
        <v>200</v>
      </c>
      <c r="F17" s="232">
        <f>F49</f>
        <v>0.74370729981209283</v>
      </c>
      <c r="G17" s="151"/>
    </row>
    <row r="18" spans="1:7" x14ac:dyDescent="0.75">
      <c r="A18" s="164" t="s">
        <v>1869</v>
      </c>
      <c r="B18" s="164" t="s">
        <v>1870</v>
      </c>
      <c r="C18" s="163" t="s">
        <v>1444</v>
      </c>
      <c r="D18" s="151">
        <v>180</v>
      </c>
      <c r="E18" s="151">
        <v>200</v>
      </c>
      <c r="F18" s="232">
        <f>'Master – Recipes'!J102</f>
        <v>1.0441412075295236</v>
      </c>
      <c r="G18" s="232">
        <f>AVERAGE(F15:F18)</f>
        <v>0.84770267409224787</v>
      </c>
    </row>
    <row r="19" spans="1:7" x14ac:dyDescent="0.75">
      <c r="A19" s="161" t="s">
        <v>1857</v>
      </c>
      <c r="B19" s="166" t="s">
        <v>1778</v>
      </c>
      <c r="C19" s="166"/>
      <c r="D19" s="127"/>
      <c r="E19" s="127"/>
      <c r="F19" s="127"/>
      <c r="G19" s="127"/>
    </row>
    <row r="20" spans="1:7" x14ac:dyDescent="0.75">
      <c r="A20" s="162" t="s">
        <v>1864</v>
      </c>
      <c r="B20" s="167" t="s">
        <v>1871</v>
      </c>
      <c r="C20" s="163" t="s">
        <v>2036</v>
      </c>
      <c r="D20" s="151">
        <v>125</v>
      </c>
      <c r="E20" s="151">
        <v>180</v>
      </c>
      <c r="F20" s="232">
        <f>'Master – Recipes'!J160</f>
        <v>1.9849722352588619</v>
      </c>
      <c r="G20" s="151"/>
    </row>
    <row r="21" spans="1:7" x14ac:dyDescent="0.75">
      <c r="A21" s="164" t="s">
        <v>1869</v>
      </c>
      <c r="B21" s="167" t="s">
        <v>1872</v>
      </c>
      <c r="C21" s="163" t="s">
        <v>2036</v>
      </c>
      <c r="D21" s="151">
        <v>125</v>
      </c>
      <c r="E21" s="151">
        <v>180</v>
      </c>
      <c r="F21" s="232">
        <f>F52</f>
        <v>1.4287088063485065</v>
      </c>
      <c r="G21" s="232">
        <f>AVERAGE(F20:F21)</f>
        <v>1.7068405208036843</v>
      </c>
    </row>
    <row r="22" spans="1:7" x14ac:dyDescent="0.75">
      <c r="A22" s="161" t="s">
        <v>1857</v>
      </c>
      <c r="B22" s="166" t="s">
        <v>1873</v>
      </c>
      <c r="C22" s="166"/>
      <c r="D22" s="127"/>
      <c r="E22" s="127"/>
      <c r="F22" s="127"/>
      <c r="G22" s="127"/>
    </row>
    <row r="23" spans="1:7" x14ac:dyDescent="0.75">
      <c r="A23" s="168" t="s">
        <v>1864</v>
      </c>
      <c r="B23" s="167" t="s">
        <v>1874</v>
      </c>
      <c r="C23" s="163" t="s">
        <v>2036</v>
      </c>
      <c r="D23" s="151">
        <v>380</v>
      </c>
      <c r="E23" s="151">
        <v>460</v>
      </c>
      <c r="F23" s="232">
        <f>'Master – Recipes'!J53</f>
        <v>6.4857535715465957</v>
      </c>
      <c r="G23" s="151"/>
    </row>
    <row r="24" spans="1:7" x14ac:dyDescent="0.75">
      <c r="A24" s="168" t="s">
        <v>1864</v>
      </c>
      <c r="B24" s="158" t="s">
        <v>1875</v>
      </c>
      <c r="C24" s="163" t="s">
        <v>2036</v>
      </c>
      <c r="D24" s="151">
        <v>380</v>
      </c>
      <c r="E24" s="151">
        <v>460</v>
      </c>
      <c r="F24" s="232">
        <f>'Master – Recipes'!J16</f>
        <v>5.1319821613629077</v>
      </c>
      <c r="G24" s="151"/>
    </row>
    <row r="25" spans="1:7" x14ac:dyDescent="0.75">
      <c r="A25" s="168" t="s">
        <v>1864</v>
      </c>
      <c r="B25" s="167" t="s">
        <v>1876</v>
      </c>
      <c r="C25" s="163" t="s">
        <v>2036</v>
      </c>
      <c r="D25" s="151">
        <v>380</v>
      </c>
      <c r="E25" s="151">
        <v>460</v>
      </c>
      <c r="F25" s="232">
        <f>'Master – Recipes'!J52</f>
        <v>6.4281519400664004</v>
      </c>
      <c r="G25" s="232">
        <f>AVERAGE(F23:F25)</f>
        <v>6.0152958909919683</v>
      </c>
    </row>
    <row r="26" spans="1:7" x14ac:dyDescent="0.75">
      <c r="A26" s="161" t="s">
        <v>1857</v>
      </c>
      <c r="B26" s="166" t="s">
        <v>1877</v>
      </c>
      <c r="C26" s="166"/>
      <c r="D26" s="127"/>
      <c r="E26" s="127"/>
      <c r="F26" s="127"/>
      <c r="G26" s="127"/>
    </row>
    <row r="27" spans="1:7" x14ac:dyDescent="0.75">
      <c r="A27" s="162" t="s">
        <v>1864</v>
      </c>
      <c r="B27" s="170" t="s">
        <v>1878</v>
      </c>
      <c r="C27" s="163" t="s">
        <v>2036</v>
      </c>
      <c r="D27" s="151">
        <v>380</v>
      </c>
      <c r="E27" s="151">
        <v>460</v>
      </c>
      <c r="F27" s="232">
        <f>'Master – Recipes'!J63</f>
        <v>5.9948634046357521</v>
      </c>
      <c r="G27" s="151"/>
    </row>
    <row r="28" spans="1:7" x14ac:dyDescent="0.75">
      <c r="A28" s="164" t="s">
        <v>1879</v>
      </c>
      <c r="B28" s="162" t="s">
        <v>1880</v>
      </c>
      <c r="C28" s="163" t="s">
        <v>2036</v>
      </c>
      <c r="D28" s="151">
        <v>280</v>
      </c>
      <c r="E28" s="151">
        <v>350</v>
      </c>
      <c r="F28" s="232">
        <f>'Master – Recipes'!J71</f>
        <v>5.105259634403839</v>
      </c>
      <c r="G28" s="151"/>
    </row>
    <row r="29" spans="1:7" ht="40.799999999999997" x14ac:dyDescent="0.75">
      <c r="A29" s="162" t="s">
        <v>1881</v>
      </c>
      <c r="B29" s="162" t="s">
        <v>1882</v>
      </c>
      <c r="C29" s="163" t="s">
        <v>2036</v>
      </c>
      <c r="D29" s="151">
        <v>280</v>
      </c>
      <c r="E29" s="151">
        <v>350</v>
      </c>
      <c r="F29" s="232">
        <f>'Master – Recipes'!J61</f>
        <v>6.349787493199857</v>
      </c>
      <c r="G29" s="151"/>
    </row>
    <row r="30" spans="1:7" x14ac:dyDescent="0.75">
      <c r="A30" s="162" t="s">
        <v>1883</v>
      </c>
      <c r="B30" s="162" t="s">
        <v>1884</v>
      </c>
      <c r="C30" s="163" t="s">
        <v>2036</v>
      </c>
      <c r="D30" s="151">
        <v>280</v>
      </c>
      <c r="E30" s="151">
        <v>350</v>
      </c>
      <c r="F30" s="232">
        <f>'Master – Recipes'!J72</f>
        <v>5.4259856297199986</v>
      </c>
      <c r="G30" s="151"/>
    </row>
    <row r="31" spans="1:7" x14ac:dyDescent="0.75">
      <c r="A31" s="162" t="s">
        <v>1864</v>
      </c>
      <c r="B31" s="162" t="s">
        <v>1885</v>
      </c>
      <c r="C31" s="163" t="s">
        <v>2036</v>
      </c>
      <c r="D31" s="151">
        <v>380</v>
      </c>
      <c r="E31" s="151">
        <v>460</v>
      </c>
      <c r="F31" s="232">
        <f>'Master – Recipes'!J68</f>
        <v>6.4354070525764193</v>
      </c>
      <c r="G31" s="151"/>
    </row>
    <row r="32" spans="1:7" x14ac:dyDescent="0.75">
      <c r="A32" s="162" t="s">
        <v>1864</v>
      </c>
      <c r="B32" s="176" t="s">
        <v>1886</v>
      </c>
      <c r="C32" s="163" t="s">
        <v>2036</v>
      </c>
      <c r="D32" s="151">
        <v>380</v>
      </c>
      <c r="E32" s="151">
        <v>460</v>
      </c>
      <c r="F32" s="232">
        <f>'Master – Recipes'!J51</f>
        <v>6.1659875268140922</v>
      </c>
      <c r="G32" s="151"/>
    </row>
    <row r="33" spans="1:7" x14ac:dyDescent="0.75">
      <c r="A33" s="162" t="s">
        <v>1869</v>
      </c>
      <c r="B33" s="162" t="s">
        <v>1887</v>
      </c>
      <c r="C33" s="163" t="s">
        <v>2036</v>
      </c>
      <c r="D33" s="151">
        <v>280</v>
      </c>
      <c r="E33" s="151">
        <v>350</v>
      </c>
      <c r="F33" s="232">
        <f>'Master – Recipes'!J55</f>
        <v>5.6308093270308124</v>
      </c>
      <c r="G33" s="151"/>
    </row>
    <row r="34" spans="1:7" x14ac:dyDescent="0.75">
      <c r="A34" s="162" t="s">
        <v>1869</v>
      </c>
      <c r="B34" s="162" t="s">
        <v>1888</v>
      </c>
      <c r="C34" s="163" t="s">
        <v>2036</v>
      </c>
      <c r="D34" s="151">
        <v>280</v>
      </c>
      <c r="E34" s="151">
        <v>350</v>
      </c>
      <c r="F34" s="232">
        <f>'Master – Recipes'!J62</f>
        <v>2.2027467563459493</v>
      </c>
      <c r="G34" s="151"/>
    </row>
    <row r="35" spans="1:7" x14ac:dyDescent="0.75">
      <c r="A35" s="162" t="s">
        <v>1889</v>
      </c>
      <c r="B35" s="167" t="s">
        <v>1890</v>
      </c>
      <c r="C35" s="163" t="s">
        <v>2036</v>
      </c>
      <c r="D35" s="151">
        <v>280</v>
      </c>
      <c r="E35" s="151">
        <v>350</v>
      </c>
      <c r="F35" s="232">
        <f>'Master – Recipes'!J67</f>
        <v>3.1325787276977977</v>
      </c>
      <c r="G35" s="232">
        <f>AVERAGE(F27:F35)</f>
        <v>5.1603806169360578</v>
      </c>
    </row>
    <row r="36" spans="1:7" x14ac:dyDescent="0.75">
      <c r="A36" s="161" t="s">
        <v>1857</v>
      </c>
      <c r="B36" s="166" t="s">
        <v>1819</v>
      </c>
      <c r="C36" s="166"/>
      <c r="D36" s="127"/>
      <c r="E36" s="127"/>
      <c r="F36" s="127"/>
      <c r="G36" s="127"/>
    </row>
    <row r="37" spans="1:7" x14ac:dyDescent="0.75">
      <c r="A37" s="168" t="s">
        <v>1891</v>
      </c>
      <c r="B37" s="167" t="s">
        <v>1892</v>
      </c>
      <c r="C37" s="167"/>
      <c r="D37" s="151"/>
      <c r="E37" s="151"/>
      <c r="F37" s="232">
        <f>'Master – Recipes'!J78</f>
        <v>0.99192627796799404</v>
      </c>
      <c r="G37" s="151"/>
    </row>
    <row r="38" spans="1:7" x14ac:dyDescent="0.75">
      <c r="A38" s="168" t="s">
        <v>1891</v>
      </c>
      <c r="B38" s="167" t="s">
        <v>1893</v>
      </c>
      <c r="C38" s="167"/>
      <c r="D38" s="151"/>
      <c r="E38" s="151"/>
      <c r="F38" s="232">
        <v>1</v>
      </c>
      <c r="G38" s="151"/>
    </row>
    <row r="39" spans="1:7" x14ac:dyDescent="0.75">
      <c r="A39" s="168" t="s">
        <v>1891</v>
      </c>
      <c r="B39" s="167" t="s">
        <v>1894</v>
      </c>
      <c r="C39" s="167"/>
      <c r="D39" s="151"/>
      <c r="E39" s="151"/>
      <c r="F39" s="232">
        <f>'Master – Recipes'!J84</f>
        <v>0.41624188034188037</v>
      </c>
      <c r="G39" s="151"/>
    </row>
    <row r="40" spans="1:7" x14ac:dyDescent="0.75">
      <c r="A40" s="168" t="s">
        <v>1891</v>
      </c>
      <c r="B40" s="167" t="s">
        <v>1895</v>
      </c>
      <c r="C40" s="167"/>
      <c r="D40" s="151"/>
      <c r="E40" s="151"/>
      <c r="F40" s="232">
        <f>'Master – Recipes'!J87</f>
        <v>0.77427395833333323</v>
      </c>
      <c r="G40" s="151"/>
    </row>
    <row r="41" spans="1:7" x14ac:dyDescent="0.75">
      <c r="A41" s="168" t="s">
        <v>1869</v>
      </c>
      <c r="B41" s="167" t="s">
        <v>1896</v>
      </c>
      <c r="C41" s="167"/>
      <c r="D41" s="151"/>
      <c r="E41" s="151"/>
      <c r="F41" s="232">
        <f>'Master – Recipes'!J74</f>
        <v>1.0043666666666669</v>
      </c>
      <c r="G41" s="151"/>
    </row>
    <row r="42" spans="1:7" x14ac:dyDescent="0.75">
      <c r="A42" s="168" t="s">
        <v>1897</v>
      </c>
      <c r="B42" s="167" t="s">
        <v>1898</v>
      </c>
      <c r="C42" s="167"/>
      <c r="D42" s="151"/>
      <c r="E42" s="151"/>
      <c r="F42" s="232">
        <f>'Master – Recipes'!J75</f>
        <v>1.5512533333333332</v>
      </c>
      <c r="G42" s="151"/>
    </row>
    <row r="43" spans="1:7" x14ac:dyDescent="0.75">
      <c r="A43" s="168" t="s">
        <v>1867</v>
      </c>
      <c r="B43" s="167" t="s">
        <v>1899</v>
      </c>
      <c r="C43" s="167"/>
      <c r="D43" s="151"/>
      <c r="E43" s="151"/>
      <c r="F43" s="232">
        <f>'Master – Recipes'!J76</f>
        <v>0.41019</v>
      </c>
      <c r="G43" s="151"/>
    </row>
    <row r="44" spans="1:7" x14ac:dyDescent="0.75">
      <c r="A44" s="168" t="s">
        <v>1869</v>
      </c>
      <c r="B44" s="167" t="s">
        <v>1584</v>
      </c>
      <c r="C44" s="167"/>
      <c r="D44" s="151"/>
      <c r="E44" s="151"/>
      <c r="F44" s="232">
        <f>'Master – Recipes'!J77</f>
        <v>1.0293474074074076</v>
      </c>
      <c r="G44" s="232">
        <f>AVERAGE(F37:F44)</f>
        <v>0.89719994050632701</v>
      </c>
    </row>
    <row r="45" spans="1:7" x14ac:dyDescent="0.75">
      <c r="A45" s="171"/>
      <c r="B45" s="172" t="s">
        <v>1900</v>
      </c>
      <c r="C45" s="172"/>
      <c r="D45" s="128"/>
      <c r="E45" s="128"/>
      <c r="F45" s="128"/>
      <c r="G45" s="128"/>
    </row>
    <row r="46" spans="1:7" x14ac:dyDescent="0.75">
      <c r="A46" s="161" t="s">
        <v>1857</v>
      </c>
      <c r="B46" s="161" t="s">
        <v>1863</v>
      </c>
      <c r="C46" s="161"/>
      <c r="D46" s="126"/>
      <c r="E46" s="126"/>
      <c r="F46" s="126"/>
      <c r="G46" s="126"/>
    </row>
    <row r="47" spans="1:7" x14ac:dyDescent="0.75">
      <c r="A47" s="168" t="s">
        <v>1901</v>
      </c>
      <c r="B47" s="163" t="s">
        <v>1902</v>
      </c>
      <c r="C47" s="163" t="s">
        <v>1444</v>
      </c>
      <c r="D47" s="151">
        <v>180</v>
      </c>
      <c r="E47" s="151">
        <v>200</v>
      </c>
      <c r="F47" s="232">
        <f>'Master – Recipes'!J120</f>
        <v>0.83361287702665399</v>
      </c>
      <c r="G47" s="151"/>
    </row>
    <row r="48" spans="1:7" x14ac:dyDescent="0.75">
      <c r="A48" s="168" t="s">
        <v>1903</v>
      </c>
      <c r="B48" s="163" t="s">
        <v>1904</v>
      </c>
      <c r="C48" s="163" t="s">
        <v>1444</v>
      </c>
      <c r="D48" s="151">
        <v>180</v>
      </c>
      <c r="E48" s="151">
        <v>200</v>
      </c>
      <c r="F48" s="232">
        <f>'Master – Recipes'!J119</f>
        <v>1.2133974547122239</v>
      </c>
      <c r="G48" s="151"/>
    </row>
    <row r="49" spans="1:7" x14ac:dyDescent="0.75">
      <c r="A49" s="167" t="s">
        <v>1867</v>
      </c>
      <c r="B49" s="165" t="s">
        <v>1868</v>
      </c>
      <c r="C49" s="163" t="s">
        <v>1444</v>
      </c>
      <c r="D49" s="151">
        <v>180</v>
      </c>
      <c r="E49" s="151">
        <v>200</v>
      </c>
      <c r="F49" s="232">
        <f>'Master – Recipes'!J88</f>
        <v>0.74370729981209283</v>
      </c>
      <c r="G49" s="232">
        <f>AVERAGE(F47:F49)</f>
        <v>0.93023921051699021</v>
      </c>
    </row>
    <row r="50" spans="1:7" x14ac:dyDescent="0.75">
      <c r="A50" s="161" t="s">
        <v>1857</v>
      </c>
      <c r="B50" s="166" t="s">
        <v>1778</v>
      </c>
      <c r="C50" s="166"/>
      <c r="D50" s="126"/>
      <c r="E50" s="126"/>
      <c r="F50" s="126"/>
      <c r="G50" s="126"/>
    </row>
    <row r="51" spans="1:7" x14ac:dyDescent="0.75">
      <c r="A51" s="168" t="s">
        <v>1864</v>
      </c>
      <c r="B51" s="167" t="s">
        <v>1905</v>
      </c>
      <c r="C51" s="163" t="s">
        <v>2036</v>
      </c>
      <c r="D51" s="151">
        <v>125</v>
      </c>
      <c r="E51" s="151">
        <v>180</v>
      </c>
      <c r="F51" s="232">
        <f>'Master – Recipes'!J153</f>
        <v>0.97716803857986201</v>
      </c>
      <c r="G51" s="151"/>
    </row>
    <row r="52" spans="1:7" x14ac:dyDescent="0.75">
      <c r="A52" s="168" t="s">
        <v>1869</v>
      </c>
      <c r="B52" s="167" t="s">
        <v>1872</v>
      </c>
      <c r="C52" s="163" t="s">
        <v>2036</v>
      </c>
      <c r="D52" s="151">
        <v>125</v>
      </c>
      <c r="E52" s="151">
        <v>180</v>
      </c>
      <c r="F52" s="232">
        <f>'Master – Recipes'!J152</f>
        <v>1.4287088063485065</v>
      </c>
      <c r="G52" s="232">
        <f>AVERAGE(F51:F52)</f>
        <v>1.2029384224641841</v>
      </c>
    </row>
    <row r="53" spans="1:7" x14ac:dyDescent="0.75">
      <c r="A53" s="161" t="s">
        <v>1857</v>
      </c>
      <c r="B53" s="166" t="s">
        <v>1906</v>
      </c>
      <c r="C53" s="166"/>
      <c r="D53" s="126"/>
      <c r="E53" s="126"/>
      <c r="F53" s="126"/>
      <c r="G53" s="126"/>
    </row>
    <row r="54" spans="1:7" x14ac:dyDescent="0.75">
      <c r="A54" s="168" t="s">
        <v>1864</v>
      </c>
      <c r="B54" s="170" t="s">
        <v>1907</v>
      </c>
      <c r="C54" s="163" t="s">
        <v>2036</v>
      </c>
      <c r="D54" s="151">
        <v>380</v>
      </c>
      <c r="E54" s="151">
        <v>460</v>
      </c>
      <c r="F54" s="232">
        <f>'Master – Recipes'!J57</f>
        <v>6.4492341743876516</v>
      </c>
      <c r="G54" s="151"/>
    </row>
    <row r="55" spans="1:7" x14ac:dyDescent="0.75">
      <c r="A55" s="168" t="s">
        <v>1864</v>
      </c>
      <c r="B55" s="170" t="s">
        <v>1908</v>
      </c>
      <c r="C55" s="163" t="s">
        <v>2036</v>
      </c>
      <c r="D55" s="151">
        <v>380</v>
      </c>
      <c r="E55" s="151">
        <v>460</v>
      </c>
      <c r="F55" s="232">
        <f>'Master – Recipes'!J50</f>
        <v>4.2230279139433549</v>
      </c>
      <c r="G55" s="151"/>
    </row>
    <row r="56" spans="1:7" x14ac:dyDescent="0.75">
      <c r="A56" s="168" t="s">
        <v>1864</v>
      </c>
      <c r="B56" s="167" t="s">
        <v>1909</v>
      </c>
      <c r="C56" s="163" t="s">
        <v>2036</v>
      </c>
      <c r="D56" s="151">
        <f>50+60+50</f>
        <v>160</v>
      </c>
      <c r="E56" s="151">
        <f>60+60+50</f>
        <v>170</v>
      </c>
      <c r="F56" s="232">
        <f>'Master – Recipes'!J54</f>
        <v>5.2662598514279217</v>
      </c>
      <c r="G56" s="151"/>
    </row>
    <row r="57" spans="1:7" ht="40.799999999999997" x14ac:dyDescent="0.75">
      <c r="A57" s="168" t="s">
        <v>1910</v>
      </c>
      <c r="B57" s="167" t="s">
        <v>1911</v>
      </c>
      <c r="C57" s="163" t="s">
        <v>2036</v>
      </c>
      <c r="D57" s="151">
        <v>380</v>
      </c>
      <c r="E57" s="151">
        <v>460</v>
      </c>
      <c r="F57" s="232">
        <f>'Master – Recipes'!J60</f>
        <v>3.3350320767474031</v>
      </c>
      <c r="G57" s="232">
        <f>AVERAGE(F54:F57)</f>
        <v>4.8183885041265828</v>
      </c>
    </row>
    <row r="58" spans="1:7" x14ac:dyDescent="0.75">
      <c r="A58" s="161" t="s">
        <v>1857</v>
      </c>
      <c r="B58" s="166" t="s">
        <v>1912</v>
      </c>
      <c r="C58" s="166"/>
      <c r="D58" s="126"/>
      <c r="E58" s="126"/>
      <c r="F58" s="126"/>
      <c r="G58" s="126"/>
    </row>
    <row r="59" spans="1:7" x14ac:dyDescent="0.75">
      <c r="A59" s="168" t="s">
        <v>1864</v>
      </c>
      <c r="B59" s="170" t="s">
        <v>1913</v>
      </c>
      <c r="C59" s="163" t="s">
        <v>2036</v>
      </c>
      <c r="D59" s="151">
        <v>380</v>
      </c>
      <c r="E59" s="151">
        <v>460</v>
      </c>
      <c r="F59" s="232">
        <f>'Master – Recipes'!J65</f>
        <v>6.7409803942464892</v>
      </c>
      <c r="G59" s="151"/>
    </row>
    <row r="60" spans="1:7" x14ac:dyDescent="0.75">
      <c r="A60" s="167" t="s">
        <v>1879</v>
      </c>
      <c r="B60" s="170" t="s">
        <v>1914</v>
      </c>
      <c r="C60" s="163" t="s">
        <v>2036</v>
      </c>
      <c r="D60" s="151">
        <v>280</v>
      </c>
      <c r="E60" s="151">
        <v>350</v>
      </c>
      <c r="F60" s="232">
        <f>'Master – Recipes'!J71</f>
        <v>5.105259634403839</v>
      </c>
      <c r="G60" s="151"/>
    </row>
    <row r="61" spans="1:7" ht="40.799999999999997" x14ac:dyDescent="0.75">
      <c r="A61" s="168" t="s">
        <v>1881</v>
      </c>
      <c r="B61" s="170" t="s">
        <v>1915</v>
      </c>
      <c r="C61" s="163" t="s">
        <v>2036</v>
      </c>
      <c r="D61" s="151">
        <v>280</v>
      </c>
      <c r="E61" s="151">
        <v>350</v>
      </c>
      <c r="F61" s="232">
        <f>'Master – Recipes'!J61</f>
        <v>6.349787493199857</v>
      </c>
      <c r="G61" s="151"/>
    </row>
    <row r="62" spans="1:7" x14ac:dyDescent="0.75">
      <c r="A62" s="168" t="s">
        <v>1883</v>
      </c>
      <c r="B62" s="170" t="s">
        <v>1916</v>
      </c>
      <c r="C62" s="163" t="s">
        <v>2036</v>
      </c>
      <c r="D62" s="151">
        <v>280</v>
      </c>
      <c r="E62" s="151">
        <v>350</v>
      </c>
      <c r="F62" s="232">
        <f>F30</f>
        <v>5.4259856297199986</v>
      </c>
      <c r="G62" s="151"/>
    </row>
    <row r="63" spans="1:7" x14ac:dyDescent="0.75">
      <c r="A63" s="168" t="s">
        <v>1864</v>
      </c>
      <c r="B63" s="170" t="s">
        <v>1885</v>
      </c>
      <c r="C63" s="163" t="s">
        <v>2036</v>
      </c>
      <c r="D63" s="151">
        <v>380</v>
      </c>
      <c r="E63" s="151">
        <v>460</v>
      </c>
      <c r="F63" s="232">
        <f>'Master – Recipes'!J68</f>
        <v>6.4354070525764193</v>
      </c>
      <c r="G63" s="151"/>
    </row>
    <row r="64" spans="1:7" x14ac:dyDescent="0.75">
      <c r="A64" s="168" t="s">
        <v>1869</v>
      </c>
      <c r="B64" s="170" t="s">
        <v>1917</v>
      </c>
      <c r="C64" s="163" t="s">
        <v>2036</v>
      </c>
      <c r="D64" s="151">
        <v>280</v>
      </c>
      <c r="E64" s="151">
        <v>350</v>
      </c>
      <c r="F64" s="232">
        <f>'Master – Recipes'!J66</f>
        <v>2.551358968688251</v>
      </c>
      <c r="G64" s="151"/>
    </row>
    <row r="65" spans="1:7" x14ac:dyDescent="0.75">
      <c r="A65" s="168" t="s">
        <v>1889</v>
      </c>
      <c r="B65" s="170" t="s">
        <v>1918</v>
      </c>
      <c r="C65" s="163" t="s">
        <v>2036</v>
      </c>
      <c r="D65" s="151">
        <v>280</v>
      </c>
      <c r="E65" s="151">
        <v>350</v>
      </c>
      <c r="F65" s="232">
        <f>'Master – Recipes'!J69</f>
        <v>2.6273378564421646</v>
      </c>
      <c r="G65" s="232">
        <f>AVERAGE(F59:F65)</f>
        <v>5.0337310041824308</v>
      </c>
    </row>
  </sheetData>
  <mergeCells count="2">
    <mergeCell ref="A1:B1"/>
    <mergeCell ref="C2:E2"/>
  </mergeCells>
  <pageMargins left="0.17013888888888901" right="0.15972222222222199" top="0.75" bottom="0.75" header="0.51180555555555496" footer="0.51180555555555496"/>
  <pageSetup scale="42" firstPageNumber="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39CCA-74F1-402F-A567-A80F2EF0EABC}">
  <sheetPr>
    <pageSetUpPr fitToPage="1"/>
  </sheetPr>
  <dimension ref="A1:G66"/>
  <sheetViews>
    <sheetView view="pageBreakPreview" zoomScale="60" zoomScaleNormal="78" workbookViewId="0">
      <selection activeCell="I42" sqref="I42"/>
    </sheetView>
  </sheetViews>
  <sheetFormatPr defaultRowHeight="18.3" x14ac:dyDescent="0.7"/>
  <cols>
    <col min="1" max="1" width="36.41796875" style="182" customWidth="1"/>
    <col min="2" max="2" width="96.578125" style="182" customWidth="1"/>
    <col min="3" max="3" width="8.1015625" style="182" customWidth="1"/>
    <col min="4" max="4" width="19.15625" style="181" customWidth="1"/>
    <col min="5" max="5" width="18.7890625" style="181" customWidth="1"/>
    <col min="6" max="6" width="12.734375" style="233" customWidth="1"/>
    <col min="7" max="7" width="21.578125" style="233" customWidth="1"/>
    <col min="8" max="1004" width="8.68359375" style="182" customWidth="1"/>
    <col min="1005" max="16384" width="8.83984375" style="182"/>
  </cols>
  <sheetData>
    <row r="1" spans="1:7" x14ac:dyDescent="0.7">
      <c r="A1" s="312" t="s">
        <v>2007</v>
      </c>
      <c r="B1" s="313"/>
      <c r="C1" s="230"/>
    </row>
    <row r="2" spans="1:7" x14ac:dyDescent="0.7">
      <c r="A2" s="183" t="s">
        <v>1834</v>
      </c>
      <c r="B2" s="184" t="s">
        <v>1432</v>
      </c>
      <c r="C2" s="231"/>
    </row>
    <row r="3" spans="1:7" x14ac:dyDescent="0.7">
      <c r="A3" s="185"/>
      <c r="B3" s="185" t="s">
        <v>1835</v>
      </c>
      <c r="C3" s="314" t="s">
        <v>2009</v>
      </c>
      <c r="D3" s="315"/>
      <c r="E3" s="316"/>
      <c r="F3" s="236" t="s">
        <v>2046</v>
      </c>
      <c r="G3" s="236" t="str">
        <f>Monday!G3</f>
        <v>Avg.Food Cost</v>
      </c>
    </row>
    <row r="4" spans="1:7" x14ac:dyDescent="0.7">
      <c r="A4" s="186" t="s">
        <v>1836</v>
      </c>
      <c r="B4" s="187" t="s">
        <v>1837</v>
      </c>
      <c r="C4" s="188" t="s">
        <v>29</v>
      </c>
      <c r="D4" s="188" t="s">
        <v>2044</v>
      </c>
      <c r="E4" s="188" t="s">
        <v>2045</v>
      </c>
      <c r="F4" s="234"/>
      <c r="G4" s="234"/>
    </row>
    <row r="5" spans="1:7" x14ac:dyDescent="0.7">
      <c r="A5" s="189" t="s">
        <v>1852</v>
      </c>
      <c r="B5" s="190" t="s">
        <v>1853</v>
      </c>
      <c r="C5" s="190"/>
      <c r="D5" s="191"/>
      <c r="E5" s="191"/>
      <c r="F5" s="235">
        <f>'Master – Recipes'!J136+'Master – Recipes'!J137</f>
        <v>3.1504641804323432</v>
      </c>
      <c r="G5" s="234"/>
    </row>
    <row r="6" spans="1:7" x14ac:dyDescent="0.7">
      <c r="A6" s="192" t="s">
        <v>1840</v>
      </c>
      <c r="B6" s="189" t="s">
        <v>1841</v>
      </c>
      <c r="C6" s="189" t="s">
        <v>2036</v>
      </c>
      <c r="D6" s="193">
        <v>180</v>
      </c>
      <c r="E6" s="193">
        <v>200</v>
      </c>
      <c r="F6" s="235">
        <f>'Master – Recipes'!J125+'Master – Recipes'!J126</f>
        <v>2.3675043669607367</v>
      </c>
      <c r="G6" s="234"/>
    </row>
    <row r="7" spans="1:7" x14ac:dyDescent="0.7">
      <c r="A7" s="189" t="s">
        <v>1842</v>
      </c>
      <c r="B7" s="189" t="s">
        <v>1843</v>
      </c>
      <c r="C7" s="189" t="s">
        <v>2036</v>
      </c>
      <c r="D7" s="193" t="s">
        <v>2008</v>
      </c>
      <c r="E7" s="191"/>
      <c r="F7" s="235">
        <f>'Saturday '!F7</f>
        <v>2.0236298780701754</v>
      </c>
      <c r="G7" s="234"/>
    </row>
    <row r="8" spans="1:7" x14ac:dyDescent="0.7">
      <c r="A8" s="192" t="s">
        <v>1840</v>
      </c>
      <c r="B8" s="189" t="s">
        <v>1854</v>
      </c>
      <c r="C8" s="189" t="s">
        <v>2036</v>
      </c>
      <c r="D8" s="193">
        <v>180</v>
      </c>
      <c r="E8" s="193">
        <v>200</v>
      </c>
      <c r="F8" s="235">
        <f>'Saturday '!F8</f>
        <v>1.5539902783642456</v>
      </c>
      <c r="G8" s="234"/>
    </row>
    <row r="9" spans="1:7" x14ac:dyDescent="0.7">
      <c r="A9" s="189" t="s">
        <v>1845</v>
      </c>
      <c r="B9" s="190" t="s">
        <v>1855</v>
      </c>
      <c r="C9" s="190"/>
      <c r="D9" s="191"/>
      <c r="E9" s="191"/>
      <c r="F9" s="235">
        <f>'Master – Recipes'!J128+'Master – Recipes'!J126</f>
        <v>2.8516226500000004</v>
      </c>
      <c r="G9" s="234"/>
    </row>
    <row r="10" spans="1:7" x14ac:dyDescent="0.7">
      <c r="A10" s="186" t="s">
        <v>1836</v>
      </c>
      <c r="B10" s="187" t="s">
        <v>1847</v>
      </c>
      <c r="C10" s="187"/>
      <c r="D10" s="194"/>
      <c r="E10" s="194"/>
      <c r="F10" s="187"/>
      <c r="G10" s="187"/>
    </row>
    <row r="11" spans="1:7" x14ac:dyDescent="0.7">
      <c r="A11" s="192" t="s">
        <v>1848</v>
      </c>
      <c r="B11" s="189" t="s">
        <v>1856</v>
      </c>
      <c r="C11" s="189"/>
      <c r="D11" s="191"/>
      <c r="E11" s="191"/>
      <c r="F11" s="235">
        <f>'Saturday '!F11</f>
        <v>0.8098461940226328</v>
      </c>
      <c r="G11" s="234"/>
    </row>
    <row r="12" spans="1:7" x14ac:dyDescent="0.7">
      <c r="A12" s="189" t="s">
        <v>1850</v>
      </c>
      <c r="B12" s="190" t="s">
        <v>1851</v>
      </c>
      <c r="C12" s="190"/>
      <c r="D12" s="191"/>
      <c r="E12" s="191"/>
      <c r="F12" s="234">
        <f>'Saturday '!F12</f>
        <v>1</v>
      </c>
      <c r="G12" s="235">
        <f>AVERAGE(F5:F12)</f>
        <v>1.9652939354071621</v>
      </c>
    </row>
    <row r="13" spans="1:7" x14ac:dyDescent="0.7">
      <c r="A13" s="195"/>
      <c r="B13" s="195" t="s">
        <v>1862</v>
      </c>
      <c r="C13" s="195"/>
      <c r="D13" s="196"/>
      <c r="E13" s="196"/>
      <c r="F13" s="195"/>
      <c r="G13" s="195"/>
    </row>
    <row r="14" spans="1:7" x14ac:dyDescent="0.7">
      <c r="A14" s="197" t="s">
        <v>1857</v>
      </c>
      <c r="B14" s="197" t="s">
        <v>1863</v>
      </c>
      <c r="C14" s="197"/>
      <c r="D14" s="129"/>
      <c r="E14" s="129"/>
      <c r="F14" s="197"/>
      <c r="G14" s="197"/>
    </row>
    <row r="15" spans="1:7" x14ac:dyDescent="0.7">
      <c r="A15" s="198" t="s">
        <v>1864</v>
      </c>
      <c r="B15" s="199" t="s">
        <v>1919</v>
      </c>
      <c r="C15" s="199" t="s">
        <v>1444</v>
      </c>
      <c r="D15" s="193">
        <v>180</v>
      </c>
      <c r="E15" s="193">
        <v>200</v>
      </c>
      <c r="F15" s="235">
        <f>'Master – Recipes'!J106</f>
        <v>1.3110861792478485</v>
      </c>
      <c r="G15" s="234"/>
    </row>
    <row r="16" spans="1:7" x14ac:dyDescent="0.7">
      <c r="A16" s="198" t="s">
        <v>1864</v>
      </c>
      <c r="B16" s="199" t="s">
        <v>1920</v>
      </c>
      <c r="C16" s="199" t="s">
        <v>1444</v>
      </c>
      <c r="D16" s="193">
        <v>180</v>
      </c>
      <c r="E16" s="193">
        <v>200</v>
      </c>
      <c r="F16" s="235">
        <f>'Master – Recipes'!J116</f>
        <v>1.3133124109750398</v>
      </c>
      <c r="G16" s="234"/>
    </row>
    <row r="17" spans="1:7" x14ac:dyDescent="0.7">
      <c r="A17" s="200" t="s">
        <v>1867</v>
      </c>
      <c r="B17" s="201" t="s">
        <v>1868</v>
      </c>
      <c r="C17" s="199" t="s">
        <v>1444</v>
      </c>
      <c r="D17" s="193">
        <v>180</v>
      </c>
      <c r="E17" s="193">
        <v>200</v>
      </c>
      <c r="F17" s="235">
        <f>F49</f>
        <v>0.74370729981209283</v>
      </c>
      <c r="G17" s="234"/>
    </row>
    <row r="18" spans="1:7" x14ac:dyDescent="0.7">
      <c r="A18" s="200" t="s">
        <v>1869</v>
      </c>
      <c r="B18" s="201" t="s">
        <v>1921</v>
      </c>
      <c r="C18" s="199" t="s">
        <v>1444</v>
      </c>
      <c r="D18" s="193">
        <v>180</v>
      </c>
      <c r="E18" s="193">
        <v>200</v>
      </c>
      <c r="F18" s="235">
        <f>'Master – Recipes'!J107</f>
        <v>1.3115226871843564</v>
      </c>
      <c r="G18" s="235">
        <f>AVERAGE(F15:F18)</f>
        <v>1.1699071443048346</v>
      </c>
    </row>
    <row r="19" spans="1:7" x14ac:dyDescent="0.7">
      <c r="A19" s="197" t="s">
        <v>1857</v>
      </c>
      <c r="B19" s="202" t="s">
        <v>1778</v>
      </c>
      <c r="C19" s="202"/>
      <c r="D19" s="203"/>
      <c r="E19" s="203"/>
      <c r="F19" s="202"/>
      <c r="G19" s="202"/>
    </row>
    <row r="20" spans="1:7" x14ac:dyDescent="0.7">
      <c r="A20" s="198" t="s">
        <v>1864</v>
      </c>
      <c r="B20" s="204" t="s">
        <v>1922</v>
      </c>
      <c r="C20" s="189" t="s">
        <v>2036</v>
      </c>
      <c r="D20" s="193">
        <v>125</v>
      </c>
      <c r="E20" s="193">
        <v>180</v>
      </c>
      <c r="F20" s="235">
        <f>'Master – Recipes'!J154</f>
        <v>2.1813593027864697</v>
      </c>
      <c r="G20" s="234"/>
    </row>
    <row r="21" spans="1:7" x14ac:dyDescent="0.7">
      <c r="A21" s="200" t="s">
        <v>1869</v>
      </c>
      <c r="B21" s="204" t="s">
        <v>1872</v>
      </c>
      <c r="C21" s="189" t="s">
        <v>2036</v>
      </c>
      <c r="D21" s="193">
        <v>125</v>
      </c>
      <c r="E21" s="193">
        <v>180</v>
      </c>
      <c r="F21" s="235">
        <f>F53</f>
        <v>1.4287088063485065</v>
      </c>
      <c r="G21" s="235">
        <f>AVERAGE(F20:F21)</f>
        <v>1.8050340545674881</v>
      </c>
    </row>
    <row r="22" spans="1:7" x14ac:dyDescent="0.7">
      <c r="A22" s="197" t="s">
        <v>1857</v>
      </c>
      <c r="B22" s="202" t="s">
        <v>1873</v>
      </c>
      <c r="C22" s="202"/>
      <c r="D22" s="203"/>
      <c r="E22" s="203"/>
      <c r="F22" s="202"/>
      <c r="G22" s="202"/>
    </row>
    <row r="23" spans="1:7" x14ac:dyDescent="0.7">
      <c r="A23" s="205" t="s">
        <v>1864</v>
      </c>
      <c r="B23" s="206" t="s">
        <v>1923</v>
      </c>
      <c r="C23" s="189" t="s">
        <v>2036</v>
      </c>
      <c r="D23" s="193">
        <v>380</v>
      </c>
      <c r="E23" s="193">
        <v>460</v>
      </c>
      <c r="F23" s="235">
        <f>'Master – Recipes'!J70</f>
        <v>7.8081777798865053</v>
      </c>
      <c r="G23" s="234"/>
    </row>
    <row r="24" spans="1:7" x14ac:dyDescent="0.7">
      <c r="A24" s="205" t="s">
        <v>1864</v>
      </c>
      <c r="B24" s="207" t="s">
        <v>1924</v>
      </c>
      <c r="C24" s="189" t="s">
        <v>2036</v>
      </c>
      <c r="D24" s="193">
        <v>380</v>
      </c>
      <c r="E24" s="193">
        <v>460</v>
      </c>
      <c r="F24" s="235">
        <f>'Master – Recipes'!J4</f>
        <v>10.883114343041342</v>
      </c>
      <c r="G24" s="234"/>
    </row>
    <row r="25" spans="1:7" x14ac:dyDescent="0.7">
      <c r="A25" s="205" t="s">
        <v>1864</v>
      </c>
      <c r="B25" s="208" t="s">
        <v>1925</v>
      </c>
      <c r="C25" s="189" t="s">
        <v>2036</v>
      </c>
      <c r="D25" s="193">
        <v>380</v>
      </c>
      <c r="E25" s="193">
        <v>460</v>
      </c>
      <c r="F25" s="235">
        <f>'Master – Recipes'!J15</f>
        <v>6.9196954041331393</v>
      </c>
      <c r="G25" s="235">
        <f>AVERAGE(F23:F25)</f>
        <v>8.5369958423536634</v>
      </c>
    </row>
    <row r="26" spans="1:7" x14ac:dyDescent="0.7">
      <c r="A26" s="197" t="s">
        <v>1857</v>
      </c>
      <c r="B26" s="202" t="s">
        <v>1877</v>
      </c>
      <c r="C26" s="202"/>
      <c r="D26" s="203"/>
      <c r="E26" s="203"/>
      <c r="F26" s="202"/>
      <c r="G26" s="202"/>
    </row>
    <row r="27" spans="1:7" x14ac:dyDescent="0.7">
      <c r="A27" s="198" t="s">
        <v>1864</v>
      </c>
      <c r="B27" s="209" t="s">
        <v>1878</v>
      </c>
      <c r="C27" s="189" t="s">
        <v>2036</v>
      </c>
      <c r="D27" s="193">
        <v>380</v>
      </c>
      <c r="E27" s="193">
        <v>460</v>
      </c>
      <c r="F27" s="235">
        <f>'Saturday '!F27</f>
        <v>5.9948634046357521</v>
      </c>
      <c r="G27" s="234"/>
    </row>
    <row r="28" spans="1:7" x14ac:dyDescent="0.7">
      <c r="A28" s="200" t="s">
        <v>1879</v>
      </c>
      <c r="B28" s="209" t="s">
        <v>1926</v>
      </c>
      <c r="C28" s="189" t="s">
        <v>2036</v>
      </c>
      <c r="D28" s="193">
        <v>280</v>
      </c>
      <c r="E28" s="193">
        <v>350</v>
      </c>
      <c r="F28" s="235">
        <f>'Saturday '!F28</f>
        <v>5.105259634403839</v>
      </c>
      <c r="G28" s="234"/>
    </row>
    <row r="29" spans="1:7" ht="36.6" x14ac:dyDescent="0.7">
      <c r="A29" s="198" t="s">
        <v>1881</v>
      </c>
      <c r="B29" s="209" t="s">
        <v>1927</v>
      </c>
      <c r="C29" s="189" t="s">
        <v>2036</v>
      </c>
      <c r="D29" s="193">
        <v>280</v>
      </c>
      <c r="E29" s="193">
        <v>350</v>
      </c>
      <c r="F29" s="235">
        <f>'Saturday '!F29</f>
        <v>6.349787493199857</v>
      </c>
      <c r="G29" s="234"/>
    </row>
    <row r="30" spans="1:7" x14ac:dyDescent="0.7">
      <c r="A30" s="198" t="s">
        <v>1883</v>
      </c>
      <c r="B30" s="209" t="s">
        <v>1928</v>
      </c>
      <c r="C30" s="189" t="s">
        <v>2036</v>
      </c>
      <c r="D30" s="193">
        <v>280</v>
      </c>
      <c r="E30" s="193">
        <v>350</v>
      </c>
      <c r="F30" s="235">
        <f>'Saturday '!F30</f>
        <v>5.4259856297199986</v>
      </c>
      <c r="G30" s="234"/>
    </row>
    <row r="31" spans="1:7" x14ac:dyDescent="0.7">
      <c r="A31" s="198" t="s">
        <v>1864</v>
      </c>
      <c r="B31" s="209" t="s">
        <v>1885</v>
      </c>
      <c r="C31" s="189" t="s">
        <v>2036</v>
      </c>
      <c r="D31" s="193">
        <v>380</v>
      </c>
      <c r="E31" s="193">
        <v>460</v>
      </c>
      <c r="F31" s="235">
        <f>'Saturday '!F31</f>
        <v>6.4354070525764193</v>
      </c>
      <c r="G31" s="234"/>
    </row>
    <row r="32" spans="1:7" x14ac:dyDescent="0.7">
      <c r="A32" s="198" t="s">
        <v>1864</v>
      </c>
      <c r="B32" s="209" t="s">
        <v>1929</v>
      </c>
      <c r="C32" s="189" t="s">
        <v>2036</v>
      </c>
      <c r="D32" s="193">
        <v>380</v>
      </c>
      <c r="E32" s="193">
        <v>460</v>
      </c>
      <c r="F32" s="235">
        <f>'Saturday '!F32</f>
        <v>6.1659875268140922</v>
      </c>
      <c r="G32" s="234"/>
    </row>
    <row r="33" spans="1:7" x14ac:dyDescent="0.7">
      <c r="A33" s="198" t="s">
        <v>1869</v>
      </c>
      <c r="B33" s="198" t="s">
        <v>1887</v>
      </c>
      <c r="C33" s="189" t="s">
        <v>2036</v>
      </c>
      <c r="D33" s="193">
        <v>280</v>
      </c>
      <c r="E33" s="193">
        <v>350</v>
      </c>
      <c r="F33" s="235">
        <f>'Saturday '!F33</f>
        <v>5.6308093270308124</v>
      </c>
      <c r="G33" s="234"/>
    </row>
    <row r="34" spans="1:7" x14ac:dyDescent="0.7">
      <c r="A34" s="198" t="s">
        <v>1869</v>
      </c>
      <c r="B34" s="198" t="s">
        <v>1888</v>
      </c>
      <c r="C34" s="189" t="s">
        <v>2036</v>
      </c>
      <c r="D34" s="193">
        <v>280</v>
      </c>
      <c r="E34" s="193">
        <v>350</v>
      </c>
      <c r="F34" s="235">
        <f>'Saturday '!F34</f>
        <v>2.2027467563459493</v>
      </c>
      <c r="G34" s="234"/>
    </row>
    <row r="35" spans="1:7" x14ac:dyDescent="0.7">
      <c r="A35" s="198" t="s">
        <v>1889</v>
      </c>
      <c r="B35" s="189" t="s">
        <v>1890</v>
      </c>
      <c r="C35" s="189" t="s">
        <v>2036</v>
      </c>
      <c r="D35" s="193">
        <v>280</v>
      </c>
      <c r="E35" s="193">
        <v>350</v>
      </c>
      <c r="F35" s="235">
        <f>'Saturday '!F35</f>
        <v>3.1325787276977977</v>
      </c>
      <c r="G35" s="235">
        <f>AVERAGE(F27:F35)</f>
        <v>5.1603806169360578</v>
      </c>
    </row>
    <row r="36" spans="1:7" x14ac:dyDescent="0.7">
      <c r="A36" s="197" t="s">
        <v>1857</v>
      </c>
      <c r="B36" s="202" t="s">
        <v>1819</v>
      </c>
      <c r="C36" s="202"/>
      <c r="D36" s="203"/>
      <c r="E36" s="203"/>
      <c r="F36" s="202"/>
      <c r="G36" s="202"/>
    </row>
    <row r="37" spans="1:7" x14ac:dyDescent="0.7">
      <c r="A37" s="205" t="s">
        <v>1891</v>
      </c>
      <c r="B37" s="204" t="s">
        <v>1892</v>
      </c>
      <c r="C37" s="204"/>
      <c r="D37" s="191"/>
      <c r="E37" s="191"/>
      <c r="F37" s="235">
        <f>'Saturday '!F37</f>
        <v>0.99192627796799404</v>
      </c>
      <c r="G37" s="234"/>
    </row>
    <row r="38" spans="1:7" x14ac:dyDescent="0.7">
      <c r="A38" s="205" t="s">
        <v>1891</v>
      </c>
      <c r="B38" s="204" t="s">
        <v>1893</v>
      </c>
      <c r="C38" s="204"/>
      <c r="D38" s="191"/>
      <c r="E38" s="191"/>
      <c r="F38" s="235">
        <f>'Saturday '!F38</f>
        <v>1</v>
      </c>
      <c r="G38" s="234"/>
    </row>
    <row r="39" spans="1:7" x14ac:dyDescent="0.7">
      <c r="A39" s="205" t="s">
        <v>1891</v>
      </c>
      <c r="B39" s="204" t="s">
        <v>1930</v>
      </c>
      <c r="C39" s="204"/>
      <c r="D39" s="191"/>
      <c r="E39" s="191"/>
      <c r="F39" s="235">
        <f>'Master – Recipes'!J80</f>
        <v>0.76194043927648569</v>
      </c>
      <c r="G39" s="234"/>
    </row>
    <row r="40" spans="1:7" x14ac:dyDescent="0.7">
      <c r="A40" s="205" t="s">
        <v>1891</v>
      </c>
      <c r="B40" s="204" t="s">
        <v>1895</v>
      </c>
      <c r="C40" s="204"/>
      <c r="D40" s="191"/>
      <c r="E40" s="191"/>
      <c r="F40" s="235">
        <f>'Saturday '!F40</f>
        <v>0.77427395833333323</v>
      </c>
      <c r="G40" s="234"/>
    </row>
    <row r="41" spans="1:7" x14ac:dyDescent="0.7">
      <c r="A41" s="205" t="s">
        <v>1869</v>
      </c>
      <c r="B41" s="204" t="s">
        <v>1931</v>
      </c>
      <c r="C41" s="204"/>
      <c r="D41" s="191"/>
      <c r="E41" s="191"/>
      <c r="F41" s="235">
        <f>'Saturday '!F41</f>
        <v>1.0043666666666669</v>
      </c>
      <c r="G41" s="234"/>
    </row>
    <row r="42" spans="1:7" x14ac:dyDescent="0.7">
      <c r="A42" s="205" t="s">
        <v>1897</v>
      </c>
      <c r="B42" s="204" t="s">
        <v>1932</v>
      </c>
      <c r="C42" s="204"/>
      <c r="D42" s="191"/>
      <c r="E42" s="191"/>
      <c r="F42" s="235">
        <f>'Saturday '!F42</f>
        <v>1.5512533333333332</v>
      </c>
      <c r="G42" s="234"/>
    </row>
    <row r="43" spans="1:7" x14ac:dyDescent="0.7">
      <c r="A43" s="205" t="s">
        <v>1867</v>
      </c>
      <c r="B43" s="204" t="s">
        <v>1899</v>
      </c>
      <c r="C43" s="204"/>
      <c r="D43" s="191"/>
      <c r="E43" s="191"/>
      <c r="F43" s="235">
        <f>'Saturday '!F43</f>
        <v>0.41019</v>
      </c>
      <c r="G43" s="234"/>
    </row>
    <row r="44" spans="1:7" x14ac:dyDescent="0.7">
      <c r="A44" s="205" t="s">
        <v>1869</v>
      </c>
      <c r="B44" s="204" t="s">
        <v>1584</v>
      </c>
      <c r="C44" s="204"/>
      <c r="D44" s="191"/>
      <c r="E44" s="191"/>
      <c r="F44" s="235">
        <f>'Saturday '!F44</f>
        <v>1.0293474074074076</v>
      </c>
      <c r="G44" s="235">
        <f>AVERAGE(F37:F44)</f>
        <v>0.94041226037315262</v>
      </c>
    </row>
    <row r="45" spans="1:7" x14ac:dyDescent="0.7">
      <c r="A45" s="210"/>
      <c r="B45" s="211" t="s">
        <v>1900</v>
      </c>
      <c r="C45" s="211"/>
      <c r="D45" s="212"/>
      <c r="E45" s="212"/>
      <c r="F45" s="211"/>
      <c r="G45" s="211"/>
    </row>
    <row r="46" spans="1:7" x14ac:dyDescent="0.7">
      <c r="A46" s="197" t="s">
        <v>1857</v>
      </c>
      <c r="B46" s="197" t="s">
        <v>1863</v>
      </c>
      <c r="C46" s="197"/>
      <c r="D46" s="129"/>
      <c r="E46" s="129"/>
      <c r="F46" s="197"/>
      <c r="G46" s="197"/>
    </row>
    <row r="47" spans="1:7" x14ac:dyDescent="0.7">
      <c r="A47" s="205" t="s">
        <v>1864</v>
      </c>
      <c r="B47" s="200" t="s">
        <v>1933</v>
      </c>
      <c r="C47" s="199" t="s">
        <v>1444</v>
      </c>
      <c r="D47" s="193">
        <v>180</v>
      </c>
      <c r="E47" s="193">
        <v>200</v>
      </c>
      <c r="F47" s="235">
        <f>'Master – Recipes'!J109</f>
        <v>0.86168234243697495</v>
      </c>
      <c r="G47" s="234"/>
    </row>
    <row r="48" spans="1:7" x14ac:dyDescent="0.7">
      <c r="A48" s="205" t="s">
        <v>1864</v>
      </c>
      <c r="B48" s="199" t="s">
        <v>1934</v>
      </c>
      <c r="C48" s="199" t="s">
        <v>1444</v>
      </c>
      <c r="D48" s="193">
        <v>180</v>
      </c>
      <c r="E48" s="193">
        <v>200</v>
      </c>
      <c r="F48" s="235">
        <f>'Master – Recipes'!J113</f>
        <v>1.2960845707331106</v>
      </c>
      <c r="G48" s="234"/>
    </row>
    <row r="49" spans="1:7" x14ac:dyDescent="0.7">
      <c r="A49" s="204" t="s">
        <v>1867</v>
      </c>
      <c r="B49" s="209" t="s">
        <v>1868</v>
      </c>
      <c r="C49" s="199" t="s">
        <v>1444</v>
      </c>
      <c r="D49" s="193">
        <v>180</v>
      </c>
      <c r="E49" s="193">
        <v>200</v>
      </c>
      <c r="F49" s="235">
        <f>'Saturday '!F49</f>
        <v>0.74370729981209283</v>
      </c>
      <c r="G49" s="234"/>
    </row>
    <row r="50" spans="1:7" x14ac:dyDescent="0.7">
      <c r="A50" s="205" t="s">
        <v>1869</v>
      </c>
      <c r="B50" s="209" t="s">
        <v>1935</v>
      </c>
      <c r="C50" s="199" t="s">
        <v>1444</v>
      </c>
      <c r="D50" s="193">
        <v>180</v>
      </c>
      <c r="E50" s="193">
        <v>200</v>
      </c>
      <c r="F50" s="235">
        <f>'Master – Recipes'!J110</f>
        <v>0.86168234243697495</v>
      </c>
      <c r="G50" s="235">
        <f>AVERAGE(F47:F50)</f>
        <v>0.94078913885478821</v>
      </c>
    </row>
    <row r="51" spans="1:7" x14ac:dyDescent="0.7">
      <c r="A51" s="197" t="s">
        <v>1857</v>
      </c>
      <c r="B51" s="202" t="s">
        <v>1778</v>
      </c>
      <c r="C51" s="202"/>
      <c r="D51" s="203"/>
      <c r="E51" s="203"/>
      <c r="F51" s="202"/>
      <c r="G51" s="202"/>
    </row>
    <row r="52" spans="1:7" x14ac:dyDescent="0.7">
      <c r="A52" s="205" t="s">
        <v>1864</v>
      </c>
      <c r="B52" s="204" t="s">
        <v>1905</v>
      </c>
      <c r="C52" s="189" t="s">
        <v>2036</v>
      </c>
      <c r="D52" s="193">
        <v>125</v>
      </c>
      <c r="E52" s="193">
        <v>180</v>
      </c>
      <c r="F52" s="235">
        <f>'Saturday '!F51</f>
        <v>0.97716803857986201</v>
      </c>
      <c r="G52" s="234"/>
    </row>
    <row r="53" spans="1:7" x14ac:dyDescent="0.7">
      <c r="A53" s="205" t="s">
        <v>1869</v>
      </c>
      <c r="B53" s="204" t="s">
        <v>1872</v>
      </c>
      <c r="C53" s="189" t="s">
        <v>2036</v>
      </c>
      <c r="D53" s="193">
        <v>125</v>
      </c>
      <c r="E53" s="193">
        <v>180</v>
      </c>
      <c r="F53" s="235">
        <f>'Saturday '!F52</f>
        <v>1.4287088063485065</v>
      </c>
      <c r="G53" s="235">
        <f>AVERAGE(F52:F53)</f>
        <v>1.2029384224641841</v>
      </c>
    </row>
    <row r="54" spans="1:7" x14ac:dyDescent="0.7">
      <c r="A54" s="197" t="s">
        <v>1857</v>
      </c>
      <c r="B54" s="202" t="s">
        <v>1906</v>
      </c>
      <c r="C54" s="202"/>
      <c r="D54" s="203"/>
      <c r="E54" s="203"/>
      <c r="F54" s="202"/>
      <c r="G54" s="202"/>
    </row>
    <row r="55" spans="1:7" x14ac:dyDescent="0.7">
      <c r="A55" s="205" t="s">
        <v>1864</v>
      </c>
      <c r="B55" s="204" t="s">
        <v>1936</v>
      </c>
      <c r="C55" s="189" t="s">
        <v>2036</v>
      </c>
      <c r="D55" s="193">
        <v>380</v>
      </c>
      <c r="E55" s="193">
        <v>460</v>
      </c>
      <c r="F55" s="235">
        <f>'Master – Recipes'!J81</f>
        <v>7.071891153499104</v>
      </c>
      <c r="G55" s="234"/>
    </row>
    <row r="56" spans="1:7" x14ac:dyDescent="0.7">
      <c r="A56" s="205" t="s">
        <v>1864</v>
      </c>
      <c r="B56" s="213" t="s">
        <v>1937</v>
      </c>
      <c r="C56" s="189" t="s">
        <v>2036</v>
      </c>
      <c r="D56" s="193">
        <v>380</v>
      </c>
      <c r="E56" s="193">
        <v>460</v>
      </c>
      <c r="F56" s="235">
        <f>'Master – Recipes'!J59</f>
        <v>4.3653295478978231</v>
      </c>
      <c r="G56" s="234"/>
    </row>
    <row r="57" spans="1:7" x14ac:dyDescent="0.7">
      <c r="A57" s="205" t="s">
        <v>1864</v>
      </c>
      <c r="B57" s="189" t="s">
        <v>1938</v>
      </c>
      <c r="C57" s="189" t="s">
        <v>2036</v>
      </c>
      <c r="D57" s="193">
        <v>380</v>
      </c>
      <c r="E57" s="193">
        <v>460</v>
      </c>
      <c r="F57" s="235">
        <f>'Master – Recipes'!J20</f>
        <v>10.793473431687731</v>
      </c>
      <c r="G57" s="234"/>
    </row>
    <row r="58" spans="1:7" ht="36.6" x14ac:dyDescent="0.7">
      <c r="A58" s="205" t="s">
        <v>1910</v>
      </c>
      <c r="B58" s="207" t="s">
        <v>1939</v>
      </c>
      <c r="C58" s="189" t="s">
        <v>2036</v>
      </c>
      <c r="D58" s="193">
        <v>380</v>
      </c>
      <c r="E58" s="193">
        <v>460</v>
      </c>
      <c r="F58" s="235">
        <f>'Master – Recipes'!J48</f>
        <v>3.8897817957411922</v>
      </c>
      <c r="G58" s="235">
        <f>AVERAGE(F55:F58)</f>
        <v>6.5301189822064636</v>
      </c>
    </row>
    <row r="59" spans="1:7" x14ac:dyDescent="0.7">
      <c r="A59" s="197" t="s">
        <v>1857</v>
      </c>
      <c r="B59" s="202" t="s">
        <v>1912</v>
      </c>
      <c r="C59" s="202"/>
      <c r="D59" s="203"/>
      <c r="E59" s="203"/>
      <c r="F59" s="202"/>
      <c r="G59" s="202"/>
    </row>
    <row r="60" spans="1:7" x14ac:dyDescent="0.7">
      <c r="A60" s="205" t="s">
        <v>1864</v>
      </c>
      <c r="B60" s="209" t="s">
        <v>1913</v>
      </c>
      <c r="C60" s="189" t="s">
        <v>2036</v>
      </c>
      <c r="D60" s="193">
        <v>380</v>
      </c>
      <c r="E60" s="193">
        <v>460</v>
      </c>
      <c r="F60" s="235">
        <f>'Saturday '!F59</f>
        <v>6.7409803942464892</v>
      </c>
      <c r="G60" s="234"/>
    </row>
    <row r="61" spans="1:7" x14ac:dyDescent="0.7">
      <c r="A61" s="204" t="s">
        <v>1879</v>
      </c>
      <c r="B61" s="209" t="s">
        <v>1914</v>
      </c>
      <c r="C61" s="189" t="s">
        <v>2036</v>
      </c>
      <c r="D61" s="193">
        <v>280</v>
      </c>
      <c r="E61" s="193">
        <v>350</v>
      </c>
      <c r="F61" s="235">
        <f>'Saturday '!F60</f>
        <v>5.105259634403839</v>
      </c>
      <c r="G61" s="234"/>
    </row>
    <row r="62" spans="1:7" x14ac:dyDescent="0.7">
      <c r="A62" s="205" t="s">
        <v>1881</v>
      </c>
      <c r="B62" s="209" t="s">
        <v>1940</v>
      </c>
      <c r="C62" s="189" t="s">
        <v>2036</v>
      </c>
      <c r="D62" s="193">
        <v>280</v>
      </c>
      <c r="E62" s="193">
        <v>350</v>
      </c>
      <c r="F62" s="235">
        <f>'Saturday '!F61</f>
        <v>6.349787493199857</v>
      </c>
      <c r="G62" s="234"/>
    </row>
    <row r="63" spans="1:7" x14ac:dyDescent="0.7">
      <c r="A63" s="205" t="s">
        <v>1883</v>
      </c>
      <c r="B63" s="209" t="s">
        <v>1928</v>
      </c>
      <c r="C63" s="189" t="s">
        <v>2036</v>
      </c>
      <c r="D63" s="193">
        <v>280</v>
      </c>
      <c r="E63" s="193">
        <v>350</v>
      </c>
      <c r="F63" s="235">
        <f>'Saturday '!F62</f>
        <v>5.4259856297199986</v>
      </c>
      <c r="G63" s="234"/>
    </row>
    <row r="64" spans="1:7" x14ac:dyDescent="0.7">
      <c r="A64" s="205" t="s">
        <v>1864</v>
      </c>
      <c r="B64" s="209" t="s">
        <v>1885</v>
      </c>
      <c r="C64" s="189" t="s">
        <v>2036</v>
      </c>
      <c r="D64" s="193">
        <v>380</v>
      </c>
      <c r="E64" s="193">
        <v>460</v>
      </c>
      <c r="F64" s="235">
        <f>'Saturday '!F63</f>
        <v>6.4354070525764193</v>
      </c>
      <c r="G64" s="234"/>
    </row>
    <row r="65" spans="1:7" x14ac:dyDescent="0.7">
      <c r="A65" s="205" t="s">
        <v>1869</v>
      </c>
      <c r="B65" s="209" t="s">
        <v>1917</v>
      </c>
      <c r="C65" s="189" t="s">
        <v>2036</v>
      </c>
      <c r="D65" s="193">
        <v>280</v>
      </c>
      <c r="E65" s="193">
        <v>350</v>
      </c>
      <c r="F65" s="235">
        <f>'Saturday '!F64</f>
        <v>2.551358968688251</v>
      </c>
      <c r="G65" s="234"/>
    </row>
    <row r="66" spans="1:7" x14ac:dyDescent="0.7">
      <c r="A66" s="205" t="s">
        <v>1889</v>
      </c>
      <c r="B66" s="209" t="s">
        <v>1918</v>
      </c>
      <c r="C66" s="189" t="s">
        <v>2036</v>
      </c>
      <c r="D66" s="193">
        <v>280</v>
      </c>
      <c r="E66" s="193">
        <v>350</v>
      </c>
      <c r="F66" s="235">
        <f>'Saturday '!F65</f>
        <v>2.6273378564421646</v>
      </c>
      <c r="G66" s="235">
        <f>AVERAGE(F60:F66)</f>
        <v>5.0337310041824308</v>
      </c>
    </row>
  </sheetData>
  <mergeCells count="2">
    <mergeCell ref="A1:B1"/>
    <mergeCell ref="C3:E3"/>
  </mergeCells>
  <pageMargins left="0.17013888888888901" right="0.15972222222222199" top="0.75" bottom="0.75" header="0.51180555555555496" footer="0.51180555555555496"/>
  <pageSetup paperSize="9" scale="47" firstPageNumber="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5B6B2-649D-497B-A2D6-E51802CE9339}">
  <sheetPr>
    <pageSetUpPr fitToPage="1"/>
  </sheetPr>
  <dimension ref="A1:G64"/>
  <sheetViews>
    <sheetView view="pageBreakPreview" topLeftCell="A34" zoomScale="60" zoomScaleNormal="78" workbookViewId="0">
      <selection activeCell="I42" sqref="I42"/>
    </sheetView>
  </sheetViews>
  <sheetFormatPr defaultColWidth="81.3671875" defaultRowHeight="20.399999999999999" x14ac:dyDescent="0.75"/>
  <cols>
    <col min="1" max="1" width="42.83984375" style="217" customWidth="1"/>
    <col min="2" max="2" width="95.68359375" style="217" customWidth="1"/>
    <col min="3" max="3" width="8.734375" style="217" customWidth="1"/>
    <col min="4" max="4" width="16.62890625" style="125" customWidth="1"/>
    <col min="5" max="5" width="20.83984375" style="125" customWidth="1"/>
    <col min="6" max="6" width="20.05078125" style="238" customWidth="1"/>
    <col min="7" max="7" width="21.89453125" style="238" customWidth="1"/>
    <col min="8" max="16384" width="81.3671875" style="125"/>
  </cols>
  <sheetData>
    <row r="1" spans="1:7" ht="30.6" x14ac:dyDescent="0.75">
      <c r="A1" s="317" t="s">
        <v>2007</v>
      </c>
      <c r="B1" s="318"/>
      <c r="C1" s="228"/>
    </row>
    <row r="2" spans="1:7" ht="25.8" x14ac:dyDescent="0.75">
      <c r="A2" s="215" t="s">
        <v>1834</v>
      </c>
      <c r="B2" s="215" t="s">
        <v>1448</v>
      </c>
      <c r="C2" s="229"/>
      <c r="D2" s="214"/>
      <c r="E2" s="214"/>
      <c r="F2" s="239"/>
      <c r="G2" s="239"/>
    </row>
    <row r="3" spans="1:7" ht="23.1" x14ac:dyDescent="0.75">
      <c r="A3" s="216"/>
      <c r="B3" s="216" t="s">
        <v>1835</v>
      </c>
      <c r="C3" s="314" t="s">
        <v>2009</v>
      </c>
      <c r="D3" s="315"/>
      <c r="E3" s="316"/>
      <c r="F3" s="237" t="s">
        <v>2046</v>
      </c>
      <c r="G3" s="237" t="str">
        <f>Tuesday!G3</f>
        <v>Avg.Food Cost</v>
      </c>
    </row>
    <row r="4" spans="1:7" x14ac:dyDescent="0.75">
      <c r="A4" s="154" t="s">
        <v>1836</v>
      </c>
      <c r="B4" s="155" t="s">
        <v>1837</v>
      </c>
      <c r="C4" s="188" t="s">
        <v>29</v>
      </c>
      <c r="D4" s="188" t="s">
        <v>2044</v>
      </c>
      <c r="E4" s="188" t="s">
        <v>2045</v>
      </c>
      <c r="F4" s="239"/>
      <c r="G4" s="239"/>
    </row>
    <row r="5" spans="1:7" x14ac:dyDescent="0.75">
      <c r="A5" s="157" t="s">
        <v>1838</v>
      </c>
      <c r="B5" s="169" t="s">
        <v>2043</v>
      </c>
      <c r="C5" s="169" t="s">
        <v>2036</v>
      </c>
      <c r="D5" s="193">
        <v>180</v>
      </c>
      <c r="E5" s="193">
        <v>200</v>
      </c>
      <c r="F5" s="240">
        <f>'Master – Recipes'!J139+'Master – Recipes'!J140</f>
        <v>1.3823323836274035</v>
      </c>
      <c r="G5" s="239"/>
    </row>
    <row r="6" spans="1:7" x14ac:dyDescent="0.75">
      <c r="A6" s="159" t="s">
        <v>1840</v>
      </c>
      <c r="B6" s="157" t="s">
        <v>1841</v>
      </c>
      <c r="C6" s="169" t="s">
        <v>2036</v>
      </c>
      <c r="D6" s="193">
        <v>180</v>
      </c>
      <c r="E6" s="193">
        <v>200</v>
      </c>
      <c r="F6" s="240">
        <f>'Sunday '!F6</f>
        <v>2.3675043669607367</v>
      </c>
      <c r="G6" s="239"/>
    </row>
    <row r="7" spans="1:7" x14ac:dyDescent="0.75">
      <c r="A7" s="157" t="s">
        <v>1842</v>
      </c>
      <c r="B7" s="157" t="s">
        <v>1843</v>
      </c>
      <c r="C7" s="169" t="s">
        <v>2036</v>
      </c>
      <c r="D7" s="193" t="s">
        <v>2008</v>
      </c>
      <c r="E7" s="214"/>
      <c r="F7" s="240">
        <f>'Sunday '!F7</f>
        <v>2.0236298780701754</v>
      </c>
      <c r="G7" s="239"/>
    </row>
    <row r="8" spans="1:7" x14ac:dyDescent="0.75">
      <c r="A8" s="159" t="s">
        <v>1840</v>
      </c>
      <c r="B8" s="157" t="s">
        <v>1854</v>
      </c>
      <c r="C8" s="169" t="s">
        <v>2036</v>
      </c>
      <c r="D8" s="193">
        <v>180</v>
      </c>
      <c r="E8" s="193">
        <v>200</v>
      </c>
      <c r="F8" s="240">
        <f>'Saturday '!F8</f>
        <v>1.5539902783642456</v>
      </c>
      <c r="G8" s="239"/>
    </row>
    <row r="9" spans="1:7" x14ac:dyDescent="0.75">
      <c r="A9" s="157" t="s">
        <v>1845</v>
      </c>
      <c r="B9" s="158" t="s">
        <v>1846</v>
      </c>
      <c r="C9" s="158"/>
      <c r="D9" s="214"/>
      <c r="E9" s="214"/>
      <c r="F9" s="240">
        <f>'Master – Recipes'!J128+'Master – Recipes'!J127</f>
        <v>2.0381085614035088</v>
      </c>
      <c r="G9" s="239"/>
    </row>
    <row r="10" spans="1:7" x14ac:dyDescent="0.55000000000000004">
      <c r="A10" s="155" t="s">
        <v>1836</v>
      </c>
      <c r="B10" s="155" t="s">
        <v>1847</v>
      </c>
      <c r="C10" s="155"/>
      <c r="D10" s="155"/>
      <c r="E10" s="155"/>
      <c r="F10" s="155"/>
      <c r="G10" s="155"/>
    </row>
    <row r="11" spans="1:7" x14ac:dyDescent="0.75">
      <c r="A11" s="159" t="s">
        <v>1848</v>
      </c>
      <c r="B11" s="157" t="s">
        <v>1856</v>
      </c>
      <c r="C11" s="157"/>
      <c r="D11" s="214"/>
      <c r="E11" s="214"/>
      <c r="F11" s="240">
        <f>'Sunday '!F11</f>
        <v>0.8098461940226328</v>
      </c>
      <c r="G11" s="239"/>
    </row>
    <row r="12" spans="1:7" x14ac:dyDescent="0.75">
      <c r="A12" s="157" t="s">
        <v>1850</v>
      </c>
      <c r="B12" s="158" t="s">
        <v>1851</v>
      </c>
      <c r="C12" s="158"/>
      <c r="D12" s="214"/>
      <c r="E12" s="214"/>
      <c r="F12" s="239">
        <f>'Sunday '!F12</f>
        <v>1</v>
      </c>
      <c r="G12" s="240">
        <f>AVERAGE(F5:F12)</f>
        <v>1.5964873803498147</v>
      </c>
    </row>
    <row r="13" spans="1:7" ht="25.8" x14ac:dyDescent="0.55000000000000004">
      <c r="A13" s="174"/>
      <c r="B13" s="174" t="s">
        <v>1862</v>
      </c>
      <c r="C13" s="174"/>
      <c r="D13" s="174"/>
      <c r="E13" s="174"/>
      <c r="F13" s="160"/>
      <c r="G13" s="160"/>
    </row>
    <row r="14" spans="1:7" x14ac:dyDescent="0.55000000000000004">
      <c r="A14" s="197" t="s">
        <v>1857</v>
      </c>
      <c r="B14" s="197" t="s">
        <v>1863</v>
      </c>
      <c r="C14" s="197"/>
      <c r="D14" s="197"/>
      <c r="E14" s="197"/>
      <c r="F14" s="161"/>
      <c r="G14" s="161"/>
    </row>
    <row r="15" spans="1:7" x14ac:dyDescent="0.75">
      <c r="A15" s="198" t="s">
        <v>1941</v>
      </c>
      <c r="B15" s="164" t="s">
        <v>1942</v>
      </c>
      <c r="C15" s="164" t="s">
        <v>1444</v>
      </c>
      <c r="D15" s="193">
        <v>180</v>
      </c>
      <c r="E15" s="193">
        <v>200</v>
      </c>
      <c r="F15" s="240">
        <f>'Master – Recipes'!J96</f>
        <v>0.67128473389355747</v>
      </c>
      <c r="G15" s="239"/>
    </row>
    <row r="16" spans="1:7" x14ac:dyDescent="0.75">
      <c r="A16" s="198" t="s">
        <v>1864</v>
      </c>
      <c r="B16" s="164" t="s">
        <v>1943</v>
      </c>
      <c r="C16" s="164" t="s">
        <v>1444</v>
      </c>
      <c r="D16" s="193">
        <v>180</v>
      </c>
      <c r="E16" s="193">
        <v>200</v>
      </c>
      <c r="F16" s="240">
        <f>'Master – Recipes'!J97</f>
        <v>0.4622238537578669</v>
      </c>
      <c r="G16" s="239"/>
    </row>
    <row r="17" spans="1:7" x14ac:dyDescent="0.75">
      <c r="A17" s="200" t="s">
        <v>1867</v>
      </c>
      <c r="B17" s="170" t="s">
        <v>1868</v>
      </c>
      <c r="C17" s="164" t="s">
        <v>1444</v>
      </c>
      <c r="D17" s="193">
        <v>180</v>
      </c>
      <c r="E17" s="193">
        <v>200</v>
      </c>
      <c r="F17" s="240">
        <f>'Sunday '!F17</f>
        <v>0.74370729981209283</v>
      </c>
      <c r="G17" s="240">
        <f>AVERAGE(F15:F17)</f>
        <v>0.62573862915450573</v>
      </c>
    </row>
    <row r="18" spans="1:7" x14ac:dyDescent="0.55000000000000004">
      <c r="A18" s="197" t="s">
        <v>1857</v>
      </c>
      <c r="B18" s="166" t="s">
        <v>1778</v>
      </c>
      <c r="C18" s="166"/>
      <c r="D18" s="166"/>
      <c r="E18" s="166"/>
      <c r="F18" s="166"/>
      <c r="G18" s="166"/>
    </row>
    <row r="19" spans="1:7" x14ac:dyDescent="0.75">
      <c r="A19" s="198" t="s">
        <v>1864</v>
      </c>
      <c r="B19" s="167" t="s">
        <v>1944</v>
      </c>
      <c r="C19" s="169" t="s">
        <v>2036</v>
      </c>
      <c r="D19" s="193">
        <v>125</v>
      </c>
      <c r="E19" s="193">
        <v>180</v>
      </c>
      <c r="F19" s="240">
        <f>'Master – Recipes'!J155</f>
        <v>1.9154095202964989</v>
      </c>
      <c r="G19" s="239"/>
    </row>
    <row r="20" spans="1:7" x14ac:dyDescent="0.75">
      <c r="A20" s="200" t="s">
        <v>1869</v>
      </c>
      <c r="B20" s="167" t="s">
        <v>1872</v>
      </c>
      <c r="C20" s="169" t="s">
        <v>2036</v>
      </c>
      <c r="D20" s="193">
        <v>125</v>
      </c>
      <c r="E20" s="193">
        <v>180</v>
      </c>
      <c r="F20" s="240">
        <f>F51</f>
        <v>1.4287088063485065</v>
      </c>
      <c r="G20" s="240">
        <f>AVERAGE(F19:F20)</f>
        <v>1.6720591633225026</v>
      </c>
    </row>
    <row r="21" spans="1:7" x14ac:dyDescent="0.55000000000000004">
      <c r="A21" s="197" t="s">
        <v>1857</v>
      </c>
      <c r="B21" s="166" t="s">
        <v>1873</v>
      </c>
      <c r="C21" s="166"/>
      <c r="D21" s="166"/>
      <c r="E21" s="166"/>
      <c r="F21" s="166"/>
      <c r="G21" s="166"/>
    </row>
    <row r="22" spans="1:7" x14ac:dyDescent="0.75">
      <c r="A22" s="205" t="s">
        <v>1864</v>
      </c>
      <c r="B22" s="167" t="s">
        <v>1945</v>
      </c>
      <c r="C22" s="169" t="s">
        <v>2036</v>
      </c>
      <c r="D22" s="193">
        <v>380</v>
      </c>
      <c r="E22" s="193">
        <v>460</v>
      </c>
      <c r="F22" s="240">
        <f>'Master – Recipes'!J7</f>
        <v>5.6578314849272004</v>
      </c>
      <c r="G22" s="239"/>
    </row>
    <row r="23" spans="1:7" x14ac:dyDescent="0.75">
      <c r="A23" s="205" t="s">
        <v>1864</v>
      </c>
      <c r="B23" s="165" t="s">
        <v>1946</v>
      </c>
      <c r="C23" s="169" t="s">
        <v>2036</v>
      </c>
      <c r="D23" s="193">
        <v>380</v>
      </c>
      <c r="E23" s="193">
        <v>460</v>
      </c>
      <c r="F23" s="240">
        <f>'Master – Recipes'!J92</f>
        <v>6.6429071926245076</v>
      </c>
      <c r="G23" s="239"/>
    </row>
    <row r="24" spans="1:7" x14ac:dyDescent="0.75">
      <c r="A24" s="205" t="s">
        <v>1864</v>
      </c>
      <c r="B24" s="165" t="s">
        <v>1947</v>
      </c>
      <c r="C24" s="169" t="s">
        <v>2036</v>
      </c>
      <c r="D24" s="193">
        <v>380</v>
      </c>
      <c r="E24" s="193">
        <v>460</v>
      </c>
      <c r="F24" s="240">
        <f>'Master – Recipes'!J10</f>
        <v>11.303491436504835</v>
      </c>
      <c r="G24" s="240">
        <f>AVERAGE(F22:F24)</f>
        <v>7.8680767046855138</v>
      </c>
    </row>
    <row r="25" spans="1:7" x14ac:dyDescent="0.55000000000000004">
      <c r="A25" s="197" t="s">
        <v>1857</v>
      </c>
      <c r="B25" s="166" t="s">
        <v>1877</v>
      </c>
      <c r="C25" s="166"/>
      <c r="D25" s="166"/>
      <c r="E25" s="166"/>
      <c r="F25" s="166"/>
      <c r="G25" s="166"/>
    </row>
    <row r="26" spans="1:7" x14ac:dyDescent="0.75">
      <c r="A26" s="198" t="s">
        <v>1864</v>
      </c>
      <c r="B26" s="170" t="s">
        <v>1878</v>
      </c>
      <c r="C26" s="169" t="s">
        <v>2036</v>
      </c>
      <c r="D26" s="193">
        <v>380</v>
      </c>
      <c r="E26" s="193">
        <v>460</v>
      </c>
      <c r="F26" s="240">
        <f>'Sunday '!F27</f>
        <v>5.9948634046357521</v>
      </c>
      <c r="G26" s="239"/>
    </row>
    <row r="27" spans="1:7" x14ac:dyDescent="0.75">
      <c r="A27" s="200" t="s">
        <v>1879</v>
      </c>
      <c r="B27" s="170" t="s">
        <v>1926</v>
      </c>
      <c r="C27" s="169" t="s">
        <v>2036</v>
      </c>
      <c r="D27" s="193">
        <v>280</v>
      </c>
      <c r="E27" s="193">
        <v>350</v>
      </c>
      <c r="F27" s="240">
        <f>'Sunday '!F28</f>
        <v>5.105259634403839</v>
      </c>
      <c r="G27" s="239"/>
    </row>
    <row r="28" spans="1:7" ht="40.799999999999997" x14ac:dyDescent="0.75">
      <c r="A28" s="198" t="s">
        <v>1881</v>
      </c>
      <c r="B28" s="170" t="s">
        <v>1948</v>
      </c>
      <c r="C28" s="169" t="s">
        <v>2036</v>
      </c>
      <c r="D28" s="193">
        <v>280</v>
      </c>
      <c r="E28" s="193">
        <v>350</v>
      </c>
      <c r="F28" s="240">
        <f>'Sunday '!F29</f>
        <v>6.349787493199857</v>
      </c>
      <c r="G28" s="239"/>
    </row>
    <row r="29" spans="1:7" x14ac:dyDescent="0.75">
      <c r="A29" s="198" t="s">
        <v>1883</v>
      </c>
      <c r="B29" s="170" t="s">
        <v>1928</v>
      </c>
      <c r="C29" s="169" t="s">
        <v>2036</v>
      </c>
      <c r="D29" s="193">
        <v>280</v>
      </c>
      <c r="E29" s="193">
        <v>350</v>
      </c>
      <c r="F29" s="240">
        <f>'Sunday '!F30</f>
        <v>5.4259856297199986</v>
      </c>
      <c r="G29" s="239"/>
    </row>
    <row r="30" spans="1:7" x14ac:dyDescent="0.75">
      <c r="A30" s="198" t="s">
        <v>1864</v>
      </c>
      <c r="B30" s="170" t="s">
        <v>1885</v>
      </c>
      <c r="C30" s="169" t="s">
        <v>2036</v>
      </c>
      <c r="D30" s="193">
        <v>380</v>
      </c>
      <c r="E30" s="193">
        <v>460</v>
      </c>
      <c r="F30" s="240">
        <f>'Sunday '!F31</f>
        <v>6.4354070525764193</v>
      </c>
      <c r="G30" s="239"/>
    </row>
    <row r="31" spans="1:7" x14ac:dyDescent="0.75">
      <c r="A31" s="198" t="s">
        <v>1864</v>
      </c>
      <c r="B31" s="170" t="s">
        <v>1949</v>
      </c>
      <c r="C31" s="169" t="s">
        <v>2036</v>
      </c>
      <c r="D31" s="193">
        <v>380</v>
      </c>
      <c r="E31" s="193">
        <v>460</v>
      </c>
      <c r="F31" s="240">
        <f>'Sunday '!F32</f>
        <v>6.1659875268140922</v>
      </c>
      <c r="G31" s="239"/>
    </row>
    <row r="32" spans="1:7" x14ac:dyDescent="0.75">
      <c r="A32" s="198" t="s">
        <v>1869</v>
      </c>
      <c r="B32" s="162" t="s">
        <v>1887</v>
      </c>
      <c r="C32" s="169" t="s">
        <v>2036</v>
      </c>
      <c r="D32" s="193">
        <v>280</v>
      </c>
      <c r="E32" s="193">
        <v>350</v>
      </c>
      <c r="F32" s="240">
        <f>'Sunday '!F33</f>
        <v>5.6308093270308124</v>
      </c>
      <c r="G32" s="239"/>
    </row>
    <row r="33" spans="1:7" x14ac:dyDescent="0.75">
      <c r="A33" s="198" t="s">
        <v>1869</v>
      </c>
      <c r="B33" s="162" t="s">
        <v>1888</v>
      </c>
      <c r="C33" s="169" t="s">
        <v>2036</v>
      </c>
      <c r="D33" s="193">
        <v>280</v>
      </c>
      <c r="E33" s="193">
        <v>350</v>
      </c>
      <c r="F33" s="240">
        <f>'Sunday '!F34</f>
        <v>2.2027467563459493</v>
      </c>
      <c r="G33" s="239"/>
    </row>
    <row r="34" spans="1:7" x14ac:dyDescent="0.75">
      <c r="A34" s="198" t="s">
        <v>1889</v>
      </c>
      <c r="B34" s="157" t="s">
        <v>1890</v>
      </c>
      <c r="C34" s="169" t="s">
        <v>2036</v>
      </c>
      <c r="D34" s="193">
        <v>280</v>
      </c>
      <c r="E34" s="193">
        <v>350</v>
      </c>
      <c r="F34" s="240">
        <f>'Sunday '!F35</f>
        <v>3.1325787276977977</v>
      </c>
      <c r="G34" s="240">
        <f>AVERAGE(F26:F34)</f>
        <v>5.1603806169360578</v>
      </c>
    </row>
    <row r="35" spans="1:7" x14ac:dyDescent="0.55000000000000004">
      <c r="A35" s="197" t="s">
        <v>1857</v>
      </c>
      <c r="B35" s="166" t="s">
        <v>1819</v>
      </c>
      <c r="C35" s="166"/>
      <c r="D35" s="166"/>
      <c r="E35" s="166"/>
      <c r="F35" s="166"/>
      <c r="G35" s="166"/>
    </row>
    <row r="36" spans="1:7" x14ac:dyDescent="0.75">
      <c r="A36" s="205" t="s">
        <v>1891</v>
      </c>
      <c r="B36" s="167" t="s">
        <v>1892</v>
      </c>
      <c r="C36" s="167"/>
      <c r="D36" s="214"/>
      <c r="E36" s="214"/>
      <c r="F36" s="240">
        <f>'Sunday '!F37</f>
        <v>0.99192627796799404</v>
      </c>
      <c r="G36" s="239"/>
    </row>
    <row r="37" spans="1:7" x14ac:dyDescent="0.75">
      <c r="A37" s="205" t="s">
        <v>1891</v>
      </c>
      <c r="B37" s="167" t="s">
        <v>1893</v>
      </c>
      <c r="C37" s="167"/>
      <c r="D37" s="214"/>
      <c r="E37" s="214"/>
      <c r="F37" s="240">
        <f>'Sunday '!F38</f>
        <v>1</v>
      </c>
      <c r="G37" s="239"/>
    </row>
    <row r="38" spans="1:7" x14ac:dyDescent="0.75">
      <c r="A38" s="205" t="s">
        <v>1891</v>
      </c>
      <c r="B38" s="167" t="s">
        <v>1950</v>
      </c>
      <c r="C38" s="167"/>
      <c r="D38" s="214"/>
      <c r="E38" s="214"/>
      <c r="F38" s="240">
        <f>'Master – Recipes'!J82</f>
        <v>0.55247264957264963</v>
      </c>
      <c r="G38" s="239"/>
    </row>
    <row r="39" spans="1:7" x14ac:dyDescent="0.75">
      <c r="A39" s="205" t="s">
        <v>1891</v>
      </c>
      <c r="B39" s="167" t="s">
        <v>1895</v>
      </c>
      <c r="C39" s="167"/>
      <c r="D39" s="214"/>
      <c r="E39" s="214"/>
      <c r="F39" s="240">
        <f>'Master – Recipes'!J87</f>
        <v>0.77427395833333323</v>
      </c>
      <c r="G39" s="239"/>
    </row>
    <row r="40" spans="1:7" x14ac:dyDescent="0.75">
      <c r="A40" s="205" t="s">
        <v>1869</v>
      </c>
      <c r="B40" s="167" t="s">
        <v>1931</v>
      </c>
      <c r="C40" s="167"/>
      <c r="D40" s="214"/>
      <c r="E40" s="214"/>
      <c r="F40" s="240">
        <f>'Master – Recipes'!J74</f>
        <v>1.0043666666666669</v>
      </c>
      <c r="G40" s="239"/>
    </row>
    <row r="41" spans="1:7" x14ac:dyDescent="0.75">
      <c r="A41" s="205" t="s">
        <v>1897</v>
      </c>
      <c r="B41" s="167" t="s">
        <v>1932</v>
      </c>
      <c r="C41" s="167"/>
      <c r="D41" s="214"/>
      <c r="E41" s="214"/>
      <c r="F41" s="240">
        <f>'Master – Recipes'!J75</f>
        <v>1.5512533333333332</v>
      </c>
      <c r="G41" s="239"/>
    </row>
    <row r="42" spans="1:7" x14ac:dyDescent="0.75">
      <c r="A42" s="205" t="s">
        <v>1867</v>
      </c>
      <c r="B42" s="167" t="s">
        <v>1899</v>
      </c>
      <c r="C42" s="167"/>
      <c r="D42" s="214"/>
      <c r="E42" s="214"/>
      <c r="F42" s="240">
        <f>'Master – Recipes'!J76</f>
        <v>0.41019</v>
      </c>
      <c r="G42" s="239"/>
    </row>
    <row r="43" spans="1:7" x14ac:dyDescent="0.75">
      <c r="A43" s="205" t="s">
        <v>1869</v>
      </c>
      <c r="B43" s="167" t="s">
        <v>1584</v>
      </c>
      <c r="C43" s="167"/>
      <c r="D43" s="214"/>
      <c r="E43" s="214"/>
      <c r="F43" s="240">
        <f>'Master – Recipes'!J77</f>
        <v>1.0293474074074076</v>
      </c>
      <c r="G43" s="240">
        <f>AVERAGE(F36:F43)</f>
        <v>0.91422878666017315</v>
      </c>
    </row>
    <row r="44" spans="1:7" ht="25.8" x14ac:dyDescent="0.55000000000000004">
      <c r="A44" s="175"/>
      <c r="B44" s="172" t="s">
        <v>1900</v>
      </c>
      <c r="C44" s="172"/>
      <c r="D44" s="172"/>
      <c r="E44" s="172"/>
      <c r="F44" s="172"/>
      <c r="G44" s="172"/>
    </row>
    <row r="45" spans="1:7" x14ac:dyDescent="0.55000000000000004">
      <c r="A45" s="197" t="s">
        <v>1857</v>
      </c>
      <c r="B45" s="161" t="s">
        <v>1863</v>
      </c>
      <c r="C45" s="161"/>
      <c r="D45" s="166"/>
      <c r="E45" s="166"/>
      <c r="F45" s="166"/>
      <c r="G45" s="166"/>
    </row>
    <row r="46" spans="1:7" x14ac:dyDescent="0.75">
      <c r="A46" s="205" t="s">
        <v>1864</v>
      </c>
      <c r="B46" s="164" t="s">
        <v>1951</v>
      </c>
      <c r="C46" s="169" t="s">
        <v>1444</v>
      </c>
      <c r="D46" s="193">
        <v>180</v>
      </c>
      <c r="E46" s="193">
        <v>200</v>
      </c>
      <c r="F46" s="240">
        <f>'Master – Recipes'!J99</f>
        <v>0.92849179028132989</v>
      </c>
      <c r="G46" s="239"/>
    </row>
    <row r="47" spans="1:7" x14ac:dyDescent="0.75">
      <c r="A47" s="205" t="s">
        <v>1864</v>
      </c>
      <c r="B47" s="164" t="s">
        <v>1952</v>
      </c>
      <c r="C47" s="169" t="s">
        <v>1444</v>
      </c>
      <c r="D47" s="193">
        <v>180</v>
      </c>
      <c r="E47" s="193">
        <v>200</v>
      </c>
      <c r="F47" s="240">
        <f>'Master – Recipes'!J98</f>
        <v>0.85154767498767392</v>
      </c>
      <c r="G47" s="239"/>
    </row>
    <row r="48" spans="1:7" x14ac:dyDescent="0.75">
      <c r="A48" s="204" t="s">
        <v>1867</v>
      </c>
      <c r="B48" s="170" t="s">
        <v>1868</v>
      </c>
      <c r="C48" s="169" t="s">
        <v>1444</v>
      </c>
      <c r="D48" s="193">
        <v>180</v>
      </c>
      <c r="E48" s="193">
        <v>200</v>
      </c>
      <c r="F48" s="240">
        <f>'Sunday '!F17</f>
        <v>0.74370729981209283</v>
      </c>
      <c r="G48" s="240">
        <f>AVERAGE(F46:F48)</f>
        <v>0.8412489216936988</v>
      </c>
    </row>
    <row r="49" spans="1:7" x14ac:dyDescent="0.55000000000000004">
      <c r="A49" s="197" t="s">
        <v>1857</v>
      </c>
      <c r="B49" s="166" t="s">
        <v>1778</v>
      </c>
      <c r="C49" s="166"/>
      <c r="D49" s="166"/>
      <c r="E49" s="166"/>
      <c r="F49" s="166"/>
      <c r="G49" s="166"/>
    </row>
    <row r="50" spans="1:7" x14ac:dyDescent="0.75">
      <c r="A50" s="205" t="s">
        <v>1864</v>
      </c>
      <c r="B50" s="167" t="s">
        <v>1905</v>
      </c>
      <c r="C50" s="169" t="s">
        <v>2036</v>
      </c>
      <c r="D50" s="193">
        <v>125</v>
      </c>
      <c r="E50" s="193">
        <v>180</v>
      </c>
      <c r="F50" s="240">
        <f>'Saturday '!F51</f>
        <v>0.97716803857986201</v>
      </c>
      <c r="G50" s="239"/>
    </row>
    <row r="51" spans="1:7" x14ac:dyDescent="0.75">
      <c r="A51" s="205" t="s">
        <v>1869</v>
      </c>
      <c r="B51" s="167" t="s">
        <v>1872</v>
      </c>
      <c r="C51" s="169" t="s">
        <v>2036</v>
      </c>
      <c r="D51" s="193">
        <v>125</v>
      </c>
      <c r="E51" s="193">
        <v>180</v>
      </c>
      <c r="F51" s="240">
        <f>'Sunday '!F21</f>
        <v>1.4287088063485065</v>
      </c>
      <c r="G51" s="240">
        <f>AVERAGE(F50:F51)</f>
        <v>1.2029384224641841</v>
      </c>
    </row>
    <row r="52" spans="1:7" x14ac:dyDescent="0.55000000000000004">
      <c r="A52" s="197" t="s">
        <v>1857</v>
      </c>
      <c r="B52" s="166" t="s">
        <v>1906</v>
      </c>
      <c r="C52" s="166"/>
      <c r="D52" s="166"/>
      <c r="E52" s="166"/>
      <c r="F52" s="166"/>
      <c r="G52" s="166"/>
    </row>
    <row r="53" spans="1:7" x14ac:dyDescent="0.75">
      <c r="A53" s="205" t="s">
        <v>1864</v>
      </c>
      <c r="B53" s="170" t="s">
        <v>1953</v>
      </c>
      <c r="C53" s="169" t="s">
        <v>2036</v>
      </c>
      <c r="D53" s="193">
        <v>380</v>
      </c>
      <c r="E53" s="193">
        <v>460</v>
      </c>
      <c r="F53" s="263">
        <f>'Master – Recipes'!J41</f>
        <v>8.5678847992530329</v>
      </c>
      <c r="G53" s="239"/>
    </row>
    <row r="54" spans="1:7" x14ac:dyDescent="0.75">
      <c r="A54" s="205" t="s">
        <v>1864</v>
      </c>
      <c r="B54" s="167" t="s">
        <v>1954</v>
      </c>
      <c r="C54" s="169" t="s">
        <v>2036</v>
      </c>
      <c r="D54" s="193">
        <v>380</v>
      </c>
      <c r="E54" s="193">
        <v>460</v>
      </c>
      <c r="F54" s="240">
        <f>'Master – Recipes'!J11</f>
        <v>7.3447519967468349</v>
      </c>
      <c r="G54" s="239"/>
    </row>
    <row r="55" spans="1:7" x14ac:dyDescent="0.75">
      <c r="A55" s="205" t="s">
        <v>1864</v>
      </c>
      <c r="B55" s="157" t="s">
        <v>1955</v>
      </c>
      <c r="C55" s="169" t="s">
        <v>2036</v>
      </c>
      <c r="D55" s="193">
        <v>380</v>
      </c>
      <c r="E55" s="193">
        <v>460</v>
      </c>
      <c r="F55" s="240">
        <f>'Master – Recipes'!J46</f>
        <v>4.0530987182972762</v>
      </c>
      <c r="G55" s="239"/>
    </row>
    <row r="56" spans="1:7" ht="36.6" x14ac:dyDescent="0.75">
      <c r="A56" s="205" t="s">
        <v>1910</v>
      </c>
      <c r="B56" s="165" t="s">
        <v>1956</v>
      </c>
      <c r="C56" s="169" t="s">
        <v>2036</v>
      </c>
      <c r="D56" s="193">
        <v>380</v>
      </c>
      <c r="E56" s="193">
        <v>460</v>
      </c>
      <c r="F56" s="240">
        <f>'Master – Recipes'!J9</f>
        <v>3.1419381390022676</v>
      </c>
      <c r="G56" s="240">
        <f>AVERAGE(F53:F56)</f>
        <v>5.7769184133248528</v>
      </c>
    </row>
    <row r="57" spans="1:7" x14ac:dyDescent="0.55000000000000004">
      <c r="A57" s="197" t="s">
        <v>1857</v>
      </c>
      <c r="B57" s="166" t="s">
        <v>1912</v>
      </c>
      <c r="C57" s="166"/>
      <c r="D57" s="166"/>
      <c r="E57" s="166"/>
      <c r="F57" s="166"/>
      <c r="G57" s="166"/>
    </row>
    <row r="58" spans="1:7" x14ac:dyDescent="0.75">
      <c r="A58" s="205" t="s">
        <v>1864</v>
      </c>
      <c r="B58" s="170" t="s">
        <v>1913</v>
      </c>
      <c r="C58" s="169" t="s">
        <v>2036</v>
      </c>
      <c r="D58" s="193">
        <v>380</v>
      </c>
      <c r="E58" s="193">
        <v>460</v>
      </c>
      <c r="F58" s="240">
        <f>'Sunday '!F60</f>
        <v>6.7409803942464892</v>
      </c>
      <c r="G58" s="239"/>
    </row>
    <row r="59" spans="1:7" x14ac:dyDescent="0.75">
      <c r="A59" s="204" t="s">
        <v>1879</v>
      </c>
      <c r="B59" s="170" t="s">
        <v>1914</v>
      </c>
      <c r="C59" s="169" t="s">
        <v>2036</v>
      </c>
      <c r="D59" s="193">
        <v>280</v>
      </c>
      <c r="E59" s="193">
        <v>350</v>
      </c>
      <c r="F59" s="240">
        <f>'Sunday '!F61</f>
        <v>5.105259634403839</v>
      </c>
      <c r="G59" s="239"/>
    </row>
    <row r="60" spans="1:7" ht="40.799999999999997" x14ac:dyDescent="0.75">
      <c r="A60" s="205" t="s">
        <v>1881</v>
      </c>
      <c r="B60" s="170" t="s">
        <v>1940</v>
      </c>
      <c r="C60" s="169" t="s">
        <v>2036</v>
      </c>
      <c r="D60" s="193">
        <v>280</v>
      </c>
      <c r="E60" s="193">
        <v>350</v>
      </c>
      <c r="F60" s="240">
        <f>'Sunday '!F62</f>
        <v>6.349787493199857</v>
      </c>
      <c r="G60" s="239"/>
    </row>
    <row r="61" spans="1:7" x14ac:dyDescent="0.75">
      <c r="A61" s="205" t="s">
        <v>1883</v>
      </c>
      <c r="B61" s="170" t="s">
        <v>1928</v>
      </c>
      <c r="C61" s="169" t="s">
        <v>2036</v>
      </c>
      <c r="D61" s="193">
        <v>280</v>
      </c>
      <c r="E61" s="193">
        <v>350</v>
      </c>
      <c r="F61" s="240">
        <f>'Sunday '!F63</f>
        <v>5.4259856297199986</v>
      </c>
      <c r="G61" s="239"/>
    </row>
    <row r="62" spans="1:7" x14ac:dyDescent="0.75">
      <c r="A62" s="205" t="s">
        <v>1864</v>
      </c>
      <c r="B62" s="170" t="s">
        <v>1885</v>
      </c>
      <c r="C62" s="169" t="s">
        <v>2036</v>
      </c>
      <c r="D62" s="193">
        <v>380</v>
      </c>
      <c r="E62" s="193">
        <v>460</v>
      </c>
      <c r="F62" s="240">
        <f>'Sunday '!F64</f>
        <v>6.4354070525764193</v>
      </c>
      <c r="G62" s="239"/>
    </row>
    <row r="63" spans="1:7" x14ac:dyDescent="0.75">
      <c r="A63" s="205" t="s">
        <v>1869</v>
      </c>
      <c r="B63" s="170" t="s">
        <v>1917</v>
      </c>
      <c r="C63" s="169" t="s">
        <v>2036</v>
      </c>
      <c r="D63" s="193">
        <v>280</v>
      </c>
      <c r="E63" s="193">
        <v>350</v>
      </c>
      <c r="F63" s="240">
        <f>'Sunday '!F65</f>
        <v>2.551358968688251</v>
      </c>
      <c r="G63" s="239"/>
    </row>
    <row r="64" spans="1:7" x14ac:dyDescent="0.75">
      <c r="A64" s="205" t="s">
        <v>1889</v>
      </c>
      <c r="B64" s="170" t="s">
        <v>1918</v>
      </c>
      <c r="C64" s="169" t="s">
        <v>2036</v>
      </c>
      <c r="D64" s="193">
        <v>280</v>
      </c>
      <c r="E64" s="193">
        <v>350</v>
      </c>
      <c r="F64" s="240">
        <f>'Sunday '!F66</f>
        <v>2.6273378564421646</v>
      </c>
      <c r="G64" s="240">
        <f>AVERAGE(F58:F64)</f>
        <v>5.0337310041824308</v>
      </c>
    </row>
  </sheetData>
  <mergeCells count="2">
    <mergeCell ref="A1:B1"/>
    <mergeCell ref="C3:E3"/>
  </mergeCells>
  <pageMargins left="0.17013888888888901" right="0.15972222222222199" top="0.75" bottom="0.75" header="0.51180555555555496" footer="0.51180555555555496"/>
  <pageSetup paperSize="9" scale="45" firstPageNumber="0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5C718-29AF-4E82-9C44-E9845E0CF257}">
  <sheetPr>
    <pageSetUpPr fitToPage="1"/>
  </sheetPr>
  <dimension ref="A1:G65"/>
  <sheetViews>
    <sheetView view="pageBreakPreview" zoomScale="60" zoomScaleNormal="78" workbookViewId="0">
      <selection activeCell="I42" sqref="I42"/>
    </sheetView>
  </sheetViews>
  <sheetFormatPr defaultRowHeight="20.399999999999999" x14ac:dyDescent="0.75"/>
  <cols>
    <col min="1" max="1" width="40.734375" style="153" customWidth="1"/>
    <col min="2" max="2" width="104.26171875" style="153" customWidth="1"/>
    <col min="3" max="3" width="9.1015625" style="153" customWidth="1"/>
    <col min="4" max="4" width="17.20703125" style="149" customWidth="1"/>
    <col min="5" max="5" width="19.1015625" style="149" customWidth="1"/>
    <col min="6" max="6" width="15.7890625" style="148" customWidth="1"/>
    <col min="7" max="7" width="20.41796875" style="148" customWidth="1"/>
    <col min="8" max="1007" width="8.68359375" style="149" customWidth="1"/>
    <col min="1008" max="16384" width="8.83984375" style="149"/>
  </cols>
  <sheetData>
    <row r="1" spans="1:7" x14ac:dyDescent="0.75">
      <c r="A1" s="319" t="s">
        <v>2007</v>
      </c>
      <c r="B1" s="320"/>
      <c r="C1" s="226"/>
    </row>
    <row r="2" spans="1:7" x14ac:dyDescent="0.75">
      <c r="A2" s="218" t="s">
        <v>1834</v>
      </c>
      <c r="B2" s="218" t="s">
        <v>1467</v>
      </c>
      <c r="C2" s="218"/>
      <c r="D2" s="152"/>
      <c r="E2" s="152"/>
      <c r="F2" s="151"/>
      <c r="G2" s="151"/>
    </row>
    <row r="3" spans="1:7" x14ac:dyDescent="0.75">
      <c r="A3" s="219"/>
      <c r="B3" s="219" t="s">
        <v>1835</v>
      </c>
      <c r="C3" s="321" t="s">
        <v>2009</v>
      </c>
      <c r="D3" s="310"/>
      <c r="E3" s="311"/>
      <c r="F3" s="237" t="s">
        <v>2046</v>
      </c>
      <c r="G3" s="237" t="str">
        <f>Wednesday!G3</f>
        <v>Avg.Food Cost</v>
      </c>
    </row>
    <row r="4" spans="1:7" x14ac:dyDescent="0.75">
      <c r="A4" s="220" t="s">
        <v>1857</v>
      </c>
      <c r="B4" s="221" t="s">
        <v>1837</v>
      </c>
      <c r="C4" s="147" t="s">
        <v>29</v>
      </c>
      <c r="D4" s="147" t="s">
        <v>2044</v>
      </c>
      <c r="E4" s="147" t="s">
        <v>2045</v>
      </c>
      <c r="F4" s="151"/>
      <c r="G4" s="151"/>
    </row>
    <row r="5" spans="1:7" x14ac:dyDescent="0.75">
      <c r="A5" s="157" t="s">
        <v>1838</v>
      </c>
      <c r="B5" s="169" t="s">
        <v>1858</v>
      </c>
      <c r="C5" s="169" t="s">
        <v>2036</v>
      </c>
      <c r="D5" s="173">
        <v>180</v>
      </c>
      <c r="E5" s="173">
        <v>200</v>
      </c>
      <c r="F5" s="232">
        <f>'Master – Recipes'!J141+'Master – Recipes'!J126</f>
        <v>2.732482062679165</v>
      </c>
      <c r="G5" s="151"/>
    </row>
    <row r="6" spans="1:7" x14ac:dyDescent="0.75">
      <c r="A6" s="159" t="s">
        <v>1840</v>
      </c>
      <c r="B6" s="157" t="s">
        <v>1841</v>
      </c>
      <c r="C6" s="169" t="s">
        <v>2036</v>
      </c>
      <c r="D6" s="173">
        <v>180</v>
      </c>
      <c r="E6" s="173">
        <v>200</v>
      </c>
      <c r="F6" s="232">
        <f>Monday!F6</f>
        <v>2.3675043669607367</v>
      </c>
      <c r="G6" s="151"/>
    </row>
    <row r="7" spans="1:7" x14ac:dyDescent="0.75">
      <c r="A7" s="157" t="s">
        <v>1842</v>
      </c>
      <c r="B7" s="157" t="s">
        <v>1843</v>
      </c>
      <c r="C7" s="169" t="s">
        <v>2036</v>
      </c>
      <c r="D7" s="173" t="s">
        <v>2008</v>
      </c>
      <c r="E7" s="152"/>
      <c r="F7" s="232">
        <f>Monday!F7</f>
        <v>2.0236298780701754</v>
      </c>
      <c r="G7" s="151"/>
    </row>
    <row r="8" spans="1:7" x14ac:dyDescent="0.75">
      <c r="A8" s="159" t="s">
        <v>1840</v>
      </c>
      <c r="B8" s="157" t="s">
        <v>1854</v>
      </c>
      <c r="C8" s="169" t="s">
        <v>2036</v>
      </c>
      <c r="D8" s="173">
        <v>180</v>
      </c>
      <c r="E8" s="173">
        <v>200</v>
      </c>
      <c r="F8" s="232">
        <f>Monday!F8</f>
        <v>1.5539902783642456</v>
      </c>
      <c r="G8" s="151"/>
    </row>
    <row r="9" spans="1:7" x14ac:dyDescent="0.75">
      <c r="A9" s="157" t="s">
        <v>1845</v>
      </c>
      <c r="B9" s="158" t="s">
        <v>1855</v>
      </c>
      <c r="C9" s="169" t="s">
        <v>2036</v>
      </c>
      <c r="D9" s="173" t="s">
        <v>2008</v>
      </c>
      <c r="E9" s="152"/>
      <c r="F9" s="232">
        <f>'Master – Recipes'!J128+'Master – Recipes'!J126</f>
        <v>2.8516226500000004</v>
      </c>
      <c r="G9" s="151"/>
    </row>
    <row r="10" spans="1:7" x14ac:dyDescent="0.75">
      <c r="A10" s="220" t="s">
        <v>1857</v>
      </c>
      <c r="B10" s="221" t="s">
        <v>1847</v>
      </c>
      <c r="C10" s="221"/>
      <c r="D10" s="221"/>
      <c r="E10" s="221"/>
      <c r="F10" s="221"/>
      <c r="G10" s="221"/>
    </row>
    <row r="11" spans="1:7" x14ac:dyDescent="0.75">
      <c r="A11" s="159" t="s">
        <v>1848</v>
      </c>
      <c r="B11" s="157" t="s">
        <v>1856</v>
      </c>
      <c r="C11" s="157"/>
      <c r="D11" s="152"/>
      <c r="E11" s="152"/>
      <c r="F11" s="232">
        <f>Monday!F11</f>
        <v>0.8098461940226328</v>
      </c>
      <c r="G11" s="151"/>
    </row>
    <row r="12" spans="1:7" x14ac:dyDescent="0.75">
      <c r="A12" s="157" t="s">
        <v>1850</v>
      </c>
      <c r="B12" s="158" t="s">
        <v>1851</v>
      </c>
      <c r="C12" s="158"/>
      <c r="D12" s="152"/>
      <c r="E12" s="152"/>
      <c r="F12" s="151">
        <f>Monday!F12</f>
        <v>1</v>
      </c>
      <c r="G12" s="232">
        <f>AVERAGE(F5:F12)</f>
        <v>1.9055822042995649</v>
      </c>
    </row>
    <row r="13" spans="1:7" x14ac:dyDescent="0.75">
      <c r="A13" s="160"/>
      <c r="B13" s="160" t="s">
        <v>1862</v>
      </c>
      <c r="C13" s="160"/>
      <c r="D13" s="160"/>
      <c r="E13" s="160"/>
      <c r="F13" s="160"/>
      <c r="G13" s="160"/>
    </row>
    <row r="14" spans="1:7" x14ac:dyDescent="0.75">
      <c r="A14" s="161" t="s">
        <v>1857</v>
      </c>
      <c r="B14" s="161" t="s">
        <v>1863</v>
      </c>
      <c r="C14" s="161"/>
      <c r="D14" s="161"/>
      <c r="E14" s="161"/>
      <c r="F14" s="161"/>
      <c r="G14" s="161"/>
    </row>
    <row r="15" spans="1:7" x14ac:dyDescent="0.75">
      <c r="A15" s="162" t="s">
        <v>1864</v>
      </c>
      <c r="B15" s="164" t="s">
        <v>1957</v>
      </c>
      <c r="C15" s="164" t="s">
        <v>1444</v>
      </c>
      <c r="D15" s="173">
        <v>180</v>
      </c>
      <c r="E15" s="173">
        <v>200</v>
      </c>
      <c r="F15" s="232">
        <f>'Master – Recipes'!J100</f>
        <v>0.90540985582270528</v>
      </c>
      <c r="G15" s="151"/>
    </row>
    <row r="16" spans="1:7" x14ac:dyDescent="0.75">
      <c r="A16" s="162" t="s">
        <v>1864</v>
      </c>
      <c r="B16" s="164" t="s">
        <v>1958</v>
      </c>
      <c r="C16" s="164" t="s">
        <v>1444</v>
      </c>
      <c r="D16" s="173">
        <v>180</v>
      </c>
      <c r="E16" s="173">
        <v>200</v>
      </c>
      <c r="F16" s="232">
        <f>'Master – Recipes'!J101</f>
        <v>0.44056937634657645</v>
      </c>
      <c r="G16" s="151"/>
    </row>
    <row r="17" spans="1:7" x14ac:dyDescent="0.75">
      <c r="A17" s="164" t="s">
        <v>1867</v>
      </c>
      <c r="B17" s="170" t="s">
        <v>1868</v>
      </c>
      <c r="C17" s="164" t="s">
        <v>1444</v>
      </c>
      <c r="D17" s="173">
        <v>180</v>
      </c>
      <c r="E17" s="173">
        <v>200</v>
      </c>
      <c r="F17" s="232">
        <f>F49</f>
        <v>0.74370729981209283</v>
      </c>
      <c r="G17" s="151"/>
    </row>
    <row r="18" spans="1:7" x14ac:dyDescent="0.75">
      <c r="A18" s="164" t="s">
        <v>1869</v>
      </c>
      <c r="B18" s="164" t="s">
        <v>1959</v>
      </c>
      <c r="C18" s="164" t="s">
        <v>1444</v>
      </c>
      <c r="D18" s="173">
        <v>180</v>
      </c>
      <c r="E18" s="173">
        <v>200</v>
      </c>
      <c r="F18" s="232">
        <f>'Master – Recipes'!J102</f>
        <v>1.0441412075295236</v>
      </c>
      <c r="G18" s="232">
        <f>AVERAGE(F15:F18)</f>
        <v>0.78345693487772461</v>
      </c>
    </row>
    <row r="19" spans="1:7" x14ac:dyDescent="0.75">
      <c r="A19" s="161" t="s">
        <v>1857</v>
      </c>
      <c r="B19" s="166" t="s">
        <v>1778</v>
      </c>
      <c r="C19" s="166"/>
      <c r="D19" s="166"/>
      <c r="E19" s="166"/>
      <c r="F19" s="166"/>
      <c r="G19" s="166"/>
    </row>
    <row r="20" spans="1:7" x14ac:dyDescent="0.75">
      <c r="A20" s="162" t="s">
        <v>1864</v>
      </c>
      <c r="B20" s="167" t="s">
        <v>1960</v>
      </c>
      <c r="C20" s="169" t="s">
        <v>2036</v>
      </c>
      <c r="D20" s="173">
        <v>125</v>
      </c>
      <c r="E20" s="173">
        <v>180</v>
      </c>
      <c r="F20" s="232">
        <f>'Master – Recipes'!J156</f>
        <v>1.1620283109155654</v>
      </c>
      <c r="G20" s="151"/>
    </row>
    <row r="21" spans="1:7" x14ac:dyDescent="0.75">
      <c r="A21" s="164" t="s">
        <v>1869</v>
      </c>
      <c r="B21" s="167" t="s">
        <v>1872</v>
      </c>
      <c r="C21" s="169" t="s">
        <v>2036</v>
      </c>
      <c r="D21" s="173">
        <v>125</v>
      </c>
      <c r="E21" s="173">
        <v>180</v>
      </c>
      <c r="F21" s="232">
        <f>Monday!F20</f>
        <v>1.4287088063485065</v>
      </c>
      <c r="G21" s="232">
        <f>AVERAGE(F20:F21)</f>
        <v>1.295368558632036</v>
      </c>
    </row>
    <row r="22" spans="1:7" x14ac:dyDescent="0.75">
      <c r="A22" s="161" t="s">
        <v>1857</v>
      </c>
      <c r="B22" s="166" t="s">
        <v>1873</v>
      </c>
      <c r="C22" s="166"/>
      <c r="D22" s="166"/>
      <c r="E22" s="166"/>
      <c r="F22" s="166"/>
      <c r="G22" s="166"/>
    </row>
    <row r="23" spans="1:7" x14ac:dyDescent="0.75">
      <c r="A23" s="168" t="s">
        <v>1864</v>
      </c>
      <c r="B23" s="169" t="s">
        <v>1961</v>
      </c>
      <c r="C23" s="169" t="s">
        <v>2036</v>
      </c>
      <c r="D23" s="173">
        <v>380</v>
      </c>
      <c r="E23" s="173">
        <v>460</v>
      </c>
      <c r="F23" s="232">
        <f>'Master – Recipes'!J17</f>
        <v>5.4967262633405971</v>
      </c>
      <c r="G23" s="151"/>
    </row>
    <row r="24" spans="1:7" x14ac:dyDescent="0.75">
      <c r="A24" s="168" t="s">
        <v>1864</v>
      </c>
      <c r="B24" s="164" t="s">
        <v>1962</v>
      </c>
      <c r="C24" s="169" t="s">
        <v>2036</v>
      </c>
      <c r="D24" s="173">
        <v>380</v>
      </c>
      <c r="E24" s="173">
        <v>460</v>
      </c>
      <c r="F24" s="232">
        <f>'Saturday '!F24</f>
        <v>5.1319821613629077</v>
      </c>
      <c r="G24" s="151"/>
    </row>
    <row r="25" spans="1:7" x14ac:dyDescent="0.75">
      <c r="A25" s="168" t="s">
        <v>1864</v>
      </c>
      <c r="B25" s="164" t="s">
        <v>1963</v>
      </c>
      <c r="C25" s="169" t="s">
        <v>2036</v>
      </c>
      <c r="D25" s="173">
        <v>380</v>
      </c>
      <c r="E25" s="173">
        <v>460</v>
      </c>
      <c r="F25" s="232">
        <f>'Master – Recipes'!J14</f>
        <v>5.5556340327473928</v>
      </c>
      <c r="G25" s="232">
        <f>AVERAGE(F23:F25)</f>
        <v>5.3947808191502986</v>
      </c>
    </row>
    <row r="26" spans="1:7" x14ac:dyDescent="0.75">
      <c r="A26" s="161" t="s">
        <v>1857</v>
      </c>
      <c r="B26" s="166" t="s">
        <v>1877</v>
      </c>
      <c r="C26" s="166"/>
      <c r="D26" s="166"/>
      <c r="E26" s="166"/>
      <c r="F26" s="166"/>
      <c r="G26" s="166"/>
    </row>
    <row r="27" spans="1:7" x14ac:dyDescent="0.75">
      <c r="A27" s="162" t="s">
        <v>1864</v>
      </c>
      <c r="B27" s="170" t="s">
        <v>1878</v>
      </c>
      <c r="C27" s="169" t="s">
        <v>2036</v>
      </c>
      <c r="D27" s="173">
        <v>380</v>
      </c>
      <c r="E27" s="173">
        <v>460</v>
      </c>
      <c r="F27" s="232">
        <f>Monday!F26</f>
        <v>5.9948634046357521</v>
      </c>
      <c r="G27" s="151"/>
    </row>
    <row r="28" spans="1:7" x14ac:dyDescent="0.75">
      <c r="A28" s="164" t="s">
        <v>1879</v>
      </c>
      <c r="B28" s="170" t="s">
        <v>1926</v>
      </c>
      <c r="C28" s="169" t="s">
        <v>2036</v>
      </c>
      <c r="D28" s="173">
        <v>280</v>
      </c>
      <c r="E28" s="173">
        <v>350</v>
      </c>
      <c r="F28" s="232">
        <f>Monday!F27</f>
        <v>5.105259634403839</v>
      </c>
      <c r="G28" s="151"/>
    </row>
    <row r="29" spans="1:7" ht="40.799999999999997" x14ac:dyDescent="0.75">
      <c r="A29" s="162" t="s">
        <v>1881</v>
      </c>
      <c r="B29" s="170" t="s">
        <v>1964</v>
      </c>
      <c r="C29" s="169" t="s">
        <v>2036</v>
      </c>
      <c r="D29" s="173">
        <v>280</v>
      </c>
      <c r="E29" s="173">
        <v>350</v>
      </c>
      <c r="F29" s="232">
        <f>Monday!F28</f>
        <v>6.349787493199857</v>
      </c>
      <c r="G29" s="151"/>
    </row>
    <row r="30" spans="1:7" x14ac:dyDescent="0.75">
      <c r="A30" s="162" t="s">
        <v>1883</v>
      </c>
      <c r="B30" s="170" t="s">
        <v>1916</v>
      </c>
      <c r="C30" s="169" t="s">
        <v>2036</v>
      </c>
      <c r="D30" s="173">
        <v>280</v>
      </c>
      <c r="E30" s="173">
        <v>350</v>
      </c>
      <c r="F30" s="232">
        <f>Monday!F29</f>
        <v>5.4259856297199986</v>
      </c>
      <c r="G30" s="151"/>
    </row>
    <row r="31" spans="1:7" x14ac:dyDescent="0.75">
      <c r="A31" s="162" t="s">
        <v>1864</v>
      </c>
      <c r="B31" s="170" t="s">
        <v>1885</v>
      </c>
      <c r="C31" s="169" t="s">
        <v>2036</v>
      </c>
      <c r="D31" s="173">
        <v>380</v>
      </c>
      <c r="E31" s="173">
        <v>460</v>
      </c>
      <c r="F31" s="232">
        <f>Monday!F30</f>
        <v>6.4354070525764193</v>
      </c>
      <c r="G31" s="151"/>
    </row>
    <row r="32" spans="1:7" x14ac:dyDescent="0.75">
      <c r="A32" s="162" t="s">
        <v>1864</v>
      </c>
      <c r="B32" s="162" t="s">
        <v>1965</v>
      </c>
      <c r="C32" s="169" t="s">
        <v>2036</v>
      </c>
      <c r="D32" s="173">
        <v>380</v>
      </c>
      <c r="E32" s="173">
        <v>460</v>
      </c>
      <c r="F32" s="232">
        <f>Monday!F31</f>
        <v>6.1659875268140922</v>
      </c>
      <c r="G32" s="151"/>
    </row>
    <row r="33" spans="1:7" x14ac:dyDescent="0.75">
      <c r="A33" s="162" t="s">
        <v>1869</v>
      </c>
      <c r="B33" s="162" t="s">
        <v>1887</v>
      </c>
      <c r="C33" s="169" t="s">
        <v>2036</v>
      </c>
      <c r="D33" s="173">
        <v>280</v>
      </c>
      <c r="E33" s="173">
        <v>350</v>
      </c>
      <c r="F33" s="232">
        <f>Monday!F32</f>
        <v>5.6308093270308124</v>
      </c>
      <c r="G33" s="151"/>
    </row>
    <row r="34" spans="1:7" x14ac:dyDescent="0.75">
      <c r="A34" s="162" t="s">
        <v>1869</v>
      </c>
      <c r="B34" s="162" t="s">
        <v>1888</v>
      </c>
      <c r="C34" s="169" t="s">
        <v>2036</v>
      </c>
      <c r="D34" s="173">
        <v>280</v>
      </c>
      <c r="E34" s="173">
        <v>350</v>
      </c>
      <c r="F34" s="232">
        <f>Monday!F33</f>
        <v>2.2027467563459493</v>
      </c>
      <c r="G34" s="151"/>
    </row>
    <row r="35" spans="1:7" x14ac:dyDescent="0.75">
      <c r="A35" s="162" t="s">
        <v>1889</v>
      </c>
      <c r="B35" s="157" t="s">
        <v>1890</v>
      </c>
      <c r="C35" s="169" t="s">
        <v>2036</v>
      </c>
      <c r="D35" s="173">
        <v>280</v>
      </c>
      <c r="E35" s="173">
        <v>350</v>
      </c>
      <c r="F35" s="232">
        <f>Monday!F34</f>
        <v>3.1325787276977977</v>
      </c>
      <c r="G35" s="232">
        <f>AVERAGE(F27:F35)</f>
        <v>5.1603806169360578</v>
      </c>
    </row>
    <row r="36" spans="1:7" x14ac:dyDescent="0.75">
      <c r="A36" s="161" t="s">
        <v>1857</v>
      </c>
      <c r="B36" s="166" t="s">
        <v>1819</v>
      </c>
      <c r="C36" s="166"/>
      <c r="D36" s="166"/>
      <c r="E36" s="166"/>
      <c r="F36" s="166"/>
      <c r="G36" s="166"/>
    </row>
    <row r="37" spans="1:7" x14ac:dyDescent="0.75">
      <c r="A37" s="168" t="s">
        <v>1891</v>
      </c>
      <c r="B37" s="167" t="s">
        <v>1892</v>
      </c>
      <c r="C37" s="167"/>
      <c r="D37" s="152"/>
      <c r="E37" s="152"/>
      <c r="F37" s="232">
        <f>Monday!F36</f>
        <v>0.99192627796799404</v>
      </c>
      <c r="G37" s="151"/>
    </row>
    <row r="38" spans="1:7" x14ac:dyDescent="0.75">
      <c r="A38" s="168" t="s">
        <v>1891</v>
      </c>
      <c r="B38" s="167" t="s">
        <v>1893</v>
      </c>
      <c r="C38" s="167"/>
      <c r="D38" s="152"/>
      <c r="E38" s="152"/>
      <c r="F38" s="232">
        <f>Monday!F37</f>
        <v>1</v>
      </c>
      <c r="G38" s="151"/>
    </row>
    <row r="39" spans="1:7" x14ac:dyDescent="0.75">
      <c r="A39" s="168" t="s">
        <v>1891</v>
      </c>
      <c r="B39" s="167" t="s">
        <v>1966</v>
      </c>
      <c r="C39" s="167"/>
      <c r="D39" s="152"/>
      <c r="E39" s="152"/>
      <c r="F39" s="232">
        <f>'Master – Recipes'!J83</f>
        <v>0.54876607387140919</v>
      </c>
      <c r="G39" s="151"/>
    </row>
    <row r="40" spans="1:7" x14ac:dyDescent="0.75">
      <c r="A40" s="168" t="s">
        <v>1891</v>
      </c>
      <c r="B40" s="167" t="s">
        <v>1895</v>
      </c>
      <c r="C40" s="167"/>
      <c r="D40" s="152"/>
      <c r="E40" s="152"/>
      <c r="F40" s="232">
        <f>'Master – Recipes'!J87</f>
        <v>0.77427395833333323</v>
      </c>
      <c r="G40" s="151"/>
    </row>
    <row r="41" spans="1:7" x14ac:dyDescent="0.75">
      <c r="A41" s="168" t="s">
        <v>1869</v>
      </c>
      <c r="B41" s="167" t="s">
        <v>1896</v>
      </c>
      <c r="C41" s="167"/>
      <c r="D41" s="152"/>
      <c r="E41" s="152"/>
      <c r="F41" s="232">
        <f>Monday!F40</f>
        <v>1.0043666666666669</v>
      </c>
      <c r="G41" s="151"/>
    </row>
    <row r="42" spans="1:7" x14ac:dyDescent="0.75">
      <c r="A42" s="168" t="s">
        <v>1897</v>
      </c>
      <c r="B42" s="167" t="s">
        <v>1898</v>
      </c>
      <c r="C42" s="167"/>
      <c r="D42" s="152"/>
      <c r="E42" s="152"/>
      <c r="F42" s="232">
        <f>Monday!F41</f>
        <v>1.5512533333333332</v>
      </c>
      <c r="G42" s="151"/>
    </row>
    <row r="43" spans="1:7" x14ac:dyDescent="0.75">
      <c r="A43" s="168" t="s">
        <v>1867</v>
      </c>
      <c r="B43" s="167" t="s">
        <v>1899</v>
      </c>
      <c r="C43" s="167"/>
      <c r="D43" s="152"/>
      <c r="E43" s="152"/>
      <c r="F43" s="232">
        <f>Monday!F42</f>
        <v>0.41019</v>
      </c>
      <c r="G43" s="151"/>
    </row>
    <row r="44" spans="1:7" x14ac:dyDescent="0.75">
      <c r="A44" s="168" t="s">
        <v>1869</v>
      </c>
      <c r="B44" s="167" t="s">
        <v>1584</v>
      </c>
      <c r="C44" s="167"/>
      <c r="D44" s="152"/>
      <c r="E44" s="152"/>
      <c r="F44" s="232">
        <f>Monday!F43</f>
        <v>1.0293474074074076</v>
      </c>
      <c r="G44" s="232">
        <f>AVERAGE(F37:F44)</f>
        <v>0.91376546469751807</v>
      </c>
    </row>
    <row r="45" spans="1:7" x14ac:dyDescent="0.75">
      <c r="A45" s="172"/>
      <c r="B45" s="172" t="s">
        <v>1900</v>
      </c>
      <c r="C45" s="172"/>
      <c r="D45" s="172"/>
      <c r="E45" s="172"/>
      <c r="F45" s="172"/>
      <c r="G45" s="172"/>
    </row>
    <row r="46" spans="1:7" x14ac:dyDescent="0.75">
      <c r="A46" s="161" t="s">
        <v>1857</v>
      </c>
      <c r="B46" s="161" t="s">
        <v>1863</v>
      </c>
      <c r="C46" s="161"/>
      <c r="D46" s="161"/>
      <c r="E46" s="161"/>
      <c r="F46" s="161"/>
      <c r="G46" s="161"/>
    </row>
    <row r="47" spans="1:7" x14ac:dyDescent="0.75">
      <c r="A47" s="168" t="s">
        <v>1864</v>
      </c>
      <c r="B47" s="164" t="s">
        <v>1942</v>
      </c>
      <c r="C47" s="164" t="s">
        <v>1444</v>
      </c>
      <c r="D47" s="173">
        <v>180</v>
      </c>
      <c r="E47" s="173">
        <v>200</v>
      </c>
      <c r="F47" s="232">
        <f>'Master – Recipes'!J103</f>
        <v>0.71622716274093978</v>
      </c>
      <c r="G47" s="151"/>
    </row>
    <row r="48" spans="1:7" x14ac:dyDescent="0.75">
      <c r="A48" s="168" t="s">
        <v>1864</v>
      </c>
      <c r="B48" s="164" t="s">
        <v>1967</v>
      </c>
      <c r="C48" s="164" t="s">
        <v>1444</v>
      </c>
      <c r="D48" s="173">
        <v>180</v>
      </c>
      <c r="E48" s="173">
        <v>200</v>
      </c>
      <c r="F48" s="232">
        <f>'Master – Recipes'!J104</f>
        <v>1.1682172163973823</v>
      </c>
      <c r="G48" s="151"/>
    </row>
    <row r="49" spans="1:7" x14ac:dyDescent="0.75">
      <c r="A49" s="167" t="s">
        <v>1867</v>
      </c>
      <c r="B49" s="170" t="s">
        <v>1868</v>
      </c>
      <c r="C49" s="164" t="s">
        <v>1444</v>
      </c>
      <c r="D49" s="173">
        <v>180</v>
      </c>
      <c r="E49" s="173">
        <v>200</v>
      </c>
      <c r="F49" s="232">
        <f>'Saturday '!F49</f>
        <v>0.74370729981209283</v>
      </c>
      <c r="G49" s="232">
        <f>AVERAGE(F47:F49)</f>
        <v>0.87605055965013834</v>
      </c>
    </row>
    <row r="50" spans="1:7" x14ac:dyDescent="0.75">
      <c r="A50" s="161" t="s">
        <v>1857</v>
      </c>
      <c r="B50" s="166" t="s">
        <v>1778</v>
      </c>
      <c r="C50" s="166"/>
      <c r="D50" s="166"/>
      <c r="E50" s="166"/>
      <c r="F50" s="166"/>
      <c r="G50" s="166"/>
    </row>
    <row r="51" spans="1:7" x14ac:dyDescent="0.75">
      <c r="A51" s="168" t="s">
        <v>1864</v>
      </c>
      <c r="B51" s="167" t="s">
        <v>1968</v>
      </c>
      <c r="C51" s="169" t="s">
        <v>2036</v>
      </c>
      <c r="D51" s="173">
        <v>125</v>
      </c>
      <c r="E51" s="173">
        <v>180</v>
      </c>
      <c r="F51" s="232">
        <f>'Saturday '!F51</f>
        <v>0.97716803857986201</v>
      </c>
      <c r="G51" s="151"/>
    </row>
    <row r="52" spans="1:7" x14ac:dyDescent="0.75">
      <c r="A52" s="168" t="s">
        <v>1869</v>
      </c>
      <c r="B52" s="167" t="s">
        <v>1872</v>
      </c>
      <c r="C52" s="169" t="s">
        <v>2036</v>
      </c>
      <c r="D52" s="173">
        <v>125</v>
      </c>
      <c r="E52" s="173">
        <v>180</v>
      </c>
      <c r="F52" s="232">
        <f>F21</f>
        <v>1.4287088063485065</v>
      </c>
      <c r="G52" s="232">
        <f>AVERAGE(F51:F52)</f>
        <v>1.2029384224641841</v>
      </c>
    </row>
    <row r="53" spans="1:7" x14ac:dyDescent="0.75">
      <c r="A53" s="161" t="s">
        <v>1857</v>
      </c>
      <c r="B53" s="166" t="s">
        <v>1906</v>
      </c>
      <c r="C53" s="166"/>
      <c r="D53" s="166"/>
      <c r="E53" s="166"/>
      <c r="F53" s="166"/>
      <c r="G53" s="166"/>
    </row>
    <row r="54" spans="1:7" x14ac:dyDescent="0.75">
      <c r="A54" s="168" t="s">
        <v>1864</v>
      </c>
      <c r="B54" s="168" t="s">
        <v>1969</v>
      </c>
      <c r="C54" s="169" t="s">
        <v>2036</v>
      </c>
      <c r="D54" s="173">
        <v>380</v>
      </c>
      <c r="E54" s="173">
        <v>460</v>
      </c>
      <c r="F54" s="232">
        <f>'Master – Recipes'!J20</f>
        <v>10.793473431687731</v>
      </c>
      <c r="G54" s="151"/>
    </row>
    <row r="55" spans="1:7" x14ac:dyDescent="0.75">
      <c r="A55" s="168" t="s">
        <v>1864</v>
      </c>
      <c r="B55" s="168" t="s">
        <v>1970</v>
      </c>
      <c r="C55" s="169" t="s">
        <v>2036</v>
      </c>
      <c r="D55" s="173">
        <v>380</v>
      </c>
      <c r="E55" s="173">
        <v>460</v>
      </c>
      <c r="F55" s="232">
        <f>'Master – Recipes'!J18</f>
        <v>5.8126986998623629</v>
      </c>
      <c r="G55" s="151"/>
    </row>
    <row r="56" spans="1:7" x14ac:dyDescent="0.75">
      <c r="A56" s="168" t="s">
        <v>1864</v>
      </c>
      <c r="B56" s="167" t="s">
        <v>1971</v>
      </c>
      <c r="C56" s="169" t="s">
        <v>2036</v>
      </c>
      <c r="D56" s="173">
        <v>380</v>
      </c>
      <c r="E56" s="173">
        <v>460</v>
      </c>
      <c r="F56" s="232">
        <f>'Master – Recipes'!J54</f>
        <v>5.2662598514279217</v>
      </c>
      <c r="G56" s="151"/>
    </row>
    <row r="57" spans="1:7" ht="40.799999999999997" x14ac:dyDescent="0.75">
      <c r="A57" s="168" t="s">
        <v>1910</v>
      </c>
      <c r="B57" s="167" t="s">
        <v>1972</v>
      </c>
      <c r="C57" s="169" t="s">
        <v>2036</v>
      </c>
      <c r="D57" s="173">
        <v>380</v>
      </c>
      <c r="E57" s="173">
        <v>460</v>
      </c>
      <c r="F57" s="232">
        <f>'Master – Recipes'!J21</f>
        <v>2.5077857210976879</v>
      </c>
      <c r="G57" s="232">
        <f>AVERAGE(F54:F57)</f>
        <v>6.0950544260189261</v>
      </c>
    </row>
    <row r="58" spans="1:7" x14ac:dyDescent="0.75">
      <c r="A58" s="161" t="s">
        <v>1857</v>
      </c>
      <c r="B58" s="166" t="s">
        <v>1912</v>
      </c>
      <c r="C58" s="166"/>
      <c r="D58" s="166"/>
      <c r="E58" s="166"/>
      <c r="F58" s="166"/>
      <c r="G58" s="166"/>
    </row>
    <row r="59" spans="1:7" x14ac:dyDescent="0.75">
      <c r="A59" s="168" t="s">
        <v>1864</v>
      </c>
      <c r="B59" s="170" t="s">
        <v>1913</v>
      </c>
      <c r="C59" s="169" t="s">
        <v>2036</v>
      </c>
      <c r="D59" s="173">
        <v>380</v>
      </c>
      <c r="E59" s="173">
        <v>460</v>
      </c>
      <c r="F59" s="232">
        <f>Monday!F58</f>
        <v>6.7409803942464892</v>
      </c>
      <c r="G59" s="151"/>
    </row>
    <row r="60" spans="1:7" x14ac:dyDescent="0.75">
      <c r="A60" s="167" t="s">
        <v>1879</v>
      </c>
      <c r="B60" s="170" t="s">
        <v>1914</v>
      </c>
      <c r="C60" s="169" t="s">
        <v>2036</v>
      </c>
      <c r="D60" s="173">
        <v>280</v>
      </c>
      <c r="E60" s="173">
        <v>350</v>
      </c>
      <c r="F60" s="232">
        <f>Monday!F59</f>
        <v>5.105259634403839</v>
      </c>
      <c r="G60" s="151"/>
    </row>
    <row r="61" spans="1:7" ht="40.799999999999997" x14ac:dyDescent="0.75">
      <c r="A61" s="168" t="s">
        <v>1881</v>
      </c>
      <c r="B61" s="170" t="s">
        <v>1915</v>
      </c>
      <c r="C61" s="169" t="s">
        <v>2036</v>
      </c>
      <c r="D61" s="173">
        <v>280</v>
      </c>
      <c r="E61" s="173">
        <v>350</v>
      </c>
      <c r="F61" s="232">
        <f>Monday!F60</f>
        <v>6.349787493199857</v>
      </c>
      <c r="G61" s="151"/>
    </row>
    <row r="62" spans="1:7" x14ac:dyDescent="0.75">
      <c r="A62" s="168" t="s">
        <v>1883</v>
      </c>
      <c r="B62" s="170" t="s">
        <v>1916</v>
      </c>
      <c r="C62" s="169" t="s">
        <v>2036</v>
      </c>
      <c r="D62" s="173">
        <v>280</v>
      </c>
      <c r="E62" s="173">
        <v>350</v>
      </c>
      <c r="F62" s="232">
        <f>Monday!F61</f>
        <v>5.4259856297199986</v>
      </c>
      <c r="G62" s="151"/>
    </row>
    <row r="63" spans="1:7" x14ac:dyDescent="0.75">
      <c r="A63" s="168" t="s">
        <v>1864</v>
      </c>
      <c r="B63" s="170" t="s">
        <v>1885</v>
      </c>
      <c r="C63" s="169" t="s">
        <v>2036</v>
      </c>
      <c r="D63" s="152"/>
      <c r="E63" s="152"/>
      <c r="F63" s="232">
        <f>Monday!F62</f>
        <v>6.4354070525764193</v>
      </c>
      <c r="G63" s="151"/>
    </row>
    <row r="64" spans="1:7" x14ac:dyDescent="0.75">
      <c r="A64" s="168" t="s">
        <v>1869</v>
      </c>
      <c r="B64" s="170" t="s">
        <v>1917</v>
      </c>
      <c r="C64" s="169" t="s">
        <v>2036</v>
      </c>
      <c r="D64" s="173">
        <v>280</v>
      </c>
      <c r="E64" s="173">
        <v>350</v>
      </c>
      <c r="F64" s="232">
        <f>Monday!F63</f>
        <v>2.551358968688251</v>
      </c>
      <c r="G64" s="151"/>
    </row>
    <row r="65" spans="1:7" x14ac:dyDescent="0.75">
      <c r="A65" s="168" t="s">
        <v>1889</v>
      </c>
      <c r="B65" s="170" t="s">
        <v>1918</v>
      </c>
      <c r="C65" s="169" t="s">
        <v>2036</v>
      </c>
      <c r="D65" s="173">
        <v>280</v>
      </c>
      <c r="E65" s="173">
        <v>350</v>
      </c>
      <c r="F65" s="232">
        <f>Monday!F64</f>
        <v>2.6273378564421646</v>
      </c>
      <c r="G65" s="232">
        <f>AVERAGE(F59:F65)</f>
        <v>5.0337310041824308</v>
      </c>
    </row>
  </sheetData>
  <mergeCells count="2">
    <mergeCell ref="A1:B1"/>
    <mergeCell ref="C3:E3"/>
  </mergeCells>
  <pageMargins left="0.4" right="0.15972222222222199" top="0.75" bottom="0.75" header="0.51180555555555496" footer="0.51180555555555496"/>
  <pageSetup paperSize="9" scale="44" firstPageNumber="0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FC2C1-FEEA-4338-A743-67EA647F8428}">
  <sheetPr>
    <pageSetUpPr fitToPage="1"/>
  </sheetPr>
  <dimension ref="A1:G66"/>
  <sheetViews>
    <sheetView view="pageBreakPreview" zoomScale="60" zoomScaleNormal="78" workbookViewId="0">
      <selection activeCell="I42" sqref="I42"/>
    </sheetView>
  </sheetViews>
  <sheetFormatPr defaultRowHeight="20.399999999999999" x14ac:dyDescent="0.75"/>
  <cols>
    <col min="1" max="1" width="61.83984375" style="153" customWidth="1"/>
    <col min="2" max="2" width="120.3671875" style="153" customWidth="1"/>
    <col min="3" max="3" width="10.47265625" style="153" customWidth="1"/>
    <col min="4" max="4" width="18.1015625" style="149" customWidth="1"/>
    <col min="5" max="5" width="14.47265625" style="149" customWidth="1"/>
    <col min="6" max="6" width="11.68359375" style="148" customWidth="1"/>
    <col min="7" max="7" width="19.62890625" style="148" customWidth="1"/>
    <col min="8" max="1005" width="8.68359375" style="149" customWidth="1"/>
    <col min="1006" max="16384" width="8.83984375" style="149"/>
  </cols>
  <sheetData>
    <row r="1" spans="1:7" x14ac:dyDescent="0.75">
      <c r="A1" s="319" t="s">
        <v>2007</v>
      </c>
      <c r="B1" s="320"/>
      <c r="C1" s="226"/>
    </row>
    <row r="2" spans="1:7" x14ac:dyDescent="0.75">
      <c r="A2" s="222" t="s">
        <v>1834</v>
      </c>
      <c r="B2" s="222" t="s">
        <v>1486</v>
      </c>
      <c r="C2" s="227"/>
      <c r="D2" s="152"/>
      <c r="E2" s="152"/>
      <c r="F2" s="151"/>
      <c r="G2" s="151"/>
    </row>
    <row r="3" spans="1:7" x14ac:dyDescent="0.75">
      <c r="A3" s="223"/>
      <c r="B3" s="223" t="s">
        <v>1835</v>
      </c>
      <c r="C3" s="321" t="s">
        <v>2009</v>
      </c>
      <c r="D3" s="310"/>
      <c r="E3" s="311"/>
      <c r="F3" s="237" t="s">
        <v>2046</v>
      </c>
      <c r="G3" s="237" t="str">
        <f>Thursday!G3</f>
        <v>Avg.Food Cost</v>
      </c>
    </row>
    <row r="4" spans="1:7" x14ac:dyDescent="0.75">
      <c r="A4" s="154" t="s">
        <v>1836</v>
      </c>
      <c r="B4" s="155" t="s">
        <v>1837</v>
      </c>
      <c r="C4" s="147" t="s">
        <v>29</v>
      </c>
      <c r="D4" s="147" t="s">
        <v>2044</v>
      </c>
      <c r="E4" s="147" t="s">
        <v>2045</v>
      </c>
      <c r="F4" s="151"/>
      <c r="G4" s="151"/>
    </row>
    <row r="5" spans="1:7" x14ac:dyDescent="0.75">
      <c r="A5" s="157" t="s">
        <v>1838</v>
      </c>
      <c r="B5" s="169" t="s">
        <v>1859</v>
      </c>
      <c r="C5" s="169"/>
      <c r="D5" s="152"/>
      <c r="E5" s="152"/>
      <c r="F5" s="232">
        <f>'Master – Recipes'!J143+'Master – Recipes'!J142</f>
        <v>2.3488648119678821</v>
      </c>
      <c r="G5" s="151"/>
    </row>
    <row r="6" spans="1:7" x14ac:dyDescent="0.75">
      <c r="A6" s="159" t="s">
        <v>1840</v>
      </c>
      <c r="B6" s="157" t="s">
        <v>1841</v>
      </c>
      <c r="C6" s="157" t="s">
        <v>2036</v>
      </c>
      <c r="D6" s="173">
        <v>180</v>
      </c>
      <c r="E6" s="173">
        <v>200</v>
      </c>
      <c r="F6" s="232">
        <f>Tuesday!F6</f>
        <v>2.3675043669607367</v>
      </c>
      <c r="G6" s="151"/>
    </row>
    <row r="7" spans="1:7" x14ac:dyDescent="0.75">
      <c r="A7" s="157" t="s">
        <v>1842</v>
      </c>
      <c r="B7" s="157" t="s">
        <v>1843</v>
      </c>
      <c r="C7" s="157" t="s">
        <v>2036</v>
      </c>
      <c r="D7" s="173" t="s">
        <v>2008</v>
      </c>
      <c r="E7" s="152"/>
      <c r="F7" s="232">
        <f>Tuesday!F7</f>
        <v>2.0236298780701754</v>
      </c>
      <c r="G7" s="151"/>
    </row>
    <row r="8" spans="1:7" x14ac:dyDescent="0.75">
      <c r="A8" s="159" t="s">
        <v>1840</v>
      </c>
      <c r="B8" s="157" t="s">
        <v>1854</v>
      </c>
      <c r="C8" s="157" t="s">
        <v>2036</v>
      </c>
      <c r="D8" s="173">
        <v>180</v>
      </c>
      <c r="E8" s="173">
        <v>200</v>
      </c>
      <c r="F8" s="232">
        <f>Tuesday!F8</f>
        <v>1.5539902783642456</v>
      </c>
      <c r="G8" s="151"/>
    </row>
    <row r="9" spans="1:7" x14ac:dyDescent="0.75">
      <c r="A9" s="157" t="s">
        <v>1845</v>
      </c>
      <c r="B9" s="158" t="s">
        <v>1846</v>
      </c>
      <c r="C9" s="158"/>
      <c r="D9" s="152"/>
      <c r="E9" s="152"/>
      <c r="F9" s="232">
        <f>Tuesday!F9</f>
        <v>2.8516226500000004</v>
      </c>
      <c r="G9" s="151"/>
    </row>
    <row r="10" spans="1:7" x14ac:dyDescent="0.75">
      <c r="A10" s="154" t="s">
        <v>1836</v>
      </c>
      <c r="B10" s="155" t="s">
        <v>1847</v>
      </c>
      <c r="C10" s="155"/>
      <c r="D10" s="155"/>
      <c r="E10" s="155"/>
      <c r="F10" s="155"/>
      <c r="G10" s="155"/>
    </row>
    <row r="11" spans="1:7" x14ac:dyDescent="0.75">
      <c r="A11" s="159" t="s">
        <v>1848</v>
      </c>
      <c r="B11" s="157" t="s">
        <v>1856</v>
      </c>
      <c r="C11" s="157"/>
      <c r="D11" s="152"/>
      <c r="E11" s="152"/>
      <c r="F11" s="232">
        <f>Tuesday!F11</f>
        <v>0.8098461940226328</v>
      </c>
      <c r="G11" s="151"/>
    </row>
    <row r="12" spans="1:7" x14ac:dyDescent="0.75">
      <c r="A12" s="157" t="s">
        <v>1850</v>
      </c>
      <c r="B12" s="158" t="s">
        <v>1851</v>
      </c>
      <c r="C12" s="158"/>
      <c r="D12" s="152"/>
      <c r="E12" s="152"/>
      <c r="F12" s="151">
        <f>Tuesday!F12</f>
        <v>1</v>
      </c>
      <c r="G12" s="232">
        <f>AVERAGE(F5:F12)</f>
        <v>1.850779739912239</v>
      </c>
    </row>
    <row r="13" spans="1:7" x14ac:dyDescent="0.75">
      <c r="A13" s="160"/>
      <c r="B13" s="160" t="s">
        <v>1862</v>
      </c>
      <c r="C13" s="160"/>
      <c r="D13" s="160"/>
      <c r="E13" s="160"/>
      <c r="F13" s="160"/>
      <c r="G13" s="160"/>
    </row>
    <row r="14" spans="1:7" x14ac:dyDescent="0.75">
      <c r="A14" s="161" t="s">
        <v>1857</v>
      </c>
      <c r="B14" s="161" t="s">
        <v>1863</v>
      </c>
      <c r="C14" s="161"/>
      <c r="D14" s="161"/>
      <c r="E14" s="161"/>
      <c r="F14" s="161"/>
      <c r="G14" s="161"/>
    </row>
    <row r="15" spans="1:7" x14ac:dyDescent="0.75">
      <c r="A15" s="162" t="s">
        <v>1864</v>
      </c>
      <c r="B15" s="163" t="s">
        <v>1919</v>
      </c>
      <c r="C15" s="164" t="s">
        <v>1444</v>
      </c>
      <c r="D15" s="173">
        <v>180</v>
      </c>
      <c r="E15" s="173">
        <v>200</v>
      </c>
      <c r="F15" s="232">
        <f>'Master – Recipes'!J106</f>
        <v>1.3110861792478485</v>
      </c>
      <c r="G15" s="151"/>
    </row>
    <row r="16" spans="1:7" x14ac:dyDescent="0.75">
      <c r="A16" s="162" t="s">
        <v>1864</v>
      </c>
      <c r="B16" s="164" t="s">
        <v>1973</v>
      </c>
      <c r="C16" s="164" t="s">
        <v>1444</v>
      </c>
      <c r="D16" s="173">
        <v>180</v>
      </c>
      <c r="E16" s="173">
        <v>200</v>
      </c>
      <c r="F16" s="232">
        <f>'Master – Recipes'!J114</f>
        <v>0.37803683338445376</v>
      </c>
      <c r="G16" s="151"/>
    </row>
    <row r="17" spans="1:7" x14ac:dyDescent="0.75">
      <c r="A17" s="164" t="s">
        <v>1867</v>
      </c>
      <c r="B17" s="170" t="s">
        <v>1868</v>
      </c>
      <c r="C17" s="164" t="s">
        <v>1444</v>
      </c>
      <c r="D17" s="173">
        <v>180</v>
      </c>
      <c r="E17" s="173">
        <v>200</v>
      </c>
      <c r="F17" s="232">
        <f>Tuesday!F17</f>
        <v>0.74370729981209283</v>
      </c>
      <c r="G17" s="151"/>
    </row>
    <row r="18" spans="1:7" x14ac:dyDescent="0.75">
      <c r="A18" s="164" t="s">
        <v>1869</v>
      </c>
      <c r="B18" s="163" t="s">
        <v>1974</v>
      </c>
      <c r="C18" s="164" t="s">
        <v>1444</v>
      </c>
      <c r="D18" s="173">
        <v>180</v>
      </c>
      <c r="E18" s="173">
        <v>200</v>
      </c>
      <c r="F18" s="232">
        <f>'Master – Recipes'!J107</f>
        <v>1.3115226871843564</v>
      </c>
      <c r="G18" s="232">
        <f>AVERAGE(F15:F18)</f>
        <v>0.93608824990718786</v>
      </c>
    </row>
    <row r="19" spans="1:7" x14ac:dyDescent="0.75">
      <c r="A19" s="161" t="s">
        <v>1857</v>
      </c>
      <c r="B19" s="166" t="s">
        <v>1778</v>
      </c>
      <c r="C19" s="166"/>
      <c r="D19" s="166"/>
      <c r="E19" s="166"/>
      <c r="F19" s="166"/>
      <c r="G19" s="166"/>
    </row>
    <row r="20" spans="1:7" x14ac:dyDescent="0.75">
      <c r="A20" s="162" t="s">
        <v>1864</v>
      </c>
      <c r="B20" s="167" t="s">
        <v>1922</v>
      </c>
      <c r="C20" s="157" t="s">
        <v>2036</v>
      </c>
      <c r="D20" s="173">
        <v>125</v>
      </c>
      <c r="E20" s="173">
        <v>180</v>
      </c>
      <c r="F20" s="232">
        <f>'Master – Recipes'!J157</f>
        <v>2.1813593027864697</v>
      </c>
      <c r="G20" s="151"/>
    </row>
    <row r="21" spans="1:7" x14ac:dyDescent="0.75">
      <c r="A21" s="164" t="s">
        <v>1869</v>
      </c>
      <c r="B21" s="167" t="s">
        <v>1872</v>
      </c>
      <c r="C21" s="157" t="s">
        <v>2036</v>
      </c>
      <c r="D21" s="173">
        <v>125</v>
      </c>
      <c r="E21" s="173">
        <v>180</v>
      </c>
      <c r="F21" s="232">
        <f>'Master – Recipes'!J152</f>
        <v>1.4287088063485065</v>
      </c>
      <c r="G21" s="232">
        <f>AVERAGE(F20:F21)</f>
        <v>1.8050340545674881</v>
      </c>
    </row>
    <row r="22" spans="1:7" x14ac:dyDescent="0.75">
      <c r="A22" s="161" t="s">
        <v>1857</v>
      </c>
      <c r="B22" s="166" t="s">
        <v>1873</v>
      </c>
      <c r="C22" s="166"/>
      <c r="D22" s="166"/>
      <c r="E22" s="166"/>
      <c r="F22" s="166"/>
      <c r="G22" s="166"/>
    </row>
    <row r="23" spans="1:7" x14ac:dyDescent="0.75">
      <c r="A23" s="168" t="s">
        <v>1864</v>
      </c>
      <c r="B23" s="167" t="s">
        <v>1975</v>
      </c>
      <c r="C23" s="157" t="s">
        <v>2036</v>
      </c>
      <c r="D23" s="173">
        <v>380</v>
      </c>
      <c r="E23" s="173">
        <v>460</v>
      </c>
      <c r="F23" s="232">
        <f>'Master – Recipes'!J23</f>
        <v>5.2145676983609768</v>
      </c>
      <c r="G23" s="151"/>
    </row>
    <row r="24" spans="1:7" x14ac:dyDescent="0.75">
      <c r="A24" s="168" t="s">
        <v>1864</v>
      </c>
      <c r="B24" s="165" t="s">
        <v>1976</v>
      </c>
      <c r="C24" s="157" t="s">
        <v>2036</v>
      </c>
      <c r="D24" s="173">
        <v>380</v>
      </c>
      <c r="E24" s="173">
        <v>460</v>
      </c>
      <c r="F24" s="232">
        <f>'Master – Recipes'!J30</f>
        <v>5.8248982535056459</v>
      </c>
      <c r="G24" s="151"/>
    </row>
    <row r="25" spans="1:7" x14ac:dyDescent="0.75">
      <c r="A25" s="168" t="s">
        <v>1864</v>
      </c>
      <c r="B25" s="165" t="s">
        <v>1977</v>
      </c>
      <c r="C25" s="157" t="s">
        <v>2036</v>
      </c>
      <c r="D25" s="173">
        <v>380</v>
      </c>
      <c r="E25" s="173">
        <v>460</v>
      </c>
      <c r="F25" s="232">
        <f>'Master – Recipes'!J31</f>
        <v>6.3229937213394489</v>
      </c>
      <c r="G25" s="232">
        <f>AVERAGE(F23:F25)</f>
        <v>5.7874865577353569</v>
      </c>
    </row>
    <row r="26" spans="1:7" x14ac:dyDescent="0.75">
      <c r="A26" s="161" t="s">
        <v>1857</v>
      </c>
      <c r="B26" s="166" t="s">
        <v>1877</v>
      </c>
      <c r="C26" s="166"/>
      <c r="D26" s="166"/>
      <c r="E26" s="166"/>
      <c r="F26" s="166"/>
      <c r="G26" s="166"/>
    </row>
    <row r="27" spans="1:7" x14ac:dyDescent="0.75">
      <c r="A27" s="162" t="s">
        <v>1864</v>
      </c>
      <c r="B27" s="170" t="s">
        <v>1878</v>
      </c>
      <c r="C27" s="157" t="s">
        <v>2036</v>
      </c>
      <c r="D27" s="173">
        <v>380</v>
      </c>
      <c r="E27" s="173">
        <v>460</v>
      </c>
      <c r="F27" s="232">
        <f>Tuesday!F27</f>
        <v>5.9948634046357521</v>
      </c>
      <c r="G27" s="151"/>
    </row>
    <row r="28" spans="1:7" x14ac:dyDescent="0.75">
      <c r="A28" s="164" t="s">
        <v>1879</v>
      </c>
      <c r="B28" s="170" t="s">
        <v>1926</v>
      </c>
      <c r="C28" s="157" t="s">
        <v>2036</v>
      </c>
      <c r="D28" s="173">
        <v>280</v>
      </c>
      <c r="E28" s="173">
        <v>350</v>
      </c>
      <c r="F28" s="232">
        <f>Tuesday!F28</f>
        <v>5.105259634403839</v>
      </c>
      <c r="G28" s="151"/>
    </row>
    <row r="29" spans="1:7" ht="40.799999999999997" x14ac:dyDescent="0.75">
      <c r="A29" s="162" t="s">
        <v>1881</v>
      </c>
      <c r="B29" s="170" t="s">
        <v>1978</v>
      </c>
      <c r="C29" s="157" t="s">
        <v>2036</v>
      </c>
      <c r="D29" s="173">
        <v>280</v>
      </c>
      <c r="E29" s="173">
        <v>350</v>
      </c>
      <c r="F29" s="232">
        <f>Tuesday!F29</f>
        <v>6.349787493199857</v>
      </c>
      <c r="G29" s="151"/>
    </row>
    <row r="30" spans="1:7" x14ac:dyDescent="0.75">
      <c r="A30" s="162" t="s">
        <v>1883</v>
      </c>
      <c r="B30" s="170" t="s">
        <v>1928</v>
      </c>
      <c r="C30" s="157" t="s">
        <v>2036</v>
      </c>
      <c r="D30" s="173">
        <v>280</v>
      </c>
      <c r="E30" s="173">
        <v>350</v>
      </c>
      <c r="F30" s="232">
        <f>Tuesday!F30</f>
        <v>5.4259856297199986</v>
      </c>
      <c r="G30" s="151"/>
    </row>
    <row r="31" spans="1:7" x14ac:dyDescent="0.75">
      <c r="A31" s="162" t="s">
        <v>1864</v>
      </c>
      <c r="B31" s="170" t="s">
        <v>1885</v>
      </c>
      <c r="C31" s="157" t="s">
        <v>2036</v>
      </c>
      <c r="D31" s="173">
        <v>380</v>
      </c>
      <c r="E31" s="173">
        <v>460</v>
      </c>
      <c r="F31" s="232">
        <f>Tuesday!F31</f>
        <v>6.4354070525764193</v>
      </c>
      <c r="G31" s="151"/>
    </row>
    <row r="32" spans="1:7" x14ac:dyDescent="0.75">
      <c r="A32" s="162" t="s">
        <v>1864</v>
      </c>
      <c r="B32" s="170" t="s">
        <v>1979</v>
      </c>
      <c r="C32" s="157" t="s">
        <v>2036</v>
      </c>
      <c r="D32" s="173">
        <v>380</v>
      </c>
      <c r="E32" s="173">
        <v>460</v>
      </c>
      <c r="F32" s="232">
        <f>Tuesday!F32</f>
        <v>6.1659875268140922</v>
      </c>
      <c r="G32" s="151"/>
    </row>
    <row r="33" spans="1:7" x14ac:dyDescent="0.75">
      <c r="A33" s="162" t="s">
        <v>1869</v>
      </c>
      <c r="B33" s="162" t="s">
        <v>1887</v>
      </c>
      <c r="C33" s="157" t="s">
        <v>2036</v>
      </c>
      <c r="D33" s="173">
        <v>280</v>
      </c>
      <c r="E33" s="173">
        <v>350</v>
      </c>
      <c r="F33" s="232">
        <f>Tuesday!F33</f>
        <v>5.6308093270308124</v>
      </c>
      <c r="G33" s="151"/>
    </row>
    <row r="34" spans="1:7" x14ac:dyDescent="0.75">
      <c r="A34" s="162" t="s">
        <v>1869</v>
      </c>
      <c r="B34" s="162" t="s">
        <v>1888</v>
      </c>
      <c r="C34" s="157" t="s">
        <v>2036</v>
      </c>
      <c r="D34" s="173">
        <v>280</v>
      </c>
      <c r="E34" s="173">
        <v>350</v>
      </c>
      <c r="F34" s="232">
        <f>Tuesday!F34</f>
        <v>2.2027467563459493</v>
      </c>
      <c r="G34" s="151"/>
    </row>
    <row r="35" spans="1:7" x14ac:dyDescent="0.75">
      <c r="A35" s="162" t="s">
        <v>1889</v>
      </c>
      <c r="B35" s="157" t="s">
        <v>1890</v>
      </c>
      <c r="C35" s="157" t="s">
        <v>2036</v>
      </c>
      <c r="D35" s="173">
        <v>280</v>
      </c>
      <c r="E35" s="173">
        <v>350</v>
      </c>
      <c r="F35" s="232">
        <f>Tuesday!F35</f>
        <v>3.1325787276977977</v>
      </c>
      <c r="G35" s="232">
        <f>AVERAGE(F27:F35)</f>
        <v>5.1603806169360578</v>
      </c>
    </row>
    <row r="36" spans="1:7" x14ac:dyDescent="0.75">
      <c r="A36" s="161" t="s">
        <v>1857</v>
      </c>
      <c r="B36" s="166" t="s">
        <v>1819</v>
      </c>
      <c r="C36" s="166"/>
      <c r="D36" s="166"/>
      <c r="E36" s="166"/>
      <c r="F36" s="166"/>
      <c r="G36" s="166"/>
    </row>
    <row r="37" spans="1:7" x14ac:dyDescent="0.75">
      <c r="A37" s="168" t="s">
        <v>1891</v>
      </c>
      <c r="B37" s="167" t="s">
        <v>1892</v>
      </c>
      <c r="C37" s="167"/>
      <c r="D37" s="152"/>
      <c r="E37" s="152"/>
      <c r="F37" s="232">
        <f>Tuesday!F37</f>
        <v>0.99192627796799404</v>
      </c>
      <c r="G37" s="151"/>
    </row>
    <row r="38" spans="1:7" x14ac:dyDescent="0.75">
      <c r="A38" s="168" t="s">
        <v>1891</v>
      </c>
      <c r="B38" s="167" t="s">
        <v>1893</v>
      </c>
      <c r="C38" s="167"/>
      <c r="D38" s="152"/>
      <c r="E38" s="152"/>
      <c r="F38" s="232">
        <f>Tuesday!F38</f>
        <v>1</v>
      </c>
      <c r="G38" s="151"/>
    </row>
    <row r="39" spans="1:7" x14ac:dyDescent="0.75">
      <c r="A39" s="168" t="s">
        <v>1891</v>
      </c>
      <c r="B39" s="167" t="s">
        <v>1980</v>
      </c>
      <c r="C39" s="167"/>
      <c r="D39" s="152"/>
      <c r="E39" s="152"/>
      <c r="F39" s="232">
        <f>'Master – Recipes'!J84</f>
        <v>0.41624188034188037</v>
      </c>
      <c r="G39" s="151"/>
    </row>
    <row r="40" spans="1:7" x14ac:dyDescent="0.75">
      <c r="A40" s="168" t="s">
        <v>1891</v>
      </c>
      <c r="B40" s="167" t="s">
        <v>1895</v>
      </c>
      <c r="C40" s="167"/>
      <c r="D40" s="152"/>
      <c r="E40" s="152"/>
      <c r="F40" s="232">
        <f>'Master – Recipes'!J87</f>
        <v>0.77427395833333323</v>
      </c>
      <c r="G40" s="151"/>
    </row>
    <row r="41" spans="1:7" x14ac:dyDescent="0.75">
      <c r="A41" s="168" t="s">
        <v>1869</v>
      </c>
      <c r="B41" s="167" t="s">
        <v>1931</v>
      </c>
      <c r="C41" s="167"/>
      <c r="D41" s="152"/>
      <c r="E41" s="152"/>
      <c r="F41" s="232">
        <f>Tuesday!F41</f>
        <v>1.0043666666666669</v>
      </c>
      <c r="G41" s="151"/>
    </row>
    <row r="42" spans="1:7" x14ac:dyDescent="0.75">
      <c r="A42" s="168" t="s">
        <v>1897</v>
      </c>
      <c r="B42" s="167" t="s">
        <v>1932</v>
      </c>
      <c r="C42" s="167"/>
      <c r="D42" s="152"/>
      <c r="E42" s="152"/>
      <c r="F42" s="232">
        <f>Tuesday!F42</f>
        <v>1.5512533333333332</v>
      </c>
      <c r="G42" s="151"/>
    </row>
    <row r="43" spans="1:7" x14ac:dyDescent="0.75">
      <c r="A43" s="168" t="s">
        <v>1867</v>
      </c>
      <c r="B43" s="167" t="s">
        <v>1899</v>
      </c>
      <c r="C43" s="167"/>
      <c r="D43" s="152"/>
      <c r="E43" s="152"/>
      <c r="F43" s="232">
        <f>Tuesday!F43</f>
        <v>0.41019</v>
      </c>
      <c r="G43" s="151"/>
    </row>
    <row r="44" spans="1:7" x14ac:dyDescent="0.75">
      <c r="A44" s="168" t="s">
        <v>1869</v>
      </c>
      <c r="B44" s="167" t="s">
        <v>1584</v>
      </c>
      <c r="C44" s="167"/>
      <c r="D44" s="152"/>
      <c r="E44" s="152"/>
      <c r="F44" s="232">
        <f>Tuesday!F44</f>
        <v>1.0293474074074076</v>
      </c>
      <c r="G44" s="232">
        <f>AVERAGE(F37:F44)</f>
        <v>0.89719994050632701</v>
      </c>
    </row>
    <row r="45" spans="1:7" x14ac:dyDescent="0.75">
      <c r="A45" s="172"/>
      <c r="B45" s="172" t="s">
        <v>1900</v>
      </c>
      <c r="C45" s="172"/>
      <c r="D45" s="172"/>
      <c r="E45" s="172"/>
      <c r="F45" s="172"/>
      <c r="G45" s="172"/>
    </row>
    <row r="46" spans="1:7" x14ac:dyDescent="0.75">
      <c r="A46" s="161" t="s">
        <v>1857</v>
      </c>
      <c r="B46" s="161" t="s">
        <v>1863</v>
      </c>
      <c r="C46" s="161"/>
      <c r="D46" s="161"/>
      <c r="E46" s="161"/>
      <c r="F46" s="161"/>
      <c r="G46" s="161"/>
    </row>
    <row r="47" spans="1:7" x14ac:dyDescent="0.75">
      <c r="A47" s="168" t="s">
        <v>1864</v>
      </c>
      <c r="B47" s="164" t="s">
        <v>1952</v>
      </c>
      <c r="C47" s="164" t="s">
        <v>1444</v>
      </c>
      <c r="D47" s="173">
        <v>180</v>
      </c>
      <c r="E47" s="173">
        <v>200</v>
      </c>
      <c r="F47" s="232">
        <f>'Master – Recipes'!J98</f>
        <v>0.85154767498767392</v>
      </c>
      <c r="G47" s="151"/>
    </row>
    <row r="48" spans="1:7" x14ac:dyDescent="0.75">
      <c r="A48" s="168" t="s">
        <v>1864</v>
      </c>
      <c r="B48" s="163" t="s">
        <v>1981</v>
      </c>
      <c r="C48" s="164" t="s">
        <v>1444</v>
      </c>
      <c r="D48" s="173">
        <v>180</v>
      </c>
      <c r="E48" s="173">
        <v>200</v>
      </c>
      <c r="F48" s="232">
        <f>'Master – Recipes'!J93</f>
        <v>0.86168234243697495</v>
      </c>
      <c r="G48" s="151"/>
    </row>
    <row r="49" spans="1:7" x14ac:dyDescent="0.75">
      <c r="A49" s="167" t="s">
        <v>1867</v>
      </c>
      <c r="B49" s="170" t="s">
        <v>1868</v>
      </c>
      <c r="C49" s="164" t="s">
        <v>1444</v>
      </c>
      <c r="D49" s="173">
        <v>180</v>
      </c>
      <c r="E49" s="173">
        <v>200</v>
      </c>
      <c r="F49" s="232">
        <f>F17</f>
        <v>0.74370729981209283</v>
      </c>
      <c r="G49" s="151"/>
    </row>
    <row r="50" spans="1:7" x14ac:dyDescent="0.75">
      <c r="A50" s="168" t="s">
        <v>1869</v>
      </c>
      <c r="B50" s="165" t="s">
        <v>1982</v>
      </c>
      <c r="C50" s="164" t="s">
        <v>1444</v>
      </c>
      <c r="D50" s="173">
        <v>180</v>
      </c>
      <c r="E50" s="173">
        <v>200</v>
      </c>
      <c r="F50" s="232">
        <f>'Master – Recipes'!J95</f>
        <v>0.86168234243697495</v>
      </c>
      <c r="G50" s="232">
        <f>AVERAGE(F47:F50)</f>
        <v>0.82965491491842913</v>
      </c>
    </row>
    <row r="51" spans="1:7" x14ac:dyDescent="0.75">
      <c r="A51" s="161" t="s">
        <v>1857</v>
      </c>
      <c r="B51" s="166" t="s">
        <v>1778</v>
      </c>
      <c r="C51" s="166"/>
      <c r="D51" s="166"/>
      <c r="E51" s="166"/>
      <c r="F51" s="166"/>
      <c r="G51" s="166"/>
    </row>
    <row r="52" spans="1:7" x14ac:dyDescent="0.75">
      <c r="A52" s="168" t="s">
        <v>1864</v>
      </c>
      <c r="B52" s="167" t="s">
        <v>1905</v>
      </c>
      <c r="C52" s="157" t="s">
        <v>2036</v>
      </c>
      <c r="D52" s="173">
        <v>125</v>
      </c>
      <c r="E52" s="173">
        <v>180</v>
      </c>
      <c r="F52" s="232">
        <f>'Saturday '!F51</f>
        <v>0.97716803857986201</v>
      </c>
      <c r="G52" s="151"/>
    </row>
    <row r="53" spans="1:7" x14ac:dyDescent="0.75">
      <c r="A53" s="168" t="s">
        <v>1869</v>
      </c>
      <c r="B53" s="167" t="s">
        <v>1872</v>
      </c>
      <c r="C53" s="157" t="s">
        <v>2036</v>
      </c>
      <c r="D53" s="173">
        <v>125</v>
      </c>
      <c r="E53" s="173">
        <v>180</v>
      </c>
      <c r="F53" s="232">
        <f>'Saturday '!F52</f>
        <v>1.4287088063485065</v>
      </c>
      <c r="G53" s="232">
        <f>AVERAGE(F52:F53)</f>
        <v>1.2029384224641841</v>
      </c>
    </row>
    <row r="54" spans="1:7" x14ac:dyDescent="0.75">
      <c r="A54" s="161" t="s">
        <v>1857</v>
      </c>
      <c r="B54" s="166" t="s">
        <v>1906</v>
      </c>
      <c r="C54" s="166"/>
      <c r="D54" s="166"/>
      <c r="E54" s="166"/>
      <c r="F54" s="166"/>
      <c r="G54" s="166"/>
    </row>
    <row r="55" spans="1:7" x14ac:dyDescent="0.75">
      <c r="A55" s="168" t="s">
        <v>1864</v>
      </c>
      <c r="B55" s="168" t="s">
        <v>1983</v>
      </c>
      <c r="C55" s="157" t="s">
        <v>2036</v>
      </c>
      <c r="D55" s="173">
        <v>380</v>
      </c>
      <c r="E55" s="173">
        <v>460</v>
      </c>
      <c r="F55" s="232">
        <f>'Master – Recipes'!J24</f>
        <v>11.442415878694538</v>
      </c>
      <c r="G55" s="151"/>
    </row>
    <row r="56" spans="1:7" x14ac:dyDescent="0.75">
      <c r="A56" s="168" t="s">
        <v>1864</v>
      </c>
      <c r="B56" s="165" t="s">
        <v>1984</v>
      </c>
      <c r="C56" s="157" t="s">
        <v>2036</v>
      </c>
      <c r="D56" s="173">
        <v>380</v>
      </c>
      <c r="E56" s="173">
        <v>460</v>
      </c>
      <c r="F56" s="232">
        <f>'Master – Recipes'!J27</f>
        <v>5.216437519406206</v>
      </c>
      <c r="G56" s="151"/>
    </row>
    <row r="57" spans="1:7" x14ac:dyDescent="0.75">
      <c r="A57" s="168" t="s">
        <v>1864</v>
      </c>
      <c r="B57" s="157" t="s">
        <v>1985</v>
      </c>
      <c r="C57" s="157" t="s">
        <v>2036</v>
      </c>
      <c r="D57" s="173">
        <v>380</v>
      </c>
      <c r="E57" s="173">
        <v>460</v>
      </c>
      <c r="F57" s="232">
        <f>'Master – Recipes'!J29</f>
        <v>4.2491379281976762</v>
      </c>
      <c r="G57" s="151"/>
    </row>
    <row r="58" spans="1:7" x14ac:dyDescent="0.75">
      <c r="A58" s="168" t="s">
        <v>1910</v>
      </c>
      <c r="B58" s="167" t="s">
        <v>1911</v>
      </c>
      <c r="C58" s="157" t="s">
        <v>2036</v>
      </c>
      <c r="D58" s="173">
        <v>380</v>
      </c>
      <c r="E58" s="173">
        <v>460</v>
      </c>
      <c r="F58" s="232">
        <f>'Master – Recipes'!J60</f>
        <v>3.3350320767474031</v>
      </c>
      <c r="G58" s="232">
        <f>AVERAGE(F55:F58)</f>
        <v>6.0607558507614563</v>
      </c>
    </row>
    <row r="59" spans="1:7" x14ac:dyDescent="0.75">
      <c r="A59" s="161" t="s">
        <v>1857</v>
      </c>
      <c r="B59" s="166" t="s">
        <v>1912</v>
      </c>
      <c r="C59" s="166"/>
      <c r="D59" s="166"/>
      <c r="E59" s="166"/>
      <c r="F59" s="166"/>
      <c r="G59" s="166"/>
    </row>
    <row r="60" spans="1:7" x14ac:dyDescent="0.75">
      <c r="A60" s="168" t="s">
        <v>1864</v>
      </c>
      <c r="B60" s="170" t="s">
        <v>1913</v>
      </c>
      <c r="C60" s="157" t="s">
        <v>2036</v>
      </c>
      <c r="D60" s="173">
        <v>380</v>
      </c>
      <c r="E60" s="173">
        <v>460</v>
      </c>
      <c r="F60" s="232">
        <f>Tuesday!F59</f>
        <v>6.7409803942464892</v>
      </c>
      <c r="G60" s="151"/>
    </row>
    <row r="61" spans="1:7" x14ac:dyDescent="0.75">
      <c r="A61" s="167" t="s">
        <v>1879</v>
      </c>
      <c r="B61" s="170" t="s">
        <v>1914</v>
      </c>
      <c r="C61" s="157" t="s">
        <v>2036</v>
      </c>
      <c r="D61" s="173">
        <v>280</v>
      </c>
      <c r="E61" s="173">
        <v>350</v>
      </c>
      <c r="F61" s="232">
        <f>Tuesday!F60</f>
        <v>5.105259634403839</v>
      </c>
      <c r="G61" s="151"/>
    </row>
    <row r="62" spans="1:7" x14ac:dyDescent="0.75">
      <c r="A62" s="168" t="s">
        <v>1881</v>
      </c>
      <c r="B62" s="170" t="s">
        <v>1940</v>
      </c>
      <c r="C62" s="157" t="s">
        <v>2036</v>
      </c>
      <c r="D62" s="173">
        <v>280</v>
      </c>
      <c r="E62" s="173">
        <v>350</v>
      </c>
      <c r="F62" s="232">
        <f>Tuesday!F61</f>
        <v>6.349787493199857</v>
      </c>
      <c r="G62" s="151"/>
    </row>
    <row r="63" spans="1:7" x14ac:dyDescent="0.75">
      <c r="A63" s="168" t="s">
        <v>1883</v>
      </c>
      <c r="B63" s="170" t="s">
        <v>1928</v>
      </c>
      <c r="C63" s="157" t="s">
        <v>2036</v>
      </c>
      <c r="D63" s="173">
        <v>280</v>
      </c>
      <c r="E63" s="173">
        <v>350</v>
      </c>
      <c r="F63" s="232">
        <f>Tuesday!F62</f>
        <v>5.4259856297199986</v>
      </c>
      <c r="G63" s="151"/>
    </row>
    <row r="64" spans="1:7" x14ac:dyDescent="0.75">
      <c r="A64" s="168" t="s">
        <v>1864</v>
      </c>
      <c r="B64" s="170" t="s">
        <v>1885</v>
      </c>
      <c r="C64" s="157" t="s">
        <v>2036</v>
      </c>
      <c r="D64" s="173">
        <v>380</v>
      </c>
      <c r="E64" s="173">
        <v>460</v>
      </c>
      <c r="F64" s="232">
        <f>Tuesday!F63</f>
        <v>6.4354070525764193</v>
      </c>
      <c r="G64" s="151"/>
    </row>
    <row r="65" spans="1:7" x14ac:dyDescent="0.75">
      <c r="A65" s="168" t="s">
        <v>1869</v>
      </c>
      <c r="B65" s="170" t="s">
        <v>1917</v>
      </c>
      <c r="C65" s="157" t="s">
        <v>2036</v>
      </c>
      <c r="D65" s="173">
        <v>280</v>
      </c>
      <c r="E65" s="173">
        <v>350</v>
      </c>
      <c r="F65" s="232">
        <f>Tuesday!F64</f>
        <v>2.551358968688251</v>
      </c>
      <c r="G65" s="151"/>
    </row>
    <row r="66" spans="1:7" x14ac:dyDescent="0.75">
      <c r="A66" s="168" t="s">
        <v>1889</v>
      </c>
      <c r="B66" s="170" t="s">
        <v>1918</v>
      </c>
      <c r="C66" s="157" t="s">
        <v>2036</v>
      </c>
      <c r="D66" s="173">
        <v>280</v>
      </c>
      <c r="E66" s="173">
        <v>350</v>
      </c>
      <c r="F66" s="232">
        <f>Tuesday!F65</f>
        <v>2.6273378564421646</v>
      </c>
      <c r="G66" s="232">
        <f>AVERAGE(F60:F66)</f>
        <v>5.0337310041824308</v>
      </c>
    </row>
  </sheetData>
  <mergeCells count="2">
    <mergeCell ref="A1:B1"/>
    <mergeCell ref="C3:E3"/>
  </mergeCells>
  <pageMargins left="0.17013888888888901" right="0.15972222222222199" top="0.75" bottom="0.75" header="0.51180555555555496" footer="0.51180555555555496"/>
  <pageSetup paperSize="9" scale="39" firstPageNumber="0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D405D-B905-4F04-99BF-E7A1A626D3C6}">
  <sheetPr>
    <pageSetUpPr fitToPage="1"/>
  </sheetPr>
  <dimension ref="A1:G65"/>
  <sheetViews>
    <sheetView view="pageBreakPreview" topLeftCell="A4" zoomScale="60" zoomScaleNormal="78" workbookViewId="0">
      <selection activeCell="I42" sqref="I42"/>
    </sheetView>
  </sheetViews>
  <sheetFormatPr defaultRowHeight="20.399999999999999" x14ac:dyDescent="0.75"/>
  <cols>
    <col min="1" max="1" width="48.83984375" style="153" customWidth="1"/>
    <col min="2" max="2" width="123.15625" style="153" customWidth="1"/>
    <col min="3" max="3" width="8.5234375" style="153" customWidth="1"/>
    <col min="4" max="4" width="24.41796875" style="149" customWidth="1"/>
    <col min="5" max="5" width="25.41796875" style="149" customWidth="1"/>
    <col min="6" max="6" width="13.15625" style="148" customWidth="1"/>
    <col min="7" max="7" width="17.5234375" style="148" bestFit="1" customWidth="1"/>
    <col min="8" max="1005" width="8.68359375" style="149" customWidth="1"/>
    <col min="1006" max="16384" width="8.83984375" style="149"/>
  </cols>
  <sheetData>
    <row r="1" spans="1:7" x14ac:dyDescent="0.75">
      <c r="A1" s="319" t="s">
        <v>2007</v>
      </c>
      <c r="B1" s="320"/>
      <c r="C1" s="226"/>
    </row>
    <row r="2" spans="1:7" x14ac:dyDescent="0.75">
      <c r="A2" s="218" t="s">
        <v>1834</v>
      </c>
      <c r="B2" s="218" t="s">
        <v>1507</v>
      </c>
      <c r="C2" s="227"/>
      <c r="D2" s="152"/>
      <c r="E2" s="152"/>
      <c r="F2" s="151"/>
      <c r="G2" s="151"/>
    </row>
    <row r="3" spans="1:7" x14ac:dyDescent="0.75">
      <c r="A3" s="224"/>
      <c r="B3" s="224" t="s">
        <v>1835</v>
      </c>
      <c r="C3" s="321" t="s">
        <v>2009</v>
      </c>
      <c r="D3" s="310"/>
      <c r="E3" s="311"/>
      <c r="F3" s="237" t="s">
        <v>2046</v>
      </c>
      <c r="G3" s="237" t="str">
        <f>'Friday '!G2</f>
        <v>Avg.Food Cost</v>
      </c>
    </row>
    <row r="4" spans="1:7" x14ac:dyDescent="0.75">
      <c r="A4" s="154" t="s">
        <v>1836</v>
      </c>
      <c r="B4" s="155" t="s">
        <v>1837</v>
      </c>
      <c r="C4" s="147" t="s">
        <v>29</v>
      </c>
      <c r="D4" s="147" t="s">
        <v>2044</v>
      </c>
      <c r="E4" s="147" t="s">
        <v>2045</v>
      </c>
      <c r="F4" s="151"/>
      <c r="G4" s="151"/>
    </row>
    <row r="5" spans="1:7" x14ac:dyDescent="0.75">
      <c r="A5" s="157" t="s">
        <v>1838</v>
      </c>
      <c r="B5" s="169" t="s">
        <v>1860</v>
      </c>
      <c r="C5" s="169" t="s">
        <v>2036</v>
      </c>
      <c r="D5" s="173">
        <v>180</v>
      </c>
      <c r="E5" s="173">
        <v>200</v>
      </c>
      <c r="F5" s="232">
        <f>'Master – Recipes'!J144+'Master – Recipes'!J125</f>
        <v>1.7023321254058237</v>
      </c>
      <c r="G5" s="151"/>
    </row>
    <row r="6" spans="1:7" x14ac:dyDescent="0.75">
      <c r="A6" s="159" t="s">
        <v>1840</v>
      </c>
      <c r="B6" s="157" t="s">
        <v>1841</v>
      </c>
      <c r="C6" s="169" t="s">
        <v>2036</v>
      </c>
      <c r="D6" s="173">
        <v>180</v>
      </c>
      <c r="E6" s="173">
        <v>200</v>
      </c>
      <c r="F6" s="232">
        <f>Wednesday!F6</f>
        <v>2.3675043669607367</v>
      </c>
      <c r="G6" s="151"/>
    </row>
    <row r="7" spans="1:7" x14ac:dyDescent="0.75">
      <c r="A7" s="157" t="s">
        <v>1842</v>
      </c>
      <c r="B7" s="157" t="s">
        <v>1843</v>
      </c>
      <c r="C7" s="169" t="s">
        <v>2036</v>
      </c>
      <c r="D7" s="173" t="s">
        <v>2008</v>
      </c>
      <c r="E7" s="152"/>
      <c r="F7" s="232">
        <f>Wednesday!F7</f>
        <v>2.0236298780701754</v>
      </c>
      <c r="G7" s="151"/>
    </row>
    <row r="8" spans="1:7" x14ac:dyDescent="0.75">
      <c r="A8" s="159" t="s">
        <v>1840</v>
      </c>
      <c r="B8" s="157" t="s">
        <v>1854</v>
      </c>
      <c r="C8" s="169" t="s">
        <v>2036</v>
      </c>
      <c r="D8" s="173">
        <v>180</v>
      </c>
      <c r="E8" s="173">
        <v>200</v>
      </c>
      <c r="F8" s="232">
        <f>Wednesday!F8</f>
        <v>1.5539902783642456</v>
      </c>
      <c r="G8" s="151"/>
    </row>
    <row r="9" spans="1:7" x14ac:dyDescent="0.75">
      <c r="A9" s="157" t="s">
        <v>1845</v>
      </c>
      <c r="B9" s="158" t="s">
        <v>1855</v>
      </c>
      <c r="C9" s="169" t="s">
        <v>2036</v>
      </c>
      <c r="D9" s="173" t="s">
        <v>2008</v>
      </c>
      <c r="E9" s="152"/>
      <c r="F9" s="232">
        <f>'Master – Recipes'!J128+'Master – Recipes'!J126</f>
        <v>2.8516226500000004</v>
      </c>
      <c r="G9" s="151"/>
    </row>
    <row r="10" spans="1:7" x14ac:dyDescent="0.75">
      <c r="A10" s="154" t="s">
        <v>1836</v>
      </c>
      <c r="B10" s="155" t="s">
        <v>1847</v>
      </c>
      <c r="C10" s="155"/>
      <c r="D10" s="155"/>
      <c r="E10" s="155"/>
      <c r="F10" s="155"/>
      <c r="G10" s="155"/>
    </row>
    <row r="11" spans="1:7" x14ac:dyDescent="0.75">
      <c r="A11" s="159" t="s">
        <v>1848</v>
      </c>
      <c r="B11" s="157" t="s">
        <v>1856</v>
      </c>
      <c r="C11" s="157"/>
      <c r="D11" s="152"/>
      <c r="E11" s="152"/>
      <c r="F11" s="232">
        <f>Wednesday!F11</f>
        <v>0.8098461940226328</v>
      </c>
      <c r="G11" s="151"/>
    </row>
    <row r="12" spans="1:7" x14ac:dyDescent="0.75">
      <c r="A12" s="157" t="s">
        <v>1850</v>
      </c>
      <c r="B12" s="158" t="s">
        <v>1851</v>
      </c>
      <c r="C12" s="158"/>
      <c r="D12" s="152"/>
      <c r="E12" s="152"/>
      <c r="F12" s="151">
        <f>Wednesday!F12</f>
        <v>1</v>
      </c>
      <c r="G12" s="232">
        <f>AVERAGE(F5:F12)</f>
        <v>1.7584179275462308</v>
      </c>
    </row>
    <row r="13" spans="1:7" x14ac:dyDescent="0.75">
      <c r="A13" s="160"/>
      <c r="B13" s="160" t="s">
        <v>1862</v>
      </c>
      <c r="C13" s="160"/>
      <c r="D13" s="160"/>
      <c r="E13" s="160"/>
      <c r="F13" s="160"/>
      <c r="G13" s="160"/>
    </row>
    <row r="14" spans="1:7" x14ac:dyDescent="0.75">
      <c r="A14" s="161" t="s">
        <v>1857</v>
      </c>
      <c r="B14" s="161" t="s">
        <v>1863</v>
      </c>
      <c r="C14" s="161"/>
      <c r="D14" s="161"/>
      <c r="E14" s="161"/>
      <c r="F14" s="161"/>
      <c r="G14" s="161"/>
    </row>
    <row r="15" spans="1:7" x14ac:dyDescent="0.75">
      <c r="A15" s="162" t="s">
        <v>1864</v>
      </c>
      <c r="B15" s="164" t="s">
        <v>1942</v>
      </c>
      <c r="C15" s="164" t="s">
        <v>1444</v>
      </c>
      <c r="D15" s="173">
        <v>180</v>
      </c>
      <c r="E15" s="173">
        <v>200</v>
      </c>
      <c r="F15" s="232">
        <f>'Master – Recipes'!J96</f>
        <v>0.67128473389355747</v>
      </c>
      <c r="G15" s="151"/>
    </row>
    <row r="16" spans="1:7" x14ac:dyDescent="0.75">
      <c r="A16" s="162" t="s">
        <v>1864</v>
      </c>
      <c r="B16" s="158" t="s">
        <v>1986</v>
      </c>
      <c r="C16" s="164" t="s">
        <v>1444</v>
      </c>
      <c r="D16" s="173">
        <v>180</v>
      </c>
      <c r="E16" s="173">
        <v>200</v>
      </c>
      <c r="F16" s="232">
        <f>'Master – Recipes'!J112</f>
        <v>0.4622238537578669</v>
      </c>
      <c r="G16" s="151"/>
    </row>
    <row r="17" spans="1:7" x14ac:dyDescent="0.75">
      <c r="A17" s="164" t="s">
        <v>1867</v>
      </c>
      <c r="B17" s="170" t="s">
        <v>1868</v>
      </c>
      <c r="C17" s="164" t="s">
        <v>1444</v>
      </c>
      <c r="D17" s="173">
        <v>180</v>
      </c>
      <c r="E17" s="173">
        <v>200</v>
      </c>
      <c r="F17" s="232">
        <f>Wednesday!F17</f>
        <v>0.74370729981209283</v>
      </c>
      <c r="G17" s="232">
        <f>AVERAGE(F15:F17)</f>
        <v>0.62573862915450573</v>
      </c>
    </row>
    <row r="18" spans="1:7" x14ac:dyDescent="0.75">
      <c r="A18" s="161" t="s">
        <v>1857</v>
      </c>
      <c r="B18" s="166" t="s">
        <v>1778</v>
      </c>
      <c r="C18" s="166"/>
      <c r="D18" s="166"/>
      <c r="E18" s="166"/>
      <c r="F18" s="166"/>
      <c r="G18" s="166"/>
    </row>
    <row r="19" spans="1:7" x14ac:dyDescent="0.75">
      <c r="A19" s="162" t="s">
        <v>1864</v>
      </c>
      <c r="B19" s="167" t="s">
        <v>1987</v>
      </c>
      <c r="C19" s="169" t="s">
        <v>2036</v>
      </c>
      <c r="D19" s="173">
        <v>125</v>
      </c>
      <c r="E19" s="173">
        <v>180</v>
      </c>
      <c r="F19" s="232">
        <f>'Master – Recipes'!J158</f>
        <v>2.806120013598743</v>
      </c>
      <c r="G19" s="151"/>
    </row>
    <row r="20" spans="1:7" x14ac:dyDescent="0.75">
      <c r="A20" s="164" t="s">
        <v>1869</v>
      </c>
      <c r="B20" s="167" t="s">
        <v>1872</v>
      </c>
      <c r="C20" s="169" t="s">
        <v>2036</v>
      </c>
      <c r="D20" s="173">
        <v>125</v>
      </c>
      <c r="E20" s="173">
        <v>180</v>
      </c>
      <c r="F20" s="232">
        <f>Tuesday!F21</f>
        <v>1.4287088063485065</v>
      </c>
      <c r="G20" s="232">
        <f>AVERAGE(F19:F20)</f>
        <v>2.117414409973625</v>
      </c>
    </row>
    <row r="21" spans="1:7" x14ac:dyDescent="0.75">
      <c r="A21" s="161" t="s">
        <v>1857</v>
      </c>
      <c r="B21" s="166" t="s">
        <v>1873</v>
      </c>
      <c r="C21" s="166"/>
      <c r="D21" s="166"/>
      <c r="E21" s="166"/>
      <c r="F21" s="166"/>
      <c r="G21" s="166"/>
    </row>
    <row r="22" spans="1:7" x14ac:dyDescent="0.75">
      <c r="A22" s="168" t="s">
        <v>1864</v>
      </c>
      <c r="B22" s="167" t="s">
        <v>1988</v>
      </c>
      <c r="C22" s="169" t="s">
        <v>2036</v>
      </c>
      <c r="D22" s="173">
        <v>380</v>
      </c>
      <c r="E22" s="173">
        <v>460</v>
      </c>
      <c r="F22" s="232">
        <f>'Master – Recipes'!J41</f>
        <v>8.5678847992530329</v>
      </c>
      <c r="G22" s="151"/>
    </row>
    <row r="23" spans="1:7" x14ac:dyDescent="0.75">
      <c r="A23" s="168" t="s">
        <v>1864</v>
      </c>
      <c r="B23" s="168" t="s">
        <v>1989</v>
      </c>
      <c r="C23" s="169" t="s">
        <v>2036</v>
      </c>
      <c r="D23" s="173">
        <v>380</v>
      </c>
      <c r="E23" s="173">
        <v>460</v>
      </c>
      <c r="F23" s="232">
        <f>'Master – Recipes'!J33</f>
        <v>6.0397510673725012</v>
      </c>
      <c r="G23" s="151"/>
    </row>
    <row r="24" spans="1:7" x14ac:dyDescent="0.75">
      <c r="A24" s="168" t="s">
        <v>1864</v>
      </c>
      <c r="B24" s="167" t="s">
        <v>1990</v>
      </c>
      <c r="C24" s="169" t="s">
        <v>2036</v>
      </c>
      <c r="D24" s="173">
        <v>380</v>
      </c>
      <c r="E24" s="173">
        <v>460</v>
      </c>
      <c r="F24" s="232">
        <f>'Master – Recipes'!J35</f>
        <v>11.151354655567365</v>
      </c>
      <c r="G24" s="232">
        <f>AVERAGE(F22:F24)</f>
        <v>8.5863301740642992</v>
      </c>
    </row>
    <row r="25" spans="1:7" x14ac:dyDescent="0.75">
      <c r="A25" s="161" t="s">
        <v>1857</v>
      </c>
      <c r="B25" s="166" t="s">
        <v>1877</v>
      </c>
      <c r="C25" s="166"/>
      <c r="D25" s="166"/>
      <c r="E25" s="166"/>
      <c r="F25" s="166"/>
      <c r="G25" s="166"/>
    </row>
    <row r="26" spans="1:7" x14ac:dyDescent="0.75">
      <c r="A26" s="162" t="s">
        <v>1864</v>
      </c>
      <c r="B26" s="170" t="s">
        <v>1878</v>
      </c>
      <c r="C26" s="169" t="s">
        <v>2036</v>
      </c>
      <c r="D26" s="173">
        <v>380</v>
      </c>
      <c r="E26" s="173">
        <v>460</v>
      </c>
      <c r="F26" s="232">
        <f>Wednesday!F27</f>
        <v>5.9948634046357521</v>
      </c>
      <c r="G26" s="151"/>
    </row>
    <row r="27" spans="1:7" x14ac:dyDescent="0.75">
      <c r="A27" s="164" t="s">
        <v>1879</v>
      </c>
      <c r="B27" s="170" t="s">
        <v>1926</v>
      </c>
      <c r="C27" s="169" t="s">
        <v>2036</v>
      </c>
      <c r="D27" s="173">
        <v>280</v>
      </c>
      <c r="E27" s="173">
        <v>350</v>
      </c>
      <c r="F27" s="232">
        <f>Wednesday!F28</f>
        <v>5.105259634403839</v>
      </c>
      <c r="G27" s="151"/>
    </row>
    <row r="28" spans="1:7" ht="40.799999999999997" x14ac:dyDescent="0.75">
      <c r="A28" s="162" t="s">
        <v>1881</v>
      </c>
      <c r="B28" s="170" t="s">
        <v>1991</v>
      </c>
      <c r="C28" s="169" t="s">
        <v>2036</v>
      </c>
      <c r="D28" s="173">
        <v>280</v>
      </c>
      <c r="E28" s="173">
        <v>350</v>
      </c>
      <c r="F28" s="232">
        <f>Wednesday!F29</f>
        <v>6.349787493199857</v>
      </c>
      <c r="G28" s="151"/>
    </row>
    <row r="29" spans="1:7" x14ac:dyDescent="0.75">
      <c r="A29" s="162" t="s">
        <v>1883</v>
      </c>
      <c r="B29" s="170" t="s">
        <v>1928</v>
      </c>
      <c r="C29" s="169" t="s">
        <v>2036</v>
      </c>
      <c r="D29" s="173">
        <v>280</v>
      </c>
      <c r="E29" s="173">
        <v>350</v>
      </c>
      <c r="F29" s="232">
        <f>Wednesday!F30</f>
        <v>5.4259856297199986</v>
      </c>
      <c r="G29" s="151"/>
    </row>
    <row r="30" spans="1:7" x14ac:dyDescent="0.75">
      <c r="A30" s="162" t="s">
        <v>1864</v>
      </c>
      <c r="B30" s="170" t="s">
        <v>1885</v>
      </c>
      <c r="C30" s="169" t="s">
        <v>2036</v>
      </c>
      <c r="D30" s="173">
        <v>380</v>
      </c>
      <c r="E30" s="173">
        <v>460</v>
      </c>
      <c r="F30" s="232">
        <f>Wednesday!F31</f>
        <v>6.4354070525764193</v>
      </c>
      <c r="G30" s="151"/>
    </row>
    <row r="31" spans="1:7" x14ac:dyDescent="0.75">
      <c r="A31" s="162" t="s">
        <v>1864</v>
      </c>
      <c r="B31" s="170" t="s">
        <v>1992</v>
      </c>
      <c r="C31" s="169" t="s">
        <v>2036</v>
      </c>
      <c r="D31" s="173">
        <v>380</v>
      </c>
      <c r="E31" s="173">
        <v>460</v>
      </c>
      <c r="F31" s="232">
        <f>Wednesday!F32</f>
        <v>6.1659875268140922</v>
      </c>
      <c r="G31" s="151"/>
    </row>
    <row r="32" spans="1:7" x14ac:dyDescent="0.75">
      <c r="A32" s="162" t="s">
        <v>1869</v>
      </c>
      <c r="B32" s="162" t="s">
        <v>1887</v>
      </c>
      <c r="C32" s="169" t="s">
        <v>2036</v>
      </c>
      <c r="D32" s="173">
        <v>280</v>
      </c>
      <c r="E32" s="173">
        <v>350</v>
      </c>
      <c r="F32" s="232">
        <f>Wednesday!F33</f>
        <v>5.6308093270308124</v>
      </c>
      <c r="G32" s="151"/>
    </row>
    <row r="33" spans="1:7" x14ac:dyDescent="0.75">
      <c r="A33" s="162" t="s">
        <v>1869</v>
      </c>
      <c r="B33" s="162" t="s">
        <v>1888</v>
      </c>
      <c r="C33" s="169" t="s">
        <v>2036</v>
      </c>
      <c r="D33" s="173">
        <v>280</v>
      </c>
      <c r="E33" s="173">
        <v>350</v>
      </c>
      <c r="F33" s="232">
        <f>Wednesday!F34</f>
        <v>2.2027467563459493</v>
      </c>
      <c r="G33" s="151"/>
    </row>
    <row r="34" spans="1:7" x14ac:dyDescent="0.75">
      <c r="A34" s="162" t="s">
        <v>1889</v>
      </c>
      <c r="B34" s="157" t="s">
        <v>1890</v>
      </c>
      <c r="C34" s="169" t="s">
        <v>2036</v>
      </c>
      <c r="D34" s="173">
        <v>280</v>
      </c>
      <c r="E34" s="173">
        <v>350</v>
      </c>
      <c r="F34" s="232">
        <f>Wednesday!F35</f>
        <v>3.1325787276977977</v>
      </c>
      <c r="G34" s="232">
        <f>AVERAGE(F26:F34)</f>
        <v>5.1603806169360578</v>
      </c>
    </row>
    <row r="35" spans="1:7" x14ac:dyDescent="0.75">
      <c r="A35" s="161" t="s">
        <v>1857</v>
      </c>
      <c r="B35" s="166" t="s">
        <v>1819</v>
      </c>
      <c r="C35" s="166"/>
      <c r="D35" s="166"/>
      <c r="E35" s="166"/>
      <c r="F35" s="166"/>
      <c r="G35" s="166"/>
    </row>
    <row r="36" spans="1:7" x14ac:dyDescent="0.75">
      <c r="A36" s="168" t="s">
        <v>1891</v>
      </c>
      <c r="B36" s="167" t="s">
        <v>1892</v>
      </c>
      <c r="C36" s="167"/>
      <c r="D36" s="152"/>
      <c r="E36" s="152"/>
      <c r="F36" s="232">
        <f>Wednesday!F37</f>
        <v>0.99192627796799404</v>
      </c>
      <c r="G36" s="151"/>
    </row>
    <row r="37" spans="1:7" x14ac:dyDescent="0.75">
      <c r="A37" s="168" t="s">
        <v>1891</v>
      </c>
      <c r="B37" s="167" t="s">
        <v>1893</v>
      </c>
      <c r="C37" s="167"/>
      <c r="D37" s="152"/>
      <c r="E37" s="152"/>
      <c r="F37" s="232">
        <f>Wednesday!F38</f>
        <v>1</v>
      </c>
      <c r="G37" s="151"/>
    </row>
    <row r="38" spans="1:7" x14ac:dyDescent="0.75">
      <c r="A38" s="168" t="s">
        <v>1891</v>
      </c>
      <c r="B38" s="167" t="s">
        <v>1993</v>
      </c>
      <c r="C38" s="167"/>
      <c r="D38" s="152"/>
      <c r="E38" s="152"/>
      <c r="F38" s="232">
        <f>'Master – Recipes'!J85</f>
        <v>0.27707699528998397</v>
      </c>
      <c r="G38" s="151"/>
    </row>
    <row r="39" spans="1:7" x14ac:dyDescent="0.75">
      <c r="A39" s="168" t="s">
        <v>1891</v>
      </c>
      <c r="B39" s="167" t="s">
        <v>1895</v>
      </c>
      <c r="C39" s="167"/>
      <c r="D39" s="152"/>
      <c r="E39" s="152"/>
      <c r="F39" s="232">
        <f>Wednesday!F40</f>
        <v>0.77427395833333323</v>
      </c>
      <c r="G39" s="151"/>
    </row>
    <row r="40" spans="1:7" x14ac:dyDescent="0.75">
      <c r="A40" s="168" t="s">
        <v>1869</v>
      </c>
      <c r="B40" s="167" t="s">
        <v>1931</v>
      </c>
      <c r="C40" s="167"/>
      <c r="D40" s="152"/>
      <c r="E40" s="152"/>
      <c r="F40" s="232">
        <f>Wednesday!F41</f>
        <v>1.0043666666666669</v>
      </c>
      <c r="G40" s="151"/>
    </row>
    <row r="41" spans="1:7" x14ac:dyDescent="0.75">
      <c r="A41" s="168" t="s">
        <v>1897</v>
      </c>
      <c r="B41" s="167" t="s">
        <v>1932</v>
      </c>
      <c r="C41" s="167"/>
      <c r="D41" s="152"/>
      <c r="E41" s="152"/>
      <c r="F41" s="232">
        <f>Wednesday!F42</f>
        <v>1.5512533333333332</v>
      </c>
      <c r="G41" s="151"/>
    </row>
    <row r="42" spans="1:7" x14ac:dyDescent="0.75">
      <c r="A42" s="168" t="s">
        <v>1867</v>
      </c>
      <c r="B42" s="167" t="s">
        <v>1899</v>
      </c>
      <c r="C42" s="167"/>
      <c r="D42" s="152"/>
      <c r="E42" s="152"/>
      <c r="F42" s="232">
        <f>Wednesday!F43</f>
        <v>0.41019</v>
      </c>
      <c r="G42" s="151"/>
    </row>
    <row r="43" spans="1:7" x14ac:dyDescent="0.75">
      <c r="A43" s="168" t="s">
        <v>1869</v>
      </c>
      <c r="B43" s="167" t="s">
        <v>1584</v>
      </c>
      <c r="C43" s="167"/>
      <c r="D43" s="152"/>
      <c r="E43" s="152"/>
      <c r="F43" s="232">
        <f>Wednesday!F44</f>
        <v>1.0293474074074076</v>
      </c>
      <c r="G43" s="232">
        <f>AVERAGE(F36:F43)</f>
        <v>0.87980432987483992</v>
      </c>
    </row>
    <row r="44" spans="1:7" x14ac:dyDescent="0.75">
      <c r="A44" s="172"/>
      <c r="B44" s="172" t="s">
        <v>1900</v>
      </c>
      <c r="C44" s="172"/>
      <c r="D44" s="172"/>
      <c r="E44" s="172"/>
      <c r="F44" s="172"/>
      <c r="G44" s="172"/>
    </row>
    <row r="45" spans="1:7" x14ac:dyDescent="0.75">
      <c r="A45" s="161" t="s">
        <v>1857</v>
      </c>
      <c r="B45" s="161" t="s">
        <v>1863</v>
      </c>
      <c r="C45" s="161"/>
      <c r="D45" s="161"/>
      <c r="E45" s="161"/>
      <c r="F45" s="161"/>
      <c r="G45" s="161"/>
    </row>
    <row r="46" spans="1:7" x14ac:dyDescent="0.75">
      <c r="A46" s="168" t="s">
        <v>1864</v>
      </c>
      <c r="B46" s="163" t="s">
        <v>1934</v>
      </c>
      <c r="C46" s="169" t="s">
        <v>1444</v>
      </c>
      <c r="D46" s="173">
        <v>180</v>
      </c>
      <c r="E46" s="173">
        <v>200</v>
      </c>
      <c r="F46" s="232">
        <f>'Master – Recipes'!J113</f>
        <v>1.2960845707331106</v>
      </c>
      <c r="G46" s="151"/>
    </row>
    <row r="47" spans="1:7" x14ac:dyDescent="0.75">
      <c r="A47" s="168" t="s">
        <v>1864</v>
      </c>
      <c r="B47" s="164" t="s">
        <v>1933</v>
      </c>
      <c r="C47" s="169" t="s">
        <v>1444</v>
      </c>
      <c r="D47" s="173">
        <v>180</v>
      </c>
      <c r="E47" s="173">
        <v>200</v>
      </c>
      <c r="F47" s="232">
        <f>Wednesday!F48</f>
        <v>0.86168234243697495</v>
      </c>
      <c r="G47" s="151"/>
    </row>
    <row r="48" spans="1:7" x14ac:dyDescent="0.75">
      <c r="A48" s="167" t="s">
        <v>1867</v>
      </c>
      <c r="B48" s="170" t="s">
        <v>1868</v>
      </c>
      <c r="C48" s="169" t="s">
        <v>1444</v>
      </c>
      <c r="D48" s="173">
        <v>180</v>
      </c>
      <c r="E48" s="173">
        <v>200</v>
      </c>
      <c r="F48" s="232">
        <f>F17</f>
        <v>0.74370729981209283</v>
      </c>
      <c r="G48" s="151"/>
    </row>
    <row r="49" spans="1:7" x14ac:dyDescent="0.75">
      <c r="A49" s="168" t="s">
        <v>1869</v>
      </c>
      <c r="B49" s="164" t="s">
        <v>1935</v>
      </c>
      <c r="C49" s="169" t="s">
        <v>1444</v>
      </c>
      <c r="D49" s="173">
        <v>180</v>
      </c>
      <c r="E49" s="173">
        <v>200</v>
      </c>
      <c r="F49" s="232">
        <f>Wednesday!F50</f>
        <v>0.86168234243697495</v>
      </c>
      <c r="G49" s="232">
        <f>AVERAGE(F46:F49)</f>
        <v>0.94078913885478821</v>
      </c>
    </row>
    <row r="50" spans="1:7" x14ac:dyDescent="0.75">
      <c r="A50" s="161" t="s">
        <v>1857</v>
      </c>
      <c r="B50" s="166" t="s">
        <v>1778</v>
      </c>
      <c r="C50" s="166"/>
      <c r="D50" s="166"/>
      <c r="E50" s="166"/>
      <c r="F50" s="166"/>
      <c r="G50" s="166"/>
    </row>
    <row r="51" spans="1:7" x14ac:dyDescent="0.75">
      <c r="A51" s="168" t="s">
        <v>1864</v>
      </c>
      <c r="B51" s="167" t="s">
        <v>1905</v>
      </c>
      <c r="C51" s="169" t="s">
        <v>2036</v>
      </c>
      <c r="D51" s="173">
        <v>125</v>
      </c>
      <c r="E51" s="173">
        <v>180</v>
      </c>
      <c r="F51" s="232">
        <f>'Saturday '!F51</f>
        <v>0.97716803857986201</v>
      </c>
      <c r="G51" s="151"/>
    </row>
    <row r="52" spans="1:7" x14ac:dyDescent="0.75">
      <c r="A52" s="168" t="s">
        <v>1869</v>
      </c>
      <c r="B52" s="167" t="s">
        <v>1872</v>
      </c>
      <c r="C52" s="169" t="s">
        <v>2036</v>
      </c>
      <c r="D52" s="173">
        <v>125</v>
      </c>
      <c r="E52" s="173">
        <v>180</v>
      </c>
      <c r="F52" s="232">
        <f>'Saturday '!F52</f>
        <v>1.4287088063485065</v>
      </c>
      <c r="G52" s="232">
        <f>AVERAGE(F51:F52)</f>
        <v>1.2029384224641841</v>
      </c>
    </row>
    <row r="53" spans="1:7" x14ac:dyDescent="0.75">
      <c r="A53" s="161" t="s">
        <v>1857</v>
      </c>
      <c r="B53" s="166" t="s">
        <v>1906</v>
      </c>
      <c r="C53" s="166"/>
      <c r="D53" s="166"/>
      <c r="E53" s="166"/>
      <c r="F53" s="166"/>
      <c r="G53" s="166"/>
    </row>
    <row r="54" spans="1:7" x14ac:dyDescent="0.75">
      <c r="A54" s="168" t="s">
        <v>1864</v>
      </c>
      <c r="B54" s="165" t="s">
        <v>1994</v>
      </c>
      <c r="C54" s="169" t="s">
        <v>2036</v>
      </c>
      <c r="D54" s="173">
        <v>380</v>
      </c>
      <c r="E54" s="173">
        <v>460</v>
      </c>
      <c r="F54" s="232">
        <f>'Master – Recipes'!J39</f>
        <v>4.0389844033551201</v>
      </c>
      <c r="G54" s="151"/>
    </row>
    <row r="55" spans="1:7" x14ac:dyDescent="0.75">
      <c r="A55" s="168" t="s">
        <v>1864</v>
      </c>
      <c r="B55" s="165" t="s">
        <v>1995</v>
      </c>
      <c r="C55" s="169" t="s">
        <v>2036</v>
      </c>
      <c r="D55" s="173">
        <v>380</v>
      </c>
      <c r="E55" s="173">
        <v>460</v>
      </c>
      <c r="F55" s="232">
        <f>'Master – Recipes'!J38</f>
        <v>6.5225486097047893</v>
      </c>
      <c r="G55" s="151"/>
    </row>
    <row r="56" spans="1:7" x14ac:dyDescent="0.75">
      <c r="A56" s="168" t="s">
        <v>1864</v>
      </c>
      <c r="B56" s="157" t="s">
        <v>1996</v>
      </c>
      <c r="C56" s="169" t="s">
        <v>2036</v>
      </c>
      <c r="D56" s="173">
        <v>380</v>
      </c>
      <c r="E56" s="173">
        <v>460</v>
      </c>
      <c r="F56" s="232">
        <f>'Master – Recipes'!J36</f>
        <v>6.2694975372014188</v>
      </c>
      <c r="G56" s="151"/>
    </row>
    <row r="57" spans="1:7" ht="40.799999999999997" x14ac:dyDescent="0.75">
      <c r="A57" s="168" t="s">
        <v>1910</v>
      </c>
      <c r="B57" s="165" t="s">
        <v>1956</v>
      </c>
      <c r="C57" s="169" t="s">
        <v>2036</v>
      </c>
      <c r="D57" s="173">
        <v>380</v>
      </c>
      <c r="E57" s="173">
        <v>460</v>
      </c>
      <c r="F57" s="232">
        <f>'Master – Recipes'!J9</f>
        <v>3.1419381390022676</v>
      </c>
      <c r="G57" s="232">
        <f>AVERAGE(F54:F57)</f>
        <v>4.9932421723158988</v>
      </c>
    </row>
    <row r="58" spans="1:7" x14ac:dyDescent="0.75">
      <c r="A58" s="161" t="s">
        <v>1857</v>
      </c>
      <c r="B58" s="166" t="s">
        <v>1912</v>
      </c>
      <c r="C58" s="166"/>
      <c r="D58" s="166"/>
      <c r="E58" s="166"/>
      <c r="F58" s="166"/>
      <c r="G58" s="166"/>
    </row>
    <row r="59" spans="1:7" x14ac:dyDescent="0.75">
      <c r="A59" s="168" t="s">
        <v>1864</v>
      </c>
      <c r="B59" s="170" t="s">
        <v>1913</v>
      </c>
      <c r="C59" s="169" t="s">
        <v>2036</v>
      </c>
      <c r="D59" s="173">
        <v>380</v>
      </c>
      <c r="E59" s="173">
        <v>460</v>
      </c>
      <c r="F59" s="232">
        <f>Wednesday!F60</f>
        <v>6.7409803942464892</v>
      </c>
      <c r="G59" s="151"/>
    </row>
    <row r="60" spans="1:7" x14ac:dyDescent="0.75">
      <c r="A60" s="167" t="s">
        <v>1879</v>
      </c>
      <c r="B60" s="170" t="s">
        <v>1914</v>
      </c>
      <c r="C60" s="169" t="s">
        <v>2036</v>
      </c>
      <c r="D60" s="173">
        <v>280</v>
      </c>
      <c r="E60" s="173">
        <v>350</v>
      </c>
      <c r="F60" s="232">
        <f>Wednesday!F61</f>
        <v>5.105259634403839</v>
      </c>
      <c r="G60" s="151"/>
    </row>
    <row r="61" spans="1:7" x14ac:dyDescent="0.75">
      <c r="A61" s="168" t="s">
        <v>1881</v>
      </c>
      <c r="B61" s="170" t="s">
        <v>1940</v>
      </c>
      <c r="C61" s="169" t="s">
        <v>2036</v>
      </c>
      <c r="D61" s="173">
        <v>280</v>
      </c>
      <c r="E61" s="173">
        <v>350</v>
      </c>
      <c r="F61" s="232">
        <f>Wednesday!F62</f>
        <v>6.349787493199857</v>
      </c>
      <c r="G61" s="151"/>
    </row>
    <row r="62" spans="1:7" x14ac:dyDescent="0.75">
      <c r="A62" s="168" t="s">
        <v>1883</v>
      </c>
      <c r="B62" s="170" t="s">
        <v>1928</v>
      </c>
      <c r="C62" s="169" t="s">
        <v>2036</v>
      </c>
      <c r="D62" s="173">
        <v>280</v>
      </c>
      <c r="E62" s="173">
        <v>350</v>
      </c>
      <c r="F62" s="232">
        <f>Wednesday!F63</f>
        <v>5.4259856297199986</v>
      </c>
      <c r="G62" s="151"/>
    </row>
    <row r="63" spans="1:7" x14ac:dyDescent="0.75">
      <c r="A63" s="168" t="s">
        <v>1864</v>
      </c>
      <c r="B63" s="170" t="s">
        <v>1885</v>
      </c>
      <c r="C63" s="169" t="s">
        <v>2036</v>
      </c>
      <c r="D63" s="173">
        <v>380</v>
      </c>
      <c r="E63" s="173">
        <v>460</v>
      </c>
      <c r="F63" s="232">
        <f>Wednesday!F64</f>
        <v>6.4354070525764193</v>
      </c>
      <c r="G63" s="151"/>
    </row>
    <row r="64" spans="1:7" x14ac:dyDescent="0.75">
      <c r="A64" s="168" t="s">
        <v>1869</v>
      </c>
      <c r="B64" s="170" t="s">
        <v>1917</v>
      </c>
      <c r="C64" s="169" t="s">
        <v>2036</v>
      </c>
      <c r="D64" s="173">
        <v>280</v>
      </c>
      <c r="E64" s="173">
        <v>350</v>
      </c>
      <c r="F64" s="232">
        <f>Wednesday!F65</f>
        <v>2.551358968688251</v>
      </c>
      <c r="G64" s="151"/>
    </row>
    <row r="65" spans="1:7" x14ac:dyDescent="0.75">
      <c r="A65" s="168" t="s">
        <v>1889</v>
      </c>
      <c r="B65" s="170" t="s">
        <v>1918</v>
      </c>
      <c r="C65" s="169" t="s">
        <v>2036</v>
      </c>
      <c r="D65" s="173">
        <v>280</v>
      </c>
      <c r="E65" s="173">
        <v>350</v>
      </c>
      <c r="F65" s="232">
        <f>Wednesday!F66</f>
        <v>2.6273378564421646</v>
      </c>
      <c r="G65" s="232">
        <f>AVERAGE(F59:F65)</f>
        <v>5.0337310041824308</v>
      </c>
    </row>
  </sheetData>
  <mergeCells count="2">
    <mergeCell ref="A1:B1"/>
    <mergeCell ref="C3:E3"/>
  </mergeCells>
  <pageMargins left="0.17013888888888901" right="0.15972222222222199" top="0.75" bottom="0.75" header="0.51180555555555496" footer="0.51180555555555496"/>
  <pageSetup paperSize="9" scale="39" firstPageNumber="0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98CF-7AEE-42F9-9AF6-975E0ABB40A4}">
  <sheetPr>
    <pageSetUpPr fitToPage="1"/>
  </sheetPr>
  <dimension ref="A1:G62"/>
  <sheetViews>
    <sheetView view="pageBreakPreview" zoomScale="60" zoomScaleNormal="70" workbookViewId="0">
      <selection activeCell="I42" sqref="I42"/>
    </sheetView>
  </sheetViews>
  <sheetFormatPr defaultRowHeight="20.399999999999999" x14ac:dyDescent="0.75"/>
  <cols>
    <col min="1" max="1" width="53" style="153" customWidth="1"/>
    <col min="2" max="2" width="111.578125" style="153" customWidth="1"/>
    <col min="3" max="3" width="9.62890625" style="153" customWidth="1"/>
    <col min="4" max="4" width="23.1015625" style="149" customWidth="1"/>
    <col min="5" max="5" width="23.3671875" style="149" customWidth="1"/>
    <col min="6" max="6" width="14.3125" style="148" customWidth="1"/>
    <col min="7" max="7" width="18.578125" style="148" customWidth="1"/>
    <col min="8" max="1006" width="8.68359375" style="149" customWidth="1"/>
    <col min="1007" max="16384" width="8.83984375" style="149"/>
  </cols>
  <sheetData>
    <row r="1" spans="1:7" x14ac:dyDescent="0.75">
      <c r="A1" s="319" t="s">
        <v>2007</v>
      </c>
      <c r="B1" s="320"/>
      <c r="C1" s="226"/>
    </row>
    <row r="2" spans="1:7" x14ac:dyDescent="0.75">
      <c r="A2" s="222" t="s">
        <v>1834</v>
      </c>
      <c r="B2" s="222" t="s">
        <v>1535</v>
      </c>
      <c r="C2" s="321" t="s">
        <v>2009</v>
      </c>
      <c r="D2" s="310"/>
      <c r="E2" s="311"/>
      <c r="F2" s="237" t="s">
        <v>2046</v>
      </c>
      <c r="G2" s="237" t="s">
        <v>2047</v>
      </c>
    </row>
    <row r="3" spans="1:7" x14ac:dyDescent="0.75">
      <c r="A3" s="154" t="s">
        <v>1836</v>
      </c>
      <c r="B3" s="155" t="s">
        <v>1837</v>
      </c>
      <c r="C3" s="147" t="s">
        <v>29</v>
      </c>
      <c r="D3" s="147" t="s">
        <v>2044</v>
      </c>
      <c r="E3" s="147" t="s">
        <v>2045</v>
      </c>
      <c r="F3" s="151"/>
      <c r="G3" s="151"/>
    </row>
    <row r="4" spans="1:7" x14ac:dyDescent="0.75">
      <c r="A4" s="157" t="s">
        <v>1838</v>
      </c>
      <c r="B4" s="158" t="s">
        <v>1861</v>
      </c>
      <c r="C4" s="158"/>
      <c r="D4" s="152"/>
      <c r="E4" s="152"/>
      <c r="F4" s="232">
        <f>'Master – Recipes'!J145+'Master – Recipes'!J127</f>
        <v>2.0373458947368421</v>
      </c>
      <c r="G4" s="151"/>
    </row>
    <row r="5" spans="1:7" x14ac:dyDescent="0.75">
      <c r="A5" s="159" t="s">
        <v>1840</v>
      </c>
      <c r="B5" s="157" t="s">
        <v>1841</v>
      </c>
      <c r="C5" s="157" t="s">
        <v>2036</v>
      </c>
      <c r="D5" s="173">
        <v>180</v>
      </c>
      <c r="E5" s="173">
        <v>200</v>
      </c>
      <c r="F5" s="232">
        <f>Thursday!F6</f>
        <v>2.3675043669607367</v>
      </c>
      <c r="G5" s="151"/>
    </row>
    <row r="6" spans="1:7" x14ac:dyDescent="0.75">
      <c r="A6" s="157" t="s">
        <v>1842</v>
      </c>
      <c r="B6" s="157" t="s">
        <v>1843</v>
      </c>
      <c r="C6" s="157" t="s">
        <v>2036</v>
      </c>
      <c r="D6" s="173" t="s">
        <v>2008</v>
      </c>
      <c r="E6" s="152"/>
      <c r="F6" s="232">
        <f>Thursday!F7</f>
        <v>2.0236298780701754</v>
      </c>
      <c r="G6" s="151"/>
    </row>
    <row r="7" spans="1:7" x14ac:dyDescent="0.75">
      <c r="A7" s="159" t="s">
        <v>1840</v>
      </c>
      <c r="B7" s="157" t="s">
        <v>1854</v>
      </c>
      <c r="C7" s="157" t="s">
        <v>2036</v>
      </c>
      <c r="D7" s="173">
        <v>180</v>
      </c>
      <c r="E7" s="173">
        <v>200</v>
      </c>
      <c r="F7" s="232">
        <f>Thursday!F8</f>
        <v>1.5539902783642456</v>
      </c>
      <c r="G7" s="151"/>
    </row>
    <row r="8" spans="1:7" x14ac:dyDescent="0.75">
      <c r="A8" s="157" t="s">
        <v>1845</v>
      </c>
      <c r="B8" s="158" t="s">
        <v>1846</v>
      </c>
      <c r="C8" s="158"/>
      <c r="D8" s="152"/>
      <c r="E8" s="152"/>
      <c r="F8" s="232">
        <f>'Master – Recipes'!J128+'Master – Recipes'!J127</f>
        <v>2.0381085614035088</v>
      </c>
      <c r="G8" s="151"/>
    </row>
    <row r="9" spans="1:7" x14ac:dyDescent="0.75">
      <c r="A9" s="154" t="s">
        <v>1836</v>
      </c>
      <c r="B9" s="155" t="s">
        <v>1847</v>
      </c>
      <c r="C9" s="155"/>
      <c r="D9" s="155"/>
      <c r="E9" s="155"/>
      <c r="F9" s="155"/>
      <c r="G9" s="155"/>
    </row>
    <row r="10" spans="1:7" x14ac:dyDescent="0.75">
      <c r="A10" s="159" t="s">
        <v>1848</v>
      </c>
      <c r="B10" s="157" t="s">
        <v>1856</v>
      </c>
      <c r="C10" s="157"/>
      <c r="D10" s="152"/>
      <c r="E10" s="152"/>
      <c r="F10" s="232">
        <f>Thursday!F11</f>
        <v>0.8098461940226328</v>
      </c>
      <c r="G10" s="151"/>
    </row>
    <row r="11" spans="1:7" x14ac:dyDescent="0.75">
      <c r="A11" s="157" t="s">
        <v>1850</v>
      </c>
      <c r="B11" s="158" t="s">
        <v>1851</v>
      </c>
      <c r="C11" s="158"/>
      <c r="D11" s="152"/>
      <c r="E11" s="152"/>
      <c r="F11" s="151">
        <f>Thursday!F12</f>
        <v>1</v>
      </c>
      <c r="G11" s="232">
        <f>AVERAGE(F4:F11)</f>
        <v>1.6900607390797344</v>
      </c>
    </row>
    <row r="12" spans="1:7" x14ac:dyDescent="0.75">
      <c r="A12" s="160"/>
      <c r="B12" s="160" t="s">
        <v>1862</v>
      </c>
      <c r="C12" s="160"/>
      <c r="D12" s="160"/>
      <c r="E12" s="160"/>
      <c r="F12" s="160"/>
      <c r="G12" s="160"/>
    </row>
    <row r="13" spans="1:7" x14ac:dyDescent="0.75">
      <c r="A13" s="161" t="s">
        <v>1857</v>
      </c>
      <c r="B13" s="161" t="s">
        <v>1863</v>
      </c>
      <c r="C13" s="161"/>
      <c r="D13" s="161"/>
      <c r="E13" s="161"/>
      <c r="F13" s="161"/>
      <c r="G13" s="161"/>
    </row>
    <row r="14" spans="1:7" x14ac:dyDescent="0.75">
      <c r="A14" s="162" t="s">
        <v>1864</v>
      </c>
      <c r="B14" s="164" t="s">
        <v>1973</v>
      </c>
      <c r="C14" s="164" t="s">
        <v>1444</v>
      </c>
      <c r="D14" s="173">
        <v>180</v>
      </c>
      <c r="E14" s="173">
        <v>200</v>
      </c>
      <c r="F14" s="232">
        <f>'Master – Recipes'!J114</f>
        <v>0.37803683338445376</v>
      </c>
      <c r="G14" s="151"/>
    </row>
    <row r="15" spans="1:7" x14ac:dyDescent="0.75">
      <c r="A15" s="162" t="s">
        <v>1864</v>
      </c>
      <c r="B15" s="163" t="s">
        <v>1920</v>
      </c>
      <c r="C15" s="164" t="s">
        <v>1444</v>
      </c>
      <c r="D15" s="173">
        <v>180</v>
      </c>
      <c r="E15" s="173">
        <v>200</v>
      </c>
      <c r="F15" s="232">
        <f>'Master – Recipes'!J116</f>
        <v>1.3133124109750398</v>
      </c>
      <c r="G15" s="151"/>
    </row>
    <row r="16" spans="1:7" x14ac:dyDescent="0.75">
      <c r="A16" s="164" t="s">
        <v>1867</v>
      </c>
      <c r="B16" s="170" t="s">
        <v>1997</v>
      </c>
      <c r="C16" s="164" t="s">
        <v>1444</v>
      </c>
      <c r="D16" s="173">
        <v>180</v>
      </c>
      <c r="E16" s="173">
        <v>200</v>
      </c>
      <c r="F16" s="232">
        <f>'Saturday '!F17</f>
        <v>0.74370729981209283</v>
      </c>
      <c r="G16" s="151"/>
    </row>
    <row r="17" spans="1:7" x14ac:dyDescent="0.75">
      <c r="A17" s="164" t="s">
        <v>1869</v>
      </c>
      <c r="B17" s="165" t="s">
        <v>1998</v>
      </c>
      <c r="C17" s="164" t="s">
        <v>1444</v>
      </c>
      <c r="D17" s="173">
        <v>180</v>
      </c>
      <c r="E17" s="173">
        <v>200</v>
      </c>
      <c r="F17" s="232">
        <f>'Master – Recipes'!J115</f>
        <v>0.61253432365943428</v>
      </c>
      <c r="G17" s="232">
        <f>AVERAGE(F14:F17)</f>
        <v>0.76189771695775521</v>
      </c>
    </row>
    <row r="18" spans="1:7" x14ac:dyDescent="0.75">
      <c r="A18" s="161" t="s">
        <v>1857</v>
      </c>
      <c r="B18" s="166" t="s">
        <v>1778</v>
      </c>
      <c r="C18" s="166"/>
      <c r="D18" s="166"/>
      <c r="E18" s="166"/>
      <c r="F18" s="166"/>
      <c r="G18" s="166"/>
    </row>
    <row r="19" spans="1:7" x14ac:dyDescent="0.75">
      <c r="A19" s="162" t="s">
        <v>1864</v>
      </c>
      <c r="B19" s="167" t="s">
        <v>1999</v>
      </c>
      <c r="C19" s="157" t="s">
        <v>2036</v>
      </c>
      <c r="D19" s="173">
        <v>125</v>
      </c>
      <c r="E19" s="173">
        <v>180</v>
      </c>
      <c r="F19" s="232">
        <f>'Master – Recipes'!J159</f>
        <v>2.6492527267251411</v>
      </c>
      <c r="G19" s="151"/>
    </row>
    <row r="20" spans="1:7" x14ac:dyDescent="0.75">
      <c r="A20" s="164" t="s">
        <v>1869</v>
      </c>
      <c r="B20" s="164" t="s">
        <v>1872</v>
      </c>
      <c r="C20" s="157" t="s">
        <v>2036</v>
      </c>
      <c r="D20" s="173">
        <v>125</v>
      </c>
      <c r="E20" s="173">
        <v>180</v>
      </c>
      <c r="F20" s="232">
        <f>'Saturday '!F21</f>
        <v>1.4287088063485065</v>
      </c>
      <c r="G20" s="232">
        <f>AVERAGE(F19:F20)</f>
        <v>2.0389807665368238</v>
      </c>
    </row>
    <row r="21" spans="1:7" x14ac:dyDescent="0.75">
      <c r="A21" s="161" t="s">
        <v>1857</v>
      </c>
      <c r="B21" s="166" t="s">
        <v>1873</v>
      </c>
      <c r="C21" s="166"/>
      <c r="D21" s="166"/>
      <c r="E21" s="166"/>
      <c r="F21" s="166"/>
      <c r="G21" s="166"/>
    </row>
    <row r="22" spans="1:7" x14ac:dyDescent="0.75">
      <c r="A22" s="168" t="s">
        <v>1864</v>
      </c>
      <c r="B22" s="167" t="s">
        <v>1936</v>
      </c>
      <c r="C22" s="157" t="s">
        <v>2036</v>
      </c>
      <c r="D22" s="173">
        <v>380</v>
      </c>
      <c r="E22" s="173">
        <v>460</v>
      </c>
      <c r="F22" s="232">
        <f>'Master – Recipes'!J81</f>
        <v>7.071891153499104</v>
      </c>
      <c r="G22" s="151"/>
    </row>
    <row r="23" spans="1:7" x14ac:dyDescent="0.75">
      <c r="A23" s="168" t="s">
        <v>1864</v>
      </c>
      <c r="B23" s="165" t="s">
        <v>2000</v>
      </c>
      <c r="C23" s="157" t="s">
        <v>2036</v>
      </c>
      <c r="D23" s="173">
        <v>380</v>
      </c>
      <c r="E23" s="173">
        <v>460</v>
      </c>
      <c r="F23" s="232">
        <f>'Master – Recipes'!J47</f>
        <v>6.7233193983750317</v>
      </c>
      <c r="G23" s="151"/>
    </row>
    <row r="24" spans="1:7" x14ac:dyDescent="0.75">
      <c r="A24" s="168" t="s">
        <v>1864</v>
      </c>
      <c r="B24" s="167" t="s">
        <v>2001</v>
      </c>
      <c r="C24" s="157" t="s">
        <v>2036</v>
      </c>
      <c r="D24" s="173">
        <v>380</v>
      </c>
      <c r="E24" s="173">
        <v>460</v>
      </c>
      <c r="F24" s="232">
        <f>'Master – Recipes'!J46</f>
        <v>4.0530987182972762</v>
      </c>
      <c r="G24" s="232">
        <f>AVERAGE(F22:F24)</f>
        <v>5.9494364233904706</v>
      </c>
    </row>
    <row r="25" spans="1:7" x14ac:dyDescent="0.75">
      <c r="A25" s="161" t="s">
        <v>1857</v>
      </c>
      <c r="B25" s="166" t="s">
        <v>1877</v>
      </c>
      <c r="C25" s="166"/>
      <c r="D25" s="166"/>
      <c r="E25" s="166"/>
      <c r="F25" s="166"/>
      <c r="G25" s="166"/>
    </row>
    <row r="26" spans="1:7" x14ac:dyDescent="0.75">
      <c r="A26" s="162" t="s">
        <v>1864</v>
      </c>
      <c r="B26" s="170" t="s">
        <v>1878</v>
      </c>
      <c r="C26" s="157" t="s">
        <v>2036</v>
      </c>
      <c r="D26" s="173">
        <v>380</v>
      </c>
      <c r="E26" s="173">
        <v>460</v>
      </c>
      <c r="F26" s="232">
        <f>Thursday!F26</f>
        <v>5.9948634046357521</v>
      </c>
      <c r="G26" s="151"/>
    </row>
    <row r="27" spans="1:7" x14ac:dyDescent="0.75">
      <c r="A27" s="164" t="s">
        <v>1879</v>
      </c>
      <c r="B27" s="170" t="s">
        <v>1926</v>
      </c>
      <c r="C27" s="157" t="s">
        <v>2036</v>
      </c>
      <c r="D27" s="173">
        <v>280</v>
      </c>
      <c r="E27" s="173">
        <v>350</v>
      </c>
      <c r="F27" s="232">
        <f>Thursday!F27</f>
        <v>5.105259634403839</v>
      </c>
      <c r="G27" s="151"/>
    </row>
    <row r="28" spans="1:7" ht="40.799999999999997" x14ac:dyDescent="0.75">
      <c r="A28" s="162" t="s">
        <v>1881</v>
      </c>
      <c r="B28" s="170" t="s">
        <v>2002</v>
      </c>
      <c r="C28" s="157" t="s">
        <v>2036</v>
      </c>
      <c r="D28" s="173">
        <v>280</v>
      </c>
      <c r="E28" s="173">
        <v>350</v>
      </c>
      <c r="F28" s="232">
        <f>Thursday!F28</f>
        <v>6.349787493199857</v>
      </c>
      <c r="G28" s="151"/>
    </row>
    <row r="29" spans="1:7" x14ac:dyDescent="0.75">
      <c r="A29" s="162" t="s">
        <v>1883</v>
      </c>
      <c r="B29" s="170" t="s">
        <v>1916</v>
      </c>
      <c r="C29" s="157" t="s">
        <v>2036</v>
      </c>
      <c r="D29" s="173">
        <v>280</v>
      </c>
      <c r="E29" s="173">
        <v>350</v>
      </c>
      <c r="F29" s="232">
        <f>Thursday!F29</f>
        <v>5.4259856297199986</v>
      </c>
      <c r="G29" s="151"/>
    </row>
    <row r="30" spans="1:7" x14ac:dyDescent="0.75">
      <c r="A30" s="162" t="s">
        <v>1864</v>
      </c>
      <c r="B30" s="170" t="s">
        <v>1885</v>
      </c>
      <c r="C30" s="157" t="s">
        <v>2036</v>
      </c>
      <c r="D30" s="173">
        <v>380</v>
      </c>
      <c r="E30" s="173">
        <v>460</v>
      </c>
      <c r="F30" s="232">
        <f>Thursday!F30</f>
        <v>6.4354070525764193</v>
      </c>
      <c r="G30" s="151"/>
    </row>
    <row r="31" spans="1:7" x14ac:dyDescent="0.75">
      <c r="A31" s="162" t="s">
        <v>1869</v>
      </c>
      <c r="B31" s="162" t="s">
        <v>1887</v>
      </c>
      <c r="C31" s="157" t="s">
        <v>2036</v>
      </c>
      <c r="D31" s="173">
        <v>280</v>
      </c>
      <c r="E31" s="173">
        <v>350</v>
      </c>
      <c r="F31" s="232">
        <f>Thursday!F31</f>
        <v>6.1659875268140922</v>
      </c>
      <c r="G31" s="151"/>
    </row>
    <row r="32" spans="1:7" s="225" customFormat="1" x14ac:dyDescent="0.75">
      <c r="A32" s="162" t="s">
        <v>1869</v>
      </c>
      <c r="B32" s="162" t="s">
        <v>1888</v>
      </c>
      <c r="C32" s="157" t="s">
        <v>2036</v>
      </c>
      <c r="D32" s="173">
        <v>280</v>
      </c>
      <c r="E32" s="173">
        <v>350</v>
      </c>
      <c r="F32" s="232">
        <f>Thursday!F32</f>
        <v>5.6308093270308124</v>
      </c>
      <c r="G32" s="241"/>
    </row>
    <row r="33" spans="1:7" x14ac:dyDescent="0.75">
      <c r="A33" s="162" t="s">
        <v>1889</v>
      </c>
      <c r="B33" s="157" t="s">
        <v>1890</v>
      </c>
      <c r="C33" s="157" t="s">
        <v>2036</v>
      </c>
      <c r="D33" s="173">
        <v>280</v>
      </c>
      <c r="E33" s="173">
        <v>350</v>
      </c>
      <c r="F33" s="232">
        <f>Thursday!F33</f>
        <v>2.2027467563459493</v>
      </c>
      <c r="G33" s="232">
        <f>AVERAGE(F26:F33)</f>
        <v>5.4138558530908405</v>
      </c>
    </row>
    <row r="34" spans="1:7" x14ac:dyDescent="0.75">
      <c r="A34" s="161" t="s">
        <v>1857</v>
      </c>
      <c r="B34" s="166" t="s">
        <v>1819</v>
      </c>
      <c r="C34" s="166"/>
      <c r="D34" s="166"/>
      <c r="E34" s="166"/>
      <c r="F34" s="166"/>
      <c r="G34" s="166"/>
    </row>
    <row r="35" spans="1:7" x14ac:dyDescent="0.75">
      <c r="A35" s="168" t="s">
        <v>1891</v>
      </c>
      <c r="B35" s="167" t="s">
        <v>1892</v>
      </c>
      <c r="C35" s="167"/>
      <c r="D35" s="152"/>
      <c r="E35" s="152"/>
      <c r="F35" s="232">
        <f>Thursday!F36</f>
        <v>0.99192627796799404</v>
      </c>
      <c r="G35" s="151"/>
    </row>
    <row r="36" spans="1:7" x14ac:dyDescent="0.75">
      <c r="A36" s="168" t="s">
        <v>1891</v>
      </c>
      <c r="B36" s="167" t="s">
        <v>1893</v>
      </c>
      <c r="C36" s="167"/>
      <c r="D36" s="152"/>
      <c r="E36" s="152"/>
      <c r="F36" s="232">
        <f>Thursday!F37</f>
        <v>1</v>
      </c>
      <c r="G36" s="151"/>
    </row>
    <row r="37" spans="1:7" x14ac:dyDescent="0.75">
      <c r="A37" s="168" t="s">
        <v>1891</v>
      </c>
      <c r="B37" s="167" t="s">
        <v>1950</v>
      </c>
      <c r="C37" s="167"/>
      <c r="D37" s="152"/>
      <c r="E37" s="152"/>
      <c r="F37" s="232">
        <f>'Master – Recipes'!J84</f>
        <v>0.41624188034188037</v>
      </c>
      <c r="G37" s="151"/>
    </row>
    <row r="38" spans="1:7" x14ac:dyDescent="0.75">
      <c r="A38" s="168" t="s">
        <v>1891</v>
      </c>
      <c r="B38" s="167" t="s">
        <v>1895</v>
      </c>
      <c r="C38" s="167"/>
      <c r="D38" s="152"/>
      <c r="E38" s="152"/>
      <c r="F38" s="232">
        <f>Thursday!F39</f>
        <v>0.77427395833333323</v>
      </c>
      <c r="G38" s="151"/>
    </row>
    <row r="39" spans="1:7" x14ac:dyDescent="0.75">
      <c r="A39" s="168" t="s">
        <v>1869</v>
      </c>
      <c r="B39" s="167" t="s">
        <v>1896</v>
      </c>
      <c r="C39" s="167"/>
      <c r="D39" s="152"/>
      <c r="E39" s="152"/>
      <c r="F39" s="232">
        <f>Thursday!F40</f>
        <v>1.0043666666666669</v>
      </c>
      <c r="G39" s="151"/>
    </row>
    <row r="40" spans="1:7" x14ac:dyDescent="0.75">
      <c r="A40" s="168" t="s">
        <v>1897</v>
      </c>
      <c r="B40" s="167" t="s">
        <v>1898</v>
      </c>
      <c r="C40" s="167"/>
      <c r="D40" s="152"/>
      <c r="E40" s="152"/>
      <c r="F40" s="232">
        <f>Thursday!F41</f>
        <v>1.5512533333333332</v>
      </c>
      <c r="G40" s="151"/>
    </row>
    <row r="41" spans="1:7" x14ac:dyDescent="0.75">
      <c r="A41" s="168" t="s">
        <v>1867</v>
      </c>
      <c r="B41" s="167" t="s">
        <v>1899</v>
      </c>
      <c r="C41" s="167"/>
      <c r="D41" s="152"/>
      <c r="E41" s="152"/>
      <c r="F41" s="232">
        <f>Thursday!F42</f>
        <v>0.41019</v>
      </c>
      <c r="G41" s="151"/>
    </row>
    <row r="42" spans="1:7" x14ac:dyDescent="0.75">
      <c r="A42" s="168" t="s">
        <v>1869</v>
      </c>
      <c r="B42" s="167" t="s">
        <v>1584</v>
      </c>
      <c r="C42" s="167"/>
      <c r="D42" s="152"/>
      <c r="E42" s="152"/>
      <c r="F42" s="232">
        <f>Thursday!F43</f>
        <v>1.0293474074074076</v>
      </c>
      <c r="G42" s="232">
        <f>AVERAGE(F35:F42)</f>
        <v>0.89719994050632701</v>
      </c>
    </row>
    <row r="43" spans="1:7" x14ac:dyDescent="0.75">
      <c r="A43" s="172"/>
      <c r="B43" s="172" t="s">
        <v>1900</v>
      </c>
      <c r="C43" s="172"/>
      <c r="D43" s="172"/>
      <c r="E43" s="172"/>
      <c r="F43" s="172"/>
      <c r="G43" s="172"/>
    </row>
    <row r="44" spans="1:7" x14ac:dyDescent="0.75">
      <c r="A44" s="161" t="s">
        <v>1857</v>
      </c>
      <c r="B44" s="161" t="s">
        <v>1863</v>
      </c>
      <c r="C44" s="161"/>
      <c r="D44" s="161"/>
      <c r="E44" s="161"/>
      <c r="F44" s="161"/>
      <c r="G44" s="161"/>
    </row>
    <row r="45" spans="1:7" x14ac:dyDescent="0.75">
      <c r="A45" s="168" t="s">
        <v>1864</v>
      </c>
      <c r="B45" s="164" t="s">
        <v>1951</v>
      </c>
      <c r="C45" s="164" t="s">
        <v>1444</v>
      </c>
      <c r="D45" s="173">
        <v>180</v>
      </c>
      <c r="E45" s="173">
        <v>200</v>
      </c>
      <c r="F45" s="232">
        <f>'Master – Recipes'!J99</f>
        <v>0.92849179028132989</v>
      </c>
      <c r="G45" s="232"/>
    </row>
    <row r="46" spans="1:7" x14ac:dyDescent="0.75">
      <c r="A46" s="168" t="s">
        <v>1864</v>
      </c>
      <c r="B46" s="164" t="s">
        <v>2003</v>
      </c>
      <c r="C46" s="164" t="s">
        <v>1444</v>
      </c>
      <c r="D46" s="173">
        <v>180</v>
      </c>
      <c r="E46" s="173">
        <v>200</v>
      </c>
      <c r="F46" s="232">
        <f>'Master – Recipes'!J118</f>
        <v>1.4062575467259084</v>
      </c>
      <c r="G46" s="151"/>
    </row>
    <row r="47" spans="1:7" x14ac:dyDescent="0.75">
      <c r="A47" s="167" t="s">
        <v>1867</v>
      </c>
      <c r="B47" s="170" t="s">
        <v>1868</v>
      </c>
      <c r="C47" s="164" t="s">
        <v>1444</v>
      </c>
      <c r="D47" s="173">
        <v>180</v>
      </c>
      <c r="E47" s="173">
        <v>200</v>
      </c>
      <c r="F47" s="232">
        <f>Thursday!F48</f>
        <v>0.74370729981209283</v>
      </c>
      <c r="G47" s="232">
        <f>AVERAGE(F45:F47)</f>
        <v>1.0261522122731106</v>
      </c>
    </row>
    <row r="48" spans="1:7" x14ac:dyDescent="0.75">
      <c r="A48" s="161" t="s">
        <v>1857</v>
      </c>
      <c r="B48" s="166" t="s">
        <v>1778</v>
      </c>
      <c r="C48" s="166"/>
      <c r="D48" s="166"/>
      <c r="E48" s="166"/>
      <c r="F48" s="166"/>
      <c r="G48" s="166"/>
    </row>
    <row r="49" spans="1:7" x14ac:dyDescent="0.75">
      <c r="A49" s="168" t="s">
        <v>1864</v>
      </c>
      <c r="B49" s="167" t="s">
        <v>1905</v>
      </c>
      <c r="C49" s="157" t="s">
        <v>2036</v>
      </c>
      <c r="D49" s="173">
        <v>125</v>
      </c>
      <c r="E49" s="173">
        <v>180</v>
      </c>
      <c r="F49" s="232">
        <f>'Saturday '!F51</f>
        <v>0.97716803857986201</v>
      </c>
      <c r="G49" s="151"/>
    </row>
    <row r="50" spans="1:7" x14ac:dyDescent="0.75">
      <c r="A50" s="168" t="s">
        <v>1869</v>
      </c>
      <c r="B50" s="167" t="s">
        <v>1872</v>
      </c>
      <c r="C50" s="157" t="s">
        <v>2036</v>
      </c>
      <c r="D50" s="173">
        <v>125</v>
      </c>
      <c r="E50" s="173">
        <v>180</v>
      </c>
      <c r="F50" s="232">
        <f>'Saturday '!F52</f>
        <v>1.4287088063485065</v>
      </c>
      <c r="G50" s="232">
        <f>AVERAGE(F49:F50)</f>
        <v>1.2029384224641841</v>
      </c>
    </row>
    <row r="51" spans="1:7" x14ac:dyDescent="0.75">
      <c r="A51" s="161" t="s">
        <v>1857</v>
      </c>
      <c r="B51" s="166" t="s">
        <v>1906</v>
      </c>
      <c r="C51" s="166"/>
      <c r="D51" s="166"/>
      <c r="E51" s="166"/>
      <c r="F51" s="166"/>
      <c r="G51" s="166"/>
    </row>
    <row r="52" spans="1:7" x14ac:dyDescent="0.75">
      <c r="A52" s="168" t="s">
        <v>1864</v>
      </c>
      <c r="B52" s="165" t="s">
        <v>2004</v>
      </c>
      <c r="C52" s="157" t="s">
        <v>2036</v>
      </c>
      <c r="D52" s="173">
        <v>380</v>
      </c>
      <c r="E52" s="173">
        <v>460</v>
      </c>
      <c r="F52" s="232">
        <f>'Master – Recipes'!J44</f>
        <v>5.6093259406327531</v>
      </c>
      <c r="G52" s="151"/>
    </row>
    <row r="53" spans="1:7" x14ac:dyDescent="0.75">
      <c r="A53" s="168" t="s">
        <v>1864</v>
      </c>
      <c r="B53" s="165" t="s">
        <v>2005</v>
      </c>
      <c r="C53" s="157" t="s">
        <v>2036</v>
      </c>
      <c r="D53" s="173">
        <v>380</v>
      </c>
      <c r="E53" s="173">
        <v>460</v>
      </c>
      <c r="F53" s="232">
        <f>'Master – Recipes'!J43</f>
        <v>10.550843479422735</v>
      </c>
      <c r="G53" s="151"/>
    </row>
    <row r="54" spans="1:7" x14ac:dyDescent="0.75">
      <c r="A54" s="168" t="s">
        <v>1864</v>
      </c>
      <c r="B54" s="157" t="s">
        <v>2006</v>
      </c>
      <c r="C54" s="157" t="s">
        <v>2036</v>
      </c>
      <c r="D54" s="173">
        <v>380</v>
      </c>
      <c r="E54" s="173">
        <v>460</v>
      </c>
      <c r="F54" s="232">
        <f>'Master – Recipes'!J45</f>
        <v>5.936566415692706</v>
      </c>
      <c r="G54" s="232">
        <f>AVERAGE(F52:F54)</f>
        <v>7.3655786119160647</v>
      </c>
    </row>
    <row r="55" spans="1:7" x14ac:dyDescent="0.75">
      <c r="A55" s="161" t="s">
        <v>1857</v>
      </c>
      <c r="B55" s="166" t="s">
        <v>1912</v>
      </c>
      <c r="C55" s="166"/>
      <c r="D55" s="166"/>
      <c r="E55" s="166"/>
      <c r="F55" s="166"/>
      <c r="G55" s="166"/>
    </row>
    <row r="56" spans="1:7" x14ac:dyDescent="0.75">
      <c r="A56" s="168" t="s">
        <v>1864</v>
      </c>
      <c r="B56" s="170" t="s">
        <v>1913</v>
      </c>
      <c r="C56" s="157" t="s">
        <v>2036</v>
      </c>
      <c r="D56" s="173">
        <v>380</v>
      </c>
      <c r="E56" s="173">
        <v>460</v>
      </c>
      <c r="F56" s="232">
        <f>Thursday!F59</f>
        <v>6.7409803942464892</v>
      </c>
      <c r="G56" s="151"/>
    </row>
    <row r="57" spans="1:7" x14ac:dyDescent="0.75">
      <c r="A57" s="167" t="s">
        <v>1879</v>
      </c>
      <c r="B57" s="170" t="s">
        <v>1914</v>
      </c>
      <c r="C57" s="157" t="s">
        <v>2036</v>
      </c>
      <c r="D57" s="173">
        <v>280</v>
      </c>
      <c r="E57" s="173">
        <v>350</v>
      </c>
      <c r="F57" s="232">
        <f>Thursday!F60</f>
        <v>5.105259634403839</v>
      </c>
      <c r="G57" s="151"/>
    </row>
    <row r="58" spans="1:7" x14ac:dyDescent="0.75">
      <c r="A58" s="168" t="s">
        <v>1881</v>
      </c>
      <c r="B58" s="170" t="s">
        <v>1915</v>
      </c>
      <c r="C58" s="157" t="s">
        <v>2036</v>
      </c>
      <c r="D58" s="173">
        <v>280</v>
      </c>
      <c r="E58" s="173">
        <v>350</v>
      </c>
      <c r="F58" s="232">
        <f>Thursday!F61</f>
        <v>6.349787493199857</v>
      </c>
      <c r="G58" s="151"/>
    </row>
    <row r="59" spans="1:7" x14ac:dyDescent="0.75">
      <c r="A59" s="168" t="s">
        <v>1883</v>
      </c>
      <c r="B59" s="170" t="s">
        <v>1916</v>
      </c>
      <c r="C59" s="157" t="s">
        <v>2036</v>
      </c>
      <c r="D59" s="173">
        <v>280</v>
      </c>
      <c r="E59" s="173">
        <v>350</v>
      </c>
      <c r="F59" s="232">
        <f>Thursday!F62</f>
        <v>5.4259856297199986</v>
      </c>
      <c r="G59" s="151"/>
    </row>
    <row r="60" spans="1:7" x14ac:dyDescent="0.75">
      <c r="A60" s="168" t="s">
        <v>1864</v>
      </c>
      <c r="B60" s="170" t="s">
        <v>1885</v>
      </c>
      <c r="C60" s="157" t="s">
        <v>2036</v>
      </c>
      <c r="D60" s="173">
        <v>380</v>
      </c>
      <c r="E60" s="173">
        <v>460</v>
      </c>
      <c r="F60" s="232">
        <f>Thursday!F63</f>
        <v>6.4354070525764193</v>
      </c>
      <c r="G60" s="151"/>
    </row>
    <row r="61" spans="1:7" x14ac:dyDescent="0.75">
      <c r="A61" s="168" t="s">
        <v>1869</v>
      </c>
      <c r="B61" s="170" t="s">
        <v>1917</v>
      </c>
      <c r="C61" s="157" t="s">
        <v>2036</v>
      </c>
      <c r="D61" s="173">
        <v>280</v>
      </c>
      <c r="E61" s="173">
        <v>350</v>
      </c>
      <c r="F61" s="232">
        <f>Thursday!F64</f>
        <v>2.551358968688251</v>
      </c>
      <c r="G61" s="151"/>
    </row>
    <row r="62" spans="1:7" x14ac:dyDescent="0.75">
      <c r="A62" s="168" t="s">
        <v>1889</v>
      </c>
      <c r="B62" s="170" t="s">
        <v>1918</v>
      </c>
      <c r="C62" s="157" t="s">
        <v>2036</v>
      </c>
      <c r="D62" s="173">
        <v>280</v>
      </c>
      <c r="E62" s="173">
        <v>350</v>
      </c>
      <c r="F62" s="232">
        <f>Thursday!F65</f>
        <v>2.6273378564421646</v>
      </c>
      <c r="G62" s="232">
        <f>AVERAGE(F56:F62)</f>
        <v>5.0337310041824308</v>
      </c>
    </row>
  </sheetData>
  <mergeCells count="2">
    <mergeCell ref="A1:B1"/>
    <mergeCell ref="C2:E2"/>
  </mergeCells>
  <pageMargins left="0.17013888888888901" right="0.15972222222222199" top="0.75" bottom="0.75" header="0.51180555555555496" footer="0.51180555555555496"/>
  <pageSetup paperSize="9" scale="40" firstPageNumber="0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3D989-A9BF-4168-9770-D7024A2CAD7A}">
  <dimension ref="E2:H31"/>
  <sheetViews>
    <sheetView topLeftCell="C13" workbookViewId="0">
      <selection activeCell="I42" sqref="I42"/>
    </sheetView>
  </sheetViews>
  <sheetFormatPr defaultRowHeight="14.4" x14ac:dyDescent="0.55000000000000004"/>
  <cols>
    <col min="1" max="2" width="0" hidden="1" customWidth="1"/>
    <col min="5" max="5" width="22.5234375" customWidth="1"/>
    <col min="6" max="6" width="41.26171875" customWidth="1"/>
    <col min="7" max="7" width="14.68359375" customWidth="1"/>
    <col min="8" max="8" width="14.3125" style="119" customWidth="1"/>
  </cols>
  <sheetData>
    <row r="2" spans="5:8" x14ac:dyDescent="0.55000000000000004">
      <c r="E2" s="110" t="s">
        <v>1830</v>
      </c>
    </row>
    <row r="3" spans="5:8" x14ac:dyDescent="0.55000000000000004">
      <c r="E3" s="110" t="s">
        <v>1795</v>
      </c>
    </row>
    <row r="4" spans="5:8" s="112" customFormat="1" x14ac:dyDescent="0.55000000000000004">
      <c r="E4" s="122"/>
      <c r="F4" s="123" t="s">
        <v>1827</v>
      </c>
      <c r="G4" s="123" t="s">
        <v>138</v>
      </c>
      <c r="H4" s="124" t="s">
        <v>1829</v>
      </c>
    </row>
    <row r="5" spans="5:8" x14ac:dyDescent="0.55000000000000004">
      <c r="E5" s="113" t="s">
        <v>1796</v>
      </c>
      <c r="F5" s="113" t="str">
        <f>'Raw material list'!A541</f>
        <v>Cutlery Set for SMC Logo</v>
      </c>
      <c r="G5" s="113" t="str">
        <f>'Raw material list'!C541</f>
        <v>PKG-1258</v>
      </c>
      <c r="H5" s="104">
        <f>'Raw material list'!F541</f>
        <v>0.46666666666666667</v>
      </c>
    </row>
    <row r="6" spans="5:8" x14ac:dyDescent="0.55000000000000004">
      <c r="E6" s="113" t="s">
        <v>1797</v>
      </c>
      <c r="F6" s="113" t="str">
        <f>'Raw material list'!A689</f>
        <v>Plastic Container,1 Comp,Black(K-8000) W/Lid</v>
      </c>
      <c r="G6" s="113" t="str">
        <f>'Raw material list'!C689</f>
        <v>DWS-4231</v>
      </c>
      <c r="H6" s="104">
        <f>'Raw material list'!F689</f>
        <v>0.4</v>
      </c>
    </row>
    <row r="7" spans="5:8" x14ac:dyDescent="0.55000000000000004">
      <c r="E7" s="113" t="s">
        <v>1797</v>
      </c>
      <c r="F7" s="113" t="str">
        <f>'Raw material list'!A692</f>
        <v>Plastic Container,2 Comp,Black(K-9010) W/lid</v>
      </c>
      <c r="G7" s="113" t="str">
        <f>'Raw material list'!C692</f>
        <v>DWS-3698</v>
      </c>
      <c r="H7" s="104">
        <f>'Raw material list'!F692</f>
        <v>0.436</v>
      </c>
    </row>
    <row r="8" spans="5:8" x14ac:dyDescent="0.55000000000000004">
      <c r="E8" s="113" t="s">
        <v>1798</v>
      </c>
      <c r="F8" s="113" t="str">
        <f>'Raw material list'!A601</f>
        <v>Plastic Clear Cont,Square,8oz,W/Lid</v>
      </c>
      <c r="G8" s="113" t="str">
        <f>'Raw material list'!C601</f>
        <v>PKG-4929</v>
      </c>
      <c r="H8" s="104">
        <f>'Raw material list'!F601</f>
        <v>0.39200000000000002</v>
      </c>
    </row>
    <row r="9" spans="5:8" x14ac:dyDescent="0.55000000000000004">
      <c r="E9" s="113" t="s">
        <v>1799</v>
      </c>
      <c r="F9" s="113" t="str">
        <f>'Raw material list'!A703</f>
        <v>Plastic Bag for tea bag</v>
      </c>
      <c r="G9" s="113" t="str">
        <f>'Raw material list'!C703</f>
        <v>DKG-1530</v>
      </c>
      <c r="H9" s="104">
        <f>'Raw material list'!F703</f>
        <v>7.0000000000000001E-3</v>
      </c>
    </row>
    <row r="10" spans="5:8" x14ac:dyDescent="0.55000000000000004">
      <c r="E10" s="113" t="s">
        <v>1800</v>
      </c>
      <c r="F10" s="113" t="str">
        <f>'Raw material list'!A584</f>
        <v>Paper Cups 8oz,VIP,Double,Logo&amp;Lids(1000)</v>
      </c>
      <c r="G10" s="113" t="str">
        <f>'Raw material list'!C584</f>
        <v>PKG-4708</v>
      </c>
      <c r="H10" s="104">
        <f>'Raw material list'!F584</f>
        <v>0.34</v>
      </c>
    </row>
    <row r="11" spans="5:8" x14ac:dyDescent="0.55000000000000004">
      <c r="E11" s="113"/>
      <c r="F11" s="113"/>
      <c r="G11" s="113"/>
      <c r="H11" s="104"/>
    </row>
    <row r="12" spans="5:8" x14ac:dyDescent="0.55000000000000004">
      <c r="E12" s="110" t="s">
        <v>1774</v>
      </c>
      <c r="F12" s="113"/>
      <c r="G12" s="113"/>
      <c r="H12" s="104"/>
    </row>
    <row r="13" spans="5:8" x14ac:dyDescent="0.55000000000000004">
      <c r="E13" s="113" t="s">
        <v>1796</v>
      </c>
      <c r="F13" s="113" t="s">
        <v>1116</v>
      </c>
      <c r="G13" s="113" t="s">
        <v>1117</v>
      </c>
      <c r="H13" s="104">
        <v>0.46666666666666667</v>
      </c>
    </row>
    <row r="14" spans="5:8" x14ac:dyDescent="0.55000000000000004">
      <c r="E14" s="113" t="s">
        <v>1797</v>
      </c>
      <c r="F14" s="113" t="s">
        <v>1376</v>
      </c>
      <c r="G14" s="113" t="s">
        <v>1377</v>
      </c>
      <c r="H14" s="104">
        <v>0.4</v>
      </c>
    </row>
    <row r="15" spans="5:8" x14ac:dyDescent="0.55000000000000004">
      <c r="E15" s="113" t="s">
        <v>1801</v>
      </c>
      <c r="F15" s="113" t="s">
        <v>1234</v>
      </c>
      <c r="G15" s="113" t="s">
        <v>1235</v>
      </c>
      <c r="H15" s="104">
        <v>0.39200000000000002</v>
      </c>
    </row>
    <row r="16" spans="5:8" x14ac:dyDescent="0.55000000000000004">
      <c r="E16" s="113" t="s">
        <v>1802</v>
      </c>
      <c r="F16" s="113" t="str">
        <f>'Raw material list'!A620</f>
        <v>Plastic Dessert Cup w/Lid,DC200 (1000 )</v>
      </c>
      <c r="G16" s="113" t="str">
        <f>'Raw material list'!C620</f>
        <v>PKG-1541</v>
      </c>
      <c r="H16" s="104">
        <f>'Raw material list'!F620</f>
        <v>0.17499999999999999</v>
      </c>
    </row>
    <row r="17" spans="5:8" x14ac:dyDescent="0.55000000000000004">
      <c r="E17" s="113" t="s">
        <v>1803</v>
      </c>
      <c r="F17" s="113" t="str">
        <f>'Raw material list'!A679</f>
        <v>Plastic Cont,1Comp,05AH08PBK(300 Each)</v>
      </c>
      <c r="G17" s="113" t="str">
        <f>'Raw material list'!C679</f>
        <v>DWS-4649</v>
      </c>
      <c r="H17" s="104">
        <f>'Raw material list'!F679</f>
        <v>0.3</v>
      </c>
    </row>
    <row r="18" spans="5:8" x14ac:dyDescent="0.55000000000000004">
      <c r="E18" s="113" t="s">
        <v>1828</v>
      </c>
      <c r="F18" s="113" t="s">
        <v>1392</v>
      </c>
      <c r="G18" s="113" t="s">
        <v>1393</v>
      </c>
      <c r="H18" s="104">
        <v>0.05</v>
      </c>
    </row>
    <row r="19" spans="5:8" x14ac:dyDescent="0.55000000000000004">
      <c r="F19" s="113"/>
      <c r="G19" s="113"/>
      <c r="H19" s="104"/>
    </row>
    <row r="20" spans="5:8" x14ac:dyDescent="0.55000000000000004">
      <c r="E20" s="120" t="s">
        <v>1773</v>
      </c>
      <c r="F20" s="113"/>
      <c r="G20" s="113"/>
      <c r="H20" s="104"/>
    </row>
    <row r="21" spans="5:8" x14ac:dyDescent="0.55000000000000004">
      <c r="E21" s="113" t="s">
        <v>1796</v>
      </c>
      <c r="F21" s="113" t="s">
        <v>1116</v>
      </c>
      <c r="G21" s="113" t="s">
        <v>1117</v>
      </c>
      <c r="H21" s="104">
        <v>0.46666666666666667</v>
      </c>
    </row>
    <row r="22" spans="5:8" x14ac:dyDescent="0.55000000000000004">
      <c r="E22" s="113" t="s">
        <v>1797</v>
      </c>
      <c r="F22" s="113" t="s">
        <v>1376</v>
      </c>
      <c r="G22" s="113" t="s">
        <v>1377</v>
      </c>
      <c r="H22" s="104">
        <v>0.4</v>
      </c>
    </row>
    <row r="23" spans="5:8" x14ac:dyDescent="0.55000000000000004">
      <c r="E23" s="113" t="s">
        <v>1801</v>
      </c>
      <c r="F23" s="113" t="s">
        <v>1234</v>
      </c>
      <c r="G23" s="113" t="s">
        <v>1235</v>
      </c>
      <c r="H23" s="104">
        <v>0.39200000000000002</v>
      </c>
    </row>
    <row r="24" spans="5:8" x14ac:dyDescent="0.55000000000000004">
      <c r="E24" s="113" t="s">
        <v>1804</v>
      </c>
      <c r="F24" s="113" t="s">
        <v>1272</v>
      </c>
      <c r="G24" s="113" t="s">
        <v>1273</v>
      </c>
      <c r="H24" s="104">
        <v>0.17499999999999999</v>
      </c>
    </row>
    <row r="25" spans="5:8" x14ac:dyDescent="0.55000000000000004">
      <c r="E25" s="113" t="s">
        <v>1828</v>
      </c>
      <c r="F25" s="113" t="str">
        <f>'Raw material list'!A697</f>
        <v>Plastic Sauce Container 02oz With Lids (2000)</v>
      </c>
      <c r="G25" s="113" t="str">
        <f>'Raw material list'!C697</f>
        <v>DWS-1639</v>
      </c>
      <c r="H25" s="104">
        <f>'Raw material list'!F697</f>
        <v>0.05</v>
      </c>
    </row>
    <row r="26" spans="5:8" x14ac:dyDescent="0.55000000000000004">
      <c r="E26" s="113" t="s">
        <v>1803</v>
      </c>
      <c r="F26" s="113" t="s">
        <v>1356</v>
      </c>
      <c r="G26" s="113" t="s">
        <v>1357</v>
      </c>
      <c r="H26" s="104">
        <v>0.3</v>
      </c>
    </row>
    <row r="27" spans="5:8" x14ac:dyDescent="0.55000000000000004">
      <c r="E27" s="113"/>
      <c r="F27" s="113"/>
      <c r="G27" s="113"/>
      <c r="H27" s="104"/>
    </row>
    <row r="28" spans="5:8" x14ac:dyDescent="0.55000000000000004">
      <c r="E28" s="113" t="s">
        <v>1805</v>
      </c>
      <c r="F28" s="113" t="str">
        <f>'Raw material list'!A593</f>
        <v>Paper Sleeves with Gourmet Logo</v>
      </c>
      <c r="G28" s="113" t="str">
        <f>'Raw material list'!C593</f>
        <v>PKG-5072</v>
      </c>
      <c r="H28" s="104">
        <f>'Raw material list'!F593*4</f>
        <v>0.57999999999999996</v>
      </c>
    </row>
    <row r="29" spans="5:8" x14ac:dyDescent="0.55000000000000004">
      <c r="E29" s="113" t="str">
        <f>'Raw material list'!A645</f>
        <v>Sticker Roll Plain,Expiry</v>
      </c>
      <c r="F29" s="113" t="s">
        <v>1322</v>
      </c>
      <c r="G29" s="113" t="str">
        <f>'Raw material list'!C645</f>
        <v>PKG-5310</v>
      </c>
      <c r="H29" s="104">
        <f>'Raw material list'!F645*4</f>
        <v>2.9559999999999999E-2</v>
      </c>
    </row>
    <row r="30" spans="5:8" x14ac:dyDescent="0.55000000000000004">
      <c r="E30" s="113"/>
      <c r="F30" s="113"/>
      <c r="G30" s="113"/>
      <c r="H30" s="104"/>
    </row>
    <row r="31" spans="5:8" x14ac:dyDescent="0.55000000000000004">
      <c r="G31" s="110" t="s">
        <v>1831</v>
      </c>
      <c r="H31" s="121">
        <f>SUM(H5:H29)</f>
        <v>6.2185599999999992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1DE6-53E9-4666-81EC-6811EC1DEB1D}">
  <dimension ref="A1:F37"/>
  <sheetViews>
    <sheetView topLeftCell="A27" zoomScaleNormal="100" workbookViewId="0">
      <selection activeCell="I42" sqref="I42"/>
    </sheetView>
  </sheetViews>
  <sheetFormatPr defaultColWidth="8.83984375" defaultRowHeight="20.399999999999999" x14ac:dyDescent="0.75"/>
  <cols>
    <col min="1" max="1" width="24.26171875" style="133" customWidth="1"/>
    <col min="2" max="2" width="22.15625" style="133" bestFit="1" customWidth="1"/>
    <col min="3" max="3" width="22.83984375" style="133" bestFit="1" customWidth="1"/>
    <col min="4" max="16384" width="8.83984375" style="133"/>
  </cols>
  <sheetData>
    <row r="1" spans="1:5" ht="23.1" x14ac:dyDescent="0.85">
      <c r="A1" s="131" t="s">
        <v>2010</v>
      </c>
      <c r="B1" s="132"/>
      <c r="C1" s="132"/>
      <c r="D1" s="132"/>
      <c r="E1" s="132"/>
    </row>
    <row r="2" spans="1:5" x14ac:dyDescent="0.75">
      <c r="A2" s="134" t="s">
        <v>2011</v>
      </c>
      <c r="B2" s="135"/>
      <c r="C2" s="135"/>
    </row>
    <row r="3" spans="1:5" x14ac:dyDescent="0.75">
      <c r="A3" s="136" t="s">
        <v>2012</v>
      </c>
      <c r="B3" s="136" t="s">
        <v>2013</v>
      </c>
      <c r="C3" s="136" t="s">
        <v>2014</v>
      </c>
    </row>
    <row r="4" spans="1:5" x14ac:dyDescent="0.75">
      <c r="A4" s="137" t="s">
        <v>2015</v>
      </c>
      <c r="B4" s="138">
        <v>80</v>
      </c>
      <c r="C4" s="138">
        <v>100</v>
      </c>
    </row>
    <row r="5" spans="1:5" x14ac:dyDescent="0.75">
      <c r="A5" s="137" t="s">
        <v>2016</v>
      </c>
      <c r="B5" s="138">
        <v>80</v>
      </c>
      <c r="C5" s="138">
        <v>100</v>
      </c>
    </row>
    <row r="6" spans="1:5" x14ac:dyDescent="0.75">
      <c r="A6" s="137" t="s">
        <v>2017</v>
      </c>
      <c r="B6" s="138">
        <v>220</v>
      </c>
      <c r="C6" s="138">
        <v>260</v>
      </c>
    </row>
    <row r="7" spans="1:5" x14ac:dyDescent="0.75">
      <c r="A7" s="136" t="s">
        <v>2018</v>
      </c>
      <c r="B7" s="139">
        <f>SUM(B4:B6)</f>
        <v>380</v>
      </c>
      <c r="C7" s="139">
        <f>SUM(C4:C6)</f>
        <v>460</v>
      </c>
    </row>
    <row r="8" spans="1:5" ht="10.5" customHeight="1" x14ac:dyDescent="0.75"/>
    <row r="9" spans="1:5" x14ac:dyDescent="0.75">
      <c r="A9" s="134" t="s">
        <v>2019</v>
      </c>
      <c r="B9" s="135"/>
      <c r="C9" s="135"/>
      <c r="D9" s="135"/>
    </row>
    <row r="10" spans="1:5" x14ac:dyDescent="0.75">
      <c r="A10" s="136" t="s">
        <v>2012</v>
      </c>
      <c r="B10" s="136" t="s">
        <v>2013</v>
      </c>
      <c r="C10" s="136" t="s">
        <v>2014</v>
      </c>
    </row>
    <row r="11" spans="1:5" x14ac:dyDescent="0.75">
      <c r="A11" s="137" t="s">
        <v>2015</v>
      </c>
      <c r="B11" s="138">
        <v>80</v>
      </c>
      <c r="C11" s="138">
        <v>100</v>
      </c>
    </row>
    <row r="12" spans="1:5" x14ac:dyDescent="0.75">
      <c r="A12" s="137" t="s">
        <v>2016</v>
      </c>
      <c r="B12" s="138">
        <v>0</v>
      </c>
      <c r="C12" s="138">
        <v>0</v>
      </c>
    </row>
    <row r="13" spans="1:5" x14ac:dyDescent="0.75">
      <c r="A13" s="137" t="s">
        <v>2020</v>
      </c>
      <c r="B13" s="138">
        <v>200</v>
      </c>
      <c r="C13" s="138">
        <v>250</v>
      </c>
    </row>
    <row r="14" spans="1:5" x14ac:dyDescent="0.75">
      <c r="A14" s="136" t="s">
        <v>2018</v>
      </c>
      <c r="B14" s="139">
        <f>SUM(B11:B13)</f>
        <v>280</v>
      </c>
      <c r="C14" s="139">
        <f>SUM(C11:C13)</f>
        <v>350</v>
      </c>
    </row>
    <row r="16" spans="1:5" x14ac:dyDescent="0.75">
      <c r="A16" s="140" t="s">
        <v>2021</v>
      </c>
      <c r="B16" s="135"/>
    </row>
    <row r="17" spans="1:4" x14ac:dyDescent="0.75">
      <c r="A17" s="136" t="s">
        <v>2012</v>
      </c>
      <c r="B17" s="136" t="s">
        <v>2022</v>
      </c>
    </row>
    <row r="18" spans="1:4" x14ac:dyDescent="0.75">
      <c r="A18" s="137" t="s">
        <v>2015</v>
      </c>
      <c r="B18" s="137" t="s">
        <v>2023</v>
      </c>
    </row>
    <row r="19" spans="1:4" ht="36.9" x14ac:dyDescent="0.75">
      <c r="A19" s="141" t="s">
        <v>2024</v>
      </c>
      <c r="B19" s="137">
        <v>60</v>
      </c>
      <c r="C19" s="133" t="s">
        <v>2025</v>
      </c>
    </row>
    <row r="20" spans="1:4" x14ac:dyDescent="0.75">
      <c r="A20" s="137" t="s">
        <v>2026</v>
      </c>
      <c r="B20" s="137">
        <v>0</v>
      </c>
      <c r="C20" s="133" t="s">
        <v>2027</v>
      </c>
    </row>
    <row r="21" spans="1:4" x14ac:dyDescent="0.75">
      <c r="A21" s="136" t="s">
        <v>2018</v>
      </c>
      <c r="B21" s="136">
        <f>SUM(B18:B20)</f>
        <v>60</v>
      </c>
    </row>
    <row r="22" spans="1:4" x14ac:dyDescent="0.75">
      <c r="A22" s="142" t="s">
        <v>2028</v>
      </c>
    </row>
    <row r="23" spans="1:4" x14ac:dyDescent="0.75">
      <c r="A23" s="133" t="s">
        <v>2029</v>
      </c>
    </row>
    <row r="24" spans="1:4" x14ac:dyDescent="0.75">
      <c r="A24" s="133" t="s">
        <v>2030</v>
      </c>
    </row>
    <row r="25" spans="1:4" x14ac:dyDescent="0.75">
      <c r="A25" s="133" t="s">
        <v>2031</v>
      </c>
    </row>
    <row r="27" spans="1:4" x14ac:dyDescent="0.75">
      <c r="A27" s="143" t="s">
        <v>2012</v>
      </c>
      <c r="B27" s="143" t="s">
        <v>2032</v>
      </c>
      <c r="C27" s="143" t="s">
        <v>2033</v>
      </c>
    </row>
    <row r="28" spans="1:4" x14ac:dyDescent="0.75">
      <c r="A28" s="144" t="s">
        <v>1779</v>
      </c>
      <c r="B28" s="145">
        <v>180</v>
      </c>
      <c r="C28" s="145">
        <v>200</v>
      </c>
    </row>
    <row r="29" spans="1:4" x14ac:dyDescent="0.75">
      <c r="A29" s="144" t="s">
        <v>1778</v>
      </c>
      <c r="B29" s="145">
        <v>125</v>
      </c>
      <c r="C29" s="145">
        <v>180</v>
      </c>
    </row>
    <row r="30" spans="1:4" x14ac:dyDescent="0.75">
      <c r="A30" s="144" t="s">
        <v>2034</v>
      </c>
      <c r="B30" s="145">
        <v>180</v>
      </c>
      <c r="C30" s="145">
        <v>200</v>
      </c>
    </row>
    <row r="32" spans="1:4" x14ac:dyDescent="0.75">
      <c r="A32" s="143" t="s">
        <v>1666</v>
      </c>
      <c r="B32" s="143" t="s">
        <v>2032</v>
      </c>
      <c r="C32" s="143" t="s">
        <v>2033</v>
      </c>
      <c r="D32" s="146"/>
    </row>
    <row r="33" spans="1:6" x14ac:dyDescent="0.75">
      <c r="A33" s="144" t="s">
        <v>2035</v>
      </c>
      <c r="B33" s="145">
        <v>180</v>
      </c>
      <c r="C33" s="145">
        <v>200</v>
      </c>
      <c r="D33" s="145" t="s">
        <v>2036</v>
      </c>
    </row>
    <row r="34" spans="1:6" x14ac:dyDescent="0.75">
      <c r="A34" s="144" t="s">
        <v>2037</v>
      </c>
      <c r="B34" s="322" t="s">
        <v>2038</v>
      </c>
      <c r="C34" s="323"/>
      <c r="D34" s="145" t="s">
        <v>1444</v>
      </c>
    </row>
    <row r="35" spans="1:6" x14ac:dyDescent="0.75">
      <c r="A35" s="144" t="s">
        <v>2039</v>
      </c>
      <c r="B35" s="145">
        <v>40</v>
      </c>
      <c r="C35" s="145">
        <v>60</v>
      </c>
      <c r="D35" s="145" t="s">
        <v>2036</v>
      </c>
    </row>
    <row r="36" spans="1:6" x14ac:dyDescent="0.75">
      <c r="A36" s="144" t="s">
        <v>2040</v>
      </c>
      <c r="B36" s="145" t="s">
        <v>2041</v>
      </c>
      <c r="C36" s="145"/>
      <c r="D36" s="145"/>
      <c r="F36" s="133" t="s">
        <v>404</v>
      </c>
    </row>
    <row r="37" spans="1:6" x14ac:dyDescent="0.75">
      <c r="A37" s="324" t="s">
        <v>2042</v>
      </c>
      <c r="B37" s="325"/>
      <c r="C37" s="325"/>
      <c r="D37" s="326"/>
    </row>
  </sheetData>
  <mergeCells count="2">
    <mergeCell ref="B34:C34"/>
    <mergeCell ref="A37:D37"/>
  </mergeCells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9</vt:i4>
      </vt:variant>
    </vt:vector>
  </HeadingPairs>
  <TitlesOfParts>
    <vt:vector size="24" baseType="lpstr">
      <vt:lpstr>Menu</vt:lpstr>
      <vt:lpstr>Sheet2</vt:lpstr>
      <vt:lpstr>Master – Recipes</vt:lpstr>
      <vt:lpstr>Recipe Ingredients</vt:lpstr>
      <vt:lpstr>Raw material list</vt:lpstr>
      <vt:lpstr>Per Patient Serving</vt:lpstr>
      <vt:lpstr>Saturday </vt:lpstr>
      <vt:lpstr>Sunday </vt:lpstr>
      <vt:lpstr>Monday</vt:lpstr>
      <vt:lpstr>Tuesday</vt:lpstr>
      <vt:lpstr>Wednesday</vt:lpstr>
      <vt:lpstr>Thursday</vt:lpstr>
      <vt:lpstr>Friday </vt:lpstr>
      <vt:lpstr>Packing Cost</vt:lpstr>
      <vt:lpstr>Avg Cooking W8t</vt:lpstr>
      <vt:lpstr>'Avg Cooking W8t'!Print_Area</vt:lpstr>
      <vt:lpstr>'Friday '!Print_Area</vt:lpstr>
      <vt:lpstr>Menu!Print_Area</vt:lpstr>
      <vt:lpstr>Monday!Print_Area</vt:lpstr>
      <vt:lpstr>'Saturday '!Print_Area</vt:lpstr>
      <vt:lpstr>'Sunday '!Print_Area</vt:lpstr>
      <vt:lpstr>Thursday!Print_Area</vt:lpstr>
      <vt:lpstr>Tuesday!Print_Area</vt:lpstr>
      <vt:lpstr>Wednesday!Print_Area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Jalal AbdulQadir</dc:creator>
  <cp:lastModifiedBy>Abdulkhabir Ahmed</cp:lastModifiedBy>
  <dcterms:created xsi:type="dcterms:W3CDTF">2026-06-03T04:49:43Z</dcterms:created>
  <dcterms:modified xsi:type="dcterms:W3CDTF">2026-08-31T10:25:13Z</dcterms:modified>
</cp:coreProperties>
</file>